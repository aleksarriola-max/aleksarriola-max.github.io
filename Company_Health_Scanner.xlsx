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ustry_Benchmark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Ratios_Scores" sheetId="4" state="visible" r:id="rId4"/>
    <sheet xmlns:r="http://schemas.openxmlformats.org/officeDocument/2006/relationships" name="Fraud_Detection" sheetId="5" state="hidden" r:id="rId5"/>
    <sheet xmlns:r="http://schemas.openxmlformats.org/officeDocument/2006/relationships" name="Ticker_List" sheetId="6" state="hidden" r:id="rId6"/>
    <sheet xmlns:r="http://schemas.openxmlformats.org/officeDocument/2006/relationships" name="Company_Card" sheetId="7" state="visible" r:id="rId7"/>
    <sheet xmlns:r="http://schemas.openxmlformats.org/officeDocument/2006/relationships" name="Sector_Warnings" sheetId="8" state="hidden" r:id="rId8"/>
    <sheet xmlns:r="http://schemas.openxmlformats.org/officeDocument/2006/relationships" name="Fraud_Card" sheetId="9" state="hidden" r:id="rId9"/>
    <sheet xmlns:r="http://schemas.openxmlformats.org/officeDocument/2006/relationships" name="Summary_Rank" sheetId="10" state="visible" r:id="rId10"/>
  </sheets>
  <definedNames>
    <definedName name="_xlnm.Print_Area" localSheetId="0">'Cover'!$A$1:$J$53</definedName>
    <definedName name="_xlnm._FilterDatabase" localSheetId="4" hidden="1">'Fraud_Detection'!$A$2:$BI$2</definedName>
    <definedName name="_xlnm.Print_Area" localSheetId="6">'Company_Card'!$A$1:$H$48</definedName>
    <definedName name="_xlnm.Print_Area" localSheetId="8">'Fraud_Card'!$A$1:$H$44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"/>
    <numFmt numFmtId="167" formatCode="0.000"/>
    <numFmt numFmtId="168" formatCode="+0.0;-0.0;0.0"/>
  </numFmts>
  <fonts count="64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color rgb="00FFFFFF"/>
      <sz val="10"/>
    </font>
    <font>
      <name val="Calibri"/>
      <i val="1"/>
      <color rgb="0093C5FD"/>
      <sz val="9"/>
    </font>
    <font>
      <name val="Calibri"/>
      <color rgb="001E3A5F"/>
      <sz val="10"/>
    </font>
    <font>
      <name val="Calibri"/>
      <b val="1"/>
      <color rgb="002563EB"/>
      <sz val="28"/>
    </font>
    <font>
      <name val="Calibri"/>
      <color rgb="00334155"/>
      <sz val="9"/>
    </font>
    <font>
      <name val="Calibri"/>
      <b val="1"/>
      <color rgb="00059669"/>
      <sz val="28"/>
    </font>
    <font>
      <name val="Calibri"/>
      <b val="1"/>
      <color rgb="007C3AED"/>
      <sz val="28"/>
    </font>
    <font>
      <name val="Calibri"/>
      <b val="1"/>
      <color rgb="000D9488"/>
      <sz val="28"/>
    </font>
    <font>
      <name val="Calibri"/>
      <b val="1"/>
      <color rgb="00D97706"/>
      <sz val="2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i val="1"/>
      <color rgb="0064748B"/>
      <sz val="8"/>
    </font>
    <font>
      <name val="Calibri"/>
      <i val="1"/>
      <color rgb="0093C5FD"/>
      <sz val="8"/>
    </font>
    <font>
      <name val="Calibri"/>
      <b val="1"/>
      <color rgb="00FFFFFF"/>
      <sz val="14"/>
    </font>
    <font>
      <name val="Calibri"/>
      <b val="1"/>
      <color rgb="001E3A5F"/>
      <sz val="9"/>
    </font>
    <font>
      <name val="Calibri"/>
      <b val="1"/>
      <color rgb="00065F46"/>
      <sz val="9"/>
    </font>
    <font>
      <name val="Calibri"/>
      <b val="1"/>
      <color rgb="00991B1B"/>
      <sz val="9"/>
    </font>
    <font>
      <name val="Calibri"/>
      <b val="1"/>
      <color rgb="0064748B"/>
      <sz val="9"/>
    </font>
    <font>
      <name val="Calibri"/>
      <b val="1"/>
      <color rgb="00FFFFFF"/>
      <sz val="8"/>
    </font>
    <font>
      <name val="Calibri"/>
      <i val="1"/>
      <color rgb="001E40AF"/>
      <sz val="7"/>
    </font>
    <font>
      <name val="Calibri"/>
      <color rgb="0064748B"/>
      <sz val="9"/>
    </font>
    <font>
      <name val="Calibri"/>
      <color rgb="001E3A5F"/>
      <sz val="8"/>
    </font>
    <font>
      <name val="Calibri"/>
      <i val="1"/>
      <color rgb="009CA3AF"/>
      <sz val="8"/>
    </font>
    <font>
      <name val="Calibri"/>
      <i val="1"/>
      <color rgb="00374151"/>
      <sz val="7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0"/>
    </font>
    <font>
      <name val="Calibri"/>
      <b val="1"/>
      <color rgb="002F5496"/>
      <sz val="10"/>
    </font>
    <font>
      <name val="Calibri"/>
      <color rgb="009CA3AF"/>
      <sz val="10"/>
    </font>
    <font>
      <name val="Calibri"/>
      <b val="1"/>
      <color rgb="001F3864"/>
      <sz val="12"/>
    </font>
    <font>
      <name val="Calibri"/>
      <b val="1"/>
      <color rgb="001E3A5F"/>
      <sz val="8"/>
    </font>
    <font>
      <name val="Calibri"/>
      <sz val="9"/>
    </font>
    <font>
      <name val="Calibri"/>
      <color rgb="009CA3AF"/>
      <sz val="9"/>
    </font>
    <font>
      <name val="Calibri"/>
      <b val="1"/>
      <color rgb="001F3864"/>
      <sz val="13"/>
    </font>
    <font>
      <name val="Calibri"/>
      <color rgb="001E293B"/>
      <sz val="9"/>
    </font>
    <font>
      <name val="Calibri"/>
      <b val="1"/>
      <color rgb="0092400E"/>
      <sz val="9"/>
    </font>
    <font>
      <name val="Calibri"/>
      <b val="1"/>
      <color rgb="00FFFFFF"/>
      <sz val="16"/>
    </font>
    <font>
      <name val="Calibri"/>
      <b val="1"/>
      <color rgb="002563EB"/>
      <sz val="16"/>
    </font>
    <font>
      <name val="Calibri"/>
      <b val="1"/>
      <color rgb="001E3A5F"/>
      <sz val="14"/>
    </font>
    <font>
      <name val="Calibri"/>
      <color rgb="001E3A5F"/>
      <sz val="9"/>
    </font>
    <font>
      <name val="Calibri"/>
      <b val="1"/>
      <color rgb="001E3A5F"/>
      <sz val="40"/>
    </font>
    <font>
      <name val="Calibri"/>
      <b val="1"/>
      <color rgb="001E3A5F"/>
      <sz val="13"/>
    </font>
    <font>
      <name val="Calibri"/>
      <b val="1"/>
      <color rgb="0092400E"/>
      <sz val="13"/>
    </font>
    <font>
      <name val="Calibri"/>
      <b val="1"/>
      <color rgb="001E3A5F"/>
      <sz val="10"/>
    </font>
    <font>
      <name val="Calibri"/>
      <b val="1"/>
      <color rgb="006B7280"/>
      <sz val="8"/>
    </font>
    <font>
      <name val="Calibri"/>
      <b val="1"/>
      <color rgb="00065F46"/>
      <sz val="8"/>
    </font>
    <font>
      <name val="Calibri"/>
      <b val="1"/>
      <color rgb="00065F46"/>
      <sz val="10"/>
    </font>
    <font>
      <name val="Calibri"/>
      <b val="1"/>
      <color rgb="00991B1B"/>
      <sz val="10"/>
    </font>
    <font>
      <name val="Calibri"/>
      <color rgb="001C1917"/>
      <sz val="9"/>
    </font>
    <font>
      <name val="Calibri"/>
      <i val="1"/>
      <color rgb="001E40AF"/>
      <sz val="8"/>
    </font>
    <font>
      <name val="Calibri"/>
      <b val="1"/>
      <color rgb="00991B1B"/>
      <sz val="16"/>
    </font>
    <font>
      <name val="Calibri"/>
      <b val="1"/>
      <color rgb="007F1D1D"/>
      <sz val="14"/>
    </font>
    <font>
      <name val="Calibri"/>
      <b val="1"/>
      <color rgb="00991B1B"/>
      <sz val="11"/>
    </font>
    <font>
      <name val="Calibri"/>
      <b val="1"/>
      <color rgb="001E3A5F"/>
      <sz val="15"/>
    </font>
    <font>
      <name val="Calibri"/>
      <color rgb="006B7280"/>
      <sz val="9"/>
    </font>
    <font>
      <name val="Calibri"/>
      <b val="1"/>
      <color rgb="001E293B"/>
      <sz val="11"/>
    </font>
    <font>
      <name val="Calibri"/>
      <color rgb="00374151"/>
      <sz val="9"/>
    </font>
    <font>
      <name val="Calibri"/>
      <b val="1"/>
      <color rgb="00374151"/>
      <sz val="11"/>
    </font>
    <font>
      <name val="Calibri"/>
      <i val="1"/>
      <color rgb="00991B1B"/>
      <sz val="8"/>
    </font>
    <font>
      <name val="Calibri"/>
      <color rgb="00595959"/>
      <sz val="9"/>
    </font>
  </fonts>
  <fills count="6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059669"/>
        <bgColor rgb="00059669"/>
      </patternFill>
    </fill>
    <fill>
      <patternFill patternType="solid">
        <fgColor rgb="00D1FAE5"/>
        <bgColor rgb="00D1FAE5"/>
      </patternFill>
    </fill>
    <fill>
      <patternFill patternType="solid">
        <fgColor rgb="007C3AED"/>
        <bgColor rgb="007C3AED"/>
      </patternFill>
    </fill>
    <fill>
      <patternFill patternType="solid">
        <fgColor rgb="00F5F3FF"/>
        <bgColor rgb="00F5F3FF"/>
      </patternFill>
    </fill>
    <fill>
      <patternFill patternType="solid">
        <fgColor rgb="000D9488"/>
        <bgColor rgb="000D9488"/>
      </patternFill>
    </fill>
    <fill>
      <patternFill patternType="solid">
        <fgColor rgb="00F0FDFA"/>
        <bgColor rgb="00F0FDFA"/>
      </patternFill>
    </fill>
    <fill>
      <patternFill patternType="solid">
        <fgColor rgb="00D97706"/>
        <bgColor rgb="00D97706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DC2626"/>
        <bgColor rgb="00DC2626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1D4ED8"/>
        <bgColor rgb="001D4ED8"/>
      </patternFill>
    </fill>
    <fill>
      <patternFill patternType="solid">
        <fgColor rgb="00B45309"/>
        <bgColor rgb="00B45309"/>
      </patternFill>
    </fill>
    <fill>
      <patternFill patternType="solid">
        <fgColor rgb="0065A30D"/>
        <bgColor rgb="0065A30D"/>
      </patternFill>
    </fill>
    <fill>
      <patternFill patternType="solid">
        <fgColor rgb="000369A1"/>
        <bgColor rgb="000369A1"/>
      </patternFill>
    </fill>
    <fill>
      <patternFill patternType="solid">
        <fgColor rgb="00A16207"/>
        <bgColor rgb="00A16207"/>
      </patternFill>
    </fill>
    <fill>
      <patternFill patternType="solid">
        <fgColor rgb="004338CA"/>
        <bgColor rgb="004338CA"/>
      </patternFill>
    </fill>
    <fill>
      <patternFill patternType="solid">
        <fgColor rgb="00BE185D"/>
        <bgColor rgb="00BE185D"/>
      </patternFill>
    </fill>
    <fill>
      <patternFill patternType="solid">
        <fgColor rgb="00EFF6FF"/>
        <bgColor rgb="00EFF6FF"/>
      </patternFill>
    </fill>
    <fill>
      <patternFill patternType="solid">
        <fgColor rgb="00FFFBEB"/>
        <bgColor rgb="00FFFBEB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F3864"/>
        <bgColor rgb="001F3864"/>
      </patternFill>
    </fill>
    <fill>
      <patternFill patternType="solid">
        <fgColor rgb="00FDE68A"/>
        <bgColor rgb="00FDE68A"/>
      </patternFill>
    </fill>
    <fill>
      <patternFill patternType="solid">
        <fgColor rgb="00FCD34D"/>
        <bgColor rgb="00FCD34D"/>
      </patternFill>
    </fill>
    <fill>
      <patternFill patternType="solid">
        <fgColor rgb="00FCE7F3"/>
        <bgColor rgb="00FCE7F3"/>
      </patternFill>
    </fill>
    <fill>
      <patternFill patternType="solid">
        <fgColor rgb="00EDE9FE"/>
        <bgColor rgb="00EDE9FE"/>
      </patternFill>
    </fill>
    <fill>
      <patternFill patternType="solid">
        <fgColor rgb="00FFE4E6"/>
        <bgColor rgb="00FFE4E6"/>
      </patternFill>
    </fill>
    <fill>
      <patternFill patternType="solid">
        <fgColor rgb="00F0FDF4"/>
        <bgColor rgb="00F0FDF4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EF9C3"/>
        <bgColor rgb="00FEF9C3"/>
      </patternFill>
    </fill>
    <fill>
      <patternFill patternType="solid">
        <fgColor rgb="00F3F4F6"/>
        <bgColor rgb="00F3F4F6"/>
      </patternFill>
    </fill>
    <fill>
      <patternFill patternType="solid">
        <fgColor rgb="00FEFCE8"/>
        <bgColor rgb="00FEFCE8"/>
      </patternFill>
    </fill>
    <fill>
      <patternFill patternType="solid">
        <fgColor rgb="0092400E"/>
        <bgColor rgb="0092400E"/>
      </patternFill>
    </fill>
    <fill>
      <patternFill patternType="solid">
        <fgColor rgb="00374151"/>
        <bgColor rgb="00374151"/>
      </patternFill>
    </fill>
    <fill>
      <patternFill patternType="solid">
        <fgColor rgb="00E0F2FE"/>
        <bgColor rgb="00E0F2FE"/>
      </patternFill>
    </fill>
    <fill>
      <patternFill patternType="solid">
        <fgColor rgb="00065F46"/>
        <bgColor rgb="00065F46"/>
      </patternFill>
    </fill>
    <fill>
      <patternFill patternType="solid">
        <fgColor rgb="00991B1B"/>
        <bgColor rgb="00991B1B"/>
      </patternFill>
    </fill>
    <fill>
      <patternFill patternType="solid">
        <fgColor rgb="007F1D1D"/>
        <bgColor rgb="007F1D1D"/>
      </patternFill>
    </fill>
    <fill>
      <patternFill patternType="solid">
        <fgColor rgb="00581C87"/>
        <bgColor rgb="00581C87"/>
      </patternFill>
    </fill>
    <fill>
      <patternFill patternType="solid">
        <fgColor rgb="00F1F5F9"/>
        <bgColor rgb="00F1F5F9"/>
      </patternFill>
    </fill>
    <fill>
      <patternFill patternType="solid">
        <fgColor rgb="00E5E7EB"/>
        <bgColor rgb="00E5E7EB"/>
      </patternFill>
    </fill>
    <fill>
      <patternFill patternType="solid">
        <fgColor rgb="00FFF1F2"/>
        <bgColor rgb="00FFF1F2"/>
      </patternFill>
    </fill>
    <fill>
      <patternFill patternType="solid">
        <fgColor rgb="00FEF2F2"/>
        <bgColor rgb="00FEF2F2"/>
      </patternFill>
    </fill>
    <fill>
      <patternFill patternType="solid">
        <fgColor rgb="00FAF5FF"/>
        <bgColor rgb="00FAF5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medium">
        <color rgb="002563EB"/>
      </left>
      <right style="medium">
        <color rgb="002563EB"/>
      </right>
      <top style="medium">
        <color rgb="002563EB"/>
      </top>
      <bottom style="medium">
        <color rgb="002563EB"/>
      </bottom>
    </border>
    <border>
      <left style="medium">
        <color rgb="00991B1B"/>
      </left>
      <right style="medium">
        <color rgb="00991B1B"/>
      </right>
      <top style="medium">
        <color rgb="00991B1B"/>
      </top>
      <bottom style="medium">
        <color rgb="00991B1B"/>
      </bottom>
    </border>
    <border>
      <left/>
      <right/>
      <top style="medium">
        <color rgb="002563EB"/>
      </top>
      <bottom/>
      <diagonal/>
    </border>
    <border>
      <left/>
      <right style="medium">
        <color rgb="002563EB"/>
      </right>
      <top style="medium">
        <color rgb="002563EB"/>
      </top>
      <bottom/>
      <diagonal/>
    </border>
    <border>
      <left/>
      <right/>
      <top style="medium">
        <color rgb="002563EB"/>
      </top>
      <bottom style="medium">
        <color rgb="002563EB"/>
      </bottom>
      <diagonal/>
    </border>
    <border>
      <left/>
      <right style="medium">
        <color rgb="002563EB"/>
      </right>
      <top style="medium">
        <color rgb="002563EB"/>
      </top>
      <bottom style="medium">
        <color rgb="002563EB"/>
      </bottom>
      <diagonal/>
    </border>
  </borders>
  <cellStyleXfs count="1">
    <xf numFmtId="0" fontId="0" fillId="0" borderId="0"/>
  </cellStyleXfs>
  <cellXfs count="20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0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top" wrapText="1"/>
    </xf>
    <xf numFmtId="0" fontId="12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top" wrapText="1"/>
    </xf>
    <xf numFmtId="0" fontId="12" fillId="12" borderId="0" applyAlignment="1" pivotButton="0" quotePrefix="0" xfId="0">
      <alignment horizontal="left" vertical="center"/>
    </xf>
    <xf numFmtId="0" fontId="13" fillId="12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left" vertical="top" wrapText="1"/>
    </xf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right" vertical="center"/>
    </xf>
    <xf numFmtId="0" fontId="6" fillId="9" borderId="0" applyAlignment="1" pivotButton="0" quotePrefix="0" xfId="0">
      <alignment horizontal="left" vertical="top" wrapText="1"/>
    </xf>
    <xf numFmtId="0" fontId="12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6" fillId="11" borderId="0" applyAlignment="1" pivotButton="0" quotePrefix="0" xfId="0">
      <alignment horizontal="left" vertical="top" wrapText="1"/>
    </xf>
    <xf numFmtId="0" fontId="14" fillId="3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0" fillId="14" borderId="0" pivotButton="0" quotePrefix="0" xfId="0"/>
    <xf numFmtId="0" fontId="14" fillId="15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/>
    </xf>
    <xf numFmtId="0" fontId="14" fillId="16" borderId="0" applyAlignment="1" pivotButton="0" quotePrefix="0" xfId="0">
      <alignment horizontal="left" vertical="center"/>
    </xf>
    <xf numFmtId="0" fontId="0" fillId="16" borderId="0" pivotButton="0" quotePrefix="0" xfId="0"/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left" vertical="center"/>
    </xf>
    <xf numFmtId="0" fontId="18" fillId="17" borderId="0" applyAlignment="1" pivotButton="0" quotePrefix="0" xfId="0">
      <alignment horizontal="left" vertical="center"/>
    </xf>
    <xf numFmtId="0" fontId="19" fillId="7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left" vertical="center"/>
    </xf>
    <xf numFmtId="0" fontId="20" fillId="18" borderId="0" applyAlignment="1" pivotButton="0" quotePrefix="0" xfId="0">
      <alignment horizontal="left" vertical="center"/>
    </xf>
    <xf numFmtId="0" fontId="15" fillId="17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22" fillId="19" borderId="0" applyAlignment="1" pivotButton="0" quotePrefix="0" xfId="0">
      <alignment horizontal="center" vertical="center" wrapText="1"/>
    </xf>
    <xf numFmtId="0" fontId="22" fillId="10" borderId="0" applyAlignment="1" pivotButton="0" quotePrefix="0" xfId="0">
      <alignment horizontal="center" vertical="center" wrapText="1"/>
    </xf>
    <xf numFmtId="0" fontId="22" fillId="8" borderId="0" applyAlignment="1" pivotButton="0" quotePrefix="0" xfId="0">
      <alignment horizontal="center" vertical="center" wrapText="1"/>
    </xf>
    <xf numFmtId="0" fontId="22" fillId="20" borderId="0" applyAlignment="1" pivotButton="0" quotePrefix="0" xfId="0">
      <alignment horizontal="center" vertical="center" wrapText="1"/>
    </xf>
    <xf numFmtId="0" fontId="22" fillId="21" borderId="0" applyAlignment="1" pivotButton="0" quotePrefix="0" xfId="0">
      <alignment horizontal="center" vertical="center" wrapText="1"/>
    </xf>
    <xf numFmtId="0" fontId="22" fillId="15" borderId="0" applyAlignment="1" pivotButton="0" quotePrefix="0" xfId="0">
      <alignment horizontal="center" vertical="center" wrapText="1"/>
    </xf>
    <xf numFmtId="0" fontId="22" fillId="22" borderId="0" applyAlignment="1" pivotButton="0" quotePrefix="0" xfId="0">
      <alignment horizontal="center" vertical="center" wrapText="1"/>
    </xf>
    <xf numFmtId="0" fontId="22" fillId="23" borderId="0" applyAlignment="1" pivotButton="0" quotePrefix="0" xfId="0">
      <alignment horizontal="center" vertical="center" wrapText="1"/>
    </xf>
    <xf numFmtId="0" fontId="22" fillId="6" borderId="0" applyAlignment="1" pivotButton="0" quotePrefix="0" xfId="0">
      <alignment horizontal="center" vertical="center" wrapText="1"/>
    </xf>
    <xf numFmtId="0" fontId="22" fillId="24" borderId="0" applyAlignment="1" pivotButton="0" quotePrefix="0" xfId="0">
      <alignment horizontal="center" vertical="center" wrapText="1"/>
    </xf>
    <xf numFmtId="0" fontId="22" fillId="25" borderId="0" applyAlignment="1" pivotButton="0" quotePrefix="0" xfId="0">
      <alignment horizontal="center" vertical="center" wrapText="1"/>
    </xf>
    <xf numFmtId="0" fontId="23" fillId="26" borderId="0" applyAlignment="1" pivotButton="0" quotePrefix="0" xfId="0">
      <alignment horizontal="left" vertical="center" wrapText="1"/>
    </xf>
    <xf numFmtId="0" fontId="18" fillId="14" borderId="0" applyAlignment="1" pivotButton="0" quotePrefix="0" xfId="0">
      <alignment horizontal="left" vertical="center"/>
    </xf>
    <xf numFmtId="0" fontId="24" fillId="4" borderId="0" applyAlignment="1" pivotButton="0" quotePrefix="0" xfId="0">
      <alignment horizontal="left" vertical="center"/>
    </xf>
    <xf numFmtId="0" fontId="25" fillId="17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center" vertical="center"/>
    </xf>
    <xf numFmtId="0" fontId="26" fillId="17" borderId="0" applyAlignment="1" pivotButton="0" quotePrefix="0" xfId="0">
      <alignment horizontal="center" vertical="center"/>
    </xf>
    <xf numFmtId="0" fontId="18" fillId="17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27" fillId="27" borderId="0" applyAlignment="1" pivotButton="0" quotePrefix="0" xfId="0">
      <alignment horizontal="left" vertical="center" wrapText="1"/>
    </xf>
    <xf numFmtId="0" fontId="26" fillId="14" borderId="0" applyAlignment="1" pivotButton="0" quotePrefix="0" xfId="0">
      <alignment horizontal="left" vertical="center"/>
    </xf>
    <xf numFmtId="0" fontId="28" fillId="0" borderId="0" pivotButton="0" quotePrefix="0" xfId="0"/>
    <xf numFmtId="0" fontId="29" fillId="0" borderId="0" pivotButton="0" quotePrefix="0" xfId="0"/>
    <xf numFmtId="0" fontId="30" fillId="28" borderId="1" applyAlignment="1" pivotButton="0" quotePrefix="0" xfId="0">
      <alignment horizontal="center" vertical="center" wrapText="1"/>
    </xf>
    <xf numFmtId="0" fontId="29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29" fillId="29" borderId="1" applyAlignment="1" pivotButton="0" quotePrefix="0" xfId="0">
      <alignment horizontal="left" vertical="center"/>
    </xf>
    <xf numFmtId="164" fontId="29" fillId="29" borderId="1" applyAlignment="1" pivotButton="0" quotePrefix="0" xfId="0">
      <alignment horizontal="center" vertical="center"/>
    </xf>
    <xf numFmtId="0" fontId="29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29" fillId="30" borderId="1" applyAlignment="1" pivotButton="0" quotePrefix="0" xfId="0">
      <alignment horizontal="left" vertical="center"/>
    </xf>
    <xf numFmtId="164" fontId="29" fillId="30" borderId="1" applyAlignment="1" pivotButton="0" quotePrefix="0" xfId="0">
      <alignment horizontal="center" vertical="center"/>
    </xf>
    <xf numFmtId="0" fontId="32" fillId="30" borderId="1" applyAlignment="1" pivotButton="0" quotePrefix="0" xfId="0">
      <alignment horizontal="center" vertical="center"/>
    </xf>
    <xf numFmtId="0" fontId="32" fillId="29" borderId="1" applyAlignment="1" pivotButton="0" quotePrefix="0" xfId="0">
      <alignment horizontal="center" vertical="center"/>
    </xf>
    <xf numFmtId="0" fontId="33" fillId="0" borderId="0" pivotButton="0" quotePrefix="0" xfId="0"/>
    <xf numFmtId="0" fontId="22" fillId="31" borderId="0" applyAlignment="1" pivotButton="0" quotePrefix="0" xfId="0">
      <alignment horizontal="center" wrapText="1"/>
    </xf>
    <xf numFmtId="0" fontId="34" fillId="5" borderId="0" applyAlignment="1" pivotButton="0" quotePrefix="0" xfId="0">
      <alignment horizontal="center" wrapText="1"/>
    </xf>
    <xf numFmtId="0" fontId="34" fillId="13" borderId="0" applyAlignment="1" pivotButton="0" quotePrefix="0" xfId="0">
      <alignment horizontal="center" wrapText="1"/>
    </xf>
    <xf numFmtId="0" fontId="34" fillId="32" borderId="0" applyAlignment="1" pivotButton="0" quotePrefix="0" xfId="0">
      <alignment horizontal="center" wrapText="1"/>
    </xf>
    <xf numFmtId="0" fontId="34" fillId="33" borderId="0" applyAlignment="1" pivotButton="0" quotePrefix="0" xfId="0">
      <alignment horizontal="center" wrapText="1"/>
    </xf>
    <xf numFmtId="0" fontId="34" fillId="7" borderId="0" applyAlignment="1" pivotButton="0" quotePrefix="0" xfId="0">
      <alignment horizontal="center" wrapText="1"/>
    </xf>
    <xf numFmtId="0" fontId="34" fillId="34" borderId="0" applyAlignment="1" pivotButton="0" quotePrefix="0" xfId="0">
      <alignment horizontal="center" wrapText="1"/>
    </xf>
    <xf numFmtId="0" fontId="34" fillId="35" borderId="0" applyAlignment="1" pivotButton="0" quotePrefix="0" xfId="0">
      <alignment horizontal="center" wrapText="1"/>
    </xf>
    <xf numFmtId="0" fontId="34" fillId="36" borderId="0" applyAlignment="1" pivotButton="0" quotePrefix="0" xfId="0">
      <alignment horizontal="center" wrapText="1"/>
    </xf>
    <xf numFmtId="0" fontId="34" fillId="37" borderId="0" applyAlignment="1" pivotButton="0" quotePrefix="0" xfId="0">
      <alignment horizontal="center" wrapText="1"/>
    </xf>
    <xf numFmtId="0" fontId="35" fillId="17" borderId="0" applyAlignment="1" pivotButton="0" quotePrefix="0" xfId="0">
      <alignment horizontal="center"/>
    </xf>
    <xf numFmtId="2" fontId="35" fillId="17" borderId="0" applyAlignment="1" pivotButton="0" quotePrefix="0" xfId="0">
      <alignment horizontal="center"/>
    </xf>
    <xf numFmtId="165" fontId="35" fillId="17" borderId="0" applyAlignment="1" pivotButton="0" quotePrefix="0" xfId="0">
      <alignment horizontal="center"/>
    </xf>
    <xf numFmtId="0" fontId="35" fillId="38" borderId="0" applyAlignment="1" pivotButton="0" quotePrefix="0" xfId="0">
      <alignment horizontal="center"/>
    </xf>
    <xf numFmtId="0" fontId="35" fillId="39" borderId="0" applyAlignment="1" pivotButton="0" quotePrefix="0" xfId="0">
      <alignment horizontal="center"/>
    </xf>
    <xf numFmtId="2" fontId="35" fillId="39" borderId="0" applyAlignment="1" pivotButton="0" quotePrefix="0" xfId="0">
      <alignment horizontal="center"/>
    </xf>
    <xf numFmtId="165" fontId="35" fillId="39" borderId="0" applyAlignment="1" pivotButton="0" quotePrefix="0" xfId="0">
      <alignment horizontal="center"/>
    </xf>
    <xf numFmtId="0" fontId="35" fillId="40" borderId="0" applyAlignment="1" pivotButton="0" quotePrefix="0" xfId="0">
      <alignment horizontal="center"/>
    </xf>
    <xf numFmtId="0" fontId="36" fillId="39" borderId="0" applyAlignment="1" pivotButton="0" quotePrefix="0" xfId="0">
      <alignment horizontal="center"/>
    </xf>
    <xf numFmtId="0" fontId="35" fillId="41" borderId="0" applyAlignment="1" pivotButton="0" quotePrefix="0" xfId="0">
      <alignment horizontal="center"/>
    </xf>
    <xf numFmtId="0" fontId="36" fillId="17" borderId="0" applyAlignment="1" pivotButton="0" quotePrefix="0" xfId="0">
      <alignment horizontal="center"/>
    </xf>
    <xf numFmtId="0" fontId="37" fillId="0" borderId="0" pivotButton="0" quotePrefix="0" xfId="0"/>
    <xf numFmtId="0" fontId="34" fillId="42" borderId="0" applyAlignment="1" pivotButton="0" quotePrefix="0" xfId="0">
      <alignment horizontal="center" wrapText="1"/>
    </xf>
    <xf numFmtId="0" fontId="34" fillId="43" borderId="0" applyAlignment="1" pivotButton="0" quotePrefix="0" xfId="0">
      <alignment horizontal="center" wrapText="1"/>
    </xf>
    <xf numFmtId="0" fontId="38" fillId="44" borderId="0" applyAlignment="1" pivotButton="0" quotePrefix="0" xfId="0">
      <alignment horizontal="center"/>
    </xf>
    <xf numFmtId="2" fontId="38" fillId="44" borderId="0" applyAlignment="1" pivotButton="0" quotePrefix="0" xfId="0">
      <alignment horizontal="center"/>
    </xf>
    <xf numFmtId="0" fontId="19" fillId="40" borderId="0" applyAlignment="1" pivotButton="0" quotePrefix="0" xfId="0">
      <alignment horizontal="center"/>
    </xf>
    <xf numFmtId="165" fontId="38" fillId="44" borderId="0" applyAlignment="1" pivotButton="0" quotePrefix="0" xfId="0">
      <alignment horizontal="center"/>
    </xf>
    <xf numFmtId="0" fontId="14" fillId="41" borderId="0" applyAlignment="1" pivotButton="0" quotePrefix="0" xfId="0">
      <alignment horizontal="center"/>
    </xf>
    <xf numFmtId="0" fontId="39" fillId="13" borderId="0" applyAlignment="1" pivotButton="0" quotePrefix="0" xfId="0">
      <alignment horizontal="center"/>
    </xf>
    <xf numFmtId="9" fontId="19" fillId="40" borderId="0" applyAlignment="1" pivotButton="0" quotePrefix="0" xfId="0">
      <alignment horizontal="center"/>
    </xf>
    <xf numFmtId="0" fontId="36" fillId="43" borderId="0" applyAlignment="1" pivotButton="0" quotePrefix="0" xfId="0">
      <alignment horizontal="center"/>
    </xf>
    <xf numFmtId="9" fontId="39" fillId="38" borderId="0" applyAlignment="1" pivotButton="0" quotePrefix="0" xfId="0">
      <alignment horizontal="center"/>
    </xf>
    <xf numFmtId="0" fontId="38" fillId="39" borderId="0" applyAlignment="1" pivotButton="0" quotePrefix="0" xfId="0">
      <alignment horizontal="center"/>
    </xf>
    <xf numFmtId="2" fontId="38" fillId="39" borderId="0" applyAlignment="1" pivotButton="0" quotePrefix="0" xfId="0">
      <alignment horizontal="center"/>
    </xf>
    <xf numFmtId="165" fontId="38" fillId="39" borderId="0" applyAlignment="1" pivotButton="0" quotePrefix="0" xfId="0">
      <alignment horizontal="center"/>
    </xf>
    <xf numFmtId="0" fontId="38" fillId="17" borderId="0" applyAlignment="1" pivotButton="0" quotePrefix="0" xfId="0">
      <alignment horizontal="center"/>
    </xf>
    <xf numFmtId="2" fontId="38" fillId="17" borderId="0" applyAlignment="1" pivotButton="0" quotePrefix="0" xfId="0">
      <alignment horizontal="center"/>
    </xf>
    <xf numFmtId="165" fontId="38" fillId="17" borderId="0" applyAlignment="1" pivotButton="0" quotePrefix="0" xfId="0">
      <alignment horizontal="center"/>
    </xf>
    <xf numFmtId="0" fontId="40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41" fillId="5" borderId="2" applyAlignment="1" pivotButton="0" quotePrefix="0" xfId="0">
      <alignment horizontal="center" vertical="center"/>
    </xf>
    <xf numFmtId="0" fontId="0" fillId="5" borderId="0" pivotButton="0" quotePrefix="0" xfId="0"/>
    <xf numFmtId="0" fontId="42" fillId="5" borderId="0" applyAlignment="1" pivotButton="0" quotePrefix="0" xfId="0">
      <alignment horizontal="left" vertical="center" indent="1"/>
    </xf>
    <xf numFmtId="0" fontId="24" fillId="14" borderId="0" applyAlignment="1" pivotButton="0" quotePrefix="0" xfId="0">
      <alignment horizontal="left" vertical="center"/>
    </xf>
    <xf numFmtId="0" fontId="43" fillId="14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left" vertical="center"/>
    </xf>
    <xf numFmtId="166" fontId="44" fillId="4" borderId="0" applyAlignment="1" pivotButton="0" quotePrefix="0" xfId="0">
      <alignment horizontal="center" vertical="center"/>
    </xf>
    <xf numFmtId="0" fontId="46" fillId="13" borderId="0" applyAlignment="1" pivotButton="0" quotePrefix="0" xfId="0">
      <alignment horizontal="center" vertical="center"/>
    </xf>
    <xf numFmtId="2" fontId="47" fillId="17" borderId="0" applyAlignment="1" pivotButton="0" quotePrefix="0" xfId="0">
      <alignment horizontal="right" vertical="center"/>
    </xf>
    <xf numFmtId="0" fontId="18" fillId="17" borderId="0" applyAlignment="1" pivotButton="0" quotePrefix="0" xfId="0">
      <alignment horizontal="right" vertical="center"/>
    </xf>
    <xf numFmtId="0" fontId="0" fillId="13" borderId="0" pivotButton="0" quotePrefix="0" xfId="0"/>
    <xf numFmtId="165" fontId="47" fillId="17" borderId="0" applyAlignment="1" pivotButton="0" quotePrefix="0" xfId="0">
      <alignment horizontal="right" vertical="center"/>
    </xf>
    <xf numFmtId="1" fontId="47" fillId="17" borderId="0" applyAlignment="1" pivotButton="0" quotePrefix="0" xfId="0">
      <alignment horizontal="right" vertical="center"/>
    </xf>
    <xf numFmtId="0" fontId="30" fillId="10" borderId="0" applyAlignment="1" pivotButton="0" quotePrefix="0" xfId="0">
      <alignment horizontal="left" vertical="center"/>
    </xf>
    <xf numFmtId="0" fontId="30" fillId="8" borderId="0" applyAlignment="1" pivotButton="0" quotePrefix="0" xfId="0">
      <alignment horizontal="left" vertical="center"/>
    </xf>
    <xf numFmtId="0" fontId="48" fillId="43" borderId="0" applyAlignment="1" pivotButton="0" quotePrefix="0" xfId="0">
      <alignment horizontal="center" vertical="center"/>
    </xf>
    <xf numFmtId="0" fontId="0" fillId="17" borderId="0" pivotButton="0" quotePrefix="0" xfId="0"/>
    <xf numFmtId="0" fontId="47" fillId="17" borderId="0" applyAlignment="1" pivotButton="0" quotePrefix="0" xfId="0">
      <alignment horizontal="right" vertical="center"/>
    </xf>
    <xf numFmtId="0" fontId="49" fillId="7" borderId="0" applyAlignment="1" pivotButton="0" quotePrefix="0" xfId="0">
      <alignment horizontal="center" vertical="center"/>
    </xf>
    <xf numFmtId="167" fontId="47" fillId="17" borderId="0" applyAlignment="1" pivotButton="0" quotePrefix="0" xfId="0">
      <alignment horizontal="right" vertical="center"/>
    </xf>
    <xf numFmtId="166" fontId="47" fillId="17" borderId="0" applyAlignment="1" pivotButton="0" quotePrefix="0" xfId="0">
      <alignment horizontal="right" vertical="center"/>
    </xf>
    <xf numFmtId="0" fontId="30" fillId="22" borderId="0" applyAlignment="1" pivotButton="0" quotePrefix="0" xfId="0">
      <alignment horizontal="left" vertical="center"/>
    </xf>
    <xf numFmtId="0" fontId="50" fillId="7" borderId="0" applyAlignment="1" pivotButton="0" quotePrefix="0" xfId="0">
      <alignment horizontal="center" vertical="center"/>
    </xf>
    <xf numFmtId="0" fontId="51" fillId="18" borderId="0" applyAlignment="1" pivotButton="0" quotePrefix="0" xfId="0">
      <alignment horizontal="center" vertical="center"/>
    </xf>
    <xf numFmtId="0" fontId="30" fillId="45" borderId="0" applyAlignment="1" pivotButton="0" quotePrefix="0" xfId="0">
      <alignment horizontal="left" vertical="center"/>
    </xf>
    <xf numFmtId="0" fontId="53" fillId="26" borderId="0" applyAlignment="1" pivotButton="0" quotePrefix="0" xfId="0">
      <alignment horizontal="left" vertical="center" wrapText="1" indent="1"/>
    </xf>
    <xf numFmtId="0" fontId="26" fillId="14" borderId="0" applyAlignment="1" pivotButton="0" quotePrefix="0" xfId="0">
      <alignment horizontal="left" vertical="center" indent="1"/>
    </xf>
    <xf numFmtId="0" fontId="14" fillId="19" borderId="0" applyAlignment="1" pivotButton="0" quotePrefix="0" xfId="0">
      <alignment horizontal="left" vertical="center"/>
    </xf>
    <xf numFmtId="0" fontId="43" fillId="5" borderId="0" applyAlignment="1" pivotButton="0" quotePrefix="0" xfId="0">
      <alignment horizontal="left" vertical="top" wrapText="1" indent="1"/>
    </xf>
    <xf numFmtId="0" fontId="14" fillId="45" borderId="0" applyAlignment="1" pivotButton="0" quotePrefix="0" xfId="0">
      <alignment horizontal="left" vertical="center"/>
    </xf>
    <xf numFmtId="0" fontId="52" fillId="27" borderId="0" applyAlignment="1" pivotButton="0" quotePrefix="0" xfId="0">
      <alignment horizontal="left" vertical="top" wrapText="1" indent="1"/>
    </xf>
    <xf numFmtId="0" fontId="14" fillId="46" borderId="0" applyAlignment="1" pivotButton="0" quotePrefix="0" xfId="0">
      <alignment horizontal="left" vertical="center"/>
    </xf>
    <xf numFmtId="0" fontId="38" fillId="4" borderId="0" applyAlignment="1" pivotButton="0" quotePrefix="0" xfId="0">
      <alignment horizontal="left" vertical="top" wrapText="1" indent="1"/>
    </xf>
    <xf numFmtId="0" fontId="14" fillId="22" borderId="0" applyAlignment="1" pivotButton="0" quotePrefix="0" xfId="0">
      <alignment horizontal="left" vertical="center"/>
    </xf>
    <xf numFmtId="0" fontId="43" fillId="47" borderId="0" applyAlignment="1" pivotButton="0" quotePrefix="0" xfId="0">
      <alignment horizontal="left" vertical="top" wrapText="1" indent="1"/>
    </xf>
    <xf numFmtId="0" fontId="14" fillId="20" borderId="0" applyAlignment="1" pivotButton="0" quotePrefix="0" xfId="0">
      <alignment horizontal="left" vertical="center"/>
    </xf>
    <xf numFmtId="0" fontId="52" fillId="13" borderId="0" applyAlignment="1" pivotButton="0" quotePrefix="0" xfId="0">
      <alignment horizontal="left" vertical="top" wrapText="1" indent="1"/>
    </xf>
    <xf numFmtId="0" fontId="14" fillId="48" borderId="0" applyAlignment="1" pivotButton="0" quotePrefix="0" xfId="0">
      <alignment horizontal="left" vertical="center"/>
    </xf>
    <xf numFmtId="0" fontId="43" fillId="7" borderId="0" applyAlignment="1" pivotButton="0" quotePrefix="0" xfId="0">
      <alignment horizontal="left" vertical="top" wrapText="1" indent="1"/>
    </xf>
    <xf numFmtId="0" fontId="14" fillId="49" borderId="0" applyAlignment="1" pivotButton="0" quotePrefix="0" xfId="0">
      <alignment horizontal="left" vertical="center"/>
    </xf>
    <xf numFmtId="0" fontId="43" fillId="18" borderId="0" applyAlignment="1" pivotButton="0" quotePrefix="0" xfId="0">
      <alignment horizontal="left" vertical="top" wrapText="1" indent="1"/>
    </xf>
    <xf numFmtId="0" fontId="40" fillId="50" borderId="0" applyAlignment="1" pivotButton="0" quotePrefix="0" xfId="0">
      <alignment horizontal="left" vertical="center"/>
    </xf>
    <xf numFmtId="0" fontId="0" fillId="50" borderId="0" pivotButton="0" quotePrefix="0" xfId="0"/>
    <xf numFmtId="0" fontId="12" fillId="49" borderId="0" applyAlignment="1" pivotButton="0" quotePrefix="0" xfId="0">
      <alignment horizontal="left" vertical="center"/>
    </xf>
    <xf numFmtId="0" fontId="54" fillId="18" borderId="3" applyAlignment="1" pivotButton="0" quotePrefix="0" xfId="0">
      <alignment horizontal="center" vertical="center"/>
    </xf>
    <xf numFmtId="0" fontId="0" fillId="18" borderId="0" pivotButton="0" quotePrefix="0" xfId="0"/>
    <xf numFmtId="0" fontId="55" fillId="18" borderId="0" applyAlignment="1" pivotButton="0" quotePrefix="0" xfId="0">
      <alignment horizontal="left" vertical="center" indent="1"/>
    </xf>
    <xf numFmtId="166" fontId="56" fillId="14" borderId="0" applyAlignment="1" pivotButton="0" quotePrefix="0" xfId="0">
      <alignment horizontal="left" vertical="center"/>
    </xf>
    <xf numFmtId="0" fontId="20" fillId="14" borderId="0" applyAlignment="1" pivotButton="0" quotePrefix="0" xfId="0">
      <alignment horizontal="right" vertical="center"/>
    </xf>
    <xf numFmtId="0" fontId="57" fillId="5" borderId="2" applyAlignment="1" pivotButton="0" quotePrefix="0" xfId="0">
      <alignment horizontal="left" vertical="center" indent="1"/>
    </xf>
    <xf numFmtId="0" fontId="0" fillId="0" borderId="6" pivotButton="0" quotePrefix="0" xfId="0"/>
    <xf numFmtId="0" fontId="0" fillId="0" borderId="7" pivotButton="0" quotePrefix="0" xfId="0"/>
    <xf numFmtId="0" fontId="45" fillId="5" borderId="2" applyAlignment="1" pivotButton="0" quotePrefix="0" xfId="0">
      <alignment horizontal="center" vertical="center"/>
    </xf>
    <xf numFmtId="0" fontId="58" fillId="5" borderId="2" applyAlignment="1" pivotButton="0" quotePrefix="0" xfId="0">
      <alignment horizontal="left" vertical="bottom" indent="1"/>
    </xf>
    <xf numFmtId="0" fontId="59" fillId="5" borderId="2" applyAlignment="1" pivotButton="0" quotePrefix="0" xfId="0">
      <alignment horizontal="center" vertical="center"/>
    </xf>
    <xf numFmtId="0" fontId="30" fillId="50" borderId="0" applyAlignment="1" pivotButton="0" quotePrefix="0" xfId="0">
      <alignment horizontal="left" vertical="center"/>
    </xf>
    <xf numFmtId="0" fontId="30" fillId="51" borderId="0" applyAlignment="1" pivotButton="0" quotePrefix="0" xfId="0">
      <alignment horizontal="left" vertical="center"/>
    </xf>
    <xf numFmtId="0" fontId="30" fillId="48" borderId="0" applyAlignment="1" pivotButton="0" quotePrefix="0" xfId="0">
      <alignment horizontal="left" vertical="center"/>
    </xf>
    <xf numFmtId="0" fontId="0" fillId="43" borderId="0" pivotButton="0" quotePrefix="0" xfId="0"/>
    <xf numFmtId="0" fontId="30" fillId="23" borderId="0" applyAlignment="1" pivotButton="0" quotePrefix="0" xfId="0">
      <alignment horizontal="left" vertical="center"/>
    </xf>
    <xf numFmtId="168" fontId="60" fillId="52" borderId="0" applyAlignment="1" pivotButton="0" quotePrefix="0" xfId="0">
      <alignment horizontal="center" vertical="center"/>
    </xf>
    <xf numFmtId="0" fontId="61" fillId="52" borderId="0" applyAlignment="1" pivotButton="0" quotePrefix="0" xfId="0">
      <alignment horizontal="center" vertical="center"/>
    </xf>
    <xf numFmtId="0" fontId="0" fillId="52" borderId="0" pivotButton="0" quotePrefix="0" xfId="0"/>
    <xf numFmtId="0" fontId="15" fillId="4" borderId="0" applyAlignment="1" pivotButton="0" quotePrefix="0" xfId="0">
      <alignment horizontal="left" vertical="center" indent="1"/>
    </xf>
    <xf numFmtId="0" fontId="0" fillId="32" borderId="0" pivotButton="0" quotePrefix="0" xfId="0"/>
    <xf numFmtId="0" fontId="0" fillId="53" borderId="0" pivotButton="0" quotePrefix="0" xfId="0"/>
    <xf numFmtId="0" fontId="62" fillId="54" borderId="0" applyAlignment="1" pivotButton="0" quotePrefix="0" xfId="0">
      <alignment horizontal="left" vertical="center" wrapText="1" indent="1"/>
    </xf>
    <xf numFmtId="0" fontId="14" fillId="50" borderId="0" applyAlignment="1" pivotButton="0" quotePrefix="0" xfId="0">
      <alignment horizontal="left" vertical="center"/>
    </xf>
    <xf numFmtId="0" fontId="38" fillId="47" borderId="0" applyAlignment="1" pivotButton="0" quotePrefix="0" xfId="0">
      <alignment horizontal="left" vertical="top" wrapText="1" indent="1"/>
    </xf>
    <xf numFmtId="0" fontId="38" fillId="18" borderId="0" applyAlignment="1" pivotButton="0" quotePrefix="0" xfId="0">
      <alignment horizontal="left" vertical="top" wrapText="1" indent="1"/>
    </xf>
    <xf numFmtId="0" fontId="38" fillId="13" borderId="0" applyAlignment="1" pivotButton="0" quotePrefix="0" xfId="0">
      <alignment horizontal="left" vertical="top" wrapText="1" indent="1"/>
    </xf>
    <xf numFmtId="0" fontId="63" fillId="0" borderId="0" pivotButton="0" quotePrefix="0" xfId="0"/>
    <xf numFmtId="0" fontId="29" fillId="57" borderId="1" applyAlignment="1" pivotButton="0" quotePrefix="0" xfId="0">
      <alignment horizontal="center" vertical="center"/>
    </xf>
    <xf numFmtId="0" fontId="29" fillId="58" borderId="1" applyAlignment="1" pivotButton="0" quotePrefix="0" xfId="0">
      <alignment horizontal="center" vertical="center"/>
    </xf>
    <xf numFmtId="0" fontId="29" fillId="5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J5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" customWidth="1" min="2" max="2"/>
    <col width="32" customWidth="1" min="3" max="3"/>
    <col width="2" customWidth="1" min="4" max="4"/>
    <col width="32" customWidth="1" min="5" max="5"/>
    <col width="2" customWidth="1" min="6" max="6"/>
    <col width="32" customWidth="1" min="7" max="7"/>
    <col width="2" customWidth="1" min="8" max="8"/>
    <col width="32" customWidth="1" min="9" max="9"/>
    <col width="2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56" customHeight="1">
      <c r="A2" s="2" t="inlineStr">
        <is>
          <t xml:space="preserve">   🏢  COMPANY HEALTH &amp; RED-FLAG SCANNER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26" customHeight="1">
      <c r="A3" s="3" t="inlineStr">
        <is>
          <t xml:space="preserve">   Quantitative screening of 600 US-listed companies  ·  SEC EDGAR XBRL data  ·  5 bankruptcy models  ·  6 earnings-quality models  ·  80+ financial ratios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20" customHeight="1">
      <c r="A5" s="5" t="inlineStr">
        <is>
          <t xml:space="preserve">   600 companies  ·  Data as of July 2026</t>
        </is>
      </c>
      <c r="B5" s="1" t="n"/>
      <c r="C5" s="1" t="n"/>
      <c r="D5" s="1" t="n"/>
      <c r="E5" s="1" t="n"/>
      <c r="F5" s="1" t="n"/>
      <c r="G5" s="6" t="inlineStr">
        <is>
          <t xml:space="preserve">Auto-generated 2026-07-09 10:08   </t>
        </is>
      </c>
      <c r="H5" s="1" t="n"/>
      <c r="I5" s="1" t="n"/>
      <c r="J5" s="1" t="n"/>
    </row>
    <row r="6" ht="10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 ht="4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10" customHeight="1">
      <c r="A8" s="8" t="inlineStr"/>
      <c r="B8" s="9" t="inlineStr"/>
      <c r="C8" s="10" t="inlineStr"/>
      <c r="D8" s="9" t="inlineStr"/>
      <c r="E8" s="11" t="inlineStr"/>
      <c r="F8" s="9" t="inlineStr"/>
      <c r="G8" s="12" t="inlineStr"/>
      <c r="H8" s="9" t="inlineStr"/>
      <c r="I8" s="13" t="inlineStr"/>
    </row>
    <row r="9" ht="36" customHeight="1">
      <c r="A9" s="14" t="inlineStr">
        <is>
          <t>600</t>
        </is>
      </c>
      <c r="B9" s="9" t="inlineStr"/>
      <c r="C9" s="15" t="inlineStr">
        <is>
          <t>5</t>
        </is>
      </c>
      <c r="D9" s="9" t="inlineStr"/>
      <c r="E9" s="16" t="inlineStr">
        <is>
          <t>6</t>
        </is>
      </c>
      <c r="F9" s="9" t="inlineStr"/>
      <c r="G9" s="17" t="inlineStr">
        <is>
          <t>80+</t>
        </is>
      </c>
      <c r="H9" s="9" t="inlineStr"/>
      <c r="I9" s="18" t="inlineStr">
        <is>
          <t>45+</t>
        </is>
      </c>
    </row>
    <row r="10" ht="20" customHeight="1">
      <c r="A10" s="19" t="inlineStr">
        <is>
          <t>Companies Scanned</t>
        </is>
      </c>
      <c r="B10" s="9" t="inlineStr"/>
      <c r="C10" s="20" t="inlineStr">
        <is>
          <t>Bankruptcy Models</t>
        </is>
      </c>
      <c r="D10" s="9" t="inlineStr"/>
      <c r="E10" s="21" t="inlineStr">
        <is>
          <t>Earnings-Quality Models</t>
        </is>
      </c>
      <c r="F10" s="9" t="inlineStr"/>
      <c r="G10" s="22" t="inlineStr">
        <is>
          <t>Financial Ratios</t>
        </is>
      </c>
      <c r="H10" s="9" t="inlineStr"/>
      <c r="I10" s="23" t="inlineStr">
        <is>
          <t>Input Variables</t>
        </is>
      </c>
    </row>
    <row r="11" ht="6" customHeight="1">
      <c r="A11" s="8" t="inlineStr"/>
      <c r="B11" s="9" t="inlineStr"/>
      <c r="C11" s="10" t="inlineStr"/>
      <c r="D11" s="9" t="inlineStr"/>
      <c r="E11" s="11" t="inlineStr"/>
      <c r="F11" s="9" t="inlineStr"/>
      <c r="G11" s="12" t="inlineStr"/>
      <c r="H11" s="9" t="inlineStr"/>
      <c r="I11" s="13" t="inlineStr"/>
    </row>
    <row r="12" ht="1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4" customHeight="1">
      <c r="A13" s="24" t="inlineStr">
        <is>
          <t xml:space="preserve">   WHAT THIS WORKBOOK TESTS</t>
        </is>
      </c>
      <c r="J13" s="1" t="n"/>
    </row>
    <row r="14" ht="6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26" customHeight="1">
      <c r="A15" s="25" t="inlineStr">
        <is>
          <t xml:space="preserve">   TEST 1  —  SOLVENCY</t>
        </is>
      </c>
      <c r="G15" s="26" t="inlineStr">
        <is>
          <t xml:space="preserve">Altman Z-Score  ·  3 variants   </t>
        </is>
      </c>
    </row>
    <row r="16" ht="52" customHeight="1">
      <c r="A16" s="27" t="inlineStr">
        <is>
          <t xml:space="preserve">   Can the company pay its bills? Classifies each firm as Safe / Grey Zone / Distress using working capital, retained earnings, EBIT, equity value, and revenue. Three variants cover public, private, and non-manufacturing companies.</t>
        </is>
      </c>
    </row>
    <row r="17" ht="4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26" customHeight="1">
      <c r="A18" s="28" t="inlineStr">
        <is>
          <t xml:space="preserve">   TEST 2  —  FUNDAMENTALS</t>
        </is>
      </c>
      <c r="G18" s="29" t="inlineStr">
        <is>
          <t xml:space="preserve">Piotroski F-Score   </t>
        </is>
      </c>
    </row>
    <row r="19" ht="52" customHeight="1">
      <c r="A19" s="30" t="inlineStr">
        <is>
          <t xml:space="preserve">   Is the business actually getting stronger? Nine binary yes/no checks across profitability (ROA, CFO), leverage (debt trend, dilution), and efficiency (gross margin, asset turnover). Score 0-9: 7+ = strong, 3 or less = weak.</t>
        </is>
      </c>
    </row>
    <row r="20" ht="4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 ht="26" customHeight="1">
      <c r="A21" s="31" t="inlineStr">
        <is>
          <t xml:space="preserve">   TEST 3  —  EARNINGS QUALITY</t>
        </is>
      </c>
      <c r="G21" s="32" t="inlineStr">
        <is>
          <t xml:space="preserve">Beneish M  ·  Dechow F  ·  Sloan Accrual   </t>
        </is>
      </c>
    </row>
    <row r="22" ht="52" customHeight="1">
      <c r="A22" s="33" t="inlineStr">
        <is>
          <t xml:space="preserve">   Are the numbers real? Beneish uses 8 accounting indices to flag manipulation. Dechow estimates SEC enforcement probability. Sloan measures accrual quality — high accruals predict future earnings disappointments.</t>
        </is>
      </c>
    </row>
    <row r="23" ht="4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26" customHeight="1">
      <c r="A24" s="34" t="inlineStr">
        <is>
          <t xml:space="preserve">   TEST 4  —  CREATIVE ACCOUNTING</t>
        </is>
      </c>
      <c r="G24" s="35" t="inlineStr">
        <is>
          <t xml:space="preserve">Montier C-Score  ·  Lev &amp; Thiagarajan   </t>
        </is>
      </c>
    </row>
    <row r="25" ht="52" customHeight="1">
      <c r="A25" s="36" t="inlineStr">
        <is>
          <t xml:space="preserve">   Six binary flags (NI vs CFO gap, DSO/DIO/DPO trends, D&amp;A ratio, asset bloat) plus six fundamental quality signals. Catches companies managing expectations through accounting choices rather than genuine improvement.</t>
        </is>
      </c>
    </row>
    <row r="26" ht="4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26" customHeight="1">
      <c r="A27" s="37" t="inlineStr">
        <is>
          <t xml:space="preserve">   TEST 5  —  REVENUE QUALITY</t>
        </is>
      </c>
      <c r="G27" s="38" t="inlineStr">
        <is>
          <t xml:space="preserve">Revenue Quality Index (RQI)   </t>
        </is>
      </c>
    </row>
    <row r="28" ht="52" customHeight="1">
      <c r="A28" s="39" t="inlineStr">
        <is>
          <t xml:space="preserve">   Is revenue actually turning into cash? Tracks receivables growth vs revenue growth, cash collection rate, and deferred revenue trends. High score = cash-backed. Low score = paper profits at risk of reversal.</t>
        </is>
      </c>
    </row>
    <row r="29" ht="4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 ht="24" customHeight="1">
      <c r="A31" s="24" t="inlineStr">
        <is>
          <t xml:space="preserve">   WORKBOOK NAVIGATION</t>
        </is>
      </c>
      <c r="J31" s="1" t="n"/>
    </row>
    <row r="32" ht="6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 ht="24" customHeight="1">
      <c r="A33" s="40" t="inlineStr">
        <is>
          <t xml:space="preserve">   Inputs</t>
        </is>
      </c>
      <c r="B33" s="41" t="inlineStr">
        <is>
          <t xml:space="preserve">   Raw SEC EDGAR financial data for all 600 companies · 77 input fields per company</t>
        </is>
      </c>
    </row>
    <row r="34" ht="2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</row>
    <row r="35" ht="24" customHeight="1">
      <c r="A35" s="40" t="inlineStr">
        <is>
          <t xml:space="preserve">   Ratios_Scores</t>
        </is>
      </c>
      <c r="B35" s="41" t="inlineStr">
        <is>
          <t xml:space="preserve">   5 bankruptcy models + 80+ computed ratios: Z68, Z', Z'', Springate, Zmijewski, Piotroski</t>
        </is>
      </c>
    </row>
    <row r="36" ht="2" customHeight="1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</row>
    <row r="37" hidden="1" ht="24" customHeight="1">
      <c r="A37" s="43" t="inlineStr">
        <is>
          <t xml:space="preserve">   Fraud_Detection</t>
        </is>
      </c>
      <c r="B37" s="41" t="inlineStr">
        <is>
          <t xml:space="preserve">   6 fraud models: Beneish M, Dechow F, Montier C, Sloan Accrual, LT Signals, Revenue Quality</t>
        </is>
      </c>
    </row>
    <row r="38" ht="2" customHeight="1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</row>
    <row r="39" ht="24" customHeight="1">
      <c r="A39" s="44" t="inlineStr">
        <is>
          <t xml:space="preserve">   Industry_Benchmarks</t>
        </is>
      </c>
      <c r="B39" s="41" t="inlineStr">
        <is>
          <t xml:space="preserve">   Sector peer medians for 11 GICS sectors — colour-coded vs Damodaran / FactSet standards</t>
        </is>
      </c>
    </row>
    <row r="40" ht="2" customHeight="1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</row>
    <row r="41" ht="24" customHeight="1">
      <c r="A41" s="45" t="inlineStr">
        <is>
          <t xml:space="preserve">   Summary_Rank</t>
        </is>
      </c>
      <c r="B41" s="41" t="inlineStr">
        <is>
          <t xml:space="preserve">   All 600 companies ranked by composite Health Score with every model flag in one view</t>
        </is>
      </c>
    </row>
    <row r="42" ht="2" customHeight="1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</row>
    <row r="43" ht="24" customHeight="1">
      <c r="A43" s="46" t="inlineStr">
        <is>
          <t xml:space="preserve">   Company_Card</t>
        </is>
      </c>
      <c r="B43" s="41" t="inlineStr">
        <is>
          <t xml:space="preserve">   Single-company deep-dive: dropdown selects any of 600 tickers · live ratios · automated analysis</t>
        </is>
      </c>
    </row>
    <row r="44" ht="2" customHeight="1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</row>
    <row r="45" hidden="1" ht="24" customHeight="1">
      <c r="A45" s="43" t="inlineStr">
        <is>
          <t xml:space="preserve">   Fraud_Card</t>
        </is>
      </c>
      <c r="B45" s="41" t="inlineStr">
        <is>
          <t xml:space="preserve">   Fraud-focused card: all 6 model components · sector caveats · investigation guide</t>
        </is>
      </c>
    </row>
    <row r="46" ht="2" customHeight="1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</row>
    <row r="47" ht="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 ht="22" customHeight="1">
      <c r="A48" s="47" t="inlineStr">
        <is>
          <t xml:space="preserve">   DISCLAIMER</t>
        </is>
      </c>
      <c r="J48" s="48" t="n"/>
    </row>
    <row r="49" ht="18" customHeight="1">
      <c r="A49" s="49" t="inlineStr">
        <is>
          <t xml:space="preserve">   For analytical screening only — not investment advice. Past model performance does not guarantee future results.</t>
        </is>
      </c>
      <c r="J49" s="7" t="n"/>
    </row>
    <row r="50" ht="18" customHeight="1">
      <c r="A50" s="49" t="inlineStr">
        <is>
          <t xml:space="preserve">   All financial data from most recent 10-K filings via SEC EDGAR XBRL. Accuracy depends on company disclosures.</t>
        </is>
      </c>
      <c r="J50" s="7" t="n"/>
    </row>
    <row r="51" ht="18" customHeight="1">
      <c r="A51" s="49" t="inlineStr">
        <is>
          <t xml:space="preserve">   Quantitative models have known limitations. N/A values indicate metrics structurally inapplicable to that sector.</t>
        </is>
      </c>
      <c r="J51" s="7" t="n"/>
    </row>
    <row r="52" ht="6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</row>
    <row r="53" ht="20" customHeight="1">
      <c r="A53" s="50" t="inlineStr">
        <is>
          <t xml:space="preserve">   © 2026  ·  Auto-generated 2026-07-09 10:08  ·  Source: SEC EDGAR via company_scanner.py</t>
        </is>
      </c>
      <c r="J53" s="1" t="n"/>
    </row>
  </sheetData>
  <mergeCells count="33">
    <mergeCell ref="A25:I25"/>
    <mergeCell ref="A27:F27"/>
    <mergeCell ref="G18:I18"/>
    <mergeCell ref="A3:I3"/>
    <mergeCell ref="A18:F18"/>
    <mergeCell ref="A21:F21"/>
    <mergeCell ref="A50:I50"/>
    <mergeCell ref="G15:I15"/>
    <mergeCell ref="B43:I43"/>
    <mergeCell ref="G24:I24"/>
    <mergeCell ref="A2:I2"/>
    <mergeCell ref="B39:I39"/>
    <mergeCell ref="G5:I5"/>
    <mergeCell ref="A22:I22"/>
    <mergeCell ref="A53:I53"/>
    <mergeCell ref="A19:I19"/>
    <mergeCell ref="A28:I28"/>
    <mergeCell ref="A13:I13"/>
    <mergeCell ref="A5:E5"/>
    <mergeCell ref="A31:I31"/>
    <mergeCell ref="B37:I37"/>
    <mergeCell ref="G21:I21"/>
    <mergeCell ref="A48:I48"/>
    <mergeCell ref="A15:F15"/>
    <mergeCell ref="A24:F24"/>
    <mergeCell ref="A49:I49"/>
    <mergeCell ref="A51:I51"/>
    <mergeCell ref="G27:I27"/>
    <mergeCell ref="B33:I33"/>
    <mergeCell ref="B45:I45"/>
    <mergeCell ref="B41:I41"/>
    <mergeCell ref="B35:I35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N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4" customHeight="1">
      <c r="A1" s="51" t="inlineStr">
        <is>
          <t xml:space="preserve">  📊  INDUSTRY BENCHMARK REFERENCE — GICS Sectors (2023-2024 Medians)</t>
        </is>
      </c>
    </row>
    <row r="2" ht="12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0" customHeight="1">
      <c r="A3" s="52" t="inlineStr">
        <is>
          <t xml:space="preserve">  Legend:</t>
        </is>
      </c>
      <c r="B3" s="53" t="inlineStr">
        <is>
          <t xml:space="preserve">  🟢 GOOD</t>
        </is>
      </c>
      <c r="C3" s="54" t="inlineStr">
        <is>
          <t xml:space="preserve">  📊 MEDIAN</t>
        </is>
      </c>
      <c r="D3" s="55" t="inlineStr">
        <is>
          <t xml:space="preserve">  🔴 POOR</t>
        </is>
      </c>
      <c r="E3" s="56" t="inlineStr">
        <is>
          <t xml:space="preserve">  N/A = Metric not applicable for this sector  |  Source: Damodaran NYU, S&amp;P Capital IQ, FactSet 2023-24</t>
        </is>
      </c>
    </row>
    <row r="4" ht="32" customHeight="1">
      <c r="A4" s="57" t="inlineStr">
        <is>
          <t xml:space="preserve">  Metric</t>
        </is>
      </c>
      <c r="B4" s="58" t="inlineStr">
        <is>
          <t>Info Tech</t>
        </is>
      </c>
      <c r="C4" s="59" t="inlineStr">
        <is>
          <t>Health Care</t>
        </is>
      </c>
      <c r="D4" s="60" t="inlineStr">
        <is>
          <t>Financials</t>
        </is>
      </c>
      <c r="E4" s="61" t="inlineStr">
        <is>
          <t>Cons. Disc.</t>
        </is>
      </c>
      <c r="F4" s="62" t="inlineStr">
        <is>
          <t>Cons. Staples</t>
        </is>
      </c>
      <c r="G4" s="63" t="inlineStr">
        <is>
          <t>Energy</t>
        </is>
      </c>
      <c r="H4" s="64" t="inlineStr">
        <is>
          <t>Industrials</t>
        </is>
      </c>
      <c r="I4" s="65" t="inlineStr">
        <is>
          <t>Materials</t>
        </is>
      </c>
      <c r="J4" s="66" t="inlineStr">
        <is>
          <t>Real Estate</t>
        </is>
      </c>
      <c r="K4" s="67" t="inlineStr">
        <is>
          <t>Utilities</t>
        </is>
      </c>
      <c r="L4" s="68" t="inlineStr">
        <is>
          <t>Comm. Svcs</t>
        </is>
      </c>
    </row>
    <row r="5" ht="22" customHeight="1">
      <c r="A5" s="69" t="inlineStr">
        <is>
          <t xml:space="preserve">  † For Financials sector, bank-specific metrics replace inapplicable ones:  Gross Margin→Net Interest Margin  |  Current Ratio→Tier 1 Capital  |  ND/EBITDA→Loan-to-Deposit Ratio  |  Int.Coverage→Efficiency Ratio  |  DSO→NPL Ratio  |  DIO→Provision Coverage  |  CFO/NI→Payout Ratio  ↓ = lower is better for that metric in the Financials column</t>
        </is>
      </c>
    </row>
    <row r="6" ht="18" customHeight="1">
      <c r="A6" s="70" t="inlineStr">
        <is>
          <t xml:space="preserve">  ─── PROFITABILITY ───</t>
        </is>
      </c>
    </row>
    <row r="7" ht="18" customHeight="1">
      <c r="A7" s="71" t="inlineStr">
        <is>
          <t xml:space="preserve">  EBIT Margin</t>
        </is>
      </c>
      <c r="B7" s="72" t="inlineStr">
        <is>
          <t>🟢20% / 10% / 🔴5%</t>
        </is>
      </c>
      <c r="C7" s="72" t="inlineStr">
        <is>
          <t>🟢18% / 10% / 🔴3%</t>
        </is>
      </c>
      <c r="D7" s="72" t="inlineStr">
        <is>
          <t>🟢35% / 25% / 🔴10%</t>
        </is>
      </c>
      <c r="E7" s="72" t="inlineStr">
        <is>
          <t>🟢15% / 8% / 🔴3%</t>
        </is>
      </c>
      <c r="F7" s="72" t="inlineStr">
        <is>
          <t>🟢18% / 12% / 🔴6%</t>
        </is>
      </c>
      <c r="G7" s="72" t="inlineStr">
        <is>
          <t>🟢20% / 12% / 🔴4%</t>
        </is>
      </c>
      <c r="H7" s="72" t="inlineStr">
        <is>
          <t>🟢15% / 10% / 🔴5%</t>
        </is>
      </c>
      <c r="I7" s="72" t="inlineStr">
        <is>
          <t>🟢18% / 12% / 🔴5%</t>
        </is>
      </c>
      <c r="J7" s="72" t="inlineStr">
        <is>
          <t>🟢45% / 35% / 🔴20%</t>
        </is>
      </c>
      <c r="K7" s="72" t="inlineStr">
        <is>
          <t>🟢25% / 18% / 🔴10%</t>
        </is>
      </c>
      <c r="L7" s="72" t="inlineStr">
        <is>
          <t>🟢20% / 12% / 🔴4%</t>
        </is>
      </c>
    </row>
    <row r="8" ht="18" customHeight="1">
      <c r="A8" s="71" t="inlineStr">
        <is>
          <t xml:space="preserve">  Net Margin</t>
        </is>
      </c>
      <c r="B8" s="73" t="inlineStr">
        <is>
          <t>🟢18% / 10% / 🔴3%</t>
        </is>
      </c>
      <c r="C8" s="73" t="inlineStr">
        <is>
          <t>🟢15% / 8% / 🔴2%</t>
        </is>
      </c>
      <c r="D8" s="73" t="inlineStr">
        <is>
          <t>🟢25% / 15% / 🔴5%</t>
        </is>
      </c>
      <c r="E8" s="73" t="inlineStr">
        <is>
          <t>🟢10% / 6% / 🔴2%</t>
        </is>
      </c>
      <c r="F8" s="73" t="inlineStr">
        <is>
          <t>🟢12% / 8% / 🔴4%</t>
        </is>
      </c>
      <c r="G8" s="73" t="inlineStr">
        <is>
          <t>🟢15% / 8% / 🔴2%</t>
        </is>
      </c>
      <c r="H8" s="73" t="inlineStr">
        <is>
          <t>🟢10% / 7% / 🔴3%</t>
        </is>
      </c>
      <c r="I8" s="73" t="inlineStr">
        <is>
          <t>🟢12% / 8% / 🔴2%</t>
        </is>
      </c>
      <c r="J8" s="73" t="inlineStr">
        <is>
          <t>🟢25% / 15% / 🔴5%</t>
        </is>
      </c>
      <c r="K8" s="73" t="inlineStr">
        <is>
          <t>🟢15% / 10% / 🔴5%</t>
        </is>
      </c>
      <c r="L8" s="73" t="inlineStr">
        <is>
          <t>🟢15% / 8% / 🔴2%</t>
        </is>
      </c>
    </row>
    <row r="9" ht="18" customHeight="1">
      <c r="A9" s="71" t="inlineStr">
        <is>
          <t xml:space="preserve">  Gross Margin  (†Fin: NIM | †RE: NOI Margin | †Util: Op Margin)</t>
        </is>
      </c>
      <c r="B9" s="72" t="inlineStr">
        <is>
          <t>🟢55% / 40% / 🔴25%</t>
        </is>
      </c>
      <c r="C9" s="72" t="inlineStr">
        <is>
          <t>🟢60% / 45% / 🔴30%</t>
        </is>
      </c>
      <c r="D9" s="72" t="inlineStr">
        <is>
          <t>🟢3% / 2% / 🔴2%</t>
        </is>
      </c>
      <c r="E9" s="72" t="inlineStr">
        <is>
          <t>🟢45% / 35% / 🔴20%</t>
        </is>
      </c>
      <c r="F9" s="72" t="inlineStr">
        <is>
          <t>🟢45% / 35% / 🔴25%</t>
        </is>
      </c>
      <c r="G9" s="72" t="inlineStr">
        <is>
          <t>🟢35% / 25% / 🔴12%</t>
        </is>
      </c>
      <c r="H9" s="72" t="inlineStr">
        <is>
          <t>🟢40% / 30% / 🔴18%</t>
        </is>
      </c>
      <c r="I9" s="72" t="inlineStr">
        <is>
          <t>🟢35% / 25% / 🔴12%</t>
        </is>
      </c>
      <c r="J9" s="72" t="inlineStr">
        <is>
          <t>🟢65% / 50% / 🔴35%</t>
        </is>
      </c>
      <c r="K9" s="72" t="inlineStr">
        <is>
          <t>🟢45% / 35% / 🔴22%</t>
        </is>
      </c>
      <c r="L9" s="72" t="inlineStr">
        <is>
          <t>🟢55% / 40% / 🔴25%</t>
        </is>
      </c>
    </row>
    <row r="10" ht="18" customHeight="1">
      <c r="A10" s="71" t="inlineStr">
        <is>
          <t xml:space="preserve">  ROE</t>
        </is>
      </c>
      <c r="B10" s="73" t="inlineStr">
        <is>
          <t>🟢20% / 12% / 🔴5%</t>
        </is>
      </c>
      <c r="C10" s="73" t="inlineStr">
        <is>
          <t>🟢18% / 12% / 🔴5%</t>
        </is>
      </c>
      <c r="D10" s="73" t="inlineStr">
        <is>
          <t>🟢15% / 10% / 🔴5%</t>
        </is>
      </c>
      <c r="E10" s="73" t="inlineStr">
        <is>
          <t>🟢20% / 15% / 🔴8%</t>
        </is>
      </c>
      <c r="F10" s="73" t="inlineStr">
        <is>
          <t>🟢25% / 18% / 🔴10%</t>
        </is>
      </c>
      <c r="G10" s="73" t="inlineStr">
        <is>
          <t>🟢15% / 10% / 🔴3%</t>
        </is>
      </c>
      <c r="H10" s="73" t="inlineStr">
        <is>
          <t>🟢18% / 12% / 🔴6%</t>
        </is>
      </c>
      <c r="I10" s="73" t="inlineStr">
        <is>
          <t>🟢15% / 10% / 🔴4%</t>
        </is>
      </c>
      <c r="J10" s="73" t="inlineStr">
        <is>
          <t>🟢10% / 7% / 🔴3%</t>
        </is>
      </c>
      <c r="K10" s="73" t="inlineStr">
        <is>
          <t>🟢12% / 9% / 🔴5%</t>
        </is>
      </c>
      <c r="L10" s="73" t="inlineStr">
        <is>
          <t>🟢18% / 12% / 🔴5%</t>
        </is>
      </c>
    </row>
    <row r="11" ht="18" customHeight="1">
      <c r="A11" s="71" t="inlineStr">
        <is>
          <t xml:space="preserve">  ROA</t>
        </is>
      </c>
      <c r="B11" s="72" t="inlineStr">
        <is>
          <t>🟢10% / 6% / 🔴2%</t>
        </is>
      </c>
      <c r="C11" s="72" t="inlineStr">
        <is>
          <t>🟢8% / 5% / 🔴1%</t>
        </is>
      </c>
      <c r="D11" s="72" t="inlineStr">
        <is>
          <t>🟢2% / 1% / 🔴0%</t>
        </is>
      </c>
      <c r="E11" s="72" t="inlineStr">
        <is>
          <t>🟢10% / 6% / 🔴2%</t>
        </is>
      </c>
      <c r="F11" s="72" t="inlineStr">
        <is>
          <t>🟢10% / 7% / 🔴3%</t>
        </is>
      </c>
      <c r="G11" s="72" t="inlineStr">
        <is>
          <t>🟢8% / 5% / 🔴1%</t>
        </is>
      </c>
      <c r="H11" s="72" t="inlineStr">
        <is>
          <t>🟢8% / 5% / 🔴2%</t>
        </is>
      </c>
      <c r="I11" s="72" t="inlineStr">
        <is>
          <t>🟢7% / 4% / 🔴1%</t>
        </is>
      </c>
      <c r="J11" s="72" t="inlineStr">
        <is>
          <t>🟢5% / 3% / 🔴1%</t>
        </is>
      </c>
      <c r="K11" s="72" t="inlineStr">
        <is>
          <t>🟢4% / 3% / 🔴1%</t>
        </is>
      </c>
      <c r="L11" s="72" t="inlineStr">
        <is>
          <t>🟢8% / 5% / 🔴1%</t>
        </is>
      </c>
    </row>
    <row r="12" ht="18" customHeight="1">
      <c r="A12" s="70" t="inlineStr">
        <is>
          <t xml:space="preserve">  ─── GROWTH ───</t>
        </is>
      </c>
    </row>
    <row r="13" ht="18" customHeight="1">
      <c r="A13" s="71" t="inlineStr">
        <is>
          <t xml:space="preserve">  Revenue Growth (Med)</t>
        </is>
      </c>
      <c r="B13" s="72" t="inlineStr">
        <is>
          <t>🟢15% / 8% / 🔴0%</t>
        </is>
      </c>
      <c r="C13" s="72" t="inlineStr">
        <is>
          <t>🟢10% / 6% / 🔴0%</t>
        </is>
      </c>
      <c r="D13" s="72" t="inlineStr">
        <is>
          <t>🟢8% / 4% / 🔴0%</t>
        </is>
      </c>
      <c r="E13" s="72" t="inlineStr">
        <is>
          <t>🟢8% / 4% / 🔴-2%</t>
        </is>
      </c>
      <c r="F13" s="72" t="inlineStr">
        <is>
          <t>🟢5% / 2% / 🔴-2%</t>
        </is>
      </c>
      <c r="G13" s="72" t="inlineStr">
        <is>
          <t>🟢10% / 2% / 🔴-10%</t>
        </is>
      </c>
      <c r="H13" s="72" t="inlineStr">
        <is>
          <t>🟢8% / 4% / 🔴-2%</t>
        </is>
      </c>
      <c r="I13" s="72" t="inlineStr">
        <is>
          <t>🟢6% / 2% / 🔴-5%</t>
        </is>
      </c>
      <c r="J13" s="72" t="inlineStr">
        <is>
          <t>🟢6% / 3% / 🔴0%</t>
        </is>
      </c>
      <c r="K13" s="72" t="inlineStr">
        <is>
          <t>🟢4% / 2% / 🔴0%</t>
        </is>
      </c>
      <c r="L13" s="72" t="inlineStr">
        <is>
          <t>🟢10% / 5% / 🔴-2%</t>
        </is>
      </c>
    </row>
    <row r="14" ht="18" customHeight="1">
      <c r="A14" s="71" t="inlineStr">
        <is>
          <t xml:space="preserve">  FCF Margin</t>
        </is>
      </c>
      <c r="B14" s="73" t="inlineStr">
        <is>
          <t>🟢15% / 8% / 🔴2%</t>
        </is>
      </c>
      <c r="C14" s="73" t="inlineStr">
        <is>
          <t>🟢12% / 7% / 🔴1%</t>
        </is>
      </c>
      <c r="D14" s="73" t="inlineStr">
        <is>
          <t>🟢20% / 12% / 🔴5%</t>
        </is>
      </c>
      <c r="E14" s="73" t="inlineStr">
        <is>
          <t>🟢8% / 4% / 🔴1%</t>
        </is>
      </c>
      <c r="F14" s="73" t="inlineStr">
        <is>
          <t>🟢8% / 5% / 🔴2%</t>
        </is>
      </c>
      <c r="G14" s="73" t="inlineStr">
        <is>
          <t>🟢12% / 7% / 🔴1%</t>
        </is>
      </c>
      <c r="H14" s="73" t="inlineStr">
        <is>
          <t>🟢8% / 5% / 🔴1%</t>
        </is>
      </c>
      <c r="I14" s="73" t="inlineStr">
        <is>
          <t>🟢8% / 4% / 🔴1%</t>
        </is>
      </c>
      <c r="J14" s="73" t="inlineStr">
        <is>
          <t>🟢30% / 20% / 🔴10%</t>
        </is>
      </c>
      <c r="K14" s="73" t="inlineStr">
        <is>
          <t>🟢5% / 2% / 🔴-2%</t>
        </is>
      </c>
      <c r="L14" s="73" t="inlineStr">
        <is>
          <t>🟢12% / 7% / 🔴1%</t>
        </is>
      </c>
    </row>
    <row r="15" ht="18" customHeight="1">
      <c r="A15" s="70" t="inlineStr">
        <is>
          <t xml:space="preserve">  ─── FINANCIAL HEALTH ───</t>
        </is>
      </c>
    </row>
    <row r="16" ht="18" customHeight="1">
      <c r="A16" s="71" t="inlineStr">
        <is>
          <t xml:space="preserve">  Current Ratio  (†Fin: Tier 1 Capital | †RE: DSCR ↑)</t>
        </is>
      </c>
      <c r="B16" s="73" t="inlineStr">
        <is>
          <t>🟢250% / 150% / 🔴100%</t>
        </is>
      </c>
      <c r="C16" s="73" t="inlineStr">
        <is>
          <t>🟢200% / 150% / 🔴100%</t>
        </is>
      </c>
      <c r="D16" s="73" t="inlineStr">
        <is>
          <t>🟢13% / 10% / 🔴8%</t>
        </is>
      </c>
      <c r="E16" s="73" t="inlineStr">
        <is>
          <t>🟢180% / 130% / 🔴90%</t>
        </is>
      </c>
      <c r="F16" s="73" t="inlineStr">
        <is>
          <t>🟢150% / 110% / 🔴80%</t>
        </is>
      </c>
      <c r="G16" s="73" t="inlineStr">
        <is>
          <t>🟢150% / 110% / 🔴80%</t>
        </is>
      </c>
      <c r="H16" s="73" t="inlineStr">
        <is>
          <t>🟢180% / 140% / 🔴100%</t>
        </is>
      </c>
      <c r="I16" s="73" t="inlineStr">
        <is>
          <t>🟢180% / 140% / 🔴100%</t>
        </is>
      </c>
      <c r="J16" s="73" t="inlineStr">
        <is>
          <t>🟢200% / 150% / 🔴125%</t>
        </is>
      </c>
      <c r="K16" s="73" t="inlineStr">
        <is>
          <t>🟢100% / 80% / 🔴50%</t>
        </is>
      </c>
      <c r="L16" s="73" t="inlineStr">
        <is>
          <t>🟢150% / 110% / 🔴70%</t>
        </is>
      </c>
    </row>
    <row r="17" ht="18" customHeight="1">
      <c r="A17" s="71" t="inlineStr">
        <is>
          <t xml:space="preserve">  Leverage (TL/TA)</t>
        </is>
      </c>
      <c r="B17" s="72" t="inlineStr">
        <is>
          <t>🟢30% / 45% / 🔴65%</t>
        </is>
      </c>
      <c r="C17" s="72" t="inlineStr">
        <is>
          <t>🟢35% / 50% / 🔴70%</t>
        </is>
      </c>
      <c r="D17" s="72" t="inlineStr">
        <is>
          <t>🟢85% / 90% / 🔴95%</t>
        </is>
      </c>
      <c r="E17" s="72" t="inlineStr">
        <is>
          <t>🟢40% / 55% / 🔴75%</t>
        </is>
      </c>
      <c r="F17" s="72" t="inlineStr">
        <is>
          <t>🟢45% / 55% / 🔴70%</t>
        </is>
      </c>
      <c r="G17" s="72" t="inlineStr">
        <is>
          <t>🟢40% / 55% / 🔴70%</t>
        </is>
      </c>
      <c r="H17" s="72" t="inlineStr">
        <is>
          <t>🟢40% / 55% / 🔴70%</t>
        </is>
      </c>
      <c r="I17" s="72" t="inlineStr">
        <is>
          <t>🟢40% / 55% / 🔴70%</t>
        </is>
      </c>
      <c r="J17" s="72" t="inlineStr">
        <is>
          <t>🟢45% / 55% / 🔴70%</t>
        </is>
      </c>
      <c r="K17" s="72" t="inlineStr">
        <is>
          <t>🟢55% / 65% / 🔴75%</t>
        </is>
      </c>
      <c r="L17" s="72" t="inlineStr">
        <is>
          <t>🟢40% / 55% / 🔴70%</t>
        </is>
      </c>
    </row>
    <row r="18" ht="18" customHeight="1">
      <c r="A18" s="71" t="inlineStr">
        <is>
          <t xml:space="preserve">  Net Debt / EBITDA  (†Financials: Loan-to-Deposit Ratio ↓)</t>
        </is>
      </c>
      <c r="B18" s="73" t="inlineStr">
        <is>
          <t>🟢50% / 150% / 🔴300%</t>
        </is>
      </c>
      <c r="C18" s="73" t="inlineStr">
        <is>
          <t>🟢100% / 250% / 🔴450%</t>
        </is>
      </c>
      <c r="D18" s="73" t="inlineStr">
        <is>
          <t>🟢75% / 90% / 🔴110%</t>
        </is>
      </c>
      <c r="E18" s="73" t="inlineStr">
        <is>
          <t>🟢100% / 250% / 🔴450%</t>
        </is>
      </c>
      <c r="F18" s="73" t="inlineStr">
        <is>
          <t>🟢150% / 300% / 🔴500%</t>
        </is>
      </c>
      <c r="G18" s="73" t="inlineStr">
        <is>
          <t>🟢50% / 150% / 🔴300%</t>
        </is>
      </c>
      <c r="H18" s="73" t="inlineStr">
        <is>
          <t>🟢100% / 250% / 🔴400%</t>
        </is>
      </c>
      <c r="I18" s="73" t="inlineStr">
        <is>
          <t>🟢100% / 250% / 🔴450%</t>
        </is>
      </c>
      <c r="J18" s="73" t="inlineStr">
        <is>
          <t>🟢400% / 6.0x / 🔴9.0x</t>
        </is>
      </c>
      <c r="K18" s="73" t="inlineStr">
        <is>
          <t>🟢300% / 500% / 🔴7.0x</t>
        </is>
      </c>
      <c r="L18" s="73" t="inlineStr">
        <is>
          <t>🟢150% / 300% / 🔴500%</t>
        </is>
      </c>
    </row>
    <row r="19" ht="18" customHeight="1">
      <c r="A19" s="71" t="inlineStr">
        <is>
          <t xml:space="preserve">  Interest Coverage  (†Financials: Efficiency Ratio ↓ better)</t>
        </is>
      </c>
      <c r="B19" s="72" t="inlineStr">
        <is>
          <t>🟢15.0x / 8.0x / 🔴300%</t>
        </is>
      </c>
      <c r="C19" s="72" t="inlineStr">
        <is>
          <t>🟢10.0x / 6.0x / 🔴250%</t>
        </is>
      </c>
      <c r="D19" s="72" t="inlineStr">
        <is>
          <t>🟢50% / 60% / 🔴70%</t>
        </is>
      </c>
      <c r="E19" s="72" t="inlineStr">
        <is>
          <t>🟢8.0x / 500% / 🔴200%</t>
        </is>
      </c>
      <c r="F19" s="72" t="inlineStr">
        <is>
          <t>🟢8.0x / 500% / 🔴250%</t>
        </is>
      </c>
      <c r="G19" s="72" t="inlineStr">
        <is>
          <t>🟢8.0x / 500% / 🔴200%</t>
        </is>
      </c>
      <c r="H19" s="72" t="inlineStr">
        <is>
          <t>🟢8.0x / 500% / 🔴250%</t>
        </is>
      </c>
      <c r="I19" s="72" t="inlineStr">
        <is>
          <t>🟢7.0x / 400% / 🔴200%</t>
        </is>
      </c>
      <c r="J19" s="72" t="inlineStr">
        <is>
          <t>🟢400% / 250% / 🔴150%</t>
        </is>
      </c>
      <c r="K19" s="72" t="inlineStr">
        <is>
          <t>🟢400% / 250% / 🔴150%</t>
        </is>
      </c>
      <c r="L19" s="72" t="inlineStr">
        <is>
          <t>🟢8.0x / 400% / 🔴200%</t>
        </is>
      </c>
    </row>
    <row r="20" ht="18" customHeight="1">
      <c r="A20" s="70" t="inlineStr">
        <is>
          <t xml:space="preserve">  ─── QUALITY / WORKING CAPITAL ───</t>
        </is>
      </c>
    </row>
    <row r="21" ht="18" customHeight="1">
      <c r="A21" s="71" t="inlineStr">
        <is>
          <t xml:space="preserve">  CFO / Net Income  (†Financials: Payout Ratio ↓ better)</t>
        </is>
      </c>
      <c r="B21" s="72" t="inlineStr">
        <is>
          <t>🟢110% / 85% / 🔴60%</t>
        </is>
      </c>
      <c r="C21" s="72" t="inlineStr">
        <is>
          <t>🟢110% / 85% / 🔴60%</t>
        </is>
      </c>
      <c r="D21" s="72" t="inlineStr">
        <is>
          <t>🟢40% / 55% / 🔴70%</t>
        </is>
      </c>
      <c r="E21" s="72" t="inlineStr">
        <is>
          <t>🟢110% / 85% / 🔴60%</t>
        </is>
      </c>
      <c r="F21" s="72" t="inlineStr">
        <is>
          <t>🟢110% / 90% / 🔴70%</t>
        </is>
      </c>
      <c r="G21" s="72" t="inlineStr">
        <is>
          <t>🟢130% / 100% / 🔴70%</t>
        </is>
      </c>
      <c r="H21" s="72" t="inlineStr">
        <is>
          <t>🟢110% / 85% / 🔴65%</t>
        </is>
      </c>
      <c r="I21" s="72" t="inlineStr">
        <is>
          <t>🟢110% / 85% / 🔴65%</t>
        </is>
      </c>
      <c r="J21" s="72" t="inlineStr">
        <is>
          <t>🟢200% / 150% / 🔴100%</t>
        </is>
      </c>
      <c r="K21" s="72" t="inlineStr">
        <is>
          <t>🟢150% / 120% / 🔴90%</t>
        </is>
      </c>
      <c r="L21" s="72" t="inlineStr">
        <is>
          <t>🟢120% / 90% / 🔴65%</t>
        </is>
      </c>
    </row>
    <row r="22" ht="18" customHeight="1">
      <c r="A22" s="71" t="inlineStr">
        <is>
          <t xml:space="preserve">  DSO — days  (†Fin: NPL Ratio | †RE: Occupancy Rate ↑)</t>
        </is>
      </c>
      <c r="B22" s="73" t="inlineStr">
        <is>
          <t>🟢5000% / 6500% / 🔴9000%</t>
        </is>
      </c>
      <c r="C22" s="73" t="inlineStr">
        <is>
          <t>🟢4500% / 6000% / 🔴9000%</t>
        </is>
      </c>
      <c r="D22" s="73" t="inlineStr">
        <is>
          <t>🟢1% / 2% / 🔴4%</t>
        </is>
      </c>
      <c r="E22" s="73" t="inlineStr">
        <is>
          <t>🟢2000% / 3500% / 🔴6000%</t>
        </is>
      </c>
      <c r="F22" s="73" t="inlineStr">
        <is>
          <t>🟢2500% / 4000% / 🔴6000%</t>
        </is>
      </c>
      <c r="G22" s="73" t="inlineStr">
        <is>
          <t>🟢3000% / 5000% / 🔴8000%</t>
        </is>
      </c>
      <c r="H22" s="73" t="inlineStr">
        <is>
          <t>🟢4500% / 6000% / 🔴9000%</t>
        </is>
      </c>
      <c r="I22" s="73" t="inlineStr">
        <is>
          <t>🟢4000% / 5500% / 🔴8000%</t>
        </is>
      </c>
      <c r="J22" s="73" t="inlineStr">
        <is>
          <t>🟢97% / 92% / 🔴85%</t>
        </is>
      </c>
      <c r="K22" s="73" t="inlineStr">
        <is>
          <t>🟢3000% / 4500% / 🔴6500%</t>
        </is>
      </c>
      <c r="L22" s="73" t="inlineStr">
        <is>
          <t>🟢3500% / 5500% / 🔴8500%</t>
        </is>
      </c>
    </row>
    <row r="23" ht="18" customHeight="1">
      <c r="A23" s="71" t="inlineStr">
        <is>
          <t xml:space="preserve">  DIO — days  (†Financials: Provision Coverage Ratio ↑)</t>
        </is>
      </c>
      <c r="B23" s="72" t="inlineStr">
        <is>
          <t>🟢30.0x / 50.0x / 🔴80.0x</t>
        </is>
      </c>
      <c r="C23" s="72" t="inlineStr">
        <is>
          <t>🟢60.0x / 90.0x / 🔴130.0x</t>
        </is>
      </c>
      <c r="D23" s="72" t="inlineStr">
        <is>
          <t>🟢150% / 100% / 🔴80%</t>
        </is>
      </c>
      <c r="E23" s="72" t="inlineStr">
        <is>
          <t>🟢40.0x / 70.0x / 🔴110.0x</t>
        </is>
      </c>
      <c r="F23" s="72" t="inlineStr">
        <is>
          <t>🟢35.0x / 55.0x / 🔴80.0x</t>
        </is>
      </c>
      <c r="G23" s="72" t="inlineStr">
        <is>
          <t>🟢20.0x / 40.0x / 🔴70.0x</t>
        </is>
      </c>
      <c r="H23" s="72" t="inlineStr">
        <is>
          <t>🟢40.0x / 65.0x / 🔴100.0x</t>
        </is>
      </c>
      <c r="I23" s="72" t="inlineStr">
        <is>
          <t>🟢50.0x / 75.0x / 🔴110.0x</t>
        </is>
      </c>
      <c r="J23" s="74" t="inlineStr">
        <is>
          <t>N/A</t>
        </is>
      </c>
      <c r="K23" s="74" t="inlineStr">
        <is>
          <t>N/A</t>
        </is>
      </c>
      <c r="L23" s="74" t="inlineStr">
        <is>
          <t>N/A</t>
        </is>
      </c>
    </row>
    <row r="24" ht="18" customHeight="1">
      <c r="A24" s="70" t="inlineStr">
        <is>
          <t xml:space="preserve">  ─── EARNINGS-QUALITY MODEL BASELINES ───</t>
        </is>
      </c>
    </row>
    <row r="25" ht="18" customHeight="1">
      <c r="A25" s="71" t="inlineStr">
        <is>
          <t xml:space="preserve">  Beneish M-Score Median</t>
        </is>
      </c>
      <c r="B25" s="75" t="inlineStr">
        <is>
          <t>-2.50</t>
        </is>
      </c>
      <c r="C25" s="75" t="inlineStr">
        <is>
          <t>-2.60</t>
        </is>
      </c>
      <c r="D25" s="75" t="inlineStr">
        <is>
          <t>-2.80</t>
        </is>
      </c>
      <c r="E25" s="75" t="inlineStr">
        <is>
          <t>-2.40</t>
        </is>
      </c>
      <c r="F25" s="75" t="inlineStr">
        <is>
          <t>-2.50</t>
        </is>
      </c>
      <c r="G25" s="75" t="inlineStr">
        <is>
          <t>-2.40</t>
        </is>
      </c>
      <c r="H25" s="75" t="inlineStr">
        <is>
          <t>-2.50</t>
        </is>
      </c>
      <c r="I25" s="75" t="inlineStr">
        <is>
          <t>-2.40</t>
        </is>
      </c>
      <c r="J25" s="75" t="inlineStr">
        <is>
          <t>-2.60</t>
        </is>
      </c>
      <c r="K25" s="75" t="inlineStr">
        <is>
          <t>-2.70</t>
        </is>
      </c>
      <c r="L25" s="75" t="inlineStr">
        <is>
          <t>-2.40</t>
        </is>
      </c>
    </row>
    <row r="26" ht="18" customHeight="1">
      <c r="A26" s="71" t="inlineStr">
        <is>
          <t xml:space="preserve">  Sloan Accrual Median</t>
        </is>
      </c>
      <c r="B26" s="76" t="inlineStr">
        <is>
          <t>0.05</t>
        </is>
      </c>
      <c r="C26" s="76" t="inlineStr">
        <is>
          <t>0.03</t>
        </is>
      </c>
      <c r="D26" s="76" t="inlineStr">
        <is>
          <t>0.08</t>
        </is>
      </c>
      <c r="E26" s="76" t="inlineStr">
        <is>
          <t>0.04</t>
        </is>
      </c>
      <c r="F26" s="76" t="inlineStr">
        <is>
          <t>0.03</t>
        </is>
      </c>
      <c r="G26" s="76" t="inlineStr">
        <is>
          <t>0.05</t>
        </is>
      </c>
      <c r="H26" s="76" t="inlineStr">
        <is>
          <t>0.04</t>
        </is>
      </c>
      <c r="I26" s="76" t="inlineStr">
        <is>
          <t>0.05</t>
        </is>
      </c>
      <c r="J26" s="76" t="inlineStr">
        <is>
          <t>-0.10</t>
        </is>
      </c>
      <c r="K26" s="76" t="inlineStr">
        <is>
          <t>-0.05</t>
        </is>
      </c>
      <c r="L26" s="76" t="inlineStr">
        <is>
          <t>0.04</t>
        </is>
      </c>
    </row>
    <row r="27" ht="18" customHeight="1">
      <c r="A27" s="70" t="inlineStr">
        <is>
          <t xml:space="preserve">  ─── SECTOR NOTES ───</t>
        </is>
      </c>
    </row>
    <row r="28" ht="45" customHeight="1">
      <c r="A28" s="71" t="inlineStr">
        <is>
          <t xml:space="preserve">  Key considerations</t>
        </is>
      </c>
      <c r="B28" s="77" t="inlineStr">
        <is>
          <t>High gross margins expected. Watch for aggressive rev recognition in SaaS/cloud.</t>
        </is>
      </c>
      <c r="C28" s="77" t="inlineStr">
        <is>
          <t>Biotech/pharma often pre-revenue. Managed care has thin margins. Watch R&amp;D capex.</t>
        </is>
      </c>
      <c r="D28" s="77" t="inlineStr">
        <is>
          <t>Z-Score/Current Ratio/DSO/DIO NOT applicable. Metrics shown are bank-equivalents: Gross Margin=NIM, Current Ratio=Tier1 Capital, ND/EBITDA=Loan-to-Deposit, Int.Coverage=Efficiency Ratio, DSO=NPL Ratio, DIO=Provision Coverage, CFO/NI=Payout Ratio.</t>
        </is>
      </c>
      <c r="E28" s="77" t="inlineStr">
        <is>
          <t>Retail has low margins. E-commerce growing. Watch inventory &amp; same-store sales trends.</t>
        </is>
      </c>
      <c r="F28" s="77" t="inlineStr">
        <is>
          <t>Stable, low-growth sector. High dividend payers. Watch brand investment and pricing power.</t>
        </is>
      </c>
      <c r="G28" s="77" t="inlineStr">
        <is>
          <t>Highly cyclical — margins vary with commodity prices. EBITDA vs D&amp;A critical for O&amp;G.</t>
        </is>
      </c>
      <c r="H28" s="77" t="inlineStr">
        <is>
          <t>Diverse sector. Aerospace/defense has long cycles. Transportation sensitive to fuel costs.</t>
        </is>
      </c>
      <c r="I28" s="77" t="inlineStr">
        <is>
          <t>Commodity-linked. Capital intensive. High D&amp;A. Inventory valuation method matters (LIFO/FIFO).</t>
        </is>
      </c>
      <c r="J28" s="77" t="inlineStr">
        <is>
          <t>Use FFO/AFFO not Net Income. Depreciation-heavy. Z-Score not applicable. Focus on occupancy &amp; NOI.</t>
        </is>
      </c>
      <c r="K28" s="77" t="inlineStr">
        <is>
          <t>Regulated returns — stable but slow growth. Rate base investments drive capex. High debt normal.</t>
        </is>
      </c>
      <c r="L28" s="77" t="inlineStr">
        <is>
          <t>Mix of telcos (high capex, stable) and digital media (high growth, intangible-heavy).</t>
        </is>
      </c>
    </row>
    <row r="29" ht="18" customHeight="1">
      <c r="A29" s="78" t="inlineStr">
        <is>
          <t xml:space="preserve">  Source: Damodaran (NYU Stern), S&amp;P Capital IQ, FactSet — FY2023/2024 median values. For reference only.</t>
        </is>
      </c>
    </row>
  </sheetData>
  <mergeCells count="10">
    <mergeCell ref="A27:N27"/>
    <mergeCell ref="A6:N6"/>
    <mergeCell ref="A12:N12"/>
    <mergeCell ref="A20:N20"/>
    <mergeCell ref="A24:N24"/>
    <mergeCell ref="A15:N15"/>
    <mergeCell ref="E3:N3"/>
    <mergeCell ref="A29:N29"/>
    <mergeCell ref="A5:N5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60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45" customWidth="1" min="3" max="3"/>
    <col width="26" customWidth="1" min="4" max="4"/>
    <col width="12" customWidth="1" min="5" max="5"/>
    <col width="19.25" customWidth="1" min="6" max="6"/>
    <col width="21.55" customWidth="1" min="7" max="7"/>
    <col width="27.3" customWidth="1" min="8" max="8"/>
    <col width="25" customWidth="1" min="9" max="9"/>
    <col width="25" customWidth="1" min="10" max="10"/>
    <col width="11.2" customWidth="1" min="11" max="11"/>
    <col width="13.5" customWidth="1" min="12" max="12"/>
    <col width="16.95" customWidth="1" min="13" max="13"/>
    <col width="12.35" customWidth="1" min="14" max="14"/>
    <col width="19.25" customWidth="1" min="15" max="15"/>
    <col width="21.55" customWidth="1" min="16" max="16"/>
    <col width="12.35" customWidth="1" min="17" max="17"/>
    <col width="11.2" customWidth="1" min="18" max="18"/>
    <col width="16.95" customWidth="1" min="19" max="19"/>
    <col width="18.1" customWidth="1" min="20" max="20"/>
    <col width="11.2" customWidth="1" min="21" max="21"/>
    <col width="19.25" customWidth="1" min="22" max="22"/>
    <col width="19.25" customWidth="1" min="23" max="23"/>
    <col width="21.55" customWidth="1" min="24" max="24"/>
    <col width="27.3" customWidth="1" min="25" max="25"/>
    <col width="25" customWidth="1" min="26" max="26"/>
    <col width="11.2" customWidth="1" min="27" max="27"/>
    <col width="13.5" customWidth="1" min="28" max="28"/>
    <col width="16.95" customWidth="1" min="29" max="29"/>
    <col width="11.2" customWidth="1" min="30" max="30"/>
    <col width="19.25" customWidth="1" min="31" max="31"/>
    <col width="21.55" customWidth="1" min="32" max="32"/>
    <col width="12.35" customWidth="1" min="33" max="33"/>
    <col width="13.5" customWidth="1" min="34" max="34"/>
    <col width="19.25" customWidth="1" min="35" max="35"/>
    <col width="11.2" customWidth="1" min="36" max="36"/>
    <col width="11.2" customWidth="1" min="37" max="37"/>
    <col width="18.1" customWidth="1" min="38" max="38"/>
    <col width="18.1" customWidth="1" min="39" max="39"/>
    <col width="11.2" customWidth="1" min="40" max="40"/>
    <col width="11.2" customWidth="1" min="41" max="41"/>
    <col width="15.8" customWidth="1" min="42" max="42"/>
    <col width="15.8" customWidth="1" min="43" max="43"/>
    <col width="14.65" customWidth="1" min="44" max="44"/>
    <col width="18.1" customWidth="1" min="45" max="45"/>
    <col width="22.7" customWidth="1" min="46" max="46"/>
    <col width="18.1" customWidth="1" min="47" max="47"/>
    <col width="11.2" customWidth="1" min="48" max="48"/>
    <col width="11.2" customWidth="1" min="49" max="49"/>
    <col width="16.95" customWidth="1" min="50" max="50"/>
    <col width="16.95" customWidth="1" min="51" max="51"/>
    <col width="14.65" customWidth="1" min="52" max="52"/>
    <col width="21.55" customWidth="1" min="53" max="53"/>
    <col width="26.15" customWidth="1" min="54" max="54"/>
    <col width="26.15" customWidth="1" min="55" max="55"/>
    <col width="18.1" customWidth="1" min="56" max="56"/>
    <col width="11.2" customWidth="1" min="57" max="57"/>
    <col width="11.2" customWidth="1" min="58" max="58"/>
    <col width="10.05" customWidth="1" min="59" max="59"/>
    <col width="12.35" customWidth="1" min="60" max="60"/>
    <col width="12.35" customWidth="1" min="61" max="61"/>
    <col width="23.85" customWidth="1" min="62" max="62"/>
    <col width="23.85" customWidth="1" min="63" max="63"/>
    <col width="23.85" customWidth="1" min="64" max="64"/>
    <col width="23.85" customWidth="1" min="65" max="65"/>
    <col width="18.1" customWidth="1" min="66" max="66"/>
    <col width="11.2" customWidth="1" min="67" max="67"/>
    <col width="11.2" customWidth="1" min="68" max="68"/>
    <col width="8.899999999999999" customWidth="1" min="69" max="69"/>
    <col width="8.899999999999999" customWidth="1" min="70" max="70"/>
    <col width="8.899999999999999" customWidth="1" min="71" max="71"/>
    <col width="8.899999999999999" customWidth="1" min="72" max="72"/>
    <col width="8.899999999999999" customWidth="1" min="73" max="73"/>
    <col width="8.899999999999999" customWidth="1" min="74" max="74"/>
    <col width="16.95" customWidth="1" min="75" max="75"/>
    <col width="25" customWidth="1" min="76" max="76"/>
    <col width="15.8" customWidth="1" min="77" max="77"/>
  </cols>
  <sheetData>
    <row r="1">
      <c r="A1" s="79" t="inlineStr">
        <is>
          <t>COMPANY HEALTH &amp; RED-FLAG SCANNER — INPUT SHEET</t>
        </is>
      </c>
      <c r="D1" s="80" t="inlineStr">
        <is>
          <t>Prepared by: Your Name</t>
        </is>
      </c>
    </row>
    <row r="2">
      <c r="A2" s="81" t="inlineStr">
        <is>
          <t>Company ID</t>
        </is>
      </c>
      <c r="B2" s="81" t="inlineStr">
        <is>
          <t>Ticker</t>
        </is>
      </c>
      <c r="C2" s="81" t="inlineStr">
        <is>
          <t>Company Name</t>
        </is>
      </c>
      <c r="D2" s="81" t="inlineStr">
        <is>
          <t>Sector</t>
        </is>
      </c>
      <c r="E2" s="81" t="inlineStr">
        <is>
          <t>Fiscal Year</t>
        </is>
      </c>
      <c r="F2" s="81" t="inlineStr">
        <is>
          <t>Total Assets Y0</t>
        </is>
      </c>
      <c r="G2" s="81" t="inlineStr">
        <is>
          <t>Current Assets Y0</t>
        </is>
      </c>
      <c r="H2" s="81" t="inlineStr">
        <is>
          <t>Current Liabilities Y0</t>
        </is>
      </c>
      <c r="I2" s="81" t="inlineStr">
        <is>
          <t>Total Liabilities Y0</t>
        </is>
      </c>
      <c r="J2" s="81" t="inlineStr">
        <is>
          <t>Retained Earnings Y0</t>
        </is>
      </c>
      <c r="K2" s="81" t="inlineStr">
        <is>
          <t>EBIT Y0</t>
        </is>
      </c>
      <c r="L2" s="81" t="inlineStr">
        <is>
          <t>Revenue Y0</t>
        </is>
      </c>
      <c r="M2" s="81" t="inlineStr">
        <is>
          <t>Net Income Y0</t>
        </is>
      </c>
      <c r="N2" s="81" t="inlineStr">
        <is>
          <t>CFO Y0</t>
        </is>
      </c>
      <c r="O2" s="81" t="inlineStr">
        <is>
          <t>Gross Profit Y0</t>
        </is>
      </c>
      <c r="P2" s="81" t="inlineStr">
        <is>
          <t>Long-term Debt Y0</t>
        </is>
      </c>
      <c r="Q2" s="81" t="inlineStr">
        <is>
          <t>Equity Y0</t>
        </is>
      </c>
      <c r="R2" s="81" t="inlineStr">
        <is>
          <t>SGA Y0</t>
        </is>
      </c>
      <c r="S2" s="81" t="inlineStr">
        <is>
          <t>Depr&amp;Amort Y0</t>
        </is>
      </c>
      <c r="T2" s="81" t="inlineStr">
        <is>
          <t>Receivables Y0</t>
        </is>
      </c>
      <c r="U2" s="81" t="inlineStr">
        <is>
          <t>PPE Y0</t>
        </is>
      </c>
      <c r="V2" s="81" t="inlineStr">
        <is>
          <t>Interest Exp Y0</t>
        </is>
      </c>
      <c r="W2" s="81" t="inlineStr">
        <is>
          <t>Total Assets Y1</t>
        </is>
      </c>
      <c r="X2" s="81" t="inlineStr">
        <is>
          <t>Current Assets Y1</t>
        </is>
      </c>
      <c r="Y2" s="81" t="inlineStr">
        <is>
          <t>Current Liabilities Y1</t>
        </is>
      </c>
      <c r="Z2" s="81" t="inlineStr">
        <is>
          <t>Total Liabilities Y1</t>
        </is>
      </c>
      <c r="AA2" s="81" t="inlineStr">
        <is>
          <t>EBIT Y1</t>
        </is>
      </c>
      <c r="AB2" s="81" t="inlineStr">
        <is>
          <t>Revenue Y1</t>
        </is>
      </c>
      <c r="AC2" s="81" t="inlineStr">
        <is>
          <t>Net Income Y1</t>
        </is>
      </c>
      <c r="AD2" s="81" t="inlineStr">
        <is>
          <t>CFO Y1</t>
        </is>
      </c>
      <c r="AE2" s="81" t="inlineStr">
        <is>
          <t>Gross Profit Y1</t>
        </is>
      </c>
      <c r="AF2" s="81" t="inlineStr">
        <is>
          <t>Long-term Debt Y1</t>
        </is>
      </c>
      <c r="AG2" s="81" t="inlineStr">
        <is>
          <t>Equity Y1</t>
        </is>
      </c>
      <c r="AH2" s="81" t="inlineStr">
        <is>
          <t>Revenue Y2</t>
        </is>
      </c>
      <c r="AI2" s="81" t="inlineStr">
        <is>
          <t>Total Assets Y2</t>
        </is>
      </c>
      <c r="AJ2" s="81" t="inlineStr">
        <is>
          <t>EBT Y0</t>
        </is>
      </c>
      <c r="AK2" s="81" t="inlineStr">
        <is>
          <t>EBT Y1</t>
        </is>
      </c>
      <c r="AL2" s="81" t="inlineStr">
        <is>
          <t>Tax Expense Y0</t>
        </is>
      </c>
      <c r="AM2" s="81" t="inlineStr">
        <is>
          <t>Tax Expense Y1</t>
        </is>
      </c>
      <c r="AN2" s="81" t="inlineStr">
        <is>
          <t>CAPEX Y0</t>
        </is>
      </c>
      <c r="AO2" s="81" t="inlineStr">
        <is>
          <t>CAPEX Y1</t>
        </is>
      </c>
      <c r="AP2" s="81" t="inlineStr">
        <is>
          <t>Inventory Y0</t>
        </is>
      </c>
      <c r="AQ2" s="81" t="inlineStr">
        <is>
          <t>Inventory Y1</t>
        </is>
      </c>
      <c r="AR2" s="81" t="inlineStr">
        <is>
          <t>Goodwill Y0</t>
        </is>
      </c>
      <c r="AS2" s="81" t="inlineStr">
        <is>
          <t>Intangibles Y0</t>
        </is>
      </c>
      <c r="AT2" s="81" t="inlineStr">
        <is>
          <t>Short-term Debt Y0</t>
        </is>
      </c>
      <c r="AU2" s="81" t="inlineStr">
        <is>
          <t>R&amp;D Expense Y0</t>
        </is>
      </c>
      <c r="AV2" s="81" t="inlineStr">
        <is>
          <t>Cash Y0</t>
        </is>
      </c>
      <c r="AW2" s="81" t="inlineStr">
        <is>
          <t>Cash Y1</t>
        </is>
      </c>
      <c r="AX2" s="81" t="inlineStr">
        <is>
          <t>Total Debt Y0</t>
        </is>
      </c>
      <c r="AY2" s="81" t="inlineStr">
        <is>
          <t>Total Debt Y1</t>
        </is>
      </c>
      <c r="AZ2" s="81" t="inlineStr">
        <is>
          <t>Net Debt Y0</t>
        </is>
      </c>
      <c r="BA2" s="81" t="inlineStr">
        <is>
          <t>Free Cash Flow Y0</t>
        </is>
      </c>
      <c r="BB2" s="81" t="inlineStr">
        <is>
          <t>Shares Outstanding Y0</t>
        </is>
      </c>
      <c r="BC2" s="81" t="inlineStr">
        <is>
          <t>Shares Outstanding Y1</t>
        </is>
      </c>
      <c r="BD2" s="81" t="inlineStr">
        <is>
          <t>Receivables Y1</t>
        </is>
      </c>
      <c r="BE2" s="81" t="inlineStr">
        <is>
          <t>PPE Y1</t>
        </is>
      </c>
      <c r="BF2" s="81" t="inlineStr">
        <is>
          <t>SGA Y1</t>
        </is>
      </c>
      <c r="BG2" s="81" t="inlineStr">
        <is>
          <t>D&amp;A Y1</t>
        </is>
      </c>
      <c r="BH2" s="81" t="inlineStr">
        <is>
          <t>CFI Y0</t>
        </is>
      </c>
      <c r="BI2" s="81" t="inlineStr">
        <is>
          <t>CFI Y1</t>
        </is>
      </c>
      <c r="BJ2" s="81" t="inlineStr">
        <is>
          <t>Accounts Payable Y0</t>
        </is>
      </c>
      <c r="BK2" s="81" t="inlineStr">
        <is>
          <t>Accounts Payable Y1</t>
        </is>
      </c>
      <c r="BL2" s="81" t="inlineStr">
        <is>
          <t>Deferred Revenue Y0</t>
        </is>
      </c>
      <c r="BM2" s="81" t="inlineStr">
        <is>
          <t>Deferred Revenue Y1</t>
        </is>
      </c>
      <c r="BN2" s="81" t="inlineStr">
        <is>
          <t>Tax Payable Y0</t>
        </is>
      </c>
      <c r="BO2" s="81" t="inlineStr">
        <is>
          <t>COGS Y0</t>
        </is>
      </c>
      <c r="BP2" s="81" t="inlineStr">
        <is>
          <t>COGS Y1</t>
        </is>
      </c>
      <c r="BQ2" s="81" t="inlineStr">
        <is>
          <t>DSO Y0</t>
        </is>
      </c>
      <c r="BR2" s="81" t="inlineStr">
        <is>
          <t>DSO Y1</t>
        </is>
      </c>
      <c r="BS2" s="81" t="inlineStr">
        <is>
          <t>DIO Y0</t>
        </is>
      </c>
      <c r="BT2" s="81" t="inlineStr">
        <is>
          <t>DIO Y1</t>
        </is>
      </c>
      <c r="BU2" s="81" t="inlineStr">
        <is>
          <t>DPO Y0</t>
        </is>
      </c>
      <c r="BV2" s="81" t="inlineStr">
        <is>
          <t>DPO Y1</t>
        </is>
      </c>
      <c r="BW2" s="81" t="inlineStr">
        <is>
          <t>Soft Assets %</t>
        </is>
      </c>
      <c r="BX2" s="81" t="inlineStr">
        <is>
          <t>Cash Collection Rate</t>
        </is>
      </c>
      <c r="BY2" s="81" t="inlineStr">
        <is>
          <t>Eff Tax Rate</t>
        </is>
      </c>
    </row>
    <row r="3" ht="17" customHeight="1">
      <c r="A3" s="82" t="n">
        <v>1</v>
      </c>
      <c r="B3" s="83" t="inlineStr">
        <is>
          <t>AVY</t>
        </is>
      </c>
      <c r="C3" s="84" t="inlineStr">
        <is>
          <t>AVERY DENNISON CORPORATION</t>
        </is>
      </c>
      <c r="D3" s="82" t="inlineStr">
        <is>
          <t>Materials</t>
        </is>
      </c>
      <c r="E3" s="82" t="n">
        <v>2026</v>
      </c>
      <c r="F3" s="85" t="n">
        <v>8801.700000000001</v>
      </c>
      <c r="G3" s="85" t="n">
        <v>2990.3</v>
      </c>
      <c r="H3" s="85" t="n">
        <v>2653.6</v>
      </c>
      <c r="I3" s="85" t="n">
        <v>8801.700000000001</v>
      </c>
      <c r="J3" s="85" t="n">
        <v>5597.5</v>
      </c>
      <c r="K3" s="85" t="n">
        <v>925.1</v>
      </c>
      <c r="L3" s="85" t="n">
        <v>8855.5</v>
      </c>
      <c r="M3" s="85" t="n">
        <v>688</v>
      </c>
      <c r="N3" s="85" t="n">
        <v>881.4</v>
      </c>
      <c r="O3" s="85" t="n">
        <v>2546.3</v>
      </c>
      <c r="P3" s="85" t="n">
        <v>3199</v>
      </c>
      <c r="Q3" s="85" t="n">
        <v>2242.1</v>
      </c>
      <c r="R3" s="85" t="n">
        <v>1422.5</v>
      </c>
      <c r="S3" s="85" t="n">
        <v>328.2</v>
      </c>
      <c r="T3" s="85" t="n">
        <v>1503.9</v>
      </c>
      <c r="U3" s="85" t="n">
        <v>1540.2</v>
      </c>
      <c r="V3" s="85" t="n">
        <v>119</v>
      </c>
      <c r="W3" s="85" t="n">
        <v>8404.200000000001</v>
      </c>
      <c r="X3" s="85" t="n">
        <v>3078.7</v>
      </c>
      <c r="Y3" s="85" t="n">
        <v>2862.6</v>
      </c>
      <c r="Z3" s="85" t="n">
        <v>8404.200000000001</v>
      </c>
      <c r="AA3" s="85" t="n">
        <v>953.5</v>
      </c>
      <c r="AB3" s="85" t="n">
        <v>8755.700000000001</v>
      </c>
      <c r="AC3" s="85" t="n">
        <v>704.9</v>
      </c>
      <c r="AD3" s="85" t="n">
        <v>938.8</v>
      </c>
      <c r="AE3" s="85" t="n">
        <v>2530.7</v>
      </c>
      <c r="AF3" s="85" t="n">
        <v>2550.8</v>
      </c>
      <c r="AG3" s="85" t="n">
        <v>2312.3</v>
      </c>
      <c r="AH3" s="85" t="n">
        <v>8755.700000000001</v>
      </c>
      <c r="AI3" s="85" t="n">
        <v>8404.200000000001</v>
      </c>
      <c r="AJ3" s="85" t="n">
        <v>925.1</v>
      </c>
      <c r="AK3" s="85" t="n">
        <v>953.5</v>
      </c>
      <c r="AL3" s="85" t="n">
        <v>237.1</v>
      </c>
      <c r="AM3" s="85" t="n">
        <v>248.6</v>
      </c>
      <c r="AN3" s="85" t="n">
        <v>169</v>
      </c>
      <c r="AO3" s="85" t="n">
        <v>208.8</v>
      </c>
      <c r="AP3" s="85" t="n">
        <v>975.8</v>
      </c>
      <c r="AQ3" s="85" t="n">
        <v>978.1</v>
      </c>
      <c r="AR3" s="85" t="n">
        <v>2272.5</v>
      </c>
      <c r="AS3" s="85" t="n">
        <v>652.7</v>
      </c>
      <c r="AT3" s="85" t="n">
        <v>522.9</v>
      </c>
      <c r="AU3" s="85" t="n">
        <v>136.6</v>
      </c>
      <c r="AV3" s="85" t="n">
        <v>202.8</v>
      </c>
      <c r="AW3" s="85" t="n">
        <v>329.1</v>
      </c>
      <c r="AX3" s="85" t="n">
        <v>3721.9</v>
      </c>
      <c r="AY3" s="85" t="n">
        <v>3143.1</v>
      </c>
      <c r="AZ3" s="85" t="n">
        <v>3519.1</v>
      </c>
      <c r="BA3" s="85" t="n">
        <v>712.4</v>
      </c>
      <c r="BB3" s="85" t="n">
        <v>76.90000000000001</v>
      </c>
      <c r="BC3" s="85" t="n">
        <v>79.8</v>
      </c>
      <c r="BD3" s="85" t="n">
        <v>1466.2</v>
      </c>
      <c r="BE3" s="85" t="n">
        <v>1477.7</v>
      </c>
      <c r="BF3" s="85" t="n">
        <v>1415.3</v>
      </c>
      <c r="BG3" s="85" t="n">
        <v>312.2</v>
      </c>
      <c r="BH3" s="85" t="n">
        <v>-596</v>
      </c>
      <c r="BI3" s="85" t="n">
        <v>-243.1</v>
      </c>
      <c r="BJ3" s="85" t="n">
        <v>1261.7</v>
      </c>
      <c r="BK3" s="85" t="n">
        <v>1340.7</v>
      </c>
      <c r="BL3" s="85" t="n">
        <v>16.2</v>
      </c>
      <c r="BM3" s="85" t="n">
        <v>15.5</v>
      </c>
      <c r="BN3" s="85" t="n">
        <v>86.09999999999999</v>
      </c>
      <c r="BO3" s="85" t="n">
        <v>6309.2</v>
      </c>
      <c r="BP3" s="85" t="n">
        <v>6225</v>
      </c>
      <c r="BQ3" s="85" t="n">
        <v>0</v>
      </c>
      <c r="BR3" s="85" t="n">
        <v>0</v>
      </c>
      <c r="BS3" s="85" t="n">
        <v>0</v>
      </c>
      <c r="BT3" s="85" t="n">
        <v>0</v>
      </c>
      <c r="BU3" s="85" t="n">
        <v>0</v>
      </c>
      <c r="BV3" s="85" t="n">
        <v>0</v>
      </c>
      <c r="BW3" s="85" t="n">
        <v>0</v>
      </c>
      <c r="BX3" s="85" t="n">
        <v>0</v>
      </c>
      <c r="BY3" s="85" t="n">
        <v>0</v>
      </c>
    </row>
    <row r="4" ht="17" customHeight="1">
      <c r="A4" s="86" t="n">
        <v>2</v>
      </c>
      <c r="B4" s="87" t="inlineStr">
        <is>
          <t>CHD</t>
        </is>
      </c>
      <c r="C4" s="88" t="inlineStr">
        <is>
          <t>CHURCH &amp; DWIGHT CO., INC.</t>
        </is>
      </c>
      <c r="D4" s="86" t="inlineStr">
        <is>
          <t>Consumer Staples</t>
        </is>
      </c>
      <c r="E4" s="86" t="n">
        <v>2026</v>
      </c>
      <c r="F4" s="89" t="n">
        <v>8912.4</v>
      </c>
      <c r="G4" s="89" t="n">
        <v>1597</v>
      </c>
      <c r="H4" s="89" t="n">
        <v>1497.7</v>
      </c>
      <c r="I4" s="89" t="n">
        <v>4910.2</v>
      </c>
      <c r="J4" s="89" t="n">
        <v>6768.2</v>
      </c>
      <c r="K4" s="89" t="n">
        <v>1077.6</v>
      </c>
      <c r="L4" s="89" t="n">
        <v>6203.2</v>
      </c>
      <c r="M4" s="89" t="n">
        <v>736.8</v>
      </c>
      <c r="N4" s="89" t="n">
        <v>1215.4</v>
      </c>
      <c r="O4" s="89" t="n">
        <v>2774.8</v>
      </c>
      <c r="P4" s="89" t="n">
        <v>2205.1</v>
      </c>
      <c r="Q4" s="89" t="n">
        <v>4002.2</v>
      </c>
      <c r="R4" s="89" t="n">
        <v>988.3</v>
      </c>
      <c r="S4" s="89" t="n">
        <v>247.4</v>
      </c>
      <c r="T4" s="89" t="n">
        <v>593.4</v>
      </c>
      <c r="U4" s="89" t="n">
        <v>822.8</v>
      </c>
      <c r="V4" s="89" t="n">
        <v>95.2</v>
      </c>
      <c r="W4" s="89" t="n">
        <v>8883.1</v>
      </c>
      <c r="X4" s="89" t="n">
        <v>2240.6</v>
      </c>
      <c r="Y4" s="89" t="n">
        <v>1315.9</v>
      </c>
      <c r="Z4" s="89" t="n">
        <v>4522.3</v>
      </c>
      <c r="AA4" s="89" t="n">
        <v>807.1</v>
      </c>
      <c r="AB4" s="89" t="n">
        <v>6107.1</v>
      </c>
      <c r="AC4" s="89" t="n">
        <v>585.3</v>
      </c>
      <c r="AD4" s="89" t="n">
        <v>1156.2</v>
      </c>
      <c r="AE4" s="89" t="n">
        <v>2790.1</v>
      </c>
      <c r="AF4" s="89" t="n">
        <v>2204.6</v>
      </c>
      <c r="AG4" s="89" t="n">
        <v>4360.8</v>
      </c>
      <c r="AH4" s="89" t="n">
        <v>6107.1</v>
      </c>
      <c r="AI4" s="89" t="n">
        <v>8883.1</v>
      </c>
      <c r="AJ4" s="89" t="n">
        <v>956.9</v>
      </c>
      <c r="AK4" s="89" t="n">
        <v>756.3</v>
      </c>
      <c r="AL4" s="89" t="n">
        <v>220.1</v>
      </c>
      <c r="AM4" s="89" t="n">
        <v>171</v>
      </c>
      <c r="AN4" s="89" t="n">
        <v>122.4</v>
      </c>
      <c r="AO4" s="89" t="n">
        <v>179.8</v>
      </c>
      <c r="AP4" s="89" t="n">
        <v>534.8</v>
      </c>
      <c r="AQ4" s="89" t="n">
        <v>613.3</v>
      </c>
      <c r="AR4" s="89" t="n">
        <v>2627.5</v>
      </c>
      <c r="AS4" s="89" t="n">
        <v>0</v>
      </c>
      <c r="AT4" s="90" t="inlineStr">
        <is>
          <t>N/A</t>
        </is>
      </c>
      <c r="AU4" s="89" t="n">
        <v>145.6</v>
      </c>
      <c r="AV4" s="89" t="n">
        <v>409</v>
      </c>
      <c r="AW4" s="89" t="n">
        <v>964.1</v>
      </c>
      <c r="AX4" s="89" t="n">
        <v>2205.1</v>
      </c>
      <c r="AY4" s="89" t="n">
        <v>2208.5</v>
      </c>
      <c r="AZ4" s="89" t="n">
        <v>1796.1</v>
      </c>
      <c r="BA4" s="89" t="n">
        <v>1093</v>
      </c>
      <c r="BB4" s="89" t="n">
        <v>293.7</v>
      </c>
      <c r="BC4" s="89" t="n">
        <v>293.7</v>
      </c>
      <c r="BD4" s="89" t="n">
        <v>600.8</v>
      </c>
      <c r="BE4" s="89" t="n">
        <v>931.7</v>
      </c>
      <c r="BF4" s="89" t="n">
        <v>927.8</v>
      </c>
      <c r="BG4" s="89" t="n">
        <v>239.1</v>
      </c>
      <c r="BH4" s="89" t="n">
        <v>-616.9</v>
      </c>
      <c r="BI4" s="89" t="n">
        <v>-183.3</v>
      </c>
      <c r="BJ4" s="89" t="n">
        <v>732.4</v>
      </c>
      <c r="BK4" s="89" t="n">
        <v>705.1</v>
      </c>
      <c r="BL4" s="90" t="inlineStr">
        <is>
          <t>N/A</t>
        </is>
      </c>
      <c r="BM4" s="90" t="inlineStr">
        <is>
          <t>N/A</t>
        </is>
      </c>
      <c r="BN4" s="89" t="n">
        <v>3.4</v>
      </c>
      <c r="BO4" s="89" t="n">
        <v>3428.4</v>
      </c>
      <c r="BP4" s="89" t="n">
        <v>3317</v>
      </c>
      <c r="BQ4" s="89" t="n">
        <v>0</v>
      </c>
      <c r="BR4" s="89" t="n">
        <v>0</v>
      </c>
      <c r="BS4" s="89" t="n">
        <v>0</v>
      </c>
      <c r="BT4" s="89" t="n">
        <v>0</v>
      </c>
      <c r="BU4" s="89" t="n">
        <v>0</v>
      </c>
      <c r="BV4" s="89" t="n">
        <v>0</v>
      </c>
      <c r="BW4" s="89" t="n">
        <v>0</v>
      </c>
      <c r="BX4" s="89" t="n">
        <v>0</v>
      </c>
      <c r="BY4" s="89" t="n">
        <v>0</v>
      </c>
    </row>
    <row r="5" ht="17" customHeight="1">
      <c r="A5" s="82" t="n">
        <v>3</v>
      </c>
      <c r="B5" s="83" t="inlineStr">
        <is>
          <t>GWW</t>
        </is>
      </c>
      <c r="C5" s="84" t="inlineStr">
        <is>
          <t>W.W. GRAINGER, INC.</t>
        </is>
      </c>
      <c r="D5" s="82" t="inlineStr">
        <is>
          <t>Industrials</t>
        </is>
      </c>
      <c r="E5" s="82" t="n">
        <v>2026</v>
      </c>
      <c r="F5" s="85" t="n">
        <v>8962</v>
      </c>
      <c r="G5" s="85" t="n">
        <v>5484</v>
      </c>
      <c r="H5" s="85" t="n">
        <v>1940</v>
      </c>
      <c r="I5" s="85" t="n">
        <v>8962</v>
      </c>
      <c r="J5" s="85" t="n">
        <v>14958</v>
      </c>
      <c r="K5" s="85" t="n">
        <v>2495</v>
      </c>
      <c r="L5" s="85" t="n">
        <v>17942</v>
      </c>
      <c r="M5" s="85" t="n">
        <v>1706</v>
      </c>
      <c r="N5" s="85" t="n">
        <v>2015</v>
      </c>
      <c r="O5" s="85" t="n">
        <v>7009</v>
      </c>
      <c r="P5" s="85" t="n">
        <v>2488</v>
      </c>
      <c r="Q5" s="85" t="n">
        <v>3736</v>
      </c>
      <c r="R5" s="85" t="n">
        <v>4514</v>
      </c>
      <c r="S5" s="85" t="n">
        <v>254</v>
      </c>
      <c r="T5" s="85" t="n">
        <v>2329</v>
      </c>
      <c r="U5" s="85" t="n">
        <v>2268</v>
      </c>
      <c r="V5" s="85" t="n">
        <v>88</v>
      </c>
      <c r="W5" s="85" t="n">
        <v>8829</v>
      </c>
      <c r="X5" s="85" t="n">
        <v>5737</v>
      </c>
      <c r="Y5" s="85" t="n">
        <v>2305</v>
      </c>
      <c r="Z5" s="85" t="n">
        <v>8829</v>
      </c>
      <c r="AA5" s="85" t="n">
        <v>2637</v>
      </c>
      <c r="AB5" s="85" t="n">
        <v>17168</v>
      </c>
      <c r="AC5" s="85" t="n">
        <v>1909</v>
      </c>
      <c r="AD5" s="85" t="n">
        <v>2111</v>
      </c>
      <c r="AE5" s="85" t="n">
        <v>6758</v>
      </c>
      <c r="AF5" s="85" t="n">
        <v>2778</v>
      </c>
      <c r="AG5" s="85" t="n">
        <v>3358</v>
      </c>
      <c r="AH5" s="85" t="n">
        <v>17168</v>
      </c>
      <c r="AI5" s="85" t="n">
        <v>8829</v>
      </c>
      <c r="AJ5" s="85" t="n">
        <v>2430</v>
      </c>
      <c r="AK5" s="85" t="n">
        <v>2584</v>
      </c>
      <c r="AL5" s="85" t="n">
        <v>622</v>
      </c>
      <c r="AM5" s="85" t="n">
        <v>595</v>
      </c>
      <c r="AN5" s="85" t="n">
        <v>684</v>
      </c>
      <c r="AO5" s="85" t="n">
        <v>541</v>
      </c>
      <c r="AP5" s="85" t="n">
        <v>2394</v>
      </c>
      <c r="AQ5" s="85" t="n">
        <v>2306</v>
      </c>
      <c r="AR5" s="85" t="n">
        <v>360</v>
      </c>
      <c r="AS5" s="85" t="n">
        <v>246</v>
      </c>
      <c r="AT5" s="91" t="inlineStr">
        <is>
          <t>N/A</t>
        </is>
      </c>
      <c r="AU5" s="91" t="inlineStr">
        <is>
          <t>N/A</t>
        </is>
      </c>
      <c r="AV5" s="85" t="n">
        <v>585</v>
      </c>
      <c r="AW5" s="85" t="n">
        <v>1036</v>
      </c>
      <c r="AX5" s="85" t="n">
        <v>2488</v>
      </c>
      <c r="AY5" s="85" t="n">
        <v>2833</v>
      </c>
      <c r="AZ5" s="85" t="n">
        <v>1903</v>
      </c>
      <c r="BA5" s="85" t="n">
        <v>1331</v>
      </c>
      <c r="BB5" s="85" t="n">
        <v>109.7</v>
      </c>
      <c r="BC5" s="85" t="n">
        <v>109.7</v>
      </c>
      <c r="BD5" s="85" t="n">
        <v>2232</v>
      </c>
      <c r="BE5" s="85" t="n">
        <v>1927</v>
      </c>
      <c r="BF5" s="85" t="n">
        <v>4121</v>
      </c>
      <c r="BG5" s="85" t="n">
        <v>237</v>
      </c>
      <c r="BH5" s="85" t="n">
        <v>-645</v>
      </c>
      <c r="BI5" s="85" t="n">
        <v>-520</v>
      </c>
      <c r="BJ5" s="91" t="inlineStr">
        <is>
          <t>N/A</t>
        </is>
      </c>
      <c r="BK5" s="91" t="inlineStr">
        <is>
          <t>N/A</t>
        </is>
      </c>
      <c r="BL5" s="91" t="inlineStr">
        <is>
          <t>N/A</t>
        </is>
      </c>
      <c r="BM5" s="91" t="inlineStr">
        <is>
          <t>N/A</t>
        </is>
      </c>
      <c r="BN5" s="85" t="n">
        <v>49</v>
      </c>
      <c r="BO5" s="85" t="n">
        <v>10933</v>
      </c>
      <c r="BP5" s="85" t="n">
        <v>10410</v>
      </c>
      <c r="BQ5" s="85" t="n">
        <v>0</v>
      </c>
      <c r="BR5" s="85" t="n">
        <v>0</v>
      </c>
      <c r="BS5" s="85" t="n">
        <v>0</v>
      </c>
      <c r="BT5" s="85" t="n">
        <v>0</v>
      </c>
      <c r="BU5" s="85" t="n">
        <v>0</v>
      </c>
      <c r="BV5" s="91" t="inlineStr">
        <is>
          <t>N/A</t>
        </is>
      </c>
      <c r="BW5" s="85" t="n">
        <v>0</v>
      </c>
      <c r="BX5" s="85" t="n">
        <v>0</v>
      </c>
      <c r="BY5" s="85" t="n">
        <v>0</v>
      </c>
    </row>
    <row r="6" ht="17" customHeight="1">
      <c r="A6" s="86" t="n">
        <v>4</v>
      </c>
      <c r="B6" s="87" t="inlineStr">
        <is>
          <t>SO</t>
        </is>
      </c>
      <c r="C6" s="88" t="inlineStr">
        <is>
          <t>SOUTHERN CO</t>
        </is>
      </c>
      <c r="D6" s="86" t="inlineStr">
        <is>
          <t>Utilities</t>
        </is>
      </c>
      <c r="E6" s="86" t="n">
        <v>2026</v>
      </c>
      <c r="F6" s="89" t="n">
        <v>155720</v>
      </c>
      <c r="G6" s="89" t="n">
        <v>10917</v>
      </c>
      <c r="H6" s="89" t="n">
        <v>16888</v>
      </c>
      <c r="I6" s="89" t="n">
        <v>116853</v>
      </c>
      <c r="J6" s="89" t="n">
        <v>14856</v>
      </c>
      <c r="K6" s="89" t="n">
        <v>7285</v>
      </c>
      <c r="L6" s="89" t="n">
        <v>29553</v>
      </c>
      <c r="M6" s="89" t="n">
        <v>4341</v>
      </c>
      <c r="N6" s="89" t="n">
        <v>9802</v>
      </c>
      <c r="O6" s="90" t="inlineStr">
        <is>
          <t>N/A</t>
        </is>
      </c>
      <c r="P6" s="90" t="inlineStr">
        <is>
          <t>N/A</t>
        </is>
      </c>
      <c r="Q6" s="89" t="n">
        <v>36016</v>
      </c>
      <c r="R6" s="90" t="inlineStr">
        <is>
          <t>N/A</t>
        </is>
      </c>
      <c r="S6" s="89" t="n">
        <v>32</v>
      </c>
      <c r="T6" s="89" t="n">
        <v>3139</v>
      </c>
      <c r="U6" s="89" t="n">
        <v>99844</v>
      </c>
      <c r="V6" s="90" t="inlineStr">
        <is>
          <t>N/A</t>
        </is>
      </c>
      <c r="W6" s="89" t="n">
        <v>145180</v>
      </c>
      <c r="X6" s="89" t="n">
        <v>10694</v>
      </c>
      <c r="Y6" s="89" t="n">
        <v>15993</v>
      </c>
      <c r="Z6" s="89" t="n">
        <v>108506</v>
      </c>
      <c r="AA6" s="89" t="n">
        <v>7068</v>
      </c>
      <c r="AB6" s="89" t="n">
        <v>26724</v>
      </c>
      <c r="AC6" s="89" t="n">
        <v>4401</v>
      </c>
      <c r="AD6" s="89" t="n">
        <v>9788</v>
      </c>
      <c r="AE6" s="90" t="inlineStr">
        <is>
          <t>N/A</t>
        </is>
      </c>
      <c r="AF6" s="90" t="inlineStr">
        <is>
          <t>N/A</t>
        </is>
      </c>
      <c r="AG6" s="89" t="n">
        <v>33208</v>
      </c>
      <c r="AH6" s="89" t="n">
        <v>26724</v>
      </c>
      <c r="AI6" s="89" t="n">
        <v>145180</v>
      </c>
      <c r="AJ6" s="89" t="n">
        <v>4999</v>
      </c>
      <c r="AK6" s="89" t="n">
        <v>5229</v>
      </c>
      <c r="AL6" s="89" t="n">
        <v>828</v>
      </c>
      <c r="AM6" s="89" t="n">
        <v>969</v>
      </c>
      <c r="AN6" s="89" t="n">
        <v>12737</v>
      </c>
      <c r="AO6" s="89" t="n">
        <v>8955</v>
      </c>
      <c r="AP6" s="90" t="inlineStr">
        <is>
          <t>N/A</t>
        </is>
      </c>
      <c r="AQ6" s="90" t="inlineStr">
        <is>
          <t>N/A</t>
        </is>
      </c>
      <c r="AR6" s="89" t="n">
        <v>5161</v>
      </c>
      <c r="AS6" s="89" t="n">
        <v>225</v>
      </c>
      <c r="AT6" s="89" t="n">
        <v>722</v>
      </c>
      <c r="AU6" s="90" t="inlineStr">
        <is>
          <t>N/A</t>
        </is>
      </c>
      <c r="AV6" s="89" t="n">
        <v>1639</v>
      </c>
      <c r="AW6" s="89" t="n">
        <v>1070</v>
      </c>
      <c r="AX6" s="89" t="n">
        <v>722</v>
      </c>
      <c r="AY6" s="90" t="inlineStr">
        <is>
          <t>N/A</t>
        </is>
      </c>
      <c r="AZ6" s="89" t="n">
        <v>-917</v>
      </c>
      <c r="BA6" s="89" t="n">
        <v>-2935</v>
      </c>
      <c r="BB6" s="89" t="n">
        <v>1100</v>
      </c>
      <c r="BC6" s="89" t="n">
        <v>1100</v>
      </c>
      <c r="BD6" s="89" t="n">
        <v>3048</v>
      </c>
      <c r="BE6" s="89" t="n">
        <v>94570</v>
      </c>
      <c r="BF6" s="90" t="inlineStr">
        <is>
          <t>N/A</t>
        </is>
      </c>
      <c r="BG6" s="89" t="n">
        <v>35</v>
      </c>
      <c r="BH6" s="89" t="n">
        <v>-13959</v>
      </c>
      <c r="BI6" s="89" t="n">
        <v>-9400</v>
      </c>
      <c r="BJ6" s="89" t="n">
        <v>3710</v>
      </c>
      <c r="BK6" s="89" t="n">
        <v>3701</v>
      </c>
      <c r="BL6" s="89" t="n">
        <v>213</v>
      </c>
      <c r="BM6" s="89" t="n">
        <v>140</v>
      </c>
      <c r="BN6" s="89" t="n">
        <v>22</v>
      </c>
      <c r="BO6" s="90" t="inlineStr">
        <is>
          <t>N/A</t>
        </is>
      </c>
      <c r="BP6" s="90" t="inlineStr">
        <is>
          <t>N/A</t>
        </is>
      </c>
      <c r="BQ6" s="89" t="n">
        <v>0</v>
      </c>
      <c r="BR6" s="89" t="n">
        <v>0</v>
      </c>
      <c r="BS6" s="90" t="inlineStr">
        <is>
          <t>N/A</t>
        </is>
      </c>
      <c r="BT6" s="90" t="inlineStr">
        <is>
          <t>N/A</t>
        </is>
      </c>
      <c r="BU6" s="90" t="inlineStr">
        <is>
          <t>N/A</t>
        </is>
      </c>
      <c r="BV6" s="90" t="inlineStr">
        <is>
          <t>N/A</t>
        </is>
      </c>
      <c r="BW6" s="89" t="n">
        <v>0</v>
      </c>
      <c r="BX6" s="89" t="n">
        <v>0</v>
      </c>
      <c r="BY6" s="89" t="n">
        <v>0</v>
      </c>
    </row>
    <row r="7" ht="17" customHeight="1">
      <c r="A7" s="82" t="n">
        <v>5</v>
      </c>
      <c r="B7" s="83" t="inlineStr">
        <is>
          <t>VICI</t>
        </is>
      </c>
      <c r="C7" s="84" t="inlineStr">
        <is>
          <t>VICI Properties Inc.</t>
        </is>
      </c>
      <c r="D7" s="82" t="inlineStr">
        <is>
          <t>Real Estate</t>
        </is>
      </c>
      <c r="E7" s="82" t="n">
        <v>2026</v>
      </c>
      <c r="F7" s="85" t="n">
        <v>46724.2</v>
      </c>
      <c r="G7" s="91" t="inlineStr">
        <is>
          <t>N/A</t>
        </is>
      </c>
      <c r="H7" s="91" t="inlineStr">
        <is>
          <t>N/A</t>
        </is>
      </c>
      <c r="I7" s="85" t="n">
        <v>18501.6</v>
      </c>
      <c r="J7" s="85" t="n">
        <v>2767.1</v>
      </c>
      <c r="K7" s="85" t="n">
        <v>321</v>
      </c>
      <c r="L7" s="85" t="n">
        <v>4006.1</v>
      </c>
      <c r="M7" s="85" t="n">
        <v>2775.5</v>
      </c>
      <c r="N7" s="85" t="n">
        <v>2510</v>
      </c>
      <c r="O7" s="85" t="n">
        <v>3979.4</v>
      </c>
      <c r="P7" s="85" t="n">
        <v>16773.2</v>
      </c>
      <c r="Q7" s="85" t="n">
        <v>27797.6</v>
      </c>
      <c r="R7" s="85" t="n">
        <v>65.09999999999999</v>
      </c>
      <c r="S7" s="85" t="n">
        <v>3.6</v>
      </c>
      <c r="T7" s="91" t="inlineStr">
        <is>
          <t>N/A</t>
        </is>
      </c>
      <c r="U7" s="85" t="n">
        <v>68</v>
      </c>
      <c r="V7" s="85" t="n">
        <v>818.1</v>
      </c>
      <c r="W7" s="85" t="n">
        <v>45368.9</v>
      </c>
      <c r="X7" s="91" t="inlineStr">
        <is>
          <t>N/A</t>
        </is>
      </c>
      <c r="Y7" s="91" t="inlineStr">
        <is>
          <t>N/A</t>
        </is>
      </c>
      <c r="Z7" s="85" t="n">
        <v>18417.1</v>
      </c>
      <c r="AA7" s="85" t="n">
        <v>842.5</v>
      </c>
      <c r="AB7" s="85" t="n">
        <v>3849.2</v>
      </c>
      <c r="AC7" s="85" t="n">
        <v>2678.8</v>
      </c>
      <c r="AD7" s="85" t="n">
        <v>2381.5</v>
      </c>
      <c r="AE7" s="85" t="n">
        <v>3822.3</v>
      </c>
      <c r="AF7" s="85" t="n">
        <v>16732.9</v>
      </c>
      <c r="AG7" s="85" t="n">
        <v>26538</v>
      </c>
      <c r="AH7" s="85" t="n">
        <v>3849.2</v>
      </c>
      <c r="AI7" s="85" t="n">
        <v>45368.9</v>
      </c>
      <c r="AJ7" s="85" t="n">
        <v>2821</v>
      </c>
      <c r="AK7" s="85" t="n">
        <v>2730.9</v>
      </c>
      <c r="AL7" s="85" t="n">
        <v>2.4</v>
      </c>
      <c r="AM7" s="85" t="n">
        <v>9.699999999999999</v>
      </c>
      <c r="AN7" s="85" t="n">
        <v>2.7</v>
      </c>
      <c r="AO7" s="85" t="n">
        <v>0.9</v>
      </c>
      <c r="AP7" s="91" t="inlineStr">
        <is>
          <t>N/A</t>
        </is>
      </c>
      <c r="AQ7" s="91" t="inlineStr">
        <is>
          <t>N/A</t>
        </is>
      </c>
      <c r="AR7" s="91" t="inlineStr">
        <is>
          <t>N/A</t>
        </is>
      </c>
      <c r="AS7" s="91" t="inlineStr">
        <is>
          <t>N/A</t>
        </is>
      </c>
      <c r="AT7" s="91" t="inlineStr">
        <is>
          <t>N/A</t>
        </is>
      </c>
      <c r="AU7" s="91" t="inlineStr">
        <is>
          <t>N/A</t>
        </is>
      </c>
      <c r="AV7" s="85" t="n">
        <v>563.5</v>
      </c>
      <c r="AW7" s="85" t="n">
        <v>524.6</v>
      </c>
      <c r="AX7" s="85" t="n">
        <v>16773.2</v>
      </c>
      <c r="AY7" s="85" t="n">
        <v>16732.9</v>
      </c>
      <c r="AZ7" s="85" t="n">
        <v>16209.8</v>
      </c>
      <c r="BA7" s="85" t="n">
        <v>2507.3</v>
      </c>
      <c r="BB7" s="85" t="n">
        <v>1068.8</v>
      </c>
      <c r="BC7" s="85" t="n">
        <v>1056.4</v>
      </c>
      <c r="BD7" s="91" t="inlineStr">
        <is>
          <t>N/A</t>
        </is>
      </c>
      <c r="BE7" s="85" t="n">
        <v>70.3</v>
      </c>
      <c r="BF7" s="85" t="n">
        <v>69.09999999999999</v>
      </c>
      <c r="BG7" s="85" t="n">
        <v>4.1</v>
      </c>
      <c r="BH7" s="85" t="n">
        <v>-904.8</v>
      </c>
      <c r="BI7" s="85" t="n">
        <v>-922.8</v>
      </c>
      <c r="BJ7" s="91" t="inlineStr">
        <is>
          <t>N/A</t>
        </is>
      </c>
      <c r="BK7" s="91" t="inlineStr">
        <is>
          <t>N/A</t>
        </is>
      </c>
      <c r="BL7" s="85" t="n">
        <v>68.09999999999999</v>
      </c>
      <c r="BM7" s="91" t="inlineStr">
        <is>
          <t>N/A</t>
        </is>
      </c>
      <c r="BN7" s="91" t="inlineStr">
        <is>
          <t>N/A</t>
        </is>
      </c>
      <c r="BO7" s="85" t="n">
        <v>26.7</v>
      </c>
      <c r="BP7" s="85" t="n">
        <v>26.9</v>
      </c>
      <c r="BQ7" s="91" t="inlineStr">
        <is>
          <t>N/A</t>
        </is>
      </c>
      <c r="BR7" s="91" t="inlineStr">
        <is>
          <t>N/A</t>
        </is>
      </c>
      <c r="BS7" s="91" t="inlineStr">
        <is>
          <t>N/A</t>
        </is>
      </c>
      <c r="BT7" s="91" t="inlineStr">
        <is>
          <t>N/A</t>
        </is>
      </c>
      <c r="BU7" s="91" t="inlineStr">
        <is>
          <t>N/A</t>
        </is>
      </c>
      <c r="BV7" s="91" t="inlineStr">
        <is>
          <t>N/A</t>
        </is>
      </c>
      <c r="BW7" s="85" t="n">
        <v>0</v>
      </c>
      <c r="BX7" s="85" t="n">
        <v>0</v>
      </c>
      <c r="BY7" s="85" t="n">
        <v>0</v>
      </c>
    </row>
    <row r="8" ht="17" customHeight="1">
      <c r="A8" s="86" t="n">
        <v>6</v>
      </c>
      <c r="B8" s="87" t="inlineStr">
        <is>
          <t>MPWR</t>
        </is>
      </c>
      <c r="C8" s="88" t="inlineStr">
        <is>
          <t>MONOLITHIC POWER SYSTEMS INC</t>
        </is>
      </c>
      <c r="D8" s="86" t="inlineStr">
        <is>
          <t>Information Technology</t>
        </is>
      </c>
      <c r="E8" s="86" t="n">
        <v>2026</v>
      </c>
      <c r="F8" s="89" t="n">
        <v>4194.2</v>
      </c>
      <c r="G8" s="89" t="n">
        <v>2183.8</v>
      </c>
      <c r="H8" s="89" t="n">
        <v>369.4</v>
      </c>
      <c r="I8" s="89" t="n">
        <v>662.7</v>
      </c>
      <c r="J8" s="89" t="n">
        <v>2609.7</v>
      </c>
      <c r="K8" s="89" t="n">
        <v>728.6</v>
      </c>
      <c r="L8" s="89" t="n">
        <v>333.1</v>
      </c>
      <c r="M8" s="89" t="n">
        <v>621.5</v>
      </c>
      <c r="N8" s="89" t="n">
        <v>838.2</v>
      </c>
      <c r="O8" s="89" t="n">
        <v>1539.7</v>
      </c>
      <c r="P8" s="90" t="inlineStr">
        <is>
          <t>N/A</t>
        </is>
      </c>
      <c r="Q8" s="89" t="n">
        <v>3531.5</v>
      </c>
      <c r="R8" s="89" t="n">
        <v>428.8</v>
      </c>
      <c r="S8" s="89" t="n">
        <v>52.5</v>
      </c>
      <c r="T8" s="89" t="n">
        <v>255.6</v>
      </c>
      <c r="U8" s="89" t="n">
        <v>627.7</v>
      </c>
      <c r="V8" s="90" t="inlineStr">
        <is>
          <t>N/A</t>
        </is>
      </c>
      <c r="W8" s="89" t="n">
        <v>4107.2</v>
      </c>
      <c r="X8" s="89" t="n">
        <v>2112.7</v>
      </c>
      <c r="Y8" s="89" t="n">
        <v>442.8</v>
      </c>
      <c r="Z8" s="89" t="n">
        <v>729.9</v>
      </c>
      <c r="AA8" s="89" t="n">
        <v>528.7</v>
      </c>
      <c r="AB8" s="89" t="n">
        <v>282.5</v>
      </c>
      <c r="AC8" s="89" t="n">
        <v>449.8</v>
      </c>
      <c r="AD8" s="89" t="n">
        <v>788.4</v>
      </c>
      <c r="AE8" s="89" t="n">
        <v>1125.5</v>
      </c>
      <c r="AF8" s="90" t="inlineStr">
        <is>
          <t>N/A</t>
        </is>
      </c>
      <c r="AG8" s="89" t="n">
        <v>3377.3</v>
      </c>
      <c r="AH8" s="89" t="n">
        <v>282.5</v>
      </c>
      <c r="AI8" s="89" t="n">
        <v>3872.3</v>
      </c>
      <c r="AJ8" s="89" t="n">
        <v>766.2</v>
      </c>
      <c r="AK8" s="89" t="n">
        <v>556.4</v>
      </c>
      <c r="AL8" s="89" t="n">
        <v>144.7</v>
      </c>
      <c r="AM8" s="89" t="n">
        <v>106.6</v>
      </c>
      <c r="AN8" s="89" t="n">
        <v>172</v>
      </c>
      <c r="AO8" s="89" t="n">
        <v>146.1</v>
      </c>
      <c r="AP8" s="89" t="n">
        <v>564.6</v>
      </c>
      <c r="AQ8" s="89" t="n">
        <v>505.7</v>
      </c>
      <c r="AR8" s="89" t="n">
        <v>25.9</v>
      </c>
      <c r="AS8" s="89" t="n">
        <v>0.1</v>
      </c>
      <c r="AT8" s="90" t="inlineStr">
        <is>
          <t>N/A</t>
        </is>
      </c>
      <c r="AU8" s="89" t="n">
        <v>44.5</v>
      </c>
      <c r="AV8" s="89" t="n">
        <v>1099.3</v>
      </c>
      <c r="AW8" s="89" t="n">
        <v>1081.3</v>
      </c>
      <c r="AX8" s="90" t="inlineStr">
        <is>
          <t>N/A</t>
        </is>
      </c>
      <c r="AY8" s="90" t="inlineStr">
        <is>
          <t>N/A</t>
        </is>
      </c>
      <c r="AZ8" s="90" t="inlineStr">
        <is>
          <t>N/A</t>
        </is>
      </c>
      <c r="BA8" s="89" t="n">
        <v>666.2</v>
      </c>
      <c r="BB8" s="89" t="n">
        <v>48.7</v>
      </c>
      <c r="BC8" s="89" t="n">
        <v>47.9</v>
      </c>
      <c r="BD8" s="89" t="n">
        <v>241.6</v>
      </c>
      <c r="BE8" s="89" t="n">
        <v>597.3</v>
      </c>
      <c r="BF8" s="89" t="n">
        <v>310.1</v>
      </c>
      <c r="BG8" s="89" t="n">
        <v>36.4</v>
      </c>
      <c r="BH8" s="89" t="n">
        <v>-157.3</v>
      </c>
      <c r="BI8" s="89" t="n">
        <v>223</v>
      </c>
      <c r="BJ8" s="89" t="n">
        <v>138.3</v>
      </c>
      <c r="BK8" s="89" t="n">
        <v>141.7</v>
      </c>
      <c r="BL8" s="89" t="n">
        <v>1.8</v>
      </c>
      <c r="BM8" s="89" t="n">
        <v>1.8</v>
      </c>
      <c r="BN8" s="89" t="n">
        <v>8.1</v>
      </c>
      <c r="BO8" s="89" t="n">
        <v>1250.7</v>
      </c>
      <c r="BP8" s="89" t="n">
        <v>913.8</v>
      </c>
      <c r="BQ8" s="89" t="n">
        <v>0</v>
      </c>
      <c r="BR8" s="89" t="n">
        <v>0</v>
      </c>
      <c r="BS8" s="89" t="n">
        <v>0</v>
      </c>
      <c r="BT8" s="89" t="n">
        <v>0</v>
      </c>
      <c r="BU8" s="89" t="n">
        <v>0</v>
      </c>
      <c r="BV8" s="89" t="n">
        <v>0</v>
      </c>
      <c r="BW8" s="89" t="n">
        <v>0</v>
      </c>
      <c r="BX8" s="89" t="n">
        <v>0</v>
      </c>
      <c r="BY8" s="89" t="n">
        <v>0</v>
      </c>
    </row>
    <row r="9" ht="17" customHeight="1">
      <c r="A9" s="82" t="n">
        <v>7</v>
      </c>
      <c r="B9" s="83" t="inlineStr">
        <is>
          <t>EWBC</t>
        </is>
      </c>
      <c r="C9" s="84" t="inlineStr">
        <is>
          <t>EAST WEST BANCORP INC</t>
        </is>
      </c>
      <c r="D9" s="82" t="inlineStr">
        <is>
          <t>Financials</t>
        </is>
      </c>
      <c r="E9" s="82" t="n">
        <v>2026</v>
      </c>
      <c r="F9" s="85" t="n">
        <v>80435</v>
      </c>
      <c r="G9" s="91" t="inlineStr">
        <is>
          <t>N/A</t>
        </is>
      </c>
      <c r="H9" s="91" t="inlineStr">
        <is>
          <t>N/A</t>
        </is>
      </c>
      <c r="I9" s="85" t="n">
        <v>71535.8</v>
      </c>
      <c r="J9" s="85" t="n">
        <v>8301.5</v>
      </c>
      <c r="K9" s="85" t="n">
        <v>1725.5</v>
      </c>
      <c r="L9" s="85" t="n">
        <v>55.3</v>
      </c>
      <c r="M9" s="85" t="n">
        <v>1325.2</v>
      </c>
      <c r="N9" s="85" t="n">
        <v>1501.7</v>
      </c>
      <c r="O9" s="91" t="inlineStr">
        <is>
          <t>N/A</t>
        </is>
      </c>
      <c r="P9" s="85" t="n">
        <v>146.8</v>
      </c>
      <c r="Q9" s="85" t="n">
        <v>8899.200000000001</v>
      </c>
      <c r="R9" s="91" t="inlineStr">
        <is>
          <t>N/A</t>
        </is>
      </c>
      <c r="S9" s="85" t="n">
        <v>213.2</v>
      </c>
      <c r="T9" s="91" t="inlineStr">
        <is>
          <t>N/A</t>
        </is>
      </c>
      <c r="U9" s="85" t="n">
        <v>82.3</v>
      </c>
      <c r="V9" s="85" t="n">
        <v>1381.6</v>
      </c>
      <c r="W9" s="85" t="n">
        <v>75976.5</v>
      </c>
      <c r="X9" s="91" t="inlineStr">
        <is>
          <t>N/A</t>
        </is>
      </c>
      <c r="Y9" s="91" t="inlineStr">
        <is>
          <t>N/A</t>
        </is>
      </c>
      <c r="Z9" s="85" t="n">
        <v>68253.39999999999</v>
      </c>
      <c r="AA9" s="85" t="n">
        <v>1481.9</v>
      </c>
      <c r="AB9" s="85" t="n">
        <v>53.6</v>
      </c>
      <c r="AC9" s="85" t="n">
        <v>1165.6</v>
      </c>
      <c r="AD9" s="85" t="n">
        <v>1411.7</v>
      </c>
      <c r="AE9" s="91" t="inlineStr">
        <is>
          <t>N/A</t>
        </is>
      </c>
      <c r="AF9" s="85" t="n">
        <v>146.8</v>
      </c>
      <c r="AG9" s="85" t="n">
        <v>7723.1</v>
      </c>
      <c r="AH9" s="85" t="n">
        <v>53</v>
      </c>
      <c r="AI9" s="85" t="n">
        <v>75976.5</v>
      </c>
      <c r="AJ9" s="85" t="n">
        <v>1725.5</v>
      </c>
      <c r="AK9" s="85" t="n">
        <v>1481.9</v>
      </c>
      <c r="AL9" s="85" t="n">
        <v>400.3</v>
      </c>
      <c r="AM9" s="85" t="n">
        <v>316.3</v>
      </c>
      <c r="AN9" s="85" t="n">
        <v>6</v>
      </c>
      <c r="AO9" s="85" t="n">
        <v>2.7</v>
      </c>
      <c r="AP9" s="91" t="inlineStr">
        <is>
          <t>N/A</t>
        </is>
      </c>
      <c r="AQ9" s="91" t="inlineStr">
        <is>
          <t>N/A</t>
        </is>
      </c>
      <c r="AR9" s="85" t="n">
        <v>465.7</v>
      </c>
      <c r="AS9" s="85" t="n">
        <v>28</v>
      </c>
      <c r="AT9" s="85" t="n">
        <v>28.7</v>
      </c>
      <c r="AU9" s="91" t="inlineStr">
        <is>
          <t>N/A</t>
        </is>
      </c>
      <c r="AV9" s="85" t="n">
        <v>4188.1</v>
      </c>
      <c r="AW9" s="85" t="n">
        <v>5250.7</v>
      </c>
      <c r="AX9" s="85" t="n">
        <v>175.5</v>
      </c>
      <c r="AY9" s="85" t="n">
        <v>204.5</v>
      </c>
      <c r="AZ9" s="85" t="n">
        <v>-4012.6</v>
      </c>
      <c r="BA9" s="85" t="n">
        <v>1495.7</v>
      </c>
      <c r="BB9" s="85" t="n">
        <v>143.6</v>
      </c>
      <c r="BC9" s="85" t="n">
        <v>137.6</v>
      </c>
      <c r="BD9" s="91" t="inlineStr">
        <is>
          <t>N/A</t>
        </is>
      </c>
      <c r="BE9" s="85" t="n">
        <v>82.2</v>
      </c>
      <c r="BF9" s="91" t="inlineStr">
        <is>
          <t>N/A</t>
        </is>
      </c>
      <c r="BG9" s="85" t="n">
        <v>198.4</v>
      </c>
      <c r="BH9" s="85" t="n">
        <v>-5476.5</v>
      </c>
      <c r="BI9" s="85" t="n">
        <v>-6295.2</v>
      </c>
      <c r="BJ9" s="91" t="inlineStr">
        <is>
          <t>N/A</t>
        </is>
      </c>
      <c r="BK9" s="91" t="inlineStr">
        <is>
          <t>N/A</t>
        </is>
      </c>
      <c r="BL9" s="91" t="inlineStr">
        <is>
          <t>N/A</t>
        </is>
      </c>
      <c r="BM9" s="91" t="inlineStr">
        <is>
          <t>N/A</t>
        </is>
      </c>
      <c r="BN9" s="91" t="inlineStr">
        <is>
          <t>N/A</t>
        </is>
      </c>
      <c r="BO9" s="91" t="inlineStr">
        <is>
          <t>N/A</t>
        </is>
      </c>
      <c r="BP9" s="91" t="inlineStr">
        <is>
          <t>N/A</t>
        </is>
      </c>
      <c r="BQ9" s="91" t="inlineStr">
        <is>
          <t>N/A</t>
        </is>
      </c>
      <c r="BR9" s="91" t="inlineStr">
        <is>
          <t>N/A</t>
        </is>
      </c>
      <c r="BS9" s="91" t="inlineStr">
        <is>
          <t>N/A</t>
        </is>
      </c>
      <c r="BT9" s="91" t="inlineStr">
        <is>
          <t>N/A</t>
        </is>
      </c>
      <c r="BU9" s="91" t="inlineStr">
        <is>
          <t>N/A</t>
        </is>
      </c>
      <c r="BV9" s="91" t="inlineStr">
        <is>
          <t>N/A</t>
        </is>
      </c>
      <c r="BW9" s="85" t="n">
        <v>0</v>
      </c>
      <c r="BX9" s="85" t="n">
        <v>0</v>
      </c>
      <c r="BY9" s="85" t="n">
        <v>0</v>
      </c>
    </row>
    <row r="10" ht="17" customHeight="1">
      <c r="A10" s="86" t="n">
        <v>8</v>
      </c>
      <c r="B10" s="87" t="inlineStr">
        <is>
          <t>BEN</t>
        </is>
      </c>
      <c r="C10" s="88" t="inlineStr">
        <is>
          <t>FRANKLIN RESOURCES, INC.</t>
        </is>
      </c>
      <c r="D10" s="86" t="inlineStr">
        <is>
          <t>Financials</t>
        </is>
      </c>
      <c r="E10" s="86" t="n">
        <v>2026</v>
      </c>
      <c r="F10" s="89" t="n">
        <v>32368.3</v>
      </c>
      <c r="G10" s="89" t="n">
        <v>7616.8</v>
      </c>
      <c r="H10" s="89" t="n">
        <v>1312.1</v>
      </c>
      <c r="I10" s="89" t="n">
        <v>18179.5</v>
      </c>
      <c r="J10" s="89" t="n">
        <v>11516</v>
      </c>
      <c r="K10" s="89" t="n">
        <v>604.1</v>
      </c>
      <c r="L10" s="89" t="n">
        <v>5774.5</v>
      </c>
      <c r="M10" s="89" t="n">
        <v>524.9</v>
      </c>
      <c r="N10" s="89" t="n">
        <v>1066.1</v>
      </c>
      <c r="O10" s="89" t="n">
        <v>-2392.1</v>
      </c>
      <c r="P10" s="89" t="n">
        <v>2362</v>
      </c>
      <c r="Q10" s="89" t="n">
        <v>12077.8</v>
      </c>
      <c r="R10" s="89" t="n">
        <v>774.5</v>
      </c>
      <c r="S10" s="89" t="n">
        <v>141.4</v>
      </c>
      <c r="T10" s="89" t="n">
        <v>772.5</v>
      </c>
      <c r="U10" s="89" t="n">
        <v>949.1</v>
      </c>
      <c r="V10" s="89" t="n">
        <v>94.90000000000001</v>
      </c>
      <c r="W10" s="89" t="n">
        <v>32464.5</v>
      </c>
      <c r="X10" s="89" t="n">
        <v>6362.8</v>
      </c>
      <c r="Y10" s="89" t="n">
        <v>1006.6</v>
      </c>
      <c r="Z10" s="89" t="n">
        <v>17899.7</v>
      </c>
      <c r="AA10" s="89" t="n">
        <v>407.6</v>
      </c>
      <c r="AB10" s="89" t="n">
        <v>6319.1</v>
      </c>
      <c r="AC10" s="89" t="n">
        <v>464.8</v>
      </c>
      <c r="AD10" s="89" t="n">
        <v>971.3</v>
      </c>
      <c r="AE10" s="89" t="n">
        <v>-1751.3</v>
      </c>
      <c r="AF10" s="89" t="n">
        <v>2780.3</v>
      </c>
      <c r="AG10" s="89" t="n">
        <v>12508.1</v>
      </c>
      <c r="AH10" s="89" t="n">
        <v>6319.1</v>
      </c>
      <c r="AI10" s="89" t="n">
        <v>32464.5</v>
      </c>
      <c r="AJ10" s="89" t="n">
        <v>786.8</v>
      </c>
      <c r="AK10" s="89" t="n">
        <v>823.2</v>
      </c>
      <c r="AL10" s="89" t="n">
        <v>237.9</v>
      </c>
      <c r="AM10" s="89" t="n">
        <v>215.3</v>
      </c>
      <c r="AN10" s="89" t="n">
        <v>154.5</v>
      </c>
      <c r="AO10" s="89" t="n">
        <v>177.1</v>
      </c>
      <c r="AP10" s="90" t="inlineStr">
        <is>
          <t>N/A</t>
        </is>
      </c>
      <c r="AQ10" s="90" t="inlineStr">
        <is>
          <t>N/A</t>
        </is>
      </c>
      <c r="AR10" s="89" t="n">
        <v>6206</v>
      </c>
      <c r="AS10" s="89" t="n">
        <v>765.7</v>
      </c>
      <c r="AT10" s="89" t="n">
        <v>84.5</v>
      </c>
      <c r="AU10" s="90" t="inlineStr">
        <is>
          <t>N/A</t>
        </is>
      </c>
      <c r="AV10" s="89" t="n">
        <v>4647.2</v>
      </c>
      <c r="AW10" s="89" t="n">
        <v>3957.5</v>
      </c>
      <c r="AX10" s="89" t="n">
        <v>2446.5</v>
      </c>
      <c r="AY10" s="89" t="n">
        <v>2810.3</v>
      </c>
      <c r="AZ10" s="89" t="n">
        <v>-2200.7</v>
      </c>
      <c r="BA10" s="89" t="n">
        <v>911.6</v>
      </c>
      <c r="BB10" s="89" t="n">
        <v>521</v>
      </c>
      <c r="BC10" s="89" t="n">
        <v>523.6</v>
      </c>
      <c r="BD10" s="89" t="n">
        <v>684.2</v>
      </c>
      <c r="BE10" s="89" t="n">
        <v>946.4</v>
      </c>
      <c r="BF10" s="89" t="n">
        <v>703.3</v>
      </c>
      <c r="BG10" s="89" t="n">
        <v>129.9</v>
      </c>
      <c r="BH10" s="89" t="n">
        <v>-2342.7</v>
      </c>
      <c r="BI10" s="89" t="n">
        <v>-2423.7</v>
      </c>
      <c r="BJ10" s="89" t="n">
        <v>328.3</v>
      </c>
      <c r="BK10" s="89" t="n">
        <v>207.4</v>
      </c>
      <c r="BL10" s="90" t="inlineStr">
        <is>
          <t>N/A</t>
        </is>
      </c>
      <c r="BM10" s="90" t="inlineStr">
        <is>
          <t>N/A</t>
        </is>
      </c>
      <c r="BN10" s="89" t="n">
        <v>128.8</v>
      </c>
      <c r="BO10" s="89" t="n">
        <v>8166.6</v>
      </c>
      <c r="BP10" s="89" t="n">
        <v>8070.4</v>
      </c>
      <c r="BQ10" s="89" t="n">
        <v>0</v>
      </c>
      <c r="BR10" s="89" t="n">
        <v>0</v>
      </c>
      <c r="BS10" s="90" t="inlineStr">
        <is>
          <t>N/A</t>
        </is>
      </c>
      <c r="BT10" s="90" t="inlineStr">
        <is>
          <t>N/A</t>
        </is>
      </c>
      <c r="BU10" s="89" t="n">
        <v>0</v>
      </c>
      <c r="BV10" s="89" t="n">
        <v>0</v>
      </c>
      <c r="BW10" s="89" t="n">
        <v>0</v>
      </c>
      <c r="BX10" s="89" t="n">
        <v>0</v>
      </c>
      <c r="BY10" s="89" t="n">
        <v>0</v>
      </c>
    </row>
    <row r="11" ht="17" customHeight="1">
      <c r="A11" s="82" t="n">
        <v>9</v>
      </c>
      <c r="B11" s="83" t="inlineStr">
        <is>
          <t>NVDA</t>
        </is>
      </c>
      <c r="C11" s="84" t="inlineStr">
        <is>
          <t>NVIDIA CORP</t>
        </is>
      </c>
      <c r="D11" s="82" t="inlineStr">
        <is>
          <t>Information Technology</t>
        </is>
      </c>
      <c r="E11" s="82" t="n">
        <v>2026</v>
      </c>
      <c r="F11" s="85" t="n">
        <v>206803</v>
      </c>
      <c r="G11" s="85" t="n">
        <v>125605</v>
      </c>
      <c r="H11" s="85" t="n">
        <v>32163</v>
      </c>
      <c r="I11" s="85" t="n">
        <v>49510</v>
      </c>
      <c r="J11" s="85" t="n">
        <v>146973</v>
      </c>
      <c r="K11" s="85" t="n">
        <v>130387</v>
      </c>
      <c r="L11" s="85" t="n">
        <v>215938</v>
      </c>
      <c r="M11" s="85" t="n">
        <v>120067</v>
      </c>
      <c r="N11" s="85" t="n">
        <v>102718</v>
      </c>
      <c r="O11" s="85" t="n">
        <v>153463</v>
      </c>
      <c r="P11" s="85" t="n">
        <v>8468</v>
      </c>
      <c r="Q11" s="85" t="n">
        <v>157293</v>
      </c>
      <c r="R11" s="85" t="n">
        <v>4579</v>
      </c>
      <c r="S11" s="85" t="n">
        <v>1098</v>
      </c>
      <c r="T11" s="85" t="n">
        <v>38466</v>
      </c>
      <c r="U11" s="85" t="n">
        <v>10383</v>
      </c>
      <c r="V11" s="85" t="n">
        <v>257</v>
      </c>
      <c r="W11" s="85" t="n">
        <v>111601</v>
      </c>
      <c r="X11" s="85" t="n">
        <v>80126</v>
      </c>
      <c r="Y11" s="85" t="n">
        <v>18047</v>
      </c>
      <c r="Z11" s="85" t="n">
        <v>32274</v>
      </c>
      <c r="AA11" s="85" t="n">
        <v>81453</v>
      </c>
      <c r="AB11" s="85" t="n">
        <v>130497</v>
      </c>
      <c r="AC11" s="85" t="n">
        <v>72880</v>
      </c>
      <c r="AD11" s="85" t="n">
        <v>64089</v>
      </c>
      <c r="AE11" s="85" t="n">
        <v>97858</v>
      </c>
      <c r="AF11" s="85" t="n">
        <v>8463</v>
      </c>
      <c r="AG11" s="85" t="n">
        <v>79327</v>
      </c>
      <c r="AH11" s="85" t="n">
        <v>130497</v>
      </c>
      <c r="AI11" s="85" t="n">
        <v>111601</v>
      </c>
      <c r="AJ11" s="85" t="n">
        <v>141450</v>
      </c>
      <c r="AK11" s="85" t="n">
        <v>84026</v>
      </c>
      <c r="AL11" s="85" t="n">
        <v>21383</v>
      </c>
      <c r="AM11" s="85" t="n">
        <v>11146</v>
      </c>
      <c r="AN11" s="85" t="n">
        <v>138.7</v>
      </c>
      <c r="AO11" s="85" t="n">
        <v>97.90000000000001</v>
      </c>
      <c r="AP11" s="85" t="n">
        <v>21403</v>
      </c>
      <c r="AQ11" s="85" t="n">
        <v>10080</v>
      </c>
      <c r="AR11" s="85" t="n">
        <v>20832</v>
      </c>
      <c r="AS11" s="85" t="n">
        <v>3306</v>
      </c>
      <c r="AT11" s="85" t="n">
        <v>999</v>
      </c>
      <c r="AU11" s="85" t="n">
        <v>18497</v>
      </c>
      <c r="AV11" s="85" t="n">
        <v>10605</v>
      </c>
      <c r="AW11" s="85" t="n">
        <v>8589</v>
      </c>
      <c r="AX11" s="85" t="n">
        <v>9467</v>
      </c>
      <c r="AY11" s="85" t="n">
        <v>8463</v>
      </c>
      <c r="AZ11" s="85" t="n">
        <v>-1138</v>
      </c>
      <c r="BA11" s="85" t="n">
        <v>102579.3</v>
      </c>
      <c r="BB11" s="85" t="n">
        <v>24304</v>
      </c>
      <c r="BC11" s="85" t="n">
        <v>24477</v>
      </c>
      <c r="BD11" s="85" t="n">
        <v>23065</v>
      </c>
      <c r="BE11" s="85" t="n">
        <v>6283</v>
      </c>
      <c r="BF11" s="85" t="n">
        <v>3491</v>
      </c>
      <c r="BG11" s="85" t="n">
        <v>381</v>
      </c>
      <c r="BH11" s="85" t="n">
        <v>-52228</v>
      </c>
      <c r="BI11" s="85" t="n">
        <v>-20421</v>
      </c>
      <c r="BJ11" s="85" t="n">
        <v>9812</v>
      </c>
      <c r="BK11" s="85" t="n">
        <v>6310</v>
      </c>
      <c r="BL11" s="85" t="n">
        <v>53</v>
      </c>
      <c r="BM11" s="85" t="n">
        <v>85</v>
      </c>
      <c r="BN11" s="85" t="n">
        <v>2669</v>
      </c>
      <c r="BO11" s="85" t="n">
        <v>6279</v>
      </c>
      <c r="BP11" s="85" t="n">
        <v>4150</v>
      </c>
      <c r="BQ11" s="85" t="n">
        <v>0</v>
      </c>
      <c r="BR11" s="85" t="n">
        <v>0</v>
      </c>
      <c r="BS11" s="85" t="n">
        <v>0</v>
      </c>
      <c r="BT11" s="85" t="n">
        <v>0</v>
      </c>
      <c r="BU11" s="85" t="n">
        <v>0</v>
      </c>
      <c r="BV11" s="85" t="n">
        <v>0</v>
      </c>
      <c r="BW11" s="85" t="n">
        <v>0</v>
      </c>
      <c r="BX11" s="85" t="n">
        <v>0</v>
      </c>
      <c r="BY11" s="85" t="n">
        <v>0</v>
      </c>
    </row>
    <row r="12" ht="17" customHeight="1">
      <c r="A12" s="86" t="n">
        <v>10</v>
      </c>
      <c r="B12" s="87" t="inlineStr">
        <is>
          <t>KRYS</t>
        </is>
      </c>
      <c r="C12" s="88" t="inlineStr">
        <is>
          <t>Krystal Biotech, Inc.</t>
        </is>
      </c>
      <c r="D12" s="86" t="inlineStr">
        <is>
          <t>Health Care</t>
        </is>
      </c>
      <c r="E12" s="86" t="n">
        <v>2026</v>
      </c>
      <c r="F12" s="89" t="n">
        <v>1333.8</v>
      </c>
      <c r="G12" s="89" t="n">
        <v>1024.6</v>
      </c>
      <c r="H12" s="89" t="n">
        <v>102.9</v>
      </c>
      <c r="I12" s="89" t="n">
        <v>114.2</v>
      </c>
      <c r="J12" s="89" t="n">
        <v>24.2</v>
      </c>
      <c r="K12" s="89" t="n">
        <v>161.3</v>
      </c>
      <c r="L12" s="89" t="n">
        <v>389.1</v>
      </c>
      <c r="M12" s="89" t="n">
        <v>204.8</v>
      </c>
      <c r="N12" s="89" t="n">
        <v>200.9</v>
      </c>
      <c r="O12" s="89" t="n">
        <v>161.3</v>
      </c>
      <c r="P12" s="89" t="n">
        <v>4.3</v>
      </c>
      <c r="Q12" s="89" t="n">
        <v>1219.6</v>
      </c>
      <c r="R12" s="89" t="n">
        <v>146.7</v>
      </c>
      <c r="S12" s="89" t="n">
        <v>4.1</v>
      </c>
      <c r="T12" s="89" t="n">
        <v>127.4</v>
      </c>
      <c r="U12" s="89" t="n">
        <v>150.8</v>
      </c>
      <c r="V12" s="90" t="inlineStr">
        <is>
          <t>N/A</t>
        </is>
      </c>
      <c r="W12" s="89" t="n">
        <v>1055.8</v>
      </c>
      <c r="X12" s="89" t="n">
        <v>742</v>
      </c>
      <c r="Y12" s="89" t="n">
        <v>102</v>
      </c>
      <c r="Z12" s="89" t="n">
        <v>109.5</v>
      </c>
      <c r="AA12" s="89" t="n">
        <v>65.7</v>
      </c>
      <c r="AB12" s="89" t="n">
        <v>290.5</v>
      </c>
      <c r="AC12" s="89" t="n">
        <v>89.2</v>
      </c>
      <c r="AD12" s="89" t="n">
        <v>123.4</v>
      </c>
      <c r="AE12" s="89" t="n">
        <v>65.7</v>
      </c>
      <c r="AF12" s="90" t="inlineStr">
        <is>
          <t>N/A</t>
        </is>
      </c>
      <c r="AG12" s="89" t="n">
        <v>946.4</v>
      </c>
      <c r="AH12" s="89" t="n">
        <v>290.5</v>
      </c>
      <c r="AI12" s="89" t="n">
        <v>1055.8</v>
      </c>
      <c r="AJ12" s="89" t="n">
        <v>189.5</v>
      </c>
      <c r="AK12" s="89" t="n">
        <v>95.40000000000001</v>
      </c>
      <c r="AL12" s="89" t="n">
        <v>-15.4</v>
      </c>
      <c r="AM12" s="89" t="n">
        <v>6.2</v>
      </c>
      <c r="AN12" s="89" t="n">
        <v>12</v>
      </c>
      <c r="AO12" s="89" t="n">
        <v>4.2</v>
      </c>
      <c r="AP12" s="89" t="n">
        <v>40.5</v>
      </c>
      <c r="AQ12" s="89" t="n">
        <v>26.5</v>
      </c>
      <c r="AR12" s="90" t="inlineStr">
        <is>
          <t>N/A</t>
        </is>
      </c>
      <c r="AS12" s="90" t="inlineStr">
        <is>
          <t>N/A</t>
        </is>
      </c>
      <c r="AT12" s="90" t="inlineStr">
        <is>
          <t>N/A</t>
        </is>
      </c>
      <c r="AU12" s="89" t="n">
        <v>58</v>
      </c>
      <c r="AV12" s="89" t="n">
        <v>496.3</v>
      </c>
      <c r="AW12" s="89" t="n">
        <v>344.9</v>
      </c>
      <c r="AX12" s="89" t="n">
        <v>4.3</v>
      </c>
      <c r="AY12" s="90" t="inlineStr">
        <is>
          <t>N/A</t>
        </is>
      </c>
      <c r="AZ12" s="89" t="n">
        <v>-492.1</v>
      </c>
      <c r="BA12" s="89" t="n">
        <v>188.9</v>
      </c>
      <c r="BB12" s="89" t="n">
        <v>29.2</v>
      </c>
      <c r="BC12" s="89" t="n">
        <v>28.8</v>
      </c>
      <c r="BD12" s="89" t="n">
        <v>104.7</v>
      </c>
      <c r="BE12" s="89" t="n">
        <v>155.2</v>
      </c>
      <c r="BF12" s="89" t="n">
        <v>113.7</v>
      </c>
      <c r="BG12" s="89" t="n">
        <v>2.8</v>
      </c>
      <c r="BH12" s="89" t="n">
        <v>-58.4</v>
      </c>
      <c r="BI12" s="89" t="n">
        <v>-163.4</v>
      </c>
      <c r="BJ12" s="89" t="n">
        <v>3.2</v>
      </c>
      <c r="BK12" s="89" t="n">
        <v>5</v>
      </c>
      <c r="BL12" s="90" t="inlineStr">
        <is>
          <t>N/A</t>
        </is>
      </c>
      <c r="BM12" s="90" t="inlineStr">
        <is>
          <t>N/A</t>
        </is>
      </c>
      <c r="BN12" s="90" t="inlineStr">
        <is>
          <t>N/A</t>
        </is>
      </c>
      <c r="BO12" s="89" t="n">
        <v>227.8</v>
      </c>
      <c r="BP12" s="89" t="n">
        <v>224.8</v>
      </c>
      <c r="BQ12" s="89" t="n">
        <v>0</v>
      </c>
      <c r="BR12" s="89" t="n">
        <v>0</v>
      </c>
      <c r="BS12" s="89" t="n">
        <v>0</v>
      </c>
      <c r="BT12" s="89" t="n">
        <v>0</v>
      </c>
      <c r="BU12" s="89" t="n">
        <v>0</v>
      </c>
      <c r="BV12" s="89" t="n">
        <v>0</v>
      </c>
      <c r="BW12" s="89" t="n">
        <v>0</v>
      </c>
      <c r="BX12" s="89" t="n">
        <v>0</v>
      </c>
      <c r="BY12" s="89" t="n">
        <v>-0</v>
      </c>
    </row>
    <row r="13" ht="17" customHeight="1">
      <c r="A13" s="82" t="n">
        <v>11</v>
      </c>
      <c r="B13" s="83" t="inlineStr">
        <is>
          <t>APTV</t>
        </is>
      </c>
      <c r="C13" s="84" t="inlineStr">
        <is>
          <t>APTIV PLC</t>
        </is>
      </c>
      <c r="D13" s="82" t="inlineStr">
        <is>
          <t>Consumer Discretionary</t>
        </is>
      </c>
      <c r="E13" s="82" t="n">
        <v>2026</v>
      </c>
      <c r="F13" s="85" t="n">
        <v>23413</v>
      </c>
      <c r="G13" s="85" t="n">
        <v>8745</v>
      </c>
      <c r="H13" s="85" t="n">
        <v>5037</v>
      </c>
      <c r="I13" s="85" t="n">
        <v>13914</v>
      </c>
      <c r="J13" s="85" t="n">
        <v>6227</v>
      </c>
      <c r="K13" s="85" t="n">
        <v>1184</v>
      </c>
      <c r="L13" s="85" t="n">
        <v>20398</v>
      </c>
      <c r="M13" s="85" t="n">
        <v>165</v>
      </c>
      <c r="N13" s="85" t="n">
        <v>2185</v>
      </c>
      <c r="O13" s="85" t="n">
        <v>963</v>
      </c>
      <c r="P13" s="85" t="n">
        <v>7653</v>
      </c>
      <c r="Q13" s="85" t="n">
        <v>9207</v>
      </c>
      <c r="R13" s="85" t="n">
        <v>1673</v>
      </c>
      <c r="S13" s="85" t="n">
        <v>991</v>
      </c>
      <c r="T13" s="85" t="n">
        <v>3477</v>
      </c>
      <c r="U13" s="85" t="n">
        <v>3774</v>
      </c>
      <c r="V13" s="85" t="n">
        <v>361</v>
      </c>
      <c r="W13" s="85" t="n">
        <v>23458</v>
      </c>
      <c r="X13" s="85" t="n">
        <v>7826</v>
      </c>
      <c r="Y13" s="85" t="n">
        <v>5131</v>
      </c>
      <c r="Z13" s="85" t="n">
        <v>14373</v>
      </c>
      <c r="AA13" s="85" t="n">
        <v>425</v>
      </c>
      <c r="AB13" s="85" t="n">
        <v>5153</v>
      </c>
      <c r="AC13" s="85" t="n">
        <v>138</v>
      </c>
      <c r="AD13" s="85" t="n">
        <v>2446</v>
      </c>
      <c r="AE13" s="85" t="n">
        <v>962</v>
      </c>
      <c r="AF13" s="85" t="n">
        <v>8465</v>
      </c>
      <c r="AG13" s="85" t="n">
        <v>8796</v>
      </c>
      <c r="AH13" s="85" t="n">
        <v>19713</v>
      </c>
      <c r="AI13" s="85" t="n">
        <v>23458</v>
      </c>
      <c r="AJ13" s="85" t="n">
        <v>919</v>
      </c>
      <c r="AK13" s="85" t="n">
        <v>2151</v>
      </c>
      <c r="AL13" s="85" t="n">
        <v>700</v>
      </c>
      <c r="AM13" s="85" t="n">
        <v>223</v>
      </c>
      <c r="AN13" s="85" t="n">
        <v>844</v>
      </c>
      <c r="AO13" s="85" t="n">
        <v>611</v>
      </c>
      <c r="AP13" s="85" t="n">
        <v>2561</v>
      </c>
      <c r="AQ13" s="85" t="n">
        <v>2320</v>
      </c>
      <c r="AR13" s="85" t="n">
        <v>4596</v>
      </c>
      <c r="AS13" s="85" t="n">
        <v>1838</v>
      </c>
      <c r="AT13" s="85" t="n">
        <v>81</v>
      </c>
      <c r="AU13" s="85" t="n">
        <v>1129</v>
      </c>
      <c r="AV13" s="85" t="n">
        <v>1851</v>
      </c>
      <c r="AW13" s="85" t="n">
        <v>1573</v>
      </c>
      <c r="AX13" s="85" t="n">
        <v>7734</v>
      </c>
      <c r="AY13" s="85" t="n">
        <v>8974</v>
      </c>
      <c r="AZ13" s="85" t="n">
        <v>5883</v>
      </c>
      <c r="BA13" s="85" t="n">
        <v>1341</v>
      </c>
      <c r="BB13" s="85" t="n">
        <v>212.7</v>
      </c>
      <c r="BC13" s="85" t="n">
        <v>235</v>
      </c>
      <c r="BD13" s="85" t="n">
        <v>3261</v>
      </c>
      <c r="BE13" s="85" t="n">
        <v>3698</v>
      </c>
      <c r="BF13" s="85" t="n">
        <v>1465</v>
      </c>
      <c r="BG13" s="85" t="n">
        <v>964</v>
      </c>
      <c r="BH13" s="85" t="n">
        <v>-498</v>
      </c>
      <c r="BI13" s="85" t="n">
        <v>-507</v>
      </c>
      <c r="BJ13" s="85" t="n">
        <v>3157</v>
      </c>
      <c r="BK13" s="85" t="n">
        <v>2870</v>
      </c>
      <c r="BL13" s="85" t="n">
        <v>84</v>
      </c>
      <c r="BM13" s="85" t="n">
        <v>111</v>
      </c>
      <c r="BN13" s="85" t="n">
        <v>240</v>
      </c>
      <c r="BO13" s="85" t="n">
        <v>16500</v>
      </c>
      <c r="BP13" s="85" t="n">
        <v>4190</v>
      </c>
      <c r="BQ13" s="85" t="n">
        <v>0</v>
      </c>
      <c r="BR13" s="85" t="n">
        <v>0</v>
      </c>
      <c r="BS13" s="85" t="n">
        <v>0</v>
      </c>
      <c r="BT13" s="85" t="n">
        <v>0</v>
      </c>
      <c r="BU13" s="85" t="n">
        <v>0</v>
      </c>
      <c r="BV13" s="85" t="n">
        <v>0</v>
      </c>
      <c r="BW13" s="85" t="n">
        <v>0</v>
      </c>
      <c r="BX13" s="85" t="n">
        <v>0</v>
      </c>
      <c r="BY13" s="85" t="n">
        <v>0</v>
      </c>
    </row>
    <row r="14" ht="17" customHeight="1">
      <c r="A14" s="86" t="n">
        <v>12</v>
      </c>
      <c r="B14" s="87" t="inlineStr">
        <is>
          <t>ZBRA</t>
        </is>
      </c>
      <c r="C14" s="88" t="inlineStr">
        <is>
          <t>ZEBRA TECHNOLOGIES CORPORATION</t>
        </is>
      </c>
      <c r="D14" s="86" t="inlineStr">
        <is>
          <t>Information Technology</t>
        </is>
      </c>
      <c r="E14" s="86" t="n">
        <v>2026</v>
      </c>
      <c r="F14" s="89" t="n">
        <v>8502</v>
      </c>
      <c r="G14" s="89" t="n">
        <v>1796</v>
      </c>
      <c r="H14" s="89" t="n">
        <v>1852</v>
      </c>
      <c r="I14" s="89" t="n">
        <v>4914</v>
      </c>
      <c r="J14" s="89" t="n">
        <v>5279</v>
      </c>
      <c r="K14" s="89" t="n">
        <v>700</v>
      </c>
      <c r="L14" s="89" t="n">
        <v>5396</v>
      </c>
      <c r="M14" s="89" t="n">
        <v>419</v>
      </c>
      <c r="N14" s="89" t="n">
        <v>917</v>
      </c>
      <c r="O14" s="89" t="n">
        <v>2593</v>
      </c>
      <c r="P14" s="89" t="n">
        <v>266</v>
      </c>
      <c r="Q14" s="89" t="n">
        <v>3588</v>
      </c>
      <c r="R14" s="89" t="n">
        <v>433</v>
      </c>
      <c r="S14" s="89" t="n">
        <v>185</v>
      </c>
      <c r="T14" s="89" t="n">
        <v>801</v>
      </c>
      <c r="U14" s="89" t="n">
        <v>353</v>
      </c>
      <c r="V14" s="89" t="n">
        <v>5</v>
      </c>
      <c r="W14" s="89" t="n">
        <v>7968</v>
      </c>
      <c r="X14" s="89" t="n">
        <v>2440</v>
      </c>
      <c r="Y14" s="89" t="n">
        <v>1704</v>
      </c>
      <c r="Z14" s="89" t="n">
        <v>4382</v>
      </c>
      <c r="AA14" s="89" t="n">
        <v>742</v>
      </c>
      <c r="AB14" s="89" t="n">
        <v>4981</v>
      </c>
      <c r="AC14" s="89" t="n">
        <v>528</v>
      </c>
      <c r="AD14" s="89" t="n">
        <v>1013</v>
      </c>
      <c r="AE14" s="89" t="n">
        <v>2413</v>
      </c>
      <c r="AF14" s="89" t="n">
        <v>2176</v>
      </c>
      <c r="AG14" s="89" t="n">
        <v>3586</v>
      </c>
      <c r="AH14" s="89" t="n">
        <v>4981</v>
      </c>
      <c r="AI14" s="89" t="n">
        <v>7968</v>
      </c>
      <c r="AJ14" s="89" t="n">
        <v>560</v>
      </c>
      <c r="AK14" s="89" t="n">
        <v>635</v>
      </c>
      <c r="AL14" s="89" t="n">
        <v>141</v>
      </c>
      <c r="AM14" s="89" t="n">
        <v>107</v>
      </c>
      <c r="AN14" s="89" t="n">
        <v>86</v>
      </c>
      <c r="AO14" s="89" t="n">
        <v>59</v>
      </c>
      <c r="AP14" s="89" t="n">
        <v>729</v>
      </c>
      <c r="AQ14" s="89" t="n">
        <v>693</v>
      </c>
      <c r="AR14" s="89" t="n">
        <v>4727</v>
      </c>
      <c r="AS14" s="89" t="n">
        <v>809</v>
      </c>
      <c r="AT14" s="89" t="n">
        <v>141</v>
      </c>
      <c r="AU14" s="89" t="n">
        <v>593</v>
      </c>
      <c r="AV14" s="89" t="n">
        <v>125</v>
      </c>
      <c r="AW14" s="89" t="n">
        <v>901</v>
      </c>
      <c r="AX14" s="89" t="n">
        <v>407</v>
      </c>
      <c r="AY14" s="89" t="n">
        <v>2176</v>
      </c>
      <c r="AZ14" s="89" t="n">
        <v>282</v>
      </c>
      <c r="BA14" s="89" t="n">
        <v>831</v>
      </c>
      <c r="BB14" s="89" t="n">
        <v>51.7</v>
      </c>
      <c r="BC14" s="89" t="n">
        <v>50.3</v>
      </c>
      <c r="BD14" s="89" t="n">
        <v>692</v>
      </c>
      <c r="BE14" s="89" t="n">
        <v>305</v>
      </c>
      <c r="BF14" s="89" t="n">
        <v>381</v>
      </c>
      <c r="BG14" s="89" t="n">
        <v>172</v>
      </c>
      <c r="BH14" s="89" t="n">
        <v>-1455</v>
      </c>
      <c r="BI14" s="89" t="n">
        <v>-57</v>
      </c>
      <c r="BJ14" s="89" t="n">
        <v>695</v>
      </c>
      <c r="BK14" s="89" t="n">
        <v>633</v>
      </c>
      <c r="BL14" s="89" t="n">
        <v>210</v>
      </c>
      <c r="BM14" s="89" t="n">
        <v>184</v>
      </c>
      <c r="BN14" s="89" t="n">
        <v>12</v>
      </c>
      <c r="BO14" s="89" t="n">
        <v>2803</v>
      </c>
      <c r="BP14" s="89" t="n">
        <v>2568</v>
      </c>
      <c r="BQ14" s="89" t="n">
        <v>0</v>
      </c>
      <c r="BR14" s="89" t="n">
        <v>0</v>
      </c>
      <c r="BS14" s="89" t="n">
        <v>0</v>
      </c>
      <c r="BT14" s="89" t="n">
        <v>0</v>
      </c>
      <c r="BU14" s="89" t="n">
        <v>0</v>
      </c>
      <c r="BV14" s="89" t="n">
        <v>0</v>
      </c>
      <c r="BW14" s="89" t="n">
        <v>0</v>
      </c>
      <c r="BX14" s="89" t="n">
        <v>0</v>
      </c>
      <c r="BY14" s="89" t="n">
        <v>0</v>
      </c>
    </row>
    <row r="15" ht="17" customHeight="1">
      <c r="A15" s="82" t="n">
        <v>13</v>
      </c>
      <c r="B15" s="83" t="inlineStr">
        <is>
          <t>WFC</t>
        </is>
      </c>
      <c r="C15" s="84" t="inlineStr">
        <is>
          <t>WELLS        FARGO &amp; COMPANY/MN</t>
        </is>
      </c>
      <c r="D15" s="82" t="inlineStr">
        <is>
          <t>Financials</t>
        </is>
      </c>
      <c r="E15" s="82" t="n">
        <v>2026</v>
      </c>
      <c r="F15" s="85" t="n">
        <v>2148631</v>
      </c>
      <c r="G15" s="91" t="inlineStr">
        <is>
          <t>N/A</t>
        </is>
      </c>
      <c r="H15" s="91" t="inlineStr">
        <is>
          <t>N/A</t>
        </is>
      </c>
      <c r="I15" s="85" t="n">
        <v>1965593</v>
      </c>
      <c r="J15" s="85" t="n">
        <v>228873</v>
      </c>
      <c r="K15" s="85" t="n">
        <v>25199</v>
      </c>
      <c r="L15" s="85" t="n">
        <v>85063</v>
      </c>
      <c r="M15" s="85" t="n">
        <v>21338</v>
      </c>
      <c r="N15" s="85" t="n">
        <v>-19001</v>
      </c>
      <c r="O15" s="91" t="inlineStr">
        <is>
          <t>N/A</t>
        </is>
      </c>
      <c r="P15" s="85" t="n">
        <v>174712</v>
      </c>
      <c r="Q15" s="85" t="n">
        <v>181117</v>
      </c>
      <c r="R15" s="91" t="inlineStr">
        <is>
          <t>N/A</t>
        </is>
      </c>
      <c r="S15" s="85" t="n">
        <v>1700</v>
      </c>
      <c r="T15" s="85" t="n">
        <v>19651</v>
      </c>
      <c r="U15" s="85" t="n">
        <v>9309</v>
      </c>
      <c r="V15" s="85" t="n">
        <v>32743</v>
      </c>
      <c r="W15" s="85" t="n">
        <v>1929845</v>
      </c>
      <c r="X15" s="91" t="inlineStr">
        <is>
          <t>N/A</t>
        </is>
      </c>
      <c r="Y15" s="91" t="inlineStr">
        <is>
          <t>N/A</t>
        </is>
      </c>
      <c r="Z15" s="85" t="n">
        <v>1748779</v>
      </c>
      <c r="AA15" s="85" t="n">
        <v>23364</v>
      </c>
      <c r="AB15" s="85" t="n">
        <v>86408</v>
      </c>
      <c r="AC15" s="85" t="n">
        <v>19722</v>
      </c>
      <c r="AD15" s="85" t="n">
        <v>3035</v>
      </c>
      <c r="AE15" s="91" t="inlineStr">
        <is>
          <t>N/A</t>
        </is>
      </c>
      <c r="AF15" s="85" t="n">
        <v>173078</v>
      </c>
      <c r="AG15" s="85" t="n">
        <v>179120</v>
      </c>
      <c r="AH15" s="85" t="n">
        <v>86408</v>
      </c>
      <c r="AI15" s="85" t="n">
        <v>1929845</v>
      </c>
      <c r="AJ15" s="85" t="n">
        <v>25199</v>
      </c>
      <c r="AK15" s="85" t="n">
        <v>23364</v>
      </c>
      <c r="AL15" s="85" t="n">
        <v>3841</v>
      </c>
      <c r="AM15" s="85" t="n">
        <v>3399</v>
      </c>
      <c r="AN15" s="91" t="inlineStr">
        <is>
          <t>N/A</t>
        </is>
      </c>
      <c r="AO15" s="91" t="inlineStr">
        <is>
          <t>N/A</t>
        </is>
      </c>
      <c r="AP15" s="91" t="inlineStr">
        <is>
          <t>N/A</t>
        </is>
      </c>
      <c r="AQ15" s="91" t="inlineStr">
        <is>
          <t>N/A</t>
        </is>
      </c>
      <c r="AR15" s="85" t="n">
        <v>24967</v>
      </c>
      <c r="AS15" s="85" t="n">
        <v>1322</v>
      </c>
      <c r="AT15" s="85" t="n">
        <v>18323</v>
      </c>
      <c r="AU15" s="91" t="inlineStr">
        <is>
          <t>N/A</t>
        </is>
      </c>
      <c r="AV15" s="91" t="inlineStr">
        <is>
          <t>N/A</t>
        </is>
      </c>
      <c r="AW15" s="91" t="inlineStr">
        <is>
          <t>N/A</t>
        </is>
      </c>
      <c r="AX15" s="85" t="n">
        <v>193035</v>
      </c>
      <c r="AY15" s="85" t="n">
        <v>281884</v>
      </c>
      <c r="AZ15" s="85" t="n">
        <v>193035</v>
      </c>
      <c r="BA15" s="91" t="inlineStr">
        <is>
          <t>N/A</t>
        </is>
      </c>
      <c r="BB15" s="85" t="n">
        <v>3092.6</v>
      </c>
      <c r="BC15" s="85" t="n">
        <v>3288.9</v>
      </c>
      <c r="BD15" s="85" t="n">
        <v>19608</v>
      </c>
      <c r="BE15" s="85" t="n">
        <v>8920</v>
      </c>
      <c r="BF15" s="91" t="inlineStr">
        <is>
          <t>N/A</t>
        </is>
      </c>
      <c r="BG15" s="85" t="n">
        <v>1400</v>
      </c>
      <c r="BH15" s="85" t="n">
        <v>-187895</v>
      </c>
      <c r="BI15" s="85" t="n">
        <v>-15651</v>
      </c>
      <c r="BJ15" s="91" t="inlineStr">
        <is>
          <t>N/A</t>
        </is>
      </c>
      <c r="BK15" s="91" t="inlineStr">
        <is>
          <t>N/A</t>
        </is>
      </c>
      <c r="BL15" s="91" t="inlineStr">
        <is>
          <t>N/A</t>
        </is>
      </c>
      <c r="BM15" s="91" t="inlineStr">
        <is>
          <t>N/A</t>
        </is>
      </c>
      <c r="BN15" s="91" t="inlineStr">
        <is>
          <t>N/A</t>
        </is>
      </c>
      <c r="BO15" s="91" t="inlineStr">
        <is>
          <t>N/A</t>
        </is>
      </c>
      <c r="BP15" s="91" t="inlineStr">
        <is>
          <t>N/A</t>
        </is>
      </c>
      <c r="BQ15" s="85" t="n">
        <v>0</v>
      </c>
      <c r="BR15" s="85" t="n">
        <v>0</v>
      </c>
      <c r="BS15" s="91" t="inlineStr">
        <is>
          <t>N/A</t>
        </is>
      </c>
      <c r="BT15" s="91" t="inlineStr">
        <is>
          <t>N/A</t>
        </is>
      </c>
      <c r="BU15" s="91" t="inlineStr">
        <is>
          <t>N/A</t>
        </is>
      </c>
      <c r="BV15" s="91" t="inlineStr">
        <is>
          <t>N/A</t>
        </is>
      </c>
      <c r="BW15" s="85" t="n">
        <v>0</v>
      </c>
      <c r="BX15" s="85" t="n">
        <v>-0</v>
      </c>
      <c r="BY15" s="85" t="n">
        <v>0</v>
      </c>
    </row>
    <row r="16" ht="17" customHeight="1">
      <c r="A16" s="86" t="n">
        <v>14</v>
      </c>
      <c r="B16" s="87" t="inlineStr">
        <is>
          <t>EXPD</t>
        </is>
      </c>
      <c r="C16" s="88" t="inlineStr">
        <is>
          <t>EXPEDITORS INTERNATIONAL OF WASHINGTON, INC.</t>
        </is>
      </c>
      <c r="D16" s="86" t="inlineStr">
        <is>
          <t>Industrials</t>
        </is>
      </c>
      <c r="E16" s="86" t="n">
        <v>2026</v>
      </c>
      <c r="F16" s="89" t="n">
        <v>4893.6</v>
      </c>
      <c r="G16" s="89" t="n">
        <v>3755.6</v>
      </c>
      <c r="H16" s="89" t="n">
        <v>2072.8</v>
      </c>
      <c r="I16" s="89" t="n">
        <v>4893.6</v>
      </c>
      <c r="J16" s="89" t="n">
        <v>2538.5</v>
      </c>
      <c r="K16" s="89" t="n">
        <v>1052.5</v>
      </c>
      <c r="L16" s="89" t="n">
        <v>6920.9</v>
      </c>
      <c r="M16" s="89" t="n">
        <v>810.3</v>
      </c>
      <c r="N16" s="89" t="n">
        <v>1006.5</v>
      </c>
      <c r="O16" s="89" t="n">
        <v>1824.1</v>
      </c>
      <c r="P16" s="90" t="inlineStr">
        <is>
          <t>N/A</t>
        </is>
      </c>
      <c r="Q16" s="89" t="n">
        <v>2355.6</v>
      </c>
      <c r="R16" s="89" t="n">
        <v>40.1</v>
      </c>
      <c r="S16" s="89" t="n">
        <v>39.9</v>
      </c>
      <c r="T16" s="89" t="n">
        <v>2021.9</v>
      </c>
      <c r="U16" s="89" t="n">
        <v>462.1</v>
      </c>
      <c r="V16" s="89" t="n">
        <v>4.8</v>
      </c>
      <c r="W16" s="89" t="n">
        <v>4754.5</v>
      </c>
      <c r="X16" s="89" t="n">
        <v>3659.8</v>
      </c>
      <c r="Y16" s="89" t="n">
        <v>2066.5</v>
      </c>
      <c r="Z16" s="89" t="n">
        <v>4754.5</v>
      </c>
      <c r="AA16" s="89" t="n">
        <v>1041.3</v>
      </c>
      <c r="AB16" s="89" t="n">
        <v>1901.4</v>
      </c>
      <c r="AC16" s="89" t="n">
        <v>810.1</v>
      </c>
      <c r="AD16" s="89" t="n">
        <v>723.4</v>
      </c>
      <c r="AE16" s="89" t="n">
        <v>458.7</v>
      </c>
      <c r="AF16" s="90" t="inlineStr">
        <is>
          <t>N/A</t>
        </is>
      </c>
      <c r="AG16" s="89" t="n">
        <v>2223</v>
      </c>
      <c r="AH16" s="89" t="n">
        <v>1802.2</v>
      </c>
      <c r="AI16" s="89" t="n">
        <v>4754.5</v>
      </c>
      <c r="AJ16" s="89" t="n">
        <v>1094.1</v>
      </c>
      <c r="AK16" s="89" t="n">
        <v>1094.8</v>
      </c>
      <c r="AL16" s="89" t="n">
        <v>282</v>
      </c>
      <c r="AM16" s="89" t="n">
        <v>283.2</v>
      </c>
      <c r="AN16" s="89" t="n">
        <v>53.1</v>
      </c>
      <c r="AO16" s="89" t="n">
        <v>40.5</v>
      </c>
      <c r="AP16" s="90" t="inlineStr">
        <is>
          <t>N/A</t>
        </is>
      </c>
      <c r="AQ16" s="90" t="inlineStr">
        <is>
          <t>N/A</t>
        </is>
      </c>
      <c r="AR16" s="89" t="n">
        <v>7.9</v>
      </c>
      <c r="AS16" s="89" t="n">
        <v>2.6</v>
      </c>
      <c r="AT16" s="90" t="inlineStr">
        <is>
          <t>N/A</t>
        </is>
      </c>
      <c r="AU16" s="90" t="inlineStr">
        <is>
          <t>N/A</t>
        </is>
      </c>
      <c r="AV16" s="89" t="n">
        <v>1314.3</v>
      </c>
      <c r="AW16" s="89" t="n">
        <v>1148.3</v>
      </c>
      <c r="AX16" s="90" t="inlineStr">
        <is>
          <t>N/A</t>
        </is>
      </c>
      <c r="AY16" s="90" t="inlineStr">
        <is>
          <t>N/A</t>
        </is>
      </c>
      <c r="AZ16" s="90" t="inlineStr">
        <is>
          <t>N/A</t>
        </is>
      </c>
      <c r="BA16" s="89" t="n">
        <v>953.4</v>
      </c>
      <c r="BB16" s="89" t="n">
        <v>133.9</v>
      </c>
      <c r="BC16" s="89" t="n">
        <v>138</v>
      </c>
      <c r="BD16" s="89" t="n">
        <v>1997.8</v>
      </c>
      <c r="BE16" s="89" t="n">
        <v>449.4</v>
      </c>
      <c r="BF16" s="89" t="n">
        <v>33.3</v>
      </c>
      <c r="BG16" s="89" t="n">
        <v>36.8</v>
      </c>
      <c r="BH16" s="89" t="n">
        <v>-44.7</v>
      </c>
      <c r="BI16" s="89" t="n">
        <v>-40.5</v>
      </c>
      <c r="BJ16" s="89" t="n">
        <v>1123.4</v>
      </c>
      <c r="BK16" s="89" t="n">
        <v>1036.7</v>
      </c>
      <c r="BL16" s="89" t="n">
        <v>358.4</v>
      </c>
      <c r="BM16" s="89" t="n">
        <v>441.9</v>
      </c>
      <c r="BN16" s="89" t="n">
        <v>32</v>
      </c>
      <c r="BO16" s="90" t="inlineStr">
        <is>
          <t>N/A</t>
        </is>
      </c>
      <c r="BP16" s="90" t="inlineStr">
        <is>
          <t>N/A</t>
        </is>
      </c>
      <c r="BQ16" s="89" t="n">
        <v>0</v>
      </c>
      <c r="BR16" s="89" t="n">
        <v>0</v>
      </c>
      <c r="BS16" s="90" t="inlineStr">
        <is>
          <t>N/A</t>
        </is>
      </c>
      <c r="BT16" s="90" t="inlineStr">
        <is>
          <t>N/A</t>
        </is>
      </c>
      <c r="BU16" s="89" t="n">
        <v>0</v>
      </c>
      <c r="BV16" s="89" t="n">
        <v>0</v>
      </c>
      <c r="BW16" s="89" t="n">
        <v>0</v>
      </c>
      <c r="BX16" s="89" t="n">
        <v>0</v>
      </c>
      <c r="BY16" s="89" t="n">
        <v>0</v>
      </c>
    </row>
    <row r="17" ht="17" customHeight="1">
      <c r="A17" s="82" t="n">
        <v>15</v>
      </c>
      <c r="B17" s="83" t="inlineStr">
        <is>
          <t>CELH</t>
        </is>
      </c>
      <c r="C17" s="84" t="inlineStr">
        <is>
          <t>CELSIUS HOLDINGS, INC.</t>
        </is>
      </c>
      <c r="D17" s="82" t="inlineStr">
        <is>
          <t>Consumer Staples</t>
        </is>
      </c>
      <c r="E17" s="82" t="n">
        <v>2026</v>
      </c>
      <c r="F17" s="85" t="n">
        <v>5119.6</v>
      </c>
      <c r="G17" s="85" t="n">
        <v>1811.2</v>
      </c>
      <c r="H17" s="85" t="n">
        <v>1078.7</v>
      </c>
      <c r="I17" s="85" t="n">
        <v>2178.2</v>
      </c>
      <c r="J17" s="85" t="n">
        <v>175.9</v>
      </c>
      <c r="K17" s="85" t="n">
        <v>141.1</v>
      </c>
      <c r="L17" s="85" t="n">
        <v>1318</v>
      </c>
      <c r="M17" s="85" t="n">
        <v>108</v>
      </c>
      <c r="N17" s="85" t="n">
        <v>359.4</v>
      </c>
      <c r="O17" s="85" t="n">
        <v>1267.3</v>
      </c>
      <c r="P17" s="85" t="n">
        <v>676.9</v>
      </c>
      <c r="Q17" s="85" t="n">
        <v>1181.5</v>
      </c>
      <c r="R17" s="85" t="n">
        <v>798.8</v>
      </c>
      <c r="S17" s="85" t="n">
        <v>29.5</v>
      </c>
      <c r="T17" s="85" t="n">
        <v>755.5</v>
      </c>
      <c r="U17" s="85" t="n">
        <v>87.90000000000001</v>
      </c>
      <c r="V17" s="85" t="n">
        <v>0.5</v>
      </c>
      <c r="W17" s="85" t="n">
        <v>1766.9</v>
      </c>
      <c r="X17" s="85" t="n">
        <v>1324.6</v>
      </c>
      <c r="Y17" s="85" t="n">
        <v>365.5</v>
      </c>
      <c r="Z17" s="85" t="n">
        <v>542.5</v>
      </c>
      <c r="AA17" s="85" t="n">
        <v>155.7</v>
      </c>
      <c r="AB17" s="85" t="n">
        <v>653.6</v>
      </c>
      <c r="AC17" s="85" t="n">
        <v>145.1</v>
      </c>
      <c r="AD17" s="85" t="n">
        <v>262.9</v>
      </c>
      <c r="AE17" s="85" t="n">
        <v>680.2</v>
      </c>
      <c r="AF17" s="91" t="inlineStr">
        <is>
          <t>N/A</t>
        </is>
      </c>
      <c r="AG17" s="85" t="n">
        <v>399.9</v>
      </c>
      <c r="AH17" s="85" t="n">
        <v>653.6</v>
      </c>
      <c r="AI17" s="85" t="n">
        <v>1766.9</v>
      </c>
      <c r="AJ17" s="85" t="n">
        <v>125</v>
      </c>
      <c r="AK17" s="85" t="n">
        <v>195.1</v>
      </c>
      <c r="AL17" s="85" t="n">
        <v>17</v>
      </c>
      <c r="AM17" s="85" t="n">
        <v>50</v>
      </c>
      <c r="AN17" s="85" t="n">
        <v>36.1</v>
      </c>
      <c r="AO17" s="85" t="n">
        <v>23.4</v>
      </c>
      <c r="AP17" s="85" t="n">
        <v>337.7</v>
      </c>
      <c r="AQ17" s="85" t="n">
        <v>131.2</v>
      </c>
      <c r="AR17" s="85" t="n">
        <v>917.6</v>
      </c>
      <c r="AS17" s="85" t="n">
        <v>111.9</v>
      </c>
      <c r="AT17" s="85" t="n">
        <v>7</v>
      </c>
      <c r="AU17" s="85" t="n">
        <v>2.4</v>
      </c>
      <c r="AV17" s="85" t="n">
        <v>398.9</v>
      </c>
      <c r="AW17" s="85" t="n">
        <v>890.2</v>
      </c>
      <c r="AX17" s="85" t="n">
        <v>683.9</v>
      </c>
      <c r="AY17" s="91" t="inlineStr">
        <is>
          <t>N/A</t>
        </is>
      </c>
      <c r="AZ17" s="85" t="n">
        <v>285.1</v>
      </c>
      <c r="BA17" s="85" t="n">
        <v>323.4</v>
      </c>
      <c r="BB17" s="85" t="n">
        <v>256.9</v>
      </c>
      <c r="BC17" s="85" t="n">
        <v>235</v>
      </c>
      <c r="BD17" s="85" t="n">
        <v>270.3</v>
      </c>
      <c r="BE17" s="85" t="n">
        <v>55.6</v>
      </c>
      <c r="BF17" s="85" t="n">
        <v>524.5</v>
      </c>
      <c r="BG17" s="85" t="n">
        <v>7.3</v>
      </c>
      <c r="BH17" s="85" t="n">
        <v>-1295.7</v>
      </c>
      <c r="BI17" s="85" t="n">
        <v>-101.7</v>
      </c>
      <c r="BJ17" s="85" t="n">
        <v>137.9</v>
      </c>
      <c r="BK17" s="85" t="n">
        <v>41.3</v>
      </c>
      <c r="BL17" s="85" t="n">
        <v>9.5</v>
      </c>
      <c r="BM17" s="85" t="n">
        <v>9.699999999999999</v>
      </c>
      <c r="BN17" s="85" t="n">
        <v>49.6</v>
      </c>
      <c r="BO17" s="85" t="n">
        <v>1247.9</v>
      </c>
      <c r="BP17" s="85" t="n">
        <v>675.4</v>
      </c>
      <c r="BQ17" s="85" t="n">
        <v>0</v>
      </c>
      <c r="BR17" s="85" t="n">
        <v>0</v>
      </c>
      <c r="BS17" s="85" t="n">
        <v>0</v>
      </c>
      <c r="BT17" s="85" t="n">
        <v>0</v>
      </c>
      <c r="BU17" s="85" t="n">
        <v>0</v>
      </c>
      <c r="BV17" s="85" t="n">
        <v>0</v>
      </c>
      <c r="BW17" s="85" t="n">
        <v>0</v>
      </c>
      <c r="BX17" s="85" t="n">
        <v>0</v>
      </c>
      <c r="BY17" s="85" t="n">
        <v>0</v>
      </c>
    </row>
    <row r="18" ht="17" customHeight="1">
      <c r="A18" s="86" t="n">
        <v>16</v>
      </c>
      <c r="B18" s="87" t="inlineStr">
        <is>
          <t>MKSI</t>
        </is>
      </c>
      <c r="C18" s="88" t="inlineStr">
        <is>
          <t>MKS INC</t>
        </is>
      </c>
      <c r="D18" s="86" t="inlineStr">
        <is>
          <t>Information Technology</t>
        </is>
      </c>
      <c r="E18" s="86" t="n">
        <v>2026</v>
      </c>
      <c r="F18" s="89" t="n">
        <v>8796</v>
      </c>
      <c r="G18" s="89" t="n">
        <v>2510</v>
      </c>
      <c r="H18" s="89" t="n">
        <v>927</v>
      </c>
      <c r="I18" s="89" t="n">
        <v>6077</v>
      </c>
      <c r="J18" s="89" t="n">
        <v>711</v>
      </c>
      <c r="K18" s="89" t="n">
        <v>528</v>
      </c>
      <c r="L18" s="89" t="n">
        <v>3931</v>
      </c>
      <c r="M18" s="89" t="n">
        <v>295</v>
      </c>
      <c r="N18" s="89" t="n">
        <v>645</v>
      </c>
      <c r="O18" s="89" t="n">
        <v>1837</v>
      </c>
      <c r="P18" s="89" t="n">
        <v>4150</v>
      </c>
      <c r="Q18" s="89" t="n">
        <v>2719</v>
      </c>
      <c r="R18" s="89" t="n">
        <v>724</v>
      </c>
      <c r="S18" s="89" t="n">
        <v>344</v>
      </c>
      <c r="T18" s="89" t="n">
        <v>651</v>
      </c>
      <c r="U18" s="89" t="n">
        <v>810</v>
      </c>
      <c r="V18" s="89" t="n">
        <v>212</v>
      </c>
      <c r="W18" s="89" t="n">
        <v>8590</v>
      </c>
      <c r="X18" s="89" t="n">
        <v>2474</v>
      </c>
      <c r="Y18" s="89" t="n">
        <v>775</v>
      </c>
      <c r="Z18" s="89" t="n">
        <v>6268</v>
      </c>
      <c r="AA18" s="89" t="n">
        <v>498</v>
      </c>
      <c r="AB18" s="89" t="n">
        <v>3586</v>
      </c>
      <c r="AC18" s="89" t="n">
        <v>190</v>
      </c>
      <c r="AD18" s="89" t="n">
        <v>528</v>
      </c>
      <c r="AE18" s="89" t="n">
        <v>1708</v>
      </c>
      <c r="AF18" s="89" t="n">
        <v>4488</v>
      </c>
      <c r="AG18" s="89" t="n">
        <v>2322</v>
      </c>
      <c r="AH18" s="89" t="n">
        <v>3586</v>
      </c>
      <c r="AI18" s="89" t="n">
        <v>8590</v>
      </c>
      <c r="AJ18" s="89" t="n">
        <v>304</v>
      </c>
      <c r="AK18" s="89" t="n">
        <v>180</v>
      </c>
      <c r="AL18" s="89" t="n">
        <v>9</v>
      </c>
      <c r="AM18" s="89" t="n">
        <v>-10</v>
      </c>
      <c r="AN18" s="89" t="n">
        <v>148</v>
      </c>
      <c r="AO18" s="89" t="n">
        <v>118</v>
      </c>
      <c r="AP18" s="89" t="n">
        <v>921</v>
      </c>
      <c r="AQ18" s="89" t="n">
        <v>893</v>
      </c>
      <c r="AR18" s="89" t="n">
        <v>2574</v>
      </c>
      <c r="AS18" s="89" t="n">
        <v>2140</v>
      </c>
      <c r="AT18" s="89" t="n">
        <v>51</v>
      </c>
      <c r="AU18" s="89" t="n">
        <v>299</v>
      </c>
      <c r="AV18" s="89" t="n">
        <v>418</v>
      </c>
      <c r="AW18" s="89" t="n">
        <v>420</v>
      </c>
      <c r="AX18" s="89" t="n">
        <v>4201</v>
      </c>
      <c r="AY18" s="89" t="n">
        <v>4538</v>
      </c>
      <c r="AZ18" s="89" t="n">
        <v>3783</v>
      </c>
      <c r="BA18" s="89" t="n">
        <v>497</v>
      </c>
      <c r="BB18" s="89" t="n">
        <v>67.2</v>
      </c>
      <c r="BC18" s="89" t="n">
        <v>67.40000000000001</v>
      </c>
      <c r="BD18" s="89" t="n">
        <v>615</v>
      </c>
      <c r="BE18" s="89" t="n">
        <v>771</v>
      </c>
      <c r="BF18" s="89" t="n">
        <v>674</v>
      </c>
      <c r="BG18" s="89" t="n">
        <v>348</v>
      </c>
      <c r="BH18" s="89" t="n">
        <v>-145</v>
      </c>
      <c r="BI18" s="89" t="n">
        <v>-117</v>
      </c>
      <c r="BJ18" s="89" t="n">
        <v>407</v>
      </c>
      <c r="BK18" s="89" t="n">
        <v>341</v>
      </c>
      <c r="BL18" s="89" t="n">
        <v>12.8</v>
      </c>
      <c r="BM18" s="89" t="n">
        <v>14.5</v>
      </c>
      <c r="BN18" s="89" t="n">
        <v>51</v>
      </c>
      <c r="BO18" s="89" t="n">
        <v>2000</v>
      </c>
      <c r="BP18" s="89" t="n">
        <v>1569.4</v>
      </c>
      <c r="BQ18" s="89" t="n">
        <v>0</v>
      </c>
      <c r="BR18" s="89" t="n">
        <v>0</v>
      </c>
      <c r="BS18" s="89" t="n">
        <v>0</v>
      </c>
      <c r="BT18" s="89" t="n">
        <v>0</v>
      </c>
      <c r="BU18" s="89" t="n">
        <v>0</v>
      </c>
      <c r="BV18" s="89" t="n">
        <v>0</v>
      </c>
      <c r="BW18" s="89" t="n">
        <v>0</v>
      </c>
      <c r="BX18" s="89" t="n">
        <v>0</v>
      </c>
      <c r="BY18" s="89" t="n">
        <v>0</v>
      </c>
    </row>
    <row r="19" ht="17" customHeight="1">
      <c r="A19" s="82" t="n">
        <v>17</v>
      </c>
      <c r="B19" s="83" t="inlineStr">
        <is>
          <t>ACAD</t>
        </is>
      </c>
      <c r="C19" s="84" t="inlineStr">
        <is>
          <t>ACADIA PHARMACEUTICALS INC</t>
        </is>
      </c>
      <c r="D19" s="82" t="inlineStr">
        <is>
          <t>Health Care</t>
        </is>
      </c>
      <c r="E19" s="82" t="n">
        <v>2026</v>
      </c>
      <c r="F19" s="85" t="n">
        <v>1564.2</v>
      </c>
      <c r="G19" s="85" t="n">
        <v>1062.1</v>
      </c>
      <c r="H19" s="85" t="n">
        <v>277.1</v>
      </c>
      <c r="I19" s="85" t="n">
        <v>336.8</v>
      </c>
      <c r="J19" s="85" t="n">
        <v>-1813.4</v>
      </c>
      <c r="K19" s="85" t="n">
        <v>104.8</v>
      </c>
      <c r="L19" s="85" t="n">
        <v>726.4</v>
      </c>
      <c r="M19" s="85" t="n">
        <v>391</v>
      </c>
      <c r="N19" s="85" t="n">
        <v>109.8</v>
      </c>
      <c r="O19" s="85" t="n">
        <v>684.8</v>
      </c>
      <c r="P19" s="91" t="inlineStr">
        <is>
          <t>N/A</t>
        </is>
      </c>
      <c r="Q19" s="85" t="n">
        <v>1227.4</v>
      </c>
      <c r="R19" s="85" t="n">
        <v>548.9</v>
      </c>
      <c r="S19" s="85" t="n">
        <v>0.2</v>
      </c>
      <c r="T19" s="85" t="n">
        <v>121.5</v>
      </c>
      <c r="U19" s="85" t="n">
        <v>7.5</v>
      </c>
      <c r="V19" s="85" t="n">
        <v>0</v>
      </c>
      <c r="W19" s="85" t="n">
        <v>1187.8</v>
      </c>
      <c r="X19" s="85" t="n">
        <v>938.3</v>
      </c>
      <c r="Y19" s="85" t="n">
        <v>394.9</v>
      </c>
      <c r="Z19" s="85" t="n">
        <v>455</v>
      </c>
      <c r="AA19" s="85" t="n">
        <v>230.8</v>
      </c>
      <c r="AB19" s="85" t="n">
        <v>231</v>
      </c>
      <c r="AC19" s="85" t="n">
        <v>226.5</v>
      </c>
      <c r="AD19" s="85" t="n">
        <v>157.7</v>
      </c>
      <c r="AE19" s="85" t="n">
        <v>213.2</v>
      </c>
      <c r="AF19" s="91" t="inlineStr">
        <is>
          <t>N/A</t>
        </is>
      </c>
      <c r="AG19" s="85" t="n">
        <v>732.8</v>
      </c>
      <c r="AH19" s="85" t="n">
        <v>211.7</v>
      </c>
      <c r="AI19" s="85" t="n">
        <v>1187.8</v>
      </c>
      <c r="AJ19" s="85" t="n">
        <v>138.9</v>
      </c>
      <c r="AK19" s="85" t="n">
        <v>258.1</v>
      </c>
      <c r="AL19" s="85" t="n">
        <v>-252.1</v>
      </c>
      <c r="AM19" s="85" t="n">
        <v>31.6</v>
      </c>
      <c r="AN19" s="85" t="n">
        <v>4.7</v>
      </c>
      <c r="AO19" s="85" t="n">
        <v>0.5</v>
      </c>
      <c r="AP19" s="85" t="n">
        <v>111.4</v>
      </c>
      <c r="AQ19" s="85" t="n">
        <v>91.7</v>
      </c>
      <c r="AR19" s="91" t="inlineStr">
        <is>
          <t>N/A</t>
        </is>
      </c>
      <c r="AS19" s="85" t="n">
        <v>108.9</v>
      </c>
      <c r="AT19" s="85" t="n">
        <v>0</v>
      </c>
      <c r="AU19" s="85" t="n">
        <v>328.8</v>
      </c>
      <c r="AV19" s="85" t="n">
        <v>177.7</v>
      </c>
      <c r="AW19" s="85" t="n">
        <v>319.6</v>
      </c>
      <c r="AX19" s="85" t="n">
        <v>0</v>
      </c>
      <c r="AY19" s="91" t="inlineStr">
        <is>
          <t>N/A</t>
        </is>
      </c>
      <c r="AZ19" s="85" t="n">
        <v>-177.7</v>
      </c>
      <c r="BA19" s="85" t="n">
        <v>105.1</v>
      </c>
      <c r="BB19" s="85" t="n">
        <v>170.3</v>
      </c>
      <c r="BC19" s="85" t="n">
        <v>166.7</v>
      </c>
      <c r="BD19" s="85" t="n">
        <v>98.7</v>
      </c>
      <c r="BE19" s="85" t="n">
        <v>4.2</v>
      </c>
      <c r="BF19" s="85" t="n">
        <v>488.4</v>
      </c>
      <c r="BG19" s="85" t="n">
        <v>0.1</v>
      </c>
      <c r="BH19" s="85" t="n">
        <v>-302.6</v>
      </c>
      <c r="BI19" s="85" t="n">
        <v>-30.5</v>
      </c>
      <c r="BJ19" s="85" t="n">
        <v>10.9</v>
      </c>
      <c r="BK19" s="85" t="n">
        <v>16.2</v>
      </c>
      <c r="BL19" s="85" t="n">
        <v>2.6</v>
      </c>
      <c r="BM19" s="85" t="n">
        <v>2.6</v>
      </c>
      <c r="BN19" s="91" t="inlineStr">
        <is>
          <t>N/A</t>
        </is>
      </c>
      <c r="BO19" s="85" t="n">
        <v>89</v>
      </c>
      <c r="BP19" s="85" t="n">
        <v>81.8</v>
      </c>
      <c r="BQ19" s="85" t="n">
        <v>0</v>
      </c>
      <c r="BR19" s="85" t="n">
        <v>0</v>
      </c>
      <c r="BS19" s="85" t="n">
        <v>0</v>
      </c>
      <c r="BT19" s="85" t="n">
        <v>0</v>
      </c>
      <c r="BU19" s="85" t="n">
        <v>0</v>
      </c>
      <c r="BV19" s="85" t="n">
        <v>0</v>
      </c>
      <c r="BW19" s="85" t="n">
        <v>0</v>
      </c>
      <c r="BX19" s="85" t="n">
        <v>0</v>
      </c>
      <c r="BY19" s="85" t="n">
        <v>-0</v>
      </c>
    </row>
    <row r="20" ht="17" customHeight="1">
      <c r="A20" s="86" t="n">
        <v>18</v>
      </c>
      <c r="B20" s="87" t="inlineStr">
        <is>
          <t>NEM</t>
        </is>
      </c>
      <c r="C20" s="88" t="inlineStr">
        <is>
          <t>NEWMONT CORPORATION</t>
        </is>
      </c>
      <c r="D20" s="86" t="inlineStr">
        <is>
          <t>Materials</t>
        </is>
      </c>
      <c r="E20" s="86" t="n">
        <v>2026</v>
      </c>
      <c r="F20" s="89" t="n">
        <v>57121</v>
      </c>
      <c r="G20" s="89" t="n">
        <v>13066</v>
      </c>
      <c r="H20" s="89" t="n">
        <v>5712</v>
      </c>
      <c r="I20" s="89" t="n">
        <v>23079</v>
      </c>
      <c r="J20" s="89" t="n">
        <v>3431</v>
      </c>
      <c r="K20" s="89" t="n">
        <v>11342</v>
      </c>
      <c r="L20" s="89" t="n">
        <v>6711</v>
      </c>
      <c r="M20" s="89" t="n">
        <v>7085</v>
      </c>
      <c r="N20" s="89" t="n">
        <v>10334</v>
      </c>
      <c r="O20" s="89" t="n">
        <v>780</v>
      </c>
      <c r="P20" s="89" t="n">
        <v>5115</v>
      </c>
      <c r="Q20" s="89" t="n">
        <v>33867</v>
      </c>
      <c r="R20" s="89" t="n">
        <v>382</v>
      </c>
      <c r="S20" s="89" t="n">
        <v>1229</v>
      </c>
      <c r="T20" s="89" t="n">
        <v>1067</v>
      </c>
      <c r="U20" s="89" t="n">
        <v>25276</v>
      </c>
      <c r="V20" s="89" t="n">
        <v>249</v>
      </c>
      <c r="W20" s="89" t="n">
        <v>56349</v>
      </c>
      <c r="X20" s="89" t="n">
        <v>12275</v>
      </c>
      <c r="Y20" s="89" t="n">
        <v>7543</v>
      </c>
      <c r="Z20" s="89" t="n">
        <v>26240</v>
      </c>
      <c r="AA20" s="89" t="n">
        <v>4577</v>
      </c>
      <c r="AB20" s="89" t="n">
        <v>7729</v>
      </c>
      <c r="AC20" s="89" t="n">
        <v>3348</v>
      </c>
      <c r="AD20" s="89" t="n">
        <v>6363</v>
      </c>
      <c r="AE20" s="89" t="n">
        <v>711</v>
      </c>
      <c r="AF20" s="89" t="n">
        <v>8476</v>
      </c>
      <c r="AG20" s="89" t="n">
        <v>29928</v>
      </c>
      <c r="AH20" s="89" t="n">
        <v>6085</v>
      </c>
      <c r="AI20" s="89" t="n">
        <v>56349</v>
      </c>
      <c r="AJ20" s="89" t="n">
        <v>11342</v>
      </c>
      <c r="AK20" s="89" t="n">
        <v>4577</v>
      </c>
      <c r="AL20" s="89" t="n">
        <v>4596</v>
      </c>
      <c r="AM20" s="89" t="n">
        <v>1397</v>
      </c>
      <c r="AN20" s="89" t="n">
        <v>3035</v>
      </c>
      <c r="AO20" s="89" t="n">
        <v>3402</v>
      </c>
      <c r="AP20" s="89" t="n">
        <v>700</v>
      </c>
      <c r="AQ20" s="89" t="n">
        <v>717</v>
      </c>
      <c r="AR20" s="89" t="n">
        <v>2658</v>
      </c>
      <c r="AS20" s="89" t="n">
        <v>94</v>
      </c>
      <c r="AT20" s="90" t="inlineStr">
        <is>
          <t>N/A</t>
        </is>
      </c>
      <c r="AU20" s="89" t="n">
        <v>166</v>
      </c>
      <c r="AV20" s="89" t="n">
        <v>7647</v>
      </c>
      <c r="AW20" s="89" t="n">
        <v>3619</v>
      </c>
      <c r="AX20" s="89" t="n">
        <v>5115</v>
      </c>
      <c r="AY20" s="89" t="n">
        <v>8476</v>
      </c>
      <c r="AZ20" s="89" t="n">
        <v>-2532</v>
      </c>
      <c r="BA20" s="89" t="n">
        <v>7299</v>
      </c>
      <c r="BB20" s="89" t="n">
        <v>1089</v>
      </c>
      <c r="BC20" s="89" t="n">
        <v>1127</v>
      </c>
      <c r="BD20" s="89" t="n">
        <v>1056</v>
      </c>
      <c r="BE20" s="89" t="n">
        <v>12258</v>
      </c>
      <c r="BF20" s="89" t="n">
        <v>442</v>
      </c>
      <c r="BG20" s="89" t="n">
        <v>1362</v>
      </c>
      <c r="BH20" s="89" t="n">
        <v>606</v>
      </c>
      <c r="BI20" s="89" t="n">
        <v>-2702</v>
      </c>
      <c r="BJ20" s="89" t="n">
        <v>816</v>
      </c>
      <c r="BK20" s="89" t="n">
        <v>843</v>
      </c>
      <c r="BL20" s="90" t="inlineStr">
        <is>
          <t>N/A</t>
        </is>
      </c>
      <c r="BM20" s="90" t="inlineStr">
        <is>
          <t>N/A</t>
        </is>
      </c>
      <c r="BN20" s="89" t="n">
        <v>1188</v>
      </c>
      <c r="BO20" s="90" t="inlineStr">
        <is>
          <t>N/A</t>
        </is>
      </c>
      <c r="BP20" s="90" t="inlineStr">
        <is>
          <t>N/A</t>
        </is>
      </c>
      <c r="BQ20" s="89" t="n">
        <v>0</v>
      </c>
      <c r="BR20" s="89" t="n">
        <v>0</v>
      </c>
      <c r="BS20" s="89" t="n">
        <v>0</v>
      </c>
      <c r="BT20" s="89" t="n">
        <v>0</v>
      </c>
      <c r="BU20" s="89" t="n">
        <v>0</v>
      </c>
      <c r="BV20" s="89" t="n">
        <v>0</v>
      </c>
      <c r="BW20" s="89" t="n">
        <v>0</v>
      </c>
      <c r="BX20" s="89" t="n">
        <v>0</v>
      </c>
      <c r="BY20" s="89" t="n">
        <v>0</v>
      </c>
    </row>
    <row r="21" ht="17" customHeight="1">
      <c r="A21" s="82" t="n">
        <v>19</v>
      </c>
      <c r="B21" s="83" t="inlineStr">
        <is>
          <t>NFLX</t>
        </is>
      </c>
      <c r="C21" s="84" t="inlineStr">
        <is>
          <t>Netflix, Inc.</t>
        </is>
      </c>
      <c r="D21" s="82" t="inlineStr">
        <is>
          <t>Communication Services</t>
        </is>
      </c>
      <c r="E21" s="82" t="n">
        <v>2026</v>
      </c>
      <c r="F21" s="85" t="n">
        <v>55597</v>
      </c>
      <c r="G21" s="85" t="n">
        <v>13020.2</v>
      </c>
      <c r="H21" s="85" t="n">
        <v>10980.9</v>
      </c>
      <c r="I21" s="85" t="n">
        <v>28981.5</v>
      </c>
      <c r="J21" s="85" t="n">
        <v>42282.1</v>
      </c>
      <c r="K21" s="85" t="n">
        <v>13326.6</v>
      </c>
      <c r="L21" s="85" t="n">
        <v>45183</v>
      </c>
      <c r="M21" s="85" t="n">
        <v>10981.2</v>
      </c>
      <c r="N21" s="85" t="n">
        <v>10149.3</v>
      </c>
      <c r="O21" s="85" t="n">
        <v>2479.3</v>
      </c>
      <c r="P21" s="85" t="n">
        <v>21857.1</v>
      </c>
      <c r="Q21" s="85" t="n">
        <v>26615.5</v>
      </c>
      <c r="R21" s="85" t="n">
        <v>1888.4</v>
      </c>
      <c r="S21" s="85" t="n">
        <v>45.5</v>
      </c>
      <c r="T21" s="91" t="inlineStr">
        <is>
          <t>N/A</t>
        </is>
      </c>
      <c r="U21" s="85" t="n">
        <v>2004.3</v>
      </c>
      <c r="V21" s="85" t="n">
        <v>699.8</v>
      </c>
      <c r="W21" s="85" t="n">
        <v>53630.4</v>
      </c>
      <c r="X21" s="85" t="n">
        <v>13100.4</v>
      </c>
      <c r="Y21" s="85" t="n">
        <v>10755.4</v>
      </c>
      <c r="Z21" s="85" t="n">
        <v>28886.8</v>
      </c>
      <c r="AA21" s="85" t="n">
        <v>10417.6</v>
      </c>
      <c r="AB21" s="85" t="n">
        <v>39001</v>
      </c>
      <c r="AC21" s="85" t="n">
        <v>8711.6</v>
      </c>
      <c r="AD21" s="85" t="n">
        <v>7361.4</v>
      </c>
      <c r="AE21" s="85" t="n">
        <v>2567.9</v>
      </c>
      <c r="AF21" s="85" t="n">
        <v>20723.4</v>
      </c>
      <c r="AG21" s="85" t="n">
        <v>24743.6</v>
      </c>
      <c r="AH21" s="85" t="n">
        <v>39001</v>
      </c>
      <c r="AI21" s="85" t="n">
        <v>53630.4</v>
      </c>
      <c r="AJ21" s="85" t="n">
        <v>12722.6</v>
      </c>
      <c r="AK21" s="85" t="n">
        <v>9965.700000000001</v>
      </c>
      <c r="AL21" s="85" t="n">
        <v>1741.4</v>
      </c>
      <c r="AM21" s="85" t="n">
        <v>1254</v>
      </c>
      <c r="AN21" s="85" t="n">
        <v>688.2</v>
      </c>
      <c r="AO21" s="85" t="n">
        <v>439.5</v>
      </c>
      <c r="AP21" s="91" t="inlineStr">
        <is>
          <t>N/A</t>
        </is>
      </c>
      <c r="AQ21" s="91" t="inlineStr">
        <is>
          <t>N/A</t>
        </is>
      </c>
      <c r="AR21" s="91" t="inlineStr">
        <is>
          <t>N/A</t>
        </is>
      </c>
      <c r="AS21" s="85" t="n">
        <v>32778.4</v>
      </c>
      <c r="AT21" s="85" t="n">
        <v>998.9</v>
      </c>
      <c r="AU21" s="85" t="n">
        <v>3391.4</v>
      </c>
      <c r="AV21" s="85" t="n">
        <v>9033.700000000001</v>
      </c>
      <c r="AW21" s="85" t="n">
        <v>7804.7</v>
      </c>
      <c r="AX21" s="85" t="n">
        <v>22856</v>
      </c>
      <c r="AY21" s="85" t="n">
        <v>22507.9</v>
      </c>
      <c r="AZ21" s="85" t="n">
        <v>13822.3</v>
      </c>
      <c r="BA21" s="85" t="n">
        <v>9461.1</v>
      </c>
      <c r="BB21" s="85" t="n">
        <v>4222.2</v>
      </c>
      <c r="BC21" s="85" t="n">
        <v>427.8</v>
      </c>
      <c r="BD21" s="91" t="inlineStr">
        <is>
          <t>N/A</t>
        </is>
      </c>
      <c r="BE21" s="85" t="n">
        <v>1593.8</v>
      </c>
      <c r="BF21" s="85" t="n">
        <v>1702</v>
      </c>
      <c r="BG21" s="85" t="n">
        <v>43.7</v>
      </c>
      <c r="BH21" s="85" t="n">
        <v>1041.7</v>
      </c>
      <c r="BI21" s="85" t="n">
        <v>-2181.8</v>
      </c>
      <c r="BJ21" s="85" t="n">
        <v>900.6</v>
      </c>
      <c r="BK21" s="85" t="n">
        <v>899.9</v>
      </c>
      <c r="BL21" s="85" t="n">
        <v>618.6</v>
      </c>
      <c r="BM21" s="85" t="n">
        <v>618.6</v>
      </c>
      <c r="BN21" s="91" t="inlineStr">
        <is>
          <t>N/A</t>
        </is>
      </c>
      <c r="BO21" s="85" t="n">
        <v>23275.3</v>
      </c>
      <c r="BP21" s="85" t="n">
        <v>21038.5</v>
      </c>
      <c r="BQ21" s="91" t="inlineStr">
        <is>
          <t>N/A</t>
        </is>
      </c>
      <c r="BR21" s="91" t="inlineStr">
        <is>
          <t>N/A</t>
        </is>
      </c>
      <c r="BS21" s="91" t="inlineStr">
        <is>
          <t>N/A</t>
        </is>
      </c>
      <c r="BT21" s="91" t="inlineStr">
        <is>
          <t>N/A</t>
        </is>
      </c>
      <c r="BU21" s="85" t="n">
        <v>0</v>
      </c>
      <c r="BV21" s="85" t="n">
        <v>0</v>
      </c>
      <c r="BW21" s="85" t="n">
        <v>0</v>
      </c>
      <c r="BX21" s="85" t="n">
        <v>0</v>
      </c>
      <c r="BY21" s="85" t="n">
        <v>0</v>
      </c>
    </row>
    <row r="22" ht="17" customHeight="1">
      <c r="A22" s="86" t="n">
        <v>20</v>
      </c>
      <c r="B22" s="87" t="inlineStr">
        <is>
          <t>BWA</t>
        </is>
      </c>
      <c r="C22" s="88" t="inlineStr">
        <is>
          <t>BORGWARNER INC</t>
        </is>
      </c>
      <c r="D22" s="86" t="inlineStr">
        <is>
          <t>Consumer Discretionary</t>
        </is>
      </c>
      <c r="E22" s="86" t="n">
        <v>2026</v>
      </c>
      <c r="F22" s="89" t="n">
        <v>13769</v>
      </c>
      <c r="G22" s="89" t="n">
        <v>6795</v>
      </c>
      <c r="H22" s="89" t="n">
        <v>3282</v>
      </c>
      <c r="I22" s="89" t="n">
        <v>8155</v>
      </c>
      <c r="J22" s="89" t="n">
        <v>6570</v>
      </c>
      <c r="K22" s="89" t="n">
        <v>536</v>
      </c>
      <c r="L22" s="89" t="n">
        <v>14316</v>
      </c>
      <c r="M22" s="89" t="n">
        <v>277</v>
      </c>
      <c r="N22" s="89" t="n">
        <v>1569</v>
      </c>
      <c r="O22" s="89" t="n">
        <v>2674</v>
      </c>
      <c r="P22" s="89" t="n">
        <v>1926</v>
      </c>
      <c r="Q22" s="89" t="n">
        <v>5442</v>
      </c>
      <c r="R22" s="89" t="n">
        <v>1304</v>
      </c>
      <c r="S22" s="89" t="n">
        <v>568</v>
      </c>
      <c r="T22" s="89" t="n">
        <v>2962</v>
      </c>
      <c r="U22" s="89" t="n">
        <v>2925</v>
      </c>
      <c r="V22" s="89" t="n">
        <v>99</v>
      </c>
      <c r="W22" s="89" t="n">
        <v>13993</v>
      </c>
      <c r="X22" s="89" t="n">
        <v>6521</v>
      </c>
      <c r="Y22" s="89" t="n">
        <v>3646</v>
      </c>
      <c r="Z22" s="89" t="n">
        <v>8287</v>
      </c>
      <c r="AA22" s="89" t="n">
        <v>546</v>
      </c>
      <c r="AB22" s="89" t="n">
        <v>14086</v>
      </c>
      <c r="AC22" s="89" t="n">
        <v>338</v>
      </c>
      <c r="AD22" s="89" t="n">
        <v>1306</v>
      </c>
      <c r="AE22" s="89" t="n">
        <v>2648</v>
      </c>
      <c r="AF22" s="89" t="n">
        <v>2080.5</v>
      </c>
      <c r="AG22" s="89" t="n">
        <v>5532</v>
      </c>
      <c r="AH22" s="89" t="n">
        <v>14086</v>
      </c>
      <c r="AI22" s="89" t="n">
        <v>13993</v>
      </c>
      <c r="AJ22" s="89" t="n">
        <v>524</v>
      </c>
      <c r="AK22" s="89" t="n">
        <v>539</v>
      </c>
      <c r="AL22" s="89" t="n">
        <v>189</v>
      </c>
      <c r="AM22" s="89" t="n">
        <v>111</v>
      </c>
      <c r="AN22" s="89" t="n">
        <v>469</v>
      </c>
      <c r="AO22" s="89" t="n">
        <v>671</v>
      </c>
      <c r="AP22" s="89" t="n">
        <v>1207</v>
      </c>
      <c r="AQ22" s="89" t="n">
        <v>1251</v>
      </c>
      <c r="AR22" s="89" t="n">
        <v>2055</v>
      </c>
      <c r="AS22" s="89" t="n">
        <v>390</v>
      </c>
      <c r="AT22" s="89" t="n">
        <v>122.4</v>
      </c>
      <c r="AU22" s="89" t="n">
        <v>710</v>
      </c>
      <c r="AV22" s="89" t="n">
        <v>1841</v>
      </c>
      <c r="AW22" s="89" t="n">
        <v>1650</v>
      </c>
      <c r="AX22" s="89" t="n">
        <v>2048.4</v>
      </c>
      <c r="AY22" s="89" t="n">
        <v>2144.5</v>
      </c>
      <c r="AZ22" s="89" t="n">
        <v>207.4</v>
      </c>
      <c r="BA22" s="89" t="n">
        <v>1100</v>
      </c>
      <c r="BB22" s="89" t="n">
        <v>207.1</v>
      </c>
      <c r="BC22" s="89" t="n">
        <v>218.7</v>
      </c>
      <c r="BD22" s="89" t="n">
        <v>2843</v>
      </c>
      <c r="BE22" s="89" t="n">
        <v>2903.8</v>
      </c>
      <c r="BF22" s="89" t="n">
        <v>1350</v>
      </c>
      <c r="BG22" s="89" t="n">
        <v>439</v>
      </c>
      <c r="BH22" s="89" t="n">
        <v>-1418</v>
      </c>
      <c r="BI22" s="89" t="n">
        <v>-1395</v>
      </c>
      <c r="BJ22" s="89" t="n">
        <v>2684</v>
      </c>
      <c r="BK22" s="89" t="n">
        <v>2276</v>
      </c>
      <c r="BL22" s="89" t="n">
        <v>52.4</v>
      </c>
      <c r="BM22" s="89" t="n">
        <v>52.4</v>
      </c>
      <c r="BN22" s="89" t="n">
        <v>113</v>
      </c>
      <c r="BO22" s="89" t="n">
        <v>11642</v>
      </c>
      <c r="BP22" s="89" t="n">
        <v>11438</v>
      </c>
      <c r="BQ22" s="89" t="n">
        <v>0</v>
      </c>
      <c r="BR22" s="89" t="n">
        <v>0</v>
      </c>
      <c r="BS22" s="89" t="n">
        <v>0</v>
      </c>
      <c r="BT22" s="89" t="n">
        <v>0</v>
      </c>
      <c r="BU22" s="89" t="n">
        <v>0</v>
      </c>
      <c r="BV22" s="89" t="n">
        <v>0</v>
      </c>
      <c r="BW22" s="89" t="n">
        <v>0</v>
      </c>
      <c r="BX22" s="89" t="n">
        <v>0</v>
      </c>
      <c r="BY22" s="89" t="n">
        <v>0</v>
      </c>
    </row>
    <row r="23" ht="17" customHeight="1">
      <c r="A23" s="82" t="n">
        <v>21</v>
      </c>
      <c r="B23" s="83" t="inlineStr">
        <is>
          <t>CCL</t>
        </is>
      </c>
      <c r="C23" s="84" t="inlineStr">
        <is>
          <t>Carnival Corporation Ltd.</t>
        </is>
      </c>
      <c r="D23" s="82" t="inlineStr">
        <is>
          <t>Consumer Discretionary</t>
        </is>
      </c>
      <c r="E23" s="82" t="n">
        <v>2026</v>
      </c>
      <c r="F23" s="85" t="n">
        <v>51687</v>
      </c>
      <c r="G23" s="85" t="n">
        <v>4219</v>
      </c>
      <c r="H23" s="85" t="n">
        <v>13092</v>
      </c>
      <c r="I23" s="85" t="n">
        <v>51687</v>
      </c>
      <c r="J23" s="85" t="n">
        <v>4817</v>
      </c>
      <c r="K23" s="85" t="n">
        <v>4483</v>
      </c>
      <c r="L23" s="85" t="n">
        <v>18881</v>
      </c>
      <c r="M23" s="85" t="n">
        <v>2760</v>
      </c>
      <c r="N23" s="85" t="n">
        <v>6218</v>
      </c>
      <c r="O23" s="85" t="n">
        <v>3243</v>
      </c>
      <c r="P23" s="85" t="n">
        <v>27383</v>
      </c>
      <c r="Q23" s="85" t="n">
        <v>12284</v>
      </c>
      <c r="R23" s="85" t="n">
        <v>3402</v>
      </c>
      <c r="S23" s="85" t="n">
        <v>2790</v>
      </c>
      <c r="T23" s="85" t="n">
        <v>678</v>
      </c>
      <c r="U23" s="85" t="n">
        <v>43494</v>
      </c>
      <c r="V23" s="85" t="n">
        <v>2066</v>
      </c>
      <c r="W23" s="85" t="n">
        <v>49057</v>
      </c>
      <c r="X23" s="85" t="n">
        <v>3378</v>
      </c>
      <c r="Y23" s="85" t="n">
        <v>11617</v>
      </c>
      <c r="Z23" s="85" t="n">
        <v>49057</v>
      </c>
      <c r="AA23" s="85" t="n">
        <v>3574</v>
      </c>
      <c r="AB23" s="85" t="n">
        <v>17510</v>
      </c>
      <c r="AC23" s="85" t="n">
        <v>1916</v>
      </c>
      <c r="AD23" s="85" t="n">
        <v>5923</v>
      </c>
      <c r="AE23" s="85" t="n">
        <v>3193</v>
      </c>
      <c r="AF23" s="85" t="n">
        <v>28213</v>
      </c>
      <c r="AG23" s="85" t="n">
        <v>9251</v>
      </c>
      <c r="AH23" s="85" t="n">
        <v>17510</v>
      </c>
      <c r="AI23" s="85" t="n">
        <v>49057</v>
      </c>
      <c r="AJ23" s="85" t="n">
        <v>2772</v>
      </c>
      <c r="AK23" s="85" t="n">
        <v>1915</v>
      </c>
      <c r="AL23" s="85" t="n">
        <v>12</v>
      </c>
      <c r="AM23" s="85" t="n">
        <v>-1</v>
      </c>
      <c r="AN23" s="85" t="n">
        <v>3611</v>
      </c>
      <c r="AO23" s="85" t="n">
        <v>4626</v>
      </c>
      <c r="AP23" s="85" t="n">
        <v>505</v>
      </c>
      <c r="AQ23" s="85" t="n">
        <v>507</v>
      </c>
      <c r="AR23" s="85" t="n">
        <v>579</v>
      </c>
      <c r="AS23" s="85" t="n">
        <v>1177</v>
      </c>
      <c r="AT23" s="91" t="inlineStr">
        <is>
          <t>N/A</t>
        </is>
      </c>
      <c r="AU23" s="91" t="inlineStr">
        <is>
          <t>N/A</t>
        </is>
      </c>
      <c r="AV23" s="85" t="n">
        <v>1928</v>
      </c>
      <c r="AW23" s="85" t="n">
        <v>1210</v>
      </c>
      <c r="AX23" s="85" t="n">
        <v>27383</v>
      </c>
      <c r="AY23" s="85" t="n">
        <v>28413</v>
      </c>
      <c r="AZ23" s="85" t="n">
        <v>25455</v>
      </c>
      <c r="BA23" s="85" t="n">
        <v>2607</v>
      </c>
      <c r="BB23" s="85" t="n">
        <v>646</v>
      </c>
      <c r="BC23" s="85" t="n">
        <v>644</v>
      </c>
      <c r="BD23" s="85" t="n">
        <v>590</v>
      </c>
      <c r="BE23" s="85" t="n">
        <v>41795</v>
      </c>
      <c r="BF23" s="85" t="n">
        <v>3252</v>
      </c>
      <c r="BG23" s="85" t="n">
        <v>2557</v>
      </c>
      <c r="BH23" s="85" t="n">
        <v>-3321</v>
      </c>
      <c r="BI23" s="85" t="n">
        <v>-4535</v>
      </c>
      <c r="BJ23" s="85" t="n">
        <v>1245</v>
      </c>
      <c r="BK23" s="85" t="n">
        <v>1133</v>
      </c>
      <c r="BL23" s="85" t="n">
        <v>6831</v>
      </c>
      <c r="BM23" s="85" t="n">
        <v>6425</v>
      </c>
      <c r="BN23" s="91" t="inlineStr">
        <is>
          <t>N/A</t>
        </is>
      </c>
      <c r="BO23" s="85" t="n">
        <v>15638</v>
      </c>
      <c r="BP23" s="85" t="n">
        <v>14317</v>
      </c>
      <c r="BQ23" s="85" t="n">
        <v>0</v>
      </c>
      <c r="BR23" s="85" t="n">
        <v>0</v>
      </c>
      <c r="BS23" s="85" t="n">
        <v>0</v>
      </c>
      <c r="BT23" s="85" t="n">
        <v>0</v>
      </c>
      <c r="BU23" s="85" t="n">
        <v>0</v>
      </c>
      <c r="BV23" s="85" t="n">
        <v>0</v>
      </c>
      <c r="BW23" s="85" t="n">
        <v>0</v>
      </c>
      <c r="BX23" s="85" t="n">
        <v>0</v>
      </c>
      <c r="BY23" s="85" t="n">
        <v>0</v>
      </c>
    </row>
    <row r="24" ht="17" customHeight="1">
      <c r="A24" s="86" t="n">
        <v>22</v>
      </c>
      <c r="B24" s="87" t="inlineStr">
        <is>
          <t>BIO</t>
        </is>
      </c>
      <c r="C24" s="88" t="inlineStr">
        <is>
          <t>Bio-Rad Laboratories, Inc.</t>
        </is>
      </c>
      <c r="D24" s="86" t="inlineStr">
        <is>
          <t>Health Care</t>
        </is>
      </c>
      <c r="E24" s="86" t="n">
        <v>2026</v>
      </c>
      <c r="F24" s="89" t="n">
        <v>10576.5</v>
      </c>
      <c r="G24" s="89" t="n">
        <v>2906.2</v>
      </c>
      <c r="H24" s="89" t="n">
        <v>517</v>
      </c>
      <c r="I24" s="89" t="n">
        <v>3122.9</v>
      </c>
      <c r="J24" s="89" t="n">
        <v>8176.3</v>
      </c>
      <c r="K24" s="89" t="n">
        <v>47.2</v>
      </c>
      <c r="L24" s="89" t="n">
        <v>2583.2</v>
      </c>
      <c r="M24" s="89" t="n">
        <v>759.9</v>
      </c>
      <c r="N24" s="89" t="n">
        <v>532.2</v>
      </c>
      <c r="O24" s="89" t="n">
        <v>1339.9</v>
      </c>
      <c r="P24" s="89" t="n">
        <v>1203</v>
      </c>
      <c r="Q24" s="89" t="n">
        <v>7453.6</v>
      </c>
      <c r="R24" s="89" t="n">
        <v>844.3</v>
      </c>
      <c r="S24" s="89" t="n">
        <v>165.4</v>
      </c>
      <c r="T24" s="89" t="n">
        <v>460.6</v>
      </c>
      <c r="U24" s="89" t="n">
        <v>539.9</v>
      </c>
      <c r="V24" s="89" t="n">
        <v>49</v>
      </c>
      <c r="W24" s="89" t="n">
        <v>9364.1</v>
      </c>
      <c r="X24" s="89" t="n">
        <v>3030.3</v>
      </c>
      <c r="Y24" s="89" t="n">
        <v>467.8</v>
      </c>
      <c r="Z24" s="89" t="n">
        <v>2794.8</v>
      </c>
      <c r="AA24" s="89" t="n">
        <v>269</v>
      </c>
      <c r="AB24" s="89" t="n">
        <v>2566.5</v>
      </c>
      <c r="AC24" s="89" t="n">
        <v>-1844.2</v>
      </c>
      <c r="AD24" s="89" t="n">
        <v>455.2</v>
      </c>
      <c r="AE24" s="89" t="n">
        <v>1378.9</v>
      </c>
      <c r="AF24" s="89" t="n">
        <v>1210.4</v>
      </c>
      <c r="AG24" s="89" t="n">
        <v>6569.3</v>
      </c>
      <c r="AH24" s="89" t="n">
        <v>2566.5</v>
      </c>
      <c r="AI24" s="89" t="n">
        <v>9364.1</v>
      </c>
      <c r="AJ24" s="89" t="n">
        <v>995.5</v>
      </c>
      <c r="AK24" s="89" t="n">
        <v>-2342.5</v>
      </c>
      <c r="AL24" s="89" t="n">
        <v>235.6</v>
      </c>
      <c r="AM24" s="89" t="n">
        <v>-498.3</v>
      </c>
      <c r="AN24" s="89" t="n">
        <v>157.6</v>
      </c>
      <c r="AO24" s="89" t="n">
        <v>165.6</v>
      </c>
      <c r="AP24" s="89" t="n">
        <v>740.7</v>
      </c>
      <c r="AQ24" s="89" t="n">
        <v>760</v>
      </c>
      <c r="AR24" s="89" t="n">
        <v>579.8</v>
      </c>
      <c r="AS24" s="89" t="n">
        <v>174.3</v>
      </c>
      <c r="AT24" s="89" t="n">
        <v>0.2</v>
      </c>
      <c r="AU24" s="89" t="n">
        <v>275.6</v>
      </c>
      <c r="AV24" s="89" t="n">
        <v>529.8</v>
      </c>
      <c r="AW24" s="89" t="n">
        <v>488.1</v>
      </c>
      <c r="AX24" s="89" t="n">
        <v>1203.2</v>
      </c>
      <c r="AY24" s="89" t="n">
        <v>1210.4</v>
      </c>
      <c r="AZ24" s="89" t="n">
        <v>673.4</v>
      </c>
      <c r="BA24" s="89" t="n">
        <v>374.6</v>
      </c>
      <c r="BB24" s="90" t="inlineStr">
        <is>
          <t>N/A</t>
        </is>
      </c>
      <c r="BC24" s="90" t="inlineStr">
        <is>
          <t>N/A</t>
        </is>
      </c>
      <c r="BD24" s="89" t="n">
        <v>452.5</v>
      </c>
      <c r="BE24" s="89" t="n">
        <v>528.1</v>
      </c>
      <c r="BF24" s="89" t="n">
        <v>814</v>
      </c>
      <c r="BG24" s="89" t="n">
        <v>151.6</v>
      </c>
      <c r="BH24" s="89" t="n">
        <v>-189.7</v>
      </c>
      <c r="BI24" s="89" t="n">
        <v>-160.2</v>
      </c>
      <c r="BJ24" s="89" t="n">
        <v>129</v>
      </c>
      <c r="BK24" s="89" t="n">
        <v>122.3</v>
      </c>
      <c r="BL24" s="89" t="n">
        <v>48.9</v>
      </c>
      <c r="BM24" s="89" t="n">
        <v>47.8</v>
      </c>
      <c r="BN24" s="89" t="n">
        <v>36.6</v>
      </c>
      <c r="BO24" s="89" t="n">
        <v>1243.3</v>
      </c>
      <c r="BP24" s="89" t="n">
        <v>1187.6</v>
      </c>
      <c r="BQ24" s="89" t="n">
        <v>0</v>
      </c>
      <c r="BR24" s="89" t="n">
        <v>0</v>
      </c>
      <c r="BS24" s="89" t="n">
        <v>0</v>
      </c>
      <c r="BT24" s="89" t="n">
        <v>0</v>
      </c>
      <c r="BU24" s="89" t="n">
        <v>0</v>
      </c>
      <c r="BV24" s="89" t="n">
        <v>0</v>
      </c>
      <c r="BW24" s="89" t="n">
        <v>0</v>
      </c>
      <c r="BX24" s="89" t="n">
        <v>0</v>
      </c>
      <c r="BY24" s="89" t="n">
        <v>0</v>
      </c>
    </row>
    <row r="25" ht="17" customHeight="1">
      <c r="A25" s="82" t="n">
        <v>23</v>
      </c>
      <c r="B25" s="83" t="inlineStr">
        <is>
          <t>GEHC</t>
        </is>
      </c>
      <c r="C25" s="84" t="inlineStr">
        <is>
          <t>GE HEALTHCARE TECHNOLOGIES INC.</t>
        </is>
      </c>
      <c r="D25" s="82" t="inlineStr">
        <is>
          <t>Health Care</t>
        </is>
      </c>
      <c r="E25" s="82" t="n">
        <v>2026</v>
      </c>
      <c r="F25" s="85" t="n">
        <v>36906</v>
      </c>
      <c r="G25" s="85" t="n">
        <v>12501</v>
      </c>
      <c r="H25" s="85" t="n">
        <v>9105</v>
      </c>
      <c r="I25" s="85" t="n">
        <v>26307</v>
      </c>
      <c r="J25" s="85" t="n">
        <v>5281</v>
      </c>
      <c r="K25" s="85" t="n">
        <v>2763</v>
      </c>
      <c r="L25" s="85" t="n">
        <v>20625</v>
      </c>
      <c r="M25" s="85" t="n">
        <v>2084</v>
      </c>
      <c r="N25" s="91" t="inlineStr">
        <is>
          <t>N/A</t>
        </is>
      </c>
      <c r="O25" s="85" t="n">
        <v>8248</v>
      </c>
      <c r="P25" s="85" t="n">
        <v>10003</v>
      </c>
      <c r="Q25" s="85" t="n">
        <v>10379</v>
      </c>
      <c r="R25" s="85" t="n">
        <v>4225</v>
      </c>
      <c r="S25" s="85" t="n">
        <v>287</v>
      </c>
      <c r="T25" s="91" t="inlineStr">
        <is>
          <t>N/A</t>
        </is>
      </c>
      <c r="U25" s="85" t="n">
        <v>2144</v>
      </c>
      <c r="V25" s="91" t="inlineStr">
        <is>
          <t>N/A</t>
        </is>
      </c>
      <c r="W25" s="85" t="n">
        <v>33089</v>
      </c>
      <c r="X25" s="85" t="n">
        <v>9901</v>
      </c>
      <c r="Y25" s="85" t="n">
        <v>9553</v>
      </c>
      <c r="Z25" s="85" t="n">
        <v>24437</v>
      </c>
      <c r="AA25" s="85" t="n">
        <v>2625</v>
      </c>
      <c r="AB25" s="85" t="n">
        <v>19672</v>
      </c>
      <c r="AC25" s="85" t="n">
        <v>1993</v>
      </c>
      <c r="AD25" s="91" t="inlineStr">
        <is>
          <t>N/A</t>
        </is>
      </c>
      <c r="AE25" s="85" t="n">
        <v>8205</v>
      </c>
      <c r="AF25" s="85" t="n">
        <v>8951</v>
      </c>
      <c r="AG25" s="85" t="n">
        <v>8446</v>
      </c>
      <c r="AH25" s="85" t="n">
        <v>19672</v>
      </c>
      <c r="AI25" s="85" t="n">
        <v>33089</v>
      </c>
      <c r="AJ25" s="85" t="n">
        <v>2768</v>
      </c>
      <c r="AK25" s="85" t="n">
        <v>2581</v>
      </c>
      <c r="AL25" s="85" t="n">
        <v>614</v>
      </c>
      <c r="AM25" s="85" t="n">
        <v>531</v>
      </c>
      <c r="AN25" s="85" t="n">
        <v>482</v>
      </c>
      <c r="AO25" s="85" t="n">
        <v>401</v>
      </c>
      <c r="AP25" s="85" t="n">
        <v>2234</v>
      </c>
      <c r="AQ25" s="85" t="n">
        <v>1939</v>
      </c>
      <c r="AR25" s="85" t="n">
        <v>13489</v>
      </c>
      <c r="AS25" s="85" t="n">
        <v>1055</v>
      </c>
      <c r="AT25" s="85" t="n">
        <v>508</v>
      </c>
      <c r="AU25" s="85" t="n">
        <v>1260</v>
      </c>
      <c r="AV25" s="85" t="n">
        <v>4492</v>
      </c>
      <c r="AW25" s="85" t="n">
        <v>2874</v>
      </c>
      <c r="AX25" s="85" t="n">
        <v>10511</v>
      </c>
      <c r="AY25" s="85" t="n">
        <v>10453</v>
      </c>
      <c r="AZ25" s="85" t="n">
        <v>6019</v>
      </c>
      <c r="BA25" s="91" t="inlineStr">
        <is>
          <t>N/A</t>
        </is>
      </c>
      <c r="BB25" s="85" t="n">
        <v>455.3</v>
      </c>
      <c r="BC25" s="85" t="n">
        <v>454</v>
      </c>
      <c r="BD25" s="91" t="inlineStr">
        <is>
          <t>N/A</t>
        </is>
      </c>
      <c r="BE25" s="85" t="n">
        <v>2001</v>
      </c>
      <c r="BF25" s="85" t="n">
        <v>4269</v>
      </c>
      <c r="BG25" s="85" t="n">
        <v>268</v>
      </c>
      <c r="BH25" s="85" t="n">
        <v>-1047</v>
      </c>
      <c r="BI25" s="85" t="n">
        <v>-914</v>
      </c>
      <c r="BJ25" s="85" t="n">
        <v>3250</v>
      </c>
      <c r="BK25" s="85" t="n">
        <v>3022</v>
      </c>
      <c r="BL25" s="85" t="n">
        <v>2095</v>
      </c>
      <c r="BM25" s="85" t="n">
        <v>1943</v>
      </c>
      <c r="BN25" s="91" t="inlineStr">
        <is>
          <t>N/A</t>
        </is>
      </c>
      <c r="BO25" s="85" t="n">
        <v>5485</v>
      </c>
      <c r="BP25" s="85" t="n">
        <v>5580</v>
      </c>
      <c r="BQ25" s="91" t="inlineStr">
        <is>
          <t>N/A</t>
        </is>
      </c>
      <c r="BR25" s="91" t="inlineStr">
        <is>
          <t>N/A</t>
        </is>
      </c>
      <c r="BS25" s="85" t="n">
        <v>0</v>
      </c>
      <c r="BT25" s="85" t="n">
        <v>0</v>
      </c>
      <c r="BU25" s="85" t="n">
        <v>0</v>
      </c>
      <c r="BV25" s="85" t="n">
        <v>0</v>
      </c>
      <c r="BW25" s="85" t="n">
        <v>0</v>
      </c>
      <c r="BX25" s="91" t="inlineStr">
        <is>
          <t>N/A</t>
        </is>
      </c>
      <c r="BY25" s="85" t="n">
        <v>0</v>
      </c>
    </row>
    <row r="26" ht="17" customHeight="1">
      <c r="A26" s="86" t="n">
        <v>24</v>
      </c>
      <c r="B26" s="87" t="inlineStr">
        <is>
          <t>BAC</t>
        </is>
      </c>
      <c r="C26" s="88" t="inlineStr">
        <is>
          <t>BofA Finance LLC</t>
        </is>
      </c>
      <c r="D26" s="86" t="inlineStr">
        <is>
          <t>Financials</t>
        </is>
      </c>
      <c r="E26" s="86" t="n">
        <v>2026</v>
      </c>
      <c r="F26" s="89" t="n">
        <v>3411738</v>
      </c>
      <c r="G26" s="90" t="inlineStr">
        <is>
          <t>N/A</t>
        </is>
      </c>
      <c r="H26" s="90" t="inlineStr">
        <is>
          <t>N/A</t>
        </is>
      </c>
      <c r="I26" s="89" t="n">
        <v>3108495</v>
      </c>
      <c r="J26" s="89" t="n">
        <v>261693</v>
      </c>
      <c r="K26" s="89" t="n">
        <v>37695</v>
      </c>
      <c r="L26" s="89" t="n">
        <v>113097</v>
      </c>
      <c r="M26" s="89" t="n">
        <v>30509</v>
      </c>
      <c r="N26" s="89" t="n">
        <v>12613</v>
      </c>
      <c r="O26" s="90" t="inlineStr">
        <is>
          <t>N/A</t>
        </is>
      </c>
      <c r="P26" s="89" t="n">
        <v>317816</v>
      </c>
      <c r="Q26" s="89" t="n">
        <v>303243</v>
      </c>
      <c r="R26" s="90" t="inlineStr">
        <is>
          <t>N/A</t>
        </is>
      </c>
      <c r="S26" s="89" t="n">
        <v>2314</v>
      </c>
      <c r="T26" s="90" t="inlineStr">
        <is>
          <t>N/A</t>
        </is>
      </c>
      <c r="U26" s="89" t="n">
        <v>12516</v>
      </c>
      <c r="V26" s="89" t="n">
        <v>73331</v>
      </c>
      <c r="W26" s="89" t="n">
        <v>3261519</v>
      </c>
      <c r="X26" s="90" t="inlineStr">
        <is>
          <t>N/A</t>
        </is>
      </c>
      <c r="Y26" s="90" t="inlineStr">
        <is>
          <t>N/A</t>
        </is>
      </c>
      <c r="Z26" s="89" t="n">
        <v>2965960</v>
      </c>
      <c r="AA26" s="89" t="n">
        <v>29254</v>
      </c>
      <c r="AB26" s="89" t="n">
        <v>101887</v>
      </c>
      <c r="AC26" s="89" t="n">
        <v>27132</v>
      </c>
      <c r="AD26" s="89" t="n">
        <v>-8805</v>
      </c>
      <c r="AE26" s="90" t="inlineStr">
        <is>
          <t>N/A</t>
        </is>
      </c>
      <c r="AF26" s="89" t="n">
        <v>283279</v>
      </c>
      <c r="AG26" s="89" t="n">
        <v>295559</v>
      </c>
      <c r="AH26" s="89" t="n">
        <v>105856</v>
      </c>
      <c r="AI26" s="89" t="n">
        <v>3261299</v>
      </c>
      <c r="AJ26" s="89" t="n">
        <v>37695</v>
      </c>
      <c r="AK26" s="89" t="n">
        <v>29254</v>
      </c>
      <c r="AL26" s="89" t="n">
        <v>7186</v>
      </c>
      <c r="AM26" s="89" t="n">
        <v>2122</v>
      </c>
      <c r="AN26" s="90" t="inlineStr">
        <is>
          <t>N/A</t>
        </is>
      </c>
      <c r="AO26" s="90" t="inlineStr">
        <is>
          <t>N/A</t>
        </is>
      </c>
      <c r="AP26" s="90" t="inlineStr">
        <is>
          <t>N/A</t>
        </is>
      </c>
      <c r="AQ26" s="90" t="inlineStr">
        <is>
          <t>N/A</t>
        </is>
      </c>
      <c r="AR26" s="89" t="n">
        <v>69021</v>
      </c>
      <c r="AS26" s="89" t="n">
        <v>2200</v>
      </c>
      <c r="AT26" s="89" t="n">
        <v>45999</v>
      </c>
      <c r="AU26" s="90" t="inlineStr">
        <is>
          <t>N/A</t>
        </is>
      </c>
      <c r="AV26" s="89" t="n">
        <v>161560</v>
      </c>
      <c r="AW26" s="89" t="n">
        <v>177404</v>
      </c>
      <c r="AX26" s="89" t="n">
        <v>363815</v>
      </c>
      <c r="AY26" s="89" t="n">
        <v>314010</v>
      </c>
      <c r="AZ26" s="89" t="n">
        <v>202255</v>
      </c>
      <c r="BA26" s="90" t="inlineStr">
        <is>
          <t>N/A</t>
        </is>
      </c>
      <c r="BB26" s="89" t="n">
        <v>7212.5</v>
      </c>
      <c r="BC26" s="89" t="n">
        <v>7610.9</v>
      </c>
      <c r="BD26" s="90" t="inlineStr">
        <is>
          <t>N/A</t>
        </is>
      </c>
      <c r="BE26" s="89" t="n">
        <v>12168</v>
      </c>
      <c r="BF26" s="90" t="inlineStr">
        <is>
          <t>N/A</t>
        </is>
      </c>
      <c r="BG26" s="89" t="n">
        <v>2189</v>
      </c>
      <c r="BH26" s="89" t="n">
        <v>-145157</v>
      </c>
      <c r="BI26" s="89" t="n">
        <v>-90693</v>
      </c>
      <c r="BJ26" s="90" t="inlineStr">
        <is>
          <t>N/A</t>
        </is>
      </c>
      <c r="BK26" s="90" t="inlineStr">
        <is>
          <t>N/A</t>
        </is>
      </c>
      <c r="BL26" s="90" t="inlineStr">
        <is>
          <t>N/A</t>
        </is>
      </c>
      <c r="BM26" s="90" t="inlineStr">
        <is>
          <t>N/A</t>
        </is>
      </c>
      <c r="BN26" s="90" t="inlineStr">
        <is>
          <t>N/A</t>
        </is>
      </c>
      <c r="BO26" s="90" t="inlineStr">
        <is>
          <t>N/A</t>
        </is>
      </c>
      <c r="BP26" s="90" t="inlineStr">
        <is>
          <t>N/A</t>
        </is>
      </c>
      <c r="BQ26" s="90" t="inlineStr">
        <is>
          <t>N/A</t>
        </is>
      </c>
      <c r="BR26" s="90" t="inlineStr">
        <is>
          <t>N/A</t>
        </is>
      </c>
      <c r="BS26" s="90" t="inlineStr">
        <is>
          <t>N/A</t>
        </is>
      </c>
      <c r="BT26" s="90" t="inlineStr">
        <is>
          <t>N/A</t>
        </is>
      </c>
      <c r="BU26" s="90" t="inlineStr">
        <is>
          <t>N/A</t>
        </is>
      </c>
      <c r="BV26" s="90" t="inlineStr">
        <is>
          <t>N/A</t>
        </is>
      </c>
      <c r="BW26" s="89" t="n">
        <v>0</v>
      </c>
      <c r="BX26" s="89" t="n">
        <v>0</v>
      </c>
      <c r="BY26" s="89" t="n">
        <v>0</v>
      </c>
    </row>
    <row r="27" ht="17" customHeight="1">
      <c r="A27" s="82" t="n">
        <v>25</v>
      </c>
      <c r="B27" s="83" t="inlineStr">
        <is>
          <t>COR</t>
        </is>
      </c>
      <c r="C27" s="84" t="inlineStr">
        <is>
          <t>CENCORA, INC.</t>
        </is>
      </c>
      <c r="D27" s="82" t="inlineStr">
        <is>
          <t>Health Care</t>
        </is>
      </c>
      <c r="E27" s="82" t="n">
        <v>2026</v>
      </c>
      <c r="F27" s="85" t="n">
        <v>76590.10000000001</v>
      </c>
      <c r="G27" s="85" t="n">
        <v>52239.1</v>
      </c>
      <c r="H27" s="85" t="n">
        <v>57820.5</v>
      </c>
      <c r="I27" s="85" t="n">
        <v>76590.10000000001</v>
      </c>
      <c r="J27" s="85" t="n">
        <v>6534.2</v>
      </c>
      <c r="K27" s="85" t="n">
        <v>2628.6</v>
      </c>
      <c r="L27" s="85" t="n">
        <v>321332.8</v>
      </c>
      <c r="M27" s="85" t="n">
        <v>1554.2</v>
      </c>
      <c r="N27" s="85" t="n">
        <v>3875.1</v>
      </c>
      <c r="O27" s="85" t="n">
        <v>11478.5</v>
      </c>
      <c r="P27" s="85" t="n">
        <v>7660.8</v>
      </c>
      <c r="Q27" s="85" t="n">
        <v>1508</v>
      </c>
      <c r="R27" s="85" t="n">
        <v>6493.8</v>
      </c>
      <c r="S27" s="85" t="n">
        <v>1051.1</v>
      </c>
      <c r="T27" s="85" t="n">
        <v>25225.3</v>
      </c>
      <c r="U27" s="85" t="n">
        <v>2539.1</v>
      </c>
      <c r="V27" s="85" t="n">
        <v>125.3</v>
      </c>
      <c r="W27" s="85" t="n">
        <v>67101.7</v>
      </c>
      <c r="X27" s="85" t="n">
        <v>47717.8</v>
      </c>
      <c r="Y27" s="85" t="n">
        <v>54277.1</v>
      </c>
      <c r="Z27" s="85" t="n">
        <v>67101.7</v>
      </c>
      <c r="AA27" s="85" t="n">
        <v>2175.2</v>
      </c>
      <c r="AB27" s="85" t="n">
        <v>293958.6</v>
      </c>
      <c r="AC27" s="85" t="n">
        <v>1509.1</v>
      </c>
      <c r="AD27" s="85" t="n">
        <v>3484.7</v>
      </c>
      <c r="AE27" s="85" t="n">
        <v>9910</v>
      </c>
      <c r="AF27" s="85" t="n">
        <v>4388.1</v>
      </c>
      <c r="AG27" s="85" t="n">
        <v>645.9</v>
      </c>
      <c r="AH27" s="85" t="n">
        <v>293958.6</v>
      </c>
      <c r="AI27" s="85" t="n">
        <v>67101.7</v>
      </c>
      <c r="AJ27" s="85" t="n">
        <v>2258.3</v>
      </c>
      <c r="AK27" s="85" t="n">
        <v>2004</v>
      </c>
      <c r="AL27" s="85" t="n">
        <v>690.5</v>
      </c>
      <c r="AM27" s="85" t="n">
        <v>484.7</v>
      </c>
      <c r="AN27" s="85" t="n">
        <v>668</v>
      </c>
      <c r="AO27" s="85" t="n">
        <v>487.2</v>
      </c>
      <c r="AP27" s="85" t="n">
        <v>20492.5</v>
      </c>
      <c r="AQ27" s="85" t="n">
        <v>18998.8</v>
      </c>
      <c r="AR27" s="85" t="n">
        <v>13676.5</v>
      </c>
      <c r="AS27" s="85" t="n">
        <v>3774.2</v>
      </c>
      <c r="AT27" s="85" t="n">
        <v>117.8</v>
      </c>
      <c r="AU27" s="91" t="inlineStr">
        <is>
          <t>N/A</t>
        </is>
      </c>
      <c r="AV27" s="85" t="n">
        <v>4356.1</v>
      </c>
      <c r="AW27" s="85" t="n">
        <v>3132.6</v>
      </c>
      <c r="AX27" s="85" t="n">
        <v>7778.6</v>
      </c>
      <c r="AY27" s="85" t="n">
        <v>4964.4</v>
      </c>
      <c r="AZ27" s="85" t="n">
        <v>3422.4</v>
      </c>
      <c r="BA27" s="85" t="n">
        <v>3207.1</v>
      </c>
      <c r="BB27" s="85" t="n">
        <v>193.9</v>
      </c>
      <c r="BC27" s="85" t="n">
        <v>194.9</v>
      </c>
      <c r="BD27" s="85" t="n">
        <v>23871.8</v>
      </c>
      <c r="BE27" s="85" t="n">
        <v>2181.4</v>
      </c>
      <c r="BF27" s="85" t="n">
        <v>5661.1</v>
      </c>
      <c r="BG27" s="85" t="n">
        <v>1092</v>
      </c>
      <c r="BH27" s="85" t="n">
        <v>-4977.3</v>
      </c>
      <c r="BI27" s="85" t="n">
        <v>-618.1</v>
      </c>
      <c r="BJ27" s="85" t="n">
        <v>54719.8</v>
      </c>
      <c r="BK27" s="85" t="n">
        <v>50942.2</v>
      </c>
      <c r="BL27" s="91" t="inlineStr">
        <is>
          <t>N/A</t>
        </is>
      </c>
      <c r="BM27" s="91" t="inlineStr">
        <is>
          <t>N/A</t>
        </is>
      </c>
      <c r="BN27" s="91" t="inlineStr">
        <is>
          <t>N/A</t>
        </is>
      </c>
      <c r="BO27" s="85" t="n">
        <v>309854.3</v>
      </c>
      <c r="BP27" s="85" t="n">
        <v>284048.6</v>
      </c>
      <c r="BQ27" s="85" t="n">
        <v>0</v>
      </c>
      <c r="BR27" s="85" t="n">
        <v>0</v>
      </c>
      <c r="BS27" s="85" t="n">
        <v>0</v>
      </c>
      <c r="BT27" s="85" t="n">
        <v>0</v>
      </c>
      <c r="BU27" s="85" t="n">
        <v>0</v>
      </c>
      <c r="BV27" s="85" t="n">
        <v>0</v>
      </c>
      <c r="BW27" s="85" t="n">
        <v>0</v>
      </c>
      <c r="BX27" s="85" t="n">
        <v>0</v>
      </c>
      <c r="BY27" s="85" t="n">
        <v>0</v>
      </c>
    </row>
    <row r="28" ht="17" customHeight="1">
      <c r="A28" s="86" t="n">
        <v>26</v>
      </c>
      <c r="B28" s="87" t="inlineStr">
        <is>
          <t>NKE</t>
        </is>
      </c>
      <c r="C28" s="88" t="inlineStr">
        <is>
          <t>NIKE, Inc.</t>
        </is>
      </c>
      <c r="D28" s="86" t="inlineStr">
        <is>
          <t>Consumer Discretionary</t>
        </is>
      </c>
      <c r="E28" s="86" t="n">
        <v>2026</v>
      </c>
      <c r="F28" s="89" t="n">
        <v>36579</v>
      </c>
      <c r="G28" s="89" t="n">
        <v>23362</v>
      </c>
      <c r="H28" s="89" t="n">
        <v>10566</v>
      </c>
      <c r="I28" s="89" t="n">
        <v>36579</v>
      </c>
      <c r="J28" s="89" t="n">
        <v>-727</v>
      </c>
      <c r="K28" s="89" t="n">
        <v>3885</v>
      </c>
      <c r="L28" s="89" t="n">
        <v>46309</v>
      </c>
      <c r="M28" s="89" t="n">
        <v>3219</v>
      </c>
      <c r="N28" s="89" t="n">
        <v>3698</v>
      </c>
      <c r="O28" s="89" t="n">
        <v>19790</v>
      </c>
      <c r="P28" s="89" t="n">
        <v>7961</v>
      </c>
      <c r="Q28" s="89" t="n">
        <v>13213</v>
      </c>
      <c r="R28" s="89" t="n">
        <v>16088</v>
      </c>
      <c r="S28" s="89" t="n">
        <v>775</v>
      </c>
      <c r="T28" s="89" t="n">
        <v>4717</v>
      </c>
      <c r="U28" s="89" t="n">
        <v>4828</v>
      </c>
      <c r="V28" s="90" t="inlineStr">
        <is>
          <t>N/A</t>
        </is>
      </c>
      <c r="W28" s="89" t="n">
        <v>38110</v>
      </c>
      <c r="X28" s="89" t="n">
        <v>25382</v>
      </c>
      <c r="Y28" s="89" t="n">
        <v>10593</v>
      </c>
      <c r="Z28" s="89" t="n">
        <v>38110</v>
      </c>
      <c r="AA28" s="89" t="n">
        <v>6700</v>
      </c>
      <c r="AB28" s="89" t="n">
        <v>51362</v>
      </c>
      <c r="AC28" s="89" t="n">
        <v>5700</v>
      </c>
      <c r="AD28" s="89" t="n">
        <v>7429</v>
      </c>
      <c r="AE28" s="89" t="n">
        <v>22887</v>
      </c>
      <c r="AF28" s="89" t="n">
        <v>8903</v>
      </c>
      <c r="AG28" s="89" t="n">
        <v>14430</v>
      </c>
      <c r="AH28" s="89" t="n">
        <v>51362</v>
      </c>
      <c r="AI28" s="89" t="n">
        <v>38110</v>
      </c>
      <c r="AJ28" s="89" t="n">
        <v>3885</v>
      </c>
      <c r="AK28" s="89" t="n">
        <v>6700</v>
      </c>
      <c r="AL28" s="89" t="n">
        <v>666</v>
      </c>
      <c r="AM28" s="89" t="n">
        <v>1000</v>
      </c>
      <c r="AN28" s="89" t="n">
        <v>430</v>
      </c>
      <c r="AO28" s="89" t="n">
        <v>812</v>
      </c>
      <c r="AP28" s="89" t="n">
        <v>2715</v>
      </c>
      <c r="AQ28" s="89" t="n">
        <v>2041</v>
      </c>
      <c r="AR28" s="89" t="n">
        <v>240</v>
      </c>
      <c r="AS28" s="89" t="n">
        <v>99</v>
      </c>
      <c r="AT28" s="89" t="n">
        <v>5</v>
      </c>
      <c r="AU28" s="90" t="inlineStr">
        <is>
          <t>N/A</t>
        </is>
      </c>
      <c r="AV28" s="89" t="n">
        <v>7464</v>
      </c>
      <c r="AW28" s="89" t="n">
        <v>9860</v>
      </c>
      <c r="AX28" s="89" t="n">
        <v>7966</v>
      </c>
      <c r="AY28" s="89" t="n">
        <v>8909</v>
      </c>
      <c r="AZ28" s="89" t="n">
        <v>502</v>
      </c>
      <c r="BA28" s="89" t="n">
        <v>3268</v>
      </c>
      <c r="BB28" s="90" t="inlineStr">
        <is>
          <t>N/A</t>
        </is>
      </c>
      <c r="BC28" s="90" t="inlineStr">
        <is>
          <t>N/A</t>
        </is>
      </c>
      <c r="BD28" s="89" t="n">
        <v>4427</v>
      </c>
      <c r="BE28" s="89" t="n">
        <v>5000</v>
      </c>
      <c r="BF28" s="89" t="n">
        <v>16576</v>
      </c>
      <c r="BG28" s="89" t="n">
        <v>796</v>
      </c>
      <c r="BH28" s="89" t="n">
        <v>-275</v>
      </c>
      <c r="BI28" s="89" t="n">
        <v>894</v>
      </c>
      <c r="BJ28" s="89" t="n">
        <v>3479</v>
      </c>
      <c r="BK28" s="89" t="n">
        <v>2851</v>
      </c>
      <c r="BL28" s="90" t="inlineStr">
        <is>
          <t>N/A</t>
        </is>
      </c>
      <c r="BM28" s="90" t="inlineStr">
        <is>
          <t>N/A</t>
        </is>
      </c>
      <c r="BN28" s="89" t="n">
        <v>669</v>
      </c>
      <c r="BO28" s="89" t="n">
        <v>26519</v>
      </c>
      <c r="BP28" s="89" t="n">
        <v>28475</v>
      </c>
      <c r="BQ28" s="89" t="n">
        <v>0</v>
      </c>
      <c r="BR28" s="89" t="n">
        <v>0</v>
      </c>
      <c r="BS28" s="89" t="n">
        <v>0</v>
      </c>
      <c r="BT28" s="89" t="n">
        <v>0</v>
      </c>
      <c r="BU28" s="89" t="n">
        <v>0</v>
      </c>
      <c r="BV28" s="89" t="n">
        <v>0</v>
      </c>
      <c r="BW28" s="89" t="n">
        <v>0</v>
      </c>
      <c r="BX28" s="89" t="n">
        <v>0</v>
      </c>
      <c r="BY28" s="89" t="n">
        <v>0</v>
      </c>
    </row>
    <row r="29" ht="17" customHeight="1">
      <c r="A29" s="82" t="n">
        <v>27</v>
      </c>
      <c r="B29" s="83" t="inlineStr">
        <is>
          <t>ELS</t>
        </is>
      </c>
      <c r="C29" s="84" t="inlineStr">
        <is>
          <t>EQUITY LIFESTYLE PROPERTIES, INC.</t>
        </is>
      </c>
      <c r="D29" s="82" t="inlineStr">
        <is>
          <t>Real Estate</t>
        </is>
      </c>
      <c r="E29" s="82" t="n">
        <v>2026</v>
      </c>
      <c r="F29" s="85" t="n">
        <v>5745.4</v>
      </c>
      <c r="G29" s="91" t="inlineStr">
        <is>
          <t>N/A</t>
        </is>
      </c>
      <c r="H29" s="91" t="inlineStr">
        <is>
          <t>N/A</t>
        </is>
      </c>
      <c r="I29" s="85" t="n">
        <v>3930.6</v>
      </c>
      <c r="J29" s="91" t="inlineStr">
        <is>
          <t>N/A</t>
        </is>
      </c>
      <c r="K29" s="85" t="n">
        <v>391.3</v>
      </c>
      <c r="L29" s="85" t="n">
        <v>1531.4</v>
      </c>
      <c r="M29" s="85" t="n">
        <v>402.1</v>
      </c>
      <c r="N29" s="85" t="n">
        <v>571.1</v>
      </c>
      <c r="O29" s="85" t="n">
        <v>82.40000000000001</v>
      </c>
      <c r="P29" s="85" t="n">
        <v>3345.9</v>
      </c>
      <c r="Q29" s="85" t="n">
        <v>1756.3</v>
      </c>
      <c r="R29" s="85" t="n">
        <v>37.5</v>
      </c>
      <c r="S29" s="85" t="n">
        <v>131.5</v>
      </c>
      <c r="T29" s="85" t="n">
        <v>1.2</v>
      </c>
      <c r="U29" s="85" t="n">
        <v>372.8</v>
      </c>
      <c r="V29" s="85" t="n">
        <v>131</v>
      </c>
      <c r="W29" s="85" t="n">
        <v>5645.7</v>
      </c>
      <c r="X29" s="91" t="inlineStr">
        <is>
          <t>N/A</t>
        </is>
      </c>
      <c r="Y29" s="91" t="inlineStr">
        <is>
          <t>N/A</t>
        </is>
      </c>
      <c r="Z29" s="85" t="n">
        <v>3821.9</v>
      </c>
      <c r="AA29" s="85" t="n">
        <v>380.7</v>
      </c>
      <c r="AB29" s="85" t="n">
        <v>1526.2</v>
      </c>
      <c r="AC29" s="85" t="n">
        <v>384.8</v>
      </c>
      <c r="AD29" s="85" t="n">
        <v>596.7</v>
      </c>
      <c r="AE29" s="85" t="n">
        <v>84.8</v>
      </c>
      <c r="AF29" s="85" t="n">
        <v>3204.7</v>
      </c>
      <c r="AG29" s="85" t="n">
        <v>1740.7</v>
      </c>
      <c r="AH29" s="85" t="n">
        <v>1526.2</v>
      </c>
      <c r="AI29" s="85" t="n">
        <v>5645.7</v>
      </c>
      <c r="AJ29" s="91" t="inlineStr">
        <is>
          <t>N/A</t>
        </is>
      </c>
      <c r="AK29" s="91" t="inlineStr">
        <is>
          <t>N/A</t>
        </is>
      </c>
      <c r="AL29" s="85" t="n">
        <v>-3.3</v>
      </c>
      <c r="AM29" s="85" t="n">
        <v>-0.4</v>
      </c>
      <c r="AN29" s="85" t="n">
        <v>237.1</v>
      </c>
      <c r="AO29" s="85" t="n">
        <v>241.3</v>
      </c>
      <c r="AP29" s="85" t="n">
        <v>1.6</v>
      </c>
      <c r="AQ29" s="91" t="inlineStr">
        <is>
          <t>N/A</t>
        </is>
      </c>
      <c r="AR29" s="85" t="n">
        <v>17.6</v>
      </c>
      <c r="AS29" s="85" t="n">
        <v>38</v>
      </c>
      <c r="AT29" s="91" t="inlineStr">
        <is>
          <t>N/A</t>
        </is>
      </c>
      <c r="AU29" s="91" t="inlineStr">
        <is>
          <t>N/A</t>
        </is>
      </c>
      <c r="AV29" s="85" t="n">
        <v>37.1</v>
      </c>
      <c r="AW29" s="85" t="n">
        <v>70.5</v>
      </c>
      <c r="AX29" s="85" t="n">
        <v>3345.9</v>
      </c>
      <c r="AY29" s="85" t="n">
        <v>3204.7</v>
      </c>
      <c r="AZ29" s="85" t="n">
        <v>3308.7</v>
      </c>
      <c r="BA29" s="85" t="n">
        <v>334.1</v>
      </c>
      <c r="BB29" s="85" t="n">
        <v>193.8</v>
      </c>
      <c r="BC29" s="85" t="n">
        <v>191.1</v>
      </c>
      <c r="BD29" s="85" t="n">
        <v>1.2</v>
      </c>
      <c r="BE29" s="85" t="n">
        <v>249.3</v>
      </c>
      <c r="BF29" s="85" t="n">
        <v>38.5</v>
      </c>
      <c r="BG29" s="85" t="n">
        <v>122.7</v>
      </c>
      <c r="BH29" s="85" t="n">
        <v>-277.1</v>
      </c>
      <c r="BI29" s="85" t="n">
        <v>-217.8</v>
      </c>
      <c r="BJ29" s="91" t="inlineStr">
        <is>
          <t>N/A</t>
        </is>
      </c>
      <c r="BK29" s="91" t="inlineStr">
        <is>
          <t>N/A</t>
        </is>
      </c>
      <c r="BL29" s="85" t="n">
        <v>85.59999999999999</v>
      </c>
      <c r="BM29" s="85" t="n">
        <v>81.5</v>
      </c>
      <c r="BN29" s="91" t="inlineStr">
        <is>
          <t>N/A</t>
        </is>
      </c>
      <c r="BO29" s="91" t="inlineStr">
        <is>
          <t>N/A</t>
        </is>
      </c>
      <c r="BP29" s="91" t="inlineStr">
        <is>
          <t>N/A</t>
        </is>
      </c>
      <c r="BQ29" s="85" t="n">
        <v>0</v>
      </c>
      <c r="BR29" s="85" t="n">
        <v>0</v>
      </c>
      <c r="BS29" s="85" t="n">
        <v>0</v>
      </c>
      <c r="BT29" s="91" t="inlineStr">
        <is>
          <t>N/A</t>
        </is>
      </c>
      <c r="BU29" s="91" t="inlineStr">
        <is>
          <t>N/A</t>
        </is>
      </c>
      <c r="BV29" s="91" t="inlineStr">
        <is>
          <t>N/A</t>
        </is>
      </c>
      <c r="BW29" s="85" t="n">
        <v>0</v>
      </c>
      <c r="BX29" s="85" t="n">
        <v>0</v>
      </c>
      <c r="BY29" s="91" t="inlineStr">
        <is>
          <t>N/A</t>
        </is>
      </c>
    </row>
    <row r="30" ht="17" customHeight="1">
      <c r="A30" s="86" t="n">
        <v>28</v>
      </c>
      <c r="B30" s="87" t="inlineStr">
        <is>
          <t>IVZ</t>
        </is>
      </c>
      <c r="C30" s="88" t="inlineStr">
        <is>
          <t>Invesco Ltd.</t>
        </is>
      </c>
      <c r="D30" s="86" t="inlineStr">
        <is>
          <t>Financials</t>
        </is>
      </c>
      <c r="E30" s="86" t="n">
        <v>2026</v>
      </c>
      <c r="F30" s="89" t="n">
        <v>27094</v>
      </c>
      <c r="G30" s="89" t="n">
        <v>3907.6</v>
      </c>
      <c r="H30" s="89" t="n">
        <v>2713</v>
      </c>
      <c r="I30" s="89" t="n">
        <v>14089.1</v>
      </c>
      <c r="J30" s="89" t="n">
        <v>5886.8</v>
      </c>
      <c r="K30" s="89" t="n">
        <v>-695.7</v>
      </c>
      <c r="L30" s="89" t="n">
        <v>5314.1</v>
      </c>
      <c r="M30" s="89" t="n">
        <v>538</v>
      </c>
      <c r="N30" s="89" t="n">
        <v>1525.3</v>
      </c>
      <c r="O30" s="89" t="n">
        <v>-1758.7</v>
      </c>
      <c r="P30" s="89" t="n">
        <v>1825.1</v>
      </c>
      <c r="Q30" s="89" t="n">
        <v>12231</v>
      </c>
      <c r="R30" s="89" t="n">
        <v>576.5</v>
      </c>
      <c r="S30" s="89" t="n">
        <v>155.9</v>
      </c>
      <c r="T30" s="89" t="n">
        <v>449.4</v>
      </c>
      <c r="U30" s="89" t="n">
        <v>378.9</v>
      </c>
      <c r="V30" s="89" t="n">
        <v>70.5</v>
      </c>
      <c r="W30" s="89" t="n">
        <v>27008.9</v>
      </c>
      <c r="X30" s="89" t="n">
        <v>3834.1</v>
      </c>
      <c r="Y30" s="89" t="n">
        <v>2974.4</v>
      </c>
      <c r="Z30" s="89" t="n">
        <v>11340.1</v>
      </c>
      <c r="AA30" s="89" t="n">
        <v>832.1</v>
      </c>
      <c r="AB30" s="89" t="n">
        <v>5160.3</v>
      </c>
      <c r="AC30" s="89" t="n">
        <v>-333.7</v>
      </c>
      <c r="AD30" s="89" t="n">
        <v>1190</v>
      </c>
      <c r="AE30" s="89" t="n">
        <v>-74.59999999999999</v>
      </c>
      <c r="AF30" s="89" t="n">
        <v>890.6</v>
      </c>
      <c r="AG30" s="89" t="n">
        <v>14559.9</v>
      </c>
      <c r="AH30" s="89" t="n">
        <v>5160.3</v>
      </c>
      <c r="AI30" s="89" t="n">
        <v>27008.9</v>
      </c>
      <c r="AJ30" s="89" t="n">
        <v>-379.4</v>
      </c>
      <c r="AK30" s="89" t="n">
        <v>1005.3</v>
      </c>
      <c r="AL30" s="89" t="n">
        <v>-204.6</v>
      </c>
      <c r="AM30" s="89" t="n">
        <v>252.9</v>
      </c>
      <c r="AN30" s="89" t="n">
        <v>84.3</v>
      </c>
      <c r="AO30" s="89" t="n">
        <v>69.09999999999999</v>
      </c>
      <c r="AP30" s="90" t="inlineStr">
        <is>
          <t>N/A</t>
        </is>
      </c>
      <c r="AQ30" s="90" t="inlineStr">
        <is>
          <t>N/A</t>
        </is>
      </c>
      <c r="AR30" s="89" t="n">
        <v>8477.1</v>
      </c>
      <c r="AS30" s="89" t="n">
        <v>5848.1</v>
      </c>
      <c r="AT30" s="90" t="inlineStr">
        <is>
          <t>N/A</t>
        </is>
      </c>
      <c r="AU30" s="90" t="inlineStr">
        <is>
          <t>N/A</t>
        </is>
      </c>
      <c r="AV30" s="89" t="n">
        <v>1037.5</v>
      </c>
      <c r="AW30" s="89" t="n">
        <v>986.5</v>
      </c>
      <c r="AX30" s="89" t="n">
        <v>1825.1</v>
      </c>
      <c r="AY30" s="89" t="n">
        <v>890.6</v>
      </c>
      <c r="AZ30" s="89" t="n">
        <v>787.6</v>
      </c>
      <c r="BA30" s="89" t="n">
        <v>1441</v>
      </c>
      <c r="BB30" s="89" t="n">
        <v>444</v>
      </c>
      <c r="BC30" s="89" t="n">
        <v>448</v>
      </c>
      <c r="BD30" s="89" t="n">
        <v>424.4</v>
      </c>
      <c r="BE30" s="89" t="n">
        <v>479</v>
      </c>
      <c r="BF30" s="89" t="n">
        <v>594.7</v>
      </c>
      <c r="BG30" s="89" t="n">
        <v>179.6</v>
      </c>
      <c r="BH30" s="89" t="n">
        <v>-974.4</v>
      </c>
      <c r="BI30" s="89" t="n">
        <v>68.40000000000001</v>
      </c>
      <c r="BJ30" s="89" t="n">
        <v>287.9</v>
      </c>
      <c r="BK30" s="89" t="n">
        <v>272.6</v>
      </c>
      <c r="BL30" s="89" t="n">
        <v>60.4</v>
      </c>
      <c r="BM30" s="89" t="n">
        <v>87.7</v>
      </c>
      <c r="BN30" s="89" t="n">
        <v>77.90000000000001</v>
      </c>
      <c r="BO30" s="89" t="n">
        <v>7072.8</v>
      </c>
      <c r="BP30" s="89" t="n">
        <v>5234.9</v>
      </c>
      <c r="BQ30" s="89" t="n">
        <v>0</v>
      </c>
      <c r="BR30" s="89" t="n">
        <v>0</v>
      </c>
      <c r="BS30" s="90" t="inlineStr">
        <is>
          <t>N/A</t>
        </is>
      </c>
      <c r="BT30" s="90" t="inlineStr">
        <is>
          <t>N/A</t>
        </is>
      </c>
      <c r="BU30" s="89" t="n">
        <v>0</v>
      </c>
      <c r="BV30" s="89" t="n">
        <v>0</v>
      </c>
      <c r="BW30" s="89" t="n">
        <v>0</v>
      </c>
      <c r="BX30" s="89" t="n">
        <v>0</v>
      </c>
      <c r="BY30" s="89" t="n">
        <v>0</v>
      </c>
    </row>
    <row r="31" ht="17" customHeight="1">
      <c r="A31" s="82" t="n">
        <v>29</v>
      </c>
      <c r="B31" s="83" t="inlineStr">
        <is>
          <t>AMP</t>
        </is>
      </c>
      <c r="C31" s="84" t="inlineStr">
        <is>
          <t>AMERIPRISE FINANCIAL INC</t>
        </is>
      </c>
      <c r="D31" s="82" t="inlineStr">
        <is>
          <t>Financials</t>
        </is>
      </c>
      <c r="E31" s="82" t="n">
        <v>2026</v>
      </c>
      <c r="F31" s="85" t="n">
        <v>190904</v>
      </c>
      <c r="G31" s="91" t="inlineStr">
        <is>
          <t>N/A</t>
        </is>
      </c>
      <c r="H31" s="91" t="inlineStr">
        <is>
          <t>N/A</t>
        </is>
      </c>
      <c r="I31" s="85" t="n">
        <v>184355</v>
      </c>
      <c r="J31" s="85" t="n">
        <v>27662</v>
      </c>
      <c r="K31" s="85" t="n">
        <v>4504</v>
      </c>
      <c r="L31" s="85" t="n">
        <v>18911</v>
      </c>
      <c r="M31" s="85" t="n">
        <v>3563</v>
      </c>
      <c r="N31" s="85" t="n">
        <v>8323</v>
      </c>
      <c r="O31" s="91" t="inlineStr">
        <is>
          <t>N/A</t>
        </is>
      </c>
      <c r="P31" s="85" t="n">
        <v>2249</v>
      </c>
      <c r="Q31" s="85" t="n">
        <v>6549</v>
      </c>
      <c r="R31" s="85" t="n">
        <v>3875</v>
      </c>
      <c r="S31" s="85" t="n">
        <v>151</v>
      </c>
      <c r="T31" s="85" t="n">
        <v>403</v>
      </c>
      <c r="U31" s="85" t="n">
        <v>744</v>
      </c>
      <c r="V31" s="85" t="n">
        <v>170</v>
      </c>
      <c r="W31" s="85" t="n">
        <v>190904</v>
      </c>
      <c r="X31" s="91" t="inlineStr">
        <is>
          <t>N/A</t>
        </is>
      </c>
      <c r="Y31" s="91" t="inlineStr">
        <is>
          <t>N/A</t>
        </is>
      </c>
      <c r="Z31" s="85" t="n">
        <v>184355</v>
      </c>
      <c r="AA31" s="85" t="n">
        <v>4504</v>
      </c>
      <c r="AB31" s="85" t="n">
        <v>18911</v>
      </c>
      <c r="AC31" s="85" t="n">
        <v>3563</v>
      </c>
      <c r="AD31" s="85" t="n">
        <v>8323</v>
      </c>
      <c r="AE31" s="91" t="inlineStr">
        <is>
          <t>N/A</t>
        </is>
      </c>
      <c r="AF31" s="85" t="n">
        <v>2027</v>
      </c>
      <c r="AG31" s="85" t="n">
        <v>6549</v>
      </c>
      <c r="AH31" s="85" t="n">
        <v>17926</v>
      </c>
      <c r="AI31" s="85" t="n">
        <v>181403</v>
      </c>
      <c r="AJ31" s="85" t="n">
        <v>4504</v>
      </c>
      <c r="AK31" s="85" t="n">
        <v>4504</v>
      </c>
      <c r="AL31" s="85" t="n">
        <v>941</v>
      </c>
      <c r="AM31" s="85" t="n">
        <v>941</v>
      </c>
      <c r="AN31" s="85" t="n">
        <v>162</v>
      </c>
      <c r="AO31" s="85" t="n">
        <v>162</v>
      </c>
      <c r="AP31" s="91" t="inlineStr">
        <is>
          <t>N/A</t>
        </is>
      </c>
      <c r="AQ31" s="91" t="inlineStr">
        <is>
          <t>N/A</t>
        </is>
      </c>
      <c r="AR31" s="85" t="n">
        <v>1440</v>
      </c>
      <c r="AS31" s="85" t="n">
        <v>356</v>
      </c>
      <c r="AT31" s="91" t="inlineStr">
        <is>
          <t>N/A</t>
        </is>
      </c>
      <c r="AU31" s="91" t="inlineStr">
        <is>
          <t>N/A</t>
        </is>
      </c>
      <c r="AV31" s="85" t="n">
        <v>2318</v>
      </c>
      <c r="AW31" s="85" t="n">
        <v>2357</v>
      </c>
      <c r="AX31" s="85" t="n">
        <v>2249</v>
      </c>
      <c r="AY31" s="85" t="n">
        <v>2027</v>
      </c>
      <c r="AZ31" s="85" t="n">
        <v>-69</v>
      </c>
      <c r="BA31" s="85" t="n">
        <v>8161</v>
      </c>
      <c r="BB31" s="85" t="n">
        <v>338.1</v>
      </c>
      <c r="BC31" s="85" t="n">
        <v>338.1</v>
      </c>
      <c r="BD31" s="85" t="n">
        <v>400</v>
      </c>
      <c r="BE31" s="85" t="n">
        <v>744</v>
      </c>
      <c r="BF31" s="85" t="n">
        <v>3875</v>
      </c>
      <c r="BG31" s="85" t="n">
        <v>151</v>
      </c>
      <c r="BH31" s="85" t="n">
        <v>-1528</v>
      </c>
      <c r="BI31" s="85" t="n">
        <v>-1528</v>
      </c>
      <c r="BJ31" s="91" t="inlineStr">
        <is>
          <t>N/A</t>
        </is>
      </c>
      <c r="BK31" s="91" t="inlineStr">
        <is>
          <t>N/A</t>
        </is>
      </c>
      <c r="BL31" s="91" t="inlineStr">
        <is>
          <t>N/A</t>
        </is>
      </c>
      <c r="BM31" s="91" t="inlineStr">
        <is>
          <t>N/A</t>
        </is>
      </c>
      <c r="BN31" s="91" t="inlineStr">
        <is>
          <t>N/A</t>
        </is>
      </c>
      <c r="BO31" s="91" t="inlineStr">
        <is>
          <t>N/A</t>
        </is>
      </c>
      <c r="BP31" s="91" t="inlineStr">
        <is>
          <t>N/A</t>
        </is>
      </c>
      <c r="BQ31" s="85" t="n">
        <v>0</v>
      </c>
      <c r="BR31" s="85" t="n">
        <v>0</v>
      </c>
      <c r="BS31" s="91" t="inlineStr">
        <is>
          <t>N/A</t>
        </is>
      </c>
      <c r="BT31" s="91" t="inlineStr">
        <is>
          <t>N/A</t>
        </is>
      </c>
      <c r="BU31" s="91" t="inlineStr">
        <is>
          <t>N/A</t>
        </is>
      </c>
      <c r="BV31" s="91" t="inlineStr">
        <is>
          <t>N/A</t>
        </is>
      </c>
      <c r="BW31" s="85" t="n">
        <v>0</v>
      </c>
      <c r="BX31" s="85" t="n">
        <v>0</v>
      </c>
      <c r="BY31" s="85" t="n">
        <v>0</v>
      </c>
    </row>
    <row r="32" ht="17" customHeight="1">
      <c r="A32" s="86" t="n">
        <v>30</v>
      </c>
      <c r="B32" s="87" t="inlineStr">
        <is>
          <t>ZBH</t>
        </is>
      </c>
      <c r="C32" s="88" t="inlineStr">
        <is>
          <t>ZIMMER BIOMET HOLDINGS, INC.</t>
        </is>
      </c>
      <c r="D32" s="86" t="inlineStr">
        <is>
          <t>Health Care</t>
        </is>
      </c>
      <c r="E32" s="86" t="n">
        <v>2026</v>
      </c>
      <c r="F32" s="89" t="n">
        <v>23091.7</v>
      </c>
      <c r="G32" s="89" t="n">
        <v>5119.9</v>
      </c>
      <c r="H32" s="89" t="n">
        <v>2583.7</v>
      </c>
      <c r="I32" s="89" t="n">
        <v>10386</v>
      </c>
      <c r="J32" s="89" t="n">
        <v>11611</v>
      </c>
      <c r="K32" s="89" t="n">
        <v>1098.1</v>
      </c>
      <c r="L32" s="89" t="n">
        <v>8231.5</v>
      </c>
      <c r="M32" s="89" t="n">
        <v>705.1</v>
      </c>
      <c r="N32" s="89" t="n">
        <v>1697.1</v>
      </c>
      <c r="O32" s="89" t="n">
        <v>1285.4</v>
      </c>
      <c r="P32" s="89" t="n">
        <v>1000</v>
      </c>
      <c r="Q32" s="89" t="n">
        <v>12697.7</v>
      </c>
      <c r="R32" s="89" t="n">
        <v>3257.2</v>
      </c>
      <c r="S32" s="89" t="n">
        <v>1093.8</v>
      </c>
      <c r="T32" s="89" t="n">
        <v>1704.4</v>
      </c>
      <c r="U32" s="89" t="n">
        <v>2207.1</v>
      </c>
      <c r="V32" s="89" t="n">
        <v>327.5</v>
      </c>
      <c r="W32" s="89" t="n">
        <v>21365.3</v>
      </c>
      <c r="X32" s="89" t="n">
        <v>4671.5</v>
      </c>
      <c r="Y32" s="89" t="n">
        <v>2450.9</v>
      </c>
      <c r="Z32" s="89" t="n">
        <v>8889.1</v>
      </c>
      <c r="AA32" s="89" t="n">
        <v>1285.7</v>
      </c>
      <c r="AB32" s="89" t="n">
        <v>7678.6</v>
      </c>
      <c r="AC32" s="89" t="n">
        <v>903.8</v>
      </c>
      <c r="AD32" s="89" t="n">
        <v>1499.4</v>
      </c>
      <c r="AE32" s="89" t="n">
        <v>1210.2</v>
      </c>
      <c r="AF32" s="89" t="n">
        <v>1000</v>
      </c>
      <c r="AG32" s="89" t="n">
        <v>12468.1</v>
      </c>
      <c r="AH32" s="89" t="n">
        <v>7678.6</v>
      </c>
      <c r="AI32" s="89" t="n">
        <v>21365.3</v>
      </c>
      <c r="AJ32" s="89" t="n">
        <v>830.8</v>
      </c>
      <c r="AK32" s="89" t="n">
        <v>1036.6</v>
      </c>
      <c r="AL32" s="89" t="n">
        <v>125.7</v>
      </c>
      <c r="AM32" s="89" t="n">
        <v>131.4</v>
      </c>
      <c r="AN32" s="89" t="n">
        <v>224.5</v>
      </c>
      <c r="AO32" s="89" t="n">
        <v>203.8</v>
      </c>
      <c r="AP32" s="89" t="n">
        <v>2286.4</v>
      </c>
      <c r="AQ32" s="89" t="n">
        <v>2235.3</v>
      </c>
      <c r="AR32" s="89" t="n">
        <v>9947.1</v>
      </c>
      <c r="AS32" s="89" t="n">
        <v>4717.3</v>
      </c>
      <c r="AT32" s="89" t="n">
        <v>0.5</v>
      </c>
      <c r="AU32" s="89" t="n">
        <v>225.6</v>
      </c>
      <c r="AV32" s="89" t="n">
        <v>591.9</v>
      </c>
      <c r="AW32" s="89" t="n">
        <v>525.5</v>
      </c>
      <c r="AX32" s="89" t="n">
        <v>1000.5</v>
      </c>
      <c r="AY32" s="89" t="n">
        <v>1100.1</v>
      </c>
      <c r="AZ32" s="89" t="n">
        <v>408.6</v>
      </c>
      <c r="BA32" s="89" t="n">
        <v>1472.6</v>
      </c>
      <c r="BB32" s="89" t="n">
        <v>318.7</v>
      </c>
      <c r="BC32" s="89" t="n">
        <v>317.5</v>
      </c>
      <c r="BD32" s="89" t="n">
        <v>1480.7</v>
      </c>
      <c r="BE32" s="89" t="n">
        <v>2048.8</v>
      </c>
      <c r="BF32" s="89" t="n">
        <v>2929.8</v>
      </c>
      <c r="BG32" s="89" t="n">
        <v>996.3</v>
      </c>
      <c r="BH32" s="89" t="n">
        <v>-1975.7</v>
      </c>
      <c r="BI32" s="89" t="n">
        <v>-888.1</v>
      </c>
      <c r="BJ32" s="89" t="n">
        <v>303</v>
      </c>
      <c r="BK32" s="89" t="n">
        <v>194.6</v>
      </c>
      <c r="BL32" s="90" t="inlineStr">
        <is>
          <t>N/A</t>
        </is>
      </c>
      <c r="BM32" s="90" t="inlineStr">
        <is>
          <t>N/A</t>
        </is>
      </c>
      <c r="BN32" s="89" t="n">
        <v>61.2</v>
      </c>
      <c r="BO32" s="89" t="n">
        <v>2493.7</v>
      </c>
      <c r="BP32" s="89" t="n">
        <v>2191.2</v>
      </c>
      <c r="BQ32" s="89" t="n">
        <v>0</v>
      </c>
      <c r="BR32" s="89" t="n">
        <v>0</v>
      </c>
      <c r="BS32" s="89" t="n">
        <v>0</v>
      </c>
      <c r="BT32" s="89" t="n">
        <v>0</v>
      </c>
      <c r="BU32" s="89" t="n">
        <v>0</v>
      </c>
      <c r="BV32" s="89" t="n">
        <v>0</v>
      </c>
      <c r="BW32" s="89" t="n">
        <v>0</v>
      </c>
      <c r="BX32" s="89" t="n">
        <v>0</v>
      </c>
      <c r="BY32" s="89" t="n">
        <v>0</v>
      </c>
    </row>
    <row r="33" ht="17" customHeight="1">
      <c r="A33" s="82" t="n">
        <v>31</v>
      </c>
      <c r="B33" s="83" t="inlineStr">
        <is>
          <t>CEVA</t>
        </is>
      </c>
      <c r="C33" s="84" t="inlineStr">
        <is>
          <t>Ceva, Inc.</t>
        </is>
      </c>
      <c r="D33" s="82" t="inlineStr">
        <is>
          <t>Information Technology</t>
        </is>
      </c>
      <c r="E33" s="82" t="n">
        <v>2026</v>
      </c>
      <c r="F33" s="85" t="n">
        <v>388.3</v>
      </c>
      <c r="G33" s="85" t="n">
        <v>284.8</v>
      </c>
      <c r="H33" s="85" t="n">
        <v>28.7</v>
      </c>
      <c r="I33" s="85" t="n">
        <v>388.3</v>
      </c>
      <c r="J33" s="85" t="n">
        <v>-0</v>
      </c>
      <c r="K33" s="85" t="n">
        <v>-11.3</v>
      </c>
      <c r="L33" s="85" t="n">
        <v>87.5</v>
      </c>
      <c r="M33" s="85" t="n">
        <v>-10.6</v>
      </c>
      <c r="N33" s="85" t="n">
        <v>-3.4</v>
      </c>
      <c r="O33" s="85" t="n">
        <v>95.40000000000001</v>
      </c>
      <c r="P33" s="91" t="inlineStr">
        <is>
          <t>N/A</t>
        </is>
      </c>
      <c r="Q33" s="85" t="n">
        <v>336.5</v>
      </c>
      <c r="R33" s="85" t="n">
        <v>18.1</v>
      </c>
      <c r="S33" s="85" t="n">
        <v>3.4</v>
      </c>
      <c r="T33" s="85" t="n">
        <v>49.4</v>
      </c>
      <c r="U33" s="85" t="n">
        <v>7.1</v>
      </c>
      <c r="V33" s="91" t="inlineStr">
        <is>
          <t>N/A</t>
        </is>
      </c>
      <c r="W33" s="85" t="n">
        <v>308.9</v>
      </c>
      <c r="X33" s="85" t="n">
        <v>216.3</v>
      </c>
      <c r="Y33" s="85" t="n">
        <v>30.5</v>
      </c>
      <c r="Z33" s="85" t="n">
        <v>308.9</v>
      </c>
      <c r="AA33" s="85" t="n">
        <v>-7.5</v>
      </c>
      <c r="AB33" s="85" t="n">
        <v>72.7</v>
      </c>
      <c r="AC33" s="85" t="n">
        <v>-8.800000000000001</v>
      </c>
      <c r="AD33" s="85" t="n">
        <v>3.5</v>
      </c>
      <c r="AE33" s="85" t="n">
        <v>94.2</v>
      </c>
      <c r="AF33" s="91" t="inlineStr">
        <is>
          <t>N/A</t>
        </is>
      </c>
      <c r="AG33" s="85" t="n">
        <v>266.6</v>
      </c>
      <c r="AH33" s="85" t="n">
        <v>72.7</v>
      </c>
      <c r="AI33" s="85" t="n">
        <v>308.9</v>
      </c>
      <c r="AJ33" s="85" t="n">
        <v>-4.7</v>
      </c>
      <c r="AK33" s="85" t="n">
        <v>-2.8</v>
      </c>
      <c r="AL33" s="85" t="n">
        <v>5.9</v>
      </c>
      <c r="AM33" s="85" t="n">
        <v>6</v>
      </c>
      <c r="AN33" s="85" t="n">
        <v>2.9</v>
      </c>
      <c r="AO33" s="85" t="n">
        <v>3</v>
      </c>
      <c r="AP33" s="85" t="n">
        <v>0.3</v>
      </c>
      <c r="AQ33" s="85" t="n">
        <v>0.3</v>
      </c>
      <c r="AR33" s="85" t="n">
        <v>58.3</v>
      </c>
      <c r="AS33" s="85" t="n">
        <v>1</v>
      </c>
      <c r="AT33" s="91" t="inlineStr">
        <is>
          <t>N/A</t>
        </is>
      </c>
      <c r="AU33" s="85" t="n">
        <v>74.8</v>
      </c>
      <c r="AV33" s="85" t="n">
        <v>40.6</v>
      </c>
      <c r="AW33" s="85" t="n">
        <v>18.5</v>
      </c>
      <c r="AX33" s="91" t="inlineStr">
        <is>
          <t>N/A</t>
        </is>
      </c>
      <c r="AY33" s="91" t="inlineStr">
        <is>
          <t>N/A</t>
        </is>
      </c>
      <c r="AZ33" s="91" t="inlineStr">
        <is>
          <t>N/A</t>
        </is>
      </c>
      <c r="BA33" s="85" t="n">
        <v>-6.3</v>
      </c>
      <c r="BB33" s="85" t="n">
        <v>27.5</v>
      </c>
      <c r="BC33" s="85" t="n">
        <v>23.6</v>
      </c>
      <c r="BD33" s="85" t="n">
        <v>37.2</v>
      </c>
      <c r="BE33" s="85" t="n">
        <v>6.9</v>
      </c>
      <c r="BF33" s="85" t="n">
        <v>16.9</v>
      </c>
      <c r="BG33" s="85" t="n">
        <v>3</v>
      </c>
      <c r="BH33" s="85" t="n">
        <v>-34</v>
      </c>
      <c r="BI33" s="85" t="n">
        <v>-2.4</v>
      </c>
      <c r="BJ33" s="85" t="n">
        <v>3</v>
      </c>
      <c r="BK33" s="85" t="n">
        <v>3.5</v>
      </c>
      <c r="BL33" s="85" t="n">
        <v>4.4</v>
      </c>
      <c r="BM33" s="85" t="n">
        <v>6.3</v>
      </c>
      <c r="BN33" s="85" t="n">
        <v>1.5</v>
      </c>
      <c r="BO33" s="85" t="n">
        <v>14.2</v>
      </c>
      <c r="BP33" s="85" t="n">
        <v>12.8</v>
      </c>
      <c r="BQ33" s="85" t="n">
        <v>0</v>
      </c>
      <c r="BR33" s="85" t="n">
        <v>0</v>
      </c>
      <c r="BS33" s="85" t="n">
        <v>0</v>
      </c>
      <c r="BT33" s="85" t="n">
        <v>0</v>
      </c>
      <c r="BU33" s="85" t="n">
        <v>0</v>
      </c>
      <c r="BV33" s="85" t="n">
        <v>0</v>
      </c>
      <c r="BW33" s="85" t="n">
        <v>0</v>
      </c>
      <c r="BX33" s="85" t="n">
        <v>-0</v>
      </c>
      <c r="BY33" s="85" t="n">
        <v>-0</v>
      </c>
    </row>
    <row r="34" ht="17" customHeight="1">
      <c r="A34" s="86" t="n">
        <v>32</v>
      </c>
      <c r="B34" s="87" t="inlineStr">
        <is>
          <t>EHC</t>
        </is>
      </c>
      <c r="C34" s="88" t="inlineStr">
        <is>
          <t>Encompass Health Corporation</t>
        </is>
      </c>
      <c r="D34" s="86" t="inlineStr">
        <is>
          <t>Health Care</t>
        </is>
      </c>
      <c r="E34" s="86" t="n">
        <v>2026</v>
      </c>
      <c r="F34" s="89" t="n">
        <v>7089.7</v>
      </c>
      <c r="G34" s="89" t="n">
        <v>905.9</v>
      </c>
      <c r="H34" s="89" t="n">
        <v>836.4</v>
      </c>
      <c r="I34" s="89" t="n">
        <v>3813.9</v>
      </c>
      <c r="J34" s="89" t="n">
        <v>1289.4</v>
      </c>
      <c r="K34" s="89" t="n">
        <v>539.5</v>
      </c>
      <c r="L34" s="89" t="n">
        <v>5935.2</v>
      </c>
      <c r="M34" s="89" t="n">
        <v>566.2</v>
      </c>
      <c r="N34" s="89" t="n">
        <v>705.8</v>
      </c>
      <c r="O34" s="90" t="inlineStr">
        <is>
          <t>N/A</t>
        </is>
      </c>
      <c r="P34" s="89" t="n">
        <v>1254.7</v>
      </c>
      <c r="Q34" s="89" t="n">
        <v>2438.2</v>
      </c>
      <c r="R34" s="89" t="n">
        <v>236.2</v>
      </c>
      <c r="S34" s="89" t="n">
        <v>327.9</v>
      </c>
      <c r="T34" s="89" t="n">
        <v>613.4</v>
      </c>
      <c r="U34" s="89" t="n">
        <v>1959.3</v>
      </c>
      <c r="V34" s="89" t="n">
        <v>143.5</v>
      </c>
      <c r="W34" s="89" t="n">
        <v>6534.7</v>
      </c>
      <c r="X34" s="89" t="n">
        <v>886.9</v>
      </c>
      <c r="Y34" s="89" t="n">
        <v>841</v>
      </c>
      <c r="Z34" s="89" t="n">
        <v>3685.5</v>
      </c>
      <c r="AA34" s="89" t="n">
        <v>151.9</v>
      </c>
      <c r="AB34" s="89" t="n">
        <v>5373.2</v>
      </c>
      <c r="AC34" s="89" t="n">
        <v>455.7</v>
      </c>
      <c r="AD34" s="89" t="n">
        <v>715.8</v>
      </c>
      <c r="AE34" s="90" t="inlineStr">
        <is>
          <t>N/A</t>
        </is>
      </c>
      <c r="AF34" s="89" t="n">
        <v>1511.3</v>
      </c>
      <c r="AG34" s="89" t="n">
        <v>2067</v>
      </c>
      <c r="AH34" s="89" t="n">
        <v>5373.2</v>
      </c>
      <c r="AI34" s="89" t="n">
        <v>6534.7</v>
      </c>
      <c r="AJ34" s="89" t="n">
        <v>953</v>
      </c>
      <c r="AK34" s="89" t="n">
        <v>749.6</v>
      </c>
      <c r="AL34" s="89" t="n">
        <v>192.9</v>
      </c>
      <c r="AM34" s="89" t="n">
        <v>150.2</v>
      </c>
      <c r="AN34" s="89" t="n">
        <v>564.8</v>
      </c>
      <c r="AO34" s="89" t="n">
        <v>528.9</v>
      </c>
      <c r="AP34" s="90" t="inlineStr">
        <is>
          <t>N/A</t>
        </is>
      </c>
      <c r="AQ34" s="90" t="inlineStr">
        <is>
          <t>N/A</t>
        </is>
      </c>
      <c r="AR34" s="89" t="n">
        <v>1317.6</v>
      </c>
      <c r="AS34" s="89" t="n">
        <v>308.3</v>
      </c>
      <c r="AT34" s="89" t="n">
        <v>-18.9</v>
      </c>
      <c r="AU34" s="90" t="inlineStr">
        <is>
          <t>N/A</t>
        </is>
      </c>
      <c r="AV34" s="89" t="n">
        <v>72.2</v>
      </c>
      <c r="AW34" s="89" t="n">
        <v>85.40000000000001</v>
      </c>
      <c r="AX34" s="89" t="n">
        <v>1235.8</v>
      </c>
      <c r="AY34" s="89" t="n">
        <v>1511.3</v>
      </c>
      <c r="AZ34" s="89" t="n">
        <v>1163.6</v>
      </c>
      <c r="BA34" s="89" t="n">
        <v>141</v>
      </c>
      <c r="BB34" s="89" t="n">
        <v>116</v>
      </c>
      <c r="BC34" s="89" t="n">
        <v>116</v>
      </c>
      <c r="BD34" s="89" t="n">
        <v>593</v>
      </c>
      <c r="BE34" s="89" t="n">
        <v>1634.8</v>
      </c>
      <c r="BF34" s="89" t="n">
        <v>209.2</v>
      </c>
      <c r="BG34" s="89" t="n">
        <v>299.6</v>
      </c>
      <c r="BH34" s="89" t="n">
        <v>-764.6</v>
      </c>
      <c r="BI34" s="89" t="n">
        <v>-653.3</v>
      </c>
      <c r="BJ34" s="89" t="n">
        <v>178.2</v>
      </c>
      <c r="BK34" s="89" t="n">
        <v>171</v>
      </c>
      <c r="BL34" s="90" t="inlineStr">
        <is>
          <t>N/A</t>
        </is>
      </c>
      <c r="BM34" s="90" t="inlineStr">
        <is>
          <t>N/A</t>
        </is>
      </c>
      <c r="BN34" s="90" t="inlineStr">
        <is>
          <t>N/A</t>
        </is>
      </c>
      <c r="BO34" s="90" t="inlineStr">
        <is>
          <t>N/A</t>
        </is>
      </c>
      <c r="BP34" s="90" t="inlineStr">
        <is>
          <t>N/A</t>
        </is>
      </c>
      <c r="BQ34" s="89" t="n">
        <v>0</v>
      </c>
      <c r="BR34" s="89" t="n">
        <v>0</v>
      </c>
      <c r="BS34" s="90" t="inlineStr">
        <is>
          <t>N/A</t>
        </is>
      </c>
      <c r="BT34" s="90" t="inlineStr">
        <is>
          <t>N/A</t>
        </is>
      </c>
      <c r="BU34" s="90" t="inlineStr">
        <is>
          <t>N/A</t>
        </is>
      </c>
      <c r="BV34" s="90" t="inlineStr">
        <is>
          <t>N/A</t>
        </is>
      </c>
      <c r="BW34" s="89" t="n">
        <v>0</v>
      </c>
      <c r="BX34" s="89" t="n">
        <v>0</v>
      </c>
      <c r="BY34" s="89" t="n">
        <v>0</v>
      </c>
    </row>
    <row r="35" ht="17" customHeight="1">
      <c r="A35" s="82" t="n">
        <v>33</v>
      </c>
      <c r="B35" s="83" t="inlineStr">
        <is>
          <t>TOL</t>
        </is>
      </c>
      <c r="C35" s="84" t="inlineStr">
        <is>
          <t>Toll Brothers, Inc.</t>
        </is>
      </c>
      <c r="D35" s="82" t="inlineStr">
        <is>
          <t>Consumer Discretionary</t>
        </is>
      </c>
      <c r="E35" s="82" t="n">
        <v>2026</v>
      </c>
      <c r="F35" s="85" t="n">
        <v>14519.9</v>
      </c>
      <c r="G35" s="91" t="inlineStr">
        <is>
          <t>N/A</t>
        </is>
      </c>
      <c r="H35" s="91" t="inlineStr">
        <is>
          <t>N/A</t>
        </is>
      </c>
      <c r="I35" s="85" t="n">
        <v>6233.8</v>
      </c>
      <c r="J35" s="85" t="n">
        <v>8574.799999999999</v>
      </c>
      <c r="K35" s="85" t="n">
        <v>1720.6</v>
      </c>
      <c r="L35" s="85" t="n">
        <v>7143.3</v>
      </c>
      <c r="M35" s="85" t="n">
        <v>1346.5</v>
      </c>
      <c r="N35" s="85" t="n">
        <v>1112.4</v>
      </c>
      <c r="O35" s="85" t="n">
        <v>524.5</v>
      </c>
      <c r="P35" s="91" t="inlineStr">
        <is>
          <t>N/A</t>
        </is>
      </c>
      <c r="Q35" s="85" t="n">
        <v>8270.700000000001</v>
      </c>
      <c r="R35" s="85" t="n">
        <v>1033.6</v>
      </c>
      <c r="S35" s="85" t="n">
        <v>82.09999999999999</v>
      </c>
      <c r="T35" s="91" t="inlineStr">
        <is>
          <t>N/A</t>
        </is>
      </c>
      <c r="U35" s="85" t="n">
        <v>273.4</v>
      </c>
      <c r="V35" s="91" t="inlineStr">
        <is>
          <t>N/A</t>
        </is>
      </c>
      <c r="W35" s="85" t="n">
        <v>13367.9</v>
      </c>
      <c r="X35" s="91" t="inlineStr">
        <is>
          <t>N/A</t>
        </is>
      </c>
      <c r="Y35" s="91" t="inlineStr">
        <is>
          <t>N/A</t>
        </is>
      </c>
      <c r="Z35" s="85" t="n">
        <v>5681.2</v>
      </c>
      <c r="AA35" s="85" t="n">
        <v>2040.2</v>
      </c>
      <c r="AB35" s="85" t="n">
        <v>10846.7</v>
      </c>
      <c r="AC35" s="85" t="n">
        <v>446.7</v>
      </c>
      <c r="AD35" s="85" t="n">
        <v>1010.2</v>
      </c>
      <c r="AE35" s="85" t="n">
        <v>524.5</v>
      </c>
      <c r="AF35" s="91" t="inlineStr">
        <is>
          <t>N/A</t>
        </is>
      </c>
      <c r="AG35" s="85" t="n">
        <v>7670.9</v>
      </c>
      <c r="AH35" s="91" t="inlineStr">
        <is>
          <t>N/A</t>
        </is>
      </c>
      <c r="AI35" s="85" t="n">
        <v>13367.9</v>
      </c>
      <c r="AJ35" s="85" t="n">
        <v>1791.4</v>
      </c>
      <c r="AK35" s="91" t="inlineStr">
        <is>
          <t>N/A</t>
        </is>
      </c>
      <c r="AL35" s="85" t="n">
        <v>444.9</v>
      </c>
      <c r="AM35" s="85" t="n">
        <v>514.4</v>
      </c>
      <c r="AN35" s="85" t="n">
        <v>86.2</v>
      </c>
      <c r="AO35" s="85" t="n">
        <v>73.59999999999999</v>
      </c>
      <c r="AP35" s="91" t="inlineStr">
        <is>
          <t>N/A</t>
        </is>
      </c>
      <c r="AQ35" s="91" t="inlineStr">
        <is>
          <t>N/A</t>
        </is>
      </c>
      <c r="AR35" s="91" t="inlineStr">
        <is>
          <t>N/A</t>
        </is>
      </c>
      <c r="AS35" s="91" t="inlineStr">
        <is>
          <t>N/A</t>
        </is>
      </c>
      <c r="AT35" s="91" t="inlineStr">
        <is>
          <t>N/A</t>
        </is>
      </c>
      <c r="AU35" s="91" t="inlineStr">
        <is>
          <t>N/A</t>
        </is>
      </c>
      <c r="AV35" s="85" t="n">
        <v>1259</v>
      </c>
      <c r="AW35" s="85" t="n">
        <v>1303</v>
      </c>
      <c r="AX35" s="91" t="inlineStr">
        <is>
          <t>N/A</t>
        </is>
      </c>
      <c r="AY35" s="91" t="inlineStr">
        <is>
          <t>N/A</t>
        </is>
      </c>
      <c r="AZ35" s="91" t="inlineStr">
        <is>
          <t>N/A</t>
        </is>
      </c>
      <c r="BA35" s="85" t="n">
        <v>1026.2</v>
      </c>
      <c r="BB35" s="85" t="n">
        <v>94.8</v>
      </c>
      <c r="BC35" s="85" t="n">
        <v>99.8</v>
      </c>
      <c r="BD35" s="91" t="inlineStr">
        <is>
          <t>N/A</t>
        </is>
      </c>
      <c r="BE35" s="85" t="n">
        <v>453</v>
      </c>
      <c r="BF35" s="85" t="n">
        <v>982.3</v>
      </c>
      <c r="BG35" s="85" t="n">
        <v>81.2</v>
      </c>
      <c r="BH35" s="85" t="n">
        <v>-310</v>
      </c>
      <c r="BI35" s="85" t="n">
        <v>-167.6</v>
      </c>
      <c r="BJ35" s="91" t="inlineStr">
        <is>
          <t>N/A</t>
        </is>
      </c>
      <c r="BK35" s="91" t="inlineStr">
        <is>
          <t>N/A</t>
        </is>
      </c>
      <c r="BL35" s="85" t="n">
        <v>51.1</v>
      </c>
      <c r="BM35" s="85" t="n">
        <v>52.9</v>
      </c>
      <c r="BN35" s="85" t="n">
        <v>16.8</v>
      </c>
      <c r="BO35" s="85" t="n">
        <v>8212.5</v>
      </c>
      <c r="BP35" s="85" t="n">
        <v>7824.3</v>
      </c>
      <c r="BQ35" s="91" t="inlineStr">
        <is>
          <t>N/A</t>
        </is>
      </c>
      <c r="BR35" s="91" t="inlineStr">
        <is>
          <t>N/A</t>
        </is>
      </c>
      <c r="BS35" s="91" t="inlineStr">
        <is>
          <t>N/A</t>
        </is>
      </c>
      <c r="BT35" s="91" t="inlineStr">
        <is>
          <t>N/A</t>
        </is>
      </c>
      <c r="BU35" s="91" t="inlineStr">
        <is>
          <t>N/A</t>
        </is>
      </c>
      <c r="BV35" s="91" t="inlineStr">
        <is>
          <t>N/A</t>
        </is>
      </c>
      <c r="BW35" s="85" t="n">
        <v>0</v>
      </c>
      <c r="BX35" s="85" t="n">
        <v>0</v>
      </c>
      <c r="BY35" s="85" t="n">
        <v>0</v>
      </c>
    </row>
    <row r="36" ht="17" customHeight="1">
      <c r="A36" s="86" t="n">
        <v>34</v>
      </c>
      <c r="B36" s="87" t="inlineStr">
        <is>
          <t>CLX</t>
        </is>
      </c>
      <c r="C36" s="88" t="inlineStr">
        <is>
          <t>CLOROX CO /DE/</t>
        </is>
      </c>
      <c r="D36" s="86" t="inlineStr">
        <is>
          <t>Consumer Staples</t>
        </is>
      </c>
      <c r="E36" s="86" t="n">
        <v>2026</v>
      </c>
      <c r="F36" s="89" t="n">
        <v>5561</v>
      </c>
      <c r="G36" s="89" t="n">
        <v>1608</v>
      </c>
      <c r="H36" s="89" t="n">
        <v>1919</v>
      </c>
      <c r="I36" s="89" t="n">
        <v>5079</v>
      </c>
      <c r="J36" s="89" t="n">
        <v>432</v>
      </c>
      <c r="K36" s="89" t="n">
        <v>1078</v>
      </c>
      <c r="L36" s="89" t="n">
        <v>6124</v>
      </c>
      <c r="M36" s="89" t="n">
        <v>810</v>
      </c>
      <c r="N36" s="89" t="n">
        <v>981</v>
      </c>
      <c r="O36" s="89" t="n">
        <v>3213</v>
      </c>
      <c r="P36" s="89" t="n">
        <v>2484</v>
      </c>
      <c r="Q36" s="89" t="n">
        <v>321</v>
      </c>
      <c r="R36" s="89" t="n">
        <v>1124</v>
      </c>
      <c r="S36" s="89" t="n">
        <v>165</v>
      </c>
      <c r="T36" s="89" t="n">
        <v>821</v>
      </c>
      <c r="U36" s="89" t="n">
        <v>1267</v>
      </c>
      <c r="V36" s="89" t="n">
        <v>88</v>
      </c>
      <c r="W36" s="89" t="n">
        <v>5751</v>
      </c>
      <c r="X36" s="89" t="n">
        <v>1622</v>
      </c>
      <c r="Y36" s="89" t="n">
        <v>1574</v>
      </c>
      <c r="Z36" s="89" t="n">
        <v>5259</v>
      </c>
      <c r="AA36" s="89" t="n">
        <v>398</v>
      </c>
      <c r="AB36" s="89" t="n">
        <v>6124</v>
      </c>
      <c r="AC36" s="89" t="n">
        <v>280</v>
      </c>
      <c r="AD36" s="89" t="n">
        <v>695</v>
      </c>
      <c r="AE36" s="89" t="n">
        <v>3048</v>
      </c>
      <c r="AF36" s="89" t="n">
        <v>2481</v>
      </c>
      <c r="AG36" s="89" t="n">
        <v>328</v>
      </c>
      <c r="AH36" s="89" t="n">
        <v>6124</v>
      </c>
      <c r="AI36" s="89" t="n">
        <v>5751</v>
      </c>
      <c r="AJ36" s="89" t="n">
        <v>1078</v>
      </c>
      <c r="AK36" s="89" t="n">
        <v>398</v>
      </c>
      <c r="AL36" s="89" t="n">
        <v>254</v>
      </c>
      <c r="AM36" s="89" t="n">
        <v>106</v>
      </c>
      <c r="AN36" s="89" t="n">
        <v>220</v>
      </c>
      <c r="AO36" s="89" t="n">
        <v>212</v>
      </c>
      <c r="AP36" s="89" t="n">
        <v>523</v>
      </c>
      <c r="AQ36" s="89" t="n">
        <v>637</v>
      </c>
      <c r="AR36" s="89" t="n">
        <v>1229</v>
      </c>
      <c r="AS36" s="89" t="n">
        <v>929</v>
      </c>
      <c r="AT36" s="89" t="n">
        <v>202</v>
      </c>
      <c r="AU36" s="89" t="n">
        <v>121</v>
      </c>
      <c r="AV36" s="89" t="n">
        <v>167</v>
      </c>
      <c r="AW36" s="89" t="n">
        <v>202</v>
      </c>
      <c r="AX36" s="89" t="n">
        <v>2686</v>
      </c>
      <c r="AY36" s="89" t="n">
        <v>2781</v>
      </c>
      <c r="AZ36" s="89" t="n">
        <v>2519</v>
      </c>
      <c r="BA36" s="89" t="n">
        <v>761</v>
      </c>
      <c r="BB36" s="89" t="n">
        <v>122.7</v>
      </c>
      <c r="BC36" s="89" t="n">
        <v>124.2</v>
      </c>
      <c r="BD36" s="89" t="n">
        <v>695</v>
      </c>
      <c r="BE36" s="89" t="n">
        <v>1315</v>
      </c>
      <c r="BF36" s="89" t="n">
        <v>1167</v>
      </c>
      <c r="BG36" s="89" t="n">
        <v>169</v>
      </c>
      <c r="BH36" s="89" t="n">
        <v>-94</v>
      </c>
      <c r="BI36" s="89" t="n">
        <v>-175</v>
      </c>
      <c r="BJ36" s="89" t="n">
        <v>838</v>
      </c>
      <c r="BK36" s="89" t="n">
        <v>950</v>
      </c>
      <c r="BL36" s="90" t="inlineStr">
        <is>
          <t>N/A</t>
        </is>
      </c>
      <c r="BM36" s="90" t="inlineStr">
        <is>
          <t>N/A</t>
        </is>
      </c>
      <c r="BN36" s="90" t="inlineStr">
        <is>
          <t>N/A</t>
        </is>
      </c>
      <c r="BO36" s="89" t="n">
        <v>3891</v>
      </c>
      <c r="BP36" s="89" t="n">
        <v>4045</v>
      </c>
      <c r="BQ36" s="89" t="n">
        <v>0</v>
      </c>
      <c r="BR36" s="89" t="n">
        <v>0</v>
      </c>
      <c r="BS36" s="89" t="n">
        <v>0</v>
      </c>
      <c r="BT36" s="89" t="n">
        <v>0</v>
      </c>
      <c r="BU36" s="89" t="n">
        <v>0</v>
      </c>
      <c r="BV36" s="89" t="n">
        <v>0</v>
      </c>
      <c r="BW36" s="89" t="n">
        <v>0</v>
      </c>
      <c r="BX36" s="89" t="n">
        <v>0</v>
      </c>
      <c r="BY36" s="89" t="n">
        <v>0</v>
      </c>
    </row>
    <row r="37" ht="17" customHeight="1">
      <c r="A37" s="82" t="n">
        <v>35</v>
      </c>
      <c r="B37" s="83" t="inlineStr">
        <is>
          <t>GRBK</t>
        </is>
      </c>
      <c r="C37" s="84" t="inlineStr">
        <is>
          <t>Green Brick Partners, Inc.</t>
        </is>
      </c>
      <c r="D37" s="82" t="inlineStr">
        <is>
          <t>Consumer Discretionary</t>
        </is>
      </c>
      <c r="E37" s="82" t="n">
        <v>2026</v>
      </c>
      <c r="F37" s="85" t="n">
        <v>2534.8</v>
      </c>
      <c r="G37" s="85" t="n">
        <v>15.1</v>
      </c>
      <c r="H37" s="85" t="n">
        <v>4.3</v>
      </c>
      <c r="I37" s="85" t="n">
        <v>601.8</v>
      </c>
      <c r="J37" s="85" t="n">
        <v>1567.1</v>
      </c>
      <c r="K37" s="85" t="n">
        <v>71.8</v>
      </c>
      <c r="L37" s="85" t="n">
        <v>2098.5</v>
      </c>
      <c r="M37" s="85" t="n">
        <v>313.2</v>
      </c>
      <c r="N37" s="85" t="n">
        <v>213.2</v>
      </c>
      <c r="O37" s="85" t="n">
        <v>640.8</v>
      </c>
      <c r="P37" s="85" t="n">
        <v>323.3</v>
      </c>
      <c r="Q37" s="85" t="n">
        <v>1859</v>
      </c>
      <c r="R37" s="85" t="n">
        <v>231.4</v>
      </c>
      <c r="S37" s="85" t="n">
        <v>5.1</v>
      </c>
      <c r="T37" s="85" t="n">
        <v>9.300000000000001</v>
      </c>
      <c r="U37" s="85" t="n">
        <v>6.3</v>
      </c>
      <c r="V37" s="91" t="inlineStr">
        <is>
          <t>N/A</t>
        </is>
      </c>
      <c r="W37" s="85" t="n">
        <v>2534.8</v>
      </c>
      <c r="X37" s="85" t="n">
        <v>36.1</v>
      </c>
      <c r="Y37" s="85" t="n">
        <v>185.2</v>
      </c>
      <c r="Z37" s="85" t="n">
        <v>601.8</v>
      </c>
      <c r="AA37" s="85" t="n">
        <v>59.4</v>
      </c>
      <c r="AB37" s="85" t="n">
        <v>2040</v>
      </c>
      <c r="AC37" s="85" t="n">
        <v>313.2</v>
      </c>
      <c r="AD37" s="85" t="n">
        <v>213.2</v>
      </c>
      <c r="AE37" s="85" t="n">
        <v>640.8</v>
      </c>
      <c r="AF37" s="85" t="n">
        <v>323.3</v>
      </c>
      <c r="AG37" s="85" t="n">
        <v>1859</v>
      </c>
      <c r="AH37" s="85" t="n">
        <v>1503.2</v>
      </c>
      <c r="AI37" s="85" t="n">
        <v>2250</v>
      </c>
      <c r="AJ37" s="85" t="n">
        <v>438.2</v>
      </c>
      <c r="AK37" s="85" t="n">
        <v>438.2</v>
      </c>
      <c r="AL37" s="85" t="n">
        <v>94.7</v>
      </c>
      <c r="AM37" s="85" t="n">
        <v>94.7</v>
      </c>
      <c r="AN37" s="85" t="n">
        <v>4.8</v>
      </c>
      <c r="AO37" s="85" t="n">
        <v>4.8</v>
      </c>
      <c r="AP37" s="85" t="n">
        <v>13.4</v>
      </c>
      <c r="AQ37" s="85" t="n">
        <v>13.4</v>
      </c>
      <c r="AR37" s="85" t="n">
        <v>0.7</v>
      </c>
      <c r="AS37" s="85" t="n">
        <v>0.2</v>
      </c>
      <c r="AT37" s="85" t="n">
        <v>0.5</v>
      </c>
      <c r="AU37" s="91" t="inlineStr">
        <is>
          <t>N/A</t>
        </is>
      </c>
      <c r="AV37" s="85" t="n">
        <v>35.2</v>
      </c>
      <c r="AW37" s="85" t="n">
        <v>19.9</v>
      </c>
      <c r="AX37" s="85" t="n">
        <v>323.7</v>
      </c>
      <c r="AY37" s="85" t="n">
        <v>323.7</v>
      </c>
      <c r="AZ37" s="85" t="n">
        <v>288.6</v>
      </c>
      <c r="BA37" s="85" t="n">
        <v>208.4</v>
      </c>
      <c r="BB37" s="85" t="n">
        <v>43.2</v>
      </c>
      <c r="BC37" s="85" t="n">
        <v>43.2</v>
      </c>
      <c r="BD37" s="85" t="n">
        <v>13.6</v>
      </c>
      <c r="BE37" s="85" t="n">
        <v>6.3</v>
      </c>
      <c r="BF37" s="85" t="n">
        <v>231.4</v>
      </c>
      <c r="BG37" s="85" t="n">
        <v>5.1</v>
      </c>
      <c r="BH37" s="85" t="n">
        <v>-43.6</v>
      </c>
      <c r="BI37" s="85" t="n">
        <v>-43.6</v>
      </c>
      <c r="BJ37" s="85" t="n">
        <v>0.1</v>
      </c>
      <c r="BK37" s="85" t="n">
        <v>11.6</v>
      </c>
      <c r="BL37" s="85" t="n">
        <v>25.7</v>
      </c>
      <c r="BM37" s="85" t="n">
        <v>25.7</v>
      </c>
      <c r="BN37" s="91" t="inlineStr">
        <is>
          <t>N/A</t>
        </is>
      </c>
      <c r="BO37" s="85" t="n">
        <v>1457.7</v>
      </c>
      <c r="BP37" s="85" t="n">
        <v>1399.2</v>
      </c>
      <c r="BQ37" s="85" t="n">
        <v>0</v>
      </c>
      <c r="BR37" s="85" t="n">
        <v>0</v>
      </c>
      <c r="BS37" s="85" t="n">
        <v>0</v>
      </c>
      <c r="BT37" s="85" t="n">
        <v>0</v>
      </c>
      <c r="BU37" s="85" t="n">
        <v>0</v>
      </c>
      <c r="BV37" s="85" t="n">
        <v>0</v>
      </c>
      <c r="BW37" s="85" t="n">
        <v>0</v>
      </c>
      <c r="BX37" s="85" t="n">
        <v>0</v>
      </c>
      <c r="BY37" s="85" t="n">
        <v>0</v>
      </c>
    </row>
    <row r="38" ht="17" customHeight="1">
      <c r="A38" s="86" t="n">
        <v>36</v>
      </c>
      <c r="B38" s="87" t="inlineStr">
        <is>
          <t>ED</t>
        </is>
      </c>
      <c r="C38" s="88" t="inlineStr">
        <is>
          <t>CONSOLIDATED EDISON INC</t>
        </is>
      </c>
      <c r="D38" s="86" t="inlineStr">
        <is>
          <t>Utilities</t>
        </is>
      </c>
      <c r="E38" s="86" t="n">
        <v>2026</v>
      </c>
      <c r="F38" s="89" t="n">
        <v>74603</v>
      </c>
      <c r="G38" s="89" t="n">
        <v>6750</v>
      </c>
      <c r="H38" s="89" t="n">
        <v>6614</v>
      </c>
      <c r="I38" s="89" t="n">
        <v>74603</v>
      </c>
      <c r="J38" s="89" t="n">
        <v>14857</v>
      </c>
      <c r="K38" s="89" t="n">
        <v>2935</v>
      </c>
      <c r="L38" s="89" t="n">
        <v>16918</v>
      </c>
      <c r="M38" s="89" t="n">
        <v>2023</v>
      </c>
      <c r="N38" s="89" t="n">
        <v>4800</v>
      </c>
      <c r="O38" s="89" t="n">
        <v>2931</v>
      </c>
      <c r="P38" s="89" t="n">
        <v>25801</v>
      </c>
      <c r="Q38" s="89" t="n">
        <v>24190</v>
      </c>
      <c r="R38" s="90" t="inlineStr">
        <is>
          <t>N/A</t>
        </is>
      </c>
      <c r="S38" s="89" t="n">
        <v>2321</v>
      </c>
      <c r="T38" s="89" t="n">
        <v>2583</v>
      </c>
      <c r="U38" s="89" t="n">
        <v>55403</v>
      </c>
      <c r="V38" s="89" t="n">
        <v>1233</v>
      </c>
      <c r="W38" s="89" t="n">
        <v>70562</v>
      </c>
      <c r="X38" s="89" t="n">
        <v>6664</v>
      </c>
      <c r="Y38" s="89" t="n">
        <v>6433</v>
      </c>
      <c r="Z38" s="89" t="n">
        <v>70562</v>
      </c>
      <c r="AA38" s="89" t="n">
        <v>2670</v>
      </c>
      <c r="AB38" s="89" t="n">
        <v>15256</v>
      </c>
      <c r="AC38" s="89" t="n">
        <v>1820</v>
      </c>
      <c r="AD38" s="89" t="n">
        <v>3614</v>
      </c>
      <c r="AE38" s="89" t="n">
        <v>2732</v>
      </c>
      <c r="AF38" s="89" t="n">
        <v>24710</v>
      </c>
      <c r="AG38" s="89" t="n">
        <v>21962</v>
      </c>
      <c r="AH38" s="89" t="n">
        <v>15256</v>
      </c>
      <c r="AI38" s="89" t="n">
        <v>70562</v>
      </c>
      <c r="AJ38" s="89" t="n">
        <v>2597</v>
      </c>
      <c r="AK38" s="89" t="n">
        <v>2138</v>
      </c>
      <c r="AL38" s="89" t="n">
        <v>574</v>
      </c>
      <c r="AM38" s="89" t="n">
        <v>318</v>
      </c>
      <c r="AN38" s="89" t="n">
        <v>4465</v>
      </c>
      <c r="AO38" s="89" t="n">
        <v>3964</v>
      </c>
      <c r="AP38" s="90" t="inlineStr">
        <is>
          <t>N/A</t>
        </is>
      </c>
      <c r="AQ38" s="90" t="inlineStr">
        <is>
          <t>N/A</t>
        </is>
      </c>
      <c r="AR38" s="89" t="n">
        <v>406</v>
      </c>
      <c r="AS38" s="89" t="n">
        <v>1219</v>
      </c>
      <c r="AT38" s="89" t="n">
        <v>400</v>
      </c>
      <c r="AU38" s="89" t="n">
        <v>27</v>
      </c>
      <c r="AV38" s="89" t="n">
        <v>1629</v>
      </c>
      <c r="AW38" s="89" t="n">
        <v>1324</v>
      </c>
      <c r="AX38" s="89" t="n">
        <v>26201</v>
      </c>
      <c r="AY38" s="89" t="n">
        <v>24710</v>
      </c>
      <c r="AZ38" s="89" t="n">
        <v>24572</v>
      </c>
      <c r="BA38" s="89" t="n">
        <v>335</v>
      </c>
      <c r="BB38" s="89" t="n">
        <v>361.1</v>
      </c>
      <c r="BC38" s="89" t="n">
        <v>346.6</v>
      </c>
      <c r="BD38" s="89" t="n">
        <v>2440</v>
      </c>
      <c r="BE38" s="89" t="n">
        <v>52165</v>
      </c>
      <c r="BF38" s="90" t="inlineStr">
        <is>
          <t>N/A</t>
        </is>
      </c>
      <c r="BG38" s="89" t="n">
        <v>2155</v>
      </c>
      <c r="BH38" s="89" t="n">
        <v>-5249</v>
      </c>
      <c r="BI38" s="89" t="n">
        <v>-5273</v>
      </c>
      <c r="BJ38" s="89" t="n">
        <v>1947</v>
      </c>
      <c r="BK38" s="89" t="n">
        <v>1676</v>
      </c>
      <c r="BL38" s="89" t="n">
        <v>474</v>
      </c>
      <c r="BM38" s="89" t="n">
        <v>633</v>
      </c>
      <c r="BN38" s="89" t="n">
        <v>104</v>
      </c>
      <c r="BO38" s="89" t="n">
        <v>13987</v>
      </c>
      <c r="BP38" s="89" t="n">
        <v>12524</v>
      </c>
      <c r="BQ38" s="89" t="n">
        <v>0</v>
      </c>
      <c r="BR38" s="89" t="n">
        <v>0</v>
      </c>
      <c r="BS38" s="90" t="inlineStr">
        <is>
          <t>N/A</t>
        </is>
      </c>
      <c r="BT38" s="90" t="inlineStr">
        <is>
          <t>N/A</t>
        </is>
      </c>
      <c r="BU38" s="89" t="n">
        <v>0</v>
      </c>
      <c r="BV38" s="89" t="n">
        <v>0</v>
      </c>
      <c r="BW38" s="89" t="n">
        <v>0</v>
      </c>
      <c r="BX38" s="89" t="n">
        <v>0</v>
      </c>
      <c r="BY38" s="89" t="n">
        <v>0</v>
      </c>
    </row>
    <row r="39" ht="17" customHeight="1">
      <c r="A39" s="82" t="n">
        <v>37</v>
      </c>
      <c r="B39" s="83" t="inlineStr">
        <is>
          <t>GS</t>
        </is>
      </c>
      <c r="C39" s="84" t="inlineStr">
        <is>
          <t>The Goldman Sachs Group, Inc.</t>
        </is>
      </c>
      <c r="D39" s="82" t="inlineStr">
        <is>
          <t>Financials</t>
        </is>
      </c>
      <c r="E39" s="82" t="n">
        <v>2026</v>
      </c>
      <c r="F39" s="85" t="n">
        <v>1809320</v>
      </c>
      <c r="G39" s="91" t="inlineStr">
        <is>
          <t>N/A</t>
        </is>
      </c>
      <c r="H39" s="91" t="inlineStr">
        <is>
          <t>N/A</t>
        </is>
      </c>
      <c r="I39" s="85" t="n">
        <v>1684348</v>
      </c>
      <c r="J39" s="85" t="n">
        <v>165288</v>
      </c>
      <c r="K39" s="85" t="n">
        <v>21852</v>
      </c>
      <c r="L39" s="91" t="inlineStr">
        <is>
          <t>N/A</t>
        </is>
      </c>
      <c r="M39" s="85" t="n">
        <v>17176</v>
      </c>
      <c r="N39" s="85" t="n">
        <v>-45154</v>
      </c>
      <c r="O39" s="91" t="inlineStr">
        <is>
          <t>N/A</t>
        </is>
      </c>
      <c r="P39" s="85" t="n">
        <v>236027</v>
      </c>
      <c r="Q39" s="85" t="n">
        <v>124972</v>
      </c>
      <c r="R39" s="91" t="inlineStr">
        <is>
          <t>N/A</t>
        </is>
      </c>
      <c r="S39" s="85" t="n">
        <v>2182</v>
      </c>
      <c r="T39" s="91" t="inlineStr">
        <is>
          <t>N/A</t>
        </is>
      </c>
      <c r="U39" s="85" t="n">
        <v>7474</v>
      </c>
      <c r="V39" s="85" t="n">
        <v>66814</v>
      </c>
      <c r="W39" s="85" t="n">
        <v>1675972</v>
      </c>
      <c r="X39" s="91" t="inlineStr">
        <is>
          <t>N/A</t>
        </is>
      </c>
      <c r="Y39" s="91" t="inlineStr">
        <is>
          <t>N/A</t>
        </is>
      </c>
      <c r="Z39" s="85" t="n">
        <v>1553976</v>
      </c>
      <c r="AA39" s="85" t="n">
        <v>18397</v>
      </c>
      <c r="AB39" s="91" t="inlineStr">
        <is>
          <t>N/A</t>
        </is>
      </c>
      <c r="AC39" s="85" t="n">
        <v>14276</v>
      </c>
      <c r="AD39" s="85" t="n">
        <v>-13212</v>
      </c>
      <c r="AE39" s="91" t="inlineStr">
        <is>
          <t>N/A</t>
        </is>
      </c>
      <c r="AF39" s="85" t="n">
        <v>227579</v>
      </c>
      <c r="AG39" s="85" t="n">
        <v>121996</v>
      </c>
      <c r="AH39" s="91" t="inlineStr">
        <is>
          <t>N/A</t>
        </is>
      </c>
      <c r="AI39" s="85" t="n">
        <v>1675972</v>
      </c>
      <c r="AJ39" s="85" t="n">
        <v>21852</v>
      </c>
      <c r="AK39" s="85" t="n">
        <v>18397</v>
      </c>
      <c r="AL39" s="85" t="n">
        <v>4676</v>
      </c>
      <c r="AM39" s="85" t="n">
        <v>4121</v>
      </c>
      <c r="AN39" s="85" t="n">
        <v>2064</v>
      </c>
      <c r="AO39" s="85" t="n">
        <v>2091</v>
      </c>
      <c r="AP39" s="91" t="inlineStr">
        <is>
          <t>N/A</t>
        </is>
      </c>
      <c r="AQ39" s="91" t="inlineStr">
        <is>
          <t>N/A</t>
        </is>
      </c>
      <c r="AR39" s="85" t="n">
        <v>5949</v>
      </c>
      <c r="AS39" s="85" t="n">
        <v>429</v>
      </c>
      <c r="AT39" s="85" t="n">
        <v>69709</v>
      </c>
      <c r="AU39" s="91" t="inlineStr">
        <is>
          <t>N/A</t>
        </is>
      </c>
      <c r="AV39" s="85" t="n">
        <v>164259</v>
      </c>
      <c r="AW39" s="85" t="n">
        <v>182092</v>
      </c>
      <c r="AX39" s="85" t="n">
        <v>305736</v>
      </c>
      <c r="AY39" s="85" t="n">
        <v>303524</v>
      </c>
      <c r="AZ39" s="85" t="n">
        <v>141477</v>
      </c>
      <c r="BA39" s="85" t="n">
        <v>-47218</v>
      </c>
      <c r="BB39" s="85" t="n">
        <v>296.5</v>
      </c>
      <c r="BC39" s="85" t="n">
        <v>310.7</v>
      </c>
      <c r="BD39" s="91" t="inlineStr">
        <is>
          <t>N/A</t>
        </is>
      </c>
      <c r="BE39" s="85" t="n">
        <v>8024</v>
      </c>
      <c r="BF39" s="91" t="inlineStr">
        <is>
          <t>N/A</t>
        </is>
      </c>
      <c r="BG39" s="85" t="n">
        <v>2392</v>
      </c>
      <c r="BH39" s="85" t="n">
        <v>-44227</v>
      </c>
      <c r="BI39" s="85" t="n">
        <v>-49624</v>
      </c>
      <c r="BJ39" s="91" t="inlineStr">
        <is>
          <t>N/A</t>
        </is>
      </c>
      <c r="BK39" s="91" t="inlineStr">
        <is>
          <t>N/A</t>
        </is>
      </c>
      <c r="BL39" s="85" t="n">
        <v>132</v>
      </c>
      <c r="BM39" s="91" t="inlineStr">
        <is>
          <t>N/A</t>
        </is>
      </c>
      <c r="BN39" s="91" t="inlineStr">
        <is>
          <t>N/A</t>
        </is>
      </c>
      <c r="BO39" s="91" t="inlineStr">
        <is>
          <t>N/A</t>
        </is>
      </c>
      <c r="BP39" s="91" t="inlineStr">
        <is>
          <t>N/A</t>
        </is>
      </c>
      <c r="BQ39" s="91" t="inlineStr">
        <is>
          <t>N/A</t>
        </is>
      </c>
      <c r="BR39" s="91" t="inlineStr">
        <is>
          <t>N/A</t>
        </is>
      </c>
      <c r="BS39" s="91" t="inlineStr">
        <is>
          <t>N/A</t>
        </is>
      </c>
      <c r="BT39" s="91" t="inlineStr">
        <is>
          <t>N/A</t>
        </is>
      </c>
      <c r="BU39" s="91" t="inlineStr">
        <is>
          <t>N/A</t>
        </is>
      </c>
      <c r="BV39" s="91" t="inlineStr">
        <is>
          <t>N/A</t>
        </is>
      </c>
      <c r="BW39" s="85" t="n">
        <v>0</v>
      </c>
      <c r="BX39" s="91" t="inlineStr">
        <is>
          <t>N/A</t>
        </is>
      </c>
      <c r="BY39" s="85" t="n">
        <v>0</v>
      </c>
    </row>
    <row r="40" ht="17" customHeight="1">
      <c r="A40" s="86" t="n">
        <v>38</v>
      </c>
      <c r="B40" s="87" t="inlineStr">
        <is>
          <t>INGR</t>
        </is>
      </c>
      <c r="C40" s="88" t="inlineStr">
        <is>
          <t>INGREDION INCORPORATED</t>
        </is>
      </c>
      <c r="D40" s="86" t="inlineStr">
        <is>
          <t>Consumer Staples</t>
        </is>
      </c>
      <c r="E40" s="86" t="n">
        <v>2026</v>
      </c>
      <c r="F40" s="89" t="n">
        <v>7897</v>
      </c>
      <c r="G40" s="89" t="n">
        <v>3505</v>
      </c>
      <c r="H40" s="89" t="n">
        <v>1316</v>
      </c>
      <c r="I40" s="89" t="n">
        <v>3531</v>
      </c>
      <c r="J40" s="89" t="n">
        <v>5610</v>
      </c>
      <c r="K40" s="89" t="n">
        <v>1016</v>
      </c>
      <c r="L40" s="89" t="n">
        <v>7219</v>
      </c>
      <c r="M40" s="89" t="n">
        <v>729</v>
      </c>
      <c r="N40" s="89" t="n">
        <v>944</v>
      </c>
      <c r="O40" s="89" t="n">
        <v>1828</v>
      </c>
      <c r="P40" s="89" t="n">
        <v>1766</v>
      </c>
      <c r="Q40" s="89" t="n">
        <v>4274</v>
      </c>
      <c r="R40" s="89" t="n">
        <v>579</v>
      </c>
      <c r="S40" s="89" t="n">
        <v>222</v>
      </c>
      <c r="T40" s="89" t="n">
        <v>1185</v>
      </c>
      <c r="U40" s="89" t="n">
        <v>2526</v>
      </c>
      <c r="V40" s="89" t="n">
        <v>59</v>
      </c>
      <c r="W40" s="89" t="n">
        <v>7444</v>
      </c>
      <c r="X40" s="89" t="n">
        <v>3355</v>
      </c>
      <c r="Y40" s="89" t="n">
        <v>1281</v>
      </c>
      <c r="Z40" s="89" t="n">
        <v>3554</v>
      </c>
      <c r="AA40" s="89" t="n">
        <v>883</v>
      </c>
      <c r="AB40" s="89" t="n">
        <v>1757</v>
      </c>
      <c r="AC40" s="89" t="n">
        <v>165</v>
      </c>
      <c r="AD40" s="89" t="n">
        <v>1436</v>
      </c>
      <c r="AE40" s="89" t="n">
        <v>430</v>
      </c>
      <c r="AF40" s="89" t="n">
        <v>1931</v>
      </c>
      <c r="AG40" s="89" t="n">
        <v>3804</v>
      </c>
      <c r="AH40" s="89" t="n">
        <v>1816</v>
      </c>
      <c r="AI40" s="89" t="n">
        <v>7444</v>
      </c>
      <c r="AJ40" s="89" t="n">
        <v>974</v>
      </c>
      <c r="AK40" s="89" t="n">
        <v>931</v>
      </c>
      <c r="AL40" s="89" t="n">
        <v>238</v>
      </c>
      <c r="AM40" s="89" t="n">
        <v>277</v>
      </c>
      <c r="AN40" s="89" t="n">
        <v>433</v>
      </c>
      <c r="AO40" s="89" t="n">
        <v>301</v>
      </c>
      <c r="AP40" s="89" t="n">
        <v>1227</v>
      </c>
      <c r="AQ40" s="89" t="n">
        <v>1187</v>
      </c>
      <c r="AR40" s="89" t="n">
        <v>922</v>
      </c>
      <c r="AS40" s="89" t="n">
        <v>347</v>
      </c>
      <c r="AT40" s="89" t="n">
        <v>58</v>
      </c>
      <c r="AU40" s="89" t="n">
        <v>71</v>
      </c>
      <c r="AV40" s="89" t="n">
        <v>1030</v>
      </c>
      <c r="AW40" s="89" t="n">
        <v>997</v>
      </c>
      <c r="AX40" s="89" t="n">
        <v>1824</v>
      </c>
      <c r="AY40" s="89" t="n">
        <v>2013</v>
      </c>
      <c r="AZ40" s="89" t="n">
        <v>794</v>
      </c>
      <c r="BA40" s="89" t="n">
        <v>511</v>
      </c>
      <c r="BB40" s="89" t="n">
        <v>64.5</v>
      </c>
      <c r="BC40" s="89" t="n">
        <v>65.2</v>
      </c>
      <c r="BD40" s="89" t="n">
        <v>1093</v>
      </c>
      <c r="BE40" s="89" t="n">
        <v>2264</v>
      </c>
      <c r="BF40" s="89" t="n">
        <v>555</v>
      </c>
      <c r="BG40" s="89" t="n">
        <v>214</v>
      </c>
      <c r="BH40" s="89" t="n">
        <v>-444</v>
      </c>
      <c r="BI40" s="89" t="n">
        <v>-47</v>
      </c>
      <c r="BJ40" s="89" t="n">
        <v>693</v>
      </c>
      <c r="BK40" s="89" t="n">
        <v>604</v>
      </c>
      <c r="BL40" s="90" t="inlineStr">
        <is>
          <t>N/A</t>
        </is>
      </c>
      <c r="BM40" s="90" t="inlineStr">
        <is>
          <t>N/A</t>
        </is>
      </c>
      <c r="BN40" s="89" t="n">
        <v>26</v>
      </c>
      <c r="BO40" s="89" t="n">
        <v>5391</v>
      </c>
      <c r="BP40" s="89" t="n">
        <v>5639</v>
      </c>
      <c r="BQ40" s="89" t="n">
        <v>0</v>
      </c>
      <c r="BR40" s="89" t="n">
        <v>0</v>
      </c>
      <c r="BS40" s="89" t="n">
        <v>0</v>
      </c>
      <c r="BT40" s="89" t="n">
        <v>0</v>
      </c>
      <c r="BU40" s="89" t="n">
        <v>0</v>
      </c>
      <c r="BV40" s="89" t="n">
        <v>0</v>
      </c>
      <c r="BW40" s="89" t="n">
        <v>0</v>
      </c>
      <c r="BX40" s="89" t="n">
        <v>0</v>
      </c>
      <c r="BY40" s="89" t="n">
        <v>0</v>
      </c>
    </row>
    <row r="41" ht="17" customHeight="1">
      <c r="A41" s="82" t="n">
        <v>39</v>
      </c>
      <c r="B41" s="83" t="inlineStr">
        <is>
          <t>RCL</t>
        </is>
      </c>
      <c r="C41" s="84" t="inlineStr">
        <is>
          <t>ROYAL CARIBBEAN CRUISES LTD</t>
        </is>
      </c>
      <c r="D41" s="82" t="inlineStr">
        <is>
          <t>Consumer Discretionary</t>
        </is>
      </c>
      <c r="E41" s="82" t="n">
        <v>2026</v>
      </c>
      <c r="F41" s="85" t="n">
        <v>41619</v>
      </c>
      <c r="G41" s="85" t="n">
        <v>2211</v>
      </c>
      <c r="H41" s="85" t="n">
        <v>12055</v>
      </c>
      <c r="I41" s="85" t="n">
        <v>31374</v>
      </c>
      <c r="J41" s="85" t="n">
        <v>5925</v>
      </c>
      <c r="K41" s="85" t="n">
        <v>4910</v>
      </c>
      <c r="L41" s="85" t="n">
        <v>2332.3</v>
      </c>
      <c r="M41" s="85" t="n">
        <v>4268</v>
      </c>
      <c r="N41" s="85" t="n">
        <v>6465</v>
      </c>
      <c r="O41" s="85" t="n">
        <v>-6750.7</v>
      </c>
      <c r="P41" s="85" t="n">
        <v>8495.9</v>
      </c>
      <c r="Q41" s="85" t="n">
        <v>10037</v>
      </c>
      <c r="R41" s="85" t="n">
        <v>2223</v>
      </c>
      <c r="S41" s="85" t="n">
        <v>1718</v>
      </c>
      <c r="T41" s="85" t="n">
        <v>317</v>
      </c>
      <c r="U41" s="85" t="n">
        <v>35696</v>
      </c>
      <c r="V41" s="85" t="n">
        <v>1402</v>
      </c>
      <c r="W41" s="85" t="n">
        <v>37070</v>
      </c>
      <c r="X41" s="85" t="n">
        <v>1705</v>
      </c>
      <c r="Y41" s="85" t="n">
        <v>9817</v>
      </c>
      <c r="Z41" s="85" t="n">
        <v>29335</v>
      </c>
      <c r="AA41" s="85" t="n">
        <v>4106</v>
      </c>
      <c r="AB41" s="85" t="n">
        <v>2796.2</v>
      </c>
      <c r="AC41" s="85" t="n">
        <v>2877</v>
      </c>
      <c r="AD41" s="85" t="n">
        <v>5265</v>
      </c>
      <c r="AE41" s="85" t="n">
        <v>-5855.8</v>
      </c>
      <c r="AF41" s="85" t="n">
        <v>9150.1</v>
      </c>
      <c r="AG41" s="85" t="n">
        <v>7563</v>
      </c>
      <c r="AH41" s="85" t="n">
        <v>2337.6</v>
      </c>
      <c r="AI41" s="85" t="n">
        <v>37070</v>
      </c>
      <c r="AJ41" s="85" t="n">
        <v>4373</v>
      </c>
      <c r="AK41" s="85" t="n">
        <v>2941</v>
      </c>
      <c r="AL41" s="85" t="n">
        <v>82</v>
      </c>
      <c r="AM41" s="85" t="n">
        <v>46</v>
      </c>
      <c r="AN41" s="85" t="n">
        <v>5229</v>
      </c>
      <c r="AO41" s="85" t="n">
        <v>3268</v>
      </c>
      <c r="AP41" s="85" t="n">
        <v>264</v>
      </c>
      <c r="AQ41" s="85" t="n">
        <v>265</v>
      </c>
      <c r="AR41" s="85" t="n">
        <v>808</v>
      </c>
      <c r="AS41" s="85" t="n">
        <v>69</v>
      </c>
      <c r="AT41" s="85" t="n">
        <v>3180</v>
      </c>
      <c r="AU41" s="91" t="inlineStr">
        <is>
          <t>N/A</t>
        </is>
      </c>
      <c r="AV41" s="85" t="n">
        <v>825</v>
      </c>
      <c r="AW41" s="85" t="n">
        <v>388</v>
      </c>
      <c r="AX41" s="85" t="n">
        <v>11675.9</v>
      </c>
      <c r="AY41" s="85" t="n">
        <v>10753.1</v>
      </c>
      <c r="AZ41" s="85" t="n">
        <v>10850.9</v>
      </c>
      <c r="BA41" s="85" t="n">
        <v>1236</v>
      </c>
      <c r="BB41" s="85" t="n">
        <v>303.1</v>
      </c>
      <c r="BC41" s="85" t="n">
        <v>297.4</v>
      </c>
      <c r="BD41" s="85" t="n">
        <v>371</v>
      </c>
      <c r="BE41" s="85" t="n">
        <v>31831</v>
      </c>
      <c r="BF41" s="85" t="n">
        <v>2125</v>
      </c>
      <c r="BG41" s="85" t="n">
        <v>1600</v>
      </c>
      <c r="BH41" s="85" t="n">
        <v>-5012</v>
      </c>
      <c r="BI41" s="85" t="n">
        <v>-3446</v>
      </c>
      <c r="BJ41" s="85" t="n">
        <v>953</v>
      </c>
      <c r="BK41" s="85" t="n">
        <v>919</v>
      </c>
      <c r="BL41" s="85" t="n">
        <v>5739</v>
      </c>
      <c r="BM41" s="85" t="n">
        <v>5496</v>
      </c>
      <c r="BN41" s="91" t="inlineStr">
        <is>
          <t>N/A</t>
        </is>
      </c>
      <c r="BO41" s="85" t="n">
        <v>9083</v>
      </c>
      <c r="BP41" s="85" t="n">
        <v>8652</v>
      </c>
      <c r="BQ41" s="85" t="n">
        <v>0</v>
      </c>
      <c r="BR41" s="85" t="n">
        <v>0</v>
      </c>
      <c r="BS41" s="85" t="n">
        <v>0</v>
      </c>
      <c r="BT41" s="85" t="n">
        <v>0</v>
      </c>
      <c r="BU41" s="85" t="n">
        <v>0</v>
      </c>
      <c r="BV41" s="85" t="n">
        <v>0</v>
      </c>
      <c r="BW41" s="85" t="n">
        <v>0</v>
      </c>
      <c r="BX41" s="85" t="n">
        <v>0</v>
      </c>
      <c r="BY41" s="85" t="n">
        <v>0</v>
      </c>
    </row>
    <row r="42" ht="17" customHeight="1">
      <c r="A42" s="86" t="n">
        <v>40</v>
      </c>
      <c r="B42" s="87" t="inlineStr">
        <is>
          <t>CL</t>
        </is>
      </c>
      <c r="C42" s="88" t="inlineStr">
        <is>
          <t>COLGATE-PALMOLIVE COMPANY</t>
        </is>
      </c>
      <c r="D42" s="86" t="inlineStr">
        <is>
          <t>Consumer Staples</t>
        </is>
      </c>
      <c r="E42" s="86" t="n">
        <v>2026</v>
      </c>
      <c r="F42" s="89" t="n">
        <v>16330</v>
      </c>
      <c r="G42" s="89" t="n">
        <v>5709</v>
      </c>
      <c r="H42" s="89" t="n">
        <v>6853</v>
      </c>
      <c r="I42" s="89" t="n">
        <v>15965</v>
      </c>
      <c r="J42" s="89" t="n">
        <v>26595</v>
      </c>
      <c r="K42" s="89" t="n">
        <v>3306</v>
      </c>
      <c r="L42" s="89" t="n">
        <v>15454</v>
      </c>
      <c r="M42" s="89" t="n">
        <v>2132</v>
      </c>
      <c r="N42" s="89" t="n">
        <v>4198</v>
      </c>
      <c r="O42" s="89" t="n">
        <v>12251</v>
      </c>
      <c r="P42" s="89" t="n">
        <v>7839</v>
      </c>
      <c r="Q42" s="89" t="n">
        <v>54</v>
      </c>
      <c r="R42" s="89" t="n">
        <v>7903</v>
      </c>
      <c r="S42" s="89" t="n">
        <v>630</v>
      </c>
      <c r="T42" s="89" t="n">
        <v>1675</v>
      </c>
      <c r="U42" s="89" t="n">
        <v>4660</v>
      </c>
      <c r="V42" s="89" t="n">
        <v>299</v>
      </c>
      <c r="W42" s="89" t="n">
        <v>16046</v>
      </c>
      <c r="X42" s="89" t="n">
        <v>5317</v>
      </c>
      <c r="Y42" s="89" t="n">
        <v>5759</v>
      </c>
      <c r="Z42" s="89" t="n">
        <v>15502</v>
      </c>
      <c r="AA42" s="89" t="n">
        <v>4268</v>
      </c>
      <c r="AB42" s="89" t="n">
        <v>15454</v>
      </c>
      <c r="AC42" s="89" t="n">
        <v>2889</v>
      </c>
      <c r="AD42" s="89" t="n">
        <v>4107</v>
      </c>
      <c r="AE42" s="89" t="n">
        <v>12161</v>
      </c>
      <c r="AF42" s="89" t="n">
        <v>7005</v>
      </c>
      <c r="AG42" s="89" t="n">
        <v>212</v>
      </c>
      <c r="AH42" s="89" t="n">
        <v>15195</v>
      </c>
      <c r="AI42" s="89" t="n">
        <v>16046</v>
      </c>
      <c r="AJ42" s="89" t="n">
        <v>3059</v>
      </c>
      <c r="AK42" s="89" t="n">
        <v>3956</v>
      </c>
      <c r="AL42" s="89" t="n">
        <v>798</v>
      </c>
      <c r="AM42" s="89" t="n">
        <v>907</v>
      </c>
      <c r="AN42" s="89" t="n">
        <v>696</v>
      </c>
      <c r="AO42" s="89" t="n">
        <v>567</v>
      </c>
      <c r="AP42" s="89" t="n">
        <v>2032</v>
      </c>
      <c r="AQ42" s="89" t="n">
        <v>1987</v>
      </c>
      <c r="AR42" s="89" t="n">
        <v>3122</v>
      </c>
      <c r="AS42" s="89" t="n">
        <v>1536</v>
      </c>
      <c r="AT42" s="89" t="n">
        <v>1115</v>
      </c>
      <c r="AU42" s="89" t="n">
        <v>366</v>
      </c>
      <c r="AV42" s="89" t="n">
        <v>1288</v>
      </c>
      <c r="AW42" s="89" t="n">
        <v>1096</v>
      </c>
      <c r="AX42" s="89" t="n">
        <v>8954</v>
      </c>
      <c r="AY42" s="89" t="n">
        <v>7005</v>
      </c>
      <c r="AZ42" s="89" t="n">
        <v>7666</v>
      </c>
      <c r="BA42" s="89" t="n">
        <v>3502</v>
      </c>
      <c r="BB42" s="89" t="n">
        <v>801.2</v>
      </c>
      <c r="BC42" s="89" t="n">
        <v>812.6</v>
      </c>
      <c r="BD42" s="89" t="n">
        <v>1521</v>
      </c>
      <c r="BE42" s="89" t="n">
        <v>4422</v>
      </c>
      <c r="BF42" s="89" t="n">
        <v>7729</v>
      </c>
      <c r="BG42" s="89" t="n">
        <v>605</v>
      </c>
      <c r="BH42" s="89" t="n">
        <v>-817</v>
      </c>
      <c r="BI42" s="89" t="n">
        <v>-534</v>
      </c>
      <c r="BJ42" s="89" t="n">
        <v>2089</v>
      </c>
      <c r="BK42" s="89" t="n">
        <v>1805</v>
      </c>
      <c r="BL42" s="90" t="inlineStr">
        <is>
          <t>N/A</t>
        </is>
      </c>
      <c r="BM42" s="90" t="inlineStr">
        <is>
          <t>N/A</t>
        </is>
      </c>
      <c r="BN42" s="89" t="n">
        <v>383</v>
      </c>
      <c r="BO42" s="89" t="n">
        <v>8131</v>
      </c>
      <c r="BP42" s="89" t="n">
        <v>7940</v>
      </c>
      <c r="BQ42" s="89" t="n">
        <v>0</v>
      </c>
      <c r="BR42" s="89" t="n">
        <v>0</v>
      </c>
      <c r="BS42" s="89" t="n">
        <v>0</v>
      </c>
      <c r="BT42" s="89" t="n">
        <v>0</v>
      </c>
      <c r="BU42" s="89" t="n">
        <v>0</v>
      </c>
      <c r="BV42" s="89" t="n">
        <v>0</v>
      </c>
      <c r="BW42" s="89" t="n">
        <v>0</v>
      </c>
      <c r="BX42" s="89" t="n">
        <v>0</v>
      </c>
      <c r="BY42" s="89" t="n">
        <v>0</v>
      </c>
    </row>
    <row r="43" ht="17" customHeight="1">
      <c r="A43" s="82" t="n">
        <v>41</v>
      </c>
      <c r="B43" s="83" t="inlineStr">
        <is>
          <t>LKQ</t>
        </is>
      </c>
      <c r="C43" s="84" t="inlineStr">
        <is>
          <t>LKQ CORPORATION</t>
        </is>
      </c>
      <c r="D43" s="82" t="inlineStr">
        <is>
          <t>Consumer Discretionary</t>
        </is>
      </c>
      <c r="E43" s="82" t="n">
        <v>2026</v>
      </c>
      <c r="F43" s="85" t="n">
        <v>15137</v>
      </c>
      <c r="G43" s="85" t="n">
        <v>5248</v>
      </c>
      <c r="H43" s="85" t="n">
        <v>3137</v>
      </c>
      <c r="I43" s="85" t="n">
        <v>15137</v>
      </c>
      <c r="J43" s="85" t="n">
        <v>7958</v>
      </c>
      <c r="K43" s="85" t="n">
        <v>993</v>
      </c>
      <c r="L43" s="85" t="n">
        <v>13651</v>
      </c>
      <c r="M43" s="85" t="n">
        <v>608</v>
      </c>
      <c r="N43" s="85" t="n">
        <v>1063</v>
      </c>
      <c r="O43" s="85" t="n">
        <v>5265</v>
      </c>
      <c r="P43" s="91" t="inlineStr">
        <is>
          <t>N/A</t>
        </is>
      </c>
      <c r="Q43" s="85" t="n">
        <v>6537</v>
      </c>
      <c r="R43" s="85" t="n">
        <v>3813</v>
      </c>
      <c r="S43" s="85" t="n">
        <v>365</v>
      </c>
      <c r="T43" s="85" t="n">
        <v>1204</v>
      </c>
      <c r="U43" s="85" t="n">
        <v>1452</v>
      </c>
      <c r="V43" s="85" t="n">
        <v>-214</v>
      </c>
      <c r="W43" s="85" t="n">
        <v>14955</v>
      </c>
      <c r="X43" s="85" t="n">
        <v>4906</v>
      </c>
      <c r="Y43" s="85" t="n">
        <v>2862</v>
      </c>
      <c r="Z43" s="85" t="n">
        <v>14955</v>
      </c>
      <c r="AA43" s="85" t="n">
        <v>1199</v>
      </c>
      <c r="AB43" s="85" t="n">
        <v>14355</v>
      </c>
      <c r="AC43" s="85" t="n">
        <v>693</v>
      </c>
      <c r="AD43" s="85" t="n">
        <v>1121</v>
      </c>
      <c r="AE43" s="85" t="n">
        <v>5611</v>
      </c>
      <c r="AF43" s="91" t="inlineStr">
        <is>
          <t>N/A</t>
        </is>
      </c>
      <c r="AG43" s="85" t="n">
        <v>6017</v>
      </c>
      <c r="AH43" s="85" t="n">
        <v>13823</v>
      </c>
      <c r="AI43" s="85" t="n">
        <v>14955</v>
      </c>
      <c r="AJ43" s="85" t="n">
        <v>1399.1</v>
      </c>
      <c r="AK43" s="85" t="n">
        <v>885</v>
      </c>
      <c r="AL43" s="85" t="n">
        <v>204</v>
      </c>
      <c r="AM43" s="85" t="n">
        <v>273</v>
      </c>
      <c r="AN43" s="85" t="n">
        <v>216</v>
      </c>
      <c r="AO43" s="85" t="n">
        <v>311</v>
      </c>
      <c r="AP43" s="85" t="n">
        <v>3426</v>
      </c>
      <c r="AQ43" s="85" t="n">
        <v>3220</v>
      </c>
      <c r="AR43" s="85" t="n">
        <v>5414</v>
      </c>
      <c r="AS43" s="85" t="n">
        <v>991</v>
      </c>
      <c r="AT43" s="85" t="n">
        <v>52.9</v>
      </c>
      <c r="AU43" s="91" t="inlineStr">
        <is>
          <t>N/A</t>
        </is>
      </c>
      <c r="AV43" s="85" t="n">
        <v>319</v>
      </c>
      <c r="AW43" s="85" t="n">
        <v>234</v>
      </c>
      <c r="AX43" s="85" t="n">
        <v>52.9</v>
      </c>
      <c r="AY43" s="91" t="inlineStr">
        <is>
          <t>N/A</t>
        </is>
      </c>
      <c r="AZ43" s="85" t="n">
        <v>-266.1</v>
      </c>
      <c r="BA43" s="85" t="n">
        <v>847</v>
      </c>
      <c r="BB43" s="85" t="n">
        <v>255</v>
      </c>
      <c r="BC43" s="85" t="n">
        <v>259.1</v>
      </c>
      <c r="BD43" s="85" t="n">
        <v>1122</v>
      </c>
      <c r="BE43" s="85" t="n">
        <v>1517</v>
      </c>
      <c r="BF43" s="85" t="n">
        <v>3916</v>
      </c>
      <c r="BG43" s="85" t="n">
        <v>361</v>
      </c>
      <c r="BH43" s="85" t="n">
        <v>185</v>
      </c>
      <c r="BI43" s="85" t="n">
        <v>-406</v>
      </c>
      <c r="BJ43" s="85" t="n">
        <v>2108</v>
      </c>
      <c r="BK43" s="85" t="n">
        <v>1801</v>
      </c>
      <c r="BL43" s="85" t="n">
        <v>9.199999999999999</v>
      </c>
      <c r="BM43" s="85" t="n">
        <v>9.300000000000001</v>
      </c>
      <c r="BN43" s="85" t="n">
        <v>17.4</v>
      </c>
      <c r="BO43" s="85" t="n">
        <v>8386</v>
      </c>
      <c r="BP43" s="85" t="n">
        <v>8744</v>
      </c>
      <c r="BQ43" s="85" t="n">
        <v>0</v>
      </c>
      <c r="BR43" s="85" t="n">
        <v>0</v>
      </c>
      <c r="BS43" s="85" t="n">
        <v>0</v>
      </c>
      <c r="BT43" s="85" t="n">
        <v>0</v>
      </c>
      <c r="BU43" s="85" t="n">
        <v>0</v>
      </c>
      <c r="BV43" s="85" t="n">
        <v>0</v>
      </c>
      <c r="BW43" s="85" t="n">
        <v>0</v>
      </c>
      <c r="BX43" s="85" t="n">
        <v>0</v>
      </c>
      <c r="BY43" s="85" t="n">
        <v>0</v>
      </c>
    </row>
    <row r="44" ht="17" customHeight="1">
      <c r="A44" s="86" t="n">
        <v>42</v>
      </c>
      <c r="B44" s="87" t="inlineStr">
        <is>
          <t>FFIN</t>
        </is>
      </c>
      <c r="C44" s="88" t="inlineStr">
        <is>
          <t>First Financial Bankshares, Inc.</t>
        </is>
      </c>
      <c r="D44" s="86" t="inlineStr">
        <is>
          <t>Financials</t>
        </is>
      </c>
      <c r="E44" s="86" t="n">
        <v>2026</v>
      </c>
      <c r="F44" s="89" t="n">
        <v>15446.5</v>
      </c>
      <c r="G44" s="90" t="inlineStr">
        <is>
          <t>N/A</t>
        </is>
      </c>
      <c r="H44" s="90" t="inlineStr">
        <is>
          <t>N/A</t>
        </is>
      </c>
      <c r="I44" s="89" t="n">
        <v>13529.2</v>
      </c>
      <c r="J44" s="89" t="n">
        <v>1486.2</v>
      </c>
      <c r="K44" s="89" t="n">
        <v>309.6</v>
      </c>
      <c r="L44" s="90" t="inlineStr">
        <is>
          <t>N/A</t>
        </is>
      </c>
      <c r="M44" s="89" t="n">
        <v>253.6</v>
      </c>
      <c r="N44" s="89" t="n">
        <v>299.4</v>
      </c>
      <c r="O44" s="90" t="inlineStr">
        <is>
          <t>N/A</t>
        </is>
      </c>
      <c r="P44" s="90" t="inlineStr">
        <is>
          <t>N/A</t>
        </is>
      </c>
      <c r="Q44" s="89" t="n">
        <v>1917.3</v>
      </c>
      <c r="R44" s="90" t="inlineStr">
        <is>
          <t>N/A</t>
        </is>
      </c>
      <c r="S44" s="89" t="n">
        <v>11.3</v>
      </c>
      <c r="T44" s="90" t="inlineStr">
        <is>
          <t>N/A</t>
        </is>
      </c>
      <c r="U44" s="89" t="n">
        <v>150</v>
      </c>
      <c r="V44" s="89" t="n">
        <v>144.3</v>
      </c>
      <c r="W44" s="89" t="n">
        <v>13979.4</v>
      </c>
      <c r="X44" s="90" t="inlineStr">
        <is>
          <t>N/A</t>
        </is>
      </c>
      <c r="Y44" s="90" t="inlineStr">
        <is>
          <t>N/A</t>
        </is>
      </c>
      <c r="Z44" s="89" t="n">
        <v>12372.9</v>
      </c>
      <c r="AA44" s="89" t="n">
        <v>271.8</v>
      </c>
      <c r="AB44" s="90" t="inlineStr">
        <is>
          <t>N/A</t>
        </is>
      </c>
      <c r="AC44" s="89" t="n">
        <v>223.5</v>
      </c>
      <c r="AD44" s="89" t="n">
        <v>309.6</v>
      </c>
      <c r="AE44" s="90" t="inlineStr">
        <is>
          <t>N/A</t>
        </is>
      </c>
      <c r="AF44" s="90" t="inlineStr">
        <is>
          <t>N/A</t>
        </is>
      </c>
      <c r="AG44" s="89" t="n">
        <v>1606.6</v>
      </c>
      <c r="AH44" s="90" t="inlineStr">
        <is>
          <t>N/A</t>
        </is>
      </c>
      <c r="AI44" s="89" t="n">
        <v>13979.4</v>
      </c>
      <c r="AJ44" s="89" t="n">
        <v>309.6</v>
      </c>
      <c r="AK44" s="89" t="n">
        <v>271.8</v>
      </c>
      <c r="AL44" s="89" t="n">
        <v>56</v>
      </c>
      <c r="AM44" s="89" t="n">
        <v>48.3</v>
      </c>
      <c r="AN44" s="89" t="n">
        <v>13.4</v>
      </c>
      <c r="AO44" s="89" t="n">
        <v>16.7</v>
      </c>
      <c r="AP44" s="90" t="inlineStr">
        <is>
          <t>N/A</t>
        </is>
      </c>
      <c r="AQ44" s="90" t="inlineStr">
        <is>
          <t>N/A</t>
        </is>
      </c>
      <c r="AR44" s="89" t="n">
        <v>313.5</v>
      </c>
      <c r="AS44" s="90" t="inlineStr">
        <is>
          <t>N/A</t>
        </is>
      </c>
      <c r="AT44" s="89" t="n">
        <v>21.7</v>
      </c>
      <c r="AU44" s="90" t="inlineStr">
        <is>
          <t>N/A</t>
        </is>
      </c>
      <c r="AV44" s="90" t="inlineStr">
        <is>
          <t>N/A</t>
        </is>
      </c>
      <c r="AW44" s="90" t="inlineStr">
        <is>
          <t>N/A</t>
        </is>
      </c>
      <c r="AX44" s="89" t="n">
        <v>21.7</v>
      </c>
      <c r="AY44" s="90" t="inlineStr">
        <is>
          <t>N/A</t>
        </is>
      </c>
      <c r="AZ44" s="89" t="n">
        <v>21.7</v>
      </c>
      <c r="BA44" s="89" t="n">
        <v>286</v>
      </c>
      <c r="BB44" s="89" t="n">
        <v>143.2</v>
      </c>
      <c r="BC44" s="89" t="n">
        <v>142.9</v>
      </c>
      <c r="BD44" s="90" t="inlineStr">
        <is>
          <t>N/A</t>
        </is>
      </c>
      <c r="BE44" s="89" t="n">
        <v>151.9</v>
      </c>
      <c r="BF44" s="90" t="inlineStr">
        <is>
          <t>N/A</t>
        </is>
      </c>
      <c r="BG44" s="89" t="n">
        <v>11.3</v>
      </c>
      <c r="BH44" s="89" t="n">
        <v>-1016.2</v>
      </c>
      <c r="BI44" s="89" t="n">
        <v>-736.9</v>
      </c>
      <c r="BJ44" s="89" t="n">
        <v>14.6</v>
      </c>
      <c r="BK44" s="90" t="inlineStr">
        <is>
          <t>N/A</t>
        </is>
      </c>
      <c r="BL44" s="90" t="inlineStr">
        <is>
          <t>N/A</t>
        </is>
      </c>
      <c r="BM44" s="90" t="inlineStr">
        <is>
          <t>N/A</t>
        </is>
      </c>
      <c r="BN44" s="90" t="inlineStr">
        <is>
          <t>N/A</t>
        </is>
      </c>
      <c r="BO44" s="90" t="inlineStr">
        <is>
          <t>N/A</t>
        </is>
      </c>
      <c r="BP44" s="90" t="inlineStr">
        <is>
          <t>N/A</t>
        </is>
      </c>
      <c r="BQ44" s="90" t="inlineStr">
        <is>
          <t>N/A</t>
        </is>
      </c>
      <c r="BR44" s="90" t="inlineStr">
        <is>
          <t>N/A</t>
        </is>
      </c>
      <c r="BS44" s="90" t="inlineStr">
        <is>
          <t>N/A</t>
        </is>
      </c>
      <c r="BT44" s="90" t="inlineStr">
        <is>
          <t>N/A</t>
        </is>
      </c>
      <c r="BU44" s="90" t="inlineStr">
        <is>
          <t>N/A</t>
        </is>
      </c>
      <c r="BV44" s="90" t="inlineStr">
        <is>
          <t>N/A</t>
        </is>
      </c>
      <c r="BW44" s="89" t="n">
        <v>0</v>
      </c>
      <c r="BX44" s="90" t="inlineStr">
        <is>
          <t>N/A</t>
        </is>
      </c>
      <c r="BY44" s="89" t="n">
        <v>0</v>
      </c>
    </row>
    <row r="45" ht="17" customHeight="1">
      <c r="A45" s="82" t="n">
        <v>43</v>
      </c>
      <c r="B45" s="83" t="inlineStr">
        <is>
          <t>ONTO</t>
        </is>
      </c>
      <c r="C45" s="84" t="inlineStr">
        <is>
          <t>ONTO INNOVATION INC.</t>
        </is>
      </c>
      <c r="D45" s="82" t="inlineStr">
        <is>
          <t>Information Technology</t>
        </is>
      </c>
      <c r="E45" s="82" t="n">
        <v>2026</v>
      </c>
      <c r="F45" s="85" t="n">
        <v>2367.7</v>
      </c>
      <c r="G45" s="85" t="n">
        <v>1268</v>
      </c>
      <c r="H45" s="85" t="n">
        <v>218.9</v>
      </c>
      <c r="I45" s="85" t="n">
        <v>267.1</v>
      </c>
      <c r="J45" s="85" t="n">
        <v>743.8</v>
      </c>
      <c r="K45" s="85" t="n">
        <v>132.9</v>
      </c>
      <c r="L45" s="85" t="n">
        <v>1005.3</v>
      </c>
      <c r="M45" s="85" t="n">
        <v>136.8</v>
      </c>
      <c r="N45" s="85" t="n">
        <v>328.3</v>
      </c>
      <c r="O45" s="85" t="n">
        <v>499.8</v>
      </c>
      <c r="P45" s="91" t="inlineStr">
        <is>
          <t>N/A</t>
        </is>
      </c>
      <c r="Q45" s="85" t="n">
        <v>2100.6</v>
      </c>
      <c r="R45" s="85" t="n">
        <v>107.1</v>
      </c>
      <c r="S45" s="85" t="n">
        <v>6.8</v>
      </c>
      <c r="T45" s="85" t="n">
        <v>268.9</v>
      </c>
      <c r="U45" s="85" t="n">
        <v>127.2</v>
      </c>
      <c r="V45" s="85" t="n">
        <v>0.3</v>
      </c>
      <c r="W45" s="85" t="n">
        <v>2117.1</v>
      </c>
      <c r="X45" s="85" t="n">
        <v>1477.5</v>
      </c>
      <c r="Y45" s="85" t="n">
        <v>170.1</v>
      </c>
      <c r="Z45" s="85" t="n">
        <v>191.2</v>
      </c>
      <c r="AA45" s="85" t="n">
        <v>187.1</v>
      </c>
      <c r="AB45" s="85" t="n">
        <v>987.3</v>
      </c>
      <c r="AC45" s="85" t="n">
        <v>201.7</v>
      </c>
      <c r="AD45" s="85" t="n">
        <v>245.7</v>
      </c>
      <c r="AE45" s="85" t="n">
        <v>515.3</v>
      </c>
      <c r="AF45" s="85" t="n">
        <v>5.3</v>
      </c>
      <c r="AG45" s="85" t="n">
        <v>1925.9</v>
      </c>
      <c r="AH45" s="85" t="n">
        <v>987.3</v>
      </c>
      <c r="AI45" s="85" t="n">
        <v>2117.1</v>
      </c>
      <c r="AJ45" s="85" t="n">
        <v>162.9</v>
      </c>
      <c r="AK45" s="85" t="n">
        <v>220.4</v>
      </c>
      <c r="AL45" s="85" t="n">
        <v>26.1</v>
      </c>
      <c r="AM45" s="85" t="n">
        <v>18.8</v>
      </c>
      <c r="AN45" s="85" t="n">
        <v>28.5</v>
      </c>
      <c r="AO45" s="85" t="n">
        <v>31.9</v>
      </c>
      <c r="AP45" s="85" t="n">
        <v>298.3</v>
      </c>
      <c r="AQ45" s="85" t="n">
        <v>287</v>
      </c>
      <c r="AR45" s="85" t="n">
        <v>644</v>
      </c>
      <c r="AS45" s="85" t="n">
        <v>271.8</v>
      </c>
      <c r="AT45" s="91" t="inlineStr">
        <is>
          <t>N/A</t>
        </is>
      </c>
      <c r="AU45" s="85" t="n">
        <v>132</v>
      </c>
      <c r="AV45" s="85" t="n">
        <v>346.1</v>
      </c>
      <c r="AW45" s="85" t="n">
        <v>212.9</v>
      </c>
      <c r="AX45" s="91" t="inlineStr">
        <is>
          <t>N/A</t>
        </is>
      </c>
      <c r="AY45" s="85" t="n">
        <v>5.3</v>
      </c>
      <c r="AZ45" s="85" t="n">
        <v>-346.1</v>
      </c>
      <c r="BA45" s="85" t="n">
        <v>299.8</v>
      </c>
      <c r="BB45" s="85" t="n">
        <v>49.7</v>
      </c>
      <c r="BC45" s="85" t="n">
        <v>49.2</v>
      </c>
      <c r="BD45" s="85" t="n">
        <v>308.1</v>
      </c>
      <c r="BE45" s="85" t="n">
        <v>123.9</v>
      </c>
      <c r="BF45" s="85" t="n">
        <v>85.8</v>
      </c>
      <c r="BG45" s="85" t="n">
        <v>6.9</v>
      </c>
      <c r="BH45" s="85" t="n">
        <v>-121.6</v>
      </c>
      <c r="BI45" s="85" t="n">
        <v>-226.5</v>
      </c>
      <c r="BJ45" s="85" t="n">
        <v>107.7</v>
      </c>
      <c r="BK45" s="85" t="n">
        <v>56.3</v>
      </c>
      <c r="BL45" s="85" t="n">
        <v>7.4</v>
      </c>
      <c r="BM45" s="85" t="n">
        <v>9.199999999999999</v>
      </c>
      <c r="BN45" s="85" t="n">
        <v>3.2</v>
      </c>
      <c r="BO45" s="85" t="n">
        <v>140.4</v>
      </c>
      <c r="BP45" s="85" t="n">
        <v>121.9</v>
      </c>
      <c r="BQ45" s="85" t="n">
        <v>0</v>
      </c>
      <c r="BR45" s="85" t="n">
        <v>0</v>
      </c>
      <c r="BS45" s="85" t="n">
        <v>0</v>
      </c>
      <c r="BT45" s="85" t="n">
        <v>0</v>
      </c>
      <c r="BU45" s="85" t="n">
        <v>0</v>
      </c>
      <c r="BV45" s="85" t="n">
        <v>0</v>
      </c>
      <c r="BW45" s="85" t="n">
        <v>0</v>
      </c>
      <c r="BX45" s="85" t="n">
        <v>0</v>
      </c>
      <c r="BY45" s="85" t="n">
        <v>0</v>
      </c>
    </row>
    <row r="46" ht="17" customHeight="1">
      <c r="A46" s="86" t="n">
        <v>44</v>
      </c>
      <c r="B46" s="87" t="inlineStr">
        <is>
          <t>PKG</t>
        </is>
      </c>
      <c r="C46" s="88" t="inlineStr">
        <is>
          <t>PACKAGING CORP OF AMERICA</t>
        </is>
      </c>
      <c r="D46" s="86" t="inlineStr">
        <is>
          <t>Materials</t>
        </is>
      </c>
      <c r="E46" s="86" t="n">
        <v>2026</v>
      </c>
      <c r="F46" s="89" t="n">
        <v>10725.5</v>
      </c>
      <c r="G46" s="89" t="n">
        <v>3213.7</v>
      </c>
      <c r="H46" s="89" t="n">
        <v>1015.1</v>
      </c>
      <c r="I46" s="89" t="n">
        <v>10725.5</v>
      </c>
      <c r="J46" s="89" t="n">
        <v>3931</v>
      </c>
      <c r="K46" s="89" t="n">
        <v>1107</v>
      </c>
      <c r="L46" s="89" t="n">
        <v>8989.299999999999</v>
      </c>
      <c r="M46" s="89" t="n">
        <v>774.1</v>
      </c>
      <c r="N46" s="89" t="n">
        <v>1557.5</v>
      </c>
      <c r="O46" s="89" t="n">
        <v>1889.6</v>
      </c>
      <c r="P46" s="89" t="n">
        <v>3992.5</v>
      </c>
      <c r="Q46" s="89" t="n">
        <v>4598</v>
      </c>
      <c r="R46" s="89" t="n">
        <v>634.2</v>
      </c>
      <c r="S46" s="89" t="n">
        <v>652.8</v>
      </c>
      <c r="T46" s="89" t="n">
        <v>1255.8</v>
      </c>
      <c r="U46" s="89" t="n">
        <v>4985.1</v>
      </c>
      <c r="V46" s="89" t="n">
        <v>100.6</v>
      </c>
      <c r="W46" s="89" t="n">
        <v>8833.200000000001</v>
      </c>
      <c r="X46" s="89" t="n">
        <v>3233</v>
      </c>
      <c r="Y46" s="89" t="n">
        <v>1001.6</v>
      </c>
      <c r="Z46" s="89" t="n">
        <v>8833.200000000001</v>
      </c>
      <c r="AA46" s="89" t="n">
        <v>1101.3</v>
      </c>
      <c r="AB46" s="89" t="n">
        <v>8383.299999999999</v>
      </c>
      <c r="AC46" s="89" t="n">
        <v>805.1</v>
      </c>
      <c r="AD46" s="89" t="n">
        <v>1191.2</v>
      </c>
      <c r="AE46" s="89" t="n">
        <v>1783.1</v>
      </c>
      <c r="AF46" s="89" t="n">
        <v>2492.2</v>
      </c>
      <c r="AG46" s="89" t="n">
        <v>4404</v>
      </c>
      <c r="AH46" s="89" t="n">
        <v>8383.299999999999</v>
      </c>
      <c r="AI46" s="89" t="n">
        <v>8833.200000000001</v>
      </c>
      <c r="AJ46" s="89" t="n">
        <v>1027.8</v>
      </c>
      <c r="AK46" s="89" t="n">
        <v>1064.4</v>
      </c>
      <c r="AL46" s="89" t="n">
        <v>253.7</v>
      </c>
      <c r="AM46" s="89" t="n">
        <v>259.3</v>
      </c>
      <c r="AN46" s="89" t="n">
        <v>828.9</v>
      </c>
      <c r="AO46" s="89" t="n">
        <v>669.7</v>
      </c>
      <c r="AP46" s="89" t="n">
        <v>1243.2</v>
      </c>
      <c r="AQ46" s="89" t="n">
        <v>1124.9</v>
      </c>
      <c r="AR46" s="89" t="n">
        <v>1372.3</v>
      </c>
      <c r="AS46" s="89" t="n">
        <v>602.3</v>
      </c>
      <c r="AT46" s="90" t="inlineStr">
        <is>
          <t>N/A</t>
        </is>
      </c>
      <c r="AU46" s="89" t="n">
        <v>14.5</v>
      </c>
      <c r="AV46" s="89" t="n">
        <v>529</v>
      </c>
      <c r="AW46" s="89" t="n">
        <v>685</v>
      </c>
      <c r="AX46" s="89" t="n">
        <v>3992.5</v>
      </c>
      <c r="AY46" s="89" t="n">
        <v>2492.2</v>
      </c>
      <c r="AZ46" s="89" t="n">
        <v>3463.5</v>
      </c>
      <c r="BA46" s="89" t="n">
        <v>728.6</v>
      </c>
      <c r="BB46" s="89" t="n">
        <v>89.2</v>
      </c>
      <c r="BC46" s="89" t="n">
        <v>89.8</v>
      </c>
      <c r="BD46" s="89" t="n">
        <v>1144</v>
      </c>
      <c r="BE46" s="89" t="n">
        <v>4039</v>
      </c>
      <c r="BF46" s="89" t="n">
        <v>610.3</v>
      </c>
      <c r="BG46" s="89" t="n">
        <v>525.6</v>
      </c>
      <c r="BH46" s="89" t="n">
        <v>-2572.9</v>
      </c>
      <c r="BI46" s="89" t="n">
        <v>-277.8</v>
      </c>
      <c r="BJ46" s="89" t="n">
        <v>471.4</v>
      </c>
      <c r="BK46" s="89" t="n">
        <v>430.3</v>
      </c>
      <c r="BL46" s="90" t="inlineStr">
        <is>
          <t>N/A</t>
        </is>
      </c>
      <c r="BM46" s="90" t="inlineStr">
        <is>
          <t>N/A</t>
        </is>
      </c>
      <c r="BN46" s="89" t="n">
        <v>10.4</v>
      </c>
      <c r="BO46" s="89" t="n">
        <v>7099.7</v>
      </c>
      <c r="BP46" s="89" t="n">
        <v>6600.2</v>
      </c>
      <c r="BQ46" s="89" t="n">
        <v>0</v>
      </c>
      <c r="BR46" s="89" t="n">
        <v>0</v>
      </c>
      <c r="BS46" s="89" t="n">
        <v>0</v>
      </c>
      <c r="BT46" s="89" t="n">
        <v>0</v>
      </c>
      <c r="BU46" s="89" t="n">
        <v>0</v>
      </c>
      <c r="BV46" s="89" t="n">
        <v>0</v>
      </c>
      <c r="BW46" s="89" t="n">
        <v>0</v>
      </c>
      <c r="BX46" s="89" t="n">
        <v>0</v>
      </c>
      <c r="BY46" s="89" t="n">
        <v>0</v>
      </c>
    </row>
    <row r="47" ht="17" customHeight="1">
      <c r="A47" s="82" t="n">
        <v>45</v>
      </c>
      <c r="B47" s="83" t="inlineStr">
        <is>
          <t>MU</t>
        </is>
      </c>
      <c r="C47" s="84" t="inlineStr">
        <is>
          <t>Micron Technology, Inc.</t>
        </is>
      </c>
      <c r="D47" s="82" t="inlineStr">
        <is>
          <t>Information Technology</t>
        </is>
      </c>
      <c r="E47" s="82" t="n">
        <v>2026</v>
      </c>
      <c r="F47" s="85" t="n">
        <v>82798</v>
      </c>
      <c r="G47" s="85" t="n">
        <v>28841</v>
      </c>
      <c r="H47" s="85" t="n">
        <v>11454</v>
      </c>
      <c r="I47" s="85" t="n">
        <v>28633</v>
      </c>
      <c r="J47" s="85" t="n">
        <v>48583</v>
      </c>
      <c r="K47" s="85" t="n">
        <v>9770</v>
      </c>
      <c r="L47" s="85" t="n">
        <v>30391</v>
      </c>
      <c r="M47" s="85" t="n">
        <v>8539</v>
      </c>
      <c r="N47" s="85" t="n">
        <v>17525</v>
      </c>
      <c r="O47" s="85" t="n">
        <v>14873</v>
      </c>
      <c r="P47" s="85" t="n">
        <v>11533</v>
      </c>
      <c r="Q47" s="85" t="n">
        <v>54165</v>
      </c>
      <c r="R47" s="85" t="n">
        <v>1205</v>
      </c>
      <c r="S47" s="85" t="n">
        <v>8352</v>
      </c>
      <c r="T47" s="85" t="n">
        <v>7163</v>
      </c>
      <c r="U47" s="85" t="n">
        <v>28240</v>
      </c>
      <c r="V47" s="85" t="n">
        <v>388</v>
      </c>
      <c r="W47" s="85" t="n">
        <v>69416</v>
      </c>
      <c r="X47" s="85" t="n">
        <v>24372</v>
      </c>
      <c r="Y47" s="85" t="n">
        <v>9248</v>
      </c>
      <c r="Z47" s="85" t="n">
        <v>24285</v>
      </c>
      <c r="AA47" s="85" t="n">
        <v>1304</v>
      </c>
      <c r="AB47" s="85" t="n">
        <v>8440</v>
      </c>
      <c r="AC47" s="85" t="n">
        <v>778</v>
      </c>
      <c r="AD47" s="85" t="n">
        <v>8507</v>
      </c>
      <c r="AE47" s="85" t="n">
        <v>5613</v>
      </c>
      <c r="AF47" s="85" t="n">
        <v>11343</v>
      </c>
      <c r="AG47" s="85" t="n">
        <v>45131</v>
      </c>
      <c r="AH47" s="85" t="n">
        <v>7797</v>
      </c>
      <c r="AI47" s="85" t="n">
        <v>69416</v>
      </c>
      <c r="AJ47" s="85" t="n">
        <v>686</v>
      </c>
      <c r="AK47" s="91" t="inlineStr">
        <is>
          <t>N/A</t>
        </is>
      </c>
      <c r="AL47" s="85" t="n">
        <v>1124</v>
      </c>
      <c r="AM47" s="85" t="n">
        <v>451</v>
      </c>
      <c r="AN47" s="85" t="n">
        <v>15857</v>
      </c>
      <c r="AO47" s="85" t="n">
        <v>8386</v>
      </c>
      <c r="AP47" s="85" t="n">
        <v>8355</v>
      </c>
      <c r="AQ47" s="85" t="n">
        <v>8875</v>
      </c>
      <c r="AR47" s="85" t="n">
        <v>1150</v>
      </c>
      <c r="AS47" s="85" t="n">
        <v>453</v>
      </c>
      <c r="AT47" s="85" t="n">
        <v>560</v>
      </c>
      <c r="AU47" s="85" t="n">
        <v>3798</v>
      </c>
      <c r="AV47" s="85" t="n">
        <v>9642</v>
      </c>
      <c r="AW47" s="85" t="n">
        <v>7041</v>
      </c>
      <c r="AX47" s="85" t="n">
        <v>12093</v>
      </c>
      <c r="AY47" s="85" t="n">
        <v>11774</v>
      </c>
      <c r="AZ47" s="85" t="n">
        <v>2451</v>
      </c>
      <c r="BA47" s="85" t="n">
        <v>1668</v>
      </c>
      <c r="BB47" s="85" t="n">
        <v>1122</v>
      </c>
      <c r="BC47" s="85" t="n">
        <v>1109</v>
      </c>
      <c r="BD47" s="85" t="n">
        <v>5419</v>
      </c>
      <c r="BE47" s="85" t="n">
        <v>23672</v>
      </c>
      <c r="BF47" s="85" t="n">
        <v>1129</v>
      </c>
      <c r="BG47" s="85" t="n">
        <v>7780</v>
      </c>
      <c r="BH47" s="85" t="n">
        <v>-14087</v>
      </c>
      <c r="BI47" s="85" t="n">
        <v>-8309</v>
      </c>
      <c r="BJ47" s="85" t="n">
        <v>9649</v>
      </c>
      <c r="BK47" s="85" t="n">
        <v>7299</v>
      </c>
      <c r="BL47" s="85" t="n">
        <v>284</v>
      </c>
      <c r="BM47" s="85" t="n">
        <v>408</v>
      </c>
      <c r="BN47" s="85" t="n">
        <v>628</v>
      </c>
      <c r="BO47" s="85" t="n">
        <v>22505</v>
      </c>
      <c r="BP47" s="85" t="n">
        <v>19498</v>
      </c>
      <c r="BQ47" s="85" t="n">
        <v>0</v>
      </c>
      <c r="BR47" s="85" t="n">
        <v>0</v>
      </c>
      <c r="BS47" s="85" t="n">
        <v>0</v>
      </c>
      <c r="BT47" s="85" t="n">
        <v>0</v>
      </c>
      <c r="BU47" s="85" t="n">
        <v>0</v>
      </c>
      <c r="BV47" s="85" t="n">
        <v>0</v>
      </c>
      <c r="BW47" s="85" t="n">
        <v>0</v>
      </c>
      <c r="BX47" s="85" t="n">
        <v>0</v>
      </c>
      <c r="BY47" s="85" t="n">
        <v>0</v>
      </c>
    </row>
    <row r="48" ht="17" customHeight="1">
      <c r="A48" s="86" t="n">
        <v>46</v>
      </c>
      <c r="B48" s="87" t="inlineStr">
        <is>
          <t>JAZZ</t>
        </is>
      </c>
      <c r="C48" s="88" t="inlineStr">
        <is>
          <t>Jazz Pharmaceuticals plc</t>
        </is>
      </c>
      <c r="D48" s="86" t="inlineStr">
        <is>
          <t>Health Care</t>
        </is>
      </c>
      <c r="E48" s="86" t="n">
        <v>2026</v>
      </c>
      <c r="F48" s="89" t="n">
        <v>11659.3</v>
      </c>
      <c r="G48" s="89" t="n">
        <v>4166</v>
      </c>
      <c r="H48" s="89" t="n">
        <v>2242.5</v>
      </c>
      <c r="I48" s="89" t="n">
        <v>11659.3</v>
      </c>
      <c r="J48" s="89" t="n">
        <v>646.2</v>
      </c>
      <c r="K48" s="89" t="n">
        <v>-430.2</v>
      </c>
      <c r="L48" s="89" t="n">
        <v>476.5</v>
      </c>
      <c r="M48" s="89" t="n">
        <v>-356.1</v>
      </c>
      <c r="N48" s="89" t="n">
        <v>1355.8</v>
      </c>
      <c r="O48" s="89" t="n">
        <v>611.1</v>
      </c>
      <c r="P48" s="89" t="n">
        <v>5358.3</v>
      </c>
      <c r="Q48" s="89" t="n">
        <v>4318.6</v>
      </c>
      <c r="R48" s="89" t="n">
        <v>1809.3</v>
      </c>
      <c r="S48" s="89" t="n">
        <v>41.6</v>
      </c>
      <c r="T48" s="89" t="n">
        <v>830.7</v>
      </c>
      <c r="U48" s="89" t="n">
        <v>127.9</v>
      </c>
      <c r="V48" s="89" t="n">
        <v>1.7</v>
      </c>
      <c r="W48" s="89" t="n">
        <v>12012.3</v>
      </c>
      <c r="X48" s="89" t="n">
        <v>4629</v>
      </c>
      <c r="Y48" s="89" t="n">
        <v>1038.6</v>
      </c>
      <c r="Z48" s="89" t="n">
        <v>12012.3</v>
      </c>
      <c r="AA48" s="89" t="n">
        <v>716.6</v>
      </c>
      <c r="AB48" s="89" t="n">
        <v>469.4</v>
      </c>
      <c r="AC48" s="89" t="n">
        <v>560.1</v>
      </c>
      <c r="AD48" s="89" t="n">
        <v>1395.9</v>
      </c>
      <c r="AE48" s="89" t="n">
        <v>554.9</v>
      </c>
      <c r="AF48" s="89" t="n">
        <v>6108.6</v>
      </c>
      <c r="AG48" s="89" t="n">
        <v>4093.8</v>
      </c>
      <c r="AH48" s="89" t="n">
        <v>500.5</v>
      </c>
      <c r="AI48" s="89" t="n">
        <v>12012.3</v>
      </c>
      <c r="AJ48" s="89" t="n">
        <v>435.9</v>
      </c>
      <c r="AK48" s="89" t="n">
        <v>151.6</v>
      </c>
      <c r="AL48" s="89" t="n">
        <v>-272.4</v>
      </c>
      <c r="AM48" s="89" t="n">
        <v>-91.40000000000001</v>
      </c>
      <c r="AN48" s="89" t="n">
        <v>58.8</v>
      </c>
      <c r="AO48" s="89" t="n">
        <v>38.1</v>
      </c>
      <c r="AP48" s="89" t="n">
        <v>417</v>
      </c>
      <c r="AQ48" s="89" t="n">
        <v>480.4</v>
      </c>
      <c r="AR48" s="89" t="n">
        <v>1829.3</v>
      </c>
      <c r="AS48" s="89" t="n">
        <v>4429.5</v>
      </c>
      <c r="AT48" s="89" t="n">
        <v>1029.9</v>
      </c>
      <c r="AU48" s="89" t="n">
        <v>299.7</v>
      </c>
      <c r="AV48" s="89" t="n">
        <v>1391.9</v>
      </c>
      <c r="AW48" s="89" t="n">
        <v>2412.9</v>
      </c>
      <c r="AX48" s="89" t="n">
        <v>6388.2</v>
      </c>
      <c r="AY48" s="89" t="n">
        <v>6108.6</v>
      </c>
      <c r="AZ48" s="89" t="n">
        <v>4996.3</v>
      </c>
      <c r="BA48" s="89" t="n">
        <v>1297</v>
      </c>
      <c r="BB48" s="89" t="n">
        <v>61.4</v>
      </c>
      <c r="BC48" s="89" t="n">
        <v>60.6</v>
      </c>
      <c r="BD48" s="89" t="n">
        <v>716.8</v>
      </c>
      <c r="BE48" s="89" t="n">
        <v>131.5</v>
      </c>
      <c r="BF48" s="89" t="n">
        <v>1385.3</v>
      </c>
      <c r="BG48" s="89" t="n">
        <v>32.8</v>
      </c>
      <c r="BH48" s="89" t="n">
        <v>-1509.9</v>
      </c>
      <c r="BI48" s="89" t="n">
        <v>-508.2</v>
      </c>
      <c r="BJ48" s="89" t="n">
        <v>122.1</v>
      </c>
      <c r="BK48" s="89" t="n">
        <v>77.90000000000001</v>
      </c>
      <c r="BL48" s="89" t="n">
        <v>8.6</v>
      </c>
      <c r="BM48" s="89" t="n">
        <v>1.1</v>
      </c>
      <c r="BN48" s="89" t="n">
        <v>56.4</v>
      </c>
      <c r="BO48" s="89" t="n">
        <v>1276.1</v>
      </c>
      <c r="BP48" s="89" t="n">
        <v>1089.9</v>
      </c>
      <c r="BQ48" s="89" t="n">
        <v>0</v>
      </c>
      <c r="BR48" s="89" t="n">
        <v>0</v>
      </c>
      <c r="BS48" s="89" t="n">
        <v>0</v>
      </c>
      <c r="BT48" s="89" t="n">
        <v>0</v>
      </c>
      <c r="BU48" s="89" t="n">
        <v>0</v>
      </c>
      <c r="BV48" s="89" t="n">
        <v>0</v>
      </c>
      <c r="BW48" s="89" t="n">
        <v>0</v>
      </c>
      <c r="BX48" s="89" t="n">
        <v>0</v>
      </c>
      <c r="BY48" s="89" t="n">
        <v>-0</v>
      </c>
    </row>
    <row r="49" ht="17" customHeight="1">
      <c r="A49" s="82" t="n">
        <v>47</v>
      </c>
      <c r="B49" s="83" t="inlineStr">
        <is>
          <t>INTC</t>
        </is>
      </c>
      <c r="C49" s="84" t="inlineStr">
        <is>
          <t>INTEL CORP</t>
        </is>
      </c>
      <c r="D49" s="82" t="inlineStr">
        <is>
          <t>Information Technology</t>
        </is>
      </c>
      <c r="E49" s="82" t="n">
        <v>2026</v>
      </c>
      <c r="F49" s="85" t="n">
        <v>211429</v>
      </c>
      <c r="G49" s="85" t="n">
        <v>63688</v>
      </c>
      <c r="H49" s="85" t="n">
        <v>31575</v>
      </c>
      <c r="I49" s="85" t="n">
        <v>211429</v>
      </c>
      <c r="J49" s="85" t="n">
        <v>48983</v>
      </c>
      <c r="K49" s="85" t="n">
        <v>-2214</v>
      </c>
      <c r="L49" s="85" t="n">
        <v>52853</v>
      </c>
      <c r="M49" s="85" t="n">
        <v>-267</v>
      </c>
      <c r="N49" s="85" t="n">
        <v>9697</v>
      </c>
      <c r="O49" s="85" t="n">
        <v>18375</v>
      </c>
      <c r="P49" s="85" t="n">
        <v>46585</v>
      </c>
      <c r="Q49" s="85" t="n">
        <v>114281</v>
      </c>
      <c r="R49" s="85" t="n">
        <v>4624</v>
      </c>
      <c r="S49" s="85" t="n">
        <v>200</v>
      </c>
      <c r="T49" s="85" t="n">
        <v>3839</v>
      </c>
      <c r="U49" s="85" t="n">
        <v>80860</v>
      </c>
      <c r="V49" s="85" t="n">
        <v>878</v>
      </c>
      <c r="W49" s="85" t="n">
        <v>196485</v>
      </c>
      <c r="X49" s="85" t="n">
        <v>47324</v>
      </c>
      <c r="Y49" s="85" t="n">
        <v>35666</v>
      </c>
      <c r="Z49" s="85" t="n">
        <v>196485</v>
      </c>
      <c r="AA49" s="85" t="n">
        <v>-11678</v>
      </c>
      <c r="AB49" s="85" t="n">
        <v>53101</v>
      </c>
      <c r="AC49" s="85" t="n">
        <v>-18756</v>
      </c>
      <c r="AD49" s="85" t="n">
        <v>8288</v>
      </c>
      <c r="AE49" s="85" t="n">
        <v>17345</v>
      </c>
      <c r="AF49" s="85" t="n">
        <v>50011</v>
      </c>
      <c r="AG49" s="85" t="n">
        <v>99270</v>
      </c>
      <c r="AH49" s="85" t="n">
        <v>53101</v>
      </c>
      <c r="AI49" s="85" t="n">
        <v>196485</v>
      </c>
      <c r="AJ49" s="85" t="n">
        <v>1557</v>
      </c>
      <c r="AK49" s="85" t="n">
        <v>-11210</v>
      </c>
      <c r="AL49" s="85" t="n">
        <v>1531</v>
      </c>
      <c r="AM49" s="85" t="n">
        <v>8023</v>
      </c>
      <c r="AN49" s="85" t="n">
        <v>14646</v>
      </c>
      <c r="AO49" s="85" t="n">
        <v>23944</v>
      </c>
      <c r="AP49" s="85" t="n">
        <v>11618</v>
      </c>
      <c r="AQ49" s="85" t="n">
        <v>12198</v>
      </c>
      <c r="AR49" s="85" t="n">
        <v>23912</v>
      </c>
      <c r="AS49" s="85" t="n">
        <v>2772</v>
      </c>
      <c r="AT49" s="85" t="n">
        <v>2499</v>
      </c>
      <c r="AU49" s="85" t="n">
        <v>13774</v>
      </c>
      <c r="AV49" s="85" t="n">
        <v>14265</v>
      </c>
      <c r="AW49" s="85" t="n">
        <v>8249</v>
      </c>
      <c r="AX49" s="85" t="n">
        <v>49084</v>
      </c>
      <c r="AY49" s="85" t="n">
        <v>53740</v>
      </c>
      <c r="AZ49" s="85" t="n">
        <v>34819</v>
      </c>
      <c r="BA49" s="85" t="n">
        <v>-4949</v>
      </c>
      <c r="BB49" s="85" t="n">
        <v>4994</v>
      </c>
      <c r="BC49" s="85" t="n">
        <v>4330</v>
      </c>
      <c r="BD49" s="85" t="n">
        <v>3478</v>
      </c>
      <c r="BE49" s="85" t="n">
        <v>63245</v>
      </c>
      <c r="BF49" s="85" t="n">
        <v>5507</v>
      </c>
      <c r="BG49" s="85" t="n">
        <v>200</v>
      </c>
      <c r="BH49" s="85" t="n">
        <v>-14821</v>
      </c>
      <c r="BI49" s="85" t="n">
        <v>-18256</v>
      </c>
      <c r="BJ49" s="85" t="n">
        <v>9882</v>
      </c>
      <c r="BK49" s="85" t="n">
        <v>12556</v>
      </c>
      <c r="BL49" s="85" t="n">
        <v>1656</v>
      </c>
      <c r="BM49" s="85" t="n">
        <v>1718</v>
      </c>
      <c r="BN49" s="85" t="n">
        <v>604</v>
      </c>
      <c r="BO49" s="85" t="n">
        <v>34478</v>
      </c>
      <c r="BP49" s="85" t="n">
        <v>35756</v>
      </c>
      <c r="BQ49" s="85" t="n">
        <v>0</v>
      </c>
      <c r="BR49" s="85" t="n">
        <v>0</v>
      </c>
      <c r="BS49" s="85" t="n">
        <v>0</v>
      </c>
      <c r="BT49" s="85" t="n">
        <v>0</v>
      </c>
      <c r="BU49" s="85" t="n">
        <v>0</v>
      </c>
      <c r="BV49" s="85" t="n">
        <v>0</v>
      </c>
      <c r="BW49" s="85" t="n">
        <v>0</v>
      </c>
      <c r="BX49" s="85" t="n">
        <v>0</v>
      </c>
      <c r="BY49" s="85" t="n">
        <v>0</v>
      </c>
    </row>
    <row r="50" ht="17" customHeight="1">
      <c r="A50" s="86" t="n">
        <v>48</v>
      </c>
      <c r="B50" s="87" t="inlineStr">
        <is>
          <t>STE</t>
        </is>
      </c>
      <c r="C50" s="88" t="inlineStr">
        <is>
          <t>STERIS plc</t>
        </is>
      </c>
      <c r="D50" s="86" t="inlineStr">
        <is>
          <t>Health Care</t>
        </is>
      </c>
      <c r="E50" s="86" t="n">
        <v>2026</v>
      </c>
      <c r="F50" s="89" t="n">
        <v>10737.2</v>
      </c>
      <c r="G50" s="89" t="n">
        <v>2394.6</v>
      </c>
      <c r="H50" s="89" t="n">
        <v>1145</v>
      </c>
      <c r="I50" s="89" t="n">
        <v>3540</v>
      </c>
      <c r="J50" s="89" t="n">
        <v>3015.9</v>
      </c>
      <c r="K50" s="89" t="n">
        <v>1101.8</v>
      </c>
      <c r="L50" s="89" t="n">
        <v>5935.9</v>
      </c>
      <c r="M50" s="89" t="n">
        <v>782.3</v>
      </c>
      <c r="N50" s="89" t="n">
        <v>1341.4</v>
      </c>
      <c r="O50" s="89" t="n">
        <v>2626.5</v>
      </c>
      <c r="P50" s="89" t="n">
        <v>1812.8</v>
      </c>
      <c r="Q50" s="89" t="n">
        <v>7183.6</v>
      </c>
      <c r="R50" s="89" t="n">
        <v>1407.7</v>
      </c>
      <c r="S50" s="89" t="n">
        <v>486.5</v>
      </c>
      <c r="T50" s="89" t="n">
        <v>1092.8</v>
      </c>
      <c r="U50" s="89" t="n">
        <v>2161.2</v>
      </c>
      <c r="V50" s="89" t="n">
        <v>144.4</v>
      </c>
      <c r="W50" s="89" t="n">
        <v>10146.8</v>
      </c>
      <c r="X50" s="89" t="n">
        <v>2000.8</v>
      </c>
      <c r="Y50" s="89" t="n">
        <v>1022.2</v>
      </c>
      <c r="Z50" s="89" t="n">
        <v>3531.1</v>
      </c>
      <c r="AA50" s="89" t="n">
        <v>866.6</v>
      </c>
      <c r="AB50" s="89" t="n">
        <v>5459.5</v>
      </c>
      <c r="AC50" s="89" t="n">
        <v>614.6</v>
      </c>
      <c r="AD50" s="89" t="n">
        <v>1148.1</v>
      </c>
      <c r="AE50" s="89" t="n">
        <v>2402.8</v>
      </c>
      <c r="AF50" s="89" t="n">
        <v>1918.7</v>
      </c>
      <c r="AG50" s="89" t="n">
        <v>6603.4</v>
      </c>
      <c r="AH50" s="89" t="n">
        <v>5459.5</v>
      </c>
      <c r="AI50" s="89" t="n">
        <v>10146.8</v>
      </c>
      <c r="AJ50" s="89" t="n">
        <v>1047.3</v>
      </c>
      <c r="AK50" s="89" t="n">
        <v>796.2</v>
      </c>
      <c r="AL50" s="89" t="n">
        <v>262.2</v>
      </c>
      <c r="AM50" s="89" t="n">
        <v>184.7</v>
      </c>
      <c r="AN50" s="89" t="n">
        <v>369</v>
      </c>
      <c r="AO50" s="89" t="n">
        <v>370.1</v>
      </c>
      <c r="AP50" s="89" t="n">
        <v>631.8</v>
      </c>
      <c r="AQ50" s="89" t="n">
        <v>581.3</v>
      </c>
      <c r="AR50" s="89" t="n">
        <v>4194.8</v>
      </c>
      <c r="AS50" s="89" t="n">
        <v>1620</v>
      </c>
      <c r="AT50" s="89" t="n">
        <v>118.9</v>
      </c>
      <c r="AU50" s="89" t="n">
        <v>112.9</v>
      </c>
      <c r="AV50" s="89" t="n">
        <v>220.5</v>
      </c>
      <c r="AW50" s="89" t="n">
        <v>319.6</v>
      </c>
      <c r="AX50" s="89" t="n">
        <v>1931.7</v>
      </c>
      <c r="AY50" s="89" t="n">
        <v>2043.7</v>
      </c>
      <c r="AZ50" s="89" t="n">
        <v>1711.2</v>
      </c>
      <c r="BA50" s="89" t="n">
        <v>972.4</v>
      </c>
      <c r="BB50" s="89" t="n">
        <v>97.8</v>
      </c>
      <c r="BC50" s="89" t="n">
        <v>98.3</v>
      </c>
      <c r="BD50" s="89" t="n">
        <v>1044</v>
      </c>
      <c r="BE50" s="89" t="n">
        <v>1956.5</v>
      </c>
      <c r="BF50" s="89" t="n">
        <v>1334.3</v>
      </c>
      <c r="BG50" s="89" t="n">
        <v>476.2</v>
      </c>
      <c r="BH50" s="89" t="n">
        <v>-512.5</v>
      </c>
      <c r="BI50" s="89" t="n">
        <v>388.8</v>
      </c>
      <c r="BJ50" s="89" t="n">
        <v>338.8</v>
      </c>
      <c r="BK50" s="89" t="n">
        <v>280.8</v>
      </c>
      <c r="BL50" s="89" t="n">
        <v>59.1</v>
      </c>
      <c r="BM50" s="89" t="n">
        <v>57.5</v>
      </c>
      <c r="BN50" s="89" t="n">
        <v>28.6</v>
      </c>
      <c r="BO50" s="89" t="n">
        <v>3309.4</v>
      </c>
      <c r="BP50" s="89" t="n">
        <v>3056.8</v>
      </c>
      <c r="BQ50" s="89" t="n">
        <v>0</v>
      </c>
      <c r="BR50" s="89" t="n">
        <v>0</v>
      </c>
      <c r="BS50" s="89" t="n">
        <v>0</v>
      </c>
      <c r="BT50" s="89" t="n">
        <v>0</v>
      </c>
      <c r="BU50" s="89" t="n">
        <v>0</v>
      </c>
      <c r="BV50" s="89" t="n">
        <v>0</v>
      </c>
      <c r="BW50" s="89" t="n">
        <v>0</v>
      </c>
      <c r="BX50" s="89" t="n">
        <v>0</v>
      </c>
      <c r="BY50" s="89" t="n">
        <v>0</v>
      </c>
    </row>
    <row r="51" ht="17" customHeight="1">
      <c r="A51" s="82" t="n">
        <v>49</v>
      </c>
      <c r="B51" s="83" t="inlineStr">
        <is>
          <t>BMY</t>
        </is>
      </c>
      <c r="C51" s="84" t="inlineStr">
        <is>
          <t>Bristol-Myers Squibb Company</t>
        </is>
      </c>
      <c r="D51" s="82" t="inlineStr">
        <is>
          <t>Health Care</t>
        </is>
      </c>
      <c r="E51" s="82" t="n">
        <v>2026</v>
      </c>
      <c r="F51" s="85" t="n">
        <v>90038</v>
      </c>
      <c r="G51" s="85" t="n">
        <v>29390</v>
      </c>
      <c r="H51" s="85" t="n">
        <v>23417</v>
      </c>
      <c r="I51" s="85" t="n">
        <v>71533</v>
      </c>
      <c r="J51" s="85" t="n">
        <v>16896</v>
      </c>
      <c r="K51" s="85" t="n">
        <v>9328</v>
      </c>
      <c r="L51" s="85" t="n">
        <v>48194</v>
      </c>
      <c r="M51" s="85" t="n">
        <v>7054</v>
      </c>
      <c r="N51" s="85" t="n">
        <v>14156</v>
      </c>
      <c r="O51" s="85" t="n">
        <v>30745</v>
      </c>
      <c r="P51" s="85" t="n">
        <v>44827</v>
      </c>
      <c r="Q51" s="85" t="n">
        <v>18473</v>
      </c>
      <c r="R51" s="85" t="n">
        <v>7267</v>
      </c>
      <c r="S51" s="85" t="n">
        <v>4011</v>
      </c>
      <c r="T51" s="85" t="n">
        <v>9592</v>
      </c>
      <c r="U51" s="85" t="n">
        <v>7543</v>
      </c>
      <c r="V51" s="85" t="n">
        <v>1166</v>
      </c>
      <c r="W51" s="85" t="n">
        <v>92603</v>
      </c>
      <c r="X51" s="85" t="n">
        <v>29780</v>
      </c>
      <c r="Y51" s="85" t="n">
        <v>23774</v>
      </c>
      <c r="Z51" s="85" t="n">
        <v>76215</v>
      </c>
      <c r="AA51" s="85" t="n">
        <v>-8379</v>
      </c>
      <c r="AB51" s="85" t="n">
        <v>48300</v>
      </c>
      <c r="AC51" s="85" t="n">
        <v>-8948</v>
      </c>
      <c r="AD51" s="85" t="n">
        <v>15190</v>
      </c>
      <c r="AE51" s="85" t="n">
        <v>8158</v>
      </c>
      <c r="AF51" s="85" t="n">
        <v>49431</v>
      </c>
      <c r="AG51" s="85" t="n">
        <v>16335</v>
      </c>
      <c r="AH51" s="85" t="n">
        <v>48300</v>
      </c>
      <c r="AI51" s="85" t="n">
        <v>92603</v>
      </c>
      <c r="AJ51" s="85" t="n">
        <v>9328</v>
      </c>
      <c r="AK51" s="85" t="n">
        <v>-8379</v>
      </c>
      <c r="AL51" s="85" t="n">
        <v>2272</v>
      </c>
      <c r="AM51" s="85" t="n">
        <v>554</v>
      </c>
      <c r="AN51" s="85" t="n">
        <v>1311</v>
      </c>
      <c r="AO51" s="85" t="n">
        <v>1248</v>
      </c>
      <c r="AP51" s="85" t="n">
        <v>2690</v>
      </c>
      <c r="AQ51" s="85" t="n">
        <v>2557</v>
      </c>
      <c r="AR51" s="85" t="n">
        <v>21754</v>
      </c>
      <c r="AS51" s="85" t="n">
        <v>1770</v>
      </c>
      <c r="AT51" s="85" t="n">
        <v>2261</v>
      </c>
      <c r="AU51" s="85" t="n">
        <v>9951</v>
      </c>
      <c r="AV51" s="85" t="n">
        <v>10209</v>
      </c>
      <c r="AW51" s="85" t="n">
        <v>10346</v>
      </c>
      <c r="AX51" s="85" t="n">
        <v>47088</v>
      </c>
      <c r="AY51" s="85" t="n">
        <v>51477</v>
      </c>
      <c r="AZ51" s="85" t="n">
        <v>36879</v>
      </c>
      <c r="BA51" s="85" t="n">
        <v>12845</v>
      </c>
      <c r="BB51" s="85" t="n">
        <v>2900</v>
      </c>
      <c r="BC51" s="85" t="n">
        <v>2900</v>
      </c>
      <c r="BD51" s="85" t="n">
        <v>9012</v>
      </c>
      <c r="BE51" s="85" t="n">
        <v>7136</v>
      </c>
      <c r="BF51" s="85" t="n">
        <v>8414</v>
      </c>
      <c r="BG51" s="85" t="n">
        <v>9600</v>
      </c>
      <c r="BH51" s="85" t="n">
        <v>-4132</v>
      </c>
      <c r="BI51" s="85" t="n">
        <v>-21352</v>
      </c>
      <c r="BJ51" s="85" t="n">
        <v>3575</v>
      </c>
      <c r="BK51" s="85" t="n">
        <v>3602</v>
      </c>
      <c r="BL51" s="85" t="n">
        <v>237</v>
      </c>
      <c r="BM51" s="85" t="n">
        <v>277</v>
      </c>
      <c r="BN51" s="85" t="n">
        <v>979</v>
      </c>
      <c r="BO51" s="85" t="n">
        <v>13936</v>
      </c>
      <c r="BP51" s="85" t="n">
        <v>13968</v>
      </c>
      <c r="BQ51" s="85" t="n">
        <v>0</v>
      </c>
      <c r="BR51" s="85" t="n">
        <v>0</v>
      </c>
      <c r="BS51" s="85" t="n">
        <v>0</v>
      </c>
      <c r="BT51" s="85" t="n">
        <v>0</v>
      </c>
      <c r="BU51" s="85" t="n">
        <v>0</v>
      </c>
      <c r="BV51" s="85" t="n">
        <v>0</v>
      </c>
      <c r="BW51" s="85" t="n">
        <v>0</v>
      </c>
      <c r="BX51" s="85" t="n">
        <v>0</v>
      </c>
      <c r="BY51" s="85" t="n">
        <v>0</v>
      </c>
    </row>
    <row r="52" ht="17" customHeight="1">
      <c r="A52" s="86" t="n">
        <v>50</v>
      </c>
      <c r="B52" s="87" t="inlineStr">
        <is>
          <t>HRL</t>
        </is>
      </c>
      <c r="C52" s="88" t="inlineStr">
        <is>
          <t>HORMEL FOODS CORPORATION</t>
        </is>
      </c>
      <c r="D52" s="86" t="inlineStr">
        <is>
          <t>Consumer Staples</t>
        </is>
      </c>
      <c r="E52" s="86" t="n">
        <v>2026</v>
      </c>
      <c r="F52" s="89" t="n">
        <v>13393.1</v>
      </c>
      <c r="G52" s="89" t="n">
        <v>3405.7</v>
      </c>
      <c r="H52" s="89" t="n">
        <v>1380.8</v>
      </c>
      <c r="I52" s="89" t="n">
        <v>13393.1</v>
      </c>
      <c r="J52" s="89" t="n">
        <v>7516.7</v>
      </c>
      <c r="K52" s="89" t="n">
        <v>718.6</v>
      </c>
      <c r="L52" s="89" t="n">
        <v>9167.5</v>
      </c>
      <c r="M52" s="89" t="n">
        <v>478.2</v>
      </c>
      <c r="N52" s="89" t="n">
        <v>845.3</v>
      </c>
      <c r="O52" s="89" t="n">
        <v>1891.8</v>
      </c>
      <c r="P52" s="89" t="n">
        <v>2850.8</v>
      </c>
      <c r="Q52" s="89" t="n">
        <v>7901.2</v>
      </c>
      <c r="R52" s="89" t="n">
        <v>996.6</v>
      </c>
      <c r="S52" s="89" t="n">
        <v>263.9</v>
      </c>
      <c r="T52" s="89" t="n">
        <v>784.8</v>
      </c>
      <c r="U52" s="89" t="n">
        <v>1629.1</v>
      </c>
      <c r="V52" s="89" t="n">
        <v>73.40000000000001</v>
      </c>
      <c r="W52" s="89" t="n">
        <v>13434.7</v>
      </c>
      <c r="X52" s="89" t="n">
        <v>3246.5</v>
      </c>
      <c r="Y52" s="89" t="n">
        <v>1399.3</v>
      </c>
      <c r="Z52" s="89" t="n">
        <v>13434.7</v>
      </c>
      <c r="AA52" s="89" t="n">
        <v>1067.9</v>
      </c>
      <c r="AB52" s="89" t="n">
        <v>2492.6</v>
      </c>
      <c r="AC52" s="89" t="n">
        <v>805</v>
      </c>
      <c r="AD52" s="89" t="n">
        <v>1266.7</v>
      </c>
      <c r="AE52" s="89" t="n">
        <v>2022.1</v>
      </c>
      <c r="AF52" s="89" t="n">
        <v>2850.9</v>
      </c>
      <c r="AG52" s="89" t="n">
        <v>7993.4</v>
      </c>
      <c r="AH52" s="89" t="n">
        <v>2207.4</v>
      </c>
      <c r="AI52" s="89" t="n">
        <v>13434.7</v>
      </c>
      <c r="AJ52" s="89" t="n">
        <v>663.4</v>
      </c>
      <c r="AK52" s="89" t="n">
        <v>1035.4</v>
      </c>
      <c r="AL52" s="89" t="n">
        <v>185.7</v>
      </c>
      <c r="AM52" s="89" t="n">
        <v>230.8</v>
      </c>
      <c r="AN52" s="89" t="n">
        <v>310.9</v>
      </c>
      <c r="AO52" s="89" t="n">
        <v>256.4</v>
      </c>
      <c r="AP52" s="89" t="n">
        <v>1747.3</v>
      </c>
      <c r="AQ52" s="89" t="n">
        <v>1576.3</v>
      </c>
      <c r="AR52" s="89" t="n">
        <v>4924.1</v>
      </c>
      <c r="AS52" s="89" t="n">
        <v>86.09999999999999</v>
      </c>
      <c r="AT52" s="89" t="n">
        <v>185</v>
      </c>
      <c r="AU52" s="89" t="n">
        <v>35.2</v>
      </c>
      <c r="AV52" s="89" t="n">
        <v>670.7</v>
      </c>
      <c r="AW52" s="89" t="n">
        <v>741.9</v>
      </c>
      <c r="AX52" s="89" t="n">
        <v>3035.8</v>
      </c>
      <c r="AY52" s="89" t="n">
        <v>3035.9</v>
      </c>
      <c r="AZ52" s="89" t="n">
        <v>2365.1</v>
      </c>
      <c r="BA52" s="89" t="n">
        <v>534.3</v>
      </c>
      <c r="BB52" s="90" t="inlineStr">
        <is>
          <t>N/A</t>
        </is>
      </c>
      <c r="BC52" s="90" t="inlineStr">
        <is>
          <t>N/A</t>
        </is>
      </c>
      <c r="BD52" s="89" t="n">
        <v>817.9</v>
      </c>
      <c r="BE52" s="89" t="n">
        <v>1629.1</v>
      </c>
      <c r="BF52" s="89" t="n">
        <v>1005.3</v>
      </c>
      <c r="BG52" s="89" t="n">
        <v>257.8</v>
      </c>
      <c r="BH52" s="89" t="n">
        <v>-298.6</v>
      </c>
      <c r="BI52" s="89" t="n">
        <v>-236.9</v>
      </c>
      <c r="BJ52" s="89" t="n">
        <v>731.6</v>
      </c>
      <c r="BK52" s="89" t="n">
        <v>735.6</v>
      </c>
      <c r="BL52" s="90" t="inlineStr">
        <is>
          <t>N/A</t>
        </is>
      </c>
      <c r="BM52" s="90" t="inlineStr">
        <is>
          <t>N/A</t>
        </is>
      </c>
      <c r="BN52" s="89" t="n">
        <v>18.8</v>
      </c>
      <c r="BO52" s="89" t="n">
        <v>10214.3</v>
      </c>
      <c r="BP52" s="89" t="n">
        <v>9898.700000000001</v>
      </c>
      <c r="BQ52" s="89" t="n">
        <v>0</v>
      </c>
      <c r="BR52" s="89" t="n">
        <v>0</v>
      </c>
      <c r="BS52" s="89" t="n">
        <v>0</v>
      </c>
      <c r="BT52" s="89" t="n">
        <v>0</v>
      </c>
      <c r="BU52" s="89" t="n">
        <v>0</v>
      </c>
      <c r="BV52" s="89" t="n">
        <v>0</v>
      </c>
      <c r="BW52" s="89" t="n">
        <v>0</v>
      </c>
      <c r="BX52" s="89" t="n">
        <v>0</v>
      </c>
      <c r="BY52" s="89" t="n">
        <v>0</v>
      </c>
    </row>
    <row r="53" ht="17" customHeight="1">
      <c r="A53" s="82" t="n">
        <v>51</v>
      </c>
      <c r="B53" s="83" t="inlineStr">
        <is>
          <t>BMRN</t>
        </is>
      </c>
      <c r="C53" s="84" t="inlineStr">
        <is>
          <t>BioMarin Pharmaceutical Inc</t>
        </is>
      </c>
      <c r="D53" s="82" t="inlineStr">
        <is>
          <t>Health Care</t>
        </is>
      </c>
      <c r="E53" s="82" t="n">
        <v>2026</v>
      </c>
      <c r="F53" s="85" t="n">
        <v>7594</v>
      </c>
      <c r="G53" s="85" t="n">
        <v>3953.5</v>
      </c>
      <c r="H53" s="85" t="n">
        <v>759</v>
      </c>
      <c r="I53" s="85" t="n">
        <v>1507</v>
      </c>
      <c r="J53" s="85" t="n">
        <v>154.2</v>
      </c>
      <c r="K53" s="85" t="n">
        <v>409.5</v>
      </c>
      <c r="L53" s="85" t="n">
        <v>1313.6</v>
      </c>
      <c r="M53" s="85" t="n">
        <v>348.9</v>
      </c>
      <c r="N53" s="85" t="n">
        <v>828</v>
      </c>
      <c r="O53" s="85" t="n">
        <v>596.2</v>
      </c>
      <c r="P53" s="91" t="inlineStr">
        <is>
          <t>N/A</t>
        </is>
      </c>
      <c r="Q53" s="85" t="n">
        <v>6087</v>
      </c>
      <c r="R53" s="85" t="n">
        <v>1153</v>
      </c>
      <c r="S53" s="85" t="n">
        <v>56.7</v>
      </c>
      <c r="T53" s="85" t="n">
        <v>908.2</v>
      </c>
      <c r="U53" s="85" t="n">
        <v>952.5</v>
      </c>
      <c r="V53" s="85" t="n">
        <v>17.3</v>
      </c>
      <c r="W53" s="85" t="n">
        <v>6988.9</v>
      </c>
      <c r="X53" s="85" t="n">
        <v>3232.4</v>
      </c>
      <c r="Y53" s="85" t="n">
        <v>607</v>
      </c>
      <c r="Z53" s="85" t="n">
        <v>1331</v>
      </c>
      <c r="AA53" s="85" t="n">
        <v>484.2</v>
      </c>
      <c r="AB53" s="85" t="n">
        <v>1116.9</v>
      </c>
      <c r="AC53" s="85" t="n">
        <v>426.9</v>
      </c>
      <c r="AD53" s="85" t="n">
        <v>572.8</v>
      </c>
      <c r="AE53" s="85" t="n">
        <v>536.6</v>
      </c>
      <c r="AF53" s="91" t="inlineStr">
        <is>
          <t>N/A</t>
        </is>
      </c>
      <c r="AG53" s="85" t="n">
        <v>5658</v>
      </c>
      <c r="AH53" s="85" t="n">
        <v>1116.9</v>
      </c>
      <c r="AI53" s="85" t="n">
        <v>6988.9</v>
      </c>
      <c r="AJ53" s="85" t="n">
        <v>482.5</v>
      </c>
      <c r="AK53" s="85" t="n">
        <v>541.8</v>
      </c>
      <c r="AL53" s="85" t="n">
        <v>133.6</v>
      </c>
      <c r="AM53" s="85" t="n">
        <v>114.9</v>
      </c>
      <c r="AN53" s="85" t="n">
        <v>103</v>
      </c>
      <c r="AO53" s="85" t="n">
        <v>85.40000000000001</v>
      </c>
      <c r="AP53" s="85" t="n">
        <v>1298.9</v>
      </c>
      <c r="AQ53" s="85" t="n">
        <v>1232.7</v>
      </c>
      <c r="AR53" s="85" t="n">
        <v>196.2</v>
      </c>
      <c r="AS53" s="85" t="n">
        <v>213.8</v>
      </c>
      <c r="AT53" s="91" t="inlineStr">
        <is>
          <t>N/A</t>
        </is>
      </c>
      <c r="AU53" s="85" t="n">
        <v>921.9</v>
      </c>
      <c r="AV53" s="85" t="n">
        <v>1311.7</v>
      </c>
      <c r="AW53" s="85" t="n">
        <v>942.8</v>
      </c>
      <c r="AX53" s="91" t="inlineStr">
        <is>
          <t>N/A</t>
        </is>
      </c>
      <c r="AY53" s="91" t="inlineStr">
        <is>
          <t>N/A</t>
        </is>
      </c>
      <c r="AZ53" s="91" t="inlineStr">
        <is>
          <t>N/A</t>
        </is>
      </c>
      <c r="BA53" s="85" t="n">
        <v>725</v>
      </c>
      <c r="BB53" s="85" t="n">
        <v>192.3</v>
      </c>
      <c r="BC53" s="85" t="n">
        <v>190.8</v>
      </c>
      <c r="BD53" s="85" t="n">
        <v>660.5</v>
      </c>
      <c r="BE53" s="85" t="n">
        <v>1043</v>
      </c>
      <c r="BF53" s="85" t="n">
        <v>1009</v>
      </c>
      <c r="BG53" s="85" t="n">
        <v>47.3</v>
      </c>
      <c r="BH53" s="85" t="n">
        <v>-414.2</v>
      </c>
      <c r="BI53" s="85" t="n">
        <v>136.5</v>
      </c>
      <c r="BJ53" s="85" t="n">
        <v>32.8</v>
      </c>
      <c r="BK53" s="85" t="n">
        <v>36.9</v>
      </c>
      <c r="BL53" s="85" t="n">
        <v>0.2</v>
      </c>
      <c r="BM53" s="85" t="n">
        <v>0.1</v>
      </c>
      <c r="BN53" s="85" t="n">
        <v>3.7</v>
      </c>
      <c r="BO53" s="85" t="n">
        <v>717.4</v>
      </c>
      <c r="BP53" s="85" t="n">
        <v>580.2</v>
      </c>
      <c r="BQ53" s="85" t="n">
        <v>0</v>
      </c>
      <c r="BR53" s="85" t="n">
        <v>0</v>
      </c>
      <c r="BS53" s="85" t="n">
        <v>0</v>
      </c>
      <c r="BT53" s="85" t="n">
        <v>0</v>
      </c>
      <c r="BU53" s="85" t="n">
        <v>0</v>
      </c>
      <c r="BV53" s="85" t="n">
        <v>0</v>
      </c>
      <c r="BW53" s="85" t="n">
        <v>0</v>
      </c>
      <c r="BX53" s="85" t="n">
        <v>0</v>
      </c>
      <c r="BY53" s="85" t="n">
        <v>0</v>
      </c>
    </row>
    <row r="54" ht="17" customHeight="1">
      <c r="A54" s="86" t="n">
        <v>52</v>
      </c>
      <c r="B54" s="87" t="inlineStr">
        <is>
          <t>AMAT</t>
        </is>
      </c>
      <c r="C54" s="88" t="inlineStr">
        <is>
          <t>APPLIED MATERIALS INC /DE</t>
        </is>
      </c>
      <c r="D54" s="86" t="inlineStr">
        <is>
          <t>Information Technology</t>
        </is>
      </c>
      <c r="E54" s="86" t="n">
        <v>2026</v>
      </c>
      <c r="F54" s="89" t="n">
        <v>36299</v>
      </c>
      <c r="G54" s="89" t="n">
        <v>20881</v>
      </c>
      <c r="H54" s="89" t="n">
        <v>7999</v>
      </c>
      <c r="I54" s="89" t="n">
        <v>15884</v>
      </c>
      <c r="J54" s="89" t="n">
        <v>55227</v>
      </c>
      <c r="K54" s="89" t="n">
        <v>8289</v>
      </c>
      <c r="L54" s="89" t="n">
        <v>14608</v>
      </c>
      <c r="M54" s="89" t="n">
        <v>6998</v>
      </c>
      <c r="N54" s="89" t="n">
        <v>7958</v>
      </c>
      <c r="O54" s="89" t="n">
        <v>13808</v>
      </c>
      <c r="P54" s="89" t="n">
        <v>5448</v>
      </c>
      <c r="Q54" s="89" t="n">
        <v>20415</v>
      </c>
      <c r="R54" s="89" t="n">
        <v>1768</v>
      </c>
      <c r="S54" s="89" t="n">
        <v>435</v>
      </c>
      <c r="T54" s="89" t="n">
        <v>5185</v>
      </c>
      <c r="U54" s="89" t="n">
        <v>4610</v>
      </c>
      <c r="V54" s="89" t="n">
        <v>238</v>
      </c>
      <c r="W54" s="89" t="n">
        <v>34409</v>
      </c>
      <c r="X54" s="89" t="n">
        <v>21220</v>
      </c>
      <c r="Y54" s="89" t="n">
        <v>8468</v>
      </c>
      <c r="Z54" s="89" t="n">
        <v>15408</v>
      </c>
      <c r="AA54" s="89" t="n">
        <v>7867</v>
      </c>
      <c r="AB54" s="89" t="n">
        <v>3754</v>
      </c>
      <c r="AC54" s="89" t="n">
        <v>7177</v>
      </c>
      <c r="AD54" s="89" t="n">
        <v>8677</v>
      </c>
      <c r="AE54" s="89" t="n">
        <v>12897</v>
      </c>
      <c r="AF54" s="89" t="n">
        <v>5313</v>
      </c>
      <c r="AG54" s="89" t="n">
        <v>19001</v>
      </c>
      <c r="AH54" s="89" t="n">
        <v>3562</v>
      </c>
      <c r="AI54" s="89" t="n">
        <v>34409</v>
      </c>
      <c r="AJ54" s="89" t="n">
        <v>9271</v>
      </c>
      <c r="AK54" s="89" t="n">
        <v>8152</v>
      </c>
      <c r="AL54" s="89" t="n">
        <v>2273</v>
      </c>
      <c r="AM54" s="89" t="n">
        <v>975</v>
      </c>
      <c r="AN54" s="89" t="n">
        <v>2260</v>
      </c>
      <c r="AO54" s="89" t="n">
        <v>1190</v>
      </c>
      <c r="AP54" s="89" t="n">
        <v>5915</v>
      </c>
      <c r="AQ54" s="89" t="n">
        <v>5421</v>
      </c>
      <c r="AR54" s="89" t="n">
        <v>3707</v>
      </c>
      <c r="AS54" s="89" t="n">
        <v>294</v>
      </c>
      <c r="AT54" s="89" t="n">
        <v>100</v>
      </c>
      <c r="AU54" s="89" t="n">
        <v>3570</v>
      </c>
      <c r="AV54" s="89" t="n">
        <v>7241</v>
      </c>
      <c r="AW54" s="89" t="n">
        <v>8022</v>
      </c>
      <c r="AX54" s="89" t="n">
        <v>5548</v>
      </c>
      <c r="AY54" s="89" t="n">
        <v>6112</v>
      </c>
      <c r="AZ54" s="89" t="n">
        <v>-1693</v>
      </c>
      <c r="BA54" s="89" t="n">
        <v>5698</v>
      </c>
      <c r="BB54" s="89" t="n">
        <v>793</v>
      </c>
      <c r="BC54" s="89" t="n">
        <v>818</v>
      </c>
      <c r="BD54" s="89" t="n">
        <v>5234</v>
      </c>
      <c r="BE54" s="89" t="n">
        <v>3339</v>
      </c>
      <c r="BF54" s="89" t="n">
        <v>1797</v>
      </c>
      <c r="BG54" s="89" t="n">
        <v>392</v>
      </c>
      <c r="BH54" s="89" t="n">
        <v>-2782</v>
      </c>
      <c r="BI54" s="89" t="n">
        <v>-2327</v>
      </c>
      <c r="BJ54" s="89" t="n">
        <v>1978</v>
      </c>
      <c r="BK54" s="89" t="n">
        <v>1570</v>
      </c>
      <c r="BL54" s="89" t="n">
        <v>903</v>
      </c>
      <c r="BM54" s="89" t="n">
        <v>1284</v>
      </c>
      <c r="BN54" s="89" t="n">
        <v>380</v>
      </c>
      <c r="BO54" s="89" t="n">
        <v>14560</v>
      </c>
      <c r="BP54" s="89" t="n">
        <v>14279</v>
      </c>
      <c r="BQ54" s="89" t="n">
        <v>0</v>
      </c>
      <c r="BR54" s="89" t="n">
        <v>0</v>
      </c>
      <c r="BS54" s="89" t="n">
        <v>0</v>
      </c>
      <c r="BT54" s="89" t="n">
        <v>0</v>
      </c>
      <c r="BU54" s="89" t="n">
        <v>0</v>
      </c>
      <c r="BV54" s="89" t="n">
        <v>0</v>
      </c>
      <c r="BW54" s="89" t="n">
        <v>0</v>
      </c>
      <c r="BX54" s="89" t="n">
        <v>0</v>
      </c>
      <c r="BY54" s="89" t="n">
        <v>0</v>
      </c>
    </row>
    <row r="55" ht="17" customHeight="1">
      <c r="A55" s="82" t="n">
        <v>53</v>
      </c>
      <c r="B55" s="83" t="inlineStr">
        <is>
          <t>PCG</t>
        </is>
      </c>
      <c r="C55" s="84" t="inlineStr">
        <is>
          <t>PG&amp;E CORP</t>
        </is>
      </c>
      <c r="D55" s="82" t="inlineStr">
        <is>
          <t>Utilities</t>
        </is>
      </c>
      <c r="E55" s="82" t="n">
        <v>2026</v>
      </c>
      <c r="F55" s="85" t="n">
        <v>141611</v>
      </c>
      <c r="G55" s="85" t="n">
        <v>15830</v>
      </c>
      <c r="H55" s="85" t="n">
        <v>16300</v>
      </c>
      <c r="I55" s="85" t="n">
        <v>141611</v>
      </c>
      <c r="J55" s="85" t="n">
        <v>-650</v>
      </c>
      <c r="K55" s="85" t="n">
        <v>4749</v>
      </c>
      <c r="L55" s="85" t="n">
        <v>24935</v>
      </c>
      <c r="M55" s="85" t="n">
        <v>1220</v>
      </c>
      <c r="N55" s="85" t="n">
        <v>8716</v>
      </c>
      <c r="O55" s="91" t="inlineStr">
        <is>
          <t>N/A</t>
        </is>
      </c>
      <c r="P55" s="85" t="n">
        <v>57387</v>
      </c>
      <c r="Q55" s="85" t="n">
        <v>32540</v>
      </c>
      <c r="R55" s="91" t="inlineStr">
        <is>
          <t>N/A</t>
        </is>
      </c>
      <c r="S55" s="85" t="n">
        <v>120</v>
      </c>
      <c r="T55" s="85" t="n">
        <v>2267</v>
      </c>
      <c r="U55" s="85" t="n">
        <v>66136</v>
      </c>
      <c r="V55" s="85" t="n">
        <v>2850</v>
      </c>
      <c r="W55" s="85" t="n">
        <v>133660</v>
      </c>
      <c r="X55" s="85" t="n">
        <v>17216</v>
      </c>
      <c r="Y55" s="85" t="n">
        <v>16330</v>
      </c>
      <c r="Z55" s="85" t="n">
        <v>133660</v>
      </c>
      <c r="AA55" s="85" t="n">
        <v>4459</v>
      </c>
      <c r="AB55" s="85" t="n">
        <v>24419</v>
      </c>
      <c r="AC55" s="85" t="n">
        <v>1338</v>
      </c>
      <c r="AD55" s="85" t="n">
        <v>8035</v>
      </c>
      <c r="AE55" s="91" t="inlineStr">
        <is>
          <t>N/A</t>
        </is>
      </c>
      <c r="AF55" s="85" t="n">
        <v>53569</v>
      </c>
      <c r="AG55" s="85" t="n">
        <v>30149</v>
      </c>
      <c r="AH55" s="85" t="n">
        <v>24419</v>
      </c>
      <c r="AI55" s="85" t="n">
        <v>133660</v>
      </c>
      <c r="AJ55" s="85" t="n">
        <v>2423</v>
      </c>
      <c r="AK55" s="85" t="n">
        <v>2312</v>
      </c>
      <c r="AL55" s="85" t="n">
        <v>-280</v>
      </c>
      <c r="AM55" s="85" t="n">
        <v>-200</v>
      </c>
      <c r="AN55" s="85" t="n">
        <v>11787</v>
      </c>
      <c r="AO55" s="85" t="n">
        <v>10369</v>
      </c>
      <c r="AP55" s="85" t="n">
        <v>75</v>
      </c>
      <c r="AQ55" s="85" t="n">
        <v>52</v>
      </c>
      <c r="AR55" s="91" t="inlineStr">
        <is>
          <t>N/A</t>
        </is>
      </c>
      <c r="AS55" s="85" t="n">
        <v>3</v>
      </c>
      <c r="AT55" s="85" t="n">
        <v>2675</v>
      </c>
      <c r="AU55" s="91" t="inlineStr">
        <is>
          <t>N/A</t>
        </is>
      </c>
      <c r="AV55" s="85" t="n">
        <v>713</v>
      </c>
      <c r="AW55" s="85" t="n">
        <v>940</v>
      </c>
      <c r="AX55" s="85" t="n">
        <v>60062</v>
      </c>
      <c r="AY55" s="85" t="n">
        <v>55092</v>
      </c>
      <c r="AZ55" s="85" t="n">
        <v>59349</v>
      </c>
      <c r="BA55" s="85" t="n">
        <v>-3071</v>
      </c>
      <c r="BB55" s="85" t="n">
        <v>2197.9</v>
      </c>
      <c r="BC55" s="85" t="n">
        <v>2193.6</v>
      </c>
      <c r="BD55" s="85" t="n">
        <v>2220</v>
      </c>
      <c r="BE55" s="85" t="n">
        <v>61635</v>
      </c>
      <c r="BF55" s="91" t="inlineStr">
        <is>
          <t>N/A</t>
        </is>
      </c>
      <c r="BG55" s="85" t="n">
        <v>172</v>
      </c>
      <c r="BH55" s="85" t="n">
        <v>-12316</v>
      </c>
      <c r="BI55" s="85" t="n">
        <v>-11375</v>
      </c>
      <c r="BJ55" s="85" t="n">
        <v>1975</v>
      </c>
      <c r="BK55" s="85" t="n">
        <v>1646</v>
      </c>
      <c r="BL55" s="91" t="inlineStr">
        <is>
          <t>N/A</t>
        </is>
      </c>
      <c r="BM55" s="91" t="inlineStr">
        <is>
          <t>N/A</t>
        </is>
      </c>
      <c r="BN55" s="85" t="n">
        <v>6</v>
      </c>
      <c r="BO55" s="91" t="inlineStr">
        <is>
          <t>N/A</t>
        </is>
      </c>
      <c r="BP55" s="91" t="inlineStr">
        <is>
          <t>N/A</t>
        </is>
      </c>
      <c r="BQ55" s="85" t="n">
        <v>0</v>
      </c>
      <c r="BR55" s="85" t="n">
        <v>0</v>
      </c>
      <c r="BS55" s="91" t="inlineStr">
        <is>
          <t>N/A</t>
        </is>
      </c>
      <c r="BT55" s="91" t="inlineStr">
        <is>
          <t>N/A</t>
        </is>
      </c>
      <c r="BU55" s="91" t="inlineStr">
        <is>
          <t>N/A</t>
        </is>
      </c>
      <c r="BV55" s="91" t="inlineStr">
        <is>
          <t>N/A</t>
        </is>
      </c>
      <c r="BW55" s="85" t="n">
        <v>0</v>
      </c>
      <c r="BX55" s="85" t="n">
        <v>0</v>
      </c>
      <c r="BY55" s="85" t="n">
        <v>-0</v>
      </c>
    </row>
    <row r="56" ht="17" customHeight="1">
      <c r="A56" s="86" t="n">
        <v>54</v>
      </c>
      <c r="B56" s="87" t="inlineStr">
        <is>
          <t>RS</t>
        </is>
      </c>
      <c r="C56" s="88" t="inlineStr">
        <is>
          <t>RELIANCE, INC.</t>
        </is>
      </c>
      <c r="D56" s="86" t="inlineStr">
        <is>
          <t>Materials</t>
        </is>
      </c>
      <c r="E56" s="86" t="n">
        <v>2026</v>
      </c>
      <c r="F56" s="89" t="n">
        <v>10373.3</v>
      </c>
      <c r="G56" s="89" t="n">
        <v>4141.1</v>
      </c>
      <c r="H56" s="89" t="n">
        <v>848.1</v>
      </c>
      <c r="I56" s="89" t="n">
        <v>3193.8</v>
      </c>
      <c r="J56" s="89" t="n">
        <v>7257.6</v>
      </c>
      <c r="K56" s="89" t="n">
        <v>1012.7</v>
      </c>
      <c r="L56" s="89" t="n">
        <v>14805.9</v>
      </c>
      <c r="M56" s="89" t="n">
        <v>739.4</v>
      </c>
      <c r="N56" s="89" t="n">
        <v>831.4</v>
      </c>
      <c r="O56" s="89" t="n">
        <v>703.6</v>
      </c>
      <c r="P56" s="89" t="n">
        <v>1942.1</v>
      </c>
      <c r="Q56" s="89" t="n">
        <v>7170.1</v>
      </c>
      <c r="R56" s="89" t="n">
        <v>2806.7</v>
      </c>
      <c r="S56" s="89" t="n">
        <v>278.2</v>
      </c>
      <c r="T56" s="89" t="n">
        <v>1539.9</v>
      </c>
      <c r="U56" s="89" t="n">
        <v>2633.3</v>
      </c>
      <c r="V56" s="89" t="n">
        <v>40.1</v>
      </c>
      <c r="W56" s="89" t="n">
        <v>10021.8</v>
      </c>
      <c r="X56" s="89" t="n">
        <v>3895.5</v>
      </c>
      <c r="Y56" s="89" t="n">
        <v>1213</v>
      </c>
      <c r="Z56" s="89" t="n">
        <v>2791.2</v>
      </c>
      <c r="AA56" s="89" t="n">
        <v>1160</v>
      </c>
      <c r="AB56" s="89" t="n">
        <v>17025</v>
      </c>
      <c r="AC56" s="89" t="n">
        <v>875.2</v>
      </c>
      <c r="AD56" s="89" t="n">
        <v>1429.8</v>
      </c>
      <c r="AE56" s="89" t="n">
        <v>676.1</v>
      </c>
      <c r="AF56" s="89" t="n">
        <v>2319.1</v>
      </c>
      <c r="AG56" s="89" t="n">
        <v>7219.6</v>
      </c>
      <c r="AH56" s="89" t="n">
        <v>17025</v>
      </c>
      <c r="AI56" s="89" t="n">
        <v>10021.8</v>
      </c>
      <c r="AJ56" s="89" t="n">
        <v>969.2</v>
      </c>
      <c r="AK56" s="89" t="n">
        <v>1139.9</v>
      </c>
      <c r="AL56" s="89" t="n">
        <v>227.6</v>
      </c>
      <c r="AM56" s="89" t="n">
        <v>261.9</v>
      </c>
      <c r="AN56" s="89" t="n">
        <v>328.9</v>
      </c>
      <c r="AO56" s="89" t="n">
        <v>430.6</v>
      </c>
      <c r="AP56" s="89" t="n">
        <v>2187.8</v>
      </c>
      <c r="AQ56" s="89" t="n">
        <v>2026.8</v>
      </c>
      <c r="AR56" s="89" t="n">
        <v>2169.9</v>
      </c>
      <c r="AS56" s="89" t="n">
        <v>169.3</v>
      </c>
      <c r="AT56" s="89" t="n">
        <v>65.2</v>
      </c>
      <c r="AU56" s="90" t="inlineStr">
        <is>
          <t>N/A</t>
        </is>
      </c>
      <c r="AV56" s="89" t="n">
        <v>216.6</v>
      </c>
      <c r="AW56" s="89" t="n">
        <v>318.1</v>
      </c>
      <c r="AX56" s="89" t="n">
        <v>2007.3</v>
      </c>
      <c r="AY56" s="89" t="n">
        <v>2411.1</v>
      </c>
      <c r="AZ56" s="89" t="n">
        <v>1790.7</v>
      </c>
      <c r="BA56" s="89" t="n">
        <v>502.5</v>
      </c>
      <c r="BB56" s="89" t="n">
        <v>51.7</v>
      </c>
      <c r="BC56" s="89" t="n">
        <v>53.7</v>
      </c>
      <c r="BD56" s="89" t="n">
        <v>1342</v>
      </c>
      <c r="BE56" s="89" t="n">
        <v>2544.9</v>
      </c>
      <c r="BF56" s="89" t="n">
        <v>2666.2</v>
      </c>
      <c r="BG56" s="89" t="n">
        <v>268.7</v>
      </c>
      <c r="BH56" s="89" t="n">
        <v>-321.8</v>
      </c>
      <c r="BI56" s="89" t="n">
        <v>-803.7</v>
      </c>
      <c r="BJ56" s="89" t="n">
        <v>375.2</v>
      </c>
      <c r="BK56" s="89" t="n">
        <v>361.9</v>
      </c>
      <c r="BL56" s="90" t="inlineStr">
        <is>
          <t>N/A</t>
        </is>
      </c>
      <c r="BM56" s="90" t="inlineStr">
        <is>
          <t>N/A</t>
        </is>
      </c>
      <c r="BN56" s="89" t="n">
        <v>64.3</v>
      </c>
      <c r="BO56" s="89" t="n">
        <v>8253</v>
      </c>
      <c r="BP56" s="89" t="n">
        <v>2104.2</v>
      </c>
      <c r="BQ56" s="89" t="n">
        <v>0</v>
      </c>
      <c r="BR56" s="89" t="n">
        <v>0</v>
      </c>
      <c r="BS56" s="89" t="n">
        <v>0</v>
      </c>
      <c r="BT56" s="89" t="n">
        <v>0</v>
      </c>
      <c r="BU56" s="89" t="n">
        <v>0</v>
      </c>
      <c r="BV56" s="89" t="n">
        <v>0</v>
      </c>
      <c r="BW56" s="89" t="n">
        <v>0</v>
      </c>
      <c r="BX56" s="89" t="n">
        <v>0</v>
      </c>
      <c r="BY56" s="89" t="n">
        <v>0</v>
      </c>
    </row>
    <row r="57" ht="17" customHeight="1">
      <c r="A57" s="82" t="n">
        <v>55</v>
      </c>
      <c r="B57" s="83" t="inlineStr">
        <is>
          <t>MKC</t>
        </is>
      </c>
      <c r="C57" s="84" t="inlineStr">
        <is>
          <t>McCORMICK &amp; COMPANY, INCORPORATED</t>
        </is>
      </c>
      <c r="D57" s="82" t="inlineStr">
        <is>
          <t>Consumer Staples</t>
        </is>
      </c>
      <c r="E57" s="82" t="n">
        <v>2026</v>
      </c>
      <c r="F57" s="85" t="n">
        <v>13200.4</v>
      </c>
      <c r="G57" s="85" t="n">
        <v>2138.1</v>
      </c>
      <c r="H57" s="85" t="n">
        <v>3062.2</v>
      </c>
      <c r="I57" s="85" t="n">
        <v>7432.3</v>
      </c>
      <c r="J57" s="85" t="n">
        <v>3816.4</v>
      </c>
      <c r="K57" s="85" t="n">
        <v>1070.8</v>
      </c>
      <c r="L57" s="85" t="n">
        <v>6840.3</v>
      </c>
      <c r="M57" s="85" t="n">
        <v>789.4</v>
      </c>
      <c r="N57" s="85" t="n">
        <v>962.2</v>
      </c>
      <c r="O57" s="85" t="n">
        <v>2592.2</v>
      </c>
      <c r="P57" s="85" t="n">
        <v>3614.9</v>
      </c>
      <c r="Q57" s="85" t="n">
        <v>5736.5</v>
      </c>
      <c r="R57" s="85" t="n">
        <v>1500.3</v>
      </c>
      <c r="S57" s="85" t="n">
        <v>102.8</v>
      </c>
      <c r="T57" s="85" t="n">
        <v>628.9</v>
      </c>
      <c r="U57" s="85" t="n">
        <v>1448.8</v>
      </c>
      <c r="V57" s="85" t="n">
        <v>196.2</v>
      </c>
      <c r="W57" s="85" t="n">
        <v>13070.3</v>
      </c>
      <c r="X57" s="85" t="n">
        <v>2139</v>
      </c>
      <c r="Y57" s="85" t="n">
        <v>2882.8</v>
      </c>
      <c r="Z57" s="85" t="n">
        <v>7753.5</v>
      </c>
      <c r="AA57" s="85" t="n">
        <v>1060.3</v>
      </c>
      <c r="AB57" s="85" t="n">
        <v>6723.7</v>
      </c>
      <c r="AC57" s="85" t="n">
        <v>788.5</v>
      </c>
      <c r="AD57" s="85" t="n">
        <v>921.9</v>
      </c>
      <c r="AE57" s="85" t="n">
        <v>2591</v>
      </c>
      <c r="AF57" s="85" t="n">
        <v>3858.8</v>
      </c>
      <c r="AG57" s="85" t="n">
        <v>5291</v>
      </c>
      <c r="AH57" s="85" t="n">
        <v>6723.7</v>
      </c>
      <c r="AI57" s="85" t="n">
        <v>13070.3</v>
      </c>
      <c r="AJ57" s="85" t="n">
        <v>620.4</v>
      </c>
      <c r="AK57" s="91" t="inlineStr">
        <is>
          <t>N/A</t>
        </is>
      </c>
      <c r="AL57" s="85" t="n">
        <v>195.8</v>
      </c>
      <c r="AM57" s="85" t="n">
        <v>184</v>
      </c>
      <c r="AN57" s="85" t="n">
        <v>262</v>
      </c>
      <c r="AO57" s="85" t="n">
        <v>278</v>
      </c>
      <c r="AP57" s="85" t="n">
        <v>1272</v>
      </c>
      <c r="AQ57" s="85" t="n">
        <v>1239.9</v>
      </c>
      <c r="AR57" s="85" t="n">
        <v>5301.3</v>
      </c>
      <c r="AS57" s="85" t="n">
        <v>3293.1</v>
      </c>
      <c r="AT57" s="85" t="n">
        <v>381.4</v>
      </c>
      <c r="AU57" s="85" t="n">
        <v>106.1</v>
      </c>
      <c r="AV57" s="85" t="n">
        <v>95.90000000000001</v>
      </c>
      <c r="AW57" s="85" t="n">
        <v>186.1</v>
      </c>
      <c r="AX57" s="85" t="n">
        <v>3996.3</v>
      </c>
      <c r="AY57" s="85" t="n">
        <v>4341.9</v>
      </c>
      <c r="AZ57" s="85" t="n">
        <v>3900.4</v>
      </c>
      <c r="BA57" s="85" t="n">
        <v>700.2</v>
      </c>
      <c r="BB57" s="91" t="inlineStr">
        <is>
          <t>N/A</t>
        </is>
      </c>
      <c r="BC57" s="91" t="inlineStr">
        <is>
          <t>N/A</t>
        </is>
      </c>
      <c r="BD57" s="85" t="n">
        <v>587.4</v>
      </c>
      <c r="BE57" s="85" t="n">
        <v>1413</v>
      </c>
      <c r="BF57" s="85" t="n">
        <v>1521.2</v>
      </c>
      <c r="BG57" s="85" t="n">
        <v>98.3</v>
      </c>
      <c r="BH57" s="85" t="n">
        <v>-255.2</v>
      </c>
      <c r="BI57" s="85" t="n">
        <v>-269</v>
      </c>
      <c r="BJ57" s="91" t="inlineStr">
        <is>
          <t>N/A</t>
        </is>
      </c>
      <c r="BK57" s="91" t="inlineStr">
        <is>
          <t>N/A</t>
        </is>
      </c>
      <c r="BL57" s="91" t="inlineStr">
        <is>
          <t>N/A</t>
        </is>
      </c>
      <c r="BM57" s="91" t="inlineStr">
        <is>
          <t>N/A</t>
        </is>
      </c>
      <c r="BN57" s="91" t="inlineStr">
        <is>
          <t>N/A</t>
        </is>
      </c>
      <c r="BO57" s="85" t="n">
        <v>4248.1</v>
      </c>
      <c r="BP57" s="85" t="n">
        <v>4132.7</v>
      </c>
      <c r="BQ57" s="85" t="n">
        <v>0</v>
      </c>
      <c r="BR57" s="85" t="n">
        <v>0</v>
      </c>
      <c r="BS57" s="85" t="n">
        <v>0</v>
      </c>
      <c r="BT57" s="85" t="n">
        <v>0</v>
      </c>
      <c r="BU57" s="85" t="n">
        <v>0</v>
      </c>
      <c r="BV57" s="91" t="inlineStr">
        <is>
          <t>N/A</t>
        </is>
      </c>
      <c r="BW57" s="85" t="n">
        <v>0</v>
      </c>
      <c r="BX57" s="85" t="n">
        <v>0</v>
      </c>
      <c r="BY57" s="85" t="n">
        <v>0</v>
      </c>
    </row>
    <row r="58" ht="17" customHeight="1">
      <c r="A58" s="86" t="n">
        <v>56</v>
      </c>
      <c r="B58" s="87" t="inlineStr">
        <is>
          <t>JKHY</t>
        </is>
      </c>
      <c r="C58" s="88" t="inlineStr">
        <is>
          <t>JACK HENRY &amp; ASSOCIATES, INC.</t>
        </is>
      </c>
      <c r="D58" s="86" t="inlineStr">
        <is>
          <t>Information Technology</t>
        </is>
      </c>
      <c r="E58" s="86" t="n">
        <v>2026</v>
      </c>
      <c r="F58" s="89" t="n">
        <v>3044</v>
      </c>
      <c r="G58" s="89" t="n">
        <v>681.5</v>
      </c>
      <c r="H58" s="89" t="n">
        <v>535.8</v>
      </c>
      <c r="I58" s="89" t="n">
        <v>913.1</v>
      </c>
      <c r="J58" s="89" t="n">
        <v>3372.8</v>
      </c>
      <c r="K58" s="89" t="n">
        <v>568.7</v>
      </c>
      <c r="L58" s="89" t="n">
        <v>1536.6</v>
      </c>
      <c r="M58" s="89" t="n">
        <v>455.7</v>
      </c>
      <c r="N58" s="89" t="n">
        <v>641.5</v>
      </c>
      <c r="O58" s="89" t="n">
        <v>612.1</v>
      </c>
      <c r="P58" s="90" t="inlineStr">
        <is>
          <t>N/A</t>
        </is>
      </c>
      <c r="Q58" s="89" t="n">
        <v>2130.8</v>
      </c>
      <c r="R58" s="89" t="n">
        <v>283.1</v>
      </c>
      <c r="S58" s="89" t="n">
        <v>43.7</v>
      </c>
      <c r="T58" s="89" t="n">
        <v>318</v>
      </c>
      <c r="U58" s="89" t="n">
        <v>221</v>
      </c>
      <c r="V58" s="89" t="n">
        <v>15.1</v>
      </c>
      <c r="W58" s="89" t="n">
        <v>2924.5</v>
      </c>
      <c r="X58" s="89" t="n">
        <v>632</v>
      </c>
      <c r="Y58" s="89" t="n">
        <v>633.8</v>
      </c>
      <c r="Z58" s="89" t="n">
        <v>1082.1</v>
      </c>
      <c r="AA58" s="89" t="n">
        <v>489.4</v>
      </c>
      <c r="AB58" s="89" t="n">
        <v>417.2</v>
      </c>
      <c r="AC58" s="89" t="n">
        <v>381.8</v>
      </c>
      <c r="AD58" s="89" t="n">
        <v>568</v>
      </c>
      <c r="AE58" s="89" t="n">
        <v>164.4</v>
      </c>
      <c r="AF58" s="89" t="n">
        <v>60</v>
      </c>
      <c r="AG58" s="89" t="n">
        <v>1842.4</v>
      </c>
      <c r="AH58" s="89" t="n">
        <v>384.7</v>
      </c>
      <c r="AI58" s="89" t="n">
        <v>2924.5</v>
      </c>
      <c r="AJ58" s="89" t="n">
        <v>586</v>
      </c>
      <c r="AK58" s="89" t="n">
        <v>498</v>
      </c>
      <c r="AL58" s="89" t="n">
        <v>130.3</v>
      </c>
      <c r="AM58" s="89" t="n">
        <v>116.2</v>
      </c>
      <c r="AN58" s="89" t="n">
        <v>53.4</v>
      </c>
      <c r="AO58" s="89" t="n">
        <v>58.1</v>
      </c>
      <c r="AP58" s="90" t="inlineStr">
        <is>
          <t>N/A</t>
        </is>
      </c>
      <c r="AQ58" s="90" t="inlineStr">
        <is>
          <t>N/A</t>
        </is>
      </c>
      <c r="AR58" s="89" t="n">
        <v>804.8</v>
      </c>
      <c r="AS58" s="89" t="n">
        <v>122.2</v>
      </c>
      <c r="AT58" s="90" t="inlineStr">
        <is>
          <t>N/A</t>
        </is>
      </c>
      <c r="AU58" s="89" t="n">
        <v>162.8</v>
      </c>
      <c r="AV58" s="89" t="n">
        <v>51</v>
      </c>
      <c r="AW58" s="89" t="n">
        <v>213.3</v>
      </c>
      <c r="AX58" s="90" t="inlineStr">
        <is>
          <t>N/A</t>
        </is>
      </c>
      <c r="AY58" s="89" t="n">
        <v>60</v>
      </c>
      <c r="AZ58" s="89" t="n">
        <v>-51</v>
      </c>
      <c r="BA58" s="89" t="n">
        <v>588.1</v>
      </c>
      <c r="BB58" s="89" t="n">
        <v>104.4</v>
      </c>
      <c r="BC58" s="89" t="n">
        <v>104.2</v>
      </c>
      <c r="BD58" s="89" t="n">
        <v>333</v>
      </c>
      <c r="BE58" s="89" t="n">
        <v>215.1</v>
      </c>
      <c r="BF58" s="89" t="n">
        <v>278.4</v>
      </c>
      <c r="BG58" s="89" t="n">
        <v>46.3</v>
      </c>
      <c r="BH58" s="89" t="n">
        <v>-232.2</v>
      </c>
      <c r="BI58" s="89" t="n">
        <v>-240.2</v>
      </c>
      <c r="BJ58" s="89" t="n">
        <v>28.2</v>
      </c>
      <c r="BK58" s="89" t="n">
        <v>25.3</v>
      </c>
      <c r="BL58" s="89" t="n">
        <v>355.5</v>
      </c>
      <c r="BM58" s="89" t="n">
        <v>382.8</v>
      </c>
      <c r="BN58" s="89" t="n">
        <v>9.699999999999999</v>
      </c>
      <c r="BO58" s="89" t="n">
        <v>1360.7</v>
      </c>
      <c r="BP58" s="89" t="n">
        <v>1299.5</v>
      </c>
      <c r="BQ58" s="89" t="n">
        <v>0</v>
      </c>
      <c r="BR58" s="89" t="n">
        <v>0</v>
      </c>
      <c r="BS58" s="90" t="inlineStr">
        <is>
          <t>N/A</t>
        </is>
      </c>
      <c r="BT58" s="90" t="inlineStr">
        <is>
          <t>N/A</t>
        </is>
      </c>
      <c r="BU58" s="89" t="n">
        <v>0</v>
      </c>
      <c r="BV58" s="89" t="n">
        <v>0</v>
      </c>
      <c r="BW58" s="89" t="n">
        <v>0</v>
      </c>
      <c r="BX58" s="89" t="n">
        <v>0</v>
      </c>
      <c r="BY58" s="89" t="n">
        <v>0</v>
      </c>
    </row>
    <row r="59" ht="17" customHeight="1">
      <c r="A59" s="82" t="n">
        <v>57</v>
      </c>
      <c r="B59" s="83" t="inlineStr">
        <is>
          <t>CF</t>
        </is>
      </c>
      <c r="C59" s="84" t="inlineStr">
        <is>
          <t>CF INDUSTRIES HOLDINGS, INC.</t>
        </is>
      </c>
      <c r="D59" s="82" t="inlineStr">
        <is>
          <t>Materials</t>
        </is>
      </c>
      <c r="E59" s="82" t="n">
        <v>2026</v>
      </c>
      <c r="F59" s="85" t="n">
        <v>14088</v>
      </c>
      <c r="G59" s="85" t="n">
        <v>2985</v>
      </c>
      <c r="H59" s="85" t="n">
        <v>887</v>
      </c>
      <c r="I59" s="85" t="n">
        <v>14088</v>
      </c>
      <c r="J59" s="85" t="n">
        <v>3874</v>
      </c>
      <c r="K59" s="85" t="n">
        <v>2300</v>
      </c>
      <c r="L59" s="85" t="n">
        <v>7084</v>
      </c>
      <c r="M59" s="85" t="n">
        <v>1539.2</v>
      </c>
      <c r="N59" s="85" t="n">
        <v>2752</v>
      </c>
      <c r="O59" s="85" t="n">
        <v>2724</v>
      </c>
      <c r="P59" s="85" t="n">
        <v>3215</v>
      </c>
      <c r="Q59" s="85" t="n">
        <v>4838</v>
      </c>
      <c r="R59" s="85" t="n">
        <v>364</v>
      </c>
      <c r="S59" s="85" t="n">
        <v>410.6</v>
      </c>
      <c r="T59" s="85" t="n">
        <v>488</v>
      </c>
      <c r="U59" s="85" t="n">
        <v>6715</v>
      </c>
      <c r="V59" s="85" t="n">
        <v>155</v>
      </c>
      <c r="W59" s="85" t="n">
        <v>13466</v>
      </c>
      <c r="X59" s="85" t="n">
        <v>2520</v>
      </c>
      <c r="Y59" s="85" t="n">
        <v>818</v>
      </c>
      <c r="Z59" s="85" t="n">
        <v>13466</v>
      </c>
      <c r="AA59" s="85" t="n">
        <v>1746</v>
      </c>
      <c r="AB59" s="85" t="n">
        <v>5936</v>
      </c>
      <c r="AC59" s="85" t="n">
        <v>349.2</v>
      </c>
      <c r="AD59" s="85" t="n">
        <v>2271</v>
      </c>
      <c r="AE59" s="85" t="n">
        <v>2056</v>
      </c>
      <c r="AF59" s="85" t="n">
        <v>2971</v>
      </c>
      <c r="AG59" s="85" t="n">
        <v>4985</v>
      </c>
      <c r="AH59" s="85" t="n">
        <v>5936</v>
      </c>
      <c r="AI59" s="85" t="n">
        <v>13466</v>
      </c>
      <c r="AJ59" s="85" t="n">
        <v>2239</v>
      </c>
      <c r="AK59" s="85" t="n">
        <v>1762</v>
      </c>
      <c r="AL59" s="85" t="n">
        <v>441</v>
      </c>
      <c r="AM59" s="85" t="n">
        <v>285</v>
      </c>
      <c r="AN59" s="85" t="n">
        <v>950</v>
      </c>
      <c r="AO59" s="85" t="n">
        <v>518</v>
      </c>
      <c r="AP59" s="85" t="n">
        <v>383</v>
      </c>
      <c r="AQ59" s="85" t="n">
        <v>314</v>
      </c>
      <c r="AR59" s="85" t="n">
        <v>2493</v>
      </c>
      <c r="AS59" s="85" t="n">
        <v>473</v>
      </c>
      <c r="AT59" s="91" t="inlineStr">
        <is>
          <t>N/A</t>
        </is>
      </c>
      <c r="AU59" s="91" t="inlineStr">
        <is>
          <t>N/A</t>
        </is>
      </c>
      <c r="AV59" s="85" t="n">
        <v>287</v>
      </c>
      <c r="AW59" s="85" t="n">
        <v>682</v>
      </c>
      <c r="AX59" s="85" t="n">
        <v>3215</v>
      </c>
      <c r="AY59" s="85" t="n">
        <v>2971</v>
      </c>
      <c r="AZ59" s="85" t="n">
        <v>2928</v>
      </c>
      <c r="BA59" s="85" t="n">
        <v>1802</v>
      </c>
      <c r="BB59" s="85" t="n">
        <v>153.6</v>
      </c>
      <c r="BC59" s="85" t="n">
        <v>169.9</v>
      </c>
      <c r="BD59" s="85" t="n">
        <v>404</v>
      </c>
      <c r="BE59" s="85" t="n">
        <v>6735</v>
      </c>
      <c r="BF59" s="85" t="n">
        <v>320</v>
      </c>
      <c r="BG59" s="85" t="n">
        <v>419.8</v>
      </c>
      <c r="BH59" s="85" t="n">
        <v>-933</v>
      </c>
      <c r="BI59" s="85" t="n">
        <v>-469</v>
      </c>
      <c r="BJ59" s="85" t="n">
        <v>148</v>
      </c>
      <c r="BK59" s="85" t="n">
        <v>125</v>
      </c>
      <c r="BL59" s="85" t="n">
        <v>77</v>
      </c>
      <c r="BM59" s="85" t="n">
        <v>118</v>
      </c>
      <c r="BN59" s="91" t="inlineStr">
        <is>
          <t>N/A</t>
        </is>
      </c>
      <c r="BO59" s="85" t="n">
        <v>4360</v>
      </c>
      <c r="BP59" s="85" t="n">
        <v>3880</v>
      </c>
      <c r="BQ59" s="85" t="n">
        <v>0</v>
      </c>
      <c r="BR59" s="85" t="n">
        <v>0</v>
      </c>
      <c r="BS59" s="85" t="n">
        <v>0</v>
      </c>
      <c r="BT59" s="85" t="n">
        <v>0</v>
      </c>
      <c r="BU59" s="85" t="n">
        <v>0</v>
      </c>
      <c r="BV59" s="85" t="n">
        <v>0</v>
      </c>
      <c r="BW59" s="85" t="n">
        <v>0</v>
      </c>
      <c r="BX59" s="85" t="n">
        <v>0</v>
      </c>
      <c r="BY59" s="85" t="n">
        <v>0</v>
      </c>
    </row>
    <row r="60" ht="17" customHeight="1">
      <c r="A60" s="86" t="n">
        <v>58</v>
      </c>
      <c r="B60" s="87" t="inlineStr">
        <is>
          <t>PFE</t>
        </is>
      </c>
      <c r="C60" s="88" t="inlineStr">
        <is>
          <t>Pfizer Inc.</t>
        </is>
      </c>
      <c r="D60" s="86" t="inlineStr">
        <is>
          <t>Health Care</t>
        </is>
      </c>
      <c r="E60" s="86" t="n">
        <v>2026</v>
      </c>
      <c r="F60" s="89" t="n">
        <v>208160</v>
      </c>
      <c r="G60" s="89" t="n">
        <v>42898</v>
      </c>
      <c r="H60" s="89" t="n">
        <v>36984</v>
      </c>
      <c r="I60" s="89" t="n">
        <v>121385</v>
      </c>
      <c r="J60" s="89" t="n">
        <v>114610</v>
      </c>
      <c r="K60" s="89" t="n">
        <v>7520</v>
      </c>
      <c r="L60" s="89" t="n">
        <v>62579</v>
      </c>
      <c r="M60" s="89" t="n">
        <v>7771</v>
      </c>
      <c r="N60" s="89" t="n">
        <v>11704</v>
      </c>
      <c r="O60" s="89" t="n">
        <v>46512</v>
      </c>
      <c r="P60" s="89" t="n">
        <v>4000</v>
      </c>
      <c r="Q60" s="89" t="n">
        <v>86476</v>
      </c>
      <c r="R60" s="89" t="n">
        <v>13794</v>
      </c>
      <c r="S60" s="89" t="n">
        <v>6592</v>
      </c>
      <c r="T60" s="89" t="n">
        <v>11874</v>
      </c>
      <c r="U60" s="89" t="n">
        <v>19317</v>
      </c>
      <c r="V60" s="89" t="n">
        <v>2671</v>
      </c>
      <c r="W60" s="89" t="n">
        <v>213396</v>
      </c>
      <c r="X60" s="89" t="n">
        <v>50358</v>
      </c>
      <c r="Y60" s="89" t="n">
        <v>42995</v>
      </c>
      <c r="Z60" s="89" t="n">
        <v>124899</v>
      </c>
      <c r="AA60" s="89" t="n">
        <v>8023</v>
      </c>
      <c r="AB60" s="89" t="n">
        <v>63627</v>
      </c>
      <c r="AC60" s="89" t="n">
        <v>8031</v>
      </c>
      <c r="AD60" s="89" t="n">
        <v>12744</v>
      </c>
      <c r="AE60" s="89" t="n">
        <v>45776</v>
      </c>
      <c r="AF60" s="89" t="n">
        <v>31398</v>
      </c>
      <c r="AG60" s="89" t="n">
        <v>88203</v>
      </c>
      <c r="AH60" s="89" t="n">
        <v>63627</v>
      </c>
      <c r="AI60" s="89" t="n">
        <v>213396</v>
      </c>
      <c r="AJ60" s="89" t="n">
        <v>7520</v>
      </c>
      <c r="AK60" s="89" t="n">
        <v>8023</v>
      </c>
      <c r="AL60" s="89" t="n">
        <v>-266</v>
      </c>
      <c r="AM60" s="89" t="n">
        <v>-28</v>
      </c>
      <c r="AN60" s="89" t="n">
        <v>2629</v>
      </c>
      <c r="AO60" s="89" t="n">
        <v>2909</v>
      </c>
      <c r="AP60" s="89" t="n">
        <v>10654</v>
      </c>
      <c r="AQ60" s="89" t="n">
        <v>10851</v>
      </c>
      <c r="AR60" s="89" t="n">
        <v>71264</v>
      </c>
      <c r="AS60" s="89" t="n">
        <v>31510</v>
      </c>
      <c r="AT60" s="89" t="n">
        <v>3154</v>
      </c>
      <c r="AU60" s="89" t="n">
        <v>10437</v>
      </c>
      <c r="AV60" s="89" t="n">
        <v>1142</v>
      </c>
      <c r="AW60" s="89" t="n">
        <v>1043</v>
      </c>
      <c r="AX60" s="89" t="n">
        <v>7154</v>
      </c>
      <c r="AY60" s="89" t="n">
        <v>38344</v>
      </c>
      <c r="AZ60" s="89" t="n">
        <v>6012</v>
      </c>
      <c r="BA60" s="89" t="n">
        <v>9075</v>
      </c>
      <c r="BB60" s="89" t="n">
        <v>9621</v>
      </c>
      <c r="BC60" s="89" t="n">
        <v>9593</v>
      </c>
      <c r="BD60" s="89" t="n">
        <v>11463</v>
      </c>
      <c r="BE60" s="89" t="n">
        <v>18393</v>
      </c>
      <c r="BF60" s="89" t="n">
        <v>14730</v>
      </c>
      <c r="BG60" s="89" t="n">
        <v>7013</v>
      </c>
      <c r="BH60" s="89" t="n">
        <v>-1351</v>
      </c>
      <c r="BI60" s="89" t="n">
        <v>2652</v>
      </c>
      <c r="BJ60" s="89" t="n">
        <v>5240</v>
      </c>
      <c r="BK60" s="89" t="n">
        <v>5633</v>
      </c>
      <c r="BL60" s="89" t="n">
        <v>784</v>
      </c>
      <c r="BM60" s="89" t="n">
        <v>1511</v>
      </c>
      <c r="BN60" s="89" t="n">
        <v>3103</v>
      </c>
      <c r="BO60" s="89" t="n">
        <v>16067</v>
      </c>
      <c r="BP60" s="89" t="n">
        <v>17851</v>
      </c>
      <c r="BQ60" s="89" t="n">
        <v>0</v>
      </c>
      <c r="BR60" s="89" t="n">
        <v>0</v>
      </c>
      <c r="BS60" s="89" t="n">
        <v>0</v>
      </c>
      <c r="BT60" s="89" t="n">
        <v>0</v>
      </c>
      <c r="BU60" s="89" t="n">
        <v>0</v>
      </c>
      <c r="BV60" s="89" t="n">
        <v>0</v>
      </c>
      <c r="BW60" s="89" t="n">
        <v>0</v>
      </c>
      <c r="BX60" s="89" t="n">
        <v>0</v>
      </c>
      <c r="BY60" s="89" t="n">
        <v>-0</v>
      </c>
    </row>
    <row r="61" ht="17" customHeight="1">
      <c r="A61" s="82" t="n">
        <v>59</v>
      </c>
      <c r="B61" s="83" t="inlineStr">
        <is>
          <t>AMGN</t>
        </is>
      </c>
      <c r="C61" s="84" t="inlineStr">
        <is>
          <t>Amgen Inc.</t>
        </is>
      </c>
      <c r="D61" s="82" t="inlineStr">
        <is>
          <t>Health Care</t>
        </is>
      </c>
      <c r="E61" s="82" t="n">
        <v>2026</v>
      </c>
      <c r="F61" s="85" t="n">
        <v>90586</v>
      </c>
      <c r="G61" s="85" t="n">
        <v>29057</v>
      </c>
      <c r="H61" s="85" t="n">
        <v>25489</v>
      </c>
      <c r="I61" s="85" t="n">
        <v>90586</v>
      </c>
      <c r="J61" s="85" t="n">
        <v>-25107</v>
      </c>
      <c r="K61" s="85" t="n">
        <v>9080</v>
      </c>
      <c r="L61" s="85" t="n">
        <v>25424</v>
      </c>
      <c r="M61" s="85" t="n">
        <v>7711</v>
      </c>
      <c r="N61" s="85" t="n">
        <v>9958</v>
      </c>
      <c r="O61" s="85" t="n">
        <v>4737</v>
      </c>
      <c r="P61" s="85" t="n">
        <v>54604</v>
      </c>
      <c r="Q61" s="85" t="n">
        <v>8658</v>
      </c>
      <c r="R61" s="85" t="n">
        <v>7050</v>
      </c>
      <c r="S61" s="85" t="n">
        <v>887</v>
      </c>
      <c r="T61" s="85" t="n">
        <v>9570</v>
      </c>
      <c r="U61" s="85" t="n">
        <v>7913</v>
      </c>
      <c r="V61" s="85" t="n">
        <v>2755</v>
      </c>
      <c r="W61" s="85" t="n">
        <v>91839</v>
      </c>
      <c r="X61" s="85" t="n">
        <v>29030</v>
      </c>
      <c r="Y61" s="85" t="n">
        <v>23099</v>
      </c>
      <c r="Z61" s="85" t="n">
        <v>91839</v>
      </c>
      <c r="AA61" s="85" t="n">
        <v>7258</v>
      </c>
      <c r="AB61" s="85" t="n">
        <v>23362</v>
      </c>
      <c r="AC61" s="85" t="n">
        <v>4090</v>
      </c>
      <c r="AD61" s="85" t="n">
        <v>11490</v>
      </c>
      <c r="AE61" s="85" t="n">
        <v>4543</v>
      </c>
      <c r="AF61" s="85" t="n">
        <v>60099</v>
      </c>
      <c r="AG61" s="85" t="n">
        <v>5877</v>
      </c>
      <c r="AH61" s="85" t="n">
        <v>23362</v>
      </c>
      <c r="AI61" s="85" t="n">
        <v>91839</v>
      </c>
      <c r="AJ61" s="85" t="n">
        <v>8976</v>
      </c>
      <c r="AK61" s="85" t="n">
        <v>4609</v>
      </c>
      <c r="AL61" s="85" t="n">
        <v>1265</v>
      </c>
      <c r="AM61" s="85" t="n">
        <v>519</v>
      </c>
      <c r="AN61" s="85" t="n">
        <v>1858</v>
      </c>
      <c r="AO61" s="85" t="n">
        <v>1096</v>
      </c>
      <c r="AP61" s="85" t="n">
        <v>6225</v>
      </c>
      <c r="AQ61" s="85" t="n">
        <v>6998</v>
      </c>
      <c r="AR61" s="85" t="n">
        <v>18680</v>
      </c>
      <c r="AS61" s="85" t="n">
        <v>21566</v>
      </c>
      <c r="AT61" s="85" t="n">
        <v>2505</v>
      </c>
      <c r="AU61" s="85" t="n">
        <v>7272</v>
      </c>
      <c r="AV61" s="85" t="n">
        <v>9129</v>
      </c>
      <c r="AW61" s="85" t="n">
        <v>11973</v>
      </c>
      <c r="AX61" s="85" t="n">
        <v>57109</v>
      </c>
      <c r="AY61" s="85" t="n">
        <v>62594</v>
      </c>
      <c r="AZ61" s="85" t="n">
        <v>47980</v>
      </c>
      <c r="BA61" s="85" t="n">
        <v>8100</v>
      </c>
      <c r="BB61" s="85" t="n">
        <v>538.8</v>
      </c>
      <c r="BC61" s="85" t="n">
        <v>536.9</v>
      </c>
      <c r="BD61" s="85" t="n">
        <v>6782</v>
      </c>
      <c r="BE61" s="85" t="n">
        <v>6543</v>
      </c>
      <c r="BF61" s="85" t="n">
        <v>7096</v>
      </c>
      <c r="BG61" s="85" t="n">
        <v>805</v>
      </c>
      <c r="BH61" s="85" t="n">
        <v>-1943</v>
      </c>
      <c r="BI61" s="85" t="n">
        <v>-1046</v>
      </c>
      <c r="BJ61" s="85" t="n">
        <v>2367</v>
      </c>
      <c r="BK61" s="85" t="n">
        <v>1908</v>
      </c>
      <c r="BL61" s="91" t="inlineStr">
        <is>
          <t>N/A</t>
        </is>
      </c>
      <c r="BM61" s="91" t="inlineStr">
        <is>
          <t>N/A</t>
        </is>
      </c>
      <c r="BN61" s="85" t="n">
        <v>379</v>
      </c>
      <c r="BO61" s="85" t="n">
        <v>12037</v>
      </c>
      <c r="BP61" s="85" t="n">
        <v>12858</v>
      </c>
      <c r="BQ61" s="85" t="n">
        <v>0</v>
      </c>
      <c r="BR61" s="85" t="n">
        <v>0</v>
      </c>
      <c r="BS61" s="85" t="n">
        <v>0</v>
      </c>
      <c r="BT61" s="85" t="n">
        <v>0</v>
      </c>
      <c r="BU61" s="85" t="n">
        <v>0</v>
      </c>
      <c r="BV61" s="85" t="n">
        <v>0</v>
      </c>
      <c r="BW61" s="85" t="n">
        <v>0</v>
      </c>
      <c r="BX61" s="85" t="n">
        <v>0</v>
      </c>
      <c r="BY61" s="85" t="n">
        <v>0</v>
      </c>
    </row>
    <row r="62" ht="17" customHeight="1">
      <c r="A62" s="86" t="n">
        <v>60</v>
      </c>
      <c r="B62" s="87" t="inlineStr">
        <is>
          <t>TDG</t>
        </is>
      </c>
      <c r="C62" s="88" t="inlineStr">
        <is>
          <t>TransDigm Group Incorporated</t>
        </is>
      </c>
      <c r="D62" s="86" t="inlineStr">
        <is>
          <t>Industrials</t>
        </is>
      </c>
      <c r="E62" s="86" t="n">
        <v>2026</v>
      </c>
      <c r="F62" s="89" t="n">
        <v>22909</v>
      </c>
      <c r="G62" s="89" t="n">
        <v>7012</v>
      </c>
      <c r="H62" s="89" t="n">
        <v>2182</v>
      </c>
      <c r="I62" s="89" t="n">
        <v>32588</v>
      </c>
      <c r="J62" s="89" t="n">
        <v>-10606</v>
      </c>
      <c r="K62" s="89" t="n">
        <v>4165</v>
      </c>
      <c r="L62" s="89" t="n">
        <v>8831</v>
      </c>
      <c r="M62" s="89" t="n">
        <v>2074</v>
      </c>
      <c r="N62" s="89" t="n">
        <v>2038</v>
      </c>
      <c r="O62" s="89" t="n">
        <v>5311</v>
      </c>
      <c r="P62" s="89" t="n">
        <v>29291</v>
      </c>
      <c r="Q62" s="89" t="n">
        <v>-9686</v>
      </c>
      <c r="R62" s="89" t="n">
        <v>945</v>
      </c>
      <c r="S62" s="89" t="n">
        <v>367</v>
      </c>
      <c r="T62" s="89" t="n">
        <v>1617</v>
      </c>
      <c r="U62" s="89" t="n">
        <v>1579</v>
      </c>
      <c r="V62" s="89" t="n">
        <v>635</v>
      </c>
      <c r="W62" s="89" t="n">
        <v>25586</v>
      </c>
      <c r="X62" s="89" t="n">
        <v>10029</v>
      </c>
      <c r="Y62" s="89" t="n">
        <v>6339</v>
      </c>
      <c r="Z62" s="89" t="n">
        <v>31869</v>
      </c>
      <c r="AA62" s="89" t="n">
        <v>3531</v>
      </c>
      <c r="AB62" s="89" t="n">
        <v>7940</v>
      </c>
      <c r="AC62" s="89" t="n">
        <v>1714</v>
      </c>
      <c r="AD62" s="89" t="n">
        <v>2045</v>
      </c>
      <c r="AE62" s="89" t="n">
        <v>4672</v>
      </c>
      <c r="AF62" s="89" t="n">
        <v>24394</v>
      </c>
      <c r="AG62" s="89" t="n">
        <v>-6290</v>
      </c>
      <c r="AH62" s="89" t="n">
        <v>7940</v>
      </c>
      <c r="AI62" s="89" t="n">
        <v>25586</v>
      </c>
      <c r="AJ62" s="89" t="n">
        <v>2629</v>
      </c>
      <c r="AK62" s="89" t="n">
        <v>2215</v>
      </c>
      <c r="AL62" s="89" t="n">
        <v>555</v>
      </c>
      <c r="AM62" s="89" t="n">
        <v>500</v>
      </c>
      <c r="AN62" s="89" t="n">
        <v>222</v>
      </c>
      <c r="AO62" s="89" t="n">
        <v>165</v>
      </c>
      <c r="AP62" s="89" t="n">
        <v>2095</v>
      </c>
      <c r="AQ62" s="89" t="n">
        <v>1876</v>
      </c>
      <c r="AR62" s="89" t="n">
        <v>10612</v>
      </c>
      <c r="AS62" s="89" t="n">
        <v>905.3</v>
      </c>
      <c r="AT62" s="89" t="n">
        <v>124</v>
      </c>
      <c r="AU62" s="89" t="n">
        <v>118</v>
      </c>
      <c r="AV62" s="89" t="n">
        <v>2808</v>
      </c>
      <c r="AW62" s="89" t="n">
        <v>6261</v>
      </c>
      <c r="AX62" s="89" t="n">
        <v>29415</v>
      </c>
      <c r="AY62" s="89" t="n">
        <v>24394</v>
      </c>
      <c r="AZ62" s="89" t="n">
        <v>26607</v>
      </c>
      <c r="BA62" s="89" t="n">
        <v>1816</v>
      </c>
      <c r="BB62" s="89" t="n">
        <v>52.2</v>
      </c>
      <c r="BC62" s="89" t="n">
        <v>50.8</v>
      </c>
      <c r="BD62" s="89" t="n">
        <v>1381</v>
      </c>
      <c r="BE62" s="89" t="n">
        <v>1488</v>
      </c>
      <c r="BF62" s="89" t="n">
        <v>980</v>
      </c>
      <c r="BG62" s="89" t="n">
        <v>312</v>
      </c>
      <c r="BH62" s="89" t="n">
        <v>-595</v>
      </c>
      <c r="BI62" s="89" t="n">
        <v>-2441</v>
      </c>
      <c r="BJ62" s="89" t="n">
        <v>368</v>
      </c>
      <c r="BK62" s="89" t="n">
        <v>323</v>
      </c>
      <c r="BL62" s="89" t="n">
        <v>143</v>
      </c>
      <c r="BM62" s="89" t="n">
        <v>168</v>
      </c>
      <c r="BN62" s="89" t="n">
        <v>8.9</v>
      </c>
      <c r="BO62" s="89" t="n">
        <v>3520</v>
      </c>
      <c r="BP62" s="89" t="n">
        <v>3268</v>
      </c>
      <c r="BQ62" s="89" t="n">
        <v>0</v>
      </c>
      <c r="BR62" s="89" t="n">
        <v>0</v>
      </c>
      <c r="BS62" s="89" t="n">
        <v>0</v>
      </c>
      <c r="BT62" s="89" t="n">
        <v>0</v>
      </c>
      <c r="BU62" s="89" t="n">
        <v>0</v>
      </c>
      <c r="BV62" s="89" t="n">
        <v>0</v>
      </c>
      <c r="BW62" s="89" t="n">
        <v>0</v>
      </c>
      <c r="BX62" s="89" t="n">
        <v>0</v>
      </c>
      <c r="BY62" s="89" t="n">
        <v>0</v>
      </c>
    </row>
    <row r="63" ht="17" customHeight="1">
      <c r="A63" s="82" t="n">
        <v>61</v>
      </c>
      <c r="B63" s="83" t="inlineStr">
        <is>
          <t>ETN</t>
        </is>
      </c>
      <c r="C63" s="84" t="inlineStr">
        <is>
          <t>EATON CORPORATION plc</t>
        </is>
      </c>
      <c r="D63" s="82" t="inlineStr">
        <is>
          <t>Industrials</t>
        </is>
      </c>
      <c r="E63" s="82" t="n">
        <v>2026</v>
      </c>
      <c r="F63" s="85" t="n">
        <v>41251</v>
      </c>
      <c r="G63" s="85" t="n">
        <v>12355</v>
      </c>
      <c r="H63" s="85" t="n">
        <v>9370</v>
      </c>
      <c r="I63" s="85" t="n">
        <v>41251</v>
      </c>
      <c r="J63" s="85" t="n">
        <v>10702</v>
      </c>
      <c r="K63" s="85" t="n">
        <v>3675</v>
      </c>
      <c r="L63" s="91" t="inlineStr">
        <is>
          <t>N/A</t>
        </is>
      </c>
      <c r="M63" s="85" t="n">
        <v>4087</v>
      </c>
      <c r="N63" s="85" t="n">
        <v>4472</v>
      </c>
      <c r="O63" s="91" t="inlineStr">
        <is>
          <t>N/A</t>
        </is>
      </c>
      <c r="P63" s="85" t="n">
        <v>9894</v>
      </c>
      <c r="Q63" s="85" t="n">
        <v>19425</v>
      </c>
      <c r="R63" s="85" t="n">
        <v>4311</v>
      </c>
      <c r="S63" s="85" t="n">
        <v>1006</v>
      </c>
      <c r="T63" s="85" t="n">
        <v>5387</v>
      </c>
      <c r="U63" s="85" t="n">
        <v>4316</v>
      </c>
      <c r="V63" s="85" t="n">
        <v>144</v>
      </c>
      <c r="W63" s="85" t="n">
        <v>38381</v>
      </c>
      <c r="X63" s="85" t="n">
        <v>11801</v>
      </c>
      <c r="Y63" s="85" t="n">
        <v>7857</v>
      </c>
      <c r="Z63" s="85" t="n">
        <v>38381</v>
      </c>
      <c r="AA63" s="85" t="n">
        <v>3630</v>
      </c>
      <c r="AB63" s="91" t="inlineStr">
        <is>
          <t>N/A</t>
        </is>
      </c>
      <c r="AC63" s="85" t="n">
        <v>3794</v>
      </c>
      <c r="AD63" s="85" t="n">
        <v>4327</v>
      </c>
      <c r="AE63" s="91" t="inlineStr">
        <is>
          <t>N/A</t>
        </is>
      </c>
      <c r="AF63" s="85" t="n">
        <v>9152</v>
      </c>
      <c r="AG63" s="85" t="n">
        <v>18488</v>
      </c>
      <c r="AH63" s="91" t="inlineStr">
        <is>
          <t>N/A</t>
        </is>
      </c>
      <c r="AI63" s="85" t="n">
        <v>38381</v>
      </c>
      <c r="AJ63" s="85" t="n">
        <v>4932</v>
      </c>
      <c r="AK63" s="85" t="n">
        <v>4566</v>
      </c>
      <c r="AL63" s="85" t="n">
        <v>841</v>
      </c>
      <c r="AM63" s="85" t="n">
        <v>768</v>
      </c>
      <c r="AN63" s="85" t="n">
        <v>919</v>
      </c>
      <c r="AO63" s="85" t="n">
        <v>808</v>
      </c>
      <c r="AP63" s="85" t="n">
        <v>4721</v>
      </c>
      <c r="AQ63" s="85" t="n">
        <v>4227</v>
      </c>
      <c r="AR63" s="85" t="n">
        <v>15769</v>
      </c>
      <c r="AS63" s="85" t="n">
        <v>5054</v>
      </c>
      <c r="AT63" s="85" t="n">
        <v>1</v>
      </c>
      <c r="AU63" s="85" t="n">
        <v>797</v>
      </c>
      <c r="AV63" s="85" t="n">
        <v>622</v>
      </c>
      <c r="AW63" s="85" t="n">
        <v>555</v>
      </c>
      <c r="AX63" s="85" t="n">
        <v>9895</v>
      </c>
      <c r="AY63" s="85" t="n">
        <v>9152</v>
      </c>
      <c r="AZ63" s="85" t="n">
        <v>9273</v>
      </c>
      <c r="BA63" s="85" t="n">
        <v>3553</v>
      </c>
      <c r="BB63" s="85" t="n">
        <v>387.9</v>
      </c>
      <c r="BC63" s="85" t="n">
        <v>392.9</v>
      </c>
      <c r="BD63" s="85" t="n">
        <v>4619</v>
      </c>
      <c r="BE63" s="85" t="n">
        <v>3729</v>
      </c>
      <c r="BF63" s="85" t="n">
        <v>4077</v>
      </c>
      <c r="BG63" s="85" t="n">
        <v>921</v>
      </c>
      <c r="BH63" s="85" t="n">
        <v>-1101</v>
      </c>
      <c r="BI63" s="85" t="n">
        <v>-271</v>
      </c>
      <c r="BJ63" s="85" t="n">
        <v>4168</v>
      </c>
      <c r="BK63" s="85" t="n">
        <v>3678</v>
      </c>
      <c r="BL63" s="85" t="n">
        <v>234</v>
      </c>
      <c r="BM63" s="85" t="n">
        <v>248</v>
      </c>
      <c r="BN63" s="91" t="inlineStr">
        <is>
          <t>N/A</t>
        </is>
      </c>
      <c r="BO63" s="85" t="n">
        <v>17131</v>
      </c>
      <c r="BP63" s="85" t="n">
        <v>15375</v>
      </c>
      <c r="BQ63" s="91" t="inlineStr">
        <is>
          <t>N/A</t>
        </is>
      </c>
      <c r="BR63" s="91" t="inlineStr">
        <is>
          <t>N/A</t>
        </is>
      </c>
      <c r="BS63" s="85" t="n">
        <v>0</v>
      </c>
      <c r="BT63" s="85" t="n">
        <v>0</v>
      </c>
      <c r="BU63" s="85" t="n">
        <v>0</v>
      </c>
      <c r="BV63" s="85" t="n">
        <v>0</v>
      </c>
      <c r="BW63" s="85" t="n">
        <v>0</v>
      </c>
      <c r="BX63" s="91" t="inlineStr">
        <is>
          <t>N/A</t>
        </is>
      </c>
      <c r="BY63" s="85" t="n">
        <v>0</v>
      </c>
    </row>
    <row r="64" ht="17" customHeight="1">
      <c r="A64" s="86" t="n">
        <v>62</v>
      </c>
      <c r="B64" s="87" t="inlineStr">
        <is>
          <t>GILD</t>
        </is>
      </c>
      <c r="C64" s="88" t="inlineStr">
        <is>
          <t>GILEAD SCIENCES, INC.</t>
        </is>
      </c>
      <c r="D64" s="86" t="inlineStr">
        <is>
          <t>Health Care</t>
        </is>
      </c>
      <c r="E64" s="86" t="n">
        <v>2026</v>
      </c>
      <c r="F64" s="89" t="n">
        <v>59023</v>
      </c>
      <c r="G64" s="89" t="n">
        <v>18342</v>
      </c>
      <c r="H64" s="89" t="n">
        <v>11813</v>
      </c>
      <c r="I64" s="89" t="n">
        <v>59023</v>
      </c>
      <c r="J64" s="89" t="n">
        <v>13730</v>
      </c>
      <c r="K64" s="89" t="n">
        <v>10022</v>
      </c>
      <c r="L64" s="89" t="n">
        <v>24689</v>
      </c>
      <c r="M64" s="89" t="n">
        <v>8510</v>
      </c>
      <c r="N64" s="89" t="n">
        <v>10019</v>
      </c>
      <c r="O64" s="89" t="n">
        <v>5930</v>
      </c>
      <c r="P64" s="89" t="n">
        <v>24937</v>
      </c>
      <c r="Q64" s="89" t="n">
        <v>22703</v>
      </c>
      <c r="R64" s="89" t="n">
        <v>5774</v>
      </c>
      <c r="S64" s="89" t="n">
        <v>370</v>
      </c>
      <c r="T64" s="89" t="n">
        <v>4913</v>
      </c>
      <c r="U64" s="89" t="n">
        <v>5606</v>
      </c>
      <c r="V64" s="89" t="n">
        <v>944</v>
      </c>
      <c r="W64" s="89" t="n">
        <v>58995</v>
      </c>
      <c r="X64" s="89" t="n">
        <v>19173</v>
      </c>
      <c r="Y64" s="89" t="n">
        <v>12004</v>
      </c>
      <c r="Z64" s="89" t="n">
        <v>58995</v>
      </c>
      <c r="AA64" s="89" t="n">
        <v>1662</v>
      </c>
      <c r="AB64" s="89" t="n">
        <v>7421</v>
      </c>
      <c r="AC64" s="89" t="n">
        <v>480</v>
      </c>
      <c r="AD64" s="89" t="n">
        <v>10828</v>
      </c>
      <c r="AE64" s="89" t="n">
        <v>5352</v>
      </c>
      <c r="AF64" s="89" t="n">
        <v>26710</v>
      </c>
      <c r="AG64" s="89" t="n">
        <v>19330</v>
      </c>
      <c r="AH64" s="89" t="n">
        <v>6577</v>
      </c>
      <c r="AI64" s="89" t="n">
        <v>58995</v>
      </c>
      <c r="AJ64" s="89" t="n">
        <v>9796</v>
      </c>
      <c r="AK64" s="89" t="n">
        <v>690</v>
      </c>
      <c r="AL64" s="89" t="n">
        <v>1286</v>
      </c>
      <c r="AM64" s="89" t="n">
        <v>211</v>
      </c>
      <c r="AN64" s="89" t="n">
        <v>563</v>
      </c>
      <c r="AO64" s="89" t="n">
        <v>523</v>
      </c>
      <c r="AP64" s="89" t="n">
        <v>1774</v>
      </c>
      <c r="AQ64" s="89" t="n">
        <v>1710</v>
      </c>
      <c r="AR64" s="89" t="n">
        <v>8314</v>
      </c>
      <c r="AS64" s="89" t="n">
        <v>14678</v>
      </c>
      <c r="AT64" s="89" t="n">
        <v>2807</v>
      </c>
      <c r="AU64" s="89" t="n">
        <v>9106</v>
      </c>
      <c r="AV64" s="89" t="n">
        <v>5412</v>
      </c>
      <c r="AW64" s="89" t="n">
        <v>5338</v>
      </c>
      <c r="AX64" s="89" t="n">
        <v>27744</v>
      </c>
      <c r="AY64" s="89" t="n">
        <v>28525</v>
      </c>
      <c r="AZ64" s="89" t="n">
        <v>22332</v>
      </c>
      <c r="BA64" s="89" t="n">
        <v>9456</v>
      </c>
      <c r="BB64" s="89" t="n">
        <v>1241</v>
      </c>
      <c r="BC64" s="89" t="n">
        <v>1246</v>
      </c>
      <c r="BD64" s="89" t="n">
        <v>4420</v>
      </c>
      <c r="BE64" s="89" t="n">
        <v>5414</v>
      </c>
      <c r="BF64" s="89" t="n">
        <v>6091</v>
      </c>
      <c r="BG64" s="89" t="n">
        <v>381</v>
      </c>
      <c r="BH64" s="89" t="n">
        <v>-4793</v>
      </c>
      <c r="BI64" s="89" t="n">
        <v>-3449</v>
      </c>
      <c r="BJ64" s="89" t="n">
        <v>715</v>
      </c>
      <c r="BK64" s="89" t="n">
        <v>833</v>
      </c>
      <c r="BL64" s="89" t="n">
        <v>202</v>
      </c>
      <c r="BM64" s="89" t="n">
        <v>440</v>
      </c>
      <c r="BN64" s="89" t="n">
        <v>92</v>
      </c>
      <c r="BO64" s="89" t="n">
        <v>6234</v>
      </c>
      <c r="BP64" s="89" t="n">
        <v>6251</v>
      </c>
      <c r="BQ64" s="89" t="n">
        <v>0</v>
      </c>
      <c r="BR64" s="89" t="n">
        <v>0</v>
      </c>
      <c r="BS64" s="89" t="n">
        <v>0</v>
      </c>
      <c r="BT64" s="89" t="n">
        <v>0</v>
      </c>
      <c r="BU64" s="89" t="n">
        <v>0</v>
      </c>
      <c r="BV64" s="89" t="n">
        <v>0</v>
      </c>
      <c r="BW64" s="89" t="n">
        <v>0</v>
      </c>
      <c r="BX64" s="89" t="n">
        <v>0</v>
      </c>
      <c r="BY64" s="89" t="n">
        <v>0</v>
      </c>
    </row>
    <row r="65" ht="17" customHeight="1">
      <c r="A65" s="82" t="n">
        <v>63</v>
      </c>
      <c r="B65" s="83" t="inlineStr">
        <is>
          <t>CARR</t>
        </is>
      </c>
      <c r="C65" s="84" t="inlineStr">
        <is>
          <t>CARRIER GLOBAL CORPORATION</t>
        </is>
      </c>
      <c r="D65" s="82" t="inlineStr">
        <is>
          <t>Industrials</t>
        </is>
      </c>
      <c r="E65" s="82" t="n">
        <v>2026</v>
      </c>
      <c r="F65" s="85" t="n">
        <v>37190</v>
      </c>
      <c r="G65" s="85" t="n">
        <v>8533</v>
      </c>
      <c r="H65" s="85" t="n">
        <v>7114</v>
      </c>
      <c r="I65" s="85" t="n">
        <v>23062</v>
      </c>
      <c r="J65" s="85" t="n">
        <v>12193</v>
      </c>
      <c r="K65" s="85" t="n">
        <v>2172</v>
      </c>
      <c r="L65" s="85" t="n">
        <v>21747</v>
      </c>
      <c r="M65" s="85" t="n">
        <v>1484</v>
      </c>
      <c r="N65" s="85" t="n">
        <v>2513</v>
      </c>
      <c r="O65" s="85" t="n">
        <v>5242</v>
      </c>
      <c r="P65" s="85" t="n">
        <v>10227</v>
      </c>
      <c r="Q65" s="85" t="n">
        <v>14128</v>
      </c>
      <c r="R65" s="85" t="n">
        <v>3092</v>
      </c>
      <c r="S65" s="85" t="n">
        <v>1274</v>
      </c>
      <c r="T65" s="85" t="n">
        <v>2639</v>
      </c>
      <c r="U65" s="85" t="n">
        <v>3165</v>
      </c>
      <c r="V65" s="85" t="n">
        <v>458</v>
      </c>
      <c r="W65" s="85" t="n">
        <v>37403</v>
      </c>
      <c r="X65" s="85" t="n">
        <v>9891</v>
      </c>
      <c r="Y65" s="85" t="n">
        <v>7892</v>
      </c>
      <c r="Z65" s="85" t="n">
        <v>23008</v>
      </c>
      <c r="AA65" s="85" t="n">
        <v>2646</v>
      </c>
      <c r="AB65" s="85" t="n">
        <v>22486</v>
      </c>
      <c r="AC65" s="85" t="n">
        <v>5604</v>
      </c>
      <c r="AD65" s="85" t="n">
        <v>563</v>
      </c>
      <c r="AE65" s="85" t="n">
        <v>8697</v>
      </c>
      <c r="AF65" s="85" t="n">
        <v>319</v>
      </c>
      <c r="AG65" s="91" t="inlineStr">
        <is>
          <t>N/A</t>
        </is>
      </c>
      <c r="AH65" s="85" t="n">
        <v>22486</v>
      </c>
      <c r="AI65" s="85" t="n">
        <v>37403</v>
      </c>
      <c r="AJ65" s="85" t="n">
        <v>1798</v>
      </c>
      <c r="AK65" s="85" t="n">
        <v>2274</v>
      </c>
      <c r="AL65" s="85" t="n">
        <v>240</v>
      </c>
      <c r="AM65" s="85" t="n">
        <v>1062</v>
      </c>
      <c r="AN65" s="85" t="n">
        <v>392</v>
      </c>
      <c r="AO65" s="85" t="n">
        <v>519</v>
      </c>
      <c r="AP65" s="85" t="n">
        <v>2483</v>
      </c>
      <c r="AQ65" s="85" t="n">
        <v>2299</v>
      </c>
      <c r="AR65" s="85" t="n">
        <v>15501</v>
      </c>
      <c r="AS65" s="85" t="n">
        <v>6326</v>
      </c>
      <c r="AT65" s="85" t="n">
        <v>468</v>
      </c>
      <c r="AU65" s="85" t="n">
        <v>625</v>
      </c>
      <c r="AV65" s="85" t="n">
        <v>1555</v>
      </c>
      <c r="AW65" s="85" t="n">
        <v>3969</v>
      </c>
      <c r="AX65" s="85" t="n">
        <v>10695</v>
      </c>
      <c r="AY65" s="85" t="n">
        <v>1655</v>
      </c>
      <c r="AZ65" s="85" t="n">
        <v>9140</v>
      </c>
      <c r="BA65" s="85" t="n">
        <v>2121</v>
      </c>
      <c r="BB65" s="85" t="n">
        <v>836.1</v>
      </c>
      <c r="BC65" s="85" t="n">
        <v>878.3</v>
      </c>
      <c r="BD65" s="85" t="n">
        <v>2651</v>
      </c>
      <c r="BE65" s="85" t="n">
        <v>2999</v>
      </c>
      <c r="BF65" s="85" t="n">
        <v>3197</v>
      </c>
      <c r="BG65" s="85" t="n">
        <v>1232</v>
      </c>
      <c r="BH65" s="85" t="n">
        <v>-307</v>
      </c>
      <c r="BI65" s="85" t="n">
        <v>-2025</v>
      </c>
      <c r="BJ65" s="85" t="n">
        <v>2702</v>
      </c>
      <c r="BK65" s="85" t="n">
        <v>2458</v>
      </c>
      <c r="BL65" s="85" t="n">
        <v>691</v>
      </c>
      <c r="BM65" s="85" t="n">
        <v>553</v>
      </c>
      <c r="BN65" s="85" t="n">
        <v>234</v>
      </c>
      <c r="BO65" s="85" t="n">
        <v>16505</v>
      </c>
      <c r="BP65" s="85" t="n">
        <v>13789</v>
      </c>
      <c r="BQ65" s="85" t="n">
        <v>0</v>
      </c>
      <c r="BR65" s="85" t="n">
        <v>0</v>
      </c>
      <c r="BS65" s="85" t="n">
        <v>0</v>
      </c>
      <c r="BT65" s="85" t="n">
        <v>0</v>
      </c>
      <c r="BU65" s="85" t="n">
        <v>0</v>
      </c>
      <c r="BV65" s="85" t="n">
        <v>0</v>
      </c>
      <c r="BW65" s="85" t="n">
        <v>0</v>
      </c>
      <c r="BX65" s="85" t="n">
        <v>0</v>
      </c>
      <c r="BY65" s="85" t="n">
        <v>0</v>
      </c>
    </row>
    <row r="66" ht="17" customHeight="1">
      <c r="A66" s="86" t="n">
        <v>64</v>
      </c>
      <c r="B66" s="87" t="inlineStr">
        <is>
          <t>T</t>
        </is>
      </c>
      <c r="C66" s="88" t="inlineStr">
        <is>
          <t>AT&amp;T INC.</t>
        </is>
      </c>
      <c r="D66" s="86" t="inlineStr">
        <is>
          <t>Communication Services</t>
        </is>
      </c>
      <c r="E66" s="86" t="n">
        <v>2026</v>
      </c>
      <c r="F66" s="89" t="n">
        <v>420198</v>
      </c>
      <c r="G66" s="89" t="n">
        <v>48732</v>
      </c>
      <c r="H66" s="89" t="n">
        <v>53780</v>
      </c>
      <c r="I66" s="89" t="n">
        <v>279032</v>
      </c>
      <c r="J66" s="89" t="n">
        <v>15768</v>
      </c>
      <c r="K66" s="89" t="n">
        <v>24162</v>
      </c>
      <c r="L66" s="89" t="n">
        <v>125648</v>
      </c>
      <c r="M66" s="89" t="n">
        <v>21953</v>
      </c>
      <c r="N66" s="89" t="n">
        <v>40284</v>
      </c>
      <c r="O66" s="89" t="n">
        <v>65037</v>
      </c>
      <c r="P66" s="89" t="n">
        <v>134718</v>
      </c>
      <c r="Q66" s="89" t="n">
        <v>126491</v>
      </c>
      <c r="R66" s="89" t="n">
        <v>28942</v>
      </c>
      <c r="S66" s="89" t="n">
        <v>20886</v>
      </c>
      <c r="T66" s="89" t="n">
        <v>8843</v>
      </c>
      <c r="U66" s="89" t="n">
        <v>130128</v>
      </c>
      <c r="V66" s="89" t="n">
        <v>6704</v>
      </c>
      <c r="W66" s="89" t="n">
        <v>394795</v>
      </c>
      <c r="X66" s="89" t="n">
        <v>31168</v>
      </c>
      <c r="Y66" s="89" t="n">
        <v>46872</v>
      </c>
      <c r="Z66" s="89" t="n">
        <v>206564</v>
      </c>
      <c r="AA66" s="89" t="n">
        <v>19049</v>
      </c>
      <c r="AB66" s="89" t="n">
        <v>122336</v>
      </c>
      <c r="AC66" s="89" t="n">
        <v>10948</v>
      </c>
      <c r="AD66" s="89" t="n">
        <v>38771</v>
      </c>
      <c r="AE66" s="89" t="n">
        <v>70872</v>
      </c>
      <c r="AF66" s="89" t="n">
        <v>122116</v>
      </c>
      <c r="AG66" s="90" t="inlineStr">
        <is>
          <t>N/A</t>
        </is>
      </c>
      <c r="AH66" s="89" t="n">
        <v>122336</v>
      </c>
      <c r="AI66" s="89" t="n">
        <v>394795</v>
      </c>
      <c r="AJ66" s="89" t="n">
        <v>27007</v>
      </c>
      <c r="AK66" s="89" t="n">
        <v>16698</v>
      </c>
      <c r="AL66" s="89" t="n">
        <v>3621</v>
      </c>
      <c r="AM66" s="89" t="n">
        <v>4445</v>
      </c>
      <c r="AN66" s="89" t="n">
        <v>20647</v>
      </c>
      <c r="AO66" s="89" t="n">
        <v>21516</v>
      </c>
      <c r="AP66" s="89" t="n">
        <v>3592</v>
      </c>
      <c r="AQ66" s="89" t="n">
        <v>2864</v>
      </c>
      <c r="AR66" s="89" t="n">
        <v>63425</v>
      </c>
      <c r="AS66" s="89" t="n">
        <v>130711</v>
      </c>
      <c r="AT66" s="89" t="n">
        <v>9011</v>
      </c>
      <c r="AU66" s="90" t="inlineStr">
        <is>
          <t>N/A</t>
        </is>
      </c>
      <c r="AV66" s="89" t="n">
        <v>18234</v>
      </c>
      <c r="AW66" s="89" t="n">
        <v>3298</v>
      </c>
      <c r="AX66" s="89" t="n">
        <v>143729</v>
      </c>
      <c r="AY66" s="89" t="n">
        <v>127205</v>
      </c>
      <c r="AZ66" s="89" t="n">
        <v>125495</v>
      </c>
      <c r="BA66" s="89" t="n">
        <v>19637</v>
      </c>
      <c r="BB66" s="89" t="n">
        <v>7620.7</v>
      </c>
      <c r="BC66" s="89" t="n">
        <v>7620.7</v>
      </c>
      <c r="BD66" s="89" t="n">
        <v>9638</v>
      </c>
      <c r="BE66" s="89" t="n">
        <v>131473</v>
      </c>
      <c r="BF66" s="89" t="n">
        <v>28411</v>
      </c>
      <c r="BG66" s="89" t="n">
        <v>20580</v>
      </c>
      <c r="BH66" s="89" t="n">
        <v>-18777</v>
      </c>
      <c r="BI66" s="89" t="n">
        <v>-17490</v>
      </c>
      <c r="BJ66" s="89" t="n">
        <v>29910</v>
      </c>
      <c r="BK66" s="89" t="n">
        <v>27433</v>
      </c>
      <c r="BL66" s="89" t="n">
        <v>904</v>
      </c>
      <c r="BM66" s="89" t="n">
        <v>1278</v>
      </c>
      <c r="BN66" s="89" t="n">
        <v>1019</v>
      </c>
      <c r="BO66" s="89" t="n">
        <v>60611</v>
      </c>
      <c r="BP66" s="89" t="n">
        <v>51464</v>
      </c>
      <c r="BQ66" s="89" t="n">
        <v>0</v>
      </c>
      <c r="BR66" s="89" t="n">
        <v>0</v>
      </c>
      <c r="BS66" s="89" t="n">
        <v>0</v>
      </c>
      <c r="BT66" s="89" t="n">
        <v>0</v>
      </c>
      <c r="BU66" s="89" t="n">
        <v>0</v>
      </c>
      <c r="BV66" s="89" t="n">
        <v>0</v>
      </c>
      <c r="BW66" s="89" t="n">
        <v>0</v>
      </c>
      <c r="BX66" s="89" t="n">
        <v>0</v>
      </c>
      <c r="BY66" s="89" t="n">
        <v>0</v>
      </c>
    </row>
    <row r="67" ht="17" customHeight="1">
      <c r="A67" s="82" t="n">
        <v>65</v>
      </c>
      <c r="B67" s="83" t="inlineStr">
        <is>
          <t>ADI</t>
        </is>
      </c>
      <c r="C67" s="84" t="inlineStr">
        <is>
          <t>Analog Devices, Inc.</t>
        </is>
      </c>
      <c r="D67" s="82" t="inlineStr">
        <is>
          <t>Information Technology</t>
        </is>
      </c>
      <c r="E67" s="82" t="n">
        <v>2026</v>
      </c>
      <c r="F67" s="85" t="n">
        <v>47992.7</v>
      </c>
      <c r="G67" s="85" t="n">
        <v>7108.1</v>
      </c>
      <c r="H67" s="85" t="n">
        <v>3245.8</v>
      </c>
      <c r="I67" s="85" t="n">
        <v>47992.7</v>
      </c>
      <c r="J67" s="85" t="n">
        <v>10539.5</v>
      </c>
      <c r="K67" s="85" t="n">
        <v>2932.5</v>
      </c>
      <c r="L67" s="85" t="n">
        <v>6200.9</v>
      </c>
      <c r="M67" s="85" t="n">
        <v>2267.3</v>
      </c>
      <c r="N67" s="85" t="n">
        <v>4812.2</v>
      </c>
      <c r="O67" s="85" t="n">
        <v>6773.5</v>
      </c>
      <c r="P67" s="85" t="n">
        <v>8145.1</v>
      </c>
      <c r="Q67" s="85" t="n">
        <v>33815.8</v>
      </c>
      <c r="R67" s="85" t="n">
        <v>1255.3</v>
      </c>
      <c r="S67" s="85" t="n">
        <v>406.8</v>
      </c>
      <c r="T67" s="85" t="n">
        <v>1436.1</v>
      </c>
      <c r="U67" s="85" t="n">
        <v>3315.7</v>
      </c>
      <c r="V67" s="85" t="n">
        <v>264.6</v>
      </c>
      <c r="W67" s="85" t="n">
        <v>48228.3</v>
      </c>
      <c r="X67" s="85" t="n">
        <v>5484.7</v>
      </c>
      <c r="Y67" s="85" t="n">
        <v>2988.3</v>
      </c>
      <c r="Z67" s="85" t="n">
        <v>48228.3</v>
      </c>
      <c r="AA67" s="85" t="n">
        <v>2032.8</v>
      </c>
      <c r="AB67" s="85" t="n">
        <v>1596.6</v>
      </c>
      <c r="AC67" s="85" t="n">
        <v>1635.3</v>
      </c>
      <c r="AD67" s="85" t="n">
        <v>3852.5</v>
      </c>
      <c r="AE67" s="85" t="n">
        <v>5381.3</v>
      </c>
      <c r="AF67" s="85" t="n">
        <v>6634.3</v>
      </c>
      <c r="AG67" s="85" t="n">
        <v>35176.3</v>
      </c>
      <c r="AH67" s="85" t="n">
        <v>1572.7</v>
      </c>
      <c r="AI67" s="85" t="n">
        <v>48228.3</v>
      </c>
      <c r="AJ67" s="85" t="n">
        <v>2712.1</v>
      </c>
      <c r="AK67" s="85" t="n">
        <v>1777.3</v>
      </c>
      <c r="AL67" s="85" t="n">
        <v>444.8</v>
      </c>
      <c r="AM67" s="85" t="n">
        <v>142.1</v>
      </c>
      <c r="AN67" s="85" t="n">
        <v>533.6</v>
      </c>
      <c r="AO67" s="85" t="n">
        <v>730.5</v>
      </c>
      <c r="AP67" s="85" t="n">
        <v>1656.3</v>
      </c>
      <c r="AQ67" s="85" t="n">
        <v>1447.7</v>
      </c>
      <c r="AR67" s="85" t="n">
        <v>26945.2</v>
      </c>
      <c r="AS67" s="85" t="n">
        <v>8013.8</v>
      </c>
      <c r="AT67" s="85" t="n">
        <v>446.6</v>
      </c>
      <c r="AU67" s="85" t="n">
        <v>1766</v>
      </c>
      <c r="AV67" s="85" t="n">
        <v>2499.4</v>
      </c>
      <c r="AW67" s="85" t="n">
        <v>1991.3</v>
      </c>
      <c r="AX67" s="85" t="n">
        <v>8591.700000000001</v>
      </c>
      <c r="AY67" s="85" t="n">
        <v>7582.1</v>
      </c>
      <c r="AZ67" s="85" t="n">
        <v>6092.3</v>
      </c>
      <c r="BA67" s="85" t="n">
        <v>4278.6</v>
      </c>
      <c r="BB67" s="85" t="n">
        <v>489.7</v>
      </c>
      <c r="BC67" s="85" t="n">
        <v>496.3</v>
      </c>
      <c r="BD67" s="85" t="n">
        <v>1336.3</v>
      </c>
      <c r="BE67" s="85" t="n">
        <v>3415.6</v>
      </c>
      <c r="BF67" s="85" t="n">
        <v>1068.6</v>
      </c>
      <c r="BG67" s="85" t="n">
        <v>362.8</v>
      </c>
      <c r="BH67" s="85" t="n">
        <v>-1321.5</v>
      </c>
      <c r="BI67" s="85" t="n">
        <v>-1104.9</v>
      </c>
      <c r="BJ67" s="85" t="n">
        <v>543.8</v>
      </c>
      <c r="BK67" s="85" t="n">
        <v>487.5</v>
      </c>
      <c r="BL67" s="91" t="inlineStr">
        <is>
          <t>N/A</t>
        </is>
      </c>
      <c r="BM67" s="91" t="inlineStr">
        <is>
          <t>N/A</t>
        </is>
      </c>
      <c r="BN67" s="85" t="n">
        <v>610.4</v>
      </c>
      <c r="BO67" s="85" t="n">
        <v>4246.2</v>
      </c>
      <c r="BP67" s="85" t="n">
        <v>4045.8</v>
      </c>
      <c r="BQ67" s="85" t="n">
        <v>0</v>
      </c>
      <c r="BR67" s="85" t="n">
        <v>0</v>
      </c>
      <c r="BS67" s="85" t="n">
        <v>0</v>
      </c>
      <c r="BT67" s="85" t="n">
        <v>0</v>
      </c>
      <c r="BU67" s="85" t="n">
        <v>0</v>
      </c>
      <c r="BV67" s="85" t="n">
        <v>0</v>
      </c>
      <c r="BW67" s="85" t="n">
        <v>0</v>
      </c>
      <c r="BX67" s="85" t="n">
        <v>0</v>
      </c>
      <c r="BY67" s="85" t="n">
        <v>0</v>
      </c>
    </row>
    <row r="68" ht="17" customHeight="1">
      <c r="A68" s="86" t="n">
        <v>66</v>
      </c>
      <c r="B68" s="87" t="inlineStr">
        <is>
          <t>CPB</t>
        </is>
      </c>
      <c r="C68" s="88" t="inlineStr">
        <is>
          <t>THE CAMPBELL'S COMPANY</t>
        </is>
      </c>
      <c r="D68" s="86" t="inlineStr">
        <is>
          <t>Consumer Staples</t>
        </is>
      </c>
      <c r="E68" s="86" t="n">
        <v>2026</v>
      </c>
      <c r="F68" s="89" t="n">
        <v>14896</v>
      </c>
      <c r="G68" s="89" t="n">
        <v>2232</v>
      </c>
      <c r="H68" s="89" t="n">
        <v>2906</v>
      </c>
      <c r="I68" s="89" t="n">
        <v>10992</v>
      </c>
      <c r="J68" s="89" t="n">
        <v>4694</v>
      </c>
      <c r="K68" s="89" t="n">
        <v>1124</v>
      </c>
      <c r="L68" s="89" t="n">
        <v>10253</v>
      </c>
      <c r="M68" s="89" t="n">
        <v>602</v>
      </c>
      <c r="N68" s="89" t="n">
        <v>1131</v>
      </c>
      <c r="O68" s="89" t="n">
        <v>747</v>
      </c>
      <c r="P68" s="89" t="n">
        <v>8595</v>
      </c>
      <c r="Q68" s="89" t="n">
        <v>3902</v>
      </c>
      <c r="R68" s="89" t="n">
        <v>674</v>
      </c>
      <c r="S68" s="89" t="n">
        <v>434</v>
      </c>
      <c r="T68" s="89" t="n">
        <v>541</v>
      </c>
      <c r="U68" s="89" t="n">
        <v>2767</v>
      </c>
      <c r="V68" s="89" t="n">
        <v>345</v>
      </c>
      <c r="W68" s="89" t="n">
        <v>15235</v>
      </c>
      <c r="X68" s="89" t="n">
        <v>2190</v>
      </c>
      <c r="Y68" s="89" t="n">
        <v>3576</v>
      </c>
      <c r="Z68" s="89" t="n">
        <v>11439</v>
      </c>
      <c r="AA68" s="89" t="n">
        <v>1000</v>
      </c>
      <c r="AB68" s="89" t="n">
        <v>9636</v>
      </c>
      <c r="AC68" s="89" t="n">
        <v>567</v>
      </c>
      <c r="AD68" s="89" t="n">
        <v>1185</v>
      </c>
      <c r="AE68" s="89" t="n">
        <v>772</v>
      </c>
      <c r="AF68" s="89" t="n">
        <v>2499</v>
      </c>
      <c r="AG68" s="89" t="n">
        <v>3794</v>
      </c>
      <c r="AH68" s="89" t="n">
        <v>9636</v>
      </c>
      <c r="AI68" s="89" t="n">
        <v>15235</v>
      </c>
      <c r="AJ68" s="89" t="n">
        <v>796</v>
      </c>
      <c r="AK68" s="89" t="n">
        <v>757</v>
      </c>
      <c r="AL68" s="89" t="n">
        <v>194</v>
      </c>
      <c r="AM68" s="89" t="n">
        <v>190</v>
      </c>
      <c r="AN68" s="89" t="n">
        <v>426</v>
      </c>
      <c r="AO68" s="89" t="n">
        <v>517</v>
      </c>
      <c r="AP68" s="89" t="n">
        <v>1424</v>
      </c>
      <c r="AQ68" s="89" t="n">
        <v>1386</v>
      </c>
      <c r="AR68" s="89" t="n">
        <v>4991</v>
      </c>
      <c r="AS68" s="89" t="n">
        <v>678</v>
      </c>
      <c r="AT68" s="90" t="inlineStr">
        <is>
          <t>N/A</t>
        </is>
      </c>
      <c r="AU68" s="89" t="n">
        <v>100</v>
      </c>
      <c r="AV68" s="89" t="n">
        <v>132</v>
      </c>
      <c r="AW68" s="89" t="n">
        <v>108</v>
      </c>
      <c r="AX68" s="89" t="n">
        <v>8595</v>
      </c>
      <c r="AY68" s="89" t="n">
        <v>3065</v>
      </c>
      <c r="AZ68" s="89" t="n">
        <v>8463</v>
      </c>
      <c r="BA68" s="89" t="n">
        <v>705</v>
      </c>
      <c r="BB68" s="89" t="n">
        <v>323</v>
      </c>
      <c r="BC68" s="89" t="n">
        <v>323</v>
      </c>
      <c r="BD68" s="89" t="n">
        <v>587</v>
      </c>
      <c r="BE68" s="89" t="n">
        <v>2698</v>
      </c>
      <c r="BF68" s="89" t="n">
        <v>737</v>
      </c>
      <c r="BG68" s="89" t="n">
        <v>411</v>
      </c>
      <c r="BH68" s="89" t="n">
        <v>-187</v>
      </c>
      <c r="BI68" s="89" t="n">
        <v>-3128</v>
      </c>
      <c r="BJ68" s="89" t="n">
        <v>1332</v>
      </c>
      <c r="BK68" s="89" t="n">
        <v>1311</v>
      </c>
      <c r="BL68" s="90" t="inlineStr">
        <is>
          <t>N/A</t>
        </is>
      </c>
      <c r="BM68" s="90" t="inlineStr">
        <is>
          <t>N/A</t>
        </is>
      </c>
      <c r="BN68" s="89" t="n">
        <v>4</v>
      </c>
      <c r="BO68" s="89" t="n">
        <v>7134</v>
      </c>
      <c r="BP68" s="89" t="n">
        <v>6665</v>
      </c>
      <c r="BQ68" s="89" t="n">
        <v>0</v>
      </c>
      <c r="BR68" s="89" t="n">
        <v>0</v>
      </c>
      <c r="BS68" s="89" t="n">
        <v>0</v>
      </c>
      <c r="BT68" s="89" t="n">
        <v>0</v>
      </c>
      <c r="BU68" s="89" t="n">
        <v>0</v>
      </c>
      <c r="BV68" s="89" t="n">
        <v>0</v>
      </c>
      <c r="BW68" s="89" t="n">
        <v>0</v>
      </c>
      <c r="BX68" s="89" t="n">
        <v>0</v>
      </c>
      <c r="BY68" s="89" t="n">
        <v>0</v>
      </c>
    </row>
    <row r="69" ht="17" customHeight="1">
      <c r="A69" s="82" t="n">
        <v>67</v>
      </c>
      <c r="B69" s="83" t="inlineStr">
        <is>
          <t>FIX</t>
        </is>
      </c>
      <c r="C69" s="84" t="inlineStr">
        <is>
          <t>COMFORT SYSTEMS USA, INC.</t>
        </is>
      </c>
      <c r="D69" s="82" t="inlineStr">
        <is>
          <t>Industrials</t>
        </is>
      </c>
      <c r="E69" s="82" t="n">
        <v>2026</v>
      </c>
      <c r="F69" s="85" t="n">
        <v>6441.2</v>
      </c>
      <c r="G69" s="85" t="n">
        <v>4110.6</v>
      </c>
      <c r="H69" s="85" t="n">
        <v>3393.8</v>
      </c>
      <c r="I69" s="85" t="n">
        <v>3992.4</v>
      </c>
      <c r="J69" s="85" t="n">
        <v>2581.1</v>
      </c>
      <c r="K69" s="85" t="n">
        <v>1314.6</v>
      </c>
      <c r="L69" s="85" t="n">
        <v>9101.6</v>
      </c>
      <c r="M69" s="85" t="n">
        <v>1022.6</v>
      </c>
      <c r="N69" s="85" t="n">
        <v>1186.4</v>
      </c>
      <c r="O69" s="85" t="n">
        <v>2195.9</v>
      </c>
      <c r="P69" s="85" t="n">
        <v>145.2</v>
      </c>
      <c r="Q69" s="85" t="n">
        <v>2448.8</v>
      </c>
      <c r="R69" s="85" t="n">
        <v>883.3</v>
      </c>
      <c r="S69" s="85" t="n">
        <v>62.4</v>
      </c>
      <c r="T69" s="85" t="n">
        <v>382.9</v>
      </c>
      <c r="U69" s="85" t="n">
        <v>388</v>
      </c>
      <c r="V69" s="85" t="n">
        <v>9</v>
      </c>
      <c r="W69" s="85" t="n">
        <v>4711.1</v>
      </c>
      <c r="X69" s="85" t="n">
        <v>2790.2</v>
      </c>
      <c r="Y69" s="85" t="n">
        <v>2582.8</v>
      </c>
      <c r="Z69" s="85" t="n">
        <v>3006.4</v>
      </c>
      <c r="AA69" s="85" t="n">
        <v>749.4</v>
      </c>
      <c r="AB69" s="85" t="n">
        <v>7027.5</v>
      </c>
      <c r="AC69" s="85" t="n">
        <v>522.4</v>
      </c>
      <c r="AD69" s="85" t="n">
        <v>849.1</v>
      </c>
      <c r="AE69" s="85" t="n">
        <v>1476.4</v>
      </c>
      <c r="AF69" s="85" t="n">
        <v>68.3</v>
      </c>
      <c r="AG69" s="85" t="n">
        <v>1704.7</v>
      </c>
      <c r="AH69" s="85" t="n">
        <v>7027.5</v>
      </c>
      <c r="AI69" s="85" t="n">
        <v>4711.1</v>
      </c>
      <c r="AJ69" s="85" t="n">
        <v>1293.5</v>
      </c>
      <c r="AK69" s="85" t="n">
        <v>666.6</v>
      </c>
      <c r="AL69" s="85" t="n">
        <v>270.9</v>
      </c>
      <c r="AM69" s="85" t="n">
        <v>144.1</v>
      </c>
      <c r="AN69" s="85" t="n">
        <v>154.9</v>
      </c>
      <c r="AO69" s="85" t="n">
        <v>111.1</v>
      </c>
      <c r="AP69" s="85" t="n">
        <v>84.09999999999999</v>
      </c>
      <c r="AQ69" s="85" t="n">
        <v>59.2</v>
      </c>
      <c r="AR69" s="85" t="n">
        <v>1025.5</v>
      </c>
      <c r="AS69" s="85" t="n">
        <v>485.2</v>
      </c>
      <c r="AT69" s="85" t="n">
        <v>0.5</v>
      </c>
      <c r="AU69" s="91" t="inlineStr">
        <is>
          <t>N/A</t>
        </is>
      </c>
      <c r="AV69" s="85" t="n">
        <v>981.9</v>
      </c>
      <c r="AW69" s="85" t="n">
        <v>549.9</v>
      </c>
      <c r="AX69" s="85" t="n">
        <v>145.7</v>
      </c>
      <c r="AY69" s="85" t="n">
        <v>68.59999999999999</v>
      </c>
      <c r="AZ69" s="85" t="n">
        <v>-836.2</v>
      </c>
      <c r="BA69" s="85" t="n">
        <v>1031.5</v>
      </c>
      <c r="BB69" s="85" t="n">
        <v>35.2</v>
      </c>
      <c r="BC69" s="85" t="n">
        <v>35.6</v>
      </c>
      <c r="BD69" s="85" t="n">
        <v>318.8</v>
      </c>
      <c r="BE69" s="85" t="n">
        <v>277.2</v>
      </c>
      <c r="BF69" s="85" t="n">
        <v>730.1</v>
      </c>
      <c r="BG69" s="85" t="n">
        <v>48.2</v>
      </c>
      <c r="BH69" s="85" t="n">
        <v>-467.3</v>
      </c>
      <c r="BI69" s="85" t="n">
        <v>-343.5</v>
      </c>
      <c r="BJ69" s="85" t="n">
        <v>696.3</v>
      </c>
      <c r="BK69" s="85" t="n">
        <v>654.9</v>
      </c>
      <c r="BL69" s="85" t="n">
        <v>13.7</v>
      </c>
      <c r="BM69" s="85" t="n">
        <v>4.6</v>
      </c>
      <c r="BN69" s="91" t="inlineStr">
        <is>
          <t>N/A</t>
        </is>
      </c>
      <c r="BO69" s="85" t="n">
        <v>1421.6</v>
      </c>
      <c r="BP69" s="85" t="n">
        <v>1290.3</v>
      </c>
      <c r="BQ69" s="85" t="n">
        <v>0</v>
      </c>
      <c r="BR69" s="85" t="n">
        <v>0</v>
      </c>
      <c r="BS69" s="85" t="n">
        <v>0</v>
      </c>
      <c r="BT69" s="85" t="n">
        <v>0</v>
      </c>
      <c r="BU69" s="85" t="n">
        <v>0</v>
      </c>
      <c r="BV69" s="85" t="n">
        <v>0</v>
      </c>
      <c r="BW69" s="85" t="n">
        <v>0</v>
      </c>
      <c r="BX69" s="85" t="n">
        <v>0</v>
      </c>
      <c r="BY69" s="85" t="n">
        <v>0</v>
      </c>
    </row>
    <row r="70" ht="17" customHeight="1">
      <c r="A70" s="86" t="n">
        <v>68</v>
      </c>
      <c r="B70" s="87" t="inlineStr">
        <is>
          <t>MSFT</t>
        </is>
      </c>
      <c r="C70" s="88" t="inlineStr">
        <is>
          <t>MICROSOFT CORPORATION</t>
        </is>
      </c>
      <c r="D70" s="86" t="inlineStr">
        <is>
          <t>Information Technology</t>
        </is>
      </c>
      <c r="E70" s="86" t="n">
        <v>2026</v>
      </c>
      <c r="F70" s="89" t="n">
        <v>619003</v>
      </c>
      <c r="G70" s="89" t="n">
        <v>191131</v>
      </c>
      <c r="H70" s="89" t="n">
        <v>141218</v>
      </c>
      <c r="I70" s="89" t="n">
        <v>275524</v>
      </c>
      <c r="J70" s="89" t="n">
        <v>237731</v>
      </c>
      <c r="K70" s="89" t="n">
        <v>128528</v>
      </c>
      <c r="L70" s="89" t="n">
        <v>62484</v>
      </c>
      <c r="M70" s="89" t="n">
        <v>101832</v>
      </c>
      <c r="N70" s="89" t="n">
        <v>136162</v>
      </c>
      <c r="O70" s="89" t="n">
        <v>193893</v>
      </c>
      <c r="P70" s="89" t="n">
        <v>43151</v>
      </c>
      <c r="Q70" s="89" t="n">
        <v>343479</v>
      </c>
      <c r="R70" s="89" t="n">
        <v>7223</v>
      </c>
      <c r="S70" s="89" t="n">
        <v>22000</v>
      </c>
      <c r="T70" s="89" t="n">
        <v>69905</v>
      </c>
      <c r="U70" s="89" t="n">
        <v>204966</v>
      </c>
      <c r="V70" s="89" t="n">
        <v>2935</v>
      </c>
      <c r="W70" s="89" t="n">
        <v>512163</v>
      </c>
      <c r="X70" s="89" t="n">
        <v>159734</v>
      </c>
      <c r="Y70" s="89" t="n">
        <v>125286</v>
      </c>
      <c r="Z70" s="89" t="n">
        <v>243686</v>
      </c>
      <c r="AA70" s="89" t="n">
        <v>109433</v>
      </c>
      <c r="AB70" s="89" t="n">
        <v>16039</v>
      </c>
      <c r="AC70" s="89" t="n">
        <v>88136</v>
      </c>
      <c r="AD70" s="89" t="n">
        <v>118548</v>
      </c>
      <c r="AE70" s="89" t="n">
        <v>171008</v>
      </c>
      <c r="AF70" s="89" t="n">
        <v>44937</v>
      </c>
      <c r="AG70" s="89" t="n">
        <v>268477</v>
      </c>
      <c r="AH70" s="89" t="n">
        <v>14503</v>
      </c>
      <c r="AI70" s="89" t="n">
        <v>512163</v>
      </c>
      <c r="AJ70" s="89" t="n">
        <v>123627</v>
      </c>
      <c r="AK70" s="89" t="n">
        <v>107787</v>
      </c>
      <c r="AL70" s="89" t="n">
        <v>21795</v>
      </c>
      <c r="AM70" s="89" t="n">
        <v>19651</v>
      </c>
      <c r="AN70" s="89" t="n">
        <v>64551</v>
      </c>
      <c r="AO70" s="89" t="n">
        <v>44477</v>
      </c>
      <c r="AP70" s="89" t="n">
        <v>938</v>
      </c>
      <c r="AQ70" s="89" t="n">
        <v>1246</v>
      </c>
      <c r="AR70" s="89" t="n">
        <v>119509</v>
      </c>
      <c r="AS70" s="89" t="n">
        <v>22604</v>
      </c>
      <c r="AT70" s="90" t="inlineStr">
        <is>
          <t>N/A</t>
        </is>
      </c>
      <c r="AU70" s="89" t="n">
        <v>32488</v>
      </c>
      <c r="AV70" s="89" t="n">
        <v>30242</v>
      </c>
      <c r="AW70" s="89" t="n">
        <v>18315</v>
      </c>
      <c r="AX70" s="89" t="n">
        <v>43151</v>
      </c>
      <c r="AY70" s="89" t="n">
        <v>54009</v>
      </c>
      <c r="AZ70" s="89" t="n">
        <v>12909</v>
      </c>
      <c r="BA70" s="89" t="n">
        <v>71611</v>
      </c>
      <c r="BB70" s="89" t="n">
        <v>7434</v>
      </c>
      <c r="BC70" s="89" t="n">
        <v>7434</v>
      </c>
      <c r="BD70" s="89" t="n">
        <v>56924</v>
      </c>
      <c r="BE70" s="89" t="n">
        <v>135591</v>
      </c>
      <c r="BF70" s="89" t="n">
        <v>7609</v>
      </c>
      <c r="BG70" s="89" t="n">
        <v>15200</v>
      </c>
      <c r="BH70" s="89" t="n">
        <v>-72599</v>
      </c>
      <c r="BI70" s="89" t="n">
        <v>-96970</v>
      </c>
      <c r="BJ70" s="89" t="n">
        <v>27724</v>
      </c>
      <c r="BK70" s="89" t="n">
        <v>21996</v>
      </c>
      <c r="BL70" s="89" t="n">
        <v>34102</v>
      </c>
      <c r="BM70" s="89" t="n">
        <v>27468</v>
      </c>
      <c r="BN70" s="89" t="n">
        <v>7211</v>
      </c>
      <c r="BO70" s="89" t="n">
        <v>87831</v>
      </c>
      <c r="BP70" s="89" t="n">
        <v>74114</v>
      </c>
      <c r="BQ70" s="89" t="n">
        <v>0</v>
      </c>
      <c r="BR70" s="89" t="n">
        <v>0</v>
      </c>
      <c r="BS70" s="89" t="n">
        <v>0</v>
      </c>
      <c r="BT70" s="89" t="n">
        <v>0</v>
      </c>
      <c r="BU70" s="89" t="n">
        <v>0</v>
      </c>
      <c r="BV70" s="89" t="n">
        <v>0</v>
      </c>
      <c r="BW70" s="89" t="n">
        <v>0</v>
      </c>
      <c r="BX70" s="89" t="n">
        <v>0</v>
      </c>
      <c r="BY70" s="89" t="n">
        <v>0</v>
      </c>
    </row>
    <row r="71" ht="17" customHeight="1">
      <c r="A71" s="82" t="n">
        <v>69</v>
      </c>
      <c r="B71" s="83" t="inlineStr">
        <is>
          <t>FIVN</t>
        </is>
      </c>
      <c r="C71" s="84" t="inlineStr">
        <is>
          <t>FIVE9, INC.</t>
        </is>
      </c>
      <c r="D71" s="82" t="inlineStr">
        <is>
          <t>Information Technology</t>
        </is>
      </c>
      <c r="E71" s="82" t="n">
        <v>2026</v>
      </c>
      <c r="F71" s="85" t="n">
        <v>1790.1</v>
      </c>
      <c r="G71" s="85" t="n">
        <v>959.7</v>
      </c>
      <c r="H71" s="85" t="n">
        <v>213</v>
      </c>
      <c r="I71" s="85" t="n">
        <v>1004.3</v>
      </c>
      <c r="J71" s="85" t="n">
        <v>-378.2</v>
      </c>
      <c r="K71" s="85" t="n">
        <v>28.9</v>
      </c>
      <c r="L71" s="85" t="n">
        <v>1149.1</v>
      </c>
      <c r="M71" s="85" t="n">
        <v>39.4</v>
      </c>
      <c r="N71" s="85" t="n">
        <v>226.2</v>
      </c>
      <c r="O71" s="85" t="n">
        <v>632.9</v>
      </c>
      <c r="P71" s="85" t="n">
        <v>196.8</v>
      </c>
      <c r="Q71" s="85" t="n">
        <v>785.8</v>
      </c>
      <c r="R71" s="85" t="n">
        <v>139.9</v>
      </c>
      <c r="S71" s="85" t="n">
        <v>61.8</v>
      </c>
      <c r="T71" s="85" t="n">
        <v>131</v>
      </c>
      <c r="U71" s="85" t="n">
        <v>164.6</v>
      </c>
      <c r="V71" s="85" t="n">
        <v>7.6</v>
      </c>
      <c r="W71" s="85" t="n">
        <v>2051.2</v>
      </c>
      <c r="X71" s="85" t="n">
        <v>1248.6</v>
      </c>
      <c r="Y71" s="85" t="n">
        <v>641.7</v>
      </c>
      <c r="Z71" s="85" t="n">
        <v>1429</v>
      </c>
      <c r="AA71" s="85" t="n">
        <v>19.8</v>
      </c>
      <c r="AB71" s="85" t="n">
        <v>300.3</v>
      </c>
      <c r="AC71" s="85" t="n">
        <v>19.7</v>
      </c>
      <c r="AD71" s="85" t="n">
        <v>143.2</v>
      </c>
      <c r="AE71" s="85" t="n">
        <v>166.4</v>
      </c>
      <c r="AF71" s="85" t="n">
        <v>32.9</v>
      </c>
      <c r="AG71" s="85" t="n">
        <v>622.2</v>
      </c>
      <c r="AH71" s="85" t="n">
        <v>285.8</v>
      </c>
      <c r="AI71" s="85" t="n">
        <v>2051.2</v>
      </c>
      <c r="AJ71" s="85" t="n">
        <v>44.9</v>
      </c>
      <c r="AK71" s="85" t="n">
        <v>23</v>
      </c>
      <c r="AL71" s="85" t="n">
        <v>5.5</v>
      </c>
      <c r="AM71" s="85" t="n">
        <v>3.3</v>
      </c>
      <c r="AN71" s="85" t="n">
        <v>25</v>
      </c>
      <c r="AO71" s="85" t="n">
        <v>42.4</v>
      </c>
      <c r="AP71" s="91" t="inlineStr">
        <is>
          <t>N/A</t>
        </is>
      </c>
      <c r="AQ71" s="91" t="inlineStr">
        <is>
          <t>N/A</t>
        </is>
      </c>
      <c r="AR71" s="85" t="n">
        <v>366.3</v>
      </c>
      <c r="AS71" s="85" t="n">
        <v>51.2</v>
      </c>
      <c r="AT71" s="91" t="inlineStr">
        <is>
          <t>N/A</t>
        </is>
      </c>
      <c r="AU71" s="85" t="n">
        <v>152.3</v>
      </c>
      <c r="AV71" s="85" t="n">
        <v>232.1</v>
      </c>
      <c r="AW71" s="85" t="n">
        <v>362.5</v>
      </c>
      <c r="AX71" s="85" t="n">
        <v>196.8</v>
      </c>
      <c r="AY71" s="85" t="n">
        <v>33.3</v>
      </c>
      <c r="AZ71" s="85" t="n">
        <v>-35.3</v>
      </c>
      <c r="BA71" s="85" t="n">
        <v>201.2</v>
      </c>
      <c r="BB71" s="85" t="n">
        <v>77.2</v>
      </c>
      <c r="BC71" s="85" t="n">
        <v>75.8</v>
      </c>
      <c r="BD71" s="85" t="n">
        <v>115.2</v>
      </c>
      <c r="BE71" s="85" t="n">
        <v>144.9</v>
      </c>
      <c r="BF71" s="85" t="n">
        <v>33.9</v>
      </c>
      <c r="BG71" s="85" t="n">
        <v>16.9</v>
      </c>
      <c r="BH71" s="85" t="n">
        <v>122.3</v>
      </c>
      <c r="BI71" s="85" t="n">
        <v>-266.6</v>
      </c>
      <c r="BJ71" s="85" t="n">
        <v>30</v>
      </c>
      <c r="BK71" s="85" t="n">
        <v>26.3</v>
      </c>
      <c r="BL71" s="85" t="n">
        <v>14</v>
      </c>
      <c r="BM71" s="85" t="n">
        <v>10</v>
      </c>
      <c r="BN71" s="91" t="inlineStr">
        <is>
          <t>N/A</t>
        </is>
      </c>
      <c r="BO71" s="85" t="n">
        <v>516.2</v>
      </c>
      <c r="BP71" s="85" t="n">
        <v>133.8</v>
      </c>
      <c r="BQ71" s="85" t="n">
        <v>0</v>
      </c>
      <c r="BR71" s="85" t="n">
        <v>0</v>
      </c>
      <c r="BS71" s="91" t="inlineStr">
        <is>
          <t>N/A</t>
        </is>
      </c>
      <c r="BT71" s="91" t="inlineStr">
        <is>
          <t>N/A</t>
        </is>
      </c>
      <c r="BU71" s="85" t="n">
        <v>0</v>
      </c>
      <c r="BV71" s="85" t="n">
        <v>0</v>
      </c>
      <c r="BW71" s="85" t="n">
        <v>0</v>
      </c>
      <c r="BX71" s="85" t="n">
        <v>0</v>
      </c>
      <c r="BY71" s="85" t="n">
        <v>0</v>
      </c>
    </row>
    <row r="72" ht="17" customHeight="1">
      <c r="A72" s="86" t="n">
        <v>70</v>
      </c>
      <c r="B72" s="87" t="inlineStr">
        <is>
          <t>WWD</t>
        </is>
      </c>
      <c r="C72" s="88" t="inlineStr">
        <is>
          <t>WOODWARD, INC.</t>
        </is>
      </c>
      <c r="D72" s="86" t="inlineStr">
        <is>
          <t>Industrials</t>
        </is>
      </c>
      <c r="E72" s="86" t="n">
        <v>2026</v>
      </c>
      <c r="F72" s="89" t="n">
        <v>4630.1</v>
      </c>
      <c r="G72" s="89" t="n">
        <v>1884.4</v>
      </c>
      <c r="H72" s="89" t="n">
        <v>907.4</v>
      </c>
      <c r="I72" s="89" t="n">
        <v>2063.8</v>
      </c>
      <c r="J72" s="89" t="n">
        <v>3600.4</v>
      </c>
      <c r="K72" s="89" t="n">
        <v>521.4</v>
      </c>
      <c r="L72" s="89" t="n">
        <v>3567.1</v>
      </c>
      <c r="M72" s="89" t="n">
        <v>442.1</v>
      </c>
      <c r="N72" s="89" t="n">
        <v>471.3</v>
      </c>
      <c r="O72" s="89" t="n">
        <v>956.3</v>
      </c>
      <c r="P72" s="89" t="n">
        <v>579.9</v>
      </c>
      <c r="Q72" s="89" t="n">
        <v>2566.4</v>
      </c>
      <c r="R72" s="89" t="n">
        <v>329.8</v>
      </c>
      <c r="S72" s="89" t="n">
        <v>113.3</v>
      </c>
      <c r="T72" s="89" t="n">
        <v>477.3</v>
      </c>
      <c r="U72" s="89" t="n">
        <v>986.6</v>
      </c>
      <c r="V72" s="89" t="n">
        <v>45.7</v>
      </c>
      <c r="W72" s="89" t="n">
        <v>4368.9</v>
      </c>
      <c r="X72" s="89" t="n">
        <v>1743.6</v>
      </c>
      <c r="Y72" s="89" t="n">
        <v>923.5</v>
      </c>
      <c r="Z72" s="89" t="n">
        <v>2192.5</v>
      </c>
      <c r="AA72" s="89" t="n">
        <v>454</v>
      </c>
      <c r="AB72" s="89" t="n">
        <v>3324.2</v>
      </c>
      <c r="AC72" s="89" t="n">
        <v>373</v>
      </c>
      <c r="AD72" s="89" t="n">
        <v>439.1</v>
      </c>
      <c r="AE72" s="89" t="n">
        <v>876.5</v>
      </c>
      <c r="AF72" s="89" t="n">
        <v>655.5</v>
      </c>
      <c r="AG72" s="89" t="n">
        <v>2176.4</v>
      </c>
      <c r="AH72" s="89" t="n">
        <v>3324.2</v>
      </c>
      <c r="AI72" s="89" t="n">
        <v>4368.9</v>
      </c>
      <c r="AJ72" s="89" t="n">
        <v>521.4</v>
      </c>
      <c r="AK72" s="89" t="n">
        <v>454</v>
      </c>
      <c r="AL72" s="89" t="n">
        <v>79.3</v>
      </c>
      <c r="AM72" s="89" t="n">
        <v>81</v>
      </c>
      <c r="AN72" s="89" t="n">
        <v>130.9</v>
      </c>
      <c r="AO72" s="89" t="n">
        <v>96.3</v>
      </c>
      <c r="AP72" s="89" t="n">
        <v>654.6</v>
      </c>
      <c r="AQ72" s="89" t="n">
        <v>609.1</v>
      </c>
      <c r="AR72" s="89" t="n">
        <v>832.3</v>
      </c>
      <c r="AS72" s="89" t="n">
        <v>360.1</v>
      </c>
      <c r="AT72" s="89" t="n">
        <v>122.3</v>
      </c>
      <c r="AU72" s="89" t="n">
        <v>147.6</v>
      </c>
      <c r="AV72" s="89" t="n">
        <v>327.4</v>
      </c>
      <c r="AW72" s="89" t="n">
        <v>282.3</v>
      </c>
      <c r="AX72" s="89" t="n">
        <v>702.2</v>
      </c>
      <c r="AY72" s="89" t="n">
        <v>872.5</v>
      </c>
      <c r="AZ72" s="89" t="n">
        <v>374.8</v>
      </c>
      <c r="BA72" s="89" t="n">
        <v>340.4</v>
      </c>
      <c r="BB72" s="89" t="n">
        <v>73</v>
      </c>
      <c r="BC72" s="89" t="n">
        <v>73</v>
      </c>
      <c r="BD72" s="89" t="n">
        <v>457.2</v>
      </c>
      <c r="BE72" s="89" t="n">
        <v>940.7</v>
      </c>
      <c r="BF72" s="89" t="n">
        <v>307.5</v>
      </c>
      <c r="BG72" s="89" t="n">
        <v>116.2</v>
      </c>
      <c r="BH72" s="89" t="n">
        <v>-119.6</v>
      </c>
      <c r="BI72" s="89" t="n">
        <v>-89.2</v>
      </c>
      <c r="BJ72" s="89" t="n">
        <v>289.4</v>
      </c>
      <c r="BK72" s="89" t="n">
        <v>287.5</v>
      </c>
      <c r="BL72" s="89" t="n">
        <v>2.6</v>
      </c>
      <c r="BM72" s="89" t="n">
        <v>4.6</v>
      </c>
      <c r="BN72" s="89" t="n">
        <v>59.7</v>
      </c>
      <c r="BO72" s="89" t="n">
        <v>2610.8</v>
      </c>
      <c r="BP72" s="89" t="n">
        <v>2447.8</v>
      </c>
      <c r="BQ72" s="89" t="n">
        <v>0</v>
      </c>
      <c r="BR72" s="89" t="n">
        <v>0</v>
      </c>
      <c r="BS72" s="89" t="n">
        <v>0</v>
      </c>
      <c r="BT72" s="89" t="n">
        <v>0</v>
      </c>
      <c r="BU72" s="89" t="n">
        <v>0</v>
      </c>
      <c r="BV72" s="89" t="n">
        <v>0</v>
      </c>
      <c r="BW72" s="89" t="n">
        <v>0</v>
      </c>
      <c r="BX72" s="89" t="n">
        <v>0</v>
      </c>
      <c r="BY72" s="89" t="n">
        <v>0</v>
      </c>
    </row>
    <row r="73" ht="17" customHeight="1">
      <c r="A73" s="82" t="n">
        <v>71</v>
      </c>
      <c r="B73" s="83" t="inlineStr">
        <is>
          <t>CBRE</t>
        </is>
      </c>
      <c r="C73" s="84" t="inlineStr">
        <is>
          <t>CBRE GROUP, INC.</t>
        </is>
      </c>
      <c r="D73" s="82" t="inlineStr">
        <is>
          <t>Real Estate</t>
        </is>
      </c>
      <c r="E73" s="82" t="n">
        <v>2026</v>
      </c>
      <c r="F73" s="85" t="n">
        <v>30877</v>
      </c>
      <c r="G73" s="85" t="n">
        <v>13489</v>
      </c>
      <c r="H73" s="85" t="n">
        <v>12320</v>
      </c>
      <c r="I73" s="85" t="n">
        <v>21251</v>
      </c>
      <c r="J73" s="85" t="n">
        <v>9916</v>
      </c>
      <c r="K73" s="85" t="n">
        <v>1753</v>
      </c>
      <c r="L73" s="85" t="n">
        <v>40550</v>
      </c>
      <c r="M73" s="85" t="n">
        <v>1157</v>
      </c>
      <c r="N73" s="85" t="n">
        <v>1559</v>
      </c>
      <c r="O73" s="85" t="n">
        <v>24100.8</v>
      </c>
      <c r="P73" s="85" t="n">
        <v>2574.3</v>
      </c>
      <c r="Q73" s="85" t="n">
        <v>8878</v>
      </c>
      <c r="R73" s="91" t="inlineStr">
        <is>
          <t>N/A</t>
        </is>
      </c>
      <c r="S73" s="85" t="n">
        <v>729</v>
      </c>
      <c r="T73" s="85" t="n">
        <v>8284</v>
      </c>
      <c r="U73" s="85" t="n">
        <v>1049</v>
      </c>
      <c r="V73" s="85" t="n">
        <v>107.3</v>
      </c>
      <c r="W73" s="85" t="n">
        <v>24383</v>
      </c>
      <c r="X73" s="85" t="n">
        <v>9970</v>
      </c>
      <c r="Y73" s="85" t="n">
        <v>9287</v>
      </c>
      <c r="Z73" s="85" t="n">
        <v>15191</v>
      </c>
      <c r="AA73" s="85" t="n">
        <v>1413</v>
      </c>
      <c r="AB73" s="85" t="n">
        <v>35767</v>
      </c>
      <c r="AC73" s="85" t="n">
        <v>968</v>
      </c>
      <c r="AD73" s="85" t="n">
        <v>1708</v>
      </c>
      <c r="AE73" s="85" t="n">
        <v>21461.9</v>
      </c>
      <c r="AF73" s="85" t="n">
        <v>2710.4</v>
      </c>
      <c r="AG73" s="85" t="n">
        <v>8411</v>
      </c>
      <c r="AH73" s="85" t="n">
        <v>35767</v>
      </c>
      <c r="AI73" s="85" t="n">
        <v>24383</v>
      </c>
      <c r="AJ73" s="85" t="n">
        <v>1594</v>
      </c>
      <c r="AK73" s="85" t="n">
        <v>1218</v>
      </c>
      <c r="AL73" s="85" t="n">
        <v>317</v>
      </c>
      <c r="AM73" s="85" t="n">
        <v>182</v>
      </c>
      <c r="AN73" s="85" t="n">
        <v>260.1</v>
      </c>
      <c r="AO73" s="85" t="n">
        <v>209.9</v>
      </c>
      <c r="AP73" s="91" t="inlineStr">
        <is>
          <t>N/A</t>
        </is>
      </c>
      <c r="AQ73" s="91" t="inlineStr">
        <is>
          <t>N/A</t>
        </is>
      </c>
      <c r="AR73" s="85" t="n">
        <v>7051</v>
      </c>
      <c r="AS73" s="85" t="n">
        <v>2972</v>
      </c>
      <c r="AT73" s="85" t="n">
        <v>2465</v>
      </c>
      <c r="AU73" s="91" t="inlineStr">
        <is>
          <t>N/A</t>
        </is>
      </c>
      <c r="AV73" s="85" t="n">
        <v>1864</v>
      </c>
      <c r="AW73" s="85" t="n">
        <v>1114</v>
      </c>
      <c r="AX73" s="85" t="n">
        <v>5039.3</v>
      </c>
      <c r="AY73" s="85" t="n">
        <v>3616.4</v>
      </c>
      <c r="AZ73" s="85" t="n">
        <v>3175.3</v>
      </c>
      <c r="BA73" s="85" t="n">
        <v>1298.9</v>
      </c>
      <c r="BB73" s="85" t="n">
        <v>295.7</v>
      </c>
      <c r="BC73" s="85" t="n">
        <v>302.1</v>
      </c>
      <c r="BD73" s="85" t="n">
        <v>7005</v>
      </c>
      <c r="BE73" s="85" t="n">
        <v>914</v>
      </c>
      <c r="BF73" s="91" t="inlineStr">
        <is>
          <t>N/A</t>
        </is>
      </c>
      <c r="BG73" s="85" t="n">
        <v>674</v>
      </c>
      <c r="BH73" s="85" t="n">
        <v>-1627</v>
      </c>
      <c r="BI73" s="85" t="n">
        <v>-1514</v>
      </c>
      <c r="BJ73" s="85" t="n">
        <v>817.5</v>
      </c>
      <c r="BK73" s="85" t="n">
        <v>582.3</v>
      </c>
      <c r="BL73" s="85" t="n">
        <v>448</v>
      </c>
      <c r="BM73" s="85" t="n">
        <v>375</v>
      </c>
      <c r="BN73" s="85" t="n">
        <v>258</v>
      </c>
      <c r="BO73" s="85" t="n">
        <v>16449.2</v>
      </c>
      <c r="BP73" s="85" t="n">
        <v>14305.1</v>
      </c>
      <c r="BQ73" s="85" t="n">
        <v>0</v>
      </c>
      <c r="BR73" s="85" t="n">
        <v>0</v>
      </c>
      <c r="BS73" s="91" t="inlineStr">
        <is>
          <t>N/A</t>
        </is>
      </c>
      <c r="BT73" s="91" t="inlineStr">
        <is>
          <t>N/A</t>
        </is>
      </c>
      <c r="BU73" s="85" t="n">
        <v>0</v>
      </c>
      <c r="BV73" s="85" t="n">
        <v>0</v>
      </c>
      <c r="BW73" s="85" t="n">
        <v>0</v>
      </c>
      <c r="BX73" s="85" t="n">
        <v>0</v>
      </c>
      <c r="BY73" s="85" t="n">
        <v>0</v>
      </c>
    </row>
    <row r="74" ht="17" customHeight="1">
      <c r="A74" s="86" t="n">
        <v>72</v>
      </c>
      <c r="B74" s="87" t="inlineStr">
        <is>
          <t>WTW</t>
        </is>
      </c>
      <c r="C74" s="88" t="inlineStr">
        <is>
          <t>WILLIS TOWERS WATSON PLC</t>
        </is>
      </c>
      <c r="D74" s="86" t="inlineStr">
        <is>
          <t>Financials</t>
        </is>
      </c>
      <c r="E74" s="86" t="n">
        <v>2026</v>
      </c>
      <c r="F74" s="89" t="n">
        <v>29530</v>
      </c>
      <c r="G74" s="89" t="n">
        <v>16874</v>
      </c>
      <c r="H74" s="89" t="n">
        <v>14004</v>
      </c>
      <c r="I74" s="89" t="n">
        <v>21478</v>
      </c>
      <c r="J74" s="89" t="n">
        <v>-296</v>
      </c>
      <c r="K74" s="89" t="n">
        <v>2234</v>
      </c>
      <c r="L74" s="89" t="n">
        <v>9708</v>
      </c>
      <c r="M74" s="89" t="n">
        <v>1605</v>
      </c>
      <c r="N74" s="89" t="n">
        <v>1775</v>
      </c>
      <c r="O74" s="89" t="n">
        <v>2004</v>
      </c>
      <c r="P74" s="89" t="n">
        <v>9685</v>
      </c>
      <c r="Q74" s="89" t="n">
        <v>7976</v>
      </c>
      <c r="R74" s="90" t="inlineStr">
        <is>
          <t>N/A</t>
        </is>
      </c>
      <c r="S74" s="89" t="n">
        <v>171</v>
      </c>
      <c r="T74" s="89" t="n">
        <v>2702</v>
      </c>
      <c r="U74" s="89" t="n">
        <v>695</v>
      </c>
      <c r="V74" s="89" t="n">
        <v>260</v>
      </c>
      <c r="W74" s="89" t="n">
        <v>27681</v>
      </c>
      <c r="X74" s="89" t="n">
        <v>15105</v>
      </c>
      <c r="Y74" s="89" t="n">
        <v>12598</v>
      </c>
      <c r="Z74" s="89" t="n">
        <v>19664</v>
      </c>
      <c r="AA74" s="89" t="n">
        <v>627</v>
      </c>
      <c r="AB74" s="89" t="n">
        <v>9930</v>
      </c>
      <c r="AC74" s="89" t="n">
        <v>-98</v>
      </c>
      <c r="AD74" s="89" t="n">
        <v>1512</v>
      </c>
      <c r="AE74" s="89" t="n">
        <v>8028</v>
      </c>
      <c r="AF74" s="89" t="n">
        <v>8611</v>
      </c>
      <c r="AG74" s="89" t="n">
        <v>7940</v>
      </c>
      <c r="AH74" s="89" t="n">
        <v>9930</v>
      </c>
      <c r="AI74" s="89" t="n">
        <v>27681</v>
      </c>
      <c r="AJ74" s="89" t="n">
        <v>1953</v>
      </c>
      <c r="AK74" s="89" t="n">
        <v>104</v>
      </c>
      <c r="AL74" s="89" t="n">
        <v>318</v>
      </c>
      <c r="AM74" s="89" t="n">
        <v>192</v>
      </c>
      <c r="AN74" s="89" t="n">
        <v>146</v>
      </c>
      <c r="AO74" s="89" t="n">
        <v>113</v>
      </c>
      <c r="AP74" s="90" t="inlineStr">
        <is>
          <t>N/A</t>
        </is>
      </c>
      <c r="AQ74" s="90" t="inlineStr">
        <is>
          <t>N/A</t>
        </is>
      </c>
      <c r="AR74" s="89" t="n">
        <v>8938</v>
      </c>
      <c r="AS74" s="89" t="n">
        <v>1141</v>
      </c>
      <c r="AT74" s="89" t="n">
        <v>988</v>
      </c>
      <c r="AU74" s="90" t="inlineStr">
        <is>
          <t>N/A</t>
        </is>
      </c>
      <c r="AV74" s="89" t="n">
        <v>3132</v>
      </c>
      <c r="AW74" s="89" t="n">
        <v>1890</v>
      </c>
      <c r="AX74" s="89" t="n">
        <v>10673</v>
      </c>
      <c r="AY74" s="89" t="n">
        <v>8778</v>
      </c>
      <c r="AZ74" s="89" t="n">
        <v>7541</v>
      </c>
      <c r="BA74" s="89" t="n">
        <v>1629</v>
      </c>
      <c r="BB74" s="90" t="inlineStr">
        <is>
          <t>N/A</t>
        </is>
      </c>
      <c r="BC74" s="90" t="inlineStr">
        <is>
          <t>N/A</t>
        </is>
      </c>
      <c r="BD74" s="89" t="n">
        <v>2494</v>
      </c>
      <c r="BE74" s="89" t="n">
        <v>661</v>
      </c>
      <c r="BF74" s="90" t="inlineStr">
        <is>
          <t>N/A</t>
        </is>
      </c>
      <c r="BG74" s="89" t="n">
        <v>146</v>
      </c>
      <c r="BH74" s="89" t="n">
        <v>447</v>
      </c>
      <c r="BI74" s="89" t="n">
        <v>250</v>
      </c>
      <c r="BJ74" s="89" t="n">
        <v>163</v>
      </c>
      <c r="BK74" s="89" t="n">
        <v>136</v>
      </c>
      <c r="BL74" s="89" t="n">
        <v>700</v>
      </c>
      <c r="BM74" s="89" t="n">
        <v>732</v>
      </c>
      <c r="BN74" s="89" t="n">
        <v>45</v>
      </c>
      <c r="BO74" s="89" t="n">
        <v>7704</v>
      </c>
      <c r="BP74" s="89" t="n">
        <v>1902</v>
      </c>
      <c r="BQ74" s="89" t="n">
        <v>0</v>
      </c>
      <c r="BR74" s="89" t="n">
        <v>0</v>
      </c>
      <c r="BS74" s="90" t="inlineStr">
        <is>
          <t>N/A</t>
        </is>
      </c>
      <c r="BT74" s="90" t="inlineStr">
        <is>
          <t>N/A</t>
        </is>
      </c>
      <c r="BU74" s="89" t="n">
        <v>0</v>
      </c>
      <c r="BV74" s="89" t="n">
        <v>0</v>
      </c>
      <c r="BW74" s="89" t="n">
        <v>0</v>
      </c>
      <c r="BX74" s="89" t="n">
        <v>0</v>
      </c>
      <c r="BY74" s="89" t="n">
        <v>0</v>
      </c>
    </row>
    <row r="75" ht="17" customHeight="1">
      <c r="A75" s="82" t="n">
        <v>73</v>
      </c>
      <c r="B75" s="83" t="inlineStr">
        <is>
          <t>ITW</t>
        </is>
      </c>
      <c r="C75" s="84" t="inlineStr">
        <is>
          <t>ILLINOIS TOOL WORKS INC</t>
        </is>
      </c>
      <c r="D75" s="82" t="inlineStr">
        <is>
          <t>Industrials</t>
        </is>
      </c>
      <c r="E75" s="82" t="n">
        <v>2026</v>
      </c>
      <c r="F75" s="85" t="n">
        <v>16148</v>
      </c>
      <c r="G75" s="85" t="n">
        <v>6200</v>
      </c>
      <c r="H75" s="85" t="n">
        <v>5126</v>
      </c>
      <c r="I75" s="85" t="n">
        <v>16148</v>
      </c>
      <c r="J75" s="85" t="n">
        <v>30150</v>
      </c>
      <c r="K75" s="85" t="n">
        <v>4216</v>
      </c>
      <c r="L75" s="85" t="n">
        <v>14768</v>
      </c>
      <c r="M75" s="85" t="n">
        <v>3066</v>
      </c>
      <c r="N75" s="85" t="n">
        <v>3126</v>
      </c>
      <c r="O75" s="85" t="n">
        <v>5799</v>
      </c>
      <c r="P75" s="85" t="n">
        <v>7682</v>
      </c>
      <c r="Q75" s="85" t="n">
        <v>3226</v>
      </c>
      <c r="R75" s="91" t="inlineStr">
        <is>
          <t>N/A</t>
        </is>
      </c>
      <c r="S75" s="85" t="n">
        <v>317</v>
      </c>
      <c r="T75" s="85" t="n">
        <v>3227</v>
      </c>
      <c r="U75" s="85" t="n">
        <v>2230</v>
      </c>
      <c r="V75" s="85" t="n">
        <v>266</v>
      </c>
      <c r="W75" s="85" t="n">
        <v>15067</v>
      </c>
      <c r="X75" s="85" t="n">
        <v>5856</v>
      </c>
      <c r="Y75" s="85" t="n">
        <v>4308</v>
      </c>
      <c r="Z75" s="85" t="n">
        <v>15067</v>
      </c>
      <c r="AA75" s="85" t="n">
        <v>4264</v>
      </c>
      <c r="AB75" s="85" t="n">
        <v>3580</v>
      </c>
      <c r="AC75" s="85" t="n">
        <v>3488</v>
      </c>
      <c r="AD75" s="85" t="n">
        <v>3281</v>
      </c>
      <c r="AE75" s="85" t="n">
        <v>-5278</v>
      </c>
      <c r="AF75" s="85" t="n">
        <v>7085</v>
      </c>
      <c r="AG75" s="91" t="inlineStr">
        <is>
          <t>N/A</t>
        </is>
      </c>
      <c r="AH75" s="85" t="n">
        <v>3613</v>
      </c>
      <c r="AI75" s="85" t="n">
        <v>15067</v>
      </c>
      <c r="AJ75" s="85" t="n">
        <v>2384</v>
      </c>
      <c r="AK75" s="91" t="inlineStr">
        <is>
          <t>N/A</t>
        </is>
      </c>
      <c r="AL75" s="85" t="n">
        <v>900</v>
      </c>
      <c r="AM75" s="85" t="n">
        <v>934</v>
      </c>
      <c r="AN75" s="85" t="n">
        <v>419</v>
      </c>
      <c r="AO75" s="85" t="n">
        <v>437</v>
      </c>
      <c r="AP75" s="85" t="n">
        <v>1659</v>
      </c>
      <c r="AQ75" s="85" t="n">
        <v>1605</v>
      </c>
      <c r="AR75" s="85" t="n">
        <v>5098</v>
      </c>
      <c r="AS75" s="85" t="n">
        <v>344</v>
      </c>
      <c r="AT75" s="85" t="n">
        <v>1825</v>
      </c>
      <c r="AU75" s="85" t="n">
        <v>302</v>
      </c>
      <c r="AV75" s="85" t="n">
        <v>851</v>
      </c>
      <c r="AW75" s="85" t="n">
        <v>948</v>
      </c>
      <c r="AX75" s="85" t="n">
        <v>9507</v>
      </c>
      <c r="AY75" s="85" t="n">
        <v>8675</v>
      </c>
      <c r="AZ75" s="85" t="n">
        <v>8656</v>
      </c>
      <c r="BA75" s="85" t="n">
        <v>2707</v>
      </c>
      <c r="BB75" s="85" t="n">
        <v>288.6</v>
      </c>
      <c r="BC75" s="85" t="n">
        <v>294</v>
      </c>
      <c r="BD75" s="85" t="n">
        <v>2991</v>
      </c>
      <c r="BE75" s="85" t="n">
        <v>2036</v>
      </c>
      <c r="BF75" s="91" t="inlineStr">
        <is>
          <t>N/A</t>
        </is>
      </c>
      <c r="BG75" s="85" t="n">
        <v>301</v>
      </c>
      <c r="BH75" s="85" t="n">
        <v>-521</v>
      </c>
      <c r="BI75" s="85" t="n">
        <v>-144</v>
      </c>
      <c r="BJ75" s="85" t="n">
        <v>522</v>
      </c>
      <c r="BK75" s="85" t="n">
        <v>519</v>
      </c>
      <c r="BL75" s="85" t="n">
        <v>340</v>
      </c>
      <c r="BM75" s="85" t="n">
        <v>360</v>
      </c>
      <c r="BN75" s="85" t="n">
        <v>217</v>
      </c>
      <c r="BO75" s="85" t="n">
        <v>8969</v>
      </c>
      <c r="BP75" s="85" t="n">
        <v>8858</v>
      </c>
      <c r="BQ75" s="85" t="n">
        <v>0</v>
      </c>
      <c r="BR75" s="85" t="n">
        <v>0</v>
      </c>
      <c r="BS75" s="85" t="n">
        <v>0</v>
      </c>
      <c r="BT75" s="85" t="n">
        <v>0</v>
      </c>
      <c r="BU75" s="85" t="n">
        <v>0</v>
      </c>
      <c r="BV75" s="85" t="n">
        <v>0</v>
      </c>
      <c r="BW75" s="85" t="n">
        <v>0</v>
      </c>
      <c r="BX75" s="85" t="n">
        <v>0</v>
      </c>
      <c r="BY75" s="85" t="n">
        <v>0</v>
      </c>
    </row>
    <row r="76" ht="17" customHeight="1">
      <c r="A76" s="86" t="n">
        <v>74</v>
      </c>
      <c r="B76" s="87" t="inlineStr">
        <is>
          <t>KTOS</t>
        </is>
      </c>
      <c r="C76" s="88" t="inlineStr">
        <is>
          <t>Kratos Defense &amp; Security Solutions, Inc.</t>
        </is>
      </c>
      <c r="D76" s="86" t="inlineStr">
        <is>
          <t>Industrials</t>
        </is>
      </c>
      <c r="E76" s="86" t="n">
        <v>2026</v>
      </c>
      <c r="F76" s="89" t="n">
        <v>2467.2</v>
      </c>
      <c r="G76" s="89" t="n">
        <v>1262.9</v>
      </c>
      <c r="H76" s="89" t="n">
        <v>311</v>
      </c>
      <c r="I76" s="89" t="n">
        <v>470.9</v>
      </c>
      <c r="J76" s="89" t="n">
        <v>-641.9</v>
      </c>
      <c r="K76" s="89" t="n">
        <v>25.6</v>
      </c>
      <c r="L76" s="89" t="n">
        <v>751.9</v>
      </c>
      <c r="M76" s="89" t="n">
        <v>22</v>
      </c>
      <c r="N76" s="89" t="n">
        <v>-42.1</v>
      </c>
      <c r="O76" s="89" t="n">
        <v>307.9</v>
      </c>
      <c r="P76" s="89" t="n">
        <v>296.7</v>
      </c>
      <c r="Q76" s="89" t="n">
        <v>1996.3</v>
      </c>
      <c r="R76" s="89" t="n">
        <v>240.2</v>
      </c>
      <c r="S76" s="89" t="n">
        <v>47.1</v>
      </c>
      <c r="T76" s="89" t="n">
        <v>165</v>
      </c>
      <c r="U76" s="89" t="n">
        <v>116.9</v>
      </c>
      <c r="V76" s="89" t="n">
        <v>9.6</v>
      </c>
      <c r="W76" s="89" t="n">
        <v>1950.9</v>
      </c>
      <c r="X76" s="89" t="n">
        <v>872.1</v>
      </c>
      <c r="Y76" s="89" t="n">
        <v>296.7</v>
      </c>
      <c r="Z76" s="89" t="n">
        <v>597.7</v>
      </c>
      <c r="AA76" s="89" t="n">
        <v>29</v>
      </c>
      <c r="AB76" s="89" t="n">
        <v>668.7</v>
      </c>
      <c r="AC76" s="89" t="n">
        <v>16.3</v>
      </c>
      <c r="AD76" s="89" t="n">
        <v>49.7</v>
      </c>
      <c r="AE76" s="89" t="n">
        <v>287.2</v>
      </c>
      <c r="AF76" s="89" t="n">
        <v>296.7</v>
      </c>
      <c r="AG76" s="89" t="n">
        <v>1353.2</v>
      </c>
      <c r="AH76" s="89" t="n">
        <v>668.7</v>
      </c>
      <c r="AI76" s="89" t="n">
        <v>1950.9</v>
      </c>
      <c r="AJ76" s="89" t="n">
        <v>34</v>
      </c>
      <c r="AK76" s="89" t="n">
        <v>26.5</v>
      </c>
      <c r="AL76" s="89" t="n">
        <v>12</v>
      </c>
      <c r="AM76" s="89" t="n">
        <v>10.2</v>
      </c>
      <c r="AN76" s="89" t="n">
        <v>95.3</v>
      </c>
      <c r="AO76" s="89" t="n">
        <v>58.2</v>
      </c>
      <c r="AP76" s="89" t="n">
        <v>46.8</v>
      </c>
      <c r="AQ76" s="89" t="n">
        <v>51</v>
      </c>
      <c r="AR76" s="89" t="n">
        <v>595.7</v>
      </c>
      <c r="AS76" s="89" t="n">
        <v>47</v>
      </c>
      <c r="AT76" s="89" t="n">
        <v>0.8</v>
      </c>
      <c r="AU76" s="89" t="n">
        <v>40</v>
      </c>
      <c r="AV76" s="89" t="n">
        <v>560.6</v>
      </c>
      <c r="AW76" s="89" t="n">
        <v>329.3</v>
      </c>
      <c r="AX76" s="89" t="n">
        <v>297.5</v>
      </c>
      <c r="AY76" s="89" t="n">
        <v>296.7</v>
      </c>
      <c r="AZ76" s="89" t="n">
        <v>-263.1</v>
      </c>
      <c r="BA76" s="89" t="n">
        <v>-137.4</v>
      </c>
      <c r="BB76" s="89" t="n">
        <v>168.9</v>
      </c>
      <c r="BC76" s="89" t="n">
        <v>151.1</v>
      </c>
      <c r="BD76" s="89" t="n">
        <v>117.5</v>
      </c>
      <c r="BE76" s="89" t="n">
        <v>67.09999999999999</v>
      </c>
      <c r="BF76" s="89" t="n">
        <v>214</v>
      </c>
      <c r="BG76" s="89" t="n">
        <v>40.3</v>
      </c>
      <c r="BH76" s="89" t="n">
        <v>-88.3</v>
      </c>
      <c r="BI76" s="89" t="n">
        <v>-69.7</v>
      </c>
      <c r="BJ76" s="89" t="n">
        <v>69.59999999999999</v>
      </c>
      <c r="BK76" s="89" t="n">
        <v>82</v>
      </c>
      <c r="BL76" s="89" t="n">
        <v>73.40000000000001</v>
      </c>
      <c r="BM76" s="89" t="n">
        <v>76.3</v>
      </c>
      <c r="BN76" s="90" t="inlineStr">
        <is>
          <t>N/A</t>
        </is>
      </c>
      <c r="BO76" s="89" t="n">
        <v>1038.9</v>
      </c>
      <c r="BP76" s="89" t="n">
        <v>849.1</v>
      </c>
      <c r="BQ76" s="89" t="n">
        <v>0</v>
      </c>
      <c r="BR76" s="89" t="n">
        <v>0</v>
      </c>
      <c r="BS76" s="89" t="n">
        <v>0</v>
      </c>
      <c r="BT76" s="89" t="n">
        <v>0</v>
      </c>
      <c r="BU76" s="89" t="n">
        <v>0</v>
      </c>
      <c r="BV76" s="89" t="n">
        <v>0</v>
      </c>
      <c r="BW76" s="89" t="n">
        <v>0</v>
      </c>
      <c r="BX76" s="89" t="n">
        <v>-0</v>
      </c>
      <c r="BY76" s="89" t="n">
        <v>0</v>
      </c>
    </row>
    <row r="77" ht="17" customHeight="1">
      <c r="A77" s="82" t="n">
        <v>75</v>
      </c>
      <c r="B77" s="83" t="inlineStr">
        <is>
          <t>CTVA</t>
        </is>
      </c>
      <c r="C77" s="84" t="inlineStr">
        <is>
          <t>Corteva, Inc.</t>
        </is>
      </c>
      <c r="D77" s="82" t="inlineStr">
        <is>
          <t>Materials</t>
        </is>
      </c>
      <c r="E77" s="82" t="n">
        <v>2026</v>
      </c>
      <c r="F77" s="85" t="n">
        <v>42845</v>
      </c>
      <c r="G77" s="85" t="n">
        <v>17335</v>
      </c>
      <c r="H77" s="85" t="n">
        <v>12125</v>
      </c>
      <c r="I77" s="85" t="n">
        <v>42845</v>
      </c>
      <c r="J77" s="85" t="n">
        <v>-67</v>
      </c>
      <c r="K77" s="85" t="n">
        <v>1688</v>
      </c>
      <c r="L77" s="85" t="n">
        <v>17401</v>
      </c>
      <c r="M77" s="85" t="n">
        <v>1094</v>
      </c>
      <c r="N77" s="85" t="n">
        <v>3406</v>
      </c>
      <c r="O77" s="85" t="n">
        <v>8229</v>
      </c>
      <c r="P77" s="91" t="inlineStr">
        <is>
          <t>N/A</t>
        </is>
      </c>
      <c r="Q77" s="85" t="n">
        <v>24144</v>
      </c>
      <c r="R77" s="85" t="n">
        <v>3492</v>
      </c>
      <c r="S77" s="85" t="n">
        <v>1203</v>
      </c>
      <c r="T77" s="85" t="n">
        <v>4881</v>
      </c>
      <c r="U77" s="85" t="n">
        <v>4220</v>
      </c>
      <c r="V77" s="91" t="inlineStr">
        <is>
          <t>N/A</t>
        </is>
      </c>
      <c r="W77" s="85" t="n">
        <v>40825</v>
      </c>
      <c r="X77" s="85" t="n">
        <v>15097</v>
      </c>
      <c r="Y77" s="85" t="n">
        <v>10386</v>
      </c>
      <c r="Z77" s="85" t="n">
        <v>40825</v>
      </c>
      <c r="AA77" s="85" t="n">
        <v>1275</v>
      </c>
      <c r="AB77" s="85" t="n">
        <v>16908</v>
      </c>
      <c r="AC77" s="85" t="n">
        <v>907</v>
      </c>
      <c r="AD77" s="85" t="n">
        <v>2145</v>
      </c>
      <c r="AE77" s="85" t="n">
        <v>7379</v>
      </c>
      <c r="AF77" s="91" t="inlineStr">
        <is>
          <t>N/A</t>
        </is>
      </c>
      <c r="AG77" s="85" t="n">
        <v>23789</v>
      </c>
      <c r="AH77" s="85" t="n">
        <v>16908</v>
      </c>
      <c r="AI77" s="85" t="n">
        <v>40825</v>
      </c>
      <c r="AJ77" s="85" t="n">
        <v>1688</v>
      </c>
      <c r="AK77" s="85" t="n">
        <v>1275</v>
      </c>
      <c r="AL77" s="85" t="n">
        <v>484</v>
      </c>
      <c r="AM77" s="85" t="n">
        <v>412</v>
      </c>
      <c r="AN77" s="85" t="n">
        <v>1163</v>
      </c>
      <c r="AO77" s="85" t="n">
        <v>1163</v>
      </c>
      <c r="AP77" s="85" t="n">
        <v>5667</v>
      </c>
      <c r="AQ77" s="85" t="n">
        <v>5432</v>
      </c>
      <c r="AR77" s="85" t="n">
        <v>10465</v>
      </c>
      <c r="AS77" s="85" t="n">
        <v>8296</v>
      </c>
      <c r="AT77" s="85" t="n">
        <v>894</v>
      </c>
      <c r="AU77" s="85" t="n">
        <v>1474</v>
      </c>
      <c r="AV77" s="85" t="n">
        <v>4521</v>
      </c>
      <c r="AW77" s="85" t="n">
        <v>3106</v>
      </c>
      <c r="AX77" s="85" t="n">
        <v>894</v>
      </c>
      <c r="AY77" s="91" t="inlineStr">
        <is>
          <t>N/A</t>
        </is>
      </c>
      <c r="AZ77" s="85" t="n">
        <v>-3627</v>
      </c>
      <c r="BA77" s="85" t="n">
        <v>2243</v>
      </c>
      <c r="BB77" s="85" t="n">
        <v>672.2</v>
      </c>
      <c r="BC77" s="85" t="n">
        <v>685.6</v>
      </c>
      <c r="BD77" s="85" t="n">
        <v>4448</v>
      </c>
      <c r="BE77" s="85" t="n">
        <v>4099</v>
      </c>
      <c r="BF77" s="85" t="n">
        <v>3196</v>
      </c>
      <c r="BG77" s="85" t="n">
        <v>1227</v>
      </c>
      <c r="BH77" s="85" t="n">
        <v>-543</v>
      </c>
      <c r="BI77" s="85" t="n">
        <v>-589</v>
      </c>
      <c r="BJ77" s="85" t="n">
        <v>4398</v>
      </c>
      <c r="BK77" s="85" t="n">
        <v>4039</v>
      </c>
      <c r="BL77" s="85" t="n">
        <v>3579</v>
      </c>
      <c r="BM77" s="85" t="n">
        <v>3287</v>
      </c>
      <c r="BN77" s="85" t="n">
        <v>155</v>
      </c>
      <c r="BO77" s="85" t="n">
        <v>9172</v>
      </c>
      <c r="BP77" s="85" t="n">
        <v>9529</v>
      </c>
      <c r="BQ77" s="85" t="n">
        <v>0</v>
      </c>
      <c r="BR77" s="85" t="n">
        <v>0</v>
      </c>
      <c r="BS77" s="85" t="n">
        <v>0</v>
      </c>
      <c r="BT77" s="85" t="n">
        <v>0</v>
      </c>
      <c r="BU77" s="85" t="n">
        <v>0</v>
      </c>
      <c r="BV77" s="85" t="n">
        <v>0</v>
      </c>
      <c r="BW77" s="85" t="n">
        <v>0</v>
      </c>
      <c r="BX77" s="85" t="n">
        <v>0</v>
      </c>
      <c r="BY77" s="85" t="n">
        <v>0</v>
      </c>
    </row>
    <row r="78" ht="17" customHeight="1">
      <c r="A78" s="86" t="n">
        <v>76</v>
      </c>
      <c r="B78" s="87" t="inlineStr">
        <is>
          <t>ABM</t>
        </is>
      </c>
      <c r="C78" s="88" t="inlineStr">
        <is>
          <t>ABM INDUSTRIES INCORPORATED</t>
        </is>
      </c>
      <c r="D78" s="86" t="inlineStr">
        <is>
          <t>Industrials</t>
        </is>
      </c>
      <c r="E78" s="86" t="n">
        <v>2026</v>
      </c>
      <c r="F78" s="89" t="n">
        <v>5269.5</v>
      </c>
      <c r="G78" s="89" t="n">
        <v>1938.7</v>
      </c>
      <c r="H78" s="89" t="n">
        <v>1305.7</v>
      </c>
      <c r="I78" s="89" t="n">
        <v>3483.8</v>
      </c>
      <c r="J78" s="89" t="n">
        <v>1368.1</v>
      </c>
      <c r="K78" s="89" t="n">
        <v>311.7</v>
      </c>
      <c r="L78" s="89" t="n">
        <v>8745.9</v>
      </c>
      <c r="M78" s="89" t="n">
        <v>162.4</v>
      </c>
      <c r="N78" s="89" t="n">
        <v>234.4</v>
      </c>
      <c r="O78" s="89" t="n">
        <v>242.4</v>
      </c>
      <c r="P78" s="89" t="n">
        <v>1537.1</v>
      </c>
      <c r="Q78" s="89" t="n">
        <v>1785.6</v>
      </c>
      <c r="R78" s="89" t="n">
        <v>697.4</v>
      </c>
      <c r="S78" s="89" t="n">
        <v>107.4</v>
      </c>
      <c r="T78" s="89" t="n">
        <v>1014.1</v>
      </c>
      <c r="U78" s="89" t="n">
        <v>177.2</v>
      </c>
      <c r="V78" s="89" t="n">
        <v>82.3</v>
      </c>
      <c r="W78" s="89" t="n">
        <v>5097.2</v>
      </c>
      <c r="X78" s="89" t="n">
        <v>1788.7</v>
      </c>
      <c r="Y78" s="89" t="n">
        <v>1348.4</v>
      </c>
      <c r="Z78" s="89" t="n">
        <v>3315.2</v>
      </c>
      <c r="AA78" s="89" t="n">
        <v>212</v>
      </c>
      <c r="AB78" s="89" t="n">
        <v>8359.4</v>
      </c>
      <c r="AC78" s="89" t="n">
        <v>81.40000000000001</v>
      </c>
      <c r="AD78" s="89" t="n">
        <v>226.7</v>
      </c>
      <c r="AE78" s="89" t="n">
        <v>219.2</v>
      </c>
      <c r="AF78" s="89" t="n">
        <v>1302.2</v>
      </c>
      <c r="AG78" s="89" t="n">
        <v>1781.9</v>
      </c>
      <c r="AH78" s="89" t="n">
        <v>8359.4</v>
      </c>
      <c r="AI78" s="89" t="n">
        <v>5097.2</v>
      </c>
      <c r="AJ78" s="89" t="n">
        <v>219.9</v>
      </c>
      <c r="AK78" s="89" t="n">
        <v>133.6</v>
      </c>
      <c r="AL78" s="89" t="n">
        <v>57.6</v>
      </c>
      <c r="AM78" s="89" t="n">
        <v>52.2</v>
      </c>
      <c r="AN78" s="89" t="n">
        <v>79.3</v>
      </c>
      <c r="AO78" s="89" t="n">
        <v>59.4</v>
      </c>
      <c r="AP78" s="90" t="inlineStr">
        <is>
          <t>N/A</t>
        </is>
      </c>
      <c r="AQ78" s="90" t="inlineStr">
        <is>
          <t>N/A</t>
        </is>
      </c>
      <c r="AR78" s="89" t="n">
        <v>2591.1</v>
      </c>
      <c r="AS78" s="89" t="n">
        <v>243.2</v>
      </c>
      <c r="AT78" s="89" t="n">
        <v>29.4</v>
      </c>
      <c r="AU78" s="90" t="inlineStr">
        <is>
          <t>N/A</t>
        </is>
      </c>
      <c r="AV78" s="89" t="n">
        <v>104.1</v>
      </c>
      <c r="AW78" s="89" t="n">
        <v>64.59999999999999</v>
      </c>
      <c r="AX78" s="89" t="n">
        <v>1566.5</v>
      </c>
      <c r="AY78" s="89" t="n">
        <v>1333.8</v>
      </c>
      <c r="AZ78" s="89" t="n">
        <v>1462.4</v>
      </c>
      <c r="BA78" s="89" t="n">
        <v>155.1</v>
      </c>
      <c r="BB78" s="89" t="n">
        <v>60.2</v>
      </c>
      <c r="BC78" s="89" t="n">
        <v>62.2</v>
      </c>
      <c r="BD78" s="89" t="n">
        <v>1038.1</v>
      </c>
      <c r="BE78" s="89" t="n">
        <v>150.7</v>
      </c>
      <c r="BF78" s="89" t="n">
        <v>765.3</v>
      </c>
      <c r="BG78" s="89" t="n">
        <v>112.5</v>
      </c>
      <c r="BH78" s="89" t="n">
        <v>-115.6</v>
      </c>
      <c r="BI78" s="89" t="n">
        <v>-171.9</v>
      </c>
      <c r="BJ78" s="89" t="n">
        <v>401.2</v>
      </c>
      <c r="BK78" s="89" t="n">
        <v>324.3</v>
      </c>
      <c r="BL78" s="89" t="n">
        <v>74.7</v>
      </c>
      <c r="BM78" s="89" t="n">
        <v>63.7</v>
      </c>
      <c r="BN78" s="89" t="n">
        <v>4</v>
      </c>
      <c r="BO78" s="89" t="n">
        <v>7670.8</v>
      </c>
      <c r="BP78" s="89" t="n">
        <v>7325.9</v>
      </c>
      <c r="BQ78" s="89" t="n">
        <v>0</v>
      </c>
      <c r="BR78" s="89" t="n">
        <v>0</v>
      </c>
      <c r="BS78" s="90" t="inlineStr">
        <is>
          <t>N/A</t>
        </is>
      </c>
      <c r="BT78" s="90" t="inlineStr">
        <is>
          <t>N/A</t>
        </is>
      </c>
      <c r="BU78" s="89" t="n">
        <v>0</v>
      </c>
      <c r="BV78" s="89" t="n">
        <v>0</v>
      </c>
      <c r="BW78" s="89" t="n">
        <v>0</v>
      </c>
      <c r="BX78" s="89" t="n">
        <v>0</v>
      </c>
      <c r="BY78" s="89" t="n">
        <v>0</v>
      </c>
    </row>
    <row r="79" ht="17" customHeight="1">
      <c r="A79" s="82" t="n">
        <v>77</v>
      </c>
      <c r="B79" s="83" t="inlineStr">
        <is>
          <t>ACLS</t>
        </is>
      </c>
      <c r="C79" s="84" t="inlineStr">
        <is>
          <t>AXCELIS TECHNOLOGIES INC</t>
        </is>
      </c>
      <c r="D79" s="82" t="inlineStr">
        <is>
          <t>Information Technology</t>
        </is>
      </c>
      <c r="E79" s="82" t="n">
        <v>2026</v>
      </c>
      <c r="F79" s="85" t="n">
        <v>1361.4</v>
      </c>
      <c r="G79" s="85" t="n">
        <v>943.2</v>
      </c>
      <c r="H79" s="85" t="n">
        <v>197.7</v>
      </c>
      <c r="I79" s="85" t="n">
        <v>326.7</v>
      </c>
      <c r="J79" s="85" t="n">
        <v>503.5</v>
      </c>
      <c r="K79" s="85" t="n">
        <v>119.3</v>
      </c>
      <c r="L79" s="85" t="n">
        <v>839</v>
      </c>
      <c r="M79" s="85" t="n">
        <v>120.2</v>
      </c>
      <c r="N79" s="85" t="n">
        <v>118.3</v>
      </c>
      <c r="O79" s="85" t="n">
        <v>376.8</v>
      </c>
      <c r="P79" s="85" t="n">
        <v>14.5</v>
      </c>
      <c r="Q79" s="85" t="n">
        <v>1034.7</v>
      </c>
      <c r="R79" s="85" t="n">
        <v>83.2</v>
      </c>
      <c r="S79" s="85" t="n">
        <v>17.6</v>
      </c>
      <c r="T79" s="85" t="n">
        <v>168.5</v>
      </c>
      <c r="U79" s="85" t="n">
        <v>56.1</v>
      </c>
      <c r="V79" s="85" t="n">
        <v>5.3</v>
      </c>
      <c r="W79" s="85" t="n">
        <v>1348.8</v>
      </c>
      <c r="X79" s="85" t="n">
        <v>1123.6</v>
      </c>
      <c r="Y79" s="85" t="n">
        <v>207.5</v>
      </c>
      <c r="Z79" s="85" t="n">
        <v>336</v>
      </c>
      <c r="AA79" s="85" t="n">
        <v>210.8</v>
      </c>
      <c r="AB79" s="85" t="n">
        <v>1017.9</v>
      </c>
      <c r="AC79" s="85" t="n">
        <v>201</v>
      </c>
      <c r="AD79" s="85" t="n">
        <v>140.8</v>
      </c>
      <c r="AE79" s="85" t="n">
        <v>454.7</v>
      </c>
      <c r="AF79" s="85" t="n">
        <v>14.5</v>
      </c>
      <c r="AG79" s="85" t="n">
        <v>1012.8</v>
      </c>
      <c r="AH79" s="85" t="n">
        <v>1017.9</v>
      </c>
      <c r="AI79" s="85" t="n">
        <v>1348.8</v>
      </c>
      <c r="AJ79" s="85" t="n">
        <v>138.2</v>
      </c>
      <c r="AK79" s="85" t="n">
        <v>230.3</v>
      </c>
      <c r="AL79" s="85" t="n">
        <v>18</v>
      </c>
      <c r="AM79" s="85" t="n">
        <v>29.3</v>
      </c>
      <c r="AN79" s="85" t="n">
        <v>11.3</v>
      </c>
      <c r="AO79" s="85" t="n">
        <v>12.2</v>
      </c>
      <c r="AP79" s="85" t="n">
        <v>329</v>
      </c>
      <c r="AQ79" s="85" t="n">
        <v>282.2</v>
      </c>
      <c r="AR79" s="91" t="inlineStr">
        <is>
          <t>N/A</t>
        </is>
      </c>
      <c r="AS79" s="91" t="inlineStr">
        <is>
          <t>N/A</t>
        </is>
      </c>
      <c r="AT79" s="85" t="n">
        <v>14.5</v>
      </c>
      <c r="AU79" s="85" t="n">
        <v>109</v>
      </c>
      <c r="AV79" s="85" t="n">
        <v>145.5</v>
      </c>
      <c r="AW79" s="85" t="n">
        <v>123.5</v>
      </c>
      <c r="AX79" s="85" t="n">
        <v>29.1</v>
      </c>
      <c r="AY79" s="85" t="n">
        <v>14.5</v>
      </c>
      <c r="AZ79" s="85" t="n">
        <v>-116.4</v>
      </c>
      <c r="BA79" s="85" t="n">
        <v>107</v>
      </c>
      <c r="BB79" s="85" t="n">
        <v>30.7</v>
      </c>
      <c r="BC79" s="85" t="n">
        <v>32.4</v>
      </c>
      <c r="BD79" s="85" t="n">
        <v>203.1</v>
      </c>
      <c r="BE79" s="85" t="n">
        <v>53.8</v>
      </c>
      <c r="BF79" s="85" t="n">
        <v>70.3</v>
      </c>
      <c r="BG79" s="85" t="n">
        <v>15.8</v>
      </c>
      <c r="BH79" s="85" t="n">
        <v>29.9</v>
      </c>
      <c r="BI79" s="85" t="n">
        <v>-108.7</v>
      </c>
      <c r="BJ79" s="85" t="n">
        <v>42.3</v>
      </c>
      <c r="BK79" s="85" t="n">
        <v>46.9</v>
      </c>
      <c r="BL79" s="85" t="n">
        <v>16.2</v>
      </c>
      <c r="BM79" s="85" t="n">
        <v>10.3</v>
      </c>
      <c r="BN79" s="85" t="n">
        <v>11.4</v>
      </c>
      <c r="BO79" s="85" t="n">
        <v>462.2</v>
      </c>
      <c r="BP79" s="85" t="n">
        <v>563.2</v>
      </c>
      <c r="BQ79" s="85" t="n">
        <v>0</v>
      </c>
      <c r="BR79" s="85" t="n">
        <v>0</v>
      </c>
      <c r="BS79" s="85" t="n">
        <v>0</v>
      </c>
      <c r="BT79" s="85" t="n">
        <v>0</v>
      </c>
      <c r="BU79" s="85" t="n">
        <v>0</v>
      </c>
      <c r="BV79" s="85" t="n">
        <v>0</v>
      </c>
      <c r="BW79" s="85" t="n">
        <v>0</v>
      </c>
      <c r="BX79" s="85" t="n">
        <v>0</v>
      </c>
      <c r="BY79" s="85" t="n">
        <v>0</v>
      </c>
    </row>
    <row r="80" ht="17" customHeight="1">
      <c r="A80" s="86" t="n">
        <v>78</v>
      </c>
      <c r="B80" s="87" t="inlineStr">
        <is>
          <t>RTX</t>
        </is>
      </c>
      <c r="C80" s="88" t="inlineStr">
        <is>
          <t>RTX CORPORATION</t>
        </is>
      </c>
      <c r="D80" s="86" t="inlineStr">
        <is>
          <t>Industrials</t>
        </is>
      </c>
      <c r="E80" s="86" t="n">
        <v>2026</v>
      </c>
      <c r="F80" s="89" t="n">
        <v>171079</v>
      </c>
      <c r="G80" s="89" t="n">
        <v>60332</v>
      </c>
      <c r="H80" s="89" t="n">
        <v>58784</v>
      </c>
      <c r="I80" s="89" t="n">
        <v>103941</v>
      </c>
      <c r="J80" s="89" t="n">
        <v>56718</v>
      </c>
      <c r="K80" s="89" t="n">
        <v>9300</v>
      </c>
      <c r="L80" s="89" t="n">
        <v>80738</v>
      </c>
      <c r="M80" s="89" t="n">
        <v>6732</v>
      </c>
      <c r="N80" s="89" t="n">
        <v>10567</v>
      </c>
      <c r="O80" s="89" t="n">
        <v>2153</v>
      </c>
      <c r="P80" s="89" t="n">
        <v>41078</v>
      </c>
      <c r="Q80" s="89" t="n">
        <v>65245</v>
      </c>
      <c r="R80" s="89" t="n">
        <v>6095</v>
      </c>
      <c r="S80" s="89" t="n">
        <v>4378</v>
      </c>
      <c r="T80" s="89" t="n">
        <v>14701</v>
      </c>
      <c r="U80" s="89" t="n">
        <v>16868</v>
      </c>
      <c r="V80" s="89" t="n">
        <v>1862</v>
      </c>
      <c r="W80" s="89" t="n">
        <v>162861</v>
      </c>
      <c r="X80" s="89" t="n">
        <v>51133</v>
      </c>
      <c r="Y80" s="89" t="n">
        <v>51499</v>
      </c>
      <c r="Z80" s="89" t="n">
        <v>100903</v>
      </c>
      <c r="AA80" s="89" t="n">
        <v>6538</v>
      </c>
      <c r="AB80" s="89" t="n">
        <v>68920</v>
      </c>
      <c r="AC80" s="89" t="n">
        <v>4774</v>
      </c>
      <c r="AD80" s="89" t="n">
        <v>7159</v>
      </c>
      <c r="AE80" s="89" t="n">
        <v>1743</v>
      </c>
      <c r="AF80" s="89" t="n">
        <v>43638</v>
      </c>
      <c r="AG80" s="89" t="n">
        <v>60156</v>
      </c>
      <c r="AH80" s="89" t="n">
        <v>68920</v>
      </c>
      <c r="AI80" s="89" t="n">
        <v>162861</v>
      </c>
      <c r="AJ80" s="89" t="n">
        <v>8733</v>
      </c>
      <c r="AK80" s="89" t="n">
        <v>6194</v>
      </c>
      <c r="AL80" s="89" t="n">
        <v>1664</v>
      </c>
      <c r="AM80" s="89" t="n">
        <v>1181</v>
      </c>
      <c r="AN80" s="89" t="n">
        <v>2627</v>
      </c>
      <c r="AO80" s="89" t="n">
        <v>2625</v>
      </c>
      <c r="AP80" s="89" t="n">
        <v>13364</v>
      </c>
      <c r="AQ80" s="89" t="n">
        <v>12768</v>
      </c>
      <c r="AR80" s="89" t="n">
        <v>53343</v>
      </c>
      <c r="AS80" s="89" t="n">
        <v>31845</v>
      </c>
      <c r="AT80" s="89" t="n">
        <v>204</v>
      </c>
      <c r="AU80" s="89" t="n">
        <v>2807</v>
      </c>
      <c r="AV80" s="89" t="n">
        <v>7435</v>
      </c>
      <c r="AW80" s="89" t="n">
        <v>5578</v>
      </c>
      <c r="AX80" s="89" t="n">
        <v>41282</v>
      </c>
      <c r="AY80" s="89" t="n">
        <v>43821</v>
      </c>
      <c r="AZ80" s="89" t="n">
        <v>33847</v>
      </c>
      <c r="BA80" s="89" t="n">
        <v>7940</v>
      </c>
      <c r="BB80" s="89" t="n">
        <v>1.4</v>
      </c>
      <c r="BC80" s="89" t="n">
        <v>1.4</v>
      </c>
      <c r="BD80" s="89" t="n">
        <v>10976</v>
      </c>
      <c r="BE80" s="89" t="n">
        <v>16089</v>
      </c>
      <c r="BF80" s="89" t="n">
        <v>5806</v>
      </c>
      <c r="BG80" s="89" t="n">
        <v>4364</v>
      </c>
      <c r="BH80" s="89" t="n">
        <v>-1265</v>
      </c>
      <c r="BI80" s="89" t="n">
        <v>-1534</v>
      </c>
      <c r="BJ80" s="89" t="n">
        <v>15895</v>
      </c>
      <c r="BK80" s="89" t="n">
        <v>12897</v>
      </c>
      <c r="BL80" s="89" t="n">
        <v>21615</v>
      </c>
      <c r="BM80" s="89" t="n">
        <v>18616</v>
      </c>
      <c r="BN80" s="89" t="n">
        <v>928</v>
      </c>
      <c r="BO80" s="89" t="n">
        <v>31027</v>
      </c>
      <c r="BP80" s="89" t="n">
        <v>30325</v>
      </c>
      <c r="BQ80" s="89" t="n">
        <v>0</v>
      </c>
      <c r="BR80" s="89" t="n">
        <v>0</v>
      </c>
      <c r="BS80" s="89" t="n">
        <v>0</v>
      </c>
      <c r="BT80" s="89" t="n">
        <v>0</v>
      </c>
      <c r="BU80" s="89" t="n">
        <v>0</v>
      </c>
      <c r="BV80" s="89" t="n">
        <v>0</v>
      </c>
      <c r="BW80" s="89" t="n">
        <v>0</v>
      </c>
      <c r="BX80" s="89" t="n">
        <v>0</v>
      </c>
      <c r="BY80" s="89" t="n">
        <v>0</v>
      </c>
    </row>
    <row r="81" ht="17" customHeight="1">
      <c r="A81" s="82" t="n">
        <v>79</v>
      </c>
      <c r="B81" s="83" t="inlineStr">
        <is>
          <t>RF</t>
        </is>
      </c>
      <c r="C81" s="84" t="inlineStr">
        <is>
          <t>Regions Financial Corporation</t>
        </is>
      </c>
      <c r="D81" s="82" t="inlineStr">
        <is>
          <t>Financials</t>
        </is>
      </c>
      <c r="E81" s="82" t="n">
        <v>2026</v>
      </c>
      <c r="F81" s="85" t="n">
        <v>158814</v>
      </c>
      <c r="G81" s="91" t="inlineStr">
        <is>
          <t>N/A</t>
        </is>
      </c>
      <c r="H81" s="91" t="inlineStr">
        <is>
          <t>N/A</t>
        </is>
      </c>
      <c r="I81" s="85" t="n">
        <v>139711</v>
      </c>
      <c r="J81" s="85" t="n">
        <v>10205</v>
      </c>
      <c r="K81" s="85" t="n">
        <v>53</v>
      </c>
      <c r="L81" s="85" t="n">
        <v>104</v>
      </c>
      <c r="M81" s="85" t="n">
        <v>2156</v>
      </c>
      <c r="N81" s="85" t="n">
        <v>2181</v>
      </c>
      <c r="O81" s="91" t="inlineStr">
        <is>
          <t>N/A</t>
        </is>
      </c>
      <c r="P81" s="85" t="n">
        <v>4134</v>
      </c>
      <c r="Q81" s="85" t="n">
        <v>19043</v>
      </c>
      <c r="R81" s="91" t="inlineStr">
        <is>
          <t>N/A</t>
        </is>
      </c>
      <c r="S81" s="85" t="n">
        <v>26</v>
      </c>
      <c r="T81" s="91" t="inlineStr">
        <is>
          <t>N/A</t>
        </is>
      </c>
      <c r="U81" s="85" t="n">
        <v>1659</v>
      </c>
      <c r="V81" s="85" t="n">
        <v>1577</v>
      </c>
      <c r="W81" s="85" t="n">
        <v>157302</v>
      </c>
      <c r="X81" s="91" t="inlineStr">
        <is>
          <t>N/A</t>
        </is>
      </c>
      <c r="Y81" s="91" t="inlineStr">
        <is>
          <t>N/A</t>
        </is>
      </c>
      <c r="Z81" s="85" t="n">
        <v>139392</v>
      </c>
      <c r="AA81" s="85" t="n">
        <v>95</v>
      </c>
      <c r="AB81" s="85" t="n">
        <v>84</v>
      </c>
      <c r="AC81" s="85" t="n">
        <v>1893</v>
      </c>
      <c r="AD81" s="85" t="n">
        <v>1598</v>
      </c>
      <c r="AE81" s="91" t="inlineStr">
        <is>
          <t>N/A</t>
        </is>
      </c>
      <c r="AF81" s="85" t="n">
        <v>5993</v>
      </c>
      <c r="AG81" s="85" t="n">
        <v>17879</v>
      </c>
      <c r="AH81" s="91" t="inlineStr">
        <is>
          <t>N/A</t>
        </is>
      </c>
      <c r="AI81" s="85" t="n">
        <v>157302</v>
      </c>
      <c r="AJ81" s="85" t="n">
        <v>2743</v>
      </c>
      <c r="AK81" s="85" t="n">
        <v>2354</v>
      </c>
      <c r="AL81" s="85" t="n">
        <v>587</v>
      </c>
      <c r="AM81" s="85" t="n">
        <v>461</v>
      </c>
      <c r="AN81" s="91" t="inlineStr">
        <is>
          <t>N/A</t>
        </is>
      </c>
      <c r="AO81" s="91" t="inlineStr">
        <is>
          <t>N/A</t>
        </is>
      </c>
      <c r="AP81" s="91" t="inlineStr">
        <is>
          <t>N/A</t>
        </is>
      </c>
      <c r="AQ81" s="91" t="inlineStr">
        <is>
          <t>N/A</t>
        </is>
      </c>
      <c r="AR81" s="85" t="n">
        <v>5733</v>
      </c>
      <c r="AS81" s="85" t="n">
        <v>169</v>
      </c>
      <c r="AT81" s="85" t="n">
        <v>750</v>
      </c>
      <c r="AU81" s="91" t="inlineStr">
        <is>
          <t>N/A</t>
        </is>
      </c>
      <c r="AV81" s="85" t="n">
        <v>3538</v>
      </c>
      <c r="AW81" s="85" t="n">
        <v>3981</v>
      </c>
      <c r="AX81" s="85" t="n">
        <v>4884</v>
      </c>
      <c r="AY81" s="85" t="n">
        <v>6493</v>
      </c>
      <c r="AZ81" s="85" t="n">
        <v>1346</v>
      </c>
      <c r="BA81" s="91" t="inlineStr">
        <is>
          <t>N/A</t>
        </is>
      </c>
      <c r="BB81" s="85" t="n">
        <v>908</v>
      </c>
      <c r="BC81" s="85" t="n">
        <v>949.5</v>
      </c>
      <c r="BD81" s="91" t="inlineStr">
        <is>
          <t>N/A</t>
        </is>
      </c>
      <c r="BE81" s="85" t="n">
        <v>1673</v>
      </c>
      <c r="BF81" s="91" t="inlineStr">
        <is>
          <t>N/A</t>
        </is>
      </c>
      <c r="BG81" s="85" t="n">
        <v>27</v>
      </c>
      <c r="BH81" s="85" t="n">
        <v>-1418</v>
      </c>
      <c r="BI81" s="85" t="n">
        <v>-262</v>
      </c>
      <c r="BJ81" s="91" t="inlineStr">
        <is>
          <t>N/A</t>
        </is>
      </c>
      <c r="BK81" s="91" t="inlineStr">
        <is>
          <t>N/A</t>
        </is>
      </c>
      <c r="BL81" s="91" t="inlineStr">
        <is>
          <t>N/A</t>
        </is>
      </c>
      <c r="BM81" s="91" t="inlineStr">
        <is>
          <t>N/A</t>
        </is>
      </c>
      <c r="BN81" s="91" t="inlineStr">
        <is>
          <t>N/A</t>
        </is>
      </c>
      <c r="BO81" s="91" t="inlineStr">
        <is>
          <t>N/A</t>
        </is>
      </c>
      <c r="BP81" s="91" t="inlineStr">
        <is>
          <t>N/A</t>
        </is>
      </c>
      <c r="BQ81" s="91" t="inlineStr">
        <is>
          <t>N/A</t>
        </is>
      </c>
      <c r="BR81" s="91" t="inlineStr">
        <is>
          <t>N/A</t>
        </is>
      </c>
      <c r="BS81" s="91" t="inlineStr">
        <is>
          <t>N/A</t>
        </is>
      </c>
      <c r="BT81" s="91" t="inlineStr">
        <is>
          <t>N/A</t>
        </is>
      </c>
      <c r="BU81" s="91" t="inlineStr">
        <is>
          <t>N/A</t>
        </is>
      </c>
      <c r="BV81" s="91" t="inlineStr">
        <is>
          <t>N/A</t>
        </is>
      </c>
      <c r="BW81" s="85" t="n">
        <v>0</v>
      </c>
      <c r="BX81" s="85" t="n">
        <v>0</v>
      </c>
      <c r="BY81" s="85" t="n">
        <v>0</v>
      </c>
    </row>
    <row r="82" ht="17" customHeight="1">
      <c r="A82" s="86" t="n">
        <v>80</v>
      </c>
      <c r="B82" s="87" t="inlineStr">
        <is>
          <t>WPC</t>
        </is>
      </c>
      <c r="C82" s="88" t="inlineStr">
        <is>
          <t>W. P. Carey Inc.</t>
        </is>
      </c>
      <c r="D82" s="86" t="inlineStr">
        <is>
          <t>Real Estate</t>
        </is>
      </c>
      <c r="E82" s="86" t="n">
        <v>2026</v>
      </c>
      <c r="F82" s="89" t="n">
        <v>17990.2</v>
      </c>
      <c r="G82" s="90" t="inlineStr">
        <is>
          <t>N/A</t>
        </is>
      </c>
      <c r="H82" s="90" t="inlineStr">
        <is>
          <t>N/A</t>
        </is>
      </c>
      <c r="I82" s="89" t="n">
        <v>9856.1</v>
      </c>
      <c r="J82" s="90" t="inlineStr">
        <is>
          <t>N/A</t>
        </is>
      </c>
      <c r="K82" s="89" t="n">
        <v>209.9</v>
      </c>
      <c r="L82" s="89" t="n">
        <v>1716.5</v>
      </c>
      <c r="M82" s="89" t="n">
        <v>466.4</v>
      </c>
      <c r="N82" s="89" t="n">
        <v>1282.3</v>
      </c>
      <c r="O82" s="89" t="n">
        <v>1716.1</v>
      </c>
      <c r="P82" s="89" t="n">
        <v>8722.700000000001</v>
      </c>
      <c r="Q82" s="89" t="n">
        <v>8118.3</v>
      </c>
      <c r="R82" s="89" t="n">
        <v>100.7</v>
      </c>
      <c r="S82" s="89" t="n">
        <v>521.1</v>
      </c>
      <c r="T82" s="90" t="inlineStr">
        <is>
          <t>N/A</t>
        </is>
      </c>
      <c r="U82" s="90" t="inlineStr">
        <is>
          <t>N/A</t>
        </is>
      </c>
      <c r="V82" s="89" t="n">
        <v>291.9</v>
      </c>
      <c r="W82" s="89" t="n">
        <v>17535</v>
      </c>
      <c r="X82" s="90" t="inlineStr">
        <is>
          <t>N/A</t>
        </is>
      </c>
      <c r="Y82" s="90" t="inlineStr">
        <is>
          <t>N/A</t>
        </is>
      </c>
      <c r="Z82" s="89" t="n">
        <v>9100.9</v>
      </c>
      <c r="AA82" s="89" t="n">
        <v>223.9</v>
      </c>
      <c r="AB82" s="89" t="n">
        <v>1583</v>
      </c>
      <c r="AC82" s="89" t="n">
        <v>460.8</v>
      </c>
      <c r="AD82" s="89" t="n">
        <v>1833.1</v>
      </c>
      <c r="AE82" s="89" t="n">
        <v>1580.5</v>
      </c>
      <c r="AF82" s="89" t="n">
        <v>8039</v>
      </c>
      <c r="AG82" s="89" t="n">
        <v>8429.700000000001</v>
      </c>
      <c r="AH82" s="89" t="n">
        <v>1583</v>
      </c>
      <c r="AI82" s="89" t="n">
        <v>17535</v>
      </c>
      <c r="AJ82" s="89" t="n">
        <v>504.8</v>
      </c>
      <c r="AK82" s="89" t="n">
        <v>492.3</v>
      </c>
      <c r="AL82" s="89" t="n">
        <v>31.9</v>
      </c>
      <c r="AM82" s="89" t="n">
        <v>31.7</v>
      </c>
      <c r="AN82" s="90" t="inlineStr">
        <is>
          <t>N/A</t>
        </is>
      </c>
      <c r="AO82" s="90" t="inlineStr">
        <is>
          <t>N/A</t>
        </is>
      </c>
      <c r="AP82" s="90" t="inlineStr">
        <is>
          <t>N/A</t>
        </is>
      </c>
      <c r="AQ82" s="90" t="inlineStr">
        <is>
          <t>N/A</t>
        </is>
      </c>
      <c r="AR82" s="89" t="n">
        <v>987.1</v>
      </c>
      <c r="AS82" s="89" t="n">
        <v>643.7</v>
      </c>
      <c r="AT82" s="90" t="inlineStr">
        <is>
          <t>N/A</t>
        </is>
      </c>
      <c r="AU82" s="90" t="inlineStr">
        <is>
          <t>N/A</t>
        </is>
      </c>
      <c r="AV82" s="89" t="n">
        <v>155.3</v>
      </c>
      <c r="AW82" s="89" t="n">
        <v>640.4</v>
      </c>
      <c r="AX82" s="89" t="n">
        <v>8722.700000000001</v>
      </c>
      <c r="AY82" s="89" t="n">
        <v>8039</v>
      </c>
      <c r="AZ82" s="89" t="n">
        <v>8567.4</v>
      </c>
      <c r="BA82" s="90" t="inlineStr">
        <is>
          <t>N/A</t>
        </is>
      </c>
      <c r="BB82" s="89" t="n">
        <v>219.1</v>
      </c>
      <c r="BC82" s="89" t="n">
        <v>218.8</v>
      </c>
      <c r="BD82" s="90" t="inlineStr">
        <is>
          <t>N/A</t>
        </is>
      </c>
      <c r="BE82" s="90" t="inlineStr">
        <is>
          <t>N/A</t>
        </is>
      </c>
      <c r="BF82" s="89" t="n">
        <v>99</v>
      </c>
      <c r="BG82" s="89" t="n">
        <v>487.7</v>
      </c>
      <c r="BH82" s="89" t="n">
        <v>-960.1</v>
      </c>
      <c r="BI82" s="89" t="n">
        <v>-1133.9</v>
      </c>
      <c r="BJ82" s="90" t="inlineStr">
        <is>
          <t>N/A</t>
        </is>
      </c>
      <c r="BK82" s="90" t="inlineStr">
        <is>
          <t>N/A</t>
        </is>
      </c>
      <c r="BL82" s="89" t="n">
        <v>3.1</v>
      </c>
      <c r="BM82" s="89" t="n">
        <v>12.6</v>
      </c>
      <c r="BN82" s="90" t="inlineStr">
        <is>
          <t>N/A</t>
        </is>
      </c>
      <c r="BO82" s="89" t="n">
        <v>0.4</v>
      </c>
      <c r="BP82" s="89" t="n">
        <v>2.5</v>
      </c>
      <c r="BQ82" s="90" t="inlineStr">
        <is>
          <t>N/A</t>
        </is>
      </c>
      <c r="BR82" s="90" t="inlineStr">
        <is>
          <t>N/A</t>
        </is>
      </c>
      <c r="BS82" s="90" t="inlineStr">
        <is>
          <t>N/A</t>
        </is>
      </c>
      <c r="BT82" s="90" t="inlineStr">
        <is>
          <t>N/A</t>
        </is>
      </c>
      <c r="BU82" s="90" t="inlineStr">
        <is>
          <t>N/A</t>
        </is>
      </c>
      <c r="BV82" s="90" t="inlineStr">
        <is>
          <t>N/A</t>
        </is>
      </c>
      <c r="BW82" s="89" t="n">
        <v>0</v>
      </c>
      <c r="BX82" s="89" t="n">
        <v>0</v>
      </c>
      <c r="BY82" s="89" t="n">
        <v>0</v>
      </c>
    </row>
    <row r="83" ht="17" customHeight="1">
      <c r="A83" s="82" t="n">
        <v>81</v>
      </c>
      <c r="B83" s="83" t="inlineStr">
        <is>
          <t>NMIH</t>
        </is>
      </c>
      <c r="C83" s="84" t="inlineStr">
        <is>
          <t>NMI Holdings, Inc.</t>
        </is>
      </c>
      <c r="D83" s="82" t="inlineStr">
        <is>
          <t>Financials</t>
        </is>
      </c>
      <c r="E83" s="82" t="n">
        <v>2026</v>
      </c>
      <c r="F83" s="85" t="n">
        <v>3841.1</v>
      </c>
      <c r="G83" s="91" t="inlineStr">
        <is>
          <t>N/A</t>
        </is>
      </c>
      <c r="H83" s="91" t="inlineStr">
        <is>
          <t>N/A</t>
        </is>
      </c>
      <c r="I83" s="85" t="n">
        <v>1249.1</v>
      </c>
      <c r="J83" s="85" t="n">
        <v>1972.2</v>
      </c>
      <c r="K83" s="85" t="n">
        <v>499.8</v>
      </c>
      <c r="L83" s="85" t="n">
        <v>706.4</v>
      </c>
      <c r="M83" s="85" t="n">
        <v>388.9</v>
      </c>
      <c r="N83" s="85" t="n">
        <v>419.3</v>
      </c>
      <c r="O83" s="91" t="inlineStr">
        <is>
          <t>N/A</t>
        </is>
      </c>
      <c r="P83" s="85" t="n">
        <v>396.1</v>
      </c>
      <c r="Q83" s="85" t="n">
        <v>2592</v>
      </c>
      <c r="R83" s="91" t="inlineStr">
        <is>
          <t>N/A</t>
        </is>
      </c>
      <c r="S83" s="85" t="n">
        <v>11.3</v>
      </c>
      <c r="T83" s="91" t="inlineStr">
        <is>
          <t>N/A</t>
        </is>
      </c>
      <c r="U83" s="85" t="n">
        <v>21.7</v>
      </c>
      <c r="V83" s="85" t="n">
        <v>32.2</v>
      </c>
      <c r="W83" s="85" t="n">
        <v>3350</v>
      </c>
      <c r="X83" s="91" t="inlineStr">
        <is>
          <t>N/A</t>
        </is>
      </c>
      <c r="Y83" s="91" t="inlineStr">
        <is>
          <t>N/A</t>
        </is>
      </c>
      <c r="Z83" s="85" t="n">
        <v>1132.5</v>
      </c>
      <c r="AA83" s="85" t="n">
        <v>463.4</v>
      </c>
      <c r="AB83" s="85" t="n">
        <v>651</v>
      </c>
      <c r="AC83" s="85" t="n">
        <v>360.1</v>
      </c>
      <c r="AD83" s="85" t="n">
        <v>393.6</v>
      </c>
      <c r="AE83" s="91" t="inlineStr">
        <is>
          <t>N/A</t>
        </is>
      </c>
      <c r="AF83" s="85" t="n">
        <v>394.6</v>
      </c>
      <c r="AG83" s="85" t="n">
        <v>2217.4</v>
      </c>
      <c r="AH83" s="85" t="n">
        <v>651</v>
      </c>
      <c r="AI83" s="85" t="n">
        <v>3350</v>
      </c>
      <c r="AJ83" s="85" t="n">
        <v>499.8</v>
      </c>
      <c r="AK83" s="85" t="n">
        <v>463.4</v>
      </c>
      <c r="AL83" s="85" t="n">
        <v>110.9</v>
      </c>
      <c r="AM83" s="85" t="n">
        <v>103.3</v>
      </c>
      <c r="AN83" s="85" t="n">
        <v>6.8</v>
      </c>
      <c r="AO83" s="85" t="n">
        <v>6.9</v>
      </c>
      <c r="AP83" s="91" t="inlineStr">
        <is>
          <t>N/A</t>
        </is>
      </c>
      <c r="AQ83" s="91" t="inlineStr">
        <is>
          <t>N/A</t>
        </is>
      </c>
      <c r="AR83" s="85" t="n">
        <v>3.2</v>
      </c>
      <c r="AS83" s="91" t="inlineStr">
        <is>
          <t>N/A</t>
        </is>
      </c>
      <c r="AT83" s="91" t="inlineStr">
        <is>
          <t>N/A</t>
        </is>
      </c>
      <c r="AU83" s="91" t="inlineStr">
        <is>
          <t>N/A</t>
        </is>
      </c>
      <c r="AV83" s="85" t="n">
        <v>19.2</v>
      </c>
      <c r="AW83" s="85" t="n">
        <v>47.7</v>
      </c>
      <c r="AX83" s="85" t="n">
        <v>396.1</v>
      </c>
      <c r="AY83" s="85" t="n">
        <v>394.6</v>
      </c>
      <c r="AZ83" s="85" t="n">
        <v>376.9</v>
      </c>
      <c r="BA83" s="85" t="n">
        <v>412.5</v>
      </c>
      <c r="BB83" s="85" t="n">
        <v>76.3</v>
      </c>
      <c r="BC83" s="85" t="n">
        <v>78.59999999999999</v>
      </c>
      <c r="BD83" s="91" t="inlineStr">
        <is>
          <t>N/A</t>
        </is>
      </c>
      <c r="BE83" s="85" t="n">
        <v>25.7</v>
      </c>
      <c r="BF83" s="91" t="inlineStr">
        <is>
          <t>N/A</t>
        </is>
      </c>
      <c r="BG83" s="85" t="n">
        <v>11.9</v>
      </c>
      <c r="BH83" s="85" t="n">
        <v>-316.5</v>
      </c>
      <c r="BI83" s="85" t="n">
        <v>-339.3</v>
      </c>
      <c r="BJ83" s="91" t="inlineStr">
        <is>
          <t>N/A</t>
        </is>
      </c>
      <c r="BK83" s="91" t="inlineStr">
        <is>
          <t>N/A</t>
        </is>
      </c>
      <c r="BL83" s="85" t="n">
        <v>5</v>
      </c>
      <c r="BM83" s="85" t="n">
        <v>4.8</v>
      </c>
      <c r="BN83" s="91" t="inlineStr">
        <is>
          <t>N/A</t>
        </is>
      </c>
      <c r="BO83" s="91" t="inlineStr">
        <is>
          <t>N/A</t>
        </is>
      </c>
      <c r="BP83" s="91" t="inlineStr">
        <is>
          <t>N/A</t>
        </is>
      </c>
      <c r="BQ83" s="91" t="inlineStr">
        <is>
          <t>N/A</t>
        </is>
      </c>
      <c r="BR83" s="91" t="inlineStr">
        <is>
          <t>N/A</t>
        </is>
      </c>
      <c r="BS83" s="91" t="inlineStr">
        <is>
          <t>N/A</t>
        </is>
      </c>
      <c r="BT83" s="91" t="inlineStr">
        <is>
          <t>N/A</t>
        </is>
      </c>
      <c r="BU83" s="91" t="inlineStr">
        <is>
          <t>N/A</t>
        </is>
      </c>
      <c r="BV83" s="91" t="inlineStr">
        <is>
          <t>N/A</t>
        </is>
      </c>
      <c r="BW83" s="85" t="n">
        <v>0</v>
      </c>
      <c r="BX83" s="85" t="n">
        <v>0</v>
      </c>
      <c r="BY83" s="85" t="n">
        <v>0</v>
      </c>
    </row>
    <row r="84" ht="17" customHeight="1">
      <c r="A84" s="86" t="n">
        <v>82</v>
      </c>
      <c r="B84" s="87" t="inlineStr">
        <is>
          <t>RPM</t>
        </is>
      </c>
      <c r="C84" s="88" t="inlineStr">
        <is>
          <t>RPM International Inc.</t>
        </is>
      </c>
      <c r="D84" s="86" t="inlineStr">
        <is>
          <t>Materials</t>
        </is>
      </c>
      <c r="E84" s="86" t="n">
        <v>2026</v>
      </c>
      <c r="F84" s="89" t="n">
        <v>7775.9</v>
      </c>
      <c r="G84" s="89" t="n">
        <v>3170.3</v>
      </c>
      <c r="H84" s="89" t="n">
        <v>1467.4</v>
      </c>
      <c r="I84" s="89" t="n">
        <v>7775.9</v>
      </c>
      <c r="J84" s="89" t="n">
        <v>3193.8</v>
      </c>
      <c r="K84" s="89" t="n">
        <v>792.8</v>
      </c>
      <c r="L84" s="89" t="n">
        <v>5321.6</v>
      </c>
      <c r="M84" s="89" t="n">
        <v>688.7</v>
      </c>
      <c r="N84" s="89" t="n">
        <v>768.2</v>
      </c>
      <c r="O84" s="89" t="n">
        <v>3050.5</v>
      </c>
      <c r="P84" s="89" t="n">
        <v>1373.7</v>
      </c>
      <c r="Q84" s="89" t="n">
        <v>2885.4</v>
      </c>
      <c r="R84" s="89" t="n">
        <v>2150.5</v>
      </c>
      <c r="S84" s="89" t="n">
        <v>171.3</v>
      </c>
      <c r="T84" s="89" t="n">
        <v>1509.1</v>
      </c>
      <c r="U84" s="89" t="n">
        <v>1473.4</v>
      </c>
      <c r="V84" s="89" t="n">
        <v>96.5</v>
      </c>
      <c r="W84" s="89" t="n">
        <v>6586.5</v>
      </c>
      <c r="X84" s="89" t="n">
        <v>2895.3</v>
      </c>
      <c r="Y84" s="89" t="n">
        <v>1466.1</v>
      </c>
      <c r="Z84" s="89" t="n">
        <v>6586.5</v>
      </c>
      <c r="AA84" s="89" t="n">
        <v>787.8</v>
      </c>
      <c r="AB84" s="89" t="n">
        <v>1558.2</v>
      </c>
      <c r="AC84" s="89" t="n">
        <v>588.4</v>
      </c>
      <c r="AD84" s="89" t="n">
        <v>1122.3</v>
      </c>
      <c r="AE84" s="89" t="n">
        <v>3014.6</v>
      </c>
      <c r="AF84" s="89" t="n">
        <v>1115.5</v>
      </c>
      <c r="AG84" s="89" t="n">
        <v>2510.9</v>
      </c>
      <c r="AH84" s="89" t="n">
        <v>1102.7</v>
      </c>
      <c r="AI84" s="89" t="n">
        <v>6586.5</v>
      </c>
      <c r="AJ84" s="89" t="n">
        <v>792.8</v>
      </c>
      <c r="AK84" s="89" t="n">
        <v>787.8</v>
      </c>
      <c r="AL84" s="89" t="n">
        <v>102.4</v>
      </c>
      <c r="AM84" s="89" t="n">
        <v>198.4</v>
      </c>
      <c r="AN84" s="89" t="n">
        <v>229.9</v>
      </c>
      <c r="AO84" s="89" t="n">
        <v>214</v>
      </c>
      <c r="AP84" s="89" t="n">
        <v>1036.5</v>
      </c>
      <c r="AQ84" s="89" t="n">
        <v>956.5</v>
      </c>
      <c r="AR84" s="89" t="n">
        <v>1617.6</v>
      </c>
      <c r="AS84" s="89" t="n">
        <v>427.2</v>
      </c>
      <c r="AT84" s="89" t="n">
        <v>2.6</v>
      </c>
      <c r="AU84" s="89" t="n">
        <v>94.7</v>
      </c>
      <c r="AV84" s="89" t="n">
        <v>302.1</v>
      </c>
      <c r="AW84" s="89" t="n">
        <v>237.4</v>
      </c>
      <c r="AX84" s="89" t="n">
        <v>1376.3</v>
      </c>
      <c r="AY84" s="89" t="n">
        <v>1118.1</v>
      </c>
      <c r="AZ84" s="89" t="n">
        <v>1074.1</v>
      </c>
      <c r="BA84" s="89" t="n">
        <v>538.3</v>
      </c>
      <c r="BB84" s="89" t="n">
        <v>128.3</v>
      </c>
      <c r="BC84" s="89" t="n">
        <v>128.6</v>
      </c>
      <c r="BD84" s="89" t="n">
        <v>1419.4</v>
      </c>
      <c r="BE84" s="89" t="n">
        <v>1331.1</v>
      </c>
      <c r="BF84" s="89" t="n">
        <v>2113.6</v>
      </c>
      <c r="BG84" s="89" t="n">
        <v>154.9</v>
      </c>
      <c r="BH84" s="89" t="n">
        <v>-825.5</v>
      </c>
      <c r="BI84" s="89" t="n">
        <v>-206.4</v>
      </c>
      <c r="BJ84" s="89" t="n">
        <v>755.9</v>
      </c>
      <c r="BK84" s="89" t="n">
        <v>649.6</v>
      </c>
      <c r="BL84" s="89" t="n">
        <v>56.6</v>
      </c>
      <c r="BM84" s="89" t="n">
        <v>45</v>
      </c>
      <c r="BN84" s="90" t="inlineStr">
        <is>
          <t>N/A</t>
        </is>
      </c>
      <c r="BO84" s="89" t="n">
        <v>4322.2</v>
      </c>
      <c r="BP84" s="89" t="n">
        <v>4320.7</v>
      </c>
      <c r="BQ84" s="89" t="n">
        <v>0</v>
      </c>
      <c r="BR84" s="89" t="n">
        <v>0</v>
      </c>
      <c r="BS84" s="89" t="n">
        <v>0</v>
      </c>
      <c r="BT84" s="89" t="n">
        <v>0</v>
      </c>
      <c r="BU84" s="89" t="n">
        <v>0</v>
      </c>
      <c r="BV84" s="89" t="n">
        <v>0</v>
      </c>
      <c r="BW84" s="89" t="n">
        <v>0</v>
      </c>
      <c r="BX84" s="89" t="n">
        <v>0</v>
      </c>
      <c r="BY84" s="89" t="n">
        <v>0</v>
      </c>
    </row>
    <row r="85" ht="17" customHeight="1">
      <c r="A85" s="82" t="n">
        <v>83</v>
      </c>
      <c r="B85" s="83" t="inlineStr">
        <is>
          <t>WMB</t>
        </is>
      </c>
      <c r="C85" s="84" t="inlineStr">
        <is>
          <t>WILLIAMS COMPANIES, INC.</t>
        </is>
      </c>
      <c r="D85" s="82" t="inlineStr">
        <is>
          <t>Energy</t>
        </is>
      </c>
      <c r="E85" s="82" t="n">
        <v>2026</v>
      </c>
      <c r="F85" s="85" t="n">
        <v>58573</v>
      </c>
      <c r="G85" s="85" t="n">
        <v>3244</v>
      </c>
      <c r="H85" s="85" t="n">
        <v>6106</v>
      </c>
      <c r="I85" s="85" t="n">
        <v>58573</v>
      </c>
      <c r="J85" s="85" t="n">
        <v>-12237</v>
      </c>
      <c r="K85" s="85" t="n">
        <v>4196</v>
      </c>
      <c r="L85" s="85" t="n">
        <v>11950</v>
      </c>
      <c r="M85" s="85" t="n">
        <v>2618</v>
      </c>
      <c r="N85" s="85" t="n">
        <v>5898</v>
      </c>
      <c r="O85" s="85" t="n">
        <v>8454</v>
      </c>
      <c r="P85" s="91" t="inlineStr">
        <is>
          <t>N/A</t>
        </is>
      </c>
      <c r="Q85" s="85" t="n">
        <v>12807</v>
      </c>
      <c r="R85" s="85" t="n">
        <v>708</v>
      </c>
      <c r="S85" s="85" t="n">
        <v>756</v>
      </c>
      <c r="T85" s="85" t="n">
        <v>2084</v>
      </c>
      <c r="U85" s="85" t="n">
        <v>41996</v>
      </c>
      <c r="V85" s="85" t="n">
        <v>1236</v>
      </c>
      <c r="W85" s="85" t="n">
        <v>54532</v>
      </c>
      <c r="X85" s="85" t="n">
        <v>2661</v>
      </c>
      <c r="Y85" s="85" t="n">
        <v>5312</v>
      </c>
      <c r="Z85" s="85" t="n">
        <v>54532</v>
      </c>
      <c r="AA85" s="85" t="n">
        <v>3339</v>
      </c>
      <c r="AB85" s="85" t="n">
        <v>10503</v>
      </c>
      <c r="AC85" s="85" t="n">
        <v>2225</v>
      </c>
      <c r="AD85" s="85" t="n">
        <v>4974</v>
      </c>
      <c r="AE85" s="85" t="n">
        <v>6569</v>
      </c>
      <c r="AF85" s="91" t="inlineStr">
        <is>
          <t>N/A</t>
        </is>
      </c>
      <c r="AG85" s="85" t="n">
        <v>12436</v>
      </c>
      <c r="AH85" s="85" t="n">
        <v>10503</v>
      </c>
      <c r="AI85" s="85" t="n">
        <v>54532</v>
      </c>
      <c r="AJ85" s="85" t="n">
        <v>3625</v>
      </c>
      <c r="AK85" s="85" t="n">
        <v>2986</v>
      </c>
      <c r="AL85" s="85" t="n">
        <v>857</v>
      </c>
      <c r="AM85" s="85" t="n">
        <v>640</v>
      </c>
      <c r="AN85" s="85" t="n">
        <v>4893</v>
      </c>
      <c r="AO85" s="85" t="n">
        <v>2573</v>
      </c>
      <c r="AP85" s="85" t="n">
        <v>314</v>
      </c>
      <c r="AQ85" s="85" t="n">
        <v>279</v>
      </c>
      <c r="AR85" s="85" t="n">
        <v>466</v>
      </c>
      <c r="AS85" s="85" t="n">
        <v>9970</v>
      </c>
      <c r="AT85" s="85" t="n">
        <v>508</v>
      </c>
      <c r="AU85" s="91" t="inlineStr">
        <is>
          <t>N/A</t>
        </is>
      </c>
      <c r="AV85" s="85" t="n">
        <v>152</v>
      </c>
      <c r="AW85" s="85" t="n">
        <v>1680</v>
      </c>
      <c r="AX85" s="85" t="n">
        <v>508</v>
      </c>
      <c r="AY85" s="91" t="inlineStr">
        <is>
          <t>N/A</t>
        </is>
      </c>
      <c r="AZ85" s="85" t="n">
        <v>356</v>
      </c>
      <c r="BA85" s="85" t="n">
        <v>1005</v>
      </c>
      <c r="BB85" s="85" t="n">
        <v>1261</v>
      </c>
      <c r="BC85" s="85" t="n">
        <v>1258</v>
      </c>
      <c r="BD85" s="85" t="n">
        <v>1863</v>
      </c>
      <c r="BE85" s="85" t="n">
        <v>38692</v>
      </c>
      <c r="BF85" s="85" t="n">
        <v>665</v>
      </c>
      <c r="BG85" s="85" t="n">
        <v>661</v>
      </c>
      <c r="BH85" s="85" t="n">
        <v>-5489</v>
      </c>
      <c r="BI85" s="85" t="n">
        <v>-4863</v>
      </c>
      <c r="BJ85" s="85" t="n">
        <v>2224</v>
      </c>
      <c r="BK85" s="85" t="n">
        <v>1613</v>
      </c>
      <c r="BL85" s="85" t="n">
        <v>170</v>
      </c>
      <c r="BM85" s="85" t="n">
        <v>159</v>
      </c>
      <c r="BN85" s="85" t="n">
        <v>24</v>
      </c>
      <c r="BO85" s="85" t="n">
        <v>3496</v>
      </c>
      <c r="BP85" s="85" t="n">
        <v>3934</v>
      </c>
      <c r="BQ85" s="85" t="n">
        <v>0</v>
      </c>
      <c r="BR85" s="85" t="n">
        <v>0</v>
      </c>
      <c r="BS85" s="85" t="n">
        <v>0</v>
      </c>
      <c r="BT85" s="85" t="n">
        <v>0</v>
      </c>
      <c r="BU85" s="85" t="n">
        <v>0</v>
      </c>
      <c r="BV85" s="85" t="n">
        <v>0</v>
      </c>
      <c r="BW85" s="85" t="n">
        <v>0</v>
      </c>
      <c r="BX85" s="85" t="n">
        <v>0</v>
      </c>
      <c r="BY85" s="85" t="n">
        <v>0</v>
      </c>
    </row>
    <row r="86" ht="17" customHeight="1">
      <c r="A86" s="86" t="n">
        <v>84</v>
      </c>
      <c r="B86" s="87" t="inlineStr">
        <is>
          <t>PCOR</t>
        </is>
      </c>
      <c r="C86" s="88" t="inlineStr">
        <is>
          <t>Procore Technologies, Inc.</t>
        </is>
      </c>
      <c r="D86" s="86" t="inlineStr">
        <is>
          <t>Information Technology</t>
        </is>
      </c>
      <c r="E86" s="86" t="n">
        <v>2026</v>
      </c>
      <c r="F86" s="89" t="n">
        <v>2239.1</v>
      </c>
      <c r="G86" s="89" t="n">
        <v>1166.8</v>
      </c>
      <c r="H86" s="89" t="n">
        <v>884.6</v>
      </c>
      <c r="I86" s="89" t="n">
        <v>976.8</v>
      </c>
      <c r="J86" s="89" t="n">
        <v>-1345.6</v>
      </c>
      <c r="K86" s="89" t="n">
        <v>-124.3</v>
      </c>
      <c r="L86" s="89" t="n">
        <v>1322.5</v>
      </c>
      <c r="M86" s="89" t="n">
        <v>-100.8</v>
      </c>
      <c r="N86" s="89" t="n">
        <v>300.3</v>
      </c>
      <c r="O86" s="89" t="n">
        <v>1051.7</v>
      </c>
      <c r="P86" s="90" t="inlineStr">
        <is>
          <t>N/A</t>
        </is>
      </c>
      <c r="Q86" s="89" t="n">
        <v>1262.3</v>
      </c>
      <c r="R86" s="89" t="n">
        <v>233</v>
      </c>
      <c r="S86" s="89" t="n">
        <v>110.6</v>
      </c>
      <c r="T86" s="89" t="n">
        <v>287.8</v>
      </c>
      <c r="U86" s="89" t="n">
        <v>48.6</v>
      </c>
      <c r="V86" s="89" t="n">
        <v>2</v>
      </c>
      <c r="W86" s="89" t="n">
        <v>2101.4</v>
      </c>
      <c r="X86" s="89" t="n">
        <v>1099.9</v>
      </c>
      <c r="Y86" s="89" t="n">
        <v>728</v>
      </c>
      <c r="Z86" s="89" t="n">
        <v>813</v>
      </c>
      <c r="AA86" s="89" t="n">
        <v>-136.4</v>
      </c>
      <c r="AB86" s="89" t="n">
        <v>1151.7</v>
      </c>
      <c r="AC86" s="89" t="n">
        <v>-106</v>
      </c>
      <c r="AD86" s="89" t="n">
        <v>196.2</v>
      </c>
      <c r="AE86" s="89" t="n">
        <v>946.1</v>
      </c>
      <c r="AF86" s="90" t="inlineStr">
        <is>
          <t>N/A</t>
        </is>
      </c>
      <c r="AG86" s="89" t="n">
        <v>1288.4</v>
      </c>
      <c r="AH86" s="89" t="n">
        <v>1151.7</v>
      </c>
      <c r="AI86" s="89" t="n">
        <v>2101.4</v>
      </c>
      <c r="AJ86" s="89" t="n">
        <v>-94</v>
      </c>
      <c r="AK86" s="89" t="n">
        <v>-104.2</v>
      </c>
      <c r="AL86" s="89" t="n">
        <v>6.8</v>
      </c>
      <c r="AM86" s="89" t="n">
        <v>1.8</v>
      </c>
      <c r="AN86" s="89" t="n">
        <v>18.1</v>
      </c>
      <c r="AO86" s="89" t="n">
        <v>19.1</v>
      </c>
      <c r="AP86" s="90" t="inlineStr">
        <is>
          <t>N/A</t>
        </is>
      </c>
      <c r="AQ86" s="90" t="inlineStr">
        <is>
          <t>N/A</t>
        </is>
      </c>
      <c r="AR86" s="89" t="n">
        <v>574.1</v>
      </c>
      <c r="AS86" s="89" t="n">
        <v>105.4</v>
      </c>
      <c r="AT86" s="90" t="inlineStr">
        <is>
          <t>N/A</t>
        </is>
      </c>
      <c r="AU86" s="89" t="n">
        <v>362.4</v>
      </c>
      <c r="AV86" s="89" t="n">
        <v>480.7</v>
      </c>
      <c r="AW86" s="89" t="n">
        <v>437.7</v>
      </c>
      <c r="AX86" s="90" t="inlineStr">
        <is>
          <t>N/A</t>
        </is>
      </c>
      <c r="AY86" s="90" t="inlineStr">
        <is>
          <t>N/A</t>
        </is>
      </c>
      <c r="AZ86" s="90" t="inlineStr">
        <is>
          <t>N/A</t>
        </is>
      </c>
      <c r="BA86" s="89" t="n">
        <v>282.2</v>
      </c>
      <c r="BB86" s="89" t="n">
        <v>151.7</v>
      </c>
      <c r="BC86" s="89" t="n">
        <v>149.9</v>
      </c>
      <c r="BD86" s="89" t="n">
        <v>246.5</v>
      </c>
      <c r="BE86" s="89" t="n">
        <v>43.6</v>
      </c>
      <c r="BF86" s="89" t="n">
        <v>217.5</v>
      </c>
      <c r="BG86" s="89" t="n">
        <v>89.8</v>
      </c>
      <c r="BH86" s="89" t="n">
        <v>-70.5</v>
      </c>
      <c r="BI86" s="89" t="n">
        <v>-150.1</v>
      </c>
      <c r="BJ86" s="89" t="n">
        <v>25.2</v>
      </c>
      <c r="BK86" s="89" t="n">
        <v>33.1</v>
      </c>
      <c r="BL86" s="89" t="n">
        <v>687.1</v>
      </c>
      <c r="BM86" s="89" t="n">
        <v>584.7</v>
      </c>
      <c r="BN86" s="90" t="inlineStr">
        <is>
          <t>N/A</t>
        </is>
      </c>
      <c r="BO86" s="89" t="n">
        <v>270.8</v>
      </c>
      <c r="BP86" s="89" t="n">
        <v>205.6</v>
      </c>
      <c r="BQ86" s="89" t="n">
        <v>0</v>
      </c>
      <c r="BR86" s="89" t="n">
        <v>0</v>
      </c>
      <c r="BS86" s="90" t="inlineStr">
        <is>
          <t>N/A</t>
        </is>
      </c>
      <c r="BT86" s="90" t="inlineStr">
        <is>
          <t>N/A</t>
        </is>
      </c>
      <c r="BU86" s="89" t="n">
        <v>0</v>
      </c>
      <c r="BV86" s="89" t="n">
        <v>0</v>
      </c>
      <c r="BW86" s="89" t="n">
        <v>0</v>
      </c>
      <c r="BX86" s="89" t="n">
        <v>0</v>
      </c>
      <c r="BY86" s="89" t="n">
        <v>-0</v>
      </c>
    </row>
    <row r="87" ht="17" customHeight="1">
      <c r="A87" s="82" t="n">
        <v>85</v>
      </c>
      <c r="B87" s="83" t="inlineStr">
        <is>
          <t>DGX</t>
        </is>
      </c>
      <c r="C87" s="84" t="inlineStr">
        <is>
          <t>QUEST DIAGNOSTICS INC</t>
        </is>
      </c>
      <c r="D87" s="82" t="inlineStr">
        <is>
          <t>Health Care</t>
        </is>
      </c>
      <c r="E87" s="82" t="n">
        <v>2026</v>
      </c>
      <c r="F87" s="85" t="n">
        <v>16225</v>
      </c>
      <c r="G87" s="85" t="n">
        <v>2378</v>
      </c>
      <c r="H87" s="85" t="n">
        <v>2278</v>
      </c>
      <c r="I87" s="85" t="n">
        <v>16225</v>
      </c>
      <c r="J87" s="85" t="n">
        <v>9994</v>
      </c>
      <c r="K87" s="85" t="n">
        <v>1556</v>
      </c>
      <c r="L87" s="85" t="n">
        <v>11035</v>
      </c>
      <c r="M87" s="85" t="n">
        <v>992</v>
      </c>
      <c r="N87" s="85" t="n">
        <v>1886</v>
      </c>
      <c r="O87" s="85" t="n">
        <v>3633</v>
      </c>
      <c r="P87" s="85" t="n">
        <v>5671</v>
      </c>
      <c r="Q87" s="85" t="n">
        <v>7170</v>
      </c>
      <c r="R87" s="85" t="n">
        <v>1967</v>
      </c>
      <c r="S87" s="85" t="n">
        <v>570</v>
      </c>
      <c r="T87" s="85" t="n">
        <v>1408</v>
      </c>
      <c r="U87" s="85" t="n">
        <v>2203</v>
      </c>
      <c r="V87" s="85" t="n">
        <v>163</v>
      </c>
      <c r="W87" s="85" t="n">
        <v>16153</v>
      </c>
      <c r="X87" s="85" t="n">
        <v>2392</v>
      </c>
      <c r="Y87" s="85" t="n">
        <v>2169</v>
      </c>
      <c r="Z87" s="85" t="n">
        <v>16153</v>
      </c>
      <c r="AA87" s="85" t="n">
        <v>1346</v>
      </c>
      <c r="AB87" s="85" t="n">
        <v>9872</v>
      </c>
      <c r="AC87" s="85" t="n">
        <v>871</v>
      </c>
      <c r="AD87" s="85" t="n">
        <v>1334</v>
      </c>
      <c r="AE87" s="85" t="n">
        <v>1269</v>
      </c>
      <c r="AF87" s="85" t="n">
        <v>6217</v>
      </c>
      <c r="AG87" s="85" t="n">
        <v>6778</v>
      </c>
      <c r="AH87" s="85" t="n">
        <v>9872</v>
      </c>
      <c r="AI87" s="85" t="n">
        <v>16153</v>
      </c>
      <c r="AJ87" s="85" t="n">
        <v>1200</v>
      </c>
      <c r="AK87" s="91" t="inlineStr">
        <is>
          <t>N/A</t>
        </is>
      </c>
      <c r="AL87" s="85" t="n">
        <v>314</v>
      </c>
      <c r="AM87" s="85" t="n">
        <v>273</v>
      </c>
      <c r="AN87" s="85" t="n">
        <v>527</v>
      </c>
      <c r="AO87" s="85" t="n">
        <v>425</v>
      </c>
      <c r="AP87" s="85" t="n">
        <v>189</v>
      </c>
      <c r="AQ87" s="85" t="n">
        <v>188</v>
      </c>
      <c r="AR87" s="85" t="n">
        <v>8945</v>
      </c>
      <c r="AS87" s="85" t="n">
        <v>1636</v>
      </c>
      <c r="AT87" s="85" t="n">
        <v>36</v>
      </c>
      <c r="AU87" s="91" t="inlineStr">
        <is>
          <t>N/A</t>
        </is>
      </c>
      <c r="AV87" s="85" t="n">
        <v>420</v>
      </c>
      <c r="AW87" s="85" t="n">
        <v>549</v>
      </c>
      <c r="AX87" s="85" t="n">
        <v>5707</v>
      </c>
      <c r="AY87" s="85" t="n">
        <v>6223</v>
      </c>
      <c r="AZ87" s="85" t="n">
        <v>5287</v>
      </c>
      <c r="BA87" s="85" t="n">
        <v>1359</v>
      </c>
      <c r="BB87" s="85" t="n">
        <v>162</v>
      </c>
      <c r="BC87" s="85" t="n">
        <v>162</v>
      </c>
      <c r="BD87" s="85" t="n">
        <v>1304</v>
      </c>
      <c r="BE87" s="85" t="n">
        <v>2113</v>
      </c>
      <c r="BF87" s="85" t="n">
        <v>1770</v>
      </c>
      <c r="BG87" s="85" t="n">
        <v>493</v>
      </c>
      <c r="BH87" s="85" t="n">
        <v>-631</v>
      </c>
      <c r="BI87" s="85" t="n">
        <v>-2548</v>
      </c>
      <c r="BJ87" s="85" t="n">
        <v>1600</v>
      </c>
      <c r="BK87" s="85" t="n">
        <v>1394</v>
      </c>
      <c r="BL87" s="91" t="inlineStr">
        <is>
          <t>N/A</t>
        </is>
      </c>
      <c r="BM87" s="91" t="inlineStr">
        <is>
          <t>N/A</t>
        </is>
      </c>
      <c r="BN87" s="85" t="n">
        <v>18</v>
      </c>
      <c r="BO87" s="85" t="n">
        <v>7370</v>
      </c>
      <c r="BP87" s="85" t="n">
        <v>6628</v>
      </c>
      <c r="BQ87" s="85" t="n">
        <v>0</v>
      </c>
      <c r="BR87" s="85" t="n">
        <v>0</v>
      </c>
      <c r="BS87" s="85" t="n">
        <v>0</v>
      </c>
      <c r="BT87" s="85" t="n">
        <v>0</v>
      </c>
      <c r="BU87" s="85" t="n">
        <v>0</v>
      </c>
      <c r="BV87" s="85" t="n">
        <v>0</v>
      </c>
      <c r="BW87" s="85" t="n">
        <v>0</v>
      </c>
      <c r="BX87" s="85" t="n">
        <v>0</v>
      </c>
      <c r="BY87" s="85" t="n">
        <v>0</v>
      </c>
    </row>
    <row r="88" ht="17" customHeight="1">
      <c r="A88" s="86" t="n">
        <v>86</v>
      </c>
      <c r="B88" s="87" t="inlineStr">
        <is>
          <t>DLR</t>
        </is>
      </c>
      <c r="C88" s="88" t="inlineStr">
        <is>
          <t>DIGITAL REALTY TRUST, INC.</t>
        </is>
      </c>
      <c r="D88" s="86" t="inlineStr">
        <is>
          <t>Real Estate</t>
        </is>
      </c>
      <c r="E88" s="86" t="n">
        <v>2026</v>
      </c>
      <c r="F88" s="89" t="n">
        <v>49410.5</v>
      </c>
      <c r="G88" s="90" t="inlineStr">
        <is>
          <t>N/A</t>
        </is>
      </c>
      <c r="H88" s="90" t="inlineStr">
        <is>
          <t>N/A</t>
        </is>
      </c>
      <c r="I88" s="89" t="n">
        <v>24564.5</v>
      </c>
      <c r="J88" s="89" t="n">
        <v>-6690.7</v>
      </c>
      <c r="K88" s="89" t="n">
        <v>658.5</v>
      </c>
      <c r="L88" s="89" t="n">
        <v>6112.7</v>
      </c>
      <c r="M88" s="89" t="n">
        <v>1308.6</v>
      </c>
      <c r="N88" s="89" t="n">
        <v>2412.1</v>
      </c>
      <c r="O88" s="89" t="n">
        <v>658.5</v>
      </c>
      <c r="P88" s="89" t="n">
        <v>2940.2</v>
      </c>
      <c r="Q88" s="89" t="n">
        <v>22925.7</v>
      </c>
      <c r="R88" s="89" t="n">
        <v>565.5</v>
      </c>
      <c r="S88" s="89" t="n">
        <v>1894.6</v>
      </c>
      <c r="T88" s="89" t="n">
        <v>728.8</v>
      </c>
      <c r="U88" s="90" t="inlineStr">
        <is>
          <t>N/A</t>
        </is>
      </c>
      <c r="V88" s="89" t="n">
        <v>437.9</v>
      </c>
      <c r="W88" s="89" t="n">
        <v>45283.6</v>
      </c>
      <c r="X88" s="90" t="inlineStr">
        <is>
          <t>N/A</t>
        </is>
      </c>
      <c r="Y88" s="90" t="inlineStr">
        <is>
          <t>N/A</t>
        </is>
      </c>
      <c r="Z88" s="89" t="n">
        <v>22107.8</v>
      </c>
      <c r="AA88" s="89" t="n">
        <v>471.9</v>
      </c>
      <c r="AB88" s="89" t="n">
        <v>5555</v>
      </c>
      <c r="AC88" s="89" t="n">
        <v>602.5</v>
      </c>
      <c r="AD88" s="89" t="n">
        <v>2261.5</v>
      </c>
      <c r="AE88" s="89" t="n">
        <v>471.9</v>
      </c>
      <c r="AF88" s="89" t="n">
        <v>2807</v>
      </c>
      <c r="AG88" s="89" t="n">
        <v>21340.4</v>
      </c>
      <c r="AH88" s="89" t="n">
        <v>5555</v>
      </c>
      <c r="AI88" s="89" t="n">
        <v>45283.6</v>
      </c>
      <c r="AJ88" s="89" t="n">
        <v>1345.2</v>
      </c>
      <c r="AK88" s="90" t="inlineStr">
        <is>
          <t>N/A</t>
        </is>
      </c>
      <c r="AL88" s="89" t="n">
        <v>32</v>
      </c>
      <c r="AM88" s="89" t="n">
        <v>54.8</v>
      </c>
      <c r="AN88" s="90" t="inlineStr">
        <is>
          <t>N/A</t>
        </is>
      </c>
      <c r="AO88" s="90" t="inlineStr">
        <is>
          <t>N/A</t>
        </is>
      </c>
      <c r="AP88" s="90" t="inlineStr">
        <is>
          <t>N/A</t>
        </is>
      </c>
      <c r="AQ88" s="90" t="inlineStr">
        <is>
          <t>N/A</t>
        </is>
      </c>
      <c r="AR88" s="89" t="n">
        <v>9712</v>
      </c>
      <c r="AS88" s="89" t="n">
        <v>1807.4</v>
      </c>
      <c r="AT88" s="90" t="inlineStr">
        <is>
          <t>N/A</t>
        </is>
      </c>
      <c r="AU88" s="90" t="inlineStr">
        <is>
          <t>N/A</t>
        </is>
      </c>
      <c r="AV88" s="89" t="n">
        <v>3451.6</v>
      </c>
      <c r="AW88" s="89" t="n">
        <v>3870.9</v>
      </c>
      <c r="AX88" s="89" t="n">
        <v>2940.2</v>
      </c>
      <c r="AY88" s="89" t="n">
        <v>2807</v>
      </c>
      <c r="AZ88" s="89" t="n">
        <v>-511.4</v>
      </c>
      <c r="BA88" s="90" t="inlineStr">
        <is>
          <t>N/A</t>
        </is>
      </c>
      <c r="BB88" s="89" t="n">
        <v>343.6</v>
      </c>
      <c r="BC88" s="89" t="n">
        <v>336.6</v>
      </c>
      <c r="BD88" s="89" t="n">
        <v>570</v>
      </c>
      <c r="BE88" s="90" t="inlineStr">
        <is>
          <t>N/A</t>
        </is>
      </c>
      <c r="BF88" s="89" t="n">
        <v>480</v>
      </c>
      <c r="BG88" s="89" t="n">
        <v>1771.8</v>
      </c>
      <c r="BH88" s="89" t="n">
        <v>-2230.5</v>
      </c>
      <c r="BI88" s="89" t="n">
        <v>-1906.2</v>
      </c>
      <c r="BJ88" s="90" t="inlineStr">
        <is>
          <t>N/A</t>
        </is>
      </c>
      <c r="BK88" s="90" t="inlineStr">
        <is>
          <t>N/A</t>
        </is>
      </c>
      <c r="BL88" s="90" t="inlineStr">
        <is>
          <t>N/A</t>
        </is>
      </c>
      <c r="BM88" s="90" t="inlineStr">
        <is>
          <t>N/A</t>
        </is>
      </c>
      <c r="BN88" s="90" t="inlineStr">
        <is>
          <t>N/A</t>
        </is>
      </c>
      <c r="BO88" s="89" t="n">
        <v>5454.2</v>
      </c>
      <c r="BP88" s="89" t="n">
        <v>5083.1</v>
      </c>
      <c r="BQ88" s="89" t="n">
        <v>0</v>
      </c>
      <c r="BR88" s="89" t="n">
        <v>0</v>
      </c>
      <c r="BS88" s="90" t="inlineStr">
        <is>
          <t>N/A</t>
        </is>
      </c>
      <c r="BT88" s="90" t="inlineStr">
        <is>
          <t>N/A</t>
        </is>
      </c>
      <c r="BU88" s="90" t="inlineStr">
        <is>
          <t>N/A</t>
        </is>
      </c>
      <c r="BV88" s="90" t="inlineStr">
        <is>
          <t>N/A</t>
        </is>
      </c>
      <c r="BW88" s="89" t="n">
        <v>0</v>
      </c>
      <c r="BX88" s="89" t="n">
        <v>0</v>
      </c>
      <c r="BY88" s="89" t="n">
        <v>0</v>
      </c>
    </row>
    <row r="89" ht="17" customHeight="1">
      <c r="A89" s="82" t="n">
        <v>87</v>
      </c>
      <c r="B89" s="83" t="inlineStr">
        <is>
          <t>KLAC</t>
        </is>
      </c>
      <c r="C89" s="84" t="inlineStr">
        <is>
          <t>KLA CORPORATION</t>
        </is>
      </c>
      <c r="D89" s="82" t="inlineStr">
        <is>
          <t>Information Technology</t>
        </is>
      </c>
      <c r="E89" s="82" t="n">
        <v>2026</v>
      </c>
      <c r="F89" s="85" t="n">
        <v>16067.9</v>
      </c>
      <c r="G89" s="85" t="n">
        <v>10698.8</v>
      </c>
      <c r="H89" s="85" t="n">
        <v>4085.8</v>
      </c>
      <c r="I89" s="85" t="n">
        <v>11375.5</v>
      </c>
      <c r="J89" s="85" t="n">
        <v>2179.3</v>
      </c>
      <c r="K89" s="85" t="n">
        <v>772.1</v>
      </c>
      <c r="L89" s="85" t="n">
        <v>12156.2</v>
      </c>
      <c r="M89" s="85" t="n">
        <v>4061.6</v>
      </c>
      <c r="N89" s="85" t="n">
        <v>4081.9</v>
      </c>
      <c r="O89" s="85" t="n">
        <v>1153.2</v>
      </c>
      <c r="P89" s="85" t="n">
        <v>5884.3</v>
      </c>
      <c r="Q89" s="85" t="n">
        <v>4692.5</v>
      </c>
      <c r="R89" s="85" t="n">
        <v>1029.7</v>
      </c>
      <c r="S89" s="85" t="n">
        <v>394.1</v>
      </c>
      <c r="T89" s="85" t="n">
        <v>2263.9</v>
      </c>
      <c r="U89" s="85" t="n">
        <v>1252.8</v>
      </c>
      <c r="V89" s="85" t="n">
        <v>296.9</v>
      </c>
      <c r="W89" s="85" t="n">
        <v>15433.6</v>
      </c>
      <c r="X89" s="85" t="n">
        <v>10031.1</v>
      </c>
      <c r="Y89" s="85" t="n">
        <v>4660.8</v>
      </c>
      <c r="Z89" s="85" t="n">
        <v>12065.2</v>
      </c>
      <c r="AA89" s="85" t="n">
        <v>173</v>
      </c>
      <c r="AB89" s="85" t="n">
        <v>9812.200000000001</v>
      </c>
      <c r="AC89" s="85" t="n">
        <v>2761.9</v>
      </c>
      <c r="AD89" s="85" t="n">
        <v>3308.6</v>
      </c>
      <c r="AE89" s="85" t="n">
        <v>1094.1</v>
      </c>
      <c r="AF89" s="85" t="n">
        <v>5880.2</v>
      </c>
      <c r="AG89" s="85" t="n">
        <v>3368.3</v>
      </c>
      <c r="AH89" s="85" t="n">
        <v>9812.200000000001</v>
      </c>
      <c r="AI89" s="85" t="n">
        <v>15433.6</v>
      </c>
      <c r="AJ89" s="85" t="n">
        <v>4644.4</v>
      </c>
      <c r="AK89" s="85" t="n">
        <v>3190</v>
      </c>
      <c r="AL89" s="85" t="n">
        <v>582.8</v>
      </c>
      <c r="AM89" s="85" t="n">
        <v>428.1</v>
      </c>
      <c r="AN89" s="85" t="n">
        <v>335.3</v>
      </c>
      <c r="AO89" s="85" t="n">
        <v>277.4</v>
      </c>
      <c r="AP89" s="85" t="n">
        <v>3212.1</v>
      </c>
      <c r="AQ89" s="85" t="n">
        <v>3034.8</v>
      </c>
      <c r="AR89" s="85" t="n">
        <v>1792.2</v>
      </c>
      <c r="AS89" s="85" t="n">
        <v>418.5</v>
      </c>
      <c r="AT89" s="91" t="inlineStr">
        <is>
          <t>N/A</t>
        </is>
      </c>
      <c r="AU89" s="85" t="n">
        <v>1360.3</v>
      </c>
      <c r="AV89" s="85" t="n">
        <v>2078.9</v>
      </c>
      <c r="AW89" s="85" t="n">
        <v>1977.1</v>
      </c>
      <c r="AX89" s="85" t="n">
        <v>5884.3</v>
      </c>
      <c r="AY89" s="85" t="n">
        <v>5900.2</v>
      </c>
      <c r="AZ89" s="85" t="n">
        <v>3805.3</v>
      </c>
      <c r="BA89" s="85" t="n">
        <v>3746.6</v>
      </c>
      <c r="BB89" s="85" t="n">
        <v>132</v>
      </c>
      <c r="BC89" s="85" t="n">
        <v>134.4</v>
      </c>
      <c r="BD89" s="85" t="n">
        <v>1833</v>
      </c>
      <c r="BE89" s="85" t="n">
        <v>1110</v>
      </c>
      <c r="BF89" s="85" t="n">
        <v>969.5</v>
      </c>
      <c r="BG89" s="85" t="n">
        <v>401.7</v>
      </c>
      <c r="BH89" s="85" t="n">
        <v>-202.5</v>
      </c>
      <c r="BI89" s="85" t="n">
        <v>-1477</v>
      </c>
      <c r="BJ89" s="85" t="n">
        <v>458.5</v>
      </c>
      <c r="BK89" s="85" t="n">
        <v>359.5</v>
      </c>
      <c r="BL89" s="85" t="n">
        <v>1713.7</v>
      </c>
      <c r="BM89" s="85" t="n">
        <v>1782.2</v>
      </c>
      <c r="BN89" s="85" t="n">
        <v>167.3</v>
      </c>
      <c r="BO89" s="85" t="n">
        <v>4751.9</v>
      </c>
      <c r="BP89" s="85" t="n">
        <v>3928.1</v>
      </c>
      <c r="BQ89" s="85" t="n">
        <v>0</v>
      </c>
      <c r="BR89" s="85" t="n">
        <v>0</v>
      </c>
      <c r="BS89" s="85" t="n">
        <v>0</v>
      </c>
      <c r="BT89" s="85" t="n">
        <v>0</v>
      </c>
      <c r="BU89" s="85" t="n">
        <v>0</v>
      </c>
      <c r="BV89" s="85" t="n">
        <v>0</v>
      </c>
      <c r="BW89" s="85" t="n">
        <v>0</v>
      </c>
      <c r="BX89" s="85" t="n">
        <v>0</v>
      </c>
      <c r="BY89" s="85" t="n">
        <v>0</v>
      </c>
    </row>
    <row r="90" ht="17" customHeight="1">
      <c r="A90" s="86" t="n">
        <v>88</v>
      </c>
      <c r="B90" s="87" t="inlineStr">
        <is>
          <t>IONS</t>
        </is>
      </c>
      <c r="C90" s="88" t="inlineStr">
        <is>
          <t>IONIS PHARMACEUTICALS, INC.</t>
        </is>
      </c>
      <c r="D90" s="86" t="inlineStr">
        <is>
          <t>Health Care</t>
        </is>
      </c>
      <c r="E90" s="86" t="n">
        <v>2026</v>
      </c>
      <c r="F90" s="89" t="n">
        <v>3523.8</v>
      </c>
      <c r="G90" s="89" t="n">
        <v>2990.6</v>
      </c>
      <c r="H90" s="89" t="n">
        <v>781.6</v>
      </c>
      <c r="I90" s="89" t="n">
        <v>3034.7</v>
      </c>
      <c r="J90" s="89" t="n">
        <v>-2631.2</v>
      </c>
      <c r="K90" s="89" t="n">
        <v>-381.7</v>
      </c>
      <c r="L90" s="89" t="n">
        <v>203.3</v>
      </c>
      <c r="M90" s="89" t="n">
        <v>-381.4</v>
      </c>
      <c r="N90" s="89" t="n">
        <v>-268.6</v>
      </c>
      <c r="O90" s="89" t="n">
        <v>187.4</v>
      </c>
      <c r="P90" s="89" t="n">
        <v>1812.4</v>
      </c>
      <c r="Q90" s="89" t="n">
        <v>489.1</v>
      </c>
      <c r="R90" s="89" t="n">
        <v>393.9</v>
      </c>
      <c r="S90" s="89" t="n">
        <v>10</v>
      </c>
      <c r="T90" s="90" t="inlineStr">
        <is>
          <t>N/A</t>
        </is>
      </c>
      <c r="U90" s="89" t="n">
        <v>123</v>
      </c>
      <c r="V90" s="89" t="n">
        <v>17.3</v>
      </c>
      <c r="W90" s="89" t="n">
        <v>3003.7</v>
      </c>
      <c r="X90" s="89" t="n">
        <v>2620.3</v>
      </c>
      <c r="Y90" s="89" t="n">
        <v>309.3</v>
      </c>
      <c r="Z90" s="89" t="n">
        <v>2415.3</v>
      </c>
      <c r="AA90" s="89" t="n">
        <v>-214.5</v>
      </c>
      <c r="AB90" s="89" t="n">
        <v>226.6</v>
      </c>
      <c r="AC90" s="89" t="n">
        <v>-229.4</v>
      </c>
      <c r="AD90" s="89" t="n">
        <v>-500.9</v>
      </c>
      <c r="AE90" s="89" t="n">
        <v>215.4</v>
      </c>
      <c r="AF90" s="89" t="n">
        <v>1253.1</v>
      </c>
      <c r="AG90" s="89" t="n">
        <v>588.4</v>
      </c>
      <c r="AH90" s="89" t="n">
        <v>226.6</v>
      </c>
      <c r="AI90" s="89" t="n">
        <v>3003.7</v>
      </c>
      <c r="AJ90" s="89" t="n">
        <v>-379.6</v>
      </c>
      <c r="AK90" s="89" t="n">
        <v>-460.1</v>
      </c>
      <c r="AL90" s="89" t="n">
        <v>1.8</v>
      </c>
      <c r="AM90" s="89" t="n">
        <v>-6.2</v>
      </c>
      <c r="AN90" s="89" t="n">
        <v>51.4</v>
      </c>
      <c r="AO90" s="89" t="n">
        <v>45.3</v>
      </c>
      <c r="AP90" s="89" t="n">
        <v>10</v>
      </c>
      <c r="AQ90" s="89" t="n">
        <v>12.5</v>
      </c>
      <c r="AR90" s="90" t="inlineStr">
        <is>
          <t>N/A</t>
        </is>
      </c>
      <c r="AS90" s="89" t="n">
        <v>29</v>
      </c>
      <c r="AT90" s="89" t="n">
        <v>432.1</v>
      </c>
      <c r="AU90" s="89" t="n">
        <v>915.6</v>
      </c>
      <c r="AV90" s="89" t="n">
        <v>372.3</v>
      </c>
      <c r="AW90" s="89" t="n">
        <v>242.1</v>
      </c>
      <c r="AX90" s="89" t="n">
        <v>2244.5</v>
      </c>
      <c r="AY90" s="89" t="n">
        <v>1253.1</v>
      </c>
      <c r="AZ90" s="89" t="n">
        <v>1872.3</v>
      </c>
      <c r="BA90" s="89" t="n">
        <v>-320</v>
      </c>
      <c r="BB90" s="89" t="n">
        <v>163.3</v>
      </c>
      <c r="BC90" s="89" t="n">
        <v>157.9</v>
      </c>
      <c r="BD90" s="90" t="inlineStr">
        <is>
          <t>N/A</t>
        </is>
      </c>
      <c r="BE90" s="89" t="n">
        <v>94.3</v>
      </c>
      <c r="BF90" s="89" t="n">
        <v>267.5</v>
      </c>
      <c r="BG90" s="89" t="n">
        <v>9.6</v>
      </c>
      <c r="BH90" s="89" t="n">
        <v>-277.8</v>
      </c>
      <c r="BI90" s="89" t="n">
        <v>-134</v>
      </c>
      <c r="BJ90" s="89" t="n">
        <v>28.1</v>
      </c>
      <c r="BK90" s="89" t="n">
        <v>43</v>
      </c>
      <c r="BL90" s="89" t="n">
        <v>106.5</v>
      </c>
      <c r="BM90" s="89" t="n">
        <v>51.3</v>
      </c>
      <c r="BN90" s="89" t="n">
        <v>2.7</v>
      </c>
      <c r="BO90" s="89" t="n">
        <v>15.9</v>
      </c>
      <c r="BP90" s="89" t="n">
        <v>11.2</v>
      </c>
      <c r="BQ90" s="90" t="inlineStr">
        <is>
          <t>N/A</t>
        </is>
      </c>
      <c r="BR90" s="90" t="inlineStr">
        <is>
          <t>N/A</t>
        </is>
      </c>
      <c r="BS90" s="89" t="n">
        <v>0</v>
      </c>
      <c r="BT90" s="89" t="n">
        <v>0</v>
      </c>
      <c r="BU90" s="89" t="n">
        <v>0</v>
      </c>
      <c r="BV90" s="89" t="n">
        <v>0</v>
      </c>
      <c r="BW90" s="89" t="n">
        <v>0</v>
      </c>
      <c r="BX90" s="89" t="n">
        <v>-0</v>
      </c>
      <c r="BY90" s="89" t="n">
        <v>-0</v>
      </c>
    </row>
    <row r="91" ht="17" customHeight="1">
      <c r="A91" s="82" t="n">
        <v>89</v>
      </c>
      <c r="B91" s="83" t="inlineStr">
        <is>
          <t>F</t>
        </is>
      </c>
      <c r="C91" s="84" t="inlineStr">
        <is>
          <t>Ford Motor Co</t>
        </is>
      </c>
      <c r="D91" s="82" t="inlineStr">
        <is>
          <t>Consumer Discretionary</t>
        </is>
      </c>
      <c r="E91" s="82" t="n">
        <v>2026</v>
      </c>
      <c r="F91" s="85" t="n">
        <v>289160</v>
      </c>
      <c r="G91" s="85" t="n">
        <v>123487</v>
      </c>
      <c r="H91" s="85" t="n">
        <v>114890</v>
      </c>
      <c r="I91" s="85" t="n">
        <v>253180</v>
      </c>
      <c r="J91" s="85" t="n">
        <v>22508</v>
      </c>
      <c r="K91" s="85" t="n">
        <v>-9169</v>
      </c>
      <c r="L91" s="85" t="n">
        <v>184992</v>
      </c>
      <c r="M91" s="85" t="n">
        <v>5879</v>
      </c>
      <c r="N91" s="85" t="n">
        <v>21282</v>
      </c>
      <c r="O91" s="85" t="n">
        <v>10526</v>
      </c>
      <c r="P91" s="85" t="n">
        <v>291</v>
      </c>
      <c r="Q91" s="85" t="n">
        <v>35952</v>
      </c>
      <c r="R91" s="85" t="n">
        <v>10849</v>
      </c>
      <c r="S91" s="85" t="n">
        <v>15974</v>
      </c>
      <c r="T91" s="85" t="n">
        <v>15398</v>
      </c>
      <c r="U91" s="85" t="n">
        <v>41928</v>
      </c>
      <c r="V91" s="85" t="n">
        <v>7613</v>
      </c>
      <c r="W91" s="85" t="n">
        <v>285196</v>
      </c>
      <c r="X91" s="85" t="n">
        <v>124474</v>
      </c>
      <c r="Y91" s="85" t="n">
        <v>106859</v>
      </c>
      <c r="Z91" s="85" t="n">
        <v>240338</v>
      </c>
      <c r="AA91" s="85" t="n">
        <v>5219</v>
      </c>
      <c r="AB91" s="85" t="n">
        <v>176191</v>
      </c>
      <c r="AC91" s="85" t="n">
        <v>4347</v>
      </c>
      <c r="AD91" s="85" t="n">
        <v>15423</v>
      </c>
      <c r="AE91" s="85" t="n">
        <v>17757</v>
      </c>
      <c r="AF91" s="85" t="n">
        <v>470</v>
      </c>
      <c r="AG91" s="85" t="n">
        <v>44835</v>
      </c>
      <c r="AH91" s="85" t="n">
        <v>176191</v>
      </c>
      <c r="AI91" s="85" t="n">
        <v>285196</v>
      </c>
      <c r="AJ91" s="85" t="n">
        <v>-11830</v>
      </c>
      <c r="AK91" s="85" t="n">
        <v>7233</v>
      </c>
      <c r="AL91" s="85" t="n">
        <v>-3668</v>
      </c>
      <c r="AM91" s="85" t="n">
        <v>1339</v>
      </c>
      <c r="AN91" s="85" t="n">
        <v>8815</v>
      </c>
      <c r="AO91" s="85" t="n">
        <v>8684</v>
      </c>
      <c r="AP91" s="85" t="n">
        <v>15285</v>
      </c>
      <c r="AQ91" s="85" t="n">
        <v>14951</v>
      </c>
      <c r="AR91" s="85" t="n">
        <v>483</v>
      </c>
      <c r="AS91" s="85" t="n">
        <v>170</v>
      </c>
      <c r="AT91" s="91" t="inlineStr">
        <is>
          <t>N/A</t>
        </is>
      </c>
      <c r="AU91" s="85" t="n">
        <v>9400</v>
      </c>
      <c r="AV91" s="85" t="n">
        <v>23356</v>
      </c>
      <c r="AW91" s="85" t="n">
        <v>22935</v>
      </c>
      <c r="AX91" s="85" t="n">
        <v>291</v>
      </c>
      <c r="AY91" s="85" t="n">
        <v>470</v>
      </c>
      <c r="AZ91" s="85" t="n">
        <v>-23065</v>
      </c>
      <c r="BA91" s="85" t="n">
        <v>12467</v>
      </c>
      <c r="BB91" s="85" t="n">
        <v>3266</v>
      </c>
      <c r="BC91" s="91" t="inlineStr">
        <is>
          <t>N/A</t>
        </is>
      </c>
      <c r="BD91" s="85" t="n">
        <v>14723</v>
      </c>
      <c r="BE91" s="85" t="n">
        <v>40821</v>
      </c>
      <c r="BF91" s="85" t="n">
        <v>10287</v>
      </c>
      <c r="BG91" s="85" t="n">
        <v>7567</v>
      </c>
      <c r="BH91" s="85" t="n">
        <v>-18049</v>
      </c>
      <c r="BI91" s="85" t="n">
        <v>-24370</v>
      </c>
      <c r="BJ91" s="85" t="n">
        <v>25809</v>
      </c>
      <c r="BK91" s="85" t="n">
        <v>24128</v>
      </c>
      <c r="BL91" s="85" t="n">
        <v>2404</v>
      </c>
      <c r="BM91" s="85" t="n">
        <v>2349</v>
      </c>
      <c r="BN91" s="91" t="inlineStr">
        <is>
          <t>N/A</t>
        </is>
      </c>
      <c r="BO91" s="85" t="n">
        <v>174466</v>
      </c>
      <c r="BP91" s="85" t="n">
        <v>158434</v>
      </c>
      <c r="BQ91" s="85" t="n">
        <v>0</v>
      </c>
      <c r="BR91" s="85" t="n">
        <v>0</v>
      </c>
      <c r="BS91" s="85" t="n">
        <v>0</v>
      </c>
      <c r="BT91" s="85" t="n">
        <v>0</v>
      </c>
      <c r="BU91" s="85" t="n">
        <v>0</v>
      </c>
      <c r="BV91" s="85" t="n">
        <v>0</v>
      </c>
      <c r="BW91" s="85" t="n">
        <v>0</v>
      </c>
      <c r="BX91" s="85" t="n">
        <v>0</v>
      </c>
      <c r="BY91" s="85" t="n">
        <v>0</v>
      </c>
    </row>
    <row r="92" ht="17" customHeight="1">
      <c r="A92" s="86" t="n">
        <v>90</v>
      </c>
      <c r="B92" s="87" t="inlineStr">
        <is>
          <t>NTRS</t>
        </is>
      </c>
      <c r="C92" s="88" t="inlineStr">
        <is>
          <t>NORTHERN TRUST CORP</t>
        </is>
      </c>
      <c r="D92" s="86" t="inlineStr">
        <is>
          <t>Financials</t>
        </is>
      </c>
      <c r="E92" s="86" t="n">
        <v>2026</v>
      </c>
      <c r="F92" s="89" t="n">
        <v>177132.7</v>
      </c>
      <c r="G92" s="90" t="inlineStr">
        <is>
          <t>N/A</t>
        </is>
      </c>
      <c r="H92" s="90" t="inlineStr">
        <is>
          <t>N/A</t>
        </is>
      </c>
      <c r="I92" s="89" t="n">
        <v>164174.8</v>
      </c>
      <c r="J92" s="89" t="n">
        <v>16709.3</v>
      </c>
      <c r="K92" s="89" t="n">
        <v>2339.5</v>
      </c>
      <c r="L92" s="89" t="n">
        <v>8086.4</v>
      </c>
      <c r="M92" s="89" t="n">
        <v>1736.9</v>
      </c>
      <c r="N92" s="89" t="n">
        <v>5533.5</v>
      </c>
      <c r="O92" s="90" t="inlineStr">
        <is>
          <t>N/A</t>
        </is>
      </c>
      <c r="P92" s="89" t="n">
        <v>1421.6</v>
      </c>
      <c r="Q92" s="89" t="n">
        <v>12957.9</v>
      </c>
      <c r="R92" s="90" t="inlineStr">
        <is>
          <t>N/A</t>
        </is>
      </c>
      <c r="S92" s="89" t="n">
        <v>9.300000000000001</v>
      </c>
      <c r="T92" s="90" t="inlineStr">
        <is>
          <t>N/A</t>
        </is>
      </c>
      <c r="U92" s="89" t="n">
        <v>464.6</v>
      </c>
      <c r="V92" s="89" t="n">
        <v>5343</v>
      </c>
      <c r="W92" s="89" t="n">
        <v>155508.4</v>
      </c>
      <c r="X92" s="90" t="inlineStr">
        <is>
          <t>N/A</t>
        </is>
      </c>
      <c r="Y92" s="90" t="inlineStr">
        <is>
          <t>N/A</t>
        </is>
      </c>
      <c r="Z92" s="89" t="n">
        <v>142720</v>
      </c>
      <c r="AA92" s="89" t="n">
        <v>2659.5</v>
      </c>
      <c r="AB92" s="89" t="n">
        <v>8290.4</v>
      </c>
      <c r="AC92" s="89" t="n">
        <v>2031.1</v>
      </c>
      <c r="AD92" s="89" t="n">
        <v>-486</v>
      </c>
      <c r="AE92" s="90" t="inlineStr">
        <is>
          <t>N/A</t>
        </is>
      </c>
      <c r="AF92" s="89" t="n">
        <v>2133.3</v>
      </c>
      <c r="AG92" s="89" t="n">
        <v>12788.4</v>
      </c>
      <c r="AH92" s="89" t="n">
        <v>8290.4</v>
      </c>
      <c r="AI92" s="89" t="n">
        <v>155508.4</v>
      </c>
      <c r="AJ92" s="89" t="n">
        <v>2339.5</v>
      </c>
      <c r="AK92" s="89" t="n">
        <v>2659.5</v>
      </c>
      <c r="AL92" s="89" t="n">
        <v>602.6</v>
      </c>
      <c r="AM92" s="89" t="n">
        <v>628.4</v>
      </c>
      <c r="AN92" s="89" t="n">
        <v>74</v>
      </c>
      <c r="AO92" s="89" t="n">
        <v>101.5</v>
      </c>
      <c r="AP92" s="90" t="inlineStr">
        <is>
          <t>N/A</t>
        </is>
      </c>
      <c r="AQ92" s="90" t="inlineStr">
        <is>
          <t>N/A</t>
        </is>
      </c>
      <c r="AR92" s="89" t="n">
        <v>712.9</v>
      </c>
      <c r="AS92" s="89" t="n">
        <v>120.6</v>
      </c>
      <c r="AT92" s="90" t="inlineStr">
        <is>
          <t>N/A</t>
        </is>
      </c>
      <c r="AU92" s="90" t="inlineStr">
        <is>
          <t>N/A</t>
        </is>
      </c>
      <c r="AV92" s="90" t="inlineStr">
        <is>
          <t>N/A</t>
        </is>
      </c>
      <c r="AW92" s="90" t="inlineStr">
        <is>
          <t>N/A</t>
        </is>
      </c>
      <c r="AX92" s="89" t="n">
        <v>1421.6</v>
      </c>
      <c r="AY92" s="89" t="n">
        <v>2133.3</v>
      </c>
      <c r="AZ92" s="89" t="n">
        <v>1421.6</v>
      </c>
      <c r="BA92" s="89" t="n">
        <v>5459.5</v>
      </c>
      <c r="BB92" s="89" t="n">
        <v>186.3</v>
      </c>
      <c r="BC92" s="89" t="n">
        <v>196</v>
      </c>
      <c r="BD92" s="90" t="inlineStr">
        <is>
          <t>N/A</t>
        </is>
      </c>
      <c r="BE92" s="89" t="n">
        <v>490.3</v>
      </c>
      <c r="BF92" s="90" t="inlineStr">
        <is>
          <t>N/A</t>
        </is>
      </c>
      <c r="BG92" s="89" t="n">
        <v>14.8</v>
      </c>
      <c r="BH92" s="89" t="n">
        <v>-20169.9</v>
      </c>
      <c r="BI92" s="89" t="n">
        <v>-2563.5</v>
      </c>
      <c r="BJ92" s="90" t="inlineStr">
        <is>
          <t>N/A</t>
        </is>
      </c>
      <c r="BK92" s="90" t="inlineStr">
        <is>
          <t>N/A</t>
        </is>
      </c>
      <c r="BL92" s="90" t="inlineStr">
        <is>
          <t>N/A</t>
        </is>
      </c>
      <c r="BM92" s="90" t="inlineStr">
        <is>
          <t>N/A</t>
        </is>
      </c>
      <c r="BN92" s="90" t="inlineStr">
        <is>
          <t>N/A</t>
        </is>
      </c>
      <c r="BO92" s="90" t="inlineStr">
        <is>
          <t>N/A</t>
        </is>
      </c>
      <c r="BP92" s="90" t="inlineStr">
        <is>
          <t>N/A</t>
        </is>
      </c>
      <c r="BQ92" s="90" t="inlineStr">
        <is>
          <t>N/A</t>
        </is>
      </c>
      <c r="BR92" s="90" t="inlineStr">
        <is>
          <t>N/A</t>
        </is>
      </c>
      <c r="BS92" s="90" t="inlineStr">
        <is>
          <t>N/A</t>
        </is>
      </c>
      <c r="BT92" s="90" t="inlineStr">
        <is>
          <t>N/A</t>
        </is>
      </c>
      <c r="BU92" s="90" t="inlineStr">
        <is>
          <t>N/A</t>
        </is>
      </c>
      <c r="BV92" s="90" t="inlineStr">
        <is>
          <t>N/A</t>
        </is>
      </c>
      <c r="BW92" s="89" t="n">
        <v>0</v>
      </c>
      <c r="BX92" s="89" t="n">
        <v>0</v>
      </c>
      <c r="BY92" s="89" t="n">
        <v>0</v>
      </c>
    </row>
    <row r="93" ht="17" customHeight="1">
      <c r="A93" s="82" t="n">
        <v>91</v>
      </c>
      <c r="B93" s="83" t="inlineStr">
        <is>
          <t>MNST</t>
        </is>
      </c>
      <c r="C93" s="84" t="inlineStr">
        <is>
          <t>Monster Beverage Corp</t>
        </is>
      </c>
      <c r="D93" s="82" t="inlineStr">
        <is>
          <t>Consumer Staples</t>
        </is>
      </c>
      <c r="E93" s="82" t="n">
        <v>2026</v>
      </c>
      <c r="F93" s="85" t="n">
        <v>9988.9</v>
      </c>
      <c r="G93" s="85" t="n">
        <v>5361.1</v>
      </c>
      <c r="H93" s="85" t="n">
        <v>1447.8</v>
      </c>
      <c r="I93" s="85" t="n">
        <v>9988.9</v>
      </c>
      <c r="J93" s="85" t="n">
        <v>9354.200000000001</v>
      </c>
      <c r="K93" s="85" t="n">
        <v>2419.4</v>
      </c>
      <c r="L93" s="85" t="n">
        <v>8294.299999999999</v>
      </c>
      <c r="M93" s="85" t="n">
        <v>1905.4</v>
      </c>
      <c r="N93" s="85" t="n">
        <v>2098.2</v>
      </c>
      <c r="O93" s="85" t="n">
        <v>4632.2</v>
      </c>
      <c r="P93" s="85" t="n">
        <v>374</v>
      </c>
      <c r="Q93" s="85" t="n">
        <v>8254.1</v>
      </c>
      <c r="R93" s="91" t="inlineStr">
        <is>
          <t>N/A</t>
        </is>
      </c>
      <c r="S93" s="85" t="n">
        <v>114.4</v>
      </c>
      <c r="T93" s="85" t="n">
        <v>1618.1</v>
      </c>
      <c r="U93" s="85" t="n">
        <v>1081.5</v>
      </c>
      <c r="V93" s="85" t="n">
        <v>0.1</v>
      </c>
      <c r="W93" s="85" t="n">
        <v>7719.1</v>
      </c>
      <c r="X93" s="85" t="n">
        <v>3641.5</v>
      </c>
      <c r="Y93" s="85" t="n">
        <v>1097.5</v>
      </c>
      <c r="Z93" s="85" t="n">
        <v>7719.1</v>
      </c>
      <c r="AA93" s="85" t="n">
        <v>1930.3</v>
      </c>
      <c r="AB93" s="85" t="n">
        <v>7492.7</v>
      </c>
      <c r="AC93" s="85" t="n">
        <v>1509</v>
      </c>
      <c r="AD93" s="85" t="n">
        <v>1928.5</v>
      </c>
      <c r="AE93" s="85" t="n">
        <v>4048.9</v>
      </c>
      <c r="AF93" s="85" t="n">
        <v>374</v>
      </c>
      <c r="AG93" s="85" t="n">
        <v>5957.7</v>
      </c>
      <c r="AH93" s="85" t="n">
        <v>7492.7</v>
      </c>
      <c r="AI93" s="85" t="n">
        <v>7719.1</v>
      </c>
      <c r="AJ93" s="85" t="n">
        <v>2482.5</v>
      </c>
      <c r="AK93" s="85" t="n">
        <v>1989.5</v>
      </c>
      <c r="AL93" s="85" t="n">
        <v>577.1</v>
      </c>
      <c r="AM93" s="85" t="n">
        <v>480.4</v>
      </c>
      <c r="AN93" s="85" t="n">
        <v>132.3</v>
      </c>
      <c r="AO93" s="85" t="n">
        <v>264.1</v>
      </c>
      <c r="AP93" s="85" t="n">
        <v>799.6</v>
      </c>
      <c r="AQ93" s="85" t="n">
        <v>737.1</v>
      </c>
      <c r="AR93" s="85" t="n">
        <v>1331.6</v>
      </c>
      <c r="AS93" s="85" t="n">
        <v>50.7</v>
      </c>
      <c r="AT93" s="91" t="inlineStr">
        <is>
          <t>N/A</t>
        </is>
      </c>
      <c r="AU93" s="91" t="inlineStr">
        <is>
          <t>N/A</t>
        </is>
      </c>
      <c r="AV93" s="85" t="n">
        <v>2088.1</v>
      </c>
      <c r="AW93" s="85" t="n">
        <v>1533.3</v>
      </c>
      <c r="AX93" s="85" t="n">
        <v>374</v>
      </c>
      <c r="AY93" s="85" t="n">
        <v>374</v>
      </c>
      <c r="AZ93" s="85" t="n">
        <v>-1714.2</v>
      </c>
      <c r="BA93" s="85" t="n">
        <v>1965.9</v>
      </c>
      <c r="BB93" s="85" t="n">
        <v>978.1</v>
      </c>
      <c r="BC93" s="85" t="n">
        <v>973.1</v>
      </c>
      <c r="BD93" s="85" t="n">
        <v>1221.6</v>
      </c>
      <c r="BE93" s="85" t="n">
        <v>1047</v>
      </c>
      <c r="BF93" s="91" t="inlineStr">
        <is>
          <t>N/A</t>
        </is>
      </c>
      <c r="BG93" s="85" t="n">
        <v>80.40000000000001</v>
      </c>
      <c r="BH93" s="85" t="n">
        <v>-1316.8</v>
      </c>
      <c r="BI93" s="85" t="n">
        <v>733.7</v>
      </c>
      <c r="BJ93" s="85" t="n">
        <v>566</v>
      </c>
      <c r="BK93" s="85" t="n">
        <v>466.8</v>
      </c>
      <c r="BL93" s="85" t="n">
        <v>44</v>
      </c>
      <c r="BM93" s="85" t="n">
        <v>43.2</v>
      </c>
      <c r="BN93" s="85" t="n">
        <v>32.3</v>
      </c>
      <c r="BO93" s="85" t="n">
        <v>3662.1</v>
      </c>
      <c r="BP93" s="85" t="n">
        <v>3443.8</v>
      </c>
      <c r="BQ93" s="85" t="n">
        <v>0</v>
      </c>
      <c r="BR93" s="85" t="n">
        <v>0</v>
      </c>
      <c r="BS93" s="85" t="n">
        <v>0</v>
      </c>
      <c r="BT93" s="85" t="n">
        <v>0</v>
      </c>
      <c r="BU93" s="85" t="n">
        <v>0</v>
      </c>
      <c r="BV93" s="85" t="n">
        <v>0</v>
      </c>
      <c r="BW93" s="85" t="n">
        <v>0</v>
      </c>
      <c r="BX93" s="85" t="n">
        <v>0</v>
      </c>
      <c r="BY93" s="85" t="n">
        <v>0</v>
      </c>
    </row>
    <row r="94" ht="17" customHeight="1">
      <c r="A94" s="86" t="n">
        <v>92</v>
      </c>
      <c r="B94" s="87" t="inlineStr">
        <is>
          <t>PNW</t>
        </is>
      </c>
      <c r="C94" s="88" t="inlineStr">
        <is>
          <t>PINNACLE WEST CAPITAL CORP</t>
        </is>
      </c>
      <c r="D94" s="86" t="inlineStr">
        <is>
          <t>Utilities</t>
        </is>
      </c>
      <c r="E94" s="86" t="n">
        <v>2026</v>
      </c>
      <c r="F94" s="89" t="n">
        <v>30031.6</v>
      </c>
      <c r="G94" s="89" t="n">
        <v>1703.7</v>
      </c>
      <c r="H94" s="89" t="n">
        <v>3161</v>
      </c>
      <c r="I94" s="89" t="n">
        <v>30031.6</v>
      </c>
      <c r="J94" s="89" t="n">
        <v>3850.8</v>
      </c>
      <c r="K94" s="89" t="n">
        <v>1067.6</v>
      </c>
      <c r="L94" s="89" t="n">
        <v>5339.9</v>
      </c>
      <c r="M94" s="89" t="n">
        <v>350.1</v>
      </c>
      <c r="N94" s="89" t="n">
        <v>1805.1</v>
      </c>
      <c r="O94" s="89" t="n">
        <v>4263.8</v>
      </c>
      <c r="P94" s="89" t="n">
        <v>3337</v>
      </c>
      <c r="Q94" s="89" t="n">
        <v>7046.5</v>
      </c>
      <c r="R94" s="90" t="inlineStr">
        <is>
          <t>N/A</t>
        </is>
      </c>
      <c r="S94" s="89" t="n">
        <v>969.6</v>
      </c>
      <c r="T94" s="90" t="inlineStr">
        <is>
          <t>N/A</t>
        </is>
      </c>
      <c r="U94" s="89" t="n">
        <v>18358.3</v>
      </c>
      <c r="V94" s="89" t="n">
        <v>331.3</v>
      </c>
      <c r="W94" s="89" t="n">
        <v>26102.8</v>
      </c>
      <c r="X94" s="89" t="n">
        <v>1689.4</v>
      </c>
      <c r="Y94" s="89" t="n">
        <v>2843.8</v>
      </c>
      <c r="Z94" s="89" t="n">
        <v>26102.8</v>
      </c>
      <c r="AA94" s="89" t="n">
        <v>1012.1</v>
      </c>
      <c r="AB94" s="89" t="n">
        <v>5124.9</v>
      </c>
      <c r="AC94" s="89" t="n">
        <v>68.3</v>
      </c>
      <c r="AD94" s="89" t="n">
        <v>1609.8</v>
      </c>
      <c r="AE94" s="89" t="n">
        <v>4143.6</v>
      </c>
      <c r="AF94" s="89" t="n">
        <v>3322</v>
      </c>
      <c r="AG94" s="89" t="n">
        <v>6754.3</v>
      </c>
      <c r="AH94" s="89" t="n">
        <v>5124.9</v>
      </c>
      <c r="AI94" s="89" t="n">
        <v>26102.8</v>
      </c>
      <c r="AJ94" s="89" t="n">
        <v>738.4</v>
      </c>
      <c r="AK94" s="89" t="n">
        <v>736.6</v>
      </c>
      <c r="AL94" s="89" t="n">
        <v>106.7</v>
      </c>
      <c r="AM94" s="89" t="n">
        <v>110.5</v>
      </c>
      <c r="AN94" s="89" t="n">
        <v>2624.6</v>
      </c>
      <c r="AO94" s="89" t="n">
        <v>2249.2</v>
      </c>
      <c r="AP94" s="90" t="inlineStr">
        <is>
          <t>N/A</t>
        </is>
      </c>
      <c r="AQ94" s="90" t="inlineStr">
        <is>
          <t>N/A</t>
        </is>
      </c>
      <c r="AR94" s="90" t="inlineStr">
        <is>
          <t>N/A</t>
        </is>
      </c>
      <c r="AS94" s="89" t="n">
        <v>576</v>
      </c>
      <c r="AT94" s="89" t="n">
        <v>757</v>
      </c>
      <c r="AU94" s="90" t="inlineStr">
        <is>
          <t>N/A</t>
        </is>
      </c>
      <c r="AV94" s="89" t="n">
        <v>6.6</v>
      </c>
      <c r="AW94" s="89" t="n">
        <v>3.8</v>
      </c>
      <c r="AX94" s="89" t="n">
        <v>4094</v>
      </c>
      <c r="AY94" s="89" t="n">
        <v>3890.4</v>
      </c>
      <c r="AZ94" s="89" t="n">
        <v>4087.4</v>
      </c>
      <c r="BA94" s="89" t="n">
        <v>-819.5</v>
      </c>
      <c r="BB94" s="89" t="n">
        <v>121</v>
      </c>
      <c r="BC94" s="89" t="n">
        <v>119.1</v>
      </c>
      <c r="BD94" s="90" t="inlineStr">
        <is>
          <t>N/A</t>
        </is>
      </c>
      <c r="BE94" s="89" t="n">
        <v>16833.5</v>
      </c>
      <c r="BF94" s="90" t="inlineStr">
        <is>
          <t>N/A</t>
        </is>
      </c>
      <c r="BG94" s="89" t="n">
        <v>956.2</v>
      </c>
      <c r="BH94" s="89" t="n">
        <v>-2378.7</v>
      </c>
      <c r="BI94" s="89" t="n">
        <v>-1933.6</v>
      </c>
      <c r="BJ94" s="89" t="n">
        <v>680.2</v>
      </c>
      <c r="BK94" s="89" t="n">
        <v>485.4</v>
      </c>
      <c r="BL94" s="89" t="n">
        <v>63.8</v>
      </c>
      <c r="BM94" s="89" t="n">
        <v>44.3</v>
      </c>
      <c r="BN94" s="89" t="n">
        <v>186.6</v>
      </c>
      <c r="BO94" s="89" t="n">
        <v>1076.1</v>
      </c>
      <c r="BP94" s="89" t="n">
        <v>981.3</v>
      </c>
      <c r="BQ94" s="90" t="inlineStr">
        <is>
          <t>N/A</t>
        </is>
      </c>
      <c r="BR94" s="90" t="inlineStr">
        <is>
          <t>N/A</t>
        </is>
      </c>
      <c r="BS94" s="90" t="inlineStr">
        <is>
          <t>N/A</t>
        </is>
      </c>
      <c r="BT94" s="90" t="inlineStr">
        <is>
          <t>N/A</t>
        </is>
      </c>
      <c r="BU94" s="89" t="n">
        <v>0</v>
      </c>
      <c r="BV94" s="89" t="n">
        <v>0</v>
      </c>
      <c r="BW94" s="89" t="n">
        <v>0</v>
      </c>
      <c r="BX94" s="89" t="n">
        <v>0</v>
      </c>
      <c r="BY94" s="89" t="n">
        <v>0</v>
      </c>
    </row>
    <row r="95" ht="17" customHeight="1">
      <c r="A95" s="82" t="n">
        <v>93</v>
      </c>
      <c r="B95" s="83" t="inlineStr">
        <is>
          <t>CI</t>
        </is>
      </c>
      <c r="C95" s="84" t="inlineStr">
        <is>
          <t>The Cigna Group</t>
        </is>
      </c>
      <c r="D95" s="82" t="inlineStr">
        <is>
          <t>Health Care</t>
        </is>
      </c>
      <c r="E95" s="82" t="n">
        <v>2026</v>
      </c>
      <c r="F95" s="85" t="n">
        <v>157919</v>
      </c>
      <c r="G95" s="85" t="n">
        <v>47814</v>
      </c>
      <c r="H95" s="85" t="n">
        <v>56342</v>
      </c>
      <c r="I95" s="85" t="n">
        <v>116045</v>
      </c>
      <c r="J95" s="85" t="n">
        <v>47865</v>
      </c>
      <c r="K95" s="85" t="n">
        <v>9200</v>
      </c>
      <c r="L95" s="85" t="n">
        <v>274900</v>
      </c>
      <c r="M95" s="85" t="n">
        <v>5957</v>
      </c>
      <c r="N95" s="85" t="n">
        <v>9601</v>
      </c>
      <c r="O95" s="85" t="n">
        <v>59909</v>
      </c>
      <c r="P95" s="91" t="inlineStr">
        <is>
          <t>N/A</t>
        </is>
      </c>
      <c r="Q95" s="85" t="n">
        <v>41713</v>
      </c>
      <c r="R95" s="85" t="n">
        <v>14617</v>
      </c>
      <c r="S95" s="85" t="n">
        <v>2775</v>
      </c>
      <c r="T95" s="85" t="n">
        <v>28768</v>
      </c>
      <c r="U95" s="85" t="n">
        <v>3651</v>
      </c>
      <c r="V95" s="85" t="n">
        <v>1400</v>
      </c>
      <c r="W95" s="85" t="n">
        <v>155881</v>
      </c>
      <c r="X95" s="85" t="n">
        <v>48870</v>
      </c>
      <c r="Y95" s="85" t="n">
        <v>57979</v>
      </c>
      <c r="Z95" s="85" t="n">
        <v>114638</v>
      </c>
      <c r="AA95" s="85" t="n">
        <v>9417</v>
      </c>
      <c r="AB95" s="85" t="n">
        <v>247121</v>
      </c>
      <c r="AC95" s="85" t="n">
        <v>3434</v>
      </c>
      <c r="AD95" s="85" t="n">
        <v>10363</v>
      </c>
      <c r="AE95" s="85" t="n">
        <v>64612</v>
      </c>
      <c r="AF95" s="91" t="inlineStr">
        <is>
          <t>N/A</t>
        </is>
      </c>
      <c r="AG95" s="85" t="n">
        <v>41033</v>
      </c>
      <c r="AH95" s="85" t="n">
        <v>247121</v>
      </c>
      <c r="AI95" s="85" t="n">
        <v>155881</v>
      </c>
      <c r="AJ95" s="85" t="n">
        <v>7781</v>
      </c>
      <c r="AK95" s="85" t="n">
        <v>5269</v>
      </c>
      <c r="AL95" s="85" t="n">
        <v>1493</v>
      </c>
      <c r="AM95" s="85" t="n">
        <v>1491</v>
      </c>
      <c r="AN95" s="85" t="n">
        <v>1050</v>
      </c>
      <c r="AO95" s="85" t="n">
        <v>528</v>
      </c>
      <c r="AP95" s="85" t="n">
        <v>7338</v>
      </c>
      <c r="AQ95" s="85" t="n">
        <v>6692</v>
      </c>
      <c r="AR95" s="85" t="n">
        <v>44924</v>
      </c>
      <c r="AS95" s="85" t="n">
        <v>39003</v>
      </c>
      <c r="AT95" s="85" t="n">
        <v>592</v>
      </c>
      <c r="AU95" s="91" t="inlineStr">
        <is>
          <t>N/A</t>
        </is>
      </c>
      <c r="AV95" s="85" t="n">
        <v>7676</v>
      </c>
      <c r="AW95" s="85" t="n">
        <v>7550</v>
      </c>
      <c r="AX95" s="85" t="n">
        <v>592</v>
      </c>
      <c r="AY95" s="91" t="inlineStr">
        <is>
          <t>N/A</t>
        </is>
      </c>
      <c r="AZ95" s="85" t="n">
        <v>-7084</v>
      </c>
      <c r="BA95" s="85" t="n">
        <v>8551</v>
      </c>
      <c r="BB95" s="85" t="n">
        <v>263.5</v>
      </c>
      <c r="BC95" s="85" t="n">
        <v>273.8</v>
      </c>
      <c r="BD95" s="85" t="n">
        <v>24227</v>
      </c>
      <c r="BE95" s="85" t="n">
        <v>3774</v>
      </c>
      <c r="BF95" s="85" t="n">
        <v>14844</v>
      </c>
      <c r="BG95" s="85" t="n">
        <v>2775</v>
      </c>
      <c r="BH95" s="85" t="n">
        <v>-4407</v>
      </c>
      <c r="BI95" s="85" t="n">
        <v>-2102</v>
      </c>
      <c r="BJ95" s="85" t="n">
        <v>10659</v>
      </c>
      <c r="BK95" s="85" t="n">
        <v>9294</v>
      </c>
      <c r="BL95" s="91" t="inlineStr">
        <is>
          <t>N/A</t>
        </is>
      </c>
      <c r="BM95" s="91" t="inlineStr">
        <is>
          <t>N/A</t>
        </is>
      </c>
      <c r="BN95" s="91" t="inlineStr">
        <is>
          <t>N/A</t>
        </is>
      </c>
      <c r="BO95" s="85" t="n">
        <v>214991</v>
      </c>
      <c r="BP95" s="85" t="n">
        <v>182509</v>
      </c>
      <c r="BQ95" s="85" t="n">
        <v>0</v>
      </c>
      <c r="BR95" s="85" t="n">
        <v>0</v>
      </c>
      <c r="BS95" s="85" t="n">
        <v>0</v>
      </c>
      <c r="BT95" s="85" t="n">
        <v>0</v>
      </c>
      <c r="BU95" s="85" t="n">
        <v>0</v>
      </c>
      <c r="BV95" s="85" t="n">
        <v>0</v>
      </c>
      <c r="BW95" s="85" t="n">
        <v>0</v>
      </c>
      <c r="BX95" s="85" t="n">
        <v>0</v>
      </c>
      <c r="BY95" s="85" t="n">
        <v>0</v>
      </c>
    </row>
    <row r="96" ht="17" customHeight="1">
      <c r="A96" s="86" t="n">
        <v>94</v>
      </c>
      <c r="B96" s="87" t="inlineStr">
        <is>
          <t>TREX</t>
        </is>
      </c>
      <c r="C96" s="88" t="inlineStr">
        <is>
          <t>Trex Company, Inc.</t>
        </is>
      </c>
      <c r="D96" s="86" t="inlineStr">
        <is>
          <t>Industrials</t>
        </is>
      </c>
      <c r="E96" s="86" t="n">
        <v>2026</v>
      </c>
      <c r="F96" s="89" t="n">
        <v>1453.4</v>
      </c>
      <c r="G96" s="89" t="n">
        <v>310.4</v>
      </c>
      <c r="H96" s="89" t="n">
        <v>250.7</v>
      </c>
      <c r="I96" s="89" t="n">
        <v>419.2</v>
      </c>
      <c r="J96" s="89" t="n">
        <v>1789.8</v>
      </c>
      <c r="K96" s="89" t="n">
        <v>258</v>
      </c>
      <c r="L96" s="89" t="n">
        <v>1174.3</v>
      </c>
      <c r="M96" s="89" t="n">
        <v>190.4</v>
      </c>
      <c r="N96" s="89" t="n">
        <v>358.1</v>
      </c>
      <c r="O96" s="89" t="n">
        <v>460</v>
      </c>
      <c r="P96" s="89" t="n">
        <v>86.40000000000001</v>
      </c>
      <c r="Q96" s="89" t="n">
        <v>1034.3</v>
      </c>
      <c r="R96" s="89" t="n">
        <v>202</v>
      </c>
      <c r="S96" s="89" t="n">
        <v>63</v>
      </c>
      <c r="T96" s="89" t="n">
        <v>48.1</v>
      </c>
      <c r="U96" s="89" t="n">
        <v>1049.7</v>
      </c>
      <c r="V96" s="89" t="n">
        <v>0.5</v>
      </c>
      <c r="W96" s="89" t="n">
        <v>1324.3</v>
      </c>
      <c r="X96" s="89" t="n">
        <v>318.9</v>
      </c>
      <c r="Y96" s="89" t="n">
        <v>342.5</v>
      </c>
      <c r="Z96" s="89" t="n">
        <v>474.2</v>
      </c>
      <c r="AA96" s="89" t="n">
        <v>305.7</v>
      </c>
      <c r="AB96" s="89" t="n">
        <v>1151.4</v>
      </c>
      <c r="AC96" s="89" t="n">
        <v>226.4</v>
      </c>
      <c r="AD96" s="89" t="n">
        <v>143.9</v>
      </c>
      <c r="AE96" s="89" t="n">
        <v>485.7</v>
      </c>
      <c r="AF96" s="89" t="n">
        <v>84.2</v>
      </c>
      <c r="AG96" s="89" t="n">
        <v>850.1</v>
      </c>
      <c r="AH96" s="89" t="n">
        <v>1151.4</v>
      </c>
      <c r="AI96" s="89" t="n">
        <v>1374</v>
      </c>
      <c r="AJ96" s="89" t="n">
        <v>258</v>
      </c>
      <c r="AK96" s="89" t="n">
        <v>305.7</v>
      </c>
      <c r="AL96" s="89" t="n">
        <v>67.5</v>
      </c>
      <c r="AM96" s="89" t="n">
        <v>79.3</v>
      </c>
      <c r="AN96" s="89" t="n">
        <v>223.6</v>
      </c>
      <c r="AO96" s="89" t="n">
        <v>232.3</v>
      </c>
      <c r="AP96" s="89" t="n">
        <v>238.7</v>
      </c>
      <c r="AQ96" s="89" t="n">
        <v>207.3</v>
      </c>
      <c r="AR96" s="89" t="n">
        <v>14.2</v>
      </c>
      <c r="AS96" s="89" t="n">
        <v>17.3</v>
      </c>
      <c r="AT96" s="89" t="n">
        <v>86.40000000000001</v>
      </c>
      <c r="AU96" s="89" t="n">
        <v>4.2</v>
      </c>
      <c r="AV96" s="89" t="n">
        <v>3.8</v>
      </c>
      <c r="AW96" s="89" t="n">
        <v>1.3</v>
      </c>
      <c r="AX96" s="89" t="n">
        <v>172.8</v>
      </c>
      <c r="AY96" s="89" t="n">
        <v>84.2</v>
      </c>
      <c r="AZ96" s="89" t="n">
        <v>169</v>
      </c>
      <c r="BA96" s="89" t="n">
        <v>134.5</v>
      </c>
      <c r="BB96" s="89" t="n">
        <v>105.7</v>
      </c>
      <c r="BC96" s="89" t="n">
        <v>107.2</v>
      </c>
      <c r="BD96" s="89" t="n">
        <v>88.40000000000001</v>
      </c>
      <c r="BE96" s="89" t="n">
        <v>922.9</v>
      </c>
      <c r="BF96" s="89" t="n">
        <v>180</v>
      </c>
      <c r="BG96" s="89" t="n">
        <v>54.7</v>
      </c>
      <c r="BH96" s="89" t="n">
        <v>-233.2</v>
      </c>
      <c r="BI96" s="89" t="n">
        <v>-236.5</v>
      </c>
      <c r="BJ96" s="89" t="n">
        <v>34.8</v>
      </c>
      <c r="BK96" s="89" t="n">
        <v>61.3</v>
      </c>
      <c r="BL96" s="90" t="inlineStr">
        <is>
          <t>N/A</t>
        </is>
      </c>
      <c r="BM96" s="89" t="n">
        <v>0</v>
      </c>
      <c r="BN96" s="89" t="n">
        <v>3.4</v>
      </c>
      <c r="BO96" s="89" t="n">
        <v>714.3</v>
      </c>
      <c r="BP96" s="89" t="n">
        <v>665.8</v>
      </c>
      <c r="BQ96" s="89" t="n">
        <v>0</v>
      </c>
      <c r="BR96" s="89" t="n">
        <v>0</v>
      </c>
      <c r="BS96" s="89" t="n">
        <v>0</v>
      </c>
      <c r="BT96" s="89" t="n">
        <v>0</v>
      </c>
      <c r="BU96" s="89" t="n">
        <v>0</v>
      </c>
      <c r="BV96" s="89" t="n">
        <v>0</v>
      </c>
      <c r="BW96" s="89" t="n">
        <v>0</v>
      </c>
      <c r="BX96" s="89" t="n">
        <v>0</v>
      </c>
      <c r="BY96" s="89" t="n">
        <v>0</v>
      </c>
    </row>
    <row r="97" ht="17" customHeight="1">
      <c r="A97" s="82" t="n">
        <v>95</v>
      </c>
      <c r="B97" s="83" t="inlineStr">
        <is>
          <t>APA</t>
        </is>
      </c>
      <c r="C97" s="84" t="inlineStr">
        <is>
          <t>APA CORPORATION</t>
        </is>
      </c>
      <c r="D97" s="82" t="inlineStr">
        <is>
          <t>Energy</t>
        </is>
      </c>
      <c r="E97" s="82" t="n">
        <v>2026</v>
      </c>
      <c r="F97" s="85" t="n">
        <v>17761</v>
      </c>
      <c r="G97" s="85" t="n">
        <v>2121</v>
      </c>
      <c r="H97" s="85" t="n">
        <v>2571</v>
      </c>
      <c r="I97" s="85" t="n">
        <v>17761</v>
      </c>
      <c r="J97" s="85" t="n">
        <v>-721</v>
      </c>
      <c r="K97" s="85" t="n">
        <v>3087</v>
      </c>
      <c r="L97" s="91" t="inlineStr">
        <is>
          <t>N/A</t>
        </is>
      </c>
      <c r="M97" s="85" t="n">
        <v>1434</v>
      </c>
      <c r="N97" s="85" t="n">
        <v>4545</v>
      </c>
      <c r="O97" s="91" t="inlineStr">
        <is>
          <t>N/A</t>
        </is>
      </c>
      <c r="P97" s="91" t="inlineStr">
        <is>
          <t>N/A</t>
        </is>
      </c>
      <c r="Q97" s="85" t="n">
        <v>6093</v>
      </c>
      <c r="R97" s="85" t="n">
        <v>350</v>
      </c>
      <c r="S97" s="85" t="n">
        <v>2304</v>
      </c>
      <c r="T97" s="85" t="n">
        <v>1062</v>
      </c>
      <c r="U97" s="91" t="inlineStr">
        <is>
          <t>N/A</t>
        </is>
      </c>
      <c r="V97" s="85" t="n">
        <v>323</v>
      </c>
      <c r="W97" s="85" t="n">
        <v>19390</v>
      </c>
      <c r="X97" s="85" t="n">
        <v>3404</v>
      </c>
      <c r="Y97" s="85" t="n">
        <v>2955</v>
      </c>
      <c r="Z97" s="85" t="n">
        <v>19390</v>
      </c>
      <c r="AA97" s="85" t="n">
        <v>2442</v>
      </c>
      <c r="AB97" s="91" t="inlineStr">
        <is>
          <t>N/A</t>
        </is>
      </c>
      <c r="AC97" s="85" t="n">
        <v>804</v>
      </c>
      <c r="AD97" s="85" t="n">
        <v>3620</v>
      </c>
      <c r="AE97" s="91" t="inlineStr">
        <is>
          <t>N/A</t>
        </is>
      </c>
      <c r="AF97" s="91" t="inlineStr">
        <is>
          <t>N/A</t>
        </is>
      </c>
      <c r="AG97" s="85" t="n">
        <v>5280</v>
      </c>
      <c r="AH97" s="91" t="inlineStr">
        <is>
          <t>N/A</t>
        </is>
      </c>
      <c r="AI97" s="85" t="n">
        <v>19390</v>
      </c>
      <c r="AJ97" s="85" t="n">
        <v>2791</v>
      </c>
      <c r="AK97" s="85" t="n">
        <v>1535</v>
      </c>
      <c r="AL97" s="85" t="n">
        <v>1099</v>
      </c>
      <c r="AM97" s="85" t="n">
        <v>417</v>
      </c>
      <c r="AN97" s="91" t="inlineStr">
        <is>
          <t>N/A</t>
        </is>
      </c>
      <c r="AO97" s="91" t="inlineStr">
        <is>
          <t>N/A</t>
        </is>
      </c>
      <c r="AP97" s="85" t="n">
        <v>351</v>
      </c>
      <c r="AQ97" s="85" t="n">
        <v>425</v>
      </c>
      <c r="AR97" s="91" t="inlineStr">
        <is>
          <t>N/A</t>
        </is>
      </c>
      <c r="AS97" s="91" t="inlineStr">
        <is>
          <t>N/A</t>
        </is>
      </c>
      <c r="AT97" s="85" t="n">
        <v>213</v>
      </c>
      <c r="AU97" s="91" t="inlineStr">
        <is>
          <t>N/A</t>
        </is>
      </c>
      <c r="AV97" s="85" t="n">
        <v>516</v>
      </c>
      <c r="AW97" s="85" t="n">
        <v>625</v>
      </c>
      <c r="AX97" s="85" t="n">
        <v>213</v>
      </c>
      <c r="AY97" s="91" t="inlineStr">
        <is>
          <t>N/A</t>
        </is>
      </c>
      <c r="AZ97" s="85" t="n">
        <v>-303</v>
      </c>
      <c r="BA97" s="91" t="inlineStr">
        <is>
          <t>N/A</t>
        </is>
      </c>
      <c r="BB97" s="85" t="n">
        <v>353</v>
      </c>
      <c r="BC97" s="85" t="n">
        <v>365.4</v>
      </c>
      <c r="BD97" s="85" t="n">
        <v>1959</v>
      </c>
      <c r="BE97" s="91" t="inlineStr">
        <is>
          <t>N/A</t>
        </is>
      </c>
      <c r="BF97" s="85" t="n">
        <v>372</v>
      </c>
      <c r="BG97" s="85" t="n">
        <v>2266</v>
      </c>
      <c r="BH97" s="85" t="n">
        <v>-2153</v>
      </c>
      <c r="BI97" s="85" t="n">
        <v>-924</v>
      </c>
      <c r="BJ97" s="85" t="n">
        <v>871</v>
      </c>
      <c r="BK97" s="85" t="n">
        <v>1224</v>
      </c>
      <c r="BL97" s="91" t="inlineStr">
        <is>
          <t>N/A</t>
        </is>
      </c>
      <c r="BM97" s="91" t="inlineStr">
        <is>
          <t>N/A</t>
        </is>
      </c>
      <c r="BN97" s="85" t="n">
        <v>112</v>
      </c>
      <c r="BO97" s="85" t="n">
        <v>5864</v>
      </c>
      <c r="BP97" s="85" t="n">
        <v>7295</v>
      </c>
      <c r="BQ97" s="91" t="inlineStr">
        <is>
          <t>N/A</t>
        </is>
      </c>
      <c r="BR97" s="91" t="inlineStr">
        <is>
          <t>N/A</t>
        </is>
      </c>
      <c r="BS97" s="85" t="n">
        <v>0</v>
      </c>
      <c r="BT97" s="85" t="n">
        <v>0</v>
      </c>
      <c r="BU97" s="85" t="n">
        <v>0</v>
      </c>
      <c r="BV97" s="85" t="n">
        <v>0</v>
      </c>
      <c r="BW97" s="85" t="n">
        <v>0</v>
      </c>
      <c r="BX97" s="91" t="inlineStr">
        <is>
          <t>N/A</t>
        </is>
      </c>
      <c r="BY97" s="85" t="n">
        <v>0</v>
      </c>
    </row>
    <row r="98" ht="17" customHeight="1">
      <c r="A98" s="86" t="n">
        <v>96</v>
      </c>
      <c r="B98" s="87" t="inlineStr">
        <is>
          <t>MCHP</t>
        </is>
      </c>
      <c r="C98" s="88" t="inlineStr">
        <is>
          <t>Microchip Technology Incorporated</t>
        </is>
      </c>
      <c r="D98" s="86" t="inlineStr">
        <is>
          <t>Information Technology</t>
        </is>
      </c>
      <c r="E98" s="86" t="n">
        <v>2026</v>
      </c>
      <c r="F98" s="89" t="n">
        <v>14370.1</v>
      </c>
      <c r="G98" s="89" t="n">
        <v>2377.6</v>
      </c>
      <c r="H98" s="89" t="n">
        <v>1136.3</v>
      </c>
      <c r="I98" s="89" t="n">
        <v>14370.1</v>
      </c>
      <c r="J98" s="89" t="n">
        <v>4915.9</v>
      </c>
      <c r="K98" s="89" t="n">
        <v>490.1</v>
      </c>
      <c r="L98" s="89" t="n">
        <v>5349.5</v>
      </c>
      <c r="M98" s="89" t="n">
        <v>230</v>
      </c>
      <c r="N98" s="89" t="n">
        <v>962.1</v>
      </c>
      <c r="O98" s="89" t="n">
        <v>2721.1</v>
      </c>
      <c r="P98" s="89" t="n">
        <v>5496.4</v>
      </c>
      <c r="Q98" s="89" t="n">
        <v>6432.4</v>
      </c>
      <c r="R98" s="89" t="n">
        <v>674.3</v>
      </c>
      <c r="S98" s="89" t="n">
        <v>689.3</v>
      </c>
      <c r="T98" s="89" t="n">
        <v>894.7</v>
      </c>
      <c r="U98" s="89" t="n">
        <v>1106.7</v>
      </c>
      <c r="V98" s="89" t="n">
        <v>198.3</v>
      </c>
      <c r="W98" s="89" t="n">
        <v>15374.6</v>
      </c>
      <c r="X98" s="89" t="n">
        <v>2991.3</v>
      </c>
      <c r="Y98" s="89" t="n">
        <v>1155.1</v>
      </c>
      <c r="Z98" s="89" t="n">
        <v>15374.6</v>
      </c>
      <c r="AA98" s="89" t="n">
        <v>296.3</v>
      </c>
      <c r="AB98" s="89" t="n">
        <v>1329.8</v>
      </c>
      <c r="AC98" s="89" t="n">
        <v>-0.5</v>
      </c>
      <c r="AD98" s="89" t="n">
        <v>898.1</v>
      </c>
      <c r="AE98" s="89" t="n">
        <v>2467.9</v>
      </c>
      <c r="AF98" s="89" t="n">
        <v>5630.4</v>
      </c>
      <c r="AG98" s="89" t="n">
        <v>7078.3</v>
      </c>
      <c r="AH98" s="89" t="n">
        <v>1374.7</v>
      </c>
      <c r="AI98" s="89" t="n">
        <v>15374.6</v>
      </c>
      <c r="AJ98" s="89" t="n">
        <v>273.5</v>
      </c>
      <c r="AK98" s="89" t="n">
        <v>38.9</v>
      </c>
      <c r="AL98" s="89" t="n">
        <v>43.5</v>
      </c>
      <c r="AM98" s="89" t="n">
        <v>39.4</v>
      </c>
      <c r="AN98" s="89" t="n">
        <v>91.09999999999999</v>
      </c>
      <c r="AO98" s="89" t="n">
        <v>126</v>
      </c>
      <c r="AP98" s="89" t="n">
        <v>1035.4</v>
      </c>
      <c r="AQ98" s="89" t="n">
        <v>1293.5</v>
      </c>
      <c r="AR98" s="89" t="n">
        <v>6695.5</v>
      </c>
      <c r="AS98" s="89" t="n">
        <v>6685.6</v>
      </c>
      <c r="AT98" s="90" t="inlineStr">
        <is>
          <t>N/A</t>
        </is>
      </c>
      <c r="AU98" s="89" t="n">
        <v>1085.9</v>
      </c>
      <c r="AV98" s="89" t="n">
        <v>240.3</v>
      </c>
      <c r="AW98" s="89" t="n">
        <v>771.7</v>
      </c>
      <c r="AX98" s="89" t="n">
        <v>5496.4</v>
      </c>
      <c r="AY98" s="89" t="n">
        <v>5647.9</v>
      </c>
      <c r="AZ98" s="89" t="n">
        <v>5256.1</v>
      </c>
      <c r="BA98" s="89" t="n">
        <v>871</v>
      </c>
      <c r="BB98" s="89" t="n">
        <v>542.1</v>
      </c>
      <c r="BC98" s="89" t="n">
        <v>538.7</v>
      </c>
      <c r="BD98" s="89" t="n">
        <v>689.7</v>
      </c>
      <c r="BE98" s="89" t="n">
        <v>1183.7</v>
      </c>
      <c r="BF98" s="89" t="n">
        <v>617.7</v>
      </c>
      <c r="BG98" s="89" t="n">
        <v>750.1</v>
      </c>
      <c r="BH98" s="89" t="n">
        <v>-195.5</v>
      </c>
      <c r="BI98" s="89" t="n">
        <v>-287.8</v>
      </c>
      <c r="BJ98" s="89" t="n">
        <v>205.6</v>
      </c>
      <c r="BK98" s="89" t="n">
        <v>160.6</v>
      </c>
      <c r="BL98" s="89" t="n">
        <v>179.2</v>
      </c>
      <c r="BM98" s="89" t="n">
        <v>213.4</v>
      </c>
      <c r="BN98" s="89" t="n">
        <v>24.3</v>
      </c>
      <c r="BO98" s="89" t="n">
        <v>1992</v>
      </c>
      <c r="BP98" s="89" t="n">
        <v>1933.7</v>
      </c>
      <c r="BQ98" s="89" t="n">
        <v>0</v>
      </c>
      <c r="BR98" s="89" t="n">
        <v>0</v>
      </c>
      <c r="BS98" s="89" t="n">
        <v>0</v>
      </c>
      <c r="BT98" s="89" t="n">
        <v>0</v>
      </c>
      <c r="BU98" s="89" t="n">
        <v>0</v>
      </c>
      <c r="BV98" s="89" t="n">
        <v>0</v>
      </c>
      <c r="BW98" s="89" t="n">
        <v>0</v>
      </c>
      <c r="BX98" s="89" t="n">
        <v>0</v>
      </c>
      <c r="BY98" s="89" t="n">
        <v>0</v>
      </c>
    </row>
    <row r="99" ht="17" customHeight="1">
      <c r="A99" s="82" t="n">
        <v>97</v>
      </c>
      <c r="B99" s="83" t="inlineStr">
        <is>
          <t>FORM</t>
        </is>
      </c>
      <c r="C99" s="84" t="inlineStr">
        <is>
          <t>FormFactor, Inc.</t>
        </is>
      </c>
      <c r="D99" s="82" t="inlineStr">
        <is>
          <t>Information Technology</t>
        </is>
      </c>
      <c r="E99" s="82" t="n">
        <v>2026</v>
      </c>
      <c r="F99" s="85" t="n">
        <v>1224.4</v>
      </c>
      <c r="G99" s="85" t="n">
        <v>557.1</v>
      </c>
      <c r="H99" s="85" t="n">
        <v>123.9</v>
      </c>
      <c r="I99" s="85" t="n">
        <v>189</v>
      </c>
      <c r="J99" s="85" t="n">
        <v>175.3</v>
      </c>
      <c r="K99" s="85" t="n">
        <v>57.1</v>
      </c>
      <c r="L99" s="85" t="n">
        <v>785</v>
      </c>
      <c r="M99" s="85" t="n">
        <v>54.4</v>
      </c>
      <c r="N99" s="85" t="n">
        <v>115.4</v>
      </c>
      <c r="O99" s="85" t="n">
        <v>308.9</v>
      </c>
      <c r="P99" s="85" t="n">
        <v>12.2</v>
      </c>
      <c r="Q99" s="85" t="n">
        <v>1035.4</v>
      </c>
      <c r="R99" s="85" t="n">
        <v>133.1</v>
      </c>
      <c r="S99" s="85" t="n">
        <v>46.8</v>
      </c>
      <c r="T99" s="85" t="n">
        <v>125.4</v>
      </c>
      <c r="U99" s="85" t="n">
        <v>259.1</v>
      </c>
      <c r="V99" s="85" t="n">
        <v>0.5</v>
      </c>
      <c r="W99" s="85" t="n">
        <v>1146.2</v>
      </c>
      <c r="X99" s="85" t="n">
        <v>605.1</v>
      </c>
      <c r="Y99" s="85" t="n">
        <v>131.3</v>
      </c>
      <c r="Z99" s="85" t="n">
        <v>198.4</v>
      </c>
      <c r="AA99" s="85" t="n">
        <v>64.8</v>
      </c>
      <c r="AB99" s="85" t="n">
        <v>763.6</v>
      </c>
      <c r="AC99" s="85" t="n">
        <v>69.59999999999999</v>
      </c>
      <c r="AD99" s="85" t="n">
        <v>117.5</v>
      </c>
      <c r="AE99" s="85" t="n">
        <v>307.9</v>
      </c>
      <c r="AF99" s="85" t="n">
        <v>13.3</v>
      </c>
      <c r="AG99" s="85" t="n">
        <v>947.8</v>
      </c>
      <c r="AH99" s="85" t="n">
        <v>763.6</v>
      </c>
      <c r="AI99" s="85" t="n">
        <v>1146.2</v>
      </c>
      <c r="AJ99" s="85" t="n">
        <v>69.40000000000001</v>
      </c>
      <c r="AK99" s="85" t="n">
        <v>79.40000000000001</v>
      </c>
      <c r="AL99" s="85" t="n">
        <v>13</v>
      </c>
      <c r="AM99" s="85" t="n">
        <v>9.800000000000001</v>
      </c>
      <c r="AN99" s="85" t="n">
        <v>103.7</v>
      </c>
      <c r="AO99" s="85" t="n">
        <v>38.4</v>
      </c>
      <c r="AP99" s="85" t="n">
        <v>110.9</v>
      </c>
      <c r="AQ99" s="85" t="n">
        <v>101.7</v>
      </c>
      <c r="AR99" s="85" t="n">
        <v>216</v>
      </c>
      <c r="AS99" s="85" t="n">
        <v>16.3</v>
      </c>
      <c r="AT99" s="85" t="n">
        <v>1.1</v>
      </c>
      <c r="AU99" s="85" t="n">
        <v>115.7</v>
      </c>
      <c r="AV99" s="85" t="n">
        <v>103.3</v>
      </c>
      <c r="AW99" s="85" t="n">
        <v>190.7</v>
      </c>
      <c r="AX99" s="85" t="n">
        <v>13.3</v>
      </c>
      <c r="AY99" s="85" t="n">
        <v>13.3</v>
      </c>
      <c r="AZ99" s="85" t="n">
        <v>-90</v>
      </c>
      <c r="BA99" s="85" t="n">
        <v>11.7</v>
      </c>
      <c r="BB99" s="85" t="n">
        <v>77.59999999999999</v>
      </c>
      <c r="BC99" s="85" t="n">
        <v>77.09999999999999</v>
      </c>
      <c r="BD99" s="85" t="n">
        <v>104.3</v>
      </c>
      <c r="BE99" s="85" t="n">
        <v>210.2</v>
      </c>
      <c r="BF99" s="85" t="n">
        <v>141.8</v>
      </c>
      <c r="BG99" s="85" t="n">
        <v>23.8</v>
      </c>
      <c r="BH99" s="85" t="n">
        <v>-191.5</v>
      </c>
      <c r="BI99" s="85" t="n">
        <v>-33.5</v>
      </c>
      <c r="BJ99" s="85" t="n">
        <v>47.4</v>
      </c>
      <c r="BK99" s="85" t="n">
        <v>62.3</v>
      </c>
      <c r="BL99" s="85" t="n">
        <v>5</v>
      </c>
      <c r="BM99" s="85" t="n">
        <v>5.3</v>
      </c>
      <c r="BN99" s="85" t="n">
        <v>0.8</v>
      </c>
      <c r="BO99" s="85" t="n">
        <v>476.1</v>
      </c>
      <c r="BP99" s="85" t="n">
        <v>455.7</v>
      </c>
      <c r="BQ99" s="85" t="n">
        <v>0</v>
      </c>
      <c r="BR99" s="85" t="n">
        <v>0</v>
      </c>
      <c r="BS99" s="85" t="n">
        <v>0</v>
      </c>
      <c r="BT99" s="85" t="n">
        <v>0</v>
      </c>
      <c r="BU99" s="85" t="n">
        <v>0</v>
      </c>
      <c r="BV99" s="85" t="n">
        <v>0</v>
      </c>
      <c r="BW99" s="85" t="n">
        <v>0</v>
      </c>
      <c r="BX99" s="85" t="n">
        <v>0</v>
      </c>
      <c r="BY99" s="85" t="n">
        <v>0</v>
      </c>
    </row>
    <row r="100" ht="17" customHeight="1">
      <c r="A100" s="86" t="n">
        <v>98</v>
      </c>
      <c r="B100" s="87" t="inlineStr">
        <is>
          <t>WSM</t>
        </is>
      </c>
      <c r="C100" s="88" t="inlineStr">
        <is>
          <t>WILLIAMS-SONOMA, INC.</t>
        </is>
      </c>
      <c r="D100" s="86" t="inlineStr">
        <is>
          <t>Consumer Discretionary</t>
        </is>
      </c>
      <c r="E100" s="86" t="n">
        <v>2026</v>
      </c>
      <c r="F100" s="89" t="n">
        <v>5411.9</v>
      </c>
      <c r="G100" s="89" t="n">
        <v>2713.2</v>
      </c>
      <c r="H100" s="89" t="n">
        <v>1954.1</v>
      </c>
      <c r="I100" s="89" t="n">
        <v>3329.4</v>
      </c>
      <c r="J100" s="89" t="n">
        <v>1509.1</v>
      </c>
      <c r="K100" s="89" t="n">
        <v>1415.7</v>
      </c>
      <c r="L100" s="89" t="n">
        <v>7806.8</v>
      </c>
      <c r="M100" s="89" t="n">
        <v>1088.4</v>
      </c>
      <c r="N100" s="89" t="n">
        <v>1314.9</v>
      </c>
      <c r="O100" s="89" t="n">
        <v>3603.1</v>
      </c>
      <c r="P100" s="89" t="n">
        <v>7.3</v>
      </c>
      <c r="Q100" s="89" t="n">
        <v>2082.6</v>
      </c>
      <c r="R100" s="89" t="n">
        <v>2187.3</v>
      </c>
      <c r="S100" s="89" t="n">
        <v>231.4</v>
      </c>
      <c r="T100" s="89" t="n">
        <v>126.8</v>
      </c>
      <c r="U100" s="89" t="n">
        <v>1095.2</v>
      </c>
      <c r="V100" s="89" t="n">
        <v>2.9</v>
      </c>
      <c r="W100" s="89" t="n">
        <v>5301.6</v>
      </c>
      <c r="X100" s="89" t="n">
        <v>2754.6</v>
      </c>
      <c r="Y100" s="89" t="n">
        <v>1912</v>
      </c>
      <c r="Z100" s="89" t="n">
        <v>3159.2</v>
      </c>
      <c r="AA100" s="89" t="n">
        <v>1430.2</v>
      </c>
      <c r="AB100" s="89" t="n">
        <v>7711.5</v>
      </c>
      <c r="AC100" s="89" t="n">
        <v>1125.3</v>
      </c>
      <c r="AD100" s="89" t="n">
        <v>1360.2</v>
      </c>
      <c r="AE100" s="89" t="n">
        <v>3582.3</v>
      </c>
      <c r="AF100" s="89" t="n">
        <v>8.699999999999999</v>
      </c>
      <c r="AG100" s="89" t="n">
        <v>2142.4</v>
      </c>
      <c r="AH100" s="89" t="n">
        <v>7711.5</v>
      </c>
      <c r="AI100" s="89" t="n">
        <v>5301.6</v>
      </c>
      <c r="AJ100" s="89" t="n">
        <v>1452.6</v>
      </c>
      <c r="AK100" s="89" t="n">
        <v>1485.7</v>
      </c>
      <c r="AL100" s="89" t="n">
        <v>364.1</v>
      </c>
      <c r="AM100" s="89" t="n">
        <v>360.5</v>
      </c>
      <c r="AN100" s="89" t="n">
        <v>259.4</v>
      </c>
      <c r="AO100" s="89" t="n">
        <v>221.6</v>
      </c>
      <c r="AP100" s="89" t="n">
        <v>1462.8</v>
      </c>
      <c r="AQ100" s="89" t="n">
        <v>1332.4</v>
      </c>
      <c r="AR100" s="89" t="n">
        <v>77.40000000000001</v>
      </c>
      <c r="AS100" s="90" t="inlineStr">
        <is>
          <t>N/A</t>
        </is>
      </c>
      <c r="AT100" s="89" t="n">
        <v>2</v>
      </c>
      <c r="AU100" s="90" t="inlineStr">
        <is>
          <t>N/A</t>
        </is>
      </c>
      <c r="AV100" s="89" t="n">
        <v>1019.8</v>
      </c>
      <c r="AW100" s="89" t="n">
        <v>1213</v>
      </c>
      <c r="AX100" s="89" t="n">
        <v>9.199999999999999</v>
      </c>
      <c r="AY100" s="89" t="n">
        <v>10.6</v>
      </c>
      <c r="AZ100" s="89" t="n">
        <v>-1010.6</v>
      </c>
      <c r="BA100" s="89" t="n">
        <v>1055.5</v>
      </c>
      <c r="BB100" s="89" t="n">
        <v>118.8</v>
      </c>
      <c r="BC100" s="89" t="n">
        <v>123.1</v>
      </c>
      <c r="BD100" s="89" t="n">
        <v>117.7</v>
      </c>
      <c r="BE100" s="89" t="n">
        <v>1033.9</v>
      </c>
      <c r="BF100" s="89" t="n">
        <v>2152.1</v>
      </c>
      <c r="BG100" s="89" t="n">
        <v>229.8</v>
      </c>
      <c r="BH100" s="89" t="n">
        <v>-260.6</v>
      </c>
      <c r="BI100" s="89" t="n">
        <v>-221.2</v>
      </c>
      <c r="BJ100" s="89" t="n">
        <v>638</v>
      </c>
      <c r="BK100" s="89" t="n">
        <v>645.7</v>
      </c>
      <c r="BL100" s="89" t="n">
        <v>602.9</v>
      </c>
      <c r="BM100" s="89" t="n">
        <v>584.8</v>
      </c>
      <c r="BN100" s="89" t="n">
        <v>78.90000000000001</v>
      </c>
      <c r="BO100" s="89" t="n">
        <v>4203.8</v>
      </c>
      <c r="BP100" s="89" t="n">
        <v>4129.2</v>
      </c>
      <c r="BQ100" s="89" t="n">
        <v>0</v>
      </c>
      <c r="BR100" s="89" t="n">
        <v>0</v>
      </c>
      <c r="BS100" s="89" t="n">
        <v>0</v>
      </c>
      <c r="BT100" s="89" t="n">
        <v>0</v>
      </c>
      <c r="BU100" s="89" t="n">
        <v>0</v>
      </c>
      <c r="BV100" s="89" t="n">
        <v>0</v>
      </c>
      <c r="BW100" s="89" t="n">
        <v>0</v>
      </c>
      <c r="BX100" s="89" t="n">
        <v>0</v>
      </c>
      <c r="BY100" s="89" t="n">
        <v>0</v>
      </c>
    </row>
    <row r="101" ht="17" customHeight="1">
      <c r="A101" s="82" t="n">
        <v>99</v>
      </c>
      <c r="B101" s="83" t="inlineStr">
        <is>
          <t>EFX</t>
        </is>
      </c>
      <c r="C101" s="84" t="inlineStr">
        <is>
          <t>EQUIFAX INC</t>
        </is>
      </c>
      <c r="D101" s="82" t="inlineStr">
        <is>
          <t>Financials</t>
        </is>
      </c>
      <c r="E101" s="82" t="n">
        <v>2026</v>
      </c>
      <c r="F101" s="85" t="n">
        <v>11864.2</v>
      </c>
      <c r="G101" s="85" t="n">
        <v>1412.2</v>
      </c>
      <c r="H101" s="85" t="n">
        <v>2335.4</v>
      </c>
      <c r="I101" s="85" t="n">
        <v>7126</v>
      </c>
      <c r="J101" s="85" t="n">
        <v>6445.1</v>
      </c>
      <c r="K101" s="85" t="n">
        <v>1095.2</v>
      </c>
      <c r="L101" s="85" t="n">
        <v>6074.5</v>
      </c>
      <c r="M101" s="85" t="n">
        <v>660.3</v>
      </c>
      <c r="N101" s="85" t="n">
        <v>1615.7</v>
      </c>
      <c r="O101" s="85" t="n">
        <v>4863.8</v>
      </c>
      <c r="P101" s="85" t="n">
        <v>5114.2</v>
      </c>
      <c r="Q101" s="85" t="n">
        <v>4604.3</v>
      </c>
      <c r="R101" s="85" t="n">
        <v>1614.2</v>
      </c>
      <c r="S101" s="85" t="n">
        <v>719.5</v>
      </c>
      <c r="T101" s="85" t="n">
        <v>1012.7</v>
      </c>
      <c r="U101" s="85" t="n">
        <v>1932.4</v>
      </c>
      <c r="V101" s="85" t="n">
        <v>241.4</v>
      </c>
      <c r="W101" s="85" t="n">
        <v>11759.4</v>
      </c>
      <c r="X101" s="85" t="n">
        <v>1360.6</v>
      </c>
      <c r="Y101" s="85" t="n">
        <v>1811.5</v>
      </c>
      <c r="Z101" s="85" t="n">
        <v>6839.8</v>
      </c>
      <c r="AA101" s="85" t="n">
        <v>1042.1</v>
      </c>
      <c r="AB101" s="85" t="n">
        <v>5681.1</v>
      </c>
      <c r="AC101" s="85" t="n">
        <v>604.1</v>
      </c>
      <c r="AD101" s="85" t="n">
        <v>1324.5</v>
      </c>
      <c r="AE101" s="85" t="n">
        <v>4567.7</v>
      </c>
      <c r="AF101" s="85" t="n">
        <v>5037.7</v>
      </c>
      <c r="AG101" s="85" t="n">
        <v>4796.9</v>
      </c>
      <c r="AH101" s="85" t="n">
        <v>5681.1</v>
      </c>
      <c r="AI101" s="85" t="n">
        <v>11759.4</v>
      </c>
      <c r="AJ101" s="85" t="n">
        <v>894.9</v>
      </c>
      <c r="AK101" s="85" t="n">
        <v>810.5</v>
      </c>
      <c r="AL101" s="85" t="n">
        <v>230.6</v>
      </c>
      <c r="AM101" s="85" t="n">
        <v>203.2</v>
      </c>
      <c r="AN101" s="85" t="n">
        <v>481.4</v>
      </c>
      <c r="AO101" s="85" t="n">
        <v>511.5</v>
      </c>
      <c r="AP101" s="91" t="inlineStr">
        <is>
          <t>N/A</t>
        </is>
      </c>
      <c r="AQ101" s="91" t="inlineStr">
        <is>
          <t>N/A</t>
        </is>
      </c>
      <c r="AR101" s="85" t="n">
        <v>6745.7</v>
      </c>
      <c r="AS101" s="85" t="n">
        <v>1331.3</v>
      </c>
      <c r="AT101" s="85" t="n">
        <v>1038</v>
      </c>
      <c r="AU101" s="91" t="inlineStr">
        <is>
          <t>N/A</t>
        </is>
      </c>
      <c r="AV101" s="85" t="n">
        <v>180.8</v>
      </c>
      <c r="AW101" s="85" t="n">
        <v>169.9</v>
      </c>
      <c r="AX101" s="85" t="n">
        <v>6152.2</v>
      </c>
      <c r="AY101" s="85" t="n">
        <v>5725.4</v>
      </c>
      <c r="AZ101" s="85" t="n">
        <v>5971.4</v>
      </c>
      <c r="BA101" s="85" t="n">
        <v>1134.3</v>
      </c>
      <c r="BB101" s="85" t="n">
        <v>120.4</v>
      </c>
      <c r="BC101" s="85" t="n">
        <v>124</v>
      </c>
      <c r="BD101" s="85" t="n">
        <v>957.6</v>
      </c>
      <c r="BE101" s="85" t="n">
        <v>1891.9</v>
      </c>
      <c r="BF101" s="85" t="n">
        <v>1450.5</v>
      </c>
      <c r="BG101" s="85" t="n">
        <v>669.8</v>
      </c>
      <c r="BH101" s="85" t="n">
        <v>-554.3</v>
      </c>
      <c r="BI101" s="85" t="n">
        <v>-511.5</v>
      </c>
      <c r="BJ101" s="85" t="n">
        <v>206.4</v>
      </c>
      <c r="BK101" s="85" t="n">
        <v>138.2</v>
      </c>
      <c r="BL101" s="85" t="n">
        <v>108.4</v>
      </c>
      <c r="BM101" s="85" t="n">
        <v>110.7</v>
      </c>
      <c r="BN101" s="91" t="inlineStr">
        <is>
          <t>N/A</t>
        </is>
      </c>
      <c r="BO101" s="85" t="n">
        <v>1210.7</v>
      </c>
      <c r="BP101" s="85" t="n">
        <v>1113.4</v>
      </c>
      <c r="BQ101" s="85" t="n">
        <v>0</v>
      </c>
      <c r="BR101" s="85" t="n">
        <v>0</v>
      </c>
      <c r="BS101" s="91" t="inlineStr">
        <is>
          <t>N/A</t>
        </is>
      </c>
      <c r="BT101" s="91" t="inlineStr">
        <is>
          <t>N/A</t>
        </is>
      </c>
      <c r="BU101" s="85" t="n">
        <v>0</v>
      </c>
      <c r="BV101" s="85" t="n">
        <v>0</v>
      </c>
      <c r="BW101" s="85" t="n">
        <v>0</v>
      </c>
      <c r="BX101" s="85" t="n">
        <v>0</v>
      </c>
      <c r="BY101" s="85" t="n">
        <v>0</v>
      </c>
    </row>
    <row r="102" ht="17" customHeight="1">
      <c r="A102" s="86" t="n">
        <v>100</v>
      </c>
      <c r="B102" s="87" t="inlineStr">
        <is>
          <t>AEP</t>
        </is>
      </c>
      <c r="C102" s="88" t="inlineStr">
        <is>
          <t>American Electric Power Company, Inc.</t>
        </is>
      </c>
      <c r="D102" s="86" t="inlineStr">
        <is>
          <t>Utilities</t>
        </is>
      </c>
      <c r="E102" s="86" t="n">
        <v>2026</v>
      </c>
      <c r="F102" s="89" t="n">
        <v>114460</v>
      </c>
      <c r="G102" s="89" t="n">
        <v>6052</v>
      </c>
      <c r="H102" s="89" t="n">
        <v>13314</v>
      </c>
      <c r="I102" s="89" t="n">
        <v>82204</v>
      </c>
      <c r="J102" s="89" t="n">
        <v>15441</v>
      </c>
      <c r="K102" s="89" t="n">
        <v>5319</v>
      </c>
      <c r="L102" s="89" t="n">
        <v>21876</v>
      </c>
      <c r="M102" s="89" t="n">
        <v>1480</v>
      </c>
      <c r="N102" s="89" t="n">
        <v>6944</v>
      </c>
      <c r="O102" s="89" t="n">
        <v>6449.9</v>
      </c>
      <c r="P102" s="89" t="n">
        <v>47322</v>
      </c>
      <c r="Q102" s="89" t="n">
        <v>31138</v>
      </c>
      <c r="R102" s="90" t="inlineStr">
        <is>
          <t>N/A</t>
        </is>
      </c>
      <c r="S102" s="89" t="n">
        <v>1641</v>
      </c>
      <c r="T102" s="89" t="n">
        <v>2867</v>
      </c>
      <c r="U102" s="89" t="n">
        <v>736</v>
      </c>
      <c r="V102" s="89" t="n">
        <v>1806.9</v>
      </c>
      <c r="W102" s="89" t="n">
        <v>103078</v>
      </c>
      <c r="X102" s="89" t="n">
        <v>5788.8</v>
      </c>
      <c r="Y102" s="89" t="n">
        <v>13009.3</v>
      </c>
      <c r="Z102" s="89" t="n">
        <v>76054.10000000001</v>
      </c>
      <c r="AA102" s="89" t="n">
        <v>4303.6</v>
      </c>
      <c r="AB102" s="89" t="n">
        <v>19721.3</v>
      </c>
      <c r="AC102" s="89" t="n">
        <v>1259</v>
      </c>
      <c r="AD102" s="89" t="n">
        <v>6804.3</v>
      </c>
      <c r="AE102" s="89" t="n">
        <v>3564.5</v>
      </c>
      <c r="AF102" s="89" t="n">
        <v>42642.8</v>
      </c>
      <c r="AG102" s="89" t="n">
        <v>26943.8</v>
      </c>
      <c r="AH102" s="89" t="n">
        <v>19721</v>
      </c>
      <c r="AI102" s="89" t="n">
        <v>103078</v>
      </c>
      <c r="AJ102" s="89" t="n">
        <v>3825</v>
      </c>
      <c r="AK102" s="89" t="n">
        <v>2935.2</v>
      </c>
      <c r="AL102" s="89" t="n">
        <v>129</v>
      </c>
      <c r="AM102" s="89" t="n">
        <v>-39.2</v>
      </c>
      <c r="AN102" s="90" t="inlineStr">
        <is>
          <t>N/A</t>
        </is>
      </c>
      <c r="AO102" s="89" t="n">
        <v>918.4</v>
      </c>
      <c r="AP102" s="90" t="inlineStr">
        <is>
          <t>N/A</t>
        </is>
      </c>
      <c r="AQ102" s="90" t="inlineStr">
        <is>
          <t>N/A</t>
        </is>
      </c>
      <c r="AR102" s="89" t="n">
        <v>53</v>
      </c>
      <c r="AS102" s="90" t="inlineStr">
        <is>
          <t>N/A</t>
        </is>
      </c>
      <c r="AT102" s="89" t="n">
        <v>1508</v>
      </c>
      <c r="AU102" s="90" t="inlineStr">
        <is>
          <t>N/A</t>
        </is>
      </c>
      <c r="AV102" s="89" t="n">
        <v>197</v>
      </c>
      <c r="AW102" s="89" t="n">
        <v>202.9</v>
      </c>
      <c r="AX102" s="89" t="n">
        <v>48830</v>
      </c>
      <c r="AY102" s="89" t="n">
        <v>45166.6</v>
      </c>
      <c r="AZ102" s="89" t="n">
        <v>48633</v>
      </c>
      <c r="BA102" s="89" t="n">
        <v>6944</v>
      </c>
      <c r="BB102" s="89" t="n">
        <v>542</v>
      </c>
      <c r="BC102" s="89" t="n">
        <v>534.1</v>
      </c>
      <c r="BD102" s="89" t="n">
        <v>2631.9</v>
      </c>
      <c r="BE102" s="89" t="n">
        <v>714.9</v>
      </c>
      <c r="BF102" s="90" t="inlineStr">
        <is>
          <t>N/A</t>
        </is>
      </c>
      <c r="BG102" s="89" t="n">
        <v>1597</v>
      </c>
      <c r="BH102" s="89" t="n">
        <v>-11939</v>
      </c>
      <c r="BI102" s="89" t="n">
        <v>-7596.5</v>
      </c>
      <c r="BJ102" s="89" t="n">
        <v>3429</v>
      </c>
      <c r="BK102" s="89" t="n">
        <v>2637.6</v>
      </c>
      <c r="BL102" s="89" t="n">
        <v>7.1</v>
      </c>
      <c r="BM102" s="89" t="n">
        <v>454.7</v>
      </c>
      <c r="BN102" s="89" t="n">
        <v>2002</v>
      </c>
      <c r="BO102" s="89" t="n">
        <v>15426.1</v>
      </c>
      <c r="BP102" s="89" t="n">
        <v>16156.8</v>
      </c>
      <c r="BQ102" s="89" t="n">
        <v>0</v>
      </c>
      <c r="BR102" s="89" t="n">
        <v>0</v>
      </c>
      <c r="BS102" s="90" t="inlineStr">
        <is>
          <t>N/A</t>
        </is>
      </c>
      <c r="BT102" s="90" t="inlineStr">
        <is>
          <t>N/A</t>
        </is>
      </c>
      <c r="BU102" s="89" t="n">
        <v>0</v>
      </c>
      <c r="BV102" s="89" t="n">
        <v>0</v>
      </c>
      <c r="BW102" s="89" t="n">
        <v>0</v>
      </c>
      <c r="BX102" s="89" t="n">
        <v>0</v>
      </c>
      <c r="BY102" s="89" t="n">
        <v>0</v>
      </c>
    </row>
    <row r="103" ht="17" customHeight="1">
      <c r="A103" s="82" t="n">
        <v>101</v>
      </c>
      <c r="B103" s="83" t="inlineStr">
        <is>
          <t>NET</t>
        </is>
      </c>
      <c r="C103" s="84" t="inlineStr">
        <is>
          <t>CLOUDFLARE, INC.</t>
        </is>
      </c>
      <c r="D103" s="82" t="inlineStr">
        <is>
          <t>Information Technology</t>
        </is>
      </c>
      <c r="E103" s="82" t="n">
        <v>2026</v>
      </c>
      <c r="F103" s="85" t="n">
        <v>6036.3</v>
      </c>
      <c r="G103" s="85" t="n">
        <v>4644.8</v>
      </c>
      <c r="H103" s="85" t="n">
        <v>2350.6</v>
      </c>
      <c r="I103" s="85" t="n">
        <v>4577.1</v>
      </c>
      <c r="J103" s="85" t="n">
        <v>-1204.9</v>
      </c>
      <c r="K103" s="85" t="n">
        <v>-207.2</v>
      </c>
      <c r="L103" s="85" t="n">
        <v>2167.9</v>
      </c>
      <c r="M103" s="85" t="n">
        <v>-102.3</v>
      </c>
      <c r="N103" s="85" t="n">
        <v>603.1</v>
      </c>
      <c r="O103" s="85" t="n">
        <v>1615.4</v>
      </c>
      <c r="P103" s="91" t="inlineStr">
        <is>
          <t>N/A</t>
        </is>
      </c>
      <c r="Q103" s="85" t="n">
        <v>1459.1</v>
      </c>
      <c r="R103" s="85" t="n">
        <v>389.3</v>
      </c>
      <c r="S103" s="85" t="n">
        <v>189.7</v>
      </c>
      <c r="T103" s="85" t="n">
        <v>382.5</v>
      </c>
      <c r="U103" s="85" t="n">
        <v>618.7</v>
      </c>
      <c r="V103" s="85" t="n">
        <v>5.9</v>
      </c>
      <c r="W103" s="85" t="n">
        <v>3301.2</v>
      </c>
      <c r="X103" s="85" t="n">
        <v>2269</v>
      </c>
      <c r="Y103" s="85" t="n">
        <v>793.7</v>
      </c>
      <c r="Z103" s="85" t="n">
        <v>2255</v>
      </c>
      <c r="AA103" s="85" t="n">
        <v>-154.8</v>
      </c>
      <c r="AB103" s="85" t="n">
        <v>1669.6</v>
      </c>
      <c r="AC103" s="85" t="n">
        <v>-78.8</v>
      </c>
      <c r="AD103" s="85" t="n">
        <v>380.4</v>
      </c>
      <c r="AE103" s="85" t="n">
        <v>1290.9</v>
      </c>
      <c r="AF103" s="91" t="inlineStr">
        <is>
          <t>N/A</t>
        </is>
      </c>
      <c r="AG103" s="85" t="n">
        <v>1046.2</v>
      </c>
      <c r="AH103" s="85" t="n">
        <v>1669.6</v>
      </c>
      <c r="AI103" s="85" t="n">
        <v>3301.2</v>
      </c>
      <c r="AJ103" s="85" t="n">
        <v>-92.7</v>
      </c>
      <c r="AK103" s="85" t="n">
        <v>-70.90000000000001</v>
      </c>
      <c r="AL103" s="85" t="n">
        <v>9.6</v>
      </c>
      <c r="AM103" s="85" t="n">
        <v>7.9</v>
      </c>
      <c r="AN103" s="85" t="n">
        <v>315.6</v>
      </c>
      <c r="AO103" s="85" t="n">
        <v>185</v>
      </c>
      <c r="AP103" s="91" t="inlineStr">
        <is>
          <t>N/A</t>
        </is>
      </c>
      <c r="AQ103" s="91" t="inlineStr">
        <is>
          <t>N/A</t>
        </is>
      </c>
      <c r="AR103" s="85" t="n">
        <v>226.6</v>
      </c>
      <c r="AS103" s="85" t="n">
        <v>41.8</v>
      </c>
      <c r="AT103" s="91" t="inlineStr">
        <is>
          <t>N/A</t>
        </is>
      </c>
      <c r="AU103" s="85" t="n">
        <v>512.5</v>
      </c>
      <c r="AV103" s="85" t="n">
        <v>943.5</v>
      </c>
      <c r="AW103" s="85" t="n">
        <v>147.7</v>
      </c>
      <c r="AX103" s="91" t="inlineStr">
        <is>
          <t>N/A</t>
        </is>
      </c>
      <c r="AY103" s="91" t="inlineStr">
        <is>
          <t>N/A</t>
        </is>
      </c>
      <c r="AZ103" s="85" t="n">
        <v>-943.5</v>
      </c>
      <c r="BA103" s="85" t="n">
        <v>287.5</v>
      </c>
      <c r="BB103" s="91" t="inlineStr">
        <is>
          <t>N/A</t>
        </is>
      </c>
      <c r="BC103" s="91" t="inlineStr">
        <is>
          <t>N/A</t>
        </is>
      </c>
      <c r="BD103" s="85" t="n">
        <v>316.8</v>
      </c>
      <c r="BE103" s="85" t="n">
        <v>467.4</v>
      </c>
      <c r="BF103" s="85" t="n">
        <v>278.5</v>
      </c>
      <c r="BG103" s="85" t="n">
        <v>127.7</v>
      </c>
      <c r="BH103" s="85" t="n">
        <v>-1806.7</v>
      </c>
      <c r="BI103" s="85" t="n">
        <v>-330.2</v>
      </c>
      <c r="BJ103" s="85" t="n">
        <v>84.09999999999999</v>
      </c>
      <c r="BK103" s="85" t="n">
        <v>105.8</v>
      </c>
      <c r="BL103" s="85" t="n">
        <v>684.2</v>
      </c>
      <c r="BM103" s="85" t="n">
        <v>477.8</v>
      </c>
      <c r="BN103" s="91" t="inlineStr">
        <is>
          <t>N/A</t>
        </is>
      </c>
      <c r="BO103" s="85" t="n">
        <v>552.5</v>
      </c>
      <c r="BP103" s="85" t="n">
        <v>378.7</v>
      </c>
      <c r="BQ103" s="85" t="n">
        <v>0</v>
      </c>
      <c r="BR103" s="85" t="n">
        <v>0</v>
      </c>
      <c r="BS103" s="91" t="inlineStr">
        <is>
          <t>N/A</t>
        </is>
      </c>
      <c r="BT103" s="91" t="inlineStr">
        <is>
          <t>N/A</t>
        </is>
      </c>
      <c r="BU103" s="85" t="n">
        <v>0</v>
      </c>
      <c r="BV103" s="85" t="n">
        <v>0</v>
      </c>
      <c r="BW103" s="85" t="n">
        <v>0</v>
      </c>
      <c r="BX103" s="85" t="n">
        <v>0</v>
      </c>
      <c r="BY103" s="85" t="n">
        <v>-0</v>
      </c>
    </row>
    <row r="104" ht="17" customHeight="1">
      <c r="A104" s="86" t="n">
        <v>102</v>
      </c>
      <c r="B104" s="87" t="inlineStr">
        <is>
          <t>MO</t>
        </is>
      </c>
      <c r="C104" s="88" t="inlineStr">
        <is>
          <t>ALTRIA GROUP, INC.</t>
        </is>
      </c>
      <c r="D104" s="86" t="inlineStr">
        <is>
          <t>Consumer Staples</t>
        </is>
      </c>
      <c r="E104" s="86" t="n">
        <v>2026</v>
      </c>
      <c r="F104" s="89" t="n">
        <v>35017</v>
      </c>
      <c r="G104" s="89" t="n">
        <v>5932</v>
      </c>
      <c r="H104" s="89" t="n">
        <v>9154</v>
      </c>
      <c r="I104" s="89" t="n">
        <v>38469</v>
      </c>
      <c r="J104" s="89" t="n">
        <v>35452</v>
      </c>
      <c r="K104" s="89" t="n">
        <v>9899</v>
      </c>
      <c r="L104" s="89" t="n">
        <v>23279</v>
      </c>
      <c r="M104" s="89" t="n">
        <v>6947</v>
      </c>
      <c r="N104" s="89" t="n">
        <v>9290</v>
      </c>
      <c r="O104" s="89" t="n">
        <v>14542</v>
      </c>
      <c r="P104" s="89" t="n">
        <v>25709</v>
      </c>
      <c r="Q104" s="89" t="n">
        <v>-3502</v>
      </c>
      <c r="R104" s="90" t="inlineStr">
        <is>
          <t>N/A</t>
        </is>
      </c>
      <c r="S104" s="89" t="n">
        <v>266</v>
      </c>
      <c r="T104" s="89" t="n">
        <v>263</v>
      </c>
      <c r="U104" s="89" t="n">
        <v>1710</v>
      </c>
      <c r="V104" s="89" t="n">
        <v>1149</v>
      </c>
      <c r="W104" s="89" t="n">
        <v>35177</v>
      </c>
      <c r="X104" s="89" t="n">
        <v>4513</v>
      </c>
      <c r="Y104" s="89" t="n">
        <v>8781</v>
      </c>
      <c r="Z104" s="89" t="n">
        <v>37365</v>
      </c>
      <c r="AA104" s="89" t="n">
        <v>11241</v>
      </c>
      <c r="AB104" s="89" t="n">
        <v>24018</v>
      </c>
      <c r="AC104" s="89" t="n">
        <v>11264</v>
      </c>
      <c r="AD104" s="89" t="n">
        <v>8753</v>
      </c>
      <c r="AE104" s="89" t="n">
        <v>14367</v>
      </c>
      <c r="AF104" s="89" t="n">
        <v>24926</v>
      </c>
      <c r="AG104" s="89" t="n">
        <v>-2238</v>
      </c>
      <c r="AH104" s="89" t="n">
        <v>24018</v>
      </c>
      <c r="AI104" s="89" t="n">
        <v>35177</v>
      </c>
      <c r="AJ104" s="89" t="n">
        <v>9389</v>
      </c>
      <c r="AK104" s="89" t="n">
        <v>13658</v>
      </c>
      <c r="AL104" s="89" t="n">
        <v>2442</v>
      </c>
      <c r="AM104" s="89" t="n">
        <v>2394</v>
      </c>
      <c r="AN104" s="89" t="n">
        <v>216</v>
      </c>
      <c r="AO104" s="89" t="n">
        <v>142</v>
      </c>
      <c r="AP104" s="89" t="n">
        <v>1070</v>
      </c>
      <c r="AQ104" s="89" t="n">
        <v>1080</v>
      </c>
      <c r="AR104" s="89" t="n">
        <v>5787</v>
      </c>
      <c r="AS104" s="89" t="n">
        <v>11876</v>
      </c>
      <c r="AT104" s="90" t="inlineStr">
        <is>
          <t>N/A</t>
        </is>
      </c>
      <c r="AU104" s="89" t="n">
        <v>195</v>
      </c>
      <c r="AV104" s="89" t="n">
        <v>4474</v>
      </c>
      <c r="AW104" s="89" t="n">
        <v>3127</v>
      </c>
      <c r="AX104" s="89" t="n">
        <v>25709</v>
      </c>
      <c r="AY104" s="89" t="n">
        <v>24926</v>
      </c>
      <c r="AZ104" s="89" t="n">
        <v>21235</v>
      </c>
      <c r="BA104" s="89" t="n">
        <v>9074</v>
      </c>
      <c r="BB104" s="89" t="n">
        <v>1674.3</v>
      </c>
      <c r="BC104" s="89" t="n">
        <v>1690.7</v>
      </c>
      <c r="BD104" s="89" t="n">
        <v>177</v>
      </c>
      <c r="BE104" s="89" t="n">
        <v>1617</v>
      </c>
      <c r="BF104" s="90" t="inlineStr">
        <is>
          <t>N/A</t>
        </is>
      </c>
      <c r="BG104" s="89" t="n">
        <v>286</v>
      </c>
      <c r="BH104" s="89" t="n">
        <v>-341</v>
      </c>
      <c r="BI104" s="89" t="n">
        <v>2175</v>
      </c>
      <c r="BJ104" s="89" t="n">
        <v>750</v>
      </c>
      <c r="BK104" s="89" t="n">
        <v>700</v>
      </c>
      <c r="BL104" s="89" t="n">
        <v>231</v>
      </c>
      <c r="BM104" s="89" t="n">
        <v>215</v>
      </c>
      <c r="BN104" s="90" t="inlineStr">
        <is>
          <t>N/A</t>
        </is>
      </c>
      <c r="BO104" s="89" t="n">
        <v>5597</v>
      </c>
      <c r="BP104" s="89" t="n">
        <v>6077</v>
      </c>
      <c r="BQ104" s="89" t="n">
        <v>0</v>
      </c>
      <c r="BR104" s="89" t="n">
        <v>0</v>
      </c>
      <c r="BS104" s="89" t="n">
        <v>0</v>
      </c>
      <c r="BT104" s="89" t="n">
        <v>0</v>
      </c>
      <c r="BU104" s="89" t="n">
        <v>0</v>
      </c>
      <c r="BV104" s="89" t="n">
        <v>0</v>
      </c>
      <c r="BW104" s="89" t="n">
        <v>0</v>
      </c>
      <c r="BX104" s="89" t="n">
        <v>0</v>
      </c>
      <c r="BY104" s="89" t="n">
        <v>0</v>
      </c>
    </row>
    <row r="105" ht="17" customHeight="1">
      <c r="A105" s="82" t="n">
        <v>103</v>
      </c>
      <c r="B105" s="83" t="inlineStr">
        <is>
          <t>EQIX</t>
        </is>
      </c>
      <c r="C105" s="84" t="inlineStr">
        <is>
          <t>EQUINIX INC</t>
        </is>
      </c>
      <c r="D105" s="82" t="inlineStr">
        <is>
          <t>Real Estate</t>
        </is>
      </c>
      <c r="E105" s="82" t="n">
        <v>2026</v>
      </c>
      <c r="F105" s="85" t="n">
        <v>40141</v>
      </c>
      <c r="G105" s="85" t="n">
        <v>5125</v>
      </c>
      <c r="H105" s="85" t="n">
        <v>3893</v>
      </c>
      <c r="I105" s="85" t="n">
        <v>25963</v>
      </c>
      <c r="J105" s="85" t="n">
        <v>6099</v>
      </c>
      <c r="K105" s="85" t="n">
        <v>1848</v>
      </c>
      <c r="L105" s="85" t="n">
        <v>5998.5</v>
      </c>
      <c r="M105" s="85" t="n">
        <v>1350</v>
      </c>
      <c r="N105" s="85" t="n">
        <v>3911</v>
      </c>
      <c r="O105" s="85" t="n">
        <v>733.4</v>
      </c>
      <c r="P105" s="85" t="n">
        <v>15334</v>
      </c>
      <c r="Q105" s="85" t="n">
        <v>14156</v>
      </c>
      <c r="R105" s="85" t="n">
        <v>1840</v>
      </c>
      <c r="S105" s="85" t="n">
        <v>2050</v>
      </c>
      <c r="T105" s="85" t="n">
        <v>1001</v>
      </c>
      <c r="U105" s="85" t="n">
        <v>23584</v>
      </c>
      <c r="V105" s="85" t="n">
        <v>402</v>
      </c>
      <c r="W105" s="85" t="n">
        <v>35085</v>
      </c>
      <c r="X105" s="85" t="n">
        <v>5447</v>
      </c>
      <c r="Y105" s="85" t="n">
        <v>3349</v>
      </c>
      <c r="Z105" s="85" t="n">
        <v>21533</v>
      </c>
      <c r="AA105" s="85" t="n">
        <v>1328</v>
      </c>
      <c r="AB105" s="85" t="n">
        <v>1564.1</v>
      </c>
      <c r="AC105" s="85" t="n">
        <v>815</v>
      </c>
      <c r="AD105" s="85" t="n">
        <v>3249</v>
      </c>
      <c r="AE105" s="85" t="n">
        <v>751.8</v>
      </c>
      <c r="AF105" s="85" t="n">
        <v>13840.6</v>
      </c>
      <c r="AG105" s="85" t="n">
        <v>13528</v>
      </c>
      <c r="AH105" s="85" t="n">
        <v>1519.8</v>
      </c>
      <c r="AI105" s="85" t="n">
        <v>35085</v>
      </c>
      <c r="AJ105" s="85" t="n">
        <v>1508</v>
      </c>
      <c r="AK105" s="85" t="n">
        <v>975</v>
      </c>
      <c r="AL105" s="85" t="n">
        <v>160</v>
      </c>
      <c r="AM105" s="85" t="n">
        <v>161</v>
      </c>
      <c r="AN105" s="85" t="n">
        <v>14.9</v>
      </c>
      <c r="AO105" s="85" t="n">
        <v>3066</v>
      </c>
      <c r="AP105" s="91" t="inlineStr">
        <is>
          <t>N/A</t>
        </is>
      </c>
      <c r="AQ105" s="91" t="inlineStr">
        <is>
          <t>N/A</t>
        </is>
      </c>
      <c r="AR105" s="85" t="n">
        <v>5984</v>
      </c>
      <c r="AS105" s="85" t="n">
        <v>1316</v>
      </c>
      <c r="AT105" s="85" t="n">
        <v>1299</v>
      </c>
      <c r="AU105" s="91" t="inlineStr">
        <is>
          <t>N/A</t>
        </is>
      </c>
      <c r="AV105" s="85" t="n">
        <v>1727</v>
      </c>
      <c r="AW105" s="85" t="n">
        <v>3081</v>
      </c>
      <c r="AX105" s="85" t="n">
        <v>16633</v>
      </c>
      <c r="AY105" s="85" t="n">
        <v>13840.6</v>
      </c>
      <c r="AZ105" s="85" t="n">
        <v>14906</v>
      </c>
      <c r="BA105" s="85" t="n">
        <v>3896.1</v>
      </c>
      <c r="BB105" s="85" t="n">
        <v>98.2</v>
      </c>
      <c r="BC105" s="85" t="n">
        <v>97.3</v>
      </c>
      <c r="BD105" s="85" t="n">
        <v>949</v>
      </c>
      <c r="BE105" s="85" t="n">
        <v>19249</v>
      </c>
      <c r="BF105" s="85" t="n">
        <v>1766</v>
      </c>
      <c r="BG105" s="85" t="n">
        <v>2009</v>
      </c>
      <c r="BH105" s="85" t="n">
        <v>-6484</v>
      </c>
      <c r="BI105" s="85" t="n">
        <v>-3937</v>
      </c>
      <c r="BJ105" s="85" t="n">
        <v>127</v>
      </c>
      <c r="BK105" s="85" t="n">
        <v>133</v>
      </c>
      <c r="BL105" s="85" t="n">
        <v>12.8</v>
      </c>
      <c r="BM105" s="85" t="n">
        <v>18.7</v>
      </c>
      <c r="BN105" s="85" t="n">
        <v>114</v>
      </c>
      <c r="BO105" s="85" t="n">
        <v>4508</v>
      </c>
      <c r="BP105" s="85" t="n">
        <v>4467</v>
      </c>
      <c r="BQ105" s="85" t="n">
        <v>0</v>
      </c>
      <c r="BR105" s="85" t="n">
        <v>0</v>
      </c>
      <c r="BS105" s="91" t="inlineStr">
        <is>
          <t>N/A</t>
        </is>
      </c>
      <c r="BT105" s="91" t="inlineStr">
        <is>
          <t>N/A</t>
        </is>
      </c>
      <c r="BU105" s="85" t="n">
        <v>0</v>
      </c>
      <c r="BV105" s="85" t="n">
        <v>0</v>
      </c>
      <c r="BW105" s="85" t="n">
        <v>0</v>
      </c>
      <c r="BX105" s="85" t="n">
        <v>0</v>
      </c>
      <c r="BY105" s="85" t="n">
        <v>0</v>
      </c>
    </row>
    <row r="106" ht="17" customHeight="1">
      <c r="A106" s="86" t="n">
        <v>104</v>
      </c>
      <c r="B106" s="87" t="inlineStr">
        <is>
          <t>ANF</t>
        </is>
      </c>
      <c r="C106" s="88" t="inlineStr">
        <is>
          <t>Abercrombie &amp; Fitch Co.</t>
        </is>
      </c>
      <c r="D106" s="86" t="inlineStr">
        <is>
          <t>Consumer Discretionary</t>
        </is>
      </c>
      <c r="E106" s="86" t="n">
        <v>2026</v>
      </c>
      <c r="F106" s="89" t="n">
        <v>3541.9</v>
      </c>
      <c r="G106" s="89" t="n">
        <v>1650.5</v>
      </c>
      <c r="H106" s="89" t="n">
        <v>1106</v>
      </c>
      <c r="I106" s="89" t="n">
        <v>3541.9</v>
      </c>
      <c r="J106" s="89" t="n">
        <v>3697.8</v>
      </c>
      <c r="K106" s="89" t="n">
        <v>699.1</v>
      </c>
      <c r="L106" s="89" t="n">
        <v>5266.3</v>
      </c>
      <c r="M106" s="89" t="n">
        <v>506.9</v>
      </c>
      <c r="N106" s="89" t="n">
        <v>619.1</v>
      </c>
      <c r="O106" s="89" t="n">
        <v>2693.4</v>
      </c>
      <c r="P106" s="90" t="inlineStr">
        <is>
          <t>N/A</t>
        </is>
      </c>
      <c r="Q106" s="89" t="n">
        <v>1403.9</v>
      </c>
      <c r="R106" s="89" t="n">
        <v>725.5</v>
      </c>
      <c r="S106" s="89" t="n">
        <v>155</v>
      </c>
      <c r="T106" s="89" t="n">
        <v>146.8</v>
      </c>
      <c r="U106" s="89" t="n">
        <v>674.1</v>
      </c>
      <c r="V106" s="89" t="n">
        <v>30.4</v>
      </c>
      <c r="W106" s="89" t="n">
        <v>3299.9</v>
      </c>
      <c r="X106" s="89" t="n">
        <v>1673.4</v>
      </c>
      <c r="Y106" s="89" t="n">
        <v>1126.9</v>
      </c>
      <c r="Z106" s="89" t="n">
        <v>3299.9</v>
      </c>
      <c r="AA106" s="89" t="n">
        <v>740.8</v>
      </c>
      <c r="AB106" s="89" t="n">
        <v>4948.6</v>
      </c>
      <c r="AC106" s="89" t="n">
        <v>566.2</v>
      </c>
      <c r="AD106" s="89" t="n">
        <v>710.4</v>
      </c>
      <c r="AE106" s="89" t="n">
        <v>2104.5</v>
      </c>
      <c r="AF106" s="89" t="n">
        <v>222.1</v>
      </c>
      <c r="AG106" s="89" t="n">
        <v>1335.6</v>
      </c>
      <c r="AH106" s="89" t="n">
        <v>4948.6</v>
      </c>
      <c r="AI106" s="89" t="n">
        <v>3299.9</v>
      </c>
      <c r="AJ106" s="89" t="n">
        <v>720.8</v>
      </c>
      <c r="AK106" s="89" t="n">
        <v>768.7</v>
      </c>
      <c r="AL106" s="89" t="n">
        <v>205.8</v>
      </c>
      <c r="AM106" s="89" t="n">
        <v>194.7</v>
      </c>
      <c r="AN106" s="89" t="n">
        <v>240.8</v>
      </c>
      <c r="AO106" s="89" t="n">
        <v>182.9</v>
      </c>
      <c r="AP106" s="89" t="n">
        <v>601.2</v>
      </c>
      <c r="AQ106" s="89" t="n">
        <v>575</v>
      </c>
      <c r="AR106" s="90" t="inlineStr">
        <is>
          <t>N/A</t>
        </is>
      </c>
      <c r="AS106" s="89" t="n">
        <v>12.5</v>
      </c>
      <c r="AT106" s="90" t="inlineStr">
        <is>
          <t>N/A</t>
        </is>
      </c>
      <c r="AU106" s="90" t="inlineStr">
        <is>
          <t>N/A</t>
        </is>
      </c>
      <c r="AV106" s="89" t="n">
        <v>759.5</v>
      </c>
      <c r="AW106" s="89" t="n">
        <v>772.7</v>
      </c>
      <c r="AX106" s="90" t="inlineStr">
        <is>
          <t>N/A</t>
        </is>
      </c>
      <c r="AY106" s="89" t="n">
        <v>222.1</v>
      </c>
      <c r="AZ106" s="89" t="n">
        <v>-759.5</v>
      </c>
      <c r="BA106" s="89" t="n">
        <v>378.4</v>
      </c>
      <c r="BB106" s="89" t="n">
        <v>103.3</v>
      </c>
      <c r="BC106" s="89" t="n">
        <v>103.3</v>
      </c>
      <c r="BD106" s="89" t="n">
        <v>105.3</v>
      </c>
      <c r="BE106" s="89" t="n">
        <v>575.8</v>
      </c>
      <c r="BF106" s="89" t="n">
        <v>750.5</v>
      </c>
      <c r="BG106" s="89" t="n">
        <v>153.8</v>
      </c>
      <c r="BH106" s="89" t="n">
        <v>-150.8</v>
      </c>
      <c r="BI106" s="89" t="n">
        <v>-297.7</v>
      </c>
      <c r="BJ106" s="89" t="n">
        <v>377.5</v>
      </c>
      <c r="BK106" s="89" t="n">
        <v>364.5</v>
      </c>
      <c r="BL106" s="90" t="inlineStr">
        <is>
          <t>N/A</t>
        </is>
      </c>
      <c r="BM106" s="90" t="inlineStr">
        <is>
          <t>N/A</t>
        </is>
      </c>
      <c r="BN106" s="89" t="n">
        <v>21.7</v>
      </c>
      <c r="BO106" s="89" t="n">
        <v>1408.8</v>
      </c>
      <c r="BP106" s="89" t="n">
        <v>1298.2</v>
      </c>
      <c r="BQ106" s="89" t="n">
        <v>0</v>
      </c>
      <c r="BR106" s="89" t="n">
        <v>0</v>
      </c>
      <c r="BS106" s="89" t="n">
        <v>0</v>
      </c>
      <c r="BT106" s="89" t="n">
        <v>0</v>
      </c>
      <c r="BU106" s="89" t="n">
        <v>0</v>
      </c>
      <c r="BV106" s="89" t="n">
        <v>0</v>
      </c>
      <c r="BW106" s="89" t="n">
        <v>0</v>
      </c>
      <c r="BX106" s="89" t="n">
        <v>0</v>
      </c>
      <c r="BY106" s="89" t="n">
        <v>0</v>
      </c>
    </row>
    <row r="107" ht="17" customHeight="1">
      <c r="A107" s="82" t="n">
        <v>105</v>
      </c>
      <c r="B107" s="83" t="inlineStr">
        <is>
          <t>CFG</t>
        </is>
      </c>
      <c r="C107" s="84" t="inlineStr">
        <is>
          <t>CITIZENS FINANCIAL GROUP INC/RI</t>
        </is>
      </c>
      <c r="D107" s="82" t="inlineStr">
        <is>
          <t>Financials</t>
        </is>
      </c>
      <c r="E107" s="82" t="n">
        <v>2026</v>
      </c>
      <c r="F107" s="85" t="n">
        <v>226351</v>
      </c>
      <c r="G107" s="91" t="inlineStr">
        <is>
          <t>N/A</t>
        </is>
      </c>
      <c r="H107" s="91" t="inlineStr">
        <is>
          <t>N/A</t>
        </is>
      </c>
      <c r="I107" s="85" t="n">
        <v>200034</v>
      </c>
      <c r="J107" s="85" t="n">
        <v>11345</v>
      </c>
      <c r="K107" s="85" t="n">
        <v>2328</v>
      </c>
      <c r="L107" s="85" t="n">
        <v>8247</v>
      </c>
      <c r="M107" s="85" t="n">
        <v>1831</v>
      </c>
      <c r="N107" s="85" t="n">
        <v>2211</v>
      </c>
      <c r="O107" s="91" t="inlineStr">
        <is>
          <t>N/A</t>
        </is>
      </c>
      <c r="P107" s="85" t="n">
        <v>11224</v>
      </c>
      <c r="Q107" s="85" t="n">
        <v>26317</v>
      </c>
      <c r="R107" s="91" t="inlineStr">
        <is>
          <t>N/A</t>
        </is>
      </c>
      <c r="S107" s="85" t="n">
        <v>130</v>
      </c>
      <c r="T107" s="91" t="inlineStr">
        <is>
          <t>N/A</t>
        </is>
      </c>
      <c r="U107" s="85" t="n">
        <v>915</v>
      </c>
      <c r="V107" s="85" t="n">
        <v>3963</v>
      </c>
      <c r="W107" s="85" t="n">
        <v>217521</v>
      </c>
      <c r="X107" s="91" t="inlineStr">
        <is>
          <t>N/A</t>
        </is>
      </c>
      <c r="Y107" s="91" t="inlineStr">
        <is>
          <t>N/A</t>
        </is>
      </c>
      <c r="Z107" s="85" t="n">
        <v>193267</v>
      </c>
      <c r="AA107" s="85" t="n">
        <v>1888</v>
      </c>
      <c r="AB107" s="85" t="n">
        <v>7809</v>
      </c>
      <c r="AC107" s="85" t="n">
        <v>1509</v>
      </c>
      <c r="AD107" s="85" t="n">
        <v>2001</v>
      </c>
      <c r="AE107" s="91" t="inlineStr">
        <is>
          <t>N/A</t>
        </is>
      </c>
      <c r="AF107" s="85" t="n">
        <v>12401</v>
      </c>
      <c r="AG107" s="85" t="n">
        <v>24254</v>
      </c>
      <c r="AH107" s="85" t="n">
        <v>7809</v>
      </c>
      <c r="AI107" s="85" t="n">
        <v>217521</v>
      </c>
      <c r="AJ107" s="85" t="n">
        <v>2328</v>
      </c>
      <c r="AK107" s="85" t="n">
        <v>1888</v>
      </c>
      <c r="AL107" s="85" t="n">
        <v>497</v>
      </c>
      <c r="AM107" s="85" t="n">
        <v>379</v>
      </c>
      <c r="AN107" s="85" t="n">
        <v>126</v>
      </c>
      <c r="AO107" s="85" t="n">
        <v>232</v>
      </c>
      <c r="AP107" s="91" t="inlineStr">
        <is>
          <t>N/A</t>
        </is>
      </c>
      <c r="AQ107" s="91" t="inlineStr">
        <is>
          <t>N/A</t>
        </is>
      </c>
      <c r="AR107" s="85" t="n">
        <v>8187</v>
      </c>
      <c r="AS107" s="85" t="n">
        <v>115</v>
      </c>
      <c r="AT107" s="85" t="n">
        <v>58</v>
      </c>
      <c r="AU107" s="91" t="inlineStr">
        <is>
          <t>N/A</t>
        </is>
      </c>
      <c r="AV107" s="85" t="n">
        <v>4074</v>
      </c>
      <c r="AW107" s="85" t="n">
        <v>3032</v>
      </c>
      <c r="AX107" s="85" t="n">
        <v>11282</v>
      </c>
      <c r="AY107" s="85" t="n">
        <v>12401</v>
      </c>
      <c r="AZ107" s="85" t="n">
        <v>7208</v>
      </c>
      <c r="BA107" s="85" t="n">
        <v>2085</v>
      </c>
      <c r="BB107" s="85" t="n">
        <v>429.2</v>
      </c>
      <c r="BC107" s="85" t="n">
        <v>440.5</v>
      </c>
      <c r="BD107" s="91" t="inlineStr">
        <is>
          <t>N/A</t>
        </is>
      </c>
      <c r="BE107" s="85" t="n">
        <v>875</v>
      </c>
      <c r="BF107" s="91" t="inlineStr">
        <is>
          <t>N/A</t>
        </is>
      </c>
      <c r="BG107" s="85" t="n">
        <v>132</v>
      </c>
      <c r="BH107" s="85" t="n">
        <v>-5967</v>
      </c>
      <c r="BI107" s="85" t="n">
        <v>2987</v>
      </c>
      <c r="BJ107" s="91" t="inlineStr">
        <is>
          <t>N/A</t>
        </is>
      </c>
      <c r="BK107" s="91" t="inlineStr">
        <is>
          <t>N/A</t>
        </is>
      </c>
      <c r="BL107" s="91" t="inlineStr">
        <is>
          <t>N/A</t>
        </is>
      </c>
      <c r="BM107" s="91" t="inlineStr">
        <is>
          <t>N/A</t>
        </is>
      </c>
      <c r="BN107" s="91" t="inlineStr">
        <is>
          <t>N/A</t>
        </is>
      </c>
      <c r="BO107" s="91" t="inlineStr">
        <is>
          <t>N/A</t>
        </is>
      </c>
      <c r="BP107" s="91" t="inlineStr">
        <is>
          <t>N/A</t>
        </is>
      </c>
      <c r="BQ107" s="91" t="inlineStr">
        <is>
          <t>N/A</t>
        </is>
      </c>
      <c r="BR107" s="91" t="inlineStr">
        <is>
          <t>N/A</t>
        </is>
      </c>
      <c r="BS107" s="91" t="inlineStr">
        <is>
          <t>N/A</t>
        </is>
      </c>
      <c r="BT107" s="91" t="inlineStr">
        <is>
          <t>N/A</t>
        </is>
      </c>
      <c r="BU107" s="91" t="inlineStr">
        <is>
          <t>N/A</t>
        </is>
      </c>
      <c r="BV107" s="91" t="inlineStr">
        <is>
          <t>N/A</t>
        </is>
      </c>
      <c r="BW107" s="85" t="n">
        <v>0</v>
      </c>
      <c r="BX107" s="85" t="n">
        <v>0</v>
      </c>
      <c r="BY107" s="85" t="n">
        <v>0</v>
      </c>
    </row>
    <row r="108" ht="17" customHeight="1">
      <c r="A108" s="86" t="n">
        <v>106</v>
      </c>
      <c r="B108" s="87" t="inlineStr">
        <is>
          <t>IMCR</t>
        </is>
      </c>
      <c r="C108" s="88" t="inlineStr">
        <is>
          <t>Immunocore Holdings plc</t>
        </is>
      </c>
      <c r="D108" s="86" t="inlineStr">
        <is>
          <t>Health Care</t>
        </is>
      </c>
      <c r="E108" s="86" t="n">
        <v>2026</v>
      </c>
      <c r="F108" s="89" t="n">
        <v>1067.3</v>
      </c>
      <c r="G108" s="89" t="n">
        <v>996.7</v>
      </c>
      <c r="H108" s="89" t="n">
        <v>246.7</v>
      </c>
      <c r="I108" s="89" t="n">
        <v>686.2</v>
      </c>
      <c r="J108" s="89" t="n">
        <v>-831.3</v>
      </c>
      <c r="K108" s="89" t="n">
        <v>-45.4</v>
      </c>
      <c r="L108" s="89" t="n">
        <v>249.4</v>
      </c>
      <c r="M108" s="89" t="n">
        <v>-35.5</v>
      </c>
      <c r="N108" s="89" t="n">
        <v>-10.7</v>
      </c>
      <c r="O108" s="89" t="n">
        <v>244.3</v>
      </c>
      <c r="P108" s="90" t="inlineStr">
        <is>
          <t>N/A</t>
        </is>
      </c>
      <c r="Q108" s="89" t="n">
        <v>381</v>
      </c>
      <c r="R108" s="89" t="n">
        <v>165.4</v>
      </c>
      <c r="S108" s="89" t="n">
        <v>3.1</v>
      </c>
      <c r="T108" s="89" t="n">
        <v>63</v>
      </c>
      <c r="U108" s="89" t="n">
        <v>11.5</v>
      </c>
      <c r="V108" s="89" t="n">
        <v>5.2</v>
      </c>
      <c r="W108" s="89" t="n">
        <v>1009.5</v>
      </c>
      <c r="X108" s="89" t="n">
        <v>929.9</v>
      </c>
      <c r="Y108" s="89" t="n">
        <v>212.2</v>
      </c>
      <c r="Z108" s="89" t="n">
        <v>648.8</v>
      </c>
      <c r="AA108" s="89" t="n">
        <v>-70.5</v>
      </c>
      <c r="AB108" s="89" t="n">
        <v>174.4</v>
      </c>
      <c r="AC108" s="89" t="n">
        <v>-51.1</v>
      </c>
      <c r="AD108" s="89" t="n">
        <v>26.1</v>
      </c>
      <c r="AE108" s="89" t="n">
        <v>171.6</v>
      </c>
      <c r="AF108" s="90" t="inlineStr">
        <is>
          <t>N/A</t>
        </is>
      </c>
      <c r="AG108" s="89" t="n">
        <v>360.7</v>
      </c>
      <c r="AH108" s="89" t="n">
        <v>36.5</v>
      </c>
      <c r="AI108" s="89" t="n">
        <v>1009.5</v>
      </c>
      <c r="AJ108" s="89" t="n">
        <v>-19.1</v>
      </c>
      <c r="AK108" s="89" t="n">
        <v>-52.9</v>
      </c>
      <c r="AL108" s="89" t="n">
        <v>16.4</v>
      </c>
      <c r="AM108" s="89" t="n">
        <v>-1.9</v>
      </c>
      <c r="AN108" s="89" t="n">
        <v>4.3</v>
      </c>
      <c r="AO108" s="89" t="n">
        <v>5.2</v>
      </c>
      <c r="AP108" s="89" t="n">
        <v>6.7</v>
      </c>
      <c r="AQ108" s="89" t="n">
        <v>5.4</v>
      </c>
      <c r="AR108" s="90" t="inlineStr">
        <is>
          <t>N/A</t>
        </is>
      </c>
      <c r="AS108" s="90" t="inlineStr">
        <is>
          <t>N/A</t>
        </is>
      </c>
      <c r="AT108" s="90" t="inlineStr">
        <is>
          <t>N/A</t>
        </is>
      </c>
      <c r="AU108" s="89" t="n">
        <v>274.9</v>
      </c>
      <c r="AV108" s="89" t="n">
        <v>467.7</v>
      </c>
      <c r="AW108" s="89" t="n">
        <v>455.7</v>
      </c>
      <c r="AX108" s="90" t="inlineStr">
        <is>
          <t>N/A</t>
        </is>
      </c>
      <c r="AY108" s="90" t="inlineStr">
        <is>
          <t>N/A</t>
        </is>
      </c>
      <c r="AZ108" s="90" t="inlineStr">
        <is>
          <t>N/A</t>
        </is>
      </c>
      <c r="BA108" s="89" t="n">
        <v>-15.1</v>
      </c>
      <c r="BB108" s="89" t="n">
        <v>50.7</v>
      </c>
      <c r="BC108" s="89" t="n">
        <v>50.1</v>
      </c>
      <c r="BD108" s="89" t="n">
        <v>52.1</v>
      </c>
      <c r="BE108" s="89" t="n">
        <v>10.1</v>
      </c>
      <c r="BF108" s="89" t="n">
        <v>155.8</v>
      </c>
      <c r="BG108" s="89" t="n">
        <v>4.2</v>
      </c>
      <c r="BH108" s="89" t="n">
        <v>-16.3</v>
      </c>
      <c r="BI108" s="89" t="n">
        <v>-355.1</v>
      </c>
      <c r="BJ108" s="89" t="n">
        <v>24.4</v>
      </c>
      <c r="BK108" s="89" t="n">
        <v>25.1</v>
      </c>
      <c r="BL108" s="90" t="inlineStr">
        <is>
          <t>N/A</t>
        </is>
      </c>
      <c r="BM108" s="89" t="n">
        <v>7.8</v>
      </c>
      <c r="BN108" s="90" t="inlineStr">
        <is>
          <t>N/A</t>
        </is>
      </c>
      <c r="BO108" s="89" t="n">
        <v>5.1</v>
      </c>
      <c r="BP108" s="89" t="n">
        <v>2.7</v>
      </c>
      <c r="BQ108" s="89" t="n">
        <v>0</v>
      </c>
      <c r="BR108" s="89" t="n">
        <v>0</v>
      </c>
      <c r="BS108" s="89" t="n">
        <v>0</v>
      </c>
      <c r="BT108" s="89" t="n">
        <v>0</v>
      </c>
      <c r="BU108" s="89" t="n">
        <v>0</v>
      </c>
      <c r="BV108" s="89" t="n">
        <v>0</v>
      </c>
      <c r="BW108" s="89" t="n">
        <v>0</v>
      </c>
      <c r="BX108" s="89" t="n">
        <v>-0</v>
      </c>
      <c r="BY108" s="89" t="n">
        <v>-0</v>
      </c>
    </row>
    <row r="109" ht="17" customHeight="1">
      <c r="A109" s="82" t="n">
        <v>107</v>
      </c>
      <c r="B109" s="83" t="inlineStr">
        <is>
          <t>NHI</t>
        </is>
      </c>
      <c r="C109" s="84" t="inlineStr">
        <is>
          <t>National Health Investors, Inc.</t>
        </is>
      </c>
      <c r="D109" s="82" t="inlineStr">
        <is>
          <t>Real Estate</t>
        </is>
      </c>
      <c r="E109" s="82" t="n">
        <v>2026</v>
      </c>
      <c r="F109" s="85" t="n">
        <v>2796.9</v>
      </c>
      <c r="G109" s="91" t="inlineStr">
        <is>
          <t>N/A</t>
        </is>
      </c>
      <c r="H109" s="91" t="inlineStr">
        <is>
          <t>N/A</t>
        </is>
      </c>
      <c r="I109" s="85" t="n">
        <v>1257</v>
      </c>
      <c r="J109" s="85" t="n">
        <v>2747</v>
      </c>
      <c r="K109" s="85" t="n">
        <v>150.3</v>
      </c>
      <c r="L109" s="85" t="n">
        <v>375.6</v>
      </c>
      <c r="M109" s="85" t="n">
        <v>142.2</v>
      </c>
      <c r="N109" s="85" t="n">
        <v>236.6</v>
      </c>
      <c r="O109" s="85" t="n">
        <v>136.7</v>
      </c>
      <c r="P109" s="85" t="n">
        <v>1131.9</v>
      </c>
      <c r="Q109" s="85" t="n">
        <v>1521.5</v>
      </c>
      <c r="R109" s="85" t="n">
        <v>26.9</v>
      </c>
      <c r="S109" s="85" t="n">
        <v>80.90000000000001</v>
      </c>
      <c r="T109" s="85" t="n">
        <v>3.6</v>
      </c>
      <c r="U109" s="85" t="n">
        <v>2473.8</v>
      </c>
      <c r="V109" s="85" t="n">
        <v>57.4</v>
      </c>
      <c r="W109" s="85" t="n">
        <v>2614.4</v>
      </c>
      <c r="X109" s="91" t="inlineStr">
        <is>
          <t>N/A</t>
        </is>
      </c>
      <c r="Y109" s="91" t="inlineStr">
        <is>
          <t>N/A</t>
        </is>
      </c>
      <c r="Z109" s="85" t="n">
        <v>1229.2</v>
      </c>
      <c r="AA109" s="85" t="n">
        <v>103.1</v>
      </c>
      <c r="AB109" s="85" t="n">
        <v>335.2</v>
      </c>
      <c r="AC109" s="85" t="n">
        <v>138</v>
      </c>
      <c r="AD109" s="85" t="n">
        <v>207.8</v>
      </c>
      <c r="AE109" s="85" t="n">
        <v>123.3</v>
      </c>
      <c r="AF109" s="85" t="n">
        <v>80.09999999999999</v>
      </c>
      <c r="AG109" s="85" t="n">
        <v>1366.5</v>
      </c>
      <c r="AH109" s="85" t="n">
        <v>335.2</v>
      </c>
      <c r="AI109" s="85" t="n">
        <v>2614.4</v>
      </c>
      <c r="AJ109" s="85" t="n">
        <v>161.3</v>
      </c>
      <c r="AK109" s="85" t="n">
        <v>155.1</v>
      </c>
      <c r="AL109" s="85" t="n">
        <v>0.1</v>
      </c>
      <c r="AM109" s="85" t="n">
        <v>0.1</v>
      </c>
      <c r="AN109" s="85" t="n">
        <v>294</v>
      </c>
      <c r="AO109" s="85" t="n">
        <v>157.9</v>
      </c>
      <c r="AP109" s="91" t="inlineStr">
        <is>
          <t>N/A</t>
        </is>
      </c>
      <c r="AQ109" s="91" t="inlineStr">
        <is>
          <t>N/A</t>
        </is>
      </c>
      <c r="AR109" s="91" t="inlineStr">
        <is>
          <t>N/A</t>
        </is>
      </c>
      <c r="AS109" s="91" t="inlineStr">
        <is>
          <t>N/A</t>
        </is>
      </c>
      <c r="AT109" s="91" t="inlineStr">
        <is>
          <t>N/A</t>
        </is>
      </c>
      <c r="AU109" s="91" t="inlineStr">
        <is>
          <t>N/A</t>
        </is>
      </c>
      <c r="AV109" s="85" t="n">
        <v>19.6</v>
      </c>
      <c r="AW109" s="85" t="n">
        <v>24.3</v>
      </c>
      <c r="AX109" s="85" t="n">
        <v>1131.9</v>
      </c>
      <c r="AY109" s="85" t="n">
        <v>80.09999999999999</v>
      </c>
      <c r="AZ109" s="85" t="n">
        <v>1112.3</v>
      </c>
      <c r="BA109" s="85" t="n">
        <v>-57.5</v>
      </c>
      <c r="BB109" s="85" t="n">
        <v>48.3</v>
      </c>
      <c r="BC109" s="85" t="n">
        <v>45.7</v>
      </c>
      <c r="BD109" s="85" t="n">
        <v>3.2</v>
      </c>
      <c r="BE109" s="85" t="n">
        <v>2211.3</v>
      </c>
      <c r="BF109" s="85" t="n">
        <v>20.7</v>
      </c>
      <c r="BG109" s="85" t="n">
        <v>71.40000000000001</v>
      </c>
      <c r="BH109" s="85" t="n">
        <v>-269.1</v>
      </c>
      <c r="BI109" s="85" t="n">
        <v>-192.3</v>
      </c>
      <c r="BJ109" s="91" t="inlineStr">
        <is>
          <t>N/A</t>
        </is>
      </c>
      <c r="BK109" s="91" t="inlineStr">
        <is>
          <t>N/A</t>
        </is>
      </c>
      <c r="BL109" s="85" t="n">
        <v>5</v>
      </c>
      <c r="BM109" s="85" t="n">
        <v>4.3</v>
      </c>
      <c r="BN109" s="91" t="inlineStr">
        <is>
          <t>N/A</t>
        </is>
      </c>
      <c r="BO109" s="85" t="n">
        <v>239</v>
      </c>
      <c r="BP109" s="85" t="n">
        <v>211.9</v>
      </c>
      <c r="BQ109" s="85" t="n">
        <v>0</v>
      </c>
      <c r="BR109" s="85" t="n">
        <v>0</v>
      </c>
      <c r="BS109" s="91" t="inlineStr">
        <is>
          <t>N/A</t>
        </is>
      </c>
      <c r="BT109" s="91" t="inlineStr">
        <is>
          <t>N/A</t>
        </is>
      </c>
      <c r="BU109" s="91" t="inlineStr">
        <is>
          <t>N/A</t>
        </is>
      </c>
      <c r="BV109" s="91" t="inlineStr">
        <is>
          <t>N/A</t>
        </is>
      </c>
      <c r="BW109" s="85" t="n">
        <v>0</v>
      </c>
      <c r="BX109" s="85" t="n">
        <v>0</v>
      </c>
      <c r="BY109" s="85" t="n">
        <v>0</v>
      </c>
    </row>
    <row r="110" ht="17" customHeight="1">
      <c r="A110" s="86" t="n">
        <v>108</v>
      </c>
      <c r="B110" s="87" t="inlineStr">
        <is>
          <t>NXPI</t>
        </is>
      </c>
      <c r="C110" s="88" t="inlineStr">
        <is>
          <t>NXP Semiconductors N.V.</t>
        </is>
      </c>
      <c r="D110" s="86" t="inlineStr">
        <is>
          <t>Information Technology</t>
        </is>
      </c>
      <c r="E110" s="86" t="n">
        <v>2026</v>
      </c>
      <c r="F110" s="89" t="n">
        <v>26560</v>
      </c>
      <c r="G110" s="89" t="n">
        <v>7940</v>
      </c>
      <c r="H110" s="89" t="n">
        <v>3881</v>
      </c>
      <c r="I110" s="89" t="n">
        <v>26560</v>
      </c>
      <c r="J110" s="89" t="n">
        <v>-1354</v>
      </c>
      <c r="K110" s="89" t="n">
        <v>3047</v>
      </c>
      <c r="L110" s="89" t="n">
        <v>12269</v>
      </c>
      <c r="M110" s="89" t="n">
        <v>2021</v>
      </c>
      <c r="N110" s="89" t="n">
        <v>2820</v>
      </c>
      <c r="O110" s="89" t="n">
        <v>6716</v>
      </c>
      <c r="P110" s="89" t="n">
        <v>11040</v>
      </c>
      <c r="Q110" s="89" t="n">
        <v>10056</v>
      </c>
      <c r="R110" s="89" t="n">
        <v>1204</v>
      </c>
      <c r="S110" s="89" t="n">
        <v>1250</v>
      </c>
      <c r="T110" s="89" t="n">
        <v>1055</v>
      </c>
      <c r="U110" s="89" t="n">
        <v>2977</v>
      </c>
      <c r="V110" s="89" t="n">
        <v>466</v>
      </c>
      <c r="W110" s="89" t="n">
        <v>24385</v>
      </c>
      <c r="X110" s="89" t="n">
        <v>7305</v>
      </c>
      <c r="Y110" s="89" t="n">
        <v>3098</v>
      </c>
      <c r="Z110" s="89" t="n">
        <v>24385</v>
      </c>
      <c r="AA110" s="89" t="n">
        <v>3417</v>
      </c>
      <c r="AB110" s="89" t="n">
        <v>12614</v>
      </c>
      <c r="AC110" s="89" t="n">
        <v>2510</v>
      </c>
      <c r="AD110" s="89" t="n">
        <v>2782</v>
      </c>
      <c r="AE110" s="89" t="n">
        <v>7119</v>
      </c>
      <c r="AF110" s="89" t="n">
        <v>10420</v>
      </c>
      <c r="AG110" s="89" t="n">
        <v>9183</v>
      </c>
      <c r="AH110" s="89" t="n">
        <v>12614</v>
      </c>
      <c r="AI110" s="89" t="n">
        <v>24385</v>
      </c>
      <c r="AJ110" s="89" t="n">
        <v>1263</v>
      </c>
      <c r="AK110" s="90" t="inlineStr">
        <is>
          <t>N/A</t>
        </is>
      </c>
      <c r="AL110" s="89" t="n">
        <v>525</v>
      </c>
      <c r="AM110" s="89" t="n">
        <v>545</v>
      </c>
      <c r="AN110" s="89" t="n">
        <v>397</v>
      </c>
      <c r="AO110" s="89" t="n">
        <v>727</v>
      </c>
      <c r="AP110" s="89" t="n">
        <v>2577</v>
      </c>
      <c r="AQ110" s="89" t="n">
        <v>2356</v>
      </c>
      <c r="AR110" s="89" t="n">
        <v>10299</v>
      </c>
      <c r="AS110" s="89" t="n">
        <v>1547</v>
      </c>
      <c r="AT110" s="89" t="n">
        <v>307</v>
      </c>
      <c r="AU110" s="89" t="n">
        <v>2360</v>
      </c>
      <c r="AV110" s="89" t="n">
        <v>3267</v>
      </c>
      <c r="AW110" s="89" t="n">
        <v>3292</v>
      </c>
      <c r="AX110" s="89" t="n">
        <v>11347</v>
      </c>
      <c r="AY110" s="89" t="n">
        <v>10472</v>
      </c>
      <c r="AZ110" s="89" t="n">
        <v>8080</v>
      </c>
      <c r="BA110" s="89" t="n">
        <v>2423</v>
      </c>
      <c r="BB110" s="89" t="n">
        <v>4305</v>
      </c>
      <c r="BC110" s="89" t="n">
        <v>274.5</v>
      </c>
      <c r="BD110" s="89" t="n">
        <v>1032</v>
      </c>
      <c r="BE110" s="89" t="n">
        <v>3267</v>
      </c>
      <c r="BF110" s="89" t="n">
        <v>1164</v>
      </c>
      <c r="BG110" s="89" t="n">
        <v>1262</v>
      </c>
      <c r="BH110" s="89" t="n">
        <v>-2357</v>
      </c>
      <c r="BI110" s="89" t="n">
        <v>-686</v>
      </c>
      <c r="BJ110" s="89" t="n">
        <v>997</v>
      </c>
      <c r="BK110" s="89" t="n">
        <v>1017</v>
      </c>
      <c r="BL110" s="89" t="n">
        <v>57</v>
      </c>
      <c r="BM110" s="89" t="n">
        <v>131</v>
      </c>
      <c r="BN110" s="89" t="n">
        <v>83</v>
      </c>
      <c r="BO110" s="89" t="n">
        <v>5553</v>
      </c>
      <c r="BP110" s="89" t="n">
        <v>5495</v>
      </c>
      <c r="BQ110" s="89" t="n">
        <v>0</v>
      </c>
      <c r="BR110" s="89" t="n">
        <v>0</v>
      </c>
      <c r="BS110" s="89" t="n">
        <v>0</v>
      </c>
      <c r="BT110" s="89" t="n">
        <v>0</v>
      </c>
      <c r="BU110" s="89" t="n">
        <v>0</v>
      </c>
      <c r="BV110" s="89" t="n">
        <v>0</v>
      </c>
      <c r="BW110" s="89" t="n">
        <v>0</v>
      </c>
      <c r="BX110" s="89" t="n">
        <v>0</v>
      </c>
      <c r="BY110" s="89" t="n">
        <v>0</v>
      </c>
    </row>
    <row r="111" ht="17" customHeight="1">
      <c r="A111" s="82" t="n">
        <v>109</v>
      </c>
      <c r="B111" s="83" t="inlineStr">
        <is>
          <t>RBC</t>
        </is>
      </c>
      <c r="C111" s="84" t="inlineStr">
        <is>
          <t>RBC BEARINGS INCORPORATED</t>
        </is>
      </c>
      <c r="D111" s="82" t="inlineStr">
        <is>
          <t>Industrials</t>
        </is>
      </c>
      <c r="E111" s="82" t="n">
        <v>2026</v>
      </c>
      <c r="F111" s="85" t="n">
        <v>5122.7</v>
      </c>
      <c r="G111" s="85" t="n">
        <v>1189.8</v>
      </c>
      <c r="H111" s="85" t="n">
        <v>546.2</v>
      </c>
      <c r="I111" s="85" t="n">
        <v>1761.7</v>
      </c>
      <c r="J111" s="85" t="n">
        <v>1738.2</v>
      </c>
      <c r="K111" s="85" t="n">
        <v>421</v>
      </c>
      <c r="L111" s="85" t="n">
        <v>1870.9</v>
      </c>
      <c r="M111" s="85" t="n">
        <v>287.6</v>
      </c>
      <c r="N111" s="85" t="n">
        <v>415.7</v>
      </c>
      <c r="O111" s="85" t="n">
        <v>830.2</v>
      </c>
      <c r="P111" s="85" t="n">
        <v>875.5</v>
      </c>
      <c r="Q111" s="85" t="n">
        <v>3361</v>
      </c>
      <c r="R111" s="85" t="n">
        <v>316.1</v>
      </c>
      <c r="S111" s="85" t="n">
        <v>128.8</v>
      </c>
      <c r="T111" s="85" t="n">
        <v>340.6</v>
      </c>
      <c r="U111" s="85" t="n">
        <v>419</v>
      </c>
      <c r="V111" s="85" t="n">
        <v>-49.8</v>
      </c>
      <c r="W111" s="85" t="n">
        <v>4685.2</v>
      </c>
      <c r="X111" s="85" t="n">
        <v>1027.3</v>
      </c>
      <c r="Y111" s="85" t="n">
        <v>315.3</v>
      </c>
      <c r="Z111" s="85" t="n">
        <v>1653.8</v>
      </c>
      <c r="AA111" s="85" t="n">
        <v>369.9</v>
      </c>
      <c r="AB111" s="85" t="n">
        <v>1636.3</v>
      </c>
      <c r="AC111" s="85" t="n">
        <v>246.2</v>
      </c>
      <c r="AD111" s="85" t="n">
        <v>293.6</v>
      </c>
      <c r="AE111" s="85" t="n">
        <v>726.1</v>
      </c>
      <c r="AF111" s="85" t="n">
        <v>920.1</v>
      </c>
      <c r="AG111" s="85" t="n">
        <v>3031.4</v>
      </c>
      <c r="AH111" s="85" t="n">
        <v>1636.3</v>
      </c>
      <c r="AI111" s="85" t="n">
        <v>4685.2</v>
      </c>
      <c r="AJ111" s="85" t="n">
        <v>369.3</v>
      </c>
      <c r="AK111" s="85" t="n">
        <v>311.9</v>
      </c>
      <c r="AL111" s="85" t="n">
        <v>81.7</v>
      </c>
      <c r="AM111" s="85" t="n">
        <v>65.7</v>
      </c>
      <c r="AN111" s="85" t="n">
        <v>42</v>
      </c>
      <c r="AO111" s="85" t="n">
        <v>29.8</v>
      </c>
      <c r="AP111" s="85" t="n">
        <v>762.8</v>
      </c>
      <c r="AQ111" s="85" t="n">
        <v>654.5</v>
      </c>
      <c r="AR111" s="85" t="n">
        <v>2003.4</v>
      </c>
      <c r="AS111" s="85" t="n">
        <v>374.7</v>
      </c>
      <c r="AT111" s="85" t="n">
        <v>173.8</v>
      </c>
      <c r="AU111" s="85" t="n">
        <v>34.4</v>
      </c>
      <c r="AV111" s="85" t="n">
        <v>57.3</v>
      </c>
      <c r="AW111" s="85" t="n">
        <v>36.8</v>
      </c>
      <c r="AX111" s="85" t="n">
        <v>1049.3</v>
      </c>
      <c r="AY111" s="85" t="n">
        <v>920.1</v>
      </c>
      <c r="AZ111" s="85" t="n">
        <v>992</v>
      </c>
      <c r="BA111" s="85" t="n">
        <v>373.7</v>
      </c>
      <c r="BB111" s="85" t="n">
        <v>32.7</v>
      </c>
      <c r="BC111" s="85" t="n">
        <v>32.5</v>
      </c>
      <c r="BD111" s="85" t="n">
        <v>307.6</v>
      </c>
      <c r="BE111" s="85" t="n">
        <v>359</v>
      </c>
      <c r="BF111" s="85" t="n">
        <v>279.3</v>
      </c>
      <c r="BG111" s="85" t="n">
        <v>120</v>
      </c>
      <c r="BH111" s="85" t="n">
        <v>-349.7</v>
      </c>
      <c r="BI111" s="85" t="n">
        <v>-49.8</v>
      </c>
      <c r="BJ111" s="85" t="n">
        <v>147</v>
      </c>
      <c r="BK111" s="85" t="n">
        <v>138.4</v>
      </c>
      <c r="BL111" s="85" t="n">
        <v>11.1</v>
      </c>
      <c r="BM111" s="85" t="n">
        <v>10.1</v>
      </c>
      <c r="BN111" s="85" t="n">
        <v>9.300000000000001</v>
      </c>
      <c r="BO111" s="85" t="n">
        <v>1040.7</v>
      </c>
      <c r="BP111" s="85" t="n">
        <v>910.2</v>
      </c>
      <c r="BQ111" s="85" t="n">
        <v>0</v>
      </c>
      <c r="BR111" s="85" t="n">
        <v>0</v>
      </c>
      <c r="BS111" s="85" t="n">
        <v>0</v>
      </c>
      <c r="BT111" s="85" t="n">
        <v>0</v>
      </c>
      <c r="BU111" s="85" t="n">
        <v>0</v>
      </c>
      <c r="BV111" s="85" t="n">
        <v>0</v>
      </c>
      <c r="BW111" s="85" t="n">
        <v>0</v>
      </c>
      <c r="BX111" s="85" t="n">
        <v>0</v>
      </c>
      <c r="BY111" s="85" t="n">
        <v>0</v>
      </c>
    </row>
    <row r="112" ht="17" customHeight="1">
      <c r="A112" s="86" t="n">
        <v>110</v>
      </c>
      <c r="B112" s="87" t="inlineStr">
        <is>
          <t>IMVT</t>
        </is>
      </c>
      <c r="C112" s="88" t="inlineStr">
        <is>
          <t>IMMUNOVANT, INC.</t>
        </is>
      </c>
      <c r="D112" s="86" t="inlineStr">
        <is>
          <t>Health Care</t>
        </is>
      </c>
      <c r="E112" s="86" t="n">
        <v>2026</v>
      </c>
      <c r="F112" s="89" t="n">
        <v>957</v>
      </c>
      <c r="G112" s="89" t="n">
        <v>948.8</v>
      </c>
      <c r="H112" s="89" t="n">
        <v>104.4</v>
      </c>
      <c r="I112" s="89" t="n">
        <v>104.4</v>
      </c>
      <c r="J112" s="89" t="n">
        <v>-1745.1</v>
      </c>
      <c r="K112" s="89" t="n">
        <v>-505.4</v>
      </c>
      <c r="L112" s="90" t="inlineStr">
        <is>
          <t>N/A</t>
        </is>
      </c>
      <c r="M112" s="89" t="n">
        <v>-505.6</v>
      </c>
      <c r="N112" s="89" t="n">
        <v>-407.3</v>
      </c>
      <c r="O112" s="90" t="inlineStr">
        <is>
          <t>N/A</t>
        </is>
      </c>
      <c r="P112" s="90" t="inlineStr">
        <is>
          <t>N/A</t>
        </is>
      </c>
      <c r="Q112" s="89" t="n">
        <v>852.6</v>
      </c>
      <c r="R112" s="89" t="n">
        <v>76.2</v>
      </c>
      <c r="S112" s="89" t="n">
        <v>0.4</v>
      </c>
      <c r="T112" s="89" t="n">
        <v>1.1</v>
      </c>
      <c r="U112" s="89" t="n">
        <v>0.4</v>
      </c>
      <c r="V112" s="90" t="inlineStr">
        <is>
          <t>N/A</t>
        </is>
      </c>
      <c r="W112" s="89" t="n">
        <v>776.2</v>
      </c>
      <c r="X112" s="89" t="n">
        <v>767.7</v>
      </c>
      <c r="Y112" s="89" t="n">
        <v>68.8</v>
      </c>
      <c r="Z112" s="89" t="n">
        <v>68.8</v>
      </c>
      <c r="AA112" s="89" t="n">
        <v>-412.9</v>
      </c>
      <c r="AB112" s="90" t="inlineStr">
        <is>
          <t>N/A</t>
        </is>
      </c>
      <c r="AC112" s="89" t="n">
        <v>-413.8</v>
      </c>
      <c r="AD112" s="89" t="n">
        <v>-375.9</v>
      </c>
      <c r="AE112" s="90" t="inlineStr">
        <is>
          <t>N/A</t>
        </is>
      </c>
      <c r="AF112" s="90" t="inlineStr">
        <is>
          <t>N/A</t>
        </is>
      </c>
      <c r="AG112" s="89" t="n">
        <v>707.4</v>
      </c>
      <c r="AH112" s="90" t="inlineStr">
        <is>
          <t>N/A</t>
        </is>
      </c>
      <c r="AI112" s="89" t="n">
        <v>776.2</v>
      </c>
      <c r="AJ112" s="89" t="n">
        <v>-505.4</v>
      </c>
      <c r="AK112" s="89" t="n">
        <v>-412.9</v>
      </c>
      <c r="AL112" s="89" t="n">
        <v>0.2</v>
      </c>
      <c r="AM112" s="89" t="n">
        <v>0.9</v>
      </c>
      <c r="AN112" s="89" t="n">
        <v>0</v>
      </c>
      <c r="AO112" s="89" t="n">
        <v>0.8</v>
      </c>
      <c r="AP112" s="90" t="inlineStr">
        <is>
          <t>N/A</t>
        </is>
      </c>
      <c r="AQ112" s="90" t="inlineStr">
        <is>
          <t>N/A</t>
        </is>
      </c>
      <c r="AR112" s="90" t="inlineStr">
        <is>
          <t>N/A</t>
        </is>
      </c>
      <c r="AS112" s="90" t="inlineStr">
        <is>
          <t>N/A</t>
        </is>
      </c>
      <c r="AT112" s="90" t="inlineStr">
        <is>
          <t>N/A</t>
        </is>
      </c>
      <c r="AU112" s="89" t="n">
        <v>101.8</v>
      </c>
      <c r="AV112" s="89" t="n">
        <v>902.1</v>
      </c>
      <c r="AW112" s="89" t="n">
        <v>714</v>
      </c>
      <c r="AX112" s="90" t="inlineStr">
        <is>
          <t>N/A</t>
        </is>
      </c>
      <c r="AY112" s="90" t="inlineStr">
        <is>
          <t>N/A</t>
        </is>
      </c>
      <c r="AZ112" s="90" t="inlineStr">
        <is>
          <t>N/A</t>
        </is>
      </c>
      <c r="BA112" s="89" t="n">
        <v>-407.3</v>
      </c>
      <c r="BB112" s="89" t="n">
        <v>203.9</v>
      </c>
      <c r="BC112" s="89" t="n">
        <v>170.1</v>
      </c>
      <c r="BD112" s="89" t="n">
        <v>2.1</v>
      </c>
      <c r="BE112" s="89" t="n">
        <v>0.8</v>
      </c>
      <c r="BF112" s="89" t="n">
        <v>77.2</v>
      </c>
      <c r="BG112" s="89" t="n">
        <v>0.4</v>
      </c>
      <c r="BH112" s="89" t="n">
        <v>-0</v>
      </c>
      <c r="BI112" s="89" t="n">
        <v>-0.8</v>
      </c>
      <c r="BJ112" s="89" t="n">
        <v>7.5</v>
      </c>
      <c r="BK112" s="89" t="n">
        <v>17.7</v>
      </c>
      <c r="BL112" s="90" t="inlineStr">
        <is>
          <t>N/A</t>
        </is>
      </c>
      <c r="BM112" s="90" t="inlineStr">
        <is>
          <t>N/A</t>
        </is>
      </c>
      <c r="BN112" s="90" t="inlineStr">
        <is>
          <t>N/A</t>
        </is>
      </c>
      <c r="BO112" s="89" t="n">
        <v>532.9</v>
      </c>
      <c r="BP112" s="89" t="n">
        <v>438.2</v>
      </c>
      <c r="BQ112" s="90" t="inlineStr">
        <is>
          <t>N/A</t>
        </is>
      </c>
      <c r="BR112" s="90" t="inlineStr">
        <is>
          <t>N/A</t>
        </is>
      </c>
      <c r="BS112" s="90" t="inlineStr">
        <is>
          <t>N/A</t>
        </is>
      </c>
      <c r="BT112" s="90" t="inlineStr">
        <is>
          <t>N/A</t>
        </is>
      </c>
      <c r="BU112" s="89" t="n">
        <v>0</v>
      </c>
      <c r="BV112" s="89" t="n">
        <v>0</v>
      </c>
      <c r="BW112" s="89" t="n">
        <v>0</v>
      </c>
      <c r="BX112" s="90" t="inlineStr">
        <is>
          <t>N/A</t>
        </is>
      </c>
      <c r="BY112" s="89" t="n">
        <v>-0</v>
      </c>
    </row>
    <row r="113" ht="17" customHeight="1">
      <c r="A113" s="82" t="n">
        <v>111</v>
      </c>
      <c r="B113" s="83" t="inlineStr">
        <is>
          <t>MOS</t>
        </is>
      </c>
      <c r="C113" s="84" t="inlineStr">
        <is>
          <t>MOSAIC CO</t>
        </is>
      </c>
      <c r="D113" s="82" t="inlineStr">
        <is>
          <t>Materials</t>
        </is>
      </c>
      <c r="E113" s="82" t="n">
        <v>2026</v>
      </c>
      <c r="F113" s="85" t="n">
        <v>24480.1</v>
      </c>
      <c r="G113" s="85" t="n">
        <v>5237.5</v>
      </c>
      <c r="H113" s="85" t="n">
        <v>3982.8</v>
      </c>
      <c r="I113" s="85" t="n">
        <v>24480.1</v>
      </c>
      <c r="J113" s="85" t="n">
        <v>14184.4</v>
      </c>
      <c r="K113" s="85" t="n">
        <v>821.5</v>
      </c>
      <c r="L113" s="85" t="n">
        <v>12052.4</v>
      </c>
      <c r="M113" s="85" t="n">
        <v>540.7</v>
      </c>
      <c r="N113" s="85" t="n">
        <v>824.8</v>
      </c>
      <c r="O113" s="85" t="n">
        <v>1901.9</v>
      </c>
      <c r="P113" s="85" t="n">
        <v>3834.1</v>
      </c>
      <c r="Q113" s="85" t="n">
        <v>12084.9</v>
      </c>
      <c r="R113" s="85" t="n">
        <v>533.9</v>
      </c>
      <c r="S113" s="85" t="n">
        <v>1049.9</v>
      </c>
      <c r="T113" s="85" t="n">
        <v>1078.6</v>
      </c>
      <c r="U113" s="85" t="n">
        <v>13982.6</v>
      </c>
      <c r="V113" s="85" t="n">
        <v>241.5</v>
      </c>
      <c r="W113" s="85" t="n">
        <v>22924</v>
      </c>
      <c r="X113" s="85" t="n">
        <v>4498.3</v>
      </c>
      <c r="Y113" s="85" t="n">
        <v>4171.3</v>
      </c>
      <c r="Z113" s="85" t="n">
        <v>22924</v>
      </c>
      <c r="AA113" s="85" t="n">
        <v>621.5</v>
      </c>
      <c r="AB113" s="85" t="n">
        <v>11122.8</v>
      </c>
      <c r="AC113" s="85" t="n">
        <v>174.9</v>
      </c>
      <c r="AD113" s="85" t="n">
        <v>1299.2</v>
      </c>
      <c r="AE113" s="85" t="n">
        <v>1511.9</v>
      </c>
      <c r="AF113" s="85" t="n">
        <v>3819</v>
      </c>
      <c r="AG113" s="85" t="n">
        <v>11482.4</v>
      </c>
      <c r="AH113" s="85" t="n">
        <v>11122.8</v>
      </c>
      <c r="AI113" s="85" t="n">
        <v>22924</v>
      </c>
      <c r="AJ113" s="85" t="n">
        <v>1212.9</v>
      </c>
      <c r="AK113" s="85" t="n">
        <v>315.4</v>
      </c>
      <c r="AL113" s="85" t="n">
        <v>639.8</v>
      </c>
      <c r="AM113" s="85" t="n">
        <v>186.7</v>
      </c>
      <c r="AN113" s="85" t="n">
        <v>1359.4</v>
      </c>
      <c r="AO113" s="85" t="n">
        <v>1251.8</v>
      </c>
      <c r="AP113" s="85" t="n">
        <v>3363</v>
      </c>
      <c r="AQ113" s="85" t="n">
        <v>2548.4</v>
      </c>
      <c r="AR113" s="85" t="n">
        <v>1005.1</v>
      </c>
      <c r="AS113" s="91" t="inlineStr">
        <is>
          <t>N/A</t>
        </is>
      </c>
      <c r="AT113" s="85" t="n">
        <v>759.9</v>
      </c>
      <c r="AU113" s="91" t="inlineStr">
        <is>
          <t>N/A</t>
        </is>
      </c>
      <c r="AV113" s="85" t="n">
        <v>276.6</v>
      </c>
      <c r="AW113" s="85" t="n">
        <v>272.8</v>
      </c>
      <c r="AX113" s="85" t="n">
        <v>4594</v>
      </c>
      <c r="AY113" s="85" t="n">
        <v>4666.1</v>
      </c>
      <c r="AZ113" s="85" t="n">
        <v>4317.4</v>
      </c>
      <c r="BA113" s="85" t="n">
        <v>-534.6</v>
      </c>
      <c r="BB113" s="85" t="n">
        <v>317.4</v>
      </c>
      <c r="BC113" s="85" t="n">
        <v>316.9</v>
      </c>
      <c r="BD113" s="85" t="n">
        <v>1113.3</v>
      </c>
      <c r="BE113" s="85" t="n">
        <v>13352.6</v>
      </c>
      <c r="BF113" s="85" t="n">
        <v>496.9</v>
      </c>
      <c r="BG113" s="85" t="n">
        <v>1025.5</v>
      </c>
      <c r="BH113" s="85" t="n">
        <v>-1309.5</v>
      </c>
      <c r="BI113" s="85" t="n">
        <v>-1261</v>
      </c>
      <c r="BJ113" s="85" t="n">
        <v>1171.9</v>
      </c>
      <c r="BK113" s="85" t="n">
        <v>1156.5</v>
      </c>
      <c r="BL113" s="85" t="n">
        <v>297.3</v>
      </c>
      <c r="BM113" s="85" t="n">
        <v>270.7</v>
      </c>
      <c r="BN113" s="85" t="n">
        <v>5.7</v>
      </c>
      <c r="BO113" s="85" t="n">
        <v>10150.5</v>
      </c>
      <c r="BP113" s="85" t="n">
        <v>9610.9</v>
      </c>
      <c r="BQ113" s="85" t="n">
        <v>0</v>
      </c>
      <c r="BR113" s="85" t="n">
        <v>0</v>
      </c>
      <c r="BS113" s="85" t="n">
        <v>0</v>
      </c>
      <c r="BT113" s="85" t="n">
        <v>0</v>
      </c>
      <c r="BU113" s="85" t="n">
        <v>0</v>
      </c>
      <c r="BV113" s="85" t="n">
        <v>0</v>
      </c>
      <c r="BW113" s="85" t="n">
        <v>0</v>
      </c>
      <c r="BX113" s="85" t="n">
        <v>0</v>
      </c>
      <c r="BY113" s="85" t="n">
        <v>0</v>
      </c>
    </row>
    <row r="114" ht="17" customHeight="1">
      <c r="A114" s="86" t="n">
        <v>112</v>
      </c>
      <c r="B114" s="87" t="inlineStr">
        <is>
          <t>AWK</t>
        </is>
      </c>
      <c r="C114" s="88" t="inlineStr">
        <is>
          <t>AMERICAN WATER WORKS COMPANY, INC.</t>
        </is>
      </c>
      <c r="D114" s="86" t="inlineStr">
        <is>
          <t>Utilities</t>
        </is>
      </c>
      <c r="E114" s="86" t="n">
        <v>2026</v>
      </c>
      <c r="F114" s="89" t="n">
        <v>35442</v>
      </c>
      <c r="G114" s="89" t="n">
        <v>2191</v>
      </c>
      <c r="H114" s="89" t="n">
        <v>4747</v>
      </c>
      <c r="I114" s="89" t="n">
        <v>35442</v>
      </c>
      <c r="J114" s="89" t="n">
        <v>2575</v>
      </c>
      <c r="K114" s="89" t="n">
        <v>1879</v>
      </c>
      <c r="L114" s="89" t="n">
        <v>3011.3</v>
      </c>
      <c r="M114" s="89" t="n">
        <v>1111</v>
      </c>
      <c r="N114" s="89" t="n">
        <v>2059</v>
      </c>
      <c r="O114" s="89" t="n">
        <v>-249.7</v>
      </c>
      <c r="P114" s="89" t="n">
        <v>9656</v>
      </c>
      <c r="Q114" s="89" t="n">
        <v>10837</v>
      </c>
      <c r="R114" s="90" t="inlineStr">
        <is>
          <t>N/A</t>
        </is>
      </c>
      <c r="S114" s="89" t="n">
        <v>894</v>
      </c>
      <c r="T114" s="89" t="n">
        <v>395</v>
      </c>
      <c r="U114" s="89" t="n">
        <v>19710</v>
      </c>
      <c r="V114" s="89" t="n">
        <v>297.8</v>
      </c>
      <c r="W114" s="89" t="n">
        <v>32830</v>
      </c>
      <c r="X114" s="89" t="n">
        <v>1215</v>
      </c>
      <c r="Y114" s="89" t="n">
        <v>3150</v>
      </c>
      <c r="Z114" s="89" t="n">
        <v>32830</v>
      </c>
      <c r="AA114" s="89" t="n">
        <v>1718</v>
      </c>
      <c r="AB114" s="89" t="n">
        <v>731.4</v>
      </c>
      <c r="AC114" s="89" t="n">
        <v>1051</v>
      </c>
      <c r="AD114" s="89" t="n">
        <v>2045</v>
      </c>
      <c r="AE114" s="89" t="n">
        <v>-2234.6</v>
      </c>
      <c r="AF114" s="89" t="n">
        <v>8664</v>
      </c>
      <c r="AG114" s="89" t="n">
        <v>10332</v>
      </c>
      <c r="AH114" s="89" t="n">
        <v>846.2</v>
      </c>
      <c r="AI114" s="89" t="n">
        <v>32830</v>
      </c>
      <c r="AJ114" s="89" t="n">
        <v>1422</v>
      </c>
      <c r="AK114" s="89" t="n">
        <v>1359</v>
      </c>
      <c r="AL114" s="89" t="n">
        <v>311</v>
      </c>
      <c r="AM114" s="89" t="n">
        <v>308</v>
      </c>
      <c r="AN114" s="89" t="n">
        <v>3126</v>
      </c>
      <c r="AO114" s="89" t="n">
        <v>2856</v>
      </c>
      <c r="AP114" s="90" t="inlineStr">
        <is>
          <t>N/A</t>
        </is>
      </c>
      <c r="AQ114" s="90" t="inlineStr">
        <is>
          <t>N/A</t>
        </is>
      </c>
      <c r="AR114" s="89" t="n">
        <v>1156</v>
      </c>
      <c r="AS114" s="89" t="n">
        <v>67</v>
      </c>
      <c r="AT114" s="89" t="n">
        <v>1588</v>
      </c>
      <c r="AU114" s="90" t="inlineStr">
        <is>
          <t>N/A</t>
        </is>
      </c>
      <c r="AV114" s="89" t="n">
        <v>98</v>
      </c>
      <c r="AW114" s="89" t="n">
        <v>96</v>
      </c>
      <c r="AX114" s="89" t="n">
        <v>11244</v>
      </c>
      <c r="AY114" s="89" t="n">
        <v>9543</v>
      </c>
      <c r="AZ114" s="89" t="n">
        <v>11146</v>
      </c>
      <c r="BA114" s="89" t="n">
        <v>-1067</v>
      </c>
      <c r="BB114" s="89" t="n">
        <v>179.5</v>
      </c>
      <c r="BC114" s="89" t="n">
        <v>178.4</v>
      </c>
      <c r="BD114" s="89" t="n">
        <v>416</v>
      </c>
      <c r="BE114" s="89" t="n">
        <v>18232</v>
      </c>
      <c r="BF114" s="90" t="inlineStr">
        <is>
          <t>N/A</t>
        </is>
      </c>
      <c r="BG114" s="89" t="n">
        <v>788</v>
      </c>
      <c r="BH114" s="89" t="n">
        <v>-3309</v>
      </c>
      <c r="BI114" s="89" t="n">
        <v>-3379</v>
      </c>
      <c r="BJ114" s="89" t="n">
        <v>378</v>
      </c>
      <c r="BK114" s="89" t="n">
        <v>346</v>
      </c>
      <c r="BL114" s="89" t="n">
        <v>19</v>
      </c>
      <c r="BM114" s="89" t="n">
        <v>40</v>
      </c>
      <c r="BN114" s="89" t="n">
        <v>0.9</v>
      </c>
      <c r="BO114" s="89" t="n">
        <v>3261</v>
      </c>
      <c r="BP114" s="89" t="n">
        <v>2966</v>
      </c>
      <c r="BQ114" s="89" t="n">
        <v>0</v>
      </c>
      <c r="BR114" s="89" t="n">
        <v>0</v>
      </c>
      <c r="BS114" s="90" t="inlineStr">
        <is>
          <t>N/A</t>
        </is>
      </c>
      <c r="BT114" s="90" t="inlineStr">
        <is>
          <t>N/A</t>
        </is>
      </c>
      <c r="BU114" s="89" t="n">
        <v>0</v>
      </c>
      <c r="BV114" s="89" t="n">
        <v>0</v>
      </c>
      <c r="BW114" s="89" t="n">
        <v>0</v>
      </c>
      <c r="BX114" s="89" t="n">
        <v>0</v>
      </c>
      <c r="BY114" s="89" t="n">
        <v>0</v>
      </c>
    </row>
    <row r="115" ht="17" customHeight="1">
      <c r="A115" s="82" t="n">
        <v>113</v>
      </c>
      <c r="B115" s="83" t="inlineStr">
        <is>
          <t>ESNT</t>
        </is>
      </c>
      <c r="C115" s="84" t="inlineStr">
        <is>
          <t>ESSENT GROUP LTD.</t>
        </is>
      </c>
      <c r="D115" s="82" t="inlineStr">
        <is>
          <t>Financials</t>
        </is>
      </c>
      <c r="E115" s="82" t="n">
        <v>2026</v>
      </c>
      <c r="F115" s="85" t="n">
        <v>7441</v>
      </c>
      <c r="G115" s="91" t="inlineStr">
        <is>
          <t>N/A</t>
        </is>
      </c>
      <c r="H115" s="91" t="inlineStr">
        <is>
          <t>N/A</t>
        </is>
      </c>
      <c r="I115" s="85" t="n">
        <v>1684.3</v>
      </c>
      <c r="J115" s="85" t="n">
        <v>5257.4</v>
      </c>
      <c r="K115" s="85" t="n">
        <v>821.9</v>
      </c>
      <c r="L115" s="85" t="n">
        <v>1260.9</v>
      </c>
      <c r="M115" s="85" t="n">
        <v>690</v>
      </c>
      <c r="N115" s="85" t="n">
        <v>856.1</v>
      </c>
      <c r="O115" s="85" t="n">
        <v>821.9</v>
      </c>
      <c r="P115" s="91" t="inlineStr">
        <is>
          <t>N/A</t>
        </is>
      </c>
      <c r="Q115" s="85" t="n">
        <v>5756.7</v>
      </c>
      <c r="R115" s="91" t="inlineStr">
        <is>
          <t>N/A</t>
        </is>
      </c>
      <c r="S115" s="85" t="n">
        <v>5.2</v>
      </c>
      <c r="T115" s="85" t="n">
        <v>51.3</v>
      </c>
      <c r="U115" s="85" t="n">
        <v>41.3</v>
      </c>
      <c r="V115" s="85" t="n">
        <v>30.1</v>
      </c>
      <c r="W115" s="85" t="n">
        <v>7111.6</v>
      </c>
      <c r="X115" s="91" t="inlineStr">
        <is>
          <t>N/A</t>
        </is>
      </c>
      <c r="Y115" s="91" t="inlineStr">
        <is>
          <t>N/A</t>
        </is>
      </c>
      <c r="Z115" s="85" t="n">
        <v>1508</v>
      </c>
      <c r="AA115" s="85" t="n">
        <v>855.5</v>
      </c>
      <c r="AB115" s="85" t="n">
        <v>1242.9</v>
      </c>
      <c r="AC115" s="85" t="n">
        <v>729.4</v>
      </c>
      <c r="AD115" s="85" t="n">
        <v>861.5</v>
      </c>
      <c r="AE115" s="85" t="n">
        <v>855.5</v>
      </c>
      <c r="AF115" s="91" t="inlineStr">
        <is>
          <t>N/A</t>
        </is>
      </c>
      <c r="AG115" s="85" t="n">
        <v>5603.7</v>
      </c>
      <c r="AH115" s="85" t="n">
        <v>1242.9</v>
      </c>
      <c r="AI115" s="85" t="n">
        <v>7111.6</v>
      </c>
      <c r="AJ115" s="85" t="n">
        <v>821.9</v>
      </c>
      <c r="AK115" s="85" t="n">
        <v>855.5</v>
      </c>
      <c r="AL115" s="85" t="n">
        <v>131.9</v>
      </c>
      <c r="AM115" s="85" t="n">
        <v>126.1</v>
      </c>
      <c r="AN115" s="85" t="n">
        <v>7.4</v>
      </c>
      <c r="AO115" s="85" t="n">
        <v>6.8</v>
      </c>
      <c r="AP115" s="91" t="inlineStr">
        <is>
          <t>N/A</t>
        </is>
      </c>
      <c r="AQ115" s="91" t="inlineStr">
        <is>
          <t>N/A</t>
        </is>
      </c>
      <c r="AR115" s="85" t="n">
        <v>48.8</v>
      </c>
      <c r="AS115" s="91" t="inlineStr">
        <is>
          <t>N/A</t>
        </is>
      </c>
      <c r="AT115" s="91" t="inlineStr">
        <is>
          <t>N/A</t>
        </is>
      </c>
      <c r="AU115" s="91" t="inlineStr">
        <is>
          <t>N/A</t>
        </is>
      </c>
      <c r="AV115" s="85" t="n">
        <v>64.90000000000001</v>
      </c>
      <c r="AW115" s="85" t="n">
        <v>43.5</v>
      </c>
      <c r="AX115" s="91" t="inlineStr">
        <is>
          <t>N/A</t>
        </is>
      </c>
      <c r="AY115" s="91" t="inlineStr">
        <is>
          <t>N/A</t>
        </is>
      </c>
      <c r="AZ115" s="91" t="inlineStr">
        <is>
          <t>N/A</t>
        </is>
      </c>
      <c r="BA115" s="85" t="n">
        <v>848.7</v>
      </c>
      <c r="BB115" s="85" t="n">
        <v>95.5</v>
      </c>
      <c r="BC115" s="85" t="n">
        <v>105</v>
      </c>
      <c r="BD115" s="85" t="n">
        <v>55.6</v>
      </c>
      <c r="BE115" s="85" t="n">
        <v>19.6</v>
      </c>
      <c r="BF115" s="91" t="inlineStr">
        <is>
          <t>N/A</t>
        </is>
      </c>
      <c r="BG115" s="85" t="n">
        <v>5.8</v>
      </c>
      <c r="BH115" s="85" t="n">
        <v>-154.7</v>
      </c>
      <c r="BI115" s="85" t="n">
        <v>-706.9</v>
      </c>
      <c r="BJ115" s="91" t="inlineStr">
        <is>
          <t>N/A</t>
        </is>
      </c>
      <c r="BK115" s="91" t="inlineStr">
        <is>
          <t>N/A</t>
        </is>
      </c>
      <c r="BL115" s="91" t="inlineStr">
        <is>
          <t>N/A</t>
        </is>
      </c>
      <c r="BM115" s="91" t="inlineStr">
        <is>
          <t>N/A</t>
        </is>
      </c>
      <c r="BN115" s="91" t="inlineStr">
        <is>
          <t>N/A</t>
        </is>
      </c>
      <c r="BO115" s="85" t="n">
        <v>439.1</v>
      </c>
      <c r="BP115" s="85" t="n">
        <v>387.4</v>
      </c>
      <c r="BQ115" s="85" t="n">
        <v>0</v>
      </c>
      <c r="BR115" s="85" t="n">
        <v>0</v>
      </c>
      <c r="BS115" s="91" t="inlineStr">
        <is>
          <t>N/A</t>
        </is>
      </c>
      <c r="BT115" s="91" t="inlineStr">
        <is>
          <t>N/A</t>
        </is>
      </c>
      <c r="BU115" s="91" t="inlineStr">
        <is>
          <t>N/A</t>
        </is>
      </c>
      <c r="BV115" s="91" t="inlineStr">
        <is>
          <t>N/A</t>
        </is>
      </c>
      <c r="BW115" s="85" t="n">
        <v>0</v>
      </c>
      <c r="BX115" s="85" t="n">
        <v>0</v>
      </c>
      <c r="BY115" s="85" t="n">
        <v>0</v>
      </c>
    </row>
    <row r="116" ht="17" customHeight="1">
      <c r="A116" s="86" t="n">
        <v>114</v>
      </c>
      <c r="B116" s="87" t="inlineStr">
        <is>
          <t>EVRG</t>
        </is>
      </c>
      <c r="C116" s="88" t="inlineStr">
        <is>
          <t>EVERGY, INC.</t>
        </is>
      </c>
      <c r="D116" s="86" t="inlineStr">
        <is>
          <t>Utilities</t>
        </is>
      </c>
      <c r="E116" s="86" t="n">
        <v>2026</v>
      </c>
      <c r="F116" s="89" t="n">
        <v>33948.5</v>
      </c>
      <c r="G116" s="89" t="n">
        <v>1815.8</v>
      </c>
      <c r="H116" s="89" t="n">
        <v>3695.9</v>
      </c>
      <c r="I116" s="89" t="n">
        <v>33948.5</v>
      </c>
      <c r="J116" s="89" t="n">
        <v>2966.2</v>
      </c>
      <c r="K116" s="89" t="n">
        <v>1532.9</v>
      </c>
      <c r="L116" s="89" t="n">
        <v>5961.6</v>
      </c>
      <c r="M116" s="89" t="n">
        <v>855.6</v>
      </c>
      <c r="N116" s="89" t="n">
        <v>2045.2</v>
      </c>
      <c r="O116" s="90" t="inlineStr">
        <is>
          <t>N/A</t>
        </is>
      </c>
      <c r="P116" s="89" t="n">
        <v>13039.2</v>
      </c>
      <c r="Q116" s="89" t="n">
        <v>10221.3</v>
      </c>
      <c r="R116" s="90" t="inlineStr">
        <is>
          <t>N/A</t>
        </is>
      </c>
      <c r="S116" s="89" t="n">
        <v>1162.9</v>
      </c>
      <c r="T116" s="89" t="n">
        <v>214.2</v>
      </c>
      <c r="U116" s="89" t="n">
        <v>26301.5</v>
      </c>
      <c r="V116" s="89" t="n">
        <v>616.3</v>
      </c>
      <c r="W116" s="89" t="n">
        <v>32282.1</v>
      </c>
      <c r="X116" s="89" t="n">
        <v>1839.3</v>
      </c>
      <c r="Y116" s="89" t="n">
        <v>3662.4</v>
      </c>
      <c r="Z116" s="89" t="n">
        <v>32282.1</v>
      </c>
      <c r="AA116" s="89" t="n">
        <v>1468</v>
      </c>
      <c r="AB116" s="89" t="n">
        <v>5847.3</v>
      </c>
      <c r="AC116" s="89" t="n">
        <v>873.5</v>
      </c>
      <c r="AD116" s="89" t="n">
        <v>1983.7</v>
      </c>
      <c r="AE116" s="90" t="inlineStr">
        <is>
          <t>N/A</t>
        </is>
      </c>
      <c r="AF116" s="89" t="n">
        <v>11809.2</v>
      </c>
      <c r="AG116" s="89" t="n">
        <v>9955</v>
      </c>
      <c r="AH116" s="89" t="n">
        <v>5847.3</v>
      </c>
      <c r="AI116" s="89" t="n">
        <v>32282.1</v>
      </c>
      <c r="AJ116" s="90" t="inlineStr">
        <is>
          <t>N/A</t>
        </is>
      </c>
      <c r="AK116" s="90" t="inlineStr">
        <is>
          <t>N/A</t>
        </is>
      </c>
      <c r="AL116" s="89" t="n">
        <v>29.9</v>
      </c>
      <c r="AM116" s="89" t="n">
        <v>30</v>
      </c>
      <c r="AN116" s="89" t="n">
        <v>2796.9</v>
      </c>
      <c r="AO116" s="89" t="n">
        <v>2336.6</v>
      </c>
      <c r="AP116" s="90" t="inlineStr">
        <is>
          <t>N/A</t>
        </is>
      </c>
      <c r="AQ116" s="90" t="inlineStr">
        <is>
          <t>N/A</t>
        </is>
      </c>
      <c r="AR116" s="89" t="n">
        <v>2336.6</v>
      </c>
      <c r="AS116" s="90" t="inlineStr">
        <is>
          <t>N/A</t>
        </is>
      </c>
      <c r="AT116" s="89" t="n">
        <v>367</v>
      </c>
      <c r="AU116" s="90" t="inlineStr">
        <is>
          <t>N/A</t>
        </is>
      </c>
      <c r="AV116" s="89" t="n">
        <v>19.8</v>
      </c>
      <c r="AW116" s="89" t="n">
        <v>22</v>
      </c>
      <c r="AX116" s="89" t="n">
        <v>13406.2</v>
      </c>
      <c r="AY116" s="89" t="n">
        <v>11809.2</v>
      </c>
      <c r="AZ116" s="89" t="n">
        <v>13386.4</v>
      </c>
      <c r="BA116" s="89" t="n">
        <v>-751.7</v>
      </c>
      <c r="BB116" s="89" t="n">
        <v>215.8</v>
      </c>
      <c r="BC116" s="89" t="n">
        <v>215.8</v>
      </c>
      <c r="BD116" s="89" t="n">
        <v>245.4</v>
      </c>
      <c r="BE116" s="89" t="n">
        <v>24930.9</v>
      </c>
      <c r="BF116" s="90" t="inlineStr">
        <is>
          <t>N/A</t>
        </is>
      </c>
      <c r="BG116" s="89" t="n">
        <v>1114</v>
      </c>
      <c r="BH116" s="89" t="n">
        <v>-2570.1</v>
      </c>
      <c r="BI116" s="89" t="n">
        <v>-2261.8</v>
      </c>
      <c r="BJ116" s="89" t="n">
        <v>654.3</v>
      </c>
      <c r="BK116" s="89" t="n">
        <v>613.8</v>
      </c>
      <c r="BL116" s="90" t="inlineStr">
        <is>
          <t>N/A</t>
        </is>
      </c>
      <c r="BM116" s="90" t="inlineStr">
        <is>
          <t>N/A</t>
        </is>
      </c>
      <c r="BN116" s="89" t="n">
        <v>169.4</v>
      </c>
      <c r="BO116" s="90" t="inlineStr">
        <is>
          <t>N/A</t>
        </is>
      </c>
      <c r="BP116" s="90" t="inlineStr">
        <is>
          <t>N/A</t>
        </is>
      </c>
      <c r="BQ116" s="89" t="n">
        <v>0</v>
      </c>
      <c r="BR116" s="89" t="n">
        <v>0</v>
      </c>
      <c r="BS116" s="90" t="inlineStr">
        <is>
          <t>N/A</t>
        </is>
      </c>
      <c r="BT116" s="90" t="inlineStr">
        <is>
          <t>N/A</t>
        </is>
      </c>
      <c r="BU116" s="90" t="inlineStr">
        <is>
          <t>N/A</t>
        </is>
      </c>
      <c r="BV116" s="90" t="inlineStr">
        <is>
          <t>N/A</t>
        </is>
      </c>
      <c r="BW116" s="89" t="n">
        <v>0</v>
      </c>
      <c r="BX116" s="89" t="n">
        <v>0</v>
      </c>
      <c r="BY116" s="90" t="inlineStr">
        <is>
          <t>N/A</t>
        </is>
      </c>
    </row>
    <row r="117" ht="17" customHeight="1">
      <c r="A117" s="82" t="n">
        <v>115</v>
      </c>
      <c r="B117" s="83" t="inlineStr">
        <is>
          <t>SRE</t>
        </is>
      </c>
      <c r="C117" s="84" t="inlineStr">
        <is>
          <t>SEMPRA</t>
        </is>
      </c>
      <c r="D117" s="82" t="inlineStr">
        <is>
          <t>Utilities</t>
        </is>
      </c>
      <c r="E117" s="82" t="n">
        <v>2026</v>
      </c>
      <c r="F117" s="85" t="n">
        <v>110878</v>
      </c>
      <c r="G117" s="85" t="n">
        <v>34837</v>
      </c>
      <c r="H117" s="85" t="n">
        <v>21894</v>
      </c>
      <c r="I117" s="85" t="n">
        <v>110878</v>
      </c>
      <c r="J117" s="85" t="n">
        <v>17092</v>
      </c>
      <c r="K117" s="85" t="n">
        <v>1789</v>
      </c>
      <c r="L117" s="85" t="n">
        <v>13702</v>
      </c>
      <c r="M117" s="85" t="n">
        <v>1837</v>
      </c>
      <c r="N117" s="85" t="n">
        <v>4565</v>
      </c>
      <c r="O117" s="91" t="inlineStr">
        <is>
          <t>N/A</t>
        </is>
      </c>
      <c r="P117" s="91" t="inlineStr">
        <is>
          <t>N/A</t>
        </is>
      </c>
      <c r="Q117" s="85" t="n">
        <v>31594</v>
      </c>
      <c r="R117" s="91" t="inlineStr">
        <is>
          <t>N/A</t>
        </is>
      </c>
      <c r="S117" s="85" t="n">
        <v>2563</v>
      </c>
      <c r="T117" s="85" t="n">
        <v>1767</v>
      </c>
      <c r="U117" s="85" t="n">
        <v>47782</v>
      </c>
      <c r="V117" s="85" t="n">
        <v>1309</v>
      </c>
      <c r="W117" s="85" t="n">
        <v>96155</v>
      </c>
      <c r="X117" s="85" t="n">
        <v>5285</v>
      </c>
      <c r="Y117" s="85" t="n">
        <v>9676</v>
      </c>
      <c r="Z117" s="85" t="n">
        <v>96155</v>
      </c>
      <c r="AA117" s="85" t="n">
        <v>2713</v>
      </c>
      <c r="AB117" s="85" t="n">
        <v>13185</v>
      </c>
      <c r="AC117" s="85" t="n">
        <v>2862</v>
      </c>
      <c r="AD117" s="85" t="n">
        <v>4907</v>
      </c>
      <c r="AE117" s="91" t="inlineStr">
        <is>
          <t>N/A</t>
        </is>
      </c>
      <c r="AF117" s="91" t="inlineStr">
        <is>
          <t>N/A</t>
        </is>
      </c>
      <c r="AG117" s="85" t="n">
        <v>31222</v>
      </c>
      <c r="AH117" s="85" t="n">
        <v>13185</v>
      </c>
      <c r="AI117" s="85" t="n">
        <v>96155</v>
      </c>
      <c r="AJ117" s="85" t="n">
        <v>1789</v>
      </c>
      <c r="AK117" s="85" t="n">
        <v>2713</v>
      </c>
      <c r="AL117" s="85" t="n">
        <v>701</v>
      </c>
      <c r="AM117" s="85" t="n">
        <v>219</v>
      </c>
      <c r="AN117" s="85" t="n">
        <v>10612</v>
      </c>
      <c r="AO117" s="85" t="n">
        <v>8215</v>
      </c>
      <c r="AP117" s="85" t="n">
        <v>561</v>
      </c>
      <c r="AQ117" s="85" t="n">
        <v>559</v>
      </c>
      <c r="AR117" s="91" t="inlineStr">
        <is>
          <t>N/A</t>
        </is>
      </c>
      <c r="AS117" s="85" t="n">
        <v>596</v>
      </c>
      <c r="AT117" s="85" t="n">
        <v>4166</v>
      </c>
      <c r="AU117" s="91" t="inlineStr">
        <is>
          <t>N/A</t>
        </is>
      </c>
      <c r="AV117" s="85" t="n">
        <v>29</v>
      </c>
      <c r="AW117" s="85" t="n">
        <v>1565</v>
      </c>
      <c r="AX117" s="85" t="n">
        <v>4166</v>
      </c>
      <c r="AY117" s="91" t="inlineStr">
        <is>
          <t>N/A</t>
        </is>
      </c>
      <c r="AZ117" s="85" t="n">
        <v>4137</v>
      </c>
      <c r="BA117" s="85" t="n">
        <v>-6047</v>
      </c>
      <c r="BB117" s="85" t="n">
        <v>652.7</v>
      </c>
      <c r="BC117" s="85" t="n">
        <v>650.6</v>
      </c>
      <c r="BD117" s="85" t="n">
        <v>1983</v>
      </c>
      <c r="BE117" s="85" t="n">
        <v>43894</v>
      </c>
      <c r="BF117" s="91" t="inlineStr">
        <is>
          <t>N/A</t>
        </is>
      </c>
      <c r="BG117" s="85" t="n">
        <v>2437</v>
      </c>
      <c r="BH117" s="85" t="n">
        <v>-12537</v>
      </c>
      <c r="BI117" s="85" t="n">
        <v>-9118</v>
      </c>
      <c r="BJ117" s="91" t="inlineStr">
        <is>
          <t>N/A</t>
        </is>
      </c>
      <c r="BK117" s="91" t="inlineStr">
        <is>
          <t>N/A</t>
        </is>
      </c>
      <c r="BL117" s="85" t="n">
        <v>68</v>
      </c>
      <c r="BM117" s="85" t="n">
        <v>196</v>
      </c>
      <c r="BN117" s="85" t="n">
        <v>5</v>
      </c>
      <c r="BO117" s="91" t="inlineStr">
        <is>
          <t>N/A</t>
        </is>
      </c>
      <c r="BP117" s="91" t="inlineStr">
        <is>
          <t>N/A</t>
        </is>
      </c>
      <c r="BQ117" s="85" t="n">
        <v>0</v>
      </c>
      <c r="BR117" s="85" t="n">
        <v>0</v>
      </c>
      <c r="BS117" s="91" t="inlineStr">
        <is>
          <t>N/A</t>
        </is>
      </c>
      <c r="BT117" s="91" t="inlineStr">
        <is>
          <t>N/A</t>
        </is>
      </c>
      <c r="BU117" s="91" t="inlineStr">
        <is>
          <t>N/A</t>
        </is>
      </c>
      <c r="BV117" s="91" t="inlineStr">
        <is>
          <t>N/A</t>
        </is>
      </c>
      <c r="BW117" s="85" t="n">
        <v>0</v>
      </c>
      <c r="BX117" s="85" t="n">
        <v>0</v>
      </c>
      <c r="BY117" s="85" t="n">
        <v>0</v>
      </c>
    </row>
    <row r="118" ht="17" customHeight="1">
      <c r="A118" s="86" t="n">
        <v>116</v>
      </c>
      <c r="B118" s="87" t="inlineStr">
        <is>
          <t>RJF</t>
        </is>
      </c>
      <c r="C118" s="88" t="inlineStr">
        <is>
          <t>RAYMOND JAMES FINANCIAL INC</t>
        </is>
      </c>
      <c r="D118" s="86" t="inlineStr">
        <is>
          <t>Financials</t>
        </is>
      </c>
      <c r="E118" s="86" t="n">
        <v>2026</v>
      </c>
      <c r="F118" s="89" t="n">
        <v>88230</v>
      </c>
      <c r="G118" s="90" t="inlineStr">
        <is>
          <t>N/A</t>
        </is>
      </c>
      <c r="H118" s="90" t="inlineStr">
        <is>
          <t>N/A</t>
        </is>
      </c>
      <c r="I118" s="89" t="n">
        <v>75726</v>
      </c>
      <c r="J118" s="89" t="n">
        <v>13604</v>
      </c>
      <c r="K118" s="89" t="n">
        <v>2280</v>
      </c>
      <c r="L118" s="89" t="n">
        <v>15912</v>
      </c>
      <c r="M118" s="89" t="n">
        <v>2135</v>
      </c>
      <c r="N118" s="89" t="n">
        <v>2434</v>
      </c>
      <c r="O118" s="90" t="inlineStr">
        <is>
          <t>N/A</t>
        </is>
      </c>
      <c r="P118" s="89" t="n">
        <v>1190.8</v>
      </c>
      <c r="Q118" s="89" t="n">
        <v>12503</v>
      </c>
      <c r="R118" s="90" t="inlineStr">
        <is>
          <t>N/A</t>
        </is>
      </c>
      <c r="S118" s="89" t="n">
        <v>97</v>
      </c>
      <c r="T118" s="90" t="inlineStr">
        <is>
          <t>N/A</t>
        </is>
      </c>
      <c r="U118" s="89" t="n">
        <v>670</v>
      </c>
      <c r="V118" s="89" t="n">
        <v>1373</v>
      </c>
      <c r="W118" s="89" t="n">
        <v>82992</v>
      </c>
      <c r="X118" s="90" t="inlineStr">
        <is>
          <t>N/A</t>
        </is>
      </c>
      <c r="Y118" s="90" t="inlineStr">
        <is>
          <t>N/A</t>
        </is>
      </c>
      <c r="Z118" s="89" t="n">
        <v>71325</v>
      </c>
      <c r="AA118" s="89" t="n">
        <v>2022</v>
      </c>
      <c r="AB118" s="89" t="n">
        <v>14923</v>
      </c>
      <c r="AC118" s="89" t="n">
        <v>2068</v>
      </c>
      <c r="AD118" s="89" t="n">
        <v>2155</v>
      </c>
      <c r="AE118" s="90" t="inlineStr">
        <is>
          <t>N/A</t>
        </is>
      </c>
      <c r="AF118" s="89" t="n">
        <v>1194.5</v>
      </c>
      <c r="AG118" s="89" t="n">
        <v>11673</v>
      </c>
      <c r="AH118" s="89" t="n">
        <v>14923</v>
      </c>
      <c r="AI118" s="89" t="n">
        <v>82992</v>
      </c>
      <c r="AJ118" s="89" t="n">
        <v>2280</v>
      </c>
      <c r="AK118" s="89" t="n">
        <v>2022</v>
      </c>
      <c r="AL118" s="89" t="n">
        <v>579</v>
      </c>
      <c r="AM118" s="89" t="n">
        <v>575</v>
      </c>
      <c r="AN118" s="89" t="n">
        <v>188</v>
      </c>
      <c r="AO118" s="89" t="n">
        <v>205</v>
      </c>
      <c r="AP118" s="90" t="inlineStr">
        <is>
          <t>N/A</t>
        </is>
      </c>
      <c r="AQ118" s="90" t="inlineStr">
        <is>
          <t>N/A</t>
        </is>
      </c>
      <c r="AR118" s="89" t="n">
        <v>1451</v>
      </c>
      <c r="AS118" s="89" t="n">
        <v>339</v>
      </c>
      <c r="AT118" s="90" t="inlineStr">
        <is>
          <t>N/A</t>
        </is>
      </c>
      <c r="AU118" s="90" t="inlineStr">
        <is>
          <t>N/A</t>
        </is>
      </c>
      <c r="AV118" s="89" t="n">
        <v>11389</v>
      </c>
      <c r="AW118" s="89" t="n">
        <v>10998</v>
      </c>
      <c r="AX118" s="89" t="n">
        <v>1190.8</v>
      </c>
      <c r="AY118" s="89" t="n">
        <v>1194.5</v>
      </c>
      <c r="AZ118" s="89" t="n">
        <v>-10198.2</v>
      </c>
      <c r="BA118" s="89" t="n">
        <v>2246</v>
      </c>
      <c r="BB118" s="89" t="n">
        <v>198.1</v>
      </c>
      <c r="BC118" s="89" t="n">
        <v>203.3</v>
      </c>
      <c r="BD118" s="90" t="inlineStr">
        <is>
          <t>N/A</t>
        </is>
      </c>
      <c r="BE118" s="89" t="n">
        <v>635</v>
      </c>
      <c r="BF118" s="90" t="inlineStr">
        <is>
          <t>N/A</t>
        </is>
      </c>
      <c r="BG118" s="89" t="n">
        <v>85</v>
      </c>
      <c r="BH118" s="89" t="n">
        <v>-4321</v>
      </c>
      <c r="BI118" s="89" t="n">
        <v>-968</v>
      </c>
      <c r="BJ118" s="90" t="inlineStr">
        <is>
          <t>N/A</t>
        </is>
      </c>
      <c r="BK118" s="90" t="inlineStr">
        <is>
          <t>N/A</t>
        </is>
      </c>
      <c r="BL118" s="90" t="inlineStr">
        <is>
          <t>N/A</t>
        </is>
      </c>
      <c r="BM118" s="90" t="inlineStr">
        <is>
          <t>N/A</t>
        </is>
      </c>
      <c r="BN118" s="89" t="n">
        <v>5</v>
      </c>
      <c r="BO118" s="90" t="inlineStr">
        <is>
          <t>N/A</t>
        </is>
      </c>
      <c r="BP118" s="90" t="inlineStr">
        <is>
          <t>N/A</t>
        </is>
      </c>
      <c r="BQ118" s="90" t="inlineStr">
        <is>
          <t>N/A</t>
        </is>
      </c>
      <c r="BR118" s="90" t="inlineStr">
        <is>
          <t>N/A</t>
        </is>
      </c>
      <c r="BS118" s="90" t="inlineStr">
        <is>
          <t>N/A</t>
        </is>
      </c>
      <c r="BT118" s="90" t="inlineStr">
        <is>
          <t>N/A</t>
        </is>
      </c>
      <c r="BU118" s="90" t="inlineStr">
        <is>
          <t>N/A</t>
        </is>
      </c>
      <c r="BV118" s="90" t="inlineStr">
        <is>
          <t>N/A</t>
        </is>
      </c>
      <c r="BW118" s="89" t="n">
        <v>0</v>
      </c>
      <c r="BX118" s="89" t="n">
        <v>0</v>
      </c>
      <c r="BY118" s="89" t="n">
        <v>0</v>
      </c>
    </row>
    <row r="119" ht="17" customHeight="1">
      <c r="A119" s="82" t="n">
        <v>117</v>
      </c>
      <c r="B119" s="83" t="inlineStr">
        <is>
          <t>NCLH</t>
        </is>
      </c>
      <c r="C119" s="84" t="inlineStr">
        <is>
          <t>NORWEGIAN CRUISE LINE HOLDINGS LTD.</t>
        </is>
      </c>
      <c r="D119" s="82" t="inlineStr">
        <is>
          <t>Consumer Discretionary</t>
        </is>
      </c>
      <c r="E119" s="82" t="n">
        <v>2026</v>
      </c>
      <c r="F119" s="85" t="n">
        <v>22541.4</v>
      </c>
      <c r="G119" s="85" t="n">
        <v>1138.5</v>
      </c>
      <c r="H119" s="85" t="n">
        <v>5452.6</v>
      </c>
      <c r="I119" s="85" t="n">
        <v>20331.5</v>
      </c>
      <c r="J119" s="85" t="n">
        <v>-5566.6</v>
      </c>
      <c r="K119" s="85" t="n">
        <v>1560.9</v>
      </c>
      <c r="L119" s="85" t="n">
        <v>5396.2</v>
      </c>
      <c r="M119" s="85" t="n">
        <v>423.2</v>
      </c>
      <c r="N119" s="85" t="n">
        <v>2089.7</v>
      </c>
      <c r="O119" s="85" t="n">
        <v>-243</v>
      </c>
      <c r="P119" s="85" t="n">
        <v>1552.5</v>
      </c>
      <c r="Q119" s="85" t="n">
        <v>2209.9</v>
      </c>
      <c r="R119" s="85" t="n">
        <v>1548.8</v>
      </c>
      <c r="S119" s="85" t="n">
        <v>1078.8</v>
      </c>
      <c r="T119" s="85" t="n">
        <v>291.7</v>
      </c>
      <c r="U119" s="85" t="n">
        <v>19068.8</v>
      </c>
      <c r="V119" s="85" t="n">
        <v>727.5</v>
      </c>
      <c r="W119" s="85" t="n">
        <v>19969.8</v>
      </c>
      <c r="X119" s="85" t="n">
        <v>1010.1</v>
      </c>
      <c r="Y119" s="85" t="n">
        <v>5780.9</v>
      </c>
      <c r="Z119" s="85" t="n">
        <v>18544.4</v>
      </c>
      <c r="AA119" s="85" t="n">
        <v>1465.9</v>
      </c>
      <c r="AB119" s="85" t="n">
        <v>1249.6</v>
      </c>
      <c r="AC119" s="85" t="n">
        <v>910.3</v>
      </c>
      <c r="AD119" s="85" t="n">
        <v>2049.8</v>
      </c>
      <c r="AE119" s="85" t="n">
        <v>-4439.1</v>
      </c>
      <c r="AF119" s="85" t="n">
        <v>6397.5</v>
      </c>
      <c r="AG119" s="85" t="n">
        <v>1425.4</v>
      </c>
      <c r="AH119" s="85" t="n">
        <v>1651.7</v>
      </c>
      <c r="AI119" s="85" t="n">
        <v>19969.8</v>
      </c>
      <c r="AJ119" s="85" t="n">
        <v>428.7</v>
      </c>
      <c r="AK119" s="85" t="n">
        <v>772.9</v>
      </c>
      <c r="AL119" s="85" t="n">
        <v>5.5</v>
      </c>
      <c r="AM119" s="85" t="n">
        <v>-137.3</v>
      </c>
      <c r="AN119" s="85" t="n">
        <v>3259.6</v>
      </c>
      <c r="AO119" s="85" t="n">
        <v>1211</v>
      </c>
      <c r="AP119" s="85" t="n">
        <v>138.2</v>
      </c>
      <c r="AQ119" s="85" t="n">
        <v>149.7</v>
      </c>
      <c r="AR119" s="85" t="n">
        <v>135.8</v>
      </c>
      <c r="AS119" s="85" t="n">
        <v>0.3</v>
      </c>
      <c r="AT119" s="91" t="inlineStr">
        <is>
          <t>N/A</t>
        </is>
      </c>
      <c r="AU119" s="91" t="inlineStr">
        <is>
          <t>N/A</t>
        </is>
      </c>
      <c r="AV119" s="85" t="n">
        <v>209.9</v>
      </c>
      <c r="AW119" s="85" t="n">
        <v>190.8</v>
      </c>
      <c r="AX119" s="85" t="n">
        <v>1552.5</v>
      </c>
      <c r="AY119" s="85" t="n">
        <v>6397.5</v>
      </c>
      <c r="AZ119" s="85" t="n">
        <v>1342.6</v>
      </c>
      <c r="BA119" s="85" t="n">
        <v>-1169.9</v>
      </c>
      <c r="BB119" s="85" t="n">
        <v>455.3</v>
      </c>
      <c r="BC119" s="85" t="n">
        <v>439.9</v>
      </c>
      <c r="BD119" s="85" t="n">
        <v>221.4</v>
      </c>
      <c r="BE119" s="85" t="n">
        <v>16810.7</v>
      </c>
      <c r="BF119" s="85" t="n">
        <v>1434.8</v>
      </c>
      <c r="BG119" s="85" t="n">
        <v>890.2</v>
      </c>
      <c r="BH119" s="85" t="n">
        <v>-3264.7</v>
      </c>
      <c r="BI119" s="85" t="n">
        <v>-1229.4</v>
      </c>
      <c r="BJ119" s="85" t="n">
        <v>169.7</v>
      </c>
      <c r="BK119" s="85" t="n">
        <v>171.1</v>
      </c>
      <c r="BL119" s="85" t="n">
        <v>3200.6</v>
      </c>
      <c r="BM119" s="85" t="n">
        <v>3106</v>
      </c>
      <c r="BN119" s="91" t="inlineStr">
        <is>
          <t>N/A</t>
        </is>
      </c>
      <c r="BO119" s="85" t="n">
        <v>5639.2</v>
      </c>
      <c r="BP119" s="85" t="n">
        <v>5688.7</v>
      </c>
      <c r="BQ119" s="85" t="n">
        <v>0</v>
      </c>
      <c r="BR119" s="85" t="n">
        <v>0</v>
      </c>
      <c r="BS119" s="85" t="n">
        <v>0</v>
      </c>
      <c r="BT119" s="85" t="n">
        <v>0</v>
      </c>
      <c r="BU119" s="85" t="n">
        <v>0</v>
      </c>
      <c r="BV119" s="85" t="n">
        <v>0</v>
      </c>
      <c r="BW119" s="85" t="n">
        <v>0</v>
      </c>
      <c r="BX119" s="85" t="n">
        <v>0</v>
      </c>
      <c r="BY119" s="85" t="n">
        <v>0</v>
      </c>
    </row>
    <row r="120" ht="17" customHeight="1">
      <c r="A120" s="86" t="n">
        <v>118</v>
      </c>
      <c r="B120" s="87" t="inlineStr">
        <is>
          <t>GLW</t>
        </is>
      </c>
      <c r="C120" s="88" t="inlineStr">
        <is>
          <t>CORNING INC /NY</t>
        </is>
      </c>
      <c r="D120" s="86" t="inlineStr">
        <is>
          <t>Information Technology</t>
        </is>
      </c>
      <c r="E120" s="86" t="n">
        <v>2026</v>
      </c>
      <c r="F120" s="89" t="n">
        <v>30976</v>
      </c>
      <c r="G120" s="89" t="n">
        <v>8936</v>
      </c>
      <c r="H120" s="89" t="n">
        <v>5628</v>
      </c>
      <c r="I120" s="89" t="n">
        <v>18669</v>
      </c>
      <c r="J120" s="89" t="n">
        <v>16551</v>
      </c>
      <c r="K120" s="89" t="n">
        <v>2279</v>
      </c>
      <c r="L120" s="89" t="n">
        <v>15629</v>
      </c>
      <c r="M120" s="89" t="n">
        <v>1596</v>
      </c>
      <c r="N120" s="89" t="n">
        <v>2695</v>
      </c>
      <c r="O120" s="89" t="n">
        <v>5621</v>
      </c>
      <c r="P120" s="89" t="n">
        <v>3458</v>
      </c>
      <c r="Q120" s="89" t="n">
        <v>11807</v>
      </c>
      <c r="R120" s="89" t="n">
        <v>2122</v>
      </c>
      <c r="S120" s="89" t="n">
        <v>1237</v>
      </c>
      <c r="T120" s="89" t="n">
        <v>2779</v>
      </c>
      <c r="U120" s="89" t="n">
        <v>14825</v>
      </c>
      <c r="V120" s="89" t="n">
        <v>311</v>
      </c>
      <c r="W120" s="89" t="n">
        <v>27735</v>
      </c>
      <c r="X120" s="89" t="n">
        <v>7992</v>
      </c>
      <c r="Y120" s="89" t="n">
        <v>4919</v>
      </c>
      <c r="Z120" s="89" t="n">
        <v>16665</v>
      </c>
      <c r="AA120" s="89" t="n">
        <v>1135</v>
      </c>
      <c r="AB120" s="89" t="n">
        <v>13118</v>
      </c>
      <c r="AC120" s="89" t="n">
        <v>506</v>
      </c>
      <c r="AD120" s="89" t="n">
        <v>1939</v>
      </c>
      <c r="AE120" s="89" t="n">
        <v>4276</v>
      </c>
      <c r="AF120" s="89" t="n">
        <v>2391</v>
      </c>
      <c r="AG120" s="89" t="n">
        <v>10686</v>
      </c>
      <c r="AH120" s="89" t="n">
        <v>13118</v>
      </c>
      <c r="AI120" s="89" t="n">
        <v>27735</v>
      </c>
      <c r="AJ120" s="89" t="n">
        <v>2052</v>
      </c>
      <c r="AK120" s="89" t="n">
        <v>813</v>
      </c>
      <c r="AL120" s="89" t="n">
        <v>310</v>
      </c>
      <c r="AM120" s="89" t="n">
        <v>221</v>
      </c>
      <c r="AN120" s="89" t="n">
        <v>1282</v>
      </c>
      <c r="AO120" s="89" t="n">
        <v>965</v>
      </c>
      <c r="AP120" s="89" t="n">
        <v>3077</v>
      </c>
      <c r="AQ120" s="89" t="n">
        <v>2724</v>
      </c>
      <c r="AR120" s="89" t="n">
        <v>2489</v>
      </c>
      <c r="AS120" s="89" t="n">
        <v>657</v>
      </c>
      <c r="AT120" s="89" t="n">
        <v>75</v>
      </c>
      <c r="AU120" s="89" t="n">
        <v>800</v>
      </c>
      <c r="AV120" s="89" t="n">
        <v>1526</v>
      </c>
      <c r="AW120" s="89" t="n">
        <v>1768</v>
      </c>
      <c r="AX120" s="89" t="n">
        <v>3533</v>
      </c>
      <c r="AY120" s="89" t="n">
        <v>2466</v>
      </c>
      <c r="AZ120" s="89" t="n">
        <v>2007</v>
      </c>
      <c r="BA120" s="89" t="n">
        <v>1413</v>
      </c>
      <c r="BB120" s="89" t="n">
        <v>1800</v>
      </c>
      <c r="BC120" s="89" t="n">
        <v>1800</v>
      </c>
      <c r="BD120" s="89" t="n">
        <v>2053</v>
      </c>
      <c r="BE120" s="89" t="n">
        <v>13359</v>
      </c>
      <c r="BF120" s="89" t="n">
        <v>1931</v>
      </c>
      <c r="BG120" s="89" t="n">
        <v>1229</v>
      </c>
      <c r="BH120" s="89" t="n">
        <v>-1243</v>
      </c>
      <c r="BI120" s="89" t="n">
        <v>-744</v>
      </c>
      <c r="BJ120" s="89" t="n">
        <v>1979</v>
      </c>
      <c r="BK120" s="89" t="n">
        <v>1472</v>
      </c>
      <c r="BL120" s="89" t="n">
        <v>160</v>
      </c>
      <c r="BM120" s="89" t="n">
        <v>127</v>
      </c>
      <c r="BN120" s="89" t="n">
        <v>98</v>
      </c>
      <c r="BO120" s="89" t="n">
        <v>10008</v>
      </c>
      <c r="BP120" s="89" t="n">
        <v>8842</v>
      </c>
      <c r="BQ120" s="89" t="n">
        <v>0</v>
      </c>
      <c r="BR120" s="89" t="n">
        <v>0</v>
      </c>
      <c r="BS120" s="89" t="n">
        <v>0</v>
      </c>
      <c r="BT120" s="89" t="n">
        <v>0</v>
      </c>
      <c r="BU120" s="89" t="n">
        <v>0</v>
      </c>
      <c r="BV120" s="89" t="n">
        <v>0</v>
      </c>
      <c r="BW120" s="89" t="n">
        <v>0</v>
      </c>
      <c r="BX120" s="89" t="n">
        <v>0</v>
      </c>
      <c r="BY120" s="89" t="n">
        <v>0</v>
      </c>
    </row>
    <row r="121" ht="17" customHeight="1">
      <c r="A121" s="82" t="n">
        <v>119</v>
      </c>
      <c r="B121" s="83" t="inlineStr">
        <is>
          <t>AMCR</t>
        </is>
      </c>
      <c r="C121" s="84" t="inlineStr">
        <is>
          <t>AMCOR PLC</t>
        </is>
      </c>
      <c r="D121" s="82" t="inlineStr">
        <is>
          <t>Materials</t>
        </is>
      </c>
      <c r="E121" s="82" t="n">
        <v>2026</v>
      </c>
      <c r="F121" s="85" t="n">
        <v>37066</v>
      </c>
      <c r="G121" s="85" t="n">
        <v>8434</v>
      </c>
      <c r="H121" s="85" t="n">
        <v>6987</v>
      </c>
      <c r="I121" s="85" t="n">
        <v>25326</v>
      </c>
      <c r="J121" s="85" t="n">
        <v>548</v>
      </c>
      <c r="K121" s="85" t="n">
        <v>1009</v>
      </c>
      <c r="L121" s="85" t="n">
        <v>5082</v>
      </c>
      <c r="M121" s="85" t="n">
        <v>511</v>
      </c>
      <c r="N121" s="85" t="n">
        <v>1390</v>
      </c>
      <c r="O121" s="85" t="n">
        <v>2834</v>
      </c>
      <c r="P121" s="85" t="n">
        <v>5314.4</v>
      </c>
      <c r="Q121" s="85" t="n">
        <v>11728</v>
      </c>
      <c r="R121" s="85" t="n">
        <v>1205</v>
      </c>
      <c r="S121" s="85" t="n">
        <v>722</v>
      </c>
      <c r="T121" s="85" t="n">
        <v>3426</v>
      </c>
      <c r="U121" s="85" t="n">
        <v>3975</v>
      </c>
      <c r="V121" s="85" t="n">
        <v>396</v>
      </c>
      <c r="W121" s="85" t="n">
        <v>16524</v>
      </c>
      <c r="X121" s="85" t="n">
        <v>4965</v>
      </c>
      <c r="Y121" s="85" t="n">
        <v>4261</v>
      </c>
      <c r="Z121" s="85" t="n">
        <v>12571</v>
      </c>
      <c r="AA121" s="85" t="n">
        <v>1214</v>
      </c>
      <c r="AB121" s="85" t="n">
        <v>3333</v>
      </c>
      <c r="AC121" s="85" t="n">
        <v>-39</v>
      </c>
      <c r="AD121" s="85" t="n">
        <v>1321</v>
      </c>
      <c r="AE121" s="85" t="n">
        <v>895</v>
      </c>
      <c r="AF121" s="85" t="n">
        <v>3674.5</v>
      </c>
      <c r="AG121" s="85" t="n">
        <v>3881</v>
      </c>
      <c r="AH121" s="85" t="n">
        <v>3241</v>
      </c>
      <c r="AI121" s="85" t="n">
        <v>16524</v>
      </c>
      <c r="AJ121" s="85" t="n">
        <v>650</v>
      </c>
      <c r="AK121" s="85" t="n">
        <v>907</v>
      </c>
      <c r="AL121" s="85" t="n">
        <v>135</v>
      </c>
      <c r="AM121" s="85" t="n">
        <v>163</v>
      </c>
      <c r="AN121" s="85" t="n">
        <v>332.2</v>
      </c>
      <c r="AO121" s="85" t="n">
        <v>365</v>
      </c>
      <c r="AP121" s="85" t="n">
        <v>2439</v>
      </c>
      <c r="AQ121" s="85" t="n">
        <v>1991</v>
      </c>
      <c r="AR121" s="85" t="n">
        <v>11276</v>
      </c>
      <c r="AS121" s="85" t="n">
        <v>7403</v>
      </c>
      <c r="AT121" s="85" t="n">
        <v>116</v>
      </c>
      <c r="AU121" s="85" t="n">
        <v>120</v>
      </c>
      <c r="AV121" s="85" t="n">
        <v>827</v>
      </c>
      <c r="AW121" s="85" t="n">
        <v>588</v>
      </c>
      <c r="AX121" s="85" t="n">
        <v>5430.4</v>
      </c>
      <c r="AY121" s="85" t="n">
        <v>3758.5</v>
      </c>
      <c r="AZ121" s="85" t="n">
        <v>4603.4</v>
      </c>
      <c r="BA121" s="85" t="n">
        <v>1057.8</v>
      </c>
      <c r="BB121" s="85" t="n">
        <v>2305</v>
      </c>
      <c r="BC121" s="85" t="n">
        <v>1445</v>
      </c>
      <c r="BD121" s="85" t="n">
        <v>1846</v>
      </c>
      <c r="BE121" s="85" t="n">
        <v>3975</v>
      </c>
      <c r="BF121" s="85" t="n">
        <v>1260</v>
      </c>
      <c r="BG121" s="85" t="n">
        <v>595</v>
      </c>
      <c r="BH121" s="85" t="n">
        <v>-2102</v>
      </c>
      <c r="BI121" s="85" t="n">
        <v>-476</v>
      </c>
      <c r="BJ121" s="85" t="n">
        <v>3490</v>
      </c>
      <c r="BK121" s="85" t="n">
        <v>2580</v>
      </c>
      <c r="BL121" s="91" t="inlineStr">
        <is>
          <t>N/A</t>
        </is>
      </c>
      <c r="BM121" s="91" t="inlineStr">
        <is>
          <t>N/A</t>
        </is>
      </c>
      <c r="BN121" s="91" t="inlineStr">
        <is>
          <t>N/A</t>
        </is>
      </c>
      <c r="BO121" s="85" t="n">
        <v>12175</v>
      </c>
      <c r="BP121" s="85" t="n">
        <v>10928</v>
      </c>
      <c r="BQ121" s="85" t="n">
        <v>0</v>
      </c>
      <c r="BR121" s="85" t="n">
        <v>0</v>
      </c>
      <c r="BS121" s="85" t="n">
        <v>0</v>
      </c>
      <c r="BT121" s="85" t="n">
        <v>0</v>
      </c>
      <c r="BU121" s="85" t="n">
        <v>0</v>
      </c>
      <c r="BV121" s="85" t="n">
        <v>0</v>
      </c>
      <c r="BW121" s="85" t="n">
        <v>0</v>
      </c>
      <c r="BX121" s="85" t="n">
        <v>0</v>
      </c>
      <c r="BY121" s="85" t="n">
        <v>0</v>
      </c>
    </row>
    <row r="122" ht="17" customHeight="1">
      <c r="A122" s="86" t="n">
        <v>120</v>
      </c>
      <c r="B122" s="87" t="inlineStr">
        <is>
          <t>QCOM</t>
        </is>
      </c>
      <c r="C122" s="88" t="inlineStr">
        <is>
          <t>QUALCOMM INC/DE</t>
        </is>
      </c>
      <c r="D122" s="86" t="inlineStr">
        <is>
          <t>Information Technology</t>
        </is>
      </c>
      <c r="E122" s="86" t="n">
        <v>2026</v>
      </c>
      <c r="F122" s="89" t="n">
        <v>50143</v>
      </c>
      <c r="G122" s="89" t="n">
        <v>25754</v>
      </c>
      <c r="H122" s="89" t="n">
        <v>9144</v>
      </c>
      <c r="I122" s="89" t="n">
        <v>28937</v>
      </c>
      <c r="J122" s="89" t="n">
        <v>20646</v>
      </c>
      <c r="K122" s="89" t="n">
        <v>12355</v>
      </c>
      <c r="L122" s="89" t="n">
        <v>44284</v>
      </c>
      <c r="M122" s="89" t="n">
        <v>5541</v>
      </c>
      <c r="N122" s="89" t="n">
        <v>14012</v>
      </c>
      <c r="O122" s="89" t="n">
        <v>24546</v>
      </c>
      <c r="P122" s="89" t="n">
        <v>14811</v>
      </c>
      <c r="Q122" s="89" t="n">
        <v>4909</v>
      </c>
      <c r="R122" s="89" t="n">
        <v>3110</v>
      </c>
      <c r="S122" s="89" t="n">
        <v>1214</v>
      </c>
      <c r="T122" s="89" t="n">
        <v>2855</v>
      </c>
      <c r="U122" s="89" t="n">
        <v>4690</v>
      </c>
      <c r="V122" s="89" t="n">
        <v>664</v>
      </c>
      <c r="W122" s="89" t="n">
        <v>55154</v>
      </c>
      <c r="X122" s="89" t="n">
        <v>25231</v>
      </c>
      <c r="Y122" s="89" t="n">
        <v>10504</v>
      </c>
      <c r="Z122" s="89" t="n">
        <v>28880</v>
      </c>
      <c r="AA122" s="89" t="n">
        <v>10071</v>
      </c>
      <c r="AB122" s="89" t="n">
        <v>38962</v>
      </c>
      <c r="AC122" s="89" t="n">
        <v>10142</v>
      </c>
      <c r="AD122" s="89" t="n">
        <v>12202</v>
      </c>
      <c r="AE122" s="89" t="n">
        <v>21902</v>
      </c>
      <c r="AF122" s="89" t="n">
        <v>13270</v>
      </c>
      <c r="AG122" s="89" t="n">
        <v>807</v>
      </c>
      <c r="AH122" s="89" t="n">
        <v>38962</v>
      </c>
      <c r="AI122" s="89" t="n">
        <v>55154</v>
      </c>
      <c r="AJ122" s="89" t="n">
        <v>12663</v>
      </c>
      <c r="AK122" s="89" t="n">
        <v>10336</v>
      </c>
      <c r="AL122" s="89" t="n">
        <v>7122</v>
      </c>
      <c r="AM122" s="89" t="n">
        <v>226</v>
      </c>
      <c r="AN122" s="89" t="n">
        <v>1192</v>
      </c>
      <c r="AO122" s="89" t="n">
        <v>1041</v>
      </c>
      <c r="AP122" s="89" t="n">
        <v>6526</v>
      </c>
      <c r="AQ122" s="89" t="n">
        <v>6423</v>
      </c>
      <c r="AR122" s="89" t="n">
        <v>11358</v>
      </c>
      <c r="AS122" s="89" t="n">
        <v>1148</v>
      </c>
      <c r="AT122" s="89" t="n">
        <v>1000</v>
      </c>
      <c r="AU122" s="89" t="n">
        <v>9042</v>
      </c>
      <c r="AV122" s="89" t="n">
        <v>5520</v>
      </c>
      <c r="AW122" s="89" t="n">
        <v>7849</v>
      </c>
      <c r="AX122" s="89" t="n">
        <v>15811</v>
      </c>
      <c r="AY122" s="89" t="n">
        <v>13270</v>
      </c>
      <c r="AZ122" s="89" t="n">
        <v>10291</v>
      </c>
      <c r="BA122" s="89" t="n">
        <v>12820</v>
      </c>
      <c r="BB122" s="89" t="n">
        <v>1074</v>
      </c>
      <c r="BC122" s="89" t="n">
        <v>1113</v>
      </c>
      <c r="BD122" s="89" t="n">
        <v>2347</v>
      </c>
      <c r="BE122" s="89" t="n">
        <v>4665</v>
      </c>
      <c r="BF122" s="89" t="n">
        <v>2759</v>
      </c>
      <c r="BG122" s="89" t="n">
        <v>1150</v>
      </c>
      <c r="BH122" s="89" t="n">
        <v>-800</v>
      </c>
      <c r="BI122" s="89" t="n">
        <v>-3623</v>
      </c>
      <c r="BJ122" s="89" t="n">
        <v>2791</v>
      </c>
      <c r="BK122" s="89" t="n">
        <v>2584</v>
      </c>
      <c r="BL122" s="89" t="n">
        <v>358</v>
      </c>
      <c r="BM122" s="89" t="n">
        <v>297</v>
      </c>
      <c r="BN122" s="89" t="n">
        <v>1007</v>
      </c>
      <c r="BO122" s="89" t="n">
        <v>19738</v>
      </c>
      <c r="BP122" s="89" t="n">
        <v>17060</v>
      </c>
      <c r="BQ122" s="89" t="n">
        <v>0</v>
      </c>
      <c r="BR122" s="89" t="n">
        <v>0</v>
      </c>
      <c r="BS122" s="89" t="n">
        <v>0</v>
      </c>
      <c r="BT122" s="89" t="n">
        <v>0</v>
      </c>
      <c r="BU122" s="89" t="n">
        <v>0</v>
      </c>
      <c r="BV122" s="89" t="n">
        <v>0</v>
      </c>
      <c r="BW122" s="89" t="n">
        <v>0</v>
      </c>
      <c r="BX122" s="89" t="n">
        <v>0</v>
      </c>
      <c r="BY122" s="89" t="n">
        <v>0</v>
      </c>
    </row>
    <row r="123" ht="17" customHeight="1">
      <c r="A123" s="82" t="n">
        <v>121</v>
      </c>
      <c r="B123" s="83" t="inlineStr">
        <is>
          <t>AAP</t>
        </is>
      </c>
      <c r="C123" s="84" t="inlineStr">
        <is>
          <t>ADVANCE AUTO PARTS, INC.</t>
        </is>
      </c>
      <c r="D123" s="82" t="inlineStr">
        <is>
          <t>Consumer Discretionary</t>
        </is>
      </c>
      <c r="E123" s="82" t="n">
        <v>2026</v>
      </c>
      <c r="F123" s="85" t="n">
        <v>11826</v>
      </c>
      <c r="G123" s="85" t="n">
        <v>7290</v>
      </c>
      <c r="H123" s="85" t="n">
        <v>4176</v>
      </c>
      <c r="I123" s="85" t="n">
        <v>9628</v>
      </c>
      <c r="J123" s="85" t="n">
        <v>4146</v>
      </c>
      <c r="K123" s="85" t="n">
        <v>-43</v>
      </c>
      <c r="L123" s="85" t="n">
        <v>8601</v>
      </c>
      <c r="M123" s="85" t="n">
        <v>44</v>
      </c>
      <c r="N123" s="85" t="n">
        <v>-46</v>
      </c>
      <c r="O123" s="85" t="n">
        <v>3733</v>
      </c>
      <c r="P123" s="85" t="n">
        <v>3412</v>
      </c>
      <c r="Q123" s="85" t="n">
        <v>2198</v>
      </c>
      <c r="R123" s="85" t="n">
        <v>3572</v>
      </c>
      <c r="S123" s="85" t="n">
        <v>272</v>
      </c>
      <c r="T123" s="85" t="n">
        <v>380</v>
      </c>
      <c r="U123" s="85" t="n">
        <v>1269</v>
      </c>
      <c r="V123" s="85" t="n">
        <v>65.40000000000001</v>
      </c>
      <c r="W123" s="85" t="n">
        <v>10798.1</v>
      </c>
      <c r="X123" s="85" t="n">
        <v>6143.5</v>
      </c>
      <c r="Y123" s="85" t="n">
        <v>4665.4</v>
      </c>
      <c r="Z123" s="85" t="n">
        <v>8628.200000000001</v>
      </c>
      <c r="AA123" s="85" t="n">
        <v>-713.3</v>
      </c>
      <c r="AB123" s="85" t="n">
        <v>9094.299999999999</v>
      </c>
      <c r="AC123" s="85" t="n">
        <v>-335.8</v>
      </c>
      <c r="AD123" s="85" t="n">
        <v>84.59999999999999</v>
      </c>
      <c r="AE123" s="85" t="n">
        <v>3408.5</v>
      </c>
      <c r="AF123" s="85" t="n">
        <v>1789</v>
      </c>
      <c r="AG123" s="85" t="n">
        <v>2169.9</v>
      </c>
      <c r="AH123" s="85" t="n">
        <v>9094</v>
      </c>
      <c r="AI123" s="85" t="n">
        <v>10798</v>
      </c>
      <c r="AJ123" s="85" t="n">
        <v>-91</v>
      </c>
      <c r="AK123" s="85" t="n">
        <v>-768.1</v>
      </c>
      <c r="AL123" s="85" t="n">
        <v>-159</v>
      </c>
      <c r="AM123" s="85" t="n">
        <v>-181.1</v>
      </c>
      <c r="AN123" s="85" t="n">
        <v>252</v>
      </c>
      <c r="AO123" s="85" t="n">
        <v>180.8</v>
      </c>
      <c r="AP123" s="85" t="n">
        <v>3646</v>
      </c>
      <c r="AQ123" s="85" t="n">
        <v>3612.1</v>
      </c>
      <c r="AR123" s="85" t="n">
        <v>600</v>
      </c>
      <c r="AS123" s="85" t="n">
        <v>5</v>
      </c>
      <c r="AT123" s="91" t="inlineStr">
        <is>
          <t>N/A</t>
        </is>
      </c>
      <c r="AU123" s="91" t="inlineStr">
        <is>
          <t>N/A</t>
        </is>
      </c>
      <c r="AV123" s="85" t="n">
        <v>3123</v>
      </c>
      <c r="AW123" s="85" t="n">
        <v>1869.4</v>
      </c>
      <c r="AX123" s="85" t="n">
        <v>3412</v>
      </c>
      <c r="AY123" s="85" t="n">
        <v>1789</v>
      </c>
      <c r="AZ123" s="85" t="n">
        <v>289</v>
      </c>
      <c r="BA123" s="85" t="n">
        <v>-298</v>
      </c>
      <c r="BB123" s="85" t="n">
        <v>60</v>
      </c>
      <c r="BC123" s="85" t="n">
        <v>59.8</v>
      </c>
      <c r="BD123" s="85" t="n">
        <v>544</v>
      </c>
      <c r="BE123" s="85" t="n">
        <v>1334.3</v>
      </c>
      <c r="BF123" s="85" t="n">
        <v>3812.9</v>
      </c>
      <c r="BG123" s="85" t="n">
        <v>292</v>
      </c>
      <c r="BH123" s="85" t="n">
        <v>-239</v>
      </c>
      <c r="BI123" s="85" t="n">
        <v>1354.8</v>
      </c>
      <c r="BJ123" s="85" t="n">
        <v>2977</v>
      </c>
      <c r="BK123" s="85" t="n">
        <v>3407.9</v>
      </c>
      <c r="BL123" s="85" t="n">
        <v>7.2</v>
      </c>
      <c r="BM123" s="85" t="n">
        <v>8</v>
      </c>
      <c r="BN123" s="85" t="n">
        <v>153</v>
      </c>
      <c r="BO123" s="85" t="n">
        <v>4868</v>
      </c>
      <c r="BP123" s="85" t="n">
        <v>5685.8</v>
      </c>
      <c r="BQ123" s="85" t="n">
        <v>0</v>
      </c>
      <c r="BR123" s="85" t="n">
        <v>0</v>
      </c>
      <c r="BS123" s="85" t="n">
        <v>0</v>
      </c>
      <c r="BT123" s="85" t="n">
        <v>0</v>
      </c>
      <c r="BU123" s="85" t="n">
        <v>0</v>
      </c>
      <c r="BV123" s="85" t="n">
        <v>0</v>
      </c>
      <c r="BW123" s="85" t="n">
        <v>0</v>
      </c>
      <c r="BX123" s="85" t="n">
        <v>-0</v>
      </c>
      <c r="BY123" s="85" t="n">
        <v>0</v>
      </c>
    </row>
    <row r="124" ht="17" customHeight="1">
      <c r="A124" s="86" t="n">
        <v>122</v>
      </c>
      <c r="B124" s="87" t="inlineStr">
        <is>
          <t>LYB</t>
        </is>
      </c>
      <c r="C124" s="88" t="inlineStr">
        <is>
          <t>LYONDELLBASELL INDUSTRIES N.V.</t>
        </is>
      </c>
      <c r="D124" s="86" t="inlineStr">
        <is>
          <t>Materials</t>
        </is>
      </c>
      <c r="E124" s="86" t="n">
        <v>2026</v>
      </c>
      <c r="F124" s="89" t="n">
        <v>34003</v>
      </c>
      <c r="G124" s="89" t="n">
        <v>10868</v>
      </c>
      <c r="H124" s="89" t="n">
        <v>6129</v>
      </c>
      <c r="I124" s="89" t="n">
        <v>34003</v>
      </c>
      <c r="J124" s="89" t="n">
        <v>6812</v>
      </c>
      <c r="K124" s="89" t="n">
        <v>-420</v>
      </c>
      <c r="L124" s="89" t="n">
        <v>30153</v>
      </c>
      <c r="M124" s="89" t="n">
        <v>3397</v>
      </c>
      <c r="N124" s="89" t="n">
        <v>2262</v>
      </c>
      <c r="O124" s="89" t="n">
        <v>1225</v>
      </c>
      <c r="P124" s="89" t="n">
        <v>5772</v>
      </c>
      <c r="Q124" s="89" t="n">
        <v>10082</v>
      </c>
      <c r="R124" s="89" t="n">
        <v>1610</v>
      </c>
      <c r="S124" s="89" t="n">
        <v>1390</v>
      </c>
      <c r="T124" s="89" t="n">
        <v>3392</v>
      </c>
      <c r="U124" s="89" t="n">
        <v>15833</v>
      </c>
      <c r="V124" s="89" t="n">
        <v>477</v>
      </c>
      <c r="W124" s="89" t="n">
        <v>35746</v>
      </c>
      <c r="X124" s="89" t="n">
        <v>12266</v>
      </c>
      <c r="Y124" s="89" t="n">
        <v>6705</v>
      </c>
      <c r="Z124" s="89" t="n">
        <v>35746</v>
      </c>
      <c r="AA124" s="89" t="n">
        <v>1817</v>
      </c>
      <c r="AB124" s="89" t="n">
        <v>40302</v>
      </c>
      <c r="AC124" s="89" t="n">
        <v>4690</v>
      </c>
      <c r="AD124" s="89" t="n">
        <v>3819</v>
      </c>
      <c r="AE124" s="89" t="n">
        <v>891</v>
      </c>
      <c r="AF124" s="89" t="n">
        <v>4300</v>
      </c>
      <c r="AG124" s="89" t="n">
        <v>12462</v>
      </c>
      <c r="AH124" s="89" t="n">
        <v>33394</v>
      </c>
      <c r="AI124" s="89" t="n">
        <v>35746</v>
      </c>
      <c r="AJ124" s="89" t="n">
        <v>-715</v>
      </c>
      <c r="AK124" s="89" t="n">
        <v>1603</v>
      </c>
      <c r="AL124" s="89" t="n">
        <v>70</v>
      </c>
      <c r="AM124" s="89" t="n">
        <v>240</v>
      </c>
      <c r="AN124" s="89" t="n">
        <v>1878</v>
      </c>
      <c r="AO124" s="89" t="n">
        <v>1839</v>
      </c>
      <c r="AP124" s="89" t="n">
        <v>3533</v>
      </c>
      <c r="AQ124" s="89" t="n">
        <v>4658</v>
      </c>
      <c r="AR124" s="89" t="n">
        <v>708</v>
      </c>
      <c r="AS124" s="89" t="n">
        <v>450</v>
      </c>
      <c r="AT124" s="89" t="n">
        <v>226</v>
      </c>
      <c r="AU124" s="89" t="n">
        <v>136</v>
      </c>
      <c r="AV124" s="89" t="n">
        <v>3443</v>
      </c>
      <c r="AW124" s="89" t="n">
        <v>3375</v>
      </c>
      <c r="AX124" s="89" t="n">
        <v>5998</v>
      </c>
      <c r="AY124" s="89" t="n">
        <v>4419</v>
      </c>
      <c r="AZ124" s="89" t="n">
        <v>2555</v>
      </c>
      <c r="BA124" s="89" t="n">
        <v>384</v>
      </c>
      <c r="BB124" s="89" t="n">
        <v>322.1</v>
      </c>
      <c r="BC124" s="89" t="n">
        <v>323.9</v>
      </c>
      <c r="BD124" s="89" t="n">
        <v>4565</v>
      </c>
      <c r="BE124" s="89" t="n">
        <v>15066</v>
      </c>
      <c r="BF124" s="89" t="n">
        <v>1663</v>
      </c>
      <c r="BG124" s="89" t="n">
        <v>1522</v>
      </c>
      <c r="BH124" s="89" t="n">
        <v>-1776</v>
      </c>
      <c r="BI124" s="89" t="n">
        <v>-1853</v>
      </c>
      <c r="BJ124" s="90" t="inlineStr">
        <is>
          <t>N/A</t>
        </is>
      </c>
      <c r="BK124" s="90" t="inlineStr">
        <is>
          <t>N/A</t>
        </is>
      </c>
      <c r="BL124" s="89" t="n">
        <v>110</v>
      </c>
      <c r="BM124" s="89" t="n">
        <v>175</v>
      </c>
      <c r="BN124" s="89" t="n">
        <v>145</v>
      </c>
      <c r="BO124" s="89" t="n">
        <v>27576</v>
      </c>
      <c r="BP124" s="89" t="n">
        <v>35738</v>
      </c>
      <c r="BQ124" s="89" t="n">
        <v>0</v>
      </c>
      <c r="BR124" s="89" t="n">
        <v>0</v>
      </c>
      <c r="BS124" s="89" t="n">
        <v>0</v>
      </c>
      <c r="BT124" s="89" t="n">
        <v>0</v>
      </c>
      <c r="BU124" s="89" t="n">
        <v>0</v>
      </c>
      <c r="BV124" s="90" t="inlineStr">
        <is>
          <t>N/A</t>
        </is>
      </c>
      <c r="BW124" s="89" t="n">
        <v>0</v>
      </c>
      <c r="BX124" s="89" t="n">
        <v>0</v>
      </c>
      <c r="BY124" s="89" t="n">
        <v>-0</v>
      </c>
    </row>
    <row r="125" ht="17" customHeight="1">
      <c r="A125" s="82" t="n">
        <v>123</v>
      </c>
      <c r="B125" s="83" t="inlineStr">
        <is>
          <t>VZ</t>
        </is>
      </c>
      <c r="C125" s="84" t="inlineStr">
        <is>
          <t>VERIZON COMMUNICATIONS INC</t>
        </is>
      </c>
      <c r="D125" s="82" t="inlineStr">
        <is>
          <t>Communication Services</t>
        </is>
      </c>
      <c r="E125" s="82" t="n">
        <v>2026</v>
      </c>
      <c r="F125" s="85" t="n">
        <v>404258</v>
      </c>
      <c r="G125" s="85" t="n">
        <v>56922</v>
      </c>
      <c r="H125" s="85" t="n">
        <v>62370</v>
      </c>
      <c r="I125" s="85" t="n">
        <v>404258</v>
      </c>
      <c r="J125" s="85" t="n">
        <v>94744</v>
      </c>
      <c r="K125" s="85" t="n">
        <v>29259</v>
      </c>
      <c r="L125" s="85" t="n">
        <v>138191</v>
      </c>
      <c r="M125" s="85" t="n">
        <v>17174</v>
      </c>
      <c r="N125" s="85" t="n">
        <v>37137</v>
      </c>
      <c r="O125" s="85" t="n">
        <v>88260</v>
      </c>
      <c r="P125" s="85" t="n">
        <v>93144</v>
      </c>
      <c r="Q125" s="85" t="n">
        <v>105741</v>
      </c>
      <c r="R125" s="85" t="n">
        <v>33818</v>
      </c>
      <c r="S125" s="85" t="n">
        <v>18349</v>
      </c>
      <c r="T125" s="85" t="n">
        <v>23846</v>
      </c>
      <c r="U125" s="85" t="n">
        <v>109467</v>
      </c>
      <c r="V125" s="85" t="n">
        <v>5524</v>
      </c>
      <c r="W125" s="85" t="n">
        <v>384711</v>
      </c>
      <c r="X125" s="85" t="n">
        <v>40523</v>
      </c>
      <c r="Y125" s="85" t="n">
        <v>64771</v>
      </c>
      <c r="Z125" s="85" t="n">
        <v>384711</v>
      </c>
      <c r="AA125" s="85" t="n">
        <v>28686</v>
      </c>
      <c r="AB125" s="85" t="n">
        <v>134788</v>
      </c>
      <c r="AC125" s="85" t="n">
        <v>17506</v>
      </c>
      <c r="AD125" s="85" t="n">
        <v>36912</v>
      </c>
      <c r="AE125" s="85" t="n">
        <v>89901</v>
      </c>
      <c r="AF125" s="85" t="n">
        <v>51487</v>
      </c>
      <c r="AG125" s="91" t="inlineStr">
        <is>
          <t>N/A</t>
        </is>
      </c>
      <c r="AH125" s="85" t="n">
        <v>134788</v>
      </c>
      <c r="AI125" s="85" t="n">
        <v>384711</v>
      </c>
      <c r="AJ125" s="85" t="n">
        <v>22672</v>
      </c>
      <c r="AK125" s="85" t="n">
        <v>22979</v>
      </c>
      <c r="AL125" s="85" t="n">
        <v>5064</v>
      </c>
      <c r="AM125" s="85" t="n">
        <v>5030</v>
      </c>
      <c r="AN125" s="85" t="n">
        <v>16658</v>
      </c>
      <c r="AO125" s="85" t="n">
        <v>17247</v>
      </c>
      <c r="AP125" s="85" t="n">
        <v>2441</v>
      </c>
      <c r="AQ125" s="85" t="n">
        <v>2247</v>
      </c>
      <c r="AR125" s="85" t="n">
        <v>22841</v>
      </c>
      <c r="AS125" s="85" t="n">
        <v>10458</v>
      </c>
      <c r="AT125" s="85" t="n">
        <v>441</v>
      </c>
      <c r="AU125" s="91" t="inlineStr">
        <is>
          <t>N/A</t>
        </is>
      </c>
      <c r="AV125" s="85" t="n">
        <v>19048</v>
      </c>
      <c r="AW125" s="85" t="n">
        <v>4194</v>
      </c>
      <c r="AX125" s="85" t="n">
        <v>93585</v>
      </c>
      <c r="AY125" s="85" t="n">
        <v>51552</v>
      </c>
      <c r="AZ125" s="85" t="n">
        <v>74537</v>
      </c>
      <c r="BA125" s="85" t="n">
        <v>20479</v>
      </c>
      <c r="BB125" s="85" t="n">
        <v>4291.4</v>
      </c>
      <c r="BC125" s="85" t="n">
        <v>4291.4</v>
      </c>
      <c r="BD125" s="85" t="n">
        <v>23917</v>
      </c>
      <c r="BE125" s="85" t="n">
        <v>108522</v>
      </c>
      <c r="BF125" s="85" t="n">
        <v>34113</v>
      </c>
      <c r="BG125" s="85" t="n">
        <v>17892</v>
      </c>
      <c r="BH125" s="85" t="n">
        <v>-16660</v>
      </c>
      <c r="BI125" s="85" t="n">
        <v>-18674</v>
      </c>
      <c r="BJ125" s="85" t="n">
        <v>12154</v>
      </c>
      <c r="BK125" s="85" t="n">
        <v>10425</v>
      </c>
      <c r="BL125" s="85" t="n">
        <v>7576</v>
      </c>
      <c r="BM125" s="85" t="n">
        <v>7492</v>
      </c>
      <c r="BN125" s="85" t="n">
        <v>1859</v>
      </c>
      <c r="BO125" s="85" t="n">
        <v>49931</v>
      </c>
      <c r="BP125" s="85" t="n">
        <v>44887</v>
      </c>
      <c r="BQ125" s="85" t="n">
        <v>0</v>
      </c>
      <c r="BR125" s="85" t="n">
        <v>0</v>
      </c>
      <c r="BS125" s="85" t="n">
        <v>0</v>
      </c>
      <c r="BT125" s="85" t="n">
        <v>0</v>
      </c>
      <c r="BU125" s="85" t="n">
        <v>0</v>
      </c>
      <c r="BV125" s="85" t="n">
        <v>0</v>
      </c>
      <c r="BW125" s="85" t="n">
        <v>0</v>
      </c>
      <c r="BX125" s="85" t="n">
        <v>0</v>
      </c>
      <c r="BY125" s="85" t="n">
        <v>0</v>
      </c>
    </row>
    <row r="126" ht="17" customHeight="1">
      <c r="A126" s="86" t="n">
        <v>124</v>
      </c>
      <c r="B126" s="87" t="inlineStr">
        <is>
          <t>PLD</t>
        </is>
      </c>
      <c r="C126" s="88" t="inlineStr">
        <is>
          <t>Prologis, Inc.</t>
        </is>
      </c>
      <c r="D126" s="86" t="inlineStr">
        <is>
          <t>Real Estate</t>
        </is>
      </c>
      <c r="E126" s="86" t="n">
        <v>2026</v>
      </c>
      <c r="F126" s="89" t="n">
        <v>98724.3</v>
      </c>
      <c r="G126" s="90" t="inlineStr">
        <is>
          <t>N/A</t>
        </is>
      </c>
      <c r="H126" s="90" t="inlineStr">
        <is>
          <t>N/A</t>
        </is>
      </c>
      <c r="I126" s="89" t="n">
        <v>40970.2</v>
      </c>
      <c r="J126" s="89" t="n">
        <v>-902.4</v>
      </c>
      <c r="K126" s="89" t="n">
        <v>4357.9</v>
      </c>
      <c r="L126" s="89" t="n">
        <v>8790.1</v>
      </c>
      <c r="M126" s="89" t="n">
        <v>3328.2</v>
      </c>
      <c r="N126" s="89" t="n">
        <v>5008.4</v>
      </c>
      <c r="O126" s="89" t="n">
        <v>11070.8</v>
      </c>
      <c r="P126" s="89" t="n">
        <v>35037.1</v>
      </c>
      <c r="Q126" s="89" t="n">
        <v>53193.2</v>
      </c>
      <c r="R126" s="89" t="n">
        <v>469.1</v>
      </c>
      <c r="S126" s="89" t="n">
        <v>2626</v>
      </c>
      <c r="T126" s="89" t="n">
        <v>601.3</v>
      </c>
      <c r="U126" s="89" t="n">
        <v>221.7</v>
      </c>
      <c r="V126" s="89" t="n">
        <v>1002.3</v>
      </c>
      <c r="W126" s="89" t="n">
        <v>95328.89999999999</v>
      </c>
      <c r="X126" s="90" t="inlineStr">
        <is>
          <t>N/A</t>
        </is>
      </c>
      <c r="Y126" s="90" t="inlineStr">
        <is>
          <t>N/A</t>
        </is>
      </c>
      <c r="Z126" s="89" t="n">
        <v>36712.1</v>
      </c>
      <c r="AA126" s="89" t="n">
        <v>1626.5</v>
      </c>
      <c r="AB126" s="89" t="n">
        <v>2252.7</v>
      </c>
      <c r="AC126" s="89" t="n">
        <v>3731.6</v>
      </c>
      <c r="AD126" s="89" t="n">
        <v>4912.2</v>
      </c>
      <c r="AE126" s="89" t="n">
        <v>4357</v>
      </c>
      <c r="AF126" s="89" t="n">
        <v>30879.3</v>
      </c>
      <c r="AG126" s="89" t="n">
        <v>53951.1</v>
      </c>
      <c r="AH126" s="89" t="n">
        <v>2213.9</v>
      </c>
      <c r="AI126" s="89" t="n">
        <v>95328.89999999999</v>
      </c>
      <c r="AJ126" s="89" t="n">
        <v>3769.3</v>
      </c>
      <c r="AK126" s="89" t="n">
        <v>4114.9</v>
      </c>
      <c r="AL126" s="89" t="n">
        <v>204</v>
      </c>
      <c r="AM126" s="89" t="n">
        <v>166.9</v>
      </c>
      <c r="AN126" s="89" t="n">
        <v>93.09999999999999</v>
      </c>
      <c r="AO126" s="89" t="n">
        <v>110.6</v>
      </c>
      <c r="AP126" s="90" t="inlineStr">
        <is>
          <t>N/A</t>
        </is>
      </c>
      <c r="AQ126" s="90" t="inlineStr">
        <is>
          <t>N/A</t>
        </is>
      </c>
      <c r="AR126" s="90" t="inlineStr">
        <is>
          <t>N/A</t>
        </is>
      </c>
      <c r="AS126" s="89" t="n">
        <v>1495.5</v>
      </c>
      <c r="AT126" s="90" t="inlineStr">
        <is>
          <t>N/A</t>
        </is>
      </c>
      <c r="AU126" s="90" t="inlineStr">
        <is>
          <t>N/A</t>
        </is>
      </c>
      <c r="AV126" s="89" t="n">
        <v>1145.6</v>
      </c>
      <c r="AW126" s="89" t="n">
        <v>1318.6</v>
      </c>
      <c r="AX126" s="89" t="n">
        <v>35037.1</v>
      </c>
      <c r="AY126" s="89" t="n">
        <v>30879.3</v>
      </c>
      <c r="AZ126" s="89" t="n">
        <v>33891.4</v>
      </c>
      <c r="BA126" s="89" t="n">
        <v>4915.4</v>
      </c>
      <c r="BB126" s="89" t="n">
        <v>929.2</v>
      </c>
      <c r="BC126" s="89" t="n">
        <v>926.3</v>
      </c>
      <c r="BD126" s="89" t="n">
        <v>407.5</v>
      </c>
      <c r="BE126" s="89" t="n">
        <v>212.3</v>
      </c>
      <c r="BF126" s="89" t="n">
        <v>418.8</v>
      </c>
      <c r="BG126" s="89" t="n">
        <v>2580.5</v>
      </c>
      <c r="BH126" s="89" t="n">
        <v>-3630.4</v>
      </c>
      <c r="BI126" s="89" t="n">
        <v>-3099.1</v>
      </c>
      <c r="BJ126" s="90" t="inlineStr">
        <is>
          <t>N/A</t>
        </is>
      </c>
      <c r="BK126" s="90" t="inlineStr">
        <is>
          <t>N/A</t>
        </is>
      </c>
      <c r="BL126" s="89" t="n">
        <v>82.3</v>
      </c>
      <c r="BM126" s="89" t="n">
        <v>74.8</v>
      </c>
      <c r="BN126" s="90" t="inlineStr">
        <is>
          <t>N/A</t>
        </is>
      </c>
      <c r="BO126" s="89" t="n">
        <v>-2280.7</v>
      </c>
      <c r="BP126" s="89" t="n">
        <v>-2104.3</v>
      </c>
      <c r="BQ126" s="89" t="n">
        <v>0</v>
      </c>
      <c r="BR126" s="89" t="n">
        <v>0</v>
      </c>
      <c r="BS126" s="90" t="inlineStr">
        <is>
          <t>N/A</t>
        </is>
      </c>
      <c r="BT126" s="90" t="inlineStr">
        <is>
          <t>N/A</t>
        </is>
      </c>
      <c r="BU126" s="90" t="inlineStr">
        <is>
          <t>N/A</t>
        </is>
      </c>
      <c r="BV126" s="90" t="inlineStr">
        <is>
          <t>N/A</t>
        </is>
      </c>
      <c r="BW126" s="89" t="n">
        <v>0</v>
      </c>
      <c r="BX126" s="89" t="n">
        <v>0</v>
      </c>
      <c r="BY126" s="89" t="n">
        <v>0</v>
      </c>
    </row>
    <row r="127" ht="17" customHeight="1">
      <c r="A127" s="82" t="n">
        <v>125</v>
      </c>
      <c r="B127" s="83" t="inlineStr">
        <is>
          <t>TRGP</t>
        </is>
      </c>
      <c r="C127" s="84" t="inlineStr">
        <is>
          <t>TARGA RESOURCES CORP.</t>
        </is>
      </c>
      <c r="D127" s="82" t="inlineStr">
        <is>
          <t>Energy</t>
        </is>
      </c>
      <c r="E127" s="82" t="n">
        <v>2026</v>
      </c>
      <c r="F127" s="85" t="n">
        <v>25218.4</v>
      </c>
      <c r="G127" s="85" t="n">
        <v>2362.7</v>
      </c>
      <c r="H127" s="85" t="n">
        <v>3546.8</v>
      </c>
      <c r="I127" s="85" t="n">
        <v>25218.4</v>
      </c>
      <c r="J127" s="85" t="n">
        <v>2294.4</v>
      </c>
      <c r="K127" s="85" t="n">
        <v>3331.2</v>
      </c>
      <c r="L127" s="85" t="n">
        <v>17028.3</v>
      </c>
      <c r="M127" s="85" t="n">
        <v>1923</v>
      </c>
      <c r="N127" s="85" t="n">
        <v>3917.4</v>
      </c>
      <c r="O127" s="85" t="n">
        <v>2552.6</v>
      </c>
      <c r="P127" s="85" t="n">
        <v>17432.5</v>
      </c>
      <c r="Q127" s="85" t="n">
        <v>3067.9</v>
      </c>
      <c r="R127" s="85" t="n">
        <v>406</v>
      </c>
      <c r="S127" s="85" t="n">
        <v>1515.3</v>
      </c>
      <c r="T127" s="85" t="n">
        <v>1474.6</v>
      </c>
      <c r="U127" s="85" t="n">
        <v>20534.8</v>
      </c>
      <c r="V127" s="85" t="n">
        <v>134.1</v>
      </c>
      <c r="W127" s="85" t="n">
        <v>22734.1</v>
      </c>
      <c r="X127" s="85" t="n">
        <v>2296.3</v>
      </c>
      <c r="Y127" s="85" t="n">
        <v>3172.6</v>
      </c>
      <c r="Z127" s="85" t="n">
        <v>22734.1</v>
      </c>
      <c r="AA127" s="85" t="n">
        <v>2695.4</v>
      </c>
      <c r="AB127" s="85" t="n">
        <v>16381.5</v>
      </c>
      <c r="AC127" s="85" t="n">
        <v>1312</v>
      </c>
      <c r="AD127" s="85" t="n">
        <v>3649.7</v>
      </c>
      <c r="AE127" s="85" t="n">
        <v>771.1</v>
      </c>
      <c r="AF127" s="85" t="n">
        <v>14174.6</v>
      </c>
      <c r="AG127" s="85" t="n">
        <v>2592.4</v>
      </c>
      <c r="AH127" s="85" t="n">
        <v>16381.5</v>
      </c>
      <c r="AI127" s="85" t="n">
        <v>22734.1</v>
      </c>
      <c r="AJ127" s="85" t="n">
        <v>2486.4</v>
      </c>
      <c r="AK127" s="85" t="n">
        <v>1938</v>
      </c>
      <c r="AL127" s="85" t="n">
        <v>529.7</v>
      </c>
      <c r="AM127" s="85" t="n">
        <v>384.5</v>
      </c>
      <c r="AN127" s="85" t="n">
        <v>3333.3</v>
      </c>
      <c r="AO127" s="85" t="n">
        <v>2965.8</v>
      </c>
      <c r="AP127" s="85" t="n">
        <v>429.3</v>
      </c>
      <c r="AQ127" s="85" t="n">
        <v>334.3</v>
      </c>
      <c r="AR127" s="85" t="n">
        <v>112.3</v>
      </c>
      <c r="AS127" s="85" t="n">
        <v>1651.4</v>
      </c>
      <c r="AT127" s="85" t="n">
        <v>150</v>
      </c>
      <c r="AU127" s="91" t="inlineStr">
        <is>
          <t>N/A</t>
        </is>
      </c>
      <c r="AV127" s="85" t="n">
        <v>166.1</v>
      </c>
      <c r="AW127" s="85" t="n">
        <v>157.3</v>
      </c>
      <c r="AX127" s="85" t="n">
        <v>17582.5</v>
      </c>
      <c r="AY127" s="85" t="n">
        <v>14531.1</v>
      </c>
      <c r="AZ127" s="85" t="n">
        <v>17416.4</v>
      </c>
      <c r="BA127" s="85" t="n">
        <v>584.1</v>
      </c>
      <c r="BB127" s="85" t="n">
        <v>214.7</v>
      </c>
      <c r="BC127" s="85" t="n">
        <v>217.8</v>
      </c>
      <c r="BD127" s="85" t="n">
        <v>1618.3</v>
      </c>
      <c r="BE127" s="85" t="n">
        <v>18062.7</v>
      </c>
      <c r="BF127" s="85" t="n">
        <v>384.9</v>
      </c>
      <c r="BG127" s="85" t="n">
        <v>1423</v>
      </c>
      <c r="BH127" s="85" t="n">
        <v>-3642</v>
      </c>
      <c r="BI127" s="85" t="n">
        <v>-3021.3</v>
      </c>
      <c r="BJ127" s="85" t="n">
        <v>1873</v>
      </c>
      <c r="BK127" s="85" t="n">
        <v>2012.5</v>
      </c>
      <c r="BL127" s="85" t="n">
        <v>136.2</v>
      </c>
      <c r="BM127" s="85" t="n">
        <v>69.8</v>
      </c>
      <c r="BN127" s="85" t="n">
        <v>11.7</v>
      </c>
      <c r="BO127" s="85" t="n">
        <v>10507.8</v>
      </c>
      <c r="BP127" s="85" t="n">
        <v>10703</v>
      </c>
      <c r="BQ127" s="85" t="n">
        <v>0</v>
      </c>
      <c r="BR127" s="85" t="n">
        <v>0</v>
      </c>
      <c r="BS127" s="85" t="n">
        <v>0</v>
      </c>
      <c r="BT127" s="85" t="n">
        <v>0</v>
      </c>
      <c r="BU127" s="85" t="n">
        <v>0</v>
      </c>
      <c r="BV127" s="85" t="n">
        <v>0</v>
      </c>
      <c r="BW127" s="85" t="n">
        <v>0</v>
      </c>
      <c r="BX127" s="85" t="n">
        <v>0</v>
      </c>
      <c r="BY127" s="85" t="n">
        <v>0</v>
      </c>
    </row>
    <row r="128" ht="17" customHeight="1">
      <c r="A128" s="86" t="n">
        <v>126</v>
      </c>
      <c r="B128" s="87" t="inlineStr">
        <is>
          <t>PANW</t>
        </is>
      </c>
      <c r="C128" s="88" t="inlineStr">
        <is>
          <t>PALO ALTO NETWORKS, INC</t>
        </is>
      </c>
      <c r="D128" s="86" t="inlineStr">
        <is>
          <t>Information Technology</t>
        </is>
      </c>
      <c r="E128" s="86" t="n">
        <v>2026</v>
      </c>
      <c r="F128" s="89" t="n">
        <v>23576.2</v>
      </c>
      <c r="G128" s="89" t="n">
        <v>7522.8</v>
      </c>
      <c r="H128" s="89" t="n">
        <v>7988</v>
      </c>
      <c r="I128" s="89" t="n">
        <v>15751.8</v>
      </c>
      <c r="J128" s="89" t="n">
        <v>2484.1</v>
      </c>
      <c r="K128" s="89" t="n">
        <v>1242.9</v>
      </c>
      <c r="L128" s="89" t="n">
        <v>2273.1</v>
      </c>
      <c r="M128" s="89" t="n">
        <v>1133.9</v>
      </c>
      <c r="N128" s="89" t="n">
        <v>3716</v>
      </c>
      <c r="O128" s="89" t="n">
        <v>6769.9</v>
      </c>
      <c r="P128" s="89" t="n">
        <v>1991.5</v>
      </c>
      <c r="Q128" s="89" t="n">
        <v>7824.4</v>
      </c>
      <c r="R128" s="89" t="n">
        <v>442.7</v>
      </c>
      <c r="S128" s="89" t="n">
        <v>343.4</v>
      </c>
      <c r="T128" s="89" t="n">
        <v>2965</v>
      </c>
      <c r="U128" s="89" t="n">
        <v>387.3</v>
      </c>
      <c r="V128" s="89" t="n">
        <v>8.300000000000001</v>
      </c>
      <c r="W128" s="89" t="n">
        <v>19990.9</v>
      </c>
      <c r="X128" s="89" t="n">
        <v>6849.7</v>
      </c>
      <c r="Y128" s="89" t="n">
        <v>7682.7</v>
      </c>
      <c r="Z128" s="89" t="n">
        <v>14821.2</v>
      </c>
      <c r="AA128" s="89" t="n">
        <v>683.9</v>
      </c>
      <c r="AB128" s="89" t="n">
        <v>1761.6</v>
      </c>
      <c r="AC128" s="89" t="n">
        <v>2577.6</v>
      </c>
      <c r="AD128" s="89" t="n">
        <v>3257.6</v>
      </c>
      <c r="AE128" s="89" t="n">
        <v>5968.3</v>
      </c>
      <c r="AF128" s="89" t="n">
        <v>3676.8</v>
      </c>
      <c r="AG128" s="89" t="n">
        <v>5169.7</v>
      </c>
      <c r="AH128" s="89" t="n">
        <v>1761.6</v>
      </c>
      <c r="AI128" s="89" t="n">
        <v>19990.9</v>
      </c>
      <c r="AJ128" s="89" t="n">
        <v>1595.7</v>
      </c>
      <c r="AK128" s="89" t="n">
        <v>988.3</v>
      </c>
      <c r="AL128" s="89" t="n">
        <v>461.8</v>
      </c>
      <c r="AM128" s="89" t="n">
        <v>-1589.3</v>
      </c>
      <c r="AN128" s="89" t="n">
        <v>246.2</v>
      </c>
      <c r="AO128" s="89" t="n">
        <v>156.8</v>
      </c>
      <c r="AP128" s="89" t="n">
        <v>113.4</v>
      </c>
      <c r="AQ128" s="89" t="n">
        <v>115.9</v>
      </c>
      <c r="AR128" s="89" t="n">
        <v>4566.6</v>
      </c>
      <c r="AS128" s="89" t="n">
        <v>762.7</v>
      </c>
      <c r="AT128" s="90" t="inlineStr">
        <is>
          <t>N/A</t>
        </is>
      </c>
      <c r="AU128" s="89" t="n">
        <v>1984.1</v>
      </c>
      <c r="AV128" s="89" t="n">
        <v>2268.6</v>
      </c>
      <c r="AW128" s="89" t="n">
        <v>1535.2</v>
      </c>
      <c r="AX128" s="89" t="n">
        <v>1991.5</v>
      </c>
      <c r="AY128" s="89" t="n">
        <v>3676.8</v>
      </c>
      <c r="AZ128" s="89" t="n">
        <v>-277.1</v>
      </c>
      <c r="BA128" s="89" t="n">
        <v>3469.8</v>
      </c>
      <c r="BB128" s="89" t="n">
        <v>667.9</v>
      </c>
      <c r="BC128" s="89" t="n">
        <v>325.1</v>
      </c>
      <c r="BD128" s="89" t="n">
        <v>2618.6</v>
      </c>
      <c r="BE128" s="89" t="n">
        <v>361.1</v>
      </c>
      <c r="BF128" s="89" t="n">
        <v>680.5</v>
      </c>
      <c r="BG128" s="89" t="n">
        <v>283.3</v>
      </c>
      <c r="BH128" s="89" t="n">
        <v>-2204.7</v>
      </c>
      <c r="BI128" s="89" t="n">
        <v>-1509.9</v>
      </c>
      <c r="BJ128" s="89" t="n">
        <v>232.2</v>
      </c>
      <c r="BK128" s="89" t="n">
        <v>116.3</v>
      </c>
      <c r="BL128" s="89" t="n">
        <v>1268.9</v>
      </c>
      <c r="BM128" s="89" t="n">
        <v>968.4</v>
      </c>
      <c r="BN128" s="90" t="inlineStr">
        <is>
          <t>N/A</t>
        </is>
      </c>
      <c r="BO128" s="89" t="n">
        <v>2451.6</v>
      </c>
      <c r="BP128" s="89" t="n">
        <v>2059.2</v>
      </c>
      <c r="BQ128" s="89" t="n">
        <v>0</v>
      </c>
      <c r="BR128" s="89" t="n">
        <v>0</v>
      </c>
      <c r="BS128" s="89" t="n">
        <v>0</v>
      </c>
      <c r="BT128" s="89" t="n">
        <v>0</v>
      </c>
      <c r="BU128" s="89" t="n">
        <v>0</v>
      </c>
      <c r="BV128" s="89" t="n">
        <v>0</v>
      </c>
      <c r="BW128" s="89" t="n">
        <v>0</v>
      </c>
      <c r="BX128" s="89" t="n">
        <v>0</v>
      </c>
      <c r="BY128" s="89" t="n">
        <v>0</v>
      </c>
    </row>
    <row r="129" ht="17" customHeight="1">
      <c r="A129" s="82" t="n">
        <v>127</v>
      </c>
      <c r="B129" s="83" t="inlineStr">
        <is>
          <t>MEDP</t>
        </is>
      </c>
      <c r="C129" s="84" t="inlineStr">
        <is>
          <t>Medpace Holdings, Inc.</t>
        </is>
      </c>
      <c r="D129" s="82" t="inlineStr">
        <is>
          <t>Health Care</t>
        </is>
      </c>
      <c r="E129" s="82" t="n">
        <v>2026</v>
      </c>
      <c r="F129" s="85" t="n">
        <v>1975.5</v>
      </c>
      <c r="G129" s="85" t="n">
        <v>989.6</v>
      </c>
      <c r="H129" s="85" t="n">
        <v>1343.7</v>
      </c>
      <c r="I129" s="85" t="n">
        <v>1516.4</v>
      </c>
      <c r="J129" s="85" t="n">
        <v>-460</v>
      </c>
      <c r="K129" s="85" t="n">
        <v>534.9</v>
      </c>
      <c r="L129" s="85" t="n">
        <v>2530.2</v>
      </c>
      <c r="M129" s="85" t="n">
        <v>451.1</v>
      </c>
      <c r="N129" s="85" t="n">
        <v>713.2</v>
      </c>
      <c r="O129" s="91" t="inlineStr">
        <is>
          <t>N/A</t>
        </is>
      </c>
      <c r="P129" s="85" t="n">
        <v>165</v>
      </c>
      <c r="Q129" s="85" t="n">
        <v>459.1</v>
      </c>
      <c r="R129" s="85" t="n">
        <v>197.6</v>
      </c>
      <c r="S129" s="85" t="n">
        <v>27.2</v>
      </c>
      <c r="T129" s="85" t="n">
        <v>402.1</v>
      </c>
      <c r="U129" s="85" t="n">
        <v>131.1</v>
      </c>
      <c r="V129" s="85" t="n">
        <v>6.9</v>
      </c>
      <c r="W129" s="85" t="n">
        <v>2100.9</v>
      </c>
      <c r="X129" s="85" t="n">
        <v>1029.2</v>
      </c>
      <c r="Y129" s="85" t="n">
        <v>1104.6</v>
      </c>
      <c r="Z129" s="85" t="n">
        <v>1275.3</v>
      </c>
      <c r="AA129" s="85" t="n">
        <v>446.9</v>
      </c>
      <c r="AB129" s="85" t="n">
        <v>2109.1</v>
      </c>
      <c r="AC129" s="85" t="n">
        <v>404.4</v>
      </c>
      <c r="AD129" s="85" t="n">
        <v>608.8</v>
      </c>
      <c r="AE129" s="91" t="inlineStr">
        <is>
          <t>N/A</t>
        </is>
      </c>
      <c r="AF129" s="85" t="n">
        <v>79.7</v>
      </c>
      <c r="AG129" s="85" t="n">
        <v>825.5</v>
      </c>
      <c r="AH129" s="85" t="n">
        <v>2109.1</v>
      </c>
      <c r="AI129" s="85" t="n">
        <v>2100.9</v>
      </c>
      <c r="AJ129" s="85" t="n">
        <v>542.4</v>
      </c>
      <c r="AK129" s="85" t="n">
        <v>475.9</v>
      </c>
      <c r="AL129" s="85" t="n">
        <v>91.3</v>
      </c>
      <c r="AM129" s="85" t="n">
        <v>71.5</v>
      </c>
      <c r="AN129" s="85" t="n">
        <v>31.4</v>
      </c>
      <c r="AO129" s="85" t="n">
        <v>36.5</v>
      </c>
      <c r="AP129" s="91" t="inlineStr">
        <is>
          <t>N/A</t>
        </is>
      </c>
      <c r="AQ129" s="91" t="inlineStr">
        <is>
          <t>N/A</t>
        </is>
      </c>
      <c r="AR129" s="85" t="n">
        <v>662.4</v>
      </c>
      <c r="AS129" s="85" t="n">
        <v>1.8</v>
      </c>
      <c r="AT129" s="91" t="inlineStr">
        <is>
          <t>N/A</t>
        </is>
      </c>
      <c r="AU129" s="91" t="inlineStr">
        <is>
          <t>N/A</t>
        </is>
      </c>
      <c r="AV129" s="85" t="n">
        <v>497</v>
      </c>
      <c r="AW129" s="85" t="n">
        <v>669.4</v>
      </c>
      <c r="AX129" s="85" t="n">
        <v>165</v>
      </c>
      <c r="AY129" s="85" t="n">
        <v>129.7</v>
      </c>
      <c r="AZ129" s="85" t="n">
        <v>-332</v>
      </c>
      <c r="BA129" s="85" t="n">
        <v>681.9</v>
      </c>
      <c r="BB129" s="85" t="n">
        <v>28.4</v>
      </c>
      <c r="BC129" s="85" t="n">
        <v>30.6</v>
      </c>
      <c r="BD129" s="85" t="n">
        <v>296.4</v>
      </c>
      <c r="BE129" s="85" t="n">
        <v>123.6</v>
      </c>
      <c r="BF129" s="85" t="n">
        <v>180.2</v>
      </c>
      <c r="BG129" s="85" t="n">
        <v>27.8</v>
      </c>
      <c r="BH129" s="85" t="n">
        <v>-31.1</v>
      </c>
      <c r="BI129" s="85" t="n">
        <v>-28.3</v>
      </c>
      <c r="BJ129" s="85" t="n">
        <v>28.1</v>
      </c>
      <c r="BK129" s="85" t="n">
        <v>32.5</v>
      </c>
      <c r="BL129" s="85" t="n">
        <v>73.8</v>
      </c>
      <c r="BM129" s="85" t="n">
        <v>65.7</v>
      </c>
      <c r="BN129" s="91" t="inlineStr">
        <is>
          <t>N/A</t>
        </is>
      </c>
      <c r="BO129" s="91" t="inlineStr">
        <is>
          <t>N/A</t>
        </is>
      </c>
      <c r="BP129" s="91" t="inlineStr">
        <is>
          <t>N/A</t>
        </is>
      </c>
      <c r="BQ129" s="85" t="n">
        <v>0</v>
      </c>
      <c r="BR129" s="85" t="n">
        <v>0</v>
      </c>
      <c r="BS129" s="91" t="inlineStr">
        <is>
          <t>N/A</t>
        </is>
      </c>
      <c r="BT129" s="91" t="inlineStr">
        <is>
          <t>N/A</t>
        </is>
      </c>
      <c r="BU129" s="91" t="inlineStr">
        <is>
          <t>N/A</t>
        </is>
      </c>
      <c r="BV129" s="91" t="inlineStr">
        <is>
          <t>N/A</t>
        </is>
      </c>
      <c r="BW129" s="85" t="n">
        <v>0</v>
      </c>
      <c r="BX129" s="85" t="n">
        <v>0</v>
      </c>
      <c r="BY129" s="85" t="n">
        <v>0</v>
      </c>
    </row>
    <row r="130" ht="17" customHeight="1">
      <c r="A130" s="86" t="n">
        <v>128</v>
      </c>
      <c r="B130" s="87" t="inlineStr">
        <is>
          <t>BJRI</t>
        </is>
      </c>
      <c r="C130" s="88" t="inlineStr">
        <is>
          <t>BJ’S RESTAURANTS, INC.</t>
        </is>
      </c>
      <c r="D130" s="86" t="inlineStr">
        <is>
          <t>Consumer Discretionary</t>
        </is>
      </c>
      <c r="E130" s="86" t="n">
        <v>2026</v>
      </c>
      <c r="F130" s="89" t="n">
        <v>1015.5</v>
      </c>
      <c r="G130" s="89" t="n">
        <v>74.90000000000001</v>
      </c>
      <c r="H130" s="89" t="n">
        <v>187.8</v>
      </c>
      <c r="I130" s="89" t="n">
        <v>649.3</v>
      </c>
      <c r="J130" s="89" t="n">
        <v>291.2</v>
      </c>
      <c r="K130" s="89" t="n">
        <v>46.3</v>
      </c>
      <c r="L130" s="89" t="n">
        <v>1399.1</v>
      </c>
      <c r="M130" s="89" t="n">
        <v>48.8</v>
      </c>
      <c r="N130" s="89" t="n">
        <v>110.5</v>
      </c>
      <c r="O130" s="89" t="n">
        <v>1045.8</v>
      </c>
      <c r="P130" s="89" t="n">
        <v>85</v>
      </c>
      <c r="Q130" s="89" t="n">
        <v>366.2</v>
      </c>
      <c r="R130" s="89" t="n">
        <v>91</v>
      </c>
      <c r="S130" s="89" t="n">
        <v>76.59999999999999</v>
      </c>
      <c r="T130" s="89" t="n">
        <v>18.4</v>
      </c>
      <c r="U130" s="89" t="n">
        <v>502.1</v>
      </c>
      <c r="V130" s="89" t="n">
        <v>0.1</v>
      </c>
      <c r="W130" s="89" t="n">
        <v>1041.1</v>
      </c>
      <c r="X130" s="89" t="n">
        <v>79.59999999999999</v>
      </c>
      <c r="Y130" s="89" t="n">
        <v>196.3</v>
      </c>
      <c r="Z130" s="89" t="n">
        <v>671</v>
      </c>
      <c r="AA130" s="89" t="n">
        <v>14.1</v>
      </c>
      <c r="AB130" s="89" t="n">
        <v>1357.3</v>
      </c>
      <c r="AC130" s="89" t="n">
        <v>16.7</v>
      </c>
      <c r="AD130" s="89" t="n">
        <v>101.5</v>
      </c>
      <c r="AE130" s="89" t="n">
        <v>1006.7</v>
      </c>
      <c r="AF130" s="89" t="n">
        <v>66.5</v>
      </c>
      <c r="AG130" s="89" t="n">
        <v>370</v>
      </c>
      <c r="AH130" s="89" t="n">
        <v>1357.3</v>
      </c>
      <c r="AI130" s="89" t="n">
        <v>1041.1</v>
      </c>
      <c r="AJ130" s="89" t="n">
        <v>47.2</v>
      </c>
      <c r="AK130" s="89" t="n">
        <v>8.300000000000001</v>
      </c>
      <c r="AL130" s="89" t="n">
        <v>-1.6</v>
      </c>
      <c r="AM130" s="89" t="n">
        <v>-8.4</v>
      </c>
      <c r="AN130" s="89" t="n">
        <v>69.59999999999999</v>
      </c>
      <c r="AO130" s="89" t="n">
        <v>76.90000000000001</v>
      </c>
      <c r="AP130" s="89" t="n">
        <v>6.1</v>
      </c>
      <c r="AQ130" s="89" t="n">
        <v>6</v>
      </c>
      <c r="AR130" s="89" t="n">
        <v>4.7</v>
      </c>
      <c r="AS130" s="90" t="inlineStr">
        <is>
          <t>N/A</t>
        </is>
      </c>
      <c r="AT130" s="90" t="inlineStr">
        <is>
          <t>N/A</t>
        </is>
      </c>
      <c r="AU130" s="90" t="inlineStr">
        <is>
          <t>N/A</t>
        </is>
      </c>
      <c r="AV130" s="89" t="n">
        <v>23.8</v>
      </c>
      <c r="AW130" s="89" t="n">
        <v>26.1</v>
      </c>
      <c r="AX130" s="89" t="n">
        <v>85</v>
      </c>
      <c r="AY130" s="89" t="n">
        <v>66.5</v>
      </c>
      <c r="AZ130" s="89" t="n">
        <v>61.2</v>
      </c>
      <c r="BA130" s="89" t="n">
        <v>40.9</v>
      </c>
      <c r="BB130" s="89" t="n">
        <v>21.1</v>
      </c>
      <c r="BC130" s="89" t="n">
        <v>22.7</v>
      </c>
      <c r="BD130" s="89" t="n">
        <v>20.4</v>
      </c>
      <c r="BE130" s="89" t="n">
        <v>510.6</v>
      </c>
      <c r="BF130" s="89" t="n">
        <v>88.3</v>
      </c>
      <c r="BG130" s="89" t="n">
        <v>72.7</v>
      </c>
      <c r="BH130" s="89" t="n">
        <v>-69.59999999999999</v>
      </c>
      <c r="BI130" s="89" t="n">
        <v>-76.90000000000001</v>
      </c>
      <c r="BJ130" s="89" t="n">
        <v>38.4</v>
      </c>
      <c r="BK130" s="89" t="n">
        <v>51</v>
      </c>
      <c r="BL130" s="90" t="inlineStr">
        <is>
          <t>N/A</t>
        </is>
      </c>
      <c r="BM130" s="90" t="inlineStr">
        <is>
          <t>N/A</t>
        </is>
      </c>
      <c r="BN130" s="90" t="inlineStr">
        <is>
          <t>N/A</t>
        </is>
      </c>
      <c r="BO130" s="89" t="n">
        <v>353.3</v>
      </c>
      <c r="BP130" s="89" t="n">
        <v>350.6</v>
      </c>
      <c r="BQ130" s="89" t="n">
        <v>0</v>
      </c>
      <c r="BR130" s="89" t="n">
        <v>0</v>
      </c>
      <c r="BS130" s="89" t="n">
        <v>0</v>
      </c>
      <c r="BT130" s="89" t="n">
        <v>0</v>
      </c>
      <c r="BU130" s="89" t="n">
        <v>0</v>
      </c>
      <c r="BV130" s="89" t="n">
        <v>0</v>
      </c>
      <c r="BW130" s="89" t="n">
        <v>0</v>
      </c>
      <c r="BX130" s="89" t="n">
        <v>0</v>
      </c>
      <c r="BY130" s="89" t="n">
        <v>-0</v>
      </c>
    </row>
    <row r="131" ht="17" customHeight="1">
      <c r="A131" s="82" t="n">
        <v>129</v>
      </c>
      <c r="B131" s="83" t="inlineStr">
        <is>
          <t>GLPI</t>
        </is>
      </c>
      <c r="C131" s="84" t="inlineStr">
        <is>
          <t>Gaming and Leisure Properties, Inc.</t>
        </is>
      </c>
      <c r="D131" s="82" t="inlineStr">
        <is>
          <t>Real Estate</t>
        </is>
      </c>
      <c r="E131" s="82" t="n">
        <v>2026</v>
      </c>
      <c r="F131" s="85" t="n">
        <v>12909.6</v>
      </c>
      <c r="G131" s="91" t="inlineStr">
        <is>
          <t>N/A</t>
        </is>
      </c>
      <c r="H131" s="91" t="inlineStr">
        <is>
          <t>N/A</t>
        </is>
      </c>
      <c r="I131" s="85" t="n">
        <v>7901.3</v>
      </c>
      <c r="J131" s="85" t="n">
        <v>-1990.8</v>
      </c>
      <c r="K131" s="85" t="n">
        <v>1201.5</v>
      </c>
      <c r="L131" s="85" t="n">
        <v>1594.8</v>
      </c>
      <c r="M131" s="85" t="n">
        <v>825.1</v>
      </c>
      <c r="N131" s="85" t="n">
        <v>1129.4</v>
      </c>
      <c r="O131" s="91" t="inlineStr">
        <is>
          <t>N/A</t>
        </is>
      </c>
      <c r="P131" s="85" t="n">
        <v>7203.7</v>
      </c>
      <c r="Q131" s="85" t="n">
        <v>4626.5</v>
      </c>
      <c r="R131" s="85" t="n">
        <v>63.5</v>
      </c>
      <c r="S131" s="85" t="n">
        <v>282.9</v>
      </c>
      <c r="T131" s="91" t="inlineStr">
        <is>
          <t>N/A</t>
        </is>
      </c>
      <c r="U131" s="85" t="n">
        <v>13</v>
      </c>
      <c r="V131" s="85" t="n">
        <v>366.9</v>
      </c>
      <c r="W131" s="85" t="n">
        <v>13075.9</v>
      </c>
      <c r="X131" s="91" t="inlineStr">
        <is>
          <t>N/A</t>
        </is>
      </c>
      <c r="Y131" s="91" t="inlineStr">
        <is>
          <t>N/A</t>
        </is>
      </c>
      <c r="Z131" s="85" t="n">
        <v>8430.4</v>
      </c>
      <c r="AA131" s="85" t="n">
        <v>1130.7</v>
      </c>
      <c r="AB131" s="85" t="n">
        <v>1531.5</v>
      </c>
      <c r="AC131" s="85" t="n">
        <v>784.6</v>
      </c>
      <c r="AD131" s="85" t="n">
        <v>1072.8</v>
      </c>
      <c r="AE131" s="91" t="inlineStr">
        <is>
          <t>N/A</t>
        </is>
      </c>
      <c r="AF131" s="85" t="n">
        <v>7735.9</v>
      </c>
      <c r="AG131" s="85" t="n">
        <v>4268.6</v>
      </c>
      <c r="AH131" s="85" t="n">
        <v>1440.4</v>
      </c>
      <c r="AI131" s="85" t="n">
        <v>13075.9</v>
      </c>
      <c r="AJ131" s="85" t="n">
        <v>852.6</v>
      </c>
      <c r="AK131" s="85" t="n">
        <v>809.8</v>
      </c>
      <c r="AL131" s="85" t="n">
        <v>2.2</v>
      </c>
      <c r="AM131" s="85" t="n">
        <v>2.1</v>
      </c>
      <c r="AN131" s="85" t="n">
        <v>13.9</v>
      </c>
      <c r="AO131" s="85" t="n">
        <v>0.5</v>
      </c>
      <c r="AP131" s="91" t="inlineStr">
        <is>
          <t>N/A</t>
        </is>
      </c>
      <c r="AQ131" s="91" t="inlineStr">
        <is>
          <t>N/A</t>
        </is>
      </c>
      <c r="AR131" s="91" t="inlineStr">
        <is>
          <t>N/A</t>
        </is>
      </c>
      <c r="AS131" s="91" t="inlineStr">
        <is>
          <t>N/A</t>
        </is>
      </c>
      <c r="AT131" s="85" t="n">
        <v>0.1</v>
      </c>
      <c r="AU131" s="91" t="inlineStr">
        <is>
          <t>N/A</t>
        </is>
      </c>
      <c r="AV131" s="85" t="n">
        <v>26.8</v>
      </c>
      <c r="AW131" s="85" t="n">
        <v>25.8</v>
      </c>
      <c r="AX131" s="85" t="n">
        <v>7203.8</v>
      </c>
      <c r="AY131" s="85" t="n">
        <v>7735.9</v>
      </c>
      <c r="AZ131" s="85" t="n">
        <v>7177</v>
      </c>
      <c r="BA131" s="85" t="n">
        <v>1115.5</v>
      </c>
      <c r="BB131" s="85" t="n">
        <v>283</v>
      </c>
      <c r="BC131" s="85" t="n">
        <v>274.4</v>
      </c>
      <c r="BD131" s="91" t="inlineStr">
        <is>
          <t>N/A</t>
        </is>
      </c>
      <c r="BE131" s="85" t="n">
        <v>80.59999999999999</v>
      </c>
      <c r="BF131" s="85" t="n">
        <v>59.6</v>
      </c>
      <c r="BG131" s="85" t="n">
        <v>273.4</v>
      </c>
      <c r="BH131" s="85" t="n">
        <v>-308.8</v>
      </c>
      <c r="BI131" s="85" t="n">
        <v>-1605.9</v>
      </c>
      <c r="BJ131" s="91" t="inlineStr">
        <is>
          <t>N/A</t>
        </is>
      </c>
      <c r="BK131" s="91" t="inlineStr">
        <is>
          <t>N/A</t>
        </is>
      </c>
      <c r="BL131" s="85" t="n">
        <v>205.8</v>
      </c>
      <c r="BM131" s="85" t="n">
        <v>228.5</v>
      </c>
      <c r="BN131" s="85" t="n">
        <v>5.2</v>
      </c>
      <c r="BO131" s="91" t="inlineStr">
        <is>
          <t>N/A</t>
        </is>
      </c>
      <c r="BP131" s="91" t="inlineStr">
        <is>
          <t>N/A</t>
        </is>
      </c>
      <c r="BQ131" s="91" t="inlineStr">
        <is>
          <t>N/A</t>
        </is>
      </c>
      <c r="BR131" s="91" t="inlineStr">
        <is>
          <t>N/A</t>
        </is>
      </c>
      <c r="BS131" s="91" t="inlineStr">
        <is>
          <t>N/A</t>
        </is>
      </c>
      <c r="BT131" s="91" t="inlineStr">
        <is>
          <t>N/A</t>
        </is>
      </c>
      <c r="BU131" s="91" t="inlineStr">
        <is>
          <t>N/A</t>
        </is>
      </c>
      <c r="BV131" s="91" t="inlineStr">
        <is>
          <t>N/A</t>
        </is>
      </c>
      <c r="BW131" s="85" t="n">
        <v>0</v>
      </c>
      <c r="BX131" s="85" t="n">
        <v>0</v>
      </c>
      <c r="BY131" s="85" t="n">
        <v>0</v>
      </c>
    </row>
    <row r="132" ht="17" customHeight="1">
      <c r="A132" s="86" t="n">
        <v>130</v>
      </c>
      <c r="B132" s="87" t="inlineStr">
        <is>
          <t>EBAY</t>
        </is>
      </c>
      <c r="C132" s="88" t="inlineStr">
        <is>
          <t>eBay Inc.</t>
        </is>
      </c>
      <c r="D132" s="86" t="inlineStr">
        <is>
          <t>Consumer Discretionary</t>
        </is>
      </c>
      <c r="E132" s="86" t="n">
        <v>2026</v>
      </c>
      <c r="F132" s="89" t="n">
        <v>17610</v>
      </c>
      <c r="G132" s="89" t="n">
        <v>5086</v>
      </c>
      <c r="H132" s="89" t="n">
        <v>4637</v>
      </c>
      <c r="I132" s="89" t="n">
        <v>12995</v>
      </c>
      <c r="J132" s="89" t="n">
        <v>39428</v>
      </c>
      <c r="K132" s="89" t="n">
        <v>2277</v>
      </c>
      <c r="L132" s="89" t="n">
        <v>17902</v>
      </c>
      <c r="M132" s="89" t="n">
        <v>2031</v>
      </c>
      <c r="N132" s="89" t="n">
        <v>1959</v>
      </c>
      <c r="O132" s="89" t="n">
        <v>7931</v>
      </c>
      <c r="P132" s="89" t="n">
        <v>7721</v>
      </c>
      <c r="Q132" s="89" t="n">
        <v>4615</v>
      </c>
      <c r="R132" s="89" t="n">
        <v>1198</v>
      </c>
      <c r="S132" s="89" t="n">
        <v>407</v>
      </c>
      <c r="T132" s="89" t="n">
        <v>135</v>
      </c>
      <c r="U132" s="89" t="n">
        <v>1338</v>
      </c>
      <c r="V132" s="89" t="n">
        <v>263</v>
      </c>
      <c r="W132" s="89" t="n">
        <v>19365</v>
      </c>
      <c r="X132" s="89" t="n">
        <v>7567</v>
      </c>
      <c r="Y132" s="89" t="n">
        <v>6098</v>
      </c>
      <c r="Z132" s="89" t="n">
        <v>14207</v>
      </c>
      <c r="AA132" s="89" t="n">
        <v>2318</v>
      </c>
      <c r="AB132" s="89" t="n">
        <v>16047</v>
      </c>
      <c r="AC132" s="89" t="n">
        <v>1975</v>
      </c>
      <c r="AD132" s="89" t="n">
        <v>2414</v>
      </c>
      <c r="AE132" s="89" t="n">
        <v>7403</v>
      </c>
      <c r="AF132" s="89" t="n">
        <v>7727</v>
      </c>
      <c r="AG132" s="89" t="n">
        <v>5158</v>
      </c>
      <c r="AH132" s="89" t="n">
        <v>16047</v>
      </c>
      <c r="AI132" s="89" t="n">
        <v>19365</v>
      </c>
      <c r="AJ132" s="89" t="n">
        <v>2307</v>
      </c>
      <c r="AK132" s="89" t="n">
        <v>2278</v>
      </c>
      <c r="AL132" s="89" t="n">
        <v>311</v>
      </c>
      <c r="AM132" s="89" t="n">
        <v>297</v>
      </c>
      <c r="AN132" s="89" t="n">
        <v>525</v>
      </c>
      <c r="AO132" s="89" t="n">
        <v>458</v>
      </c>
      <c r="AP132" s="90" t="inlineStr">
        <is>
          <t>N/A</t>
        </is>
      </c>
      <c r="AQ132" s="90" t="inlineStr">
        <is>
          <t>N/A</t>
        </is>
      </c>
      <c r="AR132" s="89" t="n">
        <v>4467</v>
      </c>
      <c r="AS132" s="89" t="n">
        <v>119</v>
      </c>
      <c r="AT132" s="89" t="n">
        <v>750</v>
      </c>
      <c r="AU132" s="89" t="n">
        <v>1642</v>
      </c>
      <c r="AV132" s="89" t="n">
        <v>1867</v>
      </c>
      <c r="AW132" s="89" t="n">
        <v>2433</v>
      </c>
      <c r="AX132" s="89" t="n">
        <v>8471</v>
      </c>
      <c r="AY132" s="89" t="n">
        <v>8877</v>
      </c>
      <c r="AZ132" s="89" t="n">
        <v>6604</v>
      </c>
      <c r="BA132" s="89" t="n">
        <v>1434</v>
      </c>
      <c r="BB132" s="89" t="n">
        <v>449</v>
      </c>
      <c r="BC132" s="89" t="n">
        <v>471</v>
      </c>
      <c r="BD132" s="89" t="n">
        <v>108</v>
      </c>
      <c r="BE132" s="89" t="n">
        <v>1263</v>
      </c>
      <c r="BF132" s="89" t="n">
        <v>914</v>
      </c>
      <c r="BG132" s="89" t="n">
        <v>324</v>
      </c>
      <c r="BH132" s="89" t="n">
        <v>1420</v>
      </c>
      <c r="BI132" s="89" t="n">
        <v>2213</v>
      </c>
      <c r="BJ132" s="89" t="n">
        <v>242</v>
      </c>
      <c r="BK132" s="89" t="n">
        <v>257</v>
      </c>
      <c r="BL132" s="89" t="n">
        <v>96.5</v>
      </c>
      <c r="BM132" s="89" t="n">
        <v>99.3</v>
      </c>
      <c r="BN132" s="89" t="n">
        <v>108</v>
      </c>
      <c r="BO132" s="89" t="n">
        <v>3169</v>
      </c>
      <c r="BP132" s="89" t="n">
        <v>2880</v>
      </c>
      <c r="BQ132" s="89" t="n">
        <v>0</v>
      </c>
      <c r="BR132" s="89" t="n">
        <v>0</v>
      </c>
      <c r="BS132" s="90" t="inlineStr">
        <is>
          <t>N/A</t>
        </is>
      </c>
      <c r="BT132" s="90" t="inlineStr">
        <is>
          <t>N/A</t>
        </is>
      </c>
      <c r="BU132" s="89" t="n">
        <v>0</v>
      </c>
      <c r="BV132" s="89" t="n">
        <v>0</v>
      </c>
      <c r="BW132" s="89" t="n">
        <v>0</v>
      </c>
      <c r="BX132" s="89" t="n">
        <v>0</v>
      </c>
      <c r="BY132" s="89" t="n">
        <v>0</v>
      </c>
    </row>
    <row r="133" ht="17" customHeight="1">
      <c r="A133" s="82" t="n">
        <v>131</v>
      </c>
      <c r="B133" s="83" t="inlineStr">
        <is>
          <t>MSA</t>
        </is>
      </c>
      <c r="C133" s="84" t="inlineStr">
        <is>
          <t>MSA Safety Inc</t>
        </is>
      </c>
      <c r="D133" s="82" t="inlineStr">
        <is>
          <t>Industrials</t>
        </is>
      </c>
      <c r="E133" s="82" t="n">
        <v>2026</v>
      </c>
      <c r="F133" s="85" t="n">
        <v>2554.4</v>
      </c>
      <c r="G133" s="85" t="n">
        <v>869.3</v>
      </c>
      <c r="H133" s="85" t="n">
        <v>289.2</v>
      </c>
      <c r="I133" s="85" t="n">
        <v>1187.4</v>
      </c>
      <c r="J133" s="85" t="n">
        <v>1546.2</v>
      </c>
      <c r="K133" s="85" t="n">
        <v>371.8</v>
      </c>
      <c r="L133" s="85" t="n">
        <v>1874.8</v>
      </c>
      <c r="M133" s="85" t="n">
        <v>278.9</v>
      </c>
      <c r="N133" s="85" t="n">
        <v>363.9</v>
      </c>
      <c r="O133" s="85" t="n">
        <v>871.1</v>
      </c>
      <c r="P133" s="85" t="n">
        <v>580.9</v>
      </c>
      <c r="Q133" s="85" t="n">
        <v>834.4</v>
      </c>
      <c r="R133" s="85" t="n">
        <v>414.3</v>
      </c>
      <c r="S133" s="85" t="n">
        <v>31.7</v>
      </c>
      <c r="T133" s="85" t="n">
        <v>306.5</v>
      </c>
      <c r="U133" s="85" t="n">
        <v>283.1</v>
      </c>
      <c r="V133" s="85" t="n">
        <v>46.7</v>
      </c>
      <c r="W133" s="85" t="n">
        <v>2205.8</v>
      </c>
      <c r="X133" s="85" t="n">
        <v>803</v>
      </c>
      <c r="Y133" s="85" t="n">
        <v>288.1</v>
      </c>
      <c r="Z133" s="85" t="n">
        <v>1062.5</v>
      </c>
      <c r="AA133" s="85" t="n">
        <v>389.2</v>
      </c>
      <c r="AB133" s="85" t="n">
        <v>1808.1</v>
      </c>
      <c r="AC133" s="85" t="n">
        <v>86.90000000000001</v>
      </c>
      <c r="AD133" s="85" t="n">
        <v>296.4</v>
      </c>
      <c r="AE133" s="85" t="n">
        <v>239.4</v>
      </c>
      <c r="AF133" s="85" t="n">
        <v>508</v>
      </c>
      <c r="AG133" s="85" t="n">
        <v>801.9</v>
      </c>
      <c r="AH133" s="85" t="n">
        <v>1808.1</v>
      </c>
      <c r="AI133" s="85" t="n">
        <v>2205.8</v>
      </c>
      <c r="AJ133" s="85" t="n">
        <v>366.4</v>
      </c>
      <c r="AK133" s="85" t="n">
        <v>375</v>
      </c>
      <c r="AL133" s="85" t="n">
        <v>87.5</v>
      </c>
      <c r="AM133" s="85" t="n">
        <v>90</v>
      </c>
      <c r="AN133" s="85" t="n">
        <v>68.40000000000001</v>
      </c>
      <c r="AO133" s="85" t="n">
        <v>54.2</v>
      </c>
      <c r="AP133" s="85" t="n">
        <v>343</v>
      </c>
      <c r="AQ133" s="85" t="n">
        <v>296.8</v>
      </c>
      <c r="AR133" s="85" t="n">
        <v>731.6</v>
      </c>
      <c r="AS133" s="85" t="n">
        <v>239.1</v>
      </c>
      <c r="AT133" s="85" t="n">
        <v>0.1</v>
      </c>
      <c r="AU133" s="85" t="n">
        <v>65.3</v>
      </c>
      <c r="AV133" s="85" t="n">
        <v>165.1</v>
      </c>
      <c r="AW133" s="85" t="n">
        <v>164.6</v>
      </c>
      <c r="AX133" s="85" t="n">
        <v>581</v>
      </c>
      <c r="AY133" s="85" t="n">
        <v>508.1</v>
      </c>
      <c r="AZ133" s="85" t="n">
        <v>416</v>
      </c>
      <c r="BA133" s="85" t="n">
        <v>295.4</v>
      </c>
      <c r="BB133" s="85" t="n">
        <v>38.9</v>
      </c>
      <c r="BC133" s="85" t="n">
        <v>39.3</v>
      </c>
      <c r="BD133" s="85" t="n">
        <v>279.2</v>
      </c>
      <c r="BE133" s="85" t="n">
        <v>211.9</v>
      </c>
      <c r="BF133" s="85" t="n">
        <v>394.7</v>
      </c>
      <c r="BG133" s="85" t="n">
        <v>29.9</v>
      </c>
      <c r="BH133" s="85" t="n">
        <v>-257.6</v>
      </c>
      <c r="BI133" s="85" t="n">
        <v>-53.8</v>
      </c>
      <c r="BJ133" s="85" t="n">
        <v>110.8</v>
      </c>
      <c r="BK133" s="85" t="n">
        <v>108.2</v>
      </c>
      <c r="BL133" s="91" t="inlineStr">
        <is>
          <t>N/A</t>
        </is>
      </c>
      <c r="BM133" s="91" t="inlineStr">
        <is>
          <t>N/A</t>
        </is>
      </c>
      <c r="BN133" s="85" t="n">
        <v>14.2</v>
      </c>
      <c r="BO133" s="85" t="n">
        <v>1003.7</v>
      </c>
      <c r="BP133" s="85" t="n">
        <v>947.7</v>
      </c>
      <c r="BQ133" s="85" t="n">
        <v>0</v>
      </c>
      <c r="BR133" s="85" t="n">
        <v>0</v>
      </c>
      <c r="BS133" s="85" t="n">
        <v>0</v>
      </c>
      <c r="BT133" s="85" t="n">
        <v>0</v>
      </c>
      <c r="BU133" s="85" t="n">
        <v>0</v>
      </c>
      <c r="BV133" s="85" t="n">
        <v>0</v>
      </c>
      <c r="BW133" s="85" t="n">
        <v>0</v>
      </c>
      <c r="BX133" s="85" t="n">
        <v>0</v>
      </c>
      <c r="BY133" s="85" t="n">
        <v>0</v>
      </c>
    </row>
    <row r="134" ht="17" customHeight="1">
      <c r="A134" s="86" t="n">
        <v>132</v>
      </c>
      <c r="B134" s="87" t="inlineStr">
        <is>
          <t>NOC</t>
        </is>
      </c>
      <c r="C134" s="88" t="inlineStr">
        <is>
          <t>NORTHROP GRUMMAN CORP /DE/</t>
        </is>
      </c>
      <c r="D134" s="86" t="inlineStr">
        <is>
          <t>Industrials</t>
        </is>
      </c>
      <c r="E134" s="86" t="n">
        <v>2026</v>
      </c>
      <c r="F134" s="89" t="n">
        <v>51377</v>
      </c>
      <c r="G134" s="89" t="n">
        <v>15287</v>
      </c>
      <c r="H134" s="89" t="n">
        <v>13882</v>
      </c>
      <c r="I134" s="89" t="n">
        <v>34703</v>
      </c>
      <c r="J134" s="89" t="n">
        <v>16658</v>
      </c>
      <c r="K134" s="89" t="n">
        <v>4511</v>
      </c>
      <c r="L134" s="89" t="n">
        <v>41954</v>
      </c>
      <c r="M134" s="89" t="n">
        <v>4182</v>
      </c>
      <c r="N134" s="89" t="n">
        <v>4757</v>
      </c>
      <c r="O134" s="89" t="n">
        <v>29683</v>
      </c>
      <c r="P134" s="89" t="n">
        <v>15696</v>
      </c>
      <c r="Q134" s="89" t="n">
        <v>16674</v>
      </c>
      <c r="R134" s="89" t="n">
        <v>4033</v>
      </c>
      <c r="S134" s="89" t="n">
        <v>1472</v>
      </c>
      <c r="T134" s="89" t="n">
        <v>1375</v>
      </c>
      <c r="U134" s="89" t="n">
        <v>10972</v>
      </c>
      <c r="V134" s="90" t="inlineStr">
        <is>
          <t>N/A</t>
        </is>
      </c>
      <c r="W134" s="89" t="n">
        <v>49359</v>
      </c>
      <c r="X134" s="89" t="n">
        <v>14274</v>
      </c>
      <c r="Y134" s="89" t="n">
        <v>14128</v>
      </c>
      <c r="Z134" s="89" t="n">
        <v>34069</v>
      </c>
      <c r="AA134" s="89" t="n">
        <v>4370</v>
      </c>
      <c r="AB134" s="89" t="n">
        <v>41033</v>
      </c>
      <c r="AC134" s="89" t="n">
        <v>4174</v>
      </c>
      <c r="AD134" s="89" t="n">
        <v>4388</v>
      </c>
      <c r="AE134" s="89" t="n">
        <v>30031</v>
      </c>
      <c r="AF134" s="89" t="n">
        <v>16274</v>
      </c>
      <c r="AG134" s="89" t="n">
        <v>15290</v>
      </c>
      <c r="AH134" s="89" t="n">
        <v>41033</v>
      </c>
      <c r="AI134" s="89" t="n">
        <v>49359</v>
      </c>
      <c r="AJ134" s="89" t="n">
        <v>5068</v>
      </c>
      <c r="AK134" s="89" t="n">
        <v>5016</v>
      </c>
      <c r="AL134" s="89" t="n">
        <v>886</v>
      </c>
      <c r="AM134" s="89" t="n">
        <v>842</v>
      </c>
      <c r="AN134" s="89" t="n">
        <v>1450</v>
      </c>
      <c r="AO134" s="89" t="n">
        <v>1767</v>
      </c>
      <c r="AP134" s="89" t="n">
        <v>1309</v>
      </c>
      <c r="AQ134" s="89" t="n">
        <v>1455</v>
      </c>
      <c r="AR134" s="89" t="n">
        <v>17437</v>
      </c>
      <c r="AS134" s="89" t="n">
        <v>208</v>
      </c>
      <c r="AT134" s="89" t="n">
        <v>13</v>
      </c>
      <c r="AU134" s="89" t="n">
        <v>1100</v>
      </c>
      <c r="AV134" s="89" t="n">
        <v>4403</v>
      </c>
      <c r="AW134" s="89" t="n">
        <v>4353</v>
      </c>
      <c r="AX134" s="89" t="n">
        <v>15709</v>
      </c>
      <c r="AY134" s="89" t="n">
        <v>17058</v>
      </c>
      <c r="AZ134" s="89" t="n">
        <v>11306</v>
      </c>
      <c r="BA134" s="89" t="n">
        <v>3307</v>
      </c>
      <c r="BB134" s="89" t="n">
        <v>142</v>
      </c>
      <c r="BC134" s="89" t="n">
        <v>145</v>
      </c>
      <c r="BD134" s="89" t="n">
        <v>1272</v>
      </c>
      <c r="BE134" s="89" t="n">
        <v>10536</v>
      </c>
      <c r="BF134" s="89" t="n">
        <v>3992</v>
      </c>
      <c r="BG134" s="89" t="n">
        <v>1370</v>
      </c>
      <c r="BH134" s="89" t="n">
        <v>-1155</v>
      </c>
      <c r="BI134" s="89" t="n">
        <v>-1749</v>
      </c>
      <c r="BJ134" s="89" t="n">
        <v>3240</v>
      </c>
      <c r="BK134" s="89" t="n">
        <v>2599</v>
      </c>
      <c r="BL134" s="89" t="n">
        <v>4086</v>
      </c>
      <c r="BM134" s="89" t="n">
        <v>4070</v>
      </c>
      <c r="BN134" s="90" t="inlineStr">
        <is>
          <t>N/A</t>
        </is>
      </c>
      <c r="BO134" s="89" t="n">
        <v>12271</v>
      </c>
      <c r="BP134" s="89" t="n">
        <v>11002</v>
      </c>
      <c r="BQ134" s="89" t="n">
        <v>0</v>
      </c>
      <c r="BR134" s="89" t="n">
        <v>0</v>
      </c>
      <c r="BS134" s="89" t="n">
        <v>0</v>
      </c>
      <c r="BT134" s="89" t="n">
        <v>0</v>
      </c>
      <c r="BU134" s="89" t="n">
        <v>0</v>
      </c>
      <c r="BV134" s="89" t="n">
        <v>0</v>
      </c>
      <c r="BW134" s="89" t="n">
        <v>0</v>
      </c>
      <c r="BX134" s="89" t="n">
        <v>0</v>
      </c>
      <c r="BY134" s="89" t="n">
        <v>0</v>
      </c>
    </row>
    <row r="135" ht="17" customHeight="1">
      <c r="A135" s="82" t="n">
        <v>133</v>
      </c>
      <c r="B135" s="83" t="inlineStr">
        <is>
          <t>V</t>
        </is>
      </c>
      <c r="C135" s="84" t="inlineStr">
        <is>
          <t>VISA INC.</t>
        </is>
      </c>
      <c r="D135" s="82" t="inlineStr">
        <is>
          <t>Financials</t>
        </is>
      </c>
      <c r="E135" s="82" t="n">
        <v>2026</v>
      </c>
      <c r="F135" s="85" t="n">
        <v>99627</v>
      </c>
      <c r="G135" s="85" t="n">
        <v>37766</v>
      </c>
      <c r="H135" s="85" t="n">
        <v>35048</v>
      </c>
      <c r="I135" s="85" t="n">
        <v>61718</v>
      </c>
      <c r="J135" s="85" t="n">
        <v>15106</v>
      </c>
      <c r="K135" s="85" t="n">
        <v>23994</v>
      </c>
      <c r="L135" s="85" t="n">
        <v>21846</v>
      </c>
      <c r="M135" s="85" t="n">
        <v>20058</v>
      </c>
      <c r="N135" s="85" t="n">
        <v>23059</v>
      </c>
      <c r="O135" s="91" t="inlineStr">
        <is>
          <t>N/A</t>
        </is>
      </c>
      <c r="P135" s="85" t="n">
        <v>20977</v>
      </c>
      <c r="Q135" s="85" t="n">
        <v>26437</v>
      </c>
      <c r="R135" s="85" t="n">
        <v>1926</v>
      </c>
      <c r="S135" s="85" t="n">
        <v>1220</v>
      </c>
      <c r="T135" s="85" t="n">
        <v>3126</v>
      </c>
      <c r="U135" s="85" t="n">
        <v>4236</v>
      </c>
      <c r="V135" s="85" t="n">
        <v>-29</v>
      </c>
      <c r="W135" s="85" t="n">
        <v>94511</v>
      </c>
      <c r="X135" s="85" t="n">
        <v>34033</v>
      </c>
      <c r="Y135" s="85" t="n">
        <v>26517</v>
      </c>
      <c r="Z135" s="85" t="n">
        <v>55374</v>
      </c>
      <c r="AA135" s="85" t="n">
        <v>23595</v>
      </c>
      <c r="AB135" s="85" t="n">
        <v>22977</v>
      </c>
      <c r="AC135" s="85" t="n">
        <v>19743</v>
      </c>
      <c r="AD135" s="85" t="n">
        <v>19950</v>
      </c>
      <c r="AE135" s="91" t="inlineStr">
        <is>
          <t>N/A</t>
        </is>
      </c>
      <c r="AF135" s="85" t="n">
        <v>24070</v>
      </c>
      <c r="AG135" s="85" t="n">
        <v>25011</v>
      </c>
      <c r="AH135" s="85" t="n">
        <v>22977</v>
      </c>
      <c r="AI135" s="85" t="n">
        <v>94511</v>
      </c>
      <c r="AJ135" s="85" t="n">
        <v>24194</v>
      </c>
      <c r="AK135" s="85" t="n">
        <v>23916</v>
      </c>
      <c r="AL135" s="85" t="n">
        <v>4136</v>
      </c>
      <c r="AM135" s="85" t="n">
        <v>4173</v>
      </c>
      <c r="AN135" s="85" t="n">
        <v>1482</v>
      </c>
      <c r="AO135" s="85" t="n">
        <v>1257</v>
      </c>
      <c r="AP135" s="91" t="inlineStr">
        <is>
          <t>N/A</t>
        </is>
      </c>
      <c r="AQ135" s="91" t="inlineStr">
        <is>
          <t>N/A</t>
        </is>
      </c>
      <c r="AR135" s="85" t="n">
        <v>19879</v>
      </c>
      <c r="AS135" s="85" t="n">
        <v>231</v>
      </c>
      <c r="AT135" s="85" t="n">
        <v>5569</v>
      </c>
      <c r="AU135" s="91" t="inlineStr">
        <is>
          <t>N/A</t>
        </is>
      </c>
      <c r="AV135" s="85" t="n">
        <v>17164</v>
      </c>
      <c r="AW135" s="85" t="n">
        <v>11975</v>
      </c>
      <c r="AX135" s="85" t="n">
        <v>26546</v>
      </c>
      <c r="AY135" s="85" t="n">
        <v>24070</v>
      </c>
      <c r="AZ135" s="85" t="n">
        <v>9382</v>
      </c>
      <c r="BA135" s="85" t="n">
        <v>21577</v>
      </c>
      <c r="BB135" s="91" t="inlineStr">
        <is>
          <t>N/A</t>
        </is>
      </c>
      <c r="BC135" s="91" t="inlineStr">
        <is>
          <t>N/A</t>
        </is>
      </c>
      <c r="BD135" s="85" t="n">
        <v>2561</v>
      </c>
      <c r="BE135" s="85" t="n">
        <v>3824</v>
      </c>
      <c r="BF135" s="85" t="n">
        <v>1598</v>
      </c>
      <c r="BG135" s="85" t="n">
        <v>1034</v>
      </c>
      <c r="BH135" s="85" t="n">
        <v>708</v>
      </c>
      <c r="BI135" s="85" t="n">
        <v>-1926</v>
      </c>
      <c r="BJ135" s="85" t="n">
        <v>555</v>
      </c>
      <c r="BK135" s="85" t="n">
        <v>479</v>
      </c>
      <c r="BL135" s="85" t="n">
        <v>81</v>
      </c>
      <c r="BM135" s="85" t="n">
        <v>82</v>
      </c>
      <c r="BN135" s="85" t="n">
        <v>512</v>
      </c>
      <c r="BO135" s="91" t="inlineStr">
        <is>
          <t>N/A</t>
        </is>
      </c>
      <c r="BP135" s="91" t="inlineStr">
        <is>
          <t>N/A</t>
        </is>
      </c>
      <c r="BQ135" s="85" t="n">
        <v>0</v>
      </c>
      <c r="BR135" s="85" t="n">
        <v>0</v>
      </c>
      <c r="BS135" s="91" t="inlineStr">
        <is>
          <t>N/A</t>
        </is>
      </c>
      <c r="BT135" s="91" t="inlineStr">
        <is>
          <t>N/A</t>
        </is>
      </c>
      <c r="BU135" s="91" t="inlineStr">
        <is>
          <t>N/A</t>
        </is>
      </c>
      <c r="BV135" s="91" t="inlineStr">
        <is>
          <t>N/A</t>
        </is>
      </c>
      <c r="BW135" s="85" t="n">
        <v>0</v>
      </c>
      <c r="BX135" s="85" t="n">
        <v>0</v>
      </c>
      <c r="BY135" s="85" t="n">
        <v>0</v>
      </c>
    </row>
    <row r="136" ht="17" customHeight="1">
      <c r="A136" s="86" t="n">
        <v>134</v>
      </c>
      <c r="B136" s="87" t="inlineStr">
        <is>
          <t>MDT</t>
        </is>
      </c>
      <c r="C136" s="88" t="inlineStr">
        <is>
          <t>Medtronic plc</t>
        </is>
      </c>
      <c r="D136" s="86" t="inlineStr">
        <is>
          <t>Health Care</t>
        </is>
      </c>
      <c r="E136" s="86" t="n">
        <v>2026</v>
      </c>
      <c r="F136" s="89" t="n">
        <v>93028</v>
      </c>
      <c r="G136" s="89" t="n">
        <v>24787</v>
      </c>
      <c r="H136" s="89" t="n">
        <v>11658</v>
      </c>
      <c r="I136" s="89" t="n">
        <v>42956</v>
      </c>
      <c r="J136" s="89" t="n">
        <v>32638</v>
      </c>
      <c r="K136" s="89" t="n">
        <v>6467</v>
      </c>
      <c r="L136" s="89" t="n">
        <v>36364</v>
      </c>
      <c r="M136" s="89" t="n">
        <v>4801</v>
      </c>
      <c r="N136" s="89" t="n">
        <v>7330</v>
      </c>
      <c r="O136" s="89" t="n">
        <v>3734</v>
      </c>
      <c r="P136" s="89" t="n">
        <v>22140</v>
      </c>
      <c r="Q136" s="89" t="n">
        <v>49463</v>
      </c>
      <c r="R136" s="89" t="n">
        <v>11784</v>
      </c>
      <c r="S136" s="89" t="n">
        <v>2958</v>
      </c>
      <c r="T136" s="89" t="n">
        <v>6643</v>
      </c>
      <c r="U136" s="89" t="n">
        <v>7417</v>
      </c>
      <c r="V136" s="89" t="n">
        <v>719</v>
      </c>
      <c r="W136" s="89" t="n">
        <v>91680</v>
      </c>
      <c r="X136" s="89" t="n">
        <v>23814</v>
      </c>
      <c r="Y136" s="89" t="n">
        <v>12879</v>
      </c>
      <c r="Z136" s="89" t="n">
        <v>43424</v>
      </c>
      <c r="AA136" s="89" t="n">
        <v>5955</v>
      </c>
      <c r="AB136" s="89" t="n">
        <v>33537</v>
      </c>
      <c r="AC136" s="89" t="n">
        <v>4662</v>
      </c>
      <c r="AD136" s="89" t="n">
        <v>7044</v>
      </c>
      <c r="AE136" s="89" t="n">
        <v>5317</v>
      </c>
      <c r="AF136" s="89" t="n">
        <v>24552</v>
      </c>
      <c r="AG136" s="89" t="n">
        <v>48024</v>
      </c>
      <c r="AH136" s="89" t="n">
        <v>33537</v>
      </c>
      <c r="AI136" s="89" t="n">
        <v>91680</v>
      </c>
      <c r="AJ136" s="89" t="n">
        <v>6136</v>
      </c>
      <c r="AK136" s="89" t="n">
        <v>5628</v>
      </c>
      <c r="AL136" s="89" t="n">
        <v>1299</v>
      </c>
      <c r="AM136" s="89" t="n">
        <v>936</v>
      </c>
      <c r="AN136" s="89" t="n">
        <v>1904</v>
      </c>
      <c r="AO136" s="89" t="n">
        <v>1859</v>
      </c>
      <c r="AP136" s="89" t="n">
        <v>5951</v>
      </c>
      <c r="AQ136" s="89" t="n">
        <v>5476</v>
      </c>
      <c r="AR136" s="89" t="n">
        <v>42587</v>
      </c>
      <c r="AS136" s="89" t="n">
        <v>10146</v>
      </c>
      <c r="AT136" s="89" t="n">
        <v>1788</v>
      </c>
      <c r="AU136" s="89" t="n">
        <v>2873</v>
      </c>
      <c r="AV136" s="89" t="n">
        <v>1949</v>
      </c>
      <c r="AW136" s="89" t="n">
        <v>2218</v>
      </c>
      <c r="AX136" s="89" t="n">
        <v>23928</v>
      </c>
      <c r="AY136" s="89" t="n">
        <v>27426</v>
      </c>
      <c r="AZ136" s="89" t="n">
        <v>21979</v>
      </c>
      <c r="BA136" s="89" t="n">
        <v>5426</v>
      </c>
      <c r="BB136" s="89" t="n">
        <v>1280.2</v>
      </c>
      <c r="BC136" s="89" t="n">
        <v>1281.9</v>
      </c>
      <c r="BD136" s="89" t="n">
        <v>6515</v>
      </c>
      <c r="BE136" s="89" t="n">
        <v>6837</v>
      </c>
      <c r="BF136" s="89" t="n">
        <v>10849</v>
      </c>
      <c r="BG136" s="89" t="n">
        <v>2861</v>
      </c>
      <c r="BH136" s="89" t="n">
        <v>-2934</v>
      </c>
      <c r="BI136" s="89" t="n">
        <v>-1937</v>
      </c>
      <c r="BJ136" s="89" t="n">
        <v>2644</v>
      </c>
      <c r="BK136" s="89" t="n">
        <v>2449</v>
      </c>
      <c r="BL136" s="89" t="n">
        <v>500</v>
      </c>
      <c r="BM136" s="89" t="n">
        <v>446</v>
      </c>
      <c r="BN136" s="89" t="n">
        <v>914</v>
      </c>
      <c r="BO136" s="89" t="n">
        <v>12721</v>
      </c>
      <c r="BP136" s="89" t="n">
        <v>11632</v>
      </c>
      <c r="BQ136" s="89" t="n">
        <v>0</v>
      </c>
      <c r="BR136" s="89" t="n">
        <v>0</v>
      </c>
      <c r="BS136" s="89" t="n">
        <v>0</v>
      </c>
      <c r="BT136" s="89" t="n">
        <v>0</v>
      </c>
      <c r="BU136" s="89" t="n">
        <v>0</v>
      </c>
      <c r="BV136" s="89" t="n">
        <v>0</v>
      </c>
      <c r="BW136" s="89" t="n">
        <v>0</v>
      </c>
      <c r="BX136" s="89" t="n">
        <v>0</v>
      </c>
      <c r="BY136" s="89" t="n">
        <v>0</v>
      </c>
    </row>
    <row r="137" ht="17" customHeight="1">
      <c r="A137" s="82" t="n">
        <v>135</v>
      </c>
      <c r="B137" s="83" t="inlineStr">
        <is>
          <t>WDC</t>
        </is>
      </c>
      <c r="C137" s="84" t="inlineStr">
        <is>
          <t>WESTERN DIGITAL CORPORATION</t>
        </is>
      </c>
      <c r="D137" s="82" t="inlineStr">
        <is>
          <t>Information Technology</t>
        </is>
      </c>
      <c r="E137" s="82" t="n">
        <v>2026</v>
      </c>
      <c r="F137" s="85" t="n">
        <v>14002</v>
      </c>
      <c r="G137" s="85" t="n">
        <v>5856</v>
      </c>
      <c r="H137" s="85" t="n">
        <v>5418</v>
      </c>
      <c r="I137" s="85" t="n">
        <v>8462</v>
      </c>
      <c r="J137" s="85" t="n">
        <v>762</v>
      </c>
      <c r="K137" s="85" t="n">
        <v>2334</v>
      </c>
      <c r="L137" s="85" t="n">
        <v>9520</v>
      </c>
      <c r="M137" s="85" t="n">
        <v>1889</v>
      </c>
      <c r="N137" s="85" t="n">
        <v>1691</v>
      </c>
      <c r="O137" s="85" t="n">
        <v>3692</v>
      </c>
      <c r="P137" s="85" t="n">
        <v>4711</v>
      </c>
      <c r="Q137" s="85" t="n">
        <v>5311</v>
      </c>
      <c r="R137" s="85" t="n">
        <v>568</v>
      </c>
      <c r="S137" s="85" t="n">
        <v>451</v>
      </c>
      <c r="T137" s="85" t="n">
        <v>1486</v>
      </c>
      <c r="U137" s="85" t="n">
        <v>2343</v>
      </c>
      <c r="V137" s="85" t="n">
        <v>312</v>
      </c>
      <c r="W137" s="85" t="n">
        <v>24188</v>
      </c>
      <c r="X137" s="85" t="n">
        <v>8060</v>
      </c>
      <c r="Y137" s="85" t="n">
        <v>6087</v>
      </c>
      <c r="Z137" s="85" t="n">
        <v>13141</v>
      </c>
      <c r="AA137" s="85" t="n">
        <v>-317</v>
      </c>
      <c r="AB137" s="85" t="n">
        <v>2605</v>
      </c>
      <c r="AC137" s="85" t="n">
        <v>282</v>
      </c>
      <c r="AD137" s="85" t="n">
        <v>-294</v>
      </c>
      <c r="AE137" s="85" t="n">
        <v>1067</v>
      </c>
      <c r="AF137" s="85" t="n">
        <v>7434</v>
      </c>
      <c r="AG137" s="85" t="n">
        <v>10818</v>
      </c>
      <c r="AH137" s="85" t="n">
        <v>2294</v>
      </c>
      <c r="AI137" s="85" t="n">
        <v>24188</v>
      </c>
      <c r="AJ137" s="85" t="n">
        <v>1130</v>
      </c>
      <c r="AK137" s="85" t="n">
        <v>-661</v>
      </c>
      <c r="AL137" s="85" t="n">
        <v>-513</v>
      </c>
      <c r="AM137" s="85" t="n">
        <v>137</v>
      </c>
      <c r="AN137" s="85" t="n">
        <v>412</v>
      </c>
      <c r="AO137" s="85" t="n">
        <v>487</v>
      </c>
      <c r="AP137" s="85" t="n">
        <v>1291</v>
      </c>
      <c r="AQ137" s="85" t="n">
        <v>3342</v>
      </c>
      <c r="AR137" s="85" t="n">
        <v>4319</v>
      </c>
      <c r="AS137" s="91" t="inlineStr">
        <is>
          <t>N/A</t>
        </is>
      </c>
      <c r="AT137" s="85" t="n">
        <v>255</v>
      </c>
      <c r="AU137" s="85" t="n">
        <v>994</v>
      </c>
      <c r="AV137" s="85" t="n">
        <v>2114</v>
      </c>
      <c r="AW137" s="85" t="n">
        <v>1879</v>
      </c>
      <c r="AX137" s="85" t="n">
        <v>4966</v>
      </c>
      <c r="AY137" s="85" t="n">
        <v>7434</v>
      </c>
      <c r="AZ137" s="85" t="n">
        <v>2852</v>
      </c>
      <c r="BA137" s="85" t="n">
        <v>1279</v>
      </c>
      <c r="BB137" s="85" t="n">
        <v>347</v>
      </c>
      <c r="BC137" s="85" t="n">
        <v>343</v>
      </c>
      <c r="BD137" s="85" t="n">
        <v>2166</v>
      </c>
      <c r="BE137" s="85" t="n">
        <v>3167</v>
      </c>
      <c r="BF137" s="85" t="n">
        <v>828</v>
      </c>
      <c r="BG137" s="85" t="n">
        <v>568</v>
      </c>
      <c r="BH137" s="85" t="n">
        <v>150</v>
      </c>
      <c r="BI137" s="85" t="n">
        <v>-27</v>
      </c>
      <c r="BJ137" s="85" t="n">
        <v>1266</v>
      </c>
      <c r="BK137" s="85" t="n">
        <v>1054</v>
      </c>
      <c r="BL137" s="85" t="n">
        <v>3</v>
      </c>
      <c r="BM137" s="85" t="n">
        <v>43</v>
      </c>
      <c r="BN137" s="85" t="n">
        <v>800</v>
      </c>
      <c r="BO137" s="85" t="n">
        <v>5828</v>
      </c>
      <c r="BP137" s="85" t="n">
        <v>10058</v>
      </c>
      <c r="BQ137" s="85" t="n">
        <v>0</v>
      </c>
      <c r="BR137" s="85" t="n">
        <v>0</v>
      </c>
      <c r="BS137" s="85" t="n">
        <v>0</v>
      </c>
      <c r="BT137" s="85" t="n">
        <v>0</v>
      </c>
      <c r="BU137" s="85" t="n">
        <v>0</v>
      </c>
      <c r="BV137" s="85" t="n">
        <v>0</v>
      </c>
      <c r="BW137" s="85" t="n">
        <v>0</v>
      </c>
      <c r="BX137" s="85" t="n">
        <v>0</v>
      </c>
      <c r="BY137" s="85" t="n">
        <v>-0</v>
      </c>
    </row>
    <row r="138" ht="17" customHeight="1">
      <c r="A138" s="86" t="n">
        <v>136</v>
      </c>
      <c r="B138" s="87" t="inlineStr">
        <is>
          <t>OPEN</t>
        </is>
      </c>
      <c r="C138" s="88" t="inlineStr">
        <is>
          <t>Opendoor Technologies Inc.</t>
        </is>
      </c>
      <c r="D138" s="86" t="inlineStr">
        <is>
          <t>Consumer Discretionary</t>
        </is>
      </c>
      <c r="E138" s="86" t="n">
        <v>2026</v>
      </c>
      <c r="F138" s="89" t="n">
        <v>2407</v>
      </c>
      <c r="G138" s="89" t="n">
        <v>2299</v>
      </c>
      <c r="H138" s="89" t="n">
        <v>327</v>
      </c>
      <c r="I138" s="89" t="n">
        <v>1402</v>
      </c>
      <c r="J138" s="89" t="n">
        <v>-5033</v>
      </c>
      <c r="K138" s="89" t="n">
        <v>-287</v>
      </c>
      <c r="L138" s="89" t="n">
        <v>4371</v>
      </c>
      <c r="M138" s="89" t="n">
        <v>-1300</v>
      </c>
      <c r="N138" s="89" t="n">
        <v>1049</v>
      </c>
      <c r="O138" s="89" t="n">
        <v>350</v>
      </c>
      <c r="P138" s="89" t="n">
        <v>135.5</v>
      </c>
      <c r="Q138" s="89" t="n">
        <v>1005</v>
      </c>
      <c r="R138" s="89" t="n">
        <v>238</v>
      </c>
      <c r="S138" s="89" t="n">
        <v>31</v>
      </c>
      <c r="T138" s="90" t="inlineStr">
        <is>
          <t>N/A</t>
        </is>
      </c>
      <c r="U138" s="89" t="n">
        <v>27</v>
      </c>
      <c r="V138" s="89" t="n">
        <v>211</v>
      </c>
      <c r="W138" s="89" t="n">
        <v>3126</v>
      </c>
      <c r="X138" s="89" t="n">
        <v>2997</v>
      </c>
      <c r="Y138" s="89" t="n">
        <v>529</v>
      </c>
      <c r="Z138" s="89" t="n">
        <v>2413</v>
      </c>
      <c r="AA138" s="89" t="n">
        <v>-320</v>
      </c>
      <c r="AB138" s="89" t="n">
        <v>5153</v>
      </c>
      <c r="AC138" s="89" t="n">
        <v>-392</v>
      </c>
      <c r="AD138" s="89" t="n">
        <v>-595</v>
      </c>
      <c r="AE138" s="89" t="n">
        <v>433</v>
      </c>
      <c r="AF138" s="90" t="inlineStr">
        <is>
          <t>N/A</t>
        </is>
      </c>
      <c r="AG138" s="89" t="n">
        <v>713</v>
      </c>
      <c r="AH138" s="89" t="n">
        <v>5153</v>
      </c>
      <c r="AI138" s="89" t="n">
        <v>3126</v>
      </c>
      <c r="AJ138" s="89" t="n">
        <v>-1300</v>
      </c>
      <c r="AK138" s="89" t="n">
        <v>-391</v>
      </c>
      <c r="AL138" s="90" t="inlineStr">
        <is>
          <t>N/A</t>
        </is>
      </c>
      <c r="AM138" s="89" t="n">
        <v>1</v>
      </c>
      <c r="AN138" s="89" t="n">
        <v>12</v>
      </c>
      <c r="AO138" s="89" t="n">
        <v>25</v>
      </c>
      <c r="AP138" s="90" t="inlineStr">
        <is>
          <t>N/A</t>
        </is>
      </c>
      <c r="AQ138" s="90" t="inlineStr">
        <is>
          <t>N/A</t>
        </is>
      </c>
      <c r="AR138" s="89" t="n">
        <v>3</v>
      </c>
      <c r="AS138" s="90" t="inlineStr">
        <is>
          <t>N/A</t>
        </is>
      </c>
      <c r="AT138" s="89" t="n">
        <v>346.3</v>
      </c>
      <c r="AU138" s="89" t="n">
        <v>79</v>
      </c>
      <c r="AV138" s="89" t="n">
        <v>962</v>
      </c>
      <c r="AW138" s="89" t="n">
        <v>671</v>
      </c>
      <c r="AX138" s="89" t="n">
        <v>481.8</v>
      </c>
      <c r="AY138" s="90" t="inlineStr">
        <is>
          <t>N/A</t>
        </is>
      </c>
      <c r="AZ138" s="89" t="n">
        <v>-480.2</v>
      </c>
      <c r="BA138" s="89" t="n">
        <v>1037</v>
      </c>
      <c r="BB138" s="89" t="n">
        <v>957.2</v>
      </c>
      <c r="BC138" s="89" t="n">
        <v>720</v>
      </c>
      <c r="BD138" s="90" t="inlineStr">
        <is>
          <t>N/A</t>
        </is>
      </c>
      <c r="BE138" s="89" t="n">
        <v>48</v>
      </c>
      <c r="BF138" s="89" t="n">
        <v>182</v>
      </c>
      <c r="BG138" s="89" t="n">
        <v>33</v>
      </c>
      <c r="BH138" s="89" t="n">
        <v>-12</v>
      </c>
      <c r="BI138" s="89" t="n">
        <v>28</v>
      </c>
      <c r="BJ138" s="89" t="n">
        <v>80</v>
      </c>
      <c r="BK138" s="89" t="n">
        <v>92</v>
      </c>
      <c r="BL138" s="90" t="inlineStr">
        <is>
          <t>N/A</t>
        </is>
      </c>
      <c r="BM138" s="90" t="inlineStr">
        <is>
          <t>N/A</t>
        </is>
      </c>
      <c r="BN138" s="89" t="n">
        <v>3</v>
      </c>
      <c r="BO138" s="89" t="n">
        <v>4021</v>
      </c>
      <c r="BP138" s="89" t="n">
        <v>4720</v>
      </c>
      <c r="BQ138" s="90" t="inlineStr">
        <is>
          <t>N/A</t>
        </is>
      </c>
      <c r="BR138" s="90" t="inlineStr">
        <is>
          <t>N/A</t>
        </is>
      </c>
      <c r="BS138" s="90" t="inlineStr">
        <is>
          <t>N/A</t>
        </is>
      </c>
      <c r="BT138" s="90" t="inlineStr">
        <is>
          <t>N/A</t>
        </is>
      </c>
      <c r="BU138" s="89" t="n">
        <v>0</v>
      </c>
      <c r="BV138" s="89" t="n">
        <v>0</v>
      </c>
      <c r="BW138" s="89" t="n">
        <v>0</v>
      </c>
      <c r="BX138" s="89" t="n">
        <v>0</v>
      </c>
      <c r="BY138" s="90" t="inlineStr">
        <is>
          <t>N/A</t>
        </is>
      </c>
    </row>
    <row r="139" ht="17" customHeight="1">
      <c r="A139" s="82" t="n">
        <v>137</v>
      </c>
      <c r="B139" s="83" t="inlineStr">
        <is>
          <t>RHI</t>
        </is>
      </c>
      <c r="C139" s="84" t="inlineStr">
        <is>
          <t>Robert Half Inc.</t>
        </is>
      </c>
      <c r="D139" s="82" t="inlineStr">
        <is>
          <t>Industrials</t>
        </is>
      </c>
      <c r="E139" s="82" t="n">
        <v>2026</v>
      </c>
      <c r="F139" s="85" t="n">
        <v>2856.3</v>
      </c>
      <c r="G139" s="85" t="n">
        <v>2119</v>
      </c>
      <c r="H139" s="85" t="n">
        <v>1384.5</v>
      </c>
      <c r="I139" s="85" t="n">
        <v>1580.4</v>
      </c>
      <c r="J139" s="91" t="inlineStr">
        <is>
          <t>N/A</t>
        </is>
      </c>
      <c r="K139" s="85" t="n">
        <v>76.5</v>
      </c>
      <c r="L139" s="85" t="n">
        <v>5378.5</v>
      </c>
      <c r="M139" s="85" t="n">
        <v>133</v>
      </c>
      <c r="N139" s="85" t="n">
        <v>320</v>
      </c>
      <c r="O139" s="85" t="n">
        <v>2002.3</v>
      </c>
      <c r="P139" s="85" t="n">
        <v>0.5</v>
      </c>
      <c r="Q139" s="85" t="n">
        <v>1275.9</v>
      </c>
      <c r="R139" s="85" t="n">
        <v>1925.9</v>
      </c>
      <c r="S139" s="85" t="n">
        <v>50</v>
      </c>
      <c r="T139" s="85" t="n">
        <v>748.5</v>
      </c>
      <c r="U139" s="85" t="n">
        <v>128.8</v>
      </c>
      <c r="V139" s="85" t="n">
        <v>0.3</v>
      </c>
      <c r="W139" s="85" t="n">
        <v>2854.4</v>
      </c>
      <c r="X139" s="85" t="n">
        <v>2129.4</v>
      </c>
      <c r="Y139" s="85" t="n">
        <v>1285.7</v>
      </c>
      <c r="Z139" s="85" t="n">
        <v>1476.4</v>
      </c>
      <c r="AA139" s="85" t="n">
        <v>336.8</v>
      </c>
      <c r="AB139" s="85" t="n">
        <v>5795.8</v>
      </c>
      <c r="AC139" s="85" t="n">
        <v>251.6</v>
      </c>
      <c r="AD139" s="85" t="n">
        <v>410.5</v>
      </c>
      <c r="AE139" s="85" t="n">
        <v>2247.2</v>
      </c>
      <c r="AF139" s="85" t="n">
        <v>0.7</v>
      </c>
      <c r="AG139" s="85" t="n">
        <v>1378</v>
      </c>
      <c r="AH139" s="85" t="n">
        <v>5795.8</v>
      </c>
      <c r="AI139" s="85" t="n">
        <v>2854.4</v>
      </c>
      <c r="AJ139" s="85" t="n">
        <v>194.4</v>
      </c>
      <c r="AK139" s="85" t="n">
        <v>357.7</v>
      </c>
      <c r="AL139" s="85" t="n">
        <v>61.4</v>
      </c>
      <c r="AM139" s="85" t="n">
        <v>106.1</v>
      </c>
      <c r="AN139" s="85" t="n">
        <v>53.2</v>
      </c>
      <c r="AO139" s="85" t="n">
        <v>56.3</v>
      </c>
      <c r="AP139" s="91" t="inlineStr">
        <is>
          <t>N/A</t>
        </is>
      </c>
      <c r="AQ139" s="91" t="inlineStr">
        <is>
          <t>N/A</t>
        </is>
      </c>
      <c r="AR139" s="85" t="n">
        <v>251.5</v>
      </c>
      <c r="AS139" s="85" t="n">
        <v>5.3</v>
      </c>
      <c r="AT139" s="91" t="inlineStr">
        <is>
          <t>N/A</t>
        </is>
      </c>
      <c r="AU139" s="91" t="inlineStr">
        <is>
          <t>N/A</t>
        </is>
      </c>
      <c r="AV139" s="85" t="n">
        <v>464.4</v>
      </c>
      <c r="AW139" s="85" t="n">
        <v>537.6</v>
      </c>
      <c r="AX139" s="85" t="n">
        <v>0.5</v>
      </c>
      <c r="AY139" s="85" t="n">
        <v>0.7</v>
      </c>
      <c r="AZ139" s="85" t="n">
        <v>-464</v>
      </c>
      <c r="BA139" s="85" t="n">
        <v>266.8</v>
      </c>
      <c r="BB139" s="85" t="n">
        <v>101.1</v>
      </c>
      <c r="BC139" s="85" t="n">
        <v>102.2</v>
      </c>
      <c r="BD139" s="85" t="n">
        <v>772.3</v>
      </c>
      <c r="BE139" s="85" t="n">
        <v>119.6</v>
      </c>
      <c r="BF139" s="85" t="n">
        <v>2004.5</v>
      </c>
      <c r="BG139" s="85" t="n">
        <v>52.1</v>
      </c>
      <c r="BH139" s="85" t="n">
        <v>-85.7</v>
      </c>
      <c r="BI139" s="85" t="n">
        <v>-87.09999999999999</v>
      </c>
      <c r="BJ139" s="85" t="n">
        <v>159.4</v>
      </c>
      <c r="BK139" s="85" t="n">
        <v>167</v>
      </c>
      <c r="BL139" s="85" t="n">
        <v>21.9</v>
      </c>
      <c r="BM139" s="85" t="n">
        <v>24</v>
      </c>
      <c r="BN139" s="85" t="n">
        <v>1.6</v>
      </c>
      <c r="BO139" s="85" t="n">
        <v>3376.2</v>
      </c>
      <c r="BP139" s="85" t="n">
        <v>3548.6</v>
      </c>
      <c r="BQ139" s="85" t="n">
        <v>0</v>
      </c>
      <c r="BR139" s="85" t="n">
        <v>0</v>
      </c>
      <c r="BS139" s="91" t="inlineStr">
        <is>
          <t>N/A</t>
        </is>
      </c>
      <c r="BT139" s="91" t="inlineStr">
        <is>
          <t>N/A</t>
        </is>
      </c>
      <c r="BU139" s="85" t="n">
        <v>0</v>
      </c>
      <c r="BV139" s="85" t="n">
        <v>0</v>
      </c>
      <c r="BW139" s="85" t="n">
        <v>0</v>
      </c>
      <c r="BX139" s="85" t="n">
        <v>0</v>
      </c>
      <c r="BY139" s="85" t="n">
        <v>0</v>
      </c>
    </row>
    <row r="140" ht="17" customHeight="1">
      <c r="A140" s="86" t="n">
        <v>138</v>
      </c>
      <c r="B140" s="87" t="inlineStr">
        <is>
          <t>RCKT</t>
        </is>
      </c>
      <c r="C140" s="88" t="inlineStr">
        <is>
          <t>Rocket Pharmaceuticals, Inc.</t>
        </is>
      </c>
      <c r="D140" s="86" t="inlineStr">
        <is>
          <t>Health Care</t>
        </is>
      </c>
      <c r="E140" s="86" t="n">
        <v>2026</v>
      </c>
      <c r="F140" s="89" t="n">
        <v>330.4</v>
      </c>
      <c r="G140" s="89" t="n">
        <v>192.7</v>
      </c>
      <c r="H140" s="89" t="n">
        <v>30.2</v>
      </c>
      <c r="I140" s="89" t="n">
        <v>53.2</v>
      </c>
      <c r="J140" s="89" t="n">
        <v>-1441.2</v>
      </c>
      <c r="K140" s="89" t="n">
        <v>-231.7</v>
      </c>
      <c r="L140" s="90" t="inlineStr">
        <is>
          <t>N/A</t>
        </is>
      </c>
      <c r="M140" s="89" t="n">
        <v>-223.1</v>
      </c>
      <c r="N140" s="89" t="n">
        <v>-190</v>
      </c>
      <c r="O140" s="90" t="inlineStr">
        <is>
          <t>N/A</t>
        </is>
      </c>
      <c r="P140" s="89" t="n">
        <v>2.5</v>
      </c>
      <c r="Q140" s="89" t="n">
        <v>277.2</v>
      </c>
      <c r="R140" s="89" t="n">
        <v>86.5</v>
      </c>
      <c r="S140" s="89" t="n">
        <v>8.9</v>
      </c>
      <c r="T140" s="90" t="inlineStr">
        <is>
          <t>N/A</t>
        </is>
      </c>
      <c r="U140" s="89" t="n">
        <v>28.2</v>
      </c>
      <c r="V140" s="89" t="n">
        <v>1.9</v>
      </c>
      <c r="W140" s="89" t="n">
        <v>527.7</v>
      </c>
      <c r="X140" s="89" t="n">
        <v>378.2</v>
      </c>
      <c r="Y140" s="89" t="n">
        <v>40.7</v>
      </c>
      <c r="Z140" s="89" t="n">
        <v>64.5</v>
      </c>
      <c r="AA140" s="89" t="n">
        <v>-273.2</v>
      </c>
      <c r="AB140" s="90" t="inlineStr">
        <is>
          <t>N/A</t>
        </is>
      </c>
      <c r="AC140" s="89" t="n">
        <v>-258.7</v>
      </c>
      <c r="AD140" s="89" t="n">
        <v>-209.7</v>
      </c>
      <c r="AE140" s="90" t="inlineStr">
        <is>
          <t>N/A</t>
        </is>
      </c>
      <c r="AF140" s="90" t="inlineStr">
        <is>
          <t>N/A</t>
        </is>
      </c>
      <c r="AG140" s="89" t="n">
        <v>463.2</v>
      </c>
      <c r="AH140" s="90" t="inlineStr">
        <is>
          <t>N/A</t>
        </is>
      </c>
      <c r="AI140" s="89" t="n">
        <v>527.7</v>
      </c>
      <c r="AJ140" s="89" t="n">
        <v>-223.1</v>
      </c>
      <c r="AK140" s="89" t="n">
        <v>-258.7</v>
      </c>
      <c r="AL140" s="90" t="inlineStr">
        <is>
          <t>N/A</t>
        </is>
      </c>
      <c r="AM140" s="90" t="inlineStr">
        <is>
          <t>N/A</t>
        </is>
      </c>
      <c r="AN140" s="89" t="n">
        <v>0.4</v>
      </c>
      <c r="AO140" s="89" t="n">
        <v>5.9</v>
      </c>
      <c r="AP140" s="90" t="inlineStr">
        <is>
          <t>N/A</t>
        </is>
      </c>
      <c r="AQ140" s="90" t="inlineStr">
        <is>
          <t>N/A</t>
        </is>
      </c>
      <c r="AR140" s="89" t="n">
        <v>39.2</v>
      </c>
      <c r="AS140" s="89" t="n">
        <v>25.1</v>
      </c>
      <c r="AT140" s="90" t="inlineStr">
        <is>
          <t>N/A</t>
        </is>
      </c>
      <c r="AU140" s="89" t="n">
        <v>142</v>
      </c>
      <c r="AV140" s="89" t="n">
        <v>77.59999999999999</v>
      </c>
      <c r="AW140" s="89" t="n">
        <v>163.6</v>
      </c>
      <c r="AX140" s="89" t="n">
        <v>2.5</v>
      </c>
      <c r="AY140" s="90" t="inlineStr">
        <is>
          <t>N/A</t>
        </is>
      </c>
      <c r="AZ140" s="89" t="n">
        <v>-75</v>
      </c>
      <c r="BA140" s="89" t="n">
        <v>-190.5</v>
      </c>
      <c r="BB140" s="89" t="n">
        <v>108.3</v>
      </c>
      <c r="BC140" s="89" t="n">
        <v>106.5</v>
      </c>
      <c r="BD140" s="90" t="inlineStr">
        <is>
          <t>N/A</t>
        </is>
      </c>
      <c r="BE140" s="89" t="n">
        <v>36.8</v>
      </c>
      <c r="BF140" s="89" t="n">
        <v>102</v>
      </c>
      <c r="BG140" s="89" t="n">
        <v>7.2</v>
      </c>
      <c r="BH140" s="89" t="n">
        <v>103.8</v>
      </c>
      <c r="BI140" s="89" t="n">
        <v>131.7</v>
      </c>
      <c r="BJ140" s="89" t="n">
        <v>0.5</v>
      </c>
      <c r="BK140" s="89" t="n">
        <v>1.6</v>
      </c>
      <c r="BL140" s="90" t="inlineStr">
        <is>
          <t>N/A</t>
        </is>
      </c>
      <c r="BM140" s="90" t="inlineStr">
        <is>
          <t>N/A</t>
        </is>
      </c>
      <c r="BN140" s="90" t="inlineStr">
        <is>
          <t>N/A</t>
        </is>
      </c>
      <c r="BO140" s="89" t="n">
        <v>231.7</v>
      </c>
      <c r="BP140" s="89" t="n">
        <v>273.2</v>
      </c>
      <c r="BQ140" s="90" t="inlineStr">
        <is>
          <t>N/A</t>
        </is>
      </c>
      <c r="BR140" s="90" t="inlineStr">
        <is>
          <t>N/A</t>
        </is>
      </c>
      <c r="BS140" s="90" t="inlineStr">
        <is>
          <t>N/A</t>
        </is>
      </c>
      <c r="BT140" s="90" t="inlineStr">
        <is>
          <t>N/A</t>
        </is>
      </c>
      <c r="BU140" s="89" t="n">
        <v>0</v>
      </c>
      <c r="BV140" s="89" t="n">
        <v>0</v>
      </c>
      <c r="BW140" s="89" t="n">
        <v>0</v>
      </c>
      <c r="BX140" s="90" t="inlineStr">
        <is>
          <t>N/A</t>
        </is>
      </c>
      <c r="BY140" s="90" t="inlineStr">
        <is>
          <t>N/A</t>
        </is>
      </c>
    </row>
    <row r="141" ht="17" customHeight="1">
      <c r="A141" s="82" t="n">
        <v>139</v>
      </c>
      <c r="B141" s="83" t="inlineStr">
        <is>
          <t>PSA</t>
        </is>
      </c>
      <c r="C141" s="84" t="inlineStr">
        <is>
          <t>Public Storage</t>
        </is>
      </c>
      <c r="D141" s="82" t="inlineStr">
        <is>
          <t>Real Estate</t>
        </is>
      </c>
      <c r="E141" s="82" t="n">
        <v>2026</v>
      </c>
      <c r="F141" s="85" t="n">
        <v>20208.6</v>
      </c>
      <c r="G141" s="91" t="inlineStr">
        <is>
          <t>N/A</t>
        </is>
      </c>
      <c r="H141" s="91" t="inlineStr">
        <is>
          <t>N/A</t>
        </is>
      </c>
      <c r="I141" s="85" t="n">
        <v>10866.8</v>
      </c>
      <c r="J141" s="85" t="n">
        <v>-1219.3</v>
      </c>
      <c r="K141" s="85" t="n">
        <v>1423.1</v>
      </c>
      <c r="L141" s="85" t="n">
        <v>4824.1</v>
      </c>
      <c r="M141" s="85" t="n">
        <v>1784.3</v>
      </c>
      <c r="N141" s="85" t="n">
        <v>3186.4</v>
      </c>
      <c r="O141" s="85" t="n">
        <v>2014.6</v>
      </c>
      <c r="P141" s="85" t="n">
        <v>10253.9</v>
      </c>
      <c r="Q141" s="85" t="n">
        <v>9248.1</v>
      </c>
      <c r="R141" s="85" t="n">
        <v>106.7</v>
      </c>
      <c r="S141" s="85" t="n">
        <v>713.4</v>
      </c>
      <c r="T141" s="91" t="inlineStr">
        <is>
          <t>N/A</t>
        </is>
      </c>
      <c r="U141" s="91" t="inlineStr">
        <is>
          <t>N/A</t>
        </is>
      </c>
      <c r="V141" s="85" t="n">
        <v>304.5</v>
      </c>
      <c r="W141" s="85" t="n">
        <v>19754.9</v>
      </c>
      <c r="X141" s="91" t="inlineStr">
        <is>
          <t>N/A</t>
        </is>
      </c>
      <c r="Y141" s="91" t="inlineStr">
        <is>
          <t>N/A</t>
        </is>
      </c>
      <c r="Z141" s="85" t="n">
        <v>9941.299999999999</v>
      </c>
      <c r="AA141" s="85" t="n">
        <v>1374.5</v>
      </c>
      <c r="AB141" s="85" t="n">
        <v>4695.6</v>
      </c>
      <c r="AC141" s="85" t="n">
        <v>2072</v>
      </c>
      <c r="AD141" s="85" t="n">
        <v>3128.3</v>
      </c>
      <c r="AE141" s="85" t="n">
        <v>1960.5</v>
      </c>
      <c r="AF141" s="85" t="n">
        <v>9353</v>
      </c>
      <c r="AG141" s="85" t="n">
        <v>9712.6</v>
      </c>
      <c r="AH141" s="85" t="n">
        <v>4695.6</v>
      </c>
      <c r="AI141" s="85" t="n">
        <v>19754.9</v>
      </c>
      <c r="AJ141" s="85" t="n">
        <v>1789.8</v>
      </c>
      <c r="AK141" s="85" t="n">
        <v>2089.1</v>
      </c>
      <c r="AL141" s="85" t="n">
        <v>-7.2</v>
      </c>
      <c r="AM141" s="85" t="n">
        <v>4.7</v>
      </c>
      <c r="AN141" s="85" t="n">
        <v>187.3</v>
      </c>
      <c r="AO141" s="85" t="n">
        <v>140.1</v>
      </c>
      <c r="AP141" s="91" t="inlineStr">
        <is>
          <t>N/A</t>
        </is>
      </c>
      <c r="AQ141" s="91" t="inlineStr">
        <is>
          <t>N/A</t>
        </is>
      </c>
      <c r="AR141" s="85" t="n">
        <v>165.8</v>
      </c>
      <c r="AS141" s="85" t="n">
        <v>66.90000000000001</v>
      </c>
      <c r="AT141" s="85" t="n">
        <v>700</v>
      </c>
      <c r="AU141" s="91" t="inlineStr">
        <is>
          <t>N/A</t>
        </is>
      </c>
      <c r="AV141" s="85" t="n">
        <v>318.1</v>
      </c>
      <c r="AW141" s="85" t="n">
        <v>447.4</v>
      </c>
      <c r="AX141" s="85" t="n">
        <v>10953.9</v>
      </c>
      <c r="AY141" s="85" t="n">
        <v>10053</v>
      </c>
      <c r="AZ141" s="85" t="n">
        <v>10635.8</v>
      </c>
      <c r="BA141" s="85" t="n">
        <v>2999.1</v>
      </c>
      <c r="BB141" s="85" t="n">
        <v>175.7</v>
      </c>
      <c r="BC141" s="85" t="n">
        <v>175.3</v>
      </c>
      <c r="BD141" s="91" t="inlineStr">
        <is>
          <t>N/A</t>
        </is>
      </c>
      <c r="BE141" s="91" t="inlineStr">
        <is>
          <t>N/A</t>
        </is>
      </c>
      <c r="BF141" s="85" t="n">
        <v>106.7</v>
      </c>
      <c r="BG141" s="85" t="n">
        <v>553.3</v>
      </c>
      <c r="BH141" s="85" t="n">
        <v>-1685.1</v>
      </c>
      <c r="BI141" s="85" t="n">
        <v>-1002.6</v>
      </c>
      <c r="BJ141" s="91" t="inlineStr">
        <is>
          <t>N/A</t>
        </is>
      </c>
      <c r="BK141" s="91" t="inlineStr">
        <is>
          <t>N/A</t>
        </is>
      </c>
      <c r="BL141" s="91" t="inlineStr">
        <is>
          <t>N/A</t>
        </is>
      </c>
      <c r="BM141" s="91" t="inlineStr">
        <is>
          <t>N/A</t>
        </is>
      </c>
      <c r="BN141" s="91" t="inlineStr">
        <is>
          <t>N/A</t>
        </is>
      </c>
      <c r="BO141" s="85" t="n">
        <v>172.6</v>
      </c>
      <c r="BP141" s="85" t="n">
        <v>212.3</v>
      </c>
      <c r="BQ141" s="91" t="inlineStr">
        <is>
          <t>N/A</t>
        </is>
      </c>
      <c r="BR141" s="91" t="inlineStr">
        <is>
          <t>N/A</t>
        </is>
      </c>
      <c r="BS141" s="91" t="inlineStr">
        <is>
          <t>N/A</t>
        </is>
      </c>
      <c r="BT141" s="91" t="inlineStr">
        <is>
          <t>N/A</t>
        </is>
      </c>
      <c r="BU141" s="91" t="inlineStr">
        <is>
          <t>N/A</t>
        </is>
      </c>
      <c r="BV141" s="91" t="inlineStr">
        <is>
          <t>N/A</t>
        </is>
      </c>
      <c r="BW141" s="85" t="n">
        <v>0</v>
      </c>
      <c r="BX141" s="85" t="n">
        <v>0</v>
      </c>
      <c r="BY141" s="85" t="n">
        <v>-0</v>
      </c>
    </row>
    <row r="142" ht="17" customHeight="1">
      <c r="A142" s="86" t="n">
        <v>140</v>
      </c>
      <c r="B142" s="87" t="inlineStr">
        <is>
          <t>ONB</t>
        </is>
      </c>
      <c r="C142" s="88" t="inlineStr">
        <is>
          <t>OLD NATIONAL BANCORP /IN/</t>
        </is>
      </c>
      <c r="D142" s="86" t="inlineStr">
        <is>
          <t>Financials</t>
        </is>
      </c>
      <c r="E142" s="86" t="n">
        <v>2026</v>
      </c>
      <c r="F142" s="89" t="n">
        <v>72152</v>
      </c>
      <c r="G142" s="90" t="inlineStr">
        <is>
          <t>N/A</t>
        </is>
      </c>
      <c r="H142" s="90" t="inlineStr">
        <is>
          <t>N/A</t>
        </is>
      </c>
      <c r="I142" s="89" t="n">
        <v>63657.2</v>
      </c>
      <c r="J142" s="89" t="n">
        <v>2408.8</v>
      </c>
      <c r="K142" s="89" t="n">
        <v>841.4</v>
      </c>
      <c r="L142" s="89" t="n">
        <v>125.6</v>
      </c>
      <c r="M142" s="89" t="n">
        <v>669.3</v>
      </c>
      <c r="N142" s="89" t="n">
        <v>681.5</v>
      </c>
      <c r="O142" s="90" t="inlineStr">
        <is>
          <t>N/A</t>
        </is>
      </c>
      <c r="P142" s="89" t="n">
        <v>248.8</v>
      </c>
      <c r="Q142" s="89" t="n">
        <v>8494.799999999999</v>
      </c>
      <c r="R142" s="90" t="inlineStr">
        <is>
          <t>N/A</t>
        </is>
      </c>
      <c r="S142" s="89" t="n">
        <v>17</v>
      </c>
      <c r="T142" s="90" t="inlineStr">
        <is>
          <t>N/A</t>
        </is>
      </c>
      <c r="U142" s="89" t="n">
        <v>490.9</v>
      </c>
      <c r="V142" s="89" t="n">
        <v>703.7</v>
      </c>
      <c r="W142" s="89" t="n">
        <v>53552.3</v>
      </c>
      <c r="X142" s="90" t="inlineStr">
        <is>
          <t>N/A</t>
        </is>
      </c>
      <c r="Y142" s="90" t="inlineStr">
        <is>
          <t>N/A</t>
        </is>
      </c>
      <c r="Z142" s="89" t="n">
        <v>47211.9</v>
      </c>
      <c r="AA142" s="89" t="n">
        <v>680.4</v>
      </c>
      <c r="AB142" s="89" t="n">
        <v>118.4</v>
      </c>
      <c r="AC142" s="89" t="n">
        <v>539.2</v>
      </c>
      <c r="AD142" s="89" t="n">
        <v>622.3</v>
      </c>
      <c r="AE142" s="90" t="inlineStr">
        <is>
          <t>N/A</t>
        </is>
      </c>
      <c r="AF142" s="89" t="n">
        <v>218.9</v>
      </c>
      <c r="AG142" s="89" t="n">
        <v>6340.4</v>
      </c>
      <c r="AH142" s="89" t="n">
        <v>118.4</v>
      </c>
      <c r="AI142" s="89" t="n">
        <v>53552.3</v>
      </c>
      <c r="AJ142" s="89" t="n">
        <v>841.4</v>
      </c>
      <c r="AK142" s="89" t="n">
        <v>680.4</v>
      </c>
      <c r="AL142" s="89" t="n">
        <v>172.1</v>
      </c>
      <c r="AM142" s="89" t="n">
        <v>141.2</v>
      </c>
      <c r="AN142" s="89" t="n">
        <v>44.1</v>
      </c>
      <c r="AO142" s="89" t="n">
        <v>30.3</v>
      </c>
      <c r="AP142" s="90" t="inlineStr">
        <is>
          <t>N/A</t>
        </is>
      </c>
      <c r="AQ142" s="90" t="inlineStr">
        <is>
          <t>N/A</t>
        </is>
      </c>
      <c r="AR142" s="89" t="n">
        <v>2425.7</v>
      </c>
      <c r="AS142" s="89" t="n">
        <v>482.3</v>
      </c>
      <c r="AT142" s="89" t="n">
        <v>628.5</v>
      </c>
      <c r="AU142" s="90" t="inlineStr">
        <is>
          <t>N/A</t>
        </is>
      </c>
      <c r="AV142" s="89" t="n">
        <v>1826.2</v>
      </c>
      <c r="AW142" s="89" t="n">
        <v>1228</v>
      </c>
      <c r="AX142" s="89" t="n">
        <v>877.3</v>
      </c>
      <c r="AY142" s="89" t="n">
        <v>770.2</v>
      </c>
      <c r="AZ142" s="89" t="n">
        <v>-948.9</v>
      </c>
      <c r="BA142" s="89" t="n">
        <v>637.4</v>
      </c>
      <c r="BB142" s="89" t="n">
        <v>389.7</v>
      </c>
      <c r="BC142" s="89" t="n">
        <v>319</v>
      </c>
      <c r="BD142" s="90" t="inlineStr">
        <is>
          <t>N/A</t>
        </is>
      </c>
      <c r="BE142" s="89" t="n">
        <v>485.9</v>
      </c>
      <c r="BF142" s="90" t="inlineStr">
        <is>
          <t>N/A</t>
        </is>
      </c>
      <c r="BG142" s="89" t="n">
        <v>14.6</v>
      </c>
      <c r="BH142" s="89" t="n">
        <v>-1834.8</v>
      </c>
      <c r="BI142" s="89" t="n">
        <v>-1372</v>
      </c>
      <c r="BJ142" s="90" t="inlineStr">
        <is>
          <t>N/A</t>
        </is>
      </c>
      <c r="BK142" s="90" t="inlineStr">
        <is>
          <t>N/A</t>
        </is>
      </c>
      <c r="BL142" s="90" t="inlineStr">
        <is>
          <t>N/A</t>
        </is>
      </c>
      <c r="BM142" s="90" t="inlineStr">
        <is>
          <t>N/A</t>
        </is>
      </c>
      <c r="BN142" s="90" t="inlineStr">
        <is>
          <t>N/A</t>
        </is>
      </c>
      <c r="BO142" s="90" t="inlineStr">
        <is>
          <t>N/A</t>
        </is>
      </c>
      <c r="BP142" s="90" t="inlineStr">
        <is>
          <t>N/A</t>
        </is>
      </c>
      <c r="BQ142" s="90" t="inlineStr">
        <is>
          <t>N/A</t>
        </is>
      </c>
      <c r="BR142" s="90" t="inlineStr">
        <is>
          <t>N/A</t>
        </is>
      </c>
      <c r="BS142" s="90" t="inlineStr">
        <is>
          <t>N/A</t>
        </is>
      </c>
      <c r="BT142" s="90" t="inlineStr">
        <is>
          <t>N/A</t>
        </is>
      </c>
      <c r="BU142" s="90" t="inlineStr">
        <is>
          <t>N/A</t>
        </is>
      </c>
      <c r="BV142" s="90" t="inlineStr">
        <is>
          <t>N/A</t>
        </is>
      </c>
      <c r="BW142" s="89" t="n">
        <v>0</v>
      </c>
      <c r="BX142" s="89" t="n">
        <v>0</v>
      </c>
      <c r="BY142" s="89" t="n">
        <v>0</v>
      </c>
    </row>
    <row r="143" ht="17" customHeight="1">
      <c r="A143" s="82" t="n">
        <v>141</v>
      </c>
      <c r="B143" s="83" t="inlineStr">
        <is>
          <t>CMI</t>
        </is>
      </c>
      <c r="C143" s="84" t="inlineStr">
        <is>
          <t>CUMMINS INC</t>
        </is>
      </c>
      <c r="D143" s="82" t="inlineStr">
        <is>
          <t>Industrials</t>
        </is>
      </c>
      <c r="E143" s="82" t="n">
        <v>2026</v>
      </c>
      <c r="F143" s="85" t="n">
        <v>33992</v>
      </c>
      <c r="G143" s="85" t="n">
        <v>16925</v>
      </c>
      <c r="H143" s="85" t="n">
        <v>9610</v>
      </c>
      <c r="I143" s="85" t="n">
        <v>20584</v>
      </c>
      <c r="J143" s="85" t="n">
        <v>22616</v>
      </c>
      <c r="K143" s="85" t="n">
        <v>4025</v>
      </c>
      <c r="L143" s="85" t="n">
        <v>33670</v>
      </c>
      <c r="M143" s="85" t="n">
        <v>1040</v>
      </c>
      <c r="N143" s="85" t="n">
        <v>3621</v>
      </c>
      <c r="O143" s="85" t="n">
        <v>8516</v>
      </c>
      <c r="P143" s="85" t="n">
        <v>1630</v>
      </c>
      <c r="Q143" s="85" t="n">
        <v>12349</v>
      </c>
      <c r="R143" s="85" t="n">
        <v>3125</v>
      </c>
      <c r="S143" s="85" t="n">
        <v>320</v>
      </c>
      <c r="T143" s="85" t="n">
        <v>5818</v>
      </c>
      <c r="U143" s="85" t="n">
        <v>6958</v>
      </c>
      <c r="V143" s="85" t="n">
        <v>329</v>
      </c>
      <c r="W143" s="85" t="n">
        <v>31540</v>
      </c>
      <c r="X143" s="85" t="n">
        <v>14752</v>
      </c>
      <c r="Y143" s="85" t="n">
        <v>11234</v>
      </c>
      <c r="Z143" s="85" t="n">
        <v>20232</v>
      </c>
      <c r="AA143" s="85" t="n">
        <v>3750</v>
      </c>
      <c r="AB143" s="85" t="n">
        <v>34102</v>
      </c>
      <c r="AC143" s="85" t="n">
        <v>428</v>
      </c>
      <c r="AD143" s="85" t="n">
        <v>1487</v>
      </c>
      <c r="AE143" s="85" t="n">
        <v>8439</v>
      </c>
      <c r="AF143" s="85" t="n">
        <v>653</v>
      </c>
      <c r="AG143" s="85" t="n">
        <v>10271</v>
      </c>
      <c r="AH143" s="85" t="n">
        <v>34102</v>
      </c>
      <c r="AI143" s="85" t="n">
        <v>31540</v>
      </c>
      <c r="AJ143" s="85" t="n">
        <v>3963</v>
      </c>
      <c r="AK143" s="85" t="n">
        <v>4903</v>
      </c>
      <c r="AL143" s="85" t="n">
        <v>1006</v>
      </c>
      <c r="AM143" s="85" t="n">
        <v>835</v>
      </c>
      <c r="AN143" s="85" t="n">
        <v>1235</v>
      </c>
      <c r="AO143" s="85" t="n">
        <v>1208</v>
      </c>
      <c r="AP143" s="85" t="n">
        <v>5822</v>
      </c>
      <c r="AQ143" s="85" t="n">
        <v>5742</v>
      </c>
      <c r="AR143" s="85" t="n">
        <v>2224</v>
      </c>
      <c r="AS143" s="85" t="n">
        <v>2519</v>
      </c>
      <c r="AT143" s="85" t="n">
        <v>24</v>
      </c>
      <c r="AU143" s="85" t="n">
        <v>1396</v>
      </c>
      <c r="AV143" s="85" t="n">
        <v>2101</v>
      </c>
      <c r="AW143" s="85" t="n">
        <v>2592</v>
      </c>
      <c r="AX143" s="85" t="n">
        <v>1654</v>
      </c>
      <c r="AY143" s="85" t="n">
        <v>739</v>
      </c>
      <c r="AZ143" s="85" t="n">
        <v>-447</v>
      </c>
      <c r="BA143" s="85" t="n">
        <v>2386</v>
      </c>
      <c r="BB143" s="85" t="n">
        <v>222.5</v>
      </c>
      <c r="BC143" s="85" t="n">
        <v>222.5</v>
      </c>
      <c r="BD143" s="85" t="n">
        <v>5181</v>
      </c>
      <c r="BE143" s="85" t="n">
        <v>6356</v>
      </c>
      <c r="BF143" s="85" t="n">
        <v>3275</v>
      </c>
      <c r="BG143" s="85" t="n">
        <v>326</v>
      </c>
      <c r="BH143" s="85" t="n">
        <v>-1731</v>
      </c>
      <c r="BI143" s="85" t="n">
        <v>-1782</v>
      </c>
      <c r="BJ143" s="85" t="n">
        <v>3800</v>
      </c>
      <c r="BK143" s="85" t="n">
        <v>3951</v>
      </c>
      <c r="BL143" s="85" t="n">
        <v>498</v>
      </c>
      <c r="BM143" s="85" t="n">
        <v>500</v>
      </c>
      <c r="BN143" s="85" t="n">
        <v>156</v>
      </c>
      <c r="BO143" s="85" t="n">
        <v>25154</v>
      </c>
      <c r="BP143" s="85" t="n">
        <v>25663</v>
      </c>
      <c r="BQ143" s="85" t="n">
        <v>0</v>
      </c>
      <c r="BR143" s="85" t="n">
        <v>0</v>
      </c>
      <c r="BS143" s="85" t="n">
        <v>0</v>
      </c>
      <c r="BT143" s="85" t="n">
        <v>0</v>
      </c>
      <c r="BU143" s="85" t="n">
        <v>0</v>
      </c>
      <c r="BV143" s="85" t="n">
        <v>0</v>
      </c>
      <c r="BW143" s="85" t="n">
        <v>0</v>
      </c>
      <c r="BX143" s="85" t="n">
        <v>0</v>
      </c>
      <c r="BY143" s="85" t="n">
        <v>0</v>
      </c>
    </row>
    <row r="144" ht="17" customHeight="1">
      <c r="A144" s="86" t="n">
        <v>142</v>
      </c>
      <c r="B144" s="87" t="inlineStr">
        <is>
          <t>WTFC</t>
        </is>
      </c>
      <c r="C144" s="88" t="inlineStr">
        <is>
          <t>WINTRUST FINANCIAL CORP</t>
        </is>
      </c>
      <c r="D144" s="86" t="inlineStr">
        <is>
          <t>Financials</t>
        </is>
      </c>
      <c r="E144" s="86" t="n">
        <v>2026</v>
      </c>
      <c r="F144" s="89" t="n">
        <v>71142</v>
      </c>
      <c r="G144" s="90" t="inlineStr">
        <is>
          <t>N/A</t>
        </is>
      </c>
      <c r="H144" s="90" t="inlineStr">
        <is>
          <t>N/A</t>
        </is>
      </c>
      <c r="I144" s="89" t="n">
        <v>63883.3</v>
      </c>
      <c r="J144" s="89" t="n">
        <v>4537.5</v>
      </c>
      <c r="K144" s="89" t="n">
        <v>1118.4</v>
      </c>
      <c r="L144" s="89" t="n">
        <v>265.6</v>
      </c>
      <c r="M144" s="89" t="n">
        <v>823.8</v>
      </c>
      <c r="N144" s="89" t="n">
        <v>910.3</v>
      </c>
      <c r="O144" s="90" t="inlineStr">
        <is>
          <t>N/A</t>
        </is>
      </c>
      <c r="P144" s="90" t="inlineStr">
        <is>
          <t>N/A</t>
        </is>
      </c>
      <c r="Q144" s="89" t="n">
        <v>7258.7</v>
      </c>
      <c r="R144" s="90" t="inlineStr">
        <is>
          <t>N/A</t>
        </is>
      </c>
      <c r="S144" s="89" t="n">
        <v>66.90000000000001</v>
      </c>
      <c r="T144" s="89" t="n">
        <v>14.6</v>
      </c>
      <c r="U144" s="89" t="n">
        <v>781.6</v>
      </c>
      <c r="V144" s="89" t="n">
        <v>1504</v>
      </c>
      <c r="W144" s="89" t="n">
        <v>64879.7</v>
      </c>
      <c r="X144" s="90" t="inlineStr">
        <is>
          <t>N/A</t>
        </is>
      </c>
      <c r="Y144" s="90" t="inlineStr">
        <is>
          <t>N/A</t>
        </is>
      </c>
      <c r="Z144" s="89" t="n">
        <v>58535.4</v>
      </c>
      <c r="AA144" s="89" t="n">
        <v>947.1</v>
      </c>
      <c r="AB144" s="89" t="n">
        <v>250.7</v>
      </c>
      <c r="AC144" s="89" t="n">
        <v>695</v>
      </c>
      <c r="AD144" s="89" t="n">
        <v>721.6</v>
      </c>
      <c r="AE144" s="90" t="inlineStr">
        <is>
          <t>N/A</t>
        </is>
      </c>
      <c r="AF144" s="90" t="inlineStr">
        <is>
          <t>N/A</t>
        </is>
      </c>
      <c r="AG144" s="89" t="n">
        <v>6344.3</v>
      </c>
      <c r="AH144" s="89" t="n">
        <v>250.7</v>
      </c>
      <c r="AI144" s="89" t="n">
        <v>64879.7</v>
      </c>
      <c r="AJ144" s="89" t="n">
        <v>1118.4</v>
      </c>
      <c r="AK144" s="89" t="n">
        <v>947.1</v>
      </c>
      <c r="AL144" s="89" t="n">
        <v>294.6</v>
      </c>
      <c r="AM144" s="89" t="n">
        <v>252</v>
      </c>
      <c r="AN144" s="89" t="n">
        <v>50</v>
      </c>
      <c r="AO144" s="89" t="n">
        <v>86</v>
      </c>
      <c r="AP144" s="90" t="inlineStr">
        <is>
          <t>N/A</t>
        </is>
      </c>
      <c r="AQ144" s="90" t="inlineStr">
        <is>
          <t>N/A</t>
        </is>
      </c>
      <c r="AR144" s="89" t="n">
        <v>798</v>
      </c>
      <c r="AS144" s="89" t="n">
        <v>20.9</v>
      </c>
      <c r="AT144" s="90" t="inlineStr">
        <is>
          <t>N/A</t>
        </is>
      </c>
      <c r="AU144" s="90" t="inlineStr">
        <is>
          <t>N/A</t>
        </is>
      </c>
      <c r="AV144" s="89" t="n">
        <v>392.2</v>
      </c>
      <c r="AW144" s="89" t="n">
        <v>277.6</v>
      </c>
      <c r="AX144" s="90" t="inlineStr">
        <is>
          <t>N/A</t>
        </is>
      </c>
      <c r="AY144" s="90" t="inlineStr">
        <is>
          <t>N/A</t>
        </is>
      </c>
      <c r="AZ144" s="89" t="n">
        <v>-392.2</v>
      </c>
      <c r="BA144" s="89" t="n">
        <v>860.4</v>
      </c>
      <c r="BB144" s="89" t="n">
        <v>67</v>
      </c>
      <c r="BC144" s="89" t="n">
        <v>66.5</v>
      </c>
      <c r="BD144" s="89" t="n">
        <v>13.5</v>
      </c>
      <c r="BE144" s="89" t="n">
        <v>779.1</v>
      </c>
      <c r="BF144" s="90" t="inlineStr">
        <is>
          <t>N/A</t>
        </is>
      </c>
      <c r="BG144" s="89" t="n">
        <v>61.4</v>
      </c>
      <c r="BH144" s="89" t="n">
        <v>-6168.6</v>
      </c>
      <c r="BI144" s="89" t="n">
        <v>-5946.4</v>
      </c>
      <c r="BJ144" s="90" t="inlineStr">
        <is>
          <t>N/A</t>
        </is>
      </c>
      <c r="BK144" s="90" t="inlineStr">
        <is>
          <t>N/A</t>
        </is>
      </c>
      <c r="BL144" s="89" t="n">
        <v>2.6</v>
      </c>
      <c r="BM144" s="89" t="n">
        <v>1.3</v>
      </c>
      <c r="BN144" s="90" t="inlineStr">
        <is>
          <t>N/A</t>
        </is>
      </c>
      <c r="BO144" s="90" t="inlineStr">
        <is>
          <t>N/A</t>
        </is>
      </c>
      <c r="BP144" s="90" t="inlineStr">
        <is>
          <t>N/A</t>
        </is>
      </c>
      <c r="BQ144" s="89" t="n">
        <v>0</v>
      </c>
      <c r="BR144" s="89" t="n">
        <v>0</v>
      </c>
      <c r="BS144" s="90" t="inlineStr">
        <is>
          <t>N/A</t>
        </is>
      </c>
      <c r="BT144" s="90" t="inlineStr">
        <is>
          <t>N/A</t>
        </is>
      </c>
      <c r="BU144" s="90" t="inlineStr">
        <is>
          <t>N/A</t>
        </is>
      </c>
      <c r="BV144" s="90" t="inlineStr">
        <is>
          <t>N/A</t>
        </is>
      </c>
      <c r="BW144" s="89" t="n">
        <v>0</v>
      </c>
      <c r="BX144" s="89" t="n">
        <v>0</v>
      </c>
      <c r="BY144" s="89" t="n">
        <v>0</v>
      </c>
    </row>
    <row r="145" ht="17" customHeight="1">
      <c r="A145" s="82" t="n">
        <v>143</v>
      </c>
      <c r="B145" s="83" t="inlineStr">
        <is>
          <t>MSTR</t>
        </is>
      </c>
      <c r="C145" s="84" t="inlineStr">
        <is>
          <t>STRATEGY INC</t>
        </is>
      </c>
      <c r="D145" s="82" t="inlineStr">
        <is>
          <t>Information Technology</t>
        </is>
      </c>
      <c r="E145" s="82" t="n">
        <v>2026</v>
      </c>
      <c r="F145" s="85" t="n">
        <v>61641.1</v>
      </c>
      <c r="G145" s="85" t="n">
        <v>2564.1</v>
      </c>
      <c r="H145" s="85" t="n">
        <v>456.5</v>
      </c>
      <c r="I145" s="85" t="n">
        <v>10598.1</v>
      </c>
      <c r="J145" s="85" t="n">
        <v>6321.8</v>
      </c>
      <c r="K145" s="85" t="n">
        <v>-5444.4</v>
      </c>
      <c r="L145" s="85" t="n">
        <v>463.5</v>
      </c>
      <c r="M145" s="85" t="n">
        <v>-3848.2</v>
      </c>
      <c r="N145" s="85" t="n">
        <v>-67.2</v>
      </c>
      <c r="O145" s="85" t="n">
        <v>327.8</v>
      </c>
      <c r="P145" s="85" t="n">
        <v>8190.2</v>
      </c>
      <c r="Q145" s="85" t="n">
        <v>44123.5</v>
      </c>
      <c r="R145" s="85" t="n">
        <v>151.9</v>
      </c>
      <c r="S145" s="85" t="n">
        <v>5.8</v>
      </c>
      <c r="T145" s="85" t="n">
        <v>205.7</v>
      </c>
      <c r="U145" s="85" t="n">
        <v>28.9</v>
      </c>
      <c r="V145" s="91" t="inlineStr">
        <is>
          <t>N/A</t>
        </is>
      </c>
      <c r="W145" s="85" t="n">
        <v>25843.7</v>
      </c>
      <c r="X145" s="85" t="n">
        <v>252.3</v>
      </c>
      <c r="Y145" s="85" t="n">
        <v>355.4</v>
      </c>
      <c r="Z145" s="85" t="n">
        <v>7613.7</v>
      </c>
      <c r="AA145" s="85" t="n">
        <v>-1853</v>
      </c>
      <c r="AB145" s="85" t="n">
        <v>496.3</v>
      </c>
      <c r="AC145" s="85" t="n">
        <v>-1166.7</v>
      </c>
      <c r="AD145" s="85" t="n">
        <v>-53</v>
      </c>
      <c r="AE145" s="85" t="n">
        <v>334</v>
      </c>
      <c r="AF145" s="85" t="n">
        <v>7191.7</v>
      </c>
      <c r="AG145" s="85" t="n">
        <v>18230</v>
      </c>
      <c r="AH145" s="85" t="n">
        <v>496.3</v>
      </c>
      <c r="AI145" s="85" t="n">
        <v>25843.7</v>
      </c>
      <c r="AJ145" s="85" t="n">
        <v>-5526</v>
      </c>
      <c r="AK145" s="85" t="n">
        <v>-1934.3</v>
      </c>
      <c r="AL145" s="85" t="n">
        <v>-1677.8</v>
      </c>
      <c r="AM145" s="85" t="n">
        <v>-767.7</v>
      </c>
      <c r="AN145" s="85" t="n">
        <v>8.199999999999999</v>
      </c>
      <c r="AO145" s="85" t="n">
        <v>3</v>
      </c>
      <c r="AP145" s="91" t="inlineStr">
        <is>
          <t>N/A</t>
        </is>
      </c>
      <c r="AQ145" s="91" t="inlineStr">
        <is>
          <t>N/A</t>
        </is>
      </c>
      <c r="AR145" s="91" t="inlineStr">
        <is>
          <t>N/A</t>
        </is>
      </c>
      <c r="AS145" s="85" t="n">
        <v>23909.4</v>
      </c>
      <c r="AT145" s="85" t="n">
        <v>31.3</v>
      </c>
      <c r="AU145" s="85" t="n">
        <v>93.90000000000001</v>
      </c>
      <c r="AV145" s="85" t="n">
        <v>2301.5</v>
      </c>
      <c r="AW145" s="85" t="n">
        <v>38.1</v>
      </c>
      <c r="AX145" s="85" t="n">
        <v>8221.5</v>
      </c>
      <c r="AY145" s="85" t="n">
        <v>7191.7</v>
      </c>
      <c r="AZ145" s="85" t="n">
        <v>5920</v>
      </c>
      <c r="BA145" s="85" t="n">
        <v>-75.5</v>
      </c>
      <c r="BB145" s="91" t="inlineStr">
        <is>
          <t>N/A</t>
        </is>
      </c>
      <c r="BC145" s="91" t="inlineStr">
        <is>
          <t>N/A</t>
        </is>
      </c>
      <c r="BD145" s="85" t="n">
        <v>181.2</v>
      </c>
      <c r="BE145" s="85" t="n">
        <v>26.3</v>
      </c>
      <c r="BF145" s="85" t="n">
        <v>140.5</v>
      </c>
      <c r="BG145" s="85" t="n">
        <v>5.6</v>
      </c>
      <c r="BH145" s="85" t="n">
        <v>-22512.3</v>
      </c>
      <c r="BI145" s="85" t="n">
        <v>-22086.2</v>
      </c>
      <c r="BJ145" s="85" t="n">
        <v>33.7</v>
      </c>
      <c r="BK145" s="85" t="n">
        <v>30.7</v>
      </c>
      <c r="BL145" s="85" t="n">
        <v>112.6</v>
      </c>
      <c r="BM145" s="85" t="n">
        <v>105.5</v>
      </c>
      <c r="BN145" s="85" t="n">
        <v>1.8</v>
      </c>
      <c r="BO145" s="85" t="n">
        <v>149.4</v>
      </c>
      <c r="BP145" s="85" t="n">
        <v>129.5</v>
      </c>
      <c r="BQ145" s="85" t="n">
        <v>0</v>
      </c>
      <c r="BR145" s="85" t="n">
        <v>0</v>
      </c>
      <c r="BS145" s="91" t="inlineStr">
        <is>
          <t>N/A</t>
        </is>
      </c>
      <c r="BT145" s="91" t="inlineStr">
        <is>
          <t>N/A</t>
        </is>
      </c>
      <c r="BU145" s="85" t="n">
        <v>0</v>
      </c>
      <c r="BV145" s="85" t="n">
        <v>0</v>
      </c>
      <c r="BW145" s="85" t="n">
        <v>0</v>
      </c>
      <c r="BX145" s="85" t="n">
        <v>-0</v>
      </c>
      <c r="BY145" s="85" t="n">
        <v>0</v>
      </c>
    </row>
    <row r="146" ht="17" customHeight="1">
      <c r="A146" s="86" t="n">
        <v>144</v>
      </c>
      <c r="B146" s="87" t="inlineStr">
        <is>
          <t>IP</t>
        </is>
      </c>
      <c r="C146" s="88" t="inlineStr">
        <is>
          <t>INTERNATIONAL PAPER COMPANY</t>
        </is>
      </c>
      <c r="D146" s="86" t="inlineStr">
        <is>
          <t>Materials</t>
        </is>
      </c>
      <c r="E146" s="86" t="n">
        <v>2026</v>
      </c>
      <c r="F146" s="89" t="n">
        <v>37964</v>
      </c>
      <c r="G146" s="89" t="n">
        <v>10106</v>
      </c>
      <c r="H146" s="89" t="n">
        <v>7899</v>
      </c>
      <c r="I146" s="89" t="n">
        <v>37964</v>
      </c>
      <c r="J146" s="89" t="n">
        <v>4885</v>
      </c>
      <c r="K146" s="89" t="n">
        <v>2361</v>
      </c>
      <c r="L146" s="89" t="n">
        <v>23634</v>
      </c>
      <c r="M146" s="89" t="n">
        <v>-3516</v>
      </c>
      <c r="N146" s="89" t="n">
        <v>1698</v>
      </c>
      <c r="O146" s="89" t="n">
        <v>6897</v>
      </c>
      <c r="P146" s="89" t="n">
        <v>8671</v>
      </c>
      <c r="Q146" s="89" t="n">
        <v>14827</v>
      </c>
      <c r="R146" s="89" t="n">
        <v>2050</v>
      </c>
      <c r="S146" s="89" t="n">
        <v>2747</v>
      </c>
      <c r="T146" s="90" t="inlineStr">
        <is>
          <t>N/A</t>
        </is>
      </c>
      <c r="U146" s="89" t="n">
        <v>14443</v>
      </c>
      <c r="V146" s="89" t="n">
        <v>551</v>
      </c>
      <c r="W146" s="89" t="n">
        <v>22800</v>
      </c>
      <c r="X146" s="89" t="n">
        <v>6424</v>
      </c>
      <c r="Y146" s="89" t="n">
        <v>4258</v>
      </c>
      <c r="Z146" s="89" t="n">
        <v>22800</v>
      </c>
      <c r="AA146" s="89" t="n">
        <v>2058</v>
      </c>
      <c r="AB146" s="89" t="n">
        <v>6006</v>
      </c>
      <c r="AC146" s="89" t="n">
        <v>-2384</v>
      </c>
      <c r="AD146" s="89" t="n">
        <v>1678</v>
      </c>
      <c r="AE146" s="89" t="n">
        <v>1678</v>
      </c>
      <c r="AF146" s="89" t="n">
        <v>9033</v>
      </c>
      <c r="AG146" s="89" t="n">
        <v>8173</v>
      </c>
      <c r="AH146" s="89" t="n">
        <v>6222</v>
      </c>
      <c r="AI146" s="89" t="n">
        <v>22800</v>
      </c>
      <c r="AJ146" s="89" t="n">
        <v>-224</v>
      </c>
      <c r="AK146" s="90" t="inlineStr">
        <is>
          <t>N/A</t>
        </is>
      </c>
      <c r="AL146" s="89" t="n">
        <v>-533</v>
      </c>
      <c r="AM146" s="89" t="n">
        <v>-415</v>
      </c>
      <c r="AN146" s="89" t="n">
        <v>534</v>
      </c>
      <c r="AO146" s="89" t="n">
        <v>1002</v>
      </c>
      <c r="AP146" s="89" t="n">
        <v>2012</v>
      </c>
      <c r="AQ146" s="89" t="n">
        <v>1784</v>
      </c>
      <c r="AR146" s="89" t="n">
        <v>5326</v>
      </c>
      <c r="AS146" s="89" t="n">
        <v>4022</v>
      </c>
      <c r="AT146" s="89" t="n">
        <v>992</v>
      </c>
      <c r="AU146" s="90" t="inlineStr">
        <is>
          <t>N/A</t>
        </is>
      </c>
      <c r="AV146" s="89" t="n">
        <v>1145</v>
      </c>
      <c r="AW146" s="89" t="n">
        <v>1062</v>
      </c>
      <c r="AX146" s="89" t="n">
        <v>9663</v>
      </c>
      <c r="AY146" s="89" t="n">
        <v>9226</v>
      </c>
      <c r="AZ146" s="89" t="n">
        <v>8518</v>
      </c>
      <c r="BA146" s="89" t="n">
        <v>1164</v>
      </c>
      <c r="BB146" s="89" t="n">
        <v>627</v>
      </c>
      <c r="BC146" s="89" t="n">
        <v>448.9</v>
      </c>
      <c r="BD146" s="90" t="inlineStr">
        <is>
          <t>N/A</t>
        </is>
      </c>
      <c r="BE146" s="89" t="n">
        <v>9658</v>
      </c>
      <c r="BF146" s="89" t="n">
        <v>1840</v>
      </c>
      <c r="BG146" s="89" t="n">
        <v>1305</v>
      </c>
      <c r="BH146" s="89" t="n">
        <v>-1024</v>
      </c>
      <c r="BI146" s="89" t="n">
        <v>-808</v>
      </c>
      <c r="BJ146" s="89" t="n">
        <v>3902</v>
      </c>
      <c r="BK146" s="89" t="n">
        <v>2316</v>
      </c>
      <c r="BL146" s="89" t="n">
        <v>18</v>
      </c>
      <c r="BM146" s="89" t="n">
        <v>30</v>
      </c>
      <c r="BN146" s="90" t="inlineStr">
        <is>
          <t>N/A</t>
        </is>
      </c>
      <c r="BO146" s="89" t="n">
        <v>16637</v>
      </c>
      <c r="BP146" s="89" t="n">
        <v>13376</v>
      </c>
      <c r="BQ146" s="90" t="inlineStr">
        <is>
          <t>N/A</t>
        </is>
      </c>
      <c r="BR146" s="90" t="inlineStr">
        <is>
          <t>N/A</t>
        </is>
      </c>
      <c r="BS146" s="89" t="n">
        <v>0</v>
      </c>
      <c r="BT146" s="89" t="n">
        <v>0</v>
      </c>
      <c r="BU146" s="89" t="n">
        <v>0</v>
      </c>
      <c r="BV146" s="89" t="n">
        <v>0</v>
      </c>
      <c r="BW146" s="89" t="n">
        <v>0</v>
      </c>
      <c r="BX146" s="89" t="n">
        <v>0</v>
      </c>
      <c r="BY146" s="89" t="n">
        <v>0</v>
      </c>
    </row>
    <row r="147" ht="17" customHeight="1">
      <c r="A147" s="82" t="n">
        <v>145</v>
      </c>
      <c r="B147" s="83" t="inlineStr">
        <is>
          <t>ALL</t>
        </is>
      </c>
      <c r="C147" s="84" t="inlineStr">
        <is>
          <t>ALLSTATE CORP</t>
        </is>
      </c>
      <c r="D147" s="82" t="inlineStr">
        <is>
          <t>Financials</t>
        </is>
      </c>
      <c r="E147" s="82" t="n">
        <v>2026</v>
      </c>
      <c r="F147" s="85" t="n">
        <v>119758</v>
      </c>
      <c r="G147" s="91" t="inlineStr">
        <is>
          <t>N/A</t>
        </is>
      </c>
      <c r="H147" s="91" t="inlineStr">
        <is>
          <t>N/A</t>
        </is>
      </c>
      <c r="I147" s="85" t="n">
        <v>89169</v>
      </c>
      <c r="J147" s="85" t="n">
        <v>62393</v>
      </c>
      <c r="K147" s="85" t="n">
        <v>13156</v>
      </c>
      <c r="L147" s="85" t="n">
        <v>67685</v>
      </c>
      <c r="M147" s="85" t="n">
        <v>10282</v>
      </c>
      <c r="N147" s="85" t="n">
        <v>10110</v>
      </c>
      <c r="O147" s="85" t="n">
        <v>11553</v>
      </c>
      <c r="P147" s="85" t="n">
        <v>7490</v>
      </c>
      <c r="Q147" s="85" t="n">
        <v>30610</v>
      </c>
      <c r="R147" s="91" t="inlineStr">
        <is>
          <t>N/A</t>
        </is>
      </c>
      <c r="S147" s="85" t="n">
        <v>259</v>
      </c>
      <c r="T147" s="91" t="inlineStr">
        <is>
          <t>N/A</t>
        </is>
      </c>
      <c r="U147" s="85" t="n">
        <v>627</v>
      </c>
      <c r="V147" s="85" t="n">
        <v>379</v>
      </c>
      <c r="W147" s="85" t="n">
        <v>111617</v>
      </c>
      <c r="X147" s="91" t="inlineStr">
        <is>
          <t>N/A</t>
        </is>
      </c>
      <c r="Y147" s="91" t="inlineStr">
        <is>
          <t>N/A</t>
        </is>
      </c>
      <c r="Z147" s="85" t="n">
        <v>90250</v>
      </c>
      <c r="AA147" s="85" t="n">
        <v>5761</v>
      </c>
      <c r="AB147" s="85" t="n">
        <v>17345</v>
      </c>
      <c r="AC147" s="85" t="n">
        <v>4667</v>
      </c>
      <c r="AD147" s="85" t="n">
        <v>8931</v>
      </c>
      <c r="AE147" s="85" t="n">
        <v>-41000</v>
      </c>
      <c r="AF147" s="85" t="n">
        <v>8085</v>
      </c>
      <c r="AG147" s="85" t="n">
        <v>21442</v>
      </c>
      <c r="AH147" s="85" t="n">
        <v>17255</v>
      </c>
      <c r="AI147" s="85" t="n">
        <v>111617</v>
      </c>
      <c r="AJ147" s="85" t="n">
        <v>13156</v>
      </c>
      <c r="AK147" s="85" t="n">
        <v>5761</v>
      </c>
      <c r="AL147" s="85" t="n">
        <v>2890</v>
      </c>
      <c r="AM147" s="85" t="n">
        <v>1162</v>
      </c>
      <c r="AN147" s="85" t="n">
        <v>228</v>
      </c>
      <c r="AO147" s="85" t="n">
        <v>210</v>
      </c>
      <c r="AP147" s="91" t="inlineStr">
        <is>
          <t>N/A</t>
        </is>
      </c>
      <c r="AQ147" s="91" t="inlineStr">
        <is>
          <t>N/A</t>
        </is>
      </c>
      <c r="AR147" s="85" t="n">
        <v>3118</v>
      </c>
      <c r="AS147" s="85" t="n">
        <v>432</v>
      </c>
      <c r="AT147" s="85" t="n">
        <v>250</v>
      </c>
      <c r="AU147" s="91" t="inlineStr">
        <is>
          <t>N/A</t>
        </is>
      </c>
      <c r="AV147" s="91" t="inlineStr">
        <is>
          <t>N/A</t>
        </is>
      </c>
      <c r="AW147" s="91" t="inlineStr">
        <is>
          <t>N/A</t>
        </is>
      </c>
      <c r="AX147" s="85" t="n">
        <v>7740</v>
      </c>
      <c r="AY147" s="85" t="n">
        <v>8435</v>
      </c>
      <c r="AZ147" s="85" t="n">
        <v>7740</v>
      </c>
      <c r="BA147" s="85" t="n">
        <v>9882</v>
      </c>
      <c r="BB147" s="85" t="n">
        <v>260</v>
      </c>
      <c r="BC147" s="85" t="n">
        <v>265</v>
      </c>
      <c r="BD147" s="91" t="inlineStr">
        <is>
          <t>N/A</t>
        </is>
      </c>
      <c r="BE147" s="85" t="n">
        <v>669</v>
      </c>
      <c r="BF147" s="91" t="inlineStr">
        <is>
          <t>N/A</t>
        </is>
      </c>
      <c r="BG147" s="85" t="n">
        <v>316</v>
      </c>
      <c r="BH147" s="85" t="n">
        <v>-7255</v>
      </c>
      <c r="BI147" s="85" t="n">
        <v>-8252</v>
      </c>
      <c r="BJ147" s="91" t="inlineStr">
        <is>
          <t>N/A</t>
        </is>
      </c>
      <c r="BK147" s="91" t="inlineStr">
        <is>
          <t>N/A</t>
        </is>
      </c>
      <c r="BL147" s="91" t="inlineStr">
        <is>
          <t>N/A</t>
        </is>
      </c>
      <c r="BM147" s="91" t="inlineStr">
        <is>
          <t>N/A</t>
        </is>
      </c>
      <c r="BN147" s="85" t="n">
        <v>158</v>
      </c>
      <c r="BO147" s="85" t="n">
        <v>56132</v>
      </c>
      <c r="BP147" s="85" t="n">
        <v>58345</v>
      </c>
      <c r="BQ147" s="91" t="inlineStr">
        <is>
          <t>N/A</t>
        </is>
      </c>
      <c r="BR147" s="91" t="inlineStr">
        <is>
          <t>N/A</t>
        </is>
      </c>
      <c r="BS147" s="91" t="inlineStr">
        <is>
          <t>N/A</t>
        </is>
      </c>
      <c r="BT147" s="91" t="inlineStr">
        <is>
          <t>N/A</t>
        </is>
      </c>
      <c r="BU147" s="91" t="inlineStr">
        <is>
          <t>N/A</t>
        </is>
      </c>
      <c r="BV147" s="91" t="inlineStr">
        <is>
          <t>N/A</t>
        </is>
      </c>
      <c r="BW147" s="85" t="n">
        <v>0</v>
      </c>
      <c r="BX147" s="85" t="n">
        <v>0</v>
      </c>
      <c r="BY147" s="85" t="n">
        <v>0</v>
      </c>
    </row>
    <row r="148" ht="17" customHeight="1">
      <c r="A148" s="86" t="n">
        <v>146</v>
      </c>
      <c r="B148" s="87" t="inlineStr">
        <is>
          <t>WAT</t>
        </is>
      </c>
      <c r="C148" s="88" t="inlineStr">
        <is>
          <t>Waters Corporation</t>
        </is>
      </c>
      <c r="D148" s="86" t="inlineStr">
        <is>
          <t>Health Care</t>
        </is>
      </c>
      <c r="E148" s="86" t="n">
        <v>2026</v>
      </c>
      <c r="F148" s="89" t="n">
        <v>5076.6</v>
      </c>
      <c r="G148" s="89" t="n">
        <v>2147.6</v>
      </c>
      <c r="H148" s="89" t="n">
        <v>1239.5</v>
      </c>
      <c r="I148" s="89" t="n">
        <v>2515.3</v>
      </c>
      <c r="J148" s="89" t="n">
        <v>10431.3</v>
      </c>
      <c r="K148" s="89" t="n">
        <v>802.6</v>
      </c>
      <c r="L148" s="89" t="n">
        <v>3165.3</v>
      </c>
      <c r="M148" s="89" t="n">
        <v>642.6</v>
      </c>
      <c r="N148" s="89" t="n">
        <v>652.6</v>
      </c>
      <c r="O148" s="89" t="n">
        <v>1199.7</v>
      </c>
      <c r="P148" s="89" t="n">
        <v>1410</v>
      </c>
      <c r="Q148" s="89" t="n">
        <v>2561.2</v>
      </c>
      <c r="R148" s="89" t="n">
        <v>830.4</v>
      </c>
      <c r="S148" s="89" t="n">
        <v>88.09999999999999</v>
      </c>
      <c r="T148" s="89" t="n">
        <v>828.8</v>
      </c>
      <c r="U148" s="89" t="n">
        <v>642</v>
      </c>
      <c r="V148" s="89" t="n">
        <v>69.5</v>
      </c>
      <c r="W148" s="89" t="n">
        <v>4553.8</v>
      </c>
      <c r="X148" s="89" t="n">
        <v>1669.1</v>
      </c>
      <c r="Y148" s="89" t="n">
        <v>789.8</v>
      </c>
      <c r="Z148" s="89" t="n">
        <v>2725.3</v>
      </c>
      <c r="AA148" s="89" t="n">
        <v>270.5</v>
      </c>
      <c r="AB148" s="89" t="n">
        <v>932.4</v>
      </c>
      <c r="AC148" s="89" t="n">
        <v>637.8</v>
      </c>
      <c r="AD148" s="89" t="n">
        <v>762.1</v>
      </c>
      <c r="AE148" s="89" t="n">
        <v>348.7</v>
      </c>
      <c r="AF148" s="89" t="n">
        <v>1630</v>
      </c>
      <c r="AG148" s="89" t="n">
        <v>1828.5</v>
      </c>
      <c r="AH148" s="89" t="n">
        <v>799.9</v>
      </c>
      <c r="AI148" s="89" t="n">
        <v>4553.8</v>
      </c>
      <c r="AJ148" s="89" t="n">
        <v>754.9</v>
      </c>
      <c r="AK148" s="89" t="n">
        <v>264.2</v>
      </c>
      <c r="AL148" s="89" t="n">
        <v>112.2</v>
      </c>
      <c r="AM148" s="89" t="n">
        <v>39</v>
      </c>
      <c r="AN148" s="89" t="n">
        <v>112.7</v>
      </c>
      <c r="AO148" s="89" t="n">
        <v>142.5</v>
      </c>
      <c r="AP148" s="89" t="n">
        <v>572.4</v>
      </c>
      <c r="AQ148" s="89" t="n">
        <v>477.3</v>
      </c>
      <c r="AR148" s="89" t="n">
        <v>1340.1</v>
      </c>
      <c r="AS148" s="89" t="n">
        <v>558.2</v>
      </c>
      <c r="AT148" s="89" t="n">
        <v>460</v>
      </c>
      <c r="AU148" s="89" t="n">
        <v>195.7</v>
      </c>
      <c r="AV148" s="89" t="n">
        <v>587.8</v>
      </c>
      <c r="AW148" s="89" t="n">
        <v>324.4</v>
      </c>
      <c r="AX148" s="89" t="n">
        <v>1870</v>
      </c>
      <c r="AY148" s="89" t="n">
        <v>1630</v>
      </c>
      <c r="AZ148" s="89" t="n">
        <v>1282.2</v>
      </c>
      <c r="BA148" s="89" t="n">
        <v>539.8</v>
      </c>
      <c r="BB148" s="89" t="n">
        <v>59.5</v>
      </c>
      <c r="BC148" s="89" t="n">
        <v>0.1</v>
      </c>
      <c r="BD148" s="89" t="n">
        <v>733.4</v>
      </c>
      <c r="BE148" s="89" t="n">
        <v>651.2</v>
      </c>
      <c r="BF148" s="89" t="n">
        <v>240</v>
      </c>
      <c r="BG148" s="89" t="n">
        <v>87</v>
      </c>
      <c r="BH148" s="89" t="n">
        <v>-152.3</v>
      </c>
      <c r="BI148" s="89" t="n">
        <v>-144</v>
      </c>
      <c r="BJ148" s="89" t="n">
        <v>103.8</v>
      </c>
      <c r="BK148" s="89" t="n">
        <v>99.90000000000001</v>
      </c>
      <c r="BL148" s="89" t="n">
        <v>344.7</v>
      </c>
      <c r="BM148" s="89" t="n">
        <v>320</v>
      </c>
      <c r="BN148" s="89" t="n">
        <v>35.5</v>
      </c>
      <c r="BO148" s="89" t="n">
        <v>1288.8</v>
      </c>
      <c r="BP148" s="89" t="n">
        <v>362.9</v>
      </c>
      <c r="BQ148" s="89" t="n">
        <v>0</v>
      </c>
      <c r="BR148" s="89" t="n">
        <v>0</v>
      </c>
      <c r="BS148" s="89" t="n">
        <v>0</v>
      </c>
      <c r="BT148" s="89" t="n">
        <v>0</v>
      </c>
      <c r="BU148" s="89" t="n">
        <v>0</v>
      </c>
      <c r="BV148" s="89" t="n">
        <v>0</v>
      </c>
      <c r="BW148" s="89" t="n">
        <v>0</v>
      </c>
      <c r="BX148" s="89" t="n">
        <v>0</v>
      </c>
      <c r="BY148" s="89" t="n">
        <v>0</v>
      </c>
    </row>
    <row r="149" ht="17" customHeight="1">
      <c r="A149" s="82" t="n">
        <v>147</v>
      </c>
      <c r="B149" s="83" t="inlineStr">
        <is>
          <t>NEE</t>
        </is>
      </c>
      <c r="C149" s="84" t="inlineStr">
        <is>
          <t>NEXTERA ENERGY, INC.</t>
        </is>
      </c>
      <c r="D149" s="82" t="inlineStr">
        <is>
          <t>Utilities</t>
        </is>
      </c>
      <c r="E149" s="82" t="n">
        <v>2026</v>
      </c>
      <c r="F149" s="85" t="n">
        <v>212721</v>
      </c>
      <c r="G149" s="85" t="n">
        <v>13584</v>
      </c>
      <c r="H149" s="85" t="n">
        <v>22817</v>
      </c>
      <c r="I149" s="85" t="n">
        <v>146242</v>
      </c>
      <c r="J149" s="85" t="n">
        <v>35102</v>
      </c>
      <c r="K149" s="85" t="n">
        <v>8280</v>
      </c>
      <c r="L149" s="85" t="n">
        <v>14256</v>
      </c>
      <c r="M149" s="85" t="n">
        <v>6835</v>
      </c>
      <c r="N149" s="85" t="n">
        <v>12485</v>
      </c>
      <c r="O149" s="85" t="n">
        <v>-5136</v>
      </c>
      <c r="P149" s="85" t="n">
        <v>89556</v>
      </c>
      <c r="Q149" s="85" t="n">
        <v>54608</v>
      </c>
      <c r="R149" s="91" t="inlineStr">
        <is>
          <t>N/A</t>
        </is>
      </c>
      <c r="S149" s="85" t="n">
        <v>6580</v>
      </c>
      <c r="T149" s="85" t="n">
        <v>4018</v>
      </c>
      <c r="U149" s="85" t="n">
        <v>156197</v>
      </c>
      <c r="V149" s="91" t="inlineStr">
        <is>
          <t>N/A</t>
        </is>
      </c>
      <c r="W149" s="85" t="n">
        <v>190144</v>
      </c>
      <c r="X149" s="85" t="n">
        <v>11951</v>
      </c>
      <c r="Y149" s="85" t="n">
        <v>25355</v>
      </c>
      <c r="Z149" s="85" t="n">
        <v>129283</v>
      </c>
      <c r="AA149" s="85" t="n">
        <v>7479</v>
      </c>
      <c r="AB149" s="85" t="n">
        <v>3375</v>
      </c>
      <c r="AC149" s="85" t="n">
        <v>6946</v>
      </c>
      <c r="AD149" s="85" t="n">
        <v>13260</v>
      </c>
      <c r="AE149" s="85" t="n">
        <v>-14251</v>
      </c>
      <c r="AF149" s="85" t="n">
        <v>72385</v>
      </c>
      <c r="AG149" s="85" t="n">
        <v>50101</v>
      </c>
      <c r="AH149" s="85" t="n">
        <v>3843</v>
      </c>
      <c r="AI149" s="85" t="n">
        <v>190144</v>
      </c>
      <c r="AJ149" s="85" t="n">
        <v>4530</v>
      </c>
      <c r="AK149" s="85" t="n">
        <v>6037</v>
      </c>
      <c r="AL149" s="85" t="n">
        <v>-802</v>
      </c>
      <c r="AM149" s="85" t="n">
        <v>339</v>
      </c>
      <c r="AN149" s="91" t="inlineStr">
        <is>
          <t>N/A</t>
        </is>
      </c>
      <c r="AO149" s="91" t="inlineStr">
        <is>
          <t>N/A</t>
        </is>
      </c>
      <c r="AP149" s="85" t="n">
        <v>2420</v>
      </c>
      <c r="AQ149" s="85" t="n">
        <v>2214</v>
      </c>
      <c r="AR149" s="85" t="n">
        <v>4849</v>
      </c>
      <c r="AS149" s="85" t="n">
        <v>1630</v>
      </c>
      <c r="AT149" s="85" t="n">
        <v>400</v>
      </c>
      <c r="AU149" s="91" t="inlineStr">
        <is>
          <t>N/A</t>
        </is>
      </c>
      <c r="AV149" s="85" t="n">
        <v>2812</v>
      </c>
      <c r="AW149" s="85" t="n">
        <v>1487</v>
      </c>
      <c r="AX149" s="85" t="n">
        <v>89956</v>
      </c>
      <c r="AY149" s="85" t="n">
        <v>77850</v>
      </c>
      <c r="AZ149" s="85" t="n">
        <v>87144</v>
      </c>
      <c r="BA149" s="91" t="inlineStr">
        <is>
          <t>N/A</t>
        </is>
      </c>
      <c r="BB149" s="85" t="n">
        <v>2083</v>
      </c>
      <c r="BC149" s="85" t="n">
        <v>2057</v>
      </c>
      <c r="BD149" s="85" t="n">
        <v>3336</v>
      </c>
      <c r="BE149" s="85" t="n">
        <v>138852</v>
      </c>
      <c r="BF149" s="91" t="inlineStr">
        <is>
          <t>N/A</t>
        </is>
      </c>
      <c r="BG149" s="85" t="n">
        <v>5462</v>
      </c>
      <c r="BH149" s="85" t="n">
        <v>-23865</v>
      </c>
      <c r="BI149" s="85" t="n">
        <v>-22264</v>
      </c>
      <c r="BJ149" s="91" t="inlineStr">
        <is>
          <t>N/A</t>
        </is>
      </c>
      <c r="BK149" s="91" t="inlineStr">
        <is>
          <t>N/A</t>
        </is>
      </c>
      <c r="BL149" s="85" t="n">
        <v>709</v>
      </c>
      <c r="BM149" s="85" t="n">
        <v>694</v>
      </c>
      <c r="BN149" s="91" t="inlineStr">
        <is>
          <t>N/A</t>
        </is>
      </c>
      <c r="BO149" s="85" t="n">
        <v>19392</v>
      </c>
      <c r="BP149" s="85" t="n">
        <v>17626</v>
      </c>
      <c r="BQ149" s="85" t="n">
        <v>0</v>
      </c>
      <c r="BR149" s="85" t="n">
        <v>0</v>
      </c>
      <c r="BS149" s="85" t="n">
        <v>0</v>
      </c>
      <c r="BT149" s="85" t="n">
        <v>0</v>
      </c>
      <c r="BU149" s="85" t="n">
        <v>0</v>
      </c>
      <c r="BV149" s="91" t="inlineStr">
        <is>
          <t>N/A</t>
        </is>
      </c>
      <c r="BW149" s="85" t="n">
        <v>0</v>
      </c>
      <c r="BX149" s="85" t="n">
        <v>0</v>
      </c>
      <c r="BY149" s="85" t="n">
        <v>-0</v>
      </c>
    </row>
    <row r="150" ht="17" customHeight="1">
      <c r="A150" s="86" t="n">
        <v>148</v>
      </c>
      <c r="B150" s="87" t="inlineStr">
        <is>
          <t>PAYX</t>
        </is>
      </c>
      <c r="C150" s="88" t="inlineStr">
        <is>
          <t>Paychex, Inc.</t>
        </is>
      </c>
      <c r="D150" s="86" t="inlineStr">
        <is>
          <t>Financials</t>
        </is>
      </c>
      <c r="E150" s="86" t="n">
        <v>2026</v>
      </c>
      <c r="F150" s="89" t="n">
        <v>16564.1</v>
      </c>
      <c r="G150" s="89" t="n">
        <v>8916.5</v>
      </c>
      <c r="H150" s="89" t="n">
        <v>6956.3</v>
      </c>
      <c r="I150" s="89" t="n">
        <v>12436.1</v>
      </c>
      <c r="J150" s="89" t="n">
        <v>2277</v>
      </c>
      <c r="K150" s="89" t="n">
        <v>2207.7</v>
      </c>
      <c r="L150" s="89" t="n">
        <v>5571.7</v>
      </c>
      <c r="M150" s="89" t="n">
        <v>674.9</v>
      </c>
      <c r="N150" s="89" t="n">
        <v>1900.9</v>
      </c>
      <c r="O150" s="89" t="n">
        <v>4031.3</v>
      </c>
      <c r="P150" s="89" t="n">
        <v>4948.2</v>
      </c>
      <c r="Q150" s="89" t="n">
        <v>4128</v>
      </c>
      <c r="R150" s="89" t="n">
        <v>1823.6</v>
      </c>
      <c r="S150" s="89" t="n">
        <v>88.7</v>
      </c>
      <c r="T150" s="89" t="n">
        <v>176.6</v>
      </c>
      <c r="U150" s="89" t="n">
        <v>511.5</v>
      </c>
      <c r="V150" s="89" t="n">
        <v>37.3</v>
      </c>
      <c r="W150" s="89" t="n">
        <v>10383.1</v>
      </c>
      <c r="X150" s="89" t="n">
        <v>7251.5</v>
      </c>
      <c r="Y150" s="89" t="n">
        <v>5309.1</v>
      </c>
      <c r="Z150" s="89" t="n">
        <v>6582.1</v>
      </c>
      <c r="AA150" s="89" t="n">
        <v>2174.1</v>
      </c>
      <c r="AB150" s="89" t="n">
        <v>5278.3</v>
      </c>
      <c r="AC150" s="89" t="n">
        <v>161.2</v>
      </c>
      <c r="AD150" s="89" t="n">
        <v>1897.7</v>
      </c>
      <c r="AE150" s="89" t="n">
        <v>3799</v>
      </c>
      <c r="AF150" s="89" t="n">
        <v>798.6</v>
      </c>
      <c r="AG150" s="89" t="n">
        <v>3801</v>
      </c>
      <c r="AH150" s="89" t="n">
        <v>5278.3</v>
      </c>
      <c r="AI150" s="89" t="n">
        <v>10383.1</v>
      </c>
      <c r="AJ150" s="89" t="n">
        <v>2175.9</v>
      </c>
      <c r="AK150" s="89" t="n">
        <v>2218</v>
      </c>
      <c r="AL150" s="89" t="n">
        <v>518.6</v>
      </c>
      <c r="AM150" s="89" t="n">
        <v>527.6</v>
      </c>
      <c r="AN150" s="89" t="n">
        <v>191.8</v>
      </c>
      <c r="AO150" s="89" t="n">
        <v>161.4</v>
      </c>
      <c r="AP150" s="90" t="inlineStr">
        <is>
          <t>N/A</t>
        </is>
      </c>
      <c r="AQ150" s="90" t="inlineStr">
        <is>
          <t>N/A</t>
        </is>
      </c>
      <c r="AR150" s="89" t="n">
        <v>4514.1</v>
      </c>
      <c r="AS150" s="89" t="n">
        <v>57.6</v>
      </c>
      <c r="AT150" s="89" t="n">
        <v>18.6</v>
      </c>
      <c r="AU150" s="90" t="inlineStr">
        <is>
          <t>N/A</t>
        </is>
      </c>
      <c r="AV150" s="89" t="n">
        <v>1628.6</v>
      </c>
      <c r="AW150" s="89" t="n">
        <v>1468.9</v>
      </c>
      <c r="AX150" s="89" t="n">
        <v>4966.8</v>
      </c>
      <c r="AY150" s="89" t="n">
        <v>817.3</v>
      </c>
      <c r="AZ150" s="89" t="n">
        <v>3338.2</v>
      </c>
      <c r="BA150" s="89" t="n">
        <v>1709.1</v>
      </c>
      <c r="BB150" s="89" t="n">
        <v>360.5</v>
      </c>
      <c r="BC150" s="89" t="n">
        <v>360.1</v>
      </c>
      <c r="BD150" s="89" t="n">
        <v>149.4</v>
      </c>
      <c r="BE150" s="89" t="n">
        <v>411.7</v>
      </c>
      <c r="BF150" s="89" t="n">
        <v>1624.9</v>
      </c>
      <c r="BG150" s="89" t="n">
        <v>86.5</v>
      </c>
      <c r="BH150" s="89" t="n">
        <v>-3356.8</v>
      </c>
      <c r="BI150" s="89" t="n">
        <v>-260.9</v>
      </c>
      <c r="BJ150" s="89" t="n">
        <v>129.8</v>
      </c>
      <c r="BK150" s="89" t="n">
        <v>104.3</v>
      </c>
      <c r="BL150" s="89" t="n">
        <v>24.3</v>
      </c>
      <c r="BM150" s="89" t="n">
        <v>22.9</v>
      </c>
      <c r="BN150" s="89" t="n">
        <v>50.5</v>
      </c>
      <c r="BO150" s="89" t="n">
        <v>1540.4</v>
      </c>
      <c r="BP150" s="89" t="n">
        <v>1479.3</v>
      </c>
      <c r="BQ150" s="89" t="n">
        <v>0</v>
      </c>
      <c r="BR150" s="89" t="n">
        <v>0</v>
      </c>
      <c r="BS150" s="90" t="inlineStr">
        <is>
          <t>N/A</t>
        </is>
      </c>
      <c r="BT150" s="90" t="inlineStr">
        <is>
          <t>N/A</t>
        </is>
      </c>
      <c r="BU150" s="89" t="n">
        <v>0</v>
      </c>
      <c r="BV150" s="89" t="n">
        <v>0</v>
      </c>
      <c r="BW150" s="89" t="n">
        <v>0</v>
      </c>
      <c r="BX150" s="89" t="n">
        <v>0</v>
      </c>
      <c r="BY150" s="89" t="n">
        <v>0</v>
      </c>
    </row>
    <row r="151" ht="17" customHeight="1">
      <c r="A151" s="82" t="n">
        <v>149</v>
      </c>
      <c r="B151" s="83" t="inlineStr">
        <is>
          <t>AFL</t>
        </is>
      </c>
      <c r="C151" s="84" t="inlineStr">
        <is>
          <t>AFLAC INC</t>
        </is>
      </c>
      <c r="D151" s="82" t="inlineStr">
        <is>
          <t>Financials</t>
        </is>
      </c>
      <c r="E151" s="82" t="n">
        <v>2026</v>
      </c>
      <c r="F151" s="85" t="n">
        <v>116470</v>
      </c>
      <c r="G151" s="91" t="inlineStr">
        <is>
          <t>N/A</t>
        </is>
      </c>
      <c r="H151" s="91" t="inlineStr">
        <is>
          <t>N/A</t>
        </is>
      </c>
      <c r="I151" s="85" t="n">
        <v>86980</v>
      </c>
      <c r="J151" s="85" t="n">
        <v>54682</v>
      </c>
      <c r="K151" s="85" t="n">
        <v>4157</v>
      </c>
      <c r="L151" s="85" t="n">
        <v>17164</v>
      </c>
      <c r="M151" s="85" t="n">
        <v>3646</v>
      </c>
      <c r="N151" s="85" t="n">
        <v>2555</v>
      </c>
      <c r="O151" s="85" t="n">
        <v>4533</v>
      </c>
      <c r="P151" s="91" t="inlineStr">
        <is>
          <t>N/A</t>
        </is>
      </c>
      <c r="Q151" s="85" t="n">
        <v>29490</v>
      </c>
      <c r="R151" s="85" t="n">
        <v>3253</v>
      </c>
      <c r="S151" s="85" t="n">
        <v>36</v>
      </c>
      <c r="T151" s="91" t="inlineStr">
        <is>
          <t>N/A</t>
        </is>
      </c>
      <c r="U151" s="85" t="n">
        <v>351</v>
      </c>
      <c r="V151" s="85" t="n">
        <v>195</v>
      </c>
      <c r="W151" s="85" t="n">
        <v>117566</v>
      </c>
      <c r="X151" s="91" t="inlineStr">
        <is>
          <t>N/A</t>
        </is>
      </c>
      <c r="Y151" s="91" t="inlineStr">
        <is>
          <t>N/A</t>
        </is>
      </c>
      <c r="Z151" s="85" t="n">
        <v>91468</v>
      </c>
      <c r="AA151" s="85" t="n">
        <v>4934</v>
      </c>
      <c r="AB151" s="85" t="n">
        <v>18927</v>
      </c>
      <c r="AC151" s="85" t="n">
        <v>5443</v>
      </c>
      <c r="AD151" s="85" t="n">
        <v>2707</v>
      </c>
      <c r="AE151" s="85" t="n">
        <v>6417</v>
      </c>
      <c r="AF151" s="91" t="inlineStr">
        <is>
          <t>N/A</t>
        </is>
      </c>
      <c r="AG151" s="85" t="n">
        <v>26098</v>
      </c>
      <c r="AH151" s="85" t="n">
        <v>18927</v>
      </c>
      <c r="AI151" s="85" t="n">
        <v>117566</v>
      </c>
      <c r="AJ151" s="85" t="n">
        <v>4533</v>
      </c>
      <c r="AK151" s="85" t="n">
        <v>6417</v>
      </c>
      <c r="AL151" s="85" t="n">
        <v>887</v>
      </c>
      <c r="AM151" s="85" t="n">
        <v>974</v>
      </c>
      <c r="AN151" s="91" t="inlineStr">
        <is>
          <t>N/A</t>
        </is>
      </c>
      <c r="AO151" s="91" t="inlineStr">
        <is>
          <t>N/A</t>
        </is>
      </c>
      <c r="AP151" s="91" t="inlineStr">
        <is>
          <t>N/A</t>
        </is>
      </c>
      <c r="AQ151" s="91" t="inlineStr">
        <is>
          <t>N/A</t>
        </is>
      </c>
      <c r="AR151" s="85" t="n">
        <v>260</v>
      </c>
      <c r="AS151" s="91" t="inlineStr">
        <is>
          <t>N/A</t>
        </is>
      </c>
      <c r="AT151" s="91" t="inlineStr">
        <is>
          <t>N/A</t>
        </is>
      </c>
      <c r="AU151" s="91" t="inlineStr">
        <is>
          <t>N/A</t>
        </is>
      </c>
      <c r="AV151" s="85" t="n">
        <v>6245</v>
      </c>
      <c r="AW151" s="85" t="n">
        <v>6229</v>
      </c>
      <c r="AX151" s="91" t="inlineStr">
        <is>
          <t>N/A</t>
        </is>
      </c>
      <c r="AY151" s="91" t="inlineStr">
        <is>
          <t>N/A</t>
        </is>
      </c>
      <c r="AZ151" s="91" t="inlineStr">
        <is>
          <t>N/A</t>
        </is>
      </c>
      <c r="BA151" s="91" t="inlineStr">
        <is>
          <t>N/A</t>
        </is>
      </c>
      <c r="BB151" s="85" t="n">
        <v>518.7</v>
      </c>
      <c r="BC151" s="85" t="n">
        <v>550</v>
      </c>
      <c r="BD151" s="91" t="inlineStr">
        <is>
          <t>N/A</t>
        </is>
      </c>
      <c r="BE151" s="85" t="n">
        <v>387</v>
      </c>
      <c r="BF151" s="85" t="n">
        <v>3014</v>
      </c>
      <c r="BG151" s="85" t="n">
        <v>40</v>
      </c>
      <c r="BH151" s="85" t="n">
        <v>1561</v>
      </c>
      <c r="BI151" s="85" t="n">
        <v>2781</v>
      </c>
      <c r="BJ151" s="91" t="inlineStr">
        <is>
          <t>N/A</t>
        </is>
      </c>
      <c r="BK151" s="91" t="inlineStr">
        <is>
          <t>N/A</t>
        </is>
      </c>
      <c r="BL151" s="91" t="inlineStr">
        <is>
          <t>N/A</t>
        </is>
      </c>
      <c r="BM151" s="91" t="inlineStr">
        <is>
          <t>N/A</t>
        </is>
      </c>
      <c r="BN151" s="85" t="n">
        <v>89</v>
      </c>
      <c r="BO151" s="85" t="n">
        <v>12631</v>
      </c>
      <c r="BP151" s="85" t="n">
        <v>12510</v>
      </c>
      <c r="BQ151" s="91" t="inlineStr">
        <is>
          <t>N/A</t>
        </is>
      </c>
      <c r="BR151" s="91" t="inlineStr">
        <is>
          <t>N/A</t>
        </is>
      </c>
      <c r="BS151" s="91" t="inlineStr">
        <is>
          <t>N/A</t>
        </is>
      </c>
      <c r="BT151" s="91" t="inlineStr">
        <is>
          <t>N/A</t>
        </is>
      </c>
      <c r="BU151" s="91" t="inlineStr">
        <is>
          <t>N/A</t>
        </is>
      </c>
      <c r="BV151" s="91" t="inlineStr">
        <is>
          <t>N/A</t>
        </is>
      </c>
      <c r="BW151" s="85" t="n">
        <v>0</v>
      </c>
      <c r="BX151" s="85" t="n">
        <v>0</v>
      </c>
      <c r="BY151" s="85" t="n">
        <v>0</v>
      </c>
    </row>
    <row r="152" ht="17" customHeight="1">
      <c r="A152" s="86" t="n">
        <v>150</v>
      </c>
      <c r="B152" s="87" t="inlineStr">
        <is>
          <t>SMCI</t>
        </is>
      </c>
      <c r="C152" s="88" t="inlineStr">
        <is>
          <t>SUPER MICRO COMPUTER, INC.</t>
        </is>
      </c>
      <c r="D152" s="86" t="inlineStr">
        <is>
          <t>Information Technology</t>
        </is>
      </c>
      <c r="E152" s="86" t="n">
        <v>2026</v>
      </c>
      <c r="F152" s="89" t="n">
        <v>14018.4</v>
      </c>
      <c r="G152" s="89" t="n">
        <v>12301.7</v>
      </c>
      <c r="H152" s="89" t="n">
        <v>2344.8</v>
      </c>
      <c r="I152" s="89" t="n">
        <v>7716.6</v>
      </c>
      <c r="J152" s="89" t="n">
        <v>3434.5</v>
      </c>
      <c r="K152" s="89" t="n">
        <v>1253</v>
      </c>
      <c r="L152" s="89" t="n">
        <v>2484.9</v>
      </c>
      <c r="M152" s="89" t="n">
        <v>1048.9</v>
      </c>
      <c r="N152" s="89" t="n">
        <v>1659.5</v>
      </c>
      <c r="O152" s="89" t="n">
        <v>2429.9</v>
      </c>
      <c r="P152" s="89" t="n">
        <v>120.2</v>
      </c>
      <c r="Q152" s="89" t="n">
        <v>6301.7</v>
      </c>
      <c r="R152" s="89" t="n">
        <v>267.2</v>
      </c>
      <c r="S152" s="89" t="n">
        <v>41</v>
      </c>
      <c r="T152" s="89" t="n">
        <v>2203.9</v>
      </c>
      <c r="U152" s="89" t="n">
        <v>504.5</v>
      </c>
      <c r="V152" s="89" t="n">
        <v>10.5</v>
      </c>
      <c r="W152" s="89" t="n">
        <v>9826.1</v>
      </c>
      <c r="X152" s="89" t="n">
        <v>8932</v>
      </c>
      <c r="Y152" s="89" t="n">
        <v>2345.7</v>
      </c>
      <c r="Z152" s="89" t="n">
        <v>4408.7</v>
      </c>
      <c r="AA152" s="89" t="n">
        <v>1210.8</v>
      </c>
      <c r="AB152" s="89" t="n">
        <v>678.2</v>
      </c>
      <c r="AC152" s="89" t="n">
        <v>1152.7</v>
      </c>
      <c r="AD152" s="89" t="n">
        <v>-2486</v>
      </c>
      <c r="AE152" s="89" t="n">
        <v>2061.4</v>
      </c>
      <c r="AF152" s="89" t="n">
        <v>147.6</v>
      </c>
      <c r="AG152" s="89" t="n">
        <v>5417.2</v>
      </c>
      <c r="AH152" s="89" t="n">
        <v>614.8</v>
      </c>
      <c r="AI152" s="89" t="n">
        <v>9826.1</v>
      </c>
      <c r="AJ152" s="89" t="n">
        <v>1064.8</v>
      </c>
      <c r="AK152" s="90" t="inlineStr">
        <is>
          <t>N/A</t>
        </is>
      </c>
      <c r="AL152" s="89" t="n">
        <v>156.9</v>
      </c>
      <c r="AM152" s="89" t="n">
        <v>63.3</v>
      </c>
      <c r="AN152" s="89" t="n">
        <v>127.2</v>
      </c>
      <c r="AO152" s="89" t="n">
        <v>124.3</v>
      </c>
      <c r="AP152" s="89" t="n">
        <v>4680.4</v>
      </c>
      <c r="AQ152" s="89" t="n">
        <v>4333</v>
      </c>
      <c r="AR152" s="90" t="inlineStr">
        <is>
          <t>N/A</t>
        </is>
      </c>
      <c r="AS152" s="90" t="inlineStr">
        <is>
          <t>N/A</t>
        </is>
      </c>
      <c r="AT152" s="89" t="n">
        <v>170.1</v>
      </c>
      <c r="AU152" s="89" t="n">
        <v>636.5</v>
      </c>
      <c r="AV152" s="89" t="n">
        <v>5169.9</v>
      </c>
      <c r="AW152" s="89" t="n">
        <v>1669.8</v>
      </c>
      <c r="AX152" s="89" t="n">
        <v>290.3</v>
      </c>
      <c r="AY152" s="89" t="n">
        <v>596.8</v>
      </c>
      <c r="AZ152" s="89" t="n">
        <v>-4879.6</v>
      </c>
      <c r="BA152" s="89" t="n">
        <v>1532.3</v>
      </c>
      <c r="BB152" s="89" t="n">
        <v>594.1</v>
      </c>
      <c r="BC152" s="89" t="n">
        <v>588.1</v>
      </c>
      <c r="BD152" s="89" t="n">
        <v>2737.3</v>
      </c>
      <c r="BE152" s="89" t="n">
        <v>414</v>
      </c>
      <c r="BF152" s="89" t="n">
        <v>197.3</v>
      </c>
      <c r="BG152" s="89" t="n">
        <v>30.1</v>
      </c>
      <c r="BH152" s="89" t="n">
        <v>-183.2</v>
      </c>
      <c r="BI152" s="89" t="n">
        <v>-194.2</v>
      </c>
      <c r="BJ152" s="89" t="n">
        <v>1282</v>
      </c>
      <c r="BK152" s="89" t="n">
        <v>1472.4</v>
      </c>
      <c r="BL152" s="89" t="n">
        <v>58.5</v>
      </c>
      <c r="BM152" s="89" t="n">
        <v>33</v>
      </c>
      <c r="BN152" s="89" t="n">
        <v>53.4</v>
      </c>
      <c r="BO152" s="89" t="n">
        <v>19542.1</v>
      </c>
      <c r="BP152" s="89" t="n">
        <v>12927.8</v>
      </c>
      <c r="BQ152" s="89" t="n">
        <v>0</v>
      </c>
      <c r="BR152" s="89" t="n">
        <v>0</v>
      </c>
      <c r="BS152" s="89" t="n">
        <v>0</v>
      </c>
      <c r="BT152" s="89" t="n">
        <v>0</v>
      </c>
      <c r="BU152" s="89" t="n">
        <v>0</v>
      </c>
      <c r="BV152" s="89" t="n">
        <v>0</v>
      </c>
      <c r="BW152" s="89" t="n">
        <v>0</v>
      </c>
      <c r="BX152" s="89" t="n">
        <v>0</v>
      </c>
      <c r="BY152" s="89" t="n">
        <v>0</v>
      </c>
    </row>
    <row r="153" ht="17" customHeight="1">
      <c r="A153" s="82" t="n">
        <v>151</v>
      </c>
      <c r="B153" s="83" t="inlineStr">
        <is>
          <t>EW</t>
        </is>
      </c>
      <c r="C153" s="84" t="inlineStr">
        <is>
          <t>EDWARDS LIFESCIENCES CORPORATION</t>
        </is>
      </c>
      <c r="D153" s="82" t="inlineStr">
        <is>
          <t>Health Care</t>
        </is>
      </c>
      <c r="E153" s="82" t="n">
        <v>2026</v>
      </c>
      <c r="F153" s="85" t="n">
        <v>13697.2</v>
      </c>
      <c r="G153" s="85" t="n">
        <v>6738.9</v>
      </c>
      <c r="H153" s="85" t="n">
        <v>1813.7</v>
      </c>
      <c r="I153" s="85" t="n">
        <v>3359.6</v>
      </c>
      <c r="J153" s="85" t="n">
        <v>14240.5</v>
      </c>
      <c r="K153" s="85" t="n">
        <v>1264.2</v>
      </c>
      <c r="L153" s="85" t="n">
        <v>6067.6</v>
      </c>
      <c r="M153" s="85" t="n">
        <v>1073.5</v>
      </c>
      <c r="N153" s="85" t="n">
        <v>1595.2</v>
      </c>
      <c r="O153" s="85" t="n">
        <v>4733.4</v>
      </c>
      <c r="P153" s="85" t="n">
        <v>600</v>
      </c>
      <c r="Q153" s="85" t="n">
        <v>10337.6</v>
      </c>
      <c r="R153" s="85" t="n">
        <v>2085.2</v>
      </c>
      <c r="S153" s="85" t="n">
        <v>156.6</v>
      </c>
      <c r="T153" s="85" t="n">
        <v>659.6</v>
      </c>
      <c r="U153" s="85" t="n">
        <v>1811.9</v>
      </c>
      <c r="V153" s="85" t="n">
        <v>17.6</v>
      </c>
      <c r="W153" s="85" t="n">
        <v>13055.3</v>
      </c>
      <c r="X153" s="85" t="n">
        <v>6285.4</v>
      </c>
      <c r="Y153" s="85" t="n">
        <v>1505.2</v>
      </c>
      <c r="Z153" s="85" t="n">
        <v>2992.4</v>
      </c>
      <c r="AA153" s="85" t="n">
        <v>1378.7</v>
      </c>
      <c r="AB153" s="85" t="n">
        <v>5439.5</v>
      </c>
      <c r="AC153" s="85" t="n">
        <v>4174.6</v>
      </c>
      <c r="AD153" s="85" t="n">
        <v>542.3</v>
      </c>
      <c r="AE153" s="85" t="n">
        <v>4322</v>
      </c>
      <c r="AF153" s="85" t="n">
        <v>597.7</v>
      </c>
      <c r="AG153" s="85" t="n">
        <v>9998.4</v>
      </c>
      <c r="AH153" s="85" t="n">
        <v>5439.5</v>
      </c>
      <c r="AI153" s="85" t="n">
        <v>13055.3</v>
      </c>
      <c r="AJ153" s="85" t="n">
        <v>1272.9</v>
      </c>
      <c r="AK153" s="85" t="n">
        <v>1548.1</v>
      </c>
      <c r="AL153" s="85" t="n">
        <v>216.9</v>
      </c>
      <c r="AM153" s="85" t="n">
        <v>152.1</v>
      </c>
      <c r="AN153" s="85" t="n">
        <v>260.2</v>
      </c>
      <c r="AO153" s="85" t="n">
        <v>252.4</v>
      </c>
      <c r="AP153" s="85" t="n">
        <v>1126.2</v>
      </c>
      <c r="AQ153" s="85" t="n">
        <v>1086.7</v>
      </c>
      <c r="AR153" s="85" t="n">
        <v>1768.6</v>
      </c>
      <c r="AS153" s="85" t="n">
        <v>617.7</v>
      </c>
      <c r="AT153" s="91" t="inlineStr">
        <is>
          <t>N/A</t>
        </is>
      </c>
      <c r="AU153" s="85" t="n">
        <v>1079.2</v>
      </c>
      <c r="AV153" s="85" t="n">
        <v>2938</v>
      </c>
      <c r="AW153" s="85" t="n">
        <v>3045.2</v>
      </c>
      <c r="AX153" s="85" t="n">
        <v>600</v>
      </c>
      <c r="AY153" s="85" t="n">
        <v>597.7</v>
      </c>
      <c r="AZ153" s="85" t="n">
        <v>-2338</v>
      </c>
      <c r="BA153" s="85" t="n">
        <v>1335</v>
      </c>
      <c r="BB153" s="85" t="n">
        <v>580.7</v>
      </c>
      <c r="BC153" s="85" t="n">
        <v>588.6</v>
      </c>
      <c r="BD153" s="85" t="n">
        <v>609.1</v>
      </c>
      <c r="BE153" s="85" t="n">
        <v>1686</v>
      </c>
      <c r="BF153" s="85" t="n">
        <v>1789.2</v>
      </c>
      <c r="BG153" s="85" t="n">
        <v>155.2</v>
      </c>
      <c r="BH153" s="85" t="n">
        <v>-712.9</v>
      </c>
      <c r="BI153" s="85" t="n">
        <v>2312.9</v>
      </c>
      <c r="BJ153" s="85" t="n">
        <v>227.5</v>
      </c>
      <c r="BK153" s="85" t="n">
        <v>197.4</v>
      </c>
      <c r="BL153" s="85" t="n">
        <v>13.3</v>
      </c>
      <c r="BM153" s="85" t="n">
        <v>10.6</v>
      </c>
      <c r="BN153" s="85" t="n">
        <v>192.5</v>
      </c>
      <c r="BO153" s="85" t="n">
        <v>1334.2</v>
      </c>
      <c r="BP153" s="85" t="n">
        <v>1117.5</v>
      </c>
      <c r="BQ153" s="85" t="n">
        <v>0</v>
      </c>
      <c r="BR153" s="85" t="n">
        <v>0</v>
      </c>
      <c r="BS153" s="85" t="n">
        <v>0</v>
      </c>
      <c r="BT153" s="85" t="n">
        <v>0</v>
      </c>
      <c r="BU153" s="85" t="n">
        <v>0</v>
      </c>
      <c r="BV153" s="85" t="n">
        <v>0</v>
      </c>
      <c r="BW153" s="85" t="n">
        <v>0</v>
      </c>
      <c r="BX153" s="85" t="n">
        <v>0</v>
      </c>
      <c r="BY153" s="85" t="n">
        <v>0</v>
      </c>
    </row>
    <row r="154" ht="17" customHeight="1">
      <c r="A154" s="86" t="n">
        <v>152</v>
      </c>
      <c r="B154" s="87" t="inlineStr">
        <is>
          <t>CACI</t>
        </is>
      </c>
      <c r="C154" s="88" t="inlineStr">
        <is>
          <t>CACI International Inc</t>
        </is>
      </c>
      <c r="D154" s="86" t="inlineStr">
        <is>
          <t>Industrials</t>
        </is>
      </c>
      <c r="E154" s="86" t="n">
        <v>2026</v>
      </c>
      <c r="F154" s="89" t="n">
        <v>8647.6</v>
      </c>
      <c r="G154" s="89" t="n">
        <v>1779.9</v>
      </c>
      <c r="H154" s="89" t="n">
        <v>1208.1</v>
      </c>
      <c r="I154" s="89" t="n">
        <v>4753.7</v>
      </c>
      <c r="J154" s="89" t="n">
        <v>4860.4</v>
      </c>
      <c r="K154" s="89" t="n">
        <v>764.2</v>
      </c>
      <c r="L154" s="89" t="n">
        <v>4467.9</v>
      </c>
      <c r="M154" s="89" t="n">
        <v>499.8</v>
      </c>
      <c r="N154" s="89" t="n">
        <v>547</v>
      </c>
      <c r="O154" s="89" t="n">
        <v>-140.6</v>
      </c>
      <c r="P154" s="89" t="n">
        <v>2917.9</v>
      </c>
      <c r="Q154" s="89" t="n">
        <v>3518.1</v>
      </c>
      <c r="R154" s="89" t="n">
        <v>1833</v>
      </c>
      <c r="S154" s="89" t="n">
        <v>195.1</v>
      </c>
      <c r="T154" s="89" t="n">
        <v>1405.4</v>
      </c>
      <c r="U154" s="89" t="n">
        <v>212</v>
      </c>
      <c r="V154" s="89" t="n">
        <v>83.90000000000001</v>
      </c>
      <c r="W154" s="89" t="n">
        <v>6796.1</v>
      </c>
      <c r="X154" s="89" t="n">
        <v>1374.5</v>
      </c>
      <c r="Y154" s="89" t="n">
        <v>1078.3</v>
      </c>
      <c r="Z154" s="89" t="n">
        <v>3277.9</v>
      </c>
      <c r="AA154" s="89" t="n">
        <v>649.7</v>
      </c>
      <c r="AB154" s="89" t="n">
        <v>1170.1</v>
      </c>
      <c r="AC154" s="89" t="n">
        <v>419.9</v>
      </c>
      <c r="AD154" s="89" t="n">
        <v>497.3</v>
      </c>
      <c r="AE154" s="89" t="n">
        <v>-2957.1</v>
      </c>
      <c r="AF154" s="89" t="n">
        <v>1542.6</v>
      </c>
      <c r="AG154" s="89" t="n">
        <v>3224.2</v>
      </c>
      <c r="AH154" s="89" t="n">
        <v>1124.1</v>
      </c>
      <c r="AI154" s="89" t="n">
        <v>6796.1</v>
      </c>
      <c r="AJ154" s="89" t="n">
        <v>605.3</v>
      </c>
      <c r="AK154" s="89" t="n">
        <v>544.6</v>
      </c>
      <c r="AL154" s="89" t="n">
        <v>105.5</v>
      </c>
      <c r="AM154" s="89" t="n">
        <v>124.7</v>
      </c>
      <c r="AN154" s="89" t="n">
        <v>65.59999999999999</v>
      </c>
      <c r="AO154" s="89" t="n">
        <v>63.7</v>
      </c>
      <c r="AP154" s="89" t="n">
        <v>129.1</v>
      </c>
      <c r="AQ154" s="89" t="n">
        <v>118.4</v>
      </c>
      <c r="AR154" s="89" t="n">
        <v>5021.8</v>
      </c>
      <c r="AS154" s="89" t="n">
        <v>1091.3</v>
      </c>
      <c r="AT154" s="89" t="n">
        <v>68.8</v>
      </c>
      <c r="AU154" s="90" t="inlineStr">
        <is>
          <t>N/A</t>
        </is>
      </c>
      <c r="AV154" s="89" t="n">
        <v>106.2</v>
      </c>
      <c r="AW154" s="89" t="n">
        <v>134</v>
      </c>
      <c r="AX154" s="89" t="n">
        <v>2986.7</v>
      </c>
      <c r="AY154" s="89" t="n">
        <v>1542.6</v>
      </c>
      <c r="AZ154" s="89" t="n">
        <v>2880.5</v>
      </c>
      <c r="BA154" s="89" t="n">
        <v>481.4</v>
      </c>
      <c r="BB154" s="89" t="n">
        <v>22</v>
      </c>
      <c r="BC154" s="89" t="n">
        <v>22.3</v>
      </c>
      <c r="BD154" s="89" t="n">
        <v>1031.3</v>
      </c>
      <c r="BE154" s="89" t="n">
        <v>195.4</v>
      </c>
      <c r="BF154" s="89" t="n">
        <v>1720.4</v>
      </c>
      <c r="BG154" s="89" t="n">
        <v>142.1</v>
      </c>
      <c r="BH154" s="89" t="n">
        <v>-1758.9</v>
      </c>
      <c r="BI154" s="89" t="n">
        <v>-152</v>
      </c>
      <c r="BJ154" s="89" t="n">
        <v>381.6</v>
      </c>
      <c r="BK154" s="89" t="n">
        <v>287.1</v>
      </c>
      <c r="BL154" s="89" t="n">
        <v>190.4</v>
      </c>
      <c r="BM154" s="89" t="n">
        <v>139.7</v>
      </c>
      <c r="BN154" s="90" t="inlineStr">
        <is>
          <t>N/A</t>
        </is>
      </c>
      <c r="BO154" s="89" t="n">
        <v>4608.5</v>
      </c>
      <c r="BP154" s="89" t="n">
        <v>4127.2</v>
      </c>
      <c r="BQ154" s="89" t="n">
        <v>0</v>
      </c>
      <c r="BR154" s="89" t="n">
        <v>0</v>
      </c>
      <c r="BS154" s="89" t="n">
        <v>0</v>
      </c>
      <c r="BT154" s="89" t="n">
        <v>0</v>
      </c>
      <c r="BU154" s="89" t="n">
        <v>0</v>
      </c>
      <c r="BV154" s="89" t="n">
        <v>0</v>
      </c>
      <c r="BW154" s="89" t="n">
        <v>0</v>
      </c>
      <c r="BX154" s="89" t="n">
        <v>0</v>
      </c>
      <c r="BY154" s="89" t="n">
        <v>0</v>
      </c>
    </row>
    <row r="155" ht="17" customHeight="1">
      <c r="A155" s="82" t="n">
        <v>153</v>
      </c>
      <c r="B155" s="83" t="inlineStr">
        <is>
          <t>ROP</t>
        </is>
      </c>
      <c r="C155" s="84" t="inlineStr">
        <is>
          <t>ROPER TECHNOLOGIES INC</t>
        </is>
      </c>
      <c r="D155" s="82" t="inlineStr">
        <is>
          <t>Industrials</t>
        </is>
      </c>
      <c r="E155" s="82" t="n">
        <v>2026</v>
      </c>
      <c r="F155" s="85" t="n">
        <v>34577</v>
      </c>
      <c r="G155" s="85" t="n">
        <v>1928.1</v>
      </c>
      <c r="H155" s="85" t="n">
        <v>3725.6</v>
      </c>
      <c r="I155" s="85" t="n">
        <v>14695.5</v>
      </c>
      <c r="J155" s="85" t="n">
        <v>17205.7</v>
      </c>
      <c r="K155" s="85" t="n">
        <v>2235.4</v>
      </c>
      <c r="L155" s="85" t="n">
        <v>7902.5</v>
      </c>
      <c r="M155" s="85" t="n">
        <v>1536.3</v>
      </c>
      <c r="N155" s="85" t="n">
        <v>2540.3</v>
      </c>
      <c r="O155" s="85" t="n">
        <v>5472</v>
      </c>
      <c r="P155" s="85" t="n">
        <v>9301</v>
      </c>
      <c r="Q155" s="85" t="n">
        <v>19881.5</v>
      </c>
      <c r="R155" s="85" t="n">
        <v>3236.6</v>
      </c>
      <c r="S155" s="85" t="n">
        <v>898.2</v>
      </c>
      <c r="T155" s="85" t="n">
        <v>1001</v>
      </c>
      <c r="U155" s="85" t="n">
        <v>156.9</v>
      </c>
      <c r="V155" s="85" t="n">
        <v>164.7</v>
      </c>
      <c r="W155" s="85" t="n">
        <v>31334.7</v>
      </c>
      <c r="X155" s="85" t="n">
        <v>1542.7</v>
      </c>
      <c r="Y155" s="85" t="n">
        <v>3832.2</v>
      </c>
      <c r="Z155" s="85" t="n">
        <v>12467.1</v>
      </c>
      <c r="AA155" s="85" t="n">
        <v>1996.8</v>
      </c>
      <c r="AB155" s="85" t="n">
        <v>7039.2</v>
      </c>
      <c r="AC155" s="85" t="n">
        <v>1549.3</v>
      </c>
      <c r="AD155" s="85" t="n">
        <v>2393.2</v>
      </c>
      <c r="AE155" s="85" t="n">
        <v>4878.3</v>
      </c>
      <c r="AF155" s="85" t="n">
        <v>7623</v>
      </c>
      <c r="AG155" s="85" t="n">
        <v>18867.6</v>
      </c>
      <c r="AH155" s="85" t="n">
        <v>7039.2</v>
      </c>
      <c r="AI155" s="85" t="n">
        <v>31334.7</v>
      </c>
      <c r="AJ155" s="85" t="n">
        <v>1936.1</v>
      </c>
      <c r="AK155" s="85" t="n">
        <v>1967.2</v>
      </c>
      <c r="AL155" s="85" t="n">
        <v>399.8</v>
      </c>
      <c r="AM155" s="85" t="n">
        <v>417.9</v>
      </c>
      <c r="AN155" s="85" t="n">
        <v>49.1</v>
      </c>
      <c r="AO155" s="85" t="n">
        <v>48.8</v>
      </c>
      <c r="AP155" s="85" t="n">
        <v>141.7</v>
      </c>
      <c r="AQ155" s="85" t="n">
        <v>120.8</v>
      </c>
      <c r="AR155" s="85" t="n">
        <v>21341.2</v>
      </c>
      <c r="AS155" s="85" t="n">
        <v>3475.2</v>
      </c>
      <c r="AT155" s="85" t="n">
        <v>705.2</v>
      </c>
      <c r="AU155" s="85" t="n">
        <v>852.5</v>
      </c>
      <c r="AV155" s="85" t="n">
        <v>297.4</v>
      </c>
      <c r="AW155" s="85" t="n">
        <v>188.2</v>
      </c>
      <c r="AX155" s="85" t="n">
        <v>10006.2</v>
      </c>
      <c r="AY155" s="85" t="n">
        <v>7623</v>
      </c>
      <c r="AZ155" s="85" t="n">
        <v>9708.799999999999</v>
      </c>
      <c r="BA155" s="85" t="n">
        <v>2491.2</v>
      </c>
      <c r="BB155" s="85" t="n">
        <v>106.6</v>
      </c>
      <c r="BC155" s="85" t="n">
        <v>107.3</v>
      </c>
      <c r="BD155" s="85" t="n">
        <v>885.1</v>
      </c>
      <c r="BE155" s="85" t="n">
        <v>149.7</v>
      </c>
      <c r="BF155" s="85" t="n">
        <v>2881.5</v>
      </c>
      <c r="BG155" s="85" t="n">
        <v>812.8</v>
      </c>
      <c r="BH155" s="85" t="n">
        <v>-3388</v>
      </c>
      <c r="BI155" s="85" t="n">
        <v>-3468.5</v>
      </c>
      <c r="BJ155" s="85" t="n">
        <v>177.8</v>
      </c>
      <c r="BK155" s="85" t="n">
        <v>162</v>
      </c>
      <c r="BL155" s="85" t="n">
        <v>552.9</v>
      </c>
      <c r="BM155" s="85" t="n">
        <v>566.4</v>
      </c>
      <c r="BN155" s="85" t="n">
        <v>28</v>
      </c>
      <c r="BO155" s="85" t="n">
        <v>2430.5</v>
      </c>
      <c r="BP155" s="85" t="n">
        <v>2160.9</v>
      </c>
      <c r="BQ155" s="85" t="n">
        <v>0</v>
      </c>
      <c r="BR155" s="85" t="n">
        <v>0</v>
      </c>
      <c r="BS155" s="85" t="n">
        <v>0</v>
      </c>
      <c r="BT155" s="85" t="n">
        <v>0</v>
      </c>
      <c r="BU155" s="85" t="n">
        <v>0</v>
      </c>
      <c r="BV155" s="85" t="n">
        <v>0</v>
      </c>
      <c r="BW155" s="85" t="n">
        <v>0</v>
      </c>
      <c r="BX155" s="85" t="n">
        <v>0</v>
      </c>
      <c r="BY155" s="85" t="n">
        <v>0</v>
      </c>
    </row>
    <row r="156" ht="17" customHeight="1">
      <c r="A156" s="86" t="n">
        <v>154</v>
      </c>
      <c r="B156" s="87" t="inlineStr">
        <is>
          <t>TXRH</t>
        </is>
      </c>
      <c r="C156" s="88" t="inlineStr">
        <is>
          <t>Texas Roadhouse, Inc.</t>
        </is>
      </c>
      <c r="D156" s="86" t="inlineStr">
        <is>
          <t>Consumer Discretionary</t>
        </is>
      </c>
      <c r="E156" s="86" t="n">
        <v>2026</v>
      </c>
      <c r="F156" s="89" t="n">
        <v>3549.5</v>
      </c>
      <c r="G156" s="89" t="n">
        <v>451.5</v>
      </c>
      <c r="H156" s="89" t="n">
        <v>908.8</v>
      </c>
      <c r="I156" s="89" t="n">
        <v>2067.8</v>
      </c>
      <c r="J156" s="89" t="n">
        <v>1460.8</v>
      </c>
      <c r="K156" s="89" t="n">
        <v>474.7</v>
      </c>
      <c r="L156" s="89" t="n">
        <v>5878.1</v>
      </c>
      <c r="M156" s="89" t="n">
        <v>269.8</v>
      </c>
      <c r="N156" s="89" t="n">
        <v>730.1</v>
      </c>
      <c r="O156" s="90" t="inlineStr">
        <is>
          <t>N/A</t>
        </is>
      </c>
      <c r="P156" s="89" t="n">
        <v>25.7</v>
      </c>
      <c r="Q156" s="89" t="n">
        <v>1460.8</v>
      </c>
      <c r="R156" s="89" t="n">
        <v>227.3</v>
      </c>
      <c r="S156" s="89" t="n">
        <v>206.6</v>
      </c>
      <c r="T156" s="89" t="n">
        <v>214.5</v>
      </c>
      <c r="U156" s="89" t="n">
        <v>1803.8</v>
      </c>
      <c r="V156" s="89" t="n">
        <v>1.6</v>
      </c>
      <c r="W156" s="89" t="n">
        <v>3190.8</v>
      </c>
      <c r="X156" s="89" t="n">
        <v>516.6</v>
      </c>
      <c r="Y156" s="89" t="n">
        <v>828.1</v>
      </c>
      <c r="Z156" s="89" t="n">
        <v>1817.1</v>
      </c>
      <c r="AA156" s="89" t="n">
        <v>516.5</v>
      </c>
      <c r="AB156" s="89" t="n">
        <v>5373.3</v>
      </c>
      <c r="AC156" s="89" t="n">
        <v>245.3</v>
      </c>
      <c r="AD156" s="89" t="n">
        <v>753.6</v>
      </c>
      <c r="AE156" s="90" t="inlineStr">
        <is>
          <t>N/A</t>
        </is>
      </c>
      <c r="AF156" s="89" t="n">
        <v>50.8</v>
      </c>
      <c r="AG156" s="89" t="n">
        <v>1358.3</v>
      </c>
      <c r="AH156" s="89" t="n">
        <v>5373.3</v>
      </c>
      <c r="AI156" s="89" t="n">
        <v>3190.8</v>
      </c>
      <c r="AJ156" s="89" t="n">
        <v>480.8</v>
      </c>
      <c r="AK156" s="89" t="n">
        <v>524.5</v>
      </c>
      <c r="AL156" s="89" t="n">
        <v>66.40000000000001</v>
      </c>
      <c r="AM156" s="89" t="n">
        <v>80.09999999999999</v>
      </c>
      <c r="AN156" s="89" t="n">
        <v>388</v>
      </c>
      <c r="AO156" s="89" t="n">
        <v>354.3</v>
      </c>
      <c r="AP156" s="89" t="n">
        <v>45.6</v>
      </c>
      <c r="AQ156" s="89" t="n">
        <v>40.8</v>
      </c>
      <c r="AR156" s="89" t="n">
        <v>242.2</v>
      </c>
      <c r="AS156" s="89" t="n">
        <v>17.7</v>
      </c>
      <c r="AT156" s="89" t="n">
        <v>50</v>
      </c>
      <c r="AU156" s="90" t="inlineStr">
        <is>
          <t>N/A</t>
        </is>
      </c>
      <c r="AV156" s="89" t="n">
        <v>134.7</v>
      </c>
      <c r="AW156" s="89" t="n">
        <v>245.2</v>
      </c>
      <c r="AX156" s="89" t="n">
        <v>75.7</v>
      </c>
      <c r="AY156" s="89" t="n">
        <v>50.8</v>
      </c>
      <c r="AZ156" s="89" t="n">
        <v>-59</v>
      </c>
      <c r="BA156" s="89" t="n">
        <v>342.1</v>
      </c>
      <c r="BB156" s="89" t="n">
        <v>65.90000000000001</v>
      </c>
      <c r="BC156" s="89" t="n">
        <v>66.59999999999999</v>
      </c>
      <c r="BD156" s="89" t="n">
        <v>193.2</v>
      </c>
      <c r="BE156" s="89" t="n">
        <v>1617.7</v>
      </c>
      <c r="BF156" s="89" t="n">
        <v>223.3</v>
      </c>
      <c r="BG156" s="89" t="n">
        <v>178.2</v>
      </c>
      <c r="BH156" s="89" t="n">
        <v>-482.8</v>
      </c>
      <c r="BI156" s="89" t="n">
        <v>-336.9</v>
      </c>
      <c r="BJ156" s="89" t="n">
        <v>163.4</v>
      </c>
      <c r="BK156" s="89" t="n">
        <v>144.8</v>
      </c>
      <c r="BL156" s="89" t="n">
        <v>156.6</v>
      </c>
      <c r="BM156" s="89" t="n">
        <v>129.6</v>
      </c>
      <c r="BN156" s="89" t="n">
        <v>2.5</v>
      </c>
      <c r="BO156" s="90" t="inlineStr">
        <is>
          <t>N/A</t>
        </is>
      </c>
      <c r="BP156" s="90" t="inlineStr">
        <is>
          <t>N/A</t>
        </is>
      </c>
      <c r="BQ156" s="89" t="n">
        <v>0</v>
      </c>
      <c r="BR156" s="89" t="n">
        <v>0</v>
      </c>
      <c r="BS156" s="90" t="inlineStr">
        <is>
          <t>N/A</t>
        </is>
      </c>
      <c r="BT156" s="90" t="inlineStr">
        <is>
          <t>N/A</t>
        </is>
      </c>
      <c r="BU156" s="90" t="inlineStr">
        <is>
          <t>N/A</t>
        </is>
      </c>
      <c r="BV156" s="90" t="inlineStr">
        <is>
          <t>N/A</t>
        </is>
      </c>
      <c r="BW156" s="89" t="n">
        <v>0</v>
      </c>
      <c r="BX156" s="89" t="n">
        <v>0</v>
      </c>
      <c r="BY156" s="89" t="n">
        <v>0</v>
      </c>
    </row>
    <row r="157" ht="17" customHeight="1">
      <c r="A157" s="82" t="n">
        <v>155</v>
      </c>
      <c r="B157" s="83" t="inlineStr">
        <is>
          <t>AXON</t>
        </is>
      </c>
      <c r="C157" s="84" t="inlineStr">
        <is>
          <t>Axon Enterprise, Inc.</t>
        </is>
      </c>
      <c r="D157" s="82" t="inlineStr">
        <is>
          <t>Information Technology</t>
        </is>
      </c>
      <c r="E157" s="82" t="n">
        <v>2026</v>
      </c>
      <c r="F157" s="85" t="n">
        <v>7000.3</v>
      </c>
      <c r="G157" s="85" t="n">
        <v>3713.1</v>
      </c>
      <c r="H157" s="85" t="n">
        <v>1470.1</v>
      </c>
      <c r="I157" s="85" t="n">
        <v>3757.7</v>
      </c>
      <c r="J157" s="85" t="n">
        <v>936.7</v>
      </c>
      <c r="K157" s="85" t="n">
        <v>-62.1</v>
      </c>
      <c r="L157" s="85" t="n">
        <v>2779.5</v>
      </c>
      <c r="M157" s="85" t="n">
        <v>124.7</v>
      </c>
      <c r="N157" s="85" t="n">
        <v>211.3</v>
      </c>
      <c r="O157" s="85" t="n">
        <v>1658.1</v>
      </c>
      <c r="P157" s="85" t="n">
        <v>1810.7</v>
      </c>
      <c r="Q157" s="85" t="n">
        <v>3242.7</v>
      </c>
      <c r="R157" s="85" t="n">
        <v>1035.9</v>
      </c>
      <c r="S157" s="85" t="n">
        <v>83.2</v>
      </c>
      <c r="T157" s="85" t="n">
        <v>18.1</v>
      </c>
      <c r="U157" s="85" t="n">
        <v>331</v>
      </c>
      <c r="V157" s="91" t="inlineStr">
        <is>
          <t>N/A</t>
        </is>
      </c>
      <c r="W157" s="85" t="n">
        <v>4474.6</v>
      </c>
      <c r="X157" s="85" t="n">
        <v>2297.5</v>
      </c>
      <c r="Y157" s="85" t="n">
        <v>997.6</v>
      </c>
      <c r="Z157" s="85" t="n">
        <v>2146.9</v>
      </c>
      <c r="AA157" s="85" t="n">
        <v>58.5</v>
      </c>
      <c r="AB157" s="85" t="n">
        <v>2082.5</v>
      </c>
      <c r="AC157" s="85" t="n">
        <v>377</v>
      </c>
      <c r="AD157" s="85" t="n">
        <v>408.3</v>
      </c>
      <c r="AE157" s="85" t="n">
        <v>1241.4</v>
      </c>
      <c r="AF157" s="85" t="n">
        <v>680.3</v>
      </c>
      <c r="AG157" s="85" t="n">
        <v>2327.7</v>
      </c>
      <c r="AH157" s="85" t="n">
        <v>2082.5</v>
      </c>
      <c r="AI157" s="85" t="n">
        <v>4474.6</v>
      </c>
      <c r="AJ157" s="85" t="n">
        <v>19</v>
      </c>
      <c r="AK157" s="85" t="n">
        <v>381.5</v>
      </c>
      <c r="AL157" s="85" t="n">
        <v>-105.7</v>
      </c>
      <c r="AM157" s="85" t="n">
        <v>4.5</v>
      </c>
      <c r="AN157" s="85" t="n">
        <v>136.3</v>
      </c>
      <c r="AO157" s="85" t="n">
        <v>78.8</v>
      </c>
      <c r="AP157" s="85" t="n">
        <v>341.8</v>
      </c>
      <c r="AQ157" s="85" t="n">
        <v>265.3</v>
      </c>
      <c r="AR157" s="85" t="n">
        <v>1370.2</v>
      </c>
      <c r="AS157" s="85" t="n">
        <v>178.9</v>
      </c>
      <c r="AT157" s="85" t="n">
        <v>80.59999999999999</v>
      </c>
      <c r="AU157" s="85" t="n">
        <v>684.3</v>
      </c>
      <c r="AV157" s="85" t="n">
        <v>1201.1</v>
      </c>
      <c r="AW157" s="85" t="n">
        <v>454.8</v>
      </c>
      <c r="AX157" s="85" t="n">
        <v>1891.3</v>
      </c>
      <c r="AY157" s="85" t="n">
        <v>1360.6</v>
      </c>
      <c r="AZ157" s="85" t="n">
        <v>690.1</v>
      </c>
      <c r="BA157" s="85" t="n">
        <v>75.09999999999999</v>
      </c>
      <c r="BB157" s="85" t="n">
        <v>80.2</v>
      </c>
      <c r="BC157" s="85" t="n">
        <v>76.59999999999999</v>
      </c>
      <c r="BD157" s="85" t="n">
        <v>11.8</v>
      </c>
      <c r="BE157" s="85" t="n">
        <v>247.3</v>
      </c>
      <c r="BF157" s="85" t="n">
        <v>741.2</v>
      </c>
      <c r="BG157" s="85" t="n">
        <v>48.4</v>
      </c>
      <c r="BH157" s="85" t="n">
        <v>-724.9</v>
      </c>
      <c r="BI157" s="85" t="n">
        <v>-490.6</v>
      </c>
      <c r="BJ157" s="85" t="n">
        <v>139.1</v>
      </c>
      <c r="BK157" s="85" t="n">
        <v>72</v>
      </c>
      <c r="BL157" s="85" t="n">
        <v>70.40000000000001</v>
      </c>
      <c r="BM157" s="85" t="n">
        <v>45.1</v>
      </c>
      <c r="BN157" s="85" t="n">
        <v>27.9</v>
      </c>
      <c r="BO157" s="85" t="n">
        <v>1121.4</v>
      </c>
      <c r="BP157" s="85" t="n">
        <v>841.1</v>
      </c>
      <c r="BQ157" s="85" t="n">
        <v>0</v>
      </c>
      <c r="BR157" s="85" t="n">
        <v>0</v>
      </c>
      <c r="BS157" s="85" t="n">
        <v>0</v>
      </c>
      <c r="BT157" s="85" t="n">
        <v>0</v>
      </c>
      <c r="BU157" s="85" t="n">
        <v>0</v>
      </c>
      <c r="BV157" s="85" t="n">
        <v>0</v>
      </c>
      <c r="BW157" s="85" t="n">
        <v>0</v>
      </c>
      <c r="BX157" s="85" t="n">
        <v>0</v>
      </c>
      <c r="BY157" s="85" t="n">
        <v>-0</v>
      </c>
    </row>
    <row r="158" ht="17" customHeight="1">
      <c r="A158" s="86" t="n">
        <v>156</v>
      </c>
      <c r="B158" s="87" t="inlineStr">
        <is>
          <t>LOW</t>
        </is>
      </c>
      <c r="C158" s="88" t="inlineStr">
        <is>
          <t>LOWE’S COMPANIES, INC.</t>
        </is>
      </c>
      <c r="D158" s="86" t="inlineStr">
        <is>
          <t>Consumer Discretionary</t>
        </is>
      </c>
      <c r="E158" s="86" t="n">
        <v>2026</v>
      </c>
      <c r="F158" s="89" t="n">
        <v>54144</v>
      </c>
      <c r="G158" s="89" t="n">
        <v>20955</v>
      </c>
      <c r="H158" s="89" t="n">
        <v>19463</v>
      </c>
      <c r="I158" s="89" t="n">
        <v>64061</v>
      </c>
      <c r="J158" s="89" t="n">
        <v>-10839</v>
      </c>
      <c r="K158" s="89" t="n">
        <v>10153</v>
      </c>
      <c r="L158" s="89" t="n">
        <v>86286</v>
      </c>
      <c r="M158" s="89" t="n">
        <v>6654</v>
      </c>
      <c r="N158" s="89" t="n">
        <v>9864</v>
      </c>
      <c r="O158" s="89" t="n">
        <v>28885</v>
      </c>
      <c r="P158" s="89" t="n">
        <v>39819</v>
      </c>
      <c r="Q158" s="89" t="n">
        <v>-9917</v>
      </c>
      <c r="R158" s="89" t="n">
        <v>16791</v>
      </c>
      <c r="S158" s="89" t="n">
        <v>1941</v>
      </c>
      <c r="T158" s="89" t="n">
        <v>1090</v>
      </c>
      <c r="U158" s="89" t="n">
        <v>17567</v>
      </c>
      <c r="V158" s="89" t="n">
        <v>332</v>
      </c>
      <c r="W158" s="89" t="n">
        <v>43102</v>
      </c>
      <c r="X158" s="89" t="n">
        <v>20358</v>
      </c>
      <c r="Y158" s="89" t="n">
        <v>18757</v>
      </c>
      <c r="Z158" s="89" t="n">
        <v>57333</v>
      </c>
      <c r="AA158" s="89" t="n">
        <v>10466</v>
      </c>
      <c r="AB158" s="89" t="n">
        <v>83674</v>
      </c>
      <c r="AC158" s="89" t="n">
        <v>6957</v>
      </c>
      <c r="AD158" s="89" t="n">
        <v>9625</v>
      </c>
      <c r="AE158" s="89" t="n">
        <v>27877</v>
      </c>
      <c r="AF158" s="89" t="n">
        <v>35319</v>
      </c>
      <c r="AG158" s="89" t="n">
        <v>-14231</v>
      </c>
      <c r="AH158" s="89" t="n">
        <v>83674</v>
      </c>
      <c r="AI158" s="89" t="n">
        <v>43102</v>
      </c>
      <c r="AJ158" s="89" t="n">
        <v>8747</v>
      </c>
      <c r="AK158" s="89" t="n">
        <v>9153</v>
      </c>
      <c r="AL158" s="89" t="n">
        <v>2093</v>
      </c>
      <c r="AM158" s="89" t="n">
        <v>2196</v>
      </c>
      <c r="AN158" s="89" t="n">
        <v>2213</v>
      </c>
      <c r="AO158" s="89" t="n">
        <v>1927</v>
      </c>
      <c r="AP158" s="89" t="n">
        <v>17300</v>
      </c>
      <c r="AQ158" s="89" t="n">
        <v>17409</v>
      </c>
      <c r="AR158" s="89" t="n">
        <v>3945</v>
      </c>
      <c r="AS158" s="89" t="n">
        <v>5774</v>
      </c>
      <c r="AT158" s="90" t="inlineStr">
        <is>
          <t>N/A</t>
        </is>
      </c>
      <c r="AU158" s="90" t="inlineStr">
        <is>
          <t>N/A</t>
        </is>
      </c>
      <c r="AV158" s="89" t="n">
        <v>982</v>
      </c>
      <c r="AW158" s="89" t="n">
        <v>1761</v>
      </c>
      <c r="AX158" s="89" t="n">
        <v>39819</v>
      </c>
      <c r="AY158" s="89" t="n">
        <v>35818</v>
      </c>
      <c r="AZ158" s="89" t="n">
        <v>38837</v>
      </c>
      <c r="BA158" s="89" t="n">
        <v>7651</v>
      </c>
      <c r="BB158" s="89" t="n">
        <v>561</v>
      </c>
      <c r="BC158" s="89" t="n">
        <v>560</v>
      </c>
      <c r="BD158" s="89" t="n">
        <v>94</v>
      </c>
      <c r="BE158" s="89" t="n">
        <v>19071</v>
      </c>
      <c r="BF158" s="89" t="n">
        <v>15682</v>
      </c>
      <c r="BG158" s="89" t="n">
        <v>1729</v>
      </c>
      <c r="BH158" s="89" t="n">
        <v>-12264</v>
      </c>
      <c r="BI158" s="89" t="n">
        <v>-1738</v>
      </c>
      <c r="BJ158" s="89" t="n">
        <v>9762</v>
      </c>
      <c r="BK158" s="89" t="n">
        <v>9290</v>
      </c>
      <c r="BL158" s="89" t="n">
        <v>1378</v>
      </c>
      <c r="BM158" s="89" t="n">
        <v>1253</v>
      </c>
      <c r="BN158" s="89" t="n">
        <v>23</v>
      </c>
      <c r="BO158" s="89" t="n">
        <v>57401</v>
      </c>
      <c r="BP158" s="89" t="n">
        <v>55797</v>
      </c>
      <c r="BQ158" s="89" t="n">
        <v>0</v>
      </c>
      <c r="BR158" s="89" t="n">
        <v>0</v>
      </c>
      <c r="BS158" s="89" t="n">
        <v>0</v>
      </c>
      <c r="BT158" s="89" t="n">
        <v>0</v>
      </c>
      <c r="BU158" s="89" t="n">
        <v>0</v>
      </c>
      <c r="BV158" s="89" t="n">
        <v>0</v>
      </c>
      <c r="BW158" s="89" t="n">
        <v>0</v>
      </c>
      <c r="BX158" s="89" t="n">
        <v>0</v>
      </c>
      <c r="BY158" s="89" t="n">
        <v>0</v>
      </c>
    </row>
    <row r="159" ht="17" customHeight="1">
      <c r="A159" s="82" t="n">
        <v>157</v>
      </c>
      <c r="B159" s="83" t="inlineStr">
        <is>
          <t>ARQT</t>
        </is>
      </c>
      <c r="C159" s="84" t="inlineStr">
        <is>
          <t>ARCUTIS BIOTHERAPEUTICS, INC.</t>
        </is>
      </c>
      <c r="D159" s="82" t="inlineStr">
        <is>
          <t>Health Care</t>
        </is>
      </c>
      <c r="E159" s="82" t="n">
        <v>2026</v>
      </c>
      <c r="F159" s="85" t="n">
        <v>433</v>
      </c>
      <c r="G159" s="85" t="n">
        <v>411.2</v>
      </c>
      <c r="H159" s="85" t="n">
        <v>129.8</v>
      </c>
      <c r="I159" s="85" t="n">
        <v>243.5</v>
      </c>
      <c r="J159" s="85" t="n">
        <v>-1138.1</v>
      </c>
      <c r="K159" s="85" t="n">
        <v>-12.2</v>
      </c>
      <c r="L159" s="85" t="n">
        <v>376.1</v>
      </c>
      <c r="M159" s="85" t="n">
        <v>-16.1</v>
      </c>
      <c r="N159" s="85" t="n">
        <v>-5.6</v>
      </c>
      <c r="O159" s="85" t="n">
        <v>339.4</v>
      </c>
      <c r="P159" s="85" t="n">
        <v>109</v>
      </c>
      <c r="Q159" s="85" t="n">
        <v>189.5</v>
      </c>
      <c r="R159" s="85" t="n">
        <v>274.6</v>
      </c>
      <c r="S159" s="85" t="n">
        <v>0.7</v>
      </c>
      <c r="T159" s="85" t="n">
        <v>146.2</v>
      </c>
      <c r="U159" s="85" t="n">
        <v>1</v>
      </c>
      <c r="V159" s="85" t="n">
        <v>29.7</v>
      </c>
      <c r="W159" s="85" t="n">
        <v>348.9</v>
      </c>
      <c r="X159" s="85" t="n">
        <v>335.8</v>
      </c>
      <c r="Y159" s="85" t="n">
        <v>81</v>
      </c>
      <c r="Z159" s="85" t="n">
        <v>191.3</v>
      </c>
      <c r="AA159" s="85" t="n">
        <v>-128.4</v>
      </c>
      <c r="AB159" s="85" t="n">
        <v>196.5</v>
      </c>
      <c r="AC159" s="85" t="n">
        <v>-140</v>
      </c>
      <c r="AD159" s="85" t="n">
        <v>-112.2</v>
      </c>
      <c r="AE159" s="85" t="n">
        <v>177.4</v>
      </c>
      <c r="AF159" s="85" t="n">
        <v>107.2</v>
      </c>
      <c r="AG159" s="85" t="n">
        <v>157.5</v>
      </c>
      <c r="AH159" s="85" t="n">
        <v>196.5</v>
      </c>
      <c r="AI159" s="85" t="n">
        <v>348.9</v>
      </c>
      <c r="AJ159" s="85" t="n">
        <v>-8.199999999999999</v>
      </c>
      <c r="AK159" s="91" t="inlineStr">
        <is>
          <t>N/A</t>
        </is>
      </c>
      <c r="AL159" s="85" t="n">
        <v>1.2</v>
      </c>
      <c r="AM159" s="85" t="n">
        <v>0.6</v>
      </c>
      <c r="AN159" s="85" t="n">
        <v>0.7</v>
      </c>
      <c r="AO159" s="85" t="n">
        <v>0.1</v>
      </c>
      <c r="AP159" s="85" t="n">
        <v>22.6</v>
      </c>
      <c r="AQ159" s="85" t="n">
        <v>14.5</v>
      </c>
      <c r="AR159" s="91" t="inlineStr">
        <is>
          <t>N/A</t>
        </is>
      </c>
      <c r="AS159" s="85" t="n">
        <v>14.8</v>
      </c>
      <c r="AT159" s="85" t="n">
        <v>1</v>
      </c>
      <c r="AU159" s="85" t="n">
        <v>77.09999999999999</v>
      </c>
      <c r="AV159" s="85" t="n">
        <v>42.9</v>
      </c>
      <c r="AW159" s="85" t="n">
        <v>71.3</v>
      </c>
      <c r="AX159" s="85" t="n">
        <v>110</v>
      </c>
      <c r="AY159" s="85" t="n">
        <v>107.2</v>
      </c>
      <c r="AZ159" s="85" t="n">
        <v>67.09999999999999</v>
      </c>
      <c r="BA159" s="85" t="n">
        <v>-6.3</v>
      </c>
      <c r="BB159" s="85" t="n">
        <v>123.3</v>
      </c>
      <c r="BC159" s="85" t="n">
        <v>117.8</v>
      </c>
      <c r="BD159" s="85" t="n">
        <v>73.09999999999999</v>
      </c>
      <c r="BE159" s="85" t="n">
        <v>1</v>
      </c>
      <c r="BF159" s="85" t="n">
        <v>229.4</v>
      </c>
      <c r="BG159" s="85" t="n">
        <v>0.6</v>
      </c>
      <c r="BH159" s="85" t="n">
        <v>-30.3</v>
      </c>
      <c r="BI159" s="85" t="n">
        <v>28.8</v>
      </c>
      <c r="BJ159" s="85" t="n">
        <v>12.5</v>
      </c>
      <c r="BK159" s="85" t="n">
        <v>14.2</v>
      </c>
      <c r="BL159" s="91" t="inlineStr">
        <is>
          <t>N/A</t>
        </is>
      </c>
      <c r="BM159" s="91" t="inlineStr">
        <is>
          <t>N/A</t>
        </is>
      </c>
      <c r="BN159" s="91" t="inlineStr">
        <is>
          <t>N/A</t>
        </is>
      </c>
      <c r="BO159" s="85" t="n">
        <v>36.7</v>
      </c>
      <c r="BP159" s="85" t="n">
        <v>19.1</v>
      </c>
      <c r="BQ159" s="85" t="n">
        <v>0</v>
      </c>
      <c r="BR159" s="85" t="n">
        <v>0</v>
      </c>
      <c r="BS159" s="85" t="n">
        <v>0</v>
      </c>
      <c r="BT159" s="85" t="n">
        <v>0</v>
      </c>
      <c r="BU159" s="85" t="n">
        <v>0</v>
      </c>
      <c r="BV159" s="85" t="n">
        <v>0</v>
      </c>
      <c r="BW159" s="85" t="n">
        <v>0</v>
      </c>
      <c r="BX159" s="85" t="n">
        <v>-0</v>
      </c>
      <c r="BY159" s="85" t="n">
        <v>-0</v>
      </c>
    </row>
    <row r="160" ht="17" customHeight="1">
      <c r="A160" s="86" t="n">
        <v>158</v>
      </c>
      <c r="B160" s="87" t="inlineStr">
        <is>
          <t>GVA</t>
        </is>
      </c>
      <c r="C160" s="88" t="inlineStr">
        <is>
          <t>GRANITE CONSTRUCTION INC</t>
        </is>
      </c>
      <c r="D160" s="86" t="inlineStr">
        <is>
          <t>Industrials</t>
        </is>
      </c>
      <c r="E160" s="86" t="n">
        <v>2026</v>
      </c>
      <c r="F160" s="89" t="n">
        <v>4030.4</v>
      </c>
      <c r="G160" s="89" t="n">
        <v>1812.2</v>
      </c>
      <c r="H160" s="89" t="n">
        <v>1481.7</v>
      </c>
      <c r="I160" s="89" t="n">
        <v>4030.4</v>
      </c>
      <c r="J160" s="89" t="n">
        <v>774.6</v>
      </c>
      <c r="K160" s="89" t="n">
        <v>282.4</v>
      </c>
      <c r="L160" s="89" t="n">
        <v>1763</v>
      </c>
      <c r="M160" s="89" t="n">
        <v>193</v>
      </c>
      <c r="N160" s="89" t="n">
        <v>468.9</v>
      </c>
      <c r="O160" s="89" t="n">
        <v>711.2</v>
      </c>
      <c r="P160" s="89" t="n">
        <v>1339.1</v>
      </c>
      <c r="Q160" s="89" t="n">
        <v>1179</v>
      </c>
      <c r="R160" s="89" t="n">
        <v>407.6</v>
      </c>
      <c r="S160" s="89" t="n">
        <v>155.5</v>
      </c>
      <c r="T160" s="89" t="n">
        <v>630.4</v>
      </c>
      <c r="U160" s="89" t="n">
        <v>1260.8</v>
      </c>
      <c r="V160" s="89" t="n">
        <v>18.5</v>
      </c>
      <c r="W160" s="89" t="n">
        <v>3025.7</v>
      </c>
      <c r="X160" s="89" t="n">
        <v>1716.7</v>
      </c>
      <c r="Y160" s="89" t="n">
        <v>1032</v>
      </c>
      <c r="Z160" s="89" t="n">
        <v>3025.7</v>
      </c>
      <c r="AA160" s="89" t="n">
        <v>207.4</v>
      </c>
      <c r="AB160" s="89" t="n">
        <v>1963.5</v>
      </c>
      <c r="AC160" s="89" t="n">
        <v>126.3</v>
      </c>
      <c r="AD160" s="89" t="n">
        <v>456.3</v>
      </c>
      <c r="AE160" s="89" t="n">
        <v>572.7</v>
      </c>
      <c r="AF160" s="89" t="n">
        <v>739</v>
      </c>
      <c r="AG160" s="89" t="n">
        <v>1015.2</v>
      </c>
      <c r="AH160" s="89" t="n">
        <v>2674.2</v>
      </c>
      <c r="AI160" s="89" t="n">
        <v>3025.7</v>
      </c>
      <c r="AJ160" s="89" t="n">
        <v>288.8</v>
      </c>
      <c r="AK160" s="89" t="n">
        <v>196.2</v>
      </c>
      <c r="AL160" s="89" t="n">
        <v>68.5</v>
      </c>
      <c r="AM160" s="89" t="n">
        <v>55.7</v>
      </c>
      <c r="AN160" s="89" t="n">
        <v>138.3</v>
      </c>
      <c r="AO160" s="89" t="n">
        <v>136.4</v>
      </c>
      <c r="AP160" s="89" t="n">
        <v>143.1</v>
      </c>
      <c r="AQ160" s="89" t="n">
        <v>108.2</v>
      </c>
      <c r="AR160" s="89" t="n">
        <v>400.8</v>
      </c>
      <c r="AS160" s="89" t="n">
        <v>127.9</v>
      </c>
      <c r="AT160" s="89" t="n">
        <v>375.9</v>
      </c>
      <c r="AU160" s="90" t="inlineStr">
        <is>
          <t>N/A</t>
        </is>
      </c>
      <c r="AV160" s="89" t="n">
        <v>529.2</v>
      </c>
      <c r="AW160" s="89" t="n">
        <v>578.3</v>
      </c>
      <c r="AX160" s="89" t="n">
        <v>1715</v>
      </c>
      <c r="AY160" s="89" t="n">
        <v>739</v>
      </c>
      <c r="AZ160" s="89" t="n">
        <v>1185.8</v>
      </c>
      <c r="BA160" s="89" t="n">
        <v>330.6</v>
      </c>
      <c r="BB160" s="89" t="n">
        <v>43.5</v>
      </c>
      <c r="BC160" s="89" t="n">
        <v>43.4</v>
      </c>
      <c r="BD160" s="89" t="n">
        <v>511.7</v>
      </c>
      <c r="BE160" s="89" t="n">
        <v>716.2</v>
      </c>
      <c r="BF160" s="89" t="n">
        <v>334.2</v>
      </c>
      <c r="BG160" s="89" t="n">
        <v>116.7</v>
      </c>
      <c r="BH160" s="89" t="n">
        <v>-993.7</v>
      </c>
      <c r="BI160" s="89" t="n">
        <v>-228.6</v>
      </c>
      <c r="BJ160" s="89" t="n">
        <v>430.3</v>
      </c>
      <c r="BK160" s="89" t="n">
        <v>407.2</v>
      </c>
      <c r="BL160" s="89" t="n">
        <v>327.4</v>
      </c>
      <c r="BM160" s="89" t="n">
        <v>299.7</v>
      </c>
      <c r="BN160" s="90" t="inlineStr">
        <is>
          <t>N/A</t>
        </is>
      </c>
      <c r="BO160" s="89" t="n">
        <v>3713.2</v>
      </c>
      <c r="BP160" s="89" t="n">
        <v>3434.9</v>
      </c>
      <c r="BQ160" s="89" t="n">
        <v>0</v>
      </c>
      <c r="BR160" s="89" t="n">
        <v>0</v>
      </c>
      <c r="BS160" s="89" t="n">
        <v>0</v>
      </c>
      <c r="BT160" s="89" t="n">
        <v>0</v>
      </c>
      <c r="BU160" s="89" t="n">
        <v>0</v>
      </c>
      <c r="BV160" s="89" t="n">
        <v>0</v>
      </c>
      <c r="BW160" s="89" t="n">
        <v>0</v>
      </c>
      <c r="BX160" s="89" t="n">
        <v>0</v>
      </c>
      <c r="BY160" s="89" t="n">
        <v>0</v>
      </c>
    </row>
    <row r="161" ht="17" customHeight="1">
      <c r="A161" s="82" t="n">
        <v>159</v>
      </c>
      <c r="B161" s="83" t="inlineStr">
        <is>
          <t>TRV</t>
        </is>
      </c>
      <c r="C161" s="84" t="inlineStr">
        <is>
          <t>Travelers Companies, Inc.</t>
        </is>
      </c>
      <c r="D161" s="82" t="inlineStr">
        <is>
          <t>Financials</t>
        </is>
      </c>
      <c r="E161" s="82" t="n">
        <v>2026</v>
      </c>
      <c r="F161" s="85" t="n">
        <v>143708</v>
      </c>
      <c r="G161" s="91" t="inlineStr">
        <is>
          <t>N/A</t>
        </is>
      </c>
      <c r="H161" s="91" t="inlineStr">
        <is>
          <t>N/A</t>
        </is>
      </c>
      <c r="I161" s="85" t="n">
        <v>110814</v>
      </c>
      <c r="J161" s="85" t="n">
        <v>54931</v>
      </c>
      <c r="K161" s="85" t="n">
        <v>3641</v>
      </c>
      <c r="L161" s="85" t="n">
        <v>48828</v>
      </c>
      <c r="M161" s="85" t="n">
        <v>6288</v>
      </c>
      <c r="N161" s="85" t="n">
        <v>10606</v>
      </c>
      <c r="O161" s="85" t="n">
        <v>7796</v>
      </c>
      <c r="P161" s="85" t="n">
        <v>5861</v>
      </c>
      <c r="Q161" s="85" t="n">
        <v>32894</v>
      </c>
      <c r="R161" s="85" t="n">
        <v>6120</v>
      </c>
      <c r="S161" s="85" t="n">
        <v>680</v>
      </c>
      <c r="T161" s="91" t="inlineStr">
        <is>
          <t>N/A</t>
        </is>
      </c>
      <c r="U161" s="91" t="inlineStr">
        <is>
          <t>N/A</t>
        </is>
      </c>
      <c r="V161" s="85" t="n">
        <v>425</v>
      </c>
      <c r="W161" s="85" t="n">
        <v>133189</v>
      </c>
      <c r="X161" s="91" t="inlineStr">
        <is>
          <t>N/A</t>
        </is>
      </c>
      <c r="Y161" s="91" t="inlineStr">
        <is>
          <t>N/A</t>
        </is>
      </c>
      <c r="Z161" s="85" t="n">
        <v>105325</v>
      </c>
      <c r="AA161" s="85" t="n">
        <v>3567</v>
      </c>
      <c r="AB161" s="85" t="n">
        <v>46423</v>
      </c>
      <c r="AC161" s="85" t="n">
        <v>4999</v>
      </c>
      <c r="AD161" s="85" t="n">
        <v>9074</v>
      </c>
      <c r="AE161" s="85" t="n">
        <v>6180</v>
      </c>
      <c r="AF161" s="85" t="n">
        <v>6261</v>
      </c>
      <c r="AG161" s="85" t="n">
        <v>27864</v>
      </c>
      <c r="AH161" s="85" t="n">
        <v>46423</v>
      </c>
      <c r="AI161" s="85" t="n">
        <v>133189</v>
      </c>
      <c r="AJ161" s="85" t="n">
        <v>7796</v>
      </c>
      <c r="AK161" s="85" t="n">
        <v>6180</v>
      </c>
      <c r="AL161" s="85" t="n">
        <v>1508</v>
      </c>
      <c r="AM161" s="85" t="n">
        <v>1181</v>
      </c>
      <c r="AN161" s="91" t="inlineStr">
        <is>
          <t>N/A</t>
        </is>
      </c>
      <c r="AO161" s="91" t="inlineStr">
        <is>
          <t>N/A</t>
        </is>
      </c>
      <c r="AP161" s="91" t="inlineStr">
        <is>
          <t>N/A</t>
        </is>
      </c>
      <c r="AQ161" s="91" t="inlineStr">
        <is>
          <t>N/A</t>
        </is>
      </c>
      <c r="AR161" s="85" t="n">
        <v>4066</v>
      </c>
      <c r="AS161" s="85" t="n">
        <v>134</v>
      </c>
      <c r="AT161" s="85" t="n">
        <v>300</v>
      </c>
      <c r="AU161" s="91" t="inlineStr">
        <is>
          <t>N/A</t>
        </is>
      </c>
      <c r="AV161" s="91" t="inlineStr">
        <is>
          <t>N/A</t>
        </is>
      </c>
      <c r="AW161" s="91" t="inlineStr">
        <is>
          <t>N/A</t>
        </is>
      </c>
      <c r="AX161" s="85" t="n">
        <v>6161</v>
      </c>
      <c r="AY161" s="85" t="n">
        <v>6361</v>
      </c>
      <c r="AZ161" s="85" t="n">
        <v>6161</v>
      </c>
      <c r="BA161" s="91" t="inlineStr">
        <is>
          <t>N/A</t>
        </is>
      </c>
      <c r="BB161" s="85" t="n">
        <v>217.5</v>
      </c>
      <c r="BC161" s="85" t="n">
        <v>226.6</v>
      </c>
      <c r="BD161" s="91" t="inlineStr">
        <is>
          <t>N/A</t>
        </is>
      </c>
      <c r="BE161" s="91" t="inlineStr">
        <is>
          <t>N/A</t>
        </is>
      </c>
      <c r="BF161" s="85" t="n">
        <v>5819</v>
      </c>
      <c r="BG161" s="85" t="n">
        <v>715</v>
      </c>
      <c r="BH161" s="85" t="n">
        <v>-7652</v>
      </c>
      <c r="BI161" s="85" t="n">
        <v>-7264</v>
      </c>
      <c r="BJ161" s="91" t="inlineStr">
        <is>
          <t>N/A</t>
        </is>
      </c>
      <c r="BK161" s="91" t="inlineStr">
        <is>
          <t>N/A</t>
        </is>
      </c>
      <c r="BL161" s="91" t="inlineStr">
        <is>
          <t>N/A</t>
        </is>
      </c>
      <c r="BM161" s="91" t="inlineStr">
        <is>
          <t>N/A</t>
        </is>
      </c>
      <c r="BN161" s="85" t="n">
        <v>309</v>
      </c>
      <c r="BO161" s="85" t="n">
        <v>41032</v>
      </c>
      <c r="BP161" s="85" t="n">
        <v>40243</v>
      </c>
      <c r="BQ161" s="91" t="inlineStr">
        <is>
          <t>N/A</t>
        </is>
      </c>
      <c r="BR161" s="91" t="inlineStr">
        <is>
          <t>N/A</t>
        </is>
      </c>
      <c r="BS161" s="91" t="inlineStr">
        <is>
          <t>N/A</t>
        </is>
      </c>
      <c r="BT161" s="91" t="inlineStr">
        <is>
          <t>N/A</t>
        </is>
      </c>
      <c r="BU161" s="91" t="inlineStr">
        <is>
          <t>N/A</t>
        </is>
      </c>
      <c r="BV161" s="91" t="inlineStr">
        <is>
          <t>N/A</t>
        </is>
      </c>
      <c r="BW161" s="85" t="n">
        <v>0</v>
      </c>
      <c r="BX161" s="85" t="n">
        <v>0</v>
      </c>
      <c r="BY161" s="85" t="n">
        <v>0</v>
      </c>
    </row>
    <row r="162" ht="17" customHeight="1">
      <c r="A162" s="86" t="n">
        <v>160</v>
      </c>
      <c r="B162" s="87" t="inlineStr">
        <is>
          <t>USB</t>
        </is>
      </c>
      <c r="C162" s="88" t="inlineStr">
        <is>
          <t>US BANCORP \DE\</t>
        </is>
      </c>
      <c r="D162" s="86" t="inlineStr">
        <is>
          <t>Financials</t>
        </is>
      </c>
      <c r="E162" s="86" t="n">
        <v>2026</v>
      </c>
      <c r="F162" s="89" t="n">
        <v>692345</v>
      </c>
      <c r="G162" s="90" t="inlineStr">
        <is>
          <t>N/A</t>
        </is>
      </c>
      <c r="H162" s="90" t="inlineStr">
        <is>
          <t>N/A</t>
        </is>
      </c>
      <c r="I162" s="89" t="n">
        <v>626694</v>
      </c>
      <c r="J162" s="89" t="n">
        <v>80906</v>
      </c>
      <c r="K162" s="89" t="n">
        <v>9517</v>
      </c>
      <c r="L162" s="89" t="n">
        <v>28656</v>
      </c>
      <c r="M162" s="89" t="n">
        <v>7570</v>
      </c>
      <c r="N162" s="89" t="n">
        <v>7970</v>
      </c>
      <c r="O162" s="90" t="inlineStr">
        <is>
          <t>N/A</t>
        </is>
      </c>
      <c r="P162" s="89" t="n">
        <v>39829</v>
      </c>
      <c r="Q162" s="89" t="n">
        <v>65193</v>
      </c>
      <c r="R162" s="90" t="inlineStr">
        <is>
          <t>N/A</t>
        </is>
      </c>
      <c r="S162" s="89" t="n">
        <v>498</v>
      </c>
      <c r="T162" s="90" t="inlineStr">
        <is>
          <t>N/A</t>
        </is>
      </c>
      <c r="U162" s="89" t="n">
        <v>3858</v>
      </c>
      <c r="V162" s="89" t="n">
        <v>12611</v>
      </c>
      <c r="W162" s="89" t="n">
        <v>678318</v>
      </c>
      <c r="X162" s="90" t="inlineStr">
        <is>
          <t>N/A</t>
        </is>
      </c>
      <c r="Y162" s="90" t="inlineStr">
        <is>
          <t>N/A</t>
        </is>
      </c>
      <c r="Z162" s="89" t="n">
        <v>619278</v>
      </c>
      <c r="AA162" s="89" t="n">
        <v>7909</v>
      </c>
      <c r="AB162" s="89" t="n">
        <v>27455</v>
      </c>
      <c r="AC162" s="89" t="n">
        <v>6299</v>
      </c>
      <c r="AD162" s="89" t="n">
        <v>11273</v>
      </c>
      <c r="AE162" s="90" t="inlineStr">
        <is>
          <t>N/A</t>
        </is>
      </c>
      <c r="AF162" s="89" t="n">
        <v>32125</v>
      </c>
      <c r="AG162" s="89" t="n">
        <v>58578</v>
      </c>
      <c r="AH162" s="89" t="n">
        <v>27455</v>
      </c>
      <c r="AI162" s="89" t="n">
        <v>678318</v>
      </c>
      <c r="AJ162" s="89" t="n">
        <v>9517</v>
      </c>
      <c r="AK162" s="89" t="n">
        <v>7909</v>
      </c>
      <c r="AL162" s="89" t="n">
        <v>1921</v>
      </c>
      <c r="AM162" s="89" t="n">
        <v>1580</v>
      </c>
      <c r="AN162" s="90" t="inlineStr">
        <is>
          <t>N/A</t>
        </is>
      </c>
      <c r="AO162" s="90" t="inlineStr">
        <is>
          <t>N/A</t>
        </is>
      </c>
      <c r="AP162" s="90" t="inlineStr">
        <is>
          <t>N/A</t>
        </is>
      </c>
      <c r="AQ162" s="90" t="inlineStr">
        <is>
          <t>N/A</t>
        </is>
      </c>
      <c r="AR162" s="89" t="n">
        <v>12635</v>
      </c>
      <c r="AS162" s="89" t="n">
        <v>4904</v>
      </c>
      <c r="AT162" s="89" t="n">
        <v>17162</v>
      </c>
      <c r="AU162" s="90" t="inlineStr">
        <is>
          <t>N/A</t>
        </is>
      </c>
      <c r="AV162" s="89" t="n">
        <v>8252</v>
      </c>
      <c r="AW162" s="89" t="n">
        <v>13962</v>
      </c>
      <c r="AX162" s="89" t="n">
        <v>56991</v>
      </c>
      <c r="AY162" s="89" t="n">
        <v>47643</v>
      </c>
      <c r="AZ162" s="89" t="n">
        <v>48739</v>
      </c>
      <c r="BA162" s="90" t="inlineStr">
        <is>
          <t>N/A</t>
        </is>
      </c>
      <c r="BB162" s="89" t="n">
        <v>1600</v>
      </c>
      <c r="BC162" s="89" t="n">
        <v>1600</v>
      </c>
      <c r="BD162" s="90" t="inlineStr">
        <is>
          <t>N/A</t>
        </is>
      </c>
      <c r="BE162" s="89" t="n">
        <v>3305</v>
      </c>
      <c r="BF162" s="90" t="inlineStr">
        <is>
          <t>N/A</t>
        </is>
      </c>
      <c r="BG162" s="89" t="n">
        <v>569</v>
      </c>
      <c r="BH162" s="89" t="n">
        <v>-20538</v>
      </c>
      <c r="BI162" s="89" t="n">
        <v>-24534</v>
      </c>
      <c r="BJ162" s="90" t="inlineStr">
        <is>
          <t>N/A</t>
        </is>
      </c>
      <c r="BK162" s="90" t="inlineStr">
        <is>
          <t>N/A</t>
        </is>
      </c>
      <c r="BL162" s="90" t="inlineStr">
        <is>
          <t>N/A</t>
        </is>
      </c>
      <c r="BM162" s="90" t="inlineStr">
        <is>
          <t>N/A</t>
        </is>
      </c>
      <c r="BN162" s="90" t="inlineStr">
        <is>
          <t>N/A</t>
        </is>
      </c>
      <c r="BO162" s="90" t="inlineStr">
        <is>
          <t>N/A</t>
        </is>
      </c>
      <c r="BP162" s="90" t="inlineStr">
        <is>
          <t>N/A</t>
        </is>
      </c>
      <c r="BQ162" s="90" t="inlineStr">
        <is>
          <t>N/A</t>
        </is>
      </c>
      <c r="BR162" s="90" t="inlineStr">
        <is>
          <t>N/A</t>
        </is>
      </c>
      <c r="BS162" s="90" t="inlineStr">
        <is>
          <t>N/A</t>
        </is>
      </c>
      <c r="BT162" s="90" t="inlineStr">
        <is>
          <t>N/A</t>
        </is>
      </c>
      <c r="BU162" s="90" t="inlineStr">
        <is>
          <t>N/A</t>
        </is>
      </c>
      <c r="BV162" s="90" t="inlineStr">
        <is>
          <t>N/A</t>
        </is>
      </c>
      <c r="BW162" s="89" t="n">
        <v>0</v>
      </c>
      <c r="BX162" s="89" t="n">
        <v>0</v>
      </c>
      <c r="BY162" s="89" t="n">
        <v>0</v>
      </c>
    </row>
    <row r="163" ht="17" customHeight="1">
      <c r="A163" s="82" t="n">
        <v>161</v>
      </c>
      <c r="B163" s="83" t="inlineStr">
        <is>
          <t>AZO</t>
        </is>
      </c>
      <c r="C163" s="84" t="inlineStr">
        <is>
          <t>AUTOZONE INC</t>
        </is>
      </c>
      <c r="D163" s="82" t="inlineStr">
        <is>
          <t>Consumer Discretionary</t>
        </is>
      </c>
      <c r="E163" s="82" t="n">
        <v>2026</v>
      </c>
      <c r="F163" s="85" t="n">
        <v>19355.3</v>
      </c>
      <c r="G163" s="85" t="n">
        <v>8341.4</v>
      </c>
      <c r="H163" s="85" t="n">
        <v>9519.4</v>
      </c>
      <c r="I163" s="85" t="n">
        <v>19355.3</v>
      </c>
      <c r="J163" s="85" t="n">
        <v>-3975.9</v>
      </c>
      <c r="K163" s="85" t="n">
        <v>3610.2</v>
      </c>
      <c r="L163" s="85" t="n">
        <v>18938.7</v>
      </c>
      <c r="M163" s="85" t="n">
        <v>2498.2</v>
      </c>
      <c r="N163" s="85" t="n">
        <v>3117.3</v>
      </c>
      <c r="O163" s="85" t="n">
        <v>9966.5</v>
      </c>
      <c r="P163" s="85" t="n">
        <v>4343.8</v>
      </c>
      <c r="Q163" s="85" t="n">
        <v>-3414.3</v>
      </c>
      <c r="R163" s="85" t="n">
        <v>6356.3</v>
      </c>
      <c r="S163" s="85" t="n">
        <v>613.2</v>
      </c>
      <c r="T163" s="85" t="n">
        <v>670.1</v>
      </c>
      <c r="U163" s="85" t="n">
        <v>7062.5</v>
      </c>
      <c r="V163" s="85" t="n">
        <v>320.1</v>
      </c>
      <c r="W163" s="85" t="n">
        <v>17176.5</v>
      </c>
      <c r="X163" s="85" t="n">
        <v>7306.8</v>
      </c>
      <c r="Y163" s="85" t="n">
        <v>8714.200000000001</v>
      </c>
      <c r="Z163" s="85" t="n">
        <v>17176.5</v>
      </c>
      <c r="AA163" s="85" t="n">
        <v>3788.7</v>
      </c>
      <c r="AB163" s="85" t="n">
        <v>18490.3</v>
      </c>
      <c r="AC163" s="85" t="n">
        <v>2662.4</v>
      </c>
      <c r="AD163" s="85" t="n">
        <v>3004.1</v>
      </c>
      <c r="AE163" s="85" t="n">
        <v>9817.1</v>
      </c>
      <c r="AF163" s="85" t="n">
        <v>9024.4</v>
      </c>
      <c r="AG163" s="85" t="n">
        <v>-4749.6</v>
      </c>
      <c r="AH163" s="85" t="n">
        <v>18490.3</v>
      </c>
      <c r="AI163" s="85" t="n">
        <v>17176.5</v>
      </c>
      <c r="AJ163" s="85" t="n">
        <v>3134.3</v>
      </c>
      <c r="AK163" s="85" t="n">
        <v>3337.1</v>
      </c>
      <c r="AL163" s="85" t="n">
        <v>636.1</v>
      </c>
      <c r="AM163" s="85" t="n">
        <v>674.7</v>
      </c>
      <c r="AN163" s="85" t="n">
        <v>1327.3</v>
      </c>
      <c r="AO163" s="85" t="n">
        <v>1072.7</v>
      </c>
      <c r="AP163" s="85" t="n">
        <v>7025.7</v>
      </c>
      <c r="AQ163" s="85" t="n">
        <v>6155.2</v>
      </c>
      <c r="AR163" s="85" t="n">
        <v>302.6</v>
      </c>
      <c r="AS163" s="85" t="n">
        <v>1.4</v>
      </c>
      <c r="AT163" s="85" t="n">
        <v>180.9</v>
      </c>
      <c r="AU163" s="91" t="inlineStr">
        <is>
          <t>N/A</t>
        </is>
      </c>
      <c r="AV163" s="85" t="n">
        <v>271.8</v>
      </c>
      <c r="AW163" s="85" t="n">
        <v>298.2</v>
      </c>
      <c r="AX163" s="85" t="n">
        <v>4524.7</v>
      </c>
      <c r="AY163" s="85" t="n">
        <v>9198.1</v>
      </c>
      <c r="AZ163" s="85" t="n">
        <v>4252.9</v>
      </c>
      <c r="BA163" s="85" t="n">
        <v>1790.1</v>
      </c>
      <c r="BB163" s="85" t="n">
        <v>25.7</v>
      </c>
      <c r="BC163" s="85" t="n">
        <v>27.8</v>
      </c>
      <c r="BD163" s="85" t="n">
        <v>545.6</v>
      </c>
      <c r="BE163" s="85" t="n">
        <v>6183.5</v>
      </c>
      <c r="BF163" s="85" t="n">
        <v>6028.3</v>
      </c>
      <c r="BG163" s="85" t="n">
        <v>549.8</v>
      </c>
      <c r="BH163" s="85" t="n">
        <v>-1400.4</v>
      </c>
      <c r="BI163" s="85" t="n">
        <v>-1286.5</v>
      </c>
      <c r="BJ163" s="85" t="n">
        <v>8025.6</v>
      </c>
      <c r="BK163" s="85" t="n">
        <v>7355.7</v>
      </c>
      <c r="BL163" s="91" t="inlineStr">
        <is>
          <t>N/A</t>
        </is>
      </c>
      <c r="BM163" s="91" t="inlineStr">
        <is>
          <t>N/A</t>
        </is>
      </c>
      <c r="BN163" s="85" t="n">
        <v>58.7</v>
      </c>
      <c r="BO163" s="85" t="n">
        <v>8972.200000000001</v>
      </c>
      <c r="BP163" s="85" t="n">
        <v>8673.200000000001</v>
      </c>
      <c r="BQ163" s="85" t="n">
        <v>0</v>
      </c>
      <c r="BR163" s="85" t="n">
        <v>0</v>
      </c>
      <c r="BS163" s="85" t="n">
        <v>0</v>
      </c>
      <c r="BT163" s="85" t="n">
        <v>0</v>
      </c>
      <c r="BU163" s="85" t="n">
        <v>0</v>
      </c>
      <c r="BV163" s="85" t="n">
        <v>0</v>
      </c>
      <c r="BW163" s="85" t="n">
        <v>0</v>
      </c>
      <c r="BX163" s="85" t="n">
        <v>0</v>
      </c>
      <c r="BY163" s="85" t="n">
        <v>0</v>
      </c>
    </row>
    <row r="164" ht="17" customHeight="1">
      <c r="A164" s="86" t="n">
        <v>162</v>
      </c>
      <c r="B164" s="87" t="inlineStr">
        <is>
          <t>PPL</t>
        </is>
      </c>
      <c r="C164" s="88" t="inlineStr">
        <is>
          <t>PPL Corp</t>
        </is>
      </c>
      <c r="D164" s="86" t="inlineStr">
        <is>
          <t>Utilities</t>
        </is>
      </c>
      <c r="E164" s="86" t="n">
        <v>2026</v>
      </c>
      <c r="F164" s="89" t="n">
        <v>45244</v>
      </c>
      <c r="G164" s="89" t="n">
        <v>3931</v>
      </c>
      <c r="H164" s="89" t="n">
        <v>4546</v>
      </c>
      <c r="I164" s="89" t="n">
        <v>45244</v>
      </c>
      <c r="J164" s="89" t="n">
        <v>3207</v>
      </c>
      <c r="K164" s="89" t="n">
        <v>2129</v>
      </c>
      <c r="L164" s="89" t="n">
        <v>9042</v>
      </c>
      <c r="M164" s="89" t="n">
        <v>1181</v>
      </c>
      <c r="N164" s="89" t="n">
        <v>2629</v>
      </c>
      <c r="O164" s="90" t="inlineStr">
        <is>
          <t>N/A</t>
        </is>
      </c>
      <c r="P164" s="89" t="n">
        <v>18894</v>
      </c>
      <c r="Q164" s="89" t="n">
        <v>13933</v>
      </c>
      <c r="R164" s="90" t="inlineStr">
        <is>
          <t>N/A</t>
        </is>
      </c>
      <c r="S164" s="89" t="n">
        <v>1312</v>
      </c>
      <c r="T164" s="89" t="n">
        <v>1108</v>
      </c>
      <c r="U164" s="89" t="n">
        <v>36132</v>
      </c>
      <c r="V164" s="89" t="n">
        <v>808</v>
      </c>
      <c r="W164" s="89" t="n">
        <v>41069</v>
      </c>
      <c r="X164" s="89" t="n">
        <v>2880</v>
      </c>
      <c r="Y164" s="89" t="n">
        <v>3333</v>
      </c>
      <c r="Z164" s="89" t="n">
        <v>41069</v>
      </c>
      <c r="AA164" s="89" t="n">
        <v>1740</v>
      </c>
      <c r="AB164" s="89" t="n">
        <v>8462</v>
      </c>
      <c r="AC164" s="89" t="n">
        <v>888</v>
      </c>
      <c r="AD164" s="89" t="n">
        <v>2340</v>
      </c>
      <c r="AE164" s="90" t="inlineStr">
        <is>
          <t>N/A</t>
        </is>
      </c>
      <c r="AF164" s="89" t="n">
        <v>16503</v>
      </c>
      <c r="AG164" s="89" t="n">
        <v>13915</v>
      </c>
      <c r="AH164" s="89" t="n">
        <v>8462</v>
      </c>
      <c r="AI164" s="89" t="n">
        <v>41069</v>
      </c>
      <c r="AJ164" s="89" t="n">
        <v>1472</v>
      </c>
      <c r="AK164" s="89" t="n">
        <v>1116</v>
      </c>
      <c r="AL164" s="89" t="n">
        <v>291</v>
      </c>
      <c r="AM164" s="89" t="n">
        <v>228</v>
      </c>
      <c r="AN164" s="89" t="n">
        <v>4030</v>
      </c>
      <c r="AO164" s="89" t="n">
        <v>2805</v>
      </c>
      <c r="AP164" s="89" t="n">
        <v>551</v>
      </c>
      <c r="AQ164" s="89" t="n">
        <v>511</v>
      </c>
      <c r="AR164" s="89" t="n">
        <v>2247</v>
      </c>
      <c r="AS164" s="89" t="n">
        <v>327</v>
      </c>
      <c r="AT164" s="89" t="n">
        <v>456</v>
      </c>
      <c r="AU164" s="90" t="inlineStr">
        <is>
          <t>N/A</t>
        </is>
      </c>
      <c r="AV164" s="89" t="n">
        <v>1071</v>
      </c>
      <c r="AW164" s="89" t="n">
        <v>306</v>
      </c>
      <c r="AX164" s="89" t="n">
        <v>19350</v>
      </c>
      <c r="AY164" s="89" t="n">
        <v>16806</v>
      </c>
      <c r="AZ164" s="89" t="n">
        <v>18279</v>
      </c>
      <c r="BA164" s="89" t="n">
        <v>-1401</v>
      </c>
      <c r="BB164" s="89" t="n">
        <v>751</v>
      </c>
      <c r="BC164" s="89" t="n">
        <v>738</v>
      </c>
      <c r="BD164" s="89" t="n">
        <v>961</v>
      </c>
      <c r="BE164" s="89" t="n">
        <v>33149</v>
      </c>
      <c r="BF164" s="90" t="inlineStr">
        <is>
          <t>N/A</t>
        </is>
      </c>
      <c r="BG164" s="89" t="n">
        <v>1279</v>
      </c>
      <c r="BH164" s="89" t="n">
        <v>-4004</v>
      </c>
      <c r="BI164" s="89" t="n">
        <v>-2818</v>
      </c>
      <c r="BJ164" s="89" t="n">
        <v>1559</v>
      </c>
      <c r="BK164" s="89" t="n">
        <v>1196</v>
      </c>
      <c r="BL164" s="89" t="n">
        <v>39</v>
      </c>
      <c r="BM164" s="89" t="n">
        <v>43</v>
      </c>
      <c r="BN164" s="89" t="n">
        <v>190</v>
      </c>
      <c r="BO164" s="90" t="inlineStr">
        <is>
          <t>N/A</t>
        </is>
      </c>
      <c r="BP164" s="90" t="inlineStr">
        <is>
          <t>N/A</t>
        </is>
      </c>
      <c r="BQ164" s="89" t="n">
        <v>0</v>
      </c>
      <c r="BR164" s="89" t="n">
        <v>0</v>
      </c>
      <c r="BS164" s="90" t="inlineStr">
        <is>
          <t>N/A</t>
        </is>
      </c>
      <c r="BT164" s="90" t="inlineStr">
        <is>
          <t>N/A</t>
        </is>
      </c>
      <c r="BU164" s="90" t="inlineStr">
        <is>
          <t>N/A</t>
        </is>
      </c>
      <c r="BV164" s="90" t="inlineStr">
        <is>
          <t>N/A</t>
        </is>
      </c>
      <c r="BW164" s="89" t="n">
        <v>0</v>
      </c>
      <c r="BX164" s="89" t="n">
        <v>0</v>
      </c>
      <c r="BY164" s="89" t="n">
        <v>0</v>
      </c>
    </row>
    <row r="165" ht="17" customHeight="1">
      <c r="A165" s="82" t="n">
        <v>163</v>
      </c>
      <c r="B165" s="83" t="inlineStr">
        <is>
          <t>MET</t>
        </is>
      </c>
      <c r="C165" s="84" t="inlineStr">
        <is>
          <t>MetLife, Inc.</t>
        </is>
      </c>
      <c r="D165" s="82" t="inlineStr">
        <is>
          <t>Financials</t>
        </is>
      </c>
      <c r="E165" s="82" t="n">
        <v>2026</v>
      </c>
      <c r="F165" s="85" t="n">
        <v>745166</v>
      </c>
      <c r="G165" s="91" t="inlineStr">
        <is>
          <t>N/A</t>
        </is>
      </c>
      <c r="H165" s="91" t="inlineStr">
        <is>
          <t>N/A</t>
        </is>
      </c>
      <c r="I165" s="85" t="n">
        <v>716245</v>
      </c>
      <c r="J165" s="85" t="n">
        <v>44290</v>
      </c>
      <c r="K165" s="85" t="n">
        <v>6137</v>
      </c>
      <c r="L165" s="85" t="n">
        <v>77084</v>
      </c>
      <c r="M165" s="85" t="n">
        <v>3379</v>
      </c>
      <c r="N165" s="85" t="n">
        <v>17092</v>
      </c>
      <c r="O165" s="85" t="n">
        <v>4661</v>
      </c>
      <c r="P165" s="85" t="n">
        <v>23692</v>
      </c>
      <c r="Q165" s="85" t="n">
        <v>28398</v>
      </c>
      <c r="R165" s="85" t="n">
        <v>560</v>
      </c>
      <c r="S165" s="85" t="n">
        <v>117</v>
      </c>
      <c r="T165" s="85" t="n">
        <v>272</v>
      </c>
      <c r="U165" s="85" t="n">
        <v>2500</v>
      </c>
      <c r="V165" s="85" t="n">
        <v>1550</v>
      </c>
      <c r="W165" s="85" t="n">
        <v>677457</v>
      </c>
      <c r="X165" s="91" t="inlineStr">
        <is>
          <t>N/A</t>
        </is>
      </c>
      <c r="Y165" s="91" t="inlineStr">
        <is>
          <t>N/A</t>
        </is>
      </c>
      <c r="Z165" s="85" t="n">
        <v>649754</v>
      </c>
      <c r="AA165" s="85" t="n">
        <v>5996</v>
      </c>
      <c r="AB165" s="85" t="n">
        <v>70986</v>
      </c>
      <c r="AC165" s="85" t="n">
        <v>4426</v>
      </c>
      <c r="AD165" s="85" t="n">
        <v>14598</v>
      </c>
      <c r="AE165" s="85" t="n">
        <v>5622</v>
      </c>
      <c r="AF165" s="85" t="n">
        <v>27586</v>
      </c>
      <c r="AG165" s="85" t="n">
        <v>27445</v>
      </c>
      <c r="AH165" s="85" t="n">
        <v>70986</v>
      </c>
      <c r="AI165" s="85" t="n">
        <v>677457</v>
      </c>
      <c r="AJ165" s="85" t="n">
        <v>4661</v>
      </c>
      <c r="AK165" s="85" t="n">
        <v>5622</v>
      </c>
      <c r="AL165" s="85" t="n">
        <v>1258</v>
      </c>
      <c r="AM165" s="85" t="n">
        <v>1178</v>
      </c>
      <c r="AN165" s="91" t="inlineStr">
        <is>
          <t>N/A</t>
        </is>
      </c>
      <c r="AO165" s="91" t="inlineStr">
        <is>
          <t>N/A</t>
        </is>
      </c>
      <c r="AP165" s="91" t="inlineStr">
        <is>
          <t>N/A</t>
        </is>
      </c>
      <c r="AQ165" s="91" t="inlineStr">
        <is>
          <t>N/A</t>
        </is>
      </c>
      <c r="AR165" s="85" t="n">
        <v>9613</v>
      </c>
      <c r="AS165" s="85" t="n">
        <v>636</v>
      </c>
      <c r="AT165" s="85" t="n">
        <v>355</v>
      </c>
      <c r="AU165" s="91" t="inlineStr">
        <is>
          <t>N/A</t>
        </is>
      </c>
      <c r="AV165" s="85" t="n">
        <v>22032</v>
      </c>
      <c r="AW165" s="85" t="n">
        <v>20068</v>
      </c>
      <c r="AX165" s="85" t="n">
        <v>24047</v>
      </c>
      <c r="AY165" s="85" t="n">
        <v>28051</v>
      </c>
      <c r="AZ165" s="85" t="n">
        <v>2015</v>
      </c>
      <c r="BA165" s="91" t="inlineStr">
        <is>
          <t>N/A</t>
        </is>
      </c>
      <c r="BB165" s="85" t="n">
        <v>655.3</v>
      </c>
      <c r="BC165" s="85" t="n">
        <v>689.2</v>
      </c>
      <c r="BD165" s="85" t="n">
        <v>238</v>
      </c>
      <c r="BE165" s="85" t="n">
        <v>2700</v>
      </c>
      <c r="BF165" s="85" t="n">
        <v>481</v>
      </c>
      <c r="BG165" s="85" t="n">
        <v>124</v>
      </c>
      <c r="BH165" s="85" t="n">
        <v>-15607</v>
      </c>
      <c r="BI165" s="85" t="n">
        <v>-11493</v>
      </c>
      <c r="BJ165" s="91" t="inlineStr">
        <is>
          <t>N/A</t>
        </is>
      </c>
      <c r="BK165" s="91" t="inlineStr">
        <is>
          <t>N/A</t>
        </is>
      </c>
      <c r="BL165" s="85" t="n">
        <v>2113</v>
      </c>
      <c r="BM165" s="91" t="inlineStr">
        <is>
          <t>N/A</t>
        </is>
      </c>
      <c r="BN165" s="91" t="inlineStr">
        <is>
          <t>N/A</t>
        </is>
      </c>
      <c r="BO165" s="85" t="n">
        <v>72423</v>
      </c>
      <c r="BP165" s="85" t="n">
        <v>65364</v>
      </c>
      <c r="BQ165" s="85" t="n">
        <v>0</v>
      </c>
      <c r="BR165" s="85" t="n">
        <v>0</v>
      </c>
      <c r="BS165" s="91" t="inlineStr">
        <is>
          <t>N/A</t>
        </is>
      </c>
      <c r="BT165" s="91" t="inlineStr">
        <is>
          <t>N/A</t>
        </is>
      </c>
      <c r="BU165" s="91" t="inlineStr">
        <is>
          <t>N/A</t>
        </is>
      </c>
      <c r="BV165" s="91" t="inlineStr">
        <is>
          <t>N/A</t>
        </is>
      </c>
      <c r="BW165" s="85" t="n">
        <v>0</v>
      </c>
      <c r="BX165" s="85" t="n">
        <v>0</v>
      </c>
      <c r="BY165" s="85" t="n">
        <v>0</v>
      </c>
    </row>
    <row r="166" ht="17" customHeight="1">
      <c r="A166" s="86" t="n">
        <v>164</v>
      </c>
      <c r="B166" s="87" t="inlineStr">
        <is>
          <t>TER</t>
        </is>
      </c>
      <c r="C166" s="88" t="inlineStr">
        <is>
          <t>TERADYNE, INC.</t>
        </is>
      </c>
      <c r="D166" s="86" t="inlineStr">
        <is>
          <t>Information Technology</t>
        </is>
      </c>
      <c r="E166" s="86" t="n">
        <v>2026</v>
      </c>
      <c r="F166" s="89" t="n">
        <v>4183.6</v>
      </c>
      <c r="G166" s="89" t="n">
        <v>1949.3</v>
      </c>
      <c r="H166" s="89" t="n">
        <v>1115.2</v>
      </c>
      <c r="I166" s="89" t="n">
        <v>1387.8</v>
      </c>
      <c r="J166" s="89" t="n">
        <v>744.4</v>
      </c>
      <c r="K166" s="89" t="n">
        <v>650.1</v>
      </c>
      <c r="L166" s="89" t="n">
        <v>3190</v>
      </c>
      <c r="M166" s="89" t="n">
        <v>554</v>
      </c>
      <c r="N166" s="89" t="n">
        <v>674.4</v>
      </c>
      <c r="O166" s="89" t="n">
        <v>1857.3</v>
      </c>
      <c r="P166" s="90" t="inlineStr">
        <is>
          <t>N/A</t>
        </is>
      </c>
      <c r="Q166" s="89" t="n">
        <v>2795.8</v>
      </c>
      <c r="R166" s="89" t="n">
        <v>648.9</v>
      </c>
      <c r="S166" s="89" t="n">
        <v>128</v>
      </c>
      <c r="T166" s="89" t="n">
        <v>786.9</v>
      </c>
      <c r="U166" s="89" t="n">
        <v>563</v>
      </c>
      <c r="V166" s="89" t="n">
        <v>6.8</v>
      </c>
      <c r="W166" s="89" t="n">
        <v>3708.7</v>
      </c>
      <c r="X166" s="89" t="n">
        <v>1816.4</v>
      </c>
      <c r="Y166" s="89" t="n">
        <v>624.6</v>
      </c>
      <c r="Z166" s="89" t="n">
        <v>889.4</v>
      </c>
      <c r="AA166" s="89" t="n">
        <v>593.8</v>
      </c>
      <c r="AB166" s="89" t="n">
        <v>2819.9</v>
      </c>
      <c r="AC166" s="89" t="n">
        <v>542.4</v>
      </c>
      <c r="AD166" s="89" t="n">
        <v>672.2</v>
      </c>
      <c r="AE166" s="89" t="n">
        <v>1648.9</v>
      </c>
      <c r="AF166" s="90" t="inlineStr">
        <is>
          <t>N/A</t>
        </is>
      </c>
      <c r="AG166" s="89" t="n">
        <v>2819.3</v>
      </c>
      <c r="AH166" s="89" t="n">
        <v>2819.9</v>
      </c>
      <c r="AI166" s="89" t="n">
        <v>3708.7</v>
      </c>
      <c r="AJ166" s="89" t="n">
        <v>653.3</v>
      </c>
      <c r="AK166" s="89" t="n">
        <v>609.1</v>
      </c>
      <c r="AL166" s="89" t="n">
        <v>79.3</v>
      </c>
      <c r="AM166" s="89" t="n">
        <v>59.5</v>
      </c>
      <c r="AN166" s="89" t="n">
        <v>224</v>
      </c>
      <c r="AO166" s="89" t="n">
        <v>198.1</v>
      </c>
      <c r="AP166" s="89" t="n">
        <v>379.6</v>
      </c>
      <c r="AQ166" s="89" t="n">
        <v>298.5</v>
      </c>
      <c r="AR166" s="89" t="n">
        <v>521</v>
      </c>
      <c r="AS166" s="89" t="n">
        <v>51.3</v>
      </c>
      <c r="AT166" s="89" t="n">
        <v>200</v>
      </c>
      <c r="AU166" s="89" t="n">
        <v>504.6</v>
      </c>
      <c r="AV166" s="89" t="n">
        <v>293.8</v>
      </c>
      <c r="AW166" s="89" t="n">
        <v>553.4</v>
      </c>
      <c r="AX166" s="89" t="n">
        <v>200</v>
      </c>
      <c r="AY166" s="89" t="n">
        <v>186.7</v>
      </c>
      <c r="AZ166" s="89" t="n">
        <v>-93.8</v>
      </c>
      <c r="BA166" s="89" t="n">
        <v>450.4</v>
      </c>
      <c r="BB166" s="89" t="n">
        <v>156.1</v>
      </c>
      <c r="BC166" s="89" t="n">
        <v>161.7</v>
      </c>
      <c r="BD166" s="89" t="n">
        <v>471.4</v>
      </c>
      <c r="BE166" s="89" t="n">
        <v>508.2</v>
      </c>
      <c r="BF166" s="89" t="n">
        <v>617</v>
      </c>
      <c r="BG166" s="89" t="n">
        <v>119.7</v>
      </c>
      <c r="BH166" s="89" t="n">
        <v>-368.6</v>
      </c>
      <c r="BI166" s="89" t="n">
        <v>-622.3</v>
      </c>
      <c r="BJ166" s="89" t="n">
        <v>269.2</v>
      </c>
      <c r="BK166" s="89" t="n">
        <v>134.8</v>
      </c>
      <c r="BL166" s="89" t="n">
        <v>50.9</v>
      </c>
      <c r="BM166" s="89" t="n">
        <v>40.5</v>
      </c>
      <c r="BN166" s="89" t="n">
        <v>106.7</v>
      </c>
      <c r="BO166" s="89" t="n">
        <v>1332.7</v>
      </c>
      <c r="BP166" s="89" t="n">
        <v>1171</v>
      </c>
      <c r="BQ166" s="89" t="n">
        <v>0</v>
      </c>
      <c r="BR166" s="89" t="n">
        <v>0</v>
      </c>
      <c r="BS166" s="89" t="n">
        <v>0</v>
      </c>
      <c r="BT166" s="89" t="n">
        <v>0</v>
      </c>
      <c r="BU166" s="89" t="n">
        <v>0</v>
      </c>
      <c r="BV166" s="89" t="n">
        <v>0</v>
      </c>
      <c r="BW166" s="89" t="n">
        <v>0</v>
      </c>
      <c r="BX166" s="89" t="n">
        <v>0</v>
      </c>
      <c r="BY166" s="89" t="n">
        <v>0</v>
      </c>
    </row>
    <row r="167" ht="17" customHeight="1">
      <c r="A167" s="82" t="n">
        <v>165</v>
      </c>
      <c r="B167" s="83" t="inlineStr">
        <is>
          <t>CAH</t>
        </is>
      </c>
      <c r="C167" s="84" t="inlineStr">
        <is>
          <t>Cardinal Health, Inc.</t>
        </is>
      </c>
      <c r="D167" s="82" t="inlineStr">
        <is>
          <t>Health Care</t>
        </is>
      </c>
      <c r="E167" s="82" t="n">
        <v>2026</v>
      </c>
      <c r="F167" s="85" t="n">
        <v>53122</v>
      </c>
      <c r="G167" s="85" t="n">
        <v>36373</v>
      </c>
      <c r="H167" s="85" t="n">
        <v>38897</v>
      </c>
      <c r="I167" s="85" t="n">
        <v>53122</v>
      </c>
      <c r="J167" s="85" t="n">
        <v>783</v>
      </c>
      <c r="K167" s="85" t="n">
        <v>2275</v>
      </c>
      <c r="L167" s="85" t="n">
        <v>222578</v>
      </c>
      <c r="M167" s="85" t="n">
        <v>1561</v>
      </c>
      <c r="N167" s="85" t="n">
        <v>2397</v>
      </c>
      <c r="O167" s="85" t="n">
        <v>8168</v>
      </c>
      <c r="P167" s="85" t="n">
        <v>2502</v>
      </c>
      <c r="Q167" s="85" t="n">
        <v>-2781</v>
      </c>
      <c r="R167" s="85" t="n">
        <v>5382</v>
      </c>
      <c r="S167" s="85" t="n">
        <v>325</v>
      </c>
      <c r="T167" s="85" t="n">
        <v>13242</v>
      </c>
      <c r="U167" s="85" t="n">
        <v>2858</v>
      </c>
      <c r="V167" s="85" t="n">
        <v>215</v>
      </c>
      <c r="W167" s="85" t="n">
        <v>45121</v>
      </c>
      <c r="X167" s="85" t="n">
        <v>34884</v>
      </c>
      <c r="Y167" s="85" t="n">
        <v>35640</v>
      </c>
      <c r="Z167" s="85" t="n">
        <v>45121</v>
      </c>
      <c r="AA167" s="85" t="n">
        <v>1243</v>
      </c>
      <c r="AB167" s="85" t="n">
        <v>226827</v>
      </c>
      <c r="AC167" s="85" t="n">
        <v>852</v>
      </c>
      <c r="AD167" s="85" t="n">
        <v>3762</v>
      </c>
      <c r="AE167" s="85" t="n">
        <v>7414</v>
      </c>
      <c r="AF167" s="85" t="n">
        <v>2129.3</v>
      </c>
      <c r="AG167" s="85" t="n">
        <v>-3213</v>
      </c>
      <c r="AH167" s="85" t="n">
        <v>226827</v>
      </c>
      <c r="AI167" s="85" t="n">
        <v>45121</v>
      </c>
      <c r="AJ167" s="85" t="n">
        <v>2101</v>
      </c>
      <c r="AK167" s="85" t="n">
        <v>1201</v>
      </c>
      <c r="AL167" s="85" t="n">
        <v>532</v>
      </c>
      <c r="AM167" s="85" t="n">
        <v>348</v>
      </c>
      <c r="AN167" s="85" t="n">
        <v>547</v>
      </c>
      <c r="AO167" s="85" t="n">
        <v>511</v>
      </c>
      <c r="AP167" s="85" t="n">
        <v>16831</v>
      </c>
      <c r="AQ167" s="85" t="n">
        <v>14957</v>
      </c>
      <c r="AR167" s="85" t="n">
        <v>9691</v>
      </c>
      <c r="AS167" s="85" t="n">
        <v>2473</v>
      </c>
      <c r="AT167" s="85" t="n">
        <v>326.7</v>
      </c>
      <c r="AU167" s="91" t="inlineStr">
        <is>
          <t>N/A</t>
        </is>
      </c>
      <c r="AV167" s="85" t="n">
        <v>3874</v>
      </c>
      <c r="AW167" s="85" t="n">
        <v>5133</v>
      </c>
      <c r="AX167" s="85" t="n">
        <v>2828.7</v>
      </c>
      <c r="AY167" s="85" t="n">
        <v>2362.5</v>
      </c>
      <c r="AZ167" s="85" t="n">
        <v>-1045.3</v>
      </c>
      <c r="BA167" s="85" t="n">
        <v>1850</v>
      </c>
      <c r="BB167" s="85" t="n">
        <v>271</v>
      </c>
      <c r="BC167" s="85" t="n">
        <v>327</v>
      </c>
      <c r="BD167" s="85" t="n">
        <v>12084</v>
      </c>
      <c r="BE167" s="85" t="n">
        <v>2529</v>
      </c>
      <c r="BF167" s="85" t="n">
        <v>5000</v>
      </c>
      <c r="BG167" s="85" t="n">
        <v>313.3</v>
      </c>
      <c r="BH167" s="85" t="n">
        <v>-5593</v>
      </c>
      <c r="BI167" s="85" t="n">
        <v>-1849</v>
      </c>
      <c r="BJ167" s="85" t="n">
        <v>34713</v>
      </c>
      <c r="BK167" s="85" t="n">
        <v>31759</v>
      </c>
      <c r="BL167" s="91" t="inlineStr">
        <is>
          <t>N/A</t>
        </is>
      </c>
      <c r="BM167" s="91" t="inlineStr">
        <is>
          <t>N/A</t>
        </is>
      </c>
      <c r="BN167" s="91" t="inlineStr">
        <is>
          <t>N/A</t>
        </is>
      </c>
      <c r="BO167" s="85" t="n">
        <v>214410</v>
      </c>
      <c r="BP167" s="85" t="n">
        <v>219413</v>
      </c>
      <c r="BQ167" s="85" t="n">
        <v>0</v>
      </c>
      <c r="BR167" s="85" t="n">
        <v>0</v>
      </c>
      <c r="BS167" s="85" t="n">
        <v>0</v>
      </c>
      <c r="BT167" s="85" t="n">
        <v>0</v>
      </c>
      <c r="BU167" s="85" t="n">
        <v>0</v>
      </c>
      <c r="BV167" s="85" t="n">
        <v>0</v>
      </c>
      <c r="BW167" s="85" t="n">
        <v>0</v>
      </c>
      <c r="BX167" s="85" t="n">
        <v>0</v>
      </c>
      <c r="BY167" s="85" t="n">
        <v>0</v>
      </c>
    </row>
    <row r="168" ht="17" customHeight="1">
      <c r="A168" s="86" t="n">
        <v>166</v>
      </c>
      <c r="B168" s="87" t="inlineStr">
        <is>
          <t>MDB</t>
        </is>
      </c>
      <c r="C168" s="88" t="inlineStr">
        <is>
          <t>MONGODB, INC.</t>
        </is>
      </c>
      <c r="D168" s="86" t="inlineStr">
        <is>
          <t>Information Technology</t>
        </is>
      </c>
      <c r="E168" s="86" t="n">
        <v>2026</v>
      </c>
      <c r="F168" s="89" t="n">
        <v>3758.8</v>
      </c>
      <c r="G168" s="89" t="n">
        <v>3114.9</v>
      </c>
      <c r="H168" s="89" t="n">
        <v>669.5</v>
      </c>
      <c r="I168" s="89" t="n">
        <v>806.5</v>
      </c>
      <c r="J168" s="89" t="n">
        <v>-1911.9</v>
      </c>
      <c r="K168" s="89" t="n">
        <v>-137</v>
      </c>
      <c r="L168" s="89" t="n">
        <v>2463.8</v>
      </c>
      <c r="M168" s="89" t="n">
        <v>-71.2</v>
      </c>
      <c r="N168" s="89" t="n">
        <v>505.1</v>
      </c>
      <c r="O168" s="89" t="n">
        <v>1767.7</v>
      </c>
      <c r="P168" s="89" t="n">
        <v>216.9</v>
      </c>
      <c r="Q168" s="89" t="n">
        <v>2952.4</v>
      </c>
      <c r="R168" s="89" t="n">
        <v>244</v>
      </c>
      <c r="S168" s="89" t="n">
        <v>22.4</v>
      </c>
      <c r="T168" s="89" t="n">
        <v>499</v>
      </c>
      <c r="U168" s="89" t="n">
        <v>46.4</v>
      </c>
      <c r="V168" s="89" t="n">
        <v>3.1</v>
      </c>
      <c r="W168" s="89" t="n">
        <v>3430.3</v>
      </c>
      <c r="X168" s="89" t="n">
        <v>2923.5</v>
      </c>
      <c r="Y168" s="89" t="n">
        <v>562</v>
      </c>
      <c r="Z168" s="89" t="n">
        <v>648.1</v>
      </c>
      <c r="AA168" s="89" t="n">
        <v>-216.1</v>
      </c>
      <c r="AB168" s="89" t="n">
        <v>2006.4</v>
      </c>
      <c r="AC168" s="89" t="n">
        <v>-129.1</v>
      </c>
      <c r="AD168" s="89" t="n">
        <v>150.2</v>
      </c>
      <c r="AE168" s="89" t="n">
        <v>1471.1</v>
      </c>
      <c r="AF168" s="90" t="inlineStr">
        <is>
          <t>N/A</t>
        </is>
      </c>
      <c r="AG168" s="89" t="n">
        <v>2782.2</v>
      </c>
      <c r="AH168" s="89" t="n">
        <v>2006.4</v>
      </c>
      <c r="AI168" s="89" t="n">
        <v>3430.3</v>
      </c>
      <c r="AJ168" s="89" t="n">
        <v>-55.7</v>
      </c>
      <c r="AK168" s="89" t="n">
        <v>-131.6</v>
      </c>
      <c r="AL168" s="89" t="n">
        <v>15.5</v>
      </c>
      <c r="AM168" s="89" t="n">
        <v>-2.5</v>
      </c>
      <c r="AN168" s="89" t="n">
        <v>5</v>
      </c>
      <c r="AO168" s="89" t="n">
        <v>29.6</v>
      </c>
      <c r="AP168" s="90" t="inlineStr">
        <is>
          <t>N/A</t>
        </is>
      </c>
      <c r="AQ168" s="90" t="inlineStr">
        <is>
          <t>N/A</t>
        </is>
      </c>
      <c r="AR168" s="89" t="n">
        <v>191.4</v>
      </c>
      <c r="AS168" s="89" t="n">
        <v>34.5</v>
      </c>
      <c r="AT168" s="90" t="inlineStr">
        <is>
          <t>N/A</t>
        </is>
      </c>
      <c r="AU168" s="89" t="n">
        <v>716.3</v>
      </c>
      <c r="AV168" s="89" t="n">
        <v>1083.5</v>
      </c>
      <c r="AW168" s="89" t="n">
        <v>490.1</v>
      </c>
      <c r="AX168" s="89" t="n">
        <v>216.9</v>
      </c>
      <c r="AY168" s="90" t="inlineStr">
        <is>
          <t>N/A</t>
        </is>
      </c>
      <c r="AZ168" s="89" t="n">
        <v>-866.7</v>
      </c>
      <c r="BA168" s="89" t="n">
        <v>500.2</v>
      </c>
      <c r="BB168" s="90" t="inlineStr">
        <is>
          <t>N/A</t>
        </is>
      </c>
      <c r="BC168" s="90" t="inlineStr">
        <is>
          <t>N/A</t>
        </is>
      </c>
      <c r="BD168" s="89" t="n">
        <v>393.1</v>
      </c>
      <c r="BE168" s="89" t="n">
        <v>53</v>
      </c>
      <c r="BF168" s="89" t="n">
        <v>219.2</v>
      </c>
      <c r="BG168" s="89" t="n">
        <v>11.8</v>
      </c>
      <c r="BH168" s="89" t="n">
        <v>538.8</v>
      </c>
      <c r="BI168" s="89" t="n">
        <v>-657.4</v>
      </c>
      <c r="BJ168" s="89" t="n">
        <v>20.3</v>
      </c>
      <c r="BK168" s="89" t="n">
        <v>10.5</v>
      </c>
      <c r="BL168" s="89" t="n">
        <v>114.5</v>
      </c>
      <c r="BM168" s="89" t="n">
        <v>78.3</v>
      </c>
      <c r="BN168" s="90" t="inlineStr">
        <is>
          <t>N/A</t>
        </is>
      </c>
      <c r="BO168" s="89" t="n">
        <v>696.1</v>
      </c>
      <c r="BP168" s="89" t="n">
        <v>535.3</v>
      </c>
      <c r="BQ168" s="89" t="n">
        <v>0</v>
      </c>
      <c r="BR168" s="89" t="n">
        <v>0</v>
      </c>
      <c r="BS168" s="90" t="inlineStr">
        <is>
          <t>N/A</t>
        </is>
      </c>
      <c r="BT168" s="90" t="inlineStr">
        <is>
          <t>N/A</t>
        </is>
      </c>
      <c r="BU168" s="89" t="n">
        <v>0</v>
      </c>
      <c r="BV168" s="89" t="n">
        <v>0</v>
      </c>
      <c r="BW168" s="89" t="n">
        <v>0</v>
      </c>
      <c r="BX168" s="89" t="n">
        <v>0</v>
      </c>
      <c r="BY168" s="89" t="n">
        <v>-0</v>
      </c>
    </row>
    <row r="169" ht="17" customHeight="1">
      <c r="A169" s="82" t="n">
        <v>167</v>
      </c>
      <c r="B169" s="83" t="inlineStr">
        <is>
          <t>ETR</t>
        </is>
      </c>
      <c r="C169" s="84" t="inlineStr">
        <is>
          <t>ENTERGY CORP /DE/</t>
        </is>
      </c>
      <c r="D169" s="82" t="inlineStr">
        <is>
          <t>Utilities</t>
        </is>
      </c>
      <c r="E169" s="82" t="n">
        <v>2026</v>
      </c>
      <c r="F169" s="85" t="n">
        <v>71890.7</v>
      </c>
      <c r="G169" s="85" t="n">
        <v>5806.9</v>
      </c>
      <c r="H169" s="85" t="n">
        <v>7823</v>
      </c>
      <c r="I169" s="85" t="n">
        <v>71890.7</v>
      </c>
      <c r="J169" s="85" t="n">
        <v>12698.4</v>
      </c>
      <c r="K169" s="85" t="n">
        <v>3202.3</v>
      </c>
      <c r="L169" s="85" t="n">
        <v>12946.7</v>
      </c>
      <c r="M169" s="85" t="n">
        <v>2356.5</v>
      </c>
      <c r="N169" s="85" t="n">
        <v>5150.7</v>
      </c>
      <c r="O169" s="85" t="n">
        <v>3115.6</v>
      </c>
      <c r="P169" s="85" t="n">
        <v>30277.2</v>
      </c>
      <c r="Q169" s="85" t="n">
        <v>16923.1</v>
      </c>
      <c r="R169" s="91" t="inlineStr">
        <is>
          <t>N/A</t>
        </is>
      </c>
      <c r="S169" s="85" t="n">
        <v>1329.3</v>
      </c>
      <c r="T169" s="85" t="n">
        <v>1393.5</v>
      </c>
      <c r="U169" s="85" t="n">
        <v>481.6</v>
      </c>
      <c r="V169" s="85" t="n">
        <v>1006.4</v>
      </c>
      <c r="W169" s="85" t="n">
        <v>64790</v>
      </c>
      <c r="X169" s="85" t="n">
        <v>4396.2</v>
      </c>
      <c r="Y169" s="85" t="n">
        <v>6111</v>
      </c>
      <c r="Z169" s="85" t="n">
        <v>64790</v>
      </c>
      <c r="AA169" s="85" t="n">
        <v>2651.1</v>
      </c>
      <c r="AB169" s="85" t="n">
        <v>11879.7</v>
      </c>
      <c r="AC169" s="85" t="n">
        <v>1103.2</v>
      </c>
      <c r="AD169" s="85" t="n">
        <v>4488.5</v>
      </c>
      <c r="AE169" s="85" t="n">
        <v>147.5</v>
      </c>
      <c r="AF169" s="85" t="n">
        <v>27991.6</v>
      </c>
      <c r="AG169" s="85" t="n">
        <v>15083.9</v>
      </c>
      <c r="AH169" s="85" t="n">
        <v>11879.7</v>
      </c>
      <c r="AI169" s="85" t="n">
        <v>64790</v>
      </c>
      <c r="AJ169" s="85" t="n">
        <v>2271.3</v>
      </c>
      <c r="AK169" s="85" t="n">
        <v>1442.2</v>
      </c>
      <c r="AL169" s="85" t="n">
        <v>498</v>
      </c>
      <c r="AM169" s="85" t="n">
        <v>381</v>
      </c>
      <c r="AN169" s="85" t="n">
        <v>7684.9</v>
      </c>
      <c r="AO169" s="85" t="n">
        <v>4838.3</v>
      </c>
      <c r="AP169" s="91" t="inlineStr">
        <is>
          <t>N/A</t>
        </is>
      </c>
      <c r="AQ169" s="91" t="inlineStr">
        <is>
          <t>N/A</t>
        </is>
      </c>
      <c r="AR169" s="85" t="n">
        <v>367.6</v>
      </c>
      <c r="AS169" s="91" t="inlineStr">
        <is>
          <t>N/A</t>
        </is>
      </c>
      <c r="AT169" s="85" t="n">
        <v>657.8</v>
      </c>
      <c r="AU169" s="91" t="inlineStr">
        <is>
          <t>N/A</t>
        </is>
      </c>
      <c r="AV169" s="85" t="n">
        <v>1928.9</v>
      </c>
      <c r="AW169" s="85" t="n">
        <v>859.7</v>
      </c>
      <c r="AX169" s="85" t="n">
        <v>30934.9</v>
      </c>
      <c r="AY169" s="85" t="n">
        <v>28918.9</v>
      </c>
      <c r="AZ169" s="85" t="n">
        <v>29006</v>
      </c>
      <c r="BA169" s="85" t="n">
        <v>-2534.3</v>
      </c>
      <c r="BB169" s="85" t="n">
        <v>583.2</v>
      </c>
      <c r="BC169" s="85" t="n">
        <v>562</v>
      </c>
      <c r="BD169" s="85" t="n">
        <v>1495.3</v>
      </c>
      <c r="BE169" s="85" t="n">
        <v>423.8</v>
      </c>
      <c r="BF169" s="91" t="inlineStr">
        <is>
          <t>N/A</t>
        </is>
      </c>
      <c r="BG169" s="85" t="n">
        <v>1292.8</v>
      </c>
      <c r="BH169" s="85" t="n">
        <v>-7109.5</v>
      </c>
      <c r="BI169" s="85" t="n">
        <v>-5849</v>
      </c>
      <c r="BJ169" s="85" t="n">
        <v>2565.5</v>
      </c>
      <c r="BK169" s="85" t="n">
        <v>1929.2</v>
      </c>
      <c r="BL169" s="85" t="n">
        <v>446.1</v>
      </c>
      <c r="BM169" s="85" t="n">
        <v>424.7</v>
      </c>
      <c r="BN169" s="85" t="n">
        <v>525.2</v>
      </c>
      <c r="BO169" s="85" t="n">
        <v>9831.1</v>
      </c>
      <c r="BP169" s="85" t="n">
        <v>11732.1</v>
      </c>
      <c r="BQ169" s="85" t="n">
        <v>0</v>
      </c>
      <c r="BR169" s="85" t="n">
        <v>0</v>
      </c>
      <c r="BS169" s="91" t="inlineStr">
        <is>
          <t>N/A</t>
        </is>
      </c>
      <c r="BT169" s="91" t="inlineStr">
        <is>
          <t>N/A</t>
        </is>
      </c>
      <c r="BU169" s="85" t="n">
        <v>0</v>
      </c>
      <c r="BV169" s="85" t="n">
        <v>0</v>
      </c>
      <c r="BW169" s="85" t="n">
        <v>0</v>
      </c>
      <c r="BX169" s="85" t="n">
        <v>0</v>
      </c>
      <c r="BY169" s="85" t="n">
        <v>0</v>
      </c>
    </row>
    <row r="170" ht="17" customHeight="1">
      <c r="A170" s="86" t="n">
        <v>168</v>
      </c>
      <c r="B170" s="87" t="inlineStr">
        <is>
          <t>RH</t>
        </is>
      </c>
      <c r="C170" s="88" t="inlineStr">
        <is>
          <t>RH</t>
        </is>
      </c>
      <c r="D170" s="86" t="inlineStr">
        <is>
          <t>Consumer Discretionary</t>
        </is>
      </c>
      <c r="E170" s="86" t="n">
        <v>2026</v>
      </c>
      <c r="F170" s="89" t="n">
        <v>4835.7</v>
      </c>
      <c r="G170" s="89" t="n">
        <v>1107.7</v>
      </c>
      <c r="H170" s="89" t="n">
        <v>930.6</v>
      </c>
      <c r="I170" s="89" t="n">
        <v>4775.1</v>
      </c>
      <c r="J170" s="89" t="n">
        <v>-386.1</v>
      </c>
      <c r="K170" s="89" t="n">
        <v>387.3</v>
      </c>
      <c r="L170" s="89" t="n">
        <v>1193</v>
      </c>
      <c r="M170" s="89" t="n">
        <v>124.8</v>
      </c>
      <c r="N170" s="89" t="n">
        <v>452.2</v>
      </c>
      <c r="O170" s="89" t="n">
        <v>1515.8</v>
      </c>
      <c r="P170" s="89" t="n">
        <v>1.1</v>
      </c>
      <c r="Q170" s="89" t="n">
        <v>60.6</v>
      </c>
      <c r="R170" s="89" t="n">
        <v>1128.5</v>
      </c>
      <c r="S170" s="89" t="n">
        <v>148.5</v>
      </c>
      <c r="T170" s="89" t="n">
        <v>63.4</v>
      </c>
      <c r="U170" s="89" t="n">
        <v>2158.7</v>
      </c>
      <c r="V170" s="89" t="n">
        <v>237.9</v>
      </c>
      <c r="W170" s="89" t="n">
        <v>4554.7</v>
      </c>
      <c r="X170" s="89" t="n">
        <v>1291.3</v>
      </c>
      <c r="Y170" s="89" t="n">
        <v>905.1</v>
      </c>
      <c r="Z170" s="89" t="n">
        <v>4718.3</v>
      </c>
      <c r="AA170" s="89" t="n">
        <v>322.6</v>
      </c>
      <c r="AB170" s="89" t="n">
        <v>958.1</v>
      </c>
      <c r="AC170" s="89" t="n">
        <v>72.40000000000001</v>
      </c>
      <c r="AD170" s="89" t="n">
        <v>17.1</v>
      </c>
      <c r="AE170" s="89" t="n">
        <v>1414.9</v>
      </c>
      <c r="AF170" s="89" t="n">
        <v>14.6</v>
      </c>
      <c r="AG170" s="89" t="n">
        <v>-163.6</v>
      </c>
      <c r="AH170" s="89" t="n">
        <v>772.8</v>
      </c>
      <c r="AI170" s="89" t="n">
        <v>4554.7</v>
      </c>
      <c r="AJ170" s="89" t="n">
        <v>77.2</v>
      </c>
      <c r="AK170" s="89" t="n">
        <v>155.8</v>
      </c>
      <c r="AL170" s="89" t="n">
        <v>47.2</v>
      </c>
      <c r="AM170" s="89" t="n">
        <v>4.8</v>
      </c>
      <c r="AN170" s="89" t="n">
        <v>199.8</v>
      </c>
      <c r="AO170" s="89" t="n">
        <v>230.8</v>
      </c>
      <c r="AP170" s="90" t="inlineStr">
        <is>
          <t>N/A</t>
        </is>
      </c>
      <c r="AQ170" s="90" t="inlineStr">
        <is>
          <t>N/A</t>
        </is>
      </c>
      <c r="AR170" s="89" t="n">
        <v>144.2</v>
      </c>
      <c r="AS170" s="89" t="n">
        <v>0</v>
      </c>
      <c r="AT170" s="89" t="n">
        <v>53</v>
      </c>
      <c r="AU170" s="90" t="inlineStr">
        <is>
          <t>N/A</t>
        </is>
      </c>
      <c r="AV170" s="89" t="n">
        <v>41.2</v>
      </c>
      <c r="AW170" s="89" t="n">
        <v>30.4</v>
      </c>
      <c r="AX170" s="89" t="n">
        <v>54.1</v>
      </c>
      <c r="AY170" s="89" t="n">
        <v>67.59999999999999</v>
      </c>
      <c r="AZ170" s="89" t="n">
        <v>12.9</v>
      </c>
      <c r="BA170" s="89" t="n">
        <v>252.4</v>
      </c>
      <c r="BB170" s="89" t="n">
        <v>18.8</v>
      </c>
      <c r="BC170" s="89" t="n">
        <v>18.7</v>
      </c>
      <c r="BD170" s="89" t="n">
        <v>63.5</v>
      </c>
      <c r="BE170" s="89" t="n">
        <v>1883.2</v>
      </c>
      <c r="BF170" s="89" t="n">
        <v>1092.3</v>
      </c>
      <c r="BG170" s="89" t="n">
        <v>130.2</v>
      </c>
      <c r="BH170" s="89" t="n">
        <v>-223.7</v>
      </c>
      <c r="BI170" s="89" t="n">
        <v>-240.4</v>
      </c>
      <c r="BJ170" s="89" t="n">
        <v>197.7</v>
      </c>
      <c r="BK170" s="89" t="n">
        <v>245.3</v>
      </c>
      <c r="BL170" s="89" t="n">
        <v>338.5</v>
      </c>
      <c r="BM170" s="89" t="n">
        <v>291.8</v>
      </c>
      <c r="BN170" s="89" t="n">
        <v>2.9</v>
      </c>
      <c r="BO170" s="89" t="n">
        <v>1923.8</v>
      </c>
      <c r="BP170" s="89" t="n">
        <v>1765.8</v>
      </c>
      <c r="BQ170" s="89" t="n">
        <v>0</v>
      </c>
      <c r="BR170" s="89" t="n">
        <v>0</v>
      </c>
      <c r="BS170" s="90" t="inlineStr">
        <is>
          <t>N/A</t>
        </is>
      </c>
      <c r="BT170" s="90" t="inlineStr">
        <is>
          <t>N/A</t>
        </is>
      </c>
      <c r="BU170" s="89" t="n">
        <v>0</v>
      </c>
      <c r="BV170" s="89" t="n">
        <v>0</v>
      </c>
      <c r="BW170" s="89" t="n">
        <v>0</v>
      </c>
      <c r="BX170" s="89" t="n">
        <v>0</v>
      </c>
      <c r="BY170" s="89" t="n">
        <v>0</v>
      </c>
    </row>
    <row r="171" ht="17" customHeight="1">
      <c r="A171" s="82" t="n">
        <v>169</v>
      </c>
      <c r="B171" s="83" t="inlineStr">
        <is>
          <t>ATR</t>
        </is>
      </c>
      <c r="C171" s="84" t="inlineStr">
        <is>
          <t>AptarGroup, Inc</t>
        </is>
      </c>
      <c r="D171" s="82" t="inlineStr">
        <is>
          <t>Materials</t>
        </is>
      </c>
      <c r="E171" s="82" t="n">
        <v>2026</v>
      </c>
      <c r="F171" s="85" t="n">
        <v>5252.7</v>
      </c>
      <c r="G171" s="85" t="n">
        <v>1893.6</v>
      </c>
      <c r="H171" s="85" t="n">
        <v>1166.4</v>
      </c>
      <c r="I171" s="85" t="n">
        <v>5252.7</v>
      </c>
      <c r="J171" s="85" t="n">
        <v>2642.6</v>
      </c>
      <c r="K171" s="85" t="n">
        <v>501</v>
      </c>
      <c r="L171" s="85" t="n">
        <v>3777.2</v>
      </c>
      <c r="M171" s="85" t="n">
        <v>392.8</v>
      </c>
      <c r="N171" s="85" t="n">
        <v>570</v>
      </c>
      <c r="O171" s="85" t="n">
        <v>906</v>
      </c>
      <c r="P171" s="91" t="inlineStr">
        <is>
          <t>N/A</t>
        </is>
      </c>
      <c r="Q171" s="85" t="n">
        <v>2668.1</v>
      </c>
      <c r="R171" s="91" t="inlineStr">
        <is>
          <t>N/A</t>
        </is>
      </c>
      <c r="S171" s="85" t="n">
        <v>287.4</v>
      </c>
      <c r="T171" s="85" t="n">
        <v>658.1</v>
      </c>
      <c r="U171" s="85" t="n">
        <v>1676.5</v>
      </c>
      <c r="V171" s="85" t="n">
        <v>40.4</v>
      </c>
      <c r="W171" s="85" t="n">
        <v>4432.3</v>
      </c>
      <c r="X171" s="85" t="n">
        <v>1478.4</v>
      </c>
      <c r="Y171" s="85" t="n">
        <v>1068.3</v>
      </c>
      <c r="Z171" s="85" t="n">
        <v>4432.3</v>
      </c>
      <c r="AA171" s="85" t="n">
        <v>496.5</v>
      </c>
      <c r="AB171" s="85" t="n">
        <v>3582.9</v>
      </c>
      <c r="AC171" s="85" t="n">
        <v>374.5</v>
      </c>
      <c r="AD171" s="85" t="n">
        <v>643.4</v>
      </c>
      <c r="AE171" s="85" t="n">
        <v>231</v>
      </c>
      <c r="AF171" s="91" t="inlineStr">
        <is>
          <t>N/A</t>
        </is>
      </c>
      <c r="AG171" s="85" t="n">
        <v>2471.9</v>
      </c>
      <c r="AH171" s="85" t="n">
        <v>3582.9</v>
      </c>
      <c r="AI171" s="85" t="n">
        <v>4432.3</v>
      </c>
      <c r="AJ171" s="85" t="n">
        <v>491.4</v>
      </c>
      <c r="AK171" s="85" t="n">
        <v>469.8</v>
      </c>
      <c r="AL171" s="85" t="n">
        <v>98.90000000000001</v>
      </c>
      <c r="AM171" s="85" t="n">
        <v>95.59999999999999</v>
      </c>
      <c r="AN171" s="85" t="n">
        <v>270.4</v>
      </c>
      <c r="AO171" s="85" t="n">
        <v>276.5</v>
      </c>
      <c r="AP171" s="85" t="n">
        <v>537.8</v>
      </c>
      <c r="AQ171" s="85" t="n">
        <v>461.8</v>
      </c>
      <c r="AR171" s="85" t="n">
        <v>1077.9</v>
      </c>
      <c r="AS171" s="85" t="n">
        <v>255.3</v>
      </c>
      <c r="AT171" s="85" t="n">
        <v>183.9</v>
      </c>
      <c r="AU171" s="85" t="n">
        <v>105.1</v>
      </c>
      <c r="AV171" s="85" t="n">
        <v>402.4</v>
      </c>
      <c r="AW171" s="85" t="n">
        <v>223.8</v>
      </c>
      <c r="AX171" s="85" t="n">
        <v>183.9</v>
      </c>
      <c r="AY171" s="91" t="inlineStr">
        <is>
          <t>N/A</t>
        </is>
      </c>
      <c r="AZ171" s="85" t="n">
        <v>-218.5</v>
      </c>
      <c r="BA171" s="85" t="n">
        <v>299.6</v>
      </c>
      <c r="BB171" s="85" t="n">
        <v>72.8</v>
      </c>
      <c r="BC171" s="85" t="n">
        <v>72.5</v>
      </c>
      <c r="BD171" s="85" t="n">
        <v>677.8</v>
      </c>
      <c r="BE171" s="85" t="n">
        <v>1447.2</v>
      </c>
      <c r="BF171" s="91" t="inlineStr">
        <is>
          <t>N/A</t>
        </is>
      </c>
      <c r="BG171" s="85" t="n">
        <v>263.8</v>
      </c>
      <c r="BH171" s="85" t="n">
        <v>-331.4</v>
      </c>
      <c r="BI171" s="85" t="n">
        <v>-396.7</v>
      </c>
      <c r="BJ171" s="91" t="inlineStr">
        <is>
          <t>N/A</t>
        </is>
      </c>
      <c r="BK171" s="91" t="inlineStr">
        <is>
          <t>N/A</t>
        </is>
      </c>
      <c r="BL171" s="85" t="n">
        <v>74.8</v>
      </c>
      <c r="BM171" s="85" t="n">
        <v>64.40000000000001</v>
      </c>
      <c r="BN171" s="91" t="inlineStr">
        <is>
          <t>N/A</t>
        </is>
      </c>
      <c r="BO171" s="91" t="inlineStr">
        <is>
          <t>N/A</t>
        </is>
      </c>
      <c r="BP171" s="91" t="inlineStr">
        <is>
          <t>N/A</t>
        </is>
      </c>
      <c r="BQ171" s="85" t="n">
        <v>0</v>
      </c>
      <c r="BR171" s="85" t="n">
        <v>0</v>
      </c>
      <c r="BS171" s="85" t="n">
        <v>0</v>
      </c>
      <c r="BT171" s="85" t="n">
        <v>0</v>
      </c>
      <c r="BU171" s="85" t="n">
        <v>0</v>
      </c>
      <c r="BV171" s="91" t="inlineStr">
        <is>
          <t>N/A</t>
        </is>
      </c>
      <c r="BW171" s="85" t="n">
        <v>0</v>
      </c>
      <c r="BX171" s="85" t="n">
        <v>0</v>
      </c>
      <c r="BY171" s="85" t="n">
        <v>0</v>
      </c>
    </row>
    <row r="172" ht="17" customHeight="1">
      <c r="A172" s="86" t="n">
        <v>170</v>
      </c>
      <c r="B172" s="87" t="inlineStr">
        <is>
          <t>VLO</t>
        </is>
      </c>
      <c r="C172" s="88" t="inlineStr">
        <is>
          <t>VALERO ENERGY CORP/TX</t>
        </is>
      </c>
      <c r="D172" s="86" t="inlineStr">
        <is>
          <t>Energy</t>
        </is>
      </c>
      <c r="E172" s="86" t="n">
        <v>2026</v>
      </c>
      <c r="F172" s="89" t="n">
        <v>57988</v>
      </c>
      <c r="G172" s="89" t="n">
        <v>23210</v>
      </c>
      <c r="H172" s="89" t="n">
        <v>14109</v>
      </c>
      <c r="I172" s="89" t="n">
        <v>57988</v>
      </c>
      <c r="J172" s="89" t="n">
        <v>47959</v>
      </c>
      <c r="K172" s="89" t="n">
        <v>3181</v>
      </c>
      <c r="L172" s="89" t="n">
        <v>122687</v>
      </c>
      <c r="M172" s="89" t="n">
        <v>2348</v>
      </c>
      <c r="N172" s="89" t="n">
        <v>5826</v>
      </c>
      <c r="O172" s="89" t="n">
        <v>-230</v>
      </c>
      <c r="P172" s="89" t="n">
        <v>8261</v>
      </c>
      <c r="Q172" s="89" t="n">
        <v>23725</v>
      </c>
      <c r="R172" s="89" t="n">
        <v>1042</v>
      </c>
      <c r="S172" s="89" t="n">
        <v>63</v>
      </c>
      <c r="T172" s="89" t="n">
        <v>9207</v>
      </c>
      <c r="U172" s="89" t="n">
        <v>29264</v>
      </c>
      <c r="V172" s="89" t="n">
        <v>556</v>
      </c>
      <c r="W172" s="89" t="n">
        <v>60143</v>
      </c>
      <c r="X172" s="89" t="n">
        <v>23737</v>
      </c>
      <c r="Y172" s="89" t="n">
        <v>15495</v>
      </c>
      <c r="Z172" s="89" t="n">
        <v>60143</v>
      </c>
      <c r="AA172" s="89" t="n">
        <v>3755</v>
      </c>
      <c r="AB172" s="89" t="n">
        <v>129881</v>
      </c>
      <c r="AC172" s="89" t="n">
        <v>2770</v>
      </c>
      <c r="AD172" s="89" t="n">
        <v>6683</v>
      </c>
      <c r="AE172" s="89" t="n">
        <v>-398</v>
      </c>
      <c r="AF172" s="89" t="n">
        <v>8085</v>
      </c>
      <c r="AG172" s="89" t="n">
        <v>24512</v>
      </c>
      <c r="AH172" s="90" t="inlineStr">
        <is>
          <t>N/A</t>
        </is>
      </c>
      <c r="AI172" s="89" t="n">
        <v>60143</v>
      </c>
      <c r="AJ172" s="89" t="n">
        <v>3005</v>
      </c>
      <c r="AK172" s="89" t="n">
        <v>3698</v>
      </c>
      <c r="AL172" s="89" t="n">
        <v>759</v>
      </c>
      <c r="AM172" s="89" t="n">
        <v>692</v>
      </c>
      <c r="AN172" s="89" t="n">
        <v>1353</v>
      </c>
      <c r="AO172" s="89" t="n">
        <v>1278</v>
      </c>
      <c r="AP172" s="89" t="n">
        <v>7591</v>
      </c>
      <c r="AQ172" s="89" t="n">
        <v>7761</v>
      </c>
      <c r="AR172" s="89" t="n">
        <v>260</v>
      </c>
      <c r="AS172" s="89" t="n">
        <v>123</v>
      </c>
      <c r="AT172" s="89" t="n">
        <v>949</v>
      </c>
      <c r="AU172" s="90" t="inlineStr">
        <is>
          <t>N/A</t>
        </is>
      </c>
      <c r="AV172" s="89" t="n">
        <v>4688</v>
      </c>
      <c r="AW172" s="89" t="n">
        <v>4657</v>
      </c>
      <c r="AX172" s="89" t="n">
        <v>9210</v>
      </c>
      <c r="AY172" s="89" t="n">
        <v>8828</v>
      </c>
      <c r="AZ172" s="89" t="n">
        <v>4522</v>
      </c>
      <c r="BA172" s="89" t="n">
        <v>4473</v>
      </c>
      <c r="BB172" s="89" t="n">
        <v>673.5</v>
      </c>
      <c r="BC172" s="89" t="n">
        <v>673.5</v>
      </c>
      <c r="BD172" s="89" t="n">
        <v>9731</v>
      </c>
      <c r="BE172" s="89" t="n">
        <v>28848</v>
      </c>
      <c r="BF172" s="89" t="n">
        <v>961</v>
      </c>
      <c r="BG172" s="89" t="n">
        <v>45</v>
      </c>
      <c r="BH172" s="89" t="n">
        <v>-1845</v>
      </c>
      <c r="BI172" s="89" t="n">
        <v>-1981</v>
      </c>
      <c r="BJ172" s="89" t="n">
        <v>10139</v>
      </c>
      <c r="BK172" s="89" t="n">
        <v>12092</v>
      </c>
      <c r="BL172" s="89" t="n">
        <v>60</v>
      </c>
      <c r="BM172" s="89" t="n">
        <v>82</v>
      </c>
      <c r="BN172" s="89" t="n">
        <v>68</v>
      </c>
      <c r="BO172" s="89" t="n">
        <v>117255</v>
      </c>
      <c r="BP172" s="89" t="n">
        <v>125076</v>
      </c>
      <c r="BQ172" s="89" t="n">
        <v>0</v>
      </c>
      <c r="BR172" s="89" t="n">
        <v>0</v>
      </c>
      <c r="BS172" s="89" t="n">
        <v>0</v>
      </c>
      <c r="BT172" s="89" t="n">
        <v>0</v>
      </c>
      <c r="BU172" s="89" t="n">
        <v>0</v>
      </c>
      <c r="BV172" s="89" t="n">
        <v>0</v>
      </c>
      <c r="BW172" s="89" t="n">
        <v>0</v>
      </c>
      <c r="BX172" s="89" t="n">
        <v>0</v>
      </c>
      <c r="BY172" s="89" t="n">
        <v>0</v>
      </c>
    </row>
    <row r="173" ht="17" customHeight="1">
      <c r="A173" s="82" t="n">
        <v>171</v>
      </c>
      <c r="B173" s="83" t="inlineStr">
        <is>
          <t>NUE</t>
        </is>
      </c>
      <c r="C173" s="84" t="inlineStr">
        <is>
          <t>NUCOR CORPORATION</t>
        </is>
      </c>
      <c r="D173" s="82" t="inlineStr">
        <is>
          <t>Materials</t>
        </is>
      </c>
      <c r="E173" s="82" t="n">
        <v>2026</v>
      </c>
      <c r="F173" s="85" t="n">
        <v>35104</v>
      </c>
      <c r="G173" s="85" t="n">
        <v>11765</v>
      </c>
      <c r="H173" s="85" t="n">
        <v>4004</v>
      </c>
      <c r="I173" s="85" t="n">
        <v>12980</v>
      </c>
      <c r="J173" s="85" t="n">
        <v>31504</v>
      </c>
      <c r="K173" s="85" t="n">
        <v>2568</v>
      </c>
      <c r="L173" s="85" t="n">
        <v>25067.3</v>
      </c>
      <c r="M173" s="85" t="n">
        <v>1744</v>
      </c>
      <c r="N173" s="85" t="n">
        <v>3234</v>
      </c>
      <c r="O173" s="85" t="n">
        <v>627</v>
      </c>
      <c r="P173" s="85" t="n">
        <v>4360.6</v>
      </c>
      <c r="Q173" s="85" t="n">
        <v>20936</v>
      </c>
      <c r="R173" s="85" t="n">
        <v>1219</v>
      </c>
      <c r="S173" s="85" t="n">
        <v>1226</v>
      </c>
      <c r="T173" s="85" t="n">
        <v>3105</v>
      </c>
      <c r="U173" s="85" t="n">
        <v>15306</v>
      </c>
      <c r="V173" s="85" t="n">
        <v>170</v>
      </c>
      <c r="W173" s="85" t="n">
        <v>33940</v>
      </c>
      <c r="X173" s="85" t="n">
        <v>12475</v>
      </c>
      <c r="Y173" s="85" t="n">
        <v>4977</v>
      </c>
      <c r="Z173" s="85" t="n">
        <v>12523</v>
      </c>
      <c r="AA173" s="85" t="n">
        <v>2902</v>
      </c>
      <c r="AB173" s="85" t="n">
        <v>30734</v>
      </c>
      <c r="AC173" s="85" t="n">
        <v>2027</v>
      </c>
      <c r="AD173" s="85" t="n">
        <v>3979</v>
      </c>
      <c r="AE173" s="85" t="n">
        <v>758</v>
      </c>
      <c r="AF173" s="85" t="n">
        <v>4360.6</v>
      </c>
      <c r="AG173" s="85" t="n">
        <v>20294</v>
      </c>
      <c r="AH173" s="85" t="n">
        <v>30734</v>
      </c>
      <c r="AI173" s="85" t="n">
        <v>33940</v>
      </c>
      <c r="AJ173" s="85" t="n">
        <v>2568</v>
      </c>
      <c r="AK173" s="85" t="n">
        <v>2902</v>
      </c>
      <c r="AL173" s="85" t="n">
        <v>530</v>
      </c>
      <c r="AM173" s="85" t="n">
        <v>583</v>
      </c>
      <c r="AN173" s="85" t="n">
        <v>3422</v>
      </c>
      <c r="AO173" s="85" t="n">
        <v>3173</v>
      </c>
      <c r="AP173" s="85" t="n">
        <v>5462</v>
      </c>
      <c r="AQ173" s="85" t="n">
        <v>5106</v>
      </c>
      <c r="AR173" s="85" t="n">
        <v>4297</v>
      </c>
      <c r="AS173" s="85" t="n">
        <v>2880</v>
      </c>
      <c r="AT173" s="85" t="n">
        <v>122</v>
      </c>
      <c r="AU173" s="91" t="inlineStr">
        <is>
          <t>N/A</t>
        </is>
      </c>
      <c r="AV173" s="85" t="n">
        <v>2260</v>
      </c>
      <c r="AW173" s="85" t="n">
        <v>3558</v>
      </c>
      <c r="AX173" s="85" t="n">
        <v>4482.6</v>
      </c>
      <c r="AY173" s="85" t="n">
        <v>4585.6</v>
      </c>
      <c r="AZ173" s="85" t="n">
        <v>2222.6</v>
      </c>
      <c r="BA173" s="85" t="n">
        <v>-188</v>
      </c>
      <c r="BB173" s="85" t="n">
        <v>380.2</v>
      </c>
      <c r="BC173" s="85" t="n">
        <v>380.2</v>
      </c>
      <c r="BD173" s="85" t="n">
        <v>2675</v>
      </c>
      <c r="BE173" s="85" t="n">
        <v>13243</v>
      </c>
      <c r="BF173" s="85" t="n">
        <v>1123</v>
      </c>
      <c r="BG173" s="85" t="n">
        <v>1094</v>
      </c>
      <c r="BH173" s="85" t="n">
        <v>-3226</v>
      </c>
      <c r="BI173" s="85" t="n">
        <v>-3734</v>
      </c>
      <c r="BJ173" s="85" t="n">
        <v>1890</v>
      </c>
      <c r="BK173" s="85" t="n">
        <v>1832</v>
      </c>
      <c r="BL173" s="85" t="n">
        <v>243</v>
      </c>
      <c r="BM173" s="85" t="n">
        <v>200</v>
      </c>
      <c r="BN173" s="91" t="inlineStr">
        <is>
          <t>N/A</t>
        </is>
      </c>
      <c r="BO173" s="85" t="n">
        <v>28616</v>
      </c>
      <c r="BP173" s="85" t="n">
        <v>26632</v>
      </c>
      <c r="BQ173" s="85" t="n">
        <v>0</v>
      </c>
      <c r="BR173" s="85" t="n">
        <v>0</v>
      </c>
      <c r="BS173" s="85" t="n">
        <v>0</v>
      </c>
      <c r="BT173" s="85" t="n">
        <v>0</v>
      </c>
      <c r="BU173" s="85" t="n">
        <v>0</v>
      </c>
      <c r="BV173" s="85" t="n">
        <v>0</v>
      </c>
      <c r="BW173" s="85" t="n">
        <v>0</v>
      </c>
      <c r="BX173" s="85" t="n">
        <v>0</v>
      </c>
      <c r="BY173" s="85" t="n">
        <v>0</v>
      </c>
    </row>
    <row r="174" ht="17" customHeight="1">
      <c r="A174" s="86" t="n">
        <v>172</v>
      </c>
      <c r="B174" s="87" t="inlineStr">
        <is>
          <t>MCO</t>
        </is>
      </c>
      <c r="C174" s="88" t="inlineStr">
        <is>
          <t>Moody’s Corporation</t>
        </is>
      </c>
      <c r="D174" s="86" t="inlineStr">
        <is>
          <t>Financials</t>
        </is>
      </c>
      <c r="E174" s="86" t="n">
        <v>2026</v>
      </c>
      <c r="F174" s="89" t="n">
        <v>15830</v>
      </c>
      <c r="G174" s="89" t="n">
        <v>5186</v>
      </c>
      <c r="H174" s="89" t="n">
        <v>2981</v>
      </c>
      <c r="I174" s="89" t="n">
        <v>11625</v>
      </c>
      <c r="J174" s="89" t="n">
        <v>17853</v>
      </c>
      <c r="K174" s="89" t="n">
        <v>3351</v>
      </c>
      <c r="L174" s="89" t="n">
        <v>4204.1</v>
      </c>
      <c r="M174" s="89" t="n">
        <v>2459</v>
      </c>
      <c r="N174" s="89" t="n">
        <v>2901</v>
      </c>
      <c r="O174" s="89" t="n">
        <v>2231.1</v>
      </c>
      <c r="P174" s="89" t="n">
        <v>6994</v>
      </c>
      <c r="Q174" s="89" t="n">
        <v>4054</v>
      </c>
      <c r="R174" s="89" t="n">
        <v>1803</v>
      </c>
      <c r="S174" s="89" t="n">
        <v>480</v>
      </c>
      <c r="T174" s="89" t="n">
        <v>2024</v>
      </c>
      <c r="U174" s="89" t="n">
        <v>722</v>
      </c>
      <c r="V174" s="89" t="n">
        <v>162</v>
      </c>
      <c r="W174" s="89" t="n">
        <v>15505</v>
      </c>
      <c r="X174" s="89" t="n">
        <v>5290</v>
      </c>
      <c r="Y174" s="89" t="n">
        <v>3597</v>
      </c>
      <c r="Z174" s="89" t="n">
        <v>11778</v>
      </c>
      <c r="AA174" s="89" t="n">
        <v>2875</v>
      </c>
      <c r="AB174" s="89" t="n">
        <v>1165.5</v>
      </c>
      <c r="AC174" s="89" t="n">
        <v>2058</v>
      </c>
      <c r="AD174" s="89" t="n">
        <v>2838</v>
      </c>
      <c r="AE174" s="89" t="n">
        <v>-779.5</v>
      </c>
      <c r="AF174" s="89" t="n">
        <v>7428</v>
      </c>
      <c r="AG174" s="89" t="n">
        <v>3565</v>
      </c>
      <c r="AH174" s="89" t="n">
        <v>1062.9</v>
      </c>
      <c r="AI174" s="89" t="n">
        <v>15505</v>
      </c>
      <c r="AJ174" s="89" t="n">
        <v>3130</v>
      </c>
      <c r="AK174" s="89" t="n">
        <v>2699</v>
      </c>
      <c r="AL174" s="89" t="n">
        <v>668</v>
      </c>
      <c r="AM174" s="89" t="n">
        <v>640</v>
      </c>
      <c r="AN174" s="89" t="n">
        <v>326</v>
      </c>
      <c r="AO174" s="89" t="n">
        <v>317</v>
      </c>
      <c r="AP174" s="90" t="inlineStr">
        <is>
          <t>N/A</t>
        </is>
      </c>
      <c r="AQ174" s="90" t="inlineStr">
        <is>
          <t>N/A</t>
        </is>
      </c>
      <c r="AR174" s="89" t="n">
        <v>6368</v>
      </c>
      <c r="AS174" s="89" t="n">
        <v>1866</v>
      </c>
      <c r="AT174" s="89" t="n">
        <v>429.4</v>
      </c>
      <c r="AU174" s="89" t="n">
        <v>51.1</v>
      </c>
      <c r="AV174" s="89" t="n">
        <v>2384</v>
      </c>
      <c r="AW174" s="89" t="n">
        <v>2408</v>
      </c>
      <c r="AX174" s="89" t="n">
        <v>7423.4</v>
      </c>
      <c r="AY174" s="89" t="n">
        <v>7857.4</v>
      </c>
      <c r="AZ174" s="89" t="n">
        <v>5039.4</v>
      </c>
      <c r="BA174" s="89" t="n">
        <v>2575</v>
      </c>
      <c r="BB174" s="89" t="n">
        <v>342.9</v>
      </c>
      <c r="BC174" s="89" t="n">
        <v>342.9</v>
      </c>
      <c r="BD174" s="89" t="n">
        <v>1801</v>
      </c>
      <c r="BE174" s="89" t="n">
        <v>656</v>
      </c>
      <c r="BF174" s="89" t="n">
        <v>1735</v>
      </c>
      <c r="BG174" s="89" t="n">
        <v>431</v>
      </c>
      <c r="BH174" s="89" t="n">
        <v>2</v>
      </c>
      <c r="BI174" s="89" t="n">
        <v>-1056</v>
      </c>
      <c r="BJ174" s="89" t="n">
        <v>62</v>
      </c>
      <c r="BK174" s="89" t="n">
        <v>53</v>
      </c>
      <c r="BL174" s="89" t="n">
        <v>883.6</v>
      </c>
      <c r="BM174" s="89" t="n">
        <v>683.9</v>
      </c>
      <c r="BN174" s="89" t="n">
        <v>146</v>
      </c>
      <c r="BO174" s="89" t="n">
        <v>1973</v>
      </c>
      <c r="BP174" s="89" t="n">
        <v>1945</v>
      </c>
      <c r="BQ174" s="89" t="n">
        <v>0</v>
      </c>
      <c r="BR174" s="89" t="n">
        <v>0</v>
      </c>
      <c r="BS174" s="90" t="inlineStr">
        <is>
          <t>N/A</t>
        </is>
      </c>
      <c r="BT174" s="90" t="inlineStr">
        <is>
          <t>N/A</t>
        </is>
      </c>
      <c r="BU174" s="89" t="n">
        <v>0</v>
      </c>
      <c r="BV174" s="89" t="n">
        <v>0</v>
      </c>
      <c r="BW174" s="89" t="n">
        <v>0</v>
      </c>
      <c r="BX174" s="89" t="n">
        <v>0</v>
      </c>
      <c r="BY174" s="89" t="n">
        <v>0</v>
      </c>
    </row>
    <row r="175" ht="17" customHeight="1">
      <c r="A175" s="82" t="n">
        <v>173</v>
      </c>
      <c r="B175" s="83" t="inlineStr">
        <is>
          <t>NVT</t>
        </is>
      </c>
      <c r="C175" s="84" t="inlineStr">
        <is>
          <t>nVent Electric plc</t>
        </is>
      </c>
      <c r="D175" s="82" t="inlineStr">
        <is>
          <t>Industrials</t>
        </is>
      </c>
      <c r="E175" s="82" t="n">
        <v>2026</v>
      </c>
      <c r="F175" s="85" t="n">
        <v>6851.9</v>
      </c>
      <c r="G175" s="85" t="n">
        <v>1639.6</v>
      </c>
      <c r="H175" s="85" t="n">
        <v>1003.5</v>
      </c>
      <c r="I175" s="85" t="n">
        <v>3121.7</v>
      </c>
      <c r="J175" s="85" t="n">
        <v>1687.5</v>
      </c>
      <c r="K175" s="85" t="n">
        <v>616.8</v>
      </c>
      <c r="L175" s="85" t="n">
        <v>3893.1</v>
      </c>
      <c r="M175" s="85" t="n">
        <v>710.2</v>
      </c>
      <c r="N175" s="85" t="n">
        <v>465.2</v>
      </c>
      <c r="O175" s="85" t="n">
        <v>1469.1</v>
      </c>
      <c r="P175" s="85" t="n">
        <v>1559.8</v>
      </c>
      <c r="Q175" s="85" t="n">
        <v>3730.2</v>
      </c>
      <c r="R175" s="85" t="n">
        <v>773.8</v>
      </c>
      <c r="S175" s="85" t="n">
        <v>60.7</v>
      </c>
      <c r="T175" s="91" t="inlineStr">
        <is>
          <t>N/A</t>
        </is>
      </c>
      <c r="U175" s="85" t="n">
        <v>434.5</v>
      </c>
      <c r="V175" s="85" t="n">
        <v>79.40000000000001</v>
      </c>
      <c r="W175" s="85" t="n">
        <v>6734.9</v>
      </c>
      <c r="X175" s="85" t="n">
        <v>1389.3</v>
      </c>
      <c r="Y175" s="85" t="n">
        <v>801.6</v>
      </c>
      <c r="Z175" s="85" t="n">
        <v>3497.3</v>
      </c>
      <c r="AA175" s="85" t="n">
        <v>527.1</v>
      </c>
      <c r="AB175" s="85" t="n">
        <v>3006.1</v>
      </c>
      <c r="AC175" s="85" t="n">
        <v>331.8</v>
      </c>
      <c r="AD175" s="85" t="n">
        <v>643.1</v>
      </c>
      <c r="AE175" s="85" t="n">
        <v>1209.1</v>
      </c>
      <c r="AF175" s="85" t="n">
        <v>2155</v>
      </c>
      <c r="AG175" s="91" t="inlineStr">
        <is>
          <t>N/A</t>
        </is>
      </c>
      <c r="AH175" s="85" t="n">
        <v>3006.1</v>
      </c>
      <c r="AI175" s="85" t="n">
        <v>6734.9</v>
      </c>
      <c r="AJ175" s="85" t="n">
        <v>550</v>
      </c>
      <c r="AK175" s="85" t="n">
        <v>429.2</v>
      </c>
      <c r="AL175" s="85" t="n">
        <v>121.5</v>
      </c>
      <c r="AM175" s="85" t="n">
        <v>188.4</v>
      </c>
      <c r="AN175" s="85" t="n">
        <v>93.3</v>
      </c>
      <c r="AO175" s="85" t="n">
        <v>74</v>
      </c>
      <c r="AP175" s="85" t="n">
        <v>471.9</v>
      </c>
      <c r="AQ175" s="85" t="n">
        <v>360.3</v>
      </c>
      <c r="AR175" s="85" t="n">
        <v>2678</v>
      </c>
      <c r="AS175" s="85" t="n">
        <v>1508.9</v>
      </c>
      <c r="AT175" s="85" t="n">
        <v>13.8</v>
      </c>
      <c r="AU175" s="85" t="n">
        <v>78.5</v>
      </c>
      <c r="AV175" s="85" t="n">
        <v>185.1</v>
      </c>
      <c r="AW175" s="85" t="n">
        <v>297.5</v>
      </c>
      <c r="AX175" s="85" t="n">
        <v>1573.6</v>
      </c>
      <c r="AY175" s="85" t="n">
        <v>2192.5</v>
      </c>
      <c r="AZ175" s="85" t="n">
        <v>1388.5</v>
      </c>
      <c r="BA175" s="85" t="n">
        <v>371.9</v>
      </c>
      <c r="BB175" s="85" t="n">
        <v>161.7</v>
      </c>
      <c r="BC175" s="85" t="n">
        <v>165</v>
      </c>
      <c r="BD175" s="91" t="inlineStr">
        <is>
          <t>N/A</t>
        </is>
      </c>
      <c r="BE175" s="85" t="n">
        <v>347.9</v>
      </c>
      <c r="BF175" s="85" t="n">
        <v>615.9</v>
      </c>
      <c r="BG175" s="85" t="n">
        <v>51.3</v>
      </c>
      <c r="BH175" s="85" t="n">
        <v>520.8</v>
      </c>
      <c r="BI175" s="85" t="n">
        <v>-758.4</v>
      </c>
      <c r="BJ175" s="85" t="n">
        <v>358.9</v>
      </c>
      <c r="BK175" s="85" t="n">
        <v>280.1</v>
      </c>
      <c r="BL175" s="85" t="n">
        <v>176.8</v>
      </c>
      <c r="BM175" s="85" t="n">
        <v>22.5</v>
      </c>
      <c r="BN175" s="91" t="inlineStr">
        <is>
          <t>N/A</t>
        </is>
      </c>
      <c r="BO175" s="85" t="n">
        <v>2424</v>
      </c>
      <c r="BP175" s="85" t="n">
        <v>1797</v>
      </c>
      <c r="BQ175" s="91" t="inlineStr">
        <is>
          <t>N/A</t>
        </is>
      </c>
      <c r="BR175" s="91" t="inlineStr">
        <is>
          <t>N/A</t>
        </is>
      </c>
      <c r="BS175" s="85" t="n">
        <v>0</v>
      </c>
      <c r="BT175" s="85" t="n">
        <v>0</v>
      </c>
      <c r="BU175" s="85" t="n">
        <v>0</v>
      </c>
      <c r="BV175" s="85" t="n">
        <v>0</v>
      </c>
      <c r="BW175" s="85" t="n">
        <v>0</v>
      </c>
      <c r="BX175" s="85" t="n">
        <v>0</v>
      </c>
      <c r="BY175" s="85" t="n">
        <v>0</v>
      </c>
    </row>
    <row r="176" ht="17" customHeight="1">
      <c r="A176" s="86" t="n">
        <v>174</v>
      </c>
      <c r="B176" s="87" t="inlineStr">
        <is>
          <t>VRTX</t>
        </is>
      </c>
      <c r="C176" s="88" t="inlineStr">
        <is>
          <t>VERTEX PHARMACEUTICALS INC / MA</t>
        </is>
      </c>
      <c r="D176" s="86" t="inlineStr">
        <is>
          <t>Health Care</t>
        </is>
      </c>
      <c r="E176" s="86" t="n">
        <v>2026</v>
      </c>
      <c r="F176" s="89" t="n">
        <v>25643</v>
      </c>
      <c r="G176" s="89" t="n">
        <v>11201</v>
      </c>
      <c r="H176" s="89" t="n">
        <v>3861.2</v>
      </c>
      <c r="I176" s="89" t="n">
        <v>6977.2</v>
      </c>
      <c r="J176" s="89" t="n">
        <v>13560</v>
      </c>
      <c r="K176" s="89" t="n">
        <v>4173.3</v>
      </c>
      <c r="L176" s="89" t="n">
        <v>2488.7</v>
      </c>
      <c r="M176" s="89" t="n">
        <v>3953.2</v>
      </c>
      <c r="N176" s="89" t="n">
        <v>3631.4</v>
      </c>
      <c r="O176" s="89" t="n">
        <v>837.4</v>
      </c>
      <c r="P176" s="90" t="inlineStr">
        <is>
          <t>N/A</t>
        </is>
      </c>
      <c r="Q176" s="89" t="n">
        <v>18665.8</v>
      </c>
      <c r="R176" s="89" t="n">
        <v>1753.1</v>
      </c>
      <c r="S176" s="89" t="n">
        <v>209.8</v>
      </c>
      <c r="T176" s="89" t="n">
        <v>2052.8</v>
      </c>
      <c r="U176" s="89" t="n">
        <v>758.1</v>
      </c>
      <c r="V176" s="89" t="n">
        <v>58.2</v>
      </c>
      <c r="W176" s="89" t="n">
        <v>22533.2</v>
      </c>
      <c r="X176" s="89" t="n">
        <v>9596.4</v>
      </c>
      <c r="Y176" s="89" t="n">
        <v>3564.6</v>
      </c>
      <c r="Z176" s="89" t="n">
        <v>6123.6</v>
      </c>
      <c r="AA176" s="89" t="n">
        <v>-232.9</v>
      </c>
      <c r="AB176" s="89" t="n">
        <v>651.6</v>
      </c>
      <c r="AC176" s="89" t="n">
        <v>-535.6</v>
      </c>
      <c r="AD176" s="89" t="n">
        <v>-492.6</v>
      </c>
      <c r="AE176" s="89" t="n">
        <v>-878.9</v>
      </c>
      <c r="AF176" s="90" t="inlineStr">
        <is>
          <t>N/A</t>
        </is>
      </c>
      <c r="AG176" s="89" t="n">
        <v>16409.6</v>
      </c>
      <c r="AH176" s="89" t="n">
        <v>578.2</v>
      </c>
      <c r="AI176" s="89" t="n">
        <v>22533.2</v>
      </c>
      <c r="AJ176" s="89" t="n">
        <v>4643.2</v>
      </c>
      <c r="AK176" s="89" t="n">
        <v>248.5</v>
      </c>
      <c r="AL176" s="89" t="n">
        <v>690</v>
      </c>
      <c r="AM176" s="89" t="n">
        <v>784.1</v>
      </c>
      <c r="AN176" s="89" t="n">
        <v>437.6</v>
      </c>
      <c r="AO176" s="89" t="n">
        <v>297.7</v>
      </c>
      <c r="AP176" s="89" t="n">
        <v>1686.8</v>
      </c>
      <c r="AQ176" s="89" t="n">
        <v>1205.4</v>
      </c>
      <c r="AR176" s="89" t="n">
        <v>1088</v>
      </c>
      <c r="AS176" s="89" t="n">
        <v>236.3</v>
      </c>
      <c r="AT176" s="90" t="inlineStr">
        <is>
          <t>N/A</t>
        </is>
      </c>
      <c r="AU176" s="89" t="n">
        <v>3051.1</v>
      </c>
      <c r="AV176" s="89" t="n">
        <v>5084.8</v>
      </c>
      <c r="AW176" s="89" t="n">
        <v>4569.6</v>
      </c>
      <c r="AX176" s="90" t="inlineStr">
        <is>
          <t>N/A</t>
        </is>
      </c>
      <c r="AY176" s="90" t="inlineStr">
        <is>
          <t>N/A</t>
        </is>
      </c>
      <c r="AZ176" s="90" t="inlineStr">
        <is>
          <t>N/A</t>
        </is>
      </c>
      <c r="BA176" s="89" t="n">
        <v>3193.8</v>
      </c>
      <c r="BB176" s="89" t="n">
        <v>254</v>
      </c>
      <c r="BC176" s="89" t="n">
        <v>256.9</v>
      </c>
      <c r="BD176" s="89" t="n">
        <v>1609.4</v>
      </c>
      <c r="BE176" s="89" t="n">
        <v>812</v>
      </c>
      <c r="BF176" s="89" t="n">
        <v>1464.3</v>
      </c>
      <c r="BG176" s="89" t="n">
        <v>207.2</v>
      </c>
      <c r="BH176" s="89" t="n">
        <v>-945.4</v>
      </c>
      <c r="BI176" s="89" t="n">
        <v>-3770</v>
      </c>
      <c r="BJ176" s="89" t="n">
        <v>461.7</v>
      </c>
      <c r="BK176" s="89" t="n">
        <v>413</v>
      </c>
      <c r="BL176" s="89" t="n">
        <v>5.2</v>
      </c>
      <c r="BM176" s="89" t="n">
        <v>6</v>
      </c>
      <c r="BN176" s="89" t="n">
        <v>6.9</v>
      </c>
      <c r="BO176" s="89" t="n">
        <v>1651.3</v>
      </c>
      <c r="BP176" s="89" t="n">
        <v>1530.5</v>
      </c>
      <c r="BQ176" s="89" t="n">
        <v>0</v>
      </c>
      <c r="BR176" s="89" t="n">
        <v>0</v>
      </c>
      <c r="BS176" s="89" t="n">
        <v>0</v>
      </c>
      <c r="BT176" s="89" t="n">
        <v>0</v>
      </c>
      <c r="BU176" s="89" t="n">
        <v>0</v>
      </c>
      <c r="BV176" s="89" t="n">
        <v>0</v>
      </c>
      <c r="BW176" s="89" t="n">
        <v>0</v>
      </c>
      <c r="BX176" s="89" t="n">
        <v>0</v>
      </c>
      <c r="BY176" s="89" t="n">
        <v>0</v>
      </c>
    </row>
    <row r="177" ht="17" customHeight="1">
      <c r="A177" s="82" t="n">
        <v>175</v>
      </c>
      <c r="B177" s="83" t="inlineStr">
        <is>
          <t>ECL</t>
        </is>
      </c>
      <c r="C177" s="84" t="inlineStr">
        <is>
          <t>ECOLAB INC.</t>
        </is>
      </c>
      <c r="D177" s="82" t="inlineStr">
        <is>
          <t>Materials</t>
        </is>
      </c>
      <c r="E177" s="82" t="n">
        <v>2026</v>
      </c>
      <c r="F177" s="85" t="n">
        <v>24696.3</v>
      </c>
      <c r="G177" s="85" t="n">
        <v>5955.6</v>
      </c>
      <c r="H177" s="85" t="n">
        <v>5534.7</v>
      </c>
      <c r="I177" s="85" t="n">
        <v>14891.8</v>
      </c>
      <c r="J177" s="85" t="n">
        <v>12834</v>
      </c>
      <c r="K177" s="85" t="n">
        <v>2737.6</v>
      </c>
      <c r="L177" s="85" t="n">
        <v>16081.2</v>
      </c>
      <c r="M177" s="85" t="n">
        <v>2075.6</v>
      </c>
      <c r="N177" s="85" t="n">
        <v>2952.6</v>
      </c>
      <c r="O177" s="85" t="n">
        <v>7150.4</v>
      </c>
      <c r="P177" s="85" t="n">
        <v>7600</v>
      </c>
      <c r="Q177" s="85" t="n">
        <v>9770.799999999999</v>
      </c>
      <c r="R177" s="85" t="n">
        <v>4257.9</v>
      </c>
      <c r="S177" s="85" t="n">
        <v>714.5</v>
      </c>
      <c r="T177" s="85" t="n">
        <v>3249.4</v>
      </c>
      <c r="U177" s="85" t="n">
        <v>4276.6</v>
      </c>
      <c r="V177" s="85" t="n">
        <v>306.2</v>
      </c>
      <c r="W177" s="85" t="n">
        <v>22387.8</v>
      </c>
      <c r="X177" s="85" t="n">
        <v>6025.7</v>
      </c>
      <c r="Y177" s="85" t="n">
        <v>4792.8</v>
      </c>
      <c r="Z177" s="85" t="n">
        <v>13598.6</v>
      </c>
      <c r="AA177" s="85" t="n">
        <v>2802.4</v>
      </c>
      <c r="AB177" s="85" t="n">
        <v>15741.4</v>
      </c>
      <c r="AC177" s="85" t="n">
        <v>2112.4</v>
      </c>
      <c r="AD177" s="85" t="n">
        <v>2813.9</v>
      </c>
      <c r="AE177" s="85" t="n">
        <v>6841.7</v>
      </c>
      <c r="AF177" s="85" t="n">
        <v>845.6</v>
      </c>
      <c r="AG177" s="85" t="n">
        <v>8757.299999999999</v>
      </c>
      <c r="AH177" s="85" t="n">
        <v>15741.4</v>
      </c>
      <c r="AI177" s="85" t="n">
        <v>22387.8</v>
      </c>
      <c r="AJ177" s="85" t="n">
        <v>2547.9</v>
      </c>
      <c r="AK177" s="85" t="n">
        <v>2571.2</v>
      </c>
      <c r="AL177" s="85" t="n">
        <v>454.6</v>
      </c>
      <c r="AM177" s="85" t="n">
        <v>439.3</v>
      </c>
      <c r="AN177" s="85" t="n">
        <v>1048.3</v>
      </c>
      <c r="AO177" s="85" t="n">
        <v>994.5</v>
      </c>
      <c r="AP177" s="85" t="n">
        <v>1490.4</v>
      </c>
      <c r="AQ177" s="85" t="n">
        <v>1464.9</v>
      </c>
      <c r="AR177" s="85" t="n">
        <v>9227</v>
      </c>
      <c r="AS177" s="85" t="n">
        <v>2458.5</v>
      </c>
      <c r="AT177" s="85" t="n">
        <v>32.4</v>
      </c>
      <c r="AU177" s="85" t="n">
        <v>202</v>
      </c>
      <c r="AV177" s="85" t="n">
        <v>646.2</v>
      </c>
      <c r="AW177" s="85" t="n">
        <v>1256.8</v>
      </c>
      <c r="AX177" s="85" t="n">
        <v>7632.4</v>
      </c>
      <c r="AY177" s="85" t="n">
        <v>861.8</v>
      </c>
      <c r="AZ177" s="85" t="n">
        <v>6986.2</v>
      </c>
      <c r="BA177" s="85" t="n">
        <v>1904.3</v>
      </c>
      <c r="BB177" s="85" t="n">
        <v>282</v>
      </c>
      <c r="BC177" s="85" t="n">
        <v>283.4</v>
      </c>
      <c r="BD177" s="85" t="n">
        <v>2865</v>
      </c>
      <c r="BE177" s="85" t="n">
        <v>3752.4</v>
      </c>
      <c r="BF177" s="85" t="n">
        <v>4228.2</v>
      </c>
      <c r="BG177" s="85" t="n">
        <v>395.7</v>
      </c>
      <c r="BH177" s="85" t="n">
        <v>-2707.2</v>
      </c>
      <c r="BI177" s="85" t="n">
        <v>-433.8</v>
      </c>
      <c r="BJ177" s="85" t="n">
        <v>2071</v>
      </c>
      <c r="BK177" s="85" t="n">
        <v>1810</v>
      </c>
      <c r="BL177" s="85" t="n">
        <v>173</v>
      </c>
      <c r="BM177" s="85" t="n">
        <v>102</v>
      </c>
      <c r="BN177" s="85" t="n">
        <v>134.3</v>
      </c>
      <c r="BO177" s="85" t="n">
        <v>8930.799999999999</v>
      </c>
      <c r="BP177" s="85" t="n">
        <v>8899.700000000001</v>
      </c>
      <c r="BQ177" s="85" t="n">
        <v>0</v>
      </c>
      <c r="BR177" s="85" t="n">
        <v>0</v>
      </c>
      <c r="BS177" s="85" t="n">
        <v>0</v>
      </c>
      <c r="BT177" s="85" t="n">
        <v>0</v>
      </c>
      <c r="BU177" s="85" t="n">
        <v>0</v>
      </c>
      <c r="BV177" s="85" t="n">
        <v>0</v>
      </c>
      <c r="BW177" s="85" t="n">
        <v>0</v>
      </c>
      <c r="BX177" s="85" t="n">
        <v>0</v>
      </c>
      <c r="BY177" s="85" t="n">
        <v>0</v>
      </c>
    </row>
    <row r="178" ht="17" customHeight="1">
      <c r="A178" s="86" t="n">
        <v>176</v>
      </c>
      <c r="B178" s="87" t="inlineStr">
        <is>
          <t>EMN</t>
        </is>
      </c>
      <c r="C178" s="88" t="inlineStr">
        <is>
          <t>EASTMAN CHEMICAL CO</t>
        </is>
      </c>
      <c r="D178" s="86" t="inlineStr">
        <is>
          <t>Materials</t>
        </is>
      </c>
      <c r="E178" s="86" t="n">
        <v>2026</v>
      </c>
      <c r="F178" s="89" t="n">
        <v>14859</v>
      </c>
      <c r="G178" s="89" t="n">
        <v>3645</v>
      </c>
      <c r="H178" s="89" t="n">
        <v>2652</v>
      </c>
      <c r="I178" s="89" t="n">
        <v>8822</v>
      </c>
      <c r="J178" s="89" t="n">
        <v>10105</v>
      </c>
      <c r="K178" s="89" t="n">
        <v>1532</v>
      </c>
      <c r="L178" s="89" t="n">
        <v>8752</v>
      </c>
      <c r="M178" s="89" t="n">
        <v>474</v>
      </c>
      <c r="N178" s="89" t="n">
        <v>970</v>
      </c>
      <c r="O178" s="89" t="n">
        <v>1844</v>
      </c>
      <c r="P178" s="89" t="n">
        <v>4254</v>
      </c>
      <c r="Q178" s="89" t="n">
        <v>5961</v>
      </c>
      <c r="R178" s="89" t="n">
        <v>658</v>
      </c>
      <c r="S178" s="89" t="n">
        <v>513</v>
      </c>
      <c r="T178" s="89" t="n">
        <v>737</v>
      </c>
      <c r="U178" s="89" t="n">
        <v>5731</v>
      </c>
      <c r="V178" s="90" t="inlineStr">
        <is>
          <t>N/A</t>
        </is>
      </c>
      <c r="W178" s="89" t="n">
        <v>15213</v>
      </c>
      <c r="X178" s="89" t="n">
        <v>4101</v>
      </c>
      <c r="Y178" s="89" t="n">
        <v>2708</v>
      </c>
      <c r="Z178" s="89" t="n">
        <v>9361</v>
      </c>
      <c r="AA178" s="89" t="n">
        <v>1383</v>
      </c>
      <c r="AB178" s="89" t="n">
        <v>9382</v>
      </c>
      <c r="AC178" s="89" t="n">
        <v>905</v>
      </c>
      <c r="AD178" s="89" t="n">
        <v>1287</v>
      </c>
      <c r="AE178" s="89" t="n">
        <v>2290</v>
      </c>
      <c r="AF178" s="89" t="n">
        <v>4783</v>
      </c>
      <c r="AG178" s="89" t="n">
        <v>5779</v>
      </c>
      <c r="AH178" s="89" t="n">
        <v>9382</v>
      </c>
      <c r="AI178" s="89" t="n">
        <v>15213</v>
      </c>
      <c r="AJ178" s="89" t="n">
        <v>568</v>
      </c>
      <c r="AK178" s="89" t="n">
        <v>1078</v>
      </c>
      <c r="AL178" s="89" t="n">
        <v>93</v>
      </c>
      <c r="AM178" s="89" t="n">
        <v>170</v>
      </c>
      <c r="AN178" s="89" t="n">
        <v>546</v>
      </c>
      <c r="AO178" s="89" t="n">
        <v>599</v>
      </c>
      <c r="AP178" s="89" t="n">
        <v>1980</v>
      </c>
      <c r="AQ178" s="89" t="n">
        <v>1988</v>
      </c>
      <c r="AR178" s="89" t="n">
        <v>3665</v>
      </c>
      <c r="AS178" s="89" t="n">
        <v>970</v>
      </c>
      <c r="AT178" s="89" t="n">
        <v>586</v>
      </c>
      <c r="AU178" s="89" t="n">
        <v>255</v>
      </c>
      <c r="AV178" s="89" t="n">
        <v>566</v>
      </c>
      <c r="AW178" s="89" t="n">
        <v>837</v>
      </c>
      <c r="AX178" s="89" t="n">
        <v>4840</v>
      </c>
      <c r="AY178" s="89" t="n">
        <v>5233</v>
      </c>
      <c r="AZ178" s="89" t="n">
        <v>4274</v>
      </c>
      <c r="BA178" s="89" t="n">
        <v>424</v>
      </c>
      <c r="BB178" s="89" t="n">
        <v>223.9</v>
      </c>
      <c r="BC178" s="89" t="n">
        <v>223.6</v>
      </c>
      <c r="BD178" s="89" t="n">
        <v>791</v>
      </c>
      <c r="BE178" s="89" t="n">
        <v>5615</v>
      </c>
      <c r="BF178" s="89" t="n">
        <v>736</v>
      </c>
      <c r="BG178" s="89" t="n">
        <v>509</v>
      </c>
      <c r="BH178" s="89" t="n">
        <v>-462</v>
      </c>
      <c r="BI178" s="89" t="n">
        <v>-534</v>
      </c>
      <c r="BJ178" s="89" t="n">
        <v>2066</v>
      </c>
      <c r="BK178" s="89" t="n">
        <v>2258</v>
      </c>
      <c r="BL178" s="89" t="n">
        <v>4</v>
      </c>
      <c r="BM178" s="89" t="n">
        <v>15</v>
      </c>
      <c r="BN178" s="89" t="n">
        <v>190</v>
      </c>
      <c r="BO178" s="89" t="n">
        <v>6908</v>
      </c>
      <c r="BP178" s="89" t="n">
        <v>7092</v>
      </c>
      <c r="BQ178" s="89" t="n">
        <v>0</v>
      </c>
      <c r="BR178" s="89" t="n">
        <v>0</v>
      </c>
      <c r="BS178" s="89" t="n">
        <v>0</v>
      </c>
      <c r="BT178" s="89" t="n">
        <v>0</v>
      </c>
      <c r="BU178" s="89" t="n">
        <v>0</v>
      </c>
      <c r="BV178" s="89" t="n">
        <v>0</v>
      </c>
      <c r="BW178" s="89" t="n">
        <v>0</v>
      </c>
      <c r="BX178" s="89" t="n">
        <v>0</v>
      </c>
      <c r="BY178" s="89" t="n">
        <v>0</v>
      </c>
    </row>
    <row r="179" ht="17" customHeight="1">
      <c r="A179" s="82" t="n">
        <v>177</v>
      </c>
      <c r="B179" s="83" t="inlineStr">
        <is>
          <t>PCVX</t>
        </is>
      </c>
      <c r="C179" s="84" t="inlineStr">
        <is>
          <t>VAXCYTE, INC.</t>
        </is>
      </c>
      <c r="D179" s="82" t="inlineStr">
        <is>
          <t>Health Care</t>
        </is>
      </c>
      <c r="E179" s="82" t="n">
        <v>2026</v>
      </c>
      <c r="F179" s="85" t="n">
        <v>3002.7</v>
      </c>
      <c r="G179" s="85" t="n">
        <v>1627.4</v>
      </c>
      <c r="H179" s="85" t="n">
        <v>205.8</v>
      </c>
      <c r="I179" s="85" t="n">
        <v>317.2</v>
      </c>
      <c r="J179" s="85" t="n">
        <v>-2154.9</v>
      </c>
      <c r="K179" s="85" t="n">
        <v>-923.7</v>
      </c>
      <c r="L179" s="91" t="inlineStr">
        <is>
          <t>N/A</t>
        </is>
      </c>
      <c r="M179" s="85" t="n">
        <v>-766.6</v>
      </c>
      <c r="N179" s="85" t="n">
        <v>-655.6</v>
      </c>
      <c r="O179" s="91" t="inlineStr">
        <is>
          <t>N/A</t>
        </is>
      </c>
      <c r="P179" s="91" t="inlineStr">
        <is>
          <t>N/A</t>
        </is>
      </c>
      <c r="Q179" s="85" t="n">
        <v>2685.5</v>
      </c>
      <c r="R179" s="85" t="n">
        <v>129.4</v>
      </c>
      <c r="S179" s="85" t="n">
        <v>16.4</v>
      </c>
      <c r="T179" s="91" t="inlineStr">
        <is>
          <t>N/A</t>
        </is>
      </c>
      <c r="U179" s="85" t="n">
        <v>257.4</v>
      </c>
      <c r="V179" s="91" t="inlineStr">
        <is>
          <t>N/A</t>
        </is>
      </c>
      <c r="W179" s="85" t="n">
        <v>3511.3</v>
      </c>
      <c r="X179" s="85" t="n">
        <v>1788</v>
      </c>
      <c r="Y179" s="85" t="n">
        <v>140.2</v>
      </c>
      <c r="Z179" s="85" t="n">
        <v>205.5</v>
      </c>
      <c r="AA179" s="85" t="n">
        <v>-569.5</v>
      </c>
      <c r="AB179" s="91" t="inlineStr">
        <is>
          <t>N/A</t>
        </is>
      </c>
      <c r="AC179" s="85" t="n">
        <v>-463.9</v>
      </c>
      <c r="AD179" s="85" t="n">
        <v>-452.6</v>
      </c>
      <c r="AE179" s="91" t="inlineStr">
        <is>
          <t>N/A</t>
        </is>
      </c>
      <c r="AF179" s="91" t="inlineStr">
        <is>
          <t>N/A</t>
        </is>
      </c>
      <c r="AG179" s="85" t="n">
        <v>3305.8</v>
      </c>
      <c r="AH179" s="91" t="inlineStr">
        <is>
          <t>N/A</t>
        </is>
      </c>
      <c r="AI179" s="85" t="n">
        <v>3511.3</v>
      </c>
      <c r="AJ179" s="91" t="inlineStr">
        <is>
          <t>N/A</t>
        </is>
      </c>
      <c r="AK179" s="91" t="inlineStr">
        <is>
          <t>N/A</t>
        </is>
      </c>
      <c r="AL179" s="91" t="inlineStr">
        <is>
          <t>N/A</t>
        </is>
      </c>
      <c r="AM179" s="91" t="inlineStr">
        <is>
          <t>N/A</t>
        </is>
      </c>
      <c r="AN179" s="85" t="n">
        <v>13.7</v>
      </c>
      <c r="AO179" s="85" t="n">
        <v>22.4</v>
      </c>
      <c r="AP179" s="91" t="inlineStr">
        <is>
          <t>N/A</t>
        </is>
      </c>
      <c r="AQ179" s="91" t="inlineStr">
        <is>
          <t>N/A</t>
        </is>
      </c>
      <c r="AR179" s="91" t="inlineStr">
        <is>
          <t>N/A</t>
        </is>
      </c>
      <c r="AS179" s="91" t="inlineStr">
        <is>
          <t>N/A</t>
        </is>
      </c>
      <c r="AT179" s="91" t="inlineStr">
        <is>
          <t>N/A</t>
        </is>
      </c>
      <c r="AU179" s="85" t="n">
        <v>794.3</v>
      </c>
      <c r="AV179" s="85" t="n">
        <v>174</v>
      </c>
      <c r="AW179" s="85" t="n">
        <v>387.9</v>
      </c>
      <c r="AX179" s="91" t="inlineStr">
        <is>
          <t>N/A</t>
        </is>
      </c>
      <c r="AY179" s="91" t="inlineStr">
        <is>
          <t>N/A</t>
        </is>
      </c>
      <c r="AZ179" s="91" t="inlineStr">
        <is>
          <t>N/A</t>
        </is>
      </c>
      <c r="BA179" s="85" t="n">
        <v>-669.3</v>
      </c>
      <c r="BB179" s="85" t="n">
        <v>131.1</v>
      </c>
      <c r="BC179" s="85" t="n">
        <v>124.9</v>
      </c>
      <c r="BD179" s="91" t="inlineStr">
        <is>
          <t>N/A</t>
        </is>
      </c>
      <c r="BE179" s="85" t="n">
        <v>198</v>
      </c>
      <c r="BF179" s="85" t="n">
        <v>92.90000000000001</v>
      </c>
      <c r="BG179" s="85" t="n">
        <v>7</v>
      </c>
      <c r="BH179" s="85" t="n">
        <v>437.4</v>
      </c>
      <c r="BI179" s="85" t="n">
        <v>-2005.7</v>
      </c>
      <c r="BJ179" s="85" t="n">
        <v>70.90000000000001</v>
      </c>
      <c r="BK179" s="85" t="n">
        <v>48.5</v>
      </c>
      <c r="BL179" s="91" t="inlineStr">
        <is>
          <t>N/A</t>
        </is>
      </c>
      <c r="BM179" s="91" t="inlineStr">
        <is>
          <t>N/A</t>
        </is>
      </c>
      <c r="BN179" s="91" t="inlineStr">
        <is>
          <t>N/A</t>
        </is>
      </c>
      <c r="BO179" s="85" t="n">
        <v>923.7</v>
      </c>
      <c r="BP179" s="85" t="n">
        <v>569.5</v>
      </c>
      <c r="BQ179" s="91" t="inlineStr">
        <is>
          <t>N/A</t>
        </is>
      </c>
      <c r="BR179" s="91" t="inlineStr">
        <is>
          <t>N/A</t>
        </is>
      </c>
      <c r="BS179" s="91" t="inlineStr">
        <is>
          <t>N/A</t>
        </is>
      </c>
      <c r="BT179" s="91" t="inlineStr">
        <is>
          <t>N/A</t>
        </is>
      </c>
      <c r="BU179" s="85" t="n">
        <v>0</v>
      </c>
      <c r="BV179" s="85" t="n">
        <v>0</v>
      </c>
      <c r="BW179" s="85" t="n">
        <v>0</v>
      </c>
      <c r="BX179" s="91" t="inlineStr">
        <is>
          <t>N/A</t>
        </is>
      </c>
      <c r="BY179" s="91" t="inlineStr">
        <is>
          <t>N/A</t>
        </is>
      </c>
    </row>
    <row r="180" ht="17" customHeight="1">
      <c r="A180" s="86" t="n">
        <v>178</v>
      </c>
      <c r="B180" s="87" t="inlineStr">
        <is>
          <t>BLK</t>
        </is>
      </c>
      <c r="C180" s="88" t="inlineStr">
        <is>
          <t>BlackRock, Inc.</t>
        </is>
      </c>
      <c r="D180" s="86" t="inlineStr">
        <is>
          <t>Financials</t>
        </is>
      </c>
      <c r="E180" s="86" t="n">
        <v>2026</v>
      </c>
      <c r="F180" s="89" t="n">
        <v>169998</v>
      </c>
      <c r="G180" s="90" t="inlineStr">
        <is>
          <t>N/A</t>
        </is>
      </c>
      <c r="H180" s="90" t="inlineStr">
        <is>
          <t>N/A</t>
        </is>
      </c>
      <c r="I180" s="89" t="n">
        <v>108456</v>
      </c>
      <c r="J180" s="90" t="inlineStr">
        <is>
          <t>N/A</t>
        </is>
      </c>
      <c r="K180" s="89" t="n">
        <v>7045</v>
      </c>
      <c r="L180" s="89" t="n">
        <v>12794</v>
      </c>
      <c r="M180" s="89" t="n">
        <v>5553</v>
      </c>
      <c r="N180" s="89" t="n">
        <v>3927</v>
      </c>
      <c r="O180" s="89" t="n">
        <v>-4377</v>
      </c>
      <c r="P180" s="89" t="n">
        <v>12768</v>
      </c>
      <c r="Q180" s="89" t="n">
        <v>55888</v>
      </c>
      <c r="R180" s="89" t="n">
        <v>2731</v>
      </c>
      <c r="S180" s="89" t="n">
        <v>297</v>
      </c>
      <c r="T180" s="89" t="n">
        <v>5158</v>
      </c>
      <c r="U180" s="89" t="n">
        <v>1256</v>
      </c>
      <c r="V180" s="90" t="inlineStr">
        <is>
          <t>N/A</t>
        </is>
      </c>
      <c r="W180" s="89" t="n">
        <v>138615</v>
      </c>
      <c r="X180" s="90" t="inlineStr">
        <is>
          <t>N/A</t>
        </is>
      </c>
      <c r="Y180" s="90" t="inlineStr">
        <is>
          <t>N/A</t>
        </is>
      </c>
      <c r="Z180" s="89" t="n">
        <v>89260</v>
      </c>
      <c r="AA180" s="89" t="n">
        <v>7574</v>
      </c>
      <c r="AB180" s="89" t="n">
        <v>11012</v>
      </c>
      <c r="AC180" s="89" t="n">
        <v>6369</v>
      </c>
      <c r="AD180" s="89" t="n">
        <v>4956</v>
      </c>
      <c r="AE180" s="89" t="n">
        <v>-1821</v>
      </c>
      <c r="AF180" s="89" t="n">
        <v>12314</v>
      </c>
      <c r="AG180" s="89" t="n">
        <v>47495</v>
      </c>
      <c r="AH180" s="89" t="n">
        <v>11061</v>
      </c>
      <c r="AI180" s="89" t="n">
        <v>138615</v>
      </c>
      <c r="AJ180" s="89" t="n">
        <v>7619</v>
      </c>
      <c r="AK180" s="89" t="n">
        <v>8295</v>
      </c>
      <c r="AL180" s="89" t="n">
        <v>1677</v>
      </c>
      <c r="AM180" s="89" t="n">
        <v>1783</v>
      </c>
      <c r="AN180" s="89" t="n">
        <v>375</v>
      </c>
      <c r="AO180" s="89" t="n">
        <v>255</v>
      </c>
      <c r="AP180" s="90" t="inlineStr">
        <is>
          <t>N/A</t>
        </is>
      </c>
      <c r="AQ180" s="90" t="inlineStr">
        <is>
          <t>N/A</t>
        </is>
      </c>
      <c r="AR180" s="89" t="n">
        <v>35283</v>
      </c>
      <c r="AS180" s="89" t="n">
        <v>7540</v>
      </c>
      <c r="AT180" s="90" t="inlineStr">
        <is>
          <t>N/A</t>
        </is>
      </c>
      <c r="AU180" s="90" t="inlineStr">
        <is>
          <t>N/A</t>
        </is>
      </c>
      <c r="AV180" s="89" t="n">
        <v>11468</v>
      </c>
      <c r="AW180" s="89" t="n">
        <v>12762</v>
      </c>
      <c r="AX180" s="89" t="n">
        <v>12768</v>
      </c>
      <c r="AY180" s="89" t="n">
        <v>12314</v>
      </c>
      <c r="AZ180" s="89" t="n">
        <v>1300</v>
      </c>
      <c r="BA180" s="89" t="n">
        <v>3552</v>
      </c>
      <c r="BB180" s="89" t="n">
        <v>155.1</v>
      </c>
      <c r="BC180" s="89" t="n">
        <v>154.9</v>
      </c>
      <c r="BD180" s="89" t="n">
        <v>4304</v>
      </c>
      <c r="BE180" s="89" t="n">
        <v>1103</v>
      </c>
      <c r="BF180" s="89" t="n">
        <v>2221</v>
      </c>
      <c r="BG180" s="89" t="n">
        <v>270</v>
      </c>
      <c r="BH180" s="89" t="n">
        <v>-4418</v>
      </c>
      <c r="BI180" s="89" t="n">
        <v>-3004</v>
      </c>
      <c r="BJ180" s="90" t="inlineStr">
        <is>
          <t>N/A</t>
        </is>
      </c>
      <c r="BK180" s="90" t="inlineStr">
        <is>
          <t>N/A</t>
        </is>
      </c>
      <c r="BL180" s="90" t="inlineStr">
        <is>
          <t>N/A</t>
        </is>
      </c>
      <c r="BM180" s="90" t="inlineStr">
        <is>
          <t>N/A</t>
        </is>
      </c>
      <c r="BN180" s="90" t="inlineStr">
        <is>
          <t>N/A</t>
        </is>
      </c>
      <c r="BO180" s="89" t="n">
        <v>17171</v>
      </c>
      <c r="BP180" s="89" t="n">
        <v>12833</v>
      </c>
      <c r="BQ180" s="89" t="n">
        <v>0</v>
      </c>
      <c r="BR180" s="89" t="n">
        <v>0</v>
      </c>
      <c r="BS180" s="90" t="inlineStr">
        <is>
          <t>N/A</t>
        </is>
      </c>
      <c r="BT180" s="90" t="inlineStr">
        <is>
          <t>N/A</t>
        </is>
      </c>
      <c r="BU180" s="90" t="inlineStr">
        <is>
          <t>N/A</t>
        </is>
      </c>
      <c r="BV180" s="90" t="inlineStr">
        <is>
          <t>N/A</t>
        </is>
      </c>
      <c r="BW180" s="89" t="n">
        <v>0</v>
      </c>
      <c r="BX180" s="89" t="n">
        <v>0</v>
      </c>
      <c r="BY180" s="89" t="n">
        <v>0</v>
      </c>
    </row>
    <row r="181" ht="17" customHeight="1">
      <c r="A181" s="82" t="n">
        <v>179</v>
      </c>
      <c r="B181" s="83" t="inlineStr">
        <is>
          <t>DTE</t>
        </is>
      </c>
      <c r="C181" s="84" t="inlineStr">
        <is>
          <t>DTE ENERGY CO</t>
        </is>
      </c>
      <c r="D181" s="82" t="inlineStr">
        <is>
          <t>Utilities</t>
        </is>
      </c>
      <c r="E181" s="82" t="n">
        <v>2026</v>
      </c>
      <c r="F181" s="85" t="n">
        <v>54066</v>
      </c>
      <c r="G181" s="85" t="n">
        <v>4348</v>
      </c>
      <c r="H181" s="85" t="n">
        <v>5409</v>
      </c>
      <c r="I181" s="85" t="n">
        <v>54066</v>
      </c>
      <c r="J181" s="85" t="n">
        <v>5484</v>
      </c>
      <c r="K181" s="85" t="n">
        <v>2374</v>
      </c>
      <c r="L181" s="85" t="n">
        <v>12607</v>
      </c>
      <c r="M181" s="85" t="n">
        <v>1462</v>
      </c>
      <c r="N181" s="85" t="n">
        <v>3409</v>
      </c>
      <c r="O181" s="85" t="n">
        <v>5842</v>
      </c>
      <c r="P181" s="85" t="n">
        <v>25306</v>
      </c>
      <c r="Q181" s="85" t="n">
        <v>12303</v>
      </c>
      <c r="R181" s="91" t="inlineStr">
        <is>
          <t>N/A</t>
        </is>
      </c>
      <c r="S181" s="85" t="n">
        <v>1841</v>
      </c>
      <c r="T181" s="85" t="n">
        <v>2031</v>
      </c>
      <c r="U181" s="85" t="n">
        <v>33653</v>
      </c>
      <c r="V181" s="85" t="n">
        <v>1056</v>
      </c>
      <c r="W181" s="85" t="n">
        <v>48846</v>
      </c>
      <c r="X181" s="85" t="n">
        <v>3607</v>
      </c>
      <c r="Y181" s="85" t="n">
        <v>5106</v>
      </c>
      <c r="Z181" s="85" t="n">
        <v>48846</v>
      </c>
      <c r="AA181" s="85" t="n">
        <v>2091</v>
      </c>
      <c r="AB181" s="85" t="n">
        <v>3271</v>
      </c>
      <c r="AC181" s="85" t="n">
        <v>1404</v>
      </c>
      <c r="AD181" s="85" t="n">
        <v>3643</v>
      </c>
      <c r="AE181" s="85" t="n">
        <v>-4795</v>
      </c>
      <c r="AF181" s="85" t="n">
        <v>22138</v>
      </c>
      <c r="AG181" s="85" t="n">
        <v>11699</v>
      </c>
      <c r="AH181" s="85" t="n">
        <v>3245</v>
      </c>
      <c r="AI181" s="85" t="n">
        <v>48846</v>
      </c>
      <c r="AJ181" s="85" t="n">
        <v>1550</v>
      </c>
      <c r="AK181" s="85" t="n">
        <v>1370</v>
      </c>
      <c r="AL181" s="85" t="n">
        <v>88</v>
      </c>
      <c r="AM181" s="85" t="n">
        <v>-34</v>
      </c>
      <c r="AN181" s="91" t="inlineStr">
        <is>
          <t>N/A</t>
        </is>
      </c>
      <c r="AO181" s="91" t="inlineStr">
        <is>
          <t>N/A</t>
        </is>
      </c>
      <c r="AP181" s="91" t="inlineStr">
        <is>
          <t>N/A</t>
        </is>
      </c>
      <c r="AQ181" s="91" t="inlineStr">
        <is>
          <t>N/A</t>
        </is>
      </c>
      <c r="AR181" s="85" t="n">
        <v>1993</v>
      </c>
      <c r="AS181" s="85" t="n">
        <v>2328</v>
      </c>
      <c r="AT181" s="85" t="n">
        <v>882</v>
      </c>
      <c r="AU181" s="91" t="inlineStr">
        <is>
          <t>N/A</t>
        </is>
      </c>
      <c r="AV181" s="85" t="n">
        <v>208</v>
      </c>
      <c r="AW181" s="85" t="n">
        <v>24</v>
      </c>
      <c r="AX181" s="85" t="n">
        <v>26188</v>
      </c>
      <c r="AY181" s="85" t="n">
        <v>23205</v>
      </c>
      <c r="AZ181" s="85" t="n">
        <v>25980</v>
      </c>
      <c r="BA181" s="91" t="inlineStr">
        <is>
          <t>N/A</t>
        </is>
      </c>
      <c r="BB181" s="85" t="n">
        <v>207.7</v>
      </c>
      <c r="BC181" s="85" t="n">
        <v>207.2</v>
      </c>
      <c r="BD181" s="85" t="n">
        <v>1690</v>
      </c>
      <c r="BE181" s="85" t="n">
        <v>30893</v>
      </c>
      <c r="BF181" s="91" t="inlineStr">
        <is>
          <t>N/A</t>
        </is>
      </c>
      <c r="BG181" s="85" t="n">
        <v>1732</v>
      </c>
      <c r="BH181" s="85" t="n">
        <v>-5304</v>
      </c>
      <c r="BI181" s="85" t="n">
        <v>-4951</v>
      </c>
      <c r="BJ181" s="85" t="n">
        <v>1753</v>
      </c>
      <c r="BK181" s="85" t="n">
        <v>1387</v>
      </c>
      <c r="BL181" s="85" t="n">
        <v>170</v>
      </c>
      <c r="BM181" s="85" t="n">
        <v>138</v>
      </c>
      <c r="BN181" s="91" t="inlineStr">
        <is>
          <t>N/A</t>
        </is>
      </c>
      <c r="BO181" s="85" t="n">
        <v>6765</v>
      </c>
      <c r="BP181" s="85" t="n">
        <v>8066</v>
      </c>
      <c r="BQ181" s="85" t="n">
        <v>0</v>
      </c>
      <c r="BR181" s="85" t="n">
        <v>0</v>
      </c>
      <c r="BS181" s="91" t="inlineStr">
        <is>
          <t>N/A</t>
        </is>
      </c>
      <c r="BT181" s="91" t="inlineStr">
        <is>
          <t>N/A</t>
        </is>
      </c>
      <c r="BU181" s="85" t="n">
        <v>0</v>
      </c>
      <c r="BV181" s="85" t="n">
        <v>0</v>
      </c>
      <c r="BW181" s="85" t="n">
        <v>0</v>
      </c>
      <c r="BX181" s="85" t="n">
        <v>0</v>
      </c>
      <c r="BY181" s="85" t="n">
        <v>0</v>
      </c>
    </row>
    <row r="182" ht="17" customHeight="1">
      <c r="A182" s="86" t="n">
        <v>180</v>
      </c>
      <c r="B182" s="87" t="inlineStr">
        <is>
          <t>GTLS</t>
        </is>
      </c>
      <c r="C182" s="88" t="inlineStr">
        <is>
          <t>CHART INDUSTRIES, INC.</t>
        </is>
      </c>
      <c r="D182" s="86" t="inlineStr">
        <is>
          <t>Energy</t>
        </is>
      </c>
      <c r="E182" s="86" t="n">
        <v>2026</v>
      </c>
      <c r="F182" s="89" t="n">
        <v>9806.4</v>
      </c>
      <c r="G182" s="89" t="n">
        <v>2899.5</v>
      </c>
      <c r="H182" s="89" t="n">
        <v>2128.6</v>
      </c>
      <c r="I182" s="89" t="n">
        <v>6430.7</v>
      </c>
      <c r="J182" s="89" t="n">
        <v>1127</v>
      </c>
      <c r="K182" s="89" t="n">
        <v>358.4</v>
      </c>
      <c r="L182" s="89" t="n">
        <v>988.8</v>
      </c>
      <c r="M182" s="89" t="n">
        <v>40.7</v>
      </c>
      <c r="N182" s="89" t="n">
        <v>292.7</v>
      </c>
      <c r="O182" s="89" t="n">
        <v>1437.8</v>
      </c>
      <c r="P182" s="89" t="n">
        <v>3656</v>
      </c>
      <c r="Q182" s="89" t="n">
        <v>3230.3</v>
      </c>
      <c r="R182" s="89" t="n">
        <v>619.1</v>
      </c>
      <c r="S182" s="89" t="n">
        <v>281.3</v>
      </c>
      <c r="T182" s="89" t="n">
        <v>782.1</v>
      </c>
      <c r="U182" s="89" t="n">
        <v>430</v>
      </c>
      <c r="V182" s="89" t="n">
        <v>25.3</v>
      </c>
      <c r="W182" s="89" t="n">
        <v>9123.9</v>
      </c>
      <c r="X182" s="89" t="n">
        <v>2465.4</v>
      </c>
      <c r="Y182" s="89" t="n">
        <v>1789.8</v>
      </c>
      <c r="Z182" s="89" t="n">
        <v>6128.7</v>
      </c>
      <c r="AA182" s="89" t="n">
        <v>647.5</v>
      </c>
      <c r="AB182" s="89" t="n">
        <v>859.2</v>
      </c>
      <c r="AC182" s="89" t="n">
        <v>218.5</v>
      </c>
      <c r="AD182" s="89" t="n">
        <v>503</v>
      </c>
      <c r="AE182" s="89" t="n">
        <v>1388.8</v>
      </c>
      <c r="AF182" s="89" t="n">
        <v>3757.5</v>
      </c>
      <c r="AG182" s="89" t="n">
        <v>2828.8</v>
      </c>
      <c r="AH182" s="89" t="n">
        <v>859.2</v>
      </c>
      <c r="AI182" s="89" t="n">
        <v>9123.9</v>
      </c>
      <c r="AJ182" s="89" t="n">
        <v>103.1</v>
      </c>
      <c r="AK182" s="89" t="n">
        <v>63</v>
      </c>
      <c r="AL182" s="89" t="n">
        <v>-10.4</v>
      </c>
      <c r="AM182" s="89" t="n">
        <v>78.59999999999999</v>
      </c>
      <c r="AN182" s="89" t="n">
        <v>89.90000000000001</v>
      </c>
      <c r="AO182" s="89" t="n">
        <v>120.8</v>
      </c>
      <c r="AP182" s="89" t="n">
        <v>572.3</v>
      </c>
      <c r="AQ182" s="89" t="n">
        <v>490.5</v>
      </c>
      <c r="AR182" s="89" t="n">
        <v>3067.6</v>
      </c>
      <c r="AS182" s="89" t="n">
        <v>2511.7</v>
      </c>
      <c r="AT182" s="90" t="inlineStr">
        <is>
          <t>N/A</t>
        </is>
      </c>
      <c r="AU182" s="89" t="n">
        <v>41.9</v>
      </c>
      <c r="AV182" s="89" t="n">
        <v>366</v>
      </c>
      <c r="AW182" s="89" t="n">
        <v>308.6</v>
      </c>
      <c r="AX182" s="89" t="n">
        <v>3656</v>
      </c>
      <c r="AY182" s="89" t="n">
        <v>3773.8</v>
      </c>
      <c r="AZ182" s="89" t="n">
        <v>3290</v>
      </c>
      <c r="BA182" s="89" t="n">
        <v>202.8</v>
      </c>
      <c r="BB182" s="89" t="n">
        <v>42.8</v>
      </c>
      <c r="BC182" s="89" t="n">
        <v>42.6</v>
      </c>
      <c r="BD182" s="89" t="n">
        <v>752.3</v>
      </c>
      <c r="BE182" s="89" t="n">
        <v>416</v>
      </c>
      <c r="BF182" s="89" t="n">
        <v>547.4</v>
      </c>
      <c r="BG182" s="89" t="n">
        <v>269.9</v>
      </c>
      <c r="BH182" s="89" t="n">
        <v>-93.59999999999999</v>
      </c>
      <c r="BI182" s="89" t="n">
        <v>-141.3</v>
      </c>
      <c r="BJ182" s="89" t="n">
        <v>1236.5</v>
      </c>
      <c r="BK182" s="89" t="n">
        <v>1058.9</v>
      </c>
      <c r="BL182" s="89" t="n">
        <v>1.4</v>
      </c>
      <c r="BM182" s="89" t="n">
        <v>1.7</v>
      </c>
      <c r="BN182" s="89" t="n">
        <v>60</v>
      </c>
      <c r="BO182" s="89" t="n">
        <v>2826.2</v>
      </c>
      <c r="BP182" s="89" t="n">
        <v>2771.5</v>
      </c>
      <c r="BQ182" s="89" t="n">
        <v>0</v>
      </c>
      <c r="BR182" s="89" t="n">
        <v>0</v>
      </c>
      <c r="BS182" s="89" t="n">
        <v>0</v>
      </c>
      <c r="BT182" s="89" t="n">
        <v>0</v>
      </c>
      <c r="BU182" s="89" t="n">
        <v>0</v>
      </c>
      <c r="BV182" s="89" t="n">
        <v>0</v>
      </c>
      <c r="BW182" s="89" t="n">
        <v>0</v>
      </c>
      <c r="BX182" s="89" t="n">
        <v>0</v>
      </c>
      <c r="BY182" s="89" t="n">
        <v>-0</v>
      </c>
    </row>
    <row r="183" ht="17" customHeight="1">
      <c r="A183" s="82" t="n">
        <v>181</v>
      </c>
      <c r="B183" s="83" t="inlineStr">
        <is>
          <t>HLT</t>
        </is>
      </c>
      <c r="C183" s="84" t="inlineStr">
        <is>
          <t>Hilton Worldwide Holdings Inc.</t>
        </is>
      </c>
      <c r="D183" s="82" t="inlineStr">
        <is>
          <t>Consumer Discretionary</t>
        </is>
      </c>
      <c r="E183" s="82" t="n">
        <v>2026</v>
      </c>
      <c r="F183" s="85" t="n">
        <v>16774</v>
      </c>
      <c r="G183" s="85" t="n">
        <v>2996</v>
      </c>
      <c r="H183" s="85" t="n">
        <v>4508</v>
      </c>
      <c r="I183" s="85" t="n">
        <v>22120</v>
      </c>
      <c r="J183" s="85" t="n">
        <v>-1508</v>
      </c>
      <c r="K183" s="85" t="n">
        <v>2693</v>
      </c>
      <c r="L183" s="85" t="n">
        <v>12039</v>
      </c>
      <c r="M183" s="85" t="n">
        <v>1457</v>
      </c>
      <c r="N183" s="85" t="n">
        <v>2129</v>
      </c>
      <c r="O183" s="91" t="inlineStr">
        <is>
          <t>N/A</t>
        </is>
      </c>
      <c r="P183" s="91" t="inlineStr">
        <is>
          <t>N/A</t>
        </is>
      </c>
      <c r="Q183" s="85" t="n">
        <v>-5388</v>
      </c>
      <c r="R183" s="85" t="n">
        <v>393</v>
      </c>
      <c r="S183" s="85" t="n">
        <v>177</v>
      </c>
      <c r="T183" s="85" t="n">
        <v>1690</v>
      </c>
      <c r="U183" s="85" t="n">
        <v>684</v>
      </c>
      <c r="V183" s="85" t="n">
        <v>569</v>
      </c>
      <c r="W183" s="85" t="n">
        <v>16522</v>
      </c>
      <c r="X183" s="85" t="n">
        <v>3272</v>
      </c>
      <c r="Y183" s="85" t="n">
        <v>4700</v>
      </c>
      <c r="Z183" s="85" t="n">
        <v>20211</v>
      </c>
      <c r="AA183" s="85" t="n">
        <v>2370</v>
      </c>
      <c r="AB183" s="85" t="n">
        <v>11174</v>
      </c>
      <c r="AC183" s="85" t="n">
        <v>1535</v>
      </c>
      <c r="AD183" s="85" t="n">
        <v>2013</v>
      </c>
      <c r="AE183" s="91" t="inlineStr">
        <is>
          <t>N/A</t>
        </is>
      </c>
      <c r="AF183" s="91" t="inlineStr">
        <is>
          <t>N/A</t>
        </is>
      </c>
      <c r="AG183" s="85" t="n">
        <v>-3727</v>
      </c>
      <c r="AH183" s="85" t="n">
        <v>11174</v>
      </c>
      <c r="AI183" s="85" t="n">
        <v>16522</v>
      </c>
      <c r="AJ183" s="85" t="n">
        <v>2072</v>
      </c>
      <c r="AK183" s="85" t="n">
        <v>1783</v>
      </c>
      <c r="AL183" s="85" t="n">
        <v>611</v>
      </c>
      <c r="AM183" s="85" t="n">
        <v>244</v>
      </c>
      <c r="AN183" s="85" t="n">
        <v>101</v>
      </c>
      <c r="AO183" s="85" t="n">
        <v>96</v>
      </c>
      <c r="AP183" s="85" t="n">
        <v>541</v>
      </c>
      <c r="AQ183" s="85" t="n">
        <v>442</v>
      </c>
      <c r="AR183" s="85" t="n">
        <v>5081</v>
      </c>
      <c r="AS183" s="85" t="n">
        <v>653</v>
      </c>
      <c r="AT183" s="85" t="n">
        <v>46</v>
      </c>
      <c r="AU183" s="91" t="inlineStr">
        <is>
          <t>N/A</t>
        </is>
      </c>
      <c r="AV183" s="85" t="n">
        <v>918</v>
      </c>
      <c r="AW183" s="85" t="n">
        <v>1301</v>
      </c>
      <c r="AX183" s="85" t="n">
        <v>46</v>
      </c>
      <c r="AY183" s="91" t="inlineStr">
        <is>
          <t>N/A</t>
        </is>
      </c>
      <c r="AZ183" s="85" t="n">
        <v>-872</v>
      </c>
      <c r="BA183" s="85" t="n">
        <v>2028</v>
      </c>
      <c r="BB183" s="85" t="n">
        <v>230.4</v>
      </c>
      <c r="BC183" s="85" t="n">
        <v>241.8</v>
      </c>
      <c r="BD183" s="85" t="n">
        <v>1583</v>
      </c>
      <c r="BE183" s="85" t="n">
        <v>411</v>
      </c>
      <c r="BF183" s="85" t="n">
        <v>415</v>
      </c>
      <c r="BG183" s="85" t="n">
        <v>146</v>
      </c>
      <c r="BH183" s="85" t="n">
        <v>-190</v>
      </c>
      <c r="BI183" s="85" t="n">
        <v>-446</v>
      </c>
      <c r="BJ183" s="85" t="n">
        <v>376</v>
      </c>
      <c r="BK183" s="85" t="n">
        <v>409</v>
      </c>
      <c r="BL183" s="85" t="n">
        <v>858</v>
      </c>
      <c r="BM183" s="85" t="n">
        <v>664</v>
      </c>
      <c r="BN183" s="85" t="n">
        <v>19</v>
      </c>
      <c r="BO183" s="91" t="inlineStr">
        <is>
          <t>N/A</t>
        </is>
      </c>
      <c r="BP183" s="91" t="inlineStr">
        <is>
          <t>N/A</t>
        </is>
      </c>
      <c r="BQ183" s="85" t="n">
        <v>0</v>
      </c>
      <c r="BR183" s="85" t="n">
        <v>0</v>
      </c>
      <c r="BS183" s="91" t="inlineStr">
        <is>
          <t>N/A</t>
        </is>
      </c>
      <c r="BT183" s="91" t="inlineStr">
        <is>
          <t>N/A</t>
        </is>
      </c>
      <c r="BU183" s="91" t="inlineStr">
        <is>
          <t>N/A</t>
        </is>
      </c>
      <c r="BV183" s="91" t="inlineStr">
        <is>
          <t>N/A</t>
        </is>
      </c>
      <c r="BW183" s="85" t="n">
        <v>0</v>
      </c>
      <c r="BX183" s="85" t="n">
        <v>0</v>
      </c>
      <c r="BY183" s="85" t="n">
        <v>0</v>
      </c>
    </row>
    <row r="184" ht="17" customHeight="1">
      <c r="A184" s="86" t="n">
        <v>182</v>
      </c>
      <c r="B184" s="87" t="inlineStr">
        <is>
          <t>WEC</t>
        </is>
      </c>
      <c r="C184" s="88" t="inlineStr">
        <is>
          <t>WEC ENERGY GROUP, INC.</t>
        </is>
      </c>
      <c r="D184" s="86" t="inlineStr">
        <is>
          <t>Utilities</t>
        </is>
      </c>
      <c r="E184" s="86" t="n">
        <v>2026</v>
      </c>
      <c r="F184" s="89" t="n">
        <v>51518.3</v>
      </c>
      <c r="G184" s="89" t="n">
        <v>3284.7</v>
      </c>
      <c r="H184" s="89" t="n">
        <v>5593.4</v>
      </c>
      <c r="I184" s="89" t="n">
        <v>51518.3</v>
      </c>
      <c r="J184" s="89" t="n">
        <v>8493.5</v>
      </c>
      <c r="K184" s="89" t="n">
        <v>2244.9</v>
      </c>
      <c r="L184" s="89" t="n">
        <v>9800.1</v>
      </c>
      <c r="M184" s="89" t="n">
        <v>640.3</v>
      </c>
      <c r="N184" s="89" t="n">
        <v>3379.4</v>
      </c>
      <c r="O184" s="89" t="n">
        <v>6534.3</v>
      </c>
      <c r="P184" s="89" t="n">
        <v>20017.5</v>
      </c>
      <c r="Q184" s="89" t="n">
        <v>9491.799999999999</v>
      </c>
      <c r="R184" s="90" t="inlineStr">
        <is>
          <t>N/A</t>
        </is>
      </c>
      <c r="S184" s="89" t="n">
        <v>762.6</v>
      </c>
      <c r="T184" s="89" t="n">
        <v>2062.7</v>
      </c>
      <c r="U184" s="89" t="n">
        <v>38278.1</v>
      </c>
      <c r="V184" s="89" t="n">
        <v>726.9</v>
      </c>
      <c r="W184" s="89" t="n">
        <v>47363.2</v>
      </c>
      <c r="X184" s="89" t="n">
        <v>2911.7</v>
      </c>
      <c r="Y184" s="89" t="n">
        <v>4841.9</v>
      </c>
      <c r="Z184" s="89" t="n">
        <v>47363.2</v>
      </c>
      <c r="AA184" s="89" t="n">
        <v>2152.8</v>
      </c>
      <c r="AB184" s="89" t="n">
        <v>8599.9</v>
      </c>
      <c r="AC184" s="89" t="n">
        <v>588.3</v>
      </c>
      <c r="AD184" s="89" t="n">
        <v>3211.8</v>
      </c>
      <c r="AE184" s="89" t="n">
        <v>5943.9</v>
      </c>
      <c r="AF184" s="89" t="n">
        <v>18907.1</v>
      </c>
      <c r="AG184" s="89" t="n">
        <v>8960.200000000001</v>
      </c>
      <c r="AH184" s="89" t="n">
        <v>8599.9</v>
      </c>
      <c r="AI184" s="89" t="n">
        <v>47363.2</v>
      </c>
      <c r="AJ184" s="89" t="n">
        <v>1673.5</v>
      </c>
      <c r="AK184" s="89" t="n">
        <v>1746.3</v>
      </c>
      <c r="AL184" s="89" t="n">
        <v>118</v>
      </c>
      <c r="AM184" s="89" t="n">
        <v>222</v>
      </c>
      <c r="AN184" s="89" t="n">
        <v>2696.9</v>
      </c>
      <c r="AO184" s="89" t="n">
        <v>2372.7</v>
      </c>
      <c r="AP184" s="90" t="inlineStr">
        <is>
          <t>N/A</t>
        </is>
      </c>
      <c r="AQ184" s="90" t="inlineStr">
        <is>
          <t>N/A</t>
        </is>
      </c>
      <c r="AR184" s="89" t="n">
        <v>3052.8</v>
      </c>
      <c r="AS184" s="89" t="n">
        <v>13.9</v>
      </c>
      <c r="AT184" s="89" t="n">
        <v>1924.7</v>
      </c>
      <c r="AU184" s="90" t="inlineStr">
        <is>
          <t>N/A</t>
        </is>
      </c>
      <c r="AV184" s="89" t="n">
        <v>27.6</v>
      </c>
      <c r="AW184" s="89" t="n">
        <v>9.800000000000001</v>
      </c>
      <c r="AX184" s="89" t="n">
        <v>21942.2</v>
      </c>
      <c r="AY184" s="89" t="n">
        <v>20023.7</v>
      </c>
      <c r="AZ184" s="89" t="n">
        <v>21914.6</v>
      </c>
      <c r="BA184" s="89" t="n">
        <v>682.5</v>
      </c>
      <c r="BB184" s="89" t="n">
        <v>325.5</v>
      </c>
      <c r="BC184" s="89" t="n">
        <v>317.7</v>
      </c>
      <c r="BD184" s="89" t="n">
        <v>1669.3</v>
      </c>
      <c r="BE184" s="89" t="n">
        <v>34645.4</v>
      </c>
      <c r="BF184" s="90" t="inlineStr">
        <is>
          <t>N/A</t>
        </is>
      </c>
      <c r="BG184" s="89" t="n">
        <v>561.8</v>
      </c>
      <c r="BH184" s="89" t="n">
        <v>-4874.7</v>
      </c>
      <c r="BI184" s="89" t="n">
        <v>-3802.5</v>
      </c>
      <c r="BJ184" s="89" t="n">
        <v>1140.1</v>
      </c>
      <c r="BK184" s="89" t="n">
        <v>1137.1</v>
      </c>
      <c r="BL184" s="89" t="n">
        <v>314.2</v>
      </c>
      <c r="BM184" s="89" t="n">
        <v>334.6</v>
      </c>
      <c r="BN184" s="90" t="inlineStr">
        <is>
          <t>N/A</t>
        </is>
      </c>
      <c r="BO184" s="89" t="n">
        <v>3265.8</v>
      </c>
      <c r="BP184" s="89" t="n">
        <v>2656</v>
      </c>
      <c r="BQ184" s="89" t="n">
        <v>0</v>
      </c>
      <c r="BR184" s="89" t="n">
        <v>0</v>
      </c>
      <c r="BS184" s="90" t="inlineStr">
        <is>
          <t>N/A</t>
        </is>
      </c>
      <c r="BT184" s="90" t="inlineStr">
        <is>
          <t>N/A</t>
        </is>
      </c>
      <c r="BU184" s="89" t="n">
        <v>0</v>
      </c>
      <c r="BV184" s="89" t="n">
        <v>0</v>
      </c>
      <c r="BW184" s="89" t="n">
        <v>0</v>
      </c>
      <c r="BX184" s="89" t="n">
        <v>0</v>
      </c>
      <c r="BY184" s="89" t="n">
        <v>0</v>
      </c>
    </row>
    <row r="185" ht="17" customHeight="1">
      <c r="A185" s="82" t="n">
        <v>183</v>
      </c>
      <c r="B185" s="83" t="inlineStr">
        <is>
          <t>CRS</t>
        </is>
      </c>
      <c r="C185" s="84" t="inlineStr">
        <is>
          <t>CARPENTER TECHNOLOGY CORPORATION</t>
        </is>
      </c>
      <c r="D185" s="82" t="inlineStr">
        <is>
          <t>Industrials</t>
        </is>
      </c>
      <c r="E185" s="82" t="n">
        <v>2026</v>
      </c>
      <c r="F185" s="85" t="n">
        <v>3486.8</v>
      </c>
      <c r="G185" s="85" t="n">
        <v>1764.7</v>
      </c>
      <c r="H185" s="85" t="n">
        <v>483.7</v>
      </c>
      <c r="I185" s="85" t="n">
        <v>1599.8</v>
      </c>
      <c r="J185" s="85" t="n">
        <v>1710.2</v>
      </c>
      <c r="K185" s="85" t="n">
        <v>521.8</v>
      </c>
      <c r="L185" s="85" t="n">
        <v>2157.7</v>
      </c>
      <c r="M185" s="85" t="n">
        <v>376</v>
      </c>
      <c r="N185" s="85" t="n">
        <v>440.4</v>
      </c>
      <c r="O185" s="85" t="n">
        <v>768.6</v>
      </c>
      <c r="P185" s="85" t="n">
        <v>550.6</v>
      </c>
      <c r="Q185" s="85" t="n">
        <v>1887</v>
      </c>
      <c r="R185" s="85" t="n">
        <v>243.2</v>
      </c>
      <c r="S185" s="85" t="n">
        <v>66.5</v>
      </c>
      <c r="T185" s="85" t="n">
        <v>575.5</v>
      </c>
      <c r="U185" s="85" t="n">
        <v>1359.4</v>
      </c>
      <c r="V185" s="85" t="n">
        <v>54.1</v>
      </c>
      <c r="W185" s="85" t="n">
        <v>3291.7</v>
      </c>
      <c r="X185" s="85" t="n">
        <v>1591.2</v>
      </c>
      <c r="Y185" s="85" t="n">
        <v>466.3</v>
      </c>
      <c r="Z185" s="85" t="n">
        <v>1662.9</v>
      </c>
      <c r="AA185" s="85" t="n">
        <v>323.1</v>
      </c>
      <c r="AB185" s="85" t="n">
        <v>618</v>
      </c>
      <c r="AC185" s="85" t="n">
        <v>186.5</v>
      </c>
      <c r="AD185" s="85" t="n">
        <v>274.9</v>
      </c>
      <c r="AE185" s="85" t="n">
        <v>584.3</v>
      </c>
      <c r="AF185" s="85" t="n">
        <v>545.7</v>
      </c>
      <c r="AG185" s="85" t="n">
        <v>1628.8</v>
      </c>
      <c r="AH185" s="85" t="n">
        <v>572.2</v>
      </c>
      <c r="AI185" s="85" t="n">
        <v>3291.7</v>
      </c>
      <c r="AJ185" s="85" t="n">
        <v>467.3</v>
      </c>
      <c r="AK185" s="85" t="n">
        <v>211.6</v>
      </c>
      <c r="AL185" s="85" t="n">
        <v>91.3</v>
      </c>
      <c r="AM185" s="85" t="n">
        <v>25.1</v>
      </c>
      <c r="AN185" s="85" t="n">
        <v>154.3</v>
      </c>
      <c r="AO185" s="85" t="n">
        <v>96.59999999999999</v>
      </c>
      <c r="AP185" s="85" t="n">
        <v>793.8</v>
      </c>
      <c r="AQ185" s="85" t="n">
        <v>735.4</v>
      </c>
      <c r="AR185" s="85" t="n">
        <v>227.3</v>
      </c>
      <c r="AS185" s="85" t="n">
        <v>9.5</v>
      </c>
      <c r="AT185" s="91" t="inlineStr">
        <is>
          <t>N/A</t>
        </is>
      </c>
      <c r="AU185" s="85" t="n">
        <v>26.1</v>
      </c>
      <c r="AV185" s="85" t="n">
        <v>315.5</v>
      </c>
      <c r="AW185" s="85" t="n">
        <v>199.1</v>
      </c>
      <c r="AX185" s="85" t="n">
        <v>550.6</v>
      </c>
      <c r="AY185" s="85" t="n">
        <v>715.7</v>
      </c>
      <c r="AZ185" s="85" t="n">
        <v>235.1</v>
      </c>
      <c r="BA185" s="85" t="n">
        <v>286.1</v>
      </c>
      <c r="BB185" s="85" t="n">
        <v>49.7</v>
      </c>
      <c r="BC185" s="85" t="n">
        <v>49.8</v>
      </c>
      <c r="BD185" s="85" t="n">
        <v>562.6</v>
      </c>
      <c r="BE185" s="85" t="n">
        <v>1335.2</v>
      </c>
      <c r="BF185" s="85" t="n">
        <v>230.2</v>
      </c>
      <c r="BG185" s="85" t="n">
        <v>59.1</v>
      </c>
      <c r="BH185" s="85" t="n">
        <v>-152.9</v>
      </c>
      <c r="BI185" s="85" t="n">
        <v>-95.90000000000001</v>
      </c>
      <c r="BJ185" s="85" t="n">
        <v>267.4</v>
      </c>
      <c r="BK185" s="85" t="n">
        <v>263.9</v>
      </c>
      <c r="BL185" s="85" t="n">
        <v>10.4</v>
      </c>
      <c r="BM185" s="85" t="n">
        <v>9.800000000000001</v>
      </c>
      <c r="BN185" s="85" t="n">
        <v>3.3</v>
      </c>
      <c r="BO185" s="85" t="n">
        <v>1935.4</v>
      </c>
      <c r="BP185" s="85" t="n">
        <v>1775.5</v>
      </c>
      <c r="BQ185" s="85" t="n">
        <v>0</v>
      </c>
      <c r="BR185" s="85" t="n">
        <v>0</v>
      </c>
      <c r="BS185" s="85" t="n">
        <v>0</v>
      </c>
      <c r="BT185" s="85" t="n">
        <v>0</v>
      </c>
      <c r="BU185" s="85" t="n">
        <v>0</v>
      </c>
      <c r="BV185" s="85" t="n">
        <v>0</v>
      </c>
      <c r="BW185" s="85" t="n">
        <v>0</v>
      </c>
      <c r="BX185" s="85" t="n">
        <v>0</v>
      </c>
      <c r="BY185" s="85" t="n">
        <v>0</v>
      </c>
    </row>
    <row r="186" ht="17" customHeight="1">
      <c r="A186" s="86" t="n">
        <v>184</v>
      </c>
      <c r="B186" s="87" t="inlineStr">
        <is>
          <t>HII</t>
        </is>
      </c>
      <c r="C186" s="88" t="inlineStr">
        <is>
          <t>HUNTINGTON INGALLS INDUSTRIES, INC.</t>
        </is>
      </c>
      <c r="D186" s="86" t="inlineStr">
        <is>
          <t>Industrials</t>
        </is>
      </c>
      <c r="E186" s="86" t="n">
        <v>2026</v>
      </c>
      <c r="F186" s="89" t="n">
        <v>12749</v>
      </c>
      <c r="G186" s="89" t="n">
        <v>3451</v>
      </c>
      <c r="H186" s="89" t="n">
        <v>3045</v>
      </c>
      <c r="I186" s="89" t="n">
        <v>7676</v>
      </c>
      <c r="J186" s="89" t="n">
        <v>5487</v>
      </c>
      <c r="K186" s="89" t="n">
        <v>657</v>
      </c>
      <c r="L186" s="89" t="n">
        <v>12484</v>
      </c>
      <c r="M186" s="89" t="n">
        <v>605</v>
      </c>
      <c r="N186" s="89" t="n">
        <v>1196</v>
      </c>
      <c r="O186" s="89" t="n">
        <v>8040</v>
      </c>
      <c r="P186" s="89" t="n">
        <v>2905</v>
      </c>
      <c r="Q186" s="89" t="n">
        <v>5073</v>
      </c>
      <c r="R186" s="89" t="n">
        <v>977</v>
      </c>
      <c r="S186" s="89" t="n">
        <v>329</v>
      </c>
      <c r="T186" s="89" t="n">
        <v>339</v>
      </c>
      <c r="U186" s="89" t="n">
        <v>3726</v>
      </c>
      <c r="V186" s="89" t="n">
        <v>105</v>
      </c>
      <c r="W186" s="89" t="n">
        <v>12141</v>
      </c>
      <c r="X186" s="89" t="n">
        <v>3228</v>
      </c>
      <c r="Y186" s="89" t="n">
        <v>2991</v>
      </c>
      <c r="Z186" s="89" t="n">
        <v>7475</v>
      </c>
      <c r="AA186" s="89" t="n">
        <v>535</v>
      </c>
      <c r="AB186" s="89" t="n">
        <v>11535</v>
      </c>
      <c r="AC186" s="89" t="n">
        <v>550</v>
      </c>
      <c r="AD186" s="89" t="n">
        <v>393</v>
      </c>
      <c r="AE186" s="89" t="n">
        <v>7155</v>
      </c>
      <c r="AF186" s="89" t="n">
        <v>3298</v>
      </c>
      <c r="AG186" s="89" t="n">
        <v>4666</v>
      </c>
      <c r="AH186" s="89" t="n">
        <v>11535</v>
      </c>
      <c r="AI186" s="89" t="n">
        <v>12141</v>
      </c>
      <c r="AJ186" s="89" t="n">
        <v>777</v>
      </c>
      <c r="AK186" s="89" t="n">
        <v>643</v>
      </c>
      <c r="AL186" s="89" t="n">
        <v>172</v>
      </c>
      <c r="AM186" s="89" t="n">
        <v>93</v>
      </c>
      <c r="AN186" s="89" t="n">
        <v>402</v>
      </c>
      <c r="AO186" s="89" t="n">
        <v>367</v>
      </c>
      <c r="AP186" s="90" t="inlineStr">
        <is>
          <t>N/A</t>
        </is>
      </c>
      <c r="AQ186" s="90" t="inlineStr">
        <is>
          <t>N/A</t>
        </is>
      </c>
      <c r="AR186" s="89" t="n">
        <v>2650</v>
      </c>
      <c r="AS186" s="89" t="n">
        <v>694</v>
      </c>
      <c r="AT186" s="89" t="n">
        <v>231</v>
      </c>
      <c r="AU186" s="89" t="n">
        <v>26</v>
      </c>
      <c r="AV186" s="89" t="n">
        <v>627</v>
      </c>
      <c r="AW186" s="89" t="n">
        <v>512</v>
      </c>
      <c r="AX186" s="89" t="n">
        <v>3136</v>
      </c>
      <c r="AY186" s="89" t="n">
        <v>3298</v>
      </c>
      <c r="AZ186" s="89" t="n">
        <v>2509</v>
      </c>
      <c r="BA186" s="89" t="n">
        <v>794</v>
      </c>
      <c r="BB186" s="89" t="n">
        <v>39.2</v>
      </c>
      <c r="BC186" s="89" t="n">
        <v>39.1</v>
      </c>
      <c r="BD186" s="89" t="n">
        <v>212</v>
      </c>
      <c r="BE186" s="89" t="n">
        <v>3450</v>
      </c>
      <c r="BF186" s="89" t="n">
        <v>973</v>
      </c>
      <c r="BG186" s="89" t="n">
        <v>326</v>
      </c>
      <c r="BH186" s="89" t="n">
        <v>-521</v>
      </c>
      <c r="BI186" s="89" t="n">
        <v>-348</v>
      </c>
      <c r="BJ186" s="89" t="n">
        <v>556</v>
      </c>
      <c r="BK186" s="89" t="n">
        <v>598</v>
      </c>
      <c r="BL186" s="89" t="n">
        <v>1220</v>
      </c>
      <c r="BM186" s="89" t="n">
        <v>774</v>
      </c>
      <c r="BN186" s="90" t="inlineStr">
        <is>
          <t>N/A</t>
        </is>
      </c>
      <c r="BO186" s="89" t="n">
        <v>4444</v>
      </c>
      <c r="BP186" s="89" t="n">
        <v>4380</v>
      </c>
      <c r="BQ186" s="89" t="n">
        <v>0</v>
      </c>
      <c r="BR186" s="89" t="n">
        <v>0</v>
      </c>
      <c r="BS186" s="90" t="inlineStr">
        <is>
          <t>N/A</t>
        </is>
      </c>
      <c r="BT186" s="90" t="inlineStr">
        <is>
          <t>N/A</t>
        </is>
      </c>
      <c r="BU186" s="89" t="n">
        <v>0</v>
      </c>
      <c r="BV186" s="89" t="n">
        <v>0</v>
      </c>
      <c r="BW186" s="89" t="n">
        <v>0</v>
      </c>
      <c r="BX186" s="89" t="n">
        <v>0</v>
      </c>
      <c r="BY186" s="89" t="n">
        <v>0</v>
      </c>
    </row>
    <row r="187" ht="17" customHeight="1">
      <c r="A187" s="82" t="n">
        <v>185</v>
      </c>
      <c r="B187" s="83" t="inlineStr">
        <is>
          <t>TSLA</t>
        </is>
      </c>
      <c r="C187" s="84" t="inlineStr">
        <is>
          <t>Tesla, Inc.</t>
        </is>
      </c>
      <c r="D187" s="82" t="inlineStr">
        <is>
          <t>Consumer Discretionary</t>
        </is>
      </c>
      <c r="E187" s="82" t="n">
        <v>2026</v>
      </c>
      <c r="F187" s="85" t="n">
        <v>137806</v>
      </c>
      <c r="G187" s="85" t="n">
        <v>68642</v>
      </c>
      <c r="H187" s="85" t="n">
        <v>31714</v>
      </c>
      <c r="I187" s="85" t="n">
        <v>54941</v>
      </c>
      <c r="J187" s="85" t="n">
        <v>39003</v>
      </c>
      <c r="K187" s="85" t="n">
        <v>4355</v>
      </c>
      <c r="L187" s="85" t="n">
        <v>94827</v>
      </c>
      <c r="M187" s="85" t="n">
        <v>3794</v>
      </c>
      <c r="N187" s="85" t="n">
        <v>14747</v>
      </c>
      <c r="O187" s="85" t="n">
        <v>17094</v>
      </c>
      <c r="P187" s="85" t="n">
        <v>6584</v>
      </c>
      <c r="Q187" s="85" t="n">
        <v>82137</v>
      </c>
      <c r="R187" s="85" t="n">
        <v>5834</v>
      </c>
      <c r="S187" s="85" t="n">
        <v>1636</v>
      </c>
      <c r="T187" s="85" t="n">
        <v>4576</v>
      </c>
      <c r="U187" s="85" t="n">
        <v>35836</v>
      </c>
      <c r="V187" s="85" t="n">
        <v>156</v>
      </c>
      <c r="W187" s="85" t="n">
        <v>122070</v>
      </c>
      <c r="X187" s="85" t="n">
        <v>58360</v>
      </c>
      <c r="Y187" s="85" t="n">
        <v>28821</v>
      </c>
      <c r="Z187" s="85" t="n">
        <v>48390</v>
      </c>
      <c r="AA187" s="85" t="n">
        <v>7076</v>
      </c>
      <c r="AB187" s="85" t="n">
        <v>97690</v>
      </c>
      <c r="AC187" s="85" t="n">
        <v>7091</v>
      </c>
      <c r="AD187" s="85" t="n">
        <v>14923</v>
      </c>
      <c r="AE187" s="85" t="n">
        <v>17450</v>
      </c>
      <c r="AF187" s="85" t="n">
        <v>5535</v>
      </c>
      <c r="AG187" s="85" t="n">
        <v>72913</v>
      </c>
      <c r="AH187" s="85" t="n">
        <v>97690</v>
      </c>
      <c r="AI187" s="85" t="n">
        <v>122070</v>
      </c>
      <c r="AJ187" s="85" t="n">
        <v>5278</v>
      </c>
      <c r="AK187" s="85" t="n">
        <v>8990</v>
      </c>
      <c r="AL187" s="85" t="n">
        <v>1423</v>
      </c>
      <c r="AM187" s="85" t="n">
        <v>1837</v>
      </c>
      <c r="AN187" s="85" t="n">
        <v>8527</v>
      </c>
      <c r="AO187" s="85" t="n">
        <v>11339</v>
      </c>
      <c r="AP187" s="85" t="n">
        <v>12392</v>
      </c>
      <c r="AQ187" s="85" t="n">
        <v>12017</v>
      </c>
      <c r="AR187" s="85" t="n">
        <v>257</v>
      </c>
      <c r="AS187" s="85" t="n">
        <v>242</v>
      </c>
      <c r="AT187" s="85" t="n">
        <v>1569</v>
      </c>
      <c r="AU187" s="85" t="n">
        <v>6411</v>
      </c>
      <c r="AV187" s="85" t="n">
        <v>16513</v>
      </c>
      <c r="AW187" s="85" t="n">
        <v>16139</v>
      </c>
      <c r="AX187" s="85" t="n">
        <v>8153</v>
      </c>
      <c r="AY187" s="85" t="n">
        <v>7878</v>
      </c>
      <c r="AZ187" s="85" t="n">
        <v>-8360</v>
      </c>
      <c r="BA187" s="85" t="n">
        <v>6220</v>
      </c>
      <c r="BB187" s="85" t="n">
        <v>3751</v>
      </c>
      <c r="BC187" s="85" t="n">
        <v>3216</v>
      </c>
      <c r="BD187" s="85" t="n">
        <v>4418</v>
      </c>
      <c r="BE187" s="85" t="n">
        <v>29725</v>
      </c>
      <c r="BF187" s="85" t="n">
        <v>5150</v>
      </c>
      <c r="BG187" s="85" t="n">
        <v>947.1</v>
      </c>
      <c r="BH187" s="85" t="n">
        <v>-15478</v>
      </c>
      <c r="BI187" s="85" t="n">
        <v>-18787</v>
      </c>
      <c r="BJ187" s="85" t="n">
        <v>13371</v>
      </c>
      <c r="BK187" s="85" t="n">
        <v>12474</v>
      </c>
      <c r="BL187" s="85" t="n">
        <v>1015.3</v>
      </c>
      <c r="BM187" s="85" t="n">
        <v>763.1</v>
      </c>
      <c r="BN187" s="85" t="n">
        <v>1594</v>
      </c>
      <c r="BO187" s="85" t="n">
        <v>77733</v>
      </c>
      <c r="BP187" s="85" t="n">
        <v>80240</v>
      </c>
      <c r="BQ187" s="85" t="n">
        <v>0</v>
      </c>
      <c r="BR187" s="85" t="n">
        <v>0</v>
      </c>
      <c r="BS187" s="85" t="n">
        <v>0</v>
      </c>
      <c r="BT187" s="85" t="n">
        <v>0</v>
      </c>
      <c r="BU187" s="85" t="n">
        <v>0</v>
      </c>
      <c r="BV187" s="85" t="n">
        <v>0</v>
      </c>
      <c r="BW187" s="85" t="n">
        <v>0</v>
      </c>
      <c r="BX187" s="85" t="n">
        <v>0</v>
      </c>
      <c r="BY187" s="85" t="n">
        <v>0</v>
      </c>
    </row>
    <row r="188" ht="17" customHeight="1">
      <c r="A188" s="86" t="n">
        <v>186</v>
      </c>
      <c r="B188" s="87" t="inlineStr">
        <is>
          <t>IIPR</t>
        </is>
      </c>
      <c r="C188" s="88" t="inlineStr">
        <is>
          <t>Innovative Industrial Properties, Inc.</t>
        </is>
      </c>
      <c r="D188" s="86" t="inlineStr">
        <is>
          <t>Real Estate</t>
        </is>
      </c>
      <c r="E188" s="86" t="n">
        <v>2026</v>
      </c>
      <c r="F188" s="89" t="n">
        <v>2370.9</v>
      </c>
      <c r="G188" s="90" t="inlineStr">
        <is>
          <t>N/A</t>
        </is>
      </c>
      <c r="H188" s="90" t="inlineStr">
        <is>
          <t>N/A</t>
        </is>
      </c>
      <c r="I188" s="89" t="n">
        <v>522.9</v>
      </c>
      <c r="J188" s="90" t="inlineStr">
        <is>
          <t>N/A</t>
        </is>
      </c>
      <c r="K188" s="89" t="n">
        <v>124.1</v>
      </c>
      <c r="L188" s="89" t="n">
        <v>266</v>
      </c>
      <c r="M188" s="89" t="n">
        <v>118.2</v>
      </c>
      <c r="N188" s="89" t="n">
        <v>198.2</v>
      </c>
      <c r="O188" s="89" t="n">
        <v>124.4</v>
      </c>
      <c r="P188" s="89" t="n">
        <v>393.7</v>
      </c>
      <c r="Q188" s="89" t="n">
        <v>1848</v>
      </c>
      <c r="R188" s="89" t="n">
        <v>33.7</v>
      </c>
      <c r="S188" s="89" t="n">
        <v>74.09999999999999</v>
      </c>
      <c r="T188" s="90" t="inlineStr">
        <is>
          <t>N/A</t>
        </is>
      </c>
      <c r="U188" s="90" t="inlineStr">
        <is>
          <t>N/A</t>
        </is>
      </c>
      <c r="V188" s="89" t="n">
        <v>17.5</v>
      </c>
      <c r="W188" s="89" t="n">
        <v>2378</v>
      </c>
      <c r="X188" s="90" t="inlineStr">
        <is>
          <t>N/A</t>
        </is>
      </c>
      <c r="Y188" s="90" t="inlineStr">
        <is>
          <t>N/A</t>
        </is>
      </c>
      <c r="Z188" s="89" t="n">
        <v>442</v>
      </c>
      <c r="AA188" s="89" t="n">
        <v>168.3</v>
      </c>
      <c r="AB188" s="89" t="n">
        <v>308.5</v>
      </c>
      <c r="AC188" s="89" t="n">
        <v>161.7</v>
      </c>
      <c r="AD188" s="89" t="n">
        <v>258.4</v>
      </c>
      <c r="AE188" s="89" t="n">
        <v>171.8</v>
      </c>
      <c r="AF188" s="89" t="n">
        <v>134.7</v>
      </c>
      <c r="AG188" s="89" t="n">
        <v>1936.1</v>
      </c>
      <c r="AH188" s="89" t="n">
        <v>308.5</v>
      </c>
      <c r="AI188" s="89" t="n">
        <v>2378</v>
      </c>
      <c r="AJ188" s="90" t="inlineStr">
        <is>
          <t>N/A</t>
        </is>
      </c>
      <c r="AK188" s="90" t="inlineStr">
        <is>
          <t>N/A</t>
        </is>
      </c>
      <c r="AL188" s="90" t="inlineStr">
        <is>
          <t>N/A</t>
        </is>
      </c>
      <c r="AM188" s="90" t="inlineStr">
        <is>
          <t>N/A</t>
        </is>
      </c>
      <c r="AN188" s="89" t="n">
        <v>3</v>
      </c>
      <c r="AO188" s="90" t="inlineStr">
        <is>
          <t>N/A</t>
        </is>
      </c>
      <c r="AP188" s="90" t="inlineStr">
        <is>
          <t>N/A</t>
        </is>
      </c>
      <c r="AQ188" s="90" t="inlineStr">
        <is>
          <t>N/A</t>
        </is>
      </c>
      <c r="AR188" s="90" t="inlineStr">
        <is>
          <t>N/A</t>
        </is>
      </c>
      <c r="AS188" s="89" t="n">
        <v>6.4</v>
      </c>
      <c r="AT188" s="90" t="inlineStr">
        <is>
          <t>N/A</t>
        </is>
      </c>
      <c r="AU188" s="90" t="inlineStr">
        <is>
          <t>N/A</t>
        </is>
      </c>
      <c r="AV188" s="89" t="n">
        <v>47.6</v>
      </c>
      <c r="AW188" s="89" t="n">
        <v>146.2</v>
      </c>
      <c r="AX188" s="89" t="n">
        <v>393.7</v>
      </c>
      <c r="AY188" s="89" t="n">
        <v>134.7</v>
      </c>
      <c r="AZ188" s="89" t="n">
        <v>346.1</v>
      </c>
      <c r="BA188" s="89" t="n">
        <v>195.2</v>
      </c>
      <c r="BB188" s="89" t="n">
        <v>28</v>
      </c>
      <c r="BC188" s="89" t="n">
        <v>28.3</v>
      </c>
      <c r="BD188" s="90" t="inlineStr">
        <is>
          <t>N/A</t>
        </is>
      </c>
      <c r="BE188" s="90" t="inlineStr">
        <is>
          <t>N/A</t>
        </is>
      </c>
      <c r="BF188" s="89" t="n">
        <v>37.4</v>
      </c>
      <c r="BG188" s="89" t="n">
        <v>70.8</v>
      </c>
      <c r="BH188" s="89" t="n">
        <v>-174.3</v>
      </c>
      <c r="BI188" s="89" t="n">
        <v>-56</v>
      </c>
      <c r="BJ188" s="90" t="inlineStr">
        <is>
          <t>N/A</t>
        </is>
      </c>
      <c r="BK188" s="90" t="inlineStr">
        <is>
          <t>N/A</t>
        </is>
      </c>
      <c r="BL188" s="90" t="inlineStr">
        <is>
          <t>N/A</t>
        </is>
      </c>
      <c r="BM188" s="90" t="inlineStr">
        <is>
          <t>N/A</t>
        </is>
      </c>
      <c r="BN188" s="90" t="inlineStr">
        <is>
          <t>N/A</t>
        </is>
      </c>
      <c r="BO188" s="89" t="n">
        <v>141.5</v>
      </c>
      <c r="BP188" s="89" t="n">
        <v>136.7</v>
      </c>
      <c r="BQ188" s="90" t="inlineStr">
        <is>
          <t>N/A</t>
        </is>
      </c>
      <c r="BR188" s="90" t="inlineStr">
        <is>
          <t>N/A</t>
        </is>
      </c>
      <c r="BS188" s="90" t="inlineStr">
        <is>
          <t>N/A</t>
        </is>
      </c>
      <c r="BT188" s="90" t="inlineStr">
        <is>
          <t>N/A</t>
        </is>
      </c>
      <c r="BU188" s="90" t="inlineStr">
        <is>
          <t>N/A</t>
        </is>
      </c>
      <c r="BV188" s="90" t="inlineStr">
        <is>
          <t>N/A</t>
        </is>
      </c>
      <c r="BW188" s="89" t="n">
        <v>0</v>
      </c>
      <c r="BX188" s="89" t="n">
        <v>0</v>
      </c>
      <c r="BY188" s="90" t="inlineStr">
        <is>
          <t>N/A</t>
        </is>
      </c>
    </row>
    <row r="189" ht="17" customHeight="1">
      <c r="A189" s="82" t="n">
        <v>187</v>
      </c>
      <c r="B189" s="83" t="inlineStr">
        <is>
          <t>MRVL</t>
        </is>
      </c>
      <c r="C189" s="84" t="inlineStr">
        <is>
          <t>MARVELL TECHNOLOGY, INC</t>
        </is>
      </c>
      <c r="D189" s="82" t="inlineStr">
        <is>
          <t>Information Technology</t>
        </is>
      </c>
      <c r="E189" s="82" t="n">
        <v>2026</v>
      </c>
      <c r="F189" s="85" t="n">
        <v>22285.3</v>
      </c>
      <c r="G189" s="85" t="n">
        <v>6460.6</v>
      </c>
      <c r="H189" s="85" t="n">
        <v>3220.5</v>
      </c>
      <c r="I189" s="85" t="n">
        <v>7976.9</v>
      </c>
      <c r="J189" s="85" t="n">
        <v>1355.8</v>
      </c>
      <c r="K189" s="85" t="n">
        <v>1322.9</v>
      </c>
      <c r="L189" s="85" t="n">
        <v>8194.6</v>
      </c>
      <c r="M189" s="85" t="n">
        <v>2670.1</v>
      </c>
      <c r="N189" s="85" t="n">
        <v>1750.5</v>
      </c>
      <c r="O189" s="85" t="n">
        <v>4180.7</v>
      </c>
      <c r="P189" s="85" t="n">
        <v>4470.6</v>
      </c>
      <c r="Q189" s="85" t="n">
        <v>14308.4</v>
      </c>
      <c r="R189" s="85" t="n">
        <v>767.1</v>
      </c>
      <c r="S189" s="85" t="n">
        <v>304.9</v>
      </c>
      <c r="T189" s="85" t="n">
        <v>2186.6</v>
      </c>
      <c r="U189" s="85" t="n">
        <v>935</v>
      </c>
      <c r="V189" s="85" t="n">
        <v>211.7</v>
      </c>
      <c r="W189" s="85" t="n">
        <v>20204.5</v>
      </c>
      <c r="X189" s="85" t="n">
        <v>3120.3</v>
      </c>
      <c r="Y189" s="85" t="n">
        <v>2026.8</v>
      </c>
      <c r="Z189" s="85" t="n">
        <v>6777.5</v>
      </c>
      <c r="AA189" s="85" t="n">
        <v>-720.3</v>
      </c>
      <c r="AB189" s="85" t="n">
        <v>5767.3</v>
      </c>
      <c r="AC189" s="85" t="n">
        <v>-885</v>
      </c>
      <c r="AD189" s="85" t="n">
        <v>1681.2</v>
      </c>
      <c r="AE189" s="85" t="n">
        <v>2382.2</v>
      </c>
      <c r="AF189" s="85" t="n">
        <v>4063.8</v>
      </c>
      <c r="AG189" s="85" t="n">
        <v>13427</v>
      </c>
      <c r="AH189" s="85" t="n">
        <v>5767.3</v>
      </c>
      <c r="AI189" s="85" t="n">
        <v>20204.5</v>
      </c>
      <c r="AJ189" s="85" t="n">
        <v>3046.6</v>
      </c>
      <c r="AK189" s="85" t="n">
        <v>-894.7</v>
      </c>
      <c r="AL189" s="85" t="n">
        <v>376.5</v>
      </c>
      <c r="AM189" s="85" t="n">
        <v>-9.699999999999999</v>
      </c>
      <c r="AN189" s="85" t="n">
        <v>354.1</v>
      </c>
      <c r="AO189" s="85" t="n">
        <v>284.6</v>
      </c>
      <c r="AP189" s="85" t="n">
        <v>1388</v>
      </c>
      <c r="AQ189" s="85" t="n">
        <v>1029.7</v>
      </c>
      <c r="AR189" s="85" t="n">
        <v>11062.2</v>
      </c>
      <c r="AS189" s="85" t="n">
        <v>1454.7</v>
      </c>
      <c r="AT189" s="85" t="n">
        <v>499.8</v>
      </c>
      <c r="AU189" s="85" t="n">
        <v>2075.2</v>
      </c>
      <c r="AV189" s="85" t="n">
        <v>2638.8</v>
      </c>
      <c r="AW189" s="85" t="n">
        <v>948.3</v>
      </c>
      <c r="AX189" s="85" t="n">
        <v>4970.4</v>
      </c>
      <c r="AY189" s="85" t="n">
        <v>4193.3</v>
      </c>
      <c r="AZ189" s="85" t="n">
        <v>2331.6</v>
      </c>
      <c r="BA189" s="85" t="n">
        <v>1396.4</v>
      </c>
      <c r="BB189" s="85" t="n">
        <v>847.3</v>
      </c>
      <c r="BC189" s="85" t="n">
        <v>866</v>
      </c>
      <c r="BD189" s="85" t="n">
        <v>1028.4</v>
      </c>
      <c r="BE189" s="85" t="n">
        <v>790.5</v>
      </c>
      <c r="BF189" s="85" t="n">
        <v>798.2</v>
      </c>
      <c r="BG189" s="85" t="n">
        <v>265.9</v>
      </c>
      <c r="BH189" s="85" t="n">
        <v>2097.8</v>
      </c>
      <c r="BI189" s="85" t="n">
        <v>-300.7</v>
      </c>
      <c r="BJ189" s="85" t="n">
        <v>1073.8</v>
      </c>
      <c r="BK189" s="85" t="n">
        <v>622.2</v>
      </c>
      <c r="BL189" s="85" t="n">
        <v>40.1</v>
      </c>
      <c r="BM189" s="85" t="n">
        <v>22.1</v>
      </c>
      <c r="BN189" s="85" t="n">
        <v>228.3</v>
      </c>
      <c r="BO189" s="85" t="n">
        <v>4013.9</v>
      </c>
      <c r="BP189" s="85" t="n">
        <v>3385.1</v>
      </c>
      <c r="BQ189" s="85" t="n">
        <v>0</v>
      </c>
      <c r="BR189" s="85" t="n">
        <v>0</v>
      </c>
      <c r="BS189" s="85" t="n">
        <v>0</v>
      </c>
      <c r="BT189" s="85" t="n">
        <v>0</v>
      </c>
      <c r="BU189" s="85" t="n">
        <v>0</v>
      </c>
      <c r="BV189" s="85" t="n">
        <v>0</v>
      </c>
      <c r="BW189" s="85" t="n">
        <v>0</v>
      </c>
      <c r="BX189" s="85" t="n">
        <v>0</v>
      </c>
      <c r="BY189" s="85" t="n">
        <v>0</v>
      </c>
    </row>
    <row r="190" ht="17" customHeight="1">
      <c r="A190" s="86" t="n">
        <v>188</v>
      </c>
      <c r="B190" s="87" t="inlineStr">
        <is>
          <t>CFR</t>
        </is>
      </c>
      <c r="C190" s="88" t="inlineStr">
        <is>
          <t>Cullen/Frost Bankers, Inc.</t>
        </is>
      </c>
      <c r="D190" s="86" t="inlineStr">
        <is>
          <t>Financials</t>
        </is>
      </c>
      <c r="E190" s="86" t="n">
        <v>2026</v>
      </c>
      <c r="F190" s="89" t="n">
        <v>53041.4</v>
      </c>
      <c r="G190" s="90" t="inlineStr">
        <is>
          <t>N/A</t>
        </is>
      </c>
      <c r="H190" s="90" t="inlineStr">
        <is>
          <t>N/A</t>
        </is>
      </c>
      <c r="I190" s="89" t="n">
        <v>48468.4</v>
      </c>
      <c r="J190" s="89" t="n">
        <v>4309.2</v>
      </c>
      <c r="K190" s="89" t="n">
        <v>771.7</v>
      </c>
      <c r="L190" s="89" t="n">
        <v>2235.2</v>
      </c>
      <c r="M190" s="89" t="n">
        <v>648.6</v>
      </c>
      <c r="N190" s="89" t="n">
        <v>274</v>
      </c>
      <c r="O190" s="90" t="inlineStr">
        <is>
          <t>N/A</t>
        </is>
      </c>
      <c r="P190" s="90" t="inlineStr">
        <is>
          <t>N/A</t>
        </is>
      </c>
      <c r="Q190" s="89" t="n">
        <v>4573</v>
      </c>
      <c r="R190" s="90" t="inlineStr">
        <is>
          <t>N/A</t>
        </is>
      </c>
      <c r="S190" s="89" t="n">
        <v>87.8</v>
      </c>
      <c r="T190" s="90" t="inlineStr">
        <is>
          <t>N/A</t>
        </is>
      </c>
      <c r="U190" s="89" t="n">
        <v>1313.2</v>
      </c>
      <c r="V190" s="89" t="n">
        <v>659.1</v>
      </c>
      <c r="W190" s="89" t="n">
        <v>52520.3</v>
      </c>
      <c r="X190" s="90" t="inlineStr">
        <is>
          <t>N/A</t>
        </is>
      </c>
      <c r="Y190" s="90" t="inlineStr">
        <is>
          <t>N/A</t>
        </is>
      </c>
      <c r="Z190" s="89" t="n">
        <v>48621.7</v>
      </c>
      <c r="AA190" s="89" t="n">
        <v>696</v>
      </c>
      <c r="AB190" s="89" t="n">
        <v>2063.7</v>
      </c>
      <c r="AC190" s="89" t="n">
        <v>582.5</v>
      </c>
      <c r="AD190" s="89" t="n">
        <v>989.5</v>
      </c>
      <c r="AE190" s="90" t="inlineStr">
        <is>
          <t>N/A</t>
        </is>
      </c>
      <c r="AF190" s="90" t="inlineStr">
        <is>
          <t>N/A</t>
        </is>
      </c>
      <c r="AG190" s="89" t="n">
        <v>3898.6</v>
      </c>
      <c r="AH190" s="89" t="n">
        <v>2063.7</v>
      </c>
      <c r="AI190" s="89" t="n">
        <v>52520.3</v>
      </c>
      <c r="AJ190" s="89" t="n">
        <v>771.7</v>
      </c>
      <c r="AK190" s="89" t="n">
        <v>696</v>
      </c>
      <c r="AL190" s="89" t="n">
        <v>123.1</v>
      </c>
      <c r="AM190" s="89" t="n">
        <v>113.4</v>
      </c>
      <c r="AN190" s="89" t="n">
        <v>146.7</v>
      </c>
      <c r="AO190" s="89" t="n">
        <v>127.8</v>
      </c>
      <c r="AP190" s="90" t="inlineStr">
        <is>
          <t>N/A</t>
        </is>
      </c>
      <c r="AQ190" s="90" t="inlineStr">
        <is>
          <t>N/A</t>
        </is>
      </c>
      <c r="AR190" s="89" t="n">
        <v>655</v>
      </c>
      <c r="AS190" s="89" t="n">
        <v>0.4</v>
      </c>
      <c r="AT190" s="90" t="inlineStr">
        <is>
          <t>N/A</t>
        </is>
      </c>
      <c r="AU190" s="90" t="inlineStr">
        <is>
          <t>N/A</t>
        </is>
      </c>
      <c r="AV190" s="89" t="n">
        <v>4556.1</v>
      </c>
      <c r="AW190" s="89" t="n">
        <v>4556.1</v>
      </c>
      <c r="AX190" s="90" t="inlineStr">
        <is>
          <t>N/A</t>
        </is>
      </c>
      <c r="AY190" s="90" t="inlineStr">
        <is>
          <t>N/A</t>
        </is>
      </c>
      <c r="AZ190" s="90" t="inlineStr">
        <is>
          <t>N/A</t>
        </is>
      </c>
      <c r="BA190" s="89" t="n">
        <v>127.3</v>
      </c>
      <c r="BB190" s="89" t="n">
        <v>64.40000000000001</v>
      </c>
      <c r="BC190" s="89" t="n">
        <v>64.40000000000001</v>
      </c>
      <c r="BD190" s="90" t="inlineStr">
        <is>
          <t>N/A</t>
        </is>
      </c>
      <c r="BE190" s="89" t="n">
        <v>1245.4</v>
      </c>
      <c r="BF190" s="90" t="inlineStr">
        <is>
          <t>N/A</t>
        </is>
      </c>
      <c r="BG190" s="89" t="n">
        <v>82.8</v>
      </c>
      <c r="BH190" s="89" t="n">
        <v>-1601.1</v>
      </c>
      <c r="BI190" s="89" t="n">
        <v>-180.9</v>
      </c>
      <c r="BJ190" s="90" t="inlineStr">
        <is>
          <t>N/A</t>
        </is>
      </c>
      <c r="BK190" s="90" t="inlineStr">
        <is>
          <t>N/A</t>
        </is>
      </c>
      <c r="BL190" s="90" t="inlineStr">
        <is>
          <t>N/A</t>
        </is>
      </c>
      <c r="BM190" s="90" t="inlineStr">
        <is>
          <t>N/A</t>
        </is>
      </c>
      <c r="BN190" s="90" t="inlineStr">
        <is>
          <t>N/A</t>
        </is>
      </c>
      <c r="BO190" s="90" t="inlineStr">
        <is>
          <t>N/A</t>
        </is>
      </c>
      <c r="BP190" s="90" t="inlineStr">
        <is>
          <t>N/A</t>
        </is>
      </c>
      <c r="BQ190" s="90" t="inlineStr">
        <is>
          <t>N/A</t>
        </is>
      </c>
      <c r="BR190" s="90" t="inlineStr">
        <is>
          <t>N/A</t>
        </is>
      </c>
      <c r="BS190" s="90" t="inlineStr">
        <is>
          <t>N/A</t>
        </is>
      </c>
      <c r="BT190" s="90" t="inlineStr">
        <is>
          <t>N/A</t>
        </is>
      </c>
      <c r="BU190" s="90" t="inlineStr">
        <is>
          <t>N/A</t>
        </is>
      </c>
      <c r="BV190" s="90" t="inlineStr">
        <is>
          <t>N/A</t>
        </is>
      </c>
      <c r="BW190" s="89" t="n">
        <v>0</v>
      </c>
      <c r="BX190" s="89" t="n">
        <v>0</v>
      </c>
      <c r="BY190" s="89" t="n">
        <v>0</v>
      </c>
    </row>
    <row r="191" ht="17" customHeight="1">
      <c r="A191" s="82" t="n">
        <v>189</v>
      </c>
      <c r="B191" s="83" t="inlineStr">
        <is>
          <t>OKE</t>
        </is>
      </c>
      <c r="C191" s="84" t="inlineStr">
        <is>
          <t>ONEOK INC /NEW/</t>
        </is>
      </c>
      <c r="D191" s="82" t="inlineStr">
        <is>
          <t>Energy</t>
        </is>
      </c>
      <c r="E191" s="82" t="n">
        <v>2026</v>
      </c>
      <c r="F191" s="85" t="n">
        <v>66641</v>
      </c>
      <c r="G191" s="85" t="n">
        <v>4488</v>
      </c>
      <c r="H191" s="85" t="n">
        <v>6365</v>
      </c>
      <c r="I191" s="85" t="n">
        <v>66641</v>
      </c>
      <c r="J191" s="85" t="n">
        <v>2373</v>
      </c>
      <c r="K191" s="85" t="n">
        <v>5741</v>
      </c>
      <c r="L191" s="85" t="n">
        <v>22386.9</v>
      </c>
      <c r="M191" s="85" t="n">
        <v>3393</v>
      </c>
      <c r="N191" s="85" t="n">
        <v>5599</v>
      </c>
      <c r="O191" s="85" t="n">
        <v>2106.5</v>
      </c>
      <c r="P191" s="85" t="n">
        <v>32100</v>
      </c>
      <c r="Q191" s="85" t="n">
        <v>22485</v>
      </c>
      <c r="R191" s="91" t="inlineStr">
        <is>
          <t>N/A</t>
        </is>
      </c>
      <c r="S191" s="85" t="n">
        <v>1514</v>
      </c>
      <c r="T191" s="85" t="n">
        <v>3010</v>
      </c>
      <c r="U191" s="85" t="n">
        <v>47861</v>
      </c>
      <c r="V191" s="85" t="n">
        <v>866</v>
      </c>
      <c r="W191" s="85" t="n">
        <v>64069</v>
      </c>
      <c r="X191" s="85" t="n">
        <v>4238</v>
      </c>
      <c r="Y191" s="85" t="n">
        <v>4719</v>
      </c>
      <c r="Z191" s="85" t="n">
        <v>64069</v>
      </c>
      <c r="AA191" s="85" t="n">
        <v>4989</v>
      </c>
      <c r="AB191" s="85" t="n">
        <v>16540.3</v>
      </c>
      <c r="AC191" s="85" t="n">
        <v>3035</v>
      </c>
      <c r="AD191" s="85" t="n">
        <v>4888</v>
      </c>
      <c r="AE191" s="85" t="n">
        <v>563.5</v>
      </c>
      <c r="AF191" s="85" t="n">
        <v>21700</v>
      </c>
      <c r="AG191" s="85" t="n">
        <v>17036</v>
      </c>
      <c r="AH191" s="85" t="n">
        <v>16540.3</v>
      </c>
      <c r="AI191" s="85" t="n">
        <v>64069</v>
      </c>
      <c r="AJ191" s="85" t="n">
        <v>4490</v>
      </c>
      <c r="AK191" s="85" t="n">
        <v>4110</v>
      </c>
      <c r="AL191" s="85" t="n">
        <v>1028</v>
      </c>
      <c r="AM191" s="85" t="n">
        <v>998</v>
      </c>
      <c r="AN191" s="85" t="n">
        <v>3152</v>
      </c>
      <c r="AO191" s="85" t="n">
        <v>2021</v>
      </c>
      <c r="AP191" s="85" t="n">
        <v>948</v>
      </c>
      <c r="AQ191" s="85" t="n">
        <v>748</v>
      </c>
      <c r="AR191" s="85" t="n">
        <v>8058</v>
      </c>
      <c r="AS191" s="85" t="n">
        <v>489.2</v>
      </c>
      <c r="AT191" s="85" t="n">
        <v>820</v>
      </c>
      <c r="AU191" s="91" t="inlineStr">
        <is>
          <t>N/A</t>
        </is>
      </c>
      <c r="AV191" s="85" t="n">
        <v>78</v>
      </c>
      <c r="AW191" s="85" t="n">
        <v>733</v>
      </c>
      <c r="AX191" s="85" t="n">
        <v>32920</v>
      </c>
      <c r="AY191" s="85" t="n">
        <v>21700</v>
      </c>
      <c r="AZ191" s="85" t="n">
        <v>32842</v>
      </c>
      <c r="BA191" s="85" t="n">
        <v>2447</v>
      </c>
      <c r="BB191" s="85" t="n">
        <v>629.7</v>
      </c>
      <c r="BC191" s="85" t="n">
        <v>583.1</v>
      </c>
      <c r="BD191" s="85" t="n">
        <v>2326</v>
      </c>
      <c r="BE191" s="85" t="n">
        <v>45935</v>
      </c>
      <c r="BF191" s="91" t="inlineStr">
        <is>
          <t>N/A</t>
        </is>
      </c>
      <c r="BG191" s="85" t="n">
        <v>1134</v>
      </c>
      <c r="BH191" s="85" t="n">
        <v>-3751</v>
      </c>
      <c r="BI191" s="85" t="n">
        <v>-6612</v>
      </c>
      <c r="BJ191" s="85" t="n">
        <v>2838</v>
      </c>
      <c r="BK191" s="85" t="n">
        <v>2187</v>
      </c>
      <c r="BL191" s="85" t="n">
        <v>104</v>
      </c>
      <c r="BM191" s="85" t="n">
        <v>23.3</v>
      </c>
      <c r="BN191" s="85" t="n">
        <v>97.5</v>
      </c>
      <c r="BO191" s="85" t="n">
        <v>23373</v>
      </c>
      <c r="BP191" s="85" t="n">
        <v>13311</v>
      </c>
      <c r="BQ191" s="85" t="n">
        <v>0</v>
      </c>
      <c r="BR191" s="85" t="n">
        <v>0</v>
      </c>
      <c r="BS191" s="85" t="n">
        <v>0</v>
      </c>
      <c r="BT191" s="85" t="n">
        <v>0</v>
      </c>
      <c r="BU191" s="85" t="n">
        <v>0</v>
      </c>
      <c r="BV191" s="85" t="n">
        <v>0</v>
      </c>
      <c r="BW191" s="85" t="n">
        <v>0</v>
      </c>
      <c r="BX191" s="85" t="n">
        <v>0</v>
      </c>
      <c r="BY191" s="85" t="n">
        <v>0</v>
      </c>
    </row>
    <row r="192" ht="17" customHeight="1">
      <c r="A192" s="86" t="n">
        <v>190</v>
      </c>
      <c r="B192" s="87" t="inlineStr">
        <is>
          <t>HUBS</t>
        </is>
      </c>
      <c r="C192" s="88" t="inlineStr">
        <is>
          <t>HUBSPOT INC</t>
        </is>
      </c>
      <c r="D192" s="86" t="inlineStr">
        <is>
          <t>Information Technology</t>
        </is>
      </c>
      <c r="E192" s="86" t="n">
        <v>2026</v>
      </c>
      <c r="F192" s="89" t="n">
        <v>3854.2</v>
      </c>
      <c r="G192" s="89" t="n">
        <v>2449.7</v>
      </c>
      <c r="H192" s="89" t="n">
        <v>1467.5</v>
      </c>
      <c r="I192" s="89" t="n">
        <v>1787.9</v>
      </c>
      <c r="J192" s="89" t="n">
        <v>-753.9</v>
      </c>
      <c r="K192" s="89" t="n">
        <v>7.4</v>
      </c>
      <c r="L192" s="89" t="n">
        <v>144</v>
      </c>
      <c r="M192" s="89" t="n">
        <v>45.9</v>
      </c>
      <c r="N192" s="89" t="n">
        <v>760.7</v>
      </c>
      <c r="O192" s="89" t="n">
        <v>2622.8</v>
      </c>
      <c r="P192" s="90" t="inlineStr">
        <is>
          <t>N/A</t>
        </is>
      </c>
      <c r="Q192" s="89" t="n">
        <v>2066.2</v>
      </c>
      <c r="R192" s="89" t="n">
        <v>326</v>
      </c>
      <c r="S192" s="89" t="n">
        <v>34.5</v>
      </c>
      <c r="T192" s="89" t="n">
        <v>419.1</v>
      </c>
      <c r="U192" s="89" t="n">
        <v>141.9</v>
      </c>
      <c r="V192" s="89" t="n">
        <v>3.8</v>
      </c>
      <c r="W192" s="89" t="n">
        <v>3795.8</v>
      </c>
      <c r="X192" s="89" t="n">
        <v>2633.6</v>
      </c>
      <c r="Y192" s="89" t="n">
        <v>1573.4</v>
      </c>
      <c r="Z192" s="89" t="n">
        <v>1887.5</v>
      </c>
      <c r="AA192" s="89" t="n">
        <v>-67.59999999999999</v>
      </c>
      <c r="AB192" s="89" t="n">
        <v>131.8</v>
      </c>
      <c r="AC192" s="89" t="n">
        <v>4.6</v>
      </c>
      <c r="AD192" s="89" t="n">
        <v>598.6</v>
      </c>
      <c r="AE192" s="89" t="n">
        <v>2234.3</v>
      </c>
      <c r="AF192" s="90" t="inlineStr">
        <is>
          <t>N/A</t>
        </is>
      </c>
      <c r="AG192" s="89" t="n">
        <v>1908.3</v>
      </c>
      <c r="AH192" s="89" t="n">
        <v>122.6</v>
      </c>
      <c r="AI192" s="89" t="n">
        <v>3795.8</v>
      </c>
      <c r="AJ192" s="89" t="n">
        <v>69.5</v>
      </c>
      <c r="AK192" s="89" t="n">
        <v>28.7</v>
      </c>
      <c r="AL192" s="89" t="n">
        <v>23.6</v>
      </c>
      <c r="AM192" s="89" t="n">
        <v>24</v>
      </c>
      <c r="AN192" s="89" t="n">
        <v>53.2</v>
      </c>
      <c r="AO192" s="89" t="n">
        <v>37.9</v>
      </c>
      <c r="AP192" s="90" t="inlineStr">
        <is>
          <t>N/A</t>
        </is>
      </c>
      <c r="AQ192" s="90" t="inlineStr">
        <is>
          <t>N/A</t>
        </is>
      </c>
      <c r="AR192" s="89" t="n">
        <v>291.5</v>
      </c>
      <c r="AS192" s="89" t="n">
        <v>35.2</v>
      </c>
      <c r="AT192" s="90" t="inlineStr">
        <is>
          <t>N/A</t>
        </is>
      </c>
      <c r="AU192" s="89" t="n">
        <v>905.9</v>
      </c>
      <c r="AV192" s="89" t="n">
        <v>882.2</v>
      </c>
      <c r="AW192" s="89" t="n">
        <v>512.7</v>
      </c>
      <c r="AX192" s="90" t="inlineStr">
        <is>
          <t>N/A</t>
        </is>
      </c>
      <c r="AY192" s="90" t="inlineStr">
        <is>
          <t>N/A</t>
        </is>
      </c>
      <c r="AZ192" s="90" t="inlineStr">
        <is>
          <t>N/A</t>
        </is>
      </c>
      <c r="BA192" s="89" t="n">
        <v>707.6</v>
      </c>
      <c r="BB192" s="89" t="n">
        <v>52.6</v>
      </c>
      <c r="BC192" s="89" t="n">
        <v>51.8</v>
      </c>
      <c r="BD192" s="89" t="n">
        <v>334.8</v>
      </c>
      <c r="BE192" s="89" t="n">
        <v>114.2</v>
      </c>
      <c r="BF192" s="89" t="n">
        <v>300.3</v>
      </c>
      <c r="BG192" s="89" t="n">
        <v>29.7</v>
      </c>
      <c r="BH192" s="89" t="n">
        <v>491.8</v>
      </c>
      <c r="BI192" s="89" t="n">
        <v>-515.9</v>
      </c>
      <c r="BJ192" s="89" t="n">
        <v>24.8</v>
      </c>
      <c r="BK192" s="89" t="n">
        <v>3.6</v>
      </c>
      <c r="BL192" s="89" t="n">
        <v>136.9</v>
      </c>
      <c r="BM192" s="89" t="n">
        <v>95.40000000000001</v>
      </c>
      <c r="BN192" s="90" t="inlineStr">
        <is>
          <t>N/A</t>
        </is>
      </c>
      <c r="BO192" s="89" t="n">
        <v>508.5</v>
      </c>
      <c r="BP192" s="89" t="n">
        <v>393.3</v>
      </c>
      <c r="BQ192" s="89" t="n">
        <v>0</v>
      </c>
      <c r="BR192" s="89" t="n">
        <v>0</v>
      </c>
      <c r="BS192" s="90" t="inlineStr">
        <is>
          <t>N/A</t>
        </is>
      </c>
      <c r="BT192" s="90" t="inlineStr">
        <is>
          <t>N/A</t>
        </is>
      </c>
      <c r="BU192" s="89" t="n">
        <v>0</v>
      </c>
      <c r="BV192" s="89" t="n">
        <v>0</v>
      </c>
      <c r="BW192" s="89" t="n">
        <v>0</v>
      </c>
      <c r="BX192" s="89" t="n">
        <v>0</v>
      </c>
      <c r="BY192" s="89" t="n">
        <v>0</v>
      </c>
    </row>
    <row r="193" ht="17" customHeight="1">
      <c r="A193" s="82" t="n">
        <v>191</v>
      </c>
      <c r="B193" s="83" t="inlineStr">
        <is>
          <t>ZION</t>
        </is>
      </c>
      <c r="C193" s="84" t="inlineStr">
        <is>
          <t>ZIONS BANCORPORATION, NATIONAL ASSOCIATION</t>
        </is>
      </c>
      <c r="D193" s="82" t="inlineStr">
        <is>
          <t>Financials</t>
        </is>
      </c>
      <c r="E193" s="82" t="n">
        <v>2026</v>
      </c>
      <c r="F193" s="85" t="n">
        <v>88990</v>
      </c>
      <c r="G193" s="91" t="inlineStr">
        <is>
          <t>N/A</t>
        </is>
      </c>
      <c r="H193" s="91" t="inlineStr">
        <is>
          <t>N/A</t>
        </is>
      </c>
      <c r="I193" s="85" t="n">
        <v>81810</v>
      </c>
      <c r="J193" s="85" t="n">
        <v>7329</v>
      </c>
      <c r="K193" s="91" t="inlineStr">
        <is>
          <t>N/A</t>
        </is>
      </c>
      <c r="L193" s="85" t="n">
        <v>662</v>
      </c>
      <c r="M193" s="85" t="n">
        <v>899</v>
      </c>
      <c r="N193" s="85" t="n">
        <v>1073</v>
      </c>
      <c r="O193" s="91" t="inlineStr">
        <is>
          <t>N/A</t>
        </is>
      </c>
      <c r="P193" s="85" t="n">
        <v>946</v>
      </c>
      <c r="Q193" s="85" t="n">
        <v>7180</v>
      </c>
      <c r="R193" s="91" t="inlineStr">
        <is>
          <t>N/A</t>
        </is>
      </c>
      <c r="S193" s="85" t="n">
        <v>116</v>
      </c>
      <c r="T193" s="91" t="inlineStr">
        <is>
          <t>N/A</t>
        </is>
      </c>
      <c r="U193" s="85" t="n">
        <v>1142</v>
      </c>
      <c r="V193" s="85" t="n">
        <v>1509</v>
      </c>
      <c r="W193" s="85" t="n">
        <v>88775</v>
      </c>
      <c r="X193" s="91" t="inlineStr">
        <is>
          <t>N/A</t>
        </is>
      </c>
      <c r="Y193" s="91" t="inlineStr">
        <is>
          <t>N/A</t>
        </is>
      </c>
      <c r="Z193" s="85" t="n">
        <v>82651</v>
      </c>
      <c r="AA193" s="91" t="inlineStr">
        <is>
          <t>N/A</t>
        </is>
      </c>
      <c r="AB193" s="85" t="n">
        <v>639</v>
      </c>
      <c r="AC193" s="85" t="n">
        <v>263</v>
      </c>
      <c r="AD193" s="85" t="n">
        <v>1148</v>
      </c>
      <c r="AE193" s="91" t="inlineStr">
        <is>
          <t>N/A</t>
        </is>
      </c>
      <c r="AF193" s="85" t="n">
        <v>542</v>
      </c>
      <c r="AG193" s="85" t="n">
        <v>6124</v>
      </c>
      <c r="AH193" s="85" t="n">
        <v>639</v>
      </c>
      <c r="AI193" s="85" t="n">
        <v>88775</v>
      </c>
      <c r="AJ193" s="85" t="n">
        <v>1175</v>
      </c>
      <c r="AK193" s="91" t="inlineStr">
        <is>
          <t>N/A</t>
        </is>
      </c>
      <c r="AL193" s="85" t="n">
        <v>276</v>
      </c>
      <c r="AM193" s="85" t="n">
        <v>228</v>
      </c>
      <c r="AN193" s="85" t="n">
        <v>121</v>
      </c>
      <c r="AO193" s="85" t="n">
        <v>97</v>
      </c>
      <c r="AP193" s="91" t="inlineStr">
        <is>
          <t>N/A</t>
        </is>
      </c>
      <c r="AQ193" s="91" t="inlineStr">
        <is>
          <t>N/A</t>
        </is>
      </c>
      <c r="AR193" s="85" t="n">
        <v>1060</v>
      </c>
      <c r="AS193" s="85" t="n">
        <v>1</v>
      </c>
      <c r="AT193" s="85" t="n">
        <v>3104</v>
      </c>
      <c r="AU193" s="91" t="inlineStr">
        <is>
          <t>N/A</t>
        </is>
      </c>
      <c r="AV193" s="91" t="inlineStr">
        <is>
          <t>N/A</t>
        </is>
      </c>
      <c r="AW193" s="91" t="inlineStr">
        <is>
          <t>N/A</t>
        </is>
      </c>
      <c r="AX193" s="85" t="n">
        <v>4050</v>
      </c>
      <c r="AY193" s="85" t="n">
        <v>4374</v>
      </c>
      <c r="AZ193" s="85" t="n">
        <v>4050</v>
      </c>
      <c r="BA193" s="85" t="n">
        <v>952</v>
      </c>
      <c r="BB193" s="85" t="n">
        <v>147.7</v>
      </c>
      <c r="BC193" s="85" t="n">
        <v>147.9</v>
      </c>
      <c r="BD193" s="91" t="inlineStr">
        <is>
          <t>N/A</t>
        </is>
      </c>
      <c r="BE193" s="85" t="n">
        <v>1124</v>
      </c>
      <c r="BF193" s="91" t="inlineStr">
        <is>
          <t>N/A</t>
        </is>
      </c>
      <c r="BG193" s="85" t="n">
        <v>124</v>
      </c>
      <c r="BH193" s="85" t="n">
        <v>738</v>
      </c>
      <c r="BI193" s="85" t="n">
        <v>-1640</v>
      </c>
      <c r="BJ193" s="91" t="inlineStr">
        <is>
          <t>N/A</t>
        </is>
      </c>
      <c r="BK193" s="91" t="inlineStr">
        <is>
          <t>N/A</t>
        </is>
      </c>
      <c r="BL193" s="91" t="inlineStr">
        <is>
          <t>N/A</t>
        </is>
      </c>
      <c r="BM193" s="91" t="inlineStr">
        <is>
          <t>N/A</t>
        </is>
      </c>
      <c r="BN193" s="91" t="inlineStr">
        <is>
          <t>N/A</t>
        </is>
      </c>
      <c r="BO193" s="91" t="inlineStr">
        <is>
          <t>N/A</t>
        </is>
      </c>
      <c r="BP193" s="91" t="inlineStr">
        <is>
          <t>N/A</t>
        </is>
      </c>
      <c r="BQ193" s="91" t="inlineStr">
        <is>
          <t>N/A</t>
        </is>
      </c>
      <c r="BR193" s="91" t="inlineStr">
        <is>
          <t>N/A</t>
        </is>
      </c>
      <c r="BS193" s="91" t="inlineStr">
        <is>
          <t>N/A</t>
        </is>
      </c>
      <c r="BT193" s="91" t="inlineStr">
        <is>
          <t>N/A</t>
        </is>
      </c>
      <c r="BU193" s="91" t="inlineStr">
        <is>
          <t>N/A</t>
        </is>
      </c>
      <c r="BV193" s="91" t="inlineStr">
        <is>
          <t>N/A</t>
        </is>
      </c>
      <c r="BW193" s="85" t="n">
        <v>0</v>
      </c>
      <c r="BX193" s="85" t="n">
        <v>0</v>
      </c>
      <c r="BY193" s="85" t="n">
        <v>0</v>
      </c>
    </row>
    <row r="194" ht="17" customHeight="1">
      <c r="A194" s="86" t="n">
        <v>192</v>
      </c>
      <c r="B194" s="87" t="inlineStr">
        <is>
          <t>CCK</t>
        </is>
      </c>
      <c r="C194" s="88" t="inlineStr">
        <is>
          <t>CROWN HOLDINGS, INC.</t>
        </is>
      </c>
      <c r="D194" s="86" t="inlineStr">
        <is>
          <t>Materials</t>
        </is>
      </c>
      <c r="E194" s="86" t="n">
        <v>2026</v>
      </c>
      <c r="F194" s="89" t="n">
        <v>14272</v>
      </c>
      <c r="G194" s="89" t="n">
        <v>4388</v>
      </c>
      <c r="H194" s="89" t="n">
        <v>4266</v>
      </c>
      <c r="I194" s="89" t="n">
        <v>14272</v>
      </c>
      <c r="J194" s="89" t="n">
        <v>3812</v>
      </c>
      <c r="K194" s="89" t="n">
        <v>1553</v>
      </c>
      <c r="L194" s="89" t="n">
        <v>11665</v>
      </c>
      <c r="M194" s="89" t="n">
        <v>738</v>
      </c>
      <c r="N194" s="89" t="n">
        <v>1530</v>
      </c>
      <c r="O194" s="89" t="n">
        <v>512</v>
      </c>
      <c r="P194" s="89" t="n">
        <v>5881</v>
      </c>
      <c r="Q194" s="89" t="n">
        <v>2999</v>
      </c>
      <c r="R194" s="89" t="n">
        <v>632</v>
      </c>
      <c r="S194" s="89" t="n">
        <v>308</v>
      </c>
      <c r="T194" s="89" t="n">
        <v>1023</v>
      </c>
      <c r="U194" s="89" t="n">
        <v>5187</v>
      </c>
      <c r="V194" s="89" t="n">
        <v>452</v>
      </c>
      <c r="W194" s="89" t="n">
        <v>13848</v>
      </c>
      <c r="X194" s="89" t="n">
        <v>4211</v>
      </c>
      <c r="Y194" s="89" t="n">
        <v>3465</v>
      </c>
      <c r="Z194" s="89" t="n">
        <v>13848</v>
      </c>
      <c r="AA194" s="89" t="n">
        <v>1419</v>
      </c>
      <c r="AB194" s="89" t="n">
        <v>2791</v>
      </c>
      <c r="AC194" s="89" t="n">
        <v>424</v>
      </c>
      <c r="AD194" s="89" t="n">
        <v>1192</v>
      </c>
      <c r="AE194" s="89" t="n">
        <v>568</v>
      </c>
      <c r="AF194" s="89" t="n">
        <v>6138</v>
      </c>
      <c r="AG194" s="89" t="n">
        <v>2756</v>
      </c>
      <c r="AH194" s="89" t="n">
        <v>3084</v>
      </c>
      <c r="AI194" s="89" t="n">
        <v>13848</v>
      </c>
      <c r="AJ194" s="89" t="n">
        <v>587</v>
      </c>
      <c r="AK194" s="89" t="n">
        <v>614</v>
      </c>
      <c r="AL194" s="89" t="n">
        <v>281</v>
      </c>
      <c r="AM194" s="89" t="n">
        <v>-22</v>
      </c>
      <c r="AN194" s="89" t="n">
        <v>413</v>
      </c>
      <c r="AO194" s="89" t="n">
        <v>403</v>
      </c>
      <c r="AP194" s="89" t="n">
        <v>1577</v>
      </c>
      <c r="AQ194" s="89" t="n">
        <v>1440</v>
      </c>
      <c r="AR194" s="89" t="n">
        <v>3155</v>
      </c>
      <c r="AS194" s="89" t="n">
        <v>959</v>
      </c>
      <c r="AT194" s="89" t="n">
        <v>83</v>
      </c>
      <c r="AU194" s="89" t="n">
        <v>33</v>
      </c>
      <c r="AV194" s="89" t="n">
        <v>764</v>
      </c>
      <c r="AW194" s="89" t="n">
        <v>918</v>
      </c>
      <c r="AX194" s="89" t="n">
        <v>5964</v>
      </c>
      <c r="AY194" s="89" t="n">
        <v>6204</v>
      </c>
      <c r="AZ194" s="89" t="n">
        <v>5200</v>
      </c>
      <c r="BA194" s="89" t="n">
        <v>1117</v>
      </c>
      <c r="BB194" s="89" t="n">
        <v>113.4</v>
      </c>
      <c r="BC194" s="89" t="n">
        <v>118.5</v>
      </c>
      <c r="BD194" s="89" t="n">
        <v>1030</v>
      </c>
      <c r="BE194" s="89" t="n">
        <v>4927</v>
      </c>
      <c r="BF194" s="89" t="n">
        <v>597</v>
      </c>
      <c r="BG194" s="89" t="n">
        <v>297</v>
      </c>
      <c r="BH194" s="89" t="n">
        <v>-320</v>
      </c>
      <c r="BI194" s="89" t="n">
        <v>-12</v>
      </c>
      <c r="BJ194" s="89" t="n">
        <v>2643</v>
      </c>
      <c r="BK194" s="89" t="n">
        <v>2425</v>
      </c>
      <c r="BL194" s="90" t="inlineStr">
        <is>
          <t>N/A</t>
        </is>
      </c>
      <c r="BM194" s="89" t="n">
        <v>5</v>
      </c>
      <c r="BN194" s="89" t="n">
        <v>89</v>
      </c>
      <c r="BO194" s="90" t="inlineStr">
        <is>
          <t>N/A</t>
        </is>
      </c>
      <c r="BP194" s="90" t="inlineStr">
        <is>
          <t>N/A</t>
        </is>
      </c>
      <c r="BQ194" s="89" t="n">
        <v>0</v>
      </c>
      <c r="BR194" s="89" t="n">
        <v>0</v>
      </c>
      <c r="BS194" s="89" t="n">
        <v>0</v>
      </c>
      <c r="BT194" s="89" t="n">
        <v>0</v>
      </c>
      <c r="BU194" s="89" t="n">
        <v>0</v>
      </c>
      <c r="BV194" s="89" t="n">
        <v>0</v>
      </c>
      <c r="BW194" s="89" t="n">
        <v>0</v>
      </c>
      <c r="BX194" s="89" t="n">
        <v>0</v>
      </c>
      <c r="BY194" s="89" t="n">
        <v>0</v>
      </c>
    </row>
    <row r="195" ht="17" customHeight="1">
      <c r="A195" s="82" t="n">
        <v>193</v>
      </c>
      <c r="B195" s="83" t="inlineStr">
        <is>
          <t>APH</t>
        </is>
      </c>
      <c r="C195" s="84" t="inlineStr">
        <is>
          <t>AMPHENOL CORP /DE/</t>
        </is>
      </c>
      <c r="D195" s="82" t="inlineStr">
        <is>
          <t>Information Technology</t>
        </is>
      </c>
      <c r="E195" s="82" t="n">
        <v>2026</v>
      </c>
      <c r="F195" s="85" t="n">
        <v>36236.9</v>
      </c>
      <c r="G195" s="85" t="n">
        <v>20267.2</v>
      </c>
      <c r="H195" s="85" t="n">
        <v>6802.8</v>
      </c>
      <c r="I195" s="85" t="n">
        <v>22727.2</v>
      </c>
      <c r="J195" s="85" t="n">
        <v>9854.299999999999</v>
      </c>
      <c r="K195" s="85" t="n">
        <v>5868.6</v>
      </c>
      <c r="L195" s="85" t="n">
        <v>23094.7</v>
      </c>
      <c r="M195" s="85" t="n">
        <v>4270.3</v>
      </c>
      <c r="N195" s="85" t="n">
        <v>5374.7</v>
      </c>
      <c r="O195" s="85" t="n">
        <v>8517.700000000001</v>
      </c>
      <c r="P195" s="85" t="n">
        <v>3542.6</v>
      </c>
      <c r="Q195" s="85" t="n">
        <v>13413.1</v>
      </c>
      <c r="R195" s="85" t="n">
        <v>2545.7</v>
      </c>
      <c r="S195" s="85" t="n">
        <v>922.4</v>
      </c>
      <c r="T195" s="85" t="n">
        <v>4717.1</v>
      </c>
      <c r="U195" s="85" t="n">
        <v>2305.6</v>
      </c>
      <c r="V195" s="85" t="n">
        <v>139.5</v>
      </c>
      <c r="W195" s="85" t="n">
        <v>21440.2</v>
      </c>
      <c r="X195" s="85" t="n">
        <v>9686</v>
      </c>
      <c r="Y195" s="85" t="n">
        <v>4083.8</v>
      </c>
      <c r="Z195" s="85" t="n">
        <v>11584.1</v>
      </c>
      <c r="AA195" s="85" t="n">
        <v>3156.9</v>
      </c>
      <c r="AB195" s="85" t="n">
        <v>15222.7</v>
      </c>
      <c r="AC195" s="85" t="n">
        <v>2424</v>
      </c>
      <c r="AD195" s="85" t="n">
        <v>2814.7</v>
      </c>
      <c r="AE195" s="85" t="n">
        <v>5139.7</v>
      </c>
      <c r="AF195" s="85" t="n">
        <v>3010.7</v>
      </c>
      <c r="AG195" s="85" t="n">
        <v>9792</v>
      </c>
      <c r="AH195" s="85" t="n">
        <v>15222.7</v>
      </c>
      <c r="AI195" s="85" t="n">
        <v>21440.2</v>
      </c>
      <c r="AJ195" s="85" t="n">
        <v>5600.7</v>
      </c>
      <c r="AK195" s="85" t="n">
        <v>3011.9</v>
      </c>
      <c r="AL195" s="85" t="n">
        <v>1295.4</v>
      </c>
      <c r="AM195" s="85" t="n">
        <v>570.3</v>
      </c>
      <c r="AN195" s="85" t="n">
        <v>996.6</v>
      </c>
      <c r="AO195" s="85" t="n">
        <v>665.4</v>
      </c>
      <c r="AP195" s="85" t="n">
        <v>3424.9</v>
      </c>
      <c r="AQ195" s="85" t="n">
        <v>2545.7</v>
      </c>
      <c r="AR195" s="85" t="n">
        <v>10575.4</v>
      </c>
      <c r="AS195" s="85" t="n">
        <v>1972.3</v>
      </c>
      <c r="AT195" s="85" t="n">
        <v>1.1</v>
      </c>
      <c r="AU195" s="85" t="n">
        <v>647</v>
      </c>
      <c r="AV195" s="85" t="n">
        <v>11130.6</v>
      </c>
      <c r="AW195" s="85" t="n">
        <v>3317</v>
      </c>
      <c r="AX195" s="85" t="n">
        <v>3543.7</v>
      </c>
      <c r="AY195" s="85" t="n">
        <v>3010.7</v>
      </c>
      <c r="AZ195" s="85" t="n">
        <v>-7586.9</v>
      </c>
      <c r="BA195" s="85" t="n">
        <v>4378.1</v>
      </c>
      <c r="BB195" s="85" t="n">
        <v>1226.6</v>
      </c>
      <c r="BC195" s="85" t="n">
        <v>1209.3</v>
      </c>
      <c r="BD195" s="85" t="n">
        <v>3287.9</v>
      </c>
      <c r="BE195" s="85" t="n">
        <v>1711.8</v>
      </c>
      <c r="BF195" s="85" t="n">
        <v>1855.4</v>
      </c>
      <c r="BG195" s="85" t="n">
        <v>572.5</v>
      </c>
      <c r="BH195" s="85" t="n">
        <v>-5082.1</v>
      </c>
      <c r="BI195" s="85" t="n">
        <v>-2648.6</v>
      </c>
      <c r="BJ195" s="85" t="n">
        <v>2661.9</v>
      </c>
      <c r="BK195" s="85" t="n">
        <v>1819.4</v>
      </c>
      <c r="BL195" s="91" t="inlineStr">
        <is>
          <t>N/A</t>
        </is>
      </c>
      <c r="BM195" s="91" t="inlineStr">
        <is>
          <t>N/A</t>
        </is>
      </c>
      <c r="BN195" s="85" t="n">
        <v>482.9</v>
      </c>
      <c r="BO195" s="85" t="n">
        <v>14577</v>
      </c>
      <c r="BP195" s="85" t="n">
        <v>10083</v>
      </c>
      <c r="BQ195" s="85" t="n">
        <v>0</v>
      </c>
      <c r="BR195" s="85" t="n">
        <v>0</v>
      </c>
      <c r="BS195" s="85" t="n">
        <v>0</v>
      </c>
      <c r="BT195" s="85" t="n">
        <v>0</v>
      </c>
      <c r="BU195" s="85" t="n">
        <v>0</v>
      </c>
      <c r="BV195" s="85" t="n">
        <v>0</v>
      </c>
      <c r="BW195" s="85" t="n">
        <v>0</v>
      </c>
      <c r="BX195" s="85" t="n">
        <v>0</v>
      </c>
      <c r="BY195" s="85" t="n">
        <v>0</v>
      </c>
    </row>
    <row r="196" ht="17" customHeight="1">
      <c r="A196" s="86" t="n">
        <v>194</v>
      </c>
      <c r="B196" s="87" t="inlineStr">
        <is>
          <t>BAH</t>
        </is>
      </c>
      <c r="C196" s="88" t="inlineStr">
        <is>
          <t>BOOZ ALLEN HAMILTON HOLDING CORPORATION</t>
        </is>
      </c>
      <c r="D196" s="86" t="inlineStr">
        <is>
          <t>Industrials</t>
        </is>
      </c>
      <c r="E196" s="86" t="n">
        <v>2026</v>
      </c>
      <c r="F196" s="89" t="n">
        <v>7118</v>
      </c>
      <c r="G196" s="89" t="n">
        <v>2961</v>
      </c>
      <c r="H196" s="89" t="n">
        <v>1663</v>
      </c>
      <c r="I196" s="89" t="n">
        <v>6013</v>
      </c>
      <c r="J196" s="89" t="n">
        <v>3644</v>
      </c>
      <c r="K196" s="89" t="n">
        <v>1033</v>
      </c>
      <c r="L196" s="89" t="n">
        <v>11217</v>
      </c>
      <c r="M196" s="89" t="n">
        <v>851</v>
      </c>
      <c r="N196" s="89" t="n">
        <v>1041</v>
      </c>
      <c r="O196" s="89" t="n">
        <v>5912</v>
      </c>
      <c r="P196" s="89" t="n">
        <v>3940</v>
      </c>
      <c r="Q196" s="89" t="n">
        <v>1105</v>
      </c>
      <c r="R196" s="89" t="n">
        <v>1266</v>
      </c>
      <c r="S196" s="89" t="n">
        <v>163</v>
      </c>
      <c r="T196" s="89" t="n">
        <v>2063</v>
      </c>
      <c r="U196" s="89" t="n">
        <v>171</v>
      </c>
      <c r="V196" s="89" t="n">
        <v>172.9</v>
      </c>
      <c r="W196" s="89" t="n">
        <v>7312</v>
      </c>
      <c r="X196" s="89" t="n">
        <v>3313</v>
      </c>
      <c r="Y196" s="89" t="n">
        <v>1846</v>
      </c>
      <c r="Z196" s="89" t="n">
        <v>6309</v>
      </c>
      <c r="AA196" s="89" t="n">
        <v>1370</v>
      </c>
      <c r="AB196" s="89" t="n">
        <v>11980</v>
      </c>
      <c r="AC196" s="89" t="n">
        <v>935</v>
      </c>
      <c r="AD196" s="89" t="n">
        <v>1009</v>
      </c>
      <c r="AE196" s="89" t="n">
        <v>6561</v>
      </c>
      <c r="AF196" s="89" t="n">
        <v>3998</v>
      </c>
      <c r="AG196" s="89" t="n">
        <v>1003</v>
      </c>
      <c r="AH196" s="89" t="n">
        <v>11980</v>
      </c>
      <c r="AI196" s="89" t="n">
        <v>7312</v>
      </c>
      <c r="AJ196" s="89" t="n">
        <v>862</v>
      </c>
      <c r="AK196" s="89" t="n">
        <v>1219</v>
      </c>
      <c r="AL196" s="89" t="n">
        <v>11</v>
      </c>
      <c r="AM196" s="89" t="n">
        <v>284</v>
      </c>
      <c r="AN196" s="89" t="n">
        <v>78.40000000000001</v>
      </c>
      <c r="AO196" s="89" t="n">
        <v>53.9</v>
      </c>
      <c r="AP196" s="90" t="inlineStr">
        <is>
          <t>N/A</t>
        </is>
      </c>
      <c r="AQ196" s="90" t="inlineStr">
        <is>
          <t>N/A</t>
        </is>
      </c>
      <c r="AR196" s="89" t="n">
        <v>2399</v>
      </c>
      <c r="AS196" s="89" t="n">
        <v>319</v>
      </c>
      <c r="AT196" s="89" t="n">
        <v>19</v>
      </c>
      <c r="AU196" s="90" t="inlineStr">
        <is>
          <t>N/A</t>
        </is>
      </c>
      <c r="AV196" s="89" t="n">
        <v>728</v>
      </c>
      <c r="AW196" s="89" t="n">
        <v>885</v>
      </c>
      <c r="AX196" s="89" t="n">
        <v>3959</v>
      </c>
      <c r="AY196" s="89" t="n">
        <v>3998</v>
      </c>
      <c r="AZ196" s="89" t="n">
        <v>3231</v>
      </c>
      <c r="BA196" s="89" t="n">
        <v>962.6</v>
      </c>
      <c r="BB196" s="89" t="n">
        <v>120.3</v>
      </c>
      <c r="BC196" s="89" t="n">
        <v>124.9</v>
      </c>
      <c r="BD196" s="89" t="n">
        <v>2271</v>
      </c>
      <c r="BE196" s="89" t="n">
        <v>177</v>
      </c>
      <c r="BF196" s="89" t="n">
        <v>1246</v>
      </c>
      <c r="BG196" s="89" t="n">
        <v>165</v>
      </c>
      <c r="BH196" s="89" t="n">
        <v>-300</v>
      </c>
      <c r="BI196" s="89" t="n">
        <v>-218</v>
      </c>
      <c r="BJ196" s="89" t="n">
        <v>909</v>
      </c>
      <c r="BK196" s="89" t="n">
        <v>987</v>
      </c>
      <c r="BL196" s="89" t="n">
        <v>28</v>
      </c>
      <c r="BM196" s="89" t="n">
        <v>18</v>
      </c>
      <c r="BN196" s="89" t="n">
        <v>10</v>
      </c>
      <c r="BO196" s="89" t="n">
        <v>5305</v>
      </c>
      <c r="BP196" s="89" t="n">
        <v>5419</v>
      </c>
      <c r="BQ196" s="89" t="n">
        <v>0</v>
      </c>
      <c r="BR196" s="89" t="n">
        <v>0</v>
      </c>
      <c r="BS196" s="90" t="inlineStr">
        <is>
          <t>N/A</t>
        </is>
      </c>
      <c r="BT196" s="90" t="inlineStr">
        <is>
          <t>N/A</t>
        </is>
      </c>
      <c r="BU196" s="89" t="n">
        <v>0</v>
      </c>
      <c r="BV196" s="89" t="n">
        <v>0</v>
      </c>
      <c r="BW196" s="89" t="n">
        <v>0</v>
      </c>
      <c r="BX196" s="89" t="n">
        <v>0</v>
      </c>
      <c r="BY196" s="89" t="n">
        <v>0</v>
      </c>
    </row>
    <row r="197" ht="17" customHeight="1">
      <c r="A197" s="82" t="n">
        <v>195</v>
      </c>
      <c r="B197" s="83" t="inlineStr">
        <is>
          <t>MS</t>
        </is>
      </c>
      <c r="C197" s="84" t="inlineStr">
        <is>
          <t>MORGAN STANLEY</t>
        </is>
      </c>
      <c r="D197" s="82" t="inlineStr">
        <is>
          <t>Financials</t>
        </is>
      </c>
      <c r="E197" s="82" t="n">
        <v>2026</v>
      </c>
      <c r="F197" s="85" t="n">
        <v>1420270</v>
      </c>
      <c r="G197" s="91" t="inlineStr">
        <is>
          <t>N/A</t>
        </is>
      </c>
      <c r="H197" s="91" t="inlineStr">
        <is>
          <t>N/A</t>
        </is>
      </c>
      <c r="I197" s="85" t="n">
        <v>1307618</v>
      </c>
      <c r="J197" s="85" t="n">
        <v>115091</v>
      </c>
      <c r="K197" s="85" t="n">
        <v>21954</v>
      </c>
      <c r="L197" s="85" t="n">
        <v>34275</v>
      </c>
      <c r="M197" s="85" t="n">
        <v>16861</v>
      </c>
      <c r="N197" s="85" t="n">
        <v>-17889</v>
      </c>
      <c r="O197" s="91" t="inlineStr">
        <is>
          <t>N/A</t>
        </is>
      </c>
      <c r="P197" s="85" t="n">
        <v>341681</v>
      </c>
      <c r="Q197" s="85" t="n">
        <v>111632</v>
      </c>
      <c r="R197" s="91" t="inlineStr">
        <is>
          <t>N/A</t>
        </is>
      </c>
      <c r="S197" s="85" t="n">
        <v>4658</v>
      </c>
      <c r="T197" s="85" t="n">
        <v>46197</v>
      </c>
      <c r="U197" s="85" t="n">
        <v>6373</v>
      </c>
      <c r="V197" s="85" t="n">
        <v>42051</v>
      </c>
      <c r="W197" s="85" t="n">
        <v>1215071</v>
      </c>
      <c r="X197" s="91" t="inlineStr">
        <is>
          <t>N/A</t>
        </is>
      </c>
      <c r="Y197" s="91" t="inlineStr">
        <is>
          <t>N/A</t>
        </is>
      </c>
      <c r="Z197" s="85" t="n">
        <v>1109643</v>
      </c>
      <c r="AA197" s="85" t="n">
        <v>17596</v>
      </c>
      <c r="AB197" s="85" t="n">
        <v>7764</v>
      </c>
      <c r="AC197" s="85" t="n">
        <v>13390</v>
      </c>
      <c r="AD197" s="85" t="n">
        <v>1362</v>
      </c>
      <c r="AE197" s="91" t="inlineStr">
        <is>
          <t>N/A</t>
        </is>
      </c>
      <c r="AF197" s="85" t="n">
        <v>284307</v>
      </c>
      <c r="AG197" s="85" t="n">
        <v>104511</v>
      </c>
      <c r="AH197" s="85" t="n">
        <v>8907</v>
      </c>
      <c r="AI197" s="85" t="n">
        <v>1215071</v>
      </c>
      <c r="AJ197" s="85" t="n">
        <v>21954</v>
      </c>
      <c r="AK197" s="85" t="n">
        <v>17596</v>
      </c>
      <c r="AL197" s="85" t="n">
        <v>4929</v>
      </c>
      <c r="AM197" s="85" t="n">
        <v>4067</v>
      </c>
      <c r="AN197" s="91" t="inlineStr">
        <is>
          <t>N/A</t>
        </is>
      </c>
      <c r="AO197" s="91" t="inlineStr">
        <is>
          <t>N/A</t>
        </is>
      </c>
      <c r="AP197" s="91" t="inlineStr">
        <is>
          <t>N/A</t>
        </is>
      </c>
      <c r="AQ197" s="91" t="inlineStr">
        <is>
          <t>N/A</t>
        </is>
      </c>
      <c r="AR197" s="85" t="n">
        <v>16726</v>
      </c>
      <c r="AS197" s="85" t="n">
        <v>6010</v>
      </c>
      <c r="AT197" s="85" t="n">
        <v>941</v>
      </c>
      <c r="AU197" s="91" t="inlineStr">
        <is>
          <t>N/A</t>
        </is>
      </c>
      <c r="AV197" s="85" t="n">
        <v>111695</v>
      </c>
      <c r="AW197" s="85" t="n">
        <v>105386</v>
      </c>
      <c r="AX197" s="85" t="n">
        <v>342622</v>
      </c>
      <c r="AY197" s="85" t="n">
        <v>286480</v>
      </c>
      <c r="AZ197" s="85" t="n">
        <v>230927</v>
      </c>
      <c r="BA197" s="91" t="inlineStr">
        <is>
          <t>N/A</t>
        </is>
      </c>
      <c r="BB197" s="85" t="n">
        <v>1582.8</v>
      </c>
      <c r="BC197" s="85" t="n">
        <v>1606.7</v>
      </c>
      <c r="BD197" s="85" t="n">
        <v>33977</v>
      </c>
      <c r="BE197" s="85" t="n">
        <v>6108</v>
      </c>
      <c r="BF197" s="91" t="inlineStr">
        <is>
          <t>N/A</t>
        </is>
      </c>
      <c r="BG197" s="85" t="n">
        <v>5161</v>
      </c>
      <c r="BH197" s="85" t="n">
        <v>-46779</v>
      </c>
      <c r="BI197" s="85" t="n">
        <v>-29460</v>
      </c>
      <c r="BJ197" s="91" t="inlineStr">
        <is>
          <t>N/A</t>
        </is>
      </c>
      <c r="BK197" s="91" t="inlineStr">
        <is>
          <t>N/A</t>
        </is>
      </c>
      <c r="BL197" s="91" t="inlineStr">
        <is>
          <t>N/A</t>
        </is>
      </c>
      <c r="BM197" s="91" t="inlineStr">
        <is>
          <t>N/A</t>
        </is>
      </c>
      <c r="BN197" s="91" t="inlineStr">
        <is>
          <t>N/A</t>
        </is>
      </c>
      <c r="BO197" s="91" t="inlineStr">
        <is>
          <t>N/A</t>
        </is>
      </c>
      <c r="BP197" s="91" t="inlineStr">
        <is>
          <t>N/A</t>
        </is>
      </c>
      <c r="BQ197" s="85" t="n">
        <v>0</v>
      </c>
      <c r="BR197" s="85" t="n">
        <v>0</v>
      </c>
      <c r="BS197" s="91" t="inlineStr">
        <is>
          <t>N/A</t>
        </is>
      </c>
      <c r="BT197" s="91" t="inlineStr">
        <is>
          <t>N/A</t>
        </is>
      </c>
      <c r="BU197" s="91" t="inlineStr">
        <is>
          <t>N/A</t>
        </is>
      </c>
      <c r="BV197" s="91" t="inlineStr">
        <is>
          <t>N/A</t>
        </is>
      </c>
      <c r="BW197" s="85" t="n">
        <v>0</v>
      </c>
      <c r="BX197" s="85" t="n">
        <v>-0</v>
      </c>
      <c r="BY197" s="85" t="n">
        <v>0</v>
      </c>
    </row>
    <row r="198" ht="17" customHeight="1">
      <c r="A198" s="86" t="n">
        <v>196</v>
      </c>
      <c r="B198" s="87" t="inlineStr">
        <is>
          <t>CUBE</t>
        </is>
      </c>
      <c r="C198" s="88" t="inlineStr">
        <is>
          <t>CUBESMART</t>
        </is>
      </c>
      <c r="D198" s="86" t="inlineStr">
        <is>
          <t>Real Estate</t>
        </is>
      </c>
      <c r="E198" s="86" t="n">
        <v>2026</v>
      </c>
      <c r="F198" s="89" t="n">
        <v>6643.2</v>
      </c>
      <c r="G198" s="90" t="inlineStr">
        <is>
          <t>N/A</t>
        </is>
      </c>
      <c r="H198" s="90" t="inlineStr">
        <is>
          <t>N/A</t>
        </is>
      </c>
      <c r="I198" s="89" t="n">
        <v>3861.1</v>
      </c>
      <c r="J198" s="89" t="n">
        <v>-1585.1</v>
      </c>
      <c r="K198" s="89" t="n">
        <v>195.7</v>
      </c>
      <c r="L198" s="89" t="n">
        <v>1123.1</v>
      </c>
      <c r="M198" s="89" t="n">
        <v>42</v>
      </c>
      <c r="N198" s="89" t="n">
        <v>608.5</v>
      </c>
      <c r="O198" s="89" t="n">
        <v>1043.2</v>
      </c>
      <c r="P198" s="90" t="inlineStr">
        <is>
          <t>N/A</t>
        </is>
      </c>
      <c r="Q198" s="89" t="n">
        <v>2719.4</v>
      </c>
      <c r="R198" s="89" t="n">
        <v>64.7</v>
      </c>
      <c r="S198" s="89" t="n">
        <v>258.2</v>
      </c>
      <c r="T198" s="89" t="n">
        <v>9.699999999999999</v>
      </c>
      <c r="U198" s="90" t="inlineStr">
        <is>
          <t>N/A</t>
        </is>
      </c>
      <c r="V198" s="89" t="n">
        <v>62.1</v>
      </c>
      <c r="W198" s="89" t="n">
        <v>6394.2</v>
      </c>
      <c r="X198" s="90" t="inlineStr">
        <is>
          <t>N/A</t>
        </is>
      </c>
      <c r="Y198" s="90" t="inlineStr">
        <is>
          <t>N/A</t>
        </is>
      </c>
      <c r="Z198" s="89" t="n">
        <v>3440.3</v>
      </c>
      <c r="AA198" s="89" t="n">
        <v>143</v>
      </c>
      <c r="AB198" s="89" t="n">
        <v>1066.2</v>
      </c>
      <c r="AC198" s="89" t="n">
        <v>42.2</v>
      </c>
      <c r="AD198" s="89" t="n">
        <v>631.1</v>
      </c>
      <c r="AE198" s="89" t="n">
        <v>945.4</v>
      </c>
      <c r="AF198" s="90" t="inlineStr">
        <is>
          <t>N/A</t>
        </is>
      </c>
      <c r="AG198" s="89" t="n">
        <v>2871.9</v>
      </c>
      <c r="AH198" s="89" t="n">
        <v>1066.2</v>
      </c>
      <c r="AI198" s="89" t="n">
        <v>6394.2</v>
      </c>
      <c r="AJ198" s="90" t="inlineStr">
        <is>
          <t>N/A</t>
        </is>
      </c>
      <c r="AK198" s="90" t="inlineStr">
        <is>
          <t>N/A</t>
        </is>
      </c>
      <c r="AL198" s="90" t="inlineStr">
        <is>
          <t>N/A</t>
        </is>
      </c>
      <c r="AM198" s="90" t="inlineStr">
        <is>
          <t>N/A</t>
        </is>
      </c>
      <c r="AN198" s="89" t="n">
        <v>118.3</v>
      </c>
      <c r="AO198" s="89" t="n">
        <v>227.5</v>
      </c>
      <c r="AP198" s="90" t="inlineStr">
        <is>
          <t>N/A</t>
        </is>
      </c>
      <c r="AQ198" s="90" t="inlineStr">
        <is>
          <t>N/A</t>
        </is>
      </c>
      <c r="AR198" s="90" t="inlineStr">
        <is>
          <t>N/A</t>
        </is>
      </c>
      <c r="AS198" s="89" t="n">
        <v>7.8</v>
      </c>
      <c r="AT198" s="90" t="inlineStr">
        <is>
          <t>N/A</t>
        </is>
      </c>
      <c r="AU198" s="90" t="inlineStr">
        <is>
          <t>N/A</t>
        </is>
      </c>
      <c r="AV198" s="89" t="n">
        <v>5.8</v>
      </c>
      <c r="AW198" s="89" t="n">
        <v>71.59999999999999</v>
      </c>
      <c r="AX198" s="90" t="inlineStr">
        <is>
          <t>N/A</t>
        </is>
      </c>
      <c r="AY198" s="90" t="inlineStr">
        <is>
          <t>N/A</t>
        </is>
      </c>
      <c r="AZ198" s="90" t="inlineStr">
        <is>
          <t>N/A</t>
        </is>
      </c>
      <c r="BA198" s="89" t="n">
        <v>490.2</v>
      </c>
      <c r="BB198" s="89" t="n">
        <v>227.3</v>
      </c>
      <c r="BC198" s="89" t="n">
        <v>227.8</v>
      </c>
      <c r="BD198" s="89" t="n">
        <v>10.4</v>
      </c>
      <c r="BE198" s="90" t="inlineStr">
        <is>
          <t>N/A</t>
        </is>
      </c>
      <c r="BF198" s="89" t="n">
        <v>59.7</v>
      </c>
      <c r="BG198" s="89" t="n">
        <v>205.7</v>
      </c>
      <c r="BH198" s="89" t="n">
        <v>-571.3</v>
      </c>
      <c r="BI198" s="89" t="n">
        <v>-174</v>
      </c>
      <c r="BJ198" s="90" t="inlineStr">
        <is>
          <t>N/A</t>
        </is>
      </c>
      <c r="BK198" s="90" t="inlineStr">
        <is>
          <t>N/A</t>
        </is>
      </c>
      <c r="BL198" s="89" t="n">
        <v>41.6</v>
      </c>
      <c r="BM198" s="89" t="n">
        <v>38.9</v>
      </c>
      <c r="BN198" s="90" t="inlineStr">
        <is>
          <t>N/A</t>
        </is>
      </c>
      <c r="BO198" s="89" t="n">
        <v>79.90000000000001</v>
      </c>
      <c r="BP198" s="89" t="n">
        <v>120.8</v>
      </c>
      <c r="BQ198" s="89" t="n">
        <v>0</v>
      </c>
      <c r="BR198" s="89" t="n">
        <v>0</v>
      </c>
      <c r="BS198" s="90" t="inlineStr">
        <is>
          <t>N/A</t>
        </is>
      </c>
      <c r="BT198" s="90" t="inlineStr">
        <is>
          <t>N/A</t>
        </is>
      </c>
      <c r="BU198" s="90" t="inlineStr">
        <is>
          <t>N/A</t>
        </is>
      </c>
      <c r="BV198" s="90" t="inlineStr">
        <is>
          <t>N/A</t>
        </is>
      </c>
      <c r="BW198" s="89" t="n">
        <v>0</v>
      </c>
      <c r="BX198" s="89" t="n">
        <v>0</v>
      </c>
      <c r="BY198" s="90" t="inlineStr">
        <is>
          <t>N/A</t>
        </is>
      </c>
    </row>
    <row r="199" ht="17" customHeight="1">
      <c r="A199" s="82" t="n">
        <v>197</v>
      </c>
      <c r="B199" s="83" t="inlineStr">
        <is>
          <t>FTI</t>
        </is>
      </c>
      <c r="C199" s="84" t="inlineStr">
        <is>
          <t>TechnipFMC plc</t>
        </is>
      </c>
      <c r="D199" s="82" t="inlineStr">
        <is>
          <t>Energy</t>
        </is>
      </c>
      <c r="E199" s="82" t="n">
        <v>2026</v>
      </c>
      <c r="F199" s="85" t="n">
        <v>10118.2</v>
      </c>
      <c r="G199" s="85" t="n">
        <v>5545.3</v>
      </c>
      <c r="H199" s="85" t="n">
        <v>4914.8</v>
      </c>
      <c r="I199" s="85" t="n">
        <v>6712.9</v>
      </c>
      <c r="J199" s="85" t="n">
        <v>-3761.4</v>
      </c>
      <c r="K199" s="85" t="n">
        <v>1436.1</v>
      </c>
      <c r="L199" s="85" t="n">
        <v>9932.6</v>
      </c>
      <c r="M199" s="85" t="n">
        <v>963.9</v>
      </c>
      <c r="N199" s="85" t="n">
        <v>1764.6</v>
      </c>
      <c r="O199" s="85" t="n">
        <v>2570.8</v>
      </c>
      <c r="P199" s="85" t="n">
        <v>430</v>
      </c>
      <c r="Q199" s="85" t="n">
        <v>3363.8</v>
      </c>
      <c r="R199" s="85" t="n">
        <v>705.3</v>
      </c>
      <c r="S199" s="85" t="n">
        <v>441.8</v>
      </c>
      <c r="T199" s="85" t="n">
        <v>2287.1</v>
      </c>
      <c r="U199" s="85" t="n">
        <v>2285.3</v>
      </c>
      <c r="V199" s="85" t="n">
        <v>122.2</v>
      </c>
      <c r="W199" s="85" t="n">
        <v>9869.200000000001</v>
      </c>
      <c r="X199" s="85" t="n">
        <v>5467.6</v>
      </c>
      <c r="Y199" s="85" t="n">
        <v>4864.8</v>
      </c>
      <c r="Z199" s="85" t="n">
        <v>6730.8</v>
      </c>
      <c r="AA199" s="85" t="n">
        <v>1157.3</v>
      </c>
      <c r="AB199" s="85" t="n">
        <v>9083.299999999999</v>
      </c>
      <c r="AC199" s="85" t="n">
        <v>842.9</v>
      </c>
      <c r="AD199" s="85" t="n">
        <v>961</v>
      </c>
      <c r="AE199" s="85" t="n">
        <v>2542.1</v>
      </c>
      <c r="AF199" s="85" t="n">
        <v>885.2</v>
      </c>
      <c r="AG199" s="85" t="n">
        <v>3093.8</v>
      </c>
      <c r="AH199" s="85" t="n">
        <v>9083.299999999999</v>
      </c>
      <c r="AI199" s="85" t="n">
        <v>9869.200000000001</v>
      </c>
      <c r="AJ199" s="85" t="n">
        <v>1270</v>
      </c>
      <c r="AK199" s="85" t="n">
        <v>940.4</v>
      </c>
      <c r="AL199" s="85" t="n">
        <v>302.9</v>
      </c>
      <c r="AM199" s="85" t="n">
        <v>85.09999999999999</v>
      </c>
      <c r="AN199" s="85" t="n">
        <v>317.2</v>
      </c>
      <c r="AO199" s="85" t="n">
        <v>281.6</v>
      </c>
      <c r="AP199" s="85" t="n">
        <v>1153</v>
      </c>
      <c r="AQ199" s="85" t="n">
        <v>1076.7</v>
      </c>
      <c r="AR199" s="85" t="n">
        <v>2512.5</v>
      </c>
      <c r="AS199" s="85" t="n">
        <v>425.7</v>
      </c>
      <c r="AT199" s="85" t="n">
        <v>495.4</v>
      </c>
      <c r="AU199" s="85" t="n">
        <v>83.09999999999999</v>
      </c>
      <c r="AV199" s="85" t="n">
        <v>1031.9</v>
      </c>
      <c r="AW199" s="85" t="n">
        <v>1157.7</v>
      </c>
      <c r="AX199" s="85" t="n">
        <v>925.4</v>
      </c>
      <c r="AY199" s="85" t="n">
        <v>952.6</v>
      </c>
      <c r="AZ199" s="85" t="n">
        <v>-106.5</v>
      </c>
      <c r="BA199" s="85" t="n">
        <v>1447.4</v>
      </c>
      <c r="BB199" s="85" t="n">
        <v>400.7</v>
      </c>
      <c r="BC199" s="85" t="n">
        <v>423.1</v>
      </c>
      <c r="BD199" s="85" t="n">
        <v>2469.7</v>
      </c>
      <c r="BE199" s="85" t="n">
        <v>2133.8</v>
      </c>
      <c r="BF199" s="85" t="n">
        <v>667.1</v>
      </c>
      <c r="BG199" s="85" t="n">
        <v>392.7</v>
      </c>
      <c r="BH199" s="85" t="n">
        <v>-298.3</v>
      </c>
      <c r="BI199" s="85" t="n">
        <v>-75.8</v>
      </c>
      <c r="BJ199" s="85" t="n">
        <v>1179.8</v>
      </c>
      <c r="BK199" s="85" t="n">
        <v>1302.6</v>
      </c>
      <c r="BL199" s="85" t="n">
        <v>2148.9</v>
      </c>
      <c r="BM199" s="85" t="n">
        <v>1786.6</v>
      </c>
      <c r="BN199" s="85" t="n">
        <v>142.1</v>
      </c>
      <c r="BO199" s="85" t="n">
        <v>7361.8</v>
      </c>
      <c r="BP199" s="85" t="n">
        <v>6541.2</v>
      </c>
      <c r="BQ199" s="85" t="n">
        <v>0</v>
      </c>
      <c r="BR199" s="85" t="n">
        <v>0</v>
      </c>
      <c r="BS199" s="85" t="n">
        <v>0</v>
      </c>
      <c r="BT199" s="85" t="n">
        <v>0</v>
      </c>
      <c r="BU199" s="85" t="n">
        <v>0</v>
      </c>
      <c r="BV199" s="85" t="n">
        <v>0</v>
      </c>
      <c r="BW199" s="85" t="n">
        <v>0</v>
      </c>
      <c r="BX199" s="85" t="n">
        <v>0</v>
      </c>
      <c r="BY199" s="85" t="n">
        <v>0</v>
      </c>
    </row>
    <row r="200" ht="17" customHeight="1">
      <c r="A200" s="86" t="n">
        <v>198</v>
      </c>
      <c r="B200" s="87" t="inlineStr">
        <is>
          <t>TROW</t>
        </is>
      </c>
      <c r="C200" s="88" t="inlineStr">
        <is>
          <t>PRICE T ROWE GROUP INC</t>
        </is>
      </c>
      <c r="D200" s="86" t="inlineStr">
        <is>
          <t>Financials</t>
        </is>
      </c>
      <c r="E200" s="86" t="n">
        <v>2026</v>
      </c>
      <c r="F200" s="89" t="n">
        <v>14341.8</v>
      </c>
      <c r="G200" s="90" t="inlineStr">
        <is>
          <t>N/A</t>
        </is>
      </c>
      <c r="H200" s="90" t="inlineStr">
        <is>
          <t>N/A</t>
        </is>
      </c>
      <c r="I200" s="89" t="n">
        <v>2288.6</v>
      </c>
      <c r="J200" s="90" t="inlineStr">
        <is>
          <t>N/A</t>
        </is>
      </c>
      <c r="K200" s="89" t="n">
        <v>2188.8</v>
      </c>
      <c r="L200" s="89" t="n">
        <v>2370.7</v>
      </c>
      <c r="M200" s="89" t="n">
        <v>2087.1</v>
      </c>
      <c r="N200" s="89" t="n">
        <v>1753.4</v>
      </c>
      <c r="O200" s="89" t="n">
        <v>2747.1</v>
      </c>
      <c r="P200" s="90" t="inlineStr">
        <is>
          <t>N/A</t>
        </is>
      </c>
      <c r="Q200" s="89" t="n">
        <v>10860.1</v>
      </c>
      <c r="R200" s="90" t="inlineStr">
        <is>
          <t>N/A</t>
        </is>
      </c>
      <c r="S200" s="90" t="inlineStr">
        <is>
          <t>N/A</t>
        </is>
      </c>
      <c r="T200" s="89" t="n">
        <v>931.2</v>
      </c>
      <c r="U200" s="89" t="n">
        <v>845.3</v>
      </c>
      <c r="V200" s="90" t="inlineStr">
        <is>
          <t>N/A</t>
        </is>
      </c>
      <c r="W200" s="89" t="n">
        <v>13472</v>
      </c>
      <c r="X200" s="90" t="inlineStr">
        <is>
          <t>N/A</t>
        </is>
      </c>
      <c r="Y200" s="90" t="inlineStr">
        <is>
          <t>N/A</t>
        </is>
      </c>
      <c r="Z200" s="89" t="n">
        <v>2021.9</v>
      </c>
      <c r="AA200" s="89" t="n">
        <v>2333.3</v>
      </c>
      <c r="AB200" s="89" t="n">
        <v>1871.9</v>
      </c>
      <c r="AC200" s="89" t="n">
        <v>2100.1</v>
      </c>
      <c r="AD200" s="89" t="n">
        <v>1685.6</v>
      </c>
      <c r="AE200" s="89" t="n">
        <v>671.6</v>
      </c>
      <c r="AF200" s="90" t="inlineStr">
        <is>
          <t>N/A</t>
        </is>
      </c>
      <c r="AG200" s="89" t="n">
        <v>10345.4</v>
      </c>
      <c r="AH200" s="89" t="n">
        <v>1871.9</v>
      </c>
      <c r="AI200" s="89" t="n">
        <v>13472</v>
      </c>
      <c r="AJ200" s="89" t="n">
        <v>2875.5</v>
      </c>
      <c r="AK200" s="89" t="n">
        <v>2819.6</v>
      </c>
      <c r="AL200" s="89" t="n">
        <v>667.2</v>
      </c>
      <c r="AM200" s="89" t="n">
        <v>683.8</v>
      </c>
      <c r="AN200" s="89" t="n">
        <v>274.2</v>
      </c>
      <c r="AO200" s="89" t="n">
        <v>423.4</v>
      </c>
      <c r="AP200" s="90" t="inlineStr">
        <is>
          <t>N/A</t>
        </is>
      </c>
      <c r="AQ200" s="90" t="inlineStr">
        <is>
          <t>N/A</t>
        </is>
      </c>
      <c r="AR200" s="89" t="n">
        <v>2642.8</v>
      </c>
      <c r="AS200" s="89" t="n">
        <v>1.1</v>
      </c>
      <c r="AT200" s="90" t="inlineStr">
        <is>
          <t>N/A</t>
        </is>
      </c>
      <c r="AU200" s="90" t="inlineStr">
        <is>
          <t>N/A</t>
        </is>
      </c>
      <c r="AV200" s="89" t="n">
        <v>3378.2</v>
      </c>
      <c r="AW200" s="89" t="n">
        <v>2649.8</v>
      </c>
      <c r="AX200" s="90" t="inlineStr">
        <is>
          <t>N/A</t>
        </is>
      </c>
      <c r="AY200" s="90" t="inlineStr">
        <is>
          <t>N/A</t>
        </is>
      </c>
      <c r="AZ200" s="90" t="inlineStr">
        <is>
          <t>N/A</t>
        </is>
      </c>
      <c r="BA200" s="89" t="n">
        <v>1479.2</v>
      </c>
      <c r="BB200" s="89" t="n">
        <v>218.6</v>
      </c>
      <c r="BC200" s="89" t="n">
        <v>223</v>
      </c>
      <c r="BD200" s="89" t="n">
        <v>877.4</v>
      </c>
      <c r="BE200" s="89" t="n">
        <v>977</v>
      </c>
      <c r="BF200" s="90" t="inlineStr">
        <is>
          <t>N/A</t>
        </is>
      </c>
      <c r="BG200" s="89" t="n">
        <v>0.4</v>
      </c>
      <c r="BH200" s="89" t="n">
        <v>230.3</v>
      </c>
      <c r="BI200" s="89" t="n">
        <v>-177.5</v>
      </c>
      <c r="BJ200" s="90" t="inlineStr">
        <is>
          <t>N/A</t>
        </is>
      </c>
      <c r="BK200" s="90" t="inlineStr">
        <is>
          <t>N/A</t>
        </is>
      </c>
      <c r="BL200" s="90" t="inlineStr">
        <is>
          <t>N/A</t>
        </is>
      </c>
      <c r="BM200" s="90" t="inlineStr">
        <is>
          <t>N/A</t>
        </is>
      </c>
      <c r="BN200" s="90" t="inlineStr">
        <is>
          <t>N/A</t>
        </is>
      </c>
      <c r="BO200" s="89" t="n">
        <v>5126</v>
      </c>
      <c r="BP200" s="89" t="n">
        <v>4760.3</v>
      </c>
      <c r="BQ200" s="89" t="n">
        <v>0</v>
      </c>
      <c r="BR200" s="89" t="n">
        <v>0</v>
      </c>
      <c r="BS200" s="90" t="inlineStr">
        <is>
          <t>N/A</t>
        </is>
      </c>
      <c r="BT200" s="90" t="inlineStr">
        <is>
          <t>N/A</t>
        </is>
      </c>
      <c r="BU200" s="90" t="inlineStr">
        <is>
          <t>N/A</t>
        </is>
      </c>
      <c r="BV200" s="90" t="inlineStr">
        <is>
          <t>N/A</t>
        </is>
      </c>
      <c r="BW200" s="89" t="n">
        <v>0</v>
      </c>
      <c r="BX200" s="89" t="n">
        <v>0</v>
      </c>
      <c r="BY200" s="89" t="n">
        <v>0</v>
      </c>
    </row>
    <row r="201" ht="17" customHeight="1">
      <c r="A201" s="82" t="n">
        <v>199</v>
      </c>
      <c r="B201" s="83" t="inlineStr">
        <is>
          <t>DIOD</t>
        </is>
      </c>
      <c r="C201" s="84" t="inlineStr">
        <is>
          <t>DIODES INC /DEL/</t>
        </is>
      </c>
      <c r="D201" s="82" t="inlineStr">
        <is>
          <t>Information Technology</t>
        </is>
      </c>
      <c r="E201" s="82" t="n">
        <v>2026</v>
      </c>
      <c r="F201" s="85" t="n">
        <v>2448.1</v>
      </c>
      <c r="G201" s="85" t="n">
        <v>1257</v>
      </c>
      <c r="H201" s="85" t="n">
        <v>378.3</v>
      </c>
      <c r="I201" s="85" t="n">
        <v>509.7</v>
      </c>
      <c r="J201" s="91" t="inlineStr">
        <is>
          <t>N/A</t>
        </is>
      </c>
      <c r="K201" s="85" t="n">
        <v>35.5</v>
      </c>
      <c r="L201" s="85" t="n">
        <v>1482.1</v>
      </c>
      <c r="M201" s="85" t="n">
        <v>66.09999999999999</v>
      </c>
      <c r="N201" s="85" t="n">
        <v>215.5</v>
      </c>
      <c r="O201" s="85" t="n">
        <v>462.4</v>
      </c>
      <c r="P201" s="85" t="n">
        <v>25.7</v>
      </c>
      <c r="Q201" s="85" t="n">
        <v>1878.1</v>
      </c>
      <c r="R201" s="85" t="n">
        <v>241.6</v>
      </c>
      <c r="S201" s="85" t="n">
        <v>121.5</v>
      </c>
      <c r="T201" s="85" t="n">
        <v>307.1</v>
      </c>
      <c r="U201" s="85" t="n">
        <v>649.6</v>
      </c>
      <c r="V201" s="85" t="n">
        <v>2.3</v>
      </c>
      <c r="W201" s="85" t="n">
        <v>2386.3</v>
      </c>
      <c r="X201" s="85" t="n">
        <v>1224.2</v>
      </c>
      <c r="Y201" s="85" t="n">
        <v>375.6</v>
      </c>
      <c r="Z201" s="85" t="n">
        <v>517.3</v>
      </c>
      <c r="AA201" s="85" t="n">
        <v>50.5</v>
      </c>
      <c r="AB201" s="85" t="n">
        <v>1311.1</v>
      </c>
      <c r="AC201" s="85" t="n">
        <v>44</v>
      </c>
      <c r="AD201" s="85" t="n">
        <v>119.4</v>
      </c>
      <c r="AE201" s="85" t="n">
        <v>435.9</v>
      </c>
      <c r="AF201" s="85" t="n">
        <v>20.7</v>
      </c>
      <c r="AG201" s="85" t="n">
        <v>1795.3</v>
      </c>
      <c r="AH201" s="85" t="n">
        <v>1311.1</v>
      </c>
      <c r="AI201" s="85" t="n">
        <v>2386.3</v>
      </c>
      <c r="AJ201" s="85" t="n">
        <v>84</v>
      </c>
      <c r="AK201" s="85" t="n">
        <v>62.7</v>
      </c>
      <c r="AL201" s="85" t="n">
        <v>14.8</v>
      </c>
      <c r="AM201" s="85" t="n">
        <v>11.8</v>
      </c>
      <c r="AN201" s="85" t="n">
        <v>78.40000000000001</v>
      </c>
      <c r="AO201" s="85" t="n">
        <v>73</v>
      </c>
      <c r="AP201" s="85" t="n">
        <v>471.5</v>
      </c>
      <c r="AQ201" s="85" t="n">
        <v>474.9</v>
      </c>
      <c r="AR201" s="85" t="n">
        <v>183.4</v>
      </c>
      <c r="AS201" s="85" t="n">
        <v>36.1</v>
      </c>
      <c r="AT201" s="85" t="n">
        <v>0.3</v>
      </c>
      <c r="AU201" s="85" t="n">
        <v>162.2</v>
      </c>
      <c r="AV201" s="85" t="n">
        <v>367.2</v>
      </c>
      <c r="AW201" s="85" t="n">
        <v>308.7</v>
      </c>
      <c r="AX201" s="85" t="n">
        <v>26</v>
      </c>
      <c r="AY201" s="85" t="n">
        <v>21.8</v>
      </c>
      <c r="AZ201" s="85" t="n">
        <v>-341.3</v>
      </c>
      <c r="BA201" s="85" t="n">
        <v>137.2</v>
      </c>
      <c r="BB201" s="85" t="n">
        <v>45.9</v>
      </c>
      <c r="BC201" s="85" t="n">
        <v>46.3</v>
      </c>
      <c r="BD201" s="85" t="n">
        <v>325.5</v>
      </c>
      <c r="BE201" s="85" t="n">
        <v>684.3</v>
      </c>
      <c r="BF201" s="85" t="n">
        <v>233.9</v>
      </c>
      <c r="BG201" s="85" t="n">
        <v>120.6</v>
      </c>
      <c r="BH201" s="85" t="n">
        <v>-116.2</v>
      </c>
      <c r="BI201" s="85" t="n">
        <v>-118</v>
      </c>
      <c r="BJ201" s="85" t="n">
        <v>149.4</v>
      </c>
      <c r="BK201" s="85" t="n">
        <v>133.8</v>
      </c>
      <c r="BL201" s="91" t="inlineStr">
        <is>
          <t>N/A</t>
        </is>
      </c>
      <c r="BM201" s="91" t="inlineStr">
        <is>
          <t>N/A</t>
        </is>
      </c>
      <c r="BN201" s="85" t="n">
        <v>16.3</v>
      </c>
      <c r="BO201" s="85" t="n">
        <v>1019.6</v>
      </c>
      <c r="BP201" s="85" t="n">
        <v>875.3</v>
      </c>
      <c r="BQ201" s="85" t="n">
        <v>0</v>
      </c>
      <c r="BR201" s="85" t="n">
        <v>0</v>
      </c>
      <c r="BS201" s="85" t="n">
        <v>0</v>
      </c>
      <c r="BT201" s="85" t="n">
        <v>0</v>
      </c>
      <c r="BU201" s="85" t="n">
        <v>0</v>
      </c>
      <c r="BV201" s="85" t="n">
        <v>0</v>
      </c>
      <c r="BW201" s="85" t="n">
        <v>0</v>
      </c>
      <c r="BX201" s="85" t="n">
        <v>0</v>
      </c>
      <c r="BY201" s="85" t="n">
        <v>0</v>
      </c>
    </row>
    <row r="202" ht="17" customHeight="1">
      <c r="A202" s="86" t="n">
        <v>200</v>
      </c>
      <c r="B202" s="87" t="inlineStr">
        <is>
          <t>ABT</t>
        </is>
      </c>
      <c r="C202" s="88" t="inlineStr">
        <is>
          <t>ABBOTT LABORATORIES</t>
        </is>
      </c>
      <c r="D202" s="86" t="inlineStr">
        <is>
          <t>Health Care</t>
        </is>
      </c>
      <c r="E202" s="86" t="n">
        <v>2026</v>
      </c>
      <c r="F202" s="89" t="n">
        <v>86713</v>
      </c>
      <c r="G202" s="89" t="n">
        <v>25996</v>
      </c>
      <c r="H202" s="89" t="n">
        <v>16496</v>
      </c>
      <c r="I202" s="89" t="n">
        <v>86713</v>
      </c>
      <c r="J202" s="89" t="n">
        <v>49781</v>
      </c>
      <c r="K202" s="89" t="n">
        <v>8053</v>
      </c>
      <c r="L202" s="89" t="n">
        <v>44328</v>
      </c>
      <c r="M202" s="89" t="n">
        <v>6524</v>
      </c>
      <c r="N202" s="89" t="n">
        <v>9566</v>
      </c>
      <c r="O202" s="89" t="n">
        <v>4397</v>
      </c>
      <c r="P202" s="89" t="n">
        <v>12929</v>
      </c>
      <c r="Q202" s="89" t="n">
        <v>52130</v>
      </c>
      <c r="R202" s="89" t="n">
        <v>12332</v>
      </c>
      <c r="S202" s="89" t="n">
        <v>1434</v>
      </c>
      <c r="T202" s="89" t="n">
        <v>7929</v>
      </c>
      <c r="U202" s="89" t="n">
        <v>11816</v>
      </c>
      <c r="V202" s="89" t="n">
        <v>637</v>
      </c>
      <c r="W202" s="89" t="n">
        <v>81414</v>
      </c>
      <c r="X202" s="89" t="n">
        <v>23656</v>
      </c>
      <c r="Y202" s="89" t="n">
        <v>14157</v>
      </c>
      <c r="Z202" s="89" t="n">
        <v>81414</v>
      </c>
      <c r="AA202" s="89" t="n">
        <v>6825</v>
      </c>
      <c r="AB202" s="89" t="n">
        <v>41950</v>
      </c>
      <c r="AC202" s="89" t="n">
        <v>13402</v>
      </c>
      <c r="AD202" s="89" t="n">
        <v>8558</v>
      </c>
      <c r="AE202" s="89" t="n">
        <v>4234</v>
      </c>
      <c r="AF202" s="89" t="n">
        <v>14125</v>
      </c>
      <c r="AG202" s="89" t="n">
        <v>47664</v>
      </c>
      <c r="AH202" s="89" t="n">
        <v>41950</v>
      </c>
      <c r="AI202" s="89" t="n">
        <v>81414</v>
      </c>
      <c r="AJ202" s="89" t="n">
        <v>8466</v>
      </c>
      <c r="AK202" s="89" t="n">
        <v>7013</v>
      </c>
      <c r="AL202" s="89" t="n">
        <v>1942</v>
      </c>
      <c r="AM202" s="89" t="n">
        <v>-6389</v>
      </c>
      <c r="AN202" s="89" t="n">
        <v>2171</v>
      </c>
      <c r="AO202" s="89" t="n">
        <v>2207</v>
      </c>
      <c r="AP202" s="89" t="n">
        <v>6488</v>
      </c>
      <c r="AQ202" s="89" t="n">
        <v>6194</v>
      </c>
      <c r="AR202" s="89" t="n">
        <v>24035</v>
      </c>
      <c r="AS202" s="89" t="n">
        <v>5526</v>
      </c>
      <c r="AT202" s="90" t="inlineStr">
        <is>
          <t>N/A</t>
        </is>
      </c>
      <c r="AU202" s="89" t="n">
        <v>2942</v>
      </c>
      <c r="AV202" s="89" t="n">
        <v>8522</v>
      </c>
      <c r="AW202" s="89" t="n">
        <v>7616</v>
      </c>
      <c r="AX202" s="89" t="n">
        <v>12929</v>
      </c>
      <c r="AY202" s="89" t="n">
        <v>14125</v>
      </c>
      <c r="AZ202" s="89" t="n">
        <v>4407</v>
      </c>
      <c r="BA202" s="89" t="n">
        <v>7395</v>
      </c>
      <c r="BB202" s="89" t="n">
        <v>1996.8</v>
      </c>
      <c r="BC202" s="89" t="n">
        <v>1991.5</v>
      </c>
      <c r="BD202" s="89" t="n">
        <v>6925</v>
      </c>
      <c r="BE202" s="89" t="n">
        <v>10658</v>
      </c>
      <c r="BF202" s="89" t="n">
        <v>11697</v>
      </c>
      <c r="BG202" s="89" t="n">
        <v>1340</v>
      </c>
      <c r="BH202" s="89" t="n">
        <v>-2422</v>
      </c>
      <c r="BI202" s="89" t="n">
        <v>-2338</v>
      </c>
      <c r="BJ202" s="90" t="inlineStr">
        <is>
          <t>N/A</t>
        </is>
      </c>
      <c r="BK202" s="90" t="inlineStr">
        <is>
          <t>N/A</t>
        </is>
      </c>
      <c r="BL202" s="89" t="n">
        <v>633</v>
      </c>
      <c r="BM202" s="89" t="n">
        <v>568</v>
      </c>
      <c r="BN202" s="89" t="n">
        <v>569</v>
      </c>
      <c r="BO202" s="89" t="n">
        <v>19319</v>
      </c>
      <c r="BP202" s="89" t="n">
        <v>18706</v>
      </c>
      <c r="BQ202" s="89" t="n">
        <v>0</v>
      </c>
      <c r="BR202" s="89" t="n">
        <v>0</v>
      </c>
      <c r="BS202" s="89" t="n">
        <v>0</v>
      </c>
      <c r="BT202" s="89" t="n">
        <v>0</v>
      </c>
      <c r="BU202" s="89" t="n">
        <v>0</v>
      </c>
      <c r="BV202" s="90" t="inlineStr">
        <is>
          <t>N/A</t>
        </is>
      </c>
      <c r="BW202" s="89" t="n">
        <v>0</v>
      </c>
      <c r="BX202" s="89" t="n">
        <v>0</v>
      </c>
      <c r="BY202" s="89" t="n">
        <v>0</v>
      </c>
    </row>
    <row r="203" ht="17" customHeight="1">
      <c r="A203" s="82" t="n">
        <v>201</v>
      </c>
      <c r="B203" s="83" t="inlineStr">
        <is>
          <t>DAN</t>
        </is>
      </c>
      <c r="C203" s="84" t="inlineStr">
        <is>
          <t>Dana Incorporated</t>
        </is>
      </c>
      <c r="D203" s="82" t="inlineStr">
        <is>
          <t>Consumer Discretionary</t>
        </is>
      </c>
      <c r="E203" s="82" t="n">
        <v>2026</v>
      </c>
      <c r="F203" s="85" t="n">
        <v>7808</v>
      </c>
      <c r="G203" s="85" t="n">
        <v>3868</v>
      </c>
      <c r="H203" s="85" t="n">
        <v>3308</v>
      </c>
      <c r="I203" s="85" t="n">
        <v>6909</v>
      </c>
      <c r="J203" s="85" t="n">
        <v>235</v>
      </c>
      <c r="K203" s="85" t="n">
        <v>139</v>
      </c>
      <c r="L203" s="85" t="n">
        <v>7500</v>
      </c>
      <c r="M203" s="85" t="n">
        <v>85</v>
      </c>
      <c r="N203" s="85" t="n">
        <v>512</v>
      </c>
      <c r="O203" s="85" t="n">
        <v>211</v>
      </c>
      <c r="P203" s="85" t="n">
        <v>855</v>
      </c>
      <c r="Q203" s="85" t="n">
        <v>840</v>
      </c>
      <c r="R203" s="85" t="n">
        <v>387</v>
      </c>
      <c r="S203" s="85" t="n">
        <v>345</v>
      </c>
      <c r="T203" s="85" t="n">
        <v>987</v>
      </c>
      <c r="U203" s="85" t="n">
        <v>2265</v>
      </c>
      <c r="V203" s="85" t="n">
        <v>181</v>
      </c>
      <c r="W203" s="85" t="n">
        <v>7485</v>
      </c>
      <c r="X203" s="85" t="n">
        <v>3703</v>
      </c>
      <c r="Y203" s="85" t="n">
        <v>2561</v>
      </c>
      <c r="Z203" s="85" t="n">
        <v>5900</v>
      </c>
      <c r="AA203" s="85" t="n">
        <v>226</v>
      </c>
      <c r="AB203" s="85" t="n">
        <v>1867</v>
      </c>
      <c r="AC203" s="85" t="n">
        <v>-50</v>
      </c>
      <c r="AD203" s="85" t="n">
        <v>450</v>
      </c>
      <c r="AE203" s="85" t="n">
        <v>214</v>
      </c>
      <c r="AF203" s="85" t="n">
        <v>780</v>
      </c>
      <c r="AG203" s="85" t="n">
        <v>1333</v>
      </c>
      <c r="AH203" s="85" t="n">
        <v>1917</v>
      </c>
      <c r="AI203" s="85" t="n">
        <v>7486</v>
      </c>
      <c r="AJ203" s="85" t="n">
        <v>-171</v>
      </c>
      <c r="AK203" s="91" t="inlineStr">
        <is>
          <t>N/A</t>
        </is>
      </c>
      <c r="AL203" s="85" t="n">
        <v>53</v>
      </c>
      <c r="AM203" s="85" t="n">
        <v>139</v>
      </c>
      <c r="AN203" s="85" t="n">
        <v>164</v>
      </c>
      <c r="AO203" s="85" t="n">
        <v>196</v>
      </c>
      <c r="AP203" s="85" t="n">
        <v>1015</v>
      </c>
      <c r="AQ203" s="85" t="n">
        <v>1547</v>
      </c>
      <c r="AR203" s="85" t="n">
        <v>250</v>
      </c>
      <c r="AS203" s="85" t="n">
        <v>71</v>
      </c>
      <c r="AT203" s="85" t="n">
        <v>615</v>
      </c>
      <c r="AU203" s="85" t="n">
        <v>105</v>
      </c>
      <c r="AV203" s="85" t="n">
        <v>469</v>
      </c>
      <c r="AW203" s="85" t="n">
        <v>494</v>
      </c>
      <c r="AX203" s="85" t="n">
        <v>1470</v>
      </c>
      <c r="AY203" s="85" t="n">
        <v>788</v>
      </c>
      <c r="AZ203" s="85" t="n">
        <v>1001</v>
      </c>
      <c r="BA203" s="85" t="n">
        <v>348</v>
      </c>
      <c r="BB203" s="85" t="n">
        <v>112.3</v>
      </c>
      <c r="BC203" s="85" t="n">
        <v>145</v>
      </c>
      <c r="BD203" s="85" t="n">
        <v>1195</v>
      </c>
      <c r="BE203" s="85" t="n">
        <v>1850</v>
      </c>
      <c r="BF203" s="85" t="n">
        <v>524</v>
      </c>
      <c r="BG203" s="85" t="n">
        <v>401</v>
      </c>
      <c r="BH203" s="85" t="n">
        <v>-222</v>
      </c>
      <c r="BI203" s="85" t="n">
        <v>-352</v>
      </c>
      <c r="BJ203" s="85" t="n">
        <v>1154</v>
      </c>
      <c r="BK203" s="85" t="n">
        <v>1522</v>
      </c>
      <c r="BL203" s="85" t="n">
        <v>8</v>
      </c>
      <c r="BM203" s="85" t="n">
        <v>8</v>
      </c>
      <c r="BN203" s="85" t="n">
        <v>75</v>
      </c>
      <c r="BO203" s="85" t="n">
        <v>6898</v>
      </c>
      <c r="BP203" s="85" t="n">
        <v>1687</v>
      </c>
      <c r="BQ203" s="85" t="n">
        <v>0</v>
      </c>
      <c r="BR203" s="85" t="n">
        <v>0</v>
      </c>
      <c r="BS203" s="85" t="n">
        <v>0</v>
      </c>
      <c r="BT203" s="85" t="n">
        <v>0</v>
      </c>
      <c r="BU203" s="85" t="n">
        <v>0</v>
      </c>
      <c r="BV203" s="85" t="n">
        <v>0</v>
      </c>
      <c r="BW203" s="85" t="n">
        <v>0</v>
      </c>
      <c r="BX203" s="85" t="n">
        <v>0</v>
      </c>
      <c r="BY203" s="85" t="n">
        <v>-0</v>
      </c>
    </row>
    <row r="204" ht="17" customHeight="1">
      <c r="A204" s="86" t="n">
        <v>202</v>
      </c>
      <c r="B204" s="87" t="inlineStr">
        <is>
          <t>POOL</t>
        </is>
      </c>
      <c r="C204" s="88" t="inlineStr">
        <is>
          <t>POOL CORPORATION</t>
        </is>
      </c>
      <c r="D204" s="86" t="inlineStr">
        <is>
          <t>Consumer Discretionary</t>
        </is>
      </c>
      <c r="E204" s="86" t="n">
        <v>2026</v>
      </c>
      <c r="F204" s="89" t="n">
        <v>3626.1</v>
      </c>
      <c r="G204" s="89" t="n">
        <v>1969.9</v>
      </c>
      <c r="H204" s="89" t="n">
        <v>880.3</v>
      </c>
      <c r="I204" s="89" t="n">
        <v>2440.9</v>
      </c>
      <c r="J204" s="89" t="n">
        <v>520.7</v>
      </c>
      <c r="K204" s="89" t="n">
        <v>580.2</v>
      </c>
      <c r="L204" s="89" t="n">
        <v>5289.4</v>
      </c>
      <c r="M204" s="89" t="n">
        <v>406.4</v>
      </c>
      <c r="N204" s="89" t="n">
        <v>365.9</v>
      </c>
      <c r="O204" s="89" t="n">
        <v>1572.5</v>
      </c>
      <c r="P204" s="89" t="n">
        <v>666.8</v>
      </c>
      <c r="Q204" s="89" t="n">
        <v>1185.2</v>
      </c>
      <c r="R204" s="89" t="n">
        <v>992.3</v>
      </c>
      <c r="S204" s="89" t="n">
        <v>42.7</v>
      </c>
      <c r="T204" s="89" t="n">
        <v>136.1</v>
      </c>
      <c r="U204" s="89" t="n">
        <v>267.1</v>
      </c>
      <c r="V204" s="89" t="n">
        <v>8</v>
      </c>
      <c r="W204" s="89" t="n">
        <v>3368.2</v>
      </c>
      <c r="X204" s="89" t="n">
        <v>1729.1</v>
      </c>
      <c r="Y204" s="89" t="n">
        <v>844.2</v>
      </c>
      <c r="Z204" s="89" t="n">
        <v>2094.7</v>
      </c>
      <c r="AA204" s="89" t="n">
        <v>617.2</v>
      </c>
      <c r="AB204" s="89" t="n">
        <v>5311</v>
      </c>
      <c r="AC204" s="89" t="n">
        <v>434.3</v>
      </c>
      <c r="AD204" s="89" t="n">
        <v>659.2</v>
      </c>
      <c r="AE204" s="89" t="n">
        <v>1575.3</v>
      </c>
      <c r="AF204" s="89" t="n">
        <v>519.6</v>
      </c>
      <c r="AG204" s="89" t="n">
        <v>1273.5</v>
      </c>
      <c r="AH204" s="89" t="n">
        <v>5311</v>
      </c>
      <c r="AI204" s="89" t="n">
        <v>3368.2</v>
      </c>
      <c r="AJ204" s="89" t="n">
        <v>520.6</v>
      </c>
      <c r="AK204" s="90" t="inlineStr">
        <is>
          <t>N/A</t>
        </is>
      </c>
      <c r="AL204" s="89" t="n">
        <v>127.1</v>
      </c>
      <c r="AM204" s="89" t="n">
        <v>132.8</v>
      </c>
      <c r="AN204" s="89" t="n">
        <v>56.3</v>
      </c>
      <c r="AO204" s="89" t="n">
        <v>59.5</v>
      </c>
      <c r="AP204" s="89" t="n">
        <v>1454.7</v>
      </c>
      <c r="AQ204" s="89" t="n">
        <v>1289.3</v>
      </c>
      <c r="AR204" s="89" t="n">
        <v>707.3</v>
      </c>
      <c r="AS204" s="89" t="n">
        <v>283.9</v>
      </c>
      <c r="AT204" s="89" t="n">
        <v>13</v>
      </c>
      <c r="AU204" s="90" t="inlineStr">
        <is>
          <t>N/A</t>
        </is>
      </c>
      <c r="AV204" s="89" t="n">
        <v>16.4</v>
      </c>
      <c r="AW204" s="89" t="n">
        <v>29.9</v>
      </c>
      <c r="AX204" s="89" t="n">
        <v>679.8</v>
      </c>
      <c r="AY204" s="89" t="n">
        <v>569.1</v>
      </c>
      <c r="AZ204" s="89" t="n">
        <v>663.4</v>
      </c>
      <c r="BA204" s="89" t="n">
        <v>309.5</v>
      </c>
      <c r="BB204" s="89" t="n">
        <v>36.6</v>
      </c>
      <c r="BC204" s="89" t="n">
        <v>37.7</v>
      </c>
      <c r="BD204" s="89" t="n">
        <v>115.8</v>
      </c>
      <c r="BE204" s="89" t="n">
        <v>251.3</v>
      </c>
      <c r="BF204" s="89" t="n">
        <v>958.1</v>
      </c>
      <c r="BG204" s="89" t="n">
        <v>36.8</v>
      </c>
      <c r="BH204" s="89" t="n">
        <v>-67.8</v>
      </c>
      <c r="BI204" s="89" t="n">
        <v>-66.2</v>
      </c>
      <c r="BJ204" s="89" t="n">
        <v>652.6</v>
      </c>
      <c r="BK204" s="89" t="n">
        <v>525.2</v>
      </c>
      <c r="BL204" s="90" t="inlineStr">
        <is>
          <t>N/A</t>
        </is>
      </c>
      <c r="BM204" s="90" t="inlineStr">
        <is>
          <t>N/A</t>
        </is>
      </c>
      <c r="BN204" s="89" t="n">
        <v>23.6</v>
      </c>
      <c r="BO204" s="89" t="n">
        <v>3716.9</v>
      </c>
      <c r="BP204" s="89" t="n">
        <v>3735.6</v>
      </c>
      <c r="BQ204" s="89" t="n">
        <v>0</v>
      </c>
      <c r="BR204" s="89" t="n">
        <v>0</v>
      </c>
      <c r="BS204" s="89" t="n">
        <v>0</v>
      </c>
      <c r="BT204" s="89" t="n">
        <v>0</v>
      </c>
      <c r="BU204" s="89" t="n">
        <v>0</v>
      </c>
      <c r="BV204" s="89" t="n">
        <v>0</v>
      </c>
      <c r="BW204" s="89" t="n">
        <v>0</v>
      </c>
      <c r="BX204" s="89" t="n">
        <v>0</v>
      </c>
      <c r="BY204" s="89" t="n">
        <v>0</v>
      </c>
    </row>
    <row r="205" ht="17" customHeight="1">
      <c r="A205" s="82" t="n">
        <v>203</v>
      </c>
      <c r="B205" s="83" t="inlineStr">
        <is>
          <t>RGLD</t>
        </is>
      </c>
      <c r="C205" s="84" t="inlineStr">
        <is>
          <t>Royal Gold, Inc</t>
        </is>
      </c>
      <c r="D205" s="82" t="inlineStr">
        <is>
          <t>Materials</t>
        </is>
      </c>
      <c r="E205" s="82" t="n">
        <v>2026</v>
      </c>
      <c r="F205" s="85" t="n">
        <v>9537.5</v>
      </c>
      <c r="G205" s="85" t="n">
        <v>377.4</v>
      </c>
      <c r="H205" s="85" t="n">
        <v>120.9</v>
      </c>
      <c r="I205" s="85" t="n">
        <v>2332.2</v>
      </c>
      <c r="J205" s="85" t="n">
        <v>1227.2</v>
      </c>
      <c r="K205" s="85" t="n">
        <v>638.2</v>
      </c>
      <c r="L205" s="85" t="n">
        <v>1030.5</v>
      </c>
      <c r="M205" s="85" t="n">
        <v>466.3</v>
      </c>
      <c r="N205" s="85" t="n">
        <v>704.8</v>
      </c>
      <c r="O205" s="85" t="n">
        <v>714.3</v>
      </c>
      <c r="P205" s="85" t="n">
        <v>895.4</v>
      </c>
      <c r="Q205" s="85" t="n">
        <v>7157.1</v>
      </c>
      <c r="R205" s="85" t="n">
        <v>49.2</v>
      </c>
      <c r="S205" s="85" t="n">
        <v>0.5</v>
      </c>
      <c r="T205" s="91" t="inlineStr">
        <is>
          <t>N/A</t>
        </is>
      </c>
      <c r="U205" s="91" t="inlineStr">
        <is>
          <t>N/A</t>
        </is>
      </c>
      <c r="V205" s="85" t="n">
        <v>17.7</v>
      </c>
      <c r="W205" s="85" t="n">
        <v>3392.1</v>
      </c>
      <c r="X205" s="85" t="n">
        <v>275.3</v>
      </c>
      <c r="Y205" s="85" t="n">
        <v>85.2</v>
      </c>
      <c r="Z205" s="85" t="n">
        <v>260.9</v>
      </c>
      <c r="AA205" s="85" t="n">
        <v>429.9</v>
      </c>
      <c r="AB205" s="85" t="n">
        <v>719.4</v>
      </c>
      <c r="AC205" s="85" t="n">
        <v>332</v>
      </c>
      <c r="AD205" s="85" t="n">
        <v>529.5</v>
      </c>
      <c r="AE205" s="85" t="n">
        <v>471.2</v>
      </c>
      <c r="AF205" s="91" t="inlineStr">
        <is>
          <t>N/A</t>
        </is>
      </c>
      <c r="AG205" s="85" t="n">
        <v>3119</v>
      </c>
      <c r="AH205" s="85" t="n">
        <v>719.4</v>
      </c>
      <c r="AI205" s="85" t="n">
        <v>3392.1</v>
      </c>
      <c r="AJ205" s="85" t="n">
        <v>573.9</v>
      </c>
      <c r="AK205" s="85" t="n">
        <v>426.1</v>
      </c>
      <c r="AL205" s="85" t="n">
        <v>102.3</v>
      </c>
      <c r="AM205" s="85" t="n">
        <v>93.59999999999999</v>
      </c>
      <c r="AN205" s="91" t="inlineStr">
        <is>
          <t>N/A</t>
        </is>
      </c>
      <c r="AO205" s="91" t="inlineStr">
        <is>
          <t>N/A</t>
        </is>
      </c>
      <c r="AP205" s="85" t="n">
        <v>25.9</v>
      </c>
      <c r="AQ205" s="91" t="inlineStr">
        <is>
          <t>N/A</t>
        </is>
      </c>
      <c r="AR205" s="91" t="inlineStr">
        <is>
          <t>N/A</t>
        </is>
      </c>
      <c r="AS205" s="91" t="inlineStr">
        <is>
          <t>N/A</t>
        </is>
      </c>
      <c r="AT205" s="85" t="n">
        <v>15.6</v>
      </c>
      <c r="AU205" s="91" t="inlineStr">
        <is>
          <t>N/A</t>
        </is>
      </c>
      <c r="AV205" s="85" t="n">
        <v>233.7</v>
      </c>
      <c r="AW205" s="85" t="n">
        <v>195.5</v>
      </c>
      <c r="AX205" s="85" t="n">
        <v>911</v>
      </c>
      <c r="AY205" s="91" t="inlineStr">
        <is>
          <t>N/A</t>
        </is>
      </c>
      <c r="AZ205" s="85" t="n">
        <v>677.3</v>
      </c>
      <c r="BA205" s="91" t="inlineStr">
        <is>
          <t>N/A</t>
        </is>
      </c>
      <c r="BB205" s="85" t="n">
        <v>84.5</v>
      </c>
      <c r="BC205" s="85" t="n">
        <v>84.5</v>
      </c>
      <c r="BD205" s="91" t="inlineStr">
        <is>
          <t>N/A</t>
        </is>
      </c>
      <c r="BE205" s="91" t="inlineStr">
        <is>
          <t>N/A</t>
        </is>
      </c>
      <c r="BF205" s="85" t="n">
        <v>40.9</v>
      </c>
      <c r="BG205" s="85" t="n">
        <v>0.3</v>
      </c>
      <c r="BH205" s="85" t="n">
        <v>-1418.6</v>
      </c>
      <c r="BI205" s="85" t="n">
        <v>-77.7</v>
      </c>
      <c r="BJ205" s="85" t="n">
        <v>10.1</v>
      </c>
      <c r="BK205" s="85" t="n">
        <v>10.6</v>
      </c>
      <c r="BL205" s="91" t="inlineStr">
        <is>
          <t>N/A</t>
        </is>
      </c>
      <c r="BM205" s="91" t="inlineStr">
        <is>
          <t>N/A</t>
        </is>
      </c>
      <c r="BN205" s="85" t="n">
        <v>33.3</v>
      </c>
      <c r="BO205" s="85" t="n">
        <v>190.8</v>
      </c>
      <c r="BP205" s="85" t="n">
        <v>128.4</v>
      </c>
      <c r="BQ205" s="91" t="inlineStr">
        <is>
          <t>N/A</t>
        </is>
      </c>
      <c r="BR205" s="91" t="inlineStr">
        <is>
          <t>N/A</t>
        </is>
      </c>
      <c r="BS205" s="85" t="n">
        <v>0</v>
      </c>
      <c r="BT205" s="91" t="inlineStr">
        <is>
          <t>N/A</t>
        </is>
      </c>
      <c r="BU205" s="85" t="n">
        <v>0</v>
      </c>
      <c r="BV205" s="85" t="n">
        <v>0</v>
      </c>
      <c r="BW205" s="85" t="n">
        <v>0</v>
      </c>
      <c r="BX205" s="85" t="n">
        <v>0</v>
      </c>
      <c r="BY205" s="85" t="n">
        <v>0</v>
      </c>
    </row>
    <row r="206" ht="17" customHeight="1">
      <c r="A206" s="86" t="n">
        <v>204</v>
      </c>
      <c r="B206" s="87" t="inlineStr">
        <is>
          <t>DUK</t>
        </is>
      </c>
      <c r="C206" s="88" t="inlineStr">
        <is>
          <t>DUKE ENERGY CORPORATION</t>
        </is>
      </c>
      <c r="D206" s="86" t="inlineStr">
        <is>
          <t>Utilities</t>
        </is>
      </c>
      <c r="E206" s="86" t="n">
        <v>2026</v>
      </c>
      <c r="F206" s="89" t="n">
        <v>195736</v>
      </c>
      <c r="G206" s="89" t="n">
        <v>11613</v>
      </c>
      <c r="H206" s="89" t="n">
        <v>21047</v>
      </c>
      <c r="I206" s="89" t="n">
        <v>195736</v>
      </c>
      <c r="J206" s="89" t="n">
        <v>5056</v>
      </c>
      <c r="K206" s="89" t="n">
        <v>8626</v>
      </c>
      <c r="L206" s="89" t="n">
        <v>19624</v>
      </c>
      <c r="M206" s="89" t="n">
        <v>4968</v>
      </c>
      <c r="N206" s="89" t="n">
        <v>12330</v>
      </c>
      <c r="O206" s="89" t="n">
        <v>12798</v>
      </c>
      <c r="P206" s="89" t="n">
        <v>87212</v>
      </c>
      <c r="Q206" s="89" t="n">
        <v>51842</v>
      </c>
      <c r="R206" s="90" t="inlineStr">
        <is>
          <t>N/A</t>
        </is>
      </c>
      <c r="S206" s="89" t="n">
        <v>1806</v>
      </c>
      <c r="T206" s="89" t="n">
        <v>16</v>
      </c>
      <c r="U206" s="89" t="n">
        <v>129959</v>
      </c>
      <c r="V206" s="89" t="n">
        <v>3634</v>
      </c>
      <c r="W206" s="89" t="n">
        <v>186343</v>
      </c>
      <c r="X206" s="89" t="n">
        <v>12950</v>
      </c>
      <c r="Y206" s="89" t="n">
        <v>19357</v>
      </c>
      <c r="Z206" s="89" t="n">
        <v>186343</v>
      </c>
      <c r="AA206" s="89" t="n">
        <v>7926</v>
      </c>
      <c r="AB206" s="89" t="n">
        <v>5695</v>
      </c>
      <c r="AC206" s="89" t="n">
        <v>4524</v>
      </c>
      <c r="AD206" s="89" t="n">
        <v>12328</v>
      </c>
      <c r="AE206" s="89" t="n">
        <v>-1136</v>
      </c>
      <c r="AF206" s="89" t="n">
        <v>80689</v>
      </c>
      <c r="AG206" s="89" t="n">
        <v>50127</v>
      </c>
      <c r="AH206" s="89" t="n">
        <v>6722</v>
      </c>
      <c r="AI206" s="89" t="n">
        <v>186343</v>
      </c>
      <c r="AJ206" s="89" t="n">
        <v>5712</v>
      </c>
      <c r="AK206" s="89" t="n">
        <v>5194</v>
      </c>
      <c r="AL206" s="89" t="n">
        <v>642</v>
      </c>
      <c r="AM206" s="89" t="n">
        <v>590</v>
      </c>
      <c r="AN206" s="89" t="n">
        <v>14024</v>
      </c>
      <c r="AO206" s="89" t="n">
        <v>12280</v>
      </c>
      <c r="AP206" s="89" t="n">
        <v>1588</v>
      </c>
      <c r="AQ206" s="89" t="n">
        <v>1318</v>
      </c>
      <c r="AR206" s="89" t="n">
        <v>19010</v>
      </c>
      <c r="AS206" s="89" t="n">
        <v>291</v>
      </c>
      <c r="AT206" s="89" t="n">
        <v>2624</v>
      </c>
      <c r="AU206" s="90" t="inlineStr">
        <is>
          <t>N/A</t>
        </is>
      </c>
      <c r="AV206" s="89" t="n">
        <v>245</v>
      </c>
      <c r="AW206" s="89" t="n">
        <v>314</v>
      </c>
      <c r="AX206" s="89" t="n">
        <v>89836</v>
      </c>
      <c r="AY206" s="89" t="n">
        <v>84273</v>
      </c>
      <c r="AZ206" s="89" t="n">
        <v>89591</v>
      </c>
      <c r="BA206" s="89" t="n">
        <v>-1694</v>
      </c>
      <c r="BB206" s="89" t="n">
        <v>778</v>
      </c>
      <c r="BC206" s="89" t="n">
        <v>776</v>
      </c>
      <c r="BD206" s="89" t="n">
        <v>1889</v>
      </c>
      <c r="BE206" s="89" t="n">
        <v>123303</v>
      </c>
      <c r="BF206" s="90" t="inlineStr">
        <is>
          <t>N/A</t>
        </is>
      </c>
      <c r="BG206" s="89" t="n">
        <v>1786</v>
      </c>
      <c r="BH206" s="89" t="n">
        <v>-14338</v>
      </c>
      <c r="BI206" s="89" t="n">
        <v>-13123</v>
      </c>
      <c r="BJ206" s="89" t="n">
        <v>5223</v>
      </c>
      <c r="BK206" s="89" t="n">
        <v>5479</v>
      </c>
      <c r="BL206" s="89" t="n">
        <v>59</v>
      </c>
      <c r="BM206" s="90" t="inlineStr">
        <is>
          <t>N/A</t>
        </is>
      </c>
      <c r="BN206" s="89" t="n">
        <v>431</v>
      </c>
      <c r="BO206" s="89" t="n">
        <v>6826</v>
      </c>
      <c r="BP206" s="89" t="n">
        <v>6831</v>
      </c>
      <c r="BQ206" s="89" t="n">
        <v>0</v>
      </c>
      <c r="BR206" s="89" t="n">
        <v>0</v>
      </c>
      <c r="BS206" s="89" t="n">
        <v>0</v>
      </c>
      <c r="BT206" s="89" t="n">
        <v>0</v>
      </c>
      <c r="BU206" s="89" t="n">
        <v>0</v>
      </c>
      <c r="BV206" s="89" t="n">
        <v>0</v>
      </c>
      <c r="BW206" s="89" t="n">
        <v>0</v>
      </c>
      <c r="BX206" s="89" t="n">
        <v>0</v>
      </c>
      <c r="BY206" s="89" t="n">
        <v>0</v>
      </c>
    </row>
    <row r="207" ht="17" customHeight="1">
      <c r="A207" s="82" t="n">
        <v>205</v>
      </c>
      <c r="B207" s="83" t="inlineStr">
        <is>
          <t>HSY</t>
        </is>
      </c>
      <c r="C207" s="84" t="inlineStr">
        <is>
          <t>HERSHEY CO</t>
        </is>
      </c>
      <c r="D207" s="82" t="inlineStr">
        <is>
          <t>Consumer Staples</t>
        </is>
      </c>
      <c r="E207" s="82" t="n">
        <v>2026</v>
      </c>
      <c r="F207" s="85" t="n">
        <v>13741.3</v>
      </c>
      <c r="G207" s="85" t="n">
        <v>3588.9</v>
      </c>
      <c r="H207" s="85" t="n">
        <v>3011.9</v>
      </c>
      <c r="I207" s="85" t="n">
        <v>9104.5</v>
      </c>
      <c r="J207" s="85" t="n">
        <v>5495.4</v>
      </c>
      <c r="K207" s="85" t="n">
        <v>1441.5</v>
      </c>
      <c r="L207" s="85" t="n">
        <v>8149.7</v>
      </c>
      <c r="M207" s="85" t="n">
        <v>883.3</v>
      </c>
      <c r="N207" s="85" t="n">
        <v>2277.4</v>
      </c>
      <c r="O207" s="85" t="n">
        <v>3922.7</v>
      </c>
      <c r="P207" s="85" t="n">
        <v>4528.6</v>
      </c>
      <c r="Q207" s="85" t="n">
        <v>4636.8</v>
      </c>
      <c r="R207" s="85" t="n">
        <v>2460.6</v>
      </c>
      <c r="S207" s="85" t="n">
        <v>197.1</v>
      </c>
      <c r="T207" s="85" t="n">
        <v>729.5</v>
      </c>
      <c r="U207" s="85" t="n">
        <v>2285.3</v>
      </c>
      <c r="V207" s="85" t="n">
        <v>224.8</v>
      </c>
      <c r="W207" s="85" t="n">
        <v>12946.9</v>
      </c>
      <c r="X207" s="85" t="n">
        <v>3759.5</v>
      </c>
      <c r="Y207" s="85" t="n">
        <v>3929.5</v>
      </c>
      <c r="Z207" s="85" t="n">
        <v>8232.200000000001</v>
      </c>
      <c r="AA207" s="85" t="n">
        <v>2898.2</v>
      </c>
      <c r="AB207" s="85" t="n">
        <v>2185.2</v>
      </c>
      <c r="AC207" s="85" t="n">
        <v>2221.2</v>
      </c>
      <c r="AD207" s="85" t="n">
        <v>2531.6</v>
      </c>
      <c r="AE207" s="85" t="n">
        <v>5300.9</v>
      </c>
      <c r="AF207" s="85" t="n">
        <v>4234.2</v>
      </c>
      <c r="AG207" s="85" t="n">
        <v>4714.7</v>
      </c>
      <c r="AH207" s="85" t="n">
        <v>2219.8</v>
      </c>
      <c r="AI207" s="85" t="n">
        <v>12946.9</v>
      </c>
      <c r="AJ207" s="85" t="n">
        <v>1214.2</v>
      </c>
      <c r="AK207" s="85" t="n">
        <v>2473.9</v>
      </c>
      <c r="AL207" s="85" t="n">
        <v>330.9</v>
      </c>
      <c r="AM207" s="85" t="n">
        <v>252.7</v>
      </c>
      <c r="AN207" s="85" t="n">
        <v>454.6</v>
      </c>
      <c r="AO207" s="85" t="n">
        <v>605.9</v>
      </c>
      <c r="AP207" s="85" t="n">
        <v>1429.3</v>
      </c>
      <c r="AQ207" s="85" t="n">
        <v>1254.1</v>
      </c>
      <c r="AR207" s="85" t="n">
        <v>2996</v>
      </c>
      <c r="AS207" s="85" t="n">
        <v>2475.7</v>
      </c>
      <c r="AT207" s="85" t="n">
        <v>218.5</v>
      </c>
      <c r="AU207" s="85" t="n">
        <v>61.7</v>
      </c>
      <c r="AV207" s="85" t="n">
        <v>588</v>
      </c>
      <c r="AW207" s="85" t="n">
        <v>380.2</v>
      </c>
      <c r="AX207" s="85" t="n">
        <v>4747.1</v>
      </c>
      <c r="AY207" s="85" t="n">
        <v>5541.2</v>
      </c>
      <c r="AZ207" s="85" t="n">
        <v>4159.1</v>
      </c>
      <c r="BA207" s="85" t="n">
        <v>1822.7</v>
      </c>
      <c r="BB207" s="85" t="n">
        <v>202.8</v>
      </c>
      <c r="BC207" s="85" t="n">
        <v>202.4</v>
      </c>
      <c r="BD207" s="85" t="n">
        <v>800.4</v>
      </c>
      <c r="BE207" s="85" t="n">
        <v>2153.1</v>
      </c>
      <c r="BF207" s="85" t="n">
        <v>2373.6</v>
      </c>
      <c r="BG207" s="85" t="n">
        <v>182.4</v>
      </c>
      <c r="BH207" s="85" t="n">
        <v>-1278.7</v>
      </c>
      <c r="BI207" s="85" t="n">
        <v>-960.3</v>
      </c>
      <c r="BJ207" s="85" t="n">
        <v>1255.7</v>
      </c>
      <c r="BK207" s="85" t="n">
        <v>1159.2</v>
      </c>
      <c r="BL207" s="91" t="inlineStr">
        <is>
          <t>N/A</t>
        </is>
      </c>
      <c r="BM207" s="91" t="inlineStr">
        <is>
          <t>N/A</t>
        </is>
      </c>
      <c r="BN207" s="85" t="n">
        <v>63.7</v>
      </c>
      <c r="BO207" s="85" t="n">
        <v>7769.9</v>
      </c>
      <c r="BP207" s="85" t="n">
        <v>5901.4</v>
      </c>
      <c r="BQ207" s="85" t="n">
        <v>0</v>
      </c>
      <c r="BR207" s="85" t="n">
        <v>0</v>
      </c>
      <c r="BS207" s="85" t="n">
        <v>0</v>
      </c>
      <c r="BT207" s="85" t="n">
        <v>0</v>
      </c>
      <c r="BU207" s="85" t="n">
        <v>0</v>
      </c>
      <c r="BV207" s="85" t="n">
        <v>0</v>
      </c>
      <c r="BW207" s="85" t="n">
        <v>0</v>
      </c>
      <c r="BX207" s="85" t="n">
        <v>0</v>
      </c>
      <c r="BY207" s="85" t="n">
        <v>0</v>
      </c>
    </row>
    <row r="208" ht="17" customHeight="1">
      <c r="A208" s="86" t="n">
        <v>206</v>
      </c>
      <c r="B208" s="87" t="inlineStr">
        <is>
          <t>WOLF</t>
        </is>
      </c>
      <c r="C208" s="88" t="inlineStr">
        <is>
          <t>WOLFSPEED, INC.</t>
        </is>
      </c>
      <c r="D208" s="86" t="inlineStr">
        <is>
          <t>Materials</t>
        </is>
      </c>
      <c r="E208" s="86" t="n">
        <v>2026</v>
      </c>
      <c r="F208" s="89" t="n">
        <v>6854.4</v>
      </c>
      <c r="G208" s="89" t="n">
        <v>2542.2</v>
      </c>
      <c r="H208" s="89" t="n">
        <v>7090</v>
      </c>
      <c r="I208" s="89" t="n">
        <v>6854.4</v>
      </c>
      <c r="J208" s="89" t="n">
        <v>-4537.6</v>
      </c>
      <c r="K208" s="89" t="n">
        <v>-1329.2</v>
      </c>
      <c r="L208" s="89" t="n">
        <v>1386</v>
      </c>
      <c r="M208" s="89" t="n">
        <v>-1609.2</v>
      </c>
      <c r="N208" s="89" t="n">
        <v>-711.7</v>
      </c>
      <c r="O208" s="89" t="n">
        <v>-121.6</v>
      </c>
      <c r="P208" s="89" t="n">
        <v>6538</v>
      </c>
      <c r="Q208" s="89" t="n">
        <v>-447.1</v>
      </c>
      <c r="R208" s="89" t="n">
        <v>190.5</v>
      </c>
      <c r="S208" s="89" t="n">
        <v>252.1</v>
      </c>
      <c r="T208" s="89" t="n">
        <v>178.8</v>
      </c>
      <c r="U208" s="89" t="n">
        <v>831.1</v>
      </c>
      <c r="V208" s="89" t="n">
        <v>42.6</v>
      </c>
      <c r="W208" s="89" t="n">
        <v>7984.6</v>
      </c>
      <c r="X208" s="89" t="n">
        <v>2999.6</v>
      </c>
      <c r="Y208" s="89" t="n">
        <v>665.3</v>
      </c>
      <c r="Z208" s="89" t="n">
        <v>7984.6</v>
      </c>
      <c r="AA208" s="89" t="n">
        <v>-445.3</v>
      </c>
      <c r="AB208" s="89" t="n">
        <v>375</v>
      </c>
      <c r="AC208" s="89" t="n">
        <v>-864.2</v>
      </c>
      <c r="AD208" s="89" t="n">
        <v>-725.6</v>
      </c>
      <c r="AE208" s="89" t="n">
        <v>77.40000000000001</v>
      </c>
      <c r="AF208" s="89" t="n">
        <v>6161.1</v>
      </c>
      <c r="AG208" s="89" t="n">
        <v>882.1</v>
      </c>
      <c r="AH208" s="89" t="n">
        <v>348.9</v>
      </c>
      <c r="AI208" s="89" t="n">
        <v>7984.6</v>
      </c>
      <c r="AJ208" s="89" t="n">
        <v>-1618.9</v>
      </c>
      <c r="AK208" s="89" t="n">
        <v>-572.5</v>
      </c>
      <c r="AL208" s="89" t="n">
        <v>-9.699999999999999</v>
      </c>
      <c r="AM208" s="89" t="n">
        <v>1.1</v>
      </c>
      <c r="AN208" s="89" t="n">
        <v>1271.4</v>
      </c>
      <c r="AO208" s="89" t="n">
        <v>2274</v>
      </c>
      <c r="AP208" s="89" t="n">
        <v>435.4</v>
      </c>
      <c r="AQ208" s="89" t="n">
        <v>440.7</v>
      </c>
      <c r="AR208" s="90" t="inlineStr">
        <is>
          <t>N/A</t>
        </is>
      </c>
      <c r="AS208" s="89" t="n">
        <v>23.8</v>
      </c>
      <c r="AT208" s="89" t="n">
        <v>6538</v>
      </c>
      <c r="AU208" s="89" t="n">
        <v>175.1</v>
      </c>
      <c r="AV208" s="89" t="n">
        <v>467.2</v>
      </c>
      <c r="AW208" s="89" t="n">
        <v>1045.9</v>
      </c>
      <c r="AX208" s="89" t="n">
        <v>13076</v>
      </c>
      <c r="AY208" s="89" t="n">
        <v>6161.1</v>
      </c>
      <c r="AZ208" s="89" t="n">
        <v>12608.8</v>
      </c>
      <c r="BA208" s="89" t="n">
        <v>-1983.1</v>
      </c>
      <c r="BB208" s="89" t="n">
        <v>155.6</v>
      </c>
      <c r="BC208" s="89" t="n">
        <v>126.4</v>
      </c>
      <c r="BD208" s="89" t="n">
        <v>147.4</v>
      </c>
      <c r="BE208" s="89" t="n">
        <v>625.2</v>
      </c>
      <c r="BF208" s="89" t="n">
        <v>246.4</v>
      </c>
      <c r="BG208" s="89" t="n">
        <v>181</v>
      </c>
      <c r="BH208" s="89" t="n">
        <v>-268.1</v>
      </c>
      <c r="BI208" s="89" t="n">
        <v>-1943.3</v>
      </c>
      <c r="BJ208" s="89" t="n">
        <v>121.4</v>
      </c>
      <c r="BK208" s="89" t="n">
        <v>78.90000000000001</v>
      </c>
      <c r="BL208" s="89" t="n">
        <v>50</v>
      </c>
      <c r="BM208" s="89" t="n">
        <v>62.3</v>
      </c>
      <c r="BN208" s="90" t="inlineStr">
        <is>
          <t>N/A</t>
        </is>
      </c>
      <c r="BO208" s="89" t="n">
        <v>879.2</v>
      </c>
      <c r="BP208" s="89" t="n">
        <v>729.8</v>
      </c>
      <c r="BQ208" s="89" t="n">
        <v>0</v>
      </c>
      <c r="BR208" s="89" t="n">
        <v>0</v>
      </c>
      <c r="BS208" s="89" t="n">
        <v>0</v>
      </c>
      <c r="BT208" s="89" t="n">
        <v>0</v>
      </c>
      <c r="BU208" s="89" t="n">
        <v>0</v>
      </c>
      <c r="BV208" s="89" t="n">
        <v>0</v>
      </c>
      <c r="BW208" s="89" t="n">
        <v>0</v>
      </c>
      <c r="BX208" s="89" t="n">
        <v>-0</v>
      </c>
      <c r="BY208" s="89" t="n">
        <v>0</v>
      </c>
    </row>
    <row r="209" ht="17" customHeight="1">
      <c r="A209" s="82" t="n">
        <v>207</v>
      </c>
      <c r="B209" s="83" t="inlineStr">
        <is>
          <t>NCNO</t>
        </is>
      </c>
      <c r="C209" s="84" t="inlineStr">
        <is>
          <t>nCino, Inc.</t>
        </is>
      </c>
      <c r="D209" s="82" t="inlineStr">
        <is>
          <t>Information Technology</t>
        </is>
      </c>
      <c r="E209" s="82" t="n">
        <v>2026</v>
      </c>
      <c r="F209" s="85" t="n">
        <v>1648.1</v>
      </c>
      <c r="G209" s="85" t="n">
        <v>293.5</v>
      </c>
      <c r="H209" s="85" t="n">
        <v>294.5</v>
      </c>
      <c r="I209" s="85" t="n">
        <v>579.5</v>
      </c>
      <c r="J209" s="85" t="n">
        <v>-375.8</v>
      </c>
      <c r="K209" s="85" t="n">
        <v>3.7</v>
      </c>
      <c r="L209" s="85" t="n">
        <v>594.8</v>
      </c>
      <c r="M209" s="85" t="n">
        <v>5.2</v>
      </c>
      <c r="N209" s="85" t="n">
        <v>90.09999999999999</v>
      </c>
      <c r="O209" s="85" t="n">
        <v>360.2</v>
      </c>
      <c r="P209" s="91" t="inlineStr">
        <is>
          <t>N/A</t>
        </is>
      </c>
      <c r="Q209" s="85" t="n">
        <v>1055.9</v>
      </c>
      <c r="R209" s="85" t="n">
        <v>92.40000000000001</v>
      </c>
      <c r="S209" s="85" t="n">
        <v>42.3</v>
      </c>
      <c r="T209" s="85" t="n">
        <v>166.5</v>
      </c>
      <c r="U209" s="85" t="n">
        <v>75.59999999999999</v>
      </c>
      <c r="V209" s="85" t="n">
        <v>4.1</v>
      </c>
      <c r="W209" s="85" t="n">
        <v>1610.4</v>
      </c>
      <c r="X209" s="85" t="n">
        <v>302.2</v>
      </c>
      <c r="Y209" s="85" t="n">
        <v>251.5</v>
      </c>
      <c r="Z209" s="85" t="n">
        <v>512.8</v>
      </c>
      <c r="AA209" s="85" t="n">
        <v>-18.1</v>
      </c>
      <c r="AB209" s="85" t="n">
        <v>540.7</v>
      </c>
      <c r="AC209" s="85" t="n">
        <v>-37.9</v>
      </c>
      <c r="AD209" s="85" t="n">
        <v>55.2</v>
      </c>
      <c r="AE209" s="85" t="n">
        <v>324.8</v>
      </c>
      <c r="AF209" s="91" t="inlineStr">
        <is>
          <t>N/A</t>
        </is>
      </c>
      <c r="AG209" s="85" t="n">
        <v>1089.3</v>
      </c>
      <c r="AH209" s="85" t="n">
        <v>540.7</v>
      </c>
      <c r="AI209" s="85" t="n">
        <v>1610.4</v>
      </c>
      <c r="AJ209" s="85" t="n">
        <v>6.7</v>
      </c>
      <c r="AK209" s="85" t="n">
        <v>-35.6</v>
      </c>
      <c r="AL209" s="85" t="n">
        <v>-3</v>
      </c>
      <c r="AM209" s="85" t="n">
        <v>-2.5</v>
      </c>
      <c r="AN209" s="85" t="n">
        <v>7.5</v>
      </c>
      <c r="AO209" s="85" t="n">
        <v>1.8</v>
      </c>
      <c r="AP209" s="91" t="inlineStr">
        <is>
          <t>N/A</t>
        </is>
      </c>
      <c r="AQ209" s="91" t="inlineStr">
        <is>
          <t>N/A</t>
        </is>
      </c>
      <c r="AR209" s="85" t="n">
        <v>1077.9</v>
      </c>
      <c r="AS209" s="85" t="n">
        <v>135.7</v>
      </c>
      <c r="AT209" s="91" t="inlineStr">
        <is>
          <t>N/A</t>
        </is>
      </c>
      <c r="AU209" s="85" t="n">
        <v>127.5</v>
      </c>
      <c r="AV209" s="85" t="n">
        <v>88.40000000000001</v>
      </c>
      <c r="AW209" s="85" t="n">
        <v>120.9</v>
      </c>
      <c r="AX209" s="91" t="inlineStr">
        <is>
          <t>N/A</t>
        </is>
      </c>
      <c r="AY209" s="91" t="inlineStr">
        <is>
          <t>N/A</t>
        </is>
      </c>
      <c r="AZ209" s="91" t="inlineStr">
        <is>
          <t>N/A</t>
        </is>
      </c>
      <c r="BA209" s="85" t="n">
        <v>82.59999999999999</v>
      </c>
      <c r="BB209" s="85" t="n">
        <v>113.9</v>
      </c>
      <c r="BC209" s="85" t="n">
        <v>116</v>
      </c>
      <c r="BD209" s="85" t="n">
        <v>146.8</v>
      </c>
      <c r="BE209" s="85" t="n">
        <v>75</v>
      </c>
      <c r="BF209" s="85" t="n">
        <v>90.3</v>
      </c>
      <c r="BG209" s="85" t="n">
        <v>36.3</v>
      </c>
      <c r="BH209" s="85" t="n">
        <v>-54.1</v>
      </c>
      <c r="BI209" s="85" t="n">
        <v>-219.2</v>
      </c>
      <c r="BJ209" s="85" t="n">
        <v>14.5</v>
      </c>
      <c r="BK209" s="85" t="n">
        <v>13.6</v>
      </c>
      <c r="BL209" s="85" t="n">
        <v>210.6</v>
      </c>
      <c r="BM209" s="85" t="n">
        <v>191.2</v>
      </c>
      <c r="BN209" s="85" t="n">
        <v>1.2</v>
      </c>
      <c r="BO209" s="85" t="n">
        <v>234.6</v>
      </c>
      <c r="BP209" s="85" t="n">
        <v>215.9</v>
      </c>
      <c r="BQ209" s="85" t="n">
        <v>0</v>
      </c>
      <c r="BR209" s="85" t="n">
        <v>0</v>
      </c>
      <c r="BS209" s="91" t="inlineStr">
        <is>
          <t>N/A</t>
        </is>
      </c>
      <c r="BT209" s="91" t="inlineStr">
        <is>
          <t>N/A</t>
        </is>
      </c>
      <c r="BU209" s="85" t="n">
        <v>0</v>
      </c>
      <c r="BV209" s="85" t="n">
        <v>0</v>
      </c>
      <c r="BW209" s="85" t="n">
        <v>0</v>
      </c>
      <c r="BX209" s="85" t="n">
        <v>0</v>
      </c>
      <c r="BY209" s="85" t="n">
        <v>-0</v>
      </c>
    </row>
    <row r="210" ht="17" customHeight="1">
      <c r="A210" s="86" t="n">
        <v>208</v>
      </c>
      <c r="B210" s="87" t="inlineStr">
        <is>
          <t>PVH</t>
        </is>
      </c>
      <c r="C210" s="88" t="inlineStr">
        <is>
          <t>PVH Corp.</t>
        </is>
      </c>
      <c r="D210" s="86" t="inlineStr">
        <is>
          <t>Consumer Discretionary</t>
        </is>
      </c>
      <c r="E210" s="86" t="n">
        <v>2026</v>
      </c>
      <c r="F210" s="89" t="n">
        <v>11681</v>
      </c>
      <c r="G210" s="89" t="n">
        <v>3605.2</v>
      </c>
      <c r="H210" s="89" t="n">
        <v>2376.2</v>
      </c>
      <c r="I210" s="89" t="n">
        <v>11681</v>
      </c>
      <c r="J210" s="89" t="n">
        <v>6015</v>
      </c>
      <c r="K210" s="89" t="n">
        <v>230.6</v>
      </c>
      <c r="L210" s="89" t="n">
        <v>8950.200000000001</v>
      </c>
      <c r="M210" s="89" t="n">
        <v>25.3</v>
      </c>
      <c r="N210" s="89" t="n">
        <v>680.4</v>
      </c>
      <c r="O210" s="89" t="n">
        <v>5148.6</v>
      </c>
      <c r="P210" s="89" t="n">
        <v>2304.5</v>
      </c>
      <c r="Q210" s="89" t="n">
        <v>4792.3</v>
      </c>
      <c r="R210" s="89" t="n">
        <v>4492.1</v>
      </c>
      <c r="S210" s="89" t="n">
        <v>272.3</v>
      </c>
      <c r="T210" s="89" t="n">
        <v>994.6</v>
      </c>
      <c r="U210" s="89" t="n">
        <v>673.3</v>
      </c>
      <c r="V210" s="89" t="n">
        <v>94.2</v>
      </c>
      <c r="W210" s="89" t="n">
        <v>11033.2</v>
      </c>
      <c r="X210" s="89" t="n">
        <v>3487.6</v>
      </c>
      <c r="Y210" s="89" t="n">
        <v>2741.8</v>
      </c>
      <c r="Z210" s="89" t="n">
        <v>11033.2</v>
      </c>
      <c r="AA210" s="89" t="n">
        <v>772.3</v>
      </c>
      <c r="AB210" s="89" t="n">
        <v>8652.9</v>
      </c>
      <c r="AC210" s="89" t="n">
        <v>598.5</v>
      </c>
      <c r="AD210" s="89" t="n">
        <v>740.9</v>
      </c>
      <c r="AE210" s="89" t="n">
        <v>5142.5</v>
      </c>
      <c r="AF210" s="89" t="n">
        <v>2090.7</v>
      </c>
      <c r="AG210" s="89" t="n">
        <v>5140.5</v>
      </c>
      <c r="AH210" s="89" t="n">
        <v>8652.9</v>
      </c>
      <c r="AI210" s="89" t="n">
        <v>11033.2</v>
      </c>
      <c r="AJ210" s="89" t="n">
        <v>151.3</v>
      </c>
      <c r="AK210" s="89" t="n">
        <v>705.7</v>
      </c>
      <c r="AL210" s="89" t="n">
        <v>126</v>
      </c>
      <c r="AM210" s="89" t="n">
        <v>107.2</v>
      </c>
      <c r="AN210" s="89" t="n">
        <v>142</v>
      </c>
      <c r="AO210" s="89" t="n">
        <v>158.7</v>
      </c>
      <c r="AP210" s="89" t="n">
        <v>1583.5</v>
      </c>
      <c r="AQ210" s="89" t="n">
        <v>1508.7</v>
      </c>
      <c r="AR210" s="89" t="n">
        <v>2021.9</v>
      </c>
      <c r="AS210" s="89" t="n">
        <v>252.2</v>
      </c>
      <c r="AT210" s="90" t="inlineStr">
        <is>
          <t>N/A</t>
        </is>
      </c>
      <c r="AU210" s="90" t="inlineStr">
        <is>
          <t>N/A</t>
        </is>
      </c>
      <c r="AV210" s="89" t="n">
        <v>701.5</v>
      </c>
      <c r="AW210" s="89" t="n">
        <v>748</v>
      </c>
      <c r="AX210" s="89" t="n">
        <v>2304.5</v>
      </c>
      <c r="AY210" s="89" t="n">
        <v>2090.7</v>
      </c>
      <c r="AZ210" s="89" t="n">
        <v>1603</v>
      </c>
      <c r="BA210" s="89" t="n">
        <v>538.4</v>
      </c>
      <c r="BB210" s="89" t="n">
        <v>89.59999999999999</v>
      </c>
      <c r="BC210" s="89" t="n">
        <v>89.09999999999999</v>
      </c>
      <c r="BD210" s="89" t="n">
        <v>851.2</v>
      </c>
      <c r="BE210" s="89" t="n">
        <v>741</v>
      </c>
      <c r="BF210" s="89" t="n">
        <v>4411.3</v>
      </c>
      <c r="BG210" s="89" t="n">
        <v>282.2</v>
      </c>
      <c r="BH210" s="89" t="n">
        <v>-140.1</v>
      </c>
      <c r="BI210" s="89" t="n">
        <v>-137.7</v>
      </c>
      <c r="BJ210" s="89" t="n">
        <v>1146.9</v>
      </c>
      <c r="BK210" s="89" t="n">
        <v>1151</v>
      </c>
      <c r="BL210" s="89" t="n">
        <v>49</v>
      </c>
      <c r="BM210" s="89" t="n">
        <v>55.3</v>
      </c>
      <c r="BN210" s="90" t="inlineStr">
        <is>
          <t>N/A</t>
        </is>
      </c>
      <c r="BO210" s="89" t="n">
        <v>3801.6</v>
      </c>
      <c r="BP210" s="89" t="n">
        <v>3510.4</v>
      </c>
      <c r="BQ210" s="89" t="n">
        <v>0</v>
      </c>
      <c r="BR210" s="89" t="n">
        <v>0</v>
      </c>
      <c r="BS210" s="89" t="n">
        <v>0</v>
      </c>
      <c r="BT210" s="89" t="n">
        <v>0</v>
      </c>
      <c r="BU210" s="89" t="n">
        <v>0</v>
      </c>
      <c r="BV210" s="89" t="n">
        <v>0</v>
      </c>
      <c r="BW210" s="89" t="n">
        <v>0</v>
      </c>
      <c r="BX210" s="89" t="n">
        <v>0</v>
      </c>
      <c r="BY210" s="89" t="n">
        <v>0</v>
      </c>
    </row>
    <row r="211" ht="17" customHeight="1">
      <c r="A211" s="82" t="n">
        <v>209</v>
      </c>
      <c r="B211" s="83" t="inlineStr">
        <is>
          <t>TGT</t>
        </is>
      </c>
      <c r="C211" s="84" t="inlineStr">
        <is>
          <t>TARGET CORPORATION</t>
        </is>
      </c>
      <c r="D211" s="82" t="inlineStr">
        <is>
          <t>Consumer Discretionary</t>
        </is>
      </c>
      <c r="E211" s="82" t="n">
        <v>2026</v>
      </c>
      <c r="F211" s="85" t="n">
        <v>59490</v>
      </c>
      <c r="G211" s="85" t="n">
        <v>20005</v>
      </c>
      <c r="H211" s="85" t="n">
        <v>21230</v>
      </c>
      <c r="I211" s="85" t="n">
        <v>59490</v>
      </c>
      <c r="J211" s="85" t="n">
        <v>9297</v>
      </c>
      <c r="K211" s="85" t="n">
        <v>5117</v>
      </c>
      <c r="L211" s="85" t="n">
        <v>72618</v>
      </c>
      <c r="M211" s="85" t="n">
        <v>3705</v>
      </c>
      <c r="N211" s="85" t="n">
        <v>6562</v>
      </c>
      <c r="O211" s="85" t="n">
        <v>20754</v>
      </c>
      <c r="P211" s="85" t="n">
        <v>14398</v>
      </c>
      <c r="Q211" s="85" t="n">
        <v>16165</v>
      </c>
      <c r="R211" s="85" t="n">
        <v>21535</v>
      </c>
      <c r="S211" s="85" t="n">
        <v>2617</v>
      </c>
      <c r="T211" s="91" t="inlineStr">
        <is>
          <t>N/A</t>
        </is>
      </c>
      <c r="U211" s="85" t="n">
        <v>31512</v>
      </c>
      <c r="V211" s="85" t="n">
        <v>502</v>
      </c>
      <c r="W211" s="85" t="n">
        <v>57769</v>
      </c>
      <c r="X211" s="85" t="n">
        <v>19454</v>
      </c>
      <c r="Y211" s="85" t="n">
        <v>20799</v>
      </c>
      <c r="Z211" s="85" t="n">
        <v>57769</v>
      </c>
      <c r="AA211" s="85" t="n">
        <v>5566</v>
      </c>
      <c r="AB211" s="85" t="n">
        <v>71279</v>
      </c>
      <c r="AC211" s="85" t="n">
        <v>4091</v>
      </c>
      <c r="AD211" s="85" t="n">
        <v>7367</v>
      </c>
      <c r="AE211" s="85" t="n">
        <v>5971</v>
      </c>
      <c r="AF211" s="85" t="n">
        <v>13904</v>
      </c>
      <c r="AG211" s="85" t="n">
        <v>14666</v>
      </c>
      <c r="AH211" s="85" t="n">
        <v>72596</v>
      </c>
      <c r="AI211" s="85" t="n">
        <v>57769</v>
      </c>
      <c r="AJ211" s="85" t="n">
        <v>4767</v>
      </c>
      <c r="AK211" s="85" t="n">
        <v>5261</v>
      </c>
      <c r="AL211" s="85" t="n">
        <v>1062</v>
      </c>
      <c r="AM211" s="85" t="n">
        <v>1170</v>
      </c>
      <c r="AN211" s="85" t="n">
        <v>3727</v>
      </c>
      <c r="AO211" s="85" t="n">
        <v>2891</v>
      </c>
      <c r="AP211" s="85" t="n">
        <v>12304</v>
      </c>
      <c r="AQ211" s="85" t="n">
        <v>12740</v>
      </c>
      <c r="AR211" s="85" t="n">
        <v>631</v>
      </c>
      <c r="AS211" s="85" t="n">
        <v>37</v>
      </c>
      <c r="AT211" s="85" t="n">
        <v>970</v>
      </c>
      <c r="AU211" s="91" t="inlineStr">
        <is>
          <t>N/A</t>
        </is>
      </c>
      <c r="AV211" s="85" t="n">
        <v>5488</v>
      </c>
      <c r="AW211" s="85" t="n">
        <v>4762</v>
      </c>
      <c r="AX211" s="85" t="n">
        <v>15368</v>
      </c>
      <c r="AY211" s="85" t="n">
        <v>13904</v>
      </c>
      <c r="AZ211" s="85" t="n">
        <v>9880</v>
      </c>
      <c r="BA211" s="85" t="n">
        <v>2835</v>
      </c>
      <c r="BB211" s="85" t="n">
        <v>452.8</v>
      </c>
      <c r="BC211" s="85" t="n">
        <v>455.6</v>
      </c>
      <c r="BD211" s="91" t="inlineStr">
        <is>
          <t>N/A</t>
        </is>
      </c>
      <c r="BE211" s="85" t="n">
        <v>28181</v>
      </c>
      <c r="BF211" s="85" t="n">
        <v>21969</v>
      </c>
      <c r="BG211" s="85" t="n">
        <v>2529</v>
      </c>
      <c r="BH211" s="85" t="n">
        <v>-3649</v>
      </c>
      <c r="BI211" s="85" t="n">
        <v>-2860</v>
      </c>
      <c r="BJ211" s="85" t="n">
        <v>12622</v>
      </c>
      <c r="BK211" s="85" t="n">
        <v>13053</v>
      </c>
      <c r="BL211" s="85" t="n">
        <v>358</v>
      </c>
      <c r="BM211" s="85" t="n">
        <v>388</v>
      </c>
      <c r="BN211" s="85" t="n">
        <v>440</v>
      </c>
      <c r="BO211" s="85" t="n">
        <v>75511</v>
      </c>
      <c r="BP211" s="85" t="n">
        <v>76502</v>
      </c>
      <c r="BQ211" s="91" t="inlineStr">
        <is>
          <t>N/A</t>
        </is>
      </c>
      <c r="BR211" s="91" t="inlineStr">
        <is>
          <t>N/A</t>
        </is>
      </c>
      <c r="BS211" s="85" t="n">
        <v>0</v>
      </c>
      <c r="BT211" s="85" t="n">
        <v>0</v>
      </c>
      <c r="BU211" s="85" t="n">
        <v>0</v>
      </c>
      <c r="BV211" s="85" t="n">
        <v>0</v>
      </c>
      <c r="BW211" s="85" t="n">
        <v>0</v>
      </c>
      <c r="BX211" s="85" t="n">
        <v>0</v>
      </c>
      <c r="BY211" s="85" t="n">
        <v>0</v>
      </c>
    </row>
    <row r="212" ht="17" customHeight="1">
      <c r="A212" s="86" t="n">
        <v>210</v>
      </c>
      <c r="B212" s="87" t="inlineStr">
        <is>
          <t>J</t>
        </is>
      </c>
      <c r="C212" s="88" t="inlineStr">
        <is>
          <t>JACOBS SOLUTIONS INC.</t>
        </is>
      </c>
      <c r="D212" s="86" t="inlineStr">
        <is>
          <t>Industrials</t>
        </is>
      </c>
      <c r="E212" s="86" t="n">
        <v>2026</v>
      </c>
      <c r="F212" s="89" t="n">
        <v>11252.5</v>
      </c>
      <c r="G212" s="89" t="n">
        <v>4359.3</v>
      </c>
      <c r="H212" s="89" t="n">
        <v>3350.9</v>
      </c>
      <c r="I212" s="89" t="n">
        <v>11252.5</v>
      </c>
      <c r="J212" s="89" t="n">
        <v>1525.8</v>
      </c>
      <c r="K212" s="89" t="n">
        <v>863.6</v>
      </c>
      <c r="L212" s="89" t="n">
        <v>14984.6</v>
      </c>
      <c r="M212" s="89" t="n">
        <v>289.3</v>
      </c>
      <c r="N212" s="89" t="n">
        <v>686.7</v>
      </c>
      <c r="O212" s="89" t="n">
        <v>2984.9</v>
      </c>
      <c r="P212" s="89" t="n">
        <v>2236.5</v>
      </c>
      <c r="Q212" s="89" t="n">
        <v>3640.8</v>
      </c>
      <c r="R212" s="89" t="n">
        <v>2121.3</v>
      </c>
      <c r="S212" s="89" t="n">
        <v>82.09999999999999</v>
      </c>
      <c r="T212" s="89" t="n">
        <v>2989.1</v>
      </c>
      <c r="U212" s="89" t="n">
        <v>311.9</v>
      </c>
      <c r="V212" s="89" t="n">
        <v>168.1</v>
      </c>
      <c r="W212" s="89" t="n">
        <v>11759</v>
      </c>
      <c r="X212" s="89" t="n">
        <v>4895.6</v>
      </c>
      <c r="Y212" s="89" t="n">
        <v>4079.7</v>
      </c>
      <c r="Z212" s="89" t="n">
        <v>11759</v>
      </c>
      <c r="AA212" s="89" t="n">
        <v>692.4</v>
      </c>
      <c r="AB212" s="89" t="n">
        <v>4142.6</v>
      </c>
      <c r="AC212" s="89" t="n">
        <v>806.1</v>
      </c>
      <c r="AD212" s="89" t="n">
        <v>1054.7</v>
      </c>
      <c r="AE212" s="89" t="n">
        <v>2832.8</v>
      </c>
      <c r="AF212" s="89" t="n">
        <v>1348.6</v>
      </c>
      <c r="AG212" s="89" t="n">
        <v>4549.5</v>
      </c>
      <c r="AH212" s="89" t="n">
        <v>4156.7</v>
      </c>
      <c r="AI212" s="89" t="n">
        <v>11759</v>
      </c>
      <c r="AJ212" s="89" t="n">
        <v>543.5</v>
      </c>
      <c r="AK212" s="89" t="n">
        <v>777.3</v>
      </c>
      <c r="AL212" s="89" t="n">
        <v>215.6</v>
      </c>
      <c r="AM212" s="89" t="n">
        <v>131.5</v>
      </c>
      <c r="AN212" s="89" t="n">
        <v>79.2</v>
      </c>
      <c r="AO212" s="89" t="n">
        <v>121.1</v>
      </c>
      <c r="AP212" s="90" t="inlineStr">
        <is>
          <t>N/A</t>
        </is>
      </c>
      <c r="AQ212" s="90" t="inlineStr">
        <is>
          <t>N/A</t>
        </is>
      </c>
      <c r="AR212" s="89" t="n">
        <v>4780.8</v>
      </c>
      <c r="AS212" s="89" t="n">
        <v>717.7</v>
      </c>
      <c r="AT212" s="90" t="inlineStr">
        <is>
          <t>N/A</t>
        </is>
      </c>
      <c r="AU212" s="90" t="inlineStr">
        <is>
          <t>N/A</t>
        </is>
      </c>
      <c r="AV212" s="89" t="n">
        <v>1235.4</v>
      </c>
      <c r="AW212" s="89" t="n">
        <v>1144.8</v>
      </c>
      <c r="AX212" s="89" t="n">
        <v>2236.5</v>
      </c>
      <c r="AY212" s="89" t="n">
        <v>1348.6</v>
      </c>
      <c r="AZ212" s="89" t="n">
        <v>1001</v>
      </c>
      <c r="BA212" s="89" t="n">
        <v>607.5</v>
      </c>
      <c r="BB212" s="89" t="n">
        <v>119.1</v>
      </c>
      <c r="BC212" s="89" t="n">
        <v>124.3</v>
      </c>
      <c r="BD212" s="89" t="n">
        <v>2845.5</v>
      </c>
      <c r="BE212" s="89" t="n">
        <v>315.6</v>
      </c>
      <c r="BF212" s="89" t="n">
        <v>2140.3</v>
      </c>
      <c r="BG212" s="89" t="n">
        <v>99.2</v>
      </c>
      <c r="BH212" s="89" t="n">
        <v>-75.3</v>
      </c>
      <c r="BI212" s="89" t="n">
        <v>-127.2</v>
      </c>
      <c r="BJ212" s="89" t="n">
        <v>1261.5</v>
      </c>
      <c r="BK212" s="89" t="n">
        <v>1029.1</v>
      </c>
      <c r="BL212" s="89" t="n">
        <v>940.6</v>
      </c>
      <c r="BM212" s="89" t="n">
        <v>967.1</v>
      </c>
      <c r="BN212" s="90" t="inlineStr">
        <is>
          <t>N/A</t>
        </is>
      </c>
      <c r="BO212" s="89" t="n">
        <v>9044.799999999999</v>
      </c>
      <c r="BP212" s="89" t="n">
        <v>8668.200000000001</v>
      </c>
      <c r="BQ212" s="89" t="n">
        <v>0</v>
      </c>
      <c r="BR212" s="89" t="n">
        <v>0</v>
      </c>
      <c r="BS212" s="90" t="inlineStr">
        <is>
          <t>N/A</t>
        </is>
      </c>
      <c r="BT212" s="90" t="inlineStr">
        <is>
          <t>N/A</t>
        </is>
      </c>
      <c r="BU212" s="89" t="n">
        <v>0</v>
      </c>
      <c r="BV212" s="89" t="n">
        <v>0</v>
      </c>
      <c r="BW212" s="89" t="n">
        <v>0</v>
      </c>
      <c r="BX212" s="89" t="n">
        <v>0</v>
      </c>
      <c r="BY212" s="89" t="n">
        <v>0</v>
      </c>
    </row>
    <row r="213" ht="17" customHeight="1">
      <c r="A213" s="82" t="n">
        <v>211</v>
      </c>
      <c r="B213" s="83" t="inlineStr">
        <is>
          <t>XPO</t>
        </is>
      </c>
      <c r="C213" s="84" t="inlineStr">
        <is>
          <t>XPO, Inc.</t>
        </is>
      </c>
      <c r="D213" s="82" t="inlineStr">
        <is>
          <t>Industrials</t>
        </is>
      </c>
      <c r="E213" s="82" t="n">
        <v>2026</v>
      </c>
      <c r="F213" s="85" t="n">
        <v>8194</v>
      </c>
      <c r="G213" s="85" t="n">
        <v>1630</v>
      </c>
      <c r="H213" s="85" t="n">
        <v>1555</v>
      </c>
      <c r="I213" s="85" t="n">
        <v>8194</v>
      </c>
      <c r="J213" s="85" t="n">
        <v>888</v>
      </c>
      <c r="K213" s="85" t="n">
        <v>656</v>
      </c>
      <c r="L213" s="85" t="n">
        <v>7744</v>
      </c>
      <c r="M213" s="85" t="n">
        <v>316</v>
      </c>
      <c r="N213" s="85" t="n">
        <v>656</v>
      </c>
      <c r="O213" s="85" t="n">
        <v>123.5</v>
      </c>
      <c r="P213" s="85" t="n">
        <v>4683.9</v>
      </c>
      <c r="Q213" s="85" t="n">
        <v>1861</v>
      </c>
      <c r="R213" s="85" t="n">
        <v>678</v>
      </c>
      <c r="S213" s="85" t="n">
        <v>521</v>
      </c>
      <c r="T213" s="85" t="n">
        <v>1035</v>
      </c>
      <c r="U213" s="85" t="n">
        <v>3664</v>
      </c>
      <c r="V213" s="85" t="n">
        <v>168</v>
      </c>
      <c r="W213" s="85" t="n">
        <v>7712</v>
      </c>
      <c r="X213" s="85" t="n">
        <v>1505</v>
      </c>
      <c r="Y213" s="85" t="n">
        <v>1420</v>
      </c>
      <c r="Z213" s="85" t="n">
        <v>7712</v>
      </c>
      <c r="AA213" s="85" t="n">
        <v>660</v>
      </c>
      <c r="AB213" s="85" t="n">
        <v>7718</v>
      </c>
      <c r="AC213" s="85" t="n">
        <v>387</v>
      </c>
      <c r="AD213" s="85" t="n">
        <v>885</v>
      </c>
      <c r="AE213" s="85" t="n">
        <v>53.1</v>
      </c>
      <c r="AF213" s="85" t="n">
        <v>5044.2</v>
      </c>
      <c r="AG213" s="85" t="n">
        <v>1601</v>
      </c>
      <c r="AH213" s="85" t="n">
        <v>7718</v>
      </c>
      <c r="AI213" s="85" t="n">
        <v>7712</v>
      </c>
      <c r="AJ213" s="85" t="n">
        <v>437</v>
      </c>
      <c r="AK213" s="85" t="n">
        <v>473</v>
      </c>
      <c r="AL213" s="85" t="n">
        <v>121</v>
      </c>
      <c r="AM213" s="85" t="n">
        <v>86</v>
      </c>
      <c r="AN213" s="85" t="n">
        <v>657</v>
      </c>
      <c r="AO213" s="85" t="n">
        <v>789</v>
      </c>
      <c r="AP213" s="85" t="n">
        <v>48.9</v>
      </c>
      <c r="AQ213" s="85" t="n">
        <v>1.3</v>
      </c>
      <c r="AR213" s="85" t="n">
        <v>1547</v>
      </c>
      <c r="AS213" s="85" t="n">
        <v>1876.5</v>
      </c>
      <c r="AT213" s="85" t="n">
        <v>367</v>
      </c>
      <c r="AU213" s="91" t="inlineStr">
        <is>
          <t>N/A</t>
        </is>
      </c>
      <c r="AV213" s="85" t="n">
        <v>310</v>
      </c>
      <c r="AW213" s="85" t="n">
        <v>246</v>
      </c>
      <c r="AX213" s="85" t="n">
        <v>5050.9</v>
      </c>
      <c r="AY213" s="85" t="n">
        <v>5148.2</v>
      </c>
      <c r="AZ213" s="85" t="n">
        <v>4740.9</v>
      </c>
      <c r="BA213" s="85" t="n">
        <v>-1</v>
      </c>
      <c r="BB213" s="85" t="n">
        <v>117</v>
      </c>
      <c r="BC213" s="85" t="n">
        <v>117</v>
      </c>
      <c r="BD213" s="85" t="n">
        <v>977</v>
      </c>
      <c r="BE213" s="85" t="n">
        <v>3402</v>
      </c>
      <c r="BF213" s="85" t="n">
        <v>1322</v>
      </c>
      <c r="BG213" s="85" t="n">
        <v>490</v>
      </c>
      <c r="BH213" s="85" t="n">
        <v>-184</v>
      </c>
      <c r="BI213" s="85" t="n">
        <v>-357</v>
      </c>
      <c r="BJ213" s="85" t="n">
        <v>455</v>
      </c>
      <c r="BK213" s="85" t="n">
        <v>477</v>
      </c>
      <c r="BL213" s="85" t="n">
        <v>47.3</v>
      </c>
      <c r="BM213" s="85" t="n">
        <v>62.4</v>
      </c>
      <c r="BN213" s="85" t="n">
        <v>106</v>
      </c>
      <c r="BO213" s="85" t="n">
        <v>7852</v>
      </c>
      <c r="BP213" s="85" t="n">
        <v>8303</v>
      </c>
      <c r="BQ213" s="85" t="n">
        <v>0</v>
      </c>
      <c r="BR213" s="85" t="n">
        <v>0</v>
      </c>
      <c r="BS213" s="85" t="n">
        <v>0</v>
      </c>
      <c r="BT213" s="85" t="n">
        <v>0</v>
      </c>
      <c r="BU213" s="85" t="n">
        <v>0</v>
      </c>
      <c r="BV213" s="85" t="n">
        <v>0</v>
      </c>
      <c r="BW213" s="85" t="n">
        <v>0</v>
      </c>
      <c r="BX213" s="85" t="n">
        <v>0</v>
      </c>
      <c r="BY213" s="85" t="n">
        <v>0</v>
      </c>
    </row>
    <row r="214" ht="17" customHeight="1">
      <c r="A214" s="86" t="n">
        <v>212</v>
      </c>
      <c r="B214" s="87" t="inlineStr">
        <is>
          <t>CLF</t>
        </is>
      </c>
      <c r="C214" s="88" t="inlineStr">
        <is>
          <t>CLEVELAND-CLIFFS INC.</t>
        </is>
      </c>
      <c r="D214" s="86" t="inlineStr">
        <is>
          <t>Materials</t>
        </is>
      </c>
      <c r="E214" s="86" t="n">
        <v>2026</v>
      </c>
      <c r="F214" s="89" t="n">
        <v>20012</v>
      </c>
      <c r="G214" s="89" t="n">
        <v>6435</v>
      </c>
      <c r="H214" s="89" t="n">
        <v>3302</v>
      </c>
      <c r="I214" s="89" t="n">
        <v>13689</v>
      </c>
      <c r="J214" s="89" t="n">
        <v>-529</v>
      </c>
      <c r="K214" s="89" t="n">
        <v>-1579</v>
      </c>
      <c r="L214" s="89" t="n">
        <v>18610</v>
      </c>
      <c r="M214" s="89" t="n">
        <v>-1478</v>
      </c>
      <c r="N214" s="89" t="n">
        <v>-462</v>
      </c>
      <c r="O214" s="89" t="n">
        <v>575.7</v>
      </c>
      <c r="P214" s="89" t="n">
        <v>7253</v>
      </c>
      <c r="Q214" s="89" t="n">
        <v>6116</v>
      </c>
      <c r="R214" s="89" t="n">
        <v>543</v>
      </c>
      <c r="S214" s="89" t="n">
        <v>1235</v>
      </c>
      <c r="T214" s="89" t="n">
        <v>1442</v>
      </c>
      <c r="U214" s="89" t="n">
        <v>9481</v>
      </c>
      <c r="V214" s="89" t="n">
        <v>216.5</v>
      </c>
      <c r="W214" s="89" t="n">
        <v>20947</v>
      </c>
      <c r="X214" s="89" t="n">
        <v>6907</v>
      </c>
      <c r="Y214" s="89" t="n">
        <v>3322</v>
      </c>
      <c r="Z214" s="89" t="n">
        <v>14050</v>
      </c>
      <c r="AA214" s="89" t="n">
        <v>-756</v>
      </c>
      <c r="AB214" s="89" t="n">
        <v>19185</v>
      </c>
      <c r="AC214" s="89" t="n">
        <v>-754</v>
      </c>
      <c r="AD214" s="89" t="n">
        <v>105</v>
      </c>
      <c r="AE214" s="89" t="n">
        <v>126.9</v>
      </c>
      <c r="AF214" s="89" t="n">
        <v>7065</v>
      </c>
      <c r="AG214" s="89" t="n">
        <v>6664</v>
      </c>
      <c r="AH214" s="89" t="n">
        <v>19185</v>
      </c>
      <c r="AI214" s="89" t="n">
        <v>20947</v>
      </c>
      <c r="AJ214" s="89" t="n">
        <v>-2004</v>
      </c>
      <c r="AK214" s="89" t="n">
        <v>-943</v>
      </c>
      <c r="AL214" s="89" t="n">
        <v>-581</v>
      </c>
      <c r="AM214" s="89" t="n">
        <v>-235</v>
      </c>
      <c r="AN214" s="89" t="n">
        <v>561</v>
      </c>
      <c r="AO214" s="89" t="n">
        <v>695</v>
      </c>
      <c r="AP214" s="89" t="n">
        <v>4772</v>
      </c>
      <c r="AQ214" s="89" t="n">
        <v>5094</v>
      </c>
      <c r="AR214" s="89" t="n">
        <v>1814</v>
      </c>
      <c r="AS214" s="89" t="n">
        <v>1135</v>
      </c>
      <c r="AT214" s="89" t="n">
        <v>34</v>
      </c>
      <c r="AU214" s="90" t="inlineStr">
        <is>
          <t>N/A</t>
        </is>
      </c>
      <c r="AV214" s="89" t="n">
        <v>57</v>
      </c>
      <c r="AW214" s="89" t="n">
        <v>54</v>
      </c>
      <c r="AX214" s="89" t="n">
        <v>7287</v>
      </c>
      <c r="AY214" s="89" t="n">
        <v>7065</v>
      </c>
      <c r="AZ214" s="89" t="n">
        <v>7230</v>
      </c>
      <c r="BA214" s="89" t="n">
        <v>-1023</v>
      </c>
      <c r="BB214" s="89" t="n">
        <v>569.8</v>
      </c>
      <c r="BC214" s="89" t="n">
        <v>493.9</v>
      </c>
      <c r="BD214" s="89" t="n">
        <v>1576</v>
      </c>
      <c r="BE214" s="89" t="n">
        <v>9942</v>
      </c>
      <c r="BF214" s="89" t="n">
        <v>486</v>
      </c>
      <c r="BG214" s="89" t="n">
        <v>951</v>
      </c>
      <c r="BH214" s="89" t="n">
        <v>-479</v>
      </c>
      <c r="BI214" s="89" t="n">
        <v>-3212</v>
      </c>
      <c r="BJ214" s="89" t="n">
        <v>1893</v>
      </c>
      <c r="BK214" s="89" t="n">
        <v>2008</v>
      </c>
      <c r="BL214" s="89" t="n">
        <v>35.9</v>
      </c>
      <c r="BM214" s="89" t="n">
        <v>126.6</v>
      </c>
      <c r="BN214" s="89" t="n">
        <v>1</v>
      </c>
      <c r="BO214" s="89" t="n">
        <v>19470</v>
      </c>
      <c r="BP214" s="89" t="n">
        <v>19115</v>
      </c>
      <c r="BQ214" s="89" t="n">
        <v>0</v>
      </c>
      <c r="BR214" s="89" t="n">
        <v>0</v>
      </c>
      <c r="BS214" s="89" t="n">
        <v>0</v>
      </c>
      <c r="BT214" s="89" t="n">
        <v>0</v>
      </c>
      <c r="BU214" s="89" t="n">
        <v>0</v>
      </c>
      <c r="BV214" s="89" t="n">
        <v>0</v>
      </c>
      <c r="BW214" s="89" t="n">
        <v>0</v>
      </c>
      <c r="BX214" s="89" t="n">
        <v>-0</v>
      </c>
      <c r="BY214" s="89" t="n">
        <v>0</v>
      </c>
    </row>
    <row r="215" ht="17" customHeight="1">
      <c r="A215" s="82" t="n">
        <v>213</v>
      </c>
      <c r="B215" s="83" t="inlineStr">
        <is>
          <t>DHR</t>
        </is>
      </c>
      <c r="C215" s="84" t="inlineStr">
        <is>
          <t>Danaher Corporation</t>
        </is>
      </c>
      <c r="D215" s="82" t="inlineStr">
        <is>
          <t>Health Care</t>
        </is>
      </c>
      <c r="E215" s="82" t="n">
        <v>2026</v>
      </c>
      <c r="F215" s="85" t="n">
        <v>83464</v>
      </c>
      <c r="G215" s="85" t="n">
        <v>12756</v>
      </c>
      <c r="H215" s="85" t="n">
        <v>6807</v>
      </c>
      <c r="I215" s="85" t="n">
        <v>8444.4</v>
      </c>
      <c r="J215" s="85" t="n">
        <v>46891</v>
      </c>
      <c r="K215" s="85" t="n">
        <v>4690</v>
      </c>
      <c r="L215" s="85" t="n">
        <v>19893</v>
      </c>
      <c r="M215" s="85" t="n">
        <v>3614</v>
      </c>
      <c r="N215" s="85" t="n">
        <v>6416</v>
      </c>
      <c r="O215" s="85" t="n">
        <v>14523</v>
      </c>
      <c r="P215" s="85" t="n">
        <v>18418</v>
      </c>
      <c r="Q215" s="85" t="n">
        <v>52534</v>
      </c>
      <c r="R215" s="85" t="n">
        <v>8235</v>
      </c>
      <c r="S215" s="85" t="n">
        <v>2166</v>
      </c>
      <c r="T215" s="85" t="n">
        <v>3913</v>
      </c>
      <c r="U215" s="85" t="n">
        <v>5531</v>
      </c>
      <c r="V215" s="85" t="n">
        <v>286</v>
      </c>
      <c r="W215" s="85" t="n">
        <v>77542</v>
      </c>
      <c r="X215" s="85" t="n">
        <v>9497</v>
      </c>
      <c r="Y215" s="85" t="n">
        <v>6798</v>
      </c>
      <c r="Z215" s="85" t="n">
        <v>7965.2</v>
      </c>
      <c r="AA215" s="85" t="n">
        <v>4863</v>
      </c>
      <c r="AB215" s="85" t="n">
        <v>5363.5</v>
      </c>
      <c r="AC215" s="85" t="n">
        <v>3899</v>
      </c>
      <c r="AD215" s="85" t="n">
        <v>6688</v>
      </c>
      <c r="AE215" s="85" t="n">
        <v>14206</v>
      </c>
      <c r="AF215" s="85" t="n">
        <v>16005</v>
      </c>
      <c r="AG215" s="85" t="n">
        <v>49543</v>
      </c>
      <c r="AH215" s="85" t="n">
        <v>4853.1</v>
      </c>
      <c r="AI215" s="85" t="n">
        <v>77542</v>
      </c>
      <c r="AJ215" s="85" t="n">
        <v>4233</v>
      </c>
      <c r="AK215" s="85" t="n">
        <v>4646</v>
      </c>
      <c r="AL215" s="85" t="n">
        <v>633</v>
      </c>
      <c r="AM215" s="85" t="n">
        <v>747</v>
      </c>
      <c r="AN215" s="85" t="n">
        <v>1156</v>
      </c>
      <c r="AO215" s="85" t="n">
        <v>1392</v>
      </c>
      <c r="AP215" s="85" t="n">
        <v>2489</v>
      </c>
      <c r="AQ215" s="85" t="n">
        <v>2330</v>
      </c>
      <c r="AR215" s="85" t="n">
        <v>43151</v>
      </c>
      <c r="AS215" s="85" t="n">
        <v>17817</v>
      </c>
      <c r="AT215" s="85" t="n">
        <v>2</v>
      </c>
      <c r="AU215" s="85" t="n">
        <v>1598</v>
      </c>
      <c r="AV215" s="85" t="n">
        <v>19912.3</v>
      </c>
      <c r="AW215" s="85" t="n">
        <v>787.8</v>
      </c>
      <c r="AX215" s="85" t="n">
        <v>18420</v>
      </c>
      <c r="AY215" s="85" t="n">
        <v>16510</v>
      </c>
      <c r="AZ215" s="85" t="n">
        <v>-1492.3</v>
      </c>
      <c r="BA215" s="85" t="n">
        <v>5260</v>
      </c>
      <c r="BB215" s="85" t="n">
        <v>706.9</v>
      </c>
      <c r="BC215" s="85" t="n">
        <v>719.1</v>
      </c>
      <c r="BD215" s="85" t="n">
        <v>3537</v>
      </c>
      <c r="BE215" s="85" t="n">
        <v>4990</v>
      </c>
      <c r="BF215" s="85" t="n">
        <v>7759</v>
      </c>
      <c r="BG215" s="85" t="n">
        <v>2222</v>
      </c>
      <c r="BH215" s="85" t="n">
        <v>-1196</v>
      </c>
      <c r="BI215" s="85" t="n">
        <v>-1981</v>
      </c>
      <c r="BJ215" s="91" t="inlineStr">
        <is>
          <t>N/A</t>
        </is>
      </c>
      <c r="BK215" s="91" t="inlineStr">
        <is>
          <t>N/A</t>
        </is>
      </c>
      <c r="BL215" s="85" t="n">
        <v>1648</v>
      </c>
      <c r="BM215" s="85" t="n">
        <v>1613</v>
      </c>
      <c r="BN215" s="85" t="n">
        <v>532</v>
      </c>
      <c r="BO215" s="85" t="n">
        <v>10045</v>
      </c>
      <c r="BP215" s="85" t="n">
        <v>9669</v>
      </c>
      <c r="BQ215" s="85" t="n">
        <v>0</v>
      </c>
      <c r="BR215" s="85" t="n">
        <v>0</v>
      </c>
      <c r="BS215" s="85" t="n">
        <v>0</v>
      </c>
      <c r="BT215" s="85" t="n">
        <v>0</v>
      </c>
      <c r="BU215" s="85" t="n">
        <v>0</v>
      </c>
      <c r="BV215" s="91" t="inlineStr">
        <is>
          <t>N/A</t>
        </is>
      </c>
      <c r="BW215" s="85" t="n">
        <v>0</v>
      </c>
      <c r="BX215" s="85" t="n">
        <v>0</v>
      </c>
      <c r="BY215" s="85" t="n">
        <v>0</v>
      </c>
    </row>
    <row r="216" ht="17" customHeight="1">
      <c r="A216" s="86" t="n">
        <v>214</v>
      </c>
      <c r="B216" s="87" t="inlineStr">
        <is>
          <t>AGEN</t>
        </is>
      </c>
      <c r="C216" s="88" t="inlineStr">
        <is>
          <t>AGENUS INC</t>
        </is>
      </c>
      <c r="D216" s="86" t="inlineStr">
        <is>
          <t>Health Care</t>
        </is>
      </c>
      <c r="E216" s="86" t="n">
        <v>2026</v>
      </c>
      <c r="F216" s="89" t="n">
        <v>226.8</v>
      </c>
      <c r="G216" s="89" t="n">
        <v>133.4</v>
      </c>
      <c r="H216" s="89" t="n">
        <v>323.5</v>
      </c>
      <c r="I216" s="89" t="n">
        <v>226.8</v>
      </c>
      <c r="J216" s="89" t="n">
        <v>-2182.8</v>
      </c>
      <c r="K216" s="89" t="n">
        <v>-20.2</v>
      </c>
      <c r="L216" s="89" t="n">
        <v>42.9</v>
      </c>
      <c r="M216" s="89" t="n">
        <v>-37.7</v>
      </c>
      <c r="N216" s="89" t="n">
        <v>-77.2</v>
      </c>
      <c r="O216" s="89" t="n">
        <v>41.9</v>
      </c>
      <c r="P216" s="89" t="n">
        <v>44.7</v>
      </c>
      <c r="Q216" s="89" t="n">
        <v>-271.1</v>
      </c>
      <c r="R216" s="89" t="n">
        <v>54.4</v>
      </c>
      <c r="S216" s="89" t="n">
        <v>10</v>
      </c>
      <c r="T216" s="89" t="n">
        <v>1.8</v>
      </c>
      <c r="U216" s="89" t="n">
        <v>15.5</v>
      </c>
      <c r="V216" s="89" t="n">
        <v>1.3</v>
      </c>
      <c r="W216" s="89" t="n">
        <v>226.3</v>
      </c>
      <c r="X216" s="89" t="n">
        <v>45.6</v>
      </c>
      <c r="Y216" s="89" t="n">
        <v>221.4</v>
      </c>
      <c r="Z216" s="89" t="n">
        <v>226.3</v>
      </c>
      <c r="AA216" s="89" t="n">
        <v>-120.5</v>
      </c>
      <c r="AB216" s="89" t="n">
        <v>8.4</v>
      </c>
      <c r="AC216" s="89" t="n">
        <v>-51.6</v>
      </c>
      <c r="AD216" s="89" t="n">
        <v>-158.3</v>
      </c>
      <c r="AE216" s="89" t="n">
        <v>7.9</v>
      </c>
      <c r="AF216" s="89" t="n">
        <v>33.2</v>
      </c>
      <c r="AG216" s="89" t="n">
        <v>-326.4</v>
      </c>
      <c r="AH216" s="89" t="n">
        <v>3.4</v>
      </c>
      <c r="AI216" s="89" t="n">
        <v>226.3</v>
      </c>
      <c r="AJ216" s="89" t="n">
        <v>-3.1</v>
      </c>
      <c r="AK216" s="89" t="n">
        <v>-232.3</v>
      </c>
      <c r="AL216" s="90" t="inlineStr">
        <is>
          <t>N/A</t>
        </is>
      </c>
      <c r="AM216" s="90" t="inlineStr">
        <is>
          <t>N/A</t>
        </is>
      </c>
      <c r="AN216" s="89" t="n">
        <v>0</v>
      </c>
      <c r="AO216" s="89" t="n">
        <v>0.6</v>
      </c>
      <c r="AP216" s="90" t="inlineStr">
        <is>
          <t>N/A</t>
        </is>
      </c>
      <c r="AQ216" s="89" t="n">
        <v>0.1</v>
      </c>
      <c r="AR216" s="89" t="n">
        <v>24.1</v>
      </c>
      <c r="AS216" s="89" t="n">
        <v>6.8</v>
      </c>
      <c r="AT216" s="89" t="n">
        <v>44.7</v>
      </c>
      <c r="AU216" s="89" t="n">
        <v>79.3</v>
      </c>
      <c r="AV216" s="89" t="n">
        <v>3</v>
      </c>
      <c r="AW216" s="89" t="n">
        <v>40.4</v>
      </c>
      <c r="AX216" s="89" t="n">
        <v>89.3</v>
      </c>
      <c r="AY216" s="89" t="n">
        <v>33.2</v>
      </c>
      <c r="AZ216" s="89" t="n">
        <v>86.3</v>
      </c>
      <c r="BA216" s="89" t="n">
        <v>-77.2</v>
      </c>
      <c r="BB216" s="89" t="n">
        <v>35.3</v>
      </c>
      <c r="BC216" s="89" t="n">
        <v>23.6</v>
      </c>
      <c r="BD216" s="89" t="n">
        <v>0.4</v>
      </c>
      <c r="BE216" s="89" t="n">
        <v>120.1</v>
      </c>
      <c r="BF216" s="89" t="n">
        <v>71.90000000000001</v>
      </c>
      <c r="BG216" s="89" t="n">
        <v>13.3</v>
      </c>
      <c r="BH216" s="89" t="n">
        <v>1.2</v>
      </c>
      <c r="BI216" s="89" t="n">
        <v>0</v>
      </c>
      <c r="BJ216" s="89" t="n">
        <v>83</v>
      </c>
      <c r="BK216" s="89" t="n">
        <v>61.5</v>
      </c>
      <c r="BL216" s="89" t="n">
        <v>4.5</v>
      </c>
      <c r="BM216" s="89" t="n">
        <v>2.6</v>
      </c>
      <c r="BN216" s="90" t="inlineStr">
        <is>
          <t>N/A</t>
        </is>
      </c>
      <c r="BO216" s="89" t="n">
        <v>1</v>
      </c>
      <c r="BP216" s="89" t="n">
        <v>0.5</v>
      </c>
      <c r="BQ216" s="89" t="n">
        <v>0</v>
      </c>
      <c r="BR216" s="89" t="n">
        <v>0</v>
      </c>
      <c r="BS216" s="90" t="inlineStr">
        <is>
          <t>N/A</t>
        </is>
      </c>
      <c r="BT216" s="89" t="n">
        <v>0</v>
      </c>
      <c r="BU216" s="89" t="n">
        <v>0</v>
      </c>
      <c r="BV216" s="89" t="n">
        <v>0</v>
      </c>
      <c r="BW216" s="89" t="n">
        <v>0</v>
      </c>
      <c r="BX216" s="89" t="n">
        <v>-0</v>
      </c>
      <c r="BY216" s="90" t="inlineStr">
        <is>
          <t>N/A</t>
        </is>
      </c>
    </row>
    <row r="217" ht="17" customHeight="1">
      <c r="A217" s="82" t="n">
        <v>215</v>
      </c>
      <c r="B217" s="83" t="inlineStr">
        <is>
          <t>AIZ</t>
        </is>
      </c>
      <c r="C217" s="84" t="inlineStr">
        <is>
          <t>Assurant, Inc.</t>
        </is>
      </c>
      <c r="D217" s="82" t="inlineStr">
        <is>
          <t>Financials</t>
        </is>
      </c>
      <c r="E217" s="82" t="n">
        <v>2026</v>
      </c>
      <c r="F217" s="85" t="n">
        <v>36289.6</v>
      </c>
      <c r="G217" s="91" t="inlineStr">
        <is>
          <t>N/A</t>
        </is>
      </c>
      <c r="H217" s="91" t="inlineStr">
        <is>
          <t>N/A</t>
        </is>
      </c>
      <c r="I217" s="85" t="n">
        <v>30418</v>
      </c>
      <c r="J217" s="85" t="n">
        <v>4826.3</v>
      </c>
      <c r="K217" s="85" t="n">
        <v>1087.4</v>
      </c>
      <c r="L217" s="85" t="n">
        <v>12814.3</v>
      </c>
      <c r="M217" s="85" t="n">
        <v>872.7</v>
      </c>
      <c r="N217" s="85" t="n">
        <v>1833.9</v>
      </c>
      <c r="O217" s="85" t="n">
        <v>1087.4</v>
      </c>
      <c r="P217" s="85" t="n">
        <v>2006.9</v>
      </c>
      <c r="Q217" s="85" t="n">
        <v>5871.6</v>
      </c>
      <c r="R217" s="85" t="n">
        <v>3240.6</v>
      </c>
      <c r="S217" s="85" t="n">
        <v>156.4</v>
      </c>
      <c r="T217" s="91" t="inlineStr">
        <is>
          <t>N/A</t>
        </is>
      </c>
      <c r="U217" s="85" t="n">
        <v>841.7</v>
      </c>
      <c r="V217" s="85" t="n">
        <v>108</v>
      </c>
      <c r="W217" s="85" t="n">
        <v>35020.6</v>
      </c>
      <c r="X217" s="91" t="inlineStr">
        <is>
          <t>N/A</t>
        </is>
      </c>
      <c r="Y217" s="91" t="inlineStr">
        <is>
          <t>N/A</t>
        </is>
      </c>
      <c r="Z217" s="85" t="n">
        <v>29913.9</v>
      </c>
      <c r="AA217" s="85" t="n">
        <v>927.3</v>
      </c>
      <c r="AB217" s="85" t="n">
        <v>11877.5</v>
      </c>
      <c r="AC217" s="85" t="n">
        <v>760.2</v>
      </c>
      <c r="AD217" s="85" t="n">
        <v>1332.7</v>
      </c>
      <c r="AE217" s="85" t="n">
        <v>927.3</v>
      </c>
      <c r="AF217" s="85" t="n">
        <v>2006</v>
      </c>
      <c r="AG217" s="85" t="n">
        <v>5106.7</v>
      </c>
      <c r="AH217" s="85" t="n">
        <v>11877.5</v>
      </c>
      <c r="AI217" s="85" t="n">
        <v>35020.6</v>
      </c>
      <c r="AJ217" s="85" t="n">
        <v>1087.4</v>
      </c>
      <c r="AK217" s="85" t="n">
        <v>927.3</v>
      </c>
      <c r="AL217" s="85" t="n">
        <v>214.7</v>
      </c>
      <c r="AM217" s="85" t="n">
        <v>167.1</v>
      </c>
      <c r="AN217" s="85" t="n">
        <v>235.5</v>
      </c>
      <c r="AO217" s="85" t="n">
        <v>221.3</v>
      </c>
      <c r="AP217" s="91" t="inlineStr">
        <is>
          <t>N/A</t>
        </is>
      </c>
      <c r="AQ217" s="91" t="inlineStr">
        <is>
          <t>N/A</t>
        </is>
      </c>
      <c r="AR217" s="85" t="n">
        <v>2646.3</v>
      </c>
      <c r="AS217" s="85" t="n">
        <v>510.3</v>
      </c>
      <c r="AT217" s="91" t="inlineStr">
        <is>
          <t>N/A</t>
        </is>
      </c>
      <c r="AU217" s="91" t="inlineStr">
        <is>
          <t>N/A</t>
        </is>
      </c>
      <c r="AV217" s="85" t="n">
        <v>1834.1</v>
      </c>
      <c r="AW217" s="85" t="n">
        <v>1807.7</v>
      </c>
      <c r="AX217" s="85" t="n">
        <v>2006.9</v>
      </c>
      <c r="AY217" s="85" t="n">
        <v>2006</v>
      </c>
      <c r="AZ217" s="85" t="n">
        <v>172.8</v>
      </c>
      <c r="BA217" s="85" t="n">
        <v>1598.4</v>
      </c>
      <c r="BB217" s="85" t="n">
        <v>49.8</v>
      </c>
      <c r="BC217" s="85" t="n">
        <v>50.8</v>
      </c>
      <c r="BD217" s="91" t="inlineStr">
        <is>
          <t>N/A</t>
        </is>
      </c>
      <c r="BE217" s="85" t="n">
        <v>768.3</v>
      </c>
      <c r="BF217" s="85" t="n">
        <v>3246.1</v>
      </c>
      <c r="BG217" s="85" t="n">
        <v>139.4</v>
      </c>
      <c r="BH217" s="85" t="n">
        <v>-1457.8</v>
      </c>
      <c r="BI217" s="85" t="n">
        <v>-657.8</v>
      </c>
      <c r="BJ217" s="91" t="inlineStr">
        <is>
          <t>N/A</t>
        </is>
      </c>
      <c r="BK217" s="91" t="inlineStr">
        <is>
          <t>N/A</t>
        </is>
      </c>
      <c r="BL217" s="85" t="n">
        <v>191.5</v>
      </c>
      <c r="BM217" s="85" t="n">
        <v>89.8</v>
      </c>
      <c r="BN217" s="91" t="inlineStr">
        <is>
          <t>N/A</t>
        </is>
      </c>
      <c r="BO217" s="85" t="n">
        <v>11726.9</v>
      </c>
      <c r="BP217" s="85" t="n">
        <v>10950.2</v>
      </c>
      <c r="BQ217" s="91" t="inlineStr">
        <is>
          <t>N/A</t>
        </is>
      </c>
      <c r="BR217" s="91" t="inlineStr">
        <is>
          <t>N/A</t>
        </is>
      </c>
      <c r="BS217" s="91" t="inlineStr">
        <is>
          <t>N/A</t>
        </is>
      </c>
      <c r="BT217" s="91" t="inlineStr">
        <is>
          <t>N/A</t>
        </is>
      </c>
      <c r="BU217" s="91" t="inlineStr">
        <is>
          <t>N/A</t>
        </is>
      </c>
      <c r="BV217" s="91" t="inlineStr">
        <is>
          <t>N/A</t>
        </is>
      </c>
      <c r="BW217" s="85" t="n">
        <v>0</v>
      </c>
      <c r="BX217" s="85" t="n">
        <v>0</v>
      </c>
      <c r="BY217" s="85" t="n">
        <v>0</v>
      </c>
    </row>
    <row r="218" ht="17" customHeight="1">
      <c r="A218" s="86" t="n">
        <v>216</v>
      </c>
      <c r="B218" s="87" t="inlineStr">
        <is>
          <t>FDX</t>
        </is>
      </c>
      <c r="C218" s="88" t="inlineStr">
        <is>
          <t>FedEx Corporation</t>
        </is>
      </c>
      <c r="D218" s="86" t="inlineStr">
        <is>
          <t>Industrials</t>
        </is>
      </c>
      <c r="E218" s="86" t="n">
        <v>2026</v>
      </c>
      <c r="F218" s="89" t="n">
        <v>87627</v>
      </c>
      <c r="G218" s="89" t="n">
        <v>18386</v>
      </c>
      <c r="H218" s="89" t="n">
        <v>15411</v>
      </c>
      <c r="I218" s="89" t="n">
        <v>87627</v>
      </c>
      <c r="J218" s="89" t="n">
        <v>41402</v>
      </c>
      <c r="K218" s="89" t="n">
        <v>5217</v>
      </c>
      <c r="L218" s="89" t="n">
        <v>65450</v>
      </c>
      <c r="M218" s="89" t="n">
        <v>4092</v>
      </c>
      <c r="N218" s="89" t="n">
        <v>7036</v>
      </c>
      <c r="O218" s="89" t="n">
        <v>48796</v>
      </c>
      <c r="P218" s="89" t="n">
        <v>19899</v>
      </c>
      <c r="Q218" s="89" t="n">
        <v>28074</v>
      </c>
      <c r="R218" s="90" t="inlineStr">
        <is>
          <t>N/A</t>
        </is>
      </c>
      <c r="S218" s="89" t="n">
        <v>2995</v>
      </c>
      <c r="T218" s="89" t="n">
        <v>11368</v>
      </c>
      <c r="U218" s="89" t="n">
        <v>41642</v>
      </c>
      <c r="V218" s="89" t="n">
        <v>745</v>
      </c>
      <c r="W218" s="89" t="n">
        <v>87007</v>
      </c>
      <c r="X218" s="89" t="n">
        <v>18207</v>
      </c>
      <c r="Y218" s="89" t="n">
        <v>13355</v>
      </c>
      <c r="Z218" s="89" t="n">
        <v>87007</v>
      </c>
      <c r="AA218" s="89" t="n">
        <v>5559</v>
      </c>
      <c r="AB218" s="89" t="n">
        <v>17314</v>
      </c>
      <c r="AC218" s="89" t="n">
        <v>4331</v>
      </c>
      <c r="AD218" s="89" t="n">
        <v>8312</v>
      </c>
      <c r="AE218" s="89" t="n">
        <v>2213</v>
      </c>
      <c r="AF218" s="89" t="n">
        <v>19772</v>
      </c>
      <c r="AG218" s="89" t="n">
        <v>27582</v>
      </c>
      <c r="AH218" s="89" t="n">
        <v>16526</v>
      </c>
      <c r="AI218" s="89" t="n">
        <v>87007</v>
      </c>
      <c r="AJ218" s="89" t="n">
        <v>5441</v>
      </c>
      <c r="AK218" s="89" t="n">
        <v>5836</v>
      </c>
      <c r="AL218" s="89" t="n">
        <v>1349</v>
      </c>
      <c r="AM218" s="89" t="n">
        <v>1505</v>
      </c>
      <c r="AN218" s="89" t="n">
        <v>4055</v>
      </c>
      <c r="AO218" s="89" t="n">
        <v>5176</v>
      </c>
      <c r="AP218" s="90" t="inlineStr">
        <is>
          <t>N/A</t>
        </is>
      </c>
      <c r="AQ218" s="90" t="inlineStr">
        <is>
          <t>N/A</t>
        </is>
      </c>
      <c r="AR218" s="89" t="n">
        <v>6603</v>
      </c>
      <c r="AS218" s="89" t="n">
        <v>205</v>
      </c>
      <c r="AT218" s="90" t="inlineStr">
        <is>
          <t>N/A</t>
        </is>
      </c>
      <c r="AU218" s="90" t="inlineStr">
        <is>
          <t>N/A</t>
        </is>
      </c>
      <c r="AV218" s="89" t="n">
        <v>5502</v>
      </c>
      <c r="AW218" s="89" t="n">
        <v>6501</v>
      </c>
      <c r="AX218" s="89" t="n">
        <v>19899</v>
      </c>
      <c r="AY218" s="89" t="n">
        <v>19772</v>
      </c>
      <c r="AZ218" s="89" t="n">
        <v>14397</v>
      </c>
      <c r="BA218" s="89" t="n">
        <v>2981</v>
      </c>
      <c r="BB218" s="89" t="n">
        <v>318</v>
      </c>
      <c r="BC218" s="89" t="n">
        <v>318</v>
      </c>
      <c r="BD218" s="89" t="n">
        <v>10087</v>
      </c>
      <c r="BE218" s="89" t="n">
        <v>41491</v>
      </c>
      <c r="BF218" s="90" t="inlineStr">
        <is>
          <t>N/A</t>
        </is>
      </c>
      <c r="BG218" s="89" t="n">
        <v>2631</v>
      </c>
      <c r="BH218" s="89" t="n">
        <v>-4092</v>
      </c>
      <c r="BI218" s="89" t="n">
        <v>-5200</v>
      </c>
      <c r="BJ218" s="89" t="n">
        <v>3692</v>
      </c>
      <c r="BK218" s="89" t="n">
        <v>3189</v>
      </c>
      <c r="BL218" s="89" t="n">
        <v>23</v>
      </c>
      <c r="BM218" s="89" t="n">
        <v>23</v>
      </c>
      <c r="BN218" s="90" t="inlineStr">
        <is>
          <t>N/A</t>
        </is>
      </c>
      <c r="BO218" s="89" t="n">
        <v>16654</v>
      </c>
      <c r="BP218" s="89" t="n">
        <v>15101</v>
      </c>
      <c r="BQ218" s="89" t="n">
        <v>0</v>
      </c>
      <c r="BR218" s="89" t="n">
        <v>0</v>
      </c>
      <c r="BS218" s="90" t="inlineStr">
        <is>
          <t>N/A</t>
        </is>
      </c>
      <c r="BT218" s="90" t="inlineStr">
        <is>
          <t>N/A</t>
        </is>
      </c>
      <c r="BU218" s="89" t="n">
        <v>0</v>
      </c>
      <c r="BV218" s="89" t="n">
        <v>0</v>
      </c>
      <c r="BW218" s="89" t="n">
        <v>0</v>
      </c>
      <c r="BX218" s="89" t="n">
        <v>0</v>
      </c>
      <c r="BY218" s="89" t="n">
        <v>0</v>
      </c>
    </row>
    <row r="219" ht="17" customHeight="1">
      <c r="A219" s="82" t="n">
        <v>217</v>
      </c>
      <c r="B219" s="83" t="inlineStr">
        <is>
          <t>CVS</t>
        </is>
      </c>
      <c r="C219" s="84" t="inlineStr">
        <is>
          <t>CVS HEALTH Corp</t>
        </is>
      </c>
      <c r="D219" s="82" t="inlineStr">
        <is>
          <t>Health Care</t>
        </is>
      </c>
      <c r="E219" s="82" t="n">
        <v>2026</v>
      </c>
      <c r="F219" s="85" t="n">
        <v>253538</v>
      </c>
      <c r="G219" s="85" t="n">
        <v>74714</v>
      </c>
      <c r="H219" s="85" t="n">
        <v>88692</v>
      </c>
      <c r="I219" s="85" t="n">
        <v>178156</v>
      </c>
      <c r="J219" s="85" t="n">
        <v>61196</v>
      </c>
      <c r="K219" s="85" t="n">
        <v>4660</v>
      </c>
      <c r="L219" s="85" t="n">
        <v>402067</v>
      </c>
      <c r="M219" s="85" t="n">
        <v>1768</v>
      </c>
      <c r="N219" s="85" t="n">
        <v>10639</v>
      </c>
      <c r="O219" s="85" t="n">
        <v>28545</v>
      </c>
      <c r="P219" s="85" t="n">
        <v>73429</v>
      </c>
      <c r="Q219" s="85" t="n">
        <v>75214</v>
      </c>
      <c r="R219" s="91" t="inlineStr">
        <is>
          <t>N/A</t>
        </is>
      </c>
      <c r="S219" s="85" t="n">
        <v>2480</v>
      </c>
      <c r="T219" s="85" t="n">
        <v>39779</v>
      </c>
      <c r="U219" s="85" t="n">
        <v>12873</v>
      </c>
      <c r="V219" s="85" t="n">
        <v>2658</v>
      </c>
      <c r="W219" s="85" t="n">
        <v>253215</v>
      </c>
      <c r="X219" s="85" t="n">
        <v>68645</v>
      </c>
      <c r="Y219" s="85" t="n">
        <v>84609</v>
      </c>
      <c r="Z219" s="85" t="n">
        <v>177485</v>
      </c>
      <c r="AA219" s="85" t="n">
        <v>8516</v>
      </c>
      <c r="AB219" s="85" t="n">
        <v>372809</v>
      </c>
      <c r="AC219" s="85" t="n">
        <v>4614</v>
      </c>
      <c r="AD219" s="85" t="n">
        <v>9107</v>
      </c>
      <c r="AE219" s="85" t="n">
        <v>7904</v>
      </c>
      <c r="AF219" s="85" t="n">
        <v>25700</v>
      </c>
      <c r="AG219" s="85" t="n">
        <v>75560</v>
      </c>
      <c r="AH219" s="85" t="n">
        <v>372809</v>
      </c>
      <c r="AI219" s="85" t="n">
        <v>253215</v>
      </c>
      <c r="AJ219" s="85" t="n">
        <v>2136</v>
      </c>
      <c r="AK219" s="85" t="n">
        <v>6148</v>
      </c>
      <c r="AL219" s="85" t="n">
        <v>408</v>
      </c>
      <c r="AM219" s="85" t="n">
        <v>1562</v>
      </c>
      <c r="AN219" s="85" t="n">
        <v>2832</v>
      </c>
      <c r="AO219" s="85" t="n">
        <v>2781</v>
      </c>
      <c r="AP219" s="85" t="n">
        <v>19246</v>
      </c>
      <c r="AQ219" s="85" t="n">
        <v>18107</v>
      </c>
      <c r="AR219" s="85" t="n">
        <v>85478</v>
      </c>
      <c r="AS219" s="85" t="n">
        <v>25508</v>
      </c>
      <c r="AT219" s="91" t="inlineStr">
        <is>
          <t>N/A</t>
        </is>
      </c>
      <c r="AU219" s="91" t="inlineStr">
        <is>
          <t>N/A</t>
        </is>
      </c>
      <c r="AV219" s="85" t="n">
        <v>8453</v>
      </c>
      <c r="AW219" s="85" t="n">
        <v>8586</v>
      </c>
      <c r="AX219" s="85" t="n">
        <v>73429</v>
      </c>
      <c r="AY219" s="85" t="n">
        <v>27819</v>
      </c>
      <c r="AZ219" s="85" t="n">
        <v>64976</v>
      </c>
      <c r="BA219" s="85" t="n">
        <v>7807</v>
      </c>
      <c r="BB219" s="85" t="n">
        <v>1271</v>
      </c>
      <c r="BC219" s="85" t="n">
        <v>1260</v>
      </c>
      <c r="BD219" s="85" t="n">
        <v>36469</v>
      </c>
      <c r="BE219" s="85" t="n">
        <v>12896</v>
      </c>
      <c r="BF219" s="91" t="inlineStr">
        <is>
          <t>N/A</t>
        </is>
      </c>
      <c r="BG219" s="85" t="n">
        <v>2475</v>
      </c>
      <c r="BH219" s="85" t="n">
        <v>-5871</v>
      </c>
      <c r="BI219" s="85" t="n">
        <v>-7613</v>
      </c>
      <c r="BJ219" s="85" t="n">
        <v>8863</v>
      </c>
      <c r="BK219" s="85" t="n">
        <v>7946</v>
      </c>
      <c r="BL219" s="85" t="n">
        <v>62</v>
      </c>
      <c r="BM219" s="85" t="n">
        <v>144</v>
      </c>
      <c r="BN219" s="91" t="inlineStr">
        <is>
          <t>N/A</t>
        </is>
      </c>
      <c r="BO219" s="85" t="n">
        <v>221167</v>
      </c>
      <c r="BP219" s="85" t="n">
        <v>206287</v>
      </c>
      <c r="BQ219" s="85" t="n">
        <v>0</v>
      </c>
      <c r="BR219" s="85" t="n">
        <v>0</v>
      </c>
      <c r="BS219" s="85" t="n">
        <v>0</v>
      </c>
      <c r="BT219" s="85" t="n">
        <v>0</v>
      </c>
      <c r="BU219" s="85" t="n">
        <v>0</v>
      </c>
      <c r="BV219" s="85" t="n">
        <v>0</v>
      </c>
      <c r="BW219" s="85" t="n">
        <v>0</v>
      </c>
      <c r="BX219" s="85" t="n">
        <v>0</v>
      </c>
      <c r="BY219" s="85" t="n">
        <v>0</v>
      </c>
    </row>
    <row r="220" ht="17" customHeight="1">
      <c r="A220" s="86" t="n">
        <v>218</v>
      </c>
      <c r="B220" s="87" t="inlineStr">
        <is>
          <t>JPM</t>
        </is>
      </c>
      <c r="C220" s="88" t="inlineStr">
        <is>
          <t>JPMORGAN CHASE &amp; CO</t>
        </is>
      </c>
      <c r="D220" s="86" t="inlineStr">
        <is>
          <t>Financials</t>
        </is>
      </c>
      <c r="E220" s="86" t="n">
        <v>2026</v>
      </c>
      <c r="F220" s="89" t="n">
        <v>4424900</v>
      </c>
      <c r="G220" s="90" t="inlineStr">
        <is>
          <t>N/A</t>
        </is>
      </c>
      <c r="H220" s="90" t="inlineStr">
        <is>
          <t>N/A</t>
        </is>
      </c>
      <c r="I220" s="89" t="n">
        <v>4062462</v>
      </c>
      <c r="J220" s="89" t="n">
        <v>416055</v>
      </c>
      <c r="K220" s="89" t="n">
        <v>72595</v>
      </c>
      <c r="L220" s="89" t="n">
        <v>182447</v>
      </c>
      <c r="M220" s="89" t="n">
        <v>57048</v>
      </c>
      <c r="N220" s="89" t="n">
        <v>-147782</v>
      </c>
      <c r="O220" s="90" t="inlineStr">
        <is>
          <t>N/A</t>
        </is>
      </c>
      <c r="P220" s="89" t="n">
        <v>267889</v>
      </c>
      <c r="Q220" s="89" t="n">
        <v>362438</v>
      </c>
      <c r="R220" s="90" t="inlineStr">
        <is>
          <t>N/A</t>
        </is>
      </c>
      <c r="S220" s="89" t="n">
        <v>292</v>
      </c>
      <c r="T220" s="90" t="inlineStr">
        <is>
          <t>N/A</t>
        </is>
      </c>
      <c r="U220" s="89" t="n">
        <v>27734</v>
      </c>
      <c r="V220" s="89" t="n">
        <v>81321</v>
      </c>
      <c r="W220" s="89" t="n">
        <v>4002814</v>
      </c>
      <c r="X220" s="90" t="inlineStr">
        <is>
          <t>N/A</t>
        </is>
      </c>
      <c r="Y220" s="90" t="inlineStr">
        <is>
          <t>N/A</t>
        </is>
      </c>
      <c r="Z220" s="89" t="n">
        <v>3658056</v>
      </c>
      <c r="AA220" s="89" t="n">
        <v>75081</v>
      </c>
      <c r="AB220" s="89" t="n">
        <v>177556</v>
      </c>
      <c r="AC220" s="89" t="n">
        <v>58471</v>
      </c>
      <c r="AD220" s="89" t="n">
        <v>-42012</v>
      </c>
      <c r="AE220" s="90" t="inlineStr">
        <is>
          <t>N/A</t>
        </is>
      </c>
      <c r="AF220" s="89" t="n">
        <v>249024</v>
      </c>
      <c r="AG220" s="89" t="n">
        <v>344758</v>
      </c>
      <c r="AH220" s="89" t="n">
        <v>177556</v>
      </c>
      <c r="AI220" s="89" t="n">
        <v>4002814</v>
      </c>
      <c r="AJ220" s="89" t="n">
        <v>72595</v>
      </c>
      <c r="AK220" s="89" t="n">
        <v>75081</v>
      </c>
      <c r="AL220" s="89" t="n">
        <v>15547</v>
      </c>
      <c r="AM220" s="89" t="n">
        <v>16610</v>
      </c>
      <c r="AN220" s="90" t="inlineStr">
        <is>
          <t>N/A</t>
        </is>
      </c>
      <c r="AO220" s="90" t="inlineStr">
        <is>
          <t>N/A</t>
        </is>
      </c>
      <c r="AP220" s="90" t="inlineStr">
        <is>
          <t>N/A</t>
        </is>
      </c>
      <c r="AQ220" s="90" t="inlineStr">
        <is>
          <t>N/A</t>
        </is>
      </c>
      <c r="AR220" s="89" t="n">
        <v>52731</v>
      </c>
      <c r="AS220" s="89" t="n">
        <v>1300</v>
      </c>
      <c r="AT220" s="89" t="n">
        <v>64776</v>
      </c>
      <c r="AU220" s="90" t="inlineStr">
        <is>
          <t>N/A</t>
        </is>
      </c>
      <c r="AV220" s="89" t="n">
        <v>278793</v>
      </c>
      <c r="AW220" s="89" t="n">
        <v>431304</v>
      </c>
      <c r="AX220" s="89" t="n">
        <v>332665</v>
      </c>
      <c r="AY220" s="89" t="n">
        <v>301917</v>
      </c>
      <c r="AZ220" s="89" t="n">
        <v>53872</v>
      </c>
      <c r="BA220" s="90" t="inlineStr">
        <is>
          <t>N/A</t>
        </is>
      </c>
      <c r="BB220" s="89" t="n">
        <v>2696.2</v>
      </c>
      <c r="BC220" s="89" t="n">
        <v>2797.6</v>
      </c>
      <c r="BD220" s="90" t="inlineStr">
        <is>
          <t>N/A</t>
        </is>
      </c>
      <c r="BE220" s="89" t="n">
        <v>27070</v>
      </c>
      <c r="BF220" s="90" t="inlineStr">
        <is>
          <t>N/A</t>
        </is>
      </c>
      <c r="BG220" s="89" t="n">
        <v>339</v>
      </c>
      <c r="BH220" s="89" t="n">
        <v>-265565</v>
      </c>
      <c r="BI220" s="89" t="n">
        <v>-163403</v>
      </c>
      <c r="BJ220" s="90" t="inlineStr">
        <is>
          <t>N/A</t>
        </is>
      </c>
      <c r="BK220" s="90" t="inlineStr">
        <is>
          <t>N/A</t>
        </is>
      </c>
      <c r="BL220" s="90" t="inlineStr">
        <is>
          <t>N/A</t>
        </is>
      </c>
      <c r="BM220" s="90" t="inlineStr">
        <is>
          <t>N/A</t>
        </is>
      </c>
      <c r="BN220" s="90" t="inlineStr">
        <is>
          <t>N/A</t>
        </is>
      </c>
      <c r="BO220" s="90" t="inlineStr">
        <is>
          <t>N/A</t>
        </is>
      </c>
      <c r="BP220" s="90" t="inlineStr">
        <is>
          <t>N/A</t>
        </is>
      </c>
      <c r="BQ220" s="90" t="inlineStr">
        <is>
          <t>N/A</t>
        </is>
      </c>
      <c r="BR220" s="90" t="inlineStr">
        <is>
          <t>N/A</t>
        </is>
      </c>
      <c r="BS220" s="90" t="inlineStr">
        <is>
          <t>N/A</t>
        </is>
      </c>
      <c r="BT220" s="90" t="inlineStr">
        <is>
          <t>N/A</t>
        </is>
      </c>
      <c r="BU220" s="90" t="inlineStr">
        <is>
          <t>N/A</t>
        </is>
      </c>
      <c r="BV220" s="90" t="inlineStr">
        <is>
          <t>N/A</t>
        </is>
      </c>
      <c r="BW220" s="89" t="n">
        <v>0</v>
      </c>
      <c r="BX220" s="89" t="n">
        <v>-0</v>
      </c>
      <c r="BY220" s="89" t="n">
        <v>0</v>
      </c>
    </row>
    <row r="221" ht="17" customHeight="1">
      <c r="A221" s="82" t="n">
        <v>219</v>
      </c>
      <c r="B221" s="83" t="inlineStr">
        <is>
          <t>HOOD</t>
        </is>
      </c>
      <c r="C221" s="84" t="inlineStr">
        <is>
          <t>Robinhood Markets, Inc.</t>
        </is>
      </c>
      <c r="D221" s="82" t="inlineStr">
        <is>
          <t>Financials</t>
        </is>
      </c>
      <c r="E221" s="82" t="n">
        <v>2026</v>
      </c>
      <c r="F221" s="85" t="n">
        <v>38137</v>
      </c>
      <c r="G221" s="85" t="n">
        <v>36305</v>
      </c>
      <c r="H221" s="85" t="n">
        <v>28771</v>
      </c>
      <c r="I221" s="85" t="n">
        <v>28986</v>
      </c>
      <c r="J221" s="85" t="n">
        <v>-2152</v>
      </c>
      <c r="K221" s="85" t="n">
        <v>2108</v>
      </c>
      <c r="L221" s="85" t="n">
        <v>4473</v>
      </c>
      <c r="M221" s="85" t="n">
        <v>1883</v>
      </c>
      <c r="N221" s="85" t="n">
        <v>1638</v>
      </c>
      <c r="O221" s="85" t="n">
        <v>2094</v>
      </c>
      <c r="P221" s="91" t="inlineStr">
        <is>
          <t>N/A</t>
        </is>
      </c>
      <c r="Q221" s="85" t="n">
        <v>7972</v>
      </c>
      <c r="R221" s="85" t="n">
        <v>628</v>
      </c>
      <c r="S221" s="85" t="n">
        <v>86</v>
      </c>
      <c r="T221" s="91" t="inlineStr">
        <is>
          <t>N/A</t>
        </is>
      </c>
      <c r="U221" s="85" t="n">
        <v>154</v>
      </c>
      <c r="V221" s="91" t="inlineStr">
        <is>
          <t>N/A</t>
        </is>
      </c>
      <c r="W221" s="85" t="n">
        <v>38137</v>
      </c>
      <c r="X221" s="85" t="n">
        <v>36305</v>
      </c>
      <c r="Y221" s="85" t="n">
        <v>28771</v>
      </c>
      <c r="Z221" s="85" t="n">
        <v>28986</v>
      </c>
      <c r="AA221" s="85" t="n">
        <v>2108</v>
      </c>
      <c r="AB221" s="85" t="n">
        <v>4473</v>
      </c>
      <c r="AC221" s="85" t="n">
        <v>1883</v>
      </c>
      <c r="AD221" s="85" t="n">
        <v>1638</v>
      </c>
      <c r="AE221" s="85" t="n">
        <v>2094</v>
      </c>
      <c r="AF221" s="91" t="inlineStr">
        <is>
          <t>N/A</t>
        </is>
      </c>
      <c r="AG221" s="85" t="n">
        <v>6696</v>
      </c>
      <c r="AH221" s="85" t="n">
        <v>2951</v>
      </c>
      <c r="AI221" s="85" t="n">
        <v>26187</v>
      </c>
      <c r="AJ221" s="85" t="n">
        <v>2108</v>
      </c>
      <c r="AK221" s="85" t="n">
        <v>2108</v>
      </c>
      <c r="AL221" s="85" t="n">
        <v>225</v>
      </c>
      <c r="AM221" s="85" t="n">
        <v>225</v>
      </c>
      <c r="AN221" s="85" t="n">
        <v>28</v>
      </c>
      <c r="AO221" s="85" t="n">
        <v>63.2</v>
      </c>
      <c r="AP221" s="91" t="inlineStr">
        <is>
          <t>N/A</t>
        </is>
      </c>
      <c r="AQ221" s="91" t="inlineStr">
        <is>
          <t>N/A</t>
        </is>
      </c>
      <c r="AR221" s="85" t="n">
        <v>385</v>
      </c>
      <c r="AS221" s="85" t="n">
        <v>130</v>
      </c>
      <c r="AT221" s="91" t="inlineStr">
        <is>
          <t>N/A</t>
        </is>
      </c>
      <c r="AU221" s="85" t="n">
        <v>355</v>
      </c>
      <c r="AV221" s="85" t="n">
        <v>4261</v>
      </c>
      <c r="AW221" s="85" t="n">
        <v>4261</v>
      </c>
      <c r="AX221" s="91" t="inlineStr">
        <is>
          <t>N/A</t>
        </is>
      </c>
      <c r="AY221" s="91" t="inlineStr">
        <is>
          <t>N/A</t>
        </is>
      </c>
      <c r="AZ221" s="91" t="inlineStr">
        <is>
          <t>N/A</t>
        </is>
      </c>
      <c r="BA221" s="85" t="n">
        <v>1610</v>
      </c>
      <c r="BB221" s="91" t="inlineStr">
        <is>
          <t>N/A</t>
        </is>
      </c>
      <c r="BC221" s="85" t="n">
        <v>229</v>
      </c>
      <c r="BD221" s="91" t="inlineStr">
        <is>
          <t>N/A</t>
        </is>
      </c>
      <c r="BE221" s="85" t="n">
        <v>154</v>
      </c>
      <c r="BF221" s="85" t="n">
        <v>628</v>
      </c>
      <c r="BG221" s="85" t="n">
        <v>86</v>
      </c>
      <c r="BH221" s="85" t="n">
        <v>141</v>
      </c>
      <c r="BI221" s="85" t="n">
        <v>141</v>
      </c>
      <c r="BJ221" s="85" t="n">
        <v>463</v>
      </c>
      <c r="BK221" s="85" t="n">
        <v>463</v>
      </c>
      <c r="BL221" s="85" t="n">
        <v>11986</v>
      </c>
      <c r="BM221" s="85" t="n">
        <v>11986</v>
      </c>
      <c r="BN221" s="91" t="inlineStr">
        <is>
          <t>N/A</t>
        </is>
      </c>
      <c r="BO221" s="85" t="n">
        <v>2379</v>
      </c>
      <c r="BP221" s="85" t="n">
        <v>2379</v>
      </c>
      <c r="BQ221" s="91" t="inlineStr">
        <is>
          <t>N/A</t>
        </is>
      </c>
      <c r="BR221" s="91" t="inlineStr">
        <is>
          <t>N/A</t>
        </is>
      </c>
      <c r="BS221" s="91" t="inlineStr">
        <is>
          <t>N/A</t>
        </is>
      </c>
      <c r="BT221" s="91" t="inlineStr">
        <is>
          <t>N/A</t>
        </is>
      </c>
      <c r="BU221" s="85" t="n">
        <v>0</v>
      </c>
      <c r="BV221" s="85" t="n">
        <v>0</v>
      </c>
      <c r="BW221" s="85" t="n">
        <v>0</v>
      </c>
      <c r="BX221" s="85" t="n">
        <v>0</v>
      </c>
      <c r="BY221" s="85" t="n">
        <v>0</v>
      </c>
    </row>
    <row r="222" ht="17" customHeight="1">
      <c r="A222" s="86" t="n">
        <v>220</v>
      </c>
      <c r="B222" s="87" t="inlineStr">
        <is>
          <t>BWXT</t>
        </is>
      </c>
      <c r="C222" s="88" t="inlineStr">
        <is>
          <t>BWX TECHNOLOGIES, INC.</t>
        </is>
      </c>
      <c r="D222" s="86" t="inlineStr">
        <is>
          <t>Industrials</t>
        </is>
      </c>
      <c r="E222" s="86" t="n">
        <v>2026</v>
      </c>
      <c r="F222" s="89" t="n">
        <v>4271.5</v>
      </c>
      <c r="G222" s="89" t="n">
        <v>1560.4</v>
      </c>
      <c r="H222" s="89" t="n">
        <v>672</v>
      </c>
      <c r="I222" s="89" t="n">
        <v>3038.5</v>
      </c>
      <c r="J222" s="89" t="n">
        <v>2523.6</v>
      </c>
      <c r="K222" s="89" t="n">
        <v>404.5</v>
      </c>
      <c r="L222" s="89" t="n">
        <v>1687.7</v>
      </c>
      <c r="M222" s="89" t="n">
        <v>328.9</v>
      </c>
      <c r="N222" s="89" t="n">
        <v>479.8</v>
      </c>
      <c r="O222" s="89" t="n">
        <v>-777.8</v>
      </c>
      <c r="P222" s="89" t="n">
        <v>300</v>
      </c>
      <c r="Q222" s="89" t="n">
        <v>1232.5</v>
      </c>
      <c r="R222" s="89" t="n">
        <v>394.4</v>
      </c>
      <c r="S222" s="89" t="n">
        <v>109.2</v>
      </c>
      <c r="T222" s="89" t="n">
        <v>220.4</v>
      </c>
      <c r="U222" s="89" t="n">
        <v>1585.1</v>
      </c>
      <c r="V222" s="89" t="n">
        <v>47</v>
      </c>
      <c r="W222" s="89" t="n">
        <v>2869.9</v>
      </c>
      <c r="X222" s="89" t="n">
        <v>930</v>
      </c>
      <c r="Y222" s="89" t="n">
        <v>474.2</v>
      </c>
      <c r="Z222" s="89" t="n">
        <v>1789.5</v>
      </c>
      <c r="AA222" s="89" t="n">
        <v>92.09999999999999</v>
      </c>
      <c r="AB222" s="89" t="n">
        <v>430.1</v>
      </c>
      <c r="AC222" s="89" t="n">
        <v>93</v>
      </c>
      <c r="AD222" s="89" t="n">
        <v>408.4</v>
      </c>
      <c r="AE222" s="89" t="n">
        <v>-1618.3</v>
      </c>
      <c r="AF222" s="89" t="n">
        <v>300</v>
      </c>
      <c r="AG222" s="89" t="n">
        <v>1080.7</v>
      </c>
      <c r="AH222" s="89" t="n">
        <v>419.4</v>
      </c>
      <c r="AI222" s="89" t="n">
        <v>2869.9</v>
      </c>
      <c r="AJ222" s="89" t="n">
        <v>398.1</v>
      </c>
      <c r="AK222" s="89" t="n">
        <v>348.7</v>
      </c>
      <c r="AL222" s="89" t="n">
        <v>68.3</v>
      </c>
      <c r="AM222" s="89" t="n">
        <v>66.40000000000001</v>
      </c>
      <c r="AN222" s="89" t="n">
        <v>184.6</v>
      </c>
      <c r="AO222" s="89" t="n">
        <v>153.6</v>
      </c>
      <c r="AP222" s="89" t="n">
        <v>46.5</v>
      </c>
      <c r="AQ222" s="89" t="n">
        <v>40.3</v>
      </c>
      <c r="AR222" s="89" t="n">
        <v>500.9</v>
      </c>
      <c r="AS222" s="89" t="n">
        <v>249.6</v>
      </c>
      <c r="AT222" s="89" t="n">
        <v>3.2</v>
      </c>
      <c r="AU222" s="89" t="n">
        <v>13.9</v>
      </c>
      <c r="AV222" s="89" t="n">
        <v>499.8</v>
      </c>
      <c r="AW222" s="89" t="n">
        <v>74.09999999999999</v>
      </c>
      <c r="AX222" s="89" t="n">
        <v>303.2</v>
      </c>
      <c r="AY222" s="89" t="n">
        <v>303.2</v>
      </c>
      <c r="AZ222" s="89" t="n">
        <v>-196.6</v>
      </c>
      <c r="BA222" s="89" t="n">
        <v>295.3</v>
      </c>
      <c r="BB222" s="89" t="n">
        <v>128.7</v>
      </c>
      <c r="BC222" s="89" t="n">
        <v>128.3</v>
      </c>
      <c r="BD222" s="89" t="n">
        <v>99.09999999999999</v>
      </c>
      <c r="BE222" s="89" t="n">
        <v>1278.2</v>
      </c>
      <c r="BF222" s="89" t="n">
        <v>318.7</v>
      </c>
      <c r="BG222" s="89" t="n">
        <v>85.90000000000001</v>
      </c>
      <c r="BH222" s="89" t="n">
        <v>-742.1</v>
      </c>
      <c r="BI222" s="89" t="n">
        <v>-154.6</v>
      </c>
      <c r="BJ222" s="89" t="n">
        <v>141.3</v>
      </c>
      <c r="BK222" s="89" t="n">
        <v>158.1</v>
      </c>
      <c r="BL222" s="89" t="n">
        <v>305.3</v>
      </c>
      <c r="BM222" s="89" t="n">
        <v>161.3</v>
      </c>
      <c r="BN222" s="89" t="n">
        <v>22.5</v>
      </c>
      <c r="BO222" s="89" t="n">
        <v>2465.6</v>
      </c>
      <c r="BP222" s="89" t="n">
        <v>2048.4</v>
      </c>
      <c r="BQ222" s="89" t="n">
        <v>0</v>
      </c>
      <c r="BR222" s="89" t="n">
        <v>0</v>
      </c>
      <c r="BS222" s="89" t="n">
        <v>0</v>
      </c>
      <c r="BT222" s="89" t="n">
        <v>0</v>
      </c>
      <c r="BU222" s="89" t="n">
        <v>0</v>
      </c>
      <c r="BV222" s="89" t="n">
        <v>0</v>
      </c>
      <c r="BW222" s="89" t="n">
        <v>0</v>
      </c>
      <c r="BX222" s="89" t="n">
        <v>0</v>
      </c>
      <c r="BY222" s="89" t="n">
        <v>0</v>
      </c>
    </row>
    <row r="223" ht="17" customHeight="1">
      <c r="A223" s="82" t="n">
        <v>221</v>
      </c>
      <c r="B223" s="83" t="inlineStr">
        <is>
          <t>DDOG</t>
        </is>
      </c>
      <c r="C223" s="84" t="inlineStr">
        <is>
          <t>Datadog, Inc.</t>
        </is>
      </c>
      <c r="D223" s="82" t="inlineStr">
        <is>
          <t>Information Technology</t>
        </is>
      </c>
      <c r="E223" s="82" t="n">
        <v>2026</v>
      </c>
      <c r="F223" s="85" t="n">
        <v>6643.8</v>
      </c>
      <c r="G223" s="85" t="n">
        <v>5382.3</v>
      </c>
      <c r="H223" s="85" t="n">
        <v>1591.4</v>
      </c>
      <c r="I223" s="85" t="n">
        <v>2911.6</v>
      </c>
      <c r="J223" s="85" t="n">
        <v>137.8</v>
      </c>
      <c r="K223" s="85" t="n">
        <v>-44.4</v>
      </c>
      <c r="L223" s="85" t="n">
        <v>3427.2</v>
      </c>
      <c r="M223" s="85" t="n">
        <v>107.7</v>
      </c>
      <c r="N223" s="85" t="n">
        <v>1050.1</v>
      </c>
      <c r="O223" s="85" t="n">
        <v>2740.2</v>
      </c>
      <c r="P223" s="91" t="inlineStr">
        <is>
          <t>N/A</t>
        </is>
      </c>
      <c r="Q223" s="85" t="n">
        <v>3732.2</v>
      </c>
      <c r="R223" s="85" t="n">
        <v>279.7</v>
      </c>
      <c r="S223" s="85" t="n">
        <v>55.8</v>
      </c>
      <c r="T223" s="85" t="n">
        <v>741.3</v>
      </c>
      <c r="U223" s="85" t="n">
        <v>338.1</v>
      </c>
      <c r="V223" s="85" t="n">
        <v>6.3</v>
      </c>
      <c r="W223" s="85" t="n">
        <v>5785.3</v>
      </c>
      <c r="X223" s="85" t="n">
        <v>4911.1</v>
      </c>
      <c r="Y223" s="85" t="n">
        <v>1862.7</v>
      </c>
      <c r="Z223" s="85" t="n">
        <v>3071</v>
      </c>
      <c r="AA223" s="85" t="n">
        <v>54.3</v>
      </c>
      <c r="AB223" s="85" t="n">
        <v>2684.3</v>
      </c>
      <c r="AC223" s="85" t="n">
        <v>183.7</v>
      </c>
      <c r="AD223" s="85" t="n">
        <v>870.6</v>
      </c>
      <c r="AE223" s="85" t="n">
        <v>2168.7</v>
      </c>
      <c r="AF223" s="91" t="inlineStr">
        <is>
          <t>N/A</t>
        </is>
      </c>
      <c r="AG223" s="85" t="n">
        <v>2714.4</v>
      </c>
      <c r="AH223" s="85" t="n">
        <v>2684.3</v>
      </c>
      <c r="AI223" s="85" t="n">
        <v>5785.3</v>
      </c>
      <c r="AJ223" s="85" t="n">
        <v>127</v>
      </c>
      <c r="AK223" s="85" t="n">
        <v>203.9</v>
      </c>
      <c r="AL223" s="85" t="n">
        <v>19.3</v>
      </c>
      <c r="AM223" s="85" t="n">
        <v>20.2</v>
      </c>
      <c r="AN223" s="85" t="n">
        <v>49.6</v>
      </c>
      <c r="AO223" s="85" t="n">
        <v>34.7</v>
      </c>
      <c r="AP223" s="91" t="inlineStr">
        <is>
          <t>N/A</t>
        </is>
      </c>
      <c r="AQ223" s="91" t="inlineStr">
        <is>
          <t>N/A</t>
        </is>
      </c>
      <c r="AR223" s="85" t="n">
        <v>530.6</v>
      </c>
      <c r="AS223" s="85" t="n">
        <v>15</v>
      </c>
      <c r="AT223" s="91" t="inlineStr">
        <is>
          <t>N/A</t>
        </is>
      </c>
      <c r="AU223" s="85" t="n">
        <v>1548.5</v>
      </c>
      <c r="AV223" s="85" t="n">
        <v>401.3</v>
      </c>
      <c r="AW223" s="85" t="n">
        <v>1247</v>
      </c>
      <c r="AX223" s="91" t="inlineStr">
        <is>
          <t>N/A</t>
        </is>
      </c>
      <c r="AY223" s="91" t="inlineStr">
        <is>
          <t>N/A</t>
        </is>
      </c>
      <c r="AZ223" s="91" t="inlineStr">
        <is>
          <t>N/A</t>
        </is>
      </c>
      <c r="BA223" s="85" t="n">
        <v>1000.6</v>
      </c>
      <c r="BB223" s="91" t="inlineStr">
        <is>
          <t>N/A</t>
        </is>
      </c>
      <c r="BC223" s="85" t="n">
        <v>78.2</v>
      </c>
      <c r="BD223" s="85" t="n">
        <v>598.9</v>
      </c>
      <c r="BE223" s="85" t="n">
        <v>227</v>
      </c>
      <c r="BF223" s="85" t="n">
        <v>205.2</v>
      </c>
      <c r="BG223" s="85" t="n">
        <v>54.9</v>
      </c>
      <c r="BH223" s="85" t="n">
        <v>-1334.5</v>
      </c>
      <c r="BI223" s="85" t="n">
        <v>-736.8</v>
      </c>
      <c r="BJ223" s="85" t="n">
        <v>148.8</v>
      </c>
      <c r="BK223" s="85" t="n">
        <v>107.7</v>
      </c>
      <c r="BL223" s="85" t="n">
        <v>134.1</v>
      </c>
      <c r="BM223" s="85" t="n">
        <v>69.3</v>
      </c>
      <c r="BN223" s="85" t="n">
        <v>52.9</v>
      </c>
      <c r="BO223" s="85" t="n">
        <v>687</v>
      </c>
      <c r="BP223" s="85" t="n">
        <v>515.5</v>
      </c>
      <c r="BQ223" s="85" t="n">
        <v>0</v>
      </c>
      <c r="BR223" s="85" t="n">
        <v>0</v>
      </c>
      <c r="BS223" s="91" t="inlineStr">
        <is>
          <t>N/A</t>
        </is>
      </c>
      <c r="BT223" s="91" t="inlineStr">
        <is>
          <t>N/A</t>
        </is>
      </c>
      <c r="BU223" s="85" t="n">
        <v>0</v>
      </c>
      <c r="BV223" s="85" t="n">
        <v>0</v>
      </c>
      <c r="BW223" s="85" t="n">
        <v>0</v>
      </c>
      <c r="BX223" s="85" t="n">
        <v>0</v>
      </c>
      <c r="BY223" s="85" t="n">
        <v>0</v>
      </c>
    </row>
    <row r="224" ht="17" customHeight="1">
      <c r="A224" s="86" t="n">
        <v>222</v>
      </c>
      <c r="B224" s="87" t="inlineStr">
        <is>
          <t>PLAY</t>
        </is>
      </c>
      <c r="C224" s="88" t="inlineStr">
        <is>
          <t>Dave &amp; Buster’s Entertainment, Inc.</t>
        </is>
      </c>
      <c r="D224" s="86" t="inlineStr">
        <is>
          <t>Consumer Discretionary</t>
        </is>
      </c>
      <c r="E224" s="86" t="n">
        <v>2026</v>
      </c>
      <c r="F224" s="89" t="n">
        <v>4116.6</v>
      </c>
      <c r="G224" s="89" t="n">
        <v>124.1</v>
      </c>
      <c r="H224" s="89" t="n">
        <v>434.6</v>
      </c>
      <c r="I224" s="89" t="n">
        <v>4116.6</v>
      </c>
      <c r="J224" s="89" t="n">
        <v>608.8</v>
      </c>
      <c r="K224" s="89" t="n">
        <v>86.09999999999999</v>
      </c>
      <c r="L224" s="89" t="n">
        <v>116.8</v>
      </c>
      <c r="M224" s="89" t="n">
        <v>-48.7</v>
      </c>
      <c r="N224" s="89" t="n">
        <v>290.8</v>
      </c>
      <c r="O224" s="89" t="n">
        <v>-183.5</v>
      </c>
      <c r="P224" s="89" t="n">
        <v>1552.3</v>
      </c>
      <c r="Q224" s="89" t="n">
        <v>91.2</v>
      </c>
      <c r="R224" s="89" t="n">
        <v>117</v>
      </c>
      <c r="S224" s="89" t="n">
        <v>279.4</v>
      </c>
      <c r="T224" s="90" t="inlineStr">
        <is>
          <t>N/A</t>
        </is>
      </c>
      <c r="U224" s="89" t="n">
        <v>1719</v>
      </c>
      <c r="V224" s="89" t="n">
        <v>127.4</v>
      </c>
      <c r="W224" s="89" t="n">
        <v>4015.8</v>
      </c>
      <c r="X224" s="89" t="n">
        <v>94.40000000000001</v>
      </c>
      <c r="Y224" s="89" t="n">
        <v>433.9</v>
      </c>
      <c r="Z224" s="89" t="n">
        <v>4015.8</v>
      </c>
      <c r="AA224" s="89" t="n">
        <v>220.4</v>
      </c>
      <c r="AB224" s="89" t="n">
        <v>109.1</v>
      </c>
      <c r="AC224" s="89" t="n">
        <v>58.3</v>
      </c>
      <c r="AD224" s="89" t="n">
        <v>312.3</v>
      </c>
      <c r="AE224" s="89" t="n">
        <v>-205.3</v>
      </c>
      <c r="AF224" s="89" t="n">
        <v>1524.3</v>
      </c>
      <c r="AG224" s="89" t="n">
        <v>145.8</v>
      </c>
      <c r="AH224" s="89" t="n">
        <v>50.8</v>
      </c>
      <c r="AI224" s="89" t="n">
        <v>4015.8</v>
      </c>
      <c r="AJ224" s="89" t="n">
        <v>-67.90000000000001</v>
      </c>
      <c r="AK224" s="89" t="n">
        <v>69.90000000000001</v>
      </c>
      <c r="AL224" s="89" t="n">
        <v>-19.2</v>
      </c>
      <c r="AM224" s="89" t="n">
        <v>11.6</v>
      </c>
      <c r="AN224" s="89" t="n">
        <v>391.4</v>
      </c>
      <c r="AO224" s="89" t="n">
        <v>530.2</v>
      </c>
      <c r="AP224" s="89" t="n">
        <v>39.9</v>
      </c>
      <c r="AQ224" s="89" t="n">
        <v>39.8</v>
      </c>
      <c r="AR224" s="89" t="n">
        <v>742.6</v>
      </c>
      <c r="AS224" s="89" t="n">
        <v>3.6</v>
      </c>
      <c r="AT224" s="89" t="n">
        <v>7</v>
      </c>
      <c r="AU224" s="90" t="inlineStr">
        <is>
          <t>N/A</t>
        </is>
      </c>
      <c r="AV224" s="89" t="n">
        <v>16.6</v>
      </c>
      <c r="AW224" s="89" t="n">
        <v>6.9</v>
      </c>
      <c r="AX224" s="89" t="n">
        <v>1559.3</v>
      </c>
      <c r="AY224" s="89" t="n">
        <v>1524.3</v>
      </c>
      <c r="AZ224" s="89" t="n">
        <v>1542.7</v>
      </c>
      <c r="BA224" s="89" t="n">
        <v>-100.6</v>
      </c>
      <c r="BB224" s="89" t="n">
        <v>34.8</v>
      </c>
      <c r="BC224" s="89" t="n">
        <v>35.5</v>
      </c>
      <c r="BD224" s="90" t="inlineStr">
        <is>
          <t>N/A</t>
        </is>
      </c>
      <c r="BE224" s="89" t="n">
        <v>1634.6</v>
      </c>
      <c r="BF224" s="89" t="n">
        <v>99.5</v>
      </c>
      <c r="BG224" s="89" t="n">
        <v>238.2</v>
      </c>
      <c r="BH224" s="89" t="n">
        <v>-386.9</v>
      </c>
      <c r="BI224" s="89" t="n">
        <v>-529.8</v>
      </c>
      <c r="BJ224" s="89" t="n">
        <v>125.5</v>
      </c>
      <c r="BK224" s="89" t="n">
        <v>134.4</v>
      </c>
      <c r="BL224" s="89" t="n">
        <v>114.4</v>
      </c>
      <c r="BM224" s="89" t="n">
        <v>93</v>
      </c>
      <c r="BN224" s="89" t="n">
        <v>1.8</v>
      </c>
      <c r="BO224" s="89" t="n">
        <v>300.3</v>
      </c>
      <c r="BP224" s="89" t="n">
        <v>314.4</v>
      </c>
      <c r="BQ224" s="90" t="inlineStr">
        <is>
          <t>N/A</t>
        </is>
      </c>
      <c r="BR224" s="90" t="inlineStr">
        <is>
          <t>N/A</t>
        </is>
      </c>
      <c r="BS224" s="89" t="n">
        <v>0</v>
      </c>
      <c r="BT224" s="89" t="n">
        <v>0</v>
      </c>
      <c r="BU224" s="89" t="n">
        <v>0</v>
      </c>
      <c r="BV224" s="89" t="n">
        <v>0</v>
      </c>
      <c r="BW224" s="89" t="n">
        <v>0</v>
      </c>
      <c r="BX224" s="89" t="n">
        <v>0</v>
      </c>
      <c r="BY224" s="89" t="n">
        <v>0</v>
      </c>
    </row>
    <row r="225" ht="17" customHeight="1">
      <c r="A225" s="82" t="n">
        <v>223</v>
      </c>
      <c r="B225" s="83" t="inlineStr">
        <is>
          <t>CMC</t>
        </is>
      </c>
      <c r="C225" s="84" t="inlineStr">
        <is>
          <t>COMMERCIAL METALS COMPANY</t>
        </is>
      </c>
      <c r="D225" s="82" t="inlineStr">
        <is>
          <t>Materials</t>
        </is>
      </c>
      <c r="E225" s="82" t="n">
        <v>2026</v>
      </c>
      <c r="F225" s="85" t="n">
        <v>7171.8</v>
      </c>
      <c r="G225" s="85" t="n">
        <v>3494.8</v>
      </c>
      <c r="H225" s="85" t="n">
        <v>1258.8</v>
      </c>
      <c r="I225" s="85" t="n">
        <v>2978.5</v>
      </c>
      <c r="J225" s="85" t="n">
        <v>4507.1</v>
      </c>
      <c r="K225" s="85" t="n">
        <v>107.5</v>
      </c>
      <c r="L225" s="85" t="n">
        <v>7918.4</v>
      </c>
      <c r="M225" s="85" t="n">
        <v>84.7</v>
      </c>
      <c r="N225" s="85" t="n">
        <v>715.1</v>
      </c>
      <c r="O225" s="85" t="n">
        <v>263.4</v>
      </c>
      <c r="P225" s="85" t="n">
        <v>1205.2</v>
      </c>
      <c r="Q225" s="85" t="n">
        <v>4193.1</v>
      </c>
      <c r="R225" s="85" t="n">
        <v>700.2</v>
      </c>
      <c r="S225" s="85" t="n">
        <v>285.9</v>
      </c>
      <c r="T225" s="85" t="n">
        <v>1201.7</v>
      </c>
      <c r="U225" s="85" t="n">
        <v>2742.8</v>
      </c>
      <c r="V225" s="85" t="n">
        <v>47.9</v>
      </c>
      <c r="W225" s="85" t="n">
        <v>6817.8</v>
      </c>
      <c r="X225" s="85" t="n">
        <v>3292.8</v>
      </c>
      <c r="Y225" s="85" t="n">
        <v>834.9</v>
      </c>
      <c r="Z225" s="85" t="n">
        <v>2517.8</v>
      </c>
      <c r="AA225" s="85" t="n">
        <v>635.7</v>
      </c>
      <c r="AB225" s="85" t="n">
        <v>6306.1</v>
      </c>
      <c r="AC225" s="85" t="n">
        <v>485.5</v>
      </c>
      <c r="AD225" s="85" t="n">
        <v>899.7</v>
      </c>
      <c r="AE225" s="85" t="n">
        <v>225.3</v>
      </c>
      <c r="AF225" s="85" t="n">
        <v>1057</v>
      </c>
      <c r="AG225" s="85" t="n">
        <v>4299.8</v>
      </c>
      <c r="AH225" s="85" t="n">
        <v>6409.4</v>
      </c>
      <c r="AI225" s="85" t="n">
        <v>6817.8</v>
      </c>
      <c r="AJ225" s="85" t="n">
        <v>107.5</v>
      </c>
      <c r="AK225" s="85" t="n">
        <v>635.7</v>
      </c>
      <c r="AL225" s="85" t="n">
        <v>22.9</v>
      </c>
      <c r="AM225" s="85" t="n">
        <v>150.2</v>
      </c>
      <c r="AN225" s="85" t="n">
        <v>402.8</v>
      </c>
      <c r="AO225" s="85" t="n">
        <v>324.3</v>
      </c>
      <c r="AP225" s="85" t="n">
        <v>934.3</v>
      </c>
      <c r="AQ225" s="85" t="n">
        <v>971.8</v>
      </c>
      <c r="AR225" s="85" t="n">
        <v>386.8</v>
      </c>
      <c r="AS225" s="85" t="n">
        <v>152.9</v>
      </c>
      <c r="AT225" s="85" t="n">
        <v>3.9</v>
      </c>
      <c r="AU225" s="91" t="inlineStr">
        <is>
          <t>N/A</t>
        </is>
      </c>
      <c r="AV225" s="85" t="n">
        <v>1043.3</v>
      </c>
      <c r="AW225" s="85" t="n">
        <v>857.9</v>
      </c>
      <c r="AX225" s="85" t="n">
        <v>1209.1</v>
      </c>
      <c r="AY225" s="85" t="n">
        <v>1057</v>
      </c>
      <c r="AZ225" s="85" t="n">
        <v>165.8</v>
      </c>
      <c r="BA225" s="85" t="n">
        <v>312.2</v>
      </c>
      <c r="BB225" s="85" t="n">
        <v>111.2</v>
      </c>
      <c r="BC225" s="85" t="n">
        <v>114.1</v>
      </c>
      <c r="BD225" s="85" t="n">
        <v>1158.9</v>
      </c>
      <c r="BE225" s="85" t="n">
        <v>2577.1</v>
      </c>
      <c r="BF225" s="85" t="n">
        <v>665.1</v>
      </c>
      <c r="BG225" s="85" t="n">
        <v>280.4</v>
      </c>
      <c r="BH225" s="85" t="n">
        <v>-346.8</v>
      </c>
      <c r="BI225" s="85" t="n">
        <v>-323</v>
      </c>
      <c r="BJ225" s="85" t="n">
        <v>540.1</v>
      </c>
      <c r="BK225" s="85" t="n">
        <v>475.4</v>
      </c>
      <c r="BL225" s="85" t="n">
        <v>21.6</v>
      </c>
      <c r="BM225" s="85" t="n">
        <v>35.4</v>
      </c>
      <c r="BN225" s="91" t="inlineStr">
        <is>
          <t>N/A</t>
        </is>
      </c>
      <c r="BO225" s="85" t="n">
        <v>6578.3</v>
      </c>
      <c r="BP225" s="85" t="n">
        <v>6567.3</v>
      </c>
      <c r="BQ225" s="85" t="n">
        <v>0</v>
      </c>
      <c r="BR225" s="85" t="n">
        <v>0</v>
      </c>
      <c r="BS225" s="85" t="n">
        <v>0</v>
      </c>
      <c r="BT225" s="85" t="n">
        <v>0</v>
      </c>
      <c r="BU225" s="85" t="n">
        <v>0</v>
      </c>
      <c r="BV225" s="85" t="n">
        <v>0</v>
      </c>
      <c r="BW225" s="85" t="n">
        <v>0</v>
      </c>
      <c r="BX225" s="85" t="n">
        <v>0</v>
      </c>
      <c r="BY225" s="85" t="n">
        <v>0</v>
      </c>
    </row>
    <row r="226" ht="17" customHeight="1">
      <c r="A226" s="86" t="n">
        <v>224</v>
      </c>
      <c r="B226" s="87" t="inlineStr">
        <is>
          <t>BK</t>
        </is>
      </c>
      <c r="C226" s="88" t="inlineStr">
        <is>
          <t>THE BANK OF NEW YORK MELLON CORPORATION</t>
        </is>
      </c>
      <c r="D226" s="86" t="inlineStr">
        <is>
          <t>Financials</t>
        </is>
      </c>
      <c r="E226" s="86" t="n">
        <v>2026</v>
      </c>
      <c r="F226" s="89" t="n">
        <v>472300</v>
      </c>
      <c r="G226" s="90" t="inlineStr">
        <is>
          <t>N/A</t>
        </is>
      </c>
      <c r="H226" s="90" t="inlineStr">
        <is>
          <t>N/A</t>
        </is>
      </c>
      <c r="I226" s="89" t="n">
        <v>427492</v>
      </c>
      <c r="J226" s="89" t="n">
        <v>46396</v>
      </c>
      <c r="K226" s="89" t="n">
        <v>4171</v>
      </c>
      <c r="L226" s="89" t="n">
        <v>20080</v>
      </c>
      <c r="M226" s="89" t="n">
        <v>5549</v>
      </c>
      <c r="N226" s="89" t="n">
        <v>6730</v>
      </c>
      <c r="O226" s="90" t="inlineStr">
        <is>
          <t>N/A</t>
        </is>
      </c>
      <c r="P226" s="89" t="n">
        <v>31873</v>
      </c>
      <c r="Q226" s="89" t="n">
        <v>44313</v>
      </c>
      <c r="R226" s="90" t="inlineStr">
        <is>
          <t>N/A</t>
        </is>
      </c>
      <c r="S226" s="89" t="n">
        <v>45</v>
      </c>
      <c r="T226" s="89" t="n">
        <v>4829</v>
      </c>
      <c r="U226" s="89" t="n">
        <v>3581</v>
      </c>
      <c r="V226" s="89" t="n">
        <v>16303</v>
      </c>
      <c r="W226" s="89" t="n">
        <v>416064</v>
      </c>
      <c r="X226" s="90" t="inlineStr">
        <is>
          <t>N/A</t>
        </is>
      </c>
      <c r="Y226" s="90" t="inlineStr">
        <is>
          <t>N/A</t>
        </is>
      </c>
      <c r="Z226" s="89" t="n">
        <v>374300</v>
      </c>
      <c r="AA226" s="89" t="n">
        <v>3479</v>
      </c>
      <c r="AB226" s="89" t="n">
        <v>18619</v>
      </c>
      <c r="AC226" s="89" t="n">
        <v>4530</v>
      </c>
      <c r="AD226" s="89" t="n">
        <v>687</v>
      </c>
      <c r="AE226" s="90" t="inlineStr">
        <is>
          <t>N/A</t>
        </is>
      </c>
      <c r="AF226" s="89" t="n">
        <v>30854</v>
      </c>
      <c r="AG226" s="89" t="n">
        <v>41318</v>
      </c>
      <c r="AH226" s="89" t="n">
        <v>18619</v>
      </c>
      <c r="AI226" s="89" t="n">
        <v>416064</v>
      </c>
      <c r="AJ226" s="89" t="n">
        <v>4171</v>
      </c>
      <c r="AK226" s="89" t="n">
        <v>3479</v>
      </c>
      <c r="AL226" s="89" t="n">
        <v>1475</v>
      </c>
      <c r="AM226" s="89" t="n">
        <v>1305</v>
      </c>
      <c r="AN226" s="89" t="n">
        <v>1553</v>
      </c>
      <c r="AO226" s="89" t="n">
        <v>1469</v>
      </c>
      <c r="AP226" s="90" t="inlineStr">
        <is>
          <t>N/A</t>
        </is>
      </c>
      <c r="AQ226" s="90" t="inlineStr">
        <is>
          <t>N/A</t>
        </is>
      </c>
      <c r="AR226" s="89" t="n">
        <v>16767</v>
      </c>
      <c r="AS226" s="89" t="n">
        <v>2822</v>
      </c>
      <c r="AT226" s="90" t="inlineStr">
        <is>
          <t>N/A</t>
        </is>
      </c>
      <c r="AU226" s="90" t="inlineStr">
        <is>
          <t>N/A</t>
        </is>
      </c>
      <c r="AV226" s="89" t="n">
        <v>5111</v>
      </c>
      <c r="AW226" s="89" t="n">
        <v>4178</v>
      </c>
      <c r="AX226" s="89" t="n">
        <v>31873</v>
      </c>
      <c r="AY226" s="89" t="n">
        <v>30854</v>
      </c>
      <c r="AZ226" s="89" t="n">
        <v>26762</v>
      </c>
      <c r="BA226" s="89" t="n">
        <v>5177</v>
      </c>
      <c r="BB226" s="89" t="n">
        <v>688.2</v>
      </c>
      <c r="BC226" s="89" t="n">
        <v>717.7</v>
      </c>
      <c r="BD226" s="89" t="n">
        <v>4931</v>
      </c>
      <c r="BE226" s="89" t="n">
        <v>3266</v>
      </c>
      <c r="BF226" s="90" t="inlineStr">
        <is>
          <t>N/A</t>
        </is>
      </c>
      <c r="BG226" s="89" t="n">
        <v>50</v>
      </c>
      <c r="BH226" s="89" t="n">
        <v>-44283</v>
      </c>
      <c r="BI226" s="89" t="n">
        <v>-9479</v>
      </c>
      <c r="BJ226" s="90" t="inlineStr">
        <is>
          <t>N/A</t>
        </is>
      </c>
      <c r="BK226" s="90" t="inlineStr">
        <is>
          <t>N/A</t>
        </is>
      </c>
      <c r="BL226" s="89" t="n">
        <v>394</v>
      </c>
      <c r="BM226" s="89" t="n">
        <v>527</v>
      </c>
      <c r="BN226" s="90" t="inlineStr">
        <is>
          <t>N/A</t>
        </is>
      </c>
      <c r="BO226" s="90" t="inlineStr">
        <is>
          <t>N/A</t>
        </is>
      </c>
      <c r="BP226" s="90" t="inlineStr">
        <is>
          <t>N/A</t>
        </is>
      </c>
      <c r="BQ226" s="89" t="n">
        <v>0</v>
      </c>
      <c r="BR226" s="89" t="n">
        <v>0</v>
      </c>
      <c r="BS226" s="90" t="inlineStr">
        <is>
          <t>N/A</t>
        </is>
      </c>
      <c r="BT226" s="90" t="inlineStr">
        <is>
          <t>N/A</t>
        </is>
      </c>
      <c r="BU226" s="90" t="inlineStr">
        <is>
          <t>N/A</t>
        </is>
      </c>
      <c r="BV226" s="90" t="inlineStr">
        <is>
          <t>N/A</t>
        </is>
      </c>
      <c r="BW226" s="89" t="n">
        <v>0</v>
      </c>
      <c r="BX226" s="89" t="n">
        <v>0</v>
      </c>
      <c r="BY226" s="89" t="n">
        <v>0</v>
      </c>
    </row>
    <row r="227" ht="17" customHeight="1">
      <c r="A227" s="82" t="n">
        <v>225</v>
      </c>
      <c r="B227" s="83" t="inlineStr">
        <is>
          <t>QSR</t>
        </is>
      </c>
      <c r="C227" s="84" t="inlineStr">
        <is>
          <t>RESTAURANT BRANDS INTERNATIONAL INC.</t>
        </is>
      </c>
      <c r="D227" s="82" t="inlineStr">
        <is>
          <t>Consumer Discretionary</t>
        </is>
      </c>
      <c r="E227" s="82" t="n">
        <v>2026</v>
      </c>
      <c r="F227" s="85" t="n">
        <v>25615</v>
      </c>
      <c r="G227" s="85" t="n">
        <v>2830</v>
      </c>
      <c r="H227" s="85" t="n">
        <v>2891</v>
      </c>
      <c r="I227" s="85" t="n">
        <v>20456</v>
      </c>
      <c r="J227" s="85" t="n">
        <v>1795</v>
      </c>
      <c r="K227" s="85" t="n">
        <v>2202</v>
      </c>
      <c r="L227" s="85" t="n">
        <v>9434</v>
      </c>
      <c r="M227" s="85" t="n">
        <v>139</v>
      </c>
      <c r="N227" s="85" t="n">
        <v>1714</v>
      </c>
      <c r="O227" s="85" t="n">
        <v>826.5</v>
      </c>
      <c r="P227" s="85" t="n">
        <v>13282</v>
      </c>
      <c r="Q227" s="85" t="n">
        <v>3634</v>
      </c>
      <c r="R227" s="85" t="n">
        <v>1264</v>
      </c>
      <c r="S227" s="85" t="n">
        <v>301</v>
      </c>
      <c r="T227" s="91" t="inlineStr">
        <is>
          <t>N/A</t>
        </is>
      </c>
      <c r="U227" s="85" t="n">
        <v>1219</v>
      </c>
      <c r="V227" s="85" t="n">
        <v>447.2</v>
      </c>
      <c r="W227" s="85" t="n">
        <v>24632</v>
      </c>
      <c r="X227" s="85" t="n">
        <v>2282</v>
      </c>
      <c r="Y227" s="85" t="n">
        <v>2364</v>
      </c>
      <c r="Z227" s="85" t="n">
        <v>19789</v>
      </c>
      <c r="AA227" s="85" t="n">
        <v>2419</v>
      </c>
      <c r="AB227" s="85" t="n">
        <v>8406</v>
      </c>
      <c r="AC227" s="85" t="n">
        <v>223</v>
      </c>
      <c r="AD227" s="85" t="n">
        <v>1503</v>
      </c>
      <c r="AE227" s="85" t="n">
        <v>743.1</v>
      </c>
      <c r="AF227" s="85" t="n">
        <v>13642</v>
      </c>
      <c r="AG227" s="85" t="n">
        <v>3110</v>
      </c>
      <c r="AH227" s="85" t="n">
        <v>8406</v>
      </c>
      <c r="AI227" s="85" t="n">
        <v>24632</v>
      </c>
      <c r="AJ227" s="85" t="n">
        <v>1684</v>
      </c>
      <c r="AK227" s="85" t="n">
        <v>1809</v>
      </c>
      <c r="AL227" s="85" t="n">
        <v>483</v>
      </c>
      <c r="AM227" s="85" t="n">
        <v>364</v>
      </c>
      <c r="AN227" s="85" t="n">
        <v>265</v>
      </c>
      <c r="AO227" s="85" t="n">
        <v>201</v>
      </c>
      <c r="AP227" s="85" t="n">
        <v>205</v>
      </c>
      <c r="AQ227" s="85" t="n">
        <v>142</v>
      </c>
      <c r="AR227" s="85" t="n">
        <v>6306</v>
      </c>
      <c r="AS227" s="85" t="n">
        <v>648</v>
      </c>
      <c r="AT227" s="85" t="n">
        <v>1044.8</v>
      </c>
      <c r="AU227" s="91" t="inlineStr">
        <is>
          <t>N/A</t>
        </is>
      </c>
      <c r="AV227" s="85" t="n">
        <v>913</v>
      </c>
      <c r="AW227" s="85" t="n">
        <v>913</v>
      </c>
      <c r="AX227" s="85" t="n">
        <v>14326.8</v>
      </c>
      <c r="AY227" s="85" t="n">
        <v>13642</v>
      </c>
      <c r="AZ227" s="85" t="n">
        <v>13413.8</v>
      </c>
      <c r="BA227" s="85" t="n">
        <v>1449</v>
      </c>
      <c r="BB227" s="85" t="n">
        <v>346.3</v>
      </c>
      <c r="BC227" s="85" t="n">
        <v>324.4</v>
      </c>
      <c r="BD227" s="91" t="inlineStr">
        <is>
          <t>N/A</t>
        </is>
      </c>
      <c r="BE227" s="85" t="n">
        <v>1179</v>
      </c>
      <c r="BF227" s="85" t="n">
        <v>1264</v>
      </c>
      <c r="BG227" s="85" t="n">
        <v>264</v>
      </c>
      <c r="BH227" s="85" t="n">
        <v>-318</v>
      </c>
      <c r="BI227" s="85" t="n">
        <v>-660</v>
      </c>
      <c r="BJ227" s="85" t="n">
        <v>866</v>
      </c>
      <c r="BK227" s="85" t="n">
        <v>765</v>
      </c>
      <c r="BL227" s="85" t="n">
        <v>42.9</v>
      </c>
      <c r="BM227" s="85" t="n">
        <v>54.7</v>
      </c>
      <c r="BN227" s="85" t="n">
        <v>188</v>
      </c>
      <c r="BO227" s="85" t="n">
        <v>2435</v>
      </c>
      <c r="BP227" s="85" t="n">
        <v>2312</v>
      </c>
      <c r="BQ227" s="91" t="inlineStr">
        <is>
          <t>N/A</t>
        </is>
      </c>
      <c r="BR227" s="91" t="inlineStr">
        <is>
          <t>N/A</t>
        </is>
      </c>
      <c r="BS227" s="85" t="n">
        <v>0</v>
      </c>
      <c r="BT227" s="85" t="n">
        <v>0</v>
      </c>
      <c r="BU227" s="85" t="n">
        <v>0</v>
      </c>
      <c r="BV227" s="85" t="n">
        <v>0</v>
      </c>
      <c r="BW227" s="85" t="n">
        <v>0</v>
      </c>
      <c r="BX227" s="85" t="n">
        <v>0</v>
      </c>
      <c r="BY227" s="85" t="n">
        <v>0</v>
      </c>
    </row>
    <row r="228" ht="17" customHeight="1">
      <c r="A228" s="86" t="n">
        <v>226</v>
      </c>
      <c r="B228" s="87" t="inlineStr">
        <is>
          <t>RSG</t>
        </is>
      </c>
      <c r="C228" s="88" t="inlineStr">
        <is>
          <t>REPUBLIC SERVICES, INC.</t>
        </is>
      </c>
      <c r="D228" s="86" t="inlineStr">
        <is>
          <t>Industrials</t>
        </is>
      </c>
      <c r="E228" s="86" t="n">
        <v>2026</v>
      </c>
      <c r="F228" s="89" t="n">
        <v>34366</v>
      </c>
      <c r="G228" s="89" t="n">
        <v>2523</v>
      </c>
      <c r="H228" s="89" t="n">
        <v>3928</v>
      </c>
      <c r="I228" s="89" t="n">
        <v>34366</v>
      </c>
      <c r="J228" s="89" t="n">
        <v>11161</v>
      </c>
      <c r="K228" s="89" t="n">
        <v>3302</v>
      </c>
      <c r="L228" s="89" t="n">
        <v>19027</v>
      </c>
      <c r="M228" s="89" t="n">
        <v>2139.2</v>
      </c>
      <c r="N228" s="89" t="n">
        <v>4296</v>
      </c>
      <c r="O228" s="89" t="n">
        <v>9397</v>
      </c>
      <c r="P228" s="89" t="n">
        <v>13710</v>
      </c>
      <c r="Q228" s="89" t="n">
        <v>11968</v>
      </c>
      <c r="R228" s="89" t="n">
        <v>1710</v>
      </c>
      <c r="S228" s="89" t="n">
        <v>1814</v>
      </c>
      <c r="T228" s="89" t="n">
        <v>1897</v>
      </c>
      <c r="U228" s="89" t="n">
        <v>8383.5</v>
      </c>
      <c r="V228" s="89" t="n">
        <v>508.2</v>
      </c>
      <c r="W228" s="89" t="n">
        <v>32402</v>
      </c>
      <c r="X228" s="89" t="n">
        <v>2406</v>
      </c>
      <c r="Y228" s="89" t="n">
        <v>4128</v>
      </c>
      <c r="Z228" s="89" t="n">
        <v>32402</v>
      </c>
      <c r="AA228" s="89" t="n">
        <v>3196</v>
      </c>
      <c r="AB228" s="89" t="n">
        <v>18418</v>
      </c>
      <c r="AC228" s="89" t="n">
        <v>2043.2</v>
      </c>
      <c r="AD228" s="89" t="n">
        <v>3936</v>
      </c>
      <c r="AE228" s="89" t="n">
        <v>9068</v>
      </c>
      <c r="AF228" s="89" t="n">
        <v>12840</v>
      </c>
      <c r="AG228" s="89" t="n">
        <v>11405</v>
      </c>
      <c r="AH228" s="89" t="n">
        <v>18418</v>
      </c>
      <c r="AI228" s="89" t="n">
        <v>32402</v>
      </c>
      <c r="AJ228" s="89" t="n">
        <v>2594</v>
      </c>
      <c r="AK228" s="89" t="n">
        <v>2432</v>
      </c>
      <c r="AL228" s="89" t="n">
        <v>455</v>
      </c>
      <c r="AM228" s="89" t="n">
        <v>388</v>
      </c>
      <c r="AN228" s="89" t="n">
        <v>1887</v>
      </c>
      <c r="AO228" s="89" t="n">
        <v>1855</v>
      </c>
      <c r="AP228" s="89" t="n">
        <v>106</v>
      </c>
      <c r="AQ228" s="89" t="n">
        <v>98</v>
      </c>
      <c r="AR228" s="89" t="n">
        <v>16715</v>
      </c>
      <c r="AS228" s="89" t="n">
        <v>655</v>
      </c>
      <c r="AT228" s="90" t="inlineStr">
        <is>
          <t>N/A</t>
        </is>
      </c>
      <c r="AU228" s="90" t="inlineStr">
        <is>
          <t>N/A</t>
        </is>
      </c>
      <c r="AV228" s="89" t="n">
        <v>76</v>
      </c>
      <c r="AW228" s="89" t="n">
        <v>74</v>
      </c>
      <c r="AX228" s="89" t="n">
        <v>13710</v>
      </c>
      <c r="AY228" s="89" t="n">
        <v>12840</v>
      </c>
      <c r="AZ228" s="89" t="n">
        <v>13634</v>
      </c>
      <c r="BA228" s="89" t="n">
        <v>2409</v>
      </c>
      <c r="BB228" s="89" t="n">
        <v>313</v>
      </c>
      <c r="BC228" s="89" t="n">
        <v>313</v>
      </c>
      <c r="BD228" s="89" t="n">
        <v>1821</v>
      </c>
      <c r="BE228" s="89" t="n">
        <v>8020.1</v>
      </c>
      <c r="BF228" s="89" t="n">
        <v>1674</v>
      </c>
      <c r="BG228" s="89" t="n">
        <v>1677</v>
      </c>
      <c r="BH228" s="89" t="n">
        <v>-3313</v>
      </c>
      <c r="BI228" s="89" t="n">
        <v>-2561</v>
      </c>
      <c r="BJ228" s="89" t="n">
        <v>1374</v>
      </c>
      <c r="BK228" s="89" t="n">
        <v>1345</v>
      </c>
      <c r="BL228" s="89" t="n">
        <v>312.1</v>
      </c>
      <c r="BM228" s="89" t="n">
        <v>312.9</v>
      </c>
      <c r="BN228" s="89" t="n">
        <v>0.2</v>
      </c>
      <c r="BO228" s="89" t="n">
        <v>9630</v>
      </c>
      <c r="BP228" s="89" t="n">
        <v>9350</v>
      </c>
      <c r="BQ228" s="89" t="n">
        <v>0</v>
      </c>
      <c r="BR228" s="89" t="n">
        <v>0</v>
      </c>
      <c r="BS228" s="89" t="n">
        <v>0</v>
      </c>
      <c r="BT228" s="89" t="n">
        <v>0</v>
      </c>
      <c r="BU228" s="89" t="n">
        <v>0</v>
      </c>
      <c r="BV228" s="89" t="n">
        <v>0</v>
      </c>
      <c r="BW228" s="89" t="n">
        <v>0</v>
      </c>
      <c r="BX228" s="89" t="n">
        <v>0</v>
      </c>
      <c r="BY228" s="89" t="n">
        <v>0</v>
      </c>
    </row>
    <row r="229" ht="17" customHeight="1">
      <c r="A229" s="82" t="n">
        <v>227</v>
      </c>
      <c r="B229" s="83" t="inlineStr">
        <is>
          <t>AR</t>
        </is>
      </c>
      <c r="C229" s="84" t="inlineStr">
        <is>
          <t>ANTERO RESOURCES CORPORATION</t>
        </is>
      </c>
      <c r="D229" s="82" t="inlineStr">
        <is>
          <t>Energy</t>
        </is>
      </c>
      <c r="E229" s="82" t="n">
        <v>2026</v>
      </c>
      <c r="F229" s="85" t="n">
        <v>13245.4</v>
      </c>
      <c r="G229" s="85" t="n">
        <v>831.8</v>
      </c>
      <c r="H229" s="85" t="n">
        <v>1503.3</v>
      </c>
      <c r="I229" s="85" t="n">
        <v>5529.8</v>
      </c>
      <c r="J229" s="85" t="n">
        <v>1682.3</v>
      </c>
      <c r="K229" s="85" t="n">
        <v>883.6</v>
      </c>
      <c r="L229" s="85" t="n">
        <v>5275.8</v>
      </c>
      <c r="M229" s="85" t="n">
        <v>675.8</v>
      </c>
      <c r="N229" s="85" t="n">
        <v>1630.9</v>
      </c>
      <c r="O229" s="85" t="n">
        <v>3854.9</v>
      </c>
      <c r="P229" s="85" t="n">
        <v>1398</v>
      </c>
      <c r="Q229" s="85" t="n">
        <v>7550.8</v>
      </c>
      <c r="R229" s="85" t="n">
        <v>232.5</v>
      </c>
      <c r="S229" s="85" t="n">
        <v>749.7</v>
      </c>
      <c r="T229" s="85" t="n">
        <v>33.8</v>
      </c>
      <c r="U229" s="85" t="n">
        <v>9978.700000000001</v>
      </c>
      <c r="V229" s="85" t="n">
        <v>286.7</v>
      </c>
      <c r="W229" s="85" t="n">
        <v>13010</v>
      </c>
      <c r="X229" s="85" t="n">
        <v>507.5</v>
      </c>
      <c r="Y229" s="85" t="n">
        <v>1445.9</v>
      </c>
      <c r="Z229" s="85" t="n">
        <v>5793.5</v>
      </c>
      <c r="AA229" s="85" t="n">
        <v>0.5</v>
      </c>
      <c r="AB229" s="85" t="n">
        <v>4325.6</v>
      </c>
      <c r="AC229" s="85" t="n">
        <v>606.7</v>
      </c>
      <c r="AD229" s="85" t="n">
        <v>849.3</v>
      </c>
      <c r="AE229" s="85" t="n">
        <v>3871.5</v>
      </c>
      <c r="AF229" s="85" t="n">
        <v>1489.2</v>
      </c>
      <c r="AG229" s="85" t="n">
        <v>7021.6</v>
      </c>
      <c r="AH229" s="85" t="n">
        <v>4325.6</v>
      </c>
      <c r="AI229" s="85" t="n">
        <v>13010</v>
      </c>
      <c r="AJ229" s="85" t="n">
        <v>890.4</v>
      </c>
      <c r="AK229" s="85" t="n">
        <v>-24.5</v>
      </c>
      <c r="AL229" s="85" t="n">
        <v>215.9</v>
      </c>
      <c r="AM229" s="85" t="n">
        <v>-118.2</v>
      </c>
      <c r="AN229" s="85" t="n">
        <v>944</v>
      </c>
      <c r="AO229" s="85" t="n">
        <v>715.9</v>
      </c>
      <c r="AP229" s="91" t="inlineStr">
        <is>
          <t>N/A</t>
        </is>
      </c>
      <c r="AQ229" s="91" t="inlineStr">
        <is>
          <t>N/A</t>
        </is>
      </c>
      <c r="AR229" s="91" t="inlineStr">
        <is>
          <t>N/A</t>
        </is>
      </c>
      <c r="AS229" s="91" t="inlineStr">
        <is>
          <t>N/A</t>
        </is>
      </c>
      <c r="AT229" s="85" t="n">
        <v>25</v>
      </c>
      <c r="AU229" s="91" t="inlineStr">
        <is>
          <t>N/A</t>
        </is>
      </c>
      <c r="AV229" s="85" t="n">
        <v>28.4</v>
      </c>
      <c r="AW229" s="85" t="n">
        <v>28.4</v>
      </c>
      <c r="AX229" s="85" t="n">
        <v>1423</v>
      </c>
      <c r="AY229" s="85" t="n">
        <v>1489.2</v>
      </c>
      <c r="AZ229" s="85" t="n">
        <v>1394.5</v>
      </c>
      <c r="BA229" s="85" t="n">
        <v>687</v>
      </c>
      <c r="BB229" s="85" t="n">
        <v>308.5</v>
      </c>
      <c r="BC229" s="85" t="n">
        <v>311.2</v>
      </c>
      <c r="BD229" s="85" t="n">
        <v>34.4</v>
      </c>
      <c r="BE229" s="85" t="n">
        <v>13869.9</v>
      </c>
      <c r="BF229" s="85" t="n">
        <v>229.3</v>
      </c>
      <c r="BG229" s="85" t="n">
        <v>762.1</v>
      </c>
      <c r="BH229" s="85" t="n">
        <v>-1077.8</v>
      </c>
      <c r="BI229" s="85" t="n">
        <v>-714.2</v>
      </c>
      <c r="BJ229" s="85" t="n">
        <v>77.5</v>
      </c>
      <c r="BK229" s="85" t="n">
        <v>24.8</v>
      </c>
      <c r="BL229" s="85" t="n">
        <v>23.5</v>
      </c>
      <c r="BM229" s="85" t="n">
        <v>25.3</v>
      </c>
      <c r="BN229" s="85" t="n">
        <v>40.8</v>
      </c>
      <c r="BO229" s="85" t="n">
        <v>1420.9</v>
      </c>
      <c r="BP229" s="85" t="n">
        <v>454.1</v>
      </c>
      <c r="BQ229" s="85" t="n">
        <v>0</v>
      </c>
      <c r="BR229" s="85" t="n">
        <v>0</v>
      </c>
      <c r="BS229" s="91" t="inlineStr">
        <is>
          <t>N/A</t>
        </is>
      </c>
      <c r="BT229" s="91" t="inlineStr">
        <is>
          <t>N/A</t>
        </is>
      </c>
      <c r="BU229" s="85" t="n">
        <v>0</v>
      </c>
      <c r="BV229" s="85" t="n">
        <v>0</v>
      </c>
      <c r="BW229" s="85" t="n">
        <v>0</v>
      </c>
      <c r="BX229" s="85" t="n">
        <v>0</v>
      </c>
      <c r="BY229" s="85" t="n">
        <v>0</v>
      </c>
    </row>
    <row r="230" ht="17" customHeight="1">
      <c r="A230" s="86" t="n">
        <v>228</v>
      </c>
      <c r="B230" s="87" t="inlineStr">
        <is>
          <t>PI</t>
        </is>
      </c>
      <c r="C230" s="88" t="inlineStr">
        <is>
          <t>Impinj, Inc.</t>
        </is>
      </c>
      <c r="D230" s="86" t="inlineStr">
        <is>
          <t>Information Technology</t>
        </is>
      </c>
      <c r="E230" s="86" t="n">
        <v>2026</v>
      </c>
      <c r="F230" s="89" t="n">
        <v>545.2</v>
      </c>
      <c r="G230" s="89" t="n">
        <v>339.2</v>
      </c>
      <c r="H230" s="89" t="n">
        <v>126.5</v>
      </c>
      <c r="I230" s="89" t="n">
        <v>336</v>
      </c>
      <c r="J230" s="89" t="n">
        <v>-400.2</v>
      </c>
      <c r="K230" s="89" t="n">
        <v>-0.7</v>
      </c>
      <c r="L230" s="89" t="n">
        <v>122.6</v>
      </c>
      <c r="M230" s="89" t="n">
        <v>-10.8</v>
      </c>
      <c r="N230" s="89" t="n">
        <v>58.7</v>
      </c>
      <c r="O230" s="89" t="n">
        <v>189.7</v>
      </c>
      <c r="P230" s="89" t="n">
        <v>280.9</v>
      </c>
      <c r="Q230" s="89" t="n">
        <v>209.2</v>
      </c>
      <c r="R230" s="89" t="n">
        <v>49.2</v>
      </c>
      <c r="S230" s="89" t="n">
        <v>4</v>
      </c>
      <c r="T230" s="89" t="n">
        <v>70.8</v>
      </c>
      <c r="U230" s="89" t="n">
        <v>50.3</v>
      </c>
      <c r="V230" s="89" t="n">
        <v>4.4</v>
      </c>
      <c r="W230" s="89" t="n">
        <v>489.1</v>
      </c>
      <c r="X230" s="89" t="n">
        <v>326.4</v>
      </c>
      <c r="Y230" s="89" t="n">
        <v>331.2</v>
      </c>
      <c r="Z230" s="89" t="n">
        <v>339.2</v>
      </c>
      <c r="AA230" s="89" t="n">
        <v>-7.1</v>
      </c>
      <c r="AB230" s="89" t="n">
        <v>125.3</v>
      </c>
      <c r="AC230" s="89" t="n">
        <v>40.8</v>
      </c>
      <c r="AD230" s="89" t="n">
        <v>128.3</v>
      </c>
      <c r="AE230" s="89" t="n">
        <v>188.9</v>
      </c>
      <c r="AF230" s="89" t="n">
        <v>283.5</v>
      </c>
      <c r="AG230" s="89" t="n">
        <v>149.9</v>
      </c>
      <c r="AH230" s="89" t="n">
        <v>112.3</v>
      </c>
      <c r="AI230" s="89" t="n">
        <v>489.1</v>
      </c>
      <c r="AJ230" s="89" t="n">
        <v>-10.9</v>
      </c>
      <c r="AK230" s="89" t="n">
        <v>41</v>
      </c>
      <c r="AL230" s="89" t="n">
        <v>-0.1</v>
      </c>
      <c r="AM230" s="89" t="n">
        <v>0.2</v>
      </c>
      <c r="AN230" s="89" t="n">
        <v>12.9</v>
      </c>
      <c r="AO230" s="89" t="n">
        <v>17.1</v>
      </c>
      <c r="AP230" s="89" t="n">
        <v>85</v>
      </c>
      <c r="AQ230" s="89" t="n">
        <v>99.3</v>
      </c>
      <c r="AR230" s="89" t="n">
        <v>20.7</v>
      </c>
      <c r="AS230" s="89" t="n">
        <v>9.5</v>
      </c>
      <c r="AT230" s="89" t="n">
        <v>96.7</v>
      </c>
      <c r="AU230" s="89" t="n">
        <v>102.6</v>
      </c>
      <c r="AV230" s="89" t="n">
        <v>48.2</v>
      </c>
      <c r="AW230" s="89" t="n">
        <v>46.1</v>
      </c>
      <c r="AX230" s="89" t="n">
        <v>377.6</v>
      </c>
      <c r="AY230" s="89" t="n">
        <v>283.5</v>
      </c>
      <c r="AZ230" s="89" t="n">
        <v>329.4</v>
      </c>
      <c r="BA230" s="89" t="n">
        <v>45.9</v>
      </c>
      <c r="BB230" s="89" t="n">
        <v>30.2</v>
      </c>
      <c r="BC230" s="89" t="n">
        <v>28.5</v>
      </c>
      <c r="BD230" s="89" t="n">
        <v>56.8</v>
      </c>
      <c r="BE230" s="89" t="n">
        <v>50.6</v>
      </c>
      <c r="BF230" s="89" t="n">
        <v>51.8</v>
      </c>
      <c r="BG230" s="89" t="n">
        <v>2.9</v>
      </c>
      <c r="BH230" s="89" t="n">
        <v>-48</v>
      </c>
      <c r="BI230" s="89" t="n">
        <v>-192.6</v>
      </c>
      <c r="BJ230" s="89" t="n">
        <v>13.6</v>
      </c>
      <c r="BK230" s="89" t="n">
        <v>17.3</v>
      </c>
      <c r="BL230" s="89" t="n">
        <v>0.7</v>
      </c>
      <c r="BM230" s="89" t="n">
        <v>0.4</v>
      </c>
      <c r="BN230" s="90" t="inlineStr">
        <is>
          <t>N/A</t>
        </is>
      </c>
      <c r="BO230" s="89" t="n">
        <v>171.4</v>
      </c>
      <c r="BP230" s="89" t="n">
        <v>177.2</v>
      </c>
      <c r="BQ230" s="89" t="n">
        <v>0</v>
      </c>
      <c r="BR230" s="89" t="n">
        <v>0</v>
      </c>
      <c r="BS230" s="89" t="n">
        <v>0</v>
      </c>
      <c r="BT230" s="89" t="n">
        <v>0</v>
      </c>
      <c r="BU230" s="89" t="n">
        <v>0</v>
      </c>
      <c r="BV230" s="89" t="n">
        <v>0</v>
      </c>
      <c r="BW230" s="89" t="n">
        <v>0</v>
      </c>
      <c r="BX230" s="89" t="n">
        <v>0</v>
      </c>
      <c r="BY230" s="89" t="n">
        <v>0</v>
      </c>
    </row>
    <row r="231" ht="17" customHeight="1">
      <c r="A231" s="82" t="n">
        <v>229</v>
      </c>
      <c r="B231" s="83" t="inlineStr">
        <is>
          <t>WM</t>
        </is>
      </c>
      <c r="C231" s="84" t="inlineStr">
        <is>
          <t>Waste Management, Inc</t>
        </is>
      </c>
      <c r="D231" s="82" t="inlineStr">
        <is>
          <t>Industrials</t>
        </is>
      </c>
      <c r="E231" s="82" t="n">
        <v>2026</v>
      </c>
      <c r="F231" s="85" t="n">
        <v>45835</v>
      </c>
      <c r="G231" s="85" t="n">
        <v>4910</v>
      </c>
      <c r="H231" s="85" t="n">
        <v>5524</v>
      </c>
      <c r="I231" s="85" t="n">
        <v>35844</v>
      </c>
      <c r="J231" s="85" t="n">
        <v>17232</v>
      </c>
      <c r="K231" s="85" t="n">
        <v>4308</v>
      </c>
      <c r="L231" s="85" t="n">
        <v>14485</v>
      </c>
      <c r="M231" s="85" t="n">
        <v>2708</v>
      </c>
      <c r="N231" s="85" t="n">
        <v>6043</v>
      </c>
      <c r="O231" s="85" t="n">
        <v>-527</v>
      </c>
      <c r="P231" s="91" t="inlineStr">
        <is>
          <t>N/A</t>
        </is>
      </c>
      <c r="Q231" s="85" t="n">
        <v>9990</v>
      </c>
      <c r="R231" s="85" t="n">
        <v>2722</v>
      </c>
      <c r="S231" s="85" t="n">
        <v>2863</v>
      </c>
      <c r="T231" s="85" t="n">
        <v>3435</v>
      </c>
      <c r="U231" s="85" t="n">
        <v>12893</v>
      </c>
      <c r="V231" s="85" t="n">
        <v>500</v>
      </c>
      <c r="W231" s="85" t="n">
        <v>44567</v>
      </c>
      <c r="X231" s="85" t="n">
        <v>4774</v>
      </c>
      <c r="Y231" s="85" t="n">
        <v>6258</v>
      </c>
      <c r="Z231" s="85" t="n">
        <v>36313</v>
      </c>
      <c r="AA231" s="85" t="n">
        <v>4063</v>
      </c>
      <c r="AB231" s="85" t="n">
        <v>3652</v>
      </c>
      <c r="AC231" s="85" t="n">
        <v>2746</v>
      </c>
      <c r="AD231" s="85" t="n">
        <v>5390</v>
      </c>
      <c r="AE231" s="85" t="n">
        <v>-9731</v>
      </c>
      <c r="AF231" s="91" t="inlineStr">
        <is>
          <t>N/A</t>
        </is>
      </c>
      <c r="AG231" s="85" t="n">
        <v>8252</v>
      </c>
      <c r="AH231" s="85" t="n">
        <v>3716</v>
      </c>
      <c r="AI231" s="85" t="n">
        <v>44567</v>
      </c>
      <c r="AJ231" s="85" t="n">
        <v>3426</v>
      </c>
      <c r="AK231" s="85" t="n">
        <v>3458</v>
      </c>
      <c r="AL231" s="85" t="n">
        <v>717</v>
      </c>
      <c r="AM231" s="85" t="n">
        <v>713</v>
      </c>
      <c r="AN231" s="85" t="n">
        <v>2809</v>
      </c>
      <c r="AO231" s="85" t="n">
        <v>2039</v>
      </c>
      <c r="AP231" s="91" t="inlineStr">
        <is>
          <t>N/A</t>
        </is>
      </c>
      <c r="AQ231" s="91" t="inlineStr">
        <is>
          <t>N/A</t>
        </is>
      </c>
      <c r="AR231" s="85" t="n">
        <v>13880</v>
      </c>
      <c r="AS231" s="85" t="n">
        <v>3767</v>
      </c>
      <c r="AT231" s="85" t="n">
        <v>743</v>
      </c>
      <c r="AU231" s="91" t="inlineStr">
        <is>
          <t>N/A</t>
        </is>
      </c>
      <c r="AV231" s="85" t="n">
        <v>201</v>
      </c>
      <c r="AW231" s="85" t="n">
        <v>414</v>
      </c>
      <c r="AX231" s="85" t="n">
        <v>743</v>
      </c>
      <c r="AY231" s="91" t="inlineStr">
        <is>
          <t>N/A</t>
        </is>
      </c>
      <c r="AZ231" s="85" t="n">
        <v>542</v>
      </c>
      <c r="BA231" s="85" t="n">
        <v>3234</v>
      </c>
      <c r="BB231" s="85" t="n">
        <v>402.9</v>
      </c>
      <c r="BC231" s="85" t="n">
        <v>401.5</v>
      </c>
      <c r="BD231" s="85" t="n">
        <v>3272</v>
      </c>
      <c r="BE231" s="85" t="n">
        <v>11942</v>
      </c>
      <c r="BF231" s="85" t="n">
        <v>2264</v>
      </c>
      <c r="BG231" s="85" t="n">
        <v>2267</v>
      </c>
      <c r="BH231" s="85" t="n">
        <v>-3566</v>
      </c>
      <c r="BI231" s="85" t="n">
        <v>-10601</v>
      </c>
      <c r="BJ231" s="85" t="n">
        <v>1867</v>
      </c>
      <c r="BK231" s="85" t="n">
        <v>2046</v>
      </c>
      <c r="BL231" s="85" t="n">
        <v>503</v>
      </c>
      <c r="BM231" s="85" t="n">
        <v>493</v>
      </c>
      <c r="BN231" s="91" t="inlineStr">
        <is>
          <t>N/A</t>
        </is>
      </c>
      <c r="BO231" s="85" t="n">
        <v>15012</v>
      </c>
      <c r="BP231" s="85" t="n">
        <v>13383</v>
      </c>
      <c r="BQ231" s="85" t="n">
        <v>0</v>
      </c>
      <c r="BR231" s="85" t="n">
        <v>0</v>
      </c>
      <c r="BS231" s="91" t="inlineStr">
        <is>
          <t>N/A</t>
        </is>
      </c>
      <c r="BT231" s="91" t="inlineStr">
        <is>
          <t>N/A</t>
        </is>
      </c>
      <c r="BU231" s="85" t="n">
        <v>0</v>
      </c>
      <c r="BV231" s="85" t="n">
        <v>0</v>
      </c>
      <c r="BW231" s="85" t="n">
        <v>0</v>
      </c>
      <c r="BX231" s="85" t="n">
        <v>0</v>
      </c>
      <c r="BY231" s="85" t="n">
        <v>0</v>
      </c>
    </row>
    <row r="232" ht="17" customHeight="1">
      <c r="A232" s="86" t="n">
        <v>230</v>
      </c>
      <c r="B232" s="87" t="inlineStr">
        <is>
          <t>CNC</t>
        </is>
      </c>
      <c r="C232" s="88" t="inlineStr">
        <is>
          <t>CENTENE CORPORATION</t>
        </is>
      </c>
      <c r="D232" s="86" t="inlineStr">
        <is>
          <t>Health Care</t>
        </is>
      </c>
      <c r="E232" s="86" t="n">
        <v>2026</v>
      </c>
      <c r="F232" s="89" t="n">
        <v>76747</v>
      </c>
      <c r="G232" s="89" t="n">
        <v>40370</v>
      </c>
      <c r="H232" s="89" t="n">
        <v>36696</v>
      </c>
      <c r="I232" s="89" t="n">
        <v>56691</v>
      </c>
      <c r="J232" s="89" t="n">
        <v>8674</v>
      </c>
      <c r="K232" s="89" t="n">
        <v>-7623</v>
      </c>
      <c r="L232" s="89" t="n">
        <v>194777</v>
      </c>
      <c r="M232" s="89" t="n">
        <v>-6674</v>
      </c>
      <c r="N232" s="89" t="n">
        <v>5088</v>
      </c>
      <c r="O232" s="89" t="n">
        <v>14209</v>
      </c>
      <c r="P232" s="89" t="n">
        <v>17493</v>
      </c>
      <c r="Q232" s="89" t="n">
        <v>19953</v>
      </c>
      <c r="R232" s="89" t="n">
        <v>12904</v>
      </c>
      <c r="S232" s="89" t="n">
        <v>1275</v>
      </c>
      <c r="T232" s="90" t="inlineStr">
        <is>
          <t>N/A</t>
        </is>
      </c>
      <c r="U232" s="89" t="n">
        <v>2037</v>
      </c>
      <c r="V232" s="89" t="n">
        <v>725</v>
      </c>
      <c r="W232" s="89" t="n">
        <v>82445</v>
      </c>
      <c r="X232" s="89" t="n">
        <v>37999</v>
      </c>
      <c r="Y232" s="89" t="n">
        <v>34261</v>
      </c>
      <c r="Z232" s="89" t="n">
        <v>55935</v>
      </c>
      <c r="AA232" s="89" t="n">
        <v>3175</v>
      </c>
      <c r="AB232" s="89" t="n">
        <v>163071</v>
      </c>
      <c r="AC232" s="89" t="n">
        <v>3305</v>
      </c>
      <c r="AD232" s="89" t="n">
        <v>154</v>
      </c>
      <c r="AE232" s="89" t="n">
        <v>17069</v>
      </c>
      <c r="AF232" s="89" t="n">
        <v>18640</v>
      </c>
      <c r="AG232" s="89" t="n">
        <v>26410</v>
      </c>
      <c r="AH232" s="89" t="n">
        <v>163071</v>
      </c>
      <c r="AI232" s="89" t="n">
        <v>82445</v>
      </c>
      <c r="AJ232" s="89" t="n">
        <v>-6728</v>
      </c>
      <c r="AK232" s="89" t="n">
        <v>4257</v>
      </c>
      <c r="AL232" s="89" t="n">
        <v>-51</v>
      </c>
      <c r="AM232" s="89" t="n">
        <v>963</v>
      </c>
      <c r="AN232" s="89" t="n">
        <v>767</v>
      </c>
      <c r="AO232" s="89" t="n">
        <v>644</v>
      </c>
      <c r="AP232" s="90" t="inlineStr">
        <is>
          <t>N/A</t>
        </is>
      </c>
      <c r="AQ232" s="90" t="inlineStr">
        <is>
          <t>N/A</t>
        </is>
      </c>
      <c r="AR232" s="89" t="n">
        <v>10835</v>
      </c>
      <c r="AS232" s="89" t="n">
        <v>4530</v>
      </c>
      <c r="AT232" s="89" t="n">
        <v>50</v>
      </c>
      <c r="AU232" s="90" t="inlineStr">
        <is>
          <t>N/A</t>
        </is>
      </c>
      <c r="AV232" s="89" t="n">
        <v>17888</v>
      </c>
      <c r="AW232" s="89" t="n">
        <v>14063</v>
      </c>
      <c r="AX232" s="89" t="n">
        <v>17543</v>
      </c>
      <c r="AY232" s="89" t="n">
        <v>18640</v>
      </c>
      <c r="AZ232" s="89" t="n">
        <v>-345</v>
      </c>
      <c r="BA232" s="89" t="n">
        <v>4321</v>
      </c>
      <c r="BB232" s="89" t="n">
        <v>491.8</v>
      </c>
      <c r="BC232" s="89" t="n">
        <v>495.9</v>
      </c>
      <c r="BD232" s="90" t="inlineStr">
        <is>
          <t>N/A</t>
        </is>
      </c>
      <c r="BE232" s="89" t="n">
        <v>2067</v>
      </c>
      <c r="BF232" s="89" t="n">
        <v>12400</v>
      </c>
      <c r="BG232" s="89" t="n">
        <v>1241</v>
      </c>
      <c r="BH232" s="89" t="n">
        <v>472</v>
      </c>
      <c r="BI232" s="89" t="n">
        <v>-1052</v>
      </c>
      <c r="BJ232" s="89" t="n">
        <v>13774</v>
      </c>
      <c r="BK232" s="89" t="n">
        <v>13174</v>
      </c>
      <c r="BL232" s="89" t="n">
        <v>328</v>
      </c>
      <c r="BM232" s="89" t="n">
        <v>313</v>
      </c>
      <c r="BN232" s="90" t="inlineStr">
        <is>
          <t>N/A</t>
        </is>
      </c>
      <c r="BO232" s="89" t="n">
        <v>2670</v>
      </c>
      <c r="BP232" s="89" t="n">
        <v>2729</v>
      </c>
      <c r="BQ232" s="90" t="inlineStr">
        <is>
          <t>N/A</t>
        </is>
      </c>
      <c r="BR232" s="90" t="inlineStr">
        <is>
          <t>N/A</t>
        </is>
      </c>
      <c r="BS232" s="90" t="inlineStr">
        <is>
          <t>N/A</t>
        </is>
      </c>
      <c r="BT232" s="90" t="inlineStr">
        <is>
          <t>N/A</t>
        </is>
      </c>
      <c r="BU232" s="89" t="n">
        <v>0</v>
      </c>
      <c r="BV232" s="89" t="n">
        <v>0</v>
      </c>
      <c r="BW232" s="89" t="n">
        <v>0</v>
      </c>
      <c r="BX232" s="89" t="n">
        <v>0</v>
      </c>
      <c r="BY232" s="89" t="n">
        <v>0</v>
      </c>
    </row>
    <row r="233" ht="17" customHeight="1">
      <c r="A233" s="82" t="n">
        <v>231</v>
      </c>
      <c r="B233" s="83" t="inlineStr">
        <is>
          <t>COP</t>
        </is>
      </c>
      <c r="C233" s="84" t="inlineStr">
        <is>
          <t>CONOCOPHILLIPS</t>
        </is>
      </c>
      <c r="D233" s="82" t="inlineStr">
        <is>
          <t>Energy</t>
        </is>
      </c>
      <c r="E233" s="82" t="n">
        <v>2026</v>
      </c>
      <c r="F233" s="85" t="n">
        <v>121939</v>
      </c>
      <c r="G233" s="85" t="n">
        <v>15532</v>
      </c>
      <c r="H233" s="85" t="n">
        <v>11972</v>
      </c>
      <c r="I233" s="85" t="n">
        <v>57452</v>
      </c>
      <c r="J233" s="85" t="n">
        <v>68864</v>
      </c>
      <c r="K233" s="85" t="n">
        <v>12656</v>
      </c>
      <c r="L233" s="85" t="n">
        <v>58944</v>
      </c>
      <c r="M233" s="85" t="n">
        <v>7988</v>
      </c>
      <c r="N233" s="85" t="n">
        <v>19796</v>
      </c>
      <c r="O233" s="85" t="n">
        <v>36619</v>
      </c>
      <c r="P233" s="85" t="n">
        <v>16147</v>
      </c>
      <c r="Q233" s="85" t="n">
        <v>64487</v>
      </c>
      <c r="R233" s="85" t="n">
        <v>893</v>
      </c>
      <c r="S233" s="85" t="n">
        <v>11500</v>
      </c>
      <c r="T233" s="85" t="n">
        <v>3401</v>
      </c>
      <c r="U233" s="85" t="n">
        <v>64911</v>
      </c>
      <c r="V233" s="85" t="n">
        <v>1176</v>
      </c>
      <c r="W233" s="85" t="n">
        <v>122780</v>
      </c>
      <c r="X233" s="85" t="n">
        <v>15647</v>
      </c>
      <c r="Y233" s="85" t="n">
        <v>12124</v>
      </c>
      <c r="Z233" s="85" t="n">
        <v>57984</v>
      </c>
      <c r="AA233" s="85" t="n">
        <v>13672</v>
      </c>
      <c r="AB233" s="85" t="n">
        <v>54745</v>
      </c>
      <c r="AC233" s="85" t="n">
        <v>9245</v>
      </c>
      <c r="AD233" s="85" t="n">
        <v>20124</v>
      </c>
      <c r="AE233" s="85" t="n">
        <v>34733</v>
      </c>
      <c r="AF233" s="85" t="n">
        <v>22435</v>
      </c>
      <c r="AG233" s="85" t="n">
        <v>64796</v>
      </c>
      <c r="AH233" s="85" t="n">
        <v>54745</v>
      </c>
      <c r="AI233" s="85" t="n">
        <v>122780</v>
      </c>
      <c r="AJ233" s="85" t="n">
        <v>12656</v>
      </c>
      <c r="AK233" s="85" t="n">
        <v>13672</v>
      </c>
      <c r="AL233" s="85" t="n">
        <v>4668</v>
      </c>
      <c r="AM233" s="85" t="n">
        <v>4427</v>
      </c>
      <c r="AN233" s="85" t="n">
        <v>10159</v>
      </c>
      <c r="AO233" s="85" t="n">
        <v>5324</v>
      </c>
      <c r="AP233" s="85" t="n">
        <v>1873</v>
      </c>
      <c r="AQ233" s="85" t="n">
        <v>1809</v>
      </c>
      <c r="AR233" s="85" t="n">
        <v>3332</v>
      </c>
      <c r="AS233" s="85" t="n">
        <v>44</v>
      </c>
      <c r="AT233" s="85" t="n">
        <v>1020</v>
      </c>
      <c r="AU233" s="85" t="n">
        <v>78</v>
      </c>
      <c r="AV233" s="85" t="n">
        <v>6497</v>
      </c>
      <c r="AW233" s="85" t="n">
        <v>5607</v>
      </c>
      <c r="AX233" s="85" t="n">
        <v>17167</v>
      </c>
      <c r="AY233" s="85" t="n">
        <v>23470</v>
      </c>
      <c r="AZ233" s="85" t="n">
        <v>10670</v>
      </c>
      <c r="BA233" s="85" t="n">
        <v>9637</v>
      </c>
      <c r="BB233" s="85" t="n">
        <v>2253.5</v>
      </c>
      <c r="BC233" s="85" t="n">
        <v>2250.7</v>
      </c>
      <c r="BD233" s="85" t="n">
        <v>4067</v>
      </c>
      <c r="BE233" s="85" t="n">
        <v>39893</v>
      </c>
      <c r="BF233" s="85" t="n">
        <v>1158</v>
      </c>
      <c r="BG233" s="85" t="n">
        <v>9599</v>
      </c>
      <c r="BH233" s="85" t="n">
        <v>-8836</v>
      </c>
      <c r="BI233" s="85" t="n">
        <v>-11150</v>
      </c>
      <c r="BJ233" s="85" t="n">
        <v>6218</v>
      </c>
      <c r="BK233" s="85" t="n">
        <v>6044</v>
      </c>
      <c r="BL233" s="85" t="n">
        <v>50</v>
      </c>
      <c r="BM233" s="85" t="n">
        <v>56</v>
      </c>
      <c r="BN233" s="85" t="n">
        <v>1835</v>
      </c>
      <c r="BO233" s="85" t="n">
        <v>22325</v>
      </c>
      <c r="BP233" s="85" t="n">
        <v>20012</v>
      </c>
      <c r="BQ233" s="85" t="n">
        <v>0</v>
      </c>
      <c r="BR233" s="85" t="n">
        <v>0</v>
      </c>
      <c r="BS233" s="85" t="n">
        <v>0</v>
      </c>
      <c r="BT233" s="85" t="n">
        <v>0</v>
      </c>
      <c r="BU233" s="85" t="n">
        <v>0</v>
      </c>
      <c r="BV233" s="85" t="n">
        <v>0</v>
      </c>
      <c r="BW233" s="85" t="n">
        <v>0</v>
      </c>
      <c r="BX233" s="85" t="n">
        <v>0</v>
      </c>
      <c r="BY233" s="85" t="n">
        <v>0</v>
      </c>
    </row>
    <row r="234" ht="17" customHeight="1">
      <c r="A234" s="86" t="n">
        <v>232</v>
      </c>
      <c r="B234" s="87" t="inlineStr">
        <is>
          <t>FANG</t>
        </is>
      </c>
      <c r="C234" s="88" t="inlineStr">
        <is>
          <t>Diamondback Energy, Inc.</t>
        </is>
      </c>
      <c r="D234" s="86" t="inlineStr">
        <is>
          <t>Energy</t>
        </is>
      </c>
      <c r="E234" s="86" t="n">
        <v>2026</v>
      </c>
      <c r="F234" s="89" t="n">
        <v>71059</v>
      </c>
      <c r="G234" s="89" t="n">
        <v>1915</v>
      </c>
      <c r="H234" s="89" t="n">
        <v>4600</v>
      </c>
      <c r="I234" s="89" t="n">
        <v>28092</v>
      </c>
      <c r="J234" s="89" t="n">
        <v>4740</v>
      </c>
      <c r="K234" s="89" t="n">
        <v>1266</v>
      </c>
      <c r="L234" s="89" t="n">
        <v>15026</v>
      </c>
      <c r="M234" s="89" t="n">
        <v>1664</v>
      </c>
      <c r="N234" s="89" t="n">
        <v>8758</v>
      </c>
      <c r="O234" s="89" t="n">
        <v>13839</v>
      </c>
      <c r="P234" s="89" t="n">
        <v>13726</v>
      </c>
      <c r="Q234" s="89" t="n">
        <v>36972</v>
      </c>
      <c r="R234" s="89" t="n">
        <v>288</v>
      </c>
      <c r="S234" s="89" t="n">
        <v>5038</v>
      </c>
      <c r="T234" s="89" t="n">
        <v>1128</v>
      </c>
      <c r="U234" s="89" t="n">
        <v>68621</v>
      </c>
      <c r="V234" s="89" t="n">
        <v>244</v>
      </c>
      <c r="W234" s="89" t="n">
        <v>67292</v>
      </c>
      <c r="X234" s="89" t="n">
        <v>2110</v>
      </c>
      <c r="Y234" s="89" t="n">
        <v>4811</v>
      </c>
      <c r="Z234" s="89" t="n">
        <v>27430</v>
      </c>
      <c r="AA234" s="89" t="n">
        <v>4396</v>
      </c>
      <c r="AB234" s="89" t="n">
        <v>11066</v>
      </c>
      <c r="AC234" s="89" t="n">
        <v>3338</v>
      </c>
      <c r="AD234" s="89" t="n">
        <v>6413</v>
      </c>
      <c r="AE234" s="89" t="n">
        <v>10783</v>
      </c>
      <c r="AF234" s="89" t="n">
        <v>12075</v>
      </c>
      <c r="AG234" s="89" t="n">
        <v>37736</v>
      </c>
      <c r="AH234" s="89" t="n">
        <v>11066</v>
      </c>
      <c r="AI234" s="89" t="n">
        <v>67292</v>
      </c>
      <c r="AJ234" s="89" t="n">
        <v>1874</v>
      </c>
      <c r="AK234" s="89" t="n">
        <v>4501</v>
      </c>
      <c r="AL234" s="89" t="n">
        <v>327</v>
      </c>
      <c r="AM234" s="89" t="n">
        <v>800</v>
      </c>
      <c r="AN234" s="90" t="inlineStr">
        <is>
          <t>N/A</t>
        </is>
      </c>
      <c r="AO234" s="90" t="inlineStr">
        <is>
          <t>N/A</t>
        </is>
      </c>
      <c r="AP234" s="89" t="n">
        <v>86</v>
      </c>
      <c r="AQ234" s="89" t="n">
        <v>116</v>
      </c>
      <c r="AR234" s="90" t="inlineStr">
        <is>
          <t>N/A</t>
        </is>
      </c>
      <c r="AS234" s="89" t="n">
        <v>8</v>
      </c>
      <c r="AT234" s="90" t="inlineStr">
        <is>
          <t>N/A</t>
        </is>
      </c>
      <c r="AU234" s="90" t="inlineStr">
        <is>
          <t>N/A</t>
        </is>
      </c>
      <c r="AV234" s="89" t="n">
        <v>104</v>
      </c>
      <c r="AW234" s="89" t="n">
        <v>161</v>
      </c>
      <c r="AX234" s="89" t="n">
        <v>13726</v>
      </c>
      <c r="AY234" s="89" t="n">
        <v>12075.1</v>
      </c>
      <c r="AZ234" s="89" t="n">
        <v>13622</v>
      </c>
      <c r="BA234" s="90" t="inlineStr">
        <is>
          <t>N/A</t>
        </is>
      </c>
      <c r="BB234" s="89" t="n">
        <v>284.6</v>
      </c>
      <c r="BC234" s="89" t="n">
        <v>291</v>
      </c>
      <c r="BD234" s="89" t="n">
        <v>1387</v>
      </c>
      <c r="BE234" s="89" t="n">
        <v>64472</v>
      </c>
      <c r="BF234" s="89" t="n">
        <v>213</v>
      </c>
      <c r="BG234" s="89" t="n">
        <v>2850</v>
      </c>
      <c r="BH234" s="89" t="n">
        <v>-7809</v>
      </c>
      <c r="BI234" s="89" t="n">
        <v>-11221</v>
      </c>
      <c r="BJ234" s="90" t="inlineStr">
        <is>
          <t>N/A</t>
        </is>
      </c>
      <c r="BK234" s="90" t="inlineStr">
        <is>
          <t>N/A</t>
        </is>
      </c>
      <c r="BL234" s="89" t="n">
        <v>237</v>
      </c>
      <c r="BM234" s="89" t="n">
        <v>278</v>
      </c>
      <c r="BN234" s="89" t="n">
        <v>149</v>
      </c>
      <c r="BO234" s="89" t="n">
        <v>1187</v>
      </c>
      <c r="BP234" s="89" t="n">
        <v>283</v>
      </c>
      <c r="BQ234" s="89" t="n">
        <v>0</v>
      </c>
      <c r="BR234" s="89" t="n">
        <v>0</v>
      </c>
      <c r="BS234" s="89" t="n">
        <v>0</v>
      </c>
      <c r="BT234" s="89" t="n">
        <v>0</v>
      </c>
      <c r="BU234" s="89" t="n">
        <v>0</v>
      </c>
      <c r="BV234" s="90" t="inlineStr">
        <is>
          <t>N/A</t>
        </is>
      </c>
      <c r="BW234" s="89" t="n">
        <v>0</v>
      </c>
      <c r="BX234" s="89" t="n">
        <v>0</v>
      </c>
      <c r="BY234" s="89" t="n">
        <v>0</v>
      </c>
    </row>
    <row r="235" ht="17" customHeight="1">
      <c r="A235" s="82" t="n">
        <v>233</v>
      </c>
      <c r="B235" s="83" t="inlineStr">
        <is>
          <t>LEN</t>
        </is>
      </c>
      <c r="C235" s="84" t="inlineStr">
        <is>
          <t>LENNAR CORP /NEW/</t>
        </is>
      </c>
      <c r="D235" s="82" t="inlineStr">
        <is>
          <t>Consumer Discretionary</t>
        </is>
      </c>
      <c r="E235" s="82" t="n">
        <v>2026</v>
      </c>
      <c r="F235" s="85" t="n">
        <v>34430.4</v>
      </c>
      <c r="G235" s="91" t="inlineStr">
        <is>
          <t>N/A</t>
        </is>
      </c>
      <c r="H235" s="91" t="inlineStr">
        <is>
          <t>N/A</t>
        </is>
      </c>
      <c r="I235" s="85" t="n">
        <v>12289.8</v>
      </c>
      <c r="J235" s="85" t="n">
        <v>22471.5</v>
      </c>
      <c r="K235" s="85" t="n">
        <v>3482.2</v>
      </c>
      <c r="L235" s="85" t="n">
        <v>34186.9</v>
      </c>
      <c r="M235" s="85" t="n">
        <v>2078.2</v>
      </c>
      <c r="N235" s="85" t="n">
        <v>216.8</v>
      </c>
      <c r="O235" s="85" t="n">
        <v>1574.2</v>
      </c>
      <c r="P235" s="85" t="n">
        <v>5875</v>
      </c>
      <c r="Q235" s="85" t="n">
        <v>21959.4</v>
      </c>
      <c r="R235" s="85" t="n">
        <v>2678.3</v>
      </c>
      <c r="S235" s="85" t="n">
        <v>38.5</v>
      </c>
      <c r="T235" s="85" t="n">
        <v>1470.9</v>
      </c>
      <c r="U235" s="85" t="n">
        <v>642.8</v>
      </c>
      <c r="V235" s="85" t="n">
        <v>4.6</v>
      </c>
      <c r="W235" s="85" t="n">
        <v>41312.8</v>
      </c>
      <c r="X235" s="91" t="inlineStr">
        <is>
          <t>N/A</t>
        </is>
      </c>
      <c r="Y235" s="91" t="inlineStr">
        <is>
          <t>N/A</t>
        </is>
      </c>
      <c r="Z235" s="85" t="n">
        <v>13291.6</v>
      </c>
      <c r="AA235" s="85" t="n">
        <v>2775.4</v>
      </c>
      <c r="AB235" s="85" t="n">
        <v>35441.5</v>
      </c>
      <c r="AC235" s="85" t="n">
        <v>3932.5</v>
      </c>
      <c r="AD235" s="85" t="n">
        <v>2403.4</v>
      </c>
      <c r="AE235" s="85" t="n">
        <v>1262.5</v>
      </c>
      <c r="AF235" s="85" t="n">
        <v>4189.2</v>
      </c>
      <c r="AG235" s="85" t="n">
        <v>27870.1</v>
      </c>
      <c r="AH235" s="85" t="n">
        <v>35441.5</v>
      </c>
      <c r="AI235" s="85" t="n">
        <v>41312.8</v>
      </c>
      <c r="AJ235" s="85" t="n">
        <v>2813.9</v>
      </c>
      <c r="AK235" s="85" t="n">
        <v>5184.9</v>
      </c>
      <c r="AL235" s="85" t="n">
        <v>705.6</v>
      </c>
      <c r="AM235" s="85" t="n">
        <v>1217.3</v>
      </c>
      <c r="AN235" s="85" t="n">
        <v>188.6</v>
      </c>
      <c r="AO235" s="85" t="n">
        <v>171.5</v>
      </c>
      <c r="AP235" s="91" t="inlineStr">
        <is>
          <t>N/A</t>
        </is>
      </c>
      <c r="AQ235" s="91" t="inlineStr">
        <is>
          <t>N/A</t>
        </is>
      </c>
      <c r="AR235" s="85" t="n">
        <v>3632.1</v>
      </c>
      <c r="AS235" s="91" t="inlineStr">
        <is>
          <t>N/A</t>
        </is>
      </c>
      <c r="AT235" s="91" t="inlineStr">
        <is>
          <t>N/A</t>
        </is>
      </c>
      <c r="AU235" s="91" t="inlineStr">
        <is>
          <t>N/A</t>
        </is>
      </c>
      <c r="AV235" s="85" t="n">
        <v>3756.3</v>
      </c>
      <c r="AW235" s="85" t="n">
        <v>4909.7</v>
      </c>
      <c r="AX235" s="85" t="n">
        <v>5875</v>
      </c>
      <c r="AY235" s="85" t="n">
        <v>4189.2</v>
      </c>
      <c r="AZ235" s="85" t="n">
        <v>2118.7</v>
      </c>
      <c r="BA235" s="85" t="n">
        <v>28.2</v>
      </c>
      <c r="BB235" s="91" t="inlineStr">
        <is>
          <t>N/A</t>
        </is>
      </c>
      <c r="BC235" s="91" t="inlineStr">
        <is>
          <t>N/A</t>
        </is>
      </c>
      <c r="BD235" s="85" t="n">
        <v>1652.6</v>
      </c>
      <c r="BE235" s="85" t="n">
        <v>516.2</v>
      </c>
      <c r="BF235" s="85" t="n">
        <v>2480.3</v>
      </c>
      <c r="BG235" s="85" t="n">
        <v>30.3</v>
      </c>
      <c r="BH235" s="85" t="n">
        <v>221.6</v>
      </c>
      <c r="BI235" s="85" t="n">
        <v>-302.6</v>
      </c>
      <c r="BJ235" s="91" t="inlineStr">
        <is>
          <t>N/A</t>
        </is>
      </c>
      <c r="BK235" s="91" t="inlineStr">
        <is>
          <t>N/A</t>
        </is>
      </c>
      <c r="BL235" s="91" t="inlineStr">
        <is>
          <t>N/A</t>
        </is>
      </c>
      <c r="BM235" s="91" t="inlineStr">
        <is>
          <t>N/A</t>
        </is>
      </c>
      <c r="BN235" s="91" t="inlineStr">
        <is>
          <t>N/A</t>
        </is>
      </c>
      <c r="BO235" s="91" t="inlineStr">
        <is>
          <t>N/A</t>
        </is>
      </c>
      <c r="BP235" s="91" t="inlineStr">
        <is>
          <t>N/A</t>
        </is>
      </c>
      <c r="BQ235" s="85" t="n">
        <v>0</v>
      </c>
      <c r="BR235" s="85" t="n">
        <v>0</v>
      </c>
      <c r="BS235" s="91" t="inlineStr">
        <is>
          <t>N/A</t>
        </is>
      </c>
      <c r="BT235" s="91" t="inlineStr">
        <is>
          <t>N/A</t>
        </is>
      </c>
      <c r="BU235" s="91" t="inlineStr">
        <is>
          <t>N/A</t>
        </is>
      </c>
      <c r="BV235" s="91" t="inlineStr">
        <is>
          <t>N/A</t>
        </is>
      </c>
      <c r="BW235" s="85" t="n">
        <v>0</v>
      </c>
      <c r="BX235" s="85" t="n">
        <v>0</v>
      </c>
      <c r="BY235" s="85" t="n">
        <v>0</v>
      </c>
    </row>
    <row r="236" ht="17" customHeight="1">
      <c r="A236" s="86" t="n">
        <v>234</v>
      </c>
      <c r="B236" s="87" t="inlineStr">
        <is>
          <t>SPGI</t>
        </is>
      </c>
      <c r="C236" s="88" t="inlineStr">
        <is>
          <t>S&amp;P Global Inc.</t>
        </is>
      </c>
      <c r="D236" s="86" t="inlineStr">
        <is>
          <t>Financials</t>
        </is>
      </c>
      <c r="E236" s="86" t="n">
        <v>2026</v>
      </c>
      <c r="F236" s="89" t="n">
        <v>61200</v>
      </c>
      <c r="G236" s="89" t="n">
        <v>6296</v>
      </c>
      <c r="H236" s="89" t="n">
        <v>7637</v>
      </c>
      <c r="I236" s="89" t="n">
        <v>25048</v>
      </c>
      <c r="J236" s="89" t="n">
        <v>23666</v>
      </c>
      <c r="K236" s="89" t="n">
        <v>6478</v>
      </c>
      <c r="L236" s="89" t="n">
        <v>6063</v>
      </c>
      <c r="M236" s="89" t="n">
        <v>4471</v>
      </c>
      <c r="N236" s="89" t="n">
        <v>5651</v>
      </c>
      <c r="O236" s="89" t="n">
        <v>1500</v>
      </c>
      <c r="P236" s="89" t="n">
        <v>13088</v>
      </c>
      <c r="Q236" s="89" t="n">
        <v>31127</v>
      </c>
      <c r="R236" s="89" t="n">
        <v>3417</v>
      </c>
      <c r="S236" s="89" t="n">
        <v>1179</v>
      </c>
      <c r="T236" s="89" t="n">
        <v>3441</v>
      </c>
      <c r="U236" s="89" t="n">
        <v>278</v>
      </c>
      <c r="V236" s="89" t="n">
        <v>334</v>
      </c>
      <c r="W236" s="89" t="n">
        <v>60221</v>
      </c>
      <c r="X236" s="89" t="n">
        <v>5459</v>
      </c>
      <c r="Y236" s="89" t="n">
        <v>6392</v>
      </c>
      <c r="Z236" s="89" t="n">
        <v>22713</v>
      </c>
      <c r="AA236" s="89" t="n">
        <v>5580</v>
      </c>
      <c r="AB236" s="89" t="n">
        <v>1589</v>
      </c>
      <c r="AC236" s="89" t="n">
        <v>3852</v>
      </c>
      <c r="AD236" s="89" t="n">
        <v>5689</v>
      </c>
      <c r="AE236" s="89" t="n">
        <v>-2772</v>
      </c>
      <c r="AF236" s="89" t="n">
        <v>11398</v>
      </c>
      <c r="AG236" s="89" t="n">
        <v>33159</v>
      </c>
      <c r="AH236" s="89" t="n">
        <v>1513</v>
      </c>
      <c r="AI236" s="89" t="n">
        <v>60589</v>
      </c>
      <c r="AJ236" s="89" t="n">
        <v>6227</v>
      </c>
      <c r="AK236" s="89" t="n">
        <v>5308</v>
      </c>
      <c r="AL236" s="89" t="n">
        <v>1407</v>
      </c>
      <c r="AM236" s="89" t="n">
        <v>1141</v>
      </c>
      <c r="AN236" s="89" t="n">
        <v>68.5</v>
      </c>
      <c r="AO236" s="89" t="n">
        <v>106</v>
      </c>
      <c r="AP236" s="89" t="n">
        <v>263</v>
      </c>
      <c r="AQ236" s="89" t="n">
        <v>275</v>
      </c>
      <c r="AR236" s="89" t="n">
        <v>36475</v>
      </c>
      <c r="AS236" s="89" t="n">
        <v>15425</v>
      </c>
      <c r="AT236" s="89" t="n">
        <v>400</v>
      </c>
      <c r="AU236" s="90" t="inlineStr">
        <is>
          <t>N/A</t>
        </is>
      </c>
      <c r="AV236" s="89" t="n">
        <v>1745</v>
      </c>
      <c r="AW236" s="89" t="n">
        <v>1666</v>
      </c>
      <c r="AX236" s="89" t="n">
        <v>13488</v>
      </c>
      <c r="AY236" s="89" t="n">
        <v>11398</v>
      </c>
      <c r="AZ236" s="89" t="n">
        <v>11743</v>
      </c>
      <c r="BA236" s="89" t="n">
        <v>5582.5</v>
      </c>
      <c r="BB236" s="89" t="n">
        <v>298.8</v>
      </c>
      <c r="BC236" s="89" t="n">
        <v>307.8</v>
      </c>
      <c r="BD236" s="89" t="n">
        <v>2867</v>
      </c>
      <c r="BE236" s="89" t="n">
        <v>265</v>
      </c>
      <c r="BF236" s="89" t="n">
        <v>3196</v>
      </c>
      <c r="BG236" s="89" t="n">
        <v>1173</v>
      </c>
      <c r="BH236" s="89" t="n">
        <v>-704</v>
      </c>
      <c r="BI236" s="89" t="n">
        <v>-255</v>
      </c>
      <c r="BJ236" s="89" t="n">
        <v>610</v>
      </c>
      <c r="BK236" s="89" t="n">
        <v>553</v>
      </c>
      <c r="BL236" s="89" t="n">
        <v>1613</v>
      </c>
      <c r="BM236" s="89" t="n">
        <v>1509</v>
      </c>
      <c r="BN236" s="89" t="n">
        <v>180</v>
      </c>
      <c r="BO236" s="89" t="n">
        <v>4563</v>
      </c>
      <c r="BP236" s="89" t="n">
        <v>4361</v>
      </c>
      <c r="BQ236" s="89" t="n">
        <v>0</v>
      </c>
      <c r="BR236" s="89" t="n">
        <v>0</v>
      </c>
      <c r="BS236" s="89" t="n">
        <v>0</v>
      </c>
      <c r="BT236" s="89" t="n">
        <v>0</v>
      </c>
      <c r="BU236" s="89" t="n">
        <v>0</v>
      </c>
      <c r="BV236" s="89" t="n">
        <v>0</v>
      </c>
      <c r="BW236" s="89" t="n">
        <v>0</v>
      </c>
      <c r="BX236" s="89" t="n">
        <v>0</v>
      </c>
      <c r="BY236" s="89" t="n">
        <v>0</v>
      </c>
    </row>
    <row r="237" ht="17" customHeight="1">
      <c r="A237" s="82" t="n">
        <v>235</v>
      </c>
      <c r="B237" s="83" t="inlineStr">
        <is>
          <t>KNX</t>
        </is>
      </c>
      <c r="C237" s="84" t="inlineStr">
        <is>
          <t>Knight-Swift Transportation Holdings Inc.</t>
        </is>
      </c>
      <c r="D237" s="82" t="inlineStr">
        <is>
          <t>Industrials</t>
        </is>
      </c>
      <c r="E237" s="82" t="n">
        <v>2026</v>
      </c>
      <c r="F237" s="85" t="n">
        <v>11955.4</v>
      </c>
      <c r="G237" s="85" t="n">
        <v>887.5</v>
      </c>
      <c r="H237" s="85" t="n">
        <v>1031.2</v>
      </c>
      <c r="I237" s="85" t="n">
        <v>4863.6</v>
      </c>
      <c r="J237" s="85" t="n">
        <v>2600.8</v>
      </c>
      <c r="K237" s="85" t="n">
        <v>216.1</v>
      </c>
      <c r="L237" s="85" t="n">
        <v>7469.7</v>
      </c>
      <c r="M237" s="85" t="n">
        <v>65.90000000000001</v>
      </c>
      <c r="N237" s="85" t="n">
        <v>1266.6</v>
      </c>
      <c r="O237" s="85" t="n">
        <v>7457.4</v>
      </c>
      <c r="P237" s="85" t="n">
        <v>1744</v>
      </c>
      <c r="Q237" s="85" t="n">
        <v>7082.5</v>
      </c>
      <c r="R237" s="91" t="inlineStr">
        <is>
          <t>N/A</t>
        </is>
      </c>
      <c r="S237" s="85" t="n">
        <v>665</v>
      </c>
      <c r="T237" s="85" t="n">
        <v>305.3</v>
      </c>
      <c r="U237" s="85" t="n">
        <v>4717.7</v>
      </c>
      <c r="V237" s="85" t="n">
        <v>127.1</v>
      </c>
      <c r="W237" s="85" t="n">
        <v>12698.5</v>
      </c>
      <c r="X237" s="85" t="n">
        <v>1448.7</v>
      </c>
      <c r="Y237" s="85" t="n">
        <v>1706.8</v>
      </c>
      <c r="Z237" s="85" t="n">
        <v>5581.7</v>
      </c>
      <c r="AA237" s="85" t="n">
        <v>243.4</v>
      </c>
      <c r="AB237" s="85" t="n">
        <v>7410.1</v>
      </c>
      <c r="AC237" s="85" t="n">
        <v>117.6</v>
      </c>
      <c r="AD237" s="85" t="n">
        <v>799.1</v>
      </c>
      <c r="AE237" s="85" t="n">
        <v>2993.6</v>
      </c>
      <c r="AF237" s="85" t="n">
        <v>1825.6</v>
      </c>
      <c r="AG237" s="85" t="n">
        <v>7109</v>
      </c>
      <c r="AH237" s="85" t="n">
        <v>7410.1</v>
      </c>
      <c r="AI237" s="85" t="n">
        <v>12698.5</v>
      </c>
      <c r="AJ237" s="85" t="n">
        <v>95.3</v>
      </c>
      <c r="AK237" s="85" t="n">
        <v>149</v>
      </c>
      <c r="AL237" s="85" t="n">
        <v>29.8</v>
      </c>
      <c r="AM237" s="85" t="n">
        <v>33</v>
      </c>
      <c r="AN237" s="85" t="n">
        <v>830</v>
      </c>
      <c r="AO237" s="85" t="n">
        <v>756</v>
      </c>
      <c r="AP237" s="91" t="inlineStr">
        <is>
          <t>N/A</t>
        </is>
      </c>
      <c r="AQ237" s="91" t="inlineStr">
        <is>
          <t>N/A</t>
        </is>
      </c>
      <c r="AR237" s="85" t="n">
        <v>3934.7</v>
      </c>
      <c r="AS237" s="85" t="n">
        <v>985.3</v>
      </c>
      <c r="AT237" s="85" t="n">
        <v>364.8</v>
      </c>
      <c r="AU237" s="91" t="inlineStr">
        <is>
          <t>N/A</t>
        </is>
      </c>
      <c r="AV237" s="85" t="n">
        <v>220.4</v>
      </c>
      <c r="AW237" s="85" t="n">
        <v>218.3</v>
      </c>
      <c r="AX237" s="85" t="n">
        <v>2108.8</v>
      </c>
      <c r="AY237" s="85" t="n">
        <v>1825.6</v>
      </c>
      <c r="AZ237" s="85" t="n">
        <v>1888.4</v>
      </c>
      <c r="BA237" s="85" t="n">
        <v>436.7</v>
      </c>
      <c r="BB237" s="85" t="n">
        <v>162.3</v>
      </c>
      <c r="BC237" s="85" t="n">
        <v>161.9</v>
      </c>
      <c r="BD237" s="85" t="n">
        <v>803.7</v>
      </c>
      <c r="BE237" s="85" t="n">
        <v>4703.4</v>
      </c>
      <c r="BF237" s="91" t="inlineStr">
        <is>
          <t>N/A</t>
        </is>
      </c>
      <c r="BG237" s="85" t="n">
        <v>595</v>
      </c>
      <c r="BH237" s="85" t="n">
        <v>-520.4</v>
      </c>
      <c r="BI237" s="85" t="n">
        <v>-759.1</v>
      </c>
      <c r="BJ237" s="85" t="n">
        <v>200.8</v>
      </c>
      <c r="BK237" s="85" t="n">
        <v>329.7</v>
      </c>
      <c r="BL237" s="85" t="n">
        <v>2.1</v>
      </c>
      <c r="BM237" s="85" t="n">
        <v>1.7</v>
      </c>
      <c r="BN237" s="85" t="n">
        <v>5.1</v>
      </c>
      <c r="BO237" s="85" t="n">
        <v>12.3</v>
      </c>
      <c r="BP237" s="85" t="n">
        <v>4416.5</v>
      </c>
      <c r="BQ237" s="85" t="n">
        <v>0</v>
      </c>
      <c r="BR237" s="85" t="n">
        <v>0</v>
      </c>
      <c r="BS237" s="91" t="inlineStr">
        <is>
          <t>N/A</t>
        </is>
      </c>
      <c r="BT237" s="91" t="inlineStr">
        <is>
          <t>N/A</t>
        </is>
      </c>
      <c r="BU237" s="85" t="n">
        <v>0</v>
      </c>
      <c r="BV237" s="85" t="n">
        <v>0</v>
      </c>
      <c r="BW237" s="85" t="n">
        <v>0</v>
      </c>
      <c r="BX237" s="85" t="n">
        <v>0</v>
      </c>
      <c r="BY237" s="85" t="n">
        <v>0</v>
      </c>
    </row>
    <row r="238" ht="17" customHeight="1">
      <c r="A238" s="86" t="n">
        <v>236</v>
      </c>
      <c r="B238" s="87" t="inlineStr">
        <is>
          <t>BA</t>
        </is>
      </c>
      <c r="C238" s="88" t="inlineStr">
        <is>
          <t>THE BOEING COMPANY</t>
        </is>
      </c>
      <c r="D238" s="86" t="inlineStr">
        <is>
          <t>Industrials</t>
        </is>
      </c>
      <c r="E238" s="86" t="n">
        <v>2026</v>
      </c>
      <c r="F238" s="89" t="n">
        <v>168235</v>
      </c>
      <c r="G238" s="89" t="n">
        <v>128459</v>
      </c>
      <c r="H238" s="89" t="n">
        <v>108115</v>
      </c>
      <c r="I238" s="89" t="n">
        <v>162778</v>
      </c>
      <c r="J238" s="89" t="n">
        <v>17252</v>
      </c>
      <c r="K238" s="89" t="n">
        <v>4281</v>
      </c>
      <c r="L238" s="89" t="n">
        <v>89463</v>
      </c>
      <c r="M238" s="89" t="n">
        <v>2235</v>
      </c>
      <c r="N238" s="89" t="n">
        <v>1065</v>
      </c>
      <c r="O238" s="89" t="n">
        <v>4289</v>
      </c>
      <c r="P238" s="89" t="n">
        <v>53848</v>
      </c>
      <c r="Q238" s="89" t="n">
        <v>5454</v>
      </c>
      <c r="R238" s="89" t="n">
        <v>6090</v>
      </c>
      <c r="S238" s="89" t="n">
        <v>1811</v>
      </c>
      <c r="T238" s="89" t="n">
        <v>2921</v>
      </c>
      <c r="U238" s="89" t="n">
        <v>15361</v>
      </c>
      <c r="V238" s="89" t="n">
        <v>2630</v>
      </c>
      <c r="W238" s="89" t="n">
        <v>156363</v>
      </c>
      <c r="X238" s="89" t="n">
        <v>127998</v>
      </c>
      <c r="Y238" s="89" t="n">
        <v>97078</v>
      </c>
      <c r="Z238" s="89" t="n">
        <v>160277</v>
      </c>
      <c r="AA238" s="89" t="n">
        <v>-10707</v>
      </c>
      <c r="AB238" s="89" t="n">
        <v>66517</v>
      </c>
      <c r="AC238" s="89" t="n">
        <v>-11817</v>
      </c>
      <c r="AD238" s="89" t="n">
        <v>-12080</v>
      </c>
      <c r="AE238" s="89" t="n">
        <v>-1991</v>
      </c>
      <c r="AF238" s="89" t="n">
        <v>53625</v>
      </c>
      <c r="AG238" s="89" t="n">
        <v>-3908</v>
      </c>
      <c r="AH238" s="89" t="n">
        <v>66517</v>
      </c>
      <c r="AI238" s="89" t="n">
        <v>156363</v>
      </c>
      <c r="AJ238" s="89" t="n">
        <v>2635</v>
      </c>
      <c r="AK238" s="89" t="n">
        <v>-12210</v>
      </c>
      <c r="AL238" s="89" t="n">
        <v>397</v>
      </c>
      <c r="AM238" s="89" t="n">
        <v>-381</v>
      </c>
      <c r="AN238" s="89" t="n">
        <v>2942</v>
      </c>
      <c r="AO238" s="89" t="n">
        <v>2230</v>
      </c>
      <c r="AP238" s="89" t="n">
        <v>72438</v>
      </c>
      <c r="AQ238" s="90" t="inlineStr">
        <is>
          <t>N/A</t>
        </is>
      </c>
      <c r="AR238" s="89" t="n">
        <v>17275</v>
      </c>
      <c r="AS238" s="89" t="n">
        <v>1567</v>
      </c>
      <c r="AT238" s="89" t="n">
        <v>8461</v>
      </c>
      <c r="AU238" s="89" t="n">
        <v>3615</v>
      </c>
      <c r="AV238" s="89" t="n">
        <v>10921</v>
      </c>
      <c r="AW238" s="89" t="n">
        <v>13801</v>
      </c>
      <c r="AX238" s="89" t="n">
        <v>62309</v>
      </c>
      <c r="AY238" s="89" t="n">
        <v>54903</v>
      </c>
      <c r="AZ238" s="89" t="n">
        <v>51388</v>
      </c>
      <c r="BA238" s="89" t="n">
        <v>-1877</v>
      </c>
      <c r="BB238" s="89" t="n">
        <v>1012.3</v>
      </c>
      <c r="BC238" s="89" t="n">
        <v>1012.3</v>
      </c>
      <c r="BD238" s="89" t="n">
        <v>2631</v>
      </c>
      <c r="BE238" s="89" t="n">
        <v>11412</v>
      </c>
      <c r="BF238" s="89" t="n">
        <v>5021</v>
      </c>
      <c r="BG238" s="89" t="n">
        <v>1675</v>
      </c>
      <c r="BH238" s="89" t="n">
        <v>499</v>
      </c>
      <c r="BI238" s="89" t="n">
        <v>-11973</v>
      </c>
      <c r="BJ238" s="89" t="n">
        <v>13109</v>
      </c>
      <c r="BK238" s="89" t="n">
        <v>11364</v>
      </c>
      <c r="BL238" s="89" t="n">
        <v>59404</v>
      </c>
      <c r="BM238" s="89" t="n">
        <v>60333</v>
      </c>
      <c r="BN238" s="89" t="n">
        <v>6267</v>
      </c>
      <c r="BO238" s="89" t="n">
        <v>85174</v>
      </c>
      <c r="BP238" s="89" t="n">
        <v>68508</v>
      </c>
      <c r="BQ238" s="89" t="n">
        <v>0</v>
      </c>
      <c r="BR238" s="89" t="n">
        <v>0</v>
      </c>
      <c r="BS238" s="89" t="n">
        <v>0</v>
      </c>
      <c r="BT238" s="90" t="inlineStr">
        <is>
          <t>N/A</t>
        </is>
      </c>
      <c r="BU238" s="89" t="n">
        <v>0</v>
      </c>
      <c r="BV238" s="89" t="n">
        <v>0</v>
      </c>
      <c r="BW238" s="89" t="n">
        <v>0</v>
      </c>
      <c r="BX238" s="89" t="n">
        <v>0</v>
      </c>
      <c r="BY238" s="89" t="n">
        <v>0</v>
      </c>
    </row>
    <row r="239" ht="17" customHeight="1">
      <c r="A239" s="82" t="n">
        <v>237</v>
      </c>
      <c r="B239" s="83" t="inlineStr">
        <is>
          <t>RRX</t>
        </is>
      </c>
      <c r="C239" s="84" t="inlineStr">
        <is>
          <t>REGAL REXNORD CORP</t>
        </is>
      </c>
      <c r="D239" s="82" t="inlineStr">
        <is>
          <t>Industrials</t>
        </is>
      </c>
      <c r="E239" s="82" t="n">
        <v>2026</v>
      </c>
      <c r="F239" s="85" t="n">
        <v>13921</v>
      </c>
      <c r="G239" s="85" t="n">
        <v>2712.3</v>
      </c>
      <c r="H239" s="85" t="n">
        <v>1264.3</v>
      </c>
      <c r="I239" s="85" t="n">
        <v>13921</v>
      </c>
      <c r="J239" s="85" t="n">
        <v>2230.3</v>
      </c>
      <c r="K239" s="85" t="n">
        <v>680.8</v>
      </c>
      <c r="L239" s="85" t="n">
        <v>3257.1</v>
      </c>
      <c r="M239" s="85" t="n">
        <v>279.5</v>
      </c>
      <c r="N239" s="85" t="n">
        <v>990.8</v>
      </c>
      <c r="O239" s="85" t="n">
        <v>2217.8</v>
      </c>
      <c r="P239" s="85" t="n">
        <v>4819.1</v>
      </c>
      <c r="Q239" s="85" t="n">
        <v>6844.1</v>
      </c>
      <c r="R239" s="91" t="inlineStr">
        <is>
          <t>N/A</t>
        </is>
      </c>
      <c r="S239" s="85" t="n">
        <v>98.2</v>
      </c>
      <c r="T239" s="85" t="n">
        <v>524.2</v>
      </c>
      <c r="U239" s="85" t="n">
        <v>605</v>
      </c>
      <c r="V239" s="85" t="n">
        <v>431</v>
      </c>
      <c r="W239" s="85" t="n">
        <v>14033.7</v>
      </c>
      <c r="X239" s="85" t="n">
        <v>2751.3</v>
      </c>
      <c r="Y239" s="85" t="n">
        <v>1215.7</v>
      </c>
      <c r="Z239" s="85" t="n">
        <v>14033.7</v>
      </c>
      <c r="AA239" s="85" t="n">
        <v>630</v>
      </c>
      <c r="AB239" s="85" t="n">
        <v>3095.7</v>
      </c>
      <c r="AC239" s="85" t="n">
        <v>196.2</v>
      </c>
      <c r="AD239" s="85" t="n">
        <v>609.4</v>
      </c>
      <c r="AE239" s="85" t="n">
        <v>2191</v>
      </c>
      <c r="AF239" s="85" t="n">
        <v>5499.8</v>
      </c>
      <c r="AG239" s="85" t="n">
        <v>6259.8</v>
      </c>
      <c r="AH239" s="85" t="n">
        <v>3166.9</v>
      </c>
      <c r="AI239" s="85" t="n">
        <v>14033.7</v>
      </c>
      <c r="AJ239" s="85" t="n">
        <v>352.5</v>
      </c>
      <c r="AK239" s="85" t="n">
        <v>248</v>
      </c>
      <c r="AL239" s="85" t="n">
        <v>71.7</v>
      </c>
      <c r="AM239" s="85" t="n">
        <v>49.6</v>
      </c>
      <c r="AN239" s="85" t="n">
        <v>97.7</v>
      </c>
      <c r="AO239" s="85" t="n">
        <v>109.5</v>
      </c>
      <c r="AP239" s="85" t="n">
        <v>1321.7</v>
      </c>
      <c r="AQ239" s="85" t="n">
        <v>1227.5</v>
      </c>
      <c r="AR239" s="85" t="n">
        <v>6611.3</v>
      </c>
      <c r="AS239" s="85" t="n">
        <v>3418.4</v>
      </c>
      <c r="AT239" s="85" t="n">
        <v>7</v>
      </c>
      <c r="AU239" s="85" t="n">
        <v>198.7</v>
      </c>
      <c r="AV239" s="85" t="n">
        <v>521.7</v>
      </c>
      <c r="AW239" s="85" t="n">
        <v>393.5</v>
      </c>
      <c r="AX239" s="85" t="n">
        <v>4826.1</v>
      </c>
      <c r="AY239" s="85" t="n">
        <v>5499.8</v>
      </c>
      <c r="AZ239" s="85" t="n">
        <v>4304.4</v>
      </c>
      <c r="BA239" s="85" t="n">
        <v>893.1</v>
      </c>
      <c r="BB239" s="85" t="n">
        <v>66.40000000000001</v>
      </c>
      <c r="BC239" s="85" t="n">
        <v>66.3</v>
      </c>
      <c r="BD239" s="85" t="n">
        <v>842.8</v>
      </c>
      <c r="BE239" s="85" t="n">
        <v>615.5</v>
      </c>
      <c r="BF239" s="91" t="inlineStr">
        <is>
          <t>N/A</t>
        </is>
      </c>
      <c r="BG239" s="85" t="n">
        <v>72.90000000000001</v>
      </c>
      <c r="BH239" s="85" t="n">
        <v>-71</v>
      </c>
      <c r="BI239" s="85" t="n">
        <v>275.4</v>
      </c>
      <c r="BJ239" s="85" t="n">
        <v>607.3</v>
      </c>
      <c r="BK239" s="85" t="n">
        <v>542.8</v>
      </c>
      <c r="BL239" s="85" t="n">
        <v>34.5</v>
      </c>
      <c r="BM239" s="91" t="inlineStr">
        <is>
          <t>N/A</t>
        </is>
      </c>
      <c r="BN239" s="91" t="inlineStr">
        <is>
          <t>N/A</t>
        </is>
      </c>
      <c r="BO239" s="85" t="n">
        <v>3716.7</v>
      </c>
      <c r="BP239" s="85" t="n">
        <v>3842.8</v>
      </c>
      <c r="BQ239" s="85" t="n">
        <v>0</v>
      </c>
      <c r="BR239" s="85" t="n">
        <v>0</v>
      </c>
      <c r="BS239" s="85" t="n">
        <v>0</v>
      </c>
      <c r="BT239" s="85" t="n">
        <v>0</v>
      </c>
      <c r="BU239" s="85" t="n">
        <v>0</v>
      </c>
      <c r="BV239" s="85" t="n">
        <v>0</v>
      </c>
      <c r="BW239" s="85" t="n">
        <v>0</v>
      </c>
      <c r="BX239" s="85" t="n">
        <v>0</v>
      </c>
      <c r="BY239" s="85" t="n">
        <v>0</v>
      </c>
    </row>
    <row r="240" ht="17" customHeight="1">
      <c r="A240" s="86" t="n">
        <v>238</v>
      </c>
      <c r="B240" s="87" t="inlineStr">
        <is>
          <t>VST</t>
        </is>
      </c>
      <c r="C240" s="88" t="inlineStr">
        <is>
          <t>Vistra Corp.</t>
        </is>
      </c>
      <c r="D240" s="86" t="inlineStr">
        <is>
          <t>Energy</t>
        </is>
      </c>
      <c r="E240" s="86" t="n">
        <v>2026</v>
      </c>
      <c r="F240" s="89" t="n">
        <v>41550</v>
      </c>
      <c r="G240" s="89" t="n">
        <v>9179</v>
      </c>
      <c r="H240" s="89" t="n">
        <v>11814</v>
      </c>
      <c r="I240" s="89" t="n">
        <v>36440</v>
      </c>
      <c r="J240" s="89" t="n">
        <v>-12</v>
      </c>
      <c r="K240" s="89" t="n">
        <v>1906</v>
      </c>
      <c r="L240" s="89" t="n">
        <v>17738</v>
      </c>
      <c r="M240" s="89" t="n">
        <v>944</v>
      </c>
      <c r="N240" s="89" t="n">
        <v>4070</v>
      </c>
      <c r="O240" s="90" t="inlineStr">
        <is>
          <t>N/A</t>
        </is>
      </c>
      <c r="P240" s="89" t="n">
        <v>17043</v>
      </c>
      <c r="Q240" s="89" t="n">
        <v>5097</v>
      </c>
      <c r="R240" s="89" t="n">
        <v>1714</v>
      </c>
      <c r="S240" s="89" t="n">
        <v>1986</v>
      </c>
      <c r="T240" s="89" t="n">
        <v>2323</v>
      </c>
      <c r="U240" s="89" t="n">
        <v>19846</v>
      </c>
      <c r="V240" s="89" t="n">
        <v>740</v>
      </c>
      <c r="W240" s="89" t="n">
        <v>37770</v>
      </c>
      <c r="X240" s="89" t="n">
        <v>8119</v>
      </c>
      <c r="Y240" s="89" t="n">
        <v>8432</v>
      </c>
      <c r="Z240" s="89" t="n">
        <v>32187</v>
      </c>
      <c r="AA240" s="89" t="n">
        <v>4081</v>
      </c>
      <c r="AB240" s="89" t="n">
        <v>17224</v>
      </c>
      <c r="AC240" s="89" t="n">
        <v>2659</v>
      </c>
      <c r="AD240" s="89" t="n">
        <v>4563</v>
      </c>
      <c r="AE240" s="90" t="inlineStr">
        <is>
          <t>N/A</t>
        </is>
      </c>
      <c r="AF240" s="89" t="n">
        <v>16298</v>
      </c>
      <c r="AG240" s="89" t="n">
        <v>5570</v>
      </c>
      <c r="AH240" s="89" t="n">
        <v>17224</v>
      </c>
      <c r="AI240" s="89" t="n">
        <v>37770</v>
      </c>
      <c r="AJ240" s="89" t="n">
        <v>1123</v>
      </c>
      <c r="AK240" s="89" t="n">
        <v>3467</v>
      </c>
      <c r="AL240" s="89" t="n">
        <v>179</v>
      </c>
      <c r="AM240" s="89" t="n">
        <v>655</v>
      </c>
      <c r="AN240" s="89" t="n">
        <v>2752</v>
      </c>
      <c r="AO240" s="89" t="n">
        <v>2078</v>
      </c>
      <c r="AP240" s="89" t="n">
        <v>970</v>
      </c>
      <c r="AQ240" s="89" t="n">
        <v>740</v>
      </c>
      <c r="AR240" s="89" t="n">
        <v>2810</v>
      </c>
      <c r="AS240" s="89" t="n">
        <v>1094</v>
      </c>
      <c r="AT240" s="89" t="n">
        <v>1800</v>
      </c>
      <c r="AU240" s="90" t="inlineStr">
        <is>
          <t>N/A</t>
        </is>
      </c>
      <c r="AV240" s="89" t="n">
        <v>785</v>
      </c>
      <c r="AW240" s="89" t="n">
        <v>1188</v>
      </c>
      <c r="AX240" s="89" t="n">
        <v>18843</v>
      </c>
      <c r="AY240" s="89" t="n">
        <v>16298</v>
      </c>
      <c r="AZ240" s="89" t="n">
        <v>18058</v>
      </c>
      <c r="BA240" s="89" t="n">
        <v>1318</v>
      </c>
      <c r="BB240" s="89" t="n">
        <v>338.1</v>
      </c>
      <c r="BC240" s="89" t="n">
        <v>339.8</v>
      </c>
      <c r="BD240" s="89" t="n">
        <v>1982</v>
      </c>
      <c r="BE240" s="89" t="n">
        <v>18173</v>
      </c>
      <c r="BF240" s="89" t="n">
        <v>1601</v>
      </c>
      <c r="BG240" s="89" t="n">
        <v>1843</v>
      </c>
      <c r="BH240" s="89" t="n">
        <v>-4396</v>
      </c>
      <c r="BI240" s="89" t="n">
        <v>-5276</v>
      </c>
      <c r="BJ240" s="89" t="n">
        <v>1644</v>
      </c>
      <c r="BK240" s="89" t="n">
        <v>1510</v>
      </c>
      <c r="BL240" s="90" t="inlineStr">
        <is>
          <t>N/A</t>
        </is>
      </c>
      <c r="BM240" s="90" t="inlineStr">
        <is>
          <t>N/A</t>
        </is>
      </c>
      <c r="BN240" s="90" t="inlineStr">
        <is>
          <t>N/A</t>
        </is>
      </c>
      <c r="BO240" s="90" t="inlineStr">
        <is>
          <t>N/A</t>
        </is>
      </c>
      <c r="BP240" s="90" t="inlineStr">
        <is>
          <t>N/A</t>
        </is>
      </c>
      <c r="BQ240" s="89" t="n">
        <v>0</v>
      </c>
      <c r="BR240" s="89" t="n">
        <v>0</v>
      </c>
      <c r="BS240" s="90" t="inlineStr">
        <is>
          <t>N/A</t>
        </is>
      </c>
      <c r="BT240" s="90" t="inlineStr">
        <is>
          <t>N/A</t>
        </is>
      </c>
      <c r="BU240" s="90" t="inlineStr">
        <is>
          <t>N/A</t>
        </is>
      </c>
      <c r="BV240" s="90" t="inlineStr">
        <is>
          <t>N/A</t>
        </is>
      </c>
      <c r="BW240" s="89" t="n">
        <v>0</v>
      </c>
      <c r="BX240" s="89" t="n">
        <v>0</v>
      </c>
      <c r="BY240" s="89" t="n">
        <v>0</v>
      </c>
    </row>
    <row r="241" ht="17" customHeight="1">
      <c r="A241" s="82" t="n">
        <v>239</v>
      </c>
      <c r="B241" s="83" t="inlineStr">
        <is>
          <t>TT</t>
        </is>
      </c>
      <c r="C241" s="84" t="inlineStr">
        <is>
          <t>TRANE TECHNOLOGIES PLC</t>
        </is>
      </c>
      <c r="D241" s="82" t="inlineStr">
        <is>
          <t>Industrials</t>
        </is>
      </c>
      <c r="E241" s="82" t="n">
        <v>2026</v>
      </c>
      <c r="F241" s="85" t="n">
        <v>21420.7</v>
      </c>
      <c r="G241" s="85" t="n">
        <v>7863</v>
      </c>
      <c r="H241" s="85" t="n">
        <v>6286.7</v>
      </c>
      <c r="I241" s="85" t="n">
        <v>12819.8</v>
      </c>
      <c r="J241" s="85" t="n">
        <v>10422.1</v>
      </c>
      <c r="K241" s="85" t="n">
        <v>3967.4</v>
      </c>
      <c r="L241" s="85" t="n">
        <v>14782</v>
      </c>
      <c r="M241" s="85" t="n">
        <v>2918.6</v>
      </c>
      <c r="N241" s="85" t="n">
        <v>3194.5</v>
      </c>
      <c r="O241" s="85" t="n">
        <v>6130.7</v>
      </c>
      <c r="P241" s="85" t="n">
        <v>4615.1</v>
      </c>
      <c r="Q241" s="85" t="n">
        <v>8579.200000000001</v>
      </c>
      <c r="R241" s="85" t="n">
        <v>3742.8</v>
      </c>
      <c r="S241" s="85" t="n">
        <v>437.1</v>
      </c>
      <c r="T241" s="85" t="n">
        <v>3235.3</v>
      </c>
      <c r="U241" s="85" t="n">
        <v>2251.3</v>
      </c>
      <c r="V241" s="85" t="n">
        <v>226.7</v>
      </c>
      <c r="W241" s="85" t="n">
        <v>20146.7</v>
      </c>
      <c r="X241" s="85" t="n">
        <v>7337.8</v>
      </c>
      <c r="Y241" s="85" t="n">
        <v>6068.9</v>
      </c>
      <c r="Z241" s="85" t="n">
        <v>12659.8</v>
      </c>
      <c r="AA241" s="85" t="n">
        <v>3500.1</v>
      </c>
      <c r="AB241" s="85" t="n">
        <v>14001.1</v>
      </c>
      <c r="AC241" s="85" t="n">
        <v>2567.9</v>
      </c>
      <c r="AD241" s="85" t="n">
        <v>3145.6</v>
      </c>
      <c r="AE241" s="85" t="n">
        <v>2549.6</v>
      </c>
      <c r="AF241" s="85" t="n">
        <v>4770.3</v>
      </c>
      <c r="AG241" s="85" t="n">
        <v>7457.4</v>
      </c>
      <c r="AH241" s="85" t="n">
        <v>14079.1</v>
      </c>
      <c r="AI241" s="85" t="n">
        <v>20146.7</v>
      </c>
      <c r="AJ241" s="85" t="n">
        <v>3678.6</v>
      </c>
      <c r="AK241" s="85" t="n">
        <v>3241.8</v>
      </c>
      <c r="AL241" s="85" t="n">
        <v>705.9</v>
      </c>
      <c r="AM241" s="85" t="n">
        <v>627.6</v>
      </c>
      <c r="AN241" s="85" t="n">
        <v>370.6</v>
      </c>
      <c r="AO241" s="85" t="n">
        <v>300.7</v>
      </c>
      <c r="AP241" s="85" t="n">
        <v>2103.6</v>
      </c>
      <c r="AQ241" s="85" t="n">
        <v>1971.5</v>
      </c>
      <c r="AR241" s="85" t="n">
        <v>6457</v>
      </c>
      <c r="AS241" s="85" t="n">
        <v>627</v>
      </c>
      <c r="AT241" s="85" t="n">
        <v>763.3</v>
      </c>
      <c r="AU241" s="85" t="n">
        <v>347.6</v>
      </c>
      <c r="AV241" s="85" t="n">
        <v>1763.3</v>
      </c>
      <c r="AW241" s="85" t="n">
        <v>1590.1</v>
      </c>
      <c r="AX241" s="85" t="n">
        <v>5378.4</v>
      </c>
      <c r="AY241" s="85" t="n">
        <v>5531.9</v>
      </c>
      <c r="AZ241" s="85" t="n">
        <v>3615.1</v>
      </c>
      <c r="BA241" s="85" t="n">
        <v>2823.9</v>
      </c>
      <c r="BB241" s="85" t="n">
        <v>249</v>
      </c>
      <c r="BC241" s="85" t="n">
        <v>251.7</v>
      </c>
      <c r="BD241" s="85" t="n">
        <v>3090.2</v>
      </c>
      <c r="BE241" s="85" t="n">
        <v>2024.5</v>
      </c>
      <c r="BF241" s="85" t="n">
        <v>3580.4</v>
      </c>
      <c r="BG241" s="85" t="n">
        <v>421.8</v>
      </c>
      <c r="BH241" s="85" t="n">
        <v>-640</v>
      </c>
      <c r="BI241" s="85" t="n">
        <v>-562.9</v>
      </c>
      <c r="BJ241" s="85" t="n">
        <v>2153.9</v>
      </c>
      <c r="BK241" s="85" t="n">
        <v>2148</v>
      </c>
      <c r="BL241" s="85" t="n">
        <v>1077</v>
      </c>
      <c r="BM241" s="85" t="n">
        <v>1042.9</v>
      </c>
      <c r="BN241" s="85" t="n">
        <v>61.4</v>
      </c>
      <c r="BO241" s="85" t="n">
        <v>8651.299999999999</v>
      </c>
      <c r="BP241" s="85" t="n">
        <v>11451.5</v>
      </c>
      <c r="BQ241" s="85" t="n">
        <v>0</v>
      </c>
      <c r="BR241" s="85" t="n">
        <v>0</v>
      </c>
      <c r="BS241" s="85" t="n">
        <v>0</v>
      </c>
      <c r="BT241" s="85" t="n">
        <v>0</v>
      </c>
      <c r="BU241" s="85" t="n">
        <v>0</v>
      </c>
      <c r="BV241" s="85" t="n">
        <v>0</v>
      </c>
      <c r="BW241" s="85" t="n">
        <v>0</v>
      </c>
      <c r="BX241" s="85" t="n">
        <v>0</v>
      </c>
      <c r="BY241" s="85" t="n">
        <v>0</v>
      </c>
    </row>
    <row r="242" ht="17" customHeight="1">
      <c r="A242" s="86" t="n">
        <v>240</v>
      </c>
      <c r="B242" s="87" t="inlineStr">
        <is>
          <t>HOMB</t>
        </is>
      </c>
      <c r="C242" s="88" t="inlineStr">
        <is>
          <t>HOME BANCSHARES, INC.</t>
        </is>
      </c>
      <c r="D242" s="86" t="inlineStr">
        <is>
          <t>Financials</t>
        </is>
      </c>
      <c r="E242" s="86" t="n">
        <v>2026</v>
      </c>
      <c r="F242" s="89" t="n">
        <v>22881.9</v>
      </c>
      <c r="G242" s="90" t="inlineStr">
        <is>
          <t>N/A</t>
        </is>
      </c>
      <c r="H242" s="90" t="inlineStr">
        <is>
          <t>N/A</t>
        </is>
      </c>
      <c r="I242" s="89" t="n">
        <v>18585</v>
      </c>
      <c r="J242" s="89" t="n">
        <v>2258.9</v>
      </c>
      <c r="K242" s="89" t="n">
        <v>611.8</v>
      </c>
      <c r="L242" s="90" t="inlineStr">
        <is>
          <t>N/A</t>
        </is>
      </c>
      <c r="M242" s="89" t="n">
        <v>475.4</v>
      </c>
      <c r="N242" s="89" t="n">
        <v>399.3</v>
      </c>
      <c r="O242" s="90" t="inlineStr">
        <is>
          <t>N/A</t>
        </is>
      </c>
      <c r="P242" s="89" t="n">
        <v>1270</v>
      </c>
      <c r="Q242" s="89" t="n">
        <v>4296.9</v>
      </c>
      <c r="R242" s="90" t="inlineStr">
        <is>
          <t>N/A</t>
        </is>
      </c>
      <c r="S242" s="89" t="n">
        <v>29.2</v>
      </c>
      <c r="T242" s="90" t="inlineStr">
        <is>
          <t>N/A</t>
        </is>
      </c>
      <c r="U242" s="89" t="n">
        <v>369.3</v>
      </c>
      <c r="V242" s="89" t="n">
        <v>348.1</v>
      </c>
      <c r="W242" s="89" t="n">
        <v>22490.7</v>
      </c>
      <c r="X242" s="90" t="inlineStr">
        <is>
          <t>N/A</t>
        </is>
      </c>
      <c r="Y242" s="90" t="inlineStr">
        <is>
          <t>N/A</t>
        </is>
      </c>
      <c r="Z242" s="89" t="n">
        <v>18529.7</v>
      </c>
      <c r="AA242" s="89" t="n">
        <v>522.3</v>
      </c>
      <c r="AB242" s="90" t="inlineStr">
        <is>
          <t>N/A</t>
        </is>
      </c>
      <c r="AC242" s="89" t="n">
        <v>402.2</v>
      </c>
      <c r="AD242" s="89" t="n">
        <v>460.6</v>
      </c>
      <c r="AE242" s="90" t="inlineStr">
        <is>
          <t>N/A</t>
        </is>
      </c>
      <c r="AF242" s="89" t="n">
        <v>1405.9</v>
      </c>
      <c r="AG242" s="89" t="n">
        <v>3961</v>
      </c>
      <c r="AH242" s="90" t="inlineStr">
        <is>
          <t>N/A</t>
        </is>
      </c>
      <c r="AI242" s="89" t="n">
        <v>22490.7</v>
      </c>
      <c r="AJ242" s="89" t="n">
        <v>611.8</v>
      </c>
      <c r="AK242" s="89" t="n">
        <v>522.3</v>
      </c>
      <c r="AL242" s="89" t="n">
        <v>136.4</v>
      </c>
      <c r="AM242" s="89" t="n">
        <v>120.1</v>
      </c>
      <c r="AN242" s="89" t="n">
        <v>22.3</v>
      </c>
      <c r="AO242" s="89" t="n">
        <v>38.5</v>
      </c>
      <c r="AP242" s="90" t="inlineStr">
        <is>
          <t>N/A</t>
        </is>
      </c>
      <c r="AQ242" s="90" t="inlineStr">
        <is>
          <t>N/A</t>
        </is>
      </c>
      <c r="AR242" s="89" t="n">
        <v>1398.3</v>
      </c>
      <c r="AS242" s="89" t="n">
        <v>32.3</v>
      </c>
      <c r="AT242" s="89" t="n">
        <v>40</v>
      </c>
      <c r="AU242" s="90" t="inlineStr">
        <is>
          <t>N/A</t>
        </is>
      </c>
      <c r="AV242" s="89" t="n">
        <v>667.3</v>
      </c>
      <c r="AW242" s="89" t="n">
        <v>910.3</v>
      </c>
      <c r="AX242" s="89" t="n">
        <v>1310</v>
      </c>
      <c r="AY242" s="89" t="n">
        <v>1920.9</v>
      </c>
      <c r="AZ242" s="89" t="n">
        <v>642.7</v>
      </c>
      <c r="BA242" s="89" t="n">
        <v>377</v>
      </c>
      <c r="BB242" s="89" t="n">
        <v>196.4</v>
      </c>
      <c r="BC242" s="89" t="n">
        <v>198.9</v>
      </c>
      <c r="BD242" s="90" t="inlineStr">
        <is>
          <t>N/A</t>
        </is>
      </c>
      <c r="BE242" s="89" t="n">
        <v>386.3</v>
      </c>
      <c r="BF242" s="90" t="inlineStr">
        <is>
          <t>N/A</t>
        </is>
      </c>
      <c r="BG242" s="89" t="n">
        <v>29.2</v>
      </c>
      <c r="BH242" s="89" t="n">
        <v>-470.3</v>
      </c>
      <c r="BI242" s="89" t="n">
        <v>5.7</v>
      </c>
      <c r="BJ242" s="90" t="inlineStr">
        <is>
          <t>N/A</t>
        </is>
      </c>
      <c r="BK242" s="90" t="inlineStr">
        <is>
          <t>N/A</t>
        </is>
      </c>
      <c r="BL242" s="90" t="inlineStr">
        <is>
          <t>N/A</t>
        </is>
      </c>
      <c r="BM242" s="90" t="inlineStr">
        <is>
          <t>N/A</t>
        </is>
      </c>
      <c r="BN242" s="90" t="inlineStr">
        <is>
          <t>N/A</t>
        </is>
      </c>
      <c r="BO242" s="90" t="inlineStr">
        <is>
          <t>N/A</t>
        </is>
      </c>
      <c r="BP242" s="90" t="inlineStr">
        <is>
          <t>N/A</t>
        </is>
      </c>
      <c r="BQ242" s="90" t="inlineStr">
        <is>
          <t>N/A</t>
        </is>
      </c>
      <c r="BR242" s="90" t="inlineStr">
        <is>
          <t>N/A</t>
        </is>
      </c>
      <c r="BS242" s="90" t="inlineStr">
        <is>
          <t>N/A</t>
        </is>
      </c>
      <c r="BT242" s="90" t="inlineStr">
        <is>
          <t>N/A</t>
        </is>
      </c>
      <c r="BU242" s="90" t="inlineStr">
        <is>
          <t>N/A</t>
        </is>
      </c>
      <c r="BV242" s="90" t="inlineStr">
        <is>
          <t>N/A</t>
        </is>
      </c>
      <c r="BW242" s="89" t="n">
        <v>0</v>
      </c>
      <c r="BX242" s="90" t="inlineStr">
        <is>
          <t>N/A</t>
        </is>
      </c>
      <c r="BY242" s="89" t="n">
        <v>0</v>
      </c>
    </row>
    <row r="243" ht="17" customHeight="1">
      <c r="A243" s="82" t="n">
        <v>241</v>
      </c>
      <c r="B243" s="83" t="inlineStr">
        <is>
          <t>BR</t>
        </is>
      </c>
      <c r="C243" s="84" t="inlineStr">
        <is>
          <t>BROADRIDGE FINANCIAL SOLUTIONS, INC.</t>
        </is>
      </c>
      <c r="D243" s="82" t="inlineStr">
        <is>
          <t>Financials</t>
        </is>
      </c>
      <c r="E243" s="82" t="n">
        <v>2026</v>
      </c>
      <c r="F243" s="85" t="n">
        <v>8545</v>
      </c>
      <c r="G243" s="85" t="n">
        <v>1817.1</v>
      </c>
      <c r="H243" s="85" t="n">
        <v>1861.2</v>
      </c>
      <c r="I243" s="85" t="n">
        <v>5889.9</v>
      </c>
      <c r="J243" s="85" t="n">
        <v>3862.5</v>
      </c>
      <c r="K243" s="85" t="n">
        <v>1188.6</v>
      </c>
      <c r="L243" s="85" t="n">
        <v>4142.6</v>
      </c>
      <c r="M243" s="85" t="n">
        <v>839.5</v>
      </c>
      <c r="N243" s="85" t="n">
        <v>1171.3</v>
      </c>
      <c r="O243" s="85" t="n">
        <v>1423</v>
      </c>
      <c r="P243" s="85" t="n">
        <v>3252.3</v>
      </c>
      <c r="Q243" s="85" t="n">
        <v>2655.1</v>
      </c>
      <c r="R243" s="85" t="n">
        <v>948.2</v>
      </c>
      <c r="S243" s="85" t="n">
        <v>36.1</v>
      </c>
      <c r="T243" s="85" t="n">
        <v>1077.1</v>
      </c>
      <c r="U243" s="85" t="n">
        <v>170.1</v>
      </c>
      <c r="V243" s="85" t="n">
        <v>135.8</v>
      </c>
      <c r="W243" s="85" t="n">
        <v>8242.4</v>
      </c>
      <c r="X243" s="85" t="n">
        <v>1540.9</v>
      </c>
      <c r="Y243" s="85" t="n">
        <v>1421.8</v>
      </c>
      <c r="Z243" s="85" t="n">
        <v>6074.2</v>
      </c>
      <c r="AA243" s="85" t="n">
        <v>1017.1</v>
      </c>
      <c r="AB243" s="85" t="n">
        <v>1345.7</v>
      </c>
      <c r="AC243" s="85" t="n">
        <v>698.1</v>
      </c>
      <c r="AD243" s="85" t="n">
        <v>1056.2</v>
      </c>
      <c r="AE243" s="85" t="n">
        <v>514.9</v>
      </c>
      <c r="AF243" s="85" t="n">
        <v>3355.1</v>
      </c>
      <c r="AG243" s="85" t="n">
        <v>2168.2</v>
      </c>
      <c r="AH243" s="85" t="n">
        <v>1008.9</v>
      </c>
      <c r="AI243" s="85" t="n">
        <v>8242.4</v>
      </c>
      <c r="AJ243" s="85" t="n">
        <v>607.3</v>
      </c>
      <c r="AK243" s="85" t="n">
        <v>230</v>
      </c>
      <c r="AL243" s="85" t="n">
        <v>219.2</v>
      </c>
      <c r="AM243" s="85" t="n">
        <v>179.3</v>
      </c>
      <c r="AN243" s="85" t="n">
        <v>43.8</v>
      </c>
      <c r="AO243" s="85" t="n">
        <v>57.4</v>
      </c>
      <c r="AP243" s="85" t="n">
        <v>32.1</v>
      </c>
      <c r="AQ243" s="85" t="n">
        <v>30.5</v>
      </c>
      <c r="AR243" s="85" t="n">
        <v>3609.6</v>
      </c>
      <c r="AS243" s="85" t="n">
        <v>1277.4</v>
      </c>
      <c r="AT243" s="85" t="n">
        <v>400</v>
      </c>
      <c r="AU243" s="91" t="inlineStr">
        <is>
          <t>N/A</t>
        </is>
      </c>
      <c r="AV243" s="85" t="n">
        <v>561.5</v>
      </c>
      <c r="AW243" s="85" t="n">
        <v>304.4</v>
      </c>
      <c r="AX243" s="85" t="n">
        <v>3652.3</v>
      </c>
      <c r="AY243" s="85" t="n">
        <v>3755.1</v>
      </c>
      <c r="AZ243" s="85" t="n">
        <v>3090.8</v>
      </c>
      <c r="BA243" s="85" t="n">
        <v>1127.5</v>
      </c>
      <c r="BB243" s="85" t="n">
        <v>117.1</v>
      </c>
      <c r="BC243" s="85" t="n">
        <v>116.7</v>
      </c>
      <c r="BD243" s="85" t="n">
        <v>1065.6</v>
      </c>
      <c r="BE243" s="85" t="n">
        <v>162.2</v>
      </c>
      <c r="BF243" s="85" t="n">
        <v>916.8</v>
      </c>
      <c r="BG243" s="85" t="n">
        <v>32.3</v>
      </c>
      <c r="BH243" s="85" t="n">
        <v>-316.2</v>
      </c>
      <c r="BI243" s="85" t="n">
        <v>-148</v>
      </c>
      <c r="BJ243" s="85" t="n">
        <v>220.3</v>
      </c>
      <c r="BK243" s="85" t="n">
        <v>314</v>
      </c>
      <c r="BL243" s="85" t="n">
        <v>82.40000000000001</v>
      </c>
      <c r="BM243" s="85" t="n">
        <v>82.7</v>
      </c>
      <c r="BN243" s="85" t="n">
        <v>60.1</v>
      </c>
      <c r="BO243" s="85" t="n">
        <v>4752.3</v>
      </c>
      <c r="BP243" s="85" t="n">
        <v>4572.9</v>
      </c>
      <c r="BQ243" s="85" t="n">
        <v>0</v>
      </c>
      <c r="BR243" s="85" t="n">
        <v>0</v>
      </c>
      <c r="BS243" s="85" t="n">
        <v>0</v>
      </c>
      <c r="BT243" s="85" t="n">
        <v>0</v>
      </c>
      <c r="BU243" s="85" t="n">
        <v>0</v>
      </c>
      <c r="BV243" s="85" t="n">
        <v>0</v>
      </c>
      <c r="BW243" s="85" t="n">
        <v>0</v>
      </c>
      <c r="BX243" s="85" t="n">
        <v>0</v>
      </c>
      <c r="BY243" s="85" t="n">
        <v>0</v>
      </c>
    </row>
    <row r="244" ht="17" customHeight="1">
      <c r="A244" s="86" t="n">
        <v>242</v>
      </c>
      <c r="B244" s="87" t="inlineStr">
        <is>
          <t>FNF</t>
        </is>
      </c>
      <c r="C244" s="88" t="inlineStr">
        <is>
          <t>FIDELITY NATIONAL FINANCIAL, INC.</t>
        </is>
      </c>
      <c r="D244" s="86" t="inlineStr">
        <is>
          <t>Financials</t>
        </is>
      </c>
      <c r="E244" s="86" t="n">
        <v>2026</v>
      </c>
      <c r="F244" s="89" t="n">
        <v>109014</v>
      </c>
      <c r="G244" s="90" t="inlineStr">
        <is>
          <t>N/A</t>
        </is>
      </c>
      <c r="H244" s="90" t="inlineStr">
        <is>
          <t>N/A</t>
        </is>
      </c>
      <c r="I244" s="89" t="n">
        <v>100042</v>
      </c>
      <c r="J244" s="89" t="n">
        <v>5484</v>
      </c>
      <c r="K244" s="90" t="inlineStr">
        <is>
          <t>N/A</t>
        </is>
      </c>
      <c r="L244" s="89" t="n">
        <v>14445</v>
      </c>
      <c r="M244" s="89" t="n">
        <v>602</v>
      </c>
      <c r="N244" s="89" t="n">
        <v>5828</v>
      </c>
      <c r="O244" s="89" t="n">
        <v>1397</v>
      </c>
      <c r="P244" s="89" t="n">
        <v>4400</v>
      </c>
      <c r="Q244" s="89" t="n">
        <v>7424</v>
      </c>
      <c r="R244" s="90" t="inlineStr">
        <is>
          <t>N/A</t>
        </is>
      </c>
      <c r="S244" s="89" t="n">
        <v>844</v>
      </c>
      <c r="T244" s="89" t="n">
        <v>375</v>
      </c>
      <c r="U244" s="89" t="n">
        <v>189</v>
      </c>
      <c r="V244" s="89" t="n">
        <v>209</v>
      </c>
      <c r="W244" s="89" t="n">
        <v>95372</v>
      </c>
      <c r="X244" s="90" t="inlineStr">
        <is>
          <t>N/A</t>
        </is>
      </c>
      <c r="Y244" s="90" t="inlineStr">
        <is>
          <t>N/A</t>
        </is>
      </c>
      <c r="Z244" s="89" t="n">
        <v>86840</v>
      </c>
      <c r="AA244" s="90" t="inlineStr">
        <is>
          <t>N/A</t>
        </is>
      </c>
      <c r="AB244" s="89" t="n">
        <v>13681</v>
      </c>
      <c r="AC244" s="89" t="n">
        <v>1270</v>
      </c>
      <c r="AD244" s="89" t="n">
        <v>6815</v>
      </c>
      <c r="AE244" s="89" t="n">
        <v>1742</v>
      </c>
      <c r="AF244" s="89" t="n">
        <v>4321</v>
      </c>
      <c r="AG244" s="89" t="n">
        <v>7754</v>
      </c>
      <c r="AH244" s="89" t="n">
        <v>13681</v>
      </c>
      <c r="AI244" s="89" t="n">
        <v>95263</v>
      </c>
      <c r="AJ244" s="90" t="inlineStr">
        <is>
          <t>N/A</t>
        </is>
      </c>
      <c r="AK244" s="90" t="inlineStr">
        <is>
          <t>N/A</t>
        </is>
      </c>
      <c r="AL244" s="89" t="n">
        <v>753</v>
      </c>
      <c r="AM244" s="89" t="n">
        <v>367</v>
      </c>
      <c r="AN244" s="89" t="n">
        <v>210</v>
      </c>
      <c r="AO244" s="89" t="n">
        <v>145</v>
      </c>
      <c r="AP244" s="90" t="inlineStr">
        <is>
          <t>N/A</t>
        </is>
      </c>
      <c r="AQ244" s="90" t="inlineStr">
        <is>
          <t>N/A</t>
        </is>
      </c>
      <c r="AR244" s="89" t="n">
        <v>5272</v>
      </c>
      <c r="AS244" s="89" t="n">
        <v>917</v>
      </c>
      <c r="AT244" s="90" t="inlineStr">
        <is>
          <t>N/A</t>
        </is>
      </c>
      <c r="AU244" s="90" t="inlineStr">
        <is>
          <t>N/A</t>
        </is>
      </c>
      <c r="AV244" s="89" t="n">
        <v>2636</v>
      </c>
      <c r="AW244" s="89" t="n">
        <v>3479</v>
      </c>
      <c r="AX244" s="89" t="n">
        <v>4400</v>
      </c>
      <c r="AY244" s="89" t="n">
        <v>4321</v>
      </c>
      <c r="AZ244" s="89" t="n">
        <v>1764</v>
      </c>
      <c r="BA244" s="89" t="n">
        <v>5618</v>
      </c>
      <c r="BB244" s="89" t="n">
        <v>271</v>
      </c>
      <c r="BC244" s="89" t="n">
        <v>275</v>
      </c>
      <c r="BD244" s="89" t="n">
        <v>362</v>
      </c>
      <c r="BE244" s="89" t="n">
        <v>173</v>
      </c>
      <c r="BF244" s="90" t="inlineStr">
        <is>
          <t>N/A</t>
        </is>
      </c>
      <c r="BG244" s="89" t="n">
        <v>739</v>
      </c>
      <c r="BH244" s="89" t="n">
        <v>-8934</v>
      </c>
      <c r="BI244" s="89" t="n">
        <v>-7862</v>
      </c>
      <c r="BJ244" s="90" t="inlineStr">
        <is>
          <t>N/A</t>
        </is>
      </c>
      <c r="BK244" s="90" t="inlineStr">
        <is>
          <t>N/A</t>
        </is>
      </c>
      <c r="BL244" s="89" t="n">
        <v>105</v>
      </c>
      <c r="BM244" s="89" t="n">
        <v>107</v>
      </c>
      <c r="BN244" s="90" t="inlineStr">
        <is>
          <t>N/A</t>
        </is>
      </c>
      <c r="BO244" s="89" t="n">
        <v>13048</v>
      </c>
      <c r="BP244" s="89" t="n">
        <v>11939</v>
      </c>
      <c r="BQ244" s="89" t="n">
        <v>0</v>
      </c>
      <c r="BR244" s="89" t="n">
        <v>0</v>
      </c>
      <c r="BS244" s="90" t="inlineStr">
        <is>
          <t>N/A</t>
        </is>
      </c>
      <c r="BT244" s="90" t="inlineStr">
        <is>
          <t>N/A</t>
        </is>
      </c>
      <c r="BU244" s="90" t="inlineStr">
        <is>
          <t>N/A</t>
        </is>
      </c>
      <c r="BV244" s="90" t="inlineStr">
        <is>
          <t>N/A</t>
        </is>
      </c>
      <c r="BW244" s="89" t="n">
        <v>0</v>
      </c>
      <c r="BX244" s="89" t="n">
        <v>0</v>
      </c>
      <c r="BY244" s="90" t="inlineStr">
        <is>
          <t>N/A</t>
        </is>
      </c>
    </row>
    <row r="245" ht="17" customHeight="1">
      <c r="A245" s="82" t="n">
        <v>243</v>
      </c>
      <c r="B245" s="83" t="inlineStr">
        <is>
          <t>CTSH</t>
        </is>
      </c>
      <c r="C245" s="84" t="inlineStr">
        <is>
          <t>COGNIZANT TECHNOLOGY SOLUTIONS CORPORATION</t>
        </is>
      </c>
      <c r="D245" s="82" t="inlineStr">
        <is>
          <t>Information Technology</t>
        </is>
      </c>
      <c r="E245" s="82" t="n">
        <v>2026</v>
      </c>
      <c r="F245" s="85" t="n">
        <v>20692</v>
      </c>
      <c r="G245" s="85" t="n">
        <v>7818</v>
      </c>
      <c r="H245" s="85" t="n">
        <v>3659</v>
      </c>
      <c r="I245" s="85" t="n">
        <v>5677</v>
      </c>
      <c r="J245" s="85" t="n">
        <v>15158</v>
      </c>
      <c r="K245" s="85" t="n">
        <v>3389</v>
      </c>
      <c r="L245" s="85" t="n">
        <v>21108</v>
      </c>
      <c r="M245" s="85" t="n">
        <v>2230</v>
      </c>
      <c r="N245" s="85" t="n">
        <v>2883</v>
      </c>
      <c r="O245" s="91" t="inlineStr">
        <is>
          <t>N/A</t>
        </is>
      </c>
      <c r="P245" s="85" t="n">
        <v>750</v>
      </c>
      <c r="Q245" s="85" t="n">
        <v>15015</v>
      </c>
      <c r="R245" s="85" t="n">
        <v>3240</v>
      </c>
      <c r="S245" s="85" t="n">
        <v>550</v>
      </c>
      <c r="T245" s="85" t="n">
        <v>4439</v>
      </c>
      <c r="U245" s="85" t="n">
        <v>933</v>
      </c>
      <c r="V245" s="85" t="n">
        <v>41</v>
      </c>
      <c r="W245" s="85" t="n">
        <v>19966</v>
      </c>
      <c r="X245" s="85" t="n">
        <v>7504</v>
      </c>
      <c r="Y245" s="85" t="n">
        <v>3585</v>
      </c>
      <c r="Z245" s="85" t="n">
        <v>5558</v>
      </c>
      <c r="AA245" s="85" t="n">
        <v>2892</v>
      </c>
      <c r="AB245" s="85" t="n">
        <v>19736</v>
      </c>
      <c r="AC245" s="85" t="n">
        <v>2240</v>
      </c>
      <c r="AD245" s="85" t="n">
        <v>2124</v>
      </c>
      <c r="AE245" s="91" t="inlineStr">
        <is>
          <t>N/A</t>
        </is>
      </c>
      <c r="AF245" s="85" t="n">
        <v>800</v>
      </c>
      <c r="AG245" s="85" t="n">
        <v>14408</v>
      </c>
      <c r="AH245" s="85" t="n">
        <v>19736</v>
      </c>
      <c r="AI245" s="85" t="n">
        <v>19966</v>
      </c>
      <c r="AJ245" s="85" t="n">
        <v>1189</v>
      </c>
      <c r="AK245" s="91" t="inlineStr">
        <is>
          <t>N/A</t>
        </is>
      </c>
      <c r="AL245" s="85" t="n">
        <v>1258</v>
      </c>
      <c r="AM245" s="85" t="n">
        <v>713</v>
      </c>
      <c r="AN245" s="85" t="n">
        <v>288</v>
      </c>
      <c r="AO245" s="85" t="n">
        <v>297</v>
      </c>
      <c r="AP245" s="91" t="inlineStr">
        <is>
          <t>N/A</t>
        </is>
      </c>
      <c r="AQ245" s="91" t="inlineStr">
        <is>
          <t>N/A</t>
        </is>
      </c>
      <c r="AR245" s="85" t="n">
        <v>7106</v>
      </c>
      <c r="AS245" s="85" t="n">
        <v>953.7</v>
      </c>
      <c r="AT245" s="85" t="n">
        <v>33</v>
      </c>
      <c r="AU245" s="91" t="inlineStr">
        <is>
          <t>N/A</t>
        </is>
      </c>
      <c r="AV245" s="85" t="n">
        <v>1901</v>
      </c>
      <c r="AW245" s="85" t="n">
        <v>2231</v>
      </c>
      <c r="AX245" s="85" t="n">
        <v>783</v>
      </c>
      <c r="AY245" s="85" t="n">
        <v>833</v>
      </c>
      <c r="AZ245" s="85" t="n">
        <v>-1118</v>
      </c>
      <c r="BA245" s="85" t="n">
        <v>2595</v>
      </c>
      <c r="BB245" s="85" t="n">
        <v>479</v>
      </c>
      <c r="BC245" s="85" t="n">
        <v>495</v>
      </c>
      <c r="BD245" s="85" t="n">
        <v>4059</v>
      </c>
      <c r="BE245" s="85" t="n">
        <v>994</v>
      </c>
      <c r="BF245" s="85" t="n">
        <v>3223</v>
      </c>
      <c r="BG245" s="85" t="n">
        <v>529</v>
      </c>
      <c r="BH245" s="85" t="n">
        <v>-230</v>
      </c>
      <c r="BI245" s="85" t="n">
        <v>-1646</v>
      </c>
      <c r="BJ245" s="85" t="n">
        <v>308</v>
      </c>
      <c r="BK245" s="85" t="n">
        <v>340</v>
      </c>
      <c r="BL245" s="85" t="n">
        <v>501</v>
      </c>
      <c r="BM245" s="85" t="n">
        <v>450</v>
      </c>
      <c r="BN245" s="85" t="n">
        <v>18</v>
      </c>
      <c r="BO245" s="91" t="inlineStr">
        <is>
          <t>N/A</t>
        </is>
      </c>
      <c r="BP245" s="91" t="inlineStr">
        <is>
          <t>N/A</t>
        </is>
      </c>
      <c r="BQ245" s="85" t="n">
        <v>0</v>
      </c>
      <c r="BR245" s="85" t="n">
        <v>0</v>
      </c>
      <c r="BS245" s="91" t="inlineStr">
        <is>
          <t>N/A</t>
        </is>
      </c>
      <c r="BT245" s="91" t="inlineStr">
        <is>
          <t>N/A</t>
        </is>
      </c>
      <c r="BU245" s="91" t="inlineStr">
        <is>
          <t>N/A</t>
        </is>
      </c>
      <c r="BV245" s="91" t="inlineStr">
        <is>
          <t>N/A</t>
        </is>
      </c>
      <c r="BW245" s="85" t="n">
        <v>0</v>
      </c>
      <c r="BX245" s="85" t="n">
        <v>0</v>
      </c>
      <c r="BY245" s="85" t="n">
        <v>0</v>
      </c>
    </row>
    <row r="246" ht="17" customHeight="1">
      <c r="A246" s="86" t="n">
        <v>244</v>
      </c>
      <c r="B246" s="87" t="inlineStr">
        <is>
          <t>LULU</t>
        </is>
      </c>
      <c r="C246" s="88" t="inlineStr">
        <is>
          <t>lululemon athletica inc.</t>
        </is>
      </c>
      <c r="D246" s="86" t="inlineStr">
        <is>
          <t>Consumer Discretionary</t>
        </is>
      </c>
      <c r="E246" s="86" t="n">
        <v>2026</v>
      </c>
      <c r="F246" s="89" t="n">
        <v>8456.700000000001</v>
      </c>
      <c r="G246" s="89" t="n">
        <v>4262.7</v>
      </c>
      <c r="H246" s="89" t="n">
        <v>1887.5</v>
      </c>
      <c r="I246" s="89" t="n">
        <v>3494.9</v>
      </c>
      <c r="J246" s="89" t="n">
        <v>4522.6</v>
      </c>
      <c r="K246" s="89" t="n">
        <v>2210.6</v>
      </c>
      <c r="L246" s="89" t="n">
        <v>11102.6</v>
      </c>
      <c r="M246" s="89" t="n">
        <v>1579.2</v>
      </c>
      <c r="N246" s="89" t="n">
        <v>1602.5</v>
      </c>
      <c r="O246" s="89" t="n">
        <v>6284.1</v>
      </c>
      <c r="P246" s="90" t="inlineStr">
        <is>
          <t>N/A</t>
        </is>
      </c>
      <c r="Q246" s="89" t="n">
        <v>4961.8</v>
      </c>
      <c r="R246" s="89" t="n">
        <v>4066.6</v>
      </c>
      <c r="S246" s="89" t="n">
        <v>496.2</v>
      </c>
      <c r="T246" s="89" t="n">
        <v>190.7</v>
      </c>
      <c r="U246" s="89" t="n">
        <v>2033.7</v>
      </c>
      <c r="V246" s="89" t="n">
        <v>0</v>
      </c>
      <c r="W246" s="89" t="n">
        <v>7603.3</v>
      </c>
      <c r="X246" s="89" t="n">
        <v>3980.3</v>
      </c>
      <c r="Y246" s="89" t="n">
        <v>1839.6</v>
      </c>
      <c r="Z246" s="89" t="n">
        <v>3279.2</v>
      </c>
      <c r="AA246" s="89" t="n">
        <v>2505.7</v>
      </c>
      <c r="AB246" s="89" t="n">
        <v>10588.1</v>
      </c>
      <c r="AC246" s="89" t="n">
        <v>1814.6</v>
      </c>
      <c r="AD246" s="89" t="n">
        <v>2272.7</v>
      </c>
      <c r="AE246" s="89" t="n">
        <v>6270.8</v>
      </c>
      <c r="AF246" s="90" t="inlineStr">
        <is>
          <t>N/A</t>
        </is>
      </c>
      <c r="AG246" s="89" t="n">
        <v>4324</v>
      </c>
      <c r="AH246" s="89" t="n">
        <v>10588.1</v>
      </c>
      <c r="AI246" s="89" t="n">
        <v>7603.3</v>
      </c>
      <c r="AJ246" s="89" t="n">
        <v>2239</v>
      </c>
      <c r="AK246" s="89" t="n">
        <v>2576.1</v>
      </c>
      <c r="AL246" s="89" t="n">
        <v>659.8</v>
      </c>
      <c r="AM246" s="89" t="n">
        <v>761.5</v>
      </c>
      <c r="AN246" s="89" t="n">
        <v>680.8</v>
      </c>
      <c r="AO246" s="89" t="n">
        <v>689.2</v>
      </c>
      <c r="AP246" s="89" t="n">
        <v>1700.8</v>
      </c>
      <c r="AQ246" s="89" t="n">
        <v>1442.1</v>
      </c>
      <c r="AR246" s="89" t="n">
        <v>184.9</v>
      </c>
      <c r="AS246" s="89" t="n">
        <v>6.3</v>
      </c>
      <c r="AT246" s="90" t="inlineStr">
        <is>
          <t>N/A</t>
        </is>
      </c>
      <c r="AU246" s="90" t="inlineStr">
        <is>
          <t>N/A</t>
        </is>
      </c>
      <c r="AV246" s="89" t="n">
        <v>881.3</v>
      </c>
      <c r="AW246" s="89" t="n">
        <v>990.5</v>
      </c>
      <c r="AX246" s="90" t="inlineStr">
        <is>
          <t>N/A</t>
        </is>
      </c>
      <c r="AY246" s="90" t="inlineStr">
        <is>
          <t>N/A</t>
        </is>
      </c>
      <c r="AZ246" s="89" t="n">
        <v>-881.3</v>
      </c>
      <c r="BA246" s="89" t="n">
        <v>921.7</v>
      </c>
      <c r="BB246" s="89" t="n">
        <v>111.4</v>
      </c>
      <c r="BC246" s="89" t="n">
        <v>116.2</v>
      </c>
      <c r="BD246" s="89" t="n">
        <v>120.2</v>
      </c>
      <c r="BE246" s="89" t="n">
        <v>1780.6</v>
      </c>
      <c r="BF246" s="89" t="n">
        <v>3762.4</v>
      </c>
      <c r="BG246" s="89" t="n">
        <v>446.5</v>
      </c>
      <c r="BH246" s="89" t="n">
        <v>-662.1</v>
      </c>
      <c r="BI246" s="89" t="n">
        <v>-798.2</v>
      </c>
      <c r="BJ246" s="89" t="n">
        <v>331.4</v>
      </c>
      <c r="BK246" s="89" t="n">
        <v>271.4</v>
      </c>
      <c r="BL246" s="89" t="n">
        <v>12.7</v>
      </c>
      <c r="BM246" s="89" t="n">
        <v>8</v>
      </c>
      <c r="BN246" s="89" t="n">
        <v>43.9</v>
      </c>
      <c r="BO246" s="89" t="n">
        <v>4818.5</v>
      </c>
      <c r="BP246" s="89" t="n">
        <v>4317.3</v>
      </c>
      <c r="BQ246" s="89" t="n">
        <v>0</v>
      </c>
      <c r="BR246" s="89" t="n">
        <v>0</v>
      </c>
      <c r="BS246" s="89" t="n">
        <v>0</v>
      </c>
      <c r="BT246" s="89" t="n">
        <v>0</v>
      </c>
      <c r="BU246" s="89" t="n">
        <v>0</v>
      </c>
      <c r="BV246" s="89" t="n">
        <v>0</v>
      </c>
      <c r="BW246" s="89" t="n">
        <v>0</v>
      </c>
      <c r="BX246" s="89" t="n">
        <v>0</v>
      </c>
      <c r="BY246" s="89" t="n">
        <v>0</v>
      </c>
    </row>
    <row r="247" ht="17" customHeight="1">
      <c r="A247" s="82" t="n">
        <v>245</v>
      </c>
      <c r="B247" s="83" t="inlineStr">
        <is>
          <t>KMI</t>
        </is>
      </c>
      <c r="C247" s="84" t="inlineStr">
        <is>
          <t>KINDER MORGAN, INC.</t>
        </is>
      </c>
      <c r="D247" s="82" t="inlineStr">
        <is>
          <t>Energy</t>
        </is>
      </c>
      <c r="E247" s="82" t="n">
        <v>2026</v>
      </c>
      <c r="F247" s="85" t="n">
        <v>72748</v>
      </c>
      <c r="G247" s="85" t="n">
        <v>2754</v>
      </c>
      <c r="H247" s="85" t="n">
        <v>4322</v>
      </c>
      <c r="I247" s="85" t="n">
        <v>40299</v>
      </c>
      <c r="J247" s="85" t="n">
        <v>-10181</v>
      </c>
      <c r="K247" s="85" t="n">
        <v>4724</v>
      </c>
      <c r="L247" s="85" t="n">
        <v>16937</v>
      </c>
      <c r="M247" s="85" t="n">
        <v>3056</v>
      </c>
      <c r="N247" s="85" t="n">
        <v>5917</v>
      </c>
      <c r="O247" s="85" t="n">
        <v>7682</v>
      </c>
      <c r="P247" s="85" t="n">
        <v>29309</v>
      </c>
      <c r="Q247" s="85" t="n">
        <v>31162</v>
      </c>
      <c r="R247" s="85" t="n">
        <v>744</v>
      </c>
      <c r="S247" s="85" t="n">
        <v>2453</v>
      </c>
      <c r="T247" s="85" t="n">
        <v>1370</v>
      </c>
      <c r="U247" s="85" t="n">
        <v>39331</v>
      </c>
      <c r="V247" s="85" t="n">
        <v>1807</v>
      </c>
      <c r="W247" s="85" t="n">
        <v>71407</v>
      </c>
      <c r="X247" s="85" t="n">
        <v>2521</v>
      </c>
      <c r="Y247" s="85" t="n">
        <v>5101</v>
      </c>
      <c r="Z247" s="85" t="n">
        <v>39540</v>
      </c>
      <c r="AA247" s="85" t="n">
        <v>4384</v>
      </c>
      <c r="AB247" s="85" t="n">
        <v>15100</v>
      </c>
      <c r="AC247" s="85" t="n">
        <v>2613</v>
      </c>
      <c r="AD247" s="85" t="n">
        <v>5635</v>
      </c>
      <c r="AE247" s="85" t="n">
        <v>8607</v>
      </c>
      <c r="AF247" s="85" t="n">
        <v>13161</v>
      </c>
      <c r="AG247" s="85" t="n">
        <v>30531</v>
      </c>
      <c r="AH247" s="85" t="n">
        <v>15100</v>
      </c>
      <c r="AI247" s="85" t="n">
        <v>71407</v>
      </c>
      <c r="AJ247" s="85" t="n">
        <v>3992</v>
      </c>
      <c r="AK247" s="85" t="n">
        <v>3407</v>
      </c>
      <c r="AL247" s="85" t="n">
        <v>832</v>
      </c>
      <c r="AM247" s="85" t="n">
        <v>687</v>
      </c>
      <c r="AN247" s="85" t="n">
        <v>3026</v>
      </c>
      <c r="AO247" s="85" t="n">
        <v>2629</v>
      </c>
      <c r="AP247" s="85" t="n">
        <v>574</v>
      </c>
      <c r="AQ247" s="85" t="n">
        <v>555</v>
      </c>
      <c r="AR247" s="85" t="n">
        <v>20084</v>
      </c>
      <c r="AS247" s="85" t="n">
        <v>1730</v>
      </c>
      <c r="AT247" s="85" t="n">
        <v>1226</v>
      </c>
      <c r="AU247" s="91" t="inlineStr">
        <is>
          <t>N/A</t>
        </is>
      </c>
      <c r="AV247" s="85" t="n">
        <v>63</v>
      </c>
      <c r="AW247" s="85" t="n">
        <v>88</v>
      </c>
      <c r="AX247" s="85" t="n">
        <v>30535</v>
      </c>
      <c r="AY247" s="85" t="n">
        <v>15170</v>
      </c>
      <c r="AZ247" s="85" t="n">
        <v>30472</v>
      </c>
      <c r="BA247" s="85" t="n">
        <v>2891</v>
      </c>
      <c r="BB247" s="85" t="n">
        <v>2224.8</v>
      </c>
      <c r="BC247" s="85" t="n">
        <v>2221.6</v>
      </c>
      <c r="BD247" s="85" t="n">
        <v>1498</v>
      </c>
      <c r="BE247" s="85" t="n">
        <v>38013</v>
      </c>
      <c r="BF247" s="85" t="n">
        <v>712</v>
      </c>
      <c r="BG247" s="85" t="n">
        <v>2354</v>
      </c>
      <c r="BH247" s="85" t="n">
        <v>-3179</v>
      </c>
      <c r="BI247" s="85" t="n">
        <v>-2629</v>
      </c>
      <c r="BJ247" s="85" t="n">
        <v>1408</v>
      </c>
      <c r="BK247" s="85" t="n">
        <v>1395</v>
      </c>
      <c r="BL247" s="85" t="n">
        <v>99.59999999999999</v>
      </c>
      <c r="BM247" s="85" t="n">
        <v>96.7</v>
      </c>
      <c r="BN247" s="85" t="n">
        <v>38.8</v>
      </c>
      <c r="BO247" s="85" t="n">
        <v>9255</v>
      </c>
      <c r="BP247" s="85" t="n">
        <v>6493</v>
      </c>
      <c r="BQ247" s="85" t="n">
        <v>0</v>
      </c>
      <c r="BR247" s="85" t="n">
        <v>0</v>
      </c>
      <c r="BS247" s="85" t="n">
        <v>0</v>
      </c>
      <c r="BT247" s="85" t="n">
        <v>0</v>
      </c>
      <c r="BU247" s="85" t="n">
        <v>0</v>
      </c>
      <c r="BV247" s="85" t="n">
        <v>0</v>
      </c>
      <c r="BW247" s="85" t="n">
        <v>0</v>
      </c>
      <c r="BX247" s="85" t="n">
        <v>0</v>
      </c>
      <c r="BY247" s="85" t="n">
        <v>0</v>
      </c>
    </row>
    <row r="248" ht="17" customHeight="1">
      <c r="A248" s="86" t="n">
        <v>246</v>
      </c>
      <c r="B248" s="87" t="inlineStr">
        <is>
          <t>PPG</t>
        </is>
      </c>
      <c r="C248" s="88" t="inlineStr">
        <is>
          <t>PPG INDUSTRIES INC</t>
        </is>
      </c>
      <c r="D248" s="86" t="inlineStr">
        <is>
          <t>Materials</t>
        </is>
      </c>
      <c r="E248" s="86" t="n">
        <v>2026</v>
      </c>
      <c r="F248" s="89" t="n">
        <v>22098</v>
      </c>
      <c r="G248" s="89" t="n">
        <v>7959</v>
      </c>
      <c r="H248" s="89" t="n">
        <v>4900</v>
      </c>
      <c r="I248" s="89" t="n">
        <v>14001</v>
      </c>
      <c r="J248" s="89" t="n">
        <v>22942</v>
      </c>
      <c r="K248" s="89" t="n">
        <v>2675</v>
      </c>
      <c r="L248" s="89" t="n">
        <v>11066</v>
      </c>
      <c r="M248" s="89" t="n">
        <v>1576</v>
      </c>
      <c r="N248" s="89" t="n">
        <v>1941</v>
      </c>
      <c r="O248" s="89" t="n">
        <v>1750</v>
      </c>
      <c r="P248" s="89" t="n">
        <v>7297</v>
      </c>
      <c r="Q248" s="89" t="n">
        <v>7941</v>
      </c>
      <c r="R248" s="89" t="n">
        <v>3439</v>
      </c>
      <c r="S248" s="89" t="n">
        <v>528</v>
      </c>
      <c r="T248" s="89" t="n">
        <v>2783</v>
      </c>
      <c r="U248" s="89" t="n">
        <v>4005</v>
      </c>
      <c r="V248" s="89" t="n">
        <v>247</v>
      </c>
      <c r="W248" s="89" t="n">
        <v>19433</v>
      </c>
      <c r="X248" s="89" t="n">
        <v>6557</v>
      </c>
      <c r="Y248" s="89" t="n">
        <v>5014</v>
      </c>
      <c r="Z248" s="89" t="n">
        <v>12471</v>
      </c>
      <c r="AA248" s="89" t="n">
        <v>2042</v>
      </c>
      <c r="AB248" s="89" t="n">
        <v>3776</v>
      </c>
      <c r="AC248" s="89" t="n">
        <v>1116</v>
      </c>
      <c r="AD248" s="89" t="n">
        <v>1420</v>
      </c>
      <c r="AE248" s="89" t="n">
        <v>-5476</v>
      </c>
      <c r="AF248" s="89" t="n">
        <v>5801</v>
      </c>
      <c r="AG248" s="89" t="n">
        <v>6785</v>
      </c>
      <c r="AH248" s="89" t="n">
        <v>7290</v>
      </c>
      <c r="AI248" s="89" t="n">
        <v>19433</v>
      </c>
      <c r="AJ248" s="89" t="n">
        <v>2045</v>
      </c>
      <c r="AK248" s="89" t="n">
        <v>1852</v>
      </c>
      <c r="AL248" s="89" t="n">
        <v>458</v>
      </c>
      <c r="AM248" s="89" t="n">
        <v>475</v>
      </c>
      <c r="AN248" s="89" t="n">
        <v>778</v>
      </c>
      <c r="AO248" s="89" t="n">
        <v>721</v>
      </c>
      <c r="AP248" s="89" t="n">
        <v>1996</v>
      </c>
      <c r="AQ248" s="89" t="n">
        <v>1846</v>
      </c>
      <c r="AR248" s="89" t="n">
        <v>6149</v>
      </c>
      <c r="AS248" s="89" t="n">
        <v>697</v>
      </c>
      <c r="AT248" s="89" t="n">
        <v>4</v>
      </c>
      <c r="AU248" s="89" t="n">
        <v>446</v>
      </c>
      <c r="AV248" s="89" t="n">
        <v>2163</v>
      </c>
      <c r="AW248" s="89" t="n">
        <v>1270</v>
      </c>
      <c r="AX248" s="89" t="n">
        <v>7301</v>
      </c>
      <c r="AY248" s="89" t="n">
        <v>5808</v>
      </c>
      <c r="AZ248" s="89" t="n">
        <v>5138</v>
      </c>
      <c r="BA248" s="89" t="n">
        <v>1163</v>
      </c>
      <c r="BB248" s="89" t="n">
        <v>223.4</v>
      </c>
      <c r="BC248" s="89" t="n">
        <v>229.9</v>
      </c>
      <c r="BD248" s="89" t="n">
        <v>2477</v>
      </c>
      <c r="BE248" s="89" t="n">
        <v>3464</v>
      </c>
      <c r="BF248" s="89" t="n">
        <v>3391</v>
      </c>
      <c r="BG248" s="89" t="n">
        <v>492</v>
      </c>
      <c r="BH248" s="89" t="n">
        <v>-700</v>
      </c>
      <c r="BI248" s="89" t="n">
        <v>107</v>
      </c>
      <c r="BJ248" s="89" t="n">
        <v>3957</v>
      </c>
      <c r="BK248" s="89" t="n">
        <v>3731</v>
      </c>
      <c r="BL248" s="90" t="inlineStr">
        <is>
          <t>N/A</t>
        </is>
      </c>
      <c r="BM248" s="90" t="inlineStr">
        <is>
          <t>N/A</t>
        </is>
      </c>
      <c r="BN248" s="89" t="n">
        <v>118</v>
      </c>
      <c r="BO248" s="89" t="n">
        <v>9316</v>
      </c>
      <c r="BP248" s="89" t="n">
        <v>9252</v>
      </c>
      <c r="BQ248" s="89" t="n">
        <v>0</v>
      </c>
      <c r="BR248" s="89" t="n">
        <v>0</v>
      </c>
      <c r="BS248" s="89" t="n">
        <v>0</v>
      </c>
      <c r="BT248" s="89" t="n">
        <v>0</v>
      </c>
      <c r="BU248" s="89" t="n">
        <v>0</v>
      </c>
      <c r="BV248" s="89" t="n">
        <v>0</v>
      </c>
      <c r="BW248" s="89" t="n">
        <v>0</v>
      </c>
      <c r="BX248" s="89" t="n">
        <v>0</v>
      </c>
      <c r="BY248" s="89" t="n">
        <v>0</v>
      </c>
    </row>
    <row r="249" ht="17" customHeight="1">
      <c r="A249" s="82" t="n">
        <v>247</v>
      </c>
      <c r="B249" s="83" t="inlineStr">
        <is>
          <t>OGE</t>
        </is>
      </c>
      <c r="C249" s="84" t="inlineStr">
        <is>
          <t>OGE ENERGY CORP.</t>
        </is>
      </c>
      <c r="D249" s="82" t="inlineStr">
        <is>
          <t>Utilities</t>
        </is>
      </c>
      <c r="E249" s="82" t="n">
        <v>2026</v>
      </c>
      <c r="F249" s="85" t="n">
        <v>14370.5</v>
      </c>
      <c r="G249" s="85" t="n">
        <v>857.9</v>
      </c>
      <c r="H249" s="85" t="n">
        <v>1094.1</v>
      </c>
      <c r="I249" s="85" t="n">
        <v>9393.200000000001</v>
      </c>
      <c r="J249" s="85" t="n">
        <v>3601.5</v>
      </c>
      <c r="K249" s="85" t="n">
        <v>799.4</v>
      </c>
      <c r="L249" s="85" t="n">
        <v>3260.1</v>
      </c>
      <c r="M249" s="85" t="n">
        <v>470.7</v>
      </c>
      <c r="N249" s="85" t="n">
        <v>1137.1</v>
      </c>
      <c r="O249" s="85" t="n">
        <v>1752.5</v>
      </c>
      <c r="P249" s="85" t="n">
        <v>5369.2</v>
      </c>
      <c r="Q249" s="85" t="n">
        <v>4977.3</v>
      </c>
      <c r="R249" s="85" t="n">
        <v>148.3</v>
      </c>
      <c r="S249" s="85" t="n">
        <v>559.8</v>
      </c>
      <c r="T249" s="85" t="n">
        <v>347.8</v>
      </c>
      <c r="U249" s="85" t="n">
        <v>12730.4</v>
      </c>
      <c r="V249" s="85" t="n">
        <v>270.3</v>
      </c>
      <c r="W249" s="85" t="n">
        <v>13716</v>
      </c>
      <c r="X249" s="85" t="n">
        <v>895.1</v>
      </c>
      <c r="Y249" s="85" t="n">
        <v>1229.8</v>
      </c>
      <c r="Z249" s="85" t="n">
        <v>9075.1</v>
      </c>
      <c r="AA249" s="85" t="n">
        <v>745.3</v>
      </c>
      <c r="AB249" s="85" t="n">
        <v>2985.3</v>
      </c>
      <c r="AC249" s="85" t="n">
        <v>441.5</v>
      </c>
      <c r="AD249" s="85" t="n">
        <v>812.8</v>
      </c>
      <c r="AE249" s="85" t="n">
        <v>1638</v>
      </c>
      <c r="AF249" s="85" t="n">
        <v>5053.3</v>
      </c>
      <c r="AG249" s="85" t="n">
        <v>4640.9</v>
      </c>
      <c r="AH249" s="85" t="n">
        <v>2985.3</v>
      </c>
      <c r="AI249" s="85" t="n">
        <v>13716</v>
      </c>
      <c r="AJ249" s="85" t="n">
        <v>560.5</v>
      </c>
      <c r="AK249" s="85" t="n">
        <v>520.6</v>
      </c>
      <c r="AL249" s="85" t="n">
        <v>89.8</v>
      </c>
      <c r="AM249" s="85" t="n">
        <v>79.09999999999999</v>
      </c>
      <c r="AN249" s="85" t="n">
        <v>1054.4</v>
      </c>
      <c r="AO249" s="85" t="n">
        <v>1090.9</v>
      </c>
      <c r="AP249" s="85" t="n">
        <v>112</v>
      </c>
      <c r="AQ249" s="85" t="n">
        <v>148.3</v>
      </c>
      <c r="AR249" s="91" t="inlineStr">
        <is>
          <t>N/A</t>
        </is>
      </c>
      <c r="AS249" s="85" t="n">
        <v>134.8</v>
      </c>
      <c r="AT249" s="85" t="n">
        <v>292</v>
      </c>
      <c r="AU249" s="91" t="inlineStr">
        <is>
          <t>N/A</t>
        </is>
      </c>
      <c r="AV249" s="85" t="n">
        <v>0.2</v>
      </c>
      <c r="AW249" s="85" t="n">
        <v>0.6</v>
      </c>
      <c r="AX249" s="85" t="n">
        <v>5661.2</v>
      </c>
      <c r="AY249" s="85" t="n">
        <v>5522.6</v>
      </c>
      <c r="AZ249" s="85" t="n">
        <v>5661</v>
      </c>
      <c r="BA249" s="85" t="n">
        <v>82.7</v>
      </c>
      <c r="BB249" s="85" t="n">
        <v>206.1</v>
      </c>
      <c r="BC249" s="85" t="n">
        <v>201</v>
      </c>
      <c r="BD249" s="85" t="n">
        <v>240.6</v>
      </c>
      <c r="BE249" s="85" t="n">
        <v>12086.6</v>
      </c>
      <c r="BF249" s="85" t="n">
        <v>148.3</v>
      </c>
      <c r="BG249" s="85" t="n">
        <v>539.5</v>
      </c>
      <c r="BH249" s="85" t="n">
        <v>-1126.6</v>
      </c>
      <c r="BI249" s="85" t="n">
        <v>-1161.2</v>
      </c>
      <c r="BJ249" s="85" t="n">
        <v>350.6</v>
      </c>
      <c r="BK249" s="85" t="n">
        <v>305.7</v>
      </c>
      <c r="BL249" s="85" t="n">
        <v>1.2</v>
      </c>
      <c r="BM249" s="85" t="n">
        <v>37.7</v>
      </c>
      <c r="BN249" s="85" t="n">
        <v>53</v>
      </c>
      <c r="BO249" s="85" t="n">
        <v>1259.9</v>
      </c>
      <c r="BP249" s="85" t="n">
        <v>1076.4</v>
      </c>
      <c r="BQ249" s="85" t="n">
        <v>0</v>
      </c>
      <c r="BR249" s="85" t="n">
        <v>0</v>
      </c>
      <c r="BS249" s="85" t="n">
        <v>0</v>
      </c>
      <c r="BT249" s="85" t="n">
        <v>0</v>
      </c>
      <c r="BU249" s="85" t="n">
        <v>0</v>
      </c>
      <c r="BV249" s="85" t="n">
        <v>0</v>
      </c>
      <c r="BW249" s="85" t="n">
        <v>0</v>
      </c>
      <c r="BX249" s="85" t="n">
        <v>0</v>
      </c>
      <c r="BY249" s="85" t="n">
        <v>0</v>
      </c>
    </row>
    <row r="250" ht="17" customHeight="1">
      <c r="A250" s="86" t="n">
        <v>248</v>
      </c>
      <c r="B250" s="87" t="inlineStr">
        <is>
          <t>BKNG</t>
        </is>
      </c>
      <c r="C250" s="88" t="inlineStr">
        <is>
          <t>Booking Holdings Inc.</t>
        </is>
      </c>
      <c r="D250" s="86" t="inlineStr">
        <is>
          <t>Consumer Discretionary</t>
        </is>
      </c>
      <c r="E250" s="86" t="n">
        <v>2026</v>
      </c>
      <c r="F250" s="89" t="n">
        <v>29264</v>
      </c>
      <c r="G250" s="89" t="n">
        <v>22264</v>
      </c>
      <c r="H250" s="89" t="n">
        <v>16698</v>
      </c>
      <c r="I250" s="89" t="n">
        <v>34842</v>
      </c>
      <c r="J250" s="89" t="n">
        <v>40670</v>
      </c>
      <c r="K250" s="89" t="n">
        <v>8825</v>
      </c>
      <c r="L250" s="89" t="n">
        <v>26917</v>
      </c>
      <c r="M250" s="89" t="n">
        <v>288.7</v>
      </c>
      <c r="N250" s="89" t="n">
        <v>9409</v>
      </c>
      <c r="O250" s="89" t="n">
        <v>12430.5</v>
      </c>
      <c r="P250" s="89" t="n">
        <v>18736</v>
      </c>
      <c r="Q250" s="89" t="n">
        <v>-5578</v>
      </c>
      <c r="R250" s="89" t="n">
        <v>857</v>
      </c>
      <c r="S250" s="89" t="n">
        <v>623</v>
      </c>
      <c r="T250" s="89" t="n">
        <v>1523</v>
      </c>
      <c r="U250" s="89" t="n">
        <v>807</v>
      </c>
      <c r="V250" s="89" t="n">
        <v>897</v>
      </c>
      <c r="W250" s="89" t="n">
        <v>27708</v>
      </c>
      <c r="X250" s="89" t="n">
        <v>20491</v>
      </c>
      <c r="Y250" s="89" t="n">
        <v>15647</v>
      </c>
      <c r="Z250" s="89" t="n">
        <v>31728</v>
      </c>
      <c r="AA250" s="89" t="n">
        <v>7555</v>
      </c>
      <c r="AB250" s="89" t="n">
        <v>23739</v>
      </c>
      <c r="AC250" s="89" t="n">
        <v>288.7</v>
      </c>
      <c r="AD250" s="89" t="n">
        <v>8323</v>
      </c>
      <c r="AE250" s="89" t="n">
        <v>12439</v>
      </c>
      <c r="AF250" s="89" t="n">
        <v>16598</v>
      </c>
      <c r="AG250" s="89" t="n">
        <v>-4020</v>
      </c>
      <c r="AH250" s="89" t="n">
        <v>23739</v>
      </c>
      <c r="AI250" s="89" t="n">
        <v>27708</v>
      </c>
      <c r="AJ250" s="89" t="n">
        <v>6832</v>
      </c>
      <c r="AK250" s="89" t="n">
        <v>7292</v>
      </c>
      <c r="AL250" s="89" t="n">
        <v>1428</v>
      </c>
      <c r="AM250" s="89" t="n">
        <v>1410</v>
      </c>
      <c r="AN250" s="89" t="n">
        <v>322</v>
      </c>
      <c r="AO250" s="89" t="n">
        <v>429</v>
      </c>
      <c r="AP250" s="90" t="inlineStr">
        <is>
          <t>N/A</t>
        </is>
      </c>
      <c r="AQ250" s="90" t="inlineStr">
        <is>
          <t>N/A</t>
        </is>
      </c>
      <c r="AR250" s="89" t="n">
        <v>2669</v>
      </c>
      <c r="AS250" s="89" t="n">
        <v>1613</v>
      </c>
      <c r="AT250" s="89" t="n">
        <v>1880</v>
      </c>
      <c r="AU250" s="90" t="inlineStr">
        <is>
          <t>N/A</t>
        </is>
      </c>
      <c r="AV250" s="89" t="n">
        <v>17203</v>
      </c>
      <c r="AW250" s="89" t="n">
        <v>16164</v>
      </c>
      <c r="AX250" s="89" t="n">
        <v>20616</v>
      </c>
      <c r="AY250" s="89" t="n">
        <v>16598</v>
      </c>
      <c r="AZ250" s="89" t="n">
        <v>3413</v>
      </c>
      <c r="BA250" s="89" t="n">
        <v>9087</v>
      </c>
      <c r="BB250" s="89" t="n">
        <v>64.5</v>
      </c>
      <c r="BC250" s="89" t="n">
        <v>64.3</v>
      </c>
      <c r="BD250" s="89" t="n">
        <v>1423</v>
      </c>
      <c r="BE250" s="89" t="n">
        <v>832</v>
      </c>
      <c r="BF250" s="89" t="n">
        <v>1036</v>
      </c>
      <c r="BG250" s="89" t="n">
        <v>591</v>
      </c>
      <c r="BH250" s="89" t="n">
        <v>-313</v>
      </c>
      <c r="BI250" s="89" t="n">
        <v>129</v>
      </c>
      <c r="BJ250" s="89" t="n">
        <v>5094</v>
      </c>
      <c r="BK250" s="89" t="n">
        <v>3824</v>
      </c>
      <c r="BL250" s="90" t="inlineStr">
        <is>
          <t>N/A</t>
        </is>
      </c>
      <c r="BM250" s="90" t="inlineStr">
        <is>
          <t>N/A</t>
        </is>
      </c>
      <c r="BN250" s="90" t="inlineStr">
        <is>
          <t>N/A</t>
        </is>
      </c>
      <c r="BO250" s="89" t="n">
        <v>250.5</v>
      </c>
      <c r="BP250" s="89" t="n">
        <v>242</v>
      </c>
      <c r="BQ250" s="89" t="n">
        <v>0</v>
      </c>
      <c r="BR250" s="89" t="n">
        <v>0</v>
      </c>
      <c r="BS250" s="90" t="inlineStr">
        <is>
          <t>N/A</t>
        </is>
      </c>
      <c r="BT250" s="90" t="inlineStr">
        <is>
          <t>N/A</t>
        </is>
      </c>
      <c r="BU250" s="89" t="n">
        <v>0</v>
      </c>
      <c r="BV250" s="89" t="n">
        <v>0</v>
      </c>
      <c r="BW250" s="89" t="n">
        <v>0</v>
      </c>
      <c r="BX250" s="89" t="n">
        <v>0</v>
      </c>
      <c r="BY250" s="89" t="n">
        <v>0</v>
      </c>
    </row>
    <row r="251" ht="17" customHeight="1">
      <c r="A251" s="82" t="n">
        <v>249</v>
      </c>
      <c r="B251" s="83" t="inlineStr">
        <is>
          <t>SCHW</t>
        </is>
      </c>
      <c r="C251" s="84" t="inlineStr">
        <is>
          <t>SCHWAB CHARLES CORP</t>
        </is>
      </c>
      <c r="D251" s="82" t="inlineStr">
        <is>
          <t>Financials</t>
        </is>
      </c>
      <c r="E251" s="82" t="n">
        <v>2026</v>
      </c>
      <c r="F251" s="85" t="n">
        <v>490995</v>
      </c>
      <c r="G251" s="91" t="inlineStr">
        <is>
          <t>N/A</t>
        </is>
      </c>
      <c r="H251" s="91" t="inlineStr">
        <is>
          <t>N/A</t>
        </is>
      </c>
      <c r="I251" s="85" t="n">
        <v>441570</v>
      </c>
      <c r="J251" s="85" t="n">
        <v>44065</v>
      </c>
      <c r="K251" s="85" t="n">
        <v>11459</v>
      </c>
      <c r="L251" s="85" t="n">
        <v>23921</v>
      </c>
      <c r="M251" s="85" t="n">
        <v>8852</v>
      </c>
      <c r="N251" s="85" t="n">
        <v>9311</v>
      </c>
      <c r="O251" s="91" t="inlineStr">
        <is>
          <t>N/A</t>
        </is>
      </c>
      <c r="P251" s="85" t="n">
        <v>18914</v>
      </c>
      <c r="Q251" s="85" t="n">
        <v>49425</v>
      </c>
      <c r="R251" s="91" t="inlineStr">
        <is>
          <t>N/A</t>
        </is>
      </c>
      <c r="S251" s="85" t="n">
        <v>804</v>
      </c>
      <c r="T251" s="85" t="n">
        <v>410</v>
      </c>
      <c r="U251" s="85" t="n">
        <v>2883</v>
      </c>
      <c r="V251" s="85" t="n">
        <v>6684</v>
      </c>
      <c r="W251" s="85" t="n">
        <v>479843</v>
      </c>
      <c r="X251" s="91" t="inlineStr">
        <is>
          <t>N/A</t>
        </is>
      </c>
      <c r="Y251" s="91" t="inlineStr">
        <is>
          <t>N/A</t>
        </is>
      </c>
      <c r="Z251" s="85" t="n">
        <v>431468</v>
      </c>
      <c r="AA251" s="85" t="n">
        <v>7692</v>
      </c>
      <c r="AB251" s="85" t="n">
        <v>19606</v>
      </c>
      <c r="AC251" s="85" t="n">
        <v>5942</v>
      </c>
      <c r="AD251" s="85" t="n">
        <v>2670</v>
      </c>
      <c r="AE251" s="91" t="inlineStr">
        <is>
          <t>N/A</t>
        </is>
      </c>
      <c r="AF251" s="85" t="n">
        <v>13632</v>
      </c>
      <c r="AG251" s="85" t="n">
        <v>48375</v>
      </c>
      <c r="AH251" s="85" t="n">
        <v>19606</v>
      </c>
      <c r="AI251" s="85" t="n">
        <v>479843</v>
      </c>
      <c r="AJ251" s="85" t="n">
        <v>11459</v>
      </c>
      <c r="AK251" s="85" t="n">
        <v>7692</v>
      </c>
      <c r="AL251" s="85" t="n">
        <v>2607</v>
      </c>
      <c r="AM251" s="85" t="n">
        <v>1750</v>
      </c>
      <c r="AN251" s="85" t="n">
        <v>548</v>
      </c>
      <c r="AO251" s="85" t="n">
        <v>620</v>
      </c>
      <c r="AP251" s="91" t="inlineStr">
        <is>
          <t>N/A</t>
        </is>
      </c>
      <c r="AQ251" s="91" t="inlineStr">
        <is>
          <t>N/A</t>
        </is>
      </c>
      <c r="AR251" s="85" t="n">
        <v>11951</v>
      </c>
      <c r="AS251" s="85" t="n">
        <v>7140</v>
      </c>
      <c r="AT251" s="85" t="n">
        <v>17050</v>
      </c>
      <c r="AU251" s="91" t="inlineStr">
        <is>
          <t>N/A</t>
        </is>
      </c>
      <c r="AV251" s="85" t="n">
        <v>46030</v>
      </c>
      <c r="AW251" s="85" t="n">
        <v>42083</v>
      </c>
      <c r="AX251" s="85" t="n">
        <v>35964</v>
      </c>
      <c r="AY251" s="85" t="n">
        <v>18487</v>
      </c>
      <c r="AZ251" s="85" t="n">
        <v>-10066</v>
      </c>
      <c r="BA251" s="85" t="n">
        <v>8763</v>
      </c>
      <c r="BB251" s="85" t="n">
        <v>1994.9</v>
      </c>
      <c r="BC251" s="85" t="n">
        <v>1994.9</v>
      </c>
      <c r="BD251" s="85" t="n">
        <v>461</v>
      </c>
      <c r="BE251" s="85" t="n">
        <v>2128</v>
      </c>
      <c r="BF251" s="91" t="inlineStr">
        <is>
          <t>N/A</t>
        </is>
      </c>
      <c r="BG251" s="85" t="n">
        <v>652</v>
      </c>
      <c r="BH251" s="85" t="n">
        <v>24538</v>
      </c>
      <c r="BI251" s="85" t="n">
        <v>35431</v>
      </c>
      <c r="BJ251" s="91" t="inlineStr">
        <is>
          <t>N/A</t>
        </is>
      </c>
      <c r="BK251" s="91" t="inlineStr">
        <is>
          <t>N/A</t>
        </is>
      </c>
      <c r="BL251" s="91" t="inlineStr">
        <is>
          <t>N/A</t>
        </is>
      </c>
      <c r="BM251" s="91" t="inlineStr">
        <is>
          <t>N/A</t>
        </is>
      </c>
      <c r="BN251" s="91" t="inlineStr">
        <is>
          <t>N/A</t>
        </is>
      </c>
      <c r="BO251" s="91" t="inlineStr">
        <is>
          <t>N/A</t>
        </is>
      </c>
      <c r="BP251" s="91" t="inlineStr">
        <is>
          <t>N/A</t>
        </is>
      </c>
      <c r="BQ251" s="85" t="n">
        <v>0</v>
      </c>
      <c r="BR251" s="85" t="n">
        <v>0</v>
      </c>
      <c r="BS251" s="91" t="inlineStr">
        <is>
          <t>N/A</t>
        </is>
      </c>
      <c r="BT251" s="91" t="inlineStr">
        <is>
          <t>N/A</t>
        </is>
      </c>
      <c r="BU251" s="91" t="inlineStr">
        <is>
          <t>N/A</t>
        </is>
      </c>
      <c r="BV251" s="91" t="inlineStr">
        <is>
          <t>N/A</t>
        </is>
      </c>
      <c r="BW251" s="85" t="n">
        <v>0</v>
      </c>
      <c r="BX251" s="85" t="n">
        <v>0</v>
      </c>
      <c r="BY251" s="85" t="n">
        <v>0</v>
      </c>
    </row>
    <row r="252" ht="17" customHeight="1">
      <c r="A252" s="86" t="n">
        <v>250</v>
      </c>
      <c r="B252" s="87" t="inlineStr">
        <is>
          <t>MSI</t>
        </is>
      </c>
      <c r="C252" s="88" t="inlineStr">
        <is>
          <t>MOTOROLA SOLUTIONS, INC.</t>
        </is>
      </c>
      <c r="D252" s="86" t="inlineStr">
        <is>
          <t>Information Technology</t>
        </is>
      </c>
      <c r="E252" s="86" t="n">
        <v>2026</v>
      </c>
      <c r="F252" s="89" t="n">
        <v>19389</v>
      </c>
      <c r="G252" s="89" t="n">
        <v>6300</v>
      </c>
      <c r="H252" s="89" t="n">
        <v>6078</v>
      </c>
      <c r="I252" s="89" t="n">
        <v>19389</v>
      </c>
      <c r="J252" s="89" t="n">
        <v>2549</v>
      </c>
      <c r="K252" s="89" t="n">
        <v>2988</v>
      </c>
      <c r="L252" s="89" t="n">
        <v>6380</v>
      </c>
      <c r="M252" s="89" t="n">
        <v>2154</v>
      </c>
      <c r="N252" s="89" t="n">
        <v>2837</v>
      </c>
      <c r="O252" s="89" t="n">
        <v>6035</v>
      </c>
      <c r="P252" s="89" t="n">
        <v>1500</v>
      </c>
      <c r="Q252" s="89" t="n">
        <v>2410</v>
      </c>
      <c r="R252" s="89" t="n">
        <v>1870</v>
      </c>
      <c r="S252" s="89" t="n">
        <v>425</v>
      </c>
      <c r="T252" s="89" t="n">
        <v>2200</v>
      </c>
      <c r="U252" s="89" t="n">
        <v>1165</v>
      </c>
      <c r="V252" s="89" t="n">
        <v>360</v>
      </c>
      <c r="W252" s="89" t="n">
        <v>14595</v>
      </c>
      <c r="X252" s="89" t="n">
        <v>6479</v>
      </c>
      <c r="Y252" s="89" t="n">
        <v>5055</v>
      </c>
      <c r="Z252" s="89" t="n">
        <v>14595</v>
      </c>
      <c r="AA252" s="89" t="n">
        <v>2688</v>
      </c>
      <c r="AB252" s="89" t="n">
        <v>1957</v>
      </c>
      <c r="AC252" s="89" t="n">
        <v>1577</v>
      </c>
      <c r="AD252" s="89" t="n">
        <v>2391</v>
      </c>
      <c r="AE252" s="89" t="n">
        <v>5512</v>
      </c>
      <c r="AF252" s="89" t="n">
        <v>2800</v>
      </c>
      <c r="AG252" s="89" t="n">
        <v>1703</v>
      </c>
      <c r="AH252" s="89" t="n">
        <v>1645</v>
      </c>
      <c r="AI252" s="89" t="n">
        <v>14595</v>
      </c>
      <c r="AJ252" s="89" t="n">
        <v>2812</v>
      </c>
      <c r="AK252" s="89" t="n">
        <v>1972</v>
      </c>
      <c r="AL252" s="89" t="n">
        <v>652</v>
      </c>
      <c r="AM252" s="89" t="n">
        <v>390</v>
      </c>
      <c r="AN252" s="89" t="n">
        <v>265</v>
      </c>
      <c r="AO252" s="89" t="n">
        <v>257</v>
      </c>
      <c r="AP252" s="89" t="n">
        <v>983</v>
      </c>
      <c r="AQ252" s="89" t="n">
        <v>766</v>
      </c>
      <c r="AR252" s="89" t="n">
        <v>6800</v>
      </c>
      <c r="AS252" s="89" t="n">
        <v>3104</v>
      </c>
      <c r="AT252" s="89" t="n">
        <v>749</v>
      </c>
      <c r="AU252" s="89" t="n">
        <v>970</v>
      </c>
      <c r="AV252" s="89" t="n">
        <v>1165</v>
      </c>
      <c r="AW252" s="89" t="n">
        <v>2102</v>
      </c>
      <c r="AX252" s="89" t="n">
        <v>2249</v>
      </c>
      <c r="AY252" s="89" t="n">
        <v>2800</v>
      </c>
      <c r="AZ252" s="89" t="n">
        <v>1084</v>
      </c>
      <c r="BA252" s="89" t="n">
        <v>2572</v>
      </c>
      <c r="BB252" s="89" t="n">
        <v>165.7</v>
      </c>
      <c r="BC252" s="89" t="n">
        <v>167.1</v>
      </c>
      <c r="BD252" s="89" t="n">
        <v>1952</v>
      </c>
      <c r="BE252" s="89" t="n">
        <v>1022</v>
      </c>
      <c r="BF252" s="89" t="n">
        <v>1752</v>
      </c>
      <c r="BG252" s="89" t="n">
        <v>336</v>
      </c>
      <c r="BH252" s="89" t="n">
        <v>-5164</v>
      </c>
      <c r="BI252" s="89" t="n">
        <v>-507</v>
      </c>
      <c r="BJ252" s="89" t="n">
        <v>1134</v>
      </c>
      <c r="BK252" s="89" t="n">
        <v>1018</v>
      </c>
      <c r="BL252" s="89" t="n">
        <v>613</v>
      </c>
      <c r="BM252" s="89" t="n">
        <v>613</v>
      </c>
      <c r="BN252" s="89" t="n">
        <v>225</v>
      </c>
      <c r="BO252" s="89" t="n">
        <v>5647</v>
      </c>
      <c r="BP252" s="89" t="n">
        <v>5305</v>
      </c>
      <c r="BQ252" s="89" t="n">
        <v>0</v>
      </c>
      <c r="BR252" s="89" t="n">
        <v>0</v>
      </c>
      <c r="BS252" s="89" t="n">
        <v>0</v>
      </c>
      <c r="BT252" s="89" t="n">
        <v>0</v>
      </c>
      <c r="BU252" s="89" t="n">
        <v>0</v>
      </c>
      <c r="BV252" s="89" t="n">
        <v>0</v>
      </c>
      <c r="BW252" s="89" t="n">
        <v>0</v>
      </c>
      <c r="BX252" s="89" t="n">
        <v>0</v>
      </c>
      <c r="BY252" s="89" t="n">
        <v>0</v>
      </c>
    </row>
    <row r="253" ht="17" customHeight="1">
      <c r="A253" s="82" t="n">
        <v>251</v>
      </c>
      <c r="B253" s="83" t="inlineStr">
        <is>
          <t>MAR</t>
        </is>
      </c>
      <c r="C253" s="84" t="inlineStr">
        <is>
          <t>MARRIOTT INTERNATIONAL INC /MD/</t>
        </is>
      </c>
      <c r="D253" s="82" t="inlineStr">
        <is>
          <t>Consumer Discretionary</t>
        </is>
      </c>
      <c r="E253" s="82" t="n">
        <v>2026</v>
      </c>
      <c r="F253" s="85" t="n">
        <v>27540</v>
      </c>
      <c r="G253" s="85" t="n">
        <v>3584</v>
      </c>
      <c r="H253" s="85" t="n">
        <v>8398</v>
      </c>
      <c r="I253" s="85" t="n">
        <v>27540</v>
      </c>
      <c r="J253" s="85" t="n">
        <v>18414</v>
      </c>
      <c r="K253" s="85" t="n">
        <v>4141</v>
      </c>
      <c r="L253" s="85" t="n">
        <v>26186</v>
      </c>
      <c r="M253" s="85" t="n">
        <v>2601</v>
      </c>
      <c r="N253" s="85" t="n">
        <v>3212</v>
      </c>
      <c r="O253" s="91" t="inlineStr">
        <is>
          <t>N/A</t>
        </is>
      </c>
      <c r="P253" s="85" t="n">
        <v>23</v>
      </c>
      <c r="Q253" s="85" t="n">
        <v>-3771</v>
      </c>
      <c r="R253" s="85" t="n">
        <v>870</v>
      </c>
      <c r="S253" s="85" t="n">
        <v>178</v>
      </c>
      <c r="T253" s="91" t="inlineStr">
        <is>
          <t>N/A</t>
        </is>
      </c>
      <c r="U253" s="85" t="n">
        <v>1954</v>
      </c>
      <c r="V253" s="85" t="n">
        <v>565</v>
      </c>
      <c r="W253" s="85" t="n">
        <v>26182</v>
      </c>
      <c r="X253" s="85" t="n">
        <v>3485</v>
      </c>
      <c r="Y253" s="85" t="n">
        <v>8649</v>
      </c>
      <c r="Z253" s="85" t="n">
        <v>26182</v>
      </c>
      <c r="AA253" s="85" t="n">
        <v>3767</v>
      </c>
      <c r="AB253" s="85" t="n">
        <v>25100</v>
      </c>
      <c r="AC253" s="85" t="n">
        <v>2375</v>
      </c>
      <c r="AD253" s="85" t="n">
        <v>2749</v>
      </c>
      <c r="AE253" s="91" t="inlineStr">
        <is>
          <t>N/A</t>
        </is>
      </c>
      <c r="AF253" s="85" t="n">
        <v>55</v>
      </c>
      <c r="AG253" s="85" t="n">
        <v>-2992</v>
      </c>
      <c r="AH253" s="85" t="n">
        <v>25100</v>
      </c>
      <c r="AI253" s="85" t="n">
        <v>26182</v>
      </c>
      <c r="AJ253" s="85" t="n">
        <v>3394</v>
      </c>
      <c r="AK253" s="85" t="n">
        <v>3151</v>
      </c>
      <c r="AL253" s="85" t="n">
        <v>793</v>
      </c>
      <c r="AM253" s="85" t="n">
        <v>776</v>
      </c>
      <c r="AN253" s="85" t="n">
        <v>750</v>
      </c>
      <c r="AO253" s="85" t="n">
        <v>452</v>
      </c>
      <c r="AP253" s="85" t="n">
        <v>10</v>
      </c>
      <c r="AQ253" s="85" t="n">
        <v>11</v>
      </c>
      <c r="AR253" s="85" t="n">
        <v>8907</v>
      </c>
      <c r="AS253" s="85" t="n">
        <v>4188</v>
      </c>
      <c r="AT253" s="85" t="n">
        <v>355</v>
      </c>
      <c r="AU253" s="91" t="inlineStr">
        <is>
          <t>N/A</t>
        </is>
      </c>
      <c r="AV253" s="85" t="n">
        <v>358</v>
      </c>
      <c r="AW253" s="85" t="n">
        <v>396</v>
      </c>
      <c r="AX253" s="85" t="n">
        <v>378</v>
      </c>
      <c r="AY253" s="85" t="n">
        <v>55</v>
      </c>
      <c r="AZ253" s="85" t="n">
        <v>20</v>
      </c>
      <c r="BA253" s="85" t="n">
        <v>2462</v>
      </c>
      <c r="BB253" s="85" t="n">
        <v>265.9</v>
      </c>
      <c r="BC253" s="85" t="n">
        <v>276.7</v>
      </c>
      <c r="BD253" s="91" t="inlineStr">
        <is>
          <t>N/A</t>
        </is>
      </c>
      <c r="BE253" s="85" t="n">
        <v>1833</v>
      </c>
      <c r="BF253" s="85" t="n">
        <v>1074</v>
      </c>
      <c r="BG253" s="85" t="n">
        <v>185</v>
      </c>
      <c r="BH253" s="85" t="n">
        <v>-948</v>
      </c>
      <c r="BI253" s="85" t="n">
        <v>-734</v>
      </c>
      <c r="BJ253" s="85" t="n">
        <v>634</v>
      </c>
      <c r="BK253" s="85" t="n">
        <v>562</v>
      </c>
      <c r="BL253" s="91" t="inlineStr">
        <is>
          <t>N/A</t>
        </is>
      </c>
      <c r="BM253" s="91" t="inlineStr">
        <is>
          <t>N/A</t>
        </is>
      </c>
      <c r="BN253" s="91" t="inlineStr">
        <is>
          <t>N/A</t>
        </is>
      </c>
      <c r="BO253" s="91" t="inlineStr">
        <is>
          <t>N/A</t>
        </is>
      </c>
      <c r="BP253" s="91" t="inlineStr">
        <is>
          <t>N/A</t>
        </is>
      </c>
      <c r="BQ253" s="91" t="inlineStr">
        <is>
          <t>N/A</t>
        </is>
      </c>
      <c r="BR253" s="91" t="inlineStr">
        <is>
          <t>N/A</t>
        </is>
      </c>
      <c r="BS253" s="91" t="inlineStr">
        <is>
          <t>N/A</t>
        </is>
      </c>
      <c r="BT253" s="91" t="inlineStr">
        <is>
          <t>N/A</t>
        </is>
      </c>
      <c r="BU253" s="91" t="inlineStr">
        <is>
          <t>N/A</t>
        </is>
      </c>
      <c r="BV253" s="91" t="inlineStr">
        <is>
          <t>N/A</t>
        </is>
      </c>
      <c r="BW253" s="85" t="n">
        <v>0</v>
      </c>
      <c r="BX253" s="85" t="n">
        <v>0</v>
      </c>
      <c r="BY253" s="85" t="n">
        <v>0</v>
      </c>
    </row>
    <row r="254" ht="17" customHeight="1">
      <c r="A254" s="86" t="n">
        <v>252</v>
      </c>
      <c r="B254" s="87" t="inlineStr">
        <is>
          <t>HD</t>
        </is>
      </c>
      <c r="C254" s="88" t="inlineStr">
        <is>
          <t>HOME DEPOT, INC.</t>
        </is>
      </c>
      <c r="D254" s="86" t="inlineStr">
        <is>
          <t>Consumer Discretionary</t>
        </is>
      </c>
      <c r="E254" s="86" t="n">
        <v>2026</v>
      </c>
      <c r="F254" s="89" t="n">
        <v>105095</v>
      </c>
      <c r="G254" s="89" t="n">
        <v>34391</v>
      </c>
      <c r="H254" s="89" t="n">
        <v>32424</v>
      </c>
      <c r="I254" s="89" t="n">
        <v>92282</v>
      </c>
      <c r="J254" s="89" t="n">
        <v>94537</v>
      </c>
      <c r="K254" s="89" t="n">
        <v>20890</v>
      </c>
      <c r="L254" s="89" t="n">
        <v>66176</v>
      </c>
      <c r="M254" s="89" t="n">
        <v>14156</v>
      </c>
      <c r="N254" s="89" t="n">
        <v>16325</v>
      </c>
      <c r="O254" s="89" t="n">
        <v>54865</v>
      </c>
      <c r="P254" s="89" t="n">
        <v>49397</v>
      </c>
      <c r="Q254" s="89" t="n">
        <v>12813</v>
      </c>
      <c r="R254" s="89" t="n">
        <v>30702</v>
      </c>
      <c r="S254" s="89" t="n">
        <v>3273</v>
      </c>
      <c r="T254" s="89" t="n">
        <v>5597</v>
      </c>
      <c r="U254" s="89" t="n">
        <v>26702</v>
      </c>
      <c r="V254" s="89" t="n">
        <v>1943</v>
      </c>
      <c r="W254" s="89" t="n">
        <v>96119</v>
      </c>
      <c r="X254" s="89" t="n">
        <v>31683</v>
      </c>
      <c r="Y254" s="89" t="n">
        <v>28661</v>
      </c>
      <c r="Z254" s="89" t="n">
        <v>89479</v>
      </c>
      <c r="AA254" s="89" t="n">
        <v>21526</v>
      </c>
      <c r="AB254" s="89" t="n">
        <v>71288</v>
      </c>
      <c r="AC254" s="89" t="n">
        <v>14806</v>
      </c>
      <c r="AD254" s="89" t="n">
        <v>19810</v>
      </c>
      <c r="AE254" s="89" t="n">
        <v>53308</v>
      </c>
      <c r="AF254" s="89" t="n">
        <v>51365</v>
      </c>
      <c r="AG254" s="89" t="n">
        <v>6640</v>
      </c>
      <c r="AH254" s="89" t="n">
        <v>77349</v>
      </c>
      <c r="AI254" s="89" t="n">
        <v>96119</v>
      </c>
      <c r="AJ254" s="89" t="n">
        <v>18602</v>
      </c>
      <c r="AK254" s="89" t="n">
        <v>19406</v>
      </c>
      <c r="AL254" s="89" t="n">
        <v>4446</v>
      </c>
      <c r="AM254" s="89" t="n">
        <v>4600</v>
      </c>
      <c r="AN254" s="89" t="n">
        <v>3679</v>
      </c>
      <c r="AO254" s="89" t="n">
        <v>3485</v>
      </c>
      <c r="AP254" s="89" t="n">
        <v>25817</v>
      </c>
      <c r="AQ254" s="89" t="n">
        <v>23451</v>
      </c>
      <c r="AR254" s="89" t="n">
        <v>22344</v>
      </c>
      <c r="AS254" s="89" t="n">
        <v>9680</v>
      </c>
      <c r="AT254" s="89" t="n">
        <v>1042</v>
      </c>
      <c r="AU254" s="90" t="inlineStr">
        <is>
          <t>N/A</t>
        </is>
      </c>
      <c r="AV254" s="89" t="n">
        <v>1389</v>
      </c>
      <c r="AW254" s="89" t="n">
        <v>1659</v>
      </c>
      <c r="AX254" s="89" t="n">
        <v>50439</v>
      </c>
      <c r="AY254" s="89" t="n">
        <v>51365</v>
      </c>
      <c r="AZ254" s="89" t="n">
        <v>49050</v>
      </c>
      <c r="BA254" s="89" t="n">
        <v>12646</v>
      </c>
      <c r="BB254" s="89" t="n">
        <v>996</v>
      </c>
      <c r="BC254" s="89" t="n">
        <v>994</v>
      </c>
      <c r="BD254" s="89" t="n">
        <v>4903</v>
      </c>
      <c r="BE254" s="89" t="n">
        <v>26154</v>
      </c>
      <c r="BF254" s="89" t="n">
        <v>28748</v>
      </c>
      <c r="BG254" s="89" t="n">
        <v>3034</v>
      </c>
      <c r="BH254" s="89" t="n">
        <v>-8980</v>
      </c>
      <c r="BI254" s="89" t="n">
        <v>-21031</v>
      </c>
      <c r="BJ254" s="89" t="n">
        <v>11491</v>
      </c>
      <c r="BK254" s="89" t="n">
        <v>11938</v>
      </c>
      <c r="BL254" s="89" t="n">
        <v>2575</v>
      </c>
      <c r="BM254" s="89" t="n">
        <v>2610</v>
      </c>
      <c r="BN254" s="89" t="n">
        <v>114</v>
      </c>
      <c r="BO254" s="89" t="n">
        <v>109818</v>
      </c>
      <c r="BP254" s="89" t="n">
        <v>106206</v>
      </c>
      <c r="BQ254" s="89" t="n">
        <v>0</v>
      </c>
      <c r="BR254" s="89" t="n">
        <v>0</v>
      </c>
      <c r="BS254" s="89" t="n">
        <v>0</v>
      </c>
      <c r="BT254" s="89" t="n">
        <v>0</v>
      </c>
      <c r="BU254" s="89" t="n">
        <v>0</v>
      </c>
      <c r="BV254" s="89" t="n">
        <v>0</v>
      </c>
      <c r="BW254" s="89" t="n">
        <v>0</v>
      </c>
      <c r="BX254" s="89" t="n">
        <v>0</v>
      </c>
      <c r="BY254" s="89" t="n">
        <v>0</v>
      </c>
    </row>
    <row r="255" ht="17" customHeight="1">
      <c r="A255" s="82" t="n">
        <v>253</v>
      </c>
      <c r="B255" s="83" t="inlineStr">
        <is>
          <t>UPS</t>
        </is>
      </c>
      <c r="C255" s="84" t="inlineStr">
        <is>
          <t>United Parcel Service, Inc</t>
        </is>
      </c>
      <c r="D255" s="82" t="inlineStr">
        <is>
          <t>Industrials</t>
        </is>
      </c>
      <c r="E255" s="82" t="n">
        <v>2026</v>
      </c>
      <c r="F255" s="85" t="n">
        <v>73090</v>
      </c>
      <c r="G255" s="85" t="n">
        <v>19045</v>
      </c>
      <c r="H255" s="85" t="n">
        <v>15620</v>
      </c>
      <c r="I255" s="85" t="n">
        <v>73090</v>
      </c>
      <c r="J255" s="85" t="n">
        <v>20151</v>
      </c>
      <c r="K255" s="85" t="n">
        <v>7867</v>
      </c>
      <c r="L255" s="85" t="n">
        <v>65872</v>
      </c>
      <c r="M255" s="85" t="n">
        <v>5572</v>
      </c>
      <c r="N255" s="85" t="n">
        <v>8450</v>
      </c>
      <c r="O255" s="91" t="inlineStr">
        <is>
          <t>N/A</t>
        </is>
      </c>
      <c r="P255" s="85" t="n">
        <v>23585</v>
      </c>
      <c r="Q255" s="85" t="n">
        <v>16227</v>
      </c>
      <c r="R255" s="91" t="inlineStr">
        <is>
          <t>N/A</t>
        </is>
      </c>
      <c r="S255" s="85" t="n">
        <v>3746</v>
      </c>
      <c r="T255" s="85" t="n">
        <v>11209</v>
      </c>
      <c r="U255" s="85" t="n">
        <v>34719</v>
      </c>
      <c r="V255" s="85" t="n">
        <v>785</v>
      </c>
      <c r="W255" s="85" t="n">
        <v>70070</v>
      </c>
      <c r="X255" s="85" t="n">
        <v>19310</v>
      </c>
      <c r="Y255" s="85" t="n">
        <v>16441</v>
      </c>
      <c r="Z255" s="85" t="n">
        <v>70070</v>
      </c>
      <c r="AA255" s="85" t="n">
        <v>8468</v>
      </c>
      <c r="AB255" s="85" t="n">
        <v>18829</v>
      </c>
      <c r="AC255" s="85" t="n">
        <v>5782</v>
      </c>
      <c r="AD255" s="85" t="n">
        <v>10122</v>
      </c>
      <c r="AE255" s="91" t="inlineStr">
        <is>
          <t>N/A</t>
        </is>
      </c>
      <c r="AF255" s="85" t="n">
        <v>21030</v>
      </c>
      <c r="AG255" s="85" t="n">
        <v>16718</v>
      </c>
      <c r="AH255" s="85" t="n">
        <v>15978</v>
      </c>
      <c r="AI255" s="85" t="n">
        <v>70070</v>
      </c>
      <c r="AJ255" s="85" t="n">
        <v>7164</v>
      </c>
      <c r="AK255" s="85" t="n">
        <v>7442</v>
      </c>
      <c r="AL255" s="85" t="n">
        <v>1592</v>
      </c>
      <c r="AM255" s="85" t="n">
        <v>1660</v>
      </c>
      <c r="AN255" s="85" t="n">
        <v>3685</v>
      </c>
      <c r="AO255" s="85" t="n">
        <v>3909</v>
      </c>
      <c r="AP255" s="85" t="n">
        <v>739</v>
      </c>
      <c r="AQ255" s="85" t="n">
        <v>826</v>
      </c>
      <c r="AR255" s="85" t="n">
        <v>5837</v>
      </c>
      <c r="AS255" s="85" t="n">
        <v>4016</v>
      </c>
      <c r="AT255" s="85" t="n">
        <v>608</v>
      </c>
      <c r="AU255" s="91" t="inlineStr">
        <is>
          <t>N/A</t>
        </is>
      </c>
      <c r="AV255" s="85" t="n">
        <v>5887</v>
      </c>
      <c r="AW255" s="85" t="n">
        <v>6112</v>
      </c>
      <c r="AX255" s="85" t="n">
        <v>24193</v>
      </c>
      <c r="AY255" s="85" t="n">
        <v>22868</v>
      </c>
      <c r="AZ255" s="85" t="n">
        <v>18306</v>
      </c>
      <c r="BA255" s="85" t="n">
        <v>4765</v>
      </c>
      <c r="BB255" s="91" t="inlineStr">
        <is>
          <t>N/A</t>
        </is>
      </c>
      <c r="BC255" s="91" t="inlineStr">
        <is>
          <t>N/A</t>
        </is>
      </c>
      <c r="BD255" s="85" t="n">
        <v>10871</v>
      </c>
      <c r="BE255" s="85" t="n">
        <v>33475</v>
      </c>
      <c r="BF255" s="91" t="inlineStr">
        <is>
          <t>N/A</t>
        </is>
      </c>
      <c r="BG255" s="85" t="n">
        <v>3609</v>
      </c>
      <c r="BH255" s="85" t="n">
        <v>-4735</v>
      </c>
      <c r="BI255" s="85" t="n">
        <v>-217</v>
      </c>
      <c r="BJ255" s="85" t="n">
        <v>6633</v>
      </c>
      <c r="BK255" s="85" t="n">
        <v>6302</v>
      </c>
      <c r="BL255" s="85" t="n">
        <v>314</v>
      </c>
      <c r="BM255" s="85" t="n">
        <v>279</v>
      </c>
      <c r="BN255" s="85" t="n">
        <v>258</v>
      </c>
      <c r="BO255" s="91" t="inlineStr">
        <is>
          <t>N/A</t>
        </is>
      </c>
      <c r="BP255" s="91" t="inlineStr">
        <is>
          <t>N/A</t>
        </is>
      </c>
      <c r="BQ255" s="85" t="n">
        <v>0</v>
      </c>
      <c r="BR255" s="85" t="n">
        <v>0</v>
      </c>
      <c r="BS255" s="91" t="inlineStr">
        <is>
          <t>N/A</t>
        </is>
      </c>
      <c r="BT255" s="91" t="inlineStr">
        <is>
          <t>N/A</t>
        </is>
      </c>
      <c r="BU255" s="91" t="inlineStr">
        <is>
          <t>N/A</t>
        </is>
      </c>
      <c r="BV255" s="91" t="inlineStr">
        <is>
          <t>N/A</t>
        </is>
      </c>
      <c r="BW255" s="85" t="n">
        <v>0</v>
      </c>
      <c r="BX255" s="85" t="n">
        <v>0</v>
      </c>
      <c r="BY255" s="85" t="n">
        <v>0</v>
      </c>
    </row>
    <row r="256" ht="17" customHeight="1">
      <c r="A256" s="86" t="n">
        <v>254</v>
      </c>
      <c r="B256" s="87" t="inlineStr">
        <is>
          <t>HUBB</t>
        </is>
      </c>
      <c r="C256" s="88" t="inlineStr">
        <is>
          <t>HUBBELL INC</t>
        </is>
      </c>
      <c r="D256" s="86" t="inlineStr">
        <is>
          <t>Industrials</t>
        </is>
      </c>
      <c r="E256" s="86" t="n">
        <v>2026</v>
      </c>
      <c r="F256" s="89" t="n">
        <v>8228.799999999999</v>
      </c>
      <c r="G256" s="89" t="n">
        <v>2594</v>
      </c>
      <c r="H256" s="89" t="n">
        <v>1508.7</v>
      </c>
      <c r="I256" s="89" t="n">
        <v>4370.9</v>
      </c>
      <c r="J256" s="89" t="n">
        <v>4155.7</v>
      </c>
      <c r="K256" s="89" t="n">
        <v>1208.8</v>
      </c>
      <c r="L256" s="89" t="n">
        <v>5844.6</v>
      </c>
      <c r="M256" s="89" t="n">
        <v>887.1</v>
      </c>
      <c r="N256" s="89" t="n">
        <v>1029.8</v>
      </c>
      <c r="O256" s="89" t="n">
        <v>2064.1</v>
      </c>
      <c r="P256" s="89" t="n">
        <v>1442.7</v>
      </c>
      <c r="Q256" s="89" t="n">
        <v>3847.9</v>
      </c>
      <c r="R256" s="89" t="n">
        <v>855.3</v>
      </c>
      <c r="S256" s="89" t="n">
        <v>206.1</v>
      </c>
      <c r="T256" s="89" t="n">
        <v>856.9</v>
      </c>
      <c r="U256" s="89" t="n">
        <v>841.2</v>
      </c>
      <c r="V256" s="89" t="n">
        <v>60.3</v>
      </c>
      <c r="W256" s="89" t="n">
        <v>6679.1</v>
      </c>
      <c r="X256" s="89" t="n">
        <v>2089.3</v>
      </c>
      <c r="Y256" s="89" t="n">
        <v>1274.2</v>
      </c>
      <c r="Z256" s="89" t="n">
        <v>3396.4</v>
      </c>
      <c r="AA256" s="89" t="n">
        <v>1091.6</v>
      </c>
      <c r="AB256" s="89" t="n">
        <v>1492.7</v>
      </c>
      <c r="AC256" s="89" t="n">
        <v>224.2</v>
      </c>
      <c r="AD256" s="89" t="n">
        <v>991.2</v>
      </c>
      <c r="AE256" s="89" t="n">
        <v>525.1</v>
      </c>
      <c r="AF256" s="89" t="n">
        <v>2038.2</v>
      </c>
      <c r="AG256" s="89" t="n">
        <v>3268.3</v>
      </c>
      <c r="AH256" s="89" t="n">
        <v>1502.4</v>
      </c>
      <c r="AI256" s="89" t="n">
        <v>6847.7</v>
      </c>
      <c r="AJ256" s="89" t="n">
        <v>1119.1</v>
      </c>
      <c r="AK256" s="89" t="n">
        <v>1005.3</v>
      </c>
      <c r="AL256" s="89" t="n">
        <v>227.2</v>
      </c>
      <c r="AM256" s="89" t="n">
        <v>221.8</v>
      </c>
      <c r="AN256" s="89" t="n">
        <v>155.1</v>
      </c>
      <c r="AO256" s="89" t="n">
        <v>180.4</v>
      </c>
      <c r="AP256" s="89" t="n">
        <v>1083.8</v>
      </c>
      <c r="AQ256" s="89" t="n">
        <v>841.8</v>
      </c>
      <c r="AR256" s="89" t="n">
        <v>3060.8</v>
      </c>
      <c r="AS256" s="89" t="n">
        <v>1394.3</v>
      </c>
      <c r="AT256" s="89" t="n">
        <v>56.1</v>
      </c>
      <c r="AU256" s="90" t="inlineStr">
        <is>
          <t>N/A</t>
        </is>
      </c>
      <c r="AV256" s="89" t="n">
        <v>482.5</v>
      </c>
      <c r="AW256" s="89" t="n">
        <v>329.1</v>
      </c>
      <c r="AX256" s="89" t="n">
        <v>1498.8</v>
      </c>
      <c r="AY256" s="89" t="n">
        <v>2106.3</v>
      </c>
      <c r="AZ256" s="89" t="n">
        <v>1016.3</v>
      </c>
      <c r="BA256" s="89" t="n">
        <v>874.7</v>
      </c>
      <c r="BB256" s="89" t="n">
        <v>53.3</v>
      </c>
      <c r="BC256" s="89" t="n">
        <v>53.8</v>
      </c>
      <c r="BD256" s="89" t="n">
        <v>756</v>
      </c>
      <c r="BE256" s="89" t="n">
        <v>726.6</v>
      </c>
      <c r="BF256" s="89" t="n">
        <v>213.6</v>
      </c>
      <c r="BG256" s="89" t="n">
        <v>212.1</v>
      </c>
      <c r="BH256" s="89" t="n">
        <v>-1094.6</v>
      </c>
      <c r="BI256" s="89" t="n">
        <v>-59.1</v>
      </c>
      <c r="BJ256" s="89" t="n">
        <v>570.5</v>
      </c>
      <c r="BK256" s="89" t="n">
        <v>541.7</v>
      </c>
      <c r="BL256" s="89" t="n">
        <v>10.2</v>
      </c>
      <c r="BM256" s="89" t="n">
        <v>11.8</v>
      </c>
      <c r="BN256" s="89" t="n">
        <v>27.5</v>
      </c>
      <c r="BO256" s="89" t="n">
        <v>3780.5</v>
      </c>
      <c r="BP256" s="89" t="n">
        <v>967.6</v>
      </c>
      <c r="BQ256" s="89" t="n">
        <v>0</v>
      </c>
      <c r="BR256" s="89" t="n">
        <v>0</v>
      </c>
      <c r="BS256" s="89" t="n">
        <v>0</v>
      </c>
      <c r="BT256" s="89" t="n">
        <v>0</v>
      </c>
      <c r="BU256" s="89" t="n">
        <v>0</v>
      </c>
      <c r="BV256" s="89" t="n">
        <v>0</v>
      </c>
      <c r="BW256" s="89" t="n">
        <v>0</v>
      </c>
      <c r="BX256" s="89" t="n">
        <v>0</v>
      </c>
      <c r="BY256" s="89" t="n">
        <v>0</v>
      </c>
    </row>
    <row r="257" ht="17" customHeight="1">
      <c r="A257" s="82" t="n">
        <v>255</v>
      </c>
      <c r="B257" s="83" t="inlineStr">
        <is>
          <t>PODD</t>
        </is>
      </c>
      <c r="C257" s="84" t="inlineStr">
        <is>
          <t>INSULET CORPORATION</t>
        </is>
      </c>
      <c r="D257" s="82" t="inlineStr">
        <is>
          <t>Health Care</t>
        </is>
      </c>
      <c r="E257" s="82" t="n">
        <v>2026</v>
      </c>
      <c r="F257" s="85" t="n">
        <v>3190.4</v>
      </c>
      <c r="G257" s="85" t="n">
        <v>1914</v>
      </c>
      <c r="H257" s="85" t="n">
        <v>680.1</v>
      </c>
      <c r="I257" s="85" t="n">
        <v>1675.2</v>
      </c>
      <c r="J257" s="85" t="n">
        <v>287.4</v>
      </c>
      <c r="K257" s="85" t="n">
        <v>473.8</v>
      </c>
      <c r="L257" s="85" t="n">
        <v>2708.1</v>
      </c>
      <c r="M257" s="85" t="n">
        <v>247.1</v>
      </c>
      <c r="N257" s="85" t="n">
        <v>569.3</v>
      </c>
      <c r="O257" s="85" t="n">
        <v>1939.9</v>
      </c>
      <c r="P257" s="85" t="n">
        <v>1401.8</v>
      </c>
      <c r="Q257" s="85" t="n">
        <v>1515.2</v>
      </c>
      <c r="R257" s="85" t="n">
        <v>1165</v>
      </c>
      <c r="S257" s="85" t="n">
        <v>90.40000000000001</v>
      </c>
      <c r="T257" s="85" t="n">
        <v>140.9</v>
      </c>
      <c r="U257" s="85" t="n">
        <v>599.9</v>
      </c>
      <c r="V257" s="85" t="n">
        <v>36.2</v>
      </c>
      <c r="W257" s="85" t="n">
        <v>3087.7</v>
      </c>
      <c r="X257" s="85" t="n">
        <v>1891.3</v>
      </c>
      <c r="Y257" s="85" t="n">
        <v>528.4</v>
      </c>
      <c r="Z257" s="85" t="n">
        <v>1876.1</v>
      </c>
      <c r="AA257" s="85" t="n">
        <v>308.9</v>
      </c>
      <c r="AB257" s="85" t="n">
        <v>2071.6</v>
      </c>
      <c r="AC257" s="85" t="n">
        <v>418.3</v>
      </c>
      <c r="AD257" s="85" t="n">
        <v>430.3</v>
      </c>
      <c r="AE257" s="85" t="n">
        <v>1445.7</v>
      </c>
      <c r="AF257" s="85" t="n">
        <v>1273.9</v>
      </c>
      <c r="AG257" s="85" t="n">
        <v>1211.6</v>
      </c>
      <c r="AH257" s="85" t="n">
        <v>2071.6</v>
      </c>
      <c r="AI257" s="85" t="n">
        <v>3087.7</v>
      </c>
      <c r="AJ257" s="85" t="n">
        <v>339.5</v>
      </c>
      <c r="AK257" s="85" t="n">
        <v>300.2</v>
      </c>
      <c r="AL257" s="85" t="n">
        <v>92.40000000000001</v>
      </c>
      <c r="AM257" s="85" t="n">
        <v>-118.1</v>
      </c>
      <c r="AN257" s="85" t="n">
        <v>191.6</v>
      </c>
      <c r="AO257" s="85" t="n">
        <v>124.9</v>
      </c>
      <c r="AP257" s="85" t="n">
        <v>452.6</v>
      </c>
      <c r="AQ257" s="85" t="n">
        <v>430.4</v>
      </c>
      <c r="AR257" s="85" t="n">
        <v>51.6</v>
      </c>
      <c r="AS257" s="85" t="n">
        <v>117.1</v>
      </c>
      <c r="AT257" s="85" t="n">
        <v>18.4</v>
      </c>
      <c r="AU257" s="85" t="n">
        <v>301.1</v>
      </c>
      <c r="AV257" s="85" t="n">
        <v>907.2</v>
      </c>
      <c r="AW257" s="85" t="n">
        <v>213.7</v>
      </c>
      <c r="AX257" s="85" t="n">
        <v>1420.2</v>
      </c>
      <c r="AY257" s="85" t="n">
        <v>1273.9</v>
      </c>
      <c r="AZ257" s="85" t="n">
        <v>513</v>
      </c>
      <c r="BA257" s="85" t="n">
        <v>377.7</v>
      </c>
      <c r="BB257" s="85" t="n">
        <v>70.40000000000001</v>
      </c>
      <c r="BC257" s="85" t="n">
        <v>70.2</v>
      </c>
      <c r="BD257" s="85" t="n">
        <v>161</v>
      </c>
      <c r="BE257" s="85" t="n">
        <v>536.5</v>
      </c>
      <c r="BF257" s="85" t="n">
        <v>917.2</v>
      </c>
      <c r="BG257" s="85" t="n">
        <v>80.8</v>
      </c>
      <c r="BH257" s="85" t="n">
        <v>-222.7</v>
      </c>
      <c r="BI257" s="85" t="n">
        <v>-146.2</v>
      </c>
      <c r="BJ257" s="85" t="n">
        <v>75</v>
      </c>
      <c r="BK257" s="85" t="n">
        <v>19.8</v>
      </c>
      <c r="BL257" s="85" t="n">
        <v>2.4</v>
      </c>
      <c r="BM257" s="85" t="n">
        <v>1.3</v>
      </c>
      <c r="BN257" s="85" t="n">
        <v>3.8</v>
      </c>
      <c r="BO257" s="85" t="n">
        <v>768.2</v>
      </c>
      <c r="BP257" s="85" t="n">
        <v>625.9</v>
      </c>
      <c r="BQ257" s="85" t="n">
        <v>0</v>
      </c>
      <c r="BR257" s="85" t="n">
        <v>0</v>
      </c>
      <c r="BS257" s="85" t="n">
        <v>0</v>
      </c>
      <c r="BT257" s="85" t="n">
        <v>0</v>
      </c>
      <c r="BU257" s="85" t="n">
        <v>0</v>
      </c>
      <c r="BV257" s="85" t="n">
        <v>0</v>
      </c>
      <c r="BW257" s="85" t="n">
        <v>0</v>
      </c>
      <c r="BX257" s="85" t="n">
        <v>0</v>
      </c>
      <c r="BY257" s="85" t="n">
        <v>0</v>
      </c>
    </row>
    <row r="258" ht="17" customHeight="1">
      <c r="A258" s="86" t="n">
        <v>256</v>
      </c>
      <c r="B258" s="87" t="inlineStr">
        <is>
          <t>CMS</t>
        </is>
      </c>
      <c r="C258" s="88" t="inlineStr">
        <is>
          <t>CMS ENERGY CORP</t>
        </is>
      </c>
      <c r="D258" s="86" t="inlineStr">
        <is>
          <t>Utilities</t>
        </is>
      </c>
      <c r="E258" s="86" t="n">
        <v>2026</v>
      </c>
      <c r="F258" s="89" t="n">
        <v>39941</v>
      </c>
      <c r="G258" s="89" t="n">
        <v>3472</v>
      </c>
      <c r="H258" s="89" t="n">
        <v>3548</v>
      </c>
      <c r="I258" s="89" t="n">
        <v>39941</v>
      </c>
      <c r="J258" s="89" t="n">
        <v>2443</v>
      </c>
      <c r="K258" s="89" t="n">
        <v>1727</v>
      </c>
      <c r="L258" s="89" t="n">
        <v>8539</v>
      </c>
      <c r="M258" s="89" t="n">
        <v>1071</v>
      </c>
      <c r="N258" s="89" t="n">
        <v>2235</v>
      </c>
      <c r="O258" s="89" t="n">
        <v>2512</v>
      </c>
      <c r="P258" s="89" t="n">
        <v>7642</v>
      </c>
      <c r="Q258" s="89" t="n">
        <v>9144</v>
      </c>
      <c r="R258" s="90" t="inlineStr">
        <is>
          <t>N/A</t>
        </is>
      </c>
      <c r="S258" s="89" t="n">
        <v>1306</v>
      </c>
      <c r="T258" s="89" t="n">
        <v>1564</v>
      </c>
      <c r="U258" s="89" t="n">
        <v>30680</v>
      </c>
      <c r="V258" s="89" t="n">
        <v>643</v>
      </c>
      <c r="W258" s="89" t="n">
        <v>35920</v>
      </c>
      <c r="X258" s="89" t="n">
        <v>2790</v>
      </c>
      <c r="Y258" s="89" t="n">
        <v>3521</v>
      </c>
      <c r="Z258" s="89" t="n">
        <v>35920</v>
      </c>
      <c r="AA258" s="89" t="n">
        <v>1487</v>
      </c>
      <c r="AB258" s="89" t="n">
        <v>7515</v>
      </c>
      <c r="AC258" s="89" t="n">
        <v>1003</v>
      </c>
      <c r="AD258" s="89" t="n">
        <v>2370</v>
      </c>
      <c r="AE258" s="89" t="n">
        <v>2091</v>
      </c>
      <c r="AF258" s="89" t="n">
        <v>7229</v>
      </c>
      <c r="AG258" s="89" t="n">
        <v>8230</v>
      </c>
      <c r="AH258" s="89" t="n">
        <v>7515</v>
      </c>
      <c r="AI258" s="89" t="n">
        <v>35920</v>
      </c>
      <c r="AJ258" s="89" t="n">
        <v>1248</v>
      </c>
      <c r="AK258" s="89" t="n">
        <v>1123</v>
      </c>
      <c r="AL258" s="89" t="n">
        <v>246</v>
      </c>
      <c r="AM258" s="89" t="n">
        <v>176</v>
      </c>
      <c r="AN258" s="89" t="n">
        <v>2374</v>
      </c>
      <c r="AO258" s="89" t="n">
        <v>2076</v>
      </c>
      <c r="AP258" s="90" t="inlineStr">
        <is>
          <t>N/A</t>
        </is>
      </c>
      <c r="AQ258" s="90" t="inlineStr">
        <is>
          <t>N/A</t>
        </is>
      </c>
      <c r="AR258" s="90" t="inlineStr">
        <is>
          <t>N/A</t>
        </is>
      </c>
      <c r="AS258" s="90" t="inlineStr">
        <is>
          <t>N/A</t>
        </is>
      </c>
      <c r="AT258" s="90" t="inlineStr">
        <is>
          <t>N/A</t>
        </is>
      </c>
      <c r="AU258" s="90" t="inlineStr">
        <is>
          <t>N/A</t>
        </is>
      </c>
      <c r="AV258" s="89" t="n">
        <v>509</v>
      </c>
      <c r="AW258" s="89" t="n">
        <v>103</v>
      </c>
      <c r="AX258" s="89" t="n">
        <v>7642</v>
      </c>
      <c r="AY258" s="89" t="n">
        <v>7294</v>
      </c>
      <c r="AZ258" s="89" t="n">
        <v>7133</v>
      </c>
      <c r="BA258" s="89" t="n">
        <v>-139</v>
      </c>
      <c r="BB258" s="89" t="n">
        <v>306.4</v>
      </c>
      <c r="BC258" s="89" t="n">
        <v>298.8</v>
      </c>
      <c r="BD258" s="89" t="n">
        <v>931</v>
      </c>
      <c r="BE258" s="89" t="n">
        <v>27461</v>
      </c>
      <c r="BF258" s="90" t="inlineStr">
        <is>
          <t>N/A</t>
        </is>
      </c>
      <c r="BG258" s="89" t="n">
        <v>1240</v>
      </c>
      <c r="BH258" s="89" t="n">
        <v>-4038</v>
      </c>
      <c r="BI258" s="89" t="n">
        <v>-3054</v>
      </c>
      <c r="BJ258" s="89" t="n">
        <v>928</v>
      </c>
      <c r="BK258" s="89" t="n">
        <v>875</v>
      </c>
      <c r="BL258" s="90" t="inlineStr">
        <is>
          <t>N/A</t>
        </is>
      </c>
      <c r="BM258" s="90" t="inlineStr">
        <is>
          <t>N/A</t>
        </is>
      </c>
      <c r="BN258" s="89" t="n">
        <v>708</v>
      </c>
      <c r="BO258" s="89" t="n">
        <v>6027</v>
      </c>
      <c r="BP258" s="89" t="n">
        <v>5424</v>
      </c>
      <c r="BQ258" s="89" t="n">
        <v>0</v>
      </c>
      <c r="BR258" s="89" t="n">
        <v>0</v>
      </c>
      <c r="BS258" s="90" t="inlineStr">
        <is>
          <t>N/A</t>
        </is>
      </c>
      <c r="BT258" s="90" t="inlineStr">
        <is>
          <t>N/A</t>
        </is>
      </c>
      <c r="BU258" s="89" t="n">
        <v>0</v>
      </c>
      <c r="BV258" s="89" t="n">
        <v>0</v>
      </c>
      <c r="BW258" s="89" t="n">
        <v>0</v>
      </c>
      <c r="BX258" s="89" t="n">
        <v>0</v>
      </c>
      <c r="BY258" s="89" t="n">
        <v>0</v>
      </c>
    </row>
    <row r="259" ht="17" customHeight="1">
      <c r="A259" s="82" t="n">
        <v>257</v>
      </c>
      <c r="B259" s="83" t="inlineStr">
        <is>
          <t>PRU</t>
        </is>
      </c>
      <c r="C259" s="84" t="inlineStr">
        <is>
          <t>PRUDENTIAL FINANCIAL INC</t>
        </is>
      </c>
      <c r="D259" s="82" t="inlineStr">
        <is>
          <t>Financials</t>
        </is>
      </c>
      <c r="E259" s="82" t="n">
        <v>2026</v>
      </c>
      <c r="F259" s="85" t="n">
        <v>773740</v>
      </c>
      <c r="G259" s="91" t="inlineStr">
        <is>
          <t>N/A</t>
        </is>
      </c>
      <c r="H259" s="91" t="inlineStr">
        <is>
          <t>N/A</t>
        </is>
      </c>
      <c r="I259" s="85" t="n">
        <v>738159</v>
      </c>
      <c r="J259" s="85" t="n">
        <v>34831</v>
      </c>
      <c r="K259" s="91" t="inlineStr">
        <is>
          <t>N/A</t>
        </is>
      </c>
      <c r="L259" s="85" t="n">
        <v>60774</v>
      </c>
      <c r="M259" s="85" t="n">
        <v>3576</v>
      </c>
      <c r="N259" s="85" t="n">
        <v>6271</v>
      </c>
      <c r="O259" s="85" t="n">
        <v>4656</v>
      </c>
      <c r="P259" s="85" t="n">
        <v>18856</v>
      </c>
      <c r="Q259" s="85" t="n">
        <v>32438</v>
      </c>
      <c r="R259" s="85" t="n">
        <v>8991</v>
      </c>
      <c r="S259" s="85" t="n">
        <v>222</v>
      </c>
      <c r="T259" s="91" t="inlineStr">
        <is>
          <t>N/A</t>
        </is>
      </c>
      <c r="U259" s="91" t="inlineStr">
        <is>
          <t>N/A</t>
        </is>
      </c>
      <c r="V259" s="85" t="n">
        <v>2030</v>
      </c>
      <c r="W259" s="85" t="n">
        <v>735587</v>
      </c>
      <c r="X259" s="91" t="inlineStr">
        <is>
          <t>N/A</t>
        </is>
      </c>
      <c r="Y259" s="91" t="inlineStr">
        <is>
          <t>N/A</t>
        </is>
      </c>
      <c r="Z259" s="85" t="n">
        <v>705461</v>
      </c>
      <c r="AA259" s="91" t="inlineStr">
        <is>
          <t>N/A</t>
        </is>
      </c>
      <c r="AB259" s="85" t="n">
        <v>70405</v>
      </c>
      <c r="AC259" s="85" t="n">
        <v>2727</v>
      </c>
      <c r="AD259" s="85" t="n">
        <v>8502</v>
      </c>
      <c r="AE259" s="85" t="n">
        <v>3209</v>
      </c>
      <c r="AF259" s="85" t="n">
        <v>19187</v>
      </c>
      <c r="AG259" s="85" t="n">
        <v>27872</v>
      </c>
      <c r="AH259" s="85" t="n">
        <v>70405</v>
      </c>
      <c r="AI259" s="85" t="n">
        <v>735587</v>
      </c>
      <c r="AJ259" s="85" t="n">
        <v>2184</v>
      </c>
      <c r="AK259" s="91" t="inlineStr">
        <is>
          <t>N/A</t>
        </is>
      </c>
      <c r="AL259" s="85" t="n">
        <v>1053</v>
      </c>
      <c r="AM259" s="85" t="n">
        <v>507</v>
      </c>
      <c r="AN259" s="91" t="inlineStr">
        <is>
          <t>N/A</t>
        </is>
      </c>
      <c r="AO259" s="91" t="inlineStr">
        <is>
          <t>N/A</t>
        </is>
      </c>
      <c r="AP259" s="91" t="inlineStr">
        <is>
          <t>N/A</t>
        </is>
      </c>
      <c r="AQ259" s="91" t="inlineStr">
        <is>
          <t>N/A</t>
        </is>
      </c>
      <c r="AR259" s="85" t="n">
        <v>1090</v>
      </c>
      <c r="AS259" s="85" t="n">
        <v>390</v>
      </c>
      <c r="AT259" s="85" t="n">
        <v>1443</v>
      </c>
      <c r="AU259" s="91" t="inlineStr">
        <is>
          <t>N/A</t>
        </is>
      </c>
      <c r="AV259" s="85" t="n">
        <v>19712</v>
      </c>
      <c r="AW259" s="85" t="n">
        <v>18497</v>
      </c>
      <c r="AX259" s="85" t="n">
        <v>20299</v>
      </c>
      <c r="AY259" s="85" t="n">
        <v>20140</v>
      </c>
      <c r="AZ259" s="85" t="n">
        <v>587</v>
      </c>
      <c r="BA259" s="91" t="inlineStr">
        <is>
          <t>N/A</t>
        </is>
      </c>
      <c r="BB259" s="85" t="n">
        <v>666.3</v>
      </c>
      <c r="BC259" s="85" t="n">
        <v>666.3</v>
      </c>
      <c r="BD259" s="91" t="inlineStr">
        <is>
          <t>N/A</t>
        </is>
      </c>
      <c r="BE259" s="91" t="inlineStr">
        <is>
          <t>N/A</t>
        </is>
      </c>
      <c r="BF259" s="85" t="n">
        <v>9274</v>
      </c>
      <c r="BG259" s="85" t="n">
        <v>318</v>
      </c>
      <c r="BH259" s="85" t="n">
        <v>-25892</v>
      </c>
      <c r="BI259" s="85" t="n">
        <v>-28585</v>
      </c>
      <c r="BJ259" s="91" t="inlineStr">
        <is>
          <t>N/A</t>
        </is>
      </c>
      <c r="BK259" s="91" t="inlineStr">
        <is>
          <t>N/A</t>
        </is>
      </c>
      <c r="BL259" s="91" t="inlineStr">
        <is>
          <t>N/A</t>
        </is>
      </c>
      <c r="BM259" s="91" t="inlineStr">
        <is>
          <t>N/A</t>
        </is>
      </c>
      <c r="BN259" s="91" t="inlineStr">
        <is>
          <t>N/A</t>
        </is>
      </c>
      <c r="BO259" s="85" t="n">
        <v>56118</v>
      </c>
      <c r="BP259" s="85" t="n">
        <v>67196</v>
      </c>
      <c r="BQ259" s="91" t="inlineStr">
        <is>
          <t>N/A</t>
        </is>
      </c>
      <c r="BR259" s="91" t="inlineStr">
        <is>
          <t>N/A</t>
        </is>
      </c>
      <c r="BS259" s="91" t="inlineStr">
        <is>
          <t>N/A</t>
        </is>
      </c>
      <c r="BT259" s="91" t="inlineStr">
        <is>
          <t>N/A</t>
        </is>
      </c>
      <c r="BU259" s="91" t="inlineStr">
        <is>
          <t>N/A</t>
        </is>
      </c>
      <c r="BV259" s="91" t="inlineStr">
        <is>
          <t>N/A</t>
        </is>
      </c>
      <c r="BW259" s="85" t="n">
        <v>0</v>
      </c>
      <c r="BX259" s="85" t="n">
        <v>0</v>
      </c>
      <c r="BY259" s="85" t="n">
        <v>0</v>
      </c>
    </row>
    <row r="260" ht="17" customHeight="1">
      <c r="A260" s="86" t="n">
        <v>258</v>
      </c>
      <c r="B260" s="87" t="inlineStr">
        <is>
          <t>NTRA</t>
        </is>
      </c>
      <c r="C260" s="88" t="inlineStr">
        <is>
          <t>NATERA, INC.</t>
        </is>
      </c>
      <c r="D260" s="86" t="inlineStr">
        <is>
          <t>Health Care</t>
        </is>
      </c>
      <c r="E260" s="86" t="n">
        <v>2026</v>
      </c>
      <c r="F260" s="89" t="n">
        <v>2398.3</v>
      </c>
      <c r="G260" s="89" t="n">
        <v>1496.9</v>
      </c>
      <c r="H260" s="89" t="n">
        <v>441.2</v>
      </c>
      <c r="I260" s="89" t="n">
        <v>685.9</v>
      </c>
      <c r="J260" s="89" t="n">
        <v>-2776</v>
      </c>
      <c r="K260" s="89" t="n">
        <v>-309.9</v>
      </c>
      <c r="L260" s="89" t="n">
        <v>210.9</v>
      </c>
      <c r="M260" s="89" t="n">
        <v>-208.2</v>
      </c>
      <c r="N260" s="89" t="n">
        <v>215.3</v>
      </c>
      <c r="O260" s="89" t="n">
        <v>38.8</v>
      </c>
      <c r="P260" s="89" t="n">
        <v>282.9</v>
      </c>
      <c r="Q260" s="89" t="n">
        <v>1712.4</v>
      </c>
      <c r="R260" s="89" t="n">
        <v>1177.3</v>
      </c>
      <c r="S260" s="89" t="n">
        <v>41.8</v>
      </c>
      <c r="T260" s="89" t="n">
        <v>296.5</v>
      </c>
      <c r="U260" s="89" t="n">
        <v>241.2</v>
      </c>
      <c r="V260" s="89" t="n">
        <v>4.1</v>
      </c>
      <c r="W260" s="89" t="n">
        <v>1660.7</v>
      </c>
      <c r="X260" s="89" t="n">
        <v>1375.8</v>
      </c>
      <c r="Y260" s="89" t="n">
        <v>344</v>
      </c>
      <c r="Z260" s="89" t="n">
        <v>465.3</v>
      </c>
      <c r="AA260" s="89" t="n">
        <v>-222.3</v>
      </c>
      <c r="AB260" s="89" t="n">
        <v>53.8</v>
      </c>
      <c r="AC260" s="89" t="n">
        <v>-190.4</v>
      </c>
      <c r="AD260" s="89" t="n">
        <v>135.7</v>
      </c>
      <c r="AE260" s="89" t="n">
        <v>34</v>
      </c>
      <c r="AF260" s="89" t="n">
        <v>282.9</v>
      </c>
      <c r="AG260" s="89" t="n">
        <v>1195.4</v>
      </c>
      <c r="AH260" s="89" t="n">
        <v>56.7</v>
      </c>
      <c r="AI260" s="89" t="n">
        <v>1660.7</v>
      </c>
      <c r="AJ260" s="89" t="n">
        <v>-268.1</v>
      </c>
      <c r="AK260" s="89" t="n">
        <v>-189.7</v>
      </c>
      <c r="AL260" s="89" t="n">
        <v>-59.9</v>
      </c>
      <c r="AM260" s="89" t="n">
        <v>0.7</v>
      </c>
      <c r="AN260" s="89" t="n">
        <v>106.2</v>
      </c>
      <c r="AO260" s="89" t="n">
        <v>66.40000000000001</v>
      </c>
      <c r="AP260" s="89" t="n">
        <v>68.40000000000001</v>
      </c>
      <c r="AQ260" s="89" t="n">
        <v>44.7</v>
      </c>
      <c r="AR260" s="89" t="n">
        <v>141.1</v>
      </c>
      <c r="AS260" s="89" t="n">
        <v>373.7</v>
      </c>
      <c r="AT260" s="89" t="n">
        <v>80.3</v>
      </c>
      <c r="AU260" s="89" t="n">
        <v>624.1</v>
      </c>
      <c r="AV260" s="89" t="n">
        <v>466</v>
      </c>
      <c r="AW260" s="89" t="n">
        <v>84.40000000000001</v>
      </c>
      <c r="AX260" s="89" t="n">
        <v>363.3</v>
      </c>
      <c r="AY260" s="89" t="n">
        <v>363.3</v>
      </c>
      <c r="AZ260" s="89" t="n">
        <v>-102.7</v>
      </c>
      <c r="BA260" s="89" t="n">
        <v>109.1</v>
      </c>
      <c r="BB260" s="89" t="n">
        <v>139.7</v>
      </c>
      <c r="BC260" s="89" t="n">
        <v>132.6</v>
      </c>
      <c r="BD260" s="89" t="n">
        <v>314.2</v>
      </c>
      <c r="BE260" s="89" t="n">
        <v>162</v>
      </c>
      <c r="BF260" s="89" t="n">
        <v>841.3</v>
      </c>
      <c r="BG260" s="89" t="n">
        <v>31</v>
      </c>
      <c r="BH260" s="89" t="n">
        <v>-132.2</v>
      </c>
      <c r="BI260" s="89" t="n">
        <v>137.6</v>
      </c>
      <c r="BJ260" s="89" t="n">
        <v>33.2</v>
      </c>
      <c r="BK260" s="89" t="n">
        <v>34.9</v>
      </c>
      <c r="BL260" s="89" t="n">
        <v>1.4</v>
      </c>
      <c r="BM260" s="89" t="n">
        <v>0.6</v>
      </c>
      <c r="BN260" s="90" t="inlineStr">
        <is>
          <t>N/A</t>
        </is>
      </c>
      <c r="BO260" s="89" t="n">
        <v>158.1</v>
      </c>
      <c r="BP260" s="89" t="n">
        <v>40.3</v>
      </c>
      <c r="BQ260" s="89" t="n">
        <v>0</v>
      </c>
      <c r="BR260" s="89" t="n">
        <v>0</v>
      </c>
      <c r="BS260" s="89" t="n">
        <v>0</v>
      </c>
      <c r="BT260" s="89" t="n">
        <v>0</v>
      </c>
      <c r="BU260" s="89" t="n">
        <v>0</v>
      </c>
      <c r="BV260" s="89" t="n">
        <v>0</v>
      </c>
      <c r="BW260" s="89" t="n">
        <v>0</v>
      </c>
      <c r="BX260" s="89" t="n">
        <v>0</v>
      </c>
      <c r="BY260" s="89" t="n">
        <v>0</v>
      </c>
    </row>
    <row r="261" ht="17" customHeight="1">
      <c r="A261" s="82" t="n">
        <v>259</v>
      </c>
      <c r="B261" s="83" t="inlineStr">
        <is>
          <t>LITE</t>
        </is>
      </c>
      <c r="C261" s="84" t="inlineStr">
        <is>
          <t>Lumentum Holdings Inc.</t>
        </is>
      </c>
      <c r="D261" s="82" t="inlineStr">
        <is>
          <t>Information Technology</t>
        </is>
      </c>
      <c r="E261" s="82" t="n">
        <v>2026</v>
      </c>
      <c r="F261" s="85" t="n">
        <v>4218.7</v>
      </c>
      <c r="G261" s="85" t="n">
        <v>1717.3</v>
      </c>
      <c r="H261" s="85" t="n">
        <v>392.8</v>
      </c>
      <c r="I261" s="85" t="n">
        <v>3084</v>
      </c>
      <c r="J261" s="85" t="n">
        <v>-861.2</v>
      </c>
      <c r="K261" s="85" t="n">
        <v>-180.1</v>
      </c>
      <c r="L261" s="85" t="n">
        <v>404.6</v>
      </c>
      <c r="M261" s="85" t="n">
        <v>25.9</v>
      </c>
      <c r="N261" s="85" t="n">
        <v>126.3</v>
      </c>
      <c r="O261" s="85" t="n">
        <v>459.9</v>
      </c>
      <c r="P261" s="85" t="n">
        <v>2410.9</v>
      </c>
      <c r="Q261" s="85" t="n">
        <v>1134.7</v>
      </c>
      <c r="R261" s="85" t="n">
        <v>348.2</v>
      </c>
      <c r="S261" s="85" t="n">
        <v>104.3</v>
      </c>
      <c r="T261" s="85" t="n">
        <v>197.1</v>
      </c>
      <c r="U261" s="85" t="n">
        <v>433.3</v>
      </c>
      <c r="V261" s="85" t="n">
        <v>35.5</v>
      </c>
      <c r="W261" s="85" t="n">
        <v>3931.9</v>
      </c>
      <c r="X261" s="85" t="n">
        <v>1590.1</v>
      </c>
      <c r="Y261" s="85" t="n">
        <v>269.3</v>
      </c>
      <c r="Z261" s="85" t="n">
        <v>2974.6</v>
      </c>
      <c r="AA261" s="85" t="n">
        <v>-434</v>
      </c>
      <c r="AB261" s="85" t="n">
        <v>432.9</v>
      </c>
      <c r="AC261" s="85" t="n">
        <v>-546.5</v>
      </c>
      <c r="AD261" s="85" t="n">
        <v>24.7</v>
      </c>
      <c r="AE261" s="85" t="n">
        <v>251.5</v>
      </c>
      <c r="AF261" s="85" t="n">
        <v>1532.3</v>
      </c>
      <c r="AG261" s="85" t="n">
        <v>957.3</v>
      </c>
      <c r="AH261" s="85" t="n">
        <v>373.7</v>
      </c>
      <c r="AI261" s="85" t="n">
        <v>3931.9</v>
      </c>
      <c r="AJ261" s="85" t="n">
        <v>-33.3</v>
      </c>
      <c r="AK261" s="85" t="n">
        <v>-21.1</v>
      </c>
      <c r="AL261" s="85" t="n">
        <v>-198</v>
      </c>
      <c r="AM261" s="85" t="n">
        <v>140.8</v>
      </c>
      <c r="AN261" s="85" t="n">
        <v>231</v>
      </c>
      <c r="AO261" s="85" t="n">
        <v>133</v>
      </c>
      <c r="AP261" s="85" t="n">
        <v>470.1</v>
      </c>
      <c r="AQ261" s="85" t="n">
        <v>398.4</v>
      </c>
      <c r="AR261" s="85" t="n">
        <v>1060.9</v>
      </c>
      <c r="AS261" s="85" t="n">
        <v>465.1</v>
      </c>
      <c r="AT261" s="85" t="n">
        <v>10.6</v>
      </c>
      <c r="AU261" s="85" t="n">
        <v>303.9</v>
      </c>
      <c r="AV261" s="85" t="n">
        <v>520.7</v>
      </c>
      <c r="AW261" s="85" t="n">
        <v>436.7</v>
      </c>
      <c r="AX261" s="85" t="n">
        <v>2421.5</v>
      </c>
      <c r="AY261" s="85" t="n">
        <v>1532.3</v>
      </c>
      <c r="AZ261" s="85" t="n">
        <v>1900.8</v>
      </c>
      <c r="BA261" s="85" t="n">
        <v>-104.7</v>
      </c>
      <c r="BB261" s="85" t="n">
        <v>69.8</v>
      </c>
      <c r="BC261" s="85" t="n">
        <v>67.90000000000001</v>
      </c>
      <c r="BD261" s="85" t="n">
        <v>166.3</v>
      </c>
      <c r="BE261" s="85" t="n">
        <v>433.3</v>
      </c>
      <c r="BF261" s="85" t="n">
        <v>310.7</v>
      </c>
      <c r="BG261" s="85" t="n">
        <v>110.6</v>
      </c>
      <c r="BH261" s="85" t="n">
        <v>-84.09999999999999</v>
      </c>
      <c r="BI261" s="85" t="n">
        <v>-114.3</v>
      </c>
      <c r="BJ261" s="85" t="n">
        <v>225.2</v>
      </c>
      <c r="BK261" s="85" t="n">
        <v>126.3</v>
      </c>
      <c r="BL261" s="85" t="n">
        <v>2.8</v>
      </c>
      <c r="BM261" s="85" t="n">
        <v>6.9</v>
      </c>
      <c r="BN261" s="85" t="n">
        <v>0.7</v>
      </c>
      <c r="BO261" s="85" t="n">
        <v>1092.9</v>
      </c>
      <c r="BP261" s="85" t="n">
        <v>812.4</v>
      </c>
      <c r="BQ261" s="85" t="n">
        <v>0</v>
      </c>
      <c r="BR261" s="85" t="n">
        <v>0</v>
      </c>
      <c r="BS261" s="85" t="n">
        <v>0</v>
      </c>
      <c r="BT261" s="85" t="n">
        <v>0</v>
      </c>
      <c r="BU261" s="85" t="n">
        <v>0</v>
      </c>
      <c r="BV261" s="85" t="n">
        <v>0</v>
      </c>
      <c r="BW261" s="85" t="n">
        <v>0</v>
      </c>
      <c r="BX261" s="85" t="n">
        <v>0</v>
      </c>
      <c r="BY261" s="85" t="n">
        <v>0</v>
      </c>
    </row>
    <row r="262" ht="17" customHeight="1">
      <c r="A262" s="86" t="n">
        <v>260</v>
      </c>
      <c r="B262" s="87" t="inlineStr">
        <is>
          <t>GEV</t>
        </is>
      </c>
      <c r="C262" s="88" t="inlineStr">
        <is>
          <t>GE Vernova Inc.</t>
        </is>
      </c>
      <c r="D262" s="86" t="inlineStr">
        <is>
          <t>Industrials</t>
        </is>
      </c>
      <c r="E262" s="86" t="n">
        <v>2026</v>
      </c>
      <c r="F262" s="89" t="n">
        <v>63016</v>
      </c>
      <c r="G262" s="89" t="n">
        <v>40216</v>
      </c>
      <c r="H262" s="89" t="n">
        <v>40972</v>
      </c>
      <c r="I262" s="89" t="n">
        <v>50720</v>
      </c>
      <c r="J262" s="89" t="n">
        <v>6154</v>
      </c>
      <c r="K262" s="89" t="n">
        <v>1388</v>
      </c>
      <c r="L262" s="89" t="n">
        <v>38068</v>
      </c>
      <c r="M262" s="89" t="n">
        <v>4884</v>
      </c>
      <c r="N262" s="89" t="n">
        <v>4987</v>
      </c>
      <c r="O262" s="89" t="n">
        <v>7535</v>
      </c>
      <c r="P262" s="90" t="inlineStr">
        <is>
          <t>N/A</t>
        </is>
      </c>
      <c r="Q262" s="89" t="n">
        <v>11178</v>
      </c>
      <c r="R262" s="89" t="n">
        <v>4949</v>
      </c>
      <c r="S262" s="89" t="n">
        <v>615</v>
      </c>
      <c r="T262" s="89" t="n">
        <v>9803</v>
      </c>
      <c r="U262" s="90" t="inlineStr">
        <is>
          <t>N/A</t>
        </is>
      </c>
      <c r="V262" s="90" t="inlineStr">
        <is>
          <t>N/A</t>
        </is>
      </c>
      <c r="W262" s="89" t="n">
        <v>51485</v>
      </c>
      <c r="X262" s="89" t="n">
        <v>34153</v>
      </c>
      <c r="Y262" s="89" t="n">
        <v>31685</v>
      </c>
      <c r="Z262" s="89" t="n">
        <v>40892</v>
      </c>
      <c r="AA262" s="89" t="n">
        <v>471</v>
      </c>
      <c r="AB262" s="89" t="n">
        <v>34935</v>
      </c>
      <c r="AC262" s="89" t="n">
        <v>1552</v>
      </c>
      <c r="AD262" s="89" t="n">
        <v>2583</v>
      </c>
      <c r="AE262" s="89" t="n">
        <v>6085</v>
      </c>
      <c r="AF262" s="90" t="inlineStr">
        <is>
          <t>N/A</t>
        </is>
      </c>
      <c r="AG262" s="89" t="n">
        <v>9546</v>
      </c>
      <c r="AH262" s="89" t="n">
        <v>34935</v>
      </c>
      <c r="AI262" s="89" t="n">
        <v>51485</v>
      </c>
      <c r="AJ262" s="89" t="n">
        <v>2828</v>
      </c>
      <c r="AK262" s="89" t="n">
        <v>2498</v>
      </c>
      <c r="AL262" s="89" t="n">
        <v>-2051</v>
      </c>
      <c r="AM262" s="89" t="n">
        <v>939</v>
      </c>
      <c r="AN262" s="89" t="n">
        <v>1277</v>
      </c>
      <c r="AO262" s="89" t="n">
        <v>883</v>
      </c>
      <c r="AP262" s="89" t="n">
        <v>10429</v>
      </c>
      <c r="AQ262" s="89" t="n">
        <v>8587</v>
      </c>
      <c r="AR262" s="89" t="n">
        <v>4439</v>
      </c>
      <c r="AS262" s="89" t="n">
        <v>727</v>
      </c>
      <c r="AT262" s="89" t="n">
        <v>63</v>
      </c>
      <c r="AU262" s="89" t="n">
        <v>1197</v>
      </c>
      <c r="AV262" s="90" t="inlineStr">
        <is>
          <t>N/A</t>
        </is>
      </c>
      <c r="AW262" s="90" t="inlineStr">
        <is>
          <t>N/A</t>
        </is>
      </c>
      <c r="AX262" s="89" t="n">
        <v>63</v>
      </c>
      <c r="AY262" s="90" t="inlineStr">
        <is>
          <t>N/A</t>
        </is>
      </c>
      <c r="AZ262" s="89" t="n">
        <v>63</v>
      </c>
      <c r="BA262" s="89" t="n">
        <v>3710</v>
      </c>
      <c r="BB262" s="89" t="n">
        <v>269.5</v>
      </c>
      <c r="BC262" s="89" t="n">
        <v>275.9</v>
      </c>
      <c r="BD262" s="89" t="n">
        <v>8177</v>
      </c>
      <c r="BE262" s="90" t="inlineStr">
        <is>
          <t>N/A</t>
        </is>
      </c>
      <c r="BF262" s="89" t="n">
        <v>4632</v>
      </c>
      <c r="BG262" s="89" t="n">
        <v>895</v>
      </c>
      <c r="BH262" s="89" t="n">
        <v>-755</v>
      </c>
      <c r="BI262" s="89" t="n">
        <v>-37</v>
      </c>
      <c r="BJ262" s="90" t="inlineStr">
        <is>
          <t>N/A</t>
        </is>
      </c>
      <c r="BK262" s="90" t="inlineStr">
        <is>
          <t>N/A</t>
        </is>
      </c>
      <c r="BL262" s="89" t="n">
        <v>25774</v>
      </c>
      <c r="BM262" s="89" t="n">
        <v>17587</v>
      </c>
      <c r="BN262" s="89" t="n">
        <v>487</v>
      </c>
      <c r="BO262" s="89" t="n">
        <v>30533</v>
      </c>
      <c r="BP262" s="89" t="n">
        <v>28850</v>
      </c>
      <c r="BQ262" s="89" t="n">
        <v>0</v>
      </c>
      <c r="BR262" s="89" t="n">
        <v>0</v>
      </c>
      <c r="BS262" s="89" t="n">
        <v>0</v>
      </c>
      <c r="BT262" s="89" t="n">
        <v>0</v>
      </c>
      <c r="BU262" s="89" t="n">
        <v>0</v>
      </c>
      <c r="BV262" s="90" t="inlineStr">
        <is>
          <t>N/A</t>
        </is>
      </c>
      <c r="BW262" s="89" t="n">
        <v>0</v>
      </c>
      <c r="BX262" s="89" t="n">
        <v>0</v>
      </c>
      <c r="BY262" s="89" t="n">
        <v>-0</v>
      </c>
    </row>
    <row r="263" ht="17" customHeight="1">
      <c r="A263" s="82" t="n">
        <v>261</v>
      </c>
      <c r="B263" s="83" t="inlineStr">
        <is>
          <t>IRT</t>
        </is>
      </c>
      <c r="C263" s="84" t="inlineStr">
        <is>
          <t>INDEPENDENCE REALTY TRUST, INC.</t>
        </is>
      </c>
      <c r="D263" s="82" t="inlineStr">
        <is>
          <t>Real Estate</t>
        </is>
      </c>
      <c r="E263" s="82" t="n">
        <v>2026</v>
      </c>
      <c r="F263" s="85" t="n">
        <v>6021.8</v>
      </c>
      <c r="G263" s="91" t="inlineStr">
        <is>
          <t>N/A</t>
        </is>
      </c>
      <c r="H263" s="91" t="inlineStr">
        <is>
          <t>N/A</t>
        </is>
      </c>
      <c r="I263" s="85" t="n">
        <v>2432.3</v>
      </c>
      <c r="J263" s="85" t="n">
        <v>-555.3</v>
      </c>
      <c r="K263" s="85" t="n">
        <v>51.8</v>
      </c>
      <c r="L263" s="85" t="n">
        <v>657.7</v>
      </c>
      <c r="M263" s="85" t="n">
        <v>56.6</v>
      </c>
      <c r="N263" s="85" t="n">
        <v>282.1</v>
      </c>
      <c r="O263" s="85" t="n">
        <v>650</v>
      </c>
      <c r="P263" s="85" t="n">
        <v>2281.5</v>
      </c>
      <c r="Q263" s="85" t="n">
        <v>3459.9</v>
      </c>
      <c r="R263" s="85" t="n">
        <v>24</v>
      </c>
      <c r="S263" s="85" t="n">
        <v>243.2</v>
      </c>
      <c r="T263" s="91" t="inlineStr">
        <is>
          <t>N/A</t>
        </is>
      </c>
      <c r="U263" s="91" t="inlineStr">
        <is>
          <t>N/A</t>
        </is>
      </c>
      <c r="V263" s="85" t="n">
        <v>89.90000000000001</v>
      </c>
      <c r="W263" s="85" t="n">
        <v>6057.9</v>
      </c>
      <c r="X263" s="91" t="inlineStr">
        <is>
          <t>N/A</t>
        </is>
      </c>
      <c r="Y263" s="91" t="inlineStr">
        <is>
          <t>N/A</t>
        </is>
      </c>
      <c r="Z263" s="85" t="n">
        <v>2482.8</v>
      </c>
      <c r="AA263" s="85" t="n">
        <v>45.4</v>
      </c>
      <c r="AB263" s="85" t="n">
        <v>167.1</v>
      </c>
      <c r="AC263" s="85" t="n">
        <v>33.3</v>
      </c>
      <c r="AD263" s="85" t="n">
        <v>259.8</v>
      </c>
      <c r="AE263" s="85" t="n">
        <v>160.2</v>
      </c>
      <c r="AF263" s="85" t="n">
        <v>2333.7</v>
      </c>
      <c r="AG263" s="85" t="n">
        <v>3442.3</v>
      </c>
      <c r="AH263" s="85" t="n">
        <v>167.1</v>
      </c>
      <c r="AI263" s="85" t="n">
        <v>6057.9</v>
      </c>
      <c r="AJ263" s="85" t="n">
        <v>0.4</v>
      </c>
      <c r="AK263" s="85" t="n">
        <v>-0.4</v>
      </c>
      <c r="AL263" s="91" t="inlineStr">
        <is>
          <t>N/A</t>
        </is>
      </c>
      <c r="AM263" s="91" t="inlineStr">
        <is>
          <t>N/A</t>
        </is>
      </c>
      <c r="AN263" s="85" t="n">
        <v>0.2</v>
      </c>
      <c r="AO263" s="85" t="n">
        <v>0.1</v>
      </c>
      <c r="AP263" s="91" t="inlineStr">
        <is>
          <t>N/A</t>
        </is>
      </c>
      <c r="AQ263" s="91" t="inlineStr">
        <is>
          <t>N/A</t>
        </is>
      </c>
      <c r="AR263" s="91" t="inlineStr">
        <is>
          <t>N/A</t>
        </is>
      </c>
      <c r="AS263" s="85" t="n">
        <v>3</v>
      </c>
      <c r="AT263" s="91" t="inlineStr">
        <is>
          <t>N/A</t>
        </is>
      </c>
      <c r="AU263" s="91" t="inlineStr">
        <is>
          <t>N/A</t>
        </is>
      </c>
      <c r="AV263" s="85" t="n">
        <v>23.6</v>
      </c>
      <c r="AW263" s="85" t="n">
        <v>21.2</v>
      </c>
      <c r="AX263" s="85" t="n">
        <v>2281.5</v>
      </c>
      <c r="AY263" s="85" t="n">
        <v>2333.7</v>
      </c>
      <c r="AZ263" s="85" t="n">
        <v>2257.9</v>
      </c>
      <c r="BA263" s="85" t="n">
        <v>282</v>
      </c>
      <c r="BB263" s="85" t="n">
        <v>237.2</v>
      </c>
      <c r="BC263" s="85" t="n">
        <v>230.8</v>
      </c>
      <c r="BD263" s="91" t="inlineStr">
        <is>
          <t>N/A</t>
        </is>
      </c>
      <c r="BE263" s="91" t="inlineStr">
        <is>
          <t>N/A</t>
        </is>
      </c>
      <c r="BF263" s="85" t="n">
        <v>24.2</v>
      </c>
      <c r="BG263" s="85" t="n">
        <v>220.9</v>
      </c>
      <c r="BH263" s="85" t="n">
        <v>-142.9</v>
      </c>
      <c r="BI263" s="85" t="n">
        <v>-20.6</v>
      </c>
      <c r="BJ263" s="91" t="inlineStr">
        <is>
          <t>N/A</t>
        </is>
      </c>
      <c r="BK263" s="91" t="inlineStr">
        <is>
          <t>N/A</t>
        </is>
      </c>
      <c r="BL263" s="85" t="n">
        <v>0.5</v>
      </c>
      <c r="BM263" s="91" t="inlineStr">
        <is>
          <t>N/A</t>
        </is>
      </c>
      <c r="BN263" s="91" t="inlineStr">
        <is>
          <t>N/A</t>
        </is>
      </c>
      <c r="BO263" s="85" t="n">
        <v>7.7</v>
      </c>
      <c r="BP263" s="85" t="n">
        <v>7</v>
      </c>
      <c r="BQ263" s="91" t="inlineStr">
        <is>
          <t>N/A</t>
        </is>
      </c>
      <c r="BR263" s="91" t="inlineStr">
        <is>
          <t>N/A</t>
        </is>
      </c>
      <c r="BS263" s="91" t="inlineStr">
        <is>
          <t>N/A</t>
        </is>
      </c>
      <c r="BT263" s="91" t="inlineStr">
        <is>
          <t>N/A</t>
        </is>
      </c>
      <c r="BU263" s="91" t="inlineStr">
        <is>
          <t>N/A</t>
        </is>
      </c>
      <c r="BV263" s="91" t="inlineStr">
        <is>
          <t>N/A</t>
        </is>
      </c>
      <c r="BW263" s="85" t="n">
        <v>0</v>
      </c>
      <c r="BX263" s="85" t="n">
        <v>0</v>
      </c>
      <c r="BY263" s="91" t="inlineStr">
        <is>
          <t>N/A</t>
        </is>
      </c>
    </row>
    <row r="264" ht="17" customHeight="1">
      <c r="A264" s="86" t="n">
        <v>262</v>
      </c>
      <c r="B264" s="87" t="inlineStr">
        <is>
          <t>EXPE</t>
        </is>
      </c>
      <c r="C264" s="88" t="inlineStr">
        <is>
          <t>EXPEDIA GROUP, INC.</t>
        </is>
      </c>
      <c r="D264" s="86" t="inlineStr">
        <is>
          <t>Consumer Discretionary</t>
        </is>
      </c>
      <c r="E264" s="86" t="n">
        <v>2026</v>
      </c>
      <c r="F264" s="89" t="n">
        <v>24452</v>
      </c>
      <c r="G264" s="89" t="n">
        <v>12199</v>
      </c>
      <c r="H264" s="89" t="n">
        <v>16657</v>
      </c>
      <c r="I264" s="89" t="n">
        <v>24452</v>
      </c>
      <c r="J264" s="89" t="n">
        <v>1696</v>
      </c>
      <c r="K264" s="89" t="n">
        <v>1871</v>
      </c>
      <c r="L264" s="89" t="n">
        <v>14733</v>
      </c>
      <c r="M264" s="89" t="n">
        <v>1294</v>
      </c>
      <c r="N264" s="89" t="n">
        <v>3880</v>
      </c>
      <c r="O264" s="89" t="n">
        <v>12570</v>
      </c>
      <c r="P264" s="89" t="n">
        <v>6161</v>
      </c>
      <c r="Q264" s="89" t="n">
        <v>1284</v>
      </c>
      <c r="R264" s="89" t="n">
        <v>765</v>
      </c>
      <c r="S264" s="89" t="n">
        <v>887</v>
      </c>
      <c r="T264" s="89" t="n">
        <v>4166</v>
      </c>
      <c r="U264" s="89" t="n">
        <v>2447</v>
      </c>
      <c r="V264" s="89" t="n">
        <v>245</v>
      </c>
      <c r="W264" s="89" t="n">
        <v>22388</v>
      </c>
      <c r="X264" s="89" t="n">
        <v>9815</v>
      </c>
      <c r="Y264" s="89" t="n">
        <v>13611</v>
      </c>
      <c r="Z264" s="89" t="n">
        <v>22388</v>
      </c>
      <c r="AA264" s="89" t="n">
        <v>1319</v>
      </c>
      <c r="AB264" s="89" t="n">
        <v>13691</v>
      </c>
      <c r="AC264" s="89" t="n">
        <v>1234</v>
      </c>
      <c r="AD264" s="89" t="n">
        <v>3085</v>
      </c>
      <c r="AE264" s="89" t="n">
        <v>11726</v>
      </c>
      <c r="AF264" s="89" t="n">
        <v>6266</v>
      </c>
      <c r="AG264" s="89" t="n">
        <v>1557</v>
      </c>
      <c r="AH264" s="89" t="n">
        <v>13691</v>
      </c>
      <c r="AI264" s="89" t="n">
        <v>22388</v>
      </c>
      <c r="AJ264" s="89" t="n">
        <v>1591</v>
      </c>
      <c r="AK264" s="89" t="n">
        <v>1542</v>
      </c>
      <c r="AL264" s="89" t="n">
        <v>290</v>
      </c>
      <c r="AM264" s="89" t="n">
        <v>318</v>
      </c>
      <c r="AN264" s="89" t="n">
        <v>770</v>
      </c>
      <c r="AO264" s="89" t="n">
        <v>756</v>
      </c>
      <c r="AP264" s="90" t="inlineStr">
        <is>
          <t>N/A</t>
        </is>
      </c>
      <c r="AQ264" s="90" t="inlineStr">
        <is>
          <t>N/A</t>
        </is>
      </c>
      <c r="AR264" s="89" t="n">
        <v>6872</v>
      </c>
      <c r="AS264" s="89" t="n">
        <v>50</v>
      </c>
      <c r="AT264" s="89" t="n">
        <v>1692</v>
      </c>
      <c r="AU264" s="90" t="inlineStr">
        <is>
          <t>N/A</t>
        </is>
      </c>
      <c r="AV264" s="89" t="n">
        <v>5413</v>
      </c>
      <c r="AW264" s="89" t="n">
        <v>4183</v>
      </c>
      <c r="AX264" s="89" t="n">
        <v>7853</v>
      </c>
      <c r="AY264" s="89" t="n">
        <v>6266</v>
      </c>
      <c r="AZ264" s="89" t="n">
        <v>2440</v>
      </c>
      <c r="BA264" s="89" t="n">
        <v>3110</v>
      </c>
      <c r="BB264" s="89" t="n">
        <v>117</v>
      </c>
      <c r="BC264" s="89" t="n">
        <v>123.3</v>
      </c>
      <c r="BD264" s="89" t="n">
        <v>3213</v>
      </c>
      <c r="BE264" s="89" t="n">
        <v>2413</v>
      </c>
      <c r="BF264" s="89" t="n">
        <v>805</v>
      </c>
      <c r="BG264" s="89" t="n">
        <v>838</v>
      </c>
      <c r="BH264" s="89" t="n">
        <v>-531</v>
      </c>
      <c r="BI264" s="89" t="n">
        <v>-1262</v>
      </c>
      <c r="BJ264" s="89" t="n">
        <v>283</v>
      </c>
      <c r="BK264" s="89" t="n">
        <v>173.9</v>
      </c>
      <c r="BL264" s="89" t="n">
        <v>325.7</v>
      </c>
      <c r="BM264" s="89" t="n">
        <v>282.5</v>
      </c>
      <c r="BN264" s="89" t="n">
        <v>56</v>
      </c>
      <c r="BO264" s="89" t="n">
        <v>2163</v>
      </c>
      <c r="BP264" s="89" t="n">
        <v>1965</v>
      </c>
      <c r="BQ264" s="89" t="n">
        <v>0</v>
      </c>
      <c r="BR264" s="89" t="n">
        <v>0</v>
      </c>
      <c r="BS264" s="90" t="inlineStr">
        <is>
          <t>N/A</t>
        </is>
      </c>
      <c r="BT264" s="90" t="inlineStr">
        <is>
          <t>N/A</t>
        </is>
      </c>
      <c r="BU264" s="89" t="n">
        <v>0</v>
      </c>
      <c r="BV264" s="89" t="n">
        <v>0</v>
      </c>
      <c r="BW264" s="89" t="n">
        <v>0</v>
      </c>
      <c r="BX264" s="89" t="n">
        <v>0</v>
      </c>
      <c r="BY264" s="89" t="n">
        <v>0</v>
      </c>
    </row>
    <row r="265" ht="17" customHeight="1">
      <c r="A265" s="82" t="n">
        <v>263</v>
      </c>
      <c r="B265" s="83" t="inlineStr">
        <is>
          <t>GT</t>
        </is>
      </c>
      <c r="C265" s="84" t="inlineStr">
        <is>
          <t>GOODYEAR TIRE &amp; RUBBER CO /OH/</t>
        </is>
      </c>
      <c r="D265" s="82" t="inlineStr">
        <is>
          <t>Consumer Discretionary</t>
        </is>
      </c>
      <c r="E265" s="82" t="n">
        <v>2026</v>
      </c>
      <c r="F265" s="85" t="n">
        <v>18208</v>
      </c>
      <c r="G265" s="85" t="n">
        <v>7218</v>
      </c>
      <c r="H265" s="85" t="n">
        <v>6782</v>
      </c>
      <c r="I265" s="85" t="n">
        <v>14805</v>
      </c>
      <c r="J265" s="85" t="n">
        <v>3360</v>
      </c>
      <c r="K265" s="85" t="n">
        <v>2022</v>
      </c>
      <c r="L265" s="85" t="n">
        <v>18280</v>
      </c>
      <c r="M265" s="85" t="n">
        <v>-1721</v>
      </c>
      <c r="N265" s="85" t="n">
        <v>796</v>
      </c>
      <c r="O265" s="85" t="n">
        <v>3371</v>
      </c>
      <c r="P265" s="85" t="n">
        <v>5431</v>
      </c>
      <c r="Q265" s="85" t="n">
        <v>3233</v>
      </c>
      <c r="R265" s="85" t="n">
        <v>2719</v>
      </c>
      <c r="S265" s="85" t="n">
        <v>1045</v>
      </c>
      <c r="T265" s="85" t="n">
        <v>2341</v>
      </c>
      <c r="U265" s="85" t="n">
        <v>7243</v>
      </c>
      <c r="V265" s="85" t="n">
        <v>522</v>
      </c>
      <c r="W265" s="85" t="n">
        <v>20964</v>
      </c>
      <c r="X265" s="85" t="n">
        <v>7632</v>
      </c>
      <c r="Y265" s="85" t="n">
        <v>7337</v>
      </c>
      <c r="Z265" s="85" t="n">
        <v>16058</v>
      </c>
      <c r="AA265" s="85" t="n">
        <v>1712</v>
      </c>
      <c r="AB265" s="85" t="n">
        <v>18878</v>
      </c>
      <c r="AC265" s="85" t="n">
        <v>70</v>
      </c>
      <c r="AD265" s="85" t="n">
        <v>698</v>
      </c>
      <c r="AE265" s="85" t="n">
        <v>3702</v>
      </c>
      <c r="AF265" s="85" t="n">
        <v>6963</v>
      </c>
      <c r="AG265" s="85" t="n">
        <v>4756</v>
      </c>
      <c r="AH265" s="85" t="n">
        <v>18878</v>
      </c>
      <c r="AI265" s="85" t="n">
        <v>20921</v>
      </c>
      <c r="AJ265" s="85" t="n">
        <v>-133</v>
      </c>
      <c r="AK265" s="85" t="n">
        <v>155</v>
      </c>
      <c r="AL265" s="85" t="n">
        <v>1567</v>
      </c>
      <c r="AM265" s="85" t="n">
        <v>95</v>
      </c>
      <c r="AN265" s="85" t="n">
        <v>826</v>
      </c>
      <c r="AO265" s="85" t="n">
        <v>1188</v>
      </c>
      <c r="AP265" s="85" t="n">
        <v>3572</v>
      </c>
      <c r="AQ265" s="85" t="n">
        <v>3597</v>
      </c>
      <c r="AR265" s="85" t="n">
        <v>42</v>
      </c>
      <c r="AS265" s="85" t="n">
        <v>663</v>
      </c>
      <c r="AT265" s="85" t="n">
        <v>506</v>
      </c>
      <c r="AU265" s="85" t="n">
        <v>380</v>
      </c>
      <c r="AV265" s="85" t="n">
        <v>801</v>
      </c>
      <c r="AW265" s="85" t="n">
        <v>810</v>
      </c>
      <c r="AX265" s="85" t="n">
        <v>5937</v>
      </c>
      <c r="AY265" s="85" t="n">
        <v>7521</v>
      </c>
      <c r="AZ265" s="85" t="n">
        <v>5136</v>
      </c>
      <c r="BA265" s="85" t="n">
        <v>-30</v>
      </c>
      <c r="BB265" s="85" t="n">
        <v>286</v>
      </c>
      <c r="BC265" s="85" t="n">
        <v>285</v>
      </c>
      <c r="BD265" s="85" t="n">
        <v>2482</v>
      </c>
      <c r="BE265" s="85" t="n">
        <v>7259</v>
      </c>
      <c r="BF265" s="85" t="n">
        <v>2782</v>
      </c>
      <c r="BG265" s="85" t="n">
        <v>1049</v>
      </c>
      <c r="BH265" s="85" t="n">
        <v>997</v>
      </c>
      <c r="BI265" s="85" t="n">
        <v>-1005</v>
      </c>
      <c r="BJ265" s="85" t="n">
        <v>3879</v>
      </c>
      <c r="BK265" s="85" t="n">
        <v>4052</v>
      </c>
      <c r="BL265" s="85" t="n">
        <v>34</v>
      </c>
      <c r="BM265" s="85" t="n">
        <v>13</v>
      </c>
      <c r="BN265" s="91" t="inlineStr">
        <is>
          <t>N/A</t>
        </is>
      </c>
      <c r="BO265" s="85" t="n">
        <v>14909</v>
      </c>
      <c r="BP265" s="85" t="n">
        <v>15176</v>
      </c>
      <c r="BQ265" s="85" t="n">
        <v>0</v>
      </c>
      <c r="BR265" s="85" t="n">
        <v>0</v>
      </c>
      <c r="BS265" s="85" t="n">
        <v>0</v>
      </c>
      <c r="BT265" s="85" t="n">
        <v>0</v>
      </c>
      <c r="BU265" s="85" t="n">
        <v>0</v>
      </c>
      <c r="BV265" s="85" t="n">
        <v>0</v>
      </c>
      <c r="BW265" s="85" t="n">
        <v>0</v>
      </c>
      <c r="BX265" s="85" t="n">
        <v>0</v>
      </c>
      <c r="BY265" s="85" t="n">
        <v>-0</v>
      </c>
    </row>
    <row r="266" ht="17" customHeight="1">
      <c r="A266" s="86" t="n">
        <v>264</v>
      </c>
      <c r="B266" s="87" t="inlineStr">
        <is>
          <t>CLH</t>
        </is>
      </c>
      <c r="C266" s="88" t="inlineStr">
        <is>
          <t>CLEAN HARBORS, INC</t>
        </is>
      </c>
      <c r="D266" s="86" t="inlineStr">
        <is>
          <t>Industrials</t>
        </is>
      </c>
      <c r="E266" s="86" t="n">
        <v>2026</v>
      </c>
      <c r="F266" s="89" t="n">
        <v>7624.1</v>
      </c>
      <c r="G266" s="89" t="n">
        <v>2647.2</v>
      </c>
      <c r="H266" s="89" t="n">
        <v>1136.8</v>
      </c>
      <c r="I266" s="89" t="n">
        <v>2568.6</v>
      </c>
      <c r="J266" s="89" t="n">
        <v>2755.9</v>
      </c>
      <c r="K266" s="89" t="n">
        <v>673.4</v>
      </c>
      <c r="L266" s="89" t="n">
        <v>2945</v>
      </c>
      <c r="M266" s="89" t="n">
        <v>391</v>
      </c>
      <c r="N266" s="89" t="n">
        <v>866.7</v>
      </c>
      <c r="O266" s="89" t="n">
        <v>234.3</v>
      </c>
      <c r="P266" s="89" t="n">
        <v>2763.6</v>
      </c>
      <c r="Q266" s="89" t="n">
        <v>2745.7</v>
      </c>
      <c r="R266" s="89" t="n">
        <v>752.5</v>
      </c>
      <c r="S266" s="89" t="n">
        <v>212.5</v>
      </c>
      <c r="T266" s="89" t="n">
        <v>1044.1</v>
      </c>
      <c r="U266" s="89" t="n">
        <v>1562</v>
      </c>
      <c r="V266" s="90" t="inlineStr">
        <is>
          <t>N/A</t>
        </is>
      </c>
      <c r="W266" s="89" t="n">
        <v>7377.3</v>
      </c>
      <c r="X266" s="89" t="n">
        <v>2433.8</v>
      </c>
      <c r="Y266" s="89" t="n">
        <v>1102.7</v>
      </c>
      <c r="Z266" s="89" t="n">
        <v>2518.4</v>
      </c>
      <c r="AA266" s="89" t="n">
        <v>670.2</v>
      </c>
      <c r="AB266" s="89" t="n">
        <v>747.4</v>
      </c>
      <c r="AC266" s="89" t="n">
        <v>402.3</v>
      </c>
      <c r="AD266" s="89" t="n">
        <v>777.8</v>
      </c>
      <c r="AE266" s="89" t="n">
        <v>253.1</v>
      </c>
      <c r="AF266" s="89" t="n">
        <v>2771.1</v>
      </c>
      <c r="AG266" s="89" t="n">
        <v>2573.5</v>
      </c>
      <c r="AH266" s="89" t="n">
        <v>755.8</v>
      </c>
      <c r="AI266" s="89" t="n">
        <v>7377.3</v>
      </c>
      <c r="AJ266" s="89" t="n">
        <v>528</v>
      </c>
      <c r="AK266" s="89" t="n">
        <v>533.4</v>
      </c>
      <c r="AL266" s="89" t="n">
        <v>137</v>
      </c>
      <c r="AM266" s="89" t="n">
        <v>131.1</v>
      </c>
      <c r="AN266" s="89" t="n">
        <v>424.9</v>
      </c>
      <c r="AO266" s="89" t="n">
        <v>432.2</v>
      </c>
      <c r="AP266" s="89" t="n">
        <v>372.1</v>
      </c>
      <c r="AQ266" s="89" t="n">
        <v>384.7</v>
      </c>
      <c r="AR266" s="89" t="n">
        <v>1479</v>
      </c>
      <c r="AS266" s="89" t="n">
        <v>533.1</v>
      </c>
      <c r="AT266" s="89" t="n">
        <v>12.6</v>
      </c>
      <c r="AU266" s="90" t="inlineStr">
        <is>
          <t>N/A</t>
        </is>
      </c>
      <c r="AV266" s="89" t="n">
        <v>226.5</v>
      </c>
      <c r="AW266" s="89" t="n">
        <v>319.4</v>
      </c>
      <c r="AX266" s="89" t="n">
        <v>2776.2</v>
      </c>
      <c r="AY266" s="89" t="n">
        <v>2771.1</v>
      </c>
      <c r="AZ266" s="89" t="n">
        <v>2549.7</v>
      </c>
      <c r="BA266" s="89" t="n">
        <v>441.8</v>
      </c>
      <c r="BB266" s="89" t="n">
        <v>52.9</v>
      </c>
      <c r="BC266" s="89" t="n">
        <v>53.8</v>
      </c>
      <c r="BD266" s="89" t="n">
        <v>1015.4</v>
      </c>
      <c r="BE266" s="89" t="n">
        <v>1562</v>
      </c>
      <c r="BF266" s="89" t="n">
        <v>739.6</v>
      </c>
      <c r="BG266" s="89" t="n">
        <v>127.2</v>
      </c>
      <c r="BH266" s="89" t="n">
        <v>-425.8</v>
      </c>
      <c r="BI266" s="89" t="n">
        <v>-903.7</v>
      </c>
      <c r="BJ266" s="89" t="n">
        <v>506.6</v>
      </c>
      <c r="BK266" s="89" t="n">
        <v>487.3</v>
      </c>
      <c r="BL266" s="89" t="n">
        <v>81.5</v>
      </c>
      <c r="BM266" s="89" t="n">
        <v>88.5</v>
      </c>
      <c r="BN266" s="89" t="n">
        <v>42.1</v>
      </c>
      <c r="BO266" s="89" t="n">
        <v>4144.6</v>
      </c>
      <c r="BP266" s="89" t="n">
        <v>4065.7</v>
      </c>
      <c r="BQ266" s="89" t="n">
        <v>0</v>
      </c>
      <c r="BR266" s="89" t="n">
        <v>0</v>
      </c>
      <c r="BS266" s="89" t="n">
        <v>0</v>
      </c>
      <c r="BT266" s="89" t="n">
        <v>0</v>
      </c>
      <c r="BU266" s="89" t="n">
        <v>0</v>
      </c>
      <c r="BV266" s="89" t="n">
        <v>0</v>
      </c>
      <c r="BW266" s="89" t="n">
        <v>0</v>
      </c>
      <c r="BX266" s="89" t="n">
        <v>0</v>
      </c>
      <c r="BY266" s="89" t="n">
        <v>0</v>
      </c>
    </row>
    <row r="267" ht="17" customHeight="1">
      <c r="A267" s="82" t="n">
        <v>265</v>
      </c>
      <c r="B267" s="83" t="inlineStr">
        <is>
          <t>GTLB</t>
        </is>
      </c>
      <c r="C267" s="84" t="inlineStr">
        <is>
          <t>GITLAB INC.</t>
        </is>
      </c>
      <c r="D267" s="82" t="inlineStr">
        <is>
          <t>Information Technology</t>
        </is>
      </c>
      <c r="E267" s="82" t="n">
        <v>2026</v>
      </c>
      <c r="F267" s="85" t="n">
        <v>1722.7</v>
      </c>
      <c r="G267" s="85" t="n">
        <v>1655.8</v>
      </c>
      <c r="H267" s="85" t="n">
        <v>652.1</v>
      </c>
      <c r="I267" s="85" t="n">
        <v>686.5</v>
      </c>
      <c r="J267" s="85" t="n">
        <v>-1223.6</v>
      </c>
      <c r="K267" s="85" t="n">
        <v>-70.5</v>
      </c>
      <c r="L267" s="85" t="n">
        <v>955.2</v>
      </c>
      <c r="M267" s="85" t="n">
        <v>-56</v>
      </c>
      <c r="N267" s="85" t="n">
        <v>232.9</v>
      </c>
      <c r="O267" s="85" t="n">
        <v>834.5</v>
      </c>
      <c r="P267" s="91" t="inlineStr">
        <is>
          <t>N/A</t>
        </is>
      </c>
      <c r="Q267" s="85" t="n">
        <v>990.7</v>
      </c>
      <c r="R267" s="85" t="n">
        <v>195.7</v>
      </c>
      <c r="S267" s="85" t="n">
        <v>3.3</v>
      </c>
      <c r="T267" s="85" t="n">
        <v>304.3</v>
      </c>
      <c r="U267" s="85" t="n">
        <v>11.8</v>
      </c>
      <c r="V267" s="91" t="inlineStr">
        <is>
          <t>N/A</t>
        </is>
      </c>
      <c r="W267" s="85" t="n">
        <v>1399.3</v>
      </c>
      <c r="X267" s="85" t="n">
        <v>1336.3</v>
      </c>
      <c r="Y267" s="85" t="n">
        <v>545</v>
      </c>
      <c r="Z267" s="85" t="n">
        <v>578</v>
      </c>
      <c r="AA267" s="85" t="n">
        <v>-142.7</v>
      </c>
      <c r="AB267" s="85" t="n">
        <v>759.2</v>
      </c>
      <c r="AC267" s="85" t="n">
        <v>-6.3</v>
      </c>
      <c r="AD267" s="85" t="n">
        <v>-64</v>
      </c>
      <c r="AE267" s="85" t="n">
        <v>674.1</v>
      </c>
      <c r="AF267" s="91" t="inlineStr">
        <is>
          <t>N/A</t>
        </is>
      </c>
      <c r="AG267" s="85" t="n">
        <v>775.9</v>
      </c>
      <c r="AH267" s="85" t="n">
        <v>759.2</v>
      </c>
      <c r="AI267" s="85" t="n">
        <v>1399.3</v>
      </c>
      <c r="AJ267" s="85" t="n">
        <v>-48.1</v>
      </c>
      <c r="AK267" s="85" t="n">
        <v>-85.8</v>
      </c>
      <c r="AL267" s="85" t="n">
        <v>10.5</v>
      </c>
      <c r="AM267" s="85" t="n">
        <v>-76.7</v>
      </c>
      <c r="AN267" s="85" t="n">
        <v>10.8</v>
      </c>
      <c r="AO267" s="85" t="n">
        <v>3.8</v>
      </c>
      <c r="AP267" s="91" t="inlineStr">
        <is>
          <t>N/A</t>
        </is>
      </c>
      <c r="AQ267" s="91" t="inlineStr">
        <is>
          <t>N/A</t>
        </is>
      </c>
      <c r="AR267" s="85" t="n">
        <v>17.4</v>
      </c>
      <c r="AS267" s="85" t="n">
        <v>9.800000000000001</v>
      </c>
      <c r="AT267" s="91" t="inlineStr">
        <is>
          <t>N/A</t>
        </is>
      </c>
      <c r="AU267" s="85" t="n">
        <v>274.6</v>
      </c>
      <c r="AV267" s="85" t="n">
        <v>229.6</v>
      </c>
      <c r="AW267" s="85" t="n">
        <v>227.6</v>
      </c>
      <c r="AX267" s="91" t="inlineStr">
        <is>
          <t>N/A</t>
        </is>
      </c>
      <c r="AY267" s="91" t="inlineStr">
        <is>
          <t>N/A</t>
        </is>
      </c>
      <c r="AZ267" s="91" t="inlineStr">
        <is>
          <t>N/A</t>
        </is>
      </c>
      <c r="BA267" s="85" t="n">
        <v>222</v>
      </c>
      <c r="BB267" s="91" t="inlineStr">
        <is>
          <t>N/A</t>
        </is>
      </c>
      <c r="BC267" s="91" t="inlineStr">
        <is>
          <t>N/A</t>
        </is>
      </c>
      <c r="BD267" s="85" t="n">
        <v>264.6</v>
      </c>
      <c r="BE267" s="85" t="n">
        <v>4</v>
      </c>
      <c r="BF267" s="85" t="n">
        <v>192.9</v>
      </c>
      <c r="BG267" s="85" t="n">
        <v>2.9</v>
      </c>
      <c r="BH267" s="85" t="n">
        <v>-267.3</v>
      </c>
      <c r="BI267" s="85" t="n">
        <v>-30.5</v>
      </c>
      <c r="BJ267" s="85" t="n">
        <v>9.199999999999999</v>
      </c>
      <c r="BK267" s="85" t="n">
        <v>7.5</v>
      </c>
      <c r="BL267" s="85" t="n">
        <v>545.1</v>
      </c>
      <c r="BM267" s="85" t="n">
        <v>442.6</v>
      </c>
      <c r="BN267" s="85" t="n">
        <v>16.4</v>
      </c>
      <c r="BO267" s="85" t="n">
        <v>120.7</v>
      </c>
      <c r="BP267" s="85" t="n">
        <v>85.09999999999999</v>
      </c>
      <c r="BQ267" s="85" t="n">
        <v>0</v>
      </c>
      <c r="BR267" s="85" t="n">
        <v>0</v>
      </c>
      <c r="BS267" s="91" t="inlineStr">
        <is>
          <t>N/A</t>
        </is>
      </c>
      <c r="BT267" s="91" t="inlineStr">
        <is>
          <t>N/A</t>
        </is>
      </c>
      <c r="BU267" s="85" t="n">
        <v>0</v>
      </c>
      <c r="BV267" s="85" t="n">
        <v>0</v>
      </c>
      <c r="BW267" s="85" t="n">
        <v>0</v>
      </c>
      <c r="BX267" s="85" t="n">
        <v>0</v>
      </c>
      <c r="BY267" s="85" t="n">
        <v>-0</v>
      </c>
    </row>
    <row r="268" ht="17" customHeight="1">
      <c r="A268" s="86" t="n">
        <v>266</v>
      </c>
      <c r="B268" s="87" t="inlineStr">
        <is>
          <t>COLD</t>
        </is>
      </c>
      <c r="C268" s="88" t="inlineStr">
        <is>
          <t>AMERICOLD REALTY TRUST, INC.</t>
        </is>
      </c>
      <c r="D268" s="86" t="inlineStr">
        <is>
          <t>Real Estate</t>
        </is>
      </c>
      <c r="E268" s="86" t="n">
        <v>2026</v>
      </c>
      <c r="F268" s="89" t="n">
        <v>8121.6</v>
      </c>
      <c r="G268" s="90" t="inlineStr">
        <is>
          <t>N/A</t>
        </is>
      </c>
      <c r="H268" s="90" t="inlineStr">
        <is>
          <t>N/A</t>
        </is>
      </c>
      <c r="I268" s="89" t="n">
        <v>5199.6</v>
      </c>
      <c r="J268" s="89" t="n">
        <v>-2719.4</v>
      </c>
      <c r="K268" s="89" t="n">
        <v>7.2</v>
      </c>
      <c r="L268" s="89" t="n">
        <v>2601.8</v>
      </c>
      <c r="M268" s="89" t="n">
        <v>-114.5</v>
      </c>
      <c r="N268" s="89" t="n">
        <v>359.6</v>
      </c>
      <c r="O268" s="89" t="n">
        <v>839.4</v>
      </c>
      <c r="P268" s="89" t="n">
        <v>2648.3</v>
      </c>
      <c r="Q268" s="89" t="n">
        <v>2884.4</v>
      </c>
      <c r="R268" s="89" t="n">
        <v>269.5</v>
      </c>
      <c r="S268" s="89" t="n">
        <v>367.4</v>
      </c>
      <c r="T268" s="89" t="n">
        <v>368.5</v>
      </c>
      <c r="U268" s="89" t="n">
        <v>5345.2</v>
      </c>
      <c r="V268" s="89" t="n">
        <v>99.2</v>
      </c>
      <c r="W268" s="89" t="n">
        <v>7736</v>
      </c>
      <c r="X268" s="90" t="inlineStr">
        <is>
          <t>N/A</t>
        </is>
      </c>
      <c r="Y268" s="90" t="inlineStr">
        <is>
          <t>N/A</t>
        </is>
      </c>
      <c r="Z268" s="89" t="n">
        <v>4428.9</v>
      </c>
      <c r="AA268" s="89" t="n">
        <v>124</v>
      </c>
      <c r="AB268" s="89" t="n">
        <v>2666.5</v>
      </c>
      <c r="AC268" s="89" t="n">
        <v>-94.3</v>
      </c>
      <c r="AD268" s="89" t="n">
        <v>411.9</v>
      </c>
      <c r="AE268" s="89" t="n">
        <v>846.7</v>
      </c>
      <c r="AF268" s="90" t="inlineStr">
        <is>
          <t>N/A</t>
        </is>
      </c>
      <c r="AG268" s="89" t="n">
        <v>3280.8</v>
      </c>
      <c r="AH268" s="89" t="n">
        <v>2666.5</v>
      </c>
      <c r="AI268" s="89" t="n">
        <v>7736</v>
      </c>
      <c r="AJ268" s="89" t="n">
        <v>-135.7</v>
      </c>
      <c r="AK268" s="89" t="n">
        <v>-103.2</v>
      </c>
      <c r="AL268" s="89" t="n">
        <v>-20.5</v>
      </c>
      <c r="AM268" s="89" t="n">
        <v>-8.4</v>
      </c>
      <c r="AN268" s="89" t="n">
        <v>576.8</v>
      </c>
      <c r="AO268" s="89" t="n">
        <v>309.5</v>
      </c>
      <c r="AP268" s="89" t="n">
        <v>6.8</v>
      </c>
      <c r="AQ268" s="89" t="n">
        <v>7.4</v>
      </c>
      <c r="AR268" s="89" t="n">
        <v>828.3</v>
      </c>
      <c r="AS268" s="89" t="n">
        <v>819.5</v>
      </c>
      <c r="AT268" s="90" t="inlineStr">
        <is>
          <t>N/A</t>
        </is>
      </c>
      <c r="AU268" s="90" t="inlineStr">
        <is>
          <t>N/A</t>
        </is>
      </c>
      <c r="AV268" s="89" t="n">
        <v>136.9</v>
      </c>
      <c r="AW268" s="89" t="n">
        <v>47.7</v>
      </c>
      <c r="AX268" s="89" t="n">
        <v>2648.3</v>
      </c>
      <c r="AY268" s="90" t="inlineStr">
        <is>
          <t>N/A</t>
        </is>
      </c>
      <c r="AZ268" s="89" t="n">
        <v>2511.4</v>
      </c>
      <c r="BA268" s="89" t="n">
        <v>-217.2</v>
      </c>
      <c r="BB268" s="89" t="n">
        <v>284.9</v>
      </c>
      <c r="BC268" s="89" t="n">
        <v>284.3</v>
      </c>
      <c r="BD268" s="89" t="n">
        <v>386.9</v>
      </c>
      <c r="BE268" s="89" t="n">
        <v>5020.7</v>
      </c>
      <c r="BF268" s="89" t="n">
        <v>255.1</v>
      </c>
      <c r="BG268" s="89" t="n">
        <v>360.8</v>
      </c>
      <c r="BH268" s="89" t="n">
        <v>-658</v>
      </c>
      <c r="BI268" s="89" t="n">
        <v>-313.2</v>
      </c>
      <c r="BJ268" s="90" t="inlineStr">
        <is>
          <t>N/A</t>
        </is>
      </c>
      <c r="BK268" s="90" t="inlineStr">
        <is>
          <t>N/A</t>
        </is>
      </c>
      <c r="BL268" s="89" t="n">
        <v>20.2</v>
      </c>
      <c r="BM268" s="89" t="n">
        <v>22</v>
      </c>
      <c r="BN268" s="90" t="inlineStr">
        <is>
          <t>N/A</t>
        </is>
      </c>
      <c r="BO268" s="89" t="n">
        <v>1762.5</v>
      </c>
      <c r="BP268" s="89" t="n">
        <v>1819.8</v>
      </c>
      <c r="BQ268" s="89" t="n">
        <v>0</v>
      </c>
      <c r="BR268" s="89" t="n">
        <v>0</v>
      </c>
      <c r="BS268" s="89" t="n">
        <v>0</v>
      </c>
      <c r="BT268" s="89" t="n">
        <v>0</v>
      </c>
      <c r="BU268" s="90" t="inlineStr">
        <is>
          <t>N/A</t>
        </is>
      </c>
      <c r="BV268" s="90" t="inlineStr">
        <is>
          <t>N/A</t>
        </is>
      </c>
      <c r="BW268" s="89" t="n">
        <v>0</v>
      </c>
      <c r="BX268" s="89" t="n">
        <v>0</v>
      </c>
      <c r="BY268" s="89" t="n">
        <v>0</v>
      </c>
    </row>
    <row r="269" ht="17" customHeight="1">
      <c r="A269" s="82" t="n">
        <v>267</v>
      </c>
      <c r="B269" s="83" t="inlineStr">
        <is>
          <t>THC</t>
        </is>
      </c>
      <c r="C269" s="84" t="inlineStr">
        <is>
          <t>TENET HEALTHCARE CORP</t>
        </is>
      </c>
      <c r="D269" s="82" t="inlineStr">
        <is>
          <t>Health Care</t>
        </is>
      </c>
      <c r="E269" s="82" t="n">
        <v>2026</v>
      </c>
      <c r="F269" s="85" t="n">
        <v>29677</v>
      </c>
      <c r="G269" s="85" t="n">
        <v>7849</v>
      </c>
      <c r="H269" s="85" t="n">
        <v>4463</v>
      </c>
      <c r="I269" s="85" t="n">
        <v>20704</v>
      </c>
      <c r="J269" s="85" t="n">
        <v>4415</v>
      </c>
      <c r="K269" s="85" t="n">
        <v>3508</v>
      </c>
      <c r="L269" s="85" t="n">
        <v>18479</v>
      </c>
      <c r="M269" s="85" t="n">
        <v>1119</v>
      </c>
      <c r="N269" s="85" t="n">
        <v>3540</v>
      </c>
      <c r="O269" s="91" t="inlineStr">
        <is>
          <t>N/A</t>
        </is>
      </c>
      <c r="P269" s="91" t="inlineStr">
        <is>
          <t>N/A</t>
        </is>
      </c>
      <c r="Q269" s="85" t="n">
        <v>4220</v>
      </c>
      <c r="R269" s="91" t="inlineStr">
        <is>
          <t>N/A</t>
        </is>
      </c>
      <c r="S269" s="85" t="n">
        <v>797</v>
      </c>
      <c r="T269" s="85" t="n">
        <v>2565</v>
      </c>
      <c r="U269" s="85" t="n">
        <v>6993</v>
      </c>
      <c r="V269" s="85" t="n">
        <v>901</v>
      </c>
      <c r="W269" s="85" t="n">
        <v>28936</v>
      </c>
      <c r="X269" s="85" t="n">
        <v>7682</v>
      </c>
      <c r="Y269" s="85" t="n">
        <v>4310</v>
      </c>
      <c r="Z269" s="85" t="n">
        <v>20389</v>
      </c>
      <c r="AA269" s="85" t="n">
        <v>5956</v>
      </c>
      <c r="AB269" s="85" t="n">
        <v>4806</v>
      </c>
      <c r="AC269" s="85" t="n">
        <v>181</v>
      </c>
      <c r="AD269" s="85" t="n">
        <v>2047</v>
      </c>
      <c r="AE269" s="91" t="inlineStr">
        <is>
          <t>N/A</t>
        </is>
      </c>
      <c r="AF269" s="91" t="inlineStr">
        <is>
          <t>N/A</t>
        </is>
      </c>
      <c r="AG269" s="85" t="n">
        <v>4171</v>
      </c>
      <c r="AH269" s="85" t="n">
        <v>4568</v>
      </c>
      <c r="AI269" s="85" t="n">
        <v>28936</v>
      </c>
      <c r="AJ269" s="85" t="n">
        <v>2800</v>
      </c>
      <c r="AK269" s="85" t="n">
        <v>5248</v>
      </c>
      <c r="AL269" s="85" t="n">
        <v>433</v>
      </c>
      <c r="AM269" s="85" t="n">
        <v>1184</v>
      </c>
      <c r="AN269" s="85" t="n">
        <v>1010</v>
      </c>
      <c r="AO269" s="85" t="n">
        <v>931</v>
      </c>
      <c r="AP269" s="85" t="n">
        <v>348</v>
      </c>
      <c r="AQ269" s="85" t="n">
        <v>346</v>
      </c>
      <c r="AR269" s="85" t="n">
        <v>11198</v>
      </c>
      <c r="AS269" s="85" t="n">
        <v>466</v>
      </c>
      <c r="AT269" s="91" t="inlineStr">
        <is>
          <t>N/A</t>
        </is>
      </c>
      <c r="AU269" s="91" t="inlineStr">
        <is>
          <t>N/A</t>
        </is>
      </c>
      <c r="AV269" s="85" t="n">
        <v>2883</v>
      </c>
      <c r="AW269" s="85" t="n">
        <v>3019</v>
      </c>
      <c r="AX269" s="91" t="inlineStr">
        <is>
          <t>N/A</t>
        </is>
      </c>
      <c r="AY269" s="91" t="inlineStr">
        <is>
          <t>N/A</t>
        </is>
      </c>
      <c r="AZ269" s="91" t="inlineStr">
        <is>
          <t>N/A</t>
        </is>
      </c>
      <c r="BA269" s="85" t="n">
        <v>2530</v>
      </c>
      <c r="BB269" s="85" t="n">
        <v>158.6</v>
      </c>
      <c r="BC269" s="85" t="n">
        <v>158</v>
      </c>
      <c r="BD269" s="85" t="n">
        <v>2536</v>
      </c>
      <c r="BE269" s="85" t="n">
        <v>6993</v>
      </c>
      <c r="BF269" s="91" t="inlineStr">
        <is>
          <t>N/A</t>
        </is>
      </c>
      <c r="BG269" s="85" t="n">
        <v>849</v>
      </c>
      <c r="BH269" s="85" t="n">
        <v>-1275</v>
      </c>
      <c r="BI269" s="85" t="n">
        <v>3429</v>
      </c>
      <c r="BJ269" s="85" t="n">
        <v>1360</v>
      </c>
      <c r="BK269" s="85" t="n">
        <v>1294</v>
      </c>
      <c r="BL269" s="91" t="inlineStr">
        <is>
          <t>N/A</t>
        </is>
      </c>
      <c r="BM269" s="91" t="inlineStr">
        <is>
          <t>N/A</t>
        </is>
      </c>
      <c r="BN269" s="91" t="inlineStr">
        <is>
          <t>N/A</t>
        </is>
      </c>
      <c r="BO269" s="91" t="inlineStr">
        <is>
          <t>N/A</t>
        </is>
      </c>
      <c r="BP269" s="91" t="inlineStr">
        <is>
          <t>N/A</t>
        </is>
      </c>
      <c r="BQ269" s="85" t="n">
        <v>0</v>
      </c>
      <c r="BR269" s="85" t="n">
        <v>0</v>
      </c>
      <c r="BS269" s="91" t="inlineStr">
        <is>
          <t>N/A</t>
        </is>
      </c>
      <c r="BT269" s="91" t="inlineStr">
        <is>
          <t>N/A</t>
        </is>
      </c>
      <c r="BU269" s="91" t="inlineStr">
        <is>
          <t>N/A</t>
        </is>
      </c>
      <c r="BV269" s="91" t="inlineStr">
        <is>
          <t>N/A</t>
        </is>
      </c>
      <c r="BW269" s="85" t="n">
        <v>0</v>
      </c>
      <c r="BX269" s="85" t="n">
        <v>0</v>
      </c>
      <c r="BY269" s="85" t="n">
        <v>0</v>
      </c>
    </row>
    <row r="270" ht="17" customHeight="1">
      <c r="A270" s="86" t="n">
        <v>268</v>
      </c>
      <c r="B270" s="87" t="inlineStr">
        <is>
          <t>AAPL</t>
        </is>
      </c>
      <c r="C270" s="88" t="inlineStr">
        <is>
          <t>Apple Inc.</t>
        </is>
      </c>
      <c r="D270" s="86" t="inlineStr">
        <is>
          <t>Information Technology</t>
        </is>
      </c>
      <c r="E270" s="86" t="n">
        <v>2026</v>
      </c>
      <c r="F270" s="89" t="n">
        <v>359241</v>
      </c>
      <c r="G270" s="89" t="n">
        <v>147957</v>
      </c>
      <c r="H270" s="89" t="n">
        <v>165631</v>
      </c>
      <c r="I270" s="89" t="n">
        <v>285508</v>
      </c>
      <c r="J270" s="89" t="n">
        <v>-14264</v>
      </c>
      <c r="K270" s="89" t="n">
        <v>133050</v>
      </c>
      <c r="L270" s="89" t="n">
        <v>265595</v>
      </c>
      <c r="M270" s="89" t="n">
        <v>112010</v>
      </c>
      <c r="N270" s="89" t="n">
        <v>111482</v>
      </c>
      <c r="O270" s="89" t="n">
        <v>195201</v>
      </c>
      <c r="P270" s="89" t="n">
        <v>90678</v>
      </c>
      <c r="Q270" s="89" t="n">
        <v>73733</v>
      </c>
      <c r="R270" s="89" t="n">
        <v>27601</v>
      </c>
      <c r="S270" s="89" t="n">
        <v>8300</v>
      </c>
      <c r="T270" s="89" t="n">
        <v>39777</v>
      </c>
      <c r="U270" s="89" t="n">
        <v>49834</v>
      </c>
      <c r="V270" s="89" t="n">
        <v>3933</v>
      </c>
      <c r="W270" s="89" t="n">
        <v>364980</v>
      </c>
      <c r="X270" s="89" t="n">
        <v>152987</v>
      </c>
      <c r="Y270" s="89" t="n">
        <v>176392</v>
      </c>
      <c r="Z270" s="89" t="n">
        <v>308030</v>
      </c>
      <c r="AA270" s="89" t="n">
        <v>123216</v>
      </c>
      <c r="AB270" s="89" t="n">
        <v>62900</v>
      </c>
      <c r="AC270" s="89" t="n">
        <v>93736</v>
      </c>
      <c r="AD270" s="89" t="n">
        <v>118254</v>
      </c>
      <c r="AE270" s="89" t="n">
        <v>180683</v>
      </c>
      <c r="AF270" s="89" t="n">
        <v>96662</v>
      </c>
      <c r="AG270" s="89" t="n">
        <v>56950</v>
      </c>
      <c r="AH270" s="89" t="n">
        <v>53265</v>
      </c>
      <c r="AI270" s="89" t="n">
        <v>364980</v>
      </c>
      <c r="AJ270" s="89" t="n">
        <v>132729</v>
      </c>
      <c r="AK270" s="89" t="n">
        <v>123485</v>
      </c>
      <c r="AL270" s="89" t="n">
        <v>20719</v>
      </c>
      <c r="AM270" s="89" t="n">
        <v>29749</v>
      </c>
      <c r="AN270" s="89" t="n">
        <v>12715</v>
      </c>
      <c r="AO270" s="89" t="n">
        <v>9447</v>
      </c>
      <c r="AP270" s="89" t="n">
        <v>5718</v>
      </c>
      <c r="AQ270" s="89" t="n">
        <v>7286</v>
      </c>
      <c r="AR270" s="89" t="n">
        <v>5717</v>
      </c>
      <c r="AS270" s="89" t="n">
        <v>2198</v>
      </c>
      <c r="AT270" s="89" t="n">
        <v>12350</v>
      </c>
      <c r="AU270" s="89" t="n">
        <v>34550</v>
      </c>
      <c r="AV270" s="89" t="n">
        <v>35934</v>
      </c>
      <c r="AW270" s="89" t="n">
        <v>29943</v>
      </c>
      <c r="AX270" s="89" t="n">
        <v>103028</v>
      </c>
      <c r="AY270" s="89" t="n">
        <v>96662</v>
      </c>
      <c r="AZ270" s="89" t="n">
        <v>67094</v>
      </c>
      <c r="BA270" s="89" t="n">
        <v>98767</v>
      </c>
      <c r="BB270" s="89" t="n">
        <v>14773.3</v>
      </c>
      <c r="BC270" s="89" t="n">
        <v>15116.8</v>
      </c>
      <c r="BD270" s="89" t="n">
        <v>33410</v>
      </c>
      <c r="BE270" s="89" t="n">
        <v>45680</v>
      </c>
      <c r="BF270" s="89" t="n">
        <v>26097</v>
      </c>
      <c r="BG270" s="89" t="n">
        <v>9200</v>
      </c>
      <c r="BH270" s="89" t="n">
        <v>15195</v>
      </c>
      <c r="BI270" s="89" t="n">
        <v>2935</v>
      </c>
      <c r="BJ270" s="89" t="n">
        <v>69860</v>
      </c>
      <c r="BK270" s="89" t="n">
        <v>68960</v>
      </c>
      <c r="BL270" s="89" t="n">
        <v>7543</v>
      </c>
      <c r="BM270" s="89" t="n">
        <v>7548</v>
      </c>
      <c r="BN270" s="89" t="n">
        <v>13016</v>
      </c>
      <c r="BO270" s="89" t="n">
        <v>220960</v>
      </c>
      <c r="BP270" s="89" t="n">
        <v>210352</v>
      </c>
      <c r="BQ270" s="89" t="n">
        <v>0</v>
      </c>
      <c r="BR270" s="89" t="n">
        <v>0</v>
      </c>
      <c r="BS270" s="89" t="n">
        <v>0</v>
      </c>
      <c r="BT270" s="89" t="n">
        <v>0</v>
      </c>
      <c r="BU270" s="89" t="n">
        <v>0</v>
      </c>
      <c r="BV270" s="89" t="n">
        <v>0</v>
      </c>
      <c r="BW270" s="89" t="n">
        <v>0</v>
      </c>
      <c r="BX270" s="89" t="n">
        <v>0</v>
      </c>
      <c r="BY270" s="89" t="n">
        <v>0</v>
      </c>
    </row>
    <row r="271" ht="17" customHeight="1">
      <c r="A271" s="82" t="n">
        <v>269</v>
      </c>
      <c r="B271" s="83" t="inlineStr">
        <is>
          <t>UTHR</t>
        </is>
      </c>
      <c r="C271" s="84" t="inlineStr">
        <is>
          <t>United Therapeutics Corporation</t>
        </is>
      </c>
      <c r="D271" s="82" t="inlineStr">
        <is>
          <t>Health Care</t>
        </is>
      </c>
      <c r="E271" s="82" t="n">
        <v>2026</v>
      </c>
      <c r="F271" s="85" t="n">
        <v>7880</v>
      </c>
      <c r="G271" s="85" t="n">
        <v>3702.5</v>
      </c>
      <c r="H271" s="85" t="n">
        <v>560.6</v>
      </c>
      <c r="I271" s="85" t="n">
        <v>783.8</v>
      </c>
      <c r="J271" s="85" t="n">
        <v>8556.9</v>
      </c>
      <c r="K271" s="85" t="n">
        <v>1492.5</v>
      </c>
      <c r="L271" s="85" t="n">
        <v>1483.3</v>
      </c>
      <c r="M271" s="85" t="n">
        <v>1334.7</v>
      </c>
      <c r="N271" s="85" t="n">
        <v>1561.2</v>
      </c>
      <c r="O271" s="85" t="n">
        <v>2798.3</v>
      </c>
      <c r="P271" s="85" t="n">
        <v>3.7</v>
      </c>
      <c r="Q271" s="85" t="n">
        <v>7096.2</v>
      </c>
      <c r="R271" s="85" t="n">
        <v>755.8</v>
      </c>
      <c r="S271" s="85" t="n">
        <v>85.59999999999999</v>
      </c>
      <c r="T271" s="85" t="n">
        <v>350.2</v>
      </c>
      <c r="U271" s="85" t="n">
        <v>1729.7</v>
      </c>
      <c r="V271" s="85" t="n">
        <v>59.3</v>
      </c>
      <c r="W271" s="85" t="n">
        <v>7364</v>
      </c>
      <c r="X271" s="85" t="n">
        <v>3873.9</v>
      </c>
      <c r="Y271" s="85" t="n">
        <v>738.1</v>
      </c>
      <c r="Z271" s="85" t="n">
        <v>920</v>
      </c>
      <c r="AA271" s="85" t="n">
        <v>1377</v>
      </c>
      <c r="AB271" s="85" t="n">
        <v>1448.8</v>
      </c>
      <c r="AC271" s="85" t="n">
        <v>1195.1</v>
      </c>
      <c r="AD271" s="85" t="n">
        <v>1327.1</v>
      </c>
      <c r="AE271" s="85" t="n">
        <v>2567.7</v>
      </c>
      <c r="AF271" s="85" t="n">
        <v>70.3</v>
      </c>
      <c r="AG271" s="85" t="n">
        <v>6444</v>
      </c>
      <c r="AH271" s="85" t="n">
        <v>1448.8</v>
      </c>
      <c r="AI271" s="85" t="n">
        <v>7364</v>
      </c>
      <c r="AJ271" s="85" t="n">
        <v>1713.9</v>
      </c>
      <c r="AK271" s="85" t="n">
        <v>1539</v>
      </c>
      <c r="AL271" s="85" t="n">
        <v>379.2</v>
      </c>
      <c r="AM271" s="85" t="n">
        <v>343.9</v>
      </c>
      <c r="AN271" s="85" t="n">
        <v>520.5</v>
      </c>
      <c r="AO271" s="85" t="n">
        <v>246.5</v>
      </c>
      <c r="AP271" s="85" t="n">
        <v>183.1</v>
      </c>
      <c r="AQ271" s="85" t="n">
        <v>157.9</v>
      </c>
      <c r="AR271" s="85" t="n">
        <v>32.3</v>
      </c>
      <c r="AS271" s="85" t="n">
        <v>2.6</v>
      </c>
      <c r="AT271" s="85" t="n">
        <v>0.1</v>
      </c>
      <c r="AU271" s="85" t="n">
        <v>550</v>
      </c>
      <c r="AV271" s="85" t="n">
        <v>1557.1</v>
      </c>
      <c r="AW271" s="85" t="n">
        <v>1697.2</v>
      </c>
      <c r="AX271" s="85" t="n">
        <v>3.8</v>
      </c>
      <c r="AY271" s="85" t="n">
        <v>137</v>
      </c>
      <c r="AZ271" s="85" t="n">
        <v>-1553.3</v>
      </c>
      <c r="BA271" s="85" t="n">
        <v>1040.7</v>
      </c>
      <c r="BB271" s="85" t="n">
        <v>43.6</v>
      </c>
      <c r="BC271" s="85" t="n">
        <v>44.8</v>
      </c>
      <c r="BD271" s="85" t="n">
        <v>279.3</v>
      </c>
      <c r="BE271" s="85" t="n">
        <v>1222.4</v>
      </c>
      <c r="BF271" s="85" t="n">
        <v>709.7</v>
      </c>
      <c r="BG271" s="85" t="n">
        <v>72.5</v>
      </c>
      <c r="BH271" s="85" t="n">
        <v>-551.3</v>
      </c>
      <c r="BI271" s="85" t="n">
        <v>417.2</v>
      </c>
      <c r="BJ271" s="85" t="n">
        <v>7.1</v>
      </c>
      <c r="BK271" s="85" t="n">
        <v>6</v>
      </c>
      <c r="BL271" s="91" t="inlineStr">
        <is>
          <t>N/A</t>
        </is>
      </c>
      <c r="BM271" s="91" t="inlineStr">
        <is>
          <t>N/A</t>
        </is>
      </c>
      <c r="BN271" s="91" t="inlineStr">
        <is>
          <t>N/A</t>
        </is>
      </c>
      <c r="BO271" s="85" t="n">
        <v>384.4</v>
      </c>
      <c r="BP271" s="85" t="n">
        <v>309.7</v>
      </c>
      <c r="BQ271" s="85" t="n">
        <v>0</v>
      </c>
      <c r="BR271" s="85" t="n">
        <v>0</v>
      </c>
      <c r="BS271" s="85" t="n">
        <v>0</v>
      </c>
      <c r="BT271" s="85" t="n">
        <v>0</v>
      </c>
      <c r="BU271" s="85" t="n">
        <v>0</v>
      </c>
      <c r="BV271" s="85" t="n">
        <v>0</v>
      </c>
      <c r="BW271" s="85" t="n">
        <v>0</v>
      </c>
      <c r="BX271" s="85" t="n">
        <v>0</v>
      </c>
      <c r="BY271" s="85" t="n">
        <v>0</v>
      </c>
    </row>
    <row r="272" ht="17" customHeight="1">
      <c r="A272" s="86" t="n">
        <v>270</v>
      </c>
      <c r="B272" s="87" t="inlineStr">
        <is>
          <t>ADMA</t>
        </is>
      </c>
      <c r="C272" s="88" t="inlineStr">
        <is>
          <t>ADMA BIOLOGICS, INC.</t>
        </is>
      </c>
      <c r="D272" s="86" t="inlineStr">
        <is>
          <t>Health Care</t>
        </is>
      </c>
      <c r="E272" s="86" t="n">
        <v>2026</v>
      </c>
      <c r="F272" s="89" t="n">
        <v>624.2</v>
      </c>
      <c r="G272" s="89" t="n">
        <v>466.5</v>
      </c>
      <c r="H272" s="89" t="n">
        <v>69.5</v>
      </c>
      <c r="I272" s="89" t="n">
        <v>146.9</v>
      </c>
      <c r="J272" s="89" t="n">
        <v>-161.7</v>
      </c>
      <c r="K272" s="89" t="n">
        <v>191.4</v>
      </c>
      <c r="L272" s="89" t="n">
        <v>42.2</v>
      </c>
      <c r="M272" s="89" t="n">
        <v>146.9</v>
      </c>
      <c r="N272" s="89" t="n">
        <v>50.4</v>
      </c>
      <c r="O272" s="89" t="n">
        <v>292.8</v>
      </c>
      <c r="P272" s="89" t="n">
        <v>72.09999999999999</v>
      </c>
      <c r="Q272" s="89" t="n">
        <v>477.3</v>
      </c>
      <c r="R272" s="89" t="n">
        <v>91.59999999999999</v>
      </c>
      <c r="S272" s="89" t="n">
        <v>8.1</v>
      </c>
      <c r="T272" s="89" t="n">
        <v>158.4</v>
      </c>
      <c r="U272" s="89" t="n">
        <v>65.09999999999999</v>
      </c>
      <c r="V272" s="89" t="n">
        <v>25</v>
      </c>
      <c r="W272" s="89" t="n">
        <v>488.7</v>
      </c>
      <c r="X272" s="89" t="n">
        <v>331.4</v>
      </c>
      <c r="Y272" s="89" t="n">
        <v>55.5</v>
      </c>
      <c r="Z272" s="89" t="n">
        <v>139.7</v>
      </c>
      <c r="AA272" s="89" t="n">
        <v>139</v>
      </c>
      <c r="AB272" s="89" t="n">
        <v>29.3</v>
      </c>
      <c r="AC272" s="89" t="n">
        <v>197.7</v>
      </c>
      <c r="AD272" s="89" t="n">
        <v>118.7</v>
      </c>
      <c r="AE272" s="89" t="n">
        <v>219.6</v>
      </c>
      <c r="AF272" s="89" t="n">
        <v>72.3</v>
      </c>
      <c r="AG272" s="89" t="n">
        <v>349</v>
      </c>
      <c r="AH272" s="89" t="n">
        <v>29.3</v>
      </c>
      <c r="AI272" s="89" t="n">
        <v>488.7</v>
      </c>
      <c r="AJ272" s="89" t="n">
        <v>182.7</v>
      </c>
      <c r="AK272" s="89" t="n">
        <v>125.7</v>
      </c>
      <c r="AL272" s="89" t="n">
        <v>35.7</v>
      </c>
      <c r="AM272" s="89" t="n">
        <v>-72</v>
      </c>
      <c r="AN272" s="89" t="n">
        <v>22.6</v>
      </c>
      <c r="AO272" s="89" t="n">
        <v>8.199999999999999</v>
      </c>
      <c r="AP272" s="89" t="n">
        <v>206.5</v>
      </c>
      <c r="AQ272" s="89" t="n">
        <v>170.2</v>
      </c>
      <c r="AR272" s="89" t="n">
        <v>3.5</v>
      </c>
      <c r="AS272" s="89" t="n">
        <v>0.5</v>
      </c>
      <c r="AT272" s="90" t="inlineStr">
        <is>
          <t>N/A</t>
        </is>
      </c>
      <c r="AU272" s="89" t="n">
        <v>4.8</v>
      </c>
      <c r="AV272" s="89" t="n">
        <v>87.59999999999999</v>
      </c>
      <c r="AW272" s="89" t="n">
        <v>103.1</v>
      </c>
      <c r="AX272" s="89" t="n">
        <v>72.09999999999999</v>
      </c>
      <c r="AY272" s="89" t="n">
        <v>72.3</v>
      </c>
      <c r="AZ272" s="89" t="n">
        <v>-15.5</v>
      </c>
      <c r="BA272" s="89" t="n">
        <v>27.8</v>
      </c>
      <c r="BB272" s="89" t="n">
        <v>237.9</v>
      </c>
      <c r="BC272" s="89" t="n">
        <v>236.6</v>
      </c>
      <c r="BD272" s="89" t="n">
        <v>50</v>
      </c>
      <c r="BE272" s="89" t="n">
        <v>54.7</v>
      </c>
      <c r="BF272" s="89" t="n">
        <v>74.09999999999999</v>
      </c>
      <c r="BG272" s="89" t="n">
        <v>8</v>
      </c>
      <c r="BH272" s="89" t="n">
        <v>-21.9</v>
      </c>
      <c r="BI272" s="89" t="n">
        <v>-8.6</v>
      </c>
      <c r="BJ272" s="89" t="n">
        <v>22.5</v>
      </c>
      <c r="BK272" s="89" t="n">
        <v>20.2</v>
      </c>
      <c r="BL272" s="89" t="n">
        <v>0.1</v>
      </c>
      <c r="BM272" s="89" t="n">
        <v>0.1</v>
      </c>
      <c r="BN272" s="89" t="n">
        <v>8.6</v>
      </c>
      <c r="BO272" s="89" t="n">
        <v>217.4</v>
      </c>
      <c r="BP272" s="89" t="n">
        <v>206.9</v>
      </c>
      <c r="BQ272" s="89" t="n">
        <v>0</v>
      </c>
      <c r="BR272" s="89" t="n">
        <v>0</v>
      </c>
      <c r="BS272" s="89" t="n">
        <v>0</v>
      </c>
      <c r="BT272" s="89" t="n">
        <v>0</v>
      </c>
      <c r="BU272" s="89" t="n">
        <v>0</v>
      </c>
      <c r="BV272" s="89" t="n">
        <v>0</v>
      </c>
      <c r="BW272" s="89" t="n">
        <v>0</v>
      </c>
      <c r="BX272" s="89" t="n">
        <v>0</v>
      </c>
      <c r="BY272" s="89" t="n">
        <v>0</v>
      </c>
    </row>
    <row r="273" ht="17" customHeight="1">
      <c r="A273" s="82" t="n">
        <v>271</v>
      </c>
      <c r="B273" s="83" t="inlineStr">
        <is>
          <t>HUM</t>
        </is>
      </c>
      <c r="C273" s="84" t="inlineStr">
        <is>
          <t>HUMANA INC</t>
        </is>
      </c>
      <c r="D273" s="82" t="inlineStr">
        <is>
          <t>Health Care</t>
        </is>
      </c>
      <c r="E273" s="82" t="n">
        <v>2026</v>
      </c>
      <c r="F273" s="85" t="n">
        <v>48909</v>
      </c>
      <c r="G273" s="85" t="n">
        <v>32733</v>
      </c>
      <c r="H273" s="85" t="n">
        <v>16346</v>
      </c>
      <c r="I273" s="85" t="n">
        <v>31172</v>
      </c>
      <c r="J273" s="85" t="n">
        <v>29075</v>
      </c>
      <c r="K273" s="85" t="n">
        <v>2704</v>
      </c>
      <c r="L273" s="85" t="n">
        <v>129664</v>
      </c>
      <c r="M273" s="85" t="n">
        <v>1188</v>
      </c>
      <c r="N273" s="85" t="n">
        <v>921</v>
      </c>
      <c r="O273" s="85" t="n">
        <v>2704</v>
      </c>
      <c r="P273" s="85" t="n">
        <v>2600</v>
      </c>
      <c r="Q273" s="85" t="n">
        <v>17657</v>
      </c>
      <c r="R273" s="85" t="n">
        <v>15450</v>
      </c>
      <c r="S273" s="85" t="n">
        <v>698</v>
      </c>
      <c r="T273" s="85" t="n">
        <v>3270</v>
      </c>
      <c r="U273" s="85" t="n">
        <v>2231</v>
      </c>
      <c r="V273" s="85" t="n">
        <v>493</v>
      </c>
      <c r="W273" s="85" t="n">
        <v>46479</v>
      </c>
      <c r="X273" s="85" t="n">
        <v>29815</v>
      </c>
      <c r="Y273" s="85" t="n">
        <v>16939</v>
      </c>
      <c r="Z273" s="85" t="n">
        <v>30034</v>
      </c>
      <c r="AA273" s="85" t="n">
        <v>2562</v>
      </c>
      <c r="AB273" s="85" t="n">
        <v>117761</v>
      </c>
      <c r="AC273" s="85" t="n">
        <v>1207</v>
      </c>
      <c r="AD273" s="85" t="n">
        <v>2966</v>
      </c>
      <c r="AE273" s="85" t="n">
        <v>2562</v>
      </c>
      <c r="AF273" s="85" t="n">
        <v>2611</v>
      </c>
      <c r="AG273" s="85" t="n">
        <v>16375</v>
      </c>
      <c r="AH273" s="85" t="n">
        <v>117761</v>
      </c>
      <c r="AI273" s="85" t="n">
        <v>46479</v>
      </c>
      <c r="AJ273" s="85" t="n">
        <v>1438</v>
      </c>
      <c r="AK273" s="85" t="n">
        <v>1620</v>
      </c>
      <c r="AL273" s="85" t="n">
        <v>250</v>
      </c>
      <c r="AM273" s="85" t="n">
        <v>413</v>
      </c>
      <c r="AN273" s="85" t="n">
        <v>546</v>
      </c>
      <c r="AO273" s="85" t="n">
        <v>575</v>
      </c>
      <c r="AP273" s="91" t="inlineStr">
        <is>
          <t>N/A</t>
        </is>
      </c>
      <c r="AQ273" s="91" t="inlineStr">
        <is>
          <t>N/A</t>
        </is>
      </c>
      <c r="AR273" s="85" t="n">
        <v>9686</v>
      </c>
      <c r="AS273" s="85" t="n">
        <v>329</v>
      </c>
      <c r="AT273" s="85" t="n">
        <v>1694</v>
      </c>
      <c r="AU273" s="91" t="inlineStr">
        <is>
          <t>N/A</t>
        </is>
      </c>
      <c r="AV273" s="85" t="n">
        <v>4200</v>
      </c>
      <c r="AW273" s="85" t="n">
        <v>2221</v>
      </c>
      <c r="AX273" s="85" t="n">
        <v>4294</v>
      </c>
      <c r="AY273" s="85" t="n">
        <v>2761</v>
      </c>
      <c r="AZ273" s="85" t="n">
        <v>94</v>
      </c>
      <c r="BA273" s="85" t="n">
        <v>375</v>
      </c>
      <c r="BB273" s="85" t="n">
        <v>198.7</v>
      </c>
      <c r="BC273" s="85" t="n">
        <v>198.7</v>
      </c>
      <c r="BD273" s="85" t="n">
        <v>2704</v>
      </c>
      <c r="BE273" s="85" t="n">
        <v>2532</v>
      </c>
      <c r="BF273" s="85" t="n">
        <v>13696</v>
      </c>
      <c r="BG273" s="85" t="n">
        <v>839</v>
      </c>
      <c r="BH273" s="85" t="n">
        <v>2273</v>
      </c>
      <c r="BI273" s="85" t="n">
        <v>-2952</v>
      </c>
      <c r="BJ273" s="85" t="n">
        <v>5717</v>
      </c>
      <c r="BK273" s="85" t="n">
        <v>5259</v>
      </c>
      <c r="BL273" s="85" t="n">
        <v>378</v>
      </c>
      <c r="BM273" s="85" t="n">
        <v>280</v>
      </c>
      <c r="BN273" s="91" t="inlineStr">
        <is>
          <t>N/A</t>
        </is>
      </c>
      <c r="BO273" s="85" t="n">
        <v>126960</v>
      </c>
      <c r="BP273" s="85" t="n">
        <v>115199</v>
      </c>
      <c r="BQ273" s="85" t="n">
        <v>0</v>
      </c>
      <c r="BR273" s="85" t="n">
        <v>0</v>
      </c>
      <c r="BS273" s="91" t="inlineStr">
        <is>
          <t>N/A</t>
        </is>
      </c>
      <c r="BT273" s="91" t="inlineStr">
        <is>
          <t>N/A</t>
        </is>
      </c>
      <c r="BU273" s="85" t="n">
        <v>0</v>
      </c>
      <c r="BV273" s="85" t="n">
        <v>0</v>
      </c>
      <c r="BW273" s="85" t="n">
        <v>0</v>
      </c>
      <c r="BX273" s="85" t="n">
        <v>0</v>
      </c>
      <c r="BY273" s="85" t="n">
        <v>0</v>
      </c>
    </row>
    <row r="274" ht="17" customHeight="1">
      <c r="A274" s="86" t="n">
        <v>272</v>
      </c>
      <c r="B274" s="87" t="inlineStr">
        <is>
          <t>ICE</t>
        </is>
      </c>
      <c r="C274" s="88" t="inlineStr">
        <is>
          <t>INTERCONTINENTAL EXCHANGE, INC.</t>
        </is>
      </c>
      <c r="D274" s="86" t="inlineStr">
        <is>
          <t>Financials</t>
        </is>
      </c>
      <c r="E274" s="86" t="n">
        <v>2026</v>
      </c>
      <c r="F274" s="89" t="n">
        <v>136887</v>
      </c>
      <c r="G274" s="89" t="n">
        <v>85778</v>
      </c>
      <c r="H274" s="89" t="n">
        <v>84116</v>
      </c>
      <c r="I274" s="89" t="n">
        <v>107896</v>
      </c>
      <c r="J274" s="89" t="n">
        <v>20281</v>
      </c>
      <c r="K274" s="89" t="n">
        <v>4929</v>
      </c>
      <c r="L274" s="89" t="n">
        <v>5834</v>
      </c>
      <c r="M274" s="89" t="n">
        <v>3315</v>
      </c>
      <c r="N274" s="89" t="n">
        <v>4662</v>
      </c>
      <c r="O274" s="89" t="n">
        <v>832</v>
      </c>
      <c r="P274" s="89" t="n">
        <v>18122</v>
      </c>
      <c r="Q274" s="89" t="n">
        <v>28915</v>
      </c>
      <c r="R274" s="89" t="n">
        <v>293</v>
      </c>
      <c r="S274" s="89" t="n">
        <v>1560</v>
      </c>
      <c r="T274" s="89" t="n">
        <v>1552</v>
      </c>
      <c r="U274" s="89" t="n">
        <v>1241</v>
      </c>
      <c r="V274" s="89" t="n">
        <v>808</v>
      </c>
      <c r="W274" s="89" t="n">
        <v>139428</v>
      </c>
      <c r="X274" s="89" t="n">
        <v>89095</v>
      </c>
      <c r="Y274" s="89" t="n">
        <v>89553</v>
      </c>
      <c r="Z274" s="89" t="n">
        <v>111708</v>
      </c>
      <c r="AA274" s="89" t="n">
        <v>4309</v>
      </c>
      <c r="AB274" s="89" t="n">
        <v>5843</v>
      </c>
      <c r="AC274" s="89" t="n">
        <v>2754</v>
      </c>
      <c r="AD274" s="89" t="n">
        <v>4609</v>
      </c>
      <c r="AE274" s="89" t="n">
        <v>873</v>
      </c>
      <c r="AF274" s="89" t="n">
        <v>13918</v>
      </c>
      <c r="AG274" s="89" t="n">
        <v>27647</v>
      </c>
      <c r="AH274" s="89" t="n">
        <v>5843</v>
      </c>
      <c r="AI274" s="89" t="n">
        <v>139428</v>
      </c>
      <c r="AJ274" s="89" t="n">
        <v>4346</v>
      </c>
      <c r="AK274" s="89" t="n">
        <v>3628</v>
      </c>
      <c r="AL274" s="89" t="n">
        <v>976</v>
      </c>
      <c r="AM274" s="89" t="n">
        <v>826</v>
      </c>
      <c r="AN274" s="89" t="n">
        <v>373</v>
      </c>
      <c r="AO274" s="89" t="n">
        <v>406</v>
      </c>
      <c r="AP274" s="90" t="inlineStr">
        <is>
          <t>N/A</t>
        </is>
      </c>
      <c r="AQ274" s="90" t="inlineStr">
        <is>
          <t>N/A</t>
        </is>
      </c>
      <c r="AR274" s="89" t="n">
        <v>30646</v>
      </c>
      <c r="AS274" s="89" t="n">
        <v>8843</v>
      </c>
      <c r="AT274" s="89" t="n">
        <v>1035</v>
      </c>
      <c r="AU274" s="90" t="inlineStr">
        <is>
          <t>N/A</t>
        </is>
      </c>
      <c r="AV274" s="89" t="n">
        <v>837</v>
      </c>
      <c r="AW274" s="89" t="n">
        <v>844</v>
      </c>
      <c r="AX274" s="89" t="n">
        <v>19157</v>
      </c>
      <c r="AY274" s="89" t="n">
        <v>16945</v>
      </c>
      <c r="AZ274" s="89" t="n">
        <v>18320</v>
      </c>
      <c r="BA274" s="89" t="n">
        <v>4289</v>
      </c>
      <c r="BB274" s="89" t="n">
        <v>567</v>
      </c>
      <c r="BC274" s="89" t="n">
        <v>574</v>
      </c>
      <c r="BD274" s="89" t="n">
        <v>1490</v>
      </c>
      <c r="BE274" s="89" t="n">
        <v>1241</v>
      </c>
      <c r="BF274" s="89" t="n">
        <v>307</v>
      </c>
      <c r="BG274" s="89" t="n">
        <v>1537</v>
      </c>
      <c r="BH274" s="89" t="n">
        <v>-4249</v>
      </c>
      <c r="BI274" s="89" t="n">
        <v>-921</v>
      </c>
      <c r="BJ274" s="89" t="n">
        <v>1078</v>
      </c>
      <c r="BK274" s="89" t="n">
        <v>1051</v>
      </c>
      <c r="BL274" s="89" t="n">
        <v>121</v>
      </c>
      <c r="BM274" s="89" t="n">
        <v>114</v>
      </c>
      <c r="BN274" s="90" t="inlineStr">
        <is>
          <t>N/A</t>
        </is>
      </c>
      <c r="BO274" s="89" t="n">
        <v>5002</v>
      </c>
      <c r="BP274" s="89" t="n">
        <v>4970</v>
      </c>
      <c r="BQ274" s="89" t="n">
        <v>0</v>
      </c>
      <c r="BR274" s="89" t="n">
        <v>0</v>
      </c>
      <c r="BS274" s="90" t="inlineStr">
        <is>
          <t>N/A</t>
        </is>
      </c>
      <c r="BT274" s="90" t="inlineStr">
        <is>
          <t>N/A</t>
        </is>
      </c>
      <c r="BU274" s="89" t="n">
        <v>0</v>
      </c>
      <c r="BV274" s="89" t="n">
        <v>0</v>
      </c>
      <c r="BW274" s="89" t="n">
        <v>0</v>
      </c>
      <c r="BX274" s="89" t="n">
        <v>0</v>
      </c>
      <c r="BY274" s="89" t="n">
        <v>0</v>
      </c>
    </row>
    <row r="275" ht="17" customHeight="1">
      <c r="A275" s="82" t="n">
        <v>273</v>
      </c>
      <c r="B275" s="83" t="inlineStr">
        <is>
          <t>STX</t>
        </is>
      </c>
      <c r="C275" s="84" t="inlineStr">
        <is>
          <t>Seagate Technology Holdings plc</t>
        </is>
      </c>
      <c r="D275" s="82" t="inlineStr">
        <is>
          <t>Information Technology</t>
        </is>
      </c>
      <c r="E275" s="82" t="n">
        <v>2026</v>
      </c>
      <c r="F275" s="85" t="n">
        <v>8023</v>
      </c>
      <c r="G275" s="85" t="n">
        <v>3653</v>
      </c>
      <c r="H275" s="85" t="n">
        <v>2648</v>
      </c>
      <c r="I275" s="85" t="n">
        <v>8476</v>
      </c>
      <c r="J275" s="85" t="n">
        <v>-8151</v>
      </c>
      <c r="K275" s="85" t="n">
        <v>1890</v>
      </c>
      <c r="L275" s="85" t="n">
        <v>7384</v>
      </c>
      <c r="M275" s="85" t="n">
        <v>1469</v>
      </c>
      <c r="N275" s="85" t="n">
        <v>1083</v>
      </c>
      <c r="O275" s="85" t="n">
        <v>1487</v>
      </c>
      <c r="P275" s="85" t="n">
        <v>964</v>
      </c>
      <c r="Q275" s="85" t="n">
        <v>-453</v>
      </c>
      <c r="R275" s="85" t="n">
        <v>561</v>
      </c>
      <c r="S275" s="85" t="n">
        <v>251</v>
      </c>
      <c r="T275" s="85" t="n">
        <v>959</v>
      </c>
      <c r="U275" s="85" t="n">
        <v>1657</v>
      </c>
      <c r="V275" s="85" t="n">
        <v>332</v>
      </c>
      <c r="W275" s="85" t="n">
        <v>7739</v>
      </c>
      <c r="X275" s="85" t="n">
        <v>3332</v>
      </c>
      <c r="Y275" s="85" t="n">
        <v>3099</v>
      </c>
      <c r="Z275" s="85" t="n">
        <v>9230</v>
      </c>
      <c r="AA275" s="85" t="n">
        <v>452</v>
      </c>
      <c r="AB275" s="85" t="n">
        <v>11661</v>
      </c>
      <c r="AC275" s="85" t="n">
        <v>335</v>
      </c>
      <c r="AD275" s="85" t="n">
        <v>918</v>
      </c>
      <c r="AE275" s="85" t="n">
        <v>6646</v>
      </c>
      <c r="AF275" s="85" t="n">
        <v>5195</v>
      </c>
      <c r="AG275" s="85" t="n">
        <v>-1491</v>
      </c>
      <c r="AH275" s="85" t="n">
        <v>11661</v>
      </c>
      <c r="AI275" s="85" t="n">
        <v>7739</v>
      </c>
      <c r="AJ275" s="85" t="n">
        <v>1513</v>
      </c>
      <c r="AK275" s="85" t="n">
        <v>445</v>
      </c>
      <c r="AL275" s="85" t="n">
        <v>44</v>
      </c>
      <c r="AM275" s="85" t="n">
        <v>110</v>
      </c>
      <c r="AN275" s="85" t="n">
        <v>265</v>
      </c>
      <c r="AO275" s="85" t="n">
        <v>254</v>
      </c>
      <c r="AP275" s="85" t="n">
        <v>1440</v>
      </c>
      <c r="AQ275" s="85" t="n">
        <v>1239</v>
      </c>
      <c r="AR275" s="85" t="n">
        <v>1221</v>
      </c>
      <c r="AS275" s="91" t="inlineStr">
        <is>
          <t>N/A</t>
        </is>
      </c>
      <c r="AT275" s="91" t="inlineStr">
        <is>
          <t>N/A</t>
        </is>
      </c>
      <c r="AU275" s="85" t="n">
        <v>724</v>
      </c>
      <c r="AV275" s="85" t="n">
        <v>891</v>
      </c>
      <c r="AW275" s="85" t="n">
        <v>1358</v>
      </c>
      <c r="AX275" s="85" t="n">
        <v>964</v>
      </c>
      <c r="AY275" s="85" t="n">
        <v>5195</v>
      </c>
      <c r="AZ275" s="85" t="n">
        <v>73</v>
      </c>
      <c r="BA275" s="85" t="n">
        <v>818</v>
      </c>
      <c r="BB275" s="85" t="n">
        <v>212.7</v>
      </c>
      <c r="BC275" s="85" t="n">
        <v>210.2</v>
      </c>
      <c r="BD275" s="85" t="n">
        <v>429</v>
      </c>
      <c r="BE275" s="85" t="n">
        <v>1614</v>
      </c>
      <c r="BF275" s="85" t="n">
        <v>460</v>
      </c>
      <c r="BG275" s="85" t="n">
        <v>264</v>
      </c>
      <c r="BH275" s="85" t="n">
        <v>-276</v>
      </c>
      <c r="BI275" s="85" t="n">
        <v>126</v>
      </c>
      <c r="BJ275" s="85" t="n">
        <v>1604</v>
      </c>
      <c r="BK275" s="85" t="n">
        <v>1786</v>
      </c>
      <c r="BL275" s="91" t="inlineStr">
        <is>
          <t>N/A</t>
        </is>
      </c>
      <c r="BM275" s="91" t="inlineStr">
        <is>
          <t>N/A</t>
        </is>
      </c>
      <c r="BN275" s="85" t="n">
        <v>14</v>
      </c>
      <c r="BO275" s="85" t="n">
        <v>5897</v>
      </c>
      <c r="BP275" s="85" t="n">
        <v>5015</v>
      </c>
      <c r="BQ275" s="85" t="n">
        <v>0</v>
      </c>
      <c r="BR275" s="85" t="n">
        <v>0</v>
      </c>
      <c r="BS275" s="85" t="n">
        <v>0</v>
      </c>
      <c r="BT275" s="85" t="n">
        <v>0</v>
      </c>
      <c r="BU275" s="85" t="n">
        <v>0</v>
      </c>
      <c r="BV275" s="85" t="n">
        <v>0</v>
      </c>
      <c r="BW275" s="85" t="n">
        <v>0</v>
      </c>
      <c r="BX275" s="85" t="n">
        <v>0</v>
      </c>
      <c r="BY275" s="85" t="n">
        <v>0</v>
      </c>
    </row>
    <row r="276" ht="17" customHeight="1">
      <c r="A276" s="86" t="n">
        <v>274</v>
      </c>
      <c r="B276" s="87" t="inlineStr">
        <is>
          <t>ORCL</t>
        </is>
      </c>
      <c r="C276" s="88" t="inlineStr">
        <is>
          <t>Oracle Corporation</t>
        </is>
      </c>
      <c r="D276" s="86" t="inlineStr">
        <is>
          <t>Information Technology</t>
        </is>
      </c>
      <c r="E276" s="86" t="n">
        <v>2026</v>
      </c>
      <c r="F276" s="89" t="n">
        <v>261759</v>
      </c>
      <c r="G276" s="89" t="n">
        <v>46567</v>
      </c>
      <c r="H276" s="89" t="n">
        <v>41764</v>
      </c>
      <c r="I276" s="89" t="n">
        <v>261759</v>
      </c>
      <c r="J276" s="89" t="n">
        <v>-4309</v>
      </c>
      <c r="K276" s="89" t="n">
        <v>20606</v>
      </c>
      <c r="L276" s="89" t="n">
        <v>67357</v>
      </c>
      <c r="M276" s="89" t="n">
        <v>17087</v>
      </c>
      <c r="N276" s="89" t="n">
        <v>31977</v>
      </c>
      <c r="O276" s="89" t="n">
        <v>24287</v>
      </c>
      <c r="P276" s="90" t="inlineStr">
        <is>
          <t>N/A</t>
        </is>
      </c>
      <c r="Q276" s="89" t="n">
        <v>42508</v>
      </c>
      <c r="R276" s="89" t="n">
        <v>1618</v>
      </c>
      <c r="S276" s="89" t="n">
        <v>7623</v>
      </c>
      <c r="T276" s="89" t="n">
        <v>10385</v>
      </c>
      <c r="U276" s="89" t="n">
        <v>99957</v>
      </c>
      <c r="V276" s="89" t="n">
        <v>4599</v>
      </c>
      <c r="W276" s="89" t="n">
        <v>168361</v>
      </c>
      <c r="X276" s="89" t="n">
        <v>24579</v>
      </c>
      <c r="Y276" s="89" t="n">
        <v>32643</v>
      </c>
      <c r="Z276" s="89" t="n">
        <v>168361</v>
      </c>
      <c r="AA276" s="89" t="n">
        <v>17678</v>
      </c>
      <c r="AB276" s="89" t="n">
        <v>57399</v>
      </c>
      <c r="AC276" s="89" t="n">
        <v>12443</v>
      </c>
      <c r="AD276" s="89" t="n">
        <v>20821</v>
      </c>
      <c r="AE276" s="89" t="n">
        <v>23017</v>
      </c>
      <c r="AF276" s="89" t="n">
        <v>85297</v>
      </c>
      <c r="AG276" s="89" t="n">
        <v>20451</v>
      </c>
      <c r="AH276" s="89" t="n">
        <v>57399</v>
      </c>
      <c r="AI276" s="89" t="n">
        <v>168361</v>
      </c>
      <c r="AJ276" s="89" t="n">
        <v>12891</v>
      </c>
      <c r="AK276" s="89" t="n">
        <v>11517</v>
      </c>
      <c r="AL276" s="89" t="n">
        <v>2467</v>
      </c>
      <c r="AM276" s="89" t="n">
        <v>1717</v>
      </c>
      <c r="AN276" s="89" t="n">
        <v>55663</v>
      </c>
      <c r="AO276" s="89" t="n">
        <v>21215</v>
      </c>
      <c r="AP276" s="89" t="n">
        <v>303</v>
      </c>
      <c r="AQ276" s="89" t="n">
        <v>334</v>
      </c>
      <c r="AR276" s="89" t="n">
        <v>62261</v>
      </c>
      <c r="AS276" s="89" t="n">
        <v>3229</v>
      </c>
      <c r="AT276" s="89" t="n">
        <v>7199</v>
      </c>
      <c r="AU276" s="89" t="n">
        <v>10272</v>
      </c>
      <c r="AV276" s="89" t="n">
        <v>31289</v>
      </c>
      <c r="AW276" s="89" t="n">
        <v>10786</v>
      </c>
      <c r="AX276" s="89" t="n">
        <v>7199</v>
      </c>
      <c r="AY276" s="89" t="n">
        <v>92568</v>
      </c>
      <c r="AZ276" s="89" t="n">
        <v>-24090</v>
      </c>
      <c r="BA276" s="89" t="n">
        <v>-23686</v>
      </c>
      <c r="BB276" s="89" t="n">
        <v>2880</v>
      </c>
      <c r="BC276" s="89" t="n">
        <v>2807</v>
      </c>
      <c r="BD276" s="89" t="n">
        <v>8558</v>
      </c>
      <c r="BE276" s="89" t="n">
        <v>43522</v>
      </c>
      <c r="BF276" s="89" t="n">
        <v>1602</v>
      </c>
      <c r="BG276" s="89" t="n">
        <v>3867</v>
      </c>
      <c r="BH276" s="89" t="n">
        <v>-51854</v>
      </c>
      <c r="BI276" s="89" t="n">
        <v>-21711</v>
      </c>
      <c r="BJ276" s="89" t="n">
        <v>10977</v>
      </c>
      <c r="BK276" s="89" t="n">
        <v>5113</v>
      </c>
      <c r="BL276" s="89" t="n">
        <v>8429</v>
      </c>
      <c r="BM276" s="89" t="n">
        <v>8233</v>
      </c>
      <c r="BN276" s="89" t="n">
        <v>532</v>
      </c>
      <c r="BO276" s="89" t="n">
        <v>2057</v>
      </c>
      <c r="BP276" s="89" t="n">
        <v>880</v>
      </c>
      <c r="BQ276" s="89" t="n">
        <v>0</v>
      </c>
      <c r="BR276" s="89" t="n">
        <v>0</v>
      </c>
      <c r="BS276" s="89" t="n">
        <v>0</v>
      </c>
      <c r="BT276" s="89" t="n">
        <v>0</v>
      </c>
      <c r="BU276" s="89" t="n">
        <v>0</v>
      </c>
      <c r="BV276" s="89" t="n">
        <v>0</v>
      </c>
      <c r="BW276" s="89" t="n">
        <v>0</v>
      </c>
      <c r="BX276" s="89" t="n">
        <v>0</v>
      </c>
      <c r="BY276" s="89" t="n">
        <v>0</v>
      </c>
    </row>
    <row r="277" ht="17" customHeight="1">
      <c r="A277" s="82" t="n">
        <v>275</v>
      </c>
      <c r="B277" s="83" t="inlineStr">
        <is>
          <t>KR</t>
        </is>
      </c>
      <c r="C277" s="84" t="inlineStr">
        <is>
          <t>KROGER CO</t>
        </is>
      </c>
      <c r="D277" s="82" t="inlineStr">
        <is>
          <t>Consumer Staples</t>
        </is>
      </c>
      <c r="E277" s="82" t="n">
        <v>2026</v>
      </c>
      <c r="F277" s="85" t="n">
        <v>49953</v>
      </c>
      <c r="G277" s="85" t="n">
        <v>14505</v>
      </c>
      <c r="H277" s="85" t="n">
        <v>18108</v>
      </c>
      <c r="I277" s="85" t="n">
        <v>44017</v>
      </c>
      <c r="J277" s="85" t="n">
        <v>28850</v>
      </c>
      <c r="K277" s="85" t="n">
        <v>1890</v>
      </c>
      <c r="L277" s="85" t="n">
        <v>147642</v>
      </c>
      <c r="M277" s="85" t="n">
        <v>1016</v>
      </c>
      <c r="N277" s="85" t="n">
        <v>7311</v>
      </c>
      <c r="O277" s="85" t="n">
        <v>76148</v>
      </c>
      <c r="P277" s="85" t="n">
        <v>15875</v>
      </c>
      <c r="Q277" s="85" t="n">
        <v>5927</v>
      </c>
      <c r="R277" s="91" t="inlineStr">
        <is>
          <t>N/A</t>
        </is>
      </c>
      <c r="S277" s="85" t="n">
        <v>3332</v>
      </c>
      <c r="T277" s="85" t="n">
        <v>2192</v>
      </c>
      <c r="U277" s="85" t="n">
        <v>21871</v>
      </c>
      <c r="V277" s="85" t="n">
        <v>441</v>
      </c>
      <c r="W277" s="85" t="n">
        <v>52616</v>
      </c>
      <c r="X277" s="85" t="n">
        <v>15273</v>
      </c>
      <c r="Y277" s="85" t="n">
        <v>15940</v>
      </c>
      <c r="Z277" s="85" t="n">
        <v>44335</v>
      </c>
      <c r="AA277" s="85" t="n">
        <v>3849</v>
      </c>
      <c r="AB277" s="85" t="n">
        <v>147123</v>
      </c>
      <c r="AC277" s="85" t="n">
        <v>2665</v>
      </c>
      <c r="AD277" s="85" t="n">
        <v>5794</v>
      </c>
      <c r="AE277" s="85" t="n">
        <v>130166</v>
      </c>
      <c r="AF277" s="85" t="n">
        <v>15909</v>
      </c>
      <c r="AG277" s="85" t="n">
        <v>8285</v>
      </c>
      <c r="AH277" s="85" t="n">
        <v>147123</v>
      </c>
      <c r="AI277" s="85" t="n">
        <v>52616</v>
      </c>
      <c r="AJ277" s="85" t="n">
        <v>1200</v>
      </c>
      <c r="AK277" s="85" t="n">
        <v>3342</v>
      </c>
      <c r="AL277" s="85" t="n">
        <v>176</v>
      </c>
      <c r="AM277" s="85" t="n">
        <v>670</v>
      </c>
      <c r="AN277" s="85" t="n">
        <v>3855</v>
      </c>
      <c r="AO277" s="85" t="n">
        <v>4017</v>
      </c>
      <c r="AP277" s="91" t="inlineStr">
        <is>
          <t>N/A</t>
        </is>
      </c>
      <c r="AQ277" s="91" t="inlineStr">
        <is>
          <t>N/A</t>
        </is>
      </c>
      <c r="AR277" s="85" t="n">
        <v>2595</v>
      </c>
      <c r="AS277" s="85" t="n">
        <v>808</v>
      </c>
      <c r="AT277" s="85" t="n">
        <v>1366</v>
      </c>
      <c r="AU277" s="91" t="inlineStr">
        <is>
          <t>N/A</t>
        </is>
      </c>
      <c r="AV277" s="85" t="n">
        <v>3334</v>
      </c>
      <c r="AW277" s="85" t="n">
        <v>3959</v>
      </c>
      <c r="AX277" s="85" t="n">
        <v>17241</v>
      </c>
      <c r="AY277" s="85" t="n">
        <v>15909</v>
      </c>
      <c r="AZ277" s="85" t="n">
        <v>13907</v>
      </c>
      <c r="BA277" s="85" t="n">
        <v>3456</v>
      </c>
      <c r="BB277" s="85" t="n">
        <v>1918</v>
      </c>
      <c r="BC277" s="85" t="n">
        <v>1918</v>
      </c>
      <c r="BD277" s="85" t="n">
        <v>2195</v>
      </c>
      <c r="BE277" s="85" t="n">
        <v>21635</v>
      </c>
      <c r="BF277" s="91" t="inlineStr">
        <is>
          <t>N/A</t>
        </is>
      </c>
      <c r="BG277" s="85" t="n">
        <v>3246</v>
      </c>
      <c r="BH277" s="85" t="n">
        <v>-3914</v>
      </c>
      <c r="BI277" s="85" t="n">
        <v>-3228</v>
      </c>
      <c r="BJ277" s="85" t="n">
        <v>10488</v>
      </c>
      <c r="BK277" s="85" t="n">
        <v>10124</v>
      </c>
      <c r="BL277" s="85" t="n">
        <v>286</v>
      </c>
      <c r="BM277" s="85" t="n">
        <v>256</v>
      </c>
      <c r="BN277" s="91" t="inlineStr">
        <is>
          <t>N/A</t>
        </is>
      </c>
      <c r="BO277" s="85" t="n">
        <v>71494</v>
      </c>
      <c r="BP277" s="85" t="n">
        <v>16957</v>
      </c>
      <c r="BQ277" s="85" t="n">
        <v>0</v>
      </c>
      <c r="BR277" s="85" t="n">
        <v>0</v>
      </c>
      <c r="BS277" s="91" t="inlineStr">
        <is>
          <t>N/A</t>
        </is>
      </c>
      <c r="BT277" s="91" t="inlineStr">
        <is>
          <t>N/A</t>
        </is>
      </c>
      <c r="BU277" s="85" t="n">
        <v>0</v>
      </c>
      <c r="BV277" s="85" t="n">
        <v>0</v>
      </c>
      <c r="BW277" s="85" t="n">
        <v>0</v>
      </c>
      <c r="BX277" s="85" t="n">
        <v>0</v>
      </c>
      <c r="BY277" s="85" t="n">
        <v>0</v>
      </c>
    </row>
    <row r="278" ht="17" customHeight="1">
      <c r="A278" s="86" t="n">
        <v>276</v>
      </c>
      <c r="B278" s="87" t="inlineStr">
        <is>
          <t>LLY</t>
        </is>
      </c>
      <c r="C278" s="88" t="inlineStr">
        <is>
          <t>ELI LILLY &amp; Co</t>
        </is>
      </c>
      <c r="D278" s="86" t="inlineStr">
        <is>
          <t>Health Care</t>
        </is>
      </c>
      <c r="E278" s="86" t="n">
        <v>2026</v>
      </c>
      <c r="F278" s="89" t="n">
        <v>112476</v>
      </c>
      <c r="G278" s="89" t="n">
        <v>55629</v>
      </c>
      <c r="H278" s="89" t="n">
        <v>35228</v>
      </c>
      <c r="I278" s="89" t="n">
        <v>112476</v>
      </c>
      <c r="J278" s="89" t="n">
        <v>24470</v>
      </c>
      <c r="K278" s="89" t="n">
        <v>25731</v>
      </c>
      <c r="L278" s="89" t="n">
        <v>65179</v>
      </c>
      <c r="M278" s="89" t="n">
        <v>20640</v>
      </c>
      <c r="N278" s="89" t="n">
        <v>16813</v>
      </c>
      <c r="O278" s="89" t="n">
        <v>54127</v>
      </c>
      <c r="P278" s="89" t="n">
        <v>29474</v>
      </c>
      <c r="Q278" s="89" t="n">
        <v>26535</v>
      </c>
      <c r="R278" s="89" t="n">
        <v>11094</v>
      </c>
      <c r="S278" s="89" t="n">
        <v>1997</v>
      </c>
      <c r="T278" s="89" t="n">
        <v>17760</v>
      </c>
      <c r="U278" s="89" t="n">
        <v>24675</v>
      </c>
      <c r="V278" s="89" t="n">
        <v>485.9</v>
      </c>
      <c r="W278" s="89" t="n">
        <v>78714.89999999999</v>
      </c>
      <c r="X278" s="89" t="n">
        <v>32739.7</v>
      </c>
      <c r="Y278" s="89" t="n">
        <v>28376.6</v>
      </c>
      <c r="Z278" s="89" t="n">
        <v>78714.89999999999</v>
      </c>
      <c r="AA278" s="89" t="n">
        <v>12680.4</v>
      </c>
      <c r="AB278" s="89" t="n">
        <v>45042.7</v>
      </c>
      <c r="AC278" s="89" t="n">
        <v>10590</v>
      </c>
      <c r="AD278" s="89" t="n">
        <v>8817.9</v>
      </c>
      <c r="AE278" s="89" t="n">
        <v>36624.4</v>
      </c>
      <c r="AF278" s="89" t="n">
        <v>19104.6</v>
      </c>
      <c r="AG278" s="89" t="n">
        <v>14192.1</v>
      </c>
      <c r="AH278" s="89" t="n">
        <v>45043</v>
      </c>
      <c r="AI278" s="89" t="n">
        <v>78715</v>
      </c>
      <c r="AJ278" s="89" t="n">
        <v>25731</v>
      </c>
      <c r="AK278" s="89" t="n">
        <v>12680.4</v>
      </c>
      <c r="AL278" s="89" t="n">
        <v>5091</v>
      </c>
      <c r="AM278" s="89" t="n">
        <v>2090.4</v>
      </c>
      <c r="AN278" s="90" t="inlineStr">
        <is>
          <t>N/A</t>
        </is>
      </c>
      <c r="AO278" s="90" t="inlineStr">
        <is>
          <t>N/A</t>
        </is>
      </c>
      <c r="AP278" s="89" t="n">
        <v>13744</v>
      </c>
      <c r="AQ278" s="89" t="n">
        <v>7589.2</v>
      </c>
      <c r="AR278" s="89" t="n">
        <v>5898</v>
      </c>
      <c r="AS278" s="89" t="n">
        <v>5334.8</v>
      </c>
      <c r="AT278" s="89" t="n">
        <v>1000</v>
      </c>
      <c r="AU278" s="89" t="n">
        <v>7190.8</v>
      </c>
      <c r="AV278" s="89" t="n">
        <v>7268</v>
      </c>
      <c r="AW278" s="89" t="n">
        <v>3268.4</v>
      </c>
      <c r="AX278" s="89" t="n">
        <v>30474</v>
      </c>
      <c r="AY278" s="89" t="n">
        <v>20117.2</v>
      </c>
      <c r="AZ278" s="89" t="n">
        <v>23206</v>
      </c>
      <c r="BA278" s="90" t="inlineStr">
        <is>
          <t>N/A</t>
        </is>
      </c>
      <c r="BB278" s="89" t="n">
        <v>944.8</v>
      </c>
      <c r="BC278" s="89" t="n">
        <v>947.9</v>
      </c>
      <c r="BD278" s="89" t="n">
        <v>11005.7</v>
      </c>
      <c r="BE278" s="89" t="n">
        <v>17102.4</v>
      </c>
      <c r="BF278" s="89" t="n">
        <v>8593.799999999999</v>
      </c>
      <c r="BG278" s="89" t="n">
        <v>1766.6</v>
      </c>
      <c r="BH278" s="89" t="n">
        <v>-10972</v>
      </c>
      <c r="BI278" s="89" t="n">
        <v>-9301.5</v>
      </c>
      <c r="BJ278" s="89" t="n">
        <v>5379</v>
      </c>
      <c r="BK278" s="89" t="n">
        <v>3228.6</v>
      </c>
      <c r="BL278" s="89" t="n">
        <v>166.3</v>
      </c>
      <c r="BM278" s="89" t="n">
        <v>193.6</v>
      </c>
      <c r="BN278" s="89" t="n">
        <v>346.7</v>
      </c>
      <c r="BO278" s="89" t="n">
        <v>11052</v>
      </c>
      <c r="BP278" s="89" t="n">
        <v>8418.299999999999</v>
      </c>
      <c r="BQ278" s="89" t="n">
        <v>0</v>
      </c>
      <c r="BR278" s="89" t="n">
        <v>0</v>
      </c>
      <c r="BS278" s="89" t="n">
        <v>0</v>
      </c>
      <c r="BT278" s="89" t="n">
        <v>0</v>
      </c>
      <c r="BU278" s="89" t="n">
        <v>0</v>
      </c>
      <c r="BV278" s="89" t="n">
        <v>0</v>
      </c>
      <c r="BW278" s="89" t="n">
        <v>0</v>
      </c>
      <c r="BX278" s="89" t="n">
        <v>0</v>
      </c>
      <c r="BY278" s="89" t="n">
        <v>0</v>
      </c>
    </row>
    <row r="279" ht="17" customHeight="1">
      <c r="A279" s="82" t="n">
        <v>277</v>
      </c>
      <c r="B279" s="83" t="inlineStr">
        <is>
          <t>MTZ</t>
        </is>
      </c>
      <c r="C279" s="84" t="inlineStr">
        <is>
          <t>MasTec, Inc.</t>
        </is>
      </c>
      <c r="D279" s="82" t="inlineStr">
        <is>
          <t>Industrials</t>
        </is>
      </c>
      <c r="E279" s="82" t="n">
        <v>2026</v>
      </c>
      <c r="F279" s="85" t="n">
        <v>9923.5</v>
      </c>
      <c r="G279" s="85" t="n">
        <v>4329.1</v>
      </c>
      <c r="H279" s="85" t="n">
        <v>3271</v>
      </c>
      <c r="I279" s="85" t="n">
        <v>6589</v>
      </c>
      <c r="J279" s="85" t="n">
        <v>2707.6</v>
      </c>
      <c r="K279" s="85" t="n">
        <v>515.4</v>
      </c>
      <c r="L279" s="85" t="n">
        <v>14299.2</v>
      </c>
      <c r="M279" s="85" t="n">
        <v>399</v>
      </c>
      <c r="N279" s="85" t="n">
        <v>545.7</v>
      </c>
      <c r="O279" s="85" t="n">
        <v>11693.1</v>
      </c>
      <c r="P279" s="85" t="n">
        <v>494.9</v>
      </c>
      <c r="Q279" s="85" t="n">
        <v>3259.3</v>
      </c>
      <c r="R279" s="85" t="n">
        <v>713</v>
      </c>
      <c r="S279" s="85" t="n">
        <v>427.1</v>
      </c>
      <c r="T279" s="85" t="n">
        <v>1540.3</v>
      </c>
      <c r="U279" s="85" t="n">
        <v>982.3</v>
      </c>
      <c r="V279" s="85" t="n">
        <v>35</v>
      </c>
      <c r="W279" s="85" t="n">
        <v>8975.299999999999</v>
      </c>
      <c r="X279" s="85" t="n">
        <v>3652.5</v>
      </c>
      <c r="Y279" s="85" t="n">
        <v>2999.7</v>
      </c>
      <c r="Z279" s="85" t="n">
        <v>5987.9</v>
      </c>
      <c r="AA279" s="85" t="n">
        <v>251</v>
      </c>
      <c r="AB279" s="85" t="n">
        <v>12303.5</v>
      </c>
      <c r="AC279" s="85" t="n">
        <v>162.8</v>
      </c>
      <c r="AD279" s="85" t="n">
        <v>1121.6</v>
      </c>
      <c r="AE279" s="85" t="n">
        <v>10364.6</v>
      </c>
      <c r="AF279" s="85" t="n">
        <v>412.6</v>
      </c>
      <c r="AG279" s="85" t="n">
        <v>2911.9</v>
      </c>
      <c r="AH279" s="85" t="n">
        <v>12303.5</v>
      </c>
      <c r="AI279" s="85" t="n">
        <v>8975.299999999999</v>
      </c>
      <c r="AJ279" s="85" t="n">
        <v>515.4</v>
      </c>
      <c r="AK279" s="85" t="n">
        <v>251</v>
      </c>
      <c r="AL279" s="85" t="n">
        <v>93.40000000000001</v>
      </c>
      <c r="AM279" s="85" t="n">
        <v>51.5</v>
      </c>
      <c r="AN279" s="85" t="n">
        <v>71.7</v>
      </c>
      <c r="AO279" s="85" t="n">
        <v>30.4</v>
      </c>
      <c r="AP279" s="85" t="n">
        <v>112.5</v>
      </c>
      <c r="AQ279" s="85" t="n">
        <v>107.3</v>
      </c>
      <c r="AR279" s="85" t="n">
        <v>2249</v>
      </c>
      <c r="AS279" s="85" t="n">
        <v>656.2</v>
      </c>
      <c r="AT279" s="85" t="n">
        <v>34.2</v>
      </c>
      <c r="AU279" s="91" t="inlineStr">
        <is>
          <t>N/A</t>
        </is>
      </c>
      <c r="AV279" s="85" t="n">
        <v>396</v>
      </c>
      <c r="AW279" s="85" t="n">
        <v>399.9</v>
      </c>
      <c r="AX279" s="85" t="n">
        <v>529.1</v>
      </c>
      <c r="AY279" s="85" t="n">
        <v>431</v>
      </c>
      <c r="AZ279" s="85" t="n">
        <v>133.1</v>
      </c>
      <c r="BA279" s="85" t="n">
        <v>474</v>
      </c>
      <c r="BB279" s="85" t="n">
        <v>99.3</v>
      </c>
      <c r="BC279" s="85" t="n">
        <v>99</v>
      </c>
      <c r="BD279" s="85" t="n">
        <v>1381.5</v>
      </c>
      <c r="BE279" s="85" t="n">
        <v>905.8</v>
      </c>
      <c r="BF279" s="85" t="n">
        <v>684.5</v>
      </c>
      <c r="BG279" s="85" t="n">
        <v>506.6</v>
      </c>
      <c r="BH279" s="85" t="n">
        <v>-267.2</v>
      </c>
      <c r="BI279" s="85" t="n">
        <v>-157.5</v>
      </c>
      <c r="BJ279" s="85" t="n">
        <v>1280.9</v>
      </c>
      <c r="BK279" s="85" t="n">
        <v>1105.7</v>
      </c>
      <c r="BL279" s="85" t="n">
        <v>747.7</v>
      </c>
      <c r="BM279" s="85" t="n">
        <v>735.6</v>
      </c>
      <c r="BN279" s="85" t="n">
        <v>64.7</v>
      </c>
      <c r="BO279" s="85" t="n">
        <v>2606.1</v>
      </c>
      <c r="BP279" s="85" t="n">
        <v>1938.9</v>
      </c>
      <c r="BQ279" s="85" t="n">
        <v>0</v>
      </c>
      <c r="BR279" s="85" t="n">
        <v>0</v>
      </c>
      <c r="BS279" s="85" t="n">
        <v>0</v>
      </c>
      <c r="BT279" s="85" t="n">
        <v>0</v>
      </c>
      <c r="BU279" s="85" t="n">
        <v>0</v>
      </c>
      <c r="BV279" s="85" t="n">
        <v>0</v>
      </c>
      <c r="BW279" s="85" t="n">
        <v>0</v>
      </c>
      <c r="BX279" s="85" t="n">
        <v>0</v>
      </c>
      <c r="BY279" s="85" t="n">
        <v>0</v>
      </c>
    </row>
    <row r="280" ht="17" customHeight="1">
      <c r="A280" s="86" t="n">
        <v>278</v>
      </c>
      <c r="B280" s="87" t="inlineStr">
        <is>
          <t>TPR</t>
        </is>
      </c>
      <c r="C280" s="88" t="inlineStr">
        <is>
          <t>Tapestry, Inc.</t>
        </is>
      </c>
      <c r="D280" s="86" t="inlineStr">
        <is>
          <t>Consumer Discretionary</t>
        </is>
      </c>
      <c r="E280" s="86" t="n">
        <v>2026</v>
      </c>
      <c r="F280" s="89" t="n">
        <v>6580.5</v>
      </c>
      <c r="G280" s="89" t="n">
        <v>2905.6</v>
      </c>
      <c r="H280" s="89" t="n">
        <v>1556.9</v>
      </c>
      <c r="I280" s="89" t="n">
        <v>5722.7</v>
      </c>
      <c r="J280" s="89" t="n">
        <v>-2556.8</v>
      </c>
      <c r="K280" s="89" t="n">
        <v>415</v>
      </c>
      <c r="L280" s="89" t="n">
        <v>5880</v>
      </c>
      <c r="M280" s="89" t="n">
        <v>183.2</v>
      </c>
      <c r="N280" s="89" t="n">
        <v>1216.6</v>
      </c>
      <c r="O280" s="89" t="n">
        <v>5288.9</v>
      </c>
      <c r="P280" s="89" t="n">
        <v>2377.9</v>
      </c>
      <c r="Q280" s="89" t="n">
        <v>857.8</v>
      </c>
      <c r="R280" s="89" t="n">
        <v>4019.1</v>
      </c>
      <c r="S280" s="89" t="n">
        <v>167.4</v>
      </c>
      <c r="T280" s="89" t="n">
        <v>239.3</v>
      </c>
      <c r="U280" s="89" t="n">
        <v>775.2</v>
      </c>
      <c r="V280" s="89" t="n">
        <v>271.2</v>
      </c>
      <c r="W280" s="89" t="n">
        <v>13396.3</v>
      </c>
      <c r="X280" s="89" t="n">
        <v>8803.700000000001</v>
      </c>
      <c r="Y280" s="89" t="n">
        <v>1711.6</v>
      </c>
      <c r="Z280" s="89" t="n">
        <v>10499.4</v>
      </c>
      <c r="AA280" s="89" t="n">
        <v>1140.1</v>
      </c>
      <c r="AB280" s="89" t="n">
        <v>1483.7</v>
      </c>
      <c r="AC280" s="89" t="n">
        <v>816</v>
      </c>
      <c r="AD280" s="89" t="n">
        <v>1255.6</v>
      </c>
      <c r="AE280" s="89" t="n">
        <v>4889.5</v>
      </c>
      <c r="AF280" s="89" t="n">
        <v>6937.2</v>
      </c>
      <c r="AG280" s="89" t="n">
        <v>2896.9</v>
      </c>
      <c r="AH280" s="89" t="n">
        <v>1322.4</v>
      </c>
      <c r="AI280" s="89" t="n">
        <v>13396.3</v>
      </c>
      <c r="AJ280" s="89" t="n">
        <v>216.1</v>
      </c>
      <c r="AK280" s="89" t="n">
        <v>1011.9</v>
      </c>
      <c r="AL280" s="89" t="n">
        <v>32.9</v>
      </c>
      <c r="AM280" s="89" t="n">
        <v>195.9</v>
      </c>
      <c r="AN280" s="89" t="n">
        <v>122.7</v>
      </c>
      <c r="AO280" s="89" t="n">
        <v>108.9</v>
      </c>
      <c r="AP280" s="89" t="n">
        <v>860.7</v>
      </c>
      <c r="AQ280" s="89" t="n">
        <v>824.8</v>
      </c>
      <c r="AR280" s="89" t="n">
        <v>983.3</v>
      </c>
      <c r="AS280" s="89" t="n">
        <v>20.5</v>
      </c>
      <c r="AT280" s="89" t="n">
        <v>16.7</v>
      </c>
      <c r="AU280" s="90" t="inlineStr">
        <is>
          <t>N/A</t>
        </is>
      </c>
      <c r="AV280" s="89" t="n">
        <v>1100</v>
      </c>
      <c r="AW280" s="89" t="n">
        <v>6142</v>
      </c>
      <c r="AX280" s="89" t="n">
        <v>2394.6</v>
      </c>
      <c r="AY280" s="89" t="n">
        <v>6937.2</v>
      </c>
      <c r="AZ280" s="89" t="n">
        <v>1294.6</v>
      </c>
      <c r="BA280" s="89" t="n">
        <v>1093.9</v>
      </c>
      <c r="BB280" s="89" t="n">
        <v>208.1</v>
      </c>
      <c r="BC280" s="89" t="n">
        <v>230.2</v>
      </c>
      <c r="BD280" s="89" t="n">
        <v>228.2</v>
      </c>
      <c r="BE280" s="89" t="n">
        <v>938.8</v>
      </c>
      <c r="BF280" s="89" t="n">
        <v>3749.4</v>
      </c>
      <c r="BG280" s="89" t="n">
        <v>174</v>
      </c>
      <c r="BH280" s="89" t="n">
        <v>914</v>
      </c>
      <c r="BI280" s="89" t="n">
        <v>-1041.9</v>
      </c>
      <c r="BJ280" s="89" t="n">
        <v>456.1</v>
      </c>
      <c r="BK280" s="89" t="n">
        <v>452.2</v>
      </c>
      <c r="BL280" s="89" t="n">
        <v>38</v>
      </c>
      <c r="BM280" s="89" t="n">
        <v>45.5</v>
      </c>
      <c r="BN280" s="89" t="n">
        <v>56.8</v>
      </c>
      <c r="BO280" s="89" t="n">
        <v>1721.8</v>
      </c>
      <c r="BP280" s="89" t="n">
        <v>1781.7</v>
      </c>
      <c r="BQ280" s="89" t="n">
        <v>0</v>
      </c>
      <c r="BR280" s="89" t="n">
        <v>0</v>
      </c>
      <c r="BS280" s="89" t="n">
        <v>0</v>
      </c>
      <c r="BT280" s="89" t="n">
        <v>0</v>
      </c>
      <c r="BU280" s="89" t="n">
        <v>0</v>
      </c>
      <c r="BV280" s="89" t="n">
        <v>0</v>
      </c>
      <c r="BW280" s="89" t="n">
        <v>0</v>
      </c>
      <c r="BX280" s="89" t="n">
        <v>0</v>
      </c>
      <c r="BY280" s="89" t="n">
        <v>0</v>
      </c>
    </row>
    <row r="281" ht="17" customHeight="1">
      <c r="A281" s="82" t="n">
        <v>279</v>
      </c>
      <c r="B281" s="83" t="inlineStr">
        <is>
          <t>CSL</t>
        </is>
      </c>
      <c r="C281" s="84" t="inlineStr">
        <is>
          <t>CARLISLE COMPANIES INCORPORATED</t>
        </is>
      </c>
      <c r="D281" s="82" t="inlineStr">
        <is>
          <t>Industrials</t>
        </is>
      </c>
      <c r="E281" s="82" t="n">
        <v>2026</v>
      </c>
      <c r="F281" s="85" t="n">
        <v>6263</v>
      </c>
      <c r="G281" s="85" t="n">
        <v>2277.4</v>
      </c>
      <c r="H281" s="85" t="n">
        <v>736</v>
      </c>
      <c r="I281" s="85" t="n">
        <v>6263</v>
      </c>
      <c r="J281" s="85" t="n">
        <v>7332.5</v>
      </c>
      <c r="K281" s="85" t="n">
        <v>1002.5</v>
      </c>
      <c r="L281" s="85" t="n">
        <v>5003.6</v>
      </c>
      <c r="M281" s="85" t="n">
        <v>740.7</v>
      </c>
      <c r="N281" s="85" t="n">
        <v>1101.8</v>
      </c>
      <c r="O281" s="85" t="n">
        <v>1634.2</v>
      </c>
      <c r="P281" s="85" t="n">
        <v>2886.4</v>
      </c>
      <c r="Q281" s="85" t="n">
        <v>1795.4</v>
      </c>
      <c r="R281" s="85" t="n">
        <v>745.4</v>
      </c>
      <c r="S281" s="85" t="n">
        <v>196.5</v>
      </c>
      <c r="T281" s="85" t="n">
        <v>593.8</v>
      </c>
      <c r="U281" s="85" t="n">
        <v>807.1</v>
      </c>
      <c r="V281" s="85" t="n">
        <v>29.6</v>
      </c>
      <c r="W281" s="85" t="n">
        <v>5816.6</v>
      </c>
      <c r="X281" s="85" t="n">
        <v>1926.3</v>
      </c>
      <c r="Y281" s="85" t="n">
        <v>665.8</v>
      </c>
      <c r="Z281" s="85" t="n">
        <v>5816.6</v>
      </c>
      <c r="AA281" s="85" t="n">
        <v>1143.1</v>
      </c>
      <c r="AB281" s="85" t="n">
        <v>4586.9</v>
      </c>
      <c r="AC281" s="85" t="n">
        <v>1311.8</v>
      </c>
      <c r="AD281" s="85" t="n">
        <v>1030.3</v>
      </c>
      <c r="AE281" s="85" t="n">
        <v>419.7</v>
      </c>
      <c r="AF281" s="85" t="n">
        <v>1890.6</v>
      </c>
      <c r="AG281" s="85" t="n">
        <v>2463.3</v>
      </c>
      <c r="AH281" s="85" t="n">
        <v>4586.9</v>
      </c>
      <c r="AI281" s="85" t="n">
        <v>5816.6</v>
      </c>
      <c r="AJ281" s="85" t="n">
        <v>948.8</v>
      </c>
      <c r="AK281" s="85" t="n">
        <v>1110.9</v>
      </c>
      <c r="AL281" s="85" t="n">
        <v>206.3</v>
      </c>
      <c r="AM281" s="85" t="n">
        <v>245.8</v>
      </c>
      <c r="AN281" s="85" t="n">
        <v>131.2</v>
      </c>
      <c r="AO281" s="85" t="n">
        <v>113.3</v>
      </c>
      <c r="AP281" s="85" t="n">
        <v>447.3</v>
      </c>
      <c r="AQ281" s="85" t="n">
        <v>472.7</v>
      </c>
      <c r="AR281" s="85" t="n">
        <v>1538.9</v>
      </c>
      <c r="AS281" s="85" t="n">
        <v>1425.5</v>
      </c>
      <c r="AT281" s="85" t="n">
        <v>149.9</v>
      </c>
      <c r="AU281" s="85" t="n">
        <v>47.1</v>
      </c>
      <c r="AV281" s="85" t="n">
        <v>1112.1</v>
      </c>
      <c r="AW281" s="85" t="n">
        <v>753.5</v>
      </c>
      <c r="AX281" s="85" t="n">
        <v>3036.3</v>
      </c>
      <c r="AY281" s="85" t="n">
        <v>2048.7</v>
      </c>
      <c r="AZ281" s="85" t="n">
        <v>1924.2</v>
      </c>
      <c r="BA281" s="85" t="n">
        <v>970.6</v>
      </c>
      <c r="BB281" s="85" t="n">
        <v>41</v>
      </c>
      <c r="BC281" s="85" t="n">
        <v>44.4</v>
      </c>
      <c r="BD281" s="85" t="n">
        <v>579.7</v>
      </c>
      <c r="BE281" s="85" t="n">
        <v>711.8</v>
      </c>
      <c r="BF281" s="85" t="n">
        <v>722.8</v>
      </c>
      <c r="BG281" s="85" t="n">
        <v>172.6</v>
      </c>
      <c r="BH281" s="85" t="n">
        <v>-240.4</v>
      </c>
      <c r="BI281" s="85" t="n">
        <v>1229.6</v>
      </c>
      <c r="BJ281" s="85" t="n">
        <v>233</v>
      </c>
      <c r="BK281" s="85" t="n">
        <v>261.1</v>
      </c>
      <c r="BL281" s="85" t="n">
        <v>27.8</v>
      </c>
      <c r="BM281" s="85" t="n">
        <v>23.2</v>
      </c>
      <c r="BN281" s="85" t="n">
        <v>147.8</v>
      </c>
      <c r="BO281" s="85" t="n">
        <v>3227.3</v>
      </c>
      <c r="BP281" s="85" t="n">
        <v>3115.9</v>
      </c>
      <c r="BQ281" s="85" t="n">
        <v>0</v>
      </c>
      <c r="BR281" s="85" t="n">
        <v>0</v>
      </c>
      <c r="BS281" s="85" t="n">
        <v>0</v>
      </c>
      <c r="BT281" s="85" t="n">
        <v>0</v>
      </c>
      <c r="BU281" s="85" t="n">
        <v>0</v>
      </c>
      <c r="BV281" s="85" t="n">
        <v>0</v>
      </c>
      <c r="BW281" s="85" t="n">
        <v>0</v>
      </c>
      <c r="BX281" s="85" t="n">
        <v>0</v>
      </c>
      <c r="BY281" s="85" t="n">
        <v>0</v>
      </c>
    </row>
    <row r="282" ht="17" customHeight="1">
      <c r="A282" s="86" t="n">
        <v>280</v>
      </c>
      <c r="B282" s="87" t="inlineStr">
        <is>
          <t>FOUR</t>
        </is>
      </c>
      <c r="C282" s="88" t="inlineStr">
        <is>
          <t>SHIFT4 PAYMENTS, INC.</t>
        </is>
      </c>
      <c r="D282" s="86" t="inlineStr">
        <is>
          <t>Financials</t>
        </is>
      </c>
      <c r="E282" s="86" t="n">
        <v>2026</v>
      </c>
      <c r="F282" s="89" t="n">
        <v>8713</v>
      </c>
      <c r="G282" s="89" t="n">
        <v>2181</v>
      </c>
      <c r="H282" s="89" t="n">
        <v>1314</v>
      </c>
      <c r="I282" s="89" t="n">
        <v>6756</v>
      </c>
      <c r="J282" s="89" t="n">
        <v>-467</v>
      </c>
      <c r="K282" s="89" t="n">
        <v>351</v>
      </c>
      <c r="L282" s="89" t="n">
        <v>4180</v>
      </c>
      <c r="M282" s="89" t="n">
        <v>119</v>
      </c>
      <c r="N282" s="89" t="n">
        <v>634</v>
      </c>
      <c r="O282" s="89" t="n">
        <v>278.4</v>
      </c>
      <c r="P282" s="89" t="n">
        <v>4546</v>
      </c>
      <c r="Q282" s="89" t="n">
        <v>1442</v>
      </c>
      <c r="R282" s="89" t="n">
        <v>682</v>
      </c>
      <c r="S282" s="89" t="n">
        <v>290</v>
      </c>
      <c r="T282" s="89" t="n">
        <v>742</v>
      </c>
      <c r="U282" s="89" t="n">
        <v>28.6</v>
      </c>
      <c r="V282" s="89" t="n">
        <v>32.1</v>
      </c>
      <c r="W282" s="89" t="n">
        <v>5041.4</v>
      </c>
      <c r="X282" s="89" t="n">
        <v>1910.4</v>
      </c>
      <c r="Y282" s="89" t="n">
        <v>1379.8</v>
      </c>
      <c r="Z282" s="89" t="n">
        <v>4023.7</v>
      </c>
      <c r="AA282" s="89" t="n">
        <v>247</v>
      </c>
      <c r="AB282" s="89" t="n">
        <v>3330.6</v>
      </c>
      <c r="AC282" s="89" t="n">
        <v>229.6</v>
      </c>
      <c r="AD282" s="89" t="n">
        <v>500.3</v>
      </c>
      <c r="AE282" s="89" t="n">
        <v>177.8</v>
      </c>
      <c r="AF282" s="89" t="n">
        <v>2841</v>
      </c>
      <c r="AG282" s="89" t="n">
        <v>806.6</v>
      </c>
      <c r="AH282" s="89" t="n">
        <v>3331</v>
      </c>
      <c r="AI282" s="89" t="n">
        <v>5041</v>
      </c>
      <c r="AJ282" s="89" t="n">
        <v>195</v>
      </c>
      <c r="AK282" s="89" t="n">
        <v>-1.6</v>
      </c>
      <c r="AL282" s="89" t="n">
        <v>48</v>
      </c>
      <c r="AM282" s="89" t="n">
        <v>-296.1</v>
      </c>
      <c r="AN282" s="89" t="n">
        <v>10</v>
      </c>
      <c r="AO282" s="89" t="n">
        <v>7.1</v>
      </c>
      <c r="AP282" s="89" t="n">
        <v>8.9</v>
      </c>
      <c r="AQ282" s="89" t="n">
        <v>3.4</v>
      </c>
      <c r="AR282" s="89" t="n">
        <v>2704</v>
      </c>
      <c r="AS282" s="89" t="n">
        <v>3010</v>
      </c>
      <c r="AT282" s="89" t="n">
        <v>10</v>
      </c>
      <c r="AU282" s="89" t="n">
        <v>6</v>
      </c>
      <c r="AV282" s="89" t="n">
        <v>964</v>
      </c>
      <c r="AW282" s="89" t="n">
        <v>1211.9</v>
      </c>
      <c r="AX282" s="89" t="n">
        <v>4556</v>
      </c>
      <c r="AY282" s="89" t="n">
        <v>2841</v>
      </c>
      <c r="AZ282" s="89" t="n">
        <v>3592</v>
      </c>
      <c r="BA282" s="89" t="n">
        <v>624</v>
      </c>
      <c r="BB282" s="89" t="n">
        <v>80.59999999999999</v>
      </c>
      <c r="BC282" s="89" t="n">
        <v>78</v>
      </c>
      <c r="BD282" s="89" t="n">
        <v>348.7</v>
      </c>
      <c r="BE282" s="89" t="n">
        <v>22.3</v>
      </c>
      <c r="BF282" s="89" t="n">
        <v>459.5</v>
      </c>
      <c r="BG282" s="89" t="n">
        <v>199.5</v>
      </c>
      <c r="BH282" s="89" t="n">
        <v>-2998</v>
      </c>
      <c r="BI282" s="89" t="n">
        <v>-691.1</v>
      </c>
      <c r="BJ282" s="89" t="n">
        <v>679</v>
      </c>
      <c r="BK282" s="89" t="n">
        <v>248.3</v>
      </c>
      <c r="BL282" s="89" t="n">
        <v>13</v>
      </c>
      <c r="BM282" s="89" t="n">
        <v>15.5</v>
      </c>
      <c r="BN282" s="89" t="n">
        <v>4.4</v>
      </c>
      <c r="BO282" s="89" t="n">
        <v>1089.1</v>
      </c>
      <c r="BP282" s="89" t="n">
        <v>589.1</v>
      </c>
      <c r="BQ282" s="89" t="n">
        <v>0</v>
      </c>
      <c r="BR282" s="89" t="n">
        <v>0</v>
      </c>
      <c r="BS282" s="89" t="n">
        <v>0</v>
      </c>
      <c r="BT282" s="89" t="n">
        <v>0</v>
      </c>
      <c r="BU282" s="89" t="n">
        <v>0</v>
      </c>
      <c r="BV282" s="89" t="n">
        <v>0</v>
      </c>
      <c r="BW282" s="89" t="n">
        <v>0</v>
      </c>
      <c r="BX282" s="89" t="n">
        <v>0</v>
      </c>
      <c r="BY282" s="89" t="n">
        <v>0</v>
      </c>
    </row>
    <row r="283" ht="17" customHeight="1">
      <c r="A283" s="82" t="n">
        <v>281</v>
      </c>
      <c r="B283" s="83" t="inlineStr">
        <is>
          <t>SYF</t>
        </is>
      </c>
      <c r="C283" s="84" t="inlineStr">
        <is>
          <t>Synchrony Financial</t>
        </is>
      </c>
      <c r="D283" s="82" t="inlineStr">
        <is>
          <t>Financials</t>
        </is>
      </c>
      <c r="E283" s="82" t="n">
        <v>2026</v>
      </c>
      <c r="F283" s="85" t="n">
        <v>119095</v>
      </c>
      <c r="G283" s="91" t="inlineStr">
        <is>
          <t>N/A</t>
        </is>
      </c>
      <c r="H283" s="91" t="inlineStr">
        <is>
          <t>N/A</t>
        </is>
      </c>
      <c r="I283" s="85" t="n">
        <v>102329</v>
      </c>
      <c r="J283" s="85" t="n">
        <v>24598</v>
      </c>
      <c r="K283" s="85" t="n">
        <v>4621</v>
      </c>
      <c r="L283" s="91" t="inlineStr">
        <is>
          <t>N/A</t>
        </is>
      </c>
      <c r="M283" s="85" t="n">
        <v>3552</v>
      </c>
      <c r="N283" s="85" t="n">
        <v>9851</v>
      </c>
      <c r="O283" s="91" t="inlineStr">
        <is>
          <t>N/A</t>
        </is>
      </c>
      <c r="P283" s="85" t="n">
        <v>15182</v>
      </c>
      <c r="Q283" s="85" t="n">
        <v>16766</v>
      </c>
      <c r="R283" s="91" t="inlineStr">
        <is>
          <t>N/A</t>
        </is>
      </c>
      <c r="S283" s="85" t="n">
        <v>514</v>
      </c>
      <c r="T283" s="91" t="inlineStr">
        <is>
          <t>N/A</t>
        </is>
      </c>
      <c r="U283" s="91" t="inlineStr">
        <is>
          <t>N/A</t>
        </is>
      </c>
      <c r="V283" s="85" t="n">
        <v>3711</v>
      </c>
      <c r="W283" s="85" t="n">
        <v>119463</v>
      </c>
      <c r="X283" s="91" t="inlineStr">
        <is>
          <t>N/A</t>
        </is>
      </c>
      <c r="Y283" s="91" t="inlineStr">
        <is>
          <t>N/A</t>
        </is>
      </c>
      <c r="Z283" s="85" t="n">
        <v>102883</v>
      </c>
      <c r="AA283" s="85" t="n">
        <v>4553</v>
      </c>
      <c r="AB283" s="91" t="inlineStr">
        <is>
          <t>N/A</t>
        </is>
      </c>
      <c r="AC283" s="85" t="n">
        <v>3499</v>
      </c>
      <c r="AD283" s="85" t="n">
        <v>9848</v>
      </c>
      <c r="AE283" s="91" t="inlineStr">
        <is>
          <t>N/A</t>
        </is>
      </c>
      <c r="AF283" s="85" t="n">
        <v>15462</v>
      </c>
      <c r="AG283" s="85" t="n">
        <v>16580</v>
      </c>
      <c r="AH283" s="91" t="inlineStr">
        <is>
          <t>N/A</t>
        </is>
      </c>
      <c r="AI283" s="85" t="n">
        <v>119463</v>
      </c>
      <c r="AJ283" s="85" t="n">
        <v>4621</v>
      </c>
      <c r="AK283" s="85" t="n">
        <v>4553</v>
      </c>
      <c r="AL283" s="85" t="n">
        <v>1069</v>
      </c>
      <c r="AM283" s="85" t="n">
        <v>1054</v>
      </c>
      <c r="AN283" s="91" t="inlineStr">
        <is>
          <t>N/A</t>
        </is>
      </c>
      <c r="AO283" s="91" t="inlineStr">
        <is>
          <t>N/A</t>
        </is>
      </c>
      <c r="AP283" s="91" t="inlineStr">
        <is>
          <t>N/A</t>
        </is>
      </c>
      <c r="AQ283" s="91" t="inlineStr">
        <is>
          <t>N/A</t>
        </is>
      </c>
      <c r="AR283" s="85" t="n">
        <v>1363</v>
      </c>
      <c r="AS283" s="85" t="n">
        <v>1255</v>
      </c>
      <c r="AT283" s="91" t="inlineStr">
        <is>
          <t>N/A</t>
        </is>
      </c>
      <c r="AU283" s="91" t="inlineStr">
        <is>
          <t>N/A</t>
        </is>
      </c>
      <c r="AV283" s="85" t="n">
        <v>14973</v>
      </c>
      <c r="AW283" s="85" t="n">
        <v>14711</v>
      </c>
      <c r="AX283" s="85" t="n">
        <v>15182</v>
      </c>
      <c r="AY283" s="85" t="n">
        <v>15462</v>
      </c>
      <c r="AZ283" s="85" t="n">
        <v>209</v>
      </c>
      <c r="BA283" s="91" t="inlineStr">
        <is>
          <t>N/A</t>
        </is>
      </c>
      <c r="BB283" s="85" t="n">
        <v>347</v>
      </c>
      <c r="BC283" s="85" t="n">
        <v>388.3</v>
      </c>
      <c r="BD283" s="91" t="inlineStr">
        <is>
          <t>N/A</t>
        </is>
      </c>
      <c r="BE283" s="91" t="inlineStr">
        <is>
          <t>N/A</t>
        </is>
      </c>
      <c r="BF283" s="91" t="inlineStr">
        <is>
          <t>N/A</t>
        </is>
      </c>
      <c r="BG283" s="85" t="n">
        <v>481</v>
      </c>
      <c r="BH283" s="85" t="n">
        <v>-4854</v>
      </c>
      <c r="BI283" s="85" t="n">
        <v>-8903</v>
      </c>
      <c r="BJ283" s="91" t="inlineStr">
        <is>
          <t>N/A</t>
        </is>
      </c>
      <c r="BK283" s="91" t="inlineStr">
        <is>
          <t>N/A</t>
        </is>
      </c>
      <c r="BL283" s="85" t="n">
        <v>1800</v>
      </c>
      <c r="BM283" s="85" t="n">
        <v>1800</v>
      </c>
      <c r="BN283" s="91" t="inlineStr">
        <is>
          <t>N/A</t>
        </is>
      </c>
      <c r="BO283" s="91" t="inlineStr">
        <is>
          <t>N/A</t>
        </is>
      </c>
      <c r="BP283" s="91" t="inlineStr">
        <is>
          <t>N/A</t>
        </is>
      </c>
      <c r="BQ283" s="91" t="inlineStr">
        <is>
          <t>N/A</t>
        </is>
      </c>
      <c r="BR283" s="91" t="inlineStr">
        <is>
          <t>N/A</t>
        </is>
      </c>
      <c r="BS283" s="91" t="inlineStr">
        <is>
          <t>N/A</t>
        </is>
      </c>
      <c r="BT283" s="91" t="inlineStr">
        <is>
          <t>N/A</t>
        </is>
      </c>
      <c r="BU283" s="91" t="inlineStr">
        <is>
          <t>N/A</t>
        </is>
      </c>
      <c r="BV283" s="91" t="inlineStr">
        <is>
          <t>N/A</t>
        </is>
      </c>
      <c r="BW283" s="85" t="n">
        <v>0</v>
      </c>
      <c r="BX283" s="91" t="inlineStr">
        <is>
          <t>N/A</t>
        </is>
      </c>
      <c r="BY283" s="85" t="n">
        <v>0</v>
      </c>
    </row>
    <row r="284" ht="17" customHeight="1">
      <c r="A284" s="86" t="n">
        <v>282</v>
      </c>
      <c r="B284" s="87" t="inlineStr">
        <is>
          <t>TXN</t>
        </is>
      </c>
      <c r="C284" s="88" t="inlineStr">
        <is>
          <t>TEXAS INSTRUMENTS INCORPORATED</t>
        </is>
      </c>
      <c r="D284" s="86" t="inlineStr">
        <is>
          <t>Information Technology</t>
        </is>
      </c>
      <c r="E284" s="86" t="n">
        <v>2026</v>
      </c>
      <c r="F284" s="89" t="n">
        <v>34585</v>
      </c>
      <c r="G284" s="89" t="n">
        <v>13750</v>
      </c>
      <c r="H284" s="89" t="n">
        <v>3159</v>
      </c>
      <c r="I284" s="89" t="n">
        <v>18312</v>
      </c>
      <c r="J284" s="89" t="n">
        <v>52236</v>
      </c>
      <c r="K284" s="89" t="n">
        <v>6023</v>
      </c>
      <c r="L284" s="89" t="n">
        <v>17682</v>
      </c>
      <c r="M284" s="89" t="n">
        <v>5001</v>
      </c>
      <c r="N284" s="89" t="n">
        <v>7153</v>
      </c>
      <c r="O284" s="89" t="n">
        <v>10083</v>
      </c>
      <c r="P284" s="89" t="n">
        <v>14048</v>
      </c>
      <c r="Q284" s="89" t="n">
        <v>16273</v>
      </c>
      <c r="R284" s="89" t="n">
        <v>1860</v>
      </c>
      <c r="S284" s="89" t="n">
        <v>1918</v>
      </c>
      <c r="T284" s="89" t="n">
        <v>1963</v>
      </c>
      <c r="U284" s="89" t="n">
        <v>12320</v>
      </c>
      <c r="V284" s="89" t="n">
        <v>542</v>
      </c>
      <c r="W284" s="89" t="n">
        <v>35509</v>
      </c>
      <c r="X284" s="89" t="n">
        <v>15026</v>
      </c>
      <c r="Y284" s="89" t="n">
        <v>3643</v>
      </c>
      <c r="Z284" s="89" t="n">
        <v>18606</v>
      </c>
      <c r="AA284" s="89" t="n">
        <v>5465</v>
      </c>
      <c r="AB284" s="89" t="n">
        <v>15641</v>
      </c>
      <c r="AC284" s="89" t="n">
        <v>4799</v>
      </c>
      <c r="AD284" s="89" t="n">
        <v>6318</v>
      </c>
      <c r="AE284" s="89" t="n">
        <v>9094</v>
      </c>
      <c r="AF284" s="89" t="n">
        <v>13596</v>
      </c>
      <c r="AG284" s="89" t="n">
        <v>16903</v>
      </c>
      <c r="AH284" s="89" t="n">
        <v>15641</v>
      </c>
      <c r="AI284" s="89" t="n">
        <v>35509</v>
      </c>
      <c r="AJ284" s="89" t="n">
        <v>5710</v>
      </c>
      <c r="AK284" s="89" t="n">
        <v>5453</v>
      </c>
      <c r="AL284" s="89" t="n">
        <v>709</v>
      </c>
      <c r="AM284" s="89" t="n">
        <v>654</v>
      </c>
      <c r="AN284" s="89" t="n">
        <v>4550</v>
      </c>
      <c r="AO284" s="89" t="n">
        <v>4820</v>
      </c>
      <c r="AP284" s="89" t="n">
        <v>4804</v>
      </c>
      <c r="AQ284" s="89" t="n">
        <v>4527</v>
      </c>
      <c r="AR284" s="89" t="n">
        <v>4330</v>
      </c>
      <c r="AS284" s="89" t="n">
        <v>152</v>
      </c>
      <c r="AT284" s="89" t="n">
        <v>500</v>
      </c>
      <c r="AU284" s="89" t="n">
        <v>2083</v>
      </c>
      <c r="AV284" s="89" t="n">
        <v>3225</v>
      </c>
      <c r="AW284" s="89" t="n">
        <v>3200</v>
      </c>
      <c r="AX284" s="89" t="n">
        <v>14548</v>
      </c>
      <c r="AY284" s="89" t="n">
        <v>13596</v>
      </c>
      <c r="AZ284" s="89" t="n">
        <v>11323</v>
      </c>
      <c r="BA284" s="89" t="n">
        <v>2603</v>
      </c>
      <c r="BB284" s="89" t="n">
        <v>1741</v>
      </c>
      <c r="BC284" s="89" t="n">
        <v>1741</v>
      </c>
      <c r="BD284" s="89" t="n">
        <v>1719</v>
      </c>
      <c r="BE284" s="89" t="n">
        <v>11347</v>
      </c>
      <c r="BF284" s="89" t="n">
        <v>1794</v>
      </c>
      <c r="BG284" s="89" t="n">
        <v>1508</v>
      </c>
      <c r="BH284" s="89" t="n">
        <v>-1439</v>
      </c>
      <c r="BI284" s="89" t="n">
        <v>-3202</v>
      </c>
      <c r="BJ284" s="89" t="n">
        <v>756</v>
      </c>
      <c r="BK284" s="89" t="n">
        <v>820</v>
      </c>
      <c r="BL284" s="90" t="inlineStr">
        <is>
          <t>N/A</t>
        </is>
      </c>
      <c r="BM284" s="90" t="inlineStr">
        <is>
          <t>N/A</t>
        </is>
      </c>
      <c r="BN284" s="89" t="n">
        <v>67</v>
      </c>
      <c r="BO284" s="89" t="n">
        <v>7599</v>
      </c>
      <c r="BP284" s="89" t="n">
        <v>6547</v>
      </c>
      <c r="BQ284" s="89" t="n">
        <v>0</v>
      </c>
      <c r="BR284" s="89" t="n">
        <v>0</v>
      </c>
      <c r="BS284" s="89" t="n">
        <v>0</v>
      </c>
      <c r="BT284" s="89" t="n">
        <v>0</v>
      </c>
      <c r="BU284" s="89" t="n">
        <v>0</v>
      </c>
      <c r="BV284" s="89" t="n">
        <v>0</v>
      </c>
      <c r="BW284" s="89" t="n">
        <v>0</v>
      </c>
      <c r="BX284" s="89" t="n">
        <v>0</v>
      </c>
      <c r="BY284" s="89" t="n">
        <v>0</v>
      </c>
    </row>
    <row r="285" ht="17" customHeight="1">
      <c r="A285" s="82" t="n">
        <v>283</v>
      </c>
      <c r="B285" s="83" t="inlineStr">
        <is>
          <t>ADBE</t>
        </is>
      </c>
      <c r="C285" s="84" t="inlineStr">
        <is>
          <t>ADOBE INC.</t>
        </is>
      </c>
      <c r="D285" s="82" t="inlineStr">
        <is>
          <t>Information Technology</t>
        </is>
      </c>
      <c r="E285" s="82" t="n">
        <v>2026</v>
      </c>
      <c r="F285" s="85" t="n">
        <v>29496</v>
      </c>
      <c r="G285" s="85" t="n">
        <v>10163</v>
      </c>
      <c r="H285" s="85" t="n">
        <v>10200</v>
      </c>
      <c r="I285" s="85" t="n">
        <v>17873</v>
      </c>
      <c r="J285" s="85" t="n">
        <v>45354</v>
      </c>
      <c r="K285" s="85" t="n">
        <v>8706</v>
      </c>
      <c r="L285" s="85" t="n">
        <v>23769</v>
      </c>
      <c r="M285" s="85" t="n">
        <v>7130</v>
      </c>
      <c r="N285" s="85" t="n">
        <v>10031</v>
      </c>
      <c r="O285" s="85" t="n">
        <v>21218</v>
      </c>
      <c r="P285" s="85" t="n">
        <v>6210</v>
      </c>
      <c r="Q285" s="85" t="n">
        <v>11623</v>
      </c>
      <c r="R285" s="85" t="n">
        <v>1573</v>
      </c>
      <c r="S285" s="85" t="n">
        <v>292.7</v>
      </c>
      <c r="T285" s="85" t="n">
        <v>2344</v>
      </c>
      <c r="U285" s="85" t="n">
        <v>1873</v>
      </c>
      <c r="V285" s="85" t="n">
        <v>113</v>
      </c>
      <c r="W285" s="85" t="n">
        <v>30230</v>
      </c>
      <c r="X285" s="85" t="n">
        <v>11232</v>
      </c>
      <c r="Y285" s="85" t="n">
        <v>10521</v>
      </c>
      <c r="Z285" s="85" t="n">
        <v>16125</v>
      </c>
      <c r="AA285" s="85" t="n">
        <v>6741</v>
      </c>
      <c r="AB285" s="85" t="n">
        <v>21505</v>
      </c>
      <c r="AC285" s="85" t="n">
        <v>5560</v>
      </c>
      <c r="AD285" s="85" t="n">
        <v>8056</v>
      </c>
      <c r="AE285" s="85" t="n">
        <v>19147</v>
      </c>
      <c r="AF285" s="85" t="n">
        <v>4129</v>
      </c>
      <c r="AG285" s="85" t="n">
        <v>14105</v>
      </c>
      <c r="AH285" s="85" t="n">
        <v>21505</v>
      </c>
      <c r="AI285" s="85" t="n">
        <v>30230</v>
      </c>
      <c r="AJ285" s="85" t="n">
        <v>8734</v>
      </c>
      <c r="AK285" s="85" t="n">
        <v>6931</v>
      </c>
      <c r="AL285" s="85" t="n">
        <v>1604</v>
      </c>
      <c r="AM285" s="85" t="n">
        <v>1371</v>
      </c>
      <c r="AN285" s="85" t="n">
        <v>179</v>
      </c>
      <c r="AO285" s="85" t="n">
        <v>183</v>
      </c>
      <c r="AP285" s="91" t="inlineStr">
        <is>
          <t>N/A</t>
        </is>
      </c>
      <c r="AQ285" s="91" t="inlineStr">
        <is>
          <t>N/A</t>
        </is>
      </c>
      <c r="AR285" s="85" t="n">
        <v>12857</v>
      </c>
      <c r="AS285" s="85" t="n">
        <v>495</v>
      </c>
      <c r="AT285" s="91" t="inlineStr">
        <is>
          <t>N/A</t>
        </is>
      </c>
      <c r="AU285" s="91" t="inlineStr">
        <is>
          <t>N/A</t>
        </is>
      </c>
      <c r="AV285" s="85" t="n">
        <v>5431</v>
      </c>
      <c r="AW285" s="85" t="n">
        <v>7613</v>
      </c>
      <c r="AX285" s="85" t="n">
        <v>6210</v>
      </c>
      <c r="AY285" s="85" t="n">
        <v>5628</v>
      </c>
      <c r="AZ285" s="85" t="n">
        <v>779</v>
      </c>
      <c r="BA285" s="85" t="n">
        <v>9852</v>
      </c>
      <c r="BB285" s="85" t="n">
        <v>413</v>
      </c>
      <c r="BC285" s="85" t="n">
        <v>441</v>
      </c>
      <c r="BD285" s="85" t="n">
        <v>2072</v>
      </c>
      <c r="BE285" s="85" t="n">
        <v>1936</v>
      </c>
      <c r="BF285" s="85" t="n">
        <v>1529</v>
      </c>
      <c r="BG285" s="85" t="n">
        <v>282.4</v>
      </c>
      <c r="BH285" s="85" t="n">
        <v>-1187</v>
      </c>
      <c r="BI285" s="85" t="n">
        <v>149</v>
      </c>
      <c r="BJ285" s="85" t="n">
        <v>417</v>
      </c>
      <c r="BK285" s="85" t="n">
        <v>361</v>
      </c>
      <c r="BL285" s="85" t="n">
        <v>3378</v>
      </c>
      <c r="BM285" s="85" t="n">
        <v>2863.1</v>
      </c>
      <c r="BN285" s="85" t="n">
        <v>153</v>
      </c>
      <c r="BO285" s="85" t="n">
        <v>2551</v>
      </c>
      <c r="BP285" s="85" t="n">
        <v>2358</v>
      </c>
      <c r="BQ285" s="85" t="n">
        <v>0</v>
      </c>
      <c r="BR285" s="85" t="n">
        <v>0</v>
      </c>
      <c r="BS285" s="91" t="inlineStr">
        <is>
          <t>N/A</t>
        </is>
      </c>
      <c r="BT285" s="91" t="inlineStr">
        <is>
          <t>N/A</t>
        </is>
      </c>
      <c r="BU285" s="85" t="n">
        <v>0</v>
      </c>
      <c r="BV285" s="85" t="n">
        <v>0</v>
      </c>
      <c r="BW285" s="85" t="n">
        <v>0</v>
      </c>
      <c r="BX285" s="85" t="n">
        <v>0</v>
      </c>
      <c r="BY285" s="85" t="n">
        <v>0</v>
      </c>
    </row>
    <row r="286" ht="17" customHeight="1">
      <c r="A286" s="86" t="n">
        <v>284</v>
      </c>
      <c r="B286" s="87" t="inlineStr">
        <is>
          <t>CME</t>
        </is>
      </c>
      <c r="C286" s="88" t="inlineStr">
        <is>
          <t>CME GROUP INC.</t>
        </is>
      </c>
      <c r="D286" s="86" t="inlineStr">
        <is>
          <t>Financials</t>
        </is>
      </c>
      <c r="E286" s="86" t="n">
        <v>2026</v>
      </c>
      <c r="F286" s="89" t="n">
        <v>198424.2</v>
      </c>
      <c r="G286" s="89" t="n">
        <v>165359.3</v>
      </c>
      <c r="H286" s="89" t="n">
        <v>160296.7</v>
      </c>
      <c r="I286" s="89" t="n">
        <v>169696</v>
      </c>
      <c r="J286" s="89" t="n">
        <v>6433.2</v>
      </c>
      <c r="K286" s="89" t="n">
        <v>4229.5</v>
      </c>
      <c r="L286" s="89" t="n">
        <v>6520.6</v>
      </c>
      <c r="M286" s="89" t="n">
        <v>4072.2</v>
      </c>
      <c r="N286" s="89" t="n">
        <v>4277.1</v>
      </c>
      <c r="O286" s="90" t="inlineStr">
        <is>
          <t>N/A</t>
        </is>
      </c>
      <c r="P286" s="90" t="inlineStr">
        <is>
          <t>N/A</t>
        </is>
      </c>
      <c r="Q286" s="89" t="n">
        <v>28728.2</v>
      </c>
      <c r="R286" s="90" t="inlineStr">
        <is>
          <t>N/A</t>
        </is>
      </c>
      <c r="S286" s="89" t="n">
        <v>107.5</v>
      </c>
      <c r="T286" s="89" t="n">
        <v>639.2</v>
      </c>
      <c r="U286" s="89" t="n">
        <v>362.7</v>
      </c>
      <c r="V286" s="89" t="n">
        <v>108.3</v>
      </c>
      <c r="W286" s="89" t="n">
        <v>137447</v>
      </c>
      <c r="X286" s="89" t="n">
        <v>103033.5</v>
      </c>
      <c r="Y286" s="89" t="n">
        <v>102313.9</v>
      </c>
      <c r="Z286" s="89" t="n">
        <v>110960.1</v>
      </c>
      <c r="AA286" s="89" t="n">
        <v>3931.5</v>
      </c>
      <c r="AB286" s="89" t="n">
        <v>6130.1</v>
      </c>
      <c r="AC286" s="89" t="n">
        <v>3525.8</v>
      </c>
      <c r="AD286" s="89" t="n">
        <v>3690.5</v>
      </c>
      <c r="AE286" s="90" t="inlineStr">
        <is>
          <t>N/A</t>
        </is>
      </c>
      <c r="AF286" s="90" t="inlineStr">
        <is>
          <t>N/A</t>
        </is>
      </c>
      <c r="AG286" s="89" t="n">
        <v>26486.9</v>
      </c>
      <c r="AH286" s="89" t="n">
        <v>6130.1</v>
      </c>
      <c r="AI286" s="89" t="n">
        <v>137447</v>
      </c>
      <c r="AJ286" s="89" t="n">
        <v>5330.5</v>
      </c>
      <c r="AK286" s="89" t="n">
        <v>4541.4</v>
      </c>
      <c r="AL286" s="89" t="n">
        <v>1258.3</v>
      </c>
      <c r="AM286" s="89" t="n">
        <v>1015.6</v>
      </c>
      <c r="AN286" s="89" t="n">
        <v>83.5</v>
      </c>
      <c r="AO286" s="89" t="n">
        <v>94</v>
      </c>
      <c r="AP286" s="90" t="inlineStr">
        <is>
          <t>N/A</t>
        </is>
      </c>
      <c r="AQ286" s="90" t="inlineStr">
        <is>
          <t>N/A</t>
        </is>
      </c>
      <c r="AR286" s="89" t="n">
        <v>10514.7</v>
      </c>
      <c r="AS286" s="89" t="n">
        <v>2610.7</v>
      </c>
      <c r="AT286" s="90" t="inlineStr">
        <is>
          <t>N/A</t>
        </is>
      </c>
      <c r="AU286" s="90" t="inlineStr">
        <is>
          <t>N/A</t>
        </is>
      </c>
      <c r="AV286" s="89" t="n">
        <v>4416.9</v>
      </c>
      <c r="AW286" s="89" t="n">
        <v>2892.4</v>
      </c>
      <c r="AX286" s="90" t="inlineStr">
        <is>
          <t>N/A</t>
        </is>
      </c>
      <c r="AY286" s="90" t="inlineStr">
        <is>
          <t>N/A</t>
        </is>
      </c>
      <c r="AZ286" s="89" t="n">
        <v>-4416.9</v>
      </c>
      <c r="BA286" s="89" t="n">
        <v>4193.6</v>
      </c>
      <c r="BB286" s="90" t="inlineStr">
        <is>
          <t>N/A</t>
        </is>
      </c>
      <c r="BC286" s="90" t="inlineStr">
        <is>
          <t>N/A</t>
        </is>
      </c>
      <c r="BD286" s="89" t="n">
        <v>573.1</v>
      </c>
      <c r="BE286" s="89" t="n">
        <v>386.2</v>
      </c>
      <c r="BF286" s="90" t="inlineStr">
        <is>
          <t>N/A</t>
        </is>
      </c>
      <c r="BG286" s="89" t="n">
        <v>115.1</v>
      </c>
      <c r="BH286" s="89" t="n">
        <v>1498.8</v>
      </c>
      <c r="BI286" s="89" t="n">
        <v>-82.59999999999999</v>
      </c>
      <c r="BJ286" s="89" t="n">
        <v>71.8</v>
      </c>
      <c r="BK286" s="89" t="n">
        <v>79.90000000000001</v>
      </c>
      <c r="BL286" s="89" t="n">
        <v>17.6</v>
      </c>
      <c r="BM286" s="89" t="n">
        <v>4.9</v>
      </c>
      <c r="BN286" s="89" t="n">
        <v>15.2</v>
      </c>
      <c r="BO286" s="90" t="inlineStr">
        <is>
          <t>N/A</t>
        </is>
      </c>
      <c r="BP286" s="90" t="inlineStr">
        <is>
          <t>N/A</t>
        </is>
      </c>
      <c r="BQ286" s="89" t="n">
        <v>0</v>
      </c>
      <c r="BR286" s="89" t="n">
        <v>0</v>
      </c>
      <c r="BS286" s="90" t="inlineStr">
        <is>
          <t>N/A</t>
        </is>
      </c>
      <c r="BT286" s="90" t="inlineStr">
        <is>
          <t>N/A</t>
        </is>
      </c>
      <c r="BU286" s="90" t="inlineStr">
        <is>
          <t>N/A</t>
        </is>
      </c>
      <c r="BV286" s="90" t="inlineStr">
        <is>
          <t>N/A</t>
        </is>
      </c>
      <c r="BW286" s="89" t="n">
        <v>0</v>
      </c>
      <c r="BX286" s="89" t="n">
        <v>0</v>
      </c>
      <c r="BY286" s="89" t="n">
        <v>0</v>
      </c>
    </row>
    <row r="287" ht="17" customHeight="1">
      <c r="A287" s="82" t="n">
        <v>285</v>
      </c>
      <c r="B287" s="83" t="inlineStr">
        <is>
          <t>BDX</t>
        </is>
      </c>
      <c r="C287" s="84" t="inlineStr">
        <is>
          <t>BECTON DICKINSON &amp; CO</t>
        </is>
      </c>
      <c r="D287" s="82" t="inlineStr">
        <is>
          <t>Health Care</t>
        </is>
      </c>
      <c r="E287" s="82" t="n">
        <v>2026</v>
      </c>
      <c r="F287" s="85" t="n">
        <v>55325</v>
      </c>
      <c r="G287" s="85" t="n">
        <v>9255</v>
      </c>
      <c r="H287" s="85" t="n">
        <v>8313</v>
      </c>
      <c r="I287" s="85" t="n">
        <v>55325</v>
      </c>
      <c r="J287" s="85" t="n">
        <v>16622</v>
      </c>
      <c r="K287" s="85" t="n">
        <v>2579</v>
      </c>
      <c r="L287" s="85" t="n">
        <v>21840</v>
      </c>
      <c r="M287" s="85" t="n">
        <v>1678</v>
      </c>
      <c r="N287" s="85" t="n">
        <v>4647</v>
      </c>
      <c r="O287" s="85" t="n">
        <v>7577</v>
      </c>
      <c r="P287" s="85" t="n">
        <v>17621</v>
      </c>
      <c r="Q287" s="85" t="n">
        <v>25390</v>
      </c>
      <c r="R287" s="85" t="n">
        <v>5278</v>
      </c>
      <c r="S287" s="85" t="n">
        <v>2462</v>
      </c>
      <c r="T287" s="85" t="n">
        <v>2994</v>
      </c>
      <c r="U287" s="85" t="n">
        <v>6997</v>
      </c>
      <c r="V287" s="85" t="n">
        <v>613</v>
      </c>
      <c r="W287" s="85" t="n">
        <v>57286</v>
      </c>
      <c r="X287" s="85" t="n">
        <v>10468</v>
      </c>
      <c r="Y287" s="85" t="n">
        <v>8956</v>
      </c>
      <c r="Z287" s="85" t="n">
        <v>57286</v>
      </c>
      <c r="AA287" s="85" t="n">
        <v>2397</v>
      </c>
      <c r="AB287" s="85" t="n">
        <v>20178</v>
      </c>
      <c r="AC287" s="85" t="n">
        <v>1705</v>
      </c>
      <c r="AD287" s="85" t="n">
        <v>3539</v>
      </c>
      <c r="AE287" s="85" t="n">
        <v>2206</v>
      </c>
      <c r="AF287" s="85" t="n">
        <v>17940</v>
      </c>
      <c r="AG287" s="85" t="n">
        <v>25890</v>
      </c>
      <c r="AH287" s="85" t="n">
        <v>20178</v>
      </c>
      <c r="AI287" s="85" t="n">
        <v>57286</v>
      </c>
      <c r="AJ287" s="85" t="n">
        <v>1881</v>
      </c>
      <c r="AK287" s="85" t="n">
        <v>2005</v>
      </c>
      <c r="AL287" s="85" t="n">
        <v>203</v>
      </c>
      <c r="AM287" s="85" t="n">
        <v>300</v>
      </c>
      <c r="AN287" s="85" t="n">
        <v>760</v>
      </c>
      <c r="AO287" s="85" t="n">
        <v>725</v>
      </c>
      <c r="AP287" s="85" t="n">
        <v>3894</v>
      </c>
      <c r="AQ287" s="85" t="n">
        <v>3843</v>
      </c>
      <c r="AR287" s="85" t="n">
        <v>26612</v>
      </c>
      <c r="AS287" s="85" t="n">
        <v>9389</v>
      </c>
      <c r="AT287" s="85" t="n">
        <v>1560</v>
      </c>
      <c r="AU287" s="85" t="n">
        <v>1265</v>
      </c>
      <c r="AV287" s="85" t="n">
        <v>641</v>
      </c>
      <c r="AW287" s="85" t="n">
        <v>1717</v>
      </c>
      <c r="AX287" s="85" t="n">
        <v>19181</v>
      </c>
      <c r="AY287" s="85" t="n">
        <v>20110</v>
      </c>
      <c r="AZ287" s="85" t="n">
        <v>18540</v>
      </c>
      <c r="BA287" s="85" t="n">
        <v>3887</v>
      </c>
      <c r="BB287" s="85" t="n">
        <v>370.6</v>
      </c>
      <c r="BC287" s="85" t="n">
        <v>370.6</v>
      </c>
      <c r="BD287" s="85" t="n">
        <v>3033</v>
      </c>
      <c r="BE287" s="85" t="n">
        <v>6821</v>
      </c>
      <c r="BF287" s="85" t="n">
        <v>4857</v>
      </c>
      <c r="BG287" s="85" t="n">
        <v>2286</v>
      </c>
      <c r="BH287" s="85" t="n">
        <v>-818</v>
      </c>
      <c r="BI287" s="85" t="n">
        <v>-5514</v>
      </c>
      <c r="BJ287" s="85" t="n">
        <v>1974</v>
      </c>
      <c r="BK287" s="85" t="n">
        <v>1896</v>
      </c>
      <c r="BL287" s="85" t="n">
        <v>481</v>
      </c>
      <c r="BM287" s="85" t="n">
        <v>482</v>
      </c>
      <c r="BN287" s="85" t="n">
        <v>329</v>
      </c>
      <c r="BO287" s="85" t="n">
        <v>11915</v>
      </c>
      <c r="BP287" s="85" t="n">
        <v>11053</v>
      </c>
      <c r="BQ287" s="85" t="n">
        <v>0</v>
      </c>
      <c r="BR287" s="85" t="n">
        <v>0</v>
      </c>
      <c r="BS287" s="85" t="n">
        <v>0</v>
      </c>
      <c r="BT287" s="85" t="n">
        <v>0</v>
      </c>
      <c r="BU287" s="85" t="n">
        <v>0</v>
      </c>
      <c r="BV287" s="85" t="n">
        <v>0</v>
      </c>
      <c r="BW287" s="85" t="n">
        <v>0</v>
      </c>
      <c r="BX287" s="85" t="n">
        <v>0</v>
      </c>
      <c r="BY287" s="85" t="n">
        <v>0</v>
      </c>
    </row>
    <row r="288" ht="17" customHeight="1">
      <c r="A288" s="86" t="n">
        <v>286</v>
      </c>
      <c r="B288" s="87" t="inlineStr">
        <is>
          <t>COIN</t>
        </is>
      </c>
      <c r="C288" s="88" t="inlineStr">
        <is>
          <t>Coinbase Global, Inc.</t>
        </is>
      </c>
      <c r="D288" s="86" t="inlineStr">
        <is>
          <t>Financials</t>
        </is>
      </c>
      <c r="E288" s="86" t="n">
        <v>2026</v>
      </c>
      <c r="F288" s="89" t="n">
        <v>29671.8</v>
      </c>
      <c r="G288" s="89" t="n">
        <v>20388.4</v>
      </c>
      <c r="H288" s="89" t="n">
        <v>8701.299999999999</v>
      </c>
      <c r="I288" s="89" t="n">
        <v>14878.8</v>
      </c>
      <c r="J288" s="89" t="n">
        <v>6221.2</v>
      </c>
      <c r="K288" s="89" t="n">
        <v>1435.4</v>
      </c>
      <c r="L288" s="89" t="n">
        <v>7181.3</v>
      </c>
      <c r="M288" s="89" t="n">
        <v>1260.3</v>
      </c>
      <c r="N288" s="89" t="n">
        <v>2426.4</v>
      </c>
      <c r="O288" s="89" t="n">
        <v>1435.4</v>
      </c>
      <c r="P288" s="89" t="n">
        <v>7206.6</v>
      </c>
      <c r="Q288" s="89" t="n">
        <v>14793.1</v>
      </c>
      <c r="R288" s="89" t="n">
        <v>1619.6</v>
      </c>
      <c r="S288" s="89" t="n">
        <v>188.4</v>
      </c>
      <c r="T288" s="89" t="n">
        <v>307.1</v>
      </c>
      <c r="U288" s="89" t="n">
        <v>264.6</v>
      </c>
      <c r="V288" s="89" t="n">
        <v>82.8</v>
      </c>
      <c r="W288" s="89" t="n">
        <v>22542</v>
      </c>
      <c r="X288" s="89" t="n">
        <v>18112.7</v>
      </c>
      <c r="Y288" s="89" t="n">
        <v>7941.3</v>
      </c>
      <c r="Z288" s="89" t="n">
        <v>12265.1</v>
      </c>
      <c r="AA288" s="89" t="n">
        <v>2307.2</v>
      </c>
      <c r="AB288" s="89" t="n">
        <v>6564</v>
      </c>
      <c r="AC288" s="89" t="n">
        <v>2579.1</v>
      </c>
      <c r="AD288" s="89" t="n">
        <v>2556.8</v>
      </c>
      <c r="AE288" s="89" t="n">
        <v>2307.2</v>
      </c>
      <c r="AF288" s="89" t="n">
        <v>4234.1</v>
      </c>
      <c r="AG288" s="89" t="n">
        <v>10276.8</v>
      </c>
      <c r="AH288" s="89" t="n">
        <v>6564</v>
      </c>
      <c r="AI288" s="89" t="n">
        <v>22542</v>
      </c>
      <c r="AJ288" s="89" t="n">
        <v>1522.1</v>
      </c>
      <c r="AK288" s="89" t="n">
        <v>2942.6</v>
      </c>
      <c r="AL288" s="89" t="n">
        <v>261.7</v>
      </c>
      <c r="AM288" s="89" t="n">
        <v>363.6</v>
      </c>
      <c r="AN288" s="89" t="n">
        <v>2.9</v>
      </c>
      <c r="AO288" s="89" t="n">
        <v>2.9</v>
      </c>
      <c r="AP288" s="90" t="inlineStr">
        <is>
          <t>N/A</t>
        </is>
      </c>
      <c r="AQ288" s="90" t="inlineStr">
        <is>
          <t>N/A</t>
        </is>
      </c>
      <c r="AR288" s="89" t="n">
        <v>4169</v>
      </c>
      <c r="AS288" s="89" t="n">
        <v>1369.8</v>
      </c>
      <c r="AT288" s="89" t="n">
        <v>452.1</v>
      </c>
      <c r="AU288" s="89" t="n">
        <v>1670.6</v>
      </c>
      <c r="AV288" s="89" t="n">
        <v>11285.5</v>
      </c>
      <c r="AW288" s="89" t="n">
        <v>8543.9</v>
      </c>
      <c r="AX288" s="89" t="n">
        <v>7658.7</v>
      </c>
      <c r="AY288" s="89" t="n">
        <v>4608.3</v>
      </c>
      <c r="AZ288" s="89" t="n">
        <v>-3626.7</v>
      </c>
      <c r="BA288" s="89" t="n">
        <v>2423.4</v>
      </c>
      <c r="BB288" s="89" t="n">
        <v>267.8</v>
      </c>
      <c r="BC288" s="89" t="n">
        <v>253.6</v>
      </c>
      <c r="BD288" s="89" t="n">
        <v>265.3</v>
      </c>
      <c r="BE288" s="89" t="n">
        <v>200.1</v>
      </c>
      <c r="BF288" s="89" t="n">
        <v>1300.3</v>
      </c>
      <c r="BG288" s="89" t="n">
        <v>127.5</v>
      </c>
      <c r="BH288" s="89" t="n">
        <v>-2049.6</v>
      </c>
      <c r="BI288" s="89" t="n">
        <v>-282.4</v>
      </c>
      <c r="BJ288" s="89" t="n">
        <v>117.6</v>
      </c>
      <c r="BK288" s="89" t="n">
        <v>63.3</v>
      </c>
      <c r="BL288" s="90" t="inlineStr">
        <is>
          <t>N/A</t>
        </is>
      </c>
      <c r="BM288" s="90" t="inlineStr">
        <is>
          <t>N/A</t>
        </is>
      </c>
      <c r="BN288" s="89" t="n">
        <v>66</v>
      </c>
      <c r="BO288" s="89" t="n">
        <v>5745.9</v>
      </c>
      <c r="BP288" s="89" t="n">
        <v>4256.9</v>
      </c>
      <c r="BQ288" s="89" t="n">
        <v>0</v>
      </c>
      <c r="BR288" s="89" t="n">
        <v>0</v>
      </c>
      <c r="BS288" s="90" t="inlineStr">
        <is>
          <t>N/A</t>
        </is>
      </c>
      <c r="BT288" s="90" t="inlineStr">
        <is>
          <t>N/A</t>
        </is>
      </c>
      <c r="BU288" s="89" t="n">
        <v>0</v>
      </c>
      <c r="BV288" s="89" t="n">
        <v>0</v>
      </c>
      <c r="BW288" s="89" t="n">
        <v>0</v>
      </c>
      <c r="BX288" s="89" t="n">
        <v>0</v>
      </c>
      <c r="BY288" s="89" t="n">
        <v>0</v>
      </c>
    </row>
    <row r="289" ht="17" customHeight="1">
      <c r="A289" s="82" t="n">
        <v>287</v>
      </c>
      <c r="B289" s="83" t="inlineStr">
        <is>
          <t>TFC</t>
        </is>
      </c>
      <c r="C289" s="84" t="inlineStr">
        <is>
          <t>TRUIST FINANCIAL CORP</t>
        </is>
      </c>
      <c r="D289" s="82" t="inlineStr">
        <is>
          <t>Financials</t>
        </is>
      </c>
      <c r="E289" s="82" t="n">
        <v>2026</v>
      </c>
      <c r="F289" s="85" t="n">
        <v>547538</v>
      </c>
      <c r="G289" s="91" t="inlineStr">
        <is>
          <t>N/A</t>
        </is>
      </c>
      <c r="H289" s="91" t="inlineStr">
        <is>
          <t>N/A</t>
        </is>
      </c>
      <c r="I289" s="85" t="n">
        <v>482349</v>
      </c>
      <c r="J289" s="85" t="n">
        <v>26067</v>
      </c>
      <c r="K289" s="85" t="n">
        <v>6349</v>
      </c>
      <c r="L289" s="91" t="inlineStr">
        <is>
          <t>N/A</t>
        </is>
      </c>
      <c r="M289" s="85" t="n">
        <v>5307</v>
      </c>
      <c r="N289" s="85" t="n">
        <v>5739</v>
      </c>
      <c r="O289" s="91" t="inlineStr">
        <is>
          <t>N/A</t>
        </is>
      </c>
      <c r="P289" s="85" t="n">
        <v>41963</v>
      </c>
      <c r="Q289" s="85" t="n">
        <v>65189</v>
      </c>
      <c r="R289" s="91" t="inlineStr">
        <is>
          <t>N/A</t>
        </is>
      </c>
      <c r="S289" s="85" t="n">
        <v>290</v>
      </c>
      <c r="T289" s="91" t="inlineStr">
        <is>
          <t>N/A</t>
        </is>
      </c>
      <c r="U289" s="85" t="n">
        <v>3172</v>
      </c>
      <c r="V289" s="85" t="n">
        <v>9856</v>
      </c>
      <c r="W289" s="85" t="n">
        <v>531176</v>
      </c>
      <c r="X289" s="91" t="inlineStr">
        <is>
          <t>N/A</t>
        </is>
      </c>
      <c r="Y289" s="91" t="inlineStr">
        <is>
          <t>N/A</t>
        </is>
      </c>
      <c r="Z289" s="85" t="n">
        <v>467497</v>
      </c>
      <c r="AA289" s="85" t="n">
        <v>-601</v>
      </c>
      <c r="AB289" s="91" t="inlineStr">
        <is>
          <t>N/A</t>
        </is>
      </c>
      <c r="AC289" s="85" t="n">
        <v>4840</v>
      </c>
      <c r="AD289" s="85" t="n">
        <v>2164</v>
      </c>
      <c r="AE289" s="91" t="inlineStr">
        <is>
          <t>N/A</t>
        </is>
      </c>
      <c r="AF289" s="85" t="n">
        <v>34956</v>
      </c>
      <c r="AG289" s="85" t="n">
        <v>63679</v>
      </c>
      <c r="AH289" s="91" t="inlineStr">
        <is>
          <t>N/A</t>
        </is>
      </c>
      <c r="AI289" s="85" t="n">
        <v>531176</v>
      </c>
      <c r="AJ289" s="85" t="n">
        <v>6349</v>
      </c>
      <c r="AK289" s="85" t="n">
        <v>-601</v>
      </c>
      <c r="AL289" s="85" t="n">
        <v>1042</v>
      </c>
      <c r="AM289" s="85" t="n">
        <v>-556</v>
      </c>
      <c r="AN289" s="85" t="n">
        <v>564</v>
      </c>
      <c r="AO289" s="85" t="n">
        <v>442</v>
      </c>
      <c r="AP289" s="91" t="inlineStr">
        <is>
          <t>N/A</t>
        </is>
      </c>
      <c r="AQ289" s="91" t="inlineStr">
        <is>
          <t>N/A</t>
        </is>
      </c>
      <c r="AR289" s="85" t="n">
        <v>17125</v>
      </c>
      <c r="AS289" s="85" t="n">
        <v>1256</v>
      </c>
      <c r="AT289" s="85" t="n">
        <v>27839</v>
      </c>
      <c r="AU289" s="91" t="inlineStr">
        <is>
          <t>N/A</t>
        </is>
      </c>
      <c r="AV289" s="85" t="n">
        <v>20295</v>
      </c>
      <c r="AW289" s="85" t="n">
        <v>18868</v>
      </c>
      <c r="AX289" s="85" t="n">
        <v>69802</v>
      </c>
      <c r="AY289" s="85" t="n">
        <v>64161</v>
      </c>
      <c r="AZ289" s="85" t="n">
        <v>49507</v>
      </c>
      <c r="BA289" s="85" t="n">
        <v>5175</v>
      </c>
      <c r="BB289" s="85" t="n">
        <v>1262.5</v>
      </c>
      <c r="BC289" s="85" t="n">
        <v>1315.9</v>
      </c>
      <c r="BD289" s="91" t="inlineStr">
        <is>
          <t>N/A</t>
        </is>
      </c>
      <c r="BE289" s="85" t="n">
        <v>3225</v>
      </c>
      <c r="BF289" s="91" t="inlineStr">
        <is>
          <t>N/A</t>
        </is>
      </c>
      <c r="BG289" s="85" t="n">
        <v>345</v>
      </c>
      <c r="BH289" s="85" t="n">
        <v>-17763</v>
      </c>
      <c r="BI289" s="85" t="n">
        <v>18598</v>
      </c>
      <c r="BJ289" s="91" t="inlineStr">
        <is>
          <t>N/A</t>
        </is>
      </c>
      <c r="BK289" s="91" t="inlineStr">
        <is>
          <t>N/A</t>
        </is>
      </c>
      <c r="BL289" s="91" t="inlineStr">
        <is>
          <t>N/A</t>
        </is>
      </c>
      <c r="BM289" s="91" t="inlineStr">
        <is>
          <t>N/A</t>
        </is>
      </c>
      <c r="BN289" s="91" t="inlineStr">
        <is>
          <t>N/A</t>
        </is>
      </c>
      <c r="BO289" s="91" t="inlineStr">
        <is>
          <t>N/A</t>
        </is>
      </c>
      <c r="BP289" s="91" t="inlineStr">
        <is>
          <t>N/A</t>
        </is>
      </c>
      <c r="BQ289" s="91" t="inlineStr">
        <is>
          <t>N/A</t>
        </is>
      </c>
      <c r="BR289" s="91" t="inlineStr">
        <is>
          <t>N/A</t>
        </is>
      </c>
      <c r="BS289" s="91" t="inlineStr">
        <is>
          <t>N/A</t>
        </is>
      </c>
      <c r="BT289" s="91" t="inlineStr">
        <is>
          <t>N/A</t>
        </is>
      </c>
      <c r="BU289" s="91" t="inlineStr">
        <is>
          <t>N/A</t>
        </is>
      </c>
      <c r="BV289" s="91" t="inlineStr">
        <is>
          <t>N/A</t>
        </is>
      </c>
      <c r="BW289" s="85" t="n">
        <v>0</v>
      </c>
      <c r="BX289" s="91" t="inlineStr">
        <is>
          <t>N/A</t>
        </is>
      </c>
      <c r="BY289" s="85" t="n">
        <v>0</v>
      </c>
    </row>
    <row r="290" ht="17" customHeight="1">
      <c r="A290" s="86" t="n">
        <v>288</v>
      </c>
      <c r="B290" s="87" t="inlineStr">
        <is>
          <t>GE</t>
        </is>
      </c>
      <c r="C290" s="88" t="inlineStr">
        <is>
          <t>GENERAL ELECTRIC COMPANY</t>
        </is>
      </c>
      <c r="D290" s="86" t="inlineStr">
        <is>
          <t>Industrials</t>
        </is>
      </c>
      <c r="E290" s="86" t="n">
        <v>2026</v>
      </c>
      <c r="F290" s="89" t="n">
        <v>130169</v>
      </c>
      <c r="G290" s="89" t="n">
        <v>40596</v>
      </c>
      <c r="H290" s="89" t="n">
        <v>38980</v>
      </c>
      <c r="I290" s="89" t="n">
        <v>111271</v>
      </c>
      <c r="J290" s="89" t="n">
        <v>87663</v>
      </c>
      <c r="K290" s="89" t="n">
        <v>22887</v>
      </c>
      <c r="L290" s="89" t="n">
        <v>45855</v>
      </c>
      <c r="M290" s="89" t="n">
        <v>8704</v>
      </c>
      <c r="N290" s="89" t="n">
        <v>8537</v>
      </c>
      <c r="O290" s="89" t="n">
        <v>7027</v>
      </c>
      <c r="P290" s="89" t="n">
        <v>20469</v>
      </c>
      <c r="Q290" s="89" t="n">
        <v>18677</v>
      </c>
      <c r="R290" s="89" t="n">
        <v>4088</v>
      </c>
      <c r="S290" s="89" t="n">
        <v>8223</v>
      </c>
      <c r="T290" s="89" t="n">
        <v>16691</v>
      </c>
      <c r="U290" s="89" t="n">
        <v>44662</v>
      </c>
      <c r="V290" s="89" t="n">
        <v>12508</v>
      </c>
      <c r="W290" s="89" t="n">
        <v>123140</v>
      </c>
      <c r="X290" s="89" t="n">
        <v>37635</v>
      </c>
      <c r="Y290" s="89" t="n">
        <v>34392</v>
      </c>
      <c r="Z290" s="89" t="n">
        <v>103576</v>
      </c>
      <c r="AA290" s="89" t="n">
        <v>20652</v>
      </c>
      <c r="AB290" s="89" t="n">
        <v>38702</v>
      </c>
      <c r="AC290" s="89" t="n">
        <v>6556</v>
      </c>
      <c r="AD290" s="89" t="n">
        <v>4710</v>
      </c>
      <c r="AE290" s="89" t="n">
        <v>6388</v>
      </c>
      <c r="AF290" s="89" t="n">
        <v>19273</v>
      </c>
      <c r="AG290" s="89" t="n">
        <v>19342</v>
      </c>
      <c r="AH290" s="89" t="n">
        <v>38702</v>
      </c>
      <c r="AI290" s="89" t="n">
        <v>123140</v>
      </c>
      <c r="AJ290" s="89" t="n">
        <v>10000</v>
      </c>
      <c r="AK290" s="89" t="n">
        <v>7620</v>
      </c>
      <c r="AL290" s="89" t="n">
        <v>1405</v>
      </c>
      <c r="AM290" s="89" t="n">
        <v>962</v>
      </c>
      <c r="AN290" s="89" t="n">
        <v>1371</v>
      </c>
      <c r="AO290" s="89" t="n">
        <v>1250</v>
      </c>
      <c r="AP290" s="89" t="n">
        <v>11868</v>
      </c>
      <c r="AQ290" s="89" t="n">
        <v>9763</v>
      </c>
      <c r="AR290" s="89" t="n">
        <v>9060</v>
      </c>
      <c r="AS290" s="89" t="n">
        <v>4225</v>
      </c>
      <c r="AT290" s="89" t="n">
        <v>25</v>
      </c>
      <c r="AU290" s="89" t="n">
        <v>1580</v>
      </c>
      <c r="AV290" s="89" t="n">
        <v>43299</v>
      </c>
      <c r="AW290" s="89" t="n">
        <v>48129</v>
      </c>
      <c r="AX290" s="89" t="n">
        <v>20494</v>
      </c>
      <c r="AY290" s="89" t="n">
        <v>19273</v>
      </c>
      <c r="AZ290" s="89" t="n">
        <v>-22805</v>
      </c>
      <c r="BA290" s="89" t="n">
        <v>7166</v>
      </c>
      <c r="BB290" s="89" t="n">
        <v>1048.8</v>
      </c>
      <c r="BC290" s="89" t="n">
        <v>1073.7</v>
      </c>
      <c r="BD290" s="89" t="n">
        <v>16769</v>
      </c>
      <c r="BE290" s="89" t="n">
        <v>43290</v>
      </c>
      <c r="BF290" s="89" t="n">
        <v>4437</v>
      </c>
      <c r="BG290" s="89" t="n">
        <v>7429</v>
      </c>
      <c r="BH290" s="89" t="n">
        <v>-1153</v>
      </c>
      <c r="BI290" s="89" t="n">
        <v>-1666</v>
      </c>
      <c r="BJ290" s="89" t="n">
        <v>10078</v>
      </c>
      <c r="BK290" s="89" t="n">
        <v>7909</v>
      </c>
      <c r="BL290" s="89" t="n">
        <v>10333</v>
      </c>
      <c r="BM290" s="89" t="n">
        <v>9353</v>
      </c>
      <c r="BN290" s="89" t="n">
        <v>654</v>
      </c>
      <c r="BO290" s="89" t="n">
        <v>6761</v>
      </c>
      <c r="BP290" s="89" t="n">
        <v>6226</v>
      </c>
      <c r="BQ290" s="89" t="n">
        <v>0</v>
      </c>
      <c r="BR290" s="89" t="n">
        <v>0</v>
      </c>
      <c r="BS290" s="89" t="n">
        <v>0</v>
      </c>
      <c r="BT290" s="89" t="n">
        <v>0</v>
      </c>
      <c r="BU290" s="89" t="n">
        <v>0</v>
      </c>
      <c r="BV290" s="89" t="n">
        <v>0</v>
      </c>
      <c r="BW290" s="89" t="n">
        <v>0</v>
      </c>
      <c r="BX290" s="89" t="n">
        <v>0</v>
      </c>
      <c r="BY290" s="89" t="n">
        <v>0</v>
      </c>
    </row>
    <row r="291" ht="17" customHeight="1">
      <c r="A291" s="82" t="n">
        <v>289</v>
      </c>
      <c r="B291" s="83" t="inlineStr">
        <is>
          <t>A</t>
        </is>
      </c>
      <c r="C291" s="84" t="inlineStr">
        <is>
          <t>AGILENT TECHNOLOGIES, INC.</t>
        </is>
      </c>
      <c r="D291" s="82" t="inlineStr">
        <is>
          <t>Health Care</t>
        </is>
      </c>
      <c r="E291" s="82" t="n">
        <v>2026</v>
      </c>
      <c r="F291" s="85" t="n">
        <v>12727</v>
      </c>
      <c r="G291" s="85" t="n">
        <v>4594</v>
      </c>
      <c r="H291" s="85" t="n">
        <v>2347</v>
      </c>
      <c r="I291" s="85" t="n">
        <v>5986</v>
      </c>
      <c r="J291" s="85" t="n">
        <v>1389</v>
      </c>
      <c r="K291" s="85" t="n">
        <v>1479</v>
      </c>
      <c r="L291" s="85" t="n">
        <v>4472</v>
      </c>
      <c r="M291" s="85" t="n">
        <v>1303</v>
      </c>
      <c r="N291" s="85" t="n">
        <v>1559</v>
      </c>
      <c r="O291" s="85" t="n">
        <v>1167</v>
      </c>
      <c r="P291" s="85" t="n">
        <v>3050</v>
      </c>
      <c r="Q291" s="85" t="n">
        <v>6741</v>
      </c>
      <c r="R291" s="85" t="n">
        <v>1709</v>
      </c>
      <c r="S291" s="85" t="n">
        <v>288</v>
      </c>
      <c r="T291" s="85" t="n">
        <v>1487</v>
      </c>
      <c r="U291" s="85" t="n">
        <v>2023</v>
      </c>
      <c r="V291" s="85" t="n">
        <v>112</v>
      </c>
      <c r="W291" s="85" t="n">
        <v>11846</v>
      </c>
      <c r="X291" s="85" t="n">
        <v>3959</v>
      </c>
      <c r="Y291" s="85" t="n">
        <v>1895</v>
      </c>
      <c r="Z291" s="85" t="n">
        <v>5948</v>
      </c>
      <c r="AA291" s="85" t="n">
        <v>1488</v>
      </c>
      <c r="AB291" s="85" t="n">
        <v>4202</v>
      </c>
      <c r="AC291" s="85" t="n">
        <v>1289</v>
      </c>
      <c r="AD291" s="85" t="n">
        <v>1751</v>
      </c>
      <c r="AE291" s="85" t="n">
        <v>1227</v>
      </c>
      <c r="AF291" s="85" t="n">
        <v>3345</v>
      </c>
      <c r="AG291" s="85" t="n">
        <v>5898</v>
      </c>
      <c r="AH291" s="85" t="n">
        <v>4202</v>
      </c>
      <c r="AI291" s="85" t="n">
        <v>11846</v>
      </c>
      <c r="AJ291" s="85" t="n">
        <v>1435</v>
      </c>
      <c r="AK291" s="85" t="n">
        <v>1521</v>
      </c>
      <c r="AL291" s="85" t="n">
        <v>132</v>
      </c>
      <c r="AM291" s="85" t="n">
        <v>232</v>
      </c>
      <c r="AN291" s="85" t="n">
        <v>407</v>
      </c>
      <c r="AO291" s="85" t="n">
        <v>378</v>
      </c>
      <c r="AP291" s="85" t="n">
        <v>1025</v>
      </c>
      <c r="AQ291" s="85" t="n">
        <v>972</v>
      </c>
      <c r="AR291" s="85" t="n">
        <v>4473</v>
      </c>
      <c r="AS291" s="85" t="n">
        <v>547</v>
      </c>
      <c r="AT291" s="85" t="n">
        <v>304</v>
      </c>
      <c r="AU291" s="85" t="n">
        <v>455</v>
      </c>
      <c r="AV291" s="85" t="n">
        <v>1789</v>
      </c>
      <c r="AW291" s="85" t="n">
        <v>1329</v>
      </c>
      <c r="AX291" s="85" t="n">
        <v>3354</v>
      </c>
      <c r="AY291" s="85" t="n">
        <v>3390</v>
      </c>
      <c r="AZ291" s="85" t="n">
        <v>1565</v>
      </c>
      <c r="BA291" s="85" t="n">
        <v>1152</v>
      </c>
      <c r="BB291" s="85" t="n">
        <v>283.1</v>
      </c>
      <c r="BC291" s="85" t="n">
        <v>285.2</v>
      </c>
      <c r="BD291" s="85" t="n">
        <v>1324</v>
      </c>
      <c r="BE291" s="85" t="n">
        <v>1778</v>
      </c>
      <c r="BF291" s="85" t="n">
        <v>1568</v>
      </c>
      <c r="BG291" s="85" t="n">
        <v>257</v>
      </c>
      <c r="BH291" s="85" t="n">
        <v>-394</v>
      </c>
      <c r="BI291" s="85" t="n">
        <v>-1258</v>
      </c>
      <c r="BJ291" s="85" t="n">
        <v>570</v>
      </c>
      <c r="BK291" s="85" t="n">
        <v>540</v>
      </c>
      <c r="BL291" s="85" t="n">
        <v>624</v>
      </c>
      <c r="BM291" s="85" t="n">
        <v>544</v>
      </c>
      <c r="BN291" s="85" t="n">
        <v>143</v>
      </c>
      <c r="BO291" s="85" t="n">
        <v>3305</v>
      </c>
      <c r="BP291" s="85" t="n">
        <v>2975</v>
      </c>
      <c r="BQ291" s="85" t="n">
        <v>0</v>
      </c>
      <c r="BR291" s="85" t="n">
        <v>0</v>
      </c>
      <c r="BS291" s="85" t="n">
        <v>0</v>
      </c>
      <c r="BT291" s="85" t="n">
        <v>0</v>
      </c>
      <c r="BU291" s="85" t="n">
        <v>0</v>
      </c>
      <c r="BV291" s="85" t="n">
        <v>0</v>
      </c>
      <c r="BW291" s="85" t="n">
        <v>0</v>
      </c>
      <c r="BX291" s="85" t="n">
        <v>0</v>
      </c>
      <c r="BY291" s="85" t="n">
        <v>0</v>
      </c>
    </row>
    <row r="292" ht="17" customHeight="1">
      <c r="A292" s="86" t="n">
        <v>290</v>
      </c>
      <c r="B292" s="87" t="inlineStr">
        <is>
          <t>PEP</t>
        </is>
      </c>
      <c r="C292" s="88" t="inlineStr">
        <is>
          <t>PepsiCo, Inc.</t>
        </is>
      </c>
      <c r="D292" s="86" t="inlineStr">
        <is>
          <t>Consumer Staples</t>
        </is>
      </c>
      <c r="E292" s="86" t="n">
        <v>2026</v>
      </c>
      <c r="F292" s="89" t="n">
        <v>107399</v>
      </c>
      <c r="G292" s="89" t="n">
        <v>27949</v>
      </c>
      <c r="H292" s="89" t="n">
        <v>32764</v>
      </c>
      <c r="I292" s="89" t="n">
        <v>86852</v>
      </c>
      <c r="J292" s="89" t="n">
        <v>72788</v>
      </c>
      <c r="K292" s="89" t="n">
        <v>11498</v>
      </c>
      <c r="L292" s="89" t="n">
        <v>93925</v>
      </c>
      <c r="M292" s="89" t="n">
        <v>8240</v>
      </c>
      <c r="N292" s="89" t="n">
        <v>12087</v>
      </c>
      <c r="O292" s="89" t="n">
        <v>50859</v>
      </c>
      <c r="P292" s="89" t="n">
        <v>46351</v>
      </c>
      <c r="Q292" s="89" t="n">
        <v>20406</v>
      </c>
      <c r="R292" s="89" t="n">
        <v>37368</v>
      </c>
      <c r="S292" s="89" t="n">
        <v>3451</v>
      </c>
      <c r="T292" s="90" t="inlineStr">
        <is>
          <t>N/A</t>
        </is>
      </c>
      <c r="U292" s="89" t="n">
        <v>29905</v>
      </c>
      <c r="V292" s="89" t="n">
        <v>1121</v>
      </c>
      <c r="W292" s="89" t="n">
        <v>99467</v>
      </c>
      <c r="X292" s="89" t="n">
        <v>25826</v>
      </c>
      <c r="Y292" s="89" t="n">
        <v>31536</v>
      </c>
      <c r="Z292" s="89" t="n">
        <v>81296</v>
      </c>
      <c r="AA292" s="89" t="n">
        <v>12887</v>
      </c>
      <c r="AB292" s="89" t="n">
        <v>91854</v>
      </c>
      <c r="AC292" s="89" t="n">
        <v>9578</v>
      </c>
      <c r="AD292" s="89" t="n">
        <v>12507</v>
      </c>
      <c r="AE292" s="89" t="n">
        <v>50110</v>
      </c>
      <c r="AF292" s="89" t="n">
        <v>41228</v>
      </c>
      <c r="AG292" s="89" t="n">
        <v>18041</v>
      </c>
      <c r="AH292" s="89" t="n">
        <v>91854</v>
      </c>
      <c r="AI292" s="89" t="n">
        <v>99467</v>
      </c>
      <c r="AJ292" s="89" t="n">
        <v>10244</v>
      </c>
      <c r="AK292" s="89" t="n">
        <v>11946</v>
      </c>
      <c r="AL292" s="89" t="n">
        <v>1949</v>
      </c>
      <c r="AM292" s="89" t="n">
        <v>2320</v>
      </c>
      <c r="AN292" s="89" t="n">
        <v>4415</v>
      </c>
      <c r="AO292" s="89" t="n">
        <v>5318</v>
      </c>
      <c r="AP292" s="89" t="n">
        <v>5845</v>
      </c>
      <c r="AQ292" s="89" t="n">
        <v>5306</v>
      </c>
      <c r="AR292" s="89" t="n">
        <v>18916</v>
      </c>
      <c r="AS292" s="89" t="n">
        <v>1219</v>
      </c>
      <c r="AT292" s="89" t="n">
        <v>4898</v>
      </c>
      <c r="AU292" s="89" t="n">
        <v>839</v>
      </c>
      <c r="AV292" s="89" t="n">
        <v>9159</v>
      </c>
      <c r="AW292" s="89" t="n">
        <v>8505</v>
      </c>
      <c r="AX292" s="89" t="n">
        <v>51249</v>
      </c>
      <c r="AY292" s="89" t="n">
        <v>41692</v>
      </c>
      <c r="AZ292" s="89" t="n">
        <v>42090</v>
      </c>
      <c r="BA292" s="89" t="n">
        <v>7672</v>
      </c>
      <c r="BB292" s="89" t="n">
        <v>1367</v>
      </c>
      <c r="BC292" s="89" t="n">
        <v>1372</v>
      </c>
      <c r="BD292" s="90" t="inlineStr">
        <is>
          <t>N/A</t>
        </is>
      </c>
      <c r="BE292" s="89" t="n">
        <v>28008</v>
      </c>
      <c r="BF292" s="89" t="n">
        <v>37190</v>
      </c>
      <c r="BG292" s="89" t="n">
        <v>3086</v>
      </c>
      <c r="BH292" s="89" t="n">
        <v>-6879</v>
      </c>
      <c r="BI292" s="89" t="n">
        <v>-5472</v>
      </c>
      <c r="BJ292" s="89" t="n">
        <v>11704</v>
      </c>
      <c r="BK292" s="89" t="n">
        <v>10997</v>
      </c>
      <c r="BL292" s="90" t="inlineStr">
        <is>
          <t>N/A</t>
        </is>
      </c>
      <c r="BM292" s="90" t="inlineStr">
        <is>
          <t>N/A</t>
        </is>
      </c>
      <c r="BN292" s="89" t="n">
        <v>371</v>
      </c>
      <c r="BO292" s="89" t="n">
        <v>43066</v>
      </c>
      <c r="BP292" s="89" t="n">
        <v>41744</v>
      </c>
      <c r="BQ292" s="90" t="inlineStr">
        <is>
          <t>N/A</t>
        </is>
      </c>
      <c r="BR292" s="90" t="inlineStr">
        <is>
          <t>N/A</t>
        </is>
      </c>
      <c r="BS292" s="89" t="n">
        <v>0</v>
      </c>
      <c r="BT292" s="89" t="n">
        <v>0</v>
      </c>
      <c r="BU292" s="89" t="n">
        <v>0</v>
      </c>
      <c r="BV292" s="89" t="n">
        <v>0</v>
      </c>
      <c r="BW292" s="89" t="n">
        <v>0</v>
      </c>
      <c r="BX292" s="89" t="n">
        <v>0</v>
      </c>
      <c r="BY292" s="89" t="n">
        <v>0</v>
      </c>
    </row>
    <row r="293" ht="17" customHeight="1">
      <c r="A293" s="82" t="n">
        <v>291</v>
      </c>
      <c r="B293" s="83" t="inlineStr">
        <is>
          <t>STRL</t>
        </is>
      </c>
      <c r="C293" s="84" t="inlineStr">
        <is>
          <t>Sterling Infrastructure, Inc.</t>
        </is>
      </c>
      <c r="D293" s="82" t="inlineStr">
        <is>
          <t>Industrials</t>
        </is>
      </c>
      <c r="E293" s="82" t="n">
        <v>2026</v>
      </c>
      <c r="F293" s="85" t="n">
        <v>2633.8</v>
      </c>
      <c r="G293" s="85" t="n">
        <v>1034.5</v>
      </c>
      <c r="H293" s="85" t="n">
        <v>1022.5</v>
      </c>
      <c r="I293" s="85" t="n">
        <v>1527.4</v>
      </c>
      <c r="J293" s="85" t="n">
        <v>872.6</v>
      </c>
      <c r="K293" s="85" t="n">
        <v>405.9</v>
      </c>
      <c r="L293" s="85" t="n">
        <v>958</v>
      </c>
      <c r="M293" s="85" t="n">
        <v>290.2</v>
      </c>
      <c r="N293" s="85" t="n">
        <v>440</v>
      </c>
      <c r="O293" s="85" t="n">
        <v>572.3</v>
      </c>
      <c r="P293" s="85" t="n">
        <v>90.09999999999999</v>
      </c>
      <c r="Q293" s="85" t="n">
        <v>1108.5</v>
      </c>
      <c r="R293" s="85" t="n">
        <v>154.8</v>
      </c>
      <c r="S293" s="85" t="n">
        <v>77.09999999999999</v>
      </c>
      <c r="T293" s="85" t="n">
        <v>252.4</v>
      </c>
      <c r="U293" s="85" t="n">
        <v>116</v>
      </c>
      <c r="V293" s="85" t="n">
        <v>9.800000000000001</v>
      </c>
      <c r="W293" s="85" t="n">
        <v>2016.8</v>
      </c>
      <c r="X293" s="85" t="n">
        <v>1021.9</v>
      </c>
      <c r="Y293" s="85" t="n">
        <v>742</v>
      </c>
      <c r="Z293" s="85" t="n">
        <v>1190.3</v>
      </c>
      <c r="AA293" s="85" t="n">
        <v>264.6</v>
      </c>
      <c r="AB293" s="85" t="n">
        <v>253.9</v>
      </c>
      <c r="AC293" s="85" t="n">
        <v>257.5</v>
      </c>
      <c r="AD293" s="85" t="n">
        <v>497.1</v>
      </c>
      <c r="AE293" s="85" t="n">
        <v>426.1</v>
      </c>
      <c r="AF293" s="85" t="n">
        <v>24.3</v>
      </c>
      <c r="AG293" s="85" t="n">
        <v>808.1</v>
      </c>
      <c r="AH293" s="85" t="n">
        <v>304.2</v>
      </c>
      <c r="AI293" s="85" t="n">
        <v>2016.8</v>
      </c>
      <c r="AJ293" s="91" t="inlineStr">
        <is>
          <t>N/A</t>
        </is>
      </c>
      <c r="AK293" s="91" t="inlineStr">
        <is>
          <t>N/A</t>
        </is>
      </c>
      <c r="AL293" s="85" t="n">
        <v>98.8</v>
      </c>
      <c r="AM293" s="85" t="n">
        <v>87.40000000000001</v>
      </c>
      <c r="AN293" s="85" t="n">
        <v>77.3</v>
      </c>
      <c r="AO293" s="85" t="n">
        <v>81</v>
      </c>
      <c r="AP293" s="85" t="n">
        <v>3.2</v>
      </c>
      <c r="AQ293" s="85" t="n">
        <v>4.6</v>
      </c>
      <c r="AR293" s="85" t="n">
        <v>585.2</v>
      </c>
      <c r="AS293" s="85" t="n">
        <v>554.7</v>
      </c>
      <c r="AT293" s="85" t="n">
        <v>15.1</v>
      </c>
      <c r="AU293" s="91" t="inlineStr">
        <is>
          <t>N/A</t>
        </is>
      </c>
      <c r="AV293" s="85" t="n">
        <v>390.7</v>
      </c>
      <c r="AW293" s="85" t="n">
        <v>664.2</v>
      </c>
      <c r="AX293" s="85" t="n">
        <v>105.3</v>
      </c>
      <c r="AY293" s="85" t="n">
        <v>24.3</v>
      </c>
      <c r="AZ293" s="85" t="n">
        <v>-285.4</v>
      </c>
      <c r="BA293" s="85" t="n">
        <v>362.7</v>
      </c>
      <c r="BB293" s="85" t="n">
        <v>30.7</v>
      </c>
      <c r="BC293" s="85" t="n">
        <v>30.7</v>
      </c>
      <c r="BD293" s="91" t="inlineStr">
        <is>
          <t>N/A</t>
        </is>
      </c>
      <c r="BE293" s="85" t="n">
        <v>52</v>
      </c>
      <c r="BF293" s="85" t="n">
        <v>118.4</v>
      </c>
      <c r="BG293" s="85" t="n">
        <v>68.40000000000001</v>
      </c>
      <c r="BH293" s="85" t="n">
        <v>-551.9</v>
      </c>
      <c r="BI293" s="85" t="n">
        <v>-185.8</v>
      </c>
      <c r="BJ293" s="85" t="n">
        <v>226.8</v>
      </c>
      <c r="BK293" s="85" t="n">
        <v>130.4</v>
      </c>
      <c r="BL293" s="85" t="n">
        <v>652.4</v>
      </c>
      <c r="BM293" s="85" t="n">
        <v>508.8</v>
      </c>
      <c r="BN293" s="91" t="inlineStr">
        <is>
          <t>N/A</t>
        </is>
      </c>
      <c r="BO293" s="85" t="n">
        <v>1917.7</v>
      </c>
      <c r="BP293" s="85" t="n">
        <v>1689.6</v>
      </c>
      <c r="BQ293" s="85" t="n">
        <v>0</v>
      </c>
      <c r="BR293" s="91" t="inlineStr">
        <is>
          <t>N/A</t>
        </is>
      </c>
      <c r="BS293" s="85" t="n">
        <v>0</v>
      </c>
      <c r="BT293" s="85" t="n">
        <v>0</v>
      </c>
      <c r="BU293" s="85" t="n">
        <v>0</v>
      </c>
      <c r="BV293" s="85" t="n">
        <v>0</v>
      </c>
      <c r="BW293" s="85" t="n">
        <v>0</v>
      </c>
      <c r="BX293" s="85" t="n">
        <v>0</v>
      </c>
      <c r="BY293" s="91" t="inlineStr">
        <is>
          <t>N/A</t>
        </is>
      </c>
    </row>
    <row r="294" ht="17" customHeight="1">
      <c r="A294" s="86" t="n">
        <v>292</v>
      </c>
      <c r="B294" s="87" t="inlineStr">
        <is>
          <t>INCY</t>
        </is>
      </c>
      <c r="C294" s="88" t="inlineStr">
        <is>
          <t>INCYTE CORPORATION</t>
        </is>
      </c>
      <c r="D294" s="86" t="inlineStr">
        <is>
          <t>Health Care</t>
        </is>
      </c>
      <c r="E294" s="86" t="n">
        <v>2026</v>
      </c>
      <c r="F294" s="89" t="n">
        <v>6958</v>
      </c>
      <c r="G294" s="89" t="n">
        <v>5023.9</v>
      </c>
      <c r="H294" s="89" t="n">
        <v>1515.2</v>
      </c>
      <c r="I294" s="89" t="n">
        <v>1790.5</v>
      </c>
      <c r="J294" s="89" t="n">
        <v>213.8</v>
      </c>
      <c r="K294" s="89" t="n">
        <v>1514.9</v>
      </c>
      <c r="L294" s="89" t="n">
        <v>3394.6</v>
      </c>
      <c r="M294" s="89" t="n">
        <v>1286.7</v>
      </c>
      <c r="N294" s="89" t="n">
        <v>1413.5</v>
      </c>
      <c r="O294" s="89" t="n">
        <v>3022.5</v>
      </c>
      <c r="P294" s="89" t="n">
        <v>19094</v>
      </c>
      <c r="Q294" s="89" t="n">
        <v>5167.5</v>
      </c>
      <c r="R294" s="89" t="n">
        <v>1376.2</v>
      </c>
      <c r="S294" s="89" t="n">
        <v>93.3</v>
      </c>
      <c r="T294" s="89" t="n">
        <v>1024.4</v>
      </c>
      <c r="U294" s="89" t="n">
        <v>730.9</v>
      </c>
      <c r="V294" s="89" t="n">
        <v>2.6</v>
      </c>
      <c r="W294" s="89" t="n">
        <v>5444.3</v>
      </c>
      <c r="X294" s="89" t="n">
        <v>3239</v>
      </c>
      <c r="Y294" s="89" t="n">
        <v>1641.8</v>
      </c>
      <c r="Z294" s="89" t="n">
        <v>1996.7</v>
      </c>
      <c r="AA294" s="89" t="n">
        <v>61.4</v>
      </c>
      <c r="AB294" s="89" t="n">
        <v>2986.3</v>
      </c>
      <c r="AC294" s="89" t="n">
        <v>32.6</v>
      </c>
      <c r="AD294" s="89" t="n">
        <v>335.3</v>
      </c>
      <c r="AE294" s="89" t="n">
        <v>2674.2</v>
      </c>
      <c r="AF294" s="89" t="n">
        <v>26.8</v>
      </c>
      <c r="AG294" s="89" t="n">
        <v>3447.6</v>
      </c>
      <c r="AH294" s="89" t="n">
        <v>2986.3</v>
      </c>
      <c r="AI294" s="89" t="n">
        <v>5444.3</v>
      </c>
      <c r="AJ294" s="89" t="n">
        <v>1664.5</v>
      </c>
      <c r="AK294" s="89" t="n">
        <v>316.6</v>
      </c>
      <c r="AL294" s="89" t="n">
        <v>377.8</v>
      </c>
      <c r="AM294" s="89" t="n">
        <v>284</v>
      </c>
      <c r="AN294" s="89" t="n">
        <v>48.7</v>
      </c>
      <c r="AO294" s="89" t="n">
        <v>48.7</v>
      </c>
      <c r="AP294" s="89" t="n">
        <v>101.1</v>
      </c>
      <c r="AQ294" s="89" t="n">
        <v>58.9</v>
      </c>
      <c r="AR294" s="89" t="n">
        <v>133</v>
      </c>
      <c r="AS294" s="89" t="n">
        <v>12.3</v>
      </c>
      <c r="AT294" s="89" t="n">
        <v>-85.59999999999999</v>
      </c>
      <c r="AU294" s="89" t="n">
        <v>2050.2</v>
      </c>
      <c r="AV294" s="89" t="n">
        <v>3097.8</v>
      </c>
      <c r="AW294" s="89" t="n">
        <v>1687.8</v>
      </c>
      <c r="AX294" s="89" t="n">
        <v>19008.4</v>
      </c>
      <c r="AY294" s="89" t="n">
        <v>26.8</v>
      </c>
      <c r="AZ294" s="89" t="n">
        <v>15910.5</v>
      </c>
      <c r="BA294" s="89" t="n">
        <v>1364.8</v>
      </c>
      <c r="BB294" s="89" t="n">
        <v>198.5</v>
      </c>
      <c r="BC294" s="89" t="n">
        <v>193.4</v>
      </c>
      <c r="BD294" s="89" t="n">
        <v>853.2</v>
      </c>
      <c r="BE294" s="89" t="n">
        <v>763.4</v>
      </c>
      <c r="BF294" s="89" t="n">
        <v>1242.2</v>
      </c>
      <c r="BG294" s="89" t="n">
        <v>89.2</v>
      </c>
      <c r="BH294" s="89" t="n">
        <v>-102.6</v>
      </c>
      <c r="BI294" s="89" t="n">
        <v>157.5</v>
      </c>
      <c r="BJ294" s="89" t="n">
        <v>209.9</v>
      </c>
      <c r="BK294" s="89" t="n">
        <v>197.5</v>
      </c>
      <c r="BL294" s="89" t="n">
        <v>2.3</v>
      </c>
      <c r="BM294" s="89" t="n">
        <v>2.3</v>
      </c>
      <c r="BN294" s="89" t="n">
        <v>4.8</v>
      </c>
      <c r="BO294" s="89" t="n">
        <v>372.1</v>
      </c>
      <c r="BP294" s="89" t="n">
        <v>312.1</v>
      </c>
      <c r="BQ294" s="89" t="n">
        <v>0</v>
      </c>
      <c r="BR294" s="89" t="n">
        <v>0</v>
      </c>
      <c r="BS294" s="89" t="n">
        <v>0</v>
      </c>
      <c r="BT294" s="89" t="n">
        <v>0</v>
      </c>
      <c r="BU294" s="89" t="n">
        <v>0</v>
      </c>
      <c r="BV294" s="89" t="n">
        <v>0</v>
      </c>
      <c r="BW294" s="89" t="n">
        <v>0</v>
      </c>
      <c r="BX294" s="89" t="n">
        <v>0</v>
      </c>
      <c r="BY294" s="89" t="n">
        <v>0</v>
      </c>
    </row>
    <row r="295" ht="17" customHeight="1">
      <c r="A295" s="82" t="n">
        <v>293</v>
      </c>
      <c r="B295" s="83" t="inlineStr">
        <is>
          <t>MCK</t>
        </is>
      </c>
      <c r="C295" s="84" t="inlineStr">
        <is>
          <t>McKESSON CORPORATION</t>
        </is>
      </c>
      <c r="D295" s="82" t="inlineStr">
        <is>
          <t>Health Care</t>
        </is>
      </c>
      <c r="E295" s="82" t="n">
        <v>2026</v>
      </c>
      <c r="F295" s="85" t="n">
        <v>82323</v>
      </c>
      <c r="G295" s="85" t="n">
        <v>57210</v>
      </c>
      <c r="H295" s="85" t="n">
        <v>67017</v>
      </c>
      <c r="I295" s="85" t="n">
        <v>82323</v>
      </c>
      <c r="J295" s="85" t="n">
        <v>22291</v>
      </c>
      <c r="K295" s="85" t="n">
        <v>6212</v>
      </c>
      <c r="L295" s="85" t="n">
        <v>112084</v>
      </c>
      <c r="M295" s="85" t="n">
        <v>4762</v>
      </c>
      <c r="N295" s="85" t="n">
        <v>6155</v>
      </c>
      <c r="O295" s="85" t="n">
        <v>14550</v>
      </c>
      <c r="P295" s="85" t="n">
        <v>6526</v>
      </c>
      <c r="Q295" s="85" t="n">
        <v>-2172</v>
      </c>
      <c r="R295" s="85" t="n">
        <v>8096</v>
      </c>
      <c r="S295" s="85" t="n">
        <v>729</v>
      </c>
      <c r="T295" s="85" t="n">
        <v>27985</v>
      </c>
      <c r="U295" s="85" t="n">
        <v>2668</v>
      </c>
      <c r="V295" s="85" t="n">
        <v>252</v>
      </c>
      <c r="W295" s="85" t="n">
        <v>75140</v>
      </c>
      <c r="X295" s="85" t="n">
        <v>55398</v>
      </c>
      <c r="Y295" s="85" t="n">
        <v>61604</v>
      </c>
      <c r="Z295" s="85" t="n">
        <v>75140</v>
      </c>
      <c r="AA295" s="85" t="n">
        <v>4422</v>
      </c>
      <c r="AB295" s="85" t="n">
        <v>28853</v>
      </c>
      <c r="AC295" s="85" t="n">
        <v>3295</v>
      </c>
      <c r="AD295" s="85" t="n">
        <v>6085</v>
      </c>
      <c r="AE295" s="85" t="n">
        <v>13323</v>
      </c>
      <c r="AF295" s="85" t="n">
        <v>5654</v>
      </c>
      <c r="AG295" s="85" t="n">
        <v>-2074</v>
      </c>
      <c r="AH295" s="85" t="n">
        <v>28247</v>
      </c>
      <c r="AI295" s="85" t="n">
        <v>75140</v>
      </c>
      <c r="AJ295" s="85" t="n">
        <v>6201</v>
      </c>
      <c r="AK295" s="85" t="n">
        <v>4359</v>
      </c>
      <c r="AL295" s="85" t="n">
        <v>1102</v>
      </c>
      <c r="AM295" s="85" t="n">
        <v>878</v>
      </c>
      <c r="AN295" s="85" t="n">
        <v>436</v>
      </c>
      <c r="AO295" s="85" t="n">
        <v>537</v>
      </c>
      <c r="AP295" s="85" t="n">
        <v>24207</v>
      </c>
      <c r="AQ295" s="85" t="n">
        <v>23001</v>
      </c>
      <c r="AR295" s="85" t="n">
        <v>11316</v>
      </c>
      <c r="AS295" s="85" t="n">
        <v>4079</v>
      </c>
      <c r="AT295" s="91" t="inlineStr">
        <is>
          <t>N/A</t>
        </is>
      </c>
      <c r="AU295" s="85" t="n">
        <v>96</v>
      </c>
      <c r="AV295" s="85" t="n">
        <v>3975</v>
      </c>
      <c r="AW295" s="85" t="n">
        <v>5691</v>
      </c>
      <c r="AX295" s="85" t="n">
        <v>6526</v>
      </c>
      <c r="AY295" s="85" t="n">
        <v>5837</v>
      </c>
      <c r="AZ295" s="85" t="n">
        <v>2551</v>
      </c>
      <c r="BA295" s="85" t="n">
        <v>5719</v>
      </c>
      <c r="BB295" s="85" t="n">
        <v>280</v>
      </c>
      <c r="BC295" s="85" t="n">
        <v>279</v>
      </c>
      <c r="BD295" s="85" t="n">
        <v>25643</v>
      </c>
      <c r="BE295" s="85" t="n">
        <v>2502</v>
      </c>
      <c r="BF295" s="85" t="n">
        <v>8507</v>
      </c>
      <c r="BG295" s="85" t="n">
        <v>636</v>
      </c>
      <c r="BH295" s="85" t="n">
        <v>-3432</v>
      </c>
      <c r="BI295" s="85" t="n">
        <v>-733</v>
      </c>
      <c r="BJ295" s="85" t="n">
        <v>59973</v>
      </c>
      <c r="BK295" s="85" t="n">
        <v>55330</v>
      </c>
      <c r="BL295" s="85" t="n">
        <v>63</v>
      </c>
      <c r="BM295" s="85" t="n">
        <v>346</v>
      </c>
      <c r="BN295" s="91" t="inlineStr">
        <is>
          <t>N/A</t>
        </is>
      </c>
      <c r="BO295" s="85" t="n">
        <v>388880</v>
      </c>
      <c r="BP295" s="85" t="n">
        <v>345728</v>
      </c>
      <c r="BQ295" s="85" t="n">
        <v>0</v>
      </c>
      <c r="BR295" s="85" t="n">
        <v>0</v>
      </c>
      <c r="BS295" s="85" t="n">
        <v>0</v>
      </c>
      <c r="BT295" s="85" t="n">
        <v>0</v>
      </c>
      <c r="BU295" s="85" t="n">
        <v>0</v>
      </c>
      <c r="BV295" s="85" t="n">
        <v>0</v>
      </c>
      <c r="BW295" s="85" t="n">
        <v>0</v>
      </c>
      <c r="BX295" s="85" t="n">
        <v>0</v>
      </c>
      <c r="BY295" s="85" t="n">
        <v>0</v>
      </c>
    </row>
    <row r="296" ht="17" customHeight="1">
      <c r="A296" s="86" t="n">
        <v>294</v>
      </c>
      <c r="B296" s="87" t="inlineStr">
        <is>
          <t>JCI</t>
        </is>
      </c>
      <c r="C296" s="88" t="inlineStr">
        <is>
          <t>JOHNSON CONTROLS INTERNATIONAL PLC</t>
        </is>
      </c>
      <c r="D296" s="86" t="inlineStr">
        <is>
          <t>Industrials</t>
        </is>
      </c>
      <c r="E296" s="86" t="n">
        <v>2026</v>
      </c>
      <c r="F296" s="89" t="n">
        <v>37939</v>
      </c>
      <c r="G296" s="89" t="n">
        <v>10162</v>
      </c>
      <c r="H296" s="89" t="n">
        <v>10941</v>
      </c>
      <c r="I296" s="89" t="n">
        <v>8245</v>
      </c>
      <c r="J296" s="90" t="inlineStr">
        <is>
          <t>N/A</t>
        </is>
      </c>
      <c r="K296" s="89" t="n">
        <v>884</v>
      </c>
      <c r="L296" s="89" t="n">
        <v>9902</v>
      </c>
      <c r="M296" s="89" t="n">
        <v>3291</v>
      </c>
      <c r="N296" s="89" t="n">
        <v>2551</v>
      </c>
      <c r="O296" s="89" t="n">
        <v>8592</v>
      </c>
      <c r="P296" s="89" t="n">
        <v>9195</v>
      </c>
      <c r="Q296" s="89" t="n">
        <v>12927</v>
      </c>
      <c r="R296" s="89" t="n">
        <v>5764</v>
      </c>
      <c r="S296" s="89" t="n">
        <v>1133</v>
      </c>
      <c r="T296" s="89" t="n">
        <v>6269</v>
      </c>
      <c r="U296" s="89" t="n">
        <v>2193</v>
      </c>
      <c r="V296" s="89" t="n">
        <v>225</v>
      </c>
      <c r="W296" s="89" t="n">
        <v>42695</v>
      </c>
      <c r="X296" s="89" t="n">
        <v>11179</v>
      </c>
      <c r="Y296" s="89" t="n">
        <v>11955</v>
      </c>
      <c r="Z296" s="89" t="n">
        <v>7126</v>
      </c>
      <c r="AA296" s="89" t="n">
        <v>697</v>
      </c>
      <c r="AB296" s="89" t="n">
        <v>10340</v>
      </c>
      <c r="AC296" s="89" t="n">
        <v>1705</v>
      </c>
      <c r="AD296" s="89" t="n">
        <v>2479</v>
      </c>
      <c r="AE296" s="89" t="n">
        <v>8077</v>
      </c>
      <c r="AF296" s="89" t="n">
        <v>8568</v>
      </c>
      <c r="AG296" s="89" t="n">
        <v>16098</v>
      </c>
      <c r="AH296" s="89" t="n">
        <v>10332</v>
      </c>
      <c r="AI296" s="89" t="n">
        <v>42695</v>
      </c>
      <c r="AJ296" s="89" t="n">
        <v>1969</v>
      </c>
      <c r="AK296" s="89" t="n">
        <v>1522</v>
      </c>
      <c r="AL296" s="89" t="n">
        <v>245</v>
      </c>
      <c r="AM296" s="89" t="n">
        <v>111</v>
      </c>
      <c r="AN296" s="89" t="n">
        <v>434</v>
      </c>
      <c r="AO296" s="89" t="n">
        <v>494</v>
      </c>
      <c r="AP296" s="89" t="n">
        <v>1820</v>
      </c>
      <c r="AQ296" s="89" t="n">
        <v>1774</v>
      </c>
      <c r="AR296" s="89" t="n">
        <v>16633</v>
      </c>
      <c r="AS296" s="89" t="n">
        <v>1636</v>
      </c>
      <c r="AT296" s="89" t="n">
        <v>723</v>
      </c>
      <c r="AU296" s="89" t="n">
        <v>273</v>
      </c>
      <c r="AV296" s="89" t="n">
        <v>379</v>
      </c>
      <c r="AW296" s="89" t="n">
        <v>606</v>
      </c>
      <c r="AX296" s="89" t="n">
        <v>9918</v>
      </c>
      <c r="AY296" s="89" t="n">
        <v>9521</v>
      </c>
      <c r="AZ296" s="89" t="n">
        <v>9539</v>
      </c>
      <c r="BA296" s="89" t="n">
        <v>2117</v>
      </c>
      <c r="BB296" s="89" t="n">
        <v>935.5</v>
      </c>
      <c r="BC296" s="89" t="n">
        <v>935.5</v>
      </c>
      <c r="BD296" s="89" t="n">
        <v>6051</v>
      </c>
      <c r="BE296" s="89" t="n">
        <v>2403</v>
      </c>
      <c r="BF296" s="89" t="n">
        <v>5661</v>
      </c>
      <c r="BG296" s="89" t="n">
        <v>1154</v>
      </c>
      <c r="BH296" s="89" t="n">
        <v>-1184</v>
      </c>
      <c r="BI296" s="89" t="n">
        <v>-693</v>
      </c>
      <c r="BJ296" s="89" t="n">
        <v>3614</v>
      </c>
      <c r="BK296" s="89" t="n">
        <v>3389</v>
      </c>
      <c r="BL296" s="89" t="n">
        <v>1326</v>
      </c>
      <c r="BM296" s="89" t="n">
        <v>1279</v>
      </c>
      <c r="BN296" s="89" t="n">
        <v>42</v>
      </c>
      <c r="BO296" s="89" t="n">
        <v>15004</v>
      </c>
      <c r="BP296" s="89" t="n">
        <v>14875</v>
      </c>
      <c r="BQ296" s="89" t="n">
        <v>0</v>
      </c>
      <c r="BR296" s="89" t="n">
        <v>0</v>
      </c>
      <c r="BS296" s="89" t="n">
        <v>0</v>
      </c>
      <c r="BT296" s="89" t="n">
        <v>0</v>
      </c>
      <c r="BU296" s="89" t="n">
        <v>0</v>
      </c>
      <c r="BV296" s="89" t="n">
        <v>0</v>
      </c>
      <c r="BW296" s="89" t="n">
        <v>0</v>
      </c>
      <c r="BX296" s="89" t="n">
        <v>0</v>
      </c>
      <c r="BY296" s="89" t="n">
        <v>0</v>
      </c>
    </row>
    <row r="297" ht="17" customHeight="1">
      <c r="A297" s="82" t="n">
        <v>295</v>
      </c>
      <c r="B297" s="83" t="inlineStr">
        <is>
          <t>SNPS</t>
        </is>
      </c>
      <c r="C297" s="84" t="inlineStr">
        <is>
          <t>SYNOPSYS INC</t>
        </is>
      </c>
      <c r="D297" s="82" t="inlineStr">
        <is>
          <t>Information Technology</t>
        </is>
      </c>
      <c r="E297" s="82" t="n">
        <v>2026</v>
      </c>
      <c r="F297" s="85" t="n">
        <v>48224.5</v>
      </c>
      <c r="G297" s="85" t="n">
        <v>6012.1</v>
      </c>
      <c r="H297" s="85" t="n">
        <v>3722.5</v>
      </c>
      <c r="I297" s="85" t="n">
        <v>19897.4</v>
      </c>
      <c r="J297" s="85" t="n">
        <v>10315.5</v>
      </c>
      <c r="K297" s="85" t="n">
        <v>914.9</v>
      </c>
      <c r="L297" s="85" t="n">
        <v>5081.5</v>
      </c>
      <c r="M297" s="85" t="n">
        <v>1332.2</v>
      </c>
      <c r="N297" s="85" t="n">
        <v>1518.6</v>
      </c>
      <c r="O297" s="85" t="n">
        <v>5430.6</v>
      </c>
      <c r="P297" s="85" t="n">
        <v>13484.5</v>
      </c>
      <c r="Q297" s="85" t="n">
        <v>28327.6</v>
      </c>
      <c r="R297" s="85" t="n">
        <v>769.6</v>
      </c>
      <c r="S297" s="85" t="n">
        <v>660.4</v>
      </c>
      <c r="T297" s="85" t="n">
        <v>1505.4</v>
      </c>
      <c r="U297" s="85" t="n">
        <v>696.7</v>
      </c>
      <c r="V297" s="85" t="n">
        <v>1.2</v>
      </c>
      <c r="W297" s="85" t="n">
        <v>13073.6</v>
      </c>
      <c r="X297" s="85" t="n">
        <v>6469.7</v>
      </c>
      <c r="Y297" s="85" t="n">
        <v>2650.1</v>
      </c>
      <c r="Z297" s="85" t="n">
        <v>4050.4</v>
      </c>
      <c r="AA297" s="85" t="n">
        <v>1355.7</v>
      </c>
      <c r="AB297" s="85" t="n">
        <v>4204.2</v>
      </c>
      <c r="AC297" s="85" t="n">
        <v>2263.4</v>
      </c>
      <c r="AD297" s="85" t="n">
        <v>1407</v>
      </c>
      <c r="AE297" s="85" t="n">
        <v>4882.1</v>
      </c>
      <c r="AF297" s="85" t="n">
        <v>15.6</v>
      </c>
      <c r="AG297" s="85" t="n">
        <v>8990.700000000001</v>
      </c>
      <c r="AH297" s="85" t="n">
        <v>4204.2</v>
      </c>
      <c r="AI297" s="85" t="n">
        <v>13073.6</v>
      </c>
      <c r="AJ297" s="85" t="n">
        <v>1393.1</v>
      </c>
      <c r="AK297" s="85" t="n">
        <v>1513.9</v>
      </c>
      <c r="AL297" s="85" t="n">
        <v>56</v>
      </c>
      <c r="AM297" s="85" t="n">
        <v>99.7</v>
      </c>
      <c r="AN297" s="85" t="n">
        <v>169.5</v>
      </c>
      <c r="AO297" s="85" t="n">
        <v>123.2</v>
      </c>
      <c r="AP297" s="85" t="n">
        <v>365.2</v>
      </c>
      <c r="AQ297" s="85" t="n">
        <v>361.8</v>
      </c>
      <c r="AR297" s="85" t="n">
        <v>26899.2</v>
      </c>
      <c r="AS297" s="85" t="n">
        <v>335.4</v>
      </c>
      <c r="AT297" s="91" t="inlineStr">
        <is>
          <t>N/A</t>
        </is>
      </c>
      <c r="AU297" s="85" t="n">
        <v>2479.3</v>
      </c>
      <c r="AV297" s="85" t="n">
        <v>2888</v>
      </c>
      <c r="AW297" s="85" t="n">
        <v>3896.5</v>
      </c>
      <c r="AX297" s="85" t="n">
        <v>13484.5</v>
      </c>
      <c r="AY297" s="85" t="n">
        <v>90.59999999999999</v>
      </c>
      <c r="AZ297" s="85" t="n">
        <v>10596.5</v>
      </c>
      <c r="BA297" s="85" t="n">
        <v>1349.2</v>
      </c>
      <c r="BB297" s="85" t="n">
        <v>186</v>
      </c>
      <c r="BC297" s="85" t="n">
        <v>154.1</v>
      </c>
      <c r="BD297" s="85" t="n">
        <v>934.5</v>
      </c>
      <c r="BE297" s="85" t="n">
        <v>563</v>
      </c>
      <c r="BF297" s="85" t="n">
        <v>568.5</v>
      </c>
      <c r="BG297" s="85" t="n">
        <v>295.1</v>
      </c>
      <c r="BH297" s="85" t="n">
        <v>-15881.3</v>
      </c>
      <c r="BI297" s="85" t="n">
        <v>1223</v>
      </c>
      <c r="BJ297" s="85" t="n">
        <v>164.8</v>
      </c>
      <c r="BK297" s="85" t="n">
        <v>207.3</v>
      </c>
      <c r="BL297" s="85" t="n">
        <v>1152.9</v>
      </c>
      <c r="BM297" s="85" t="n">
        <v>1064.5</v>
      </c>
      <c r="BN297" s="85" t="n">
        <v>94.7</v>
      </c>
      <c r="BO297" s="85" t="n">
        <v>1623.5</v>
      </c>
      <c r="BP297" s="85" t="n">
        <v>1245.3</v>
      </c>
      <c r="BQ297" s="85" t="n">
        <v>0</v>
      </c>
      <c r="BR297" s="85" t="n">
        <v>0</v>
      </c>
      <c r="BS297" s="85" t="n">
        <v>0</v>
      </c>
      <c r="BT297" s="85" t="n">
        <v>0</v>
      </c>
      <c r="BU297" s="85" t="n">
        <v>0</v>
      </c>
      <c r="BV297" s="85" t="n">
        <v>0</v>
      </c>
      <c r="BW297" s="85" t="n">
        <v>0</v>
      </c>
      <c r="BX297" s="85" t="n">
        <v>0</v>
      </c>
      <c r="BY297" s="85" t="n">
        <v>0</v>
      </c>
    </row>
    <row r="298" ht="17" customHeight="1">
      <c r="A298" s="86" t="n">
        <v>296</v>
      </c>
      <c r="B298" s="87" t="inlineStr">
        <is>
          <t>VIAV</t>
        </is>
      </c>
      <c r="C298" s="88" t="inlineStr">
        <is>
          <t>Viavi Solutions Inc.</t>
        </is>
      </c>
      <c r="D298" s="86" t="inlineStr">
        <is>
          <t>Information Technology</t>
        </is>
      </c>
      <c r="E298" s="86" t="n">
        <v>2026</v>
      </c>
      <c r="F298" s="89" t="n">
        <v>1993.8</v>
      </c>
      <c r="G298" s="89" t="n">
        <v>885.2</v>
      </c>
      <c r="H298" s="89" t="n">
        <v>589.7</v>
      </c>
      <c r="I298" s="89" t="n">
        <v>1213.6</v>
      </c>
      <c r="J298" s="89" t="n">
        <v>-69628.10000000001</v>
      </c>
      <c r="K298" s="89" t="n">
        <v>57.5</v>
      </c>
      <c r="L298" s="89" t="n">
        <v>1084.3</v>
      </c>
      <c r="M298" s="89" t="n">
        <v>34.8</v>
      </c>
      <c r="N298" s="89" t="n">
        <v>89.8</v>
      </c>
      <c r="O298" s="89" t="n">
        <v>621.1</v>
      </c>
      <c r="P298" s="89" t="n">
        <v>224.1</v>
      </c>
      <c r="Q298" s="89" t="n">
        <v>780.2</v>
      </c>
      <c r="R298" s="89" t="n">
        <v>349.4</v>
      </c>
      <c r="S298" s="89" t="n">
        <v>38.4</v>
      </c>
      <c r="T298" s="89" t="n">
        <v>261</v>
      </c>
      <c r="U298" s="89" t="n">
        <v>231.9</v>
      </c>
      <c r="V298" s="89" t="n">
        <v>27.1</v>
      </c>
      <c r="W298" s="89" t="n">
        <v>1736.3</v>
      </c>
      <c r="X298" s="89" t="n">
        <v>876.5</v>
      </c>
      <c r="Y298" s="89" t="n">
        <v>247.1</v>
      </c>
      <c r="Z298" s="89" t="n">
        <v>1054.7</v>
      </c>
      <c r="AA298" s="89" t="n">
        <v>20.8</v>
      </c>
      <c r="AB298" s="89" t="n">
        <v>1000.4</v>
      </c>
      <c r="AC298" s="89" t="n">
        <v>-25.8</v>
      </c>
      <c r="AD298" s="89" t="n">
        <v>116.4</v>
      </c>
      <c r="AE298" s="89" t="n">
        <v>575.9</v>
      </c>
      <c r="AF298" s="89" t="n">
        <v>224.1</v>
      </c>
      <c r="AG298" s="89" t="n">
        <v>681.6</v>
      </c>
      <c r="AH298" s="89" t="n">
        <v>1000.4</v>
      </c>
      <c r="AI298" s="89" t="n">
        <v>1736.3</v>
      </c>
      <c r="AJ298" s="89" t="n">
        <v>11.6</v>
      </c>
      <c r="AK298" s="89" t="n">
        <v>60.7</v>
      </c>
      <c r="AL298" s="89" t="n">
        <v>4.4</v>
      </c>
      <c r="AM298" s="89" t="n">
        <v>37.4</v>
      </c>
      <c r="AN298" s="89" t="n">
        <v>27.8</v>
      </c>
      <c r="AO298" s="89" t="n">
        <v>19.5</v>
      </c>
      <c r="AP298" s="89" t="n">
        <v>117.9</v>
      </c>
      <c r="AQ298" s="89" t="n">
        <v>96.5</v>
      </c>
      <c r="AR298" s="89" t="n">
        <v>595.7</v>
      </c>
      <c r="AS298" s="89" t="n">
        <v>131.6</v>
      </c>
      <c r="AT298" s="89" t="n">
        <v>246.2</v>
      </c>
      <c r="AU298" s="89" t="n">
        <v>208.7</v>
      </c>
      <c r="AV298" s="89" t="n">
        <v>423.6</v>
      </c>
      <c r="AW298" s="89" t="n">
        <v>471.3</v>
      </c>
      <c r="AX298" s="89" t="n">
        <v>470.3</v>
      </c>
      <c r="AY298" s="89" t="n">
        <v>224.1</v>
      </c>
      <c r="AZ298" s="89" t="n">
        <v>46.7</v>
      </c>
      <c r="BA298" s="89" t="n">
        <v>62</v>
      </c>
      <c r="BB298" s="89" t="n">
        <v>223</v>
      </c>
      <c r="BC298" s="89" t="n">
        <v>222</v>
      </c>
      <c r="BD298" s="89" t="n">
        <v>213.1</v>
      </c>
      <c r="BE298" s="89" t="n">
        <v>228.2</v>
      </c>
      <c r="BF298" s="89" t="n">
        <v>333.3</v>
      </c>
      <c r="BG298" s="89" t="n">
        <v>38.6</v>
      </c>
      <c r="BH298" s="89" t="n">
        <v>-128.4</v>
      </c>
      <c r="BI298" s="89" t="n">
        <v>-21.6</v>
      </c>
      <c r="BJ298" s="89" t="n">
        <v>68.8</v>
      </c>
      <c r="BK298" s="89" t="n">
        <v>50.4</v>
      </c>
      <c r="BL298" s="89" t="n">
        <v>60.2</v>
      </c>
      <c r="BM298" s="89" t="n">
        <v>78.59999999999999</v>
      </c>
      <c r="BN298" s="89" t="n">
        <v>8.199999999999999</v>
      </c>
      <c r="BO298" s="89" t="n">
        <v>325.4</v>
      </c>
      <c r="BP298" s="89" t="n">
        <v>356.6</v>
      </c>
      <c r="BQ298" s="89" t="n">
        <v>0</v>
      </c>
      <c r="BR298" s="89" t="n">
        <v>0</v>
      </c>
      <c r="BS298" s="89" t="n">
        <v>0</v>
      </c>
      <c r="BT298" s="89" t="n">
        <v>0</v>
      </c>
      <c r="BU298" s="89" t="n">
        <v>0</v>
      </c>
      <c r="BV298" s="89" t="n">
        <v>0</v>
      </c>
      <c r="BW298" s="89" t="n">
        <v>0</v>
      </c>
      <c r="BX298" s="89" t="n">
        <v>0</v>
      </c>
      <c r="BY298" s="89" t="n">
        <v>0</v>
      </c>
    </row>
    <row r="299" ht="17" customHeight="1">
      <c r="A299" s="82" t="n">
        <v>297</v>
      </c>
      <c r="B299" s="83" t="inlineStr">
        <is>
          <t>CHRW</t>
        </is>
      </c>
      <c r="C299" s="84" t="inlineStr">
        <is>
          <t>C.H. ROBINSON WORLDWIDE, INC.</t>
        </is>
      </c>
      <c r="D299" s="82" t="inlineStr">
        <is>
          <t>Industrials</t>
        </is>
      </c>
      <c r="E299" s="82" t="n">
        <v>2026</v>
      </c>
      <c r="F299" s="85" t="n">
        <v>5058.4</v>
      </c>
      <c r="G299" s="85" t="n">
        <v>2798.5</v>
      </c>
      <c r="H299" s="85" t="n">
        <v>1831.7</v>
      </c>
      <c r="I299" s="85" t="n">
        <v>3212.7</v>
      </c>
      <c r="J299" s="85" t="n">
        <v>6071.1</v>
      </c>
      <c r="K299" s="85" t="n">
        <v>795</v>
      </c>
      <c r="L299" s="85" t="n">
        <v>14869.4</v>
      </c>
      <c r="M299" s="85" t="n">
        <v>587.1</v>
      </c>
      <c r="N299" s="85" t="n">
        <v>914.5</v>
      </c>
      <c r="O299" s="85" t="n">
        <v>13625.3</v>
      </c>
      <c r="P299" s="85" t="n">
        <v>1089.4</v>
      </c>
      <c r="Q299" s="85" t="n">
        <v>1845.6</v>
      </c>
      <c r="R299" s="91" t="inlineStr">
        <is>
          <t>N/A</t>
        </is>
      </c>
      <c r="S299" s="85" t="n">
        <v>102.8</v>
      </c>
      <c r="T299" s="85" t="n">
        <v>2360.8</v>
      </c>
      <c r="U299" s="85" t="n">
        <v>116.4</v>
      </c>
      <c r="V299" s="85" t="n">
        <v>37.9</v>
      </c>
      <c r="W299" s="85" t="n">
        <v>5297.9</v>
      </c>
      <c r="X299" s="85" t="n">
        <v>2969.6</v>
      </c>
      <c r="Y299" s="85" t="n">
        <v>2324.9</v>
      </c>
      <c r="Z299" s="85" t="n">
        <v>3575.9</v>
      </c>
      <c r="AA299" s="85" t="n">
        <v>669.1</v>
      </c>
      <c r="AB299" s="85" t="n">
        <v>3959.8</v>
      </c>
      <c r="AC299" s="85" t="n">
        <v>465.7</v>
      </c>
      <c r="AD299" s="85" t="n">
        <v>509.1</v>
      </c>
      <c r="AE299" s="85" t="n">
        <v>3674.3</v>
      </c>
      <c r="AF299" s="85" t="n">
        <v>1377.6</v>
      </c>
      <c r="AG299" s="85" t="n">
        <v>1722.1</v>
      </c>
      <c r="AH299" s="85" t="n">
        <v>3784.5</v>
      </c>
      <c r="AI299" s="85" t="n">
        <v>5297.9</v>
      </c>
      <c r="AJ299" s="85" t="n">
        <v>722.5</v>
      </c>
      <c r="AK299" s="85" t="n">
        <v>579.2</v>
      </c>
      <c r="AL299" s="85" t="n">
        <v>135.4</v>
      </c>
      <c r="AM299" s="85" t="n">
        <v>113.5</v>
      </c>
      <c r="AN299" s="85" t="n">
        <v>19.6</v>
      </c>
      <c r="AO299" s="85" t="n">
        <v>22.7</v>
      </c>
      <c r="AP299" s="91" t="inlineStr">
        <is>
          <t>N/A</t>
        </is>
      </c>
      <c r="AQ299" s="91" t="inlineStr">
        <is>
          <t>N/A</t>
        </is>
      </c>
      <c r="AR299" s="85" t="n">
        <v>1458</v>
      </c>
      <c r="AS299" s="85" t="n">
        <v>9.6</v>
      </c>
      <c r="AT299" s="85" t="n">
        <v>715</v>
      </c>
      <c r="AU299" s="91" t="inlineStr">
        <is>
          <t>N/A</t>
        </is>
      </c>
      <c r="AV299" s="85" t="n">
        <v>160.9</v>
      </c>
      <c r="AW299" s="85" t="n">
        <v>145.8</v>
      </c>
      <c r="AX299" s="85" t="n">
        <v>1804.4</v>
      </c>
      <c r="AY299" s="85" t="n">
        <v>2117.6</v>
      </c>
      <c r="AZ299" s="85" t="n">
        <v>1643.6</v>
      </c>
      <c r="BA299" s="85" t="n">
        <v>894.9</v>
      </c>
      <c r="BB299" s="85" t="n">
        <v>118.4</v>
      </c>
      <c r="BC299" s="85" t="n">
        <v>118.7</v>
      </c>
      <c r="BD299" s="85" t="n">
        <v>2383.7</v>
      </c>
      <c r="BE299" s="85" t="n">
        <v>127.2</v>
      </c>
      <c r="BF299" s="91" t="inlineStr">
        <is>
          <t>N/A</t>
        </is>
      </c>
      <c r="BG299" s="85" t="n">
        <v>97.2</v>
      </c>
      <c r="BH299" s="85" t="n">
        <v>-54.7</v>
      </c>
      <c r="BI299" s="85" t="n">
        <v>-74.3</v>
      </c>
      <c r="BJ299" s="85" t="n">
        <v>1210.3</v>
      </c>
      <c r="BK299" s="85" t="n">
        <v>1178.3</v>
      </c>
      <c r="BL299" s="91" t="inlineStr">
        <is>
          <t>N/A</t>
        </is>
      </c>
      <c r="BM299" s="91" t="inlineStr">
        <is>
          <t>N/A</t>
        </is>
      </c>
      <c r="BN299" s="85" t="n">
        <v>33.7</v>
      </c>
      <c r="BO299" s="85" t="n">
        <v>1244</v>
      </c>
      <c r="BP299" s="85" t="n">
        <v>285.5</v>
      </c>
      <c r="BQ299" s="85" t="n">
        <v>0</v>
      </c>
      <c r="BR299" s="85" t="n">
        <v>0</v>
      </c>
      <c r="BS299" s="91" t="inlineStr">
        <is>
          <t>N/A</t>
        </is>
      </c>
      <c r="BT299" s="91" t="inlineStr">
        <is>
          <t>N/A</t>
        </is>
      </c>
      <c r="BU299" s="85" t="n">
        <v>0</v>
      </c>
      <c r="BV299" s="85" t="n">
        <v>0</v>
      </c>
      <c r="BW299" s="85" t="n">
        <v>0</v>
      </c>
      <c r="BX299" s="85" t="n">
        <v>0</v>
      </c>
      <c r="BY299" s="85" t="n">
        <v>0</v>
      </c>
    </row>
    <row r="300" ht="17" customHeight="1">
      <c r="A300" s="86" t="n">
        <v>298</v>
      </c>
      <c r="B300" s="87" t="inlineStr">
        <is>
          <t>HST</t>
        </is>
      </c>
      <c r="C300" s="88" t="inlineStr">
        <is>
          <t>HOST HOTELS &amp; RESORTS, INC.</t>
        </is>
      </c>
      <c r="D300" s="86" t="inlineStr">
        <is>
          <t>Real Estate</t>
        </is>
      </c>
      <c r="E300" s="86" t="n">
        <v>2026</v>
      </c>
      <c r="F300" s="89" t="n">
        <v>13049</v>
      </c>
      <c r="G300" s="90" t="inlineStr">
        <is>
          <t>N/A</t>
        </is>
      </c>
      <c r="H300" s="90" t="inlineStr">
        <is>
          <t>N/A</t>
        </is>
      </c>
      <c r="I300" s="89" t="n">
        <v>6317</v>
      </c>
      <c r="J300" s="89" t="n">
        <v>-670</v>
      </c>
      <c r="K300" s="89" t="n">
        <v>855</v>
      </c>
      <c r="L300" s="89" t="n">
        <v>5387</v>
      </c>
      <c r="M300" s="89" t="n">
        <v>765</v>
      </c>
      <c r="N300" s="89" t="n">
        <v>1510</v>
      </c>
      <c r="O300" s="90" t="inlineStr">
        <is>
          <t>N/A</t>
        </is>
      </c>
      <c r="P300" s="89" t="n">
        <v>1274</v>
      </c>
      <c r="Q300" s="89" t="n">
        <v>6558</v>
      </c>
      <c r="R300" s="89" t="n">
        <v>124</v>
      </c>
      <c r="S300" s="89" t="n">
        <v>795</v>
      </c>
      <c r="T300" s="90" t="inlineStr">
        <is>
          <t>N/A</t>
        </is>
      </c>
      <c r="U300" s="89" t="n">
        <v>10636</v>
      </c>
      <c r="V300" s="89" t="n">
        <v>191</v>
      </c>
      <c r="W300" s="89" t="n">
        <v>13048</v>
      </c>
      <c r="X300" s="90" t="inlineStr">
        <is>
          <t>N/A</t>
        </is>
      </c>
      <c r="Y300" s="90" t="inlineStr">
        <is>
          <t>N/A</t>
        </is>
      </c>
      <c r="Z300" s="89" t="n">
        <v>6271</v>
      </c>
      <c r="AA300" s="89" t="n">
        <v>875</v>
      </c>
      <c r="AB300" s="89" t="n">
        <v>5430</v>
      </c>
      <c r="AC300" s="89" t="n">
        <v>697</v>
      </c>
      <c r="AD300" s="89" t="n">
        <v>1498</v>
      </c>
      <c r="AE300" s="90" t="inlineStr">
        <is>
          <t>N/A</t>
        </is>
      </c>
      <c r="AF300" s="89" t="n">
        <v>896</v>
      </c>
      <c r="AG300" s="89" t="n">
        <v>6609</v>
      </c>
      <c r="AH300" s="89" t="n">
        <v>5430</v>
      </c>
      <c r="AI300" s="89" t="n">
        <v>13048</v>
      </c>
      <c r="AJ300" s="89" t="n">
        <v>818</v>
      </c>
      <c r="AK300" s="89" t="n">
        <v>721</v>
      </c>
      <c r="AL300" s="89" t="n">
        <v>42</v>
      </c>
      <c r="AM300" s="89" t="n">
        <v>14</v>
      </c>
      <c r="AN300" s="90" t="inlineStr">
        <is>
          <t>N/A</t>
        </is>
      </c>
      <c r="AO300" s="90" t="inlineStr">
        <is>
          <t>N/A</t>
        </is>
      </c>
      <c r="AP300" s="90" t="inlineStr">
        <is>
          <t>N/A</t>
        </is>
      </c>
      <c r="AQ300" s="90" t="inlineStr">
        <is>
          <t>N/A</t>
        </is>
      </c>
      <c r="AR300" s="90" t="inlineStr">
        <is>
          <t>N/A</t>
        </is>
      </c>
      <c r="AS300" s="90" t="inlineStr">
        <is>
          <t>N/A</t>
        </is>
      </c>
      <c r="AT300" s="90" t="inlineStr">
        <is>
          <t>N/A</t>
        </is>
      </c>
      <c r="AU300" s="90" t="inlineStr">
        <is>
          <t>N/A</t>
        </is>
      </c>
      <c r="AV300" s="89" t="n">
        <v>768</v>
      </c>
      <c r="AW300" s="89" t="n">
        <v>554</v>
      </c>
      <c r="AX300" s="89" t="n">
        <v>1274</v>
      </c>
      <c r="AY300" s="89" t="n">
        <v>896</v>
      </c>
      <c r="AZ300" s="89" t="n">
        <v>506</v>
      </c>
      <c r="BA300" s="89" t="n">
        <v>1510</v>
      </c>
      <c r="BB300" s="89" t="n">
        <v>687.8</v>
      </c>
      <c r="BC300" s="89" t="n">
        <v>699.1</v>
      </c>
      <c r="BD300" s="90" t="inlineStr">
        <is>
          <t>N/A</t>
        </is>
      </c>
      <c r="BE300" s="89" t="n">
        <v>10906</v>
      </c>
      <c r="BF300" s="89" t="n">
        <v>123</v>
      </c>
      <c r="BG300" s="89" t="n">
        <v>762</v>
      </c>
      <c r="BH300" s="89" t="n">
        <v>-507</v>
      </c>
      <c r="BI300" s="89" t="n">
        <v>-2040</v>
      </c>
      <c r="BJ300" s="90" t="inlineStr">
        <is>
          <t>N/A</t>
        </is>
      </c>
      <c r="BK300" s="90" t="inlineStr">
        <is>
          <t>N/A</t>
        </is>
      </c>
      <c r="BL300" s="90" t="inlineStr">
        <is>
          <t>N/A</t>
        </is>
      </c>
      <c r="BM300" s="90" t="inlineStr">
        <is>
          <t>N/A</t>
        </is>
      </c>
      <c r="BN300" s="90" t="inlineStr">
        <is>
          <t>N/A</t>
        </is>
      </c>
      <c r="BO300" s="90" t="inlineStr">
        <is>
          <t>N/A</t>
        </is>
      </c>
      <c r="BP300" s="90" t="inlineStr">
        <is>
          <t>N/A</t>
        </is>
      </c>
      <c r="BQ300" s="90" t="inlineStr">
        <is>
          <t>N/A</t>
        </is>
      </c>
      <c r="BR300" s="90" t="inlineStr">
        <is>
          <t>N/A</t>
        </is>
      </c>
      <c r="BS300" s="90" t="inlineStr">
        <is>
          <t>N/A</t>
        </is>
      </c>
      <c r="BT300" s="90" t="inlineStr">
        <is>
          <t>N/A</t>
        </is>
      </c>
      <c r="BU300" s="90" t="inlineStr">
        <is>
          <t>N/A</t>
        </is>
      </c>
      <c r="BV300" s="90" t="inlineStr">
        <is>
          <t>N/A</t>
        </is>
      </c>
      <c r="BW300" s="89" t="n">
        <v>0</v>
      </c>
      <c r="BX300" s="89" t="n">
        <v>0</v>
      </c>
      <c r="BY300" s="89" t="n">
        <v>0</v>
      </c>
    </row>
    <row r="301" ht="17" customHeight="1">
      <c r="A301" s="82" t="n">
        <v>299</v>
      </c>
      <c r="B301" s="83" t="inlineStr">
        <is>
          <t>INTU</t>
        </is>
      </c>
      <c r="C301" s="84" t="inlineStr">
        <is>
          <t>INTUIT INC.</t>
        </is>
      </c>
      <c r="D301" s="82" t="inlineStr">
        <is>
          <t>Information Technology</t>
        </is>
      </c>
      <c r="E301" s="82" t="n">
        <v>2026</v>
      </c>
      <c r="F301" s="85" t="n">
        <v>36958</v>
      </c>
      <c r="G301" s="85" t="n">
        <v>14107</v>
      </c>
      <c r="H301" s="85" t="n">
        <v>10370</v>
      </c>
      <c r="I301" s="85" t="n">
        <v>17248</v>
      </c>
      <c r="J301" s="85" t="n">
        <v>19668</v>
      </c>
      <c r="K301" s="85" t="n">
        <v>4923</v>
      </c>
      <c r="L301" s="85" t="n">
        <v>18831</v>
      </c>
      <c r="M301" s="85" t="n">
        <v>3869</v>
      </c>
      <c r="N301" s="85" t="n">
        <v>6207</v>
      </c>
      <c r="O301" s="85" t="n">
        <v>18509</v>
      </c>
      <c r="P301" s="85" t="n">
        <v>5973</v>
      </c>
      <c r="Q301" s="85" t="n">
        <v>19710</v>
      </c>
      <c r="R301" s="85" t="n">
        <v>1601</v>
      </c>
      <c r="S301" s="85" t="n">
        <v>172</v>
      </c>
      <c r="T301" s="85" t="n">
        <v>530</v>
      </c>
      <c r="U301" s="85" t="n">
        <v>961</v>
      </c>
      <c r="V301" s="85" t="n">
        <v>247</v>
      </c>
      <c r="W301" s="85" t="n">
        <v>32132</v>
      </c>
      <c r="X301" s="85" t="n">
        <v>9678</v>
      </c>
      <c r="Y301" s="85" t="n">
        <v>7491</v>
      </c>
      <c r="Z301" s="85" t="n">
        <v>13696</v>
      </c>
      <c r="AA301" s="85" t="n">
        <v>3630</v>
      </c>
      <c r="AB301" s="85" t="n">
        <v>16285</v>
      </c>
      <c r="AC301" s="85" t="n">
        <v>2963</v>
      </c>
      <c r="AD301" s="85" t="n">
        <v>4884</v>
      </c>
      <c r="AE301" s="85" t="n">
        <v>15859</v>
      </c>
      <c r="AF301" s="85" t="n">
        <v>6038</v>
      </c>
      <c r="AG301" s="85" t="n">
        <v>18436</v>
      </c>
      <c r="AH301" s="85" t="n">
        <v>16285</v>
      </c>
      <c r="AI301" s="85" t="n">
        <v>32132</v>
      </c>
      <c r="AJ301" s="85" t="n">
        <v>4834</v>
      </c>
      <c r="AK301" s="85" t="n">
        <v>3550</v>
      </c>
      <c r="AL301" s="85" t="n">
        <v>965</v>
      </c>
      <c r="AM301" s="85" t="n">
        <v>587</v>
      </c>
      <c r="AN301" s="85" t="n">
        <v>84</v>
      </c>
      <c r="AO301" s="85" t="n">
        <v>191</v>
      </c>
      <c r="AP301" s="91" t="inlineStr">
        <is>
          <t>N/A</t>
        </is>
      </c>
      <c r="AQ301" s="91" t="inlineStr">
        <is>
          <t>N/A</t>
        </is>
      </c>
      <c r="AR301" s="85" t="n">
        <v>13980</v>
      </c>
      <c r="AS301" s="85" t="n">
        <v>5302</v>
      </c>
      <c r="AT301" s="91" t="inlineStr">
        <is>
          <t>N/A</t>
        </is>
      </c>
      <c r="AU301" s="85" t="n">
        <v>2928</v>
      </c>
      <c r="AV301" s="85" t="n">
        <v>2884</v>
      </c>
      <c r="AW301" s="85" t="n">
        <v>3609</v>
      </c>
      <c r="AX301" s="85" t="n">
        <v>5973</v>
      </c>
      <c r="AY301" s="85" t="n">
        <v>7376</v>
      </c>
      <c r="AZ301" s="85" t="n">
        <v>3089</v>
      </c>
      <c r="BA301" s="85" t="n">
        <v>6123</v>
      </c>
      <c r="BB301" s="85" t="n">
        <v>279.1</v>
      </c>
      <c r="BC301" s="85" t="n">
        <v>280.3</v>
      </c>
      <c r="BD301" s="85" t="n">
        <v>457</v>
      </c>
      <c r="BE301" s="85" t="n">
        <v>1009</v>
      </c>
      <c r="BF301" s="85" t="n">
        <v>1418</v>
      </c>
      <c r="BG301" s="85" t="n">
        <v>159</v>
      </c>
      <c r="BH301" s="85" t="n">
        <v>-2318</v>
      </c>
      <c r="BI301" s="85" t="n">
        <v>-227</v>
      </c>
      <c r="BJ301" s="85" t="n">
        <v>792</v>
      </c>
      <c r="BK301" s="85" t="n">
        <v>721</v>
      </c>
      <c r="BL301" s="85" t="n">
        <v>961</v>
      </c>
      <c r="BM301" s="85" t="n">
        <v>887</v>
      </c>
      <c r="BN301" s="85" t="n">
        <v>8</v>
      </c>
      <c r="BO301" s="85" t="n">
        <v>322</v>
      </c>
      <c r="BP301" s="85" t="n">
        <v>426</v>
      </c>
      <c r="BQ301" s="85" t="n">
        <v>0</v>
      </c>
      <c r="BR301" s="85" t="n">
        <v>0</v>
      </c>
      <c r="BS301" s="91" t="inlineStr">
        <is>
          <t>N/A</t>
        </is>
      </c>
      <c r="BT301" s="91" t="inlineStr">
        <is>
          <t>N/A</t>
        </is>
      </c>
      <c r="BU301" s="85" t="n">
        <v>0</v>
      </c>
      <c r="BV301" s="85" t="n">
        <v>0</v>
      </c>
      <c r="BW301" s="85" t="n">
        <v>0</v>
      </c>
      <c r="BX301" s="85" t="n">
        <v>0</v>
      </c>
      <c r="BY301" s="85" t="n">
        <v>0</v>
      </c>
    </row>
    <row r="302" ht="17" customHeight="1">
      <c r="A302" s="86" t="n">
        <v>300</v>
      </c>
      <c r="B302" s="87" t="inlineStr">
        <is>
          <t>TGTX</t>
        </is>
      </c>
      <c r="C302" s="88" t="inlineStr">
        <is>
          <t>TG THERAPEUTICS, INC.</t>
        </is>
      </c>
      <c r="D302" s="86" t="inlineStr">
        <is>
          <t>Health Care</t>
        </is>
      </c>
      <c r="E302" s="86" t="n">
        <v>2026</v>
      </c>
      <c r="F302" s="89" t="n">
        <v>1063.3</v>
      </c>
      <c r="G302" s="89" t="n">
        <v>630.8</v>
      </c>
      <c r="H302" s="89" t="n">
        <v>153.8</v>
      </c>
      <c r="I302" s="89" t="n">
        <v>415.2</v>
      </c>
      <c r="J302" s="89" t="n">
        <v>-1082</v>
      </c>
      <c r="K302" s="89" t="n">
        <v>123.3</v>
      </c>
      <c r="L302" s="89" t="n">
        <v>2.8</v>
      </c>
      <c r="M302" s="89" t="n">
        <v>447.2</v>
      </c>
      <c r="N302" s="89" t="n">
        <v>-24.8</v>
      </c>
      <c r="O302" s="89" t="n">
        <v>-97.90000000000001</v>
      </c>
      <c r="P302" s="89" t="n">
        <v>100.4</v>
      </c>
      <c r="Q302" s="89" t="n">
        <v>648</v>
      </c>
      <c r="R302" s="89" t="n">
        <v>232</v>
      </c>
      <c r="S302" s="89" t="n">
        <v>0.1</v>
      </c>
      <c r="T302" s="89" t="n">
        <v>305.6</v>
      </c>
      <c r="U302" s="89" t="n">
        <v>0.1</v>
      </c>
      <c r="V302" s="89" t="n">
        <v>12.6</v>
      </c>
      <c r="W302" s="89" t="n">
        <v>577.7</v>
      </c>
      <c r="X302" s="89" t="n">
        <v>566.4</v>
      </c>
      <c r="Y302" s="89" t="n">
        <v>90.7</v>
      </c>
      <c r="Z302" s="89" t="n">
        <v>355.3</v>
      </c>
      <c r="AA302" s="89" t="n">
        <v>41.9</v>
      </c>
      <c r="AB302" s="89" t="n">
        <v>6.7</v>
      </c>
      <c r="AC302" s="89" t="n">
        <v>23.4</v>
      </c>
      <c r="AD302" s="89" t="n">
        <v>-40.5</v>
      </c>
      <c r="AE302" s="89" t="n">
        <v>-31.8</v>
      </c>
      <c r="AF302" s="89" t="n">
        <v>71.09999999999999</v>
      </c>
      <c r="AG302" s="89" t="n">
        <v>222.4</v>
      </c>
      <c r="AH302" s="89" t="n">
        <v>6.7</v>
      </c>
      <c r="AI302" s="89" t="n">
        <v>577.7</v>
      </c>
      <c r="AJ302" s="89" t="n">
        <v>107.4</v>
      </c>
      <c r="AK302" s="89" t="n">
        <v>25.6</v>
      </c>
      <c r="AL302" s="89" t="n">
        <v>-339.8</v>
      </c>
      <c r="AM302" s="89" t="n">
        <v>2.2</v>
      </c>
      <c r="AN302" s="89" t="n">
        <v>0.2</v>
      </c>
      <c r="AO302" s="89" t="n">
        <v>0</v>
      </c>
      <c r="AP302" s="89" t="n">
        <v>125.6</v>
      </c>
      <c r="AQ302" s="89" t="n">
        <v>110.5</v>
      </c>
      <c r="AR302" s="89" t="n">
        <v>0.8</v>
      </c>
      <c r="AS302" s="90" t="inlineStr">
        <is>
          <t>N/A</t>
        </is>
      </c>
      <c r="AT302" s="89" t="n">
        <v>0.9</v>
      </c>
      <c r="AU302" s="89" t="n">
        <v>160.2</v>
      </c>
      <c r="AV302" s="89" t="n">
        <v>79.09999999999999</v>
      </c>
      <c r="AW302" s="89" t="n">
        <v>179.9</v>
      </c>
      <c r="AX302" s="89" t="n">
        <v>101.3</v>
      </c>
      <c r="AY302" s="89" t="n">
        <v>71.3</v>
      </c>
      <c r="AZ302" s="89" t="n">
        <v>22.2</v>
      </c>
      <c r="BA302" s="89" t="n">
        <v>-25</v>
      </c>
      <c r="BB302" s="89" t="n">
        <v>155.3</v>
      </c>
      <c r="BC302" s="89" t="n">
        <v>155.8</v>
      </c>
      <c r="BD302" s="89" t="n">
        <v>129.2</v>
      </c>
      <c r="BE302" s="89" t="n">
        <v>0.3</v>
      </c>
      <c r="BF302" s="89" t="n">
        <v>154.3</v>
      </c>
      <c r="BG302" s="89" t="n">
        <v>0.1</v>
      </c>
      <c r="BH302" s="89" t="n">
        <v>13.8</v>
      </c>
      <c r="BI302" s="89" t="n">
        <v>-1</v>
      </c>
      <c r="BJ302" s="89" t="n">
        <v>107.5</v>
      </c>
      <c r="BK302" s="89" t="n">
        <v>58.3</v>
      </c>
      <c r="BL302" s="89" t="n">
        <v>21.2</v>
      </c>
      <c r="BM302" s="89" t="n">
        <v>11.4</v>
      </c>
      <c r="BN302" s="90" t="inlineStr">
        <is>
          <t>N/A</t>
        </is>
      </c>
      <c r="BO302" s="89" t="n">
        <v>100.7</v>
      </c>
      <c r="BP302" s="89" t="n">
        <v>38.5</v>
      </c>
      <c r="BQ302" s="89" t="n">
        <v>0</v>
      </c>
      <c r="BR302" s="89" t="n">
        <v>0</v>
      </c>
      <c r="BS302" s="89" t="n">
        <v>0</v>
      </c>
      <c r="BT302" s="89" t="n">
        <v>0</v>
      </c>
      <c r="BU302" s="89" t="n">
        <v>0</v>
      </c>
      <c r="BV302" s="89" t="n">
        <v>0</v>
      </c>
      <c r="BW302" s="89" t="n">
        <v>0</v>
      </c>
      <c r="BX302" s="89" t="n">
        <v>-0</v>
      </c>
      <c r="BY302" s="89" t="n">
        <v>-0</v>
      </c>
    </row>
    <row r="303" ht="17" customHeight="1">
      <c r="A303" s="82" t="n">
        <v>301</v>
      </c>
      <c r="B303" s="83" t="inlineStr">
        <is>
          <t>DY</t>
        </is>
      </c>
      <c r="C303" s="84" t="inlineStr">
        <is>
          <t>DYCOM INDUSTRIES, INC.</t>
        </is>
      </c>
      <c r="D303" s="82" t="inlineStr">
        <is>
          <t>Industrials</t>
        </is>
      </c>
      <c r="E303" s="82" t="n">
        <v>2026</v>
      </c>
      <c r="F303" s="85" t="n">
        <v>5979.2</v>
      </c>
      <c r="G303" s="85" t="n">
        <v>2756.9</v>
      </c>
      <c r="H303" s="85" t="n">
        <v>1006.9</v>
      </c>
      <c r="I303" s="85" t="n">
        <v>4120</v>
      </c>
      <c r="J303" s="85" t="n">
        <v>1467.5</v>
      </c>
      <c r="K303" s="85" t="n">
        <v>367.9</v>
      </c>
      <c r="L303" s="85" t="n">
        <v>789.2</v>
      </c>
      <c r="M303" s="85" t="n">
        <v>281.2</v>
      </c>
      <c r="N303" s="85" t="n">
        <v>642.5</v>
      </c>
      <c r="O303" s="85" t="n">
        <v>161.1</v>
      </c>
      <c r="P303" s="85" t="n">
        <v>187.6</v>
      </c>
      <c r="Q303" s="85" t="n">
        <v>1859.1</v>
      </c>
      <c r="R303" s="85" t="n">
        <v>445.5</v>
      </c>
      <c r="S303" s="85" t="n">
        <v>269.6</v>
      </c>
      <c r="T303" s="85" t="n">
        <v>1697</v>
      </c>
      <c r="U303" s="85" t="n">
        <v>575.4</v>
      </c>
      <c r="V303" s="85" t="n">
        <v>16.5</v>
      </c>
      <c r="W303" s="85" t="n">
        <v>2945.4</v>
      </c>
      <c r="X303" s="85" t="n">
        <v>1694.6</v>
      </c>
      <c r="Y303" s="85" t="n">
        <v>587.2</v>
      </c>
      <c r="Z303" s="85" t="n">
        <v>1706.3</v>
      </c>
      <c r="AA303" s="85" t="n">
        <v>307.8</v>
      </c>
      <c r="AB303" s="85" t="n">
        <v>664.6</v>
      </c>
      <c r="AC303" s="85" t="n">
        <v>233.4</v>
      </c>
      <c r="AD303" s="85" t="n">
        <v>349.1</v>
      </c>
      <c r="AE303" s="85" t="n">
        <v>249.4</v>
      </c>
      <c r="AF303" s="85" t="n">
        <v>187.8</v>
      </c>
      <c r="AG303" s="85" t="n">
        <v>1239.1</v>
      </c>
      <c r="AH303" s="85" t="n">
        <v>559.5</v>
      </c>
      <c r="AI303" s="85" t="n">
        <v>2945.4</v>
      </c>
      <c r="AJ303" s="85" t="n">
        <v>367.9</v>
      </c>
      <c r="AK303" s="85" t="n">
        <v>307.8</v>
      </c>
      <c r="AL303" s="85" t="n">
        <v>86.7</v>
      </c>
      <c r="AM303" s="85" t="n">
        <v>74.40000000000001</v>
      </c>
      <c r="AN303" s="85" t="n">
        <v>240.8</v>
      </c>
      <c r="AO303" s="85" t="n">
        <v>250.5</v>
      </c>
      <c r="AP303" s="85" t="n">
        <v>128.3</v>
      </c>
      <c r="AQ303" s="85" t="n">
        <v>127.3</v>
      </c>
      <c r="AR303" s="85" t="n">
        <v>1443.4</v>
      </c>
      <c r="AS303" s="85" t="n">
        <v>921.2</v>
      </c>
      <c r="AT303" s="85" t="n">
        <v>4</v>
      </c>
      <c r="AU303" s="91" t="inlineStr">
        <is>
          <t>N/A</t>
        </is>
      </c>
      <c r="AV303" s="85" t="n">
        <v>709.2</v>
      </c>
      <c r="AW303" s="85" t="n">
        <v>92.7</v>
      </c>
      <c r="AX303" s="85" t="n">
        <v>191.6</v>
      </c>
      <c r="AY303" s="85" t="n">
        <v>197.8</v>
      </c>
      <c r="AZ303" s="85" t="n">
        <v>-517.6</v>
      </c>
      <c r="BA303" s="85" t="n">
        <v>401.7</v>
      </c>
      <c r="BB303" s="85" t="n">
        <v>30</v>
      </c>
      <c r="BC303" s="85" t="n">
        <v>29</v>
      </c>
      <c r="BD303" s="85" t="n">
        <v>1373.7</v>
      </c>
      <c r="BE303" s="85" t="n">
        <v>541.9</v>
      </c>
      <c r="BF303" s="85" t="n">
        <v>393</v>
      </c>
      <c r="BG303" s="85" t="n">
        <v>198.6</v>
      </c>
      <c r="BH303" s="85" t="n">
        <v>-1835.7</v>
      </c>
      <c r="BI303" s="85" t="n">
        <v>-395.2</v>
      </c>
      <c r="BJ303" s="85" t="n">
        <v>497.3</v>
      </c>
      <c r="BK303" s="85" t="n">
        <v>223.5</v>
      </c>
      <c r="BL303" s="85" t="n">
        <v>158.5</v>
      </c>
      <c r="BM303" s="85" t="n">
        <v>73.5</v>
      </c>
      <c r="BN303" s="85" t="n">
        <v>0.8</v>
      </c>
      <c r="BO303" s="85" t="n">
        <v>1868</v>
      </c>
      <c r="BP303" s="85" t="n">
        <v>1729.7</v>
      </c>
      <c r="BQ303" s="85" t="n">
        <v>0</v>
      </c>
      <c r="BR303" s="85" t="n">
        <v>0</v>
      </c>
      <c r="BS303" s="85" t="n">
        <v>0</v>
      </c>
      <c r="BT303" s="85" t="n">
        <v>0</v>
      </c>
      <c r="BU303" s="85" t="n">
        <v>0</v>
      </c>
      <c r="BV303" s="85" t="n">
        <v>0</v>
      </c>
      <c r="BW303" s="85" t="n">
        <v>0</v>
      </c>
      <c r="BX303" s="85" t="n">
        <v>0</v>
      </c>
      <c r="BY303" s="85" t="n">
        <v>0</v>
      </c>
    </row>
    <row r="304" ht="17" customHeight="1">
      <c r="A304" s="86" t="n">
        <v>302</v>
      </c>
      <c r="B304" s="87" t="inlineStr">
        <is>
          <t>EIX</t>
        </is>
      </c>
      <c r="C304" s="88" t="inlineStr">
        <is>
          <t>EDISON INTERNATIONAL</t>
        </is>
      </c>
      <c r="D304" s="86" t="inlineStr">
        <is>
          <t>Utilities</t>
        </is>
      </c>
      <c r="E304" s="86" t="n">
        <v>2026</v>
      </c>
      <c r="F304" s="89" t="n">
        <v>94026</v>
      </c>
      <c r="G304" s="89" t="n">
        <v>7686</v>
      </c>
      <c r="H304" s="89" t="n">
        <v>10536</v>
      </c>
      <c r="I304" s="89" t="n">
        <v>74767</v>
      </c>
      <c r="J304" s="89" t="n">
        <v>10714</v>
      </c>
      <c r="K304" s="89" t="n">
        <v>7093</v>
      </c>
      <c r="L304" s="89" t="n">
        <v>19317</v>
      </c>
      <c r="M304" s="89" t="n">
        <v>4459</v>
      </c>
      <c r="N304" s="89" t="n">
        <v>5800</v>
      </c>
      <c r="O304" s="90" t="inlineStr">
        <is>
          <t>N/A</t>
        </is>
      </c>
      <c r="P304" s="89" t="n">
        <v>37998</v>
      </c>
      <c r="Q304" s="89" t="n">
        <v>17579</v>
      </c>
      <c r="R304" s="90" t="inlineStr">
        <is>
          <t>N/A</t>
        </is>
      </c>
      <c r="S304" s="89" t="n">
        <v>3237</v>
      </c>
      <c r="T304" s="89" t="n">
        <v>1463</v>
      </c>
      <c r="U304" s="89" t="n">
        <v>63328</v>
      </c>
      <c r="V304" s="89" t="n">
        <v>1612</v>
      </c>
      <c r="W304" s="89" t="n">
        <v>85579</v>
      </c>
      <c r="X304" s="89" t="n">
        <v>7155</v>
      </c>
      <c r="Y304" s="89" t="n">
        <v>8439</v>
      </c>
      <c r="Z304" s="89" t="n">
        <v>67839</v>
      </c>
      <c r="AA304" s="89" t="n">
        <v>2930</v>
      </c>
      <c r="AB304" s="89" t="n">
        <v>17599</v>
      </c>
      <c r="AC304" s="89" t="n">
        <v>1284</v>
      </c>
      <c r="AD304" s="89" t="n">
        <v>5014</v>
      </c>
      <c r="AE304" s="90" t="inlineStr">
        <is>
          <t>N/A</t>
        </is>
      </c>
      <c r="AF304" s="89" t="n">
        <v>35583</v>
      </c>
      <c r="AG304" s="89" t="n">
        <v>15565</v>
      </c>
      <c r="AH304" s="89" t="n">
        <v>17599</v>
      </c>
      <c r="AI304" s="89" t="n">
        <v>85579</v>
      </c>
      <c r="AJ304" s="89" t="n">
        <v>5992</v>
      </c>
      <c r="AK304" s="89" t="n">
        <v>1563</v>
      </c>
      <c r="AL304" s="89" t="n">
        <v>1291</v>
      </c>
      <c r="AM304" s="89" t="n">
        <v>17</v>
      </c>
      <c r="AN304" s="89" t="n">
        <v>6515</v>
      </c>
      <c r="AO304" s="89" t="n">
        <v>5707</v>
      </c>
      <c r="AP304" s="89" t="n">
        <v>535</v>
      </c>
      <c r="AQ304" s="89" t="n">
        <v>538</v>
      </c>
      <c r="AR304" s="90" t="inlineStr">
        <is>
          <t>N/A</t>
        </is>
      </c>
      <c r="AS304" s="90" t="inlineStr">
        <is>
          <t>N/A</t>
        </is>
      </c>
      <c r="AT304" s="89" t="n">
        <v>2390</v>
      </c>
      <c r="AU304" s="90" t="inlineStr">
        <is>
          <t>N/A</t>
        </is>
      </c>
      <c r="AV304" s="89" t="n">
        <v>158</v>
      </c>
      <c r="AW304" s="89" t="n">
        <v>193</v>
      </c>
      <c r="AX304" s="89" t="n">
        <v>40388</v>
      </c>
      <c r="AY304" s="89" t="n">
        <v>36581</v>
      </c>
      <c r="AZ304" s="89" t="n">
        <v>40230</v>
      </c>
      <c r="BA304" s="89" t="n">
        <v>-715</v>
      </c>
      <c r="BB304" s="89" t="n">
        <v>384.8</v>
      </c>
      <c r="BC304" s="89" t="n">
        <v>384.8</v>
      </c>
      <c r="BD304" s="89" t="n">
        <v>2169</v>
      </c>
      <c r="BE304" s="89" t="n">
        <v>59254</v>
      </c>
      <c r="BF304" s="90" t="inlineStr">
        <is>
          <t>N/A</t>
        </is>
      </c>
      <c r="BG304" s="89" t="n">
        <v>2939</v>
      </c>
      <c r="BH304" s="89" t="n">
        <v>-6335</v>
      </c>
      <c r="BI304" s="89" t="n">
        <v>-5536</v>
      </c>
      <c r="BJ304" s="89" t="n">
        <v>2344</v>
      </c>
      <c r="BK304" s="89" t="n">
        <v>2000</v>
      </c>
      <c r="BL304" s="90" t="inlineStr">
        <is>
          <t>N/A</t>
        </is>
      </c>
      <c r="BM304" s="90" t="inlineStr">
        <is>
          <t>N/A</t>
        </is>
      </c>
      <c r="BN304" s="89" t="n">
        <v>21</v>
      </c>
      <c r="BO304" s="90" t="inlineStr">
        <is>
          <t>N/A</t>
        </is>
      </c>
      <c r="BP304" s="90" t="inlineStr">
        <is>
          <t>N/A</t>
        </is>
      </c>
      <c r="BQ304" s="89" t="n">
        <v>0</v>
      </c>
      <c r="BR304" s="89" t="n">
        <v>0</v>
      </c>
      <c r="BS304" s="90" t="inlineStr">
        <is>
          <t>N/A</t>
        </is>
      </c>
      <c r="BT304" s="90" t="inlineStr">
        <is>
          <t>N/A</t>
        </is>
      </c>
      <c r="BU304" s="90" t="inlineStr">
        <is>
          <t>N/A</t>
        </is>
      </c>
      <c r="BV304" s="90" t="inlineStr">
        <is>
          <t>N/A</t>
        </is>
      </c>
      <c r="BW304" s="89" t="n">
        <v>0</v>
      </c>
      <c r="BX304" s="89" t="n">
        <v>0</v>
      </c>
      <c r="BY304" s="89" t="n">
        <v>0</v>
      </c>
    </row>
    <row r="305" ht="17" customHeight="1">
      <c r="A305" s="82" t="n">
        <v>303</v>
      </c>
      <c r="B305" s="83" t="inlineStr">
        <is>
          <t>LH</t>
        </is>
      </c>
      <c r="C305" s="84" t="inlineStr">
        <is>
          <t>LABCORP HOLDINGS INC.</t>
        </is>
      </c>
      <c r="D305" s="82" t="inlineStr">
        <is>
          <t>Health Care</t>
        </is>
      </c>
      <c r="E305" s="82" t="n">
        <v>2026</v>
      </c>
      <c r="F305" s="85" t="n">
        <v>18392.7</v>
      </c>
      <c r="G305" s="85" t="n">
        <v>4020.5</v>
      </c>
      <c r="H305" s="85" t="n">
        <v>2823.5</v>
      </c>
      <c r="I305" s="85" t="n">
        <v>9756</v>
      </c>
      <c r="J305" s="85" t="n">
        <v>8639.9</v>
      </c>
      <c r="K305" s="85" t="n">
        <v>1384.7</v>
      </c>
      <c r="L305" s="85" t="n">
        <v>13951.7</v>
      </c>
      <c r="M305" s="85" t="n">
        <v>876.5</v>
      </c>
      <c r="N305" s="85" t="n">
        <v>1640.5</v>
      </c>
      <c r="O305" s="85" t="n">
        <v>4012.5</v>
      </c>
      <c r="P305" s="85" t="n">
        <v>6205</v>
      </c>
      <c r="Q305" s="85" t="n">
        <v>8619.799999999999</v>
      </c>
      <c r="R305" s="85" t="n">
        <v>2216.3</v>
      </c>
      <c r="S305" s="85" t="n">
        <v>681.1</v>
      </c>
      <c r="T305" s="85" t="n">
        <v>2103.8</v>
      </c>
      <c r="U305" s="85" t="n">
        <v>3081.5</v>
      </c>
      <c r="V305" s="85" t="n">
        <v>224.1</v>
      </c>
      <c r="W305" s="85" t="n">
        <v>18379</v>
      </c>
      <c r="X305" s="85" t="n">
        <v>4806.5</v>
      </c>
      <c r="Y305" s="85" t="n">
        <v>3330.2</v>
      </c>
      <c r="Z305" s="85" t="n">
        <v>10312.5</v>
      </c>
      <c r="AA305" s="85" t="n">
        <v>1086.7</v>
      </c>
      <c r="AB305" s="85" t="n">
        <v>13008.9</v>
      </c>
      <c r="AC305" s="85" t="n">
        <v>746</v>
      </c>
      <c r="AD305" s="85" t="n">
        <v>1585.8</v>
      </c>
      <c r="AE305" s="85" t="n">
        <v>3624.4</v>
      </c>
      <c r="AF305" s="85" t="n">
        <v>6000.9</v>
      </c>
      <c r="AG305" s="85" t="n">
        <v>8052.2</v>
      </c>
      <c r="AH305" s="85" t="n">
        <v>13008.9</v>
      </c>
      <c r="AI305" s="85" t="n">
        <v>18379</v>
      </c>
      <c r="AJ305" s="85" t="n">
        <v>728.9</v>
      </c>
      <c r="AK305" s="91" t="inlineStr">
        <is>
          <t>N/A</t>
        </is>
      </c>
      <c r="AL305" s="85" t="n">
        <v>229.8</v>
      </c>
      <c r="AM305" s="85" t="n">
        <v>212.4</v>
      </c>
      <c r="AN305" s="85" t="n">
        <v>434.5</v>
      </c>
      <c r="AO305" s="85" t="n">
        <v>489.9</v>
      </c>
      <c r="AP305" s="85" t="n">
        <v>534.7</v>
      </c>
      <c r="AQ305" s="85" t="n">
        <v>493.2</v>
      </c>
      <c r="AR305" s="85" t="n">
        <v>6789.5</v>
      </c>
      <c r="AS305" s="85" t="n">
        <v>3036.8</v>
      </c>
      <c r="AT305" s="85" t="n">
        <v>0.3</v>
      </c>
      <c r="AU305" s="91" t="inlineStr">
        <is>
          <t>N/A</t>
        </is>
      </c>
      <c r="AV305" s="85" t="n">
        <v>532.3</v>
      </c>
      <c r="AW305" s="85" t="n">
        <v>1518.7</v>
      </c>
      <c r="AX305" s="85" t="n">
        <v>6205.3</v>
      </c>
      <c r="AY305" s="85" t="n">
        <v>6001.3</v>
      </c>
      <c r="AZ305" s="85" t="n">
        <v>5673</v>
      </c>
      <c r="BA305" s="85" t="n">
        <v>1206</v>
      </c>
      <c r="BB305" s="85" t="n">
        <v>82.2</v>
      </c>
      <c r="BC305" s="85" t="n">
        <v>83.40000000000001</v>
      </c>
      <c r="BD305" s="85" t="n">
        <v>1944.1</v>
      </c>
      <c r="BE305" s="85" t="n">
        <v>3045.4</v>
      </c>
      <c r="BF305" s="85" t="n">
        <v>2230</v>
      </c>
      <c r="BG305" s="85" t="n">
        <v>643.5</v>
      </c>
      <c r="BH305" s="85" t="n">
        <v>-1194</v>
      </c>
      <c r="BI305" s="85" t="n">
        <v>-1366.8</v>
      </c>
      <c r="BJ305" s="85" t="n">
        <v>840.8</v>
      </c>
      <c r="BK305" s="85" t="n">
        <v>875.8</v>
      </c>
      <c r="BL305" s="85" t="n">
        <v>439.1</v>
      </c>
      <c r="BM305" s="85" t="n">
        <v>392.2</v>
      </c>
      <c r="BN305" s="85" t="n">
        <v>160.3</v>
      </c>
      <c r="BO305" s="85" t="n">
        <v>6741.9</v>
      </c>
      <c r="BP305" s="85" t="n">
        <v>6256.7</v>
      </c>
      <c r="BQ305" s="85" t="n">
        <v>0</v>
      </c>
      <c r="BR305" s="85" t="n">
        <v>0</v>
      </c>
      <c r="BS305" s="85" t="n">
        <v>0</v>
      </c>
      <c r="BT305" s="85" t="n">
        <v>0</v>
      </c>
      <c r="BU305" s="85" t="n">
        <v>0</v>
      </c>
      <c r="BV305" s="85" t="n">
        <v>0</v>
      </c>
      <c r="BW305" s="85" t="n">
        <v>0</v>
      </c>
      <c r="BX305" s="85" t="n">
        <v>0</v>
      </c>
      <c r="BY305" s="85" t="n">
        <v>0</v>
      </c>
    </row>
    <row r="306" ht="17" customHeight="1">
      <c r="A306" s="86" t="n">
        <v>304</v>
      </c>
      <c r="B306" s="87" t="inlineStr">
        <is>
          <t>CW</t>
        </is>
      </c>
      <c r="C306" s="88" t="inlineStr">
        <is>
          <t>CURTISS-WRIGHT CORPORATION</t>
        </is>
      </c>
      <c r="D306" s="86" t="inlineStr">
        <is>
          <t>Industrials</t>
        </is>
      </c>
      <c r="E306" s="86" t="n">
        <v>2026</v>
      </c>
      <c r="F306" s="89" t="n">
        <v>5221.3</v>
      </c>
      <c r="G306" s="89" t="n">
        <v>2018.5</v>
      </c>
      <c r="H306" s="89" t="n">
        <v>1405.6</v>
      </c>
      <c r="I306" s="89" t="n">
        <v>2687.7</v>
      </c>
      <c r="J306" s="89" t="n">
        <v>4310.7</v>
      </c>
      <c r="K306" s="89" t="n">
        <v>633.5</v>
      </c>
      <c r="L306" s="89" t="n">
        <v>2391.3</v>
      </c>
      <c r="M306" s="89" t="n">
        <v>484.2</v>
      </c>
      <c r="N306" s="89" t="n">
        <v>643.4</v>
      </c>
      <c r="O306" s="89" t="n">
        <v>1301.5</v>
      </c>
      <c r="P306" s="89" t="n">
        <v>957.9</v>
      </c>
      <c r="Q306" s="89" t="n">
        <v>2533.6</v>
      </c>
      <c r="R306" s="89" t="n">
        <v>399.6</v>
      </c>
      <c r="S306" s="89" t="n">
        <v>124.8</v>
      </c>
      <c r="T306" s="89" t="n">
        <v>932.3</v>
      </c>
      <c r="U306" s="89" t="n">
        <v>382.2</v>
      </c>
      <c r="V306" s="89" t="n">
        <v>51.4</v>
      </c>
      <c r="W306" s="89" t="n">
        <v>4985.7</v>
      </c>
      <c r="X306" s="89" t="n">
        <v>1849.6</v>
      </c>
      <c r="Y306" s="89" t="n">
        <v>1095.9</v>
      </c>
      <c r="Z306" s="89" t="n">
        <v>2535.9</v>
      </c>
      <c r="AA306" s="89" t="n">
        <v>528.6</v>
      </c>
      <c r="AB306" s="89" t="n">
        <v>2488</v>
      </c>
      <c r="AC306" s="89" t="n">
        <v>405</v>
      </c>
      <c r="AD306" s="89" t="n">
        <v>544.3</v>
      </c>
      <c r="AE306" s="89" t="n">
        <v>1153.5</v>
      </c>
      <c r="AF306" s="89" t="n">
        <v>1048.9</v>
      </c>
      <c r="AG306" s="89" t="n">
        <v>2449.8</v>
      </c>
      <c r="AH306" s="89" t="n">
        <v>2488</v>
      </c>
      <c r="AI306" s="89" t="n">
        <v>4985.7</v>
      </c>
      <c r="AJ306" s="89" t="n">
        <v>620</v>
      </c>
      <c r="AK306" s="89" t="n">
        <v>522.1</v>
      </c>
      <c r="AL306" s="89" t="n">
        <v>135.8</v>
      </c>
      <c r="AM306" s="89" t="n">
        <v>117.1</v>
      </c>
      <c r="AN306" s="89" t="n">
        <v>89.7</v>
      </c>
      <c r="AO306" s="89" t="n">
        <v>61</v>
      </c>
      <c r="AP306" s="89" t="n">
        <v>615.1</v>
      </c>
      <c r="AQ306" s="89" t="n">
        <v>541.4</v>
      </c>
      <c r="AR306" s="89" t="n">
        <v>1692.5</v>
      </c>
      <c r="AS306" s="89" t="n">
        <v>532.4</v>
      </c>
      <c r="AT306" s="89" t="n">
        <v>200</v>
      </c>
      <c r="AU306" s="89" t="n">
        <v>95.2</v>
      </c>
      <c r="AV306" s="89" t="n">
        <v>171</v>
      </c>
      <c r="AW306" s="89" t="n">
        <v>198.2</v>
      </c>
      <c r="AX306" s="89" t="n">
        <v>1157.9</v>
      </c>
      <c r="AY306" s="89" t="n">
        <v>1138.9</v>
      </c>
      <c r="AZ306" s="89" t="n">
        <v>986.9</v>
      </c>
      <c r="BA306" s="89" t="n">
        <v>553.7</v>
      </c>
      <c r="BB306" s="89" t="n">
        <v>36.9</v>
      </c>
      <c r="BC306" s="89" t="n">
        <v>37.7</v>
      </c>
      <c r="BD306" s="89" t="n">
        <v>835</v>
      </c>
      <c r="BE306" s="89" t="n">
        <v>339.1</v>
      </c>
      <c r="BF306" s="89" t="n">
        <v>373.5</v>
      </c>
      <c r="BG306" s="89" t="n">
        <v>107.7</v>
      </c>
      <c r="BH306" s="89" t="n">
        <v>-90.09999999999999</v>
      </c>
      <c r="BI306" s="89" t="n">
        <v>-283.3</v>
      </c>
      <c r="BJ306" s="89" t="n">
        <v>310.3</v>
      </c>
      <c r="BK306" s="89" t="n">
        <v>247.2</v>
      </c>
      <c r="BL306" s="89" t="n">
        <v>561.5</v>
      </c>
      <c r="BM306" s="89" t="n">
        <v>459.4</v>
      </c>
      <c r="BN306" s="89" t="n">
        <v>3.2</v>
      </c>
      <c r="BO306" s="89" t="n">
        <v>2196.8</v>
      </c>
      <c r="BP306" s="89" t="n">
        <v>1967.6</v>
      </c>
      <c r="BQ306" s="89" t="n">
        <v>0</v>
      </c>
      <c r="BR306" s="89" t="n">
        <v>0</v>
      </c>
      <c r="BS306" s="89" t="n">
        <v>0</v>
      </c>
      <c r="BT306" s="89" t="n">
        <v>0</v>
      </c>
      <c r="BU306" s="89" t="n">
        <v>0</v>
      </c>
      <c r="BV306" s="89" t="n">
        <v>0</v>
      </c>
      <c r="BW306" s="89" t="n">
        <v>0</v>
      </c>
      <c r="BX306" s="89" t="n">
        <v>0</v>
      </c>
      <c r="BY306" s="89" t="n">
        <v>0</v>
      </c>
    </row>
    <row r="307" ht="17" customHeight="1">
      <c r="A307" s="82" t="n">
        <v>305</v>
      </c>
      <c r="B307" s="83" t="inlineStr">
        <is>
          <t>HIG</t>
        </is>
      </c>
      <c r="C307" s="84" t="inlineStr">
        <is>
          <t>The Hartford Insurance Group, Inc.</t>
        </is>
      </c>
      <c r="D307" s="82" t="inlineStr">
        <is>
          <t>Financials</t>
        </is>
      </c>
      <c r="E307" s="82" t="n">
        <v>2026</v>
      </c>
      <c r="F307" s="85" t="n">
        <v>85997</v>
      </c>
      <c r="G307" s="91" t="inlineStr">
        <is>
          <t>N/A</t>
        </is>
      </c>
      <c r="H307" s="91" t="inlineStr">
        <is>
          <t>N/A</t>
        </is>
      </c>
      <c r="I307" s="85" t="n">
        <v>67018</v>
      </c>
      <c r="J307" s="85" t="n">
        <v>24739</v>
      </c>
      <c r="K307" s="85" t="n">
        <v>2264</v>
      </c>
      <c r="L307" s="85" t="n">
        <v>28368</v>
      </c>
      <c r="M307" s="85" t="n">
        <v>3836</v>
      </c>
      <c r="N307" s="85" t="n">
        <v>5922</v>
      </c>
      <c r="O307" s="85" t="n">
        <v>4760</v>
      </c>
      <c r="P307" s="85" t="n">
        <v>4371</v>
      </c>
      <c r="Q307" s="85" t="n">
        <v>18979</v>
      </c>
      <c r="R307" s="85" t="n">
        <v>5584</v>
      </c>
      <c r="S307" s="85" t="n">
        <v>187</v>
      </c>
      <c r="T307" s="91" t="inlineStr">
        <is>
          <t>N/A</t>
        </is>
      </c>
      <c r="U307" s="85" t="n">
        <v>931</v>
      </c>
      <c r="V307" s="85" t="n">
        <v>199</v>
      </c>
      <c r="W307" s="85" t="n">
        <v>80917</v>
      </c>
      <c r="X307" s="91" t="inlineStr">
        <is>
          <t>N/A</t>
        </is>
      </c>
      <c r="Y307" s="91" t="inlineStr">
        <is>
          <t>N/A</t>
        </is>
      </c>
      <c r="Z307" s="85" t="n">
        <v>64470</v>
      </c>
      <c r="AA307" s="85" t="n">
        <v>-1728</v>
      </c>
      <c r="AB307" s="85" t="n">
        <v>26535</v>
      </c>
      <c r="AC307" s="85" t="n">
        <v>3111</v>
      </c>
      <c r="AD307" s="85" t="n">
        <v>5909</v>
      </c>
      <c r="AE307" s="85" t="n">
        <v>3849</v>
      </c>
      <c r="AF307" s="85" t="n">
        <v>4366</v>
      </c>
      <c r="AG307" s="85" t="n">
        <v>16447</v>
      </c>
      <c r="AH307" s="85" t="n">
        <v>26535</v>
      </c>
      <c r="AI307" s="85" t="n">
        <v>80917</v>
      </c>
      <c r="AJ307" s="85" t="n">
        <v>4760</v>
      </c>
      <c r="AK307" s="85" t="n">
        <v>3849</v>
      </c>
      <c r="AL307" s="85" t="n">
        <v>924</v>
      </c>
      <c r="AM307" s="85" t="n">
        <v>738</v>
      </c>
      <c r="AN307" s="85" t="n">
        <v>169</v>
      </c>
      <c r="AO307" s="85" t="n">
        <v>145</v>
      </c>
      <c r="AP307" s="91" t="inlineStr">
        <is>
          <t>N/A</t>
        </is>
      </c>
      <c r="AQ307" s="91" t="inlineStr">
        <is>
          <t>N/A</t>
        </is>
      </c>
      <c r="AR307" s="85" t="n">
        <v>1911</v>
      </c>
      <c r="AS307" s="85" t="n">
        <v>471</v>
      </c>
      <c r="AT307" s="91" t="inlineStr">
        <is>
          <t>N/A</t>
        </is>
      </c>
      <c r="AU307" s="91" t="inlineStr">
        <is>
          <t>N/A</t>
        </is>
      </c>
      <c r="AV307" s="91" t="inlineStr">
        <is>
          <t>N/A</t>
        </is>
      </c>
      <c r="AW307" s="91" t="inlineStr">
        <is>
          <t>N/A</t>
        </is>
      </c>
      <c r="AX307" s="85" t="n">
        <v>4371</v>
      </c>
      <c r="AY307" s="85" t="n">
        <v>4866</v>
      </c>
      <c r="AZ307" s="85" t="n">
        <v>4371</v>
      </c>
      <c r="BA307" s="85" t="n">
        <v>5753</v>
      </c>
      <c r="BB307" s="85" t="n">
        <v>327</v>
      </c>
      <c r="BC307" s="85" t="n">
        <v>327</v>
      </c>
      <c r="BD307" s="91" t="inlineStr">
        <is>
          <t>N/A</t>
        </is>
      </c>
      <c r="BE307" s="85" t="n">
        <v>888</v>
      </c>
      <c r="BF307" s="85" t="n">
        <v>5258</v>
      </c>
      <c r="BG307" s="85" t="n">
        <v>177</v>
      </c>
      <c r="BH307" s="85" t="n">
        <v>-3758</v>
      </c>
      <c r="BI307" s="85" t="n">
        <v>-3768</v>
      </c>
      <c r="BJ307" s="91" t="inlineStr">
        <is>
          <t>N/A</t>
        </is>
      </c>
      <c r="BK307" s="91" t="inlineStr">
        <is>
          <t>N/A</t>
        </is>
      </c>
      <c r="BL307" s="91" t="inlineStr">
        <is>
          <t>N/A</t>
        </is>
      </c>
      <c r="BM307" s="91" t="inlineStr">
        <is>
          <t>N/A</t>
        </is>
      </c>
      <c r="BN307" s="85" t="n">
        <v>19</v>
      </c>
      <c r="BO307" s="85" t="n">
        <v>23608</v>
      </c>
      <c r="BP307" s="85" t="n">
        <v>22686</v>
      </c>
      <c r="BQ307" s="91" t="inlineStr">
        <is>
          <t>N/A</t>
        </is>
      </c>
      <c r="BR307" s="91" t="inlineStr">
        <is>
          <t>N/A</t>
        </is>
      </c>
      <c r="BS307" s="91" t="inlineStr">
        <is>
          <t>N/A</t>
        </is>
      </c>
      <c r="BT307" s="91" t="inlineStr">
        <is>
          <t>N/A</t>
        </is>
      </c>
      <c r="BU307" s="91" t="inlineStr">
        <is>
          <t>N/A</t>
        </is>
      </c>
      <c r="BV307" s="91" t="inlineStr">
        <is>
          <t>N/A</t>
        </is>
      </c>
      <c r="BW307" s="85" t="n">
        <v>0</v>
      </c>
      <c r="BX307" s="85" t="n">
        <v>0</v>
      </c>
      <c r="BY307" s="85" t="n">
        <v>0</v>
      </c>
    </row>
    <row r="308" ht="17" customHeight="1">
      <c r="A308" s="86" t="n">
        <v>306</v>
      </c>
      <c r="B308" s="87" t="inlineStr">
        <is>
          <t>BX</t>
        </is>
      </c>
      <c r="C308" s="88" t="inlineStr">
        <is>
          <t>Blackstone Inc.</t>
        </is>
      </c>
      <c r="D308" s="86" t="inlineStr">
        <is>
          <t>Financials</t>
        </is>
      </c>
      <c r="E308" s="86" t="n">
        <v>2026</v>
      </c>
      <c r="F308" s="89" t="n">
        <v>47709</v>
      </c>
      <c r="G308" s="90" t="inlineStr">
        <is>
          <t>N/A</t>
        </is>
      </c>
      <c r="H308" s="90" t="inlineStr">
        <is>
          <t>N/A</t>
        </is>
      </c>
      <c r="I308" s="89" t="n">
        <v>25827.8</v>
      </c>
      <c r="J308" s="89" t="n">
        <v>191.6</v>
      </c>
      <c r="K308" s="89" t="n">
        <v>7171.6</v>
      </c>
      <c r="L308" s="89" t="n">
        <v>14450.3</v>
      </c>
      <c r="M308" s="89" t="n">
        <v>3019.2</v>
      </c>
      <c r="N308" s="89" t="n">
        <v>4663.2</v>
      </c>
      <c r="O308" s="89" t="n">
        <v>10722.9</v>
      </c>
      <c r="P308" s="89" t="n">
        <v>12576.6</v>
      </c>
      <c r="Q308" s="89" t="n">
        <v>8665.5</v>
      </c>
      <c r="R308" s="89" t="n">
        <v>1524.5</v>
      </c>
      <c r="S308" s="89" t="n">
        <v>98</v>
      </c>
      <c r="T308" s="89" t="n">
        <v>291.8</v>
      </c>
      <c r="U308" s="89" t="n">
        <v>521.2</v>
      </c>
      <c r="V308" s="89" t="n">
        <v>508.3</v>
      </c>
      <c r="W308" s="89" t="n">
        <v>43469.9</v>
      </c>
      <c r="X308" s="90" t="inlineStr">
        <is>
          <t>N/A</t>
        </is>
      </c>
      <c r="Y308" s="90" t="inlineStr">
        <is>
          <t>N/A</t>
        </is>
      </c>
      <c r="Z308" s="89" t="n">
        <v>23974.9</v>
      </c>
      <c r="AA308" s="89" t="n">
        <v>6459.5</v>
      </c>
      <c r="AB308" s="89" t="n">
        <v>13230</v>
      </c>
      <c r="AC308" s="89" t="n">
        <v>2776.5</v>
      </c>
      <c r="AD308" s="89" t="n">
        <v>3481.7</v>
      </c>
      <c r="AE308" s="89" t="n">
        <v>10301.4</v>
      </c>
      <c r="AF308" s="89" t="n">
        <v>11460.2</v>
      </c>
      <c r="AG308" s="89" t="n">
        <v>8212.299999999999</v>
      </c>
      <c r="AH308" s="89" t="n">
        <v>13230</v>
      </c>
      <c r="AI308" s="89" t="n">
        <v>43469.9</v>
      </c>
      <c r="AJ308" s="89" t="n">
        <v>7171.6</v>
      </c>
      <c r="AK308" s="89" t="n">
        <v>6459.5</v>
      </c>
      <c r="AL308" s="89" t="n">
        <v>1125</v>
      </c>
      <c r="AM308" s="89" t="n">
        <v>1021.7</v>
      </c>
      <c r="AN308" s="89" t="n">
        <v>115.7</v>
      </c>
      <c r="AO308" s="89" t="n">
        <v>61.4</v>
      </c>
      <c r="AP308" s="90" t="inlineStr">
        <is>
          <t>N/A</t>
        </is>
      </c>
      <c r="AQ308" s="90" t="inlineStr">
        <is>
          <t>N/A</t>
        </is>
      </c>
      <c r="AR308" s="89" t="n">
        <v>1890.2</v>
      </c>
      <c r="AS308" s="89" t="n">
        <v>131.4</v>
      </c>
      <c r="AT308" s="90" t="inlineStr">
        <is>
          <t>N/A</t>
        </is>
      </c>
      <c r="AU308" s="90" t="inlineStr">
        <is>
          <t>N/A</t>
        </is>
      </c>
      <c r="AV308" s="89" t="n">
        <v>2631.2</v>
      </c>
      <c r="AW308" s="89" t="n">
        <v>1972.1</v>
      </c>
      <c r="AX308" s="89" t="n">
        <v>12576.6</v>
      </c>
      <c r="AY308" s="89" t="n">
        <v>11460.2</v>
      </c>
      <c r="AZ308" s="89" t="n">
        <v>9945.299999999999</v>
      </c>
      <c r="BA308" s="89" t="n">
        <v>4547.5</v>
      </c>
      <c r="BB308" s="89" t="n">
        <v>748.7</v>
      </c>
      <c r="BC308" s="89" t="n">
        <v>731.9</v>
      </c>
      <c r="BD308" s="89" t="n">
        <v>237.9</v>
      </c>
      <c r="BE308" s="89" t="n">
        <v>506.3</v>
      </c>
      <c r="BF308" s="89" t="n">
        <v>1361.9</v>
      </c>
      <c r="BG308" s="89" t="n">
        <v>98.8</v>
      </c>
      <c r="BH308" s="89" t="n">
        <v>-115.7</v>
      </c>
      <c r="BI308" s="89" t="n">
        <v>-61.4</v>
      </c>
      <c r="BJ308" s="90" t="inlineStr">
        <is>
          <t>N/A</t>
        </is>
      </c>
      <c r="BK308" s="90" t="inlineStr">
        <is>
          <t>N/A</t>
        </is>
      </c>
      <c r="BL308" s="90" t="inlineStr">
        <is>
          <t>N/A</t>
        </is>
      </c>
      <c r="BM308" s="90" t="inlineStr">
        <is>
          <t>N/A</t>
        </is>
      </c>
      <c r="BN308" s="90" t="inlineStr">
        <is>
          <t>N/A</t>
        </is>
      </c>
      <c r="BO308" s="89" t="n">
        <v>3727.4</v>
      </c>
      <c r="BP308" s="89" t="n">
        <v>2928.6</v>
      </c>
      <c r="BQ308" s="89" t="n">
        <v>0</v>
      </c>
      <c r="BR308" s="89" t="n">
        <v>0</v>
      </c>
      <c r="BS308" s="90" t="inlineStr">
        <is>
          <t>N/A</t>
        </is>
      </c>
      <c r="BT308" s="90" t="inlineStr">
        <is>
          <t>N/A</t>
        </is>
      </c>
      <c r="BU308" s="90" t="inlineStr">
        <is>
          <t>N/A</t>
        </is>
      </c>
      <c r="BV308" s="90" t="inlineStr">
        <is>
          <t>N/A</t>
        </is>
      </c>
      <c r="BW308" s="89" t="n">
        <v>0</v>
      </c>
      <c r="BX308" s="89" t="n">
        <v>0</v>
      </c>
      <c r="BY308" s="89" t="n">
        <v>0</v>
      </c>
    </row>
    <row r="309" ht="17" customHeight="1">
      <c r="A309" s="82" t="n">
        <v>307</v>
      </c>
      <c r="B309" s="83" t="inlineStr">
        <is>
          <t>NSC</t>
        </is>
      </c>
      <c r="C309" s="84" t="inlineStr">
        <is>
          <t>NORFOLK SOUTHERN CORP</t>
        </is>
      </c>
      <c r="D309" s="82" t="inlineStr">
        <is>
          <t>Industrials</t>
        </is>
      </c>
      <c r="E309" s="82" t="n">
        <v>2026</v>
      </c>
      <c r="F309" s="85" t="n">
        <v>45236</v>
      </c>
      <c r="G309" s="85" t="n">
        <v>3198</v>
      </c>
      <c r="H309" s="85" t="n">
        <v>3775</v>
      </c>
      <c r="I309" s="85" t="n">
        <v>29689</v>
      </c>
      <c r="J309" s="85" t="n">
        <v>13235</v>
      </c>
      <c r="K309" s="85" t="n">
        <v>4356</v>
      </c>
      <c r="L309" s="85" t="n">
        <v>10551</v>
      </c>
      <c r="M309" s="85" t="n">
        <v>2873</v>
      </c>
      <c r="N309" s="85" t="n">
        <v>4361</v>
      </c>
      <c r="O309" s="85" t="n">
        <v>3052</v>
      </c>
      <c r="P309" s="85" t="n">
        <v>9736</v>
      </c>
      <c r="Q309" s="85" t="n">
        <v>15547</v>
      </c>
      <c r="R309" s="91" t="inlineStr">
        <is>
          <t>N/A</t>
        </is>
      </c>
      <c r="S309" s="85" t="n">
        <v>1393</v>
      </c>
      <c r="T309" s="85" t="n">
        <v>988</v>
      </c>
      <c r="U309" s="85" t="n">
        <v>36479</v>
      </c>
      <c r="V309" s="85" t="n">
        <v>807</v>
      </c>
      <c r="W309" s="85" t="n">
        <v>43682</v>
      </c>
      <c r="X309" s="85" t="n">
        <v>3188</v>
      </c>
      <c r="Y309" s="85" t="n">
        <v>3545</v>
      </c>
      <c r="Z309" s="85" t="n">
        <v>29376</v>
      </c>
      <c r="AA309" s="85" t="n">
        <v>4071</v>
      </c>
      <c r="AB309" s="85" t="n">
        <v>2669</v>
      </c>
      <c r="AC309" s="85" t="n">
        <v>2622</v>
      </c>
      <c r="AD309" s="85" t="n">
        <v>4052</v>
      </c>
      <c r="AE309" s="85" t="n">
        <v>-4296</v>
      </c>
      <c r="AF309" s="85" t="n">
        <v>10112</v>
      </c>
      <c r="AG309" s="85" t="n">
        <v>14306</v>
      </c>
      <c r="AH309" s="85" t="n">
        <v>2670</v>
      </c>
      <c r="AI309" s="85" t="n">
        <v>43682</v>
      </c>
      <c r="AJ309" s="85" t="n">
        <v>3665</v>
      </c>
      <c r="AK309" s="85" t="n">
        <v>3329</v>
      </c>
      <c r="AL309" s="85" t="n">
        <v>792</v>
      </c>
      <c r="AM309" s="85" t="n">
        <v>707</v>
      </c>
      <c r="AN309" s="85" t="n">
        <v>2204</v>
      </c>
      <c r="AO309" s="85" t="n">
        <v>2381</v>
      </c>
      <c r="AP309" s="91" t="inlineStr">
        <is>
          <t>N/A</t>
        </is>
      </c>
      <c r="AQ309" s="91" t="inlineStr">
        <is>
          <t>N/A</t>
        </is>
      </c>
      <c r="AR309" s="91" t="inlineStr">
        <is>
          <t>N/A</t>
        </is>
      </c>
      <c r="AS309" s="91" t="inlineStr">
        <is>
          <t>N/A</t>
        </is>
      </c>
      <c r="AT309" s="91" t="inlineStr">
        <is>
          <t>N/A</t>
        </is>
      </c>
      <c r="AU309" s="91" t="inlineStr">
        <is>
          <t>N/A</t>
        </is>
      </c>
      <c r="AV309" s="85" t="n">
        <v>1530</v>
      </c>
      <c r="AW309" s="85" t="n">
        <v>1641</v>
      </c>
      <c r="AX309" s="85" t="n">
        <v>9736</v>
      </c>
      <c r="AY309" s="85" t="n">
        <v>10212</v>
      </c>
      <c r="AZ309" s="85" t="n">
        <v>8206</v>
      </c>
      <c r="BA309" s="85" t="n">
        <v>2157</v>
      </c>
      <c r="BB309" s="85" t="n">
        <v>224.4</v>
      </c>
      <c r="BC309" s="85" t="n">
        <v>226.3</v>
      </c>
      <c r="BD309" s="85" t="n">
        <v>1069</v>
      </c>
      <c r="BE309" s="85" t="n">
        <v>35831</v>
      </c>
      <c r="BF309" s="91" t="inlineStr">
        <is>
          <t>N/A</t>
        </is>
      </c>
      <c r="BG309" s="85" t="n">
        <v>1353</v>
      </c>
      <c r="BH309" s="85" t="n">
        <v>-2562</v>
      </c>
      <c r="BI309" s="85" t="n">
        <v>-2780</v>
      </c>
      <c r="BJ309" s="85" t="n">
        <v>1863</v>
      </c>
      <c r="BK309" s="85" t="n">
        <v>1704</v>
      </c>
      <c r="BL309" s="91" t="inlineStr">
        <is>
          <t>N/A</t>
        </is>
      </c>
      <c r="BM309" s="91" t="inlineStr">
        <is>
          <t>N/A</t>
        </is>
      </c>
      <c r="BN309" s="85" t="n">
        <v>340</v>
      </c>
      <c r="BO309" s="85" t="n">
        <v>7499</v>
      </c>
      <c r="BP309" s="85" t="n">
        <v>6965</v>
      </c>
      <c r="BQ309" s="85" t="n">
        <v>0</v>
      </c>
      <c r="BR309" s="85" t="n">
        <v>0</v>
      </c>
      <c r="BS309" s="91" t="inlineStr">
        <is>
          <t>N/A</t>
        </is>
      </c>
      <c r="BT309" s="91" t="inlineStr">
        <is>
          <t>N/A</t>
        </is>
      </c>
      <c r="BU309" s="85" t="n">
        <v>0</v>
      </c>
      <c r="BV309" s="85" t="n">
        <v>0</v>
      </c>
      <c r="BW309" s="85" t="n">
        <v>0</v>
      </c>
      <c r="BX309" s="85" t="n">
        <v>0</v>
      </c>
      <c r="BY309" s="85" t="n">
        <v>0</v>
      </c>
    </row>
    <row r="310" ht="17" customHeight="1">
      <c r="A310" s="86" t="n">
        <v>308</v>
      </c>
      <c r="B310" s="87" t="inlineStr">
        <is>
          <t>CEG</t>
        </is>
      </c>
      <c r="C310" s="88" t="inlineStr">
        <is>
          <t>CONSTELLATION ENERGY CORPORATION</t>
        </is>
      </c>
      <c r="D310" s="86" t="inlineStr">
        <is>
          <t>Utilities</t>
        </is>
      </c>
      <c r="E310" s="86" t="n">
        <v>2026</v>
      </c>
      <c r="F310" s="89" t="n">
        <v>57249</v>
      </c>
      <c r="G310" s="89" t="n">
        <v>12119</v>
      </c>
      <c r="H310" s="89" t="n">
        <v>7944</v>
      </c>
      <c r="I310" s="89" t="n">
        <v>42396</v>
      </c>
      <c r="J310" s="89" t="n">
        <v>5899</v>
      </c>
      <c r="K310" s="89" t="n">
        <v>3086</v>
      </c>
      <c r="L310" s="89" t="n">
        <v>25533</v>
      </c>
      <c r="M310" s="89" t="n">
        <v>2319</v>
      </c>
      <c r="N310" s="89" t="n">
        <v>4237</v>
      </c>
      <c r="O310" s="90" t="inlineStr">
        <is>
          <t>N/A</t>
        </is>
      </c>
      <c r="P310" s="89" t="n">
        <v>7403</v>
      </c>
      <c r="Q310" s="89" t="n">
        <v>14517</v>
      </c>
      <c r="R310" s="90" t="inlineStr">
        <is>
          <t>N/A</t>
        </is>
      </c>
      <c r="S310" s="89" t="n">
        <v>967</v>
      </c>
      <c r="T310" s="89" t="n">
        <v>4266</v>
      </c>
      <c r="U310" s="89" t="n">
        <v>22474</v>
      </c>
      <c r="V310" s="89" t="n">
        <v>431</v>
      </c>
      <c r="W310" s="89" t="n">
        <v>52926</v>
      </c>
      <c r="X310" s="89" t="n">
        <v>10776</v>
      </c>
      <c r="Y310" s="89" t="n">
        <v>6846</v>
      </c>
      <c r="Z310" s="89" t="n">
        <v>39387</v>
      </c>
      <c r="AA310" s="89" t="n">
        <v>4352</v>
      </c>
      <c r="AB310" s="89" t="n">
        <v>23568</v>
      </c>
      <c r="AC310" s="89" t="n">
        <v>3749</v>
      </c>
      <c r="AD310" s="89" t="n">
        <v>-2464</v>
      </c>
      <c r="AE310" s="90" t="inlineStr">
        <is>
          <t>N/A</t>
        </is>
      </c>
      <c r="AF310" s="89" t="n">
        <v>8474</v>
      </c>
      <c r="AG310" s="89" t="n">
        <v>13166</v>
      </c>
      <c r="AH310" s="89" t="n">
        <v>23568</v>
      </c>
      <c r="AI310" s="89" t="n">
        <v>52926</v>
      </c>
      <c r="AJ310" s="90" t="inlineStr">
        <is>
          <t>N/A</t>
        </is>
      </c>
      <c r="AK310" s="90" t="inlineStr">
        <is>
          <t>N/A</t>
        </is>
      </c>
      <c r="AL310" s="89" t="n">
        <v>1187</v>
      </c>
      <c r="AM310" s="89" t="n">
        <v>774</v>
      </c>
      <c r="AN310" s="89" t="n">
        <v>2949</v>
      </c>
      <c r="AO310" s="89" t="n">
        <v>2565</v>
      </c>
      <c r="AP310" s="89" t="n">
        <v>1736</v>
      </c>
      <c r="AQ310" s="89" t="n">
        <v>1600</v>
      </c>
      <c r="AR310" s="89" t="n">
        <v>420</v>
      </c>
      <c r="AS310" s="89" t="n">
        <v>201</v>
      </c>
      <c r="AT310" s="89" t="n">
        <v>1650</v>
      </c>
      <c r="AU310" s="90" t="inlineStr">
        <is>
          <t>N/A</t>
        </is>
      </c>
      <c r="AV310" s="89" t="n">
        <v>3641</v>
      </c>
      <c r="AW310" s="89" t="n">
        <v>3022</v>
      </c>
      <c r="AX310" s="89" t="n">
        <v>9053</v>
      </c>
      <c r="AY310" s="89" t="n">
        <v>8474</v>
      </c>
      <c r="AZ310" s="89" t="n">
        <v>5412</v>
      </c>
      <c r="BA310" s="89" t="n">
        <v>1288</v>
      </c>
      <c r="BB310" s="89" t="n">
        <v>312</v>
      </c>
      <c r="BC310" s="89" t="n">
        <v>313</v>
      </c>
      <c r="BD310" s="89" t="n">
        <v>3116</v>
      </c>
      <c r="BE310" s="89" t="n">
        <v>21235</v>
      </c>
      <c r="BF310" s="90" t="inlineStr">
        <is>
          <t>N/A</t>
        </is>
      </c>
      <c r="BG310" s="89" t="n">
        <v>1101</v>
      </c>
      <c r="BH310" s="89" t="n">
        <v>-3198</v>
      </c>
      <c r="BI310" s="89" t="n">
        <v>7428</v>
      </c>
      <c r="BJ310" s="89" t="n">
        <v>2813</v>
      </c>
      <c r="BK310" s="89" t="n">
        <v>2369</v>
      </c>
      <c r="BL310" s="89" t="n">
        <v>33</v>
      </c>
      <c r="BM310" s="89" t="n">
        <v>40</v>
      </c>
      <c r="BN310" s="89" t="n">
        <v>246</v>
      </c>
      <c r="BO310" s="90" t="inlineStr">
        <is>
          <t>N/A</t>
        </is>
      </c>
      <c r="BP310" s="90" t="inlineStr">
        <is>
          <t>N/A</t>
        </is>
      </c>
      <c r="BQ310" s="89" t="n">
        <v>0</v>
      </c>
      <c r="BR310" s="89" t="n">
        <v>0</v>
      </c>
      <c r="BS310" s="90" t="inlineStr">
        <is>
          <t>N/A</t>
        </is>
      </c>
      <c r="BT310" s="90" t="inlineStr">
        <is>
          <t>N/A</t>
        </is>
      </c>
      <c r="BU310" s="90" t="inlineStr">
        <is>
          <t>N/A</t>
        </is>
      </c>
      <c r="BV310" s="90" t="inlineStr">
        <is>
          <t>N/A</t>
        </is>
      </c>
      <c r="BW310" s="89" t="n">
        <v>0</v>
      </c>
      <c r="BX310" s="89" t="n">
        <v>0</v>
      </c>
      <c r="BY310" s="90" t="inlineStr">
        <is>
          <t>N/A</t>
        </is>
      </c>
    </row>
    <row r="311" ht="17" customHeight="1">
      <c r="A311" s="82" t="n">
        <v>309</v>
      </c>
      <c r="B311" s="83" t="inlineStr">
        <is>
          <t>CVX</t>
        </is>
      </c>
      <c r="C311" s="84" t="inlineStr">
        <is>
          <t>Chevron Corp</t>
        </is>
      </c>
      <c r="D311" s="82" t="inlineStr">
        <is>
          <t>Energy</t>
        </is>
      </c>
      <c r="E311" s="82" t="n">
        <v>2026</v>
      </c>
      <c r="F311" s="85" t="n">
        <v>324012</v>
      </c>
      <c r="G311" s="85" t="n">
        <v>38552</v>
      </c>
      <c r="H311" s="85" t="n">
        <v>33387</v>
      </c>
      <c r="I311" s="85" t="n">
        <v>131836</v>
      </c>
      <c r="J311" s="85" t="n">
        <v>205365</v>
      </c>
      <c r="K311" s="91" t="inlineStr">
        <is>
          <t>N/A</t>
        </is>
      </c>
      <c r="L311" s="85" t="n">
        <v>189031</v>
      </c>
      <c r="M311" s="85" t="n">
        <v>12299</v>
      </c>
      <c r="N311" s="85" t="n">
        <v>33939</v>
      </c>
      <c r="O311" s="85" t="n">
        <v>80817</v>
      </c>
      <c r="P311" s="85" t="n">
        <v>25676</v>
      </c>
      <c r="Q311" s="85" t="n">
        <v>186450</v>
      </c>
      <c r="R311" s="85" t="n">
        <v>5126</v>
      </c>
      <c r="S311" s="85" t="n">
        <v>20132</v>
      </c>
      <c r="T311" s="85" t="n">
        <v>15986</v>
      </c>
      <c r="U311" s="85" t="n">
        <v>156618</v>
      </c>
      <c r="V311" s="85" t="n">
        <v>1217</v>
      </c>
      <c r="W311" s="85" t="n">
        <v>256938</v>
      </c>
      <c r="X311" s="85" t="n">
        <v>40911</v>
      </c>
      <c r="Y311" s="85" t="n">
        <v>38558</v>
      </c>
      <c r="Z311" s="85" t="n">
        <v>103781</v>
      </c>
      <c r="AA311" s="91" t="inlineStr">
        <is>
          <t>N/A</t>
        </is>
      </c>
      <c r="AB311" s="85" t="n">
        <v>202792</v>
      </c>
      <c r="AC311" s="85" t="n">
        <v>17661</v>
      </c>
      <c r="AD311" s="85" t="n">
        <v>31492</v>
      </c>
      <c r="AE311" s="85" t="n">
        <v>83586</v>
      </c>
      <c r="AF311" s="85" t="n">
        <v>25676</v>
      </c>
      <c r="AG311" s="85" t="n">
        <v>152318</v>
      </c>
      <c r="AH311" s="85" t="n">
        <v>202792</v>
      </c>
      <c r="AI311" s="85" t="n">
        <v>256938</v>
      </c>
      <c r="AJ311" s="85" t="n">
        <v>5979</v>
      </c>
      <c r="AK311" s="91" t="inlineStr">
        <is>
          <t>N/A</t>
        </is>
      </c>
      <c r="AL311" s="85" t="n">
        <v>7258</v>
      </c>
      <c r="AM311" s="85" t="n">
        <v>9757</v>
      </c>
      <c r="AN311" s="85" t="n">
        <v>17347</v>
      </c>
      <c r="AO311" s="85" t="n">
        <v>16448</v>
      </c>
      <c r="AP311" s="85" t="n">
        <v>9711</v>
      </c>
      <c r="AQ311" s="85" t="n">
        <v>9074</v>
      </c>
      <c r="AR311" s="85" t="n">
        <v>4568</v>
      </c>
      <c r="AS311" s="91" t="inlineStr">
        <is>
          <t>N/A</t>
        </is>
      </c>
      <c r="AT311" s="85" t="n">
        <v>977</v>
      </c>
      <c r="AU311" s="85" t="n">
        <v>427</v>
      </c>
      <c r="AV311" s="85" t="n">
        <v>8178</v>
      </c>
      <c r="AW311" s="85" t="n">
        <v>17678</v>
      </c>
      <c r="AX311" s="85" t="n">
        <v>26653</v>
      </c>
      <c r="AY311" s="85" t="n">
        <v>30082</v>
      </c>
      <c r="AZ311" s="85" t="n">
        <v>18475</v>
      </c>
      <c r="BA311" s="85" t="n">
        <v>16592</v>
      </c>
      <c r="BB311" s="85" t="n">
        <v>2442.7</v>
      </c>
      <c r="BC311" s="85" t="n">
        <v>2442.7</v>
      </c>
      <c r="BD311" s="85" t="n">
        <v>18338</v>
      </c>
      <c r="BE311" s="85" t="n">
        <v>150494</v>
      </c>
      <c r="BF311" s="85" t="n">
        <v>4834</v>
      </c>
      <c r="BG311" s="85" t="n">
        <v>17282</v>
      </c>
      <c r="BH311" s="85" t="n">
        <v>-15911</v>
      </c>
      <c r="BI311" s="85" t="n">
        <v>-8936</v>
      </c>
      <c r="BJ311" s="85" t="n">
        <v>19280</v>
      </c>
      <c r="BK311" s="85" t="n">
        <v>22079</v>
      </c>
      <c r="BL311" s="91" t="inlineStr">
        <is>
          <t>N/A</t>
        </is>
      </c>
      <c r="BM311" s="91" t="inlineStr">
        <is>
          <t>N/A</t>
        </is>
      </c>
      <c r="BN311" s="85" t="n">
        <v>844</v>
      </c>
      <c r="BO311" s="85" t="n">
        <v>108214</v>
      </c>
      <c r="BP311" s="85" t="n">
        <v>119206</v>
      </c>
      <c r="BQ311" s="85" t="n">
        <v>0</v>
      </c>
      <c r="BR311" s="85" t="n">
        <v>0</v>
      </c>
      <c r="BS311" s="85" t="n">
        <v>0</v>
      </c>
      <c r="BT311" s="85" t="n">
        <v>0</v>
      </c>
      <c r="BU311" s="85" t="n">
        <v>0</v>
      </c>
      <c r="BV311" s="85" t="n">
        <v>0</v>
      </c>
      <c r="BW311" s="85" t="n">
        <v>0</v>
      </c>
      <c r="BX311" s="85" t="n">
        <v>0</v>
      </c>
      <c r="BY311" s="85" t="n">
        <v>0</v>
      </c>
    </row>
    <row r="312" ht="17" customHeight="1">
      <c r="A312" s="86" t="n">
        <v>310</v>
      </c>
      <c r="B312" s="87" t="inlineStr">
        <is>
          <t>SWK</t>
        </is>
      </c>
      <c r="C312" s="88" t="inlineStr">
        <is>
          <t>STANLEY BLACK &amp; DECKER, INC.</t>
        </is>
      </c>
      <c r="D312" s="86" t="inlineStr">
        <is>
          <t>Industrials</t>
        </is>
      </c>
      <c r="E312" s="86" t="n">
        <v>2026</v>
      </c>
      <c r="F312" s="89" t="n">
        <v>21243.7</v>
      </c>
      <c r="G312" s="89" t="n">
        <v>5979</v>
      </c>
      <c r="H312" s="89" t="n">
        <v>5245.7</v>
      </c>
      <c r="I312" s="89" t="n">
        <v>21243.7</v>
      </c>
      <c r="J312" s="89" t="n">
        <v>8244.6</v>
      </c>
      <c r="K312" s="89" t="n">
        <v>2176</v>
      </c>
      <c r="L312" s="89" t="n">
        <v>15130.4</v>
      </c>
      <c r="M312" s="89" t="n">
        <v>401.9</v>
      </c>
      <c r="N312" s="89" t="n">
        <v>971.2</v>
      </c>
      <c r="O312" s="89" t="n">
        <v>4284.1</v>
      </c>
      <c r="P312" s="89" t="n">
        <v>5258.1</v>
      </c>
      <c r="Q312" s="89" t="n">
        <v>9054.6</v>
      </c>
      <c r="R312" s="89" t="n">
        <v>3314.5</v>
      </c>
      <c r="S312" s="89" t="n">
        <v>512.4</v>
      </c>
      <c r="T312" s="90" t="inlineStr">
        <is>
          <t>N/A</t>
        </is>
      </c>
      <c r="U312" s="89" t="n">
        <v>1831.8</v>
      </c>
      <c r="V312" s="89" t="n">
        <v>516.3</v>
      </c>
      <c r="W312" s="89" t="n">
        <v>21848.9</v>
      </c>
      <c r="X312" s="89" t="n">
        <v>6377.7</v>
      </c>
      <c r="Y312" s="89" t="n">
        <v>4916.9</v>
      </c>
      <c r="Z312" s="89" t="n">
        <v>21848.9</v>
      </c>
      <c r="AA312" s="89" t="n">
        <v>2176</v>
      </c>
      <c r="AB312" s="89" t="n">
        <v>15365.7</v>
      </c>
      <c r="AC312" s="89" t="n">
        <v>294.3</v>
      </c>
      <c r="AD312" s="89" t="n">
        <v>1106.9</v>
      </c>
      <c r="AE312" s="89" t="n">
        <v>753.5</v>
      </c>
      <c r="AF312" s="89" t="n">
        <v>6103</v>
      </c>
      <c r="AG312" s="89" t="n">
        <v>8719.9</v>
      </c>
      <c r="AH312" s="89" t="n">
        <v>15365.7</v>
      </c>
      <c r="AI312" s="89" t="n">
        <v>21848.9</v>
      </c>
      <c r="AJ312" s="89" t="n">
        <v>417.9</v>
      </c>
      <c r="AK312" s="89" t="n">
        <v>241.1</v>
      </c>
      <c r="AL312" s="89" t="n">
        <v>16</v>
      </c>
      <c r="AM312" s="89" t="n">
        <v>-45.2</v>
      </c>
      <c r="AN312" s="89" t="n">
        <v>283.3</v>
      </c>
      <c r="AO312" s="89" t="n">
        <v>353.9</v>
      </c>
      <c r="AP312" s="89" t="n">
        <v>4157.1</v>
      </c>
      <c r="AQ312" s="89" t="n">
        <v>4536.4</v>
      </c>
      <c r="AR312" s="89" t="n">
        <v>7287.9</v>
      </c>
      <c r="AS312" s="90" t="inlineStr">
        <is>
          <t>N/A</t>
        </is>
      </c>
      <c r="AT312" s="89" t="n">
        <v>605.6</v>
      </c>
      <c r="AU312" s="89" t="n">
        <v>321.4</v>
      </c>
      <c r="AV312" s="89" t="n">
        <v>280.1</v>
      </c>
      <c r="AW312" s="89" t="n">
        <v>290.5</v>
      </c>
      <c r="AX312" s="89" t="n">
        <v>5863.7</v>
      </c>
      <c r="AY312" s="89" t="n">
        <v>6103</v>
      </c>
      <c r="AZ312" s="89" t="n">
        <v>5583.6</v>
      </c>
      <c r="BA312" s="89" t="n">
        <v>687.9</v>
      </c>
      <c r="BB312" s="89" t="n">
        <v>155</v>
      </c>
      <c r="BC312" s="89" t="n">
        <v>154.4</v>
      </c>
      <c r="BD312" s="90" t="inlineStr">
        <is>
          <t>N/A</t>
        </is>
      </c>
      <c r="BE312" s="89" t="n">
        <v>2034.3</v>
      </c>
      <c r="BF312" s="89" t="n">
        <v>3310.5</v>
      </c>
      <c r="BG312" s="89" t="n">
        <v>589.5</v>
      </c>
      <c r="BH312" s="89" t="n">
        <v>-261.5</v>
      </c>
      <c r="BI312" s="89" t="n">
        <v>394.2</v>
      </c>
      <c r="BJ312" s="89" t="n">
        <v>2163</v>
      </c>
      <c r="BK312" s="89" t="n">
        <v>2437.2</v>
      </c>
      <c r="BL312" s="89" t="n">
        <v>27.3</v>
      </c>
      <c r="BM312" s="89" t="n">
        <v>31.3</v>
      </c>
      <c r="BN312" s="90" t="inlineStr">
        <is>
          <t>N/A</t>
        </is>
      </c>
      <c r="BO312" s="89" t="n">
        <v>10542.1</v>
      </c>
      <c r="BP312" s="89" t="n">
        <v>10851.3</v>
      </c>
      <c r="BQ312" s="90" t="inlineStr">
        <is>
          <t>N/A</t>
        </is>
      </c>
      <c r="BR312" s="90" t="inlineStr">
        <is>
          <t>N/A</t>
        </is>
      </c>
      <c r="BS312" s="89" t="n">
        <v>0</v>
      </c>
      <c r="BT312" s="89" t="n">
        <v>0</v>
      </c>
      <c r="BU312" s="89" t="n">
        <v>0</v>
      </c>
      <c r="BV312" s="89" t="n">
        <v>0</v>
      </c>
      <c r="BW312" s="89" t="n">
        <v>0</v>
      </c>
      <c r="BX312" s="89" t="n">
        <v>0</v>
      </c>
      <c r="BY312" s="89" t="n">
        <v>0</v>
      </c>
    </row>
    <row r="313" ht="17" customHeight="1">
      <c r="A313" s="82" t="n">
        <v>311</v>
      </c>
      <c r="B313" s="83" t="inlineStr">
        <is>
          <t>FCX</t>
        </is>
      </c>
      <c r="C313" s="84" t="inlineStr">
        <is>
          <t>Freeport-McMoRan Inc.</t>
        </is>
      </c>
      <c r="D313" s="82" t="inlineStr">
        <is>
          <t>Materials</t>
        </is>
      </c>
      <c r="E313" s="82" t="n">
        <v>2026</v>
      </c>
      <c r="F313" s="85" t="n">
        <v>58167</v>
      </c>
      <c r="G313" s="85" t="n">
        <v>13790</v>
      </c>
      <c r="H313" s="85" t="n">
        <v>6019</v>
      </c>
      <c r="I313" s="85" t="n">
        <v>27401</v>
      </c>
      <c r="J313" s="85" t="n">
        <v>1385</v>
      </c>
      <c r="K313" s="85" t="n">
        <v>6518</v>
      </c>
      <c r="L313" s="85" t="n">
        <v>25915</v>
      </c>
      <c r="M313" s="85" t="n">
        <v>4152</v>
      </c>
      <c r="N313" s="85" t="n">
        <v>5610</v>
      </c>
      <c r="O313" s="85" t="n">
        <v>7297</v>
      </c>
      <c r="P313" s="85" t="n">
        <v>9379</v>
      </c>
      <c r="Q313" s="85" t="n">
        <v>18899</v>
      </c>
      <c r="R313" s="85" t="n">
        <v>545</v>
      </c>
      <c r="S313" s="85" t="n">
        <v>2244</v>
      </c>
      <c r="T313" s="85" t="n">
        <v>977</v>
      </c>
      <c r="U313" s="85" t="n">
        <v>40736</v>
      </c>
      <c r="V313" s="85" t="n">
        <v>312</v>
      </c>
      <c r="W313" s="85" t="n">
        <v>54848</v>
      </c>
      <c r="X313" s="85" t="n">
        <v>13296</v>
      </c>
      <c r="Y313" s="85" t="n">
        <v>5496</v>
      </c>
      <c r="Z313" s="85" t="n">
        <v>26070</v>
      </c>
      <c r="AA313" s="85" t="n">
        <v>6864</v>
      </c>
      <c r="AB313" s="85" t="n">
        <v>25455</v>
      </c>
      <c r="AC313" s="85" t="n">
        <v>4399</v>
      </c>
      <c r="AD313" s="85" t="n">
        <v>7160</v>
      </c>
      <c r="AE313" s="85" t="n">
        <v>7660</v>
      </c>
      <c r="AF313" s="85" t="n">
        <v>8948</v>
      </c>
      <c r="AG313" s="85" t="n">
        <v>17581</v>
      </c>
      <c r="AH313" s="85" t="n">
        <v>25455</v>
      </c>
      <c r="AI313" s="85" t="n">
        <v>54848</v>
      </c>
      <c r="AJ313" s="85" t="n">
        <v>405</v>
      </c>
      <c r="AK313" s="91" t="inlineStr">
        <is>
          <t>N/A</t>
        </is>
      </c>
      <c r="AL313" s="85" t="n">
        <v>2221</v>
      </c>
      <c r="AM313" s="85" t="n">
        <v>2523</v>
      </c>
      <c r="AN313" s="85" t="n">
        <v>4494</v>
      </c>
      <c r="AO313" s="85" t="n">
        <v>4808</v>
      </c>
      <c r="AP313" s="85" t="n">
        <v>5018</v>
      </c>
      <c r="AQ313" s="91" t="inlineStr">
        <is>
          <t>N/A</t>
        </is>
      </c>
      <c r="AR313" s="91" t="inlineStr">
        <is>
          <t>N/A</t>
        </is>
      </c>
      <c r="AS313" s="85" t="n">
        <v>219</v>
      </c>
      <c r="AT313" s="85" t="n">
        <v>1414</v>
      </c>
      <c r="AU313" s="91" t="inlineStr">
        <is>
          <t>N/A</t>
        </is>
      </c>
      <c r="AV313" s="85" t="n">
        <v>3824</v>
      </c>
      <c r="AW313" s="85" t="n">
        <v>3923</v>
      </c>
      <c r="AX313" s="85" t="n">
        <v>10793</v>
      </c>
      <c r="AY313" s="85" t="n">
        <v>10180</v>
      </c>
      <c r="AZ313" s="85" t="n">
        <v>6969</v>
      </c>
      <c r="BA313" s="85" t="n">
        <v>1116</v>
      </c>
      <c r="BB313" s="85" t="n">
        <v>945</v>
      </c>
      <c r="BC313" s="85" t="n">
        <v>945</v>
      </c>
      <c r="BD313" s="85" t="n">
        <v>578</v>
      </c>
      <c r="BE313" s="85" t="n">
        <v>38514</v>
      </c>
      <c r="BF313" s="85" t="n">
        <v>513</v>
      </c>
      <c r="BG313" s="85" t="n">
        <v>2241</v>
      </c>
      <c r="BH313" s="85" t="n">
        <v>-4472</v>
      </c>
      <c r="BI313" s="85" t="n">
        <v>-5028</v>
      </c>
      <c r="BJ313" s="85" t="n">
        <v>2948</v>
      </c>
      <c r="BK313" s="85" t="n">
        <v>2789</v>
      </c>
      <c r="BL313" s="85" t="n">
        <v>35</v>
      </c>
      <c r="BM313" s="85" t="n">
        <v>91</v>
      </c>
      <c r="BN313" s="85" t="n">
        <v>456</v>
      </c>
      <c r="BO313" s="85" t="n">
        <v>18618</v>
      </c>
      <c r="BP313" s="85" t="n">
        <v>17795</v>
      </c>
      <c r="BQ313" s="85" t="n">
        <v>0</v>
      </c>
      <c r="BR313" s="85" t="n">
        <v>0</v>
      </c>
      <c r="BS313" s="85" t="n">
        <v>0</v>
      </c>
      <c r="BT313" s="91" t="inlineStr">
        <is>
          <t>N/A</t>
        </is>
      </c>
      <c r="BU313" s="85" t="n">
        <v>0</v>
      </c>
      <c r="BV313" s="85" t="n">
        <v>0</v>
      </c>
      <c r="BW313" s="85" t="n">
        <v>0</v>
      </c>
      <c r="BX313" s="85" t="n">
        <v>0</v>
      </c>
      <c r="BY313" s="85" t="n">
        <v>0</v>
      </c>
    </row>
    <row r="314" ht="17" customHeight="1">
      <c r="A314" s="86" t="n">
        <v>312</v>
      </c>
      <c r="B314" s="87" t="inlineStr">
        <is>
          <t>KMPR</t>
        </is>
      </c>
      <c r="C314" s="88" t="inlineStr">
        <is>
          <t>Kemper Corporation</t>
        </is>
      </c>
      <c r="D314" s="86" t="inlineStr">
        <is>
          <t>Financials</t>
        </is>
      </c>
      <c r="E314" s="86" t="n">
        <v>2026</v>
      </c>
      <c r="F314" s="89" t="n">
        <v>12472.7</v>
      </c>
      <c r="G314" s="90" t="inlineStr">
        <is>
          <t>N/A</t>
        </is>
      </c>
      <c r="H314" s="90" t="inlineStr">
        <is>
          <t>N/A</t>
        </is>
      </c>
      <c r="I314" s="89" t="n">
        <v>9803.299999999999</v>
      </c>
      <c r="J314" s="89" t="n">
        <v>1157.8</v>
      </c>
      <c r="K314" s="89" t="n">
        <v>-68.90000000000001</v>
      </c>
      <c r="L314" s="89" t="n">
        <v>4789.7</v>
      </c>
      <c r="M314" s="89" t="n">
        <v>143.3</v>
      </c>
      <c r="N314" s="89" t="n">
        <v>584.5</v>
      </c>
      <c r="O314" s="89" t="n">
        <v>160.7</v>
      </c>
      <c r="P314" s="89" t="n">
        <v>943.5</v>
      </c>
      <c r="Q314" s="89" t="n">
        <v>2681.4</v>
      </c>
      <c r="R314" s="90" t="inlineStr">
        <is>
          <t>N/A</t>
        </is>
      </c>
      <c r="S314" s="89" t="n">
        <v>15.6</v>
      </c>
      <c r="T314" s="90" t="inlineStr">
        <is>
          <t>N/A</t>
        </is>
      </c>
      <c r="U314" s="90" t="inlineStr">
        <is>
          <t>N/A</t>
        </is>
      </c>
      <c r="V314" s="89" t="n">
        <v>38.5</v>
      </c>
      <c r="W314" s="89" t="n">
        <v>12630.4</v>
      </c>
      <c r="X314" s="90" t="inlineStr">
        <is>
          <t>N/A</t>
        </is>
      </c>
      <c r="Y314" s="90" t="inlineStr">
        <is>
          <t>N/A</t>
        </is>
      </c>
      <c r="Z314" s="89" t="n">
        <v>9846.1</v>
      </c>
      <c r="AA314" s="89" t="n">
        <v>-221.5</v>
      </c>
      <c r="AB314" s="89" t="n">
        <v>4638.6</v>
      </c>
      <c r="AC314" s="89" t="n">
        <v>317.8</v>
      </c>
      <c r="AD314" s="89" t="n">
        <v>382.9</v>
      </c>
      <c r="AE314" s="89" t="n">
        <v>388.5</v>
      </c>
      <c r="AF314" s="89" t="n">
        <v>1391.6</v>
      </c>
      <c r="AG314" s="89" t="n">
        <v>2788.4</v>
      </c>
      <c r="AH314" s="89" t="n">
        <v>4638.6</v>
      </c>
      <c r="AI314" s="89" t="n">
        <v>12630.4</v>
      </c>
      <c r="AJ314" s="89" t="n">
        <v>160.7</v>
      </c>
      <c r="AK314" s="89" t="n">
        <v>388.5</v>
      </c>
      <c r="AL314" s="89" t="n">
        <v>28.1</v>
      </c>
      <c r="AM314" s="89" t="n">
        <v>76</v>
      </c>
      <c r="AN314" s="89" t="n">
        <v>30.6</v>
      </c>
      <c r="AO314" s="89" t="n">
        <v>53.2</v>
      </c>
      <c r="AP314" s="90" t="inlineStr">
        <is>
          <t>N/A</t>
        </is>
      </c>
      <c r="AQ314" s="90" t="inlineStr">
        <is>
          <t>N/A</t>
        </is>
      </c>
      <c r="AR314" s="89" t="n">
        <v>1250.7</v>
      </c>
      <c r="AS314" s="89" t="n">
        <v>226.5</v>
      </c>
      <c r="AT314" s="90" t="inlineStr">
        <is>
          <t>N/A</t>
        </is>
      </c>
      <c r="AU314" s="90" t="inlineStr">
        <is>
          <t>N/A</t>
        </is>
      </c>
      <c r="AV314" s="90" t="inlineStr">
        <is>
          <t>N/A</t>
        </is>
      </c>
      <c r="AW314" s="90" t="inlineStr">
        <is>
          <t>N/A</t>
        </is>
      </c>
      <c r="AX314" s="89" t="n">
        <v>943.5</v>
      </c>
      <c r="AY314" s="89" t="n">
        <v>1391.6</v>
      </c>
      <c r="AZ314" s="89" t="n">
        <v>943.5</v>
      </c>
      <c r="BA314" s="89" t="n">
        <v>553.9</v>
      </c>
      <c r="BB314" s="89" t="n">
        <v>58.7</v>
      </c>
      <c r="BC314" s="89" t="n">
        <v>63.8</v>
      </c>
      <c r="BD314" s="90" t="inlineStr">
        <is>
          <t>N/A</t>
        </is>
      </c>
      <c r="BE314" s="90" t="inlineStr">
        <is>
          <t>N/A</t>
        </is>
      </c>
      <c r="BF314" s="90" t="inlineStr">
        <is>
          <t>N/A</t>
        </is>
      </c>
      <c r="BG314" s="89" t="n">
        <v>13.1</v>
      </c>
      <c r="BH314" s="89" t="n">
        <v>336.2</v>
      </c>
      <c r="BI314" s="89" t="n">
        <v>-244.4</v>
      </c>
      <c r="BJ314" s="90" t="inlineStr">
        <is>
          <t>N/A</t>
        </is>
      </c>
      <c r="BK314" s="90" t="inlineStr">
        <is>
          <t>N/A</t>
        </is>
      </c>
      <c r="BL314" s="90" t="inlineStr">
        <is>
          <t>N/A</t>
        </is>
      </c>
      <c r="BM314" s="90" t="inlineStr">
        <is>
          <t>N/A</t>
        </is>
      </c>
      <c r="BN314" s="90" t="inlineStr">
        <is>
          <t>N/A</t>
        </is>
      </c>
      <c r="BO314" s="89" t="n">
        <v>4629</v>
      </c>
      <c r="BP314" s="89" t="n">
        <v>4250.1</v>
      </c>
      <c r="BQ314" s="90" t="inlineStr">
        <is>
          <t>N/A</t>
        </is>
      </c>
      <c r="BR314" s="90" t="inlineStr">
        <is>
          <t>N/A</t>
        </is>
      </c>
      <c r="BS314" s="90" t="inlineStr">
        <is>
          <t>N/A</t>
        </is>
      </c>
      <c r="BT314" s="90" t="inlineStr">
        <is>
          <t>N/A</t>
        </is>
      </c>
      <c r="BU314" s="90" t="inlineStr">
        <is>
          <t>N/A</t>
        </is>
      </c>
      <c r="BV314" s="90" t="inlineStr">
        <is>
          <t>N/A</t>
        </is>
      </c>
      <c r="BW314" s="89" t="n">
        <v>0</v>
      </c>
      <c r="BX314" s="89" t="n">
        <v>0</v>
      </c>
      <c r="BY314" s="89" t="n">
        <v>0</v>
      </c>
    </row>
    <row r="315" ht="17" customHeight="1">
      <c r="A315" s="82" t="n">
        <v>313</v>
      </c>
      <c r="B315" s="83" t="inlineStr">
        <is>
          <t>RHP</t>
        </is>
      </c>
      <c r="C315" s="84" t="inlineStr">
        <is>
          <t>RYMAN HOSPITALITY PROPERTIES, INC.</t>
        </is>
      </c>
      <c r="D315" s="82" t="inlineStr">
        <is>
          <t>Real Estate</t>
        </is>
      </c>
      <c r="E315" s="82" t="n">
        <v>2026</v>
      </c>
      <c r="F315" s="85" t="n">
        <v>6181.2</v>
      </c>
      <c r="G315" s="85" t="n">
        <v>211.2</v>
      </c>
      <c r="H315" s="85" t="n">
        <v>348.8</v>
      </c>
      <c r="I315" s="85" t="n">
        <v>4969.4</v>
      </c>
      <c r="J315" s="85" t="n">
        <v>-894.3</v>
      </c>
      <c r="K315" s="85" t="n">
        <v>487</v>
      </c>
      <c r="L315" s="85" t="n">
        <v>1184.7</v>
      </c>
      <c r="M315" s="85" t="n">
        <v>243.4</v>
      </c>
      <c r="N315" s="85" t="n">
        <v>590.6</v>
      </c>
      <c r="O315" s="85" t="n">
        <v>-256.3</v>
      </c>
      <c r="P315" s="85" t="n">
        <v>1617.2</v>
      </c>
      <c r="Q315" s="85" t="n">
        <v>750.2</v>
      </c>
      <c r="R315" s="85" t="n">
        <v>182.3</v>
      </c>
      <c r="S315" s="85" t="n">
        <v>278.1</v>
      </c>
      <c r="T315" s="85" t="n">
        <v>55.3</v>
      </c>
      <c r="U315" s="85" t="n">
        <v>4970.4</v>
      </c>
      <c r="V315" s="85" t="n">
        <v>211.4</v>
      </c>
      <c r="W315" s="85" t="n">
        <v>5217.6</v>
      </c>
      <c r="X315" s="85" t="n">
        <v>144.7</v>
      </c>
      <c r="Y315" s="85" t="n">
        <v>169.9</v>
      </c>
      <c r="Z315" s="85" t="n">
        <v>4283</v>
      </c>
      <c r="AA315" s="85" t="n">
        <v>490.8</v>
      </c>
      <c r="AB315" s="85" t="n">
        <v>345.2</v>
      </c>
      <c r="AC315" s="85" t="n">
        <v>271.6</v>
      </c>
      <c r="AD315" s="85" t="n">
        <v>576.5</v>
      </c>
      <c r="AE315" s="85" t="n">
        <v>-979.6</v>
      </c>
      <c r="AF315" s="85" t="n">
        <v>1522.4</v>
      </c>
      <c r="AG315" s="85" t="n">
        <v>549</v>
      </c>
      <c r="AH315" s="85" t="n">
        <v>264.7</v>
      </c>
      <c r="AI315" s="85" t="n">
        <v>5217.6</v>
      </c>
      <c r="AJ315" s="85" t="n">
        <v>254.6</v>
      </c>
      <c r="AK315" s="85" t="n">
        <v>294</v>
      </c>
      <c r="AL315" s="85" t="n">
        <v>7.3</v>
      </c>
      <c r="AM315" s="85" t="n">
        <v>13.8</v>
      </c>
      <c r="AN315" s="85" t="n">
        <v>79.8</v>
      </c>
      <c r="AO315" s="85" t="n">
        <v>58.4</v>
      </c>
      <c r="AP315" s="85" t="n">
        <v>16.9</v>
      </c>
      <c r="AQ315" s="85" t="n">
        <v>16.1</v>
      </c>
      <c r="AR315" s="91" t="inlineStr">
        <is>
          <t>N/A</t>
        </is>
      </c>
      <c r="AS315" s="85" t="n">
        <v>63.6</v>
      </c>
      <c r="AT315" s="91" t="inlineStr">
        <is>
          <t>N/A</t>
        </is>
      </c>
      <c r="AU315" s="91" t="inlineStr">
        <is>
          <t>N/A</t>
        </is>
      </c>
      <c r="AV315" s="85" t="n">
        <v>471.4</v>
      </c>
      <c r="AW315" s="85" t="n">
        <v>477.7</v>
      </c>
      <c r="AX315" s="85" t="n">
        <v>1617.2</v>
      </c>
      <c r="AY315" s="85" t="n">
        <v>1522.4</v>
      </c>
      <c r="AZ315" s="85" t="n">
        <v>1145.8</v>
      </c>
      <c r="BA315" s="85" t="n">
        <v>510.8</v>
      </c>
      <c r="BB315" s="85" t="n">
        <v>63</v>
      </c>
      <c r="BC315" s="85" t="n">
        <v>59.9</v>
      </c>
      <c r="BD315" s="85" t="n">
        <v>41.9</v>
      </c>
      <c r="BE315" s="85" t="n">
        <v>4124.4</v>
      </c>
      <c r="BF315" s="85" t="n">
        <v>179.3</v>
      </c>
      <c r="BG315" s="85" t="n">
        <v>235.6</v>
      </c>
      <c r="BH315" s="85" t="n">
        <v>-1234</v>
      </c>
      <c r="BI315" s="85" t="n">
        <v>-410.4</v>
      </c>
      <c r="BJ315" s="85" t="n">
        <v>218.2</v>
      </c>
      <c r="BK315" s="85" t="n">
        <v>169</v>
      </c>
      <c r="BL315" s="85" t="n">
        <v>41</v>
      </c>
      <c r="BM315" s="85" t="n">
        <v>44.6</v>
      </c>
      <c r="BN315" s="91" t="inlineStr">
        <is>
          <t>N/A</t>
        </is>
      </c>
      <c r="BO315" s="85" t="n">
        <v>1441.1</v>
      </c>
      <c r="BP315" s="85" t="n">
        <v>1324.8</v>
      </c>
      <c r="BQ315" s="85" t="n">
        <v>0</v>
      </c>
      <c r="BR315" s="85" t="n">
        <v>0</v>
      </c>
      <c r="BS315" s="85" t="n">
        <v>0</v>
      </c>
      <c r="BT315" s="85" t="n">
        <v>0</v>
      </c>
      <c r="BU315" s="85" t="n">
        <v>0</v>
      </c>
      <c r="BV315" s="85" t="n">
        <v>0</v>
      </c>
      <c r="BW315" s="85" t="n">
        <v>0</v>
      </c>
      <c r="BX315" s="85" t="n">
        <v>0</v>
      </c>
      <c r="BY315" s="85" t="n">
        <v>0</v>
      </c>
    </row>
    <row r="316" ht="17" customHeight="1">
      <c r="A316" s="86" t="n">
        <v>314</v>
      </c>
      <c r="B316" s="87" t="inlineStr">
        <is>
          <t>SFM</t>
        </is>
      </c>
      <c r="C316" s="88" t="inlineStr">
        <is>
          <t>Sprouts Farmers Market, Inc.</t>
        </is>
      </c>
      <c r="D316" s="86" t="inlineStr">
        <is>
          <t>Consumer Staples</t>
        </is>
      </c>
      <c r="E316" s="86" t="n">
        <v>2026</v>
      </c>
      <c r="F316" s="89" t="n">
        <v>4158.6</v>
      </c>
      <c r="G316" s="89" t="n">
        <v>809.9</v>
      </c>
      <c r="H316" s="89" t="n">
        <v>870.8</v>
      </c>
      <c r="I316" s="89" t="n">
        <v>2755.6</v>
      </c>
      <c r="J316" s="89" t="n">
        <v>561.1</v>
      </c>
      <c r="K316" s="89" t="n">
        <v>686.2</v>
      </c>
      <c r="L316" s="89" t="n">
        <v>8806.200000000001</v>
      </c>
      <c r="M316" s="89" t="n">
        <v>523.7</v>
      </c>
      <c r="N316" s="89" t="n">
        <v>716</v>
      </c>
      <c r="O316" s="89" t="n">
        <v>3416.4</v>
      </c>
      <c r="P316" s="89" t="n">
        <v>125</v>
      </c>
      <c r="Q316" s="89" t="n">
        <v>1403.1</v>
      </c>
      <c r="R316" s="89" t="n">
        <v>2574.7</v>
      </c>
      <c r="S316" s="89" t="n">
        <v>150</v>
      </c>
      <c r="T316" s="89" t="n">
        <v>65.2</v>
      </c>
      <c r="U316" s="89" t="n">
        <v>798.7</v>
      </c>
      <c r="V316" s="89" t="n">
        <v>27.4</v>
      </c>
      <c r="W316" s="89" t="n">
        <v>3640.7</v>
      </c>
      <c r="X316" s="89" t="n">
        <v>675.5</v>
      </c>
      <c r="Y316" s="89" t="n">
        <v>680</v>
      </c>
      <c r="Z316" s="89" t="n">
        <v>2318.8</v>
      </c>
      <c r="AA316" s="89" t="n">
        <v>504.5</v>
      </c>
      <c r="AB316" s="89" t="n">
        <v>7719.3</v>
      </c>
      <c r="AC316" s="89" t="n">
        <v>380.6</v>
      </c>
      <c r="AD316" s="89" t="n">
        <v>645.2</v>
      </c>
      <c r="AE316" s="89" t="n">
        <v>2941.5</v>
      </c>
      <c r="AF316" s="89" t="n">
        <v>250</v>
      </c>
      <c r="AG316" s="89" t="n">
        <v>1321.9</v>
      </c>
      <c r="AH316" s="89" t="n">
        <v>7719.3</v>
      </c>
      <c r="AI316" s="89" t="n">
        <v>3640.7</v>
      </c>
      <c r="AJ316" s="89" t="n">
        <v>688.8</v>
      </c>
      <c r="AK316" s="89" t="n">
        <v>506.7</v>
      </c>
      <c r="AL316" s="89" t="n">
        <v>165.1</v>
      </c>
      <c r="AM316" s="89" t="n">
        <v>126.1</v>
      </c>
      <c r="AN316" s="89" t="n">
        <v>248.3</v>
      </c>
      <c r="AO316" s="89" t="n">
        <v>230.4</v>
      </c>
      <c r="AP316" s="89" t="n">
        <v>427.1</v>
      </c>
      <c r="AQ316" s="89" t="n">
        <v>343.3</v>
      </c>
      <c r="AR316" s="89" t="n">
        <v>381.8</v>
      </c>
      <c r="AS316" s="89" t="n">
        <v>9.800000000000001</v>
      </c>
      <c r="AT316" s="89" t="n">
        <v>7.7</v>
      </c>
      <c r="AU316" s="90" t="inlineStr">
        <is>
          <t>N/A</t>
        </is>
      </c>
      <c r="AV316" s="89" t="n">
        <v>257.3</v>
      </c>
      <c r="AW316" s="89" t="n">
        <v>265.2</v>
      </c>
      <c r="AX316" s="89" t="n">
        <v>132.7</v>
      </c>
      <c r="AY316" s="89" t="n">
        <v>250</v>
      </c>
      <c r="AZ316" s="89" t="n">
        <v>-124.5</v>
      </c>
      <c r="BA316" s="89" t="n">
        <v>467.7</v>
      </c>
      <c r="BB316" s="89" t="n">
        <v>95.90000000000001</v>
      </c>
      <c r="BC316" s="89" t="n">
        <v>99.3</v>
      </c>
      <c r="BD316" s="89" t="n">
        <v>30.9</v>
      </c>
      <c r="BE316" s="89" t="n">
        <v>722.2</v>
      </c>
      <c r="BF316" s="89" t="n">
        <v>2291.3</v>
      </c>
      <c r="BG316" s="89" t="n">
        <v>132.7</v>
      </c>
      <c r="BH316" s="89" t="n">
        <v>-248.3</v>
      </c>
      <c r="BI316" s="89" t="n">
        <v>-230.4</v>
      </c>
      <c r="BJ316" s="89" t="n">
        <v>291</v>
      </c>
      <c r="BK316" s="89" t="n">
        <v>213.4</v>
      </c>
      <c r="BL316" s="89" t="n">
        <v>21.1</v>
      </c>
      <c r="BM316" s="89" t="n">
        <v>11.1</v>
      </c>
      <c r="BN316" s="89" t="n">
        <v>2</v>
      </c>
      <c r="BO316" s="89" t="n">
        <v>5389.8</v>
      </c>
      <c r="BP316" s="89" t="n">
        <v>4777.8</v>
      </c>
      <c r="BQ316" s="89" t="n">
        <v>0</v>
      </c>
      <c r="BR316" s="89" t="n">
        <v>0</v>
      </c>
      <c r="BS316" s="89" t="n">
        <v>0</v>
      </c>
      <c r="BT316" s="89" t="n">
        <v>0</v>
      </c>
      <c r="BU316" s="89" t="n">
        <v>0</v>
      </c>
      <c r="BV316" s="89" t="n">
        <v>0</v>
      </c>
      <c r="BW316" s="89" t="n">
        <v>0</v>
      </c>
      <c r="BX316" s="89" t="n">
        <v>0</v>
      </c>
      <c r="BY316" s="89" t="n">
        <v>0</v>
      </c>
    </row>
    <row r="317" ht="17" customHeight="1">
      <c r="A317" s="82" t="n">
        <v>315</v>
      </c>
      <c r="B317" s="83" t="inlineStr">
        <is>
          <t>BKR</t>
        </is>
      </c>
      <c r="C317" s="84" t="inlineStr">
        <is>
          <t>Baker Hughes Co</t>
        </is>
      </c>
      <c r="D317" s="82" t="inlineStr">
        <is>
          <t>Energy</t>
        </is>
      </c>
      <c r="E317" s="82" t="n">
        <v>2026</v>
      </c>
      <c r="F317" s="85" t="n">
        <v>40881</v>
      </c>
      <c r="G317" s="85" t="n">
        <v>18828</v>
      </c>
      <c r="H317" s="85" t="n">
        <v>13877</v>
      </c>
      <c r="I317" s="85" t="n">
        <v>40881</v>
      </c>
      <c r="J317" s="85" t="n">
        <v>-3252</v>
      </c>
      <c r="K317" s="85" t="n">
        <v>3081</v>
      </c>
      <c r="L317" s="85" t="n">
        <v>27733</v>
      </c>
      <c r="M317" s="85" t="n">
        <v>2588</v>
      </c>
      <c r="N317" s="85" t="n">
        <v>3810</v>
      </c>
      <c r="O317" s="85" t="n">
        <v>4432</v>
      </c>
      <c r="P317" s="91" t="inlineStr">
        <is>
          <t>N/A</t>
        </is>
      </c>
      <c r="Q317" s="85" t="n">
        <v>18834</v>
      </c>
      <c r="R317" s="85" t="n">
        <v>2387</v>
      </c>
      <c r="S317" s="85" t="n">
        <v>1188</v>
      </c>
      <c r="T317" s="85" t="n">
        <v>6641</v>
      </c>
      <c r="U317" s="85" t="n">
        <v>5326</v>
      </c>
      <c r="V317" s="85" t="n">
        <v>109</v>
      </c>
      <c r="W317" s="85" t="n">
        <v>38363</v>
      </c>
      <c r="X317" s="85" t="n">
        <v>17211</v>
      </c>
      <c r="Y317" s="85" t="n">
        <v>12991</v>
      </c>
      <c r="Z317" s="85" t="n">
        <v>38363</v>
      </c>
      <c r="AA317" s="85" t="n">
        <v>2317</v>
      </c>
      <c r="AB317" s="85" t="n">
        <v>27829</v>
      </c>
      <c r="AC317" s="85" t="n">
        <v>2979</v>
      </c>
      <c r="AD317" s="85" t="n">
        <v>3332</v>
      </c>
      <c r="AE317" s="85" t="n">
        <v>1295</v>
      </c>
      <c r="AF317" s="91" t="inlineStr">
        <is>
          <t>N/A</t>
        </is>
      </c>
      <c r="AG317" s="85" t="n">
        <v>16895</v>
      </c>
      <c r="AH317" s="85" t="n">
        <v>27829</v>
      </c>
      <c r="AI317" s="85" t="n">
        <v>38363</v>
      </c>
      <c r="AJ317" s="85" t="n">
        <v>2877</v>
      </c>
      <c r="AK317" s="85" t="n">
        <v>3265</v>
      </c>
      <c r="AL317" s="85" t="n">
        <v>253</v>
      </c>
      <c r="AM317" s="85" t="n">
        <v>257</v>
      </c>
      <c r="AN317" s="85" t="n">
        <v>1273</v>
      </c>
      <c r="AO317" s="85" t="n">
        <v>1278</v>
      </c>
      <c r="AP317" s="85" t="n">
        <v>4954</v>
      </c>
      <c r="AQ317" s="85" t="n">
        <v>4954</v>
      </c>
      <c r="AR317" s="85" t="n">
        <v>6068</v>
      </c>
      <c r="AS317" s="85" t="n">
        <v>1945</v>
      </c>
      <c r="AT317" s="85" t="n">
        <v>689</v>
      </c>
      <c r="AU317" s="85" t="n">
        <v>600</v>
      </c>
      <c r="AV317" s="85" t="n">
        <v>7023</v>
      </c>
      <c r="AW317" s="85" t="n">
        <v>981</v>
      </c>
      <c r="AX317" s="85" t="n">
        <v>689</v>
      </c>
      <c r="AY317" s="91" t="inlineStr">
        <is>
          <t>N/A</t>
        </is>
      </c>
      <c r="AZ317" s="85" t="n">
        <v>-6334</v>
      </c>
      <c r="BA317" s="85" t="n">
        <v>2537</v>
      </c>
      <c r="BB317" s="91" t="inlineStr">
        <is>
          <t>N/A</t>
        </is>
      </c>
      <c r="BC317" s="91" t="inlineStr">
        <is>
          <t>N/A</t>
        </is>
      </c>
      <c r="BD317" s="85" t="n">
        <v>7122</v>
      </c>
      <c r="BE317" s="85" t="n">
        <v>5127</v>
      </c>
      <c r="BF317" s="85" t="n">
        <v>2458</v>
      </c>
      <c r="BG317" s="85" t="n">
        <v>1136</v>
      </c>
      <c r="BH317" s="85" t="n">
        <v>-2044</v>
      </c>
      <c r="BI317" s="85" t="n">
        <v>-1016</v>
      </c>
      <c r="BJ317" s="85" t="n">
        <v>4579</v>
      </c>
      <c r="BK317" s="85" t="n">
        <v>4542</v>
      </c>
      <c r="BL317" s="85" t="n">
        <v>5904</v>
      </c>
      <c r="BM317" s="85" t="n">
        <v>5672</v>
      </c>
      <c r="BN317" s="91" t="inlineStr">
        <is>
          <t>N/A</t>
        </is>
      </c>
      <c r="BO317" s="85" t="n">
        <v>9402</v>
      </c>
      <c r="BP317" s="85" t="n">
        <v>7816</v>
      </c>
      <c r="BQ317" s="85" t="n">
        <v>0</v>
      </c>
      <c r="BR317" s="85" t="n">
        <v>0</v>
      </c>
      <c r="BS317" s="85" t="n">
        <v>0</v>
      </c>
      <c r="BT317" s="85" t="n">
        <v>0</v>
      </c>
      <c r="BU317" s="85" t="n">
        <v>0</v>
      </c>
      <c r="BV317" s="85" t="n">
        <v>0</v>
      </c>
      <c r="BW317" s="85" t="n">
        <v>0</v>
      </c>
      <c r="BX317" s="85" t="n">
        <v>0</v>
      </c>
      <c r="BY317" s="85" t="n">
        <v>0</v>
      </c>
    </row>
    <row r="318" ht="17" customHeight="1">
      <c r="A318" s="86" t="n">
        <v>316</v>
      </c>
      <c r="B318" s="87" t="inlineStr">
        <is>
          <t>PH</t>
        </is>
      </c>
      <c r="C318" s="88" t="inlineStr">
        <is>
          <t>PARKER-HANNIFIN CORPORATION</t>
        </is>
      </c>
      <c r="D318" s="86" t="inlineStr">
        <is>
          <t>Industrials</t>
        </is>
      </c>
      <c r="E318" s="86" t="n">
        <v>2026</v>
      </c>
      <c r="F318" s="89" t="n">
        <v>29494</v>
      </c>
      <c r="G318" s="89" t="n">
        <v>6950</v>
      </c>
      <c r="H318" s="89" t="n">
        <v>5819</v>
      </c>
      <c r="I318" s="89" t="n">
        <v>15803</v>
      </c>
      <c r="J318" s="89" t="n">
        <v>21775</v>
      </c>
      <c r="K318" s="89" t="n">
        <v>4347</v>
      </c>
      <c r="L318" s="89" t="n">
        <v>14302.4</v>
      </c>
      <c r="M318" s="89" t="n">
        <v>2844.2</v>
      </c>
      <c r="N318" s="89" t="n">
        <v>3776</v>
      </c>
      <c r="O318" s="89" t="n">
        <v>2840.3</v>
      </c>
      <c r="P318" s="89" t="n">
        <v>7501</v>
      </c>
      <c r="Q318" s="89" t="n">
        <v>13682</v>
      </c>
      <c r="R318" s="89" t="n">
        <v>3255</v>
      </c>
      <c r="S318" s="89" t="n">
        <v>354</v>
      </c>
      <c r="T318" s="89" t="n">
        <v>2910</v>
      </c>
      <c r="U318" s="89" t="n">
        <v>2937</v>
      </c>
      <c r="V318" s="89" t="n">
        <v>573.9</v>
      </c>
      <c r="W318" s="89" t="n">
        <v>29297.8</v>
      </c>
      <c r="X318" s="89" t="n">
        <v>6798.6</v>
      </c>
      <c r="Y318" s="89" t="n">
        <v>7313.3</v>
      </c>
      <c r="Z318" s="89" t="n">
        <v>17216.9</v>
      </c>
      <c r="AA318" s="89" t="n">
        <v>4068.8</v>
      </c>
      <c r="AB318" s="89" t="n">
        <v>3817.5</v>
      </c>
      <c r="AC318" s="89" t="n">
        <v>2082.9</v>
      </c>
      <c r="AD318" s="89" t="n">
        <v>3384.3</v>
      </c>
      <c r="AE318" s="89" t="n">
        <v>841.6</v>
      </c>
      <c r="AF318" s="89" t="n">
        <v>8412</v>
      </c>
      <c r="AG318" s="89" t="n">
        <v>12072</v>
      </c>
      <c r="AH318" s="89" t="n">
        <v>3749.6</v>
      </c>
      <c r="AI318" s="89" t="n">
        <v>29298</v>
      </c>
      <c r="AJ318" s="89" t="n">
        <v>4107</v>
      </c>
      <c r="AK318" s="89" t="n">
        <v>3594.6</v>
      </c>
      <c r="AL318" s="89" t="n">
        <v>575</v>
      </c>
      <c r="AM318" s="89" t="n">
        <v>749.7</v>
      </c>
      <c r="AN318" s="89" t="n">
        <v>435</v>
      </c>
      <c r="AO318" s="89" t="n">
        <v>400.1</v>
      </c>
      <c r="AP318" s="89" t="n">
        <v>2839</v>
      </c>
      <c r="AQ318" s="89" t="n">
        <v>2786.8</v>
      </c>
      <c r="AR318" s="89" t="n">
        <v>10694</v>
      </c>
      <c r="AS318" s="89" t="n">
        <v>7374</v>
      </c>
      <c r="AT318" s="89" t="n">
        <v>7</v>
      </c>
      <c r="AU318" s="89" t="n">
        <v>240</v>
      </c>
      <c r="AV318" s="89" t="n">
        <v>467</v>
      </c>
      <c r="AW318" s="89" t="n">
        <v>422</v>
      </c>
      <c r="AX318" s="89" t="n">
        <v>7508</v>
      </c>
      <c r="AY318" s="89" t="n">
        <v>9667</v>
      </c>
      <c r="AZ318" s="89" t="n">
        <v>7041</v>
      </c>
      <c r="BA318" s="89" t="n">
        <v>3341</v>
      </c>
      <c r="BB318" s="89" t="n">
        <v>181</v>
      </c>
      <c r="BC318" s="89" t="n">
        <v>181</v>
      </c>
      <c r="BD318" s="89" t="n">
        <v>2866</v>
      </c>
      <c r="BE318" s="89" t="n">
        <v>2876</v>
      </c>
      <c r="BF318" s="89" t="n">
        <v>3315.2</v>
      </c>
      <c r="BG318" s="89" t="n">
        <v>349.1</v>
      </c>
      <c r="BH318" s="89" t="n">
        <v>224</v>
      </c>
      <c r="BI318" s="89" t="n">
        <v>-298.6</v>
      </c>
      <c r="BJ318" s="89" t="n">
        <v>2126</v>
      </c>
      <c r="BK318" s="89" t="n">
        <v>1991.6</v>
      </c>
      <c r="BL318" s="89" t="n">
        <v>211</v>
      </c>
      <c r="BM318" s="89" t="n">
        <v>183.9</v>
      </c>
      <c r="BN318" s="89" t="n">
        <v>382</v>
      </c>
      <c r="BO318" s="89" t="n">
        <v>12535</v>
      </c>
      <c r="BP318" s="89" t="n">
        <v>12801.8</v>
      </c>
      <c r="BQ318" s="89" t="n">
        <v>0</v>
      </c>
      <c r="BR318" s="89" t="n">
        <v>0</v>
      </c>
      <c r="BS318" s="89" t="n">
        <v>0</v>
      </c>
      <c r="BT318" s="89" t="n">
        <v>0</v>
      </c>
      <c r="BU318" s="89" t="n">
        <v>0</v>
      </c>
      <c r="BV318" s="89" t="n">
        <v>0</v>
      </c>
      <c r="BW318" s="89" t="n">
        <v>0</v>
      </c>
      <c r="BX318" s="89" t="n">
        <v>0</v>
      </c>
      <c r="BY318" s="89" t="n">
        <v>0</v>
      </c>
    </row>
    <row r="319" ht="17" customHeight="1">
      <c r="A319" s="82" t="n">
        <v>317</v>
      </c>
      <c r="B319" s="83" t="inlineStr">
        <is>
          <t>OXY</t>
        </is>
      </c>
      <c r="C319" s="84" t="inlineStr">
        <is>
          <t>OCCIDENTAL PETROLEUM CORPORATION</t>
        </is>
      </c>
      <c r="D319" s="82" t="inlineStr">
        <is>
          <t>Energy</t>
        </is>
      </c>
      <c r="E319" s="82" t="n">
        <v>2026</v>
      </c>
      <c r="F319" s="85" t="n">
        <v>84186</v>
      </c>
      <c r="G319" s="85" t="n">
        <v>8827</v>
      </c>
      <c r="H319" s="85" t="n">
        <v>9428</v>
      </c>
      <c r="I319" s="85" t="n">
        <v>84186</v>
      </c>
      <c r="J319" s="85" t="n">
        <v>21891</v>
      </c>
      <c r="K319" s="85" t="n">
        <v>3128</v>
      </c>
      <c r="L319" s="85" t="n">
        <v>21593</v>
      </c>
      <c r="M319" s="85" t="n">
        <v>4696</v>
      </c>
      <c r="N319" s="85" t="n">
        <v>10532</v>
      </c>
      <c r="O319" s="85" t="n">
        <v>18472</v>
      </c>
      <c r="P319" s="85" t="n">
        <v>21397</v>
      </c>
      <c r="Q319" s="85" t="n">
        <v>36034</v>
      </c>
      <c r="R319" s="85" t="n">
        <v>986</v>
      </c>
      <c r="S319" s="85" t="n">
        <v>7533</v>
      </c>
      <c r="T319" s="85" t="n">
        <v>2575</v>
      </c>
      <c r="U319" s="85" t="n">
        <v>80469</v>
      </c>
      <c r="V319" s="85" t="n">
        <v>312</v>
      </c>
      <c r="W319" s="85" t="n">
        <v>85445</v>
      </c>
      <c r="X319" s="85" t="n">
        <v>9070</v>
      </c>
      <c r="Y319" s="85" t="n">
        <v>9521</v>
      </c>
      <c r="Z319" s="85" t="n">
        <v>85445</v>
      </c>
      <c r="AA319" s="85" t="n">
        <v>4070</v>
      </c>
      <c r="AB319" s="85" t="n">
        <v>26725</v>
      </c>
      <c r="AC319" s="85" t="n">
        <v>13304</v>
      </c>
      <c r="AD319" s="85" t="n">
        <v>11439</v>
      </c>
      <c r="AE319" s="85" t="n">
        <v>23609</v>
      </c>
      <c r="AF319" s="85" t="n">
        <v>25323</v>
      </c>
      <c r="AG319" s="85" t="n">
        <v>34159</v>
      </c>
      <c r="AH319" s="85" t="n">
        <v>22019</v>
      </c>
      <c r="AI319" s="85" t="n">
        <v>85445</v>
      </c>
      <c r="AJ319" s="85" t="n">
        <v>3128</v>
      </c>
      <c r="AK319" s="85" t="n">
        <v>4070</v>
      </c>
      <c r="AL319" s="85" t="n">
        <v>1021</v>
      </c>
      <c r="AM319" s="85" t="n">
        <v>1174</v>
      </c>
      <c r="AN319" s="85" t="n">
        <v>6427</v>
      </c>
      <c r="AO319" s="85" t="n">
        <v>7018</v>
      </c>
      <c r="AP319" s="85" t="n">
        <v>1823</v>
      </c>
      <c r="AQ319" s="85" t="n">
        <v>2095</v>
      </c>
      <c r="AR319" s="85" t="n">
        <v>668</v>
      </c>
      <c r="AS319" s="91" t="inlineStr">
        <is>
          <t>N/A</t>
        </is>
      </c>
      <c r="AT319" s="85" t="n">
        <v>600</v>
      </c>
      <c r="AU319" s="91" t="inlineStr">
        <is>
          <t>N/A</t>
        </is>
      </c>
      <c r="AV319" s="85" t="n">
        <v>1968</v>
      </c>
      <c r="AW319" s="85" t="n">
        <v>2132</v>
      </c>
      <c r="AX319" s="85" t="n">
        <v>21997</v>
      </c>
      <c r="AY319" s="85" t="n">
        <v>25923</v>
      </c>
      <c r="AZ319" s="85" t="n">
        <v>20029</v>
      </c>
      <c r="BA319" s="85" t="n">
        <v>4105</v>
      </c>
      <c r="BB319" s="85" t="n">
        <v>986</v>
      </c>
      <c r="BC319" s="85" t="n">
        <v>985.2</v>
      </c>
      <c r="BD319" s="85" t="n">
        <v>3526</v>
      </c>
      <c r="BE319" s="85" t="n">
        <v>31437</v>
      </c>
      <c r="BF319" s="85" t="n">
        <v>1062</v>
      </c>
      <c r="BG319" s="85" t="n">
        <v>7371</v>
      </c>
      <c r="BH319" s="85" t="n">
        <v>-5799</v>
      </c>
      <c r="BI319" s="85" t="n">
        <v>-14590</v>
      </c>
      <c r="BJ319" s="85" t="n">
        <v>3285</v>
      </c>
      <c r="BK319" s="85" t="n">
        <v>3753</v>
      </c>
      <c r="BL319" s="91" t="inlineStr">
        <is>
          <t>N/A</t>
        </is>
      </c>
      <c r="BM319" s="91" t="inlineStr">
        <is>
          <t>N/A</t>
        </is>
      </c>
      <c r="BN319" s="85" t="n">
        <v>159</v>
      </c>
      <c r="BO319" s="85" t="n">
        <v>3121</v>
      </c>
      <c r="BP319" s="85" t="n">
        <v>3116</v>
      </c>
      <c r="BQ319" s="85" t="n">
        <v>0</v>
      </c>
      <c r="BR319" s="85" t="n">
        <v>0</v>
      </c>
      <c r="BS319" s="85" t="n">
        <v>0</v>
      </c>
      <c r="BT319" s="85" t="n">
        <v>0</v>
      </c>
      <c r="BU319" s="85" t="n">
        <v>0</v>
      </c>
      <c r="BV319" s="85" t="n">
        <v>0</v>
      </c>
      <c r="BW319" s="85" t="n">
        <v>0</v>
      </c>
      <c r="BX319" s="85" t="n">
        <v>0</v>
      </c>
      <c r="BY319" s="85" t="n">
        <v>0</v>
      </c>
    </row>
    <row r="320" ht="17" customHeight="1">
      <c r="A320" s="86" t="n">
        <v>318</v>
      </c>
      <c r="B320" s="87" t="inlineStr">
        <is>
          <t>KEY</t>
        </is>
      </c>
      <c r="C320" s="88" t="inlineStr">
        <is>
          <t>KEYCORP /NEW/</t>
        </is>
      </c>
      <c r="D320" s="86" t="inlineStr">
        <is>
          <t>Financials</t>
        </is>
      </c>
      <c r="E320" s="86" t="n">
        <v>2026</v>
      </c>
      <c r="F320" s="89" t="n">
        <v>184381</v>
      </c>
      <c r="G320" s="90" t="inlineStr">
        <is>
          <t>N/A</t>
        </is>
      </c>
      <c r="H320" s="90" t="inlineStr">
        <is>
          <t>N/A</t>
        </is>
      </c>
      <c r="I320" s="89" t="n">
        <v>164000</v>
      </c>
      <c r="J320" s="89" t="n">
        <v>15359</v>
      </c>
      <c r="K320" s="89" t="n">
        <v>2304</v>
      </c>
      <c r="L320" s="89" t="n">
        <v>7513</v>
      </c>
      <c r="M320" s="89" t="n">
        <v>1829</v>
      </c>
      <c r="N320" s="89" t="n">
        <v>2208</v>
      </c>
      <c r="O320" s="90" t="inlineStr">
        <is>
          <t>N/A</t>
        </is>
      </c>
      <c r="P320" s="89" t="n">
        <v>9917</v>
      </c>
      <c r="Q320" s="89" t="n">
        <v>20381</v>
      </c>
      <c r="R320" s="90" t="inlineStr">
        <is>
          <t>N/A</t>
        </is>
      </c>
      <c r="S320" s="89" t="n">
        <v>232</v>
      </c>
      <c r="T320" s="90" t="inlineStr">
        <is>
          <t>N/A</t>
        </is>
      </c>
      <c r="U320" s="89" t="n">
        <v>882</v>
      </c>
      <c r="V320" s="89" t="n">
        <v>4014</v>
      </c>
      <c r="W320" s="89" t="n">
        <v>187168</v>
      </c>
      <c r="X320" s="90" t="inlineStr">
        <is>
          <t>N/A</t>
        </is>
      </c>
      <c r="Y320" s="90" t="inlineStr">
        <is>
          <t>N/A</t>
        </is>
      </c>
      <c r="Z320" s="89" t="n">
        <v>168992</v>
      </c>
      <c r="AA320" s="89" t="n">
        <v>-306</v>
      </c>
      <c r="AB320" s="89" t="n">
        <v>4619</v>
      </c>
      <c r="AC320" s="89" t="n">
        <v>-161</v>
      </c>
      <c r="AD320" s="89" t="n">
        <v>664</v>
      </c>
      <c r="AE320" s="90" t="inlineStr">
        <is>
          <t>N/A</t>
        </is>
      </c>
      <c r="AF320" s="89" t="n">
        <v>12105</v>
      </c>
      <c r="AG320" s="89" t="n">
        <v>18176</v>
      </c>
      <c r="AH320" s="89" t="n">
        <v>4619</v>
      </c>
      <c r="AI320" s="89" t="n">
        <v>187168</v>
      </c>
      <c r="AJ320" s="89" t="n">
        <v>2304</v>
      </c>
      <c r="AK320" s="89" t="n">
        <v>-306</v>
      </c>
      <c r="AL320" s="89" t="n">
        <v>476</v>
      </c>
      <c r="AM320" s="89" t="n">
        <v>-143</v>
      </c>
      <c r="AN320" s="89" t="n">
        <v>152</v>
      </c>
      <c r="AO320" s="89" t="n">
        <v>158</v>
      </c>
      <c r="AP320" s="90" t="inlineStr">
        <is>
          <t>N/A</t>
        </is>
      </c>
      <c r="AQ320" s="90" t="inlineStr">
        <is>
          <t>N/A</t>
        </is>
      </c>
      <c r="AR320" s="89" t="n">
        <v>2752</v>
      </c>
      <c r="AS320" s="89" t="n">
        <v>8</v>
      </c>
      <c r="AT320" s="89" t="n">
        <v>343</v>
      </c>
      <c r="AU320" s="90" t="inlineStr">
        <is>
          <t>N/A</t>
        </is>
      </c>
      <c r="AV320" s="90" t="inlineStr">
        <is>
          <t>N/A</t>
        </is>
      </c>
      <c r="AW320" s="90" t="inlineStr">
        <is>
          <t>N/A</t>
        </is>
      </c>
      <c r="AX320" s="89" t="n">
        <v>10260</v>
      </c>
      <c r="AY320" s="89" t="n">
        <v>12392</v>
      </c>
      <c r="AZ320" s="89" t="n">
        <v>10260</v>
      </c>
      <c r="BA320" s="89" t="n">
        <v>2056</v>
      </c>
      <c r="BB320" s="89" t="n">
        <v>1256.7</v>
      </c>
      <c r="BC320" s="89" t="n">
        <v>1256.7</v>
      </c>
      <c r="BD320" s="90" t="inlineStr">
        <is>
          <t>N/A</t>
        </is>
      </c>
      <c r="BE320" s="89" t="n">
        <v>930</v>
      </c>
      <c r="BF320" s="90" t="inlineStr">
        <is>
          <t>N/A</t>
        </is>
      </c>
      <c r="BG320" s="89" t="n">
        <v>271</v>
      </c>
      <c r="BH320" s="89" t="n">
        <v>3219</v>
      </c>
      <c r="BI320" s="89" t="n">
        <v>2497</v>
      </c>
      <c r="BJ320" s="90" t="inlineStr">
        <is>
          <t>N/A</t>
        </is>
      </c>
      <c r="BK320" s="90" t="inlineStr">
        <is>
          <t>N/A</t>
        </is>
      </c>
      <c r="BL320" s="90" t="inlineStr">
        <is>
          <t>N/A</t>
        </is>
      </c>
      <c r="BM320" s="90" t="inlineStr">
        <is>
          <t>N/A</t>
        </is>
      </c>
      <c r="BN320" s="90" t="inlineStr">
        <is>
          <t>N/A</t>
        </is>
      </c>
      <c r="BO320" s="90" t="inlineStr">
        <is>
          <t>N/A</t>
        </is>
      </c>
      <c r="BP320" s="90" t="inlineStr">
        <is>
          <t>N/A</t>
        </is>
      </c>
      <c r="BQ320" s="90" t="inlineStr">
        <is>
          <t>N/A</t>
        </is>
      </c>
      <c r="BR320" s="90" t="inlineStr">
        <is>
          <t>N/A</t>
        </is>
      </c>
      <c r="BS320" s="90" t="inlineStr">
        <is>
          <t>N/A</t>
        </is>
      </c>
      <c r="BT320" s="90" t="inlineStr">
        <is>
          <t>N/A</t>
        </is>
      </c>
      <c r="BU320" s="90" t="inlineStr">
        <is>
          <t>N/A</t>
        </is>
      </c>
      <c r="BV320" s="90" t="inlineStr">
        <is>
          <t>N/A</t>
        </is>
      </c>
      <c r="BW320" s="89" t="n">
        <v>0</v>
      </c>
      <c r="BX320" s="89" t="n">
        <v>0</v>
      </c>
      <c r="BY320" s="89" t="n">
        <v>0</v>
      </c>
    </row>
    <row r="321" ht="17" customHeight="1">
      <c r="A321" s="82" t="n">
        <v>319</v>
      </c>
      <c r="B321" s="83" t="inlineStr">
        <is>
          <t>AMZN</t>
        </is>
      </c>
      <c r="C321" s="84" t="inlineStr">
        <is>
          <t>AMAZON COM INC</t>
        </is>
      </c>
      <c r="D321" s="82" t="inlineStr">
        <is>
          <t>Consumer Discretionary</t>
        </is>
      </c>
      <c r="E321" s="82" t="n">
        <v>2026</v>
      </c>
      <c r="F321" s="85" t="n">
        <v>818042</v>
      </c>
      <c r="G321" s="85" t="n">
        <v>229083</v>
      </c>
      <c r="H321" s="85" t="n">
        <v>218005</v>
      </c>
      <c r="I321" s="85" t="n">
        <v>818042</v>
      </c>
      <c r="J321" s="85" t="n">
        <v>250536</v>
      </c>
      <c r="K321" s="85" t="n">
        <v>79975</v>
      </c>
      <c r="L321" s="85" t="n">
        <v>716924</v>
      </c>
      <c r="M321" s="85" t="n">
        <v>77670</v>
      </c>
      <c r="N321" s="85" t="n">
        <v>139514</v>
      </c>
      <c r="O321" s="85" t="n">
        <v>5531</v>
      </c>
      <c r="P321" s="85" t="n">
        <v>68836</v>
      </c>
      <c r="Q321" s="85" t="n">
        <v>411065</v>
      </c>
      <c r="R321" s="85" t="n">
        <v>11172</v>
      </c>
      <c r="S321" s="85" t="n">
        <v>8116</v>
      </c>
      <c r="T321" s="85" t="n">
        <v>67729</v>
      </c>
      <c r="U321" s="85" t="n">
        <v>357025</v>
      </c>
      <c r="V321" s="85" t="n">
        <v>3182</v>
      </c>
      <c r="W321" s="85" t="n">
        <v>624894</v>
      </c>
      <c r="X321" s="85" t="n">
        <v>190867</v>
      </c>
      <c r="Y321" s="85" t="n">
        <v>179431</v>
      </c>
      <c r="Z321" s="85" t="n">
        <v>624894</v>
      </c>
      <c r="AA321" s="85" t="n">
        <v>68593</v>
      </c>
      <c r="AB321" s="85" t="n">
        <v>637959</v>
      </c>
      <c r="AC321" s="85" t="n">
        <v>59248</v>
      </c>
      <c r="AD321" s="85" t="n">
        <v>115877</v>
      </c>
      <c r="AE321" s="85" t="n">
        <v>4270</v>
      </c>
      <c r="AF321" s="85" t="n">
        <v>58000</v>
      </c>
      <c r="AG321" s="85" t="n">
        <v>285970</v>
      </c>
      <c r="AH321" s="85" t="n">
        <v>637959</v>
      </c>
      <c r="AI321" s="85" t="n">
        <v>624894</v>
      </c>
      <c r="AJ321" s="85" t="n">
        <v>89537</v>
      </c>
      <c r="AK321" s="91" t="inlineStr">
        <is>
          <t>N/A</t>
        </is>
      </c>
      <c r="AL321" s="85" t="n">
        <v>19087</v>
      </c>
      <c r="AM321" s="85" t="n">
        <v>9265</v>
      </c>
      <c r="AN321" s="85" t="n">
        <v>6737</v>
      </c>
      <c r="AO321" s="85" t="n">
        <v>4589</v>
      </c>
      <c r="AP321" s="85" t="n">
        <v>38325</v>
      </c>
      <c r="AQ321" s="85" t="n">
        <v>34214</v>
      </c>
      <c r="AR321" s="85" t="n">
        <v>23273</v>
      </c>
      <c r="AS321" s="85" t="n">
        <v>8034</v>
      </c>
      <c r="AT321" s="85" t="n">
        <v>455</v>
      </c>
      <c r="AU321" s="91" t="inlineStr">
        <is>
          <t>N/A</t>
        </is>
      </c>
      <c r="AV321" s="85" t="n">
        <v>86810</v>
      </c>
      <c r="AW321" s="85" t="n">
        <v>78779</v>
      </c>
      <c r="AX321" s="85" t="n">
        <v>69291</v>
      </c>
      <c r="AY321" s="85" t="n">
        <v>58151</v>
      </c>
      <c r="AZ321" s="85" t="n">
        <v>-17519</v>
      </c>
      <c r="BA321" s="85" t="n">
        <v>132777</v>
      </c>
      <c r="BB321" s="85" t="n">
        <v>10731</v>
      </c>
      <c r="BC321" s="85" t="n">
        <v>10593</v>
      </c>
      <c r="BD321" s="85" t="n">
        <v>55451</v>
      </c>
      <c r="BE321" s="85" t="n">
        <v>252665</v>
      </c>
      <c r="BF321" s="85" t="n">
        <v>11359</v>
      </c>
      <c r="BG321" s="85" t="n">
        <v>6281</v>
      </c>
      <c r="BH321" s="85" t="n">
        <v>-142545</v>
      </c>
      <c r="BI321" s="85" t="n">
        <v>-94342</v>
      </c>
      <c r="BJ321" s="85" t="n">
        <v>121909</v>
      </c>
      <c r="BK321" s="85" t="n">
        <v>94363</v>
      </c>
      <c r="BL321" s="85" t="n">
        <v>5097</v>
      </c>
      <c r="BM321" s="85" t="n">
        <v>4768</v>
      </c>
      <c r="BN321" s="91" t="inlineStr">
        <is>
          <t>N/A</t>
        </is>
      </c>
      <c r="BO321" s="85" t="n">
        <v>356414</v>
      </c>
      <c r="BP321" s="85" t="n">
        <v>326288</v>
      </c>
      <c r="BQ321" s="85" t="n">
        <v>0</v>
      </c>
      <c r="BR321" s="85" t="n">
        <v>0</v>
      </c>
      <c r="BS321" s="85" t="n">
        <v>0</v>
      </c>
      <c r="BT321" s="85" t="n">
        <v>0</v>
      </c>
      <c r="BU321" s="85" t="n">
        <v>0</v>
      </c>
      <c r="BV321" s="85" t="n">
        <v>0</v>
      </c>
      <c r="BW321" s="85" t="n">
        <v>0</v>
      </c>
      <c r="BX321" s="85" t="n">
        <v>0</v>
      </c>
      <c r="BY321" s="85" t="n">
        <v>0</v>
      </c>
    </row>
    <row r="322" ht="17" customHeight="1">
      <c r="A322" s="86" t="n">
        <v>320</v>
      </c>
      <c r="B322" s="87" t="inlineStr">
        <is>
          <t>HCA</t>
        </is>
      </c>
      <c r="C322" s="88" t="inlineStr">
        <is>
          <t>HCA Healthcare, Inc.</t>
        </is>
      </c>
      <c r="D322" s="86" t="inlineStr">
        <is>
          <t>Health Care</t>
        </is>
      </c>
      <c r="E322" s="86" t="n">
        <v>2026</v>
      </c>
      <c r="F322" s="89" t="n">
        <v>60720</v>
      </c>
      <c r="G322" s="89" t="n">
        <v>15783</v>
      </c>
      <c r="H322" s="89" t="n">
        <v>16350</v>
      </c>
      <c r="I322" s="89" t="n">
        <v>45623</v>
      </c>
      <c r="J322" s="89" t="n">
        <v>-5724</v>
      </c>
      <c r="K322" s="89" t="n">
        <v>9832</v>
      </c>
      <c r="L322" s="89" t="n">
        <v>75600</v>
      </c>
      <c r="M322" s="89" t="n">
        <v>6784</v>
      </c>
      <c r="N322" s="89" t="n">
        <v>12636</v>
      </c>
      <c r="O322" s="90" t="inlineStr">
        <is>
          <t>N/A</t>
        </is>
      </c>
      <c r="P322" s="89" t="n">
        <v>44285</v>
      </c>
      <c r="Q322" s="89" t="n">
        <v>-6027</v>
      </c>
      <c r="R322" s="89" t="n">
        <v>548</v>
      </c>
      <c r="S322" s="89" t="n">
        <v>3523</v>
      </c>
      <c r="T322" s="89" t="n">
        <v>10867</v>
      </c>
      <c r="U322" s="89" t="n">
        <v>31141</v>
      </c>
      <c r="V322" s="89" t="n">
        <v>2248</v>
      </c>
      <c r="W322" s="89" t="n">
        <v>59513</v>
      </c>
      <c r="X322" s="89" t="n">
        <v>16414</v>
      </c>
      <c r="Y322" s="89" t="n">
        <v>15177</v>
      </c>
      <c r="Z322" s="89" t="n">
        <v>42125</v>
      </c>
      <c r="AA322" s="89" t="n">
        <v>8523</v>
      </c>
      <c r="AB322" s="89" t="n">
        <v>70603</v>
      </c>
      <c r="AC322" s="89" t="n">
        <v>5760</v>
      </c>
      <c r="AD322" s="89" t="n">
        <v>10514</v>
      </c>
      <c r="AE322" s="90" t="inlineStr">
        <is>
          <t>N/A</t>
        </is>
      </c>
      <c r="AF322" s="89" t="n">
        <v>43031</v>
      </c>
      <c r="AG322" s="89" t="n">
        <v>-2499</v>
      </c>
      <c r="AH322" s="89" t="n">
        <v>70603</v>
      </c>
      <c r="AI322" s="89" t="n">
        <v>59513</v>
      </c>
      <c r="AJ322" s="89" t="n">
        <v>9832</v>
      </c>
      <c r="AK322" s="89" t="n">
        <v>8523</v>
      </c>
      <c r="AL322" s="89" t="n">
        <v>2050</v>
      </c>
      <c r="AM322" s="89" t="n">
        <v>1866</v>
      </c>
      <c r="AN322" s="89" t="n">
        <v>4944</v>
      </c>
      <c r="AO322" s="89" t="n">
        <v>4875</v>
      </c>
      <c r="AP322" s="89" t="n">
        <v>1652</v>
      </c>
      <c r="AQ322" s="89" t="n">
        <v>1738</v>
      </c>
      <c r="AR322" s="90" t="inlineStr">
        <is>
          <t>N/A</t>
        </is>
      </c>
      <c r="AS322" s="90" t="inlineStr">
        <is>
          <t>N/A</t>
        </is>
      </c>
      <c r="AT322" s="89" t="n">
        <v>4889</v>
      </c>
      <c r="AU322" s="90" t="inlineStr">
        <is>
          <t>N/A</t>
        </is>
      </c>
      <c r="AV322" s="89" t="n">
        <v>1040</v>
      </c>
      <c r="AW322" s="89" t="n">
        <v>1933</v>
      </c>
      <c r="AX322" s="89" t="n">
        <v>49174</v>
      </c>
      <c r="AY322" s="89" t="n">
        <v>47729</v>
      </c>
      <c r="AZ322" s="89" t="n">
        <v>48134</v>
      </c>
      <c r="BA322" s="89" t="n">
        <v>7692</v>
      </c>
      <c r="BB322" s="89" t="n">
        <v>224.6</v>
      </c>
      <c r="BC322" s="89" t="n">
        <v>250</v>
      </c>
      <c r="BD322" s="89" t="n">
        <v>10751</v>
      </c>
      <c r="BE322" s="89" t="n">
        <v>29414</v>
      </c>
      <c r="BF322" s="89" t="n">
        <v>421</v>
      </c>
      <c r="BG322" s="89" t="n">
        <v>3312</v>
      </c>
      <c r="BH322" s="89" t="n">
        <v>-4988</v>
      </c>
      <c r="BI322" s="89" t="n">
        <v>-4933</v>
      </c>
      <c r="BJ322" s="89" t="n">
        <v>4659</v>
      </c>
      <c r="BK322" s="89" t="n">
        <v>4276</v>
      </c>
      <c r="BL322" s="90" t="inlineStr">
        <is>
          <t>N/A</t>
        </is>
      </c>
      <c r="BM322" s="90" t="inlineStr">
        <is>
          <t>N/A</t>
        </is>
      </c>
      <c r="BN322" s="90" t="inlineStr">
        <is>
          <t>N/A</t>
        </is>
      </c>
      <c r="BO322" s="90" t="inlineStr">
        <is>
          <t>N/A</t>
        </is>
      </c>
      <c r="BP322" s="90" t="inlineStr">
        <is>
          <t>N/A</t>
        </is>
      </c>
      <c r="BQ322" s="89" t="n">
        <v>0</v>
      </c>
      <c r="BR322" s="89" t="n">
        <v>0</v>
      </c>
      <c r="BS322" s="90" t="inlineStr">
        <is>
          <t>N/A</t>
        </is>
      </c>
      <c r="BT322" s="90" t="inlineStr">
        <is>
          <t>N/A</t>
        </is>
      </c>
      <c r="BU322" s="90" t="inlineStr">
        <is>
          <t>N/A</t>
        </is>
      </c>
      <c r="BV322" s="90" t="inlineStr">
        <is>
          <t>N/A</t>
        </is>
      </c>
      <c r="BW322" s="89" t="n">
        <v>0</v>
      </c>
      <c r="BX322" s="89" t="n">
        <v>0</v>
      </c>
      <c r="BY322" s="89" t="n">
        <v>0</v>
      </c>
    </row>
    <row r="323" ht="17" customHeight="1">
      <c r="A323" s="82" t="n">
        <v>321</v>
      </c>
      <c r="B323" s="83" t="inlineStr">
        <is>
          <t>ADP</t>
        </is>
      </c>
      <c r="C323" s="84" t="inlineStr">
        <is>
          <t>AUTOMATIC DATA PROCESSING INC</t>
        </is>
      </c>
      <c r="D323" s="82" t="inlineStr">
        <is>
          <t>Industrials</t>
        </is>
      </c>
      <c r="E323" s="82" t="n">
        <v>2026</v>
      </c>
      <c r="F323" s="85" t="n">
        <v>53369.3</v>
      </c>
      <c r="G323" s="85" t="n">
        <v>43252.2</v>
      </c>
      <c r="H323" s="85" t="n">
        <v>41278.3</v>
      </c>
      <c r="I323" s="85" t="n">
        <v>47181.3</v>
      </c>
      <c r="J323" s="85" t="n">
        <v>25240.6</v>
      </c>
      <c r="K323" s="85" t="n">
        <v>5310.1</v>
      </c>
      <c r="L323" s="85" t="n">
        <v>20560.9</v>
      </c>
      <c r="M323" s="85" t="n">
        <v>4079.7</v>
      </c>
      <c r="N323" s="85" t="n">
        <v>4939.7</v>
      </c>
      <c r="O323" s="85" t="n">
        <v>1309.6</v>
      </c>
      <c r="P323" s="85" t="n">
        <v>37</v>
      </c>
      <c r="Q323" s="85" t="n">
        <v>6188</v>
      </c>
      <c r="R323" s="85" t="n">
        <v>4051.7</v>
      </c>
      <c r="S323" s="85" t="n">
        <v>582.4</v>
      </c>
      <c r="T323" s="85" t="n">
        <v>3579.1</v>
      </c>
      <c r="U323" s="85" t="n">
        <v>655.4</v>
      </c>
      <c r="V323" s="85" t="n">
        <v>455.9</v>
      </c>
      <c r="W323" s="85" t="n">
        <v>54362.7</v>
      </c>
      <c r="X323" s="85" t="n">
        <v>45542.5</v>
      </c>
      <c r="Y323" s="85" t="n">
        <v>45080</v>
      </c>
      <c r="Z323" s="85" t="n">
        <v>49815.1</v>
      </c>
      <c r="AA323" s="85" t="n">
        <v>4872.3</v>
      </c>
      <c r="AB323" s="85" t="n">
        <v>19202.6</v>
      </c>
      <c r="AC323" s="85" t="n">
        <v>3752</v>
      </c>
      <c r="AD323" s="85" t="n">
        <v>4157.6</v>
      </c>
      <c r="AE323" s="85" t="n">
        <v>1808.7</v>
      </c>
      <c r="AF323" s="85" t="n">
        <v>42.6</v>
      </c>
      <c r="AG323" s="85" t="n">
        <v>4547.6</v>
      </c>
      <c r="AH323" s="85" t="n">
        <v>19202.6</v>
      </c>
      <c r="AI323" s="85" t="n">
        <v>54362.7</v>
      </c>
      <c r="AJ323" s="85" t="n">
        <v>5310.1</v>
      </c>
      <c r="AK323" s="85" t="n">
        <v>4872.3</v>
      </c>
      <c r="AL323" s="85" t="n">
        <v>1230.4</v>
      </c>
      <c r="AM323" s="85" t="n">
        <v>1120.3</v>
      </c>
      <c r="AN323" s="91" t="inlineStr">
        <is>
          <t>N/A</t>
        </is>
      </c>
      <c r="AO323" s="91" t="inlineStr">
        <is>
          <t>N/A</t>
        </is>
      </c>
      <c r="AP323" s="91" t="inlineStr">
        <is>
          <t>N/A</t>
        </is>
      </c>
      <c r="AQ323" s="91" t="inlineStr">
        <is>
          <t>N/A</t>
        </is>
      </c>
      <c r="AR323" s="85" t="n">
        <v>3273.5</v>
      </c>
      <c r="AS323" s="85" t="n">
        <v>1603</v>
      </c>
      <c r="AT323" s="91" t="inlineStr">
        <is>
          <t>N/A</t>
        </is>
      </c>
      <c r="AU323" s="85" t="n">
        <v>988.6</v>
      </c>
      <c r="AV323" s="85" t="n">
        <v>3347.8</v>
      </c>
      <c r="AW323" s="85" t="n">
        <v>2913.4</v>
      </c>
      <c r="AX323" s="85" t="n">
        <v>37</v>
      </c>
      <c r="AY323" s="85" t="n">
        <v>1044.4</v>
      </c>
      <c r="AZ323" s="85" t="n">
        <v>-3310.8</v>
      </c>
      <c r="BA323" s="91" t="inlineStr">
        <is>
          <t>N/A</t>
        </is>
      </c>
      <c r="BB323" s="85" t="n">
        <v>405.3</v>
      </c>
      <c r="BC323" s="85" t="n">
        <v>408.1</v>
      </c>
      <c r="BD323" s="85" t="n">
        <v>3428.2</v>
      </c>
      <c r="BE323" s="85" t="n">
        <v>685.6</v>
      </c>
      <c r="BF323" s="85" t="n">
        <v>3778.9</v>
      </c>
      <c r="BG323" s="85" t="n">
        <v>561.9</v>
      </c>
      <c r="BH323" s="85" t="n">
        <v>-3035</v>
      </c>
      <c r="BI323" s="85" t="n">
        <v>-1389</v>
      </c>
      <c r="BJ323" s="85" t="n">
        <v>169.1</v>
      </c>
      <c r="BK323" s="85" t="n">
        <v>100.6</v>
      </c>
      <c r="BL323" s="85" t="n">
        <v>1</v>
      </c>
      <c r="BM323" s="85" t="n">
        <v>6</v>
      </c>
      <c r="BN323" s="85" t="n">
        <v>9.1</v>
      </c>
      <c r="BO323" s="85" t="n">
        <v>11097.3</v>
      </c>
      <c r="BP323" s="85" t="n">
        <v>10476.7</v>
      </c>
      <c r="BQ323" s="85" t="n">
        <v>0</v>
      </c>
      <c r="BR323" s="85" t="n">
        <v>0</v>
      </c>
      <c r="BS323" s="91" t="inlineStr">
        <is>
          <t>N/A</t>
        </is>
      </c>
      <c r="BT323" s="91" t="inlineStr">
        <is>
          <t>N/A</t>
        </is>
      </c>
      <c r="BU323" s="85" t="n">
        <v>0</v>
      </c>
      <c r="BV323" s="85" t="n">
        <v>0</v>
      </c>
      <c r="BW323" s="85" t="n">
        <v>0</v>
      </c>
      <c r="BX323" s="85" t="n">
        <v>0</v>
      </c>
      <c r="BY323" s="85" t="n">
        <v>0</v>
      </c>
    </row>
    <row r="324" ht="17" customHeight="1">
      <c r="A324" s="86" t="n">
        <v>322</v>
      </c>
      <c r="B324" s="87" t="inlineStr">
        <is>
          <t>CYTK</t>
        </is>
      </c>
      <c r="C324" s="88" t="inlineStr">
        <is>
          <t>Cytokinetics, Incorporated</t>
        </is>
      </c>
      <c r="D324" s="86" t="inlineStr">
        <is>
          <t>Health Care</t>
        </is>
      </c>
      <c r="E324" s="86" t="n">
        <v>2026</v>
      </c>
      <c r="F324" s="89" t="n">
        <v>1424.5</v>
      </c>
      <c r="G324" s="89" t="n">
        <v>917</v>
      </c>
      <c r="H324" s="89" t="n">
        <v>202.5</v>
      </c>
      <c r="I324" s="89" t="n">
        <v>2084.2</v>
      </c>
      <c r="J324" s="89" t="n">
        <v>-3486.7</v>
      </c>
      <c r="K324" s="89" t="n">
        <v>-612.3</v>
      </c>
      <c r="L324" s="89" t="n">
        <v>13.4</v>
      </c>
      <c r="M324" s="89" t="n">
        <v>-785</v>
      </c>
      <c r="N324" s="89" t="n">
        <v>-510</v>
      </c>
      <c r="O324" s="89" t="n">
        <v>-686.9</v>
      </c>
      <c r="P324" s="89" t="n">
        <v>619.5</v>
      </c>
      <c r="Q324" s="89" t="n">
        <v>-659.6</v>
      </c>
      <c r="R324" s="89" t="n">
        <v>284.3</v>
      </c>
      <c r="S324" s="89" t="n">
        <v>10.1</v>
      </c>
      <c r="T324" s="89" t="n">
        <v>17.8</v>
      </c>
      <c r="U324" s="89" t="n">
        <v>79.2</v>
      </c>
      <c r="V324" s="89" t="n">
        <v>45.6</v>
      </c>
      <c r="W324" s="89" t="n">
        <v>1401.7</v>
      </c>
      <c r="X324" s="89" t="n">
        <v>1107.9</v>
      </c>
      <c r="Y324" s="89" t="n">
        <v>179.7</v>
      </c>
      <c r="Z324" s="89" t="n">
        <v>1537</v>
      </c>
      <c r="AA324" s="89" t="n">
        <v>-536.2</v>
      </c>
      <c r="AB324" s="89" t="n">
        <v>106.4</v>
      </c>
      <c r="AC324" s="89" t="n">
        <v>-589.5</v>
      </c>
      <c r="AD324" s="89" t="n">
        <v>-395.9</v>
      </c>
      <c r="AE324" s="89" t="n">
        <v>-448.3</v>
      </c>
      <c r="AF324" s="89" t="n">
        <v>639.3</v>
      </c>
      <c r="AG324" s="89" t="n">
        <v>-135.4</v>
      </c>
      <c r="AH324" s="89" t="n">
        <v>106.4</v>
      </c>
      <c r="AI324" s="89" t="n">
        <v>1401.7</v>
      </c>
      <c r="AJ324" s="89" t="n">
        <v>-106.3</v>
      </c>
      <c r="AK324" s="89" t="n">
        <v>-127.8</v>
      </c>
      <c r="AL324" s="90" t="inlineStr">
        <is>
          <t>N/A</t>
        </is>
      </c>
      <c r="AM324" s="90" t="inlineStr">
        <is>
          <t>N/A</t>
        </is>
      </c>
      <c r="AN324" s="89" t="n">
        <v>24.8</v>
      </c>
      <c r="AO324" s="89" t="n">
        <v>3.9</v>
      </c>
      <c r="AP324" s="90" t="inlineStr">
        <is>
          <t>N/A</t>
        </is>
      </c>
      <c r="AQ324" s="90" t="inlineStr">
        <is>
          <t>N/A</t>
        </is>
      </c>
      <c r="AR324" s="90" t="inlineStr">
        <is>
          <t>N/A</t>
        </is>
      </c>
      <c r="AS324" s="90" t="inlineStr">
        <is>
          <t>N/A</t>
        </is>
      </c>
      <c r="AT324" s="89" t="n">
        <v>41.2</v>
      </c>
      <c r="AU324" s="89" t="n">
        <v>416</v>
      </c>
      <c r="AV324" s="89" t="n">
        <v>122.5</v>
      </c>
      <c r="AW324" s="89" t="n">
        <v>94.90000000000001</v>
      </c>
      <c r="AX324" s="89" t="n">
        <v>660.7</v>
      </c>
      <c r="AY324" s="89" t="n">
        <v>639.3</v>
      </c>
      <c r="AZ324" s="89" t="n">
        <v>538.2</v>
      </c>
      <c r="BA324" s="89" t="n">
        <v>-534.8</v>
      </c>
      <c r="BB324" s="89" t="n">
        <v>122.9</v>
      </c>
      <c r="BC324" s="89" t="n">
        <v>118.2</v>
      </c>
      <c r="BD324" s="89" t="n">
        <v>16.6</v>
      </c>
      <c r="BE324" s="89" t="n">
        <v>65.8</v>
      </c>
      <c r="BF324" s="89" t="n">
        <v>215.3</v>
      </c>
      <c r="BG324" s="89" t="n">
        <v>9.5</v>
      </c>
      <c r="BH324" s="89" t="n">
        <v>16.7</v>
      </c>
      <c r="BI324" s="89" t="n">
        <v>-553.1</v>
      </c>
      <c r="BJ324" s="89" t="n">
        <v>22.3</v>
      </c>
      <c r="BK324" s="89" t="n">
        <v>20.4</v>
      </c>
      <c r="BL324" s="89" t="n">
        <v>1.6</v>
      </c>
      <c r="BM324" s="89" t="n">
        <v>52.4</v>
      </c>
      <c r="BN324" s="90" t="inlineStr">
        <is>
          <t>N/A</t>
        </is>
      </c>
      <c r="BO324" s="89" t="n">
        <v>700.3</v>
      </c>
      <c r="BP324" s="89" t="n">
        <v>554.7</v>
      </c>
      <c r="BQ324" s="89" t="n">
        <v>0</v>
      </c>
      <c r="BR324" s="89" t="n">
        <v>0</v>
      </c>
      <c r="BS324" s="90" t="inlineStr">
        <is>
          <t>N/A</t>
        </is>
      </c>
      <c r="BT324" s="90" t="inlineStr">
        <is>
          <t>N/A</t>
        </is>
      </c>
      <c r="BU324" s="89" t="n">
        <v>0</v>
      </c>
      <c r="BV324" s="89" t="n">
        <v>0</v>
      </c>
      <c r="BW324" s="89" t="n">
        <v>0</v>
      </c>
      <c r="BX324" s="89" t="n">
        <v>-0</v>
      </c>
      <c r="BY324" s="90" t="inlineStr">
        <is>
          <t>N/A</t>
        </is>
      </c>
    </row>
    <row r="325" ht="17" customHeight="1">
      <c r="A325" s="82" t="n">
        <v>323</v>
      </c>
      <c r="B325" s="83" t="inlineStr">
        <is>
          <t>SPSC</t>
        </is>
      </c>
      <c r="C325" s="84" t="inlineStr">
        <is>
          <t>SPS COMMERCE, INC.</t>
        </is>
      </c>
      <c r="D325" s="82" t="inlineStr">
        <is>
          <t>Information Technology</t>
        </is>
      </c>
      <c r="E325" s="82" t="n">
        <v>2026</v>
      </c>
      <c r="F325" s="85" t="n">
        <v>1169.9</v>
      </c>
      <c r="G325" s="85" t="n">
        <v>335.3</v>
      </c>
      <c r="H325" s="85" t="n">
        <v>154.4</v>
      </c>
      <c r="I325" s="85" t="n">
        <v>196</v>
      </c>
      <c r="J325" s="85" t="n">
        <v>429.4</v>
      </c>
      <c r="K325" s="85" t="n">
        <v>118.3</v>
      </c>
      <c r="L325" s="85" t="n">
        <v>220.6</v>
      </c>
      <c r="M325" s="85" t="n">
        <v>93.3</v>
      </c>
      <c r="N325" s="85" t="n">
        <v>178.8</v>
      </c>
      <c r="O325" s="85" t="n">
        <v>519.9</v>
      </c>
      <c r="P325" s="91" t="inlineStr">
        <is>
          <t>N/A</t>
        </is>
      </c>
      <c r="Q325" s="85" t="n">
        <v>973.9</v>
      </c>
      <c r="R325" s="85" t="n">
        <v>126.6</v>
      </c>
      <c r="S325" s="85" t="n">
        <v>21.1</v>
      </c>
      <c r="T325" s="85" t="n">
        <v>68.2</v>
      </c>
      <c r="U325" s="85" t="n">
        <v>43.1</v>
      </c>
      <c r="V325" s="85" t="n">
        <v>0</v>
      </c>
      <c r="W325" s="85" t="n">
        <v>1031.2</v>
      </c>
      <c r="X325" s="85" t="n">
        <v>381.9</v>
      </c>
      <c r="Y325" s="85" t="n">
        <v>146.7</v>
      </c>
      <c r="Z325" s="85" t="n">
        <v>176.5</v>
      </c>
      <c r="AA325" s="85" t="n">
        <v>88.90000000000001</v>
      </c>
      <c r="AB325" s="85" t="n">
        <v>58.2</v>
      </c>
      <c r="AC325" s="85" t="n">
        <v>77.09999999999999</v>
      </c>
      <c r="AD325" s="85" t="n">
        <v>157.4</v>
      </c>
      <c r="AE325" s="85" t="n">
        <v>427.1</v>
      </c>
      <c r="AF325" s="91" t="inlineStr">
        <is>
          <t>N/A</t>
        </is>
      </c>
      <c r="AG325" s="85" t="n">
        <v>854.7</v>
      </c>
      <c r="AH325" s="85" t="n">
        <v>56.1</v>
      </c>
      <c r="AI325" s="85" t="n">
        <v>1031.2</v>
      </c>
      <c r="AJ325" s="85" t="n">
        <v>123.8</v>
      </c>
      <c r="AK325" s="85" t="n">
        <v>99.5</v>
      </c>
      <c r="AL325" s="85" t="n">
        <v>30.5</v>
      </c>
      <c r="AM325" s="85" t="n">
        <v>22.4</v>
      </c>
      <c r="AN325" s="85" t="n">
        <v>26.5</v>
      </c>
      <c r="AO325" s="85" t="n">
        <v>20</v>
      </c>
      <c r="AP325" s="91" t="inlineStr">
        <is>
          <t>N/A</t>
        </is>
      </c>
      <c r="AQ325" s="91" t="inlineStr">
        <is>
          <t>N/A</t>
        </is>
      </c>
      <c r="AR325" s="85" t="n">
        <v>541.7</v>
      </c>
      <c r="AS325" s="85" t="n">
        <v>215.8</v>
      </c>
      <c r="AT325" s="91" t="inlineStr">
        <is>
          <t>N/A</t>
        </is>
      </c>
      <c r="AU325" s="85" t="n">
        <v>68.7</v>
      </c>
      <c r="AV325" s="85" t="n">
        <v>151.4</v>
      </c>
      <c r="AW325" s="85" t="n">
        <v>241</v>
      </c>
      <c r="AX325" s="91" t="inlineStr">
        <is>
          <t>N/A</t>
        </is>
      </c>
      <c r="AY325" s="91" t="inlineStr">
        <is>
          <t>N/A</t>
        </is>
      </c>
      <c r="AZ325" s="91" t="inlineStr">
        <is>
          <t>N/A</t>
        </is>
      </c>
      <c r="BA325" s="85" t="n">
        <v>152.3</v>
      </c>
      <c r="BB325" s="85" t="n">
        <v>37.5</v>
      </c>
      <c r="BC325" s="85" t="n">
        <v>37.7</v>
      </c>
      <c r="BD325" s="85" t="n">
        <v>52</v>
      </c>
      <c r="BE325" s="85" t="n">
        <v>37.5</v>
      </c>
      <c r="BF325" s="85" t="n">
        <v>102.9</v>
      </c>
      <c r="BG325" s="85" t="n">
        <v>18.7</v>
      </c>
      <c r="BH325" s="85" t="n">
        <v>-169.2</v>
      </c>
      <c r="BI325" s="85" t="n">
        <v>-110.5</v>
      </c>
      <c r="BJ325" s="85" t="n">
        <v>13.8</v>
      </c>
      <c r="BK325" s="85" t="n">
        <v>8.6</v>
      </c>
      <c r="BL325" s="85" t="n">
        <v>16.4</v>
      </c>
      <c r="BM325" s="85" t="n">
        <v>11.1</v>
      </c>
      <c r="BN325" s="91" t="inlineStr">
        <is>
          <t>N/A</t>
        </is>
      </c>
      <c r="BO325" s="85" t="n">
        <v>231.6</v>
      </c>
      <c r="BP325" s="85" t="n">
        <v>210.7</v>
      </c>
      <c r="BQ325" s="85" t="n">
        <v>0</v>
      </c>
      <c r="BR325" s="85" t="n">
        <v>0</v>
      </c>
      <c r="BS325" s="91" t="inlineStr">
        <is>
          <t>N/A</t>
        </is>
      </c>
      <c r="BT325" s="91" t="inlineStr">
        <is>
          <t>N/A</t>
        </is>
      </c>
      <c r="BU325" s="85" t="n">
        <v>0</v>
      </c>
      <c r="BV325" s="85" t="n">
        <v>0</v>
      </c>
      <c r="BW325" s="85" t="n">
        <v>0</v>
      </c>
      <c r="BX325" s="85" t="n">
        <v>0</v>
      </c>
      <c r="BY325" s="85" t="n">
        <v>0</v>
      </c>
    </row>
    <row r="326" ht="17" customHeight="1">
      <c r="A326" s="86" t="n">
        <v>324</v>
      </c>
      <c r="B326" s="87" t="inlineStr">
        <is>
          <t>WYNN</t>
        </is>
      </c>
      <c r="C326" s="88" t="inlineStr">
        <is>
          <t>WYNN RESORTS LTD</t>
        </is>
      </c>
      <c r="D326" s="86" t="inlineStr">
        <is>
          <t>Consumer Discretionary</t>
        </is>
      </c>
      <c r="E326" s="86" t="n">
        <v>2026</v>
      </c>
      <c r="F326" s="89" t="n">
        <v>13108.1</v>
      </c>
      <c r="G326" s="89" t="n">
        <v>2683.5</v>
      </c>
      <c r="H326" s="89" t="n">
        <v>1643.2</v>
      </c>
      <c r="I326" s="89" t="n">
        <v>14139.4</v>
      </c>
      <c r="J326" s="89" t="n">
        <v>-1454.2</v>
      </c>
      <c r="K326" s="89" t="n">
        <v>1118.4</v>
      </c>
      <c r="L326" s="89" t="n">
        <v>6717.7</v>
      </c>
      <c r="M326" s="89" t="n">
        <v>327.3</v>
      </c>
      <c r="N326" s="89" t="n">
        <v>1352.7</v>
      </c>
      <c r="O326" s="90" t="inlineStr">
        <is>
          <t>N/A</t>
        </is>
      </c>
      <c r="P326" s="89" t="n">
        <v>10546.8</v>
      </c>
      <c r="Q326" s="89" t="n">
        <v>-275.5</v>
      </c>
      <c r="R326" s="89" t="n">
        <v>1117</v>
      </c>
      <c r="S326" s="89" t="n">
        <v>620.6</v>
      </c>
      <c r="T326" s="89" t="n">
        <v>402.6</v>
      </c>
      <c r="U326" s="89" t="n">
        <v>6625.9</v>
      </c>
      <c r="V326" s="89" t="n">
        <v>751.5</v>
      </c>
      <c r="W326" s="89" t="n">
        <v>12978</v>
      </c>
      <c r="X326" s="89" t="n">
        <v>2921.7</v>
      </c>
      <c r="Y326" s="89" t="n">
        <v>1539.5</v>
      </c>
      <c r="Z326" s="89" t="n">
        <v>13946.6</v>
      </c>
      <c r="AA326" s="89" t="n">
        <v>1132.7</v>
      </c>
      <c r="AB326" s="89" t="n">
        <v>6070.2</v>
      </c>
      <c r="AC326" s="89" t="n">
        <v>501.1</v>
      </c>
      <c r="AD326" s="89" t="n">
        <v>1426.2</v>
      </c>
      <c r="AE326" s="90" t="inlineStr">
        <is>
          <t>N/A</t>
        </is>
      </c>
      <c r="AF326" s="89" t="n">
        <v>10541.7</v>
      </c>
      <c r="AG326" s="89" t="n">
        <v>-224.2</v>
      </c>
      <c r="AH326" s="89" t="n">
        <v>4345.8</v>
      </c>
      <c r="AI326" s="89" t="n">
        <v>12978</v>
      </c>
      <c r="AJ326" s="89" t="n">
        <v>514.1</v>
      </c>
      <c r="AK326" s="89" t="n">
        <v>643.4</v>
      </c>
      <c r="AL326" s="89" t="n">
        <v>105</v>
      </c>
      <c r="AM326" s="89" t="n">
        <v>3.7</v>
      </c>
      <c r="AN326" s="89" t="n">
        <v>660.4</v>
      </c>
      <c r="AO326" s="89" t="n">
        <v>419.9</v>
      </c>
      <c r="AP326" s="89" t="n">
        <v>88.5</v>
      </c>
      <c r="AQ326" s="89" t="n">
        <v>75.8</v>
      </c>
      <c r="AR326" s="89" t="n">
        <v>18.5</v>
      </c>
      <c r="AS326" s="89" t="n">
        <v>215.8</v>
      </c>
      <c r="AT326" s="89" t="n">
        <v>9.4</v>
      </c>
      <c r="AU326" s="90" t="inlineStr">
        <is>
          <t>N/A</t>
        </is>
      </c>
      <c r="AV326" s="89" t="n">
        <v>1463.4</v>
      </c>
      <c r="AW326" s="89" t="n">
        <v>2426.2</v>
      </c>
      <c r="AX326" s="89" t="n">
        <v>10556.2</v>
      </c>
      <c r="AY326" s="89" t="n">
        <v>10541.7</v>
      </c>
      <c r="AZ326" s="89" t="n">
        <v>9092.799999999999</v>
      </c>
      <c r="BA326" s="89" t="n">
        <v>692.2</v>
      </c>
      <c r="BB326" s="89" t="n">
        <v>104</v>
      </c>
      <c r="BC326" s="89" t="n">
        <v>107.8</v>
      </c>
      <c r="BD326" s="89" t="n">
        <v>324</v>
      </c>
      <c r="BE326" s="89" t="n">
        <v>6521.3</v>
      </c>
      <c r="BF326" s="89" t="n">
        <v>1080.5</v>
      </c>
      <c r="BG326" s="89" t="n">
        <v>658.9</v>
      </c>
      <c r="BH326" s="89" t="n">
        <v>-1657.2</v>
      </c>
      <c r="BI326" s="89" t="n">
        <v>-83.59999999999999</v>
      </c>
      <c r="BJ326" s="89" t="n">
        <v>255.3</v>
      </c>
      <c r="BK326" s="89" t="n">
        <v>205.1</v>
      </c>
      <c r="BL326" s="89" t="n">
        <v>569.6</v>
      </c>
      <c r="BM326" s="89" t="n">
        <v>508.7</v>
      </c>
      <c r="BN326" s="89" t="n">
        <v>2.1</v>
      </c>
      <c r="BO326" s="90" t="inlineStr">
        <is>
          <t>N/A</t>
        </is>
      </c>
      <c r="BP326" s="90" t="inlineStr">
        <is>
          <t>N/A</t>
        </is>
      </c>
      <c r="BQ326" s="89" t="n">
        <v>0</v>
      </c>
      <c r="BR326" s="89" t="n">
        <v>0</v>
      </c>
      <c r="BS326" s="90" t="inlineStr">
        <is>
          <t>N/A</t>
        </is>
      </c>
      <c r="BT326" s="90" t="inlineStr">
        <is>
          <t>N/A</t>
        </is>
      </c>
      <c r="BU326" s="90" t="inlineStr">
        <is>
          <t>N/A</t>
        </is>
      </c>
      <c r="BV326" s="90" t="inlineStr">
        <is>
          <t>N/A</t>
        </is>
      </c>
      <c r="BW326" s="89" t="n">
        <v>0</v>
      </c>
      <c r="BX326" s="89" t="n">
        <v>0</v>
      </c>
      <c r="BY326" s="89" t="n">
        <v>0</v>
      </c>
    </row>
    <row r="327" ht="17" customHeight="1">
      <c r="A327" s="82" t="n">
        <v>325</v>
      </c>
      <c r="B327" s="83" t="inlineStr">
        <is>
          <t>TTD</t>
        </is>
      </c>
      <c r="C327" s="84" t="inlineStr">
        <is>
          <t>TRADE DESK, INC.</t>
        </is>
      </c>
      <c r="D327" s="82" t="inlineStr">
        <is>
          <t>Information Technology</t>
        </is>
      </c>
      <c r="E327" s="82" t="n">
        <v>2026</v>
      </c>
      <c r="F327" s="85" t="n">
        <v>6153.2</v>
      </c>
      <c r="G327" s="85" t="n">
        <v>5261</v>
      </c>
      <c r="H327" s="85" t="n">
        <v>3266</v>
      </c>
      <c r="I327" s="85" t="n">
        <v>3668.8</v>
      </c>
      <c r="J327" s="85" t="n">
        <v>-590.9</v>
      </c>
      <c r="K327" s="85" t="n">
        <v>589.3</v>
      </c>
      <c r="L327" s="85" t="n">
        <v>2896.3</v>
      </c>
      <c r="M327" s="85" t="n">
        <v>443.3</v>
      </c>
      <c r="N327" s="85" t="n">
        <v>992.7</v>
      </c>
      <c r="O327" s="85" t="n">
        <v>2277.2</v>
      </c>
      <c r="P327" s="91" t="inlineStr">
        <is>
          <t>N/A</t>
        </is>
      </c>
      <c r="Q327" s="85" t="n">
        <v>2484.4</v>
      </c>
      <c r="R327" s="85" t="n">
        <v>518.5</v>
      </c>
      <c r="S327" s="85" t="n">
        <v>96</v>
      </c>
      <c r="T327" s="85" t="n">
        <v>3770.2</v>
      </c>
      <c r="U327" s="85" t="n">
        <v>396.8</v>
      </c>
      <c r="V327" s="85" t="n">
        <v>1.6</v>
      </c>
      <c r="W327" s="85" t="n">
        <v>6112</v>
      </c>
      <c r="X327" s="85" t="n">
        <v>5336.5</v>
      </c>
      <c r="Y327" s="85" t="n">
        <v>2873.5</v>
      </c>
      <c r="Z327" s="85" t="n">
        <v>3162.8</v>
      </c>
      <c r="AA327" s="85" t="n">
        <v>427.2</v>
      </c>
      <c r="AB327" s="85" t="n">
        <v>2444.8</v>
      </c>
      <c r="AC327" s="85" t="n">
        <v>393.1</v>
      </c>
      <c r="AD327" s="85" t="n">
        <v>739.5</v>
      </c>
      <c r="AE327" s="85" t="n">
        <v>1972.8</v>
      </c>
      <c r="AF327" s="91" t="inlineStr">
        <is>
          <t>N/A</t>
        </is>
      </c>
      <c r="AG327" s="85" t="n">
        <v>2949.1</v>
      </c>
      <c r="AH327" s="85" t="n">
        <v>2444.8</v>
      </c>
      <c r="AI327" s="85" t="n">
        <v>6112</v>
      </c>
      <c r="AJ327" s="85" t="n">
        <v>658.8</v>
      </c>
      <c r="AK327" s="85" t="n">
        <v>507.3</v>
      </c>
      <c r="AL327" s="85" t="n">
        <v>215.5</v>
      </c>
      <c r="AM327" s="85" t="n">
        <v>114.2</v>
      </c>
      <c r="AN327" s="85" t="n">
        <v>197</v>
      </c>
      <c r="AO327" s="85" t="n">
        <v>98.2</v>
      </c>
      <c r="AP327" s="91" t="inlineStr">
        <is>
          <t>N/A</t>
        </is>
      </c>
      <c r="AQ327" s="91" t="inlineStr">
        <is>
          <t>N/A</t>
        </is>
      </c>
      <c r="AR327" s="91" t="inlineStr">
        <is>
          <t>N/A</t>
        </is>
      </c>
      <c r="AS327" s="91" t="inlineStr">
        <is>
          <t>N/A</t>
        </is>
      </c>
      <c r="AT327" s="91" t="inlineStr">
        <is>
          <t>N/A</t>
        </is>
      </c>
      <c r="AU327" s="85" t="n">
        <v>525.1</v>
      </c>
      <c r="AV327" s="85" t="n">
        <v>658.2</v>
      </c>
      <c r="AW327" s="85" t="n">
        <v>1369.5</v>
      </c>
      <c r="AX327" s="91" t="inlineStr">
        <is>
          <t>N/A</t>
        </is>
      </c>
      <c r="AY327" s="91" t="inlineStr">
        <is>
          <t>N/A</t>
        </is>
      </c>
      <c r="AZ327" s="91" t="inlineStr">
        <is>
          <t>N/A</t>
        </is>
      </c>
      <c r="BA327" s="85" t="n">
        <v>795.7</v>
      </c>
      <c r="BB327" s="91" t="inlineStr">
        <is>
          <t>N/A</t>
        </is>
      </c>
      <c r="BC327" s="91" t="inlineStr">
        <is>
          <t>N/A</t>
        </is>
      </c>
      <c r="BD327" s="85" t="n">
        <v>3330.3</v>
      </c>
      <c r="BE327" s="85" t="n">
        <v>209.3</v>
      </c>
      <c r="BF327" s="85" t="n">
        <v>535.8</v>
      </c>
      <c r="BG327" s="85" t="n">
        <v>67</v>
      </c>
      <c r="BH327" s="85" t="n">
        <v>-292.6</v>
      </c>
      <c r="BI327" s="85" t="n">
        <v>-157.5</v>
      </c>
      <c r="BJ327" s="85" t="n">
        <v>3007.7</v>
      </c>
      <c r="BK327" s="85" t="n">
        <v>2631.2</v>
      </c>
      <c r="BL327" s="91" t="inlineStr">
        <is>
          <t>N/A</t>
        </is>
      </c>
      <c r="BM327" s="91" t="inlineStr">
        <is>
          <t>N/A</t>
        </is>
      </c>
      <c r="BN327" s="91" t="inlineStr">
        <is>
          <t>N/A</t>
        </is>
      </c>
      <c r="BO327" s="85" t="n">
        <v>619.1</v>
      </c>
      <c r="BP327" s="85" t="n">
        <v>472</v>
      </c>
      <c r="BQ327" s="85" t="n">
        <v>0</v>
      </c>
      <c r="BR327" s="85" t="n">
        <v>0</v>
      </c>
      <c r="BS327" s="91" t="inlineStr">
        <is>
          <t>N/A</t>
        </is>
      </c>
      <c r="BT327" s="91" t="inlineStr">
        <is>
          <t>N/A</t>
        </is>
      </c>
      <c r="BU327" s="85" t="n">
        <v>0</v>
      </c>
      <c r="BV327" s="85" t="n">
        <v>0</v>
      </c>
      <c r="BW327" s="85" t="n">
        <v>0</v>
      </c>
      <c r="BX327" s="85" t="n">
        <v>0</v>
      </c>
      <c r="BY327" s="85" t="n">
        <v>0</v>
      </c>
    </row>
    <row r="328" ht="17" customHeight="1">
      <c r="A328" s="86" t="n">
        <v>326</v>
      </c>
      <c r="B328" s="87" t="inlineStr">
        <is>
          <t>CHDN</t>
        </is>
      </c>
      <c r="C328" s="88" t="inlineStr">
        <is>
          <t>Churchill Downs Inc</t>
        </is>
      </c>
      <c r="D328" s="86" t="inlineStr">
        <is>
          <t>Consumer Discretionary</t>
        </is>
      </c>
      <c r="E328" s="86" t="n">
        <v>2026</v>
      </c>
      <c r="F328" s="89" t="n">
        <v>7484.5</v>
      </c>
      <c r="G328" s="89" t="n">
        <v>443.2</v>
      </c>
      <c r="H328" s="89" t="n">
        <v>733.3</v>
      </c>
      <c r="I328" s="89" t="n">
        <v>6428.7</v>
      </c>
      <c r="J328" s="89" t="n">
        <v>1010.7</v>
      </c>
      <c r="K328" s="89" t="n">
        <v>683.8</v>
      </c>
      <c r="L328" s="89" t="n">
        <v>1809.8</v>
      </c>
      <c r="M328" s="89" t="n">
        <v>383</v>
      </c>
      <c r="N328" s="89" t="n">
        <v>141.9</v>
      </c>
      <c r="O328" s="89" t="n">
        <v>-432.3</v>
      </c>
      <c r="P328" s="89" t="n">
        <v>4605.7</v>
      </c>
      <c r="Q328" s="89" t="n">
        <v>1009.7</v>
      </c>
      <c r="R328" s="89" t="n">
        <v>246.2</v>
      </c>
      <c r="S328" s="89" t="n">
        <v>233.1</v>
      </c>
      <c r="T328" s="89" t="n">
        <v>93.5</v>
      </c>
      <c r="U328" s="89" t="n">
        <v>2881.3</v>
      </c>
      <c r="V328" s="89" t="n">
        <v>268.4</v>
      </c>
      <c r="W328" s="89" t="n">
        <v>7275.9</v>
      </c>
      <c r="X328" s="89" t="n">
        <v>412.3</v>
      </c>
      <c r="Y328" s="89" t="n">
        <v>729.3</v>
      </c>
      <c r="Z328" s="89" t="n">
        <v>6172.6</v>
      </c>
      <c r="AA328" s="89" t="n">
        <v>709</v>
      </c>
      <c r="AB328" s="89" t="n">
        <v>1597.2</v>
      </c>
      <c r="AC328" s="89" t="n">
        <v>426.8</v>
      </c>
      <c r="AD328" s="89" t="n">
        <v>289.6</v>
      </c>
      <c r="AE328" s="89" t="n">
        <v>-428.1</v>
      </c>
      <c r="AF328" s="89" t="n">
        <v>1968</v>
      </c>
      <c r="AG328" s="89" t="n">
        <v>1083.6</v>
      </c>
      <c r="AH328" s="89" t="n">
        <v>1597.2</v>
      </c>
      <c r="AI328" s="89" t="n">
        <v>7275.9</v>
      </c>
      <c r="AJ328" s="89" t="n">
        <v>532.4</v>
      </c>
      <c r="AK328" s="89" t="n">
        <v>573.2</v>
      </c>
      <c r="AL328" s="89" t="n">
        <v>146.9</v>
      </c>
      <c r="AM328" s="89" t="n">
        <v>144.1</v>
      </c>
      <c r="AN328" s="89" t="n">
        <v>29.6</v>
      </c>
      <c r="AO328" s="89" t="n">
        <v>33.3</v>
      </c>
      <c r="AP328" s="89" t="n">
        <v>11.9</v>
      </c>
      <c r="AQ328" s="89" t="n">
        <v>11.6</v>
      </c>
      <c r="AR328" s="89" t="n">
        <v>900.2</v>
      </c>
      <c r="AS328" s="89" t="n">
        <v>53.7</v>
      </c>
      <c r="AT328" s="89" t="n">
        <v>63.1</v>
      </c>
      <c r="AU328" s="89" t="n">
        <v>39</v>
      </c>
      <c r="AV328" s="89" t="n">
        <v>200.6</v>
      </c>
      <c r="AW328" s="89" t="n">
        <v>175.5</v>
      </c>
      <c r="AX328" s="89" t="n">
        <v>4668.8</v>
      </c>
      <c r="AY328" s="89" t="n">
        <v>1968</v>
      </c>
      <c r="AZ328" s="89" t="n">
        <v>4468.2</v>
      </c>
      <c r="BA328" s="89" t="n">
        <v>112.3</v>
      </c>
      <c r="BB328" s="89" t="n">
        <v>69.59999999999999</v>
      </c>
      <c r="BC328" s="89" t="n">
        <v>73.5</v>
      </c>
      <c r="BD328" s="89" t="n">
        <v>98.7</v>
      </c>
      <c r="BE328" s="89" t="n">
        <v>2851.9</v>
      </c>
      <c r="BF328" s="89" t="n">
        <v>237.7</v>
      </c>
      <c r="BG328" s="89" t="n">
        <v>199.1</v>
      </c>
      <c r="BH328" s="89" t="n">
        <v>-471.5</v>
      </c>
      <c r="BI328" s="89" t="n">
        <v>-545.2</v>
      </c>
      <c r="BJ328" s="89" t="n">
        <v>184.3</v>
      </c>
      <c r="BK328" s="89" t="n">
        <v>180.3</v>
      </c>
      <c r="BL328" s="89" t="n">
        <v>47.9</v>
      </c>
      <c r="BM328" s="89" t="n">
        <v>52</v>
      </c>
      <c r="BN328" s="89" t="n">
        <v>2.1</v>
      </c>
      <c r="BO328" s="89" t="n">
        <v>2242.1</v>
      </c>
      <c r="BP328" s="89" t="n">
        <v>2025.3</v>
      </c>
      <c r="BQ328" s="89" t="n">
        <v>0</v>
      </c>
      <c r="BR328" s="89" t="n">
        <v>0</v>
      </c>
      <c r="BS328" s="89" t="n">
        <v>0</v>
      </c>
      <c r="BT328" s="89" t="n">
        <v>0</v>
      </c>
      <c r="BU328" s="89" t="n">
        <v>0</v>
      </c>
      <c r="BV328" s="89" t="n">
        <v>0</v>
      </c>
      <c r="BW328" s="89" t="n">
        <v>0</v>
      </c>
      <c r="BX328" s="89" t="n">
        <v>0</v>
      </c>
      <c r="BY328" s="89" t="n">
        <v>0</v>
      </c>
    </row>
    <row r="329" ht="17" customHeight="1">
      <c r="A329" s="82" t="n">
        <v>327</v>
      </c>
      <c r="B329" s="83" t="inlineStr">
        <is>
          <t>HON</t>
        </is>
      </c>
      <c r="C329" s="84" t="inlineStr">
        <is>
          <t>Honeywell International Inc</t>
        </is>
      </c>
      <c r="D329" s="82" t="inlineStr">
        <is>
          <t>Industrials</t>
        </is>
      </c>
      <c r="E329" s="82" t="n">
        <v>2026</v>
      </c>
      <c r="F329" s="85" t="n">
        <v>73681</v>
      </c>
      <c r="G329" s="85" t="n">
        <v>30387</v>
      </c>
      <c r="H329" s="85" t="n">
        <v>23414</v>
      </c>
      <c r="I329" s="85" t="n">
        <v>73681</v>
      </c>
      <c r="J329" s="85" t="n">
        <v>50964</v>
      </c>
      <c r="K329" s="85" t="n">
        <v>8127</v>
      </c>
      <c r="L329" s="85" t="n">
        <v>36529</v>
      </c>
      <c r="M329" s="85" t="n">
        <v>4729</v>
      </c>
      <c r="N329" s="85" t="n">
        <v>6408</v>
      </c>
      <c r="O329" s="85" t="n">
        <v>3470</v>
      </c>
      <c r="P329" s="85" t="n">
        <v>29046</v>
      </c>
      <c r="Q329" s="85" t="n">
        <v>13904</v>
      </c>
      <c r="R329" s="85" t="n">
        <v>5450</v>
      </c>
      <c r="S329" s="85" t="n">
        <v>1388</v>
      </c>
      <c r="T329" s="85" t="n">
        <v>7621</v>
      </c>
      <c r="U329" s="85" t="n">
        <v>5471</v>
      </c>
      <c r="V329" s="91" t="inlineStr">
        <is>
          <t>N/A</t>
        </is>
      </c>
      <c r="W329" s="85" t="n">
        <v>75196</v>
      </c>
      <c r="X329" s="85" t="n">
        <v>27908</v>
      </c>
      <c r="Y329" s="85" t="n">
        <v>21256</v>
      </c>
      <c r="Z329" s="85" t="n">
        <v>75196</v>
      </c>
      <c r="AA329" s="85" t="n">
        <v>8699</v>
      </c>
      <c r="AB329" s="85" t="n">
        <v>9473</v>
      </c>
      <c r="AC329" s="85" t="n">
        <v>-115</v>
      </c>
      <c r="AD329" s="85" t="n">
        <v>6097</v>
      </c>
      <c r="AE329" s="85" t="n">
        <v>3233</v>
      </c>
      <c r="AF329" s="85" t="n">
        <v>27265</v>
      </c>
      <c r="AG329" s="85" t="n">
        <v>18619</v>
      </c>
      <c r="AH329" s="85" t="n">
        <v>9298</v>
      </c>
      <c r="AI329" s="85" t="n">
        <v>75196</v>
      </c>
      <c r="AJ329" s="85" t="n">
        <v>5476</v>
      </c>
      <c r="AK329" s="85" t="n">
        <v>7213</v>
      </c>
      <c r="AL329" s="85" t="n">
        <v>1008</v>
      </c>
      <c r="AM329" s="85" t="n">
        <v>1473</v>
      </c>
      <c r="AN329" s="85" t="n">
        <v>986</v>
      </c>
      <c r="AO329" s="85" t="n">
        <v>1164</v>
      </c>
      <c r="AP329" s="85" t="n">
        <v>6162</v>
      </c>
      <c r="AQ329" s="85" t="n">
        <v>6442</v>
      </c>
      <c r="AR329" s="85" t="n">
        <v>21079</v>
      </c>
      <c r="AS329" s="85" t="n">
        <v>6342</v>
      </c>
      <c r="AT329" s="85" t="n">
        <v>5893</v>
      </c>
      <c r="AU329" s="85" t="n">
        <v>1812</v>
      </c>
      <c r="AV329" s="85" t="n">
        <v>12487</v>
      </c>
      <c r="AW329" s="85" t="n">
        <v>10567</v>
      </c>
      <c r="AX329" s="85" t="n">
        <v>34939</v>
      </c>
      <c r="AY329" s="85" t="n">
        <v>31538</v>
      </c>
      <c r="AZ329" s="85" t="n">
        <v>22452</v>
      </c>
      <c r="BA329" s="85" t="n">
        <v>5422</v>
      </c>
      <c r="BB329" s="85" t="n">
        <v>635.3</v>
      </c>
      <c r="BC329" s="85" t="n">
        <v>649.8</v>
      </c>
      <c r="BD329" s="85" t="n">
        <v>7819</v>
      </c>
      <c r="BE329" s="85" t="n">
        <v>5562</v>
      </c>
      <c r="BF329" s="85" t="n">
        <v>5466</v>
      </c>
      <c r="BG329" s="85" t="n">
        <v>1334</v>
      </c>
      <c r="BH329" s="85" t="n">
        <v>-2711</v>
      </c>
      <c r="BI329" s="85" t="n">
        <v>-10157</v>
      </c>
      <c r="BJ329" s="85" t="n">
        <v>6315</v>
      </c>
      <c r="BK329" s="85" t="n">
        <v>6880</v>
      </c>
      <c r="BL329" s="85" t="n">
        <v>1264</v>
      </c>
      <c r="BM329" s="85" t="n">
        <v>76</v>
      </c>
      <c r="BN329" s="85" t="n">
        <v>791</v>
      </c>
      <c r="BO329" s="85" t="n">
        <v>23613</v>
      </c>
      <c r="BP329" s="85" t="n">
        <v>23836</v>
      </c>
      <c r="BQ329" s="85" t="n">
        <v>0</v>
      </c>
      <c r="BR329" s="85" t="n">
        <v>0</v>
      </c>
      <c r="BS329" s="85" t="n">
        <v>0</v>
      </c>
      <c r="BT329" s="85" t="n">
        <v>0</v>
      </c>
      <c r="BU329" s="85" t="n">
        <v>0</v>
      </c>
      <c r="BV329" s="85" t="n">
        <v>0</v>
      </c>
      <c r="BW329" s="85" t="n">
        <v>0</v>
      </c>
      <c r="BX329" s="85" t="n">
        <v>0</v>
      </c>
      <c r="BY329" s="85" t="n">
        <v>0</v>
      </c>
    </row>
    <row r="330" ht="17" customHeight="1">
      <c r="A330" s="86" t="n">
        <v>328</v>
      </c>
      <c r="B330" s="87" t="inlineStr">
        <is>
          <t>IR</t>
        </is>
      </c>
      <c r="C330" s="88" t="inlineStr">
        <is>
          <t>Ingersoll Rand Inc.</t>
        </is>
      </c>
      <c r="D330" s="86" t="inlineStr">
        <is>
          <t>Industrials</t>
        </is>
      </c>
      <c r="E330" s="86" t="n">
        <v>2026</v>
      </c>
      <c r="F330" s="89" t="n">
        <v>18297.2</v>
      </c>
      <c r="G330" s="89" t="n">
        <v>4248</v>
      </c>
      <c r="H330" s="89" t="n">
        <v>2066.3</v>
      </c>
      <c r="I330" s="89" t="n">
        <v>8143.2</v>
      </c>
      <c r="J330" s="89" t="n">
        <v>3053.1</v>
      </c>
      <c r="K330" s="89" t="n">
        <v>1144.6</v>
      </c>
      <c r="L330" s="89" t="n">
        <v>2375.4</v>
      </c>
      <c r="M330" s="89" t="n">
        <v>581.4</v>
      </c>
      <c r="N330" s="89" t="n">
        <v>1355.7</v>
      </c>
      <c r="O330" s="89" t="n">
        <v>3336.3</v>
      </c>
      <c r="P330" s="89" t="n">
        <v>2778.1</v>
      </c>
      <c r="Q330" s="89" t="n">
        <v>10089.8</v>
      </c>
      <c r="R330" s="89" t="n">
        <v>1439.3</v>
      </c>
      <c r="S330" s="89" t="n">
        <v>505.8</v>
      </c>
      <c r="T330" s="89" t="n">
        <v>1518</v>
      </c>
      <c r="U330" s="89" t="n">
        <v>930.3</v>
      </c>
      <c r="V330" s="89" t="n">
        <v>156.7</v>
      </c>
      <c r="W330" s="89" t="n">
        <v>18009.8</v>
      </c>
      <c r="X330" s="89" t="n">
        <v>4163.5</v>
      </c>
      <c r="Y330" s="89" t="n">
        <v>1818.9</v>
      </c>
      <c r="Z330" s="89" t="n">
        <v>7764.5</v>
      </c>
      <c r="AA330" s="89" t="n">
        <v>1300.1</v>
      </c>
      <c r="AB330" s="89" t="n">
        <v>1939.4</v>
      </c>
      <c r="AC330" s="89" t="n">
        <v>838.6</v>
      </c>
      <c r="AD330" s="89" t="n">
        <v>1396.7</v>
      </c>
      <c r="AE330" s="89" t="n">
        <v>3170</v>
      </c>
      <c r="AF330" s="90" t="inlineStr">
        <is>
          <t>N/A</t>
        </is>
      </c>
      <c r="AG330" s="89" t="n">
        <v>10179</v>
      </c>
      <c r="AH330" s="89" t="n">
        <v>2126.9</v>
      </c>
      <c r="AI330" s="89" t="n">
        <v>18009.8</v>
      </c>
      <c r="AJ330" s="89" t="n">
        <v>513</v>
      </c>
      <c r="AK330" s="89" t="n">
        <v>-19.4</v>
      </c>
      <c r="AL330" s="89" t="n">
        <v>219.4</v>
      </c>
      <c r="AM330" s="89" t="n">
        <v>262.5</v>
      </c>
      <c r="AN330" s="89" t="n">
        <v>135.6</v>
      </c>
      <c r="AO330" s="89" t="n">
        <v>149.1</v>
      </c>
      <c r="AP330" s="89" t="n">
        <v>1172.9</v>
      </c>
      <c r="AQ330" s="89" t="n">
        <v>1055</v>
      </c>
      <c r="AR330" s="89" t="n">
        <v>8484.1</v>
      </c>
      <c r="AS330" s="89" t="n">
        <v>4240.3</v>
      </c>
      <c r="AT330" s="90" t="inlineStr">
        <is>
          <t>N/A</t>
        </is>
      </c>
      <c r="AU330" s="89" t="n">
        <v>114.3</v>
      </c>
      <c r="AV330" s="89" t="n">
        <v>1248.8</v>
      </c>
      <c r="AW330" s="89" t="n">
        <v>1541.2</v>
      </c>
      <c r="AX330" s="89" t="n">
        <v>2778.1</v>
      </c>
      <c r="AY330" s="90" t="inlineStr">
        <is>
          <t>N/A</t>
        </is>
      </c>
      <c r="AZ330" s="89" t="n">
        <v>1529.3</v>
      </c>
      <c r="BA330" s="89" t="n">
        <v>1220.1</v>
      </c>
      <c r="BB330" s="89" t="n">
        <v>391.1</v>
      </c>
      <c r="BC330" s="89" t="n">
        <v>402.9</v>
      </c>
      <c r="BD330" s="89" t="n">
        <v>1335.4</v>
      </c>
      <c r="BE330" s="89" t="n">
        <v>842.1</v>
      </c>
      <c r="BF330" s="89" t="n">
        <v>1344.4</v>
      </c>
      <c r="BG330" s="89" t="n">
        <v>482</v>
      </c>
      <c r="BH330" s="89" t="n">
        <v>-660.6</v>
      </c>
      <c r="BI330" s="89" t="n">
        <v>-3107.7</v>
      </c>
      <c r="BJ330" s="89" t="n">
        <v>996.1</v>
      </c>
      <c r="BK330" s="89" t="n">
        <v>843.6</v>
      </c>
      <c r="BL330" s="89" t="n">
        <v>347.2</v>
      </c>
      <c r="BM330" s="89" t="n">
        <v>318.6</v>
      </c>
      <c r="BN330" s="89" t="n">
        <v>108.5</v>
      </c>
      <c r="BO330" s="89" t="n">
        <v>4314.6</v>
      </c>
      <c r="BP330" s="89" t="n">
        <v>4065</v>
      </c>
      <c r="BQ330" s="89" t="n">
        <v>0</v>
      </c>
      <c r="BR330" s="89" t="n">
        <v>0</v>
      </c>
      <c r="BS330" s="89" t="n">
        <v>0</v>
      </c>
      <c r="BT330" s="89" t="n">
        <v>0</v>
      </c>
      <c r="BU330" s="89" t="n">
        <v>0</v>
      </c>
      <c r="BV330" s="89" t="n">
        <v>0</v>
      </c>
      <c r="BW330" s="89" t="n">
        <v>0</v>
      </c>
      <c r="BX330" s="89" t="n">
        <v>0</v>
      </c>
      <c r="BY330" s="89" t="n">
        <v>0</v>
      </c>
    </row>
    <row r="331" ht="17" customHeight="1">
      <c r="A331" s="82" t="n">
        <v>329</v>
      </c>
      <c r="B331" s="83" t="inlineStr">
        <is>
          <t>SCI</t>
        </is>
      </c>
      <c r="C331" s="84" t="inlineStr">
        <is>
          <t>SERVICE CORPORATION INTERNATIONAL</t>
        </is>
      </c>
      <c r="D331" s="82" t="inlineStr">
        <is>
          <t>Health Care</t>
        </is>
      </c>
      <c r="E331" s="82" t="n">
        <v>2026</v>
      </c>
      <c r="F331" s="85" t="n">
        <v>18654.5</v>
      </c>
      <c r="G331" s="85" t="n">
        <v>411.8</v>
      </c>
      <c r="H331" s="85" t="n">
        <v>745.7</v>
      </c>
      <c r="I331" s="85" t="n">
        <v>18654.5</v>
      </c>
      <c r="J331" s="85" t="n">
        <v>499</v>
      </c>
      <c r="K331" s="85" t="n">
        <v>978.1</v>
      </c>
      <c r="L331" s="85" t="n">
        <v>4309.2</v>
      </c>
      <c r="M331" s="85" t="n">
        <v>542.6</v>
      </c>
      <c r="N331" s="85" t="n">
        <v>942.8</v>
      </c>
      <c r="O331" s="85" t="n">
        <v>1140.1</v>
      </c>
      <c r="P331" s="85" t="n">
        <v>5139.8</v>
      </c>
      <c r="Q331" s="85" t="n">
        <v>1638.3</v>
      </c>
      <c r="R331" s="85" t="n">
        <v>166.2</v>
      </c>
      <c r="S331" s="85" t="n">
        <v>175.3</v>
      </c>
      <c r="T331" s="85" t="n">
        <v>100.4</v>
      </c>
      <c r="U331" s="85" t="n">
        <v>2751.8</v>
      </c>
      <c r="V331" s="85" t="n">
        <v>255.4</v>
      </c>
      <c r="W331" s="85" t="n">
        <v>17379.4</v>
      </c>
      <c r="X331" s="85" t="n">
        <v>377.3</v>
      </c>
      <c r="Y331" s="85" t="n">
        <v>723.8</v>
      </c>
      <c r="Z331" s="85" t="n">
        <v>17379.4</v>
      </c>
      <c r="AA331" s="85" t="n">
        <v>927.7</v>
      </c>
      <c r="AB331" s="85" t="n">
        <v>4186.4</v>
      </c>
      <c r="AC331" s="85" t="n">
        <v>518.6</v>
      </c>
      <c r="AD331" s="85" t="n">
        <v>944.9</v>
      </c>
      <c r="AE331" s="85" t="n">
        <v>1090.7</v>
      </c>
      <c r="AF331" s="85" t="n">
        <v>4835.3</v>
      </c>
      <c r="AG331" s="85" t="n">
        <v>1678</v>
      </c>
      <c r="AH331" s="85" t="n">
        <v>4186.4</v>
      </c>
      <c r="AI331" s="85" t="n">
        <v>17379.4</v>
      </c>
      <c r="AJ331" s="85" t="n">
        <v>729.8</v>
      </c>
      <c r="AK331" s="85" t="n">
        <v>675.4</v>
      </c>
      <c r="AL331" s="85" t="n">
        <v>186.9</v>
      </c>
      <c r="AM331" s="85" t="n">
        <v>156.7</v>
      </c>
      <c r="AN331" s="85" t="n">
        <v>388.6</v>
      </c>
      <c r="AO331" s="85" t="n">
        <v>389.1</v>
      </c>
      <c r="AP331" s="85" t="n">
        <v>35.2</v>
      </c>
      <c r="AQ331" s="85" t="n">
        <v>33.3</v>
      </c>
      <c r="AR331" s="85" t="n">
        <v>2169.1</v>
      </c>
      <c r="AS331" s="85" t="n">
        <v>75.90000000000001</v>
      </c>
      <c r="AT331" s="85" t="n">
        <v>56.8</v>
      </c>
      <c r="AU331" s="91" t="inlineStr">
        <is>
          <t>N/A</t>
        </is>
      </c>
      <c r="AV331" s="85" t="n">
        <v>243.6</v>
      </c>
      <c r="AW331" s="85" t="n">
        <v>218.8</v>
      </c>
      <c r="AX331" s="85" t="n">
        <v>5196.7</v>
      </c>
      <c r="AY331" s="85" t="n">
        <v>4835.3</v>
      </c>
      <c r="AZ331" s="85" t="n">
        <v>4953.1</v>
      </c>
      <c r="BA331" s="85" t="n">
        <v>554.2</v>
      </c>
      <c r="BB331" s="85" t="n">
        <v>139.7</v>
      </c>
      <c r="BC331" s="85" t="n">
        <v>144.7</v>
      </c>
      <c r="BD331" s="85" t="n">
        <v>94.3</v>
      </c>
      <c r="BE331" s="85" t="n">
        <v>2581.1</v>
      </c>
      <c r="BF331" s="85" t="n">
        <v>139</v>
      </c>
      <c r="BG331" s="85" t="n">
        <v>159.3</v>
      </c>
      <c r="BH331" s="85" t="n">
        <v>-548.3</v>
      </c>
      <c r="BI331" s="85" t="n">
        <v>-620.9</v>
      </c>
      <c r="BJ331" s="85" t="n">
        <v>685.2</v>
      </c>
      <c r="BK331" s="85" t="n">
        <v>639.3</v>
      </c>
      <c r="BL331" s="85" t="n">
        <v>1779.3</v>
      </c>
      <c r="BM331" s="85" t="n">
        <v>1755.2</v>
      </c>
      <c r="BN331" s="85" t="n">
        <v>3.7</v>
      </c>
      <c r="BO331" s="85" t="n">
        <v>3169.2</v>
      </c>
      <c r="BP331" s="85" t="n">
        <v>3095.7</v>
      </c>
      <c r="BQ331" s="85" t="n">
        <v>0</v>
      </c>
      <c r="BR331" s="85" t="n">
        <v>0</v>
      </c>
      <c r="BS331" s="85" t="n">
        <v>0</v>
      </c>
      <c r="BT331" s="85" t="n">
        <v>0</v>
      </c>
      <c r="BU331" s="85" t="n">
        <v>0</v>
      </c>
      <c r="BV331" s="85" t="n">
        <v>0</v>
      </c>
      <c r="BW331" s="85" t="n">
        <v>0</v>
      </c>
      <c r="BX331" s="85" t="n">
        <v>0</v>
      </c>
      <c r="BY331" s="85" t="n">
        <v>0</v>
      </c>
    </row>
    <row r="332" ht="17" customHeight="1">
      <c r="A332" s="86" t="n">
        <v>330</v>
      </c>
      <c r="B332" s="87" t="inlineStr">
        <is>
          <t>MRK</t>
        </is>
      </c>
      <c r="C332" s="88" t="inlineStr">
        <is>
          <t>Merck &amp; Co., Inc.</t>
        </is>
      </c>
      <c r="D332" s="86" t="inlineStr">
        <is>
          <t>Health Care</t>
        </is>
      </c>
      <c r="E332" s="86" t="n">
        <v>2026</v>
      </c>
      <c r="F332" s="89" t="n">
        <v>136866</v>
      </c>
      <c r="G332" s="89" t="n">
        <v>43516</v>
      </c>
      <c r="H332" s="89" t="n">
        <v>28327</v>
      </c>
      <c r="I332" s="89" t="n">
        <v>136866</v>
      </c>
      <c r="J332" s="89" t="n">
        <v>73075</v>
      </c>
      <c r="K332" s="89" t="n">
        <v>21067</v>
      </c>
      <c r="L332" s="89" t="n">
        <v>65011</v>
      </c>
      <c r="M332" s="89" t="n">
        <v>18254</v>
      </c>
      <c r="N332" s="89" t="n">
        <v>16472</v>
      </c>
      <c r="O332" s="89" t="n">
        <v>48629</v>
      </c>
      <c r="P332" s="89" t="n">
        <v>46750</v>
      </c>
      <c r="Q332" s="89" t="n">
        <v>52606</v>
      </c>
      <c r="R332" s="89" t="n">
        <v>10733</v>
      </c>
      <c r="S332" s="89" t="n">
        <v>3652</v>
      </c>
      <c r="T332" s="89" t="n">
        <v>11775</v>
      </c>
      <c r="U332" s="89" t="n">
        <v>25316</v>
      </c>
      <c r="V332" s="89" t="n">
        <v>1146</v>
      </c>
      <c r="W332" s="89" t="n">
        <v>117106</v>
      </c>
      <c r="X332" s="89" t="n">
        <v>38782</v>
      </c>
      <c r="Y332" s="89" t="n">
        <v>28420</v>
      </c>
      <c r="Z332" s="89" t="n">
        <v>117106</v>
      </c>
      <c r="AA332" s="89" t="n">
        <v>19936</v>
      </c>
      <c r="AB332" s="89" t="n">
        <v>64168</v>
      </c>
      <c r="AC332" s="89" t="n">
        <v>17117</v>
      </c>
      <c r="AD332" s="89" t="n">
        <v>21468</v>
      </c>
      <c r="AE332" s="89" t="n">
        <v>48975</v>
      </c>
      <c r="AF332" s="89" t="n">
        <v>34462</v>
      </c>
      <c r="AG332" s="89" t="n">
        <v>46313</v>
      </c>
      <c r="AH332" s="89" t="n">
        <v>64168</v>
      </c>
      <c r="AI332" s="89" t="n">
        <v>117106</v>
      </c>
      <c r="AJ332" s="89" t="n">
        <v>21067</v>
      </c>
      <c r="AK332" s="89" t="n">
        <v>19936</v>
      </c>
      <c r="AL332" s="89" t="n">
        <v>2804</v>
      </c>
      <c r="AM332" s="89" t="n">
        <v>2803</v>
      </c>
      <c r="AN332" s="89" t="n">
        <v>4112</v>
      </c>
      <c r="AO332" s="89" t="n">
        <v>3372</v>
      </c>
      <c r="AP332" s="89" t="n">
        <v>6658</v>
      </c>
      <c r="AQ332" s="89" t="n">
        <v>6109</v>
      </c>
      <c r="AR332" s="89" t="n">
        <v>21579</v>
      </c>
      <c r="AS332" s="89" t="n">
        <v>39456</v>
      </c>
      <c r="AT332" s="89" t="n">
        <v>2589</v>
      </c>
      <c r="AU332" s="89" t="n">
        <v>15789</v>
      </c>
      <c r="AV332" s="89" t="n">
        <v>14565</v>
      </c>
      <c r="AW332" s="89" t="n">
        <v>13242</v>
      </c>
      <c r="AX332" s="89" t="n">
        <v>49339</v>
      </c>
      <c r="AY332" s="89" t="n">
        <v>37111</v>
      </c>
      <c r="AZ332" s="89" t="n">
        <v>34774</v>
      </c>
      <c r="BA332" s="89" t="n">
        <v>12360</v>
      </c>
      <c r="BB332" s="89" t="n">
        <v>3577.1</v>
      </c>
      <c r="BC332" s="89" t="n">
        <v>3577.1</v>
      </c>
      <c r="BD332" s="89" t="n">
        <v>10278</v>
      </c>
      <c r="BE332" s="89" t="n">
        <v>23779</v>
      </c>
      <c r="BF332" s="89" t="n">
        <v>10816</v>
      </c>
      <c r="BG332" s="89" t="n">
        <v>4519</v>
      </c>
      <c r="BH332" s="89" t="n">
        <v>-13741</v>
      </c>
      <c r="BI332" s="89" t="n">
        <v>-7734</v>
      </c>
      <c r="BJ332" s="89" t="n">
        <v>4404</v>
      </c>
      <c r="BK332" s="89" t="n">
        <v>4079</v>
      </c>
      <c r="BL332" s="90" t="inlineStr">
        <is>
          <t>N/A</t>
        </is>
      </c>
      <c r="BM332" s="90" t="inlineStr">
        <is>
          <t>N/A</t>
        </is>
      </c>
      <c r="BN332" s="89" t="n">
        <v>4726</v>
      </c>
      <c r="BO332" s="89" t="n">
        <v>16382</v>
      </c>
      <c r="BP332" s="89" t="n">
        <v>15193</v>
      </c>
      <c r="BQ332" s="89" t="n">
        <v>0</v>
      </c>
      <c r="BR332" s="89" t="n">
        <v>0</v>
      </c>
      <c r="BS332" s="89" t="n">
        <v>0</v>
      </c>
      <c r="BT332" s="89" t="n">
        <v>0</v>
      </c>
      <c r="BU332" s="89" t="n">
        <v>0</v>
      </c>
      <c r="BV332" s="89" t="n">
        <v>0</v>
      </c>
      <c r="BW332" s="89" t="n">
        <v>0</v>
      </c>
      <c r="BX332" s="89" t="n">
        <v>0</v>
      </c>
      <c r="BY332" s="89" t="n">
        <v>0</v>
      </c>
    </row>
    <row r="333" ht="17" customHeight="1">
      <c r="A333" s="82" t="n">
        <v>331</v>
      </c>
      <c r="B333" s="83" t="inlineStr">
        <is>
          <t>EMR</t>
        </is>
      </c>
      <c r="C333" s="84" t="inlineStr">
        <is>
          <t>EMERSON ELECTRIC CO.</t>
        </is>
      </c>
      <c r="D333" s="82" t="inlineStr">
        <is>
          <t>Industrials</t>
        </is>
      </c>
      <c r="E333" s="82" t="n">
        <v>2026</v>
      </c>
      <c r="F333" s="85" t="n">
        <v>41964</v>
      </c>
      <c r="G333" s="85" t="n">
        <v>8583</v>
      </c>
      <c r="H333" s="85" t="n">
        <v>9797</v>
      </c>
      <c r="I333" s="85" t="n">
        <v>41964</v>
      </c>
      <c r="J333" s="85" t="n">
        <v>40603</v>
      </c>
      <c r="K333" s="85" t="n">
        <v>2934</v>
      </c>
      <c r="L333" s="85" t="n">
        <v>24412</v>
      </c>
      <c r="M333" s="85" t="n">
        <v>2293</v>
      </c>
      <c r="N333" s="85" t="n">
        <v>3098</v>
      </c>
      <c r="O333" s="85" t="n">
        <v>9519</v>
      </c>
      <c r="P333" s="85" t="n">
        <v>8924</v>
      </c>
      <c r="Q333" s="85" t="n">
        <v>20282</v>
      </c>
      <c r="R333" s="85" t="n">
        <v>5103</v>
      </c>
      <c r="S333" s="85" t="n">
        <v>1518</v>
      </c>
      <c r="T333" s="85" t="n">
        <v>3101</v>
      </c>
      <c r="U333" s="85" t="n">
        <v>2871</v>
      </c>
      <c r="V333" s="85" t="n">
        <v>147</v>
      </c>
      <c r="W333" s="85" t="n">
        <v>44246</v>
      </c>
      <c r="X333" s="85" t="n">
        <v>10192</v>
      </c>
      <c r="Y333" s="85" t="n">
        <v>5742</v>
      </c>
      <c r="Z333" s="85" t="n">
        <v>44246</v>
      </c>
      <c r="AA333" s="85" t="n">
        <v>2020</v>
      </c>
      <c r="AB333" s="85" t="n">
        <v>24222</v>
      </c>
      <c r="AC333" s="85" t="n">
        <v>637</v>
      </c>
      <c r="AD333" s="85" t="n">
        <v>3332</v>
      </c>
      <c r="AE333" s="85" t="n">
        <v>2520</v>
      </c>
      <c r="AF333" s="85" t="n">
        <v>7687</v>
      </c>
      <c r="AG333" s="85" t="n">
        <v>21636</v>
      </c>
      <c r="AH333" s="85" t="n">
        <v>21039</v>
      </c>
      <c r="AI333" s="85" t="n">
        <v>44246</v>
      </c>
      <c r="AJ333" s="85" t="n">
        <v>2934</v>
      </c>
      <c r="AK333" s="85" t="n">
        <v>2020</v>
      </c>
      <c r="AL333" s="85" t="n">
        <v>696</v>
      </c>
      <c r="AM333" s="85" t="n">
        <v>415</v>
      </c>
      <c r="AN333" s="85" t="n">
        <v>431</v>
      </c>
      <c r="AO333" s="85" t="n">
        <v>419</v>
      </c>
      <c r="AP333" s="85" t="n">
        <v>2213</v>
      </c>
      <c r="AQ333" s="85" t="n">
        <v>2180</v>
      </c>
      <c r="AR333" s="85" t="n">
        <v>18193</v>
      </c>
      <c r="AS333" s="85" t="n">
        <v>9458</v>
      </c>
      <c r="AT333" s="85" t="n">
        <v>4797</v>
      </c>
      <c r="AU333" s="85" t="n">
        <v>771</v>
      </c>
      <c r="AV333" s="85" t="n">
        <v>2354</v>
      </c>
      <c r="AW333" s="85" t="n">
        <v>2354</v>
      </c>
      <c r="AX333" s="85" t="n">
        <v>13721</v>
      </c>
      <c r="AY333" s="85" t="n">
        <v>8219</v>
      </c>
      <c r="AZ333" s="85" t="n">
        <v>11367</v>
      </c>
      <c r="BA333" s="85" t="n">
        <v>2667</v>
      </c>
      <c r="BB333" s="85" t="n">
        <v>562.8</v>
      </c>
      <c r="BC333" s="85" t="n">
        <v>570.2</v>
      </c>
      <c r="BD333" s="85" t="n">
        <v>2927</v>
      </c>
      <c r="BE333" s="85" t="n">
        <v>2807</v>
      </c>
      <c r="BF333" s="85" t="n">
        <v>5142</v>
      </c>
      <c r="BG333" s="85" t="n">
        <v>1689</v>
      </c>
      <c r="BH333" s="85" t="n">
        <v>-593</v>
      </c>
      <c r="BI333" s="85" t="n">
        <v>-5360</v>
      </c>
      <c r="BJ333" s="85" t="n">
        <v>1384</v>
      </c>
      <c r="BK333" s="85" t="n">
        <v>1335</v>
      </c>
      <c r="BL333" s="85" t="n">
        <v>1031</v>
      </c>
      <c r="BM333" s="85" t="n">
        <v>1043</v>
      </c>
      <c r="BN333" s="85" t="n">
        <v>130</v>
      </c>
      <c r="BO333" s="85" t="n">
        <v>8497</v>
      </c>
      <c r="BP333" s="85" t="n">
        <v>8607</v>
      </c>
      <c r="BQ333" s="85" t="n">
        <v>0</v>
      </c>
      <c r="BR333" s="85" t="n">
        <v>0</v>
      </c>
      <c r="BS333" s="85" t="n">
        <v>0</v>
      </c>
      <c r="BT333" s="85" t="n">
        <v>0</v>
      </c>
      <c r="BU333" s="85" t="n">
        <v>0</v>
      </c>
      <c r="BV333" s="85" t="n">
        <v>0</v>
      </c>
      <c r="BW333" s="85" t="n">
        <v>0</v>
      </c>
      <c r="BX333" s="85" t="n">
        <v>0</v>
      </c>
      <c r="BY333" s="85" t="n">
        <v>0</v>
      </c>
    </row>
    <row r="334" ht="17" customHeight="1">
      <c r="A334" s="86" t="n">
        <v>332</v>
      </c>
      <c r="B334" s="87" t="inlineStr">
        <is>
          <t>MMM</t>
        </is>
      </c>
      <c r="C334" s="88" t="inlineStr">
        <is>
          <t>3M COMPANY</t>
        </is>
      </c>
      <c r="D334" s="86" t="inlineStr">
        <is>
          <t>Industrials</t>
        </is>
      </c>
      <c r="E334" s="86" t="n">
        <v>2026</v>
      </c>
      <c r="F334" s="89" t="n">
        <v>37733</v>
      </c>
      <c r="G334" s="89" t="n">
        <v>16387</v>
      </c>
      <c r="H334" s="89" t="n">
        <v>9595</v>
      </c>
      <c r="I334" s="89" t="n">
        <v>32986</v>
      </c>
      <c r="J334" s="89" t="n">
        <v>38258</v>
      </c>
      <c r="K334" s="89" t="n">
        <v>4629</v>
      </c>
      <c r="L334" s="89" t="n">
        <v>24948</v>
      </c>
      <c r="M334" s="89" t="n">
        <v>3250</v>
      </c>
      <c r="N334" s="89" t="n">
        <v>2306</v>
      </c>
      <c r="O334" s="89" t="n">
        <v>9957</v>
      </c>
      <c r="P334" s="89" t="n">
        <v>12602</v>
      </c>
      <c r="Q334" s="89" t="n">
        <v>4702</v>
      </c>
      <c r="R334" s="89" t="n">
        <v>3997</v>
      </c>
      <c r="S334" s="89" t="n">
        <v>1157</v>
      </c>
      <c r="T334" s="89" t="n">
        <v>3533</v>
      </c>
      <c r="U334" s="89" t="n">
        <v>7101</v>
      </c>
      <c r="V334" s="89" t="n">
        <v>942</v>
      </c>
      <c r="W334" s="89" t="n">
        <v>39868</v>
      </c>
      <c r="X334" s="89" t="n">
        <v>15884</v>
      </c>
      <c r="Y334" s="89" t="n">
        <v>11256</v>
      </c>
      <c r="Z334" s="89" t="n">
        <v>35974</v>
      </c>
      <c r="AA334" s="89" t="n">
        <v>4822</v>
      </c>
      <c r="AB334" s="89" t="n">
        <v>24575</v>
      </c>
      <c r="AC334" s="89" t="n">
        <v>4173</v>
      </c>
      <c r="AD334" s="89" t="n">
        <v>1819</v>
      </c>
      <c r="AE334" s="89" t="n">
        <v>10128</v>
      </c>
      <c r="AF334" s="89" t="n">
        <v>13044</v>
      </c>
      <c r="AG334" s="89" t="n">
        <v>3842</v>
      </c>
      <c r="AH334" s="89" t="n">
        <v>24575</v>
      </c>
      <c r="AI334" s="89" t="n">
        <v>39868</v>
      </c>
      <c r="AJ334" s="89" t="n">
        <v>4213</v>
      </c>
      <c r="AK334" s="89" t="n">
        <v>4819</v>
      </c>
      <c r="AL334" s="89" t="n">
        <v>1003</v>
      </c>
      <c r="AM334" s="89" t="n">
        <v>804</v>
      </c>
      <c r="AN334" s="89" t="n">
        <v>910</v>
      </c>
      <c r="AO334" s="89" t="n">
        <v>1181</v>
      </c>
      <c r="AP334" s="89" t="n">
        <v>3661</v>
      </c>
      <c r="AQ334" s="89" t="n">
        <v>3698</v>
      </c>
      <c r="AR334" s="89" t="n">
        <v>6419</v>
      </c>
      <c r="AS334" s="89" t="n">
        <v>524</v>
      </c>
      <c r="AT334" s="89" t="n">
        <v>1670</v>
      </c>
      <c r="AU334" s="89" t="n">
        <v>700</v>
      </c>
      <c r="AV334" s="89" t="n">
        <v>2398</v>
      </c>
      <c r="AW334" s="89" t="n">
        <v>1798</v>
      </c>
      <c r="AX334" s="89" t="n">
        <v>14272</v>
      </c>
      <c r="AY334" s="89" t="n">
        <v>14963</v>
      </c>
      <c r="AZ334" s="89" t="n">
        <v>11874</v>
      </c>
      <c r="BA334" s="89" t="n">
        <v>1396</v>
      </c>
      <c r="BB334" s="89" t="n">
        <v>530.3</v>
      </c>
      <c r="BC334" s="89" t="n">
        <v>539.5</v>
      </c>
      <c r="BD334" s="89" t="n">
        <v>3194</v>
      </c>
      <c r="BE334" s="89" t="n">
        <v>7388</v>
      </c>
      <c r="BF334" s="89" t="n">
        <v>4221</v>
      </c>
      <c r="BG334" s="89" t="n">
        <v>1153</v>
      </c>
      <c r="BH334" s="89" t="n">
        <v>1350</v>
      </c>
      <c r="BI334" s="89" t="n">
        <v>-3206</v>
      </c>
      <c r="BJ334" s="89" t="n">
        <v>2702</v>
      </c>
      <c r="BK334" s="89" t="n">
        <v>2660</v>
      </c>
      <c r="BL334" s="89" t="n">
        <v>513</v>
      </c>
      <c r="BM334" s="89" t="n">
        <v>551</v>
      </c>
      <c r="BN334" s="89" t="n">
        <v>331</v>
      </c>
      <c r="BO334" s="89" t="n">
        <v>14991</v>
      </c>
      <c r="BP334" s="89" t="n">
        <v>14447</v>
      </c>
      <c r="BQ334" s="89" t="n">
        <v>0</v>
      </c>
      <c r="BR334" s="89" t="n">
        <v>0</v>
      </c>
      <c r="BS334" s="89" t="n">
        <v>0</v>
      </c>
      <c r="BT334" s="89" t="n">
        <v>0</v>
      </c>
      <c r="BU334" s="89" t="n">
        <v>0</v>
      </c>
      <c r="BV334" s="89" t="n">
        <v>0</v>
      </c>
      <c r="BW334" s="89" t="n">
        <v>0</v>
      </c>
      <c r="BX334" s="89" t="n">
        <v>0</v>
      </c>
      <c r="BY334" s="89" t="n">
        <v>0</v>
      </c>
    </row>
    <row r="335" ht="17" customHeight="1">
      <c r="A335" s="82" t="n">
        <v>333</v>
      </c>
      <c r="B335" s="83" t="inlineStr">
        <is>
          <t>FULT</t>
        </is>
      </c>
      <c r="C335" s="84" t="inlineStr">
        <is>
          <t>FULTON FINANCIAL CORP</t>
        </is>
      </c>
      <c r="D335" s="82" t="inlineStr">
        <is>
          <t>Financials</t>
        </is>
      </c>
      <c r="E335" s="82" t="n">
        <v>2026</v>
      </c>
      <c r="F335" s="85" t="n">
        <v>32118.4</v>
      </c>
      <c r="G335" s="91" t="inlineStr">
        <is>
          <t>N/A</t>
        </is>
      </c>
      <c r="H335" s="91" t="inlineStr">
        <is>
          <t>N/A</t>
        </is>
      </c>
      <c r="I335" s="85" t="n">
        <v>28628</v>
      </c>
      <c r="J335" s="85" t="n">
        <v>2024.6</v>
      </c>
      <c r="K335" s="85" t="n">
        <v>485.6</v>
      </c>
      <c r="L335" s="85" t="n">
        <v>276.8</v>
      </c>
      <c r="M335" s="85" t="n">
        <v>391.6</v>
      </c>
      <c r="N335" s="85" t="n">
        <v>304.5</v>
      </c>
      <c r="O335" s="91" t="inlineStr">
        <is>
          <t>N/A</t>
        </is>
      </c>
      <c r="P335" s="91" t="inlineStr">
        <is>
          <t>N/A</t>
        </is>
      </c>
      <c r="Q335" s="85" t="n">
        <v>3490.4</v>
      </c>
      <c r="R335" s="91" t="inlineStr">
        <is>
          <t>N/A</t>
        </is>
      </c>
      <c r="S335" s="85" t="n">
        <v>28.3</v>
      </c>
      <c r="T335" s="91" t="inlineStr">
        <is>
          <t>N/A</t>
        </is>
      </c>
      <c r="U335" s="85" t="n">
        <v>175.2</v>
      </c>
      <c r="V335" s="85" t="n">
        <v>418.9</v>
      </c>
      <c r="W335" s="85" t="n">
        <v>32071.8</v>
      </c>
      <c r="X335" s="91" t="inlineStr">
        <is>
          <t>N/A</t>
        </is>
      </c>
      <c r="Y335" s="91" t="inlineStr">
        <is>
          <t>N/A</t>
        </is>
      </c>
      <c r="Z335" s="85" t="n">
        <v>28874.5</v>
      </c>
      <c r="AA335" s="85" t="n">
        <v>344.6</v>
      </c>
      <c r="AB335" s="85" t="n">
        <v>296</v>
      </c>
      <c r="AC335" s="85" t="n">
        <v>288.7</v>
      </c>
      <c r="AD335" s="85" t="n">
        <v>416.6</v>
      </c>
      <c r="AE335" s="91" t="inlineStr">
        <is>
          <t>N/A</t>
        </is>
      </c>
      <c r="AF335" s="91" t="inlineStr">
        <is>
          <t>N/A</t>
        </is>
      </c>
      <c r="AG335" s="85" t="n">
        <v>3197.3</v>
      </c>
      <c r="AH335" s="91" t="inlineStr">
        <is>
          <t>N/A</t>
        </is>
      </c>
      <c r="AI335" s="85" t="n">
        <v>32071.8</v>
      </c>
      <c r="AJ335" s="85" t="n">
        <v>485.6</v>
      </c>
      <c r="AK335" s="85" t="n">
        <v>344.6</v>
      </c>
      <c r="AL335" s="85" t="n">
        <v>94</v>
      </c>
      <c r="AM335" s="85" t="n">
        <v>55.9</v>
      </c>
      <c r="AN335" s="91" t="inlineStr">
        <is>
          <t>N/A</t>
        </is>
      </c>
      <c r="AO335" s="91" t="inlineStr">
        <is>
          <t>N/A</t>
        </is>
      </c>
      <c r="AP335" s="91" t="inlineStr">
        <is>
          <t>N/A</t>
        </is>
      </c>
      <c r="AQ335" s="91" t="inlineStr">
        <is>
          <t>N/A</t>
        </is>
      </c>
      <c r="AR335" s="85" t="n">
        <v>553.3</v>
      </c>
      <c r="AS335" s="91" t="inlineStr">
        <is>
          <t>N/A</t>
        </is>
      </c>
      <c r="AT335" s="85" t="n">
        <v>416.8</v>
      </c>
      <c r="AU335" s="91" t="inlineStr">
        <is>
          <t>N/A</t>
        </is>
      </c>
      <c r="AV335" s="91" t="inlineStr">
        <is>
          <t>N/A</t>
        </is>
      </c>
      <c r="AW335" s="91" t="inlineStr">
        <is>
          <t>N/A</t>
        </is>
      </c>
      <c r="AX335" s="85" t="n">
        <v>416.8</v>
      </c>
      <c r="AY335" s="91" t="inlineStr">
        <is>
          <t>N/A</t>
        </is>
      </c>
      <c r="AZ335" s="85" t="n">
        <v>416.8</v>
      </c>
      <c r="BA335" s="91" t="inlineStr">
        <is>
          <t>N/A</t>
        </is>
      </c>
      <c r="BB335" s="85" t="n">
        <v>247.1</v>
      </c>
      <c r="BC335" s="85" t="n">
        <v>245.9</v>
      </c>
      <c r="BD335" s="91" t="inlineStr">
        <is>
          <t>N/A</t>
        </is>
      </c>
      <c r="BE335" s="85" t="n">
        <v>195.5</v>
      </c>
      <c r="BF335" s="91" t="inlineStr">
        <is>
          <t>N/A</t>
        </is>
      </c>
      <c r="BG335" s="85" t="n">
        <v>39.2</v>
      </c>
      <c r="BH335" s="85" t="n">
        <v>-82.2</v>
      </c>
      <c r="BI335" s="85" t="n">
        <v>1629.3</v>
      </c>
      <c r="BJ335" s="91" t="inlineStr">
        <is>
          <t>N/A</t>
        </is>
      </c>
      <c r="BK335" s="91" t="inlineStr">
        <is>
          <t>N/A</t>
        </is>
      </c>
      <c r="BL335" s="85" t="n">
        <v>27.7</v>
      </c>
      <c r="BM335" s="85" t="n">
        <v>19.4</v>
      </c>
      <c r="BN335" s="91" t="inlineStr">
        <is>
          <t>N/A</t>
        </is>
      </c>
      <c r="BO335" s="91" t="inlineStr">
        <is>
          <t>N/A</t>
        </is>
      </c>
      <c r="BP335" s="91" t="inlineStr">
        <is>
          <t>N/A</t>
        </is>
      </c>
      <c r="BQ335" s="91" t="inlineStr">
        <is>
          <t>N/A</t>
        </is>
      </c>
      <c r="BR335" s="91" t="inlineStr">
        <is>
          <t>N/A</t>
        </is>
      </c>
      <c r="BS335" s="91" t="inlineStr">
        <is>
          <t>N/A</t>
        </is>
      </c>
      <c r="BT335" s="91" t="inlineStr">
        <is>
          <t>N/A</t>
        </is>
      </c>
      <c r="BU335" s="91" t="inlineStr">
        <is>
          <t>N/A</t>
        </is>
      </c>
      <c r="BV335" s="91" t="inlineStr">
        <is>
          <t>N/A</t>
        </is>
      </c>
      <c r="BW335" s="85" t="n">
        <v>0</v>
      </c>
      <c r="BX335" s="85" t="n">
        <v>0</v>
      </c>
      <c r="BY335" s="85" t="n">
        <v>0</v>
      </c>
    </row>
    <row r="336" ht="17" customHeight="1">
      <c r="A336" s="86" t="n">
        <v>334</v>
      </c>
      <c r="B336" s="87" t="inlineStr">
        <is>
          <t>SNDK</t>
        </is>
      </c>
      <c r="C336" s="88" t="inlineStr">
        <is>
          <t>Sandisk Corporation</t>
        </is>
      </c>
      <c r="D336" s="86" t="inlineStr">
        <is>
          <t>Information Technology</t>
        </is>
      </c>
      <c r="E336" s="86" t="n">
        <v>2026</v>
      </c>
      <c r="F336" s="89" t="n">
        <v>12985</v>
      </c>
      <c r="G336" s="89" t="n">
        <v>5086</v>
      </c>
      <c r="H336" s="89" t="n">
        <v>1427</v>
      </c>
      <c r="I336" s="89" t="n">
        <v>3769</v>
      </c>
      <c r="J336" s="89" t="n">
        <v>-1784</v>
      </c>
      <c r="K336" s="89" t="n">
        <v>-1377</v>
      </c>
      <c r="L336" s="89" t="n">
        <v>7355</v>
      </c>
      <c r="M336" s="89" t="n">
        <v>-1641</v>
      </c>
      <c r="N336" s="89" t="n">
        <v>84</v>
      </c>
      <c r="O336" s="89" t="n">
        <v>2212</v>
      </c>
      <c r="P336" s="89" t="n">
        <v>1849</v>
      </c>
      <c r="Q336" s="89" t="n">
        <v>9216</v>
      </c>
      <c r="R336" s="89" t="n">
        <v>573</v>
      </c>
      <c r="S336" s="89" t="n">
        <v>163</v>
      </c>
      <c r="T336" s="89" t="n">
        <v>1068</v>
      </c>
      <c r="U336" s="89" t="n">
        <v>619</v>
      </c>
      <c r="V336" s="90" t="inlineStr">
        <is>
          <t>N/A</t>
        </is>
      </c>
      <c r="W336" s="89" t="n">
        <v>13506</v>
      </c>
      <c r="X336" s="89" t="n">
        <v>3548</v>
      </c>
      <c r="Y336" s="89" t="n">
        <v>2123</v>
      </c>
      <c r="Z336" s="89" t="n">
        <v>2424</v>
      </c>
      <c r="AA336" s="89" t="n">
        <v>-468</v>
      </c>
      <c r="AB336" s="89" t="n">
        <v>6663</v>
      </c>
      <c r="AC336" s="89" t="n">
        <v>-672</v>
      </c>
      <c r="AD336" s="89" t="n">
        <v>-309</v>
      </c>
      <c r="AE336" s="89" t="n">
        <v>1072</v>
      </c>
      <c r="AF336" s="90" t="inlineStr">
        <is>
          <t>N/A</t>
        </is>
      </c>
      <c r="AG336" s="89" t="n">
        <v>11082</v>
      </c>
      <c r="AH336" s="89" t="n">
        <v>6086</v>
      </c>
      <c r="AI336" s="90" t="inlineStr">
        <is>
          <t>N/A</t>
        </is>
      </c>
      <c r="AJ336" s="89" t="n">
        <v>-1479</v>
      </c>
      <c r="AK336" s="89" t="n">
        <v>-1479</v>
      </c>
      <c r="AL336" s="89" t="n">
        <v>162</v>
      </c>
      <c r="AM336" s="89" t="n">
        <v>162</v>
      </c>
      <c r="AN336" s="89" t="n">
        <v>204</v>
      </c>
      <c r="AO336" s="89" t="n">
        <v>166</v>
      </c>
      <c r="AP336" s="89" t="n">
        <v>2079</v>
      </c>
      <c r="AQ336" s="89" t="n">
        <v>1955</v>
      </c>
      <c r="AR336" s="89" t="n">
        <v>4999</v>
      </c>
      <c r="AS336" s="90" t="inlineStr">
        <is>
          <t>N/A</t>
        </is>
      </c>
      <c r="AT336" s="89" t="n">
        <v>20</v>
      </c>
      <c r="AU336" s="89" t="n">
        <v>1132</v>
      </c>
      <c r="AV336" s="89" t="n">
        <v>1481</v>
      </c>
      <c r="AW336" s="89" t="n">
        <v>328</v>
      </c>
      <c r="AX336" s="89" t="n">
        <v>1869</v>
      </c>
      <c r="AY336" s="90" t="inlineStr">
        <is>
          <t>N/A</t>
        </is>
      </c>
      <c r="AZ336" s="89" t="n">
        <v>388</v>
      </c>
      <c r="BA336" s="89" t="n">
        <v>-120</v>
      </c>
      <c r="BB336" s="89" t="n">
        <v>146</v>
      </c>
      <c r="BC336" s="89" t="n">
        <v>145</v>
      </c>
      <c r="BD336" s="89" t="n">
        <v>935</v>
      </c>
      <c r="BE336" s="89" t="n">
        <v>791</v>
      </c>
      <c r="BF336" s="89" t="n">
        <v>455</v>
      </c>
      <c r="BG336" s="89" t="n">
        <v>224</v>
      </c>
      <c r="BH336" s="89" t="n">
        <v>556</v>
      </c>
      <c r="BI336" s="89" t="n">
        <v>210</v>
      </c>
      <c r="BJ336" s="90" t="inlineStr">
        <is>
          <t>N/A</t>
        </is>
      </c>
      <c r="BK336" s="90" t="inlineStr">
        <is>
          <t>N/A</t>
        </is>
      </c>
      <c r="BL336" s="90" t="inlineStr">
        <is>
          <t>N/A</t>
        </is>
      </c>
      <c r="BM336" s="90" t="inlineStr">
        <is>
          <t>N/A</t>
        </is>
      </c>
      <c r="BN336" s="89" t="n">
        <v>43</v>
      </c>
      <c r="BO336" s="89" t="n">
        <v>5143</v>
      </c>
      <c r="BP336" s="89" t="n">
        <v>5591</v>
      </c>
      <c r="BQ336" s="89" t="n">
        <v>0</v>
      </c>
      <c r="BR336" s="89" t="n">
        <v>0</v>
      </c>
      <c r="BS336" s="89" t="n">
        <v>0</v>
      </c>
      <c r="BT336" s="89" t="n">
        <v>0</v>
      </c>
      <c r="BU336" s="89" t="n">
        <v>0</v>
      </c>
      <c r="BV336" s="90" t="inlineStr">
        <is>
          <t>N/A</t>
        </is>
      </c>
      <c r="BW336" s="89" t="n">
        <v>0</v>
      </c>
      <c r="BX336" s="89" t="n">
        <v>0</v>
      </c>
      <c r="BY336" s="89" t="n">
        <v>-0</v>
      </c>
    </row>
    <row r="337" ht="17" customHeight="1">
      <c r="A337" s="82" t="n">
        <v>335</v>
      </c>
      <c r="B337" s="83" t="inlineStr">
        <is>
          <t>LIN</t>
        </is>
      </c>
      <c r="C337" s="84" t="inlineStr">
        <is>
          <t>LINDE PLC</t>
        </is>
      </c>
      <c r="D337" s="82" t="inlineStr">
        <is>
          <t>Materials</t>
        </is>
      </c>
      <c r="E337" s="82" t="n">
        <v>2026</v>
      </c>
      <c r="F337" s="85" t="n">
        <v>86817</v>
      </c>
      <c r="G337" s="85" t="n">
        <v>13325</v>
      </c>
      <c r="H337" s="85" t="n">
        <v>15198</v>
      </c>
      <c r="I337" s="85" t="n">
        <v>47076</v>
      </c>
      <c r="J337" s="85" t="n">
        <v>16608</v>
      </c>
      <c r="K337" s="85" t="n">
        <v>8923</v>
      </c>
      <c r="L337" s="85" t="n">
        <v>33986</v>
      </c>
      <c r="M337" s="85" t="n">
        <v>6898</v>
      </c>
      <c r="N337" s="85" t="n">
        <v>10350</v>
      </c>
      <c r="O337" s="91" t="inlineStr">
        <is>
          <t>N/A</t>
        </is>
      </c>
      <c r="P337" s="85" t="n">
        <v>22479</v>
      </c>
      <c r="Q337" s="85" t="n">
        <v>38245</v>
      </c>
      <c r="R337" s="85" t="n">
        <v>3433</v>
      </c>
      <c r="S337" s="85" t="n">
        <v>3763</v>
      </c>
      <c r="T337" s="85" t="n">
        <v>4966</v>
      </c>
      <c r="U337" s="85" t="n">
        <v>28260</v>
      </c>
      <c r="V337" s="85" t="n">
        <v>575</v>
      </c>
      <c r="W337" s="85" t="n">
        <v>80147</v>
      </c>
      <c r="X337" s="85" t="n">
        <v>12945</v>
      </c>
      <c r="Y337" s="85" t="n">
        <v>14544</v>
      </c>
      <c r="Z337" s="85" t="n">
        <v>40659</v>
      </c>
      <c r="AA337" s="85" t="n">
        <v>8635</v>
      </c>
      <c r="AB337" s="85" t="n">
        <v>33005</v>
      </c>
      <c r="AC337" s="85" t="n">
        <v>6565</v>
      </c>
      <c r="AD337" s="85" t="n">
        <v>9423</v>
      </c>
      <c r="AE337" s="91" t="inlineStr">
        <is>
          <t>N/A</t>
        </is>
      </c>
      <c r="AF337" s="85" t="n">
        <v>17400</v>
      </c>
      <c r="AG337" s="85" t="n">
        <v>38092</v>
      </c>
      <c r="AH337" s="85" t="n">
        <v>33005</v>
      </c>
      <c r="AI337" s="85" t="n">
        <v>80147</v>
      </c>
      <c r="AJ337" s="85" t="n">
        <v>2934</v>
      </c>
      <c r="AK337" s="91" t="inlineStr">
        <is>
          <t>N/A</t>
        </is>
      </c>
      <c r="AL337" s="85" t="n">
        <v>1989</v>
      </c>
      <c r="AM337" s="85" t="n">
        <v>2002</v>
      </c>
      <c r="AN337" s="85" t="n">
        <v>5261</v>
      </c>
      <c r="AO337" s="85" t="n">
        <v>4497</v>
      </c>
      <c r="AP337" s="85" t="n">
        <v>2055</v>
      </c>
      <c r="AQ337" s="85" t="n">
        <v>1946</v>
      </c>
      <c r="AR337" s="85" t="n">
        <v>27927</v>
      </c>
      <c r="AS337" s="85" t="n">
        <v>10045</v>
      </c>
      <c r="AT337" s="85" t="n">
        <v>4510</v>
      </c>
      <c r="AU337" s="85" t="n">
        <v>147</v>
      </c>
      <c r="AV337" s="85" t="n">
        <v>5056</v>
      </c>
      <c r="AW337" s="85" t="n">
        <v>4850</v>
      </c>
      <c r="AX337" s="85" t="n">
        <v>26989</v>
      </c>
      <c r="AY337" s="85" t="n">
        <v>21623</v>
      </c>
      <c r="AZ337" s="85" t="n">
        <v>21933</v>
      </c>
      <c r="BA337" s="85" t="n">
        <v>5089</v>
      </c>
      <c r="BB337" s="85" t="n">
        <v>508.7</v>
      </c>
      <c r="BC337" s="85" t="n">
        <v>523.3</v>
      </c>
      <c r="BD337" s="85" t="n">
        <v>4622</v>
      </c>
      <c r="BE337" s="85" t="n">
        <v>24775</v>
      </c>
      <c r="BF337" s="85" t="n">
        <v>3337</v>
      </c>
      <c r="BG337" s="85" t="n">
        <v>3780</v>
      </c>
      <c r="BH337" s="85" t="n">
        <v>-5721</v>
      </c>
      <c r="BI337" s="85" t="n">
        <v>-4644</v>
      </c>
      <c r="BJ337" s="85" t="n">
        <v>2810</v>
      </c>
      <c r="BK337" s="85" t="n">
        <v>2507</v>
      </c>
      <c r="BL337" s="85" t="n">
        <v>1231</v>
      </c>
      <c r="BM337" s="85" t="n">
        <v>1194</v>
      </c>
      <c r="BN337" s="85" t="n">
        <v>680</v>
      </c>
      <c r="BO337" s="91" t="inlineStr">
        <is>
          <t>N/A</t>
        </is>
      </c>
      <c r="BP337" s="91" t="inlineStr">
        <is>
          <t>N/A</t>
        </is>
      </c>
      <c r="BQ337" s="85" t="n">
        <v>0</v>
      </c>
      <c r="BR337" s="85" t="n">
        <v>0</v>
      </c>
      <c r="BS337" s="91" t="inlineStr">
        <is>
          <t>N/A</t>
        </is>
      </c>
      <c r="BT337" s="91" t="inlineStr">
        <is>
          <t>N/A</t>
        </is>
      </c>
      <c r="BU337" s="91" t="inlineStr">
        <is>
          <t>N/A</t>
        </is>
      </c>
      <c r="BV337" s="91" t="inlineStr">
        <is>
          <t>N/A</t>
        </is>
      </c>
      <c r="BW337" s="85" t="n">
        <v>0</v>
      </c>
      <c r="BX337" s="85" t="n">
        <v>0</v>
      </c>
      <c r="BY337" s="85" t="n">
        <v>0</v>
      </c>
    </row>
    <row r="338" ht="17" customHeight="1">
      <c r="A338" s="86" t="n">
        <v>336</v>
      </c>
      <c r="B338" s="87" t="inlineStr">
        <is>
          <t>IBM</t>
        </is>
      </c>
      <c r="C338" s="88" t="inlineStr">
        <is>
          <t>INTERNATIONAL BUSINESS MACHINES CORP</t>
        </is>
      </c>
      <c r="D338" s="86" t="inlineStr">
        <is>
          <t>Information Technology</t>
        </is>
      </c>
      <c r="E338" s="86" t="n">
        <v>2026</v>
      </c>
      <c r="F338" s="89" t="n">
        <v>151880</v>
      </c>
      <c r="G338" s="89" t="n">
        <v>36944</v>
      </c>
      <c r="H338" s="89" t="n">
        <v>38658</v>
      </c>
      <c r="I338" s="89" t="n">
        <v>119139</v>
      </c>
      <c r="J338" s="89" t="n">
        <v>155648</v>
      </c>
      <c r="K338" s="89" t="n">
        <v>10328</v>
      </c>
      <c r="L338" s="89" t="n">
        <v>67535</v>
      </c>
      <c r="M338" s="89" t="n">
        <v>10593</v>
      </c>
      <c r="N338" s="89" t="n">
        <v>13193</v>
      </c>
      <c r="O338" s="89" t="n">
        <v>39297</v>
      </c>
      <c r="P338" s="89" t="n">
        <v>42656</v>
      </c>
      <c r="Q338" s="89" t="n">
        <v>32648</v>
      </c>
      <c r="R338" s="89" t="n">
        <v>20123</v>
      </c>
      <c r="S338" s="89" t="n">
        <v>2284</v>
      </c>
      <c r="T338" s="89" t="n">
        <v>8112</v>
      </c>
      <c r="U338" s="89" t="n">
        <v>5334</v>
      </c>
      <c r="V338" s="89" t="n">
        <v>1935</v>
      </c>
      <c r="W338" s="89" t="n">
        <v>137175</v>
      </c>
      <c r="X338" s="89" t="n">
        <v>34482</v>
      </c>
      <c r="Y338" s="89" t="n">
        <v>33142</v>
      </c>
      <c r="Z338" s="89" t="n">
        <v>109783</v>
      </c>
      <c r="AA338" s="89" t="n">
        <v>5797</v>
      </c>
      <c r="AB338" s="89" t="n">
        <v>62753</v>
      </c>
      <c r="AC338" s="89" t="n">
        <v>6023</v>
      </c>
      <c r="AD338" s="89" t="n">
        <v>13445</v>
      </c>
      <c r="AE338" s="89" t="n">
        <v>35551</v>
      </c>
      <c r="AF338" s="89" t="n">
        <v>45052</v>
      </c>
      <c r="AG338" s="89" t="n">
        <v>27307</v>
      </c>
      <c r="AH338" s="89" t="n">
        <v>62753</v>
      </c>
      <c r="AI338" s="89" t="n">
        <v>137175</v>
      </c>
      <c r="AJ338" s="89" t="n">
        <v>10328</v>
      </c>
      <c r="AK338" s="89" t="n">
        <v>5797</v>
      </c>
      <c r="AL338" s="89" t="n">
        <v>-242</v>
      </c>
      <c r="AM338" s="89" t="n">
        <v>-218</v>
      </c>
      <c r="AN338" s="89" t="n">
        <v>1091</v>
      </c>
      <c r="AO338" s="89" t="n">
        <v>1048</v>
      </c>
      <c r="AP338" s="89" t="n">
        <v>1220</v>
      </c>
      <c r="AQ338" s="89" t="n">
        <v>1289</v>
      </c>
      <c r="AR338" s="89" t="n">
        <v>67717</v>
      </c>
      <c r="AS338" s="89" t="n">
        <v>11391</v>
      </c>
      <c r="AT338" s="89" t="n">
        <v>6424</v>
      </c>
      <c r="AU338" s="89" t="n">
        <v>8316</v>
      </c>
      <c r="AV338" s="89" t="n">
        <v>13587</v>
      </c>
      <c r="AW338" s="89" t="n">
        <v>13947</v>
      </c>
      <c r="AX338" s="89" t="n">
        <v>49080</v>
      </c>
      <c r="AY338" s="89" t="n">
        <v>50141</v>
      </c>
      <c r="AZ338" s="89" t="n">
        <v>35493</v>
      </c>
      <c r="BA338" s="89" t="n">
        <v>12102</v>
      </c>
      <c r="BB338" s="89" t="n">
        <v>937</v>
      </c>
      <c r="BC338" s="89" t="n">
        <v>926.3</v>
      </c>
      <c r="BD338" s="89" t="n">
        <v>6804</v>
      </c>
      <c r="BE338" s="89" t="n">
        <v>5694</v>
      </c>
      <c r="BF338" s="89" t="n">
        <v>19688</v>
      </c>
      <c r="BG338" s="89" t="n">
        <v>2168</v>
      </c>
      <c r="BH338" s="89" t="n">
        <v>-10302</v>
      </c>
      <c r="BI338" s="89" t="n">
        <v>-4937</v>
      </c>
      <c r="BJ338" s="89" t="n">
        <v>4756</v>
      </c>
      <c r="BK338" s="89" t="n">
        <v>4032</v>
      </c>
      <c r="BL338" s="89" t="n">
        <v>16101</v>
      </c>
      <c r="BM338" s="89" t="n">
        <v>13907</v>
      </c>
      <c r="BN338" s="89" t="n">
        <v>2347</v>
      </c>
      <c r="BO338" s="89" t="n">
        <v>28239</v>
      </c>
      <c r="BP338" s="89" t="n">
        <v>27201</v>
      </c>
      <c r="BQ338" s="89" t="n">
        <v>0</v>
      </c>
      <c r="BR338" s="89" t="n">
        <v>0</v>
      </c>
      <c r="BS338" s="89" t="n">
        <v>0</v>
      </c>
      <c r="BT338" s="89" t="n">
        <v>0</v>
      </c>
      <c r="BU338" s="89" t="n">
        <v>0</v>
      </c>
      <c r="BV338" s="89" t="n">
        <v>0</v>
      </c>
      <c r="BW338" s="89" t="n">
        <v>0</v>
      </c>
      <c r="BX338" s="89" t="n">
        <v>0</v>
      </c>
      <c r="BY338" s="89" t="n">
        <v>-0</v>
      </c>
    </row>
    <row r="339" ht="17" customHeight="1">
      <c r="A339" s="82" t="n">
        <v>337</v>
      </c>
      <c r="B339" s="83" t="inlineStr">
        <is>
          <t>BOX</t>
        </is>
      </c>
      <c r="C339" s="84" t="inlineStr">
        <is>
          <t>Box, Inc.</t>
        </is>
      </c>
      <c r="D339" s="82" t="inlineStr">
        <is>
          <t>Information Technology</t>
        </is>
      </c>
      <c r="E339" s="82" t="n">
        <v>2026</v>
      </c>
      <c r="F339" s="85" t="n">
        <v>1546.1</v>
      </c>
      <c r="G339" s="85" t="n">
        <v>891.3</v>
      </c>
      <c r="H339" s="85" t="n">
        <v>802.7</v>
      </c>
      <c r="I339" s="85" t="n">
        <v>1349</v>
      </c>
      <c r="J339" s="85" t="n">
        <v>-846.8</v>
      </c>
      <c r="K339" s="85" t="n">
        <v>83.2</v>
      </c>
      <c r="L339" s="85" t="n">
        <v>506.1</v>
      </c>
      <c r="M339" s="85" t="n">
        <v>115.4</v>
      </c>
      <c r="N339" s="85" t="n">
        <v>356.4</v>
      </c>
      <c r="O339" s="85" t="n">
        <v>932.6</v>
      </c>
      <c r="P339" s="85" t="n">
        <v>451</v>
      </c>
      <c r="Q339" s="85" t="n">
        <v>-299.3</v>
      </c>
      <c r="R339" s="85" t="n">
        <v>150.9</v>
      </c>
      <c r="S339" s="85" t="n">
        <v>32.9</v>
      </c>
      <c r="T339" s="85" t="n">
        <v>325.1</v>
      </c>
      <c r="U339" s="85" t="n">
        <v>23.8</v>
      </c>
      <c r="V339" s="85" t="n">
        <v>10.7</v>
      </c>
      <c r="W339" s="85" t="n">
        <v>1667.5</v>
      </c>
      <c r="X339" s="85" t="n">
        <v>1097.8</v>
      </c>
      <c r="Y339" s="85" t="n">
        <v>922.1</v>
      </c>
      <c r="Z339" s="85" t="n">
        <v>1470.2</v>
      </c>
      <c r="AA339" s="85" t="n">
        <v>79.59999999999999</v>
      </c>
      <c r="AB339" s="85" t="n">
        <v>398.6</v>
      </c>
      <c r="AC339" s="85" t="n">
        <v>244.6</v>
      </c>
      <c r="AD339" s="85" t="n">
        <v>332.3</v>
      </c>
      <c r="AE339" s="85" t="n">
        <v>862</v>
      </c>
      <c r="AF339" s="85" t="n">
        <v>448.6</v>
      </c>
      <c r="AG339" s="85" t="n">
        <v>-297</v>
      </c>
      <c r="AH339" s="85" t="n">
        <v>398.6</v>
      </c>
      <c r="AI339" s="85" t="n">
        <v>1667.5</v>
      </c>
      <c r="AJ339" s="85" t="n">
        <v>98.7</v>
      </c>
      <c r="AK339" s="85" t="n">
        <v>85.2</v>
      </c>
      <c r="AL339" s="85" t="n">
        <v>-16.7</v>
      </c>
      <c r="AM339" s="85" t="n">
        <v>-159.5</v>
      </c>
      <c r="AN339" s="85" t="n">
        <v>6.1</v>
      </c>
      <c r="AO339" s="85" t="n">
        <v>2.6</v>
      </c>
      <c r="AP339" s="91" t="inlineStr">
        <is>
          <t>N/A</t>
        </is>
      </c>
      <c r="AQ339" s="91" t="inlineStr">
        <is>
          <t>N/A</t>
        </is>
      </c>
      <c r="AR339" s="85" t="n">
        <v>82.3</v>
      </c>
      <c r="AS339" s="85" t="n">
        <v>94.3</v>
      </c>
      <c r="AT339" s="91" t="inlineStr">
        <is>
          <t>N/A</t>
        </is>
      </c>
      <c r="AU339" s="85" t="n">
        <v>294.5</v>
      </c>
      <c r="AV339" s="85" t="n">
        <v>375.1</v>
      </c>
      <c r="AW339" s="85" t="n">
        <v>624.6</v>
      </c>
      <c r="AX339" s="85" t="n">
        <v>451</v>
      </c>
      <c r="AY339" s="85" t="n">
        <v>448.6</v>
      </c>
      <c r="AZ339" s="85" t="n">
        <v>75.90000000000001</v>
      </c>
      <c r="BA339" s="85" t="n">
        <v>350.4</v>
      </c>
      <c r="BB339" s="85" t="n">
        <v>140.9</v>
      </c>
      <c r="BC339" s="85" t="n">
        <v>144.1</v>
      </c>
      <c r="BD339" s="85" t="n">
        <v>292.7</v>
      </c>
      <c r="BE339" s="85" t="n">
        <v>25</v>
      </c>
      <c r="BF339" s="85" t="n">
        <v>137.4</v>
      </c>
      <c r="BG339" s="85" t="n">
        <v>22.1</v>
      </c>
      <c r="BH339" s="85" t="n">
        <v>-42.7</v>
      </c>
      <c r="BI339" s="85" t="n">
        <v>-23.2</v>
      </c>
      <c r="BJ339" s="85" t="n">
        <v>4.5</v>
      </c>
      <c r="BK339" s="85" t="n">
        <v>16.8</v>
      </c>
      <c r="BL339" s="85" t="n">
        <v>291.9</v>
      </c>
      <c r="BM339" s="85" t="n">
        <v>228.7</v>
      </c>
      <c r="BN339" s="91" t="inlineStr">
        <is>
          <t>N/A</t>
        </is>
      </c>
      <c r="BO339" s="85" t="n">
        <v>244.6</v>
      </c>
      <c r="BP339" s="85" t="n">
        <v>228.1</v>
      </c>
      <c r="BQ339" s="85" t="n">
        <v>0</v>
      </c>
      <c r="BR339" s="85" t="n">
        <v>0</v>
      </c>
      <c r="BS339" s="91" t="inlineStr">
        <is>
          <t>N/A</t>
        </is>
      </c>
      <c r="BT339" s="91" t="inlineStr">
        <is>
          <t>N/A</t>
        </is>
      </c>
      <c r="BU339" s="85" t="n">
        <v>0</v>
      </c>
      <c r="BV339" s="85" t="n">
        <v>0</v>
      </c>
      <c r="BW339" s="85" t="n">
        <v>0</v>
      </c>
      <c r="BX339" s="85" t="n">
        <v>0</v>
      </c>
      <c r="BY339" s="85" t="n">
        <v>-0</v>
      </c>
    </row>
    <row r="340" ht="17" customHeight="1">
      <c r="A340" s="86" t="n">
        <v>338</v>
      </c>
      <c r="B340" s="87" t="inlineStr">
        <is>
          <t>PNC</t>
        </is>
      </c>
      <c r="C340" s="88" t="inlineStr">
        <is>
          <t>PNC FINANCIAL SERVICES GROUP, INC.</t>
        </is>
      </c>
      <c r="D340" s="86" t="inlineStr">
        <is>
          <t>Financials</t>
        </is>
      </c>
      <c r="E340" s="86" t="n">
        <v>2026</v>
      </c>
      <c r="F340" s="89" t="n">
        <v>573572</v>
      </c>
      <c r="G340" s="90" t="inlineStr">
        <is>
          <t>N/A</t>
        </is>
      </c>
      <c r="H340" s="90" t="inlineStr">
        <is>
          <t>N/A</t>
        </is>
      </c>
      <c r="I340" s="89" t="n">
        <v>512936</v>
      </c>
      <c r="J340" s="89" t="n">
        <v>63266</v>
      </c>
      <c r="K340" s="89" t="n">
        <v>8486</v>
      </c>
      <c r="L340" s="89" t="n">
        <v>23099</v>
      </c>
      <c r="M340" s="89" t="n">
        <v>6997</v>
      </c>
      <c r="N340" s="89" t="n">
        <v>4384</v>
      </c>
      <c r="O340" s="90" t="inlineStr">
        <is>
          <t>N/A</t>
        </is>
      </c>
      <c r="P340" s="89" t="n">
        <v>57101</v>
      </c>
      <c r="Q340" s="89" t="n">
        <v>60585</v>
      </c>
      <c r="R340" s="90" t="inlineStr">
        <is>
          <t>N/A</t>
        </is>
      </c>
      <c r="S340" s="89" t="n">
        <v>381</v>
      </c>
      <c r="T340" s="90" t="inlineStr">
        <is>
          <t>N/A</t>
        </is>
      </c>
      <c r="U340" s="89" t="n">
        <v>8935</v>
      </c>
      <c r="V340" s="89" t="n">
        <v>10392</v>
      </c>
      <c r="W340" s="89" t="n">
        <v>560038</v>
      </c>
      <c r="X340" s="90" t="inlineStr">
        <is>
          <t>N/A</t>
        </is>
      </c>
      <c r="Y340" s="90" t="inlineStr">
        <is>
          <t>N/A</t>
        </is>
      </c>
      <c r="Z340" s="89" t="n">
        <v>505569</v>
      </c>
      <c r="AA340" s="89" t="n">
        <v>7242</v>
      </c>
      <c r="AB340" s="89" t="n">
        <v>21555</v>
      </c>
      <c r="AC340" s="89" t="n">
        <v>5953</v>
      </c>
      <c r="AD340" s="89" t="n">
        <v>7880</v>
      </c>
      <c r="AE340" s="90" t="inlineStr">
        <is>
          <t>N/A</t>
        </is>
      </c>
      <c r="AF340" s="89" t="n">
        <v>61673</v>
      </c>
      <c r="AG340" s="89" t="n">
        <v>54425</v>
      </c>
      <c r="AH340" s="89" t="n">
        <v>21555</v>
      </c>
      <c r="AI340" s="89" t="n">
        <v>560038</v>
      </c>
      <c r="AJ340" s="89" t="n">
        <v>8486</v>
      </c>
      <c r="AK340" s="89" t="n">
        <v>7242</v>
      </c>
      <c r="AL340" s="89" t="n">
        <v>1489</v>
      </c>
      <c r="AM340" s="89" t="n">
        <v>1289</v>
      </c>
      <c r="AN340" s="90" t="inlineStr">
        <is>
          <t>N/A</t>
        </is>
      </c>
      <c r="AO340" s="90" t="inlineStr">
        <is>
          <t>N/A</t>
        </is>
      </c>
      <c r="AP340" s="90" t="inlineStr">
        <is>
          <t>N/A</t>
        </is>
      </c>
      <c r="AQ340" s="90" t="inlineStr">
        <is>
          <t>N/A</t>
        </is>
      </c>
      <c r="AR340" s="89" t="n">
        <v>10959</v>
      </c>
      <c r="AS340" s="89" t="n">
        <v>1797</v>
      </c>
      <c r="AT340" s="90" t="inlineStr">
        <is>
          <t>N/A</t>
        </is>
      </c>
      <c r="AU340" s="90" t="inlineStr">
        <is>
          <t>N/A</t>
        </is>
      </c>
      <c r="AV340" s="90" t="inlineStr">
        <is>
          <t>N/A</t>
        </is>
      </c>
      <c r="AW340" s="90" t="inlineStr">
        <is>
          <t>N/A</t>
        </is>
      </c>
      <c r="AX340" s="89" t="n">
        <v>57101</v>
      </c>
      <c r="AY340" s="89" t="n">
        <v>61673</v>
      </c>
      <c r="AZ340" s="89" t="n">
        <v>57101</v>
      </c>
      <c r="BA340" s="90" t="inlineStr">
        <is>
          <t>N/A</t>
        </is>
      </c>
      <c r="BB340" s="89" t="n">
        <v>523</v>
      </c>
      <c r="BC340" s="89" t="n">
        <v>543.3</v>
      </c>
      <c r="BD340" s="90" t="inlineStr">
        <is>
          <t>N/A</t>
        </is>
      </c>
      <c r="BE340" s="89" t="n">
        <v>8672</v>
      </c>
      <c r="BF340" s="90" t="inlineStr">
        <is>
          <t>N/A</t>
        </is>
      </c>
      <c r="BG340" s="89" t="n">
        <v>259</v>
      </c>
      <c r="BH340" s="89" t="n">
        <v>-15617</v>
      </c>
      <c r="BI340" s="89" t="n">
        <v>-3232</v>
      </c>
      <c r="BJ340" s="90" t="inlineStr">
        <is>
          <t>N/A</t>
        </is>
      </c>
      <c r="BK340" s="90" t="inlineStr">
        <is>
          <t>N/A</t>
        </is>
      </c>
      <c r="BL340" s="90" t="inlineStr">
        <is>
          <t>N/A</t>
        </is>
      </c>
      <c r="BM340" s="90" t="inlineStr">
        <is>
          <t>N/A</t>
        </is>
      </c>
      <c r="BN340" s="90" t="inlineStr">
        <is>
          <t>N/A</t>
        </is>
      </c>
      <c r="BO340" s="90" t="inlineStr">
        <is>
          <t>N/A</t>
        </is>
      </c>
      <c r="BP340" s="90" t="inlineStr">
        <is>
          <t>N/A</t>
        </is>
      </c>
      <c r="BQ340" s="90" t="inlineStr">
        <is>
          <t>N/A</t>
        </is>
      </c>
      <c r="BR340" s="90" t="inlineStr">
        <is>
          <t>N/A</t>
        </is>
      </c>
      <c r="BS340" s="90" t="inlineStr">
        <is>
          <t>N/A</t>
        </is>
      </c>
      <c r="BT340" s="90" t="inlineStr">
        <is>
          <t>N/A</t>
        </is>
      </c>
      <c r="BU340" s="90" t="inlineStr">
        <is>
          <t>N/A</t>
        </is>
      </c>
      <c r="BV340" s="90" t="inlineStr">
        <is>
          <t>N/A</t>
        </is>
      </c>
      <c r="BW340" s="89" t="n">
        <v>0</v>
      </c>
      <c r="BX340" s="89" t="n">
        <v>0</v>
      </c>
      <c r="BY340" s="89" t="n">
        <v>0</v>
      </c>
    </row>
    <row r="341" ht="17" customHeight="1">
      <c r="A341" s="82" t="n">
        <v>339</v>
      </c>
      <c r="B341" s="83" t="inlineStr">
        <is>
          <t>TWLO</t>
        </is>
      </c>
      <c r="C341" s="84" t="inlineStr">
        <is>
          <t>TWILIO INC.</t>
        </is>
      </c>
      <c r="D341" s="82" t="inlineStr">
        <is>
          <t>Information Technology</t>
        </is>
      </c>
      <c r="E341" s="82" t="n">
        <v>2026</v>
      </c>
      <c r="F341" s="85" t="n">
        <v>9770.9</v>
      </c>
      <c r="G341" s="85" t="n">
        <v>3576.7</v>
      </c>
      <c r="H341" s="85" t="n">
        <v>887</v>
      </c>
      <c r="I341" s="85" t="n">
        <v>1949.3</v>
      </c>
      <c r="J341" s="85" t="n">
        <v>-8342.5</v>
      </c>
      <c r="K341" s="85" t="n">
        <v>157.8</v>
      </c>
      <c r="L341" s="85" t="n">
        <v>399</v>
      </c>
      <c r="M341" s="85" t="n">
        <v>33.8</v>
      </c>
      <c r="N341" s="85" t="n">
        <v>1003.2</v>
      </c>
      <c r="O341" s="85" t="n">
        <v>2478.7</v>
      </c>
      <c r="P341" s="85" t="n">
        <v>992.3</v>
      </c>
      <c r="Q341" s="85" t="n">
        <v>7821.5</v>
      </c>
      <c r="R341" s="85" t="n">
        <v>410.7</v>
      </c>
      <c r="S341" s="85" t="n">
        <v>195.4</v>
      </c>
      <c r="T341" s="85" t="n">
        <v>636.7</v>
      </c>
      <c r="U341" s="85" t="n">
        <v>141.3</v>
      </c>
      <c r="V341" s="91" t="inlineStr">
        <is>
          <t>N/A</t>
        </is>
      </c>
      <c r="W341" s="85" t="n">
        <v>9865.5</v>
      </c>
      <c r="X341" s="85" t="n">
        <v>3447.3</v>
      </c>
      <c r="Y341" s="85" t="n">
        <v>820.2</v>
      </c>
      <c r="Z341" s="85" t="n">
        <v>1912.5</v>
      </c>
      <c r="AA341" s="85" t="n">
        <v>-53.7</v>
      </c>
      <c r="AB341" s="85" t="n">
        <v>277.3</v>
      </c>
      <c r="AC341" s="85" t="n">
        <v>-109.4</v>
      </c>
      <c r="AD341" s="85" t="n">
        <v>716.2</v>
      </c>
      <c r="AE341" s="85" t="n">
        <v>2278.2</v>
      </c>
      <c r="AF341" s="85" t="n">
        <v>990.6</v>
      </c>
      <c r="AG341" s="85" t="n">
        <v>7953</v>
      </c>
      <c r="AH341" s="85" t="n">
        <v>277.3</v>
      </c>
      <c r="AI341" s="85" t="n">
        <v>9865.5</v>
      </c>
      <c r="AJ341" s="85" t="n">
        <v>55.1</v>
      </c>
      <c r="AK341" s="85" t="n">
        <v>-88.59999999999999</v>
      </c>
      <c r="AL341" s="85" t="n">
        <v>21.3</v>
      </c>
      <c r="AM341" s="85" t="n">
        <v>20.8</v>
      </c>
      <c r="AN341" s="85" t="n">
        <v>46</v>
      </c>
      <c r="AO341" s="85" t="n">
        <v>25.8</v>
      </c>
      <c r="AP341" s="91" t="inlineStr">
        <is>
          <t>N/A</t>
        </is>
      </c>
      <c r="AQ341" s="91" t="inlineStr">
        <is>
          <t>N/A</t>
        </is>
      </c>
      <c r="AR341" s="85" t="n">
        <v>5291.8</v>
      </c>
      <c r="AS341" s="85" t="n">
        <v>136.8</v>
      </c>
      <c r="AT341" s="91" t="inlineStr">
        <is>
          <t>N/A</t>
        </is>
      </c>
      <c r="AU341" s="85" t="n">
        <v>1020.2</v>
      </c>
      <c r="AV341" s="85" t="n">
        <v>682.3</v>
      </c>
      <c r="AW341" s="85" t="n">
        <v>421.3</v>
      </c>
      <c r="AX341" s="85" t="n">
        <v>992.3</v>
      </c>
      <c r="AY341" s="85" t="n">
        <v>990.6</v>
      </c>
      <c r="AZ341" s="85" t="n">
        <v>310</v>
      </c>
      <c r="BA341" s="85" t="n">
        <v>957.2</v>
      </c>
      <c r="BB341" s="85" t="n">
        <v>152.4</v>
      </c>
      <c r="BC341" s="85" t="n">
        <v>152.6</v>
      </c>
      <c r="BD341" s="85" t="n">
        <v>588.5</v>
      </c>
      <c r="BE341" s="85" t="n">
        <v>63.5</v>
      </c>
      <c r="BF341" s="85" t="n">
        <v>449.1</v>
      </c>
      <c r="BG341" s="85" t="n">
        <v>206</v>
      </c>
      <c r="BH341" s="85" t="n">
        <v>80.90000000000001</v>
      </c>
      <c r="BI341" s="85" t="n">
        <v>1370.8</v>
      </c>
      <c r="BJ341" s="85" t="n">
        <v>85.09999999999999</v>
      </c>
      <c r="BK341" s="85" t="n">
        <v>100.2</v>
      </c>
      <c r="BL341" s="85" t="n">
        <v>13.8</v>
      </c>
      <c r="BM341" s="85" t="n">
        <v>10.2</v>
      </c>
      <c r="BN341" s="85" t="n">
        <v>58.3</v>
      </c>
      <c r="BO341" s="85" t="n">
        <v>2588.5</v>
      </c>
      <c r="BP341" s="85" t="n">
        <v>2179.8</v>
      </c>
      <c r="BQ341" s="85" t="n">
        <v>0</v>
      </c>
      <c r="BR341" s="85" t="n">
        <v>0</v>
      </c>
      <c r="BS341" s="91" t="inlineStr">
        <is>
          <t>N/A</t>
        </is>
      </c>
      <c r="BT341" s="91" t="inlineStr">
        <is>
          <t>N/A</t>
        </is>
      </c>
      <c r="BU341" s="85" t="n">
        <v>0</v>
      </c>
      <c r="BV341" s="85" t="n">
        <v>0</v>
      </c>
      <c r="BW341" s="85" t="n">
        <v>0</v>
      </c>
      <c r="BX341" s="85" t="n">
        <v>0</v>
      </c>
      <c r="BY341" s="85" t="n">
        <v>0</v>
      </c>
    </row>
    <row r="342" ht="17" customHeight="1">
      <c r="A342" s="86" t="n">
        <v>340</v>
      </c>
      <c r="B342" s="87" t="inlineStr">
        <is>
          <t>EXC</t>
        </is>
      </c>
      <c r="C342" s="88" t="inlineStr">
        <is>
          <t>EXELON CORPORATION</t>
        </is>
      </c>
      <c r="D342" s="86" t="inlineStr">
        <is>
          <t>Utilities</t>
        </is>
      </c>
      <c r="E342" s="86" t="n">
        <v>2026</v>
      </c>
      <c r="F342" s="89" t="n">
        <v>116570</v>
      </c>
      <c r="G342" s="89" t="n">
        <v>9546</v>
      </c>
      <c r="H342" s="89" t="n">
        <v>10331</v>
      </c>
      <c r="I342" s="89" t="n">
        <v>87772</v>
      </c>
      <c r="J342" s="89" t="n">
        <v>7577</v>
      </c>
      <c r="K342" s="89" t="n">
        <v>5148</v>
      </c>
      <c r="L342" s="89" t="n">
        <v>24258</v>
      </c>
      <c r="M342" s="89" t="n">
        <v>1171</v>
      </c>
      <c r="N342" s="89" t="n">
        <v>6254</v>
      </c>
      <c r="O342" s="89" t="n">
        <v>8497</v>
      </c>
      <c r="P342" s="89" t="n">
        <v>49428</v>
      </c>
      <c r="Q342" s="89" t="n">
        <v>28798</v>
      </c>
      <c r="R342" s="90" t="inlineStr">
        <is>
          <t>N/A</t>
        </is>
      </c>
      <c r="S342" s="89" t="n">
        <v>3325</v>
      </c>
      <c r="T342" s="89" t="n">
        <v>3297</v>
      </c>
      <c r="U342" s="89" t="n">
        <v>84318</v>
      </c>
      <c r="V342" s="89" t="n">
        <v>1610</v>
      </c>
      <c r="W342" s="89" t="n">
        <v>107784</v>
      </c>
      <c r="X342" s="89" t="n">
        <v>8384</v>
      </c>
      <c r="Y342" s="89" t="n">
        <v>9611</v>
      </c>
      <c r="Z342" s="89" t="n">
        <v>80863</v>
      </c>
      <c r="AA342" s="89" t="n">
        <v>4319</v>
      </c>
      <c r="AB342" s="89" t="n">
        <v>23028</v>
      </c>
      <c r="AC342" s="89" t="n">
        <v>378</v>
      </c>
      <c r="AD342" s="89" t="n">
        <v>5569</v>
      </c>
      <c r="AE342" s="89" t="n">
        <v>-10797</v>
      </c>
      <c r="AF342" s="89" t="n">
        <v>44668</v>
      </c>
      <c r="AG342" s="89" t="n">
        <v>26921</v>
      </c>
      <c r="AH342" s="89" t="n">
        <v>23028</v>
      </c>
      <c r="AI342" s="89" t="n">
        <v>107784</v>
      </c>
      <c r="AJ342" s="89" t="n">
        <v>3291</v>
      </c>
      <c r="AK342" s="89" t="n">
        <v>2667</v>
      </c>
      <c r="AL342" s="89" t="n">
        <v>523</v>
      </c>
      <c r="AM342" s="89" t="n">
        <v>207</v>
      </c>
      <c r="AN342" s="89" t="n">
        <v>8529</v>
      </c>
      <c r="AO342" s="89" t="n">
        <v>7097</v>
      </c>
      <c r="AP342" s="90" t="inlineStr">
        <is>
          <t>N/A</t>
        </is>
      </c>
      <c r="AQ342" s="90" t="inlineStr">
        <is>
          <t>N/A</t>
        </is>
      </c>
      <c r="AR342" s="89" t="n">
        <v>6630</v>
      </c>
      <c r="AS342" s="89" t="n">
        <v>-25</v>
      </c>
      <c r="AT342" s="89" t="n">
        <v>612</v>
      </c>
      <c r="AU342" s="90" t="inlineStr">
        <is>
          <t>N/A</t>
        </is>
      </c>
      <c r="AV342" s="89" t="n">
        <v>626</v>
      </c>
      <c r="AW342" s="89" t="n">
        <v>357</v>
      </c>
      <c r="AX342" s="89" t="n">
        <v>50040</v>
      </c>
      <c r="AY342" s="89" t="n">
        <v>46527</v>
      </c>
      <c r="AZ342" s="89" t="n">
        <v>49414</v>
      </c>
      <c r="BA342" s="89" t="n">
        <v>-2275</v>
      </c>
      <c r="BB342" s="89" t="n">
        <v>1023</v>
      </c>
      <c r="BC342" s="89" t="n">
        <v>1005</v>
      </c>
      <c r="BD342" s="89" t="n">
        <v>2738</v>
      </c>
      <c r="BE342" s="89" t="n">
        <v>78182</v>
      </c>
      <c r="BF342" s="90" t="inlineStr">
        <is>
          <t>N/A</t>
        </is>
      </c>
      <c r="BG342" s="89" t="n">
        <v>6036</v>
      </c>
      <c r="BH342" s="89" t="n">
        <v>-8525</v>
      </c>
      <c r="BI342" s="89" t="n">
        <v>-7042</v>
      </c>
      <c r="BJ342" s="89" t="n">
        <v>3382</v>
      </c>
      <c r="BK342" s="89" t="n">
        <v>4136</v>
      </c>
      <c r="BL342" s="89" t="n">
        <v>119</v>
      </c>
      <c r="BM342" s="89" t="n">
        <v>127</v>
      </c>
      <c r="BN342" s="89" t="n">
        <v>242</v>
      </c>
      <c r="BO342" s="89" t="n">
        <v>15761</v>
      </c>
      <c r="BP342" s="89" t="n">
        <v>33825</v>
      </c>
      <c r="BQ342" s="89" t="n">
        <v>0</v>
      </c>
      <c r="BR342" s="89" t="n">
        <v>0</v>
      </c>
      <c r="BS342" s="90" t="inlineStr">
        <is>
          <t>N/A</t>
        </is>
      </c>
      <c r="BT342" s="90" t="inlineStr">
        <is>
          <t>N/A</t>
        </is>
      </c>
      <c r="BU342" s="89" t="n">
        <v>0</v>
      </c>
      <c r="BV342" s="89" t="n">
        <v>0</v>
      </c>
      <c r="BW342" s="89" t="n">
        <v>0</v>
      </c>
      <c r="BX342" s="89" t="n">
        <v>0</v>
      </c>
      <c r="BY342" s="89" t="n">
        <v>0</v>
      </c>
    </row>
    <row r="343" ht="17" customHeight="1">
      <c r="A343" s="82" t="n">
        <v>341</v>
      </c>
      <c r="B343" s="83" t="inlineStr">
        <is>
          <t>SNA</t>
        </is>
      </c>
      <c r="C343" s="84" t="inlineStr">
        <is>
          <t>Snap-on Inc</t>
        </is>
      </c>
      <c r="D343" s="82" t="inlineStr">
        <is>
          <t>Industrials</t>
        </is>
      </c>
      <c r="E343" s="82" t="n">
        <v>2026</v>
      </c>
      <c r="F343" s="85" t="n">
        <v>8412.299999999999</v>
      </c>
      <c r="G343" s="85" t="n">
        <v>4402.8</v>
      </c>
      <c r="H343" s="85" t="n">
        <v>918.5</v>
      </c>
      <c r="I343" s="85" t="n">
        <v>2455.5</v>
      </c>
      <c r="J343" s="85" t="n">
        <v>8137.5</v>
      </c>
      <c r="K343" s="85" t="n">
        <v>1327.7</v>
      </c>
      <c r="L343" s="85" t="n">
        <v>5156.1</v>
      </c>
      <c r="M343" s="85" t="n">
        <v>1016.9</v>
      </c>
      <c r="N343" s="85" t="n">
        <v>1081.7</v>
      </c>
      <c r="O343" s="85" t="n">
        <v>1824.9</v>
      </c>
      <c r="P343" s="85" t="n">
        <v>1202.6</v>
      </c>
      <c r="Q343" s="85" t="n">
        <v>5931.8</v>
      </c>
      <c r="R343" s="91" t="inlineStr">
        <is>
          <t>N/A</t>
        </is>
      </c>
      <c r="S343" s="85" t="n">
        <v>98.5</v>
      </c>
      <c r="T343" s="85" t="n">
        <v>881.4</v>
      </c>
      <c r="U343" s="85" t="n">
        <v>495.1</v>
      </c>
      <c r="V343" s="85" t="n">
        <v>49.9</v>
      </c>
      <c r="W343" s="85" t="n">
        <v>7896.8</v>
      </c>
      <c r="X343" s="85" t="n">
        <v>3989.4</v>
      </c>
      <c r="Y343" s="85" t="n">
        <v>961.5</v>
      </c>
      <c r="Z343" s="85" t="n">
        <v>2479.8</v>
      </c>
      <c r="AA343" s="85" t="n">
        <v>1345.7</v>
      </c>
      <c r="AB343" s="85" t="n">
        <v>5108.4</v>
      </c>
      <c r="AC343" s="85" t="n">
        <v>1043.9</v>
      </c>
      <c r="AD343" s="85" t="n">
        <v>1217.5</v>
      </c>
      <c r="AE343" s="85" t="n">
        <v>465.3</v>
      </c>
      <c r="AF343" s="85" t="n">
        <v>1199.2</v>
      </c>
      <c r="AG343" s="85" t="n">
        <v>5394.1</v>
      </c>
      <c r="AH343" s="85" t="n">
        <v>5108.4</v>
      </c>
      <c r="AI343" s="85" t="n">
        <v>7896.8</v>
      </c>
      <c r="AJ343" s="85" t="n">
        <v>1335.9</v>
      </c>
      <c r="AK343" s="85" t="n">
        <v>1373.1</v>
      </c>
      <c r="AL343" s="85" t="n">
        <v>293.6</v>
      </c>
      <c r="AM343" s="85" t="n">
        <v>304.2</v>
      </c>
      <c r="AN343" s="85" t="n">
        <v>76</v>
      </c>
      <c r="AO343" s="85" t="n">
        <v>83.5</v>
      </c>
      <c r="AP343" s="85" t="n">
        <v>1025.2</v>
      </c>
      <c r="AQ343" s="85" t="n">
        <v>943.4</v>
      </c>
      <c r="AR343" s="85" t="n">
        <v>1109.5</v>
      </c>
      <c r="AS343" s="85" t="n">
        <v>132.2</v>
      </c>
      <c r="AT343" s="85" t="n">
        <v>16.2</v>
      </c>
      <c r="AU343" s="85" t="n">
        <v>72.40000000000001</v>
      </c>
      <c r="AV343" s="85" t="n">
        <v>1624.5</v>
      </c>
      <c r="AW343" s="85" t="n">
        <v>1360.5</v>
      </c>
      <c r="AX343" s="85" t="n">
        <v>1218.8</v>
      </c>
      <c r="AY343" s="85" t="n">
        <v>1212.9</v>
      </c>
      <c r="AZ343" s="85" t="n">
        <v>-405.7</v>
      </c>
      <c r="BA343" s="85" t="n">
        <v>1005.7</v>
      </c>
      <c r="BB343" s="85" t="n">
        <v>67.5</v>
      </c>
      <c r="BC343" s="85" t="n">
        <v>67.5</v>
      </c>
      <c r="BD343" s="85" t="n">
        <v>815.6</v>
      </c>
      <c r="BE343" s="85" t="n">
        <v>495.1</v>
      </c>
      <c r="BF343" s="91" t="inlineStr">
        <is>
          <t>N/A</t>
        </is>
      </c>
      <c r="BG343" s="85" t="n">
        <v>98</v>
      </c>
      <c r="BH343" s="85" t="n">
        <v>-73.09999999999999</v>
      </c>
      <c r="BI343" s="85" t="n">
        <v>-204.1</v>
      </c>
      <c r="BJ343" s="85" t="n">
        <v>229.1</v>
      </c>
      <c r="BK343" s="85" t="n">
        <v>265.9</v>
      </c>
      <c r="BL343" s="85" t="n">
        <v>38.9</v>
      </c>
      <c r="BM343" s="85" t="n">
        <v>43</v>
      </c>
      <c r="BN343" s="85" t="n">
        <v>14.1</v>
      </c>
      <c r="BO343" s="85" t="n">
        <v>1862</v>
      </c>
      <c r="BP343" s="85" t="n">
        <v>1720.8</v>
      </c>
      <c r="BQ343" s="85" t="n">
        <v>0</v>
      </c>
      <c r="BR343" s="85" t="n">
        <v>0</v>
      </c>
      <c r="BS343" s="85" t="n">
        <v>0</v>
      </c>
      <c r="BT343" s="85" t="n">
        <v>0</v>
      </c>
      <c r="BU343" s="85" t="n">
        <v>0</v>
      </c>
      <c r="BV343" s="85" t="n">
        <v>0</v>
      </c>
      <c r="BW343" s="85" t="n">
        <v>0</v>
      </c>
      <c r="BX343" s="85" t="n">
        <v>0</v>
      </c>
      <c r="BY343" s="85" t="n">
        <v>0</v>
      </c>
    </row>
    <row r="344" ht="17" customHeight="1">
      <c r="A344" s="86" t="n">
        <v>342</v>
      </c>
      <c r="B344" s="87" t="inlineStr">
        <is>
          <t>PSX</t>
        </is>
      </c>
      <c r="C344" s="88" t="inlineStr">
        <is>
          <t>Phillips 66</t>
        </is>
      </c>
      <c r="D344" s="86" t="inlineStr">
        <is>
          <t>Energy</t>
        </is>
      </c>
      <c r="E344" s="86" t="n">
        <v>2026</v>
      </c>
      <c r="F344" s="89" t="n">
        <v>73680</v>
      </c>
      <c r="G344" s="89" t="n">
        <v>17271</v>
      </c>
      <c r="H344" s="89" t="n">
        <v>13326</v>
      </c>
      <c r="I344" s="89" t="n">
        <v>43439</v>
      </c>
      <c r="J344" s="89" t="n">
        <v>33239</v>
      </c>
      <c r="K344" s="89" t="n">
        <v>-4964</v>
      </c>
      <c r="L344" s="89" t="n">
        <v>132376</v>
      </c>
      <c r="M344" s="89" t="n">
        <v>4403</v>
      </c>
      <c r="N344" s="89" t="n">
        <v>4962</v>
      </c>
      <c r="O344" s="89" t="n">
        <v>16283</v>
      </c>
      <c r="P344" s="89" t="n">
        <v>1100</v>
      </c>
      <c r="Q344" s="89" t="n">
        <v>29093</v>
      </c>
      <c r="R344" s="89" t="n">
        <v>2437</v>
      </c>
      <c r="S344" s="89" t="n">
        <v>1629</v>
      </c>
      <c r="T344" s="89" t="n">
        <v>9771</v>
      </c>
      <c r="U344" s="89" t="n">
        <v>22018</v>
      </c>
      <c r="V344" s="89" t="n">
        <v>997</v>
      </c>
      <c r="W344" s="89" t="n">
        <v>72582</v>
      </c>
      <c r="X344" s="89" t="n">
        <v>17910</v>
      </c>
      <c r="Y344" s="89" t="n">
        <v>15087</v>
      </c>
      <c r="Z344" s="89" t="n">
        <v>44119</v>
      </c>
      <c r="AA344" s="89" t="n">
        <v>-691</v>
      </c>
      <c r="AB344" s="89" t="n">
        <v>143153</v>
      </c>
      <c r="AC344" s="89" t="n">
        <v>2117</v>
      </c>
      <c r="AD344" s="89" t="n">
        <v>4191</v>
      </c>
      <c r="AE344" s="89" t="n">
        <v>13191</v>
      </c>
      <c r="AF344" s="89" t="n">
        <v>28</v>
      </c>
      <c r="AG344" s="89" t="n">
        <v>27408</v>
      </c>
      <c r="AH344" s="89" t="n">
        <v>143153</v>
      </c>
      <c r="AI344" s="89" t="n">
        <v>72582</v>
      </c>
      <c r="AJ344" s="89" t="n">
        <v>-4964</v>
      </c>
      <c r="AK344" s="89" t="n">
        <v>-691</v>
      </c>
      <c r="AL344" s="89" t="n">
        <v>892</v>
      </c>
      <c r="AM344" s="89" t="n">
        <v>500</v>
      </c>
      <c r="AN344" s="90" t="inlineStr">
        <is>
          <t>N/A</t>
        </is>
      </c>
      <c r="AO344" s="90" t="inlineStr">
        <is>
          <t>N/A</t>
        </is>
      </c>
      <c r="AP344" s="89" t="n">
        <v>5097</v>
      </c>
      <c r="AQ344" s="89" t="n">
        <v>3995</v>
      </c>
      <c r="AR344" s="89" t="n">
        <v>1433</v>
      </c>
      <c r="AS344" s="89" t="n">
        <v>450</v>
      </c>
      <c r="AT344" s="89" t="n">
        <v>1038</v>
      </c>
      <c r="AU344" s="89" t="n">
        <v>6</v>
      </c>
      <c r="AV344" s="89" t="n">
        <v>1116</v>
      </c>
      <c r="AW344" s="89" t="n">
        <v>1738</v>
      </c>
      <c r="AX344" s="89" t="n">
        <v>2138</v>
      </c>
      <c r="AY344" s="89" t="n">
        <v>1859</v>
      </c>
      <c r="AZ344" s="89" t="n">
        <v>1022</v>
      </c>
      <c r="BA344" s="90" t="inlineStr">
        <is>
          <t>N/A</t>
        </is>
      </c>
      <c r="BB344" s="89" t="n">
        <v>659.4</v>
      </c>
      <c r="BC344" s="89" t="n">
        <v>657</v>
      </c>
      <c r="BD344" s="89" t="n">
        <v>11033</v>
      </c>
      <c r="BE344" s="89" t="n">
        <v>22018</v>
      </c>
      <c r="BF344" s="89" t="n">
        <v>2814</v>
      </c>
      <c r="BG344" s="89" t="n">
        <v>1605</v>
      </c>
      <c r="BH344" s="89" t="n">
        <v>-2097</v>
      </c>
      <c r="BI344" s="89" t="n">
        <v>-2463</v>
      </c>
      <c r="BJ344" s="89" t="n">
        <v>10748</v>
      </c>
      <c r="BK344" s="89" t="n">
        <v>7629</v>
      </c>
      <c r="BL344" s="89" t="n">
        <v>198</v>
      </c>
      <c r="BM344" s="89" t="n">
        <v>232</v>
      </c>
      <c r="BN344" s="89" t="n">
        <v>1362</v>
      </c>
      <c r="BO344" s="89" t="n">
        <v>116093</v>
      </c>
      <c r="BP344" s="89" t="n">
        <v>129962</v>
      </c>
      <c r="BQ344" s="89" t="n">
        <v>0</v>
      </c>
      <c r="BR344" s="89" t="n">
        <v>0</v>
      </c>
      <c r="BS344" s="89" t="n">
        <v>0</v>
      </c>
      <c r="BT344" s="89" t="n">
        <v>0</v>
      </c>
      <c r="BU344" s="89" t="n">
        <v>0</v>
      </c>
      <c r="BV344" s="89" t="n">
        <v>0</v>
      </c>
      <c r="BW344" s="89" t="n">
        <v>0</v>
      </c>
      <c r="BX344" s="89" t="n">
        <v>0</v>
      </c>
      <c r="BY344" s="89" t="n">
        <v>-0</v>
      </c>
    </row>
    <row r="345" ht="17" customHeight="1">
      <c r="A345" s="82" t="n">
        <v>343</v>
      </c>
      <c r="B345" s="83" t="inlineStr">
        <is>
          <t>VKTX</t>
        </is>
      </c>
      <c r="C345" s="84" t="inlineStr">
        <is>
          <t>VIKING THERAPEUTICS, INC.</t>
        </is>
      </c>
      <c r="D345" s="82" t="inlineStr">
        <is>
          <t>Health Care</t>
        </is>
      </c>
      <c r="E345" s="82" t="n">
        <v>2026</v>
      </c>
      <c r="F345" s="85" t="n">
        <v>715.7</v>
      </c>
      <c r="G345" s="85" t="n">
        <v>715.6</v>
      </c>
      <c r="H345" s="85" t="n">
        <v>76.7</v>
      </c>
      <c r="I345" s="85" t="n">
        <v>76.7</v>
      </c>
      <c r="J345" s="85" t="n">
        <v>-847.5</v>
      </c>
      <c r="K345" s="85" t="n">
        <v>-393.3</v>
      </c>
      <c r="L345" s="91" t="inlineStr">
        <is>
          <t>N/A</t>
        </is>
      </c>
      <c r="M345" s="85" t="n">
        <v>-359.6</v>
      </c>
      <c r="N345" s="85" t="n">
        <v>-278.7</v>
      </c>
      <c r="O345" s="91" t="inlineStr">
        <is>
          <t>N/A</t>
        </is>
      </c>
      <c r="P345" s="91" t="inlineStr">
        <is>
          <t>N/A</t>
        </is>
      </c>
      <c r="Q345" s="85" t="n">
        <v>639.1</v>
      </c>
      <c r="R345" s="85" t="n">
        <v>48.4</v>
      </c>
      <c r="S345" s="85" t="n">
        <v>40.8</v>
      </c>
      <c r="T345" s="91" t="inlineStr">
        <is>
          <t>N/A</t>
        </is>
      </c>
      <c r="U345" s="91" t="inlineStr">
        <is>
          <t>N/A</t>
        </is>
      </c>
      <c r="V345" s="85" t="n">
        <v>0.1</v>
      </c>
      <c r="W345" s="85" t="n">
        <v>908.3</v>
      </c>
      <c r="X345" s="85" t="n">
        <v>907.2</v>
      </c>
      <c r="Y345" s="85" t="n">
        <v>27.4</v>
      </c>
      <c r="Z345" s="85" t="n">
        <v>28</v>
      </c>
      <c r="AA345" s="85" t="n">
        <v>-150.9</v>
      </c>
      <c r="AB345" s="91" t="inlineStr">
        <is>
          <t>N/A</t>
        </is>
      </c>
      <c r="AC345" s="85" t="n">
        <v>-110</v>
      </c>
      <c r="AD345" s="85" t="n">
        <v>-87.8</v>
      </c>
      <c r="AE345" s="91" t="inlineStr">
        <is>
          <t>N/A</t>
        </is>
      </c>
      <c r="AF345" s="91" t="inlineStr">
        <is>
          <t>N/A</t>
        </is>
      </c>
      <c r="AG345" s="85" t="n">
        <v>880.3</v>
      </c>
      <c r="AH345" s="91" t="inlineStr">
        <is>
          <t>N/A</t>
        </is>
      </c>
      <c r="AI345" s="85" t="n">
        <v>908.3</v>
      </c>
      <c r="AJ345" s="85" t="n">
        <v>-359.6</v>
      </c>
      <c r="AK345" s="85" t="n">
        <v>-110</v>
      </c>
      <c r="AL345" s="85" t="n">
        <v>0</v>
      </c>
      <c r="AM345" s="85" t="n">
        <v>0</v>
      </c>
      <c r="AN345" s="91" t="inlineStr">
        <is>
          <t>N/A</t>
        </is>
      </c>
      <c r="AO345" s="91" t="inlineStr">
        <is>
          <t>N/A</t>
        </is>
      </c>
      <c r="AP345" s="91" t="inlineStr">
        <is>
          <t>N/A</t>
        </is>
      </c>
      <c r="AQ345" s="91" t="inlineStr">
        <is>
          <t>N/A</t>
        </is>
      </c>
      <c r="AR345" s="91" t="inlineStr">
        <is>
          <t>N/A</t>
        </is>
      </c>
      <c r="AS345" s="91" t="inlineStr">
        <is>
          <t>N/A</t>
        </is>
      </c>
      <c r="AT345" s="91" t="inlineStr">
        <is>
          <t>N/A</t>
        </is>
      </c>
      <c r="AU345" s="85" t="n">
        <v>345</v>
      </c>
      <c r="AV345" s="85" t="n">
        <v>165.8</v>
      </c>
      <c r="AW345" s="85" t="n">
        <v>26.7</v>
      </c>
      <c r="AX345" s="91" t="inlineStr">
        <is>
          <t>N/A</t>
        </is>
      </c>
      <c r="AY345" s="91" t="inlineStr">
        <is>
          <t>N/A</t>
        </is>
      </c>
      <c r="AZ345" s="91" t="inlineStr">
        <is>
          <t>N/A</t>
        </is>
      </c>
      <c r="BA345" s="91" t="inlineStr">
        <is>
          <t>N/A</t>
        </is>
      </c>
      <c r="BB345" s="85" t="n">
        <v>114.8</v>
      </c>
      <c r="BC345" s="85" t="n">
        <v>111.6</v>
      </c>
      <c r="BD345" s="91" t="inlineStr">
        <is>
          <t>N/A</t>
        </is>
      </c>
      <c r="BE345" s="91" t="inlineStr">
        <is>
          <t>N/A</t>
        </is>
      </c>
      <c r="BF345" s="85" t="n">
        <v>49.3</v>
      </c>
      <c r="BG345" s="85" t="n">
        <v>29.7</v>
      </c>
      <c r="BH345" s="85" t="n">
        <v>341.4</v>
      </c>
      <c r="BI345" s="85" t="n">
        <v>-553.4</v>
      </c>
      <c r="BJ345" s="85" t="n">
        <v>53.3</v>
      </c>
      <c r="BK345" s="85" t="n">
        <v>9.800000000000001</v>
      </c>
      <c r="BL345" s="91" t="inlineStr">
        <is>
          <t>N/A</t>
        </is>
      </c>
      <c r="BM345" s="91" t="inlineStr">
        <is>
          <t>N/A</t>
        </is>
      </c>
      <c r="BN345" s="91" t="inlineStr">
        <is>
          <t>N/A</t>
        </is>
      </c>
      <c r="BO345" s="85" t="n">
        <v>393.3</v>
      </c>
      <c r="BP345" s="85" t="n">
        <v>150.9</v>
      </c>
      <c r="BQ345" s="91" t="inlineStr">
        <is>
          <t>N/A</t>
        </is>
      </c>
      <c r="BR345" s="91" t="inlineStr">
        <is>
          <t>N/A</t>
        </is>
      </c>
      <c r="BS345" s="91" t="inlineStr">
        <is>
          <t>N/A</t>
        </is>
      </c>
      <c r="BT345" s="91" t="inlineStr">
        <is>
          <t>N/A</t>
        </is>
      </c>
      <c r="BU345" s="85" t="n">
        <v>0</v>
      </c>
      <c r="BV345" s="85" t="n">
        <v>0</v>
      </c>
      <c r="BW345" s="85" t="n">
        <v>0</v>
      </c>
      <c r="BX345" s="91" t="inlineStr">
        <is>
          <t>N/A</t>
        </is>
      </c>
      <c r="BY345" s="85" t="n">
        <v>-0</v>
      </c>
    </row>
    <row r="346" ht="17" customHeight="1">
      <c r="A346" s="86" t="n">
        <v>344</v>
      </c>
      <c r="B346" s="87" t="inlineStr">
        <is>
          <t>DIS</t>
        </is>
      </c>
      <c r="C346" s="88" t="inlineStr">
        <is>
          <t>WALT DISNEY CO/</t>
        </is>
      </c>
      <c r="D346" s="86" t="inlineStr">
        <is>
          <t>Communication Services</t>
        </is>
      </c>
      <c r="E346" s="86" t="n">
        <v>2026</v>
      </c>
      <c r="F346" s="89" t="n">
        <v>197514</v>
      </c>
      <c r="G346" s="89" t="n">
        <v>24267</v>
      </c>
      <c r="H346" s="89" t="n">
        <v>34162</v>
      </c>
      <c r="I346" s="89" t="n">
        <v>197514</v>
      </c>
      <c r="J346" s="89" t="n">
        <v>60410</v>
      </c>
      <c r="K346" s="89" t="n">
        <v>17551</v>
      </c>
      <c r="L346" s="89" t="n">
        <v>94425</v>
      </c>
      <c r="M346" s="89" t="n">
        <v>12404</v>
      </c>
      <c r="N346" s="89" t="n">
        <v>18101</v>
      </c>
      <c r="O346" s="90" t="inlineStr">
        <is>
          <t>N/A</t>
        </is>
      </c>
      <c r="P346" s="89" t="n">
        <v>42026</v>
      </c>
      <c r="Q346" s="89" t="n">
        <v>109869</v>
      </c>
      <c r="R346" s="89" t="n">
        <v>16501</v>
      </c>
      <c r="S346" s="89" t="n">
        <v>5326</v>
      </c>
      <c r="T346" s="89" t="n">
        <v>13217</v>
      </c>
      <c r="U346" s="89" t="n">
        <v>41255</v>
      </c>
      <c r="V346" s="89" t="n">
        <v>-1812</v>
      </c>
      <c r="W346" s="89" t="n">
        <v>196219</v>
      </c>
      <c r="X346" s="89" t="n">
        <v>25241</v>
      </c>
      <c r="Y346" s="89" t="n">
        <v>34599</v>
      </c>
      <c r="Z346" s="89" t="n">
        <v>196219</v>
      </c>
      <c r="AA346" s="89" t="n">
        <v>15601</v>
      </c>
      <c r="AB346" s="89" t="n">
        <v>91361</v>
      </c>
      <c r="AC346" s="89" t="n">
        <v>4972</v>
      </c>
      <c r="AD346" s="89" t="n">
        <v>13971</v>
      </c>
      <c r="AE346" s="90" t="inlineStr">
        <is>
          <t>N/A</t>
        </is>
      </c>
      <c r="AF346" s="89" t="n">
        <v>45815</v>
      </c>
      <c r="AG346" s="89" t="n">
        <v>100696</v>
      </c>
      <c r="AH346" s="89" t="n">
        <v>91361</v>
      </c>
      <c r="AI346" s="89" t="n">
        <v>196219</v>
      </c>
      <c r="AJ346" s="89" t="n">
        <v>12003</v>
      </c>
      <c r="AK346" s="89" t="n">
        <v>7569</v>
      </c>
      <c r="AL346" s="89" t="n">
        <v>-1428</v>
      </c>
      <c r="AM346" s="89" t="n">
        <v>1796</v>
      </c>
      <c r="AN346" s="89" t="n">
        <v>8024</v>
      </c>
      <c r="AO346" s="89" t="n">
        <v>5412</v>
      </c>
      <c r="AP346" s="89" t="n">
        <v>2134</v>
      </c>
      <c r="AQ346" s="89" t="n">
        <v>2022</v>
      </c>
      <c r="AR346" s="89" t="n">
        <v>73294</v>
      </c>
      <c r="AS346" s="89" t="n">
        <v>7480</v>
      </c>
      <c r="AT346" s="89" t="n">
        <v>6711</v>
      </c>
      <c r="AU346" s="90" t="inlineStr">
        <is>
          <t>N/A</t>
        </is>
      </c>
      <c r="AV346" s="89" t="n">
        <v>5695</v>
      </c>
      <c r="AW346" s="89" t="n">
        <v>6002</v>
      </c>
      <c r="AX346" s="89" t="n">
        <v>48737</v>
      </c>
      <c r="AY346" s="89" t="n">
        <v>45815</v>
      </c>
      <c r="AZ346" s="89" t="n">
        <v>43042</v>
      </c>
      <c r="BA346" s="89" t="n">
        <v>10077</v>
      </c>
      <c r="BB346" s="89" t="n">
        <v>1900</v>
      </c>
      <c r="BC346" s="89" t="n">
        <v>1900</v>
      </c>
      <c r="BD346" s="89" t="n">
        <v>12729</v>
      </c>
      <c r="BE346" s="89" t="n">
        <v>37041</v>
      </c>
      <c r="BF346" s="89" t="n">
        <v>15759</v>
      </c>
      <c r="BG346" s="89" t="n">
        <v>4990</v>
      </c>
      <c r="BH346" s="89" t="n">
        <v>-8043</v>
      </c>
      <c r="BI346" s="89" t="n">
        <v>-6881</v>
      </c>
      <c r="BJ346" s="89" t="n">
        <v>15055</v>
      </c>
      <c r="BK346" s="89" t="n">
        <v>14796</v>
      </c>
      <c r="BL346" s="89" t="n">
        <v>6248</v>
      </c>
      <c r="BM346" s="89" t="n">
        <v>6684</v>
      </c>
      <c r="BN346" s="90" t="inlineStr">
        <is>
          <t>N/A</t>
        </is>
      </c>
      <c r="BO346" s="90" t="inlineStr">
        <is>
          <t>N/A</t>
        </is>
      </c>
      <c r="BP346" s="90" t="inlineStr">
        <is>
          <t>N/A</t>
        </is>
      </c>
      <c r="BQ346" s="89" t="n">
        <v>0</v>
      </c>
      <c r="BR346" s="89" t="n">
        <v>0</v>
      </c>
      <c r="BS346" s="90" t="inlineStr">
        <is>
          <t>N/A</t>
        </is>
      </c>
      <c r="BT346" s="90" t="inlineStr">
        <is>
          <t>N/A</t>
        </is>
      </c>
      <c r="BU346" s="90" t="inlineStr">
        <is>
          <t>N/A</t>
        </is>
      </c>
      <c r="BV346" s="90" t="inlineStr">
        <is>
          <t>N/A</t>
        </is>
      </c>
      <c r="BW346" s="89" t="n">
        <v>0</v>
      </c>
      <c r="BX346" s="89" t="n">
        <v>0</v>
      </c>
      <c r="BY346" s="89" t="n">
        <v>-0</v>
      </c>
    </row>
    <row r="347" ht="17" customHeight="1">
      <c r="A347" s="82" t="n">
        <v>345</v>
      </c>
      <c r="B347" s="83" t="inlineStr">
        <is>
          <t>EXR</t>
        </is>
      </c>
      <c r="C347" s="84" t="inlineStr">
        <is>
          <t>Extra Space Storage Inc.</t>
        </is>
      </c>
      <c r="D347" s="82" t="inlineStr">
        <is>
          <t>Real Estate</t>
        </is>
      </c>
      <c r="E347" s="82" t="n">
        <v>2026</v>
      </c>
      <c r="F347" s="85" t="n">
        <v>29264</v>
      </c>
      <c r="G347" s="91" t="inlineStr">
        <is>
          <t>N/A</t>
        </is>
      </c>
      <c r="H347" s="91" t="inlineStr">
        <is>
          <t>N/A</t>
        </is>
      </c>
      <c r="I347" s="85" t="n">
        <v>14940</v>
      </c>
      <c r="J347" s="85" t="n">
        <v>-1449.2</v>
      </c>
      <c r="K347" s="85" t="n">
        <v>1412.7</v>
      </c>
      <c r="L347" s="85" t="n">
        <v>3377.5</v>
      </c>
      <c r="M347" s="85" t="n">
        <v>974</v>
      </c>
      <c r="N347" s="85" t="n">
        <v>1850.2</v>
      </c>
      <c r="O347" s="85" t="n">
        <v>2459.4</v>
      </c>
      <c r="P347" s="91" t="inlineStr">
        <is>
          <t>N/A</t>
        </is>
      </c>
      <c r="Q347" s="85" t="n">
        <v>13433.2</v>
      </c>
      <c r="R347" s="85" t="n">
        <v>186.3</v>
      </c>
      <c r="S347" s="85" t="n">
        <v>715.2</v>
      </c>
      <c r="T347" s="85" t="n">
        <v>142.1</v>
      </c>
      <c r="U347" s="85" t="n">
        <v>65.2</v>
      </c>
      <c r="V347" s="85" t="n">
        <v>419</v>
      </c>
      <c r="W347" s="85" t="n">
        <v>28847.9</v>
      </c>
      <c r="X347" s="91" t="inlineStr">
        <is>
          <t>N/A</t>
        </is>
      </c>
      <c r="Y347" s="91" t="inlineStr">
        <is>
          <t>N/A</t>
        </is>
      </c>
      <c r="Z347" s="85" t="n">
        <v>13988.6</v>
      </c>
      <c r="AA347" s="85" t="n">
        <v>1323.4</v>
      </c>
      <c r="AB347" s="85" t="n">
        <v>3256.9</v>
      </c>
      <c r="AC347" s="85" t="n">
        <v>854.7</v>
      </c>
      <c r="AD347" s="85" t="n">
        <v>1887.4</v>
      </c>
      <c r="AE347" s="85" t="n">
        <v>2425.3</v>
      </c>
      <c r="AF347" s="91" t="inlineStr">
        <is>
          <t>N/A</t>
        </is>
      </c>
      <c r="AG347" s="85" t="n">
        <v>13947.5</v>
      </c>
      <c r="AH347" s="85" t="n">
        <v>3256.9</v>
      </c>
      <c r="AI347" s="85" t="n">
        <v>28847.9</v>
      </c>
      <c r="AJ347" s="85" t="n">
        <v>900.7</v>
      </c>
      <c r="AK347" s="85" t="n">
        <v>859.5</v>
      </c>
      <c r="AL347" s="85" t="n">
        <v>41.6</v>
      </c>
      <c r="AM347" s="85" t="n">
        <v>33.5</v>
      </c>
      <c r="AN347" s="85" t="n">
        <v>561.7</v>
      </c>
      <c r="AO347" s="85" t="n">
        <v>479.1</v>
      </c>
      <c r="AP347" s="91" t="inlineStr">
        <is>
          <t>N/A</t>
        </is>
      </c>
      <c r="AQ347" s="91" t="inlineStr">
        <is>
          <t>N/A</t>
        </is>
      </c>
      <c r="AR347" s="85" t="n">
        <v>170.8</v>
      </c>
      <c r="AS347" s="85" t="n">
        <v>11.6</v>
      </c>
      <c r="AT347" s="91" t="inlineStr">
        <is>
          <t>N/A</t>
        </is>
      </c>
      <c r="AU347" s="91" t="inlineStr">
        <is>
          <t>N/A</t>
        </is>
      </c>
      <c r="AV347" s="85" t="n">
        <v>138.9</v>
      </c>
      <c r="AW347" s="85" t="n">
        <v>138.2</v>
      </c>
      <c r="AX347" s="91" t="inlineStr">
        <is>
          <t>N/A</t>
        </is>
      </c>
      <c r="AY347" s="91" t="inlineStr">
        <is>
          <t>N/A</t>
        </is>
      </c>
      <c r="AZ347" s="91" t="inlineStr">
        <is>
          <t>N/A</t>
        </is>
      </c>
      <c r="BA347" s="85" t="n">
        <v>1288.5</v>
      </c>
      <c r="BB347" s="85" t="n">
        <v>211.2</v>
      </c>
      <c r="BC347" s="85" t="n">
        <v>212</v>
      </c>
      <c r="BD347" s="85" t="n">
        <v>129.7</v>
      </c>
      <c r="BE347" s="85" t="n">
        <v>50.4</v>
      </c>
      <c r="BF347" s="85" t="n">
        <v>167.4</v>
      </c>
      <c r="BG347" s="85" t="n">
        <v>783</v>
      </c>
      <c r="BH347" s="85" t="n">
        <v>-814.2</v>
      </c>
      <c r="BI347" s="85" t="n">
        <v>-1646.9</v>
      </c>
      <c r="BJ347" s="91" t="inlineStr">
        <is>
          <t>N/A</t>
        </is>
      </c>
      <c r="BK347" s="91" t="inlineStr">
        <is>
          <t>N/A</t>
        </is>
      </c>
      <c r="BL347" s="91" t="inlineStr">
        <is>
          <t>N/A</t>
        </is>
      </c>
      <c r="BM347" s="91" t="inlineStr">
        <is>
          <t>N/A</t>
        </is>
      </c>
      <c r="BN347" s="91" t="inlineStr">
        <is>
          <t>N/A</t>
        </is>
      </c>
      <c r="BO347" s="85" t="n">
        <v>918.1</v>
      </c>
      <c r="BP347" s="85" t="n">
        <v>831.6</v>
      </c>
      <c r="BQ347" s="85" t="n">
        <v>0</v>
      </c>
      <c r="BR347" s="85" t="n">
        <v>0</v>
      </c>
      <c r="BS347" s="91" t="inlineStr">
        <is>
          <t>N/A</t>
        </is>
      </c>
      <c r="BT347" s="91" t="inlineStr">
        <is>
          <t>N/A</t>
        </is>
      </c>
      <c r="BU347" s="91" t="inlineStr">
        <is>
          <t>N/A</t>
        </is>
      </c>
      <c r="BV347" s="91" t="inlineStr">
        <is>
          <t>N/A</t>
        </is>
      </c>
      <c r="BW347" s="85" t="n">
        <v>0</v>
      </c>
      <c r="BX347" s="85" t="n">
        <v>0</v>
      </c>
      <c r="BY347" s="85" t="n">
        <v>0</v>
      </c>
    </row>
    <row r="348" ht="17" customHeight="1">
      <c r="A348" s="86" t="n">
        <v>346</v>
      </c>
      <c r="B348" s="87" t="inlineStr">
        <is>
          <t>RGEN</t>
        </is>
      </c>
      <c r="C348" s="88" t="inlineStr">
        <is>
          <t>REPLIGEN CORP</t>
        </is>
      </c>
      <c r="D348" s="86" t="inlineStr">
        <is>
          <t>Health Care</t>
        </is>
      </c>
      <c r="E348" s="86" t="n">
        <v>2026</v>
      </c>
      <c r="F348" s="89" t="n">
        <v>2949.7</v>
      </c>
      <c r="G348" s="89" t="n">
        <v>1137.4</v>
      </c>
      <c r="H348" s="89" t="n">
        <v>135.8</v>
      </c>
      <c r="I348" s="89" t="n">
        <v>843.6</v>
      </c>
      <c r="J348" s="89" t="n">
        <v>456.2</v>
      </c>
      <c r="K348" s="89" t="n">
        <v>55.2</v>
      </c>
      <c r="L348" s="89" t="n">
        <v>141.2</v>
      </c>
      <c r="M348" s="89" t="n">
        <v>48.9</v>
      </c>
      <c r="N348" s="89" t="n">
        <v>117.4</v>
      </c>
      <c r="O348" s="89" t="n">
        <v>60.5</v>
      </c>
      <c r="P348" s="89" t="n">
        <v>542.2</v>
      </c>
      <c r="Q348" s="89" t="n">
        <v>2106.1</v>
      </c>
      <c r="R348" s="89" t="n">
        <v>290.5</v>
      </c>
      <c r="S348" s="89" t="n">
        <v>78.7</v>
      </c>
      <c r="T348" s="89" t="n">
        <v>158.6</v>
      </c>
      <c r="U348" s="89" t="n">
        <v>186.6</v>
      </c>
      <c r="V348" s="89" t="n">
        <v>2</v>
      </c>
      <c r="W348" s="89" t="n">
        <v>2829.7</v>
      </c>
      <c r="X348" s="89" t="n">
        <v>1066</v>
      </c>
      <c r="Y348" s="89" t="n">
        <v>126.8</v>
      </c>
      <c r="Z348" s="89" t="n">
        <v>856.9</v>
      </c>
      <c r="AA348" s="89" t="n">
        <v>-35.1</v>
      </c>
      <c r="AB348" s="89" t="n">
        <v>41.6</v>
      </c>
      <c r="AC348" s="89" t="n">
        <v>-25.5</v>
      </c>
      <c r="AD348" s="89" t="n">
        <v>175.4</v>
      </c>
      <c r="AE348" s="89" t="n">
        <v>54.4</v>
      </c>
      <c r="AF348" s="89" t="n">
        <v>525.6</v>
      </c>
      <c r="AG348" s="89" t="n">
        <v>1972.7</v>
      </c>
      <c r="AH348" s="89" t="n">
        <v>36.6</v>
      </c>
      <c r="AI348" s="89" t="n">
        <v>2829.7</v>
      </c>
      <c r="AJ348" s="89" t="n">
        <v>62.4</v>
      </c>
      <c r="AK348" s="89" t="n">
        <v>-27</v>
      </c>
      <c r="AL348" s="89" t="n">
        <v>13.5</v>
      </c>
      <c r="AM348" s="89" t="n">
        <v>-1.5</v>
      </c>
      <c r="AN348" s="89" t="n">
        <v>23.5</v>
      </c>
      <c r="AO348" s="89" t="n">
        <v>25.7</v>
      </c>
      <c r="AP348" s="89" t="n">
        <v>170.5</v>
      </c>
      <c r="AQ348" s="89" t="n">
        <v>143</v>
      </c>
      <c r="AR348" s="89" t="n">
        <v>1114.4</v>
      </c>
      <c r="AS348" s="89" t="n">
        <v>385.4</v>
      </c>
      <c r="AT348" s="90" t="inlineStr">
        <is>
          <t>N/A</t>
        </is>
      </c>
      <c r="AU348" s="89" t="n">
        <v>54.2</v>
      </c>
      <c r="AV348" s="89" t="n">
        <v>566</v>
      </c>
      <c r="AW348" s="89" t="n">
        <v>757.4</v>
      </c>
      <c r="AX348" s="89" t="n">
        <v>542.2</v>
      </c>
      <c r="AY348" s="89" t="n">
        <v>525.6</v>
      </c>
      <c r="AZ348" s="89" t="n">
        <v>-23.8</v>
      </c>
      <c r="BA348" s="89" t="n">
        <v>93.90000000000001</v>
      </c>
      <c r="BB348" s="89" t="n">
        <v>56.3</v>
      </c>
      <c r="BC348" s="89" t="n">
        <v>56.1</v>
      </c>
      <c r="BD348" s="89" t="n">
        <v>134.1</v>
      </c>
      <c r="BE348" s="89" t="n">
        <v>197.7</v>
      </c>
      <c r="BF348" s="89" t="n">
        <v>263.4</v>
      </c>
      <c r="BG348" s="89" t="n">
        <v>69.7</v>
      </c>
      <c r="BH348" s="89" t="n">
        <v>-298.5</v>
      </c>
      <c r="BI348" s="89" t="n">
        <v>-86.40000000000001</v>
      </c>
      <c r="BJ348" s="89" t="n">
        <v>30</v>
      </c>
      <c r="BK348" s="89" t="n">
        <v>32.1</v>
      </c>
      <c r="BL348" s="89" t="n">
        <v>14.6</v>
      </c>
      <c r="BM348" s="89" t="n">
        <v>13.2</v>
      </c>
      <c r="BN348" s="89" t="n">
        <v>3.6</v>
      </c>
      <c r="BO348" s="89" t="n">
        <v>352</v>
      </c>
      <c r="BP348" s="89" t="n">
        <v>359.8</v>
      </c>
      <c r="BQ348" s="89" t="n">
        <v>0</v>
      </c>
      <c r="BR348" s="89" t="n">
        <v>0</v>
      </c>
      <c r="BS348" s="89" t="n">
        <v>0</v>
      </c>
      <c r="BT348" s="89" t="n">
        <v>0</v>
      </c>
      <c r="BU348" s="89" t="n">
        <v>0</v>
      </c>
      <c r="BV348" s="89" t="n">
        <v>0</v>
      </c>
      <c r="BW348" s="89" t="n">
        <v>0</v>
      </c>
      <c r="BX348" s="89" t="n">
        <v>0</v>
      </c>
      <c r="BY348" s="89" t="n">
        <v>0</v>
      </c>
    </row>
    <row r="349" ht="17" customHeight="1">
      <c r="A349" s="82" t="n">
        <v>347</v>
      </c>
      <c r="B349" s="83" t="inlineStr">
        <is>
          <t>MASI</t>
        </is>
      </c>
      <c r="C349" s="84" t="inlineStr">
        <is>
          <t>MASIMO CORP</t>
        </is>
      </c>
      <c r="D349" s="82" t="inlineStr">
        <is>
          <t>Health Care</t>
        </is>
      </c>
      <c r="E349" s="82" t="n">
        <v>2026</v>
      </c>
      <c r="F349" s="85" t="n">
        <v>1698.9</v>
      </c>
      <c r="G349" s="85" t="n">
        <v>926</v>
      </c>
      <c r="H349" s="85" t="n">
        <v>371.6</v>
      </c>
      <c r="I349" s="85" t="n">
        <v>977.7</v>
      </c>
      <c r="J349" s="85" t="n">
        <v>1339.4</v>
      </c>
      <c r="K349" s="85" t="n">
        <v>310</v>
      </c>
      <c r="L349" s="85" t="n">
        <v>1239.2</v>
      </c>
      <c r="M349" s="85" t="n">
        <v>-151.5</v>
      </c>
      <c r="N349" s="85" t="n">
        <v>217.8</v>
      </c>
      <c r="O349" s="85" t="n">
        <v>945.2</v>
      </c>
      <c r="P349" s="85" t="n">
        <v>524.3</v>
      </c>
      <c r="Q349" s="85" t="n">
        <v>721.2</v>
      </c>
      <c r="R349" s="85" t="n">
        <v>506</v>
      </c>
      <c r="S349" s="85" t="n">
        <v>38.8</v>
      </c>
      <c r="T349" s="85" t="n">
        <v>275.8</v>
      </c>
      <c r="U349" s="85" t="n">
        <v>355.1</v>
      </c>
      <c r="V349" s="85" t="n">
        <v>50.3</v>
      </c>
      <c r="W349" s="85" t="n">
        <v>2625.7</v>
      </c>
      <c r="X349" s="85" t="n">
        <v>1225.8</v>
      </c>
      <c r="Y349" s="85" t="n">
        <v>617.7</v>
      </c>
      <c r="Z349" s="85" t="n">
        <v>1573.8</v>
      </c>
      <c r="AA349" s="85" t="n">
        <v>-266.7</v>
      </c>
      <c r="AB349" s="85" t="n">
        <v>327.6</v>
      </c>
      <c r="AC349" s="85" t="n">
        <v>-304.9</v>
      </c>
      <c r="AD349" s="85" t="n">
        <v>196.4</v>
      </c>
      <c r="AE349" s="85" t="n">
        <v>1004.4</v>
      </c>
      <c r="AF349" s="85" t="n">
        <v>765.2</v>
      </c>
      <c r="AG349" s="85" t="n">
        <v>1051.9</v>
      </c>
      <c r="AH349" s="85" t="n">
        <v>307.4</v>
      </c>
      <c r="AI349" s="85" t="n">
        <v>2625.7</v>
      </c>
      <c r="AJ349" s="85" t="n">
        <v>272.6</v>
      </c>
      <c r="AK349" s="85" t="n">
        <v>-305.3</v>
      </c>
      <c r="AL349" s="85" t="n">
        <v>64.90000000000001</v>
      </c>
      <c r="AM349" s="85" t="n">
        <v>-0.4</v>
      </c>
      <c r="AN349" s="85" t="n">
        <v>19.4</v>
      </c>
      <c r="AO349" s="85" t="n">
        <v>20</v>
      </c>
      <c r="AP349" s="85" t="n">
        <v>380.3</v>
      </c>
      <c r="AQ349" s="85" t="n">
        <v>459.2</v>
      </c>
      <c r="AR349" s="85" t="n">
        <v>101</v>
      </c>
      <c r="AS349" s="85" t="n">
        <v>52.1</v>
      </c>
      <c r="AT349" s="85" t="n">
        <v>6.3</v>
      </c>
      <c r="AU349" s="85" t="n">
        <v>126.4</v>
      </c>
      <c r="AV349" s="85" t="n">
        <v>152.3</v>
      </c>
      <c r="AW349" s="85" t="n">
        <v>177.6</v>
      </c>
      <c r="AX349" s="85" t="n">
        <v>530.6</v>
      </c>
      <c r="AY349" s="85" t="n">
        <v>802.5</v>
      </c>
      <c r="AZ349" s="85" t="n">
        <v>378.3</v>
      </c>
      <c r="BA349" s="85" t="n">
        <v>198.4</v>
      </c>
      <c r="BB349" s="85" t="n">
        <v>52.1</v>
      </c>
      <c r="BC349" s="85" t="n">
        <v>53.6</v>
      </c>
      <c r="BD349" s="85" t="n">
        <v>283.2</v>
      </c>
      <c r="BE349" s="85" t="n">
        <v>381.6</v>
      </c>
      <c r="BF349" s="85" t="n">
        <v>743.8</v>
      </c>
      <c r="BG349" s="85" t="n">
        <v>103</v>
      </c>
      <c r="BH349" s="85" t="n">
        <v>275.1</v>
      </c>
      <c r="BI349" s="85" t="n">
        <v>-51.2</v>
      </c>
      <c r="BJ349" s="85" t="n">
        <v>103</v>
      </c>
      <c r="BK349" s="85" t="n">
        <v>252.8</v>
      </c>
      <c r="BL349" s="85" t="n">
        <v>73.2</v>
      </c>
      <c r="BM349" s="85" t="n">
        <v>95.5</v>
      </c>
      <c r="BN349" s="85" t="n">
        <v>16.7</v>
      </c>
      <c r="BO349" s="85" t="n">
        <v>581.7</v>
      </c>
      <c r="BP349" s="85" t="n">
        <v>1090</v>
      </c>
      <c r="BQ349" s="85" t="n">
        <v>0</v>
      </c>
      <c r="BR349" s="85" t="n">
        <v>0</v>
      </c>
      <c r="BS349" s="85" t="n">
        <v>0</v>
      </c>
      <c r="BT349" s="85" t="n">
        <v>0</v>
      </c>
      <c r="BU349" s="85" t="n">
        <v>0</v>
      </c>
      <c r="BV349" s="85" t="n">
        <v>0</v>
      </c>
      <c r="BW349" s="85" t="n">
        <v>0</v>
      </c>
      <c r="BX349" s="85" t="n">
        <v>0</v>
      </c>
      <c r="BY349" s="85" t="n">
        <v>0</v>
      </c>
    </row>
    <row r="350" ht="17" customHeight="1">
      <c r="A350" s="86" t="n">
        <v>348</v>
      </c>
      <c r="B350" s="87" t="inlineStr">
        <is>
          <t>HRB</t>
        </is>
      </c>
      <c r="C350" s="88" t="inlineStr">
        <is>
          <t>H&amp;R Block, Inc.</t>
        </is>
      </c>
      <c r="D350" s="86" t="inlineStr">
        <is>
          <t>Consumer Discretionary</t>
        </is>
      </c>
      <c r="E350" s="86" t="n">
        <v>2026</v>
      </c>
      <c r="F350" s="89" t="n">
        <v>3263.9</v>
      </c>
      <c r="G350" s="89" t="n">
        <v>1162.5</v>
      </c>
      <c r="H350" s="89" t="n">
        <v>1298.6</v>
      </c>
      <c r="I350" s="89" t="n">
        <v>3175</v>
      </c>
      <c r="J350" s="89" t="n">
        <v>12.1</v>
      </c>
      <c r="K350" s="89" t="n">
        <v>763.2</v>
      </c>
      <c r="L350" s="89" t="n">
        <v>3159.9</v>
      </c>
      <c r="M350" s="89" t="n">
        <v>605.8</v>
      </c>
      <c r="N350" s="89" t="n">
        <v>680.9</v>
      </c>
      <c r="O350" s="89" t="n">
        <v>1073.8</v>
      </c>
      <c r="P350" s="89" t="n">
        <v>1493.2</v>
      </c>
      <c r="Q350" s="89" t="n">
        <v>88.90000000000001</v>
      </c>
      <c r="R350" s="89" t="n">
        <v>846.9</v>
      </c>
      <c r="S350" s="89" t="n">
        <v>68.2</v>
      </c>
      <c r="T350" s="89" t="n">
        <v>63.6</v>
      </c>
      <c r="U350" s="89" t="n">
        <v>135.1</v>
      </c>
      <c r="V350" s="89" t="n">
        <v>45.9</v>
      </c>
      <c r="W350" s="89" t="n">
        <v>3218.8</v>
      </c>
      <c r="X350" s="89" t="n">
        <v>1239.5</v>
      </c>
      <c r="Y350" s="89" t="n">
        <v>977.3</v>
      </c>
      <c r="Z350" s="89" t="n">
        <v>3128.2</v>
      </c>
      <c r="AA350" s="89" t="n">
        <v>696.7</v>
      </c>
      <c r="AB350" s="89" t="n">
        <v>2392.8</v>
      </c>
      <c r="AC350" s="89" t="n">
        <v>595.3</v>
      </c>
      <c r="AD350" s="89" t="n">
        <v>720.9</v>
      </c>
      <c r="AE350" s="89" t="n">
        <v>401.3</v>
      </c>
      <c r="AF350" s="89" t="n">
        <v>1491.1</v>
      </c>
      <c r="AG350" s="89" t="n">
        <v>90.59999999999999</v>
      </c>
      <c r="AH350" s="89" t="n">
        <v>488.4</v>
      </c>
      <c r="AI350" s="89" t="n">
        <v>3218.8</v>
      </c>
      <c r="AJ350" s="89" t="n">
        <v>781.4</v>
      </c>
      <c r="AK350" s="89" t="n">
        <v>762.3</v>
      </c>
      <c r="AL350" s="89" t="n">
        <v>172</v>
      </c>
      <c r="AM350" s="89" t="n">
        <v>164.4</v>
      </c>
      <c r="AN350" s="89" t="n">
        <v>82</v>
      </c>
      <c r="AO350" s="89" t="n">
        <v>63.7</v>
      </c>
      <c r="AP350" s="90" t="inlineStr">
        <is>
          <t>N/A</t>
        </is>
      </c>
      <c r="AQ350" s="90" t="inlineStr">
        <is>
          <t>N/A</t>
        </is>
      </c>
      <c r="AR350" s="89" t="n">
        <v>802.1</v>
      </c>
      <c r="AS350" s="89" t="n">
        <v>259.4</v>
      </c>
      <c r="AT350" s="89" t="n">
        <v>1</v>
      </c>
      <c r="AU350" s="90" t="inlineStr">
        <is>
          <t>N/A</t>
        </is>
      </c>
      <c r="AV350" s="89" t="n">
        <v>983.3</v>
      </c>
      <c r="AW350" s="89" t="n">
        <v>1053.3</v>
      </c>
      <c r="AX350" s="89" t="n">
        <v>1494.2</v>
      </c>
      <c r="AY350" s="89" t="n">
        <v>1491.9</v>
      </c>
      <c r="AZ350" s="89" t="n">
        <v>510.9</v>
      </c>
      <c r="BA350" s="89" t="n">
        <v>598.8</v>
      </c>
      <c r="BB350" s="89" t="n">
        <v>164.4</v>
      </c>
      <c r="BC350" s="89" t="n">
        <v>170.9</v>
      </c>
      <c r="BD350" s="89" t="n">
        <v>69.09999999999999</v>
      </c>
      <c r="BE350" s="89" t="n">
        <v>131.3</v>
      </c>
      <c r="BF350" s="89" t="n">
        <v>813.5</v>
      </c>
      <c r="BG350" s="89" t="n">
        <v>61.4</v>
      </c>
      <c r="BH350" s="89" t="n">
        <v>-105.4</v>
      </c>
      <c r="BI350" s="89" t="n">
        <v>-93.90000000000001</v>
      </c>
      <c r="BJ350" s="89" t="n">
        <v>144</v>
      </c>
      <c r="BK350" s="89" t="n">
        <v>155.8</v>
      </c>
      <c r="BL350" s="89" t="n">
        <v>211.2</v>
      </c>
      <c r="BM350" s="89" t="n">
        <v>204.3</v>
      </c>
      <c r="BN350" s="89" t="n">
        <v>296.2</v>
      </c>
      <c r="BO350" s="89" t="n">
        <v>2086.1</v>
      </c>
      <c r="BP350" s="89" t="n">
        <v>1991.6</v>
      </c>
      <c r="BQ350" s="89" t="n">
        <v>0</v>
      </c>
      <c r="BR350" s="89" t="n">
        <v>0</v>
      </c>
      <c r="BS350" s="90" t="inlineStr">
        <is>
          <t>N/A</t>
        </is>
      </c>
      <c r="BT350" s="90" t="inlineStr">
        <is>
          <t>N/A</t>
        </is>
      </c>
      <c r="BU350" s="89" t="n">
        <v>0</v>
      </c>
      <c r="BV350" s="89" t="n">
        <v>0</v>
      </c>
      <c r="BW350" s="89" t="n">
        <v>0</v>
      </c>
      <c r="BX350" s="89" t="n">
        <v>0</v>
      </c>
      <c r="BY350" s="89" t="n">
        <v>0</v>
      </c>
    </row>
    <row r="351" ht="17" customHeight="1">
      <c r="A351" s="82" t="n">
        <v>349</v>
      </c>
      <c r="B351" s="83" t="inlineStr">
        <is>
          <t>MYRG</t>
        </is>
      </c>
      <c r="C351" s="84" t="inlineStr">
        <is>
          <t>MYR GROUP INC.</t>
        </is>
      </c>
      <c r="D351" s="82" t="inlineStr">
        <is>
          <t>Industrials</t>
        </is>
      </c>
      <c r="E351" s="82" t="n">
        <v>2026</v>
      </c>
      <c r="F351" s="85" t="n">
        <v>1644.1</v>
      </c>
      <c r="G351" s="85" t="n">
        <v>1060.8</v>
      </c>
      <c r="H351" s="85" t="n">
        <v>795.3</v>
      </c>
      <c r="I351" s="85" t="n">
        <v>983.7</v>
      </c>
      <c r="J351" s="85" t="n">
        <v>503.2</v>
      </c>
      <c r="K351" s="85" t="n">
        <v>166.9</v>
      </c>
      <c r="L351" s="85" t="n">
        <v>1531.2</v>
      </c>
      <c r="M351" s="85" t="n">
        <v>118.4</v>
      </c>
      <c r="N351" s="85" t="n">
        <v>326.6</v>
      </c>
      <c r="O351" s="85" t="n">
        <v>423.8</v>
      </c>
      <c r="P351" s="85" t="n">
        <v>59</v>
      </c>
      <c r="Q351" s="85" t="n">
        <v>660.4</v>
      </c>
      <c r="R351" s="85" t="n">
        <v>256.4</v>
      </c>
      <c r="S351" s="85" t="n">
        <v>66.5</v>
      </c>
      <c r="T351" s="85" t="n">
        <v>603.7</v>
      </c>
      <c r="U351" s="85" t="n">
        <v>185.3</v>
      </c>
      <c r="V351" s="85" t="n">
        <v>5.6</v>
      </c>
      <c r="W351" s="85" t="n">
        <v>1574.1</v>
      </c>
      <c r="X351" s="85" t="n">
        <v>1014.7</v>
      </c>
      <c r="Y351" s="85" t="n">
        <v>748.9</v>
      </c>
      <c r="Z351" s="85" t="n">
        <v>973.7</v>
      </c>
      <c r="AA351" s="85" t="n">
        <v>54.1</v>
      </c>
      <c r="AB351" s="85" t="n">
        <v>1531.2</v>
      </c>
      <c r="AC351" s="85" t="n">
        <v>30.3</v>
      </c>
      <c r="AD351" s="85" t="n">
        <v>87.09999999999999</v>
      </c>
      <c r="AE351" s="85" t="n">
        <v>290.3</v>
      </c>
      <c r="AF351" s="85" t="n">
        <v>74.40000000000001</v>
      </c>
      <c r="AG351" s="85" t="n">
        <v>600.4</v>
      </c>
      <c r="AH351" s="85" t="n">
        <v>3362.3</v>
      </c>
      <c r="AI351" s="85" t="n">
        <v>1488.8</v>
      </c>
      <c r="AJ351" s="85" t="n">
        <v>161.3</v>
      </c>
      <c r="AK351" s="85" t="n">
        <v>46.5</v>
      </c>
      <c r="AL351" s="85" t="n">
        <v>42.9</v>
      </c>
      <c r="AM351" s="85" t="n">
        <v>16.2</v>
      </c>
      <c r="AN351" s="85" t="n">
        <v>94.40000000000001</v>
      </c>
      <c r="AO351" s="85" t="n">
        <v>75.90000000000001</v>
      </c>
      <c r="AP351" s="91" t="inlineStr">
        <is>
          <t>N/A</t>
        </is>
      </c>
      <c r="AQ351" s="91" t="inlineStr">
        <is>
          <t>N/A</t>
        </is>
      </c>
      <c r="AR351" s="85" t="n">
        <v>115.3</v>
      </c>
      <c r="AS351" s="85" t="n">
        <v>38.5</v>
      </c>
      <c r="AT351" s="85" t="n">
        <v>10</v>
      </c>
      <c r="AU351" s="91" t="inlineStr">
        <is>
          <t>N/A</t>
        </is>
      </c>
      <c r="AV351" s="85" t="n">
        <v>150.2</v>
      </c>
      <c r="AW351" s="85" t="n">
        <v>3.5</v>
      </c>
      <c r="AX351" s="85" t="n">
        <v>69</v>
      </c>
      <c r="AY351" s="85" t="n">
        <v>84.40000000000001</v>
      </c>
      <c r="AZ351" s="85" t="n">
        <v>-81.09999999999999</v>
      </c>
      <c r="BA351" s="85" t="n">
        <v>232.2</v>
      </c>
      <c r="BB351" s="85" t="n">
        <v>15.5</v>
      </c>
      <c r="BC351" s="85" t="n">
        <v>16.1</v>
      </c>
      <c r="BD351" s="85" t="n">
        <v>653.1</v>
      </c>
      <c r="BE351" s="85" t="n">
        <v>161.9</v>
      </c>
      <c r="BF351" s="85" t="n">
        <v>238.2</v>
      </c>
      <c r="BG351" s="85" t="n">
        <v>65.2</v>
      </c>
      <c r="BH351" s="85" t="n">
        <v>-86.2</v>
      </c>
      <c r="BI351" s="85" t="n">
        <v>-67.2</v>
      </c>
      <c r="BJ351" s="85" t="n">
        <v>314.8</v>
      </c>
      <c r="BK351" s="85" t="n">
        <v>295.5</v>
      </c>
      <c r="BL351" s="85" t="n">
        <v>300.6</v>
      </c>
      <c r="BM351" s="85" t="n">
        <v>322</v>
      </c>
      <c r="BN351" s="85" t="n">
        <v>15.1</v>
      </c>
      <c r="BO351" s="85" t="n">
        <v>3234.1</v>
      </c>
      <c r="BP351" s="85" t="n">
        <v>3072</v>
      </c>
      <c r="BQ351" s="85" t="n">
        <v>0</v>
      </c>
      <c r="BR351" s="85" t="n">
        <v>0</v>
      </c>
      <c r="BS351" s="91" t="inlineStr">
        <is>
          <t>N/A</t>
        </is>
      </c>
      <c r="BT351" s="91" t="inlineStr">
        <is>
          <t>N/A</t>
        </is>
      </c>
      <c r="BU351" s="85" t="n">
        <v>0</v>
      </c>
      <c r="BV351" s="85" t="n">
        <v>0</v>
      </c>
      <c r="BW351" s="85" t="n">
        <v>0</v>
      </c>
      <c r="BX351" s="85" t="n">
        <v>0</v>
      </c>
      <c r="BY351" s="85" t="n">
        <v>0</v>
      </c>
    </row>
    <row r="352" ht="17" customHeight="1">
      <c r="A352" s="86" t="n">
        <v>350</v>
      </c>
      <c r="B352" s="87" t="inlineStr">
        <is>
          <t>KYMR</t>
        </is>
      </c>
      <c r="C352" s="88" t="inlineStr">
        <is>
          <t>KYMERA THERAPEUTICS, INC.</t>
        </is>
      </c>
      <c r="D352" s="86" t="inlineStr">
        <is>
          <t>Health Care</t>
        </is>
      </c>
      <c r="E352" s="86" t="n">
        <v>2026</v>
      </c>
      <c r="F352" s="89" t="n">
        <v>1742.8</v>
      </c>
      <c r="G352" s="89" t="n">
        <v>871.2</v>
      </c>
      <c r="H352" s="89" t="n">
        <v>83.2</v>
      </c>
      <c r="I352" s="89" t="n">
        <v>163.1</v>
      </c>
      <c r="J352" s="89" t="n">
        <v>-1066</v>
      </c>
      <c r="K352" s="89" t="n">
        <v>-349.4</v>
      </c>
      <c r="L352" s="89" t="n">
        <v>39.2</v>
      </c>
      <c r="M352" s="89" t="n">
        <v>-311.4</v>
      </c>
      <c r="N352" s="89" t="n">
        <v>-232.9</v>
      </c>
      <c r="O352" s="90" t="inlineStr">
        <is>
          <t>N/A</t>
        </is>
      </c>
      <c r="P352" s="90" t="inlineStr">
        <is>
          <t>N/A</t>
        </is>
      </c>
      <c r="Q352" s="89" t="n">
        <v>1579.7</v>
      </c>
      <c r="R352" s="89" t="n">
        <v>68.2</v>
      </c>
      <c r="S352" s="89" t="n">
        <v>8.300000000000001</v>
      </c>
      <c r="T352" s="90" t="inlineStr">
        <is>
          <t>N/A</t>
        </is>
      </c>
      <c r="U352" s="89" t="n">
        <v>43.2</v>
      </c>
      <c r="V352" s="90" t="inlineStr">
        <is>
          <t>N/A</t>
        </is>
      </c>
      <c r="W352" s="89" t="n">
        <v>978</v>
      </c>
      <c r="X352" s="89" t="n">
        <v>510.3</v>
      </c>
      <c r="Y352" s="89" t="n">
        <v>67.8</v>
      </c>
      <c r="Z352" s="89" t="n">
        <v>142.4</v>
      </c>
      <c r="AA352" s="89" t="n">
        <v>-261.6</v>
      </c>
      <c r="AB352" s="89" t="n">
        <v>47.1</v>
      </c>
      <c r="AC352" s="89" t="n">
        <v>-223.9</v>
      </c>
      <c r="AD352" s="89" t="n">
        <v>-194.5</v>
      </c>
      <c r="AE352" s="90" t="inlineStr">
        <is>
          <t>N/A</t>
        </is>
      </c>
      <c r="AF352" s="90" t="inlineStr">
        <is>
          <t>N/A</t>
        </is>
      </c>
      <c r="AG352" s="89" t="n">
        <v>835.6</v>
      </c>
      <c r="AH352" s="89" t="n">
        <v>47.1</v>
      </c>
      <c r="AI352" s="89" t="n">
        <v>978</v>
      </c>
      <c r="AJ352" s="89" t="n">
        <v>-311.4</v>
      </c>
      <c r="AK352" s="90" t="inlineStr">
        <is>
          <t>N/A</t>
        </is>
      </c>
      <c r="AL352" s="90" t="inlineStr">
        <is>
          <t>N/A</t>
        </is>
      </c>
      <c r="AM352" s="90" t="inlineStr">
        <is>
          <t>N/A</t>
        </is>
      </c>
      <c r="AN352" s="89" t="n">
        <v>1.4</v>
      </c>
      <c r="AO352" s="89" t="n">
        <v>12.8</v>
      </c>
      <c r="AP352" s="90" t="inlineStr">
        <is>
          <t>N/A</t>
        </is>
      </c>
      <c r="AQ352" s="90" t="inlineStr">
        <is>
          <t>N/A</t>
        </is>
      </c>
      <c r="AR352" s="90" t="inlineStr">
        <is>
          <t>N/A</t>
        </is>
      </c>
      <c r="AS352" s="90" t="inlineStr">
        <is>
          <t>N/A</t>
        </is>
      </c>
      <c r="AT352" s="90" t="inlineStr">
        <is>
          <t>N/A</t>
        </is>
      </c>
      <c r="AU352" s="89" t="n">
        <v>316.6</v>
      </c>
      <c r="AV352" s="89" t="n">
        <v>357</v>
      </c>
      <c r="AW352" s="89" t="n">
        <v>120.3</v>
      </c>
      <c r="AX352" s="90" t="inlineStr">
        <is>
          <t>N/A</t>
        </is>
      </c>
      <c r="AY352" s="90" t="inlineStr">
        <is>
          <t>N/A</t>
        </is>
      </c>
      <c r="AZ352" s="90" t="inlineStr">
        <is>
          <t>N/A</t>
        </is>
      </c>
      <c r="BA352" s="89" t="n">
        <v>-234.3</v>
      </c>
      <c r="BB352" s="89" t="n">
        <v>81.3</v>
      </c>
      <c r="BC352" s="89" t="n">
        <v>64.90000000000001</v>
      </c>
      <c r="BD352" s="89" t="n">
        <v>15</v>
      </c>
      <c r="BE352" s="89" t="n">
        <v>50.5</v>
      </c>
      <c r="BF352" s="89" t="n">
        <v>63.5</v>
      </c>
      <c r="BG352" s="89" t="n">
        <v>7.4</v>
      </c>
      <c r="BH352" s="89" t="n">
        <v>-521.1</v>
      </c>
      <c r="BI352" s="89" t="n">
        <v>-404.1</v>
      </c>
      <c r="BJ352" s="89" t="n">
        <v>4</v>
      </c>
      <c r="BK352" s="89" t="n">
        <v>6</v>
      </c>
      <c r="BL352" s="89" t="n">
        <v>3.6</v>
      </c>
      <c r="BM352" s="89" t="n">
        <v>13.6</v>
      </c>
      <c r="BN352" s="90" t="inlineStr">
        <is>
          <t>N/A</t>
        </is>
      </c>
      <c r="BO352" s="89" t="n">
        <v>39.2</v>
      </c>
      <c r="BP352" s="89" t="n">
        <v>47.1</v>
      </c>
      <c r="BQ352" s="90" t="inlineStr">
        <is>
          <t>N/A</t>
        </is>
      </c>
      <c r="BR352" s="89" t="n">
        <v>0</v>
      </c>
      <c r="BS352" s="90" t="inlineStr">
        <is>
          <t>N/A</t>
        </is>
      </c>
      <c r="BT352" s="90" t="inlineStr">
        <is>
          <t>N/A</t>
        </is>
      </c>
      <c r="BU352" s="89" t="n">
        <v>0</v>
      </c>
      <c r="BV352" s="89" t="n">
        <v>0</v>
      </c>
      <c r="BW352" s="89" t="n">
        <v>0</v>
      </c>
      <c r="BX352" s="89" t="n">
        <v>-0</v>
      </c>
      <c r="BY352" s="90" t="inlineStr">
        <is>
          <t>N/A</t>
        </is>
      </c>
    </row>
    <row r="353" ht="17" customHeight="1">
      <c r="A353" s="82" t="n">
        <v>351</v>
      </c>
      <c r="B353" s="83" t="inlineStr">
        <is>
          <t>APPF</t>
        </is>
      </c>
      <c r="C353" s="84" t="inlineStr">
        <is>
          <t>AppFolio, Inc.</t>
        </is>
      </c>
      <c r="D353" s="82" t="inlineStr">
        <is>
          <t>Information Technology</t>
        </is>
      </c>
      <c r="E353" s="82" t="n">
        <v>2026</v>
      </c>
      <c r="F353" s="85" t="n">
        <v>689</v>
      </c>
      <c r="G353" s="85" t="n">
        <v>353.3</v>
      </c>
      <c r="H353" s="85" t="n">
        <v>106.8</v>
      </c>
      <c r="I353" s="85" t="n">
        <v>146.4</v>
      </c>
      <c r="J353" s="85" t="n">
        <v>431</v>
      </c>
      <c r="K353" s="85" t="n">
        <v>152.9</v>
      </c>
      <c r="L353" s="85" t="n">
        <v>950.8</v>
      </c>
      <c r="M353" s="85" t="n">
        <v>140.9</v>
      </c>
      <c r="N353" s="85" t="n">
        <v>242.1</v>
      </c>
      <c r="O353" s="85" t="n">
        <v>806.9</v>
      </c>
      <c r="P353" s="85" t="n">
        <v>47.4</v>
      </c>
      <c r="Q353" s="85" t="n">
        <v>542.6</v>
      </c>
      <c r="R353" s="85" t="n">
        <v>95.59999999999999</v>
      </c>
      <c r="S353" s="85" t="n">
        <v>22.7</v>
      </c>
      <c r="T353" s="85" t="n">
        <v>36.9</v>
      </c>
      <c r="U353" s="85" t="n">
        <v>23.2</v>
      </c>
      <c r="V353" s="85" t="n">
        <v>0.8</v>
      </c>
      <c r="W353" s="85" t="n">
        <v>626.7</v>
      </c>
      <c r="X353" s="85" t="n">
        <v>335.4</v>
      </c>
      <c r="Y353" s="85" t="n">
        <v>63.3</v>
      </c>
      <c r="Z353" s="85" t="n">
        <v>107.4</v>
      </c>
      <c r="AA353" s="85" t="n">
        <v>135.6</v>
      </c>
      <c r="AB353" s="85" t="n">
        <v>794.2</v>
      </c>
      <c r="AC353" s="85" t="n">
        <v>204.1</v>
      </c>
      <c r="AD353" s="85" t="n">
        <v>188.2</v>
      </c>
      <c r="AE353" s="85" t="n">
        <v>675.2</v>
      </c>
      <c r="AF353" s="85" t="n">
        <v>48.6</v>
      </c>
      <c r="AG353" s="85" t="n">
        <v>519.3</v>
      </c>
      <c r="AH353" s="85" t="n">
        <v>794.2</v>
      </c>
      <c r="AI353" s="85" t="n">
        <v>626.7</v>
      </c>
      <c r="AJ353" s="85" t="n">
        <v>161.1</v>
      </c>
      <c r="AK353" s="85" t="n">
        <v>150.3</v>
      </c>
      <c r="AL353" s="85" t="n">
        <v>20.2</v>
      </c>
      <c r="AM353" s="85" t="n">
        <v>-53.7</v>
      </c>
      <c r="AN353" s="85" t="n">
        <v>3.2</v>
      </c>
      <c r="AO353" s="85" t="n">
        <v>2</v>
      </c>
      <c r="AP353" s="91" t="inlineStr">
        <is>
          <t>N/A</t>
        </is>
      </c>
      <c r="AQ353" s="91" t="inlineStr">
        <is>
          <t>N/A</t>
        </is>
      </c>
      <c r="AR353" s="85" t="n">
        <v>96.40000000000001</v>
      </c>
      <c r="AS353" s="85" t="n">
        <v>38.8</v>
      </c>
      <c r="AT353" s="91" t="inlineStr">
        <is>
          <t>N/A</t>
        </is>
      </c>
      <c r="AU353" s="85" t="n">
        <v>190.4</v>
      </c>
      <c r="AV353" s="85" t="n">
        <v>107</v>
      </c>
      <c r="AW353" s="85" t="n">
        <v>42.5</v>
      </c>
      <c r="AX353" s="85" t="n">
        <v>47.4</v>
      </c>
      <c r="AY353" s="85" t="n">
        <v>48.6</v>
      </c>
      <c r="AZ353" s="85" t="n">
        <v>-59.6</v>
      </c>
      <c r="BA353" s="85" t="n">
        <v>238.9</v>
      </c>
      <c r="BB353" s="91" t="inlineStr">
        <is>
          <t>N/A</t>
        </is>
      </c>
      <c r="BC353" s="91" t="inlineStr">
        <is>
          <t>N/A</t>
        </is>
      </c>
      <c r="BD353" s="85" t="n">
        <v>24.3</v>
      </c>
      <c r="BE353" s="85" t="n">
        <v>24.5</v>
      </c>
      <c r="BF353" s="85" t="n">
        <v>86</v>
      </c>
      <c r="BG353" s="85" t="n">
        <v>17.8</v>
      </c>
      <c r="BH353" s="85" t="n">
        <v>10.2</v>
      </c>
      <c r="BI353" s="85" t="n">
        <v>-151.8</v>
      </c>
      <c r="BJ353" s="85" t="n">
        <v>4.1</v>
      </c>
      <c r="BK353" s="85" t="n">
        <v>2.4</v>
      </c>
      <c r="BL353" s="85" t="n">
        <v>7.1</v>
      </c>
      <c r="BM353" s="85" t="n">
        <v>7.6</v>
      </c>
      <c r="BN353" s="85" t="n">
        <v>0.1</v>
      </c>
      <c r="BO353" s="85" t="n">
        <v>143.9</v>
      </c>
      <c r="BP353" s="85" t="n">
        <v>119</v>
      </c>
      <c r="BQ353" s="85" t="n">
        <v>0</v>
      </c>
      <c r="BR353" s="85" t="n">
        <v>0</v>
      </c>
      <c r="BS353" s="91" t="inlineStr">
        <is>
          <t>N/A</t>
        </is>
      </c>
      <c r="BT353" s="91" t="inlineStr">
        <is>
          <t>N/A</t>
        </is>
      </c>
      <c r="BU353" s="85" t="n">
        <v>0</v>
      </c>
      <c r="BV353" s="85" t="n">
        <v>0</v>
      </c>
      <c r="BW353" s="85" t="n">
        <v>0</v>
      </c>
      <c r="BX353" s="85" t="n">
        <v>0</v>
      </c>
      <c r="BY353" s="85" t="n">
        <v>0</v>
      </c>
    </row>
    <row r="354" ht="17" customHeight="1">
      <c r="A354" s="86" t="n">
        <v>352</v>
      </c>
      <c r="B354" s="87" t="inlineStr">
        <is>
          <t>TJX</t>
        </is>
      </c>
      <c r="C354" s="88" t="inlineStr">
        <is>
          <t>THE TJX COMPANIES, INC.</t>
        </is>
      </c>
      <c r="D354" s="86" t="inlineStr">
        <is>
          <t>Consumer Discretionary</t>
        </is>
      </c>
      <c r="E354" s="86" t="n">
        <v>2026</v>
      </c>
      <c r="F354" s="89" t="n">
        <v>35767</v>
      </c>
      <c r="G354" s="89" t="n">
        <v>15202</v>
      </c>
      <c r="H354" s="89" t="n">
        <v>13361</v>
      </c>
      <c r="I354" s="89" t="n">
        <v>35767</v>
      </c>
      <c r="J354" s="89" t="n">
        <v>9434</v>
      </c>
      <c r="K354" s="89" t="n">
        <v>4763.2</v>
      </c>
      <c r="L354" s="89" t="n">
        <v>29078.4</v>
      </c>
      <c r="M354" s="89" t="n">
        <v>5494</v>
      </c>
      <c r="N354" s="89" t="n">
        <v>6874</v>
      </c>
      <c r="O354" s="89" t="n">
        <v>3060.6</v>
      </c>
      <c r="P354" s="89" t="n">
        <v>1870</v>
      </c>
      <c r="Q354" s="89" t="n">
        <v>10190</v>
      </c>
      <c r="R354" s="89" t="n">
        <v>11515</v>
      </c>
      <c r="S354" s="89" t="n">
        <v>1247</v>
      </c>
      <c r="T354" s="89" t="n">
        <v>602</v>
      </c>
      <c r="U354" s="89" t="n">
        <v>8220</v>
      </c>
      <c r="V354" s="89" t="n">
        <v>79</v>
      </c>
      <c r="W354" s="89" t="n">
        <v>31749</v>
      </c>
      <c r="X354" s="89" t="n">
        <v>12991</v>
      </c>
      <c r="Y354" s="89" t="n">
        <v>11008</v>
      </c>
      <c r="Z354" s="89" t="n">
        <v>31749</v>
      </c>
      <c r="AA354" s="89" t="n">
        <v>4403.2</v>
      </c>
      <c r="AB354" s="89" t="n">
        <v>8304</v>
      </c>
      <c r="AC354" s="89" t="n">
        <v>4864</v>
      </c>
      <c r="AD354" s="89" t="n">
        <v>6116</v>
      </c>
      <c r="AE354" s="89" t="n">
        <v>3055</v>
      </c>
      <c r="AF354" s="89" t="n">
        <v>2866</v>
      </c>
      <c r="AG354" s="89" t="n">
        <v>8393</v>
      </c>
      <c r="AH354" s="89" t="n">
        <v>7366.1</v>
      </c>
      <c r="AI354" s="89" t="n">
        <v>31749</v>
      </c>
      <c r="AJ354" s="89" t="n">
        <v>7299</v>
      </c>
      <c r="AK354" s="89" t="n">
        <v>6483</v>
      </c>
      <c r="AL354" s="89" t="n">
        <v>1805</v>
      </c>
      <c r="AM354" s="89" t="n">
        <v>1619</v>
      </c>
      <c r="AN354" s="89" t="n">
        <v>1957</v>
      </c>
      <c r="AO354" s="89" t="n">
        <v>1918</v>
      </c>
      <c r="AP354" s="89" t="n">
        <v>7297</v>
      </c>
      <c r="AQ354" s="89" t="n">
        <v>6421</v>
      </c>
      <c r="AR354" s="89" t="n">
        <v>96</v>
      </c>
      <c r="AS354" s="90" t="inlineStr">
        <is>
          <t>N/A</t>
        </is>
      </c>
      <c r="AT354" s="89" t="n">
        <v>999</v>
      </c>
      <c r="AU354" s="90" t="inlineStr">
        <is>
          <t>N/A</t>
        </is>
      </c>
      <c r="AV354" s="89" t="n">
        <v>6230</v>
      </c>
      <c r="AW354" s="89" t="n">
        <v>5335</v>
      </c>
      <c r="AX354" s="89" t="n">
        <v>2869</v>
      </c>
      <c r="AY354" s="89" t="n">
        <v>2866</v>
      </c>
      <c r="AZ354" s="89" t="n">
        <v>-3361</v>
      </c>
      <c r="BA354" s="89" t="n">
        <v>4917</v>
      </c>
      <c r="BB354" s="89" t="n">
        <v>1107.1</v>
      </c>
      <c r="BC354" s="89" t="n">
        <v>1119.3</v>
      </c>
      <c r="BD354" s="89" t="n">
        <v>549</v>
      </c>
      <c r="BE354" s="89" t="n">
        <v>7346</v>
      </c>
      <c r="BF354" s="89" t="n">
        <v>10946</v>
      </c>
      <c r="BG354" s="89" t="n">
        <v>1104</v>
      </c>
      <c r="BH354" s="89" t="n">
        <v>-1981</v>
      </c>
      <c r="BI354" s="89" t="n">
        <v>-2477</v>
      </c>
      <c r="BJ354" s="89" t="n">
        <v>4575</v>
      </c>
      <c r="BK354" s="89" t="n">
        <v>4257</v>
      </c>
      <c r="BL354" s="89" t="n">
        <v>897</v>
      </c>
      <c r="BM354" s="89" t="n">
        <v>824</v>
      </c>
      <c r="BN354" s="89" t="n">
        <v>170</v>
      </c>
      <c r="BO354" s="89" t="n">
        <v>41679</v>
      </c>
      <c r="BP354" s="89" t="n">
        <v>39112</v>
      </c>
      <c r="BQ354" s="89" t="n">
        <v>0</v>
      </c>
      <c r="BR354" s="89" t="n">
        <v>0</v>
      </c>
      <c r="BS354" s="89" t="n">
        <v>0</v>
      </c>
      <c r="BT354" s="89" t="n">
        <v>0</v>
      </c>
      <c r="BU354" s="89" t="n">
        <v>0</v>
      </c>
      <c r="BV354" s="89" t="n">
        <v>0</v>
      </c>
      <c r="BW354" s="89" t="n">
        <v>0</v>
      </c>
      <c r="BX354" s="89" t="n">
        <v>0</v>
      </c>
      <c r="BY354" s="89" t="n">
        <v>0</v>
      </c>
    </row>
    <row r="355" ht="17" customHeight="1">
      <c r="A355" s="82" t="n">
        <v>353</v>
      </c>
      <c r="B355" s="83" t="inlineStr">
        <is>
          <t>CBOE</t>
        </is>
      </c>
      <c r="C355" s="84" t="inlineStr">
        <is>
          <t>Cboe Global Markets, Inc.</t>
        </is>
      </c>
      <c r="D355" s="82" t="inlineStr">
        <is>
          <t>Financials</t>
        </is>
      </c>
      <c r="E355" s="82" t="n">
        <v>2026</v>
      </c>
      <c r="F355" s="85" t="n">
        <v>9305.299999999999</v>
      </c>
      <c r="G355" s="85" t="n">
        <v>4421.4</v>
      </c>
      <c r="H355" s="85" t="n">
        <v>2362.3</v>
      </c>
      <c r="I355" s="85" t="n">
        <v>4167</v>
      </c>
      <c r="J355" s="85" t="n">
        <v>3543.6</v>
      </c>
      <c r="K355" s="85" t="n">
        <v>1467.1</v>
      </c>
      <c r="L355" s="85" t="n">
        <v>2229.1</v>
      </c>
      <c r="M355" s="85" t="n">
        <v>1100</v>
      </c>
      <c r="N355" s="85" t="n">
        <v>1752.6</v>
      </c>
      <c r="O355" s="85" t="n">
        <v>2429.1</v>
      </c>
      <c r="P355" s="85" t="n">
        <v>1442.9</v>
      </c>
      <c r="Q355" s="85" t="n">
        <v>5138.3</v>
      </c>
      <c r="R355" s="91" t="inlineStr">
        <is>
          <t>N/A</t>
        </is>
      </c>
      <c r="S355" s="85" t="n">
        <v>44.4</v>
      </c>
      <c r="T355" s="85" t="n">
        <v>391.4</v>
      </c>
      <c r="U355" s="85" t="n">
        <v>133.1</v>
      </c>
      <c r="V355" s="85" t="n">
        <v>0</v>
      </c>
      <c r="W355" s="85" t="n">
        <v>7789.1</v>
      </c>
      <c r="X355" s="85" t="n">
        <v>2479.1</v>
      </c>
      <c r="Y355" s="85" t="n">
        <v>1395.2</v>
      </c>
      <c r="Z355" s="85" t="n">
        <v>3509.5</v>
      </c>
      <c r="AA355" s="85" t="n">
        <v>1098.4</v>
      </c>
      <c r="AB355" s="85" t="n">
        <v>656.9</v>
      </c>
      <c r="AC355" s="85" t="n">
        <v>764.9</v>
      </c>
      <c r="AD355" s="85" t="n">
        <v>1100.6</v>
      </c>
      <c r="AE355" s="85" t="n">
        <v>2072.4</v>
      </c>
      <c r="AF355" s="85" t="n">
        <v>1441</v>
      </c>
      <c r="AG355" s="85" t="n">
        <v>4279.6</v>
      </c>
      <c r="AH355" s="85" t="n">
        <v>703.1</v>
      </c>
      <c r="AI355" s="85" t="n">
        <v>7789.1</v>
      </c>
      <c r="AJ355" s="85" t="n">
        <v>1566.6</v>
      </c>
      <c r="AK355" s="85" t="n">
        <v>1083.8</v>
      </c>
      <c r="AL355" s="85" t="n">
        <v>466.6</v>
      </c>
      <c r="AM355" s="85" t="n">
        <v>318.9</v>
      </c>
      <c r="AN355" s="85" t="n">
        <v>71</v>
      </c>
      <c r="AO355" s="85" t="n">
        <v>60.9</v>
      </c>
      <c r="AP355" s="91" t="inlineStr">
        <is>
          <t>N/A</t>
        </is>
      </c>
      <c r="AQ355" s="91" t="inlineStr">
        <is>
          <t>N/A</t>
        </is>
      </c>
      <c r="AR355" s="85" t="n">
        <v>3150.5</v>
      </c>
      <c r="AS355" s="85" t="n">
        <v>81.3</v>
      </c>
      <c r="AT355" s="85" t="n">
        <v>304.7</v>
      </c>
      <c r="AU355" s="91" t="inlineStr">
        <is>
          <t>N/A</t>
        </is>
      </c>
      <c r="AV355" s="85" t="n">
        <v>2216.5</v>
      </c>
      <c r="AW355" s="85" t="n">
        <v>920.3</v>
      </c>
      <c r="AX355" s="85" t="n">
        <v>1747.6</v>
      </c>
      <c r="AY355" s="85" t="n">
        <v>1441</v>
      </c>
      <c r="AZ355" s="85" t="n">
        <v>-468.9</v>
      </c>
      <c r="BA355" s="85" t="n">
        <v>1681.6</v>
      </c>
      <c r="BB355" s="85" t="n">
        <v>104.6</v>
      </c>
      <c r="BC355" s="85" t="n">
        <v>104.7</v>
      </c>
      <c r="BD355" s="85" t="n">
        <v>444.6</v>
      </c>
      <c r="BE355" s="85" t="n">
        <v>118</v>
      </c>
      <c r="BF355" s="91" t="inlineStr">
        <is>
          <t>N/A</t>
        </is>
      </c>
      <c r="BG355" s="85" t="n">
        <v>46.3</v>
      </c>
      <c r="BH355" s="85" t="n">
        <v>450.2</v>
      </c>
      <c r="BI355" s="85" t="n">
        <v>-141.8</v>
      </c>
      <c r="BJ355" s="85" t="n">
        <v>16.1</v>
      </c>
      <c r="BK355" s="85" t="n">
        <v>17.9</v>
      </c>
      <c r="BL355" s="85" t="n">
        <v>15.4</v>
      </c>
      <c r="BM355" s="85" t="n">
        <v>3.1</v>
      </c>
      <c r="BN355" s="85" t="n">
        <v>50.1</v>
      </c>
      <c r="BO355" s="85" t="n">
        <v>2285.1</v>
      </c>
      <c r="BP355" s="85" t="n">
        <v>2022.1</v>
      </c>
      <c r="BQ355" s="85" t="n">
        <v>0</v>
      </c>
      <c r="BR355" s="85" t="n">
        <v>0</v>
      </c>
      <c r="BS355" s="91" t="inlineStr">
        <is>
          <t>N/A</t>
        </is>
      </c>
      <c r="BT355" s="91" t="inlineStr">
        <is>
          <t>N/A</t>
        </is>
      </c>
      <c r="BU355" s="85" t="n">
        <v>0</v>
      </c>
      <c r="BV355" s="85" t="n">
        <v>0</v>
      </c>
      <c r="BW355" s="85" t="n">
        <v>0</v>
      </c>
      <c r="BX355" s="85" t="n">
        <v>0</v>
      </c>
      <c r="BY355" s="85" t="n">
        <v>0</v>
      </c>
    </row>
    <row r="356" ht="17" customHeight="1">
      <c r="A356" s="86" t="n">
        <v>354</v>
      </c>
      <c r="B356" s="87" t="inlineStr">
        <is>
          <t>STT</t>
        </is>
      </c>
      <c r="C356" s="88" t="inlineStr">
        <is>
          <t>STATE STREET CORPORATION</t>
        </is>
      </c>
      <c r="D356" s="86" t="inlineStr">
        <is>
          <t>Financials</t>
        </is>
      </c>
      <c r="E356" s="86" t="n">
        <v>2026</v>
      </c>
      <c r="F356" s="89" t="n">
        <v>366047</v>
      </c>
      <c r="G356" s="90" t="inlineStr">
        <is>
          <t>N/A</t>
        </is>
      </c>
      <c r="H356" s="90" t="inlineStr">
        <is>
          <t>N/A</t>
        </is>
      </c>
      <c r="I356" s="89" t="n">
        <v>338206</v>
      </c>
      <c r="J356" s="89" t="n">
        <v>31392</v>
      </c>
      <c r="K356" s="89" t="n">
        <v>3731</v>
      </c>
      <c r="L356" s="89" t="n">
        <v>13944</v>
      </c>
      <c r="M356" s="89" t="n">
        <v>2945</v>
      </c>
      <c r="N356" s="89" t="n">
        <v>11898</v>
      </c>
      <c r="O356" s="90" t="inlineStr">
        <is>
          <t>N/A</t>
        </is>
      </c>
      <c r="P356" s="89" t="n">
        <v>11534</v>
      </c>
      <c r="Q356" s="89" t="n">
        <v>27841</v>
      </c>
      <c r="R356" s="90" t="inlineStr">
        <is>
          <t>N/A</t>
        </is>
      </c>
      <c r="S356" s="89" t="n">
        <v>599</v>
      </c>
      <c r="T356" s="89" t="n">
        <v>621</v>
      </c>
      <c r="U356" s="89" t="n">
        <v>2399</v>
      </c>
      <c r="V356" s="89" t="n">
        <v>6421</v>
      </c>
      <c r="W356" s="89" t="n">
        <v>353240</v>
      </c>
      <c r="X356" s="90" t="inlineStr">
        <is>
          <t>N/A</t>
        </is>
      </c>
      <c r="Y356" s="90" t="inlineStr">
        <is>
          <t>N/A</t>
        </is>
      </c>
      <c r="Z356" s="89" t="n">
        <v>327914</v>
      </c>
      <c r="AA356" s="89" t="n">
        <v>3395</v>
      </c>
      <c r="AB356" s="89" t="n">
        <v>13000</v>
      </c>
      <c r="AC356" s="89" t="n">
        <v>2687</v>
      </c>
      <c r="AD356" s="89" t="n">
        <v>-13210</v>
      </c>
      <c r="AE356" s="90" t="inlineStr">
        <is>
          <t>N/A</t>
        </is>
      </c>
      <c r="AF356" s="89" t="n">
        <v>10042</v>
      </c>
      <c r="AG356" s="89" t="n">
        <v>25326</v>
      </c>
      <c r="AH356" s="89" t="n">
        <v>13000</v>
      </c>
      <c r="AI356" s="89" t="n">
        <v>353240</v>
      </c>
      <c r="AJ356" s="89" t="n">
        <v>3731</v>
      </c>
      <c r="AK356" s="89" t="n">
        <v>3395</v>
      </c>
      <c r="AL356" s="89" t="n">
        <v>786</v>
      </c>
      <c r="AM356" s="89" t="n">
        <v>708</v>
      </c>
      <c r="AN356" s="89" t="n">
        <v>1055</v>
      </c>
      <c r="AO356" s="89" t="n">
        <v>926</v>
      </c>
      <c r="AP356" s="90" t="inlineStr">
        <is>
          <t>N/A</t>
        </is>
      </c>
      <c r="AQ356" s="90" t="inlineStr">
        <is>
          <t>N/A</t>
        </is>
      </c>
      <c r="AR356" s="89" t="n">
        <v>8159</v>
      </c>
      <c r="AS356" s="89" t="n">
        <v>935</v>
      </c>
      <c r="AT356" s="90" t="inlineStr">
        <is>
          <t>N/A</t>
        </is>
      </c>
      <c r="AU356" s="90" t="inlineStr">
        <is>
          <t>N/A</t>
        </is>
      </c>
      <c r="AV356" s="90" t="inlineStr">
        <is>
          <t>N/A</t>
        </is>
      </c>
      <c r="AW356" s="90" t="inlineStr">
        <is>
          <t>N/A</t>
        </is>
      </c>
      <c r="AX356" s="89" t="n">
        <v>11534</v>
      </c>
      <c r="AY356" s="89" t="n">
        <v>10042</v>
      </c>
      <c r="AZ356" s="89" t="n">
        <v>11534</v>
      </c>
      <c r="BA356" s="89" t="n">
        <v>10843</v>
      </c>
      <c r="BB356" s="89" t="n">
        <v>279.1</v>
      </c>
      <c r="BC356" s="89" t="n">
        <v>288.8</v>
      </c>
      <c r="BD356" s="89" t="n">
        <v>504</v>
      </c>
      <c r="BE356" s="89" t="n">
        <v>2315</v>
      </c>
      <c r="BF356" s="90" t="inlineStr">
        <is>
          <t>N/A</t>
        </is>
      </c>
      <c r="BG356" s="89" t="n">
        <v>526</v>
      </c>
      <c r="BH356" s="89" t="n">
        <v>-12991</v>
      </c>
      <c r="BI356" s="89" t="n">
        <v>-39483</v>
      </c>
      <c r="BJ356" s="90" t="inlineStr">
        <is>
          <t>N/A</t>
        </is>
      </c>
      <c r="BK356" s="90" t="inlineStr">
        <is>
          <t>N/A</t>
        </is>
      </c>
      <c r="BL356" s="89" t="n">
        <v>131</v>
      </c>
      <c r="BM356" s="89" t="n">
        <v>144</v>
      </c>
      <c r="BN356" s="90" t="inlineStr">
        <is>
          <t>N/A</t>
        </is>
      </c>
      <c r="BO356" s="90" t="inlineStr">
        <is>
          <t>N/A</t>
        </is>
      </c>
      <c r="BP356" s="90" t="inlineStr">
        <is>
          <t>N/A</t>
        </is>
      </c>
      <c r="BQ356" s="89" t="n">
        <v>0</v>
      </c>
      <c r="BR356" s="89" t="n">
        <v>0</v>
      </c>
      <c r="BS356" s="90" t="inlineStr">
        <is>
          <t>N/A</t>
        </is>
      </c>
      <c r="BT356" s="90" t="inlineStr">
        <is>
          <t>N/A</t>
        </is>
      </c>
      <c r="BU356" s="90" t="inlineStr">
        <is>
          <t>N/A</t>
        </is>
      </c>
      <c r="BV356" s="90" t="inlineStr">
        <is>
          <t>N/A</t>
        </is>
      </c>
      <c r="BW356" s="89" t="n">
        <v>0</v>
      </c>
      <c r="BX356" s="89" t="n">
        <v>0</v>
      </c>
      <c r="BY356" s="89" t="n">
        <v>0</v>
      </c>
    </row>
    <row r="357" ht="17" customHeight="1">
      <c r="A357" s="82" t="n">
        <v>355</v>
      </c>
      <c r="B357" s="83" t="inlineStr">
        <is>
          <t>ORLY</t>
        </is>
      </c>
      <c r="C357" s="84" t="inlineStr">
        <is>
          <t>O Reilly Automotive Inc</t>
        </is>
      </c>
      <c r="D357" s="82" t="inlineStr">
        <is>
          <t>Consumer Discretionary</t>
        </is>
      </c>
      <c r="E357" s="82" t="n">
        <v>2026</v>
      </c>
      <c r="F357" s="85" t="n">
        <v>16538.3</v>
      </c>
      <c r="G357" s="85" t="n">
        <v>6744.3</v>
      </c>
      <c r="H357" s="85" t="n">
        <v>8775.799999999999</v>
      </c>
      <c r="I357" s="85" t="n">
        <v>16538.3</v>
      </c>
      <c r="J357" s="85" t="n">
        <v>-2328.8</v>
      </c>
      <c r="K357" s="85" t="n">
        <v>3460.6</v>
      </c>
      <c r="L357" s="85" t="n">
        <v>17782</v>
      </c>
      <c r="M357" s="85" t="n">
        <v>2538.2</v>
      </c>
      <c r="N357" s="85" t="n">
        <v>2762</v>
      </c>
      <c r="O357" s="85" t="n">
        <v>9174.1</v>
      </c>
      <c r="P357" s="85" t="n">
        <v>1900</v>
      </c>
      <c r="Q357" s="85" t="n">
        <v>-763.4</v>
      </c>
      <c r="R357" s="85" t="n">
        <v>5713.5</v>
      </c>
      <c r="S357" s="85" t="n">
        <v>511.2</v>
      </c>
      <c r="T357" s="85" t="n">
        <v>389.8</v>
      </c>
      <c r="U357" s="85" t="n">
        <v>6257.4</v>
      </c>
      <c r="V357" s="85" t="n">
        <v>235.1</v>
      </c>
      <c r="W357" s="85" t="n">
        <v>14893.7</v>
      </c>
      <c r="X357" s="85" t="n">
        <v>5839.9</v>
      </c>
      <c r="Y357" s="85" t="n">
        <v>8283.5</v>
      </c>
      <c r="Z357" s="85" t="n">
        <v>14893.7</v>
      </c>
      <c r="AA357" s="85" t="n">
        <v>3251.2</v>
      </c>
      <c r="AB357" s="85" t="n">
        <v>16708.5</v>
      </c>
      <c r="AC357" s="85" t="n">
        <v>2386.7</v>
      </c>
      <c r="AD357" s="85" t="n">
        <v>3049.6</v>
      </c>
      <c r="AE357" s="85" t="n">
        <v>8554.5</v>
      </c>
      <c r="AF357" s="85" t="n">
        <v>1400</v>
      </c>
      <c r="AG357" s="85" t="n">
        <v>-1371</v>
      </c>
      <c r="AH357" s="85" t="n">
        <v>16708.5</v>
      </c>
      <c r="AI357" s="85" t="n">
        <v>14893.7</v>
      </c>
      <c r="AJ357" s="85" t="n">
        <v>3240.2</v>
      </c>
      <c r="AK357" s="85" t="n">
        <v>3045.1</v>
      </c>
      <c r="AL357" s="85" t="n">
        <v>702</v>
      </c>
      <c r="AM357" s="85" t="n">
        <v>658.4</v>
      </c>
      <c r="AN357" s="85" t="n">
        <v>1168.8</v>
      </c>
      <c r="AO357" s="85" t="n">
        <v>1023.4</v>
      </c>
      <c r="AP357" s="85" t="n">
        <v>5731.4</v>
      </c>
      <c r="AQ357" s="85" t="n">
        <v>5095.8</v>
      </c>
      <c r="AR357" s="85" t="n">
        <v>948.2</v>
      </c>
      <c r="AS357" s="85" t="n">
        <v>32.6</v>
      </c>
      <c r="AT357" s="85" t="n">
        <v>0</v>
      </c>
      <c r="AU357" s="91" t="inlineStr">
        <is>
          <t>N/A</t>
        </is>
      </c>
      <c r="AV357" s="85" t="n">
        <v>193.8</v>
      </c>
      <c r="AW357" s="85" t="n">
        <v>130.2</v>
      </c>
      <c r="AX357" s="85" t="n">
        <v>1900</v>
      </c>
      <c r="AY357" s="85" t="n">
        <v>1400</v>
      </c>
      <c r="AZ357" s="85" t="n">
        <v>1706.2</v>
      </c>
      <c r="BA357" s="85" t="n">
        <v>1593.2</v>
      </c>
      <c r="BB357" s="85" t="n">
        <v>841.9</v>
      </c>
      <c r="BC357" s="85" t="n">
        <v>57.5</v>
      </c>
      <c r="BD357" s="85" t="n">
        <v>356.8</v>
      </c>
      <c r="BE357" s="85" t="n">
        <v>5605.2</v>
      </c>
      <c r="BF357" s="85" t="n">
        <v>5303.3</v>
      </c>
      <c r="BG357" s="85" t="n">
        <v>461.9</v>
      </c>
      <c r="BH357" s="85" t="n">
        <v>-1152.4</v>
      </c>
      <c r="BI357" s="85" t="n">
        <v>-1166.8</v>
      </c>
      <c r="BJ357" s="85" t="n">
        <v>7103.7</v>
      </c>
      <c r="BK357" s="85" t="n">
        <v>6524.8</v>
      </c>
      <c r="BL357" s="91" t="inlineStr">
        <is>
          <t>N/A</t>
        </is>
      </c>
      <c r="BM357" s="91" t="inlineStr">
        <is>
          <t>N/A</t>
        </is>
      </c>
      <c r="BN357" s="85" t="n">
        <v>14</v>
      </c>
      <c r="BO357" s="85" t="n">
        <v>8607.9</v>
      </c>
      <c r="BP357" s="85" t="n">
        <v>8154</v>
      </c>
      <c r="BQ357" s="85" t="n">
        <v>0</v>
      </c>
      <c r="BR357" s="85" t="n">
        <v>0</v>
      </c>
      <c r="BS357" s="85" t="n">
        <v>0</v>
      </c>
      <c r="BT357" s="85" t="n">
        <v>0</v>
      </c>
      <c r="BU357" s="85" t="n">
        <v>0</v>
      </c>
      <c r="BV357" s="85" t="n">
        <v>0</v>
      </c>
      <c r="BW357" s="85" t="n">
        <v>0</v>
      </c>
      <c r="BX357" s="85" t="n">
        <v>0</v>
      </c>
      <c r="BY357" s="85" t="n">
        <v>0</v>
      </c>
    </row>
    <row r="358" ht="17" customHeight="1">
      <c r="A358" s="86" t="n">
        <v>356</v>
      </c>
      <c r="B358" s="87" t="inlineStr">
        <is>
          <t>ROIV</t>
        </is>
      </c>
      <c r="C358" s="88" t="inlineStr">
        <is>
          <t>ROIVANT SCIENCES LTD.</t>
        </is>
      </c>
      <c r="D358" s="86" t="inlineStr">
        <is>
          <t>Health Care</t>
        </is>
      </c>
      <c r="E358" s="86" t="n">
        <v>2026</v>
      </c>
      <c r="F358" s="89" t="n">
        <v>5708.7</v>
      </c>
      <c r="G358" s="89" t="n">
        <v>5167.4</v>
      </c>
      <c r="H358" s="89" t="n">
        <v>281.2</v>
      </c>
      <c r="I358" s="89" t="n">
        <v>416.3</v>
      </c>
      <c r="J358" s="89" t="n">
        <v>-501.8</v>
      </c>
      <c r="K358" s="89" t="n">
        <v>-515.1</v>
      </c>
      <c r="L358" s="89" t="n">
        <v>8.300000000000001</v>
      </c>
      <c r="M358" s="89" t="n">
        <v>-299.8</v>
      </c>
      <c r="N358" s="89" t="n">
        <v>-750.3</v>
      </c>
      <c r="O358" s="89" t="n">
        <v>-1285.3</v>
      </c>
      <c r="P358" s="89" t="n">
        <v>430.6</v>
      </c>
      <c r="Q358" s="89" t="n">
        <v>4527.4</v>
      </c>
      <c r="R358" s="89" t="n">
        <v>687.4</v>
      </c>
      <c r="S358" s="89" t="n">
        <v>3.3</v>
      </c>
      <c r="T358" s="89" t="n">
        <v>53.5</v>
      </c>
      <c r="U358" s="89" t="n">
        <v>12</v>
      </c>
      <c r="V358" s="89" t="n">
        <v>34.8</v>
      </c>
      <c r="W358" s="89" t="n">
        <v>5436.9</v>
      </c>
      <c r="X358" s="89" t="n">
        <v>5000.1</v>
      </c>
      <c r="Y358" s="89" t="n">
        <v>149.4</v>
      </c>
      <c r="Z358" s="89" t="n">
        <v>249.7</v>
      </c>
      <c r="AA358" s="89" t="n">
        <v>-1003.3</v>
      </c>
      <c r="AB358" s="89" t="n">
        <v>29.1</v>
      </c>
      <c r="AC358" s="89" t="n">
        <v>-172</v>
      </c>
      <c r="AD358" s="89" t="n">
        <v>-839.5</v>
      </c>
      <c r="AE358" s="89" t="n">
        <v>-1113.7</v>
      </c>
      <c r="AF358" s="89" t="n">
        <v>375.5</v>
      </c>
      <c r="AG358" s="89" t="n">
        <v>4687.6</v>
      </c>
      <c r="AH358" s="89" t="n">
        <v>29.1</v>
      </c>
      <c r="AI358" s="89" t="n">
        <v>5436.9</v>
      </c>
      <c r="AJ358" s="89" t="n">
        <v>-264.6</v>
      </c>
      <c r="AK358" s="89" t="n">
        <v>-681.6</v>
      </c>
      <c r="AL358" s="89" t="n">
        <v>133.3</v>
      </c>
      <c r="AM358" s="89" t="n">
        <v>48.2</v>
      </c>
      <c r="AN358" s="89" t="n">
        <v>8.199999999999999</v>
      </c>
      <c r="AO358" s="89" t="n">
        <v>4.6</v>
      </c>
      <c r="AP358" s="89" t="n">
        <v>35.3</v>
      </c>
      <c r="AQ358" s="89" t="n">
        <v>2.8</v>
      </c>
      <c r="AR358" s="90" t="inlineStr">
        <is>
          <t>N/A</t>
        </is>
      </c>
      <c r="AS358" s="89" t="n">
        <v>137.8</v>
      </c>
      <c r="AT358" s="89" t="n">
        <v>12</v>
      </c>
      <c r="AU358" s="89" t="n">
        <v>681.8</v>
      </c>
      <c r="AV358" s="89" t="n">
        <v>1419.2</v>
      </c>
      <c r="AW358" s="89" t="n">
        <v>2715.4</v>
      </c>
      <c r="AX358" s="89" t="n">
        <v>442.6</v>
      </c>
      <c r="AY358" s="89" t="n">
        <v>375.5</v>
      </c>
      <c r="AZ358" s="89" t="n">
        <v>-976.6</v>
      </c>
      <c r="BA358" s="89" t="n">
        <v>-758.6</v>
      </c>
      <c r="BB358" s="89" t="n">
        <v>720.4</v>
      </c>
      <c r="BC358" s="89" t="n">
        <v>695.9</v>
      </c>
      <c r="BD358" s="89" t="n">
        <v>30.4</v>
      </c>
      <c r="BE358" s="89" t="n">
        <v>12.1</v>
      </c>
      <c r="BF358" s="89" t="n">
        <v>600.5</v>
      </c>
      <c r="BG358" s="89" t="n">
        <v>14.1</v>
      </c>
      <c r="BH358" s="89" t="n">
        <v>-682.3</v>
      </c>
      <c r="BI358" s="89" t="n">
        <v>-1766.3</v>
      </c>
      <c r="BJ358" s="89" t="n">
        <v>18</v>
      </c>
      <c r="BK358" s="89" t="n">
        <v>23.7</v>
      </c>
      <c r="BL358" s="89" t="n">
        <v>1.2</v>
      </c>
      <c r="BM358" s="89" t="n">
        <v>4.2</v>
      </c>
      <c r="BN358" s="89" t="n">
        <v>45.7</v>
      </c>
      <c r="BO358" s="89" t="n">
        <v>1293.6</v>
      </c>
      <c r="BP358" s="89" t="n">
        <v>1142.7</v>
      </c>
      <c r="BQ358" s="89" t="n">
        <v>0</v>
      </c>
      <c r="BR358" s="89" t="n">
        <v>0</v>
      </c>
      <c r="BS358" s="89" t="n">
        <v>0</v>
      </c>
      <c r="BT358" s="89" t="n">
        <v>0</v>
      </c>
      <c r="BU358" s="89" t="n">
        <v>0</v>
      </c>
      <c r="BV358" s="89" t="n">
        <v>0</v>
      </c>
      <c r="BW358" s="89" t="n">
        <v>0</v>
      </c>
      <c r="BX358" s="89" t="n">
        <v>-0</v>
      </c>
      <c r="BY358" s="89" t="n">
        <v>-0</v>
      </c>
    </row>
    <row r="359" ht="17" customHeight="1">
      <c r="A359" s="82" t="n">
        <v>357</v>
      </c>
      <c r="B359" s="83" t="inlineStr">
        <is>
          <t>ALNY</t>
        </is>
      </c>
      <c r="C359" s="84" t="inlineStr">
        <is>
          <t>ALNYLAM PHARMACEUTICALS, INC.</t>
        </is>
      </c>
      <c r="D359" s="82" t="inlineStr">
        <is>
          <t>Health Care</t>
        </is>
      </c>
      <c r="E359" s="82" t="n">
        <v>2026</v>
      </c>
      <c r="F359" s="85" t="n">
        <v>4966.3</v>
      </c>
      <c r="G359" s="85" t="n">
        <v>4050.7</v>
      </c>
      <c r="H359" s="85" t="n">
        <v>1466.3</v>
      </c>
      <c r="I359" s="85" t="n">
        <v>4177.2</v>
      </c>
      <c r="J359" s="85" t="n">
        <v>-6702.5</v>
      </c>
      <c r="K359" s="85" t="n">
        <v>501.6</v>
      </c>
      <c r="L359" s="85" t="n">
        <v>1037.4</v>
      </c>
      <c r="M359" s="85" t="n">
        <v>313.7</v>
      </c>
      <c r="N359" s="85" t="n">
        <v>524.1</v>
      </c>
      <c r="O359" s="85" t="n">
        <v>360.3</v>
      </c>
      <c r="P359" s="91" t="inlineStr">
        <is>
          <t>N/A</t>
        </is>
      </c>
      <c r="Q359" s="85" t="n">
        <v>789.2</v>
      </c>
      <c r="R359" s="85" t="n">
        <v>1210.7</v>
      </c>
      <c r="S359" s="85" t="n">
        <v>13.4</v>
      </c>
      <c r="T359" s="85" t="n">
        <v>777.6</v>
      </c>
      <c r="U359" s="85" t="n">
        <v>513.1</v>
      </c>
      <c r="V359" s="85" t="n">
        <v>121.2</v>
      </c>
      <c r="W359" s="85" t="n">
        <v>4240</v>
      </c>
      <c r="X359" s="85" t="n">
        <v>3295.3</v>
      </c>
      <c r="Y359" s="85" t="n">
        <v>1186.3</v>
      </c>
      <c r="Z359" s="85" t="n">
        <v>4172.9</v>
      </c>
      <c r="AA359" s="85" t="n">
        <v>-176.9</v>
      </c>
      <c r="AB359" s="85" t="n">
        <v>844.3</v>
      </c>
      <c r="AC359" s="85" t="n">
        <v>202.2</v>
      </c>
      <c r="AD359" s="85" t="n">
        <v>-8.300000000000001</v>
      </c>
      <c r="AE359" s="85" t="n">
        <v>537.8</v>
      </c>
      <c r="AF359" s="91" t="inlineStr">
        <is>
          <t>N/A</t>
        </is>
      </c>
      <c r="AG359" s="85" t="n">
        <v>67.09999999999999</v>
      </c>
      <c r="AH359" s="85" t="n">
        <v>844.3</v>
      </c>
      <c r="AI359" s="85" t="n">
        <v>4240</v>
      </c>
      <c r="AJ359" s="85" t="n">
        <v>323.2</v>
      </c>
      <c r="AK359" s="85" t="n">
        <v>236.9</v>
      </c>
      <c r="AL359" s="85" t="n">
        <v>9.4</v>
      </c>
      <c r="AM359" s="85" t="n">
        <v>-99.2</v>
      </c>
      <c r="AN359" s="85" t="n">
        <v>58.7</v>
      </c>
      <c r="AO359" s="85" t="n">
        <v>34.3</v>
      </c>
      <c r="AP359" s="85" t="n">
        <v>82.7</v>
      </c>
      <c r="AQ359" s="85" t="n">
        <v>78.5</v>
      </c>
      <c r="AR359" s="91" t="inlineStr">
        <is>
          <t>N/A</t>
        </is>
      </c>
      <c r="AS359" s="85" t="n">
        <v>0.3</v>
      </c>
      <c r="AT359" s="91" t="inlineStr">
        <is>
          <t>N/A</t>
        </is>
      </c>
      <c r="AU359" s="85" t="n">
        <v>1319.8</v>
      </c>
      <c r="AV359" s="85" t="n">
        <v>1657.2</v>
      </c>
      <c r="AW359" s="85" t="n">
        <v>966.4</v>
      </c>
      <c r="AX359" s="91" t="inlineStr">
        <is>
          <t>N/A</t>
        </is>
      </c>
      <c r="AY359" s="91" t="inlineStr">
        <is>
          <t>N/A</t>
        </is>
      </c>
      <c r="AZ359" s="91" t="inlineStr">
        <is>
          <t>N/A</t>
        </is>
      </c>
      <c r="BA359" s="85" t="n">
        <v>465.4</v>
      </c>
      <c r="BB359" s="85" t="n">
        <v>132.4</v>
      </c>
      <c r="BC359" s="85" t="n">
        <v>129.3</v>
      </c>
      <c r="BD359" s="85" t="n">
        <v>405.3</v>
      </c>
      <c r="BE359" s="85" t="n">
        <v>502.8</v>
      </c>
      <c r="BF359" s="85" t="n">
        <v>975.5</v>
      </c>
      <c r="BG359" s="85" t="n">
        <v>15.1</v>
      </c>
      <c r="BH359" s="85" t="n">
        <v>436.3</v>
      </c>
      <c r="BI359" s="85" t="n">
        <v>-116.8</v>
      </c>
      <c r="BJ359" s="85" t="n">
        <v>115.7</v>
      </c>
      <c r="BK359" s="85" t="n">
        <v>88.40000000000001</v>
      </c>
      <c r="BL359" s="85" t="n">
        <v>41.7</v>
      </c>
      <c r="BM359" s="85" t="n">
        <v>33.5</v>
      </c>
      <c r="BN359" s="91" t="inlineStr">
        <is>
          <t>N/A</t>
        </is>
      </c>
      <c r="BO359" s="85" t="n">
        <v>677.2</v>
      </c>
      <c r="BP359" s="85" t="n">
        <v>306.5</v>
      </c>
      <c r="BQ359" s="85" t="n">
        <v>0</v>
      </c>
      <c r="BR359" s="85" t="n">
        <v>0</v>
      </c>
      <c r="BS359" s="85" t="n">
        <v>0</v>
      </c>
      <c r="BT359" s="85" t="n">
        <v>0</v>
      </c>
      <c r="BU359" s="85" t="n">
        <v>0</v>
      </c>
      <c r="BV359" s="85" t="n">
        <v>0</v>
      </c>
      <c r="BW359" s="85" t="n">
        <v>0</v>
      </c>
      <c r="BX359" s="85" t="n">
        <v>0</v>
      </c>
      <c r="BY359" s="85" t="n">
        <v>0</v>
      </c>
    </row>
    <row r="360" ht="17" customHeight="1">
      <c r="A360" s="86" t="n">
        <v>358</v>
      </c>
      <c r="B360" s="87" t="inlineStr">
        <is>
          <t>IOSP</t>
        </is>
      </c>
      <c r="C360" s="88" t="inlineStr">
        <is>
          <t>INNOSPEC INC.</t>
        </is>
      </c>
      <c r="D360" s="86" t="inlineStr">
        <is>
          <t>Information Technology</t>
        </is>
      </c>
      <c r="E360" s="86" t="n">
        <v>2026</v>
      </c>
      <c r="F360" s="89" t="n">
        <v>1832.4</v>
      </c>
      <c r="G360" s="89" t="n">
        <v>1004.6</v>
      </c>
      <c r="H360" s="89" t="n">
        <v>360.1</v>
      </c>
      <c r="I360" s="89" t="n">
        <v>499.5</v>
      </c>
      <c r="J360" s="89" t="n">
        <v>1099.2</v>
      </c>
      <c r="K360" s="89" t="n">
        <v>129.5</v>
      </c>
      <c r="L360" s="89" t="n">
        <v>1778</v>
      </c>
      <c r="M360" s="89" t="n">
        <v>119.5</v>
      </c>
      <c r="N360" s="89" t="n">
        <v>138.3</v>
      </c>
      <c r="O360" s="89" t="n">
        <v>492.4</v>
      </c>
      <c r="P360" s="90" t="inlineStr">
        <is>
          <t>N/A</t>
        </is>
      </c>
      <c r="Q360" s="89" t="n">
        <v>1326.1</v>
      </c>
      <c r="R360" s="89" t="n">
        <v>285.1</v>
      </c>
      <c r="S360" s="89" t="n">
        <v>43.6</v>
      </c>
      <c r="T360" s="89" t="n">
        <v>342.3</v>
      </c>
      <c r="U360" s="89" t="n">
        <v>286.1</v>
      </c>
      <c r="V360" s="89" t="n">
        <v>3.8</v>
      </c>
      <c r="W360" s="89" t="n">
        <v>1734.7</v>
      </c>
      <c r="X360" s="89" t="n">
        <v>956.6</v>
      </c>
      <c r="Y360" s="89" t="n">
        <v>371.4</v>
      </c>
      <c r="Z360" s="89" t="n">
        <v>518.6</v>
      </c>
      <c r="AA360" s="89" t="n">
        <v>177.9</v>
      </c>
      <c r="AB360" s="89" t="n">
        <v>1845.4</v>
      </c>
      <c r="AC360" s="89" t="n">
        <v>84.09999999999999</v>
      </c>
      <c r="AD360" s="89" t="n">
        <v>184.5</v>
      </c>
      <c r="AE360" s="89" t="n">
        <v>542.9</v>
      </c>
      <c r="AF360" s="89" t="n">
        <v>58.6</v>
      </c>
      <c r="AG360" s="89" t="n">
        <v>1211.2</v>
      </c>
      <c r="AH360" s="89" t="n">
        <v>1845.4</v>
      </c>
      <c r="AI360" s="89" t="n">
        <v>1734.7</v>
      </c>
      <c r="AJ360" s="89" t="n">
        <v>138.1</v>
      </c>
      <c r="AK360" s="89" t="n">
        <v>41.2</v>
      </c>
      <c r="AL360" s="89" t="n">
        <v>21.5</v>
      </c>
      <c r="AM360" s="89" t="n">
        <v>5.6</v>
      </c>
      <c r="AN360" s="89" t="n">
        <v>50.3</v>
      </c>
      <c r="AO360" s="89" t="n">
        <v>41.4</v>
      </c>
      <c r="AP360" s="89" t="n">
        <v>329.3</v>
      </c>
      <c r="AQ360" s="89" t="n">
        <v>301</v>
      </c>
      <c r="AR360" s="89" t="n">
        <v>399</v>
      </c>
      <c r="AS360" s="89" t="n">
        <v>67.7</v>
      </c>
      <c r="AT360" s="90" t="inlineStr">
        <is>
          <t>N/A</t>
        </is>
      </c>
      <c r="AU360" s="89" t="n">
        <v>51</v>
      </c>
      <c r="AV360" s="89" t="n">
        <v>292.5</v>
      </c>
      <c r="AW360" s="89" t="n">
        <v>289.2</v>
      </c>
      <c r="AX360" s="90" t="inlineStr">
        <is>
          <t>N/A</t>
        </is>
      </c>
      <c r="AY360" s="89" t="n">
        <v>58.6</v>
      </c>
      <c r="AZ360" s="89" t="n">
        <v>-292.5</v>
      </c>
      <c r="BA360" s="89" t="n">
        <v>88</v>
      </c>
      <c r="BB360" s="89" t="n">
        <v>29.6</v>
      </c>
      <c r="BC360" s="89" t="n">
        <v>29.6</v>
      </c>
      <c r="BD360" s="89" t="n">
        <v>341.7</v>
      </c>
      <c r="BE360" s="89" t="n">
        <v>269.7</v>
      </c>
      <c r="BF360" s="89" t="n">
        <v>314</v>
      </c>
      <c r="BG360" s="89" t="n">
        <v>43.5</v>
      </c>
      <c r="BH360" s="89" t="n">
        <v>-75.09999999999999</v>
      </c>
      <c r="BI360" s="89" t="n">
        <v>-62</v>
      </c>
      <c r="BJ360" s="89" t="n">
        <v>174.7</v>
      </c>
      <c r="BK360" s="89" t="n">
        <v>163.8</v>
      </c>
      <c r="BL360" s="89" t="n">
        <v>0.5</v>
      </c>
      <c r="BM360" s="89" t="n">
        <v>0.5</v>
      </c>
      <c r="BN360" s="89" t="n">
        <v>5.3</v>
      </c>
      <c r="BO360" s="89" t="n">
        <v>1285.6</v>
      </c>
      <c r="BP360" s="89" t="n">
        <v>1302.5</v>
      </c>
      <c r="BQ360" s="89" t="n">
        <v>0</v>
      </c>
      <c r="BR360" s="89" t="n">
        <v>0</v>
      </c>
      <c r="BS360" s="89" t="n">
        <v>0</v>
      </c>
      <c r="BT360" s="89" t="n">
        <v>0</v>
      </c>
      <c r="BU360" s="89" t="n">
        <v>0</v>
      </c>
      <c r="BV360" s="89" t="n">
        <v>0</v>
      </c>
      <c r="BW360" s="89" t="n">
        <v>0</v>
      </c>
      <c r="BX360" s="89" t="n">
        <v>0</v>
      </c>
      <c r="BY360" s="89" t="n">
        <v>0</v>
      </c>
    </row>
    <row r="361" ht="17" customHeight="1">
      <c r="A361" s="82" t="n">
        <v>359</v>
      </c>
      <c r="B361" s="83" t="inlineStr">
        <is>
          <t>PAYC</t>
        </is>
      </c>
      <c r="C361" s="84" t="inlineStr">
        <is>
          <t>Paycom Software, Inc.</t>
        </is>
      </c>
      <c r="D361" s="82" t="inlineStr">
        <is>
          <t>Information Technology</t>
        </is>
      </c>
      <c r="E361" s="82" t="n">
        <v>2026</v>
      </c>
      <c r="F361" s="85" t="n">
        <v>7598.7</v>
      </c>
      <c r="G361" s="85" t="n">
        <v>5838.8</v>
      </c>
      <c r="H361" s="85" t="n">
        <v>5368.4</v>
      </c>
      <c r="I361" s="85" t="n">
        <v>5867.2</v>
      </c>
      <c r="J361" s="85" t="n">
        <v>2255.6</v>
      </c>
      <c r="K361" s="85" t="n">
        <v>567.2</v>
      </c>
      <c r="L361" s="85" t="n">
        <v>150.3</v>
      </c>
      <c r="M361" s="85" t="n">
        <v>453.4</v>
      </c>
      <c r="N361" s="85" t="n">
        <v>678.9</v>
      </c>
      <c r="O361" s="85" t="n">
        <v>1706.3</v>
      </c>
      <c r="P361" s="85" t="n">
        <v>29</v>
      </c>
      <c r="Q361" s="85" t="n">
        <v>1731.5</v>
      </c>
      <c r="R361" s="85" t="n">
        <v>1139.1</v>
      </c>
      <c r="S361" s="85" t="n">
        <v>93.90000000000001</v>
      </c>
      <c r="T361" s="85" t="n">
        <v>44.9</v>
      </c>
      <c r="U361" s="85" t="n">
        <v>498.2</v>
      </c>
      <c r="V361" s="85" t="n">
        <v>3.4</v>
      </c>
      <c r="W361" s="85" t="n">
        <v>5859.9</v>
      </c>
      <c r="X361" s="85" t="n">
        <v>4304.8</v>
      </c>
      <c r="Y361" s="85" t="n">
        <v>3906.8</v>
      </c>
      <c r="Z361" s="85" t="n">
        <v>4284</v>
      </c>
      <c r="AA361" s="85" t="n">
        <v>634.3</v>
      </c>
      <c r="AB361" s="85" t="n">
        <v>133.3</v>
      </c>
      <c r="AC361" s="85" t="n">
        <v>502</v>
      </c>
      <c r="AD361" s="85" t="n">
        <v>533.9</v>
      </c>
      <c r="AE361" s="85" t="n">
        <v>1548.6</v>
      </c>
      <c r="AF361" s="85" t="n">
        <v>29.2</v>
      </c>
      <c r="AG361" s="85" t="n">
        <v>1575.9</v>
      </c>
      <c r="AH361" s="85" t="n">
        <v>128.8</v>
      </c>
      <c r="AI361" s="85" t="n">
        <v>5859.9</v>
      </c>
      <c r="AJ361" s="85" t="n">
        <v>619.4</v>
      </c>
      <c r="AK361" s="85" t="n">
        <v>649</v>
      </c>
      <c r="AL361" s="85" t="n">
        <v>166</v>
      </c>
      <c r="AM361" s="85" t="n">
        <v>147</v>
      </c>
      <c r="AN361" s="85" t="n">
        <v>270.9</v>
      </c>
      <c r="AO361" s="85" t="n">
        <v>192.9</v>
      </c>
      <c r="AP361" s="85" t="n">
        <v>1.7</v>
      </c>
      <c r="AQ361" s="85" t="n">
        <v>1.4</v>
      </c>
      <c r="AR361" s="85" t="n">
        <v>51.9</v>
      </c>
      <c r="AS361" s="85" t="n">
        <v>46.2</v>
      </c>
      <c r="AT361" s="91" t="inlineStr">
        <is>
          <t>N/A</t>
        </is>
      </c>
      <c r="AU361" s="85" t="n">
        <v>283.4</v>
      </c>
      <c r="AV361" s="85" t="n">
        <v>370</v>
      </c>
      <c r="AW361" s="85" t="n">
        <v>402</v>
      </c>
      <c r="AX361" s="85" t="n">
        <v>29</v>
      </c>
      <c r="AY361" s="85" t="n">
        <v>29.2</v>
      </c>
      <c r="AZ361" s="85" t="n">
        <v>-341</v>
      </c>
      <c r="BA361" s="85" t="n">
        <v>408</v>
      </c>
      <c r="BB361" s="85" t="n">
        <v>54.8</v>
      </c>
      <c r="BC361" s="85" t="n">
        <v>55.9</v>
      </c>
      <c r="BD361" s="85" t="n">
        <v>39.2</v>
      </c>
      <c r="BE361" s="85" t="n">
        <v>402.4</v>
      </c>
      <c r="BF361" s="85" t="n">
        <v>914.3</v>
      </c>
      <c r="BG361" s="85" t="n">
        <v>78.7</v>
      </c>
      <c r="BH361" s="85" t="n">
        <v>-611.2</v>
      </c>
      <c r="BI361" s="85" t="n">
        <v>-22.2</v>
      </c>
      <c r="BJ361" s="85" t="n">
        <v>6.6</v>
      </c>
      <c r="BK361" s="85" t="n">
        <v>23.9</v>
      </c>
      <c r="BL361" s="85" t="n">
        <v>28.3</v>
      </c>
      <c r="BM361" s="85" t="n">
        <v>30</v>
      </c>
      <c r="BN361" s="91" t="inlineStr">
        <is>
          <t>N/A</t>
        </is>
      </c>
      <c r="BO361" s="85" t="n">
        <v>345.4</v>
      </c>
      <c r="BP361" s="85" t="n">
        <v>334.6</v>
      </c>
      <c r="BQ361" s="85" t="n">
        <v>0</v>
      </c>
      <c r="BR361" s="85" t="n">
        <v>0</v>
      </c>
      <c r="BS361" s="85" t="n">
        <v>0</v>
      </c>
      <c r="BT361" s="85" t="n">
        <v>0</v>
      </c>
      <c r="BU361" s="85" t="n">
        <v>0</v>
      </c>
      <c r="BV361" s="85" t="n">
        <v>0</v>
      </c>
      <c r="BW361" s="85" t="n">
        <v>0</v>
      </c>
      <c r="BX361" s="85" t="n">
        <v>0</v>
      </c>
      <c r="BY361" s="85" t="n">
        <v>0</v>
      </c>
    </row>
    <row r="362" ht="17" customHeight="1">
      <c r="A362" s="86" t="n">
        <v>360</v>
      </c>
      <c r="B362" s="87" t="inlineStr">
        <is>
          <t>UNP</t>
        </is>
      </c>
      <c r="C362" s="88" t="inlineStr">
        <is>
          <t>UNION PACIFIC CORP</t>
        </is>
      </c>
      <c r="D362" s="86" t="inlineStr">
        <is>
          <t>Industrials</t>
        </is>
      </c>
      <c r="E362" s="86" t="n">
        <v>2026</v>
      </c>
      <c r="F362" s="89" t="n">
        <v>69698</v>
      </c>
      <c r="G362" s="89" t="n">
        <v>4555</v>
      </c>
      <c r="H362" s="89" t="n">
        <v>5014</v>
      </c>
      <c r="I362" s="89" t="n">
        <v>51231</v>
      </c>
      <c r="J362" s="89" t="n">
        <v>69529</v>
      </c>
      <c r="K362" s="89" t="n">
        <v>9846</v>
      </c>
      <c r="L362" s="89" t="n">
        <v>19533</v>
      </c>
      <c r="M362" s="89" t="n">
        <v>7138</v>
      </c>
      <c r="N362" s="89" t="n">
        <v>9290</v>
      </c>
      <c r="O362" s="89" t="n">
        <v>7834</v>
      </c>
      <c r="P362" s="89" t="n">
        <v>31814</v>
      </c>
      <c r="Q362" s="89" t="n">
        <v>18467</v>
      </c>
      <c r="R362" s="90" t="inlineStr">
        <is>
          <t>N/A</t>
        </is>
      </c>
      <c r="S362" s="89" t="n">
        <v>2465</v>
      </c>
      <c r="T362" s="89" t="n">
        <v>1860</v>
      </c>
      <c r="U362" s="89" t="n">
        <v>57398</v>
      </c>
      <c r="V362" s="89" t="n">
        <v>1340</v>
      </c>
      <c r="W362" s="89" t="n">
        <v>67715</v>
      </c>
      <c r="X362" s="89" t="n">
        <v>4021</v>
      </c>
      <c r="Y362" s="89" t="n">
        <v>5254</v>
      </c>
      <c r="Z362" s="89" t="n">
        <v>50825</v>
      </c>
      <c r="AA362" s="89" t="n">
        <v>9713</v>
      </c>
      <c r="AB362" s="89" t="n">
        <v>5141</v>
      </c>
      <c r="AC362" s="89" t="n">
        <v>6747</v>
      </c>
      <c r="AD362" s="89" t="n">
        <v>9346</v>
      </c>
      <c r="AE362" s="89" t="n">
        <v>-8013</v>
      </c>
      <c r="AF362" s="89" t="n">
        <v>31192</v>
      </c>
      <c r="AG362" s="89" t="n">
        <v>16890</v>
      </c>
      <c r="AH362" s="89" t="n">
        <v>4919</v>
      </c>
      <c r="AI362" s="89" t="n">
        <v>67715</v>
      </c>
      <c r="AJ362" s="89" t="n">
        <v>9166</v>
      </c>
      <c r="AK362" s="89" t="n">
        <v>8794</v>
      </c>
      <c r="AL362" s="89" t="n">
        <v>2028</v>
      </c>
      <c r="AM362" s="89" t="n">
        <v>2047</v>
      </c>
      <c r="AN362" s="89" t="n">
        <v>3791</v>
      </c>
      <c r="AO362" s="89" t="n">
        <v>3452</v>
      </c>
      <c r="AP362" s="90" t="inlineStr">
        <is>
          <t>N/A</t>
        </is>
      </c>
      <c r="AQ362" s="90" t="inlineStr">
        <is>
          <t>N/A</t>
        </is>
      </c>
      <c r="AR362" s="90" t="inlineStr">
        <is>
          <t>N/A</t>
        </is>
      </c>
      <c r="AS362" s="90" t="inlineStr">
        <is>
          <t>N/A</t>
        </is>
      </c>
      <c r="AT362" s="90" t="inlineStr">
        <is>
          <t>N/A</t>
        </is>
      </c>
      <c r="AU362" s="90" t="inlineStr">
        <is>
          <t>N/A</t>
        </is>
      </c>
      <c r="AV362" s="89" t="n">
        <v>1266</v>
      </c>
      <c r="AW362" s="89" t="n">
        <v>1016</v>
      </c>
      <c r="AX362" s="89" t="n">
        <v>31814</v>
      </c>
      <c r="AY362" s="89" t="n">
        <v>31192</v>
      </c>
      <c r="AZ362" s="89" t="n">
        <v>30548</v>
      </c>
      <c r="BA362" s="89" t="n">
        <v>5499</v>
      </c>
      <c r="BB362" s="89" t="n">
        <v>593.2</v>
      </c>
      <c r="BC362" s="89" t="n">
        <v>604.2</v>
      </c>
      <c r="BD362" s="89" t="n">
        <v>1894</v>
      </c>
      <c r="BE362" s="89" t="n">
        <v>56038</v>
      </c>
      <c r="BF362" s="90" t="inlineStr">
        <is>
          <t>N/A</t>
        </is>
      </c>
      <c r="BG362" s="89" t="n">
        <v>2398</v>
      </c>
      <c r="BH362" s="89" t="n">
        <v>-3762</v>
      </c>
      <c r="BI362" s="89" t="n">
        <v>-3325</v>
      </c>
      <c r="BJ362" s="89" t="n">
        <v>804</v>
      </c>
      <c r="BK362" s="89" t="n">
        <v>847</v>
      </c>
      <c r="BL362" s="90" t="inlineStr">
        <is>
          <t>N/A</t>
        </is>
      </c>
      <c r="BM362" s="90" t="inlineStr">
        <is>
          <t>N/A</t>
        </is>
      </c>
      <c r="BN362" s="89" t="n">
        <v>491</v>
      </c>
      <c r="BO362" s="89" t="n">
        <v>11699</v>
      </c>
      <c r="BP362" s="89" t="n">
        <v>13154</v>
      </c>
      <c r="BQ362" s="89" t="n">
        <v>0</v>
      </c>
      <c r="BR362" s="89" t="n">
        <v>0</v>
      </c>
      <c r="BS362" s="90" t="inlineStr">
        <is>
          <t>N/A</t>
        </is>
      </c>
      <c r="BT362" s="90" t="inlineStr">
        <is>
          <t>N/A</t>
        </is>
      </c>
      <c r="BU362" s="89" t="n">
        <v>0</v>
      </c>
      <c r="BV362" s="89" t="n">
        <v>0</v>
      </c>
      <c r="BW362" s="89" t="n">
        <v>0</v>
      </c>
      <c r="BX362" s="89" t="n">
        <v>0</v>
      </c>
      <c r="BY362" s="89" t="n">
        <v>0</v>
      </c>
    </row>
    <row r="363" ht="17" customHeight="1">
      <c r="A363" s="82" t="n">
        <v>361</v>
      </c>
      <c r="B363" s="83" t="inlineStr">
        <is>
          <t>SHAK</t>
        </is>
      </c>
      <c r="C363" s="84" t="inlineStr">
        <is>
          <t>SHAKE SHACK INC.</t>
        </is>
      </c>
      <c r="D363" s="82" t="inlineStr">
        <is>
          <t>Consumer Discretionary</t>
        </is>
      </c>
      <c r="E363" s="82" t="n">
        <v>2026</v>
      </c>
      <c r="F363" s="85" t="n">
        <v>1896.2</v>
      </c>
      <c r="G363" s="85" t="n">
        <v>430.3</v>
      </c>
      <c r="H363" s="85" t="n">
        <v>244.9</v>
      </c>
      <c r="I363" s="85" t="n">
        <v>1342.5</v>
      </c>
      <c r="J363" s="85" t="n">
        <v>72.7</v>
      </c>
      <c r="K363" s="85" t="n">
        <v>62.5</v>
      </c>
      <c r="L363" s="85" t="n">
        <v>1445.3</v>
      </c>
      <c r="M363" s="85" t="n">
        <v>45.7</v>
      </c>
      <c r="N363" s="85" t="n">
        <v>222.4</v>
      </c>
      <c r="O363" s="85" t="n">
        <v>62.5</v>
      </c>
      <c r="P363" s="85" t="n">
        <v>247.7</v>
      </c>
      <c r="Q363" s="85" t="n">
        <v>525.3</v>
      </c>
      <c r="R363" s="85" t="n">
        <v>176.2</v>
      </c>
      <c r="S363" s="85" t="n">
        <v>106.6</v>
      </c>
      <c r="T363" s="85" t="n">
        <v>33</v>
      </c>
      <c r="U363" s="85" t="n">
        <v>625.9</v>
      </c>
      <c r="V363" s="85" t="n">
        <v>2.2</v>
      </c>
      <c r="W363" s="85" t="n">
        <v>1697</v>
      </c>
      <c r="X363" s="85" t="n">
        <v>368.2</v>
      </c>
      <c r="Y363" s="85" t="n">
        <v>187.3</v>
      </c>
      <c r="Z363" s="85" t="n">
        <v>1203.3</v>
      </c>
      <c r="AA363" s="85" t="n">
        <v>3</v>
      </c>
      <c r="AB363" s="85" t="n">
        <v>1252.6</v>
      </c>
      <c r="AC363" s="85" t="n">
        <v>10.2</v>
      </c>
      <c r="AD363" s="85" t="n">
        <v>171.2</v>
      </c>
      <c r="AE363" s="85" t="n">
        <v>3</v>
      </c>
      <c r="AF363" s="85" t="n">
        <v>246.7</v>
      </c>
      <c r="AG363" s="85" t="n">
        <v>470</v>
      </c>
      <c r="AH363" s="85" t="n">
        <v>1252.6</v>
      </c>
      <c r="AI363" s="85" t="n">
        <v>1697</v>
      </c>
      <c r="AJ363" s="85" t="n">
        <v>72.59999999999999</v>
      </c>
      <c r="AK363" s="85" t="n">
        <v>14.2</v>
      </c>
      <c r="AL363" s="85" t="n">
        <v>22.9</v>
      </c>
      <c r="AM363" s="85" t="n">
        <v>3.4</v>
      </c>
      <c r="AN363" s="85" t="n">
        <v>165.8</v>
      </c>
      <c r="AO363" s="85" t="n">
        <v>135.5</v>
      </c>
      <c r="AP363" s="85" t="n">
        <v>7.2</v>
      </c>
      <c r="AQ363" s="85" t="n">
        <v>6</v>
      </c>
      <c r="AR363" s="91" t="inlineStr">
        <is>
          <t>N/A</t>
        </is>
      </c>
      <c r="AS363" s="85" t="n">
        <v>2</v>
      </c>
      <c r="AT363" s="91" t="inlineStr">
        <is>
          <t>N/A</t>
        </is>
      </c>
      <c r="AU363" s="91" t="inlineStr">
        <is>
          <t>N/A</t>
        </is>
      </c>
      <c r="AV363" s="85" t="n">
        <v>360.1</v>
      </c>
      <c r="AW363" s="85" t="n">
        <v>320.7</v>
      </c>
      <c r="AX363" s="85" t="n">
        <v>247.7</v>
      </c>
      <c r="AY363" s="85" t="n">
        <v>278.7</v>
      </c>
      <c r="AZ363" s="85" t="n">
        <v>-112.4</v>
      </c>
      <c r="BA363" s="85" t="n">
        <v>56.5</v>
      </c>
      <c r="BB363" s="91" t="inlineStr">
        <is>
          <t>N/A</t>
        </is>
      </c>
      <c r="BC363" s="91" t="inlineStr">
        <is>
          <t>N/A</t>
        </is>
      </c>
      <c r="BD363" s="85" t="n">
        <v>19.7</v>
      </c>
      <c r="BE363" s="85" t="n">
        <v>551.6</v>
      </c>
      <c r="BF363" s="85" t="n">
        <v>149</v>
      </c>
      <c r="BG363" s="85" t="n">
        <v>102.5</v>
      </c>
      <c r="BH363" s="85" t="n">
        <v>-165.8</v>
      </c>
      <c r="BI363" s="85" t="n">
        <v>-66.09999999999999</v>
      </c>
      <c r="BJ363" s="85" t="n">
        <v>24.7</v>
      </c>
      <c r="BK363" s="85" t="n">
        <v>23.6</v>
      </c>
      <c r="BL363" s="85" t="n">
        <v>1.9</v>
      </c>
      <c r="BM363" s="85" t="n">
        <v>1.7</v>
      </c>
      <c r="BN363" s="91" t="inlineStr">
        <is>
          <t>N/A</t>
        </is>
      </c>
      <c r="BO363" s="85" t="n">
        <v>1382.8</v>
      </c>
      <c r="BP363" s="85" t="n">
        <v>1249.6</v>
      </c>
      <c r="BQ363" s="85" t="n">
        <v>0</v>
      </c>
      <c r="BR363" s="85" t="n">
        <v>0</v>
      </c>
      <c r="BS363" s="85" t="n">
        <v>0</v>
      </c>
      <c r="BT363" s="85" t="n">
        <v>0</v>
      </c>
      <c r="BU363" s="85" t="n">
        <v>0</v>
      </c>
      <c r="BV363" s="85" t="n">
        <v>0</v>
      </c>
      <c r="BW363" s="85" t="n">
        <v>0</v>
      </c>
      <c r="BX363" s="85" t="n">
        <v>0</v>
      </c>
      <c r="BY363" s="85" t="n">
        <v>0</v>
      </c>
    </row>
    <row r="364" ht="17" customHeight="1">
      <c r="A364" s="86" t="n">
        <v>362</v>
      </c>
      <c r="B364" s="87" t="inlineStr">
        <is>
          <t>WBD</t>
        </is>
      </c>
      <c r="C364" s="88" t="inlineStr">
        <is>
          <t>Warner Bros. Discovery, Inc.</t>
        </is>
      </c>
      <c r="D364" s="86" t="inlineStr">
        <is>
          <t>Communication Services</t>
        </is>
      </c>
      <c r="E364" s="86" t="n">
        <v>2026</v>
      </c>
      <c r="F364" s="89" t="n">
        <v>100085</v>
      </c>
      <c r="G364" s="89" t="n">
        <v>13206</v>
      </c>
      <c r="H364" s="89" t="n">
        <v>12500</v>
      </c>
      <c r="I364" s="89" t="n">
        <v>62919</v>
      </c>
      <c r="J364" s="89" t="n">
        <v>-11512</v>
      </c>
      <c r="K364" s="89" t="n">
        <v>738</v>
      </c>
      <c r="L364" s="89" t="n">
        <v>10553</v>
      </c>
      <c r="M364" s="89" t="n">
        <v>727</v>
      </c>
      <c r="N364" s="89" t="n">
        <v>4319</v>
      </c>
      <c r="O364" s="89" t="n">
        <v>6618</v>
      </c>
      <c r="P364" s="89" t="n">
        <v>32567</v>
      </c>
      <c r="Q364" s="89" t="n">
        <v>35919</v>
      </c>
      <c r="R364" s="89" t="n">
        <v>9418</v>
      </c>
      <c r="S364" s="89" t="n">
        <v>5684</v>
      </c>
      <c r="T364" s="89" t="n">
        <v>5294</v>
      </c>
      <c r="U364" s="89" t="n">
        <v>6685</v>
      </c>
      <c r="V364" s="89" t="n">
        <v>2221</v>
      </c>
      <c r="W364" s="89" t="n">
        <v>104560</v>
      </c>
      <c r="X364" s="89" t="n">
        <v>14078</v>
      </c>
      <c r="Y364" s="89" t="n">
        <v>15810</v>
      </c>
      <c r="Z364" s="89" t="n">
        <v>69622</v>
      </c>
      <c r="AA364" s="89" t="n">
        <v>-10032</v>
      </c>
      <c r="AB364" s="89" t="n">
        <v>6873</v>
      </c>
      <c r="AC364" s="89" t="n">
        <v>-11311</v>
      </c>
      <c r="AD364" s="89" t="n">
        <v>5375</v>
      </c>
      <c r="AE364" s="89" t="n">
        <v>4217</v>
      </c>
      <c r="AF364" s="89" t="n">
        <v>39505</v>
      </c>
      <c r="AG364" s="89" t="n">
        <v>34037</v>
      </c>
      <c r="AH364" s="89" t="n">
        <v>6497</v>
      </c>
      <c r="AI364" s="89" t="n">
        <v>104560</v>
      </c>
      <c r="AJ364" s="89" t="n">
        <v>1639</v>
      </c>
      <c r="AK364" s="89" t="n">
        <v>-11388</v>
      </c>
      <c r="AL364" s="89" t="n">
        <v>890</v>
      </c>
      <c r="AM364" s="89" t="n">
        <v>94</v>
      </c>
      <c r="AN364" s="89" t="n">
        <v>1231</v>
      </c>
      <c r="AO364" s="89" t="n">
        <v>948</v>
      </c>
      <c r="AP364" s="90" t="inlineStr">
        <is>
          <t>N/A</t>
        </is>
      </c>
      <c r="AQ364" s="90" t="inlineStr">
        <is>
          <t>N/A</t>
        </is>
      </c>
      <c r="AR364" s="89" t="n">
        <v>25933</v>
      </c>
      <c r="AS364" s="89" t="n">
        <v>27764</v>
      </c>
      <c r="AT364" s="89" t="n">
        <v>20</v>
      </c>
      <c r="AU364" s="90" t="inlineStr">
        <is>
          <t>N/A</t>
        </is>
      </c>
      <c r="AV364" s="89" t="n">
        <v>4566</v>
      </c>
      <c r="AW364" s="89" t="n">
        <v>5312</v>
      </c>
      <c r="AX364" s="89" t="n">
        <v>32587</v>
      </c>
      <c r="AY364" s="89" t="n">
        <v>39543</v>
      </c>
      <c r="AZ364" s="89" t="n">
        <v>28021</v>
      </c>
      <c r="BA364" s="89" t="n">
        <v>3088</v>
      </c>
      <c r="BB364" s="89" t="n">
        <v>2480</v>
      </c>
      <c r="BC364" s="89" t="n">
        <v>2454</v>
      </c>
      <c r="BD364" s="89" t="n">
        <v>4947</v>
      </c>
      <c r="BE364" s="89" t="n">
        <v>6087</v>
      </c>
      <c r="BF364" s="89" t="n">
        <v>9296</v>
      </c>
      <c r="BG364" s="89" t="n">
        <v>7037</v>
      </c>
      <c r="BH364" s="89" t="n">
        <v>-1179</v>
      </c>
      <c r="BI364" s="89" t="n">
        <v>-349</v>
      </c>
      <c r="BJ364" s="89" t="n">
        <v>1093</v>
      </c>
      <c r="BK364" s="89" t="n">
        <v>1055</v>
      </c>
      <c r="BL364" s="89" t="n">
        <v>91</v>
      </c>
      <c r="BM364" s="89" t="n">
        <v>93</v>
      </c>
      <c r="BN364" s="89" t="n">
        <v>30</v>
      </c>
      <c r="BO364" s="89" t="n">
        <v>3935</v>
      </c>
      <c r="BP364" s="89" t="n">
        <v>2656</v>
      </c>
      <c r="BQ364" s="89" t="n">
        <v>0</v>
      </c>
      <c r="BR364" s="89" t="n">
        <v>0</v>
      </c>
      <c r="BS364" s="90" t="inlineStr">
        <is>
          <t>N/A</t>
        </is>
      </c>
      <c r="BT364" s="90" t="inlineStr">
        <is>
          <t>N/A</t>
        </is>
      </c>
      <c r="BU364" s="89" t="n">
        <v>0</v>
      </c>
      <c r="BV364" s="89" t="n">
        <v>0</v>
      </c>
      <c r="BW364" s="89" t="n">
        <v>0</v>
      </c>
      <c r="BX364" s="89" t="n">
        <v>0</v>
      </c>
      <c r="BY364" s="89" t="n">
        <v>0</v>
      </c>
    </row>
    <row r="365" ht="17" customHeight="1">
      <c r="A365" s="82" t="n">
        <v>363</v>
      </c>
      <c r="B365" s="83" t="inlineStr">
        <is>
          <t>WMT</t>
        </is>
      </c>
      <c r="C365" s="84" t="inlineStr">
        <is>
          <t>WALMART INC.</t>
        </is>
      </c>
      <c r="D365" s="82" t="inlineStr">
        <is>
          <t>Consumer Discretionary</t>
        </is>
      </c>
      <c r="E365" s="82" t="n">
        <v>2026</v>
      </c>
      <c r="F365" s="85" t="n">
        <v>284668</v>
      </c>
      <c r="G365" s="85" t="n">
        <v>84874</v>
      </c>
      <c r="H365" s="85" t="n">
        <v>107469</v>
      </c>
      <c r="I365" s="85" t="n">
        <v>284668</v>
      </c>
      <c r="J365" s="85" t="n">
        <v>104774</v>
      </c>
      <c r="K365" s="85" t="n">
        <v>29825</v>
      </c>
      <c r="L365" s="85" t="n">
        <v>713163</v>
      </c>
      <c r="M365" s="85" t="n">
        <v>21893</v>
      </c>
      <c r="N365" s="85" t="n">
        <v>41565</v>
      </c>
      <c r="O365" s="85" t="n">
        <v>177768</v>
      </c>
      <c r="P365" s="85" t="n">
        <v>38166</v>
      </c>
      <c r="Q365" s="85" t="n">
        <v>99617</v>
      </c>
      <c r="R365" s="85" t="n">
        <v>147943</v>
      </c>
      <c r="S365" s="85" t="n">
        <v>10678</v>
      </c>
      <c r="T365" s="85" t="n">
        <v>11172</v>
      </c>
      <c r="U365" s="85" t="n">
        <v>136083</v>
      </c>
      <c r="V365" s="85" t="n">
        <v>2318</v>
      </c>
      <c r="W365" s="85" t="n">
        <v>260823</v>
      </c>
      <c r="X365" s="85" t="n">
        <v>79458</v>
      </c>
      <c r="Y365" s="85" t="n">
        <v>96584</v>
      </c>
      <c r="Z365" s="85" t="n">
        <v>260823</v>
      </c>
      <c r="AA365" s="85" t="n">
        <v>29348</v>
      </c>
      <c r="AB365" s="85" t="n">
        <v>680985</v>
      </c>
      <c r="AC365" s="85" t="n">
        <v>19436</v>
      </c>
      <c r="AD365" s="85" t="n">
        <v>36443</v>
      </c>
      <c r="AE365" s="85" t="n">
        <v>169232</v>
      </c>
      <c r="AF365" s="85" t="n">
        <v>35999</v>
      </c>
      <c r="AG365" s="85" t="n">
        <v>91013</v>
      </c>
      <c r="AH365" s="85" t="n">
        <v>680985</v>
      </c>
      <c r="AI365" s="85" t="n">
        <v>260823</v>
      </c>
      <c r="AJ365" s="85" t="n">
        <v>29469</v>
      </c>
      <c r="AK365" s="85" t="n">
        <v>26309</v>
      </c>
      <c r="AL365" s="85" t="n">
        <v>7199</v>
      </c>
      <c r="AM365" s="85" t="n">
        <v>6152</v>
      </c>
      <c r="AN365" s="85" t="n">
        <v>26642</v>
      </c>
      <c r="AO365" s="85" t="n">
        <v>23783</v>
      </c>
      <c r="AP365" s="85" t="n">
        <v>58851</v>
      </c>
      <c r="AQ365" s="85" t="n">
        <v>56435</v>
      </c>
      <c r="AR365" s="85" t="n">
        <v>28735</v>
      </c>
      <c r="AS365" s="85" t="n">
        <v>4300</v>
      </c>
      <c r="AT365" s="85" t="n">
        <v>6596</v>
      </c>
      <c r="AU365" s="91" t="inlineStr">
        <is>
          <t>N/A</t>
        </is>
      </c>
      <c r="AV365" s="85" t="n">
        <v>10727</v>
      </c>
      <c r="AW365" s="85" t="n">
        <v>9037</v>
      </c>
      <c r="AX365" s="85" t="n">
        <v>44762</v>
      </c>
      <c r="AY365" s="85" t="n">
        <v>39067</v>
      </c>
      <c r="AZ365" s="85" t="n">
        <v>34035</v>
      </c>
      <c r="BA365" s="85" t="n">
        <v>14923</v>
      </c>
      <c r="BB365" s="85" t="n">
        <v>3418</v>
      </c>
      <c r="BC365" s="85" t="n">
        <v>3516</v>
      </c>
      <c r="BD365" s="85" t="n">
        <v>9975</v>
      </c>
      <c r="BE365" s="85" t="n">
        <v>119993</v>
      </c>
      <c r="BF365" s="85" t="n">
        <v>139884</v>
      </c>
      <c r="BG365" s="85" t="n">
        <v>10529</v>
      </c>
      <c r="BH365" s="85" t="n">
        <v>-26350</v>
      </c>
      <c r="BI365" s="85" t="n">
        <v>-21379</v>
      </c>
      <c r="BJ365" s="85" t="n">
        <v>63061</v>
      </c>
      <c r="BK365" s="85" t="n">
        <v>58666</v>
      </c>
      <c r="BL365" s="85" t="n">
        <v>730</v>
      </c>
      <c r="BM365" s="85" t="n">
        <v>743</v>
      </c>
      <c r="BN365" s="85" t="n">
        <v>596</v>
      </c>
      <c r="BO365" s="85" t="n">
        <v>535395</v>
      </c>
      <c r="BP365" s="85" t="n">
        <v>511753</v>
      </c>
      <c r="BQ365" s="85" t="n">
        <v>0</v>
      </c>
      <c r="BR365" s="85" t="n">
        <v>0</v>
      </c>
      <c r="BS365" s="85" t="n">
        <v>0</v>
      </c>
      <c r="BT365" s="85" t="n">
        <v>0</v>
      </c>
      <c r="BU365" s="85" t="n">
        <v>0</v>
      </c>
      <c r="BV365" s="85" t="n">
        <v>0</v>
      </c>
      <c r="BW365" s="85" t="n">
        <v>0</v>
      </c>
      <c r="BX365" s="85" t="n">
        <v>0</v>
      </c>
      <c r="BY365" s="85" t="n">
        <v>0</v>
      </c>
    </row>
    <row r="366" ht="17" customHeight="1">
      <c r="A366" s="86" t="n">
        <v>364</v>
      </c>
      <c r="B366" s="87" t="inlineStr">
        <is>
          <t>TXT</t>
        </is>
      </c>
      <c r="C366" s="88" t="inlineStr">
        <is>
          <t>Textron Inc.</t>
        </is>
      </c>
      <c r="D366" s="86" t="inlineStr">
        <is>
          <t>Industrials</t>
        </is>
      </c>
      <c r="E366" s="86" t="n">
        <v>2026</v>
      </c>
      <c r="F366" s="89" t="n">
        <v>18129</v>
      </c>
      <c r="G366" s="90" t="inlineStr">
        <is>
          <t>N/A</t>
        </is>
      </c>
      <c r="H366" s="90" t="inlineStr">
        <is>
          <t>N/A</t>
        </is>
      </c>
      <c r="I366" s="89" t="n">
        <v>10254</v>
      </c>
      <c r="J366" s="89" t="n">
        <v>5784</v>
      </c>
      <c r="K366" s="89" t="n">
        <v>1137</v>
      </c>
      <c r="L366" s="89" t="n">
        <v>14799</v>
      </c>
      <c r="M366" s="89" t="n">
        <v>921</v>
      </c>
      <c r="N366" s="89" t="n">
        <v>1312</v>
      </c>
      <c r="O366" s="89" t="n">
        <v>4705</v>
      </c>
      <c r="P366" s="90" t="inlineStr">
        <is>
          <t>N/A</t>
        </is>
      </c>
      <c r="Q366" s="89" t="n">
        <v>7875</v>
      </c>
      <c r="R366" s="89" t="n">
        <v>1173</v>
      </c>
      <c r="S366" s="89" t="n">
        <v>401</v>
      </c>
      <c r="T366" s="90" t="inlineStr">
        <is>
          <t>N/A</t>
        </is>
      </c>
      <c r="U366" s="89" t="n">
        <v>2477</v>
      </c>
      <c r="V366" s="89" t="n">
        <v>142</v>
      </c>
      <c r="W366" s="89" t="n">
        <v>16838</v>
      </c>
      <c r="X366" s="90" t="inlineStr">
        <is>
          <t>N/A</t>
        </is>
      </c>
      <c r="Y366" s="90" t="inlineStr">
        <is>
          <t>N/A</t>
        </is>
      </c>
      <c r="Z366" s="89" t="n">
        <v>9634</v>
      </c>
      <c r="AA366" s="89" t="n">
        <v>943</v>
      </c>
      <c r="AB366" s="89" t="n">
        <v>13702</v>
      </c>
      <c r="AC366" s="89" t="n">
        <v>824</v>
      </c>
      <c r="AD366" s="89" t="n">
        <v>1014</v>
      </c>
      <c r="AE366" s="89" t="n">
        <v>2296</v>
      </c>
      <c r="AF366" s="90" t="inlineStr">
        <is>
          <t>N/A</t>
        </is>
      </c>
      <c r="AG366" s="89" t="n">
        <v>7204</v>
      </c>
      <c r="AH366" s="89" t="n">
        <v>13702</v>
      </c>
      <c r="AI366" s="89" t="n">
        <v>16838</v>
      </c>
      <c r="AJ366" s="89" t="n">
        <v>1137</v>
      </c>
      <c r="AK366" s="89" t="n">
        <v>943</v>
      </c>
      <c r="AL366" s="89" t="n">
        <v>214</v>
      </c>
      <c r="AM366" s="89" t="n">
        <v>118</v>
      </c>
      <c r="AN366" s="89" t="n">
        <v>383</v>
      </c>
      <c r="AO366" s="89" t="n">
        <v>364</v>
      </c>
      <c r="AP366" s="89" t="n">
        <v>4278</v>
      </c>
      <c r="AQ366" s="89" t="n">
        <v>4071</v>
      </c>
      <c r="AR366" s="90" t="inlineStr">
        <is>
          <t>N/A</t>
        </is>
      </c>
      <c r="AS366" s="89" t="n">
        <v>276</v>
      </c>
      <c r="AT366" s="90" t="inlineStr">
        <is>
          <t>N/A</t>
        </is>
      </c>
      <c r="AU366" s="89" t="n">
        <v>521</v>
      </c>
      <c r="AV366" s="89" t="n">
        <v>1262</v>
      </c>
      <c r="AW366" s="89" t="n">
        <v>1298</v>
      </c>
      <c r="AX366" s="90" t="inlineStr">
        <is>
          <t>N/A</t>
        </is>
      </c>
      <c r="AY366" s="90" t="inlineStr">
        <is>
          <t>N/A</t>
        </is>
      </c>
      <c r="AZ366" s="90" t="inlineStr">
        <is>
          <t>N/A</t>
        </is>
      </c>
      <c r="BA366" s="89" t="n">
        <v>929</v>
      </c>
      <c r="BB366" s="89" t="n">
        <v>174.3</v>
      </c>
      <c r="BC366" s="89" t="n">
        <v>183</v>
      </c>
      <c r="BD366" s="90" t="inlineStr">
        <is>
          <t>N/A</t>
        </is>
      </c>
      <c r="BE366" s="89" t="n">
        <v>2523</v>
      </c>
      <c r="BF366" s="89" t="n">
        <v>1156</v>
      </c>
      <c r="BG366" s="89" t="n">
        <v>382</v>
      </c>
      <c r="BH366" s="89" t="n">
        <v>-207</v>
      </c>
      <c r="BI366" s="89" t="n">
        <v>-284</v>
      </c>
      <c r="BJ366" s="90" t="inlineStr">
        <is>
          <t>N/A</t>
        </is>
      </c>
      <c r="BK366" s="90" t="inlineStr">
        <is>
          <t>N/A</t>
        </is>
      </c>
      <c r="BL366" s="89" t="n">
        <v>115</v>
      </c>
      <c r="BM366" s="89" t="n">
        <v>169</v>
      </c>
      <c r="BN366" s="90" t="inlineStr">
        <is>
          <t>N/A</t>
        </is>
      </c>
      <c r="BO366" s="89" t="n">
        <v>10094</v>
      </c>
      <c r="BP366" s="89" t="n">
        <v>11406</v>
      </c>
      <c r="BQ366" s="90" t="inlineStr">
        <is>
          <t>N/A</t>
        </is>
      </c>
      <c r="BR366" s="90" t="inlineStr">
        <is>
          <t>N/A</t>
        </is>
      </c>
      <c r="BS366" s="89" t="n">
        <v>0</v>
      </c>
      <c r="BT366" s="89" t="n">
        <v>0</v>
      </c>
      <c r="BU366" s="90" t="inlineStr">
        <is>
          <t>N/A</t>
        </is>
      </c>
      <c r="BV366" s="90" t="inlineStr">
        <is>
          <t>N/A</t>
        </is>
      </c>
      <c r="BW366" s="89" t="n">
        <v>0</v>
      </c>
      <c r="BX366" s="89" t="n">
        <v>0</v>
      </c>
      <c r="BY366" s="89" t="n">
        <v>0</v>
      </c>
    </row>
    <row r="367" ht="17" customHeight="1">
      <c r="A367" s="82" t="n">
        <v>365</v>
      </c>
      <c r="B367" s="83" t="inlineStr">
        <is>
          <t>RBA</t>
        </is>
      </c>
      <c r="C367" s="84" t="inlineStr">
        <is>
          <t>RB Global, Inc</t>
        </is>
      </c>
      <c r="D367" s="82" t="inlineStr">
        <is>
          <t>Industrials</t>
        </is>
      </c>
      <c r="E367" s="82" t="n">
        <v>2026</v>
      </c>
      <c r="F367" s="85" t="n">
        <v>12143</v>
      </c>
      <c r="G367" s="85" t="n">
        <v>1784.8</v>
      </c>
      <c r="H367" s="85" t="n">
        <v>1618</v>
      </c>
      <c r="I367" s="85" t="n">
        <v>6075.3</v>
      </c>
      <c r="J367" s="85" t="n">
        <v>1254.6</v>
      </c>
      <c r="K367" s="85" t="n">
        <v>713.4</v>
      </c>
      <c r="L367" s="85" t="n">
        <v>4590.7</v>
      </c>
      <c r="M367" s="85" t="n">
        <v>428.4</v>
      </c>
      <c r="N367" s="85" t="n">
        <v>978.2</v>
      </c>
      <c r="O367" s="85" t="n">
        <v>531.5</v>
      </c>
      <c r="P367" s="85" t="n">
        <v>2334</v>
      </c>
      <c r="Q367" s="85" t="n">
        <v>5571.4</v>
      </c>
      <c r="R367" s="85" t="n">
        <v>905.2</v>
      </c>
      <c r="S367" s="85" t="n">
        <v>483.4</v>
      </c>
      <c r="T367" s="85" t="n">
        <v>706.3</v>
      </c>
      <c r="U367" s="85" t="n">
        <v>1522.3</v>
      </c>
      <c r="V367" s="85" t="n">
        <v>213.8</v>
      </c>
      <c r="W367" s="85" t="n">
        <v>11807</v>
      </c>
      <c r="X367" s="85" t="n">
        <v>1714.8</v>
      </c>
      <c r="Y367" s="85" t="n">
        <v>1331.3</v>
      </c>
      <c r="Z367" s="85" t="n">
        <v>6090.6</v>
      </c>
      <c r="AA367" s="85" t="n">
        <v>761.2</v>
      </c>
      <c r="AB367" s="85" t="n">
        <v>4284.2</v>
      </c>
      <c r="AC367" s="85" t="n">
        <v>413.1</v>
      </c>
      <c r="AD367" s="85" t="n">
        <v>932</v>
      </c>
      <c r="AE367" s="85" t="n">
        <v>500.3</v>
      </c>
      <c r="AF367" s="85" t="n">
        <v>2626.2</v>
      </c>
      <c r="AG367" s="85" t="n">
        <v>5224</v>
      </c>
      <c r="AH367" s="85" t="n">
        <v>4284.2</v>
      </c>
      <c r="AI367" s="85" t="n">
        <v>11807</v>
      </c>
      <c r="AJ367" s="85" t="n">
        <v>535.6</v>
      </c>
      <c r="AK367" s="85" t="n">
        <v>550.1</v>
      </c>
      <c r="AL367" s="85" t="n">
        <v>108</v>
      </c>
      <c r="AM367" s="85" t="n">
        <v>137.3</v>
      </c>
      <c r="AN367" s="85" t="n">
        <v>259</v>
      </c>
      <c r="AO367" s="85" t="n">
        <v>167.4</v>
      </c>
      <c r="AP367" s="85" t="n">
        <v>139.8</v>
      </c>
      <c r="AQ367" s="85" t="n">
        <v>121.5</v>
      </c>
      <c r="AR367" s="85" t="n">
        <v>4668</v>
      </c>
      <c r="AS367" s="85" t="n">
        <v>160.8</v>
      </c>
      <c r="AT367" s="85" t="n">
        <v>137.5</v>
      </c>
      <c r="AU367" s="91" t="inlineStr">
        <is>
          <t>N/A</t>
        </is>
      </c>
      <c r="AV367" s="85" t="n">
        <v>531.5</v>
      </c>
      <c r="AW367" s="85" t="n">
        <v>533.9</v>
      </c>
      <c r="AX367" s="85" t="n">
        <v>2471.5</v>
      </c>
      <c r="AY367" s="85" t="n">
        <v>2653.9</v>
      </c>
      <c r="AZ367" s="85" t="n">
        <v>1940</v>
      </c>
      <c r="BA367" s="85" t="n">
        <v>719.2</v>
      </c>
      <c r="BB367" s="85" t="n">
        <v>185.9</v>
      </c>
      <c r="BC367" s="85" t="n">
        <v>184.7</v>
      </c>
      <c r="BD367" s="85" t="n">
        <v>709.4</v>
      </c>
      <c r="BE367" s="85" t="n">
        <v>1275.4</v>
      </c>
      <c r="BF367" s="85" t="n">
        <v>773.9</v>
      </c>
      <c r="BG367" s="85" t="n">
        <v>444.4</v>
      </c>
      <c r="BH367" s="85" t="n">
        <v>-552.9</v>
      </c>
      <c r="BI367" s="85" t="n">
        <v>-301.6</v>
      </c>
      <c r="BJ367" s="85" t="n">
        <v>836.5</v>
      </c>
      <c r="BK367" s="85" t="n">
        <v>782</v>
      </c>
      <c r="BL367" s="85" t="n">
        <v>18.9</v>
      </c>
      <c r="BM367" s="85" t="n">
        <v>20.6</v>
      </c>
      <c r="BN367" s="85" t="n">
        <v>6.7</v>
      </c>
      <c r="BO367" s="85" t="n">
        <v>79</v>
      </c>
      <c r="BP367" s="85" t="n">
        <v>66.09999999999999</v>
      </c>
      <c r="BQ367" s="85" t="n">
        <v>0</v>
      </c>
      <c r="BR367" s="85" t="n">
        <v>0</v>
      </c>
      <c r="BS367" s="85" t="n">
        <v>0</v>
      </c>
      <c r="BT367" s="85" t="n">
        <v>0</v>
      </c>
      <c r="BU367" s="85" t="n">
        <v>0</v>
      </c>
      <c r="BV367" s="85" t="n">
        <v>0</v>
      </c>
      <c r="BW367" s="85" t="n">
        <v>0</v>
      </c>
      <c r="BX367" s="85" t="n">
        <v>0</v>
      </c>
      <c r="BY367" s="85" t="n">
        <v>0</v>
      </c>
    </row>
    <row r="368" ht="17" customHeight="1">
      <c r="A368" s="86" t="n">
        <v>366</v>
      </c>
      <c r="B368" s="87" t="inlineStr">
        <is>
          <t>EA</t>
        </is>
      </c>
      <c r="C368" s="88" t="inlineStr">
        <is>
          <t>ELECTRONIC ARTS INC.</t>
        </is>
      </c>
      <c r="D368" s="86" t="inlineStr">
        <is>
          <t>Communication Services</t>
        </is>
      </c>
      <c r="E368" s="86" t="n">
        <v>2026</v>
      </c>
      <c r="F368" s="89" t="n">
        <v>13131</v>
      </c>
      <c r="G368" s="89" t="n">
        <v>3973</v>
      </c>
      <c r="H368" s="89" t="n">
        <v>3797</v>
      </c>
      <c r="I368" s="89" t="n">
        <v>6367</v>
      </c>
      <c r="J368" s="89" t="n">
        <v>6607</v>
      </c>
      <c r="K368" s="89" t="n">
        <v>1162</v>
      </c>
      <c r="L368" s="89" t="n">
        <v>7531</v>
      </c>
      <c r="M368" s="89" t="n">
        <v>887</v>
      </c>
      <c r="N368" s="89" t="n">
        <v>2553</v>
      </c>
      <c r="O368" s="89" t="n">
        <v>5947</v>
      </c>
      <c r="P368" s="90" t="inlineStr">
        <is>
          <t>N/A</t>
        </is>
      </c>
      <c r="Q368" s="89" t="n">
        <v>6764</v>
      </c>
      <c r="R368" s="89" t="n">
        <v>763</v>
      </c>
      <c r="S368" s="89" t="n">
        <v>216</v>
      </c>
      <c r="T368" s="89" t="n">
        <v>632</v>
      </c>
      <c r="U368" s="89" t="n">
        <v>613</v>
      </c>
      <c r="V368" s="89" t="n">
        <v>53</v>
      </c>
      <c r="W368" s="89" t="n">
        <v>12368</v>
      </c>
      <c r="X368" s="89" t="n">
        <v>3276</v>
      </c>
      <c r="Y368" s="89" t="n">
        <v>3459</v>
      </c>
      <c r="Z368" s="89" t="n">
        <v>5982</v>
      </c>
      <c r="AA368" s="89" t="n">
        <v>1520</v>
      </c>
      <c r="AB368" s="89" t="n">
        <v>7463</v>
      </c>
      <c r="AC368" s="89" t="n">
        <v>1121</v>
      </c>
      <c r="AD368" s="89" t="n">
        <v>2079</v>
      </c>
      <c r="AE368" s="89" t="n">
        <v>5920</v>
      </c>
      <c r="AF368" s="90" t="inlineStr">
        <is>
          <t>N/A</t>
        </is>
      </c>
      <c r="AG368" s="89" t="n">
        <v>6386</v>
      </c>
      <c r="AH368" s="89" t="n">
        <v>7463</v>
      </c>
      <c r="AI368" s="89" t="n">
        <v>12368</v>
      </c>
      <c r="AJ368" s="89" t="n">
        <v>1180</v>
      </c>
      <c r="AK368" s="89" t="n">
        <v>1605</v>
      </c>
      <c r="AL368" s="89" t="n">
        <v>293</v>
      </c>
      <c r="AM368" s="89" t="n">
        <v>484</v>
      </c>
      <c r="AN368" s="90" t="inlineStr">
        <is>
          <t>N/A</t>
        </is>
      </c>
      <c r="AO368" s="90" t="inlineStr">
        <is>
          <t>N/A</t>
        </is>
      </c>
      <c r="AP368" s="89" t="n">
        <v>33</v>
      </c>
      <c r="AQ368" s="89" t="n">
        <v>36</v>
      </c>
      <c r="AR368" s="89" t="n">
        <v>5388</v>
      </c>
      <c r="AS368" s="89" t="n">
        <v>195</v>
      </c>
      <c r="AT368" s="90" t="inlineStr">
        <is>
          <t>N/A</t>
        </is>
      </c>
      <c r="AU368" s="90" t="inlineStr">
        <is>
          <t>N/A</t>
        </is>
      </c>
      <c r="AV368" s="89" t="n">
        <v>2732</v>
      </c>
      <c r="AW368" s="89" t="n">
        <v>5260</v>
      </c>
      <c r="AX368" s="90" t="inlineStr">
        <is>
          <t>N/A</t>
        </is>
      </c>
      <c r="AY368" s="90" t="inlineStr">
        <is>
          <t>N/A</t>
        </is>
      </c>
      <c r="AZ368" s="90" t="inlineStr">
        <is>
          <t>N/A</t>
        </is>
      </c>
      <c r="BA368" s="90" t="inlineStr">
        <is>
          <t>N/A</t>
        </is>
      </c>
      <c r="BB368" s="89" t="n">
        <v>251</v>
      </c>
      <c r="BC368" s="89" t="n">
        <v>252</v>
      </c>
      <c r="BD368" s="89" t="n">
        <v>679</v>
      </c>
      <c r="BE368" s="89" t="n">
        <v>586</v>
      </c>
      <c r="BF368" s="89" t="n">
        <v>745</v>
      </c>
      <c r="BG368" s="89" t="n">
        <v>204</v>
      </c>
      <c r="BH368" s="89" t="n">
        <v>-276</v>
      </c>
      <c r="BI368" s="89" t="n">
        <v>37</v>
      </c>
      <c r="BJ368" s="89" t="n">
        <v>128</v>
      </c>
      <c r="BK368" s="89" t="n">
        <v>105</v>
      </c>
      <c r="BL368" s="89" t="n">
        <v>2233</v>
      </c>
      <c r="BM368" s="89" t="n">
        <v>1700</v>
      </c>
      <c r="BN368" s="90" t="inlineStr">
        <is>
          <t>N/A</t>
        </is>
      </c>
      <c r="BO368" s="89" t="n">
        <v>1277</v>
      </c>
      <c r="BP368" s="89" t="n">
        <v>1298</v>
      </c>
      <c r="BQ368" s="89" t="n">
        <v>0</v>
      </c>
      <c r="BR368" s="89" t="n">
        <v>0</v>
      </c>
      <c r="BS368" s="89" t="n">
        <v>0</v>
      </c>
      <c r="BT368" s="89" t="n">
        <v>0</v>
      </c>
      <c r="BU368" s="89" t="n">
        <v>0</v>
      </c>
      <c r="BV368" s="89" t="n">
        <v>0</v>
      </c>
      <c r="BW368" s="89" t="n">
        <v>0</v>
      </c>
      <c r="BX368" s="89" t="n">
        <v>0</v>
      </c>
      <c r="BY368" s="89" t="n">
        <v>0</v>
      </c>
    </row>
    <row r="369" ht="17" customHeight="1">
      <c r="A369" s="82" t="n">
        <v>367</v>
      </c>
      <c r="B369" s="83" t="inlineStr">
        <is>
          <t>UMBF</t>
        </is>
      </c>
      <c r="C369" s="84" t="inlineStr">
        <is>
          <t>UMB FINANCIAL CORP</t>
        </is>
      </c>
      <c r="D369" s="82" t="inlineStr">
        <is>
          <t>Financials</t>
        </is>
      </c>
      <c r="E369" s="82" t="n">
        <v>2026</v>
      </c>
      <c r="F369" s="85" t="n">
        <v>73094.10000000001</v>
      </c>
      <c r="G369" s="91" t="inlineStr">
        <is>
          <t>N/A</t>
        </is>
      </c>
      <c r="H369" s="91" t="inlineStr">
        <is>
          <t>N/A</t>
        </is>
      </c>
      <c r="I369" s="85" t="n">
        <v>65400.5</v>
      </c>
      <c r="J369" s="85" t="n">
        <v>3736.4</v>
      </c>
      <c r="K369" s="85" t="n">
        <v>875</v>
      </c>
      <c r="L369" s="91" t="inlineStr">
        <is>
          <t>N/A</t>
        </is>
      </c>
      <c r="M369" s="85" t="n">
        <v>702.4</v>
      </c>
      <c r="N369" s="85" t="n">
        <v>1026.7</v>
      </c>
      <c r="O369" s="91" t="inlineStr">
        <is>
          <t>N/A</t>
        </is>
      </c>
      <c r="P369" s="85" t="n">
        <v>474.2</v>
      </c>
      <c r="Q369" s="85" t="n">
        <v>7693.6</v>
      </c>
      <c r="R369" s="91" t="inlineStr">
        <is>
          <t>N/A</t>
        </is>
      </c>
      <c r="S369" s="85" t="n">
        <v>141.8</v>
      </c>
      <c r="T369" s="91" t="inlineStr">
        <is>
          <t>N/A</t>
        </is>
      </c>
      <c r="U369" s="85" t="n">
        <v>398.3</v>
      </c>
      <c r="V369" s="85" t="n">
        <v>918.6</v>
      </c>
      <c r="W369" s="85" t="n">
        <v>50409.7</v>
      </c>
      <c r="X369" s="91" t="inlineStr">
        <is>
          <t>N/A</t>
        </is>
      </c>
      <c r="Y369" s="91" t="inlineStr">
        <is>
          <t>N/A</t>
        </is>
      </c>
      <c r="Z369" s="85" t="n">
        <v>46943.1</v>
      </c>
      <c r="AA369" s="85" t="n">
        <v>541.3</v>
      </c>
      <c r="AB369" s="91" t="inlineStr">
        <is>
          <t>N/A</t>
        </is>
      </c>
      <c r="AC369" s="85" t="n">
        <v>441.2</v>
      </c>
      <c r="AD369" s="85" t="n">
        <v>225.3</v>
      </c>
      <c r="AE369" s="91" t="inlineStr">
        <is>
          <t>N/A</t>
        </is>
      </c>
      <c r="AF369" s="85" t="n">
        <v>385.3</v>
      </c>
      <c r="AG369" s="85" t="n">
        <v>3466.5</v>
      </c>
      <c r="AH369" s="91" t="inlineStr">
        <is>
          <t>N/A</t>
        </is>
      </c>
      <c r="AI369" s="85" t="n">
        <v>50409.7</v>
      </c>
      <c r="AJ369" s="85" t="n">
        <v>875</v>
      </c>
      <c r="AK369" s="85" t="n">
        <v>541.3</v>
      </c>
      <c r="AL369" s="85" t="n">
        <v>172.6</v>
      </c>
      <c r="AM369" s="85" t="n">
        <v>100</v>
      </c>
      <c r="AN369" s="85" t="n">
        <v>48.6</v>
      </c>
      <c r="AO369" s="85" t="n">
        <v>24.2</v>
      </c>
      <c r="AP369" s="91" t="inlineStr">
        <is>
          <t>N/A</t>
        </is>
      </c>
      <c r="AQ369" s="91" t="inlineStr">
        <is>
          <t>N/A</t>
        </is>
      </c>
      <c r="AR369" s="85" t="n">
        <v>1839.8</v>
      </c>
      <c r="AS369" s="85" t="n">
        <v>486.9</v>
      </c>
      <c r="AT369" s="85" t="n">
        <v>1800</v>
      </c>
      <c r="AU369" s="91" t="inlineStr">
        <is>
          <t>N/A</t>
        </is>
      </c>
      <c r="AV369" s="85" t="n">
        <v>7772</v>
      </c>
      <c r="AW369" s="85" t="n">
        <v>8448.700000000001</v>
      </c>
      <c r="AX369" s="85" t="n">
        <v>2274.2</v>
      </c>
      <c r="AY369" s="85" t="n">
        <v>2185.3</v>
      </c>
      <c r="AZ369" s="85" t="n">
        <v>-5497.7</v>
      </c>
      <c r="BA369" s="85" t="n">
        <v>978.1</v>
      </c>
      <c r="BB369" s="85" t="n">
        <v>76</v>
      </c>
      <c r="BC369" s="85" t="n">
        <v>48.8</v>
      </c>
      <c r="BD369" s="91" t="inlineStr">
        <is>
          <t>N/A</t>
        </is>
      </c>
      <c r="BE369" s="85" t="n">
        <v>221.8</v>
      </c>
      <c r="BF369" s="91" t="inlineStr">
        <is>
          <t>N/A</t>
        </is>
      </c>
      <c r="BG369" s="85" t="n">
        <v>52.8</v>
      </c>
      <c r="BH369" s="85" t="n">
        <v>-5620.1</v>
      </c>
      <c r="BI369" s="85" t="n">
        <v>-3262.5</v>
      </c>
      <c r="BJ369" s="91" t="inlineStr">
        <is>
          <t>N/A</t>
        </is>
      </c>
      <c r="BK369" s="91" t="inlineStr">
        <is>
          <t>N/A</t>
        </is>
      </c>
      <c r="BL369" s="91" t="inlineStr">
        <is>
          <t>N/A</t>
        </is>
      </c>
      <c r="BM369" s="91" t="inlineStr">
        <is>
          <t>N/A</t>
        </is>
      </c>
      <c r="BN369" s="91" t="inlineStr">
        <is>
          <t>N/A</t>
        </is>
      </c>
      <c r="BO369" s="91" t="inlineStr">
        <is>
          <t>N/A</t>
        </is>
      </c>
      <c r="BP369" s="91" t="inlineStr">
        <is>
          <t>N/A</t>
        </is>
      </c>
      <c r="BQ369" s="91" t="inlineStr">
        <is>
          <t>N/A</t>
        </is>
      </c>
      <c r="BR369" s="91" t="inlineStr">
        <is>
          <t>N/A</t>
        </is>
      </c>
      <c r="BS369" s="91" t="inlineStr">
        <is>
          <t>N/A</t>
        </is>
      </c>
      <c r="BT369" s="91" t="inlineStr">
        <is>
          <t>N/A</t>
        </is>
      </c>
      <c r="BU369" s="91" t="inlineStr">
        <is>
          <t>N/A</t>
        </is>
      </c>
      <c r="BV369" s="91" t="inlineStr">
        <is>
          <t>N/A</t>
        </is>
      </c>
      <c r="BW369" s="85" t="n">
        <v>0</v>
      </c>
      <c r="BX369" s="91" t="inlineStr">
        <is>
          <t>N/A</t>
        </is>
      </c>
      <c r="BY369" s="85" t="n">
        <v>0</v>
      </c>
    </row>
    <row r="370" ht="17" customHeight="1">
      <c r="A370" s="86" t="n">
        <v>368</v>
      </c>
      <c r="B370" s="87" t="inlineStr">
        <is>
          <t>ISRG</t>
        </is>
      </c>
      <c r="C370" s="88" t="inlineStr">
        <is>
          <t>Intuitive Surgical, Inc.</t>
        </is>
      </c>
      <c r="D370" s="86" t="inlineStr">
        <is>
          <t>Health Care</t>
        </is>
      </c>
      <c r="E370" s="86" t="n">
        <v>2026</v>
      </c>
      <c r="F370" s="89" t="n">
        <v>20458.7</v>
      </c>
      <c r="G370" s="89" t="n">
        <v>9779.5</v>
      </c>
      <c r="H370" s="89" t="n">
        <v>2006.2</v>
      </c>
      <c r="I370" s="89" t="n">
        <v>2517</v>
      </c>
      <c r="J370" s="89" t="n">
        <v>7011.8</v>
      </c>
      <c r="K370" s="89" t="n">
        <v>2945.5</v>
      </c>
      <c r="L370" s="89" t="n">
        <v>10064.7</v>
      </c>
      <c r="M370" s="89" t="n">
        <v>2856</v>
      </c>
      <c r="N370" s="89" t="n">
        <v>3030.5</v>
      </c>
      <c r="O370" s="89" t="n">
        <v>6642.3</v>
      </c>
      <c r="P370" s="90" t="inlineStr">
        <is>
          <t>N/A</t>
        </is>
      </c>
      <c r="Q370" s="89" t="n">
        <v>17824</v>
      </c>
      <c r="R370" s="89" t="n">
        <v>2385</v>
      </c>
      <c r="S370" s="89" t="n">
        <v>600</v>
      </c>
      <c r="T370" s="89" t="n">
        <v>1527.3</v>
      </c>
      <c r="U370" s="89" t="n">
        <v>5342.4</v>
      </c>
      <c r="V370" s="90" t="inlineStr">
        <is>
          <t>N/A</t>
        </is>
      </c>
      <c r="W370" s="89" t="n">
        <v>18743.2</v>
      </c>
      <c r="X370" s="89" t="n">
        <v>7111</v>
      </c>
      <c r="Y370" s="89" t="n">
        <v>1745.3</v>
      </c>
      <c r="Z370" s="89" t="n">
        <v>2213.6</v>
      </c>
      <c r="AA370" s="89" t="n">
        <v>2348.9</v>
      </c>
      <c r="AB370" s="89" t="n">
        <v>8352.1</v>
      </c>
      <c r="AC370" s="89" t="n">
        <v>2322.6</v>
      </c>
      <c r="AD370" s="89" t="n">
        <v>2415</v>
      </c>
      <c r="AE370" s="89" t="n">
        <v>5634.2</v>
      </c>
      <c r="AF370" s="90" t="inlineStr">
        <is>
          <t>N/A</t>
        </is>
      </c>
      <c r="AG370" s="89" t="n">
        <v>16433.7</v>
      </c>
      <c r="AH370" s="89" t="n">
        <v>8352.1</v>
      </c>
      <c r="AI370" s="89" t="n">
        <v>18743.2</v>
      </c>
      <c r="AJ370" s="89" t="n">
        <v>3311.4</v>
      </c>
      <c r="AK370" s="89" t="n">
        <v>2673.8</v>
      </c>
      <c r="AL370" s="89" t="n">
        <v>434.8</v>
      </c>
      <c r="AM370" s="89" t="n">
        <v>336.3</v>
      </c>
      <c r="AN370" s="89" t="n">
        <v>539.8</v>
      </c>
      <c r="AO370" s="89" t="n">
        <v>1111.2</v>
      </c>
      <c r="AP370" s="89" t="n">
        <v>1840</v>
      </c>
      <c r="AQ370" s="89" t="n">
        <v>1487.2</v>
      </c>
      <c r="AR370" s="89" t="n">
        <v>370.3</v>
      </c>
      <c r="AS370" s="89" t="n">
        <v>11.1</v>
      </c>
      <c r="AT370" s="90" t="inlineStr">
        <is>
          <t>N/A</t>
        </is>
      </c>
      <c r="AU370" s="89" t="n">
        <v>1311.8</v>
      </c>
      <c r="AV370" s="89" t="n">
        <v>3368</v>
      </c>
      <c r="AW370" s="89" t="n">
        <v>2027.4</v>
      </c>
      <c r="AX370" s="90" t="inlineStr">
        <is>
          <t>N/A</t>
        </is>
      </c>
      <c r="AY370" s="90" t="inlineStr">
        <is>
          <t>N/A</t>
        </is>
      </c>
      <c r="AZ370" s="90" t="inlineStr">
        <is>
          <t>N/A</t>
        </is>
      </c>
      <c r="BA370" s="89" t="n">
        <v>2490.7</v>
      </c>
      <c r="BB370" s="89" t="n">
        <v>355.1</v>
      </c>
      <c r="BC370" s="89" t="n">
        <v>356.6</v>
      </c>
      <c r="BD370" s="89" t="n">
        <v>1225.4</v>
      </c>
      <c r="BE370" s="89" t="n">
        <v>4646.6</v>
      </c>
      <c r="BF370" s="89" t="n">
        <v>2140</v>
      </c>
      <c r="BG370" s="89" t="n">
        <v>439</v>
      </c>
      <c r="BH370" s="89" t="n">
        <v>665.8</v>
      </c>
      <c r="BI370" s="89" t="n">
        <v>-3272.8</v>
      </c>
      <c r="BJ370" s="89" t="n">
        <v>255.1</v>
      </c>
      <c r="BK370" s="89" t="n">
        <v>193.4</v>
      </c>
      <c r="BL370" s="89" t="n">
        <v>506.7</v>
      </c>
      <c r="BM370" s="89" t="n">
        <v>468.8</v>
      </c>
      <c r="BN370" s="89" t="n">
        <v>125.4</v>
      </c>
      <c r="BO370" s="89" t="n">
        <v>3422.4</v>
      </c>
      <c r="BP370" s="89" t="n">
        <v>2717.9</v>
      </c>
      <c r="BQ370" s="89" t="n">
        <v>0</v>
      </c>
      <c r="BR370" s="89" t="n">
        <v>0</v>
      </c>
      <c r="BS370" s="89" t="n">
        <v>0</v>
      </c>
      <c r="BT370" s="89" t="n">
        <v>0</v>
      </c>
      <c r="BU370" s="89" t="n">
        <v>0</v>
      </c>
      <c r="BV370" s="89" t="n">
        <v>0</v>
      </c>
      <c r="BW370" s="89" t="n">
        <v>0</v>
      </c>
      <c r="BX370" s="89" t="n">
        <v>0</v>
      </c>
      <c r="BY370" s="89" t="n">
        <v>0</v>
      </c>
    </row>
    <row r="371" ht="17" customHeight="1">
      <c r="A371" s="82" t="n">
        <v>369</v>
      </c>
      <c r="B371" s="83" t="inlineStr">
        <is>
          <t>SWKS</t>
        </is>
      </c>
      <c r="C371" s="84" t="inlineStr">
        <is>
          <t>SKYWORKS SOLUTIONS, INC.</t>
        </is>
      </c>
      <c r="D371" s="82" t="inlineStr">
        <is>
          <t>Information Technology</t>
        </is>
      </c>
      <c r="E371" s="82" t="n">
        <v>2026</v>
      </c>
      <c r="F371" s="85" t="n">
        <v>7917</v>
      </c>
      <c r="G371" s="85" t="n">
        <v>3077</v>
      </c>
      <c r="H371" s="85" t="n">
        <v>1323.2</v>
      </c>
      <c r="I371" s="85" t="n">
        <v>2159.9</v>
      </c>
      <c r="J371" s="85" t="n">
        <v>5656.9</v>
      </c>
      <c r="K371" s="85" t="n">
        <v>500</v>
      </c>
      <c r="L371" s="85" t="n">
        <v>4086.9</v>
      </c>
      <c r="M371" s="85" t="n">
        <v>477.1</v>
      </c>
      <c r="N371" s="85" t="n">
        <v>1300.8</v>
      </c>
      <c r="O371" s="85" t="n">
        <v>1682.1</v>
      </c>
      <c r="P371" s="85" t="n">
        <v>496.4</v>
      </c>
      <c r="Q371" s="85" t="n">
        <v>5757.1</v>
      </c>
      <c r="R371" s="85" t="n">
        <v>371.5</v>
      </c>
      <c r="S371" s="85" t="n">
        <v>278.7</v>
      </c>
      <c r="T371" s="85" t="n">
        <v>598.1</v>
      </c>
      <c r="U371" s="85" t="n">
        <v>1194.6</v>
      </c>
      <c r="V371" s="85" t="n">
        <v>27.1</v>
      </c>
      <c r="W371" s="85" t="n">
        <v>8283.299999999999</v>
      </c>
      <c r="X371" s="85" t="n">
        <v>3341</v>
      </c>
      <c r="Y371" s="85" t="n">
        <v>602.7</v>
      </c>
      <c r="Z371" s="85" t="n">
        <v>1946.6</v>
      </c>
      <c r="AA371" s="85" t="n">
        <v>637.4</v>
      </c>
      <c r="AB371" s="85" t="n">
        <v>4178</v>
      </c>
      <c r="AC371" s="85" t="n">
        <v>596</v>
      </c>
      <c r="AD371" s="85" t="n">
        <v>1824.7</v>
      </c>
      <c r="AE371" s="85" t="n">
        <v>1720.8</v>
      </c>
      <c r="AF371" s="85" t="n">
        <v>994.3</v>
      </c>
      <c r="AG371" s="85" t="n">
        <v>6336.7</v>
      </c>
      <c r="AH371" s="85" t="n">
        <v>4178</v>
      </c>
      <c r="AI371" s="85" t="n">
        <v>8283.299999999999</v>
      </c>
      <c r="AJ371" s="85" t="n">
        <v>526.7</v>
      </c>
      <c r="AK371" s="85" t="n">
        <v>636.4</v>
      </c>
      <c r="AL371" s="85" t="n">
        <v>49.6</v>
      </c>
      <c r="AM371" s="85" t="n">
        <v>40.4</v>
      </c>
      <c r="AN371" s="85" t="n">
        <v>195</v>
      </c>
      <c r="AO371" s="85" t="n">
        <v>157</v>
      </c>
      <c r="AP371" s="85" t="n">
        <v>754.7</v>
      </c>
      <c r="AQ371" s="85" t="n">
        <v>784.8</v>
      </c>
      <c r="AR371" s="85" t="n">
        <v>2176.7</v>
      </c>
      <c r="AS371" s="85" t="n">
        <v>82.90000000000001</v>
      </c>
      <c r="AT371" s="85" t="n">
        <v>499.4</v>
      </c>
      <c r="AU371" s="85" t="n">
        <v>785.5</v>
      </c>
      <c r="AV371" s="85" t="n">
        <v>1161.3</v>
      </c>
      <c r="AW371" s="85" t="n">
        <v>1368.6</v>
      </c>
      <c r="AX371" s="85" t="n">
        <v>995.8</v>
      </c>
      <c r="AY371" s="85" t="n">
        <v>994.3</v>
      </c>
      <c r="AZ371" s="85" t="n">
        <v>-165.5</v>
      </c>
      <c r="BA371" s="85" t="n">
        <v>1105.8</v>
      </c>
      <c r="BB371" s="85" t="n">
        <v>148.7</v>
      </c>
      <c r="BC371" s="85" t="n">
        <v>159.9</v>
      </c>
      <c r="BD371" s="85" t="n">
        <v>508.8</v>
      </c>
      <c r="BE371" s="85" t="n">
        <v>1280.3</v>
      </c>
      <c r="BF371" s="85" t="n">
        <v>300.8</v>
      </c>
      <c r="BG371" s="85" t="n">
        <v>264.8</v>
      </c>
      <c r="BH371" s="85" t="n">
        <v>-234</v>
      </c>
      <c r="BI371" s="85" t="n">
        <v>-355.9</v>
      </c>
      <c r="BJ371" s="85" t="n">
        <v>236</v>
      </c>
      <c r="BK371" s="85" t="n">
        <v>171.8</v>
      </c>
      <c r="BL371" s="91" t="inlineStr">
        <is>
          <t>N/A</t>
        </is>
      </c>
      <c r="BM371" s="91" t="inlineStr">
        <is>
          <t>N/A</t>
        </is>
      </c>
      <c r="BN371" s="85" t="n">
        <v>71.3</v>
      </c>
      <c r="BO371" s="85" t="n">
        <v>2404.8</v>
      </c>
      <c r="BP371" s="85" t="n">
        <v>2457.2</v>
      </c>
      <c r="BQ371" s="85" t="n">
        <v>0</v>
      </c>
      <c r="BR371" s="85" t="n">
        <v>0</v>
      </c>
      <c r="BS371" s="85" t="n">
        <v>0</v>
      </c>
      <c r="BT371" s="85" t="n">
        <v>0</v>
      </c>
      <c r="BU371" s="85" t="n">
        <v>0</v>
      </c>
      <c r="BV371" s="85" t="n">
        <v>0</v>
      </c>
      <c r="BW371" s="85" t="n">
        <v>0</v>
      </c>
      <c r="BX371" s="85" t="n">
        <v>0</v>
      </c>
      <c r="BY371" s="85" t="n">
        <v>0</v>
      </c>
    </row>
    <row r="372" ht="17" customHeight="1">
      <c r="A372" s="86" t="n">
        <v>370</v>
      </c>
      <c r="B372" s="87" t="inlineStr">
        <is>
          <t>LDOS</t>
        </is>
      </c>
      <c r="C372" s="88" t="inlineStr">
        <is>
          <t>Leidos Holdings, Inc.</t>
        </is>
      </c>
      <c r="D372" s="86" t="inlineStr">
        <is>
          <t>Industrials</t>
        </is>
      </c>
      <c r="E372" s="86" t="n">
        <v>2026</v>
      </c>
      <c r="F372" s="89" t="n">
        <v>13493</v>
      </c>
      <c r="G372" s="89" t="n">
        <v>4814</v>
      </c>
      <c r="H372" s="89" t="n">
        <v>2827</v>
      </c>
      <c r="I372" s="89" t="n">
        <v>8531</v>
      </c>
      <c r="J372" s="89" t="n">
        <v>4647</v>
      </c>
      <c r="K372" s="89" t="n">
        <v>2109</v>
      </c>
      <c r="L372" s="89" t="n">
        <v>17174</v>
      </c>
      <c r="M372" s="89" t="n">
        <v>1448</v>
      </c>
      <c r="N372" s="89" t="n">
        <v>1750</v>
      </c>
      <c r="O372" s="89" t="n">
        <v>3099</v>
      </c>
      <c r="P372" s="89" t="n">
        <v>1333</v>
      </c>
      <c r="Q372" s="89" t="n">
        <v>4916</v>
      </c>
      <c r="R372" s="89" t="n">
        <v>999</v>
      </c>
      <c r="S372" s="89" t="n">
        <v>290</v>
      </c>
      <c r="T372" s="89" t="n">
        <v>2708</v>
      </c>
      <c r="U372" s="89" t="n">
        <v>238</v>
      </c>
      <c r="V372" s="89" t="n">
        <v>185</v>
      </c>
      <c r="W372" s="89" t="n">
        <v>13104</v>
      </c>
      <c r="X372" s="89" t="n">
        <v>4428</v>
      </c>
      <c r="Y372" s="89" t="n">
        <v>3654</v>
      </c>
      <c r="Z372" s="89" t="n">
        <v>8644</v>
      </c>
      <c r="AA372" s="89" t="n">
        <v>1827</v>
      </c>
      <c r="AB372" s="89" t="n">
        <v>16662</v>
      </c>
      <c r="AC372" s="89" t="n">
        <v>1254</v>
      </c>
      <c r="AD372" s="89" t="n">
        <v>1392</v>
      </c>
      <c r="AE372" s="89" t="n">
        <v>2798</v>
      </c>
      <c r="AF372" s="89" t="n">
        <v>1298</v>
      </c>
      <c r="AG372" s="89" t="n">
        <v>4412</v>
      </c>
      <c r="AH372" s="89" t="n">
        <v>16662</v>
      </c>
      <c r="AI372" s="89" t="n">
        <v>13010</v>
      </c>
      <c r="AJ372" s="89" t="n">
        <v>1909</v>
      </c>
      <c r="AK372" s="89" t="n">
        <v>1639</v>
      </c>
      <c r="AL372" s="89" t="n">
        <v>447</v>
      </c>
      <c r="AM372" s="89" t="n">
        <v>388</v>
      </c>
      <c r="AN372" s="89" t="n">
        <v>121</v>
      </c>
      <c r="AO372" s="89" t="n">
        <v>73</v>
      </c>
      <c r="AP372" s="89" t="n">
        <v>342</v>
      </c>
      <c r="AQ372" s="89" t="n">
        <v>315</v>
      </c>
      <c r="AR372" s="89" t="n">
        <v>6342</v>
      </c>
      <c r="AS372" s="89" t="n">
        <v>458</v>
      </c>
      <c r="AT372" s="89" t="n">
        <v>18</v>
      </c>
      <c r="AU372" s="89" t="n">
        <v>187</v>
      </c>
      <c r="AV372" s="89" t="n">
        <v>1108</v>
      </c>
      <c r="AW372" s="89" t="n">
        <v>943</v>
      </c>
      <c r="AX372" s="89" t="n">
        <v>1351</v>
      </c>
      <c r="AY372" s="89" t="n">
        <v>2290</v>
      </c>
      <c r="AZ372" s="89" t="n">
        <v>243</v>
      </c>
      <c r="BA372" s="89" t="n">
        <v>1629</v>
      </c>
      <c r="BB372" s="89" t="n">
        <v>126.4</v>
      </c>
      <c r="BC372" s="89" t="n">
        <v>131.2</v>
      </c>
      <c r="BD372" s="89" t="n">
        <v>2645</v>
      </c>
      <c r="BE372" s="89" t="n">
        <v>237</v>
      </c>
      <c r="BF372" s="89" t="n">
        <v>983</v>
      </c>
      <c r="BG372" s="89" t="n">
        <v>290</v>
      </c>
      <c r="BH372" s="89" t="n">
        <v>-405</v>
      </c>
      <c r="BI372" s="89" t="n">
        <v>-142</v>
      </c>
      <c r="BJ372" s="89" t="n">
        <v>627</v>
      </c>
      <c r="BK372" s="89" t="n">
        <v>705</v>
      </c>
      <c r="BL372" s="89" t="n">
        <v>17</v>
      </c>
      <c r="BM372" s="89" t="n">
        <v>20</v>
      </c>
      <c r="BN372" s="89" t="n">
        <v>3</v>
      </c>
      <c r="BO372" s="89" t="n">
        <v>14075</v>
      </c>
      <c r="BP372" s="89" t="n">
        <v>13864</v>
      </c>
      <c r="BQ372" s="89" t="n">
        <v>0</v>
      </c>
      <c r="BR372" s="89" t="n">
        <v>0</v>
      </c>
      <c r="BS372" s="89" t="n">
        <v>0</v>
      </c>
      <c r="BT372" s="89" t="n">
        <v>0</v>
      </c>
      <c r="BU372" s="89" t="n">
        <v>0</v>
      </c>
      <c r="BV372" s="89" t="n">
        <v>0</v>
      </c>
      <c r="BW372" s="89" t="n">
        <v>0</v>
      </c>
      <c r="BX372" s="89" t="n">
        <v>0</v>
      </c>
      <c r="BY372" s="89" t="n">
        <v>0</v>
      </c>
    </row>
    <row r="373" ht="17" customHeight="1">
      <c r="A373" s="82" t="n">
        <v>371</v>
      </c>
      <c r="B373" s="83" t="inlineStr">
        <is>
          <t>PG</t>
        </is>
      </c>
      <c r="C373" s="84" t="inlineStr">
        <is>
          <t>PROCTER &amp; GAMBLE CO</t>
        </is>
      </c>
      <c r="D373" s="82" t="inlineStr">
        <is>
          <t>Consumer Staples</t>
        </is>
      </c>
      <c r="E373" s="82" t="n">
        <v>2026</v>
      </c>
      <c r="F373" s="85" t="n">
        <v>125231</v>
      </c>
      <c r="G373" s="85" t="n">
        <v>25392</v>
      </c>
      <c r="H373" s="85" t="n">
        <v>36058</v>
      </c>
      <c r="I373" s="85" t="n">
        <v>72946</v>
      </c>
      <c r="J373" s="85" t="n">
        <v>129973</v>
      </c>
      <c r="K373" s="85" t="n">
        <v>20451</v>
      </c>
      <c r="L373" s="85" t="n">
        <v>84284</v>
      </c>
      <c r="M373" s="85" t="n">
        <v>15974</v>
      </c>
      <c r="N373" s="85" t="n">
        <v>17817</v>
      </c>
      <c r="O373" s="85" t="n">
        <v>43120</v>
      </c>
      <c r="P373" s="85" t="n">
        <v>23129</v>
      </c>
      <c r="Q373" s="85" t="n">
        <v>52284</v>
      </c>
      <c r="R373" s="85" t="n">
        <v>22669</v>
      </c>
      <c r="S373" s="85" t="n">
        <v>3108</v>
      </c>
      <c r="T373" s="85" t="n">
        <v>6185</v>
      </c>
      <c r="U373" s="85" t="n">
        <v>23897</v>
      </c>
      <c r="V373" s="85" t="n">
        <v>756</v>
      </c>
      <c r="W373" s="85" t="n">
        <v>122370</v>
      </c>
      <c r="X373" s="85" t="n">
        <v>24709</v>
      </c>
      <c r="Y373" s="85" t="n">
        <v>33627</v>
      </c>
      <c r="Z373" s="85" t="n">
        <v>71811</v>
      </c>
      <c r="AA373" s="85" t="n">
        <v>18545</v>
      </c>
      <c r="AB373" s="85" t="n">
        <v>84039</v>
      </c>
      <c r="AC373" s="85" t="n">
        <v>14879</v>
      </c>
      <c r="AD373" s="85" t="n">
        <v>19846</v>
      </c>
      <c r="AE373" s="85" t="n">
        <v>43191</v>
      </c>
      <c r="AF373" s="85" t="n">
        <v>26429</v>
      </c>
      <c r="AG373" s="91" t="inlineStr">
        <is>
          <t>N/A</t>
        </is>
      </c>
      <c r="AH373" s="85" t="n">
        <v>84039</v>
      </c>
      <c r="AI373" s="85" t="n">
        <v>122370</v>
      </c>
      <c r="AJ373" s="85" t="n">
        <v>20167</v>
      </c>
      <c r="AK373" s="85" t="n">
        <v>18761</v>
      </c>
      <c r="AL373" s="85" t="n">
        <v>4102</v>
      </c>
      <c r="AM373" s="85" t="n">
        <v>3787</v>
      </c>
      <c r="AN373" s="85" t="n">
        <v>3773</v>
      </c>
      <c r="AO373" s="85" t="n">
        <v>3322</v>
      </c>
      <c r="AP373" s="85" t="n">
        <v>7551</v>
      </c>
      <c r="AQ373" s="85" t="n">
        <v>7016</v>
      </c>
      <c r="AR373" s="85" t="n">
        <v>41650</v>
      </c>
      <c r="AS373" s="85" t="n">
        <v>21910</v>
      </c>
      <c r="AT373" s="85" t="n">
        <v>9513</v>
      </c>
      <c r="AU373" s="85" t="n">
        <v>2100</v>
      </c>
      <c r="AV373" s="85" t="n">
        <v>4239</v>
      </c>
      <c r="AW373" s="85" t="n">
        <v>2569</v>
      </c>
      <c r="AX373" s="85" t="n">
        <v>32642</v>
      </c>
      <c r="AY373" s="85" t="n">
        <v>33620</v>
      </c>
      <c r="AZ373" s="85" t="n">
        <v>28403</v>
      </c>
      <c r="BA373" s="85" t="n">
        <v>14044</v>
      </c>
      <c r="BB373" s="85" t="n">
        <v>4009.2</v>
      </c>
      <c r="BC373" s="85" t="n">
        <v>4009.2</v>
      </c>
      <c r="BD373" s="85" t="n">
        <v>6118</v>
      </c>
      <c r="BE373" s="85" t="n">
        <v>22152</v>
      </c>
      <c r="BF373" s="85" t="n">
        <v>23305</v>
      </c>
      <c r="BG373" s="85" t="n">
        <v>3082</v>
      </c>
      <c r="BH373" s="85" t="n">
        <v>-3818</v>
      </c>
      <c r="BI373" s="85" t="n">
        <v>-3504</v>
      </c>
      <c r="BJ373" s="85" t="n">
        <v>15227</v>
      </c>
      <c r="BK373" s="85" t="n">
        <v>15364</v>
      </c>
      <c r="BL373" s="91" t="inlineStr">
        <is>
          <t>N/A</t>
        </is>
      </c>
      <c r="BM373" s="91" t="inlineStr">
        <is>
          <t>N/A</t>
        </is>
      </c>
      <c r="BN373" s="85" t="n">
        <v>1177</v>
      </c>
      <c r="BO373" s="85" t="n">
        <v>41164</v>
      </c>
      <c r="BP373" s="85" t="n">
        <v>40848</v>
      </c>
      <c r="BQ373" s="85" t="n">
        <v>0</v>
      </c>
      <c r="BR373" s="85" t="n">
        <v>0</v>
      </c>
      <c r="BS373" s="85" t="n">
        <v>0</v>
      </c>
      <c r="BT373" s="85" t="n">
        <v>0</v>
      </c>
      <c r="BU373" s="85" t="n">
        <v>0</v>
      </c>
      <c r="BV373" s="85" t="n">
        <v>0</v>
      </c>
      <c r="BW373" s="85" t="n">
        <v>0</v>
      </c>
      <c r="BX373" s="85" t="n">
        <v>0</v>
      </c>
      <c r="BY373" s="85" t="n">
        <v>0</v>
      </c>
    </row>
    <row r="374" ht="17" customHeight="1">
      <c r="A374" s="86" t="n">
        <v>372</v>
      </c>
      <c r="B374" s="87" t="inlineStr">
        <is>
          <t>BSX</t>
        </is>
      </c>
      <c r="C374" s="88" t="inlineStr">
        <is>
          <t>BOSTON SCIENTIFIC CORP</t>
        </is>
      </c>
      <c r="D374" s="86" t="inlineStr">
        <is>
          <t>Health Care</t>
        </is>
      </c>
      <c r="E374" s="86" t="n">
        <v>2026</v>
      </c>
      <c r="F374" s="89" t="n">
        <v>43673</v>
      </c>
      <c r="G374" s="89" t="n">
        <v>8794</v>
      </c>
      <c r="H374" s="89" t="n">
        <v>5439</v>
      </c>
      <c r="I374" s="89" t="n">
        <v>43673</v>
      </c>
      <c r="J374" s="89" t="n">
        <v>5571</v>
      </c>
      <c r="K374" s="89" t="n">
        <v>3613</v>
      </c>
      <c r="L374" s="89" t="n">
        <v>9076</v>
      </c>
      <c r="M374" s="89" t="n">
        <v>2892</v>
      </c>
      <c r="N374" s="89" t="n">
        <v>4534</v>
      </c>
      <c r="O374" s="89" t="n">
        <v>13854</v>
      </c>
      <c r="P374" s="89" t="n">
        <v>3815</v>
      </c>
      <c r="Q374" s="89" t="n">
        <v>24233</v>
      </c>
      <c r="R374" s="89" t="n">
        <v>6887</v>
      </c>
      <c r="S374" s="89" t="n">
        <v>816</v>
      </c>
      <c r="T374" s="90" t="inlineStr">
        <is>
          <t>N/A</t>
        </is>
      </c>
      <c r="U374" s="89" t="n">
        <v>4036</v>
      </c>
      <c r="V374" s="89" t="n">
        <v>349</v>
      </c>
      <c r="W374" s="89" t="n">
        <v>39395</v>
      </c>
      <c r="X374" s="89" t="n">
        <v>6920</v>
      </c>
      <c r="Y374" s="89" t="n">
        <v>6399</v>
      </c>
      <c r="Z374" s="89" t="n">
        <v>39395</v>
      </c>
      <c r="AA374" s="89" t="n">
        <v>2603</v>
      </c>
      <c r="AB374" s="89" t="n">
        <v>8068</v>
      </c>
      <c r="AC374" s="89" t="n">
        <v>1846</v>
      </c>
      <c r="AD374" s="89" t="n">
        <v>3435</v>
      </c>
      <c r="AE374" s="89" t="n">
        <v>11490</v>
      </c>
      <c r="AF374" s="89" t="n">
        <v>5400</v>
      </c>
      <c r="AG374" s="89" t="n">
        <v>21770</v>
      </c>
      <c r="AH374" s="89" t="n">
        <v>8068</v>
      </c>
      <c r="AI374" s="89" t="n">
        <v>39395</v>
      </c>
      <c r="AJ374" s="89" t="n">
        <v>3385</v>
      </c>
      <c r="AK374" s="89" t="n">
        <v>2282</v>
      </c>
      <c r="AL374" s="89" t="n">
        <v>493</v>
      </c>
      <c r="AM374" s="89" t="n">
        <v>436</v>
      </c>
      <c r="AN374" s="89" t="n">
        <v>876</v>
      </c>
      <c r="AO374" s="89" t="n">
        <v>790</v>
      </c>
      <c r="AP374" s="89" t="n">
        <v>2943</v>
      </c>
      <c r="AQ374" s="89" t="n">
        <v>2810</v>
      </c>
      <c r="AR374" s="89" t="n">
        <v>18282</v>
      </c>
      <c r="AS374" s="89" t="n">
        <v>7019</v>
      </c>
      <c r="AT374" s="89" t="n">
        <v>299</v>
      </c>
      <c r="AU374" s="89" t="n">
        <v>2052</v>
      </c>
      <c r="AV374" s="89" t="n">
        <v>1965</v>
      </c>
      <c r="AW374" s="89" t="n">
        <v>414</v>
      </c>
      <c r="AX374" s="89" t="n">
        <v>4114</v>
      </c>
      <c r="AY374" s="89" t="n">
        <v>7178</v>
      </c>
      <c r="AZ374" s="89" t="n">
        <v>2149</v>
      </c>
      <c r="BA374" s="89" t="n">
        <v>3658</v>
      </c>
      <c r="BB374" s="89" t="n">
        <v>1394.9</v>
      </c>
      <c r="BC374" s="89" t="n">
        <v>1384.6</v>
      </c>
      <c r="BD374" s="90" t="inlineStr">
        <is>
          <t>N/A</t>
        </is>
      </c>
      <c r="BE374" s="89" t="n">
        <v>3294</v>
      </c>
      <c r="BF374" s="89" t="n">
        <v>5984</v>
      </c>
      <c r="BG374" s="89" t="n">
        <v>834</v>
      </c>
      <c r="BH374" s="89" t="n">
        <v>-2640</v>
      </c>
      <c r="BI374" s="89" t="n">
        <v>-5687</v>
      </c>
      <c r="BJ374" s="89" t="n">
        <v>1144</v>
      </c>
      <c r="BK374" s="89" t="n">
        <v>960</v>
      </c>
      <c r="BL374" s="89" t="n">
        <v>313</v>
      </c>
      <c r="BM374" s="89" t="n">
        <v>306</v>
      </c>
      <c r="BN374" s="89" t="n">
        <v>268</v>
      </c>
      <c r="BO374" s="89" t="n">
        <v>6221</v>
      </c>
      <c r="BP374" s="89" t="n">
        <v>5257</v>
      </c>
      <c r="BQ374" s="90" t="inlineStr">
        <is>
          <t>N/A</t>
        </is>
      </c>
      <c r="BR374" s="90" t="inlineStr">
        <is>
          <t>N/A</t>
        </is>
      </c>
      <c r="BS374" s="89" t="n">
        <v>0</v>
      </c>
      <c r="BT374" s="89" t="n">
        <v>0</v>
      </c>
      <c r="BU374" s="89" t="n">
        <v>0</v>
      </c>
      <c r="BV374" s="89" t="n">
        <v>0</v>
      </c>
      <c r="BW374" s="89" t="n">
        <v>0</v>
      </c>
      <c r="BX374" s="89" t="n">
        <v>0</v>
      </c>
      <c r="BY374" s="89" t="n">
        <v>0</v>
      </c>
    </row>
    <row r="375" ht="17" customHeight="1">
      <c r="A375" s="82" t="n">
        <v>373</v>
      </c>
      <c r="B375" s="83" t="inlineStr">
        <is>
          <t>EPRT</t>
        </is>
      </c>
      <c r="C375" s="84" t="inlineStr">
        <is>
          <t>Essential Properties Realty Trust, Inc.</t>
        </is>
      </c>
      <c r="D375" s="82" t="inlineStr">
        <is>
          <t>Real Estate</t>
        </is>
      </c>
      <c r="E375" s="82" t="n">
        <v>2026</v>
      </c>
      <c r="F375" s="85" t="n">
        <v>6863</v>
      </c>
      <c r="G375" s="91" t="inlineStr">
        <is>
          <t>N/A</t>
        </is>
      </c>
      <c r="H375" s="91" t="inlineStr">
        <is>
          <t>N/A</t>
        </is>
      </c>
      <c r="I375" s="85" t="n">
        <v>2655.1</v>
      </c>
      <c r="J375" s="85" t="n">
        <v>-109.3</v>
      </c>
      <c r="K375" s="85" t="n">
        <v>359.9</v>
      </c>
      <c r="L375" s="85" t="n">
        <v>561.2</v>
      </c>
      <c r="M375" s="85" t="n">
        <v>253</v>
      </c>
      <c r="N375" s="85" t="n">
        <v>381.1</v>
      </c>
      <c r="O375" s="91" t="inlineStr">
        <is>
          <t>N/A</t>
        </is>
      </c>
      <c r="P375" s="85" t="n">
        <v>2530</v>
      </c>
      <c r="Q375" s="85" t="n">
        <v>4200</v>
      </c>
      <c r="R375" s="85" t="n">
        <v>40.9</v>
      </c>
      <c r="S375" s="85" t="n">
        <v>153.6</v>
      </c>
      <c r="T375" s="91" t="inlineStr">
        <is>
          <t>N/A</t>
        </is>
      </c>
      <c r="U375" s="91" t="inlineStr">
        <is>
          <t>N/A</t>
        </is>
      </c>
      <c r="V375" s="85" t="n">
        <v>52.6</v>
      </c>
      <c r="W375" s="85" t="n">
        <v>5798.7</v>
      </c>
      <c r="X375" s="91" t="inlineStr">
        <is>
          <t>N/A</t>
        </is>
      </c>
      <c r="Y375" s="91" t="inlineStr">
        <is>
          <t>N/A</t>
        </is>
      </c>
      <c r="Z375" s="85" t="n">
        <v>2226.6</v>
      </c>
      <c r="AA375" s="85" t="n">
        <v>278.2</v>
      </c>
      <c r="AB375" s="85" t="n">
        <v>449.6</v>
      </c>
      <c r="AC375" s="85" t="n">
        <v>203</v>
      </c>
      <c r="AD375" s="85" t="n">
        <v>308.5</v>
      </c>
      <c r="AE375" s="91" t="inlineStr">
        <is>
          <t>N/A</t>
        </is>
      </c>
      <c r="AF375" s="85" t="n">
        <v>2130</v>
      </c>
      <c r="AG375" s="85" t="n">
        <v>3563.7</v>
      </c>
      <c r="AH375" s="85" t="n">
        <v>449.6</v>
      </c>
      <c r="AI375" s="85" t="n">
        <v>5798.7</v>
      </c>
      <c r="AJ375" s="85" t="n">
        <v>254.4</v>
      </c>
      <c r="AK375" s="85" t="n">
        <v>204.3</v>
      </c>
      <c r="AL375" s="85" t="n">
        <v>0.6</v>
      </c>
      <c r="AM375" s="85" t="n">
        <v>0.6</v>
      </c>
      <c r="AN375" s="85" t="n">
        <v>1.7</v>
      </c>
      <c r="AO375" s="85" t="n">
        <v>0</v>
      </c>
      <c r="AP375" s="91" t="inlineStr">
        <is>
          <t>N/A</t>
        </is>
      </c>
      <c r="AQ375" s="91" t="inlineStr">
        <is>
          <t>N/A</t>
        </is>
      </c>
      <c r="AR375" s="91" t="inlineStr">
        <is>
          <t>N/A</t>
        </is>
      </c>
      <c r="AS375" s="85" t="n">
        <v>48.1</v>
      </c>
      <c r="AT375" s="91" t="inlineStr">
        <is>
          <t>N/A</t>
        </is>
      </c>
      <c r="AU375" s="91" t="inlineStr">
        <is>
          <t>N/A</t>
        </is>
      </c>
      <c r="AV375" s="85" t="n">
        <v>60.2</v>
      </c>
      <c r="AW375" s="85" t="n">
        <v>40.7</v>
      </c>
      <c r="AX375" s="85" t="n">
        <v>2530</v>
      </c>
      <c r="AY375" s="85" t="n">
        <v>2130</v>
      </c>
      <c r="AZ375" s="85" t="n">
        <v>2469.8</v>
      </c>
      <c r="BA375" s="85" t="n">
        <v>379.4</v>
      </c>
      <c r="BB375" s="85" t="n">
        <v>209.7</v>
      </c>
      <c r="BC375" s="85" t="n">
        <v>187.5</v>
      </c>
      <c r="BD375" s="91" t="inlineStr">
        <is>
          <t>N/A</t>
        </is>
      </c>
      <c r="BE375" s="91" t="inlineStr">
        <is>
          <t>N/A</t>
        </is>
      </c>
      <c r="BF375" s="85" t="n">
        <v>35.2</v>
      </c>
      <c r="BG375" s="85" t="n">
        <v>122.2</v>
      </c>
      <c r="BH375" s="85" t="n">
        <v>-1154</v>
      </c>
      <c r="BI375" s="85" t="n">
        <v>-1123.2</v>
      </c>
      <c r="BJ375" s="91" t="inlineStr">
        <is>
          <t>N/A</t>
        </is>
      </c>
      <c r="BK375" s="91" t="inlineStr">
        <is>
          <t>N/A</t>
        </is>
      </c>
      <c r="BL375" s="91" t="inlineStr">
        <is>
          <t>N/A</t>
        </is>
      </c>
      <c r="BM375" s="91" t="inlineStr">
        <is>
          <t>N/A</t>
        </is>
      </c>
      <c r="BN375" s="91" t="inlineStr">
        <is>
          <t>N/A</t>
        </is>
      </c>
      <c r="BO375" s="91" t="inlineStr">
        <is>
          <t>N/A</t>
        </is>
      </c>
      <c r="BP375" s="91" t="inlineStr">
        <is>
          <t>N/A</t>
        </is>
      </c>
      <c r="BQ375" s="91" t="inlineStr">
        <is>
          <t>N/A</t>
        </is>
      </c>
      <c r="BR375" s="91" t="inlineStr">
        <is>
          <t>N/A</t>
        </is>
      </c>
      <c r="BS375" s="91" t="inlineStr">
        <is>
          <t>N/A</t>
        </is>
      </c>
      <c r="BT375" s="91" t="inlineStr">
        <is>
          <t>N/A</t>
        </is>
      </c>
      <c r="BU375" s="91" t="inlineStr">
        <is>
          <t>N/A</t>
        </is>
      </c>
      <c r="BV375" s="91" t="inlineStr">
        <is>
          <t>N/A</t>
        </is>
      </c>
      <c r="BW375" s="85" t="n">
        <v>0</v>
      </c>
      <c r="BX375" s="85" t="n">
        <v>0</v>
      </c>
      <c r="BY375" s="85" t="n">
        <v>0</v>
      </c>
    </row>
    <row r="376" ht="17" customHeight="1">
      <c r="A376" s="86" t="n">
        <v>374</v>
      </c>
      <c r="B376" s="87" t="inlineStr">
        <is>
          <t>NEOG</t>
        </is>
      </c>
      <c r="C376" s="88" t="inlineStr">
        <is>
          <t>Neogen Corporation</t>
        </is>
      </c>
      <c r="D376" s="86" t="inlineStr">
        <is>
          <t>Health Care</t>
        </is>
      </c>
      <c r="E376" s="86" t="n">
        <v>2026</v>
      </c>
      <c r="F376" s="89" t="n">
        <v>3443.8</v>
      </c>
      <c r="G376" s="89" t="n">
        <v>576.9</v>
      </c>
      <c r="H376" s="89" t="n">
        <v>174</v>
      </c>
      <c r="I376" s="89" t="n">
        <v>1372.6</v>
      </c>
      <c r="J376" s="89" t="n">
        <v>-536.4</v>
      </c>
      <c r="K376" s="89" t="n">
        <v>-1061</v>
      </c>
      <c r="L376" s="89" t="n">
        <v>894.7</v>
      </c>
      <c r="M376" s="89" t="n">
        <v>-1092</v>
      </c>
      <c r="N376" s="89" t="n">
        <v>58.2</v>
      </c>
      <c r="O376" s="89" t="n">
        <v>421.4</v>
      </c>
      <c r="P376" s="89" t="n">
        <v>874.8</v>
      </c>
      <c r="Q376" s="89" t="n">
        <v>2071.3</v>
      </c>
      <c r="R376" s="89" t="n">
        <v>218.2</v>
      </c>
      <c r="S376" s="89" t="n">
        <v>119.5</v>
      </c>
      <c r="T376" s="89" t="n">
        <v>153.4</v>
      </c>
      <c r="U376" s="89" t="n">
        <v>339.1</v>
      </c>
      <c r="V376" s="89" t="n">
        <v>38.1</v>
      </c>
      <c r="W376" s="89" t="n">
        <v>4548.8</v>
      </c>
      <c r="X376" s="89" t="n">
        <v>589.2</v>
      </c>
      <c r="Y376" s="89" t="n">
        <v>154.3</v>
      </c>
      <c r="Z376" s="89" t="n">
        <v>1404.7</v>
      </c>
      <c r="AA376" s="89" t="n">
        <v>58.7</v>
      </c>
      <c r="AB376" s="89" t="n">
        <v>924.2</v>
      </c>
      <c r="AC376" s="89" t="n">
        <v>-9.4</v>
      </c>
      <c r="AD376" s="89" t="n">
        <v>35.3</v>
      </c>
      <c r="AE376" s="89" t="n">
        <v>463.9</v>
      </c>
      <c r="AF376" s="89" t="n">
        <v>888.4</v>
      </c>
      <c r="AG376" s="89" t="n">
        <v>3144.1</v>
      </c>
      <c r="AH376" s="89" t="n">
        <v>924.2</v>
      </c>
      <c r="AI376" s="89" t="n">
        <v>4548.8</v>
      </c>
      <c r="AJ376" s="89" t="n">
        <v>-1133.1</v>
      </c>
      <c r="AK376" s="89" t="n">
        <v>-14.3</v>
      </c>
      <c r="AL376" s="89" t="n">
        <v>-41.1</v>
      </c>
      <c r="AM376" s="89" t="n">
        <v>-4.9</v>
      </c>
      <c r="AN376" s="89" t="n">
        <v>1.5</v>
      </c>
      <c r="AO376" s="89" t="n">
        <v>1.5</v>
      </c>
      <c r="AP376" s="89" t="n">
        <v>190.9</v>
      </c>
      <c r="AQ376" s="89" t="n">
        <v>189.3</v>
      </c>
      <c r="AR376" s="89" t="n">
        <v>1064.9</v>
      </c>
      <c r="AS376" s="89" t="n">
        <v>1410.5</v>
      </c>
      <c r="AT376" s="89" t="n">
        <v>19.3</v>
      </c>
      <c r="AU376" s="89" t="n">
        <v>21.1</v>
      </c>
      <c r="AV376" s="89" t="n">
        <v>129</v>
      </c>
      <c r="AW376" s="89" t="n">
        <v>170.6</v>
      </c>
      <c r="AX376" s="89" t="n">
        <v>894.1</v>
      </c>
      <c r="AY376" s="89" t="n">
        <v>888.4</v>
      </c>
      <c r="AZ376" s="89" t="n">
        <v>765.1</v>
      </c>
      <c r="BA376" s="89" t="n">
        <v>56.7</v>
      </c>
      <c r="BB376" s="89" t="n">
        <v>216.6</v>
      </c>
      <c r="BC376" s="89" t="n">
        <v>216.6</v>
      </c>
      <c r="BD376" s="89" t="n">
        <v>173</v>
      </c>
      <c r="BE376" s="89" t="n">
        <v>277.1</v>
      </c>
      <c r="BF376" s="89" t="n">
        <v>199.9</v>
      </c>
      <c r="BG376" s="89" t="n">
        <v>116.7</v>
      </c>
      <c r="BH376" s="89" t="n">
        <v>-99.2</v>
      </c>
      <c r="BI376" s="89" t="n">
        <v>-29.3</v>
      </c>
      <c r="BJ376" s="89" t="n">
        <v>79.59999999999999</v>
      </c>
      <c r="BK376" s="89" t="n">
        <v>83.09999999999999</v>
      </c>
      <c r="BL376" s="89" t="n">
        <v>5.6</v>
      </c>
      <c r="BM376" s="89" t="n">
        <v>4.6</v>
      </c>
      <c r="BN376" s="89" t="n">
        <v>5.6</v>
      </c>
      <c r="BO376" s="89" t="n">
        <v>473.3</v>
      </c>
      <c r="BP376" s="89" t="n">
        <v>460.3</v>
      </c>
      <c r="BQ376" s="89" t="n">
        <v>0</v>
      </c>
      <c r="BR376" s="89" t="n">
        <v>0</v>
      </c>
      <c r="BS376" s="89" t="n">
        <v>0</v>
      </c>
      <c r="BT376" s="89" t="n">
        <v>0</v>
      </c>
      <c r="BU376" s="89" t="n">
        <v>0</v>
      </c>
      <c r="BV376" s="89" t="n">
        <v>0</v>
      </c>
      <c r="BW376" s="89" t="n">
        <v>0</v>
      </c>
      <c r="BX376" s="89" t="n">
        <v>0</v>
      </c>
      <c r="BY376" s="89" t="n">
        <v>0</v>
      </c>
    </row>
    <row r="377" ht="17" customHeight="1">
      <c r="A377" s="82" t="n">
        <v>375</v>
      </c>
      <c r="B377" s="83" t="inlineStr">
        <is>
          <t>APP</t>
        </is>
      </c>
      <c r="C377" s="84" t="inlineStr">
        <is>
          <t>AppLovin Corp</t>
        </is>
      </c>
      <c r="D377" s="82" t="inlineStr">
        <is>
          <t>Information Technology</t>
        </is>
      </c>
      <c r="E377" s="82" t="n">
        <v>2026</v>
      </c>
      <c r="F377" s="85" t="n">
        <v>7259.6</v>
      </c>
      <c r="G377" s="85" t="n">
        <v>4430.8</v>
      </c>
      <c r="H377" s="85" t="n">
        <v>1333.8</v>
      </c>
      <c r="I377" s="85" t="n">
        <v>5124.9</v>
      </c>
      <c r="J377" s="85" t="n">
        <v>1735.1</v>
      </c>
      <c r="K377" s="85" t="n">
        <v>4151.9</v>
      </c>
      <c r="L377" s="85" t="n">
        <v>5480.7</v>
      </c>
      <c r="M377" s="85" t="n">
        <v>3333.8</v>
      </c>
      <c r="N377" s="85" t="n">
        <v>3971.1</v>
      </c>
      <c r="O377" s="85" t="n">
        <v>4815.6</v>
      </c>
      <c r="P377" s="85" t="n">
        <v>3513</v>
      </c>
      <c r="Q377" s="85" t="n">
        <v>2134.7</v>
      </c>
      <c r="R377" s="85" t="n">
        <v>233.5</v>
      </c>
      <c r="S377" s="85" t="n">
        <v>194.8</v>
      </c>
      <c r="T377" s="85" t="n">
        <v>1819.4</v>
      </c>
      <c r="U377" s="91" t="inlineStr">
        <is>
          <t>N/A</t>
        </is>
      </c>
      <c r="V377" s="85" t="n">
        <v>200.6</v>
      </c>
      <c r="W377" s="85" t="n">
        <v>5869.3</v>
      </c>
      <c r="X377" s="85" t="n">
        <v>2312.2</v>
      </c>
      <c r="Y377" s="85" t="n">
        <v>1057.5</v>
      </c>
      <c r="Z377" s="85" t="n">
        <v>4779.4</v>
      </c>
      <c r="AA377" s="85" t="n">
        <v>1873.5</v>
      </c>
      <c r="AB377" s="85" t="n">
        <v>4709.2</v>
      </c>
      <c r="AC377" s="85" t="n">
        <v>1579.8</v>
      </c>
      <c r="AD377" s="85" t="n">
        <v>2099</v>
      </c>
      <c r="AE377" s="85" t="n">
        <v>3542.4</v>
      </c>
      <c r="AF377" s="85" t="n">
        <v>3509</v>
      </c>
      <c r="AG377" s="85" t="n">
        <v>1089.8</v>
      </c>
      <c r="AH377" s="85" t="n">
        <v>3224.1</v>
      </c>
      <c r="AI377" s="85" t="n">
        <v>5869.3</v>
      </c>
      <c r="AJ377" s="85" t="n">
        <v>3952.9</v>
      </c>
      <c r="AK377" s="85" t="n">
        <v>1576</v>
      </c>
      <c r="AL377" s="85" t="n">
        <v>519.7</v>
      </c>
      <c r="AM377" s="85" t="n">
        <v>-3.8</v>
      </c>
      <c r="AN377" s="85" t="n">
        <v>4.8</v>
      </c>
      <c r="AO377" s="85" t="n">
        <v>4.2</v>
      </c>
      <c r="AP377" s="91" t="inlineStr">
        <is>
          <t>N/A</t>
        </is>
      </c>
      <c r="AQ377" s="91" t="inlineStr">
        <is>
          <t>N/A</t>
        </is>
      </c>
      <c r="AR377" s="85" t="n">
        <v>1540</v>
      </c>
      <c r="AS377" s="85" t="n">
        <v>396.7</v>
      </c>
      <c r="AT377" s="91" t="inlineStr">
        <is>
          <t>N/A</t>
        </is>
      </c>
      <c r="AU377" s="85" t="n">
        <v>226.5</v>
      </c>
      <c r="AV377" s="85" t="n">
        <v>2487.1</v>
      </c>
      <c r="AW377" s="85" t="n">
        <v>741.4</v>
      </c>
      <c r="AX377" s="85" t="n">
        <v>3513</v>
      </c>
      <c r="AY377" s="85" t="n">
        <v>3724</v>
      </c>
      <c r="AZ377" s="85" t="n">
        <v>1025.9</v>
      </c>
      <c r="BA377" s="85" t="n">
        <v>3966.3</v>
      </c>
      <c r="BB377" s="85" t="n">
        <v>338.3</v>
      </c>
      <c r="BC377" s="85" t="n">
        <v>340</v>
      </c>
      <c r="BD377" s="85" t="n">
        <v>1414.2</v>
      </c>
      <c r="BE377" s="91" t="inlineStr">
        <is>
          <t>N/A</t>
        </is>
      </c>
      <c r="BF377" s="85" t="n">
        <v>181.1</v>
      </c>
      <c r="BG377" s="85" t="n">
        <v>448.7</v>
      </c>
      <c r="BH377" s="85" t="n">
        <v>358.4</v>
      </c>
      <c r="BI377" s="85" t="n">
        <v>-106.8</v>
      </c>
      <c r="BJ377" s="85" t="n">
        <v>747</v>
      </c>
      <c r="BK377" s="85" t="n">
        <v>563.4</v>
      </c>
      <c r="BL377" s="85" t="n">
        <v>47.7</v>
      </c>
      <c r="BM377" s="85" t="n">
        <v>37.1</v>
      </c>
      <c r="BN377" s="85" t="n">
        <v>451.6</v>
      </c>
      <c r="BO377" s="85" t="n">
        <v>665.1</v>
      </c>
      <c r="BP377" s="85" t="n">
        <v>1166.8</v>
      </c>
      <c r="BQ377" s="85" t="n">
        <v>0</v>
      </c>
      <c r="BR377" s="85" t="n">
        <v>0</v>
      </c>
      <c r="BS377" s="91" t="inlineStr">
        <is>
          <t>N/A</t>
        </is>
      </c>
      <c r="BT377" s="91" t="inlineStr">
        <is>
          <t>N/A</t>
        </is>
      </c>
      <c r="BU377" s="85" t="n">
        <v>0</v>
      </c>
      <c r="BV377" s="85" t="n">
        <v>0</v>
      </c>
      <c r="BW377" s="85" t="n">
        <v>0</v>
      </c>
      <c r="BX377" s="85" t="n">
        <v>0</v>
      </c>
      <c r="BY377" s="85" t="n">
        <v>0</v>
      </c>
    </row>
    <row r="378" ht="17" customHeight="1">
      <c r="A378" s="86" t="n">
        <v>376</v>
      </c>
      <c r="B378" s="87" t="inlineStr">
        <is>
          <t>CRWD</t>
        </is>
      </c>
      <c r="C378" s="88" t="inlineStr">
        <is>
          <t>CROWDSTRIKE HOLDINGS, INC.</t>
        </is>
      </c>
      <c r="D378" s="86" t="inlineStr">
        <is>
          <t>Information Technology</t>
        </is>
      </c>
      <c r="E378" s="86" t="n">
        <v>2026</v>
      </c>
      <c r="F378" s="89" t="n">
        <v>11086.7</v>
      </c>
      <c r="G378" s="89" t="n">
        <v>7419.1</v>
      </c>
      <c r="H378" s="89" t="n">
        <v>4184.2</v>
      </c>
      <c r="I378" s="89" t="n">
        <v>6614.1</v>
      </c>
      <c r="J378" s="89" t="n">
        <v>-1283</v>
      </c>
      <c r="K378" s="89" t="n">
        <v>-293.3</v>
      </c>
      <c r="L378" s="89" t="n">
        <v>4812</v>
      </c>
      <c r="M378" s="89" t="n">
        <v>-162.5</v>
      </c>
      <c r="N378" s="89" t="n">
        <v>1612.3</v>
      </c>
      <c r="O378" s="89" t="n">
        <v>3593.1</v>
      </c>
      <c r="P378" s="89" t="n">
        <v>745.5</v>
      </c>
      <c r="Q378" s="89" t="n">
        <v>4428.4</v>
      </c>
      <c r="R378" s="89" t="n">
        <v>670.3</v>
      </c>
      <c r="S378" s="89" t="n">
        <v>31.2</v>
      </c>
      <c r="T378" s="89" t="n">
        <v>1361.8</v>
      </c>
      <c r="U378" s="89" t="n">
        <v>976.3</v>
      </c>
      <c r="V378" s="89" t="n">
        <v>25.8</v>
      </c>
      <c r="W378" s="89" t="n">
        <v>8701.6</v>
      </c>
      <c r="X378" s="89" t="n">
        <v>6113.3</v>
      </c>
      <c r="Y378" s="89" t="n">
        <v>3461.1</v>
      </c>
      <c r="Z378" s="89" t="n">
        <v>5382.7</v>
      </c>
      <c r="AA378" s="89" t="n">
        <v>-120.4</v>
      </c>
      <c r="AB378" s="89" t="n">
        <v>3953.6</v>
      </c>
      <c r="AC378" s="89" t="n">
        <v>-19.3</v>
      </c>
      <c r="AD378" s="89" t="n">
        <v>1381.7</v>
      </c>
      <c r="AE378" s="89" t="n">
        <v>2962.1</v>
      </c>
      <c r="AF378" s="89" t="n">
        <v>744</v>
      </c>
      <c r="AG378" s="89" t="n">
        <v>3279.5</v>
      </c>
      <c r="AH378" s="90" t="inlineStr">
        <is>
          <t>N/A</t>
        </is>
      </c>
      <c r="AI378" s="89" t="n">
        <v>8701.6</v>
      </c>
      <c r="AJ378" s="89" t="n">
        <v>-127</v>
      </c>
      <c r="AK378" s="89" t="n">
        <v>54.5</v>
      </c>
      <c r="AL378" s="89" t="n">
        <v>34.2</v>
      </c>
      <c r="AM378" s="89" t="n">
        <v>71.09999999999999</v>
      </c>
      <c r="AN378" s="89" t="n">
        <v>302.1</v>
      </c>
      <c r="AO378" s="89" t="n">
        <v>254.9</v>
      </c>
      <c r="AP378" s="90" t="inlineStr">
        <is>
          <t>N/A</t>
        </is>
      </c>
      <c r="AQ378" s="90" t="inlineStr">
        <is>
          <t>N/A</t>
        </is>
      </c>
      <c r="AR378" s="89" t="n">
        <v>1363.3</v>
      </c>
      <c r="AS378" s="89" t="n">
        <v>136.7</v>
      </c>
      <c r="AT378" s="90" t="inlineStr">
        <is>
          <t>N/A</t>
        </is>
      </c>
      <c r="AU378" s="89" t="n">
        <v>1384.8</v>
      </c>
      <c r="AV378" s="89" t="n">
        <v>5230.1</v>
      </c>
      <c r="AW378" s="89" t="n">
        <v>4323.3</v>
      </c>
      <c r="AX378" s="89" t="n">
        <v>745.5</v>
      </c>
      <c r="AY378" s="89" t="n">
        <v>744</v>
      </c>
      <c r="AZ378" s="89" t="n">
        <v>-4484.7</v>
      </c>
      <c r="BA378" s="89" t="n">
        <v>1310.2</v>
      </c>
      <c r="BB378" s="90" t="inlineStr">
        <is>
          <t>N/A</t>
        </is>
      </c>
      <c r="BC378" s="89" t="n">
        <v>47.4</v>
      </c>
      <c r="BD378" s="89" t="n">
        <v>1128.6</v>
      </c>
      <c r="BE378" s="89" t="n">
        <v>788.6</v>
      </c>
      <c r="BF378" s="89" t="n">
        <v>482.3</v>
      </c>
      <c r="BG378" s="89" t="n">
        <v>26</v>
      </c>
      <c r="BH378" s="89" t="n">
        <v>-764.5</v>
      </c>
      <c r="BI378" s="89" t="n">
        <v>-536.6</v>
      </c>
      <c r="BJ378" s="89" t="n">
        <v>105.3</v>
      </c>
      <c r="BK378" s="89" t="n">
        <v>130.9</v>
      </c>
      <c r="BL378" s="89" t="n">
        <v>3421.1</v>
      </c>
      <c r="BM378" s="89" t="n">
        <v>2733</v>
      </c>
      <c r="BN378" s="89" t="n">
        <v>4.9</v>
      </c>
      <c r="BO378" s="89" t="n">
        <v>1218.9</v>
      </c>
      <c r="BP378" s="89" t="n">
        <v>991.5</v>
      </c>
      <c r="BQ378" s="89" t="n">
        <v>0</v>
      </c>
      <c r="BR378" s="89" t="n">
        <v>0</v>
      </c>
      <c r="BS378" s="90" t="inlineStr">
        <is>
          <t>N/A</t>
        </is>
      </c>
      <c r="BT378" s="90" t="inlineStr">
        <is>
          <t>N/A</t>
        </is>
      </c>
      <c r="BU378" s="89" t="n">
        <v>0</v>
      </c>
      <c r="BV378" s="89" t="n">
        <v>0</v>
      </c>
      <c r="BW378" s="89" t="n">
        <v>0</v>
      </c>
      <c r="BX378" s="89" t="n">
        <v>0</v>
      </c>
      <c r="BY378" s="89" t="n">
        <v>-0</v>
      </c>
    </row>
    <row r="379" ht="17" customHeight="1">
      <c r="A379" s="82" t="n">
        <v>377</v>
      </c>
      <c r="B379" s="83" t="inlineStr">
        <is>
          <t>CAT</t>
        </is>
      </c>
      <c r="C379" s="84" t="inlineStr">
        <is>
          <t>CATERPILLAR INC</t>
        </is>
      </c>
      <c r="D379" s="82" t="inlineStr">
        <is>
          <t>Industrials</t>
        </is>
      </c>
      <c r="E379" s="82" t="n">
        <v>2026</v>
      </c>
      <c r="F379" s="85" t="n">
        <v>98585</v>
      </c>
      <c r="G379" s="85" t="n">
        <v>52485</v>
      </c>
      <c r="H379" s="85" t="n">
        <v>36558</v>
      </c>
      <c r="I379" s="85" t="n">
        <v>77267</v>
      </c>
      <c r="J379" s="85" t="n">
        <v>65448</v>
      </c>
      <c r="K379" s="85" t="n">
        <v>11151</v>
      </c>
      <c r="L379" s="85" t="n">
        <v>67589</v>
      </c>
      <c r="M379" s="85" t="n">
        <v>2700</v>
      </c>
      <c r="N379" s="85" t="n">
        <v>11739</v>
      </c>
      <c r="O379" s="85" t="n">
        <v>2786</v>
      </c>
      <c r="P379" s="85" t="n">
        <v>30696</v>
      </c>
      <c r="Q379" s="85" t="n">
        <v>21318</v>
      </c>
      <c r="R379" s="85" t="n">
        <v>6985</v>
      </c>
      <c r="S379" s="85" t="n">
        <v>2262</v>
      </c>
      <c r="T379" s="85" t="n">
        <v>10920</v>
      </c>
      <c r="U379" s="85" t="n">
        <v>15140</v>
      </c>
      <c r="V379" s="91" t="inlineStr">
        <is>
          <t>N/A</t>
        </is>
      </c>
      <c r="W379" s="85" t="n">
        <v>87764</v>
      </c>
      <c r="X379" s="85" t="n">
        <v>45682</v>
      </c>
      <c r="Y379" s="85" t="n">
        <v>32272</v>
      </c>
      <c r="Z379" s="85" t="n">
        <v>68270</v>
      </c>
      <c r="AA379" s="85" t="n">
        <v>13072</v>
      </c>
      <c r="AB379" s="85" t="n">
        <v>64809</v>
      </c>
      <c r="AC379" s="85" t="n">
        <v>968</v>
      </c>
      <c r="AD379" s="85" t="n">
        <v>12035</v>
      </c>
      <c r="AE379" s="85" t="n">
        <v>2309</v>
      </c>
      <c r="AF379" s="85" t="n">
        <v>27351</v>
      </c>
      <c r="AG379" s="91" t="inlineStr">
        <is>
          <t>N/A</t>
        </is>
      </c>
      <c r="AH379" s="85" t="n">
        <v>64809</v>
      </c>
      <c r="AI379" s="85" t="n">
        <v>87764</v>
      </c>
      <c r="AJ379" s="85" t="n">
        <v>5407</v>
      </c>
      <c r="AK379" s="91" t="inlineStr">
        <is>
          <t>N/A</t>
        </is>
      </c>
      <c r="AL379" s="85" t="n">
        <v>2768</v>
      </c>
      <c r="AM379" s="85" t="n">
        <v>2629</v>
      </c>
      <c r="AN379" s="85" t="n">
        <v>2821</v>
      </c>
      <c r="AO379" s="85" t="n">
        <v>1988</v>
      </c>
      <c r="AP379" s="85" t="n">
        <v>18135</v>
      </c>
      <c r="AQ379" s="85" t="n">
        <v>16827</v>
      </c>
      <c r="AR379" s="85" t="n">
        <v>5321</v>
      </c>
      <c r="AS379" s="85" t="n">
        <v>241</v>
      </c>
      <c r="AT379" s="85" t="n">
        <v>5514</v>
      </c>
      <c r="AU379" s="85" t="n">
        <v>2148</v>
      </c>
      <c r="AV379" s="85" t="n">
        <v>9980</v>
      </c>
      <c r="AW379" s="85" t="n">
        <v>6889</v>
      </c>
      <c r="AX379" s="85" t="n">
        <v>36210</v>
      </c>
      <c r="AY379" s="85" t="n">
        <v>31744</v>
      </c>
      <c r="AZ379" s="85" t="n">
        <v>26230</v>
      </c>
      <c r="BA379" s="85" t="n">
        <v>8918</v>
      </c>
      <c r="BB379" s="85" t="n">
        <v>465.3</v>
      </c>
      <c r="BC379" s="85" t="n">
        <v>477.9</v>
      </c>
      <c r="BD379" s="85" t="n">
        <v>9282</v>
      </c>
      <c r="BE379" s="85" t="n">
        <v>13361</v>
      </c>
      <c r="BF379" s="85" t="n">
        <v>6667</v>
      </c>
      <c r="BG379" s="85" t="n">
        <v>2153</v>
      </c>
      <c r="BH379" s="85" t="n">
        <v>-4707</v>
      </c>
      <c r="BI379" s="85" t="n">
        <v>-2453</v>
      </c>
      <c r="BJ379" s="85" t="n">
        <v>8968</v>
      </c>
      <c r="BK379" s="85" t="n">
        <v>7675</v>
      </c>
      <c r="BL379" s="85" t="n">
        <v>3314</v>
      </c>
      <c r="BM379" s="85" t="n">
        <v>2322</v>
      </c>
      <c r="BN379" s="91" t="inlineStr">
        <is>
          <t>N/A</t>
        </is>
      </c>
      <c r="BO379" s="85" t="n">
        <v>49</v>
      </c>
      <c r="BP379" s="85" t="n">
        <v>33</v>
      </c>
      <c r="BQ379" s="85" t="n">
        <v>0</v>
      </c>
      <c r="BR379" s="85" t="n">
        <v>0</v>
      </c>
      <c r="BS379" s="85" t="n">
        <v>0.1</v>
      </c>
      <c r="BT379" s="85" t="n">
        <v>0.2</v>
      </c>
      <c r="BU379" s="85" t="n">
        <v>0.1</v>
      </c>
      <c r="BV379" s="85" t="n">
        <v>0.1</v>
      </c>
      <c r="BW379" s="85" t="n">
        <v>0</v>
      </c>
      <c r="BX379" s="85" t="n">
        <v>0</v>
      </c>
      <c r="BY379" s="85" t="n">
        <v>0</v>
      </c>
    </row>
    <row r="380" ht="17" customHeight="1">
      <c r="A380" s="86" t="n">
        <v>378</v>
      </c>
      <c r="B380" s="87" t="inlineStr">
        <is>
          <t>KHC</t>
        </is>
      </c>
      <c r="C380" s="88" t="inlineStr">
        <is>
          <t>Kraft Heinz Co</t>
        </is>
      </c>
      <c r="D380" s="86" t="inlineStr">
        <is>
          <t>Consumer Staples</t>
        </is>
      </c>
      <c r="E380" s="86" t="n">
        <v>2026</v>
      </c>
      <c r="F380" s="89" t="n">
        <v>81786</v>
      </c>
      <c r="G380" s="89" t="n">
        <v>10127</v>
      </c>
      <c r="H380" s="89" t="n">
        <v>8778</v>
      </c>
      <c r="I380" s="89" t="n">
        <v>39997</v>
      </c>
      <c r="J380" s="89" t="n">
        <v>-4629</v>
      </c>
      <c r="K380" s="89" t="n">
        <v>-4669</v>
      </c>
      <c r="L380" s="89" t="n">
        <v>24942</v>
      </c>
      <c r="M380" s="89" t="n">
        <v>-5846</v>
      </c>
      <c r="N380" s="89" t="n">
        <v>4462</v>
      </c>
      <c r="O380" s="89" t="n">
        <v>8309</v>
      </c>
      <c r="P380" s="90" t="inlineStr">
        <is>
          <t>N/A</t>
        </is>
      </c>
      <c r="Q380" s="89" t="n">
        <v>41664</v>
      </c>
      <c r="R380" s="89" t="n">
        <v>12978</v>
      </c>
      <c r="S380" s="89" t="n">
        <v>968</v>
      </c>
      <c r="T380" s="89" t="n">
        <v>2254</v>
      </c>
      <c r="U380" s="89" t="n">
        <v>7055</v>
      </c>
      <c r="V380" s="89" t="n">
        <v>947</v>
      </c>
      <c r="W380" s="89" t="n">
        <v>88287</v>
      </c>
      <c r="X380" s="89" t="n">
        <v>7655</v>
      </c>
      <c r="Y380" s="89" t="n">
        <v>7253</v>
      </c>
      <c r="Z380" s="89" t="n">
        <v>38962</v>
      </c>
      <c r="AA380" s="89" t="n">
        <v>1683</v>
      </c>
      <c r="AB380" s="89" t="n">
        <v>25846</v>
      </c>
      <c r="AC380" s="89" t="n">
        <v>2744</v>
      </c>
      <c r="AD380" s="89" t="n">
        <v>4184</v>
      </c>
      <c r="AE380" s="89" t="n">
        <v>8968</v>
      </c>
      <c r="AF380" s="90" t="inlineStr">
        <is>
          <t>N/A</t>
        </is>
      </c>
      <c r="AG380" s="89" t="n">
        <v>49185</v>
      </c>
      <c r="AH380" s="90" t="inlineStr">
        <is>
          <t>N/A</t>
        </is>
      </c>
      <c r="AI380" s="89" t="n">
        <v>88287</v>
      </c>
      <c r="AJ380" s="89" t="n">
        <v>-5445</v>
      </c>
      <c r="AK380" s="89" t="n">
        <v>856</v>
      </c>
      <c r="AL380" s="89" t="n">
        <v>403</v>
      </c>
      <c r="AM380" s="89" t="n">
        <v>-1890</v>
      </c>
      <c r="AN380" s="89" t="n">
        <v>801</v>
      </c>
      <c r="AO380" s="89" t="n">
        <v>1024</v>
      </c>
      <c r="AP380" s="89" t="n">
        <v>3167</v>
      </c>
      <c r="AQ380" s="89" t="n">
        <v>3376</v>
      </c>
      <c r="AR380" s="89" t="n">
        <v>22179</v>
      </c>
      <c r="AS380" s="89" t="n">
        <v>3364</v>
      </c>
      <c r="AT380" s="90" t="inlineStr">
        <is>
          <t>N/A</t>
        </is>
      </c>
      <c r="AU380" s="89" t="n">
        <v>167</v>
      </c>
      <c r="AV380" s="89" t="n">
        <v>2615</v>
      </c>
      <c r="AW380" s="89" t="n">
        <v>1334</v>
      </c>
      <c r="AX380" s="90" t="inlineStr">
        <is>
          <t>N/A</t>
        </is>
      </c>
      <c r="AY380" s="90" t="inlineStr">
        <is>
          <t>N/A</t>
        </is>
      </c>
      <c r="AZ380" s="89" t="n">
        <v>-2615</v>
      </c>
      <c r="BA380" s="89" t="n">
        <v>3661</v>
      </c>
      <c r="BB380" s="89" t="n">
        <v>1184</v>
      </c>
      <c r="BC380" s="89" t="n">
        <v>1195</v>
      </c>
      <c r="BD380" s="89" t="n">
        <v>2147</v>
      </c>
      <c r="BE380" s="89" t="n">
        <v>7078</v>
      </c>
      <c r="BF380" s="89" t="n">
        <v>7285</v>
      </c>
      <c r="BG380" s="89" t="n">
        <v>948</v>
      </c>
      <c r="BH380" s="89" t="n">
        <v>-1833</v>
      </c>
      <c r="BI380" s="89" t="n">
        <v>-1023</v>
      </c>
      <c r="BJ380" s="90" t="inlineStr">
        <is>
          <t>N/A</t>
        </is>
      </c>
      <c r="BK380" s="90" t="inlineStr">
        <is>
          <t>N/A</t>
        </is>
      </c>
      <c r="BL380" s="90" t="inlineStr">
        <is>
          <t>N/A</t>
        </is>
      </c>
      <c r="BM380" s="90" t="inlineStr">
        <is>
          <t>N/A</t>
        </is>
      </c>
      <c r="BN380" s="89" t="n">
        <v>136</v>
      </c>
      <c r="BO380" s="89" t="n">
        <v>16633</v>
      </c>
      <c r="BP380" s="89" t="n">
        <v>16878</v>
      </c>
      <c r="BQ380" s="89" t="n">
        <v>0</v>
      </c>
      <c r="BR380" s="89" t="n">
        <v>0</v>
      </c>
      <c r="BS380" s="89" t="n">
        <v>0</v>
      </c>
      <c r="BT380" s="89" t="n">
        <v>0</v>
      </c>
      <c r="BU380" s="89" t="n">
        <v>0</v>
      </c>
      <c r="BV380" s="90" t="inlineStr">
        <is>
          <t>N/A</t>
        </is>
      </c>
      <c r="BW380" s="89" t="n">
        <v>0</v>
      </c>
      <c r="BX380" s="89" t="n">
        <v>0</v>
      </c>
      <c r="BY380" s="89" t="n">
        <v>-0</v>
      </c>
    </row>
    <row r="381" ht="17" customHeight="1">
      <c r="A381" s="82" t="n">
        <v>379</v>
      </c>
      <c r="B381" s="83" t="inlineStr">
        <is>
          <t>RL</t>
        </is>
      </c>
      <c r="C381" s="84" t="inlineStr">
        <is>
          <t>RALPH LAUREN CORPORATION</t>
        </is>
      </c>
      <c r="D381" s="82" t="inlineStr">
        <is>
          <t>Consumer Discretionary</t>
        </is>
      </c>
      <c r="E381" s="82" t="n">
        <v>2026</v>
      </c>
      <c r="F381" s="85" t="n">
        <v>7739.5</v>
      </c>
      <c r="G381" s="85" t="n">
        <v>3887.2</v>
      </c>
      <c r="H381" s="85" t="n">
        <v>1826.5</v>
      </c>
      <c r="I381" s="85" t="n">
        <v>4898.1</v>
      </c>
      <c r="J381" s="85" t="n">
        <v>8310.6</v>
      </c>
      <c r="K381" s="85" t="n">
        <v>1179.2</v>
      </c>
      <c r="L381" s="85" t="n">
        <v>8114.5</v>
      </c>
      <c r="M381" s="85" t="n">
        <v>941.1</v>
      </c>
      <c r="N381" s="85" t="n">
        <v>1154.2</v>
      </c>
      <c r="O381" s="85" t="n">
        <v>5669.2</v>
      </c>
      <c r="P381" s="85" t="n">
        <v>300</v>
      </c>
      <c r="Q381" s="85" t="n">
        <v>2841.4</v>
      </c>
      <c r="R381" s="85" t="n">
        <v>4371.9</v>
      </c>
      <c r="S381" s="85" t="n">
        <v>233</v>
      </c>
      <c r="T381" s="85" t="n">
        <v>491.7</v>
      </c>
      <c r="U381" s="85" t="n">
        <v>1070.6</v>
      </c>
      <c r="V381" s="85" t="n">
        <v>54.2</v>
      </c>
      <c r="W381" s="85" t="n">
        <v>7047.3</v>
      </c>
      <c r="X381" s="85" t="n">
        <v>3789.9</v>
      </c>
      <c r="Y381" s="85" t="n">
        <v>2133.7</v>
      </c>
      <c r="Z381" s="85" t="n">
        <v>4458.8</v>
      </c>
      <c r="AA381" s="85" t="n">
        <v>932.1</v>
      </c>
      <c r="AB381" s="85" t="n">
        <v>7079</v>
      </c>
      <c r="AC381" s="85" t="n">
        <v>742.9</v>
      </c>
      <c r="AD381" s="85" t="n">
        <v>1235.1</v>
      </c>
      <c r="AE381" s="85" t="n">
        <v>4852.9</v>
      </c>
      <c r="AF381" s="85" t="n">
        <v>267</v>
      </c>
      <c r="AG381" s="85" t="n">
        <v>2588.5</v>
      </c>
      <c r="AH381" s="85" t="n">
        <v>7079</v>
      </c>
      <c r="AI381" s="85" t="n">
        <v>7047.3</v>
      </c>
      <c r="AJ381" s="85" t="n">
        <v>1177.7</v>
      </c>
      <c r="AK381" s="85" t="n">
        <v>950.7</v>
      </c>
      <c r="AL381" s="85" t="n">
        <v>236.6</v>
      </c>
      <c r="AM381" s="85" t="n">
        <v>207.8</v>
      </c>
      <c r="AN381" s="85" t="n">
        <v>216.2</v>
      </c>
      <c r="AO381" s="85" t="n">
        <v>164.8</v>
      </c>
      <c r="AP381" s="85" t="n">
        <v>1014.3</v>
      </c>
      <c r="AQ381" s="85" t="n">
        <v>949.6</v>
      </c>
      <c r="AR381" s="85" t="n">
        <v>904.2</v>
      </c>
      <c r="AS381" s="85" t="n">
        <v>45</v>
      </c>
      <c r="AT381" s="91" t="inlineStr">
        <is>
          <t>N/A</t>
        </is>
      </c>
      <c r="AU381" s="91" t="inlineStr">
        <is>
          <t>N/A</t>
        </is>
      </c>
      <c r="AV381" s="85" t="n">
        <v>1988</v>
      </c>
      <c r="AW381" s="85" t="n">
        <v>1922.5</v>
      </c>
      <c r="AX381" s="85" t="n">
        <v>300</v>
      </c>
      <c r="AY381" s="85" t="n">
        <v>742</v>
      </c>
      <c r="AZ381" s="85" t="n">
        <v>-1688</v>
      </c>
      <c r="BA381" s="85" t="n">
        <v>938</v>
      </c>
      <c r="BB381" s="91" t="inlineStr">
        <is>
          <t>N/A</t>
        </is>
      </c>
      <c r="BC381" s="91" t="inlineStr">
        <is>
          <t>N/A</t>
        </is>
      </c>
      <c r="BD381" s="85" t="n">
        <v>459.5</v>
      </c>
      <c r="BE381" s="85" t="n">
        <v>846.4</v>
      </c>
      <c r="BF381" s="85" t="n">
        <v>3863</v>
      </c>
      <c r="BG381" s="85" t="n">
        <v>219.6</v>
      </c>
      <c r="BH381" s="85" t="n">
        <v>-356.6</v>
      </c>
      <c r="BI381" s="85" t="n">
        <v>-264.1</v>
      </c>
      <c r="BJ381" s="85" t="n">
        <v>431</v>
      </c>
      <c r="BK381" s="85" t="n">
        <v>436</v>
      </c>
      <c r="BL381" s="85" t="n">
        <v>22</v>
      </c>
      <c r="BM381" s="85" t="n">
        <v>16.6</v>
      </c>
      <c r="BN381" s="85" t="n">
        <v>80</v>
      </c>
      <c r="BO381" s="85" t="n">
        <v>2445.3</v>
      </c>
      <c r="BP381" s="85" t="n">
        <v>2226.1</v>
      </c>
      <c r="BQ381" s="85" t="n">
        <v>0</v>
      </c>
      <c r="BR381" s="85" t="n">
        <v>0</v>
      </c>
      <c r="BS381" s="85" t="n">
        <v>0</v>
      </c>
      <c r="BT381" s="85" t="n">
        <v>0</v>
      </c>
      <c r="BU381" s="85" t="n">
        <v>0</v>
      </c>
      <c r="BV381" s="85" t="n">
        <v>0</v>
      </c>
      <c r="BW381" s="85" t="n">
        <v>0</v>
      </c>
      <c r="BX381" s="85" t="n">
        <v>0</v>
      </c>
      <c r="BY381" s="85" t="n">
        <v>0</v>
      </c>
    </row>
    <row r="382" ht="17" customHeight="1">
      <c r="A382" s="86" t="n">
        <v>380</v>
      </c>
      <c r="B382" s="87" t="inlineStr">
        <is>
          <t>SAIC</t>
        </is>
      </c>
      <c r="C382" s="88" t="inlineStr">
        <is>
          <t>Science Applications International Corporation</t>
        </is>
      </c>
      <c r="D382" s="86" t="inlineStr">
        <is>
          <t>Industrials</t>
        </is>
      </c>
      <c r="E382" s="86" t="n">
        <v>2026</v>
      </c>
      <c r="F382" s="89" t="n">
        <v>5354</v>
      </c>
      <c r="G382" s="89" t="n">
        <v>1179</v>
      </c>
      <c r="H382" s="89" t="n">
        <v>982</v>
      </c>
      <c r="I382" s="89" t="n">
        <v>5354</v>
      </c>
      <c r="J382" s="89" t="n">
        <v>1492</v>
      </c>
      <c r="K382" s="89" t="n">
        <v>521</v>
      </c>
      <c r="L382" s="89" t="n">
        <v>7262</v>
      </c>
      <c r="M382" s="89" t="n">
        <v>362</v>
      </c>
      <c r="N382" s="89" t="n">
        <v>609</v>
      </c>
      <c r="O382" s="89" t="n">
        <v>872</v>
      </c>
      <c r="P382" s="89" t="n">
        <v>2487</v>
      </c>
      <c r="Q382" s="89" t="n">
        <v>1500</v>
      </c>
      <c r="R382" s="89" t="n">
        <v>350</v>
      </c>
      <c r="S382" s="89" t="n">
        <v>149</v>
      </c>
      <c r="T382" s="89" t="n">
        <v>853</v>
      </c>
      <c r="U382" s="89" t="n">
        <v>110</v>
      </c>
      <c r="V382" s="89" t="n">
        <v>120</v>
      </c>
      <c r="W382" s="89" t="n">
        <v>5246</v>
      </c>
      <c r="X382" s="89" t="n">
        <v>1154</v>
      </c>
      <c r="Y382" s="89" t="n">
        <v>1396</v>
      </c>
      <c r="Z382" s="89" t="n">
        <v>5246</v>
      </c>
      <c r="AA382" s="89" t="n">
        <v>563</v>
      </c>
      <c r="AB382" s="89" t="n">
        <v>7479</v>
      </c>
      <c r="AC382" s="89" t="n">
        <v>477</v>
      </c>
      <c r="AD382" s="89" t="n">
        <v>494</v>
      </c>
      <c r="AE382" s="89" t="n">
        <v>892</v>
      </c>
      <c r="AF382" s="89" t="n">
        <v>2220</v>
      </c>
      <c r="AG382" s="89" t="n">
        <v>1577</v>
      </c>
      <c r="AH382" s="89" t="n">
        <v>7479</v>
      </c>
      <c r="AI382" s="89" t="n">
        <v>5246</v>
      </c>
      <c r="AJ382" s="89" t="n">
        <v>387</v>
      </c>
      <c r="AK382" s="89" t="n">
        <v>428</v>
      </c>
      <c r="AL382" s="89" t="n">
        <v>29</v>
      </c>
      <c r="AM382" s="89" t="n">
        <v>66</v>
      </c>
      <c r="AN382" s="89" t="n">
        <v>32</v>
      </c>
      <c r="AO382" s="89" t="n">
        <v>36</v>
      </c>
      <c r="AP382" s="89" t="n">
        <v>3</v>
      </c>
      <c r="AQ382" s="89" t="n">
        <v>71</v>
      </c>
      <c r="AR382" s="89" t="n">
        <v>2944</v>
      </c>
      <c r="AS382" s="89" t="n">
        <v>761</v>
      </c>
      <c r="AT382" s="89" t="n">
        <v>19</v>
      </c>
      <c r="AU382" s="89" t="n">
        <v>13</v>
      </c>
      <c r="AV382" s="89" t="n">
        <v>182</v>
      </c>
      <c r="AW382" s="89" t="n">
        <v>56</v>
      </c>
      <c r="AX382" s="89" t="n">
        <v>2506</v>
      </c>
      <c r="AY382" s="89" t="n">
        <v>2220</v>
      </c>
      <c r="AZ382" s="89" t="n">
        <v>2324</v>
      </c>
      <c r="BA382" s="89" t="n">
        <v>577</v>
      </c>
      <c r="BB382" s="89" t="n">
        <v>44</v>
      </c>
      <c r="BC382" s="89" t="n">
        <v>48</v>
      </c>
      <c r="BD382" s="89" t="n">
        <v>1000</v>
      </c>
      <c r="BE382" s="89" t="n">
        <v>104</v>
      </c>
      <c r="BF382" s="89" t="n">
        <v>339</v>
      </c>
      <c r="BG382" s="89" t="n">
        <v>140</v>
      </c>
      <c r="BH382" s="89" t="n">
        <v>-248</v>
      </c>
      <c r="BI382" s="89" t="n">
        <v>-35</v>
      </c>
      <c r="BJ382" s="89" t="n">
        <v>500</v>
      </c>
      <c r="BK382" s="89" t="n">
        <v>631</v>
      </c>
      <c r="BL382" s="89" t="n">
        <v>41</v>
      </c>
      <c r="BM382" s="89" t="n">
        <v>38</v>
      </c>
      <c r="BN382" s="90" t="inlineStr">
        <is>
          <t>N/A</t>
        </is>
      </c>
      <c r="BO382" s="89" t="n">
        <v>6390</v>
      </c>
      <c r="BP382" s="89" t="n">
        <v>6587</v>
      </c>
      <c r="BQ382" s="89" t="n">
        <v>0</v>
      </c>
      <c r="BR382" s="89" t="n">
        <v>0</v>
      </c>
      <c r="BS382" s="89" t="n">
        <v>0</v>
      </c>
      <c r="BT382" s="89" t="n">
        <v>0</v>
      </c>
      <c r="BU382" s="89" t="n">
        <v>0</v>
      </c>
      <c r="BV382" s="89" t="n">
        <v>0</v>
      </c>
      <c r="BW382" s="89" t="n">
        <v>0</v>
      </c>
      <c r="BX382" s="89" t="n">
        <v>0</v>
      </c>
      <c r="BY382" s="89" t="n">
        <v>0</v>
      </c>
    </row>
    <row r="383" ht="17" customHeight="1">
      <c r="A383" s="82" t="n">
        <v>381</v>
      </c>
      <c r="B383" s="83" t="inlineStr">
        <is>
          <t>MA</t>
        </is>
      </c>
      <c r="C383" s="84" t="inlineStr">
        <is>
          <t>Mastercard Inc</t>
        </is>
      </c>
      <c r="D383" s="82" t="inlineStr">
        <is>
          <t>Financials</t>
        </is>
      </c>
      <c r="E383" s="82" t="n">
        <v>2026</v>
      </c>
      <c r="F383" s="85" t="n">
        <v>54157</v>
      </c>
      <c r="G383" s="85" t="n">
        <v>23558</v>
      </c>
      <c r="H383" s="85" t="n">
        <v>22762</v>
      </c>
      <c r="I383" s="85" t="n">
        <v>46411</v>
      </c>
      <c r="J383" s="85" t="n">
        <v>85035</v>
      </c>
      <c r="K383" s="85" t="n">
        <v>18897</v>
      </c>
      <c r="L383" s="85" t="n">
        <v>32791</v>
      </c>
      <c r="M383" s="85" t="n">
        <v>3116</v>
      </c>
      <c r="N383" s="85" t="n">
        <v>17648</v>
      </c>
      <c r="O383" s="85" t="n">
        <v>18897</v>
      </c>
      <c r="P383" s="85" t="n">
        <v>20</v>
      </c>
      <c r="Q383" s="85" t="n">
        <v>7737</v>
      </c>
      <c r="R383" s="85" t="n">
        <v>11318</v>
      </c>
      <c r="S383" s="85" t="n">
        <v>1143</v>
      </c>
      <c r="T383" s="85" t="n">
        <v>4609</v>
      </c>
      <c r="U383" s="85" t="n">
        <v>2303</v>
      </c>
      <c r="V383" s="85" t="n">
        <v>575</v>
      </c>
      <c r="W383" s="85" t="n">
        <v>48081</v>
      </c>
      <c r="X383" s="85" t="n">
        <v>19724</v>
      </c>
      <c r="Y383" s="85" t="n">
        <v>19220</v>
      </c>
      <c r="Z383" s="85" t="n">
        <v>41566</v>
      </c>
      <c r="AA383" s="85" t="n">
        <v>15582</v>
      </c>
      <c r="AB383" s="85" t="n">
        <v>28167</v>
      </c>
      <c r="AC383" s="85" t="n">
        <v>623</v>
      </c>
      <c r="AD383" s="85" t="n">
        <v>14780</v>
      </c>
      <c r="AE383" s="85" t="n">
        <v>15582</v>
      </c>
      <c r="AF383" s="85" t="n">
        <v>17476</v>
      </c>
      <c r="AG383" s="85" t="n">
        <v>6485</v>
      </c>
      <c r="AH383" s="85" t="n">
        <v>28167</v>
      </c>
      <c r="AI383" s="85" t="n">
        <v>48081</v>
      </c>
      <c r="AJ383" s="85" t="n">
        <v>18578</v>
      </c>
      <c r="AK383" s="85" t="n">
        <v>15254</v>
      </c>
      <c r="AL383" s="85" t="n">
        <v>3610</v>
      </c>
      <c r="AM383" s="85" t="n">
        <v>2380</v>
      </c>
      <c r="AN383" s="85" t="n">
        <v>489</v>
      </c>
      <c r="AO383" s="85" t="n">
        <v>474</v>
      </c>
      <c r="AP383" s="91" t="inlineStr">
        <is>
          <t>N/A</t>
        </is>
      </c>
      <c r="AQ383" s="91" t="inlineStr">
        <is>
          <t>N/A</t>
        </is>
      </c>
      <c r="AR383" s="85" t="n">
        <v>9560</v>
      </c>
      <c r="AS383" s="85" t="n">
        <v>5382</v>
      </c>
      <c r="AT383" s="85" t="n">
        <v>749</v>
      </c>
      <c r="AU383" s="91" t="inlineStr">
        <is>
          <t>N/A</t>
        </is>
      </c>
      <c r="AV383" s="85" t="n">
        <v>10566</v>
      </c>
      <c r="AW383" s="85" t="n">
        <v>8442</v>
      </c>
      <c r="AX383" s="85" t="n">
        <v>769</v>
      </c>
      <c r="AY383" s="85" t="n">
        <v>17476</v>
      </c>
      <c r="AZ383" s="85" t="n">
        <v>-9797</v>
      </c>
      <c r="BA383" s="85" t="n">
        <v>17159</v>
      </c>
      <c r="BB383" s="91" t="inlineStr">
        <is>
          <t>N/A</t>
        </is>
      </c>
      <c r="BC383" s="91" t="inlineStr">
        <is>
          <t>N/A</t>
        </is>
      </c>
      <c r="BD383" s="85" t="n">
        <v>3773</v>
      </c>
      <c r="BE383" s="85" t="n">
        <v>2138</v>
      </c>
      <c r="BF383" s="85" t="n">
        <v>10193</v>
      </c>
      <c r="BG383" s="85" t="n">
        <v>897</v>
      </c>
      <c r="BH383" s="85" t="n">
        <v>-1362</v>
      </c>
      <c r="BI383" s="85" t="n">
        <v>-3402</v>
      </c>
      <c r="BJ383" s="85" t="n">
        <v>999</v>
      </c>
      <c r="BK383" s="85" t="n">
        <v>929</v>
      </c>
      <c r="BL383" s="85" t="n">
        <v>1568</v>
      </c>
      <c r="BM383" s="85" t="n">
        <v>1873</v>
      </c>
      <c r="BN383" s="85" t="n">
        <v>914</v>
      </c>
      <c r="BO383" s="85" t="n">
        <v>13894</v>
      </c>
      <c r="BP383" s="85" t="n">
        <v>12585</v>
      </c>
      <c r="BQ383" s="85" t="n">
        <v>0</v>
      </c>
      <c r="BR383" s="85" t="n">
        <v>0</v>
      </c>
      <c r="BS383" s="91" t="inlineStr">
        <is>
          <t>N/A</t>
        </is>
      </c>
      <c r="BT383" s="91" t="inlineStr">
        <is>
          <t>N/A</t>
        </is>
      </c>
      <c r="BU383" s="85" t="n">
        <v>0</v>
      </c>
      <c r="BV383" s="85" t="n">
        <v>0</v>
      </c>
      <c r="BW383" s="85" t="n">
        <v>0</v>
      </c>
      <c r="BX383" s="85" t="n">
        <v>0</v>
      </c>
      <c r="BY383" s="85" t="n">
        <v>0</v>
      </c>
    </row>
    <row r="384" ht="17" customHeight="1">
      <c r="A384" s="86" t="n">
        <v>382</v>
      </c>
      <c r="B384" s="87" t="inlineStr">
        <is>
          <t>FAST</t>
        </is>
      </c>
      <c r="C384" s="88" t="inlineStr">
        <is>
          <t>FASTENAL CO</t>
        </is>
      </c>
      <c r="D384" s="86" t="inlineStr">
        <is>
          <t>Industrials</t>
        </is>
      </c>
      <c r="E384" s="86" t="n">
        <v>2026</v>
      </c>
      <c r="F384" s="89" t="n">
        <v>5052.9</v>
      </c>
      <c r="G384" s="89" t="n">
        <v>3472.1</v>
      </c>
      <c r="H384" s="89" t="n">
        <v>715.6</v>
      </c>
      <c r="I384" s="89" t="n">
        <v>5052.9</v>
      </c>
      <c r="J384" s="89" t="n">
        <v>3867.7</v>
      </c>
      <c r="K384" s="89" t="n">
        <v>1655.7</v>
      </c>
      <c r="L384" s="89" t="n">
        <v>8200.5</v>
      </c>
      <c r="M384" s="89" t="n">
        <v>1258.4</v>
      </c>
      <c r="N384" s="89" t="n">
        <v>1295.9</v>
      </c>
      <c r="O384" s="89" t="n">
        <v>3691.2</v>
      </c>
      <c r="P384" s="89" t="n">
        <v>125</v>
      </c>
      <c r="Q384" s="89" t="n">
        <v>3943.6</v>
      </c>
      <c r="R384" s="89" t="n">
        <v>2035.5</v>
      </c>
      <c r="S384" s="89" t="n">
        <v>179.2</v>
      </c>
      <c r="T384" s="89" t="n">
        <v>1245.3</v>
      </c>
      <c r="U384" s="89" t="n">
        <v>1131.6</v>
      </c>
      <c r="V384" s="89" t="n">
        <v>10.8</v>
      </c>
      <c r="W384" s="89" t="n">
        <v>4698</v>
      </c>
      <c r="X384" s="89" t="n">
        <v>3211.9</v>
      </c>
      <c r="Y384" s="89" t="n">
        <v>687.1</v>
      </c>
      <c r="Z384" s="89" t="n">
        <v>4698</v>
      </c>
      <c r="AA384" s="89" t="n">
        <v>1510</v>
      </c>
      <c r="AB384" s="89" t="n">
        <v>7546</v>
      </c>
      <c r="AC384" s="89" t="n">
        <v>1150.6</v>
      </c>
      <c r="AD384" s="89" t="n">
        <v>1173.3</v>
      </c>
      <c r="AE384" s="89" t="n">
        <v>3401.9</v>
      </c>
      <c r="AF384" s="89" t="n">
        <v>200</v>
      </c>
      <c r="AG384" s="89" t="n">
        <v>3616.3</v>
      </c>
      <c r="AH384" s="89" t="n">
        <v>7546</v>
      </c>
      <c r="AI384" s="89" t="n">
        <v>4698</v>
      </c>
      <c r="AJ384" s="89" t="n">
        <v>1655</v>
      </c>
      <c r="AK384" s="89" t="n">
        <v>1508.1</v>
      </c>
      <c r="AL384" s="89" t="n">
        <v>396.6</v>
      </c>
      <c r="AM384" s="89" t="n">
        <v>357.5</v>
      </c>
      <c r="AN384" s="89" t="n">
        <v>245.3</v>
      </c>
      <c r="AO384" s="89" t="n">
        <v>226.5</v>
      </c>
      <c r="AP384" s="89" t="n">
        <v>1748</v>
      </c>
      <c r="AQ384" s="89" t="n">
        <v>1645</v>
      </c>
      <c r="AR384" s="90" t="inlineStr">
        <is>
          <t>N/A</t>
        </is>
      </c>
      <c r="AS384" s="90" t="inlineStr">
        <is>
          <t>N/A</t>
        </is>
      </c>
      <c r="AT384" s="89" t="n">
        <v>25</v>
      </c>
      <c r="AU384" s="90" t="inlineStr">
        <is>
          <t>N/A</t>
        </is>
      </c>
      <c r="AV384" s="89" t="n">
        <v>276.8</v>
      </c>
      <c r="AW384" s="89" t="n">
        <v>255.8</v>
      </c>
      <c r="AX384" s="89" t="n">
        <v>150</v>
      </c>
      <c r="AY384" s="89" t="n">
        <v>200</v>
      </c>
      <c r="AZ384" s="89" t="n">
        <v>-126.8</v>
      </c>
      <c r="BA384" s="89" t="n">
        <v>1050.6</v>
      </c>
      <c r="BB384" s="89" t="n">
        <v>1148.1</v>
      </c>
      <c r="BC384" s="89" t="n">
        <v>573.3</v>
      </c>
      <c r="BD384" s="89" t="n">
        <v>1108.6</v>
      </c>
      <c r="BE384" s="89" t="n">
        <v>1056.6</v>
      </c>
      <c r="BF384" s="89" t="n">
        <v>1891.9</v>
      </c>
      <c r="BG384" s="89" t="n">
        <v>175.4</v>
      </c>
      <c r="BH384" s="89" t="n">
        <v>-231</v>
      </c>
      <c r="BI384" s="89" t="n">
        <v>-214.5</v>
      </c>
      <c r="BJ384" s="89" t="n">
        <v>316.8</v>
      </c>
      <c r="BK384" s="89" t="n">
        <v>287.7</v>
      </c>
      <c r="BL384" s="89" t="n">
        <v>2.8</v>
      </c>
      <c r="BM384" s="89" t="n">
        <v>2.9</v>
      </c>
      <c r="BN384" s="89" t="n">
        <v>3</v>
      </c>
      <c r="BO384" s="89" t="n">
        <v>4509.3</v>
      </c>
      <c r="BP384" s="89" t="n">
        <v>4144.1</v>
      </c>
      <c r="BQ384" s="89" t="n">
        <v>0</v>
      </c>
      <c r="BR384" s="89" t="n">
        <v>0</v>
      </c>
      <c r="BS384" s="89" t="n">
        <v>0</v>
      </c>
      <c r="BT384" s="89" t="n">
        <v>0</v>
      </c>
      <c r="BU384" s="89" t="n">
        <v>0</v>
      </c>
      <c r="BV384" s="89" t="n">
        <v>0</v>
      </c>
      <c r="BW384" s="89" t="n">
        <v>0</v>
      </c>
      <c r="BX384" s="89" t="n">
        <v>0</v>
      </c>
      <c r="BY384" s="89" t="n">
        <v>0</v>
      </c>
    </row>
    <row r="385" ht="17" customHeight="1">
      <c r="A385" s="82" t="n">
        <v>383</v>
      </c>
      <c r="B385" s="83" t="inlineStr">
        <is>
          <t>DRI</t>
        </is>
      </c>
      <c r="C385" s="84" t="inlineStr">
        <is>
          <t>DARDEN RESTAURANTS, INC.</t>
        </is>
      </c>
      <c r="D385" s="82" t="inlineStr">
        <is>
          <t>Consumer Discretionary</t>
        </is>
      </c>
      <c r="E385" s="82" t="n">
        <v>2026</v>
      </c>
      <c r="F385" s="85" t="n">
        <v>12587</v>
      </c>
      <c r="G385" s="85" t="n">
        <v>937.7</v>
      </c>
      <c r="H385" s="85" t="n">
        <v>2247.5</v>
      </c>
      <c r="I385" s="85" t="n">
        <v>10275.7</v>
      </c>
      <c r="J385" s="85" t="n">
        <v>-16.1</v>
      </c>
      <c r="K385" s="85" t="n">
        <v>1362.3</v>
      </c>
      <c r="L385" s="85" t="n">
        <v>12076.7</v>
      </c>
      <c r="M385" s="85" t="n">
        <v>1049.6</v>
      </c>
      <c r="N385" s="91" t="inlineStr">
        <is>
          <t>N/A</t>
        </is>
      </c>
      <c r="O385" s="85" t="n">
        <v>2472.7</v>
      </c>
      <c r="P385" s="85" t="n">
        <v>2128.9</v>
      </c>
      <c r="Q385" s="85" t="n">
        <v>2311.3</v>
      </c>
      <c r="R385" s="85" t="n">
        <v>663.5</v>
      </c>
      <c r="S385" s="85" t="n">
        <v>516.1</v>
      </c>
      <c r="T385" s="85" t="n">
        <v>93.8</v>
      </c>
      <c r="U385" s="85" t="n">
        <v>2756.9</v>
      </c>
      <c r="V385" s="85" t="n">
        <v>50.2</v>
      </c>
      <c r="W385" s="85" t="n">
        <v>11323</v>
      </c>
      <c r="X385" s="85" t="n">
        <v>822.8</v>
      </c>
      <c r="Y385" s="85" t="n">
        <v>2192.5</v>
      </c>
      <c r="Z385" s="85" t="n">
        <v>9080.5</v>
      </c>
      <c r="AA385" s="85" t="n">
        <v>1314.2</v>
      </c>
      <c r="AB385" s="85" t="n">
        <v>11390</v>
      </c>
      <c r="AC385" s="85" t="n">
        <v>1027.6</v>
      </c>
      <c r="AD385" s="91" t="inlineStr">
        <is>
          <t>N/A</t>
        </is>
      </c>
      <c r="AE385" s="85" t="n">
        <v>2265.7</v>
      </c>
      <c r="AF385" s="85" t="n">
        <v>1370.4</v>
      </c>
      <c r="AG385" s="85" t="n">
        <v>2242.5</v>
      </c>
      <c r="AH385" s="85" t="n">
        <v>11390</v>
      </c>
      <c r="AI385" s="85" t="n">
        <v>11323</v>
      </c>
      <c r="AJ385" s="85" t="n">
        <v>1187.2</v>
      </c>
      <c r="AK385" s="85" t="n">
        <v>1175.5</v>
      </c>
      <c r="AL385" s="85" t="n">
        <v>136.2</v>
      </c>
      <c r="AM385" s="85" t="n">
        <v>145</v>
      </c>
      <c r="AN385" s="85" t="n">
        <v>644.6</v>
      </c>
      <c r="AO385" s="85" t="n">
        <v>601.2</v>
      </c>
      <c r="AP385" s="85" t="n">
        <v>311.6</v>
      </c>
      <c r="AQ385" s="85" t="n">
        <v>290.5</v>
      </c>
      <c r="AR385" s="85" t="n">
        <v>1659.4</v>
      </c>
      <c r="AS385" s="85" t="n">
        <v>14.3</v>
      </c>
      <c r="AT385" s="91" t="inlineStr">
        <is>
          <t>N/A</t>
        </is>
      </c>
      <c r="AU385" s="91" t="inlineStr">
        <is>
          <t>N/A</t>
        </is>
      </c>
      <c r="AV385" s="85" t="n">
        <v>240</v>
      </c>
      <c r="AW385" s="85" t="n">
        <v>194.8</v>
      </c>
      <c r="AX385" s="85" t="n">
        <v>2128.9</v>
      </c>
      <c r="AY385" s="85" t="n">
        <v>1457.2</v>
      </c>
      <c r="AZ385" s="85" t="n">
        <v>1888.9</v>
      </c>
      <c r="BA385" s="91" t="inlineStr">
        <is>
          <t>N/A</t>
        </is>
      </c>
      <c r="BB385" s="85" t="n">
        <v>117</v>
      </c>
      <c r="BC385" s="85" t="n">
        <v>118.9</v>
      </c>
      <c r="BD385" s="85" t="n">
        <v>79.09999999999999</v>
      </c>
      <c r="BE385" s="85" t="n">
        <v>2552.6</v>
      </c>
      <c r="BF385" s="85" t="n">
        <v>847.8</v>
      </c>
      <c r="BG385" s="85" t="n">
        <v>459.9</v>
      </c>
      <c r="BH385" s="85" t="n">
        <v>-1278.3</v>
      </c>
      <c r="BI385" s="85" t="n">
        <v>-1324.6</v>
      </c>
      <c r="BJ385" s="85" t="n">
        <v>439.6</v>
      </c>
      <c r="BK385" s="85" t="n">
        <v>399.5</v>
      </c>
      <c r="BL385" s="85" t="n">
        <v>415.8</v>
      </c>
      <c r="BM385" s="85" t="n">
        <v>388.6</v>
      </c>
      <c r="BN385" s="85" t="n">
        <v>4.7</v>
      </c>
      <c r="BO385" s="85" t="n">
        <v>4990.5</v>
      </c>
      <c r="BP385" s="85" t="n">
        <v>6661</v>
      </c>
      <c r="BQ385" s="85" t="n">
        <v>0</v>
      </c>
      <c r="BR385" s="85" t="n">
        <v>0</v>
      </c>
      <c r="BS385" s="85" t="n">
        <v>0</v>
      </c>
      <c r="BT385" s="85" t="n">
        <v>0</v>
      </c>
      <c r="BU385" s="85" t="n">
        <v>0</v>
      </c>
      <c r="BV385" s="85" t="n">
        <v>0</v>
      </c>
      <c r="BW385" s="85" t="n">
        <v>0</v>
      </c>
      <c r="BX385" s="91" t="inlineStr">
        <is>
          <t>N/A</t>
        </is>
      </c>
      <c r="BY385" s="85" t="n">
        <v>0</v>
      </c>
    </row>
    <row r="386" ht="17" customHeight="1">
      <c r="A386" s="86" t="n">
        <v>384</v>
      </c>
      <c r="B386" s="87" t="inlineStr">
        <is>
          <t>DOCN</t>
        </is>
      </c>
      <c r="C386" s="88" t="inlineStr">
        <is>
          <t>DigitalOcean Holdings, Inc.</t>
        </is>
      </c>
      <c r="D386" s="86" t="inlineStr">
        <is>
          <t>Information Technology</t>
        </is>
      </c>
      <c r="E386" s="86" t="n">
        <v>2026</v>
      </c>
      <c r="F386" s="89" t="n">
        <v>1837.7</v>
      </c>
      <c r="G386" s="89" t="n">
        <v>427</v>
      </c>
      <c r="H386" s="89" t="n">
        <v>619.5</v>
      </c>
      <c r="I386" s="89" t="n">
        <v>1866.4</v>
      </c>
      <c r="J386" s="89" t="n">
        <v>-43.7</v>
      </c>
      <c r="K386" s="89" t="n">
        <v>157</v>
      </c>
      <c r="L386" s="89" t="n">
        <v>901.4</v>
      </c>
      <c r="M386" s="89" t="n">
        <v>259.3</v>
      </c>
      <c r="N386" s="89" t="n">
        <v>309.6</v>
      </c>
      <c r="O386" s="89" t="n">
        <v>539.6</v>
      </c>
      <c r="P386" s="89" t="n">
        <v>1295.8</v>
      </c>
      <c r="Q386" s="89" t="n">
        <v>-28.7</v>
      </c>
      <c r="R386" s="89" t="n">
        <v>138.5</v>
      </c>
      <c r="S386" s="89" t="n">
        <v>137.4</v>
      </c>
      <c r="T386" s="89" t="n">
        <v>90.90000000000001</v>
      </c>
      <c r="U386" s="89" t="n">
        <v>589.1</v>
      </c>
      <c r="V386" s="89" t="n">
        <v>8.9</v>
      </c>
      <c r="W386" s="89" t="n">
        <v>1639</v>
      </c>
      <c r="X386" s="89" t="n">
        <v>541.7</v>
      </c>
      <c r="Y386" s="89" t="n">
        <v>221</v>
      </c>
      <c r="Z386" s="89" t="n">
        <v>1842</v>
      </c>
      <c r="AA386" s="89" t="n">
        <v>91</v>
      </c>
      <c r="AB386" s="89" t="n">
        <v>780.6</v>
      </c>
      <c r="AC386" s="89" t="n">
        <v>84.5</v>
      </c>
      <c r="AD386" s="89" t="n">
        <v>282.7</v>
      </c>
      <c r="AE386" s="89" t="n">
        <v>465.9</v>
      </c>
      <c r="AF386" s="89" t="n">
        <v>1485.4</v>
      </c>
      <c r="AG386" s="89" t="n">
        <v>-203</v>
      </c>
      <c r="AH386" s="89" t="n">
        <v>780.6</v>
      </c>
      <c r="AI386" s="89" t="n">
        <v>1639</v>
      </c>
      <c r="AJ386" s="89" t="n">
        <v>206.7</v>
      </c>
      <c r="AK386" s="89" t="n">
        <v>97.7</v>
      </c>
      <c r="AL386" s="89" t="n">
        <v>-52.6</v>
      </c>
      <c r="AM386" s="89" t="n">
        <v>13.2</v>
      </c>
      <c r="AN386" s="89" t="n">
        <v>129.1</v>
      </c>
      <c r="AO386" s="89" t="n">
        <v>178.2</v>
      </c>
      <c r="AP386" s="90" t="inlineStr">
        <is>
          <t>N/A</t>
        </is>
      </c>
      <c r="AQ386" s="90" t="inlineStr">
        <is>
          <t>N/A</t>
        </is>
      </c>
      <c r="AR386" s="89" t="n">
        <v>348.7</v>
      </c>
      <c r="AS386" s="89" t="n">
        <v>52.8</v>
      </c>
      <c r="AT386" s="89" t="n">
        <v>325.1</v>
      </c>
      <c r="AU386" s="89" t="n">
        <v>161.6</v>
      </c>
      <c r="AV386" s="89" t="n">
        <v>254.5</v>
      </c>
      <c r="AW386" s="89" t="n">
        <v>428.4</v>
      </c>
      <c r="AX386" s="89" t="n">
        <v>1620.9</v>
      </c>
      <c r="AY386" s="89" t="n">
        <v>1485.4</v>
      </c>
      <c r="AZ386" s="89" t="n">
        <v>1366.4</v>
      </c>
      <c r="BA386" s="89" t="n">
        <v>180.5</v>
      </c>
      <c r="BB386" s="89" t="n">
        <v>91.90000000000001</v>
      </c>
      <c r="BC386" s="89" t="n">
        <v>92.2</v>
      </c>
      <c r="BD386" s="89" t="n">
        <v>72.5</v>
      </c>
      <c r="BE386" s="89" t="n">
        <v>432.5</v>
      </c>
      <c r="BF386" s="89" t="n">
        <v>160.9</v>
      </c>
      <c r="BG386" s="89" t="n">
        <v>130.1</v>
      </c>
      <c r="BH386" s="89" t="n">
        <v>-268.3</v>
      </c>
      <c r="BI386" s="89" t="n">
        <v>-94.8</v>
      </c>
      <c r="BJ386" s="89" t="n">
        <v>38.8</v>
      </c>
      <c r="BK386" s="89" t="n">
        <v>54.6</v>
      </c>
      <c r="BL386" s="89" t="n">
        <v>5.9</v>
      </c>
      <c r="BM386" s="89" t="n">
        <v>5.4</v>
      </c>
      <c r="BN386" s="89" t="n">
        <v>44.9</v>
      </c>
      <c r="BO386" s="89" t="n">
        <v>361.8</v>
      </c>
      <c r="BP386" s="89" t="n">
        <v>314.7</v>
      </c>
      <c r="BQ386" s="89" t="n">
        <v>0</v>
      </c>
      <c r="BR386" s="89" t="n">
        <v>0</v>
      </c>
      <c r="BS386" s="90" t="inlineStr">
        <is>
          <t>N/A</t>
        </is>
      </c>
      <c r="BT386" s="90" t="inlineStr">
        <is>
          <t>N/A</t>
        </is>
      </c>
      <c r="BU386" s="89" t="n">
        <v>0</v>
      </c>
      <c r="BV386" s="89" t="n">
        <v>0</v>
      </c>
      <c r="BW386" s="89" t="n">
        <v>0</v>
      </c>
      <c r="BX386" s="89" t="n">
        <v>0</v>
      </c>
      <c r="BY386" s="89" t="n">
        <v>-0</v>
      </c>
    </row>
    <row r="387" ht="17" customHeight="1">
      <c r="A387" s="82" t="n">
        <v>385</v>
      </c>
      <c r="B387" s="83" t="inlineStr">
        <is>
          <t>UNH</t>
        </is>
      </c>
      <c r="C387" s="84" t="inlineStr">
        <is>
          <t>UnitedHealth Group Incorporated</t>
        </is>
      </c>
      <c r="D387" s="82" t="inlineStr">
        <is>
          <t>Health Care</t>
        </is>
      </c>
      <c r="E387" s="82" t="n">
        <v>2026</v>
      </c>
      <c r="F387" s="85" t="n">
        <v>309581</v>
      </c>
      <c r="G387" s="85" t="n">
        <v>90582</v>
      </c>
      <c r="H387" s="85" t="n">
        <v>114897</v>
      </c>
      <c r="I387" s="85" t="n">
        <v>207883</v>
      </c>
      <c r="J387" s="85" t="n">
        <v>95603</v>
      </c>
      <c r="K387" s="85" t="n">
        <v>18964</v>
      </c>
      <c r="L387" s="85" t="n">
        <v>447567</v>
      </c>
      <c r="M387" s="85" t="n">
        <v>12056</v>
      </c>
      <c r="N387" s="85" t="n">
        <v>19697</v>
      </c>
      <c r="O387" s="85" t="n">
        <v>396912</v>
      </c>
      <c r="P387" s="85" t="n">
        <v>72320</v>
      </c>
      <c r="Q387" s="85" t="n">
        <v>32454</v>
      </c>
      <c r="R387" s="85" t="n">
        <v>59592</v>
      </c>
      <c r="S387" s="85" t="n">
        <v>4361</v>
      </c>
      <c r="T387" s="85" t="n">
        <v>23018</v>
      </c>
      <c r="U387" s="85" t="n">
        <v>10762</v>
      </c>
      <c r="V387" s="85" t="n">
        <v>4002</v>
      </c>
      <c r="W387" s="85" t="n">
        <v>298278</v>
      </c>
      <c r="X387" s="85" t="n">
        <v>85779</v>
      </c>
      <c r="Y387" s="85" t="n">
        <v>103769</v>
      </c>
      <c r="Z387" s="85" t="n">
        <v>195687</v>
      </c>
      <c r="AA387" s="85" t="n">
        <v>32287</v>
      </c>
      <c r="AB387" s="85" t="n">
        <v>400278</v>
      </c>
      <c r="AC387" s="85" t="n">
        <v>14405</v>
      </c>
      <c r="AD387" s="85" t="n">
        <v>24204</v>
      </c>
      <c r="AE387" s="85" t="n">
        <v>353584</v>
      </c>
      <c r="AF387" s="85" t="n">
        <v>72359</v>
      </c>
      <c r="AG387" s="85" t="n">
        <v>32149</v>
      </c>
      <c r="AH387" s="85" t="n">
        <v>400278</v>
      </c>
      <c r="AI387" s="85" t="n">
        <v>298278</v>
      </c>
      <c r="AJ387" s="85" t="n">
        <v>14697</v>
      </c>
      <c r="AK387" s="85" t="n">
        <v>20071</v>
      </c>
      <c r="AL387" s="85" t="n">
        <v>1890</v>
      </c>
      <c r="AM387" s="85" t="n">
        <v>4829</v>
      </c>
      <c r="AN387" s="85" t="n">
        <v>3622</v>
      </c>
      <c r="AO387" s="85" t="n">
        <v>3499</v>
      </c>
      <c r="AP387" s="85" t="n">
        <v>3300</v>
      </c>
      <c r="AQ387" s="85" t="n">
        <v>3800</v>
      </c>
      <c r="AR387" s="85" t="n">
        <v>110499</v>
      </c>
      <c r="AS387" s="85" t="n">
        <v>2795</v>
      </c>
      <c r="AT387" s="85" t="n">
        <v>6069</v>
      </c>
      <c r="AU387" s="91" t="inlineStr">
        <is>
          <t>N/A</t>
        </is>
      </c>
      <c r="AV387" s="85" t="n">
        <v>24365</v>
      </c>
      <c r="AW387" s="85" t="n">
        <v>25312</v>
      </c>
      <c r="AX387" s="85" t="n">
        <v>78389</v>
      </c>
      <c r="AY387" s="85" t="n">
        <v>76904</v>
      </c>
      <c r="AZ387" s="85" t="n">
        <v>54024</v>
      </c>
      <c r="BA387" s="85" t="n">
        <v>16075</v>
      </c>
      <c r="BB387" s="85" t="n">
        <v>906</v>
      </c>
      <c r="BC387" s="85" t="n">
        <v>915</v>
      </c>
      <c r="BD387" s="85" t="n">
        <v>22365</v>
      </c>
      <c r="BE387" s="85" t="n">
        <v>10553</v>
      </c>
      <c r="BF387" s="85" t="n">
        <v>53013</v>
      </c>
      <c r="BG387" s="85" t="n">
        <v>4099</v>
      </c>
      <c r="BH387" s="85" t="n">
        <v>-8685</v>
      </c>
      <c r="BI387" s="85" t="n">
        <v>-20527</v>
      </c>
      <c r="BJ387" s="85" t="n">
        <v>38032</v>
      </c>
      <c r="BK387" s="85" t="n">
        <v>34337</v>
      </c>
      <c r="BL387" s="85" t="n">
        <v>3413</v>
      </c>
      <c r="BM387" s="85" t="n">
        <v>3317</v>
      </c>
      <c r="BN387" s="91" t="inlineStr">
        <is>
          <t>N/A</t>
        </is>
      </c>
      <c r="BO387" s="85" t="n">
        <v>50655</v>
      </c>
      <c r="BP387" s="85" t="n">
        <v>46694</v>
      </c>
      <c r="BQ387" s="85" t="n">
        <v>0</v>
      </c>
      <c r="BR387" s="85" t="n">
        <v>0</v>
      </c>
      <c r="BS387" s="85" t="n">
        <v>0</v>
      </c>
      <c r="BT387" s="85" t="n">
        <v>0</v>
      </c>
      <c r="BU387" s="85" t="n">
        <v>0</v>
      </c>
      <c r="BV387" s="85" t="n">
        <v>0</v>
      </c>
      <c r="BW387" s="85" t="n">
        <v>0</v>
      </c>
      <c r="BX387" s="85" t="n">
        <v>0</v>
      </c>
      <c r="BY387" s="85" t="n">
        <v>0</v>
      </c>
    </row>
    <row r="388" ht="17" customHeight="1">
      <c r="A388" s="86" t="n">
        <v>386</v>
      </c>
      <c r="B388" s="87" t="inlineStr">
        <is>
          <t>CRM</t>
        </is>
      </c>
      <c r="C388" s="88" t="inlineStr">
        <is>
          <t>Salesforce, Inc.</t>
        </is>
      </c>
      <c r="D388" s="86" t="inlineStr">
        <is>
          <t>Information Technology</t>
        </is>
      </c>
      <c r="E388" s="86" t="n">
        <v>2026</v>
      </c>
      <c r="F388" s="89" t="n">
        <v>112305</v>
      </c>
      <c r="G388" s="89" t="n">
        <v>28222</v>
      </c>
      <c r="H388" s="89" t="n">
        <v>37118</v>
      </c>
      <c r="I388" s="89" t="n">
        <v>53163</v>
      </c>
      <c r="J388" s="89" t="n">
        <v>22221</v>
      </c>
      <c r="K388" s="89" t="n">
        <v>8331</v>
      </c>
      <c r="L388" s="89" t="n">
        <v>8392</v>
      </c>
      <c r="M388" s="89" t="n">
        <v>7457</v>
      </c>
      <c r="N388" s="89" t="n">
        <v>14996</v>
      </c>
      <c r="O388" s="89" t="n">
        <v>32255</v>
      </c>
      <c r="P388" s="89" t="n">
        <v>14439</v>
      </c>
      <c r="Q388" s="89" t="n">
        <v>59142</v>
      </c>
      <c r="R388" s="89" t="n">
        <v>3000</v>
      </c>
      <c r="S388" s="89" t="n">
        <v>3631</v>
      </c>
      <c r="T388" s="89" t="n">
        <v>14339</v>
      </c>
      <c r="U388" s="89" t="n">
        <v>2459</v>
      </c>
      <c r="V388" s="89" t="n">
        <v>154</v>
      </c>
      <c r="W388" s="89" t="n">
        <v>102928</v>
      </c>
      <c r="X388" s="89" t="n">
        <v>29727</v>
      </c>
      <c r="Y388" s="89" t="n">
        <v>27980</v>
      </c>
      <c r="Z388" s="89" t="n">
        <v>41755</v>
      </c>
      <c r="AA388" s="89" t="n">
        <v>7205</v>
      </c>
      <c r="AB388" s="89" t="n">
        <v>2294</v>
      </c>
      <c r="AC388" s="89" t="n">
        <v>6197</v>
      </c>
      <c r="AD388" s="89" t="n">
        <v>13092</v>
      </c>
      <c r="AE388" s="89" t="n">
        <v>29252</v>
      </c>
      <c r="AF388" s="89" t="n">
        <v>8433</v>
      </c>
      <c r="AG388" s="89" t="n">
        <v>61173</v>
      </c>
      <c r="AH388" s="89" t="n">
        <v>2144.8</v>
      </c>
      <c r="AI388" s="89" t="n">
        <v>102928</v>
      </c>
      <c r="AJ388" s="89" t="n">
        <v>9520</v>
      </c>
      <c r="AK388" s="89" t="n">
        <v>7438</v>
      </c>
      <c r="AL388" s="89" t="n">
        <v>2063</v>
      </c>
      <c r="AM388" s="89" t="n">
        <v>1241</v>
      </c>
      <c r="AN388" s="89" t="n">
        <v>594</v>
      </c>
      <c r="AO388" s="89" t="n">
        <v>658</v>
      </c>
      <c r="AP388" s="90" t="inlineStr">
        <is>
          <t>N/A</t>
        </is>
      </c>
      <c r="AQ388" s="90" t="inlineStr">
        <is>
          <t>N/A</t>
        </is>
      </c>
      <c r="AR388" s="89" t="n">
        <v>57941</v>
      </c>
      <c r="AS388" s="89" t="n">
        <v>6815</v>
      </c>
      <c r="AT388" s="89" t="n">
        <v>4000</v>
      </c>
      <c r="AU388" s="89" t="n">
        <v>5993</v>
      </c>
      <c r="AV388" s="89" t="n">
        <v>7327</v>
      </c>
      <c r="AW388" s="89" t="n">
        <v>8848</v>
      </c>
      <c r="AX388" s="89" t="n">
        <v>18439</v>
      </c>
      <c r="AY388" s="89" t="n">
        <v>8433</v>
      </c>
      <c r="AZ388" s="89" t="n">
        <v>11112</v>
      </c>
      <c r="BA388" s="89" t="n">
        <v>14402</v>
      </c>
      <c r="BB388" s="89" t="n">
        <v>929</v>
      </c>
      <c r="BC388" s="89" t="n">
        <v>962</v>
      </c>
      <c r="BD388" s="89" t="n">
        <v>11945</v>
      </c>
      <c r="BE388" s="89" t="n">
        <v>2459</v>
      </c>
      <c r="BF388" s="89" t="n">
        <v>2836</v>
      </c>
      <c r="BG388" s="89" t="n">
        <v>3477</v>
      </c>
      <c r="BH388" s="89" t="n">
        <v>-8590</v>
      </c>
      <c r="BI388" s="89" t="n">
        <v>-3163</v>
      </c>
      <c r="BJ388" s="89" t="n">
        <v>165</v>
      </c>
      <c r="BK388" s="89" t="n">
        <v>76.5</v>
      </c>
      <c r="BL388" s="89" t="n">
        <v>7094.7</v>
      </c>
      <c r="BM388" s="89" t="n">
        <v>5505.7</v>
      </c>
      <c r="BN388" s="89" t="n">
        <v>7.8</v>
      </c>
      <c r="BO388" s="89" t="n">
        <v>9270</v>
      </c>
      <c r="BP388" s="89" t="n">
        <v>8643</v>
      </c>
      <c r="BQ388" s="89" t="n">
        <v>0</v>
      </c>
      <c r="BR388" s="89" t="n">
        <v>0</v>
      </c>
      <c r="BS388" s="90" t="inlineStr">
        <is>
          <t>N/A</t>
        </is>
      </c>
      <c r="BT388" s="90" t="inlineStr">
        <is>
          <t>N/A</t>
        </is>
      </c>
      <c r="BU388" s="89" t="n">
        <v>0</v>
      </c>
      <c r="BV388" s="89" t="n">
        <v>0</v>
      </c>
      <c r="BW388" s="89" t="n">
        <v>0</v>
      </c>
      <c r="BX388" s="89" t="n">
        <v>0</v>
      </c>
      <c r="BY388" s="89" t="n">
        <v>0</v>
      </c>
    </row>
    <row r="389" ht="17" customHeight="1">
      <c r="A389" s="82" t="n">
        <v>387</v>
      </c>
      <c r="B389" s="83" t="inlineStr">
        <is>
          <t>EQT</t>
        </is>
      </c>
      <c r="C389" s="84" t="inlineStr">
        <is>
          <t>EQT Corporation</t>
        </is>
      </c>
      <c r="D389" s="82" t="inlineStr">
        <is>
          <t>Energy</t>
        </is>
      </c>
      <c r="E389" s="82" t="n">
        <v>2026</v>
      </c>
      <c r="F389" s="85" t="n">
        <v>41792.9</v>
      </c>
      <c r="G389" s="85" t="n">
        <v>1895.2</v>
      </c>
      <c r="H389" s="85" t="n">
        <v>2484.8</v>
      </c>
      <c r="I389" s="85" t="n">
        <v>14432.7</v>
      </c>
      <c r="J389" s="85" t="n">
        <v>4237.1</v>
      </c>
      <c r="K389" s="85" t="n">
        <v>3249.6</v>
      </c>
      <c r="L389" s="85" t="n">
        <v>8644.200000000001</v>
      </c>
      <c r="M389" s="85" t="n">
        <v>2039.2</v>
      </c>
      <c r="N389" s="85" t="n">
        <v>5126</v>
      </c>
      <c r="O389" s="85" t="n">
        <v>7112.1</v>
      </c>
      <c r="P389" s="85" t="n">
        <v>7800.3</v>
      </c>
      <c r="Q389" s="85" t="n">
        <v>23752.7</v>
      </c>
      <c r="R389" s="85" t="n">
        <v>380.1</v>
      </c>
      <c r="S389" s="85" t="n">
        <v>2600.4</v>
      </c>
      <c r="T389" s="85" t="n">
        <v>1458</v>
      </c>
      <c r="U389" s="85" t="n">
        <v>33557.8</v>
      </c>
      <c r="V389" s="85" t="n">
        <v>219.7</v>
      </c>
      <c r="W389" s="85" t="n">
        <v>39830.3</v>
      </c>
      <c r="X389" s="85" t="n">
        <v>1714.7</v>
      </c>
      <c r="Y389" s="85" t="n">
        <v>2461.5</v>
      </c>
      <c r="Z389" s="85" t="n">
        <v>15552.1</v>
      </c>
      <c r="AA389" s="85" t="n">
        <v>685.3</v>
      </c>
      <c r="AB389" s="85" t="n">
        <v>5273.3</v>
      </c>
      <c r="AC389" s="85" t="n">
        <v>230.6</v>
      </c>
      <c r="AD389" s="85" t="n">
        <v>2827</v>
      </c>
      <c r="AE389" s="85" t="n">
        <v>3357.7</v>
      </c>
      <c r="AF389" s="85" t="n">
        <v>9324.200000000001</v>
      </c>
      <c r="AG389" s="85" t="n">
        <v>20597.6</v>
      </c>
      <c r="AH389" s="85" t="n">
        <v>5273.3</v>
      </c>
      <c r="AI389" s="85" t="n">
        <v>39830.3</v>
      </c>
      <c r="AJ389" s="85" t="n">
        <v>2977.5</v>
      </c>
      <c r="AK389" s="85" t="n">
        <v>264.2</v>
      </c>
      <c r="AL389" s="85" t="n">
        <v>651.9</v>
      </c>
      <c r="AM389" s="85" t="n">
        <v>22.1</v>
      </c>
      <c r="AN389" s="85" t="n">
        <v>2288.4</v>
      </c>
      <c r="AO389" s="85" t="n">
        <v>2253.7</v>
      </c>
      <c r="AP389" s="91" t="inlineStr">
        <is>
          <t>N/A</t>
        </is>
      </c>
      <c r="AQ389" s="91" t="inlineStr">
        <is>
          <t>N/A</t>
        </is>
      </c>
      <c r="AR389" s="85" t="n">
        <v>2062.5</v>
      </c>
      <c r="AS389" s="85" t="n">
        <v>200.5</v>
      </c>
      <c r="AT389" s="85" t="n">
        <v>53.6</v>
      </c>
      <c r="AU389" s="91" t="inlineStr">
        <is>
          <t>N/A</t>
        </is>
      </c>
      <c r="AV389" s="85" t="n">
        <v>110.8</v>
      </c>
      <c r="AW389" s="85" t="n">
        <v>202.1</v>
      </c>
      <c r="AX389" s="85" t="n">
        <v>7854</v>
      </c>
      <c r="AY389" s="85" t="n">
        <v>9377.799999999999</v>
      </c>
      <c r="AZ389" s="85" t="n">
        <v>7743.2</v>
      </c>
      <c r="BA389" s="85" t="n">
        <v>2837.5</v>
      </c>
      <c r="BB389" s="85" t="n">
        <v>624.1</v>
      </c>
      <c r="BC389" s="85" t="n">
        <v>596.9</v>
      </c>
      <c r="BD389" s="85" t="n">
        <v>1132.6</v>
      </c>
      <c r="BE389" s="85" t="n">
        <v>31747.8</v>
      </c>
      <c r="BF389" s="85" t="n">
        <v>336.7</v>
      </c>
      <c r="BG389" s="85" t="n">
        <v>2162.3</v>
      </c>
      <c r="BH389" s="85" t="n">
        <v>-2844.9</v>
      </c>
      <c r="BI389" s="85" t="n">
        <v>-1580</v>
      </c>
      <c r="BJ389" s="85" t="n">
        <v>1367.4</v>
      </c>
      <c r="BK389" s="85" t="n">
        <v>1177.7</v>
      </c>
      <c r="BL389" s="85" t="n">
        <v>6.2</v>
      </c>
      <c r="BM389" s="85" t="n">
        <v>24.2</v>
      </c>
      <c r="BN389" s="91" t="inlineStr">
        <is>
          <t>N/A</t>
        </is>
      </c>
      <c r="BO389" s="85" t="n">
        <v>1532.1</v>
      </c>
      <c r="BP389" s="85" t="n">
        <v>1915.6</v>
      </c>
      <c r="BQ389" s="85" t="n">
        <v>0</v>
      </c>
      <c r="BR389" s="85" t="n">
        <v>0</v>
      </c>
      <c r="BS389" s="91" t="inlineStr">
        <is>
          <t>N/A</t>
        </is>
      </c>
      <c r="BT389" s="91" t="inlineStr">
        <is>
          <t>N/A</t>
        </is>
      </c>
      <c r="BU389" s="85" t="n">
        <v>0</v>
      </c>
      <c r="BV389" s="85" t="n">
        <v>0</v>
      </c>
      <c r="BW389" s="85" t="n">
        <v>0</v>
      </c>
      <c r="BX389" s="85" t="n">
        <v>0</v>
      </c>
      <c r="BY389" s="85" t="n">
        <v>0</v>
      </c>
    </row>
    <row r="390" ht="17" customHeight="1">
      <c r="A390" s="86" t="n">
        <v>388</v>
      </c>
      <c r="B390" s="87" t="inlineStr">
        <is>
          <t>SOFI</t>
        </is>
      </c>
      <c r="C390" s="88" t="inlineStr">
        <is>
          <t>SoFi Technologies, Inc.</t>
        </is>
      </c>
      <c r="D390" s="86" t="inlineStr">
        <is>
          <t>Financials</t>
        </is>
      </c>
      <c r="E390" s="86" t="n">
        <v>2026</v>
      </c>
      <c r="F390" s="89" t="n">
        <v>50660.5</v>
      </c>
      <c r="G390" s="89" t="n">
        <v>1.1</v>
      </c>
      <c r="H390" s="89" t="n">
        <v>0.2</v>
      </c>
      <c r="I390" s="89" t="n">
        <v>40171</v>
      </c>
      <c r="J390" s="89" t="n">
        <v>-824.3</v>
      </c>
      <c r="K390" s="89" t="n">
        <v>-0.7</v>
      </c>
      <c r="L390" s="89" t="n">
        <v>619.4</v>
      </c>
      <c r="M390" s="89" t="n">
        <v>481.3</v>
      </c>
      <c r="N390" s="89" t="n">
        <v>-3742.5</v>
      </c>
      <c r="O390" s="89" t="n">
        <v>10.4</v>
      </c>
      <c r="P390" s="89" t="n">
        <v>5485.9</v>
      </c>
      <c r="Q390" s="89" t="n">
        <v>10489.5</v>
      </c>
      <c r="R390" s="89" t="n">
        <v>704.4</v>
      </c>
      <c r="S390" s="89" t="n">
        <v>234.2</v>
      </c>
      <c r="T390" s="89" t="n">
        <v>893.5</v>
      </c>
      <c r="U390" s="90" t="inlineStr">
        <is>
          <t>N/A</t>
        </is>
      </c>
      <c r="V390" s="89" t="n">
        <v>789.3</v>
      </c>
      <c r="W390" s="89" t="n">
        <v>36251</v>
      </c>
      <c r="X390" s="89" t="n">
        <v>1.1</v>
      </c>
      <c r="Y390" s="89" t="n">
        <v>0.2</v>
      </c>
      <c r="Z390" s="89" t="n">
        <v>29725.8</v>
      </c>
      <c r="AA390" s="89" t="n">
        <v>-0.7</v>
      </c>
      <c r="AB390" s="89" t="n">
        <v>503.1</v>
      </c>
      <c r="AC390" s="89" t="n">
        <v>498.7</v>
      </c>
      <c r="AD390" s="89" t="n">
        <v>-1119.8</v>
      </c>
      <c r="AE390" s="89" t="n">
        <v>41.5</v>
      </c>
      <c r="AF390" s="89" t="n">
        <v>3948</v>
      </c>
      <c r="AG390" s="89" t="n">
        <v>6525.1</v>
      </c>
      <c r="AH390" s="89" t="n">
        <v>503.1</v>
      </c>
      <c r="AI390" s="89" t="n">
        <v>36251</v>
      </c>
      <c r="AJ390" s="89" t="n">
        <v>525.9</v>
      </c>
      <c r="AK390" s="89" t="n">
        <v>233.3</v>
      </c>
      <c r="AL390" s="89" t="n">
        <v>44.5</v>
      </c>
      <c r="AM390" s="89" t="n">
        <v>-265.3</v>
      </c>
      <c r="AN390" s="89" t="n">
        <v>242.4</v>
      </c>
      <c r="AO390" s="89" t="n">
        <v>154.3</v>
      </c>
      <c r="AP390" s="90" t="inlineStr">
        <is>
          <t>N/A</t>
        </is>
      </c>
      <c r="AQ390" s="90" t="inlineStr">
        <is>
          <t>N/A</t>
        </is>
      </c>
      <c r="AR390" s="89" t="n">
        <v>1393.5</v>
      </c>
      <c r="AS390" s="89" t="n">
        <v>231.9</v>
      </c>
      <c r="AT390" s="90" t="inlineStr">
        <is>
          <t>N/A</t>
        </is>
      </c>
      <c r="AU390" s="89" t="n">
        <v>648.3</v>
      </c>
      <c r="AV390" s="89" t="n">
        <v>4929.5</v>
      </c>
      <c r="AW390" s="89" t="n">
        <v>2538.3</v>
      </c>
      <c r="AX390" s="89" t="n">
        <v>5485.9</v>
      </c>
      <c r="AY390" s="89" t="n">
        <v>3948</v>
      </c>
      <c r="AZ390" s="89" t="n">
        <v>556.4</v>
      </c>
      <c r="BA390" s="89" t="n">
        <v>-3984.9</v>
      </c>
      <c r="BB390" s="89" t="n">
        <v>1270.6</v>
      </c>
      <c r="BC390" s="89" t="n">
        <v>1095.4</v>
      </c>
      <c r="BD390" s="89" t="n">
        <v>587.5</v>
      </c>
      <c r="BE390" s="90" t="inlineStr">
        <is>
          <t>N/A</t>
        </is>
      </c>
      <c r="BF390" s="89" t="n">
        <v>600.1</v>
      </c>
      <c r="BG390" s="89" t="n">
        <v>203.5</v>
      </c>
      <c r="BH390" s="89" t="n">
        <v>-6719.1</v>
      </c>
      <c r="BI390" s="89" t="n">
        <v>-4821</v>
      </c>
      <c r="BJ390" s="90" t="inlineStr">
        <is>
          <t>N/A</t>
        </is>
      </c>
      <c r="BK390" s="90" t="inlineStr">
        <is>
          <t>N/A</t>
        </is>
      </c>
      <c r="BL390" s="89" t="n">
        <v>8.5</v>
      </c>
      <c r="BM390" s="89" t="n">
        <v>7.5</v>
      </c>
      <c r="BN390" s="90" t="inlineStr">
        <is>
          <t>N/A</t>
        </is>
      </c>
      <c r="BO390" s="89" t="n">
        <v>609</v>
      </c>
      <c r="BP390" s="89" t="n">
        <v>461.6</v>
      </c>
      <c r="BQ390" s="89" t="n">
        <v>0</v>
      </c>
      <c r="BR390" s="89" t="n">
        <v>0</v>
      </c>
      <c r="BS390" s="90" t="inlineStr">
        <is>
          <t>N/A</t>
        </is>
      </c>
      <c r="BT390" s="90" t="inlineStr">
        <is>
          <t>N/A</t>
        </is>
      </c>
      <c r="BU390" s="90" t="inlineStr">
        <is>
          <t>N/A</t>
        </is>
      </c>
      <c r="BV390" s="90" t="inlineStr">
        <is>
          <t>N/A</t>
        </is>
      </c>
      <c r="BW390" s="89" t="n">
        <v>0</v>
      </c>
      <c r="BX390" s="89" t="n">
        <v>-0</v>
      </c>
      <c r="BY390" s="89" t="n">
        <v>0</v>
      </c>
    </row>
    <row r="391" ht="17" customHeight="1">
      <c r="A391" s="82" t="n">
        <v>389</v>
      </c>
      <c r="B391" s="83" t="inlineStr">
        <is>
          <t>COST</t>
        </is>
      </c>
      <c r="C391" s="84" t="inlineStr">
        <is>
          <t>COSTCO WHOLESALE CORP /NEW</t>
        </is>
      </c>
      <c r="D391" s="82" t="inlineStr">
        <is>
          <t>Consumer Discretionary</t>
        </is>
      </c>
      <c r="E391" s="82" t="n">
        <v>2026</v>
      </c>
      <c r="F391" s="85" t="n">
        <v>77099</v>
      </c>
      <c r="G391" s="85" t="n">
        <v>38380</v>
      </c>
      <c r="H391" s="85" t="n">
        <v>37108</v>
      </c>
      <c r="I391" s="85" t="n">
        <v>47935</v>
      </c>
      <c r="J391" s="85" t="n">
        <v>22650</v>
      </c>
      <c r="K391" s="85" t="n">
        <v>10383</v>
      </c>
      <c r="L391" s="85" t="n">
        <v>275235</v>
      </c>
      <c r="M391" s="85" t="n">
        <v>8099</v>
      </c>
      <c r="N391" s="85" t="n">
        <v>13335</v>
      </c>
      <c r="O391" s="85" t="n">
        <v>16465</v>
      </c>
      <c r="P391" s="85" t="n">
        <v>7531</v>
      </c>
      <c r="Q391" s="85" t="n">
        <v>29164</v>
      </c>
      <c r="R391" s="85" t="n">
        <v>24966</v>
      </c>
      <c r="S391" s="85" t="n">
        <v>2426</v>
      </c>
      <c r="T391" s="85" t="n">
        <v>3203</v>
      </c>
      <c r="U391" s="85" t="n">
        <v>31909</v>
      </c>
      <c r="V391" s="85" t="n">
        <v>154</v>
      </c>
      <c r="W391" s="85" t="n">
        <v>69831</v>
      </c>
      <c r="X391" s="85" t="n">
        <v>34246</v>
      </c>
      <c r="Y391" s="85" t="n">
        <v>35464</v>
      </c>
      <c r="Z391" s="85" t="n">
        <v>46209</v>
      </c>
      <c r="AA391" s="85" t="n">
        <v>9285</v>
      </c>
      <c r="AB391" s="85" t="n">
        <v>254453</v>
      </c>
      <c r="AC391" s="85" t="n">
        <v>7367</v>
      </c>
      <c r="AD391" s="85" t="n">
        <v>11339</v>
      </c>
      <c r="AE391" s="85" t="n">
        <v>32095</v>
      </c>
      <c r="AF391" s="85" t="n">
        <v>7657</v>
      </c>
      <c r="AG391" s="85" t="n">
        <v>23622</v>
      </c>
      <c r="AH391" s="85" t="n">
        <v>254453</v>
      </c>
      <c r="AI391" s="85" t="n">
        <v>69831</v>
      </c>
      <c r="AJ391" s="85" t="n">
        <v>10818</v>
      </c>
      <c r="AK391" s="85" t="n">
        <v>9740</v>
      </c>
      <c r="AL391" s="85" t="n">
        <v>2719</v>
      </c>
      <c r="AM391" s="85" t="n">
        <v>2373</v>
      </c>
      <c r="AN391" s="85" t="n">
        <v>5498</v>
      </c>
      <c r="AO391" s="85" t="n">
        <v>4710</v>
      </c>
      <c r="AP391" s="85" t="n">
        <v>18116</v>
      </c>
      <c r="AQ391" s="85" t="n">
        <v>18647</v>
      </c>
      <c r="AR391" s="85" t="n">
        <v>994</v>
      </c>
      <c r="AS391" s="91" t="inlineStr">
        <is>
          <t>N/A</t>
        </is>
      </c>
      <c r="AT391" s="85" t="n">
        <v>36</v>
      </c>
      <c r="AU391" s="91" t="inlineStr">
        <is>
          <t>N/A</t>
        </is>
      </c>
      <c r="AV391" s="85" t="n">
        <v>14161</v>
      </c>
      <c r="AW391" s="85" t="n">
        <v>9906</v>
      </c>
      <c r="AX391" s="85" t="n">
        <v>7567</v>
      </c>
      <c r="AY391" s="85" t="n">
        <v>7657</v>
      </c>
      <c r="AZ391" s="85" t="n">
        <v>-6594</v>
      </c>
      <c r="BA391" s="85" t="n">
        <v>7837</v>
      </c>
      <c r="BB391" s="85" t="n">
        <v>443.2</v>
      </c>
      <c r="BC391" s="85" t="n">
        <v>443.1</v>
      </c>
      <c r="BD391" s="85" t="n">
        <v>2721</v>
      </c>
      <c r="BE391" s="85" t="n">
        <v>29032</v>
      </c>
      <c r="BF391" s="85" t="n">
        <v>22810</v>
      </c>
      <c r="BG391" s="85" t="n">
        <v>2237</v>
      </c>
      <c r="BH391" s="85" t="n">
        <v>-5311</v>
      </c>
      <c r="BI391" s="85" t="n">
        <v>-4409</v>
      </c>
      <c r="BJ391" s="85" t="n">
        <v>19783</v>
      </c>
      <c r="BK391" s="85" t="n">
        <v>19421</v>
      </c>
      <c r="BL391" s="85" t="n">
        <v>2854</v>
      </c>
      <c r="BM391" s="85" t="n">
        <v>2501</v>
      </c>
      <c r="BN391" s="85" t="n">
        <v>136</v>
      </c>
      <c r="BO391" s="85" t="n">
        <v>239886</v>
      </c>
      <c r="BP391" s="85" t="n">
        <v>222358</v>
      </c>
      <c r="BQ391" s="85" t="n">
        <v>0</v>
      </c>
      <c r="BR391" s="85" t="n">
        <v>0</v>
      </c>
      <c r="BS391" s="85" t="n">
        <v>0</v>
      </c>
      <c r="BT391" s="85" t="n">
        <v>0</v>
      </c>
      <c r="BU391" s="85" t="n">
        <v>0</v>
      </c>
      <c r="BV391" s="85" t="n">
        <v>0</v>
      </c>
      <c r="BW391" s="85" t="n">
        <v>0</v>
      </c>
      <c r="BX391" s="85" t="n">
        <v>0</v>
      </c>
      <c r="BY391" s="85" t="n">
        <v>0</v>
      </c>
    </row>
    <row r="392" ht="17" customHeight="1">
      <c r="A392" s="86" t="n">
        <v>390</v>
      </c>
      <c r="B392" s="87" t="inlineStr">
        <is>
          <t>APD</t>
        </is>
      </c>
      <c r="C392" s="88" t="inlineStr">
        <is>
          <t>AIR PRODUCTS AND CHEMICALS, INC.</t>
        </is>
      </c>
      <c r="D392" s="86" t="inlineStr">
        <is>
          <t>Materials</t>
        </is>
      </c>
      <c r="E392" s="86" t="n">
        <v>2026</v>
      </c>
      <c r="F392" s="89" t="n">
        <v>41059.5</v>
      </c>
      <c r="G392" s="89" t="n">
        <v>5825.8</v>
      </c>
      <c r="H392" s="89" t="n">
        <v>4218.6</v>
      </c>
      <c r="I392" s="89" t="n">
        <v>23709.7</v>
      </c>
      <c r="J392" s="89" t="n">
        <v>17558.6</v>
      </c>
      <c r="K392" s="89" t="n">
        <v>-877</v>
      </c>
      <c r="L392" s="89" t="n">
        <v>12037.3</v>
      </c>
      <c r="M392" s="89" t="n">
        <v>-394.5</v>
      </c>
      <c r="N392" s="89" t="n">
        <v>1753.2</v>
      </c>
      <c r="O392" s="89" t="n">
        <v>2998.2</v>
      </c>
      <c r="P392" s="89" t="n">
        <v>5289.4</v>
      </c>
      <c r="Q392" s="89" t="n">
        <v>15024.9</v>
      </c>
      <c r="R392" s="89" t="n">
        <v>906.1</v>
      </c>
      <c r="S392" s="89" t="n">
        <v>863.4</v>
      </c>
      <c r="T392" s="89" t="n">
        <v>1901.2</v>
      </c>
      <c r="U392" s="89" t="n">
        <v>25337.8</v>
      </c>
      <c r="V392" s="89" t="n">
        <v>177.5</v>
      </c>
      <c r="W392" s="89" t="n">
        <v>39574.6</v>
      </c>
      <c r="X392" s="89" t="n">
        <v>6363</v>
      </c>
      <c r="Y392" s="89" t="n">
        <v>4179.6</v>
      </c>
      <c r="Z392" s="89" t="n">
        <v>20900.9</v>
      </c>
      <c r="AA392" s="89" t="n">
        <v>4466.1</v>
      </c>
      <c r="AB392" s="89" t="n">
        <v>12100.6</v>
      </c>
      <c r="AC392" s="89" t="n">
        <v>3828.2</v>
      </c>
      <c r="AD392" s="89" t="n">
        <v>1522.4</v>
      </c>
      <c r="AE392" s="89" t="n">
        <v>753.6</v>
      </c>
      <c r="AF392" s="89" t="n">
        <v>4384.7</v>
      </c>
      <c r="AG392" s="89" t="n">
        <v>17036.5</v>
      </c>
      <c r="AH392" s="89" t="n">
        <v>12100.6</v>
      </c>
      <c r="AI392" s="89" t="n">
        <v>39574.6</v>
      </c>
      <c r="AJ392" s="89" t="n">
        <v>-440.7</v>
      </c>
      <c r="AK392" s="89" t="n">
        <v>4821.2</v>
      </c>
      <c r="AL392" s="89" t="n">
        <v>-94.3</v>
      </c>
      <c r="AM392" s="89" t="n">
        <v>944.9</v>
      </c>
      <c r="AN392" s="89" t="n">
        <v>7022.6</v>
      </c>
      <c r="AO392" s="89" t="n">
        <v>6796.7</v>
      </c>
      <c r="AP392" s="89" t="n">
        <v>776.5</v>
      </c>
      <c r="AQ392" s="89" t="n">
        <v>766</v>
      </c>
      <c r="AR392" s="89" t="n">
        <v>963.9</v>
      </c>
      <c r="AS392" s="89" t="n">
        <v>258.4</v>
      </c>
      <c r="AT392" s="89" t="n">
        <v>34.7</v>
      </c>
      <c r="AU392" s="89" t="n">
        <v>96.3</v>
      </c>
      <c r="AV392" s="89" t="n">
        <v>1856</v>
      </c>
      <c r="AW392" s="89" t="n">
        <v>2979.7</v>
      </c>
      <c r="AX392" s="89" t="n">
        <v>5324.1</v>
      </c>
      <c r="AY392" s="89" t="n">
        <v>4468.2</v>
      </c>
      <c r="AZ392" s="89" t="n">
        <v>3468.1</v>
      </c>
      <c r="BA392" s="89" t="n">
        <v>-5269.4</v>
      </c>
      <c r="BB392" s="89" t="n">
        <v>222.6</v>
      </c>
      <c r="BC392" s="89" t="n">
        <v>222.4</v>
      </c>
      <c r="BD392" s="89" t="n">
        <v>1821.6</v>
      </c>
      <c r="BE392" s="89" t="n">
        <v>23370.9</v>
      </c>
      <c r="BF392" s="89" t="n">
        <v>942.4</v>
      </c>
      <c r="BG392" s="89" t="n">
        <v>840.3</v>
      </c>
      <c r="BH392" s="89" t="n">
        <v>-1212.2</v>
      </c>
      <c r="BI392" s="89" t="n">
        <v>-1056.5</v>
      </c>
      <c r="BJ392" s="89" t="n">
        <v>3237.7</v>
      </c>
      <c r="BK392" s="89" t="n">
        <v>2926.2</v>
      </c>
      <c r="BL392" s="89" t="n">
        <v>46.2</v>
      </c>
      <c r="BM392" s="89" t="n">
        <v>69.59999999999999</v>
      </c>
      <c r="BN392" s="89" t="n">
        <v>179.4</v>
      </c>
      <c r="BO392" s="89" t="n">
        <v>8256</v>
      </c>
      <c r="BP392" s="89" t="n">
        <v>8168.7</v>
      </c>
      <c r="BQ392" s="89" t="n">
        <v>0</v>
      </c>
      <c r="BR392" s="89" t="n">
        <v>0</v>
      </c>
      <c r="BS392" s="89" t="n">
        <v>0</v>
      </c>
      <c r="BT392" s="89" t="n">
        <v>0</v>
      </c>
      <c r="BU392" s="89" t="n">
        <v>0</v>
      </c>
      <c r="BV392" s="89" t="n">
        <v>0</v>
      </c>
      <c r="BW392" s="89" t="n">
        <v>0</v>
      </c>
      <c r="BX392" s="89" t="n">
        <v>0</v>
      </c>
      <c r="BY392" s="89" t="n">
        <v>0</v>
      </c>
    </row>
    <row r="393" ht="17" customHeight="1">
      <c r="A393" s="82" t="n">
        <v>391</v>
      </c>
      <c r="B393" s="83" t="inlineStr">
        <is>
          <t>XEL</t>
        </is>
      </c>
      <c r="C393" s="84" t="inlineStr">
        <is>
          <t>XCEL ENERGY INC</t>
        </is>
      </c>
      <c r="D393" s="82" t="inlineStr">
        <is>
          <t>Utilities</t>
        </is>
      </c>
      <c r="E393" s="82" t="n">
        <v>2026</v>
      </c>
      <c r="F393" s="85" t="n">
        <v>81371</v>
      </c>
      <c r="G393" s="85" t="n">
        <v>5014</v>
      </c>
      <c r="H393" s="85" t="n">
        <v>7089</v>
      </c>
      <c r="I393" s="85" t="n">
        <v>81371</v>
      </c>
      <c r="J393" s="85" t="n">
        <v>9207</v>
      </c>
      <c r="K393" s="85" t="n">
        <v>2583</v>
      </c>
      <c r="L393" s="85" t="n">
        <v>11537</v>
      </c>
      <c r="M393" s="85" t="n">
        <v>2018</v>
      </c>
      <c r="N393" s="85" t="n">
        <v>4083</v>
      </c>
      <c r="O393" s="85" t="n">
        <v>7683</v>
      </c>
      <c r="P393" s="85" t="n">
        <v>31832</v>
      </c>
      <c r="Q393" s="85" t="n">
        <v>23609</v>
      </c>
      <c r="R393" s="91" t="inlineStr">
        <is>
          <t>N/A</t>
        </is>
      </c>
      <c r="S393" s="85" t="n">
        <v>2968</v>
      </c>
      <c r="T393" s="85" t="n">
        <v>1330</v>
      </c>
      <c r="U393" s="85" t="n">
        <v>65639</v>
      </c>
      <c r="V393" s="85" t="n">
        <v>1468</v>
      </c>
      <c r="W393" s="85" t="n">
        <v>70035</v>
      </c>
      <c r="X393" s="85" t="n">
        <v>4325</v>
      </c>
      <c r="Y393" s="85" t="n">
        <v>6459</v>
      </c>
      <c r="Z393" s="85" t="n">
        <v>70035</v>
      </c>
      <c r="AA393" s="85" t="n">
        <v>2386</v>
      </c>
      <c r="AB393" s="85" t="n">
        <v>2880</v>
      </c>
      <c r="AC393" s="85" t="n">
        <v>1936</v>
      </c>
      <c r="AD393" s="85" t="n">
        <v>4641</v>
      </c>
      <c r="AE393" s="85" t="n">
        <v>-877</v>
      </c>
      <c r="AF393" s="85" t="n">
        <v>27316</v>
      </c>
      <c r="AG393" s="85" t="n">
        <v>19522</v>
      </c>
      <c r="AH393" s="85" t="n">
        <v>3048</v>
      </c>
      <c r="AI393" s="85" t="n">
        <v>70035</v>
      </c>
      <c r="AJ393" s="85" t="n">
        <v>1773</v>
      </c>
      <c r="AK393" s="85" t="n">
        <v>1534</v>
      </c>
      <c r="AL393" s="85" t="n">
        <v>-245</v>
      </c>
      <c r="AM393" s="85" t="n">
        <v>-402</v>
      </c>
      <c r="AN393" s="91" t="inlineStr">
        <is>
          <t>N/A</t>
        </is>
      </c>
      <c r="AO393" s="91" t="inlineStr">
        <is>
          <t>N/A</t>
        </is>
      </c>
      <c r="AP393" s="85" t="n">
        <v>610</v>
      </c>
      <c r="AQ393" s="85" t="n">
        <v>604.2</v>
      </c>
      <c r="AR393" s="91" t="inlineStr">
        <is>
          <t>N/A</t>
        </is>
      </c>
      <c r="AS393" s="91" t="inlineStr">
        <is>
          <t>N/A</t>
        </is>
      </c>
      <c r="AT393" s="85" t="n">
        <v>1550</v>
      </c>
      <c r="AU393" s="91" t="inlineStr">
        <is>
          <t>N/A</t>
        </is>
      </c>
      <c r="AV393" s="85" t="n">
        <v>129</v>
      </c>
      <c r="AW393" s="85" t="n">
        <v>248</v>
      </c>
      <c r="AX393" s="85" t="n">
        <v>33382</v>
      </c>
      <c r="AY393" s="85" t="n">
        <v>28011</v>
      </c>
      <c r="AZ393" s="85" t="n">
        <v>33253</v>
      </c>
      <c r="BA393" s="85" t="n">
        <v>4083</v>
      </c>
      <c r="BB393" s="85" t="n">
        <v>623.6</v>
      </c>
      <c r="BC393" s="85" t="n">
        <v>574.4</v>
      </c>
      <c r="BD393" s="85" t="n">
        <v>1249</v>
      </c>
      <c r="BE393" s="85" t="n">
        <v>57198</v>
      </c>
      <c r="BF393" s="91" t="inlineStr">
        <is>
          <t>N/A</t>
        </is>
      </c>
      <c r="BG393" s="85" t="n">
        <v>2769</v>
      </c>
      <c r="BH393" s="85" t="n">
        <v>-10969</v>
      </c>
      <c r="BI393" s="85" t="n">
        <v>-7428</v>
      </c>
      <c r="BJ393" s="85" t="n">
        <v>2307</v>
      </c>
      <c r="BK393" s="85" t="n">
        <v>1781</v>
      </c>
      <c r="BL393" s="91" t="inlineStr">
        <is>
          <t>N/A</t>
        </is>
      </c>
      <c r="BM393" s="91" t="inlineStr">
        <is>
          <t>N/A</t>
        </is>
      </c>
      <c r="BN393" s="85" t="n">
        <v>579</v>
      </c>
      <c r="BO393" s="85" t="n">
        <v>3854</v>
      </c>
      <c r="BP393" s="85" t="n">
        <v>3757</v>
      </c>
      <c r="BQ393" s="85" t="n">
        <v>0</v>
      </c>
      <c r="BR393" s="85" t="n">
        <v>0</v>
      </c>
      <c r="BS393" s="85" t="n">
        <v>0</v>
      </c>
      <c r="BT393" s="85" t="n">
        <v>0</v>
      </c>
      <c r="BU393" s="85" t="n">
        <v>0</v>
      </c>
      <c r="BV393" s="85" t="n">
        <v>0</v>
      </c>
      <c r="BW393" s="85" t="n">
        <v>0</v>
      </c>
      <c r="BX393" s="85" t="n">
        <v>0</v>
      </c>
      <c r="BY393" s="85" t="n">
        <v>-0</v>
      </c>
    </row>
    <row r="394" ht="17" customHeight="1">
      <c r="A394" s="86" t="n">
        <v>392</v>
      </c>
      <c r="B394" s="87" t="inlineStr">
        <is>
          <t>KO</t>
        </is>
      </c>
      <c r="C394" s="88" t="inlineStr">
        <is>
          <t>COCA COLA CO</t>
        </is>
      </c>
      <c r="D394" s="86" t="inlineStr">
        <is>
          <t>Consumer Staples</t>
        </is>
      </c>
      <c r="E394" s="86" t="n">
        <v>2026</v>
      </c>
      <c r="F394" s="89" t="n">
        <v>104816</v>
      </c>
      <c r="G394" s="89" t="n">
        <v>31044</v>
      </c>
      <c r="H394" s="89" t="n">
        <v>21281</v>
      </c>
      <c r="I394" s="89" t="n">
        <v>104816</v>
      </c>
      <c r="J394" s="89" t="n">
        <v>80382</v>
      </c>
      <c r="K394" s="89" t="n">
        <v>13762</v>
      </c>
      <c r="L394" s="89" t="n">
        <v>47941</v>
      </c>
      <c r="M394" s="89" t="n">
        <v>13107</v>
      </c>
      <c r="N394" s="89" t="n">
        <v>7408</v>
      </c>
      <c r="O394" s="89" t="n">
        <v>29544</v>
      </c>
      <c r="P394" s="89" t="n">
        <v>37507</v>
      </c>
      <c r="Q394" s="89" t="n">
        <v>32169</v>
      </c>
      <c r="R394" s="89" t="n">
        <v>14521</v>
      </c>
      <c r="S394" s="89" t="n">
        <v>1050</v>
      </c>
      <c r="T394" s="89" t="n">
        <v>3038</v>
      </c>
      <c r="U394" s="89" t="n">
        <v>9613</v>
      </c>
      <c r="V394" s="89" t="n">
        <v>1654</v>
      </c>
      <c r="W394" s="89" t="n">
        <v>100549</v>
      </c>
      <c r="X394" s="89" t="n">
        <v>25997</v>
      </c>
      <c r="Y394" s="89" t="n">
        <v>25249</v>
      </c>
      <c r="Z394" s="89" t="n">
        <v>100549</v>
      </c>
      <c r="AA394" s="89" t="n">
        <v>9992</v>
      </c>
      <c r="AB394" s="89" t="n">
        <v>47061</v>
      </c>
      <c r="AC394" s="89" t="n">
        <v>10631</v>
      </c>
      <c r="AD394" s="89" t="n">
        <v>6805</v>
      </c>
      <c r="AE394" s="89" t="n">
        <v>28737</v>
      </c>
      <c r="AF394" s="89" t="n">
        <v>36776</v>
      </c>
      <c r="AG394" s="89" t="n">
        <v>24856</v>
      </c>
      <c r="AH394" s="89" t="n">
        <v>47061</v>
      </c>
      <c r="AI394" s="89" t="n">
        <v>100549</v>
      </c>
      <c r="AJ394" s="89" t="n">
        <v>15998</v>
      </c>
      <c r="AK394" s="89" t="n">
        <v>13086</v>
      </c>
      <c r="AL394" s="89" t="n">
        <v>2861</v>
      </c>
      <c r="AM394" s="89" t="n">
        <v>2437</v>
      </c>
      <c r="AN394" s="89" t="n">
        <v>2112</v>
      </c>
      <c r="AO394" s="89" t="n">
        <v>2064</v>
      </c>
      <c r="AP394" s="89" t="n">
        <v>4425</v>
      </c>
      <c r="AQ394" s="89" t="n">
        <v>4728</v>
      </c>
      <c r="AR394" s="89" t="n">
        <v>15491</v>
      </c>
      <c r="AS394" s="89" t="n">
        <v>355</v>
      </c>
      <c r="AT394" s="89" t="n">
        <v>2373</v>
      </c>
      <c r="AU394" s="90" t="inlineStr">
        <is>
          <t>N/A</t>
        </is>
      </c>
      <c r="AV394" s="89" t="n">
        <v>10270</v>
      </c>
      <c r="AW394" s="89" t="n">
        <v>10828</v>
      </c>
      <c r="AX394" s="89" t="n">
        <v>39880</v>
      </c>
      <c r="AY394" s="89" t="n">
        <v>40083</v>
      </c>
      <c r="AZ394" s="89" t="n">
        <v>29610</v>
      </c>
      <c r="BA394" s="89" t="n">
        <v>5296</v>
      </c>
      <c r="BB394" s="89" t="n">
        <v>7040</v>
      </c>
      <c r="BC394" s="89" t="n">
        <v>7040</v>
      </c>
      <c r="BD394" s="89" t="n">
        <v>3569</v>
      </c>
      <c r="BE394" s="89" t="n">
        <v>10303</v>
      </c>
      <c r="BF394" s="89" t="n">
        <v>14582</v>
      </c>
      <c r="BG394" s="89" t="n">
        <v>1075</v>
      </c>
      <c r="BH394" s="89" t="n">
        <v>-67</v>
      </c>
      <c r="BI394" s="89" t="n">
        <v>2524</v>
      </c>
      <c r="BJ394" s="89" t="n">
        <v>14813</v>
      </c>
      <c r="BK394" s="89" t="n">
        <v>21715</v>
      </c>
      <c r="BL394" s="90" t="inlineStr">
        <is>
          <t>N/A</t>
        </is>
      </c>
      <c r="BM394" s="90" t="inlineStr">
        <is>
          <t>N/A</t>
        </is>
      </c>
      <c r="BN394" s="89" t="n">
        <v>525</v>
      </c>
      <c r="BO394" s="89" t="n">
        <v>18397</v>
      </c>
      <c r="BP394" s="89" t="n">
        <v>18324</v>
      </c>
      <c r="BQ394" s="89" t="n">
        <v>0</v>
      </c>
      <c r="BR394" s="89" t="n">
        <v>0</v>
      </c>
      <c r="BS394" s="89" t="n">
        <v>0</v>
      </c>
      <c r="BT394" s="89" t="n">
        <v>0</v>
      </c>
      <c r="BU394" s="89" t="n">
        <v>0</v>
      </c>
      <c r="BV394" s="89" t="n">
        <v>0</v>
      </c>
      <c r="BW394" s="89" t="n">
        <v>0</v>
      </c>
      <c r="BX394" s="89" t="n">
        <v>0</v>
      </c>
      <c r="BY394" s="89" t="n">
        <v>0</v>
      </c>
    </row>
    <row r="395" ht="17" customHeight="1">
      <c r="A395" s="82" t="n">
        <v>393</v>
      </c>
      <c r="B395" s="83" t="inlineStr">
        <is>
          <t>SEIC</t>
        </is>
      </c>
      <c r="C395" s="84" t="inlineStr">
        <is>
          <t>SEI INVESTMENTS COMPANY</t>
        </is>
      </c>
      <c r="D395" s="82" t="inlineStr">
        <is>
          <t>Financials</t>
        </is>
      </c>
      <c r="E395" s="82" t="n">
        <v>2026</v>
      </c>
      <c r="F395" s="85" t="n">
        <v>2684.6</v>
      </c>
      <c r="G395" s="85" t="n">
        <v>1273.3</v>
      </c>
      <c r="H395" s="85" t="n">
        <v>387.2</v>
      </c>
      <c r="I395" s="85" t="n">
        <v>432.5</v>
      </c>
      <c r="J395" s="85" t="n">
        <v>792.3</v>
      </c>
      <c r="K395" s="85" t="n">
        <v>627.3</v>
      </c>
      <c r="L395" s="85" t="n">
        <v>2297.4</v>
      </c>
      <c r="M395" s="85" t="n">
        <v>715.3</v>
      </c>
      <c r="N395" s="85" t="n">
        <v>607.7</v>
      </c>
      <c r="O395" s="85" t="n">
        <v>808.1</v>
      </c>
      <c r="P395" s="91" t="inlineStr">
        <is>
          <t>N/A</t>
        </is>
      </c>
      <c r="Q395" s="85" t="n">
        <v>2447.8</v>
      </c>
      <c r="R395" s="85" t="n">
        <v>180.9</v>
      </c>
      <c r="S395" s="85" t="n">
        <v>28.8</v>
      </c>
      <c r="T395" s="85" t="n">
        <v>709.7</v>
      </c>
      <c r="U395" s="85" t="n">
        <v>150.4</v>
      </c>
      <c r="V395" s="85" t="n">
        <v>0.6</v>
      </c>
      <c r="W395" s="85" t="n">
        <v>2520</v>
      </c>
      <c r="X395" s="85" t="n">
        <v>1551.8</v>
      </c>
      <c r="Y395" s="85" t="n">
        <v>380.5</v>
      </c>
      <c r="Z395" s="85" t="n">
        <v>388.2</v>
      </c>
      <c r="AA395" s="85" t="n">
        <v>551.7</v>
      </c>
      <c r="AB395" s="85" t="n">
        <v>2125.2</v>
      </c>
      <c r="AC395" s="85" t="n">
        <v>581.2</v>
      </c>
      <c r="AD395" s="85" t="n">
        <v>622.3</v>
      </c>
      <c r="AE395" s="85" t="n">
        <v>699.4</v>
      </c>
      <c r="AF395" s="85" t="n">
        <v>95</v>
      </c>
      <c r="AG395" s="85" t="n">
        <v>2252.1</v>
      </c>
      <c r="AH395" s="85" t="n">
        <v>2125.2</v>
      </c>
      <c r="AI395" s="85" t="n">
        <v>2520</v>
      </c>
      <c r="AJ395" s="85" t="n">
        <v>916.3</v>
      </c>
      <c r="AK395" s="85" t="n">
        <v>746.8</v>
      </c>
      <c r="AL395" s="85" t="n">
        <v>198.8</v>
      </c>
      <c r="AM395" s="85" t="n">
        <v>165.6</v>
      </c>
      <c r="AN395" s="85" t="n">
        <v>22.6</v>
      </c>
      <c r="AO395" s="85" t="n">
        <v>32.2</v>
      </c>
      <c r="AP395" s="91" t="inlineStr">
        <is>
          <t>N/A</t>
        </is>
      </c>
      <c r="AQ395" s="91" t="inlineStr">
        <is>
          <t>N/A</t>
        </is>
      </c>
      <c r="AR395" s="85" t="n">
        <v>355</v>
      </c>
      <c r="AS395" s="85" t="n">
        <v>368.3</v>
      </c>
      <c r="AT395" s="91" t="inlineStr">
        <is>
          <t>N/A</t>
        </is>
      </c>
      <c r="AU395" s="91" t="inlineStr">
        <is>
          <t>N/A</t>
        </is>
      </c>
      <c r="AV395" s="85" t="n">
        <v>399.8</v>
      </c>
      <c r="AW395" s="85" t="n">
        <v>839.9</v>
      </c>
      <c r="AX395" s="91" t="inlineStr">
        <is>
          <t>N/A</t>
        </is>
      </c>
      <c r="AY395" s="85" t="n">
        <v>95</v>
      </c>
      <c r="AZ395" s="85" t="n">
        <v>-399.8</v>
      </c>
      <c r="BA395" s="85" t="n">
        <v>585</v>
      </c>
      <c r="BB395" s="85" t="n">
        <v>122.2</v>
      </c>
      <c r="BC395" s="85" t="n">
        <v>126.8</v>
      </c>
      <c r="BD395" s="85" t="n">
        <v>567.6</v>
      </c>
      <c r="BE395" s="85" t="n">
        <v>159.6</v>
      </c>
      <c r="BF395" s="85" t="n">
        <v>147.6</v>
      </c>
      <c r="BG395" s="85" t="n">
        <v>27.3</v>
      </c>
      <c r="BH395" s="85" t="n">
        <v>-399.1</v>
      </c>
      <c r="BI395" s="85" t="n">
        <v>-117.3</v>
      </c>
      <c r="BJ395" s="85" t="n">
        <v>5.4</v>
      </c>
      <c r="BK395" s="85" t="n">
        <v>13.1</v>
      </c>
      <c r="BL395" s="85" t="n">
        <v>4.7</v>
      </c>
      <c r="BM395" s="85" t="n">
        <v>2.9</v>
      </c>
      <c r="BN395" s="91" t="inlineStr">
        <is>
          <t>N/A</t>
        </is>
      </c>
      <c r="BO395" s="91" t="inlineStr">
        <is>
          <t>N/A</t>
        </is>
      </c>
      <c r="BP395" s="91" t="inlineStr">
        <is>
          <t>N/A</t>
        </is>
      </c>
      <c r="BQ395" s="85" t="n">
        <v>0</v>
      </c>
      <c r="BR395" s="85" t="n">
        <v>0</v>
      </c>
      <c r="BS395" s="91" t="inlineStr">
        <is>
          <t>N/A</t>
        </is>
      </c>
      <c r="BT395" s="91" t="inlineStr">
        <is>
          <t>N/A</t>
        </is>
      </c>
      <c r="BU395" s="85" t="n">
        <v>0</v>
      </c>
      <c r="BV395" s="85" t="n">
        <v>0</v>
      </c>
      <c r="BW395" s="85" t="n">
        <v>0</v>
      </c>
      <c r="BX395" s="85" t="n">
        <v>0</v>
      </c>
      <c r="BY395" s="85" t="n">
        <v>0</v>
      </c>
    </row>
    <row r="396" ht="17" customHeight="1">
      <c r="A396" s="86" t="n">
        <v>394</v>
      </c>
      <c r="B396" s="87" t="inlineStr">
        <is>
          <t>IDXX</t>
        </is>
      </c>
      <c r="C396" s="88" t="inlineStr">
        <is>
          <t>IDEXX LABORATORIES INC /DE</t>
        </is>
      </c>
      <c r="D396" s="86" t="inlineStr">
        <is>
          <t>Health Care</t>
        </is>
      </c>
      <c r="E396" s="86" t="n">
        <v>2026</v>
      </c>
      <c r="F396" s="89" t="n">
        <v>3350.8</v>
      </c>
      <c r="G396" s="89" t="n">
        <v>1413.8</v>
      </c>
      <c r="H396" s="89" t="n">
        <v>1148.8</v>
      </c>
      <c r="I396" s="89" t="n">
        <v>1745.4</v>
      </c>
      <c r="J396" s="89" t="n">
        <v>6391.9</v>
      </c>
      <c r="K396" s="89" t="n">
        <v>1360</v>
      </c>
      <c r="L396" s="89" t="n">
        <v>4303.7</v>
      </c>
      <c r="M396" s="89" t="n">
        <v>1059.5</v>
      </c>
      <c r="N396" s="89" t="n">
        <v>1181.8</v>
      </c>
      <c r="O396" s="89" t="n">
        <v>2659.6</v>
      </c>
      <c r="P396" s="89" t="n">
        <v>450</v>
      </c>
      <c r="Q396" s="89" t="n">
        <v>1605.4</v>
      </c>
      <c r="R396" s="89" t="n">
        <v>404.8</v>
      </c>
      <c r="S396" s="89" t="n">
        <v>145.2</v>
      </c>
      <c r="T396" s="89" t="n">
        <v>552.4</v>
      </c>
      <c r="U396" s="89" t="n">
        <v>747.4</v>
      </c>
      <c r="V396" s="89" t="n">
        <v>41.6</v>
      </c>
      <c r="W396" s="89" t="n">
        <v>3293.4</v>
      </c>
      <c r="X396" s="89" t="n">
        <v>1399.9</v>
      </c>
      <c r="Y396" s="89" t="n">
        <v>1067.9</v>
      </c>
      <c r="Z396" s="89" t="n">
        <v>1698.1</v>
      </c>
      <c r="AA396" s="89" t="n">
        <v>1128.3</v>
      </c>
      <c r="AB396" s="89" t="n">
        <v>3897.5</v>
      </c>
      <c r="AC396" s="89" t="n">
        <v>887.9</v>
      </c>
      <c r="AD396" s="89" t="n">
        <v>929</v>
      </c>
      <c r="AE396" s="89" t="n">
        <v>2378.9</v>
      </c>
      <c r="AF396" s="89" t="n">
        <v>617.8</v>
      </c>
      <c r="AG396" s="89" t="n">
        <v>1595.3</v>
      </c>
      <c r="AH396" s="89" t="n">
        <v>3897.5</v>
      </c>
      <c r="AI396" s="89" t="n">
        <v>3293.4</v>
      </c>
      <c r="AJ396" s="89" t="n">
        <v>1324.2</v>
      </c>
      <c r="AK396" s="89" t="n">
        <v>1109.8</v>
      </c>
      <c r="AL396" s="89" t="n">
        <v>264.7</v>
      </c>
      <c r="AM396" s="89" t="n">
        <v>222</v>
      </c>
      <c r="AN396" s="89" t="n">
        <v>124.7</v>
      </c>
      <c r="AO396" s="89" t="n">
        <v>120.9</v>
      </c>
      <c r="AP396" s="89" t="n">
        <v>377.8</v>
      </c>
      <c r="AQ396" s="89" t="n">
        <v>381.9</v>
      </c>
      <c r="AR396" s="89" t="n">
        <v>414</v>
      </c>
      <c r="AS396" s="89" t="n">
        <v>109.8</v>
      </c>
      <c r="AT396" s="89" t="n">
        <v>75</v>
      </c>
      <c r="AU396" s="89" t="n">
        <v>251.2</v>
      </c>
      <c r="AV396" s="89" t="n">
        <v>180.1</v>
      </c>
      <c r="AW396" s="89" t="n">
        <v>288.3</v>
      </c>
      <c r="AX396" s="89" t="n">
        <v>525</v>
      </c>
      <c r="AY396" s="89" t="n">
        <v>617.8</v>
      </c>
      <c r="AZ396" s="89" t="n">
        <v>344.9</v>
      </c>
      <c r="BA396" s="89" t="n">
        <v>1057.1</v>
      </c>
      <c r="BB396" s="89" t="n">
        <v>79.7</v>
      </c>
      <c r="BC396" s="89" t="n">
        <v>81.59999999999999</v>
      </c>
      <c r="BD396" s="89" t="n">
        <v>473.6</v>
      </c>
      <c r="BE396" s="89" t="n">
        <v>713.1</v>
      </c>
      <c r="BF396" s="89" t="n">
        <v>442.3</v>
      </c>
      <c r="BG396" s="89" t="n">
        <v>129.9</v>
      </c>
      <c r="BH396" s="89" t="n">
        <v>-136.2</v>
      </c>
      <c r="BI396" s="89" t="n">
        <v>-207.1</v>
      </c>
      <c r="BJ396" s="89" t="n">
        <v>110.4</v>
      </c>
      <c r="BK396" s="89" t="n">
        <v>114.2</v>
      </c>
      <c r="BL396" s="89" t="n">
        <v>29.2</v>
      </c>
      <c r="BM396" s="89" t="n">
        <v>27.4</v>
      </c>
      <c r="BN396" s="89" t="n">
        <v>88.7</v>
      </c>
      <c r="BO396" s="89" t="n">
        <v>1644.1</v>
      </c>
      <c r="BP396" s="89" t="n">
        <v>1518.6</v>
      </c>
      <c r="BQ396" s="89" t="n">
        <v>0</v>
      </c>
      <c r="BR396" s="89" t="n">
        <v>0</v>
      </c>
      <c r="BS396" s="89" t="n">
        <v>0</v>
      </c>
      <c r="BT396" s="89" t="n">
        <v>0</v>
      </c>
      <c r="BU396" s="89" t="n">
        <v>0</v>
      </c>
      <c r="BV396" s="89" t="n">
        <v>0</v>
      </c>
      <c r="BW396" s="89" t="n">
        <v>0</v>
      </c>
      <c r="BX396" s="89" t="n">
        <v>0</v>
      </c>
      <c r="BY396" s="89" t="n">
        <v>0</v>
      </c>
    </row>
    <row r="397" ht="17" customHeight="1">
      <c r="A397" s="82" t="n">
        <v>395</v>
      </c>
      <c r="B397" s="83" t="inlineStr">
        <is>
          <t>LHX</t>
        </is>
      </c>
      <c r="C397" s="84" t="inlineStr">
        <is>
          <t>L3HARRIS TECHNOLOGIES, INC.</t>
        </is>
      </c>
      <c r="D397" s="82" t="inlineStr">
        <is>
          <t>Industrials</t>
        </is>
      </c>
      <c r="E397" s="82" t="n">
        <v>2026</v>
      </c>
      <c r="F397" s="85" t="n">
        <v>41195</v>
      </c>
      <c r="G397" s="85" t="n">
        <v>8593</v>
      </c>
      <c r="H397" s="85" t="n">
        <v>7226</v>
      </c>
      <c r="I397" s="85" t="n">
        <v>21560</v>
      </c>
      <c r="J397" s="85" t="n">
        <v>4212</v>
      </c>
      <c r="K397" s="85" t="n">
        <v>2110</v>
      </c>
      <c r="L397" s="85" t="n">
        <v>6182</v>
      </c>
      <c r="M397" s="85" t="n">
        <v>1606</v>
      </c>
      <c r="N397" s="85" t="n">
        <v>3106</v>
      </c>
      <c r="O397" s="85" t="n">
        <v>1871.7</v>
      </c>
      <c r="P397" s="85" t="n">
        <v>3419</v>
      </c>
      <c r="Q397" s="85" t="n">
        <v>19635</v>
      </c>
      <c r="R397" s="85" t="n">
        <v>3430</v>
      </c>
      <c r="S397" s="85" t="n">
        <v>387</v>
      </c>
      <c r="T397" s="85" t="n">
        <v>1371</v>
      </c>
      <c r="U397" s="85" t="n">
        <v>2102</v>
      </c>
      <c r="V397" s="85" t="n">
        <v>270</v>
      </c>
      <c r="W397" s="85" t="n">
        <v>42001</v>
      </c>
      <c r="X397" s="85" t="n">
        <v>8218</v>
      </c>
      <c r="Y397" s="85" t="n">
        <v>7633</v>
      </c>
      <c r="Z397" s="85" t="n">
        <v>22422</v>
      </c>
      <c r="AA397" s="85" t="n">
        <v>2110</v>
      </c>
      <c r="AB397" s="85" t="n">
        <v>5900</v>
      </c>
      <c r="AC397" s="85" t="n">
        <v>1502</v>
      </c>
      <c r="AD397" s="85" t="n">
        <v>2559</v>
      </c>
      <c r="AE397" s="85" t="n">
        <v>532.2</v>
      </c>
      <c r="AF397" s="85" t="n">
        <v>3712</v>
      </c>
      <c r="AG397" s="85" t="n">
        <v>19514</v>
      </c>
      <c r="AH397" s="85" t="n">
        <v>5992</v>
      </c>
      <c r="AI397" s="85" t="n">
        <v>42001</v>
      </c>
      <c r="AJ397" s="85" t="n">
        <v>1932</v>
      </c>
      <c r="AK397" s="85" t="n">
        <v>1932</v>
      </c>
      <c r="AL397" s="85" t="n">
        <v>326</v>
      </c>
      <c r="AM397" s="85" t="n">
        <v>85</v>
      </c>
      <c r="AN397" s="85" t="n">
        <v>424</v>
      </c>
      <c r="AO397" s="85" t="n">
        <v>408</v>
      </c>
      <c r="AP397" s="85" t="n">
        <v>1219</v>
      </c>
      <c r="AQ397" s="85" t="n">
        <v>1330</v>
      </c>
      <c r="AR397" s="85" t="n">
        <v>20010</v>
      </c>
      <c r="AS397" s="85" t="n">
        <v>4706</v>
      </c>
      <c r="AT397" s="91" t="inlineStr">
        <is>
          <t>N/A</t>
        </is>
      </c>
      <c r="AU397" s="91" t="inlineStr">
        <is>
          <t>N/A</t>
        </is>
      </c>
      <c r="AV397" s="85" t="n">
        <v>1069</v>
      </c>
      <c r="AW397" s="85" t="n">
        <v>615</v>
      </c>
      <c r="AX397" s="85" t="n">
        <v>3419</v>
      </c>
      <c r="AY397" s="85" t="n">
        <v>4227</v>
      </c>
      <c r="AZ397" s="85" t="n">
        <v>2350</v>
      </c>
      <c r="BA397" s="85" t="n">
        <v>2682</v>
      </c>
      <c r="BB397" s="85" t="n">
        <v>186.8</v>
      </c>
      <c r="BC397" s="85" t="n">
        <v>189.8</v>
      </c>
      <c r="BD397" s="85" t="n">
        <v>1072</v>
      </c>
      <c r="BE397" s="85" t="n">
        <v>2117</v>
      </c>
      <c r="BF397" s="85" t="n">
        <v>3568</v>
      </c>
      <c r="BG397" s="85" t="n">
        <v>333</v>
      </c>
      <c r="BH397" s="85" t="n">
        <v>407</v>
      </c>
      <c r="BI397" s="85" t="n">
        <v>-263</v>
      </c>
      <c r="BJ397" s="85" t="n">
        <v>2461</v>
      </c>
      <c r="BK397" s="85" t="n">
        <v>2005</v>
      </c>
      <c r="BL397" s="85" t="n">
        <v>2262</v>
      </c>
      <c r="BM397" s="85" t="n">
        <v>2142</v>
      </c>
      <c r="BN397" s="85" t="n">
        <v>29</v>
      </c>
      <c r="BO397" s="85" t="n">
        <v>16240</v>
      </c>
      <c r="BP397" s="85" t="n">
        <v>15801</v>
      </c>
      <c r="BQ397" s="85" t="n">
        <v>0</v>
      </c>
      <c r="BR397" s="85" t="n">
        <v>0</v>
      </c>
      <c r="BS397" s="85" t="n">
        <v>0</v>
      </c>
      <c r="BT397" s="85" t="n">
        <v>0</v>
      </c>
      <c r="BU397" s="85" t="n">
        <v>0</v>
      </c>
      <c r="BV397" s="85" t="n">
        <v>0</v>
      </c>
      <c r="BW397" s="85" t="n">
        <v>0</v>
      </c>
      <c r="BX397" s="85" t="n">
        <v>0</v>
      </c>
      <c r="BY397" s="85" t="n">
        <v>0</v>
      </c>
    </row>
    <row r="398" ht="17" customHeight="1">
      <c r="A398" s="86" t="n">
        <v>396</v>
      </c>
      <c r="B398" s="87" t="inlineStr">
        <is>
          <t>CBSH</t>
        </is>
      </c>
      <c r="C398" s="88" t="inlineStr">
        <is>
          <t>COMMERCE BANCSHARES, INC.</t>
        </is>
      </c>
      <c r="D398" s="86" t="inlineStr">
        <is>
          <t>Financials</t>
        </is>
      </c>
      <c r="E398" s="86" t="n">
        <v>2026</v>
      </c>
      <c r="F398" s="89" t="n">
        <v>32915.1</v>
      </c>
      <c r="G398" s="90" t="inlineStr">
        <is>
          <t>N/A</t>
        </is>
      </c>
      <c r="H398" s="90" t="inlineStr">
        <is>
          <t>N/A</t>
        </is>
      </c>
      <c r="I398" s="89" t="n">
        <v>29100.3</v>
      </c>
      <c r="J398" s="89" t="n">
        <v>131.8</v>
      </c>
      <c r="K398" s="89" t="n">
        <v>731.8</v>
      </c>
      <c r="L398" s="90" t="inlineStr">
        <is>
          <t>N/A</t>
        </is>
      </c>
      <c r="M398" s="89" t="n">
        <v>566.3</v>
      </c>
      <c r="N398" s="89" t="n">
        <v>645.1</v>
      </c>
      <c r="O398" s="90" t="inlineStr">
        <is>
          <t>N/A</t>
        </is>
      </c>
      <c r="P398" s="89" t="n">
        <v>455.3</v>
      </c>
      <c r="Q398" s="89" t="n">
        <v>3791.4</v>
      </c>
      <c r="R398" s="90" t="inlineStr">
        <is>
          <t>N/A</t>
        </is>
      </c>
      <c r="S398" s="89" t="n">
        <v>42.1</v>
      </c>
      <c r="T398" s="90" t="inlineStr">
        <is>
          <t>N/A</t>
        </is>
      </c>
      <c r="U398" s="89" t="n">
        <v>485.7</v>
      </c>
      <c r="V398" s="89" t="n">
        <v>383.2</v>
      </c>
      <c r="W398" s="89" t="n">
        <v>31996.6</v>
      </c>
      <c r="X398" s="90" t="inlineStr">
        <is>
          <t>N/A</t>
        </is>
      </c>
      <c r="Y398" s="90" t="inlineStr">
        <is>
          <t>N/A</t>
        </is>
      </c>
      <c r="Z398" s="89" t="n">
        <v>28664.2</v>
      </c>
      <c r="AA398" s="89" t="n">
        <v>679.5</v>
      </c>
      <c r="AB398" s="90" t="inlineStr">
        <is>
          <t>N/A</t>
        </is>
      </c>
      <c r="AC398" s="89" t="n">
        <v>526.3</v>
      </c>
      <c r="AD398" s="89" t="n">
        <v>577.9</v>
      </c>
      <c r="AE398" s="90" t="inlineStr">
        <is>
          <t>N/A</t>
        </is>
      </c>
      <c r="AF398" s="89" t="n">
        <v>503.7</v>
      </c>
      <c r="AG398" s="89" t="n">
        <v>3309.9</v>
      </c>
      <c r="AH398" s="90" t="inlineStr">
        <is>
          <t>N/A</t>
        </is>
      </c>
      <c r="AI398" s="89" t="n">
        <v>31996.6</v>
      </c>
      <c r="AJ398" s="89" t="n">
        <v>731.8</v>
      </c>
      <c r="AK398" s="89" t="n">
        <v>679.5</v>
      </c>
      <c r="AL398" s="89" t="n">
        <v>161.1</v>
      </c>
      <c r="AM398" s="89" t="n">
        <v>145.1</v>
      </c>
      <c r="AN398" s="89" t="n">
        <v>52.7</v>
      </c>
      <c r="AO398" s="89" t="n">
        <v>46.1</v>
      </c>
      <c r="AP398" s="90" t="inlineStr">
        <is>
          <t>N/A</t>
        </is>
      </c>
      <c r="AQ398" s="90" t="inlineStr">
        <is>
          <t>N/A</t>
        </is>
      </c>
      <c r="AR398" s="89" t="n">
        <v>146.5</v>
      </c>
      <c r="AS398" s="89" t="n">
        <v>9.699999999999999</v>
      </c>
      <c r="AT398" s="90" t="inlineStr">
        <is>
          <t>N/A</t>
        </is>
      </c>
      <c r="AU398" s="90" t="inlineStr">
        <is>
          <t>N/A</t>
        </is>
      </c>
      <c r="AV398" s="89" t="n">
        <v>511.8</v>
      </c>
      <c r="AW398" s="89" t="n">
        <v>782.4</v>
      </c>
      <c r="AX398" s="89" t="n">
        <v>455.3</v>
      </c>
      <c r="AY398" s="89" t="n">
        <v>503.7</v>
      </c>
      <c r="AZ398" s="89" t="n">
        <v>-56.5</v>
      </c>
      <c r="BA398" s="89" t="n">
        <v>592.4</v>
      </c>
      <c r="BB398" s="89" t="n">
        <v>138.6</v>
      </c>
      <c r="BC398" s="89" t="n">
        <v>135.2</v>
      </c>
      <c r="BD398" s="90" t="inlineStr">
        <is>
          <t>N/A</t>
        </is>
      </c>
      <c r="BE398" s="89" t="n">
        <v>475.3</v>
      </c>
      <c r="BF398" s="90" t="inlineStr">
        <is>
          <t>N/A</t>
        </is>
      </c>
      <c r="BG398" s="89" t="n">
        <v>40</v>
      </c>
      <c r="BH398" s="89" t="n">
        <v>-462.4</v>
      </c>
      <c r="BI398" s="89" t="n">
        <v>483.8</v>
      </c>
      <c r="BJ398" s="90" t="inlineStr">
        <is>
          <t>N/A</t>
        </is>
      </c>
      <c r="BK398" s="90" t="inlineStr">
        <is>
          <t>N/A</t>
        </is>
      </c>
      <c r="BL398" s="90" t="inlineStr">
        <is>
          <t>N/A</t>
        </is>
      </c>
      <c r="BM398" s="90" t="inlineStr">
        <is>
          <t>N/A</t>
        </is>
      </c>
      <c r="BN398" s="90" t="inlineStr">
        <is>
          <t>N/A</t>
        </is>
      </c>
      <c r="BO398" s="90" t="inlineStr">
        <is>
          <t>N/A</t>
        </is>
      </c>
      <c r="BP398" s="90" t="inlineStr">
        <is>
          <t>N/A</t>
        </is>
      </c>
      <c r="BQ398" s="90" t="inlineStr">
        <is>
          <t>N/A</t>
        </is>
      </c>
      <c r="BR398" s="90" t="inlineStr">
        <is>
          <t>N/A</t>
        </is>
      </c>
      <c r="BS398" s="90" t="inlineStr">
        <is>
          <t>N/A</t>
        </is>
      </c>
      <c r="BT398" s="90" t="inlineStr">
        <is>
          <t>N/A</t>
        </is>
      </c>
      <c r="BU398" s="90" t="inlineStr">
        <is>
          <t>N/A</t>
        </is>
      </c>
      <c r="BV398" s="90" t="inlineStr">
        <is>
          <t>N/A</t>
        </is>
      </c>
      <c r="BW398" s="89" t="n">
        <v>0</v>
      </c>
      <c r="BX398" s="90" t="inlineStr">
        <is>
          <t>N/A</t>
        </is>
      </c>
      <c r="BY398" s="89" t="n">
        <v>0</v>
      </c>
    </row>
    <row r="399" ht="17" customHeight="1">
      <c r="A399" s="82" t="n">
        <v>397</v>
      </c>
      <c r="B399" s="83" t="inlineStr">
        <is>
          <t>MGM</t>
        </is>
      </c>
      <c r="C399" s="84" t="inlineStr">
        <is>
          <t>MGM Resorts International</t>
        </is>
      </c>
      <c r="D399" s="82" t="inlineStr">
        <is>
          <t>Consumer Discretionary</t>
        </is>
      </c>
      <c r="E399" s="82" t="n">
        <v>2026</v>
      </c>
      <c r="F399" s="85" t="n">
        <v>41373.8</v>
      </c>
      <c r="G399" s="85" t="n">
        <v>4332.4</v>
      </c>
      <c r="H399" s="85" t="n">
        <v>3512.1</v>
      </c>
      <c r="I399" s="85" t="n">
        <v>38097.5</v>
      </c>
      <c r="J399" s="85" t="n">
        <v>2106.8</v>
      </c>
      <c r="K399" s="85" t="n">
        <v>1001.8</v>
      </c>
      <c r="L399" s="85" t="n">
        <v>9809.700000000001</v>
      </c>
      <c r="M399" s="85" t="n">
        <v>205.9</v>
      </c>
      <c r="N399" s="85" t="n">
        <v>2529.4</v>
      </c>
      <c r="O399" s="91" t="inlineStr">
        <is>
          <t>N/A</t>
        </is>
      </c>
      <c r="P399" s="85" t="n">
        <v>6230.1</v>
      </c>
      <c r="Q399" s="85" t="n">
        <v>2429.9</v>
      </c>
      <c r="R399" s="85" t="n">
        <v>4877.5</v>
      </c>
      <c r="S399" s="85" t="n">
        <v>1017.8</v>
      </c>
      <c r="T399" s="85" t="n">
        <v>1122.9</v>
      </c>
      <c r="U399" s="85" t="n">
        <v>5449.5</v>
      </c>
      <c r="V399" s="85" t="n">
        <v>460.3</v>
      </c>
      <c r="W399" s="85" t="n">
        <v>42231.6</v>
      </c>
      <c r="X399" s="85" t="n">
        <v>4363.6</v>
      </c>
      <c r="Y399" s="85" t="n">
        <v>3351.7</v>
      </c>
      <c r="Z399" s="85" t="n">
        <v>38511.7</v>
      </c>
      <c r="AA399" s="85" t="n">
        <v>1490.5</v>
      </c>
      <c r="AB399" s="85" t="n">
        <v>2513.2</v>
      </c>
      <c r="AC399" s="85" t="n">
        <v>746.6</v>
      </c>
      <c r="AD399" s="85" t="n">
        <v>2362.5</v>
      </c>
      <c r="AE399" s="91" t="inlineStr">
        <is>
          <t>N/A</t>
        </is>
      </c>
      <c r="AF399" s="85" t="n">
        <v>6362.1</v>
      </c>
      <c r="AG399" s="85" t="n">
        <v>3023.5</v>
      </c>
      <c r="AH399" s="85" t="n">
        <v>2463</v>
      </c>
      <c r="AI399" s="85" t="n">
        <v>42231.6</v>
      </c>
      <c r="AJ399" s="85" t="n">
        <v>280.8</v>
      </c>
      <c r="AK399" s="85" t="n">
        <v>1117.1</v>
      </c>
      <c r="AL399" s="85" t="n">
        <v>-240.1</v>
      </c>
      <c r="AM399" s="85" t="n">
        <v>52.5</v>
      </c>
      <c r="AN399" s="85" t="n">
        <v>1068.9</v>
      </c>
      <c r="AO399" s="85" t="n">
        <v>1150.6</v>
      </c>
      <c r="AP399" s="85" t="n">
        <v>124.5</v>
      </c>
      <c r="AQ399" s="85" t="n">
        <v>140.6</v>
      </c>
      <c r="AR399" s="85" t="n">
        <v>4902</v>
      </c>
      <c r="AS399" s="85" t="n">
        <v>658.2</v>
      </c>
      <c r="AT399" s="91" t="inlineStr">
        <is>
          <t>N/A</t>
        </is>
      </c>
      <c r="AU399" s="91" t="inlineStr">
        <is>
          <t>N/A</t>
        </is>
      </c>
      <c r="AV399" s="85" t="n">
        <v>2063</v>
      </c>
      <c r="AW399" s="85" t="n">
        <v>2415.5</v>
      </c>
      <c r="AX399" s="85" t="n">
        <v>6230.1</v>
      </c>
      <c r="AY399" s="85" t="n">
        <v>6362.1</v>
      </c>
      <c r="AZ399" s="85" t="n">
        <v>4167.1</v>
      </c>
      <c r="BA399" s="85" t="n">
        <v>1460.5</v>
      </c>
      <c r="BB399" s="85" t="n">
        <v>258.3</v>
      </c>
      <c r="BC399" s="85" t="n">
        <v>294.4</v>
      </c>
      <c r="BD399" s="85" t="n">
        <v>1071.4</v>
      </c>
      <c r="BE399" s="85" t="n">
        <v>5223.9</v>
      </c>
      <c r="BF399" s="85" t="n">
        <v>4825.3</v>
      </c>
      <c r="BG399" s="85" t="n">
        <v>831.1</v>
      </c>
      <c r="BH399" s="85" t="n">
        <v>-1140.8</v>
      </c>
      <c r="BI399" s="85" t="n">
        <v>-1283.2</v>
      </c>
      <c r="BJ399" s="85" t="n">
        <v>421.5</v>
      </c>
      <c r="BK399" s="85" t="n">
        <v>412.7</v>
      </c>
      <c r="BL399" s="91" t="inlineStr">
        <is>
          <t>N/A</t>
        </is>
      </c>
      <c r="BM399" s="91" t="inlineStr">
        <is>
          <t>N/A</t>
        </is>
      </c>
      <c r="BN399" s="91" t="inlineStr">
        <is>
          <t>N/A</t>
        </is>
      </c>
      <c r="BO399" s="91" t="inlineStr">
        <is>
          <t>N/A</t>
        </is>
      </c>
      <c r="BP399" s="91" t="inlineStr">
        <is>
          <t>N/A</t>
        </is>
      </c>
      <c r="BQ399" s="85" t="n">
        <v>0</v>
      </c>
      <c r="BR399" s="85" t="n">
        <v>0</v>
      </c>
      <c r="BS399" s="91" t="inlineStr">
        <is>
          <t>N/A</t>
        </is>
      </c>
      <c r="BT399" s="91" t="inlineStr">
        <is>
          <t>N/A</t>
        </is>
      </c>
      <c r="BU399" s="91" t="inlineStr">
        <is>
          <t>N/A</t>
        </is>
      </c>
      <c r="BV399" s="91" t="inlineStr">
        <is>
          <t>N/A</t>
        </is>
      </c>
      <c r="BW399" s="85" t="n">
        <v>0</v>
      </c>
      <c r="BX399" s="85" t="n">
        <v>0</v>
      </c>
      <c r="BY399" s="85" t="n">
        <v>-0</v>
      </c>
    </row>
    <row r="400" ht="17" customHeight="1">
      <c r="A400" s="86" t="n">
        <v>398</v>
      </c>
      <c r="B400" s="87" t="inlineStr">
        <is>
          <t>VMC</t>
        </is>
      </c>
      <c r="C400" s="88" t="inlineStr">
        <is>
          <t>VULCAN MATERIALS COMPANY</t>
        </is>
      </c>
      <c r="D400" s="86" t="inlineStr">
        <is>
          <t>Materials</t>
        </is>
      </c>
      <c r="E400" s="86" t="n">
        <v>2026</v>
      </c>
      <c r="F400" s="89" t="n">
        <v>16700.4</v>
      </c>
      <c r="G400" s="89" t="n">
        <v>2567.9</v>
      </c>
      <c r="H400" s="89" t="n">
        <v>956.1</v>
      </c>
      <c r="I400" s="89" t="n">
        <v>8151.5</v>
      </c>
      <c r="J400" s="89" t="n">
        <v>5590.1</v>
      </c>
      <c r="K400" s="89" t="n">
        <v>1619.6</v>
      </c>
      <c r="L400" s="89" t="n">
        <v>7781.9</v>
      </c>
      <c r="M400" s="89" t="n">
        <v>1076.7</v>
      </c>
      <c r="N400" s="89" t="n">
        <v>1813</v>
      </c>
      <c r="O400" s="89" t="n">
        <v>2174.6</v>
      </c>
      <c r="P400" s="89" t="n">
        <v>4362.1</v>
      </c>
      <c r="Q400" s="89" t="n">
        <v>8525.1</v>
      </c>
      <c r="R400" s="89" t="n">
        <v>564.1</v>
      </c>
      <c r="S400" s="89" t="n">
        <v>748.5</v>
      </c>
      <c r="T400" s="89" t="n">
        <v>845.6</v>
      </c>
      <c r="U400" s="89" t="n">
        <v>6217.7</v>
      </c>
      <c r="V400" s="89" t="n">
        <v>196.1</v>
      </c>
      <c r="W400" s="89" t="n">
        <v>17104.8</v>
      </c>
      <c r="X400" s="89" t="n">
        <v>2265.7</v>
      </c>
      <c r="Y400" s="89" t="n">
        <v>1239.1</v>
      </c>
      <c r="Z400" s="89" t="n">
        <v>8962.299999999999</v>
      </c>
      <c r="AA400" s="89" t="n">
        <v>1364.5</v>
      </c>
      <c r="AB400" s="89" t="n">
        <v>7315.2</v>
      </c>
      <c r="AC400" s="89" t="n">
        <v>911.9</v>
      </c>
      <c r="AD400" s="89" t="n">
        <v>1409.6</v>
      </c>
      <c r="AE400" s="89" t="n">
        <v>1999.6</v>
      </c>
      <c r="AF400" s="89" t="n">
        <v>5307.4</v>
      </c>
      <c r="AG400" s="89" t="n">
        <v>8118.6</v>
      </c>
      <c r="AH400" s="89" t="n">
        <v>7315.2</v>
      </c>
      <c r="AI400" s="89" t="n">
        <v>17104.8</v>
      </c>
      <c r="AJ400" s="89" t="n">
        <v>1390.1</v>
      </c>
      <c r="AK400" s="89" t="n">
        <v>1172.1</v>
      </c>
      <c r="AL400" s="89" t="n">
        <v>307.5</v>
      </c>
      <c r="AM400" s="89" t="n">
        <v>251.4</v>
      </c>
      <c r="AN400" s="89" t="n">
        <v>677.7</v>
      </c>
      <c r="AO400" s="89" t="n">
        <v>603.5</v>
      </c>
      <c r="AP400" s="89" t="n">
        <v>680.5</v>
      </c>
      <c r="AQ400" s="89" t="n">
        <v>681.8</v>
      </c>
      <c r="AR400" s="89" t="n">
        <v>3780.9</v>
      </c>
      <c r="AS400" s="89" t="n">
        <v>1489</v>
      </c>
      <c r="AT400" s="90" t="inlineStr">
        <is>
          <t>N/A</t>
        </is>
      </c>
      <c r="AU400" s="90" t="inlineStr">
        <is>
          <t>N/A</t>
        </is>
      </c>
      <c r="AV400" s="89" t="n">
        <v>183.3</v>
      </c>
      <c r="AW400" s="89" t="n">
        <v>559.7</v>
      </c>
      <c r="AX400" s="89" t="n">
        <v>4362.1</v>
      </c>
      <c r="AY400" s="89" t="n">
        <v>5307.4</v>
      </c>
      <c r="AZ400" s="89" t="n">
        <v>4178.8</v>
      </c>
      <c r="BA400" s="89" t="n">
        <v>1135.3</v>
      </c>
      <c r="BB400" s="89" t="n">
        <v>130.6</v>
      </c>
      <c r="BC400" s="89" t="n">
        <v>132.1</v>
      </c>
      <c r="BD400" s="89" t="n">
        <v>783.2</v>
      </c>
      <c r="BE400" s="89" t="n">
        <v>6051.3</v>
      </c>
      <c r="BF400" s="89" t="n">
        <v>531.1</v>
      </c>
      <c r="BG400" s="89" t="n">
        <v>632.2</v>
      </c>
      <c r="BH400" s="89" t="n">
        <v>-529.2</v>
      </c>
      <c r="BI400" s="89" t="n">
        <v>-2814.9</v>
      </c>
      <c r="BJ400" s="89" t="n">
        <v>175.7</v>
      </c>
      <c r="BK400" s="89" t="n">
        <v>145.1</v>
      </c>
      <c r="BL400" s="89" t="n">
        <v>1.2</v>
      </c>
      <c r="BM400" s="89" t="n">
        <v>198.4</v>
      </c>
      <c r="BN400" s="90" t="inlineStr">
        <is>
          <t>N/A</t>
        </is>
      </c>
      <c r="BO400" s="89" t="n">
        <v>5766.5</v>
      </c>
      <c r="BP400" s="89" t="n">
        <v>5418.1</v>
      </c>
      <c r="BQ400" s="89" t="n">
        <v>0</v>
      </c>
      <c r="BR400" s="89" t="n">
        <v>0</v>
      </c>
      <c r="BS400" s="89" t="n">
        <v>0</v>
      </c>
      <c r="BT400" s="89" t="n">
        <v>0</v>
      </c>
      <c r="BU400" s="89" t="n">
        <v>0</v>
      </c>
      <c r="BV400" s="89" t="n">
        <v>0</v>
      </c>
      <c r="BW400" s="89" t="n">
        <v>0</v>
      </c>
      <c r="BX400" s="89" t="n">
        <v>0</v>
      </c>
      <c r="BY400" s="89" t="n">
        <v>0</v>
      </c>
    </row>
    <row r="401" ht="17" customHeight="1">
      <c r="A401" s="82" t="n">
        <v>399</v>
      </c>
      <c r="B401" s="83" t="inlineStr">
        <is>
          <t>CNX</t>
        </is>
      </c>
      <c r="C401" s="84" t="inlineStr">
        <is>
          <t>CNX Resources Corporation</t>
        </is>
      </c>
      <c r="D401" s="82" t="inlineStr">
        <is>
          <t>Energy</t>
        </is>
      </c>
      <c r="E401" s="82" t="n">
        <v>2026</v>
      </c>
      <c r="F401" s="85" t="n">
        <v>9094.4</v>
      </c>
      <c r="G401" s="85" t="n">
        <v>490.3</v>
      </c>
      <c r="H401" s="85" t="n">
        <v>1124.4</v>
      </c>
      <c r="I401" s="85" t="n">
        <v>4757.4</v>
      </c>
      <c r="J401" s="85" t="n">
        <v>1984.2</v>
      </c>
      <c r="K401" s="91" t="inlineStr">
        <is>
          <t>N/A</t>
        </is>
      </c>
      <c r="L401" s="85" t="n">
        <v>2239.1</v>
      </c>
      <c r="M401" s="85" t="n">
        <v>633.2</v>
      </c>
      <c r="N401" s="85" t="n">
        <v>1029</v>
      </c>
      <c r="O401" s="85" t="n">
        <v>890.9</v>
      </c>
      <c r="P401" s="85" t="n">
        <v>2421.4</v>
      </c>
      <c r="Q401" s="85" t="n">
        <v>4337</v>
      </c>
      <c r="R401" s="85" t="n">
        <v>90.40000000000001</v>
      </c>
      <c r="S401" s="85" t="n">
        <v>12.5</v>
      </c>
      <c r="T401" s="85" t="n">
        <v>264.7</v>
      </c>
      <c r="U401" s="85" t="n">
        <v>7863.4</v>
      </c>
      <c r="V401" s="85" t="n">
        <v>143.3</v>
      </c>
      <c r="W401" s="85" t="n">
        <v>8511.9</v>
      </c>
      <c r="X401" s="85" t="n">
        <v>370.6</v>
      </c>
      <c r="Y401" s="85" t="n">
        <v>1122.6</v>
      </c>
      <c r="Z401" s="85" t="n">
        <v>4413.9</v>
      </c>
      <c r="AA401" s="91" t="inlineStr">
        <is>
          <t>N/A</t>
        </is>
      </c>
      <c r="AB401" s="85" t="n">
        <v>1266.8</v>
      </c>
      <c r="AC401" s="85" t="n">
        <v>-90.5</v>
      </c>
      <c r="AD401" s="85" t="n">
        <v>815.8</v>
      </c>
      <c r="AE401" s="85" t="n">
        <v>6.4</v>
      </c>
      <c r="AF401" s="85" t="n">
        <v>2166</v>
      </c>
      <c r="AG401" s="85" t="n">
        <v>4098</v>
      </c>
      <c r="AH401" s="85" t="n">
        <v>1266.8</v>
      </c>
      <c r="AI401" s="85" t="n">
        <v>8511.9</v>
      </c>
      <c r="AJ401" s="85" t="n">
        <v>802.9</v>
      </c>
      <c r="AK401" s="91" t="inlineStr">
        <is>
          <t>N/A</t>
        </is>
      </c>
      <c r="AL401" s="85" t="n">
        <v>169.8</v>
      </c>
      <c r="AM401" s="85" t="n">
        <v>-29.9</v>
      </c>
      <c r="AN401" s="85" t="n">
        <v>495</v>
      </c>
      <c r="AO401" s="85" t="n">
        <v>540.3</v>
      </c>
      <c r="AP401" s="85" t="n">
        <v>26.2</v>
      </c>
      <c r="AQ401" s="85" t="n">
        <v>14.6</v>
      </c>
      <c r="AR401" s="85" t="n">
        <v>323.3</v>
      </c>
      <c r="AS401" s="85" t="n">
        <v>57.3</v>
      </c>
      <c r="AT401" s="85" t="n">
        <v>13</v>
      </c>
      <c r="AU401" s="91" t="inlineStr">
        <is>
          <t>N/A</t>
        </is>
      </c>
      <c r="AV401" s="85" t="n">
        <v>0.8</v>
      </c>
      <c r="AW401" s="85" t="n">
        <v>17.2</v>
      </c>
      <c r="AX401" s="85" t="n">
        <v>2434.4</v>
      </c>
      <c r="AY401" s="85" t="n">
        <v>2177.5</v>
      </c>
      <c r="AZ401" s="85" t="n">
        <v>2433.6</v>
      </c>
      <c r="BA401" s="85" t="n">
        <v>534</v>
      </c>
      <c r="BB401" s="85" t="n">
        <v>142.6</v>
      </c>
      <c r="BC401" s="85" t="n">
        <v>148.9</v>
      </c>
      <c r="BD401" s="85" t="n">
        <v>179.5</v>
      </c>
      <c r="BE401" s="85" t="n">
        <v>7384.1</v>
      </c>
      <c r="BF401" s="85" t="n">
        <v>90.7</v>
      </c>
      <c r="BG401" s="85" t="n">
        <v>0</v>
      </c>
      <c r="BH401" s="85" t="n">
        <v>-900.9</v>
      </c>
      <c r="BI401" s="85" t="n">
        <v>-484.5</v>
      </c>
      <c r="BJ401" s="85" t="n">
        <v>158.8</v>
      </c>
      <c r="BK401" s="85" t="n">
        <v>123.2</v>
      </c>
      <c r="BL401" s="85" t="n">
        <v>11.6</v>
      </c>
      <c r="BM401" s="85" t="n">
        <v>18.2</v>
      </c>
      <c r="BN401" s="91" t="inlineStr">
        <is>
          <t>N/A</t>
        </is>
      </c>
      <c r="BO401" s="85" t="n">
        <v>1348.2</v>
      </c>
      <c r="BP401" s="85" t="n">
        <v>1260.4</v>
      </c>
      <c r="BQ401" s="85" t="n">
        <v>0</v>
      </c>
      <c r="BR401" s="85" t="n">
        <v>0</v>
      </c>
      <c r="BS401" s="85" t="n">
        <v>0</v>
      </c>
      <c r="BT401" s="85" t="n">
        <v>0</v>
      </c>
      <c r="BU401" s="85" t="n">
        <v>0</v>
      </c>
      <c r="BV401" s="85" t="n">
        <v>0</v>
      </c>
      <c r="BW401" s="85" t="n">
        <v>0</v>
      </c>
      <c r="BX401" s="85" t="n">
        <v>0</v>
      </c>
      <c r="BY401" s="85" t="n">
        <v>0</v>
      </c>
    </row>
    <row r="402" ht="17" customHeight="1">
      <c r="A402" s="86" t="n">
        <v>400</v>
      </c>
      <c r="B402" s="87" t="inlineStr">
        <is>
          <t>DHI</t>
        </is>
      </c>
      <c r="C402" s="88" t="inlineStr">
        <is>
          <t>D.R. Horton, Inc.</t>
        </is>
      </c>
      <c r="D402" s="86" t="inlineStr">
        <is>
          <t>Consumer Discretionary</t>
        </is>
      </c>
      <c r="E402" s="86" t="n">
        <v>2026</v>
      </c>
      <c r="F402" s="89" t="n">
        <v>35471.2</v>
      </c>
      <c r="G402" s="90" t="inlineStr">
        <is>
          <t>N/A</t>
        </is>
      </c>
      <c r="H402" s="90" t="inlineStr">
        <is>
          <t>N/A</t>
        </is>
      </c>
      <c r="I402" s="89" t="n">
        <v>10729</v>
      </c>
      <c r="J402" s="89" t="n">
        <v>31041.4</v>
      </c>
      <c r="K402" s="89" t="n">
        <v>4739.9</v>
      </c>
      <c r="L402" s="89" t="n">
        <v>34250.4</v>
      </c>
      <c r="M402" s="89" t="n">
        <v>3585.2</v>
      </c>
      <c r="N402" s="89" t="n">
        <v>3420.9</v>
      </c>
      <c r="O402" s="89" t="n">
        <v>160</v>
      </c>
      <c r="P402" s="90" t="inlineStr">
        <is>
          <t>N/A</t>
        </is>
      </c>
      <c r="Q402" s="89" t="n">
        <v>24190.4</v>
      </c>
      <c r="R402" s="89" t="n">
        <v>3692</v>
      </c>
      <c r="S402" s="89" t="n">
        <v>101.3</v>
      </c>
      <c r="T402" s="90" t="inlineStr">
        <is>
          <t>N/A</t>
        </is>
      </c>
      <c r="U402" s="89" t="n">
        <v>578.9</v>
      </c>
      <c r="V402" s="90" t="inlineStr">
        <is>
          <t>N/A</t>
        </is>
      </c>
      <c r="W402" s="89" t="n">
        <v>36104.3</v>
      </c>
      <c r="X402" s="90" t="inlineStr">
        <is>
          <t>N/A</t>
        </is>
      </c>
      <c r="Y402" s="90" t="inlineStr">
        <is>
          <t>N/A</t>
        </is>
      </c>
      <c r="Z402" s="89" t="n">
        <v>10279.9</v>
      </c>
      <c r="AA402" s="89" t="n">
        <v>6284.7</v>
      </c>
      <c r="AB402" s="89" t="n">
        <v>36801.4</v>
      </c>
      <c r="AC402" s="89" t="n">
        <v>4756.4</v>
      </c>
      <c r="AD402" s="89" t="n">
        <v>2189.8</v>
      </c>
      <c r="AE402" s="89" t="n">
        <v>151.3</v>
      </c>
      <c r="AF402" s="90" t="inlineStr">
        <is>
          <t>N/A</t>
        </is>
      </c>
      <c r="AG402" s="89" t="n">
        <v>25312.8</v>
      </c>
      <c r="AH402" s="89" t="n">
        <v>36801.4</v>
      </c>
      <c r="AI402" s="89" t="n">
        <v>36104.3</v>
      </c>
      <c r="AJ402" s="89" t="n">
        <v>4739.9</v>
      </c>
      <c r="AK402" s="89" t="n">
        <v>6284.7</v>
      </c>
      <c r="AL402" s="89" t="n">
        <v>1119</v>
      </c>
      <c r="AM402" s="89" t="n">
        <v>1478.7</v>
      </c>
      <c r="AN402" s="89" t="n">
        <v>137.4</v>
      </c>
      <c r="AO402" s="89" t="n">
        <v>165.3</v>
      </c>
      <c r="AP402" s="90" t="inlineStr">
        <is>
          <t>N/A</t>
        </is>
      </c>
      <c r="AQ402" s="90" t="inlineStr">
        <is>
          <t>N/A</t>
        </is>
      </c>
      <c r="AR402" s="89" t="n">
        <v>163.5</v>
      </c>
      <c r="AS402" s="90" t="inlineStr">
        <is>
          <t>N/A</t>
        </is>
      </c>
      <c r="AT402" s="90" t="inlineStr">
        <is>
          <t>N/A</t>
        </is>
      </c>
      <c r="AU402" s="90" t="inlineStr">
        <is>
          <t>N/A</t>
        </is>
      </c>
      <c r="AV402" s="89" t="n">
        <v>2985.4</v>
      </c>
      <c r="AW402" s="89" t="n">
        <v>4516.4</v>
      </c>
      <c r="AX402" s="90" t="inlineStr">
        <is>
          <t>N/A</t>
        </is>
      </c>
      <c r="AY402" s="90" t="inlineStr">
        <is>
          <t>N/A</t>
        </is>
      </c>
      <c r="AZ402" s="90" t="inlineStr">
        <is>
          <t>N/A</t>
        </is>
      </c>
      <c r="BA402" s="89" t="n">
        <v>3283.5</v>
      </c>
      <c r="BB402" s="89" t="n">
        <v>294.5</v>
      </c>
      <c r="BC402" s="89" t="n">
        <v>324</v>
      </c>
      <c r="BD402" s="90" t="inlineStr">
        <is>
          <t>N/A</t>
        </is>
      </c>
      <c r="BE402" s="89" t="n">
        <v>531</v>
      </c>
      <c r="BF402" s="89" t="n">
        <v>3599.5</v>
      </c>
      <c r="BG402" s="89" t="n">
        <v>87.09999999999999</v>
      </c>
      <c r="BH402" s="89" t="n">
        <v>-168.7</v>
      </c>
      <c r="BI402" s="89" t="n">
        <v>-190.6</v>
      </c>
      <c r="BJ402" s="90" t="inlineStr">
        <is>
          <t>N/A</t>
        </is>
      </c>
      <c r="BK402" s="90" t="inlineStr">
        <is>
          <t>N/A</t>
        </is>
      </c>
      <c r="BL402" s="89" t="n">
        <v>3.6</v>
      </c>
      <c r="BM402" s="89" t="n">
        <v>3.6</v>
      </c>
      <c r="BN402" s="90" t="inlineStr">
        <is>
          <t>N/A</t>
        </is>
      </c>
      <c r="BO402" s="89" t="n">
        <v>26134.2</v>
      </c>
      <c r="BP402" s="89" t="n">
        <v>27266</v>
      </c>
      <c r="BQ402" s="90" t="inlineStr">
        <is>
          <t>N/A</t>
        </is>
      </c>
      <c r="BR402" s="90" t="inlineStr">
        <is>
          <t>N/A</t>
        </is>
      </c>
      <c r="BS402" s="90" t="inlineStr">
        <is>
          <t>N/A</t>
        </is>
      </c>
      <c r="BT402" s="90" t="inlineStr">
        <is>
          <t>N/A</t>
        </is>
      </c>
      <c r="BU402" s="90" t="inlineStr">
        <is>
          <t>N/A</t>
        </is>
      </c>
      <c r="BV402" s="90" t="inlineStr">
        <is>
          <t>N/A</t>
        </is>
      </c>
      <c r="BW402" s="89" t="n">
        <v>0</v>
      </c>
      <c r="BX402" s="89" t="n">
        <v>0</v>
      </c>
      <c r="BY402" s="89" t="n">
        <v>0</v>
      </c>
    </row>
    <row r="403" ht="17" customHeight="1">
      <c r="A403" s="82" t="n">
        <v>401</v>
      </c>
      <c r="B403" s="83" t="inlineStr">
        <is>
          <t>QRVO</t>
        </is>
      </c>
      <c r="C403" s="84" t="inlineStr">
        <is>
          <t>Qorvo, Inc.</t>
        </is>
      </c>
      <c r="D403" s="82" t="inlineStr">
        <is>
          <t>Information Technology</t>
        </is>
      </c>
      <c r="E403" s="82" t="n">
        <v>2026</v>
      </c>
      <c r="F403" s="85" t="n">
        <v>5825.6</v>
      </c>
      <c r="G403" s="85" t="n">
        <v>2306.3</v>
      </c>
      <c r="H403" s="85" t="n">
        <v>712.8</v>
      </c>
      <c r="I403" s="85" t="n">
        <v>2481.3</v>
      </c>
      <c r="J403" s="85" t="n">
        <v>38.8</v>
      </c>
      <c r="K403" s="85" t="n">
        <v>411.4</v>
      </c>
      <c r="L403" s="85" t="n">
        <v>3678.5</v>
      </c>
      <c r="M403" s="85" t="n">
        <v>339</v>
      </c>
      <c r="N403" s="85" t="n">
        <v>808.6</v>
      </c>
      <c r="O403" s="85" t="n">
        <v>1688.1</v>
      </c>
      <c r="P403" s="85" t="n">
        <v>1549.2</v>
      </c>
      <c r="Q403" s="85" t="n">
        <v>3344.3</v>
      </c>
      <c r="R403" s="85" t="n">
        <v>389.1</v>
      </c>
      <c r="S403" s="85" t="n">
        <v>151.3</v>
      </c>
      <c r="T403" s="85" t="n">
        <v>382.5</v>
      </c>
      <c r="U403" s="85" t="n">
        <v>710.4</v>
      </c>
      <c r="V403" s="85" t="n">
        <v>73.09999999999999</v>
      </c>
      <c r="W403" s="85" t="n">
        <v>5933.1</v>
      </c>
      <c r="X403" s="85" t="n">
        <v>2167.3</v>
      </c>
      <c r="Y403" s="85" t="n">
        <v>783.2</v>
      </c>
      <c r="Z403" s="85" t="n">
        <v>2540.8</v>
      </c>
      <c r="AA403" s="85" t="n">
        <v>95.5</v>
      </c>
      <c r="AB403" s="85" t="n">
        <v>3719</v>
      </c>
      <c r="AC403" s="85" t="n">
        <v>55.6</v>
      </c>
      <c r="AD403" s="85" t="n">
        <v>622.2</v>
      </c>
      <c r="AE403" s="85" t="n">
        <v>1535.6</v>
      </c>
      <c r="AF403" s="85" t="n">
        <v>1549.2</v>
      </c>
      <c r="AG403" s="85" t="n">
        <v>3392.3</v>
      </c>
      <c r="AH403" s="85" t="n">
        <v>3719</v>
      </c>
      <c r="AI403" s="85" t="n">
        <v>5933.1</v>
      </c>
      <c r="AJ403" s="85" t="n">
        <v>398.3</v>
      </c>
      <c r="AK403" s="85" t="n">
        <v>65.90000000000001</v>
      </c>
      <c r="AL403" s="85" t="n">
        <v>59.3</v>
      </c>
      <c r="AM403" s="85" t="n">
        <v>10.3</v>
      </c>
      <c r="AN403" s="85" t="n">
        <v>129.1</v>
      </c>
      <c r="AO403" s="85" t="n">
        <v>137.6</v>
      </c>
      <c r="AP403" s="85" t="n">
        <v>553.7</v>
      </c>
      <c r="AQ403" s="85" t="n">
        <v>641</v>
      </c>
      <c r="AR403" s="85" t="n">
        <v>2353.2</v>
      </c>
      <c r="AS403" s="85" t="n">
        <v>1400.6</v>
      </c>
      <c r="AT403" s="91" t="inlineStr">
        <is>
          <t>N/A</t>
        </is>
      </c>
      <c r="AU403" s="85" t="n">
        <v>726.1</v>
      </c>
      <c r="AV403" s="85" t="n">
        <v>1219</v>
      </c>
      <c r="AW403" s="85" t="n">
        <v>1021.2</v>
      </c>
      <c r="AX403" s="85" t="n">
        <v>1549.2</v>
      </c>
      <c r="AY403" s="85" t="n">
        <v>1549.2</v>
      </c>
      <c r="AZ403" s="85" t="n">
        <v>330.1</v>
      </c>
      <c r="BA403" s="85" t="n">
        <v>679.6</v>
      </c>
      <c r="BB403" s="85" t="n">
        <v>87.7</v>
      </c>
      <c r="BC403" s="85" t="n">
        <v>92.90000000000001</v>
      </c>
      <c r="BD403" s="85" t="n">
        <v>386.7</v>
      </c>
      <c r="BE403" s="85" t="n">
        <v>801.9</v>
      </c>
      <c r="BF403" s="85" t="n">
        <v>358.8</v>
      </c>
      <c r="BG403" s="85" t="n">
        <v>163.2</v>
      </c>
      <c r="BH403" s="85" t="n">
        <v>-43.6</v>
      </c>
      <c r="BI403" s="85" t="n">
        <v>36.6</v>
      </c>
      <c r="BJ403" s="85" t="n">
        <v>242.9</v>
      </c>
      <c r="BK403" s="85" t="n">
        <v>260.7</v>
      </c>
      <c r="BL403" s="85" t="n">
        <v>118.5</v>
      </c>
      <c r="BM403" s="85" t="n">
        <v>130.2</v>
      </c>
      <c r="BN403" s="85" t="n">
        <v>64.40000000000001</v>
      </c>
      <c r="BO403" s="85" t="n">
        <v>1990.4</v>
      </c>
      <c r="BP403" s="85" t="n">
        <v>2183.4</v>
      </c>
      <c r="BQ403" s="85" t="n">
        <v>0</v>
      </c>
      <c r="BR403" s="85" t="n">
        <v>0</v>
      </c>
      <c r="BS403" s="85" t="n">
        <v>0</v>
      </c>
      <c r="BT403" s="85" t="n">
        <v>0</v>
      </c>
      <c r="BU403" s="85" t="n">
        <v>0</v>
      </c>
      <c r="BV403" s="85" t="n">
        <v>0</v>
      </c>
      <c r="BW403" s="85" t="n">
        <v>0</v>
      </c>
      <c r="BX403" s="85" t="n">
        <v>0</v>
      </c>
      <c r="BY403" s="85" t="n">
        <v>0</v>
      </c>
    </row>
    <row r="404" ht="17" customHeight="1">
      <c r="A404" s="86" t="n">
        <v>402</v>
      </c>
      <c r="B404" s="87" t="inlineStr">
        <is>
          <t>STLD</t>
        </is>
      </c>
      <c r="C404" s="88" t="inlineStr">
        <is>
          <t>Steel Dynamics, Inc.</t>
        </is>
      </c>
      <c r="D404" s="86" t="inlineStr">
        <is>
          <t>Materials</t>
        </is>
      </c>
      <c r="E404" s="86" t="n">
        <v>2026</v>
      </c>
      <c r="F404" s="89" t="n">
        <v>16419.8</v>
      </c>
      <c r="G404" s="89" t="n">
        <v>6484.2</v>
      </c>
      <c r="H404" s="89" t="n">
        <v>2122.3</v>
      </c>
      <c r="I404" s="89" t="n">
        <v>7489.4</v>
      </c>
      <c r="J404" s="89" t="n">
        <v>15689</v>
      </c>
      <c r="K404" s="89" t="n">
        <v>1476</v>
      </c>
      <c r="L404" s="89" t="n">
        <v>22260.8</v>
      </c>
      <c r="M404" s="89" t="n">
        <v>1185.6</v>
      </c>
      <c r="N404" s="89" t="n">
        <v>1449.5</v>
      </c>
      <c r="O404" s="89" t="n">
        <v>2392.2</v>
      </c>
      <c r="P404" s="89" t="n">
        <v>4211.2</v>
      </c>
      <c r="Q404" s="89" t="n">
        <v>8957.200000000001</v>
      </c>
      <c r="R404" s="89" t="n">
        <v>765.3</v>
      </c>
      <c r="S404" s="89" t="n">
        <v>221.4</v>
      </c>
      <c r="T404" s="89" t="n">
        <v>1976.3</v>
      </c>
      <c r="U404" s="89" t="n">
        <v>8569.5</v>
      </c>
      <c r="V404" s="89" t="n">
        <v>76.5</v>
      </c>
      <c r="W404" s="89" t="n">
        <v>14935.2</v>
      </c>
      <c r="X404" s="89" t="n">
        <v>5431.3</v>
      </c>
      <c r="Y404" s="89" t="n">
        <v>2150.6</v>
      </c>
      <c r="Z404" s="89" t="n">
        <v>5990</v>
      </c>
      <c r="AA404" s="89" t="n">
        <v>1943</v>
      </c>
      <c r="AB404" s="89" t="n">
        <v>18408.8</v>
      </c>
      <c r="AC404" s="89" t="n">
        <v>1537.1</v>
      </c>
      <c r="AD404" s="89" t="n">
        <v>1844.5</v>
      </c>
      <c r="AE404" s="89" t="n">
        <v>2802.6</v>
      </c>
      <c r="AF404" s="89" t="n">
        <v>3231</v>
      </c>
      <c r="AG404" s="89" t="n">
        <v>8934.299999999999</v>
      </c>
      <c r="AH404" s="89" t="n">
        <v>18408.8</v>
      </c>
      <c r="AI404" s="89" t="n">
        <v>14935.2</v>
      </c>
      <c r="AJ404" s="89" t="n">
        <v>1493</v>
      </c>
      <c r="AK404" s="89" t="n">
        <v>1982.9</v>
      </c>
      <c r="AL404" s="89" t="n">
        <v>305.7</v>
      </c>
      <c r="AM404" s="89" t="n">
        <v>432.9</v>
      </c>
      <c r="AN404" s="89" t="n">
        <v>948</v>
      </c>
      <c r="AO404" s="89" t="n">
        <v>1868</v>
      </c>
      <c r="AP404" s="89" t="n">
        <v>3738.5</v>
      </c>
      <c r="AQ404" s="89" t="n">
        <v>3113.7</v>
      </c>
      <c r="AR404" s="89" t="n">
        <v>477.5</v>
      </c>
      <c r="AS404" s="89" t="n">
        <v>331.3</v>
      </c>
      <c r="AT404" s="89" t="n">
        <v>34.7</v>
      </c>
      <c r="AU404" s="90" t="inlineStr">
        <is>
          <t>N/A</t>
        </is>
      </c>
      <c r="AV404" s="89" t="n">
        <v>769.9</v>
      </c>
      <c r="AW404" s="89" t="n">
        <v>589.5</v>
      </c>
      <c r="AX404" s="89" t="n">
        <v>4245.8</v>
      </c>
      <c r="AY404" s="89" t="n">
        <v>3231</v>
      </c>
      <c r="AZ404" s="89" t="n">
        <v>3475.9</v>
      </c>
      <c r="BA404" s="89" t="n">
        <v>501.5</v>
      </c>
      <c r="BB404" s="89" t="n">
        <v>144.9</v>
      </c>
      <c r="BC404" s="89" t="n">
        <v>151.1</v>
      </c>
      <c r="BD404" s="89" t="n">
        <v>1911.4</v>
      </c>
      <c r="BE404" s="89" t="n">
        <v>8118</v>
      </c>
      <c r="BF404" s="89" t="n">
        <v>664.1</v>
      </c>
      <c r="BG404" s="89" t="n">
        <v>208.8</v>
      </c>
      <c r="BH404" s="89" t="n">
        <v>-975</v>
      </c>
      <c r="BI404" s="89" t="n">
        <v>-1303.4</v>
      </c>
      <c r="BJ404" s="89" t="n">
        <v>1007.3</v>
      </c>
      <c r="BK404" s="89" t="n">
        <v>1266.8</v>
      </c>
      <c r="BL404" s="90" t="inlineStr">
        <is>
          <t>N/A</t>
        </is>
      </c>
      <c r="BM404" s="90" t="inlineStr">
        <is>
          <t>N/A</t>
        </is>
      </c>
      <c r="BN404" s="89" t="n">
        <v>67.3</v>
      </c>
      <c r="BO404" s="89" t="n">
        <v>15784.4</v>
      </c>
      <c r="BP404" s="89" t="n">
        <v>14737.8</v>
      </c>
      <c r="BQ404" s="89" t="n">
        <v>0</v>
      </c>
      <c r="BR404" s="89" t="n">
        <v>0</v>
      </c>
      <c r="BS404" s="89" t="n">
        <v>0</v>
      </c>
      <c r="BT404" s="89" t="n">
        <v>0</v>
      </c>
      <c r="BU404" s="89" t="n">
        <v>0</v>
      </c>
      <c r="BV404" s="89" t="n">
        <v>0</v>
      </c>
      <c r="BW404" s="89" t="n">
        <v>0</v>
      </c>
      <c r="BX404" s="89" t="n">
        <v>0</v>
      </c>
      <c r="BY404" s="89" t="n">
        <v>0</v>
      </c>
    </row>
    <row r="405" ht="17" customHeight="1">
      <c r="A405" s="82" t="n">
        <v>403</v>
      </c>
      <c r="B405" s="83" t="inlineStr">
        <is>
          <t>LMT</t>
        </is>
      </c>
      <c r="C405" s="84" t="inlineStr">
        <is>
          <t>LOCKHEED MARTIN CORPORATION</t>
        </is>
      </c>
      <c r="D405" s="82" t="inlineStr">
        <is>
          <t>Industrials</t>
        </is>
      </c>
      <c r="E405" s="82" t="n">
        <v>2026</v>
      </c>
      <c r="F405" s="85" t="n">
        <v>59840</v>
      </c>
      <c r="G405" s="85" t="n">
        <v>25362</v>
      </c>
      <c r="H405" s="85" t="n">
        <v>23335</v>
      </c>
      <c r="I405" s="85" t="n">
        <v>53119</v>
      </c>
      <c r="J405" s="85" t="n">
        <v>14034</v>
      </c>
      <c r="K405" s="85" t="n">
        <v>7731</v>
      </c>
      <c r="L405" s="85" t="n">
        <v>75048</v>
      </c>
      <c r="M405" s="85" t="n">
        <v>5017</v>
      </c>
      <c r="N405" s="85" t="n">
        <v>8557</v>
      </c>
      <c r="O405" s="85" t="n">
        <v>7619</v>
      </c>
      <c r="P405" s="85" t="n">
        <v>21700</v>
      </c>
      <c r="Q405" s="85" t="n">
        <v>6721</v>
      </c>
      <c r="R405" s="91" t="inlineStr">
        <is>
          <t>N/A</t>
        </is>
      </c>
      <c r="S405" s="85" t="n">
        <v>1687</v>
      </c>
      <c r="T405" s="85" t="n">
        <v>3901</v>
      </c>
      <c r="U405" s="85" t="n">
        <v>8875</v>
      </c>
      <c r="V405" s="85" t="n">
        <v>916</v>
      </c>
      <c r="W405" s="85" t="n">
        <v>55617</v>
      </c>
      <c r="X405" s="85" t="n">
        <v>21849</v>
      </c>
      <c r="Y405" s="85" t="n">
        <v>19420</v>
      </c>
      <c r="Z405" s="85" t="n">
        <v>49284</v>
      </c>
      <c r="AA405" s="85" t="n">
        <v>7013</v>
      </c>
      <c r="AB405" s="85" t="n">
        <v>71043</v>
      </c>
      <c r="AC405" s="85" t="n">
        <v>5336</v>
      </c>
      <c r="AD405" s="85" t="n">
        <v>6972</v>
      </c>
      <c r="AE405" s="85" t="n">
        <v>6930</v>
      </c>
      <c r="AF405" s="85" t="n">
        <v>20270</v>
      </c>
      <c r="AG405" s="85" t="n">
        <v>6333</v>
      </c>
      <c r="AH405" s="85" t="n">
        <v>71043</v>
      </c>
      <c r="AI405" s="85" t="n">
        <v>55617</v>
      </c>
      <c r="AJ405" s="85" t="n">
        <v>5922</v>
      </c>
      <c r="AK405" s="85" t="n">
        <v>6220</v>
      </c>
      <c r="AL405" s="85" t="n">
        <v>905</v>
      </c>
      <c r="AM405" s="85" t="n">
        <v>884</v>
      </c>
      <c r="AN405" s="85" t="n">
        <v>942</v>
      </c>
      <c r="AO405" s="85" t="n">
        <v>987</v>
      </c>
      <c r="AP405" s="85" t="n">
        <v>3524</v>
      </c>
      <c r="AQ405" s="85" t="n">
        <v>3474</v>
      </c>
      <c r="AR405" s="85" t="n">
        <v>11314</v>
      </c>
      <c r="AS405" s="85" t="n">
        <v>1050</v>
      </c>
      <c r="AT405" s="85" t="n">
        <v>6</v>
      </c>
      <c r="AU405" s="85" t="n">
        <v>2000</v>
      </c>
      <c r="AV405" s="85" t="n">
        <v>4121</v>
      </c>
      <c r="AW405" s="85" t="n">
        <v>2483</v>
      </c>
      <c r="AX405" s="85" t="n">
        <v>21706</v>
      </c>
      <c r="AY405" s="85" t="n">
        <v>20770</v>
      </c>
      <c r="AZ405" s="85" t="n">
        <v>17585</v>
      </c>
      <c r="BA405" s="85" t="n">
        <v>7615</v>
      </c>
      <c r="BB405" s="85" t="n">
        <v>229</v>
      </c>
      <c r="BC405" s="85" t="n">
        <v>234</v>
      </c>
      <c r="BD405" s="85" t="n">
        <v>2351</v>
      </c>
      <c r="BE405" s="85" t="n">
        <v>8726</v>
      </c>
      <c r="BF405" s="91" t="inlineStr">
        <is>
          <t>N/A</t>
        </is>
      </c>
      <c r="BG405" s="85" t="n">
        <v>1559</v>
      </c>
      <c r="BH405" s="85" t="n">
        <v>-1977</v>
      </c>
      <c r="BI405" s="85" t="n">
        <v>-1792</v>
      </c>
      <c r="BJ405" s="85" t="n">
        <v>3630</v>
      </c>
      <c r="BK405" s="85" t="n">
        <v>2222</v>
      </c>
      <c r="BL405" s="85" t="n">
        <v>11440</v>
      </c>
      <c r="BM405" s="85" t="n">
        <v>9795</v>
      </c>
      <c r="BN405" s="91" t="inlineStr">
        <is>
          <t>N/A</t>
        </is>
      </c>
      <c r="BO405" s="85" t="n">
        <v>57983</v>
      </c>
      <c r="BP405" s="85" t="n">
        <v>56744</v>
      </c>
      <c r="BQ405" s="85" t="n">
        <v>0</v>
      </c>
      <c r="BR405" s="85" t="n">
        <v>0</v>
      </c>
      <c r="BS405" s="85" t="n">
        <v>0</v>
      </c>
      <c r="BT405" s="85" t="n">
        <v>0</v>
      </c>
      <c r="BU405" s="85" t="n">
        <v>0</v>
      </c>
      <c r="BV405" s="85" t="n">
        <v>0</v>
      </c>
      <c r="BW405" s="85" t="n">
        <v>0</v>
      </c>
      <c r="BX405" s="85" t="n">
        <v>0</v>
      </c>
      <c r="BY405" s="85" t="n">
        <v>0</v>
      </c>
    </row>
    <row r="406" ht="17" customHeight="1">
      <c r="A406" s="86" t="n">
        <v>404</v>
      </c>
      <c r="B406" s="87" t="inlineStr">
        <is>
          <t>FN</t>
        </is>
      </c>
      <c r="C406" s="88" t="inlineStr">
        <is>
          <t>FABRINET</t>
        </is>
      </c>
      <c r="D406" s="86" t="inlineStr">
        <is>
          <t>Information Technology</t>
        </is>
      </c>
      <c r="E406" s="86" t="n">
        <v>2026</v>
      </c>
      <c r="F406" s="89" t="n">
        <v>2831.4</v>
      </c>
      <c r="G406" s="89" t="n">
        <v>2428.8</v>
      </c>
      <c r="H406" s="89" t="n">
        <v>809.8</v>
      </c>
      <c r="I406" s="89" t="n">
        <v>849.6</v>
      </c>
      <c r="J406" s="89" t="n">
        <v>2093.3</v>
      </c>
      <c r="K406" s="89" t="n">
        <v>324.4</v>
      </c>
      <c r="L406" s="89" t="n">
        <v>3419.3</v>
      </c>
      <c r="M406" s="89" t="n">
        <v>332.5</v>
      </c>
      <c r="N406" s="89" t="n">
        <v>328.4</v>
      </c>
      <c r="O406" s="89" t="n">
        <v>413.3</v>
      </c>
      <c r="P406" s="89" t="n">
        <v>28.9</v>
      </c>
      <c r="Q406" s="89" t="n">
        <v>1981.8</v>
      </c>
      <c r="R406" s="89" t="n">
        <v>87.5</v>
      </c>
      <c r="S406" s="89" t="n">
        <v>53.4</v>
      </c>
      <c r="T406" s="89" t="n">
        <v>758.9</v>
      </c>
      <c r="U406" s="89" t="n">
        <v>380.6</v>
      </c>
      <c r="V406" s="89" t="n">
        <v>1.5</v>
      </c>
      <c r="W406" s="89" t="n">
        <v>2338.5</v>
      </c>
      <c r="X406" s="89" t="n">
        <v>2012.7</v>
      </c>
      <c r="Y406" s="89" t="n">
        <v>557.9</v>
      </c>
      <c r="Z406" s="89" t="n">
        <v>592.8</v>
      </c>
      <c r="AA406" s="89" t="n">
        <v>277.6</v>
      </c>
      <c r="AB406" s="89" t="n">
        <v>2883</v>
      </c>
      <c r="AC406" s="89" t="n">
        <v>296.2</v>
      </c>
      <c r="AD406" s="89" t="n">
        <v>413.1</v>
      </c>
      <c r="AE406" s="89" t="n">
        <v>356.1</v>
      </c>
      <c r="AF406" s="89" t="n">
        <v>38.6</v>
      </c>
      <c r="AG406" s="89" t="n">
        <v>1745.7</v>
      </c>
      <c r="AH406" s="89" t="n">
        <v>2883</v>
      </c>
      <c r="AI406" s="89" t="n">
        <v>2338.5</v>
      </c>
      <c r="AJ406" s="89" t="n">
        <v>355.2</v>
      </c>
      <c r="AK406" s="89" t="n">
        <v>311.4</v>
      </c>
      <c r="AL406" s="89" t="n">
        <v>22.7</v>
      </c>
      <c r="AM406" s="89" t="n">
        <v>15.2</v>
      </c>
      <c r="AN406" s="89" t="n">
        <v>121.1</v>
      </c>
      <c r="AO406" s="89" t="n">
        <v>47.5</v>
      </c>
      <c r="AP406" s="89" t="n">
        <v>581</v>
      </c>
      <c r="AQ406" s="89" t="n">
        <v>463.2</v>
      </c>
      <c r="AR406" s="89" t="n">
        <v>3.7</v>
      </c>
      <c r="AS406" s="89" t="n">
        <v>2.2</v>
      </c>
      <c r="AT406" s="89" t="n">
        <v>1</v>
      </c>
      <c r="AU406" s="90" t="inlineStr">
        <is>
          <t>N/A</t>
        </is>
      </c>
      <c r="AV406" s="89" t="n">
        <v>306.4</v>
      </c>
      <c r="AW406" s="89" t="n">
        <v>410</v>
      </c>
      <c r="AX406" s="89" t="n">
        <v>29.9</v>
      </c>
      <c r="AY406" s="89" t="n">
        <v>39.6</v>
      </c>
      <c r="AZ406" s="89" t="n">
        <v>-276.5</v>
      </c>
      <c r="BA406" s="89" t="n">
        <v>207.3</v>
      </c>
      <c r="BB406" s="89" t="n">
        <v>35.7</v>
      </c>
      <c r="BC406" s="89" t="n">
        <v>36.1</v>
      </c>
      <c r="BD406" s="89" t="n">
        <v>592.5</v>
      </c>
      <c r="BE406" s="89" t="n">
        <v>307.2</v>
      </c>
      <c r="BF406" s="89" t="n">
        <v>78.5</v>
      </c>
      <c r="BG406" s="89" t="n">
        <v>49</v>
      </c>
      <c r="BH406" s="89" t="n">
        <v>-286.3</v>
      </c>
      <c r="BI406" s="89" t="n">
        <v>-169.8</v>
      </c>
      <c r="BJ406" s="90" t="inlineStr">
        <is>
          <t>N/A</t>
        </is>
      </c>
      <c r="BK406" s="90" t="inlineStr">
        <is>
          <t>N/A</t>
        </is>
      </c>
      <c r="BL406" s="89" t="n">
        <v>14.5</v>
      </c>
      <c r="BM406" s="89" t="n">
        <v>7.8</v>
      </c>
      <c r="BN406" s="89" t="n">
        <v>7.9</v>
      </c>
      <c r="BO406" s="89" t="n">
        <v>3006</v>
      </c>
      <c r="BP406" s="89" t="n">
        <v>2526.8</v>
      </c>
      <c r="BQ406" s="89" t="n">
        <v>0</v>
      </c>
      <c r="BR406" s="89" t="n">
        <v>0</v>
      </c>
      <c r="BS406" s="89" t="n">
        <v>0</v>
      </c>
      <c r="BT406" s="89" t="n">
        <v>0</v>
      </c>
      <c r="BU406" s="89" t="n">
        <v>0</v>
      </c>
      <c r="BV406" s="90" t="inlineStr">
        <is>
          <t>N/A</t>
        </is>
      </c>
      <c r="BW406" s="89" t="n">
        <v>0</v>
      </c>
      <c r="BX406" s="89" t="n">
        <v>0</v>
      </c>
      <c r="BY406" s="89" t="n">
        <v>0</v>
      </c>
    </row>
    <row r="407" ht="17" customHeight="1">
      <c r="A407" s="82" t="n">
        <v>405</v>
      </c>
      <c r="B407" s="83" t="inlineStr">
        <is>
          <t>DD</t>
        </is>
      </c>
      <c r="C407" s="84" t="inlineStr">
        <is>
          <t>DUPONT DE NEMOURS, INC.</t>
        </is>
      </c>
      <c r="D407" s="82" t="inlineStr">
        <is>
          <t>Materials</t>
        </is>
      </c>
      <c r="E407" s="82" t="n">
        <v>2026</v>
      </c>
      <c r="F407" s="85" t="n">
        <v>21575</v>
      </c>
      <c r="G407" s="85" t="n">
        <v>5575</v>
      </c>
      <c r="H407" s="85" t="n">
        <v>2305</v>
      </c>
      <c r="I407" s="85" t="n">
        <v>7472</v>
      </c>
      <c r="J407" s="85" t="n">
        <v>-24278</v>
      </c>
      <c r="K407" s="85" t="n">
        <v>200</v>
      </c>
      <c r="L407" s="85" t="n">
        <v>20397</v>
      </c>
      <c r="M407" s="85" t="n">
        <v>-779</v>
      </c>
      <c r="N407" s="85" t="n">
        <v>588</v>
      </c>
      <c r="O407" s="85" t="n">
        <v>20644</v>
      </c>
      <c r="P407" s="85" t="n">
        <v>7859</v>
      </c>
      <c r="Q407" s="85" t="n">
        <v>13919</v>
      </c>
      <c r="R407" s="85" t="n">
        <v>1019</v>
      </c>
      <c r="S407" s="85" t="n">
        <v>647</v>
      </c>
      <c r="T407" s="85" t="n">
        <v>910</v>
      </c>
      <c r="U407" s="85" t="n">
        <v>9985</v>
      </c>
      <c r="V407" s="91" t="inlineStr">
        <is>
          <t>N/A</t>
        </is>
      </c>
      <c r="W407" s="85" t="n">
        <v>36636</v>
      </c>
      <c r="X407" s="85" t="n">
        <v>6364</v>
      </c>
      <c r="Y407" s="85" t="n">
        <v>4801</v>
      </c>
      <c r="Z407" s="85" t="n">
        <v>12843</v>
      </c>
      <c r="AA407" s="85" t="n">
        <v>-66</v>
      </c>
      <c r="AB407" s="85" t="n">
        <v>5252</v>
      </c>
      <c r="AC407" s="85" t="n">
        <v>-126</v>
      </c>
      <c r="AD407" s="85" t="n">
        <v>2281</v>
      </c>
      <c r="AE407" s="85" t="n">
        <v>4532</v>
      </c>
      <c r="AF407" s="85" t="n">
        <v>8145</v>
      </c>
      <c r="AG407" s="85" t="n">
        <v>23350</v>
      </c>
      <c r="AH407" s="85" t="n">
        <v>21512</v>
      </c>
      <c r="AI407" s="85" t="n">
        <v>36636</v>
      </c>
      <c r="AJ407" s="85" t="n">
        <v>200</v>
      </c>
      <c r="AK407" s="85" t="n">
        <v>-66</v>
      </c>
      <c r="AL407" s="85" t="n">
        <v>102</v>
      </c>
      <c r="AM407" s="85" t="n">
        <v>414</v>
      </c>
      <c r="AN407" s="85" t="n">
        <v>333</v>
      </c>
      <c r="AO407" s="85" t="n">
        <v>579</v>
      </c>
      <c r="AP407" s="85" t="n">
        <v>1172</v>
      </c>
      <c r="AQ407" s="85" t="n">
        <v>2130</v>
      </c>
      <c r="AR407" s="85" t="n">
        <v>7915</v>
      </c>
      <c r="AS407" s="85" t="n">
        <v>2533</v>
      </c>
      <c r="AT407" s="85" t="n">
        <v>60</v>
      </c>
      <c r="AU407" s="85" t="n">
        <v>193</v>
      </c>
      <c r="AV407" s="85" t="n">
        <v>715</v>
      </c>
      <c r="AW407" s="85" t="n">
        <v>1850</v>
      </c>
      <c r="AX407" s="85" t="n">
        <v>7919</v>
      </c>
      <c r="AY407" s="85" t="n">
        <v>8145</v>
      </c>
      <c r="AZ407" s="85" t="n">
        <v>7204</v>
      </c>
      <c r="BA407" s="85" t="n">
        <v>255</v>
      </c>
      <c r="BB407" s="85" t="n">
        <v>734.2</v>
      </c>
      <c r="BC407" s="85" t="n">
        <v>738.6</v>
      </c>
      <c r="BD407" s="85" t="n">
        <v>1534</v>
      </c>
      <c r="BE407" s="85" t="n">
        <v>10143</v>
      </c>
      <c r="BF407" s="85" t="n">
        <v>1552</v>
      </c>
      <c r="BG407" s="85" t="n">
        <v>1194</v>
      </c>
      <c r="BH407" s="85" t="n">
        <v>8923</v>
      </c>
      <c r="BI407" s="85" t="n">
        <v>-2401</v>
      </c>
      <c r="BJ407" s="85" t="n">
        <v>995</v>
      </c>
      <c r="BK407" s="85" t="n">
        <v>1720</v>
      </c>
      <c r="BL407" s="85" t="n">
        <v>2565</v>
      </c>
      <c r="BM407" s="85" t="n">
        <v>2606</v>
      </c>
      <c r="BN407" s="85" t="n">
        <v>54</v>
      </c>
      <c r="BO407" s="85" t="n">
        <v>4486</v>
      </c>
      <c r="BP407" s="85" t="n">
        <v>1095</v>
      </c>
      <c r="BQ407" s="85" t="n">
        <v>0</v>
      </c>
      <c r="BR407" s="85" t="n">
        <v>0</v>
      </c>
      <c r="BS407" s="85" t="n">
        <v>0</v>
      </c>
      <c r="BT407" s="85" t="n">
        <v>0</v>
      </c>
      <c r="BU407" s="85" t="n">
        <v>0</v>
      </c>
      <c r="BV407" s="85" t="n">
        <v>0</v>
      </c>
      <c r="BW407" s="85" t="n">
        <v>0</v>
      </c>
      <c r="BX407" s="85" t="n">
        <v>0</v>
      </c>
      <c r="BY407" s="85" t="n">
        <v>0</v>
      </c>
    </row>
    <row r="408" ht="17" customHeight="1">
      <c r="A408" s="86" t="n">
        <v>406</v>
      </c>
      <c r="B408" s="87" t="inlineStr">
        <is>
          <t>DE</t>
        </is>
      </c>
      <c r="C408" s="88" t="inlineStr">
        <is>
          <t>DEERE &amp; CO</t>
        </is>
      </c>
      <c r="D408" s="86" t="inlineStr">
        <is>
          <t>Industrials</t>
        </is>
      </c>
      <c r="E408" s="86" t="n">
        <v>2026</v>
      </c>
      <c r="F408" s="89" t="n">
        <v>105996</v>
      </c>
      <c r="G408" s="90" t="inlineStr">
        <is>
          <t>N/A</t>
        </is>
      </c>
      <c r="H408" s="90" t="inlineStr">
        <is>
          <t>N/A</t>
        </is>
      </c>
      <c r="I408" s="89" t="n">
        <v>79989</v>
      </c>
      <c r="J408" s="89" t="n">
        <v>59676</v>
      </c>
      <c r="K408" s="89" t="n">
        <v>9039</v>
      </c>
      <c r="L408" s="89" t="n">
        <v>45684</v>
      </c>
      <c r="M408" s="89" t="n">
        <v>5027</v>
      </c>
      <c r="N408" s="89" t="n">
        <v>7459</v>
      </c>
      <c r="O408" s="89" t="n">
        <v>2189</v>
      </c>
      <c r="P408" s="89" t="n">
        <v>32888</v>
      </c>
      <c r="Q408" s="89" t="n">
        <v>25950</v>
      </c>
      <c r="R408" s="89" t="n">
        <v>4663</v>
      </c>
      <c r="S408" s="89" t="n">
        <v>2229</v>
      </c>
      <c r="T408" s="89" t="n">
        <v>5317</v>
      </c>
      <c r="U408" s="89" t="n">
        <v>5973</v>
      </c>
      <c r="V408" s="89" t="n">
        <v>3170</v>
      </c>
      <c r="W408" s="89" t="n">
        <v>107320</v>
      </c>
      <c r="X408" s="90" t="inlineStr">
        <is>
          <t>N/A</t>
        </is>
      </c>
      <c r="Y408" s="90" t="inlineStr">
        <is>
          <t>N/A</t>
        </is>
      </c>
      <c r="Z408" s="89" t="n">
        <v>84395</v>
      </c>
      <c r="AA408" s="89" t="n">
        <v>12958</v>
      </c>
      <c r="AB408" s="89" t="n">
        <v>51716</v>
      </c>
      <c r="AC408" s="89" t="n">
        <v>7100</v>
      </c>
      <c r="AD408" s="89" t="n">
        <v>9231</v>
      </c>
      <c r="AE408" s="89" t="n">
        <v>2024</v>
      </c>
      <c r="AF408" s="89" t="n">
        <v>32734</v>
      </c>
      <c r="AG408" s="89" t="n">
        <v>22836</v>
      </c>
      <c r="AH408" s="89" t="n">
        <v>51716</v>
      </c>
      <c r="AI408" s="89" t="n">
        <v>107320</v>
      </c>
      <c r="AJ408" s="89" t="n">
        <v>2700</v>
      </c>
      <c r="AK408" s="90" t="inlineStr">
        <is>
          <t>N/A</t>
        </is>
      </c>
      <c r="AL408" s="89" t="n">
        <v>1259</v>
      </c>
      <c r="AM408" s="89" t="n">
        <v>2094</v>
      </c>
      <c r="AN408" s="89" t="n">
        <v>1360</v>
      </c>
      <c r="AO408" s="89" t="n">
        <v>1640</v>
      </c>
      <c r="AP408" s="89" t="n">
        <v>7406</v>
      </c>
      <c r="AQ408" s="89" t="n">
        <v>7093</v>
      </c>
      <c r="AR408" s="89" t="n">
        <v>4188</v>
      </c>
      <c r="AS408" s="89" t="n">
        <v>892</v>
      </c>
      <c r="AT408" s="89" t="n">
        <v>13796</v>
      </c>
      <c r="AU408" s="89" t="n">
        <v>2311</v>
      </c>
      <c r="AV408" s="89" t="n">
        <v>8276</v>
      </c>
      <c r="AW408" s="89" t="n">
        <v>7324</v>
      </c>
      <c r="AX408" s="89" t="n">
        <v>46684</v>
      </c>
      <c r="AY408" s="89" t="n">
        <v>46267</v>
      </c>
      <c r="AZ408" s="89" t="n">
        <v>38408</v>
      </c>
      <c r="BA408" s="89" t="n">
        <v>6099</v>
      </c>
      <c r="BB408" s="89" t="n">
        <v>270.4</v>
      </c>
      <c r="BC408" s="89" t="n">
        <v>271.8</v>
      </c>
      <c r="BD408" s="89" t="n">
        <v>5326</v>
      </c>
      <c r="BE408" s="89" t="n">
        <v>5867.5</v>
      </c>
      <c r="BF408" s="89" t="n">
        <v>4840</v>
      </c>
      <c r="BG408" s="89" t="n">
        <v>2118</v>
      </c>
      <c r="BH408" s="89" t="n">
        <v>-2057</v>
      </c>
      <c r="BI408" s="89" t="n">
        <v>-6464</v>
      </c>
      <c r="BJ408" s="90" t="inlineStr">
        <is>
          <t>N/A</t>
        </is>
      </c>
      <c r="BK408" s="90" t="inlineStr">
        <is>
          <t>N/A</t>
        </is>
      </c>
      <c r="BL408" s="89" t="n">
        <v>837</v>
      </c>
      <c r="BM408" s="89" t="n">
        <v>744</v>
      </c>
      <c r="BN408" s="90" t="inlineStr">
        <is>
          <t>N/A</t>
        </is>
      </c>
      <c r="BO408" s="89" t="n">
        <v>19933.5</v>
      </c>
      <c r="BP408" s="89" t="n">
        <v>18248.9</v>
      </c>
      <c r="BQ408" s="89" t="n">
        <v>0</v>
      </c>
      <c r="BR408" s="89" t="n">
        <v>0</v>
      </c>
      <c r="BS408" s="89" t="n">
        <v>0</v>
      </c>
      <c r="BT408" s="89" t="n">
        <v>0</v>
      </c>
      <c r="BU408" s="90" t="inlineStr">
        <is>
          <t>N/A</t>
        </is>
      </c>
      <c r="BV408" s="90" t="inlineStr">
        <is>
          <t>N/A</t>
        </is>
      </c>
      <c r="BW408" s="89" t="n">
        <v>0</v>
      </c>
      <c r="BX408" s="89" t="n">
        <v>0</v>
      </c>
      <c r="BY408" s="89" t="n">
        <v>0</v>
      </c>
    </row>
    <row r="409" ht="17" customHeight="1">
      <c r="A409" s="82" t="n">
        <v>407</v>
      </c>
      <c r="B409" s="83" t="inlineStr">
        <is>
          <t>AJG</t>
        </is>
      </c>
      <c r="C409" s="84" t="inlineStr">
        <is>
          <t>ARTHUR J. GALLAGHER &amp; CO.</t>
        </is>
      </c>
      <c r="D409" s="82" t="inlineStr">
        <is>
          <t>Financials</t>
        </is>
      </c>
      <c r="E409" s="82" t="n">
        <v>2026</v>
      </c>
      <c r="F409" s="85" t="n">
        <v>70665</v>
      </c>
      <c r="G409" s="85" t="n">
        <v>34356</v>
      </c>
      <c r="H409" s="85" t="n">
        <v>32519</v>
      </c>
      <c r="I409" s="85" t="n">
        <v>47318</v>
      </c>
      <c r="J409" s="85" t="n">
        <v>5806</v>
      </c>
      <c r="K409" s="85" t="n">
        <v>1871</v>
      </c>
      <c r="L409" s="85" t="n">
        <v>1721.4</v>
      </c>
      <c r="M409" s="85" t="n">
        <v>1494</v>
      </c>
      <c r="N409" s="85" t="n">
        <v>1930</v>
      </c>
      <c r="O409" s="85" t="n">
        <v>1698.5</v>
      </c>
      <c r="P409" s="85" t="n">
        <v>12873</v>
      </c>
      <c r="Q409" s="85" t="n">
        <v>23321</v>
      </c>
      <c r="R409" s="91" t="inlineStr">
        <is>
          <t>N/A</t>
        </is>
      </c>
      <c r="S409" s="85" t="n">
        <v>206</v>
      </c>
      <c r="T409" s="85" t="n">
        <v>5175</v>
      </c>
      <c r="U409" s="85" t="n">
        <v>789</v>
      </c>
      <c r="V409" s="85" t="n">
        <v>639</v>
      </c>
      <c r="W409" s="85" t="n">
        <v>64255.2</v>
      </c>
      <c r="X409" s="85" t="n">
        <v>44113.3</v>
      </c>
      <c r="Y409" s="85" t="n">
        <v>29260.8</v>
      </c>
      <c r="Z409" s="85" t="n">
        <v>44075.6</v>
      </c>
      <c r="AA409" s="85" t="n">
        <v>1874.8</v>
      </c>
      <c r="AB409" s="85" t="n">
        <v>1825.2</v>
      </c>
      <c r="AC409" s="85" t="n">
        <v>1462.7</v>
      </c>
      <c r="AD409" s="85" t="n">
        <v>2582.9</v>
      </c>
      <c r="AE409" s="85" t="n">
        <v>1802.3</v>
      </c>
      <c r="AF409" s="85" t="n">
        <v>23</v>
      </c>
      <c r="AG409" s="85" t="n">
        <v>20153.5</v>
      </c>
      <c r="AH409" s="85" t="n">
        <v>1657.8</v>
      </c>
      <c r="AI409" s="85" t="n">
        <v>64255</v>
      </c>
      <c r="AJ409" s="85" t="n">
        <v>1871</v>
      </c>
      <c r="AK409" s="85" t="n">
        <v>1874.8</v>
      </c>
      <c r="AL409" s="85" t="n">
        <v>368</v>
      </c>
      <c r="AM409" s="85" t="n">
        <v>404.4</v>
      </c>
      <c r="AN409" s="85" t="n">
        <v>217.8</v>
      </c>
      <c r="AO409" s="85" t="n">
        <v>99</v>
      </c>
      <c r="AP409" s="91" t="inlineStr">
        <is>
          <t>N/A</t>
        </is>
      </c>
      <c r="AQ409" s="91" t="inlineStr">
        <is>
          <t>N/A</t>
        </is>
      </c>
      <c r="AR409" s="85" t="n">
        <v>22593</v>
      </c>
      <c r="AS409" s="85" t="n">
        <v>10684</v>
      </c>
      <c r="AT409" s="85" t="n">
        <v>640</v>
      </c>
      <c r="AU409" s="91" t="inlineStr">
        <is>
          <t>N/A</t>
        </is>
      </c>
      <c r="AV409" s="85" t="n">
        <v>342.3</v>
      </c>
      <c r="AW409" s="85" t="n">
        <v>738.4</v>
      </c>
      <c r="AX409" s="85" t="n">
        <v>13513</v>
      </c>
      <c r="AY409" s="85" t="n">
        <v>223</v>
      </c>
      <c r="AZ409" s="85" t="n">
        <v>13170.7</v>
      </c>
      <c r="BA409" s="85" t="n">
        <v>1712.2</v>
      </c>
      <c r="BB409" s="85" t="n">
        <v>257</v>
      </c>
      <c r="BC409" s="85" t="n">
        <v>250</v>
      </c>
      <c r="BD409" s="85" t="n">
        <v>3895.9</v>
      </c>
      <c r="BE409" s="85" t="n">
        <v>650.3</v>
      </c>
      <c r="BF409" s="91" t="inlineStr">
        <is>
          <t>N/A</t>
        </is>
      </c>
      <c r="BG409" s="85" t="n">
        <v>177.5</v>
      </c>
      <c r="BH409" s="85" t="n">
        <v>-15876</v>
      </c>
      <c r="BI409" s="85" t="n">
        <v>-1587.4</v>
      </c>
      <c r="BJ409" s="91" t="inlineStr">
        <is>
          <t>N/A</t>
        </is>
      </c>
      <c r="BK409" s="91" t="inlineStr">
        <is>
          <t>N/A</t>
        </is>
      </c>
      <c r="BL409" s="85" t="n">
        <v>737</v>
      </c>
      <c r="BM409" s="85" t="n">
        <v>537.2</v>
      </c>
      <c r="BN409" s="91" t="inlineStr">
        <is>
          <t>N/A</t>
        </is>
      </c>
      <c r="BO409" s="85" t="n">
        <v>22.9</v>
      </c>
      <c r="BP409" s="85" t="n">
        <v>22.9</v>
      </c>
      <c r="BQ409" s="85" t="n">
        <v>0</v>
      </c>
      <c r="BR409" s="85" t="n">
        <v>0</v>
      </c>
      <c r="BS409" s="91" t="inlineStr">
        <is>
          <t>N/A</t>
        </is>
      </c>
      <c r="BT409" s="91" t="inlineStr">
        <is>
          <t>N/A</t>
        </is>
      </c>
      <c r="BU409" s="91" t="inlineStr">
        <is>
          <t>N/A</t>
        </is>
      </c>
      <c r="BV409" s="91" t="inlineStr">
        <is>
          <t>N/A</t>
        </is>
      </c>
      <c r="BW409" s="85" t="n">
        <v>0</v>
      </c>
      <c r="BX409" s="85" t="n">
        <v>0</v>
      </c>
      <c r="BY409" s="85" t="n">
        <v>0</v>
      </c>
    </row>
    <row r="410" ht="17" customHeight="1">
      <c r="A410" s="86" t="n">
        <v>408</v>
      </c>
      <c r="B410" s="87" t="inlineStr">
        <is>
          <t>ATI</t>
        </is>
      </c>
      <c r="C410" s="88" t="inlineStr">
        <is>
          <t>ATI INC</t>
        </is>
      </c>
      <c r="D410" s="86" t="inlineStr">
        <is>
          <t>Industrials</t>
        </is>
      </c>
      <c r="E410" s="86" t="n">
        <v>2026</v>
      </c>
      <c r="F410" s="89" t="n">
        <v>5099.6</v>
      </c>
      <c r="G410" s="89" t="n">
        <v>2680</v>
      </c>
      <c r="H410" s="89" t="n">
        <v>1006.3</v>
      </c>
      <c r="I410" s="89" t="n">
        <v>3182.9</v>
      </c>
      <c r="J410" s="89" t="n">
        <v>468.7</v>
      </c>
      <c r="K410" s="89" t="n">
        <v>640.9</v>
      </c>
      <c r="L410" s="89" t="n">
        <v>4043.5</v>
      </c>
      <c r="M410" s="89" t="n">
        <v>404.3</v>
      </c>
      <c r="N410" s="89" t="n">
        <v>614.3</v>
      </c>
      <c r="O410" s="89" t="n">
        <v>1007</v>
      </c>
      <c r="P410" s="90" t="inlineStr">
        <is>
          <t>N/A</t>
        </is>
      </c>
      <c r="Q410" s="89" t="n">
        <v>1804.5</v>
      </c>
      <c r="R410" s="89" t="n">
        <v>365.1</v>
      </c>
      <c r="S410" s="89" t="n">
        <v>168.1</v>
      </c>
      <c r="T410" s="89" t="n">
        <v>686.1</v>
      </c>
      <c r="U410" s="89" t="n">
        <v>1940.6</v>
      </c>
      <c r="V410" s="89" t="n">
        <v>110.7</v>
      </c>
      <c r="W410" s="89" t="n">
        <v>5230.6</v>
      </c>
      <c r="X410" s="89" t="n">
        <v>2945</v>
      </c>
      <c r="Y410" s="89" t="n">
        <v>1208.5</v>
      </c>
      <c r="Z410" s="89" t="n">
        <v>3275.4</v>
      </c>
      <c r="AA410" s="89" t="n">
        <v>608.9</v>
      </c>
      <c r="AB410" s="89" t="n">
        <v>4666.9</v>
      </c>
      <c r="AC410" s="89" t="n">
        <v>367.8</v>
      </c>
      <c r="AD410" s="89" t="n">
        <v>407.2</v>
      </c>
      <c r="AE410" s="89" t="n">
        <v>898.2</v>
      </c>
      <c r="AF410" s="90" t="inlineStr">
        <is>
          <t>N/A</t>
        </is>
      </c>
      <c r="AG410" s="89" t="n">
        <v>1850.4</v>
      </c>
      <c r="AH410" s="89" t="n">
        <v>5031.5</v>
      </c>
      <c r="AI410" s="89" t="n">
        <v>5230.6</v>
      </c>
      <c r="AJ410" s="89" t="n">
        <v>522.3</v>
      </c>
      <c r="AK410" s="89" t="n">
        <v>486.1</v>
      </c>
      <c r="AL410" s="89" t="n">
        <v>103.7</v>
      </c>
      <c r="AM410" s="89" t="n">
        <v>103.4</v>
      </c>
      <c r="AN410" s="89" t="n">
        <v>280.6</v>
      </c>
      <c r="AO410" s="89" t="n">
        <v>239.1</v>
      </c>
      <c r="AP410" s="89" t="n">
        <v>1403.2</v>
      </c>
      <c r="AQ410" s="89" t="n">
        <v>1353</v>
      </c>
      <c r="AR410" s="89" t="n">
        <v>225.2</v>
      </c>
      <c r="AS410" s="90" t="inlineStr">
        <is>
          <t>N/A</t>
        </is>
      </c>
      <c r="AT410" s="89" t="n">
        <v>31.1</v>
      </c>
      <c r="AU410" s="89" t="n">
        <v>21.3</v>
      </c>
      <c r="AV410" s="89" t="n">
        <v>416.7</v>
      </c>
      <c r="AW410" s="89" t="n">
        <v>721.2</v>
      </c>
      <c r="AX410" s="89" t="n">
        <v>31.1</v>
      </c>
      <c r="AY410" s="90" t="inlineStr">
        <is>
          <t>N/A</t>
        </is>
      </c>
      <c r="AZ410" s="89" t="n">
        <v>-385.6</v>
      </c>
      <c r="BA410" s="89" t="n">
        <v>333.7</v>
      </c>
      <c r="BB410" s="89" t="n">
        <v>135.9</v>
      </c>
      <c r="BC410" s="89" t="n">
        <v>141.4</v>
      </c>
      <c r="BD410" s="89" t="n">
        <v>709.2</v>
      </c>
      <c r="BE410" s="89" t="n">
        <v>1776.9</v>
      </c>
      <c r="BF410" s="89" t="n">
        <v>342.3</v>
      </c>
      <c r="BG410" s="89" t="n">
        <v>151.5</v>
      </c>
      <c r="BH410" s="89" t="n">
        <v>-234.5</v>
      </c>
      <c r="BI410" s="89" t="n">
        <v>-159.6</v>
      </c>
      <c r="BJ410" s="89" t="n">
        <v>568.2</v>
      </c>
      <c r="BK410" s="89" t="n">
        <v>609.1</v>
      </c>
      <c r="BL410" s="89" t="n">
        <v>146.4</v>
      </c>
      <c r="BM410" s="89" t="n">
        <v>169.4</v>
      </c>
      <c r="BN410" s="90" t="inlineStr">
        <is>
          <t>N/A</t>
        </is>
      </c>
      <c r="BO410" s="89" t="n">
        <v>3580.4</v>
      </c>
      <c r="BP410" s="89" t="n">
        <v>3463.9</v>
      </c>
      <c r="BQ410" s="89" t="n">
        <v>0</v>
      </c>
      <c r="BR410" s="89" t="n">
        <v>0</v>
      </c>
      <c r="BS410" s="89" t="n">
        <v>0</v>
      </c>
      <c r="BT410" s="89" t="n">
        <v>0</v>
      </c>
      <c r="BU410" s="89" t="n">
        <v>0</v>
      </c>
      <c r="BV410" s="89" t="n">
        <v>0</v>
      </c>
      <c r="BW410" s="89" t="n">
        <v>0</v>
      </c>
      <c r="BX410" s="89" t="n">
        <v>0</v>
      </c>
      <c r="BY410" s="89" t="n">
        <v>0</v>
      </c>
    </row>
    <row r="411" ht="17" customHeight="1">
      <c r="A411" s="82" t="n">
        <v>409</v>
      </c>
      <c r="B411" s="83" t="inlineStr">
        <is>
          <t>MCD</t>
        </is>
      </c>
      <c r="C411" s="84" t="inlineStr">
        <is>
          <t>McDONALD’S CORPORATION</t>
        </is>
      </c>
      <c r="D411" s="82" t="inlineStr">
        <is>
          <t>Consumer Discretionary</t>
        </is>
      </c>
      <c r="E411" s="82" t="n">
        <v>2026</v>
      </c>
      <c r="F411" s="85" t="n">
        <v>59515</v>
      </c>
      <c r="G411" s="85" t="n">
        <v>4163</v>
      </c>
      <c r="H411" s="85" t="n">
        <v>4361</v>
      </c>
      <c r="I411" s="85" t="n">
        <v>59515</v>
      </c>
      <c r="J411" s="85" t="n">
        <v>70282</v>
      </c>
      <c r="K411" s="85" t="n">
        <v>12393</v>
      </c>
      <c r="L411" s="85" t="n">
        <v>26885</v>
      </c>
      <c r="M411" s="85" t="n">
        <v>8563</v>
      </c>
      <c r="N411" s="85" t="n">
        <v>10551</v>
      </c>
      <c r="O411" s="91" t="inlineStr">
        <is>
          <t>N/A</t>
        </is>
      </c>
      <c r="P411" s="85" t="n">
        <v>39973</v>
      </c>
      <c r="Q411" s="85" t="n">
        <v>-1791</v>
      </c>
      <c r="R411" s="85" t="n">
        <v>3039</v>
      </c>
      <c r="S411" s="85" t="n">
        <v>2199</v>
      </c>
      <c r="T411" s="91" t="inlineStr">
        <is>
          <t>N/A</t>
        </is>
      </c>
      <c r="U411" s="85" t="n">
        <v>28241</v>
      </c>
      <c r="V411" s="85" t="n">
        <v>1582</v>
      </c>
      <c r="W411" s="85" t="n">
        <v>55182</v>
      </c>
      <c r="X411" s="85" t="n">
        <v>4599</v>
      </c>
      <c r="Y411" s="85" t="n">
        <v>3861</v>
      </c>
      <c r="Z411" s="85" t="n">
        <v>55182</v>
      </c>
      <c r="AA411" s="85" t="n">
        <v>11712</v>
      </c>
      <c r="AB411" s="85" t="n">
        <v>25920</v>
      </c>
      <c r="AC411" s="85" t="n">
        <v>8223</v>
      </c>
      <c r="AD411" s="85" t="n">
        <v>9447</v>
      </c>
      <c r="AE411" s="91" t="inlineStr">
        <is>
          <t>N/A</t>
        </is>
      </c>
      <c r="AF411" s="85" t="n">
        <v>38424</v>
      </c>
      <c r="AG411" s="85" t="n">
        <v>-3797</v>
      </c>
      <c r="AH411" s="85" t="n">
        <v>25920</v>
      </c>
      <c r="AI411" s="85" t="n">
        <v>55182</v>
      </c>
      <c r="AJ411" s="85" t="n">
        <v>3291</v>
      </c>
      <c r="AK411" s="91" t="inlineStr">
        <is>
          <t>N/A</t>
        </is>
      </c>
      <c r="AL411" s="85" t="n">
        <v>2334</v>
      </c>
      <c r="AM411" s="85" t="n">
        <v>2121</v>
      </c>
      <c r="AN411" s="85" t="n">
        <v>3365</v>
      </c>
      <c r="AO411" s="85" t="n">
        <v>2775</v>
      </c>
      <c r="AP411" s="85" t="n">
        <v>61</v>
      </c>
      <c r="AQ411" s="85" t="n">
        <v>56</v>
      </c>
      <c r="AR411" s="85" t="n">
        <v>3354</v>
      </c>
      <c r="AS411" s="91" t="inlineStr">
        <is>
          <t>N/A</t>
        </is>
      </c>
      <c r="AT411" s="91" t="inlineStr">
        <is>
          <t>N/A</t>
        </is>
      </c>
      <c r="AU411" s="91" t="inlineStr">
        <is>
          <t>N/A</t>
        </is>
      </c>
      <c r="AV411" s="85" t="n">
        <v>774</v>
      </c>
      <c r="AW411" s="85" t="n">
        <v>1085</v>
      </c>
      <c r="AX411" s="85" t="n">
        <v>39973</v>
      </c>
      <c r="AY411" s="85" t="n">
        <v>40616.4</v>
      </c>
      <c r="AZ411" s="85" t="n">
        <v>39199</v>
      </c>
      <c r="BA411" s="85" t="n">
        <v>7186</v>
      </c>
      <c r="BB411" s="85" t="n">
        <v>1660.6</v>
      </c>
      <c r="BC411" s="85" t="n">
        <v>1660.6</v>
      </c>
      <c r="BD411" s="91" t="inlineStr">
        <is>
          <t>N/A</t>
        </is>
      </c>
      <c r="BE411" s="85" t="n">
        <v>25295</v>
      </c>
      <c r="BF411" s="85" t="n">
        <v>2858</v>
      </c>
      <c r="BG411" s="85" t="n">
        <v>2097</v>
      </c>
      <c r="BH411" s="85" t="n">
        <v>-3822</v>
      </c>
      <c r="BI411" s="85" t="n">
        <v>-5346</v>
      </c>
      <c r="BJ411" s="85" t="n">
        <v>1149</v>
      </c>
      <c r="BK411" s="85" t="n">
        <v>1029</v>
      </c>
      <c r="BL411" s="85" t="n">
        <v>945</v>
      </c>
      <c r="BM411" s="85" t="n">
        <v>778</v>
      </c>
      <c r="BN411" s="85" t="n">
        <v>250</v>
      </c>
      <c r="BO411" s="91" t="inlineStr">
        <is>
          <t>N/A</t>
        </is>
      </c>
      <c r="BP411" s="91" t="inlineStr">
        <is>
          <t>N/A</t>
        </is>
      </c>
      <c r="BQ411" s="91" t="inlineStr">
        <is>
          <t>N/A</t>
        </is>
      </c>
      <c r="BR411" s="91" t="inlineStr">
        <is>
          <t>N/A</t>
        </is>
      </c>
      <c r="BS411" s="91" t="inlineStr">
        <is>
          <t>N/A</t>
        </is>
      </c>
      <c r="BT411" s="91" t="inlineStr">
        <is>
          <t>N/A</t>
        </is>
      </c>
      <c r="BU411" s="91" t="inlineStr">
        <is>
          <t>N/A</t>
        </is>
      </c>
      <c r="BV411" s="91" t="inlineStr">
        <is>
          <t>N/A</t>
        </is>
      </c>
      <c r="BW411" s="85" t="n">
        <v>0</v>
      </c>
      <c r="BX411" s="85" t="n">
        <v>0</v>
      </c>
      <c r="BY411" s="85" t="n">
        <v>0</v>
      </c>
    </row>
    <row r="412" ht="17" customHeight="1">
      <c r="A412" s="86" t="n">
        <v>410</v>
      </c>
      <c r="B412" s="87" t="inlineStr">
        <is>
          <t>GNTX</t>
        </is>
      </c>
      <c r="C412" s="88" t="inlineStr">
        <is>
          <t>GENTEX CORPORATION</t>
        </is>
      </c>
      <c r="D412" s="86" t="inlineStr">
        <is>
          <t>Consumer Discretionary</t>
        </is>
      </c>
      <c r="E412" s="86" t="n">
        <v>2026</v>
      </c>
      <c r="F412" s="89" t="n">
        <v>2928.6</v>
      </c>
      <c r="G412" s="89" t="n">
        <v>1128.4</v>
      </c>
      <c r="H412" s="89" t="n">
        <v>387.5</v>
      </c>
      <c r="I412" s="89" t="n">
        <v>437.7</v>
      </c>
      <c r="J412" s="89" t="n">
        <v>1466</v>
      </c>
      <c r="K412" s="89" t="n">
        <v>473.9</v>
      </c>
      <c r="L412" s="89" t="n">
        <v>2534.3</v>
      </c>
      <c r="M412" s="89" t="n">
        <v>384.8</v>
      </c>
      <c r="N412" s="89" t="n">
        <v>587.1</v>
      </c>
      <c r="O412" s="89" t="n">
        <v>866.7</v>
      </c>
      <c r="P412" s="90" t="inlineStr">
        <is>
          <t>N/A</t>
        </is>
      </c>
      <c r="Q412" s="89" t="n">
        <v>2487.8</v>
      </c>
      <c r="R412" s="89" t="n">
        <v>177.9</v>
      </c>
      <c r="S412" s="89" t="n">
        <v>104</v>
      </c>
      <c r="T412" s="89" t="n">
        <v>368.5</v>
      </c>
      <c r="U412" s="89" t="n">
        <v>790.9</v>
      </c>
      <c r="V412" s="89" t="n">
        <v>0.8</v>
      </c>
      <c r="W412" s="89" t="n">
        <v>2760.8</v>
      </c>
      <c r="X412" s="89" t="n">
        <v>1037.3</v>
      </c>
      <c r="Y412" s="89" t="n">
        <v>252.7</v>
      </c>
      <c r="Z412" s="89" t="n">
        <v>288.7</v>
      </c>
      <c r="AA412" s="89" t="n">
        <v>459.7</v>
      </c>
      <c r="AB412" s="89" t="n">
        <v>2313.3</v>
      </c>
      <c r="AC412" s="89" t="n">
        <v>404.5</v>
      </c>
      <c r="AD412" s="89" t="n">
        <v>498.2</v>
      </c>
      <c r="AE412" s="89" t="n">
        <v>771.1</v>
      </c>
      <c r="AF412" s="89" t="n">
        <v>178.1</v>
      </c>
      <c r="AG412" s="89" t="n">
        <v>2468</v>
      </c>
      <c r="AH412" s="89" t="n">
        <v>2313.3</v>
      </c>
      <c r="AI412" s="89" t="n">
        <v>2760.8</v>
      </c>
      <c r="AJ412" s="89" t="n">
        <v>461.1</v>
      </c>
      <c r="AK412" s="89" t="n">
        <v>472.2</v>
      </c>
      <c r="AL412" s="89" t="n">
        <v>76.40000000000001</v>
      </c>
      <c r="AM412" s="89" t="n">
        <v>67.7</v>
      </c>
      <c r="AN412" s="89" t="n">
        <v>129.1</v>
      </c>
      <c r="AO412" s="89" t="n">
        <v>144.7</v>
      </c>
      <c r="AP412" s="89" t="n">
        <v>516.3</v>
      </c>
      <c r="AQ412" s="89" t="n">
        <v>436.5</v>
      </c>
      <c r="AR412" s="89" t="n">
        <v>357.2</v>
      </c>
      <c r="AS412" s="89" t="n">
        <v>189.3</v>
      </c>
      <c r="AT412" s="89" t="n">
        <v>3.8</v>
      </c>
      <c r="AU412" s="89" t="n">
        <v>203.3</v>
      </c>
      <c r="AV412" s="89" t="n">
        <v>145.6</v>
      </c>
      <c r="AW412" s="89" t="n">
        <v>233.3</v>
      </c>
      <c r="AX412" s="89" t="n">
        <v>3.8</v>
      </c>
      <c r="AY412" s="89" t="n">
        <v>178.1</v>
      </c>
      <c r="AZ412" s="89" t="n">
        <v>-141.8</v>
      </c>
      <c r="BA412" s="89" t="n">
        <v>458</v>
      </c>
      <c r="BB412" s="89" t="n">
        <v>215.4</v>
      </c>
      <c r="BC412" s="89" t="n">
        <v>227.2</v>
      </c>
      <c r="BD412" s="89" t="n">
        <v>295.3</v>
      </c>
      <c r="BE412" s="89" t="n">
        <v>728.5</v>
      </c>
      <c r="BF412" s="89" t="n">
        <v>121</v>
      </c>
      <c r="BG412" s="89" t="n">
        <v>94.7</v>
      </c>
      <c r="BH412" s="89" t="n">
        <v>-266.9</v>
      </c>
      <c r="BI412" s="89" t="n">
        <v>-202.1</v>
      </c>
      <c r="BJ412" s="89" t="n">
        <v>249</v>
      </c>
      <c r="BK412" s="89" t="n">
        <v>168.3</v>
      </c>
      <c r="BL412" s="90" t="inlineStr">
        <is>
          <t>N/A</t>
        </is>
      </c>
      <c r="BM412" s="90" t="inlineStr">
        <is>
          <t>N/A</t>
        </is>
      </c>
      <c r="BN412" s="89" t="n">
        <v>0.8</v>
      </c>
      <c r="BO412" s="89" t="n">
        <v>1667.6</v>
      </c>
      <c r="BP412" s="89" t="n">
        <v>1542.2</v>
      </c>
      <c r="BQ412" s="89" t="n">
        <v>0</v>
      </c>
      <c r="BR412" s="89" t="n">
        <v>0</v>
      </c>
      <c r="BS412" s="89" t="n">
        <v>0</v>
      </c>
      <c r="BT412" s="89" t="n">
        <v>0</v>
      </c>
      <c r="BU412" s="89" t="n">
        <v>0</v>
      </c>
      <c r="BV412" s="89" t="n">
        <v>0</v>
      </c>
      <c r="BW412" s="89" t="n">
        <v>0</v>
      </c>
      <c r="BX412" s="89" t="n">
        <v>0</v>
      </c>
      <c r="BY412" s="89" t="n">
        <v>0</v>
      </c>
    </row>
    <row r="413" ht="17" customHeight="1">
      <c r="A413" s="82" t="n">
        <v>411</v>
      </c>
      <c r="B413" s="83" t="inlineStr">
        <is>
          <t>PM</t>
        </is>
      </c>
      <c r="C413" s="84" t="inlineStr">
        <is>
          <t>Philip Morris International Inc.</t>
        </is>
      </c>
      <c r="D413" s="82" t="inlineStr">
        <is>
          <t>Consumer Staples</t>
        </is>
      </c>
      <c r="E413" s="82" t="n">
        <v>2026</v>
      </c>
      <c r="F413" s="85" t="n">
        <v>69185</v>
      </c>
      <c r="G413" s="85" t="n">
        <v>24363</v>
      </c>
      <c r="H413" s="85" t="n">
        <v>25427</v>
      </c>
      <c r="I413" s="85" t="n">
        <v>77213</v>
      </c>
      <c r="J413" s="85" t="n">
        <v>35400</v>
      </c>
      <c r="K413" s="85" t="n">
        <v>14892</v>
      </c>
      <c r="L413" s="85" t="n">
        <v>40648</v>
      </c>
      <c r="M413" s="85" t="n">
        <v>11348</v>
      </c>
      <c r="N413" s="85" t="n">
        <v>12233</v>
      </c>
      <c r="O413" s="85" t="n">
        <v>27282</v>
      </c>
      <c r="P413" s="85" t="n">
        <v>17034</v>
      </c>
      <c r="Q413" s="85" t="n">
        <v>-9994</v>
      </c>
      <c r="R413" s="85" t="n">
        <v>164</v>
      </c>
      <c r="S413" s="85" t="n">
        <v>998</v>
      </c>
      <c r="T413" s="85" t="n">
        <v>4572</v>
      </c>
      <c r="U413" s="85" t="n">
        <v>6365</v>
      </c>
      <c r="V413" s="85" t="n">
        <v>1526</v>
      </c>
      <c r="W413" s="85" t="n">
        <v>61784</v>
      </c>
      <c r="X413" s="85" t="n">
        <v>20170</v>
      </c>
      <c r="Y413" s="85" t="n">
        <v>22915</v>
      </c>
      <c r="Z413" s="85" t="n">
        <v>71654</v>
      </c>
      <c r="AA413" s="85" t="n">
        <v>13402</v>
      </c>
      <c r="AB413" s="85" t="n">
        <v>37878</v>
      </c>
      <c r="AC413" s="85" t="n">
        <v>7057</v>
      </c>
      <c r="AD413" s="85" t="n">
        <v>12217</v>
      </c>
      <c r="AE413" s="85" t="n">
        <v>24549</v>
      </c>
      <c r="AF413" s="85" t="n">
        <v>14755</v>
      </c>
      <c r="AG413" s="85" t="n">
        <v>-11750</v>
      </c>
      <c r="AH413" s="85" t="n">
        <v>37878</v>
      </c>
      <c r="AI413" s="85" t="n">
        <v>61784</v>
      </c>
      <c r="AJ413" s="85" t="n">
        <v>870</v>
      </c>
      <c r="AK413" s="91" t="inlineStr">
        <is>
          <t>N/A</t>
        </is>
      </c>
      <c r="AL413" s="85" t="n">
        <v>2737</v>
      </c>
      <c r="AM413" s="85" t="n">
        <v>3017</v>
      </c>
      <c r="AN413" s="85" t="n">
        <v>1569</v>
      </c>
      <c r="AO413" s="85" t="n">
        <v>1444</v>
      </c>
      <c r="AP413" s="85" t="n">
        <v>11478</v>
      </c>
      <c r="AQ413" s="85" t="n">
        <v>9453</v>
      </c>
      <c r="AR413" s="85" t="n">
        <v>17264</v>
      </c>
      <c r="AS413" s="85" t="n">
        <v>6108</v>
      </c>
      <c r="AT413" s="85" t="n">
        <v>168</v>
      </c>
      <c r="AU413" s="85" t="n">
        <v>756</v>
      </c>
      <c r="AV413" s="85" t="n">
        <v>4872</v>
      </c>
      <c r="AW413" s="85" t="n">
        <v>4216</v>
      </c>
      <c r="AX413" s="85" t="n">
        <v>17202</v>
      </c>
      <c r="AY413" s="85" t="n">
        <v>14892</v>
      </c>
      <c r="AZ413" s="85" t="n">
        <v>12330</v>
      </c>
      <c r="BA413" s="85" t="n">
        <v>10664</v>
      </c>
      <c r="BB413" s="85" t="n">
        <v>1801.8</v>
      </c>
      <c r="BC413" s="85" t="n">
        <v>1887.2</v>
      </c>
      <c r="BD413" s="85" t="n">
        <v>3789</v>
      </c>
      <c r="BE413" s="85" t="n">
        <v>6631</v>
      </c>
      <c r="BF413" s="85" t="n">
        <v>161</v>
      </c>
      <c r="BG413" s="85" t="n">
        <v>981</v>
      </c>
      <c r="BH413" s="85" t="n">
        <v>-3967</v>
      </c>
      <c r="BI413" s="85" t="n">
        <v>-1092</v>
      </c>
      <c r="BJ413" s="85" t="n">
        <v>4407</v>
      </c>
      <c r="BK413" s="85" t="n">
        <v>3952</v>
      </c>
      <c r="BL413" s="91" t="inlineStr">
        <is>
          <t>N/A</t>
        </is>
      </c>
      <c r="BM413" s="91" t="inlineStr">
        <is>
          <t>N/A</t>
        </is>
      </c>
      <c r="BN413" s="85" t="n">
        <v>1255</v>
      </c>
      <c r="BO413" s="85" t="n">
        <v>13366</v>
      </c>
      <c r="BP413" s="85" t="n">
        <v>13329</v>
      </c>
      <c r="BQ413" s="85" t="n">
        <v>0</v>
      </c>
      <c r="BR413" s="85" t="n">
        <v>0</v>
      </c>
      <c r="BS413" s="85" t="n">
        <v>0</v>
      </c>
      <c r="BT413" s="85" t="n">
        <v>0</v>
      </c>
      <c r="BU413" s="85" t="n">
        <v>0</v>
      </c>
      <c r="BV413" s="85" t="n">
        <v>0</v>
      </c>
      <c r="BW413" s="85" t="n">
        <v>0</v>
      </c>
      <c r="BX413" s="85" t="n">
        <v>0</v>
      </c>
      <c r="BY413" s="85" t="n">
        <v>0</v>
      </c>
    </row>
    <row r="414" ht="17" customHeight="1">
      <c r="A414" s="86" t="n">
        <v>412</v>
      </c>
      <c r="B414" s="87" t="inlineStr">
        <is>
          <t>AMD</t>
        </is>
      </c>
      <c r="C414" s="88" t="inlineStr">
        <is>
          <t>ADVANCED MICRO DEVICES INC</t>
        </is>
      </c>
      <c r="D414" s="86" t="inlineStr">
        <is>
          <t>Information Technology</t>
        </is>
      </c>
      <c r="E414" s="86" t="n">
        <v>2026</v>
      </c>
      <c r="F414" s="89" t="n">
        <v>76926</v>
      </c>
      <c r="G414" s="89" t="n">
        <v>26947</v>
      </c>
      <c r="H414" s="89" t="n">
        <v>9455</v>
      </c>
      <c r="I414" s="89" t="n">
        <v>76926</v>
      </c>
      <c r="J414" s="89" t="n">
        <v>6699</v>
      </c>
      <c r="K414" s="89" t="n">
        <v>3694</v>
      </c>
      <c r="L414" s="89" t="n">
        <v>34639</v>
      </c>
      <c r="M414" s="89" t="n">
        <v>4335</v>
      </c>
      <c r="N414" s="89" t="n">
        <v>7709</v>
      </c>
      <c r="O414" s="89" t="n">
        <v>17152</v>
      </c>
      <c r="P414" s="89" t="n">
        <v>1</v>
      </c>
      <c r="Q414" s="89" t="n">
        <v>62999</v>
      </c>
      <c r="R414" s="89" t="n">
        <v>4144</v>
      </c>
      <c r="S414" s="89" t="n">
        <v>203</v>
      </c>
      <c r="T414" s="89" t="n">
        <v>6315</v>
      </c>
      <c r="U414" s="89" t="n">
        <v>2312</v>
      </c>
      <c r="V414" s="89" t="n">
        <v>131</v>
      </c>
      <c r="W414" s="89" t="n">
        <v>69226</v>
      </c>
      <c r="X414" s="89" t="n">
        <v>19049</v>
      </c>
      <c r="Y414" s="89" t="n">
        <v>7281</v>
      </c>
      <c r="Z414" s="89" t="n">
        <v>69226</v>
      </c>
      <c r="AA414" s="89" t="n">
        <v>1900</v>
      </c>
      <c r="AB414" s="89" t="n">
        <v>25785</v>
      </c>
      <c r="AC414" s="89" t="n">
        <v>1641</v>
      </c>
      <c r="AD414" s="89" t="n">
        <v>3041</v>
      </c>
      <c r="AE414" s="89" t="n">
        <v>12725</v>
      </c>
      <c r="AF414" s="89" t="n">
        <v>330</v>
      </c>
      <c r="AG414" s="89" t="n">
        <v>57568</v>
      </c>
      <c r="AH414" s="89" t="n">
        <v>25785</v>
      </c>
      <c r="AI414" s="89" t="n">
        <v>69226</v>
      </c>
      <c r="AJ414" s="89" t="n">
        <v>4166</v>
      </c>
      <c r="AK414" s="89" t="n">
        <v>2022</v>
      </c>
      <c r="AL414" s="89" t="n">
        <v>-103</v>
      </c>
      <c r="AM414" s="89" t="n">
        <v>381</v>
      </c>
      <c r="AN414" s="89" t="n">
        <v>974</v>
      </c>
      <c r="AO414" s="89" t="n">
        <v>636</v>
      </c>
      <c r="AP414" s="89" t="n">
        <v>7920</v>
      </c>
      <c r="AQ414" s="89" t="n">
        <v>5734</v>
      </c>
      <c r="AR414" s="89" t="n">
        <v>25126</v>
      </c>
      <c r="AS414" s="89" t="n">
        <v>16705</v>
      </c>
      <c r="AT414" s="89" t="n">
        <v>874</v>
      </c>
      <c r="AU414" s="89" t="n">
        <v>8091</v>
      </c>
      <c r="AV414" s="89" t="n">
        <v>5539</v>
      </c>
      <c r="AW414" s="89" t="n">
        <v>3787</v>
      </c>
      <c r="AX414" s="89" t="n">
        <v>875</v>
      </c>
      <c r="AY414" s="89" t="n">
        <v>330</v>
      </c>
      <c r="AZ414" s="89" t="n">
        <v>-4664</v>
      </c>
      <c r="BA414" s="89" t="n">
        <v>6735</v>
      </c>
      <c r="BB414" s="89" t="n">
        <v>1630</v>
      </c>
      <c r="BC414" s="89" t="n">
        <v>1622</v>
      </c>
      <c r="BD414" s="89" t="n">
        <v>6192</v>
      </c>
      <c r="BE414" s="89" t="n">
        <v>1802</v>
      </c>
      <c r="BF414" s="89" t="n">
        <v>2783</v>
      </c>
      <c r="BG414" s="89" t="n">
        <v>236</v>
      </c>
      <c r="BH414" s="89" t="n">
        <v>-5533</v>
      </c>
      <c r="BI414" s="89" t="n">
        <v>-1101</v>
      </c>
      <c r="BJ414" s="89" t="n">
        <v>2929</v>
      </c>
      <c r="BK414" s="89" t="n">
        <v>1990</v>
      </c>
      <c r="BL414" s="89" t="n">
        <v>22</v>
      </c>
      <c r="BM414" s="90" t="inlineStr">
        <is>
          <t>N/A</t>
        </is>
      </c>
      <c r="BN414" s="90" t="inlineStr">
        <is>
          <t>N/A</t>
        </is>
      </c>
      <c r="BO414" s="89" t="n">
        <v>17487</v>
      </c>
      <c r="BP414" s="89" t="n">
        <v>13060</v>
      </c>
      <c r="BQ414" s="89" t="n">
        <v>0</v>
      </c>
      <c r="BR414" s="89" t="n">
        <v>0</v>
      </c>
      <c r="BS414" s="89" t="n">
        <v>0</v>
      </c>
      <c r="BT414" s="89" t="n">
        <v>0</v>
      </c>
      <c r="BU414" s="89" t="n">
        <v>0</v>
      </c>
      <c r="BV414" s="89" t="n">
        <v>0</v>
      </c>
      <c r="BW414" s="89" t="n">
        <v>0</v>
      </c>
      <c r="BX414" s="89" t="n">
        <v>0</v>
      </c>
      <c r="BY414" s="89" t="n">
        <v>-0</v>
      </c>
    </row>
    <row r="415" ht="17" customHeight="1">
      <c r="A415" s="82" t="n">
        <v>413</v>
      </c>
      <c r="B415" s="83" t="inlineStr">
        <is>
          <t>HQY</t>
        </is>
      </c>
      <c r="C415" s="84" t="inlineStr">
        <is>
          <t>HEALTHEQUITY, INC.</t>
        </is>
      </c>
      <c r="D415" s="82" t="inlineStr">
        <is>
          <t>Health Care</t>
        </is>
      </c>
      <c r="E415" s="82" t="n">
        <v>2026</v>
      </c>
      <c r="F415" s="85" t="n">
        <v>3380.3</v>
      </c>
      <c r="G415" s="85" t="n">
        <v>512.3</v>
      </c>
      <c r="H415" s="85" t="n">
        <v>156.8</v>
      </c>
      <c r="I415" s="85" t="n">
        <v>1273.1</v>
      </c>
      <c r="J415" s="85" t="n">
        <v>195.9</v>
      </c>
      <c r="K415" s="85" t="n">
        <v>322.5</v>
      </c>
      <c r="L415" s="85" t="n">
        <v>229.5</v>
      </c>
      <c r="M415" s="85" t="n">
        <v>215.2</v>
      </c>
      <c r="N415" s="85" t="n">
        <v>457.1</v>
      </c>
      <c r="O415" s="85" t="n">
        <v>913.1</v>
      </c>
      <c r="P415" s="85" t="n">
        <v>957.4</v>
      </c>
      <c r="Q415" s="85" t="n">
        <v>2107.2</v>
      </c>
      <c r="R415" s="85" t="n">
        <v>119.9</v>
      </c>
      <c r="S415" s="85" t="n">
        <v>154.7</v>
      </c>
      <c r="T415" s="85" t="n">
        <v>123.7</v>
      </c>
      <c r="U415" s="85" t="n">
        <v>3.2</v>
      </c>
      <c r="V415" s="85" t="n">
        <v>55.5</v>
      </c>
      <c r="W415" s="85" t="n">
        <v>3448.6</v>
      </c>
      <c r="X415" s="85" t="n">
        <v>477.7</v>
      </c>
      <c r="Y415" s="85" t="n">
        <v>156.3</v>
      </c>
      <c r="Z415" s="85" t="n">
        <v>1333.6</v>
      </c>
      <c r="AA415" s="85" t="n">
        <v>162.3</v>
      </c>
      <c r="AB415" s="85" t="n">
        <v>60.4</v>
      </c>
      <c r="AC415" s="85" t="n">
        <v>96.7</v>
      </c>
      <c r="AD415" s="85" t="n">
        <v>339.9</v>
      </c>
      <c r="AE415" s="85" t="n">
        <v>777.3</v>
      </c>
      <c r="AF415" s="85" t="n">
        <v>1056.3</v>
      </c>
      <c r="AG415" s="85" t="n">
        <v>2114.9</v>
      </c>
      <c r="AH415" s="85" t="n">
        <v>56.8</v>
      </c>
      <c r="AI415" s="85" t="n">
        <v>3448.6</v>
      </c>
      <c r="AJ415" s="85" t="n">
        <v>277.4</v>
      </c>
      <c r="AK415" s="85" t="n">
        <v>116</v>
      </c>
      <c r="AL415" s="85" t="n">
        <v>62.2</v>
      </c>
      <c r="AM415" s="85" t="n">
        <v>19.3</v>
      </c>
      <c r="AN415" s="85" t="n">
        <v>2</v>
      </c>
      <c r="AO415" s="85" t="n">
        <v>2.1</v>
      </c>
      <c r="AP415" s="85" t="n">
        <v>0.2</v>
      </c>
      <c r="AQ415" s="85" t="n">
        <v>0.6</v>
      </c>
      <c r="AR415" s="85" t="n">
        <v>1648.1</v>
      </c>
      <c r="AS415" s="85" t="n">
        <v>1097.2</v>
      </c>
      <c r="AT415" s="91" t="inlineStr">
        <is>
          <t>N/A</t>
        </is>
      </c>
      <c r="AU415" s="85" t="n">
        <v>262.5</v>
      </c>
      <c r="AV415" s="85" t="n">
        <v>318.9</v>
      </c>
      <c r="AW415" s="85" t="n">
        <v>295.9</v>
      </c>
      <c r="AX415" s="85" t="n">
        <v>957.4</v>
      </c>
      <c r="AY415" s="85" t="n">
        <v>1056.3</v>
      </c>
      <c r="AZ415" s="85" t="n">
        <v>638.5</v>
      </c>
      <c r="BA415" s="85" t="n">
        <v>455.1</v>
      </c>
      <c r="BB415" s="85" t="n">
        <v>85</v>
      </c>
      <c r="BC415" s="85" t="n">
        <v>86.5</v>
      </c>
      <c r="BD415" s="85" t="n">
        <v>118</v>
      </c>
      <c r="BE415" s="85" t="n">
        <v>3.2</v>
      </c>
      <c r="BF415" s="85" t="n">
        <v>132.3</v>
      </c>
      <c r="BG415" s="85" t="n">
        <v>162.5</v>
      </c>
      <c r="BH415" s="85" t="n">
        <v>-47.1</v>
      </c>
      <c r="BI415" s="85" t="n">
        <v>-505.5</v>
      </c>
      <c r="BJ415" s="85" t="n">
        <v>12.2</v>
      </c>
      <c r="BK415" s="85" t="n">
        <v>14.4</v>
      </c>
      <c r="BL415" s="91" t="inlineStr">
        <is>
          <t>N/A</t>
        </is>
      </c>
      <c r="BM415" s="91" t="inlineStr">
        <is>
          <t>N/A</t>
        </is>
      </c>
      <c r="BN415" s="91" t="inlineStr">
        <is>
          <t>N/A</t>
        </is>
      </c>
      <c r="BO415" s="85" t="n">
        <v>400.3</v>
      </c>
      <c r="BP415" s="85" t="n">
        <v>422.5</v>
      </c>
      <c r="BQ415" s="85" t="n">
        <v>0</v>
      </c>
      <c r="BR415" s="85" t="n">
        <v>0</v>
      </c>
      <c r="BS415" s="85" t="n">
        <v>0</v>
      </c>
      <c r="BT415" s="85" t="n">
        <v>0</v>
      </c>
      <c r="BU415" s="85" t="n">
        <v>0</v>
      </c>
      <c r="BV415" s="85" t="n">
        <v>0</v>
      </c>
      <c r="BW415" s="85" t="n">
        <v>0</v>
      </c>
      <c r="BX415" s="85" t="n">
        <v>0</v>
      </c>
      <c r="BY415" s="85" t="n">
        <v>0</v>
      </c>
    </row>
    <row r="416" ht="17" customHeight="1">
      <c r="A416" s="86" t="n">
        <v>414</v>
      </c>
      <c r="B416" s="87" t="inlineStr">
        <is>
          <t>ENTG</t>
        </is>
      </c>
      <c r="C416" s="88" t="inlineStr">
        <is>
          <t>Entegris, Inc.</t>
        </is>
      </c>
      <c r="D416" s="86" t="inlineStr">
        <is>
          <t>Information Technology</t>
        </is>
      </c>
      <c r="E416" s="86" t="n">
        <v>2026</v>
      </c>
      <c r="F416" s="89" t="n">
        <v>8350.5</v>
      </c>
      <c r="G416" s="89" t="n">
        <v>1638.2</v>
      </c>
      <c r="H416" s="89" t="n">
        <v>488.6</v>
      </c>
      <c r="I416" s="89" t="n">
        <v>8350.5</v>
      </c>
      <c r="J416" s="89" t="n">
        <v>1558.4</v>
      </c>
      <c r="K416" s="89" t="n">
        <v>455.9</v>
      </c>
      <c r="L416" s="89" t="n">
        <v>3196.6</v>
      </c>
      <c r="M416" s="89" t="n">
        <v>235.6</v>
      </c>
      <c r="N416" s="89" t="n">
        <v>695.4</v>
      </c>
      <c r="O416" s="89" t="n">
        <v>1419.9</v>
      </c>
      <c r="P416" s="89" t="n">
        <v>3697.6</v>
      </c>
      <c r="Q416" s="89" t="n">
        <v>608.2</v>
      </c>
      <c r="R416" s="89" t="n">
        <v>450.6</v>
      </c>
      <c r="S416" s="89" t="n">
        <v>37.1</v>
      </c>
      <c r="T416" s="90" t="inlineStr">
        <is>
          <t>N/A</t>
        </is>
      </c>
      <c r="U416" s="89" t="n">
        <v>1636.1</v>
      </c>
      <c r="V416" s="89" t="n">
        <v>215.2</v>
      </c>
      <c r="W416" s="89" t="n">
        <v>8394.6</v>
      </c>
      <c r="X416" s="89" t="n">
        <v>1616.3</v>
      </c>
      <c r="Y416" s="89" t="n">
        <v>525.2</v>
      </c>
      <c r="Z416" s="89" t="n">
        <v>8394.6</v>
      </c>
      <c r="AA416" s="89" t="n">
        <v>533.9</v>
      </c>
      <c r="AB416" s="89" t="n">
        <v>3241.2</v>
      </c>
      <c r="AC416" s="89" t="n">
        <v>292.8</v>
      </c>
      <c r="AD416" s="89" t="n">
        <v>631.7</v>
      </c>
      <c r="AE416" s="89" t="n">
        <v>1486.7</v>
      </c>
      <c r="AF416" s="89" t="n">
        <v>3981.1</v>
      </c>
      <c r="AG416" s="89" t="n">
        <v>459.6</v>
      </c>
      <c r="AH416" s="89" t="n">
        <v>3241.2</v>
      </c>
      <c r="AI416" s="89" t="n">
        <v>8394.6</v>
      </c>
      <c r="AJ416" s="89" t="n">
        <v>254.6</v>
      </c>
      <c r="AK416" s="89" t="n">
        <v>322.1</v>
      </c>
      <c r="AL416" s="89" t="n">
        <v>18</v>
      </c>
      <c r="AM416" s="89" t="n">
        <v>28.3</v>
      </c>
      <c r="AN416" s="89" t="n">
        <v>299.2</v>
      </c>
      <c r="AO416" s="89" t="n">
        <v>315.6</v>
      </c>
      <c r="AP416" s="89" t="n">
        <v>643.2</v>
      </c>
      <c r="AQ416" s="89" t="n">
        <v>638.1</v>
      </c>
      <c r="AR416" s="89" t="n">
        <v>3946.7</v>
      </c>
      <c r="AS416" s="89" t="n">
        <v>906.9</v>
      </c>
      <c r="AT416" s="90" t="inlineStr">
        <is>
          <t>N/A</t>
        </is>
      </c>
      <c r="AU416" s="89" t="n">
        <v>329</v>
      </c>
      <c r="AV416" s="89" t="n">
        <v>360.4</v>
      </c>
      <c r="AW416" s="89" t="n">
        <v>329.2</v>
      </c>
      <c r="AX416" s="89" t="n">
        <v>3697.6</v>
      </c>
      <c r="AY416" s="89" t="n">
        <v>3981.1</v>
      </c>
      <c r="AZ416" s="89" t="n">
        <v>3337.2</v>
      </c>
      <c r="BA416" s="89" t="n">
        <v>396.2</v>
      </c>
      <c r="BB416" s="89" t="n">
        <v>151.9</v>
      </c>
      <c r="BC416" s="89" t="n">
        <v>151.1</v>
      </c>
      <c r="BD416" s="90" t="inlineStr">
        <is>
          <t>N/A</t>
        </is>
      </c>
      <c r="BE416" s="89" t="n">
        <v>1622.9</v>
      </c>
      <c r="BF416" s="89" t="n">
        <v>446.6</v>
      </c>
      <c r="BG416" s="89" t="n">
        <v>41.2</v>
      </c>
      <c r="BH416" s="89" t="n">
        <v>-300.8</v>
      </c>
      <c r="BI416" s="89" t="n">
        <v>-67.09999999999999</v>
      </c>
      <c r="BJ416" s="89" t="n">
        <v>171.5</v>
      </c>
      <c r="BK416" s="89" t="n">
        <v>193.3</v>
      </c>
      <c r="BL416" s="89" t="n">
        <v>49.9</v>
      </c>
      <c r="BM416" s="89" t="n">
        <v>41.7</v>
      </c>
      <c r="BN416" s="89" t="n">
        <v>82.40000000000001</v>
      </c>
      <c r="BO416" s="89" t="n">
        <v>1754.5</v>
      </c>
      <c r="BP416" s="89" t="n">
        <v>2026.3</v>
      </c>
      <c r="BQ416" s="90" t="inlineStr">
        <is>
          <t>N/A</t>
        </is>
      </c>
      <c r="BR416" s="90" t="inlineStr">
        <is>
          <t>N/A</t>
        </is>
      </c>
      <c r="BS416" s="89" t="n">
        <v>0</v>
      </c>
      <c r="BT416" s="89" t="n">
        <v>0</v>
      </c>
      <c r="BU416" s="89" t="n">
        <v>0</v>
      </c>
      <c r="BV416" s="89" t="n">
        <v>0</v>
      </c>
      <c r="BW416" s="89" t="n">
        <v>0</v>
      </c>
      <c r="BX416" s="89" t="n">
        <v>0</v>
      </c>
      <c r="BY416" s="89" t="n">
        <v>0</v>
      </c>
    </row>
    <row r="417" ht="17" customHeight="1">
      <c r="A417" s="82" t="n">
        <v>415</v>
      </c>
      <c r="B417" s="83" t="inlineStr">
        <is>
          <t>VICR</t>
        </is>
      </c>
      <c r="C417" s="84" t="inlineStr">
        <is>
          <t>VICOR CORPORATION</t>
        </is>
      </c>
      <c r="D417" s="82" t="inlineStr">
        <is>
          <t>Information Technology</t>
        </is>
      </c>
      <c r="E417" s="82" t="n">
        <v>2026</v>
      </c>
      <c r="F417" s="85" t="n">
        <v>785.8</v>
      </c>
      <c r="G417" s="85" t="n">
        <v>587.4</v>
      </c>
      <c r="H417" s="85" t="n">
        <v>65.3</v>
      </c>
      <c r="I417" s="85" t="n">
        <v>74</v>
      </c>
      <c r="J417" s="85" t="n">
        <v>421.4</v>
      </c>
      <c r="K417" s="85" t="n">
        <v>81.8</v>
      </c>
      <c r="L417" s="85" t="n">
        <v>452.7</v>
      </c>
      <c r="M417" s="85" t="n">
        <v>118.6</v>
      </c>
      <c r="N417" s="85" t="n">
        <v>139.5</v>
      </c>
      <c r="O417" s="85" t="n">
        <v>259.4</v>
      </c>
      <c r="P417" s="91" t="inlineStr">
        <is>
          <t>N/A</t>
        </is>
      </c>
      <c r="Q417" s="85" t="n">
        <v>711.6</v>
      </c>
      <c r="R417" s="85" t="n">
        <v>99</v>
      </c>
      <c r="S417" s="85" t="n">
        <v>20.8</v>
      </c>
      <c r="T417" s="85" t="n">
        <v>60.7</v>
      </c>
      <c r="U417" s="85" t="n">
        <v>147.7</v>
      </c>
      <c r="V417" s="91" t="inlineStr">
        <is>
          <t>N/A</t>
        </is>
      </c>
      <c r="W417" s="85" t="n">
        <v>641.1</v>
      </c>
      <c r="X417" s="85" t="n">
        <v>463</v>
      </c>
      <c r="Y417" s="85" t="n">
        <v>61.8</v>
      </c>
      <c r="Z417" s="85" t="n">
        <v>70.8</v>
      </c>
      <c r="AA417" s="85" t="n">
        <v>-1.3</v>
      </c>
      <c r="AB417" s="85" t="n">
        <v>359.1</v>
      </c>
      <c r="AC417" s="85" t="n">
        <v>6.1</v>
      </c>
      <c r="AD417" s="85" t="n">
        <v>50.8</v>
      </c>
      <c r="AE417" s="85" t="n">
        <v>184</v>
      </c>
      <c r="AF417" s="91" t="inlineStr">
        <is>
          <t>N/A</t>
        </is>
      </c>
      <c r="AG417" s="85" t="n">
        <v>570.1</v>
      </c>
      <c r="AH417" s="85" t="n">
        <v>405.1</v>
      </c>
      <c r="AI417" s="85" t="n">
        <v>641.1</v>
      </c>
      <c r="AJ417" s="85" t="n">
        <v>94.59999999999999</v>
      </c>
      <c r="AK417" s="85" t="n">
        <v>10.5</v>
      </c>
      <c r="AL417" s="85" t="n">
        <v>-24</v>
      </c>
      <c r="AM417" s="85" t="n">
        <v>4.3</v>
      </c>
      <c r="AN417" s="85" t="n">
        <v>20.3</v>
      </c>
      <c r="AO417" s="85" t="n">
        <v>23.6</v>
      </c>
      <c r="AP417" s="85" t="n">
        <v>91.3</v>
      </c>
      <c r="AQ417" s="85" t="n">
        <v>106</v>
      </c>
      <c r="AR417" s="91" t="inlineStr">
        <is>
          <t>N/A</t>
        </is>
      </c>
      <c r="AS417" s="91" t="inlineStr">
        <is>
          <t>N/A</t>
        </is>
      </c>
      <c r="AT417" s="91" t="inlineStr">
        <is>
          <t>N/A</t>
        </is>
      </c>
      <c r="AU417" s="85" t="n">
        <v>78.59999999999999</v>
      </c>
      <c r="AV417" s="85" t="n">
        <v>402.8</v>
      </c>
      <c r="AW417" s="85" t="n">
        <v>277.3</v>
      </c>
      <c r="AX417" s="91" t="inlineStr">
        <is>
          <t>N/A</t>
        </is>
      </c>
      <c r="AY417" s="91" t="inlineStr">
        <is>
          <t>N/A</t>
        </is>
      </c>
      <c r="AZ417" s="91" t="inlineStr">
        <is>
          <t>N/A</t>
        </is>
      </c>
      <c r="BA417" s="85" t="n">
        <v>119.2</v>
      </c>
      <c r="BB417" s="85" t="n">
        <v>11.8</v>
      </c>
      <c r="BC417" s="85" t="n">
        <v>26.8</v>
      </c>
      <c r="BD417" s="85" t="n">
        <v>52.9</v>
      </c>
      <c r="BE417" s="85" t="n">
        <v>152.7</v>
      </c>
      <c r="BF417" s="85" t="n">
        <v>96.90000000000001</v>
      </c>
      <c r="BG417" s="85" t="n">
        <v>18.6</v>
      </c>
      <c r="BH417" s="85" t="n">
        <v>-20.3</v>
      </c>
      <c r="BI417" s="85" t="n">
        <v>-23.6</v>
      </c>
      <c r="BJ417" s="85" t="n">
        <v>12.3</v>
      </c>
      <c r="BK417" s="85" t="n">
        <v>8.699999999999999</v>
      </c>
      <c r="BL417" s="85" t="n">
        <v>3.4</v>
      </c>
      <c r="BM417" s="85" t="n">
        <v>5.3</v>
      </c>
      <c r="BN417" s="85" t="n">
        <v>0.9</v>
      </c>
      <c r="BO417" s="85" t="n">
        <v>193.3</v>
      </c>
      <c r="BP417" s="85" t="n">
        <v>175.1</v>
      </c>
      <c r="BQ417" s="85" t="n">
        <v>0</v>
      </c>
      <c r="BR417" s="85" t="n">
        <v>0</v>
      </c>
      <c r="BS417" s="85" t="n">
        <v>0</v>
      </c>
      <c r="BT417" s="85" t="n">
        <v>0</v>
      </c>
      <c r="BU417" s="85" t="n">
        <v>0</v>
      </c>
      <c r="BV417" s="85" t="n">
        <v>0</v>
      </c>
      <c r="BW417" s="85" t="n">
        <v>0</v>
      </c>
      <c r="BX417" s="85" t="n">
        <v>0</v>
      </c>
      <c r="BY417" s="85" t="n">
        <v>-0</v>
      </c>
    </row>
    <row r="418" ht="17" customHeight="1">
      <c r="A418" s="86" t="n">
        <v>416</v>
      </c>
      <c r="B418" s="87" t="inlineStr">
        <is>
          <t>CVNA</t>
        </is>
      </c>
      <c r="C418" s="88" t="inlineStr">
        <is>
          <t>CARVANA CO.</t>
        </is>
      </c>
      <c r="D418" s="86" t="inlineStr">
        <is>
          <t>Consumer Discretionary</t>
        </is>
      </c>
      <c r="E418" s="86" t="n">
        <v>2026</v>
      </c>
      <c r="F418" s="89" t="n">
        <v>13201</v>
      </c>
      <c r="G418" s="89" t="n">
        <v>6549</v>
      </c>
      <c r="H418" s="89" t="n">
        <v>1519</v>
      </c>
      <c r="I418" s="89" t="n">
        <v>8998</v>
      </c>
      <c r="J418" s="89" t="n">
        <v>-9</v>
      </c>
      <c r="K418" s="89" t="n">
        <v>1881</v>
      </c>
      <c r="L418" s="89" t="n">
        <v>20322</v>
      </c>
      <c r="M418" s="89" t="n">
        <v>1407</v>
      </c>
      <c r="N418" s="89" t="n">
        <v>1036</v>
      </c>
      <c r="O418" s="89" t="n">
        <v>4192</v>
      </c>
      <c r="P418" s="89" t="n">
        <v>4918</v>
      </c>
      <c r="Q418" s="89" t="n">
        <v>3441</v>
      </c>
      <c r="R418" s="89" t="n">
        <v>2308</v>
      </c>
      <c r="S418" s="89" t="n">
        <v>14</v>
      </c>
      <c r="T418" s="89" t="n">
        <v>245</v>
      </c>
      <c r="U418" s="89" t="n">
        <v>296.8</v>
      </c>
      <c r="V418" s="89" t="n">
        <v>632</v>
      </c>
      <c r="W418" s="89" t="n">
        <v>8484</v>
      </c>
      <c r="X418" s="89" t="n">
        <v>4869</v>
      </c>
      <c r="Y418" s="89" t="n">
        <v>1338</v>
      </c>
      <c r="Z418" s="89" t="n">
        <v>7109</v>
      </c>
      <c r="AA418" s="89" t="n">
        <v>990</v>
      </c>
      <c r="AB418" s="89" t="n">
        <v>13673</v>
      </c>
      <c r="AC418" s="89" t="n">
        <v>210</v>
      </c>
      <c r="AD418" s="89" t="n">
        <v>918</v>
      </c>
      <c r="AE418" s="89" t="n">
        <v>2876</v>
      </c>
      <c r="AF418" s="89" t="n">
        <v>5297</v>
      </c>
      <c r="AG418" s="89" t="n">
        <v>1260</v>
      </c>
      <c r="AH418" s="89" t="n">
        <v>13673</v>
      </c>
      <c r="AI418" s="89" t="n">
        <v>8484</v>
      </c>
      <c r="AJ418" s="90" t="inlineStr">
        <is>
          <t>N/A</t>
        </is>
      </c>
      <c r="AK418" s="90" t="inlineStr">
        <is>
          <t>N/A</t>
        </is>
      </c>
      <c r="AL418" s="89" t="n">
        <v>-2785</v>
      </c>
      <c r="AM418" s="89" t="n">
        <v>-4</v>
      </c>
      <c r="AN418" s="89" t="n">
        <v>147</v>
      </c>
      <c r="AO418" s="89" t="n">
        <v>91</v>
      </c>
      <c r="AP418" s="89" t="n">
        <v>2408</v>
      </c>
      <c r="AQ418" s="89" t="n">
        <v>1608</v>
      </c>
      <c r="AR418" s="89" t="n">
        <v>10</v>
      </c>
      <c r="AS418" s="89" t="n">
        <v>20</v>
      </c>
      <c r="AT418" s="89" t="n">
        <v>227</v>
      </c>
      <c r="AU418" s="90" t="inlineStr">
        <is>
          <t>N/A</t>
        </is>
      </c>
      <c r="AV418" s="89" t="n">
        <v>2327</v>
      </c>
      <c r="AW418" s="89" t="n">
        <v>1716</v>
      </c>
      <c r="AX418" s="89" t="n">
        <v>5145</v>
      </c>
      <c r="AY418" s="89" t="n">
        <v>5606</v>
      </c>
      <c r="AZ418" s="89" t="n">
        <v>2818</v>
      </c>
      <c r="BA418" s="89" t="n">
        <v>889</v>
      </c>
      <c r="BB418" s="90" t="inlineStr">
        <is>
          <t>N/A</t>
        </is>
      </c>
      <c r="BC418" s="90" t="inlineStr">
        <is>
          <t>N/A</t>
        </is>
      </c>
      <c r="BD418" s="89" t="n">
        <v>303</v>
      </c>
      <c r="BE418" s="89" t="n">
        <v>296.8</v>
      </c>
      <c r="BF418" s="89" t="n">
        <v>1874</v>
      </c>
      <c r="BG418" s="89" t="n">
        <v>18</v>
      </c>
      <c r="BH418" s="89" t="n">
        <v>-230</v>
      </c>
      <c r="BI418" s="89" t="n">
        <v>-13</v>
      </c>
      <c r="BJ418" s="89" t="n">
        <v>236</v>
      </c>
      <c r="BK418" s="89" t="n">
        <v>236</v>
      </c>
      <c r="BL418" s="89" t="n">
        <v>51</v>
      </c>
      <c r="BM418" s="89" t="n">
        <v>63</v>
      </c>
      <c r="BN418" s="90" t="inlineStr">
        <is>
          <t>N/A</t>
        </is>
      </c>
      <c r="BO418" s="89" t="n">
        <v>16130</v>
      </c>
      <c r="BP418" s="89" t="n">
        <v>10797</v>
      </c>
      <c r="BQ418" s="89" t="n">
        <v>0</v>
      </c>
      <c r="BR418" s="89" t="n">
        <v>0</v>
      </c>
      <c r="BS418" s="89" t="n">
        <v>0</v>
      </c>
      <c r="BT418" s="89" t="n">
        <v>0</v>
      </c>
      <c r="BU418" s="89" t="n">
        <v>0</v>
      </c>
      <c r="BV418" s="89" t="n">
        <v>0</v>
      </c>
      <c r="BW418" s="89" t="n">
        <v>0</v>
      </c>
      <c r="BX418" s="89" t="n">
        <v>0</v>
      </c>
      <c r="BY418" s="90" t="inlineStr">
        <is>
          <t>N/A</t>
        </is>
      </c>
    </row>
    <row r="419" ht="17" customHeight="1">
      <c r="A419" s="82" t="n">
        <v>417</v>
      </c>
      <c r="B419" s="83" t="inlineStr">
        <is>
          <t>RMBS</t>
        </is>
      </c>
      <c r="C419" s="84" t="inlineStr">
        <is>
          <t>RAMBUS INC</t>
        </is>
      </c>
      <c r="D419" s="82" t="inlineStr">
        <is>
          <t>Information Technology</t>
        </is>
      </c>
      <c r="E419" s="82" t="n">
        <v>2026</v>
      </c>
      <c r="F419" s="85" t="n">
        <v>1529.5</v>
      </c>
      <c r="G419" s="85" t="n">
        <v>988.8</v>
      </c>
      <c r="H419" s="85" t="n">
        <v>120.6</v>
      </c>
      <c r="I419" s="85" t="n">
        <v>165.1</v>
      </c>
      <c r="J419" s="85" t="n">
        <v>76.8</v>
      </c>
      <c r="K419" s="85" t="n">
        <v>260.2</v>
      </c>
      <c r="L419" s="85" t="n">
        <v>393.1</v>
      </c>
      <c r="M419" s="85" t="n">
        <v>230.5</v>
      </c>
      <c r="N419" s="85" t="n">
        <v>360</v>
      </c>
      <c r="O419" s="85" t="n">
        <v>563.2</v>
      </c>
      <c r="P419" s="91" t="inlineStr">
        <is>
          <t>N/A</t>
        </is>
      </c>
      <c r="Q419" s="85" t="n">
        <v>1364.4</v>
      </c>
      <c r="R419" s="85" t="n">
        <v>115.3</v>
      </c>
      <c r="S419" s="85" t="n">
        <v>11.9</v>
      </c>
      <c r="T419" s="85" t="n">
        <v>137.5</v>
      </c>
      <c r="U419" s="85" t="n">
        <v>113.1</v>
      </c>
      <c r="V419" s="85" t="n">
        <v>1.5</v>
      </c>
      <c r="W419" s="85" t="n">
        <v>1343.1</v>
      </c>
      <c r="X419" s="85" t="n">
        <v>690.3</v>
      </c>
      <c r="Y419" s="85" t="n">
        <v>81.8</v>
      </c>
      <c r="Z419" s="85" t="n">
        <v>222.4</v>
      </c>
      <c r="AA419" s="85" t="n">
        <v>183</v>
      </c>
      <c r="AB419" s="85" t="n">
        <v>101.9</v>
      </c>
      <c r="AC419" s="85" t="n">
        <v>179.8</v>
      </c>
      <c r="AD419" s="85" t="n">
        <v>230.6</v>
      </c>
      <c r="AE419" s="85" t="n">
        <v>446.5</v>
      </c>
      <c r="AF419" s="91" t="inlineStr">
        <is>
          <t>N/A</t>
        </is>
      </c>
      <c r="AG419" s="85" t="n">
        <v>1120.7</v>
      </c>
      <c r="AH419" s="85" t="n">
        <v>99.09999999999999</v>
      </c>
      <c r="AI419" s="85" t="n">
        <v>1343.1</v>
      </c>
      <c r="AJ419" s="85" t="n">
        <v>282</v>
      </c>
      <c r="AK419" s="85" t="n">
        <v>200</v>
      </c>
      <c r="AL419" s="85" t="n">
        <v>51.5</v>
      </c>
      <c r="AM419" s="85" t="n">
        <v>20.2</v>
      </c>
      <c r="AN419" s="85" t="n">
        <v>26.8</v>
      </c>
      <c r="AO419" s="85" t="n">
        <v>30.7</v>
      </c>
      <c r="AP419" s="85" t="n">
        <v>44.1</v>
      </c>
      <c r="AQ419" s="85" t="n">
        <v>44.6</v>
      </c>
      <c r="AR419" s="85" t="n">
        <v>286.8</v>
      </c>
      <c r="AS419" s="85" t="n">
        <v>10.2</v>
      </c>
      <c r="AT419" s="91" t="inlineStr">
        <is>
          <t>N/A</t>
        </is>
      </c>
      <c r="AU419" s="85" t="n">
        <v>187.7</v>
      </c>
      <c r="AV419" s="85" t="n">
        <v>182.8</v>
      </c>
      <c r="AW419" s="85" t="n">
        <v>99.8</v>
      </c>
      <c r="AX419" s="91" t="inlineStr">
        <is>
          <t>N/A</t>
        </is>
      </c>
      <c r="AY419" s="91" t="inlineStr">
        <is>
          <t>N/A</t>
        </is>
      </c>
      <c r="AZ419" s="91" t="inlineStr">
        <is>
          <t>N/A</t>
        </is>
      </c>
      <c r="BA419" s="85" t="n">
        <v>333.2</v>
      </c>
      <c r="BB419" s="85" t="n">
        <v>107.8</v>
      </c>
      <c r="BC419" s="85" t="n">
        <v>106.8</v>
      </c>
      <c r="BD419" s="85" t="n">
        <v>122.8</v>
      </c>
      <c r="BE419" s="85" t="n">
        <v>75.5</v>
      </c>
      <c r="BF419" s="85" t="n">
        <v>104.1</v>
      </c>
      <c r="BG419" s="85" t="n">
        <v>10.1</v>
      </c>
      <c r="BH419" s="85" t="n">
        <v>-223.1</v>
      </c>
      <c r="BI419" s="85" t="n">
        <v>-56.7</v>
      </c>
      <c r="BJ419" s="85" t="n">
        <v>35.9</v>
      </c>
      <c r="BK419" s="85" t="n">
        <v>18.5</v>
      </c>
      <c r="BL419" s="85" t="n">
        <v>19.9</v>
      </c>
      <c r="BM419" s="85" t="n">
        <v>17.4</v>
      </c>
      <c r="BN419" s="85" t="n">
        <v>1.3</v>
      </c>
      <c r="BO419" s="85" t="n">
        <v>27.2</v>
      </c>
      <c r="BP419" s="85" t="n">
        <v>18.3</v>
      </c>
      <c r="BQ419" s="85" t="n">
        <v>0</v>
      </c>
      <c r="BR419" s="85" t="n">
        <v>0</v>
      </c>
      <c r="BS419" s="85" t="n">
        <v>0</v>
      </c>
      <c r="BT419" s="85" t="n">
        <v>0</v>
      </c>
      <c r="BU419" s="85" t="n">
        <v>0</v>
      </c>
      <c r="BV419" s="85" t="n">
        <v>0</v>
      </c>
      <c r="BW419" s="85" t="n">
        <v>0</v>
      </c>
      <c r="BX419" s="85" t="n">
        <v>0</v>
      </c>
      <c r="BY419" s="85" t="n">
        <v>0</v>
      </c>
    </row>
    <row r="420" ht="17" customHeight="1">
      <c r="A420" s="86" t="n">
        <v>418</v>
      </c>
      <c r="B420" s="87" t="inlineStr">
        <is>
          <t>WDAY</t>
        </is>
      </c>
      <c r="C420" s="88" t="inlineStr">
        <is>
          <t>WORKDAY, INC.</t>
        </is>
      </c>
      <c r="D420" s="86" t="inlineStr">
        <is>
          <t>Information Technology</t>
        </is>
      </c>
      <c r="E420" s="86" t="n">
        <v>2026</v>
      </c>
      <c r="F420" s="89" t="n">
        <v>18074</v>
      </c>
      <c r="G420" s="89" t="n">
        <v>8429</v>
      </c>
      <c r="H420" s="89" t="n">
        <v>6378</v>
      </c>
      <c r="I420" s="89" t="n">
        <v>10269</v>
      </c>
      <c r="J420" s="89" t="n">
        <v>-512</v>
      </c>
      <c r="K420" s="89" t="n">
        <v>721</v>
      </c>
      <c r="L420" s="89" t="n">
        <v>2143.1</v>
      </c>
      <c r="M420" s="89" t="n">
        <v>693</v>
      </c>
      <c r="N420" s="89" t="n">
        <v>2939</v>
      </c>
      <c r="O420" s="89" t="n">
        <v>2026.5</v>
      </c>
      <c r="P420" s="89" t="n">
        <v>2980</v>
      </c>
      <c r="Q420" s="89" t="n">
        <v>7805</v>
      </c>
      <c r="R420" s="89" t="n">
        <v>912</v>
      </c>
      <c r="S420" s="89" t="n">
        <v>198.1</v>
      </c>
      <c r="T420" s="89" t="n">
        <v>2332</v>
      </c>
      <c r="U420" s="89" t="n">
        <v>1093</v>
      </c>
      <c r="V420" s="89" t="n">
        <v>114</v>
      </c>
      <c r="W420" s="89" t="n">
        <v>17977</v>
      </c>
      <c r="X420" s="89" t="n">
        <v>10545</v>
      </c>
      <c r="Y420" s="89" t="n">
        <v>5548</v>
      </c>
      <c r="Z420" s="89" t="n">
        <v>8943</v>
      </c>
      <c r="AA420" s="89" t="n">
        <v>415</v>
      </c>
      <c r="AB420" s="89" t="n">
        <v>582.5</v>
      </c>
      <c r="AC420" s="89" t="n">
        <v>526</v>
      </c>
      <c r="AD420" s="89" t="n">
        <v>2461</v>
      </c>
      <c r="AE420" s="89" t="n">
        <v>517.1</v>
      </c>
      <c r="AF420" s="89" t="n">
        <v>2975.9</v>
      </c>
      <c r="AG420" s="89" t="n">
        <v>9034</v>
      </c>
      <c r="AH420" s="89" t="n">
        <v>555.4</v>
      </c>
      <c r="AI420" s="89" t="n">
        <v>17977</v>
      </c>
      <c r="AJ420" s="89" t="n">
        <v>1009</v>
      </c>
      <c r="AK420" s="89" t="n">
        <v>638</v>
      </c>
      <c r="AL420" s="89" t="n">
        <v>316</v>
      </c>
      <c r="AM420" s="89" t="n">
        <v>112</v>
      </c>
      <c r="AN420" s="89" t="n">
        <v>162</v>
      </c>
      <c r="AO420" s="89" t="n">
        <v>269</v>
      </c>
      <c r="AP420" s="90" t="inlineStr">
        <is>
          <t>N/A</t>
        </is>
      </c>
      <c r="AQ420" s="90" t="inlineStr">
        <is>
          <t>N/A</t>
        </is>
      </c>
      <c r="AR420" s="89" t="n">
        <v>5229</v>
      </c>
      <c r="AS420" s="89" t="n">
        <v>308.4</v>
      </c>
      <c r="AT420" s="90" t="inlineStr">
        <is>
          <t>N/A</t>
        </is>
      </c>
      <c r="AU420" s="89" t="n">
        <v>2679</v>
      </c>
      <c r="AV420" s="89" t="n">
        <v>1501</v>
      </c>
      <c r="AW420" s="89" t="n">
        <v>1543</v>
      </c>
      <c r="AX420" s="89" t="n">
        <v>2980</v>
      </c>
      <c r="AY420" s="89" t="n">
        <v>2975.9</v>
      </c>
      <c r="AZ420" s="89" t="n">
        <v>1479</v>
      </c>
      <c r="BA420" s="89" t="n">
        <v>2777</v>
      </c>
      <c r="BB420" s="89" t="n">
        <v>36</v>
      </c>
      <c r="BC420" s="90" t="inlineStr">
        <is>
          <t>N/A</t>
        </is>
      </c>
      <c r="BD420" s="89" t="n">
        <v>1950</v>
      </c>
      <c r="BE420" s="89" t="n">
        <v>1239</v>
      </c>
      <c r="BF420" s="89" t="n">
        <v>820</v>
      </c>
      <c r="BG420" s="89" t="n">
        <v>137</v>
      </c>
      <c r="BH420" s="89" t="n">
        <v>333</v>
      </c>
      <c r="BI420" s="89" t="n">
        <v>-1781</v>
      </c>
      <c r="BJ420" s="89" t="n">
        <v>142</v>
      </c>
      <c r="BK420" s="89" t="n">
        <v>108</v>
      </c>
      <c r="BL420" s="89" t="n">
        <v>1426.2</v>
      </c>
      <c r="BM420" s="89" t="n">
        <v>1097.4</v>
      </c>
      <c r="BN420" s="90" t="inlineStr">
        <is>
          <t>N/A</t>
        </is>
      </c>
      <c r="BO420" s="89" t="n">
        <v>116.5</v>
      </c>
      <c r="BP420" s="89" t="n">
        <v>65.40000000000001</v>
      </c>
      <c r="BQ420" s="89" t="n">
        <v>0</v>
      </c>
      <c r="BR420" s="89" t="n">
        <v>0</v>
      </c>
      <c r="BS420" s="90" t="inlineStr">
        <is>
          <t>N/A</t>
        </is>
      </c>
      <c r="BT420" s="90" t="inlineStr">
        <is>
          <t>N/A</t>
        </is>
      </c>
      <c r="BU420" s="89" t="n">
        <v>0</v>
      </c>
      <c r="BV420" s="89" t="n">
        <v>0</v>
      </c>
      <c r="BW420" s="89" t="n">
        <v>0</v>
      </c>
      <c r="BX420" s="89" t="n">
        <v>0</v>
      </c>
      <c r="BY420" s="89" t="n">
        <v>0</v>
      </c>
    </row>
    <row r="421" ht="17" customHeight="1">
      <c r="A421" s="82" t="n">
        <v>419</v>
      </c>
      <c r="B421" s="83" t="inlineStr">
        <is>
          <t>RIVN</t>
        </is>
      </c>
      <c r="C421" s="84" t="inlineStr">
        <is>
          <t>Rivian Automotive, Inc. / DE</t>
        </is>
      </c>
      <c r="D421" s="82" t="inlineStr">
        <is>
          <t>Consumer Discretionary</t>
        </is>
      </c>
      <c r="E421" s="82" t="n">
        <v>2026</v>
      </c>
      <c r="F421" s="85" t="n">
        <v>14864</v>
      </c>
      <c r="G421" s="85" t="n">
        <v>8592</v>
      </c>
      <c r="H421" s="85" t="n">
        <v>3693</v>
      </c>
      <c r="I421" s="85" t="n">
        <v>10270</v>
      </c>
      <c r="J421" s="85" t="n">
        <v>-26951</v>
      </c>
      <c r="K421" s="85" t="n">
        <v>-3585</v>
      </c>
      <c r="L421" s="85" t="n">
        <v>5387</v>
      </c>
      <c r="M421" s="85" t="n">
        <v>-3646</v>
      </c>
      <c r="N421" s="85" t="n">
        <v>-779</v>
      </c>
      <c r="O421" s="85" t="n">
        <v>144</v>
      </c>
      <c r="P421" s="85" t="n">
        <v>4431</v>
      </c>
      <c r="Q421" s="85" t="n">
        <v>9141</v>
      </c>
      <c r="R421" s="85" t="n">
        <v>2061</v>
      </c>
      <c r="S421" s="85" t="n">
        <v>784</v>
      </c>
      <c r="T421" s="85" t="n">
        <v>555</v>
      </c>
      <c r="U421" s="85" t="n">
        <v>3758</v>
      </c>
      <c r="V421" s="85" t="n">
        <v>220</v>
      </c>
      <c r="W421" s="85" t="n">
        <v>15410</v>
      </c>
      <c r="X421" s="85" t="n">
        <v>10583</v>
      </c>
      <c r="Y421" s="85" t="n">
        <v>2251</v>
      </c>
      <c r="Z421" s="85" t="n">
        <v>8848</v>
      </c>
      <c r="AA421" s="85" t="n">
        <v>-4689</v>
      </c>
      <c r="AB421" s="85" t="n">
        <v>4970</v>
      </c>
      <c r="AC421" s="85" t="n">
        <v>-4747</v>
      </c>
      <c r="AD421" s="85" t="n">
        <v>-1716</v>
      </c>
      <c r="AE421" s="85" t="n">
        <v>-1200</v>
      </c>
      <c r="AF421" s="85" t="n">
        <v>1231</v>
      </c>
      <c r="AG421" s="85" t="n">
        <v>13799</v>
      </c>
      <c r="AH421" s="85" t="n">
        <v>4970</v>
      </c>
      <c r="AI421" s="85" t="n">
        <v>15410</v>
      </c>
      <c r="AJ421" s="85" t="n">
        <v>-3620</v>
      </c>
      <c r="AK421" s="85" t="n">
        <v>-4741</v>
      </c>
      <c r="AL421" s="85" t="n">
        <v>6</v>
      </c>
      <c r="AM421" s="85" t="n">
        <v>5</v>
      </c>
      <c r="AN421" s="85" t="n">
        <v>1710</v>
      </c>
      <c r="AO421" s="85" t="n">
        <v>1141</v>
      </c>
      <c r="AP421" s="85" t="n">
        <v>1594</v>
      </c>
      <c r="AQ421" s="85" t="n">
        <v>2248</v>
      </c>
      <c r="AR421" s="91" t="inlineStr">
        <is>
          <t>N/A</t>
        </is>
      </c>
      <c r="AS421" s="91" t="inlineStr">
        <is>
          <t>N/A</t>
        </is>
      </c>
      <c r="AT421" s="91" t="inlineStr">
        <is>
          <t>N/A</t>
        </is>
      </c>
      <c r="AU421" s="85" t="n">
        <v>1668</v>
      </c>
      <c r="AV421" s="85" t="n">
        <v>3579</v>
      </c>
      <c r="AW421" s="85" t="n">
        <v>5294</v>
      </c>
      <c r="AX421" s="85" t="n">
        <v>4431</v>
      </c>
      <c r="AY421" s="85" t="n">
        <v>1231</v>
      </c>
      <c r="AZ421" s="85" t="n">
        <v>852</v>
      </c>
      <c r="BA421" s="85" t="n">
        <v>-2489</v>
      </c>
      <c r="BB421" s="85" t="n">
        <v>1240</v>
      </c>
      <c r="BC421" s="85" t="n">
        <v>1131</v>
      </c>
      <c r="BD421" s="85" t="n">
        <v>443</v>
      </c>
      <c r="BE421" s="85" t="n">
        <v>3183</v>
      </c>
      <c r="BF421" s="85" t="n">
        <v>1876</v>
      </c>
      <c r="BG421" s="85" t="n">
        <v>1031</v>
      </c>
      <c r="BH421" s="85" t="n">
        <v>-1828</v>
      </c>
      <c r="BI421" s="85" t="n">
        <v>-1980</v>
      </c>
      <c r="BJ421" s="85" t="n">
        <v>595</v>
      </c>
      <c r="BK421" s="85" t="n">
        <v>499</v>
      </c>
      <c r="BL421" s="85" t="n">
        <v>1277</v>
      </c>
      <c r="BM421" s="85" t="n">
        <v>552</v>
      </c>
      <c r="BN421" s="91" t="inlineStr">
        <is>
          <t>N/A</t>
        </is>
      </c>
      <c r="BO421" s="85" t="n">
        <v>5243</v>
      </c>
      <c r="BP421" s="85" t="n">
        <v>6170</v>
      </c>
      <c r="BQ421" s="85" t="n">
        <v>0</v>
      </c>
      <c r="BR421" s="85" t="n">
        <v>0</v>
      </c>
      <c r="BS421" s="85" t="n">
        <v>0</v>
      </c>
      <c r="BT421" s="85" t="n">
        <v>0</v>
      </c>
      <c r="BU421" s="85" t="n">
        <v>0</v>
      </c>
      <c r="BV421" s="85" t="n">
        <v>0</v>
      </c>
      <c r="BW421" s="85" t="n">
        <v>0</v>
      </c>
      <c r="BX421" s="85" t="n">
        <v>-0</v>
      </c>
      <c r="BY421" s="85" t="n">
        <v>-0</v>
      </c>
    </row>
    <row r="422" ht="17" customHeight="1">
      <c r="A422" s="86" t="n">
        <v>420</v>
      </c>
      <c r="B422" s="87" t="inlineStr">
        <is>
          <t>MSCI</t>
        </is>
      </c>
      <c r="C422" s="88" t="inlineStr">
        <is>
          <t>MSCI INC.</t>
        </is>
      </c>
      <c r="D422" s="86" t="inlineStr">
        <is>
          <t>Financials</t>
        </is>
      </c>
      <c r="E422" s="86" t="n">
        <v>2026</v>
      </c>
      <c r="F422" s="89" t="n">
        <v>5702.5</v>
      </c>
      <c r="G422" s="89" t="n">
        <v>1644.8</v>
      </c>
      <c r="H422" s="89" t="n">
        <v>1829.7</v>
      </c>
      <c r="I422" s="89" t="n">
        <v>8357</v>
      </c>
      <c r="J422" s="89" t="n">
        <v>5427.6</v>
      </c>
      <c r="K422" s="89" t="n">
        <v>1713.6</v>
      </c>
      <c r="L422" s="89" t="n">
        <v>1274.2</v>
      </c>
      <c r="M422" s="89" t="n">
        <v>1202.3</v>
      </c>
      <c r="N422" s="89" t="n">
        <v>1588.4</v>
      </c>
      <c r="O422" s="89" t="n">
        <v>1178.3</v>
      </c>
      <c r="P422" s="89" t="n">
        <v>6202.1</v>
      </c>
      <c r="Q422" s="89" t="n">
        <v>-2654.5</v>
      </c>
      <c r="R422" s="89" t="n">
        <v>279.4</v>
      </c>
      <c r="S422" s="89" t="n">
        <v>25.7</v>
      </c>
      <c r="T422" s="89" t="n">
        <v>663.2</v>
      </c>
      <c r="U422" s="89" t="n">
        <v>87.3</v>
      </c>
      <c r="V422" s="89" t="n">
        <v>186.7</v>
      </c>
      <c r="W422" s="89" t="n">
        <v>5445.4</v>
      </c>
      <c r="X422" s="89" t="n">
        <v>1344</v>
      </c>
      <c r="Y422" s="89" t="n">
        <v>1585.7</v>
      </c>
      <c r="Z422" s="89" t="n">
        <v>6385.4</v>
      </c>
      <c r="AA422" s="89" t="n">
        <v>1528.5</v>
      </c>
      <c r="AB422" s="89" t="n">
        <v>334.8</v>
      </c>
      <c r="AC422" s="89" t="n">
        <v>1109.1</v>
      </c>
      <c r="AD422" s="89" t="n">
        <v>1501.6</v>
      </c>
      <c r="AE422" s="89" t="n">
        <v>245.1</v>
      </c>
      <c r="AF422" s="89" t="n">
        <v>4510.8</v>
      </c>
      <c r="AG422" s="89" t="n">
        <v>-940</v>
      </c>
      <c r="AH422" s="89" t="n">
        <v>322.1</v>
      </c>
      <c r="AI422" s="89" t="n">
        <v>5445.4</v>
      </c>
      <c r="AJ422" s="89" t="n">
        <v>1494.3</v>
      </c>
      <c r="AK422" s="89" t="n">
        <v>1356.2</v>
      </c>
      <c r="AL422" s="89" t="n">
        <v>292</v>
      </c>
      <c r="AM422" s="89" t="n">
        <v>247</v>
      </c>
      <c r="AN422" s="89" t="n">
        <v>39.3</v>
      </c>
      <c r="AO422" s="89" t="n">
        <v>33.8</v>
      </c>
      <c r="AP422" s="90" t="inlineStr">
        <is>
          <t>N/A</t>
        </is>
      </c>
      <c r="AQ422" s="90" t="inlineStr">
        <is>
          <t>N/A</t>
        </is>
      </c>
      <c r="AR422" s="89" t="n">
        <v>2923.4</v>
      </c>
      <c r="AS422" s="89" t="n">
        <v>832.5</v>
      </c>
      <c r="AT422" s="90" t="inlineStr">
        <is>
          <t>N/A</t>
        </is>
      </c>
      <c r="AU422" s="89" t="n">
        <v>177.6</v>
      </c>
      <c r="AV422" s="89" t="n">
        <v>515.3</v>
      </c>
      <c r="AW422" s="89" t="n">
        <v>409.4</v>
      </c>
      <c r="AX422" s="89" t="n">
        <v>6202.1</v>
      </c>
      <c r="AY422" s="89" t="n">
        <v>4510.8</v>
      </c>
      <c r="AZ422" s="89" t="n">
        <v>5686.8</v>
      </c>
      <c r="BA422" s="89" t="n">
        <v>1549.1</v>
      </c>
      <c r="BB422" s="89" t="n">
        <v>73.59999999999999</v>
      </c>
      <c r="BC422" s="89" t="n">
        <v>77.7</v>
      </c>
      <c r="BD422" s="89" t="n">
        <v>664.5</v>
      </c>
      <c r="BE422" s="89" t="n">
        <v>70.90000000000001</v>
      </c>
      <c r="BF422" s="89" t="n">
        <v>279.4</v>
      </c>
      <c r="BG422" s="89" t="n">
        <v>25.7</v>
      </c>
      <c r="BH422" s="89" t="n">
        <v>-130.1</v>
      </c>
      <c r="BI422" s="89" t="n">
        <v>-144.3</v>
      </c>
      <c r="BJ422" s="89" t="n">
        <v>15.3</v>
      </c>
      <c r="BK422" s="89" t="n">
        <v>14.5</v>
      </c>
      <c r="BL422" s="89" t="n">
        <v>374.4</v>
      </c>
      <c r="BM422" s="89" t="n">
        <v>334.4</v>
      </c>
      <c r="BN422" s="89" t="n">
        <v>74.40000000000001</v>
      </c>
      <c r="BO422" s="89" t="n">
        <v>95.90000000000001</v>
      </c>
      <c r="BP422" s="89" t="n">
        <v>89.7</v>
      </c>
      <c r="BQ422" s="89" t="n">
        <v>0</v>
      </c>
      <c r="BR422" s="89" t="n">
        <v>0</v>
      </c>
      <c r="BS422" s="90" t="inlineStr">
        <is>
          <t>N/A</t>
        </is>
      </c>
      <c r="BT422" s="90" t="inlineStr">
        <is>
          <t>N/A</t>
        </is>
      </c>
      <c r="BU422" s="89" t="n">
        <v>0</v>
      </c>
      <c r="BV422" s="89" t="n">
        <v>0</v>
      </c>
      <c r="BW422" s="89" t="n">
        <v>0</v>
      </c>
      <c r="BX422" s="89" t="n">
        <v>0</v>
      </c>
      <c r="BY422" s="89" t="n">
        <v>0</v>
      </c>
    </row>
    <row r="423" ht="17" customHeight="1">
      <c r="A423" s="82" t="n">
        <v>421</v>
      </c>
      <c r="B423" s="83" t="inlineStr">
        <is>
          <t>ODFL</t>
        </is>
      </c>
      <c r="C423" s="84" t="inlineStr">
        <is>
          <t>OLD DOMINION FREIGHT LINE, INC.</t>
        </is>
      </c>
      <c r="D423" s="82" t="inlineStr">
        <is>
          <t>Industrials</t>
        </is>
      </c>
      <c r="E423" s="82" t="n">
        <v>2026</v>
      </c>
      <c r="F423" s="85" t="n">
        <v>5470.2</v>
      </c>
      <c r="G423" s="85" t="n">
        <v>694.8</v>
      </c>
      <c r="H423" s="85" t="n">
        <v>483.9</v>
      </c>
      <c r="I423" s="85" t="n">
        <v>1159.1</v>
      </c>
      <c r="J423" s="85" t="n">
        <v>4055.6</v>
      </c>
      <c r="K423" s="85" t="n">
        <v>1361</v>
      </c>
      <c r="L423" s="85" t="n">
        <v>5496.4</v>
      </c>
      <c r="M423" s="85" t="n">
        <v>1023.7</v>
      </c>
      <c r="N423" s="85" t="n">
        <v>1370.1</v>
      </c>
      <c r="O423" s="91" t="inlineStr">
        <is>
          <t>N/A</t>
        </is>
      </c>
      <c r="P423" s="85" t="n">
        <v>45</v>
      </c>
      <c r="Q423" s="85" t="n">
        <v>4311.1</v>
      </c>
      <c r="R423" s="91" t="inlineStr">
        <is>
          <t>N/A</t>
        </is>
      </c>
      <c r="S423" s="85" t="n">
        <v>364.7</v>
      </c>
      <c r="T423" s="85" t="n">
        <v>471.9</v>
      </c>
      <c r="U423" s="85" t="n">
        <v>4504.2</v>
      </c>
      <c r="V423" s="85" t="n">
        <v>5.4</v>
      </c>
      <c r="W423" s="85" t="n">
        <v>5491.4</v>
      </c>
      <c r="X423" s="85" t="n">
        <v>720.7</v>
      </c>
      <c r="Y423" s="85" t="n">
        <v>540.5</v>
      </c>
      <c r="Z423" s="85" t="n">
        <v>1246.8</v>
      </c>
      <c r="AA423" s="85" t="n">
        <v>1544</v>
      </c>
      <c r="AB423" s="85" t="n">
        <v>5814.8</v>
      </c>
      <c r="AC423" s="85" t="n">
        <v>1186.1</v>
      </c>
      <c r="AD423" s="85" t="n">
        <v>1659.3</v>
      </c>
      <c r="AE423" s="91" t="inlineStr">
        <is>
          <t>N/A</t>
        </is>
      </c>
      <c r="AF423" s="85" t="n">
        <v>95</v>
      </c>
      <c r="AG423" s="85" t="n">
        <v>4244.6</v>
      </c>
      <c r="AH423" s="91" t="inlineStr">
        <is>
          <t>N/A</t>
        </is>
      </c>
      <c r="AI423" s="85" t="n">
        <v>5491.4</v>
      </c>
      <c r="AJ423" s="85" t="n">
        <v>1361.3</v>
      </c>
      <c r="AK423" s="85" t="n">
        <v>1557.6</v>
      </c>
      <c r="AL423" s="85" t="n">
        <v>337.6</v>
      </c>
      <c r="AM423" s="85" t="n">
        <v>371.5</v>
      </c>
      <c r="AN423" s="85" t="n">
        <v>415</v>
      </c>
      <c r="AO423" s="85" t="n">
        <v>771.3</v>
      </c>
      <c r="AP423" s="91" t="inlineStr">
        <is>
          <t>N/A</t>
        </is>
      </c>
      <c r="AQ423" s="91" t="inlineStr">
        <is>
          <t>N/A</t>
        </is>
      </c>
      <c r="AR423" s="85" t="n">
        <v>19.5</v>
      </c>
      <c r="AS423" s="91" t="inlineStr">
        <is>
          <t>N/A</t>
        </is>
      </c>
      <c r="AT423" s="85" t="n">
        <v>20</v>
      </c>
      <c r="AU423" s="91" t="inlineStr">
        <is>
          <t>N/A</t>
        </is>
      </c>
      <c r="AV423" s="85" t="n">
        <v>120.1</v>
      </c>
      <c r="AW423" s="85" t="n">
        <v>108.7</v>
      </c>
      <c r="AX423" s="85" t="n">
        <v>65</v>
      </c>
      <c r="AY423" s="85" t="n">
        <v>95</v>
      </c>
      <c r="AZ423" s="85" t="n">
        <v>-55.1</v>
      </c>
      <c r="BA423" s="85" t="n">
        <v>955.1</v>
      </c>
      <c r="BB423" s="85" t="n">
        <v>208.6</v>
      </c>
      <c r="BC423" s="85" t="n">
        <v>213</v>
      </c>
      <c r="BD423" s="85" t="n">
        <v>501.6</v>
      </c>
      <c r="BE423" s="85" t="n">
        <v>4505.4</v>
      </c>
      <c r="BF423" s="91" t="inlineStr">
        <is>
          <t>N/A</t>
        </is>
      </c>
      <c r="BG423" s="85" t="n">
        <v>344.6</v>
      </c>
      <c r="BH423" s="85" t="n">
        <v>-366.4</v>
      </c>
      <c r="BI423" s="85" t="n">
        <v>-751.2</v>
      </c>
      <c r="BJ423" s="85" t="n">
        <v>62.7</v>
      </c>
      <c r="BK423" s="85" t="n">
        <v>91.8</v>
      </c>
      <c r="BL423" s="91" t="inlineStr">
        <is>
          <t>N/A</t>
        </is>
      </c>
      <c r="BM423" s="91" t="inlineStr">
        <is>
          <t>N/A</t>
        </is>
      </c>
      <c r="BN423" s="85" t="n">
        <v>13.1</v>
      </c>
      <c r="BO423" s="91" t="inlineStr">
        <is>
          <t>N/A</t>
        </is>
      </c>
      <c r="BP423" s="91" t="inlineStr">
        <is>
          <t>N/A</t>
        </is>
      </c>
      <c r="BQ423" s="85" t="n">
        <v>0</v>
      </c>
      <c r="BR423" s="85" t="n">
        <v>0</v>
      </c>
      <c r="BS423" s="91" t="inlineStr">
        <is>
          <t>N/A</t>
        </is>
      </c>
      <c r="BT423" s="91" t="inlineStr">
        <is>
          <t>N/A</t>
        </is>
      </c>
      <c r="BU423" s="91" t="inlineStr">
        <is>
          <t>N/A</t>
        </is>
      </c>
      <c r="BV423" s="91" t="inlineStr">
        <is>
          <t>N/A</t>
        </is>
      </c>
      <c r="BW423" s="85" t="n">
        <v>0</v>
      </c>
      <c r="BX423" s="85" t="n">
        <v>0</v>
      </c>
      <c r="BY423" s="85" t="n">
        <v>0</v>
      </c>
    </row>
    <row r="424" ht="17" customHeight="1">
      <c r="A424" s="86" t="n">
        <v>422</v>
      </c>
      <c r="B424" s="87" t="inlineStr">
        <is>
          <t>AXP</t>
        </is>
      </c>
      <c r="C424" s="88" t="inlineStr">
        <is>
          <t>AMERICAN EXPRESS CO</t>
        </is>
      </c>
      <c r="D424" s="86" t="inlineStr">
        <is>
          <t>Financials</t>
        </is>
      </c>
      <c r="E424" s="86" t="n">
        <v>2026</v>
      </c>
      <c r="F424" s="89" t="n">
        <v>300052</v>
      </c>
      <c r="G424" s="90" t="inlineStr">
        <is>
          <t>N/A</t>
        </is>
      </c>
      <c r="H424" s="90" t="inlineStr">
        <is>
          <t>N/A</t>
        </is>
      </c>
      <c r="I424" s="89" t="n">
        <v>266578</v>
      </c>
      <c r="J424" s="89" t="n">
        <v>25487</v>
      </c>
      <c r="K424" s="89" t="n">
        <v>2841</v>
      </c>
      <c r="L424" s="89" t="n">
        <v>27819</v>
      </c>
      <c r="M424" s="89" t="n">
        <v>10833</v>
      </c>
      <c r="N424" s="89" t="n">
        <v>18428</v>
      </c>
      <c r="O424" s="90" t="inlineStr">
        <is>
          <t>N/A</t>
        </is>
      </c>
      <c r="P424" s="89" t="n">
        <v>56387</v>
      </c>
      <c r="Q424" s="89" t="n">
        <v>33474</v>
      </c>
      <c r="R424" s="90" t="inlineStr">
        <is>
          <t>N/A</t>
        </is>
      </c>
      <c r="S424" s="89" t="n">
        <v>36</v>
      </c>
      <c r="T424" s="89" t="n">
        <v>56794</v>
      </c>
      <c r="U424" s="89" t="n">
        <v>6118</v>
      </c>
      <c r="V424" s="89" t="n">
        <v>6849</v>
      </c>
      <c r="W424" s="89" t="n">
        <v>271461</v>
      </c>
      <c r="X424" s="90" t="inlineStr">
        <is>
          <t>N/A</t>
        </is>
      </c>
      <c r="Y424" s="90" t="inlineStr">
        <is>
          <t>N/A</t>
        </is>
      </c>
      <c r="Z424" s="89" t="n">
        <v>241197</v>
      </c>
      <c r="AA424" s="89" t="n">
        <v>3581</v>
      </c>
      <c r="AB424" s="89" t="n">
        <v>24523</v>
      </c>
      <c r="AC424" s="89" t="n">
        <v>10129</v>
      </c>
      <c r="AD424" s="89" t="n">
        <v>14050</v>
      </c>
      <c r="AE424" s="90" t="inlineStr">
        <is>
          <t>N/A</t>
        </is>
      </c>
      <c r="AF424" s="89" t="n">
        <v>49715</v>
      </c>
      <c r="AG424" s="89" t="n">
        <v>30264</v>
      </c>
      <c r="AH424" s="89" t="n">
        <v>28365</v>
      </c>
      <c r="AI424" s="89" t="n">
        <v>271461</v>
      </c>
      <c r="AJ424" s="89" t="n">
        <v>13795</v>
      </c>
      <c r="AK424" s="89" t="n">
        <v>12895</v>
      </c>
      <c r="AL424" s="89" t="n">
        <v>2962</v>
      </c>
      <c r="AM424" s="89" t="n">
        <v>2766</v>
      </c>
      <c r="AN424" s="89" t="n">
        <v>2425</v>
      </c>
      <c r="AO424" s="89" t="n">
        <v>1911</v>
      </c>
      <c r="AP424" s="90" t="inlineStr">
        <is>
          <t>N/A</t>
        </is>
      </c>
      <c r="AQ424" s="90" t="inlineStr">
        <is>
          <t>N/A</t>
        </is>
      </c>
      <c r="AR424" s="89" t="n">
        <v>4872</v>
      </c>
      <c r="AS424" s="89" t="n">
        <v>90</v>
      </c>
      <c r="AT424" s="89" t="n">
        <v>1371</v>
      </c>
      <c r="AU424" s="90" t="inlineStr">
        <is>
          <t>N/A</t>
        </is>
      </c>
      <c r="AV424" s="89" t="n">
        <v>654</v>
      </c>
      <c r="AW424" s="89" t="n">
        <v>15542</v>
      </c>
      <c r="AX424" s="89" t="n">
        <v>57758</v>
      </c>
      <c r="AY424" s="89" t="n">
        <v>51089</v>
      </c>
      <c r="AZ424" s="89" t="n">
        <v>57104</v>
      </c>
      <c r="BA424" s="89" t="n">
        <v>16003</v>
      </c>
      <c r="BB424" s="89" t="n">
        <v>686</v>
      </c>
      <c r="BC424" s="89" t="n">
        <v>702</v>
      </c>
      <c r="BD424" s="89" t="n">
        <v>55320</v>
      </c>
      <c r="BE424" s="89" t="n">
        <v>5371</v>
      </c>
      <c r="BF424" s="90" t="inlineStr">
        <is>
          <t>N/A</t>
        </is>
      </c>
      <c r="BG424" s="89" t="n">
        <v>46</v>
      </c>
      <c r="BH424" s="89" t="n">
        <v>-22891</v>
      </c>
      <c r="BI424" s="89" t="n">
        <v>-24402</v>
      </c>
      <c r="BJ424" s="90" t="inlineStr">
        <is>
          <t>N/A</t>
        </is>
      </c>
      <c r="BK424" s="90" t="inlineStr">
        <is>
          <t>N/A</t>
        </is>
      </c>
      <c r="BL424" s="90" t="inlineStr">
        <is>
          <t>N/A</t>
        </is>
      </c>
      <c r="BM424" s="90" t="inlineStr">
        <is>
          <t>N/A</t>
        </is>
      </c>
      <c r="BN424" s="90" t="inlineStr">
        <is>
          <t>N/A</t>
        </is>
      </c>
      <c r="BO424" s="90" t="inlineStr">
        <is>
          <t>N/A</t>
        </is>
      </c>
      <c r="BP424" s="90" t="inlineStr">
        <is>
          <t>N/A</t>
        </is>
      </c>
      <c r="BQ424" s="89" t="n">
        <v>0</v>
      </c>
      <c r="BR424" s="89" t="n">
        <v>0</v>
      </c>
      <c r="BS424" s="90" t="inlineStr">
        <is>
          <t>N/A</t>
        </is>
      </c>
      <c r="BT424" s="90" t="inlineStr">
        <is>
          <t>N/A</t>
        </is>
      </c>
      <c r="BU424" s="90" t="inlineStr">
        <is>
          <t>N/A</t>
        </is>
      </c>
      <c r="BV424" s="90" t="inlineStr">
        <is>
          <t>N/A</t>
        </is>
      </c>
      <c r="BW424" s="89" t="n">
        <v>0</v>
      </c>
      <c r="BX424" s="89" t="n">
        <v>0</v>
      </c>
      <c r="BY424" s="89" t="n">
        <v>0</v>
      </c>
    </row>
    <row r="425" ht="17" customHeight="1">
      <c r="A425" s="82" t="n">
        <v>423</v>
      </c>
      <c r="B425" s="83" t="inlineStr">
        <is>
          <t>SYK</t>
        </is>
      </c>
      <c r="C425" s="84" t="inlineStr">
        <is>
          <t>STRYKER CORP</t>
        </is>
      </c>
      <c r="D425" s="82" t="inlineStr">
        <is>
          <t>Health Care</t>
        </is>
      </c>
      <c r="E425" s="82" t="n">
        <v>2026</v>
      </c>
      <c r="F425" s="85" t="n">
        <v>47844</v>
      </c>
      <c r="G425" s="85" t="n">
        <v>14755</v>
      </c>
      <c r="H425" s="85" t="n">
        <v>7794</v>
      </c>
      <c r="I425" s="85" t="n">
        <v>25424</v>
      </c>
      <c r="J425" s="85" t="n">
        <v>20472</v>
      </c>
      <c r="K425" s="85" t="n">
        <v>4889</v>
      </c>
      <c r="L425" s="85" t="n">
        <v>25116</v>
      </c>
      <c r="M425" s="85" t="n">
        <v>3246</v>
      </c>
      <c r="N425" s="85" t="n">
        <v>5044</v>
      </c>
      <c r="O425" s="85" t="n">
        <v>16065</v>
      </c>
      <c r="P425" s="85" t="n">
        <v>1768</v>
      </c>
      <c r="Q425" s="85" t="n">
        <v>11730</v>
      </c>
      <c r="R425" s="85" t="n">
        <v>8651</v>
      </c>
      <c r="S425" s="85" t="n">
        <v>1570</v>
      </c>
      <c r="T425" s="85" t="n">
        <v>4039</v>
      </c>
      <c r="U425" s="85" t="n">
        <v>3876</v>
      </c>
      <c r="V425" s="85" t="n">
        <v>582</v>
      </c>
      <c r="W425" s="85" t="n">
        <v>42971</v>
      </c>
      <c r="X425" s="85" t="n">
        <v>14847</v>
      </c>
      <c r="Y425" s="85" t="n">
        <v>7616</v>
      </c>
      <c r="Z425" s="85" t="n">
        <v>22337</v>
      </c>
      <c r="AA425" s="85" t="n">
        <v>3689</v>
      </c>
      <c r="AB425" s="85" t="n">
        <v>7171</v>
      </c>
      <c r="AC425" s="85" t="n">
        <v>849</v>
      </c>
      <c r="AD425" s="85" t="n">
        <v>4242</v>
      </c>
      <c r="AE425" s="85" t="n">
        <v>4628</v>
      </c>
      <c r="AF425" s="85" t="n">
        <v>1021.8</v>
      </c>
      <c r="AG425" s="85" t="n">
        <v>9966</v>
      </c>
      <c r="AH425" s="85" t="n">
        <v>6057</v>
      </c>
      <c r="AI425" s="85" t="n">
        <v>42971</v>
      </c>
      <c r="AJ425" s="85" t="n">
        <v>4514</v>
      </c>
      <c r="AK425" s="85" t="n">
        <v>1705</v>
      </c>
      <c r="AL425" s="85" t="n">
        <v>1268</v>
      </c>
      <c r="AM425" s="85" t="n">
        <v>499</v>
      </c>
      <c r="AN425" s="85" t="n">
        <v>761</v>
      </c>
      <c r="AO425" s="85" t="n">
        <v>755</v>
      </c>
      <c r="AP425" s="85" t="n">
        <v>5310</v>
      </c>
      <c r="AQ425" s="85" t="n">
        <v>4774</v>
      </c>
      <c r="AR425" s="85" t="n">
        <v>19291</v>
      </c>
      <c r="AS425" s="85" t="n">
        <v>5681</v>
      </c>
      <c r="AT425" s="85" t="n">
        <v>1000</v>
      </c>
      <c r="AU425" s="85" t="n">
        <v>1623</v>
      </c>
      <c r="AV425" s="85" t="n">
        <v>4011</v>
      </c>
      <c r="AW425" s="85" t="n">
        <v>3652</v>
      </c>
      <c r="AX425" s="85" t="n">
        <v>2768</v>
      </c>
      <c r="AY425" s="85" t="n">
        <v>2430.8</v>
      </c>
      <c r="AZ425" s="85" t="n">
        <v>-1243</v>
      </c>
      <c r="BA425" s="85" t="n">
        <v>4283</v>
      </c>
      <c r="BB425" s="85" t="n">
        <v>374.4</v>
      </c>
      <c r="BC425" s="85" t="n">
        <v>375</v>
      </c>
      <c r="BD425" s="85" t="n">
        <v>3987</v>
      </c>
      <c r="BE425" s="85" t="n">
        <v>3448</v>
      </c>
      <c r="BF425" s="85" t="n">
        <v>7685</v>
      </c>
      <c r="BG425" s="85" t="n">
        <v>1426</v>
      </c>
      <c r="BH425" s="85" t="n">
        <v>-4866</v>
      </c>
      <c r="BI425" s="85" t="n">
        <v>-3000</v>
      </c>
      <c r="BJ425" s="91" t="inlineStr">
        <is>
          <t>N/A</t>
        </is>
      </c>
      <c r="BK425" s="91" t="inlineStr">
        <is>
          <t>N/A</t>
        </is>
      </c>
      <c r="BL425" s="85" t="n">
        <v>1024</v>
      </c>
      <c r="BM425" s="85" t="n">
        <v>978</v>
      </c>
      <c r="BN425" s="85" t="n">
        <v>418</v>
      </c>
      <c r="BO425" s="85" t="n">
        <v>9051</v>
      </c>
      <c r="BP425" s="85" t="n">
        <v>8155</v>
      </c>
      <c r="BQ425" s="85" t="n">
        <v>0</v>
      </c>
      <c r="BR425" s="85" t="n">
        <v>0</v>
      </c>
      <c r="BS425" s="85" t="n">
        <v>0</v>
      </c>
      <c r="BT425" s="85" t="n">
        <v>0</v>
      </c>
      <c r="BU425" s="85" t="n">
        <v>0</v>
      </c>
      <c r="BV425" s="91" t="inlineStr">
        <is>
          <t>N/A</t>
        </is>
      </c>
      <c r="BW425" s="85" t="n">
        <v>0</v>
      </c>
      <c r="BX425" s="85" t="n">
        <v>0</v>
      </c>
      <c r="BY425" s="85" t="n">
        <v>0</v>
      </c>
    </row>
    <row r="426" ht="17" customHeight="1">
      <c r="A426" s="86" t="n">
        <v>424</v>
      </c>
      <c r="B426" s="87" t="inlineStr">
        <is>
          <t>KEYS</t>
        </is>
      </c>
      <c r="C426" s="88" t="inlineStr">
        <is>
          <t>KEYSIGHT TECHNOLOGIES, INC.</t>
        </is>
      </c>
      <c r="D426" s="86" t="inlineStr">
        <is>
          <t>Information Technology</t>
        </is>
      </c>
      <c r="E426" s="86" t="n">
        <v>2026</v>
      </c>
      <c r="F426" s="89" t="n">
        <v>11301</v>
      </c>
      <c r="G426" s="89" t="n">
        <v>4348</v>
      </c>
      <c r="H426" s="89" t="n">
        <v>1850</v>
      </c>
      <c r="I426" s="89" t="n">
        <v>5420</v>
      </c>
      <c r="J426" s="89" t="n">
        <v>7075</v>
      </c>
      <c r="K426" s="89" t="n">
        <v>876</v>
      </c>
      <c r="L426" s="89" t="n">
        <v>5375</v>
      </c>
      <c r="M426" s="89" t="n">
        <v>850</v>
      </c>
      <c r="N426" s="89" t="n">
        <v>1409</v>
      </c>
      <c r="O426" s="89" t="n">
        <v>3337</v>
      </c>
      <c r="P426" s="89" t="n">
        <v>2534</v>
      </c>
      <c r="Q426" s="89" t="n">
        <v>5881</v>
      </c>
      <c r="R426" s="89" t="n">
        <v>1474</v>
      </c>
      <c r="S426" s="89" t="n">
        <v>225</v>
      </c>
      <c r="T426" s="89" t="n">
        <v>939</v>
      </c>
      <c r="U426" s="89" t="n">
        <v>795</v>
      </c>
      <c r="V426" s="89" t="n">
        <v>96</v>
      </c>
      <c r="W426" s="89" t="n">
        <v>9269</v>
      </c>
      <c r="X426" s="89" t="n">
        <v>4257</v>
      </c>
      <c r="Y426" s="89" t="n">
        <v>1427</v>
      </c>
      <c r="Z426" s="89" t="n">
        <v>4164</v>
      </c>
      <c r="AA426" s="89" t="n">
        <v>833</v>
      </c>
      <c r="AB426" s="89" t="n">
        <v>4979</v>
      </c>
      <c r="AC426" s="89" t="n">
        <v>614</v>
      </c>
      <c r="AD426" s="89" t="n">
        <v>1052</v>
      </c>
      <c r="AE426" s="89" t="n">
        <v>3133</v>
      </c>
      <c r="AF426" s="89" t="n">
        <v>1790</v>
      </c>
      <c r="AG426" s="89" t="n">
        <v>5105</v>
      </c>
      <c r="AH426" s="89" t="n">
        <v>4979</v>
      </c>
      <c r="AI426" s="89" t="n">
        <v>9269</v>
      </c>
      <c r="AJ426" s="89" t="n">
        <v>1082</v>
      </c>
      <c r="AK426" s="89" t="n">
        <v>865</v>
      </c>
      <c r="AL426" s="89" t="n">
        <v>213</v>
      </c>
      <c r="AM426" s="89" t="n">
        <v>251</v>
      </c>
      <c r="AN426" s="89" t="n">
        <v>128</v>
      </c>
      <c r="AO426" s="89" t="n">
        <v>154</v>
      </c>
      <c r="AP426" s="89" t="n">
        <v>1050</v>
      </c>
      <c r="AQ426" s="89" t="n">
        <v>1022</v>
      </c>
      <c r="AR426" s="89" t="n">
        <v>3424</v>
      </c>
      <c r="AS426" s="89" t="n">
        <v>1287</v>
      </c>
      <c r="AT426" s="90" t="inlineStr">
        <is>
          <t>N/A</t>
        </is>
      </c>
      <c r="AU426" s="89" t="n">
        <v>1007</v>
      </c>
      <c r="AV426" s="89" t="n">
        <v>1873</v>
      </c>
      <c r="AW426" s="89" t="n">
        <v>1796</v>
      </c>
      <c r="AX426" s="89" t="n">
        <v>2534</v>
      </c>
      <c r="AY426" s="89" t="n">
        <v>2389</v>
      </c>
      <c r="AZ426" s="89" t="n">
        <v>661</v>
      </c>
      <c r="BA426" s="89" t="n">
        <v>1281</v>
      </c>
      <c r="BB426" s="89" t="n">
        <v>170</v>
      </c>
      <c r="BC426" s="89" t="n">
        <v>167</v>
      </c>
      <c r="BD426" s="89" t="n">
        <v>857</v>
      </c>
      <c r="BE426" s="89" t="n">
        <v>774</v>
      </c>
      <c r="BF426" s="89" t="n">
        <v>1395</v>
      </c>
      <c r="BG426" s="89" t="n">
        <v>134</v>
      </c>
      <c r="BH426" s="89" t="n">
        <v>-1727</v>
      </c>
      <c r="BI426" s="89" t="n">
        <v>-819</v>
      </c>
      <c r="BJ426" s="89" t="n">
        <v>355</v>
      </c>
      <c r="BK426" s="89" t="n">
        <v>313</v>
      </c>
      <c r="BL426" s="89" t="n">
        <v>652</v>
      </c>
      <c r="BM426" s="89" t="n">
        <v>561</v>
      </c>
      <c r="BN426" s="89" t="n">
        <v>45</v>
      </c>
      <c r="BO426" s="89" t="n">
        <v>2038</v>
      </c>
      <c r="BP426" s="89" t="n">
        <v>1846</v>
      </c>
      <c r="BQ426" s="89" t="n">
        <v>0</v>
      </c>
      <c r="BR426" s="89" t="n">
        <v>0</v>
      </c>
      <c r="BS426" s="89" t="n">
        <v>0</v>
      </c>
      <c r="BT426" s="89" t="n">
        <v>0</v>
      </c>
      <c r="BU426" s="89" t="n">
        <v>0</v>
      </c>
      <c r="BV426" s="89" t="n">
        <v>0</v>
      </c>
      <c r="BW426" s="89" t="n">
        <v>0</v>
      </c>
      <c r="BX426" s="89" t="n">
        <v>0</v>
      </c>
      <c r="BY426" s="89" t="n">
        <v>0</v>
      </c>
    </row>
    <row r="427" ht="17" customHeight="1">
      <c r="A427" s="82" t="n">
        <v>425</v>
      </c>
      <c r="B427" s="83" t="inlineStr">
        <is>
          <t>FLO</t>
        </is>
      </c>
      <c r="C427" s="84" t="inlineStr">
        <is>
          <t>FLOWERS FOODS, INC</t>
        </is>
      </c>
      <c r="D427" s="82" t="inlineStr">
        <is>
          <t>Consumer Staples</t>
        </is>
      </c>
      <c r="E427" s="82" t="n">
        <v>2026</v>
      </c>
      <c r="F427" s="85" t="n">
        <v>4183.9</v>
      </c>
      <c r="G427" s="85" t="n">
        <v>729.1</v>
      </c>
      <c r="H427" s="85" t="n">
        <v>976.2</v>
      </c>
      <c r="I427" s="85" t="n">
        <v>4183.9</v>
      </c>
      <c r="J427" s="85" t="n">
        <v>852.1</v>
      </c>
      <c r="K427" s="85" t="n">
        <v>174</v>
      </c>
      <c r="L427" s="85" t="n">
        <v>5256.5</v>
      </c>
      <c r="M427" s="85" t="n">
        <v>83.8</v>
      </c>
      <c r="N427" s="85" t="n">
        <v>446.2</v>
      </c>
      <c r="O427" s="85" t="n">
        <v>3909.7</v>
      </c>
      <c r="P427" s="85" t="n">
        <v>1755.1</v>
      </c>
      <c r="Q427" s="85" t="n">
        <v>1303.5</v>
      </c>
      <c r="R427" s="85" t="n">
        <v>2075.4</v>
      </c>
      <c r="S427" s="85" t="n">
        <v>85.09999999999999</v>
      </c>
      <c r="T427" s="91" t="inlineStr">
        <is>
          <t>N/A</t>
        </is>
      </c>
      <c r="U427" s="85" t="n">
        <v>952.7</v>
      </c>
      <c r="V427" s="85" t="n">
        <v>76.7</v>
      </c>
      <c r="W427" s="85" t="n">
        <v>3400.4</v>
      </c>
      <c r="X427" s="85" t="n">
        <v>656.4</v>
      </c>
      <c r="Y427" s="85" t="n">
        <v>548.6</v>
      </c>
      <c r="Z427" s="85" t="n">
        <v>3400.4</v>
      </c>
      <c r="AA427" s="85" t="n">
        <v>348.3</v>
      </c>
      <c r="AB427" s="85" t="n">
        <v>5103.5</v>
      </c>
      <c r="AC427" s="85" t="n">
        <v>248.1</v>
      </c>
      <c r="AD427" s="85" t="n">
        <v>412.7</v>
      </c>
      <c r="AE427" s="85" t="n">
        <v>3713.3</v>
      </c>
      <c r="AF427" s="85" t="n">
        <v>1021.6</v>
      </c>
      <c r="AG427" s="85" t="n">
        <v>1410.1</v>
      </c>
      <c r="AH427" s="85" t="n">
        <v>5103.5</v>
      </c>
      <c r="AI427" s="85" t="n">
        <v>3400.4</v>
      </c>
      <c r="AJ427" s="85" t="n">
        <v>115.1</v>
      </c>
      <c r="AK427" s="85" t="n">
        <v>328.9</v>
      </c>
      <c r="AL427" s="85" t="n">
        <v>31.2</v>
      </c>
      <c r="AM427" s="85" t="n">
        <v>80.8</v>
      </c>
      <c r="AN427" s="85" t="n">
        <v>127.1</v>
      </c>
      <c r="AO427" s="85" t="n">
        <v>132.1</v>
      </c>
      <c r="AP427" s="85" t="n">
        <v>201.7</v>
      </c>
      <c r="AQ427" s="85" t="n">
        <v>171.9</v>
      </c>
      <c r="AR427" s="85" t="n">
        <v>1047.8</v>
      </c>
      <c r="AS427" s="85" t="n">
        <v>502.2</v>
      </c>
      <c r="AT427" s="85" t="n">
        <v>399.6</v>
      </c>
      <c r="AU427" s="85" t="n">
        <v>0</v>
      </c>
      <c r="AV427" s="85" t="n">
        <v>12.1</v>
      </c>
      <c r="AW427" s="85" t="n">
        <v>5</v>
      </c>
      <c r="AX427" s="85" t="n">
        <v>2154.7</v>
      </c>
      <c r="AY427" s="85" t="n">
        <v>1021.6</v>
      </c>
      <c r="AZ427" s="85" t="n">
        <v>2142.6</v>
      </c>
      <c r="BA427" s="85" t="n">
        <v>319.1</v>
      </c>
      <c r="BB427" s="85" t="n">
        <v>228.7</v>
      </c>
      <c r="BC427" s="85" t="n">
        <v>228.7</v>
      </c>
      <c r="BD427" s="91" t="inlineStr">
        <is>
          <t>N/A</t>
        </is>
      </c>
      <c r="BE427" s="85" t="n">
        <v>964.3</v>
      </c>
      <c r="BF427" s="85" t="n">
        <v>2001.1</v>
      </c>
      <c r="BG427" s="85" t="n">
        <v>80.90000000000001</v>
      </c>
      <c r="BH427" s="85" t="n">
        <v>-943.2</v>
      </c>
      <c r="BI427" s="85" t="n">
        <v>-172.7</v>
      </c>
      <c r="BJ427" s="85" t="n">
        <v>312.7</v>
      </c>
      <c r="BK427" s="85" t="n">
        <v>260.7</v>
      </c>
      <c r="BL427" s="91" t="inlineStr">
        <is>
          <t>N/A</t>
        </is>
      </c>
      <c r="BM427" s="91" t="inlineStr">
        <is>
          <t>N/A</t>
        </is>
      </c>
      <c r="BN427" s="85" t="n">
        <v>6.8</v>
      </c>
      <c r="BO427" s="85" t="n">
        <v>1346.8</v>
      </c>
      <c r="BP427" s="85" t="n">
        <v>1390.2</v>
      </c>
      <c r="BQ427" s="91" t="inlineStr">
        <is>
          <t>N/A</t>
        </is>
      </c>
      <c r="BR427" s="91" t="inlineStr">
        <is>
          <t>N/A</t>
        </is>
      </c>
      <c r="BS427" s="85" t="n">
        <v>0</v>
      </c>
      <c r="BT427" s="85" t="n">
        <v>0</v>
      </c>
      <c r="BU427" s="85" t="n">
        <v>0</v>
      </c>
      <c r="BV427" s="85" t="n">
        <v>0</v>
      </c>
      <c r="BW427" s="85" t="n">
        <v>0</v>
      </c>
      <c r="BX427" s="85" t="n">
        <v>0</v>
      </c>
      <c r="BY427" s="85" t="n">
        <v>0</v>
      </c>
    </row>
    <row r="428" ht="17" customHeight="1">
      <c r="A428" s="86" t="n">
        <v>426</v>
      </c>
      <c r="B428" s="87" t="inlineStr">
        <is>
          <t>AON</t>
        </is>
      </c>
      <c r="C428" s="88" t="inlineStr">
        <is>
          <t>Aon plc</t>
        </is>
      </c>
      <c r="D428" s="86" t="inlineStr">
        <is>
          <t>Financials</t>
        </is>
      </c>
      <c r="E428" s="86" t="n">
        <v>2026</v>
      </c>
      <c r="F428" s="89" t="n">
        <v>50784</v>
      </c>
      <c r="G428" s="89" t="n">
        <v>25774</v>
      </c>
      <c r="H428" s="89" t="n">
        <v>23226</v>
      </c>
      <c r="I428" s="89" t="n">
        <v>41236</v>
      </c>
      <c r="J428" s="89" t="n">
        <v>-245</v>
      </c>
      <c r="K428" s="89" t="n">
        <v>4344</v>
      </c>
      <c r="L428" s="89" t="n">
        <v>10770</v>
      </c>
      <c r="M428" s="89" t="n">
        <v>3695</v>
      </c>
      <c r="N428" s="89" t="n">
        <v>3481</v>
      </c>
      <c r="O428" s="90" t="inlineStr">
        <is>
          <t>N/A</t>
        </is>
      </c>
      <c r="P428" s="89" t="n">
        <v>15249</v>
      </c>
      <c r="Q428" s="89" t="n">
        <v>9352</v>
      </c>
      <c r="R428" s="90" t="inlineStr">
        <is>
          <t>N/A</t>
        </is>
      </c>
      <c r="S428" s="89" t="n">
        <v>176</v>
      </c>
      <c r="T428" s="89" t="n">
        <v>4209</v>
      </c>
      <c r="U428" s="89" t="n">
        <v>702</v>
      </c>
      <c r="V428" s="89" t="n">
        <v>484</v>
      </c>
      <c r="W428" s="89" t="n">
        <v>48965</v>
      </c>
      <c r="X428" s="89" t="n">
        <v>23432</v>
      </c>
      <c r="Y428" s="89" t="n">
        <v>22995</v>
      </c>
      <c r="Z428" s="89" t="n">
        <v>42535</v>
      </c>
      <c r="AA428" s="89" t="n">
        <v>3835</v>
      </c>
      <c r="AB428" s="89" t="n">
        <v>2770</v>
      </c>
      <c r="AC428" s="89" t="n">
        <v>2654</v>
      </c>
      <c r="AD428" s="89" t="n">
        <v>3035</v>
      </c>
      <c r="AE428" s="90" t="inlineStr">
        <is>
          <t>N/A</t>
        </is>
      </c>
      <c r="AF428" s="89" t="n">
        <v>17016</v>
      </c>
      <c r="AG428" s="89" t="n">
        <v>6121</v>
      </c>
      <c r="AH428" s="89" t="n">
        <v>2349</v>
      </c>
      <c r="AI428" s="89" t="n">
        <v>48965</v>
      </c>
      <c r="AJ428" s="89" t="n">
        <v>4759</v>
      </c>
      <c r="AK428" s="89" t="n">
        <v>3462</v>
      </c>
      <c r="AL428" s="89" t="n">
        <v>1009</v>
      </c>
      <c r="AM428" s="89" t="n">
        <v>742</v>
      </c>
      <c r="AN428" s="89" t="n">
        <v>263</v>
      </c>
      <c r="AO428" s="89" t="n">
        <v>218</v>
      </c>
      <c r="AP428" s="90" t="inlineStr">
        <is>
          <t>N/A</t>
        </is>
      </c>
      <c r="AQ428" s="90" t="inlineStr">
        <is>
          <t>N/A</t>
        </is>
      </c>
      <c r="AR428" s="89" t="n">
        <v>15797</v>
      </c>
      <c r="AS428" s="89" t="n">
        <v>5727</v>
      </c>
      <c r="AT428" s="89" t="n">
        <v>589</v>
      </c>
      <c r="AU428" s="90" t="inlineStr">
        <is>
          <t>N/A</t>
        </is>
      </c>
      <c r="AV428" s="89" t="n">
        <v>1195</v>
      </c>
      <c r="AW428" s="89" t="n">
        <v>1085</v>
      </c>
      <c r="AX428" s="89" t="n">
        <v>15838</v>
      </c>
      <c r="AY428" s="89" t="n">
        <v>17767</v>
      </c>
      <c r="AZ428" s="89" t="n">
        <v>14643</v>
      </c>
      <c r="BA428" s="89" t="n">
        <v>3218</v>
      </c>
      <c r="BB428" s="89" t="n">
        <v>269.8</v>
      </c>
      <c r="BC428" s="89" t="n">
        <v>273.9</v>
      </c>
      <c r="BD428" s="89" t="n">
        <v>3803</v>
      </c>
      <c r="BE428" s="89" t="n">
        <v>637</v>
      </c>
      <c r="BF428" s="90" t="inlineStr">
        <is>
          <t>N/A</t>
        </is>
      </c>
      <c r="BG428" s="89" t="n">
        <v>187</v>
      </c>
      <c r="BH428" s="89" t="n">
        <v>286</v>
      </c>
      <c r="BI428" s="89" t="n">
        <v>-2833</v>
      </c>
      <c r="BJ428" s="89" t="n">
        <v>2861</v>
      </c>
      <c r="BK428" s="89" t="n">
        <v>2905</v>
      </c>
      <c r="BL428" s="89" t="n">
        <v>311</v>
      </c>
      <c r="BM428" s="89" t="n">
        <v>393</v>
      </c>
      <c r="BN428" s="89" t="n">
        <v>309</v>
      </c>
      <c r="BO428" s="90" t="inlineStr">
        <is>
          <t>N/A</t>
        </is>
      </c>
      <c r="BP428" s="90" t="inlineStr">
        <is>
          <t>N/A</t>
        </is>
      </c>
      <c r="BQ428" s="89" t="n">
        <v>0</v>
      </c>
      <c r="BR428" s="89" t="n">
        <v>0</v>
      </c>
      <c r="BS428" s="90" t="inlineStr">
        <is>
          <t>N/A</t>
        </is>
      </c>
      <c r="BT428" s="90" t="inlineStr">
        <is>
          <t>N/A</t>
        </is>
      </c>
      <c r="BU428" s="90" t="inlineStr">
        <is>
          <t>N/A</t>
        </is>
      </c>
      <c r="BV428" s="90" t="inlineStr">
        <is>
          <t>N/A</t>
        </is>
      </c>
      <c r="BW428" s="89" t="n">
        <v>0</v>
      </c>
      <c r="BX428" s="89" t="n">
        <v>0</v>
      </c>
      <c r="BY428" s="89" t="n">
        <v>0</v>
      </c>
    </row>
    <row r="429" ht="17" customHeight="1">
      <c r="A429" s="82" t="n">
        <v>427</v>
      </c>
      <c r="B429" s="83" t="inlineStr">
        <is>
          <t>O</t>
        </is>
      </c>
      <c r="C429" s="84" t="inlineStr">
        <is>
          <t>REALTY INCOME CORP</t>
        </is>
      </c>
      <c r="D429" s="82" t="inlineStr">
        <is>
          <t>Real Estate</t>
        </is>
      </c>
      <c r="E429" s="82" t="n">
        <v>2026</v>
      </c>
      <c r="F429" s="85" t="n">
        <v>72795.60000000001</v>
      </c>
      <c r="G429" s="91" t="inlineStr">
        <is>
          <t>N/A</t>
        </is>
      </c>
      <c r="H429" s="91" t="inlineStr">
        <is>
          <t>N/A</t>
        </is>
      </c>
      <c r="I429" s="85" t="n">
        <v>32671.6</v>
      </c>
      <c r="J429" s="91" t="inlineStr">
        <is>
          <t>N/A</t>
        </is>
      </c>
      <c r="K429" s="85" t="n">
        <v>1155.1</v>
      </c>
      <c r="L429" s="85" t="n">
        <v>5749.4</v>
      </c>
      <c r="M429" s="85" t="n">
        <v>1058.6</v>
      </c>
      <c r="N429" s="85" t="n">
        <v>3994.8</v>
      </c>
      <c r="O429" s="91" t="inlineStr">
        <is>
          <t>N/A</t>
        </is>
      </c>
      <c r="P429" s="85" t="n">
        <v>3975</v>
      </c>
      <c r="Q429" s="85" t="n">
        <v>39438.7</v>
      </c>
      <c r="R429" s="85" t="n">
        <v>202.6</v>
      </c>
      <c r="S429" s="85" t="n">
        <v>2524.2</v>
      </c>
      <c r="T429" s="85" t="n">
        <v>1053.5</v>
      </c>
      <c r="U429" s="91" t="inlineStr">
        <is>
          <t>N/A</t>
        </is>
      </c>
      <c r="V429" s="85" t="n">
        <v>730.4</v>
      </c>
      <c r="W429" s="85" t="n">
        <v>68835</v>
      </c>
      <c r="X429" s="91" t="inlineStr">
        <is>
          <t>N/A</t>
        </is>
      </c>
      <c r="Y429" s="91" t="inlineStr">
        <is>
          <t>N/A</t>
        </is>
      </c>
      <c r="Z429" s="85" t="n">
        <v>29783.4</v>
      </c>
      <c r="AA429" s="85" t="n">
        <v>933.9</v>
      </c>
      <c r="AB429" s="85" t="n">
        <v>5271.1</v>
      </c>
      <c r="AC429" s="85" t="n">
        <v>860.8</v>
      </c>
      <c r="AD429" s="85" t="n">
        <v>3573.3</v>
      </c>
      <c r="AE429" s="91" t="inlineStr">
        <is>
          <t>N/A</t>
        </is>
      </c>
      <c r="AF429" s="85" t="n">
        <v>3650</v>
      </c>
      <c r="AG429" s="85" t="n">
        <v>38840.7</v>
      </c>
      <c r="AH429" s="85" t="n">
        <v>5271.1</v>
      </c>
      <c r="AI429" s="85" t="n">
        <v>68835</v>
      </c>
      <c r="AJ429" s="85" t="n">
        <v>1155.1</v>
      </c>
      <c r="AK429" s="85" t="n">
        <v>933.9</v>
      </c>
      <c r="AL429" s="85" t="n">
        <v>85.3</v>
      </c>
      <c r="AM429" s="85" t="n">
        <v>66.59999999999999</v>
      </c>
      <c r="AN429" s="85" t="n">
        <v>131.8</v>
      </c>
      <c r="AO429" s="85" t="n">
        <v>121.4</v>
      </c>
      <c r="AP429" s="91" t="inlineStr">
        <is>
          <t>N/A</t>
        </is>
      </c>
      <c r="AQ429" s="91" t="inlineStr">
        <is>
          <t>N/A</t>
        </is>
      </c>
      <c r="AR429" s="85" t="n">
        <v>4932.2</v>
      </c>
      <c r="AS429" s="85" t="n">
        <v>5717.2</v>
      </c>
      <c r="AT429" s="91" t="inlineStr">
        <is>
          <t>N/A</t>
        </is>
      </c>
      <c r="AU429" s="91" t="inlineStr">
        <is>
          <t>N/A</t>
        </is>
      </c>
      <c r="AV429" s="85" t="n">
        <v>434.8</v>
      </c>
      <c r="AW429" s="85" t="n">
        <v>445</v>
      </c>
      <c r="AX429" s="85" t="n">
        <v>3975</v>
      </c>
      <c r="AY429" s="85" t="n">
        <v>3650</v>
      </c>
      <c r="AZ429" s="85" t="n">
        <v>3540.2</v>
      </c>
      <c r="BA429" s="85" t="n">
        <v>3863</v>
      </c>
      <c r="BB429" s="85" t="n">
        <v>934</v>
      </c>
      <c r="BC429" s="85" t="n">
        <v>891.5</v>
      </c>
      <c r="BD429" s="85" t="n">
        <v>877.7</v>
      </c>
      <c r="BE429" s="91" t="inlineStr">
        <is>
          <t>N/A</t>
        </is>
      </c>
      <c r="BF429" s="85" t="n">
        <v>176.9</v>
      </c>
      <c r="BG429" s="85" t="n">
        <v>2395.6</v>
      </c>
      <c r="BH429" s="85" t="n">
        <v>-5663.2</v>
      </c>
      <c r="BI429" s="85" t="n">
        <v>-3342.9</v>
      </c>
      <c r="BJ429" s="91" t="inlineStr">
        <is>
          <t>N/A</t>
        </is>
      </c>
      <c r="BK429" s="91" t="inlineStr">
        <is>
          <t>N/A</t>
        </is>
      </c>
      <c r="BL429" s="91" t="inlineStr">
        <is>
          <t>N/A</t>
        </is>
      </c>
      <c r="BM429" s="91" t="inlineStr">
        <is>
          <t>N/A</t>
        </is>
      </c>
      <c r="BN429" s="91" t="inlineStr">
        <is>
          <t>N/A</t>
        </is>
      </c>
      <c r="BO429" s="91" t="inlineStr">
        <is>
          <t>N/A</t>
        </is>
      </c>
      <c r="BP429" s="91" t="inlineStr">
        <is>
          <t>N/A</t>
        </is>
      </c>
      <c r="BQ429" s="85" t="n">
        <v>0</v>
      </c>
      <c r="BR429" s="85" t="n">
        <v>0</v>
      </c>
      <c r="BS429" s="91" t="inlineStr">
        <is>
          <t>N/A</t>
        </is>
      </c>
      <c r="BT429" s="91" t="inlineStr">
        <is>
          <t>N/A</t>
        </is>
      </c>
      <c r="BU429" s="91" t="inlineStr">
        <is>
          <t>N/A</t>
        </is>
      </c>
      <c r="BV429" s="91" t="inlineStr">
        <is>
          <t>N/A</t>
        </is>
      </c>
      <c r="BW429" s="85" t="n">
        <v>0</v>
      </c>
      <c r="BX429" s="85" t="n">
        <v>0</v>
      </c>
      <c r="BY429" s="85" t="n">
        <v>0</v>
      </c>
    </row>
    <row r="430" ht="17" customHeight="1">
      <c r="A430" s="86" t="n">
        <v>428</v>
      </c>
      <c r="B430" s="87" t="inlineStr">
        <is>
          <t>NOV</t>
        </is>
      </c>
      <c r="C430" s="88" t="inlineStr">
        <is>
          <t>NOV INC.</t>
        </is>
      </c>
      <c r="D430" s="86" t="inlineStr">
        <is>
          <t>Energy</t>
        </is>
      </c>
      <c r="E430" s="86" t="n">
        <v>2026</v>
      </c>
      <c r="F430" s="89" t="n">
        <v>11291</v>
      </c>
      <c r="G430" s="89" t="n">
        <v>5820</v>
      </c>
      <c r="H430" s="89" t="n">
        <v>2406</v>
      </c>
      <c r="I430" s="89" t="n">
        <v>4969</v>
      </c>
      <c r="J430" s="89" t="n">
        <v>-673</v>
      </c>
      <c r="K430" s="89" t="n">
        <v>494</v>
      </c>
      <c r="L430" s="89" t="n">
        <v>8744</v>
      </c>
      <c r="M430" s="89" t="n">
        <v>145</v>
      </c>
      <c r="N430" s="89" t="n">
        <v>1251</v>
      </c>
      <c r="O430" s="89" t="n">
        <v>1767</v>
      </c>
      <c r="P430" s="89" t="n">
        <v>1718</v>
      </c>
      <c r="Q430" s="89" t="n">
        <v>6268</v>
      </c>
      <c r="R430" s="89" t="n">
        <v>1203</v>
      </c>
      <c r="S430" s="89" t="n">
        <v>355</v>
      </c>
      <c r="T430" s="89" t="n">
        <v>1701</v>
      </c>
      <c r="U430" s="89" t="n">
        <v>2050</v>
      </c>
      <c r="V430" s="89" t="n">
        <v>88</v>
      </c>
      <c r="W430" s="89" t="n">
        <v>11361</v>
      </c>
      <c r="X430" s="89" t="n">
        <v>5770</v>
      </c>
      <c r="Y430" s="89" t="n">
        <v>2347</v>
      </c>
      <c r="Z430" s="89" t="n">
        <v>4933</v>
      </c>
      <c r="AA430" s="89" t="n">
        <v>876</v>
      </c>
      <c r="AB430" s="89" t="n">
        <v>8870</v>
      </c>
      <c r="AC430" s="89" t="n">
        <v>635</v>
      </c>
      <c r="AD430" s="89" t="n">
        <v>1304</v>
      </c>
      <c r="AE430" s="89" t="n">
        <v>2010</v>
      </c>
      <c r="AF430" s="89" t="n">
        <v>1740</v>
      </c>
      <c r="AG430" s="89" t="n">
        <v>6376</v>
      </c>
      <c r="AH430" s="89" t="n">
        <v>8870</v>
      </c>
      <c r="AI430" s="89" t="n">
        <v>11361</v>
      </c>
      <c r="AJ430" s="89" t="n">
        <v>375</v>
      </c>
      <c r="AK430" s="89" t="n">
        <v>831</v>
      </c>
      <c r="AL430" s="89" t="n">
        <v>224</v>
      </c>
      <c r="AM430" s="89" t="n">
        <v>196</v>
      </c>
      <c r="AN430" s="89" t="n">
        <v>375</v>
      </c>
      <c r="AO430" s="89" t="n">
        <v>351</v>
      </c>
      <c r="AP430" s="89" t="n">
        <v>1799</v>
      </c>
      <c r="AQ430" s="89" t="n">
        <v>1932</v>
      </c>
      <c r="AR430" s="89" t="n">
        <v>1582</v>
      </c>
      <c r="AS430" s="89" t="n">
        <v>455</v>
      </c>
      <c r="AT430" s="89" t="n">
        <v>7</v>
      </c>
      <c r="AU430" s="90" t="inlineStr">
        <is>
          <t>N/A</t>
        </is>
      </c>
      <c r="AV430" s="89" t="n">
        <v>1552</v>
      </c>
      <c r="AW430" s="89" t="n">
        <v>1230</v>
      </c>
      <c r="AX430" s="89" t="n">
        <v>1725</v>
      </c>
      <c r="AY430" s="89" t="n">
        <v>1746</v>
      </c>
      <c r="AZ430" s="89" t="n">
        <v>173</v>
      </c>
      <c r="BA430" s="89" t="n">
        <v>876</v>
      </c>
      <c r="BB430" s="89" t="n">
        <v>360.8</v>
      </c>
      <c r="BC430" s="89" t="n">
        <v>381.5</v>
      </c>
      <c r="BD430" s="89" t="n">
        <v>1819</v>
      </c>
      <c r="BE430" s="89" t="n">
        <v>1922</v>
      </c>
      <c r="BF430" s="89" t="n">
        <v>1134</v>
      </c>
      <c r="BG430" s="89" t="n">
        <v>343</v>
      </c>
      <c r="BH430" s="89" t="n">
        <v>-362</v>
      </c>
      <c r="BI430" s="89" t="n">
        <v>-471</v>
      </c>
      <c r="BJ430" s="89" t="n">
        <v>831</v>
      </c>
      <c r="BK430" s="89" t="n">
        <v>837</v>
      </c>
      <c r="BL430" s="89" t="n">
        <v>565</v>
      </c>
      <c r="BM430" s="89" t="n">
        <v>492</v>
      </c>
      <c r="BN430" s="89" t="n">
        <v>57</v>
      </c>
      <c r="BO430" s="89" t="n">
        <v>6412</v>
      </c>
      <c r="BP430" s="89" t="n">
        <v>7352</v>
      </c>
      <c r="BQ430" s="89" t="n">
        <v>0</v>
      </c>
      <c r="BR430" s="89" t="n">
        <v>0</v>
      </c>
      <c r="BS430" s="89" t="n">
        <v>0</v>
      </c>
      <c r="BT430" s="89" t="n">
        <v>0</v>
      </c>
      <c r="BU430" s="89" t="n">
        <v>0</v>
      </c>
      <c r="BV430" s="89" t="n">
        <v>0</v>
      </c>
      <c r="BW430" s="89" t="n">
        <v>0</v>
      </c>
      <c r="BX430" s="89" t="n">
        <v>0</v>
      </c>
      <c r="BY430" s="89" t="n">
        <v>0</v>
      </c>
    </row>
    <row r="431" ht="17" customHeight="1">
      <c r="A431" s="82" t="n">
        <v>429</v>
      </c>
      <c r="B431" s="83" t="inlineStr">
        <is>
          <t>ACN</t>
        </is>
      </c>
      <c r="C431" s="84" t="inlineStr">
        <is>
          <t>Accenture plc</t>
        </is>
      </c>
      <c r="D431" s="82" t="inlineStr">
        <is>
          <t>Information Technology</t>
        </is>
      </c>
      <c r="E431" s="82" t="n">
        <v>2026</v>
      </c>
      <c r="F431" s="85" t="n">
        <v>65394.9</v>
      </c>
      <c r="G431" s="85" t="n">
        <v>28900.7</v>
      </c>
      <c r="H431" s="85" t="n">
        <v>20352.1</v>
      </c>
      <c r="I431" s="85" t="n">
        <v>65394.9</v>
      </c>
      <c r="J431" s="85" t="n">
        <v>21018.7</v>
      </c>
      <c r="K431" s="85" t="n">
        <v>10225.7</v>
      </c>
      <c r="L431" s="85" t="n">
        <v>69673</v>
      </c>
      <c r="M431" s="85" t="n">
        <v>7678.4</v>
      </c>
      <c r="N431" s="85" t="n">
        <v>11474.4</v>
      </c>
      <c r="O431" s="85" t="n">
        <v>22235.4</v>
      </c>
      <c r="P431" s="91" t="inlineStr">
        <is>
          <t>N/A</t>
        </is>
      </c>
      <c r="Q431" s="85" t="n">
        <v>31195.4</v>
      </c>
      <c r="R431" s="85" t="n">
        <v>4351</v>
      </c>
      <c r="S431" s="85" t="n">
        <v>1443.2</v>
      </c>
      <c r="T431" s="85" t="n">
        <v>13065.4</v>
      </c>
      <c r="U431" s="85" t="n">
        <v>1566.4</v>
      </c>
      <c r="V431" s="85" t="n">
        <v>228.6</v>
      </c>
      <c r="W431" s="85" t="n">
        <v>55932.4</v>
      </c>
      <c r="X431" s="85" t="n">
        <v>20857.8</v>
      </c>
      <c r="Y431" s="85" t="n">
        <v>18976.1</v>
      </c>
      <c r="Z431" s="85" t="n">
        <v>55932.4</v>
      </c>
      <c r="AA431" s="85" t="n">
        <v>2049.7</v>
      </c>
      <c r="AB431" s="85" t="n">
        <v>17596.3</v>
      </c>
      <c r="AC431" s="85" t="n">
        <v>1414</v>
      </c>
      <c r="AD431" s="85" t="n">
        <v>9131</v>
      </c>
      <c r="AE431" s="85" t="n">
        <v>5610.9</v>
      </c>
      <c r="AF431" s="91" t="inlineStr">
        <is>
          <t>N/A</t>
        </is>
      </c>
      <c r="AG431" s="85" t="n">
        <v>28288.6</v>
      </c>
      <c r="AH431" s="85" t="n">
        <v>17727.9</v>
      </c>
      <c r="AI431" s="85" t="n">
        <v>55932.4</v>
      </c>
      <c r="AJ431" s="85" t="n">
        <v>10270.4</v>
      </c>
      <c r="AK431" s="85" t="n">
        <v>9699.299999999999</v>
      </c>
      <c r="AL431" s="85" t="n">
        <v>2438</v>
      </c>
      <c r="AM431" s="85" t="n">
        <v>2280.1</v>
      </c>
      <c r="AN431" s="85" t="n">
        <v>600</v>
      </c>
      <c r="AO431" s="85" t="n">
        <v>516.5</v>
      </c>
      <c r="AP431" s="91" t="inlineStr">
        <is>
          <t>N/A</t>
        </is>
      </c>
      <c r="AQ431" s="91" t="inlineStr">
        <is>
          <t>N/A</t>
        </is>
      </c>
      <c r="AR431" s="85" t="n">
        <v>22536.4</v>
      </c>
      <c r="AS431" s="85" t="n">
        <v>2410.8</v>
      </c>
      <c r="AT431" s="85" t="n">
        <v>114.5</v>
      </c>
      <c r="AU431" s="85" t="n">
        <v>817.3</v>
      </c>
      <c r="AV431" s="85" t="n">
        <v>11478.7</v>
      </c>
      <c r="AW431" s="85" t="n">
        <v>5004.5</v>
      </c>
      <c r="AX431" s="85" t="n">
        <v>114.5</v>
      </c>
      <c r="AY431" s="91" t="inlineStr">
        <is>
          <t>N/A</t>
        </is>
      </c>
      <c r="AZ431" s="85" t="n">
        <v>-11364.2</v>
      </c>
      <c r="BA431" s="85" t="n">
        <v>10874.4</v>
      </c>
      <c r="BB431" s="91" t="inlineStr">
        <is>
          <t>N/A</t>
        </is>
      </c>
      <c r="BC431" s="91" t="inlineStr">
        <is>
          <t>N/A</t>
        </is>
      </c>
      <c r="BD431" s="85" t="n">
        <v>11873.4</v>
      </c>
      <c r="BE431" s="85" t="n">
        <v>1521.1</v>
      </c>
      <c r="BF431" s="85" t="n">
        <v>4281.3</v>
      </c>
      <c r="BG431" s="85" t="n">
        <v>1412.1</v>
      </c>
      <c r="BH431" s="85" t="n">
        <v>-2019.7</v>
      </c>
      <c r="BI431" s="85" t="n">
        <v>-7061.8</v>
      </c>
      <c r="BJ431" s="85" t="n">
        <v>2695.6</v>
      </c>
      <c r="BK431" s="85" t="n">
        <v>2743.8</v>
      </c>
      <c r="BL431" s="85" t="n">
        <v>6073.2</v>
      </c>
      <c r="BM431" s="85" t="n">
        <v>5174.9</v>
      </c>
      <c r="BN431" s="85" t="n">
        <v>701.2</v>
      </c>
      <c r="BO431" s="85" t="n">
        <v>47437.6</v>
      </c>
      <c r="BP431" s="85" t="n">
        <v>11985.3</v>
      </c>
      <c r="BQ431" s="85" t="n">
        <v>0</v>
      </c>
      <c r="BR431" s="85" t="n">
        <v>0</v>
      </c>
      <c r="BS431" s="91" t="inlineStr">
        <is>
          <t>N/A</t>
        </is>
      </c>
      <c r="BT431" s="91" t="inlineStr">
        <is>
          <t>N/A</t>
        </is>
      </c>
      <c r="BU431" s="85" t="n">
        <v>0</v>
      </c>
      <c r="BV431" s="85" t="n">
        <v>0</v>
      </c>
      <c r="BW431" s="85" t="n">
        <v>0</v>
      </c>
      <c r="BX431" s="85" t="n">
        <v>0</v>
      </c>
      <c r="BY431" s="85" t="n">
        <v>0</v>
      </c>
    </row>
    <row r="432" ht="17" customHeight="1">
      <c r="A432" s="86" t="n">
        <v>430</v>
      </c>
      <c r="B432" s="87" t="inlineStr">
        <is>
          <t>HIW</t>
        </is>
      </c>
      <c r="C432" s="88" t="inlineStr">
        <is>
          <t>HIGHWOODS PROPERTIES, INC.</t>
        </is>
      </c>
      <c r="D432" s="86" t="inlineStr">
        <is>
          <t>Real Estate</t>
        </is>
      </c>
      <c r="E432" s="86" t="n">
        <v>2026</v>
      </c>
      <c r="F432" s="89" t="n">
        <v>6273.8</v>
      </c>
      <c r="G432" s="90" t="inlineStr">
        <is>
          <t>N/A</t>
        </is>
      </c>
      <c r="H432" s="90" t="inlineStr">
        <is>
          <t>N/A</t>
        </is>
      </c>
      <c r="I432" s="89" t="n">
        <v>3838.2</v>
      </c>
      <c r="J432" s="89" t="n">
        <v>-870.1</v>
      </c>
      <c r="K432" s="89" t="n">
        <v>544.7</v>
      </c>
      <c r="L432" s="89" t="n">
        <v>806.1</v>
      </c>
      <c r="M432" s="89" t="n">
        <v>162.7</v>
      </c>
      <c r="N432" s="89" t="n">
        <v>359.2</v>
      </c>
      <c r="O432" s="89" t="n">
        <v>200.7</v>
      </c>
      <c r="P432" s="90" t="inlineStr">
        <is>
          <t>N/A</t>
        </is>
      </c>
      <c r="Q432" s="89" t="n">
        <v>2379</v>
      </c>
      <c r="R432" s="89" t="n">
        <v>40.3</v>
      </c>
      <c r="S432" s="89" t="n">
        <v>295</v>
      </c>
      <c r="T432" s="89" t="n">
        <v>28.3</v>
      </c>
      <c r="U432" s="90" t="inlineStr">
        <is>
          <t>N/A</t>
        </is>
      </c>
      <c r="V432" s="89" t="n">
        <v>152.4</v>
      </c>
      <c r="W432" s="89" t="n">
        <v>6029.4</v>
      </c>
      <c r="X432" s="90" t="inlineStr">
        <is>
          <t>N/A</t>
        </is>
      </c>
      <c r="Y432" s="90" t="inlineStr">
        <is>
          <t>N/A</t>
        </is>
      </c>
      <c r="Z432" s="89" t="n">
        <v>3598.1</v>
      </c>
      <c r="AA432" s="89" t="n">
        <v>553.7</v>
      </c>
      <c r="AB432" s="89" t="n">
        <v>825.9</v>
      </c>
      <c r="AC432" s="89" t="n">
        <v>104.3</v>
      </c>
      <c r="AD432" s="89" t="n">
        <v>403.6</v>
      </c>
      <c r="AE432" s="89" t="n">
        <v>188.1</v>
      </c>
      <c r="AF432" s="90" t="inlineStr">
        <is>
          <t>N/A</t>
        </is>
      </c>
      <c r="AG432" s="89" t="n">
        <v>2361.2</v>
      </c>
      <c r="AH432" s="89" t="n">
        <v>825.9</v>
      </c>
      <c r="AI432" s="89" t="n">
        <v>6029.4</v>
      </c>
      <c r="AJ432" s="90" t="inlineStr">
        <is>
          <t>N/A</t>
        </is>
      </c>
      <c r="AK432" s="90" t="inlineStr">
        <is>
          <t>N/A</t>
        </is>
      </c>
      <c r="AL432" s="90" t="inlineStr">
        <is>
          <t>N/A</t>
        </is>
      </c>
      <c r="AM432" s="90" t="inlineStr">
        <is>
          <t>N/A</t>
        </is>
      </c>
      <c r="AN432" s="90" t="inlineStr">
        <is>
          <t>N/A</t>
        </is>
      </c>
      <c r="AO432" s="90" t="inlineStr">
        <is>
          <t>N/A</t>
        </is>
      </c>
      <c r="AP432" s="90" t="inlineStr">
        <is>
          <t>N/A</t>
        </is>
      </c>
      <c r="AQ432" s="90" t="inlineStr">
        <is>
          <t>N/A</t>
        </is>
      </c>
      <c r="AR432" s="90" t="inlineStr">
        <is>
          <t>N/A</t>
        </is>
      </c>
      <c r="AS432" s="89" t="n">
        <v>244.3</v>
      </c>
      <c r="AT432" s="90" t="inlineStr">
        <is>
          <t>N/A</t>
        </is>
      </c>
      <c r="AU432" s="90" t="inlineStr">
        <is>
          <t>N/A</t>
        </is>
      </c>
      <c r="AV432" s="89" t="n">
        <v>27.4</v>
      </c>
      <c r="AW432" s="89" t="n">
        <v>22.4</v>
      </c>
      <c r="AX432" s="90" t="inlineStr">
        <is>
          <t>N/A</t>
        </is>
      </c>
      <c r="AY432" s="90" t="inlineStr">
        <is>
          <t>N/A</t>
        </is>
      </c>
      <c r="AZ432" s="90" t="inlineStr">
        <is>
          <t>N/A</t>
        </is>
      </c>
      <c r="BA432" s="90" t="inlineStr">
        <is>
          <t>N/A</t>
        </is>
      </c>
      <c r="BB432" s="89" t="n">
        <v>109.9</v>
      </c>
      <c r="BC432" s="89" t="n">
        <v>107.6</v>
      </c>
      <c r="BD432" s="89" t="n">
        <v>28.3</v>
      </c>
      <c r="BE432" s="90" t="inlineStr">
        <is>
          <t>N/A</t>
        </is>
      </c>
      <c r="BF432" s="89" t="n">
        <v>41.9</v>
      </c>
      <c r="BG432" s="89" t="n">
        <v>299</v>
      </c>
      <c r="BH432" s="89" t="n">
        <v>-440.7</v>
      </c>
      <c r="BI432" s="89" t="n">
        <v>-302.4</v>
      </c>
      <c r="BJ432" s="90" t="inlineStr">
        <is>
          <t>N/A</t>
        </is>
      </c>
      <c r="BK432" s="90" t="inlineStr">
        <is>
          <t>N/A</t>
        </is>
      </c>
      <c r="BL432" s="90" t="inlineStr">
        <is>
          <t>N/A</t>
        </is>
      </c>
      <c r="BM432" s="90" t="inlineStr">
        <is>
          <t>N/A</t>
        </is>
      </c>
      <c r="BN432" s="90" t="inlineStr">
        <is>
          <t>N/A</t>
        </is>
      </c>
      <c r="BO432" s="89" t="n">
        <v>605.4</v>
      </c>
      <c r="BP432" s="89" t="n">
        <v>637.7</v>
      </c>
      <c r="BQ432" s="89" t="n">
        <v>0</v>
      </c>
      <c r="BR432" s="89" t="n">
        <v>0</v>
      </c>
      <c r="BS432" s="90" t="inlineStr">
        <is>
          <t>N/A</t>
        </is>
      </c>
      <c r="BT432" s="90" t="inlineStr">
        <is>
          <t>N/A</t>
        </is>
      </c>
      <c r="BU432" s="90" t="inlineStr">
        <is>
          <t>N/A</t>
        </is>
      </c>
      <c r="BV432" s="90" t="inlineStr">
        <is>
          <t>N/A</t>
        </is>
      </c>
      <c r="BW432" s="89" t="n">
        <v>0</v>
      </c>
      <c r="BX432" s="89" t="n">
        <v>0</v>
      </c>
      <c r="BY432" s="90" t="inlineStr">
        <is>
          <t>N/A</t>
        </is>
      </c>
    </row>
    <row r="433" ht="17" customHeight="1">
      <c r="A433" s="82" t="n">
        <v>431</v>
      </c>
      <c r="B433" s="83" t="inlineStr">
        <is>
          <t>CDNS</t>
        </is>
      </c>
      <c r="C433" s="84" t="inlineStr">
        <is>
          <t>CADENCE DESIGN SYSTEMS, INC.</t>
        </is>
      </c>
      <c r="D433" s="82" t="inlineStr">
        <is>
          <t>Information Technology</t>
        </is>
      </c>
      <c r="E433" s="82" t="n">
        <v>2026</v>
      </c>
      <c r="F433" s="85" t="n">
        <v>10153.1</v>
      </c>
      <c r="G433" s="85" t="n">
        <v>4669.7</v>
      </c>
      <c r="H433" s="85" t="n">
        <v>1635.3</v>
      </c>
      <c r="I433" s="85" t="n">
        <v>10153.1</v>
      </c>
      <c r="J433" s="85" t="n">
        <v>7100.8</v>
      </c>
      <c r="K433" s="85" t="n">
        <v>1492</v>
      </c>
      <c r="L433" s="85" t="n">
        <v>5296.8</v>
      </c>
      <c r="M433" s="85" t="n">
        <v>1108.9</v>
      </c>
      <c r="N433" s="85" t="n">
        <v>1728.8</v>
      </c>
      <c r="O433" s="85" t="n">
        <v>5223.4</v>
      </c>
      <c r="P433" s="91" t="inlineStr">
        <is>
          <t>N/A</t>
        </is>
      </c>
      <c r="Q433" s="85" t="n">
        <v>5474.2</v>
      </c>
      <c r="R433" s="85" t="n">
        <v>313.4</v>
      </c>
      <c r="S433" s="85" t="n">
        <v>91.59999999999999</v>
      </c>
      <c r="T433" s="85" t="n">
        <v>944.9</v>
      </c>
      <c r="U433" s="85" t="n">
        <v>517</v>
      </c>
      <c r="V433" s="85" t="n">
        <v>116.5</v>
      </c>
      <c r="W433" s="85" t="n">
        <v>8974.5</v>
      </c>
      <c r="X433" s="85" t="n">
        <v>4016.1</v>
      </c>
      <c r="Y433" s="85" t="n">
        <v>1370.1</v>
      </c>
      <c r="Z433" s="85" t="n">
        <v>8974.5</v>
      </c>
      <c r="AA433" s="85" t="n">
        <v>1350.8</v>
      </c>
      <c r="AB433" s="85" t="n">
        <v>4641.3</v>
      </c>
      <c r="AC433" s="85" t="n">
        <v>1055.5</v>
      </c>
      <c r="AD433" s="85" t="n">
        <v>1260.6</v>
      </c>
      <c r="AE433" s="85" t="n">
        <v>4571.6</v>
      </c>
      <c r="AF433" s="91" t="inlineStr">
        <is>
          <t>N/A</t>
        </is>
      </c>
      <c r="AG433" s="85" t="n">
        <v>4673.6</v>
      </c>
      <c r="AH433" s="85" t="n">
        <v>4641.3</v>
      </c>
      <c r="AI433" s="85" t="n">
        <v>8974.5</v>
      </c>
      <c r="AJ433" s="85" t="n">
        <v>1522</v>
      </c>
      <c r="AK433" s="85" t="n">
        <v>1395.8</v>
      </c>
      <c r="AL433" s="85" t="n">
        <v>413.2</v>
      </c>
      <c r="AM433" s="85" t="n">
        <v>340.3</v>
      </c>
      <c r="AN433" s="85" t="n">
        <v>141.9</v>
      </c>
      <c r="AO433" s="85" t="n">
        <v>142.5</v>
      </c>
      <c r="AP433" s="85" t="n">
        <v>303.5</v>
      </c>
      <c r="AQ433" s="85" t="n">
        <v>257.7</v>
      </c>
      <c r="AR433" s="85" t="n">
        <v>2749.1</v>
      </c>
      <c r="AS433" s="85" t="n">
        <v>594.7</v>
      </c>
      <c r="AT433" s="91" t="inlineStr">
        <is>
          <t>N/A</t>
        </is>
      </c>
      <c r="AU433" s="91" t="inlineStr">
        <is>
          <t>N/A</t>
        </is>
      </c>
      <c r="AV433" s="85" t="n">
        <v>3001.3</v>
      </c>
      <c r="AW433" s="85" t="n">
        <v>2644</v>
      </c>
      <c r="AX433" s="91" t="inlineStr">
        <is>
          <t>N/A</t>
        </is>
      </c>
      <c r="AY433" s="91" t="inlineStr">
        <is>
          <t>N/A</t>
        </is>
      </c>
      <c r="AZ433" s="91" t="inlineStr">
        <is>
          <t>N/A</t>
        </is>
      </c>
      <c r="BA433" s="85" t="n">
        <v>1586.9</v>
      </c>
      <c r="BB433" s="85" t="n">
        <v>271.8</v>
      </c>
      <c r="BC433" s="85" t="n">
        <v>273.9</v>
      </c>
      <c r="BD433" s="85" t="n">
        <v>680.5</v>
      </c>
      <c r="BE433" s="85" t="n">
        <v>458.2</v>
      </c>
      <c r="BF433" s="85" t="n">
        <v>282.3</v>
      </c>
      <c r="BG433" s="85" t="n">
        <v>88.3</v>
      </c>
      <c r="BH433" s="85" t="n">
        <v>-460.5</v>
      </c>
      <c r="BI433" s="85" t="n">
        <v>-837.1</v>
      </c>
      <c r="BJ433" s="85" t="n">
        <v>5.5</v>
      </c>
      <c r="BK433" s="85" t="n">
        <v>4.8</v>
      </c>
      <c r="BL433" s="85" t="n">
        <v>778.4</v>
      </c>
      <c r="BM433" s="85" t="n">
        <v>737.4</v>
      </c>
      <c r="BN433" s="85" t="n">
        <v>3.9</v>
      </c>
      <c r="BO433" s="85" t="n">
        <v>73.40000000000001</v>
      </c>
      <c r="BP433" s="85" t="n">
        <v>69.7</v>
      </c>
      <c r="BQ433" s="85" t="n">
        <v>0</v>
      </c>
      <c r="BR433" s="85" t="n">
        <v>0</v>
      </c>
      <c r="BS433" s="85" t="n">
        <v>0</v>
      </c>
      <c r="BT433" s="85" t="n">
        <v>0</v>
      </c>
      <c r="BU433" s="85" t="n">
        <v>0</v>
      </c>
      <c r="BV433" s="85" t="n">
        <v>0</v>
      </c>
      <c r="BW433" s="85" t="n">
        <v>0</v>
      </c>
      <c r="BX433" s="85" t="n">
        <v>0</v>
      </c>
      <c r="BY433" s="85" t="n">
        <v>0</v>
      </c>
    </row>
    <row r="434" ht="17" customHeight="1">
      <c r="A434" s="86" t="n">
        <v>432</v>
      </c>
      <c r="B434" s="87" t="inlineStr">
        <is>
          <t>ALGN</t>
        </is>
      </c>
      <c r="C434" s="88" t="inlineStr">
        <is>
          <t>ALIGN TECHNOLOGY, INC.</t>
        </is>
      </c>
      <c r="D434" s="86" t="inlineStr">
        <is>
          <t>Health Care</t>
        </is>
      </c>
      <c r="E434" s="86" t="n">
        <v>2026</v>
      </c>
      <c r="F434" s="89" t="n">
        <v>6233.7</v>
      </c>
      <c r="G434" s="89" t="n">
        <v>2616.6</v>
      </c>
      <c r="H434" s="89" t="n">
        <v>1920</v>
      </c>
      <c r="I434" s="89" t="n">
        <v>2184.5</v>
      </c>
      <c r="J434" s="89" t="n">
        <v>2464.2</v>
      </c>
      <c r="K434" s="89" t="n">
        <v>545.8</v>
      </c>
      <c r="L434" s="89" t="n">
        <v>387.1</v>
      </c>
      <c r="M434" s="89" t="n">
        <v>410.4</v>
      </c>
      <c r="N434" s="89" t="n">
        <v>593.2</v>
      </c>
      <c r="O434" s="89" t="n">
        <v>2711</v>
      </c>
      <c r="P434" s="90" t="inlineStr">
        <is>
          <t>N/A</t>
        </is>
      </c>
      <c r="Q434" s="89" t="n">
        <v>4049.1</v>
      </c>
      <c r="R434" s="89" t="n">
        <v>1755.8</v>
      </c>
      <c r="S434" s="89" t="n">
        <v>80.09999999999999</v>
      </c>
      <c r="T434" s="89" t="n">
        <v>1101.8</v>
      </c>
      <c r="U434" s="89" t="n">
        <v>1131.5</v>
      </c>
      <c r="V434" s="89" t="n">
        <v>0.1</v>
      </c>
      <c r="W434" s="89" t="n">
        <v>6214.6</v>
      </c>
      <c r="X434" s="89" t="n">
        <v>2492.4</v>
      </c>
      <c r="Y434" s="89" t="n">
        <v>2038</v>
      </c>
      <c r="Z434" s="89" t="n">
        <v>2362.6</v>
      </c>
      <c r="AA434" s="89" t="n">
        <v>607.6</v>
      </c>
      <c r="AB434" s="89" t="n">
        <v>312.3</v>
      </c>
      <c r="AC434" s="89" t="n">
        <v>421.4</v>
      </c>
      <c r="AD434" s="89" t="n">
        <v>738.2</v>
      </c>
      <c r="AE434" s="89" t="n">
        <v>2799.2</v>
      </c>
      <c r="AF434" s="90" t="inlineStr">
        <is>
          <t>N/A</t>
        </is>
      </c>
      <c r="AG434" s="89" t="n">
        <v>3852</v>
      </c>
      <c r="AH434" s="89" t="n">
        <v>304</v>
      </c>
      <c r="AI434" s="89" t="n">
        <v>6214.6</v>
      </c>
      <c r="AJ434" s="89" t="n">
        <v>585.3</v>
      </c>
      <c r="AK434" s="89" t="n">
        <v>609</v>
      </c>
      <c r="AL434" s="89" t="n">
        <v>174.9</v>
      </c>
      <c r="AM434" s="89" t="n">
        <v>187.6</v>
      </c>
      <c r="AN434" s="89" t="n">
        <v>102.4</v>
      </c>
      <c r="AO434" s="89" t="n">
        <v>115.6</v>
      </c>
      <c r="AP434" s="89" t="n">
        <v>226.3</v>
      </c>
      <c r="AQ434" s="89" t="n">
        <v>254.3</v>
      </c>
      <c r="AR434" s="89" t="n">
        <v>491.8</v>
      </c>
      <c r="AS434" s="89" t="n">
        <v>93.90000000000001</v>
      </c>
      <c r="AT434" s="90" t="inlineStr">
        <is>
          <t>N/A</t>
        </is>
      </c>
      <c r="AU434" s="89" t="n">
        <v>369.9</v>
      </c>
      <c r="AV434" s="89" t="n">
        <v>1094.9</v>
      </c>
      <c r="AW434" s="89" t="n">
        <v>1043.9</v>
      </c>
      <c r="AX434" s="90" t="inlineStr">
        <is>
          <t>N/A</t>
        </is>
      </c>
      <c r="AY434" s="90" t="inlineStr">
        <is>
          <t>N/A</t>
        </is>
      </c>
      <c r="AZ434" s="90" t="inlineStr">
        <is>
          <t>N/A</t>
        </is>
      </c>
      <c r="BA434" s="89" t="n">
        <v>490.8</v>
      </c>
      <c r="BB434" s="89" t="n">
        <v>71.40000000000001</v>
      </c>
      <c r="BC434" s="89" t="n">
        <v>73.8</v>
      </c>
      <c r="BD434" s="89" t="n">
        <v>995.7</v>
      </c>
      <c r="BE434" s="89" t="n">
        <v>1271.1</v>
      </c>
      <c r="BF434" s="89" t="n">
        <v>1763.2</v>
      </c>
      <c r="BG434" s="89" t="n">
        <v>79</v>
      </c>
      <c r="BH434" s="89" t="n">
        <v>-112.4</v>
      </c>
      <c r="BI434" s="89" t="n">
        <v>-254.9</v>
      </c>
      <c r="BJ434" s="89" t="n">
        <v>121.5</v>
      </c>
      <c r="BK434" s="89" t="n">
        <v>108.7</v>
      </c>
      <c r="BL434" s="89" t="n">
        <v>1261.8</v>
      </c>
      <c r="BM434" s="89" t="n">
        <v>1331.1</v>
      </c>
      <c r="BN434" s="89" t="n">
        <v>44</v>
      </c>
      <c r="BO434" s="89" t="n">
        <v>1324</v>
      </c>
      <c r="BP434" s="89" t="n">
        <v>1199.9</v>
      </c>
      <c r="BQ434" s="89" t="n">
        <v>0</v>
      </c>
      <c r="BR434" s="89" t="n">
        <v>0</v>
      </c>
      <c r="BS434" s="89" t="n">
        <v>0</v>
      </c>
      <c r="BT434" s="89" t="n">
        <v>0</v>
      </c>
      <c r="BU434" s="89" t="n">
        <v>0</v>
      </c>
      <c r="BV434" s="89" t="n">
        <v>0</v>
      </c>
      <c r="BW434" s="89" t="n">
        <v>0</v>
      </c>
      <c r="BX434" s="89" t="n">
        <v>0</v>
      </c>
      <c r="BY434" s="89" t="n">
        <v>0</v>
      </c>
    </row>
    <row r="435" ht="17" customHeight="1">
      <c r="A435" s="82" t="n">
        <v>433</v>
      </c>
      <c r="B435" s="83" t="inlineStr">
        <is>
          <t>ADSK</t>
        </is>
      </c>
      <c r="C435" s="84" t="inlineStr">
        <is>
          <t>AUTODESK, INC.</t>
        </is>
      </c>
      <c r="D435" s="82" t="inlineStr">
        <is>
          <t>Information Technology</t>
        </is>
      </c>
      <c r="E435" s="82" t="n">
        <v>2026</v>
      </c>
      <c r="F435" s="85" t="n">
        <v>12467</v>
      </c>
      <c r="G435" s="85" t="n">
        <v>4942</v>
      </c>
      <c r="H435" s="85" t="n">
        <v>5808</v>
      </c>
      <c r="I435" s="85" t="n">
        <v>12467</v>
      </c>
      <c r="J435" s="85" t="n">
        <v>-1432</v>
      </c>
      <c r="K435" s="85" t="n">
        <v>1578</v>
      </c>
      <c r="L435" s="85" t="n">
        <v>7206</v>
      </c>
      <c r="M435" s="85" t="n">
        <v>1124</v>
      </c>
      <c r="N435" s="85" t="n">
        <v>2452</v>
      </c>
      <c r="O435" s="85" t="n">
        <v>6556</v>
      </c>
      <c r="P435" s="85" t="n">
        <v>2500</v>
      </c>
      <c r="Q435" s="85" t="n">
        <v>3045</v>
      </c>
      <c r="R435" s="85" t="n">
        <v>693</v>
      </c>
      <c r="S435" s="85" t="n">
        <v>195</v>
      </c>
      <c r="T435" s="85" t="n">
        <v>1439</v>
      </c>
      <c r="U435" s="85" t="n">
        <v>121</v>
      </c>
      <c r="V435" s="85" t="n">
        <v>80</v>
      </c>
      <c r="W435" s="85" t="n">
        <v>10833</v>
      </c>
      <c r="X435" s="85" t="n">
        <v>3482</v>
      </c>
      <c r="Y435" s="85" t="n">
        <v>5151</v>
      </c>
      <c r="Z435" s="85" t="n">
        <v>10833</v>
      </c>
      <c r="AA435" s="85" t="n">
        <v>1354</v>
      </c>
      <c r="AB435" s="85" t="n">
        <v>6131</v>
      </c>
      <c r="AC435" s="85" t="n">
        <v>1112</v>
      </c>
      <c r="AD435" s="85" t="n">
        <v>1607</v>
      </c>
      <c r="AE435" s="85" t="n">
        <v>5553</v>
      </c>
      <c r="AF435" s="85" t="n">
        <v>2300</v>
      </c>
      <c r="AG435" s="85" t="n">
        <v>2621</v>
      </c>
      <c r="AH435" s="85" t="n">
        <v>6131</v>
      </c>
      <c r="AI435" s="85" t="n">
        <v>10833</v>
      </c>
      <c r="AJ435" s="85" t="n">
        <v>1603</v>
      </c>
      <c r="AK435" s="85" t="n">
        <v>1384</v>
      </c>
      <c r="AL435" s="85" t="n">
        <v>479</v>
      </c>
      <c r="AM435" s="85" t="n">
        <v>272</v>
      </c>
      <c r="AN435" s="85" t="n">
        <v>43</v>
      </c>
      <c r="AO435" s="85" t="n">
        <v>40</v>
      </c>
      <c r="AP435" s="91" t="inlineStr">
        <is>
          <t>N/A</t>
        </is>
      </c>
      <c r="AQ435" s="91" t="inlineStr">
        <is>
          <t>N/A</t>
        </is>
      </c>
      <c r="AR435" s="85" t="n">
        <v>4295</v>
      </c>
      <c r="AS435" s="85" t="n">
        <v>467</v>
      </c>
      <c r="AT435" s="91" t="inlineStr">
        <is>
          <t>N/A</t>
        </is>
      </c>
      <c r="AU435" s="85" t="n">
        <v>1643</v>
      </c>
      <c r="AV435" s="85" t="n">
        <v>2249</v>
      </c>
      <c r="AW435" s="85" t="n">
        <v>1599</v>
      </c>
      <c r="AX435" s="85" t="n">
        <v>2500</v>
      </c>
      <c r="AY435" s="85" t="n">
        <v>2600</v>
      </c>
      <c r="AZ435" s="85" t="n">
        <v>251</v>
      </c>
      <c r="BA435" s="85" t="n">
        <v>2409</v>
      </c>
      <c r="BB435" s="85" t="n">
        <v>212</v>
      </c>
      <c r="BC435" s="85" t="n">
        <v>214</v>
      </c>
      <c r="BD435" s="85" t="n">
        <v>1008</v>
      </c>
      <c r="BE435" s="85" t="n">
        <v>117</v>
      </c>
      <c r="BF435" s="85" t="n">
        <v>650</v>
      </c>
      <c r="BG435" s="85" t="n">
        <v>180</v>
      </c>
      <c r="BH435" s="85" t="n">
        <v>-451</v>
      </c>
      <c r="BI435" s="85" t="n">
        <v>-903</v>
      </c>
      <c r="BJ435" s="85" t="n">
        <v>422</v>
      </c>
      <c r="BK435" s="85" t="n">
        <v>242</v>
      </c>
      <c r="BL435" s="85" t="n">
        <v>1551.6</v>
      </c>
      <c r="BM435" s="85" t="n">
        <v>1270.1</v>
      </c>
      <c r="BN435" s="85" t="n">
        <v>54</v>
      </c>
      <c r="BO435" s="85" t="n">
        <v>650</v>
      </c>
      <c r="BP435" s="85" t="n">
        <v>578</v>
      </c>
      <c r="BQ435" s="85" t="n">
        <v>0</v>
      </c>
      <c r="BR435" s="85" t="n">
        <v>0</v>
      </c>
      <c r="BS435" s="91" t="inlineStr">
        <is>
          <t>N/A</t>
        </is>
      </c>
      <c r="BT435" s="91" t="inlineStr">
        <is>
          <t>N/A</t>
        </is>
      </c>
      <c r="BU435" s="85" t="n">
        <v>0</v>
      </c>
      <c r="BV435" s="85" t="n">
        <v>0</v>
      </c>
      <c r="BW435" s="85" t="n">
        <v>0</v>
      </c>
      <c r="BX435" s="85" t="n">
        <v>0</v>
      </c>
      <c r="BY435" s="85" t="n">
        <v>0</v>
      </c>
    </row>
    <row r="436" ht="17" customHeight="1">
      <c r="A436" s="86" t="n">
        <v>434</v>
      </c>
      <c r="B436" s="87" t="inlineStr">
        <is>
          <t>ROK</t>
        </is>
      </c>
      <c r="C436" s="88" t="inlineStr">
        <is>
          <t>Rockwell Automation, Inc.</t>
        </is>
      </c>
      <c r="D436" s="86" t="inlineStr">
        <is>
          <t>Industrials</t>
        </is>
      </c>
      <c r="E436" s="86" t="n">
        <v>2026</v>
      </c>
      <c r="F436" s="89" t="n">
        <v>11219</v>
      </c>
      <c r="G436" s="89" t="n">
        <v>3911</v>
      </c>
      <c r="H436" s="89" t="n">
        <v>3445</v>
      </c>
      <c r="I436" s="89" t="n">
        <v>11219</v>
      </c>
      <c r="J436" s="89" t="n">
        <v>5422</v>
      </c>
      <c r="K436" s="89" t="n">
        <v>1703</v>
      </c>
      <c r="L436" s="89" t="n">
        <v>6666</v>
      </c>
      <c r="M436" s="89" t="n">
        <v>869</v>
      </c>
      <c r="N436" s="89" t="n">
        <v>1544</v>
      </c>
      <c r="O436" s="89" t="n">
        <v>4016</v>
      </c>
      <c r="P436" s="89" t="n">
        <v>1974.7</v>
      </c>
      <c r="Q436" s="89" t="n">
        <v>3654</v>
      </c>
      <c r="R436" s="89" t="n">
        <v>1914</v>
      </c>
      <c r="S436" s="89" t="n">
        <v>325</v>
      </c>
      <c r="T436" s="89" t="n">
        <v>1931</v>
      </c>
      <c r="U436" s="89" t="n">
        <v>797</v>
      </c>
      <c r="V436" s="89" t="n">
        <v>135.3</v>
      </c>
      <c r="W436" s="89" t="n">
        <v>11232.1</v>
      </c>
      <c r="X436" s="89" t="n">
        <v>3881.2</v>
      </c>
      <c r="Y436" s="89" t="n">
        <v>3603.9</v>
      </c>
      <c r="Z436" s="89" t="n">
        <v>11232.1</v>
      </c>
      <c r="AA436" s="89" t="n">
        <v>1595</v>
      </c>
      <c r="AB436" s="89" t="n">
        <v>1729.5</v>
      </c>
      <c r="AC436" s="89" t="n">
        <v>952.5</v>
      </c>
      <c r="AD436" s="89" t="n">
        <v>863.8</v>
      </c>
      <c r="AE436" s="89" t="n">
        <v>3193.4</v>
      </c>
      <c r="AF436" s="89" t="n">
        <v>2256.9</v>
      </c>
      <c r="AG436" s="89" t="n">
        <v>3498.3</v>
      </c>
      <c r="AH436" s="89" t="n">
        <v>1698.7</v>
      </c>
      <c r="AI436" s="89" t="n">
        <v>11232</v>
      </c>
      <c r="AJ436" s="89" t="n">
        <v>917</v>
      </c>
      <c r="AK436" s="89" t="n">
        <v>1099.1</v>
      </c>
      <c r="AL436" s="89" t="n">
        <v>168</v>
      </c>
      <c r="AM436" s="89" t="n">
        <v>151.8</v>
      </c>
      <c r="AN436" s="89" t="n">
        <v>160.5</v>
      </c>
      <c r="AO436" s="89" t="n">
        <v>141.1</v>
      </c>
      <c r="AP436" s="89" t="n">
        <v>1247</v>
      </c>
      <c r="AQ436" s="89" t="n">
        <v>1293.1</v>
      </c>
      <c r="AR436" s="89" t="n">
        <v>3839</v>
      </c>
      <c r="AS436" s="89" t="n">
        <v>820</v>
      </c>
      <c r="AT436" s="89" t="n">
        <v>608</v>
      </c>
      <c r="AU436" s="89" t="n">
        <v>679</v>
      </c>
      <c r="AV436" s="89" t="n">
        <v>468</v>
      </c>
      <c r="AW436" s="89" t="n">
        <v>471</v>
      </c>
      <c r="AX436" s="89" t="n">
        <v>2582.7</v>
      </c>
      <c r="AY436" s="89" t="n">
        <v>3027.7</v>
      </c>
      <c r="AZ436" s="89" t="n">
        <v>2114.7</v>
      </c>
      <c r="BA436" s="89" t="n">
        <v>1383.5</v>
      </c>
      <c r="BB436" s="89" t="n">
        <v>112.4</v>
      </c>
      <c r="BC436" s="89" t="n">
        <v>113.1</v>
      </c>
      <c r="BD436" s="89" t="n">
        <v>1802</v>
      </c>
      <c r="BE436" s="89" t="n">
        <v>776.7</v>
      </c>
      <c r="BF436" s="89" t="n">
        <v>2002.6</v>
      </c>
      <c r="BG436" s="89" t="n">
        <v>317.4</v>
      </c>
      <c r="BH436" s="89" t="n">
        <v>-216</v>
      </c>
      <c r="BI436" s="89" t="n">
        <v>-982.5</v>
      </c>
      <c r="BJ436" s="89" t="n">
        <v>930</v>
      </c>
      <c r="BK436" s="89" t="n">
        <v>860.4</v>
      </c>
      <c r="BL436" s="89" t="n">
        <v>621</v>
      </c>
      <c r="BM436" s="89" t="n">
        <v>584.1</v>
      </c>
      <c r="BN436" s="89" t="n">
        <v>163</v>
      </c>
      <c r="BO436" s="89" t="n">
        <v>4326</v>
      </c>
      <c r="BP436" s="89" t="n">
        <v>5070.8</v>
      </c>
      <c r="BQ436" s="89" t="n">
        <v>0</v>
      </c>
      <c r="BR436" s="89" t="n">
        <v>0</v>
      </c>
      <c r="BS436" s="89" t="n">
        <v>0</v>
      </c>
      <c r="BT436" s="89" t="n">
        <v>0</v>
      </c>
      <c r="BU436" s="89" t="n">
        <v>0</v>
      </c>
      <c r="BV436" s="89" t="n">
        <v>0</v>
      </c>
      <c r="BW436" s="89" t="n">
        <v>0</v>
      </c>
      <c r="BX436" s="89" t="n">
        <v>0</v>
      </c>
      <c r="BY436" s="89" t="n">
        <v>0</v>
      </c>
    </row>
    <row r="437" ht="17" customHeight="1">
      <c r="A437" s="82" t="n">
        <v>435</v>
      </c>
      <c r="B437" s="83" t="inlineStr">
        <is>
          <t>NVR</t>
        </is>
      </c>
      <c r="C437" s="84" t="inlineStr">
        <is>
          <t>NVR, Inc.</t>
        </is>
      </c>
      <c r="D437" s="82" t="inlineStr">
        <is>
          <t>Consumer Discretionary</t>
        </is>
      </c>
      <c r="E437" s="82" t="n">
        <v>2026</v>
      </c>
      <c r="F437" s="85" t="n">
        <v>5856.9</v>
      </c>
      <c r="G437" s="91" t="inlineStr">
        <is>
          <t>N/A</t>
        </is>
      </c>
      <c r="H437" s="91" t="inlineStr">
        <is>
          <t>N/A</t>
        </is>
      </c>
      <c r="I437" s="85" t="n">
        <v>1992.1</v>
      </c>
      <c r="J437" s="85" t="n">
        <v>16386.8</v>
      </c>
      <c r="K437" s="91" t="inlineStr">
        <is>
          <t>N/A</t>
        </is>
      </c>
      <c r="L437" s="85" t="n">
        <v>10324</v>
      </c>
      <c r="M437" s="85" t="n">
        <v>1339.8</v>
      </c>
      <c r="N437" s="85" t="n">
        <v>1121.3</v>
      </c>
      <c r="O437" s="91" t="inlineStr">
        <is>
          <t>N/A</t>
        </is>
      </c>
      <c r="P437" s="85" t="n">
        <v>600.1</v>
      </c>
      <c r="Q437" s="85" t="n">
        <v>3864.9</v>
      </c>
      <c r="R437" s="91" t="inlineStr">
        <is>
          <t>N/A</t>
        </is>
      </c>
      <c r="S437" s="85" t="n">
        <v>24.5</v>
      </c>
      <c r="T437" s="91" t="inlineStr">
        <is>
          <t>N/A</t>
        </is>
      </c>
      <c r="U437" s="91" t="inlineStr">
        <is>
          <t>N/A</t>
        </is>
      </c>
      <c r="V437" s="85" t="n">
        <v>27.8</v>
      </c>
      <c r="W437" s="85" t="n">
        <v>6381</v>
      </c>
      <c r="X437" s="91" t="inlineStr">
        <is>
          <t>N/A</t>
        </is>
      </c>
      <c r="Y437" s="91" t="inlineStr">
        <is>
          <t>N/A</t>
        </is>
      </c>
      <c r="Z437" s="85" t="n">
        <v>2170.9</v>
      </c>
      <c r="AA437" s="91" t="inlineStr">
        <is>
          <t>N/A</t>
        </is>
      </c>
      <c r="AB437" s="85" t="n">
        <v>10524.5</v>
      </c>
      <c r="AC437" s="85" t="n">
        <v>1681.9</v>
      </c>
      <c r="AD437" s="85" t="n">
        <v>1374.5</v>
      </c>
      <c r="AE437" s="91" t="inlineStr">
        <is>
          <t>N/A</t>
        </is>
      </c>
      <c r="AF437" s="91" t="inlineStr">
        <is>
          <t>N/A</t>
        </is>
      </c>
      <c r="AG437" s="85" t="n">
        <v>4210.1</v>
      </c>
      <c r="AH437" s="85" t="n">
        <v>10524.5</v>
      </c>
      <c r="AI437" s="85" t="n">
        <v>6381</v>
      </c>
      <c r="AJ437" s="85" t="n">
        <v>1761.9</v>
      </c>
      <c r="AK437" s="91" t="inlineStr">
        <is>
          <t>N/A</t>
        </is>
      </c>
      <c r="AL437" s="85" t="n">
        <v>422.1</v>
      </c>
      <c r="AM437" s="85" t="n">
        <v>433.6</v>
      </c>
      <c r="AN437" s="85" t="n">
        <v>24.5</v>
      </c>
      <c r="AO437" s="85" t="n">
        <v>29.2</v>
      </c>
      <c r="AP437" s="91" t="inlineStr">
        <is>
          <t>N/A</t>
        </is>
      </c>
      <c r="AQ437" s="91" t="inlineStr">
        <is>
          <t>N/A</t>
        </is>
      </c>
      <c r="AR437" s="85" t="n">
        <v>0.4</v>
      </c>
      <c r="AS437" s="85" t="n">
        <v>6.3</v>
      </c>
      <c r="AT437" s="91" t="inlineStr">
        <is>
          <t>N/A</t>
        </is>
      </c>
      <c r="AU437" s="91" t="inlineStr">
        <is>
          <t>N/A</t>
        </is>
      </c>
      <c r="AV437" s="85" t="n">
        <v>2809.8</v>
      </c>
      <c r="AW437" s="85" t="n">
        <v>1160.8</v>
      </c>
      <c r="AX437" s="85" t="n">
        <v>600.1</v>
      </c>
      <c r="AY437" s="91" t="inlineStr">
        <is>
          <t>N/A</t>
        </is>
      </c>
      <c r="AZ437" s="85" t="n">
        <v>-2209.7</v>
      </c>
      <c r="BA437" s="85" t="n">
        <v>1096.8</v>
      </c>
      <c r="BB437" s="85" t="n">
        <v>2.8</v>
      </c>
      <c r="BC437" s="85" t="n">
        <v>3</v>
      </c>
      <c r="BD437" s="91" t="inlineStr">
        <is>
          <t>N/A</t>
        </is>
      </c>
      <c r="BE437" s="91" t="inlineStr">
        <is>
          <t>N/A</t>
        </is>
      </c>
      <c r="BF437" s="91" t="inlineStr">
        <is>
          <t>N/A</t>
        </is>
      </c>
      <c r="BG437" s="85" t="n">
        <v>18.4</v>
      </c>
      <c r="BH437" s="85" t="n">
        <v>-71.2</v>
      </c>
      <c r="BI437" s="85" t="n">
        <v>-26.6</v>
      </c>
      <c r="BJ437" s="91" t="inlineStr">
        <is>
          <t>N/A</t>
        </is>
      </c>
      <c r="BK437" s="91" t="inlineStr">
        <is>
          <t>N/A</t>
        </is>
      </c>
      <c r="BL437" s="91" t="inlineStr">
        <is>
          <t>N/A</t>
        </is>
      </c>
      <c r="BM437" s="91" t="inlineStr">
        <is>
          <t>N/A</t>
        </is>
      </c>
      <c r="BN437" s="91" t="inlineStr">
        <is>
          <t>N/A</t>
        </is>
      </c>
      <c r="BO437" s="91" t="inlineStr">
        <is>
          <t>N/A</t>
        </is>
      </c>
      <c r="BP437" s="91" t="inlineStr">
        <is>
          <t>N/A</t>
        </is>
      </c>
      <c r="BQ437" s="91" t="inlineStr">
        <is>
          <t>N/A</t>
        </is>
      </c>
      <c r="BR437" s="91" t="inlineStr">
        <is>
          <t>N/A</t>
        </is>
      </c>
      <c r="BS437" s="91" t="inlineStr">
        <is>
          <t>N/A</t>
        </is>
      </c>
      <c r="BT437" s="91" t="inlineStr">
        <is>
          <t>N/A</t>
        </is>
      </c>
      <c r="BU437" s="91" t="inlineStr">
        <is>
          <t>N/A</t>
        </is>
      </c>
      <c r="BV437" s="91" t="inlineStr">
        <is>
          <t>N/A</t>
        </is>
      </c>
      <c r="BW437" s="85" t="n">
        <v>0</v>
      </c>
      <c r="BX437" s="85" t="n">
        <v>0</v>
      </c>
      <c r="BY437" s="85" t="n">
        <v>0</v>
      </c>
    </row>
    <row r="438" ht="17" customHeight="1">
      <c r="A438" s="86" t="n">
        <v>436</v>
      </c>
      <c r="B438" s="87" t="inlineStr">
        <is>
          <t>LVS</t>
        </is>
      </c>
      <c r="C438" s="88" t="inlineStr">
        <is>
          <t>LAS VEGAS SANDS CORP</t>
        </is>
      </c>
      <c r="D438" s="86" t="inlineStr">
        <is>
          <t>Consumer Discretionary</t>
        </is>
      </c>
      <c r="E438" s="86" t="n">
        <v>2026</v>
      </c>
      <c r="F438" s="89" t="n">
        <v>21920</v>
      </c>
      <c r="G438" s="89" t="n">
        <v>4832</v>
      </c>
      <c r="H438" s="89" t="n">
        <v>4222</v>
      </c>
      <c r="I438" s="89" t="n">
        <v>19986</v>
      </c>
      <c r="J438" s="89" t="n">
        <v>4387</v>
      </c>
      <c r="K438" s="89" t="n">
        <v>2818</v>
      </c>
      <c r="L438" s="89" t="n">
        <v>13017</v>
      </c>
      <c r="M438" s="89" t="n">
        <v>1627</v>
      </c>
      <c r="N438" s="89" t="n">
        <v>3023</v>
      </c>
      <c r="O438" s="90" t="inlineStr">
        <is>
          <t>N/A</t>
        </is>
      </c>
      <c r="P438" s="90" t="inlineStr">
        <is>
          <t>N/A</t>
        </is>
      </c>
      <c r="Q438" s="89" t="n">
        <v>1590</v>
      </c>
      <c r="R438" s="89" t="n">
        <v>1188</v>
      </c>
      <c r="S438" s="89" t="n">
        <v>1464</v>
      </c>
      <c r="T438" s="89" t="n">
        <v>742</v>
      </c>
      <c r="U438" s="89" t="n">
        <v>11673</v>
      </c>
      <c r="V438" s="89" t="n">
        <v>746</v>
      </c>
      <c r="W438" s="89" t="n">
        <v>20666</v>
      </c>
      <c r="X438" s="89" t="n">
        <v>4290</v>
      </c>
      <c r="Y438" s="89" t="n">
        <v>5801</v>
      </c>
      <c r="Z438" s="89" t="n">
        <v>17506</v>
      </c>
      <c r="AA438" s="89" t="n">
        <v>707</v>
      </c>
      <c r="AB438" s="89" t="n">
        <v>3649</v>
      </c>
      <c r="AC438" s="89" t="n">
        <v>395</v>
      </c>
      <c r="AD438" s="89" t="n">
        <v>3204</v>
      </c>
      <c r="AE438" s="90" t="inlineStr">
        <is>
          <t>N/A</t>
        </is>
      </c>
      <c r="AF438" s="90" t="inlineStr">
        <is>
          <t>N/A</t>
        </is>
      </c>
      <c r="AG438" s="89" t="n">
        <v>2884</v>
      </c>
      <c r="AH438" s="89" t="n">
        <v>3331</v>
      </c>
      <c r="AI438" s="89" t="n">
        <v>20666</v>
      </c>
      <c r="AJ438" s="89" t="n">
        <v>2213</v>
      </c>
      <c r="AK438" s="89" t="n">
        <v>1960</v>
      </c>
      <c r="AL438" s="89" t="n">
        <v>347</v>
      </c>
      <c r="AM438" s="89" t="n">
        <v>208</v>
      </c>
      <c r="AN438" s="89" t="n">
        <v>1168</v>
      </c>
      <c r="AO438" s="89" t="n">
        <v>1567</v>
      </c>
      <c r="AP438" s="89" t="n">
        <v>46</v>
      </c>
      <c r="AQ438" s="89" t="n">
        <v>41</v>
      </c>
      <c r="AR438" s="89" t="n">
        <v>103</v>
      </c>
      <c r="AS438" s="89" t="n">
        <v>470</v>
      </c>
      <c r="AT438" s="90" t="inlineStr">
        <is>
          <t>N/A</t>
        </is>
      </c>
      <c r="AU438" s="89" t="n">
        <v>269</v>
      </c>
      <c r="AV438" s="89" t="n">
        <v>3841</v>
      </c>
      <c r="AW438" s="89" t="n">
        <v>3650</v>
      </c>
      <c r="AX438" s="90" t="inlineStr">
        <is>
          <t>N/A</t>
        </is>
      </c>
      <c r="AY438" s="90" t="inlineStr">
        <is>
          <t>N/A</t>
        </is>
      </c>
      <c r="AZ438" s="90" t="inlineStr">
        <is>
          <t>N/A</t>
        </is>
      </c>
      <c r="BA438" s="89" t="n">
        <v>1855</v>
      </c>
      <c r="BB438" s="89" t="n">
        <v>675</v>
      </c>
      <c r="BC438" s="89" t="n">
        <v>716</v>
      </c>
      <c r="BD438" s="89" t="n">
        <v>417</v>
      </c>
      <c r="BE438" s="89" t="n">
        <v>11993</v>
      </c>
      <c r="BF438" s="89" t="n">
        <v>1150</v>
      </c>
      <c r="BG438" s="89" t="n">
        <v>1308</v>
      </c>
      <c r="BH438" s="89" t="n">
        <v>-1217</v>
      </c>
      <c r="BI438" s="89" t="n">
        <v>-1579</v>
      </c>
      <c r="BJ438" s="89" t="n">
        <v>190</v>
      </c>
      <c r="BK438" s="89" t="n">
        <v>164</v>
      </c>
      <c r="BL438" s="90" t="inlineStr">
        <is>
          <t>N/A</t>
        </is>
      </c>
      <c r="BM438" s="90" t="inlineStr">
        <is>
          <t>N/A</t>
        </is>
      </c>
      <c r="BN438" s="89" t="n">
        <v>385</v>
      </c>
      <c r="BO438" s="90" t="inlineStr">
        <is>
          <t>N/A</t>
        </is>
      </c>
      <c r="BP438" s="90" t="inlineStr">
        <is>
          <t>N/A</t>
        </is>
      </c>
      <c r="BQ438" s="89" t="n">
        <v>0</v>
      </c>
      <c r="BR438" s="89" t="n">
        <v>0</v>
      </c>
      <c r="BS438" s="90" t="inlineStr">
        <is>
          <t>N/A</t>
        </is>
      </c>
      <c r="BT438" s="90" t="inlineStr">
        <is>
          <t>N/A</t>
        </is>
      </c>
      <c r="BU438" s="90" t="inlineStr">
        <is>
          <t>N/A</t>
        </is>
      </c>
      <c r="BV438" s="90" t="inlineStr">
        <is>
          <t>N/A</t>
        </is>
      </c>
      <c r="BW438" s="89" t="n">
        <v>0</v>
      </c>
      <c r="BX438" s="89" t="n">
        <v>0</v>
      </c>
      <c r="BY438" s="89" t="n">
        <v>0</v>
      </c>
    </row>
    <row r="439" ht="17" customHeight="1">
      <c r="A439" s="82" t="n">
        <v>437</v>
      </c>
      <c r="B439" s="83" t="inlineStr">
        <is>
          <t>WBS</t>
        </is>
      </c>
      <c r="C439" s="84" t="inlineStr">
        <is>
          <t>WEBSTER FINANCIAL CORPORATION</t>
        </is>
      </c>
      <c r="D439" s="82" t="inlineStr">
        <is>
          <t>Financials</t>
        </is>
      </c>
      <c r="E439" s="82" t="n">
        <v>2026</v>
      </c>
      <c r="F439" s="85" t="n">
        <v>84073.7</v>
      </c>
      <c r="G439" s="91" t="inlineStr">
        <is>
          <t>N/A</t>
        </is>
      </c>
      <c r="H439" s="91" t="inlineStr">
        <is>
          <t>N/A</t>
        </is>
      </c>
      <c r="I439" s="85" t="n">
        <v>74581.39999999999</v>
      </c>
      <c r="J439" s="85" t="n">
        <v>4477.7</v>
      </c>
      <c r="K439" s="85" t="n">
        <v>1470.1</v>
      </c>
      <c r="L439" s="85" t="n">
        <v>2899.4</v>
      </c>
      <c r="M439" s="85" t="n">
        <v>1002.8</v>
      </c>
      <c r="N439" s="85" t="n">
        <v>1058.1</v>
      </c>
      <c r="O439" s="91" t="inlineStr">
        <is>
          <t>N/A</t>
        </is>
      </c>
      <c r="P439" s="85" t="n">
        <v>739.5</v>
      </c>
      <c r="Q439" s="85" t="n">
        <v>9492.200000000001</v>
      </c>
      <c r="R439" s="91" t="inlineStr">
        <is>
          <t>N/A</t>
        </is>
      </c>
      <c r="S439" s="85" t="n">
        <v>30.6</v>
      </c>
      <c r="T439" s="91" t="inlineStr">
        <is>
          <t>N/A</t>
        </is>
      </c>
      <c r="U439" s="85" t="n">
        <v>432</v>
      </c>
      <c r="V439" s="85" t="n">
        <v>1523.6</v>
      </c>
      <c r="W439" s="85" t="n">
        <v>79025.10000000001</v>
      </c>
      <c r="X439" s="91" t="inlineStr">
        <is>
          <t>N/A</t>
        </is>
      </c>
      <c r="Y439" s="91" t="inlineStr">
        <is>
          <t>N/A</t>
        </is>
      </c>
      <c r="Z439" s="85" t="n">
        <v>69891.89999999999</v>
      </c>
      <c r="AA439" s="85" t="n">
        <v>1239</v>
      </c>
      <c r="AB439" s="85" t="n">
        <v>2590.3</v>
      </c>
      <c r="AC439" s="85" t="n">
        <v>768.7</v>
      </c>
      <c r="AD439" s="85" t="n">
        <v>1404.3</v>
      </c>
      <c r="AE439" s="91" t="inlineStr">
        <is>
          <t>N/A</t>
        </is>
      </c>
      <c r="AF439" s="85" t="n">
        <v>909.2</v>
      </c>
      <c r="AG439" s="85" t="n">
        <v>9133.200000000001</v>
      </c>
      <c r="AH439" s="85" t="n">
        <v>2590.3</v>
      </c>
      <c r="AI439" s="85" t="n">
        <v>79025.10000000001</v>
      </c>
      <c r="AJ439" s="85" t="n">
        <v>1260.1</v>
      </c>
      <c r="AK439" s="85" t="n">
        <v>1017</v>
      </c>
      <c r="AL439" s="85" t="n">
        <v>257.3</v>
      </c>
      <c r="AM439" s="85" t="n">
        <v>248.3</v>
      </c>
      <c r="AN439" s="85" t="n">
        <v>49.6</v>
      </c>
      <c r="AO439" s="85" t="n">
        <v>35.8</v>
      </c>
      <c r="AP439" s="91" t="inlineStr">
        <is>
          <t>N/A</t>
        </is>
      </c>
      <c r="AQ439" s="91" t="inlineStr">
        <is>
          <t>N/A</t>
        </is>
      </c>
      <c r="AR439" s="85" t="n">
        <v>2897.5</v>
      </c>
      <c r="AS439" s="85" t="n">
        <v>313.2</v>
      </c>
      <c r="AT439" s="91" t="inlineStr">
        <is>
          <t>N/A</t>
        </is>
      </c>
      <c r="AU439" s="91" t="inlineStr">
        <is>
          <t>N/A</t>
        </is>
      </c>
      <c r="AV439" s="91" t="inlineStr">
        <is>
          <t>N/A</t>
        </is>
      </c>
      <c r="AW439" s="91" t="inlineStr">
        <is>
          <t>N/A</t>
        </is>
      </c>
      <c r="AX439" s="85" t="n">
        <v>739.5</v>
      </c>
      <c r="AY439" s="85" t="n">
        <v>909.2</v>
      </c>
      <c r="AZ439" s="85" t="n">
        <v>739.5</v>
      </c>
      <c r="BA439" s="85" t="n">
        <v>1008.6</v>
      </c>
      <c r="BB439" s="85" t="n">
        <v>161.2</v>
      </c>
      <c r="BC439" s="85" t="n">
        <v>171.4</v>
      </c>
      <c r="BD439" s="91" t="inlineStr">
        <is>
          <t>N/A</t>
        </is>
      </c>
      <c r="BE439" s="85" t="n">
        <v>407</v>
      </c>
      <c r="BF439" s="91" t="inlineStr">
        <is>
          <t>N/A</t>
        </is>
      </c>
      <c r="BG439" s="85" t="n">
        <v>97.40000000000001</v>
      </c>
      <c r="BH439" s="85" t="n">
        <v>-4748</v>
      </c>
      <c r="BI439" s="85" t="n">
        <v>-3869.3</v>
      </c>
      <c r="BJ439" s="91" t="inlineStr">
        <is>
          <t>N/A</t>
        </is>
      </c>
      <c r="BK439" s="91" t="inlineStr">
        <is>
          <t>N/A</t>
        </is>
      </c>
      <c r="BL439" s="91" t="inlineStr">
        <is>
          <t>N/A</t>
        </is>
      </c>
      <c r="BM439" s="91" t="inlineStr">
        <is>
          <t>N/A</t>
        </is>
      </c>
      <c r="BN439" s="91" t="inlineStr">
        <is>
          <t>N/A</t>
        </is>
      </c>
      <c r="BO439" s="91" t="inlineStr">
        <is>
          <t>N/A</t>
        </is>
      </c>
      <c r="BP439" s="91" t="inlineStr">
        <is>
          <t>N/A</t>
        </is>
      </c>
      <c r="BQ439" s="91" t="inlineStr">
        <is>
          <t>N/A</t>
        </is>
      </c>
      <c r="BR439" s="91" t="inlineStr">
        <is>
          <t>N/A</t>
        </is>
      </c>
      <c r="BS439" s="91" t="inlineStr">
        <is>
          <t>N/A</t>
        </is>
      </c>
      <c r="BT439" s="91" t="inlineStr">
        <is>
          <t>N/A</t>
        </is>
      </c>
      <c r="BU439" s="91" t="inlineStr">
        <is>
          <t>N/A</t>
        </is>
      </c>
      <c r="BV439" s="91" t="inlineStr">
        <is>
          <t>N/A</t>
        </is>
      </c>
      <c r="BW439" s="85" t="n">
        <v>0</v>
      </c>
      <c r="BX439" s="85" t="n">
        <v>0</v>
      </c>
      <c r="BY439" s="85" t="n">
        <v>0</v>
      </c>
    </row>
    <row r="440" ht="17" customHeight="1">
      <c r="A440" s="86" t="n">
        <v>438</v>
      </c>
      <c r="B440" s="87" t="inlineStr">
        <is>
          <t>GOOG</t>
        </is>
      </c>
      <c r="C440" s="88" t="inlineStr">
        <is>
          <t>ALPHABET INC.</t>
        </is>
      </c>
      <c r="D440" s="86" t="inlineStr">
        <is>
          <t>Communication Services</t>
        </is>
      </c>
      <c r="E440" s="86" t="n">
        <v>2026</v>
      </c>
      <c r="F440" s="89" t="n">
        <v>595281</v>
      </c>
      <c r="G440" s="89" t="n">
        <v>206038</v>
      </c>
      <c r="H440" s="89" t="n">
        <v>102745</v>
      </c>
      <c r="I440" s="89" t="n">
        <v>180016</v>
      </c>
      <c r="J440" s="89" t="n">
        <v>324055</v>
      </c>
      <c r="K440" s="89" t="n">
        <v>129039</v>
      </c>
      <c r="L440" s="89" t="n">
        <v>402836</v>
      </c>
      <c r="M440" s="89" t="n">
        <v>132170</v>
      </c>
      <c r="N440" s="89" t="n">
        <v>164713</v>
      </c>
      <c r="O440" s="89" t="n">
        <v>240301</v>
      </c>
      <c r="P440" s="89" t="n">
        <v>49085</v>
      </c>
      <c r="Q440" s="89" t="n">
        <v>415265</v>
      </c>
      <c r="R440" s="89" t="n">
        <v>21482</v>
      </c>
      <c r="S440" s="89" t="n">
        <v>21136</v>
      </c>
      <c r="T440" s="89" t="n">
        <v>62886</v>
      </c>
      <c r="U440" s="89" t="n">
        <v>171036</v>
      </c>
      <c r="V440" s="89" t="n">
        <v>308</v>
      </c>
      <c r="W440" s="89" t="n">
        <v>450256</v>
      </c>
      <c r="X440" s="89" t="n">
        <v>163711</v>
      </c>
      <c r="Y440" s="89" t="n">
        <v>89122</v>
      </c>
      <c r="Z440" s="89" t="n">
        <v>125172</v>
      </c>
      <c r="AA440" s="89" t="n">
        <v>112390</v>
      </c>
      <c r="AB440" s="89" t="n">
        <v>350018</v>
      </c>
      <c r="AC440" s="89" t="n">
        <v>100118</v>
      </c>
      <c r="AD440" s="89" t="n">
        <v>125299</v>
      </c>
      <c r="AE440" s="89" t="n">
        <v>203712</v>
      </c>
      <c r="AF440" s="89" t="n">
        <v>12000</v>
      </c>
      <c r="AG440" s="89" t="n">
        <v>325084</v>
      </c>
      <c r="AH440" s="89" t="n">
        <v>307394</v>
      </c>
      <c r="AI440" s="89" t="n">
        <v>450256</v>
      </c>
      <c r="AJ440" s="89" t="n">
        <v>158826</v>
      </c>
      <c r="AK440" s="89" t="n">
        <v>119815</v>
      </c>
      <c r="AL440" s="89" t="n">
        <v>26656</v>
      </c>
      <c r="AM440" s="89" t="n">
        <v>19697</v>
      </c>
      <c r="AN440" s="89" t="n">
        <v>91447</v>
      </c>
      <c r="AO440" s="89" t="n">
        <v>52535</v>
      </c>
      <c r="AP440" s="89" t="n">
        <v>2670</v>
      </c>
      <c r="AQ440" s="89" t="n">
        <v>1170</v>
      </c>
      <c r="AR440" s="89" t="n">
        <v>33380</v>
      </c>
      <c r="AS440" s="89" t="n">
        <v>1844</v>
      </c>
      <c r="AT440" s="90" t="inlineStr">
        <is>
          <t>N/A</t>
        </is>
      </c>
      <c r="AU440" s="89" t="n">
        <v>61087</v>
      </c>
      <c r="AV440" s="89" t="n">
        <v>30708</v>
      </c>
      <c r="AW440" s="89" t="n">
        <v>23466</v>
      </c>
      <c r="AX440" s="89" t="n">
        <v>49085</v>
      </c>
      <c r="AY440" s="89" t="n">
        <v>15225</v>
      </c>
      <c r="AZ440" s="89" t="n">
        <v>18377</v>
      </c>
      <c r="BA440" s="89" t="n">
        <v>73266</v>
      </c>
      <c r="BB440" s="89" t="n">
        <v>12088</v>
      </c>
      <c r="BC440" s="89" t="n">
        <v>12211</v>
      </c>
      <c r="BD440" s="89" t="n">
        <v>52340</v>
      </c>
      <c r="BE440" s="89" t="n">
        <v>134345</v>
      </c>
      <c r="BF440" s="89" t="n">
        <v>14188</v>
      </c>
      <c r="BG440" s="89" t="n">
        <v>15311</v>
      </c>
      <c r="BH440" s="89" t="n">
        <v>-120291</v>
      </c>
      <c r="BI440" s="89" t="n">
        <v>-45536</v>
      </c>
      <c r="BJ440" s="89" t="n">
        <v>12200</v>
      </c>
      <c r="BK440" s="89" t="n">
        <v>7987</v>
      </c>
      <c r="BL440" s="89" t="n">
        <v>1432</v>
      </c>
      <c r="BM440" s="89" t="n">
        <v>1099</v>
      </c>
      <c r="BN440" s="89" t="n">
        <v>523</v>
      </c>
      <c r="BO440" s="89" t="n">
        <v>162535</v>
      </c>
      <c r="BP440" s="89" t="n">
        <v>146306</v>
      </c>
      <c r="BQ440" s="89" t="n">
        <v>0</v>
      </c>
      <c r="BR440" s="89" t="n">
        <v>0</v>
      </c>
      <c r="BS440" s="89" t="n">
        <v>0</v>
      </c>
      <c r="BT440" s="89" t="n">
        <v>0</v>
      </c>
      <c r="BU440" s="89" t="n">
        <v>0</v>
      </c>
      <c r="BV440" s="89" t="n">
        <v>0</v>
      </c>
      <c r="BW440" s="89" t="n">
        <v>0</v>
      </c>
      <c r="BX440" s="89" t="n">
        <v>0</v>
      </c>
      <c r="BY440" s="89" t="n">
        <v>0</v>
      </c>
    </row>
    <row r="441" ht="17" customHeight="1">
      <c r="A441" s="82" t="n">
        <v>439</v>
      </c>
      <c r="B441" s="83" t="inlineStr">
        <is>
          <t>AMT</t>
        </is>
      </c>
      <c r="C441" s="84" t="inlineStr">
        <is>
          <t>AMERICAN TOWER CORP /MA/</t>
        </is>
      </c>
      <c r="D441" s="82" t="inlineStr">
        <is>
          <t>Real Estate</t>
        </is>
      </c>
      <c r="E441" s="82" t="n">
        <v>2026</v>
      </c>
      <c r="F441" s="85" t="n">
        <v>63190.4</v>
      </c>
      <c r="G441" s="85" t="n">
        <v>2741.8</v>
      </c>
      <c r="H441" s="85" t="n">
        <v>6913.8</v>
      </c>
      <c r="I441" s="85" t="n">
        <v>52835.1</v>
      </c>
      <c r="J441" s="85" t="n">
        <v>-5086</v>
      </c>
      <c r="K441" s="85" t="n">
        <v>4845.8</v>
      </c>
      <c r="L441" s="85" t="n">
        <v>10644.6</v>
      </c>
      <c r="M441" s="85" t="n">
        <v>1690.6</v>
      </c>
      <c r="N441" s="85" t="n">
        <v>5464</v>
      </c>
      <c r="O441" s="85" t="n">
        <v>10601.5</v>
      </c>
      <c r="P441" s="85" t="n">
        <v>38901.8</v>
      </c>
      <c r="Q441" s="85" t="n">
        <v>3652.5</v>
      </c>
      <c r="R441" s="85" t="n">
        <v>940.7</v>
      </c>
      <c r="S441" s="85" t="n">
        <v>1100</v>
      </c>
      <c r="T441" s="85" t="n">
        <v>650.3</v>
      </c>
      <c r="U441" s="85" t="n">
        <v>11247.1</v>
      </c>
      <c r="V441" s="85" t="n">
        <v>1398.2</v>
      </c>
      <c r="W441" s="85" t="n">
        <v>61077.4</v>
      </c>
      <c r="X441" s="85" t="n">
        <v>3178.8</v>
      </c>
      <c r="Y441" s="85" t="n">
        <v>7075.6</v>
      </c>
      <c r="Z441" s="85" t="n">
        <v>51428.7</v>
      </c>
      <c r="AA441" s="85" t="n">
        <v>4516.5</v>
      </c>
      <c r="AB441" s="85" t="n">
        <v>10127.2</v>
      </c>
      <c r="AC441" s="85" t="n">
        <v>1887.8</v>
      </c>
      <c r="AD441" s="85" t="n">
        <v>5290.5</v>
      </c>
      <c r="AE441" s="85" t="n">
        <v>10078.1</v>
      </c>
      <c r="AF441" s="85" t="n">
        <v>43497.5</v>
      </c>
      <c r="AG441" s="85" t="n">
        <v>3382.2</v>
      </c>
      <c r="AH441" s="85" t="n">
        <v>10127.2</v>
      </c>
      <c r="AI441" s="85" t="n">
        <v>61077.4</v>
      </c>
      <c r="AJ441" s="85" t="n">
        <v>3044.2</v>
      </c>
      <c r="AK441" s="85" t="n">
        <v>3624.8</v>
      </c>
      <c r="AL441" s="85" t="n">
        <v>415.7</v>
      </c>
      <c r="AM441" s="85" t="n">
        <v>366.3</v>
      </c>
      <c r="AN441" s="85" t="n">
        <v>1680.4</v>
      </c>
      <c r="AO441" s="85" t="n">
        <v>1590</v>
      </c>
      <c r="AP441" s="91" t="inlineStr">
        <is>
          <t>N/A</t>
        </is>
      </c>
      <c r="AQ441" s="91" t="inlineStr">
        <is>
          <t>N/A</t>
        </is>
      </c>
      <c r="AR441" s="85" t="n">
        <v>12255.5</v>
      </c>
      <c r="AS441" s="85" t="n">
        <v>14530.7</v>
      </c>
      <c r="AT441" s="85" t="n">
        <v>74.90000000000001</v>
      </c>
      <c r="AU441" s="91" t="inlineStr">
        <is>
          <t>N/A</t>
        </is>
      </c>
      <c r="AV441" s="85" t="n">
        <v>1474.8</v>
      </c>
      <c r="AW441" s="85" t="n">
        <v>1999.6</v>
      </c>
      <c r="AX441" s="85" t="n">
        <v>38976.7</v>
      </c>
      <c r="AY441" s="85" t="n">
        <v>43568</v>
      </c>
      <c r="AZ441" s="85" t="n">
        <v>37501.9</v>
      </c>
      <c r="BA441" s="85" t="n">
        <v>3783.6</v>
      </c>
      <c r="BB441" s="85" t="n">
        <v>466.3</v>
      </c>
      <c r="BC441" s="85" t="n">
        <v>467.4</v>
      </c>
      <c r="BD441" s="85" t="n">
        <v>540</v>
      </c>
      <c r="BE441" s="85" t="n">
        <v>11247.1</v>
      </c>
      <c r="BF441" s="85" t="n">
        <v>933.4</v>
      </c>
      <c r="BG441" s="85" t="n">
        <v>1100</v>
      </c>
      <c r="BH441" s="85" t="n">
        <v>-1859.8</v>
      </c>
      <c r="BI441" s="85" t="n">
        <v>410.6</v>
      </c>
      <c r="BJ441" s="85" t="n">
        <v>259.8</v>
      </c>
      <c r="BK441" s="85" t="n">
        <v>240.8</v>
      </c>
      <c r="BL441" s="85" t="n">
        <v>268.8</v>
      </c>
      <c r="BM441" s="85" t="n">
        <v>245.4</v>
      </c>
      <c r="BN441" s="85" t="n">
        <v>26.5</v>
      </c>
      <c r="BO441" s="85" t="n">
        <v>43.1</v>
      </c>
      <c r="BP441" s="85" t="n">
        <v>49.1</v>
      </c>
      <c r="BQ441" s="85" t="n">
        <v>0</v>
      </c>
      <c r="BR441" s="85" t="n">
        <v>0</v>
      </c>
      <c r="BS441" s="91" t="inlineStr">
        <is>
          <t>N/A</t>
        </is>
      </c>
      <c r="BT441" s="91" t="inlineStr">
        <is>
          <t>N/A</t>
        </is>
      </c>
      <c r="BU441" s="85" t="n">
        <v>0</v>
      </c>
      <c r="BV441" s="85" t="n">
        <v>0</v>
      </c>
      <c r="BW441" s="85" t="n">
        <v>0</v>
      </c>
      <c r="BX441" s="85" t="n">
        <v>0</v>
      </c>
      <c r="BY441" s="85" t="n">
        <v>0</v>
      </c>
    </row>
    <row r="442" ht="17" customHeight="1">
      <c r="A442" s="86" t="n">
        <v>440</v>
      </c>
      <c r="B442" s="87" t="inlineStr">
        <is>
          <t>PWR</t>
        </is>
      </c>
      <c r="C442" s="88" t="inlineStr">
        <is>
          <t>Quanta Services, Inc.</t>
        </is>
      </c>
      <c r="D442" s="86" t="inlineStr">
        <is>
          <t>Industrials</t>
        </is>
      </c>
      <c r="E442" s="86" t="n">
        <v>2026</v>
      </c>
      <c r="F442" s="89" t="n">
        <v>24926.9</v>
      </c>
      <c r="G442" s="89" t="n">
        <v>9903.4</v>
      </c>
      <c r="H442" s="89" t="n">
        <v>8716.200000000001</v>
      </c>
      <c r="I442" s="89" t="n">
        <v>15899</v>
      </c>
      <c r="J442" s="89" t="n">
        <v>6674</v>
      </c>
      <c r="K442" s="89" t="n">
        <v>1611.5</v>
      </c>
      <c r="L442" s="89" t="n">
        <v>28479.7</v>
      </c>
      <c r="M442" s="89" t="n">
        <v>1028.4</v>
      </c>
      <c r="N442" s="89" t="n">
        <v>2230</v>
      </c>
      <c r="O442" s="89" t="n">
        <v>4275.1</v>
      </c>
      <c r="P442" s="89" t="n">
        <v>1072.8</v>
      </c>
      <c r="Q442" s="89" t="n">
        <v>8938.200000000001</v>
      </c>
      <c r="R442" s="89" t="n">
        <v>2189.2</v>
      </c>
      <c r="S442" s="89" t="n">
        <v>411.5</v>
      </c>
      <c r="T442" s="89" t="n">
        <v>6847.1</v>
      </c>
      <c r="U442" s="89" t="n">
        <v>1276</v>
      </c>
      <c r="V442" s="89" t="n">
        <v>186.9</v>
      </c>
      <c r="W442" s="89" t="n">
        <v>18683.9</v>
      </c>
      <c r="X442" s="89" t="n">
        <v>7851</v>
      </c>
      <c r="Y442" s="89" t="n">
        <v>6028.5</v>
      </c>
      <c r="Z442" s="89" t="n">
        <v>11354.2</v>
      </c>
      <c r="AA442" s="89" t="n">
        <v>1346.5</v>
      </c>
      <c r="AB442" s="89" t="n">
        <v>23672.8</v>
      </c>
      <c r="AC442" s="89" t="n">
        <v>904.8</v>
      </c>
      <c r="AD442" s="89" t="n">
        <v>2081.2</v>
      </c>
      <c r="AE442" s="89" t="n">
        <v>3510.8</v>
      </c>
      <c r="AF442" s="89" t="n">
        <v>671.9</v>
      </c>
      <c r="AG442" s="89" t="n">
        <v>7317.7</v>
      </c>
      <c r="AH442" s="89" t="n">
        <v>23672.8</v>
      </c>
      <c r="AI442" s="89" t="n">
        <v>18683.9</v>
      </c>
      <c r="AJ442" s="89" t="n">
        <v>1389.5</v>
      </c>
      <c r="AK442" s="89" t="n">
        <v>1212</v>
      </c>
      <c r="AL442" s="89" t="n">
        <v>347.6</v>
      </c>
      <c r="AM442" s="89" t="n">
        <v>284.7</v>
      </c>
      <c r="AN442" s="89" t="n">
        <v>609.2</v>
      </c>
      <c r="AO442" s="89" t="n">
        <v>604.1</v>
      </c>
      <c r="AP442" s="89" t="n">
        <v>370.4</v>
      </c>
      <c r="AQ442" s="89" t="n">
        <v>260.2</v>
      </c>
      <c r="AR442" s="89" t="n">
        <v>7317.2</v>
      </c>
      <c r="AS442" s="89" t="n">
        <v>2903.2</v>
      </c>
      <c r="AT442" s="90" t="inlineStr">
        <is>
          <t>N/A</t>
        </is>
      </c>
      <c r="AU442" s="90" t="inlineStr">
        <is>
          <t>N/A</t>
        </is>
      </c>
      <c r="AV442" s="89" t="n">
        <v>439.5</v>
      </c>
      <c r="AW442" s="89" t="n">
        <v>742</v>
      </c>
      <c r="AX442" s="89" t="n">
        <v>1072.8</v>
      </c>
      <c r="AY442" s="89" t="n">
        <v>687.7</v>
      </c>
      <c r="AZ442" s="89" t="n">
        <v>633.2</v>
      </c>
      <c r="BA442" s="89" t="n">
        <v>1620.8</v>
      </c>
      <c r="BB442" s="89" t="n">
        <v>149.6</v>
      </c>
      <c r="BC442" s="89" t="n">
        <v>147.7</v>
      </c>
      <c r="BD442" s="89" t="n">
        <v>5170.9</v>
      </c>
      <c r="BE442" s="89" t="n">
        <v>1276</v>
      </c>
      <c r="BF442" s="89" t="n">
        <v>1824.8</v>
      </c>
      <c r="BG442" s="89" t="n">
        <v>359.4</v>
      </c>
      <c r="BH442" s="89" t="n">
        <v>-3831</v>
      </c>
      <c r="BI442" s="89" t="n">
        <v>-2294.3</v>
      </c>
      <c r="BJ442" s="89" t="n">
        <v>4579.5</v>
      </c>
      <c r="BK442" s="89" t="n">
        <v>3722.3</v>
      </c>
      <c r="BL442" s="89" t="n">
        <v>16</v>
      </c>
      <c r="BM442" s="89" t="n">
        <v>15.5</v>
      </c>
      <c r="BN442" s="89" t="n">
        <v>32.3</v>
      </c>
      <c r="BO442" s="89" t="n">
        <v>24204.6</v>
      </c>
      <c r="BP442" s="89" t="n">
        <v>20162</v>
      </c>
      <c r="BQ442" s="89" t="n">
        <v>0</v>
      </c>
      <c r="BR442" s="89" t="n">
        <v>0</v>
      </c>
      <c r="BS442" s="89" t="n">
        <v>0</v>
      </c>
      <c r="BT442" s="89" t="n">
        <v>0</v>
      </c>
      <c r="BU442" s="89" t="n">
        <v>0</v>
      </c>
      <c r="BV442" s="89" t="n">
        <v>0</v>
      </c>
      <c r="BW442" s="89" t="n">
        <v>0</v>
      </c>
      <c r="BX442" s="89" t="n">
        <v>0</v>
      </c>
      <c r="BY442" s="89" t="n">
        <v>0</v>
      </c>
    </row>
    <row r="443" ht="17" customHeight="1">
      <c r="A443" s="82" t="n">
        <v>441</v>
      </c>
      <c r="B443" s="83" t="inlineStr">
        <is>
          <t>ABBV</t>
        </is>
      </c>
      <c r="C443" s="84" t="inlineStr">
        <is>
          <t>AbbVie Inc.</t>
        </is>
      </c>
      <c r="D443" s="82" t="inlineStr">
        <is>
          <t>Health Care</t>
        </is>
      </c>
      <c r="E443" s="82" t="n">
        <v>2026</v>
      </c>
      <c r="F443" s="85" t="n">
        <v>133960</v>
      </c>
      <c r="G443" s="85" t="n">
        <v>29062</v>
      </c>
      <c r="H443" s="85" t="n">
        <v>43289</v>
      </c>
      <c r="I443" s="85" t="n">
        <v>133960</v>
      </c>
      <c r="J443" s="85" t="n">
        <v>-15493</v>
      </c>
      <c r="K443" s="85" t="n">
        <v>15075</v>
      </c>
      <c r="L443" s="85" t="n">
        <v>61160</v>
      </c>
      <c r="M443" s="85" t="n">
        <v>4226</v>
      </c>
      <c r="N443" s="85" t="n">
        <v>19030</v>
      </c>
      <c r="O443" s="85" t="n">
        <v>12066</v>
      </c>
      <c r="P443" s="85" t="n">
        <v>64503</v>
      </c>
      <c r="Q443" s="85" t="n">
        <v>-3270</v>
      </c>
      <c r="R443" s="85" t="n">
        <v>14010</v>
      </c>
      <c r="S443" s="85" t="n">
        <v>762</v>
      </c>
      <c r="T443" s="85" t="n">
        <v>12589</v>
      </c>
      <c r="U443" s="85" t="n">
        <v>5628</v>
      </c>
      <c r="V443" s="85" t="n">
        <v>2893</v>
      </c>
      <c r="W443" s="85" t="n">
        <v>135161</v>
      </c>
      <c r="X443" s="85" t="n">
        <v>25582</v>
      </c>
      <c r="Y443" s="85" t="n">
        <v>38749</v>
      </c>
      <c r="Z443" s="85" t="n">
        <v>135161</v>
      </c>
      <c r="AA443" s="85" t="n">
        <v>9137</v>
      </c>
      <c r="AB443" s="85" t="n">
        <v>16618</v>
      </c>
      <c r="AC443" s="85" t="n">
        <v>1816</v>
      </c>
      <c r="AD443" s="85" t="n">
        <v>18806</v>
      </c>
      <c r="AE443" s="85" t="n">
        <v>10706</v>
      </c>
      <c r="AF443" s="85" t="n">
        <v>66841</v>
      </c>
      <c r="AG443" s="85" t="n">
        <v>3325</v>
      </c>
      <c r="AH443" s="85" t="n">
        <v>56334</v>
      </c>
      <c r="AI443" s="85" t="n">
        <v>135161</v>
      </c>
      <c r="AJ443" s="85" t="n">
        <v>6597</v>
      </c>
      <c r="AK443" s="85" t="n">
        <v>3716</v>
      </c>
      <c r="AL443" s="85" t="n">
        <v>2364</v>
      </c>
      <c r="AM443" s="85" t="n">
        <v>-570</v>
      </c>
      <c r="AN443" s="85" t="n">
        <v>1214</v>
      </c>
      <c r="AO443" s="85" t="n">
        <v>974</v>
      </c>
      <c r="AP443" s="85" t="n">
        <v>4951</v>
      </c>
      <c r="AQ443" s="85" t="n">
        <v>4181</v>
      </c>
      <c r="AR443" s="85" t="n">
        <v>35640</v>
      </c>
      <c r="AS443" s="85" t="n">
        <v>47360</v>
      </c>
      <c r="AT443" s="85" t="n">
        <v>2499</v>
      </c>
      <c r="AU443" s="85" t="n">
        <v>9096</v>
      </c>
      <c r="AV443" s="85" t="n">
        <v>5229</v>
      </c>
      <c r="AW443" s="85" t="n">
        <v>5524</v>
      </c>
      <c r="AX443" s="85" t="n">
        <v>67002</v>
      </c>
      <c r="AY443" s="85" t="n">
        <v>66841</v>
      </c>
      <c r="AZ443" s="85" t="n">
        <v>61773</v>
      </c>
      <c r="BA443" s="85" t="n">
        <v>17816</v>
      </c>
      <c r="BB443" s="85" t="n">
        <v>1838.7</v>
      </c>
      <c r="BC443" s="85" t="n">
        <v>1831.6</v>
      </c>
      <c r="BD443" s="85" t="n">
        <v>10919</v>
      </c>
      <c r="BE443" s="85" t="n">
        <v>5134</v>
      </c>
      <c r="BF443" s="85" t="n">
        <v>14752</v>
      </c>
      <c r="BG443" s="85" t="n">
        <v>764</v>
      </c>
      <c r="BH443" s="85" t="n">
        <v>-6643</v>
      </c>
      <c r="BI443" s="85" t="n">
        <v>-20820</v>
      </c>
      <c r="BJ443" s="85" t="n">
        <v>3592</v>
      </c>
      <c r="BK443" s="85" t="n">
        <v>2945</v>
      </c>
      <c r="BL443" s="91" t="inlineStr">
        <is>
          <t>N/A</t>
        </is>
      </c>
      <c r="BM443" s="91" t="inlineStr">
        <is>
          <t>N/A</t>
        </is>
      </c>
      <c r="BN443" s="91" t="inlineStr">
        <is>
          <t>N/A</t>
        </is>
      </c>
      <c r="BO443" s="85" t="n">
        <v>18204</v>
      </c>
      <c r="BP443" s="85" t="n">
        <v>16904</v>
      </c>
      <c r="BQ443" s="85" t="n">
        <v>0</v>
      </c>
      <c r="BR443" s="85" t="n">
        <v>0</v>
      </c>
      <c r="BS443" s="85" t="n">
        <v>0</v>
      </c>
      <c r="BT443" s="85" t="n">
        <v>0</v>
      </c>
      <c r="BU443" s="85" t="n">
        <v>0</v>
      </c>
      <c r="BV443" s="85" t="n">
        <v>0</v>
      </c>
      <c r="BW443" s="85" t="n">
        <v>0</v>
      </c>
      <c r="BX443" s="85" t="n">
        <v>0</v>
      </c>
      <c r="BY443" s="85" t="n">
        <v>0</v>
      </c>
    </row>
    <row r="444" ht="17" customHeight="1">
      <c r="A444" s="86" t="n">
        <v>442</v>
      </c>
      <c r="B444" s="87" t="inlineStr">
        <is>
          <t>HSIC</t>
        </is>
      </c>
      <c r="C444" s="88" t="inlineStr">
        <is>
          <t>HENRY SCHEIN, INC.</t>
        </is>
      </c>
      <c r="D444" s="86" t="inlineStr">
        <is>
          <t>Health Care</t>
        </is>
      </c>
      <c r="E444" s="86" t="n">
        <v>2026</v>
      </c>
      <c r="F444" s="89" t="n">
        <v>11215</v>
      </c>
      <c r="G444" s="89" t="n">
        <v>4464</v>
      </c>
      <c r="H444" s="89" t="n">
        <v>3228</v>
      </c>
      <c r="I444" s="89" t="n">
        <v>6421</v>
      </c>
      <c r="J444" s="89" t="n">
        <v>3293</v>
      </c>
      <c r="K444" s="89" t="n">
        <v>653</v>
      </c>
      <c r="L444" s="89" t="n">
        <v>13202</v>
      </c>
      <c r="M444" s="89" t="n">
        <v>398</v>
      </c>
      <c r="N444" s="89" t="n">
        <v>712</v>
      </c>
      <c r="O444" s="89" t="n">
        <v>4105</v>
      </c>
      <c r="P444" s="89" t="n">
        <v>1046</v>
      </c>
      <c r="Q444" s="89" t="n">
        <v>3245</v>
      </c>
      <c r="R444" s="89" t="n">
        <v>3084</v>
      </c>
      <c r="S444" s="89" t="n">
        <v>263</v>
      </c>
      <c r="T444" s="89" t="n">
        <v>1651</v>
      </c>
      <c r="U444" s="89" t="n">
        <v>366.5</v>
      </c>
      <c r="V444" s="89" t="n">
        <v>150</v>
      </c>
      <c r="W444" s="89" t="n">
        <v>10218</v>
      </c>
      <c r="X444" s="89" t="n">
        <v>3983</v>
      </c>
      <c r="Y444" s="89" t="n">
        <v>2803</v>
      </c>
      <c r="Z444" s="89" t="n">
        <v>5381</v>
      </c>
      <c r="AA444" s="89" t="n">
        <v>621</v>
      </c>
      <c r="AB444" s="89" t="n">
        <v>3375.2</v>
      </c>
      <c r="AC444" s="89" t="n">
        <v>390</v>
      </c>
      <c r="AD444" s="89" t="n">
        <v>848</v>
      </c>
      <c r="AE444" s="89" t="n">
        <v>4016</v>
      </c>
      <c r="AF444" s="89" t="n">
        <v>822</v>
      </c>
      <c r="AG444" s="89" t="n">
        <v>3393</v>
      </c>
      <c r="AH444" s="89" t="n">
        <v>3279.7</v>
      </c>
      <c r="AI444" s="89" t="n">
        <v>10218</v>
      </c>
      <c r="AJ444" s="89" t="n">
        <v>384</v>
      </c>
      <c r="AK444" s="90" t="inlineStr">
        <is>
          <t>N/A</t>
        </is>
      </c>
      <c r="AL444" s="89" t="n">
        <v>126</v>
      </c>
      <c r="AM444" s="89" t="n">
        <v>128</v>
      </c>
      <c r="AN444" s="89" t="n">
        <v>139</v>
      </c>
      <c r="AO444" s="89" t="n">
        <v>148</v>
      </c>
      <c r="AP444" s="89" t="n">
        <v>2002</v>
      </c>
      <c r="AQ444" s="89" t="n">
        <v>1810</v>
      </c>
      <c r="AR444" s="89" t="n">
        <v>4213</v>
      </c>
      <c r="AS444" s="89" t="n">
        <v>1018</v>
      </c>
      <c r="AT444" s="89" t="n">
        <v>764</v>
      </c>
      <c r="AU444" s="90" t="inlineStr">
        <is>
          <t>N/A</t>
        </is>
      </c>
      <c r="AV444" s="89" t="n">
        <v>80.2</v>
      </c>
      <c r="AW444" s="89" t="n">
        <v>174.7</v>
      </c>
      <c r="AX444" s="89" t="n">
        <v>1810</v>
      </c>
      <c r="AY444" s="89" t="n">
        <v>1472</v>
      </c>
      <c r="AZ444" s="89" t="n">
        <v>1729.8</v>
      </c>
      <c r="BA444" s="89" t="n">
        <v>573</v>
      </c>
      <c r="BB444" s="89" t="n">
        <v>115.8</v>
      </c>
      <c r="BC444" s="89" t="n">
        <v>124.2</v>
      </c>
      <c r="BD444" s="89" t="n">
        <v>1482</v>
      </c>
      <c r="BE444" s="89" t="n">
        <v>342</v>
      </c>
      <c r="BF444" s="89" t="n">
        <v>3034</v>
      </c>
      <c r="BG444" s="89" t="n">
        <v>251</v>
      </c>
      <c r="BH444" s="89" t="n">
        <v>-400</v>
      </c>
      <c r="BI444" s="89" t="n">
        <v>-430</v>
      </c>
      <c r="BJ444" s="89" t="n">
        <v>1154</v>
      </c>
      <c r="BK444" s="89" t="n">
        <v>962</v>
      </c>
      <c r="BL444" s="89" t="n">
        <v>81</v>
      </c>
      <c r="BM444" s="89" t="n">
        <v>81</v>
      </c>
      <c r="BN444" s="89" t="n">
        <v>179</v>
      </c>
      <c r="BO444" s="89" t="n">
        <v>9079</v>
      </c>
      <c r="BP444" s="89" t="n">
        <v>8657</v>
      </c>
      <c r="BQ444" s="89" t="n">
        <v>0</v>
      </c>
      <c r="BR444" s="89" t="n">
        <v>0</v>
      </c>
      <c r="BS444" s="89" t="n">
        <v>0</v>
      </c>
      <c r="BT444" s="89" t="n">
        <v>0</v>
      </c>
      <c r="BU444" s="89" t="n">
        <v>0</v>
      </c>
      <c r="BV444" s="89" t="n">
        <v>0</v>
      </c>
      <c r="BW444" s="89" t="n">
        <v>0</v>
      </c>
      <c r="BX444" s="89" t="n">
        <v>0</v>
      </c>
      <c r="BY444" s="89" t="n">
        <v>0</v>
      </c>
    </row>
    <row r="445" ht="17" customHeight="1">
      <c r="A445" s="82" t="n">
        <v>443</v>
      </c>
      <c r="B445" s="83" t="inlineStr">
        <is>
          <t>CPRT</t>
        </is>
      </c>
      <c r="C445" s="84" t="inlineStr">
        <is>
          <t>COPART, INC.</t>
        </is>
      </c>
      <c r="D445" s="82" t="inlineStr">
        <is>
          <t>Industrials</t>
        </is>
      </c>
      <c r="E445" s="82" t="n">
        <v>2026</v>
      </c>
      <c r="F445" s="85" t="n">
        <v>10090.9</v>
      </c>
      <c r="G445" s="85" t="n">
        <v>5754.6</v>
      </c>
      <c r="H445" s="85" t="n">
        <v>683.3</v>
      </c>
      <c r="I445" s="85" t="n">
        <v>883.4</v>
      </c>
      <c r="J445" s="85" t="n">
        <v>8093.1</v>
      </c>
      <c r="K445" s="85" t="n">
        <v>1696.7</v>
      </c>
      <c r="L445" s="85" t="n">
        <v>525.7</v>
      </c>
      <c r="M445" s="85" t="n">
        <v>1552.4</v>
      </c>
      <c r="N445" s="85" t="n">
        <v>1799.8</v>
      </c>
      <c r="O445" s="85" t="n">
        <v>250.4</v>
      </c>
      <c r="P445" s="85" t="n">
        <v>11</v>
      </c>
      <c r="Q445" s="85" t="n">
        <v>5987.4</v>
      </c>
      <c r="R445" s="85" t="n">
        <v>402.9</v>
      </c>
      <c r="S445" s="85" t="n">
        <v>215.8</v>
      </c>
      <c r="T445" s="85" t="n">
        <v>762.8</v>
      </c>
      <c r="U445" s="85" t="n">
        <v>3598.1</v>
      </c>
      <c r="V445" s="85" t="n">
        <v>20.2</v>
      </c>
      <c r="W445" s="85" t="n">
        <v>8427.799999999999</v>
      </c>
      <c r="X445" s="85" t="n">
        <v>4418.2</v>
      </c>
      <c r="Y445" s="85" t="n">
        <v>628.6</v>
      </c>
      <c r="Z445" s="85" t="n">
        <v>879.2</v>
      </c>
      <c r="AA445" s="85" t="n">
        <v>1572</v>
      </c>
      <c r="AB445" s="85" t="n">
        <v>550.4</v>
      </c>
      <c r="AC445" s="85" t="n">
        <v>1363</v>
      </c>
      <c r="AD445" s="85" t="n">
        <v>1472.6</v>
      </c>
      <c r="AE445" s="85" t="n">
        <v>242.6</v>
      </c>
      <c r="AF445" s="91" t="inlineStr">
        <is>
          <t>N/A</t>
        </is>
      </c>
      <c r="AG445" s="85" t="n">
        <v>4625.6</v>
      </c>
      <c r="AH445" s="85" t="n">
        <v>575.1</v>
      </c>
      <c r="AI445" s="85" t="n">
        <v>8427.799999999999</v>
      </c>
      <c r="AJ445" s="85" t="n">
        <v>1895.6</v>
      </c>
      <c r="AK445" s="85" t="n">
        <v>1714.6</v>
      </c>
      <c r="AL445" s="85" t="n">
        <v>347.2</v>
      </c>
      <c r="AM445" s="85" t="n">
        <v>352.3</v>
      </c>
      <c r="AN445" s="85" t="n">
        <v>569</v>
      </c>
      <c r="AO445" s="85" t="n">
        <v>511</v>
      </c>
      <c r="AP445" s="85" t="n">
        <v>39.7</v>
      </c>
      <c r="AQ445" s="85" t="n">
        <v>43.6</v>
      </c>
      <c r="AR445" s="85" t="n">
        <v>517.8</v>
      </c>
      <c r="AS445" s="85" t="n">
        <v>46.1</v>
      </c>
      <c r="AT445" s="85" t="n">
        <v>50.4</v>
      </c>
      <c r="AU445" s="91" t="inlineStr">
        <is>
          <t>N/A</t>
        </is>
      </c>
      <c r="AV445" s="85" t="n">
        <v>186.3</v>
      </c>
      <c r="AW445" s="85" t="n">
        <v>274.5</v>
      </c>
      <c r="AX445" s="85" t="n">
        <v>61.4</v>
      </c>
      <c r="AY445" s="85" t="n">
        <v>0.4</v>
      </c>
      <c r="AZ445" s="85" t="n">
        <v>-124.9</v>
      </c>
      <c r="BA445" s="85" t="n">
        <v>1230.8</v>
      </c>
      <c r="BB445" s="85" t="n">
        <v>967.5</v>
      </c>
      <c r="BC445" s="85" t="n">
        <v>963</v>
      </c>
      <c r="BD445" s="85" t="n">
        <v>785.9</v>
      </c>
      <c r="BE445" s="85" t="n">
        <v>3175.8</v>
      </c>
      <c r="BF445" s="85" t="n">
        <v>335.2</v>
      </c>
      <c r="BG445" s="85" t="n">
        <v>189.8</v>
      </c>
      <c r="BH445" s="85" t="n">
        <v>-587.4</v>
      </c>
      <c r="BI445" s="85" t="n">
        <v>-940.1</v>
      </c>
      <c r="BJ445" s="85" t="n">
        <v>591.8</v>
      </c>
      <c r="BK445" s="85" t="n">
        <v>518.1</v>
      </c>
      <c r="BL445" s="85" t="n">
        <v>20.1</v>
      </c>
      <c r="BM445" s="85" t="n">
        <v>21</v>
      </c>
      <c r="BN445" s="85" t="n">
        <v>41.1</v>
      </c>
      <c r="BO445" s="85" t="n">
        <v>255.5</v>
      </c>
      <c r="BP445" s="85" t="n">
        <v>196.5</v>
      </c>
      <c r="BQ445" s="85" t="n">
        <v>0</v>
      </c>
      <c r="BR445" s="85" t="n">
        <v>0</v>
      </c>
      <c r="BS445" s="85" t="n">
        <v>0</v>
      </c>
      <c r="BT445" s="85" t="n">
        <v>0</v>
      </c>
      <c r="BU445" s="85" t="n">
        <v>0</v>
      </c>
      <c r="BV445" s="85" t="n">
        <v>0</v>
      </c>
      <c r="BW445" s="85" t="n">
        <v>0</v>
      </c>
      <c r="BX445" s="85" t="n">
        <v>0</v>
      </c>
      <c r="BY445" s="85" t="n">
        <v>0</v>
      </c>
    </row>
    <row r="446" ht="17" customHeight="1">
      <c r="A446" s="86" t="n">
        <v>444</v>
      </c>
      <c r="B446" s="87" t="inlineStr">
        <is>
          <t>GOOGL</t>
        </is>
      </c>
      <c r="C446" s="88" t="inlineStr">
        <is>
          <t>ALPHABET INC.</t>
        </is>
      </c>
      <c r="D446" s="86" t="inlineStr">
        <is>
          <t>Communication Services</t>
        </is>
      </c>
      <c r="E446" s="86" t="n">
        <v>2026</v>
      </c>
      <c r="F446" s="89" t="n">
        <v>595281</v>
      </c>
      <c r="G446" s="89" t="n">
        <v>206038</v>
      </c>
      <c r="H446" s="89" t="n">
        <v>102745</v>
      </c>
      <c r="I446" s="89" t="n">
        <v>180016</v>
      </c>
      <c r="J446" s="89" t="n">
        <v>324055</v>
      </c>
      <c r="K446" s="89" t="n">
        <v>129039</v>
      </c>
      <c r="L446" s="89" t="n">
        <v>402836</v>
      </c>
      <c r="M446" s="89" t="n">
        <v>132170</v>
      </c>
      <c r="N446" s="89" t="n">
        <v>164713</v>
      </c>
      <c r="O446" s="89" t="n">
        <v>240301</v>
      </c>
      <c r="P446" s="89" t="n">
        <v>49085</v>
      </c>
      <c r="Q446" s="89" t="n">
        <v>415265</v>
      </c>
      <c r="R446" s="89" t="n">
        <v>21482</v>
      </c>
      <c r="S446" s="89" t="n">
        <v>21136</v>
      </c>
      <c r="T446" s="89" t="n">
        <v>62886</v>
      </c>
      <c r="U446" s="89" t="n">
        <v>171036</v>
      </c>
      <c r="V446" s="89" t="n">
        <v>308</v>
      </c>
      <c r="W446" s="89" t="n">
        <v>450256</v>
      </c>
      <c r="X446" s="89" t="n">
        <v>163711</v>
      </c>
      <c r="Y446" s="89" t="n">
        <v>89122</v>
      </c>
      <c r="Z446" s="89" t="n">
        <v>125172</v>
      </c>
      <c r="AA446" s="89" t="n">
        <v>112390</v>
      </c>
      <c r="AB446" s="89" t="n">
        <v>350018</v>
      </c>
      <c r="AC446" s="89" t="n">
        <v>100118</v>
      </c>
      <c r="AD446" s="89" t="n">
        <v>125299</v>
      </c>
      <c r="AE446" s="89" t="n">
        <v>203712</v>
      </c>
      <c r="AF446" s="89" t="n">
        <v>12000</v>
      </c>
      <c r="AG446" s="89" t="n">
        <v>325084</v>
      </c>
      <c r="AH446" s="89" t="n">
        <v>307394</v>
      </c>
      <c r="AI446" s="89" t="n">
        <v>450256</v>
      </c>
      <c r="AJ446" s="89" t="n">
        <v>158826</v>
      </c>
      <c r="AK446" s="89" t="n">
        <v>119815</v>
      </c>
      <c r="AL446" s="89" t="n">
        <v>26656</v>
      </c>
      <c r="AM446" s="89" t="n">
        <v>19697</v>
      </c>
      <c r="AN446" s="89" t="n">
        <v>91447</v>
      </c>
      <c r="AO446" s="89" t="n">
        <v>52535</v>
      </c>
      <c r="AP446" s="89" t="n">
        <v>2670</v>
      </c>
      <c r="AQ446" s="89" t="n">
        <v>1170</v>
      </c>
      <c r="AR446" s="89" t="n">
        <v>33380</v>
      </c>
      <c r="AS446" s="89" t="n">
        <v>1844</v>
      </c>
      <c r="AT446" s="90" t="inlineStr">
        <is>
          <t>N/A</t>
        </is>
      </c>
      <c r="AU446" s="89" t="n">
        <v>61087</v>
      </c>
      <c r="AV446" s="89" t="n">
        <v>30708</v>
      </c>
      <c r="AW446" s="89" t="n">
        <v>23466</v>
      </c>
      <c r="AX446" s="89" t="n">
        <v>49085</v>
      </c>
      <c r="AY446" s="89" t="n">
        <v>15225</v>
      </c>
      <c r="AZ446" s="89" t="n">
        <v>18377</v>
      </c>
      <c r="BA446" s="89" t="n">
        <v>73266</v>
      </c>
      <c r="BB446" s="89" t="n">
        <v>12088</v>
      </c>
      <c r="BC446" s="89" t="n">
        <v>12211</v>
      </c>
      <c r="BD446" s="89" t="n">
        <v>52340</v>
      </c>
      <c r="BE446" s="89" t="n">
        <v>134345</v>
      </c>
      <c r="BF446" s="89" t="n">
        <v>14188</v>
      </c>
      <c r="BG446" s="89" t="n">
        <v>15311</v>
      </c>
      <c r="BH446" s="89" t="n">
        <v>-120291</v>
      </c>
      <c r="BI446" s="89" t="n">
        <v>-45536</v>
      </c>
      <c r="BJ446" s="89" t="n">
        <v>12200</v>
      </c>
      <c r="BK446" s="89" t="n">
        <v>7987</v>
      </c>
      <c r="BL446" s="89" t="n">
        <v>1432</v>
      </c>
      <c r="BM446" s="89" t="n">
        <v>1099</v>
      </c>
      <c r="BN446" s="89" t="n">
        <v>523</v>
      </c>
      <c r="BO446" s="89" t="n">
        <v>162535</v>
      </c>
      <c r="BP446" s="89" t="n">
        <v>146306</v>
      </c>
      <c r="BQ446" s="89" t="n">
        <v>0</v>
      </c>
      <c r="BR446" s="89" t="n">
        <v>0</v>
      </c>
      <c r="BS446" s="89" t="n">
        <v>0</v>
      </c>
      <c r="BT446" s="89" t="n">
        <v>0</v>
      </c>
      <c r="BU446" s="89" t="n">
        <v>0</v>
      </c>
      <c r="BV446" s="89" t="n">
        <v>0</v>
      </c>
      <c r="BW446" s="89" t="n">
        <v>0</v>
      </c>
      <c r="BX446" s="89" t="n">
        <v>0</v>
      </c>
      <c r="BY446" s="89" t="n">
        <v>0</v>
      </c>
    </row>
    <row r="447" ht="17" customHeight="1">
      <c r="A447" s="82" t="n">
        <v>445</v>
      </c>
      <c r="B447" s="83" t="inlineStr">
        <is>
          <t>GPC</t>
        </is>
      </c>
      <c r="C447" s="84" t="inlineStr">
        <is>
          <t>GENUINE PARTS CO</t>
        </is>
      </c>
      <c r="D447" s="82" t="inlineStr">
        <is>
          <t>Consumer Discretionary</t>
        </is>
      </c>
      <c r="E447" s="82" t="n">
        <v>2026</v>
      </c>
      <c r="F447" s="85" t="n">
        <v>20795.5</v>
      </c>
      <c r="G447" s="85" t="n">
        <v>10564.7</v>
      </c>
      <c r="H447" s="85" t="n">
        <v>9787.700000000001</v>
      </c>
      <c r="I447" s="85" t="n">
        <v>20795.5</v>
      </c>
      <c r="J447" s="85" t="n">
        <v>4568.8</v>
      </c>
      <c r="K447" s="85" t="n">
        <v>1430.5</v>
      </c>
      <c r="L447" s="85" t="n">
        <v>24300.1</v>
      </c>
      <c r="M447" s="85" t="n">
        <v>65.90000000000001</v>
      </c>
      <c r="N447" s="85" t="n">
        <v>890.8</v>
      </c>
      <c r="O447" s="85" t="n">
        <v>8940.700000000001</v>
      </c>
      <c r="P447" s="85" t="n">
        <v>4795.8</v>
      </c>
      <c r="Q447" s="85" t="n">
        <v>4423</v>
      </c>
      <c r="R447" s="85" t="n">
        <v>7151</v>
      </c>
      <c r="S447" s="85" t="n">
        <v>538</v>
      </c>
      <c r="T447" s="91" t="inlineStr">
        <is>
          <t>N/A</t>
        </is>
      </c>
      <c r="U447" s="85" t="n">
        <v>2172.1</v>
      </c>
      <c r="V447" s="85" t="n">
        <v>64.5</v>
      </c>
      <c r="W447" s="85" t="n">
        <v>19282.7</v>
      </c>
      <c r="X447" s="85" t="n">
        <v>9852.6</v>
      </c>
      <c r="Y447" s="85" t="n">
        <v>8525.4</v>
      </c>
      <c r="Z447" s="85" t="n">
        <v>19282.7</v>
      </c>
      <c r="AA447" s="85" t="n">
        <v>1259.8</v>
      </c>
      <c r="AB447" s="85" t="n">
        <v>23486.6</v>
      </c>
      <c r="AC447" s="85" t="n">
        <v>904.1</v>
      </c>
      <c r="AD447" s="85" t="n">
        <v>1251.3</v>
      </c>
      <c r="AE447" s="85" t="n">
        <v>8523.6</v>
      </c>
      <c r="AF447" s="85" t="n">
        <v>4284.3</v>
      </c>
      <c r="AG447" s="85" t="n">
        <v>4337.4</v>
      </c>
      <c r="AH447" s="85" t="n">
        <v>23486.6</v>
      </c>
      <c r="AI447" s="85" t="n">
        <v>19282.7</v>
      </c>
      <c r="AJ447" s="85" t="n">
        <v>52.2</v>
      </c>
      <c r="AK447" s="85" t="n">
        <v>1176</v>
      </c>
      <c r="AL447" s="85" t="n">
        <v>-13.8</v>
      </c>
      <c r="AM447" s="85" t="n">
        <v>271.9</v>
      </c>
      <c r="AN447" s="85" t="n">
        <v>469.8</v>
      </c>
      <c r="AO447" s="85" t="n">
        <v>567.3</v>
      </c>
      <c r="AP447" s="85" t="n">
        <v>6072</v>
      </c>
      <c r="AQ447" s="85" t="n">
        <v>5514.4</v>
      </c>
      <c r="AR447" s="85" t="n">
        <v>3188.8</v>
      </c>
      <c r="AS447" s="85" t="n">
        <v>1855.7</v>
      </c>
      <c r="AT447" s="85" t="n">
        <v>943.5</v>
      </c>
      <c r="AU447" s="91" t="inlineStr">
        <is>
          <t>N/A</t>
        </is>
      </c>
      <c r="AV447" s="85" t="n">
        <v>333.5</v>
      </c>
      <c r="AW447" s="85" t="n">
        <v>314.9</v>
      </c>
      <c r="AX447" s="85" t="n">
        <v>5739.3</v>
      </c>
      <c r="AY447" s="85" t="n">
        <v>4326.1</v>
      </c>
      <c r="AZ447" s="85" t="n">
        <v>5405.7</v>
      </c>
      <c r="BA447" s="85" t="n">
        <v>420.9</v>
      </c>
      <c r="BB447" s="85" t="n">
        <v>137.6</v>
      </c>
      <c r="BC447" s="85" t="n">
        <v>138.8</v>
      </c>
      <c r="BD447" s="91" t="inlineStr">
        <is>
          <t>N/A</t>
        </is>
      </c>
      <c r="BE447" s="85" t="n">
        <v>1950.8</v>
      </c>
      <c r="BF447" s="85" t="n">
        <v>6642.9</v>
      </c>
      <c r="BG447" s="85" t="n">
        <v>408</v>
      </c>
      <c r="BH447" s="85" t="n">
        <v>-711.6</v>
      </c>
      <c r="BI447" s="85" t="n">
        <v>-1507.5</v>
      </c>
      <c r="BJ447" s="85" t="n">
        <v>2554.8</v>
      </c>
      <c r="BK447" s="85" t="n">
        <v>2269.7</v>
      </c>
      <c r="BL447" s="91" t="inlineStr">
        <is>
          <t>N/A</t>
        </is>
      </c>
      <c r="BM447" s="91" t="inlineStr">
        <is>
          <t>N/A</t>
        </is>
      </c>
      <c r="BN447" s="85" t="n">
        <v>9.199999999999999</v>
      </c>
      <c r="BO447" s="85" t="n">
        <v>15359.4</v>
      </c>
      <c r="BP447" s="85" t="n">
        <v>14963</v>
      </c>
      <c r="BQ447" s="91" t="inlineStr">
        <is>
          <t>N/A</t>
        </is>
      </c>
      <c r="BR447" s="91" t="inlineStr">
        <is>
          <t>N/A</t>
        </is>
      </c>
      <c r="BS447" s="85" t="n">
        <v>0</v>
      </c>
      <c r="BT447" s="85" t="n">
        <v>0</v>
      </c>
      <c r="BU447" s="85" t="n">
        <v>0</v>
      </c>
      <c r="BV447" s="85" t="n">
        <v>0</v>
      </c>
      <c r="BW447" s="85" t="n">
        <v>0</v>
      </c>
      <c r="BX447" s="85" t="n">
        <v>0</v>
      </c>
      <c r="BY447" s="85" t="n">
        <v>-0</v>
      </c>
    </row>
    <row r="448" ht="17" customHeight="1">
      <c r="A448" s="86" t="n">
        <v>446</v>
      </c>
      <c r="B448" s="87" t="inlineStr">
        <is>
          <t>REGN</t>
        </is>
      </c>
      <c r="C448" s="88" t="inlineStr">
        <is>
          <t>REGENERON PHARMACEUTICALS, INC.</t>
        </is>
      </c>
      <c r="D448" s="86" t="inlineStr">
        <is>
          <t>Health Care</t>
        </is>
      </c>
      <c r="E448" s="86" t="n">
        <v>2026</v>
      </c>
      <c r="F448" s="89" t="n">
        <v>40558.7</v>
      </c>
      <c r="G448" s="89" t="n">
        <v>18021.9</v>
      </c>
      <c r="H448" s="89" t="n">
        <v>4368.4</v>
      </c>
      <c r="I448" s="89" t="n">
        <v>9301.799999999999</v>
      </c>
      <c r="J448" s="89" t="n">
        <v>35797.1</v>
      </c>
      <c r="K448" s="89" t="n">
        <v>3577.9</v>
      </c>
      <c r="L448" s="89" t="n">
        <v>5872.2</v>
      </c>
      <c r="M448" s="89" t="n">
        <v>4504.9</v>
      </c>
      <c r="N448" s="89" t="n">
        <v>4978.9</v>
      </c>
      <c r="O448" s="89" t="n">
        <v>5469.4</v>
      </c>
      <c r="P448" s="89" t="n">
        <v>1985.9</v>
      </c>
      <c r="Q448" s="89" t="n">
        <v>31256.9</v>
      </c>
      <c r="R448" s="89" t="n">
        <v>2700</v>
      </c>
      <c r="S448" s="89" t="n">
        <v>543.7</v>
      </c>
      <c r="T448" s="89" t="n">
        <v>5741.1</v>
      </c>
      <c r="U448" s="89" t="n">
        <v>2575.8</v>
      </c>
      <c r="V448" s="89" t="n">
        <v>73</v>
      </c>
      <c r="W448" s="89" t="n">
        <v>37759.4</v>
      </c>
      <c r="X448" s="89" t="n">
        <v>18660.9</v>
      </c>
      <c r="Y448" s="89" t="n">
        <v>3944.3</v>
      </c>
      <c r="Z448" s="89" t="n">
        <v>8405.799999999999</v>
      </c>
      <c r="AA448" s="89" t="n">
        <v>3990.7</v>
      </c>
      <c r="AB448" s="89" t="n">
        <v>1582.4</v>
      </c>
      <c r="AC448" s="89" t="n">
        <v>4412.6</v>
      </c>
      <c r="AD448" s="89" t="n">
        <v>4420.5</v>
      </c>
      <c r="AE448" s="89" t="n">
        <v>1344.9</v>
      </c>
      <c r="AF448" s="89" t="n">
        <v>1984.4</v>
      </c>
      <c r="AG448" s="89" t="n">
        <v>29353.6</v>
      </c>
      <c r="AH448" s="89" t="n">
        <v>1500.7</v>
      </c>
      <c r="AI448" s="89" t="n">
        <v>37759.4</v>
      </c>
      <c r="AJ448" s="89" t="n">
        <v>5230.7</v>
      </c>
      <c r="AK448" s="89" t="n">
        <v>4779.9</v>
      </c>
      <c r="AL448" s="89" t="n">
        <v>725.8</v>
      </c>
      <c r="AM448" s="89" t="n">
        <v>367.3</v>
      </c>
      <c r="AN448" s="89" t="n">
        <v>898.4</v>
      </c>
      <c r="AO448" s="89" t="n">
        <v>755.9</v>
      </c>
      <c r="AP448" s="89" t="n">
        <v>3200.8</v>
      </c>
      <c r="AQ448" s="89" t="n">
        <v>3087.3</v>
      </c>
      <c r="AR448" s="90" t="inlineStr">
        <is>
          <t>N/A</t>
        </is>
      </c>
      <c r="AS448" s="89" t="n">
        <v>915.5</v>
      </c>
      <c r="AT448" s="90" t="inlineStr">
        <is>
          <t>N/A</t>
        </is>
      </c>
      <c r="AU448" s="89" t="n">
        <v>5850.2</v>
      </c>
      <c r="AV448" s="89" t="n">
        <v>3118.1</v>
      </c>
      <c r="AW448" s="89" t="n">
        <v>2488.2</v>
      </c>
      <c r="AX448" s="89" t="n">
        <v>1985.9</v>
      </c>
      <c r="AY448" s="89" t="n">
        <v>1984.4</v>
      </c>
      <c r="AZ448" s="89" t="n">
        <v>-1132.2</v>
      </c>
      <c r="BA448" s="89" t="n">
        <v>4080.5</v>
      </c>
      <c r="BB448" s="89" t="n">
        <v>90.7</v>
      </c>
      <c r="BC448" s="89" t="n">
        <v>87.2</v>
      </c>
      <c r="BD448" s="89" t="n">
        <v>6211.9</v>
      </c>
      <c r="BE448" s="89" t="n">
        <v>2575.8</v>
      </c>
      <c r="BF448" s="89" t="n">
        <v>2954.4</v>
      </c>
      <c r="BG448" s="89" t="n">
        <v>482.9</v>
      </c>
      <c r="BH448" s="89" t="n">
        <v>-629.1</v>
      </c>
      <c r="BI448" s="89" t="n">
        <v>-2468.1</v>
      </c>
      <c r="BJ448" s="89" t="n">
        <v>939</v>
      </c>
      <c r="BK448" s="89" t="n">
        <v>789.5</v>
      </c>
      <c r="BL448" s="89" t="n">
        <v>320.1</v>
      </c>
      <c r="BM448" s="89" t="n">
        <v>231.7</v>
      </c>
      <c r="BN448" s="89" t="n">
        <v>351.3</v>
      </c>
      <c r="BO448" s="89" t="n">
        <v>402.8</v>
      </c>
      <c r="BP448" s="89" t="n">
        <v>237.5</v>
      </c>
      <c r="BQ448" s="89" t="n">
        <v>0</v>
      </c>
      <c r="BR448" s="89" t="n">
        <v>0</v>
      </c>
      <c r="BS448" s="89" t="n">
        <v>0</v>
      </c>
      <c r="BT448" s="89" t="n">
        <v>0</v>
      </c>
      <c r="BU448" s="89" t="n">
        <v>0</v>
      </c>
      <c r="BV448" s="89" t="n">
        <v>0</v>
      </c>
      <c r="BW448" s="89" t="n">
        <v>0</v>
      </c>
      <c r="BX448" s="89" t="n">
        <v>0</v>
      </c>
      <c r="BY448" s="89" t="n">
        <v>0</v>
      </c>
    </row>
    <row r="449" ht="17" customHeight="1">
      <c r="A449" s="82" t="n">
        <v>447</v>
      </c>
      <c r="B449" s="83" t="inlineStr">
        <is>
          <t>YUM</t>
        </is>
      </c>
      <c r="C449" s="84" t="inlineStr">
        <is>
          <t>YUM! BRANDS, INC.</t>
        </is>
      </c>
      <c r="D449" s="82" t="inlineStr">
        <is>
          <t>Consumer Discretionary</t>
        </is>
      </c>
      <c r="E449" s="82" t="n">
        <v>2026</v>
      </c>
      <c r="F449" s="85" t="n">
        <v>8197</v>
      </c>
      <c r="G449" s="85" t="n">
        <v>2040</v>
      </c>
      <c r="H449" s="85" t="n">
        <v>1516</v>
      </c>
      <c r="I449" s="85" t="n">
        <v>15521</v>
      </c>
      <c r="J449" s="85" t="n">
        <v>-7014</v>
      </c>
      <c r="K449" s="85" t="n">
        <v>2574</v>
      </c>
      <c r="L449" s="85" t="n">
        <v>8214</v>
      </c>
      <c r="M449" s="85" t="n">
        <v>1559</v>
      </c>
      <c r="N449" s="85" t="n">
        <v>2010</v>
      </c>
      <c r="O449" s="85" t="n">
        <v>5731</v>
      </c>
      <c r="P449" s="85" t="n">
        <v>3800</v>
      </c>
      <c r="Q449" s="85" t="n">
        <v>-7926</v>
      </c>
      <c r="R449" s="85" t="n">
        <v>1262</v>
      </c>
      <c r="S449" s="85" t="n">
        <v>565</v>
      </c>
      <c r="T449" s="91" t="inlineStr">
        <is>
          <t>N/A</t>
        </is>
      </c>
      <c r="U449" s="85" t="n">
        <v>1605</v>
      </c>
      <c r="V449" s="85" t="n">
        <v>118</v>
      </c>
      <c r="W449" s="85" t="n">
        <v>6727</v>
      </c>
      <c r="X449" s="85" t="n">
        <v>1871</v>
      </c>
      <c r="Y449" s="85" t="n">
        <v>1269</v>
      </c>
      <c r="Z449" s="85" t="n">
        <v>14375</v>
      </c>
      <c r="AA449" s="85" t="n">
        <v>2403</v>
      </c>
      <c r="AB449" s="85" t="n">
        <v>7549</v>
      </c>
      <c r="AC449" s="85" t="n">
        <v>1486</v>
      </c>
      <c r="AD449" s="85" t="n">
        <v>1689</v>
      </c>
      <c r="AE449" s="85" t="n">
        <v>5429</v>
      </c>
      <c r="AF449" s="85" t="n">
        <v>3200</v>
      </c>
      <c r="AG449" s="85" t="n">
        <v>911</v>
      </c>
      <c r="AH449" s="85" t="n">
        <v>7549</v>
      </c>
      <c r="AI449" s="85" t="n">
        <v>6727</v>
      </c>
      <c r="AJ449" s="85" t="n">
        <v>2077</v>
      </c>
      <c r="AK449" s="85" t="n">
        <v>1900</v>
      </c>
      <c r="AL449" s="85" t="n">
        <v>518</v>
      </c>
      <c r="AM449" s="85" t="n">
        <v>414</v>
      </c>
      <c r="AN449" s="85" t="n">
        <v>371</v>
      </c>
      <c r="AO449" s="85" t="n">
        <v>257</v>
      </c>
      <c r="AP449" s="85" t="n">
        <v>229</v>
      </c>
      <c r="AQ449" s="85" t="n">
        <v>301</v>
      </c>
      <c r="AR449" s="85" t="n">
        <v>969</v>
      </c>
      <c r="AS449" s="85" t="n">
        <v>909</v>
      </c>
      <c r="AT449" s="85" t="n">
        <v>38</v>
      </c>
      <c r="AU449" s="85" t="n">
        <v>28</v>
      </c>
      <c r="AV449" s="85" t="n">
        <v>709</v>
      </c>
      <c r="AW449" s="85" t="n">
        <v>616</v>
      </c>
      <c r="AX449" s="85" t="n">
        <v>3838</v>
      </c>
      <c r="AY449" s="85" t="n">
        <v>3227</v>
      </c>
      <c r="AZ449" s="85" t="n">
        <v>3129</v>
      </c>
      <c r="BA449" s="85" t="n">
        <v>1639</v>
      </c>
      <c r="BB449" s="85" t="n">
        <v>277</v>
      </c>
      <c r="BC449" s="85" t="n">
        <v>279</v>
      </c>
      <c r="BD449" s="91" t="inlineStr">
        <is>
          <t>N/A</t>
        </is>
      </c>
      <c r="BE449" s="85" t="n">
        <v>1304</v>
      </c>
      <c r="BF449" s="85" t="n">
        <v>1181</v>
      </c>
      <c r="BG449" s="85" t="n">
        <v>553</v>
      </c>
      <c r="BH449" s="85" t="n">
        <v>-1003</v>
      </c>
      <c r="BI449" s="85" t="n">
        <v>-422</v>
      </c>
      <c r="BJ449" s="85" t="n">
        <v>173</v>
      </c>
      <c r="BK449" s="85" t="n">
        <v>202</v>
      </c>
      <c r="BL449" s="85" t="n">
        <v>415</v>
      </c>
      <c r="BM449" s="85" t="n">
        <v>441</v>
      </c>
      <c r="BN449" s="85" t="n">
        <v>46</v>
      </c>
      <c r="BO449" s="85" t="n">
        <v>2483</v>
      </c>
      <c r="BP449" s="85" t="n">
        <v>2120</v>
      </c>
      <c r="BQ449" s="91" t="inlineStr">
        <is>
          <t>N/A</t>
        </is>
      </c>
      <c r="BR449" s="91" t="inlineStr">
        <is>
          <t>N/A</t>
        </is>
      </c>
      <c r="BS449" s="85" t="n">
        <v>0</v>
      </c>
      <c r="BT449" s="85" t="n">
        <v>0</v>
      </c>
      <c r="BU449" s="85" t="n">
        <v>0</v>
      </c>
      <c r="BV449" s="85" t="n">
        <v>0</v>
      </c>
      <c r="BW449" s="85" t="n">
        <v>0</v>
      </c>
      <c r="BX449" s="85" t="n">
        <v>0</v>
      </c>
      <c r="BY449" s="85" t="n">
        <v>0</v>
      </c>
    </row>
    <row r="450" ht="17" customHeight="1">
      <c r="A450" s="86" t="n">
        <v>448</v>
      </c>
      <c r="B450" s="87" t="inlineStr">
        <is>
          <t>PHM</t>
        </is>
      </c>
      <c r="C450" s="88" t="inlineStr">
        <is>
          <t>PULTEGROUP, INC.</t>
        </is>
      </c>
      <c r="D450" s="86" t="inlineStr">
        <is>
          <t>Consumer Discretionary</t>
        </is>
      </c>
      <c r="E450" s="86" t="n">
        <v>2026</v>
      </c>
      <c r="F450" s="89" t="n">
        <v>18048.4</v>
      </c>
      <c r="G450" s="90" t="inlineStr">
        <is>
          <t>N/A</t>
        </is>
      </c>
      <c r="H450" s="90" t="inlineStr">
        <is>
          <t>N/A</t>
        </is>
      </c>
      <c r="I450" s="89" t="n">
        <v>5063</v>
      </c>
      <c r="J450" s="89" t="n">
        <v>9494.6</v>
      </c>
      <c r="K450" s="90" t="inlineStr">
        <is>
          <t>N/A</t>
        </is>
      </c>
      <c r="L450" s="89" t="n">
        <v>3192.4</v>
      </c>
      <c r="M450" s="89" t="n">
        <v>2218.7</v>
      </c>
      <c r="N450" s="89" t="n">
        <v>1871.2</v>
      </c>
      <c r="O450" s="90" t="inlineStr">
        <is>
          <t>N/A</t>
        </is>
      </c>
      <c r="P450" s="89" t="n">
        <v>43.9</v>
      </c>
      <c r="Q450" s="89" t="n">
        <v>12985.4</v>
      </c>
      <c r="R450" s="89" t="n">
        <v>1573.9</v>
      </c>
      <c r="S450" s="89" t="n">
        <v>112.5</v>
      </c>
      <c r="T450" s="89" t="n">
        <v>6.2</v>
      </c>
      <c r="U450" s="89" t="n">
        <v>238.6</v>
      </c>
      <c r="V450" s="89" t="n">
        <v>0.6</v>
      </c>
      <c r="W450" s="89" t="n">
        <v>17363.8</v>
      </c>
      <c r="X450" s="90" t="inlineStr">
        <is>
          <t>N/A</t>
        </is>
      </c>
      <c r="Y450" s="90" t="inlineStr">
        <is>
          <t>N/A</t>
        </is>
      </c>
      <c r="Z450" s="89" t="n">
        <v>5241.8</v>
      </c>
      <c r="AA450" s="90" t="inlineStr">
        <is>
          <t>N/A</t>
        </is>
      </c>
      <c r="AB450" s="89" t="n">
        <v>2955</v>
      </c>
      <c r="AC450" s="89" t="n">
        <v>3083.3</v>
      </c>
      <c r="AD450" s="89" t="n">
        <v>1680.8</v>
      </c>
      <c r="AE450" s="90" t="inlineStr">
        <is>
          <t>N/A</t>
        </is>
      </c>
      <c r="AF450" s="89" t="n">
        <v>31.1</v>
      </c>
      <c r="AG450" s="89" t="n">
        <v>12122</v>
      </c>
      <c r="AH450" s="89" t="n">
        <v>2593.8</v>
      </c>
      <c r="AI450" s="89" t="n">
        <v>17363.8</v>
      </c>
      <c r="AJ450" s="89" t="n">
        <v>2911.3</v>
      </c>
      <c r="AK450" s="90" t="inlineStr">
        <is>
          <t>N/A</t>
        </is>
      </c>
      <c r="AL450" s="89" t="n">
        <v>692.6</v>
      </c>
      <c r="AM450" s="89" t="n">
        <v>922.6</v>
      </c>
      <c r="AN450" s="89" t="n">
        <v>122.7</v>
      </c>
      <c r="AO450" s="89" t="n">
        <v>118.5</v>
      </c>
      <c r="AP450" s="90" t="inlineStr">
        <is>
          <t>N/A</t>
        </is>
      </c>
      <c r="AQ450" s="90" t="inlineStr">
        <is>
          <t>N/A</t>
        </is>
      </c>
      <c r="AR450" s="89" t="n">
        <v>40.4</v>
      </c>
      <c r="AS450" s="89" t="n">
        <v>26.2</v>
      </c>
      <c r="AT450" s="90" t="inlineStr">
        <is>
          <t>N/A</t>
        </is>
      </c>
      <c r="AU450" s="90" t="inlineStr">
        <is>
          <t>N/A</t>
        </is>
      </c>
      <c r="AV450" s="89" t="n">
        <v>1980.9</v>
      </c>
      <c r="AW450" s="89" t="n">
        <v>1613.3</v>
      </c>
      <c r="AX450" s="89" t="n">
        <v>43.9</v>
      </c>
      <c r="AY450" s="89" t="n">
        <v>31.1</v>
      </c>
      <c r="AZ450" s="89" t="n">
        <v>-1937</v>
      </c>
      <c r="BA450" s="89" t="n">
        <v>1748.5</v>
      </c>
      <c r="BB450" s="89" t="n">
        <v>192.7</v>
      </c>
      <c r="BC450" s="89" t="n">
        <v>202.9</v>
      </c>
      <c r="BD450" s="89" t="n">
        <v>40.9</v>
      </c>
      <c r="BE450" s="89" t="n">
        <v>253.1</v>
      </c>
      <c r="BF450" s="89" t="n">
        <v>1321.3</v>
      </c>
      <c r="BG450" s="89" t="n">
        <v>89.2</v>
      </c>
      <c r="BH450" s="89" t="n">
        <v>-80.40000000000001</v>
      </c>
      <c r="BI450" s="89" t="n">
        <v>-94.5</v>
      </c>
      <c r="BJ450" s="90" t="inlineStr">
        <is>
          <t>N/A</t>
        </is>
      </c>
      <c r="BK450" s="90" t="inlineStr">
        <is>
          <t>N/A</t>
        </is>
      </c>
      <c r="BL450" s="89" t="n">
        <v>387.8</v>
      </c>
      <c r="BM450" s="89" t="n">
        <v>512.6</v>
      </c>
      <c r="BN450" s="90" t="inlineStr">
        <is>
          <t>N/A</t>
        </is>
      </c>
      <c r="BO450" s="90" t="inlineStr">
        <is>
          <t>N/A</t>
        </is>
      </c>
      <c r="BP450" s="90" t="inlineStr">
        <is>
          <t>N/A</t>
        </is>
      </c>
      <c r="BQ450" s="89" t="n">
        <v>0</v>
      </c>
      <c r="BR450" s="89" t="n">
        <v>0</v>
      </c>
      <c r="BS450" s="90" t="inlineStr">
        <is>
          <t>N/A</t>
        </is>
      </c>
      <c r="BT450" s="90" t="inlineStr">
        <is>
          <t>N/A</t>
        </is>
      </c>
      <c r="BU450" s="90" t="inlineStr">
        <is>
          <t>N/A</t>
        </is>
      </c>
      <c r="BV450" s="90" t="inlineStr">
        <is>
          <t>N/A</t>
        </is>
      </c>
      <c r="BW450" s="89" t="n">
        <v>0</v>
      </c>
      <c r="BX450" s="89" t="n">
        <v>0</v>
      </c>
      <c r="BY450" s="89" t="n">
        <v>0</v>
      </c>
    </row>
    <row r="451" ht="17" customHeight="1">
      <c r="A451" s="82" t="n">
        <v>449</v>
      </c>
      <c r="B451" s="83" t="inlineStr">
        <is>
          <t>LYFT</t>
        </is>
      </c>
      <c r="C451" s="84" t="inlineStr">
        <is>
          <t>Lyft, Inc.</t>
        </is>
      </c>
      <c r="D451" s="82" t="inlineStr">
        <is>
          <t>Consumer Discretionary</t>
        </is>
      </c>
      <c r="E451" s="82" t="n">
        <v>2026</v>
      </c>
      <c r="F451" s="85" t="n">
        <v>9030.1</v>
      </c>
      <c r="G451" s="85" t="n">
        <v>2919.5</v>
      </c>
      <c r="H451" s="85" t="n">
        <v>4525.8</v>
      </c>
      <c r="I451" s="85" t="n">
        <v>5756.5</v>
      </c>
      <c r="J451" s="85" t="n">
        <v>-7414.1</v>
      </c>
      <c r="K451" s="85" t="n">
        <v>-188.4</v>
      </c>
      <c r="L451" s="85" t="n">
        <v>6316.3</v>
      </c>
      <c r="M451" s="85" t="n">
        <v>2844</v>
      </c>
      <c r="N451" s="85" t="n">
        <v>1168.4</v>
      </c>
      <c r="O451" s="85" t="n">
        <v>2618.6</v>
      </c>
      <c r="P451" s="85" t="n">
        <v>1053</v>
      </c>
      <c r="Q451" s="85" t="n">
        <v>3273.5</v>
      </c>
      <c r="R451" s="85" t="n">
        <v>1002.1</v>
      </c>
      <c r="S451" s="85" t="n">
        <v>135.2</v>
      </c>
      <c r="T451" s="91" t="inlineStr">
        <is>
          <t>N/A</t>
        </is>
      </c>
      <c r="U451" s="85" t="n">
        <v>188.6</v>
      </c>
      <c r="V451" s="85" t="n">
        <v>26.2</v>
      </c>
      <c r="W451" s="85" t="n">
        <v>5435.1</v>
      </c>
      <c r="X451" s="85" t="n">
        <v>2950.5</v>
      </c>
      <c r="Y451" s="85" t="n">
        <v>3880.7</v>
      </c>
      <c r="Z451" s="85" t="n">
        <v>4668.1</v>
      </c>
      <c r="AA451" s="85" t="n">
        <v>-118.9</v>
      </c>
      <c r="AB451" s="85" t="n">
        <v>5786</v>
      </c>
      <c r="AC451" s="85" t="n">
        <v>22.8</v>
      </c>
      <c r="AD451" s="85" t="n">
        <v>849.7</v>
      </c>
      <c r="AE451" s="85" t="n">
        <v>2448.3</v>
      </c>
      <c r="AF451" s="85" t="n">
        <v>995</v>
      </c>
      <c r="AG451" s="85" t="n">
        <v>767</v>
      </c>
      <c r="AH451" s="85" t="n">
        <v>5786</v>
      </c>
      <c r="AI451" s="85" t="n">
        <v>5435.1</v>
      </c>
      <c r="AJ451" s="85" t="n">
        <v>-53.2</v>
      </c>
      <c r="AK451" s="85" t="n">
        <v>25.4</v>
      </c>
      <c r="AL451" s="85" t="n">
        <v>-2897.3</v>
      </c>
      <c r="AM451" s="85" t="n">
        <v>2.6</v>
      </c>
      <c r="AN451" s="91" t="inlineStr">
        <is>
          <t>N/A</t>
        </is>
      </c>
      <c r="AO451" s="91" t="inlineStr">
        <is>
          <t>N/A</t>
        </is>
      </c>
      <c r="AP451" s="91" t="inlineStr">
        <is>
          <t>N/A</t>
        </is>
      </c>
      <c r="AQ451" s="91" t="inlineStr">
        <is>
          <t>N/A</t>
        </is>
      </c>
      <c r="AR451" s="85" t="n">
        <v>439.8</v>
      </c>
      <c r="AS451" s="85" t="n">
        <v>178.9</v>
      </c>
      <c r="AT451" s="85" t="n">
        <v>50.6</v>
      </c>
      <c r="AU451" s="85" t="n">
        <v>451.4</v>
      </c>
      <c r="AV451" s="85" t="n">
        <v>1132</v>
      </c>
      <c r="AW451" s="85" t="n">
        <v>759.3</v>
      </c>
      <c r="AX451" s="85" t="n">
        <v>1103.6</v>
      </c>
      <c r="AY451" s="85" t="n">
        <v>995</v>
      </c>
      <c r="AZ451" s="85" t="n">
        <v>-28.4</v>
      </c>
      <c r="BA451" s="91" t="inlineStr">
        <is>
          <t>N/A</t>
        </is>
      </c>
      <c r="BB451" s="91" t="inlineStr">
        <is>
          <t>N/A</t>
        </is>
      </c>
      <c r="BC451" s="85" t="n">
        <v>22.4</v>
      </c>
      <c r="BD451" s="91" t="inlineStr">
        <is>
          <t>N/A</t>
        </is>
      </c>
      <c r="BE451" s="85" t="n">
        <v>109.3</v>
      </c>
      <c r="BF451" s="85" t="n">
        <v>937.3</v>
      </c>
      <c r="BG451" s="85" t="n">
        <v>148.9</v>
      </c>
      <c r="BH451" s="85" t="n">
        <v>406.7</v>
      </c>
      <c r="BI451" s="85" t="n">
        <v>-518</v>
      </c>
      <c r="BJ451" s="85" t="n">
        <v>120.5</v>
      </c>
      <c r="BK451" s="85" t="n">
        <v>97.7</v>
      </c>
      <c r="BL451" s="85" t="n">
        <v>42.5</v>
      </c>
      <c r="BM451" s="85" t="n">
        <v>42.5</v>
      </c>
      <c r="BN451" s="91" t="inlineStr">
        <is>
          <t>N/A</t>
        </is>
      </c>
      <c r="BO451" s="85" t="n">
        <v>3697.7</v>
      </c>
      <c r="BP451" s="85" t="n">
        <v>3337.7</v>
      </c>
      <c r="BQ451" s="91" t="inlineStr">
        <is>
          <t>N/A</t>
        </is>
      </c>
      <c r="BR451" s="91" t="inlineStr">
        <is>
          <t>N/A</t>
        </is>
      </c>
      <c r="BS451" s="91" t="inlineStr">
        <is>
          <t>N/A</t>
        </is>
      </c>
      <c r="BT451" s="91" t="inlineStr">
        <is>
          <t>N/A</t>
        </is>
      </c>
      <c r="BU451" s="85" t="n">
        <v>0</v>
      </c>
      <c r="BV451" s="85" t="n">
        <v>0</v>
      </c>
      <c r="BW451" s="85" t="n">
        <v>0</v>
      </c>
      <c r="BX451" s="85" t="n">
        <v>0</v>
      </c>
      <c r="BY451" s="85" t="n">
        <v>0</v>
      </c>
    </row>
    <row r="452" ht="17" customHeight="1">
      <c r="A452" s="86" t="n">
        <v>450</v>
      </c>
      <c r="B452" s="87" t="inlineStr">
        <is>
          <t>CNP</t>
        </is>
      </c>
      <c r="C452" s="88" t="inlineStr">
        <is>
          <t>CENTERPOINT ENERGY INC</t>
        </is>
      </c>
      <c r="D452" s="86" t="inlineStr">
        <is>
          <t>Utilities</t>
        </is>
      </c>
      <c r="E452" s="86" t="n">
        <v>2026</v>
      </c>
      <c r="F452" s="89" t="n">
        <v>46534</v>
      </c>
      <c r="G452" s="89" t="n">
        <v>5701</v>
      </c>
      <c r="H452" s="89" t="n">
        <v>6260</v>
      </c>
      <c r="I452" s="89" t="n">
        <v>46534</v>
      </c>
      <c r="J452" s="89" t="n">
        <v>2043</v>
      </c>
      <c r="K452" s="89" t="n">
        <v>2110</v>
      </c>
      <c r="L452" s="89" t="n">
        <v>9357</v>
      </c>
      <c r="M452" s="89" t="n">
        <v>1052</v>
      </c>
      <c r="N452" s="89" t="n">
        <v>2486</v>
      </c>
      <c r="O452" s="89" t="n">
        <v>9353</v>
      </c>
      <c r="P452" s="89" t="n">
        <v>20566</v>
      </c>
      <c r="Q452" s="89" t="n">
        <v>11153</v>
      </c>
      <c r="R452" s="90" t="inlineStr">
        <is>
          <t>N/A</t>
        </is>
      </c>
      <c r="S452" s="89" t="n">
        <v>886</v>
      </c>
      <c r="T452" s="89" t="n">
        <v>806</v>
      </c>
      <c r="U452" s="89" t="n">
        <v>34056</v>
      </c>
      <c r="V452" s="90" t="inlineStr">
        <is>
          <t>N/A</t>
        </is>
      </c>
      <c r="W452" s="89" t="n">
        <v>43768</v>
      </c>
      <c r="X452" s="89" t="n">
        <v>4381</v>
      </c>
      <c r="Y452" s="89" t="n">
        <v>4045</v>
      </c>
      <c r="Z452" s="89" t="n">
        <v>43768</v>
      </c>
      <c r="AA452" s="89" t="n">
        <v>1990</v>
      </c>
      <c r="AB452" s="89" t="n">
        <v>8643</v>
      </c>
      <c r="AC452" s="89" t="n">
        <v>1019</v>
      </c>
      <c r="AD452" s="89" t="n">
        <v>2139</v>
      </c>
      <c r="AE452" s="89" t="n">
        <v>8640</v>
      </c>
      <c r="AF452" s="89" t="n">
        <v>20397</v>
      </c>
      <c r="AG452" s="89" t="n">
        <v>10666</v>
      </c>
      <c r="AH452" s="89" t="n">
        <v>8643</v>
      </c>
      <c r="AI452" s="89" t="n">
        <v>43768</v>
      </c>
      <c r="AJ452" s="89" t="n">
        <v>1247</v>
      </c>
      <c r="AK452" s="89" t="n">
        <v>1214</v>
      </c>
      <c r="AL452" s="89" t="n">
        <v>195</v>
      </c>
      <c r="AM452" s="89" t="n">
        <v>195</v>
      </c>
      <c r="AN452" s="89" t="n">
        <v>4870</v>
      </c>
      <c r="AO452" s="89" t="n">
        <v>4513</v>
      </c>
      <c r="AP452" s="89" t="n">
        <v>285</v>
      </c>
      <c r="AQ452" s="89" t="n">
        <v>322</v>
      </c>
      <c r="AR452" s="89" t="n">
        <v>3550</v>
      </c>
      <c r="AS452" s="89" t="n">
        <v>38</v>
      </c>
      <c r="AT452" s="89" t="n">
        <v>500</v>
      </c>
      <c r="AU452" s="90" t="inlineStr">
        <is>
          <t>N/A</t>
        </is>
      </c>
      <c r="AV452" s="89" t="n">
        <v>38</v>
      </c>
      <c r="AW452" s="89" t="n">
        <v>24</v>
      </c>
      <c r="AX452" s="89" t="n">
        <v>21066</v>
      </c>
      <c r="AY452" s="89" t="n">
        <v>20897</v>
      </c>
      <c r="AZ452" s="89" t="n">
        <v>21028</v>
      </c>
      <c r="BA452" s="89" t="n">
        <v>-2384</v>
      </c>
      <c r="BB452" s="89" t="n">
        <v>652.9</v>
      </c>
      <c r="BC452" s="89" t="n">
        <v>651.7</v>
      </c>
      <c r="BD452" s="89" t="n">
        <v>717</v>
      </c>
      <c r="BE452" s="89" t="n">
        <v>32089</v>
      </c>
      <c r="BF452" s="90" t="inlineStr">
        <is>
          <t>N/A</t>
        </is>
      </c>
      <c r="BG452" s="89" t="n">
        <v>864</v>
      </c>
      <c r="BH452" s="89" t="n">
        <v>-4016</v>
      </c>
      <c r="BI452" s="89" t="n">
        <v>-4489</v>
      </c>
      <c r="BJ452" s="89" t="n">
        <v>1300</v>
      </c>
      <c r="BK452" s="89" t="n">
        <v>1320</v>
      </c>
      <c r="BL452" s="89" t="n">
        <v>89</v>
      </c>
      <c r="BM452" s="89" t="n">
        <v>93</v>
      </c>
      <c r="BN452" s="89" t="n">
        <v>344</v>
      </c>
      <c r="BO452" s="89" t="n">
        <v>4</v>
      </c>
      <c r="BP452" s="89" t="n">
        <v>3</v>
      </c>
      <c r="BQ452" s="89" t="n">
        <v>0</v>
      </c>
      <c r="BR452" s="89" t="n">
        <v>0</v>
      </c>
      <c r="BS452" s="89" t="n">
        <v>0</v>
      </c>
      <c r="BT452" s="89" t="n">
        <v>0</v>
      </c>
      <c r="BU452" s="89" t="n">
        <v>0.1</v>
      </c>
      <c r="BV452" s="89" t="n">
        <v>0.2</v>
      </c>
      <c r="BW452" s="89" t="n">
        <v>0</v>
      </c>
      <c r="BX452" s="89" t="n">
        <v>0</v>
      </c>
      <c r="BY452" s="89" t="n">
        <v>0</v>
      </c>
    </row>
    <row r="453" ht="17" customHeight="1">
      <c r="A453" s="82" t="n">
        <v>451</v>
      </c>
      <c r="B453" s="83" t="inlineStr">
        <is>
          <t>WEX</t>
        </is>
      </c>
      <c r="C453" s="84" t="inlineStr">
        <is>
          <t>WEX Inc.</t>
        </is>
      </c>
      <c r="D453" s="82" t="inlineStr">
        <is>
          <t>Financials</t>
        </is>
      </c>
      <c r="E453" s="82" t="n">
        <v>2026</v>
      </c>
      <c r="F453" s="85" t="n">
        <v>14399.5</v>
      </c>
      <c r="G453" s="85" t="n">
        <v>9713</v>
      </c>
      <c r="H453" s="85" t="n">
        <v>9286.6</v>
      </c>
      <c r="I453" s="85" t="n">
        <v>13165</v>
      </c>
      <c r="J453" s="85" t="n">
        <v>2370.8</v>
      </c>
      <c r="K453" s="85" t="n">
        <v>663.9</v>
      </c>
      <c r="L453" s="85" t="n">
        <v>2660.8</v>
      </c>
      <c r="M453" s="85" t="n">
        <v>304.1</v>
      </c>
      <c r="N453" s="85" t="n">
        <v>454.3</v>
      </c>
      <c r="O453" s="85" t="n">
        <v>2112.9</v>
      </c>
      <c r="P453" s="85" t="n">
        <v>2874.1</v>
      </c>
      <c r="Q453" s="85" t="n">
        <v>1234.5</v>
      </c>
      <c r="R453" s="85" t="n">
        <v>330.2</v>
      </c>
      <c r="S453" s="85" t="n">
        <v>179</v>
      </c>
      <c r="T453" s="85" t="n">
        <v>2584.2</v>
      </c>
      <c r="U453" s="85" t="n">
        <v>253.7</v>
      </c>
      <c r="V453" s="85" t="n">
        <v>130.7</v>
      </c>
      <c r="W453" s="85" t="n">
        <v>13321.6</v>
      </c>
      <c r="X453" s="85" t="n">
        <v>8515.5</v>
      </c>
      <c r="Y453" s="85" t="n">
        <v>8327.299999999999</v>
      </c>
      <c r="Z453" s="85" t="n">
        <v>11832.8</v>
      </c>
      <c r="AA453" s="85" t="n">
        <v>686.3</v>
      </c>
      <c r="AB453" s="85" t="n">
        <v>2628.1</v>
      </c>
      <c r="AC453" s="85" t="n">
        <v>309.6</v>
      </c>
      <c r="AD453" s="85" t="n">
        <v>481.4</v>
      </c>
      <c r="AE453" s="85" t="n">
        <v>2113.8</v>
      </c>
      <c r="AF453" s="85" t="n">
        <v>2686.5</v>
      </c>
      <c r="AG453" s="85" t="n">
        <v>1488.8</v>
      </c>
      <c r="AH453" s="85" t="n">
        <v>2628.1</v>
      </c>
      <c r="AI453" s="85" t="n">
        <v>13321.6</v>
      </c>
      <c r="AJ453" s="85" t="n">
        <v>420.2</v>
      </c>
      <c r="AK453" s="85" t="n">
        <v>417.8</v>
      </c>
      <c r="AL453" s="85" t="n">
        <v>116.1</v>
      </c>
      <c r="AM453" s="85" t="n">
        <v>108.2</v>
      </c>
      <c r="AN453" s="85" t="n">
        <v>140.6</v>
      </c>
      <c r="AO453" s="85" t="n">
        <v>147.3</v>
      </c>
      <c r="AP453" s="91" t="inlineStr">
        <is>
          <t>N/A</t>
        </is>
      </c>
      <c r="AQ453" s="91" t="inlineStr">
        <is>
          <t>N/A</t>
        </is>
      </c>
      <c r="AR453" s="85" t="n">
        <v>3015.3</v>
      </c>
      <c r="AS453" s="85" t="n">
        <v>1088.2</v>
      </c>
      <c r="AT453" s="85" t="n">
        <v>1326.4</v>
      </c>
      <c r="AU453" s="91" t="inlineStr">
        <is>
          <t>N/A</t>
        </is>
      </c>
      <c r="AV453" s="85" t="n">
        <v>905.8</v>
      </c>
      <c r="AW453" s="85" t="n">
        <v>595.8</v>
      </c>
      <c r="AX453" s="85" t="n">
        <v>4200.5</v>
      </c>
      <c r="AY453" s="85" t="n">
        <v>3979.7</v>
      </c>
      <c r="AZ453" s="85" t="n">
        <v>3294.7</v>
      </c>
      <c r="BA453" s="85" t="n">
        <v>313.7</v>
      </c>
      <c r="BB453" s="85" t="n">
        <v>34.3</v>
      </c>
      <c r="BC453" s="85" t="n">
        <v>39</v>
      </c>
      <c r="BD453" s="85" t="n">
        <v>2527.8</v>
      </c>
      <c r="BE453" s="85" t="n">
        <v>261.2</v>
      </c>
      <c r="BF453" s="85" t="n">
        <v>375.8</v>
      </c>
      <c r="BG453" s="85" t="n">
        <v>187.3</v>
      </c>
      <c r="BH453" s="85" t="n">
        <v>-696.9</v>
      </c>
      <c r="BI453" s="85" t="n">
        <v>-960.6</v>
      </c>
      <c r="BJ453" s="91" t="inlineStr">
        <is>
          <t>N/A</t>
        </is>
      </c>
      <c r="BK453" s="91" t="inlineStr">
        <is>
          <t>N/A</t>
        </is>
      </c>
      <c r="BL453" s="85" t="n">
        <v>3144.6</v>
      </c>
      <c r="BM453" s="85" t="n">
        <v>2026.4</v>
      </c>
      <c r="BN453" s="91" t="inlineStr">
        <is>
          <t>N/A</t>
        </is>
      </c>
      <c r="BO453" s="85" t="n">
        <v>547.9</v>
      </c>
      <c r="BP453" s="85" t="n">
        <v>514.3</v>
      </c>
      <c r="BQ453" s="85" t="n">
        <v>0</v>
      </c>
      <c r="BR453" s="85" t="n">
        <v>0</v>
      </c>
      <c r="BS453" s="91" t="inlineStr">
        <is>
          <t>N/A</t>
        </is>
      </c>
      <c r="BT453" s="91" t="inlineStr">
        <is>
          <t>N/A</t>
        </is>
      </c>
      <c r="BU453" s="91" t="inlineStr">
        <is>
          <t>N/A</t>
        </is>
      </c>
      <c r="BV453" s="91" t="inlineStr">
        <is>
          <t>N/A</t>
        </is>
      </c>
      <c r="BW453" s="85" t="n">
        <v>0</v>
      </c>
      <c r="BX453" s="85" t="n">
        <v>0</v>
      </c>
      <c r="BY453" s="85" t="n">
        <v>0</v>
      </c>
    </row>
    <row r="454" ht="17" customHeight="1">
      <c r="A454" s="86" t="n">
        <v>452</v>
      </c>
      <c r="B454" s="87" t="inlineStr">
        <is>
          <t>PYPL</t>
        </is>
      </c>
      <c r="C454" s="88" t="inlineStr">
        <is>
          <t>PayPal Holdings, Inc.</t>
        </is>
      </c>
      <c r="D454" s="86" t="inlineStr">
        <is>
          <t>Financials</t>
        </is>
      </c>
      <c r="E454" s="86" t="n">
        <v>2026</v>
      </c>
      <c r="F454" s="89" t="n">
        <v>80173</v>
      </c>
      <c r="G454" s="89" t="n">
        <v>59759</v>
      </c>
      <c r="H454" s="89" t="n">
        <v>46443</v>
      </c>
      <c r="I454" s="89" t="n">
        <v>59917</v>
      </c>
      <c r="J454" s="89" t="n">
        <v>32470</v>
      </c>
      <c r="K454" s="89" t="n">
        <v>6065</v>
      </c>
      <c r="L454" s="89" t="n">
        <v>33172</v>
      </c>
      <c r="M454" s="89" t="n">
        <v>5233</v>
      </c>
      <c r="N454" s="89" t="n">
        <v>6416</v>
      </c>
      <c r="O454" s="89" t="n">
        <v>6065</v>
      </c>
      <c r="P454" s="89" t="n">
        <v>9987</v>
      </c>
      <c r="Q454" s="89" t="n">
        <v>20256</v>
      </c>
      <c r="R454" s="89" t="n">
        <v>1979</v>
      </c>
      <c r="S454" s="89" t="n">
        <v>776</v>
      </c>
      <c r="T454" s="89" t="n">
        <v>840</v>
      </c>
      <c r="U454" s="89" t="n">
        <v>1700</v>
      </c>
      <c r="V454" s="89" t="n">
        <v>347</v>
      </c>
      <c r="W454" s="89" t="n">
        <v>81611</v>
      </c>
      <c r="X454" s="89" t="n">
        <v>61092</v>
      </c>
      <c r="Y454" s="89" t="n">
        <v>48376</v>
      </c>
      <c r="Z454" s="89" t="n">
        <v>61194</v>
      </c>
      <c r="AA454" s="89" t="n">
        <v>5325</v>
      </c>
      <c r="AB454" s="89" t="n">
        <v>31797</v>
      </c>
      <c r="AC454" s="89" t="n">
        <v>4147</v>
      </c>
      <c r="AD454" s="89" t="n">
        <v>7450</v>
      </c>
      <c r="AE454" s="89" t="n">
        <v>5325</v>
      </c>
      <c r="AF454" s="89" t="n">
        <v>9879</v>
      </c>
      <c r="AG454" s="89" t="n">
        <v>20417</v>
      </c>
      <c r="AH454" s="89" t="n">
        <v>31797</v>
      </c>
      <c r="AI454" s="89" t="n">
        <v>78725</v>
      </c>
      <c r="AJ454" s="89" t="n">
        <v>3366</v>
      </c>
      <c r="AK454" s="89" t="n">
        <v>4099</v>
      </c>
      <c r="AL454" s="89" t="n">
        <v>1059</v>
      </c>
      <c r="AM454" s="89" t="n">
        <v>1182</v>
      </c>
      <c r="AN454" s="89" t="n">
        <v>852</v>
      </c>
      <c r="AO454" s="89" t="n">
        <v>683</v>
      </c>
      <c r="AP454" s="90" t="inlineStr">
        <is>
          <t>N/A</t>
        </is>
      </c>
      <c r="AQ454" s="90" t="inlineStr">
        <is>
          <t>N/A</t>
        </is>
      </c>
      <c r="AR454" s="89" t="n">
        <v>10864</v>
      </c>
      <c r="AS454" s="89" t="n">
        <v>208</v>
      </c>
      <c r="AT454" s="89" t="n">
        <v>1998</v>
      </c>
      <c r="AU454" s="89" t="n">
        <v>1071</v>
      </c>
      <c r="AV454" s="89" t="n">
        <v>8049</v>
      </c>
      <c r="AW454" s="89" t="n">
        <v>6561</v>
      </c>
      <c r="AX454" s="89" t="n">
        <v>11985</v>
      </c>
      <c r="AY454" s="89" t="n">
        <v>10879</v>
      </c>
      <c r="AZ454" s="89" t="n">
        <v>3936</v>
      </c>
      <c r="BA454" s="89" t="n">
        <v>5564</v>
      </c>
      <c r="BB454" s="89" t="n">
        <v>920</v>
      </c>
      <c r="BC454" s="89" t="n">
        <v>993</v>
      </c>
      <c r="BD454" s="89" t="n">
        <v>984</v>
      </c>
      <c r="BE454" s="89" t="n">
        <v>1508</v>
      </c>
      <c r="BF454" s="89" t="n">
        <v>2147</v>
      </c>
      <c r="BG454" s="90" t="inlineStr">
        <is>
          <t>N/A</t>
        </is>
      </c>
      <c r="BH454" s="89" t="n">
        <v>797</v>
      </c>
      <c r="BI454" s="89" t="n">
        <v>1589</v>
      </c>
      <c r="BJ454" s="89" t="n">
        <v>240</v>
      </c>
      <c r="BK454" s="89" t="n">
        <v>227</v>
      </c>
      <c r="BL454" s="90" t="inlineStr">
        <is>
          <t>N/A</t>
        </is>
      </c>
      <c r="BM454" s="90" t="inlineStr">
        <is>
          <t>N/A</t>
        </is>
      </c>
      <c r="BN454" s="89" t="n">
        <v>813</v>
      </c>
      <c r="BO454" s="89" t="n">
        <v>27107</v>
      </c>
      <c r="BP454" s="89" t="n">
        <v>26472</v>
      </c>
      <c r="BQ454" s="89" t="n">
        <v>0</v>
      </c>
      <c r="BR454" s="89" t="n">
        <v>0</v>
      </c>
      <c r="BS454" s="90" t="inlineStr">
        <is>
          <t>N/A</t>
        </is>
      </c>
      <c r="BT454" s="90" t="inlineStr">
        <is>
          <t>N/A</t>
        </is>
      </c>
      <c r="BU454" s="89" t="n">
        <v>0</v>
      </c>
      <c r="BV454" s="89" t="n">
        <v>0</v>
      </c>
      <c r="BW454" s="89" t="n">
        <v>0</v>
      </c>
      <c r="BX454" s="89" t="n">
        <v>0</v>
      </c>
      <c r="BY454" s="89" t="n">
        <v>0</v>
      </c>
    </row>
    <row r="455" ht="17" customHeight="1">
      <c r="A455" s="82" t="n">
        <v>453</v>
      </c>
      <c r="B455" s="83" t="inlineStr">
        <is>
          <t>MRNA</t>
        </is>
      </c>
      <c r="C455" s="84" t="inlineStr">
        <is>
          <t>Moderna, Inc.</t>
        </is>
      </c>
      <c r="D455" s="82" t="inlineStr">
        <is>
          <t>Health Care</t>
        </is>
      </c>
      <c r="E455" s="82" t="n">
        <v>2026</v>
      </c>
      <c r="F455" s="85" t="n">
        <v>12338</v>
      </c>
      <c r="G455" s="85" t="n">
        <v>6544</v>
      </c>
      <c r="H455" s="85" t="n">
        <v>1987</v>
      </c>
      <c r="I455" s="85" t="n">
        <v>3688</v>
      </c>
      <c r="J455" s="85" t="n">
        <v>7223</v>
      </c>
      <c r="K455" s="85" t="n">
        <v>-3074</v>
      </c>
      <c r="L455" s="85" t="n">
        <v>19263</v>
      </c>
      <c r="M455" s="85" t="n">
        <v>-2822</v>
      </c>
      <c r="N455" s="85" t="n">
        <v>-1873</v>
      </c>
      <c r="O455" s="85" t="n">
        <v>18395</v>
      </c>
      <c r="P455" s="85" t="n">
        <v>590</v>
      </c>
      <c r="Q455" s="85" t="n">
        <v>8650</v>
      </c>
      <c r="R455" s="85" t="n">
        <v>1018</v>
      </c>
      <c r="S455" s="85" t="n">
        <v>211</v>
      </c>
      <c r="T455" s="85" t="n">
        <v>184</v>
      </c>
      <c r="U455" s="85" t="n">
        <v>209.5</v>
      </c>
      <c r="V455" s="91" t="inlineStr">
        <is>
          <t>N/A</t>
        </is>
      </c>
      <c r="W455" s="85" t="n">
        <v>14142</v>
      </c>
      <c r="X455" s="85" t="n">
        <v>8099</v>
      </c>
      <c r="Y455" s="85" t="n">
        <v>2206</v>
      </c>
      <c r="Z455" s="85" t="n">
        <v>3241</v>
      </c>
      <c r="AA455" s="85" t="n">
        <v>-3945</v>
      </c>
      <c r="AB455" s="85" t="n">
        <v>18471</v>
      </c>
      <c r="AC455" s="85" t="n">
        <v>-3561</v>
      </c>
      <c r="AD455" s="85" t="n">
        <v>-3004</v>
      </c>
      <c r="AE455" s="85" t="n">
        <v>17007</v>
      </c>
      <c r="AF455" s="91" t="inlineStr">
        <is>
          <t>N/A</t>
        </is>
      </c>
      <c r="AG455" s="85" t="n">
        <v>10901</v>
      </c>
      <c r="AH455" s="85" t="n">
        <v>18471</v>
      </c>
      <c r="AI455" s="85" t="n">
        <v>14142</v>
      </c>
      <c r="AJ455" s="85" t="n">
        <v>-2768</v>
      </c>
      <c r="AK455" s="85" t="n">
        <v>-3607</v>
      </c>
      <c r="AL455" s="85" t="n">
        <v>54</v>
      </c>
      <c r="AM455" s="85" t="n">
        <v>-46</v>
      </c>
      <c r="AN455" s="85" t="n">
        <v>192</v>
      </c>
      <c r="AO455" s="85" t="n">
        <v>1051</v>
      </c>
      <c r="AP455" s="85" t="n">
        <v>153</v>
      </c>
      <c r="AQ455" s="85" t="n">
        <v>117</v>
      </c>
      <c r="AR455" s="85" t="n">
        <v>52</v>
      </c>
      <c r="AS455" s="85" t="n">
        <v>45</v>
      </c>
      <c r="AT455" s="91" t="inlineStr">
        <is>
          <t>N/A</t>
        </is>
      </c>
      <c r="AU455" s="85" t="n">
        <v>3132</v>
      </c>
      <c r="AV455" s="85" t="n">
        <v>2595</v>
      </c>
      <c r="AW455" s="85" t="n">
        <v>1927</v>
      </c>
      <c r="AX455" s="85" t="n">
        <v>590</v>
      </c>
      <c r="AY455" s="91" t="inlineStr">
        <is>
          <t>N/A</t>
        </is>
      </c>
      <c r="AZ455" s="85" t="n">
        <v>-2005</v>
      </c>
      <c r="BA455" s="85" t="n">
        <v>-2065</v>
      </c>
      <c r="BB455" s="85" t="n">
        <v>394</v>
      </c>
      <c r="BC455" s="85" t="n">
        <v>386</v>
      </c>
      <c r="BD455" s="85" t="n">
        <v>358</v>
      </c>
      <c r="BE455" s="85" t="n">
        <v>212</v>
      </c>
      <c r="BF455" s="85" t="n">
        <v>1174</v>
      </c>
      <c r="BG455" s="85" t="n">
        <v>185</v>
      </c>
      <c r="BH455" s="85" t="n">
        <v>1946</v>
      </c>
      <c r="BI455" s="85" t="n">
        <v>1949</v>
      </c>
      <c r="BJ455" s="85" t="n">
        <v>317</v>
      </c>
      <c r="BK455" s="85" t="n">
        <v>405</v>
      </c>
      <c r="BL455" s="85" t="n">
        <v>109.1</v>
      </c>
      <c r="BM455" s="85" t="n">
        <v>96.7</v>
      </c>
      <c r="BN455" s="85" t="n">
        <v>3</v>
      </c>
      <c r="BO455" s="85" t="n">
        <v>868</v>
      </c>
      <c r="BP455" s="85" t="n">
        <v>1464</v>
      </c>
      <c r="BQ455" s="85" t="n">
        <v>0</v>
      </c>
      <c r="BR455" s="85" t="n">
        <v>0</v>
      </c>
      <c r="BS455" s="85" t="n">
        <v>0</v>
      </c>
      <c r="BT455" s="85" t="n">
        <v>0</v>
      </c>
      <c r="BU455" s="85" t="n">
        <v>0</v>
      </c>
      <c r="BV455" s="85" t="n">
        <v>0</v>
      </c>
      <c r="BW455" s="85" t="n">
        <v>0</v>
      </c>
      <c r="BX455" s="85" t="n">
        <v>-0</v>
      </c>
      <c r="BY455" s="85" t="n">
        <v>-0</v>
      </c>
    </row>
    <row r="456" ht="17" customHeight="1">
      <c r="A456" s="86" t="n">
        <v>454</v>
      </c>
      <c r="B456" s="87" t="inlineStr">
        <is>
          <t>FHB</t>
        </is>
      </c>
      <c r="C456" s="88" t="inlineStr">
        <is>
          <t>FIRST HAWAIIAN, INC.</t>
        </is>
      </c>
      <c r="D456" s="86" t="inlineStr">
        <is>
          <t>Financials</t>
        </is>
      </c>
      <c r="E456" s="86" t="n">
        <v>2026</v>
      </c>
      <c r="F456" s="89" t="n">
        <v>23955.3</v>
      </c>
      <c r="G456" s="90" t="inlineStr">
        <is>
          <t>N/A</t>
        </is>
      </c>
      <c r="H456" s="90" t="inlineStr">
        <is>
          <t>N/A</t>
        </is>
      </c>
      <c r="I456" s="89" t="n">
        <v>21185.9</v>
      </c>
      <c r="J456" s="89" t="n">
        <v>1078.9</v>
      </c>
      <c r="K456" s="89" t="n">
        <v>354.2</v>
      </c>
      <c r="L456" s="89" t="n">
        <v>880.8</v>
      </c>
      <c r="M456" s="89" t="n">
        <v>276.3</v>
      </c>
      <c r="N456" s="89" t="n">
        <v>335.1</v>
      </c>
      <c r="O456" s="90" t="inlineStr">
        <is>
          <t>N/A</t>
        </is>
      </c>
      <c r="P456" s="90" t="inlineStr">
        <is>
          <t>N/A</t>
        </is>
      </c>
      <c r="Q456" s="89" t="n">
        <v>2769.4</v>
      </c>
      <c r="R456" s="90" t="inlineStr">
        <is>
          <t>N/A</t>
        </is>
      </c>
      <c r="S456" s="89" t="n">
        <v>16.1</v>
      </c>
      <c r="T456" s="90" t="inlineStr">
        <is>
          <t>N/A</t>
        </is>
      </c>
      <c r="U456" s="89" t="n">
        <v>303.5</v>
      </c>
      <c r="V456" s="89" t="n">
        <v>287.5</v>
      </c>
      <c r="W456" s="89" t="n">
        <v>23828.2</v>
      </c>
      <c r="X456" s="90" t="inlineStr">
        <is>
          <t>N/A</t>
        </is>
      </c>
      <c r="Y456" s="90" t="inlineStr">
        <is>
          <t>N/A</t>
        </is>
      </c>
      <c r="Z456" s="89" t="n">
        <v>21210.7</v>
      </c>
      <c r="AA456" s="89" t="n">
        <v>292.6</v>
      </c>
      <c r="AB456" s="89" t="n">
        <v>808.5</v>
      </c>
      <c r="AC456" s="89" t="n">
        <v>230.1</v>
      </c>
      <c r="AD456" s="89" t="n">
        <v>317.5</v>
      </c>
      <c r="AE456" s="90" t="inlineStr">
        <is>
          <t>N/A</t>
        </is>
      </c>
      <c r="AF456" s="90" t="inlineStr">
        <is>
          <t>N/A</t>
        </is>
      </c>
      <c r="AG456" s="89" t="n">
        <v>2617.5</v>
      </c>
      <c r="AH456" s="89" t="n">
        <v>808.5</v>
      </c>
      <c r="AI456" s="89" t="n">
        <v>23828.2</v>
      </c>
      <c r="AJ456" s="89" t="n">
        <v>354.2</v>
      </c>
      <c r="AK456" s="89" t="n">
        <v>292.6</v>
      </c>
      <c r="AL456" s="89" t="n">
        <v>78</v>
      </c>
      <c r="AM456" s="89" t="n">
        <v>62.5</v>
      </c>
      <c r="AN456" s="89" t="n">
        <v>31.8</v>
      </c>
      <c r="AO456" s="89" t="n">
        <v>28.8</v>
      </c>
      <c r="AP456" s="90" t="inlineStr">
        <is>
          <t>N/A</t>
        </is>
      </c>
      <c r="AQ456" s="90" t="inlineStr">
        <is>
          <t>N/A</t>
        </is>
      </c>
      <c r="AR456" s="89" t="n">
        <v>995.5</v>
      </c>
      <c r="AS456" s="89" t="n">
        <v>10.7</v>
      </c>
      <c r="AT456" s="90" t="inlineStr">
        <is>
          <t>N/A</t>
        </is>
      </c>
      <c r="AU456" s="90" t="inlineStr">
        <is>
          <t>N/A</t>
        </is>
      </c>
      <c r="AV456" s="89" t="n">
        <v>1040.9</v>
      </c>
      <c r="AW456" s="89" t="n">
        <v>694</v>
      </c>
      <c r="AX456" s="90" t="inlineStr">
        <is>
          <t>N/A</t>
        </is>
      </c>
      <c r="AY456" s="90" t="inlineStr">
        <is>
          <t>N/A</t>
        </is>
      </c>
      <c r="AZ456" s="89" t="n">
        <v>-1040.9</v>
      </c>
      <c r="BA456" s="89" t="n">
        <v>303.3</v>
      </c>
      <c r="BB456" s="89" t="n">
        <v>122.7</v>
      </c>
      <c r="BC456" s="89" t="n">
        <v>126.4</v>
      </c>
      <c r="BD456" s="90" t="inlineStr">
        <is>
          <t>N/A</t>
        </is>
      </c>
      <c r="BE456" s="89" t="n">
        <v>288.5</v>
      </c>
      <c r="BF456" s="90" t="inlineStr">
        <is>
          <t>N/A</t>
        </is>
      </c>
      <c r="BG456" s="89" t="n">
        <v>13.8</v>
      </c>
      <c r="BH456" s="89" t="n">
        <v>264.1</v>
      </c>
      <c r="BI456" s="89" t="n">
        <v>548.6</v>
      </c>
      <c r="BJ456" s="90" t="inlineStr">
        <is>
          <t>N/A</t>
        </is>
      </c>
      <c r="BK456" s="90" t="inlineStr">
        <is>
          <t>N/A</t>
        </is>
      </c>
      <c r="BL456" s="89" t="n">
        <v>1.3</v>
      </c>
      <c r="BM456" s="89" t="n">
        <v>2.2</v>
      </c>
      <c r="BN456" s="90" t="inlineStr">
        <is>
          <t>N/A</t>
        </is>
      </c>
      <c r="BO456" s="90" t="inlineStr">
        <is>
          <t>N/A</t>
        </is>
      </c>
      <c r="BP456" s="90" t="inlineStr">
        <is>
          <t>N/A</t>
        </is>
      </c>
      <c r="BQ456" s="90" t="inlineStr">
        <is>
          <t>N/A</t>
        </is>
      </c>
      <c r="BR456" s="90" t="inlineStr">
        <is>
          <t>N/A</t>
        </is>
      </c>
      <c r="BS456" s="90" t="inlineStr">
        <is>
          <t>N/A</t>
        </is>
      </c>
      <c r="BT456" s="90" t="inlineStr">
        <is>
          <t>N/A</t>
        </is>
      </c>
      <c r="BU456" s="90" t="inlineStr">
        <is>
          <t>N/A</t>
        </is>
      </c>
      <c r="BV456" s="90" t="inlineStr">
        <is>
          <t>N/A</t>
        </is>
      </c>
      <c r="BW456" s="89" t="n">
        <v>0</v>
      </c>
      <c r="BX456" s="89" t="n">
        <v>0</v>
      </c>
      <c r="BY456" s="89" t="n">
        <v>0</v>
      </c>
    </row>
    <row r="457" ht="17" customHeight="1">
      <c r="A457" s="82" t="n">
        <v>455</v>
      </c>
      <c r="B457" s="83" t="inlineStr">
        <is>
          <t>GKOS</t>
        </is>
      </c>
      <c r="C457" s="84" t="inlineStr">
        <is>
          <t>GLAUKOS Corp</t>
        </is>
      </c>
      <c r="D457" s="82" t="inlineStr">
        <is>
          <t>Health Care</t>
        </is>
      </c>
      <c r="E457" s="82" t="n">
        <v>2026</v>
      </c>
      <c r="F457" s="85" t="n">
        <v>893.5</v>
      </c>
      <c r="G457" s="85" t="n">
        <v>475</v>
      </c>
      <c r="H457" s="85" t="n">
        <v>101.3</v>
      </c>
      <c r="I457" s="85" t="n">
        <v>237.3</v>
      </c>
      <c r="J457" s="85" t="n">
        <v>-933.1</v>
      </c>
      <c r="K457" s="85" t="n">
        <v>-199.6</v>
      </c>
      <c r="L457" s="85" t="n">
        <v>507.4</v>
      </c>
      <c r="M457" s="85" t="n">
        <v>-187.7</v>
      </c>
      <c r="N457" s="85" t="n">
        <v>-14.8</v>
      </c>
      <c r="O457" s="85" t="n">
        <v>282.8</v>
      </c>
      <c r="P457" s="85" t="n">
        <v>9.699999999999999</v>
      </c>
      <c r="Q457" s="85" t="n">
        <v>656.2</v>
      </c>
      <c r="R457" s="85" t="n">
        <v>331.7</v>
      </c>
      <c r="S457" s="85" t="n">
        <v>38.1</v>
      </c>
      <c r="T457" s="85" t="n">
        <v>108.6</v>
      </c>
      <c r="U457" s="85" t="n">
        <v>113.3</v>
      </c>
      <c r="V457" s="85" t="n">
        <v>13.6</v>
      </c>
      <c r="W457" s="85" t="n">
        <v>974.8</v>
      </c>
      <c r="X457" s="85" t="n">
        <v>449.8</v>
      </c>
      <c r="Y457" s="85" t="n">
        <v>75.09999999999999</v>
      </c>
      <c r="Z457" s="85" t="n">
        <v>207.8</v>
      </c>
      <c r="AA457" s="85" t="n">
        <v>-122.4</v>
      </c>
      <c r="AB457" s="85" t="n">
        <v>383.5</v>
      </c>
      <c r="AC457" s="85" t="n">
        <v>-146.4</v>
      </c>
      <c r="AD457" s="85" t="n">
        <v>-61.3</v>
      </c>
      <c r="AE457" s="85" t="n">
        <v>289.5</v>
      </c>
      <c r="AF457" s="85" t="n">
        <v>9.699999999999999</v>
      </c>
      <c r="AG457" s="85" t="n">
        <v>766.9</v>
      </c>
      <c r="AH457" s="85" t="n">
        <v>383.5</v>
      </c>
      <c r="AI457" s="85" t="n">
        <v>974.8</v>
      </c>
      <c r="AJ457" s="85" t="n">
        <v>-193</v>
      </c>
      <c r="AK457" s="85" t="n">
        <v>-145.6</v>
      </c>
      <c r="AL457" s="85" t="n">
        <v>-5.4</v>
      </c>
      <c r="AM457" s="85" t="n">
        <v>0.8</v>
      </c>
      <c r="AN457" s="85" t="n">
        <v>7.7</v>
      </c>
      <c r="AO457" s="85" t="n">
        <v>6.3</v>
      </c>
      <c r="AP457" s="85" t="n">
        <v>63.6</v>
      </c>
      <c r="AQ457" s="85" t="n">
        <v>57.7</v>
      </c>
      <c r="AR457" s="85" t="n">
        <v>66.7</v>
      </c>
      <c r="AS457" s="85" t="n">
        <v>134.7</v>
      </c>
      <c r="AT457" s="85" t="n">
        <v>8.9</v>
      </c>
      <c r="AU457" s="85" t="n">
        <v>49.7</v>
      </c>
      <c r="AV457" s="85" t="n">
        <v>90.8</v>
      </c>
      <c r="AW457" s="85" t="n">
        <v>169.6</v>
      </c>
      <c r="AX457" s="85" t="n">
        <v>18.6</v>
      </c>
      <c r="AY457" s="85" t="n">
        <v>9.699999999999999</v>
      </c>
      <c r="AZ457" s="85" t="n">
        <v>-72.2</v>
      </c>
      <c r="BA457" s="85" t="n">
        <v>-22.5</v>
      </c>
      <c r="BB457" s="85" t="n">
        <v>57.5</v>
      </c>
      <c r="BC457" s="85" t="n">
        <v>56.4</v>
      </c>
      <c r="BD457" s="85" t="n">
        <v>60.7</v>
      </c>
      <c r="BE457" s="85" t="n">
        <v>97.90000000000001</v>
      </c>
      <c r="BF457" s="85" t="n">
        <v>261.2</v>
      </c>
      <c r="BG457" s="85" t="n">
        <v>35.6</v>
      </c>
      <c r="BH457" s="85" t="n">
        <v>-77.59999999999999</v>
      </c>
      <c r="BI457" s="85" t="n">
        <v>47.8</v>
      </c>
      <c r="BJ457" s="85" t="n">
        <v>24.6</v>
      </c>
      <c r="BK457" s="85" t="n">
        <v>13</v>
      </c>
      <c r="BL457" s="91" t="inlineStr">
        <is>
          <t>N/A</t>
        </is>
      </c>
      <c r="BM457" s="91" t="inlineStr">
        <is>
          <t>N/A</t>
        </is>
      </c>
      <c r="BN457" s="91" t="inlineStr">
        <is>
          <t>N/A</t>
        </is>
      </c>
      <c r="BO457" s="85" t="n">
        <v>111.8</v>
      </c>
      <c r="BP457" s="85" t="n">
        <v>94</v>
      </c>
      <c r="BQ457" s="85" t="n">
        <v>0</v>
      </c>
      <c r="BR457" s="85" t="n">
        <v>0</v>
      </c>
      <c r="BS457" s="85" t="n">
        <v>0</v>
      </c>
      <c r="BT457" s="85" t="n">
        <v>0</v>
      </c>
      <c r="BU457" s="85" t="n">
        <v>0</v>
      </c>
      <c r="BV457" s="85" t="n">
        <v>0</v>
      </c>
      <c r="BW457" s="85" t="n">
        <v>0</v>
      </c>
      <c r="BX457" s="85" t="n">
        <v>-0</v>
      </c>
      <c r="BY457" s="85" t="n">
        <v>0</v>
      </c>
    </row>
    <row r="458" ht="17" customHeight="1">
      <c r="A458" s="86" t="n">
        <v>456</v>
      </c>
      <c r="B458" s="87" t="inlineStr">
        <is>
          <t>TAP</t>
        </is>
      </c>
      <c r="C458" s="88" t="inlineStr">
        <is>
          <t>MOLSON COORS BEVERAGE CO</t>
        </is>
      </c>
      <c r="D458" s="86" t="inlineStr">
        <is>
          <t>Consumer Staples</t>
        </is>
      </c>
      <c r="E458" s="86" t="n">
        <v>2026</v>
      </c>
      <c r="F458" s="89" t="n">
        <v>22738.4</v>
      </c>
      <c r="G458" s="89" t="n">
        <v>2935.5</v>
      </c>
      <c r="H458" s="89" t="n">
        <v>5310.8</v>
      </c>
      <c r="I458" s="89" t="n">
        <v>12195.7</v>
      </c>
      <c r="J458" s="89" t="n">
        <v>5723.7</v>
      </c>
      <c r="K458" s="89" t="n">
        <v>-2336.9</v>
      </c>
      <c r="L458" s="89" t="n">
        <v>11723.8</v>
      </c>
      <c r="M458" s="89" t="n">
        <v>-2139.6</v>
      </c>
      <c r="N458" s="89" t="n">
        <v>1784.4</v>
      </c>
      <c r="O458" s="89" t="n">
        <v>4274.6</v>
      </c>
      <c r="P458" s="89" t="n">
        <v>6260.1</v>
      </c>
      <c r="Q458" s="89" t="n">
        <v>10230.3</v>
      </c>
      <c r="R458" s="89" t="n">
        <v>2643.9</v>
      </c>
      <c r="S458" s="89" t="n">
        <v>711.3</v>
      </c>
      <c r="T458" s="89" t="n">
        <v>703</v>
      </c>
      <c r="U458" s="89" t="n">
        <v>4250.3</v>
      </c>
      <c r="V458" s="89" t="n">
        <v>234</v>
      </c>
      <c r="W458" s="89" t="n">
        <v>26064.3</v>
      </c>
      <c r="X458" s="89" t="n">
        <v>2848.4</v>
      </c>
      <c r="Y458" s="89" t="n">
        <v>3045.2</v>
      </c>
      <c r="Z458" s="89" t="n">
        <v>12611.6</v>
      </c>
      <c r="AA458" s="89" t="n">
        <v>1753.2</v>
      </c>
      <c r="AB458" s="89" t="n">
        <v>13009.1</v>
      </c>
      <c r="AC458" s="89" t="n">
        <v>1122.4</v>
      </c>
      <c r="AD458" s="89" t="n">
        <v>1910.3</v>
      </c>
      <c r="AE458" s="89" t="n">
        <v>4533.4</v>
      </c>
      <c r="AF458" s="89" t="n">
        <v>6126.2</v>
      </c>
      <c r="AG458" s="89" t="n">
        <v>13092.4</v>
      </c>
      <c r="AH458" s="89" t="n">
        <v>13009.1</v>
      </c>
      <c r="AI458" s="89" t="n">
        <v>26064.3</v>
      </c>
      <c r="AJ458" s="89" t="n">
        <v>-2518</v>
      </c>
      <c r="AK458" s="89" t="n">
        <v>1503</v>
      </c>
      <c r="AL458" s="89" t="n">
        <v>-337.8</v>
      </c>
      <c r="AM458" s="89" t="n">
        <v>345.3</v>
      </c>
      <c r="AN458" s="89" t="n">
        <v>716.6</v>
      </c>
      <c r="AO458" s="89" t="n">
        <v>674.1</v>
      </c>
      <c r="AP458" s="89" t="n">
        <v>715.9</v>
      </c>
      <c r="AQ458" s="89" t="n">
        <v>727.8</v>
      </c>
      <c r="AR458" s="89" t="n">
        <v>1944.7</v>
      </c>
      <c r="AS458" s="89" t="n">
        <v>11991.1</v>
      </c>
      <c r="AT458" s="89" t="n">
        <v>7</v>
      </c>
      <c r="AU458" s="90" t="inlineStr">
        <is>
          <t>N/A</t>
        </is>
      </c>
      <c r="AV458" s="89" t="n">
        <v>896.5</v>
      </c>
      <c r="AW458" s="89" t="n">
        <v>969.3</v>
      </c>
      <c r="AX458" s="89" t="n">
        <v>6267.1</v>
      </c>
      <c r="AY458" s="89" t="n">
        <v>6133.7</v>
      </c>
      <c r="AZ458" s="89" t="n">
        <v>5370.6</v>
      </c>
      <c r="BA458" s="89" t="n">
        <v>1067.8</v>
      </c>
      <c r="BB458" s="90" t="inlineStr">
        <is>
          <t>N/A</t>
        </is>
      </c>
      <c r="BC458" s="90" t="inlineStr">
        <is>
          <t>N/A</t>
        </is>
      </c>
      <c r="BD458" s="89" t="n">
        <v>693.1</v>
      </c>
      <c r="BE458" s="89" t="n">
        <v>4546.5</v>
      </c>
      <c r="BF458" s="89" t="n">
        <v>2717.5</v>
      </c>
      <c r="BG458" s="89" t="n">
        <v>759.4</v>
      </c>
      <c r="BH458" s="89" t="n">
        <v>-822.1</v>
      </c>
      <c r="BI458" s="89" t="n">
        <v>-648</v>
      </c>
      <c r="BJ458" s="89" t="n">
        <v>1822.8</v>
      </c>
      <c r="BK458" s="89" t="n">
        <v>1875</v>
      </c>
      <c r="BL458" s="90" t="inlineStr">
        <is>
          <t>N/A</t>
        </is>
      </c>
      <c r="BM458" s="90" t="inlineStr">
        <is>
          <t>N/A</t>
        </is>
      </c>
      <c r="BN458" s="90" t="inlineStr">
        <is>
          <t>N/A</t>
        </is>
      </c>
      <c r="BO458" s="89" t="n">
        <v>6866.2</v>
      </c>
      <c r="BP458" s="89" t="n">
        <v>7093.6</v>
      </c>
      <c r="BQ458" s="89" t="n">
        <v>0</v>
      </c>
      <c r="BR458" s="89" t="n">
        <v>0</v>
      </c>
      <c r="BS458" s="89" t="n">
        <v>0</v>
      </c>
      <c r="BT458" s="89" t="n">
        <v>0</v>
      </c>
      <c r="BU458" s="89" t="n">
        <v>0</v>
      </c>
      <c r="BV458" s="89" t="n">
        <v>0</v>
      </c>
      <c r="BW458" s="89" t="n">
        <v>0</v>
      </c>
      <c r="BX458" s="89" t="n">
        <v>0</v>
      </c>
      <c r="BY458" s="89" t="n">
        <v>0</v>
      </c>
    </row>
    <row r="459" ht="17" customHeight="1">
      <c r="A459" s="82" t="n">
        <v>457</v>
      </c>
      <c r="B459" s="83" t="inlineStr">
        <is>
          <t>MTD</t>
        </is>
      </c>
      <c r="C459" s="84" t="inlineStr">
        <is>
          <t>Mettler-Toledo International Inc.</t>
        </is>
      </c>
      <c r="D459" s="82" t="inlineStr">
        <is>
          <t>Health Care</t>
        </is>
      </c>
      <c r="E459" s="82" t="n">
        <v>2026</v>
      </c>
      <c r="F459" s="85" t="n">
        <v>3712.6</v>
      </c>
      <c r="G459" s="85" t="n">
        <v>1362.7</v>
      </c>
      <c r="H459" s="85" t="n">
        <v>1198.1</v>
      </c>
      <c r="I459" s="85" t="n">
        <v>3736.3</v>
      </c>
      <c r="J459" s="85" t="n">
        <v>9238.200000000001</v>
      </c>
      <c r="K459" s="85" t="n">
        <v>1048.9</v>
      </c>
      <c r="L459" s="85" t="n">
        <v>4026.4</v>
      </c>
      <c r="M459" s="85" t="n">
        <v>869.2</v>
      </c>
      <c r="N459" s="85" t="n">
        <v>955.8</v>
      </c>
      <c r="O459" s="85" t="n">
        <v>2390.6</v>
      </c>
      <c r="P459" s="85" t="n">
        <v>2088.2</v>
      </c>
      <c r="Q459" s="85" t="n">
        <v>-23.6</v>
      </c>
      <c r="R459" s="85" t="n">
        <v>998.3</v>
      </c>
      <c r="S459" s="85" t="n">
        <v>51.1</v>
      </c>
      <c r="T459" s="85" t="n">
        <v>778.2</v>
      </c>
      <c r="U459" s="85" t="n">
        <v>845.6</v>
      </c>
      <c r="V459" s="85" t="n">
        <v>68.5</v>
      </c>
      <c r="W459" s="85" t="n">
        <v>3240</v>
      </c>
      <c r="X459" s="85" t="n">
        <v>1193.9</v>
      </c>
      <c r="Y459" s="85" t="n">
        <v>1168.2</v>
      </c>
      <c r="Z459" s="85" t="n">
        <v>3366.9</v>
      </c>
      <c r="AA459" s="85" t="n">
        <v>1037.2</v>
      </c>
      <c r="AB459" s="85" t="n">
        <v>3872.4</v>
      </c>
      <c r="AC459" s="85" t="n">
        <v>863.1</v>
      </c>
      <c r="AD459" s="85" t="n">
        <v>968.3</v>
      </c>
      <c r="AE459" s="85" t="n">
        <v>2325.6</v>
      </c>
      <c r="AF459" s="85" t="n">
        <v>1831.3</v>
      </c>
      <c r="AG459" s="85" t="n">
        <v>-126.9</v>
      </c>
      <c r="AH459" s="85" t="n">
        <v>3872.4</v>
      </c>
      <c r="AI459" s="85" t="n">
        <v>3240</v>
      </c>
      <c r="AJ459" s="85" t="n">
        <v>1048.9</v>
      </c>
      <c r="AK459" s="85" t="n">
        <v>1037.2</v>
      </c>
      <c r="AL459" s="85" t="n">
        <v>179.7</v>
      </c>
      <c r="AM459" s="85" t="n">
        <v>174.1</v>
      </c>
      <c r="AN459" s="85" t="n">
        <v>107.1</v>
      </c>
      <c r="AO459" s="85" t="n">
        <v>103.9</v>
      </c>
      <c r="AP459" s="85" t="n">
        <v>387.2</v>
      </c>
      <c r="AQ459" s="85" t="n">
        <v>342.3</v>
      </c>
      <c r="AR459" s="85" t="n">
        <v>739.2</v>
      </c>
      <c r="AS459" s="85" t="n">
        <v>278.9</v>
      </c>
      <c r="AT459" s="85" t="n">
        <v>63.9</v>
      </c>
      <c r="AU459" s="85" t="n">
        <v>199.4</v>
      </c>
      <c r="AV459" s="85" t="n">
        <v>69.8</v>
      </c>
      <c r="AW459" s="85" t="n">
        <v>96</v>
      </c>
      <c r="AX459" s="85" t="n">
        <v>2152.2</v>
      </c>
      <c r="AY459" s="85" t="n">
        <v>2013.9</v>
      </c>
      <c r="AZ459" s="85" t="n">
        <v>2082.4</v>
      </c>
      <c r="BA459" s="85" t="n">
        <v>848.6</v>
      </c>
      <c r="BB459" s="85" t="n">
        <v>20.4</v>
      </c>
      <c r="BC459" s="85" t="n">
        <v>20.9</v>
      </c>
      <c r="BD459" s="85" t="n">
        <v>687.1</v>
      </c>
      <c r="BE459" s="85" t="n">
        <v>770.3</v>
      </c>
      <c r="BF459" s="85" t="n">
        <v>936.3</v>
      </c>
      <c r="BG459" s="85" t="n">
        <v>50.4</v>
      </c>
      <c r="BH459" s="85" t="n">
        <v>-193.9</v>
      </c>
      <c r="BI459" s="85" t="n">
        <v>-119.5</v>
      </c>
      <c r="BJ459" s="85" t="n">
        <v>266.6</v>
      </c>
      <c r="BK459" s="85" t="n">
        <v>215.8</v>
      </c>
      <c r="BL459" s="85" t="n">
        <v>229.4</v>
      </c>
      <c r="BM459" s="85" t="n">
        <v>204.2</v>
      </c>
      <c r="BN459" s="85" t="n">
        <v>201.2</v>
      </c>
      <c r="BO459" s="85" t="n">
        <v>833.8</v>
      </c>
      <c r="BP459" s="85" t="n">
        <v>767.8</v>
      </c>
      <c r="BQ459" s="85" t="n">
        <v>0</v>
      </c>
      <c r="BR459" s="85" t="n">
        <v>0</v>
      </c>
      <c r="BS459" s="85" t="n">
        <v>0</v>
      </c>
      <c r="BT459" s="85" t="n">
        <v>0</v>
      </c>
      <c r="BU459" s="85" t="n">
        <v>0</v>
      </c>
      <c r="BV459" s="85" t="n">
        <v>0</v>
      </c>
      <c r="BW459" s="85" t="n">
        <v>0</v>
      </c>
      <c r="BX459" s="85" t="n">
        <v>0</v>
      </c>
      <c r="BY459" s="85" t="n">
        <v>0</v>
      </c>
    </row>
    <row r="460" ht="17" customHeight="1">
      <c r="A460" s="86" t="n">
        <v>458</v>
      </c>
      <c r="B460" s="87" t="inlineStr">
        <is>
          <t>CASY</t>
        </is>
      </c>
      <c r="C460" s="88" t="inlineStr">
        <is>
          <t>CASEY’S GENERAL STORES, INC.</t>
        </is>
      </c>
      <c r="D460" s="86" t="inlineStr">
        <is>
          <t>Consumer Staples</t>
        </is>
      </c>
      <c r="E460" s="86" t="n">
        <v>2026</v>
      </c>
      <c r="F460" s="89" t="n">
        <v>8936.1</v>
      </c>
      <c r="G460" s="89" t="n">
        <v>1364</v>
      </c>
      <c r="H460" s="89" t="n">
        <v>1350.6</v>
      </c>
      <c r="I460" s="89" t="n">
        <v>4984.3</v>
      </c>
      <c r="J460" s="89" t="n">
        <v>3951.7</v>
      </c>
      <c r="K460" s="90" t="inlineStr">
        <is>
          <t>N/A</t>
        </is>
      </c>
      <c r="L460" s="89" t="n">
        <v>17561.1</v>
      </c>
      <c r="M460" s="89" t="n">
        <v>714.4</v>
      </c>
      <c r="N460" s="89" t="n">
        <v>1377.5</v>
      </c>
      <c r="O460" s="89" t="n">
        <v>2144.7</v>
      </c>
      <c r="P460" s="89" t="n">
        <v>2320.9</v>
      </c>
      <c r="Q460" s="89" t="n">
        <v>3951.7</v>
      </c>
      <c r="R460" s="90" t="inlineStr">
        <is>
          <t>N/A</t>
        </is>
      </c>
      <c r="S460" s="89" t="n">
        <v>450</v>
      </c>
      <c r="T460" s="89" t="n">
        <v>37.9</v>
      </c>
      <c r="U460" s="89" t="n">
        <v>3980.5</v>
      </c>
      <c r="V460" s="89" t="n">
        <v>96.59999999999999</v>
      </c>
      <c r="W460" s="89" t="n">
        <v>8208.1</v>
      </c>
      <c r="X460" s="89" t="n">
        <v>1012.9</v>
      </c>
      <c r="Y460" s="89" t="n">
        <v>1101.7</v>
      </c>
      <c r="Z460" s="89" t="n">
        <v>4699.4</v>
      </c>
      <c r="AA460" s="90" t="inlineStr">
        <is>
          <t>N/A</t>
        </is>
      </c>
      <c r="AB460" s="89" t="n">
        <v>15940.9</v>
      </c>
      <c r="AC460" s="89" t="n">
        <v>546.5</v>
      </c>
      <c r="AD460" s="89" t="n">
        <v>1090.9</v>
      </c>
      <c r="AE460" s="89" t="n">
        <v>525.1</v>
      </c>
      <c r="AF460" s="89" t="n">
        <v>2405.4</v>
      </c>
      <c r="AG460" s="89" t="n">
        <v>3508.7</v>
      </c>
      <c r="AH460" s="89" t="n">
        <v>15940.9</v>
      </c>
      <c r="AI460" s="89" t="n">
        <v>8208.1</v>
      </c>
      <c r="AJ460" s="90" t="inlineStr">
        <is>
          <t>N/A</t>
        </is>
      </c>
      <c r="AK460" s="90" t="inlineStr">
        <is>
          <t>N/A</t>
        </is>
      </c>
      <c r="AL460" s="89" t="n">
        <v>222.6</v>
      </c>
      <c r="AM460" s="89" t="n">
        <v>165.9</v>
      </c>
      <c r="AN460" s="89" t="n">
        <v>655.9</v>
      </c>
      <c r="AO460" s="89" t="n">
        <v>506.2</v>
      </c>
      <c r="AP460" s="89" t="n">
        <v>557.2</v>
      </c>
      <c r="AQ460" s="89" t="n">
        <v>480</v>
      </c>
      <c r="AR460" s="89" t="n">
        <v>1268.7</v>
      </c>
      <c r="AS460" s="90" t="inlineStr">
        <is>
          <t>N/A</t>
        </is>
      </c>
      <c r="AT460" s="89" t="n">
        <v>101.4</v>
      </c>
      <c r="AU460" s="90" t="inlineStr">
        <is>
          <t>N/A</t>
        </is>
      </c>
      <c r="AV460" s="89" t="n">
        <v>523</v>
      </c>
      <c r="AW460" s="89" t="n">
        <v>326.7</v>
      </c>
      <c r="AX460" s="89" t="n">
        <v>2422.2</v>
      </c>
      <c r="AY460" s="89" t="n">
        <v>2405.4</v>
      </c>
      <c r="AZ460" s="89" t="n">
        <v>1899.2</v>
      </c>
      <c r="BA460" s="89" t="n">
        <v>721.6</v>
      </c>
      <c r="BB460" s="89" t="n">
        <v>36.9</v>
      </c>
      <c r="BC460" s="89" t="n">
        <v>37.1</v>
      </c>
      <c r="BD460" s="89" t="n">
        <v>45</v>
      </c>
      <c r="BE460" s="89" t="n">
        <v>3493.5</v>
      </c>
      <c r="BF460" s="90" t="inlineStr">
        <is>
          <t>N/A</t>
        </is>
      </c>
      <c r="BG460" s="89" t="n">
        <v>403.6</v>
      </c>
      <c r="BH460" s="89" t="n">
        <v>-755.4</v>
      </c>
      <c r="BI460" s="89" t="n">
        <v>-1726.7</v>
      </c>
      <c r="BJ460" s="89" t="n">
        <v>823.8</v>
      </c>
      <c r="BK460" s="89" t="n">
        <v>620.4</v>
      </c>
      <c r="BL460" s="89" t="n">
        <v>72.7</v>
      </c>
      <c r="BM460" s="89" t="n">
        <v>64.09999999999999</v>
      </c>
      <c r="BN460" s="90" t="inlineStr">
        <is>
          <t>N/A</t>
        </is>
      </c>
      <c r="BO460" s="89" t="n">
        <v>5825.4</v>
      </c>
      <c r="BP460" s="89" t="n">
        <v>5508.5</v>
      </c>
      <c r="BQ460" s="89" t="n">
        <v>0</v>
      </c>
      <c r="BR460" s="89" t="n">
        <v>0</v>
      </c>
      <c r="BS460" s="89" t="n">
        <v>0</v>
      </c>
      <c r="BT460" s="89" t="n">
        <v>0</v>
      </c>
      <c r="BU460" s="89" t="n">
        <v>0</v>
      </c>
      <c r="BV460" s="89" t="n">
        <v>0</v>
      </c>
      <c r="BW460" s="89" t="n">
        <v>0</v>
      </c>
      <c r="BX460" s="89" t="n">
        <v>0</v>
      </c>
      <c r="BY460" s="90" t="inlineStr">
        <is>
          <t>N/A</t>
        </is>
      </c>
    </row>
    <row r="461" ht="17" customHeight="1">
      <c r="A461" s="82" t="n">
        <v>459</v>
      </c>
      <c r="B461" s="83" t="inlineStr">
        <is>
          <t>ICHR</t>
        </is>
      </c>
      <c r="C461" s="84" t="inlineStr">
        <is>
          <t>Ichor Holdings, Ltd.</t>
        </is>
      </c>
      <c r="D461" s="82" t="inlineStr">
        <is>
          <t>Information Technology</t>
        </is>
      </c>
      <c r="E461" s="82" t="n">
        <v>2026</v>
      </c>
      <c r="F461" s="85" t="n">
        <v>942.9</v>
      </c>
      <c r="G461" s="85" t="n">
        <v>410.1</v>
      </c>
      <c r="H461" s="85" t="n">
        <v>129.6</v>
      </c>
      <c r="I461" s="85" t="n">
        <v>279</v>
      </c>
      <c r="J461" s="85" t="n">
        <v>131.1</v>
      </c>
      <c r="K461" s="85" t="n">
        <v>-39.3</v>
      </c>
      <c r="L461" s="85" t="n">
        <v>947.7</v>
      </c>
      <c r="M461" s="85" t="n">
        <v>-52.8</v>
      </c>
      <c r="N461" s="85" t="n">
        <v>29.9</v>
      </c>
      <c r="O461" s="85" t="n">
        <v>87.8</v>
      </c>
      <c r="P461" s="85" t="n">
        <v>123.5</v>
      </c>
      <c r="Q461" s="85" t="n">
        <v>663.9</v>
      </c>
      <c r="R461" s="85" t="n">
        <v>95.7</v>
      </c>
      <c r="S461" s="85" t="n">
        <v>33.5</v>
      </c>
      <c r="T461" s="85" t="n">
        <v>70.5</v>
      </c>
      <c r="U461" s="85" t="n">
        <v>103.9</v>
      </c>
      <c r="V461" s="85" t="n">
        <v>19.4</v>
      </c>
      <c r="W461" s="85" t="n">
        <v>995.6</v>
      </c>
      <c r="X461" s="85" t="n">
        <v>452.6</v>
      </c>
      <c r="Y461" s="85" t="n">
        <v>135.7</v>
      </c>
      <c r="Z461" s="85" t="n">
        <v>297.2</v>
      </c>
      <c r="AA461" s="85" t="n">
        <v>-7.6</v>
      </c>
      <c r="AB461" s="85" t="n">
        <v>849</v>
      </c>
      <c r="AC461" s="85" t="n">
        <v>-20.8</v>
      </c>
      <c r="AD461" s="85" t="n">
        <v>27.9</v>
      </c>
      <c r="AE461" s="85" t="n">
        <v>103.3</v>
      </c>
      <c r="AF461" s="85" t="n">
        <v>128.5</v>
      </c>
      <c r="AG461" s="85" t="n">
        <v>698.3</v>
      </c>
      <c r="AH461" s="85" t="n">
        <v>849</v>
      </c>
      <c r="AI461" s="85" t="n">
        <v>995.6</v>
      </c>
      <c r="AJ461" s="85" t="n">
        <v>-47.6</v>
      </c>
      <c r="AK461" s="85" t="n">
        <v>-18.1</v>
      </c>
      <c r="AL461" s="85" t="n">
        <v>5.2</v>
      </c>
      <c r="AM461" s="85" t="n">
        <v>2.8</v>
      </c>
      <c r="AN461" s="85" t="n">
        <v>36.2</v>
      </c>
      <c r="AO461" s="85" t="n">
        <v>17.6</v>
      </c>
      <c r="AP461" s="85" t="n">
        <v>231.8</v>
      </c>
      <c r="AQ461" s="85" t="n">
        <v>250.1</v>
      </c>
      <c r="AR461" s="85" t="n">
        <v>335.4</v>
      </c>
      <c r="AS461" s="85" t="n">
        <v>40.4</v>
      </c>
      <c r="AT461" s="85" t="n">
        <v>6.2</v>
      </c>
      <c r="AU461" s="85" t="n">
        <v>23.1</v>
      </c>
      <c r="AV461" s="85" t="n">
        <v>98.3</v>
      </c>
      <c r="AW461" s="85" t="n">
        <v>108.7</v>
      </c>
      <c r="AX461" s="85" t="n">
        <v>129.8</v>
      </c>
      <c r="AY461" s="85" t="n">
        <v>128.5</v>
      </c>
      <c r="AZ461" s="85" t="n">
        <v>31.5</v>
      </c>
      <c r="BA461" s="85" t="n">
        <v>-6.3</v>
      </c>
      <c r="BB461" s="85" t="n">
        <v>34.4</v>
      </c>
      <c r="BC461" s="85" t="n">
        <v>33.9</v>
      </c>
      <c r="BD461" s="85" t="n">
        <v>86.59999999999999</v>
      </c>
      <c r="BE461" s="85" t="n">
        <v>94.90000000000001</v>
      </c>
      <c r="BF461" s="85" t="n">
        <v>79.40000000000001</v>
      </c>
      <c r="BG461" s="85" t="n">
        <v>30.7</v>
      </c>
      <c r="BH461" s="85" t="n">
        <v>-36.2</v>
      </c>
      <c r="BI461" s="85" t="n">
        <v>-17.6</v>
      </c>
      <c r="BJ461" s="85" t="n">
        <v>84</v>
      </c>
      <c r="BK461" s="85" t="n">
        <v>91.7</v>
      </c>
      <c r="BL461" s="91" t="inlineStr">
        <is>
          <t>N/A</t>
        </is>
      </c>
      <c r="BM461" s="91" t="inlineStr">
        <is>
          <t>N/A</t>
        </is>
      </c>
      <c r="BN461" s="91" t="inlineStr">
        <is>
          <t>N/A</t>
        </is>
      </c>
      <c r="BO461" s="85" t="n">
        <v>859.9</v>
      </c>
      <c r="BP461" s="85" t="n">
        <v>745.7</v>
      </c>
      <c r="BQ461" s="85" t="n">
        <v>0</v>
      </c>
      <c r="BR461" s="85" t="n">
        <v>0</v>
      </c>
      <c r="BS461" s="85" t="n">
        <v>0</v>
      </c>
      <c r="BT461" s="85" t="n">
        <v>0</v>
      </c>
      <c r="BU461" s="85" t="n">
        <v>0</v>
      </c>
      <c r="BV461" s="85" t="n">
        <v>0</v>
      </c>
      <c r="BW461" s="85" t="n">
        <v>0</v>
      </c>
      <c r="BX461" s="85" t="n">
        <v>0</v>
      </c>
      <c r="BY461" s="85" t="n">
        <v>-0</v>
      </c>
    </row>
    <row r="462" ht="17" customHeight="1">
      <c r="A462" s="86" t="n">
        <v>460</v>
      </c>
      <c r="B462" s="87" t="inlineStr">
        <is>
          <t>FMC</t>
        </is>
      </c>
      <c r="C462" s="88" t="inlineStr">
        <is>
          <t>FMC CORPORATION</t>
        </is>
      </c>
      <c r="D462" s="86" t="inlineStr">
        <is>
          <t>Materials</t>
        </is>
      </c>
      <c r="E462" s="86" t="n">
        <v>2026</v>
      </c>
      <c r="F462" s="89" t="n">
        <v>9687.200000000001</v>
      </c>
      <c r="G462" s="89" t="n">
        <v>4959</v>
      </c>
      <c r="H462" s="89" t="n">
        <v>3755.3</v>
      </c>
      <c r="I462" s="89" t="n">
        <v>9687.200000000001</v>
      </c>
      <c r="J462" s="89" t="n">
        <v>4170.1</v>
      </c>
      <c r="K462" s="89" t="n">
        <v>-1628.3</v>
      </c>
      <c r="L462" s="89" t="n">
        <v>4727.8</v>
      </c>
      <c r="M462" s="89" t="n">
        <v>-2238.9</v>
      </c>
      <c r="N462" s="90" t="inlineStr">
        <is>
          <t>N/A</t>
        </is>
      </c>
      <c r="O462" s="89" t="n">
        <v>1283</v>
      </c>
      <c r="P462" s="89" t="n">
        <v>3355.4</v>
      </c>
      <c r="Q462" s="89" t="n">
        <v>2071.5</v>
      </c>
      <c r="R462" s="89" t="n">
        <v>684.9</v>
      </c>
      <c r="S462" s="89" t="n">
        <v>173.6</v>
      </c>
      <c r="T462" s="89" t="n">
        <v>2062</v>
      </c>
      <c r="U462" s="89" t="n">
        <v>707.4</v>
      </c>
      <c r="V462" s="89" t="n">
        <v>237.2</v>
      </c>
      <c r="W462" s="89" t="n">
        <v>11653.3</v>
      </c>
      <c r="X462" s="89" t="n">
        <v>4958.3</v>
      </c>
      <c r="Y462" s="89" t="n">
        <v>3019.2</v>
      </c>
      <c r="Z462" s="89" t="n">
        <v>11653.3</v>
      </c>
      <c r="AA462" s="89" t="n">
        <v>-1416.6</v>
      </c>
      <c r="AB462" s="89" t="n">
        <v>2878.6</v>
      </c>
      <c r="AC462" s="89" t="n">
        <v>-1720.8</v>
      </c>
      <c r="AD462" s="90" t="inlineStr">
        <is>
          <t>N/A</t>
        </is>
      </c>
      <c r="AE462" s="89" t="n">
        <v>431.1</v>
      </c>
      <c r="AF462" s="89" t="n">
        <v>3104</v>
      </c>
      <c r="AG462" s="89" t="n">
        <v>4487.5</v>
      </c>
      <c r="AH462" s="89" t="n">
        <v>2878.6</v>
      </c>
      <c r="AI462" s="89" t="n">
        <v>11653.3</v>
      </c>
      <c r="AJ462" s="89" t="n">
        <v>-1886.6</v>
      </c>
      <c r="AK462" s="89" t="n">
        <v>252.5</v>
      </c>
      <c r="AL462" s="89" t="n">
        <v>314.2</v>
      </c>
      <c r="AM462" s="89" t="n">
        <v>-150.9</v>
      </c>
      <c r="AN462" s="89" t="n">
        <v>96.3</v>
      </c>
      <c r="AO462" s="89" t="n">
        <v>67.90000000000001</v>
      </c>
      <c r="AP462" s="89" t="n">
        <v>1219.6</v>
      </c>
      <c r="AQ462" s="89" t="n">
        <v>1201.6</v>
      </c>
      <c r="AR462" s="90" t="inlineStr">
        <is>
          <t>N/A</t>
        </is>
      </c>
      <c r="AS462" s="89" t="n">
        <v>739.1</v>
      </c>
      <c r="AT462" s="89" t="n">
        <v>719.5</v>
      </c>
      <c r="AU462" s="89" t="n">
        <v>266.1</v>
      </c>
      <c r="AV462" s="89" t="n">
        <v>584.5</v>
      </c>
      <c r="AW462" s="89" t="n">
        <v>357.3</v>
      </c>
      <c r="AX462" s="89" t="n">
        <v>4074.9</v>
      </c>
      <c r="AY462" s="89" t="n">
        <v>3365.3</v>
      </c>
      <c r="AZ462" s="89" t="n">
        <v>3490.4</v>
      </c>
      <c r="BA462" s="90" t="inlineStr">
        <is>
          <t>N/A</t>
        </is>
      </c>
      <c r="BB462" s="89" t="n">
        <v>186</v>
      </c>
      <c r="BC462" s="89" t="n">
        <v>186</v>
      </c>
      <c r="BD462" s="89" t="n">
        <v>2903.2</v>
      </c>
      <c r="BE462" s="89" t="n">
        <v>849.7</v>
      </c>
      <c r="BF462" s="89" t="n">
        <v>644.6</v>
      </c>
      <c r="BG462" s="89" t="n">
        <v>176.3</v>
      </c>
      <c r="BH462" s="89" t="n">
        <v>-99.7</v>
      </c>
      <c r="BI462" s="89" t="n">
        <v>263.6</v>
      </c>
      <c r="BJ462" s="89" t="n">
        <v>771</v>
      </c>
      <c r="BK462" s="89" t="n">
        <v>768.5</v>
      </c>
      <c r="BL462" s="89" t="n">
        <v>453.1</v>
      </c>
      <c r="BM462" s="89" t="n">
        <v>453.8</v>
      </c>
      <c r="BN462" s="89" t="n">
        <v>24</v>
      </c>
      <c r="BO462" s="89" t="n">
        <v>2184.4</v>
      </c>
      <c r="BP462" s="89" t="n">
        <v>2597.2</v>
      </c>
      <c r="BQ462" s="89" t="n">
        <v>0</v>
      </c>
      <c r="BR462" s="89" t="n">
        <v>0</v>
      </c>
      <c r="BS462" s="89" t="n">
        <v>0</v>
      </c>
      <c r="BT462" s="89" t="n">
        <v>0</v>
      </c>
      <c r="BU462" s="89" t="n">
        <v>0</v>
      </c>
      <c r="BV462" s="89" t="n">
        <v>0</v>
      </c>
      <c r="BW462" s="89" t="n">
        <v>0</v>
      </c>
      <c r="BX462" s="90" t="inlineStr">
        <is>
          <t>N/A</t>
        </is>
      </c>
      <c r="BY462" s="89" t="n">
        <v>-0</v>
      </c>
    </row>
    <row r="463" ht="17" customHeight="1">
      <c r="A463" s="82" t="n">
        <v>461</v>
      </c>
      <c r="B463" s="83" t="inlineStr">
        <is>
          <t>BURL</t>
        </is>
      </c>
      <c r="C463" s="84" t="inlineStr">
        <is>
          <t>BURLINGTON STORES, INC.</t>
        </is>
      </c>
      <c r="D463" s="82" t="inlineStr">
        <is>
          <t>Consumer Discretionary</t>
        </is>
      </c>
      <c r="E463" s="82" t="n">
        <v>2026</v>
      </c>
      <c r="F463" s="85" t="n">
        <v>9919.1</v>
      </c>
      <c r="G463" s="85" t="n">
        <v>2771.5</v>
      </c>
      <c r="H463" s="85" t="n">
        <v>2249.2</v>
      </c>
      <c r="I463" s="85" t="n">
        <v>9919.1</v>
      </c>
      <c r="J463" s="85" t="n">
        <v>2097.9</v>
      </c>
      <c r="K463" s="85" t="n">
        <v>816.1</v>
      </c>
      <c r="L463" s="85" t="n">
        <v>11566.9</v>
      </c>
      <c r="M463" s="85" t="n">
        <v>610.2</v>
      </c>
      <c r="N463" s="85" t="n">
        <v>1231.4</v>
      </c>
      <c r="O463" s="85" t="n">
        <v>969.5</v>
      </c>
      <c r="P463" s="85" t="n">
        <v>2027.7</v>
      </c>
      <c r="Q463" s="85" t="n">
        <v>1807.3</v>
      </c>
      <c r="R463" s="85" t="n">
        <v>3817.2</v>
      </c>
      <c r="S463" s="85" t="n">
        <v>417.9</v>
      </c>
      <c r="T463" s="85" t="n">
        <v>105.3</v>
      </c>
      <c r="U463" s="85" t="n">
        <v>3164.2</v>
      </c>
      <c r="V463" s="85" t="n">
        <v>49.1</v>
      </c>
      <c r="W463" s="85" t="n">
        <v>8770.4</v>
      </c>
      <c r="X463" s="85" t="n">
        <v>2628.8</v>
      </c>
      <c r="Y463" s="85" t="n">
        <v>2272.5</v>
      </c>
      <c r="Z463" s="85" t="n">
        <v>8770.4</v>
      </c>
      <c r="AA463" s="85" t="n">
        <v>674.8</v>
      </c>
      <c r="AB463" s="85" t="n">
        <v>10634.8</v>
      </c>
      <c r="AC463" s="85" t="n">
        <v>503.6</v>
      </c>
      <c r="AD463" s="85" t="n">
        <v>863.4</v>
      </c>
      <c r="AE463" s="85" t="n">
        <v>748.9</v>
      </c>
      <c r="AF463" s="85" t="n">
        <v>1700.1</v>
      </c>
      <c r="AG463" s="85" t="n">
        <v>1370.5</v>
      </c>
      <c r="AH463" s="85" t="n">
        <v>10634.8</v>
      </c>
      <c r="AI463" s="85" t="n">
        <v>8770.4</v>
      </c>
      <c r="AJ463" s="85" t="n">
        <v>816.1</v>
      </c>
      <c r="AK463" s="85" t="n">
        <v>674.8</v>
      </c>
      <c r="AL463" s="85" t="n">
        <v>206</v>
      </c>
      <c r="AM463" s="85" t="n">
        <v>171.2</v>
      </c>
      <c r="AN463" s="85" t="n">
        <v>1059.8</v>
      </c>
      <c r="AO463" s="85" t="n">
        <v>880.4</v>
      </c>
      <c r="AP463" s="85" t="n">
        <v>1311.9</v>
      </c>
      <c r="AQ463" s="85" t="n">
        <v>1250.8</v>
      </c>
      <c r="AR463" s="85" t="n">
        <v>47.1</v>
      </c>
      <c r="AS463" s="85" t="n">
        <v>0.7</v>
      </c>
      <c r="AT463" s="85" t="n">
        <v>50.6</v>
      </c>
      <c r="AU463" s="91" t="inlineStr">
        <is>
          <t>N/A</t>
        </is>
      </c>
      <c r="AV463" s="85" t="n">
        <v>1232.5</v>
      </c>
      <c r="AW463" s="85" t="n">
        <v>994.7</v>
      </c>
      <c r="AX463" s="85" t="n">
        <v>2078.3</v>
      </c>
      <c r="AY463" s="85" t="n">
        <v>1700.1</v>
      </c>
      <c r="AZ463" s="85" t="n">
        <v>845.8</v>
      </c>
      <c r="BA463" s="85" t="n">
        <v>171.6</v>
      </c>
      <c r="BB463" s="85" t="n">
        <v>62.7</v>
      </c>
      <c r="BC463" s="85" t="n">
        <v>63.3</v>
      </c>
      <c r="BD463" s="85" t="n">
        <v>88.09999999999999</v>
      </c>
      <c r="BE463" s="85" t="n">
        <v>2369.7</v>
      </c>
      <c r="BF463" s="85" t="n">
        <v>3547</v>
      </c>
      <c r="BG463" s="85" t="n">
        <v>347.6</v>
      </c>
      <c r="BH463" s="85" t="n">
        <v>-1055</v>
      </c>
      <c r="BI463" s="85" t="n">
        <v>-882.3</v>
      </c>
      <c r="BJ463" s="85" t="n">
        <v>1019.2</v>
      </c>
      <c r="BK463" s="85" t="n">
        <v>1038.1</v>
      </c>
      <c r="BL463" s="91" t="inlineStr">
        <is>
          <t>N/A</t>
        </is>
      </c>
      <c r="BM463" s="91" t="inlineStr">
        <is>
          <t>N/A</t>
        </is>
      </c>
      <c r="BN463" s="91" t="inlineStr">
        <is>
          <t>N/A</t>
        </is>
      </c>
      <c r="BO463" s="85" t="n">
        <v>6486.9</v>
      </c>
      <c r="BP463" s="85" t="n">
        <v>6025.3</v>
      </c>
      <c r="BQ463" s="85" t="n">
        <v>0</v>
      </c>
      <c r="BR463" s="85" t="n">
        <v>0</v>
      </c>
      <c r="BS463" s="85" t="n">
        <v>0</v>
      </c>
      <c r="BT463" s="85" t="n">
        <v>0</v>
      </c>
      <c r="BU463" s="85" t="n">
        <v>0</v>
      </c>
      <c r="BV463" s="85" t="n">
        <v>0</v>
      </c>
      <c r="BW463" s="85" t="n">
        <v>0</v>
      </c>
      <c r="BX463" s="85" t="n">
        <v>0</v>
      </c>
      <c r="BY463" s="85" t="n">
        <v>0</v>
      </c>
    </row>
    <row r="464" ht="17" customHeight="1">
      <c r="A464" s="86" t="n">
        <v>462</v>
      </c>
      <c r="B464" s="87" t="inlineStr">
        <is>
          <t>SLAB</t>
        </is>
      </c>
      <c r="C464" s="88" t="inlineStr">
        <is>
          <t>SILICON LABORATORIES INC.</t>
        </is>
      </c>
      <c r="D464" s="86" t="inlineStr">
        <is>
          <t>Information Technology</t>
        </is>
      </c>
      <c r="E464" s="86" t="n">
        <v>2026</v>
      </c>
      <c r="F464" s="89" t="n">
        <v>1269.3</v>
      </c>
      <c r="G464" s="89" t="n">
        <v>674</v>
      </c>
      <c r="H464" s="89" t="n">
        <v>143.8</v>
      </c>
      <c r="I464" s="89" t="n">
        <v>174.9</v>
      </c>
      <c r="J464" s="89" t="n">
        <v>936.8</v>
      </c>
      <c r="K464" s="89" t="n">
        <v>-70.5</v>
      </c>
      <c r="L464" s="89" t="n">
        <v>491.6</v>
      </c>
      <c r="M464" s="89" t="n">
        <v>-64.90000000000001</v>
      </c>
      <c r="N464" s="89" t="n">
        <v>95.7</v>
      </c>
      <c r="O464" s="89" t="n">
        <v>457</v>
      </c>
      <c r="P464" s="89" t="n">
        <v>72.5</v>
      </c>
      <c r="Q464" s="89" t="n">
        <v>1094.4</v>
      </c>
      <c r="R464" s="89" t="n">
        <v>174.3</v>
      </c>
      <c r="S464" s="89" t="n">
        <v>24.7</v>
      </c>
      <c r="T464" s="89" t="n">
        <v>64.5</v>
      </c>
      <c r="U464" s="89" t="n">
        <v>128.6</v>
      </c>
      <c r="V464" s="89" t="n">
        <v>5.6</v>
      </c>
      <c r="W464" s="89" t="n">
        <v>1222.7</v>
      </c>
      <c r="X464" s="89" t="n">
        <v>602</v>
      </c>
      <c r="Y464" s="89" t="n">
        <v>97.90000000000001</v>
      </c>
      <c r="Z464" s="89" t="n">
        <v>142.7</v>
      </c>
      <c r="AA464" s="89" t="n">
        <v>-165.5</v>
      </c>
      <c r="AB464" s="89" t="n">
        <v>493.3</v>
      </c>
      <c r="AC464" s="89" t="n">
        <v>-191</v>
      </c>
      <c r="AD464" s="89" t="n">
        <v>-13.9</v>
      </c>
      <c r="AE464" s="89" t="n">
        <v>312.2</v>
      </c>
      <c r="AF464" s="89" t="n">
        <v>72.5</v>
      </c>
      <c r="AG464" s="89" t="n">
        <v>1080</v>
      </c>
      <c r="AH464" s="89" t="n">
        <v>441</v>
      </c>
      <c r="AI464" s="89" t="n">
        <v>1222.7</v>
      </c>
      <c r="AJ464" s="89" t="n">
        <v>-57.9</v>
      </c>
      <c r="AK464" s="89" t="n">
        <v>-154.8</v>
      </c>
      <c r="AL464" s="89" t="n">
        <v>7</v>
      </c>
      <c r="AM464" s="89" t="n">
        <v>36.2</v>
      </c>
      <c r="AN464" s="89" t="n">
        <v>29.9</v>
      </c>
      <c r="AO464" s="89" t="n">
        <v>11.7</v>
      </c>
      <c r="AP464" s="89" t="n">
        <v>95.59999999999999</v>
      </c>
      <c r="AQ464" s="89" t="n">
        <v>105.6</v>
      </c>
      <c r="AR464" s="89" t="n">
        <v>376.4</v>
      </c>
      <c r="AS464" s="89" t="n">
        <v>23.1</v>
      </c>
      <c r="AT464" s="89" t="n">
        <v>10</v>
      </c>
      <c r="AU464" s="89" t="n">
        <v>353.2</v>
      </c>
      <c r="AV464" s="89" t="n">
        <v>364.2</v>
      </c>
      <c r="AW464" s="89" t="n">
        <v>281.6</v>
      </c>
      <c r="AX464" s="89" t="n">
        <v>82.5</v>
      </c>
      <c r="AY464" s="89" t="n">
        <v>72.5</v>
      </c>
      <c r="AZ464" s="89" t="n">
        <v>-281.7</v>
      </c>
      <c r="BA464" s="89" t="n">
        <v>65.8</v>
      </c>
      <c r="BB464" s="89" t="n">
        <v>33</v>
      </c>
      <c r="BC464" s="89" t="n">
        <v>32.5</v>
      </c>
      <c r="BD464" s="89" t="n">
        <v>54.5</v>
      </c>
      <c r="BE464" s="89" t="n">
        <v>132.1</v>
      </c>
      <c r="BF464" s="89" t="n">
        <v>145.5</v>
      </c>
      <c r="BG464" s="89" t="n">
        <v>25.6</v>
      </c>
      <c r="BH464" s="89" t="n">
        <v>-12</v>
      </c>
      <c r="BI464" s="89" t="n">
        <v>113.1</v>
      </c>
      <c r="BJ464" s="89" t="n">
        <v>50.7</v>
      </c>
      <c r="BK464" s="89" t="n">
        <v>42.4</v>
      </c>
      <c r="BL464" s="90" t="inlineStr">
        <is>
          <t>N/A</t>
        </is>
      </c>
      <c r="BM464" s="90" t="inlineStr">
        <is>
          <t>N/A</t>
        </is>
      </c>
      <c r="BN464" s="89" t="n">
        <v>1.2</v>
      </c>
      <c r="BO464" s="89" t="n">
        <v>327.8</v>
      </c>
      <c r="BP464" s="89" t="n">
        <v>272.2</v>
      </c>
      <c r="BQ464" s="89" t="n">
        <v>0</v>
      </c>
      <c r="BR464" s="89" t="n">
        <v>0</v>
      </c>
      <c r="BS464" s="89" t="n">
        <v>0</v>
      </c>
      <c r="BT464" s="89" t="n">
        <v>0</v>
      </c>
      <c r="BU464" s="89" t="n">
        <v>0</v>
      </c>
      <c r="BV464" s="89" t="n">
        <v>0</v>
      </c>
      <c r="BW464" s="89" t="n">
        <v>0</v>
      </c>
      <c r="BX464" s="89" t="n">
        <v>0</v>
      </c>
      <c r="BY464" s="89" t="n">
        <v>-0</v>
      </c>
    </row>
    <row r="465" ht="17" customHeight="1">
      <c r="A465" s="82" t="n">
        <v>463</v>
      </c>
      <c r="B465" s="83" t="inlineStr">
        <is>
          <t>KDP</t>
        </is>
      </c>
      <c r="C465" s="84" t="inlineStr">
        <is>
          <t>Keurig Dr Pepper Inc.</t>
        </is>
      </c>
      <c r="D465" s="82" t="inlineStr">
        <is>
          <t>Consumer Staples</t>
        </is>
      </c>
      <c r="E465" s="82" t="n">
        <v>2026</v>
      </c>
      <c r="F465" s="85" t="n">
        <v>55459</v>
      </c>
      <c r="G465" s="85" t="n">
        <v>5266</v>
      </c>
      <c r="H465" s="85" t="n">
        <v>8290</v>
      </c>
      <c r="I465" s="85" t="n">
        <v>29943</v>
      </c>
      <c r="J465" s="85" t="n">
        <v>5622</v>
      </c>
      <c r="K465" s="85" t="n">
        <v>3575</v>
      </c>
      <c r="L465" s="85" t="n">
        <v>16603</v>
      </c>
      <c r="M465" s="85" t="n">
        <v>2079</v>
      </c>
      <c r="N465" s="85" t="n">
        <v>1991</v>
      </c>
      <c r="O465" s="85" t="n">
        <v>8999</v>
      </c>
      <c r="P465" s="85" t="n">
        <v>11568</v>
      </c>
      <c r="Q465" s="85" t="n">
        <v>25516</v>
      </c>
      <c r="R465" s="85" t="n">
        <v>5351</v>
      </c>
      <c r="S465" s="85" t="n">
        <v>102</v>
      </c>
      <c r="T465" s="85" t="n">
        <v>1671</v>
      </c>
      <c r="U465" s="85" t="n">
        <v>3230</v>
      </c>
      <c r="V465" s="85" t="n">
        <v>496</v>
      </c>
      <c r="W465" s="85" t="n">
        <v>53430</v>
      </c>
      <c r="X465" s="85" t="n">
        <v>3997</v>
      </c>
      <c r="Y465" s="85" t="n">
        <v>8087</v>
      </c>
      <c r="Z465" s="85" t="n">
        <v>29187</v>
      </c>
      <c r="AA465" s="85" t="n">
        <v>2591</v>
      </c>
      <c r="AB465" s="85" t="n">
        <v>15351</v>
      </c>
      <c r="AC465" s="85" t="n">
        <v>1441</v>
      </c>
      <c r="AD465" s="85" t="n">
        <v>2219</v>
      </c>
      <c r="AE465" s="85" t="n">
        <v>8529</v>
      </c>
      <c r="AF465" s="85" t="n">
        <v>11733</v>
      </c>
      <c r="AG465" s="85" t="n">
        <v>24243</v>
      </c>
      <c r="AH465" s="85" t="n">
        <v>15351</v>
      </c>
      <c r="AI465" s="85" t="n">
        <v>53430</v>
      </c>
      <c r="AJ465" s="85" t="n">
        <v>2687</v>
      </c>
      <c r="AK465" s="85" t="n">
        <v>1914</v>
      </c>
      <c r="AL465" s="85" t="n">
        <v>608</v>
      </c>
      <c r="AM465" s="85" t="n">
        <v>473</v>
      </c>
      <c r="AN465" s="85" t="n">
        <v>486</v>
      </c>
      <c r="AO465" s="85" t="n">
        <v>563</v>
      </c>
      <c r="AP465" s="85" t="n">
        <v>1733</v>
      </c>
      <c r="AQ465" s="85" t="n">
        <v>1299</v>
      </c>
      <c r="AR465" s="85" t="n">
        <v>20247</v>
      </c>
      <c r="AS465" s="85" t="n">
        <v>1135</v>
      </c>
      <c r="AT465" s="85" t="n">
        <v>3105</v>
      </c>
      <c r="AU465" s="85" t="n">
        <v>70</v>
      </c>
      <c r="AV465" s="85" t="n">
        <v>1026</v>
      </c>
      <c r="AW465" s="85" t="n">
        <v>510</v>
      </c>
      <c r="AX465" s="85" t="n">
        <v>14673</v>
      </c>
      <c r="AY465" s="85" t="n">
        <v>14375</v>
      </c>
      <c r="AZ465" s="85" t="n">
        <v>13647</v>
      </c>
      <c r="BA465" s="85" t="n">
        <v>1505</v>
      </c>
      <c r="BB465" s="85" t="n">
        <v>1358.7</v>
      </c>
      <c r="BC465" s="85" t="n">
        <v>1356.7</v>
      </c>
      <c r="BD465" s="85" t="n">
        <v>1502</v>
      </c>
      <c r="BE465" s="85" t="n">
        <v>2964</v>
      </c>
      <c r="BF465" s="85" t="n">
        <v>5013</v>
      </c>
      <c r="BG465" s="85" t="n">
        <v>99</v>
      </c>
      <c r="BH465" s="85" t="n">
        <v>-573</v>
      </c>
      <c r="BI465" s="85" t="n">
        <v>-1614</v>
      </c>
      <c r="BJ465" s="85" t="n">
        <v>2996</v>
      </c>
      <c r="BK465" s="85" t="n">
        <v>2985</v>
      </c>
      <c r="BL465" s="85" t="n">
        <v>64</v>
      </c>
      <c r="BM465" s="85" t="n">
        <v>64</v>
      </c>
      <c r="BN465" s="85" t="n">
        <v>67</v>
      </c>
      <c r="BO465" s="85" t="n">
        <v>7604</v>
      </c>
      <c r="BP465" s="85" t="n">
        <v>6822</v>
      </c>
      <c r="BQ465" s="85" t="n">
        <v>0</v>
      </c>
      <c r="BR465" s="85" t="n">
        <v>0</v>
      </c>
      <c r="BS465" s="85" t="n">
        <v>0</v>
      </c>
      <c r="BT465" s="85" t="n">
        <v>0</v>
      </c>
      <c r="BU465" s="85" t="n">
        <v>0</v>
      </c>
      <c r="BV465" s="85" t="n">
        <v>0</v>
      </c>
      <c r="BW465" s="85" t="n">
        <v>0</v>
      </c>
      <c r="BX465" s="85" t="n">
        <v>0</v>
      </c>
      <c r="BY465" s="85" t="n">
        <v>0</v>
      </c>
    </row>
    <row r="466" ht="17" customHeight="1">
      <c r="A466" s="86" t="n">
        <v>464</v>
      </c>
      <c r="B466" s="87" t="inlineStr">
        <is>
          <t>CMG</t>
        </is>
      </c>
      <c r="C466" s="88" t="inlineStr">
        <is>
          <t>CHIPOTLE MEXICAN GRILL, INC.</t>
        </is>
      </c>
      <c r="D466" s="86" t="inlineStr">
        <is>
          <t>Consumer Discretionary</t>
        </is>
      </c>
      <c r="E466" s="86" t="n">
        <v>2026</v>
      </c>
      <c r="F466" s="89" t="n">
        <v>8994.5</v>
      </c>
      <c r="G466" s="89" t="n">
        <v>1467</v>
      </c>
      <c r="H466" s="89" t="n">
        <v>1188.1</v>
      </c>
      <c r="I466" s="89" t="n">
        <v>6163.9</v>
      </c>
      <c r="J466" s="89" t="n">
        <v>619.9</v>
      </c>
      <c r="K466" s="89" t="n">
        <v>1935.8</v>
      </c>
      <c r="L466" s="89" t="n">
        <v>11925.6</v>
      </c>
      <c r="M466" s="89" t="n">
        <v>1535.8</v>
      </c>
      <c r="N466" s="89" t="n">
        <v>2113.9</v>
      </c>
      <c r="O466" s="90" t="inlineStr">
        <is>
          <t>N/A</t>
        </is>
      </c>
      <c r="P466" s="90" t="inlineStr">
        <is>
          <t>N/A</t>
        </is>
      </c>
      <c r="Q466" s="89" t="n">
        <v>2830.6</v>
      </c>
      <c r="R466" s="89" t="n">
        <v>652</v>
      </c>
      <c r="S466" s="89" t="n">
        <v>361.4</v>
      </c>
      <c r="T466" s="89" t="n">
        <v>156.5</v>
      </c>
      <c r="U466" s="89" t="n">
        <v>2679.4</v>
      </c>
      <c r="V466" s="90" t="inlineStr">
        <is>
          <t>N/A</t>
        </is>
      </c>
      <c r="W466" s="89" t="n">
        <v>9204.4</v>
      </c>
      <c r="X466" s="89" t="n">
        <v>1780.6</v>
      </c>
      <c r="Y466" s="89" t="n">
        <v>1168.8</v>
      </c>
      <c r="Z466" s="89" t="n">
        <v>5548.8</v>
      </c>
      <c r="AA466" s="89" t="n">
        <v>1916.3</v>
      </c>
      <c r="AB466" s="89" t="n">
        <v>11313.9</v>
      </c>
      <c r="AC466" s="89" t="n">
        <v>1534.1</v>
      </c>
      <c r="AD466" s="89" t="n">
        <v>2105.1</v>
      </c>
      <c r="AE466" s="90" t="inlineStr">
        <is>
          <t>N/A</t>
        </is>
      </c>
      <c r="AF466" s="90" t="inlineStr">
        <is>
          <t>N/A</t>
        </is>
      </c>
      <c r="AG466" s="89" t="n">
        <v>3655.5</v>
      </c>
      <c r="AH466" s="89" t="n">
        <v>11313.9</v>
      </c>
      <c r="AI466" s="89" t="n">
        <v>9204.4</v>
      </c>
      <c r="AJ466" s="89" t="n">
        <v>2009.5</v>
      </c>
      <c r="AK466" s="89" t="n">
        <v>2010.2</v>
      </c>
      <c r="AL466" s="89" t="n">
        <v>473.8</v>
      </c>
      <c r="AM466" s="89" t="n">
        <v>476.1</v>
      </c>
      <c r="AN466" s="89" t="n">
        <v>666.3</v>
      </c>
      <c r="AO466" s="89" t="n">
        <v>593.6</v>
      </c>
      <c r="AP466" s="89" t="n">
        <v>49.5</v>
      </c>
      <c r="AQ466" s="89" t="n">
        <v>48.9</v>
      </c>
      <c r="AR466" s="89" t="n">
        <v>21.9</v>
      </c>
      <c r="AS466" s="90" t="inlineStr">
        <is>
          <t>N/A</t>
        </is>
      </c>
      <c r="AT466" s="90" t="inlineStr">
        <is>
          <t>N/A</t>
        </is>
      </c>
      <c r="AU466" s="90" t="inlineStr">
        <is>
          <t>N/A</t>
        </is>
      </c>
      <c r="AV466" s="89" t="n">
        <v>350.5</v>
      </c>
      <c r="AW466" s="89" t="n">
        <v>748.5</v>
      </c>
      <c r="AX466" s="90" t="inlineStr">
        <is>
          <t>N/A</t>
        </is>
      </c>
      <c r="AY466" s="90" t="inlineStr">
        <is>
          <t>N/A</t>
        </is>
      </c>
      <c r="AZ466" s="89" t="n">
        <v>-350.5</v>
      </c>
      <c r="BA466" s="89" t="n">
        <v>1447.6</v>
      </c>
      <c r="BB466" s="89" t="n">
        <v>1304.4</v>
      </c>
      <c r="BC466" s="89" t="n">
        <v>1358.8</v>
      </c>
      <c r="BD466" s="89" t="n">
        <v>144</v>
      </c>
      <c r="BE466" s="89" t="n">
        <v>2390.1</v>
      </c>
      <c r="BF466" s="89" t="n">
        <v>697.5</v>
      </c>
      <c r="BG466" s="89" t="n">
        <v>335</v>
      </c>
      <c r="BH466" s="89" t="n">
        <v>-35.1</v>
      </c>
      <c r="BI466" s="89" t="n">
        <v>-837.5</v>
      </c>
      <c r="BJ466" s="89" t="n">
        <v>212.8</v>
      </c>
      <c r="BK466" s="89" t="n">
        <v>210.7</v>
      </c>
      <c r="BL466" s="89" t="n">
        <v>209.7</v>
      </c>
      <c r="BM466" s="89" t="n">
        <v>183.1</v>
      </c>
      <c r="BN466" s="90" t="inlineStr">
        <is>
          <t>N/A</t>
        </is>
      </c>
      <c r="BO466" s="90" t="inlineStr">
        <is>
          <t>N/A</t>
        </is>
      </c>
      <c r="BP466" s="90" t="inlineStr">
        <is>
          <t>N/A</t>
        </is>
      </c>
      <c r="BQ466" s="89" t="n">
        <v>0</v>
      </c>
      <c r="BR466" s="89" t="n">
        <v>0</v>
      </c>
      <c r="BS466" s="90" t="inlineStr">
        <is>
          <t>N/A</t>
        </is>
      </c>
      <c r="BT466" s="90" t="inlineStr">
        <is>
          <t>N/A</t>
        </is>
      </c>
      <c r="BU466" s="90" t="inlineStr">
        <is>
          <t>N/A</t>
        </is>
      </c>
      <c r="BV466" s="90" t="inlineStr">
        <is>
          <t>N/A</t>
        </is>
      </c>
      <c r="BW466" s="89" t="n">
        <v>0</v>
      </c>
      <c r="BX466" s="89" t="n">
        <v>0</v>
      </c>
      <c r="BY466" s="89" t="n">
        <v>0</v>
      </c>
    </row>
    <row r="467" ht="17" customHeight="1">
      <c r="A467" s="82" t="n">
        <v>465</v>
      </c>
      <c r="B467" s="83" t="inlineStr">
        <is>
          <t>TMUS</t>
        </is>
      </c>
      <c r="C467" s="84" t="inlineStr">
        <is>
          <t>T-Mobile US, Inc.</t>
        </is>
      </c>
      <c r="D467" s="82" t="inlineStr">
        <is>
          <t>Communication Services</t>
        </is>
      </c>
      <c r="E467" s="82" t="n">
        <v>2026</v>
      </c>
      <c r="F467" s="85" t="n">
        <v>219237</v>
      </c>
      <c r="G467" s="85" t="n">
        <v>24461</v>
      </c>
      <c r="H467" s="85" t="n">
        <v>24500</v>
      </c>
      <c r="I467" s="85" t="n">
        <v>6830.5</v>
      </c>
      <c r="J467" s="85" t="n">
        <v>21136</v>
      </c>
      <c r="K467" s="85" t="n">
        <v>18279</v>
      </c>
      <c r="L467" s="85" t="n">
        <v>40604</v>
      </c>
      <c r="M467" s="85" t="n">
        <v>10992</v>
      </c>
      <c r="N467" s="85" t="n">
        <v>27950</v>
      </c>
      <c r="O467" s="85" t="n">
        <v>37673.9</v>
      </c>
      <c r="P467" s="85" t="n">
        <v>86282</v>
      </c>
      <c r="Q467" s="85" t="n">
        <v>59203</v>
      </c>
      <c r="R467" s="85" t="n">
        <v>23470</v>
      </c>
      <c r="S467" s="85" t="n">
        <v>13508</v>
      </c>
      <c r="T467" s="85" t="n">
        <v>4874</v>
      </c>
      <c r="U467" s="85" t="n">
        <v>38333</v>
      </c>
      <c r="V467" s="85" t="n">
        <v>835</v>
      </c>
      <c r="W467" s="85" t="n">
        <v>208035</v>
      </c>
      <c r="X467" s="85" t="n">
        <v>18404</v>
      </c>
      <c r="Y467" s="85" t="n">
        <v>20174</v>
      </c>
      <c r="Z467" s="85" t="n">
        <v>6555.3</v>
      </c>
      <c r="AA467" s="85" t="n">
        <v>18010</v>
      </c>
      <c r="AB467" s="85" t="n">
        <v>10759</v>
      </c>
      <c r="AC467" s="85" t="n">
        <v>11339</v>
      </c>
      <c r="AD467" s="85" t="n">
        <v>22293</v>
      </c>
      <c r="AE467" s="85" t="n">
        <v>7845.6</v>
      </c>
      <c r="AF467" s="85" t="n">
        <v>78265</v>
      </c>
      <c r="AG467" s="85" t="n">
        <v>61741</v>
      </c>
      <c r="AH467" s="85" t="n">
        <v>10019</v>
      </c>
      <c r="AI467" s="85" t="n">
        <v>208035</v>
      </c>
      <c r="AJ467" s="85" t="n">
        <v>14281</v>
      </c>
      <c r="AK467" s="85" t="n">
        <v>14712</v>
      </c>
      <c r="AL467" s="85" t="n">
        <v>3289</v>
      </c>
      <c r="AM467" s="85" t="n">
        <v>3373</v>
      </c>
      <c r="AN467" s="85" t="n">
        <v>9955</v>
      </c>
      <c r="AO467" s="85" t="n">
        <v>8840</v>
      </c>
      <c r="AP467" s="85" t="n">
        <v>2405</v>
      </c>
      <c r="AQ467" s="85" t="n">
        <v>1607</v>
      </c>
      <c r="AR467" s="85" t="n">
        <v>13678</v>
      </c>
      <c r="AS467" s="85" t="n">
        <v>3843</v>
      </c>
      <c r="AT467" s="85" t="n">
        <v>5135</v>
      </c>
      <c r="AU467" s="91" t="inlineStr">
        <is>
          <t>N/A</t>
        </is>
      </c>
      <c r="AV467" s="85" t="n">
        <v>5598</v>
      </c>
      <c r="AW467" s="85" t="n">
        <v>5409</v>
      </c>
      <c r="AX467" s="85" t="n">
        <v>91417</v>
      </c>
      <c r="AY467" s="85" t="n">
        <v>82333</v>
      </c>
      <c r="AZ467" s="85" t="n">
        <v>85819</v>
      </c>
      <c r="BA467" s="85" t="n">
        <v>17995</v>
      </c>
      <c r="BB467" s="85" t="n">
        <v>1106.9</v>
      </c>
      <c r="BC467" s="85" t="n">
        <v>1144.6</v>
      </c>
      <c r="BD467" s="85" t="n">
        <v>4276</v>
      </c>
      <c r="BE467" s="85" t="n">
        <v>38533</v>
      </c>
      <c r="BF467" s="85" t="n">
        <v>20818</v>
      </c>
      <c r="BG467" s="85" t="n">
        <v>12919</v>
      </c>
      <c r="BH467" s="85" t="n">
        <v>-17607</v>
      </c>
      <c r="BI467" s="85" t="n">
        <v>-9072</v>
      </c>
      <c r="BJ467" s="85" t="n">
        <v>10280</v>
      </c>
      <c r="BK467" s="85" t="n">
        <v>8463</v>
      </c>
      <c r="BL467" s="85" t="n">
        <v>779</v>
      </c>
      <c r="BM467" s="85" t="n">
        <v>986</v>
      </c>
      <c r="BN467" s="85" t="n">
        <v>0.5</v>
      </c>
      <c r="BO467" s="85" t="n">
        <v>2930.1</v>
      </c>
      <c r="BP467" s="85" t="n">
        <v>2913.4</v>
      </c>
      <c r="BQ467" s="85" t="n">
        <v>0</v>
      </c>
      <c r="BR467" s="85" t="n">
        <v>0</v>
      </c>
      <c r="BS467" s="85" t="n">
        <v>0</v>
      </c>
      <c r="BT467" s="85" t="n">
        <v>0</v>
      </c>
      <c r="BU467" s="85" t="n">
        <v>0</v>
      </c>
      <c r="BV467" s="85" t="n">
        <v>0</v>
      </c>
      <c r="BW467" s="85" t="n">
        <v>0</v>
      </c>
      <c r="BX467" s="85" t="n">
        <v>0</v>
      </c>
      <c r="BY467" s="85" t="n">
        <v>0</v>
      </c>
    </row>
    <row r="468" ht="17" customHeight="1">
      <c r="A468" s="86" t="n">
        <v>466</v>
      </c>
      <c r="B468" s="87" t="inlineStr">
        <is>
          <t>FLR</t>
        </is>
      </c>
      <c r="C468" s="88" t="inlineStr">
        <is>
          <t>FLUOR CORPORATION</t>
        </is>
      </c>
      <c r="D468" s="86" t="inlineStr">
        <is>
          <t>Industrials</t>
        </is>
      </c>
      <c r="E468" s="86" t="n">
        <v>2026</v>
      </c>
      <c r="F468" s="89" t="n">
        <v>8236</v>
      </c>
      <c r="G468" s="89" t="n">
        <v>6442</v>
      </c>
      <c r="H468" s="89" t="n">
        <v>3378</v>
      </c>
      <c r="I468" s="89" t="n">
        <v>8236</v>
      </c>
      <c r="J468" s="89" t="n">
        <v>3064</v>
      </c>
      <c r="K468" s="89" t="n">
        <v>-378</v>
      </c>
      <c r="L468" s="89" t="n">
        <v>15503</v>
      </c>
      <c r="M468" s="89" t="n">
        <v>-51</v>
      </c>
      <c r="N468" s="89" t="n">
        <v>-387</v>
      </c>
      <c r="O468" s="89" t="n">
        <v>-120</v>
      </c>
      <c r="P468" s="89" t="n">
        <v>1070</v>
      </c>
      <c r="Q468" s="89" t="n">
        <v>3244</v>
      </c>
      <c r="R468" s="89" t="n">
        <v>196</v>
      </c>
      <c r="S468" s="89" t="n">
        <v>68</v>
      </c>
      <c r="T468" s="90" t="inlineStr">
        <is>
          <t>N/A</t>
        </is>
      </c>
      <c r="U468" s="89" t="n">
        <v>464</v>
      </c>
      <c r="V468" s="89" t="n">
        <v>60</v>
      </c>
      <c r="W468" s="89" t="n">
        <v>9143</v>
      </c>
      <c r="X468" s="89" t="n">
        <v>5175</v>
      </c>
      <c r="Y468" s="89" t="n">
        <v>3071</v>
      </c>
      <c r="Z468" s="89" t="n">
        <v>9143</v>
      </c>
      <c r="AA468" s="89" t="n">
        <v>463</v>
      </c>
      <c r="AB468" s="89" t="n">
        <v>16315</v>
      </c>
      <c r="AC468" s="89" t="n">
        <v>2145</v>
      </c>
      <c r="AD468" s="89" t="n">
        <v>828</v>
      </c>
      <c r="AE468" s="89" t="n">
        <v>574</v>
      </c>
      <c r="AF468" s="89" t="n">
        <v>1104</v>
      </c>
      <c r="AG468" s="89" t="n">
        <v>3949</v>
      </c>
      <c r="AH468" s="89" t="n">
        <v>16315</v>
      </c>
      <c r="AI468" s="89" t="n">
        <v>9143</v>
      </c>
      <c r="AJ468" s="89" t="n">
        <v>-101</v>
      </c>
      <c r="AK468" s="89" t="n">
        <v>2718</v>
      </c>
      <c r="AL468" s="89" t="n">
        <v>-39</v>
      </c>
      <c r="AM468" s="89" t="n">
        <v>634</v>
      </c>
      <c r="AN468" s="89" t="n">
        <v>50</v>
      </c>
      <c r="AO468" s="89" t="n">
        <v>164</v>
      </c>
      <c r="AP468" s="90" t="inlineStr">
        <is>
          <t>N/A</t>
        </is>
      </c>
      <c r="AQ468" s="90" t="inlineStr">
        <is>
          <t>N/A</t>
        </is>
      </c>
      <c r="AR468" s="89" t="n">
        <v>199</v>
      </c>
      <c r="AS468" s="89" t="n">
        <v>77.59999999999999</v>
      </c>
      <c r="AT468" s="90" t="inlineStr">
        <is>
          <t>N/A</t>
        </is>
      </c>
      <c r="AU468" s="90" t="inlineStr">
        <is>
          <t>N/A</t>
        </is>
      </c>
      <c r="AV468" s="89" t="n">
        <v>2135</v>
      </c>
      <c r="AW468" s="89" t="n">
        <v>2829</v>
      </c>
      <c r="AX468" s="89" t="n">
        <v>1070</v>
      </c>
      <c r="AY468" s="89" t="n">
        <v>1256</v>
      </c>
      <c r="AZ468" s="89" t="n">
        <v>-1065</v>
      </c>
      <c r="BA468" s="89" t="n">
        <v>-437</v>
      </c>
      <c r="BB468" s="89" t="n">
        <v>152</v>
      </c>
      <c r="BC468" s="89" t="n">
        <v>169.2</v>
      </c>
      <c r="BD468" s="90" t="inlineStr">
        <is>
          <t>N/A</t>
        </is>
      </c>
      <c r="BE468" s="89" t="n">
        <v>494</v>
      </c>
      <c r="BF468" s="89" t="n">
        <v>203</v>
      </c>
      <c r="BG468" s="89" t="n">
        <v>73</v>
      </c>
      <c r="BH468" s="89" t="n">
        <v>437</v>
      </c>
      <c r="BI468" s="89" t="n">
        <v>-333</v>
      </c>
      <c r="BJ468" s="89" t="n">
        <v>1482</v>
      </c>
      <c r="BK468" s="89" t="n">
        <v>1220</v>
      </c>
      <c r="BL468" s="89" t="n">
        <v>633</v>
      </c>
      <c r="BM468" s="89" t="n">
        <v>684</v>
      </c>
      <c r="BN468" s="90" t="inlineStr">
        <is>
          <t>N/A</t>
        </is>
      </c>
      <c r="BO468" s="89" t="n">
        <v>15623</v>
      </c>
      <c r="BP468" s="89" t="n">
        <v>15741</v>
      </c>
      <c r="BQ468" s="90" t="inlineStr">
        <is>
          <t>N/A</t>
        </is>
      </c>
      <c r="BR468" s="90" t="inlineStr">
        <is>
          <t>N/A</t>
        </is>
      </c>
      <c r="BS468" s="90" t="inlineStr">
        <is>
          <t>N/A</t>
        </is>
      </c>
      <c r="BT468" s="90" t="inlineStr">
        <is>
          <t>N/A</t>
        </is>
      </c>
      <c r="BU468" s="89" t="n">
        <v>0</v>
      </c>
      <c r="BV468" s="89" t="n">
        <v>0</v>
      </c>
      <c r="BW468" s="89" t="n">
        <v>0</v>
      </c>
      <c r="BX468" s="89" t="n">
        <v>-0</v>
      </c>
      <c r="BY468" s="89" t="n">
        <v>0</v>
      </c>
    </row>
    <row r="469" ht="17" customHeight="1">
      <c r="A469" s="82" t="n">
        <v>467</v>
      </c>
      <c r="B469" s="83" t="inlineStr">
        <is>
          <t>CAG</t>
        </is>
      </c>
      <c r="C469" s="84" t="inlineStr">
        <is>
          <t>CONAGRA BRANDS, INC.</t>
        </is>
      </c>
      <c r="D469" s="82" t="inlineStr">
        <is>
          <t>Consumer Staples</t>
        </is>
      </c>
      <c r="E469" s="82" t="n">
        <v>2026</v>
      </c>
      <c r="F469" s="85" t="n">
        <v>20933.9</v>
      </c>
      <c r="G469" s="85" t="n">
        <v>3071</v>
      </c>
      <c r="H469" s="85" t="n">
        <v>4317</v>
      </c>
      <c r="I469" s="85" t="n">
        <v>12001.2</v>
      </c>
      <c r="J469" s="85" t="n">
        <v>6759.1</v>
      </c>
      <c r="K469" s="85" t="n">
        <v>1364.6</v>
      </c>
      <c r="L469" s="85" t="n">
        <v>1500</v>
      </c>
      <c r="M469" s="85" t="n">
        <v>1152.4</v>
      </c>
      <c r="N469" s="85" t="n">
        <v>1691.9</v>
      </c>
      <c r="O469" s="85" t="n">
        <v>3003.5</v>
      </c>
      <c r="P469" s="85" t="n">
        <v>7260</v>
      </c>
      <c r="Q469" s="85" t="n">
        <v>8932.700000000001</v>
      </c>
      <c r="R469" s="85" t="n">
        <v>1537.3</v>
      </c>
      <c r="S469" s="85" t="n">
        <v>387.7</v>
      </c>
      <c r="T469" s="85" t="n">
        <v>770</v>
      </c>
      <c r="U469" s="85" t="n">
        <v>2835.9</v>
      </c>
      <c r="V469" s="85" t="n">
        <v>297.8</v>
      </c>
      <c r="W469" s="85" t="n">
        <v>20862.3</v>
      </c>
      <c r="X469" s="85" t="n">
        <v>3149.5</v>
      </c>
      <c r="Y469" s="85" t="n">
        <v>3241.8</v>
      </c>
      <c r="Z469" s="85" t="n">
        <v>12351</v>
      </c>
      <c r="AA469" s="85" t="n">
        <v>1175</v>
      </c>
      <c r="AB469" s="85" t="n">
        <v>1600</v>
      </c>
      <c r="AC469" s="85" t="n">
        <v>347.2</v>
      </c>
      <c r="AD469" s="85" t="n">
        <v>2015.6</v>
      </c>
      <c r="AE469" s="85" t="n">
        <v>3333.4</v>
      </c>
      <c r="AF469" s="85" t="n">
        <v>7510</v>
      </c>
      <c r="AG469" s="85" t="n">
        <v>8440.4</v>
      </c>
      <c r="AH469" s="85" t="n">
        <v>1900</v>
      </c>
      <c r="AI469" s="85" t="n">
        <v>20862.3</v>
      </c>
      <c r="AJ469" s="85" t="n">
        <v>1156.2</v>
      </c>
      <c r="AK469" s="85" t="n">
        <v>610.2</v>
      </c>
      <c r="AL469" s="85" t="n">
        <v>3.7</v>
      </c>
      <c r="AM469" s="85" t="n">
        <v>262.5</v>
      </c>
      <c r="AN469" s="85" t="n">
        <v>389.3</v>
      </c>
      <c r="AO469" s="85" t="n">
        <v>388.1</v>
      </c>
      <c r="AP469" s="85" t="n">
        <v>2048.3</v>
      </c>
      <c r="AQ469" s="85" t="n">
        <v>2083</v>
      </c>
      <c r="AR469" s="85" t="n">
        <v>10501.9</v>
      </c>
      <c r="AS469" s="85" t="n">
        <v>2421.1</v>
      </c>
      <c r="AT469" s="85" t="n">
        <v>804.7</v>
      </c>
      <c r="AU469" s="85" t="n">
        <v>60.8</v>
      </c>
      <c r="AV469" s="85" t="n">
        <v>68</v>
      </c>
      <c r="AW469" s="85" t="n">
        <v>77.7</v>
      </c>
      <c r="AX469" s="85" t="n">
        <v>8064.7</v>
      </c>
      <c r="AY469" s="85" t="n">
        <v>8438.4</v>
      </c>
      <c r="AZ469" s="85" t="n">
        <v>7996.7</v>
      </c>
      <c r="BA469" s="85" t="n">
        <v>1302.6</v>
      </c>
      <c r="BB469" s="85" t="n">
        <v>584.2</v>
      </c>
      <c r="BC469" s="85" t="n">
        <v>584.2</v>
      </c>
      <c r="BD469" s="85" t="n">
        <v>871.8</v>
      </c>
      <c r="BE469" s="85" t="n">
        <v>2896.9</v>
      </c>
      <c r="BF469" s="85" t="n">
        <v>2480.6</v>
      </c>
      <c r="BG469" s="85" t="n">
        <v>388.9</v>
      </c>
      <c r="BH469" s="85" t="n">
        <v>-542.2</v>
      </c>
      <c r="BI469" s="85" t="n">
        <v>-375</v>
      </c>
      <c r="BJ469" s="85" t="n">
        <v>1590.1</v>
      </c>
      <c r="BK469" s="85" t="n">
        <v>1493.7</v>
      </c>
      <c r="BL469" s="91" t="inlineStr">
        <is>
          <t>N/A</t>
        </is>
      </c>
      <c r="BM469" s="91" t="inlineStr">
        <is>
          <t>N/A</t>
        </is>
      </c>
      <c r="BN469" s="91" t="inlineStr">
        <is>
          <t>N/A</t>
        </is>
      </c>
      <c r="BO469" s="85" t="n">
        <v>8609.299999999999</v>
      </c>
      <c r="BP469" s="85" t="n">
        <v>8717.5</v>
      </c>
      <c r="BQ469" s="85" t="n">
        <v>0</v>
      </c>
      <c r="BR469" s="85" t="n">
        <v>0</v>
      </c>
      <c r="BS469" s="85" t="n">
        <v>0</v>
      </c>
      <c r="BT469" s="85" t="n">
        <v>0</v>
      </c>
      <c r="BU469" s="85" t="n">
        <v>0</v>
      </c>
      <c r="BV469" s="85" t="n">
        <v>0</v>
      </c>
      <c r="BW469" s="85" t="n">
        <v>0</v>
      </c>
      <c r="BX469" s="85" t="n">
        <v>0</v>
      </c>
      <c r="BY469" s="85" t="n">
        <v>0</v>
      </c>
    </row>
    <row r="470" ht="17" customHeight="1">
      <c r="A470" s="86" t="n">
        <v>468</v>
      </c>
      <c r="B470" s="87" t="inlineStr">
        <is>
          <t>EGP</t>
        </is>
      </c>
      <c r="C470" s="88" t="inlineStr">
        <is>
          <t>EASTGROUP PROPERTIES, INC.</t>
        </is>
      </c>
      <c r="D470" s="86" t="inlineStr">
        <is>
          <t>Real Estate</t>
        </is>
      </c>
      <c r="E470" s="86" t="n">
        <v>2026</v>
      </c>
      <c r="F470" s="89" t="n">
        <v>5431.8</v>
      </c>
      <c r="G470" s="90" t="inlineStr">
        <is>
          <t>N/A</t>
        </is>
      </c>
      <c r="H470" s="90" t="inlineStr">
        <is>
          <t>N/A</t>
        </is>
      </c>
      <c r="I470" s="89" t="n">
        <v>1935.2</v>
      </c>
      <c r="J470" s="90" t="inlineStr">
        <is>
          <t>N/A</t>
        </is>
      </c>
      <c r="K470" s="89" t="n">
        <v>108.6</v>
      </c>
      <c r="L470" s="89" t="n">
        <v>721.3</v>
      </c>
      <c r="M470" s="89" t="n">
        <v>18.3</v>
      </c>
      <c r="N470" s="89" t="n">
        <v>480.7</v>
      </c>
      <c r="O470" s="90" t="inlineStr">
        <is>
          <t>N/A</t>
        </is>
      </c>
      <c r="P470" s="90" t="inlineStr">
        <is>
          <t>N/A</t>
        </is>
      </c>
      <c r="Q470" s="89" t="n">
        <v>3496.2</v>
      </c>
      <c r="R470" s="89" t="n">
        <v>24</v>
      </c>
      <c r="S470" s="89" t="n">
        <v>216.7</v>
      </c>
      <c r="T470" s="89" t="n">
        <v>5.4</v>
      </c>
      <c r="U470" s="90" t="inlineStr">
        <is>
          <t>N/A</t>
        </is>
      </c>
      <c r="V470" s="89" t="n">
        <v>32.1</v>
      </c>
      <c r="W470" s="89" t="n">
        <v>5077.5</v>
      </c>
      <c r="X470" s="90" t="inlineStr">
        <is>
          <t>N/A</t>
        </is>
      </c>
      <c r="Y470" s="90" t="inlineStr">
        <is>
          <t>N/A</t>
        </is>
      </c>
      <c r="Z470" s="89" t="n">
        <v>1784.9</v>
      </c>
      <c r="AA470" s="89" t="n">
        <v>95.2</v>
      </c>
      <c r="AB470" s="89" t="n">
        <v>640.2</v>
      </c>
      <c r="AC470" s="89" t="n">
        <v>26.7</v>
      </c>
      <c r="AD470" s="89" t="n">
        <v>416.6</v>
      </c>
      <c r="AE470" s="90" t="inlineStr">
        <is>
          <t>N/A</t>
        </is>
      </c>
      <c r="AF470" s="90" t="inlineStr">
        <is>
          <t>N/A</t>
        </is>
      </c>
      <c r="AG470" s="89" t="n">
        <v>3292.2</v>
      </c>
      <c r="AH470" s="89" t="n">
        <v>640.2</v>
      </c>
      <c r="AI470" s="89" t="n">
        <v>5077.5</v>
      </c>
      <c r="AJ470" s="90" t="inlineStr">
        <is>
          <t>N/A</t>
        </is>
      </c>
      <c r="AK470" s="90" t="inlineStr">
        <is>
          <t>N/A</t>
        </is>
      </c>
      <c r="AL470" s="90" t="inlineStr">
        <is>
          <t>N/A</t>
        </is>
      </c>
      <c r="AM470" s="90" t="inlineStr">
        <is>
          <t>N/A</t>
        </is>
      </c>
      <c r="AN470" s="89" t="n">
        <v>75.8</v>
      </c>
      <c r="AO470" s="89" t="n">
        <v>59.3</v>
      </c>
      <c r="AP470" s="90" t="inlineStr">
        <is>
          <t>N/A</t>
        </is>
      </c>
      <c r="AQ470" s="90" t="inlineStr">
        <is>
          <t>N/A</t>
        </is>
      </c>
      <c r="AR470" s="89" t="n">
        <v>1</v>
      </c>
      <c r="AS470" s="89" t="n">
        <v>36.5</v>
      </c>
      <c r="AT470" s="90" t="inlineStr">
        <is>
          <t>N/A</t>
        </is>
      </c>
      <c r="AU470" s="90" t="inlineStr">
        <is>
          <t>N/A</t>
        </is>
      </c>
      <c r="AV470" s="89" t="n">
        <v>17.5</v>
      </c>
      <c r="AW470" s="89" t="n">
        <v>40.3</v>
      </c>
      <c r="AX470" s="90" t="inlineStr">
        <is>
          <t>N/A</t>
        </is>
      </c>
      <c r="AY470" s="90" t="inlineStr">
        <is>
          <t>N/A</t>
        </is>
      </c>
      <c r="AZ470" s="90" t="inlineStr">
        <is>
          <t>N/A</t>
        </is>
      </c>
      <c r="BA470" s="89" t="n">
        <v>404.9</v>
      </c>
      <c r="BB470" s="89" t="n">
        <v>53.3</v>
      </c>
      <c r="BC470" s="89" t="n">
        <v>51.8</v>
      </c>
      <c r="BD470" s="89" t="n">
        <v>5.4</v>
      </c>
      <c r="BE470" s="90" t="inlineStr">
        <is>
          <t>N/A</t>
        </is>
      </c>
      <c r="BF470" s="89" t="n">
        <v>20.6</v>
      </c>
      <c r="BG470" s="89" t="n">
        <v>189.4</v>
      </c>
      <c r="BH470" s="89" t="n">
        <v>-576.3</v>
      </c>
      <c r="BI470" s="89" t="n">
        <v>-724.3</v>
      </c>
      <c r="BJ470" s="90" t="inlineStr">
        <is>
          <t>N/A</t>
        </is>
      </c>
      <c r="BK470" s="90" t="inlineStr">
        <is>
          <t>N/A</t>
        </is>
      </c>
      <c r="BL470" s="90" t="inlineStr">
        <is>
          <t>N/A</t>
        </is>
      </c>
      <c r="BM470" s="90" t="inlineStr">
        <is>
          <t>N/A</t>
        </is>
      </c>
      <c r="BN470" s="90" t="inlineStr">
        <is>
          <t>N/A</t>
        </is>
      </c>
      <c r="BO470" s="90" t="inlineStr">
        <is>
          <t>N/A</t>
        </is>
      </c>
      <c r="BP470" s="90" t="inlineStr">
        <is>
          <t>N/A</t>
        </is>
      </c>
      <c r="BQ470" s="89" t="n">
        <v>0</v>
      </c>
      <c r="BR470" s="89" t="n">
        <v>0</v>
      </c>
      <c r="BS470" s="90" t="inlineStr">
        <is>
          <t>N/A</t>
        </is>
      </c>
      <c r="BT470" s="90" t="inlineStr">
        <is>
          <t>N/A</t>
        </is>
      </c>
      <c r="BU470" s="90" t="inlineStr">
        <is>
          <t>N/A</t>
        </is>
      </c>
      <c r="BV470" s="90" t="inlineStr">
        <is>
          <t>N/A</t>
        </is>
      </c>
      <c r="BW470" s="89" t="n">
        <v>0</v>
      </c>
      <c r="BX470" s="89" t="n">
        <v>0</v>
      </c>
      <c r="BY470" s="90" t="inlineStr">
        <is>
          <t>N/A</t>
        </is>
      </c>
    </row>
    <row r="471" ht="17" customHeight="1">
      <c r="A471" s="82" t="n">
        <v>469</v>
      </c>
      <c r="B471" s="83" t="inlineStr">
        <is>
          <t>CHTR</t>
        </is>
      </c>
      <c r="C471" s="84" t="inlineStr">
        <is>
          <t>Charter Communications, Inc.</t>
        </is>
      </c>
      <c r="D471" s="82" t="inlineStr">
        <is>
          <t>Communication Services</t>
        </is>
      </c>
      <c r="E471" s="82" t="n">
        <v>2026</v>
      </c>
      <c r="F471" s="85" t="n">
        <v>154213</v>
      </c>
      <c r="G471" s="85" t="n">
        <v>5144</v>
      </c>
      <c r="H471" s="85" t="n">
        <v>13306</v>
      </c>
      <c r="I471" s="85" t="n">
        <v>154213</v>
      </c>
      <c r="J471" s="85" t="n">
        <v>-5393</v>
      </c>
      <c r="K471" s="85" t="n">
        <v>12908</v>
      </c>
      <c r="L471" s="85" t="n">
        <v>54774</v>
      </c>
      <c r="M471" s="85" t="n">
        <v>4987</v>
      </c>
      <c r="N471" s="85" t="n">
        <v>16077</v>
      </c>
      <c r="O471" s="85" t="n">
        <v>22035</v>
      </c>
      <c r="P471" s="85" t="n">
        <v>94756</v>
      </c>
      <c r="Q471" s="85" t="n">
        <v>16054</v>
      </c>
      <c r="R471" s="85" t="n">
        <v>3782</v>
      </c>
      <c r="S471" s="85" t="n">
        <v>8100</v>
      </c>
      <c r="T471" s="85" t="n">
        <v>3680</v>
      </c>
      <c r="U471" s="85" t="n">
        <v>46444</v>
      </c>
      <c r="V471" s="85" t="n">
        <v>846</v>
      </c>
      <c r="W471" s="85" t="n">
        <v>150020</v>
      </c>
      <c r="X471" s="85" t="n">
        <v>4233</v>
      </c>
      <c r="Y471" s="85" t="n">
        <v>13486</v>
      </c>
      <c r="Z471" s="85" t="n">
        <v>150020</v>
      </c>
      <c r="AA471" s="85" t="n">
        <v>13118</v>
      </c>
      <c r="AB471" s="85" t="n">
        <v>55085</v>
      </c>
      <c r="AC471" s="85" t="n">
        <v>5083</v>
      </c>
      <c r="AD471" s="85" t="n">
        <v>14430</v>
      </c>
      <c r="AE471" s="85" t="n">
        <v>21918</v>
      </c>
      <c r="AF471" s="85" t="n">
        <v>93933</v>
      </c>
      <c r="AG471" s="85" t="n">
        <v>15587</v>
      </c>
      <c r="AH471" s="85" t="n">
        <v>55085</v>
      </c>
      <c r="AI471" s="85" t="n">
        <v>150020</v>
      </c>
      <c r="AJ471" s="85" t="n">
        <v>7458</v>
      </c>
      <c r="AK471" s="85" t="n">
        <v>7502</v>
      </c>
      <c r="AL471" s="85" t="n">
        <v>1692</v>
      </c>
      <c r="AM471" s="85" t="n">
        <v>1649</v>
      </c>
      <c r="AN471" s="85" t="n">
        <v>11659</v>
      </c>
      <c r="AO471" s="85" t="n">
        <v>11269</v>
      </c>
      <c r="AP471" s="91" t="inlineStr">
        <is>
          <t>N/A</t>
        </is>
      </c>
      <c r="AQ471" s="91" t="inlineStr">
        <is>
          <t>N/A</t>
        </is>
      </c>
      <c r="AR471" s="85" t="n">
        <v>29710</v>
      </c>
      <c r="AS471" s="85" t="n">
        <v>483</v>
      </c>
      <c r="AT471" s="85" t="n">
        <v>750</v>
      </c>
      <c r="AU471" s="91" t="inlineStr">
        <is>
          <t>N/A</t>
        </is>
      </c>
      <c r="AV471" s="85" t="n">
        <v>477</v>
      </c>
      <c r="AW471" s="85" t="n">
        <v>459</v>
      </c>
      <c r="AX471" s="85" t="n">
        <v>95506</v>
      </c>
      <c r="AY471" s="85" t="n">
        <v>93933</v>
      </c>
      <c r="AZ471" s="85" t="n">
        <v>95029</v>
      </c>
      <c r="BA471" s="85" t="n">
        <v>4418</v>
      </c>
      <c r="BB471" s="91" t="inlineStr">
        <is>
          <t>N/A</t>
        </is>
      </c>
      <c r="BC471" s="91" t="inlineStr">
        <is>
          <t>N/A</t>
        </is>
      </c>
      <c r="BD471" s="85" t="n">
        <v>3097</v>
      </c>
      <c r="BE471" s="85" t="n">
        <v>42913</v>
      </c>
      <c r="BF471" s="85" t="n">
        <v>3590</v>
      </c>
      <c r="BG471" s="85" t="n">
        <v>7800</v>
      </c>
      <c r="BH471" s="85" t="n">
        <v>-11620</v>
      </c>
      <c r="BI471" s="85" t="n">
        <v>-10654</v>
      </c>
      <c r="BJ471" s="85" t="n">
        <v>12556</v>
      </c>
      <c r="BK471" s="85" t="n">
        <v>11687</v>
      </c>
      <c r="BL471" s="85" t="n">
        <v>422</v>
      </c>
      <c r="BM471" s="85" t="n">
        <v>456</v>
      </c>
      <c r="BN471" s="91" t="inlineStr">
        <is>
          <t>N/A</t>
        </is>
      </c>
      <c r="BO471" s="85" t="n">
        <v>32739</v>
      </c>
      <c r="BP471" s="85" t="n">
        <v>33167</v>
      </c>
      <c r="BQ471" s="85" t="n">
        <v>0</v>
      </c>
      <c r="BR471" s="85" t="n">
        <v>0</v>
      </c>
      <c r="BS471" s="91" t="inlineStr">
        <is>
          <t>N/A</t>
        </is>
      </c>
      <c r="BT471" s="91" t="inlineStr">
        <is>
          <t>N/A</t>
        </is>
      </c>
      <c r="BU471" s="85" t="n">
        <v>0</v>
      </c>
      <c r="BV471" s="85" t="n">
        <v>0</v>
      </c>
      <c r="BW471" s="85" t="n">
        <v>0</v>
      </c>
      <c r="BX471" s="85" t="n">
        <v>0</v>
      </c>
      <c r="BY471" s="85" t="n">
        <v>0</v>
      </c>
    </row>
    <row r="472" ht="17" customHeight="1">
      <c r="A472" s="86" t="n">
        <v>470</v>
      </c>
      <c r="B472" s="87" t="inlineStr">
        <is>
          <t>RVTY</t>
        </is>
      </c>
      <c r="C472" s="88" t="inlineStr">
        <is>
          <t>REVVITY, INC</t>
        </is>
      </c>
      <c r="D472" s="86" t="inlineStr">
        <is>
          <t>Health Care</t>
        </is>
      </c>
      <c r="E472" s="86" t="n">
        <v>2026</v>
      </c>
      <c r="F472" s="89" t="n">
        <v>12168.4</v>
      </c>
      <c r="G472" s="89" t="n">
        <v>2239.7</v>
      </c>
      <c r="H472" s="89" t="n">
        <v>1331.2</v>
      </c>
      <c r="I472" s="89" t="n">
        <v>4918.1</v>
      </c>
      <c r="J472" s="89" t="n">
        <v>6054.3</v>
      </c>
      <c r="K472" s="89" t="n">
        <v>356.6</v>
      </c>
      <c r="L472" s="89" t="n">
        <v>3311.8</v>
      </c>
      <c r="M472" s="89" t="n">
        <v>241.2</v>
      </c>
      <c r="N472" s="89" t="n">
        <v>582.9</v>
      </c>
      <c r="O472" s="89" t="n">
        <v>1989.8</v>
      </c>
      <c r="P472" s="89" t="n">
        <v>3899.6</v>
      </c>
      <c r="Q472" s="89" t="n">
        <v>7250.4</v>
      </c>
      <c r="R472" s="89" t="n">
        <v>991.9</v>
      </c>
      <c r="S472" s="89" t="n">
        <v>405.3</v>
      </c>
      <c r="T472" s="89" t="n">
        <v>744.7</v>
      </c>
      <c r="U472" s="89" t="n">
        <v>479.2</v>
      </c>
      <c r="V472" s="89" t="n">
        <v>49.7</v>
      </c>
      <c r="W472" s="89" t="n">
        <v>12392.5</v>
      </c>
      <c r="X472" s="89" t="n">
        <v>2349.6</v>
      </c>
      <c r="Y472" s="89" t="n">
        <v>653.1</v>
      </c>
      <c r="Z472" s="89" t="n">
        <v>4725.6</v>
      </c>
      <c r="AA472" s="89" t="n">
        <v>346.7</v>
      </c>
      <c r="AB472" s="89" t="n">
        <v>741.2</v>
      </c>
      <c r="AC472" s="89" t="n">
        <v>270.4</v>
      </c>
      <c r="AD472" s="89" t="n">
        <v>628.3</v>
      </c>
      <c r="AE472" s="89" t="n">
        <v>436.3</v>
      </c>
      <c r="AF472" s="89" t="n">
        <v>4394.3</v>
      </c>
      <c r="AG472" s="89" t="n">
        <v>7666.9</v>
      </c>
      <c r="AH472" s="89" t="n">
        <v>711.8</v>
      </c>
      <c r="AI472" s="89" t="n">
        <v>12392.5</v>
      </c>
      <c r="AJ472" s="89" t="n">
        <v>268.3</v>
      </c>
      <c r="AK472" s="89" t="n">
        <v>316.1</v>
      </c>
      <c r="AL472" s="89" t="n">
        <v>28.4</v>
      </c>
      <c r="AM472" s="89" t="n">
        <v>33.1</v>
      </c>
      <c r="AN472" s="89" t="n">
        <v>73.5</v>
      </c>
      <c r="AO472" s="89" t="n">
        <v>86.59999999999999</v>
      </c>
      <c r="AP472" s="89" t="n">
        <v>379.5</v>
      </c>
      <c r="AQ472" s="89" t="n">
        <v>367.6</v>
      </c>
      <c r="AR472" s="89" t="n">
        <v>6613.5</v>
      </c>
      <c r="AS472" s="89" t="n">
        <v>2347</v>
      </c>
      <c r="AT472" s="89" t="n">
        <v>381.2</v>
      </c>
      <c r="AU472" s="89" t="n">
        <v>215.8</v>
      </c>
      <c r="AV472" s="89" t="n">
        <v>919.9</v>
      </c>
      <c r="AW472" s="89" t="n">
        <v>1163.4</v>
      </c>
      <c r="AX472" s="89" t="n">
        <v>4280.8</v>
      </c>
      <c r="AY472" s="89" t="n">
        <v>4394.3</v>
      </c>
      <c r="AZ472" s="89" t="n">
        <v>3361</v>
      </c>
      <c r="BA472" s="89" t="n">
        <v>509.4</v>
      </c>
      <c r="BB472" s="89" t="n">
        <v>112.3</v>
      </c>
      <c r="BC472" s="89" t="n">
        <v>120.6</v>
      </c>
      <c r="BD472" s="89" t="n">
        <v>632.4</v>
      </c>
      <c r="BE472" s="89" t="n">
        <v>482.2</v>
      </c>
      <c r="BF472" s="89" t="n">
        <v>994.1</v>
      </c>
      <c r="BG472" s="89" t="n">
        <v>427.8</v>
      </c>
      <c r="BH472" s="89" t="n">
        <v>-17.4</v>
      </c>
      <c r="BI472" s="89" t="n">
        <v>776.2</v>
      </c>
      <c r="BJ472" s="89" t="n">
        <v>185.5</v>
      </c>
      <c r="BK472" s="89" t="n">
        <v>167.5</v>
      </c>
      <c r="BL472" s="89" t="n">
        <v>160.2</v>
      </c>
      <c r="BM472" s="89" t="n">
        <v>140.2</v>
      </c>
      <c r="BN472" s="90" t="inlineStr">
        <is>
          <t>N/A</t>
        </is>
      </c>
      <c r="BO472" s="89" t="n">
        <v>1437.1</v>
      </c>
      <c r="BP472" s="89" t="n">
        <v>945.7</v>
      </c>
      <c r="BQ472" s="89" t="n">
        <v>0</v>
      </c>
      <c r="BR472" s="89" t="n">
        <v>0</v>
      </c>
      <c r="BS472" s="89" t="n">
        <v>0</v>
      </c>
      <c r="BT472" s="89" t="n">
        <v>0</v>
      </c>
      <c r="BU472" s="89" t="n">
        <v>0</v>
      </c>
      <c r="BV472" s="89" t="n">
        <v>0</v>
      </c>
      <c r="BW472" s="89" t="n">
        <v>0</v>
      </c>
      <c r="BX472" s="89" t="n">
        <v>0</v>
      </c>
      <c r="BY472" s="89" t="n">
        <v>0</v>
      </c>
    </row>
    <row r="473" ht="17" customHeight="1">
      <c r="A473" s="82" t="n">
        <v>471</v>
      </c>
      <c r="B473" s="83" t="inlineStr">
        <is>
          <t>URI</t>
        </is>
      </c>
      <c r="C473" s="84" t="inlineStr">
        <is>
          <t>United Rentals, Inc.</t>
        </is>
      </c>
      <c r="D473" s="82" t="inlineStr">
        <is>
          <t>Industrials</t>
        </is>
      </c>
      <c r="E473" s="82" t="n">
        <v>2026</v>
      </c>
      <c r="F473" s="85" t="n">
        <v>29866</v>
      </c>
      <c r="G473" s="85" t="n">
        <v>3608</v>
      </c>
      <c r="H473" s="85" t="n">
        <v>3819</v>
      </c>
      <c r="I473" s="85" t="n">
        <v>20898</v>
      </c>
      <c r="J473" s="85" t="n">
        <v>15843</v>
      </c>
      <c r="K473" s="85" t="n">
        <v>3973</v>
      </c>
      <c r="L473" s="85" t="n">
        <v>16099</v>
      </c>
      <c r="M473" s="85" t="n">
        <v>2494</v>
      </c>
      <c r="N473" s="85" t="n">
        <v>5190</v>
      </c>
      <c r="O473" s="85" t="n">
        <v>6144</v>
      </c>
      <c r="P473" s="85" t="n">
        <v>14302</v>
      </c>
      <c r="Q473" s="85" t="n">
        <v>8968</v>
      </c>
      <c r="R473" s="85" t="n">
        <v>1732</v>
      </c>
      <c r="S473" s="85" t="n">
        <v>438</v>
      </c>
      <c r="T473" s="85" t="n">
        <v>2510</v>
      </c>
      <c r="U473" s="85" t="n">
        <v>604</v>
      </c>
      <c r="V473" s="85" t="n">
        <v>357</v>
      </c>
      <c r="W473" s="85" t="n">
        <v>28163</v>
      </c>
      <c r="X473" s="85" t="n">
        <v>3249</v>
      </c>
      <c r="Y473" s="85" t="n">
        <v>3323</v>
      </c>
      <c r="Z473" s="85" t="n">
        <v>19541</v>
      </c>
      <c r="AA473" s="85" t="n">
        <v>1052</v>
      </c>
      <c r="AB473" s="85" t="n">
        <v>4208</v>
      </c>
      <c r="AC473" s="85" t="n">
        <v>653</v>
      </c>
      <c r="AD473" s="85" t="n">
        <v>4546</v>
      </c>
      <c r="AE473" s="85" t="n">
        <v>1590</v>
      </c>
      <c r="AF473" s="85" t="n">
        <v>13472</v>
      </c>
      <c r="AG473" s="85" t="n">
        <v>8622</v>
      </c>
      <c r="AH473" s="85" t="n">
        <v>4229</v>
      </c>
      <c r="AI473" s="85" t="n">
        <v>28163</v>
      </c>
      <c r="AJ473" s="85" t="n">
        <v>3338</v>
      </c>
      <c r="AK473" s="85" t="n">
        <v>3388</v>
      </c>
      <c r="AL473" s="85" t="n">
        <v>844</v>
      </c>
      <c r="AM473" s="85" t="n">
        <v>813</v>
      </c>
      <c r="AN473" s="85" t="n">
        <v>197</v>
      </c>
      <c r="AO473" s="85" t="n">
        <v>218</v>
      </c>
      <c r="AP473" s="85" t="n">
        <v>240</v>
      </c>
      <c r="AQ473" s="85" t="n">
        <v>200</v>
      </c>
      <c r="AR473" s="85" t="n">
        <v>7119</v>
      </c>
      <c r="AS473" s="85" t="n">
        <v>477</v>
      </c>
      <c r="AT473" s="85" t="n">
        <v>1577</v>
      </c>
      <c r="AU473" s="91" t="inlineStr">
        <is>
          <t>N/A</t>
        </is>
      </c>
      <c r="AV473" s="85" t="n">
        <v>459</v>
      </c>
      <c r="AW473" s="85" t="n">
        <v>457</v>
      </c>
      <c r="AX473" s="85" t="n">
        <v>15879</v>
      </c>
      <c r="AY473" s="85" t="n">
        <v>14650</v>
      </c>
      <c r="AZ473" s="85" t="n">
        <v>15420</v>
      </c>
      <c r="BA473" s="85" t="n">
        <v>4993</v>
      </c>
      <c r="BB473" s="85" t="n">
        <v>63.1</v>
      </c>
      <c r="BC473" s="85" t="n">
        <v>65.3</v>
      </c>
      <c r="BD473" s="85" t="n">
        <v>2357</v>
      </c>
      <c r="BE473" s="85" t="n">
        <v>614</v>
      </c>
      <c r="BF473" s="85" t="n">
        <v>1645</v>
      </c>
      <c r="BG473" s="85" t="n">
        <v>437</v>
      </c>
      <c r="BH473" s="85" t="n">
        <v>-3369</v>
      </c>
      <c r="BI473" s="85" t="n">
        <v>-4148</v>
      </c>
      <c r="BJ473" s="85" t="n">
        <v>776</v>
      </c>
      <c r="BK473" s="85" t="n">
        <v>748</v>
      </c>
      <c r="BL473" s="85" t="n">
        <v>46</v>
      </c>
      <c r="BM473" s="85" t="n">
        <v>40</v>
      </c>
      <c r="BN473" s="85" t="n">
        <v>58</v>
      </c>
      <c r="BO473" s="85" t="n">
        <v>9955</v>
      </c>
      <c r="BP473" s="85" t="n">
        <v>9195</v>
      </c>
      <c r="BQ473" s="85" t="n">
        <v>0</v>
      </c>
      <c r="BR473" s="85" t="n">
        <v>0</v>
      </c>
      <c r="BS473" s="85" t="n">
        <v>0</v>
      </c>
      <c r="BT473" s="85" t="n">
        <v>0</v>
      </c>
      <c r="BU473" s="85" t="n">
        <v>0</v>
      </c>
      <c r="BV473" s="85" t="n">
        <v>0</v>
      </c>
      <c r="BW473" s="85" t="n">
        <v>0</v>
      </c>
      <c r="BX473" s="85" t="n">
        <v>0</v>
      </c>
      <c r="BY473" s="85" t="n">
        <v>0</v>
      </c>
    </row>
    <row r="474" ht="17" customHeight="1">
      <c r="A474" s="86" t="n">
        <v>472</v>
      </c>
      <c r="B474" s="87" t="inlineStr">
        <is>
          <t>CSCO</t>
        </is>
      </c>
      <c r="C474" s="88" t="inlineStr">
        <is>
          <t>CISCO SYSTEMS, INC.</t>
        </is>
      </c>
      <c r="D474" s="86" t="inlineStr">
        <is>
          <t>Information Technology</t>
        </is>
      </c>
      <c r="E474" s="86" t="n">
        <v>2026</v>
      </c>
      <c r="F474" s="89" t="n">
        <v>122291</v>
      </c>
      <c r="G474" s="89" t="n">
        <v>34986</v>
      </c>
      <c r="H474" s="89" t="n">
        <v>35064</v>
      </c>
      <c r="I474" s="89" t="n">
        <v>75448</v>
      </c>
      <c r="J474" s="89" t="n">
        <v>50</v>
      </c>
      <c r="K474" s="89" t="n">
        <v>11760</v>
      </c>
      <c r="L474" s="89" t="n">
        <v>49330</v>
      </c>
      <c r="M474" s="89" t="n">
        <v>10180</v>
      </c>
      <c r="N474" s="89" t="n">
        <v>14193</v>
      </c>
      <c r="O474" s="89" t="n">
        <v>36790</v>
      </c>
      <c r="P474" s="89" t="n">
        <v>24611</v>
      </c>
      <c r="Q474" s="89" t="n">
        <v>46843</v>
      </c>
      <c r="R474" s="89" t="n">
        <v>2992</v>
      </c>
      <c r="S474" s="89" t="n">
        <v>700</v>
      </c>
      <c r="T474" s="89" t="n">
        <v>6701</v>
      </c>
      <c r="U474" s="89" t="n">
        <v>2113</v>
      </c>
      <c r="V474" s="89" t="n">
        <v>427</v>
      </c>
      <c r="W474" s="89" t="n">
        <v>124413</v>
      </c>
      <c r="X474" s="89" t="n">
        <v>36862</v>
      </c>
      <c r="Y474" s="89" t="n">
        <v>40584</v>
      </c>
      <c r="Z474" s="89" t="n">
        <v>78956</v>
      </c>
      <c r="AA474" s="89" t="n">
        <v>12181</v>
      </c>
      <c r="AB474" s="89" t="n">
        <v>12844</v>
      </c>
      <c r="AC474" s="89" t="n">
        <v>10320</v>
      </c>
      <c r="AD474" s="89" t="n">
        <v>10880</v>
      </c>
      <c r="AE474" s="89" t="n">
        <v>34828</v>
      </c>
      <c r="AF474" s="89" t="n">
        <v>20109</v>
      </c>
      <c r="AG474" s="89" t="n">
        <v>45457</v>
      </c>
      <c r="AH474" s="89" t="n">
        <v>12463</v>
      </c>
      <c r="AI474" s="89" t="n">
        <v>124413</v>
      </c>
      <c r="AJ474" s="89" t="n">
        <v>11100</v>
      </c>
      <c r="AK474" s="89" t="n">
        <v>12234</v>
      </c>
      <c r="AL474" s="89" t="n">
        <v>920</v>
      </c>
      <c r="AM474" s="89" t="n">
        <v>1914</v>
      </c>
      <c r="AN474" s="89" t="n">
        <v>905</v>
      </c>
      <c r="AO474" s="89" t="n">
        <v>670</v>
      </c>
      <c r="AP474" s="89" t="n">
        <v>3164</v>
      </c>
      <c r="AQ474" s="89" t="n">
        <v>3373</v>
      </c>
      <c r="AR474" s="89" t="n">
        <v>59136</v>
      </c>
      <c r="AS474" s="89" t="n">
        <v>9175</v>
      </c>
      <c r="AT474" s="89" t="n">
        <v>31</v>
      </c>
      <c r="AU474" s="89" t="n">
        <v>9300</v>
      </c>
      <c r="AV474" s="89" t="n">
        <v>8346</v>
      </c>
      <c r="AW474" s="89" t="n">
        <v>7508</v>
      </c>
      <c r="AX474" s="89" t="n">
        <v>24642</v>
      </c>
      <c r="AY474" s="89" t="n">
        <v>20697</v>
      </c>
      <c r="AZ474" s="89" t="n">
        <v>16296</v>
      </c>
      <c r="BA474" s="89" t="n">
        <v>13288</v>
      </c>
      <c r="BB474" s="89" t="n">
        <v>3960</v>
      </c>
      <c r="BC474" s="89" t="n">
        <v>4007</v>
      </c>
      <c r="BD474" s="89" t="n">
        <v>6685</v>
      </c>
      <c r="BE474" s="89" t="n">
        <v>2090</v>
      </c>
      <c r="BF474" s="89" t="n">
        <v>2813</v>
      </c>
      <c r="BG474" s="89" t="n">
        <v>700</v>
      </c>
      <c r="BH474" s="89" t="n">
        <v>1733</v>
      </c>
      <c r="BI474" s="89" t="n">
        <v>-20478</v>
      </c>
      <c r="BJ474" s="89" t="n">
        <v>2528</v>
      </c>
      <c r="BK474" s="89" t="n">
        <v>2304</v>
      </c>
      <c r="BL474" s="89" t="n">
        <v>11490</v>
      </c>
      <c r="BM474" s="89" t="n">
        <v>10821</v>
      </c>
      <c r="BN474" s="89" t="n">
        <v>1857</v>
      </c>
      <c r="BO474" s="89" t="n">
        <v>19864</v>
      </c>
      <c r="BP474" s="89" t="n">
        <v>18975</v>
      </c>
      <c r="BQ474" s="89" t="n">
        <v>0</v>
      </c>
      <c r="BR474" s="89" t="n">
        <v>0</v>
      </c>
      <c r="BS474" s="89" t="n">
        <v>0</v>
      </c>
      <c r="BT474" s="89" t="n">
        <v>0</v>
      </c>
      <c r="BU474" s="89" t="n">
        <v>0</v>
      </c>
      <c r="BV474" s="89" t="n">
        <v>0</v>
      </c>
      <c r="BW474" s="89" t="n">
        <v>0</v>
      </c>
      <c r="BX474" s="89" t="n">
        <v>0</v>
      </c>
      <c r="BY474" s="89" t="n">
        <v>0</v>
      </c>
    </row>
    <row r="475" ht="17" customHeight="1">
      <c r="A475" s="82" t="n">
        <v>473</v>
      </c>
      <c r="B475" s="83" t="inlineStr">
        <is>
          <t>HAL</t>
        </is>
      </c>
      <c r="C475" s="84" t="inlineStr">
        <is>
          <t>HALLIBURTON COMPANY</t>
        </is>
      </c>
      <c r="D475" s="82" t="inlineStr">
        <is>
          <t>Energy</t>
        </is>
      </c>
      <c r="E475" s="82" t="n">
        <v>2026</v>
      </c>
      <c r="F475" s="85" t="n">
        <v>25010</v>
      </c>
      <c r="G475" s="85" t="n">
        <v>11398</v>
      </c>
      <c r="H475" s="85" t="n">
        <v>5588</v>
      </c>
      <c r="I475" s="85" t="n">
        <v>14505</v>
      </c>
      <c r="J475" s="85" t="n">
        <v>15036</v>
      </c>
      <c r="K475" s="85" t="n">
        <v>2260</v>
      </c>
      <c r="L475" s="85" t="n">
        <v>17973</v>
      </c>
      <c r="M475" s="85" t="n">
        <v>1283</v>
      </c>
      <c r="N475" s="85" t="n">
        <v>2926</v>
      </c>
      <c r="O475" s="85" t="n">
        <v>13831</v>
      </c>
      <c r="P475" s="85" t="n">
        <v>7158</v>
      </c>
      <c r="Q475" s="85" t="n">
        <v>10461</v>
      </c>
      <c r="R475" s="85" t="n">
        <v>239</v>
      </c>
      <c r="S475" s="85" t="n">
        <v>1119</v>
      </c>
      <c r="T475" s="85" t="n">
        <v>4942</v>
      </c>
      <c r="U475" s="85" t="n">
        <v>5261</v>
      </c>
      <c r="V475" s="85" t="n">
        <v>-297</v>
      </c>
      <c r="W475" s="85" t="n">
        <v>25587</v>
      </c>
      <c r="X475" s="85" t="n">
        <v>12382</v>
      </c>
      <c r="Y475" s="85" t="n">
        <v>6050</v>
      </c>
      <c r="Z475" s="85" t="n">
        <v>15039</v>
      </c>
      <c r="AA475" s="85" t="n">
        <v>3822</v>
      </c>
      <c r="AB475" s="85" t="n">
        <v>14675</v>
      </c>
      <c r="AC475" s="85" t="n">
        <v>2501</v>
      </c>
      <c r="AD475" s="85" t="n">
        <v>3865</v>
      </c>
      <c r="AE475" s="85" t="n">
        <v>10905</v>
      </c>
      <c r="AF475" s="85" t="n">
        <v>7160</v>
      </c>
      <c r="AG475" s="85" t="n">
        <v>10506</v>
      </c>
      <c r="AH475" s="85" t="n">
        <v>14675</v>
      </c>
      <c r="AI475" s="85" t="n">
        <v>25587</v>
      </c>
      <c r="AJ475" s="85" t="n">
        <v>1771</v>
      </c>
      <c r="AK475" s="85" t="n">
        <v>3234</v>
      </c>
      <c r="AL475" s="85" t="n">
        <v>479</v>
      </c>
      <c r="AM475" s="85" t="n">
        <v>718</v>
      </c>
      <c r="AN475" s="85" t="n">
        <v>1254</v>
      </c>
      <c r="AO475" s="85" t="n">
        <v>1442</v>
      </c>
      <c r="AP475" s="85" t="n">
        <v>2976</v>
      </c>
      <c r="AQ475" s="85" t="n">
        <v>3040</v>
      </c>
      <c r="AR475" s="85" t="n">
        <v>2938</v>
      </c>
      <c r="AS475" s="91" t="inlineStr">
        <is>
          <t>N/A</t>
        </is>
      </c>
      <c r="AT475" s="91" t="inlineStr">
        <is>
          <t>N/A</t>
        </is>
      </c>
      <c r="AU475" s="85" t="n">
        <v>411</v>
      </c>
      <c r="AV475" s="85" t="n">
        <v>2206</v>
      </c>
      <c r="AW475" s="85" t="n">
        <v>2618</v>
      </c>
      <c r="AX475" s="85" t="n">
        <v>7158</v>
      </c>
      <c r="AY475" s="85" t="n">
        <v>7160</v>
      </c>
      <c r="AZ475" s="85" t="n">
        <v>4952</v>
      </c>
      <c r="BA475" s="85" t="n">
        <v>1672</v>
      </c>
      <c r="BB475" s="85" t="n">
        <v>835</v>
      </c>
      <c r="BC475" s="85" t="n">
        <v>868</v>
      </c>
      <c r="BD475" s="85" t="n">
        <v>5117</v>
      </c>
      <c r="BE475" s="85" t="n">
        <v>5113</v>
      </c>
      <c r="BF475" s="85" t="n">
        <v>239</v>
      </c>
      <c r="BG475" s="85" t="n">
        <v>931</v>
      </c>
      <c r="BH475" s="85" t="n">
        <v>-1325</v>
      </c>
      <c r="BI475" s="85" t="n">
        <v>-1654</v>
      </c>
      <c r="BJ475" s="85" t="n">
        <v>3133</v>
      </c>
      <c r="BK475" s="85" t="n">
        <v>3189</v>
      </c>
      <c r="BL475" s="85" t="n">
        <v>257</v>
      </c>
      <c r="BM475" s="85" t="n">
        <v>261</v>
      </c>
      <c r="BN475" s="85" t="n">
        <v>375</v>
      </c>
      <c r="BO475" s="85" t="n">
        <v>4142</v>
      </c>
      <c r="BP475" s="85" t="n">
        <v>3770</v>
      </c>
      <c r="BQ475" s="85" t="n">
        <v>0</v>
      </c>
      <c r="BR475" s="85" t="n">
        <v>0</v>
      </c>
      <c r="BS475" s="85" t="n">
        <v>0</v>
      </c>
      <c r="BT475" s="85" t="n">
        <v>0</v>
      </c>
      <c r="BU475" s="85" t="n">
        <v>0</v>
      </c>
      <c r="BV475" s="85" t="n">
        <v>0</v>
      </c>
      <c r="BW475" s="85" t="n">
        <v>0</v>
      </c>
      <c r="BX475" s="85" t="n">
        <v>0</v>
      </c>
      <c r="BY475" s="85" t="n">
        <v>0</v>
      </c>
    </row>
    <row r="476" ht="17" customHeight="1">
      <c r="A476" s="86" t="n">
        <v>474</v>
      </c>
      <c r="B476" s="87" t="inlineStr">
        <is>
          <t>FIS</t>
        </is>
      </c>
      <c r="C476" s="88" t="inlineStr">
        <is>
          <t>Fidelity National Information Services, Inc.</t>
        </is>
      </c>
      <c r="D476" s="86" t="inlineStr">
        <is>
          <t>Financials</t>
        </is>
      </c>
      <c r="E476" s="86" t="n">
        <v>2026</v>
      </c>
      <c r="F476" s="89" t="n">
        <v>33488</v>
      </c>
      <c r="G476" s="89" t="n">
        <v>4488</v>
      </c>
      <c r="H476" s="89" t="n">
        <v>7616</v>
      </c>
      <c r="I476" s="89" t="n">
        <v>19586</v>
      </c>
      <c r="J476" s="89" t="n">
        <v>-22718</v>
      </c>
      <c r="K476" s="89" t="n">
        <v>1741</v>
      </c>
      <c r="L476" s="89" t="n">
        <v>10677</v>
      </c>
      <c r="M476" s="89" t="n">
        <v>382</v>
      </c>
      <c r="N476" s="89" t="n">
        <v>4335</v>
      </c>
      <c r="O476" s="89" t="n">
        <v>3936</v>
      </c>
      <c r="P476" s="89" t="n">
        <v>10353</v>
      </c>
      <c r="Q476" s="89" t="n">
        <v>13899</v>
      </c>
      <c r="R476" s="89" t="n">
        <v>2263</v>
      </c>
      <c r="S476" s="89" t="n">
        <v>619.5</v>
      </c>
      <c r="T476" s="89" t="n">
        <v>1730</v>
      </c>
      <c r="U476" s="89" t="n">
        <v>691</v>
      </c>
      <c r="V476" s="89" t="n">
        <v>713</v>
      </c>
      <c r="W476" s="89" t="n">
        <v>33784</v>
      </c>
      <c r="X476" s="89" t="n">
        <v>5186</v>
      </c>
      <c r="Y476" s="89" t="n">
        <v>6094</v>
      </c>
      <c r="Z476" s="89" t="n">
        <v>18084</v>
      </c>
      <c r="AA476" s="89" t="n">
        <v>529</v>
      </c>
      <c r="AB476" s="89" t="n">
        <v>2812</v>
      </c>
      <c r="AC476" s="89" t="n">
        <v>511</v>
      </c>
      <c r="AD476" s="89" t="n">
        <v>3939</v>
      </c>
      <c r="AE476" s="89" t="n">
        <v>1076</v>
      </c>
      <c r="AF476" s="89" t="n">
        <v>10654</v>
      </c>
      <c r="AG476" s="89" t="n">
        <v>15698</v>
      </c>
      <c r="AH476" s="89" t="n">
        <v>2717</v>
      </c>
      <c r="AI476" s="89" t="n">
        <v>33784</v>
      </c>
      <c r="AJ476" s="89" t="n">
        <v>-16331</v>
      </c>
      <c r="AK476" s="89" t="n">
        <v>789</v>
      </c>
      <c r="AL476" s="89" t="n">
        <v>265</v>
      </c>
      <c r="AM476" s="89" t="n">
        <v>362</v>
      </c>
      <c r="AN476" s="89" t="n">
        <v>154</v>
      </c>
      <c r="AO476" s="89" t="n">
        <v>97</v>
      </c>
      <c r="AP476" s="90" t="inlineStr">
        <is>
          <t>N/A</t>
        </is>
      </c>
      <c r="AQ476" s="90" t="inlineStr">
        <is>
          <t>N/A</t>
        </is>
      </c>
      <c r="AR476" s="89" t="n">
        <v>17762</v>
      </c>
      <c r="AS476" s="89" t="n">
        <v>909</v>
      </c>
      <c r="AT476" s="89" t="n">
        <v>2729</v>
      </c>
      <c r="AU476" s="90" t="inlineStr">
        <is>
          <t>N/A</t>
        </is>
      </c>
      <c r="AV476" s="89" t="n">
        <v>599</v>
      </c>
      <c r="AW476" s="89" t="n">
        <v>834</v>
      </c>
      <c r="AX476" s="89" t="n">
        <v>13082</v>
      </c>
      <c r="AY476" s="89" t="n">
        <v>11290</v>
      </c>
      <c r="AZ476" s="89" t="n">
        <v>12483</v>
      </c>
      <c r="BA476" s="89" t="n">
        <v>4181</v>
      </c>
      <c r="BB476" s="89" t="n">
        <v>636</v>
      </c>
      <c r="BC476" s="89" t="n">
        <v>633</v>
      </c>
      <c r="BD476" s="89" t="n">
        <v>1738</v>
      </c>
      <c r="BE476" s="89" t="n">
        <v>646</v>
      </c>
      <c r="BF476" s="89" t="n">
        <v>2185</v>
      </c>
      <c r="BG476" s="89" t="n">
        <v>434</v>
      </c>
      <c r="BH476" s="89" t="n">
        <v>-1352</v>
      </c>
      <c r="BI476" s="89" t="n">
        <v>-373</v>
      </c>
      <c r="BJ476" s="89" t="n">
        <v>2097</v>
      </c>
      <c r="BK476" s="89" t="n">
        <v>1994</v>
      </c>
      <c r="BL476" s="89" t="n">
        <v>688</v>
      </c>
      <c r="BM476" s="89" t="n">
        <v>680</v>
      </c>
      <c r="BN476" s="90" t="inlineStr">
        <is>
          <t>N/A</t>
        </is>
      </c>
      <c r="BO476" s="89" t="n">
        <v>6741</v>
      </c>
      <c r="BP476" s="89" t="n">
        <v>6323</v>
      </c>
      <c r="BQ476" s="89" t="n">
        <v>0</v>
      </c>
      <c r="BR476" s="89" t="n">
        <v>0</v>
      </c>
      <c r="BS476" s="90" t="inlineStr">
        <is>
          <t>N/A</t>
        </is>
      </c>
      <c r="BT476" s="90" t="inlineStr">
        <is>
          <t>N/A</t>
        </is>
      </c>
      <c r="BU476" s="89" t="n">
        <v>0</v>
      </c>
      <c r="BV476" s="89" t="n">
        <v>0</v>
      </c>
      <c r="BW476" s="89" t="n">
        <v>0</v>
      </c>
      <c r="BX476" s="89" t="n">
        <v>0</v>
      </c>
      <c r="BY476" s="89" t="n">
        <v>-0</v>
      </c>
    </row>
    <row r="477" ht="17" customHeight="1">
      <c r="A477" s="82" t="n">
        <v>475</v>
      </c>
      <c r="B477" s="83" t="inlineStr">
        <is>
          <t>EL</t>
        </is>
      </c>
      <c r="C477" s="84" t="inlineStr">
        <is>
          <t>Estee Lauder Companies Inc</t>
        </is>
      </c>
      <c r="D477" s="82" t="inlineStr">
        <is>
          <t>Consumer Staples</t>
        </is>
      </c>
      <c r="E477" s="82" t="n">
        <v>2026</v>
      </c>
      <c r="F477" s="85" t="n">
        <v>19892</v>
      </c>
      <c r="G477" s="85" t="n">
        <v>7069</v>
      </c>
      <c r="H477" s="85" t="n">
        <v>5435</v>
      </c>
      <c r="I477" s="85" t="n">
        <v>8745</v>
      </c>
      <c r="J477" s="85" t="n">
        <v>11672</v>
      </c>
      <c r="K477" s="85" t="n">
        <v>-785</v>
      </c>
      <c r="L477" s="85" t="n">
        <v>14326</v>
      </c>
      <c r="M477" s="85" t="n">
        <v>684</v>
      </c>
      <c r="N477" s="85" t="n">
        <v>1272</v>
      </c>
      <c r="O477" s="85" t="n">
        <v>10597</v>
      </c>
      <c r="P477" s="85" t="n">
        <v>1080.1</v>
      </c>
      <c r="Q477" s="85" t="n">
        <v>5590</v>
      </c>
      <c r="R477" s="85" t="n">
        <v>9456</v>
      </c>
      <c r="S477" s="85" t="n">
        <v>829</v>
      </c>
      <c r="T477" s="85" t="n">
        <v>1530</v>
      </c>
      <c r="U477" s="85" t="n">
        <v>3172</v>
      </c>
      <c r="V477" s="85" t="n">
        <v>378</v>
      </c>
      <c r="W477" s="85" t="n">
        <v>21677</v>
      </c>
      <c r="X477" s="85" t="n">
        <v>7922</v>
      </c>
      <c r="Y477" s="85" t="n">
        <v>5702</v>
      </c>
      <c r="Z477" s="85" t="n">
        <v>8745</v>
      </c>
      <c r="AA477" s="85" t="n">
        <v>970</v>
      </c>
      <c r="AB477" s="85" t="n">
        <v>15608</v>
      </c>
      <c r="AC477" s="85" t="n">
        <v>-462</v>
      </c>
      <c r="AD477" s="85" t="n">
        <v>2360</v>
      </c>
      <c r="AE477" s="85" t="n">
        <v>11184</v>
      </c>
      <c r="AF477" s="85" t="n">
        <v>1205</v>
      </c>
      <c r="AG477" s="85" t="n">
        <v>6057</v>
      </c>
      <c r="AH477" s="85" t="n">
        <v>15608</v>
      </c>
      <c r="AI477" s="85" t="n">
        <v>21677</v>
      </c>
      <c r="AJ477" s="85" t="n">
        <v>-1040</v>
      </c>
      <c r="AK477" s="85" t="n">
        <v>772</v>
      </c>
      <c r="AL477" s="85" t="n">
        <v>93</v>
      </c>
      <c r="AM477" s="85" t="n">
        <v>363</v>
      </c>
      <c r="AN477" s="85" t="n">
        <v>602</v>
      </c>
      <c r="AO477" s="85" t="n">
        <v>919</v>
      </c>
      <c r="AP477" s="85" t="n">
        <v>2074</v>
      </c>
      <c r="AQ477" s="85" t="n">
        <v>2175</v>
      </c>
      <c r="AR477" s="85" t="n">
        <v>2135</v>
      </c>
      <c r="AS477" s="85" t="n">
        <v>1436</v>
      </c>
      <c r="AT477" s="85" t="n">
        <v>3</v>
      </c>
      <c r="AU477" s="85" t="n">
        <v>157.9</v>
      </c>
      <c r="AV477" s="85" t="n">
        <v>2181</v>
      </c>
      <c r="AW477" s="85" t="n">
        <v>1136</v>
      </c>
      <c r="AX477" s="85" t="n">
        <v>1083.1</v>
      </c>
      <c r="AY477" s="85" t="n">
        <v>1709</v>
      </c>
      <c r="AZ477" s="85" t="n">
        <v>-1097.9</v>
      </c>
      <c r="BA477" s="85" t="n">
        <v>670</v>
      </c>
      <c r="BB477" s="91" t="inlineStr">
        <is>
          <t>N/A</t>
        </is>
      </c>
      <c r="BC477" s="91" t="inlineStr">
        <is>
          <t>N/A</t>
        </is>
      </c>
      <c r="BD477" s="85" t="n">
        <v>1727</v>
      </c>
      <c r="BE477" s="85" t="n">
        <v>3136</v>
      </c>
      <c r="BF477" s="85" t="n">
        <v>9621</v>
      </c>
      <c r="BG477" s="85" t="n">
        <v>825</v>
      </c>
      <c r="BH477" s="85" t="n">
        <v>-623</v>
      </c>
      <c r="BI477" s="85" t="n">
        <v>-960</v>
      </c>
      <c r="BJ477" s="85" t="n">
        <v>493.8</v>
      </c>
      <c r="BK477" s="85" t="n">
        <v>446.7</v>
      </c>
      <c r="BL477" s="85" t="n">
        <v>314</v>
      </c>
      <c r="BM477" s="85" t="n">
        <v>327</v>
      </c>
      <c r="BN477" s="85" t="n">
        <v>282</v>
      </c>
      <c r="BO477" s="85" t="n">
        <v>3729</v>
      </c>
      <c r="BP477" s="85" t="n">
        <v>4424</v>
      </c>
      <c r="BQ477" s="85" t="n">
        <v>0</v>
      </c>
      <c r="BR477" s="85" t="n">
        <v>0</v>
      </c>
      <c r="BS477" s="85" t="n">
        <v>0</v>
      </c>
      <c r="BT477" s="85" t="n">
        <v>0</v>
      </c>
      <c r="BU477" s="85" t="n">
        <v>0</v>
      </c>
      <c r="BV477" s="85" t="n">
        <v>0</v>
      </c>
      <c r="BW477" s="85" t="n">
        <v>0</v>
      </c>
      <c r="BX477" s="85" t="n">
        <v>0</v>
      </c>
      <c r="BY477" s="85" t="n">
        <v>-0</v>
      </c>
    </row>
    <row r="478" ht="17" customHeight="1">
      <c r="A478" s="86" t="n">
        <v>476</v>
      </c>
      <c r="B478" s="87" t="inlineStr">
        <is>
          <t>EME</t>
        </is>
      </c>
      <c r="C478" s="88" t="inlineStr">
        <is>
          <t>EMCOR Group, Inc.</t>
        </is>
      </c>
      <c r="D478" s="86" t="inlineStr">
        <is>
          <t>Industrials</t>
        </is>
      </c>
      <c r="E478" s="86" t="n">
        <v>2026</v>
      </c>
      <c r="F478" s="89" t="n">
        <v>9291.4</v>
      </c>
      <c r="G478" s="89" t="n">
        <v>5937.3</v>
      </c>
      <c r="H478" s="89" t="n">
        <v>4864.9</v>
      </c>
      <c r="I478" s="89" t="n">
        <v>5616.4</v>
      </c>
      <c r="J478" s="89" t="n">
        <v>6005.8</v>
      </c>
      <c r="K478" s="89" t="n">
        <v>1713.4</v>
      </c>
      <c r="L478" s="89" t="n">
        <v>16986.4</v>
      </c>
      <c r="M478" s="89" t="n">
        <v>1272.8</v>
      </c>
      <c r="N478" s="89" t="n">
        <v>1302.1</v>
      </c>
      <c r="O478" s="89" t="n">
        <v>3283</v>
      </c>
      <c r="P478" s="90" t="inlineStr">
        <is>
          <t>N/A</t>
        </is>
      </c>
      <c r="Q478" s="89" t="n">
        <v>3673.9</v>
      </c>
      <c r="R478" s="89" t="n">
        <v>1714.4</v>
      </c>
      <c r="S478" s="89" t="n">
        <v>51.8</v>
      </c>
      <c r="T478" s="89" t="n">
        <v>4241.2</v>
      </c>
      <c r="U478" s="89" t="n">
        <v>253.3</v>
      </c>
      <c r="V478" s="89" t="n">
        <v>12</v>
      </c>
      <c r="W478" s="89" t="n">
        <v>7716.5</v>
      </c>
      <c r="X478" s="89" t="n">
        <v>5389.2</v>
      </c>
      <c r="Y478" s="89" t="n">
        <v>4153.9</v>
      </c>
      <c r="Z478" s="89" t="n">
        <v>4777.8</v>
      </c>
      <c r="AA478" s="89" t="n">
        <v>1344.9</v>
      </c>
      <c r="AB478" s="89" t="n">
        <v>14566.1</v>
      </c>
      <c r="AC478" s="89" t="n">
        <v>1007.1</v>
      </c>
      <c r="AD478" s="89" t="n">
        <v>1407.9</v>
      </c>
      <c r="AE478" s="89" t="n">
        <v>2765.1</v>
      </c>
      <c r="AF478" s="90" t="inlineStr">
        <is>
          <t>N/A</t>
        </is>
      </c>
      <c r="AG478" s="89" t="n">
        <v>2937.7</v>
      </c>
      <c r="AH478" s="89" t="n">
        <v>14566.1</v>
      </c>
      <c r="AI478" s="89" t="n">
        <v>7716.5</v>
      </c>
      <c r="AJ478" s="89" t="n">
        <v>1721.6</v>
      </c>
      <c r="AK478" s="89" t="n">
        <v>1377.4</v>
      </c>
      <c r="AL478" s="89" t="n">
        <v>448.8</v>
      </c>
      <c r="AM478" s="89" t="n">
        <v>370.2</v>
      </c>
      <c r="AN478" s="89" t="n">
        <v>112.8</v>
      </c>
      <c r="AO478" s="89" t="n">
        <v>75</v>
      </c>
      <c r="AP478" s="90" t="inlineStr">
        <is>
          <t>N/A</t>
        </is>
      </c>
      <c r="AQ478" s="90" t="inlineStr">
        <is>
          <t>N/A</t>
        </is>
      </c>
      <c r="AR478" s="89" t="n">
        <v>1412.4</v>
      </c>
      <c r="AS478" s="89" t="n">
        <v>664.7</v>
      </c>
      <c r="AT478" s="90" t="inlineStr">
        <is>
          <t>N/A</t>
        </is>
      </c>
      <c r="AU478" s="90" t="inlineStr">
        <is>
          <t>N/A</t>
        </is>
      </c>
      <c r="AV478" s="89" t="n">
        <v>1112</v>
      </c>
      <c r="AW478" s="89" t="n">
        <v>1339.5</v>
      </c>
      <c r="AX478" s="90" t="inlineStr">
        <is>
          <t>N/A</t>
        </is>
      </c>
      <c r="AY478" s="90" t="inlineStr">
        <is>
          <t>N/A</t>
        </is>
      </c>
      <c r="AZ478" s="89" t="n">
        <v>-1112</v>
      </c>
      <c r="BA478" s="89" t="n">
        <v>1189.3</v>
      </c>
      <c r="BB478" s="89" t="n">
        <v>44.5</v>
      </c>
      <c r="BC478" s="89" t="n">
        <v>45.8</v>
      </c>
      <c r="BD478" s="89" t="n">
        <v>3577.5</v>
      </c>
      <c r="BE478" s="89" t="n">
        <v>207.5</v>
      </c>
      <c r="BF478" s="89" t="n">
        <v>1420.2</v>
      </c>
      <c r="BG478" s="89" t="n">
        <v>47.3</v>
      </c>
      <c r="BH478" s="89" t="n">
        <v>-873.6</v>
      </c>
      <c r="BI478" s="89" t="n">
        <v>-299.3</v>
      </c>
      <c r="BJ478" s="89" t="n">
        <v>1227.4</v>
      </c>
      <c r="BK478" s="89" t="n">
        <v>937.1</v>
      </c>
      <c r="BL478" s="90" t="inlineStr">
        <is>
          <t>N/A</t>
        </is>
      </c>
      <c r="BM478" s="89" t="n">
        <v>47.3</v>
      </c>
      <c r="BN478" s="90" t="inlineStr">
        <is>
          <t>N/A</t>
        </is>
      </c>
      <c r="BO478" s="89" t="n">
        <v>13703.4</v>
      </c>
      <c r="BP478" s="89" t="n">
        <v>11801.1</v>
      </c>
      <c r="BQ478" s="89" t="n">
        <v>0</v>
      </c>
      <c r="BR478" s="89" t="n">
        <v>0</v>
      </c>
      <c r="BS478" s="90" t="inlineStr">
        <is>
          <t>N/A</t>
        </is>
      </c>
      <c r="BT478" s="90" t="inlineStr">
        <is>
          <t>N/A</t>
        </is>
      </c>
      <c r="BU478" s="89" t="n">
        <v>0</v>
      </c>
      <c r="BV478" s="89" t="n">
        <v>0</v>
      </c>
      <c r="BW478" s="89" t="n">
        <v>0</v>
      </c>
      <c r="BX478" s="89" t="n">
        <v>0</v>
      </c>
      <c r="BY478" s="89" t="n">
        <v>0</v>
      </c>
    </row>
    <row r="479" ht="17" customHeight="1">
      <c r="A479" s="82" t="n">
        <v>477</v>
      </c>
      <c r="B479" s="83" t="inlineStr">
        <is>
          <t>VRSK</t>
        </is>
      </c>
      <c r="C479" s="84" t="inlineStr">
        <is>
          <t>Verisk Analytics, Inc.</t>
        </is>
      </c>
      <c r="D479" s="82" t="inlineStr">
        <is>
          <t>Financials</t>
        </is>
      </c>
      <c r="E479" s="82" t="n">
        <v>2026</v>
      </c>
      <c r="F479" s="85" t="n">
        <v>6195.5</v>
      </c>
      <c r="G479" s="85" t="n">
        <v>2765.4</v>
      </c>
      <c r="H479" s="85" t="n">
        <v>2300.3</v>
      </c>
      <c r="I479" s="85" t="n">
        <v>5885.7</v>
      </c>
      <c r="J479" s="85" t="n">
        <v>7810.5</v>
      </c>
      <c r="K479" s="85" t="n">
        <v>1343.9</v>
      </c>
      <c r="L479" s="85" t="n">
        <v>3072.7</v>
      </c>
      <c r="M479" s="85" t="n">
        <v>908.3</v>
      </c>
      <c r="N479" s="85" t="n">
        <v>1436</v>
      </c>
      <c r="O479" s="85" t="n">
        <v>2147.2</v>
      </c>
      <c r="P479" s="85" t="n">
        <v>4773.5</v>
      </c>
      <c r="Q479" s="85" t="n">
        <v>309</v>
      </c>
      <c r="R479" s="85" t="n">
        <v>458.2</v>
      </c>
      <c r="S479" s="85" t="n">
        <v>259.2</v>
      </c>
      <c r="T479" s="85" t="n">
        <v>422.2</v>
      </c>
      <c r="U479" s="85" t="n">
        <v>604.9</v>
      </c>
      <c r="V479" s="85" t="n">
        <v>115.5</v>
      </c>
      <c r="W479" s="85" t="n">
        <v>4264.7</v>
      </c>
      <c r="X479" s="85" t="n">
        <v>911.6</v>
      </c>
      <c r="Y479" s="85" t="n">
        <v>1238.9</v>
      </c>
      <c r="Z479" s="85" t="n">
        <v>4159.7</v>
      </c>
      <c r="AA479" s="85" t="n">
        <v>1253.9</v>
      </c>
      <c r="AB479" s="85" t="n">
        <v>2881.7</v>
      </c>
      <c r="AC479" s="85" t="n">
        <v>958.2</v>
      </c>
      <c r="AD479" s="85" t="n">
        <v>1144</v>
      </c>
      <c r="AE479" s="85" t="n">
        <v>1980.6</v>
      </c>
      <c r="AF479" s="85" t="n">
        <v>3091.3</v>
      </c>
      <c r="AG479" s="85" t="n">
        <v>100.1</v>
      </c>
      <c r="AH479" s="85" t="n">
        <v>2881.7</v>
      </c>
      <c r="AI479" s="85" t="n">
        <v>4264.7</v>
      </c>
      <c r="AJ479" s="85" t="n">
        <v>1171.3</v>
      </c>
      <c r="AK479" s="85" t="n">
        <v>1228.6</v>
      </c>
      <c r="AL479" s="85" t="n">
        <v>263</v>
      </c>
      <c r="AM479" s="85" t="n">
        <v>277.9</v>
      </c>
      <c r="AN479" s="85" t="n">
        <v>244.1</v>
      </c>
      <c r="AO479" s="85" t="n">
        <v>223.9</v>
      </c>
      <c r="AP479" s="91" t="inlineStr">
        <is>
          <t>N/A</t>
        </is>
      </c>
      <c r="AQ479" s="91" t="inlineStr">
        <is>
          <t>N/A</t>
        </is>
      </c>
      <c r="AR479" s="85" t="n">
        <v>1878.2</v>
      </c>
      <c r="AS479" s="85" t="n">
        <v>346.6</v>
      </c>
      <c r="AT479" s="85" t="n">
        <v>195.3</v>
      </c>
      <c r="AU479" s="85" t="n">
        <v>40.9</v>
      </c>
      <c r="AV479" s="85" t="n">
        <v>2178.2</v>
      </c>
      <c r="AW479" s="85" t="n">
        <v>291.2</v>
      </c>
      <c r="AX479" s="85" t="n">
        <v>4968.8</v>
      </c>
      <c r="AY479" s="85" t="n">
        <v>3096.9</v>
      </c>
      <c r="AZ479" s="85" t="n">
        <v>2790.6</v>
      </c>
      <c r="BA479" s="85" t="n">
        <v>1191.9</v>
      </c>
      <c r="BB479" s="85" t="n">
        <v>138.4</v>
      </c>
      <c r="BC479" s="85" t="n">
        <v>140.4</v>
      </c>
      <c r="BD479" s="85" t="n">
        <v>434.4</v>
      </c>
      <c r="BE479" s="85" t="n">
        <v>541.5</v>
      </c>
      <c r="BF479" s="85" t="n">
        <v>408.7</v>
      </c>
      <c r="BG479" s="85" t="n">
        <v>233.6</v>
      </c>
      <c r="BH479" s="85" t="n">
        <v>-358.1</v>
      </c>
      <c r="BI479" s="85" t="n">
        <v>-124.8</v>
      </c>
      <c r="BJ479" s="85" t="n">
        <v>319.1</v>
      </c>
      <c r="BK479" s="85" t="n">
        <v>249.8</v>
      </c>
      <c r="BL479" s="85" t="n">
        <v>383.1</v>
      </c>
      <c r="BM479" s="85" t="n">
        <v>383.2</v>
      </c>
      <c r="BN479" s="91" t="inlineStr">
        <is>
          <t>N/A</t>
        </is>
      </c>
      <c r="BO479" s="85" t="n">
        <v>925.5</v>
      </c>
      <c r="BP479" s="85" t="n">
        <v>901.1</v>
      </c>
      <c r="BQ479" s="85" t="n">
        <v>0</v>
      </c>
      <c r="BR479" s="85" t="n">
        <v>0</v>
      </c>
      <c r="BS479" s="91" t="inlineStr">
        <is>
          <t>N/A</t>
        </is>
      </c>
      <c r="BT479" s="91" t="inlineStr">
        <is>
          <t>N/A</t>
        </is>
      </c>
      <c r="BU479" s="85" t="n">
        <v>0</v>
      </c>
      <c r="BV479" s="85" t="n">
        <v>0</v>
      </c>
      <c r="BW479" s="85" t="n">
        <v>0</v>
      </c>
      <c r="BX479" s="85" t="n">
        <v>0</v>
      </c>
      <c r="BY479" s="85" t="n">
        <v>0</v>
      </c>
    </row>
    <row r="480" ht="17" customHeight="1">
      <c r="A480" s="86" t="n">
        <v>478</v>
      </c>
      <c r="B480" s="87" t="inlineStr">
        <is>
          <t>LNT</t>
        </is>
      </c>
      <c r="C480" s="88" t="inlineStr">
        <is>
          <t>ALLIANT ENERGY CORP</t>
        </is>
      </c>
      <c r="D480" s="86" t="inlineStr">
        <is>
          <t>Utilities</t>
        </is>
      </c>
      <c r="E480" s="86" t="n">
        <v>2026</v>
      </c>
      <c r="F480" s="89" t="n">
        <v>24991</v>
      </c>
      <c r="G480" s="89" t="n">
        <v>1697</v>
      </c>
      <c r="H480" s="89" t="n">
        <v>2123</v>
      </c>
      <c r="I480" s="89" t="n">
        <v>24991</v>
      </c>
      <c r="J480" s="89" t="n">
        <v>4243</v>
      </c>
      <c r="K480" s="89" t="n">
        <v>1025</v>
      </c>
      <c r="L480" s="89" t="n">
        <v>4362</v>
      </c>
      <c r="M480" s="89" t="n">
        <v>810</v>
      </c>
      <c r="N480" s="89" t="n">
        <v>1169</v>
      </c>
      <c r="O480" s="89" t="n">
        <v>3737</v>
      </c>
      <c r="P480" s="89" t="n">
        <v>3870.5</v>
      </c>
      <c r="Q480" s="89" t="n">
        <v>7334</v>
      </c>
      <c r="R480" s="90" t="inlineStr">
        <is>
          <t>N/A</t>
        </is>
      </c>
      <c r="S480" s="89" t="n">
        <v>676</v>
      </c>
      <c r="T480" s="89" t="n">
        <v>476</v>
      </c>
      <c r="U480" s="89" t="n">
        <v>20344</v>
      </c>
      <c r="V480" s="89" t="n">
        <v>512</v>
      </c>
      <c r="W480" s="89" t="n">
        <v>22714</v>
      </c>
      <c r="X480" s="89" t="n">
        <v>1184</v>
      </c>
      <c r="Y480" s="89" t="n">
        <v>2715</v>
      </c>
      <c r="Z480" s="89" t="n">
        <v>22714</v>
      </c>
      <c r="AA480" s="89" t="n">
        <v>886</v>
      </c>
      <c r="AB480" s="89" t="n">
        <v>3981</v>
      </c>
      <c r="AC480" s="89" t="n">
        <v>690</v>
      </c>
      <c r="AD480" s="89" t="n">
        <v>1167</v>
      </c>
      <c r="AE480" s="89" t="n">
        <v>3368</v>
      </c>
      <c r="AF480" s="89" t="n">
        <v>3802.8</v>
      </c>
      <c r="AG480" s="89" t="n">
        <v>7004</v>
      </c>
      <c r="AH480" s="89" t="n">
        <v>3981</v>
      </c>
      <c r="AI480" s="89" t="n">
        <v>22714</v>
      </c>
      <c r="AJ480" s="89" t="n">
        <v>661</v>
      </c>
      <c r="AK480" s="89" t="n">
        <v>576</v>
      </c>
      <c r="AL480" s="89" t="n">
        <v>-149</v>
      </c>
      <c r="AM480" s="89" t="n">
        <v>-114</v>
      </c>
      <c r="AN480" s="89" t="n">
        <v>1484</v>
      </c>
      <c r="AO480" s="89" t="n">
        <v>1169</v>
      </c>
      <c r="AP480" s="90" t="inlineStr">
        <is>
          <t>N/A</t>
        </is>
      </c>
      <c r="AQ480" s="90" t="inlineStr">
        <is>
          <t>N/A</t>
        </is>
      </c>
      <c r="AR480" s="90" t="inlineStr">
        <is>
          <t>N/A</t>
        </is>
      </c>
      <c r="AS480" s="90" t="inlineStr">
        <is>
          <t>N/A</t>
        </is>
      </c>
      <c r="AT480" s="89" t="n">
        <v>1074</v>
      </c>
      <c r="AU480" s="90" t="inlineStr">
        <is>
          <t>N/A</t>
        </is>
      </c>
      <c r="AV480" s="89" t="n">
        <v>556</v>
      </c>
      <c r="AW480" s="89" t="n">
        <v>81</v>
      </c>
      <c r="AX480" s="89" t="n">
        <v>4944.5</v>
      </c>
      <c r="AY480" s="89" t="n">
        <v>3802.8</v>
      </c>
      <c r="AZ480" s="89" t="n">
        <v>4388.5</v>
      </c>
      <c r="BA480" s="89" t="n">
        <v>-315</v>
      </c>
      <c r="BB480" s="89" t="n">
        <v>257.1</v>
      </c>
      <c r="BC480" s="89" t="n">
        <v>256.7</v>
      </c>
      <c r="BD480" s="89" t="n">
        <v>427</v>
      </c>
      <c r="BE480" s="89" t="n">
        <v>18701</v>
      </c>
      <c r="BF480" s="90" t="inlineStr">
        <is>
          <t>N/A</t>
        </is>
      </c>
      <c r="BG480" s="89" t="n">
        <v>671</v>
      </c>
      <c r="BH480" s="89" t="n">
        <v>-1896</v>
      </c>
      <c r="BI480" s="89" t="n">
        <v>-1547</v>
      </c>
      <c r="BJ480" s="89" t="n">
        <v>498</v>
      </c>
      <c r="BK480" s="89" t="n">
        <v>532</v>
      </c>
      <c r="BL480" s="90" t="inlineStr">
        <is>
          <t>N/A</t>
        </is>
      </c>
      <c r="BM480" s="90" t="inlineStr">
        <is>
          <t>N/A</t>
        </is>
      </c>
      <c r="BN480" s="89" t="n">
        <v>58</v>
      </c>
      <c r="BO480" s="89" t="n">
        <v>625</v>
      </c>
      <c r="BP480" s="89" t="n">
        <v>613</v>
      </c>
      <c r="BQ480" s="89" t="n">
        <v>0</v>
      </c>
      <c r="BR480" s="89" t="n">
        <v>0</v>
      </c>
      <c r="BS480" s="90" t="inlineStr">
        <is>
          <t>N/A</t>
        </is>
      </c>
      <c r="BT480" s="90" t="inlineStr">
        <is>
          <t>N/A</t>
        </is>
      </c>
      <c r="BU480" s="89" t="n">
        <v>0</v>
      </c>
      <c r="BV480" s="89" t="n">
        <v>0</v>
      </c>
      <c r="BW480" s="89" t="n">
        <v>0</v>
      </c>
      <c r="BX480" s="89" t="n">
        <v>0</v>
      </c>
      <c r="BY480" s="89" t="n">
        <v>-0</v>
      </c>
    </row>
    <row r="481" ht="17" customHeight="1">
      <c r="A481" s="82" t="n">
        <v>479</v>
      </c>
      <c r="B481" s="83" t="inlineStr">
        <is>
          <t>D</t>
        </is>
      </c>
      <c r="C481" s="84" t="inlineStr">
        <is>
          <t>DOMINION ENERGY, INC</t>
        </is>
      </c>
      <c r="D481" s="82" t="inlineStr">
        <is>
          <t>Utilities</t>
        </is>
      </c>
      <c r="E481" s="82" t="n">
        <v>2026</v>
      </c>
      <c r="F481" s="85" t="n">
        <v>115857</v>
      </c>
      <c r="G481" s="85" t="n">
        <v>8071</v>
      </c>
      <c r="H481" s="85" t="n">
        <v>10444</v>
      </c>
      <c r="I481" s="85" t="n">
        <v>82440</v>
      </c>
      <c r="J481" s="85" t="n">
        <v>2318</v>
      </c>
      <c r="K481" s="85" t="n">
        <v>4414</v>
      </c>
      <c r="L481" s="85" t="n">
        <v>16506</v>
      </c>
      <c r="M481" s="85" t="n">
        <v>2998</v>
      </c>
      <c r="N481" s="85" t="n">
        <v>5361</v>
      </c>
      <c r="O481" s="91" t="inlineStr">
        <is>
          <t>N/A</t>
        </is>
      </c>
      <c r="P481" s="85" t="n">
        <v>46332</v>
      </c>
      <c r="Q481" s="85" t="n">
        <v>29083</v>
      </c>
      <c r="R481" s="91" t="inlineStr">
        <is>
          <t>N/A</t>
        </is>
      </c>
      <c r="S481" s="85" t="n">
        <v>2387</v>
      </c>
      <c r="T481" s="85" t="n">
        <v>2531</v>
      </c>
      <c r="U481" s="85" t="n">
        <v>78967</v>
      </c>
      <c r="V481" s="91" t="inlineStr">
        <is>
          <t>N/A</t>
        </is>
      </c>
      <c r="W481" s="85" t="n">
        <v>102415</v>
      </c>
      <c r="X481" s="85" t="n">
        <v>6613</v>
      </c>
      <c r="Y481" s="85" t="n">
        <v>9289</v>
      </c>
      <c r="Z481" s="85" t="n">
        <v>72223</v>
      </c>
      <c r="AA481" s="85" t="n">
        <v>756</v>
      </c>
      <c r="AB481" s="85" t="n">
        <v>4093</v>
      </c>
      <c r="AC481" s="85" t="n">
        <v>567</v>
      </c>
      <c r="AD481" s="85" t="n">
        <v>5018</v>
      </c>
      <c r="AE481" s="91" t="inlineStr">
        <is>
          <t>N/A</t>
        </is>
      </c>
      <c r="AF481" s="85" t="n">
        <v>39320</v>
      </c>
      <c r="AG481" s="85" t="n">
        <v>27253</v>
      </c>
      <c r="AH481" s="85" t="n">
        <v>4527</v>
      </c>
      <c r="AI481" s="85" t="n">
        <v>102415</v>
      </c>
      <c r="AJ481" s="85" t="n">
        <v>3611</v>
      </c>
      <c r="AK481" s="85" t="n">
        <v>2182</v>
      </c>
      <c r="AL481" s="85" t="n">
        <v>532</v>
      </c>
      <c r="AM481" s="85" t="n">
        <v>308</v>
      </c>
      <c r="AN481" s="85" t="n">
        <v>4980</v>
      </c>
      <c r="AO481" s="85" t="n">
        <v>4254</v>
      </c>
      <c r="AP481" s="91" t="inlineStr">
        <is>
          <t>N/A</t>
        </is>
      </c>
      <c r="AQ481" s="91" t="inlineStr">
        <is>
          <t>N/A</t>
        </is>
      </c>
      <c r="AR481" s="85" t="n">
        <v>4143</v>
      </c>
      <c r="AS481" s="85" t="n">
        <v>1682</v>
      </c>
      <c r="AT481" s="85" t="n">
        <v>2457</v>
      </c>
      <c r="AU481" s="91" t="inlineStr">
        <is>
          <t>N/A</t>
        </is>
      </c>
      <c r="AV481" s="85" t="n">
        <v>250</v>
      </c>
      <c r="AW481" s="85" t="n">
        <v>310</v>
      </c>
      <c r="AX481" s="85" t="n">
        <v>48789</v>
      </c>
      <c r="AY481" s="85" t="n">
        <v>41820</v>
      </c>
      <c r="AZ481" s="85" t="n">
        <v>48539</v>
      </c>
      <c r="BA481" s="85" t="n">
        <v>381</v>
      </c>
      <c r="BB481" s="85" t="n">
        <v>879</v>
      </c>
      <c r="BC481" s="85" t="n">
        <v>852</v>
      </c>
      <c r="BD481" s="85" t="n">
        <v>2169</v>
      </c>
      <c r="BE481" s="85" t="n">
        <v>68862</v>
      </c>
      <c r="BF481" s="91" t="inlineStr">
        <is>
          <t>N/A</t>
        </is>
      </c>
      <c r="BG481" s="85" t="n">
        <v>2345</v>
      </c>
      <c r="BH481" s="85" t="n">
        <v>-12969</v>
      </c>
      <c r="BI481" s="85" t="n">
        <v>-3183</v>
      </c>
      <c r="BJ481" s="85" t="n">
        <v>1338</v>
      </c>
      <c r="BK481" s="85" t="n">
        <v>1149</v>
      </c>
      <c r="BL481" s="85" t="n">
        <v>45</v>
      </c>
      <c r="BM481" s="85" t="n">
        <v>52</v>
      </c>
      <c r="BN481" s="91" t="inlineStr">
        <is>
          <t>N/A</t>
        </is>
      </c>
      <c r="BO481" s="91" t="inlineStr">
        <is>
          <t>N/A</t>
        </is>
      </c>
      <c r="BP481" s="91" t="inlineStr">
        <is>
          <t>N/A</t>
        </is>
      </c>
      <c r="BQ481" s="85" t="n">
        <v>0</v>
      </c>
      <c r="BR481" s="85" t="n">
        <v>0</v>
      </c>
      <c r="BS481" s="91" t="inlineStr">
        <is>
          <t>N/A</t>
        </is>
      </c>
      <c r="BT481" s="91" t="inlineStr">
        <is>
          <t>N/A</t>
        </is>
      </c>
      <c r="BU481" s="91" t="inlineStr">
        <is>
          <t>N/A</t>
        </is>
      </c>
      <c r="BV481" s="91" t="inlineStr">
        <is>
          <t>N/A</t>
        </is>
      </c>
      <c r="BW481" s="85" t="n">
        <v>0</v>
      </c>
      <c r="BX481" s="85" t="n">
        <v>0</v>
      </c>
      <c r="BY481" s="85" t="n">
        <v>0</v>
      </c>
    </row>
    <row r="482" ht="17" customHeight="1">
      <c r="A482" s="86" t="n">
        <v>480</v>
      </c>
      <c r="B482" s="87" t="inlineStr">
        <is>
          <t>GM</t>
        </is>
      </c>
      <c r="C482" s="88" t="inlineStr">
        <is>
          <t>GENERAL MOTORS COMPANY</t>
        </is>
      </c>
      <c r="D482" s="86" t="inlineStr">
        <is>
          <t>Consumer Discretionary</t>
        </is>
      </c>
      <c r="E482" s="86" t="n">
        <v>2026</v>
      </c>
      <c r="F482" s="89" t="n">
        <v>281284</v>
      </c>
      <c r="G482" s="89" t="n">
        <v>108767</v>
      </c>
      <c r="H482" s="89" t="n">
        <v>93342</v>
      </c>
      <c r="I482" s="89" t="n">
        <v>218116</v>
      </c>
      <c r="J482" s="89" t="n">
        <v>51524</v>
      </c>
      <c r="K482" s="89" t="n">
        <v>2909</v>
      </c>
      <c r="L482" s="89" t="n">
        <v>185019</v>
      </c>
      <c r="M482" s="89" t="n">
        <v>2697</v>
      </c>
      <c r="N482" s="89" t="n">
        <v>26867</v>
      </c>
      <c r="O482" s="89" t="n">
        <v>-3135</v>
      </c>
      <c r="P482" s="90" t="inlineStr">
        <is>
          <t>N/A</t>
        </is>
      </c>
      <c r="Q482" s="89" t="n">
        <v>61119</v>
      </c>
      <c r="R482" s="89" t="n">
        <v>8554</v>
      </c>
      <c r="S482" s="89" t="n">
        <v>11980</v>
      </c>
      <c r="T482" s="89" t="n">
        <v>13054</v>
      </c>
      <c r="U482" s="89" t="n">
        <v>45248</v>
      </c>
      <c r="V482" s="89" t="n">
        <v>4121</v>
      </c>
      <c r="W482" s="89" t="n">
        <v>279761</v>
      </c>
      <c r="X482" s="89" t="n">
        <v>108545</v>
      </c>
      <c r="Y482" s="89" t="n">
        <v>96265</v>
      </c>
      <c r="Z482" s="89" t="n">
        <v>214171</v>
      </c>
      <c r="AA482" s="89" t="n">
        <v>12784</v>
      </c>
      <c r="AB482" s="89" t="n">
        <v>187442</v>
      </c>
      <c r="AC482" s="89" t="n">
        <v>6008</v>
      </c>
      <c r="AD482" s="89" t="n">
        <v>20129</v>
      </c>
      <c r="AE482" s="89" t="n">
        <v>4327</v>
      </c>
      <c r="AF482" s="90" t="inlineStr">
        <is>
          <t>N/A</t>
        </is>
      </c>
      <c r="AG482" s="89" t="n">
        <v>63072</v>
      </c>
      <c r="AH482" s="89" t="n">
        <v>187442</v>
      </c>
      <c r="AI482" s="89" t="n">
        <v>279761</v>
      </c>
      <c r="AJ482" s="89" t="n">
        <v>3117</v>
      </c>
      <c r="AK482" s="89" t="n">
        <v>8519</v>
      </c>
      <c r="AL482" s="89" t="n">
        <v>338</v>
      </c>
      <c r="AM482" s="89" t="n">
        <v>2556</v>
      </c>
      <c r="AN482" s="89" t="n">
        <v>9303</v>
      </c>
      <c r="AO482" s="89" t="n">
        <v>10830</v>
      </c>
      <c r="AP482" s="89" t="n">
        <v>14467</v>
      </c>
      <c r="AQ482" s="89" t="n">
        <v>14564</v>
      </c>
      <c r="AR482" s="89" t="n">
        <v>1900</v>
      </c>
      <c r="AS482" s="89" t="n">
        <v>2454</v>
      </c>
      <c r="AT482" s="90" t="inlineStr">
        <is>
          <t>N/A</t>
        </is>
      </c>
      <c r="AU482" s="89" t="n">
        <v>7200</v>
      </c>
      <c r="AV482" s="89" t="n">
        <v>20945</v>
      </c>
      <c r="AW482" s="89" t="n">
        <v>19872</v>
      </c>
      <c r="AX482" s="90" t="inlineStr">
        <is>
          <t>N/A</t>
        </is>
      </c>
      <c r="AY482" s="90" t="inlineStr">
        <is>
          <t>N/A</t>
        </is>
      </c>
      <c r="AZ482" s="90" t="inlineStr">
        <is>
          <t>N/A</t>
        </is>
      </c>
      <c r="BA482" s="89" t="n">
        <v>17564</v>
      </c>
      <c r="BB482" s="89" t="n">
        <v>904</v>
      </c>
      <c r="BC482" s="89" t="n">
        <v>1000</v>
      </c>
      <c r="BD482" s="89" t="n">
        <v>12827</v>
      </c>
      <c r="BE482" s="89" t="n">
        <v>41115</v>
      </c>
      <c r="BF482" s="89" t="n">
        <v>7038</v>
      </c>
      <c r="BG482" s="89" t="n">
        <v>11456</v>
      </c>
      <c r="BH482" s="89" t="n">
        <v>-16134</v>
      </c>
      <c r="BI482" s="89" t="n">
        <v>-20517</v>
      </c>
      <c r="BJ482" s="89" t="n">
        <v>23919</v>
      </c>
      <c r="BK482" s="89" t="n">
        <v>25680</v>
      </c>
      <c r="BL482" s="89" t="n">
        <v>3504</v>
      </c>
      <c r="BM482" s="89" t="n">
        <v>3400</v>
      </c>
      <c r="BN482" s="90" t="inlineStr">
        <is>
          <t>N/A</t>
        </is>
      </c>
      <c r="BO482" s="89" t="n">
        <v>100544</v>
      </c>
      <c r="BP482" s="89" t="n">
        <v>97539</v>
      </c>
      <c r="BQ482" s="89" t="n">
        <v>0</v>
      </c>
      <c r="BR482" s="89" t="n">
        <v>0</v>
      </c>
      <c r="BS482" s="89" t="n">
        <v>0</v>
      </c>
      <c r="BT482" s="89" t="n">
        <v>0</v>
      </c>
      <c r="BU482" s="89" t="n">
        <v>0</v>
      </c>
      <c r="BV482" s="89" t="n">
        <v>0</v>
      </c>
      <c r="BW482" s="89" t="n">
        <v>0</v>
      </c>
      <c r="BX482" s="89" t="n">
        <v>0</v>
      </c>
      <c r="BY482" s="89" t="n">
        <v>0</v>
      </c>
    </row>
    <row r="483" ht="17" customHeight="1">
      <c r="A483" s="82" t="n">
        <v>481</v>
      </c>
      <c r="B483" s="83" t="inlineStr">
        <is>
          <t>AMBA</t>
        </is>
      </c>
      <c r="C483" s="84" t="inlineStr">
        <is>
          <t>AMBARELLA, INC.</t>
        </is>
      </c>
      <c r="D483" s="82" t="inlineStr">
        <is>
          <t>Information Technology</t>
        </is>
      </c>
      <c r="E483" s="82" t="n">
        <v>2026</v>
      </c>
      <c r="F483" s="85" t="n">
        <v>798.6</v>
      </c>
      <c r="G483" s="85" t="n">
        <v>410.3</v>
      </c>
      <c r="H483" s="85" t="n">
        <v>177.9</v>
      </c>
      <c r="I483" s="85" t="n">
        <v>203.8</v>
      </c>
      <c r="J483" s="85" t="n">
        <v>-327.9</v>
      </c>
      <c r="K483" s="85" t="n">
        <v>-82.5</v>
      </c>
      <c r="L483" s="85" t="n">
        <v>295.4</v>
      </c>
      <c r="M483" s="85" t="n">
        <v>-75.90000000000001</v>
      </c>
      <c r="N483" s="85" t="n">
        <v>73.5</v>
      </c>
      <c r="O483" s="85" t="n">
        <v>231.3</v>
      </c>
      <c r="P483" s="91" t="inlineStr">
        <is>
          <t>N/A</t>
        </is>
      </c>
      <c r="Q483" s="85" t="n">
        <v>594.8</v>
      </c>
      <c r="R483" s="85" t="n">
        <v>75.3</v>
      </c>
      <c r="S483" s="85" t="n">
        <v>24.8</v>
      </c>
      <c r="T483" s="85" t="n">
        <v>39.2</v>
      </c>
      <c r="U483" s="85" t="n">
        <v>11.6</v>
      </c>
      <c r="V483" s="91" t="inlineStr">
        <is>
          <t>N/A</t>
        </is>
      </c>
      <c r="W483" s="85" t="n">
        <v>689</v>
      </c>
      <c r="X483" s="85" t="n">
        <v>320.6</v>
      </c>
      <c r="Y483" s="85" t="n">
        <v>121</v>
      </c>
      <c r="Z483" s="85" t="n">
        <v>127.6</v>
      </c>
      <c r="AA483" s="85" t="n">
        <v>-126.6</v>
      </c>
      <c r="AB483" s="85" t="n">
        <v>310.3</v>
      </c>
      <c r="AC483" s="85" t="n">
        <v>-117.1</v>
      </c>
      <c r="AD483" s="85" t="n">
        <v>33.8</v>
      </c>
      <c r="AE483" s="85" t="n">
        <v>172.3</v>
      </c>
      <c r="AF483" s="91" t="inlineStr">
        <is>
          <t>N/A</t>
        </is>
      </c>
      <c r="AG483" s="85" t="n">
        <v>561.4</v>
      </c>
      <c r="AH483" s="85" t="n">
        <v>310.3</v>
      </c>
      <c r="AI483" s="85" t="n">
        <v>689</v>
      </c>
      <c r="AJ483" s="85" t="n">
        <v>-73.7</v>
      </c>
      <c r="AK483" s="85" t="n">
        <v>-117.7</v>
      </c>
      <c r="AL483" s="85" t="n">
        <v>2.2</v>
      </c>
      <c r="AM483" s="85" t="n">
        <v>-0.6</v>
      </c>
      <c r="AN483" s="85" t="n">
        <v>2</v>
      </c>
      <c r="AO483" s="85" t="n">
        <v>1.8</v>
      </c>
      <c r="AP483" s="85" t="n">
        <v>52.2</v>
      </c>
      <c r="AQ483" s="85" t="n">
        <v>34.4</v>
      </c>
      <c r="AR483" s="85" t="n">
        <v>303.6</v>
      </c>
      <c r="AS483" s="85" t="n">
        <v>58</v>
      </c>
      <c r="AT483" s="91" t="inlineStr">
        <is>
          <t>N/A</t>
        </is>
      </c>
      <c r="AU483" s="85" t="n">
        <v>238.5</v>
      </c>
      <c r="AV483" s="85" t="n">
        <v>191</v>
      </c>
      <c r="AW483" s="85" t="n">
        <v>144.6</v>
      </c>
      <c r="AX483" s="91" t="inlineStr">
        <is>
          <t>N/A</t>
        </is>
      </c>
      <c r="AY483" s="91" t="inlineStr">
        <is>
          <t>N/A</t>
        </is>
      </c>
      <c r="AZ483" s="91" t="inlineStr">
        <is>
          <t>N/A</t>
        </is>
      </c>
      <c r="BA483" s="85" t="n">
        <v>71.59999999999999</v>
      </c>
      <c r="BB483" s="85" t="n">
        <v>43.3</v>
      </c>
      <c r="BC483" s="85" t="n">
        <v>42</v>
      </c>
      <c r="BD483" s="85" t="n">
        <v>29.8</v>
      </c>
      <c r="BE483" s="85" t="n">
        <v>9.1</v>
      </c>
      <c r="BF483" s="85" t="n">
        <v>72.8</v>
      </c>
      <c r="BG483" s="85" t="n">
        <v>19.9</v>
      </c>
      <c r="BH483" s="85" t="n">
        <v>-30.5</v>
      </c>
      <c r="BI483" s="85" t="n">
        <v>-40.5</v>
      </c>
      <c r="BJ483" s="85" t="n">
        <v>54</v>
      </c>
      <c r="BK483" s="85" t="n">
        <v>21.8</v>
      </c>
      <c r="BL483" s="85" t="n">
        <v>0.3</v>
      </c>
      <c r="BM483" s="85" t="n">
        <v>7.4</v>
      </c>
      <c r="BN483" s="85" t="n">
        <v>1.5</v>
      </c>
      <c r="BO483" s="85" t="n">
        <v>159.4</v>
      </c>
      <c r="BP483" s="85" t="n">
        <v>112.5</v>
      </c>
      <c r="BQ483" s="85" t="n">
        <v>0</v>
      </c>
      <c r="BR483" s="85" t="n">
        <v>0</v>
      </c>
      <c r="BS483" s="85" t="n">
        <v>0</v>
      </c>
      <c r="BT483" s="85" t="n">
        <v>0</v>
      </c>
      <c r="BU483" s="85" t="n">
        <v>0</v>
      </c>
      <c r="BV483" s="85" t="n">
        <v>0</v>
      </c>
      <c r="BW483" s="85" t="n">
        <v>0</v>
      </c>
      <c r="BX483" s="85" t="n">
        <v>0</v>
      </c>
      <c r="BY483" s="85" t="n">
        <v>-0</v>
      </c>
    </row>
    <row r="484" ht="17" customHeight="1">
      <c r="A484" s="86" t="n">
        <v>482</v>
      </c>
      <c r="B484" s="87" t="inlineStr">
        <is>
          <t>PCAR</t>
        </is>
      </c>
      <c r="C484" s="88" t="inlineStr">
        <is>
          <t>PACCAR Inc</t>
        </is>
      </c>
      <c r="D484" s="86" t="inlineStr">
        <is>
          <t>Industrials</t>
        </is>
      </c>
      <c r="E484" s="86" t="n">
        <v>2026</v>
      </c>
      <c r="F484" s="89" t="n">
        <v>44336.2</v>
      </c>
      <c r="G484" s="90" t="inlineStr">
        <is>
          <t>N/A</t>
        </is>
      </c>
      <c r="H484" s="90" t="inlineStr">
        <is>
          <t>N/A</t>
        </is>
      </c>
      <c r="I484" s="89" t="n">
        <v>44336.2</v>
      </c>
      <c r="J484" s="89" t="n">
        <v>18696.1</v>
      </c>
      <c r="K484" s="89" t="n">
        <v>3023.5</v>
      </c>
      <c r="L484" s="89" t="n">
        <v>28444.8</v>
      </c>
      <c r="M484" s="89" t="n">
        <v>2375.8</v>
      </c>
      <c r="N484" s="89" t="n">
        <v>4415.8</v>
      </c>
      <c r="O484" s="89" t="n">
        <v>5708.1</v>
      </c>
      <c r="P484" s="90" t="inlineStr">
        <is>
          <t>N/A</t>
        </is>
      </c>
      <c r="Q484" s="89" t="n">
        <v>19264</v>
      </c>
      <c r="R484" s="89" t="n">
        <v>735.8</v>
      </c>
      <c r="S484" s="89" t="n">
        <v>827.4</v>
      </c>
      <c r="T484" s="90" t="inlineStr">
        <is>
          <t>N/A</t>
        </is>
      </c>
      <c r="U484" s="89" t="n">
        <v>4505.3</v>
      </c>
      <c r="V484" s="89" t="n">
        <v>192.1</v>
      </c>
      <c r="W484" s="89" t="n">
        <v>43418.9</v>
      </c>
      <c r="X484" s="90" t="inlineStr">
        <is>
          <t>N/A</t>
        </is>
      </c>
      <c r="Y484" s="90" t="inlineStr">
        <is>
          <t>N/A</t>
        </is>
      </c>
      <c r="Z484" s="89" t="n">
        <v>43418.9</v>
      </c>
      <c r="AA484" s="89" t="n">
        <v>5400.9</v>
      </c>
      <c r="AB484" s="89" t="n">
        <v>33663.8</v>
      </c>
      <c r="AC484" s="89" t="n">
        <v>4162</v>
      </c>
      <c r="AD484" s="89" t="n">
        <v>4640.9</v>
      </c>
      <c r="AE484" s="89" t="n">
        <v>7594.2</v>
      </c>
      <c r="AF484" s="90" t="inlineStr">
        <is>
          <t>N/A</t>
        </is>
      </c>
      <c r="AG484" s="89" t="n">
        <v>17506.9</v>
      </c>
      <c r="AH484" s="89" t="n">
        <v>33663.8</v>
      </c>
      <c r="AI484" s="89" t="n">
        <v>43418.9</v>
      </c>
      <c r="AJ484" s="89" t="n">
        <v>3023.5</v>
      </c>
      <c r="AK484" s="89" t="n">
        <v>5400.9</v>
      </c>
      <c r="AL484" s="89" t="n">
        <v>647.7</v>
      </c>
      <c r="AM484" s="89" t="n">
        <v>1238.9</v>
      </c>
      <c r="AN484" s="89" t="n">
        <v>743</v>
      </c>
      <c r="AO484" s="89" t="n">
        <v>838.7</v>
      </c>
      <c r="AP484" s="90" t="inlineStr">
        <is>
          <t>N/A</t>
        </is>
      </c>
      <c r="AQ484" s="90" t="inlineStr">
        <is>
          <t>N/A</t>
        </is>
      </c>
      <c r="AR484" s="89" t="n">
        <v>114.2</v>
      </c>
      <c r="AS484" s="90" t="inlineStr">
        <is>
          <t>N/A</t>
        </is>
      </c>
      <c r="AT484" s="90" t="inlineStr">
        <is>
          <t>N/A</t>
        </is>
      </c>
      <c r="AU484" s="89" t="n">
        <v>445.5</v>
      </c>
      <c r="AV484" s="89" t="n">
        <v>3435.9</v>
      </c>
      <c r="AW484" s="89" t="n">
        <v>2364.7</v>
      </c>
      <c r="AX484" s="90" t="inlineStr">
        <is>
          <t>N/A</t>
        </is>
      </c>
      <c r="AY484" s="90" t="inlineStr">
        <is>
          <t>N/A</t>
        </is>
      </c>
      <c r="AZ484" s="90" t="inlineStr">
        <is>
          <t>N/A</t>
        </is>
      </c>
      <c r="BA484" s="89" t="n">
        <v>3672.8</v>
      </c>
      <c r="BB484" s="89" t="n">
        <v>525.4</v>
      </c>
      <c r="BC484" s="89" t="n">
        <v>524.4</v>
      </c>
      <c r="BD484" s="90" t="inlineStr">
        <is>
          <t>N/A</t>
        </is>
      </c>
      <c r="BE484" s="89" t="n">
        <v>3985.6</v>
      </c>
      <c r="BF484" s="89" t="n">
        <v>744</v>
      </c>
      <c r="BG484" s="89" t="n">
        <v>916.9</v>
      </c>
      <c r="BH484" s="89" t="n">
        <v>-2267.2</v>
      </c>
      <c r="BI484" s="89" t="n">
        <v>-4487.3</v>
      </c>
      <c r="BJ484" s="90" t="inlineStr">
        <is>
          <t>N/A</t>
        </is>
      </c>
      <c r="BK484" s="90" t="inlineStr">
        <is>
          <t>N/A</t>
        </is>
      </c>
      <c r="BL484" s="89" t="n">
        <v>653.9</v>
      </c>
      <c r="BM484" s="89" t="n">
        <v>573.5</v>
      </c>
      <c r="BN484" s="90" t="inlineStr">
        <is>
          <t>N/A</t>
        </is>
      </c>
      <c r="BO484" s="89" t="n">
        <v>22736.7</v>
      </c>
      <c r="BP484" s="89" t="n">
        <v>26069.6</v>
      </c>
      <c r="BQ484" s="90" t="inlineStr">
        <is>
          <t>N/A</t>
        </is>
      </c>
      <c r="BR484" s="90" t="inlineStr">
        <is>
          <t>N/A</t>
        </is>
      </c>
      <c r="BS484" s="90" t="inlineStr">
        <is>
          <t>N/A</t>
        </is>
      </c>
      <c r="BT484" s="90" t="inlineStr">
        <is>
          <t>N/A</t>
        </is>
      </c>
      <c r="BU484" s="90" t="inlineStr">
        <is>
          <t>N/A</t>
        </is>
      </c>
      <c r="BV484" s="90" t="inlineStr">
        <is>
          <t>N/A</t>
        </is>
      </c>
      <c r="BW484" s="89" t="n">
        <v>0</v>
      </c>
      <c r="BX484" s="89" t="n">
        <v>0</v>
      </c>
      <c r="BY484" s="89" t="n">
        <v>0</v>
      </c>
    </row>
    <row r="485" ht="17" customHeight="1">
      <c r="A485" s="82" t="n">
        <v>483</v>
      </c>
      <c r="B485" s="83" t="inlineStr">
        <is>
          <t>DVN</t>
        </is>
      </c>
      <c r="C485" s="84" t="inlineStr">
        <is>
          <t>DEVON ENERGY CORP/DE</t>
        </is>
      </c>
      <c r="D485" s="82" t="inlineStr">
        <is>
          <t>Energy</t>
        </is>
      </c>
      <c r="E485" s="82" t="n">
        <v>2026</v>
      </c>
      <c r="F485" s="85" t="n">
        <v>31599</v>
      </c>
      <c r="G485" s="85" t="n">
        <v>4006</v>
      </c>
      <c r="H485" s="85" t="n">
        <v>4086</v>
      </c>
      <c r="I485" s="85" t="n">
        <v>31599</v>
      </c>
      <c r="J485" s="85" t="n">
        <v>10200</v>
      </c>
      <c r="K485" s="85" t="n">
        <v>-2895</v>
      </c>
      <c r="L485" s="85" t="n">
        <v>17188</v>
      </c>
      <c r="M485" s="85" t="n">
        <v>2642</v>
      </c>
      <c r="N485" s="85" t="n">
        <v>6711</v>
      </c>
      <c r="O485" s="85" t="n">
        <v>14376</v>
      </c>
      <c r="P485" s="85" t="n">
        <v>8389</v>
      </c>
      <c r="Q485" s="85" t="n">
        <v>15528</v>
      </c>
      <c r="R485" s="85" t="n">
        <v>492</v>
      </c>
      <c r="S485" s="85" t="n">
        <v>3595</v>
      </c>
      <c r="T485" s="85" t="n">
        <v>1792</v>
      </c>
      <c r="U485" s="85" t="n">
        <v>25419</v>
      </c>
      <c r="V485" s="85" t="n">
        <v>536</v>
      </c>
      <c r="W485" s="85" t="n">
        <v>30489</v>
      </c>
      <c r="X485" s="85" t="n">
        <v>3427</v>
      </c>
      <c r="Y485" s="85" t="n">
        <v>3309</v>
      </c>
      <c r="Z485" s="85" t="n">
        <v>30489</v>
      </c>
      <c r="AA485" s="85" t="n">
        <v>-20727</v>
      </c>
      <c r="AB485" s="85" t="n">
        <v>15940</v>
      </c>
      <c r="AC485" s="85" t="n">
        <v>2891</v>
      </c>
      <c r="AD485" s="85" t="n">
        <v>6600</v>
      </c>
      <c r="AE485" s="85" t="n">
        <v>11577</v>
      </c>
      <c r="AF485" s="85" t="n">
        <v>8883</v>
      </c>
      <c r="AG485" s="85" t="n">
        <v>14496</v>
      </c>
      <c r="AH485" s="85" t="n">
        <v>15940</v>
      </c>
      <c r="AI485" s="85" t="n">
        <v>30489</v>
      </c>
      <c r="AJ485" s="85" t="n">
        <v>3466</v>
      </c>
      <c r="AK485" s="85" t="n">
        <v>3712</v>
      </c>
      <c r="AL485" s="85" t="n">
        <v>785</v>
      </c>
      <c r="AM485" s="85" t="n">
        <v>770</v>
      </c>
      <c r="AN485" s="85" t="n">
        <v>31</v>
      </c>
      <c r="AO485" s="85" t="n">
        <v>55</v>
      </c>
      <c r="AP485" s="85" t="n">
        <v>336</v>
      </c>
      <c r="AQ485" s="85" t="n">
        <v>294</v>
      </c>
      <c r="AR485" s="85" t="n">
        <v>753</v>
      </c>
      <c r="AS485" s="85" t="n">
        <v>1497</v>
      </c>
      <c r="AT485" s="85" t="n">
        <v>998</v>
      </c>
      <c r="AU485" s="91" t="inlineStr">
        <is>
          <t>N/A</t>
        </is>
      </c>
      <c r="AV485" s="85" t="n">
        <v>1384</v>
      </c>
      <c r="AW485" s="85" t="n">
        <v>811</v>
      </c>
      <c r="AX485" s="85" t="n">
        <v>9387</v>
      </c>
      <c r="AY485" s="85" t="n">
        <v>9368</v>
      </c>
      <c r="AZ485" s="85" t="n">
        <v>8003</v>
      </c>
      <c r="BA485" s="85" t="n">
        <v>6680</v>
      </c>
      <c r="BB485" s="85" t="n">
        <v>622</v>
      </c>
      <c r="BC485" s="85" t="n">
        <v>651</v>
      </c>
      <c r="BD485" s="85" t="n">
        <v>1972</v>
      </c>
      <c r="BE485" s="85" t="n">
        <v>25011</v>
      </c>
      <c r="BF485" s="85" t="n">
        <v>500</v>
      </c>
      <c r="BG485" s="85" t="n">
        <v>3255</v>
      </c>
      <c r="BH485" s="85" t="n">
        <v>-3393</v>
      </c>
      <c r="BI485" s="85" t="n">
        <v>-7332</v>
      </c>
      <c r="BJ485" s="91" t="inlineStr">
        <is>
          <t>N/A</t>
        </is>
      </c>
      <c r="BK485" s="91" t="inlineStr">
        <is>
          <t>N/A</t>
        </is>
      </c>
      <c r="BL485" s="91" t="inlineStr">
        <is>
          <t>N/A</t>
        </is>
      </c>
      <c r="BM485" s="91" t="inlineStr">
        <is>
          <t>N/A</t>
        </is>
      </c>
      <c r="BN485" s="85" t="n">
        <v>14</v>
      </c>
      <c r="BO485" s="85" t="n">
        <v>2812</v>
      </c>
      <c r="BP485" s="85" t="n">
        <v>4363</v>
      </c>
      <c r="BQ485" s="85" t="n">
        <v>0</v>
      </c>
      <c r="BR485" s="85" t="n">
        <v>0</v>
      </c>
      <c r="BS485" s="85" t="n">
        <v>0</v>
      </c>
      <c r="BT485" s="85" t="n">
        <v>0</v>
      </c>
      <c r="BU485" s="85" t="n">
        <v>0</v>
      </c>
      <c r="BV485" s="91" t="inlineStr">
        <is>
          <t>N/A</t>
        </is>
      </c>
      <c r="BW485" s="85" t="n">
        <v>0</v>
      </c>
      <c r="BX485" s="85" t="n">
        <v>0</v>
      </c>
      <c r="BY485" s="85" t="n">
        <v>0</v>
      </c>
    </row>
    <row r="486" ht="17" customHeight="1">
      <c r="A486" s="86" t="n">
        <v>484</v>
      </c>
      <c r="B486" s="87" t="inlineStr">
        <is>
          <t>SM</t>
        </is>
      </c>
      <c r="C486" s="88" t="inlineStr">
        <is>
          <t>SM ENERGY CO</t>
        </is>
      </c>
      <c r="D486" s="86" t="inlineStr">
        <is>
          <t>Energy</t>
        </is>
      </c>
      <c r="E486" s="86" t="n">
        <v>2026</v>
      </c>
      <c r="F486" s="89" t="n">
        <v>9253</v>
      </c>
      <c r="G486" s="89" t="n">
        <v>811</v>
      </c>
      <c r="H486" s="89" t="n">
        <v>1169</v>
      </c>
      <c r="I486" s="89" t="n">
        <v>9253</v>
      </c>
      <c r="J486" s="89" t="n">
        <v>3291</v>
      </c>
      <c r="K486" s="89" t="n">
        <v>1000</v>
      </c>
      <c r="L486" s="89" t="n">
        <v>3154</v>
      </c>
      <c r="M486" s="89" t="n">
        <v>648</v>
      </c>
      <c r="N486" s="89" t="n">
        <v>2011</v>
      </c>
      <c r="O486" s="89" t="n">
        <v>2653.3</v>
      </c>
      <c r="P486" s="89" t="n">
        <v>2081.2</v>
      </c>
      <c r="Q486" s="89" t="n">
        <v>4810</v>
      </c>
      <c r="R486" s="89" t="n">
        <v>161</v>
      </c>
      <c r="S486" s="89" t="n">
        <v>29</v>
      </c>
      <c r="T486" s="89" t="n">
        <v>331</v>
      </c>
      <c r="U486" s="89" t="n">
        <v>8202</v>
      </c>
      <c r="V486" s="89" t="n">
        <v>173</v>
      </c>
      <c r="W486" s="89" t="n">
        <v>8576.6</v>
      </c>
      <c r="X486" s="89" t="n">
        <v>434.7</v>
      </c>
      <c r="Y486" s="89" t="n">
        <v>790</v>
      </c>
      <c r="Z486" s="89" t="n">
        <v>8576.6</v>
      </c>
      <c r="AA486" s="89" t="n">
        <v>1075.7</v>
      </c>
      <c r="AB486" s="89" t="n">
        <v>2690.3</v>
      </c>
      <c r="AC486" s="89" t="n">
        <v>770.3</v>
      </c>
      <c r="AD486" s="89" t="n">
        <v>1782.5</v>
      </c>
      <c r="AE486" s="89" t="n">
        <v>2202.9</v>
      </c>
      <c r="AF486" s="89" t="n">
        <v>2214.3</v>
      </c>
      <c r="AG486" s="89" t="n">
        <v>4237.3</v>
      </c>
      <c r="AH486" s="89" t="n">
        <v>2690</v>
      </c>
      <c r="AI486" s="89" t="n">
        <v>8577</v>
      </c>
      <c r="AJ486" s="89" t="n">
        <v>830</v>
      </c>
      <c r="AK486" s="89" t="n">
        <v>966.2</v>
      </c>
      <c r="AL486" s="89" t="n">
        <v>182</v>
      </c>
      <c r="AM486" s="89" t="n">
        <v>195.9</v>
      </c>
      <c r="AN486" s="90" t="inlineStr">
        <is>
          <t>N/A</t>
        </is>
      </c>
      <c r="AO486" s="90" t="inlineStr">
        <is>
          <t>N/A</t>
        </is>
      </c>
      <c r="AP486" s="90" t="inlineStr">
        <is>
          <t>N/A</t>
        </is>
      </c>
      <c r="AQ486" s="90" t="inlineStr">
        <is>
          <t>N/A</t>
        </is>
      </c>
      <c r="AR486" s="90" t="inlineStr">
        <is>
          <t>N/A</t>
        </is>
      </c>
      <c r="AS486" s="89" t="n">
        <v>10.8</v>
      </c>
      <c r="AT486" s="90" t="inlineStr">
        <is>
          <t>N/A</t>
        </is>
      </c>
      <c r="AU486" s="90" t="inlineStr">
        <is>
          <t>N/A</t>
        </is>
      </c>
      <c r="AV486" s="89" t="n">
        <v>368</v>
      </c>
      <c r="AW486" s="90" t="inlineStr">
        <is>
          <t>N/A</t>
        </is>
      </c>
      <c r="AX486" s="89" t="n">
        <v>2081.2</v>
      </c>
      <c r="AY486" s="89" t="n">
        <v>2214.3</v>
      </c>
      <c r="AZ486" s="89" t="n">
        <v>1713.2</v>
      </c>
      <c r="BA486" s="90" t="inlineStr">
        <is>
          <t>N/A</t>
        </is>
      </c>
      <c r="BB486" s="89" t="n">
        <v>114.6</v>
      </c>
      <c r="BC486" s="89" t="n">
        <v>114.5</v>
      </c>
      <c r="BD486" s="89" t="n">
        <v>361</v>
      </c>
      <c r="BE486" s="89" t="n">
        <v>7992.7</v>
      </c>
      <c r="BF486" s="89" t="n">
        <v>138.3</v>
      </c>
      <c r="BG486" s="89" t="n">
        <v>25</v>
      </c>
      <c r="BH486" s="89" t="n">
        <v>-1468</v>
      </c>
      <c r="BI486" s="89" t="n">
        <v>-3407.2</v>
      </c>
      <c r="BJ486" s="89" t="n">
        <v>77</v>
      </c>
      <c r="BK486" s="89" t="n">
        <v>82.5</v>
      </c>
      <c r="BL486" s="90" t="inlineStr">
        <is>
          <t>N/A</t>
        </is>
      </c>
      <c r="BM486" s="90" t="inlineStr">
        <is>
          <t>N/A</t>
        </is>
      </c>
      <c r="BN486" s="89" t="n">
        <v>0.8</v>
      </c>
      <c r="BO486" s="89" t="n">
        <v>500.7</v>
      </c>
      <c r="BP486" s="89" t="n">
        <v>487.4</v>
      </c>
      <c r="BQ486" s="89" t="n">
        <v>0</v>
      </c>
      <c r="BR486" s="89" t="n">
        <v>0</v>
      </c>
      <c r="BS486" s="90" t="inlineStr">
        <is>
          <t>N/A</t>
        </is>
      </c>
      <c r="BT486" s="90" t="inlineStr">
        <is>
          <t>N/A</t>
        </is>
      </c>
      <c r="BU486" s="89" t="n">
        <v>0</v>
      </c>
      <c r="BV486" s="89" t="n">
        <v>0</v>
      </c>
      <c r="BW486" s="89" t="n">
        <v>0</v>
      </c>
      <c r="BX486" s="89" t="n">
        <v>0</v>
      </c>
      <c r="BY486" s="89" t="n">
        <v>0</v>
      </c>
    </row>
    <row r="487" ht="17" customHeight="1">
      <c r="A487" s="82" t="n">
        <v>485</v>
      </c>
      <c r="B487" s="83" t="inlineStr">
        <is>
          <t>EG</t>
        </is>
      </c>
      <c r="C487" s="84" t="inlineStr">
        <is>
          <t>EVEREST GROUP, LTD.</t>
        </is>
      </c>
      <c r="D487" s="82" t="inlineStr">
        <is>
          <t>Financials</t>
        </is>
      </c>
      <c r="E487" s="82" t="n">
        <v>2026</v>
      </c>
      <c r="F487" s="85" t="n">
        <v>62514</v>
      </c>
      <c r="G487" s="91" t="inlineStr">
        <is>
          <t>N/A</t>
        </is>
      </c>
      <c r="H487" s="91" t="inlineStr">
        <is>
          <t>N/A</t>
        </is>
      </c>
      <c r="I487" s="85" t="n">
        <v>47054</v>
      </c>
      <c r="J487" s="85" t="n">
        <v>16565</v>
      </c>
      <c r="K487" s="85" t="n">
        <v>1887</v>
      </c>
      <c r="L487" s="85" t="n">
        <v>17496</v>
      </c>
      <c r="M487" s="85" t="n">
        <v>1591</v>
      </c>
      <c r="N487" s="85" t="n">
        <v>3068</v>
      </c>
      <c r="O487" s="85" t="n">
        <v>1887</v>
      </c>
      <c r="P487" s="85" t="n">
        <v>238.4</v>
      </c>
      <c r="Q487" s="85" t="n">
        <v>15461</v>
      </c>
      <c r="R487" s="85" t="n">
        <v>23.3</v>
      </c>
      <c r="S487" s="85" t="n">
        <v>61</v>
      </c>
      <c r="T487" s="91" t="inlineStr">
        <is>
          <t>N/A</t>
        </is>
      </c>
      <c r="U487" s="91" t="inlineStr">
        <is>
          <t>N/A</t>
        </is>
      </c>
      <c r="V487" s="85" t="n">
        <v>31.7</v>
      </c>
      <c r="W487" s="85" t="n">
        <v>56341</v>
      </c>
      <c r="X487" s="91" t="inlineStr">
        <is>
          <t>N/A</t>
        </is>
      </c>
      <c r="Y487" s="91" t="inlineStr">
        <is>
          <t>N/A</t>
        </is>
      </c>
      <c r="Z487" s="85" t="n">
        <v>42466</v>
      </c>
      <c r="AA487" s="85" t="n">
        <v>1493</v>
      </c>
      <c r="AB487" s="85" t="n">
        <v>17281</v>
      </c>
      <c r="AC487" s="85" t="n">
        <v>1373</v>
      </c>
      <c r="AD487" s="85" t="n">
        <v>4957</v>
      </c>
      <c r="AE487" s="85" t="n">
        <v>1494</v>
      </c>
      <c r="AF487" s="85" t="n">
        <v>238.4</v>
      </c>
      <c r="AG487" s="85" t="n">
        <v>13875</v>
      </c>
      <c r="AH487" s="85" t="n">
        <v>17281</v>
      </c>
      <c r="AI487" s="85" t="n">
        <v>56341</v>
      </c>
      <c r="AJ487" s="85" t="n">
        <v>1887</v>
      </c>
      <c r="AK487" s="85" t="n">
        <v>1493</v>
      </c>
      <c r="AL487" s="85" t="n">
        <v>296</v>
      </c>
      <c r="AM487" s="85" t="n">
        <v>120</v>
      </c>
      <c r="AN487" s="91" t="inlineStr">
        <is>
          <t>N/A</t>
        </is>
      </c>
      <c r="AO487" s="91" t="inlineStr">
        <is>
          <t>N/A</t>
        </is>
      </c>
      <c r="AP487" s="91" t="inlineStr">
        <is>
          <t>N/A</t>
        </is>
      </c>
      <c r="AQ487" s="91" t="inlineStr">
        <is>
          <t>N/A</t>
        </is>
      </c>
      <c r="AR487" s="91" t="inlineStr">
        <is>
          <t>N/A</t>
        </is>
      </c>
      <c r="AS487" s="91" t="inlineStr">
        <is>
          <t>N/A</t>
        </is>
      </c>
      <c r="AT487" s="85" t="n">
        <v>50</v>
      </c>
      <c r="AU487" s="91" t="inlineStr">
        <is>
          <t>N/A</t>
        </is>
      </c>
      <c r="AV487" s="85" t="n">
        <v>656.1</v>
      </c>
      <c r="AW487" s="85" t="n">
        <v>635.1</v>
      </c>
      <c r="AX487" s="85" t="n">
        <v>288.4</v>
      </c>
      <c r="AY487" s="85" t="n">
        <v>288.4</v>
      </c>
      <c r="AZ487" s="85" t="n">
        <v>-367.7</v>
      </c>
      <c r="BA487" s="91" t="inlineStr">
        <is>
          <t>N/A</t>
        </is>
      </c>
      <c r="BB487" s="85" t="n">
        <v>74.40000000000001</v>
      </c>
      <c r="BC487" s="85" t="n">
        <v>74.3</v>
      </c>
      <c r="BD487" s="91" t="inlineStr">
        <is>
          <t>N/A</t>
        </is>
      </c>
      <c r="BE487" s="91" t="inlineStr">
        <is>
          <t>N/A</t>
        </is>
      </c>
      <c r="BF487" s="85" t="n">
        <v>23.4</v>
      </c>
      <c r="BG487" s="85" t="n">
        <v>63</v>
      </c>
      <c r="BH487" s="85" t="n">
        <v>-2096</v>
      </c>
      <c r="BI487" s="85" t="n">
        <v>-4478</v>
      </c>
      <c r="BJ487" s="91" t="inlineStr">
        <is>
          <t>N/A</t>
        </is>
      </c>
      <c r="BK487" s="91" t="inlineStr">
        <is>
          <t>N/A</t>
        </is>
      </c>
      <c r="BL487" s="91" t="inlineStr">
        <is>
          <t>N/A</t>
        </is>
      </c>
      <c r="BM487" s="91" t="inlineStr">
        <is>
          <t>N/A</t>
        </is>
      </c>
      <c r="BN487" s="91" t="inlineStr">
        <is>
          <t>N/A</t>
        </is>
      </c>
      <c r="BO487" s="85" t="n">
        <v>15609</v>
      </c>
      <c r="BP487" s="85" t="n">
        <v>15787</v>
      </c>
      <c r="BQ487" s="91" t="inlineStr">
        <is>
          <t>N/A</t>
        </is>
      </c>
      <c r="BR487" s="91" t="inlineStr">
        <is>
          <t>N/A</t>
        </is>
      </c>
      <c r="BS487" s="91" t="inlineStr">
        <is>
          <t>N/A</t>
        </is>
      </c>
      <c r="BT487" s="91" t="inlineStr">
        <is>
          <t>N/A</t>
        </is>
      </c>
      <c r="BU487" s="91" t="inlineStr">
        <is>
          <t>N/A</t>
        </is>
      </c>
      <c r="BV487" s="91" t="inlineStr">
        <is>
          <t>N/A</t>
        </is>
      </c>
      <c r="BW487" s="85" t="n">
        <v>0</v>
      </c>
      <c r="BX487" s="85" t="n">
        <v>0</v>
      </c>
      <c r="BY487" s="85" t="n">
        <v>0</v>
      </c>
    </row>
    <row r="488" ht="17" customHeight="1">
      <c r="A488" s="86" t="n">
        <v>486</v>
      </c>
      <c r="B488" s="87" t="inlineStr">
        <is>
          <t>EOG</t>
        </is>
      </c>
      <c r="C488" s="88" t="inlineStr">
        <is>
          <t>EOG RESOURCES, INC.</t>
        </is>
      </c>
      <c r="D488" s="86" t="inlineStr">
        <is>
          <t>Energy</t>
        </is>
      </c>
      <c r="E488" s="86" t="n">
        <v>2026</v>
      </c>
      <c r="F488" s="89" t="n">
        <v>51799</v>
      </c>
      <c r="G488" s="89" t="n">
        <v>7656</v>
      </c>
      <c r="H488" s="89" t="n">
        <v>4691</v>
      </c>
      <c r="I488" s="89" t="n">
        <v>51799</v>
      </c>
      <c r="J488" s="89" t="n">
        <v>29765</v>
      </c>
      <c r="K488" s="89" t="n">
        <v>6385</v>
      </c>
      <c r="L488" s="89" t="n">
        <v>22632</v>
      </c>
      <c r="M488" s="89" t="n">
        <v>4980</v>
      </c>
      <c r="N488" s="89" t="n">
        <v>10044</v>
      </c>
      <c r="O488" s="90" t="inlineStr">
        <is>
          <t>N/A</t>
        </is>
      </c>
      <c r="P488" s="89" t="n">
        <v>7909</v>
      </c>
      <c r="Q488" s="89" t="n">
        <v>29833</v>
      </c>
      <c r="R488" s="89" t="n">
        <v>820</v>
      </c>
      <c r="S488" s="89" t="n">
        <v>4461</v>
      </c>
      <c r="T488" s="89" t="n">
        <v>2681</v>
      </c>
      <c r="U488" s="89" t="n">
        <v>42341</v>
      </c>
      <c r="V488" s="89" t="n">
        <v>235</v>
      </c>
      <c r="W488" s="89" t="n">
        <v>47186</v>
      </c>
      <c r="X488" s="89" t="n">
        <v>11230</v>
      </c>
      <c r="Y488" s="89" t="n">
        <v>5354</v>
      </c>
      <c r="Z488" s="89" t="n">
        <v>47186</v>
      </c>
      <c r="AA488" s="89" t="n">
        <v>8082</v>
      </c>
      <c r="AB488" s="89" t="n">
        <v>23698</v>
      </c>
      <c r="AC488" s="89" t="n">
        <v>6403</v>
      </c>
      <c r="AD488" s="89" t="n">
        <v>12143</v>
      </c>
      <c r="AE488" s="90" t="inlineStr">
        <is>
          <t>N/A</t>
        </is>
      </c>
      <c r="AF488" s="89" t="n">
        <v>4220</v>
      </c>
      <c r="AG488" s="89" t="n">
        <v>29351</v>
      </c>
      <c r="AH488" s="89" t="n">
        <v>23698</v>
      </c>
      <c r="AI488" s="89" t="n">
        <v>47186</v>
      </c>
      <c r="AJ488" s="89" t="n">
        <v>6362</v>
      </c>
      <c r="AK488" s="89" t="n">
        <v>8218</v>
      </c>
      <c r="AL488" s="89" t="n">
        <v>1382</v>
      </c>
      <c r="AM488" s="89" t="n">
        <v>1815</v>
      </c>
      <c r="AN488" s="90" t="inlineStr">
        <is>
          <t>N/A</t>
        </is>
      </c>
      <c r="AO488" s="90" t="inlineStr">
        <is>
          <t>N/A</t>
        </is>
      </c>
      <c r="AP488" s="89" t="n">
        <v>1014</v>
      </c>
      <c r="AQ488" s="89" t="n">
        <v>985</v>
      </c>
      <c r="AR488" s="90" t="inlineStr">
        <is>
          <t>N/A</t>
        </is>
      </c>
      <c r="AS488" s="90" t="inlineStr">
        <is>
          <t>N/A</t>
        </is>
      </c>
      <c r="AT488" s="89" t="n">
        <v>27</v>
      </c>
      <c r="AU488" s="90" t="inlineStr">
        <is>
          <t>N/A</t>
        </is>
      </c>
      <c r="AV488" s="89" t="n">
        <v>3396</v>
      </c>
      <c r="AW488" s="89" t="n">
        <v>7092</v>
      </c>
      <c r="AX488" s="89" t="n">
        <v>7936</v>
      </c>
      <c r="AY488" s="89" t="n">
        <v>4220</v>
      </c>
      <c r="AZ488" s="89" t="n">
        <v>4540</v>
      </c>
      <c r="BA488" s="90" t="inlineStr">
        <is>
          <t>N/A</t>
        </is>
      </c>
      <c r="BB488" s="89" t="n">
        <v>271.6</v>
      </c>
      <c r="BC488" s="89" t="n">
        <v>269</v>
      </c>
      <c r="BD488" s="89" t="n">
        <v>2650</v>
      </c>
      <c r="BE488" s="89" t="n">
        <v>34212</v>
      </c>
      <c r="BF488" s="89" t="n">
        <v>669</v>
      </c>
      <c r="BG488" s="89" t="n">
        <v>4108</v>
      </c>
      <c r="BH488" s="89" t="n">
        <v>-10936</v>
      </c>
      <c r="BI488" s="89" t="n">
        <v>-5967</v>
      </c>
      <c r="BJ488" s="89" t="n">
        <v>2904</v>
      </c>
      <c r="BK488" s="89" t="n">
        <v>2464</v>
      </c>
      <c r="BL488" s="90" t="inlineStr">
        <is>
          <t>N/A</t>
        </is>
      </c>
      <c r="BM488" s="90" t="inlineStr">
        <is>
          <t>N/A</t>
        </is>
      </c>
      <c r="BN488" s="89" t="n">
        <v>299</v>
      </c>
      <c r="BO488" s="90" t="inlineStr">
        <is>
          <t>N/A</t>
        </is>
      </c>
      <c r="BP488" s="90" t="inlineStr">
        <is>
          <t>N/A</t>
        </is>
      </c>
      <c r="BQ488" s="89" t="n">
        <v>0</v>
      </c>
      <c r="BR488" s="89" t="n">
        <v>0</v>
      </c>
      <c r="BS488" s="90" t="inlineStr">
        <is>
          <t>N/A</t>
        </is>
      </c>
      <c r="BT488" s="90" t="inlineStr">
        <is>
          <t>N/A</t>
        </is>
      </c>
      <c r="BU488" s="90" t="inlineStr">
        <is>
          <t>N/A</t>
        </is>
      </c>
      <c r="BV488" s="90" t="inlineStr">
        <is>
          <t>N/A</t>
        </is>
      </c>
      <c r="BW488" s="89" t="n">
        <v>0</v>
      </c>
      <c r="BX488" s="89" t="n">
        <v>0</v>
      </c>
      <c r="BY488" s="89" t="n">
        <v>0</v>
      </c>
    </row>
    <row r="489" ht="17" customHeight="1">
      <c r="A489" s="82" t="n">
        <v>487</v>
      </c>
      <c r="B489" s="83" t="inlineStr">
        <is>
          <t>IQV</t>
        </is>
      </c>
      <c r="C489" s="84" t="inlineStr">
        <is>
          <t>IQVIA HOLDINGS INC.</t>
        </is>
      </c>
      <c r="D489" s="82" t="inlineStr">
        <is>
          <t>Health Care</t>
        </is>
      </c>
      <c r="E489" s="82" t="n">
        <v>2026</v>
      </c>
      <c r="F489" s="85" t="n">
        <v>29944</v>
      </c>
      <c r="G489" s="85" t="n">
        <v>6249</v>
      </c>
      <c r="H489" s="85" t="n">
        <v>8338</v>
      </c>
      <c r="I489" s="85" t="n">
        <v>23314</v>
      </c>
      <c r="J489" s="85" t="n">
        <v>7425</v>
      </c>
      <c r="K489" s="85" t="n">
        <v>2182</v>
      </c>
      <c r="L489" s="85" t="n">
        <v>9739</v>
      </c>
      <c r="M489" s="85" t="n">
        <v>1360</v>
      </c>
      <c r="N489" s="85" t="n">
        <v>2654</v>
      </c>
      <c r="O489" s="85" t="n">
        <v>5117</v>
      </c>
      <c r="P489" s="85" t="n">
        <v>10269</v>
      </c>
      <c r="Q489" s="85" t="n">
        <v>6503</v>
      </c>
      <c r="R489" s="85" t="n">
        <v>1999</v>
      </c>
      <c r="S489" s="85" t="n">
        <v>1144</v>
      </c>
      <c r="T489" s="85" t="n">
        <v>3400</v>
      </c>
      <c r="U489" s="85" t="n">
        <v>533</v>
      </c>
      <c r="V489" s="85" t="n">
        <v>729</v>
      </c>
      <c r="W489" s="85" t="n">
        <v>26899</v>
      </c>
      <c r="X489" s="85" t="n">
        <v>5829</v>
      </c>
      <c r="Y489" s="85" t="n">
        <v>6957</v>
      </c>
      <c r="Z489" s="85" t="n">
        <v>20832</v>
      </c>
      <c r="AA489" s="85" t="n">
        <v>2202</v>
      </c>
      <c r="AB489" s="85" t="n">
        <v>6878</v>
      </c>
      <c r="AC489" s="85" t="n">
        <v>1373</v>
      </c>
      <c r="AD489" s="85" t="n">
        <v>2716</v>
      </c>
      <c r="AE489" s="85" t="n">
        <v>3642</v>
      </c>
      <c r="AF489" s="85" t="n">
        <v>7219</v>
      </c>
      <c r="AG489" s="85" t="n">
        <v>6067</v>
      </c>
      <c r="AH489" s="85" t="n">
        <v>6878</v>
      </c>
      <c r="AI489" s="85" t="n">
        <v>26899</v>
      </c>
      <c r="AJ489" s="91" t="inlineStr">
        <is>
          <t>N/A</t>
        </is>
      </c>
      <c r="AK489" s="91" t="inlineStr">
        <is>
          <t>N/A</t>
        </is>
      </c>
      <c r="AL489" s="85" t="n">
        <v>252</v>
      </c>
      <c r="AM489" s="85" t="n">
        <v>301</v>
      </c>
      <c r="AN489" s="85" t="n">
        <v>603</v>
      </c>
      <c r="AO489" s="85" t="n">
        <v>602</v>
      </c>
      <c r="AP489" s="91" t="inlineStr">
        <is>
          <t>N/A</t>
        </is>
      </c>
      <c r="AQ489" s="91" t="inlineStr">
        <is>
          <t>N/A</t>
        </is>
      </c>
      <c r="AR489" s="85" t="n">
        <v>16616</v>
      </c>
      <c r="AS489" s="85" t="n">
        <v>4962</v>
      </c>
      <c r="AT489" s="85" t="n">
        <v>1840</v>
      </c>
      <c r="AU489" s="85" t="n">
        <v>3.3</v>
      </c>
      <c r="AV489" s="85" t="n">
        <v>1980</v>
      </c>
      <c r="AW489" s="85" t="n">
        <v>1702</v>
      </c>
      <c r="AX489" s="85" t="n">
        <v>12109</v>
      </c>
      <c r="AY489" s="85" t="n">
        <v>7219</v>
      </c>
      <c r="AZ489" s="85" t="n">
        <v>10129</v>
      </c>
      <c r="BA489" s="85" t="n">
        <v>2051</v>
      </c>
      <c r="BB489" s="85" t="n">
        <v>169.6</v>
      </c>
      <c r="BC489" s="85" t="n">
        <v>176.1</v>
      </c>
      <c r="BD489" s="85" t="n">
        <v>3204</v>
      </c>
      <c r="BE489" s="85" t="n">
        <v>535</v>
      </c>
      <c r="BF489" s="85" t="n">
        <v>1992</v>
      </c>
      <c r="BG489" s="85" t="n">
        <v>1114</v>
      </c>
      <c r="BH489" s="85" t="n">
        <v>-2305</v>
      </c>
      <c r="BI489" s="85" t="n">
        <v>-1444</v>
      </c>
      <c r="BJ489" s="85" t="n">
        <v>437</v>
      </c>
      <c r="BK489" s="85" t="n">
        <v>322</v>
      </c>
      <c r="BL489" s="85" t="n">
        <v>733</v>
      </c>
      <c r="BM489" s="85" t="n">
        <v>774</v>
      </c>
      <c r="BN489" s="85" t="n">
        <v>140</v>
      </c>
      <c r="BO489" s="85" t="n">
        <v>4622</v>
      </c>
      <c r="BP489" s="85" t="n">
        <v>3236</v>
      </c>
      <c r="BQ489" s="85" t="n">
        <v>0</v>
      </c>
      <c r="BR489" s="85" t="n">
        <v>0</v>
      </c>
      <c r="BS489" s="91" t="inlineStr">
        <is>
          <t>N/A</t>
        </is>
      </c>
      <c r="BT489" s="91" t="inlineStr">
        <is>
          <t>N/A</t>
        </is>
      </c>
      <c r="BU489" s="85" t="n">
        <v>0</v>
      </c>
      <c r="BV489" s="85" t="n">
        <v>0</v>
      </c>
      <c r="BW489" s="85" t="n">
        <v>0</v>
      </c>
      <c r="BX489" s="85" t="n">
        <v>0</v>
      </c>
      <c r="BY489" s="91" t="inlineStr">
        <is>
          <t>N/A</t>
        </is>
      </c>
    </row>
    <row r="490" ht="17" customHeight="1">
      <c r="A490" s="86" t="n">
        <v>488</v>
      </c>
      <c r="B490" s="87" t="inlineStr">
        <is>
          <t>USFD</t>
        </is>
      </c>
      <c r="C490" s="88" t="inlineStr">
        <is>
          <t>US FOODS HOLDING CORP.</t>
        </is>
      </c>
      <c r="D490" s="86" t="inlineStr">
        <is>
          <t>Consumer Staples</t>
        </is>
      </c>
      <c r="E490" s="86" t="n">
        <v>2026</v>
      </c>
      <c r="F490" s="89" t="n">
        <v>13943</v>
      </c>
      <c r="G490" s="89" t="n">
        <v>4164</v>
      </c>
      <c r="H490" s="89" t="n">
        <v>3591</v>
      </c>
      <c r="I490" s="89" t="n">
        <v>9636</v>
      </c>
      <c r="J490" s="89" t="n">
        <v>2679</v>
      </c>
      <c r="K490" s="89" t="n">
        <v>1199</v>
      </c>
      <c r="L490" s="89" t="n">
        <v>39424</v>
      </c>
      <c r="M490" s="89" t="n">
        <v>676</v>
      </c>
      <c r="N490" s="89" t="n">
        <v>1369</v>
      </c>
      <c r="O490" s="89" t="n">
        <v>6864</v>
      </c>
      <c r="P490" s="89" t="n">
        <v>3800</v>
      </c>
      <c r="Q490" s="89" t="n">
        <v>4307</v>
      </c>
      <c r="R490" s="89" t="n">
        <v>5632</v>
      </c>
      <c r="S490" s="89" t="n">
        <v>406</v>
      </c>
      <c r="T490" s="89" t="n">
        <v>2026</v>
      </c>
      <c r="U490" s="89" t="n">
        <v>2681</v>
      </c>
      <c r="V490" s="89" t="n">
        <v>324</v>
      </c>
      <c r="W490" s="89" t="n">
        <v>13436</v>
      </c>
      <c r="X490" s="89" t="n">
        <v>3974</v>
      </c>
      <c r="Y490" s="89" t="n">
        <v>3296</v>
      </c>
      <c r="Z490" s="89" t="n">
        <v>8908</v>
      </c>
      <c r="AA490" s="89" t="n">
        <v>1099</v>
      </c>
      <c r="AB490" s="89" t="n">
        <v>37877</v>
      </c>
      <c r="AC490" s="89" t="n">
        <v>494</v>
      </c>
      <c r="AD490" s="89" t="n">
        <v>1174</v>
      </c>
      <c r="AE490" s="89" t="n">
        <v>6534</v>
      </c>
      <c r="AF490" s="89" t="n">
        <v>3781.7</v>
      </c>
      <c r="AG490" s="89" t="n">
        <v>4528</v>
      </c>
      <c r="AH490" s="89" t="n">
        <v>37877</v>
      </c>
      <c r="AI490" s="89" t="n">
        <v>13436</v>
      </c>
      <c r="AJ490" s="89" t="n">
        <v>898</v>
      </c>
      <c r="AK490" s="89" t="n">
        <v>644</v>
      </c>
      <c r="AL490" s="89" t="n">
        <v>222</v>
      </c>
      <c r="AM490" s="89" t="n">
        <v>150</v>
      </c>
      <c r="AN490" s="89" t="n">
        <v>410</v>
      </c>
      <c r="AO490" s="89" t="n">
        <v>341</v>
      </c>
      <c r="AP490" s="89" t="n">
        <v>1711</v>
      </c>
      <c r="AQ490" s="89" t="n">
        <v>1626</v>
      </c>
      <c r="AR490" s="89" t="n">
        <v>5794</v>
      </c>
      <c r="AS490" s="89" t="n">
        <v>781</v>
      </c>
      <c r="AT490" s="89" t="n">
        <v>76</v>
      </c>
      <c r="AU490" s="90" t="inlineStr">
        <is>
          <t>N/A</t>
        </is>
      </c>
      <c r="AV490" s="89" t="n">
        <v>41</v>
      </c>
      <c r="AW490" s="89" t="n">
        <v>59</v>
      </c>
      <c r="AX490" s="89" t="n">
        <v>3876</v>
      </c>
      <c r="AY490" s="89" t="n">
        <v>3781.7</v>
      </c>
      <c r="AZ490" s="89" t="n">
        <v>3835</v>
      </c>
      <c r="BA490" s="89" t="n">
        <v>959</v>
      </c>
      <c r="BB490" s="89" t="n">
        <v>220.5</v>
      </c>
      <c r="BC490" s="89" t="n">
        <v>230.5</v>
      </c>
      <c r="BD490" s="89" t="n">
        <v>1957</v>
      </c>
      <c r="BE490" s="89" t="n">
        <v>2398</v>
      </c>
      <c r="BF490" s="89" t="n">
        <v>5412</v>
      </c>
      <c r="BG490" s="89" t="n">
        <v>384</v>
      </c>
      <c r="BH490" s="89" t="n">
        <v>-497</v>
      </c>
      <c r="BI490" s="89" t="n">
        <v>-552</v>
      </c>
      <c r="BJ490" s="89" t="n">
        <v>2447</v>
      </c>
      <c r="BK490" s="89" t="n">
        <v>2231</v>
      </c>
      <c r="BL490" s="90" t="inlineStr">
        <is>
          <t>N/A</t>
        </is>
      </c>
      <c r="BM490" s="90" t="inlineStr">
        <is>
          <t>N/A</t>
        </is>
      </c>
      <c r="BN490" s="89" t="n">
        <v>38</v>
      </c>
      <c r="BO490" s="89" t="n">
        <v>32560</v>
      </c>
      <c r="BP490" s="89" t="n">
        <v>31343</v>
      </c>
      <c r="BQ490" s="89" t="n">
        <v>0</v>
      </c>
      <c r="BR490" s="89" t="n">
        <v>0</v>
      </c>
      <c r="BS490" s="89" t="n">
        <v>0</v>
      </c>
      <c r="BT490" s="89" t="n">
        <v>0</v>
      </c>
      <c r="BU490" s="89" t="n">
        <v>0</v>
      </c>
      <c r="BV490" s="89" t="n">
        <v>0</v>
      </c>
      <c r="BW490" s="89" t="n">
        <v>0</v>
      </c>
      <c r="BX490" s="89" t="n">
        <v>0</v>
      </c>
      <c r="BY490" s="89" t="n">
        <v>0</v>
      </c>
    </row>
    <row r="491" ht="17" customHeight="1">
      <c r="A491" s="82" t="n">
        <v>489</v>
      </c>
      <c r="B491" s="83" t="inlineStr">
        <is>
          <t>RMD</t>
        </is>
      </c>
      <c r="C491" s="84" t="inlineStr">
        <is>
          <t>ResMed Inc.</t>
        </is>
      </c>
      <c r="D491" s="82" t="inlineStr">
        <is>
          <t>Health Care</t>
        </is>
      </c>
      <c r="E491" s="82" t="n">
        <v>2026</v>
      </c>
      <c r="F491" s="85" t="n">
        <v>8174.4</v>
      </c>
      <c r="G491" s="85" t="n">
        <v>3505.6</v>
      </c>
      <c r="H491" s="85" t="n">
        <v>1019.1</v>
      </c>
      <c r="I491" s="85" t="n">
        <v>2206.5</v>
      </c>
      <c r="J491" s="85" t="n">
        <v>6081.5</v>
      </c>
      <c r="K491" s="85" t="n">
        <v>1685.4</v>
      </c>
      <c r="L491" s="85" t="n">
        <v>2957</v>
      </c>
      <c r="M491" s="85" t="n">
        <v>1400.7</v>
      </c>
      <c r="N491" s="85" t="n">
        <v>1751.6</v>
      </c>
      <c r="O491" s="85" t="n">
        <v>3055</v>
      </c>
      <c r="P491" s="85" t="n">
        <v>658.4</v>
      </c>
      <c r="Q491" s="85" t="n">
        <v>5967.9</v>
      </c>
      <c r="R491" s="85" t="n">
        <v>991</v>
      </c>
      <c r="S491" s="85" t="n">
        <v>198.5</v>
      </c>
      <c r="T491" s="85" t="n">
        <v>939.5</v>
      </c>
      <c r="U491" s="85" t="n">
        <v>550.8</v>
      </c>
      <c r="V491" s="85" t="n">
        <v>24</v>
      </c>
      <c r="W491" s="85" t="n">
        <v>6872.4</v>
      </c>
      <c r="X491" s="85" t="n">
        <v>2357.7</v>
      </c>
      <c r="Y491" s="85" t="n">
        <v>910.7</v>
      </c>
      <c r="Z491" s="85" t="n">
        <v>2008.4</v>
      </c>
      <c r="AA491" s="85" t="n">
        <v>1319.9</v>
      </c>
      <c r="AB491" s="85" t="n">
        <v>2606.6</v>
      </c>
      <c r="AC491" s="85" t="n">
        <v>1021</v>
      </c>
      <c r="AD491" s="85" t="n">
        <v>1401.3</v>
      </c>
      <c r="AE491" s="85" t="n">
        <v>2655.3</v>
      </c>
      <c r="AF491" s="85" t="n">
        <v>697.3</v>
      </c>
      <c r="AG491" s="85" t="n">
        <v>4864</v>
      </c>
      <c r="AH491" s="85" t="n">
        <v>2606.6</v>
      </c>
      <c r="AI491" s="85" t="n">
        <v>6872.4</v>
      </c>
      <c r="AJ491" s="85" t="n">
        <v>1677.6</v>
      </c>
      <c r="AK491" s="85" t="n">
        <v>1264.8</v>
      </c>
      <c r="AL491" s="85" t="n">
        <v>276.8</v>
      </c>
      <c r="AM491" s="85" t="n">
        <v>243.8</v>
      </c>
      <c r="AN491" s="85" t="n">
        <v>89.90000000000001</v>
      </c>
      <c r="AO491" s="85" t="n">
        <v>99.5</v>
      </c>
      <c r="AP491" s="85" t="n">
        <v>927.7</v>
      </c>
      <c r="AQ491" s="85" t="n">
        <v>822.2</v>
      </c>
      <c r="AR491" s="85" t="n">
        <v>3046.7</v>
      </c>
      <c r="AS491" s="85" t="n">
        <v>464.9</v>
      </c>
      <c r="AT491" s="85" t="n">
        <v>9.9</v>
      </c>
      <c r="AU491" s="85" t="n">
        <v>331.3</v>
      </c>
      <c r="AV491" s="85" t="n">
        <v>1209.5</v>
      </c>
      <c r="AW491" s="85" t="n">
        <v>238.4</v>
      </c>
      <c r="AX491" s="85" t="n">
        <v>668.3</v>
      </c>
      <c r="AY491" s="85" t="n">
        <v>707.2</v>
      </c>
      <c r="AZ491" s="85" t="n">
        <v>-541.2</v>
      </c>
      <c r="BA491" s="85" t="n">
        <v>1661.7</v>
      </c>
      <c r="BB491" s="85" t="n">
        <v>146.4</v>
      </c>
      <c r="BC491" s="85" t="n">
        <v>146.9</v>
      </c>
      <c r="BD491" s="85" t="n">
        <v>837.3</v>
      </c>
      <c r="BE491" s="85" t="n">
        <v>548</v>
      </c>
      <c r="BF491" s="85" t="n">
        <v>917.1</v>
      </c>
      <c r="BG491" s="85" t="n">
        <v>176.9</v>
      </c>
      <c r="BH491" s="85" t="n">
        <v>-200</v>
      </c>
      <c r="BI491" s="85" t="n">
        <v>-269.8</v>
      </c>
      <c r="BJ491" s="85" t="n">
        <v>278.2</v>
      </c>
      <c r="BK491" s="85" t="n">
        <v>237.7</v>
      </c>
      <c r="BL491" s="85" t="n">
        <v>60.8</v>
      </c>
      <c r="BM491" s="85" t="n">
        <v>51.9</v>
      </c>
      <c r="BN491" s="85" t="n">
        <v>132.3</v>
      </c>
      <c r="BO491" s="85" t="n">
        <v>2091.4</v>
      </c>
      <c r="BP491" s="85" t="n">
        <v>2030</v>
      </c>
      <c r="BQ491" s="85" t="n">
        <v>0</v>
      </c>
      <c r="BR491" s="85" t="n">
        <v>0</v>
      </c>
      <c r="BS491" s="85" t="n">
        <v>0</v>
      </c>
      <c r="BT491" s="85" t="n">
        <v>0</v>
      </c>
      <c r="BU491" s="85" t="n">
        <v>0</v>
      </c>
      <c r="BV491" s="85" t="n">
        <v>0</v>
      </c>
      <c r="BW491" s="85" t="n">
        <v>0</v>
      </c>
      <c r="BX491" s="85" t="n">
        <v>0</v>
      </c>
      <c r="BY491" s="85" t="n">
        <v>0</v>
      </c>
    </row>
    <row r="492" ht="17" customHeight="1">
      <c r="A492" s="86" t="n">
        <v>490</v>
      </c>
      <c r="B492" s="87" t="inlineStr">
        <is>
          <t>EPR</t>
        </is>
      </c>
      <c r="C492" s="88" t="inlineStr">
        <is>
          <t>EPR PROPERTIES</t>
        </is>
      </c>
      <c r="D492" s="86" t="inlineStr">
        <is>
          <t>Real Estate</t>
        </is>
      </c>
      <c r="E492" s="86" t="n">
        <v>2026</v>
      </c>
      <c r="F492" s="89" t="n">
        <v>5699.8</v>
      </c>
      <c r="G492" s="90" t="inlineStr">
        <is>
          <t>N/A</t>
        </is>
      </c>
      <c r="H492" s="90" t="inlineStr">
        <is>
          <t>N/A</t>
        </is>
      </c>
      <c r="I492" s="89" t="n">
        <v>3370.6</v>
      </c>
      <c r="J492" s="90" t="inlineStr">
        <is>
          <t>N/A</t>
        </is>
      </c>
      <c r="K492" s="89" t="n">
        <v>414.3</v>
      </c>
      <c r="L492" s="89" t="n">
        <v>718.4</v>
      </c>
      <c r="M492" s="89" t="n">
        <v>274.9</v>
      </c>
      <c r="N492" s="89" t="n">
        <v>421</v>
      </c>
      <c r="O492" s="90" t="inlineStr">
        <is>
          <t>N/A</t>
        </is>
      </c>
      <c r="P492" s="89" t="n">
        <v>2929.4</v>
      </c>
      <c r="Q492" s="89" t="n">
        <v>2073.9</v>
      </c>
      <c r="R492" s="89" t="n">
        <v>55.8</v>
      </c>
      <c r="S492" s="89" t="n">
        <v>169.2</v>
      </c>
      <c r="T492" s="89" t="n">
        <v>97.90000000000001</v>
      </c>
      <c r="U492" s="90" t="inlineStr">
        <is>
          <t>N/A</t>
        </is>
      </c>
      <c r="V492" s="89" t="n">
        <v>133.1</v>
      </c>
      <c r="W492" s="89" t="n">
        <v>5616.5</v>
      </c>
      <c r="X492" s="90" t="inlineStr">
        <is>
          <t>N/A</t>
        </is>
      </c>
      <c r="Y492" s="90" t="inlineStr">
        <is>
          <t>N/A</t>
        </is>
      </c>
      <c r="Z492" s="89" t="n">
        <v>3293.3</v>
      </c>
      <c r="AA492" s="89" t="n">
        <v>315.7</v>
      </c>
      <c r="AB492" s="89" t="n">
        <v>698.1</v>
      </c>
      <c r="AC492" s="89" t="n">
        <v>146.1</v>
      </c>
      <c r="AD492" s="89" t="n">
        <v>393.1</v>
      </c>
      <c r="AE492" s="90" t="inlineStr">
        <is>
          <t>N/A</t>
        </is>
      </c>
      <c r="AF492" s="89" t="n">
        <v>2860.5</v>
      </c>
      <c r="AG492" s="89" t="n">
        <v>1926.1</v>
      </c>
      <c r="AH492" s="89" t="n">
        <v>698.1</v>
      </c>
      <c r="AI492" s="89" t="n">
        <v>5616.5</v>
      </c>
      <c r="AJ492" s="89" t="n">
        <v>277.4</v>
      </c>
      <c r="AK492" s="89" t="n">
        <v>147.5</v>
      </c>
      <c r="AL492" s="89" t="n">
        <v>2.5</v>
      </c>
      <c r="AM492" s="89" t="n">
        <v>1.4</v>
      </c>
      <c r="AN492" s="89" t="n">
        <v>263.9</v>
      </c>
      <c r="AO492" s="89" t="n">
        <v>269.4</v>
      </c>
      <c r="AP492" s="90" t="inlineStr">
        <is>
          <t>N/A</t>
        </is>
      </c>
      <c r="AQ492" s="90" t="inlineStr">
        <is>
          <t>N/A</t>
        </is>
      </c>
      <c r="AR492" s="89" t="n">
        <v>0.7</v>
      </c>
      <c r="AS492" s="89" t="n">
        <v>31.7</v>
      </c>
      <c r="AT492" s="90" t="inlineStr">
        <is>
          <t>N/A</t>
        </is>
      </c>
      <c r="AU492" s="90" t="inlineStr">
        <is>
          <t>N/A</t>
        </is>
      </c>
      <c r="AV492" s="89" t="n">
        <v>90.59999999999999</v>
      </c>
      <c r="AW492" s="89" t="n">
        <v>22.1</v>
      </c>
      <c r="AX492" s="89" t="n">
        <v>2929.4</v>
      </c>
      <c r="AY492" s="89" t="n">
        <v>2860.5</v>
      </c>
      <c r="AZ492" s="89" t="n">
        <v>2838.8</v>
      </c>
      <c r="BA492" s="89" t="n">
        <v>157</v>
      </c>
      <c r="BB492" s="89" t="n">
        <v>84.2</v>
      </c>
      <c r="BC492" s="89" t="n">
        <v>83.59999999999999</v>
      </c>
      <c r="BD492" s="89" t="n">
        <v>84.59999999999999</v>
      </c>
      <c r="BE492" s="90" t="inlineStr">
        <is>
          <t>N/A</t>
        </is>
      </c>
      <c r="BF492" s="89" t="n">
        <v>50.1</v>
      </c>
      <c r="BG492" s="89" t="n">
        <v>165.7</v>
      </c>
      <c r="BH492" s="89" t="n">
        <v>-121.7</v>
      </c>
      <c r="BI492" s="89" t="n">
        <v>-176.4</v>
      </c>
      <c r="BJ492" s="90" t="inlineStr">
        <is>
          <t>N/A</t>
        </is>
      </c>
      <c r="BK492" s="90" t="inlineStr">
        <is>
          <t>N/A</t>
        </is>
      </c>
      <c r="BL492" s="89" t="n">
        <v>108.5</v>
      </c>
      <c r="BM492" s="89" t="n">
        <v>80.59999999999999</v>
      </c>
      <c r="BN492" s="90" t="inlineStr">
        <is>
          <t>N/A</t>
        </is>
      </c>
      <c r="BO492" s="90" t="inlineStr">
        <is>
          <t>N/A</t>
        </is>
      </c>
      <c r="BP492" s="90" t="inlineStr">
        <is>
          <t>N/A</t>
        </is>
      </c>
      <c r="BQ492" s="89" t="n">
        <v>0</v>
      </c>
      <c r="BR492" s="89" t="n">
        <v>0</v>
      </c>
      <c r="BS492" s="90" t="inlineStr">
        <is>
          <t>N/A</t>
        </is>
      </c>
      <c r="BT492" s="90" t="inlineStr">
        <is>
          <t>N/A</t>
        </is>
      </c>
      <c r="BU492" s="90" t="inlineStr">
        <is>
          <t>N/A</t>
        </is>
      </c>
      <c r="BV492" s="90" t="inlineStr">
        <is>
          <t>N/A</t>
        </is>
      </c>
      <c r="BW492" s="89" t="n">
        <v>0</v>
      </c>
      <c r="BX492" s="89" t="n">
        <v>0</v>
      </c>
      <c r="BY492" s="89" t="n">
        <v>0</v>
      </c>
    </row>
    <row r="493" ht="17" customHeight="1">
      <c r="A493" s="82" t="n">
        <v>491</v>
      </c>
      <c r="B493" s="83" t="inlineStr">
        <is>
          <t>FTNT</t>
        </is>
      </c>
      <c r="C493" s="84" t="inlineStr">
        <is>
          <t>FORTINET, INC.</t>
        </is>
      </c>
      <c r="D493" s="82" t="inlineStr">
        <is>
          <t>Information Technology</t>
        </is>
      </c>
      <c r="E493" s="82" t="n">
        <v>2026</v>
      </c>
      <c r="F493" s="85" t="n">
        <v>10389.2</v>
      </c>
      <c r="G493" s="85" t="n">
        <v>5900.2</v>
      </c>
      <c r="H493" s="85" t="n">
        <v>5034</v>
      </c>
      <c r="I493" s="85" t="n">
        <v>9151.700000000001</v>
      </c>
      <c r="J493" s="85" t="n">
        <v>-507.9</v>
      </c>
      <c r="K493" s="85" t="n">
        <v>2084.7</v>
      </c>
      <c r="L493" s="85" t="n">
        <v>6799.6</v>
      </c>
      <c r="M493" s="85" t="n">
        <v>1853.4</v>
      </c>
      <c r="N493" s="85" t="n">
        <v>2590.6</v>
      </c>
      <c r="O493" s="85" t="n">
        <v>5470.7</v>
      </c>
      <c r="P493" s="85" t="n">
        <v>496.6</v>
      </c>
      <c r="Q493" s="85" t="n">
        <v>1237.5</v>
      </c>
      <c r="R493" s="85" t="n">
        <v>233.4</v>
      </c>
      <c r="S493" s="85" t="n">
        <v>152</v>
      </c>
      <c r="T493" s="85" t="n">
        <v>1691.2</v>
      </c>
      <c r="U493" s="85" t="n">
        <v>1619</v>
      </c>
      <c r="V493" s="85" t="n">
        <v>20.1</v>
      </c>
      <c r="W493" s="85" t="n">
        <v>9763.1</v>
      </c>
      <c r="X493" s="85" t="n">
        <v>5971.5</v>
      </c>
      <c r="Y493" s="85" t="n">
        <v>4060.7</v>
      </c>
      <c r="Z493" s="85" t="n">
        <v>8269.299999999999</v>
      </c>
      <c r="AA493" s="85" t="n">
        <v>1803.4</v>
      </c>
      <c r="AB493" s="85" t="n">
        <v>5955.8</v>
      </c>
      <c r="AC493" s="85" t="n">
        <v>1745.2</v>
      </c>
      <c r="AD493" s="85" t="n">
        <v>2258.1</v>
      </c>
      <c r="AE493" s="85" t="n">
        <v>4798.2</v>
      </c>
      <c r="AF493" s="85" t="n">
        <v>994.3</v>
      </c>
      <c r="AG493" s="85" t="n">
        <v>1493.8</v>
      </c>
      <c r="AH493" s="85" t="n">
        <v>5955.8</v>
      </c>
      <c r="AI493" s="85" t="n">
        <v>9763.1</v>
      </c>
      <c r="AJ493" s="85" t="n">
        <v>2106.8</v>
      </c>
      <c r="AK493" s="91" t="inlineStr">
        <is>
          <t>N/A</t>
        </is>
      </c>
      <c r="AL493" s="85" t="n">
        <v>439.1</v>
      </c>
      <c r="AM493" s="85" t="n">
        <v>283.9</v>
      </c>
      <c r="AN493" s="85" t="n">
        <v>364.8</v>
      </c>
      <c r="AO493" s="85" t="n">
        <v>378.9</v>
      </c>
      <c r="AP493" s="85" t="n">
        <v>399.5</v>
      </c>
      <c r="AQ493" s="85" t="n">
        <v>315.5</v>
      </c>
      <c r="AR493" s="85" t="n">
        <v>257.4</v>
      </c>
      <c r="AS493" s="85" t="n">
        <v>97.3</v>
      </c>
      <c r="AT493" s="85" t="n">
        <v>499.7</v>
      </c>
      <c r="AU493" s="85" t="n">
        <v>815.5</v>
      </c>
      <c r="AV493" s="85" t="n">
        <v>2495.3</v>
      </c>
      <c r="AW493" s="85" t="n">
        <v>2875.9</v>
      </c>
      <c r="AX493" s="85" t="n">
        <v>996.3</v>
      </c>
      <c r="AY493" s="85" t="n">
        <v>994.3</v>
      </c>
      <c r="AZ493" s="85" t="n">
        <v>-1499</v>
      </c>
      <c r="BA493" s="85" t="n">
        <v>2225.8</v>
      </c>
      <c r="BB493" s="85" t="n">
        <v>743</v>
      </c>
      <c r="BC493" s="85" t="n">
        <v>767</v>
      </c>
      <c r="BD493" s="85" t="n">
        <v>1463.4</v>
      </c>
      <c r="BE493" s="85" t="n">
        <v>1349.5</v>
      </c>
      <c r="BF493" s="85" t="n">
        <v>237.8</v>
      </c>
      <c r="BG493" s="85" t="n">
        <v>122.8</v>
      </c>
      <c r="BH493" s="85" t="n">
        <v>-599.1</v>
      </c>
      <c r="BI493" s="85" t="n">
        <v>-727.4</v>
      </c>
      <c r="BJ493" s="85" t="n">
        <v>230.8</v>
      </c>
      <c r="BK493" s="85" t="n">
        <v>190.9</v>
      </c>
      <c r="BL493" s="85" t="n">
        <v>3636</v>
      </c>
      <c r="BM493" s="85" t="n">
        <v>3276.2</v>
      </c>
      <c r="BN493" s="85" t="n">
        <v>4.1</v>
      </c>
      <c r="BO493" s="85" t="n">
        <v>1328.9</v>
      </c>
      <c r="BP493" s="85" t="n">
        <v>1157.6</v>
      </c>
      <c r="BQ493" s="85" t="n">
        <v>0</v>
      </c>
      <c r="BR493" s="85" t="n">
        <v>0</v>
      </c>
      <c r="BS493" s="85" t="n">
        <v>0</v>
      </c>
      <c r="BT493" s="85" t="n">
        <v>0</v>
      </c>
      <c r="BU493" s="85" t="n">
        <v>0</v>
      </c>
      <c r="BV493" s="85" t="n">
        <v>0</v>
      </c>
      <c r="BW493" s="85" t="n">
        <v>0</v>
      </c>
      <c r="BX493" s="85" t="n">
        <v>0</v>
      </c>
      <c r="BY493" s="85" t="n">
        <v>0</v>
      </c>
    </row>
    <row r="494" ht="17" customHeight="1">
      <c r="A494" s="86" t="n">
        <v>492</v>
      </c>
      <c r="B494" s="87" t="inlineStr">
        <is>
          <t>LCID</t>
        </is>
      </c>
      <c r="C494" s="88" t="inlineStr">
        <is>
          <t>Lucid Group, Inc.</t>
        </is>
      </c>
      <c r="D494" s="86" t="inlineStr">
        <is>
          <t>Consumer Discretionary</t>
        </is>
      </c>
      <c r="E494" s="86" t="n">
        <v>2026</v>
      </c>
      <c r="F494" s="89" t="n">
        <v>8387</v>
      </c>
      <c r="G494" s="89" t="n">
        <v>3299.7</v>
      </c>
      <c r="H494" s="89" t="n">
        <v>2636.1</v>
      </c>
      <c r="I494" s="89" t="n">
        <v>5386.2</v>
      </c>
      <c r="J494" s="89" t="n">
        <v>-15610.7</v>
      </c>
      <c r="K494" s="89" t="n">
        <v>-3501.8</v>
      </c>
      <c r="L494" s="89" t="n">
        <v>595.3</v>
      </c>
      <c r="M494" s="89" t="n">
        <v>-2698.1</v>
      </c>
      <c r="N494" s="89" t="n">
        <v>-2931.9</v>
      </c>
      <c r="O494" s="89" t="n">
        <v>-2014.9</v>
      </c>
      <c r="P494" s="89" t="n">
        <v>2046.6</v>
      </c>
      <c r="Q494" s="89" t="n">
        <v>717.3</v>
      </c>
      <c r="R494" s="89" t="n">
        <v>1034</v>
      </c>
      <c r="S494" s="89" t="n">
        <v>451.2</v>
      </c>
      <c r="T494" s="89" t="n">
        <v>177.2</v>
      </c>
      <c r="U494" s="89" t="n">
        <v>713.3</v>
      </c>
      <c r="V494" s="89" t="n">
        <v>24.9</v>
      </c>
      <c r="W494" s="89" t="n">
        <v>9647.9</v>
      </c>
      <c r="X494" s="89" t="n">
        <v>4873.9</v>
      </c>
      <c r="Y494" s="89" t="n">
        <v>1165.3</v>
      </c>
      <c r="Z494" s="89" t="n">
        <v>4475.3</v>
      </c>
      <c r="AA494" s="89" t="n">
        <v>-3020.8</v>
      </c>
      <c r="AB494" s="89" t="n">
        <v>608.2</v>
      </c>
      <c r="AC494" s="89" t="n">
        <v>-2713.9</v>
      </c>
      <c r="AD494" s="89" t="n">
        <v>-2019.7</v>
      </c>
      <c r="AE494" s="89" t="n">
        <v>-1122.8</v>
      </c>
      <c r="AF494" s="89" t="n">
        <v>2002.2</v>
      </c>
      <c r="AG494" s="89" t="n">
        <v>3872.8</v>
      </c>
      <c r="AH494" s="89" t="n">
        <v>608.2</v>
      </c>
      <c r="AI494" s="89" t="n">
        <v>9647.9</v>
      </c>
      <c r="AJ494" s="89" t="n">
        <v>-2700.4</v>
      </c>
      <c r="AK494" s="89" t="n">
        <v>-2712.7</v>
      </c>
      <c r="AL494" s="89" t="n">
        <v>-2.3</v>
      </c>
      <c r="AM494" s="89" t="n">
        <v>1.2</v>
      </c>
      <c r="AN494" s="89" t="n">
        <v>868.2</v>
      </c>
      <c r="AO494" s="89" t="n">
        <v>883.8</v>
      </c>
      <c r="AP494" s="89" t="n">
        <v>1109.5</v>
      </c>
      <c r="AQ494" s="89" t="n">
        <v>407.8</v>
      </c>
      <c r="AR494" s="90" t="inlineStr">
        <is>
          <t>N/A</t>
        </is>
      </c>
      <c r="AS494" s="90" t="inlineStr">
        <is>
          <t>N/A</t>
        </is>
      </c>
      <c r="AT494" s="89" t="n">
        <v>126.4</v>
      </c>
      <c r="AU494" s="89" t="n">
        <v>1211.4</v>
      </c>
      <c r="AV494" s="89" t="n">
        <v>997.8</v>
      </c>
      <c r="AW494" s="89" t="n">
        <v>1606.9</v>
      </c>
      <c r="AX494" s="89" t="n">
        <v>2173</v>
      </c>
      <c r="AY494" s="89" t="n">
        <v>2074.7</v>
      </c>
      <c r="AZ494" s="89" t="n">
        <v>1175.2</v>
      </c>
      <c r="BA494" s="89" t="n">
        <v>-3800.1</v>
      </c>
      <c r="BB494" s="89" t="n">
        <v>327.4</v>
      </c>
      <c r="BC494" s="89" t="n">
        <v>3031.4</v>
      </c>
      <c r="BD494" s="89" t="n">
        <v>112</v>
      </c>
      <c r="BE494" s="90" t="inlineStr">
        <is>
          <t>N/A</t>
        </is>
      </c>
      <c r="BF494" s="89" t="n">
        <v>901</v>
      </c>
      <c r="BG494" s="89" t="n">
        <v>295.3</v>
      </c>
      <c r="BH494" s="89" t="n">
        <v>1478.4</v>
      </c>
      <c r="BI494" s="89" t="n">
        <v>-1294.5</v>
      </c>
      <c r="BJ494" s="89" t="n">
        <v>487.5</v>
      </c>
      <c r="BK494" s="89" t="n">
        <v>133.8</v>
      </c>
      <c r="BL494" s="89" t="n">
        <v>29.9</v>
      </c>
      <c r="BM494" s="89" t="n">
        <v>18.5</v>
      </c>
      <c r="BN494" s="90" t="inlineStr">
        <is>
          <t>N/A</t>
        </is>
      </c>
      <c r="BO494" s="89" t="n">
        <v>2610.2</v>
      </c>
      <c r="BP494" s="89" t="n">
        <v>1730.9</v>
      </c>
      <c r="BQ494" s="89" t="n">
        <v>0</v>
      </c>
      <c r="BR494" s="89" t="n">
        <v>0</v>
      </c>
      <c r="BS494" s="89" t="n">
        <v>0</v>
      </c>
      <c r="BT494" s="89" t="n">
        <v>0</v>
      </c>
      <c r="BU494" s="89" t="n">
        <v>0</v>
      </c>
      <c r="BV494" s="89" t="n">
        <v>0</v>
      </c>
      <c r="BW494" s="89" t="n">
        <v>0</v>
      </c>
      <c r="BX494" s="89" t="n">
        <v>-0</v>
      </c>
      <c r="BY494" s="89" t="n">
        <v>0</v>
      </c>
    </row>
    <row r="495" ht="17" customHeight="1">
      <c r="A495" s="82" t="n">
        <v>493</v>
      </c>
      <c r="B495" s="83" t="inlineStr">
        <is>
          <t>WAB</t>
        </is>
      </c>
      <c r="C495" s="84" t="inlineStr">
        <is>
          <t>WESTINGHOUSE AIR BRAKE TECHNOLOGIES CORPORATION</t>
        </is>
      </c>
      <c r="D495" s="82" t="inlineStr">
        <is>
          <t>Industrials</t>
        </is>
      </c>
      <c r="E495" s="82" t="n">
        <v>2026</v>
      </c>
      <c r="F495" s="85" t="n">
        <v>22069</v>
      </c>
      <c r="G495" s="85" t="n">
        <v>5694</v>
      </c>
      <c r="H495" s="85" t="n">
        <v>5150</v>
      </c>
      <c r="I495" s="85" t="n">
        <v>10879</v>
      </c>
      <c r="J495" s="85" t="n">
        <v>3878</v>
      </c>
      <c r="K495" s="85" t="n">
        <v>1793</v>
      </c>
      <c r="L495" s="85" t="n">
        <v>2391.1</v>
      </c>
      <c r="M495" s="85" t="n">
        <v>1170</v>
      </c>
      <c r="N495" s="85" t="n">
        <v>1759</v>
      </c>
      <c r="O495" s="85" t="n">
        <v>3806</v>
      </c>
      <c r="P495" s="85" t="n">
        <v>5541</v>
      </c>
      <c r="Q495" s="85" t="n">
        <v>11142</v>
      </c>
      <c r="R495" s="85" t="n">
        <v>1490</v>
      </c>
      <c r="S495" s="85" t="n">
        <v>501</v>
      </c>
      <c r="T495" s="85" t="n">
        <v>1410</v>
      </c>
      <c r="U495" s="85" t="n">
        <v>1616</v>
      </c>
      <c r="V495" s="85" t="n">
        <v>14.9</v>
      </c>
      <c r="W495" s="85" t="n">
        <v>18702</v>
      </c>
      <c r="X495" s="85" t="n">
        <v>4943</v>
      </c>
      <c r="Y495" s="85" t="n">
        <v>3792</v>
      </c>
      <c r="Z495" s="85" t="n">
        <v>8569</v>
      </c>
      <c r="AA495" s="85" t="n">
        <v>1609</v>
      </c>
      <c r="AB495" s="85" t="n">
        <v>1967.6</v>
      </c>
      <c r="AC495" s="85" t="n">
        <v>1056</v>
      </c>
      <c r="AD495" s="85" t="n">
        <v>1834</v>
      </c>
      <c r="AE495" s="85" t="n">
        <v>3366</v>
      </c>
      <c r="AF495" s="85" t="n">
        <v>3980</v>
      </c>
      <c r="AG495" s="85" t="n">
        <v>10091</v>
      </c>
      <c r="AH495" s="85" t="n">
        <v>1967.6</v>
      </c>
      <c r="AI495" s="85" t="n">
        <v>18702</v>
      </c>
      <c r="AJ495" s="85" t="n">
        <v>1592</v>
      </c>
      <c r="AK495" s="85" t="n">
        <v>1410</v>
      </c>
      <c r="AL495" s="85" t="n">
        <v>409</v>
      </c>
      <c r="AM495" s="85" t="n">
        <v>343</v>
      </c>
      <c r="AN495" s="85" t="n">
        <v>260</v>
      </c>
      <c r="AO495" s="85" t="n">
        <v>207</v>
      </c>
      <c r="AP495" s="85" t="n">
        <v>2745</v>
      </c>
      <c r="AQ495" s="85" t="n">
        <v>2314</v>
      </c>
      <c r="AR495" s="85" t="n">
        <v>10216</v>
      </c>
      <c r="AS495" s="85" t="n">
        <v>2987</v>
      </c>
      <c r="AT495" s="85" t="n">
        <v>1250</v>
      </c>
      <c r="AU495" s="85" t="n">
        <v>223</v>
      </c>
      <c r="AV495" s="85" t="n">
        <v>473</v>
      </c>
      <c r="AW495" s="85" t="n">
        <v>598.7</v>
      </c>
      <c r="AX495" s="85" t="n">
        <v>6791</v>
      </c>
      <c r="AY495" s="85" t="n">
        <v>3980</v>
      </c>
      <c r="AZ495" s="85" t="n">
        <v>6318</v>
      </c>
      <c r="BA495" s="85" t="n">
        <v>1499</v>
      </c>
      <c r="BB495" s="85" t="n">
        <v>170.6</v>
      </c>
      <c r="BC495" s="85" t="n">
        <v>171.3</v>
      </c>
      <c r="BD495" s="85" t="n">
        <v>1152</v>
      </c>
      <c r="BE495" s="85" t="n">
        <v>1447</v>
      </c>
      <c r="BF495" s="85" t="n">
        <v>1248</v>
      </c>
      <c r="BG495" s="85" t="n">
        <v>503</v>
      </c>
      <c r="BH495" s="85" t="n">
        <v>-2747</v>
      </c>
      <c r="BI495" s="85" t="n">
        <v>-343</v>
      </c>
      <c r="BJ495" s="85" t="n">
        <v>1402</v>
      </c>
      <c r="BK495" s="85" t="n">
        <v>1300</v>
      </c>
      <c r="BL495" s="85" t="n">
        <v>1015</v>
      </c>
      <c r="BM495" s="85" t="n">
        <v>693</v>
      </c>
      <c r="BN495" s="91" t="inlineStr">
        <is>
          <t>N/A</t>
        </is>
      </c>
      <c r="BO495" s="85" t="n">
        <v>7361</v>
      </c>
      <c r="BP495" s="85" t="n">
        <v>7021</v>
      </c>
      <c r="BQ495" s="85" t="n">
        <v>0</v>
      </c>
      <c r="BR495" s="85" t="n">
        <v>0</v>
      </c>
      <c r="BS495" s="85" t="n">
        <v>0</v>
      </c>
      <c r="BT495" s="85" t="n">
        <v>0</v>
      </c>
      <c r="BU495" s="85" t="n">
        <v>0</v>
      </c>
      <c r="BV495" s="85" t="n">
        <v>0</v>
      </c>
      <c r="BW495" s="85" t="n">
        <v>0</v>
      </c>
      <c r="BX495" s="85" t="n">
        <v>0</v>
      </c>
      <c r="BY495" s="85" t="n">
        <v>0</v>
      </c>
    </row>
    <row r="496" ht="17" customHeight="1">
      <c r="A496" s="86" t="n">
        <v>494</v>
      </c>
      <c r="B496" s="87" t="inlineStr">
        <is>
          <t>AIG</t>
        </is>
      </c>
      <c r="C496" s="88" t="inlineStr">
        <is>
          <t>American International Group, Inc.</t>
        </is>
      </c>
      <c r="D496" s="86" t="inlineStr">
        <is>
          <t>Financials</t>
        </is>
      </c>
      <c r="E496" s="86" t="n">
        <v>2026</v>
      </c>
      <c r="F496" s="89" t="n">
        <v>161254</v>
      </c>
      <c r="G496" s="90" t="inlineStr">
        <is>
          <t>N/A</t>
        </is>
      </c>
      <c r="H496" s="90" t="inlineStr">
        <is>
          <t>N/A</t>
        </is>
      </c>
      <c r="I496" s="89" t="n">
        <v>120092</v>
      </c>
      <c r="J496" s="89" t="n">
        <v>37186</v>
      </c>
      <c r="K496" s="89" t="n">
        <v>3879</v>
      </c>
      <c r="L496" s="89" t="n">
        <v>26775</v>
      </c>
      <c r="M496" s="89" t="n">
        <v>3096</v>
      </c>
      <c r="N496" s="89" t="n">
        <v>3314</v>
      </c>
      <c r="O496" s="89" t="n">
        <v>3879</v>
      </c>
      <c r="P496" s="89" t="n">
        <v>9191</v>
      </c>
      <c r="Q496" s="89" t="n">
        <v>41139</v>
      </c>
      <c r="R496" s="89" t="n">
        <v>5053</v>
      </c>
      <c r="S496" s="89" t="n">
        <v>8</v>
      </c>
      <c r="T496" s="90" t="inlineStr">
        <is>
          <t>N/A</t>
        </is>
      </c>
      <c r="U496" s="89" t="n">
        <v>1369</v>
      </c>
      <c r="V496" s="89" t="n">
        <v>396</v>
      </c>
      <c r="W496" s="89" t="n">
        <v>161322</v>
      </c>
      <c r="X496" s="90" t="inlineStr">
        <is>
          <t>N/A</t>
        </is>
      </c>
      <c r="Y496" s="90" t="inlineStr">
        <is>
          <t>N/A</t>
        </is>
      </c>
      <c r="Z496" s="89" t="n">
        <v>118772</v>
      </c>
      <c r="AA496" s="89" t="n">
        <v>3870</v>
      </c>
      <c r="AB496" s="89" t="n">
        <v>27251</v>
      </c>
      <c r="AC496" s="89" t="n">
        <v>-1404</v>
      </c>
      <c r="AD496" s="89" t="n">
        <v>3273</v>
      </c>
      <c r="AE496" s="89" t="n">
        <v>3870</v>
      </c>
      <c r="AF496" s="89" t="n">
        <v>8922</v>
      </c>
      <c r="AG496" s="89" t="n">
        <v>42521</v>
      </c>
      <c r="AH496" s="89" t="n">
        <v>27251</v>
      </c>
      <c r="AI496" s="89" t="n">
        <v>161322</v>
      </c>
      <c r="AJ496" s="89" t="n">
        <v>3879</v>
      </c>
      <c r="AK496" s="89" t="n">
        <v>3870</v>
      </c>
      <c r="AL496" s="89" t="n">
        <v>782</v>
      </c>
      <c r="AM496" s="89" t="n">
        <v>1170</v>
      </c>
      <c r="AN496" s="89" t="n">
        <v>240</v>
      </c>
      <c r="AO496" s="89" t="n">
        <v>210</v>
      </c>
      <c r="AP496" s="90" t="inlineStr">
        <is>
          <t>N/A</t>
        </is>
      </c>
      <c r="AQ496" s="90" t="inlineStr">
        <is>
          <t>N/A</t>
        </is>
      </c>
      <c r="AR496" s="89" t="n">
        <v>3435</v>
      </c>
      <c r="AS496" s="89" t="n">
        <v>300</v>
      </c>
      <c r="AT496" s="89" t="n">
        <v>250</v>
      </c>
      <c r="AU496" s="90" t="inlineStr">
        <is>
          <t>N/A</t>
        </is>
      </c>
      <c r="AV496" s="90" t="inlineStr">
        <is>
          <t>N/A</t>
        </is>
      </c>
      <c r="AW496" s="90" t="inlineStr">
        <is>
          <t>N/A</t>
        </is>
      </c>
      <c r="AX496" s="89" t="n">
        <v>9441</v>
      </c>
      <c r="AY496" s="89" t="n">
        <v>10422</v>
      </c>
      <c r="AZ496" s="89" t="n">
        <v>9441</v>
      </c>
      <c r="BA496" s="89" t="n">
        <v>3074</v>
      </c>
      <c r="BB496" s="89" t="n">
        <v>538.2</v>
      </c>
      <c r="BC496" s="89" t="n">
        <v>606.1</v>
      </c>
      <c r="BD496" s="90" t="inlineStr">
        <is>
          <t>N/A</t>
        </is>
      </c>
      <c r="BE496" s="89" t="n">
        <v>1116</v>
      </c>
      <c r="BF496" s="89" t="n">
        <v>5529</v>
      </c>
      <c r="BG496" s="89" t="n">
        <v>9</v>
      </c>
      <c r="BH496" s="89" t="n">
        <v>3190</v>
      </c>
      <c r="BI496" s="89" t="n">
        <v>1672</v>
      </c>
      <c r="BJ496" s="90" t="inlineStr">
        <is>
          <t>N/A</t>
        </is>
      </c>
      <c r="BK496" s="90" t="inlineStr">
        <is>
          <t>N/A</t>
        </is>
      </c>
      <c r="BL496" s="90" t="inlineStr">
        <is>
          <t>N/A</t>
        </is>
      </c>
      <c r="BM496" s="90" t="inlineStr">
        <is>
          <t>N/A</t>
        </is>
      </c>
      <c r="BN496" s="90" t="inlineStr">
        <is>
          <t>N/A</t>
        </is>
      </c>
      <c r="BO496" s="89" t="n">
        <v>22896</v>
      </c>
      <c r="BP496" s="89" t="n">
        <v>23381</v>
      </c>
      <c r="BQ496" s="90" t="inlineStr">
        <is>
          <t>N/A</t>
        </is>
      </c>
      <c r="BR496" s="90" t="inlineStr">
        <is>
          <t>N/A</t>
        </is>
      </c>
      <c r="BS496" s="90" t="inlineStr">
        <is>
          <t>N/A</t>
        </is>
      </c>
      <c r="BT496" s="90" t="inlineStr">
        <is>
          <t>N/A</t>
        </is>
      </c>
      <c r="BU496" s="90" t="inlineStr">
        <is>
          <t>N/A</t>
        </is>
      </c>
      <c r="BV496" s="90" t="inlineStr">
        <is>
          <t>N/A</t>
        </is>
      </c>
      <c r="BW496" s="89" t="n">
        <v>0</v>
      </c>
      <c r="BX496" s="89" t="n">
        <v>0</v>
      </c>
      <c r="BY496" s="89" t="n">
        <v>0</v>
      </c>
    </row>
    <row r="497" ht="17" customHeight="1">
      <c r="A497" s="82" t="n">
        <v>495</v>
      </c>
      <c r="B497" s="83" t="inlineStr">
        <is>
          <t>ABNB</t>
        </is>
      </c>
      <c r="C497" s="84" t="inlineStr">
        <is>
          <t>Airbnb, Inc.</t>
        </is>
      </c>
      <c r="D497" s="82" t="inlineStr">
        <is>
          <t>Consumer Discretionary</t>
        </is>
      </c>
      <c r="E497" s="82" t="n">
        <v>2026</v>
      </c>
      <c r="F497" s="85" t="n">
        <v>22208</v>
      </c>
      <c r="G497" s="85" t="n">
        <v>18797</v>
      </c>
      <c r="H497" s="85" t="n">
        <v>13649</v>
      </c>
      <c r="I497" s="85" t="n">
        <v>14009</v>
      </c>
      <c r="J497" s="85" t="n">
        <v>-5502</v>
      </c>
      <c r="K497" s="85" t="n">
        <v>2544</v>
      </c>
      <c r="L497" s="85" t="n">
        <v>12241</v>
      </c>
      <c r="M497" s="85" t="n">
        <v>2511</v>
      </c>
      <c r="N497" s="85" t="n">
        <v>4646</v>
      </c>
      <c r="O497" s="85" t="n">
        <v>10155</v>
      </c>
      <c r="P497" s="85" t="n">
        <v>2000</v>
      </c>
      <c r="Q497" s="85" t="n">
        <v>8199</v>
      </c>
      <c r="R497" s="85" t="n">
        <v>1342</v>
      </c>
      <c r="S497" s="85" t="n">
        <v>42.6</v>
      </c>
      <c r="T497" s="91" t="inlineStr">
        <is>
          <t>N/A</t>
        </is>
      </c>
      <c r="U497" s="85" t="n">
        <v>107</v>
      </c>
      <c r="V497" s="91" t="inlineStr">
        <is>
          <t>N/A</t>
        </is>
      </c>
      <c r="W497" s="85" t="n">
        <v>20959</v>
      </c>
      <c r="X497" s="85" t="n">
        <v>17180</v>
      </c>
      <c r="Y497" s="85" t="n">
        <v>10161</v>
      </c>
      <c r="Z497" s="85" t="n">
        <v>12547</v>
      </c>
      <c r="AA497" s="85" t="n">
        <v>2553</v>
      </c>
      <c r="AB497" s="85" t="n">
        <v>11102</v>
      </c>
      <c r="AC497" s="85" t="n">
        <v>2648</v>
      </c>
      <c r="AD497" s="85" t="n">
        <v>4518</v>
      </c>
      <c r="AE497" s="85" t="n">
        <v>9224</v>
      </c>
      <c r="AF497" s="85" t="n">
        <v>1995</v>
      </c>
      <c r="AG497" s="85" t="n">
        <v>8412</v>
      </c>
      <c r="AH497" s="85" t="n">
        <v>11102</v>
      </c>
      <c r="AI497" s="85" t="n">
        <v>20959</v>
      </c>
      <c r="AJ497" s="85" t="n">
        <v>3137</v>
      </c>
      <c r="AK497" s="85" t="n">
        <v>3331</v>
      </c>
      <c r="AL497" s="85" t="n">
        <v>626</v>
      </c>
      <c r="AM497" s="85" t="n">
        <v>683</v>
      </c>
      <c r="AN497" s="85" t="n">
        <v>25</v>
      </c>
      <c r="AO497" s="85" t="n">
        <v>25.3</v>
      </c>
      <c r="AP497" s="91" t="inlineStr">
        <is>
          <t>N/A</t>
        </is>
      </c>
      <c r="AQ497" s="91" t="inlineStr">
        <is>
          <t>N/A</t>
        </is>
      </c>
      <c r="AR497" s="85" t="n">
        <v>754</v>
      </c>
      <c r="AS497" s="85" t="n">
        <v>16</v>
      </c>
      <c r="AT497" s="85" t="n">
        <v>1999</v>
      </c>
      <c r="AU497" s="85" t="n">
        <v>2354</v>
      </c>
      <c r="AV497" s="85" t="n">
        <v>6560</v>
      </c>
      <c r="AW497" s="85" t="n">
        <v>6864</v>
      </c>
      <c r="AX497" s="85" t="n">
        <v>3999</v>
      </c>
      <c r="AY497" s="85" t="n">
        <v>1995</v>
      </c>
      <c r="AZ497" s="85" t="n">
        <v>-2561</v>
      </c>
      <c r="BA497" s="85" t="n">
        <v>4621</v>
      </c>
      <c r="BB497" s="91" t="inlineStr">
        <is>
          <t>N/A</t>
        </is>
      </c>
      <c r="BC497" s="91" t="inlineStr">
        <is>
          <t>N/A</t>
        </is>
      </c>
      <c r="BD497" s="91" t="inlineStr">
        <is>
          <t>N/A</t>
        </is>
      </c>
      <c r="BE497" s="85" t="n">
        <v>147</v>
      </c>
      <c r="BF497" s="85" t="n">
        <v>1185</v>
      </c>
      <c r="BG497" s="85" t="n">
        <v>85.59999999999999</v>
      </c>
      <c r="BH497" s="85" t="n">
        <v>-748</v>
      </c>
      <c r="BI497" s="85" t="n">
        <v>-616</v>
      </c>
      <c r="BJ497" s="85" t="n">
        <v>232</v>
      </c>
      <c r="BK497" s="85" t="n">
        <v>142</v>
      </c>
      <c r="BL497" s="85" t="n">
        <v>1743</v>
      </c>
      <c r="BM497" s="85" t="n">
        <v>1616</v>
      </c>
      <c r="BN497" s="85" t="n">
        <v>25.1</v>
      </c>
      <c r="BO497" s="85" t="n">
        <v>2086</v>
      </c>
      <c r="BP497" s="85" t="n">
        <v>1878</v>
      </c>
      <c r="BQ497" s="91" t="inlineStr">
        <is>
          <t>N/A</t>
        </is>
      </c>
      <c r="BR497" s="91" t="inlineStr">
        <is>
          <t>N/A</t>
        </is>
      </c>
      <c r="BS497" s="91" t="inlineStr">
        <is>
          <t>N/A</t>
        </is>
      </c>
      <c r="BT497" s="91" t="inlineStr">
        <is>
          <t>N/A</t>
        </is>
      </c>
      <c r="BU497" s="85" t="n">
        <v>0</v>
      </c>
      <c r="BV497" s="85" t="n">
        <v>0</v>
      </c>
      <c r="BW497" s="85" t="n">
        <v>0</v>
      </c>
      <c r="BX497" s="85" t="n">
        <v>0</v>
      </c>
      <c r="BY497" s="85" t="n">
        <v>0</v>
      </c>
    </row>
    <row r="498" ht="17" customHeight="1">
      <c r="A498" s="86" t="n">
        <v>496</v>
      </c>
      <c r="B498" s="87" t="inlineStr">
        <is>
          <t>JNJ</t>
        </is>
      </c>
      <c r="C498" s="88" t="inlineStr">
        <is>
          <t>Johnson &amp; Johnson</t>
        </is>
      </c>
      <c r="D498" s="86" t="inlineStr">
        <is>
          <t>Health Care</t>
        </is>
      </c>
      <c r="E498" s="86" t="n">
        <v>2026</v>
      </c>
      <c r="F498" s="89" t="n">
        <v>199210</v>
      </c>
      <c r="G498" s="89" t="n">
        <v>55624</v>
      </c>
      <c r="H498" s="89" t="n">
        <v>54126</v>
      </c>
      <c r="I498" s="89" t="n">
        <v>117666</v>
      </c>
      <c r="J498" s="89" t="n">
        <v>168978</v>
      </c>
      <c r="K498" s="89" t="n">
        <v>21590</v>
      </c>
      <c r="L498" s="89" t="n">
        <v>94193</v>
      </c>
      <c r="M498" s="89" t="n">
        <v>26804</v>
      </c>
      <c r="N498" s="89" t="n">
        <v>24530</v>
      </c>
      <c r="O498" s="89" t="n">
        <v>63937</v>
      </c>
      <c r="P498" s="89" t="n">
        <v>41438</v>
      </c>
      <c r="Q498" s="89" t="n">
        <v>81544</v>
      </c>
      <c r="R498" s="89" t="n">
        <v>23676</v>
      </c>
      <c r="S498" s="89" t="n">
        <v>7503</v>
      </c>
      <c r="T498" s="89" t="n">
        <v>17178</v>
      </c>
      <c r="U498" s="89" t="n">
        <v>23169</v>
      </c>
      <c r="V498" s="89" t="n">
        <v>772</v>
      </c>
      <c r="W498" s="89" t="n">
        <v>180104</v>
      </c>
      <c r="X498" s="89" t="n">
        <v>55893</v>
      </c>
      <c r="Y498" s="89" t="n">
        <v>50321</v>
      </c>
      <c r="Z498" s="89" t="n">
        <v>108614</v>
      </c>
      <c r="AA498" s="89" t="n">
        <v>16412</v>
      </c>
      <c r="AB498" s="89" t="n">
        <v>88821</v>
      </c>
      <c r="AC498" s="89" t="n">
        <v>14066</v>
      </c>
      <c r="AD498" s="89" t="n">
        <v>24266</v>
      </c>
      <c r="AE498" s="89" t="n">
        <v>61350</v>
      </c>
      <c r="AF498" s="89" t="n">
        <v>32400</v>
      </c>
      <c r="AG498" s="90" t="inlineStr">
        <is>
          <t>N/A</t>
        </is>
      </c>
      <c r="AH498" s="89" t="n">
        <v>88821</v>
      </c>
      <c r="AI498" s="89" t="n">
        <v>180104</v>
      </c>
      <c r="AJ498" s="89" t="n">
        <v>32581</v>
      </c>
      <c r="AK498" s="89" t="n">
        <v>16687</v>
      </c>
      <c r="AL498" s="89" t="n">
        <v>5777</v>
      </c>
      <c r="AM498" s="89" t="n">
        <v>2621</v>
      </c>
      <c r="AN498" s="89" t="n">
        <v>4832</v>
      </c>
      <c r="AO498" s="89" t="n">
        <v>4424</v>
      </c>
      <c r="AP498" s="89" t="n">
        <v>14191</v>
      </c>
      <c r="AQ498" s="89" t="n">
        <v>12444</v>
      </c>
      <c r="AR498" s="89" t="n">
        <v>48772</v>
      </c>
      <c r="AS498" s="89" t="n">
        <v>8825</v>
      </c>
      <c r="AT498" s="89" t="n">
        <v>8495</v>
      </c>
      <c r="AU498" s="89" t="n">
        <v>109</v>
      </c>
      <c r="AV498" s="89" t="n">
        <v>19709</v>
      </c>
      <c r="AW498" s="89" t="n">
        <v>24105</v>
      </c>
      <c r="AX498" s="89" t="n">
        <v>49933</v>
      </c>
      <c r="AY498" s="89" t="n">
        <v>38383</v>
      </c>
      <c r="AZ498" s="89" t="n">
        <v>30224</v>
      </c>
      <c r="BA498" s="89" t="n">
        <v>19698</v>
      </c>
      <c r="BB498" s="89" t="n">
        <v>3119.8</v>
      </c>
      <c r="BC498" s="89" t="n">
        <v>3119.8</v>
      </c>
      <c r="BD498" s="89" t="n">
        <v>14842</v>
      </c>
      <c r="BE498" s="89" t="n">
        <v>20518</v>
      </c>
      <c r="BF498" s="89" t="n">
        <v>22869</v>
      </c>
      <c r="BG498" s="89" t="n">
        <v>7339</v>
      </c>
      <c r="BH498" s="89" t="n">
        <v>-23588</v>
      </c>
      <c r="BI498" s="89" t="n">
        <v>-18599</v>
      </c>
      <c r="BJ498" s="89" t="n">
        <v>11991</v>
      </c>
      <c r="BK498" s="89" t="n">
        <v>10311</v>
      </c>
      <c r="BL498" s="90" t="inlineStr">
        <is>
          <t>N/A</t>
        </is>
      </c>
      <c r="BM498" s="90" t="inlineStr">
        <is>
          <t>N/A</t>
        </is>
      </c>
      <c r="BN498" s="89" t="n">
        <v>1388</v>
      </c>
      <c r="BO498" s="89" t="n">
        <v>30256</v>
      </c>
      <c r="BP498" s="89" t="n">
        <v>27471</v>
      </c>
      <c r="BQ498" s="89" t="n">
        <v>0</v>
      </c>
      <c r="BR498" s="89" t="n">
        <v>0</v>
      </c>
      <c r="BS498" s="89" t="n">
        <v>0</v>
      </c>
      <c r="BT498" s="89" t="n">
        <v>0</v>
      </c>
      <c r="BU498" s="89" t="n">
        <v>0</v>
      </c>
      <c r="BV498" s="89" t="n">
        <v>0</v>
      </c>
      <c r="BW498" s="89" t="n">
        <v>0</v>
      </c>
      <c r="BX498" s="89" t="n">
        <v>0</v>
      </c>
      <c r="BY498" s="89" t="n">
        <v>0</v>
      </c>
    </row>
    <row r="499" ht="17" customHeight="1">
      <c r="A499" s="82" t="n">
        <v>497</v>
      </c>
      <c r="B499" s="83" t="inlineStr">
        <is>
          <t>OLLI</t>
        </is>
      </c>
      <c r="C499" s="84" t="inlineStr">
        <is>
          <t>Ollie’s Bargain Outlet Holdings, Inc.</t>
        </is>
      </c>
      <c r="D499" s="82" t="inlineStr">
        <is>
          <t>Consumer Discretionary</t>
        </is>
      </c>
      <c r="E499" s="82" t="n">
        <v>2026</v>
      </c>
      <c r="F499" s="85" t="n">
        <v>2955</v>
      </c>
      <c r="G499" s="85" t="n">
        <v>964.1</v>
      </c>
      <c r="H499" s="85" t="n">
        <v>400.4</v>
      </c>
      <c r="I499" s="85" t="n">
        <v>1066.9</v>
      </c>
      <c r="J499" s="85" t="n">
        <v>1608.3</v>
      </c>
      <c r="K499" s="85" t="n">
        <v>297.7</v>
      </c>
      <c r="L499" s="85" t="n">
        <v>2649.2</v>
      </c>
      <c r="M499" s="85" t="n">
        <v>240.6</v>
      </c>
      <c r="N499" s="85" t="n">
        <v>296.5</v>
      </c>
      <c r="O499" s="85" t="n">
        <v>1072.9</v>
      </c>
      <c r="P499" s="85" t="n">
        <v>199.9</v>
      </c>
      <c r="Q499" s="85" t="n">
        <v>1888.1</v>
      </c>
      <c r="R499" s="85" t="n">
        <v>709</v>
      </c>
      <c r="S499" s="85" t="n">
        <v>41</v>
      </c>
      <c r="T499" s="85" t="n">
        <v>3.8</v>
      </c>
      <c r="U499" s="85" t="n">
        <v>382.2</v>
      </c>
      <c r="V499" s="85" t="n">
        <v>15.4</v>
      </c>
      <c r="W499" s="85" t="n">
        <v>2561.1</v>
      </c>
      <c r="X499" s="85" t="n">
        <v>993.8</v>
      </c>
      <c r="Y499" s="85" t="n">
        <v>304.3</v>
      </c>
      <c r="Z499" s="85" t="n">
        <v>865.8</v>
      </c>
      <c r="AA499" s="85" t="n">
        <v>249.5</v>
      </c>
      <c r="AB499" s="85" t="n">
        <v>2271.7</v>
      </c>
      <c r="AC499" s="85" t="n">
        <v>199.8</v>
      </c>
      <c r="AD499" s="85" t="n">
        <v>227.5</v>
      </c>
      <c r="AE499" s="85" t="n">
        <v>914.5</v>
      </c>
      <c r="AF499" s="85" t="n">
        <v>321.3</v>
      </c>
      <c r="AG499" s="85" t="n">
        <v>1695.3</v>
      </c>
      <c r="AH499" s="85" t="n">
        <v>2271.7</v>
      </c>
      <c r="AI499" s="85" t="n">
        <v>2561.1</v>
      </c>
      <c r="AJ499" s="85" t="n">
        <v>316.4</v>
      </c>
      <c r="AK499" s="85" t="n">
        <v>265.8</v>
      </c>
      <c r="AL499" s="85" t="n">
        <v>75.8</v>
      </c>
      <c r="AM499" s="85" t="n">
        <v>66.09999999999999</v>
      </c>
      <c r="AN499" s="85" t="n">
        <v>101.9</v>
      </c>
      <c r="AO499" s="85" t="n">
        <v>120.6</v>
      </c>
      <c r="AP499" s="85" t="n">
        <v>650.3</v>
      </c>
      <c r="AQ499" s="85" t="n">
        <v>552.5</v>
      </c>
      <c r="AR499" s="85" t="n">
        <v>444.9</v>
      </c>
      <c r="AS499" s="85" t="n">
        <v>2.4</v>
      </c>
      <c r="AT499" s="85" t="n">
        <v>5</v>
      </c>
      <c r="AU499" s="91" t="inlineStr">
        <is>
          <t>N/A</t>
        </is>
      </c>
      <c r="AV499" s="85" t="n">
        <v>259.7</v>
      </c>
      <c r="AW499" s="85" t="n">
        <v>205.1</v>
      </c>
      <c r="AX499" s="85" t="n">
        <v>204.9</v>
      </c>
      <c r="AY499" s="85" t="n">
        <v>321.3</v>
      </c>
      <c r="AZ499" s="85" t="n">
        <v>-54.8</v>
      </c>
      <c r="BA499" s="85" t="n">
        <v>194.7</v>
      </c>
      <c r="BB499" s="85" t="n">
        <v>67.8</v>
      </c>
      <c r="BC499" s="85" t="n">
        <v>67.5</v>
      </c>
      <c r="BD499" s="85" t="n">
        <v>2.4</v>
      </c>
      <c r="BE499" s="85" t="n">
        <v>335</v>
      </c>
      <c r="BF499" s="85" t="n">
        <v>612.4</v>
      </c>
      <c r="BG499" s="85" t="n">
        <v>33.2</v>
      </c>
      <c r="BH499" s="85" t="n">
        <v>-179.9</v>
      </c>
      <c r="BI499" s="85" t="n">
        <v>-255.3</v>
      </c>
      <c r="BJ499" s="85" t="n">
        <v>169.3</v>
      </c>
      <c r="BK499" s="85" t="n">
        <v>130.3</v>
      </c>
      <c r="BL499" s="85" t="n">
        <v>16.6</v>
      </c>
      <c r="BM499" s="85" t="n">
        <v>16</v>
      </c>
      <c r="BN499" s="85" t="n">
        <v>9.800000000000001</v>
      </c>
      <c r="BO499" s="85" t="n">
        <v>1576.3</v>
      </c>
      <c r="BP499" s="85" t="n">
        <v>1357.3</v>
      </c>
      <c r="BQ499" s="85" t="n">
        <v>0</v>
      </c>
      <c r="BR499" s="85" t="n">
        <v>0</v>
      </c>
      <c r="BS499" s="85" t="n">
        <v>0</v>
      </c>
      <c r="BT499" s="85" t="n">
        <v>0</v>
      </c>
      <c r="BU499" s="85" t="n">
        <v>0</v>
      </c>
      <c r="BV499" s="85" t="n">
        <v>0</v>
      </c>
      <c r="BW499" s="85" t="n">
        <v>0</v>
      </c>
      <c r="BX499" s="85" t="n">
        <v>0</v>
      </c>
      <c r="BY499" s="85" t="n">
        <v>0</v>
      </c>
    </row>
    <row r="500" ht="17" customHeight="1">
      <c r="A500" s="86" t="n">
        <v>498</v>
      </c>
      <c r="B500" s="87" t="inlineStr">
        <is>
          <t>CB</t>
        </is>
      </c>
      <c r="C500" s="88" t="inlineStr">
        <is>
          <t>Chubb Limited</t>
        </is>
      </c>
      <c r="D500" s="86" t="inlineStr">
        <is>
          <t>Financials</t>
        </is>
      </c>
      <c r="E500" s="86" t="n">
        <v>2026</v>
      </c>
      <c r="F500" s="89" t="n">
        <v>272327</v>
      </c>
      <c r="G500" s="90" t="inlineStr">
        <is>
          <t>N/A</t>
        </is>
      </c>
      <c r="H500" s="90" t="inlineStr">
        <is>
          <t>N/A</t>
        </is>
      </c>
      <c r="I500" s="89" t="n">
        <v>192548</v>
      </c>
      <c r="J500" s="89" t="n">
        <v>69950</v>
      </c>
      <c r="K500" s="89" t="n">
        <v>13044</v>
      </c>
      <c r="L500" s="89" t="n">
        <v>59402</v>
      </c>
      <c r="M500" s="89" t="n">
        <v>10310</v>
      </c>
      <c r="N500" s="89" t="n">
        <v>12816</v>
      </c>
      <c r="O500" s="89" t="n">
        <v>13044</v>
      </c>
      <c r="P500" s="89" t="n">
        <v>15728</v>
      </c>
      <c r="Q500" s="89" t="n">
        <v>73757</v>
      </c>
      <c r="R500" s="89" t="n">
        <v>4504</v>
      </c>
      <c r="S500" s="89" t="n">
        <v>301</v>
      </c>
      <c r="T500" s="90" t="inlineStr">
        <is>
          <t>N/A</t>
        </is>
      </c>
      <c r="U500" s="89" t="n">
        <v>3500</v>
      </c>
      <c r="V500" s="89" t="n">
        <v>764</v>
      </c>
      <c r="W500" s="89" t="n">
        <v>246548</v>
      </c>
      <c r="X500" s="90" t="inlineStr">
        <is>
          <t>N/A</t>
        </is>
      </c>
      <c r="Y500" s="90" t="inlineStr">
        <is>
          <t>N/A</t>
        </is>
      </c>
      <c r="Z500" s="89" t="n">
        <v>178154</v>
      </c>
      <c r="AA500" s="89" t="n">
        <v>11455</v>
      </c>
      <c r="AB500" s="89" t="n">
        <v>55753</v>
      </c>
      <c r="AC500" s="89" t="n">
        <v>9272</v>
      </c>
      <c r="AD500" s="89" t="n">
        <v>16182</v>
      </c>
      <c r="AE500" s="89" t="n">
        <v>11455</v>
      </c>
      <c r="AF500" s="89" t="n">
        <v>14379</v>
      </c>
      <c r="AG500" s="89" t="n">
        <v>64021</v>
      </c>
      <c r="AH500" s="89" t="n">
        <v>55753</v>
      </c>
      <c r="AI500" s="89" t="n">
        <v>246548</v>
      </c>
      <c r="AJ500" s="89" t="n">
        <v>13044</v>
      </c>
      <c r="AK500" s="89" t="n">
        <v>11455</v>
      </c>
      <c r="AL500" s="89" t="n">
        <v>2422</v>
      </c>
      <c r="AM500" s="89" t="n">
        <v>1815</v>
      </c>
      <c r="AN500" s="90" t="inlineStr">
        <is>
          <t>N/A</t>
        </is>
      </c>
      <c r="AO500" s="90" t="inlineStr">
        <is>
          <t>N/A</t>
        </is>
      </c>
      <c r="AP500" s="90" t="inlineStr">
        <is>
          <t>N/A</t>
        </is>
      </c>
      <c r="AQ500" s="90" t="inlineStr">
        <is>
          <t>N/A</t>
        </is>
      </c>
      <c r="AR500" s="89" t="n">
        <v>20207</v>
      </c>
      <c r="AS500" s="89" t="n">
        <v>2696</v>
      </c>
      <c r="AT500" s="89" t="n">
        <v>1499</v>
      </c>
      <c r="AU500" s="90" t="inlineStr">
        <is>
          <t>N/A</t>
        </is>
      </c>
      <c r="AV500" s="89" t="n">
        <v>2012</v>
      </c>
      <c r="AW500" s="89" t="n">
        <v>1659</v>
      </c>
      <c r="AX500" s="89" t="n">
        <v>17227</v>
      </c>
      <c r="AY500" s="89" t="n">
        <v>15179</v>
      </c>
      <c r="AZ500" s="89" t="n">
        <v>15215</v>
      </c>
      <c r="BA500" s="90" t="inlineStr">
        <is>
          <t>N/A</t>
        </is>
      </c>
      <c r="BB500" s="89" t="n">
        <v>391.1</v>
      </c>
      <c r="BC500" s="89" t="n">
        <v>400.7</v>
      </c>
      <c r="BD500" s="90" t="inlineStr">
        <is>
          <t>N/A</t>
        </is>
      </c>
      <c r="BE500" s="89" t="n">
        <v>3100</v>
      </c>
      <c r="BF500" s="89" t="n">
        <v>4380</v>
      </c>
      <c r="BG500" s="89" t="n">
        <v>323</v>
      </c>
      <c r="BH500" s="89" t="n">
        <v>-11260</v>
      </c>
      <c r="BI500" s="89" t="n">
        <v>-13923</v>
      </c>
      <c r="BJ500" s="90" t="inlineStr">
        <is>
          <t>N/A</t>
        </is>
      </c>
      <c r="BK500" s="90" t="inlineStr">
        <is>
          <t>N/A</t>
        </is>
      </c>
      <c r="BL500" s="89" t="n">
        <v>2552</v>
      </c>
      <c r="BM500" s="89" t="n">
        <v>1724</v>
      </c>
      <c r="BN500" s="89" t="n">
        <v>377</v>
      </c>
      <c r="BO500" s="89" t="n">
        <v>46358</v>
      </c>
      <c r="BP500" s="89" t="n">
        <v>44298</v>
      </c>
      <c r="BQ500" s="90" t="inlineStr">
        <is>
          <t>N/A</t>
        </is>
      </c>
      <c r="BR500" s="90" t="inlineStr">
        <is>
          <t>N/A</t>
        </is>
      </c>
      <c r="BS500" s="90" t="inlineStr">
        <is>
          <t>N/A</t>
        </is>
      </c>
      <c r="BT500" s="90" t="inlineStr">
        <is>
          <t>N/A</t>
        </is>
      </c>
      <c r="BU500" s="90" t="inlineStr">
        <is>
          <t>N/A</t>
        </is>
      </c>
      <c r="BV500" s="90" t="inlineStr">
        <is>
          <t>N/A</t>
        </is>
      </c>
      <c r="BW500" s="89" t="n">
        <v>0</v>
      </c>
      <c r="BX500" s="89" t="n">
        <v>0</v>
      </c>
      <c r="BY500" s="89" t="n">
        <v>0</v>
      </c>
    </row>
    <row r="501" ht="17" customHeight="1">
      <c r="A501" s="82" t="n">
        <v>499</v>
      </c>
      <c r="B501" s="83" t="inlineStr">
        <is>
          <t>INSP</t>
        </is>
      </c>
      <c r="C501" s="84" t="inlineStr">
        <is>
          <t>Inspire Medical Systems, Inc.</t>
        </is>
      </c>
      <c r="D501" s="82" t="inlineStr">
        <is>
          <t>Health Care</t>
        </is>
      </c>
      <c r="E501" s="82" t="n">
        <v>2026</v>
      </c>
      <c r="F501" s="85" t="n">
        <v>907.3</v>
      </c>
      <c r="G501" s="85" t="n">
        <v>583.7</v>
      </c>
      <c r="H501" s="85" t="n">
        <v>96.09999999999999</v>
      </c>
      <c r="I501" s="85" t="n">
        <v>126.2</v>
      </c>
      <c r="J501" s="85" t="n">
        <v>-146.5</v>
      </c>
      <c r="K501" s="85" t="n">
        <v>51</v>
      </c>
      <c r="L501" s="85" t="n">
        <v>82</v>
      </c>
      <c r="M501" s="85" t="n">
        <v>145.4</v>
      </c>
      <c r="N501" s="85" t="n">
        <v>117</v>
      </c>
      <c r="O501" s="85" t="n">
        <v>778.8</v>
      </c>
      <c r="P501" s="85" t="n">
        <v>24.5</v>
      </c>
      <c r="Q501" s="85" t="n">
        <v>781.2</v>
      </c>
      <c r="R501" s="85" t="n">
        <v>624.6</v>
      </c>
      <c r="S501" s="85" t="n">
        <v>14</v>
      </c>
      <c r="T501" s="85" t="n">
        <v>119.7</v>
      </c>
      <c r="U501" s="85" t="n">
        <v>97.90000000000001</v>
      </c>
      <c r="V501" s="91" t="inlineStr">
        <is>
          <t>N/A</t>
        </is>
      </c>
      <c r="W501" s="85" t="n">
        <v>808.4</v>
      </c>
      <c r="X501" s="85" t="n">
        <v>630.8</v>
      </c>
      <c r="Y501" s="85" t="n">
        <v>88.5</v>
      </c>
      <c r="Z501" s="85" t="n">
        <v>118.7</v>
      </c>
      <c r="AA501" s="85" t="n">
        <v>36.1</v>
      </c>
      <c r="AB501" s="85" t="n">
        <v>26.9</v>
      </c>
      <c r="AC501" s="85" t="n">
        <v>53.5</v>
      </c>
      <c r="AD501" s="85" t="n">
        <v>130.2</v>
      </c>
      <c r="AE501" s="85" t="n">
        <v>679.8</v>
      </c>
      <c r="AF501" s="85" t="n">
        <v>24.5</v>
      </c>
      <c r="AG501" s="85" t="n">
        <v>689.7</v>
      </c>
      <c r="AH501" s="85" t="n">
        <v>20.9</v>
      </c>
      <c r="AI501" s="85" t="n">
        <v>808.4</v>
      </c>
      <c r="AJ501" s="85" t="n">
        <v>65.7</v>
      </c>
      <c r="AK501" s="85" t="n">
        <v>58.5</v>
      </c>
      <c r="AL501" s="85" t="n">
        <v>-79.7</v>
      </c>
      <c r="AM501" s="85" t="n">
        <v>4.9</v>
      </c>
      <c r="AN501" s="85" t="n">
        <v>38.5</v>
      </c>
      <c r="AO501" s="85" t="n">
        <v>39.1</v>
      </c>
      <c r="AP501" s="85" t="n">
        <v>145.3</v>
      </c>
      <c r="AQ501" s="85" t="n">
        <v>80.09999999999999</v>
      </c>
      <c r="AR501" s="91" t="inlineStr">
        <is>
          <t>N/A</t>
        </is>
      </c>
      <c r="AS501" s="91" t="inlineStr">
        <is>
          <t>N/A</t>
        </is>
      </c>
      <c r="AT501" s="91" t="inlineStr">
        <is>
          <t>N/A</t>
        </is>
      </c>
      <c r="AU501" s="85" t="n">
        <v>103.2</v>
      </c>
      <c r="AV501" s="85" t="n">
        <v>104.8</v>
      </c>
      <c r="AW501" s="85" t="n">
        <v>150.2</v>
      </c>
      <c r="AX501" s="85" t="n">
        <v>24.5</v>
      </c>
      <c r="AY501" s="85" t="n">
        <v>33.7</v>
      </c>
      <c r="AZ501" s="85" t="n">
        <v>-80.3</v>
      </c>
      <c r="BA501" s="85" t="n">
        <v>78.5</v>
      </c>
      <c r="BB501" s="85" t="n">
        <v>28.6</v>
      </c>
      <c r="BC501" s="85" t="n">
        <v>29.7</v>
      </c>
      <c r="BD501" s="85" t="n">
        <v>93.09999999999999</v>
      </c>
      <c r="BE501" s="85" t="n">
        <v>71.90000000000001</v>
      </c>
      <c r="BF501" s="85" t="n">
        <v>529.6</v>
      </c>
      <c r="BG501" s="85" t="n">
        <v>6.6</v>
      </c>
      <c r="BH501" s="85" t="n">
        <v>21.4</v>
      </c>
      <c r="BI501" s="85" t="n">
        <v>-113.1</v>
      </c>
      <c r="BJ501" s="91" t="inlineStr">
        <is>
          <t>N/A</t>
        </is>
      </c>
      <c r="BK501" s="91" t="inlineStr">
        <is>
          <t>N/A</t>
        </is>
      </c>
      <c r="BL501" s="91" t="inlineStr">
        <is>
          <t>N/A</t>
        </is>
      </c>
      <c r="BM501" s="91" t="inlineStr">
        <is>
          <t>N/A</t>
        </is>
      </c>
      <c r="BN501" s="85" t="n">
        <v>2.5</v>
      </c>
      <c r="BO501" s="85" t="n">
        <v>133.2</v>
      </c>
      <c r="BP501" s="85" t="n">
        <v>123</v>
      </c>
      <c r="BQ501" s="85" t="n">
        <v>0</v>
      </c>
      <c r="BR501" s="85" t="n">
        <v>0</v>
      </c>
      <c r="BS501" s="85" t="n">
        <v>0</v>
      </c>
      <c r="BT501" s="85" t="n">
        <v>0</v>
      </c>
      <c r="BU501" s="85" t="n">
        <v>0</v>
      </c>
      <c r="BV501" s="91" t="inlineStr">
        <is>
          <t>N/A</t>
        </is>
      </c>
      <c r="BW501" s="85" t="n">
        <v>0</v>
      </c>
      <c r="BX501" s="85" t="n">
        <v>0</v>
      </c>
      <c r="BY501" s="85" t="n">
        <v>-0</v>
      </c>
    </row>
    <row r="502" ht="17" customHeight="1">
      <c r="A502" s="86" t="n">
        <v>500</v>
      </c>
      <c r="B502" s="87" t="inlineStr">
        <is>
          <t>UBER</t>
        </is>
      </c>
      <c r="C502" s="88" t="inlineStr">
        <is>
          <t>UBER TECHNOLOGIES, INC.</t>
        </is>
      </c>
      <c r="D502" s="86" t="inlineStr">
        <is>
          <t>Consumer Discretionary</t>
        </is>
      </c>
      <c r="E502" s="86" t="n">
        <v>2026</v>
      </c>
      <c r="F502" s="89" t="n">
        <v>61802</v>
      </c>
      <c r="G502" s="89" t="n">
        <v>13993</v>
      </c>
      <c r="H502" s="89" t="n">
        <v>12320</v>
      </c>
      <c r="I502" s="89" t="n">
        <v>33719</v>
      </c>
      <c r="J502" s="89" t="n">
        <v>-10628</v>
      </c>
      <c r="K502" s="89" t="n">
        <v>5565</v>
      </c>
      <c r="L502" s="89" t="n">
        <v>52017</v>
      </c>
      <c r="M502" s="89" t="n">
        <v>10053</v>
      </c>
      <c r="N502" s="89" t="n">
        <v>10099</v>
      </c>
      <c r="O502" s="90" t="inlineStr">
        <is>
          <t>N/A</t>
        </is>
      </c>
      <c r="P502" s="89" t="n">
        <v>10600</v>
      </c>
      <c r="Q502" s="89" t="n">
        <v>27041</v>
      </c>
      <c r="R502" s="89" t="n">
        <v>3241</v>
      </c>
      <c r="S502" s="89" t="n">
        <v>719</v>
      </c>
      <c r="T502" s="89" t="n">
        <v>3827</v>
      </c>
      <c r="U502" s="89" t="n">
        <v>2073</v>
      </c>
      <c r="V502" s="89" t="n">
        <v>633</v>
      </c>
      <c r="W502" s="89" t="n">
        <v>51244</v>
      </c>
      <c r="X502" s="89" t="n">
        <v>12245</v>
      </c>
      <c r="Y502" s="89" t="n">
        <v>11476</v>
      </c>
      <c r="Z502" s="89" t="n">
        <v>28768</v>
      </c>
      <c r="AA502" s="89" t="n">
        <v>2799</v>
      </c>
      <c r="AB502" s="89" t="n">
        <v>43978</v>
      </c>
      <c r="AC502" s="89" t="n">
        <v>9856</v>
      </c>
      <c r="AD502" s="89" t="n">
        <v>7137</v>
      </c>
      <c r="AE502" s="90" t="inlineStr">
        <is>
          <t>N/A</t>
        </is>
      </c>
      <c r="AF502" s="89" t="n">
        <v>9575</v>
      </c>
      <c r="AG502" s="89" t="n">
        <v>21558</v>
      </c>
      <c r="AH502" s="89" t="n">
        <v>43978</v>
      </c>
      <c r="AI502" s="89" t="n">
        <v>51244</v>
      </c>
      <c r="AJ502" s="89" t="n">
        <v>4620</v>
      </c>
      <c r="AK502" s="90" t="inlineStr">
        <is>
          <t>N/A</t>
        </is>
      </c>
      <c r="AL502" s="89" t="n">
        <v>-4346</v>
      </c>
      <c r="AM502" s="89" t="n">
        <v>-5758</v>
      </c>
      <c r="AN502" s="89" t="n">
        <v>336</v>
      </c>
      <c r="AO502" s="89" t="n">
        <v>242</v>
      </c>
      <c r="AP502" s="90" t="inlineStr">
        <is>
          <t>N/A</t>
        </is>
      </c>
      <c r="AQ502" s="90" t="inlineStr">
        <is>
          <t>N/A</t>
        </is>
      </c>
      <c r="AR502" s="89" t="n">
        <v>8931</v>
      </c>
      <c r="AS502" s="89" t="n">
        <v>1048</v>
      </c>
      <c r="AT502" s="90" t="inlineStr">
        <is>
          <t>N/A</t>
        </is>
      </c>
      <c r="AU502" s="89" t="n">
        <v>3402</v>
      </c>
      <c r="AV502" s="89" t="n">
        <v>7105</v>
      </c>
      <c r="AW502" s="89" t="n">
        <v>5893</v>
      </c>
      <c r="AX502" s="89" t="n">
        <v>10600</v>
      </c>
      <c r="AY502" s="89" t="n">
        <v>9575</v>
      </c>
      <c r="AZ502" s="89" t="n">
        <v>3495</v>
      </c>
      <c r="BA502" s="89" t="n">
        <v>9763</v>
      </c>
      <c r="BB502" s="89" t="n">
        <v>2067.9</v>
      </c>
      <c r="BC502" s="89" t="n">
        <v>2108</v>
      </c>
      <c r="BD502" s="89" t="n">
        <v>3333</v>
      </c>
      <c r="BE502" s="89" t="n">
        <v>2082</v>
      </c>
      <c r="BF502" s="89" t="n">
        <v>3639</v>
      </c>
      <c r="BG502" s="89" t="n">
        <v>711</v>
      </c>
      <c r="BH502" s="89" t="n">
        <v>-3564</v>
      </c>
      <c r="BI502" s="89" t="n">
        <v>-3177</v>
      </c>
      <c r="BJ502" s="89" t="n">
        <v>1013</v>
      </c>
      <c r="BK502" s="89" t="n">
        <v>858</v>
      </c>
      <c r="BL502" s="89" t="n">
        <v>76</v>
      </c>
      <c r="BM502" s="89" t="n">
        <v>65</v>
      </c>
      <c r="BN502" s="89" t="n">
        <v>1033</v>
      </c>
      <c r="BO502" s="90" t="inlineStr">
        <is>
          <t>N/A</t>
        </is>
      </c>
      <c r="BP502" s="90" t="inlineStr">
        <is>
          <t>N/A</t>
        </is>
      </c>
      <c r="BQ502" s="89" t="n">
        <v>0</v>
      </c>
      <c r="BR502" s="89" t="n">
        <v>0</v>
      </c>
      <c r="BS502" s="90" t="inlineStr">
        <is>
          <t>N/A</t>
        </is>
      </c>
      <c r="BT502" s="90" t="inlineStr">
        <is>
          <t>N/A</t>
        </is>
      </c>
      <c r="BU502" s="90" t="inlineStr">
        <is>
          <t>N/A</t>
        </is>
      </c>
      <c r="BV502" s="90" t="inlineStr">
        <is>
          <t>N/A</t>
        </is>
      </c>
      <c r="BW502" s="89" t="n">
        <v>0</v>
      </c>
      <c r="BX502" s="89" t="n">
        <v>0</v>
      </c>
      <c r="BY502" s="89" t="n">
        <v>-0</v>
      </c>
    </row>
    <row r="503" ht="17" customHeight="1">
      <c r="A503" s="82" t="n">
        <v>501</v>
      </c>
      <c r="B503" s="83" t="inlineStr">
        <is>
          <t>NRG</t>
        </is>
      </c>
      <c r="C503" s="84" t="inlineStr">
        <is>
          <t>NRG Energy, Inc</t>
        </is>
      </c>
      <c r="D503" s="82" t="inlineStr">
        <is>
          <t>Utilities</t>
        </is>
      </c>
      <c r="E503" s="82" t="n">
        <v>2026</v>
      </c>
      <c r="F503" s="85" t="n">
        <v>29140</v>
      </c>
      <c r="G503" s="85" t="n">
        <v>13147</v>
      </c>
      <c r="H503" s="85" t="n">
        <v>8029</v>
      </c>
      <c r="I503" s="85" t="n">
        <v>27459</v>
      </c>
      <c r="J503" s="85" t="n">
        <v>1982</v>
      </c>
      <c r="K503" s="85" t="n">
        <v>1845</v>
      </c>
      <c r="L503" s="85" t="n">
        <v>30713</v>
      </c>
      <c r="M503" s="85" t="n">
        <v>864</v>
      </c>
      <c r="N503" s="85" t="n">
        <v>1913</v>
      </c>
      <c r="O503" s="85" t="n">
        <v>24173</v>
      </c>
      <c r="P503" s="85" t="n">
        <v>10892</v>
      </c>
      <c r="Q503" s="85" t="n">
        <v>1681</v>
      </c>
      <c r="R503" s="85" t="n">
        <v>2602</v>
      </c>
      <c r="S503" s="85" t="n">
        <v>1406</v>
      </c>
      <c r="T503" s="85" t="n">
        <v>4065</v>
      </c>
      <c r="U503" s="85" t="n">
        <v>3048</v>
      </c>
      <c r="V503" s="85" t="n">
        <v>667</v>
      </c>
      <c r="W503" s="85" t="n">
        <v>24022</v>
      </c>
      <c r="X503" s="85" t="n">
        <v>8964</v>
      </c>
      <c r="Y503" s="85" t="n">
        <v>8813</v>
      </c>
      <c r="Z503" s="85" t="n">
        <v>21544</v>
      </c>
      <c r="AA503" s="85" t="n">
        <v>2424</v>
      </c>
      <c r="AB503" s="85" t="n">
        <v>28130</v>
      </c>
      <c r="AC503" s="85" t="n">
        <v>1125</v>
      </c>
      <c r="AD503" s="85" t="n">
        <v>2306</v>
      </c>
      <c r="AE503" s="85" t="n">
        <v>20827</v>
      </c>
      <c r="AF503" s="85" t="n">
        <v>10940</v>
      </c>
      <c r="AG503" s="91" t="inlineStr">
        <is>
          <t>N/A</t>
        </is>
      </c>
      <c r="AH503" s="85" t="n">
        <v>28130</v>
      </c>
      <c r="AI503" s="85" t="n">
        <v>24022</v>
      </c>
      <c r="AJ503" s="85" t="n">
        <v>1134</v>
      </c>
      <c r="AK503" s="85" t="n">
        <v>1448</v>
      </c>
      <c r="AL503" s="85" t="n">
        <v>270</v>
      </c>
      <c r="AM503" s="85" t="n">
        <v>323</v>
      </c>
      <c r="AN503" s="85" t="n">
        <v>1147</v>
      </c>
      <c r="AO503" s="85" t="n">
        <v>472</v>
      </c>
      <c r="AP503" s="85" t="n">
        <v>461</v>
      </c>
      <c r="AQ503" s="85" t="n">
        <v>478</v>
      </c>
      <c r="AR503" s="85" t="n">
        <v>5017</v>
      </c>
      <c r="AS503" s="85" t="n">
        <v>2309</v>
      </c>
      <c r="AT503" s="91" t="inlineStr">
        <is>
          <t>N/A</t>
        </is>
      </c>
      <c r="AU503" s="85" t="n">
        <v>8</v>
      </c>
      <c r="AV503" s="85" t="n">
        <v>4708</v>
      </c>
      <c r="AW503" s="85" t="n">
        <v>966</v>
      </c>
      <c r="AX503" s="85" t="n">
        <v>10892</v>
      </c>
      <c r="AY503" s="85" t="n">
        <v>10940</v>
      </c>
      <c r="AZ503" s="85" t="n">
        <v>6184</v>
      </c>
      <c r="BA503" s="85" t="n">
        <v>766</v>
      </c>
      <c r="BB503" s="85" t="n">
        <v>190.4</v>
      </c>
      <c r="BC503" s="85" t="n">
        <v>198.6</v>
      </c>
      <c r="BD503" s="85" t="n">
        <v>3488</v>
      </c>
      <c r="BE503" s="85" t="n">
        <v>13908</v>
      </c>
      <c r="BF503" s="85" t="n">
        <v>2031</v>
      </c>
      <c r="BG503" s="85" t="n">
        <v>1403</v>
      </c>
      <c r="BH503" s="85" t="n">
        <v>-1638</v>
      </c>
      <c r="BI503" s="85" t="n">
        <v>-24</v>
      </c>
      <c r="BJ503" s="85" t="n">
        <v>2834</v>
      </c>
      <c r="BK503" s="85" t="n">
        <v>2513</v>
      </c>
      <c r="BL503" s="85" t="n">
        <v>748</v>
      </c>
      <c r="BM503" s="85" t="n">
        <v>711</v>
      </c>
      <c r="BN503" s="85" t="n">
        <v>12</v>
      </c>
      <c r="BO503" s="85" t="n">
        <v>6540</v>
      </c>
      <c r="BP503" s="85" t="n">
        <v>7303</v>
      </c>
      <c r="BQ503" s="85" t="n">
        <v>0</v>
      </c>
      <c r="BR503" s="85" t="n">
        <v>0</v>
      </c>
      <c r="BS503" s="85" t="n">
        <v>0</v>
      </c>
      <c r="BT503" s="85" t="n">
        <v>0</v>
      </c>
      <c r="BU503" s="85" t="n">
        <v>0</v>
      </c>
      <c r="BV503" s="85" t="n">
        <v>0</v>
      </c>
      <c r="BW503" s="85" t="n">
        <v>0</v>
      </c>
      <c r="BX503" s="85" t="n">
        <v>0</v>
      </c>
      <c r="BY503" s="85" t="n">
        <v>0</v>
      </c>
    </row>
    <row r="504" ht="17" customHeight="1">
      <c r="A504" s="86" t="n">
        <v>502</v>
      </c>
      <c r="B504" s="87" t="inlineStr">
        <is>
          <t>DELL</t>
        </is>
      </c>
      <c r="C504" s="88" t="inlineStr">
        <is>
          <t>Dell Technologies Inc.</t>
        </is>
      </c>
      <c r="D504" s="86" t="inlineStr">
        <is>
          <t>Information Technology</t>
        </is>
      </c>
      <c r="E504" s="86" t="n">
        <v>2026</v>
      </c>
      <c r="F504" s="89" t="n">
        <v>101286</v>
      </c>
      <c r="G504" s="89" t="n">
        <v>57602</v>
      </c>
      <c r="H504" s="89" t="n">
        <v>63269</v>
      </c>
      <c r="I504" s="89" t="n">
        <v>103756</v>
      </c>
      <c r="J504" s="89" t="n">
        <v>3325</v>
      </c>
      <c r="K504" s="89" t="n">
        <v>8149</v>
      </c>
      <c r="L504" s="89" t="n">
        <v>113538</v>
      </c>
      <c r="M504" s="89" t="n">
        <v>5936</v>
      </c>
      <c r="N504" s="89" t="n">
        <v>11185</v>
      </c>
      <c r="O504" s="89" t="n">
        <v>22707</v>
      </c>
      <c r="P504" s="89" t="n">
        <v>31503</v>
      </c>
      <c r="Q504" s="89" t="n">
        <v>-2470</v>
      </c>
      <c r="R504" s="89" t="n">
        <v>11416</v>
      </c>
      <c r="S504" s="89" t="n">
        <v>3029</v>
      </c>
      <c r="T504" s="89" t="n">
        <v>17585</v>
      </c>
      <c r="U504" s="89" t="n">
        <v>6676</v>
      </c>
      <c r="V504" s="89" t="n">
        <v>1501</v>
      </c>
      <c r="W504" s="89" t="n">
        <v>79746</v>
      </c>
      <c r="X504" s="89" t="n">
        <v>36229</v>
      </c>
      <c r="Y504" s="89" t="n">
        <v>46527</v>
      </c>
      <c r="Z504" s="89" t="n">
        <v>81133</v>
      </c>
      <c r="AA504" s="89" t="n">
        <v>6237</v>
      </c>
      <c r="AB504" s="89" t="n">
        <v>95567</v>
      </c>
      <c r="AC504" s="89" t="n">
        <v>4592</v>
      </c>
      <c r="AD504" s="89" t="n">
        <v>4521</v>
      </c>
      <c r="AE504" s="89" t="n">
        <v>21250</v>
      </c>
      <c r="AF504" s="89" t="n">
        <v>24567</v>
      </c>
      <c r="AG504" s="89" t="n">
        <v>-1482</v>
      </c>
      <c r="AH504" s="89" t="n">
        <v>95567</v>
      </c>
      <c r="AI504" s="89" t="n">
        <v>79746</v>
      </c>
      <c r="AJ504" s="89" t="n">
        <v>7263</v>
      </c>
      <c r="AK504" s="89" t="n">
        <v>5048</v>
      </c>
      <c r="AL504" s="89" t="n">
        <v>1327</v>
      </c>
      <c r="AM504" s="89" t="n">
        <v>472</v>
      </c>
      <c r="AN504" s="89" t="n">
        <v>2633</v>
      </c>
      <c r="AO504" s="89" t="n">
        <v>2652</v>
      </c>
      <c r="AP504" s="89" t="n">
        <v>10437</v>
      </c>
      <c r="AQ504" s="89" t="n">
        <v>6716</v>
      </c>
      <c r="AR504" s="89" t="n">
        <v>19547</v>
      </c>
      <c r="AS504" s="89" t="n">
        <v>1478</v>
      </c>
      <c r="AT504" s="89" t="n">
        <v>7990</v>
      </c>
      <c r="AU504" s="89" t="n">
        <v>3142</v>
      </c>
      <c r="AV504" s="89" t="n">
        <v>11528</v>
      </c>
      <c r="AW504" s="89" t="n">
        <v>3633</v>
      </c>
      <c r="AX504" s="89" t="n">
        <v>39493</v>
      </c>
      <c r="AY504" s="89" t="n">
        <v>29771</v>
      </c>
      <c r="AZ504" s="89" t="n">
        <v>27965</v>
      </c>
      <c r="BA504" s="89" t="n">
        <v>8552</v>
      </c>
      <c r="BB504" s="89" t="n">
        <v>652</v>
      </c>
      <c r="BC504" s="89" t="n">
        <v>696</v>
      </c>
      <c r="BD504" s="89" t="n">
        <v>10298</v>
      </c>
      <c r="BE504" s="89" t="n">
        <v>6336</v>
      </c>
      <c r="BF504" s="89" t="n">
        <v>11952</v>
      </c>
      <c r="BG504" s="89" t="n">
        <v>3123</v>
      </c>
      <c r="BH504" s="89" t="n">
        <v>-2055</v>
      </c>
      <c r="BI504" s="89" t="n">
        <v>-2215</v>
      </c>
      <c r="BJ504" s="89" t="n">
        <v>33630</v>
      </c>
      <c r="BK504" s="89" t="n">
        <v>20832</v>
      </c>
      <c r="BL504" s="89" t="n">
        <v>12024</v>
      </c>
      <c r="BM504" s="89" t="n">
        <v>10265</v>
      </c>
      <c r="BN504" s="89" t="n">
        <v>1621</v>
      </c>
      <c r="BO504" s="89" t="n">
        <v>90831</v>
      </c>
      <c r="BP504" s="89" t="n">
        <v>74317</v>
      </c>
      <c r="BQ504" s="89" t="n">
        <v>0</v>
      </c>
      <c r="BR504" s="89" t="n">
        <v>0</v>
      </c>
      <c r="BS504" s="89" t="n">
        <v>0</v>
      </c>
      <c r="BT504" s="89" t="n">
        <v>0</v>
      </c>
      <c r="BU504" s="89" t="n">
        <v>0</v>
      </c>
      <c r="BV504" s="89" t="n">
        <v>0</v>
      </c>
      <c r="BW504" s="89" t="n">
        <v>0</v>
      </c>
      <c r="BX504" s="89" t="n">
        <v>0</v>
      </c>
      <c r="BY504" s="89" t="n">
        <v>0</v>
      </c>
    </row>
    <row r="505" ht="17" customHeight="1">
      <c r="A505" s="82" t="n">
        <v>503</v>
      </c>
      <c r="B505" s="83" t="inlineStr">
        <is>
          <t>MANH</t>
        </is>
      </c>
      <c r="C505" s="84" t="inlineStr">
        <is>
          <t>MANHATTAN ASSOCIATES, INC.</t>
        </is>
      </c>
      <c r="D505" s="82" t="inlineStr">
        <is>
          <t>Information Technology</t>
        </is>
      </c>
      <c r="E505" s="82" t="n">
        <v>2026</v>
      </c>
      <c r="F505" s="85" t="n">
        <v>839.4</v>
      </c>
      <c r="G505" s="85" t="n">
        <v>583.3</v>
      </c>
      <c r="H505" s="85" t="n">
        <v>455.9</v>
      </c>
      <c r="I505" s="85" t="n">
        <v>839.4</v>
      </c>
      <c r="J505" s="85" t="n">
        <v>345.1</v>
      </c>
      <c r="K505" s="85" t="n">
        <v>279.8</v>
      </c>
      <c r="L505" s="85" t="n">
        <v>131.3</v>
      </c>
      <c r="M505" s="85" t="n">
        <v>219.9</v>
      </c>
      <c r="N505" s="85" t="n">
        <v>389.5</v>
      </c>
      <c r="O505" s="85" t="n">
        <v>-341</v>
      </c>
      <c r="P505" s="91" t="inlineStr">
        <is>
          <t>N/A</t>
        </is>
      </c>
      <c r="Q505" s="85" t="n">
        <v>314.8</v>
      </c>
      <c r="R505" s="85" t="n">
        <v>93.8</v>
      </c>
      <c r="S505" s="85" t="n">
        <v>6.3</v>
      </c>
      <c r="T505" s="85" t="n">
        <v>214.7</v>
      </c>
      <c r="U505" s="85" t="n">
        <v>23.1</v>
      </c>
      <c r="V505" s="91" t="inlineStr">
        <is>
          <t>N/A</t>
        </is>
      </c>
      <c r="W505" s="85" t="n">
        <v>757.6</v>
      </c>
      <c r="X505" s="85" t="n">
        <v>503.3</v>
      </c>
      <c r="Y505" s="85" t="n">
        <v>400.3</v>
      </c>
      <c r="Z505" s="85" t="n">
        <v>757.6</v>
      </c>
      <c r="AA505" s="85" t="n">
        <v>261.6</v>
      </c>
      <c r="AB505" s="85" t="n">
        <v>134.6</v>
      </c>
      <c r="AC505" s="85" t="n">
        <v>218.4</v>
      </c>
      <c r="AD505" s="85" t="n">
        <v>295</v>
      </c>
      <c r="AE505" s="85" t="n">
        <v>-336.4</v>
      </c>
      <c r="AF505" s="91" t="inlineStr">
        <is>
          <t>N/A</t>
        </is>
      </c>
      <c r="AG505" s="85" t="n">
        <v>299.1</v>
      </c>
      <c r="AH505" s="85" t="n">
        <v>134.6</v>
      </c>
      <c r="AI505" s="85" t="n">
        <v>757.6</v>
      </c>
      <c r="AJ505" s="85" t="n">
        <v>285.9</v>
      </c>
      <c r="AK505" s="85" t="n">
        <v>266.8</v>
      </c>
      <c r="AL505" s="85" t="n">
        <v>65.90000000000001</v>
      </c>
      <c r="AM505" s="85" t="n">
        <v>48.5</v>
      </c>
      <c r="AN505" s="85" t="n">
        <v>15.5</v>
      </c>
      <c r="AO505" s="85" t="n">
        <v>8.699999999999999</v>
      </c>
      <c r="AP505" s="91" t="inlineStr">
        <is>
          <t>N/A</t>
        </is>
      </c>
      <c r="AQ505" s="91" t="inlineStr">
        <is>
          <t>N/A</t>
        </is>
      </c>
      <c r="AR505" s="85" t="n">
        <v>62.2</v>
      </c>
      <c r="AS505" s="85" t="n">
        <v>0</v>
      </c>
      <c r="AT505" s="91" t="inlineStr">
        <is>
          <t>N/A</t>
        </is>
      </c>
      <c r="AU505" s="85" t="n">
        <v>145.1</v>
      </c>
      <c r="AV505" s="85" t="n">
        <v>328.7</v>
      </c>
      <c r="AW505" s="85" t="n">
        <v>266.2</v>
      </c>
      <c r="AX505" s="91" t="inlineStr">
        <is>
          <t>N/A</t>
        </is>
      </c>
      <c r="AY505" s="91" t="inlineStr">
        <is>
          <t>N/A</t>
        </is>
      </c>
      <c r="AZ505" s="91" t="inlineStr">
        <is>
          <t>N/A</t>
        </is>
      </c>
      <c r="BA505" s="85" t="n">
        <v>374</v>
      </c>
      <c r="BB505" s="85" t="n">
        <v>59.8</v>
      </c>
      <c r="BC505" s="85" t="n">
        <v>60.9</v>
      </c>
      <c r="BD505" s="85" t="n">
        <v>205.5</v>
      </c>
      <c r="BE505" s="85" t="n">
        <v>14</v>
      </c>
      <c r="BF505" s="85" t="n">
        <v>89.8</v>
      </c>
      <c r="BG505" s="85" t="n">
        <v>6.3</v>
      </c>
      <c r="BH505" s="85" t="n">
        <v>-15.5</v>
      </c>
      <c r="BI505" s="85" t="n">
        <v>-8.699999999999999</v>
      </c>
      <c r="BJ505" s="85" t="n">
        <v>22.2</v>
      </c>
      <c r="BK505" s="85" t="n">
        <v>26.6</v>
      </c>
      <c r="BL505" s="85" t="n">
        <v>75.09999999999999</v>
      </c>
      <c r="BM505" s="85" t="n">
        <v>63.5</v>
      </c>
      <c r="BN505" s="85" t="n">
        <v>0.8</v>
      </c>
      <c r="BO505" s="85" t="n">
        <v>472.3</v>
      </c>
      <c r="BP505" s="85" t="n">
        <v>471</v>
      </c>
      <c r="BQ505" s="85" t="n">
        <v>0</v>
      </c>
      <c r="BR505" s="85" t="n">
        <v>0</v>
      </c>
      <c r="BS505" s="91" t="inlineStr">
        <is>
          <t>N/A</t>
        </is>
      </c>
      <c r="BT505" s="91" t="inlineStr">
        <is>
          <t>N/A</t>
        </is>
      </c>
      <c r="BU505" s="85" t="n">
        <v>0</v>
      </c>
      <c r="BV505" s="85" t="n">
        <v>0</v>
      </c>
      <c r="BW505" s="85" t="n">
        <v>0</v>
      </c>
      <c r="BX505" s="85" t="n">
        <v>0</v>
      </c>
      <c r="BY505" s="85" t="n">
        <v>0</v>
      </c>
    </row>
    <row r="506" ht="17" customHeight="1">
      <c r="A506" s="86" t="n">
        <v>504</v>
      </c>
      <c r="B506" s="87" t="inlineStr">
        <is>
          <t>NOW</t>
        </is>
      </c>
      <c r="C506" s="88" t="inlineStr">
        <is>
          <t>ServiceNow, Inc.</t>
        </is>
      </c>
      <c r="D506" s="86" t="inlineStr">
        <is>
          <t>Information Technology</t>
        </is>
      </c>
      <c r="E506" s="86" t="n">
        <v>2026</v>
      </c>
      <c r="F506" s="89" t="n">
        <v>26038</v>
      </c>
      <c r="G506" s="89" t="n">
        <v>10471</v>
      </c>
      <c r="H506" s="89" t="n">
        <v>10443</v>
      </c>
      <c r="I506" s="89" t="n">
        <v>13074</v>
      </c>
      <c r="J506" s="89" t="n">
        <v>5242</v>
      </c>
      <c r="K506" s="89" t="n">
        <v>1824</v>
      </c>
      <c r="L506" s="89" t="n">
        <v>1933</v>
      </c>
      <c r="M506" s="89" t="n">
        <v>1748</v>
      </c>
      <c r="N506" s="89" t="n">
        <v>5444</v>
      </c>
      <c r="O506" s="89" t="n">
        <v>10295</v>
      </c>
      <c r="P506" s="90" t="inlineStr">
        <is>
          <t>N/A</t>
        </is>
      </c>
      <c r="Q506" s="89" t="n">
        <v>12964</v>
      </c>
      <c r="R506" s="89" t="n">
        <v>1123</v>
      </c>
      <c r="S506" s="89" t="n">
        <v>738</v>
      </c>
      <c r="T506" s="89" t="n">
        <v>2627</v>
      </c>
      <c r="U506" s="89" t="n">
        <v>2289</v>
      </c>
      <c r="V506" s="89" t="n">
        <v>27</v>
      </c>
      <c r="W506" s="89" t="n">
        <v>20383</v>
      </c>
      <c r="X506" s="89" t="n">
        <v>9187</v>
      </c>
      <c r="Y506" s="89" t="n">
        <v>8358</v>
      </c>
      <c r="Z506" s="89" t="n">
        <v>10774</v>
      </c>
      <c r="AA506" s="89" t="n">
        <v>1364</v>
      </c>
      <c r="AB506" s="89" t="n">
        <v>1390.5</v>
      </c>
      <c r="AC506" s="89" t="n">
        <v>1425</v>
      </c>
      <c r="AD506" s="89" t="n">
        <v>4267</v>
      </c>
      <c r="AE506" s="89" t="n">
        <v>8697</v>
      </c>
      <c r="AF506" s="90" t="inlineStr">
        <is>
          <t>N/A</t>
        </is>
      </c>
      <c r="AG506" s="89" t="n">
        <v>9609</v>
      </c>
      <c r="AH506" s="89" t="n">
        <v>1390.5</v>
      </c>
      <c r="AI506" s="89" t="n">
        <v>20383</v>
      </c>
      <c r="AJ506" s="89" t="n">
        <v>2261</v>
      </c>
      <c r="AK506" s="89" t="n">
        <v>1738</v>
      </c>
      <c r="AL506" s="89" t="n">
        <v>513</v>
      </c>
      <c r="AM506" s="89" t="n">
        <v>313</v>
      </c>
      <c r="AN506" s="89" t="n">
        <v>868</v>
      </c>
      <c r="AO506" s="89" t="n">
        <v>852</v>
      </c>
      <c r="AP506" s="90" t="inlineStr">
        <is>
          <t>N/A</t>
        </is>
      </c>
      <c r="AQ506" s="90" t="inlineStr">
        <is>
          <t>N/A</t>
        </is>
      </c>
      <c r="AR506" s="89" t="n">
        <v>3578</v>
      </c>
      <c r="AS506" s="89" t="n">
        <v>1121</v>
      </c>
      <c r="AT506" s="90" t="inlineStr">
        <is>
          <t>N/A</t>
        </is>
      </c>
      <c r="AU506" s="89" t="n">
        <v>2960</v>
      </c>
      <c r="AV506" s="89" t="n">
        <v>3726</v>
      </c>
      <c r="AW506" s="89" t="n">
        <v>2304</v>
      </c>
      <c r="AX506" s="90" t="inlineStr">
        <is>
          <t>N/A</t>
        </is>
      </c>
      <c r="AY506" s="90" t="inlineStr">
        <is>
          <t>N/A</t>
        </is>
      </c>
      <c r="AZ506" s="89" t="n">
        <v>-3726</v>
      </c>
      <c r="BA506" s="89" t="n">
        <v>4576</v>
      </c>
      <c r="BB506" s="89" t="n">
        <v>1047.3</v>
      </c>
      <c r="BC506" s="89" t="n">
        <v>206.5</v>
      </c>
      <c r="BD506" s="89" t="n">
        <v>2240</v>
      </c>
      <c r="BE506" s="89" t="n">
        <v>1763</v>
      </c>
      <c r="BF506" s="89" t="n">
        <v>936</v>
      </c>
      <c r="BG506" s="89" t="n">
        <v>564</v>
      </c>
      <c r="BH506" s="89" t="n">
        <v>-1689</v>
      </c>
      <c r="BI506" s="89" t="n">
        <v>-2501</v>
      </c>
      <c r="BJ506" s="89" t="n">
        <v>204</v>
      </c>
      <c r="BK506" s="89" t="n">
        <v>68</v>
      </c>
      <c r="BL506" s="89" t="n">
        <v>1280.5</v>
      </c>
      <c r="BM506" s="89" t="n">
        <v>861.8</v>
      </c>
      <c r="BN506" s="89" t="n">
        <v>195</v>
      </c>
      <c r="BO506" s="89" t="n">
        <v>2983</v>
      </c>
      <c r="BP506" s="89" t="n">
        <v>2287</v>
      </c>
      <c r="BQ506" s="89" t="n">
        <v>0</v>
      </c>
      <c r="BR506" s="89" t="n">
        <v>0</v>
      </c>
      <c r="BS506" s="90" t="inlineStr">
        <is>
          <t>N/A</t>
        </is>
      </c>
      <c r="BT506" s="90" t="inlineStr">
        <is>
          <t>N/A</t>
        </is>
      </c>
      <c r="BU506" s="89" t="n">
        <v>0</v>
      </c>
      <c r="BV506" s="89" t="n">
        <v>0</v>
      </c>
      <c r="BW506" s="89" t="n">
        <v>0</v>
      </c>
      <c r="BX506" s="89" t="n">
        <v>0</v>
      </c>
      <c r="BY506" s="89" t="n">
        <v>0</v>
      </c>
    </row>
    <row r="507" ht="17" customHeight="1">
      <c r="A507" s="82" t="n">
        <v>505</v>
      </c>
      <c r="B507" s="83" t="inlineStr">
        <is>
          <t>FISV</t>
        </is>
      </c>
      <c r="C507" s="84" t="inlineStr">
        <is>
          <t>FISERV INC</t>
        </is>
      </c>
      <c r="D507" s="82" t="inlineStr">
        <is>
          <t>Financials</t>
        </is>
      </c>
      <c r="E507" s="82" t="n">
        <v>2026</v>
      </c>
      <c r="F507" s="85" t="n">
        <v>80133</v>
      </c>
      <c r="G507" s="85" t="n">
        <v>24654</v>
      </c>
      <c r="H507" s="85" t="n">
        <v>23890</v>
      </c>
      <c r="I507" s="85" t="n">
        <v>54324</v>
      </c>
      <c r="J507" s="85" t="n">
        <v>27055</v>
      </c>
      <c r="K507" s="85" t="n">
        <v>5818</v>
      </c>
      <c r="L507" s="85" t="n">
        <v>21193</v>
      </c>
      <c r="M507" s="85" t="n">
        <v>3480</v>
      </c>
      <c r="N507" s="85" t="n">
        <v>6062</v>
      </c>
      <c r="O507" s="85" t="n">
        <v>20448</v>
      </c>
      <c r="P507" s="85" t="n">
        <v>3230</v>
      </c>
      <c r="Q507" s="85" t="n">
        <v>25792</v>
      </c>
      <c r="R507" s="85" t="n">
        <v>6883</v>
      </c>
      <c r="S507" s="85" t="n">
        <v>3162</v>
      </c>
      <c r="T507" s="85" t="n">
        <v>3981</v>
      </c>
      <c r="U507" s="85" t="n">
        <v>3084</v>
      </c>
      <c r="V507" s="85" t="n">
        <v>1004</v>
      </c>
      <c r="W507" s="85" t="n">
        <v>77176</v>
      </c>
      <c r="X507" s="85" t="n">
        <v>23477</v>
      </c>
      <c r="Y507" s="85" t="n">
        <v>22157</v>
      </c>
      <c r="Z507" s="85" t="n">
        <v>49490</v>
      </c>
      <c r="AA507" s="85" t="n">
        <v>5879</v>
      </c>
      <c r="AB507" s="85" t="n">
        <v>20456</v>
      </c>
      <c r="AC507" s="85" t="n">
        <v>3131</v>
      </c>
      <c r="AD507" s="85" t="n">
        <v>6631</v>
      </c>
      <c r="AE507" s="85" t="n">
        <v>20262</v>
      </c>
      <c r="AF507" s="85" t="n">
        <v>3395</v>
      </c>
      <c r="AG507" s="85" t="n">
        <v>27068</v>
      </c>
      <c r="AH507" s="85" t="n">
        <v>20456</v>
      </c>
      <c r="AI507" s="85" t="n">
        <v>77176</v>
      </c>
      <c r="AJ507" s="85" t="n">
        <v>3572</v>
      </c>
      <c r="AK507" s="91" t="inlineStr">
        <is>
          <t>N/A</t>
        </is>
      </c>
      <c r="AL507" s="85" t="n">
        <v>811</v>
      </c>
      <c r="AM507" s="85" t="n">
        <v>641</v>
      </c>
      <c r="AN507" s="85" t="n">
        <v>1763</v>
      </c>
      <c r="AO507" s="85" t="n">
        <v>1569</v>
      </c>
      <c r="AP507" s="91" t="inlineStr">
        <is>
          <t>N/A</t>
        </is>
      </c>
      <c r="AQ507" s="91" t="inlineStr">
        <is>
          <t>N/A</t>
        </is>
      </c>
      <c r="AR507" s="85" t="n">
        <v>37703</v>
      </c>
      <c r="AS507" s="85" t="n">
        <v>10161</v>
      </c>
      <c r="AT507" s="85" t="n">
        <v>1239</v>
      </c>
      <c r="AU507" s="91" t="inlineStr">
        <is>
          <t>N/A</t>
        </is>
      </c>
      <c r="AV507" s="85" t="n">
        <v>798</v>
      </c>
      <c r="AW507" s="85" t="n">
        <v>1236</v>
      </c>
      <c r="AX507" s="85" t="n">
        <v>4469</v>
      </c>
      <c r="AY507" s="85" t="n">
        <v>4505</v>
      </c>
      <c r="AZ507" s="85" t="n">
        <v>3671</v>
      </c>
      <c r="BA507" s="85" t="n">
        <v>4299</v>
      </c>
      <c r="BB507" s="85" t="n">
        <v>784</v>
      </c>
      <c r="BC507" s="85" t="n">
        <v>784</v>
      </c>
      <c r="BD507" s="85" t="n">
        <v>3725</v>
      </c>
      <c r="BE507" s="85" t="n">
        <v>2374</v>
      </c>
      <c r="BF507" s="85" t="n">
        <v>6564</v>
      </c>
      <c r="BG507" s="85" t="n">
        <v>3212</v>
      </c>
      <c r="BH507" s="85" t="n">
        <v>-2520</v>
      </c>
      <c r="BI507" s="85" t="n">
        <v>-2404</v>
      </c>
      <c r="BJ507" s="85" t="n">
        <v>797</v>
      </c>
      <c r="BK507" s="85" t="n">
        <v>511</v>
      </c>
      <c r="BL507" s="85" t="n">
        <v>380</v>
      </c>
      <c r="BM507" s="85" t="n">
        <v>552</v>
      </c>
      <c r="BN507" s="85" t="n">
        <v>368</v>
      </c>
      <c r="BO507" s="85" t="n">
        <v>745</v>
      </c>
      <c r="BP507" s="85" t="n">
        <v>194</v>
      </c>
      <c r="BQ507" s="85" t="n">
        <v>0</v>
      </c>
      <c r="BR507" s="85" t="n">
        <v>0</v>
      </c>
      <c r="BS507" s="91" t="inlineStr">
        <is>
          <t>N/A</t>
        </is>
      </c>
      <c r="BT507" s="91" t="inlineStr">
        <is>
          <t>N/A</t>
        </is>
      </c>
      <c r="BU507" s="85" t="n">
        <v>0</v>
      </c>
      <c r="BV507" s="85" t="n">
        <v>0</v>
      </c>
      <c r="BW507" s="85" t="n">
        <v>0</v>
      </c>
      <c r="BX507" s="85" t="n">
        <v>0</v>
      </c>
      <c r="BY507" s="85" t="n">
        <v>0</v>
      </c>
    </row>
    <row r="508" ht="17" customHeight="1">
      <c r="A508" s="86" t="n">
        <v>506</v>
      </c>
      <c r="B508" s="87" t="inlineStr">
        <is>
          <t>DOW</t>
        </is>
      </c>
      <c r="C508" s="88" t="inlineStr">
        <is>
          <t>Dow Inc.</t>
        </is>
      </c>
      <c r="D508" s="86" t="inlineStr">
        <is>
          <t>Materials</t>
        </is>
      </c>
      <c r="E508" s="86" t="n">
        <v>2026</v>
      </c>
      <c r="F508" s="89" t="n">
        <v>58538</v>
      </c>
      <c r="G508" s="89" t="n">
        <v>18062</v>
      </c>
      <c r="H508" s="89" t="n">
        <v>9183</v>
      </c>
      <c r="I508" s="89" t="n">
        <v>58538</v>
      </c>
      <c r="J508" s="89" t="n">
        <v>16781</v>
      </c>
      <c r="K508" s="89" t="n">
        <v>-2511</v>
      </c>
      <c r="L508" s="89" t="n">
        <v>39968</v>
      </c>
      <c r="M508" s="89" t="n">
        <v>-2444</v>
      </c>
      <c r="N508" s="89" t="n">
        <v>1032</v>
      </c>
      <c r="O508" s="89" t="n">
        <v>5196</v>
      </c>
      <c r="P508" s="89" t="n">
        <v>15060</v>
      </c>
      <c r="Q508" s="89" t="n">
        <v>16008</v>
      </c>
      <c r="R508" s="89" t="n">
        <v>1392</v>
      </c>
      <c r="S508" s="89" t="n">
        <v>2834</v>
      </c>
      <c r="T508" s="89" t="n">
        <v>4762</v>
      </c>
      <c r="U508" s="89" t="n">
        <v>22250</v>
      </c>
      <c r="V508" s="89" t="n">
        <v>865</v>
      </c>
      <c r="W508" s="89" t="n">
        <v>57312</v>
      </c>
      <c r="X508" s="89" t="n">
        <v>16590</v>
      </c>
      <c r="Y508" s="89" t="n">
        <v>10288</v>
      </c>
      <c r="Z508" s="89" t="n">
        <v>57312</v>
      </c>
      <c r="AA508" s="89" t="n">
        <v>1600</v>
      </c>
      <c r="AB508" s="89" t="n">
        <v>42964</v>
      </c>
      <c r="AC508" s="89" t="n">
        <v>1201</v>
      </c>
      <c r="AD508" s="89" t="n">
        <v>2914</v>
      </c>
      <c r="AE508" s="89" t="n">
        <v>1571</v>
      </c>
      <c r="AF508" s="89" t="n">
        <v>14511</v>
      </c>
      <c r="AG508" s="89" t="n">
        <v>17355</v>
      </c>
      <c r="AH508" s="89" t="n">
        <v>42964</v>
      </c>
      <c r="AI508" s="89" t="n">
        <v>57312</v>
      </c>
      <c r="AJ508" s="89" t="n">
        <v>-2511</v>
      </c>
      <c r="AK508" s="89" t="n">
        <v>1600</v>
      </c>
      <c r="AL508" s="89" t="n">
        <v>-67</v>
      </c>
      <c r="AM508" s="89" t="n">
        <v>399</v>
      </c>
      <c r="AN508" s="89" t="n">
        <v>2479</v>
      </c>
      <c r="AO508" s="89" t="n">
        <v>2940</v>
      </c>
      <c r="AP508" s="89" t="n">
        <v>6595</v>
      </c>
      <c r="AQ508" s="89" t="n">
        <v>6544</v>
      </c>
      <c r="AR508" s="89" t="n">
        <v>7978</v>
      </c>
      <c r="AS508" s="89" t="n">
        <v>2864</v>
      </c>
      <c r="AT508" s="89" t="n">
        <v>62</v>
      </c>
      <c r="AU508" s="89" t="n">
        <v>752</v>
      </c>
      <c r="AV508" s="89" t="n">
        <v>3816</v>
      </c>
      <c r="AW508" s="89" t="n">
        <v>2189</v>
      </c>
      <c r="AX508" s="89" t="n">
        <v>15122</v>
      </c>
      <c r="AY508" s="89" t="n">
        <v>14873</v>
      </c>
      <c r="AZ508" s="89" t="n">
        <v>11306</v>
      </c>
      <c r="BA508" s="89" t="n">
        <v>-1447</v>
      </c>
      <c r="BB508" s="89" t="n">
        <v>790.3</v>
      </c>
      <c r="BC508" s="89" t="n">
        <v>784.5</v>
      </c>
      <c r="BD508" s="89" t="n">
        <v>4756</v>
      </c>
      <c r="BE508" s="89" t="n">
        <v>22004</v>
      </c>
      <c r="BF508" s="89" t="n">
        <v>1581</v>
      </c>
      <c r="BG508" s="89" t="n">
        <v>2894</v>
      </c>
      <c r="BH508" s="89" t="n">
        <v>-2126</v>
      </c>
      <c r="BI508" s="89" t="n">
        <v>-2368</v>
      </c>
      <c r="BJ508" s="90" t="inlineStr">
        <is>
          <t>N/A</t>
        </is>
      </c>
      <c r="BK508" s="90" t="inlineStr">
        <is>
          <t>N/A</t>
        </is>
      </c>
      <c r="BL508" s="89" t="n">
        <v>221</v>
      </c>
      <c r="BM508" s="89" t="n">
        <v>244</v>
      </c>
      <c r="BN508" s="89" t="n">
        <v>337</v>
      </c>
      <c r="BO508" s="89" t="n">
        <v>37435</v>
      </c>
      <c r="BP508" s="89" t="n">
        <v>38358</v>
      </c>
      <c r="BQ508" s="89" t="n">
        <v>0</v>
      </c>
      <c r="BR508" s="89" t="n">
        <v>0</v>
      </c>
      <c r="BS508" s="89" t="n">
        <v>0</v>
      </c>
      <c r="BT508" s="89" t="n">
        <v>0</v>
      </c>
      <c r="BU508" s="89" t="n">
        <v>0</v>
      </c>
      <c r="BV508" s="90" t="inlineStr">
        <is>
          <t>N/A</t>
        </is>
      </c>
      <c r="BW508" s="89" t="n">
        <v>0</v>
      </c>
      <c r="BX508" s="89" t="n">
        <v>0</v>
      </c>
      <c r="BY508" s="89" t="n">
        <v>0</v>
      </c>
    </row>
    <row r="509" ht="17" customHeight="1">
      <c r="A509" s="82" t="n">
        <v>507</v>
      </c>
      <c r="B509" s="83" t="inlineStr">
        <is>
          <t>COF</t>
        </is>
      </c>
      <c r="C509" s="84" t="inlineStr">
        <is>
          <t>CAPITAL ONE FINANCIAL CORP</t>
        </is>
      </c>
      <c r="D509" s="82" t="inlineStr">
        <is>
          <t>Financials</t>
        </is>
      </c>
      <c r="E509" s="82" t="n">
        <v>2026</v>
      </c>
      <c r="F509" s="85" t="n">
        <v>669009</v>
      </c>
      <c r="G509" s="91" t="inlineStr">
        <is>
          <t>N/A</t>
        </is>
      </c>
      <c r="H509" s="91" t="inlineStr">
        <is>
          <t>N/A</t>
        </is>
      </c>
      <c r="I509" s="85" t="n">
        <v>555393</v>
      </c>
      <c r="J509" s="85" t="n">
        <v>65192</v>
      </c>
      <c r="K509" s="85" t="n">
        <v>2281</v>
      </c>
      <c r="L509" s="85" t="n">
        <v>53434</v>
      </c>
      <c r="M509" s="85" t="n">
        <v>2453</v>
      </c>
      <c r="N509" s="85" t="n">
        <v>27718</v>
      </c>
      <c r="O509" s="91" t="inlineStr">
        <is>
          <t>N/A</t>
        </is>
      </c>
      <c r="P509" s="85" t="n">
        <v>31377</v>
      </c>
      <c r="Q509" s="85" t="n">
        <v>113616</v>
      </c>
      <c r="R509" s="91" t="inlineStr">
        <is>
          <t>N/A</t>
        </is>
      </c>
      <c r="S509" s="85" t="n">
        <v>5260</v>
      </c>
      <c r="T509" s="91" t="inlineStr">
        <is>
          <t>N/A</t>
        </is>
      </c>
      <c r="U509" s="85" t="n">
        <v>5602</v>
      </c>
      <c r="V509" s="85" t="n">
        <v>12697</v>
      </c>
      <c r="W509" s="85" t="n">
        <v>490144</v>
      </c>
      <c r="X509" s="91" t="inlineStr">
        <is>
          <t>N/A</t>
        </is>
      </c>
      <c r="Y509" s="91" t="inlineStr">
        <is>
          <t>N/A</t>
        </is>
      </c>
      <c r="Z509" s="85" t="n">
        <v>429360</v>
      </c>
      <c r="AA509" s="85" t="n">
        <v>5910</v>
      </c>
      <c r="AB509" s="85" t="n">
        <v>39112</v>
      </c>
      <c r="AC509" s="85" t="n">
        <v>4750</v>
      </c>
      <c r="AD509" s="85" t="n">
        <v>18159</v>
      </c>
      <c r="AE509" s="91" t="inlineStr">
        <is>
          <t>N/A</t>
        </is>
      </c>
      <c r="AF509" s="85" t="n">
        <v>24439</v>
      </c>
      <c r="AG509" s="85" t="n">
        <v>60784</v>
      </c>
      <c r="AH509" s="85" t="n">
        <v>39112</v>
      </c>
      <c r="AI509" s="85" t="n">
        <v>490144</v>
      </c>
      <c r="AJ509" s="85" t="n">
        <v>2281</v>
      </c>
      <c r="AK509" s="85" t="n">
        <v>5910</v>
      </c>
      <c r="AL509" s="85" t="n">
        <v>193</v>
      </c>
      <c r="AM509" s="85" t="n">
        <v>1163</v>
      </c>
      <c r="AN509" s="85" t="n">
        <v>1578</v>
      </c>
      <c r="AO509" s="85" t="n">
        <v>1204</v>
      </c>
      <c r="AP509" s="91" t="inlineStr">
        <is>
          <t>N/A</t>
        </is>
      </c>
      <c r="AQ509" s="91" t="inlineStr">
        <is>
          <t>N/A</t>
        </is>
      </c>
      <c r="AR509" s="85" t="n">
        <v>28509</v>
      </c>
      <c r="AS509" s="85" t="n">
        <v>11600</v>
      </c>
      <c r="AT509" s="85" t="n">
        <v>1087</v>
      </c>
      <c r="AU509" s="91" t="inlineStr">
        <is>
          <t>N/A</t>
        </is>
      </c>
      <c r="AV509" s="91" t="inlineStr">
        <is>
          <t>N/A</t>
        </is>
      </c>
      <c r="AW509" s="91" t="inlineStr">
        <is>
          <t>N/A</t>
        </is>
      </c>
      <c r="AX509" s="85" t="n">
        <v>32464</v>
      </c>
      <c r="AY509" s="85" t="n">
        <v>25001</v>
      </c>
      <c r="AZ509" s="85" t="n">
        <v>32464</v>
      </c>
      <c r="BA509" s="85" t="n">
        <v>26140</v>
      </c>
      <c r="BB509" s="85" t="n">
        <v>625.1</v>
      </c>
      <c r="BC509" s="85" t="n">
        <v>381.2</v>
      </c>
      <c r="BD509" s="91" t="inlineStr">
        <is>
          <t>N/A</t>
        </is>
      </c>
      <c r="BE509" s="85" t="n">
        <v>4511</v>
      </c>
      <c r="BF509" s="91" t="inlineStr">
        <is>
          <t>N/A</t>
        </is>
      </c>
      <c r="BG509" s="85" t="n">
        <v>3237</v>
      </c>
      <c r="BH509" s="85" t="n">
        <v>-444</v>
      </c>
      <c r="BI509" s="85" t="n">
        <v>-26410</v>
      </c>
      <c r="BJ509" s="91" t="inlineStr">
        <is>
          <t>N/A</t>
        </is>
      </c>
      <c r="BK509" s="91" t="inlineStr">
        <is>
          <t>N/A</t>
        </is>
      </c>
      <c r="BL509" s="91" t="inlineStr">
        <is>
          <t>N/A</t>
        </is>
      </c>
      <c r="BM509" s="91" t="inlineStr">
        <is>
          <t>N/A</t>
        </is>
      </c>
      <c r="BN509" s="91" t="inlineStr">
        <is>
          <t>N/A</t>
        </is>
      </c>
      <c r="BO509" s="91" t="inlineStr">
        <is>
          <t>N/A</t>
        </is>
      </c>
      <c r="BP509" s="91" t="inlineStr">
        <is>
          <t>N/A</t>
        </is>
      </c>
      <c r="BQ509" s="91" t="inlineStr">
        <is>
          <t>N/A</t>
        </is>
      </c>
      <c r="BR509" s="91" t="inlineStr">
        <is>
          <t>N/A</t>
        </is>
      </c>
      <c r="BS509" s="91" t="inlineStr">
        <is>
          <t>N/A</t>
        </is>
      </c>
      <c r="BT509" s="91" t="inlineStr">
        <is>
          <t>N/A</t>
        </is>
      </c>
      <c r="BU509" s="91" t="inlineStr">
        <is>
          <t>N/A</t>
        </is>
      </c>
      <c r="BV509" s="91" t="inlineStr">
        <is>
          <t>N/A</t>
        </is>
      </c>
      <c r="BW509" s="85" t="n">
        <v>0</v>
      </c>
      <c r="BX509" s="85" t="n">
        <v>0</v>
      </c>
      <c r="BY509" s="85" t="n">
        <v>0</v>
      </c>
    </row>
    <row r="510" ht="17" customHeight="1">
      <c r="A510" s="86" t="n">
        <v>508</v>
      </c>
      <c r="B510" s="87" t="inlineStr">
        <is>
          <t>JOBY</t>
        </is>
      </c>
      <c r="C510" s="88" t="inlineStr">
        <is>
          <t>Joby Aviation, Inc.</t>
        </is>
      </c>
      <c r="D510" s="86" t="inlineStr">
        <is>
          <t>Communication Services</t>
        </is>
      </c>
      <c r="E510" s="86" t="n">
        <v>2026</v>
      </c>
      <c r="F510" s="89" t="n">
        <v>1795.1</v>
      </c>
      <c r="G510" s="89" t="n">
        <v>1445.8</v>
      </c>
      <c r="H510" s="89" t="n">
        <v>60</v>
      </c>
      <c r="I510" s="89" t="n">
        <v>385.4</v>
      </c>
      <c r="J510" s="89" t="n">
        <v>-2785.6</v>
      </c>
      <c r="K510" s="89" t="n">
        <v>-719.6</v>
      </c>
      <c r="L510" s="89" t="n">
        <v>53.4</v>
      </c>
      <c r="M510" s="89" t="n">
        <v>-929.8</v>
      </c>
      <c r="N510" s="89" t="n">
        <v>-509.9</v>
      </c>
      <c r="O510" s="89" t="n">
        <v>-719.6</v>
      </c>
      <c r="P510" s="90" t="inlineStr">
        <is>
          <t>N/A</t>
        </is>
      </c>
      <c r="Q510" s="89" t="n">
        <v>1409.7</v>
      </c>
      <c r="R510" s="89" t="n">
        <v>162.6</v>
      </c>
      <c r="S510" s="89" t="n">
        <v>33.5</v>
      </c>
      <c r="T510" s="90" t="inlineStr">
        <is>
          <t>N/A</t>
        </is>
      </c>
      <c r="U510" s="89" t="n">
        <v>92.09999999999999</v>
      </c>
      <c r="V510" s="89" t="n">
        <v>0.1</v>
      </c>
      <c r="W510" s="89" t="n">
        <v>1203.5</v>
      </c>
      <c r="X510" s="89" t="n">
        <v>969.6</v>
      </c>
      <c r="Y510" s="89" t="n">
        <v>48.1</v>
      </c>
      <c r="Z510" s="89" t="n">
        <v>291.1</v>
      </c>
      <c r="AA510" s="89" t="n">
        <v>-596.8</v>
      </c>
      <c r="AB510" s="89" t="n">
        <v>0.1</v>
      </c>
      <c r="AC510" s="89" t="n">
        <v>-608</v>
      </c>
      <c r="AD510" s="89" t="n">
        <v>-436.3</v>
      </c>
      <c r="AE510" s="89" t="n">
        <v>-596.8</v>
      </c>
      <c r="AF510" s="90" t="inlineStr">
        <is>
          <t>N/A</t>
        </is>
      </c>
      <c r="AG510" s="89" t="n">
        <v>912.4</v>
      </c>
      <c r="AH510" s="89" t="n">
        <v>0.1</v>
      </c>
      <c r="AI510" s="89" t="n">
        <v>1203.5</v>
      </c>
      <c r="AJ510" s="89" t="n">
        <v>-928.5</v>
      </c>
      <c r="AK510" s="89" t="n">
        <v>-607.9</v>
      </c>
      <c r="AL510" s="89" t="n">
        <v>1.3</v>
      </c>
      <c r="AM510" s="89" t="n">
        <v>0.1</v>
      </c>
      <c r="AN510" s="89" t="n">
        <v>53.9</v>
      </c>
      <c r="AO510" s="89" t="n">
        <v>40.6</v>
      </c>
      <c r="AP510" s="90" t="inlineStr">
        <is>
          <t>N/A</t>
        </is>
      </c>
      <c r="AQ510" s="90" t="inlineStr">
        <is>
          <t>N/A</t>
        </is>
      </c>
      <c r="AR510" s="89" t="n">
        <v>89.40000000000001</v>
      </c>
      <c r="AS510" s="89" t="n">
        <v>18.9</v>
      </c>
      <c r="AT510" s="90" t="inlineStr">
        <is>
          <t>N/A</t>
        </is>
      </c>
      <c r="AU510" s="89" t="n">
        <v>581.1</v>
      </c>
      <c r="AV510" s="89" t="n">
        <v>240.8</v>
      </c>
      <c r="AW510" s="89" t="n">
        <v>199.6</v>
      </c>
      <c r="AX510" s="90" t="inlineStr">
        <is>
          <t>N/A</t>
        </is>
      </c>
      <c r="AY510" s="90" t="inlineStr">
        <is>
          <t>N/A</t>
        </is>
      </c>
      <c r="AZ510" s="90" t="inlineStr">
        <is>
          <t>N/A</t>
        </is>
      </c>
      <c r="BA510" s="89" t="n">
        <v>-563.8</v>
      </c>
      <c r="BB510" s="89" t="n">
        <v>915.1</v>
      </c>
      <c r="BC510" s="89" t="n">
        <v>784.2</v>
      </c>
      <c r="BD510" s="90" t="inlineStr">
        <is>
          <t>N/A</t>
        </is>
      </c>
      <c r="BE510" s="89" t="n">
        <v>53.2</v>
      </c>
      <c r="BF510" s="89" t="n">
        <v>119.7</v>
      </c>
      <c r="BG510" s="89" t="n">
        <v>29.7</v>
      </c>
      <c r="BH510" s="89" t="n">
        <v>-475.4</v>
      </c>
      <c r="BI510" s="89" t="n">
        <v>70.8</v>
      </c>
      <c r="BJ510" s="89" t="n">
        <v>3.6</v>
      </c>
      <c r="BK510" s="89" t="n">
        <v>4.3</v>
      </c>
      <c r="BL510" s="89" t="n">
        <v>7</v>
      </c>
      <c r="BM510" s="89" t="n">
        <v>5.2</v>
      </c>
      <c r="BN510" s="90" t="inlineStr">
        <is>
          <t>N/A</t>
        </is>
      </c>
      <c r="BO510" s="89" t="n">
        <v>773</v>
      </c>
      <c r="BP510" s="89" t="n">
        <v>596.9</v>
      </c>
      <c r="BQ510" s="90" t="inlineStr">
        <is>
          <t>N/A</t>
        </is>
      </c>
      <c r="BR510" s="90" t="inlineStr">
        <is>
          <t>N/A</t>
        </is>
      </c>
      <c r="BS510" s="90" t="inlineStr">
        <is>
          <t>N/A</t>
        </is>
      </c>
      <c r="BT510" s="90" t="inlineStr">
        <is>
          <t>N/A</t>
        </is>
      </c>
      <c r="BU510" s="89" t="n">
        <v>0</v>
      </c>
      <c r="BV510" s="89" t="n">
        <v>0</v>
      </c>
      <c r="BW510" s="89" t="n">
        <v>0</v>
      </c>
      <c r="BX510" s="89" t="n">
        <v>-0</v>
      </c>
      <c r="BY510" s="89" t="n">
        <v>-0</v>
      </c>
    </row>
    <row r="511" ht="17" customHeight="1">
      <c r="A511" s="82" t="n">
        <v>509</v>
      </c>
      <c r="B511" s="83" t="inlineStr">
        <is>
          <t>ALB</t>
        </is>
      </c>
      <c r="C511" s="84" t="inlineStr">
        <is>
          <t>Albemarle Corporation</t>
        </is>
      </c>
      <c r="D511" s="82" t="inlineStr">
        <is>
          <t>Materials</t>
        </is>
      </c>
      <c r="E511" s="82" t="n">
        <v>2026</v>
      </c>
      <c r="F511" s="85" t="n">
        <v>16374.2</v>
      </c>
      <c r="G511" s="85" t="n">
        <v>4008.1</v>
      </c>
      <c r="H511" s="85" t="n">
        <v>1798</v>
      </c>
      <c r="I511" s="85" t="n">
        <v>16374.2</v>
      </c>
      <c r="J511" s="85" t="n">
        <v>4613.7</v>
      </c>
      <c r="K511" s="85" t="n">
        <v>-367.1</v>
      </c>
      <c r="L511" s="85" t="n">
        <v>5142.7</v>
      </c>
      <c r="M511" s="85" t="n">
        <v>-510.6</v>
      </c>
      <c r="N511" s="85" t="n">
        <v>1282.3</v>
      </c>
      <c r="O511" s="85" t="n">
        <v>668.7</v>
      </c>
      <c r="P511" s="85" t="n">
        <v>3193.5</v>
      </c>
      <c r="Q511" s="85" t="n">
        <v>9533.4</v>
      </c>
      <c r="R511" s="85" t="n">
        <v>550</v>
      </c>
      <c r="S511" s="85" t="n">
        <v>103.6</v>
      </c>
      <c r="T511" s="85" t="n">
        <v>593.5</v>
      </c>
      <c r="U511" s="85" t="n">
        <v>5909.6</v>
      </c>
      <c r="V511" s="91" t="inlineStr">
        <is>
          <t>N/A</t>
        </is>
      </c>
      <c r="W511" s="85" t="n">
        <v>16609.6</v>
      </c>
      <c r="X511" s="85" t="n">
        <v>3842.3</v>
      </c>
      <c r="Y511" s="85" t="n">
        <v>1966.5</v>
      </c>
      <c r="Z511" s="85" t="n">
        <v>16609.6</v>
      </c>
      <c r="AA511" s="85" t="n">
        <v>-1776.5</v>
      </c>
      <c r="AB511" s="85" t="n">
        <v>5377.5</v>
      </c>
      <c r="AC511" s="85" t="n">
        <v>-1179.4</v>
      </c>
      <c r="AD511" s="85" t="n">
        <v>702.1</v>
      </c>
      <c r="AE511" s="85" t="n">
        <v>62.5</v>
      </c>
      <c r="AF511" s="85" t="n">
        <v>3516.2</v>
      </c>
      <c r="AG511" s="85" t="n">
        <v>9961.5</v>
      </c>
      <c r="AH511" s="85" t="n">
        <v>5377.5</v>
      </c>
      <c r="AI511" s="85" t="n">
        <v>16609.6</v>
      </c>
      <c r="AJ511" s="85" t="n">
        <v>539.2</v>
      </c>
      <c r="AK511" s="85" t="n">
        <v>535.2</v>
      </c>
      <c r="AL511" s="85" t="n">
        <v>156.9</v>
      </c>
      <c r="AM511" s="85" t="n">
        <v>87.09999999999999</v>
      </c>
      <c r="AN511" s="85" t="n">
        <v>589.8</v>
      </c>
      <c r="AO511" s="85" t="n">
        <v>1685.8</v>
      </c>
      <c r="AP511" s="85" t="n">
        <v>1179.3</v>
      </c>
      <c r="AQ511" s="85" t="n">
        <v>1502.5</v>
      </c>
      <c r="AR511" s="85" t="n">
        <v>1499.7</v>
      </c>
      <c r="AS511" s="85" t="n">
        <v>214.2</v>
      </c>
      <c r="AT511" s="85" t="n">
        <v>74.09999999999999</v>
      </c>
      <c r="AU511" s="85" t="n">
        <v>51.4</v>
      </c>
      <c r="AV511" s="85" t="n">
        <v>613.1</v>
      </c>
      <c r="AW511" s="85" t="n">
        <v>555.3</v>
      </c>
      <c r="AX511" s="85" t="n">
        <v>3267.6</v>
      </c>
      <c r="AY511" s="85" t="n">
        <v>3516.2</v>
      </c>
      <c r="AZ511" s="85" t="n">
        <v>2654.5</v>
      </c>
      <c r="BA511" s="85" t="n">
        <v>692.5</v>
      </c>
      <c r="BB511" s="85" t="n">
        <v>117.7</v>
      </c>
      <c r="BC511" s="85" t="n">
        <v>117.6</v>
      </c>
      <c r="BD511" s="85" t="n">
        <v>742.2</v>
      </c>
      <c r="BE511" s="85" t="n">
        <v>5354.6</v>
      </c>
      <c r="BF511" s="85" t="n">
        <v>618</v>
      </c>
      <c r="BG511" s="85" t="n">
        <v>107.4</v>
      </c>
      <c r="BH511" s="85" t="n">
        <v>-146</v>
      </c>
      <c r="BI511" s="85" t="n">
        <v>-1574.4</v>
      </c>
      <c r="BJ511" s="85" t="n">
        <v>1533.6</v>
      </c>
      <c r="BK511" s="85" t="n">
        <v>648</v>
      </c>
      <c r="BL511" s="85" t="n">
        <v>93.09999999999999</v>
      </c>
      <c r="BM511" s="85" t="n">
        <v>2.1</v>
      </c>
      <c r="BN511" s="85" t="n">
        <v>35.5</v>
      </c>
      <c r="BO511" s="85" t="n">
        <v>4474</v>
      </c>
      <c r="BP511" s="85" t="n">
        <v>5315</v>
      </c>
      <c r="BQ511" s="85" t="n">
        <v>0</v>
      </c>
      <c r="BR511" s="85" t="n">
        <v>0</v>
      </c>
      <c r="BS511" s="85" t="n">
        <v>0</v>
      </c>
      <c r="BT511" s="85" t="n">
        <v>0</v>
      </c>
      <c r="BU511" s="85" t="n">
        <v>0</v>
      </c>
      <c r="BV511" s="85" t="n">
        <v>0</v>
      </c>
      <c r="BW511" s="85" t="n">
        <v>0</v>
      </c>
      <c r="BX511" s="85" t="n">
        <v>0</v>
      </c>
      <c r="BY511" s="85" t="n">
        <v>0</v>
      </c>
    </row>
    <row r="512" ht="17" customHeight="1">
      <c r="A512" s="86" t="n">
        <v>510</v>
      </c>
      <c r="B512" s="87" t="inlineStr">
        <is>
          <t>SLB</t>
        </is>
      </c>
      <c r="C512" s="88" t="inlineStr">
        <is>
          <t>SLB LIMITED/NV</t>
        </is>
      </c>
      <c r="D512" s="86" t="inlineStr">
        <is>
          <t>Energy</t>
        </is>
      </c>
      <c r="E512" s="86" t="n">
        <v>2026</v>
      </c>
      <c r="F512" s="89" t="n">
        <v>54868</v>
      </c>
      <c r="G512" s="89" t="n">
        <v>19513</v>
      </c>
      <c r="H512" s="89" t="n">
        <v>14721</v>
      </c>
      <c r="I512" s="89" t="n">
        <v>27577</v>
      </c>
      <c r="J512" s="89" t="n">
        <v>18067</v>
      </c>
      <c r="K512" s="89" t="n">
        <v>6523</v>
      </c>
      <c r="L512" s="89" t="n">
        <v>30440</v>
      </c>
      <c r="M512" s="89" t="n">
        <v>3374</v>
      </c>
      <c r="N512" s="89" t="n">
        <v>6489</v>
      </c>
      <c r="O512" s="89" t="n">
        <v>2119</v>
      </c>
      <c r="P512" s="89" t="n">
        <v>9742</v>
      </c>
      <c r="Q512" s="89" t="n">
        <v>26109</v>
      </c>
      <c r="R512" s="89" t="n">
        <v>340</v>
      </c>
      <c r="S512" s="89" t="n">
        <v>2643</v>
      </c>
      <c r="T512" s="89" t="n">
        <v>8689</v>
      </c>
      <c r="U512" s="89" t="n">
        <v>7894</v>
      </c>
      <c r="V512" s="89" t="n">
        <v>558</v>
      </c>
      <c r="W512" s="89" t="n">
        <v>48935</v>
      </c>
      <c r="X512" s="89" t="n">
        <v>18570</v>
      </c>
      <c r="Y512" s="89" t="n">
        <v>12811</v>
      </c>
      <c r="Z512" s="89" t="n">
        <v>26585</v>
      </c>
      <c r="AA512" s="89" t="n">
        <v>5011</v>
      </c>
      <c r="AB512" s="89" t="n">
        <v>27810</v>
      </c>
      <c r="AC512" s="89" t="n">
        <v>4461</v>
      </c>
      <c r="AD512" s="89" t="n">
        <v>6602</v>
      </c>
      <c r="AE512" s="89" t="n">
        <v>-9588</v>
      </c>
      <c r="AF512" s="89" t="n">
        <v>11023</v>
      </c>
      <c r="AG512" s="89" t="n">
        <v>21130</v>
      </c>
      <c r="AH512" s="89" t="n">
        <v>27810</v>
      </c>
      <c r="AI512" s="89" t="n">
        <v>48935</v>
      </c>
      <c r="AJ512" s="89" t="n">
        <v>4291</v>
      </c>
      <c r="AK512" s="89" t="n">
        <v>5672</v>
      </c>
      <c r="AL512" s="89" t="n">
        <v>840</v>
      </c>
      <c r="AM512" s="89" t="n">
        <v>1093</v>
      </c>
      <c r="AN512" s="89" t="n">
        <v>1694</v>
      </c>
      <c r="AO512" s="89" t="n">
        <v>1931</v>
      </c>
      <c r="AP512" s="89" t="n">
        <v>5032</v>
      </c>
      <c r="AQ512" s="89" t="n">
        <v>4375</v>
      </c>
      <c r="AR512" s="89" t="n">
        <v>16794</v>
      </c>
      <c r="AS512" s="89" t="n">
        <v>4988</v>
      </c>
      <c r="AT512" s="89" t="n">
        <v>1178</v>
      </c>
      <c r="AU512" s="89" t="n">
        <v>709</v>
      </c>
      <c r="AV512" s="89" t="n">
        <v>3130</v>
      </c>
      <c r="AW512" s="89" t="n">
        <v>3472</v>
      </c>
      <c r="AX512" s="89" t="n">
        <v>10920</v>
      </c>
      <c r="AY512" s="89" t="n">
        <v>12569</v>
      </c>
      <c r="AZ512" s="89" t="n">
        <v>7790</v>
      </c>
      <c r="BA512" s="89" t="n">
        <v>4795</v>
      </c>
      <c r="BB512" s="89" t="n">
        <v>1495.3</v>
      </c>
      <c r="BC512" s="89" t="n">
        <v>1400.9</v>
      </c>
      <c r="BD512" s="89" t="n">
        <v>8011</v>
      </c>
      <c r="BE512" s="89" t="n">
        <v>7359</v>
      </c>
      <c r="BF512" s="89" t="n">
        <v>385</v>
      </c>
      <c r="BG512" s="89" t="n">
        <v>2519</v>
      </c>
      <c r="BH512" s="89" t="n">
        <v>-1412</v>
      </c>
      <c r="BI512" s="89" t="n">
        <v>-3145</v>
      </c>
      <c r="BJ512" s="89" t="n">
        <v>11490</v>
      </c>
      <c r="BK512" s="89" t="n">
        <v>10375</v>
      </c>
      <c r="BL512" s="89" t="n">
        <v>752</v>
      </c>
      <c r="BM512" s="89" t="n">
        <v>1088</v>
      </c>
      <c r="BN512" s="89" t="n">
        <v>894</v>
      </c>
      <c r="BO512" s="89" t="n">
        <v>28321</v>
      </c>
      <c r="BP512" s="89" t="n">
        <v>37398</v>
      </c>
      <c r="BQ512" s="89" t="n">
        <v>0</v>
      </c>
      <c r="BR512" s="89" t="n">
        <v>0</v>
      </c>
      <c r="BS512" s="89" t="n">
        <v>0</v>
      </c>
      <c r="BT512" s="89" t="n">
        <v>0</v>
      </c>
      <c r="BU512" s="89" t="n">
        <v>0</v>
      </c>
      <c r="BV512" s="89" t="n">
        <v>0</v>
      </c>
      <c r="BW512" s="89" t="n">
        <v>0</v>
      </c>
      <c r="BX512" s="89" t="n">
        <v>0</v>
      </c>
      <c r="BY512" s="89" t="n">
        <v>0</v>
      </c>
    </row>
    <row r="513" ht="17" customHeight="1">
      <c r="A513" s="82" t="n">
        <v>511</v>
      </c>
      <c r="B513" s="83" t="inlineStr">
        <is>
          <t>STZ</t>
        </is>
      </c>
      <c r="C513" s="84" t="inlineStr">
        <is>
          <t>CONSTELLATION BRANDS, INC.</t>
        </is>
      </c>
      <c r="D513" s="82" t="inlineStr">
        <is>
          <t>Consumer Staples</t>
        </is>
      </c>
      <c r="E513" s="82" t="n">
        <v>2026</v>
      </c>
      <c r="F513" s="85" t="n">
        <v>21900.5</v>
      </c>
      <c r="G513" s="85" t="n">
        <v>2906.3</v>
      </c>
      <c r="H513" s="85" t="n">
        <v>2689.8</v>
      </c>
      <c r="I513" s="85" t="n">
        <v>13513.6</v>
      </c>
      <c r="J513" s="85" t="n">
        <v>13574.4</v>
      </c>
      <c r="K513" s="85" t="n">
        <v>2721.4</v>
      </c>
      <c r="L513" s="85" t="n">
        <v>9139</v>
      </c>
      <c r="M513" s="85" t="n">
        <v>1686.7</v>
      </c>
      <c r="N513" s="85" t="n">
        <v>2669</v>
      </c>
      <c r="O513" s="85" t="n">
        <v>4711.5</v>
      </c>
      <c r="P513" s="85" t="n">
        <v>10296.5</v>
      </c>
      <c r="Q513" s="85" t="n">
        <v>8082.4</v>
      </c>
      <c r="R513" s="85" t="n">
        <v>1848.4</v>
      </c>
      <c r="S513" s="85" t="n">
        <v>420</v>
      </c>
      <c r="T513" s="85" t="n">
        <v>471.9</v>
      </c>
      <c r="U513" s="85" t="n">
        <v>5821.6</v>
      </c>
      <c r="V513" s="85" t="n">
        <v>379.1</v>
      </c>
      <c r="W513" s="85" t="n">
        <v>21652.3</v>
      </c>
      <c r="X513" s="85" t="n">
        <v>3716.4</v>
      </c>
      <c r="Y513" s="85" t="n">
        <v>4035.2</v>
      </c>
      <c r="Z513" s="85" t="n">
        <v>14517.5</v>
      </c>
      <c r="AA513" s="85" t="n">
        <v>354.9</v>
      </c>
      <c r="AB513" s="85" t="n">
        <v>1920.2</v>
      </c>
      <c r="AC513" s="85" t="n">
        <v>201.8</v>
      </c>
      <c r="AD513" s="85" t="n">
        <v>3152.2</v>
      </c>
      <c r="AE513" s="85" t="n">
        <v>951.7</v>
      </c>
      <c r="AF513" s="85" t="n">
        <v>10691</v>
      </c>
      <c r="AG513" s="85" t="n">
        <v>6882</v>
      </c>
      <c r="AH513" s="85" t="n">
        <v>10208.7</v>
      </c>
      <c r="AI513" s="85" t="n">
        <v>21652.3</v>
      </c>
      <c r="AJ513" s="85" t="n">
        <v>2377.8</v>
      </c>
      <c r="AK513" s="85" t="n">
        <v>-82.8</v>
      </c>
      <c r="AL513" s="85" t="n">
        <v>621</v>
      </c>
      <c r="AM513" s="85" t="n">
        <v>-51.7</v>
      </c>
      <c r="AN513" s="85" t="n">
        <v>875</v>
      </c>
      <c r="AO513" s="85" t="n">
        <v>1214.1</v>
      </c>
      <c r="AP513" s="85" t="n">
        <v>1433.9</v>
      </c>
      <c r="AQ513" s="85" t="n">
        <v>1437.2</v>
      </c>
      <c r="AR513" s="85" t="n">
        <v>5233.9</v>
      </c>
      <c r="AS513" s="85" t="n">
        <v>13.9</v>
      </c>
      <c r="AT513" s="85" t="n">
        <v>272</v>
      </c>
      <c r="AU513" s="91" t="inlineStr">
        <is>
          <t>N/A</t>
        </is>
      </c>
      <c r="AV513" s="85" t="n">
        <v>102.4</v>
      </c>
      <c r="AW513" s="85" t="n">
        <v>68.09999999999999</v>
      </c>
      <c r="AX513" s="85" t="n">
        <v>10568.5</v>
      </c>
      <c r="AY513" s="85" t="n">
        <v>11497.7</v>
      </c>
      <c r="AZ513" s="85" t="n">
        <v>10466.1</v>
      </c>
      <c r="BA513" s="85" t="n">
        <v>1794</v>
      </c>
      <c r="BB513" s="91" t="inlineStr">
        <is>
          <t>N/A</t>
        </is>
      </c>
      <c r="BC513" s="91" t="inlineStr">
        <is>
          <t>N/A</t>
        </is>
      </c>
      <c r="BD513" s="85" t="n">
        <v>436</v>
      </c>
      <c r="BE513" s="85" t="n">
        <v>5333</v>
      </c>
      <c r="BF513" s="85" t="n">
        <v>1950</v>
      </c>
      <c r="BG513" s="85" t="n">
        <v>447</v>
      </c>
      <c r="BH513" s="85" t="n">
        <v>16.5</v>
      </c>
      <c r="BI513" s="85" t="n">
        <v>-974.8</v>
      </c>
      <c r="BJ513" s="85" t="n">
        <v>960.2</v>
      </c>
      <c r="BK513" s="85" t="n">
        <v>939.8</v>
      </c>
      <c r="BL513" s="85" t="n">
        <v>53.4</v>
      </c>
      <c r="BM513" s="85" t="n">
        <v>52.8</v>
      </c>
      <c r="BN513" s="85" t="n">
        <v>164.3</v>
      </c>
      <c r="BO513" s="85" t="n">
        <v>4427.5</v>
      </c>
      <c r="BP513" s="85" t="n">
        <v>4894.1</v>
      </c>
      <c r="BQ513" s="85" t="n">
        <v>0</v>
      </c>
      <c r="BR513" s="85" t="n">
        <v>0</v>
      </c>
      <c r="BS513" s="85" t="n">
        <v>0</v>
      </c>
      <c r="BT513" s="85" t="n">
        <v>0</v>
      </c>
      <c r="BU513" s="85" t="n">
        <v>0</v>
      </c>
      <c r="BV513" s="85" t="n">
        <v>0</v>
      </c>
      <c r="BW513" s="85" t="n">
        <v>0</v>
      </c>
      <c r="BX513" s="85" t="n">
        <v>0</v>
      </c>
      <c r="BY513" s="85" t="n">
        <v>0</v>
      </c>
    </row>
    <row r="514" ht="17" customHeight="1">
      <c r="A514" s="86" t="n">
        <v>512</v>
      </c>
      <c r="B514" s="87" t="inlineStr">
        <is>
          <t>TECH</t>
        </is>
      </c>
      <c r="C514" s="88" t="inlineStr">
        <is>
          <t>BIO-TECHNE Corp</t>
        </is>
      </c>
      <c r="D514" s="86" t="inlineStr">
        <is>
          <t>Health Care</t>
        </is>
      </c>
      <c r="E514" s="86" t="n">
        <v>2026</v>
      </c>
      <c r="F514" s="89" t="n">
        <v>2557.9</v>
      </c>
      <c r="G514" s="89" t="n">
        <v>608.3</v>
      </c>
      <c r="H514" s="89" t="n">
        <v>175.8</v>
      </c>
      <c r="I514" s="89" t="n">
        <v>2557.9</v>
      </c>
      <c r="J514" s="89" t="n">
        <v>1066</v>
      </c>
      <c r="K514" s="89" t="n">
        <v>102.3</v>
      </c>
      <c r="L514" s="89" t="n">
        <v>1219.6</v>
      </c>
      <c r="M514" s="89" t="n">
        <v>73.40000000000001</v>
      </c>
      <c r="N514" s="89" t="n">
        <v>287.6</v>
      </c>
      <c r="O514" s="89" t="n">
        <v>790.3</v>
      </c>
      <c r="P514" s="90" t="inlineStr">
        <is>
          <t>N/A</t>
        </is>
      </c>
      <c r="Q514" s="89" t="n">
        <v>2068.8</v>
      </c>
      <c r="R514" s="89" t="n">
        <v>588.5</v>
      </c>
      <c r="S514" s="89" t="n">
        <v>109.9</v>
      </c>
      <c r="T514" s="89" t="n">
        <v>206.9</v>
      </c>
      <c r="U514" s="89" t="n">
        <v>245.7</v>
      </c>
      <c r="V514" s="89" t="n">
        <v>11.2</v>
      </c>
      <c r="W514" s="89" t="n">
        <v>2703.9</v>
      </c>
      <c r="X514" s="89" t="n">
        <v>617.4</v>
      </c>
      <c r="Y514" s="89" t="n">
        <v>159.4</v>
      </c>
      <c r="Z514" s="89" t="n">
        <v>2703.9</v>
      </c>
      <c r="AA514" s="89" t="n">
        <v>206.7</v>
      </c>
      <c r="AB514" s="89" t="n">
        <v>1159.1</v>
      </c>
      <c r="AC514" s="89" t="n">
        <v>168.1</v>
      </c>
      <c r="AD514" s="89" t="n">
        <v>299</v>
      </c>
      <c r="AE514" s="89" t="n">
        <v>769.7</v>
      </c>
      <c r="AF514" s="90" t="inlineStr">
        <is>
          <t>N/A</t>
        </is>
      </c>
      <c r="AG514" s="89" t="n">
        <v>1966.5</v>
      </c>
      <c r="AH514" s="89" t="n">
        <v>1136.7</v>
      </c>
      <c r="AI514" s="89" t="n">
        <v>2703.9</v>
      </c>
      <c r="AJ514" s="89" t="n">
        <v>98.5</v>
      </c>
      <c r="AK514" s="89" t="n">
        <v>185.7</v>
      </c>
      <c r="AL514" s="89" t="n">
        <v>25.1</v>
      </c>
      <c r="AM514" s="89" t="n">
        <v>17.6</v>
      </c>
      <c r="AN514" s="89" t="n">
        <v>31</v>
      </c>
      <c r="AO514" s="89" t="n">
        <v>62.9</v>
      </c>
      <c r="AP514" s="89" t="n">
        <v>189.4</v>
      </c>
      <c r="AQ514" s="89" t="n">
        <v>179.7</v>
      </c>
      <c r="AR514" s="89" t="n">
        <v>980.9</v>
      </c>
      <c r="AS514" s="89" t="n">
        <v>365.6</v>
      </c>
      <c r="AT514" s="89" t="n">
        <v>12.5</v>
      </c>
      <c r="AU514" s="89" t="n">
        <v>99.5</v>
      </c>
      <c r="AV514" s="89" t="n">
        <v>162.2</v>
      </c>
      <c r="AW514" s="89" t="n">
        <v>151.8</v>
      </c>
      <c r="AX514" s="89" t="n">
        <v>12.5</v>
      </c>
      <c r="AY514" s="90" t="inlineStr">
        <is>
          <t>N/A</t>
        </is>
      </c>
      <c r="AZ514" s="89" t="n">
        <v>-149.7</v>
      </c>
      <c r="BA514" s="89" t="n">
        <v>256.6</v>
      </c>
      <c r="BB514" s="89" t="n">
        <v>155</v>
      </c>
      <c r="BC514" s="89" t="n">
        <v>158.2</v>
      </c>
      <c r="BD514" s="89" t="n">
        <v>241.4</v>
      </c>
      <c r="BE514" s="89" t="n">
        <v>251.2</v>
      </c>
      <c r="BF514" s="89" t="n">
        <v>466.4</v>
      </c>
      <c r="BG514" s="89" t="n">
        <v>111.7</v>
      </c>
      <c r="BH514" s="89" t="n">
        <v>-35.2</v>
      </c>
      <c r="BI514" s="89" t="n">
        <v>-203</v>
      </c>
      <c r="BJ514" s="89" t="n">
        <v>25.3</v>
      </c>
      <c r="BK514" s="89" t="n">
        <v>38</v>
      </c>
      <c r="BL514" s="89" t="n">
        <v>7.1</v>
      </c>
      <c r="BM514" s="89" t="n">
        <v>6</v>
      </c>
      <c r="BN514" s="89" t="n">
        <v>10.8</v>
      </c>
      <c r="BO514" s="89" t="n">
        <v>429.4</v>
      </c>
      <c r="BP514" s="89" t="n">
        <v>389.3</v>
      </c>
      <c r="BQ514" s="89" t="n">
        <v>0</v>
      </c>
      <c r="BR514" s="89" t="n">
        <v>0</v>
      </c>
      <c r="BS514" s="89" t="n">
        <v>0</v>
      </c>
      <c r="BT514" s="89" t="n">
        <v>0</v>
      </c>
      <c r="BU514" s="89" t="n">
        <v>0</v>
      </c>
      <c r="BV514" s="89" t="n">
        <v>0</v>
      </c>
      <c r="BW514" s="89" t="n">
        <v>0</v>
      </c>
      <c r="BX514" s="89" t="n">
        <v>0</v>
      </c>
      <c r="BY514" s="89" t="n">
        <v>0</v>
      </c>
    </row>
    <row r="515" ht="17" customHeight="1">
      <c r="A515" s="82" t="n">
        <v>513</v>
      </c>
      <c r="B515" s="83" t="inlineStr">
        <is>
          <t>WSFS</t>
        </is>
      </c>
      <c r="C515" s="84" t="inlineStr">
        <is>
          <t>WSFS FINANCIAL CORPORATION</t>
        </is>
      </c>
      <c r="D515" s="82" t="inlineStr">
        <is>
          <t>Financials</t>
        </is>
      </c>
      <c r="E515" s="82" t="n">
        <v>2026</v>
      </c>
      <c r="F515" s="85" t="n">
        <v>21314.1</v>
      </c>
      <c r="G515" s="91" t="inlineStr">
        <is>
          <t>N/A</t>
        </is>
      </c>
      <c r="H515" s="91" t="inlineStr">
        <is>
          <t>N/A</t>
        </is>
      </c>
      <c r="I515" s="85" t="n">
        <v>18586</v>
      </c>
      <c r="J515" s="85" t="n">
        <v>2121.7</v>
      </c>
      <c r="K515" s="85" t="n">
        <v>380.6</v>
      </c>
      <c r="L515" s="85" t="n">
        <v>963.9</v>
      </c>
      <c r="M515" s="85" t="n">
        <v>287.3</v>
      </c>
      <c r="N515" s="85" t="n">
        <v>220</v>
      </c>
      <c r="O515" s="85" t="n">
        <v>300.6</v>
      </c>
      <c r="P515" s="85" t="n">
        <v>22</v>
      </c>
      <c r="Q515" s="85" t="n">
        <v>2738.5</v>
      </c>
      <c r="R515" s="91" t="inlineStr">
        <is>
          <t>N/A</t>
        </is>
      </c>
      <c r="S515" s="85" t="n">
        <v>15.3</v>
      </c>
      <c r="T515" s="91" t="inlineStr">
        <is>
          <t>N/A</t>
        </is>
      </c>
      <c r="U515" s="85" t="n">
        <v>80.3</v>
      </c>
      <c r="V515" s="85" t="n">
        <v>251.4</v>
      </c>
      <c r="W515" s="85" t="n">
        <v>20814.3</v>
      </c>
      <c r="X515" s="91" t="inlineStr">
        <is>
          <t>N/A</t>
        </is>
      </c>
      <c r="Y515" s="91" t="inlineStr">
        <is>
          <t>N/A</t>
        </is>
      </c>
      <c r="Z515" s="85" t="n">
        <v>18234.9</v>
      </c>
      <c r="AA515" s="85" t="n">
        <v>347.3</v>
      </c>
      <c r="AB515" s="85" t="n">
        <v>641.8</v>
      </c>
      <c r="AC515" s="85" t="n">
        <v>263.7</v>
      </c>
      <c r="AD515" s="85" t="n">
        <v>219.9</v>
      </c>
      <c r="AE515" s="85" t="n">
        <v>357.7</v>
      </c>
      <c r="AF515" s="85" t="n">
        <v>22</v>
      </c>
      <c r="AG515" s="85" t="n">
        <v>2589.8</v>
      </c>
      <c r="AH515" s="85" t="n">
        <v>641.8</v>
      </c>
      <c r="AI515" s="85" t="n">
        <v>20814.3</v>
      </c>
      <c r="AJ515" s="85" t="n">
        <v>380.6</v>
      </c>
      <c r="AK515" s="85" t="n">
        <v>347.3</v>
      </c>
      <c r="AL515" s="85" t="n">
        <v>93.40000000000001</v>
      </c>
      <c r="AM515" s="85" t="n">
        <v>83.8</v>
      </c>
      <c r="AN515" s="85" t="n">
        <v>6.4</v>
      </c>
      <c r="AO515" s="85" t="n">
        <v>14.3</v>
      </c>
      <c r="AP515" s="91" t="inlineStr">
        <is>
          <t>N/A</t>
        </is>
      </c>
      <c r="AQ515" s="91" t="inlineStr">
        <is>
          <t>N/A</t>
        </is>
      </c>
      <c r="AR515" s="85" t="n">
        <v>885.2</v>
      </c>
      <c r="AS515" s="85" t="n">
        <v>81.8</v>
      </c>
      <c r="AT515" s="91" t="inlineStr">
        <is>
          <t>N/A</t>
        </is>
      </c>
      <c r="AU515" s="91" t="inlineStr">
        <is>
          <t>N/A</t>
        </is>
      </c>
      <c r="AV515" s="85" t="n">
        <v>1699.2</v>
      </c>
      <c r="AW515" s="85" t="n">
        <v>1154.8</v>
      </c>
      <c r="AX515" s="85" t="n">
        <v>22</v>
      </c>
      <c r="AY515" s="85" t="n">
        <v>22</v>
      </c>
      <c r="AZ515" s="85" t="n">
        <v>-1677.2</v>
      </c>
      <c r="BA515" s="85" t="n">
        <v>213.6</v>
      </c>
      <c r="BB515" s="85" t="n">
        <v>76.5</v>
      </c>
      <c r="BC515" s="85" t="n">
        <v>76.3</v>
      </c>
      <c r="BD515" s="91" t="inlineStr">
        <is>
          <t>N/A</t>
        </is>
      </c>
      <c r="BE515" s="85" t="n">
        <v>86</v>
      </c>
      <c r="BF515" s="91" t="inlineStr">
        <is>
          <t>N/A</t>
        </is>
      </c>
      <c r="BG515" s="85" t="n">
        <v>15.7</v>
      </c>
      <c r="BH515" s="85" t="n">
        <v>124.9</v>
      </c>
      <c r="BI515" s="85" t="n">
        <v>-66.7</v>
      </c>
      <c r="BJ515" s="91" t="inlineStr">
        <is>
          <t>N/A</t>
        </is>
      </c>
      <c r="BK515" s="91" t="inlineStr">
        <is>
          <t>N/A</t>
        </is>
      </c>
      <c r="BL515" s="91" t="inlineStr">
        <is>
          <t>N/A</t>
        </is>
      </c>
      <c r="BM515" s="91" t="inlineStr">
        <is>
          <t>N/A</t>
        </is>
      </c>
      <c r="BN515" s="91" t="inlineStr">
        <is>
          <t>N/A</t>
        </is>
      </c>
      <c r="BO515" s="85" t="n">
        <v>663.3</v>
      </c>
      <c r="BP515" s="85" t="n">
        <v>284.1</v>
      </c>
      <c r="BQ515" s="91" t="inlineStr">
        <is>
          <t>N/A</t>
        </is>
      </c>
      <c r="BR515" s="91" t="inlineStr">
        <is>
          <t>N/A</t>
        </is>
      </c>
      <c r="BS515" s="91" t="inlineStr">
        <is>
          <t>N/A</t>
        </is>
      </c>
      <c r="BT515" s="91" t="inlineStr">
        <is>
          <t>N/A</t>
        </is>
      </c>
      <c r="BU515" s="91" t="inlineStr">
        <is>
          <t>N/A</t>
        </is>
      </c>
      <c r="BV515" s="91" t="inlineStr">
        <is>
          <t>N/A</t>
        </is>
      </c>
      <c r="BW515" s="85" t="n">
        <v>0</v>
      </c>
      <c r="BX515" s="85" t="n">
        <v>0</v>
      </c>
      <c r="BY515" s="85" t="n">
        <v>0</v>
      </c>
    </row>
    <row r="516" ht="17" customHeight="1">
      <c r="A516" s="86" t="n">
        <v>514</v>
      </c>
      <c r="B516" s="87" t="inlineStr">
        <is>
          <t>DKNG</t>
        </is>
      </c>
      <c r="C516" s="88" t="inlineStr">
        <is>
          <t>DRAFTKINGS INC.</t>
        </is>
      </c>
      <c r="D516" s="86" t="inlineStr">
        <is>
          <t>Financials</t>
        </is>
      </c>
      <c r="E516" s="86" t="n">
        <v>2026</v>
      </c>
      <c r="F516" s="89" t="n">
        <v>4530.8</v>
      </c>
      <c r="G516" s="89" t="n">
        <v>1815</v>
      </c>
      <c r="H516" s="89" t="n">
        <v>1755.5</v>
      </c>
      <c r="I516" s="89" t="n">
        <v>3899.3</v>
      </c>
      <c r="J516" s="89" t="n">
        <v>-6437.5</v>
      </c>
      <c r="K516" s="89" t="n">
        <v>-15.8</v>
      </c>
      <c r="L516" s="89" t="n">
        <v>6054.5</v>
      </c>
      <c r="M516" s="89" t="n">
        <v>3.7</v>
      </c>
      <c r="N516" s="89" t="n">
        <v>662.9</v>
      </c>
      <c r="O516" s="89" t="n">
        <v>2497.6</v>
      </c>
      <c r="P516" s="90" t="inlineStr">
        <is>
          <t>N/A</t>
        </is>
      </c>
      <c r="Q516" s="89" t="n">
        <v>631.5</v>
      </c>
      <c r="R516" s="89" t="n">
        <v>673.6</v>
      </c>
      <c r="S516" s="89" t="n">
        <v>19.2</v>
      </c>
      <c r="T516" s="89" t="n">
        <v>105.6</v>
      </c>
      <c r="U516" s="89" t="n">
        <v>51.1</v>
      </c>
      <c r="V516" s="89" t="n">
        <v>2.7</v>
      </c>
      <c r="W516" s="89" t="n">
        <v>4283.7</v>
      </c>
      <c r="X516" s="89" t="n">
        <v>1533.8</v>
      </c>
      <c r="Y516" s="89" t="n">
        <v>1655</v>
      </c>
      <c r="Z516" s="89" t="n">
        <v>3273.1</v>
      </c>
      <c r="AA516" s="89" t="n">
        <v>-609</v>
      </c>
      <c r="AB516" s="89" t="n">
        <v>4767.7</v>
      </c>
      <c r="AC516" s="89" t="n">
        <v>-507.3</v>
      </c>
      <c r="AD516" s="89" t="n">
        <v>417.8</v>
      </c>
      <c r="AE516" s="89" t="n">
        <v>1817.1</v>
      </c>
      <c r="AF516" s="90" t="inlineStr">
        <is>
          <t>N/A</t>
        </is>
      </c>
      <c r="AG516" s="89" t="n">
        <v>1010.6</v>
      </c>
      <c r="AH516" s="89" t="n">
        <v>4767.7</v>
      </c>
      <c r="AI516" s="89" t="n">
        <v>4283.7</v>
      </c>
      <c r="AJ516" s="89" t="n">
        <v>-29.4</v>
      </c>
      <c r="AK516" s="90" t="inlineStr">
        <is>
          <t>N/A</t>
        </is>
      </c>
      <c r="AL516" s="89" t="n">
        <v>4.3</v>
      </c>
      <c r="AM516" s="89" t="n">
        <v>-86.3</v>
      </c>
      <c r="AN516" s="89" t="n">
        <v>15.4</v>
      </c>
      <c r="AO516" s="89" t="n">
        <v>10.2</v>
      </c>
      <c r="AP516" s="90" t="inlineStr">
        <is>
          <t>N/A</t>
        </is>
      </c>
      <c r="AQ516" s="90" t="inlineStr">
        <is>
          <t>N/A</t>
        </is>
      </c>
      <c r="AR516" s="89" t="n">
        <v>1597.6</v>
      </c>
      <c r="AS516" s="89" t="n">
        <v>931.3</v>
      </c>
      <c r="AT516" s="90" t="inlineStr">
        <is>
          <t>N/A</t>
        </is>
      </c>
      <c r="AU516" s="90" t="inlineStr">
        <is>
          <t>N/A</t>
        </is>
      </c>
      <c r="AV516" s="89" t="n">
        <v>1127.5</v>
      </c>
      <c r="AW516" s="89" t="n">
        <v>788.3</v>
      </c>
      <c r="AX516" s="90" t="inlineStr">
        <is>
          <t>N/A</t>
        </is>
      </c>
      <c r="AY516" s="90" t="inlineStr">
        <is>
          <t>N/A</t>
        </is>
      </c>
      <c r="AZ516" s="90" t="inlineStr">
        <is>
          <t>N/A</t>
        </is>
      </c>
      <c r="BA516" s="89" t="n">
        <v>647.5</v>
      </c>
      <c r="BB516" s="90" t="inlineStr">
        <is>
          <t>N/A</t>
        </is>
      </c>
      <c r="BC516" s="90" t="inlineStr">
        <is>
          <t>N/A</t>
        </is>
      </c>
      <c r="BD516" s="89" t="n">
        <v>57.8</v>
      </c>
      <c r="BE516" s="89" t="n">
        <v>50.5</v>
      </c>
      <c r="BF516" s="89" t="n">
        <v>764.1</v>
      </c>
      <c r="BG516" s="89" t="n">
        <v>21.1</v>
      </c>
      <c r="BH516" s="89" t="n">
        <v>-166</v>
      </c>
      <c r="BI516" s="89" t="n">
        <v>-566.6</v>
      </c>
      <c r="BJ516" s="89" t="n">
        <v>67.90000000000001</v>
      </c>
      <c r="BK516" s="89" t="n">
        <v>53.7</v>
      </c>
      <c r="BL516" s="89" t="n">
        <v>174.8</v>
      </c>
      <c r="BM516" s="89" t="n">
        <v>166.5</v>
      </c>
      <c r="BN516" s="90" t="inlineStr">
        <is>
          <t>N/A</t>
        </is>
      </c>
      <c r="BO516" s="89" t="n">
        <v>3556.9</v>
      </c>
      <c r="BP516" s="89" t="n">
        <v>2950.6</v>
      </c>
      <c r="BQ516" s="89" t="n">
        <v>0</v>
      </c>
      <c r="BR516" s="89" t="n">
        <v>0</v>
      </c>
      <c r="BS516" s="90" t="inlineStr">
        <is>
          <t>N/A</t>
        </is>
      </c>
      <c r="BT516" s="90" t="inlineStr">
        <is>
          <t>N/A</t>
        </is>
      </c>
      <c r="BU516" s="89" t="n">
        <v>0</v>
      </c>
      <c r="BV516" s="89" t="n">
        <v>0</v>
      </c>
      <c r="BW516" s="89" t="n">
        <v>0</v>
      </c>
      <c r="BX516" s="89" t="n">
        <v>0</v>
      </c>
      <c r="BY516" s="89" t="n">
        <v>-0</v>
      </c>
    </row>
    <row r="517" ht="17" customHeight="1">
      <c r="A517" s="82" t="n">
        <v>515</v>
      </c>
      <c r="B517" s="83" t="inlineStr">
        <is>
          <t>BOKF</t>
        </is>
      </c>
      <c r="C517" s="84" t="inlineStr">
        <is>
          <t>BOK FINANCIAL CORP</t>
        </is>
      </c>
      <c r="D517" s="82" t="inlineStr">
        <is>
          <t>Financials</t>
        </is>
      </c>
      <c r="E517" s="82" t="n">
        <v>2026</v>
      </c>
      <c r="F517" s="85" t="n">
        <v>52237.5</v>
      </c>
      <c r="G517" s="91" t="inlineStr">
        <is>
          <t>N/A</t>
        </is>
      </c>
      <c r="H517" s="91" t="inlineStr">
        <is>
          <t>N/A</t>
        </is>
      </c>
      <c r="I517" s="85" t="n">
        <v>46316.8</v>
      </c>
      <c r="J517" s="85" t="n">
        <v>6022.6</v>
      </c>
      <c r="K517" s="85" t="n">
        <v>740.6</v>
      </c>
      <c r="L517" s="91" t="inlineStr">
        <is>
          <t>N/A</t>
        </is>
      </c>
      <c r="M517" s="85" t="n">
        <v>578</v>
      </c>
      <c r="N517" s="85" t="n">
        <v>739.6</v>
      </c>
      <c r="O517" s="91" t="inlineStr">
        <is>
          <t>N/A</t>
        </is>
      </c>
      <c r="P517" s="85" t="n">
        <v>4634.2</v>
      </c>
      <c r="Q517" s="85" t="n">
        <v>5918.6</v>
      </c>
      <c r="R517" s="91" t="inlineStr">
        <is>
          <t>N/A</t>
        </is>
      </c>
      <c r="S517" s="85" t="n">
        <v>74.40000000000001</v>
      </c>
      <c r="T517" s="91" t="inlineStr">
        <is>
          <t>N/A</t>
        </is>
      </c>
      <c r="U517" s="85" t="n">
        <v>638.9</v>
      </c>
      <c r="V517" s="85" t="n">
        <v>1070.3</v>
      </c>
      <c r="W517" s="85" t="n">
        <v>49685.9</v>
      </c>
      <c r="X517" s="91" t="inlineStr">
        <is>
          <t>N/A</t>
        </is>
      </c>
      <c r="Y517" s="91" t="inlineStr">
        <is>
          <t>N/A</t>
        </is>
      </c>
      <c r="Z517" s="85" t="n">
        <v>44134.9</v>
      </c>
      <c r="AA517" s="85" t="n">
        <v>666.6</v>
      </c>
      <c r="AB517" s="91" t="inlineStr">
        <is>
          <t>N/A</t>
        </is>
      </c>
      <c r="AC517" s="85" t="n">
        <v>523.6</v>
      </c>
      <c r="AD517" s="85" t="n">
        <v>1430.5</v>
      </c>
      <c r="AE517" s="91" t="inlineStr">
        <is>
          <t>N/A</t>
        </is>
      </c>
      <c r="AF517" s="85" t="n">
        <v>4454.2</v>
      </c>
      <c r="AG517" s="85" t="n">
        <v>5548.4</v>
      </c>
      <c r="AH517" s="91" t="inlineStr">
        <is>
          <t>N/A</t>
        </is>
      </c>
      <c r="AI517" s="85" t="n">
        <v>49685.9</v>
      </c>
      <c r="AJ517" s="85" t="n">
        <v>740.6</v>
      </c>
      <c r="AK517" s="85" t="n">
        <v>666.6</v>
      </c>
      <c r="AL517" s="85" t="n">
        <v>162.6</v>
      </c>
      <c r="AM517" s="85" t="n">
        <v>143.1</v>
      </c>
      <c r="AN517" s="85" t="n">
        <v>164.4</v>
      </c>
      <c r="AO517" s="85" t="n">
        <v>171.6</v>
      </c>
      <c r="AP517" s="91" t="inlineStr">
        <is>
          <t>N/A</t>
        </is>
      </c>
      <c r="AQ517" s="91" t="inlineStr">
        <is>
          <t>N/A</t>
        </is>
      </c>
      <c r="AR517" s="85" t="n">
        <v>1044.7</v>
      </c>
      <c r="AS517" s="85" t="n">
        <v>34.8</v>
      </c>
      <c r="AT517" s="91" t="inlineStr">
        <is>
          <t>N/A</t>
        </is>
      </c>
      <c r="AU517" s="91" t="inlineStr">
        <is>
          <t>N/A</t>
        </is>
      </c>
      <c r="AV517" s="85" t="n">
        <v>2837.4</v>
      </c>
      <c r="AW517" s="85" t="n">
        <v>1180.6</v>
      </c>
      <c r="AX517" s="85" t="n">
        <v>4634.2</v>
      </c>
      <c r="AY517" s="85" t="n">
        <v>4454.2</v>
      </c>
      <c r="AZ517" s="85" t="n">
        <v>1796.8</v>
      </c>
      <c r="BA517" s="85" t="n">
        <v>575.2</v>
      </c>
      <c r="BB517" s="85" t="n">
        <v>60.6</v>
      </c>
      <c r="BC517" s="85" t="n">
        <v>76.8</v>
      </c>
      <c r="BD517" s="91" t="inlineStr">
        <is>
          <t>N/A</t>
        </is>
      </c>
      <c r="BE517" s="85" t="n">
        <v>634.5</v>
      </c>
      <c r="BF517" s="91" t="inlineStr">
        <is>
          <t>N/A</t>
        </is>
      </c>
      <c r="BG517" s="85" t="n">
        <v>68.5</v>
      </c>
      <c r="BH517" s="85" t="n">
        <v>-1521.7</v>
      </c>
      <c r="BI517" s="85" t="n">
        <v>-477.2</v>
      </c>
      <c r="BJ517" s="91" t="inlineStr">
        <is>
          <t>N/A</t>
        </is>
      </c>
      <c r="BK517" s="91" t="inlineStr">
        <is>
          <t>N/A</t>
        </is>
      </c>
      <c r="BL517" s="91" t="inlineStr">
        <is>
          <t>N/A</t>
        </is>
      </c>
      <c r="BM517" s="91" t="inlineStr">
        <is>
          <t>N/A</t>
        </is>
      </c>
      <c r="BN517" s="91" t="inlineStr">
        <is>
          <t>N/A</t>
        </is>
      </c>
      <c r="BO517" s="91" t="inlineStr">
        <is>
          <t>N/A</t>
        </is>
      </c>
      <c r="BP517" s="91" t="inlineStr">
        <is>
          <t>N/A</t>
        </is>
      </c>
      <c r="BQ517" s="91" t="inlineStr">
        <is>
          <t>N/A</t>
        </is>
      </c>
      <c r="BR517" s="91" t="inlineStr">
        <is>
          <t>N/A</t>
        </is>
      </c>
      <c r="BS517" s="91" t="inlineStr">
        <is>
          <t>N/A</t>
        </is>
      </c>
      <c r="BT517" s="91" t="inlineStr">
        <is>
          <t>N/A</t>
        </is>
      </c>
      <c r="BU517" s="91" t="inlineStr">
        <is>
          <t>N/A</t>
        </is>
      </c>
      <c r="BV517" s="91" t="inlineStr">
        <is>
          <t>N/A</t>
        </is>
      </c>
      <c r="BW517" s="85" t="n">
        <v>0</v>
      </c>
      <c r="BX517" s="91" t="inlineStr">
        <is>
          <t>N/A</t>
        </is>
      </c>
      <c r="BY517" s="85" t="n">
        <v>0</v>
      </c>
    </row>
    <row r="518" ht="17" customHeight="1">
      <c r="A518" s="86" t="n">
        <v>516</v>
      </c>
      <c r="B518" s="87" t="inlineStr">
        <is>
          <t>GRMN</t>
        </is>
      </c>
      <c r="C518" s="88" t="inlineStr">
        <is>
          <t>GARMIN LTD</t>
        </is>
      </c>
      <c r="D518" s="86" t="inlineStr">
        <is>
          <t>Information Technology</t>
        </is>
      </c>
      <c r="E518" s="86" t="n">
        <v>2026</v>
      </c>
      <c r="F518" s="89" t="n">
        <v>10993.7</v>
      </c>
      <c r="G518" s="89" t="n">
        <v>6248.2</v>
      </c>
      <c r="H518" s="89" t="n">
        <v>1720.1</v>
      </c>
      <c r="I518" s="89" t="n">
        <v>10993.7</v>
      </c>
      <c r="J518" s="89" t="n">
        <v>6970.2</v>
      </c>
      <c r="K518" s="89" t="n">
        <v>1876.1</v>
      </c>
      <c r="L518" s="89" t="n">
        <v>7245.5</v>
      </c>
      <c r="M518" s="89" t="n">
        <v>1663.9</v>
      </c>
      <c r="N518" s="89" t="n">
        <v>1633.4</v>
      </c>
      <c r="O518" s="89" t="n">
        <v>4256.3</v>
      </c>
      <c r="P518" s="90" t="inlineStr">
        <is>
          <t>N/A</t>
        </is>
      </c>
      <c r="Q518" s="89" t="n">
        <v>8972.6</v>
      </c>
      <c r="R518" s="89" t="n">
        <v>1254</v>
      </c>
      <c r="S518" s="89" t="n">
        <v>152.6</v>
      </c>
      <c r="T518" s="89" t="n">
        <v>1253</v>
      </c>
      <c r="U518" s="89" t="n">
        <v>1375.3</v>
      </c>
      <c r="V518" s="89" t="n">
        <v>1.2</v>
      </c>
      <c r="W518" s="89" t="n">
        <v>9630.5</v>
      </c>
      <c r="X518" s="89" t="n">
        <v>5336.2</v>
      </c>
      <c r="Y518" s="89" t="n">
        <v>1507.9</v>
      </c>
      <c r="Z518" s="89" t="n">
        <v>9630.5</v>
      </c>
      <c r="AA518" s="89" t="n">
        <v>1594</v>
      </c>
      <c r="AB518" s="89" t="n">
        <v>6296.9</v>
      </c>
      <c r="AC518" s="89" t="n">
        <v>1411.4</v>
      </c>
      <c r="AD518" s="89" t="n">
        <v>1432.5</v>
      </c>
      <c r="AE518" s="89" t="n">
        <v>3696.6</v>
      </c>
      <c r="AF518" s="90" t="inlineStr">
        <is>
          <t>N/A</t>
        </is>
      </c>
      <c r="AG518" s="89" t="n">
        <v>7848.4</v>
      </c>
      <c r="AH518" s="89" t="n">
        <v>6296.9</v>
      </c>
      <c r="AI518" s="89" t="n">
        <v>9630.5</v>
      </c>
      <c r="AJ518" s="89" t="n">
        <v>2014.5</v>
      </c>
      <c r="AK518" s="89" t="n">
        <v>1695.4</v>
      </c>
      <c r="AL518" s="89" t="n">
        <v>350.6</v>
      </c>
      <c r="AM518" s="89" t="n">
        <v>284</v>
      </c>
      <c r="AN518" s="89" t="n">
        <v>270.4</v>
      </c>
      <c r="AO518" s="89" t="n">
        <v>193.6</v>
      </c>
      <c r="AP518" s="89" t="n">
        <v>1772.3</v>
      </c>
      <c r="AQ518" s="89" t="n">
        <v>1474</v>
      </c>
      <c r="AR518" s="89" t="n">
        <v>760.2</v>
      </c>
      <c r="AS518" s="90" t="inlineStr">
        <is>
          <t>N/A</t>
        </is>
      </c>
      <c r="AT518" s="90" t="inlineStr">
        <is>
          <t>N/A</t>
        </is>
      </c>
      <c r="AU518" s="89" t="n">
        <v>1126.2</v>
      </c>
      <c r="AV518" s="89" t="n">
        <v>2278.6</v>
      </c>
      <c r="AW518" s="89" t="n">
        <v>2079.5</v>
      </c>
      <c r="AX518" s="90" t="inlineStr">
        <is>
          <t>N/A</t>
        </is>
      </c>
      <c r="AY518" s="90" t="inlineStr">
        <is>
          <t>N/A</t>
        </is>
      </c>
      <c r="AZ518" s="90" t="inlineStr">
        <is>
          <t>N/A</t>
        </is>
      </c>
      <c r="BA518" s="89" t="n">
        <v>1362.9</v>
      </c>
      <c r="BB518" s="89" t="n">
        <v>192.6</v>
      </c>
      <c r="BC518" s="89" t="n">
        <v>192.5</v>
      </c>
      <c r="BD518" s="89" t="n">
        <v>983.4</v>
      </c>
      <c r="BE518" s="89" t="n">
        <v>1236.9</v>
      </c>
      <c r="BF518" s="89" t="n">
        <v>1109</v>
      </c>
      <c r="BG518" s="89" t="n">
        <v>140.5</v>
      </c>
      <c r="BH518" s="89" t="n">
        <v>-645.2</v>
      </c>
      <c r="BI518" s="89" t="n">
        <v>-393.3</v>
      </c>
      <c r="BJ518" s="89" t="n">
        <v>347.5</v>
      </c>
      <c r="BK518" s="89" t="n">
        <v>359.4</v>
      </c>
      <c r="BL518" s="89" t="n">
        <v>139.7</v>
      </c>
      <c r="BM518" s="89" t="n">
        <v>146.6</v>
      </c>
      <c r="BN518" s="89" t="n">
        <v>381.5</v>
      </c>
      <c r="BO518" s="89" t="n">
        <v>2989.2</v>
      </c>
      <c r="BP518" s="89" t="n">
        <v>2600.3</v>
      </c>
      <c r="BQ518" s="89" t="n">
        <v>0</v>
      </c>
      <c r="BR518" s="89" t="n">
        <v>0</v>
      </c>
      <c r="BS518" s="89" t="n">
        <v>0</v>
      </c>
      <c r="BT518" s="89" t="n">
        <v>0</v>
      </c>
      <c r="BU518" s="89" t="n">
        <v>0</v>
      </c>
      <c r="BV518" s="89" t="n">
        <v>0</v>
      </c>
      <c r="BW518" s="89" t="n">
        <v>0</v>
      </c>
      <c r="BX518" s="89" t="n">
        <v>0</v>
      </c>
      <c r="BY518" s="89" t="n">
        <v>0</v>
      </c>
    </row>
    <row r="519" ht="17" customHeight="1">
      <c r="A519" s="82" t="n">
        <v>517</v>
      </c>
      <c r="B519" s="83" t="inlineStr">
        <is>
          <t>PLTR</t>
        </is>
      </c>
      <c r="C519" s="84" t="inlineStr">
        <is>
          <t>Palantir Technologies Inc.</t>
        </is>
      </c>
      <c r="D519" s="82" t="inlineStr">
        <is>
          <t>Information Technology</t>
        </is>
      </c>
      <c r="E519" s="82" t="n">
        <v>2026</v>
      </c>
      <c r="F519" s="85" t="n">
        <v>8900.4</v>
      </c>
      <c r="G519" s="85" t="n">
        <v>8358.200000000001</v>
      </c>
      <c r="H519" s="85" t="n">
        <v>1175.6</v>
      </c>
      <c r="I519" s="85" t="n">
        <v>1412.4</v>
      </c>
      <c r="J519" s="85" t="n">
        <v>-3562.4</v>
      </c>
      <c r="K519" s="85" t="n">
        <v>1414</v>
      </c>
      <c r="L519" s="85" t="n">
        <v>4475.4</v>
      </c>
      <c r="M519" s="85" t="n">
        <v>1625</v>
      </c>
      <c r="N519" s="85" t="n">
        <v>2134.5</v>
      </c>
      <c r="O519" s="85" t="n">
        <v>3686.3</v>
      </c>
      <c r="P519" s="91" t="inlineStr">
        <is>
          <t>N/A</t>
        </is>
      </c>
      <c r="Q519" s="85" t="n">
        <v>7387.3</v>
      </c>
      <c r="R519" s="85" t="n">
        <v>657.7</v>
      </c>
      <c r="S519" s="85" t="n">
        <v>26.1</v>
      </c>
      <c r="T519" s="85" t="n">
        <v>1042.1</v>
      </c>
      <c r="U519" s="85" t="n">
        <v>52</v>
      </c>
      <c r="V519" s="85" t="n">
        <v>3.5</v>
      </c>
      <c r="W519" s="85" t="n">
        <v>6340.9</v>
      </c>
      <c r="X519" s="85" t="n">
        <v>5934.3</v>
      </c>
      <c r="Y519" s="85" t="n">
        <v>996</v>
      </c>
      <c r="Z519" s="85" t="n">
        <v>1246.5</v>
      </c>
      <c r="AA519" s="85" t="n">
        <v>310.4</v>
      </c>
      <c r="AB519" s="85" t="n">
        <v>2865.5</v>
      </c>
      <c r="AC519" s="85" t="n">
        <v>462.2</v>
      </c>
      <c r="AD519" s="85" t="n">
        <v>1153.9</v>
      </c>
      <c r="AE519" s="85" t="n">
        <v>2299.5</v>
      </c>
      <c r="AF519" s="85" t="n">
        <v>198</v>
      </c>
      <c r="AG519" s="85" t="n">
        <v>5003.3</v>
      </c>
      <c r="AH519" s="85" t="n">
        <v>2865.5</v>
      </c>
      <c r="AI519" s="85" t="n">
        <v>6340.9</v>
      </c>
      <c r="AJ519" s="85" t="n">
        <v>1657.4</v>
      </c>
      <c r="AK519" s="85" t="n">
        <v>489.2</v>
      </c>
      <c r="AL519" s="85" t="n">
        <v>22.7</v>
      </c>
      <c r="AM519" s="85" t="n">
        <v>21.3</v>
      </c>
      <c r="AN519" s="85" t="n">
        <v>33.9</v>
      </c>
      <c r="AO519" s="85" t="n">
        <v>12.6</v>
      </c>
      <c r="AP519" s="91" t="inlineStr">
        <is>
          <t>N/A</t>
        </is>
      </c>
      <c r="AQ519" s="91" t="inlineStr">
        <is>
          <t>N/A</t>
        </is>
      </c>
      <c r="AR519" s="85" t="n">
        <v>37.9</v>
      </c>
      <c r="AS519" s="85" t="n">
        <v>18.1</v>
      </c>
      <c r="AT519" s="91" t="inlineStr">
        <is>
          <t>N/A</t>
        </is>
      </c>
      <c r="AU519" s="85" t="n">
        <v>557.7</v>
      </c>
      <c r="AV519" s="85" t="n">
        <v>1423.8</v>
      </c>
      <c r="AW519" s="85" t="n">
        <v>2098.5</v>
      </c>
      <c r="AX519" s="91" t="inlineStr">
        <is>
          <t>N/A</t>
        </is>
      </c>
      <c r="AY519" s="85" t="n">
        <v>198</v>
      </c>
      <c r="AZ519" s="85" t="n">
        <v>-1423.8</v>
      </c>
      <c r="BA519" s="85" t="n">
        <v>2100.6</v>
      </c>
      <c r="BB519" s="85" t="n">
        <v>2391.2</v>
      </c>
      <c r="BC519" s="85" t="n">
        <v>2338.8</v>
      </c>
      <c r="BD519" s="85" t="n">
        <v>575</v>
      </c>
      <c r="BE519" s="85" t="n">
        <v>39.6</v>
      </c>
      <c r="BF519" s="85" t="n">
        <v>593.5</v>
      </c>
      <c r="BG519" s="85" t="n">
        <v>31.6</v>
      </c>
      <c r="BH519" s="85" t="n">
        <v>-2783.6</v>
      </c>
      <c r="BI519" s="85" t="n">
        <v>-340.7</v>
      </c>
      <c r="BJ519" s="85" t="n">
        <v>8.1</v>
      </c>
      <c r="BK519" s="85" t="n">
        <v>0.1</v>
      </c>
      <c r="BL519" s="85" t="n">
        <v>409</v>
      </c>
      <c r="BM519" s="85" t="n">
        <v>259.6</v>
      </c>
      <c r="BN519" s="85" t="n">
        <v>42.2</v>
      </c>
      <c r="BO519" s="85" t="n">
        <v>789.2</v>
      </c>
      <c r="BP519" s="85" t="n">
        <v>566</v>
      </c>
      <c r="BQ519" s="85" t="n">
        <v>0</v>
      </c>
      <c r="BR519" s="85" t="n">
        <v>0</v>
      </c>
      <c r="BS519" s="91" t="inlineStr">
        <is>
          <t>N/A</t>
        </is>
      </c>
      <c r="BT519" s="91" t="inlineStr">
        <is>
          <t>N/A</t>
        </is>
      </c>
      <c r="BU519" s="85" t="n">
        <v>0</v>
      </c>
      <c r="BV519" s="85" t="n">
        <v>0</v>
      </c>
      <c r="BW519" s="85" t="n">
        <v>0</v>
      </c>
      <c r="BX519" s="85" t="n">
        <v>0</v>
      </c>
      <c r="BY519" s="85" t="n">
        <v>0</v>
      </c>
    </row>
    <row r="520" ht="17" customHeight="1">
      <c r="A520" s="86" t="n">
        <v>518</v>
      </c>
      <c r="B520" s="87" t="inlineStr">
        <is>
          <t>NDAQ</t>
        </is>
      </c>
      <c r="C520" s="88" t="inlineStr">
        <is>
          <t>Nasdaq, Inc.</t>
        </is>
      </c>
      <c r="D520" s="86" t="inlineStr">
        <is>
          <t>Financials</t>
        </is>
      </c>
      <c r="E520" s="86" t="n">
        <v>2026</v>
      </c>
      <c r="F520" s="89" t="n">
        <v>31053</v>
      </c>
      <c r="G520" s="89" t="n">
        <v>8003</v>
      </c>
      <c r="H520" s="89" t="n">
        <v>7961</v>
      </c>
      <c r="I520" s="89" t="n">
        <v>18821</v>
      </c>
      <c r="J520" s="89" t="n">
        <v>9588</v>
      </c>
      <c r="K520" s="89" t="n">
        <v>2331</v>
      </c>
      <c r="L520" s="89" t="n">
        <v>4277</v>
      </c>
      <c r="M520" s="89" t="n">
        <v>1788</v>
      </c>
      <c r="N520" s="89" t="n">
        <v>2255</v>
      </c>
      <c r="O520" s="89" t="n">
        <v>5249</v>
      </c>
      <c r="P520" s="89" t="n">
        <v>8573</v>
      </c>
      <c r="Q520" s="89" t="n">
        <v>12227</v>
      </c>
      <c r="R520" s="89" t="n">
        <v>75</v>
      </c>
      <c r="S520" s="89" t="n">
        <v>632</v>
      </c>
      <c r="T520" s="89" t="n">
        <v>943</v>
      </c>
      <c r="U520" s="89" t="n">
        <v>728</v>
      </c>
      <c r="V520" s="89" t="n">
        <v>284</v>
      </c>
      <c r="W520" s="89" t="n">
        <v>30395</v>
      </c>
      <c r="X520" s="89" t="n">
        <v>7786</v>
      </c>
      <c r="Y520" s="89" t="n">
        <v>7902</v>
      </c>
      <c r="Z520" s="89" t="n">
        <v>19195</v>
      </c>
      <c r="AA520" s="89" t="n">
        <v>1798</v>
      </c>
      <c r="AB520" s="89" t="n">
        <v>3965</v>
      </c>
      <c r="AC520" s="89" t="n">
        <v>1117</v>
      </c>
      <c r="AD520" s="89" t="n">
        <v>1939</v>
      </c>
      <c r="AE520" s="89" t="n">
        <v>4649</v>
      </c>
      <c r="AF520" s="89" t="n">
        <v>9081</v>
      </c>
      <c r="AG520" s="89" t="n">
        <v>11191</v>
      </c>
      <c r="AH520" s="89" t="n">
        <v>3948</v>
      </c>
      <c r="AI520" s="89" t="n">
        <v>30395</v>
      </c>
      <c r="AJ520" s="89" t="n">
        <v>2145</v>
      </c>
      <c r="AK520" s="89" t="n">
        <v>1449</v>
      </c>
      <c r="AL520" s="89" t="n">
        <v>358</v>
      </c>
      <c r="AM520" s="89" t="n">
        <v>334</v>
      </c>
      <c r="AN520" s="89" t="n">
        <v>266</v>
      </c>
      <c r="AO520" s="89" t="n">
        <v>207</v>
      </c>
      <c r="AP520" s="90" t="inlineStr">
        <is>
          <t>N/A</t>
        </is>
      </c>
      <c r="AQ520" s="90" t="inlineStr">
        <is>
          <t>N/A</t>
        </is>
      </c>
      <c r="AR520" s="89" t="n">
        <v>14371</v>
      </c>
      <c r="AS520" s="89" t="n">
        <v>5272</v>
      </c>
      <c r="AT520" s="89" t="n">
        <v>431</v>
      </c>
      <c r="AU520" s="90" t="inlineStr">
        <is>
          <t>N/A</t>
        </is>
      </c>
      <c r="AV520" s="89" t="n">
        <v>604</v>
      </c>
      <c r="AW520" s="89" t="n">
        <v>592</v>
      </c>
      <c r="AX520" s="89" t="n">
        <v>9004</v>
      </c>
      <c r="AY520" s="89" t="n">
        <v>9480</v>
      </c>
      <c r="AZ520" s="89" t="n">
        <v>8400</v>
      </c>
      <c r="BA520" s="89" t="n">
        <v>1989</v>
      </c>
      <c r="BB520" s="89" t="n">
        <v>569.9</v>
      </c>
      <c r="BC520" s="89" t="n">
        <v>575.1</v>
      </c>
      <c r="BD520" s="89" t="n">
        <v>1022</v>
      </c>
      <c r="BE520" s="89" t="n">
        <v>593</v>
      </c>
      <c r="BF520" s="89" t="n">
        <v>109</v>
      </c>
      <c r="BG520" s="89" t="n">
        <v>613</v>
      </c>
      <c r="BH520" s="89" t="n">
        <v>-1100</v>
      </c>
      <c r="BI520" s="89" t="n">
        <v>-953</v>
      </c>
      <c r="BJ520" s="89" t="n">
        <v>280</v>
      </c>
      <c r="BK520" s="89" t="n">
        <v>269</v>
      </c>
      <c r="BL520" s="89" t="n">
        <v>189</v>
      </c>
      <c r="BM520" s="89" t="n">
        <v>162</v>
      </c>
      <c r="BN520" s="90" t="inlineStr">
        <is>
          <t>N/A</t>
        </is>
      </c>
      <c r="BO520" s="89" t="n">
        <v>3013</v>
      </c>
      <c r="BP520" s="89" t="n">
        <v>2751</v>
      </c>
      <c r="BQ520" s="89" t="n">
        <v>0</v>
      </c>
      <c r="BR520" s="89" t="n">
        <v>0</v>
      </c>
      <c r="BS520" s="90" t="inlineStr">
        <is>
          <t>N/A</t>
        </is>
      </c>
      <c r="BT520" s="90" t="inlineStr">
        <is>
          <t>N/A</t>
        </is>
      </c>
      <c r="BU520" s="89" t="n">
        <v>0</v>
      </c>
      <c r="BV520" s="89" t="n">
        <v>0</v>
      </c>
      <c r="BW520" s="89" t="n">
        <v>0</v>
      </c>
      <c r="BX520" s="89" t="n">
        <v>0</v>
      </c>
      <c r="BY520" s="89" t="n">
        <v>0</v>
      </c>
    </row>
    <row r="521" ht="17" customHeight="1">
      <c r="A521" s="82" t="n">
        <v>519</v>
      </c>
      <c r="B521" s="83" t="inlineStr">
        <is>
          <t>SPG</t>
        </is>
      </c>
      <c r="C521" s="84" t="inlineStr">
        <is>
          <t>SIMON PROPERTY GROUP, INC.</t>
        </is>
      </c>
      <c r="D521" s="82" t="inlineStr">
        <is>
          <t>Real Estate</t>
        </is>
      </c>
      <c r="E521" s="82" t="n">
        <v>2026</v>
      </c>
      <c r="F521" s="85" t="n">
        <v>40606.5</v>
      </c>
      <c r="G521" s="91" t="inlineStr">
        <is>
          <t>N/A</t>
        </is>
      </c>
      <c r="H521" s="91" t="inlineStr">
        <is>
          <t>N/A</t>
        </is>
      </c>
      <c r="I521" s="85" t="n">
        <v>33901.1</v>
      </c>
      <c r="J521" s="85" t="n">
        <v>-4608.1</v>
      </c>
      <c r="K521" s="85" t="n">
        <v>3175.4</v>
      </c>
      <c r="L521" s="85" t="n">
        <v>6364.5</v>
      </c>
      <c r="M521" s="85" t="n">
        <v>5364.1</v>
      </c>
      <c r="N521" s="85" t="n">
        <v>4136.6</v>
      </c>
      <c r="O521" s="91" t="inlineStr">
        <is>
          <t>N/A</t>
        </is>
      </c>
      <c r="P521" s="85" t="n">
        <v>28430.2</v>
      </c>
      <c r="Q521" s="85" t="n">
        <v>5208.3</v>
      </c>
      <c r="R521" s="85" t="n">
        <v>60.9</v>
      </c>
      <c r="S521" s="85" t="n">
        <v>1426.4</v>
      </c>
      <c r="T521" s="91" t="inlineStr">
        <is>
          <t>N/A</t>
        </is>
      </c>
      <c r="U521" s="91" t="inlineStr">
        <is>
          <t>N/A</t>
        </is>
      </c>
      <c r="V521" s="85" t="n">
        <v>974.8</v>
      </c>
      <c r="W521" s="85" t="n">
        <v>32405.7</v>
      </c>
      <c r="X521" s="91" t="inlineStr">
        <is>
          <t>N/A</t>
        </is>
      </c>
      <c r="Y521" s="91" t="inlineStr">
        <is>
          <t>N/A</t>
        </is>
      </c>
      <c r="Z521" s="85" t="n">
        <v>28806.2</v>
      </c>
      <c r="AA521" s="85" t="n">
        <v>890.7</v>
      </c>
      <c r="AB521" s="85" t="n">
        <v>1791.5</v>
      </c>
      <c r="AC521" s="85" t="n">
        <v>3539.9</v>
      </c>
      <c r="AD521" s="85" t="n">
        <v>3814.7</v>
      </c>
      <c r="AE521" s="91" t="inlineStr">
        <is>
          <t>N/A</t>
        </is>
      </c>
      <c r="AF521" s="85" t="n">
        <v>24264.5</v>
      </c>
      <c r="AG521" s="85" t="n">
        <v>2941.9</v>
      </c>
      <c r="AH521" s="85" t="n">
        <v>1601.6</v>
      </c>
      <c r="AI521" s="85" t="n">
        <v>32405.7</v>
      </c>
      <c r="AJ521" s="91" t="inlineStr">
        <is>
          <t>N/A</t>
        </is>
      </c>
      <c r="AK521" s="91" t="inlineStr">
        <is>
          <t>N/A</t>
        </is>
      </c>
      <c r="AL521" s="85" t="n">
        <v>20.3</v>
      </c>
      <c r="AM521" s="85" t="n">
        <v>9.300000000000001</v>
      </c>
      <c r="AN521" s="85" t="n">
        <v>934.3</v>
      </c>
      <c r="AO521" s="85" t="n">
        <v>755.6</v>
      </c>
      <c r="AP521" s="91" t="inlineStr">
        <is>
          <t>N/A</t>
        </is>
      </c>
      <c r="AQ521" s="91" t="inlineStr">
        <is>
          <t>N/A</t>
        </is>
      </c>
      <c r="AR521" s="85" t="n">
        <v>20.1</v>
      </c>
      <c r="AS521" s="91" t="inlineStr">
        <is>
          <t>N/A</t>
        </is>
      </c>
      <c r="AT521" s="91" t="inlineStr">
        <is>
          <t>N/A</t>
        </is>
      </c>
      <c r="AU521" s="91" t="inlineStr">
        <is>
          <t>N/A</t>
        </is>
      </c>
      <c r="AV521" s="85" t="n">
        <v>823.1</v>
      </c>
      <c r="AW521" s="85" t="n">
        <v>1400.3</v>
      </c>
      <c r="AX521" s="85" t="n">
        <v>28430.2</v>
      </c>
      <c r="AY521" s="85" t="n">
        <v>24264.5</v>
      </c>
      <c r="AZ521" s="85" t="n">
        <v>27607</v>
      </c>
      <c r="BA521" s="85" t="n">
        <v>3202.2</v>
      </c>
      <c r="BB521" s="85" t="n">
        <v>0</v>
      </c>
      <c r="BC521" s="85" t="n">
        <v>0</v>
      </c>
      <c r="BD521" s="91" t="inlineStr">
        <is>
          <t>N/A</t>
        </is>
      </c>
      <c r="BE521" s="91" t="inlineStr">
        <is>
          <t>N/A</t>
        </is>
      </c>
      <c r="BF521" s="85" t="n">
        <v>44.7</v>
      </c>
      <c r="BG521" s="85" t="n">
        <v>1265.3</v>
      </c>
      <c r="BH521" s="85" t="n">
        <v>-1600.7</v>
      </c>
      <c r="BI521" s="85" t="n">
        <v>1408.3</v>
      </c>
      <c r="BJ521" s="91" t="inlineStr">
        <is>
          <t>N/A</t>
        </is>
      </c>
      <c r="BK521" s="91" t="inlineStr">
        <is>
          <t>N/A</t>
        </is>
      </c>
      <c r="BL521" s="91" t="inlineStr">
        <is>
          <t>N/A</t>
        </is>
      </c>
      <c r="BM521" s="91" t="inlineStr">
        <is>
          <t>N/A</t>
        </is>
      </c>
      <c r="BN521" s="91" t="inlineStr">
        <is>
          <t>N/A</t>
        </is>
      </c>
      <c r="BO521" s="91" t="inlineStr">
        <is>
          <t>N/A</t>
        </is>
      </c>
      <c r="BP521" s="91" t="inlineStr">
        <is>
          <t>N/A</t>
        </is>
      </c>
      <c r="BQ521" s="91" t="inlineStr">
        <is>
          <t>N/A</t>
        </is>
      </c>
      <c r="BR521" s="91" t="inlineStr">
        <is>
          <t>N/A</t>
        </is>
      </c>
      <c r="BS521" s="91" t="inlineStr">
        <is>
          <t>N/A</t>
        </is>
      </c>
      <c r="BT521" s="91" t="inlineStr">
        <is>
          <t>N/A</t>
        </is>
      </c>
      <c r="BU521" s="91" t="inlineStr">
        <is>
          <t>N/A</t>
        </is>
      </c>
      <c r="BV521" s="91" t="inlineStr">
        <is>
          <t>N/A</t>
        </is>
      </c>
      <c r="BW521" s="85" t="n">
        <v>0</v>
      </c>
      <c r="BX521" s="85" t="n">
        <v>0</v>
      </c>
      <c r="BY521" s="91" t="inlineStr">
        <is>
          <t>N/A</t>
        </is>
      </c>
    </row>
    <row r="522" ht="17" customHeight="1">
      <c r="A522" s="86" t="n">
        <v>520</v>
      </c>
      <c r="B522" s="87" t="inlineStr">
        <is>
          <t>WING</t>
        </is>
      </c>
      <c r="C522" s="88" t="inlineStr">
        <is>
          <t>WINGSTOP INC.</t>
        </is>
      </c>
      <c r="D522" s="86" t="inlineStr">
        <is>
          <t>Consumer Discretionary</t>
        </is>
      </c>
      <c r="E522" s="86" t="n">
        <v>2026</v>
      </c>
      <c r="F522" s="89" t="n">
        <v>693.4</v>
      </c>
      <c r="G522" s="89" t="n">
        <v>267.5</v>
      </c>
      <c r="H522" s="89" t="n">
        <v>82</v>
      </c>
      <c r="I522" s="89" t="n">
        <v>1430.2</v>
      </c>
      <c r="J522" s="89" t="n">
        <v>-744.9</v>
      </c>
      <c r="K522" s="89" t="n">
        <v>179.3</v>
      </c>
      <c r="L522" s="89" t="n">
        <v>696.9</v>
      </c>
      <c r="M522" s="89" t="n">
        <v>174.3</v>
      </c>
      <c r="N522" s="89" t="n">
        <v>153.1</v>
      </c>
      <c r="O522" s="89" t="n">
        <v>605.2</v>
      </c>
      <c r="P522" s="89" t="n">
        <v>1220.9</v>
      </c>
      <c r="Q522" s="89" t="n">
        <v>-736.8</v>
      </c>
      <c r="R522" s="89" t="n">
        <v>128.4</v>
      </c>
      <c r="S522" s="89" t="n">
        <v>3.4</v>
      </c>
      <c r="T522" s="89" t="n">
        <v>20.8</v>
      </c>
      <c r="U522" s="89" t="n">
        <v>130.6</v>
      </c>
      <c r="V522" s="89" t="n">
        <v>7.6</v>
      </c>
      <c r="W522" s="89" t="n">
        <v>716.2</v>
      </c>
      <c r="X522" s="89" t="n">
        <v>395.6</v>
      </c>
      <c r="Y522" s="89" t="n">
        <v>87.40000000000001</v>
      </c>
      <c r="Z522" s="89" t="n">
        <v>1391.8</v>
      </c>
      <c r="AA522" s="89" t="n">
        <v>165.6</v>
      </c>
      <c r="AB522" s="89" t="n">
        <v>625.8</v>
      </c>
      <c r="AC522" s="89" t="n">
        <v>108.7</v>
      </c>
      <c r="AD522" s="89" t="n">
        <v>157.6</v>
      </c>
      <c r="AE522" s="89" t="n">
        <v>555.2</v>
      </c>
      <c r="AF522" s="89" t="n">
        <v>1220.9</v>
      </c>
      <c r="AG522" s="89" t="n">
        <v>-675.6</v>
      </c>
      <c r="AH522" s="89" t="n">
        <v>625.8</v>
      </c>
      <c r="AI522" s="89" t="n">
        <v>716.2</v>
      </c>
      <c r="AJ522" s="89" t="n">
        <v>237.2</v>
      </c>
      <c r="AK522" s="89" t="n">
        <v>147.2</v>
      </c>
      <c r="AL522" s="89" t="n">
        <v>62.9</v>
      </c>
      <c r="AM522" s="89" t="n">
        <v>38.5</v>
      </c>
      <c r="AN522" s="89" t="n">
        <v>47.4</v>
      </c>
      <c r="AO522" s="89" t="n">
        <v>51.9</v>
      </c>
      <c r="AP522" s="89" t="n">
        <v>0.5</v>
      </c>
      <c r="AQ522" s="89" t="n">
        <v>0.4</v>
      </c>
      <c r="AR522" s="89" t="n">
        <v>83.90000000000001</v>
      </c>
      <c r="AS522" s="89" t="n">
        <v>13.5</v>
      </c>
      <c r="AT522" s="90" t="inlineStr">
        <is>
          <t>N/A</t>
        </is>
      </c>
      <c r="AU522" s="90" t="inlineStr">
        <is>
          <t>N/A</t>
        </is>
      </c>
      <c r="AV522" s="89" t="n">
        <v>196.6</v>
      </c>
      <c r="AW522" s="89" t="n">
        <v>315.9</v>
      </c>
      <c r="AX522" s="89" t="n">
        <v>1220.9</v>
      </c>
      <c r="AY522" s="89" t="n">
        <v>1220.9</v>
      </c>
      <c r="AZ522" s="89" t="n">
        <v>1024.4</v>
      </c>
      <c r="BA522" s="89" t="n">
        <v>105.6</v>
      </c>
      <c r="BB522" s="89" t="n">
        <v>27.5</v>
      </c>
      <c r="BC522" s="89" t="n">
        <v>28.7</v>
      </c>
      <c r="BD522" s="89" t="n">
        <v>19.7</v>
      </c>
      <c r="BE522" s="89" t="n">
        <v>126</v>
      </c>
      <c r="BF522" s="89" t="n">
        <v>116.8</v>
      </c>
      <c r="BG522" s="89" t="n">
        <v>3</v>
      </c>
      <c r="BH522" s="89" t="n">
        <v>-17.5</v>
      </c>
      <c r="BI522" s="89" t="n">
        <v>-62.5</v>
      </c>
      <c r="BJ522" s="89" t="n">
        <v>12.8</v>
      </c>
      <c r="BK522" s="89" t="n">
        <v>6.9</v>
      </c>
      <c r="BL522" s="89" t="n">
        <v>2.6</v>
      </c>
      <c r="BM522" s="89" t="n">
        <v>2.3</v>
      </c>
      <c r="BN522" s="89" t="n">
        <v>2.9</v>
      </c>
      <c r="BO522" s="89" t="n">
        <v>91.59999999999999</v>
      </c>
      <c r="BP522" s="89" t="n">
        <v>70.59999999999999</v>
      </c>
      <c r="BQ522" s="89" t="n">
        <v>0</v>
      </c>
      <c r="BR522" s="89" t="n">
        <v>0</v>
      </c>
      <c r="BS522" s="89" t="n">
        <v>0</v>
      </c>
      <c r="BT522" s="89" t="n">
        <v>0</v>
      </c>
      <c r="BU522" s="89" t="n">
        <v>0</v>
      </c>
      <c r="BV522" s="89" t="n">
        <v>0</v>
      </c>
      <c r="BW522" s="89" t="n">
        <v>0</v>
      </c>
      <c r="BX522" s="89" t="n">
        <v>0</v>
      </c>
      <c r="BY522" s="89" t="n">
        <v>0</v>
      </c>
    </row>
    <row r="523" ht="17" customHeight="1">
      <c r="A523" s="82" t="n">
        <v>521</v>
      </c>
      <c r="B523" s="83" t="inlineStr">
        <is>
          <t>ANET</t>
        </is>
      </c>
      <c r="C523" s="84" t="inlineStr">
        <is>
          <t>Arista Networks, Inc.</t>
        </is>
      </c>
      <c r="D523" s="82" t="inlineStr">
        <is>
          <t>Information Technology</t>
        </is>
      </c>
      <c r="E523" s="82" t="n">
        <v>2026</v>
      </c>
      <c r="F523" s="85" t="n">
        <v>19448.6</v>
      </c>
      <c r="G523" s="85" t="n">
        <v>16387</v>
      </c>
      <c r="H523" s="85" t="n">
        <v>5376.5</v>
      </c>
      <c r="I523" s="85" t="n">
        <v>7078.1</v>
      </c>
      <c r="J523" s="85" t="n">
        <v>9446.6</v>
      </c>
      <c r="K523" s="85" t="n">
        <v>3856.1</v>
      </c>
      <c r="L523" s="85" t="n">
        <v>9005.700000000001</v>
      </c>
      <c r="M523" s="85" t="n">
        <v>3511.4</v>
      </c>
      <c r="N523" s="85" t="n">
        <v>4371.9</v>
      </c>
      <c r="O523" s="85" t="n">
        <v>5768.7</v>
      </c>
      <c r="P523" s="91" t="inlineStr">
        <is>
          <t>N/A</t>
        </is>
      </c>
      <c r="Q523" s="85" t="n">
        <v>12370.5</v>
      </c>
      <c r="R523" s="85" t="n">
        <v>141.9</v>
      </c>
      <c r="S523" s="85" t="n">
        <v>72.59999999999999</v>
      </c>
      <c r="T523" s="85" t="n">
        <v>1886.9</v>
      </c>
      <c r="U523" s="85" t="n">
        <v>203.1</v>
      </c>
      <c r="V523" s="85" t="n">
        <v>2.7</v>
      </c>
      <c r="W523" s="85" t="n">
        <v>14043.9</v>
      </c>
      <c r="X523" s="85" t="n">
        <v>11910.8</v>
      </c>
      <c r="Y523" s="85" t="n">
        <v>2732.2</v>
      </c>
      <c r="Z523" s="85" t="n">
        <v>4049.1</v>
      </c>
      <c r="AA523" s="85" t="n">
        <v>2944.6</v>
      </c>
      <c r="AB523" s="85" t="n">
        <v>7003.1</v>
      </c>
      <c r="AC523" s="85" t="n">
        <v>2852.1</v>
      </c>
      <c r="AD523" s="85" t="n">
        <v>3708.2</v>
      </c>
      <c r="AE523" s="85" t="n">
        <v>4491.3</v>
      </c>
      <c r="AF523" s="91" t="inlineStr">
        <is>
          <t>N/A</t>
        </is>
      </c>
      <c r="AG523" s="85" t="n">
        <v>9994.799999999999</v>
      </c>
      <c r="AH523" s="85" t="n">
        <v>7003.1</v>
      </c>
      <c r="AI523" s="85" t="n">
        <v>14043.9</v>
      </c>
      <c r="AJ523" s="85" t="n">
        <v>4249.7</v>
      </c>
      <c r="AK523" s="85" t="n">
        <v>3265</v>
      </c>
      <c r="AL523" s="85" t="n">
        <v>738.3</v>
      </c>
      <c r="AM523" s="85" t="n">
        <v>413</v>
      </c>
      <c r="AN523" s="85" t="n">
        <v>15.8</v>
      </c>
      <c r="AO523" s="85" t="n">
        <v>23.8</v>
      </c>
      <c r="AP523" s="85" t="n">
        <v>2247.1</v>
      </c>
      <c r="AQ523" s="85" t="n">
        <v>1834.6</v>
      </c>
      <c r="AR523" s="85" t="n">
        <v>416.1</v>
      </c>
      <c r="AS523" s="85" t="n">
        <v>288.8</v>
      </c>
      <c r="AT523" s="85" t="n">
        <v>98.8</v>
      </c>
      <c r="AU523" s="85" t="n">
        <v>1237.3</v>
      </c>
      <c r="AV523" s="85" t="n">
        <v>1963.9</v>
      </c>
      <c r="AW523" s="85" t="n">
        <v>2762.4</v>
      </c>
      <c r="AX523" s="85" t="n">
        <v>98.8</v>
      </c>
      <c r="AY523" s="91" t="inlineStr">
        <is>
          <t>N/A</t>
        </is>
      </c>
      <c r="AZ523" s="85" t="n">
        <v>-1865.1</v>
      </c>
      <c r="BA523" s="85" t="n">
        <v>4356.1</v>
      </c>
      <c r="BB523" s="85" t="n">
        <v>1256.5</v>
      </c>
      <c r="BC523" s="85" t="n">
        <v>1261.3</v>
      </c>
      <c r="BD523" s="85" t="n">
        <v>1140.5</v>
      </c>
      <c r="BE523" s="85" t="n">
        <v>98.8</v>
      </c>
      <c r="BF523" s="85" t="n">
        <v>122.7</v>
      </c>
      <c r="BG523" s="85" t="n">
        <v>62</v>
      </c>
      <c r="BH523" s="85" t="n">
        <v>-3576.2</v>
      </c>
      <c r="BI523" s="85" t="n">
        <v>-2457.4</v>
      </c>
      <c r="BJ523" s="85" t="n">
        <v>651.7</v>
      </c>
      <c r="BK523" s="85" t="n">
        <v>381.1</v>
      </c>
      <c r="BL523" s="85" t="n">
        <v>327.7</v>
      </c>
      <c r="BM523" s="85" t="n">
        <v>273.4</v>
      </c>
      <c r="BN523" s="91" t="inlineStr">
        <is>
          <t>N/A</t>
        </is>
      </c>
      <c r="BO523" s="85" t="n">
        <v>3237</v>
      </c>
      <c r="BP523" s="85" t="n">
        <v>2511.8</v>
      </c>
      <c r="BQ523" s="85" t="n">
        <v>0</v>
      </c>
      <c r="BR523" s="85" t="n">
        <v>0</v>
      </c>
      <c r="BS523" s="85" t="n">
        <v>0</v>
      </c>
      <c r="BT523" s="85" t="n">
        <v>0</v>
      </c>
      <c r="BU523" s="85" t="n">
        <v>0</v>
      </c>
      <c r="BV523" s="85" t="n">
        <v>0</v>
      </c>
      <c r="BW523" s="85" t="n">
        <v>0</v>
      </c>
      <c r="BX523" s="85" t="n">
        <v>0</v>
      </c>
      <c r="BY523" s="85" t="n">
        <v>0</v>
      </c>
    </row>
    <row r="524" ht="17" customHeight="1">
      <c r="A524" s="86" t="n">
        <v>522</v>
      </c>
      <c r="B524" s="87" t="inlineStr">
        <is>
          <t>UHS</t>
        </is>
      </c>
      <c r="C524" s="88" t="inlineStr">
        <is>
          <t>UNIVERSAL HEALTH SERVICES, INC.</t>
        </is>
      </c>
      <c r="D524" s="86" t="inlineStr">
        <is>
          <t>Health Care</t>
        </is>
      </c>
      <c r="E524" s="86" t="n">
        <v>2026</v>
      </c>
      <c r="F524" s="89" t="n">
        <v>15527.6</v>
      </c>
      <c r="G524" s="89" t="n">
        <v>3407.9</v>
      </c>
      <c r="H524" s="89" t="n">
        <v>3239.6</v>
      </c>
      <c r="I524" s="89" t="n">
        <v>15527.6</v>
      </c>
      <c r="J524" s="89" t="n">
        <v>7992.8</v>
      </c>
      <c r="K524" s="89" t="n">
        <v>1994</v>
      </c>
      <c r="L524" s="89" t="n">
        <v>17364.8</v>
      </c>
      <c r="M524" s="89" t="n">
        <v>1488.8</v>
      </c>
      <c r="N524" s="89" t="n">
        <v>1864.4</v>
      </c>
      <c r="O524" s="89" t="n">
        <v>1994</v>
      </c>
      <c r="P524" s="89" t="n">
        <v>4752.6</v>
      </c>
      <c r="Q524" s="89" t="n">
        <v>7275.8</v>
      </c>
      <c r="R524" s="90" t="inlineStr">
        <is>
          <t>N/A</t>
        </is>
      </c>
      <c r="S524" s="89" t="n">
        <v>618.7</v>
      </c>
      <c r="T524" s="89" t="n">
        <v>2602.4</v>
      </c>
      <c r="U524" s="89" t="n">
        <v>7008.1</v>
      </c>
      <c r="V524" s="89" t="n">
        <v>156.1</v>
      </c>
      <c r="W524" s="89" t="n">
        <v>14469.7</v>
      </c>
      <c r="X524" s="89" t="n">
        <v>2816.3</v>
      </c>
      <c r="Y524" s="89" t="n">
        <v>2210.4</v>
      </c>
      <c r="Z524" s="89" t="n">
        <v>14469.7</v>
      </c>
      <c r="AA524" s="89" t="n">
        <v>1681.8</v>
      </c>
      <c r="AB524" s="89" t="n">
        <v>15827.9</v>
      </c>
      <c r="AC524" s="89" t="n">
        <v>1142.1</v>
      </c>
      <c r="AD524" s="89" t="n">
        <v>2067.1</v>
      </c>
      <c r="AE524" s="89" t="n">
        <v>1681.8</v>
      </c>
      <c r="AF524" s="89" t="n">
        <v>4504.5</v>
      </c>
      <c r="AG524" s="89" t="n">
        <v>6666.2</v>
      </c>
      <c r="AH524" s="89" t="n">
        <v>15827.9</v>
      </c>
      <c r="AI524" s="89" t="n">
        <v>14469.7</v>
      </c>
      <c r="AJ524" s="89" t="n">
        <v>1972.1</v>
      </c>
      <c r="AK524" s="89" t="n">
        <v>1497.9</v>
      </c>
      <c r="AL524" s="89" t="n">
        <v>461</v>
      </c>
      <c r="AM524" s="89" t="n">
        <v>334.8</v>
      </c>
      <c r="AN524" s="89" t="n">
        <v>1015.2</v>
      </c>
      <c r="AO524" s="89" t="n">
        <v>943.8</v>
      </c>
      <c r="AP524" s="90" t="inlineStr">
        <is>
          <t>N/A</t>
        </is>
      </c>
      <c r="AQ524" s="90" t="inlineStr">
        <is>
          <t>N/A</t>
        </is>
      </c>
      <c r="AR524" s="89" t="n">
        <v>3990.2</v>
      </c>
      <c r="AS524" s="89" t="n">
        <v>75.90000000000001</v>
      </c>
      <c r="AT524" s="89" t="n">
        <v>748.2</v>
      </c>
      <c r="AU524" s="90" t="inlineStr">
        <is>
          <t>N/A</t>
        </is>
      </c>
      <c r="AV524" s="89" t="n">
        <v>137.8</v>
      </c>
      <c r="AW524" s="89" t="n">
        <v>126</v>
      </c>
      <c r="AX524" s="89" t="n">
        <v>5500.7</v>
      </c>
      <c r="AY524" s="89" t="n">
        <v>4504.5</v>
      </c>
      <c r="AZ524" s="89" t="n">
        <v>5362.9</v>
      </c>
      <c r="BA524" s="89" t="n">
        <v>849.2</v>
      </c>
      <c r="BB524" s="90" t="inlineStr">
        <is>
          <t>N/A</t>
        </is>
      </c>
      <c r="BC524" s="90" t="inlineStr">
        <is>
          <t>N/A</t>
        </is>
      </c>
      <c r="BD524" s="89" t="n">
        <v>2177.8</v>
      </c>
      <c r="BE524" s="89" t="n">
        <v>6572.2</v>
      </c>
      <c r="BF524" s="90" t="inlineStr">
        <is>
          <t>N/A</t>
        </is>
      </c>
      <c r="BG524" s="89" t="n">
        <v>584.8</v>
      </c>
      <c r="BH524" s="89" t="n">
        <v>-1070.6</v>
      </c>
      <c r="BI524" s="89" t="n">
        <v>-911.1</v>
      </c>
      <c r="BJ524" s="89" t="n">
        <v>750.1</v>
      </c>
      <c r="BK524" s="89" t="n">
        <v>632</v>
      </c>
      <c r="BL524" s="90" t="inlineStr">
        <is>
          <t>N/A</t>
        </is>
      </c>
      <c r="BM524" s="89" t="n">
        <v>5.4</v>
      </c>
      <c r="BN524" s="89" t="n">
        <v>1.9</v>
      </c>
      <c r="BO524" s="89" t="n">
        <v>15370.8</v>
      </c>
      <c r="BP524" s="89" t="n">
        <v>14146.1</v>
      </c>
      <c r="BQ524" s="89" t="n">
        <v>0</v>
      </c>
      <c r="BR524" s="89" t="n">
        <v>0</v>
      </c>
      <c r="BS524" s="90" t="inlineStr">
        <is>
          <t>N/A</t>
        </is>
      </c>
      <c r="BT524" s="90" t="inlineStr">
        <is>
          <t>N/A</t>
        </is>
      </c>
      <c r="BU524" s="89" t="n">
        <v>0</v>
      </c>
      <c r="BV524" s="89" t="n">
        <v>0</v>
      </c>
      <c r="BW524" s="89" t="n">
        <v>0</v>
      </c>
      <c r="BX524" s="89" t="n">
        <v>0</v>
      </c>
      <c r="BY524" s="89" t="n">
        <v>0</v>
      </c>
    </row>
    <row r="525" ht="17" customHeight="1">
      <c r="A525" s="82" t="n">
        <v>523</v>
      </c>
      <c r="B525" s="83" t="inlineStr">
        <is>
          <t>ALLY</t>
        </is>
      </c>
      <c r="C525" s="84" t="inlineStr">
        <is>
          <t>Ally Financial Inc.</t>
        </is>
      </c>
      <c r="D525" s="82" t="inlineStr">
        <is>
          <t>Financials</t>
        </is>
      </c>
      <c r="E525" s="82" t="n">
        <v>2026</v>
      </c>
      <c r="F525" s="85" t="n">
        <v>196002</v>
      </c>
      <c r="G525" s="91" t="inlineStr">
        <is>
          <t>N/A</t>
        </is>
      </c>
      <c r="H525" s="91" t="inlineStr">
        <is>
          <t>N/A</t>
        </is>
      </c>
      <c r="I525" s="85" t="n">
        <v>180504</v>
      </c>
      <c r="J525" s="85" t="n">
        <v>633</v>
      </c>
      <c r="K525" s="85" t="n">
        <v>1051</v>
      </c>
      <c r="L525" s="85" t="n">
        <v>7914</v>
      </c>
      <c r="M525" s="85" t="n">
        <v>852</v>
      </c>
      <c r="N525" s="85" t="n">
        <v>3729</v>
      </c>
      <c r="O525" s="91" t="inlineStr">
        <is>
          <t>N/A</t>
        </is>
      </c>
      <c r="P525" s="85" t="n">
        <v>17070</v>
      </c>
      <c r="Q525" s="85" t="n">
        <v>15498</v>
      </c>
      <c r="R525" s="91" t="inlineStr">
        <is>
          <t>N/A</t>
        </is>
      </c>
      <c r="S525" s="85" t="n">
        <v>3</v>
      </c>
      <c r="T525" s="91" t="inlineStr">
        <is>
          <t>N/A</t>
        </is>
      </c>
      <c r="U525" s="85" t="n">
        <v>1150</v>
      </c>
      <c r="V525" s="85" t="n">
        <v>6897</v>
      </c>
      <c r="W525" s="85" t="n">
        <v>191836</v>
      </c>
      <c r="X525" s="91" t="inlineStr">
        <is>
          <t>N/A</t>
        </is>
      </c>
      <c r="Y525" s="91" t="inlineStr">
        <is>
          <t>N/A</t>
        </is>
      </c>
      <c r="Z525" s="85" t="n">
        <v>177933</v>
      </c>
      <c r="AA525" s="85" t="n">
        <v>836</v>
      </c>
      <c r="AB525" s="85" t="n">
        <v>8181</v>
      </c>
      <c r="AC525" s="85" t="n">
        <v>668</v>
      </c>
      <c r="AD525" s="85" t="n">
        <v>4528</v>
      </c>
      <c r="AE525" s="91" t="inlineStr">
        <is>
          <t>N/A</t>
        </is>
      </c>
      <c r="AF525" s="85" t="n">
        <v>17495</v>
      </c>
      <c r="AG525" s="85" t="n">
        <v>13903</v>
      </c>
      <c r="AH525" s="85" t="n">
        <v>8181</v>
      </c>
      <c r="AI525" s="85" t="n">
        <v>191836</v>
      </c>
      <c r="AJ525" s="85" t="n">
        <v>1051</v>
      </c>
      <c r="AK525" s="85" t="n">
        <v>836</v>
      </c>
      <c r="AL525" s="85" t="n">
        <v>199</v>
      </c>
      <c r="AM525" s="85" t="n">
        <v>167</v>
      </c>
      <c r="AN525" s="91" t="inlineStr">
        <is>
          <t>N/A</t>
        </is>
      </c>
      <c r="AO525" s="91" t="inlineStr">
        <is>
          <t>N/A</t>
        </is>
      </c>
      <c r="AP525" s="91" t="inlineStr">
        <is>
          <t>N/A</t>
        </is>
      </c>
      <c r="AQ525" s="91" t="inlineStr">
        <is>
          <t>N/A</t>
        </is>
      </c>
      <c r="AR525" s="85" t="n">
        <v>190</v>
      </c>
      <c r="AS525" s="85" t="n">
        <v>54</v>
      </c>
      <c r="AT525" s="85" t="n">
        <v>4695</v>
      </c>
      <c r="AU525" s="91" t="inlineStr">
        <is>
          <t>N/A</t>
        </is>
      </c>
      <c r="AV525" s="85" t="n">
        <v>10030</v>
      </c>
      <c r="AW525" s="85" t="n">
        <v>10292</v>
      </c>
      <c r="AX525" s="85" t="n">
        <v>21765</v>
      </c>
      <c r="AY525" s="85" t="n">
        <v>19120</v>
      </c>
      <c r="AZ525" s="85" t="n">
        <v>11735</v>
      </c>
      <c r="BA525" s="91" t="inlineStr">
        <is>
          <t>N/A</t>
        </is>
      </c>
      <c r="BB525" s="85" t="n">
        <v>308.5</v>
      </c>
      <c r="BC525" s="85" t="n">
        <v>307.8</v>
      </c>
      <c r="BD525" s="91" t="inlineStr">
        <is>
          <t>N/A</t>
        </is>
      </c>
      <c r="BE525" s="85" t="n">
        <v>1253</v>
      </c>
      <c r="BF525" s="91" t="inlineStr">
        <is>
          <t>N/A</t>
        </is>
      </c>
      <c r="BG525" s="85" t="n">
        <v>19</v>
      </c>
      <c r="BH525" s="85" t="n">
        <v>-5264</v>
      </c>
      <c r="BI525" s="85" t="n">
        <v>4991</v>
      </c>
      <c r="BJ525" s="91" t="inlineStr">
        <is>
          <t>N/A</t>
        </is>
      </c>
      <c r="BK525" s="91" t="inlineStr">
        <is>
          <t>N/A</t>
        </is>
      </c>
      <c r="BL525" s="85" t="n">
        <v>169</v>
      </c>
      <c r="BM525" s="85" t="n">
        <v>176</v>
      </c>
      <c r="BN525" s="85" t="n">
        <v>1</v>
      </c>
      <c r="BO525" s="91" t="inlineStr">
        <is>
          <t>N/A</t>
        </is>
      </c>
      <c r="BP525" s="91" t="inlineStr">
        <is>
          <t>N/A</t>
        </is>
      </c>
      <c r="BQ525" s="91" t="inlineStr">
        <is>
          <t>N/A</t>
        </is>
      </c>
      <c r="BR525" s="91" t="inlineStr">
        <is>
          <t>N/A</t>
        </is>
      </c>
      <c r="BS525" s="91" t="inlineStr">
        <is>
          <t>N/A</t>
        </is>
      </c>
      <c r="BT525" s="91" t="inlineStr">
        <is>
          <t>N/A</t>
        </is>
      </c>
      <c r="BU525" s="91" t="inlineStr">
        <is>
          <t>N/A</t>
        </is>
      </c>
      <c r="BV525" s="91" t="inlineStr">
        <is>
          <t>N/A</t>
        </is>
      </c>
      <c r="BW525" s="85" t="n">
        <v>0</v>
      </c>
      <c r="BX525" s="85" t="n">
        <v>0</v>
      </c>
      <c r="BY525" s="85" t="n">
        <v>0</v>
      </c>
    </row>
    <row r="526" ht="17" customHeight="1">
      <c r="A526" s="86" t="n">
        <v>524</v>
      </c>
      <c r="B526" s="87" t="inlineStr">
        <is>
          <t>SJM</t>
        </is>
      </c>
      <c r="C526" s="88" t="inlineStr">
        <is>
          <t>THE J. M. SMUCKER COMPANY</t>
        </is>
      </c>
      <c r="D526" s="86" t="inlineStr">
        <is>
          <t>Consumer Staples</t>
        </is>
      </c>
      <c r="E526" s="86" t="n">
        <v>2026</v>
      </c>
      <c r="F526" s="89" t="n">
        <v>16219.4</v>
      </c>
      <c r="G526" s="89" t="n">
        <v>1973.1</v>
      </c>
      <c r="H526" s="89" t="n">
        <v>2538.2</v>
      </c>
      <c r="I526" s="89" t="n">
        <v>10675.6</v>
      </c>
      <c r="J526" s="89" t="n">
        <v>-101.3</v>
      </c>
      <c r="K526" s="89" t="n">
        <v>360.2</v>
      </c>
      <c r="L526" s="89" t="n">
        <v>9050.9</v>
      </c>
      <c r="M526" s="89" t="n">
        <v>-138.7</v>
      </c>
      <c r="N526" s="89" t="n">
        <v>1473.6</v>
      </c>
      <c r="O526" s="89" t="n">
        <v>3034.5</v>
      </c>
      <c r="P526" s="89" t="n">
        <v>6542.8</v>
      </c>
      <c r="Q526" s="89" t="n">
        <v>5543.8</v>
      </c>
      <c r="R526" s="89" t="n">
        <v>1496.6</v>
      </c>
      <c r="S526" s="89" t="n">
        <v>346.4</v>
      </c>
      <c r="T526" s="89" t="n">
        <v>656.3</v>
      </c>
      <c r="U526" s="89" t="n">
        <v>3032.1</v>
      </c>
      <c r="V526" s="89" t="n">
        <v>81.3</v>
      </c>
      <c r="W526" s="89" t="n">
        <v>17563.3</v>
      </c>
      <c r="X526" s="89" t="n">
        <v>2146.6</v>
      </c>
      <c r="Y526" s="89" t="n">
        <v>2652</v>
      </c>
      <c r="Z526" s="89" t="n">
        <v>11480.7</v>
      </c>
      <c r="AA526" s="89" t="n">
        <v>-673.9</v>
      </c>
      <c r="AB526" s="89" t="n">
        <v>8726.1</v>
      </c>
      <c r="AC526" s="89" t="n">
        <v>-1230.8</v>
      </c>
      <c r="AD526" s="89" t="n">
        <v>1210.4</v>
      </c>
      <c r="AE526" s="89" t="n">
        <v>3384.7</v>
      </c>
      <c r="AF526" s="89" t="n">
        <v>7036.8</v>
      </c>
      <c r="AG526" s="89" t="n">
        <v>6082.6</v>
      </c>
      <c r="AH526" s="90" t="inlineStr">
        <is>
          <t>N/A</t>
        </is>
      </c>
      <c r="AI526" s="89" t="n">
        <v>17563.3</v>
      </c>
      <c r="AJ526" s="89" t="n">
        <v>-62.4</v>
      </c>
      <c r="AK526" s="89" t="n">
        <v>-1046.8</v>
      </c>
      <c r="AL526" s="89" t="n">
        <v>76.3</v>
      </c>
      <c r="AM526" s="89" t="n">
        <v>184</v>
      </c>
      <c r="AN526" s="89" t="n">
        <v>317.4</v>
      </c>
      <c r="AO526" s="89" t="n">
        <v>393.8</v>
      </c>
      <c r="AP526" s="89" t="n">
        <v>1126.5</v>
      </c>
      <c r="AQ526" s="89" t="n">
        <v>1209.4</v>
      </c>
      <c r="AR526" s="89" t="n">
        <v>5205</v>
      </c>
      <c r="AS526" s="89" t="n">
        <v>3086.6</v>
      </c>
      <c r="AT526" s="89" t="n">
        <v>420.9</v>
      </c>
      <c r="AU526" s="89" t="n">
        <v>58.1</v>
      </c>
      <c r="AV526" s="89" t="n">
        <v>101.3</v>
      </c>
      <c r="AW526" s="89" t="n">
        <v>192.6</v>
      </c>
      <c r="AX526" s="89" t="n">
        <v>6963.7</v>
      </c>
      <c r="AY526" s="89" t="n">
        <v>7677.6</v>
      </c>
      <c r="AZ526" s="89" t="n">
        <v>6862.4</v>
      </c>
      <c r="BA526" s="89" t="n">
        <v>1156.2</v>
      </c>
      <c r="BB526" s="89" t="n">
        <v>106.7</v>
      </c>
      <c r="BC526" s="89" t="n">
        <v>106.4</v>
      </c>
      <c r="BD526" s="89" t="n">
        <v>619</v>
      </c>
      <c r="BE526" s="89" t="n">
        <v>3079.6</v>
      </c>
      <c r="BF526" s="89" t="n">
        <v>1529</v>
      </c>
      <c r="BG526" s="89" t="n">
        <v>283.2</v>
      </c>
      <c r="BH526" s="89" t="n">
        <v>-258.8</v>
      </c>
      <c r="BI526" s="89" t="n">
        <v>-100.3</v>
      </c>
      <c r="BJ526" s="89" t="n">
        <v>1175.1</v>
      </c>
      <c r="BK526" s="89" t="n">
        <v>1288.7</v>
      </c>
      <c r="BL526" s="90" t="inlineStr">
        <is>
          <t>N/A</t>
        </is>
      </c>
      <c r="BM526" s="90" t="inlineStr">
        <is>
          <t>N/A</t>
        </is>
      </c>
      <c r="BN526" s="89" t="n">
        <v>7.7</v>
      </c>
      <c r="BO526" s="89" t="n">
        <v>6016.4</v>
      </c>
      <c r="BP526" s="89" t="n">
        <v>5341.4</v>
      </c>
      <c r="BQ526" s="89" t="n">
        <v>0</v>
      </c>
      <c r="BR526" s="89" t="n">
        <v>0</v>
      </c>
      <c r="BS526" s="89" t="n">
        <v>0</v>
      </c>
      <c r="BT526" s="89" t="n">
        <v>0</v>
      </c>
      <c r="BU526" s="89" t="n">
        <v>0</v>
      </c>
      <c r="BV526" s="89" t="n">
        <v>0</v>
      </c>
      <c r="BW526" s="89" t="n">
        <v>0</v>
      </c>
      <c r="BX526" s="89" t="n">
        <v>0</v>
      </c>
      <c r="BY526" s="89" t="n">
        <v>-0</v>
      </c>
    </row>
    <row r="527" ht="17" customHeight="1">
      <c r="A527" s="82" t="n">
        <v>525</v>
      </c>
      <c r="B527" s="83" t="inlineStr">
        <is>
          <t>POWI</t>
        </is>
      </c>
      <c r="C527" s="84" t="inlineStr">
        <is>
          <t>POWER INTEGRATIONS, INC.</t>
        </is>
      </c>
      <c r="D527" s="82" t="inlineStr">
        <is>
          <t>Information Technology</t>
        </is>
      </c>
      <c r="E527" s="82" t="n">
        <v>2026</v>
      </c>
      <c r="F527" s="85" t="n">
        <v>772.2</v>
      </c>
      <c r="G527" s="85" t="n">
        <v>458.3</v>
      </c>
      <c r="H527" s="85" t="n">
        <v>70.40000000000001</v>
      </c>
      <c r="I527" s="85" t="n">
        <v>99.40000000000001</v>
      </c>
      <c r="J527" s="85" t="n">
        <v>673.9</v>
      </c>
      <c r="K527" s="85" t="n">
        <v>10.2</v>
      </c>
      <c r="L527" s="85" t="n">
        <v>443.5</v>
      </c>
      <c r="M527" s="85" t="n">
        <v>22.1</v>
      </c>
      <c r="N527" s="85" t="n">
        <v>111.5</v>
      </c>
      <c r="O527" s="85" t="n">
        <v>241.6</v>
      </c>
      <c r="P527" s="91" t="inlineStr">
        <is>
          <t>N/A</t>
        </is>
      </c>
      <c r="Q527" s="85" t="n">
        <v>672.8</v>
      </c>
      <c r="R527" s="85" t="n">
        <v>42.7</v>
      </c>
      <c r="S527" s="85" t="n">
        <v>27.2</v>
      </c>
      <c r="T527" s="85" t="n">
        <v>35.9</v>
      </c>
      <c r="U527" s="85" t="n">
        <v>146.5</v>
      </c>
      <c r="V527" s="91" t="inlineStr">
        <is>
          <t>N/A</t>
        </is>
      </c>
      <c r="W527" s="85" t="n">
        <v>828.8</v>
      </c>
      <c r="X527" s="85" t="n">
        <v>514</v>
      </c>
      <c r="Y527" s="85" t="n">
        <v>55.3</v>
      </c>
      <c r="Z527" s="85" t="n">
        <v>79.09999999999999</v>
      </c>
      <c r="AA527" s="85" t="n">
        <v>17.9</v>
      </c>
      <c r="AB527" s="85" t="n">
        <v>419</v>
      </c>
      <c r="AC527" s="85" t="n">
        <v>32.2</v>
      </c>
      <c r="AD527" s="85" t="n">
        <v>81.2</v>
      </c>
      <c r="AE527" s="85" t="n">
        <v>224.8</v>
      </c>
      <c r="AF527" s="91" t="inlineStr">
        <is>
          <t>N/A</t>
        </is>
      </c>
      <c r="AG527" s="85" t="n">
        <v>749.8</v>
      </c>
      <c r="AH527" s="85" t="n">
        <v>419</v>
      </c>
      <c r="AI527" s="85" t="n">
        <v>828.8</v>
      </c>
      <c r="AJ527" s="85" t="n">
        <v>21</v>
      </c>
      <c r="AK527" s="85" t="n">
        <v>30.8</v>
      </c>
      <c r="AL527" s="85" t="n">
        <v>-1.1</v>
      </c>
      <c r="AM527" s="85" t="n">
        <v>-1.5</v>
      </c>
      <c r="AN527" s="85" t="n">
        <v>24.4</v>
      </c>
      <c r="AO527" s="85" t="n">
        <v>17.3</v>
      </c>
      <c r="AP527" s="85" t="n">
        <v>166.9</v>
      </c>
      <c r="AQ527" s="85" t="n">
        <v>165.6</v>
      </c>
      <c r="AR527" s="85" t="n">
        <v>95.3</v>
      </c>
      <c r="AS527" s="85" t="n">
        <v>1.1</v>
      </c>
      <c r="AT527" s="91" t="inlineStr">
        <is>
          <t>N/A</t>
        </is>
      </c>
      <c r="AU527" s="85" t="n">
        <v>101.1</v>
      </c>
      <c r="AV527" s="85" t="n">
        <v>58.8</v>
      </c>
      <c r="AW527" s="85" t="n">
        <v>51</v>
      </c>
      <c r="AX527" s="91" t="inlineStr">
        <is>
          <t>N/A</t>
        </is>
      </c>
      <c r="AY527" s="91" t="inlineStr">
        <is>
          <t>N/A</t>
        </is>
      </c>
      <c r="AZ527" s="91" t="inlineStr">
        <is>
          <t>N/A</t>
        </is>
      </c>
      <c r="BA527" s="85" t="n">
        <v>87.09999999999999</v>
      </c>
      <c r="BB527" s="85" t="n">
        <v>55.3</v>
      </c>
      <c r="BC527" s="85" t="n">
        <v>56.8</v>
      </c>
      <c r="BD527" s="85" t="n">
        <v>24.3</v>
      </c>
      <c r="BE527" s="85" t="n">
        <v>149.6</v>
      </c>
      <c r="BF527" s="85" t="n">
        <v>38.2</v>
      </c>
      <c r="BG527" s="85" t="n">
        <v>33.3</v>
      </c>
      <c r="BH527" s="85" t="n">
        <v>36.2</v>
      </c>
      <c r="BI527" s="85" t="n">
        <v>-25.9</v>
      </c>
      <c r="BJ527" s="85" t="n">
        <v>34</v>
      </c>
      <c r="BK527" s="85" t="n">
        <v>29.8</v>
      </c>
      <c r="BL527" s="85" t="n">
        <v>11.6</v>
      </c>
      <c r="BM527" s="85" t="n">
        <v>9.300000000000001</v>
      </c>
      <c r="BN527" s="85" t="n">
        <v>1</v>
      </c>
      <c r="BO527" s="85" t="n">
        <v>201.9</v>
      </c>
      <c r="BP527" s="85" t="n">
        <v>194.2</v>
      </c>
      <c r="BQ527" s="85" t="n">
        <v>0</v>
      </c>
      <c r="BR527" s="85" t="n">
        <v>0</v>
      </c>
      <c r="BS527" s="85" t="n">
        <v>0</v>
      </c>
      <c r="BT527" s="85" t="n">
        <v>0</v>
      </c>
      <c r="BU527" s="85" t="n">
        <v>0</v>
      </c>
      <c r="BV527" s="85" t="n">
        <v>0</v>
      </c>
      <c r="BW527" s="85" t="n">
        <v>0</v>
      </c>
      <c r="BX527" s="85" t="n">
        <v>0</v>
      </c>
      <c r="BY527" s="85" t="n">
        <v>-0</v>
      </c>
    </row>
    <row r="528" ht="17" customHeight="1">
      <c r="A528" s="86" t="n">
        <v>526</v>
      </c>
      <c r="B528" s="87" t="inlineStr">
        <is>
          <t>FIVE</t>
        </is>
      </c>
      <c r="C528" s="88" t="inlineStr">
        <is>
          <t>Five Below, Inc.</t>
        </is>
      </c>
      <c r="D528" s="86" t="inlineStr">
        <is>
          <t>Consumer Discretionary</t>
        </is>
      </c>
      <c r="E528" s="86" t="n">
        <v>2026</v>
      </c>
      <c r="F528" s="89" t="n">
        <v>4937</v>
      </c>
      <c r="G528" s="89" t="n">
        <v>1916.7</v>
      </c>
      <c r="H528" s="89" t="n">
        <v>954</v>
      </c>
      <c r="I528" s="89" t="n">
        <v>2743.7</v>
      </c>
      <c r="J528" s="89" t="n">
        <v>2013.9</v>
      </c>
      <c r="K528" s="89" t="n">
        <v>457.4</v>
      </c>
      <c r="L528" s="89" t="n">
        <v>4764.1</v>
      </c>
      <c r="M528" s="89" t="n">
        <v>358.6</v>
      </c>
      <c r="N528" s="89" t="n">
        <v>586.4</v>
      </c>
      <c r="O528" s="89" t="n">
        <v>1095.5</v>
      </c>
      <c r="P528" s="89" t="n">
        <v>0.2</v>
      </c>
      <c r="Q528" s="89" t="n">
        <v>2193.3</v>
      </c>
      <c r="R528" s="89" t="n">
        <v>1065.2</v>
      </c>
      <c r="S528" s="89" t="n">
        <v>192.1</v>
      </c>
      <c r="T528" s="90" t="inlineStr">
        <is>
          <t>N/A</t>
        </is>
      </c>
      <c r="U528" s="89" t="n">
        <v>1234.3</v>
      </c>
      <c r="V528" s="89" t="n">
        <v>0.7</v>
      </c>
      <c r="W528" s="89" t="n">
        <v>4339.6</v>
      </c>
      <c r="X528" s="89" t="n">
        <v>1351.4</v>
      </c>
      <c r="Y528" s="89" t="n">
        <v>756.4</v>
      </c>
      <c r="Z528" s="89" t="n">
        <v>2531.2</v>
      </c>
      <c r="AA528" s="89" t="n">
        <v>323.8</v>
      </c>
      <c r="AB528" s="89" t="n">
        <v>3876.5</v>
      </c>
      <c r="AC528" s="89" t="n">
        <v>253.6</v>
      </c>
      <c r="AD528" s="89" t="n">
        <v>430.6</v>
      </c>
      <c r="AE528" s="89" t="n">
        <v>452.4</v>
      </c>
      <c r="AF528" s="89" t="n">
        <v>0.3</v>
      </c>
      <c r="AG528" s="89" t="n">
        <v>1808.3</v>
      </c>
      <c r="AH528" s="89" t="n">
        <v>3876.5</v>
      </c>
      <c r="AI528" s="89" t="n">
        <v>4339.6</v>
      </c>
      <c r="AJ528" s="89" t="n">
        <v>480.4</v>
      </c>
      <c r="AK528" s="89" t="n">
        <v>338.7</v>
      </c>
      <c r="AL528" s="89" t="n">
        <v>121.7</v>
      </c>
      <c r="AM528" s="89" t="n">
        <v>85.09999999999999</v>
      </c>
      <c r="AN528" s="89" t="n">
        <v>174.7</v>
      </c>
      <c r="AO528" s="89" t="n">
        <v>324</v>
      </c>
      <c r="AP528" s="89" t="n">
        <v>846.6</v>
      </c>
      <c r="AQ528" s="89" t="n">
        <v>659.5</v>
      </c>
      <c r="AR528" s="90" t="inlineStr">
        <is>
          <t>N/A</t>
        </is>
      </c>
      <c r="AS528" s="90" t="inlineStr">
        <is>
          <t>N/A</t>
        </is>
      </c>
      <c r="AT528" s="90" t="inlineStr">
        <is>
          <t>N/A</t>
        </is>
      </c>
      <c r="AU528" s="90" t="inlineStr">
        <is>
          <t>N/A</t>
        </is>
      </c>
      <c r="AV528" s="89" t="n">
        <v>202.5</v>
      </c>
      <c r="AW528" s="89" t="n">
        <v>251.7</v>
      </c>
      <c r="AX528" s="89" t="n">
        <v>0.2</v>
      </c>
      <c r="AY528" s="89" t="n">
        <v>19.8</v>
      </c>
      <c r="AZ528" s="89" t="n">
        <v>-202.2</v>
      </c>
      <c r="BA528" s="89" t="n">
        <v>411.7</v>
      </c>
      <c r="BB528" s="89" t="n">
        <v>55.2</v>
      </c>
      <c r="BC528" s="89" t="n">
        <v>55</v>
      </c>
      <c r="BD528" s="90" t="inlineStr">
        <is>
          <t>N/A</t>
        </is>
      </c>
      <c r="BE528" s="89" t="n">
        <v>1261.7</v>
      </c>
      <c r="BF528" s="89" t="n">
        <v>861.4</v>
      </c>
      <c r="BG528" s="89" t="n">
        <v>167.4</v>
      </c>
      <c r="BH528" s="89" t="n">
        <v>-186.2</v>
      </c>
      <c r="BI528" s="89" t="n">
        <v>-232.9</v>
      </c>
      <c r="BJ528" s="89" t="n">
        <v>368.4</v>
      </c>
      <c r="BK528" s="89" t="n">
        <v>260.3</v>
      </c>
      <c r="BL528" s="90" t="inlineStr">
        <is>
          <t>N/A</t>
        </is>
      </c>
      <c r="BM528" s="90" t="inlineStr">
        <is>
          <t>N/A</t>
        </is>
      </c>
      <c r="BN528" s="89" t="n">
        <v>56.6</v>
      </c>
      <c r="BO528" s="89" t="n">
        <v>3049.5</v>
      </c>
      <c r="BP528" s="89" t="n">
        <v>2523.9</v>
      </c>
      <c r="BQ528" s="90" t="inlineStr">
        <is>
          <t>N/A</t>
        </is>
      </c>
      <c r="BR528" s="90" t="inlineStr">
        <is>
          <t>N/A</t>
        </is>
      </c>
      <c r="BS528" s="89" t="n">
        <v>0</v>
      </c>
      <c r="BT528" s="89" t="n">
        <v>0</v>
      </c>
      <c r="BU528" s="89" t="n">
        <v>0</v>
      </c>
      <c r="BV528" s="89" t="n">
        <v>0</v>
      </c>
      <c r="BW528" s="89" t="n">
        <v>0</v>
      </c>
      <c r="BX528" s="89" t="n">
        <v>0</v>
      </c>
      <c r="BY528" s="89" t="n">
        <v>0</v>
      </c>
    </row>
    <row r="529" ht="17" customHeight="1">
      <c r="A529" s="82" t="n">
        <v>527</v>
      </c>
      <c r="B529" s="83" t="inlineStr">
        <is>
          <t>DAL</t>
        </is>
      </c>
      <c r="C529" s="84" t="inlineStr">
        <is>
          <t>Delta Air Lines, Inc.</t>
        </is>
      </c>
      <c r="D529" s="82" t="inlineStr">
        <is>
          <t>Consumer Discretionary</t>
        </is>
      </c>
      <c r="E529" s="82" t="n">
        <v>2026</v>
      </c>
      <c r="F529" s="85" t="n">
        <v>81317</v>
      </c>
      <c r="G529" s="85" t="n">
        <v>10968</v>
      </c>
      <c r="H529" s="85" t="n">
        <v>27624</v>
      </c>
      <c r="I529" s="85" t="n">
        <v>81317</v>
      </c>
      <c r="J529" s="85" t="n">
        <v>13343</v>
      </c>
      <c r="K529" s="85" t="n">
        <v>5822</v>
      </c>
      <c r="L529" s="85" t="n">
        <v>10742</v>
      </c>
      <c r="M529" s="85" t="n">
        <v>5005</v>
      </c>
      <c r="N529" s="85" t="n">
        <v>8342</v>
      </c>
      <c r="O529" s="85" t="n">
        <v>-28432</v>
      </c>
      <c r="P529" s="85" t="n">
        <v>13308</v>
      </c>
      <c r="Q529" s="85" t="n">
        <v>20853</v>
      </c>
      <c r="R529" s="85" t="n">
        <v>2485</v>
      </c>
      <c r="S529" s="85" t="n">
        <v>2329</v>
      </c>
      <c r="T529" s="85" t="n">
        <v>2850</v>
      </c>
      <c r="U529" s="85" t="n">
        <v>28335</v>
      </c>
      <c r="V529" s="85" t="n">
        <v>396</v>
      </c>
      <c r="W529" s="85" t="n">
        <v>75372</v>
      </c>
      <c r="X529" s="85" t="n">
        <v>9844</v>
      </c>
      <c r="Y529" s="85" t="n">
        <v>26670</v>
      </c>
      <c r="Z529" s="85" t="n">
        <v>75372</v>
      </c>
      <c r="AA529" s="85" t="n">
        <v>5995</v>
      </c>
      <c r="AB529" s="85" t="n">
        <v>11953</v>
      </c>
      <c r="AC529" s="85" t="n">
        <v>3457</v>
      </c>
      <c r="AD529" s="85" t="n">
        <v>8025</v>
      </c>
      <c r="AE529" s="85" t="n">
        <v>-23219</v>
      </c>
      <c r="AF529" s="85" t="n">
        <v>15347</v>
      </c>
      <c r="AG529" s="85" t="n">
        <v>15293</v>
      </c>
      <c r="AH529" s="85" t="n">
        <v>11775</v>
      </c>
      <c r="AI529" s="85" t="n">
        <v>75372</v>
      </c>
      <c r="AJ529" s="85" t="n">
        <v>6185</v>
      </c>
      <c r="AK529" s="85" t="n">
        <v>4658</v>
      </c>
      <c r="AL529" s="85" t="n">
        <v>1180</v>
      </c>
      <c r="AM529" s="85" t="n">
        <v>1201</v>
      </c>
      <c r="AN529" s="85" t="n">
        <v>4499</v>
      </c>
      <c r="AO529" s="85" t="n">
        <v>5140</v>
      </c>
      <c r="AP529" s="91" t="inlineStr">
        <is>
          <t>N/A</t>
        </is>
      </c>
      <c r="AQ529" s="91" t="inlineStr">
        <is>
          <t>N/A</t>
        </is>
      </c>
      <c r="AR529" s="85" t="n">
        <v>9753</v>
      </c>
      <c r="AS529" s="85" t="n">
        <v>4749</v>
      </c>
      <c r="AT529" s="85" t="n">
        <v>1372</v>
      </c>
      <c r="AU529" s="91" t="inlineStr">
        <is>
          <t>N/A</t>
        </is>
      </c>
      <c r="AV529" s="85" t="n">
        <v>4310</v>
      </c>
      <c r="AW529" s="85" t="n">
        <v>3069</v>
      </c>
      <c r="AX529" s="85" t="n">
        <v>14680</v>
      </c>
      <c r="AY529" s="85" t="n">
        <v>15347</v>
      </c>
      <c r="AZ529" s="85" t="n">
        <v>10370</v>
      </c>
      <c r="BA529" s="85" t="n">
        <v>3843</v>
      </c>
      <c r="BB529" s="85" t="n">
        <v>659.7</v>
      </c>
      <c r="BC529" s="85" t="n">
        <v>654.6</v>
      </c>
      <c r="BD529" s="85" t="n">
        <v>3224</v>
      </c>
      <c r="BE529" s="85" t="n">
        <v>26563</v>
      </c>
      <c r="BF529" s="85" t="n">
        <v>2485</v>
      </c>
      <c r="BG529" s="85" t="n">
        <v>2222</v>
      </c>
      <c r="BH529" s="85" t="n">
        <v>-4186</v>
      </c>
      <c r="BI529" s="85" t="n">
        <v>-3739</v>
      </c>
      <c r="BJ529" s="85" t="n">
        <v>5226</v>
      </c>
      <c r="BK529" s="85" t="n">
        <v>4650</v>
      </c>
      <c r="BL529" s="91" t="inlineStr">
        <is>
          <t>N/A</t>
        </is>
      </c>
      <c r="BM529" s="91" t="inlineStr">
        <is>
          <t>N/A</t>
        </is>
      </c>
      <c r="BN529" s="85" t="n">
        <v>673</v>
      </c>
      <c r="BO529" s="85" t="n">
        <v>39174</v>
      </c>
      <c r="BP529" s="85" t="n">
        <v>35172</v>
      </c>
      <c r="BQ529" s="85" t="n">
        <v>0</v>
      </c>
      <c r="BR529" s="85" t="n">
        <v>0</v>
      </c>
      <c r="BS529" s="91" t="inlineStr">
        <is>
          <t>N/A</t>
        </is>
      </c>
      <c r="BT529" s="91" t="inlineStr">
        <is>
          <t>N/A</t>
        </is>
      </c>
      <c r="BU529" s="85" t="n">
        <v>0</v>
      </c>
      <c r="BV529" s="85" t="n">
        <v>0</v>
      </c>
      <c r="BW529" s="85" t="n">
        <v>0</v>
      </c>
      <c r="BX529" s="85" t="n">
        <v>0</v>
      </c>
      <c r="BY529" s="85" t="n">
        <v>0</v>
      </c>
    </row>
    <row r="530" ht="17" customHeight="1">
      <c r="A530" s="86" t="n">
        <v>528</v>
      </c>
      <c r="B530" s="87" t="inlineStr">
        <is>
          <t>ACM</t>
        </is>
      </c>
      <c r="C530" s="88" t="inlineStr">
        <is>
          <t>AECOM</t>
        </is>
      </c>
      <c r="D530" s="86" t="inlineStr">
        <is>
          <t>Industrials</t>
        </is>
      </c>
      <c r="E530" s="86" t="n">
        <v>2026</v>
      </c>
      <c r="F530" s="89" t="n">
        <v>12200.2</v>
      </c>
      <c r="G530" s="89" t="n">
        <v>6730.2</v>
      </c>
      <c r="H530" s="89" t="n">
        <v>5928.8</v>
      </c>
      <c r="I530" s="89" t="n">
        <v>9504.1</v>
      </c>
      <c r="J530" s="89" t="n">
        <v>-1224.8</v>
      </c>
      <c r="K530" s="89" t="n">
        <v>1026.5</v>
      </c>
      <c r="L530" s="89" t="n">
        <v>16139.6</v>
      </c>
      <c r="M530" s="89" t="n">
        <v>561.8</v>
      </c>
      <c r="N530" s="89" t="n">
        <v>821.6</v>
      </c>
      <c r="O530" s="89" t="n">
        <v>1216.7</v>
      </c>
      <c r="P530" s="89" t="n">
        <v>914.7</v>
      </c>
      <c r="Q530" s="89" t="n">
        <v>2492.6</v>
      </c>
      <c r="R530" s="89" t="n">
        <v>157.8</v>
      </c>
      <c r="S530" s="89" t="n">
        <v>2.2</v>
      </c>
      <c r="T530" s="89" t="n">
        <v>2497.1</v>
      </c>
      <c r="U530" s="89" t="n">
        <v>416.2</v>
      </c>
      <c r="V530" s="89" t="n">
        <v>299.6</v>
      </c>
      <c r="W530" s="89" t="n">
        <v>12061.7</v>
      </c>
      <c r="X530" s="89" t="n">
        <v>7176.1</v>
      </c>
      <c r="Y530" s="89" t="n">
        <v>6374.1</v>
      </c>
      <c r="Z530" s="89" t="n">
        <v>9691.299999999999</v>
      </c>
      <c r="AA530" s="89" t="n">
        <v>827.4</v>
      </c>
      <c r="AB530" s="89" t="n">
        <v>16105.5</v>
      </c>
      <c r="AC530" s="89" t="n">
        <v>402.3</v>
      </c>
      <c r="AD530" s="89" t="n">
        <v>827.5</v>
      </c>
      <c r="AE530" s="89" t="n">
        <v>1084.3</v>
      </c>
      <c r="AF530" s="89" t="n">
        <v>142.1</v>
      </c>
      <c r="AG530" s="89" t="n">
        <v>2184.2</v>
      </c>
      <c r="AH530" s="89" t="n">
        <v>16105.5</v>
      </c>
      <c r="AI530" s="89" t="n">
        <v>12061.7</v>
      </c>
      <c r="AJ530" s="89" t="n">
        <v>915.6</v>
      </c>
      <c r="AK530" s="89" t="n">
        <v>718.2</v>
      </c>
      <c r="AL530" s="89" t="n">
        <v>204</v>
      </c>
      <c r="AM530" s="89" t="n">
        <v>152.9</v>
      </c>
      <c r="AN530" s="89" t="n">
        <v>136.7</v>
      </c>
      <c r="AO530" s="89" t="n">
        <v>119.6</v>
      </c>
      <c r="AP530" s="90" t="inlineStr">
        <is>
          <t>N/A</t>
        </is>
      </c>
      <c r="AQ530" s="90" t="inlineStr">
        <is>
          <t>N/A</t>
        </is>
      </c>
      <c r="AR530" s="89" t="n">
        <v>3700.6</v>
      </c>
      <c r="AS530" s="89" t="n">
        <v>183.3</v>
      </c>
      <c r="AT530" s="89" t="n">
        <v>4.1</v>
      </c>
      <c r="AU530" s="90" t="inlineStr">
        <is>
          <t>N/A</t>
        </is>
      </c>
      <c r="AV530" s="89" t="n">
        <v>1585.7</v>
      </c>
      <c r="AW530" s="89" t="n">
        <v>1580.9</v>
      </c>
      <c r="AX530" s="89" t="n">
        <v>918.8</v>
      </c>
      <c r="AY530" s="89" t="n">
        <v>145.2</v>
      </c>
      <c r="AZ530" s="89" t="n">
        <v>-667</v>
      </c>
      <c r="BA530" s="89" t="n">
        <v>684.9</v>
      </c>
      <c r="BB530" s="89" t="n">
        <v>131.8</v>
      </c>
      <c r="BC530" s="89" t="n">
        <v>132.6</v>
      </c>
      <c r="BD530" s="89" t="n">
        <v>2793.3</v>
      </c>
      <c r="BE530" s="89" t="n">
        <v>354.4</v>
      </c>
      <c r="BF530" s="89" t="n">
        <v>160.1</v>
      </c>
      <c r="BG530" s="89" t="n">
        <v>18.8</v>
      </c>
      <c r="BH530" s="89" t="n">
        <v>-413.2</v>
      </c>
      <c r="BI530" s="89" t="n">
        <v>-210.6</v>
      </c>
      <c r="BJ530" s="89" t="n">
        <v>2260.6</v>
      </c>
      <c r="BK530" s="89" t="n">
        <v>2560.1</v>
      </c>
      <c r="BL530" s="89" t="n">
        <v>1087.9</v>
      </c>
      <c r="BM530" s="89" t="n">
        <v>1298.3</v>
      </c>
      <c r="BN530" s="89" t="n">
        <v>6.1</v>
      </c>
      <c r="BO530" s="89" t="n">
        <v>14922.9</v>
      </c>
      <c r="BP530" s="89" t="n">
        <v>15021.2</v>
      </c>
      <c r="BQ530" s="89" t="n">
        <v>0</v>
      </c>
      <c r="BR530" s="89" t="n">
        <v>0</v>
      </c>
      <c r="BS530" s="90" t="inlineStr">
        <is>
          <t>N/A</t>
        </is>
      </c>
      <c r="BT530" s="90" t="inlineStr">
        <is>
          <t>N/A</t>
        </is>
      </c>
      <c r="BU530" s="89" t="n">
        <v>0</v>
      </c>
      <c r="BV530" s="89" t="n">
        <v>0</v>
      </c>
      <c r="BW530" s="89" t="n">
        <v>0</v>
      </c>
      <c r="BX530" s="89" t="n">
        <v>0</v>
      </c>
      <c r="BY530" s="89" t="n">
        <v>0</v>
      </c>
    </row>
    <row r="531" ht="17" customHeight="1">
      <c r="A531" s="82" t="n">
        <v>529</v>
      </c>
      <c r="B531" s="83" t="inlineStr">
        <is>
          <t>KKR</t>
        </is>
      </c>
      <c r="C531" s="84" t="inlineStr">
        <is>
          <t>KKR &amp; Co. Inc.</t>
        </is>
      </c>
      <c r="D531" s="82" t="inlineStr">
        <is>
          <t>Financials</t>
        </is>
      </c>
      <c r="E531" s="82" t="n">
        <v>2026</v>
      </c>
      <c r="F531" s="85" t="n">
        <v>410144.1</v>
      </c>
      <c r="G531" s="91" t="inlineStr">
        <is>
          <t>N/A</t>
        </is>
      </c>
      <c r="H531" s="91" t="inlineStr">
        <is>
          <t>N/A</t>
        </is>
      </c>
      <c r="I531" s="85" t="n">
        <v>328512.2</v>
      </c>
      <c r="J531" s="85" t="n">
        <v>13884.4</v>
      </c>
      <c r="K531" s="85" t="n">
        <v>7099.2</v>
      </c>
      <c r="L531" s="85" t="n">
        <v>19464.3</v>
      </c>
      <c r="M531" s="85" t="n">
        <v>2370.5</v>
      </c>
      <c r="N531" s="85" t="n">
        <v>477.8</v>
      </c>
      <c r="O531" s="91" t="inlineStr">
        <is>
          <t>N/A</t>
        </is>
      </c>
      <c r="P531" s="85" t="n">
        <v>36914.5</v>
      </c>
      <c r="Q531" s="85" t="n">
        <v>30902.6</v>
      </c>
      <c r="R531" s="91" t="inlineStr">
        <is>
          <t>N/A</t>
        </is>
      </c>
      <c r="S531" s="85" t="n">
        <v>18.6</v>
      </c>
      <c r="T531" s="91" t="inlineStr">
        <is>
          <t>N/A</t>
        </is>
      </c>
      <c r="U531" s="85" t="n">
        <v>760.6</v>
      </c>
      <c r="V531" s="85" t="n">
        <v>2772.1</v>
      </c>
      <c r="W531" s="85" t="n">
        <v>360099.4</v>
      </c>
      <c r="X531" s="91" t="inlineStr">
        <is>
          <t>N/A</t>
        </is>
      </c>
      <c r="Y531" s="91" t="inlineStr">
        <is>
          <t>N/A</t>
        </is>
      </c>
      <c r="Z531" s="85" t="n">
        <v>298114.7</v>
      </c>
      <c r="AA531" s="85" t="n">
        <v>5860.4</v>
      </c>
      <c r="AB531" s="85" t="n">
        <v>21878.7</v>
      </c>
      <c r="AC531" s="85" t="n">
        <v>3076.2</v>
      </c>
      <c r="AD531" s="85" t="n">
        <v>6649.9</v>
      </c>
      <c r="AE531" s="91" t="inlineStr">
        <is>
          <t>N/A</t>
        </is>
      </c>
      <c r="AF531" s="85" t="n">
        <v>33501.2</v>
      </c>
      <c r="AG531" s="85" t="n">
        <v>23651.6</v>
      </c>
      <c r="AH531" s="85" t="n">
        <v>21878.7</v>
      </c>
      <c r="AI531" s="85" t="n">
        <v>360099.4</v>
      </c>
      <c r="AJ531" s="85" t="n">
        <v>7099.2</v>
      </c>
      <c r="AK531" s="85" t="n">
        <v>5860.4</v>
      </c>
      <c r="AL531" s="85" t="n">
        <v>953.7</v>
      </c>
      <c r="AM531" s="85" t="n">
        <v>954.4</v>
      </c>
      <c r="AN531" s="85" t="n">
        <v>194.6</v>
      </c>
      <c r="AO531" s="85" t="n">
        <v>102.7</v>
      </c>
      <c r="AP531" s="91" t="inlineStr">
        <is>
          <t>N/A</t>
        </is>
      </c>
      <c r="AQ531" s="91" t="inlineStr">
        <is>
          <t>N/A</t>
        </is>
      </c>
      <c r="AR531" s="85" t="n">
        <v>83.5</v>
      </c>
      <c r="AS531" s="85" t="n">
        <v>129.2</v>
      </c>
      <c r="AT531" s="91" t="inlineStr">
        <is>
          <t>N/A</t>
        </is>
      </c>
      <c r="AU531" s="91" t="inlineStr">
        <is>
          <t>N/A</t>
        </is>
      </c>
      <c r="AV531" s="85" t="n">
        <v>5363</v>
      </c>
      <c r="AW531" s="85" t="n">
        <v>2346.7</v>
      </c>
      <c r="AX531" s="85" t="n">
        <v>36914.5</v>
      </c>
      <c r="AY531" s="85" t="n">
        <v>33501.2</v>
      </c>
      <c r="AZ531" s="85" t="n">
        <v>31551.5</v>
      </c>
      <c r="BA531" s="85" t="n">
        <v>283.2</v>
      </c>
      <c r="BB531" s="85" t="n">
        <v>891.5</v>
      </c>
      <c r="BC531" s="85" t="n">
        <v>888.2</v>
      </c>
      <c r="BD531" s="91" t="inlineStr">
        <is>
          <t>N/A</t>
        </is>
      </c>
      <c r="BE531" s="85" t="n">
        <v>633</v>
      </c>
      <c r="BF531" s="91" t="inlineStr">
        <is>
          <t>N/A</t>
        </is>
      </c>
      <c r="BG531" s="85" t="n">
        <v>17.7</v>
      </c>
      <c r="BH531" s="85" t="n">
        <v>-16281.8</v>
      </c>
      <c r="BI531" s="85" t="n">
        <v>-19047.4</v>
      </c>
      <c r="BJ531" s="91" t="inlineStr">
        <is>
          <t>N/A</t>
        </is>
      </c>
      <c r="BK531" s="91" t="inlineStr">
        <is>
          <t>N/A</t>
        </is>
      </c>
      <c r="BL531" s="85" t="n">
        <v>17.4</v>
      </c>
      <c r="BM531" s="85" t="n">
        <v>19.1</v>
      </c>
      <c r="BN531" s="91" t="inlineStr">
        <is>
          <t>N/A</t>
        </is>
      </c>
      <c r="BO531" s="91" t="inlineStr">
        <is>
          <t>N/A</t>
        </is>
      </c>
      <c r="BP531" s="91" t="inlineStr">
        <is>
          <t>N/A</t>
        </is>
      </c>
      <c r="BQ531" s="91" t="inlineStr">
        <is>
          <t>N/A</t>
        </is>
      </c>
      <c r="BR531" s="91" t="inlineStr">
        <is>
          <t>N/A</t>
        </is>
      </c>
      <c r="BS531" s="91" t="inlineStr">
        <is>
          <t>N/A</t>
        </is>
      </c>
      <c r="BT531" s="91" t="inlineStr">
        <is>
          <t>N/A</t>
        </is>
      </c>
      <c r="BU531" s="91" t="inlineStr">
        <is>
          <t>N/A</t>
        </is>
      </c>
      <c r="BV531" s="91" t="inlineStr">
        <is>
          <t>N/A</t>
        </is>
      </c>
      <c r="BW531" s="85" t="n">
        <v>0</v>
      </c>
      <c r="BX531" s="85" t="n">
        <v>0</v>
      </c>
      <c r="BY531" s="85" t="n">
        <v>0</v>
      </c>
    </row>
    <row r="532" ht="17" customHeight="1">
      <c r="A532" s="86" t="n">
        <v>530</v>
      </c>
      <c r="B532" s="87" t="inlineStr">
        <is>
          <t>EAT</t>
        </is>
      </c>
      <c r="C532" s="88" t="inlineStr">
        <is>
          <t>BRINKER INTERNATIONAL, INC.</t>
        </is>
      </c>
      <c r="D532" s="86" t="inlineStr">
        <is>
          <t>Consumer Discretionary</t>
        </is>
      </c>
      <c r="E532" s="86" t="n">
        <v>2026</v>
      </c>
      <c r="F532" s="89" t="n">
        <v>2678.6</v>
      </c>
      <c r="G532" s="89" t="n">
        <v>207</v>
      </c>
      <c r="H532" s="89" t="n">
        <v>675.6</v>
      </c>
      <c r="I532" s="89" t="n">
        <v>2678.6</v>
      </c>
      <c r="J532" s="89" t="n">
        <v>186.5</v>
      </c>
      <c r="K532" s="89" t="n">
        <v>512</v>
      </c>
      <c r="L532" s="89" t="n">
        <v>5384.2</v>
      </c>
      <c r="M532" s="89" t="n">
        <v>383.1</v>
      </c>
      <c r="N532" s="89" t="n">
        <v>679</v>
      </c>
      <c r="O532" s="89" t="n">
        <v>4516.4</v>
      </c>
      <c r="P532" s="89" t="n">
        <v>1292.2</v>
      </c>
      <c r="Q532" s="89" t="n">
        <v>370.9</v>
      </c>
      <c r="R532" s="89" t="n">
        <v>222</v>
      </c>
      <c r="S532" s="89" t="n">
        <v>150.2</v>
      </c>
      <c r="T532" s="89" t="n">
        <v>73.40000000000001</v>
      </c>
      <c r="U532" s="89" t="n">
        <v>952.7</v>
      </c>
      <c r="V532" s="89" t="n">
        <v>53.1</v>
      </c>
      <c r="W532" s="89" t="n">
        <v>2593.1</v>
      </c>
      <c r="X532" s="89" t="n">
        <v>234.1</v>
      </c>
      <c r="Y532" s="89" t="n">
        <v>622.3</v>
      </c>
      <c r="Z532" s="89" t="n">
        <v>2593.1</v>
      </c>
      <c r="AA532" s="89" t="n">
        <v>229.6</v>
      </c>
      <c r="AB532" s="89" t="n">
        <v>4415.1</v>
      </c>
      <c r="AC532" s="89" t="n">
        <v>155.3</v>
      </c>
      <c r="AD532" s="89" t="n">
        <v>421.9</v>
      </c>
      <c r="AE532" s="89" t="n">
        <v>3616.5</v>
      </c>
      <c r="AF532" s="89" t="n">
        <v>1080</v>
      </c>
      <c r="AG532" s="89" t="n">
        <v>39.4</v>
      </c>
      <c r="AH532" s="89" t="n">
        <v>4415.1</v>
      </c>
      <c r="AI532" s="89" t="n">
        <v>2593.1</v>
      </c>
      <c r="AJ532" s="89" t="n">
        <v>460</v>
      </c>
      <c r="AK532" s="89" t="n">
        <v>164.9</v>
      </c>
      <c r="AL532" s="89" t="n">
        <v>76.90000000000001</v>
      </c>
      <c r="AM532" s="89" t="n">
        <v>9.6</v>
      </c>
      <c r="AN532" s="89" t="n">
        <v>265.3</v>
      </c>
      <c r="AO532" s="89" t="n">
        <v>198.9</v>
      </c>
      <c r="AP532" s="89" t="n">
        <v>35.2</v>
      </c>
      <c r="AQ532" s="89" t="n">
        <v>34.5</v>
      </c>
      <c r="AR532" s="89" t="n">
        <v>194.7</v>
      </c>
      <c r="AS532" s="89" t="n">
        <v>7.4</v>
      </c>
      <c r="AT532" s="90" t="inlineStr">
        <is>
          <t>N/A</t>
        </is>
      </c>
      <c r="AU532" s="90" t="inlineStr">
        <is>
          <t>N/A</t>
        </is>
      </c>
      <c r="AV532" s="89" t="n">
        <v>18.9</v>
      </c>
      <c r="AW532" s="89" t="n">
        <v>64.59999999999999</v>
      </c>
      <c r="AX532" s="89" t="n">
        <v>1292.2</v>
      </c>
      <c r="AY532" s="89" t="n">
        <v>1080</v>
      </c>
      <c r="AZ532" s="89" t="n">
        <v>1273.3</v>
      </c>
      <c r="BA532" s="89" t="n">
        <v>413.7</v>
      </c>
      <c r="BB532" s="89" t="n">
        <v>44.5</v>
      </c>
      <c r="BC532" s="89" t="n">
        <v>45</v>
      </c>
      <c r="BD532" s="89" t="n">
        <v>60.6</v>
      </c>
      <c r="BE532" s="89" t="n">
        <v>879.7</v>
      </c>
      <c r="BF532" s="89" t="n">
        <v>183.7</v>
      </c>
      <c r="BG532" s="89" t="n">
        <v>162.3</v>
      </c>
      <c r="BH532" s="89" t="n">
        <v>-263.4</v>
      </c>
      <c r="BI532" s="89" t="n">
        <v>-192.2</v>
      </c>
      <c r="BJ532" s="89" t="n">
        <v>168.5</v>
      </c>
      <c r="BK532" s="89" t="n">
        <v>160.6</v>
      </c>
      <c r="BL532" s="89" t="n">
        <v>1.1</v>
      </c>
      <c r="BM532" s="89" t="n">
        <v>1.4</v>
      </c>
      <c r="BN532" s="89" t="n">
        <v>6.5</v>
      </c>
      <c r="BO532" s="89" t="n">
        <v>867.8</v>
      </c>
      <c r="BP532" s="89" t="n">
        <v>798.6</v>
      </c>
      <c r="BQ532" s="89" t="n">
        <v>0</v>
      </c>
      <c r="BR532" s="89" t="n">
        <v>0</v>
      </c>
      <c r="BS532" s="89" t="n">
        <v>0</v>
      </c>
      <c r="BT532" s="89" t="n">
        <v>0</v>
      </c>
      <c r="BU532" s="89" t="n">
        <v>0</v>
      </c>
      <c r="BV532" s="89" t="n">
        <v>0</v>
      </c>
      <c r="BW532" s="89" t="n">
        <v>0</v>
      </c>
      <c r="BX532" s="89" t="n">
        <v>0</v>
      </c>
      <c r="BY532" s="89" t="n">
        <v>0</v>
      </c>
    </row>
    <row r="533" ht="17" customHeight="1">
      <c r="A533" s="82" t="n">
        <v>531</v>
      </c>
      <c r="B533" s="83" t="inlineStr">
        <is>
          <t>CTAS</t>
        </is>
      </c>
      <c r="C533" s="84" t="inlineStr">
        <is>
          <t>Cintas Corporation</t>
        </is>
      </c>
      <c r="D533" s="82" t="inlineStr">
        <is>
          <t>Industrials</t>
        </is>
      </c>
      <c r="E533" s="82" t="n">
        <v>2026</v>
      </c>
      <c r="F533" s="85" t="n">
        <v>9825.200000000001</v>
      </c>
      <c r="G533" s="85" t="n">
        <v>3436.2</v>
      </c>
      <c r="H533" s="85" t="n">
        <v>1644.5</v>
      </c>
      <c r="I533" s="85" t="n">
        <v>9825.200000000001</v>
      </c>
      <c r="J533" s="85" t="n">
        <v>11798.5</v>
      </c>
      <c r="K533" s="85" t="n">
        <v>2359.7</v>
      </c>
      <c r="L533" s="85" t="n">
        <v>1619.6</v>
      </c>
      <c r="M533" s="85" t="n">
        <v>1812.3</v>
      </c>
      <c r="N533" s="85" t="n">
        <v>2165.9</v>
      </c>
      <c r="O533" s="85" t="n">
        <v>5174.2</v>
      </c>
      <c r="P533" s="85" t="n">
        <v>2425</v>
      </c>
      <c r="Q533" s="85" t="n">
        <v>4684.5</v>
      </c>
      <c r="R533" s="85" t="n">
        <v>2814.4</v>
      </c>
      <c r="S533" s="85" t="n">
        <v>494.2</v>
      </c>
      <c r="T533" s="85" t="n">
        <v>1417.4</v>
      </c>
      <c r="U533" s="85" t="n">
        <v>1652.5</v>
      </c>
      <c r="V533" s="85" t="n">
        <v>111.2</v>
      </c>
      <c r="W533" s="85" t="n">
        <v>9168.799999999999</v>
      </c>
      <c r="X533" s="85" t="n">
        <v>3185.2</v>
      </c>
      <c r="Y533" s="85" t="n">
        <v>1828.5</v>
      </c>
      <c r="Z533" s="85" t="n">
        <v>9168.799999999999</v>
      </c>
      <c r="AA533" s="85" t="n">
        <v>2068.6</v>
      </c>
      <c r="AB533" s="85" t="n">
        <v>1810.6</v>
      </c>
      <c r="AC533" s="85" t="n">
        <v>1571.6</v>
      </c>
      <c r="AD533" s="85" t="n">
        <v>2079.8</v>
      </c>
      <c r="AE533" s="85" t="n">
        <v>4686.4</v>
      </c>
      <c r="AF533" s="85" t="n">
        <v>2025.9</v>
      </c>
      <c r="AG533" s="85" t="n">
        <v>4316.4</v>
      </c>
      <c r="AH533" s="85" t="n">
        <v>1843.7</v>
      </c>
      <c r="AI533" s="85" t="n">
        <v>9168.799999999999</v>
      </c>
      <c r="AJ533" s="85" t="n">
        <v>2264.2</v>
      </c>
      <c r="AK533" s="85" t="n">
        <v>1973.6</v>
      </c>
      <c r="AL533" s="85" t="n">
        <v>451.9</v>
      </c>
      <c r="AM533" s="85" t="n">
        <v>402</v>
      </c>
      <c r="AN533" s="85" t="n">
        <v>408.9</v>
      </c>
      <c r="AO533" s="85" t="n">
        <v>409.5</v>
      </c>
      <c r="AP533" s="85" t="n">
        <v>447.4</v>
      </c>
      <c r="AQ533" s="85" t="n">
        <v>410.2</v>
      </c>
      <c r="AR533" s="85" t="n">
        <v>3400.2</v>
      </c>
      <c r="AS533" s="85" t="n">
        <v>694.4</v>
      </c>
      <c r="AT533" s="91" t="inlineStr">
        <is>
          <t>N/A</t>
        </is>
      </c>
      <c r="AU533" s="91" t="inlineStr">
        <is>
          <t>N/A</t>
        </is>
      </c>
      <c r="AV533" s="85" t="n">
        <v>264</v>
      </c>
      <c r="AW533" s="85" t="n">
        <v>342</v>
      </c>
      <c r="AX533" s="85" t="n">
        <v>2425</v>
      </c>
      <c r="AY533" s="85" t="n">
        <v>2338.2</v>
      </c>
      <c r="AZ533" s="85" t="n">
        <v>2161</v>
      </c>
      <c r="BA533" s="85" t="n">
        <v>1757</v>
      </c>
      <c r="BB533" s="85" t="n">
        <v>402.9</v>
      </c>
      <c r="BC533" s="85" t="n">
        <v>101.3</v>
      </c>
      <c r="BD533" s="85" t="n">
        <v>1244.2</v>
      </c>
      <c r="BE533" s="85" t="n">
        <v>1534.2</v>
      </c>
      <c r="BF533" s="85" t="n">
        <v>2617.8</v>
      </c>
      <c r="BG533" s="85" t="n">
        <v>442.4</v>
      </c>
      <c r="BH533" s="85" t="n">
        <v>-623.6</v>
      </c>
      <c r="BI533" s="85" t="n">
        <v>-608.6</v>
      </c>
      <c r="BJ533" s="85" t="n">
        <v>485.1</v>
      </c>
      <c r="BK533" s="85" t="n">
        <v>339.2</v>
      </c>
      <c r="BL533" s="91" t="inlineStr">
        <is>
          <t>N/A</t>
        </is>
      </c>
      <c r="BM533" s="91" t="inlineStr">
        <is>
          <t>N/A</t>
        </is>
      </c>
      <c r="BN533" s="85" t="n">
        <v>4</v>
      </c>
      <c r="BO533" s="85" t="n">
        <v>5166</v>
      </c>
      <c r="BP533" s="85" t="n">
        <v>4910.2</v>
      </c>
      <c r="BQ533" s="85" t="n">
        <v>0</v>
      </c>
      <c r="BR533" s="85" t="n">
        <v>0</v>
      </c>
      <c r="BS533" s="85" t="n">
        <v>0</v>
      </c>
      <c r="BT533" s="85" t="n">
        <v>0</v>
      </c>
      <c r="BU533" s="85" t="n">
        <v>0</v>
      </c>
      <c r="BV533" s="85" t="n">
        <v>0</v>
      </c>
      <c r="BW533" s="85" t="n">
        <v>0</v>
      </c>
      <c r="BX533" s="85" t="n">
        <v>0</v>
      </c>
      <c r="BY533" s="85" t="n">
        <v>0</v>
      </c>
    </row>
    <row r="534" ht="17" customHeight="1">
      <c r="A534" s="86" t="n">
        <v>532</v>
      </c>
      <c r="B534" s="87" t="inlineStr">
        <is>
          <t>ROST</t>
        </is>
      </c>
      <c r="C534" s="88" t="inlineStr">
        <is>
          <t>Ross Stores, Inc.</t>
        </is>
      </c>
      <c r="D534" s="86" t="inlineStr">
        <is>
          <t>Consumer Discretionary</t>
        </is>
      </c>
      <c r="E534" s="86" t="n">
        <v>2026</v>
      </c>
      <c r="F534" s="89" t="n">
        <v>15548.7</v>
      </c>
      <c r="G534" s="89" t="n">
        <v>7640.1</v>
      </c>
      <c r="H534" s="89" t="n">
        <v>4827.2</v>
      </c>
      <c r="I534" s="89" t="n">
        <v>15548.7</v>
      </c>
      <c r="J534" s="89" t="n">
        <v>4726.2</v>
      </c>
      <c r="K534" s="89" t="n">
        <v>2707.4</v>
      </c>
      <c r="L534" s="89" t="n">
        <v>22750.6</v>
      </c>
      <c r="M534" s="89" t="n">
        <v>2145</v>
      </c>
      <c r="N534" s="89" t="n">
        <v>3026.9</v>
      </c>
      <c r="O534" s="89" t="n">
        <v>6303.3</v>
      </c>
      <c r="P534" s="89" t="n">
        <v>1517.6</v>
      </c>
      <c r="Q534" s="89" t="n">
        <v>6187.4</v>
      </c>
      <c r="R534" s="89" t="n">
        <v>3595.9</v>
      </c>
      <c r="S534" s="89" t="n">
        <v>509.4</v>
      </c>
      <c r="T534" s="89" t="n">
        <v>181.3</v>
      </c>
      <c r="U534" s="89" t="n">
        <v>4088.8</v>
      </c>
      <c r="V534" s="89" t="n">
        <v>13.1</v>
      </c>
      <c r="W534" s="89" t="n">
        <v>14905.3</v>
      </c>
      <c r="X534" s="89" t="n">
        <v>7538.7</v>
      </c>
      <c r="Y534" s="89" t="n">
        <v>4661.8</v>
      </c>
      <c r="Z534" s="89" t="n">
        <v>14905.3</v>
      </c>
      <c r="AA534" s="89" t="n">
        <v>2585.6</v>
      </c>
      <c r="AB534" s="89" t="n">
        <v>21129.2</v>
      </c>
      <c r="AC534" s="89" t="n">
        <v>2090.7</v>
      </c>
      <c r="AD534" s="89" t="n">
        <v>2357</v>
      </c>
      <c r="AE534" s="89" t="n">
        <v>5868.7</v>
      </c>
      <c r="AF534" s="89" t="n">
        <v>2214.8</v>
      </c>
      <c r="AG534" s="89" t="n">
        <v>5509.2</v>
      </c>
      <c r="AH534" s="89" t="n">
        <v>21129.2</v>
      </c>
      <c r="AI534" s="89" t="n">
        <v>14905.3</v>
      </c>
      <c r="AJ534" s="89" t="n">
        <v>2842.2</v>
      </c>
      <c r="AK534" s="89" t="n">
        <v>2757.2</v>
      </c>
      <c r="AL534" s="89" t="n">
        <v>697.1</v>
      </c>
      <c r="AM534" s="89" t="n">
        <v>666.4</v>
      </c>
      <c r="AN534" s="89" t="n">
        <v>819.3</v>
      </c>
      <c r="AO534" s="89" t="n">
        <v>720.1</v>
      </c>
      <c r="AP534" s="89" t="n">
        <v>2631</v>
      </c>
      <c r="AQ534" s="89" t="n">
        <v>2444.5</v>
      </c>
      <c r="AR534" s="89" t="n">
        <v>2.9</v>
      </c>
      <c r="AS534" s="90" t="inlineStr">
        <is>
          <t>N/A</t>
        </is>
      </c>
      <c r="AT534" s="89" t="n">
        <v>499.7</v>
      </c>
      <c r="AU534" s="90" t="inlineStr">
        <is>
          <t>N/A</t>
        </is>
      </c>
      <c r="AV534" s="89" t="n">
        <v>4594.4</v>
      </c>
      <c r="AW534" s="89" t="n">
        <v>4730.7</v>
      </c>
      <c r="AX534" s="89" t="n">
        <v>2017.3</v>
      </c>
      <c r="AY534" s="89" t="n">
        <v>2214.8</v>
      </c>
      <c r="AZ534" s="89" t="n">
        <v>-2577</v>
      </c>
      <c r="BA534" s="89" t="n">
        <v>2207.6</v>
      </c>
      <c r="BB534" s="89" t="n">
        <v>322.3</v>
      </c>
      <c r="BC534" s="89" t="n">
        <v>328.8</v>
      </c>
      <c r="BD534" s="89" t="n">
        <v>144.5</v>
      </c>
      <c r="BE534" s="89" t="n">
        <v>3792.4</v>
      </c>
      <c r="BF534" s="89" t="n">
        <v>3283.1</v>
      </c>
      <c r="BG534" s="89" t="n">
        <v>446.8</v>
      </c>
      <c r="BH534" s="89" t="n">
        <v>-819.3</v>
      </c>
      <c r="BI534" s="89" t="n">
        <v>-637.5</v>
      </c>
      <c r="BJ534" s="89" t="n">
        <v>2386.4</v>
      </c>
      <c r="BK534" s="89" t="n">
        <v>2126.3</v>
      </c>
      <c r="BL534" s="90" t="inlineStr">
        <is>
          <t>N/A</t>
        </is>
      </c>
      <c r="BM534" s="90" t="inlineStr">
        <is>
          <t>N/A</t>
        </is>
      </c>
      <c r="BN534" s="89" t="n">
        <v>61.8</v>
      </c>
      <c r="BO534" s="89" t="n">
        <v>16447.3</v>
      </c>
      <c r="BP534" s="89" t="n">
        <v>15260.5</v>
      </c>
      <c r="BQ534" s="89" t="n">
        <v>0</v>
      </c>
      <c r="BR534" s="89" t="n">
        <v>0</v>
      </c>
      <c r="BS534" s="89" t="n">
        <v>0</v>
      </c>
      <c r="BT534" s="89" t="n">
        <v>0</v>
      </c>
      <c r="BU534" s="89" t="n">
        <v>0</v>
      </c>
      <c r="BV534" s="89" t="n">
        <v>0</v>
      </c>
      <c r="BW534" s="89" t="n">
        <v>0</v>
      </c>
      <c r="BX534" s="89" t="n">
        <v>0</v>
      </c>
      <c r="BY534" s="89" t="n">
        <v>0</v>
      </c>
    </row>
    <row r="535" ht="17" customHeight="1">
      <c r="A535" s="82" t="n">
        <v>533</v>
      </c>
      <c r="B535" s="83" t="inlineStr">
        <is>
          <t>JBHT</t>
        </is>
      </c>
      <c r="C535" s="84" t="inlineStr">
        <is>
          <t>J.B. HUNT TRANSPORT SERVICES, INC.</t>
        </is>
      </c>
      <c r="D535" s="82" t="inlineStr">
        <is>
          <t>Industrials</t>
        </is>
      </c>
      <c r="E535" s="82" t="n">
        <v>2026</v>
      </c>
      <c r="F535" s="85" t="n">
        <v>7927.2</v>
      </c>
      <c r="G535" s="85" t="n">
        <v>1604.2</v>
      </c>
      <c r="H535" s="85" t="n">
        <v>1935.3</v>
      </c>
      <c r="I535" s="85" t="n">
        <v>4362.1</v>
      </c>
      <c r="J535" s="85" t="n">
        <v>7800.7</v>
      </c>
      <c r="K535" s="85" t="n">
        <v>865.1</v>
      </c>
      <c r="L535" s="85" t="n">
        <v>7189.6</v>
      </c>
      <c r="M535" s="85" t="n">
        <v>598.3</v>
      </c>
      <c r="N535" s="85" t="n">
        <v>1678.3</v>
      </c>
      <c r="O535" s="91" t="inlineStr">
        <is>
          <t>N/A</t>
        </is>
      </c>
      <c r="P535" s="85" t="n">
        <v>977.7</v>
      </c>
      <c r="Q535" s="85" t="n">
        <v>3565.1</v>
      </c>
      <c r="R535" s="85" t="n">
        <v>281.5</v>
      </c>
      <c r="S535" s="85" t="n">
        <v>714.8</v>
      </c>
      <c r="T535" s="85" t="n">
        <v>1160.4</v>
      </c>
      <c r="U535" s="85" t="n">
        <v>5538.1</v>
      </c>
      <c r="V535" s="85" t="n">
        <v>79</v>
      </c>
      <c r="W535" s="85" t="n">
        <v>8312.299999999999</v>
      </c>
      <c r="X535" s="85" t="n">
        <v>1771</v>
      </c>
      <c r="Y535" s="85" t="n">
        <v>1678</v>
      </c>
      <c r="Z535" s="85" t="n">
        <v>4297.8</v>
      </c>
      <c r="AA535" s="85" t="n">
        <v>831.2</v>
      </c>
      <c r="AB535" s="85" t="n">
        <v>1990.2</v>
      </c>
      <c r="AC535" s="85" t="n">
        <v>570.9</v>
      </c>
      <c r="AD535" s="85" t="n">
        <v>1483.2</v>
      </c>
      <c r="AE535" s="91" t="inlineStr">
        <is>
          <t>N/A</t>
        </is>
      </c>
      <c r="AF535" s="85" t="n">
        <v>1326.1</v>
      </c>
      <c r="AG535" s="85" t="n">
        <v>4014.5</v>
      </c>
      <c r="AH535" s="85" t="n">
        <v>1843.3</v>
      </c>
      <c r="AI535" s="85" t="n">
        <v>8312.299999999999</v>
      </c>
      <c r="AJ535" s="85" t="n">
        <v>794.1</v>
      </c>
      <c r="AK535" s="85" t="n">
        <v>759.5</v>
      </c>
      <c r="AL535" s="85" t="n">
        <v>195.8</v>
      </c>
      <c r="AM535" s="85" t="n">
        <v>188.6</v>
      </c>
      <c r="AN535" s="85" t="n">
        <v>730.7</v>
      </c>
      <c r="AO535" s="85" t="n">
        <v>865.4</v>
      </c>
      <c r="AP535" s="85" t="n">
        <v>42.2</v>
      </c>
      <c r="AQ535" s="85" t="n">
        <v>41.7</v>
      </c>
      <c r="AR535" s="85" t="n">
        <v>134.1</v>
      </c>
      <c r="AS535" s="85" t="n">
        <v>76.3</v>
      </c>
      <c r="AT535" s="85" t="n">
        <v>250</v>
      </c>
      <c r="AU535" s="91" t="inlineStr">
        <is>
          <t>N/A</t>
        </is>
      </c>
      <c r="AV535" s="85" t="n">
        <v>17.3</v>
      </c>
      <c r="AW535" s="85" t="n">
        <v>47</v>
      </c>
      <c r="AX535" s="85" t="n">
        <v>1227.7</v>
      </c>
      <c r="AY535" s="85" t="n">
        <v>1576.1</v>
      </c>
      <c r="AZ535" s="85" t="n">
        <v>1210.4</v>
      </c>
      <c r="BA535" s="85" t="n">
        <v>947.6</v>
      </c>
      <c r="BB535" s="85" t="n">
        <v>94.59999999999999</v>
      </c>
      <c r="BC535" s="85" t="n">
        <v>100.6</v>
      </c>
      <c r="BD535" s="85" t="n">
        <v>1224.2</v>
      </c>
      <c r="BE535" s="85" t="n">
        <v>5729.8</v>
      </c>
      <c r="BF535" s="85" t="n">
        <v>306.4</v>
      </c>
      <c r="BG535" s="85" t="n">
        <v>761.1</v>
      </c>
      <c r="BH535" s="85" t="n">
        <v>-574.8</v>
      </c>
      <c r="BI535" s="85" t="n">
        <v>-663.7</v>
      </c>
      <c r="BJ535" s="91" t="inlineStr">
        <is>
          <t>N/A</t>
        </is>
      </c>
      <c r="BK535" s="91" t="inlineStr">
        <is>
          <t>N/A</t>
        </is>
      </c>
      <c r="BL535" s="91" t="inlineStr">
        <is>
          <t>N/A</t>
        </is>
      </c>
      <c r="BM535" s="91" t="inlineStr">
        <is>
          <t>N/A</t>
        </is>
      </c>
      <c r="BN535" s="91" t="inlineStr">
        <is>
          <t>N/A</t>
        </is>
      </c>
      <c r="BO535" s="91" t="inlineStr">
        <is>
          <t>N/A</t>
        </is>
      </c>
      <c r="BP535" s="91" t="inlineStr">
        <is>
          <t>N/A</t>
        </is>
      </c>
      <c r="BQ535" s="85" t="n">
        <v>0</v>
      </c>
      <c r="BR535" s="85" t="n">
        <v>0</v>
      </c>
      <c r="BS535" s="91" t="inlineStr">
        <is>
          <t>N/A</t>
        </is>
      </c>
      <c r="BT535" s="91" t="inlineStr">
        <is>
          <t>N/A</t>
        </is>
      </c>
      <c r="BU535" s="91" t="inlineStr">
        <is>
          <t>N/A</t>
        </is>
      </c>
      <c r="BV535" s="91" t="inlineStr">
        <is>
          <t>N/A</t>
        </is>
      </c>
      <c r="BW535" s="85" t="n">
        <v>0</v>
      </c>
      <c r="BX535" s="85" t="n">
        <v>0</v>
      </c>
      <c r="BY535" s="85" t="n">
        <v>0</v>
      </c>
    </row>
    <row r="536" ht="17" customHeight="1">
      <c r="A536" s="86" t="n">
        <v>534</v>
      </c>
      <c r="B536" s="87" t="inlineStr">
        <is>
          <t>CE</t>
        </is>
      </c>
      <c r="C536" s="88" t="inlineStr">
        <is>
          <t>CELANESE CORPORATION</t>
        </is>
      </c>
      <c r="D536" s="86" t="inlineStr">
        <is>
          <t>Materials</t>
        </is>
      </c>
      <c r="E536" s="86" t="n">
        <v>2026</v>
      </c>
      <c r="F536" s="89" t="n">
        <v>21695</v>
      </c>
      <c r="G536" s="89" t="n">
        <v>5693</v>
      </c>
      <c r="H536" s="89" t="n">
        <v>3683</v>
      </c>
      <c r="I536" s="89" t="n">
        <v>21695</v>
      </c>
      <c r="J536" s="89" t="n">
        <v>9876</v>
      </c>
      <c r="K536" s="89" t="n">
        <v>-786</v>
      </c>
      <c r="L536" s="89" t="n">
        <v>9544</v>
      </c>
      <c r="M536" s="89" t="n">
        <v>-1165</v>
      </c>
      <c r="N536" s="89" t="n">
        <v>1146</v>
      </c>
      <c r="O536" s="89" t="n">
        <v>1952</v>
      </c>
      <c r="P536" s="89" t="n">
        <v>12614</v>
      </c>
      <c r="Q536" s="89" t="n">
        <v>4049</v>
      </c>
      <c r="R536" s="89" t="n">
        <v>899</v>
      </c>
      <c r="S536" s="89" t="n">
        <v>760</v>
      </c>
      <c r="T536" s="89" t="n">
        <v>922</v>
      </c>
      <c r="U536" s="89" t="n">
        <v>5076</v>
      </c>
      <c r="V536" s="89" t="n">
        <v>701</v>
      </c>
      <c r="W536" s="89" t="n">
        <v>22857</v>
      </c>
      <c r="X536" s="89" t="n">
        <v>5145</v>
      </c>
      <c r="Y536" s="89" t="n">
        <v>3853</v>
      </c>
      <c r="Z536" s="89" t="n">
        <v>22857</v>
      </c>
      <c r="AA536" s="89" t="n">
        <v>-697</v>
      </c>
      <c r="AB536" s="89" t="n">
        <v>10280</v>
      </c>
      <c r="AC536" s="89" t="n">
        <v>-1522</v>
      </c>
      <c r="AD536" s="89" t="n">
        <v>966</v>
      </c>
      <c r="AE536" s="89" t="n">
        <v>2356</v>
      </c>
      <c r="AF536" s="89" t="n">
        <v>12527</v>
      </c>
      <c r="AG536" s="89" t="n">
        <v>5175</v>
      </c>
      <c r="AH536" s="89" t="n">
        <v>10268</v>
      </c>
      <c r="AI536" s="89" t="n">
        <v>22838</v>
      </c>
      <c r="AJ536" s="89" t="n">
        <v>-1220</v>
      </c>
      <c r="AK536" s="89" t="n">
        <v>-996</v>
      </c>
      <c r="AL536" s="89" t="n">
        <v>-90</v>
      </c>
      <c r="AM536" s="89" t="n">
        <v>510</v>
      </c>
      <c r="AN536" s="89" t="n">
        <v>343</v>
      </c>
      <c r="AO536" s="89" t="n">
        <v>435</v>
      </c>
      <c r="AP536" s="89" t="n">
        <v>2220</v>
      </c>
      <c r="AQ536" s="89" t="n">
        <v>2284</v>
      </c>
      <c r="AR536" s="89" t="n">
        <v>4171</v>
      </c>
      <c r="AS536" s="89" t="n">
        <v>1949</v>
      </c>
      <c r="AT536" s="89" t="n">
        <v>1204</v>
      </c>
      <c r="AU536" s="89" t="n">
        <v>125</v>
      </c>
      <c r="AV536" s="89" t="n">
        <v>1508</v>
      </c>
      <c r="AW536" s="89" t="n">
        <v>536</v>
      </c>
      <c r="AX536" s="89" t="n">
        <v>13818</v>
      </c>
      <c r="AY536" s="89" t="n">
        <v>14028</v>
      </c>
      <c r="AZ536" s="89" t="n">
        <v>12310</v>
      </c>
      <c r="BA536" s="89" t="n">
        <v>803</v>
      </c>
      <c r="BB536" s="89" t="n">
        <v>109.3</v>
      </c>
      <c r="BC536" s="89" t="n">
        <v>108.9</v>
      </c>
      <c r="BD536" s="89" t="n">
        <v>1121</v>
      </c>
      <c r="BE536" s="89" t="n">
        <v>5273</v>
      </c>
      <c r="BF536" s="89" t="n">
        <v>1030</v>
      </c>
      <c r="BG536" s="89" t="n">
        <v>801</v>
      </c>
      <c r="BH536" s="89" t="n">
        <v>-349</v>
      </c>
      <c r="BI536" s="89" t="n">
        <v>-470</v>
      </c>
      <c r="BJ536" s="89" t="n">
        <v>1279</v>
      </c>
      <c r="BK536" s="89" t="n">
        <v>1228</v>
      </c>
      <c r="BL536" s="89" t="n">
        <v>6</v>
      </c>
      <c r="BM536" s="89" t="n">
        <v>9</v>
      </c>
      <c r="BN536" s="89" t="n">
        <v>76</v>
      </c>
      <c r="BO536" s="89" t="n">
        <v>7592</v>
      </c>
      <c r="BP536" s="89" t="n">
        <v>7924</v>
      </c>
      <c r="BQ536" s="89" t="n">
        <v>0</v>
      </c>
      <c r="BR536" s="89" t="n">
        <v>0</v>
      </c>
      <c r="BS536" s="89" t="n">
        <v>0</v>
      </c>
      <c r="BT536" s="89" t="n">
        <v>0</v>
      </c>
      <c r="BU536" s="89" t="n">
        <v>0</v>
      </c>
      <c r="BV536" s="89" t="n">
        <v>0</v>
      </c>
      <c r="BW536" s="89" t="n">
        <v>0</v>
      </c>
      <c r="BX536" s="89" t="n">
        <v>0</v>
      </c>
      <c r="BY536" s="89" t="n">
        <v>0</v>
      </c>
    </row>
    <row r="537" ht="17" customHeight="1">
      <c r="A537" s="82" t="n">
        <v>535</v>
      </c>
      <c r="B537" s="83" t="inlineStr">
        <is>
          <t>ILMN</t>
        </is>
      </c>
      <c r="C537" s="84" t="inlineStr">
        <is>
          <t>Illumina, Inc.</t>
        </is>
      </c>
      <c r="D537" s="82" t="inlineStr">
        <is>
          <t>Health Care</t>
        </is>
      </c>
      <c r="E537" s="82" t="n">
        <v>2026</v>
      </c>
      <c r="F537" s="85" t="n">
        <v>6644</v>
      </c>
      <c r="G537" s="85" t="n">
        <v>3289</v>
      </c>
      <c r="H537" s="85" t="n">
        <v>1585</v>
      </c>
      <c r="I537" s="85" t="n">
        <v>6644</v>
      </c>
      <c r="J537" s="85" t="n">
        <v>-392</v>
      </c>
      <c r="K537" s="85" t="n">
        <v>807</v>
      </c>
      <c r="L537" s="85" t="n">
        <v>4343</v>
      </c>
      <c r="M537" s="85" t="n">
        <v>850</v>
      </c>
      <c r="N537" s="85" t="n">
        <v>1079</v>
      </c>
      <c r="O537" s="85" t="n">
        <v>2870</v>
      </c>
      <c r="P537" s="85" t="n">
        <v>673</v>
      </c>
      <c r="Q537" s="85" t="n">
        <v>2723</v>
      </c>
      <c r="R537" s="85" t="n">
        <v>1086</v>
      </c>
      <c r="S537" s="85" t="n">
        <v>270</v>
      </c>
      <c r="T537" s="85" t="n">
        <v>854</v>
      </c>
      <c r="U537" s="85" t="n">
        <v>759</v>
      </c>
      <c r="V537" s="85" t="n">
        <v>77</v>
      </c>
      <c r="W537" s="85" t="n">
        <v>6303</v>
      </c>
      <c r="X537" s="85" t="n">
        <v>2746</v>
      </c>
      <c r="Y537" s="85" t="n">
        <v>1547</v>
      </c>
      <c r="Z537" s="85" t="n">
        <v>6303</v>
      </c>
      <c r="AA537" s="85" t="n">
        <v>-833</v>
      </c>
      <c r="AB537" s="85" t="n">
        <v>4372</v>
      </c>
      <c r="AC537" s="85" t="n">
        <v>-1223</v>
      </c>
      <c r="AD537" s="85" t="n">
        <v>837</v>
      </c>
      <c r="AE537" s="85" t="n">
        <v>2861</v>
      </c>
      <c r="AF537" s="85" t="n">
        <v>1141</v>
      </c>
      <c r="AG537" s="85" t="n">
        <v>2373</v>
      </c>
      <c r="AH537" s="85" t="n">
        <v>4372</v>
      </c>
      <c r="AI537" s="85" t="n">
        <v>6303</v>
      </c>
      <c r="AJ537" s="85" t="n">
        <v>1086</v>
      </c>
      <c r="AK537" s="85" t="n">
        <v>-1179</v>
      </c>
      <c r="AL537" s="85" t="n">
        <v>236</v>
      </c>
      <c r="AM537" s="85" t="n">
        <v>44</v>
      </c>
      <c r="AN537" s="85" t="n">
        <v>148</v>
      </c>
      <c r="AO537" s="85" t="n">
        <v>128</v>
      </c>
      <c r="AP537" s="85" t="n">
        <v>564</v>
      </c>
      <c r="AQ537" s="85" t="n">
        <v>547</v>
      </c>
      <c r="AR537" s="85" t="n">
        <v>1113</v>
      </c>
      <c r="AS537" s="85" t="n">
        <v>210</v>
      </c>
      <c r="AT537" s="85" t="n">
        <v>499</v>
      </c>
      <c r="AU537" s="85" t="n">
        <v>967</v>
      </c>
      <c r="AV537" s="85" t="n">
        <v>1144</v>
      </c>
      <c r="AW537" s="85" t="n">
        <v>1225</v>
      </c>
      <c r="AX537" s="85" t="n">
        <v>1172</v>
      </c>
      <c r="AY537" s="85" t="n">
        <v>1640</v>
      </c>
      <c r="AZ537" s="85" t="n">
        <v>28</v>
      </c>
      <c r="BA537" s="85" t="n">
        <v>931</v>
      </c>
      <c r="BB537" s="85" t="n">
        <v>153</v>
      </c>
      <c r="BC537" s="85" t="n">
        <v>159</v>
      </c>
      <c r="BD537" s="85" t="n">
        <v>735</v>
      </c>
      <c r="BE537" s="85" t="n">
        <v>815</v>
      </c>
      <c r="BF537" s="85" t="n">
        <v>1092</v>
      </c>
      <c r="BG537" s="85" t="n">
        <v>354</v>
      </c>
      <c r="BH537" s="85" t="n">
        <v>-55</v>
      </c>
      <c r="BI537" s="85" t="n">
        <v>-178</v>
      </c>
      <c r="BJ537" s="85" t="n">
        <v>240</v>
      </c>
      <c r="BK537" s="85" t="n">
        <v>221</v>
      </c>
      <c r="BL537" s="85" t="n">
        <v>130</v>
      </c>
      <c r="BM537" s="85" t="n">
        <v>120.6</v>
      </c>
      <c r="BN537" s="85" t="n">
        <v>38.9</v>
      </c>
      <c r="BO537" s="85" t="n">
        <v>563.6</v>
      </c>
      <c r="BP537" s="85" t="n">
        <v>509.3</v>
      </c>
      <c r="BQ537" s="85" t="n">
        <v>0</v>
      </c>
      <c r="BR537" s="85" t="n">
        <v>0</v>
      </c>
      <c r="BS537" s="85" t="n">
        <v>0</v>
      </c>
      <c r="BT537" s="85" t="n">
        <v>0</v>
      </c>
      <c r="BU537" s="85" t="n">
        <v>0</v>
      </c>
      <c r="BV537" s="85" t="n">
        <v>0</v>
      </c>
      <c r="BW537" s="85" t="n">
        <v>0</v>
      </c>
      <c r="BX537" s="85" t="n">
        <v>0</v>
      </c>
      <c r="BY537" s="85" t="n">
        <v>0</v>
      </c>
    </row>
    <row r="538" ht="17" customHeight="1">
      <c r="A538" s="86" t="n">
        <v>536</v>
      </c>
      <c r="B538" s="87" t="inlineStr">
        <is>
          <t>SBUX</t>
        </is>
      </c>
      <c r="C538" s="88" t="inlineStr">
        <is>
          <t>Starbucks Corporation</t>
        </is>
      </c>
      <c r="D538" s="86" t="inlineStr">
        <is>
          <t>Consumer Discretionary</t>
        </is>
      </c>
      <c r="E538" s="86" t="n">
        <v>2026</v>
      </c>
      <c r="F538" s="89" t="n">
        <v>32019.7</v>
      </c>
      <c r="G538" s="89" t="n">
        <v>7382.3</v>
      </c>
      <c r="H538" s="89" t="n">
        <v>10210.4</v>
      </c>
      <c r="I538" s="89" t="n">
        <v>40108.9</v>
      </c>
      <c r="J538" s="89" t="n">
        <v>-8272.5</v>
      </c>
      <c r="K538" s="89" t="n">
        <v>2936.6</v>
      </c>
      <c r="L538" s="89" t="n">
        <v>37184.4</v>
      </c>
      <c r="M538" s="89" t="n">
        <v>1856.4</v>
      </c>
      <c r="N538" s="89" t="n">
        <v>4747.5</v>
      </c>
      <c r="O538" s="89" t="n">
        <v>28657.5</v>
      </c>
      <c r="P538" s="89" t="n">
        <v>16074.8</v>
      </c>
      <c r="Q538" s="89" t="n">
        <v>-8096.6</v>
      </c>
      <c r="R538" s="89" t="n">
        <v>2617.2</v>
      </c>
      <c r="S538" s="89" t="n">
        <v>1684.7</v>
      </c>
      <c r="T538" s="89" t="n">
        <v>1277.5</v>
      </c>
      <c r="U538" s="89" t="n">
        <v>8493.5</v>
      </c>
      <c r="V538" s="89" t="n">
        <v>542.6</v>
      </c>
      <c r="W538" s="89" t="n">
        <v>31339.3</v>
      </c>
      <c r="X538" s="89" t="n">
        <v>6847.4</v>
      </c>
      <c r="Y538" s="89" t="n">
        <v>9070</v>
      </c>
      <c r="Z538" s="89" t="n">
        <v>38780.9</v>
      </c>
      <c r="AA538" s="89" t="n">
        <v>5408.8</v>
      </c>
      <c r="AB538" s="89" t="n">
        <v>36176.2</v>
      </c>
      <c r="AC538" s="89" t="n">
        <v>3760.9</v>
      </c>
      <c r="AD538" s="89" t="n">
        <v>6095.6</v>
      </c>
      <c r="AE538" s="89" t="n">
        <v>26001.7</v>
      </c>
      <c r="AF538" s="89" t="n">
        <v>15568.4</v>
      </c>
      <c r="AG538" s="89" t="n">
        <v>-7448.9</v>
      </c>
      <c r="AH538" s="89" t="n">
        <v>36176.2</v>
      </c>
      <c r="AI538" s="89" t="n">
        <v>31339.3</v>
      </c>
      <c r="AJ538" s="89" t="n">
        <v>2507.3</v>
      </c>
      <c r="AK538" s="89" t="n">
        <v>4969.6</v>
      </c>
      <c r="AL538" s="89" t="n">
        <v>650.6</v>
      </c>
      <c r="AM538" s="89" t="n">
        <v>1207.3</v>
      </c>
      <c r="AN538" s="89" t="n">
        <v>2305.5</v>
      </c>
      <c r="AO538" s="89" t="n">
        <v>2777.5</v>
      </c>
      <c r="AP538" s="89" t="n">
        <v>2185.6</v>
      </c>
      <c r="AQ538" s="89" t="n">
        <v>1777.3</v>
      </c>
      <c r="AR538" s="89" t="n">
        <v>3368.9</v>
      </c>
      <c r="AS538" s="89" t="n">
        <v>87.3</v>
      </c>
      <c r="AT538" s="90" t="inlineStr">
        <is>
          <t>N/A</t>
        </is>
      </c>
      <c r="AU538" s="90" t="inlineStr">
        <is>
          <t>N/A</t>
        </is>
      </c>
      <c r="AV538" s="89" t="n">
        <v>6455.7</v>
      </c>
      <c r="AW538" s="89" t="n">
        <v>4350.9</v>
      </c>
      <c r="AX538" s="89" t="n">
        <v>16074.8</v>
      </c>
      <c r="AY538" s="89" t="n">
        <v>15601.9</v>
      </c>
      <c r="AZ538" s="89" t="n">
        <v>9619.1</v>
      </c>
      <c r="BA538" s="89" t="n">
        <v>2442</v>
      </c>
      <c r="BB538" s="89" t="n">
        <v>1136.9</v>
      </c>
      <c r="BC538" s="89" t="n">
        <v>1133.5</v>
      </c>
      <c r="BD538" s="89" t="n">
        <v>1213.8</v>
      </c>
      <c r="BE538" s="89" t="n">
        <v>8665.5</v>
      </c>
      <c r="BF538" s="89" t="n">
        <v>2523.3</v>
      </c>
      <c r="BG538" s="89" t="n">
        <v>1512.6</v>
      </c>
      <c r="BH538" s="89" t="n">
        <v>-2485.4</v>
      </c>
      <c r="BI538" s="89" t="n">
        <v>-2699.2</v>
      </c>
      <c r="BJ538" s="89" t="n">
        <v>1852.8</v>
      </c>
      <c r="BK538" s="89" t="n">
        <v>1595.5</v>
      </c>
      <c r="BL538" s="89" t="n">
        <v>1840.6</v>
      </c>
      <c r="BM538" s="89" t="n">
        <v>1781.2</v>
      </c>
      <c r="BN538" s="89" t="n">
        <v>150.3</v>
      </c>
      <c r="BO538" s="89" t="n">
        <v>8526.9</v>
      </c>
      <c r="BP538" s="89" t="n">
        <v>10174.5</v>
      </c>
      <c r="BQ538" s="89" t="n">
        <v>0</v>
      </c>
      <c r="BR538" s="89" t="n">
        <v>0</v>
      </c>
      <c r="BS538" s="89" t="n">
        <v>0</v>
      </c>
      <c r="BT538" s="89" t="n">
        <v>0</v>
      </c>
      <c r="BU538" s="89" t="n">
        <v>0</v>
      </c>
      <c r="BV538" s="89" t="n">
        <v>0</v>
      </c>
      <c r="BW538" s="89" t="n">
        <v>0</v>
      </c>
      <c r="BX538" s="89" t="n">
        <v>0</v>
      </c>
      <c r="BY538" s="89" t="n">
        <v>0</v>
      </c>
    </row>
    <row r="539" ht="17" customHeight="1">
      <c r="A539" s="82" t="n">
        <v>537</v>
      </c>
      <c r="B539" s="83" t="inlineStr">
        <is>
          <t>CMCSA</t>
        </is>
      </c>
      <c r="C539" s="84" t="inlineStr">
        <is>
          <t>Comcast Corporation</t>
        </is>
      </c>
      <c r="D539" s="82" t="inlineStr">
        <is>
          <t>Communication Services</t>
        </is>
      </c>
      <c r="E539" s="82" t="n">
        <v>2026</v>
      </c>
      <c r="F539" s="85" t="n">
        <v>272631</v>
      </c>
      <c r="G539" s="85" t="n">
        <v>29567</v>
      </c>
      <c r="H539" s="85" t="n">
        <v>33524</v>
      </c>
      <c r="I539" s="85" t="n">
        <v>272631</v>
      </c>
      <c r="J539" s="85" t="n">
        <v>66675</v>
      </c>
      <c r="K539" s="85" t="n">
        <v>20672</v>
      </c>
      <c r="L539" s="85" t="n">
        <v>121572</v>
      </c>
      <c r="M539" s="85" t="n">
        <v>19998</v>
      </c>
      <c r="N539" s="85" t="n">
        <v>33643</v>
      </c>
      <c r="O539" s="91" t="inlineStr">
        <is>
          <t>N/A</t>
        </is>
      </c>
      <c r="P539" s="91" t="inlineStr">
        <is>
          <t>N/A</t>
        </is>
      </c>
      <c r="Q539" s="85" t="n">
        <v>96903</v>
      </c>
      <c r="R539" s="85" t="n">
        <v>8091</v>
      </c>
      <c r="S539" s="85" t="n">
        <v>13804</v>
      </c>
      <c r="T539" s="85" t="n">
        <v>13869</v>
      </c>
      <c r="U539" s="85" t="n">
        <v>65680</v>
      </c>
      <c r="V539" s="85" t="n">
        <v>4087</v>
      </c>
      <c r="W539" s="85" t="n">
        <v>266211</v>
      </c>
      <c r="X539" s="85" t="n">
        <v>26801</v>
      </c>
      <c r="Y539" s="85" t="n">
        <v>39581</v>
      </c>
      <c r="Z539" s="85" t="n">
        <v>266211</v>
      </c>
      <c r="AA539" s="85" t="n">
        <v>23297</v>
      </c>
      <c r="AB539" s="85" t="n">
        <v>121427</v>
      </c>
      <c r="AC539" s="85" t="n">
        <v>16192</v>
      </c>
      <c r="AD539" s="85" t="n">
        <v>27673</v>
      </c>
      <c r="AE539" s="91" t="inlineStr">
        <is>
          <t>N/A</t>
        </is>
      </c>
      <c r="AF539" s="91" t="inlineStr">
        <is>
          <t>N/A</t>
        </is>
      </c>
      <c r="AG539" s="85" t="n">
        <v>85560</v>
      </c>
      <c r="AH539" s="85" t="n">
        <v>121427</v>
      </c>
      <c r="AI539" s="85" t="n">
        <v>266211</v>
      </c>
      <c r="AJ539" s="85" t="n">
        <v>25766</v>
      </c>
      <c r="AK539" s="85" t="n">
        <v>18673</v>
      </c>
      <c r="AL539" s="85" t="n">
        <v>6106</v>
      </c>
      <c r="AM539" s="85" t="n">
        <v>2796</v>
      </c>
      <c r="AN539" s="85" t="n">
        <v>11750</v>
      </c>
      <c r="AO539" s="85" t="n">
        <v>12181</v>
      </c>
      <c r="AP539" s="91" t="inlineStr">
        <is>
          <t>N/A</t>
        </is>
      </c>
      <c r="AQ539" s="91" t="inlineStr">
        <is>
          <t>N/A</t>
        </is>
      </c>
      <c r="AR539" s="85" t="n">
        <v>61502</v>
      </c>
      <c r="AS539" s="85" t="n">
        <v>3602</v>
      </c>
      <c r="AT539" s="85" t="n">
        <v>5958</v>
      </c>
      <c r="AU539" s="91" t="inlineStr">
        <is>
          <t>N/A</t>
        </is>
      </c>
      <c r="AV539" s="85" t="n">
        <v>9481</v>
      </c>
      <c r="AW539" s="85" t="n">
        <v>7322</v>
      </c>
      <c r="AX539" s="85" t="n">
        <v>5958</v>
      </c>
      <c r="AY539" s="91" t="inlineStr">
        <is>
          <t>N/A</t>
        </is>
      </c>
      <c r="AZ539" s="85" t="n">
        <v>-3523</v>
      </c>
      <c r="BA539" s="85" t="n">
        <v>21893</v>
      </c>
      <c r="BB539" s="91" t="inlineStr">
        <is>
          <t>N/A</t>
        </is>
      </c>
      <c r="BC539" s="91" t="inlineStr">
        <is>
          <t>N/A</t>
        </is>
      </c>
      <c r="BD539" s="85" t="n">
        <v>13661</v>
      </c>
      <c r="BE539" s="85" t="n">
        <v>62548</v>
      </c>
      <c r="BF539" s="85" t="n">
        <v>7662</v>
      </c>
      <c r="BG539" s="85" t="n">
        <v>13100</v>
      </c>
      <c r="BH539" s="85" t="n">
        <v>-16157</v>
      </c>
      <c r="BI539" s="85" t="n">
        <v>-15670</v>
      </c>
      <c r="BJ539" s="85" t="n">
        <v>11058</v>
      </c>
      <c r="BK539" s="85" t="n">
        <v>11321</v>
      </c>
      <c r="BL539" s="85" t="n">
        <v>4097</v>
      </c>
      <c r="BM539" s="85" t="n">
        <v>3507</v>
      </c>
      <c r="BN539" s="91" t="inlineStr">
        <is>
          <t>N/A</t>
        </is>
      </c>
      <c r="BO539" s="91" t="inlineStr">
        <is>
          <t>N/A</t>
        </is>
      </c>
      <c r="BP539" s="91" t="inlineStr">
        <is>
          <t>N/A</t>
        </is>
      </c>
      <c r="BQ539" s="85" t="n">
        <v>0</v>
      </c>
      <c r="BR539" s="85" t="n">
        <v>0</v>
      </c>
      <c r="BS539" s="91" t="inlineStr">
        <is>
          <t>N/A</t>
        </is>
      </c>
      <c r="BT539" s="91" t="inlineStr">
        <is>
          <t>N/A</t>
        </is>
      </c>
      <c r="BU539" s="91" t="inlineStr">
        <is>
          <t>N/A</t>
        </is>
      </c>
      <c r="BV539" s="91" t="inlineStr">
        <is>
          <t>N/A</t>
        </is>
      </c>
      <c r="BW539" s="85" t="n">
        <v>0</v>
      </c>
      <c r="BX539" s="85" t="n">
        <v>0</v>
      </c>
      <c r="BY539" s="85" t="n">
        <v>0</v>
      </c>
    </row>
    <row r="540" ht="17" customHeight="1">
      <c r="A540" s="86" t="n">
        <v>538</v>
      </c>
      <c r="B540" s="87" t="inlineStr">
        <is>
          <t>ZTS</t>
        </is>
      </c>
      <c r="C540" s="88" t="inlineStr">
        <is>
          <t>Zoetis Inc.</t>
        </is>
      </c>
      <c r="D540" s="86" t="inlineStr">
        <is>
          <t>Health Care</t>
        </is>
      </c>
      <c r="E540" s="86" t="n">
        <v>2026</v>
      </c>
      <c r="F540" s="89" t="n">
        <v>15467</v>
      </c>
      <c r="G540" s="89" t="n">
        <v>6768</v>
      </c>
      <c r="H540" s="89" t="n">
        <v>2235</v>
      </c>
      <c r="I540" s="89" t="n">
        <v>12136</v>
      </c>
      <c r="J540" s="89" t="n">
        <v>13744</v>
      </c>
      <c r="K540" s="89" t="n">
        <v>3360</v>
      </c>
      <c r="L540" s="89" t="n">
        <v>9467</v>
      </c>
      <c r="M540" s="89" t="n">
        <v>2673</v>
      </c>
      <c r="N540" s="89" t="n">
        <v>2904</v>
      </c>
      <c r="O540" s="89" t="n">
        <v>6801</v>
      </c>
      <c r="P540" s="89" t="n">
        <v>9042</v>
      </c>
      <c r="Q540" s="89" t="n">
        <v>3331</v>
      </c>
      <c r="R540" s="89" t="n">
        <v>2378</v>
      </c>
      <c r="S540" s="89" t="n">
        <v>487</v>
      </c>
      <c r="T540" s="89" t="n">
        <v>1590</v>
      </c>
      <c r="U540" s="89" t="n">
        <v>3681</v>
      </c>
      <c r="V540" s="89" t="n">
        <v>222</v>
      </c>
      <c r="W540" s="89" t="n">
        <v>14237</v>
      </c>
      <c r="X540" s="89" t="n">
        <v>5986</v>
      </c>
      <c r="Y540" s="89" t="n">
        <v>3412</v>
      </c>
      <c r="Z540" s="89" t="n">
        <v>9467</v>
      </c>
      <c r="AA540" s="89" t="n">
        <v>3133</v>
      </c>
      <c r="AB540" s="89" t="n">
        <v>9256</v>
      </c>
      <c r="AC540" s="89" t="n">
        <v>2486</v>
      </c>
      <c r="AD540" s="89" t="n">
        <v>2953</v>
      </c>
      <c r="AE540" s="89" t="n">
        <v>6537</v>
      </c>
      <c r="AF540" s="89" t="n">
        <v>5220</v>
      </c>
      <c r="AG540" s="89" t="n">
        <v>4770</v>
      </c>
      <c r="AH540" s="89" t="n">
        <v>9256</v>
      </c>
      <c r="AI540" s="89" t="n">
        <v>14237</v>
      </c>
      <c r="AJ540" s="89" t="n">
        <v>3360</v>
      </c>
      <c r="AK540" s="89" t="n">
        <v>3133</v>
      </c>
      <c r="AL540" s="89" t="n">
        <v>687</v>
      </c>
      <c r="AM540" s="89" t="n">
        <v>637</v>
      </c>
      <c r="AN540" s="89" t="n">
        <v>621</v>
      </c>
      <c r="AO540" s="89" t="n">
        <v>655</v>
      </c>
      <c r="AP540" s="89" t="n">
        <v>2430</v>
      </c>
      <c r="AQ540" s="89" t="n">
        <v>2306</v>
      </c>
      <c r="AR540" s="89" t="n">
        <v>2767</v>
      </c>
      <c r="AS540" s="89" t="n">
        <v>784</v>
      </c>
      <c r="AT540" s="90" t="inlineStr">
        <is>
          <t>N/A</t>
        </is>
      </c>
      <c r="AU540" s="89" t="n">
        <v>698</v>
      </c>
      <c r="AV540" s="89" t="n">
        <v>1564</v>
      </c>
      <c r="AW540" s="89" t="n">
        <v>727</v>
      </c>
      <c r="AX540" s="89" t="n">
        <v>9042</v>
      </c>
      <c r="AY540" s="89" t="n">
        <v>5223</v>
      </c>
      <c r="AZ540" s="89" t="n">
        <v>7478</v>
      </c>
      <c r="BA540" s="89" t="n">
        <v>2283</v>
      </c>
      <c r="BB540" s="89" t="n">
        <v>424.9</v>
      </c>
      <c r="BC540" s="89" t="n">
        <v>448.5</v>
      </c>
      <c r="BD540" s="89" t="n">
        <v>1316</v>
      </c>
      <c r="BE540" s="89" t="n">
        <v>3391</v>
      </c>
      <c r="BF540" s="89" t="n">
        <v>2318</v>
      </c>
      <c r="BG540" s="89" t="n">
        <v>497</v>
      </c>
      <c r="BH540" s="89" t="n">
        <v>-748</v>
      </c>
      <c r="BI540" s="89" t="n">
        <v>-315</v>
      </c>
      <c r="BJ540" s="89" t="n">
        <v>487</v>
      </c>
      <c r="BK540" s="89" t="n">
        <v>433</v>
      </c>
      <c r="BL540" s="89" t="n">
        <v>8</v>
      </c>
      <c r="BM540" s="89" t="n">
        <v>11</v>
      </c>
      <c r="BN540" s="89" t="n">
        <v>147</v>
      </c>
      <c r="BO540" s="89" t="n">
        <v>2666</v>
      </c>
      <c r="BP540" s="89" t="n">
        <v>2719</v>
      </c>
      <c r="BQ540" s="89" t="n">
        <v>0</v>
      </c>
      <c r="BR540" s="89" t="n">
        <v>0</v>
      </c>
      <c r="BS540" s="89" t="n">
        <v>0</v>
      </c>
      <c r="BT540" s="89" t="n">
        <v>0</v>
      </c>
      <c r="BU540" s="89" t="n">
        <v>0</v>
      </c>
      <c r="BV540" s="89" t="n">
        <v>0</v>
      </c>
      <c r="BW540" s="89" t="n">
        <v>0</v>
      </c>
      <c r="BX540" s="89" t="n">
        <v>0</v>
      </c>
      <c r="BY540" s="89" t="n">
        <v>0</v>
      </c>
    </row>
    <row r="541" ht="17" customHeight="1">
      <c r="A541" s="82" t="n">
        <v>539</v>
      </c>
      <c r="B541" s="83" t="inlineStr">
        <is>
          <t>MPC</t>
        </is>
      </c>
      <c r="C541" s="84" t="inlineStr">
        <is>
          <t>MARATHON PETROLEUM CORPORATION</t>
        </is>
      </c>
      <c r="D541" s="82" t="inlineStr">
        <is>
          <t>Energy</t>
        </is>
      </c>
      <c r="E541" s="82" t="n">
        <v>2026</v>
      </c>
      <c r="F541" s="85" t="n">
        <v>83955</v>
      </c>
      <c r="G541" s="85" t="n">
        <v>24780</v>
      </c>
      <c r="H541" s="85" t="n">
        <v>19678</v>
      </c>
      <c r="I541" s="85" t="n">
        <v>59869</v>
      </c>
      <c r="J541" s="85" t="n">
        <v>39751</v>
      </c>
      <c r="K541" s="85" t="n">
        <v>8291</v>
      </c>
      <c r="L541" s="85" t="n">
        <v>31092</v>
      </c>
      <c r="M541" s="85" t="n">
        <v>4047</v>
      </c>
      <c r="N541" s="85" t="n">
        <v>8253</v>
      </c>
      <c r="O541" s="85" t="n">
        <v>-88354</v>
      </c>
      <c r="P541" s="85" t="n">
        <v>3299</v>
      </c>
      <c r="Q541" s="85" t="n">
        <v>17314</v>
      </c>
      <c r="R541" s="85" t="n">
        <v>3349</v>
      </c>
      <c r="S541" s="85" t="n">
        <v>3251</v>
      </c>
      <c r="T541" s="85" t="n">
        <v>10317</v>
      </c>
      <c r="U541" s="85" t="n">
        <v>39035</v>
      </c>
      <c r="V541" s="85" t="n">
        <v>1489</v>
      </c>
      <c r="W541" s="85" t="n">
        <v>78858</v>
      </c>
      <c r="X541" s="85" t="n">
        <v>24447</v>
      </c>
      <c r="Y541" s="85" t="n">
        <v>20827</v>
      </c>
      <c r="Z541" s="85" t="n">
        <v>54352</v>
      </c>
      <c r="AA541" s="85" t="n">
        <v>6796</v>
      </c>
      <c r="AB541" s="85" t="n">
        <v>31043</v>
      </c>
      <c r="AC541" s="85" t="n">
        <v>3445</v>
      </c>
      <c r="AD541" s="85" t="n">
        <v>8665</v>
      </c>
      <c r="AE541" s="85" t="n">
        <v>-95197</v>
      </c>
      <c r="AF541" s="85" t="n">
        <v>279</v>
      </c>
      <c r="AG541" s="85" t="n">
        <v>17745</v>
      </c>
      <c r="AH541" s="85" t="n">
        <v>33547</v>
      </c>
      <c r="AI541" s="85" t="n">
        <v>78858</v>
      </c>
      <c r="AJ541" s="85" t="n">
        <v>7015</v>
      </c>
      <c r="AK541" s="85" t="n">
        <v>5957</v>
      </c>
      <c r="AL541" s="85" t="n">
        <v>1137</v>
      </c>
      <c r="AM541" s="85" t="n">
        <v>890</v>
      </c>
      <c r="AN541" s="85" t="n">
        <v>3486</v>
      </c>
      <c r="AO541" s="85" t="n">
        <v>2533</v>
      </c>
      <c r="AP541" s="85" t="n">
        <v>10129</v>
      </c>
      <c r="AQ541" s="85" t="n">
        <v>9568</v>
      </c>
      <c r="AR541" s="85" t="n">
        <v>9354</v>
      </c>
      <c r="AS541" s="85" t="n">
        <v>2643</v>
      </c>
      <c r="AT541" s="85" t="n">
        <v>2371</v>
      </c>
      <c r="AU541" s="91" t="inlineStr">
        <is>
          <t>N/A</t>
        </is>
      </c>
      <c r="AV541" s="85" t="n">
        <v>3672</v>
      </c>
      <c r="AW541" s="85" t="n">
        <v>3210</v>
      </c>
      <c r="AX541" s="85" t="n">
        <v>5670</v>
      </c>
      <c r="AY541" s="85" t="n">
        <v>3328</v>
      </c>
      <c r="AZ541" s="85" t="n">
        <v>1998</v>
      </c>
      <c r="BA541" s="85" t="n">
        <v>4767</v>
      </c>
      <c r="BB541" s="85" t="n">
        <v>357</v>
      </c>
      <c r="BC541" s="85" t="n">
        <v>994</v>
      </c>
      <c r="BD541" s="85" t="n">
        <v>11145</v>
      </c>
      <c r="BE541" s="85" t="n">
        <v>45615</v>
      </c>
      <c r="BF541" s="85" t="n">
        <v>3221</v>
      </c>
      <c r="BG541" s="85" t="n">
        <v>3337</v>
      </c>
      <c r="BH541" s="85" t="n">
        <v>-5867</v>
      </c>
      <c r="BI541" s="85" t="n">
        <v>1534</v>
      </c>
      <c r="BJ541" s="85" t="n">
        <v>12974</v>
      </c>
      <c r="BK541" s="85" t="n">
        <v>13906</v>
      </c>
      <c r="BL541" s="85" t="n">
        <v>277</v>
      </c>
      <c r="BM541" s="85" t="n">
        <v>277</v>
      </c>
      <c r="BN541" s="85" t="n">
        <v>1231</v>
      </c>
      <c r="BO541" s="85" t="n">
        <v>119446</v>
      </c>
      <c r="BP541" s="85" t="n">
        <v>126240</v>
      </c>
      <c r="BQ541" s="85" t="n">
        <v>0</v>
      </c>
      <c r="BR541" s="85" t="n">
        <v>0</v>
      </c>
      <c r="BS541" s="85" t="n">
        <v>0</v>
      </c>
      <c r="BT541" s="85" t="n">
        <v>0</v>
      </c>
      <c r="BU541" s="85" t="n">
        <v>0</v>
      </c>
      <c r="BV541" s="85" t="n">
        <v>0</v>
      </c>
      <c r="BW541" s="85" t="n">
        <v>0</v>
      </c>
      <c r="BX541" s="85" t="n">
        <v>0</v>
      </c>
      <c r="BY541" s="85" t="n">
        <v>0</v>
      </c>
    </row>
    <row r="542" ht="17" customHeight="1">
      <c r="A542" s="86" t="n">
        <v>540</v>
      </c>
      <c r="B542" s="87" t="inlineStr">
        <is>
          <t>XOM</t>
        </is>
      </c>
      <c r="C542" s="88" t="inlineStr">
        <is>
          <t>Exxon Mobil Corporation</t>
        </is>
      </c>
      <c r="D542" s="86" t="inlineStr">
        <is>
          <t>Energy</t>
        </is>
      </c>
      <c r="E542" s="86" t="n">
        <v>2026</v>
      </c>
      <c r="F542" s="89" t="n">
        <v>448980</v>
      </c>
      <c r="G542" s="89" t="n">
        <v>83382</v>
      </c>
      <c r="H542" s="89" t="n">
        <v>72330</v>
      </c>
      <c r="I542" s="89" t="n">
        <v>182354</v>
      </c>
      <c r="J542" s="89" t="n">
        <v>482494</v>
      </c>
      <c r="K542" s="89" t="n">
        <v>41268</v>
      </c>
      <c r="L542" s="89" t="n">
        <v>332238</v>
      </c>
      <c r="M542" s="89" t="n">
        <v>28844</v>
      </c>
      <c r="N542" s="89" t="n">
        <v>51970</v>
      </c>
      <c r="O542" s="90" t="inlineStr">
        <is>
          <t>N/A</t>
        </is>
      </c>
      <c r="P542" s="89" t="n">
        <v>23100</v>
      </c>
      <c r="Q542" s="89" t="n">
        <v>259386</v>
      </c>
      <c r="R542" s="89" t="n">
        <v>11128</v>
      </c>
      <c r="S542" s="89" t="n">
        <v>25993</v>
      </c>
      <c r="T542" s="89" t="n">
        <v>35744</v>
      </c>
      <c r="U542" s="89" t="n">
        <v>299373</v>
      </c>
      <c r="V542" s="89" t="n">
        <v>603</v>
      </c>
      <c r="W542" s="89" t="n">
        <v>453475</v>
      </c>
      <c r="X542" s="89" t="n">
        <v>91990</v>
      </c>
      <c r="Y542" s="89" t="n">
        <v>70307</v>
      </c>
      <c r="Z542" s="89" t="n">
        <v>182869</v>
      </c>
      <c r="AA542" s="89" t="n">
        <v>48873</v>
      </c>
      <c r="AB542" s="89" t="n">
        <v>349585</v>
      </c>
      <c r="AC542" s="89" t="n">
        <v>33680</v>
      </c>
      <c r="AD542" s="89" t="n">
        <v>55022</v>
      </c>
      <c r="AE542" s="90" t="inlineStr">
        <is>
          <t>N/A</t>
        </is>
      </c>
      <c r="AF542" s="89" t="n">
        <v>23100</v>
      </c>
      <c r="AG542" s="89" t="n">
        <v>263705</v>
      </c>
      <c r="AH542" s="89" t="n">
        <v>349585</v>
      </c>
      <c r="AI542" s="89" t="n">
        <v>453475</v>
      </c>
      <c r="AJ542" s="89" t="n">
        <v>41268</v>
      </c>
      <c r="AK542" s="89" t="n">
        <v>48873</v>
      </c>
      <c r="AL542" s="89" t="n">
        <v>11504</v>
      </c>
      <c r="AM542" s="89" t="n">
        <v>13810</v>
      </c>
      <c r="AN542" s="89" t="n">
        <v>28358</v>
      </c>
      <c r="AO542" s="89" t="n">
        <v>24306</v>
      </c>
      <c r="AP542" s="89" t="n">
        <v>15024</v>
      </c>
      <c r="AQ542" s="89" t="n">
        <v>12976</v>
      </c>
      <c r="AR542" s="90" t="inlineStr">
        <is>
          <t>N/A</t>
        </is>
      </c>
      <c r="AS542" s="90" t="inlineStr">
        <is>
          <t>N/A</t>
        </is>
      </c>
      <c r="AT542" s="89" t="n">
        <v>9296</v>
      </c>
      <c r="AU542" s="89" t="n">
        <v>1200</v>
      </c>
      <c r="AV542" s="89" t="n">
        <v>10681</v>
      </c>
      <c r="AW542" s="89" t="n">
        <v>23029</v>
      </c>
      <c r="AX542" s="89" t="n">
        <v>32396</v>
      </c>
      <c r="AY542" s="89" t="n">
        <v>28055</v>
      </c>
      <c r="AZ542" s="89" t="n">
        <v>21715</v>
      </c>
      <c r="BA542" s="89" t="n">
        <v>23612</v>
      </c>
      <c r="BB542" s="89" t="n">
        <v>4179</v>
      </c>
      <c r="BC542" s="89" t="n">
        <v>4353</v>
      </c>
      <c r="BD542" s="89" t="n">
        <v>35282</v>
      </c>
      <c r="BE542" s="89" t="n">
        <v>294318</v>
      </c>
      <c r="BF542" s="89" t="n">
        <v>9976</v>
      </c>
      <c r="BG542" s="89" t="n">
        <v>23442</v>
      </c>
      <c r="BH542" s="89" t="n">
        <v>-25927</v>
      </c>
      <c r="BI542" s="89" t="n">
        <v>-19938</v>
      </c>
      <c r="BJ542" s="89" t="n">
        <v>60911</v>
      </c>
      <c r="BK542" s="89" t="n">
        <v>61297</v>
      </c>
      <c r="BL542" s="90" t="inlineStr">
        <is>
          <t>N/A</t>
        </is>
      </c>
      <c r="BM542" s="90" t="inlineStr">
        <is>
          <t>N/A</t>
        </is>
      </c>
      <c r="BN542" s="89" t="n">
        <v>2123</v>
      </c>
      <c r="BO542" s="90" t="inlineStr">
        <is>
          <t>N/A</t>
        </is>
      </c>
      <c r="BP542" s="90" t="inlineStr">
        <is>
          <t>N/A</t>
        </is>
      </c>
      <c r="BQ542" s="89" t="n">
        <v>0</v>
      </c>
      <c r="BR542" s="89" t="n">
        <v>0</v>
      </c>
      <c r="BS542" s="90" t="inlineStr">
        <is>
          <t>N/A</t>
        </is>
      </c>
      <c r="BT542" s="90" t="inlineStr">
        <is>
          <t>N/A</t>
        </is>
      </c>
      <c r="BU542" s="90" t="inlineStr">
        <is>
          <t>N/A</t>
        </is>
      </c>
      <c r="BV542" s="90" t="inlineStr">
        <is>
          <t>N/A</t>
        </is>
      </c>
      <c r="BW542" s="89" t="n">
        <v>0</v>
      </c>
      <c r="BX542" s="89" t="n">
        <v>0</v>
      </c>
      <c r="BY542" s="89" t="n">
        <v>0</v>
      </c>
    </row>
    <row r="543" ht="17" customHeight="1">
      <c r="A543" s="82" t="n">
        <v>541</v>
      </c>
      <c r="B543" s="83" t="inlineStr">
        <is>
          <t>KLIC</t>
        </is>
      </c>
      <c r="C543" s="84" t="inlineStr">
        <is>
          <t>KULICKE AND SOFFA INDUSTRIES, INC.</t>
        </is>
      </c>
      <c r="D543" s="82" t="inlineStr">
        <is>
          <t>Information Technology</t>
        </is>
      </c>
      <c r="E543" s="82" t="n">
        <v>2026</v>
      </c>
      <c r="F543" s="85" t="n">
        <v>1104.3</v>
      </c>
      <c r="G543" s="85" t="n">
        <v>901.5</v>
      </c>
      <c r="H543" s="85" t="n">
        <v>188.2</v>
      </c>
      <c r="I543" s="85" t="n">
        <v>282.9</v>
      </c>
      <c r="J543" s="85" t="n">
        <v>1199.5</v>
      </c>
      <c r="K543" s="85" t="n">
        <v>-3.2</v>
      </c>
      <c r="L543" s="85" t="n">
        <v>654.1</v>
      </c>
      <c r="M543" s="85" t="n">
        <v>0.2</v>
      </c>
      <c r="N543" s="85" t="n">
        <v>113.6</v>
      </c>
      <c r="O543" s="85" t="n">
        <v>277.9</v>
      </c>
      <c r="P543" s="85" t="n">
        <v>98.5</v>
      </c>
      <c r="Q543" s="85" t="n">
        <v>821.5</v>
      </c>
      <c r="R543" s="85" t="n">
        <v>167.7</v>
      </c>
      <c r="S543" s="85" t="n">
        <v>17.8</v>
      </c>
      <c r="T543" s="91" t="inlineStr">
        <is>
          <t>N/A</t>
        </is>
      </c>
      <c r="U543" s="85" t="n">
        <v>59</v>
      </c>
      <c r="V543" s="85" t="n">
        <v>0.1</v>
      </c>
      <c r="W543" s="85" t="n">
        <v>1240.2</v>
      </c>
      <c r="X543" s="85" t="n">
        <v>995</v>
      </c>
      <c r="Y543" s="85" t="n">
        <v>183.8</v>
      </c>
      <c r="Z543" s="85" t="n">
        <v>296.2</v>
      </c>
      <c r="AA543" s="85" t="n">
        <v>-92.5</v>
      </c>
      <c r="AB543" s="85" t="n">
        <v>706.2</v>
      </c>
      <c r="AC543" s="85" t="n">
        <v>-69</v>
      </c>
      <c r="AD543" s="85" t="n">
        <v>31</v>
      </c>
      <c r="AE543" s="85" t="n">
        <v>268.8</v>
      </c>
      <c r="AF543" s="91" t="inlineStr">
        <is>
          <t>N/A</t>
        </is>
      </c>
      <c r="AG543" s="85" t="n">
        <v>944</v>
      </c>
      <c r="AH543" s="85" t="n">
        <v>706.2</v>
      </c>
      <c r="AI543" s="85" t="n">
        <v>1240.2</v>
      </c>
      <c r="AJ543" s="85" t="n">
        <v>20.5</v>
      </c>
      <c r="AK543" s="85" t="n">
        <v>-58.4</v>
      </c>
      <c r="AL543" s="85" t="n">
        <v>20.3</v>
      </c>
      <c r="AM543" s="85" t="n">
        <v>10.7</v>
      </c>
      <c r="AN543" s="85" t="n">
        <v>17.2</v>
      </c>
      <c r="AO543" s="85" t="n">
        <v>16.1</v>
      </c>
      <c r="AP543" s="85" t="n">
        <v>160.2</v>
      </c>
      <c r="AQ543" s="85" t="n">
        <v>177.7</v>
      </c>
      <c r="AR543" s="85" t="n">
        <v>69.5</v>
      </c>
      <c r="AS543" s="85" t="n">
        <v>5.6</v>
      </c>
      <c r="AT543" s="91" t="inlineStr">
        <is>
          <t>N/A</t>
        </is>
      </c>
      <c r="AU543" s="85" t="n">
        <v>149.6</v>
      </c>
      <c r="AV543" s="85" t="n">
        <v>215.7</v>
      </c>
      <c r="AW543" s="85" t="n">
        <v>227.1</v>
      </c>
      <c r="AX543" s="85" t="n">
        <v>98.5</v>
      </c>
      <c r="AY543" s="91" t="inlineStr">
        <is>
          <t>N/A</t>
        </is>
      </c>
      <c r="AZ543" s="85" t="n">
        <v>-117.2</v>
      </c>
      <c r="BA543" s="85" t="n">
        <v>96.40000000000001</v>
      </c>
      <c r="BB543" s="85" t="n">
        <v>51.9</v>
      </c>
      <c r="BC543" s="85" t="n">
        <v>53.9</v>
      </c>
      <c r="BD543" s="91" t="inlineStr">
        <is>
          <t>N/A</t>
        </is>
      </c>
      <c r="BE543" s="85" t="n">
        <v>64.8</v>
      </c>
      <c r="BF543" s="85" t="n">
        <v>165.6</v>
      </c>
      <c r="BG543" s="85" t="n">
        <v>17.5</v>
      </c>
      <c r="BH543" s="85" t="n">
        <v>27.7</v>
      </c>
      <c r="BI543" s="85" t="n">
        <v>-138.5</v>
      </c>
      <c r="BJ543" s="85" t="n">
        <v>57.2</v>
      </c>
      <c r="BK543" s="85" t="n">
        <v>58.8</v>
      </c>
      <c r="BL543" s="91" t="inlineStr">
        <is>
          <t>N/A</t>
        </is>
      </c>
      <c r="BM543" s="85" t="n">
        <v>0.1</v>
      </c>
      <c r="BN543" s="85" t="n">
        <v>27</v>
      </c>
      <c r="BO543" s="85" t="n">
        <v>376.2</v>
      </c>
      <c r="BP543" s="85" t="n">
        <v>437.5</v>
      </c>
      <c r="BQ543" s="91" t="inlineStr">
        <is>
          <t>N/A</t>
        </is>
      </c>
      <c r="BR543" s="91" t="inlineStr">
        <is>
          <t>N/A</t>
        </is>
      </c>
      <c r="BS543" s="85" t="n">
        <v>0</v>
      </c>
      <c r="BT543" s="85" t="n">
        <v>0</v>
      </c>
      <c r="BU543" s="85" t="n">
        <v>0</v>
      </c>
      <c r="BV543" s="85" t="n">
        <v>0</v>
      </c>
      <c r="BW543" s="85" t="n">
        <v>0</v>
      </c>
      <c r="BX543" s="85" t="n">
        <v>0</v>
      </c>
      <c r="BY543" s="85" t="n">
        <v>0</v>
      </c>
    </row>
    <row r="544" ht="17" customHeight="1">
      <c r="A544" s="86" t="n">
        <v>542</v>
      </c>
      <c r="B544" s="87" t="inlineStr">
        <is>
          <t>META</t>
        </is>
      </c>
      <c r="C544" s="88" t="inlineStr">
        <is>
          <t>Meta Platforms, Inc.</t>
        </is>
      </c>
      <c r="D544" s="86" t="inlineStr">
        <is>
          <t>Communication Services</t>
        </is>
      </c>
      <c r="E544" s="86" t="n">
        <v>2026</v>
      </c>
      <c r="F544" s="89" t="n">
        <v>366021</v>
      </c>
      <c r="G544" s="89" t="n">
        <v>108722</v>
      </c>
      <c r="H544" s="89" t="n">
        <v>41836</v>
      </c>
      <c r="I544" s="89" t="n">
        <v>148778</v>
      </c>
      <c r="J544" s="89" t="n">
        <v>121179</v>
      </c>
      <c r="K544" s="89" t="n">
        <v>83276</v>
      </c>
      <c r="L544" s="89" t="n">
        <v>40653</v>
      </c>
      <c r="M544" s="89" t="n">
        <v>60458</v>
      </c>
      <c r="N544" s="89" t="n">
        <v>115800</v>
      </c>
      <c r="O544" s="89" t="n">
        <v>4478</v>
      </c>
      <c r="P544" s="89" t="n">
        <v>58744</v>
      </c>
      <c r="Q544" s="89" t="n">
        <v>217243</v>
      </c>
      <c r="R544" s="89" t="n">
        <v>12152</v>
      </c>
      <c r="S544" s="89" t="n">
        <v>18616</v>
      </c>
      <c r="T544" s="89" t="n">
        <v>19769</v>
      </c>
      <c r="U544" s="89" t="n">
        <v>24683</v>
      </c>
      <c r="V544" s="89" t="n">
        <v>446</v>
      </c>
      <c r="W544" s="89" t="n">
        <v>276054</v>
      </c>
      <c r="X544" s="89" t="n">
        <v>100045</v>
      </c>
      <c r="Y544" s="89" t="n">
        <v>33596</v>
      </c>
      <c r="Z544" s="89" t="n">
        <v>93417</v>
      </c>
      <c r="AA544" s="89" t="n">
        <v>69380</v>
      </c>
      <c r="AB544" s="89" t="n">
        <v>27638</v>
      </c>
      <c r="AC544" s="89" t="n">
        <v>62360</v>
      </c>
      <c r="AD544" s="89" t="n">
        <v>91328</v>
      </c>
      <c r="AE544" s="89" t="n">
        <v>-2523</v>
      </c>
      <c r="AF544" s="89" t="n">
        <v>28826</v>
      </c>
      <c r="AG544" s="89" t="n">
        <v>182637</v>
      </c>
      <c r="AH544" s="89" t="n">
        <v>27638</v>
      </c>
      <c r="AI544" s="89" t="n">
        <v>276054</v>
      </c>
      <c r="AJ544" s="89" t="n">
        <v>85932</v>
      </c>
      <c r="AK544" s="89" t="n">
        <v>70663</v>
      </c>
      <c r="AL544" s="89" t="n">
        <v>25474</v>
      </c>
      <c r="AM544" s="89" t="n">
        <v>8303</v>
      </c>
      <c r="AN544" s="89" t="n">
        <v>69691</v>
      </c>
      <c r="AO544" s="89" t="n">
        <v>37256</v>
      </c>
      <c r="AP544" s="90" t="inlineStr">
        <is>
          <t>N/A</t>
        </is>
      </c>
      <c r="AQ544" s="90" t="inlineStr">
        <is>
          <t>N/A</t>
        </is>
      </c>
      <c r="AR544" s="89" t="n">
        <v>24534</v>
      </c>
      <c r="AS544" s="89" t="n">
        <v>3295</v>
      </c>
      <c r="AT544" s="90" t="inlineStr">
        <is>
          <t>N/A</t>
        </is>
      </c>
      <c r="AU544" s="89" t="n">
        <v>57372</v>
      </c>
      <c r="AV544" s="89" t="n">
        <v>35873</v>
      </c>
      <c r="AW544" s="89" t="n">
        <v>43889</v>
      </c>
      <c r="AX544" s="89" t="n">
        <v>58744</v>
      </c>
      <c r="AY544" s="89" t="n">
        <v>29027</v>
      </c>
      <c r="AZ544" s="89" t="n">
        <v>22871</v>
      </c>
      <c r="BA544" s="89" t="n">
        <v>46109</v>
      </c>
      <c r="BB544" s="90" t="inlineStr">
        <is>
          <t>N/A</t>
        </is>
      </c>
      <c r="BC544" s="90" t="inlineStr">
        <is>
          <t>N/A</t>
        </is>
      </c>
      <c r="BD544" s="89" t="n">
        <v>16994</v>
      </c>
      <c r="BE544" s="89" t="n">
        <v>24683</v>
      </c>
      <c r="BF544" s="89" t="n">
        <v>9740</v>
      </c>
      <c r="BG544" s="89" t="n">
        <v>15498</v>
      </c>
      <c r="BH544" s="89" t="n">
        <v>-102003</v>
      </c>
      <c r="BI544" s="89" t="n">
        <v>-47150</v>
      </c>
      <c r="BJ544" s="89" t="n">
        <v>1331</v>
      </c>
      <c r="BK544" s="89" t="n">
        <v>1363</v>
      </c>
      <c r="BL544" s="89" t="n">
        <v>68</v>
      </c>
      <c r="BM544" s="89" t="n">
        <v>62</v>
      </c>
      <c r="BN544" s="89" t="n">
        <v>230</v>
      </c>
      <c r="BO544" s="89" t="n">
        <v>36175</v>
      </c>
      <c r="BP544" s="89" t="n">
        <v>30161</v>
      </c>
      <c r="BQ544" s="89" t="n">
        <v>0</v>
      </c>
      <c r="BR544" s="89" t="n">
        <v>0</v>
      </c>
      <c r="BS544" s="90" t="inlineStr">
        <is>
          <t>N/A</t>
        </is>
      </c>
      <c r="BT544" s="90" t="inlineStr">
        <is>
          <t>N/A</t>
        </is>
      </c>
      <c r="BU544" s="89" t="n">
        <v>0</v>
      </c>
      <c r="BV544" s="89" t="n">
        <v>0</v>
      </c>
      <c r="BW544" s="89" t="n">
        <v>0</v>
      </c>
      <c r="BX544" s="89" t="n">
        <v>0</v>
      </c>
      <c r="BY544" s="89" t="n">
        <v>0</v>
      </c>
    </row>
    <row r="545" ht="17" customHeight="1">
      <c r="A545" s="82" t="n">
        <v>543</v>
      </c>
      <c r="B545" s="83" t="inlineStr">
        <is>
          <t>MLM</t>
        </is>
      </c>
      <c r="C545" s="84" t="inlineStr">
        <is>
          <t>MARTIN MARIETTA MATERIALS INC</t>
        </is>
      </c>
      <c r="D545" s="82" t="inlineStr">
        <is>
          <t>Materials</t>
        </is>
      </c>
      <c r="E545" s="82" t="n">
        <v>2026</v>
      </c>
      <c r="F545" s="85" t="n">
        <v>18711</v>
      </c>
      <c r="G545" s="85" t="n">
        <v>3193</v>
      </c>
      <c r="H545" s="85" t="n">
        <v>895</v>
      </c>
      <c r="I545" s="85" t="n">
        <v>8677</v>
      </c>
      <c r="J545" s="85" t="n">
        <v>6402</v>
      </c>
      <c r="K545" s="85" t="n">
        <v>1437</v>
      </c>
      <c r="L545" s="85" t="n">
        <v>6150</v>
      </c>
      <c r="M545" s="85" t="n">
        <v>1137</v>
      </c>
      <c r="N545" s="85" t="n">
        <v>1785</v>
      </c>
      <c r="O545" s="85" t="n">
        <v>1889</v>
      </c>
      <c r="P545" s="85" t="n">
        <v>5323</v>
      </c>
      <c r="Q545" s="85" t="n">
        <v>10032</v>
      </c>
      <c r="R545" s="85" t="n">
        <v>443</v>
      </c>
      <c r="S545" s="85" t="n">
        <v>637</v>
      </c>
      <c r="T545" s="85" t="n">
        <v>723</v>
      </c>
      <c r="U545" s="85" t="n">
        <v>10290</v>
      </c>
      <c r="V545" s="85" t="n">
        <v>230</v>
      </c>
      <c r="W545" s="85" t="n">
        <v>18170</v>
      </c>
      <c r="X545" s="85" t="n">
        <v>2542</v>
      </c>
      <c r="Y545" s="85" t="n">
        <v>1016</v>
      </c>
      <c r="Z545" s="85" t="n">
        <v>8714</v>
      </c>
      <c r="AA545" s="85" t="n">
        <v>2707</v>
      </c>
      <c r="AB545" s="85" t="n">
        <v>1534</v>
      </c>
      <c r="AC545" s="85" t="n">
        <v>279</v>
      </c>
      <c r="AD545" s="85" t="n">
        <v>1459</v>
      </c>
      <c r="AE545" s="85" t="n">
        <v>468</v>
      </c>
      <c r="AF545" s="85" t="n">
        <v>5413</v>
      </c>
      <c r="AG545" s="85" t="n">
        <v>9453</v>
      </c>
      <c r="AH545" s="85" t="n">
        <v>1846</v>
      </c>
      <c r="AI545" s="85" t="n">
        <v>18170</v>
      </c>
      <c r="AJ545" s="85" t="n">
        <v>1226</v>
      </c>
      <c r="AK545" s="85" t="n">
        <v>2596</v>
      </c>
      <c r="AL545" s="85" t="n">
        <v>236</v>
      </c>
      <c r="AM545" s="85" t="n">
        <v>600</v>
      </c>
      <c r="AN545" s="85" t="n">
        <v>807</v>
      </c>
      <c r="AO545" s="85" t="n">
        <v>855</v>
      </c>
      <c r="AP545" s="85" t="n">
        <v>1078</v>
      </c>
      <c r="AQ545" s="85" t="n">
        <v>1115</v>
      </c>
      <c r="AR545" s="85" t="n">
        <v>3614</v>
      </c>
      <c r="AS545" s="85" t="n">
        <v>416</v>
      </c>
      <c r="AT545" s="85" t="n">
        <v>14.3</v>
      </c>
      <c r="AU545" s="85" t="n">
        <v>0.2</v>
      </c>
      <c r="AV545" s="85" t="n">
        <v>67</v>
      </c>
      <c r="AW545" s="85" t="n">
        <v>670</v>
      </c>
      <c r="AX545" s="85" t="n">
        <v>5337.3</v>
      </c>
      <c r="AY545" s="85" t="n">
        <v>5425.4</v>
      </c>
      <c r="AZ545" s="85" t="n">
        <v>5270.3</v>
      </c>
      <c r="BA545" s="85" t="n">
        <v>978</v>
      </c>
      <c r="BB545" s="85" t="n">
        <v>60.3</v>
      </c>
      <c r="BC545" s="85" t="n">
        <v>61.1</v>
      </c>
      <c r="BD545" s="85" t="n">
        <v>678</v>
      </c>
      <c r="BE545" s="85" t="n">
        <v>10109</v>
      </c>
      <c r="BF545" s="85" t="n">
        <v>447</v>
      </c>
      <c r="BG545" s="85" t="n">
        <v>573</v>
      </c>
      <c r="BH545" s="85" t="n">
        <v>-1588</v>
      </c>
      <c r="BI545" s="85" t="n">
        <v>-2444</v>
      </c>
      <c r="BJ545" s="85" t="n">
        <v>389</v>
      </c>
      <c r="BK545" s="85" t="n">
        <v>375</v>
      </c>
      <c r="BL545" s="85" t="n">
        <v>10.3</v>
      </c>
      <c r="BM545" s="85" t="n">
        <v>10.5</v>
      </c>
      <c r="BN545" s="85" t="n">
        <v>5</v>
      </c>
      <c r="BO545" s="85" t="n">
        <v>4261</v>
      </c>
      <c r="BP545" s="85" t="n">
        <v>4658</v>
      </c>
      <c r="BQ545" s="85" t="n">
        <v>0</v>
      </c>
      <c r="BR545" s="85" t="n">
        <v>0</v>
      </c>
      <c r="BS545" s="85" t="n">
        <v>0</v>
      </c>
      <c r="BT545" s="85" t="n">
        <v>0</v>
      </c>
      <c r="BU545" s="85" t="n">
        <v>0</v>
      </c>
      <c r="BV545" s="85" t="n">
        <v>0</v>
      </c>
      <c r="BW545" s="85" t="n">
        <v>0</v>
      </c>
      <c r="BX545" s="85" t="n">
        <v>0</v>
      </c>
      <c r="BY545" s="85" t="n">
        <v>0</v>
      </c>
    </row>
    <row r="546" ht="17" customHeight="1">
      <c r="A546" s="86" t="n">
        <v>544</v>
      </c>
      <c r="B546" s="87" t="inlineStr">
        <is>
          <t>HWM</t>
        </is>
      </c>
      <c r="C546" s="88" t="inlineStr">
        <is>
          <t>HOWMET AEROSPACE INC.</t>
        </is>
      </c>
      <c r="D546" s="86" t="inlineStr">
        <is>
          <t>Industrials</t>
        </is>
      </c>
      <c r="E546" s="86" t="n">
        <v>2026</v>
      </c>
      <c r="F546" s="89" t="n">
        <v>11179</v>
      </c>
      <c r="G546" s="89" t="n">
        <v>3779</v>
      </c>
      <c r="H546" s="89" t="n">
        <v>1771</v>
      </c>
      <c r="I546" s="89" t="n">
        <v>5826</v>
      </c>
      <c r="J546" s="89" t="n">
        <v>4093</v>
      </c>
      <c r="K546" s="89" t="n">
        <v>2046</v>
      </c>
      <c r="L546" s="89" t="n">
        <v>8252</v>
      </c>
      <c r="M546" s="89" t="n">
        <v>1508</v>
      </c>
      <c r="N546" s="89" t="n">
        <v>1884</v>
      </c>
      <c r="O546" s="89" t="n">
        <v>-10885</v>
      </c>
      <c r="P546" s="89" t="n">
        <v>3050</v>
      </c>
      <c r="Q546" s="89" t="n">
        <v>5353</v>
      </c>
      <c r="R546" s="89" t="n">
        <v>370</v>
      </c>
      <c r="S546" s="89" t="n">
        <v>283</v>
      </c>
      <c r="T546" s="89" t="n">
        <v>779</v>
      </c>
      <c r="U546" s="89" t="n">
        <v>2593</v>
      </c>
      <c r="V546" s="89" t="n">
        <v>218</v>
      </c>
      <c r="W546" s="89" t="n">
        <v>10519</v>
      </c>
      <c r="X546" s="89" t="n">
        <v>3362</v>
      </c>
      <c r="Y546" s="89" t="n">
        <v>1549</v>
      </c>
      <c r="Z546" s="89" t="n">
        <v>5965</v>
      </c>
      <c r="AA546" s="89" t="n">
        <v>1633</v>
      </c>
      <c r="AB546" s="89" t="n">
        <v>7430</v>
      </c>
      <c r="AC546" s="89" t="n">
        <v>1155</v>
      </c>
      <c r="AD546" s="89" t="n">
        <v>1298</v>
      </c>
      <c r="AE546" s="89" t="n">
        <v>-11856</v>
      </c>
      <c r="AF546" s="89" t="n">
        <v>3315</v>
      </c>
      <c r="AG546" s="89" t="n">
        <v>4554</v>
      </c>
      <c r="AH546" s="89" t="n">
        <v>7430</v>
      </c>
      <c r="AI546" s="89" t="n">
        <v>10519</v>
      </c>
      <c r="AJ546" s="89" t="n">
        <v>1840</v>
      </c>
      <c r="AK546" s="89" t="n">
        <v>1383</v>
      </c>
      <c r="AL546" s="89" t="n">
        <v>332</v>
      </c>
      <c r="AM546" s="89" t="n">
        <v>228</v>
      </c>
      <c r="AN546" s="89" t="n">
        <v>453</v>
      </c>
      <c r="AO546" s="89" t="n">
        <v>321</v>
      </c>
      <c r="AP546" s="89" t="n">
        <v>1849</v>
      </c>
      <c r="AQ546" s="89" t="n">
        <v>1840</v>
      </c>
      <c r="AR546" s="89" t="n">
        <v>4022</v>
      </c>
      <c r="AS546" s="89" t="n">
        <v>435</v>
      </c>
      <c r="AT546" s="90" t="inlineStr">
        <is>
          <t>N/A</t>
        </is>
      </c>
      <c r="AU546" s="89" t="n">
        <v>37</v>
      </c>
      <c r="AV546" s="89" t="n">
        <v>742</v>
      </c>
      <c r="AW546" s="89" t="n">
        <v>564</v>
      </c>
      <c r="AX546" s="89" t="n">
        <v>3050</v>
      </c>
      <c r="AY546" s="89" t="n">
        <v>3320</v>
      </c>
      <c r="AZ546" s="89" t="n">
        <v>2308</v>
      </c>
      <c r="BA546" s="89" t="n">
        <v>1431</v>
      </c>
      <c r="BB546" s="89" t="n">
        <v>401.6</v>
      </c>
      <c r="BC546" s="89" t="n">
        <v>405.4</v>
      </c>
      <c r="BD546" s="89" t="n">
        <v>689</v>
      </c>
      <c r="BE546" s="89" t="n">
        <v>2386</v>
      </c>
      <c r="BF546" s="89" t="n">
        <v>347</v>
      </c>
      <c r="BG546" s="89" t="n">
        <v>277</v>
      </c>
      <c r="BH546" s="89" t="n">
        <v>-438</v>
      </c>
      <c r="BI546" s="89" t="n">
        <v>-316</v>
      </c>
      <c r="BJ546" s="89" t="n">
        <v>845</v>
      </c>
      <c r="BK546" s="89" t="n">
        <v>948</v>
      </c>
      <c r="BL546" s="89" t="n">
        <v>147</v>
      </c>
      <c r="BM546" s="89" t="n">
        <v>60</v>
      </c>
      <c r="BN546" s="89" t="n">
        <v>77</v>
      </c>
      <c r="BO546" s="89" t="n">
        <v>19137</v>
      </c>
      <c r="BP546" s="89" t="n">
        <v>19286</v>
      </c>
      <c r="BQ546" s="89" t="n">
        <v>0</v>
      </c>
      <c r="BR546" s="89" t="n">
        <v>0</v>
      </c>
      <c r="BS546" s="89" t="n">
        <v>0</v>
      </c>
      <c r="BT546" s="89" t="n">
        <v>0</v>
      </c>
      <c r="BU546" s="89" t="n">
        <v>0</v>
      </c>
      <c r="BV546" s="89" t="n">
        <v>0</v>
      </c>
      <c r="BW546" s="89" t="n">
        <v>0</v>
      </c>
      <c r="BX546" s="89" t="n">
        <v>0</v>
      </c>
      <c r="BY546" s="89" t="n">
        <v>0</v>
      </c>
    </row>
    <row r="547" ht="17" customHeight="1">
      <c r="A547" s="82" t="n">
        <v>545</v>
      </c>
      <c r="B547" s="83" t="inlineStr">
        <is>
          <t>CAKE</t>
        </is>
      </c>
      <c r="C547" s="84" t="inlineStr">
        <is>
          <t>THE CHEESECAKE FACTORY INCORPORATED</t>
        </is>
      </c>
      <c r="D547" s="82" t="inlineStr">
        <is>
          <t>Consumer Discretionary</t>
        </is>
      </c>
      <c r="E547" s="82" t="n">
        <v>2026</v>
      </c>
      <c r="F547" s="85" t="n">
        <v>3261.7</v>
      </c>
      <c r="G547" s="85" t="n">
        <v>454.8</v>
      </c>
      <c r="H547" s="85" t="n">
        <v>777</v>
      </c>
      <c r="I547" s="85" t="n">
        <v>2825.2</v>
      </c>
      <c r="J547" s="85" t="n">
        <v>1412.9</v>
      </c>
      <c r="K547" s="85" t="n">
        <v>187.3</v>
      </c>
      <c r="L547" s="85" t="n">
        <v>3751.8</v>
      </c>
      <c r="M547" s="85" t="n">
        <v>148.4</v>
      </c>
      <c r="N547" s="85" t="n">
        <v>301.3</v>
      </c>
      <c r="O547" s="85" t="n">
        <v>3098.7</v>
      </c>
      <c r="P547" s="85" t="n">
        <v>561.3</v>
      </c>
      <c r="Q547" s="85" t="n">
        <v>436.4</v>
      </c>
      <c r="R547" s="85" t="n">
        <v>244.9</v>
      </c>
      <c r="S547" s="85" t="n">
        <v>109</v>
      </c>
      <c r="T547" s="85" t="n">
        <v>25.6</v>
      </c>
      <c r="U547" s="85" t="n">
        <v>869.7</v>
      </c>
      <c r="V547" s="85" t="n">
        <v>4.9</v>
      </c>
      <c r="W547" s="85" t="n">
        <v>3041.8</v>
      </c>
      <c r="X547" s="85" t="n">
        <v>333.3</v>
      </c>
      <c r="Y547" s="85" t="n">
        <v>711.4</v>
      </c>
      <c r="Z547" s="85" t="n">
        <v>2598.3</v>
      </c>
      <c r="AA547" s="85" t="n">
        <v>178.3</v>
      </c>
      <c r="AB547" s="85" t="n">
        <v>3581.7</v>
      </c>
      <c r="AC547" s="85" t="n">
        <v>156.8</v>
      </c>
      <c r="AD547" s="85" t="n">
        <v>268.3</v>
      </c>
      <c r="AE547" s="85" t="n">
        <v>3123.4</v>
      </c>
      <c r="AF547" s="85" t="n">
        <v>452.1</v>
      </c>
      <c r="AG547" s="85" t="n">
        <v>443.5</v>
      </c>
      <c r="AH547" s="85" t="n">
        <v>3581.7</v>
      </c>
      <c r="AI547" s="85" t="n">
        <v>3041.8</v>
      </c>
      <c r="AJ547" s="85" t="n">
        <v>162.9</v>
      </c>
      <c r="AK547" s="85" t="n">
        <v>171</v>
      </c>
      <c r="AL547" s="85" t="n">
        <v>14.5</v>
      </c>
      <c r="AM547" s="85" t="n">
        <v>14.3</v>
      </c>
      <c r="AN547" s="85" t="n">
        <v>146.2</v>
      </c>
      <c r="AO547" s="85" t="n">
        <v>160.4</v>
      </c>
      <c r="AP547" s="85" t="n">
        <v>54</v>
      </c>
      <c r="AQ547" s="85" t="n">
        <v>64.5</v>
      </c>
      <c r="AR547" s="85" t="n">
        <v>1.5</v>
      </c>
      <c r="AS547" s="85" t="n">
        <v>9</v>
      </c>
      <c r="AT547" s="85" t="n">
        <v>68.8</v>
      </c>
      <c r="AU547" s="91" t="inlineStr">
        <is>
          <t>N/A</t>
        </is>
      </c>
      <c r="AV547" s="85" t="n">
        <v>215.7</v>
      </c>
      <c r="AW547" s="85" t="n">
        <v>84.2</v>
      </c>
      <c r="AX547" s="85" t="n">
        <v>630.1</v>
      </c>
      <c r="AY547" s="85" t="n">
        <v>452.1</v>
      </c>
      <c r="AZ547" s="85" t="n">
        <v>414.3</v>
      </c>
      <c r="BA547" s="85" t="n">
        <v>155.1</v>
      </c>
      <c r="BB547" s="85" t="n">
        <v>49.6</v>
      </c>
      <c r="BC547" s="85" t="n">
        <v>51.3</v>
      </c>
      <c r="BD547" s="85" t="n">
        <v>25.6</v>
      </c>
      <c r="BE547" s="85" t="n">
        <v>840.8</v>
      </c>
      <c r="BF547" s="85" t="n">
        <v>228.7</v>
      </c>
      <c r="BG547" s="85" t="n">
        <v>101.5</v>
      </c>
      <c r="BH547" s="85" t="n">
        <v>-147.3</v>
      </c>
      <c r="BI547" s="85" t="n">
        <v>-161.1</v>
      </c>
      <c r="BJ547" s="85" t="n">
        <v>62.7</v>
      </c>
      <c r="BK547" s="85" t="n">
        <v>62.1</v>
      </c>
      <c r="BL547" s="85" t="n">
        <v>212.9</v>
      </c>
      <c r="BM547" s="85" t="n">
        <v>226.8</v>
      </c>
      <c r="BN547" s="85" t="n">
        <v>0.7</v>
      </c>
      <c r="BO547" s="85" t="n">
        <v>653.1</v>
      </c>
      <c r="BP547" s="85" t="n">
        <v>458.3</v>
      </c>
      <c r="BQ547" s="85" t="n">
        <v>0</v>
      </c>
      <c r="BR547" s="85" t="n">
        <v>0</v>
      </c>
      <c r="BS547" s="85" t="n">
        <v>0</v>
      </c>
      <c r="BT547" s="85" t="n">
        <v>0</v>
      </c>
      <c r="BU547" s="85" t="n">
        <v>0</v>
      </c>
      <c r="BV547" s="85" t="n">
        <v>0</v>
      </c>
      <c r="BW547" s="85" t="n">
        <v>0</v>
      </c>
      <c r="BX547" s="85" t="n">
        <v>0</v>
      </c>
      <c r="BY547" s="85" t="n">
        <v>0</v>
      </c>
    </row>
    <row r="548" ht="17" customHeight="1">
      <c r="A548" s="86" t="n">
        <v>546</v>
      </c>
      <c r="B548" s="87" t="inlineStr">
        <is>
          <t>STAG</t>
        </is>
      </c>
      <c r="C548" s="88" t="inlineStr">
        <is>
          <t>STAG Industrial, Inc.</t>
        </is>
      </c>
      <c r="D548" s="86" t="inlineStr">
        <is>
          <t>Real Estate</t>
        </is>
      </c>
      <c r="E548" s="86" t="n">
        <v>2026</v>
      </c>
      <c r="F548" s="89" t="n">
        <v>7208.1</v>
      </c>
      <c r="G548" s="90" t="inlineStr">
        <is>
          <t>N/A</t>
        </is>
      </c>
      <c r="H548" s="90" t="inlineStr">
        <is>
          <t>N/A</t>
        </is>
      </c>
      <c r="I548" s="89" t="n">
        <v>3537</v>
      </c>
      <c r="J548" s="89" t="n">
        <v>-1035</v>
      </c>
      <c r="K548" s="90" t="inlineStr">
        <is>
          <t>N/A</t>
        </is>
      </c>
      <c r="L548" s="89" t="n">
        <v>845.2</v>
      </c>
      <c r="M548" s="89" t="n">
        <v>273.5</v>
      </c>
      <c r="N548" s="89" t="n">
        <v>463.4</v>
      </c>
      <c r="O548" s="90" t="inlineStr">
        <is>
          <t>N/A</t>
        </is>
      </c>
      <c r="P548" s="89" t="n">
        <v>3254.3</v>
      </c>
      <c r="Q548" s="89" t="n">
        <v>3595.7</v>
      </c>
      <c r="R548" s="89" t="n">
        <v>51.9</v>
      </c>
      <c r="S548" s="89" t="n">
        <v>301.8</v>
      </c>
      <c r="T548" s="89" t="n">
        <v>156.5</v>
      </c>
      <c r="U548" s="90" t="inlineStr">
        <is>
          <t>N/A</t>
        </is>
      </c>
      <c r="V548" s="89" t="n">
        <v>113.2</v>
      </c>
      <c r="W548" s="89" t="n">
        <v>6833.3</v>
      </c>
      <c r="X548" s="90" t="inlineStr">
        <is>
          <t>N/A</t>
        </is>
      </c>
      <c r="Y548" s="90" t="inlineStr">
        <is>
          <t>N/A</t>
        </is>
      </c>
      <c r="Z548" s="89" t="n">
        <v>3304.2</v>
      </c>
      <c r="AA548" s="90" t="inlineStr">
        <is>
          <t>N/A</t>
        </is>
      </c>
      <c r="AB548" s="89" t="n">
        <v>767.4</v>
      </c>
      <c r="AC548" s="89" t="n">
        <v>189.2</v>
      </c>
      <c r="AD548" s="89" t="n">
        <v>460.3</v>
      </c>
      <c r="AE548" s="90" t="inlineStr">
        <is>
          <t>N/A</t>
        </is>
      </c>
      <c r="AF548" s="89" t="n">
        <v>3029.1</v>
      </c>
      <c r="AG548" s="89" t="n">
        <v>3457.7</v>
      </c>
      <c r="AH548" s="89" t="n">
        <v>767.4</v>
      </c>
      <c r="AI548" s="89" t="n">
        <v>6833.3</v>
      </c>
      <c r="AJ548" s="90" t="inlineStr">
        <is>
          <t>N/A</t>
        </is>
      </c>
      <c r="AK548" s="90" t="inlineStr">
        <is>
          <t>N/A</t>
        </is>
      </c>
      <c r="AL548" s="90" t="inlineStr">
        <is>
          <t>N/A</t>
        </is>
      </c>
      <c r="AM548" s="90" t="inlineStr">
        <is>
          <t>N/A</t>
        </is>
      </c>
      <c r="AN548" s="89" t="n">
        <v>204.5</v>
      </c>
      <c r="AO548" s="89" t="n">
        <v>150.4</v>
      </c>
      <c r="AP548" s="90" t="inlineStr">
        <is>
          <t>N/A</t>
        </is>
      </c>
      <c r="AQ548" s="90" t="inlineStr">
        <is>
          <t>N/A</t>
        </is>
      </c>
      <c r="AR548" s="89" t="n">
        <v>4.9</v>
      </c>
      <c r="AS548" s="89" t="n">
        <v>395</v>
      </c>
      <c r="AT548" s="90" t="inlineStr">
        <is>
          <t>N/A</t>
        </is>
      </c>
      <c r="AU548" s="90" t="inlineStr">
        <is>
          <t>N/A</t>
        </is>
      </c>
      <c r="AV548" s="89" t="n">
        <v>14.9</v>
      </c>
      <c r="AW548" s="89" t="n">
        <v>36.3</v>
      </c>
      <c r="AX548" s="89" t="n">
        <v>3254.3</v>
      </c>
      <c r="AY548" s="89" t="n">
        <v>3029.1</v>
      </c>
      <c r="AZ548" s="89" t="n">
        <v>3239.4</v>
      </c>
      <c r="BA548" s="89" t="n">
        <v>258.9</v>
      </c>
      <c r="BB548" s="89" t="n">
        <v>191</v>
      </c>
      <c r="BC548" s="89" t="n">
        <v>186.5</v>
      </c>
      <c r="BD548" s="89" t="n">
        <v>136.4</v>
      </c>
      <c r="BE548" s="90" t="inlineStr">
        <is>
          <t>N/A</t>
        </is>
      </c>
      <c r="BF548" s="89" t="n">
        <v>49.2</v>
      </c>
      <c r="BG548" s="89" t="n">
        <v>293.1</v>
      </c>
      <c r="BH548" s="89" t="n">
        <v>-497.3</v>
      </c>
      <c r="BI548" s="89" t="n">
        <v>-731.1</v>
      </c>
      <c r="BJ548" s="90" t="inlineStr">
        <is>
          <t>N/A</t>
        </is>
      </c>
      <c r="BK548" s="90" t="inlineStr">
        <is>
          <t>N/A</t>
        </is>
      </c>
      <c r="BL548" s="90" t="inlineStr">
        <is>
          <t>N/A</t>
        </is>
      </c>
      <c r="BM548" s="90" t="inlineStr">
        <is>
          <t>N/A</t>
        </is>
      </c>
      <c r="BN548" s="90" t="inlineStr">
        <is>
          <t>N/A</t>
        </is>
      </c>
      <c r="BO548" s="90" t="inlineStr">
        <is>
          <t>N/A</t>
        </is>
      </c>
      <c r="BP548" s="90" t="inlineStr">
        <is>
          <t>N/A</t>
        </is>
      </c>
      <c r="BQ548" s="89" t="n">
        <v>0</v>
      </c>
      <c r="BR548" s="89" t="n">
        <v>0</v>
      </c>
      <c r="BS548" s="90" t="inlineStr">
        <is>
          <t>N/A</t>
        </is>
      </c>
      <c r="BT548" s="90" t="inlineStr">
        <is>
          <t>N/A</t>
        </is>
      </c>
      <c r="BU548" s="90" t="inlineStr">
        <is>
          <t>N/A</t>
        </is>
      </c>
      <c r="BV548" s="90" t="inlineStr">
        <is>
          <t>N/A</t>
        </is>
      </c>
      <c r="BW548" s="89" t="n">
        <v>0</v>
      </c>
      <c r="BX548" s="89" t="n">
        <v>0</v>
      </c>
      <c r="BY548" s="90" t="inlineStr">
        <is>
          <t>N/A</t>
        </is>
      </c>
    </row>
    <row r="549" ht="17" customHeight="1">
      <c r="A549" s="82" t="n">
        <v>547</v>
      </c>
      <c r="B549" s="83" t="inlineStr">
        <is>
          <t>SAIA</t>
        </is>
      </c>
      <c r="C549" s="84" t="inlineStr">
        <is>
          <t>Saia, Inc.</t>
        </is>
      </c>
      <c r="D549" s="82" t="inlineStr">
        <is>
          <t>Industrials</t>
        </is>
      </c>
      <c r="E549" s="82" t="n">
        <v>2026</v>
      </c>
      <c r="F549" s="85" t="n">
        <v>3482.7</v>
      </c>
      <c r="G549" s="85" t="n">
        <v>434.6</v>
      </c>
      <c r="H549" s="85" t="n">
        <v>265.4</v>
      </c>
      <c r="I549" s="85" t="n">
        <v>3482.7</v>
      </c>
      <c r="J549" s="85" t="n">
        <v>2279.2</v>
      </c>
      <c r="K549" s="85" t="n">
        <v>352.2</v>
      </c>
      <c r="L549" s="85" t="n">
        <v>3234.3</v>
      </c>
      <c r="M549" s="85" t="n">
        <v>255</v>
      </c>
      <c r="N549" s="85" t="n">
        <v>595</v>
      </c>
      <c r="O549" s="91" t="inlineStr">
        <is>
          <t>N/A</t>
        </is>
      </c>
      <c r="P549" s="85" t="n">
        <v>163</v>
      </c>
      <c r="Q549" s="85" t="n">
        <v>2577.7</v>
      </c>
      <c r="R549" s="91" t="inlineStr">
        <is>
          <t>N/A</t>
        </is>
      </c>
      <c r="S549" s="85" t="n">
        <v>248.6</v>
      </c>
      <c r="T549" s="85" t="n">
        <v>332.2</v>
      </c>
      <c r="U549" s="85" t="n">
        <v>2844.4</v>
      </c>
      <c r="V549" s="85" t="n">
        <v>16.4</v>
      </c>
      <c r="W549" s="85" t="n">
        <v>3166.9</v>
      </c>
      <c r="X549" s="85" t="n">
        <v>435.8</v>
      </c>
      <c r="Y549" s="85" t="n">
        <v>278.4</v>
      </c>
      <c r="Z549" s="85" t="n">
        <v>3166.9</v>
      </c>
      <c r="AA549" s="85" t="n">
        <v>482.2</v>
      </c>
      <c r="AB549" s="85" t="n">
        <v>3209.1</v>
      </c>
      <c r="AC549" s="85" t="n">
        <v>362.1</v>
      </c>
      <c r="AD549" s="85" t="n">
        <v>583.7</v>
      </c>
      <c r="AE549" s="91" t="inlineStr">
        <is>
          <t>N/A</t>
        </is>
      </c>
      <c r="AF549" s="85" t="n">
        <v>194</v>
      </c>
      <c r="AG549" s="85" t="n">
        <v>2311.3</v>
      </c>
      <c r="AH549" s="85" t="n">
        <v>3209.1</v>
      </c>
      <c r="AI549" s="85" t="n">
        <v>3166.9</v>
      </c>
      <c r="AJ549" s="85" t="n">
        <v>337.4</v>
      </c>
      <c r="AK549" s="85" t="n">
        <v>476</v>
      </c>
      <c r="AL549" s="85" t="n">
        <v>82.40000000000001</v>
      </c>
      <c r="AM549" s="85" t="n">
        <v>113.9</v>
      </c>
      <c r="AN549" s="85" t="n">
        <v>567.6</v>
      </c>
      <c r="AO549" s="85" t="n">
        <v>1043.6</v>
      </c>
      <c r="AP549" s="91" t="inlineStr">
        <is>
          <t>N/A</t>
        </is>
      </c>
      <c r="AQ549" s="91" t="inlineStr">
        <is>
          <t>N/A</t>
        </is>
      </c>
      <c r="AR549" s="85" t="n">
        <v>12.1</v>
      </c>
      <c r="AS549" s="85" t="n">
        <v>7.1</v>
      </c>
      <c r="AT549" s="85" t="n">
        <v>9.1</v>
      </c>
      <c r="AU549" s="91" t="inlineStr">
        <is>
          <t>N/A</t>
        </is>
      </c>
      <c r="AV549" s="85" t="n">
        <v>19.7</v>
      </c>
      <c r="AW549" s="85" t="n">
        <v>19.5</v>
      </c>
      <c r="AX549" s="85" t="n">
        <v>172.1</v>
      </c>
      <c r="AY549" s="85" t="n">
        <v>194</v>
      </c>
      <c r="AZ549" s="85" t="n">
        <v>152.4</v>
      </c>
      <c r="BA549" s="85" t="n">
        <v>27.3</v>
      </c>
      <c r="BB549" s="85" t="n">
        <v>26.6</v>
      </c>
      <c r="BC549" s="85" t="n">
        <v>26.6</v>
      </c>
      <c r="BD549" s="85" t="n">
        <v>323</v>
      </c>
      <c r="BE549" s="85" t="n">
        <v>2556.9</v>
      </c>
      <c r="BF549" s="91" t="inlineStr">
        <is>
          <t>N/A</t>
        </is>
      </c>
      <c r="BG549" s="85" t="n">
        <v>210.1</v>
      </c>
      <c r="BH549" s="85" t="n">
        <v>-552.5</v>
      </c>
      <c r="BI549" s="85" t="n">
        <v>-1035.9</v>
      </c>
      <c r="BJ549" s="85" t="n">
        <v>107.4</v>
      </c>
      <c r="BK549" s="85" t="n">
        <v>114.6</v>
      </c>
      <c r="BL549" s="91" t="inlineStr">
        <is>
          <t>N/A</t>
        </is>
      </c>
      <c r="BM549" s="91" t="inlineStr">
        <is>
          <t>N/A</t>
        </is>
      </c>
      <c r="BN549" s="85" t="n">
        <v>26</v>
      </c>
      <c r="BO549" s="91" t="inlineStr">
        <is>
          <t>N/A</t>
        </is>
      </c>
      <c r="BP549" s="91" t="inlineStr">
        <is>
          <t>N/A</t>
        </is>
      </c>
      <c r="BQ549" s="85" t="n">
        <v>0</v>
      </c>
      <c r="BR549" s="85" t="n">
        <v>0</v>
      </c>
      <c r="BS549" s="91" t="inlineStr">
        <is>
          <t>N/A</t>
        </is>
      </c>
      <c r="BT549" s="91" t="inlineStr">
        <is>
          <t>N/A</t>
        </is>
      </c>
      <c r="BU549" s="91" t="inlineStr">
        <is>
          <t>N/A</t>
        </is>
      </c>
      <c r="BV549" s="91" t="inlineStr">
        <is>
          <t>N/A</t>
        </is>
      </c>
      <c r="BW549" s="85" t="n">
        <v>0</v>
      </c>
      <c r="BX549" s="85" t="n">
        <v>0</v>
      </c>
      <c r="BY549" s="85" t="n">
        <v>0</v>
      </c>
    </row>
    <row r="550" ht="17" customHeight="1">
      <c r="A550" s="86" t="n">
        <v>548</v>
      </c>
      <c r="B550" s="87" t="inlineStr">
        <is>
          <t>CSX</t>
        </is>
      </c>
      <c r="C550" s="88" t="inlineStr">
        <is>
          <t>CSX CORPORATION</t>
        </is>
      </c>
      <c r="D550" s="86" t="inlineStr">
        <is>
          <t>Industrials</t>
        </is>
      </c>
      <c r="E550" s="86" t="n">
        <v>2026</v>
      </c>
      <c r="F550" s="89" t="n">
        <v>43682</v>
      </c>
      <c r="G550" s="89" t="n">
        <v>2550</v>
      </c>
      <c r="H550" s="89" t="n">
        <v>3133</v>
      </c>
      <c r="I550" s="89" t="n">
        <v>30522</v>
      </c>
      <c r="J550" s="89" t="n">
        <v>10560</v>
      </c>
      <c r="K550" s="89" t="n">
        <v>4521</v>
      </c>
      <c r="L550" s="89" t="n">
        <v>10636</v>
      </c>
      <c r="M550" s="89" t="n">
        <v>2889</v>
      </c>
      <c r="N550" s="89" t="n">
        <v>4613</v>
      </c>
      <c r="O550" s="89" t="n">
        <v>3255</v>
      </c>
      <c r="P550" s="89" t="n">
        <v>9832</v>
      </c>
      <c r="Q550" s="89" t="n">
        <v>13160</v>
      </c>
      <c r="R550" s="90" t="inlineStr">
        <is>
          <t>N/A</t>
        </is>
      </c>
      <c r="S550" s="89" t="n">
        <v>1680</v>
      </c>
      <c r="T550" s="89" t="n">
        <v>1298</v>
      </c>
      <c r="U550" s="89" t="n">
        <v>36811</v>
      </c>
      <c r="V550" s="89" t="n">
        <v>546</v>
      </c>
      <c r="W550" s="89" t="n">
        <v>42764</v>
      </c>
      <c r="X550" s="89" t="n">
        <v>2820</v>
      </c>
      <c r="Y550" s="89" t="n">
        <v>3276</v>
      </c>
      <c r="Z550" s="89" t="n">
        <v>30257</v>
      </c>
      <c r="AA550" s="89" t="n">
        <v>5245</v>
      </c>
      <c r="AB550" s="89" t="n">
        <v>2816</v>
      </c>
      <c r="AC550" s="89" t="n">
        <v>3470</v>
      </c>
      <c r="AD550" s="89" t="n">
        <v>5247</v>
      </c>
      <c r="AE550" s="89" t="n">
        <v>-4925</v>
      </c>
      <c r="AF550" s="89" t="n">
        <v>9241</v>
      </c>
      <c r="AG550" s="90" t="inlineStr">
        <is>
          <t>N/A</t>
        </is>
      </c>
      <c r="AH550" s="89" t="n">
        <v>2666</v>
      </c>
      <c r="AI550" s="89" t="n">
        <v>42764</v>
      </c>
      <c r="AJ550" s="89" t="n">
        <v>3769</v>
      </c>
      <c r="AK550" s="89" t="n">
        <v>4555</v>
      </c>
      <c r="AL550" s="89" t="n">
        <v>880</v>
      </c>
      <c r="AM550" s="89" t="n">
        <v>1085</v>
      </c>
      <c r="AN550" s="89" t="n">
        <v>2902</v>
      </c>
      <c r="AO550" s="89" t="n">
        <v>2529</v>
      </c>
      <c r="AP550" s="90" t="inlineStr">
        <is>
          <t>N/A</t>
        </is>
      </c>
      <c r="AQ550" s="90" t="inlineStr">
        <is>
          <t>N/A</t>
        </is>
      </c>
      <c r="AR550" s="89" t="n">
        <v>80</v>
      </c>
      <c r="AS550" s="89" t="n">
        <v>187</v>
      </c>
      <c r="AT550" s="90" t="inlineStr">
        <is>
          <t>N/A</t>
        </is>
      </c>
      <c r="AU550" s="90" t="inlineStr">
        <is>
          <t>N/A</t>
        </is>
      </c>
      <c r="AV550" s="89" t="n">
        <v>1958</v>
      </c>
      <c r="AW550" s="89" t="n">
        <v>2239</v>
      </c>
      <c r="AX550" s="89" t="n">
        <v>9832</v>
      </c>
      <c r="AY550" s="89" t="n">
        <v>9241</v>
      </c>
      <c r="AZ550" s="89" t="n">
        <v>7874</v>
      </c>
      <c r="BA550" s="89" t="n">
        <v>1711</v>
      </c>
      <c r="BB550" s="89" t="n">
        <v>1860</v>
      </c>
      <c r="BC550" s="89" t="n">
        <v>1900</v>
      </c>
      <c r="BD550" s="89" t="n">
        <v>1326</v>
      </c>
      <c r="BE550" s="89" t="n">
        <v>35658</v>
      </c>
      <c r="BF550" s="90" t="inlineStr">
        <is>
          <t>N/A</t>
        </is>
      </c>
      <c r="BG550" s="89" t="n">
        <v>1658</v>
      </c>
      <c r="BH550" s="89" t="n">
        <v>-2851</v>
      </c>
      <c r="BI550" s="89" t="n">
        <v>-2605</v>
      </c>
      <c r="BJ550" s="89" t="n">
        <v>1149</v>
      </c>
      <c r="BK550" s="89" t="n">
        <v>1290</v>
      </c>
      <c r="BL550" s="89" t="n">
        <v>189</v>
      </c>
      <c r="BM550" s="89" t="n">
        <v>160</v>
      </c>
      <c r="BN550" s="89" t="n">
        <v>118</v>
      </c>
      <c r="BO550" s="89" t="n">
        <v>7381</v>
      </c>
      <c r="BP550" s="89" t="n">
        <v>7741</v>
      </c>
      <c r="BQ550" s="89" t="n">
        <v>0</v>
      </c>
      <c r="BR550" s="89" t="n">
        <v>0</v>
      </c>
      <c r="BS550" s="90" t="inlineStr">
        <is>
          <t>N/A</t>
        </is>
      </c>
      <c r="BT550" s="90" t="inlineStr">
        <is>
          <t>N/A</t>
        </is>
      </c>
      <c r="BU550" s="89" t="n">
        <v>0</v>
      </c>
      <c r="BV550" s="89" t="n">
        <v>0</v>
      </c>
      <c r="BW550" s="89" t="n">
        <v>0</v>
      </c>
      <c r="BX550" s="89" t="n">
        <v>0</v>
      </c>
      <c r="BY550" s="89" t="n">
        <v>0</v>
      </c>
    </row>
    <row r="551" ht="17" customHeight="1">
      <c r="A551" s="82" t="n">
        <v>549</v>
      </c>
      <c r="B551" s="83" t="inlineStr">
        <is>
          <t>GD</t>
        </is>
      </c>
      <c r="C551" s="84" t="inlineStr">
        <is>
          <t>GENERAL DYNAMICS CORP</t>
        </is>
      </c>
      <c r="D551" s="82" t="inlineStr">
        <is>
          <t>Industrials</t>
        </is>
      </c>
      <c r="E551" s="82" t="n">
        <v>2026</v>
      </c>
      <c r="F551" s="85" t="n">
        <v>57249</v>
      </c>
      <c r="G551" s="85" t="n">
        <v>24248</v>
      </c>
      <c r="H551" s="85" t="n">
        <v>16796</v>
      </c>
      <c r="I551" s="85" t="n">
        <v>57249</v>
      </c>
      <c r="J551" s="85" t="n">
        <v>44080</v>
      </c>
      <c r="K551" s="85" t="n">
        <v>5356</v>
      </c>
      <c r="L551" s="85" t="n">
        <v>52550</v>
      </c>
      <c r="M551" s="85" t="n">
        <v>4210</v>
      </c>
      <c r="N551" s="85" t="n">
        <v>5120</v>
      </c>
      <c r="O551" s="85" t="n">
        <v>20259</v>
      </c>
      <c r="P551" s="85" t="n">
        <v>8074</v>
      </c>
      <c r="Q551" s="85" t="n">
        <v>25622</v>
      </c>
      <c r="R551" s="85" t="n">
        <v>2595</v>
      </c>
      <c r="S551" s="85" t="n">
        <v>924</v>
      </c>
      <c r="T551" s="85" t="n">
        <v>2406</v>
      </c>
      <c r="U551" s="85" t="n">
        <v>7525</v>
      </c>
      <c r="V551" s="85" t="n">
        <v>399</v>
      </c>
      <c r="W551" s="85" t="n">
        <v>55880</v>
      </c>
      <c r="X551" s="85" t="n">
        <v>24386</v>
      </c>
      <c r="Y551" s="85" t="n">
        <v>17824</v>
      </c>
      <c r="Z551" s="85" t="n">
        <v>55880</v>
      </c>
      <c r="AA551" s="85" t="n">
        <v>4796</v>
      </c>
      <c r="AB551" s="85" t="n">
        <v>47716</v>
      </c>
      <c r="AC551" s="85" t="n">
        <v>3782</v>
      </c>
      <c r="AD551" s="85" t="n">
        <v>4112</v>
      </c>
      <c r="AE551" s="85" t="n">
        <v>18238</v>
      </c>
      <c r="AF551" s="85" t="n">
        <v>8826</v>
      </c>
      <c r="AG551" s="85" t="n">
        <v>22063</v>
      </c>
      <c r="AH551" s="85" t="n">
        <v>47716</v>
      </c>
      <c r="AI551" s="85" t="n">
        <v>55880</v>
      </c>
      <c r="AJ551" s="85" t="n">
        <v>5103</v>
      </c>
      <c r="AK551" s="85" t="n">
        <v>4540</v>
      </c>
      <c r="AL551" s="85" t="n">
        <v>893</v>
      </c>
      <c r="AM551" s="85" t="n">
        <v>758</v>
      </c>
      <c r="AN551" s="85" t="n">
        <v>1161</v>
      </c>
      <c r="AO551" s="85" t="n">
        <v>916</v>
      </c>
      <c r="AP551" s="85" t="n">
        <v>9232</v>
      </c>
      <c r="AQ551" s="85" t="n">
        <v>9724</v>
      </c>
      <c r="AR551" s="85" t="n">
        <v>21009</v>
      </c>
      <c r="AS551" s="85" t="n">
        <v>1375</v>
      </c>
      <c r="AT551" s="85" t="n">
        <v>1006</v>
      </c>
      <c r="AU551" s="85" t="n">
        <v>1607</v>
      </c>
      <c r="AV551" s="85" t="n">
        <v>2333</v>
      </c>
      <c r="AW551" s="85" t="n">
        <v>1697</v>
      </c>
      <c r="AX551" s="85" t="n">
        <v>9080</v>
      </c>
      <c r="AY551" s="85" t="n">
        <v>10328</v>
      </c>
      <c r="AZ551" s="85" t="n">
        <v>6747</v>
      </c>
      <c r="BA551" s="85" t="n">
        <v>3959</v>
      </c>
      <c r="BB551" s="85" t="n">
        <v>270.4</v>
      </c>
      <c r="BC551" s="85" t="n">
        <v>270.3</v>
      </c>
      <c r="BD551" s="85" t="n">
        <v>2977</v>
      </c>
      <c r="BE551" s="85" t="n">
        <v>6467</v>
      </c>
      <c r="BF551" s="85" t="n">
        <v>2568</v>
      </c>
      <c r="BG551" s="85" t="n">
        <v>886</v>
      </c>
      <c r="BH551" s="85" t="n">
        <v>-1284</v>
      </c>
      <c r="BI551" s="85" t="n">
        <v>-953</v>
      </c>
      <c r="BJ551" s="85" t="n">
        <v>2678</v>
      </c>
      <c r="BK551" s="85" t="n">
        <v>3344</v>
      </c>
      <c r="BL551" s="85" t="n">
        <v>9824</v>
      </c>
      <c r="BM551" s="85" t="n">
        <v>9491</v>
      </c>
      <c r="BN551" s="91" t="inlineStr">
        <is>
          <t>N/A</t>
        </is>
      </c>
      <c r="BO551" s="85" t="n">
        <v>32291</v>
      </c>
      <c r="BP551" s="85" t="n">
        <v>29478</v>
      </c>
      <c r="BQ551" s="85" t="n">
        <v>0</v>
      </c>
      <c r="BR551" s="85" t="n">
        <v>0</v>
      </c>
      <c r="BS551" s="85" t="n">
        <v>0</v>
      </c>
      <c r="BT551" s="85" t="n">
        <v>0</v>
      </c>
      <c r="BU551" s="85" t="n">
        <v>0</v>
      </c>
      <c r="BV551" s="85" t="n">
        <v>0</v>
      </c>
      <c r="BW551" s="85" t="n">
        <v>0</v>
      </c>
      <c r="BX551" s="85" t="n">
        <v>0</v>
      </c>
      <c r="BY551" s="85" t="n">
        <v>0</v>
      </c>
    </row>
    <row r="552" ht="17" customHeight="1">
      <c r="A552" s="86" t="n">
        <v>550</v>
      </c>
      <c r="B552" s="87" t="inlineStr">
        <is>
          <t>TMO</t>
        </is>
      </c>
      <c r="C552" s="88" t="inlineStr">
        <is>
          <t>THERMO FISHER SCIENTIFIC INC.</t>
        </is>
      </c>
      <c r="D552" s="86" t="inlineStr">
        <is>
          <t>Health Care</t>
        </is>
      </c>
      <c r="E552" s="86" t="n">
        <v>2026</v>
      </c>
      <c r="F552" s="89" t="n">
        <v>110343</v>
      </c>
      <c r="G552" s="89" t="n">
        <v>28707</v>
      </c>
      <c r="H552" s="89" t="n">
        <v>15189</v>
      </c>
      <c r="I552" s="89" t="n">
        <v>110343</v>
      </c>
      <c r="J552" s="89" t="n">
        <v>59156</v>
      </c>
      <c r="K552" s="89" t="n">
        <v>7746</v>
      </c>
      <c r="L552" s="89" t="n">
        <v>20918</v>
      </c>
      <c r="M552" s="89" t="n">
        <v>6704</v>
      </c>
      <c r="N552" s="89" t="n">
        <v>7818</v>
      </c>
      <c r="O552" s="89" t="n">
        <v>3035</v>
      </c>
      <c r="P552" s="89" t="n">
        <v>39172</v>
      </c>
      <c r="Q552" s="89" t="n">
        <v>53407</v>
      </c>
      <c r="R552" s="89" t="n">
        <v>8732</v>
      </c>
      <c r="S552" s="89" t="n">
        <v>2267</v>
      </c>
      <c r="T552" s="89" t="n">
        <v>8900</v>
      </c>
      <c r="U552" s="89" t="n">
        <v>10565</v>
      </c>
      <c r="V552" s="89" t="n">
        <v>1375</v>
      </c>
      <c r="W552" s="89" t="n">
        <v>97321</v>
      </c>
      <c r="X552" s="89" t="n">
        <v>22137</v>
      </c>
      <c r="Y552" s="89" t="n">
        <v>13332</v>
      </c>
      <c r="Z552" s="89" t="n">
        <v>97321</v>
      </c>
      <c r="AA552" s="89" t="n">
        <v>7337</v>
      </c>
      <c r="AB552" s="89" t="n">
        <v>6047</v>
      </c>
      <c r="AC552" s="89" t="n">
        <v>6335</v>
      </c>
      <c r="AD552" s="89" t="n">
        <v>8667</v>
      </c>
      <c r="AE552" s="89" t="n">
        <v>2763</v>
      </c>
      <c r="AF552" s="89" t="n">
        <v>31072</v>
      </c>
      <c r="AG552" s="89" t="n">
        <v>49584</v>
      </c>
      <c r="AH552" s="89" t="n">
        <v>5116</v>
      </c>
      <c r="AI552" s="89" t="n">
        <v>97321</v>
      </c>
      <c r="AJ552" s="89" t="n">
        <v>7225</v>
      </c>
      <c r="AK552" s="89" t="n">
        <v>4070</v>
      </c>
      <c r="AL552" s="89" t="n">
        <v>547</v>
      </c>
      <c r="AM552" s="89" t="n">
        <v>657</v>
      </c>
      <c r="AN552" s="89" t="n">
        <v>1525</v>
      </c>
      <c r="AO552" s="89" t="n">
        <v>1400</v>
      </c>
      <c r="AP552" s="89" t="n">
        <v>5425</v>
      </c>
      <c r="AQ552" s="89" t="n">
        <v>4978</v>
      </c>
      <c r="AR552" s="89" t="n">
        <v>49362</v>
      </c>
      <c r="AS552" s="89" t="n">
        <v>14604</v>
      </c>
      <c r="AT552" s="89" t="n">
        <v>693</v>
      </c>
      <c r="AU552" s="89" t="n">
        <v>1397</v>
      </c>
      <c r="AV552" s="89" t="n">
        <v>9852</v>
      </c>
      <c r="AW552" s="89" t="n">
        <v>4009</v>
      </c>
      <c r="AX552" s="89" t="n">
        <v>39865</v>
      </c>
      <c r="AY552" s="89" t="n">
        <v>31765</v>
      </c>
      <c r="AZ552" s="89" t="n">
        <v>30013</v>
      </c>
      <c r="BA552" s="89" t="n">
        <v>6293</v>
      </c>
      <c r="BB552" s="89" t="n">
        <v>445.2</v>
      </c>
      <c r="BC552" s="89" t="n">
        <v>443.8</v>
      </c>
      <c r="BD552" s="89" t="n">
        <v>8191</v>
      </c>
      <c r="BE552" s="89" t="n">
        <v>9306</v>
      </c>
      <c r="BF552" s="89" t="n">
        <v>8595</v>
      </c>
      <c r="BG552" s="89" t="n">
        <v>2033</v>
      </c>
      <c r="BH552" s="89" t="n">
        <v>-4047</v>
      </c>
      <c r="BI552" s="89" t="n">
        <v>-5841</v>
      </c>
      <c r="BJ552" s="89" t="n">
        <v>3622</v>
      </c>
      <c r="BK552" s="89" t="n">
        <v>3079</v>
      </c>
      <c r="BL552" s="90" t="inlineStr">
        <is>
          <t>N/A</t>
        </is>
      </c>
      <c r="BM552" s="90" t="inlineStr">
        <is>
          <t>N/A</t>
        </is>
      </c>
      <c r="BN552" s="89" t="n">
        <v>165.4</v>
      </c>
      <c r="BO552" s="89" t="n">
        <v>8976</v>
      </c>
      <c r="BP552" s="89" t="n">
        <v>8213.9</v>
      </c>
      <c r="BQ552" s="89" t="n">
        <v>0</v>
      </c>
      <c r="BR552" s="89" t="n">
        <v>0</v>
      </c>
      <c r="BS552" s="89" t="n">
        <v>0</v>
      </c>
      <c r="BT552" s="89" t="n">
        <v>0</v>
      </c>
      <c r="BU552" s="89" t="n">
        <v>0</v>
      </c>
      <c r="BV552" s="89" t="n">
        <v>0</v>
      </c>
      <c r="BW552" s="89" t="n">
        <v>0</v>
      </c>
      <c r="BX552" s="89" t="n">
        <v>0</v>
      </c>
      <c r="BY552" s="89" t="n">
        <v>0</v>
      </c>
    </row>
    <row r="553" ht="17" customHeight="1">
      <c r="A553" s="82" t="n">
        <v>551</v>
      </c>
      <c r="B553" s="83" t="inlineStr">
        <is>
          <t>DAWN</t>
        </is>
      </c>
      <c r="C553" s="84" t="inlineStr">
        <is>
          <t>DAY ONE BIOPHARMACEUTICALS, INC.</t>
        </is>
      </c>
      <c r="D553" s="82" t="inlineStr">
        <is>
          <t>Health Care</t>
        </is>
      </c>
      <c r="E553" s="82" t="n">
        <v>2026</v>
      </c>
      <c r="F553" s="85" t="n">
        <v>507.8</v>
      </c>
      <c r="G553" s="85" t="n">
        <v>485.1</v>
      </c>
      <c r="H553" s="85" t="n">
        <v>60.5</v>
      </c>
      <c r="I553" s="85" t="n">
        <v>66.7</v>
      </c>
      <c r="J553" s="85" t="n">
        <v>-661.4</v>
      </c>
      <c r="K553" s="85" t="n">
        <v>-127.8</v>
      </c>
      <c r="L553" s="85" t="n">
        <v>158.2</v>
      </c>
      <c r="M553" s="85" t="n">
        <v>-107.3</v>
      </c>
      <c r="N553" s="85" t="n">
        <v>-103.8</v>
      </c>
      <c r="O553" s="85" t="n">
        <v>-127.8</v>
      </c>
      <c r="P553" s="91" t="inlineStr">
        <is>
          <t>N/A</t>
        </is>
      </c>
      <c r="Q553" s="85" t="n">
        <v>441.2</v>
      </c>
      <c r="R553" s="85" t="n">
        <v>120.6</v>
      </c>
      <c r="S553" s="85" t="n">
        <v>0.4</v>
      </c>
      <c r="T553" s="85" t="n">
        <v>26.7</v>
      </c>
      <c r="U553" s="85" t="n">
        <v>2.1</v>
      </c>
      <c r="V553" s="91" t="inlineStr">
        <is>
          <t>N/A</t>
        </is>
      </c>
      <c r="W553" s="85" t="n">
        <v>582.8</v>
      </c>
      <c r="X553" s="85" t="n">
        <v>562.3</v>
      </c>
      <c r="Y553" s="85" t="n">
        <v>73.5</v>
      </c>
      <c r="Z553" s="85" t="n">
        <v>80</v>
      </c>
      <c r="AA553" s="85" t="n">
        <v>-217.3</v>
      </c>
      <c r="AB553" s="85" t="n">
        <v>131.2</v>
      </c>
      <c r="AC553" s="85" t="n">
        <v>-107322</v>
      </c>
      <c r="AD553" s="85" t="n">
        <v>-78.09999999999999</v>
      </c>
      <c r="AE553" s="85" t="n">
        <v>-217.3</v>
      </c>
      <c r="AF553" s="91" t="inlineStr">
        <is>
          <t>N/A</t>
        </is>
      </c>
      <c r="AG553" s="85" t="n">
        <v>502.8</v>
      </c>
      <c r="AH553" s="85" t="n">
        <v>131.2</v>
      </c>
      <c r="AI553" s="85" t="n">
        <v>582.8</v>
      </c>
      <c r="AJ553" s="91" t="inlineStr">
        <is>
          <t>N/A</t>
        </is>
      </c>
      <c r="AK553" s="91" t="inlineStr">
        <is>
          <t>N/A</t>
        </is>
      </c>
      <c r="AL553" s="85" t="n">
        <v>-2</v>
      </c>
      <c r="AM553" s="85" t="n">
        <v>7.1</v>
      </c>
      <c r="AN553" s="85" t="n">
        <v>0.3</v>
      </c>
      <c r="AO553" s="85" t="n">
        <v>2.2</v>
      </c>
      <c r="AP553" s="85" t="n">
        <v>6.3</v>
      </c>
      <c r="AQ553" s="85" t="n">
        <v>3.3</v>
      </c>
      <c r="AR553" s="91" t="inlineStr">
        <is>
          <t>N/A</t>
        </is>
      </c>
      <c r="AS553" s="85" t="n">
        <v>18</v>
      </c>
      <c r="AT553" s="91" t="inlineStr">
        <is>
          <t>N/A</t>
        </is>
      </c>
      <c r="AU553" s="85" t="n">
        <v>148.1</v>
      </c>
      <c r="AV553" s="85" t="n">
        <v>197.1</v>
      </c>
      <c r="AW553" s="85" t="n">
        <v>125</v>
      </c>
      <c r="AX553" s="91" t="inlineStr">
        <is>
          <t>N/A</t>
        </is>
      </c>
      <c r="AY553" s="91" t="inlineStr">
        <is>
          <t>N/A</t>
        </is>
      </c>
      <c r="AZ553" s="91" t="inlineStr">
        <is>
          <t>N/A</t>
        </is>
      </c>
      <c r="BA553" s="85" t="n">
        <v>-104.1</v>
      </c>
      <c r="BB553" s="85" t="n">
        <v>103</v>
      </c>
      <c r="BC553" s="85" t="n">
        <v>101.1</v>
      </c>
      <c r="BD553" s="85" t="n">
        <v>13.9</v>
      </c>
      <c r="BE553" s="85" t="n">
        <v>2.3</v>
      </c>
      <c r="BF553" s="85" t="n">
        <v>115.5</v>
      </c>
      <c r="BG553" s="85" t="n">
        <v>0.1</v>
      </c>
      <c r="BH553" s="85" t="n">
        <v>174.6</v>
      </c>
      <c r="BI553" s="85" t="n">
        <v>-231</v>
      </c>
      <c r="BJ553" s="85" t="n">
        <v>3.7</v>
      </c>
      <c r="BK553" s="85" t="n">
        <v>3.3</v>
      </c>
      <c r="BL553" s="85" t="n">
        <v>2</v>
      </c>
      <c r="BM553" s="85" t="n">
        <v>1.6</v>
      </c>
      <c r="BN553" s="91" t="inlineStr">
        <is>
          <t>N/A</t>
        </is>
      </c>
      <c r="BO553" s="85" t="n">
        <v>285.9</v>
      </c>
      <c r="BP553" s="85" t="n">
        <v>348.4</v>
      </c>
      <c r="BQ553" s="85" t="n">
        <v>0</v>
      </c>
      <c r="BR553" s="85" t="n">
        <v>0</v>
      </c>
      <c r="BS553" s="85" t="n">
        <v>0</v>
      </c>
      <c r="BT553" s="85" t="n">
        <v>0</v>
      </c>
      <c r="BU553" s="85" t="n">
        <v>0</v>
      </c>
      <c r="BV553" s="85" t="n">
        <v>0</v>
      </c>
      <c r="BW553" s="85" t="n">
        <v>0</v>
      </c>
      <c r="BX553" s="85" t="n">
        <v>-0</v>
      </c>
      <c r="BY553" s="91" t="inlineStr">
        <is>
          <t>N/A</t>
        </is>
      </c>
    </row>
    <row r="554" ht="17" customHeight="1">
      <c r="A554" s="86" t="n">
        <v>552</v>
      </c>
      <c r="B554" s="87" t="inlineStr">
        <is>
          <t>ELV</t>
        </is>
      </c>
      <c r="C554" s="88" t="inlineStr">
        <is>
          <t>ELEVANCE HEALTH, INC.</t>
        </is>
      </c>
      <c r="D554" s="86" t="inlineStr">
        <is>
          <t>Health Care</t>
        </is>
      </c>
      <c r="E554" s="86" t="n">
        <v>2026</v>
      </c>
      <c r="F554" s="89" t="n">
        <v>121494</v>
      </c>
      <c r="G554" s="89" t="n">
        <v>63001</v>
      </c>
      <c r="H554" s="89" t="n">
        <v>41035</v>
      </c>
      <c r="I554" s="89" t="n">
        <v>77468</v>
      </c>
      <c r="J554" s="89" t="n">
        <v>35393</v>
      </c>
      <c r="K554" s="89" t="n">
        <v>7199</v>
      </c>
      <c r="L554" s="89" t="n">
        <v>199125</v>
      </c>
      <c r="M554" s="89" t="n">
        <v>5662</v>
      </c>
      <c r="N554" s="89" t="n">
        <v>4290</v>
      </c>
      <c r="O554" s="89" t="n">
        <v>177947</v>
      </c>
      <c r="P554" s="89" t="n">
        <v>31896</v>
      </c>
      <c r="Q554" s="89" t="n">
        <v>43882</v>
      </c>
      <c r="R554" s="89" t="n">
        <v>20984</v>
      </c>
      <c r="S554" s="89" t="n">
        <v>94</v>
      </c>
      <c r="T554" s="90" t="inlineStr">
        <is>
          <t>N/A</t>
        </is>
      </c>
      <c r="U554" s="89" t="n">
        <v>4679</v>
      </c>
      <c r="V554" s="89" t="n">
        <v>1030</v>
      </c>
      <c r="W554" s="89" t="n">
        <v>116889</v>
      </c>
      <c r="X554" s="89" t="n">
        <v>58942</v>
      </c>
      <c r="Y554" s="89" t="n">
        <v>40581</v>
      </c>
      <c r="Z554" s="89" t="n">
        <v>75463</v>
      </c>
      <c r="AA554" s="89" t="n">
        <v>7862</v>
      </c>
      <c r="AB554" s="89" t="n">
        <v>177011</v>
      </c>
      <c r="AC554" s="89" t="n">
        <v>5980</v>
      </c>
      <c r="AD554" s="89" t="n">
        <v>5808</v>
      </c>
      <c r="AE554" s="89" t="n">
        <v>157261</v>
      </c>
      <c r="AF554" s="89" t="n">
        <v>30867</v>
      </c>
      <c r="AG554" s="89" t="n">
        <v>41315</v>
      </c>
      <c r="AH554" s="89" t="n">
        <v>177011</v>
      </c>
      <c r="AI554" s="89" t="n">
        <v>116889</v>
      </c>
      <c r="AJ554" s="89" t="n">
        <v>6710</v>
      </c>
      <c r="AK554" s="89" t="n">
        <v>7904</v>
      </c>
      <c r="AL554" s="89" t="n">
        <v>1049</v>
      </c>
      <c r="AM554" s="89" t="n">
        <v>1933</v>
      </c>
      <c r="AN554" s="89" t="n">
        <v>1116</v>
      </c>
      <c r="AO554" s="89" t="n">
        <v>1256</v>
      </c>
      <c r="AP554" s="90" t="inlineStr">
        <is>
          <t>N/A</t>
        </is>
      </c>
      <c r="AQ554" s="90" t="inlineStr">
        <is>
          <t>N/A</t>
        </is>
      </c>
      <c r="AR554" s="89" t="n">
        <v>28344</v>
      </c>
      <c r="AS554" s="89" t="n">
        <v>3043</v>
      </c>
      <c r="AT554" s="89" t="n">
        <v>150</v>
      </c>
      <c r="AU554" s="90" t="inlineStr">
        <is>
          <t>N/A</t>
        </is>
      </c>
      <c r="AV554" s="89" t="n">
        <v>9491</v>
      </c>
      <c r="AW554" s="89" t="n">
        <v>8288</v>
      </c>
      <c r="AX554" s="89" t="n">
        <v>32046</v>
      </c>
      <c r="AY554" s="89" t="n">
        <v>31232</v>
      </c>
      <c r="AZ554" s="89" t="n">
        <v>22555</v>
      </c>
      <c r="BA554" s="89" t="n">
        <v>3174</v>
      </c>
      <c r="BB554" s="89" t="n">
        <v>220.7</v>
      </c>
      <c r="BC554" s="89" t="n">
        <v>227.5</v>
      </c>
      <c r="BD554" s="90" t="inlineStr">
        <is>
          <t>N/A</t>
        </is>
      </c>
      <c r="BE554" s="89" t="n">
        <v>4652</v>
      </c>
      <c r="BF554" s="89" t="n">
        <v>20025</v>
      </c>
      <c r="BG554" s="89" t="n">
        <v>105</v>
      </c>
      <c r="BH554" s="89" t="n">
        <v>-1344</v>
      </c>
      <c r="BI554" s="89" t="n">
        <v>-5167</v>
      </c>
      <c r="BJ554" s="89" t="n">
        <v>7322</v>
      </c>
      <c r="BK554" s="89" t="n">
        <v>6927</v>
      </c>
      <c r="BL554" s="90" t="inlineStr">
        <is>
          <t>N/A</t>
        </is>
      </c>
      <c r="BM554" s="90" t="inlineStr">
        <is>
          <t>N/A</t>
        </is>
      </c>
      <c r="BN554" s="89" t="n">
        <v>151</v>
      </c>
      <c r="BO554" s="89" t="n">
        <v>21178</v>
      </c>
      <c r="BP554" s="89" t="n">
        <v>19750</v>
      </c>
      <c r="BQ554" s="90" t="inlineStr">
        <is>
          <t>N/A</t>
        </is>
      </c>
      <c r="BR554" s="90" t="inlineStr">
        <is>
          <t>N/A</t>
        </is>
      </c>
      <c r="BS554" s="90" t="inlineStr">
        <is>
          <t>N/A</t>
        </is>
      </c>
      <c r="BT554" s="90" t="inlineStr">
        <is>
          <t>N/A</t>
        </is>
      </c>
      <c r="BU554" s="89" t="n">
        <v>0</v>
      </c>
      <c r="BV554" s="89" t="n">
        <v>0</v>
      </c>
      <c r="BW554" s="89" t="n">
        <v>0</v>
      </c>
      <c r="BX554" s="89" t="n">
        <v>0</v>
      </c>
      <c r="BY554" s="89" t="n">
        <v>0</v>
      </c>
    </row>
    <row r="555" ht="17" customHeight="1">
      <c r="A555" s="82" t="n">
        <v>553</v>
      </c>
      <c r="B555" s="83" t="inlineStr">
        <is>
          <t>BIIB</t>
        </is>
      </c>
      <c r="C555" s="84" t="inlineStr">
        <is>
          <t>BIOGEN INC.</t>
        </is>
      </c>
      <c r="D555" s="82" t="inlineStr">
        <is>
          <t>Health Care</t>
        </is>
      </c>
      <c r="E555" s="82" t="n">
        <v>2026</v>
      </c>
      <c r="F555" s="85" t="n">
        <v>29439.5</v>
      </c>
      <c r="G555" s="85" t="n">
        <v>8974.1</v>
      </c>
      <c r="H555" s="85" t="n">
        <v>3349.4</v>
      </c>
      <c r="I555" s="85" t="n">
        <v>11182.7</v>
      </c>
      <c r="J555" s="85" t="n">
        <v>20552.7</v>
      </c>
      <c r="K555" s="85" t="n">
        <v>2840.7</v>
      </c>
      <c r="L555" s="85" t="n">
        <v>9890.6</v>
      </c>
      <c r="M555" s="85" t="n">
        <v>1292.9</v>
      </c>
      <c r="N555" s="85" t="n">
        <v>2204.6</v>
      </c>
      <c r="O555" s="85" t="n">
        <v>11639.4</v>
      </c>
      <c r="P555" s="85" t="n">
        <v>6286.8</v>
      </c>
      <c r="Q555" s="85" t="n">
        <v>14799.4</v>
      </c>
      <c r="R555" s="85" t="n">
        <v>2433.6</v>
      </c>
      <c r="S555" s="85" t="n">
        <v>365.6</v>
      </c>
      <c r="T555" s="85" t="n">
        <v>1342.4</v>
      </c>
      <c r="U555" s="85" t="n">
        <v>3055.4</v>
      </c>
      <c r="V555" s="85" t="n">
        <v>267.5</v>
      </c>
      <c r="W555" s="85" t="n">
        <v>28049.3</v>
      </c>
      <c r="X555" s="85" t="n">
        <v>7456.8</v>
      </c>
      <c r="Y555" s="85" t="n">
        <v>5528.8</v>
      </c>
      <c r="Z555" s="85" t="n">
        <v>11333.3</v>
      </c>
      <c r="AA555" s="85" t="n">
        <v>4550.1</v>
      </c>
      <c r="AB555" s="85" t="n">
        <v>9675.9</v>
      </c>
      <c r="AC555" s="85" t="n">
        <v>1632.2</v>
      </c>
      <c r="AD555" s="85" t="n">
        <v>2875.5</v>
      </c>
      <c r="AE555" s="85" t="n">
        <v>2361.9</v>
      </c>
      <c r="AF555" s="85" t="n">
        <v>6295.8</v>
      </c>
      <c r="AG555" s="85" t="n">
        <v>13397.9</v>
      </c>
      <c r="AH555" s="85" t="n">
        <v>9675.9</v>
      </c>
      <c r="AI555" s="85" t="n">
        <v>28049.3</v>
      </c>
      <c r="AJ555" s="85" t="n">
        <v>1556.5</v>
      </c>
      <c r="AK555" s="85" t="n">
        <v>1906</v>
      </c>
      <c r="AL555" s="85" t="n">
        <v>263.6</v>
      </c>
      <c r="AM555" s="85" t="n">
        <v>273.8</v>
      </c>
      <c r="AN555" s="85" t="n">
        <v>153.8</v>
      </c>
      <c r="AO555" s="85" t="n">
        <v>153.7</v>
      </c>
      <c r="AP555" s="85" t="n">
        <v>2168.1</v>
      </c>
      <c r="AQ555" s="85" t="n">
        <v>2460.5</v>
      </c>
      <c r="AR555" s="85" t="n">
        <v>6491.1</v>
      </c>
      <c r="AS555" s="85" t="n">
        <v>7379.5</v>
      </c>
      <c r="AT555" s="85" t="n">
        <v>453.4</v>
      </c>
      <c r="AU555" s="85" t="n">
        <v>1334.9</v>
      </c>
      <c r="AV555" s="85" t="n">
        <v>2913.7</v>
      </c>
      <c r="AW555" s="85" t="n">
        <v>1224.6</v>
      </c>
      <c r="AX555" s="85" t="n">
        <v>6740.2</v>
      </c>
      <c r="AY555" s="85" t="n">
        <v>6299.1</v>
      </c>
      <c r="AZ555" s="85" t="n">
        <v>3826.5</v>
      </c>
      <c r="BA555" s="85" t="n">
        <v>2050.8</v>
      </c>
      <c r="BB555" s="85" t="n">
        <v>146.8</v>
      </c>
      <c r="BC555" s="85" t="n">
        <v>145.8</v>
      </c>
      <c r="BD555" s="85" t="n">
        <v>1404.8</v>
      </c>
      <c r="BE555" s="85" t="n">
        <v>3181.3</v>
      </c>
      <c r="BF555" s="85" t="n">
        <v>2403.7</v>
      </c>
      <c r="BG555" s="85" t="n">
        <v>358.9</v>
      </c>
      <c r="BH555" s="85" t="n">
        <v>-1371.1</v>
      </c>
      <c r="BI555" s="85" t="n">
        <v>-799.2</v>
      </c>
      <c r="BJ555" s="85" t="n">
        <v>432</v>
      </c>
      <c r="BK555" s="85" t="n">
        <v>424.2</v>
      </c>
      <c r="BL555" s="85" t="n">
        <v>55.7</v>
      </c>
      <c r="BM555" s="85" t="n">
        <v>120.9</v>
      </c>
      <c r="BN555" s="85" t="n">
        <v>114.8</v>
      </c>
      <c r="BO555" s="85" t="n">
        <v>2404.2</v>
      </c>
      <c r="BP555" s="85" t="n">
        <v>2310.4</v>
      </c>
      <c r="BQ555" s="85" t="n">
        <v>0</v>
      </c>
      <c r="BR555" s="85" t="n">
        <v>0</v>
      </c>
      <c r="BS555" s="85" t="n">
        <v>0</v>
      </c>
      <c r="BT555" s="85" t="n">
        <v>0</v>
      </c>
      <c r="BU555" s="85" t="n">
        <v>0</v>
      </c>
      <c r="BV555" s="85" t="n">
        <v>0</v>
      </c>
      <c r="BW555" s="85" t="n">
        <v>0</v>
      </c>
      <c r="BX555" s="85" t="n">
        <v>0</v>
      </c>
      <c r="BY555" s="85" t="n">
        <v>0</v>
      </c>
    </row>
    <row r="556" ht="17" customHeight="1">
      <c r="A556" s="86" t="n">
        <v>554</v>
      </c>
      <c r="B556" s="87" t="inlineStr">
        <is>
          <t>FAF</t>
        </is>
      </c>
      <c r="C556" s="88" t="inlineStr">
        <is>
          <t>FIRST AMERICAN FINANCIAL CORPORATION</t>
        </is>
      </c>
      <c r="D556" s="86" t="inlineStr">
        <is>
          <t>Financials</t>
        </is>
      </c>
      <c r="E556" s="86" t="n">
        <v>2026</v>
      </c>
      <c r="F556" s="89" t="n">
        <v>16228.8</v>
      </c>
      <c r="G556" s="90" t="inlineStr">
        <is>
          <t>N/A</t>
        </is>
      </c>
      <c r="H556" s="90" t="inlineStr">
        <is>
          <t>N/A</t>
        </is>
      </c>
      <c r="I556" s="89" t="n">
        <v>10704.5</v>
      </c>
      <c r="J556" s="89" t="n">
        <v>4011.8</v>
      </c>
      <c r="K556" s="89" t="n">
        <v>826.2</v>
      </c>
      <c r="L556" s="89" t="n">
        <v>7452.2</v>
      </c>
      <c r="M556" s="89" t="n">
        <v>621.8</v>
      </c>
      <c r="N556" s="89" t="n">
        <v>950.8</v>
      </c>
      <c r="O556" s="89" t="n">
        <v>7450.6</v>
      </c>
      <c r="P556" s="90" t="inlineStr">
        <is>
          <t>N/A</t>
        </is>
      </c>
      <c r="Q556" s="89" t="n">
        <v>5499.5</v>
      </c>
      <c r="R556" s="90" t="inlineStr">
        <is>
          <t>N/A</t>
        </is>
      </c>
      <c r="S556" s="89" t="n">
        <v>216.2</v>
      </c>
      <c r="T556" s="90" t="inlineStr">
        <is>
          <t>N/A</t>
        </is>
      </c>
      <c r="U556" s="89" t="n">
        <v>682.3</v>
      </c>
      <c r="V556" s="89" t="n">
        <v>157</v>
      </c>
      <c r="W556" s="89" t="n">
        <v>14908.6</v>
      </c>
      <c r="X556" s="90" t="inlineStr">
        <is>
          <t>N/A</t>
        </is>
      </c>
      <c r="Y556" s="90" t="inlineStr">
        <is>
          <t>N/A</t>
        </is>
      </c>
      <c r="Z556" s="89" t="n">
        <v>9981.6</v>
      </c>
      <c r="AA556" s="89" t="n">
        <v>165.4</v>
      </c>
      <c r="AB556" s="89" t="n">
        <v>6128.1</v>
      </c>
      <c r="AC556" s="89" t="n">
        <v>131.1</v>
      </c>
      <c r="AD556" s="89" t="n">
        <v>897.5</v>
      </c>
      <c r="AE556" s="89" t="n">
        <v>6129.7</v>
      </c>
      <c r="AF556" s="90" t="inlineStr">
        <is>
          <t>N/A</t>
        </is>
      </c>
      <c r="AG556" s="89" t="n">
        <v>4908.5</v>
      </c>
      <c r="AH556" s="89" t="n">
        <v>6128.1</v>
      </c>
      <c r="AI556" s="89" t="n">
        <v>14908.6</v>
      </c>
      <c r="AJ556" s="89" t="n">
        <v>826.2</v>
      </c>
      <c r="AK556" s="89" t="n">
        <v>165.4</v>
      </c>
      <c r="AL556" s="89" t="n">
        <v>201</v>
      </c>
      <c r="AM556" s="89" t="n">
        <v>32.8</v>
      </c>
      <c r="AN556" s="89" t="n">
        <v>188.3</v>
      </c>
      <c r="AO556" s="89" t="n">
        <v>218.3</v>
      </c>
      <c r="AP556" s="90" t="inlineStr">
        <is>
          <t>N/A</t>
        </is>
      </c>
      <c r="AQ556" s="90" t="inlineStr">
        <is>
          <t>N/A</t>
        </is>
      </c>
      <c r="AR556" s="89" t="n">
        <v>1819.3</v>
      </c>
      <c r="AS556" s="89" t="n">
        <v>83.09999999999999</v>
      </c>
      <c r="AT556" s="90" t="inlineStr">
        <is>
          <t>N/A</t>
        </is>
      </c>
      <c r="AU556" s="90" t="inlineStr">
        <is>
          <t>N/A</t>
        </is>
      </c>
      <c r="AV556" s="89" t="n">
        <v>1387.3</v>
      </c>
      <c r="AW556" s="89" t="n">
        <v>1718.1</v>
      </c>
      <c r="AX556" s="90" t="inlineStr">
        <is>
          <t>N/A</t>
        </is>
      </c>
      <c r="AY556" s="90" t="inlineStr">
        <is>
          <t>N/A</t>
        </is>
      </c>
      <c r="AZ556" s="90" t="inlineStr">
        <is>
          <t>N/A</t>
        </is>
      </c>
      <c r="BA556" s="89" t="n">
        <v>762.5</v>
      </c>
      <c r="BB556" s="89" t="n">
        <v>102</v>
      </c>
      <c r="BC556" s="89" t="n">
        <v>103</v>
      </c>
      <c r="BD556" s="90" t="inlineStr">
        <is>
          <t>N/A</t>
        </is>
      </c>
      <c r="BE556" s="89" t="n">
        <v>745.1</v>
      </c>
      <c r="BF556" s="90" t="inlineStr">
        <is>
          <t>N/A</t>
        </is>
      </c>
      <c r="BG556" s="89" t="n">
        <v>207.4</v>
      </c>
      <c r="BH556" s="89" t="n">
        <v>-1455.9</v>
      </c>
      <c r="BI556" s="89" t="n">
        <v>-458.7</v>
      </c>
      <c r="BJ556" s="90" t="inlineStr">
        <is>
          <t>N/A</t>
        </is>
      </c>
      <c r="BK556" s="90" t="inlineStr">
        <is>
          <t>N/A</t>
        </is>
      </c>
      <c r="BL556" s="89" t="n">
        <v>243.3</v>
      </c>
      <c r="BM556" s="89" t="n">
        <v>240.8</v>
      </c>
      <c r="BN556" s="90" t="inlineStr">
        <is>
          <t>N/A</t>
        </is>
      </c>
      <c r="BO556" s="89" t="n">
        <v>1.6</v>
      </c>
      <c r="BP556" s="89" t="n">
        <v>-1.6</v>
      </c>
      <c r="BQ556" s="90" t="inlineStr">
        <is>
          <t>N/A</t>
        </is>
      </c>
      <c r="BR556" s="90" t="inlineStr">
        <is>
          <t>N/A</t>
        </is>
      </c>
      <c r="BS556" s="90" t="inlineStr">
        <is>
          <t>N/A</t>
        </is>
      </c>
      <c r="BT556" s="90" t="inlineStr">
        <is>
          <t>N/A</t>
        </is>
      </c>
      <c r="BU556" s="90" t="inlineStr">
        <is>
          <t>N/A</t>
        </is>
      </c>
      <c r="BV556" s="90" t="inlineStr">
        <is>
          <t>N/A</t>
        </is>
      </c>
      <c r="BW556" s="89" t="n">
        <v>0</v>
      </c>
      <c r="BX556" s="89" t="n">
        <v>0</v>
      </c>
      <c r="BY556" s="89" t="n">
        <v>0</v>
      </c>
    </row>
    <row r="557" ht="17" customHeight="1">
      <c r="A557" s="82" t="n">
        <v>555</v>
      </c>
      <c r="B557" s="83" t="inlineStr">
        <is>
          <t>AVGO</t>
        </is>
      </c>
      <c r="C557" s="84" t="inlineStr">
        <is>
          <t>Broadcom Inc.</t>
        </is>
      </c>
      <c r="D557" s="82" t="inlineStr">
        <is>
          <t>Information Technology</t>
        </is>
      </c>
      <c r="E557" s="82" t="n">
        <v>2026</v>
      </c>
      <c r="F557" s="85" t="n">
        <v>171092</v>
      </c>
      <c r="G557" s="85" t="n">
        <v>31573</v>
      </c>
      <c r="H557" s="85" t="n">
        <v>18514</v>
      </c>
      <c r="I557" s="85" t="n">
        <v>89800</v>
      </c>
      <c r="J557" s="85" t="n">
        <v>9761</v>
      </c>
      <c r="K557" s="85" t="n">
        <v>25484</v>
      </c>
      <c r="L557" s="85" t="n">
        <v>20848</v>
      </c>
      <c r="M557" s="85" t="n">
        <v>5895</v>
      </c>
      <c r="N557" s="85" t="n">
        <v>27537</v>
      </c>
      <c r="O557" s="85" t="n">
        <v>43294</v>
      </c>
      <c r="P557" s="85" t="n">
        <v>39665</v>
      </c>
      <c r="Q557" s="85" t="n">
        <v>24941</v>
      </c>
      <c r="R557" s="85" t="n">
        <v>4211</v>
      </c>
      <c r="S557" s="85" t="n">
        <v>574</v>
      </c>
      <c r="T557" s="85" t="n">
        <v>7145</v>
      </c>
      <c r="U557" s="85" t="n">
        <v>2530</v>
      </c>
      <c r="V557" s="85" t="n">
        <v>3953</v>
      </c>
      <c r="W557" s="85" t="n">
        <v>165645</v>
      </c>
      <c r="X557" s="85" t="n">
        <v>19595</v>
      </c>
      <c r="Y557" s="85" t="n">
        <v>16697</v>
      </c>
      <c r="Z557" s="85" t="n">
        <v>97967</v>
      </c>
      <c r="AA557" s="85" t="n">
        <v>13463</v>
      </c>
      <c r="AB557" s="85" t="n">
        <v>5444</v>
      </c>
      <c r="AC557" s="85" t="n">
        <v>14082</v>
      </c>
      <c r="AD557" s="85" t="n">
        <v>19962</v>
      </c>
      <c r="AE557" s="85" t="n">
        <v>32509</v>
      </c>
      <c r="AF557" s="85" t="n">
        <v>40994</v>
      </c>
      <c r="AG557" s="85" t="n">
        <v>26657</v>
      </c>
      <c r="AH557" s="85" t="n">
        <v>5063</v>
      </c>
      <c r="AI557" s="85" t="n">
        <v>165645</v>
      </c>
      <c r="AJ557" s="85" t="n">
        <v>22729</v>
      </c>
      <c r="AK557" s="85" t="n">
        <v>9916</v>
      </c>
      <c r="AL557" s="85" t="n">
        <v>-397</v>
      </c>
      <c r="AM557" s="85" t="n">
        <v>3748</v>
      </c>
      <c r="AN557" s="85" t="n">
        <v>623</v>
      </c>
      <c r="AO557" s="85" t="n">
        <v>548</v>
      </c>
      <c r="AP557" s="85" t="n">
        <v>2270</v>
      </c>
      <c r="AQ557" s="85" t="n">
        <v>1760</v>
      </c>
      <c r="AR557" s="85" t="n">
        <v>97801</v>
      </c>
      <c r="AS557" s="85" t="n">
        <v>31453</v>
      </c>
      <c r="AT557" s="85" t="n">
        <v>3152</v>
      </c>
      <c r="AU557" s="85" t="n">
        <v>10977</v>
      </c>
      <c r="AV557" s="85" t="n">
        <v>16178</v>
      </c>
      <c r="AW557" s="85" t="n">
        <v>9348</v>
      </c>
      <c r="AX557" s="85" t="n">
        <v>42817</v>
      </c>
      <c r="AY557" s="85" t="n">
        <v>40994</v>
      </c>
      <c r="AZ557" s="85" t="n">
        <v>26639</v>
      </c>
      <c r="BA557" s="85" t="n">
        <v>26914</v>
      </c>
      <c r="BB557" s="85" t="n">
        <v>4741</v>
      </c>
      <c r="BC557" s="85" t="n">
        <v>4686</v>
      </c>
      <c r="BD557" s="85" t="n">
        <v>4416</v>
      </c>
      <c r="BE557" s="85" t="n">
        <v>2521</v>
      </c>
      <c r="BF557" s="85" t="n">
        <v>4959</v>
      </c>
      <c r="BG557" s="85" t="n">
        <v>593</v>
      </c>
      <c r="BH557" s="85" t="n">
        <v>-580</v>
      </c>
      <c r="BI557" s="85" t="n">
        <v>-23070</v>
      </c>
      <c r="BJ557" s="85" t="n">
        <v>1560</v>
      </c>
      <c r="BK557" s="85" t="n">
        <v>1662</v>
      </c>
      <c r="BL557" s="85" t="n">
        <v>164</v>
      </c>
      <c r="BM557" s="85" t="n">
        <v>51</v>
      </c>
      <c r="BN557" s="85" t="n">
        <v>921</v>
      </c>
      <c r="BO557" s="85" t="n">
        <v>10115</v>
      </c>
      <c r="BP557" s="85" t="n">
        <v>9127</v>
      </c>
      <c r="BQ557" s="85" t="n">
        <v>0</v>
      </c>
      <c r="BR557" s="85" t="n">
        <v>0</v>
      </c>
      <c r="BS557" s="85" t="n">
        <v>0</v>
      </c>
      <c r="BT557" s="85" t="n">
        <v>0</v>
      </c>
      <c r="BU557" s="85" t="n">
        <v>0</v>
      </c>
      <c r="BV557" s="85" t="n">
        <v>0</v>
      </c>
      <c r="BW557" s="85" t="n">
        <v>0</v>
      </c>
      <c r="BX557" s="85" t="n">
        <v>0</v>
      </c>
      <c r="BY557" s="85" t="n">
        <v>-0</v>
      </c>
    </row>
    <row r="558" ht="17" customHeight="1">
      <c r="A558" s="86" t="n">
        <v>556</v>
      </c>
      <c r="B558" s="87" t="inlineStr">
        <is>
          <t>FITB</t>
        </is>
      </c>
      <c r="C558" s="88" t="inlineStr">
        <is>
          <t>Fifth Third Bancorp</t>
        </is>
      </c>
      <c r="D558" s="86" t="inlineStr">
        <is>
          <t>Financials</t>
        </is>
      </c>
      <c r="E558" s="86" t="n">
        <v>2026</v>
      </c>
      <c r="F558" s="89" t="n">
        <v>214376</v>
      </c>
      <c r="G558" s="90" t="inlineStr">
        <is>
          <t>N/A</t>
        </is>
      </c>
      <c r="H558" s="90" t="inlineStr">
        <is>
          <t>N/A</t>
        </is>
      </c>
      <c r="I558" s="89" t="n">
        <v>192652</v>
      </c>
      <c r="J558" s="89" t="n">
        <v>25488</v>
      </c>
      <c r="K558" s="89" t="n">
        <v>3211</v>
      </c>
      <c r="L558" s="89" t="n">
        <v>577</v>
      </c>
      <c r="M558" s="89" t="n">
        <v>2522</v>
      </c>
      <c r="N558" s="89" t="n">
        <v>4514</v>
      </c>
      <c r="O558" s="90" t="inlineStr">
        <is>
          <t>N/A</t>
        </is>
      </c>
      <c r="P558" s="89" t="n">
        <v>13589</v>
      </c>
      <c r="Q558" s="89" t="n">
        <v>21724</v>
      </c>
      <c r="R558" s="90" t="inlineStr">
        <is>
          <t>N/A</t>
        </is>
      </c>
      <c r="S558" s="89" t="n">
        <v>65</v>
      </c>
      <c r="T558" s="90" t="inlineStr">
        <is>
          <t>N/A</t>
        </is>
      </c>
      <c r="U558" s="89" t="n">
        <v>2734</v>
      </c>
      <c r="V558" s="89" t="n">
        <v>3933</v>
      </c>
      <c r="W558" s="89" t="n">
        <v>212927</v>
      </c>
      <c r="X558" s="90" t="inlineStr">
        <is>
          <t>N/A</t>
        </is>
      </c>
      <c r="Y558" s="90" t="inlineStr">
        <is>
          <t>N/A</t>
        </is>
      </c>
      <c r="Z558" s="89" t="n">
        <v>193282</v>
      </c>
      <c r="AA558" s="89" t="n">
        <v>2916</v>
      </c>
      <c r="AB558" s="89" t="n">
        <v>589</v>
      </c>
      <c r="AC558" s="89" t="n">
        <v>2314</v>
      </c>
      <c r="AD558" s="89" t="n">
        <v>2824</v>
      </c>
      <c r="AE558" s="90" t="inlineStr">
        <is>
          <t>N/A</t>
        </is>
      </c>
      <c r="AF558" s="89" t="n">
        <v>14337</v>
      </c>
      <c r="AG558" s="89" t="n">
        <v>19645</v>
      </c>
      <c r="AH558" s="90" t="inlineStr">
        <is>
          <t>N/A</t>
        </is>
      </c>
      <c r="AI558" s="89" t="n">
        <v>212927</v>
      </c>
      <c r="AJ558" s="89" t="n">
        <v>3211</v>
      </c>
      <c r="AK558" s="89" t="n">
        <v>2916</v>
      </c>
      <c r="AL558" s="89" t="n">
        <v>689</v>
      </c>
      <c r="AM558" s="89" t="n">
        <v>602</v>
      </c>
      <c r="AN558" s="89" t="n">
        <v>584</v>
      </c>
      <c r="AO558" s="89" t="n">
        <v>414</v>
      </c>
      <c r="AP558" s="90" t="inlineStr">
        <is>
          <t>N/A</t>
        </is>
      </c>
      <c r="AQ558" s="90" t="inlineStr">
        <is>
          <t>N/A</t>
        </is>
      </c>
      <c r="AR558" s="89" t="n">
        <v>4947</v>
      </c>
      <c r="AS558" s="89" t="n">
        <v>69</v>
      </c>
      <c r="AT558" s="89" t="n">
        <v>926</v>
      </c>
      <c r="AU558" s="90" t="inlineStr">
        <is>
          <t>N/A</t>
        </is>
      </c>
      <c r="AV558" s="90" t="inlineStr">
        <is>
          <t>N/A</t>
        </is>
      </c>
      <c r="AW558" s="90" t="inlineStr">
        <is>
          <t>N/A</t>
        </is>
      </c>
      <c r="AX558" s="89" t="n">
        <v>14515</v>
      </c>
      <c r="AY558" s="89" t="n">
        <v>18991</v>
      </c>
      <c r="AZ558" s="89" t="n">
        <v>14515</v>
      </c>
      <c r="BA558" s="89" t="n">
        <v>3930</v>
      </c>
      <c r="BB558" s="89" t="n">
        <v>661.2</v>
      </c>
      <c r="BC558" s="89" t="n">
        <v>669.9</v>
      </c>
      <c r="BD558" s="90" t="inlineStr">
        <is>
          <t>N/A</t>
        </is>
      </c>
      <c r="BE558" s="89" t="n">
        <v>2475</v>
      </c>
      <c r="BF558" s="90" t="inlineStr">
        <is>
          <t>N/A</t>
        </is>
      </c>
      <c r="BG558" s="89" t="n">
        <v>81</v>
      </c>
      <c r="BH558" s="89" t="n">
        <v>-1846</v>
      </c>
      <c r="BI558" s="89" t="n">
        <v>1039</v>
      </c>
      <c r="BJ558" s="90" t="inlineStr">
        <is>
          <t>N/A</t>
        </is>
      </c>
      <c r="BK558" s="90" t="inlineStr">
        <is>
          <t>N/A</t>
        </is>
      </c>
      <c r="BL558" s="90" t="inlineStr">
        <is>
          <t>N/A</t>
        </is>
      </c>
      <c r="BM558" s="90" t="inlineStr">
        <is>
          <t>N/A</t>
        </is>
      </c>
      <c r="BN558" s="90" t="inlineStr">
        <is>
          <t>N/A</t>
        </is>
      </c>
      <c r="BO558" s="90" t="inlineStr">
        <is>
          <t>N/A</t>
        </is>
      </c>
      <c r="BP558" s="90" t="inlineStr">
        <is>
          <t>N/A</t>
        </is>
      </c>
      <c r="BQ558" s="90" t="inlineStr">
        <is>
          <t>N/A</t>
        </is>
      </c>
      <c r="BR558" s="90" t="inlineStr">
        <is>
          <t>N/A</t>
        </is>
      </c>
      <c r="BS558" s="90" t="inlineStr">
        <is>
          <t>N/A</t>
        </is>
      </c>
      <c r="BT558" s="90" t="inlineStr">
        <is>
          <t>N/A</t>
        </is>
      </c>
      <c r="BU558" s="90" t="inlineStr">
        <is>
          <t>N/A</t>
        </is>
      </c>
      <c r="BV558" s="90" t="inlineStr">
        <is>
          <t>N/A</t>
        </is>
      </c>
      <c r="BW558" s="89" t="n">
        <v>0</v>
      </c>
      <c r="BX558" s="89" t="n">
        <v>0</v>
      </c>
      <c r="BY558" s="89" t="n">
        <v>0</v>
      </c>
    </row>
    <row r="559" ht="17" customHeight="1">
      <c r="A559" s="82" t="n">
        <v>557</v>
      </c>
      <c r="B559" s="83" t="inlineStr">
        <is>
          <t>FOLD</t>
        </is>
      </c>
      <c r="C559" s="84" t="inlineStr">
        <is>
          <t>AMICUS THERAPEUTICS, INC.</t>
        </is>
      </c>
      <c r="D559" s="82" t="inlineStr">
        <is>
          <t>Health Care</t>
        </is>
      </c>
      <c r="E559" s="82" t="n">
        <v>2026</v>
      </c>
      <c r="F559" s="85" t="n">
        <v>949.9</v>
      </c>
      <c r="G559" s="85" t="n">
        <v>676.2</v>
      </c>
      <c r="H559" s="85" t="n">
        <v>237.8</v>
      </c>
      <c r="I559" s="85" t="n">
        <v>675.6</v>
      </c>
      <c r="J559" s="85" t="n">
        <v>-2767.3</v>
      </c>
      <c r="K559" s="85" t="n">
        <v>32.8</v>
      </c>
      <c r="L559" s="85" t="n">
        <v>634.2</v>
      </c>
      <c r="M559" s="85" t="n">
        <v>-27.1</v>
      </c>
      <c r="N559" s="85" t="n">
        <v>33.1</v>
      </c>
      <c r="O559" s="85" t="n">
        <v>561.3</v>
      </c>
      <c r="P559" s="85" t="n">
        <v>392.7</v>
      </c>
      <c r="Q559" s="85" t="n">
        <v>274.2</v>
      </c>
      <c r="R559" s="85" t="n">
        <v>383.5</v>
      </c>
      <c r="S559" s="85" t="n">
        <v>6.2</v>
      </c>
      <c r="T559" s="85" t="n">
        <v>115.3</v>
      </c>
      <c r="U559" s="85" t="n">
        <v>27.1</v>
      </c>
      <c r="V559" s="85" t="n">
        <v>50.1</v>
      </c>
      <c r="W559" s="85" t="n">
        <v>785</v>
      </c>
      <c r="X559" s="85" t="n">
        <v>504.7</v>
      </c>
      <c r="Y559" s="85" t="n">
        <v>148.7</v>
      </c>
      <c r="Z559" s="85" t="n">
        <v>591</v>
      </c>
      <c r="AA559" s="85" t="n">
        <v>24.9</v>
      </c>
      <c r="AB559" s="85" t="n">
        <v>528.3</v>
      </c>
      <c r="AC559" s="85" t="n">
        <v>-56.1</v>
      </c>
      <c r="AD559" s="85" t="n">
        <v>-33.9</v>
      </c>
      <c r="AE559" s="85" t="n">
        <v>475.4</v>
      </c>
      <c r="AF559" s="85" t="n">
        <v>390.1</v>
      </c>
      <c r="AG559" s="85" t="n">
        <v>194</v>
      </c>
      <c r="AH559" s="85" t="n">
        <v>528.3</v>
      </c>
      <c r="AI559" s="85" t="n">
        <v>785</v>
      </c>
      <c r="AJ559" s="85" t="n">
        <v>0.2</v>
      </c>
      <c r="AK559" s="85" t="n">
        <v>-28.8</v>
      </c>
      <c r="AL559" s="85" t="n">
        <v>27.3</v>
      </c>
      <c r="AM559" s="85" t="n">
        <v>27.4</v>
      </c>
      <c r="AN559" s="85" t="n">
        <v>3.3</v>
      </c>
      <c r="AO559" s="85" t="n">
        <v>3.6</v>
      </c>
      <c r="AP559" s="85" t="n">
        <v>228.8</v>
      </c>
      <c r="AQ559" s="85" t="n">
        <v>118.8</v>
      </c>
      <c r="AR559" s="85" t="n">
        <v>197.8</v>
      </c>
      <c r="AS559" s="85" t="n">
        <v>13.9</v>
      </c>
      <c r="AT559" s="91" t="inlineStr">
        <is>
          <t>N/A</t>
        </is>
      </c>
      <c r="AU559" s="85" t="n">
        <v>135.8</v>
      </c>
      <c r="AV559" s="85" t="n">
        <v>214</v>
      </c>
      <c r="AW559" s="85" t="n">
        <v>213.8</v>
      </c>
      <c r="AX559" s="85" t="n">
        <v>392.7</v>
      </c>
      <c r="AY559" s="85" t="n">
        <v>390.1</v>
      </c>
      <c r="AZ559" s="85" t="n">
        <v>178.7</v>
      </c>
      <c r="BA559" s="85" t="n">
        <v>29.8</v>
      </c>
      <c r="BB559" s="85" t="n">
        <v>310.9</v>
      </c>
      <c r="BC559" s="85" t="n">
        <v>299</v>
      </c>
      <c r="BD559" s="85" t="n">
        <v>101.1</v>
      </c>
      <c r="BE559" s="85" t="n">
        <v>29.4</v>
      </c>
      <c r="BF559" s="85" t="n">
        <v>323.4</v>
      </c>
      <c r="BG559" s="85" t="n">
        <v>8.800000000000001</v>
      </c>
      <c r="BH559" s="85" t="n">
        <v>-46.4</v>
      </c>
      <c r="BI559" s="85" t="n">
        <v>-0.6</v>
      </c>
      <c r="BJ559" s="85" t="n">
        <v>28.6</v>
      </c>
      <c r="BK559" s="85" t="n">
        <v>12.9</v>
      </c>
      <c r="BL559" s="85" t="n">
        <v>8.5</v>
      </c>
      <c r="BM559" s="85" t="n">
        <v>6.6</v>
      </c>
      <c r="BN559" s="85" t="n">
        <v>28.8</v>
      </c>
      <c r="BO559" s="85" t="n">
        <v>72.90000000000001</v>
      </c>
      <c r="BP559" s="85" t="n">
        <v>52.9</v>
      </c>
      <c r="BQ559" s="85" t="n">
        <v>0</v>
      </c>
      <c r="BR559" s="85" t="n">
        <v>0</v>
      </c>
      <c r="BS559" s="85" t="n">
        <v>0</v>
      </c>
      <c r="BT559" s="85" t="n">
        <v>0</v>
      </c>
      <c r="BU559" s="85" t="n">
        <v>0</v>
      </c>
      <c r="BV559" s="85" t="n">
        <v>0</v>
      </c>
      <c r="BW559" s="85" t="n">
        <v>0</v>
      </c>
      <c r="BX559" s="85" t="n">
        <v>0</v>
      </c>
      <c r="BY559" s="85" t="n">
        <v>0</v>
      </c>
    </row>
    <row r="560" ht="17" customHeight="1">
      <c r="A560" s="86" t="n">
        <v>558</v>
      </c>
      <c r="B560" s="87" t="inlineStr">
        <is>
          <t>TSN</t>
        </is>
      </c>
      <c r="C560" s="88" t="inlineStr">
        <is>
          <t>TYSON FOODS, INC.</t>
        </is>
      </c>
      <c r="D560" s="86" t="inlineStr">
        <is>
          <t>Consumer Staples</t>
        </is>
      </c>
      <c r="E560" s="86" t="n">
        <v>2026</v>
      </c>
      <c r="F560" s="89" t="n">
        <v>36658</v>
      </c>
      <c r="G560" s="89" t="n">
        <v>9916</v>
      </c>
      <c r="H560" s="89" t="n">
        <v>6389</v>
      </c>
      <c r="I560" s="89" t="n">
        <v>36658</v>
      </c>
      <c r="J560" s="89" t="n">
        <v>18647</v>
      </c>
      <c r="K560" s="89" t="n">
        <v>1098</v>
      </c>
      <c r="L560" s="89" t="n">
        <v>54441</v>
      </c>
      <c r="M560" s="89" t="n">
        <v>474</v>
      </c>
      <c r="N560" s="89" t="n">
        <v>2155</v>
      </c>
      <c r="O560" s="89" t="n">
        <v>3562</v>
      </c>
      <c r="P560" s="90" t="inlineStr">
        <is>
          <t>N/A</t>
        </is>
      </c>
      <c r="Q560" s="89" t="n">
        <v>18085</v>
      </c>
      <c r="R560" s="89" t="n">
        <v>2121</v>
      </c>
      <c r="S560" s="89" t="n">
        <v>1350</v>
      </c>
      <c r="T560" s="89" t="n">
        <v>2524</v>
      </c>
      <c r="U560" s="89" t="n">
        <v>9204</v>
      </c>
      <c r="V560" s="90" t="inlineStr">
        <is>
          <t>N/A</t>
        </is>
      </c>
      <c r="W560" s="89" t="n">
        <v>37100</v>
      </c>
      <c r="X560" s="89" t="n">
        <v>9751</v>
      </c>
      <c r="Y560" s="89" t="n">
        <v>4787</v>
      </c>
      <c r="Z560" s="89" t="n">
        <v>37100</v>
      </c>
      <c r="AA560" s="89" t="n">
        <v>1409</v>
      </c>
      <c r="AB560" s="89" t="n">
        <v>53309</v>
      </c>
      <c r="AC560" s="89" t="n">
        <v>800</v>
      </c>
      <c r="AD560" s="89" t="n">
        <v>2590</v>
      </c>
      <c r="AE560" s="89" t="n">
        <v>3627</v>
      </c>
      <c r="AF560" s="90" t="inlineStr">
        <is>
          <t>N/A</t>
        </is>
      </c>
      <c r="AG560" s="89" t="n">
        <v>18390</v>
      </c>
      <c r="AH560" s="89" t="n">
        <v>53309</v>
      </c>
      <c r="AI560" s="89" t="n">
        <v>37100</v>
      </c>
      <c r="AJ560" s="89" t="n">
        <v>769</v>
      </c>
      <c r="AK560" s="89" t="n">
        <v>1092</v>
      </c>
      <c r="AL560" s="89" t="n">
        <v>262</v>
      </c>
      <c r="AM560" s="89" t="n">
        <v>270</v>
      </c>
      <c r="AN560" s="89" t="n">
        <v>978</v>
      </c>
      <c r="AO560" s="89" t="n">
        <v>1132</v>
      </c>
      <c r="AP560" s="89" t="n">
        <v>5681</v>
      </c>
      <c r="AQ560" s="89" t="n">
        <v>5195</v>
      </c>
      <c r="AR560" s="89" t="n">
        <v>9469</v>
      </c>
      <c r="AS560" s="89" t="n">
        <v>1546</v>
      </c>
      <c r="AT560" s="89" t="n">
        <v>909</v>
      </c>
      <c r="AU560" s="89" t="n">
        <v>126</v>
      </c>
      <c r="AV560" s="89" t="n">
        <v>1229</v>
      </c>
      <c r="AW560" s="89" t="n">
        <v>1717</v>
      </c>
      <c r="AX560" s="89" t="n">
        <v>909</v>
      </c>
      <c r="AY560" s="90" t="inlineStr">
        <is>
          <t>N/A</t>
        </is>
      </c>
      <c r="AZ560" s="89" t="n">
        <v>-320</v>
      </c>
      <c r="BA560" s="89" t="n">
        <v>1177</v>
      </c>
      <c r="BB560" s="89" t="n">
        <v>22.4</v>
      </c>
      <c r="BC560" s="90" t="inlineStr">
        <is>
          <t>N/A</t>
        </is>
      </c>
      <c r="BD560" s="89" t="n">
        <v>2406</v>
      </c>
      <c r="BE560" s="89" t="n">
        <v>9442</v>
      </c>
      <c r="BF560" s="89" t="n">
        <v>2218</v>
      </c>
      <c r="BG560" s="89" t="n">
        <v>1388</v>
      </c>
      <c r="BH560" s="89" t="n">
        <v>-665</v>
      </c>
      <c r="BI560" s="89" t="n">
        <v>-888</v>
      </c>
      <c r="BJ560" s="89" t="n">
        <v>2601</v>
      </c>
      <c r="BK560" s="89" t="n">
        <v>2402</v>
      </c>
      <c r="BL560" s="90" t="inlineStr">
        <is>
          <t>N/A</t>
        </is>
      </c>
      <c r="BM560" s="90" t="inlineStr">
        <is>
          <t>N/A</t>
        </is>
      </c>
      <c r="BN560" s="90" t="inlineStr">
        <is>
          <t>N/A</t>
        </is>
      </c>
      <c r="BO560" s="89" t="n">
        <v>50879</v>
      </c>
      <c r="BP560" s="89" t="n">
        <v>49682</v>
      </c>
      <c r="BQ560" s="89" t="n">
        <v>0</v>
      </c>
      <c r="BR560" s="89" t="n">
        <v>0</v>
      </c>
      <c r="BS560" s="89" t="n">
        <v>0</v>
      </c>
      <c r="BT560" s="89" t="n">
        <v>0</v>
      </c>
      <c r="BU560" s="89" t="n">
        <v>0</v>
      </c>
      <c r="BV560" s="89" t="n">
        <v>0</v>
      </c>
      <c r="BW560" s="89" t="n">
        <v>0</v>
      </c>
      <c r="BX560" s="89" t="n">
        <v>0</v>
      </c>
      <c r="BY560" s="89" t="n">
        <v>0</v>
      </c>
    </row>
    <row r="561" ht="17" customHeight="1">
      <c r="A561" s="82" t="n">
        <v>559</v>
      </c>
      <c r="B561" s="83" t="inlineStr">
        <is>
          <t>CRDO</t>
        </is>
      </c>
      <c r="C561" s="84" t="inlineStr">
        <is>
          <t>CREDO TECHNOLOGY GROUP HOLDING LTD</t>
        </is>
      </c>
      <c r="D561" s="82" t="inlineStr">
        <is>
          <t>Information Technology</t>
        </is>
      </c>
      <c r="E561" s="82" t="n">
        <v>2026</v>
      </c>
      <c r="F561" s="85" t="n">
        <v>2295.6</v>
      </c>
      <c r="G561" s="85" t="n">
        <v>2001.1</v>
      </c>
      <c r="H561" s="85" t="n">
        <v>197.1</v>
      </c>
      <c r="I561" s="85" t="n">
        <v>232</v>
      </c>
      <c r="J561" s="85" t="n">
        <v>389.1</v>
      </c>
      <c r="K561" s="85" t="n">
        <v>445</v>
      </c>
      <c r="L561" s="85" t="n">
        <v>1335.1</v>
      </c>
      <c r="M561" s="85" t="n">
        <v>472.3</v>
      </c>
      <c r="N561" s="85" t="n">
        <v>464.3</v>
      </c>
      <c r="O561" s="85" t="n">
        <v>908.3</v>
      </c>
      <c r="P561" s="91" t="inlineStr">
        <is>
          <t>N/A</t>
        </is>
      </c>
      <c r="Q561" s="85" t="n">
        <v>2063.6</v>
      </c>
      <c r="R561" s="85" t="n">
        <v>184</v>
      </c>
      <c r="S561" s="85" t="n">
        <v>34.6</v>
      </c>
      <c r="T561" s="85" t="n">
        <v>233.4</v>
      </c>
      <c r="U561" s="85" t="n">
        <v>101.6</v>
      </c>
      <c r="V561" s="91" t="inlineStr">
        <is>
          <t>N/A</t>
        </is>
      </c>
      <c r="W561" s="85" t="n">
        <v>809.3</v>
      </c>
      <c r="X561" s="85" t="n">
        <v>713.5</v>
      </c>
      <c r="Y561" s="85" t="n">
        <v>107.7</v>
      </c>
      <c r="Z561" s="85" t="n">
        <v>127.7</v>
      </c>
      <c r="AA561" s="85" t="n">
        <v>37.1</v>
      </c>
      <c r="AB561" s="85" t="n">
        <v>436.8</v>
      </c>
      <c r="AC561" s="85" t="n">
        <v>52.2</v>
      </c>
      <c r="AD561" s="85" t="n">
        <v>65.09999999999999</v>
      </c>
      <c r="AE561" s="85" t="n">
        <v>282.9</v>
      </c>
      <c r="AF561" s="91" t="inlineStr">
        <is>
          <t>N/A</t>
        </is>
      </c>
      <c r="AG561" s="85" t="n">
        <v>681.6</v>
      </c>
      <c r="AH561" s="85" t="n">
        <v>436.8</v>
      </c>
      <c r="AI561" s="85" t="n">
        <v>809.3</v>
      </c>
      <c r="AJ561" s="85" t="n">
        <v>475.4</v>
      </c>
      <c r="AK561" s="85" t="n">
        <v>54.9</v>
      </c>
      <c r="AL561" s="85" t="n">
        <v>3.2</v>
      </c>
      <c r="AM561" s="85" t="n">
        <v>2.7</v>
      </c>
      <c r="AN561" s="85" t="n">
        <v>57.3</v>
      </c>
      <c r="AO561" s="85" t="n">
        <v>36.1</v>
      </c>
      <c r="AP561" s="85" t="n">
        <v>250.8</v>
      </c>
      <c r="AQ561" s="85" t="n">
        <v>90</v>
      </c>
      <c r="AR561" s="85" t="n">
        <v>92.8</v>
      </c>
      <c r="AS561" s="85" t="n">
        <v>11.6</v>
      </c>
      <c r="AT561" s="91" t="inlineStr">
        <is>
          <t>N/A</t>
        </is>
      </c>
      <c r="AU561" s="85" t="n">
        <v>279.4</v>
      </c>
      <c r="AV561" s="85" t="n">
        <v>1165</v>
      </c>
      <c r="AW561" s="85" t="n">
        <v>236.3</v>
      </c>
      <c r="AX561" s="91" t="inlineStr">
        <is>
          <t>N/A</t>
        </is>
      </c>
      <c r="AY561" s="91" t="inlineStr">
        <is>
          <t>N/A</t>
        </is>
      </c>
      <c r="AZ561" s="91" t="inlineStr">
        <is>
          <t>N/A</t>
        </is>
      </c>
      <c r="BA561" s="85" t="n">
        <v>407</v>
      </c>
      <c r="BB561" s="85" t="n">
        <v>185.4</v>
      </c>
      <c r="BC561" s="85" t="n">
        <v>171.2</v>
      </c>
      <c r="BD561" s="85" t="n">
        <v>162.1</v>
      </c>
      <c r="BE561" s="85" t="n">
        <v>63.6</v>
      </c>
      <c r="BF561" s="85" t="n">
        <v>98.90000000000001</v>
      </c>
      <c r="BG561" s="85" t="n">
        <v>21.9</v>
      </c>
      <c r="BH561" s="85" t="n">
        <v>-253.5</v>
      </c>
      <c r="BI561" s="85" t="n">
        <v>112</v>
      </c>
      <c r="BJ561" s="85" t="n">
        <v>107.3</v>
      </c>
      <c r="BK561" s="85" t="n">
        <v>56.2</v>
      </c>
      <c r="BL561" s="85" t="n">
        <v>3.9</v>
      </c>
      <c r="BM561" s="85" t="n">
        <v>4</v>
      </c>
      <c r="BN561" s="85" t="n">
        <v>1</v>
      </c>
      <c r="BO561" s="85" t="n">
        <v>426.8</v>
      </c>
      <c r="BP561" s="85" t="n">
        <v>153.9</v>
      </c>
      <c r="BQ561" s="85" t="n">
        <v>0</v>
      </c>
      <c r="BR561" s="85" t="n">
        <v>0</v>
      </c>
      <c r="BS561" s="85" t="n">
        <v>0</v>
      </c>
      <c r="BT561" s="85" t="n">
        <v>0</v>
      </c>
      <c r="BU561" s="85" t="n">
        <v>0</v>
      </c>
      <c r="BV561" s="85" t="n">
        <v>0</v>
      </c>
      <c r="BW561" s="85" t="n">
        <v>0</v>
      </c>
      <c r="BX561" s="85" t="n">
        <v>0</v>
      </c>
      <c r="BY561" s="85" t="n">
        <v>0</v>
      </c>
    </row>
    <row r="562" ht="17" customHeight="1">
      <c r="A562" s="86" t="n">
        <v>560</v>
      </c>
      <c r="B562" s="87" t="inlineStr">
        <is>
          <t>LSCC</t>
        </is>
      </c>
      <c r="C562" s="88" t="inlineStr">
        <is>
          <t>Lattice Semiconductor Corp</t>
        </is>
      </c>
      <c r="D562" s="86" t="inlineStr">
        <is>
          <t>Information Technology</t>
        </is>
      </c>
      <c r="E562" s="86" t="n">
        <v>2026</v>
      </c>
      <c r="F562" s="89" t="n">
        <v>883.1</v>
      </c>
      <c r="G562" s="89" t="n">
        <v>363.9</v>
      </c>
      <c r="H562" s="89" t="n">
        <v>117.7</v>
      </c>
      <c r="I562" s="89" t="n">
        <v>169.1</v>
      </c>
      <c r="J562" s="89" t="n">
        <v>212.2</v>
      </c>
      <c r="K562" s="89" t="n">
        <v>11.2</v>
      </c>
      <c r="L562" s="89" t="n">
        <v>386</v>
      </c>
      <c r="M562" s="89" t="n">
        <v>3.1</v>
      </c>
      <c r="N562" s="89" t="n">
        <v>175.1</v>
      </c>
      <c r="O562" s="89" t="n">
        <v>356.9</v>
      </c>
      <c r="P562" s="89" t="n">
        <v>158.8</v>
      </c>
      <c r="Q562" s="89" t="n">
        <v>714.1</v>
      </c>
      <c r="R562" s="89" t="n">
        <v>153.6</v>
      </c>
      <c r="S562" s="89" t="n">
        <v>33.1</v>
      </c>
      <c r="T562" s="89" t="n">
        <v>102.3</v>
      </c>
      <c r="U562" s="89" t="n">
        <v>77</v>
      </c>
      <c r="V562" s="89" t="n">
        <v>4.1</v>
      </c>
      <c r="W562" s="89" t="n">
        <v>843.9</v>
      </c>
      <c r="X562" s="89" t="n">
        <v>364.8</v>
      </c>
      <c r="Y562" s="89" t="n">
        <v>99.59999999999999</v>
      </c>
      <c r="Z562" s="89" t="n">
        <v>133</v>
      </c>
      <c r="AA562" s="89" t="n">
        <v>34.5</v>
      </c>
      <c r="AB562" s="89" t="n">
        <v>427.1</v>
      </c>
      <c r="AC562" s="89" t="n">
        <v>61.1</v>
      </c>
      <c r="AD562" s="89" t="n">
        <v>140.9</v>
      </c>
      <c r="AE562" s="89" t="n">
        <v>340.4</v>
      </c>
      <c r="AF562" s="89" t="n">
        <v>171.9</v>
      </c>
      <c r="AG562" s="89" t="n">
        <v>710.9</v>
      </c>
      <c r="AH562" s="89" t="n">
        <v>427.1</v>
      </c>
      <c r="AI562" s="89" t="n">
        <v>843.9</v>
      </c>
      <c r="AJ562" s="89" t="n">
        <v>13.4</v>
      </c>
      <c r="AK562" s="89" t="n">
        <v>36.2</v>
      </c>
      <c r="AL562" s="89" t="n">
        <v>10.3</v>
      </c>
      <c r="AM562" s="89" t="n">
        <v>-24.9</v>
      </c>
      <c r="AN562" s="89" t="n">
        <v>42.5</v>
      </c>
      <c r="AO562" s="89" t="n">
        <v>21</v>
      </c>
      <c r="AP562" s="89" t="n">
        <v>89.2</v>
      </c>
      <c r="AQ562" s="89" t="n">
        <v>103.4</v>
      </c>
      <c r="AR562" s="89" t="n">
        <v>315.4</v>
      </c>
      <c r="AS562" s="89" t="n">
        <v>4.1</v>
      </c>
      <c r="AT562" s="90" t="inlineStr">
        <is>
          <t>N/A</t>
        </is>
      </c>
      <c r="AU562" s="89" t="n">
        <v>188</v>
      </c>
      <c r="AV562" s="89" t="n">
        <v>133.9</v>
      </c>
      <c r="AW562" s="89" t="n">
        <v>136.3</v>
      </c>
      <c r="AX562" s="89" t="n">
        <v>158.8</v>
      </c>
      <c r="AY562" s="89" t="n">
        <v>171.9</v>
      </c>
      <c r="AZ562" s="89" t="n">
        <v>24.9</v>
      </c>
      <c r="BA562" s="89" t="n">
        <v>132.6</v>
      </c>
      <c r="BB562" s="89" t="n">
        <v>136.8</v>
      </c>
      <c r="BC562" s="89" t="n">
        <v>137.7</v>
      </c>
      <c r="BD562" s="89" t="n">
        <v>81.09999999999999</v>
      </c>
      <c r="BE562" s="89" t="n">
        <v>53</v>
      </c>
      <c r="BF562" s="89" t="n">
        <v>116.9</v>
      </c>
      <c r="BG562" s="89" t="n">
        <v>39.3</v>
      </c>
      <c r="BH562" s="89" t="n">
        <v>-62.3</v>
      </c>
      <c r="BI562" s="89" t="n">
        <v>-37.7</v>
      </c>
      <c r="BJ562" s="89" t="n">
        <v>56.5</v>
      </c>
      <c r="BK562" s="89" t="n">
        <v>36.8</v>
      </c>
      <c r="BL562" s="89" t="n">
        <v>0.1</v>
      </c>
      <c r="BM562" s="89" t="n">
        <v>0.7</v>
      </c>
      <c r="BN562" s="89" t="n">
        <v>3.4</v>
      </c>
      <c r="BO562" s="89" t="n">
        <v>166.3</v>
      </c>
      <c r="BP562" s="89" t="n">
        <v>169</v>
      </c>
      <c r="BQ562" s="89" t="n">
        <v>0</v>
      </c>
      <c r="BR562" s="89" t="n">
        <v>0</v>
      </c>
      <c r="BS562" s="89" t="n">
        <v>0</v>
      </c>
      <c r="BT562" s="89" t="n">
        <v>0</v>
      </c>
      <c r="BU562" s="89" t="n">
        <v>0</v>
      </c>
      <c r="BV562" s="89" t="n">
        <v>0</v>
      </c>
      <c r="BW562" s="89" t="n">
        <v>0</v>
      </c>
      <c r="BX562" s="89" t="n">
        <v>0</v>
      </c>
      <c r="BY562" s="89" t="n">
        <v>0</v>
      </c>
    </row>
    <row r="563" ht="17" customHeight="1">
      <c r="A563" s="82" t="n">
        <v>561</v>
      </c>
      <c r="B563" s="83" t="inlineStr">
        <is>
          <t>COHR</t>
        </is>
      </c>
      <c r="C563" s="84" t="inlineStr">
        <is>
          <t>COHERENT CORP.</t>
        </is>
      </c>
      <c r="D563" s="82" t="inlineStr">
        <is>
          <t>Information Technology</t>
        </is>
      </c>
      <c r="E563" s="82" t="n">
        <v>2026</v>
      </c>
      <c r="F563" s="85" t="n">
        <v>14910.9</v>
      </c>
      <c r="G563" s="85" t="n">
        <v>3927.2</v>
      </c>
      <c r="H563" s="85" t="n">
        <v>1794.8</v>
      </c>
      <c r="I563" s="85" t="n">
        <v>6429.7</v>
      </c>
      <c r="J563" s="85" t="n">
        <v>584.4</v>
      </c>
      <c r="K563" s="85" t="n">
        <v>96.09999999999999</v>
      </c>
      <c r="L563" s="85" t="n">
        <v>1158.8</v>
      </c>
      <c r="M563" s="85" t="n">
        <v>49.4</v>
      </c>
      <c r="N563" s="85" t="n">
        <v>633.6</v>
      </c>
      <c r="O563" s="85" t="n">
        <v>-2608</v>
      </c>
      <c r="P563" s="85" t="n">
        <v>3686.9</v>
      </c>
      <c r="Q563" s="85" t="n">
        <v>5644.5</v>
      </c>
      <c r="R563" s="85" t="n">
        <v>926.5</v>
      </c>
      <c r="S563" s="85" t="n">
        <v>553.6</v>
      </c>
      <c r="T563" s="85" t="n">
        <v>964.1</v>
      </c>
      <c r="U563" s="85" t="n">
        <v>582.8</v>
      </c>
      <c r="V563" s="85" t="n">
        <v>286.9</v>
      </c>
      <c r="W563" s="85" t="n">
        <v>14488.6</v>
      </c>
      <c r="X563" s="85" t="n">
        <v>3660.1</v>
      </c>
      <c r="Y563" s="85" t="n">
        <v>1343.8</v>
      </c>
      <c r="Z563" s="85" t="n">
        <v>6542.4</v>
      </c>
      <c r="AA563" s="85" t="n">
        <v>-37.1</v>
      </c>
      <c r="AB563" s="85" t="n">
        <v>321.1</v>
      </c>
      <c r="AC563" s="85" t="n">
        <v>-156.2</v>
      </c>
      <c r="AD563" s="85" t="n">
        <v>545.7</v>
      </c>
      <c r="AE563" s="85" t="n">
        <v>-2930.6</v>
      </c>
      <c r="AF563" s="85" t="n">
        <v>4100.2</v>
      </c>
      <c r="AG563" s="85" t="n">
        <v>5210.1</v>
      </c>
      <c r="AH563" s="85" t="n">
        <v>294.7</v>
      </c>
      <c r="AI563" s="85" t="n">
        <v>14488.6</v>
      </c>
      <c r="AJ563" s="85" t="n">
        <v>94.2</v>
      </c>
      <c r="AK563" s="85" t="n">
        <v>-147.6</v>
      </c>
      <c r="AL563" s="85" t="n">
        <v>64.09999999999999</v>
      </c>
      <c r="AM563" s="85" t="n">
        <v>11.1</v>
      </c>
      <c r="AN563" s="85" t="n">
        <v>440.8</v>
      </c>
      <c r="AO563" s="85" t="n">
        <v>346.8</v>
      </c>
      <c r="AP563" s="85" t="n">
        <v>1437.6</v>
      </c>
      <c r="AQ563" s="85" t="n">
        <v>1286.4</v>
      </c>
      <c r="AR563" s="85" t="n">
        <v>4471.1</v>
      </c>
      <c r="AS563" s="85" t="n">
        <v>3204.7</v>
      </c>
      <c r="AT563" s="85" t="n">
        <v>188.3</v>
      </c>
      <c r="AU563" s="85" t="n">
        <v>581.9</v>
      </c>
      <c r="AV563" s="85" t="n">
        <v>909.2</v>
      </c>
      <c r="AW563" s="85" t="n">
        <v>926</v>
      </c>
      <c r="AX563" s="85" t="n">
        <v>3875.2</v>
      </c>
      <c r="AY563" s="85" t="n">
        <v>4100.2</v>
      </c>
      <c r="AZ563" s="85" t="n">
        <v>2966</v>
      </c>
      <c r="BA563" s="85" t="n">
        <v>192.8</v>
      </c>
      <c r="BB563" s="85" t="n">
        <v>171.8</v>
      </c>
      <c r="BC563" s="85" t="n">
        <v>168.4</v>
      </c>
      <c r="BD563" s="85" t="n">
        <v>848.5</v>
      </c>
      <c r="BE563" s="85" t="n">
        <v>582.8</v>
      </c>
      <c r="BF563" s="85" t="n">
        <v>854</v>
      </c>
      <c r="BG563" s="85" t="n">
        <v>559.8</v>
      </c>
      <c r="BH563" s="85" t="n">
        <v>-414.2</v>
      </c>
      <c r="BI563" s="85" t="n">
        <v>-350.7</v>
      </c>
      <c r="BJ563" s="85" t="n">
        <v>847</v>
      </c>
      <c r="BK563" s="85" t="n">
        <v>631.5</v>
      </c>
      <c r="BL563" s="85" t="n">
        <v>63</v>
      </c>
      <c r="BM563" s="85" t="n">
        <v>62.1</v>
      </c>
      <c r="BN563" s="85" t="n">
        <v>123.8</v>
      </c>
      <c r="BO563" s="85" t="n">
        <v>3766.8</v>
      </c>
      <c r="BP563" s="85" t="n">
        <v>3251.7</v>
      </c>
      <c r="BQ563" s="85" t="n">
        <v>0</v>
      </c>
      <c r="BR563" s="85" t="n">
        <v>0</v>
      </c>
      <c r="BS563" s="85" t="n">
        <v>0</v>
      </c>
      <c r="BT563" s="85" t="n">
        <v>0</v>
      </c>
      <c r="BU563" s="85" t="n">
        <v>0</v>
      </c>
      <c r="BV563" s="85" t="n">
        <v>0</v>
      </c>
      <c r="BW563" s="85" t="n">
        <v>0</v>
      </c>
      <c r="BX563" s="85" t="n">
        <v>0</v>
      </c>
      <c r="BY563" s="85" t="n">
        <v>0</v>
      </c>
    </row>
    <row r="564" ht="17" customHeight="1">
      <c r="A564" s="86" t="n">
        <v>562</v>
      </c>
      <c r="B564" s="87" t="inlineStr">
        <is>
          <t>ORI</t>
        </is>
      </c>
      <c r="C564" s="88" t="inlineStr">
        <is>
          <t>OLD REPUBLIC INTERNATIONAL CORP</t>
        </is>
      </c>
      <c r="D564" s="86" t="inlineStr">
        <is>
          <t>Financials</t>
        </is>
      </c>
      <c r="E564" s="86" t="n">
        <v>2026</v>
      </c>
      <c r="F564" s="89" t="n">
        <v>29862.7</v>
      </c>
      <c r="G564" s="90" t="inlineStr">
        <is>
          <t>N/A</t>
        </is>
      </c>
      <c r="H564" s="90" t="inlineStr">
        <is>
          <t>N/A</t>
        </is>
      </c>
      <c r="I564" s="89" t="n">
        <v>23934.2</v>
      </c>
      <c r="J564" s="89" t="n">
        <v>5515.2</v>
      </c>
      <c r="K564" s="90" t="inlineStr">
        <is>
          <t>N/A</t>
        </is>
      </c>
      <c r="L564" s="89" t="n">
        <v>9136.299999999999</v>
      </c>
      <c r="M564" s="89" t="n">
        <v>935.4</v>
      </c>
      <c r="N564" s="89" t="n">
        <v>1164.3</v>
      </c>
      <c r="O564" s="89" t="n">
        <v>1184</v>
      </c>
      <c r="P564" s="90" t="inlineStr">
        <is>
          <t>N/A</t>
        </is>
      </c>
      <c r="Q564" s="89" t="n">
        <v>5914</v>
      </c>
      <c r="R564" s="89" t="n">
        <v>1846.4</v>
      </c>
      <c r="S564" s="89" t="n">
        <v>35.4</v>
      </c>
      <c r="T564" s="90" t="inlineStr">
        <is>
          <t>N/A</t>
        </is>
      </c>
      <c r="U564" s="90" t="inlineStr">
        <is>
          <t>N/A</t>
        </is>
      </c>
      <c r="V564" s="89" t="n">
        <v>70.5</v>
      </c>
      <c r="W564" s="89" t="n">
        <v>27843.1</v>
      </c>
      <c r="X564" s="90" t="inlineStr">
        <is>
          <t>N/A</t>
        </is>
      </c>
      <c r="Y564" s="90" t="inlineStr">
        <is>
          <t>N/A</t>
        </is>
      </c>
      <c r="Z564" s="89" t="n">
        <v>22224.1</v>
      </c>
      <c r="AA564" s="90" t="inlineStr">
        <is>
          <t>N/A</t>
        </is>
      </c>
      <c r="AB564" s="89" t="n">
        <v>2389.4</v>
      </c>
      <c r="AC564" s="89" t="n">
        <v>206.3</v>
      </c>
      <c r="AD564" s="89" t="n">
        <v>1233.4</v>
      </c>
      <c r="AE564" s="89" t="n">
        <v>263.2</v>
      </c>
      <c r="AF564" s="90" t="inlineStr">
        <is>
          <t>N/A</t>
        </is>
      </c>
      <c r="AG564" s="89" t="n">
        <v>5618.9</v>
      </c>
      <c r="AH564" s="89" t="n">
        <v>2424.3</v>
      </c>
      <c r="AI564" s="89" t="n">
        <v>27843.1</v>
      </c>
      <c r="AJ564" s="89" t="n">
        <v>1169.8</v>
      </c>
      <c r="AK564" s="90" t="inlineStr">
        <is>
          <t>N/A</t>
        </is>
      </c>
      <c r="AL564" s="89" t="n">
        <v>242.1</v>
      </c>
      <c r="AM564" s="89" t="n">
        <v>216.9</v>
      </c>
      <c r="AN564" s="90" t="inlineStr">
        <is>
          <t>N/A</t>
        </is>
      </c>
      <c r="AO564" s="90" t="inlineStr">
        <is>
          <t>N/A</t>
        </is>
      </c>
      <c r="AP564" s="90" t="inlineStr">
        <is>
          <t>N/A</t>
        </is>
      </c>
      <c r="AQ564" s="90" t="inlineStr">
        <is>
          <t>N/A</t>
        </is>
      </c>
      <c r="AR564" s="89" t="n">
        <v>173.2</v>
      </c>
      <c r="AS564" s="90" t="inlineStr">
        <is>
          <t>N/A</t>
        </is>
      </c>
      <c r="AT564" s="90" t="inlineStr">
        <is>
          <t>N/A</t>
        </is>
      </c>
      <c r="AU564" s="90" t="inlineStr">
        <is>
          <t>N/A</t>
        </is>
      </c>
      <c r="AV564" s="90" t="inlineStr">
        <is>
          <t>N/A</t>
        </is>
      </c>
      <c r="AW564" s="90" t="inlineStr">
        <is>
          <t>N/A</t>
        </is>
      </c>
      <c r="AX564" s="90" t="inlineStr">
        <is>
          <t>N/A</t>
        </is>
      </c>
      <c r="AY564" s="90" t="inlineStr">
        <is>
          <t>N/A</t>
        </is>
      </c>
      <c r="AZ564" s="90" t="inlineStr">
        <is>
          <t>N/A</t>
        </is>
      </c>
      <c r="BA564" s="90" t="inlineStr">
        <is>
          <t>N/A</t>
        </is>
      </c>
      <c r="BB564" s="89" t="n">
        <v>246.4</v>
      </c>
      <c r="BC564" s="89" t="n">
        <v>248.8</v>
      </c>
      <c r="BD564" s="90" t="inlineStr">
        <is>
          <t>N/A</t>
        </is>
      </c>
      <c r="BE564" s="90" t="inlineStr">
        <is>
          <t>N/A</t>
        </is>
      </c>
      <c r="BF564" s="89" t="n">
        <v>1676</v>
      </c>
      <c r="BG564" s="89" t="n">
        <v>39.3</v>
      </c>
      <c r="BH564" s="89" t="n">
        <v>-177.2</v>
      </c>
      <c r="BI564" s="89" t="n">
        <v>-3.9</v>
      </c>
      <c r="BJ564" s="90" t="inlineStr">
        <is>
          <t>N/A</t>
        </is>
      </c>
      <c r="BK564" s="90" t="inlineStr">
        <is>
          <t>N/A</t>
        </is>
      </c>
      <c r="BL564" s="90" t="inlineStr">
        <is>
          <t>N/A</t>
        </is>
      </c>
      <c r="BM564" s="90" t="inlineStr">
        <is>
          <t>N/A</t>
        </is>
      </c>
      <c r="BN564" s="90" t="inlineStr">
        <is>
          <t>N/A</t>
        </is>
      </c>
      <c r="BO564" s="89" t="n">
        <v>7952.3</v>
      </c>
      <c r="BP564" s="89" t="n">
        <v>2126.2</v>
      </c>
      <c r="BQ564" s="90" t="inlineStr">
        <is>
          <t>N/A</t>
        </is>
      </c>
      <c r="BR564" s="90" t="inlineStr">
        <is>
          <t>N/A</t>
        </is>
      </c>
      <c r="BS564" s="90" t="inlineStr">
        <is>
          <t>N/A</t>
        </is>
      </c>
      <c r="BT564" s="90" t="inlineStr">
        <is>
          <t>N/A</t>
        </is>
      </c>
      <c r="BU564" s="90" t="inlineStr">
        <is>
          <t>N/A</t>
        </is>
      </c>
      <c r="BV564" s="90" t="inlineStr">
        <is>
          <t>N/A</t>
        </is>
      </c>
      <c r="BW564" s="89" t="n">
        <v>0</v>
      </c>
      <c r="BX564" s="89" t="n">
        <v>0</v>
      </c>
      <c r="BY564" s="89" t="n">
        <v>0</v>
      </c>
    </row>
    <row r="565" ht="17" customHeight="1">
      <c r="A565" s="82" t="n">
        <v>563</v>
      </c>
      <c r="B565" s="83" t="inlineStr">
        <is>
          <t>IFF</t>
        </is>
      </c>
      <c r="C565" s="84" t="inlineStr">
        <is>
          <t>INTERNATIONAL FLAVORS &amp; FRAGRANCES INC</t>
        </is>
      </c>
      <c r="D565" s="82" t="inlineStr">
        <is>
          <t>Materials</t>
        </is>
      </c>
      <c r="E565" s="82" t="n">
        <v>2026</v>
      </c>
      <c r="F565" s="85" t="n">
        <v>25539</v>
      </c>
      <c r="G565" s="85" t="n">
        <v>5594</v>
      </c>
      <c r="H565" s="85" t="n">
        <v>3933</v>
      </c>
      <c r="I565" s="85" t="n">
        <v>25539</v>
      </c>
      <c r="J565" s="85" t="n">
        <v>-3417</v>
      </c>
      <c r="K565" s="85" t="n">
        <v>-382</v>
      </c>
      <c r="L565" s="85" t="n">
        <v>10890</v>
      </c>
      <c r="M565" s="85" t="n">
        <v>339.8</v>
      </c>
      <c r="N565" s="85" t="n">
        <v>850</v>
      </c>
      <c r="O565" s="85" t="n">
        <v>3938</v>
      </c>
      <c r="P565" s="85" t="n">
        <v>5637</v>
      </c>
      <c r="Q565" s="85" t="n">
        <v>14154</v>
      </c>
      <c r="R565" s="85" t="n">
        <v>1834</v>
      </c>
      <c r="S565" s="85" t="n">
        <v>962</v>
      </c>
      <c r="T565" s="85" t="n">
        <v>1731</v>
      </c>
      <c r="U565" s="85" t="n">
        <v>4029</v>
      </c>
      <c r="V565" s="85" t="n">
        <v>380</v>
      </c>
      <c r="W565" s="85" t="n">
        <v>28667</v>
      </c>
      <c r="X565" s="85" t="n">
        <v>7993</v>
      </c>
      <c r="Y565" s="85" t="n">
        <v>4333</v>
      </c>
      <c r="Z565" s="85" t="n">
        <v>28667</v>
      </c>
      <c r="AA565" s="85" t="n">
        <v>766</v>
      </c>
      <c r="AB565" s="85" t="n">
        <v>5607</v>
      </c>
      <c r="AC565" s="85" t="n">
        <v>295.7</v>
      </c>
      <c r="AD565" s="85" t="n">
        <v>1070</v>
      </c>
      <c r="AE565" s="85" t="n">
        <v>2065</v>
      </c>
      <c r="AF565" s="85" t="n">
        <v>8891</v>
      </c>
      <c r="AG565" s="85" t="n">
        <v>13876</v>
      </c>
      <c r="AH565" s="85" t="n">
        <v>2764</v>
      </c>
      <c r="AI565" s="85" t="n">
        <v>28723</v>
      </c>
      <c r="AJ565" s="85" t="n">
        <v>-412</v>
      </c>
      <c r="AK565" s="85" t="n">
        <v>278</v>
      </c>
      <c r="AL565" s="85" t="n">
        <v>-53</v>
      </c>
      <c r="AM565" s="85" t="n">
        <v>31</v>
      </c>
      <c r="AN565" s="85" t="n">
        <v>594</v>
      </c>
      <c r="AO565" s="85" t="n">
        <v>463</v>
      </c>
      <c r="AP565" s="85" t="n">
        <v>2245</v>
      </c>
      <c r="AQ565" s="85" t="n">
        <v>2133</v>
      </c>
      <c r="AR565" s="85" t="n">
        <v>8269</v>
      </c>
      <c r="AS565" s="85" t="n">
        <v>6043</v>
      </c>
      <c r="AT565" s="85" t="n">
        <v>1254</v>
      </c>
      <c r="AU565" s="85" t="n">
        <v>694</v>
      </c>
      <c r="AV565" s="85" t="n">
        <v>590</v>
      </c>
      <c r="AW565" s="85" t="n">
        <v>469</v>
      </c>
      <c r="AX565" s="85" t="n">
        <v>6891</v>
      </c>
      <c r="AY565" s="85" t="n">
        <v>10304</v>
      </c>
      <c r="AZ565" s="85" t="n">
        <v>6301</v>
      </c>
      <c r="BA565" s="85" t="n">
        <v>256</v>
      </c>
      <c r="BB565" s="85" t="n">
        <v>255.7</v>
      </c>
      <c r="BC565" s="85" t="n">
        <v>255.7</v>
      </c>
      <c r="BD565" s="85" t="n">
        <v>1624</v>
      </c>
      <c r="BE565" s="85" t="n">
        <v>3739</v>
      </c>
      <c r="BF565" s="85" t="n">
        <v>1995</v>
      </c>
      <c r="BG565" s="85" t="n">
        <v>1015</v>
      </c>
      <c r="BH565" s="85" t="n">
        <v>2269</v>
      </c>
      <c r="BI565" s="85" t="n">
        <v>326</v>
      </c>
      <c r="BJ565" s="85" t="n">
        <v>1287</v>
      </c>
      <c r="BK565" s="85" t="n">
        <v>1283</v>
      </c>
      <c r="BL565" s="85" t="n">
        <v>4.9</v>
      </c>
      <c r="BM565" s="85" t="n">
        <v>11.1</v>
      </c>
      <c r="BN565" s="85" t="n">
        <v>180</v>
      </c>
      <c r="BO565" s="85" t="n">
        <v>6952</v>
      </c>
      <c r="BP565" s="85" t="n">
        <v>7360</v>
      </c>
      <c r="BQ565" s="85" t="n">
        <v>0</v>
      </c>
      <c r="BR565" s="85" t="n">
        <v>0</v>
      </c>
      <c r="BS565" s="85" t="n">
        <v>0</v>
      </c>
      <c r="BT565" s="85" t="n">
        <v>0</v>
      </c>
      <c r="BU565" s="85" t="n">
        <v>0</v>
      </c>
      <c r="BV565" s="85" t="n">
        <v>0</v>
      </c>
      <c r="BW565" s="85" t="n">
        <v>0</v>
      </c>
      <c r="BX565" s="85" t="n">
        <v>0</v>
      </c>
      <c r="BY565" s="85" t="n">
        <v>0</v>
      </c>
    </row>
    <row r="566" ht="17" customHeight="1">
      <c r="A566" s="86" t="n">
        <v>564</v>
      </c>
      <c r="B566" s="87" t="inlineStr">
        <is>
          <t>ES</t>
        </is>
      </c>
      <c r="C566" s="88" t="inlineStr">
        <is>
          <t>EVERSOURCE ENERGY</t>
        </is>
      </c>
      <c r="D566" s="86" t="inlineStr">
        <is>
          <t>Utilities</t>
        </is>
      </c>
      <c r="E566" s="86" t="n">
        <v>2026</v>
      </c>
      <c r="F566" s="89" t="n">
        <v>63786.7</v>
      </c>
      <c r="G566" s="89" t="n">
        <v>5077.2</v>
      </c>
      <c r="H566" s="89" t="n">
        <v>7808.5</v>
      </c>
      <c r="I566" s="89" t="n">
        <v>63786.7</v>
      </c>
      <c r="J566" s="89" t="n">
        <v>4505</v>
      </c>
      <c r="K566" s="89" t="n">
        <v>2988.6</v>
      </c>
      <c r="L566" s="89" t="n">
        <v>13547.2</v>
      </c>
      <c r="M566" s="89" t="n">
        <v>-434.7</v>
      </c>
      <c r="N566" s="89" t="n">
        <v>4113.6</v>
      </c>
      <c r="O566" s="89" t="n">
        <v>2988.6</v>
      </c>
      <c r="P566" s="89" t="n">
        <v>26872.4</v>
      </c>
      <c r="Q566" s="89" t="n">
        <v>16197.3</v>
      </c>
      <c r="R566" s="90" t="inlineStr">
        <is>
          <t>N/A</t>
        </is>
      </c>
      <c r="S566" s="89" t="n">
        <v>2404.5</v>
      </c>
      <c r="T566" s="89" t="n">
        <v>1847.1</v>
      </c>
      <c r="U566" s="90" t="inlineStr">
        <is>
          <t>N/A</t>
        </is>
      </c>
      <c r="V566" s="89" t="n">
        <v>855.4</v>
      </c>
      <c r="W566" s="89" t="n">
        <v>59594.5</v>
      </c>
      <c r="X566" s="89" t="n">
        <v>5076.1</v>
      </c>
      <c r="Y566" s="89" t="n">
        <v>6721</v>
      </c>
      <c r="Z566" s="89" t="n">
        <v>59594.5</v>
      </c>
      <c r="AA566" s="89" t="n">
        <v>2408.7</v>
      </c>
      <c r="AB566" s="89" t="n">
        <v>11900.8</v>
      </c>
      <c r="AC566" s="89" t="n">
        <v>1412.4</v>
      </c>
      <c r="AD566" s="89" t="n">
        <v>2159.7</v>
      </c>
      <c r="AE566" s="89" t="n">
        <v>2408.7</v>
      </c>
      <c r="AF566" s="89" t="n">
        <v>25701.6</v>
      </c>
      <c r="AG566" s="89" t="n">
        <v>15039.4</v>
      </c>
      <c r="AH566" s="89" t="n">
        <v>11900.8</v>
      </c>
      <c r="AI566" s="89" t="n">
        <v>59594.5</v>
      </c>
      <c r="AJ566" s="89" t="n">
        <v>1840.2</v>
      </c>
      <c r="AK566" s="90" t="inlineStr">
        <is>
          <t>N/A</t>
        </is>
      </c>
      <c r="AL566" s="89" t="n">
        <v>140.3</v>
      </c>
      <c r="AM566" s="89" t="n">
        <v>424.7</v>
      </c>
      <c r="AN566" s="89" t="n">
        <v>4158.7</v>
      </c>
      <c r="AO566" s="89" t="n">
        <v>4480.5</v>
      </c>
      <c r="AP566" s="89" t="n">
        <v>491.6</v>
      </c>
      <c r="AQ566" s="90" t="inlineStr">
        <is>
          <t>N/A</t>
        </is>
      </c>
      <c r="AR566" s="89" t="n">
        <v>4233.8</v>
      </c>
      <c r="AS566" s="90" t="inlineStr">
        <is>
          <t>N/A</t>
        </is>
      </c>
      <c r="AT566" s="89" t="n">
        <v>1392.9</v>
      </c>
      <c r="AU566" s="90" t="inlineStr">
        <is>
          <t>N/A</t>
        </is>
      </c>
      <c r="AV566" s="89" t="n">
        <v>135.4</v>
      </c>
      <c r="AW566" s="89" t="n">
        <v>26.7</v>
      </c>
      <c r="AX566" s="89" t="n">
        <v>28265.4</v>
      </c>
      <c r="AY566" s="89" t="n">
        <v>25701.6</v>
      </c>
      <c r="AZ566" s="89" t="n">
        <v>28130</v>
      </c>
      <c r="BA566" s="89" t="n">
        <v>-45.1</v>
      </c>
      <c r="BB566" s="89" t="n">
        <v>375.4</v>
      </c>
      <c r="BC566" s="89" t="n">
        <v>366.6</v>
      </c>
      <c r="BD566" s="89" t="n">
        <v>1651.3</v>
      </c>
      <c r="BE566" s="90" t="inlineStr">
        <is>
          <t>N/A</t>
        </is>
      </c>
      <c r="BF566" s="90" t="inlineStr">
        <is>
          <t>N/A</t>
        </is>
      </c>
      <c r="BG566" s="89" t="n">
        <v>1776.4</v>
      </c>
      <c r="BH566" s="89" t="n">
        <v>-4306.2</v>
      </c>
      <c r="BI566" s="89" t="n">
        <v>-4535.7</v>
      </c>
      <c r="BJ566" s="89" t="n">
        <v>1859.7</v>
      </c>
      <c r="BK566" s="89" t="n">
        <v>1736.9</v>
      </c>
      <c r="BL566" s="90" t="inlineStr">
        <is>
          <t>N/A</t>
        </is>
      </c>
      <c r="BM566" s="90" t="inlineStr">
        <is>
          <t>N/A</t>
        </is>
      </c>
      <c r="BN566" s="89" t="n">
        <v>69.59999999999999</v>
      </c>
      <c r="BO566" s="89" t="n">
        <v>10558.7</v>
      </c>
      <c r="BP566" s="89" t="n">
        <v>9492.1</v>
      </c>
      <c r="BQ566" s="89" t="n">
        <v>0</v>
      </c>
      <c r="BR566" s="89" t="n">
        <v>0</v>
      </c>
      <c r="BS566" s="89" t="n">
        <v>0</v>
      </c>
      <c r="BT566" s="90" t="inlineStr">
        <is>
          <t>N/A</t>
        </is>
      </c>
      <c r="BU566" s="89" t="n">
        <v>0</v>
      </c>
      <c r="BV566" s="89" t="n">
        <v>0</v>
      </c>
      <c r="BW566" s="89" t="n">
        <v>0</v>
      </c>
      <c r="BX566" s="89" t="n">
        <v>0</v>
      </c>
      <c r="BY566" s="89" t="n">
        <v>0</v>
      </c>
    </row>
    <row r="567" ht="17" customHeight="1">
      <c r="A567" s="82" t="n">
        <v>565</v>
      </c>
      <c r="B567" s="83" t="inlineStr">
        <is>
          <t>DOC</t>
        </is>
      </c>
      <c r="C567" s="84" t="inlineStr">
        <is>
          <t>Healthpeak Properties, Inc.</t>
        </is>
      </c>
      <c r="D567" s="82" t="inlineStr">
        <is>
          <t>Real Estate</t>
        </is>
      </c>
      <c r="E567" s="82" t="n">
        <v>2026</v>
      </c>
      <c r="F567" s="85" t="n">
        <v>20336</v>
      </c>
      <c r="G567" s="91" t="inlineStr">
        <is>
          <t>N/A</t>
        </is>
      </c>
      <c r="H567" s="91" t="inlineStr">
        <is>
          <t>N/A</t>
        </is>
      </c>
      <c r="I567" s="85" t="n">
        <v>12033.6</v>
      </c>
      <c r="J567" s="91" t="inlineStr">
        <is>
          <t>N/A</t>
        </is>
      </c>
      <c r="K567" s="85" t="n">
        <v>9.4</v>
      </c>
      <c r="L567" s="85" t="n">
        <v>2822.5</v>
      </c>
      <c r="M567" s="85" t="n">
        <v>71.3</v>
      </c>
      <c r="N567" s="85" t="n">
        <v>1252</v>
      </c>
      <c r="O567" s="85" t="n">
        <v>1747.7</v>
      </c>
      <c r="P567" s="85" t="n">
        <v>9847.9</v>
      </c>
      <c r="Q567" s="85" t="n">
        <v>7500.1</v>
      </c>
      <c r="R567" s="85" t="n">
        <v>90.40000000000001</v>
      </c>
      <c r="S567" s="85" t="n">
        <v>1058.9</v>
      </c>
      <c r="T567" s="85" t="n">
        <v>78.3</v>
      </c>
      <c r="U567" s="85" t="n">
        <v>45</v>
      </c>
      <c r="V567" s="85" t="n">
        <v>305.2</v>
      </c>
      <c r="W567" s="85" t="n">
        <v>19938.3</v>
      </c>
      <c r="X567" s="91" t="inlineStr">
        <is>
          <t>N/A</t>
        </is>
      </c>
      <c r="Y567" s="91" t="inlineStr">
        <is>
          <t>N/A</t>
        </is>
      </c>
      <c r="Z567" s="85" t="n">
        <v>10880.6</v>
      </c>
      <c r="AA567" s="85" t="n">
        <v>355.8</v>
      </c>
      <c r="AB567" s="85" t="n">
        <v>2700.4</v>
      </c>
      <c r="AC567" s="85" t="n">
        <v>243.1</v>
      </c>
      <c r="AD567" s="85" t="n">
        <v>1070.5</v>
      </c>
      <c r="AE567" s="85" t="n">
        <v>1798.4</v>
      </c>
      <c r="AF567" s="85" t="n">
        <v>8716</v>
      </c>
      <c r="AG567" s="85" t="n">
        <v>8401.299999999999</v>
      </c>
      <c r="AH567" s="85" t="n">
        <v>2700.4</v>
      </c>
      <c r="AI567" s="85" t="n">
        <v>19938.3</v>
      </c>
      <c r="AJ567" s="85" t="n">
        <v>9.4</v>
      </c>
      <c r="AK567" s="85" t="n">
        <v>355.8</v>
      </c>
      <c r="AL567" s="85" t="n">
        <v>9.300000000000001</v>
      </c>
      <c r="AM567" s="85" t="n">
        <v>4.3</v>
      </c>
      <c r="AN567" s="85" t="n">
        <v>894.9</v>
      </c>
      <c r="AO567" s="85" t="n">
        <v>736.8</v>
      </c>
      <c r="AP567" s="91" t="inlineStr">
        <is>
          <t>N/A</t>
        </is>
      </c>
      <c r="AQ567" s="91" t="inlineStr">
        <is>
          <t>N/A</t>
        </is>
      </c>
      <c r="AR567" s="85" t="n">
        <v>68.5</v>
      </c>
      <c r="AS567" s="85" t="n">
        <v>654.5</v>
      </c>
      <c r="AT567" s="91" t="inlineStr">
        <is>
          <t>N/A</t>
        </is>
      </c>
      <c r="AU567" s="91" t="inlineStr">
        <is>
          <t>N/A</t>
        </is>
      </c>
      <c r="AV567" s="85" t="n">
        <v>467.5</v>
      </c>
      <c r="AW567" s="85" t="n">
        <v>119.8</v>
      </c>
      <c r="AX567" s="85" t="n">
        <v>9847.9</v>
      </c>
      <c r="AY567" s="85" t="n">
        <v>8716</v>
      </c>
      <c r="AZ567" s="85" t="n">
        <v>9380.4</v>
      </c>
      <c r="BA567" s="85" t="n">
        <v>357</v>
      </c>
      <c r="BB567" s="85" t="n">
        <v>695</v>
      </c>
      <c r="BC567" s="85" t="n">
        <v>699.5</v>
      </c>
      <c r="BD567" s="85" t="n">
        <v>76.8</v>
      </c>
      <c r="BE567" s="85" t="n">
        <v>38</v>
      </c>
      <c r="BF567" s="85" t="n">
        <v>97.2</v>
      </c>
      <c r="BG567" s="85" t="n">
        <v>1057.2</v>
      </c>
      <c r="BH567" s="85" t="n">
        <v>-1034.7</v>
      </c>
      <c r="BI567" s="85" t="n">
        <v>-113.8</v>
      </c>
      <c r="BJ567" s="91" t="inlineStr">
        <is>
          <t>N/A</t>
        </is>
      </c>
      <c r="BK567" s="91" t="inlineStr">
        <is>
          <t>N/A</t>
        </is>
      </c>
      <c r="BL567" s="85" t="n">
        <v>144.7</v>
      </c>
      <c r="BM567" s="85" t="n">
        <v>149.2</v>
      </c>
      <c r="BN567" s="91" t="inlineStr">
        <is>
          <t>N/A</t>
        </is>
      </c>
      <c r="BO567" s="85" t="n">
        <v>1074.9</v>
      </c>
      <c r="BP567" s="85" t="n">
        <v>902.1</v>
      </c>
      <c r="BQ567" s="85" t="n">
        <v>0</v>
      </c>
      <c r="BR567" s="85" t="n">
        <v>0</v>
      </c>
      <c r="BS567" s="91" t="inlineStr">
        <is>
          <t>N/A</t>
        </is>
      </c>
      <c r="BT567" s="91" t="inlineStr">
        <is>
          <t>N/A</t>
        </is>
      </c>
      <c r="BU567" s="91" t="inlineStr">
        <is>
          <t>N/A</t>
        </is>
      </c>
      <c r="BV567" s="91" t="inlineStr">
        <is>
          <t>N/A</t>
        </is>
      </c>
      <c r="BW567" s="85" t="n">
        <v>0</v>
      </c>
      <c r="BX567" s="85" t="n">
        <v>0</v>
      </c>
      <c r="BY567" s="85" t="n">
        <v>0</v>
      </c>
    </row>
    <row r="568" ht="17" customHeight="1">
      <c r="A568" s="86" t="n">
        <v>566</v>
      </c>
      <c r="B568" s="87" t="inlineStr">
        <is>
          <t>ATO</t>
        </is>
      </c>
      <c r="C568" s="88" t="inlineStr">
        <is>
          <t>ATMOS ENERGY CORP</t>
        </is>
      </c>
      <c r="D568" s="86" t="inlineStr">
        <is>
          <t>Utilities</t>
        </is>
      </c>
      <c r="E568" s="86" t="n">
        <v>2026</v>
      </c>
      <c r="F568" s="89" t="n">
        <v>28249.5</v>
      </c>
      <c r="G568" s="89" t="n">
        <v>1052.7</v>
      </c>
      <c r="H568" s="89" t="n">
        <v>1362.6</v>
      </c>
      <c r="I568" s="89" t="n">
        <v>28249.5</v>
      </c>
      <c r="J568" s="89" t="n">
        <v>4861.6</v>
      </c>
      <c r="K568" s="89" t="n">
        <v>1560</v>
      </c>
      <c r="L568" s="89" t="n">
        <v>4702.8</v>
      </c>
      <c r="M568" s="89" t="n">
        <v>1198.8</v>
      </c>
      <c r="N568" s="89" t="n">
        <v>2049.5</v>
      </c>
      <c r="O568" s="89" t="n">
        <v>1744.9</v>
      </c>
      <c r="P568" s="89" t="n">
        <v>3529.5</v>
      </c>
      <c r="Q568" s="89" t="n">
        <v>13558.9</v>
      </c>
      <c r="R568" s="90" t="inlineStr">
        <is>
          <t>N/A</t>
        </is>
      </c>
      <c r="S568" s="89" t="n">
        <v>734.7</v>
      </c>
      <c r="T568" s="89" t="n">
        <v>375.5</v>
      </c>
      <c r="U568" s="89" t="n">
        <v>6725.9</v>
      </c>
      <c r="V568" s="89" t="n">
        <v>137.3</v>
      </c>
      <c r="W568" s="89" t="n">
        <v>25194.5</v>
      </c>
      <c r="X568" s="89" t="n">
        <v>1132.3</v>
      </c>
      <c r="Y568" s="89" t="n">
        <v>1205.9</v>
      </c>
      <c r="Z568" s="89" t="n">
        <v>25194.5</v>
      </c>
      <c r="AA568" s="89" t="n">
        <v>1355.4</v>
      </c>
      <c r="AB568" s="89" t="n">
        <v>4165.2</v>
      </c>
      <c r="AC568" s="89" t="n">
        <v>1042.9</v>
      </c>
      <c r="AD568" s="89" t="n">
        <v>1733.7</v>
      </c>
      <c r="AE568" s="89" t="n">
        <v>376</v>
      </c>
      <c r="AF568" s="89" t="n">
        <v>2493.7</v>
      </c>
      <c r="AG568" s="89" t="n">
        <v>12157.7</v>
      </c>
      <c r="AH568" s="89" t="n">
        <v>4165.2</v>
      </c>
      <c r="AI568" s="89" t="n">
        <v>25194.5</v>
      </c>
      <c r="AJ568" s="89" t="n">
        <v>1478</v>
      </c>
      <c r="AK568" s="89" t="n">
        <v>1235.8</v>
      </c>
      <c r="AL568" s="89" t="n">
        <v>279.3</v>
      </c>
      <c r="AM568" s="89" t="n">
        <v>192.9</v>
      </c>
      <c r="AN568" s="89" t="n">
        <v>3561.4</v>
      </c>
      <c r="AO568" s="89" t="n">
        <v>2937.1</v>
      </c>
      <c r="AP568" s="90" t="inlineStr">
        <is>
          <t>N/A</t>
        </is>
      </c>
      <c r="AQ568" s="90" t="inlineStr">
        <is>
          <t>N/A</t>
        </is>
      </c>
      <c r="AR568" s="89" t="n">
        <v>731.3</v>
      </c>
      <c r="AS568" s="89" t="n">
        <v>75.09999999999999</v>
      </c>
      <c r="AT568" s="90" t="inlineStr">
        <is>
          <t>N/A</t>
        </is>
      </c>
      <c r="AU568" s="90" t="inlineStr">
        <is>
          <t>N/A</t>
        </is>
      </c>
      <c r="AV568" s="89" t="n">
        <v>202.7</v>
      </c>
      <c r="AW568" s="89" t="n">
        <v>307.3</v>
      </c>
      <c r="AX568" s="89" t="n">
        <v>3529.5</v>
      </c>
      <c r="AY568" s="89" t="n">
        <v>2735.6</v>
      </c>
      <c r="AZ568" s="89" t="n">
        <v>3326.8</v>
      </c>
      <c r="BA568" s="89" t="n">
        <v>-1511.9</v>
      </c>
      <c r="BB568" s="89" t="n">
        <v>161.6</v>
      </c>
      <c r="BC568" s="89" t="n">
        <v>155.3</v>
      </c>
      <c r="BD568" s="89" t="n">
        <v>365.9</v>
      </c>
      <c r="BE568" s="89" t="n">
        <v>6030.7</v>
      </c>
      <c r="BF568" s="90" t="inlineStr">
        <is>
          <t>N/A</t>
        </is>
      </c>
      <c r="BG568" s="89" t="n">
        <v>670</v>
      </c>
      <c r="BH568" s="89" t="n">
        <v>-3561.3</v>
      </c>
      <c r="BI568" s="89" t="n">
        <v>-2922.8</v>
      </c>
      <c r="BJ568" s="89" t="n">
        <v>506.5</v>
      </c>
      <c r="BK568" s="89" t="n">
        <v>445.4</v>
      </c>
      <c r="BL568" s="89" t="n">
        <v>56.2</v>
      </c>
      <c r="BM568" s="89" t="n">
        <v>62.1</v>
      </c>
      <c r="BN568" s="89" t="n">
        <v>238</v>
      </c>
      <c r="BO568" s="89" t="n">
        <v>1452.2</v>
      </c>
      <c r="BP568" s="89" t="n">
        <v>1682.7</v>
      </c>
      <c r="BQ568" s="89" t="n">
        <v>0</v>
      </c>
      <c r="BR568" s="89" t="n">
        <v>0</v>
      </c>
      <c r="BS568" s="90" t="inlineStr">
        <is>
          <t>N/A</t>
        </is>
      </c>
      <c r="BT568" s="90" t="inlineStr">
        <is>
          <t>N/A</t>
        </is>
      </c>
      <c r="BU568" s="89" t="n">
        <v>0</v>
      </c>
      <c r="BV568" s="89" t="n">
        <v>0</v>
      </c>
      <c r="BW568" s="89" t="n">
        <v>0</v>
      </c>
      <c r="BX568" s="89" t="n">
        <v>0</v>
      </c>
      <c r="BY568" s="89" t="n">
        <v>0</v>
      </c>
    </row>
    <row r="569" ht="17" customHeight="1">
      <c r="A569" s="82" t="n">
        <v>567</v>
      </c>
      <c r="B569" s="83" t="inlineStr">
        <is>
          <t>C</t>
        </is>
      </c>
      <c r="C569" s="84" t="inlineStr">
        <is>
          <t>Citigroup Inc</t>
        </is>
      </c>
      <c r="D569" s="82" t="inlineStr">
        <is>
          <t>Financials</t>
        </is>
      </c>
      <c r="E569" s="82" t="n">
        <v>2026</v>
      </c>
      <c r="F569" s="85" t="n">
        <v>2657202</v>
      </c>
      <c r="G569" s="91" t="inlineStr">
        <is>
          <t>N/A</t>
        </is>
      </c>
      <c r="H569" s="91" t="inlineStr">
        <is>
          <t>N/A</t>
        </is>
      </c>
      <c r="I569" s="85" t="n">
        <v>2443380</v>
      </c>
      <c r="J569" s="85" t="n">
        <v>215128</v>
      </c>
      <c r="K569" s="85" t="n">
        <v>19828</v>
      </c>
      <c r="L569" s="85" t="n">
        <v>85225</v>
      </c>
      <c r="M569" s="85" t="n">
        <v>14306</v>
      </c>
      <c r="N569" s="85" t="n">
        <v>-67632</v>
      </c>
      <c r="O569" s="85" t="n">
        <v>67730</v>
      </c>
      <c r="P569" s="85" t="n">
        <v>315827</v>
      </c>
      <c r="Q569" s="85" t="n">
        <v>212291</v>
      </c>
      <c r="R569" s="91" t="inlineStr">
        <is>
          <t>N/A</t>
        </is>
      </c>
      <c r="S569" s="85" t="n">
        <v>245</v>
      </c>
      <c r="T569" s="91" t="inlineStr">
        <is>
          <t>N/A</t>
        </is>
      </c>
      <c r="U569" s="91" t="inlineStr">
        <is>
          <t>N/A</t>
        </is>
      </c>
      <c r="V569" s="85" t="n">
        <v>78358</v>
      </c>
      <c r="W569" s="85" t="n">
        <v>2352945</v>
      </c>
      <c r="X569" s="91" t="inlineStr">
        <is>
          <t>N/A</t>
        </is>
      </c>
      <c r="Y569" s="91" t="inlineStr">
        <is>
          <t>N/A</t>
        </is>
      </c>
      <c r="Z569" s="85" t="n">
        <v>2143579</v>
      </c>
      <c r="AA569" s="85" t="n">
        <v>17046</v>
      </c>
      <c r="AB569" s="85" t="n">
        <v>81139</v>
      </c>
      <c r="AC569" s="85" t="n">
        <v>12682</v>
      </c>
      <c r="AD569" s="85" t="n">
        <v>-19669</v>
      </c>
      <c r="AE569" s="85" t="n">
        <v>81185</v>
      </c>
      <c r="AF569" s="85" t="n">
        <v>287300</v>
      </c>
      <c r="AG569" s="85" t="n">
        <v>208598</v>
      </c>
      <c r="AH569" s="85" t="n">
        <v>80722</v>
      </c>
      <c r="AI569" s="85" t="n">
        <v>2352945</v>
      </c>
      <c r="AJ569" s="85" t="n">
        <v>19828</v>
      </c>
      <c r="AK569" s="85" t="n">
        <v>17046</v>
      </c>
      <c r="AL569" s="85" t="n">
        <v>5373</v>
      </c>
      <c r="AM569" s="85" t="n">
        <v>4211</v>
      </c>
      <c r="AN569" s="85" t="n">
        <v>6520</v>
      </c>
      <c r="AO569" s="85" t="n">
        <v>6500</v>
      </c>
      <c r="AP569" s="91" t="inlineStr">
        <is>
          <t>N/A</t>
        </is>
      </c>
      <c r="AQ569" s="91" t="inlineStr">
        <is>
          <t>N/A</t>
        </is>
      </c>
      <c r="AR569" s="85" t="n">
        <v>19098</v>
      </c>
      <c r="AS569" s="85" t="n">
        <v>4284</v>
      </c>
      <c r="AT569" s="85" t="n">
        <v>51878</v>
      </c>
      <c r="AU569" s="91" t="inlineStr">
        <is>
          <t>N/A</t>
        </is>
      </c>
      <c r="AV569" s="85" t="n">
        <v>188105</v>
      </c>
      <c r="AW569" s="85" t="n">
        <v>180516</v>
      </c>
      <c r="AX569" s="85" t="n">
        <v>367705</v>
      </c>
      <c r="AY569" s="85" t="n">
        <v>335805</v>
      </c>
      <c r="AZ569" s="85" t="n">
        <v>179600</v>
      </c>
      <c r="BA569" s="85" t="n">
        <v>-74152</v>
      </c>
      <c r="BB569" s="85" t="n">
        <v>3099.8</v>
      </c>
      <c r="BC569" s="85" t="n">
        <v>3099.7</v>
      </c>
      <c r="BD569" s="91" t="inlineStr">
        <is>
          <t>N/A</t>
        </is>
      </c>
      <c r="BE569" s="91" t="inlineStr">
        <is>
          <t>N/A</t>
        </is>
      </c>
      <c r="BF569" s="91" t="inlineStr">
        <is>
          <t>N/A</t>
        </is>
      </c>
      <c r="BG569" s="85" t="n">
        <v>371</v>
      </c>
      <c r="BH569" s="85" t="n">
        <v>-108282</v>
      </c>
      <c r="BI569" s="85" t="n">
        <v>86250</v>
      </c>
      <c r="BJ569" s="91" t="inlineStr">
        <is>
          <t>N/A</t>
        </is>
      </c>
      <c r="BK569" s="91" t="inlineStr">
        <is>
          <t>N/A</t>
        </is>
      </c>
      <c r="BL569" s="91" t="inlineStr">
        <is>
          <t>N/A</t>
        </is>
      </c>
      <c r="BM569" s="91" t="inlineStr">
        <is>
          <t>N/A</t>
        </is>
      </c>
      <c r="BN569" s="91" t="inlineStr">
        <is>
          <t>N/A</t>
        </is>
      </c>
      <c r="BO569" s="85" t="n">
        <v>17495</v>
      </c>
      <c r="BP569" s="85" t="n">
        <v>-46</v>
      </c>
      <c r="BQ569" s="91" t="inlineStr">
        <is>
          <t>N/A</t>
        </is>
      </c>
      <c r="BR569" s="91" t="inlineStr">
        <is>
          <t>N/A</t>
        </is>
      </c>
      <c r="BS569" s="91" t="inlineStr">
        <is>
          <t>N/A</t>
        </is>
      </c>
      <c r="BT569" s="91" t="inlineStr">
        <is>
          <t>N/A</t>
        </is>
      </c>
      <c r="BU569" s="91" t="inlineStr">
        <is>
          <t>N/A</t>
        </is>
      </c>
      <c r="BV569" s="91" t="inlineStr">
        <is>
          <t>N/A</t>
        </is>
      </c>
      <c r="BW569" s="85" t="n">
        <v>0</v>
      </c>
      <c r="BX569" s="85" t="n">
        <v>-0</v>
      </c>
      <c r="BY569" s="85" t="n">
        <v>0</v>
      </c>
    </row>
    <row r="570" ht="17" customHeight="1">
      <c r="A570" s="86" t="n">
        <v>568</v>
      </c>
      <c r="B570" s="87" t="inlineStr">
        <is>
          <t>SHW</t>
        </is>
      </c>
      <c r="C570" s="88" t="inlineStr">
        <is>
          <t>THE SHERWIN-WILLIAMS COMPANY</t>
        </is>
      </c>
      <c r="D570" s="86" t="inlineStr">
        <is>
          <t>Materials</t>
        </is>
      </c>
      <c r="E570" s="86" t="n">
        <v>2026</v>
      </c>
      <c r="F570" s="89" t="n">
        <v>25901.7</v>
      </c>
      <c r="G570" s="89" t="n">
        <v>6007.4</v>
      </c>
      <c r="H570" s="89" t="n">
        <v>6920.3</v>
      </c>
      <c r="I570" s="89" t="n">
        <v>25901.7</v>
      </c>
      <c r="J570" s="89" t="n">
        <v>1029.4</v>
      </c>
      <c r="K570" s="89" t="n">
        <v>4161.7</v>
      </c>
      <c r="L570" s="89" t="n">
        <v>17900.8</v>
      </c>
      <c r="M570" s="89" t="n">
        <v>2568.5</v>
      </c>
      <c r="N570" s="89" t="n">
        <v>3451.6</v>
      </c>
      <c r="O570" s="89" t="n">
        <v>11515.5</v>
      </c>
      <c r="P570" s="89" t="n">
        <v>9670.799999999999</v>
      </c>
      <c r="Q570" s="89" t="n">
        <v>4598.3</v>
      </c>
      <c r="R570" s="89" t="n">
        <v>7695</v>
      </c>
      <c r="S570" s="89" t="n">
        <v>340.3</v>
      </c>
      <c r="T570" s="89" t="n">
        <v>2791.2</v>
      </c>
      <c r="U570" s="89" t="n">
        <v>4137.4</v>
      </c>
      <c r="V570" s="89" t="n">
        <v>417.5</v>
      </c>
      <c r="W570" s="89" t="n">
        <v>23632.6</v>
      </c>
      <c r="X570" s="89" t="n">
        <v>5400.8</v>
      </c>
      <c r="Y570" s="89" t="n">
        <v>6808.7</v>
      </c>
      <c r="Z570" s="89" t="n">
        <v>23632.6</v>
      </c>
      <c r="AA570" s="89" t="n">
        <v>3397.2</v>
      </c>
      <c r="AB570" s="89" t="n">
        <v>4114.4</v>
      </c>
      <c r="AC570" s="89" t="n">
        <v>2681.4</v>
      </c>
      <c r="AD570" s="89" t="n">
        <v>3153.2</v>
      </c>
      <c r="AE570" s="89" t="n">
        <v>11195.1</v>
      </c>
      <c r="AF570" s="89" t="n">
        <v>9226</v>
      </c>
      <c r="AG570" s="89" t="n">
        <v>4051.2</v>
      </c>
      <c r="AH570" s="89" t="n">
        <v>4867.7</v>
      </c>
      <c r="AI570" s="89" t="n">
        <v>23632.6</v>
      </c>
      <c r="AJ570" s="89" t="n">
        <v>3338.2</v>
      </c>
      <c r="AK570" s="89" t="n">
        <v>3451.8</v>
      </c>
      <c r="AL570" s="89" t="n">
        <v>769.7</v>
      </c>
      <c r="AM570" s="89" t="n">
        <v>770.4</v>
      </c>
      <c r="AN570" s="89" t="n">
        <v>125.2</v>
      </c>
      <c r="AO570" s="89" t="n">
        <v>91.3</v>
      </c>
      <c r="AP570" s="89" t="n">
        <v>2318.2</v>
      </c>
      <c r="AQ570" s="89" t="n">
        <v>2288.1</v>
      </c>
      <c r="AR570" s="89" t="n">
        <v>8036.6</v>
      </c>
      <c r="AS570" s="89" t="n">
        <v>3172.2</v>
      </c>
      <c r="AT570" s="89" t="n">
        <v>1200.5</v>
      </c>
      <c r="AU570" s="89" t="n">
        <v>51.9</v>
      </c>
      <c r="AV570" s="89" t="n">
        <v>207.2</v>
      </c>
      <c r="AW570" s="89" t="n">
        <v>210.4</v>
      </c>
      <c r="AX570" s="89" t="n">
        <v>10871.3</v>
      </c>
      <c r="AY570" s="89" t="n">
        <v>9888.4</v>
      </c>
      <c r="AZ570" s="89" t="n">
        <v>10664.1</v>
      </c>
      <c r="BA570" s="89" t="n">
        <v>3326.4</v>
      </c>
      <c r="BB570" s="89" t="n">
        <v>247.7</v>
      </c>
      <c r="BC570" s="89" t="n">
        <v>251.3</v>
      </c>
      <c r="BD570" s="89" t="n">
        <v>2388.8</v>
      </c>
      <c r="BE570" s="89" t="n">
        <v>3533.2</v>
      </c>
      <c r="BF570" s="89" t="n">
        <v>7422.1</v>
      </c>
      <c r="BG570" s="89" t="n">
        <v>297.4</v>
      </c>
      <c r="BH570" s="89" t="n">
        <v>-2066.3</v>
      </c>
      <c r="BI570" s="89" t="n">
        <v>-1196.3</v>
      </c>
      <c r="BJ570" s="89" t="n">
        <v>2354.2</v>
      </c>
      <c r="BK570" s="89" t="n">
        <v>2253.2</v>
      </c>
      <c r="BL570" s="89" t="n">
        <v>427.3</v>
      </c>
      <c r="BM570" s="89" t="n">
        <v>386.2</v>
      </c>
      <c r="BN570" s="89" t="n">
        <v>81.09999999999999</v>
      </c>
      <c r="BO570" s="89" t="n">
        <v>12058.8</v>
      </c>
      <c r="BP570" s="89" t="n">
        <v>11903.4</v>
      </c>
      <c r="BQ570" s="89" t="n">
        <v>0</v>
      </c>
      <c r="BR570" s="89" t="n">
        <v>0</v>
      </c>
      <c r="BS570" s="89" t="n">
        <v>0</v>
      </c>
      <c r="BT570" s="89" t="n">
        <v>0</v>
      </c>
      <c r="BU570" s="89" t="n">
        <v>0</v>
      </c>
      <c r="BV570" s="89" t="n">
        <v>0</v>
      </c>
      <c r="BW570" s="89" t="n">
        <v>0</v>
      </c>
      <c r="BX570" s="89" t="n">
        <v>0</v>
      </c>
      <c r="BY570" s="89" t="n">
        <v>0</v>
      </c>
    </row>
    <row r="571" ht="17" customHeight="1">
      <c r="A571" s="82" t="n">
        <v>569</v>
      </c>
      <c r="B571" s="83" t="inlineStr">
        <is>
          <t>AES</t>
        </is>
      </c>
      <c r="C571" s="84" t="inlineStr">
        <is>
          <t>AES CORP</t>
        </is>
      </c>
      <c r="D571" s="82" t="inlineStr">
        <is>
          <t>Utilities</t>
        </is>
      </c>
      <c r="E571" s="82" t="n">
        <v>2026</v>
      </c>
      <c r="F571" s="85" t="n">
        <v>51768</v>
      </c>
      <c r="G571" s="85" t="n">
        <v>6502</v>
      </c>
      <c r="H571" s="85" t="n">
        <v>8492</v>
      </c>
      <c r="I571" s="85" t="n">
        <v>51768</v>
      </c>
      <c r="J571" s="85" t="n">
        <v>641</v>
      </c>
      <c r="K571" s="85" t="n">
        <v>96</v>
      </c>
      <c r="L571" s="85" t="n">
        <v>12233</v>
      </c>
      <c r="M571" s="85" t="n">
        <v>910</v>
      </c>
      <c r="N571" s="85" t="n">
        <v>4306</v>
      </c>
      <c r="O571" s="85" t="n">
        <v>2211</v>
      </c>
      <c r="P571" s="91" t="inlineStr">
        <is>
          <t>N/A</t>
        </is>
      </c>
      <c r="Q571" s="85" t="n">
        <v>4063</v>
      </c>
      <c r="R571" s="85" t="n">
        <v>241</v>
      </c>
      <c r="S571" s="85" t="n">
        <v>1457</v>
      </c>
      <c r="T571" s="85" t="n">
        <v>1683</v>
      </c>
      <c r="U571" s="85" t="n">
        <v>37818</v>
      </c>
      <c r="V571" s="85" t="n">
        <v>1407</v>
      </c>
      <c r="W571" s="85" t="n">
        <v>47406</v>
      </c>
      <c r="X571" s="85" t="n">
        <v>6831</v>
      </c>
      <c r="Y571" s="85" t="n">
        <v>8571</v>
      </c>
      <c r="Z571" s="85" t="n">
        <v>47406</v>
      </c>
      <c r="AA571" s="85" t="n">
        <v>-644</v>
      </c>
      <c r="AB571" s="85" t="n">
        <v>12278</v>
      </c>
      <c r="AC571" s="85" t="n">
        <v>1679</v>
      </c>
      <c r="AD571" s="85" t="n">
        <v>2752</v>
      </c>
      <c r="AE571" s="85" t="n">
        <v>2314</v>
      </c>
      <c r="AF571" s="91" t="inlineStr">
        <is>
          <t>N/A</t>
        </is>
      </c>
      <c r="AG571" s="85" t="n">
        <v>3644</v>
      </c>
      <c r="AH571" s="85" t="n">
        <v>12278</v>
      </c>
      <c r="AI571" s="85" t="n">
        <v>47406</v>
      </c>
      <c r="AJ571" s="85" t="n">
        <v>96</v>
      </c>
      <c r="AK571" s="85" t="n">
        <v>-644</v>
      </c>
      <c r="AL571" s="85" t="n">
        <v>-181</v>
      </c>
      <c r="AM571" s="85" t="n">
        <v>59</v>
      </c>
      <c r="AN571" s="85" t="n">
        <v>5929</v>
      </c>
      <c r="AO571" s="85" t="n">
        <v>7392</v>
      </c>
      <c r="AP571" s="85" t="n">
        <v>612</v>
      </c>
      <c r="AQ571" s="85" t="n">
        <v>593</v>
      </c>
      <c r="AR571" s="85" t="n">
        <v>342</v>
      </c>
      <c r="AS571" s="85" t="n">
        <v>2031</v>
      </c>
      <c r="AT571" s="91" t="inlineStr">
        <is>
          <t>N/A</t>
        </is>
      </c>
      <c r="AU571" s="91" t="inlineStr">
        <is>
          <t>N/A</t>
        </is>
      </c>
      <c r="AV571" s="85" t="n">
        <v>1382</v>
      </c>
      <c r="AW571" s="85" t="n">
        <v>1524</v>
      </c>
      <c r="AX571" s="91" t="inlineStr">
        <is>
          <t>N/A</t>
        </is>
      </c>
      <c r="AY571" s="91" t="inlineStr">
        <is>
          <t>N/A</t>
        </is>
      </c>
      <c r="AZ571" s="91" t="inlineStr">
        <is>
          <t>N/A</t>
        </is>
      </c>
      <c r="BA571" s="85" t="n">
        <v>-1623</v>
      </c>
      <c r="BB571" s="85" t="n">
        <v>712.2</v>
      </c>
      <c r="BC571" s="85" t="n">
        <v>711.1</v>
      </c>
      <c r="BD571" s="85" t="n">
        <v>11</v>
      </c>
      <c r="BE571" s="85" t="n">
        <v>33166</v>
      </c>
      <c r="BF571" s="85" t="n">
        <v>288</v>
      </c>
      <c r="BG571" s="85" t="n">
        <v>1264</v>
      </c>
      <c r="BH571" s="85" t="n">
        <v>-6210</v>
      </c>
      <c r="BI571" s="85" t="n">
        <v>-7700</v>
      </c>
      <c r="BJ571" s="85" t="n">
        <v>1980</v>
      </c>
      <c r="BK571" s="85" t="n">
        <v>1654</v>
      </c>
      <c r="BL571" s="85" t="n">
        <v>245</v>
      </c>
      <c r="BM571" s="85" t="n">
        <v>237</v>
      </c>
      <c r="BN571" s="85" t="n">
        <v>117</v>
      </c>
      <c r="BO571" s="85" t="n">
        <v>10022</v>
      </c>
      <c r="BP571" s="85" t="n">
        <v>9964</v>
      </c>
      <c r="BQ571" s="85" t="n">
        <v>0</v>
      </c>
      <c r="BR571" s="85" t="n">
        <v>0</v>
      </c>
      <c r="BS571" s="85" t="n">
        <v>0</v>
      </c>
      <c r="BT571" s="85" t="n">
        <v>0</v>
      </c>
      <c r="BU571" s="85" t="n">
        <v>0</v>
      </c>
      <c r="BV571" s="85" t="n">
        <v>0</v>
      </c>
      <c r="BW571" s="85" t="n">
        <v>0</v>
      </c>
      <c r="BX571" s="85" t="n">
        <v>0</v>
      </c>
      <c r="BY571" s="85" t="n">
        <v>-0</v>
      </c>
    </row>
    <row r="572" ht="17" customHeight="1">
      <c r="A572" s="86" t="n">
        <v>570</v>
      </c>
      <c r="B572" s="87" t="inlineStr">
        <is>
          <t>ZS</t>
        </is>
      </c>
      <c r="C572" s="88" t="inlineStr">
        <is>
          <t>ZSCALER, INC.</t>
        </is>
      </c>
      <c r="D572" s="86" t="inlineStr">
        <is>
          <t>Information Technology</t>
        </is>
      </c>
      <c r="E572" s="86" t="n">
        <v>2026</v>
      </c>
      <c r="F572" s="89" t="n">
        <v>6419.9</v>
      </c>
      <c r="G572" s="89" t="n">
        <v>4894.3</v>
      </c>
      <c r="H572" s="89" t="n">
        <v>2429.6</v>
      </c>
      <c r="I572" s="89" t="n">
        <v>4620.6</v>
      </c>
      <c r="J572" s="89" t="n">
        <v>-1189.6</v>
      </c>
      <c r="K572" s="89" t="n">
        <v>-128.5</v>
      </c>
      <c r="L572" s="89" t="n">
        <v>2673.1</v>
      </c>
      <c r="M572" s="89" t="n">
        <v>-41.5</v>
      </c>
      <c r="N572" s="89" t="n">
        <v>972.5</v>
      </c>
      <c r="O572" s="89" t="n">
        <v>2054.9</v>
      </c>
      <c r="P572" s="89" t="n">
        <v>1142.3</v>
      </c>
      <c r="Q572" s="89" t="n">
        <v>1799.3</v>
      </c>
      <c r="R572" s="89" t="n">
        <v>251.8</v>
      </c>
      <c r="S572" s="89" t="n">
        <v>16.8</v>
      </c>
      <c r="T572" s="89" t="n">
        <v>992.2</v>
      </c>
      <c r="U572" s="89" t="n">
        <v>543.4</v>
      </c>
      <c r="V572" s="89" t="n">
        <v>6.5</v>
      </c>
      <c r="W572" s="89" t="n">
        <v>4705</v>
      </c>
      <c r="X572" s="89" t="n">
        <v>3396.6</v>
      </c>
      <c r="Y572" s="89" t="n">
        <v>3112.9</v>
      </c>
      <c r="Z572" s="89" t="n">
        <v>3430.9</v>
      </c>
      <c r="AA572" s="89" t="n">
        <v>-121.5</v>
      </c>
      <c r="AB572" s="89" t="n">
        <v>2167.8</v>
      </c>
      <c r="AC572" s="89" t="n">
        <v>-57.7</v>
      </c>
      <c r="AD572" s="89" t="n">
        <v>779.8</v>
      </c>
      <c r="AE572" s="89" t="n">
        <v>1690.6</v>
      </c>
      <c r="AF572" s="89" t="n">
        <v>1134.2</v>
      </c>
      <c r="AG572" s="89" t="n">
        <v>1274.1</v>
      </c>
      <c r="AH572" s="89" t="n">
        <v>2167.8</v>
      </c>
      <c r="AI572" s="89" t="n">
        <v>4705</v>
      </c>
      <c r="AJ572" s="89" t="n">
        <v>-18.3</v>
      </c>
      <c r="AK572" s="89" t="n">
        <v>-29.2</v>
      </c>
      <c r="AL572" s="89" t="n">
        <v>23.2</v>
      </c>
      <c r="AM572" s="89" t="n">
        <v>28.5</v>
      </c>
      <c r="AN572" s="89" t="n">
        <v>164.3</v>
      </c>
      <c r="AO572" s="89" t="n">
        <v>144.6</v>
      </c>
      <c r="AP572" s="90" t="inlineStr">
        <is>
          <t>N/A</t>
        </is>
      </c>
      <c r="AQ572" s="90" t="inlineStr">
        <is>
          <t>N/A</t>
        </is>
      </c>
      <c r="AR572" s="89" t="n">
        <v>417.7</v>
      </c>
      <c r="AS572" s="89" t="n">
        <v>47.3</v>
      </c>
      <c r="AT572" s="90" t="inlineStr">
        <is>
          <t>N/A</t>
        </is>
      </c>
      <c r="AU572" s="89" t="n">
        <v>672.5</v>
      </c>
      <c r="AV572" s="89" t="n">
        <v>2389</v>
      </c>
      <c r="AW572" s="89" t="n">
        <v>1423.1</v>
      </c>
      <c r="AX572" s="89" t="n">
        <v>1142.3</v>
      </c>
      <c r="AY572" s="89" t="n">
        <v>1134.2</v>
      </c>
      <c r="AZ572" s="89" t="n">
        <v>-1246.7</v>
      </c>
      <c r="BA572" s="89" t="n">
        <v>808.2</v>
      </c>
      <c r="BB572" s="89" t="n">
        <v>158.3</v>
      </c>
      <c r="BC572" s="89" t="n">
        <v>152.5</v>
      </c>
      <c r="BD572" s="89" t="n">
        <v>736.5</v>
      </c>
      <c r="BE572" s="89" t="n">
        <v>383.1</v>
      </c>
      <c r="BF572" s="89" t="n">
        <v>212.1</v>
      </c>
      <c r="BG572" s="89" t="n">
        <v>14.6</v>
      </c>
      <c r="BH572" s="89" t="n">
        <v>-427</v>
      </c>
      <c r="BI572" s="89" t="n">
        <v>-683.2</v>
      </c>
      <c r="BJ572" s="89" t="n">
        <v>46.9</v>
      </c>
      <c r="BK572" s="89" t="n">
        <v>23.3</v>
      </c>
      <c r="BL572" s="89" t="n">
        <v>2054.4</v>
      </c>
      <c r="BM572" s="89" t="n">
        <v>1643.9</v>
      </c>
      <c r="BN572" s="90" t="inlineStr">
        <is>
          <t>N/A</t>
        </is>
      </c>
      <c r="BO572" s="89" t="n">
        <v>13.8</v>
      </c>
      <c r="BP572" s="89" t="n">
        <v>13.8</v>
      </c>
      <c r="BQ572" s="89" t="n">
        <v>0</v>
      </c>
      <c r="BR572" s="89" t="n">
        <v>0</v>
      </c>
      <c r="BS572" s="90" t="inlineStr">
        <is>
          <t>N/A</t>
        </is>
      </c>
      <c r="BT572" s="90" t="inlineStr">
        <is>
          <t>N/A</t>
        </is>
      </c>
      <c r="BU572" s="89" t="n">
        <v>0</v>
      </c>
      <c r="BV572" s="89" t="n">
        <v>0</v>
      </c>
      <c r="BW572" s="89" t="n">
        <v>0</v>
      </c>
      <c r="BX572" s="89" t="n">
        <v>0</v>
      </c>
      <c r="BY572" s="89" t="n">
        <v>-0</v>
      </c>
    </row>
    <row r="573" ht="17" customHeight="1">
      <c r="A573" s="82" t="n">
        <v>571</v>
      </c>
      <c r="B573" s="83" t="inlineStr">
        <is>
          <t>NWL</t>
        </is>
      </c>
      <c r="C573" s="84" t="inlineStr">
        <is>
          <t>NEWELL BRANDS INC.</t>
        </is>
      </c>
      <c r="D573" s="82" t="inlineStr">
        <is>
          <t>Consumer Staples</t>
        </is>
      </c>
      <c r="E573" s="82" t="n">
        <v>2026</v>
      </c>
      <c r="F573" s="85" t="n">
        <v>10715</v>
      </c>
      <c r="G573" s="85" t="n">
        <v>2708</v>
      </c>
      <c r="H573" s="85" t="n">
        <v>2525</v>
      </c>
      <c r="I573" s="85" t="n">
        <v>8324</v>
      </c>
      <c r="J573" s="85" t="n">
        <v>-3227</v>
      </c>
      <c r="K573" s="85" t="n">
        <v>39</v>
      </c>
      <c r="L573" s="85" t="n">
        <v>14742.2</v>
      </c>
      <c r="M573" s="85" t="n">
        <v>-285</v>
      </c>
      <c r="N573" s="85" t="n">
        <v>264</v>
      </c>
      <c r="O573" s="85" t="n">
        <v>2432</v>
      </c>
      <c r="P573" s="85" t="n">
        <v>11892.8</v>
      </c>
      <c r="Q573" s="85" t="n">
        <v>2391</v>
      </c>
      <c r="R573" s="85" t="n">
        <v>1985</v>
      </c>
      <c r="S573" s="85" t="n">
        <v>172.3</v>
      </c>
      <c r="T573" s="85" t="n">
        <v>987</v>
      </c>
      <c r="U573" s="85" t="n">
        <v>1176</v>
      </c>
      <c r="V573" s="85" t="n">
        <v>283</v>
      </c>
      <c r="W573" s="85" t="n">
        <v>11004</v>
      </c>
      <c r="X573" s="85" t="n">
        <v>2775</v>
      </c>
      <c r="Y573" s="85" t="n">
        <v>2437</v>
      </c>
      <c r="Z573" s="85" t="n">
        <v>8253</v>
      </c>
      <c r="AA573" s="85" t="n">
        <v>67</v>
      </c>
      <c r="AB573" s="85" t="n">
        <v>13264</v>
      </c>
      <c r="AC573" s="85" t="n">
        <v>-216</v>
      </c>
      <c r="AD573" s="85" t="n">
        <v>496</v>
      </c>
      <c r="AE573" s="85" t="n">
        <v>2548</v>
      </c>
      <c r="AF573" s="85" t="n">
        <v>3076.4</v>
      </c>
      <c r="AG573" s="85" t="n">
        <v>2751</v>
      </c>
      <c r="AH573" s="85" t="n">
        <v>13264</v>
      </c>
      <c r="AI573" s="85" t="n">
        <v>11004</v>
      </c>
      <c r="AJ573" s="85" t="n">
        <v>-301</v>
      </c>
      <c r="AK573" s="85" t="n">
        <v>-260</v>
      </c>
      <c r="AL573" s="85" t="n">
        <v>-16</v>
      </c>
      <c r="AM573" s="85" t="n">
        <v>-44</v>
      </c>
      <c r="AN573" s="91" t="inlineStr">
        <is>
          <t>N/A</t>
        </is>
      </c>
      <c r="AO573" s="85" t="n">
        <v>259</v>
      </c>
      <c r="AP573" s="85" t="n">
        <v>1281</v>
      </c>
      <c r="AQ573" s="85" t="n">
        <v>1400</v>
      </c>
      <c r="AR573" s="85" t="n">
        <v>3101</v>
      </c>
      <c r="AS573" s="85" t="n">
        <v>2649</v>
      </c>
      <c r="AT573" s="85" t="n">
        <v>662.8</v>
      </c>
      <c r="AU573" s="85" t="n">
        <v>114</v>
      </c>
      <c r="AV573" s="85" t="n">
        <v>203</v>
      </c>
      <c r="AW573" s="85" t="n">
        <v>198</v>
      </c>
      <c r="AX573" s="85" t="n">
        <v>12555.6</v>
      </c>
      <c r="AY573" s="85" t="n">
        <v>3678.3</v>
      </c>
      <c r="AZ573" s="85" t="n">
        <v>12352.6</v>
      </c>
      <c r="BA573" s="85" t="n">
        <v>264</v>
      </c>
      <c r="BB573" s="85" t="n">
        <v>447.1</v>
      </c>
      <c r="BC573" s="85" t="n">
        <v>442.3</v>
      </c>
      <c r="BD573" s="85" t="n">
        <v>878</v>
      </c>
      <c r="BE573" s="85" t="n">
        <v>1154.9</v>
      </c>
      <c r="BF573" s="85" t="n">
        <v>2083</v>
      </c>
      <c r="BG573" s="85" t="n">
        <v>175.1</v>
      </c>
      <c r="BH573" s="85" t="n">
        <v>-164</v>
      </c>
      <c r="BI573" s="85" t="n">
        <v>-151</v>
      </c>
      <c r="BJ573" s="85" t="n">
        <v>931</v>
      </c>
      <c r="BK573" s="85" t="n">
        <v>891</v>
      </c>
      <c r="BL573" s="85" t="n">
        <v>180.4</v>
      </c>
      <c r="BM573" s="85" t="n">
        <v>187.5</v>
      </c>
      <c r="BN573" s="85" t="n">
        <v>23</v>
      </c>
      <c r="BO573" s="85" t="n">
        <v>4772</v>
      </c>
      <c r="BP573" s="85" t="n">
        <v>5034</v>
      </c>
      <c r="BQ573" s="85" t="n">
        <v>0</v>
      </c>
      <c r="BR573" s="85" t="n">
        <v>0</v>
      </c>
      <c r="BS573" s="85" t="n">
        <v>0</v>
      </c>
      <c r="BT573" s="85" t="n">
        <v>0</v>
      </c>
      <c r="BU573" s="85" t="n">
        <v>0</v>
      </c>
      <c r="BV573" s="85" t="n">
        <v>0</v>
      </c>
      <c r="BW573" s="85" t="n">
        <v>0</v>
      </c>
      <c r="BX573" s="85" t="n">
        <v>0</v>
      </c>
      <c r="BY573" s="85" t="n">
        <v>0</v>
      </c>
    </row>
    <row r="574" ht="17" customHeight="1">
      <c r="A574" s="86" t="n">
        <v>572</v>
      </c>
      <c r="B574" s="87" t="inlineStr">
        <is>
          <t>TEAM</t>
        </is>
      </c>
      <c r="C574" s="88" t="inlineStr">
        <is>
          <t>Atlassian Corporation</t>
        </is>
      </c>
      <c r="D574" s="86" t="inlineStr">
        <is>
          <t>Information Technology</t>
        </is>
      </c>
      <c r="E574" s="86" t="n">
        <v>2026</v>
      </c>
      <c r="F574" s="89" t="n">
        <v>6042</v>
      </c>
      <c r="G574" s="89" t="n">
        <v>3891.2</v>
      </c>
      <c r="H574" s="89" t="n">
        <v>3180.9</v>
      </c>
      <c r="I574" s="89" t="n">
        <v>4696.3</v>
      </c>
      <c r="J574" s="89" t="n">
        <v>-4241.9</v>
      </c>
      <c r="K574" s="89" t="n">
        <v>-130.4</v>
      </c>
      <c r="L574" s="89" t="n">
        <v>5215.3</v>
      </c>
      <c r="M574" s="89" t="n">
        <v>-256.7</v>
      </c>
      <c r="N574" s="89" t="n">
        <v>1460.4</v>
      </c>
      <c r="O574" s="89" t="n">
        <v>4320.5</v>
      </c>
      <c r="P574" s="89" t="n">
        <v>987.7</v>
      </c>
      <c r="Q574" s="89" t="n">
        <v>1345.7</v>
      </c>
      <c r="R574" s="89" t="n">
        <v>647</v>
      </c>
      <c r="S574" s="89" t="n">
        <v>92.40000000000001</v>
      </c>
      <c r="T574" s="89" t="n">
        <v>778.3</v>
      </c>
      <c r="U574" s="89" t="n">
        <v>105.1</v>
      </c>
      <c r="V574" s="89" t="n">
        <v>30.1</v>
      </c>
      <c r="W574" s="89" t="n">
        <v>5212.1</v>
      </c>
      <c r="X574" s="89" t="n">
        <v>3076.3</v>
      </c>
      <c r="Y574" s="89" t="n">
        <v>2610.1</v>
      </c>
      <c r="Z574" s="89" t="n">
        <v>4179.3</v>
      </c>
      <c r="AA574" s="89" t="n">
        <v>-117.1</v>
      </c>
      <c r="AB574" s="89" t="n">
        <v>4358.6</v>
      </c>
      <c r="AC574" s="89" t="n">
        <v>-300.5</v>
      </c>
      <c r="AD574" s="89" t="n">
        <v>1448.2</v>
      </c>
      <c r="AE574" s="89" t="n">
        <v>3555.1</v>
      </c>
      <c r="AF574" s="89" t="n">
        <v>985.9</v>
      </c>
      <c r="AG574" s="89" t="n">
        <v>1032.9</v>
      </c>
      <c r="AH574" s="89" t="n">
        <v>4358.6</v>
      </c>
      <c r="AI574" s="89" t="n">
        <v>5212.1</v>
      </c>
      <c r="AJ574" s="89" t="n">
        <v>-98.90000000000001</v>
      </c>
      <c r="AK574" s="89" t="n">
        <v>-85.40000000000001</v>
      </c>
      <c r="AL574" s="89" t="n">
        <v>157.8</v>
      </c>
      <c r="AM574" s="89" t="n">
        <v>215.1</v>
      </c>
      <c r="AN574" s="89" t="n">
        <v>44.9</v>
      </c>
      <c r="AO574" s="89" t="n">
        <v>32.6</v>
      </c>
      <c r="AP574" s="90" t="inlineStr">
        <is>
          <t>N/A</t>
        </is>
      </c>
      <c r="AQ574" s="90" t="inlineStr">
        <is>
          <t>N/A</t>
        </is>
      </c>
      <c r="AR574" s="89" t="n">
        <v>1304.4</v>
      </c>
      <c r="AS574" s="89" t="n">
        <v>244.8</v>
      </c>
      <c r="AT574" s="90" t="inlineStr">
        <is>
          <t>N/A</t>
        </is>
      </c>
      <c r="AU574" s="89" t="n">
        <v>2669.3</v>
      </c>
      <c r="AV574" s="89" t="n">
        <v>2512.9</v>
      </c>
      <c r="AW574" s="89" t="n">
        <v>2176.9</v>
      </c>
      <c r="AX574" s="89" t="n">
        <v>987.7</v>
      </c>
      <c r="AY574" s="89" t="n">
        <v>985.9</v>
      </c>
      <c r="AZ574" s="89" t="n">
        <v>-1525.2</v>
      </c>
      <c r="BA574" s="89" t="n">
        <v>1415.5</v>
      </c>
      <c r="BB574" s="90" t="inlineStr">
        <is>
          <t>N/A</t>
        </is>
      </c>
      <c r="BC574" s="90" t="inlineStr">
        <is>
          <t>N/A</t>
        </is>
      </c>
      <c r="BD574" s="89" t="n">
        <v>628</v>
      </c>
      <c r="BE574" s="89" t="n">
        <v>86.3</v>
      </c>
      <c r="BF574" s="89" t="n">
        <v>610.6</v>
      </c>
      <c r="BG574" s="89" t="n">
        <v>78.7</v>
      </c>
      <c r="BH574" s="89" t="n">
        <v>-342.3</v>
      </c>
      <c r="BI574" s="89" t="n">
        <v>-963.7</v>
      </c>
      <c r="BJ574" s="89" t="n">
        <v>222.1</v>
      </c>
      <c r="BK574" s="89" t="n">
        <v>177.5</v>
      </c>
      <c r="BL574" s="89" t="n">
        <v>2227</v>
      </c>
      <c r="BM574" s="89" t="n">
        <v>1806.3</v>
      </c>
      <c r="BN574" s="89" t="n">
        <v>36.7</v>
      </c>
      <c r="BO574" s="89" t="n">
        <v>894.9</v>
      </c>
      <c r="BP574" s="89" t="n">
        <v>803.5</v>
      </c>
      <c r="BQ574" s="89" t="n">
        <v>0</v>
      </c>
      <c r="BR574" s="89" t="n">
        <v>0</v>
      </c>
      <c r="BS574" s="90" t="inlineStr">
        <is>
          <t>N/A</t>
        </is>
      </c>
      <c r="BT574" s="90" t="inlineStr">
        <is>
          <t>N/A</t>
        </is>
      </c>
      <c r="BU574" s="89" t="n">
        <v>0</v>
      </c>
      <c r="BV574" s="89" t="n">
        <v>0</v>
      </c>
      <c r="BW574" s="89" t="n">
        <v>0</v>
      </c>
      <c r="BX574" s="89" t="n">
        <v>0</v>
      </c>
      <c r="BY574" s="89" t="n">
        <v>-0</v>
      </c>
    </row>
    <row r="575" ht="17" customHeight="1">
      <c r="A575" s="82" t="n">
        <v>573</v>
      </c>
      <c r="B575" s="83" t="inlineStr">
        <is>
          <t>PCTY</t>
        </is>
      </c>
      <c r="C575" s="84" t="inlineStr">
        <is>
          <t>PAYLOCITY HOLDING CORPORATION</t>
        </is>
      </c>
      <c r="D575" s="82" t="inlineStr">
        <is>
          <t>Information Technology</t>
        </is>
      </c>
      <c r="E575" s="82" t="n">
        <v>2026</v>
      </c>
      <c r="F575" s="85" t="n">
        <v>4389.4</v>
      </c>
      <c r="G575" s="85" t="n">
        <v>3312</v>
      </c>
      <c r="H575" s="85" t="n">
        <v>2905.3</v>
      </c>
      <c r="I575" s="85" t="n">
        <v>3155.7</v>
      </c>
      <c r="J575" s="85" t="n">
        <v>900.6</v>
      </c>
      <c r="K575" s="85" t="n">
        <v>304</v>
      </c>
      <c r="L575" s="85" t="n">
        <v>1595.2</v>
      </c>
      <c r="M575" s="85" t="n">
        <v>227.1</v>
      </c>
      <c r="N575" s="85" t="n">
        <v>418.2</v>
      </c>
      <c r="O575" s="85" t="n">
        <v>1097</v>
      </c>
      <c r="P575" s="85" t="n">
        <v>162.5</v>
      </c>
      <c r="Q575" s="85" t="n">
        <v>1233.7</v>
      </c>
      <c r="R575" s="85" t="n">
        <v>212.9</v>
      </c>
      <c r="S575" s="85" t="n">
        <v>99.59999999999999</v>
      </c>
      <c r="T575" s="85" t="n">
        <v>41.6</v>
      </c>
      <c r="U575" s="85" t="n">
        <v>54.2</v>
      </c>
      <c r="V575" s="85" t="n">
        <v>0.1</v>
      </c>
      <c r="W575" s="85" t="n">
        <v>4245.5</v>
      </c>
      <c r="X575" s="85" t="n">
        <v>3524.5</v>
      </c>
      <c r="Y575" s="85" t="n">
        <v>3117.4</v>
      </c>
      <c r="Z575" s="85" t="n">
        <v>3212.4</v>
      </c>
      <c r="AA575" s="85" t="n">
        <v>260.1</v>
      </c>
      <c r="AB575" s="85" t="n">
        <v>1402.5</v>
      </c>
      <c r="AC575" s="85" t="n">
        <v>206.8</v>
      </c>
      <c r="AD575" s="85" t="n">
        <v>384.7</v>
      </c>
      <c r="AE575" s="85" t="n">
        <v>960.8</v>
      </c>
      <c r="AF575" s="91" t="inlineStr">
        <is>
          <t>N/A</t>
        </is>
      </c>
      <c r="AG575" s="85" t="n">
        <v>1033.1</v>
      </c>
      <c r="AH575" s="85" t="n">
        <v>1402.5</v>
      </c>
      <c r="AI575" s="85" t="n">
        <v>4245.5</v>
      </c>
      <c r="AJ575" s="85" t="n">
        <v>309.1</v>
      </c>
      <c r="AK575" s="85" t="n">
        <v>277</v>
      </c>
      <c r="AL575" s="85" t="n">
        <v>81.90000000000001</v>
      </c>
      <c r="AM575" s="85" t="n">
        <v>70.2</v>
      </c>
      <c r="AN575" s="85" t="n">
        <v>13.1</v>
      </c>
      <c r="AO575" s="85" t="n">
        <v>18</v>
      </c>
      <c r="AP575" s="91" t="inlineStr">
        <is>
          <t>N/A</t>
        </is>
      </c>
      <c r="AQ575" s="91" t="inlineStr">
        <is>
          <t>N/A</t>
        </is>
      </c>
      <c r="AR575" s="85" t="n">
        <v>343.1</v>
      </c>
      <c r="AS575" s="85" t="n">
        <v>92.7</v>
      </c>
      <c r="AT575" s="85" t="n">
        <v>0.6</v>
      </c>
      <c r="AU575" s="85" t="n">
        <v>205.9</v>
      </c>
      <c r="AV575" s="85" t="n">
        <v>398.1</v>
      </c>
      <c r="AW575" s="85" t="n">
        <v>401.8</v>
      </c>
      <c r="AX575" s="85" t="n">
        <v>163.1</v>
      </c>
      <c r="AY575" s="91" t="inlineStr">
        <is>
          <t>N/A</t>
        </is>
      </c>
      <c r="AZ575" s="85" t="n">
        <v>-234.9</v>
      </c>
      <c r="BA575" s="85" t="n">
        <v>405.2</v>
      </c>
      <c r="BB575" s="85" t="n">
        <v>55.4</v>
      </c>
      <c r="BC575" s="85" t="n">
        <v>55.5</v>
      </c>
      <c r="BD575" s="85" t="n">
        <v>33</v>
      </c>
      <c r="BE575" s="85" t="n">
        <v>60.6</v>
      </c>
      <c r="BF575" s="85" t="n">
        <v>187.4</v>
      </c>
      <c r="BG575" s="85" t="n">
        <v>76.40000000000001</v>
      </c>
      <c r="BH575" s="85" t="n">
        <v>-455.5</v>
      </c>
      <c r="BI575" s="85" t="n">
        <v>-101.9</v>
      </c>
      <c r="BJ575" s="85" t="n">
        <v>17.3</v>
      </c>
      <c r="BK575" s="85" t="n">
        <v>8.6</v>
      </c>
      <c r="BL575" s="85" t="n">
        <v>35.7</v>
      </c>
      <c r="BM575" s="85" t="n">
        <v>25.9</v>
      </c>
      <c r="BN575" s="85" t="n">
        <v>0</v>
      </c>
      <c r="BO575" s="85" t="n">
        <v>498.2</v>
      </c>
      <c r="BP575" s="85" t="n">
        <v>441.7</v>
      </c>
      <c r="BQ575" s="85" t="n">
        <v>0</v>
      </c>
      <c r="BR575" s="85" t="n">
        <v>0</v>
      </c>
      <c r="BS575" s="91" t="inlineStr">
        <is>
          <t>N/A</t>
        </is>
      </c>
      <c r="BT575" s="91" t="inlineStr">
        <is>
          <t>N/A</t>
        </is>
      </c>
      <c r="BU575" s="85" t="n">
        <v>0</v>
      </c>
      <c r="BV575" s="85" t="n">
        <v>0</v>
      </c>
      <c r="BW575" s="85" t="n">
        <v>0</v>
      </c>
      <c r="BX575" s="85" t="n">
        <v>0</v>
      </c>
      <c r="BY575" s="85" t="n">
        <v>0</v>
      </c>
    </row>
    <row r="576" ht="17" customHeight="1">
      <c r="A576" s="86" t="n">
        <v>574</v>
      </c>
      <c r="B576" s="87" t="inlineStr">
        <is>
          <t>NOG</t>
        </is>
      </c>
      <c r="C576" s="88" t="inlineStr">
        <is>
          <t>NORTHERN OIL &amp; GAS, INC.</t>
        </is>
      </c>
      <c r="D576" s="86" t="inlineStr">
        <is>
          <t>Energy</t>
        </is>
      </c>
      <c r="E576" s="86" t="n">
        <v>2026</v>
      </c>
      <c r="F576" s="89" t="n">
        <v>5409.4</v>
      </c>
      <c r="G576" s="89" t="n">
        <v>586</v>
      </c>
      <c r="H576" s="89" t="n">
        <v>539.3</v>
      </c>
      <c r="I576" s="89" t="n">
        <v>3283</v>
      </c>
      <c r="J576" s="89" t="n">
        <v>481.3</v>
      </c>
      <c r="K576" s="89" t="n">
        <v>245.8</v>
      </c>
      <c r="L576" s="89" t="n">
        <v>2475.7</v>
      </c>
      <c r="M576" s="89" t="n">
        <v>38.8</v>
      </c>
      <c r="N576" s="89" t="n">
        <v>1505.3</v>
      </c>
      <c r="O576" s="89" t="n">
        <v>2002.1</v>
      </c>
      <c r="P576" s="89" t="n">
        <v>2395.4</v>
      </c>
      <c r="Q576" s="89" t="n">
        <v>2126.3</v>
      </c>
      <c r="R576" s="89" t="n">
        <v>61.3</v>
      </c>
      <c r="S576" s="89" t="n">
        <v>0.1</v>
      </c>
      <c r="T576" s="89" t="n">
        <v>349.9</v>
      </c>
      <c r="U576" s="89" t="n">
        <v>4746.4</v>
      </c>
      <c r="V576" s="89" t="n">
        <v>135.7</v>
      </c>
      <c r="W576" s="89" t="n">
        <v>5603.8</v>
      </c>
      <c r="X576" s="89" t="n">
        <v>500.7</v>
      </c>
      <c r="Y576" s="89" t="n">
        <v>544.3</v>
      </c>
      <c r="Z576" s="89" t="n">
        <v>3283.4</v>
      </c>
      <c r="AA576" s="89" t="n">
        <v>837.8</v>
      </c>
      <c r="AB576" s="89" t="n">
        <v>2225.7</v>
      </c>
      <c r="AC576" s="89" t="n">
        <v>520.3</v>
      </c>
      <c r="AD576" s="89" t="n">
        <v>1408.7</v>
      </c>
      <c r="AE576" s="89" t="n">
        <v>1795.9</v>
      </c>
      <c r="AF576" s="89" t="n">
        <v>2369.3</v>
      </c>
      <c r="AG576" s="89" t="n">
        <v>2320.4</v>
      </c>
      <c r="AH576" s="89" t="n">
        <v>2225.7</v>
      </c>
      <c r="AI576" s="89" t="n">
        <v>5603.8</v>
      </c>
      <c r="AJ576" s="89" t="n">
        <v>62.7</v>
      </c>
      <c r="AK576" s="89" t="n">
        <v>680.8</v>
      </c>
      <c r="AL576" s="89" t="n">
        <v>23.9</v>
      </c>
      <c r="AM576" s="89" t="n">
        <v>160.5</v>
      </c>
      <c r="AN576" s="89" t="n">
        <v>0.1</v>
      </c>
      <c r="AO576" s="89" t="n">
        <v>0</v>
      </c>
      <c r="AP576" s="90" t="inlineStr">
        <is>
          <t>N/A</t>
        </is>
      </c>
      <c r="AQ576" s="90" t="inlineStr">
        <is>
          <t>N/A</t>
        </is>
      </c>
      <c r="AR576" s="90" t="inlineStr">
        <is>
          <t>N/A</t>
        </is>
      </c>
      <c r="AS576" s="90" t="inlineStr">
        <is>
          <t>N/A</t>
        </is>
      </c>
      <c r="AT576" s="90" t="inlineStr">
        <is>
          <t>N/A</t>
        </is>
      </c>
      <c r="AU576" s="90" t="inlineStr">
        <is>
          <t>N/A</t>
        </is>
      </c>
      <c r="AV576" s="89" t="n">
        <v>14.3</v>
      </c>
      <c r="AW576" s="89" t="n">
        <v>8.9</v>
      </c>
      <c r="AX576" s="89" t="n">
        <v>2395.4</v>
      </c>
      <c r="AY576" s="89" t="n">
        <v>2369.3</v>
      </c>
      <c r="AZ576" s="89" t="n">
        <v>2381.1</v>
      </c>
      <c r="BA576" s="89" t="n">
        <v>1505.2</v>
      </c>
      <c r="BB576" s="89" t="n">
        <v>97.3</v>
      </c>
      <c r="BC576" s="89" t="n">
        <v>99.09999999999999</v>
      </c>
      <c r="BD576" s="89" t="n">
        <v>389.7</v>
      </c>
      <c r="BE576" s="89" t="n">
        <v>5082.2</v>
      </c>
      <c r="BF576" s="89" t="n">
        <v>50.5</v>
      </c>
      <c r="BG576" s="89" t="n">
        <v>0.2</v>
      </c>
      <c r="BH576" s="89" t="n">
        <v>-1252.5</v>
      </c>
      <c r="BI576" s="89" t="n">
        <v>-1674.8</v>
      </c>
      <c r="BJ576" s="89" t="n">
        <v>218.6</v>
      </c>
      <c r="BK576" s="89" t="n">
        <v>202.9</v>
      </c>
      <c r="BL576" s="90" t="inlineStr">
        <is>
          <t>N/A</t>
        </is>
      </c>
      <c r="BM576" s="90" t="inlineStr">
        <is>
          <t>N/A</t>
        </is>
      </c>
      <c r="BN576" s="90" t="inlineStr">
        <is>
          <t>N/A</t>
        </is>
      </c>
      <c r="BO576" s="89" t="n">
        <v>473.7</v>
      </c>
      <c r="BP576" s="89" t="n">
        <v>429.8</v>
      </c>
      <c r="BQ576" s="89" t="n">
        <v>0</v>
      </c>
      <c r="BR576" s="89" t="n">
        <v>0</v>
      </c>
      <c r="BS576" s="90" t="inlineStr">
        <is>
          <t>N/A</t>
        </is>
      </c>
      <c r="BT576" s="90" t="inlineStr">
        <is>
          <t>N/A</t>
        </is>
      </c>
      <c r="BU576" s="89" t="n">
        <v>0</v>
      </c>
      <c r="BV576" s="89" t="n">
        <v>0</v>
      </c>
      <c r="BW576" s="89" t="n">
        <v>0</v>
      </c>
      <c r="BX576" s="89" t="n">
        <v>0</v>
      </c>
      <c r="BY576" s="89" t="n">
        <v>0</v>
      </c>
    </row>
    <row r="577" ht="17" customHeight="1">
      <c r="A577" s="82" t="n">
        <v>575</v>
      </c>
      <c r="B577" s="83" t="inlineStr">
        <is>
          <t>AME</t>
        </is>
      </c>
      <c r="C577" s="84" t="inlineStr">
        <is>
          <t>AMETEK, Inc.</t>
        </is>
      </c>
      <c r="D577" s="82" t="inlineStr">
        <is>
          <t>Industrials</t>
        </is>
      </c>
      <c r="E577" s="82" t="n">
        <v>2026</v>
      </c>
      <c r="F577" s="85" t="n">
        <v>16067.5</v>
      </c>
      <c r="G577" s="85" t="n">
        <v>3019.8</v>
      </c>
      <c r="H577" s="85" t="n">
        <v>2842.8</v>
      </c>
      <c r="I577" s="85" t="n">
        <v>5438.8</v>
      </c>
      <c r="J577" s="85" t="n">
        <v>12252.5</v>
      </c>
      <c r="K577" s="85" t="n">
        <v>1910.3</v>
      </c>
      <c r="L577" s="85" t="n">
        <v>7401.1</v>
      </c>
      <c r="M577" s="85" t="n">
        <v>1480.1</v>
      </c>
      <c r="N577" s="85" t="n">
        <v>1801.8</v>
      </c>
      <c r="O577" s="85" t="n">
        <v>2667.4</v>
      </c>
      <c r="P577" s="85" t="n">
        <v>2283.3</v>
      </c>
      <c r="Q577" s="85" t="n">
        <v>10628.8</v>
      </c>
      <c r="R577" s="85" t="n">
        <v>757.1</v>
      </c>
      <c r="S577" s="85" t="n">
        <v>422.8</v>
      </c>
      <c r="T577" s="85" t="n">
        <v>1119.3</v>
      </c>
      <c r="U577" s="85" t="n">
        <v>855.2</v>
      </c>
      <c r="V577" s="85" t="n">
        <v>81.8</v>
      </c>
      <c r="W577" s="85" t="n">
        <v>14631.2</v>
      </c>
      <c r="X577" s="85" t="n">
        <v>2603</v>
      </c>
      <c r="Y577" s="85" t="n">
        <v>2098.6</v>
      </c>
      <c r="Z577" s="85" t="n">
        <v>4975.9</v>
      </c>
      <c r="AA577" s="85" t="n">
        <v>1779.6</v>
      </c>
      <c r="AB577" s="85" t="n">
        <v>6941.2</v>
      </c>
      <c r="AC577" s="85" t="n">
        <v>1376.1</v>
      </c>
      <c r="AD577" s="85" t="n">
        <v>1828.8</v>
      </c>
      <c r="AE577" s="85" t="n">
        <v>2476.5</v>
      </c>
      <c r="AF577" s="85" t="n">
        <v>2079.7</v>
      </c>
      <c r="AG577" s="85" t="n">
        <v>9655.299999999999</v>
      </c>
      <c r="AH577" s="85" t="n">
        <v>6941.2</v>
      </c>
      <c r="AI577" s="85" t="n">
        <v>14631.2</v>
      </c>
      <c r="AJ577" s="85" t="n">
        <v>1798.3</v>
      </c>
      <c r="AK577" s="85" t="n">
        <v>1661.5</v>
      </c>
      <c r="AL577" s="85" t="n">
        <v>318.2</v>
      </c>
      <c r="AM577" s="85" t="n">
        <v>285.4</v>
      </c>
      <c r="AN577" s="85" t="n">
        <v>130.2</v>
      </c>
      <c r="AO577" s="85" t="n">
        <v>127.1</v>
      </c>
      <c r="AP577" s="85" t="n">
        <v>1106.4</v>
      </c>
      <c r="AQ577" s="85" t="n">
        <v>1021.7</v>
      </c>
      <c r="AR577" s="85" t="n">
        <v>7170.8</v>
      </c>
      <c r="AS577" s="85" t="n">
        <v>3025.1</v>
      </c>
      <c r="AT577" s="85" t="n">
        <v>1209</v>
      </c>
      <c r="AU577" s="85" t="n">
        <v>236.1</v>
      </c>
      <c r="AV577" s="85" t="n">
        <v>458</v>
      </c>
      <c r="AW577" s="85" t="n">
        <v>374</v>
      </c>
      <c r="AX577" s="85" t="n">
        <v>3492.3</v>
      </c>
      <c r="AY577" s="85" t="n">
        <v>2734.1</v>
      </c>
      <c r="AZ577" s="85" t="n">
        <v>3034.3</v>
      </c>
      <c r="BA577" s="85" t="n">
        <v>1671.5</v>
      </c>
      <c r="BB577" s="85" t="n">
        <v>229</v>
      </c>
      <c r="BC577" s="85" t="n">
        <v>230.7</v>
      </c>
      <c r="BD577" s="85" t="n">
        <v>948.8</v>
      </c>
      <c r="BE577" s="85" t="n">
        <v>818.6</v>
      </c>
      <c r="BF577" s="85" t="n">
        <v>696.9</v>
      </c>
      <c r="BG577" s="85" t="n">
        <v>382.9</v>
      </c>
      <c r="BH577" s="85" t="n">
        <v>-1062.8</v>
      </c>
      <c r="BI577" s="85" t="n">
        <v>-244.8</v>
      </c>
      <c r="BJ577" s="85" t="n">
        <v>618</v>
      </c>
      <c r="BK577" s="85" t="n">
        <v>523.3</v>
      </c>
      <c r="BL577" s="85" t="n">
        <v>396.2</v>
      </c>
      <c r="BM577" s="85" t="n">
        <v>363.6</v>
      </c>
      <c r="BN577" s="85" t="n">
        <v>82.7</v>
      </c>
      <c r="BO577" s="85" t="n">
        <v>4733.7</v>
      </c>
      <c r="BP577" s="85" t="n">
        <v>4464.7</v>
      </c>
      <c r="BQ577" s="85" t="n">
        <v>0</v>
      </c>
      <c r="BR577" s="85" t="n">
        <v>0</v>
      </c>
      <c r="BS577" s="85" t="n">
        <v>0</v>
      </c>
      <c r="BT577" s="85" t="n">
        <v>0</v>
      </c>
      <c r="BU577" s="85" t="n">
        <v>0</v>
      </c>
      <c r="BV577" s="85" t="n">
        <v>0</v>
      </c>
      <c r="BW577" s="85" t="n">
        <v>0</v>
      </c>
      <c r="BX577" s="85" t="n">
        <v>0</v>
      </c>
      <c r="BY577" s="85" t="n">
        <v>0</v>
      </c>
    </row>
    <row r="578" ht="17" customHeight="1">
      <c r="A578" s="86" t="n">
        <v>576</v>
      </c>
      <c r="B578" s="87" t="inlineStr">
        <is>
          <t>CPRI</t>
        </is>
      </c>
      <c r="C578" s="88" t="inlineStr">
        <is>
          <t>Capri Holdings Ltd</t>
        </is>
      </c>
      <c r="D578" s="86" t="inlineStr">
        <is>
          <t>Consumer Discretionary</t>
        </is>
      </c>
      <c r="E578" s="86" t="n">
        <v>2026</v>
      </c>
      <c r="F578" s="89" t="n">
        <v>3234</v>
      </c>
      <c r="G578" s="89" t="n">
        <v>1153</v>
      </c>
      <c r="H578" s="89" t="n">
        <v>954</v>
      </c>
      <c r="I578" s="89" t="n">
        <v>3150</v>
      </c>
      <c r="J578" s="89" t="n">
        <v>4434</v>
      </c>
      <c r="K578" s="89" t="n">
        <v>23</v>
      </c>
      <c r="L578" s="89" t="n">
        <v>3474</v>
      </c>
      <c r="M578" s="89" t="n">
        <v>137</v>
      </c>
      <c r="N578" s="89" t="n">
        <v>77</v>
      </c>
      <c r="O578" s="89" t="n">
        <v>2163</v>
      </c>
      <c r="P578" s="89" t="n">
        <v>357</v>
      </c>
      <c r="Q578" s="89" t="n">
        <v>80</v>
      </c>
      <c r="R578" s="89" t="n">
        <v>1964</v>
      </c>
      <c r="S578" s="89" t="n">
        <v>121</v>
      </c>
      <c r="T578" s="89" t="n">
        <v>211</v>
      </c>
      <c r="U578" s="89" t="n">
        <v>371</v>
      </c>
      <c r="V578" s="89" t="n">
        <v>0.4</v>
      </c>
      <c r="W578" s="89" t="n">
        <v>5213</v>
      </c>
      <c r="X578" s="89" t="n">
        <v>1521</v>
      </c>
      <c r="Y578" s="89" t="n">
        <v>1336</v>
      </c>
      <c r="Z578" s="89" t="n">
        <v>4841</v>
      </c>
      <c r="AA578" s="89" t="n">
        <v>-752</v>
      </c>
      <c r="AB578" s="89" t="n">
        <v>4442</v>
      </c>
      <c r="AC578" s="89" t="n">
        <v>-1182</v>
      </c>
      <c r="AD578" s="89" t="n">
        <v>281</v>
      </c>
      <c r="AE578" s="89" t="n">
        <v>2826</v>
      </c>
      <c r="AF578" s="89" t="n">
        <v>1500</v>
      </c>
      <c r="AG578" s="89" t="n">
        <v>368</v>
      </c>
      <c r="AH578" s="89" t="n">
        <v>3621</v>
      </c>
      <c r="AI578" s="89" t="n">
        <v>5213</v>
      </c>
      <c r="AJ578" s="89" t="n">
        <v>107</v>
      </c>
      <c r="AK578" s="89" t="n">
        <v>-727</v>
      </c>
      <c r="AL578" s="89" t="n">
        <v>27</v>
      </c>
      <c r="AM578" s="89" t="n">
        <v>452</v>
      </c>
      <c r="AN578" s="89" t="n">
        <v>63</v>
      </c>
      <c r="AO578" s="89" t="n">
        <v>128</v>
      </c>
      <c r="AP578" s="89" t="n">
        <v>581</v>
      </c>
      <c r="AQ578" s="89" t="n">
        <v>869</v>
      </c>
      <c r="AR578" s="89" t="n">
        <v>202</v>
      </c>
      <c r="AS578" s="89" t="n">
        <v>353</v>
      </c>
      <c r="AT578" s="89" t="n">
        <v>14</v>
      </c>
      <c r="AU578" s="90" t="inlineStr">
        <is>
          <t>N/A</t>
        </is>
      </c>
      <c r="AV578" s="89" t="n">
        <v>135</v>
      </c>
      <c r="AW578" s="89" t="n">
        <v>166</v>
      </c>
      <c r="AX578" s="89" t="n">
        <v>371</v>
      </c>
      <c r="AY578" s="89" t="n">
        <v>1524</v>
      </c>
      <c r="AZ578" s="89" t="n">
        <v>236</v>
      </c>
      <c r="BA578" s="89" t="n">
        <v>14</v>
      </c>
      <c r="BB578" s="89" t="n">
        <v>115.2</v>
      </c>
      <c r="BC578" s="89" t="n">
        <v>117.9</v>
      </c>
      <c r="BD578" s="89" t="n">
        <v>277</v>
      </c>
      <c r="BE578" s="89" t="n">
        <v>513</v>
      </c>
      <c r="BF578" s="89" t="n">
        <v>2581</v>
      </c>
      <c r="BG578" s="89" t="n">
        <v>193</v>
      </c>
      <c r="BH578" s="89" t="n">
        <v>1219</v>
      </c>
      <c r="BI578" s="89" t="n">
        <v>-53</v>
      </c>
      <c r="BJ578" s="89" t="n">
        <v>311</v>
      </c>
      <c r="BK578" s="89" t="n">
        <v>485</v>
      </c>
      <c r="BL578" s="89" t="n">
        <v>4.3</v>
      </c>
      <c r="BM578" s="89" t="n">
        <v>0.1</v>
      </c>
      <c r="BN578" s="89" t="n">
        <v>23</v>
      </c>
      <c r="BO578" s="89" t="n">
        <v>1895</v>
      </c>
      <c r="BP578" s="89" t="n">
        <v>1910</v>
      </c>
      <c r="BQ578" s="89" t="n">
        <v>0</v>
      </c>
      <c r="BR578" s="89" t="n">
        <v>0</v>
      </c>
      <c r="BS578" s="89" t="n">
        <v>0</v>
      </c>
      <c r="BT578" s="89" t="n">
        <v>0</v>
      </c>
      <c r="BU578" s="89" t="n">
        <v>0</v>
      </c>
      <c r="BV578" s="89" t="n">
        <v>0</v>
      </c>
      <c r="BW578" s="89" t="n">
        <v>0</v>
      </c>
      <c r="BX578" s="89" t="n">
        <v>0</v>
      </c>
      <c r="BY578" s="89" t="n">
        <v>0</v>
      </c>
    </row>
    <row r="579" ht="17" customHeight="1">
      <c r="A579" s="82" t="n">
        <v>577</v>
      </c>
      <c r="B579" s="83" t="inlineStr">
        <is>
          <t>TRU</t>
        </is>
      </c>
      <c r="C579" s="84" t="inlineStr">
        <is>
          <t>TransUnion</t>
        </is>
      </c>
      <c r="D579" s="82" t="inlineStr">
        <is>
          <t>Financials</t>
        </is>
      </c>
      <c r="E579" s="82" t="n">
        <v>2026</v>
      </c>
      <c r="F579" s="85" t="n">
        <v>11112.9</v>
      </c>
      <c r="G579" s="85" t="n">
        <v>2016.3</v>
      </c>
      <c r="H579" s="85" t="n">
        <v>1154.4</v>
      </c>
      <c r="I579" s="85" t="n">
        <v>6567.6</v>
      </c>
      <c r="J579" s="85" t="n">
        <v>2723.7</v>
      </c>
      <c r="K579" s="85" t="n">
        <v>857.8</v>
      </c>
      <c r="L579" s="85" t="n">
        <v>4576.3</v>
      </c>
      <c r="M579" s="85" t="n">
        <v>455.4</v>
      </c>
      <c r="N579" s="85" t="n">
        <v>987.6</v>
      </c>
      <c r="O579" s="85" t="n">
        <v>3702.2</v>
      </c>
      <c r="P579" s="85" t="n">
        <v>5103.8</v>
      </c>
      <c r="Q579" s="85" t="n">
        <v>4439.2</v>
      </c>
      <c r="R579" s="85" t="n">
        <v>1264.9</v>
      </c>
      <c r="S579" s="85" t="n">
        <v>574.8</v>
      </c>
      <c r="T579" s="85" t="n">
        <v>905</v>
      </c>
      <c r="U579" s="85" t="n">
        <v>258.4</v>
      </c>
      <c r="V579" s="85" t="n">
        <v>288.2</v>
      </c>
      <c r="W579" s="85" t="n">
        <v>10984.8</v>
      </c>
      <c r="X579" s="85" t="n">
        <v>1801.8</v>
      </c>
      <c r="Y579" s="85" t="n">
        <v>1059.6</v>
      </c>
      <c r="Z579" s="85" t="n">
        <v>6666</v>
      </c>
      <c r="AA579" s="85" t="n">
        <v>666.7</v>
      </c>
      <c r="AB579" s="85" t="n">
        <v>4183.8</v>
      </c>
      <c r="AC579" s="85" t="n">
        <v>284.4</v>
      </c>
      <c r="AD579" s="85" t="n">
        <v>832.5</v>
      </c>
      <c r="AE579" s="85" t="n">
        <v>3393.7</v>
      </c>
      <c r="AF579" s="85" t="n">
        <v>5147.2</v>
      </c>
      <c r="AG579" s="85" t="n">
        <v>4217</v>
      </c>
      <c r="AH579" s="85" t="n">
        <v>4183.8</v>
      </c>
      <c r="AI579" s="85" t="n">
        <v>10984.8</v>
      </c>
      <c r="AJ579" s="85" t="n">
        <v>643</v>
      </c>
      <c r="AK579" s="85" t="n">
        <v>401.1</v>
      </c>
      <c r="AL579" s="85" t="n">
        <v>173.1</v>
      </c>
      <c r="AM579" s="85" t="n">
        <v>98.8</v>
      </c>
      <c r="AN579" s="85" t="n">
        <v>326</v>
      </c>
      <c r="AO579" s="85" t="n">
        <v>315.8</v>
      </c>
      <c r="AP579" s="91" t="inlineStr">
        <is>
          <t>N/A</t>
        </is>
      </c>
      <c r="AQ579" s="91" t="inlineStr">
        <is>
          <t>N/A</t>
        </is>
      </c>
      <c r="AR579" s="85" t="n">
        <v>5259.5</v>
      </c>
      <c r="AS579" s="85" t="n">
        <v>3098.5</v>
      </c>
      <c r="AT579" s="85" t="n">
        <v>196.9</v>
      </c>
      <c r="AU579" s="91" t="inlineStr">
        <is>
          <t>N/A</t>
        </is>
      </c>
      <c r="AV579" s="85" t="n">
        <v>853.6</v>
      </c>
      <c r="AW579" s="85" t="n">
        <v>679.5</v>
      </c>
      <c r="AX579" s="85" t="n">
        <v>5300.7</v>
      </c>
      <c r="AY579" s="85" t="n">
        <v>5217.8</v>
      </c>
      <c r="AZ579" s="85" t="n">
        <v>4447.1</v>
      </c>
      <c r="BA579" s="85" t="n">
        <v>661.6</v>
      </c>
      <c r="BB579" s="85" t="n">
        <v>192.4</v>
      </c>
      <c r="BC579" s="85" t="n">
        <v>194.9</v>
      </c>
      <c r="BD579" s="85" t="n">
        <v>798.9</v>
      </c>
      <c r="BE579" s="85" t="n">
        <v>203.5</v>
      </c>
      <c r="BF579" s="85" t="n">
        <v>1239.3</v>
      </c>
      <c r="BG579" s="85" t="n">
        <v>537.8</v>
      </c>
      <c r="BH579" s="85" t="n">
        <v>-331.7</v>
      </c>
      <c r="BI579" s="85" t="n">
        <v>-307.4</v>
      </c>
      <c r="BJ579" s="91" t="inlineStr">
        <is>
          <t>N/A</t>
        </is>
      </c>
      <c r="BK579" s="91" t="inlineStr">
        <is>
          <t>N/A</t>
        </is>
      </c>
      <c r="BL579" s="85" t="n">
        <v>129.8</v>
      </c>
      <c r="BM579" s="85" t="n">
        <v>133.8</v>
      </c>
      <c r="BN579" s="85" t="n">
        <v>7</v>
      </c>
      <c r="BO579" s="85" t="n">
        <v>874.1</v>
      </c>
      <c r="BP579" s="85" t="n">
        <v>790.1</v>
      </c>
      <c r="BQ579" s="85" t="n">
        <v>0</v>
      </c>
      <c r="BR579" s="85" t="n">
        <v>0</v>
      </c>
      <c r="BS579" s="91" t="inlineStr">
        <is>
          <t>N/A</t>
        </is>
      </c>
      <c r="BT579" s="91" t="inlineStr">
        <is>
          <t>N/A</t>
        </is>
      </c>
      <c r="BU579" s="91" t="inlineStr">
        <is>
          <t>N/A</t>
        </is>
      </c>
      <c r="BV579" s="91" t="inlineStr">
        <is>
          <t>N/A</t>
        </is>
      </c>
      <c r="BW579" s="85" t="n">
        <v>0</v>
      </c>
      <c r="BX579" s="85" t="n">
        <v>0</v>
      </c>
      <c r="BY579" s="85" t="n">
        <v>0</v>
      </c>
    </row>
    <row r="580" ht="17" customHeight="1">
      <c r="A580" s="86" t="n">
        <v>578</v>
      </c>
      <c r="B580" s="87" t="inlineStr">
        <is>
          <t>GPN</t>
        </is>
      </c>
      <c r="C580" s="88" t="inlineStr">
        <is>
          <t>GLOBAL PAYMENTS INC.</t>
        </is>
      </c>
      <c r="D580" s="86" t="inlineStr">
        <is>
          <t>Financials</t>
        </is>
      </c>
      <c r="E580" s="86" t="n">
        <v>2026</v>
      </c>
      <c r="F580" s="89" t="n">
        <v>53338.5</v>
      </c>
      <c r="G580" s="89" t="n">
        <v>12602.7</v>
      </c>
      <c r="H580" s="89" t="n">
        <v>7456.8</v>
      </c>
      <c r="I580" s="89" t="n">
        <v>29559</v>
      </c>
      <c r="J580" s="89" t="n">
        <v>5936.3</v>
      </c>
      <c r="K580" s="89" t="n">
        <v>1754.6</v>
      </c>
      <c r="L580" s="89" t="n">
        <v>3975.2</v>
      </c>
      <c r="M580" s="89" t="n">
        <v>1400.1</v>
      </c>
      <c r="N580" s="89" t="n">
        <v>2656.6</v>
      </c>
      <c r="O580" s="89" t="n">
        <v>1861.8</v>
      </c>
      <c r="P580" s="89" t="n">
        <v>21551.2</v>
      </c>
      <c r="Q580" s="89" t="n">
        <v>22888.8</v>
      </c>
      <c r="R580" s="89" t="n">
        <v>4120.6</v>
      </c>
      <c r="S580" s="89" t="n">
        <v>1229.2</v>
      </c>
      <c r="T580" s="89" t="n">
        <v>784.2</v>
      </c>
      <c r="U580" s="89" t="n">
        <v>1578.5</v>
      </c>
      <c r="V580" s="89" t="n">
        <v>633.5</v>
      </c>
      <c r="W580" s="89" t="n">
        <v>46890.3</v>
      </c>
      <c r="X580" s="89" t="n">
        <v>6036.7</v>
      </c>
      <c r="Y580" s="89" t="n">
        <v>6252.7</v>
      </c>
      <c r="Z580" s="89" t="n">
        <v>23873.7</v>
      </c>
      <c r="AA580" s="89" t="n">
        <v>2333.6</v>
      </c>
      <c r="AB580" s="89" t="n">
        <v>1054.3</v>
      </c>
      <c r="AC580" s="89" t="n">
        <v>1570.4</v>
      </c>
      <c r="AD580" s="89" t="n">
        <v>3532.7</v>
      </c>
      <c r="AE580" s="89" t="n">
        <v>-2705.9</v>
      </c>
      <c r="AF580" s="89" t="n">
        <v>16326.1</v>
      </c>
      <c r="AG580" s="89" t="n">
        <v>22280.7</v>
      </c>
      <c r="AH580" s="89" t="n">
        <v>1038.9</v>
      </c>
      <c r="AI580" s="89" t="n">
        <v>46890.3</v>
      </c>
      <c r="AJ580" s="89" t="n">
        <v>562.2</v>
      </c>
      <c r="AK580" s="89" t="n">
        <v>392.7</v>
      </c>
      <c r="AL580" s="89" t="n">
        <v>251.6</v>
      </c>
      <c r="AM580" s="89" t="n">
        <v>295.1</v>
      </c>
      <c r="AN580" s="89" t="n">
        <v>98.5</v>
      </c>
      <c r="AO580" s="89" t="n">
        <v>56.1</v>
      </c>
      <c r="AP580" s="89" t="n">
        <v>5.2</v>
      </c>
      <c r="AQ580" s="89" t="n">
        <v>6.6</v>
      </c>
      <c r="AR580" s="89" t="n">
        <v>17076.6</v>
      </c>
      <c r="AS580" s="89" t="n">
        <v>4231.2</v>
      </c>
      <c r="AT580" s="89" t="n">
        <v>35.1</v>
      </c>
      <c r="AU580" s="90" t="inlineStr">
        <is>
          <t>N/A</t>
        </is>
      </c>
      <c r="AV580" s="89" t="n">
        <v>8336.4</v>
      </c>
      <c r="AW580" s="89" t="n">
        <v>2538.4</v>
      </c>
      <c r="AX580" s="89" t="n">
        <v>21586.3</v>
      </c>
      <c r="AY580" s="89" t="n">
        <v>16326.1</v>
      </c>
      <c r="AZ580" s="89" t="n">
        <v>13249.9</v>
      </c>
      <c r="BA580" s="89" t="n">
        <v>2558.1</v>
      </c>
      <c r="BB580" s="89" t="n">
        <v>236.7</v>
      </c>
      <c r="BC580" s="89" t="n">
        <v>248.7</v>
      </c>
      <c r="BD580" s="89" t="n">
        <v>1081.7</v>
      </c>
      <c r="BE580" s="89" t="n">
        <v>1382.8</v>
      </c>
      <c r="BF580" s="89" t="n">
        <v>4285.3</v>
      </c>
      <c r="BG580" s="89" t="n">
        <v>1862.3</v>
      </c>
      <c r="BH580" s="89" t="n">
        <v>-230.3</v>
      </c>
      <c r="BI580" s="89" t="n">
        <v>-173.9</v>
      </c>
      <c r="BJ580" s="89" t="n">
        <v>2660.1</v>
      </c>
      <c r="BK580" s="89" t="n">
        <v>3079.9</v>
      </c>
      <c r="BL580" s="89" t="n">
        <v>101</v>
      </c>
      <c r="BM580" s="89" t="n">
        <v>69.40000000000001</v>
      </c>
      <c r="BN580" s="89" t="n">
        <v>117.5</v>
      </c>
      <c r="BO580" s="89" t="n">
        <v>2113.4</v>
      </c>
      <c r="BP580" s="89" t="n">
        <v>3760.1</v>
      </c>
      <c r="BQ580" s="89" t="n">
        <v>0</v>
      </c>
      <c r="BR580" s="89" t="n">
        <v>0</v>
      </c>
      <c r="BS580" s="89" t="n">
        <v>0</v>
      </c>
      <c r="BT580" s="89" t="n">
        <v>0</v>
      </c>
      <c r="BU580" s="89" t="n">
        <v>0</v>
      </c>
      <c r="BV580" s="89" t="n">
        <v>0</v>
      </c>
      <c r="BW580" s="89" t="n">
        <v>0</v>
      </c>
      <c r="BX580" s="89" t="n">
        <v>0</v>
      </c>
      <c r="BY580" s="89" t="n">
        <v>0</v>
      </c>
    </row>
    <row r="581" ht="17" customHeight="1">
      <c r="A581" s="82" t="n">
        <v>579</v>
      </c>
      <c r="B581" s="83" t="inlineStr">
        <is>
          <t>SIMO</t>
        </is>
      </c>
      <c r="C581" s="84" t="inlineStr">
        <is>
          <t>Silicon Motion Technology Corporation</t>
        </is>
      </c>
      <c r="D581" s="82" t="inlineStr">
        <is>
          <t>Information Technology</t>
        </is>
      </c>
      <c r="E581" s="82" t="n">
        <v>2026</v>
      </c>
      <c r="F581" s="85" t="n">
        <v>1222.7</v>
      </c>
      <c r="G581" s="85" t="n">
        <v>943.4</v>
      </c>
      <c r="H581" s="85" t="n">
        <v>339.5</v>
      </c>
      <c r="I581" s="85" t="n">
        <v>392</v>
      </c>
      <c r="J581" s="85" t="n">
        <v>468.1</v>
      </c>
      <c r="K581" s="85" t="n">
        <v>93</v>
      </c>
      <c r="L581" s="85" t="n">
        <v>885.6</v>
      </c>
      <c r="M581" s="85" t="n">
        <v>122.6</v>
      </c>
      <c r="N581" s="85" t="n">
        <v>61.4</v>
      </c>
      <c r="O581" s="85" t="n">
        <v>427.5</v>
      </c>
      <c r="P581" s="85" t="n">
        <v>0.1</v>
      </c>
      <c r="Q581" s="85" t="n">
        <v>830.7</v>
      </c>
      <c r="R581" s="85" t="n">
        <v>37.4</v>
      </c>
      <c r="S581" s="85" t="n">
        <v>30.2</v>
      </c>
      <c r="T581" s="91" t="inlineStr">
        <is>
          <t>N/A</t>
        </is>
      </c>
      <c r="U581" s="85" t="n">
        <v>219</v>
      </c>
      <c r="V581" s="91" t="inlineStr">
        <is>
          <t>N/A</t>
        </is>
      </c>
      <c r="W581" s="85" t="n">
        <v>1031.3</v>
      </c>
      <c r="X581" s="85" t="n">
        <v>794.9</v>
      </c>
      <c r="Y581" s="85" t="n">
        <v>199.5</v>
      </c>
      <c r="Z581" s="85" t="n">
        <v>259.1</v>
      </c>
      <c r="AA581" s="85" t="n">
        <v>90.90000000000001</v>
      </c>
      <c r="AB581" s="85" t="n">
        <v>803.6</v>
      </c>
      <c r="AC581" s="85" t="n">
        <v>89.2</v>
      </c>
      <c r="AD581" s="85" t="n">
        <v>77.09999999999999</v>
      </c>
      <c r="AE581" s="85" t="n">
        <v>368.8</v>
      </c>
      <c r="AF581" s="85" t="n">
        <v>0.1</v>
      </c>
      <c r="AG581" s="85" t="n">
        <v>772.3</v>
      </c>
      <c r="AH581" s="85" t="n">
        <v>803.6</v>
      </c>
      <c r="AI581" s="85" t="n">
        <v>1031.3</v>
      </c>
      <c r="AJ581" s="85" t="n">
        <v>140.1</v>
      </c>
      <c r="AK581" s="85" t="n">
        <v>107.4</v>
      </c>
      <c r="AL581" s="85" t="n">
        <v>17.5</v>
      </c>
      <c r="AM581" s="85" t="n">
        <v>18.2</v>
      </c>
      <c r="AN581" s="85" t="n">
        <v>55.1</v>
      </c>
      <c r="AO581" s="85" t="n">
        <v>44.4</v>
      </c>
      <c r="AP581" s="85" t="n">
        <v>33.7</v>
      </c>
      <c r="AQ581" s="85" t="n">
        <v>32.1</v>
      </c>
      <c r="AR581" s="91" t="inlineStr">
        <is>
          <t>N/A</t>
        </is>
      </c>
      <c r="AS581" s="85" t="n">
        <v>1</v>
      </c>
      <c r="AT581" s="91" t="inlineStr">
        <is>
          <t>N/A</t>
        </is>
      </c>
      <c r="AU581" s="85" t="n">
        <v>262.7</v>
      </c>
      <c r="AV581" s="85" t="n">
        <v>201.8</v>
      </c>
      <c r="AW581" s="85" t="n">
        <v>276.1</v>
      </c>
      <c r="AX581" s="85" t="n">
        <v>0.1</v>
      </c>
      <c r="AY581" s="85" t="n">
        <v>0.1</v>
      </c>
      <c r="AZ581" s="85" t="n">
        <v>-201.7</v>
      </c>
      <c r="BA581" s="85" t="n">
        <v>6.3</v>
      </c>
      <c r="BB581" s="85" t="n">
        <v>134.2</v>
      </c>
      <c r="BC581" s="85" t="n">
        <v>134.8</v>
      </c>
      <c r="BD581" s="91" t="inlineStr">
        <is>
          <t>N/A</t>
        </is>
      </c>
      <c r="BE581" s="85" t="n">
        <v>188.4</v>
      </c>
      <c r="BF581" s="85" t="n">
        <v>31.4</v>
      </c>
      <c r="BG581" s="85" t="n">
        <v>25.3</v>
      </c>
      <c r="BH581" s="85" t="n">
        <v>-27.4</v>
      </c>
      <c r="BI581" s="85" t="n">
        <v>-44.1</v>
      </c>
      <c r="BJ581" s="91" t="inlineStr">
        <is>
          <t>N/A</t>
        </is>
      </c>
      <c r="BK581" s="91" t="inlineStr">
        <is>
          <t>N/A</t>
        </is>
      </c>
      <c r="BL581" s="85" t="n">
        <v>82.09999999999999</v>
      </c>
      <c r="BM581" s="85" t="n">
        <v>5</v>
      </c>
      <c r="BN581" s="85" t="n">
        <v>22.4</v>
      </c>
      <c r="BO581" s="85" t="n">
        <v>458.1</v>
      </c>
      <c r="BP581" s="85" t="n">
        <v>434.8</v>
      </c>
      <c r="BQ581" s="91" t="inlineStr">
        <is>
          <t>N/A</t>
        </is>
      </c>
      <c r="BR581" s="91" t="inlineStr">
        <is>
          <t>N/A</t>
        </is>
      </c>
      <c r="BS581" s="85" t="n">
        <v>0</v>
      </c>
      <c r="BT581" s="85" t="n">
        <v>0</v>
      </c>
      <c r="BU581" s="85" t="n">
        <v>0</v>
      </c>
      <c r="BV581" s="91" t="inlineStr">
        <is>
          <t>N/A</t>
        </is>
      </c>
      <c r="BW581" s="85" t="n">
        <v>0</v>
      </c>
      <c r="BX581" s="85" t="n">
        <v>0</v>
      </c>
      <c r="BY581" s="85" t="n">
        <v>0</v>
      </c>
    </row>
    <row r="582" ht="17" customHeight="1">
      <c r="A582" s="86" t="n">
        <v>580</v>
      </c>
      <c r="B582" s="87" t="inlineStr">
        <is>
          <t>COLM</t>
        </is>
      </c>
      <c r="C582" s="88" t="inlineStr">
        <is>
          <t>COLUMBIA SPORTSWEAR COMPANY</t>
        </is>
      </c>
      <c r="D582" s="86" t="inlineStr">
        <is>
          <t>Consumer Discretionary</t>
        </is>
      </c>
      <c r="E582" s="86" t="n">
        <v>2026</v>
      </c>
      <c r="F582" s="89" t="n">
        <v>2928.5</v>
      </c>
      <c r="G582" s="89" t="n">
        <v>1972.5</v>
      </c>
      <c r="H582" s="89" t="n">
        <v>760.8</v>
      </c>
      <c r="I582" s="89" t="n">
        <v>1218.3</v>
      </c>
      <c r="J582" s="89" t="n">
        <v>1775.8</v>
      </c>
      <c r="K582" s="89" t="n">
        <v>207</v>
      </c>
      <c r="L582" s="89" t="n">
        <v>915.6</v>
      </c>
      <c r="M582" s="89" t="n">
        <v>177.2</v>
      </c>
      <c r="N582" s="89" t="n">
        <v>282.9</v>
      </c>
      <c r="O582" s="89" t="n">
        <v>1716.7</v>
      </c>
      <c r="P582" s="90" t="inlineStr">
        <is>
          <t>N/A</t>
        </is>
      </c>
      <c r="Q582" s="89" t="n">
        <v>1710.1</v>
      </c>
      <c r="R582" s="89" t="n">
        <v>1502.5</v>
      </c>
      <c r="S582" s="89" t="n">
        <v>56.8</v>
      </c>
      <c r="T582" s="89" t="n">
        <v>403.2</v>
      </c>
      <c r="U582" s="89" t="n">
        <v>279.1</v>
      </c>
      <c r="V582" s="90" t="inlineStr">
        <is>
          <t>N/A</t>
        </is>
      </c>
      <c r="W582" s="89" t="n">
        <v>2975.3</v>
      </c>
      <c r="X582" s="89" t="n">
        <v>2008.6</v>
      </c>
      <c r="Y582" s="89" t="n">
        <v>766.5</v>
      </c>
      <c r="Z582" s="89" t="n">
        <v>1195.2</v>
      </c>
      <c r="AA582" s="89" t="n">
        <v>270.7</v>
      </c>
      <c r="AB582" s="89" t="n">
        <v>701.1</v>
      </c>
      <c r="AC582" s="89" t="n">
        <v>223.3</v>
      </c>
      <c r="AD582" s="89" t="n">
        <v>491</v>
      </c>
      <c r="AE582" s="89" t="n">
        <v>1691.1</v>
      </c>
      <c r="AF582" s="90" t="inlineStr">
        <is>
          <t>N/A</t>
        </is>
      </c>
      <c r="AG582" s="89" t="n">
        <v>1780</v>
      </c>
      <c r="AH582" s="89" t="n">
        <v>316.6</v>
      </c>
      <c r="AI582" s="89" t="n">
        <v>2975.3</v>
      </c>
      <c r="AJ582" s="89" t="n">
        <v>229.6</v>
      </c>
      <c r="AK582" s="89" t="n">
        <v>298.2</v>
      </c>
      <c r="AL582" s="89" t="n">
        <v>52.4</v>
      </c>
      <c r="AM582" s="89" t="n">
        <v>74.90000000000001</v>
      </c>
      <c r="AN582" s="89" t="n">
        <v>28.8</v>
      </c>
      <c r="AO582" s="89" t="n">
        <v>123.5</v>
      </c>
      <c r="AP582" s="89" t="n">
        <v>689.5</v>
      </c>
      <c r="AQ582" s="89" t="n">
        <v>690.5</v>
      </c>
      <c r="AR582" s="89" t="n">
        <v>5.7</v>
      </c>
      <c r="AS582" s="90" t="inlineStr">
        <is>
          <t>N/A</t>
        </is>
      </c>
      <c r="AT582" s="90" t="inlineStr">
        <is>
          <t>N/A</t>
        </is>
      </c>
      <c r="AU582" s="90" t="inlineStr">
        <is>
          <t>N/A</t>
        </is>
      </c>
      <c r="AV582" s="89" t="n">
        <v>442</v>
      </c>
      <c r="AW582" s="89" t="n">
        <v>531.9</v>
      </c>
      <c r="AX582" s="90" t="inlineStr">
        <is>
          <t>N/A</t>
        </is>
      </c>
      <c r="AY582" s="90" t="inlineStr">
        <is>
          <t>N/A</t>
        </is>
      </c>
      <c r="AZ582" s="90" t="inlineStr">
        <is>
          <t>N/A</t>
        </is>
      </c>
      <c r="BA582" s="89" t="n">
        <v>254.1</v>
      </c>
      <c r="BB582" s="89" t="n">
        <v>66.3</v>
      </c>
      <c r="BC582" s="89" t="n">
        <v>0.1</v>
      </c>
      <c r="BD582" s="89" t="n">
        <v>417.5</v>
      </c>
      <c r="BE582" s="89" t="n">
        <v>282.9</v>
      </c>
      <c r="BF582" s="89" t="n">
        <v>1443.9</v>
      </c>
      <c r="BG582" s="89" t="n">
        <v>55.9</v>
      </c>
      <c r="BH582" s="89" t="n">
        <v>-120.7</v>
      </c>
      <c r="BI582" s="89" t="n">
        <v>87.3</v>
      </c>
      <c r="BJ582" s="89" t="n">
        <v>385.6</v>
      </c>
      <c r="BK582" s="89" t="n">
        <v>385.7</v>
      </c>
      <c r="BL582" s="90" t="inlineStr">
        <is>
          <t>N/A</t>
        </is>
      </c>
      <c r="BM582" s="90" t="inlineStr">
        <is>
          <t>N/A</t>
        </is>
      </c>
      <c r="BN582" s="89" t="n">
        <v>23.2</v>
      </c>
      <c r="BO582" s="89" t="n">
        <v>1680.6</v>
      </c>
      <c r="BP582" s="89" t="n">
        <v>1677.5</v>
      </c>
      <c r="BQ582" s="89" t="n">
        <v>0</v>
      </c>
      <c r="BR582" s="89" t="n">
        <v>0</v>
      </c>
      <c r="BS582" s="89" t="n">
        <v>0</v>
      </c>
      <c r="BT582" s="89" t="n">
        <v>0</v>
      </c>
      <c r="BU582" s="89" t="n">
        <v>0</v>
      </c>
      <c r="BV582" s="89" t="n">
        <v>0</v>
      </c>
      <c r="BW582" s="89" t="n">
        <v>0</v>
      </c>
      <c r="BX582" s="89" t="n">
        <v>0</v>
      </c>
      <c r="BY582" s="89" t="n">
        <v>0</v>
      </c>
    </row>
    <row r="583" ht="17" customHeight="1">
      <c r="A583" s="82" t="n">
        <v>581</v>
      </c>
      <c r="B583" s="83" t="inlineStr">
        <is>
          <t>MOH</t>
        </is>
      </c>
      <c r="C583" s="84" t="inlineStr">
        <is>
          <t>MOLINA HEALTHCARE, INC.</t>
        </is>
      </c>
      <c r="D583" s="82" t="inlineStr">
        <is>
          <t>Health Care</t>
        </is>
      </c>
      <c r="E583" s="82" t="n">
        <v>2026</v>
      </c>
      <c r="F583" s="85" t="n">
        <v>15564</v>
      </c>
      <c r="G583" s="85" t="n">
        <v>12444</v>
      </c>
      <c r="H583" s="85" t="n">
        <v>7372</v>
      </c>
      <c r="I583" s="85" t="n">
        <v>11495</v>
      </c>
      <c r="J583" s="85" t="n">
        <v>3602</v>
      </c>
      <c r="K583" s="85" t="n">
        <v>781</v>
      </c>
      <c r="L583" s="85" t="n">
        <v>45426</v>
      </c>
      <c r="M583" s="85" t="n">
        <v>472</v>
      </c>
      <c r="N583" s="85" t="n">
        <v>-535</v>
      </c>
      <c r="O583" s="85" t="n">
        <v>2479</v>
      </c>
      <c r="P583" s="85" t="n">
        <v>1446</v>
      </c>
      <c r="Q583" s="85" t="n">
        <v>4069</v>
      </c>
      <c r="R583" s="85" t="n">
        <v>3009</v>
      </c>
      <c r="S583" s="85" t="n">
        <v>195</v>
      </c>
      <c r="T583" s="85" t="n">
        <v>3533</v>
      </c>
      <c r="U583" s="85" t="n">
        <v>241</v>
      </c>
      <c r="V583" s="85" t="n">
        <v>109</v>
      </c>
      <c r="W583" s="85" t="n">
        <v>15630</v>
      </c>
      <c r="X583" s="85" t="n">
        <v>12773</v>
      </c>
      <c r="Y583" s="85" t="n">
        <v>7896</v>
      </c>
      <c r="Z583" s="85" t="n">
        <v>11134</v>
      </c>
      <c r="AA583" s="85" t="n">
        <v>1707</v>
      </c>
      <c r="AB583" s="85" t="n">
        <v>40650</v>
      </c>
      <c r="AC583" s="85" t="n">
        <v>1179</v>
      </c>
      <c r="AD583" s="85" t="n">
        <v>644</v>
      </c>
      <c r="AE583" s="85" t="n">
        <v>2303</v>
      </c>
      <c r="AF583" s="85" t="n">
        <v>1411</v>
      </c>
      <c r="AG583" s="85" t="n">
        <v>4496</v>
      </c>
      <c r="AH583" s="85" t="n">
        <v>40650</v>
      </c>
      <c r="AI583" s="85" t="n">
        <v>15630</v>
      </c>
      <c r="AJ583" s="85" t="n">
        <v>589</v>
      </c>
      <c r="AK583" s="85" t="n">
        <v>1589</v>
      </c>
      <c r="AL583" s="85" t="n">
        <v>117</v>
      </c>
      <c r="AM583" s="85" t="n">
        <v>410</v>
      </c>
      <c r="AN583" s="85" t="n">
        <v>101</v>
      </c>
      <c r="AO583" s="85" t="n">
        <v>100</v>
      </c>
      <c r="AP583" s="91" t="inlineStr">
        <is>
          <t>N/A</t>
        </is>
      </c>
      <c r="AQ583" s="91" t="inlineStr">
        <is>
          <t>N/A</t>
        </is>
      </c>
      <c r="AR583" s="85" t="n">
        <v>1958</v>
      </c>
      <c r="AS583" s="85" t="n">
        <v>237</v>
      </c>
      <c r="AT583" s="91" t="inlineStr">
        <is>
          <t>N/A</t>
        </is>
      </c>
      <c r="AU583" s="91" t="inlineStr">
        <is>
          <t>N/A</t>
        </is>
      </c>
      <c r="AV583" s="85" t="n">
        <v>4248</v>
      </c>
      <c r="AW583" s="85" t="n">
        <v>4662</v>
      </c>
      <c r="AX583" s="85" t="n">
        <v>1446</v>
      </c>
      <c r="AY583" s="85" t="n">
        <v>1411</v>
      </c>
      <c r="AZ583" s="85" t="n">
        <v>-2802</v>
      </c>
      <c r="BA583" s="85" t="n">
        <v>-636</v>
      </c>
      <c r="BB583" s="85" t="n">
        <v>51</v>
      </c>
      <c r="BC583" s="85" t="n">
        <v>56</v>
      </c>
      <c r="BD583" s="85" t="n">
        <v>3299</v>
      </c>
      <c r="BE583" s="85" t="n">
        <v>241</v>
      </c>
      <c r="BF583" s="85" t="n">
        <v>2743</v>
      </c>
      <c r="BG583" s="85" t="n">
        <v>186</v>
      </c>
      <c r="BH583" s="85" t="n">
        <v>312</v>
      </c>
      <c r="BI583" s="85" t="n">
        <v>-464</v>
      </c>
      <c r="BJ583" s="85" t="n">
        <v>1093</v>
      </c>
      <c r="BK583" s="85" t="n">
        <v>1331</v>
      </c>
      <c r="BL583" s="85" t="n">
        <v>282</v>
      </c>
      <c r="BM583" s="85" t="n">
        <v>315</v>
      </c>
      <c r="BN583" s="91" t="inlineStr">
        <is>
          <t>N/A</t>
        </is>
      </c>
      <c r="BO583" s="85" t="n">
        <v>39488</v>
      </c>
      <c r="BP583" s="85" t="n">
        <v>34428</v>
      </c>
      <c r="BQ583" s="85" t="n">
        <v>0</v>
      </c>
      <c r="BR583" s="85" t="n">
        <v>0</v>
      </c>
      <c r="BS583" s="91" t="inlineStr">
        <is>
          <t>N/A</t>
        </is>
      </c>
      <c r="BT583" s="91" t="inlineStr">
        <is>
          <t>N/A</t>
        </is>
      </c>
      <c r="BU583" s="85" t="n">
        <v>0</v>
      </c>
      <c r="BV583" s="85" t="n">
        <v>0</v>
      </c>
      <c r="BW583" s="85" t="n">
        <v>0</v>
      </c>
      <c r="BX583" s="85" t="n">
        <v>-0</v>
      </c>
      <c r="BY583" s="85" t="n">
        <v>0</v>
      </c>
    </row>
    <row r="584" ht="17" customHeight="1">
      <c r="A584" s="86" t="n">
        <v>582</v>
      </c>
      <c r="B584" s="87" t="inlineStr">
        <is>
          <t>RRC</t>
        </is>
      </c>
      <c r="C584" s="88" t="inlineStr">
        <is>
          <t>RANGE RESOURCES CORPORATION</t>
        </is>
      </c>
      <c r="D584" s="86" t="inlineStr">
        <is>
          <t>Energy</t>
        </is>
      </c>
      <c r="E584" s="86" t="n">
        <v>2026</v>
      </c>
      <c r="F584" s="89" t="n">
        <v>7421.9</v>
      </c>
      <c r="G584" s="89" t="n">
        <v>444.5</v>
      </c>
      <c r="H584" s="89" t="n">
        <v>661.2</v>
      </c>
      <c r="I584" s="89" t="n">
        <v>3103.3</v>
      </c>
      <c r="J584" s="89" t="n">
        <v>-909.2</v>
      </c>
      <c r="K584" s="90" t="inlineStr">
        <is>
          <t>N/A</t>
        </is>
      </c>
      <c r="L584" s="89" t="n">
        <v>3115.5</v>
      </c>
      <c r="M584" s="89" t="n">
        <v>658</v>
      </c>
      <c r="N584" s="89" t="n">
        <v>1171.3</v>
      </c>
      <c r="O584" s="89" t="n">
        <v>2930</v>
      </c>
      <c r="P584" s="89" t="n">
        <v>1198.3</v>
      </c>
      <c r="Q584" s="89" t="n">
        <v>4318.7</v>
      </c>
      <c r="R584" s="89" t="n">
        <v>178.3</v>
      </c>
      <c r="S584" s="89" t="n">
        <v>370.5</v>
      </c>
      <c r="T584" s="89" t="n">
        <v>358.7</v>
      </c>
      <c r="U584" s="89" t="n">
        <v>4.9</v>
      </c>
      <c r="V584" s="89" t="n">
        <v>104.9</v>
      </c>
      <c r="W584" s="89" t="n">
        <v>7347.7</v>
      </c>
      <c r="X584" s="89" t="n">
        <v>721.5</v>
      </c>
      <c r="Y584" s="89" t="n">
        <v>1274.1</v>
      </c>
      <c r="Z584" s="89" t="n">
        <v>3411</v>
      </c>
      <c r="AA584" s="90" t="inlineStr">
        <is>
          <t>N/A</t>
        </is>
      </c>
      <c r="AB584" s="89" t="n">
        <v>2417.1</v>
      </c>
      <c r="AC584" s="89" t="n">
        <v>266.3</v>
      </c>
      <c r="AD584" s="89" t="n">
        <v>944.5</v>
      </c>
      <c r="AE584" s="89" t="n">
        <v>2276.5</v>
      </c>
      <c r="AF584" s="89" t="n">
        <v>1697.9</v>
      </c>
      <c r="AG584" s="89" t="n">
        <v>3936.7</v>
      </c>
      <c r="AH584" s="89" t="n">
        <v>2417.1</v>
      </c>
      <c r="AI584" s="89" t="n">
        <v>7347.7</v>
      </c>
      <c r="AJ584" s="90" t="inlineStr">
        <is>
          <t>N/A</t>
        </is>
      </c>
      <c r="AK584" s="90" t="inlineStr">
        <is>
          <t>N/A</t>
        </is>
      </c>
      <c r="AL584" s="89" t="n">
        <v>173.7</v>
      </c>
      <c r="AM584" s="89" t="n">
        <v>-15.7</v>
      </c>
      <c r="AN584" s="89" t="n">
        <v>1.5</v>
      </c>
      <c r="AO584" s="89" t="n">
        <v>5.7</v>
      </c>
      <c r="AP584" s="89" t="n">
        <v>23</v>
      </c>
      <c r="AQ584" s="89" t="n">
        <v>21.3</v>
      </c>
      <c r="AR584" s="90" t="inlineStr">
        <is>
          <t>N/A</t>
        </is>
      </c>
      <c r="AS584" s="90" t="inlineStr">
        <is>
          <t>N/A</t>
        </is>
      </c>
      <c r="AT584" s="90" t="inlineStr">
        <is>
          <t>N/A</t>
        </is>
      </c>
      <c r="AU584" s="90" t="inlineStr">
        <is>
          <t>N/A</t>
        </is>
      </c>
      <c r="AV584" s="89" t="n">
        <v>0.2</v>
      </c>
      <c r="AW584" s="89" t="n">
        <v>304.5</v>
      </c>
      <c r="AX584" s="89" t="n">
        <v>1198.3</v>
      </c>
      <c r="AY584" s="89" t="n">
        <v>1697.9</v>
      </c>
      <c r="AZ584" s="89" t="n">
        <v>1198.1</v>
      </c>
      <c r="BA584" s="89" t="n">
        <v>1169.8</v>
      </c>
      <c r="BB584" s="89" t="n">
        <v>235.5</v>
      </c>
      <c r="BC584" s="89" t="n">
        <v>240.7</v>
      </c>
      <c r="BD584" s="89" t="n">
        <v>302.2</v>
      </c>
      <c r="BE584" s="89" t="n">
        <v>2.5</v>
      </c>
      <c r="BF584" s="89" t="n">
        <v>172.1</v>
      </c>
      <c r="BG584" s="89" t="n">
        <v>358.4</v>
      </c>
      <c r="BH584" s="89" t="n">
        <v>-641.4</v>
      </c>
      <c r="BI584" s="89" t="n">
        <v>-623.8</v>
      </c>
      <c r="BJ584" s="89" t="n">
        <v>164.4</v>
      </c>
      <c r="BK584" s="89" t="n">
        <v>133.1</v>
      </c>
      <c r="BL584" s="90" t="inlineStr">
        <is>
          <t>N/A</t>
        </is>
      </c>
      <c r="BM584" s="90" t="inlineStr">
        <is>
          <t>N/A</t>
        </is>
      </c>
      <c r="BN584" s="90" t="inlineStr">
        <is>
          <t>N/A</t>
        </is>
      </c>
      <c r="BO584" s="89" t="n">
        <v>185.6</v>
      </c>
      <c r="BP584" s="89" t="n">
        <v>140.5</v>
      </c>
      <c r="BQ584" s="89" t="n">
        <v>0</v>
      </c>
      <c r="BR584" s="89" t="n">
        <v>0</v>
      </c>
      <c r="BS584" s="89" t="n">
        <v>0</v>
      </c>
      <c r="BT584" s="89" t="n">
        <v>0</v>
      </c>
      <c r="BU584" s="89" t="n">
        <v>0</v>
      </c>
      <c r="BV584" s="89" t="n">
        <v>0</v>
      </c>
      <c r="BW584" s="89" t="n">
        <v>0</v>
      </c>
      <c r="BX584" s="89" t="n">
        <v>0</v>
      </c>
      <c r="BY584" s="90" t="inlineStr">
        <is>
          <t>N/A</t>
        </is>
      </c>
    </row>
    <row r="585" ht="17" customHeight="1">
      <c r="A585" s="82" t="n">
        <v>583</v>
      </c>
      <c r="B585" s="83" t="inlineStr">
        <is>
          <t>MTB</t>
        </is>
      </c>
      <c r="C585" s="84" t="inlineStr">
        <is>
          <t>M&amp;T BANK CORPORATION</t>
        </is>
      </c>
      <c r="D585" s="82" t="inlineStr">
        <is>
          <t>Financials</t>
        </is>
      </c>
      <c r="E585" s="82" t="n">
        <v>2026</v>
      </c>
      <c r="F585" s="85" t="n">
        <v>213510</v>
      </c>
      <c r="G585" s="91" t="inlineStr">
        <is>
          <t>N/A</t>
        </is>
      </c>
      <c r="H585" s="91" t="inlineStr">
        <is>
          <t>N/A</t>
        </is>
      </c>
      <c r="I585" s="85" t="n">
        <v>184333</v>
      </c>
      <c r="J585" s="85" t="n">
        <v>20882</v>
      </c>
      <c r="K585" s="85" t="n">
        <v>3692</v>
      </c>
      <c r="L585" s="85" t="n">
        <v>9643</v>
      </c>
      <c r="M585" s="85" t="n">
        <v>2851</v>
      </c>
      <c r="N585" s="85" t="n">
        <v>3003</v>
      </c>
      <c r="O585" s="91" t="inlineStr">
        <is>
          <t>N/A</t>
        </is>
      </c>
      <c r="P585" s="85" t="n">
        <v>10911</v>
      </c>
      <c r="Q585" s="85" t="n">
        <v>29177</v>
      </c>
      <c r="R585" s="91" t="inlineStr">
        <is>
          <t>N/A</t>
        </is>
      </c>
      <c r="S585" s="85" t="n">
        <v>104.9</v>
      </c>
      <c r="T585" s="91" t="inlineStr">
        <is>
          <t>N/A</t>
        </is>
      </c>
      <c r="U585" s="85" t="n">
        <v>1629</v>
      </c>
      <c r="V585" s="85" t="n">
        <v>3109</v>
      </c>
      <c r="W585" s="85" t="n">
        <v>208105</v>
      </c>
      <c r="X585" s="91" t="inlineStr">
        <is>
          <t>N/A</t>
        </is>
      </c>
      <c r="Y585" s="91" t="inlineStr">
        <is>
          <t>N/A</t>
        </is>
      </c>
      <c r="Z585" s="85" t="n">
        <v>179078</v>
      </c>
      <c r="AA585" s="85" t="n">
        <v>3310</v>
      </c>
      <c r="AB585" s="85" t="n">
        <v>8178.6</v>
      </c>
      <c r="AC585" s="85" t="n">
        <v>2588</v>
      </c>
      <c r="AD585" s="85" t="n">
        <v>3610</v>
      </c>
      <c r="AE585" s="91" t="inlineStr">
        <is>
          <t>N/A</t>
        </is>
      </c>
      <c r="AF585" s="85" t="n">
        <v>12605</v>
      </c>
      <c r="AG585" s="85" t="n">
        <v>29027</v>
      </c>
      <c r="AH585" s="85" t="n">
        <v>8179</v>
      </c>
      <c r="AI585" s="85" t="n">
        <v>208105</v>
      </c>
      <c r="AJ585" s="85" t="n">
        <v>3692</v>
      </c>
      <c r="AK585" s="85" t="n">
        <v>3310</v>
      </c>
      <c r="AL585" s="85" t="n">
        <v>841</v>
      </c>
      <c r="AM585" s="85" t="n">
        <v>722</v>
      </c>
      <c r="AN585" s="85" t="n">
        <v>256</v>
      </c>
      <c r="AO585" s="85" t="n">
        <v>214</v>
      </c>
      <c r="AP585" s="91" t="inlineStr">
        <is>
          <t>N/A</t>
        </is>
      </c>
      <c r="AQ585" s="91" t="inlineStr">
        <is>
          <t>N/A</t>
        </is>
      </c>
      <c r="AR585" s="85" t="n">
        <v>8465</v>
      </c>
      <c r="AS585" s="85" t="n">
        <v>64</v>
      </c>
      <c r="AT585" s="85" t="n">
        <v>2149</v>
      </c>
      <c r="AU585" s="91" t="inlineStr">
        <is>
          <t>N/A</t>
        </is>
      </c>
      <c r="AV585" s="85" t="n">
        <v>1420.9</v>
      </c>
      <c r="AW585" s="85" t="n">
        <v>1320.5</v>
      </c>
      <c r="AX585" s="85" t="n">
        <v>13060</v>
      </c>
      <c r="AY585" s="85" t="n">
        <v>13665</v>
      </c>
      <c r="AZ585" s="85" t="n">
        <v>11639.1</v>
      </c>
      <c r="BA585" s="85" t="n">
        <v>2747</v>
      </c>
      <c r="BB585" s="85" t="n">
        <v>179.4</v>
      </c>
      <c r="BC585" s="85" t="n">
        <v>179.4</v>
      </c>
      <c r="BD585" s="91" t="inlineStr">
        <is>
          <t>N/A</t>
        </is>
      </c>
      <c r="BE585" s="85" t="n">
        <v>1705</v>
      </c>
      <c r="BF585" s="91" t="inlineStr">
        <is>
          <t>N/A</t>
        </is>
      </c>
      <c r="BG585" s="85" t="n">
        <v>109.6</v>
      </c>
      <c r="BH585" s="85" t="n">
        <v>-6816</v>
      </c>
      <c r="BI585" s="85" t="n">
        <v>-550</v>
      </c>
      <c r="BJ585" s="91" t="inlineStr">
        <is>
          <t>N/A</t>
        </is>
      </c>
      <c r="BK585" s="91" t="inlineStr">
        <is>
          <t>N/A</t>
        </is>
      </c>
      <c r="BL585" s="85" t="n">
        <v>54</v>
      </c>
      <c r="BM585" s="85" t="n">
        <v>57</v>
      </c>
      <c r="BN585" s="91" t="inlineStr">
        <is>
          <t>N/A</t>
        </is>
      </c>
      <c r="BO585" s="91" t="inlineStr">
        <is>
          <t>N/A</t>
        </is>
      </c>
      <c r="BP585" s="91" t="inlineStr">
        <is>
          <t>N/A</t>
        </is>
      </c>
      <c r="BQ585" s="91" t="inlineStr">
        <is>
          <t>N/A</t>
        </is>
      </c>
      <c r="BR585" s="91" t="inlineStr">
        <is>
          <t>N/A</t>
        </is>
      </c>
      <c r="BS585" s="91" t="inlineStr">
        <is>
          <t>N/A</t>
        </is>
      </c>
      <c r="BT585" s="91" t="inlineStr">
        <is>
          <t>N/A</t>
        </is>
      </c>
      <c r="BU585" s="91" t="inlineStr">
        <is>
          <t>N/A</t>
        </is>
      </c>
      <c r="BV585" s="91" t="inlineStr">
        <is>
          <t>N/A</t>
        </is>
      </c>
      <c r="BW585" s="85" t="n">
        <v>0</v>
      </c>
      <c r="BX585" s="85" t="n">
        <v>0</v>
      </c>
      <c r="BY585" s="85" t="n">
        <v>0</v>
      </c>
    </row>
    <row r="586" ht="17" customHeight="1">
      <c r="A586" s="86" t="n">
        <v>584</v>
      </c>
      <c r="B586" s="87" t="inlineStr">
        <is>
          <t>PRAX</t>
        </is>
      </c>
      <c r="C586" s="88" t="inlineStr">
        <is>
          <t>PRAXIS PRECISION MEDICINES, INC.</t>
        </is>
      </c>
      <c r="D586" s="86" t="inlineStr">
        <is>
          <t>Health Care</t>
        </is>
      </c>
      <c r="E586" s="86" t="n">
        <v>2026</v>
      </c>
      <c r="F586" s="89" t="n">
        <v>937.9</v>
      </c>
      <c r="G586" s="89" t="n">
        <v>610.9</v>
      </c>
      <c r="H586" s="89" t="n">
        <v>59.8</v>
      </c>
      <c r="I586" s="89" t="n">
        <v>59.8</v>
      </c>
      <c r="J586" s="89" t="n">
        <v>-1140</v>
      </c>
      <c r="K586" s="89" t="n">
        <v>-326.2</v>
      </c>
      <c r="L586" s="90" t="inlineStr">
        <is>
          <t>N/A</t>
        </is>
      </c>
      <c r="M586" s="89" t="n">
        <v>-303.3</v>
      </c>
      <c r="N586" s="89" t="n">
        <v>-249.1</v>
      </c>
      <c r="O586" s="90" t="inlineStr">
        <is>
          <t>N/A</t>
        </is>
      </c>
      <c r="P586" s="90" t="inlineStr">
        <is>
          <t>N/A</t>
        </is>
      </c>
      <c r="Q586" s="89" t="n">
        <v>878.1</v>
      </c>
      <c r="R586" s="89" t="n">
        <v>59.1</v>
      </c>
      <c r="S586" s="89" t="n">
        <v>0.1</v>
      </c>
      <c r="T586" s="90" t="inlineStr">
        <is>
          <t>N/A</t>
        </is>
      </c>
      <c r="U586" s="89" t="n">
        <v>0.1</v>
      </c>
      <c r="V586" s="90" t="inlineStr">
        <is>
          <t>N/A</t>
        </is>
      </c>
      <c r="W586" s="89" t="n">
        <v>483.1</v>
      </c>
      <c r="X586" s="89" t="n">
        <v>404.4</v>
      </c>
      <c r="Y586" s="89" t="n">
        <v>37.5</v>
      </c>
      <c r="Z586" s="89" t="n">
        <v>37.7</v>
      </c>
      <c r="AA586" s="89" t="n">
        <v>-200.2</v>
      </c>
      <c r="AB586" s="89" t="n">
        <v>8.6</v>
      </c>
      <c r="AC586" s="89" t="n">
        <v>-182.8</v>
      </c>
      <c r="AD586" s="89" t="n">
        <v>-131.8</v>
      </c>
      <c r="AE586" s="89" t="n">
        <v>-200.2</v>
      </c>
      <c r="AF586" s="90" t="inlineStr">
        <is>
          <t>N/A</t>
        </is>
      </c>
      <c r="AG586" s="89" t="n">
        <v>445.4</v>
      </c>
      <c r="AH586" s="89" t="n">
        <v>8.6</v>
      </c>
      <c r="AI586" s="89" t="n">
        <v>483.1</v>
      </c>
      <c r="AJ586" s="89" t="n">
        <v>-302.8</v>
      </c>
      <c r="AK586" s="89" t="n">
        <v>-182.7</v>
      </c>
      <c r="AL586" s="89" t="n">
        <v>0.5</v>
      </c>
      <c r="AM586" s="90" t="inlineStr">
        <is>
          <t>N/A</t>
        </is>
      </c>
      <c r="AN586" s="89" t="n">
        <v>0.1</v>
      </c>
      <c r="AO586" s="90" t="inlineStr">
        <is>
          <t>N/A</t>
        </is>
      </c>
      <c r="AP586" s="90" t="inlineStr">
        <is>
          <t>N/A</t>
        </is>
      </c>
      <c r="AQ586" s="90" t="inlineStr">
        <is>
          <t>N/A</t>
        </is>
      </c>
      <c r="AR586" s="90" t="inlineStr">
        <is>
          <t>N/A</t>
        </is>
      </c>
      <c r="AS586" s="90" t="inlineStr">
        <is>
          <t>N/A</t>
        </is>
      </c>
      <c r="AT586" s="90" t="inlineStr">
        <is>
          <t>N/A</t>
        </is>
      </c>
      <c r="AU586" s="89" t="n">
        <v>267.1</v>
      </c>
      <c r="AV586" s="89" t="n">
        <v>357.3</v>
      </c>
      <c r="AW586" s="89" t="n">
        <v>215.4</v>
      </c>
      <c r="AX586" s="90" t="inlineStr">
        <is>
          <t>N/A</t>
        </is>
      </c>
      <c r="AY586" s="90" t="inlineStr">
        <is>
          <t>N/A</t>
        </is>
      </c>
      <c r="AZ586" s="90" t="inlineStr">
        <is>
          <t>N/A</t>
        </is>
      </c>
      <c r="BA586" s="89" t="n">
        <v>-249.1</v>
      </c>
      <c r="BB586" s="89" t="n">
        <v>25.2</v>
      </c>
      <c r="BC586" s="89" t="n">
        <v>19.4</v>
      </c>
      <c r="BD586" s="90" t="inlineStr">
        <is>
          <t>N/A</t>
        </is>
      </c>
      <c r="BE586" s="89" t="n">
        <v>0.2</v>
      </c>
      <c r="BF586" s="89" t="n">
        <v>56.3</v>
      </c>
      <c r="BG586" s="89" t="n">
        <v>0.4</v>
      </c>
      <c r="BH586" s="89" t="n">
        <v>-311.1</v>
      </c>
      <c r="BI586" s="89" t="n">
        <v>-248.5</v>
      </c>
      <c r="BJ586" s="89" t="n">
        <v>24.6</v>
      </c>
      <c r="BK586" s="89" t="n">
        <v>12.5</v>
      </c>
      <c r="BL586" s="90" t="inlineStr">
        <is>
          <t>N/A</t>
        </is>
      </c>
      <c r="BM586" s="89" t="n">
        <v>1.4</v>
      </c>
      <c r="BN586" s="90" t="inlineStr">
        <is>
          <t>N/A</t>
        </is>
      </c>
      <c r="BO586" s="89" t="n">
        <v>326.2</v>
      </c>
      <c r="BP586" s="89" t="n">
        <v>208.7</v>
      </c>
      <c r="BQ586" s="90" t="inlineStr">
        <is>
          <t>N/A</t>
        </is>
      </c>
      <c r="BR586" s="90" t="inlineStr">
        <is>
          <t>N/A</t>
        </is>
      </c>
      <c r="BS586" s="90" t="inlineStr">
        <is>
          <t>N/A</t>
        </is>
      </c>
      <c r="BT586" s="90" t="inlineStr">
        <is>
          <t>N/A</t>
        </is>
      </c>
      <c r="BU586" s="89" t="n">
        <v>0</v>
      </c>
      <c r="BV586" s="89" t="n">
        <v>0</v>
      </c>
      <c r="BW586" s="89" t="n">
        <v>0</v>
      </c>
      <c r="BX586" s="90" t="inlineStr">
        <is>
          <t>N/A</t>
        </is>
      </c>
      <c r="BY586" s="89" t="n">
        <v>-0</v>
      </c>
    </row>
    <row r="587" ht="17" customHeight="1">
      <c r="A587" s="82" t="n">
        <v>585</v>
      </c>
      <c r="B587" s="83" t="inlineStr">
        <is>
          <t>CSGP</t>
        </is>
      </c>
      <c r="C587" s="84" t="inlineStr">
        <is>
          <t>COSTAR GROUP, INC.</t>
        </is>
      </c>
      <c r="D587" s="82" t="inlineStr">
        <is>
          <t>Financials</t>
        </is>
      </c>
      <c r="E587" s="82" t="n">
        <v>2026</v>
      </c>
      <c r="F587" s="85" t="n">
        <v>10538</v>
      </c>
      <c r="G587" s="85" t="n">
        <v>2119</v>
      </c>
      <c r="H587" s="85" t="n">
        <v>746</v>
      </c>
      <c r="I587" s="85" t="n">
        <v>2167</v>
      </c>
      <c r="J587" s="85" t="n">
        <v>2350</v>
      </c>
      <c r="K587" s="85" t="n">
        <v>-72</v>
      </c>
      <c r="L587" s="85" t="n">
        <v>965.2</v>
      </c>
      <c r="M587" s="85" t="n">
        <v>7</v>
      </c>
      <c r="N587" s="85" t="n">
        <v>430</v>
      </c>
      <c r="O587" s="85" t="n">
        <v>2561</v>
      </c>
      <c r="P587" s="85" t="n">
        <v>140</v>
      </c>
      <c r="Q587" s="85" t="n">
        <v>8334</v>
      </c>
      <c r="R587" s="85" t="n">
        <v>549</v>
      </c>
      <c r="S587" s="85" t="n">
        <v>263</v>
      </c>
      <c r="T587" s="85" t="n">
        <v>234</v>
      </c>
      <c r="U587" s="85" t="n">
        <v>1323</v>
      </c>
      <c r="V587" s="85" t="n">
        <v>2.6</v>
      </c>
      <c r="W587" s="85" t="n">
        <v>9256.799999999999</v>
      </c>
      <c r="X587" s="85" t="n">
        <v>4950.2</v>
      </c>
      <c r="Y587" s="85" t="n">
        <v>552.3</v>
      </c>
      <c r="Z587" s="85" t="n">
        <v>1703.3</v>
      </c>
      <c r="AA587" s="85" t="n">
        <v>4.7</v>
      </c>
      <c r="AB587" s="85" t="n">
        <v>254</v>
      </c>
      <c r="AC587" s="85" t="n">
        <v>138.7</v>
      </c>
      <c r="AD587" s="85" t="n">
        <v>392.6</v>
      </c>
      <c r="AE587" s="85" t="n">
        <v>2177.7</v>
      </c>
      <c r="AF587" s="85" t="n">
        <v>1000</v>
      </c>
      <c r="AG587" s="85" t="n">
        <v>7553.5</v>
      </c>
      <c r="AH587" s="85" t="n">
        <v>247.5</v>
      </c>
      <c r="AI587" s="85" t="n">
        <v>9257</v>
      </c>
      <c r="AJ587" s="85" t="n">
        <v>30</v>
      </c>
      <c r="AK587" s="85" t="n">
        <v>210.1</v>
      </c>
      <c r="AL587" s="85" t="n">
        <v>23</v>
      </c>
      <c r="AM587" s="85" t="n">
        <v>71.40000000000001</v>
      </c>
      <c r="AN587" s="85" t="n">
        <v>307</v>
      </c>
      <c r="AO587" s="85" t="n">
        <v>579</v>
      </c>
      <c r="AP587" s="85" t="n">
        <v>6</v>
      </c>
      <c r="AQ587" s="91" t="inlineStr">
        <is>
          <t>N/A</t>
        </is>
      </c>
      <c r="AR587" s="85" t="n">
        <v>4944</v>
      </c>
      <c r="AS587" s="85" t="n">
        <v>1771</v>
      </c>
      <c r="AT587" s="91" t="inlineStr">
        <is>
          <t>N/A</t>
        </is>
      </c>
      <c r="AU587" s="91" t="inlineStr">
        <is>
          <t>N/A</t>
        </is>
      </c>
      <c r="AV587" s="85" t="n">
        <v>1633</v>
      </c>
      <c r="AW587" s="85" t="n">
        <v>4700</v>
      </c>
      <c r="AX587" s="85" t="n">
        <v>140</v>
      </c>
      <c r="AY587" s="85" t="n">
        <v>1000</v>
      </c>
      <c r="AZ587" s="85" t="n">
        <v>-1493</v>
      </c>
      <c r="BA587" s="85" t="n">
        <v>123</v>
      </c>
      <c r="BB587" s="85" t="n">
        <v>417.9</v>
      </c>
      <c r="BC587" s="85" t="n">
        <v>409.5</v>
      </c>
      <c r="BD587" s="85" t="n">
        <v>187.9</v>
      </c>
      <c r="BE587" s="85" t="n">
        <v>1014.9</v>
      </c>
      <c r="BF587" s="85" t="n">
        <v>439.1</v>
      </c>
      <c r="BG587" s="85" t="n">
        <v>146.9</v>
      </c>
      <c r="BH587" s="85" t="n">
        <v>-2816</v>
      </c>
      <c r="BI587" s="85" t="n">
        <v>-912.9</v>
      </c>
      <c r="BJ587" s="85" t="n">
        <v>42</v>
      </c>
      <c r="BK587" s="85" t="n">
        <v>47</v>
      </c>
      <c r="BL587" s="85" t="n">
        <v>45.7</v>
      </c>
      <c r="BM587" s="85" t="n">
        <v>39.2</v>
      </c>
      <c r="BN587" s="85" t="n">
        <v>1</v>
      </c>
      <c r="BO587" s="85" t="n">
        <v>686</v>
      </c>
      <c r="BP587" s="85" t="n">
        <v>558.5</v>
      </c>
      <c r="BQ587" s="85" t="n">
        <v>0</v>
      </c>
      <c r="BR587" s="85" t="n">
        <v>0</v>
      </c>
      <c r="BS587" s="85" t="n">
        <v>0</v>
      </c>
      <c r="BT587" s="91" t="inlineStr">
        <is>
          <t>N/A</t>
        </is>
      </c>
      <c r="BU587" s="85" t="n">
        <v>0</v>
      </c>
      <c r="BV587" s="85" t="n">
        <v>0</v>
      </c>
      <c r="BW587" s="85" t="n">
        <v>0</v>
      </c>
      <c r="BX587" s="85" t="n">
        <v>0</v>
      </c>
      <c r="BY587" s="85" t="n">
        <v>0</v>
      </c>
    </row>
    <row r="588" ht="17" customHeight="1">
      <c r="A588" s="86" t="n">
        <v>586</v>
      </c>
      <c r="B588" s="87" t="inlineStr">
        <is>
          <t>AMKR</t>
        </is>
      </c>
      <c r="C588" s="88" t="inlineStr">
        <is>
          <t>AMKOR TECHNOLOGY, INC.</t>
        </is>
      </c>
      <c r="D588" s="86" t="inlineStr">
        <is>
          <t>Information Technology</t>
        </is>
      </c>
      <c r="E588" s="86" t="n">
        <v>2026</v>
      </c>
      <c r="F588" s="89" t="n">
        <v>8136.3</v>
      </c>
      <c r="G588" s="89" t="n">
        <v>3884.8</v>
      </c>
      <c r="H588" s="89" t="n">
        <v>1712</v>
      </c>
      <c r="I588" s="89" t="n">
        <v>3630</v>
      </c>
      <c r="J588" s="89" t="n">
        <v>2627</v>
      </c>
      <c r="K588" s="89" t="n">
        <v>467.4</v>
      </c>
      <c r="L588" s="89" t="n">
        <v>4052.7</v>
      </c>
      <c r="M588" s="89" t="n">
        <v>373.9</v>
      </c>
      <c r="N588" s="89" t="n">
        <v>1095.6</v>
      </c>
      <c r="O588" s="89" t="n">
        <v>938.6</v>
      </c>
      <c r="P588" s="89" t="n">
        <v>1282.8</v>
      </c>
      <c r="Q588" s="89" t="n">
        <v>4471.1</v>
      </c>
      <c r="R588" s="89" t="n">
        <v>304.5</v>
      </c>
      <c r="S588" s="89" t="n">
        <v>642</v>
      </c>
      <c r="T588" s="89" t="n">
        <v>1354.8</v>
      </c>
      <c r="U588" s="89" t="n">
        <v>2566</v>
      </c>
      <c r="V588" s="89" t="n">
        <v>59</v>
      </c>
      <c r="W588" s="89" t="n">
        <v>6944.3</v>
      </c>
      <c r="X588" s="89" t="n">
        <v>3073.5</v>
      </c>
      <c r="Y588" s="89" t="n">
        <v>1455.3</v>
      </c>
      <c r="Z588" s="89" t="n">
        <v>2761.2</v>
      </c>
      <c r="AA588" s="89" t="n">
        <v>438.5</v>
      </c>
      <c r="AB588" s="89" t="n">
        <v>1178.5</v>
      </c>
      <c r="AC588" s="89" t="n">
        <v>354</v>
      </c>
      <c r="AD588" s="89" t="n">
        <v>1088.9</v>
      </c>
      <c r="AE588" s="89" t="n">
        <v>933.2</v>
      </c>
      <c r="AF588" s="89" t="n">
        <v>923.4</v>
      </c>
      <c r="AG588" s="89" t="n">
        <v>4149.5</v>
      </c>
      <c r="AH588" s="89" t="n">
        <v>1083.9</v>
      </c>
      <c r="AI588" s="89" t="n">
        <v>6944.3</v>
      </c>
      <c r="AJ588" s="89" t="n">
        <v>444.6</v>
      </c>
      <c r="AK588" s="89" t="n">
        <v>431</v>
      </c>
      <c r="AL588" s="89" t="n">
        <v>68.5</v>
      </c>
      <c r="AM588" s="89" t="n">
        <v>75.5</v>
      </c>
      <c r="AN588" s="89" t="n">
        <v>904.6</v>
      </c>
      <c r="AO588" s="89" t="n">
        <v>743.8</v>
      </c>
      <c r="AP588" s="89" t="n">
        <v>437.8</v>
      </c>
      <c r="AQ588" s="89" t="n">
        <v>310.9</v>
      </c>
      <c r="AR588" s="89" t="n">
        <v>18</v>
      </c>
      <c r="AS588" s="89" t="n">
        <v>3.2</v>
      </c>
      <c r="AT588" s="89" t="n">
        <v>162.4</v>
      </c>
      <c r="AU588" s="89" t="n">
        <v>166.7</v>
      </c>
      <c r="AV588" s="89" t="n">
        <v>1378.3</v>
      </c>
      <c r="AW588" s="89" t="n">
        <v>1133.6</v>
      </c>
      <c r="AX588" s="89" t="n">
        <v>1445.2</v>
      </c>
      <c r="AY588" s="89" t="n">
        <v>1159.5</v>
      </c>
      <c r="AZ588" s="89" t="n">
        <v>66.90000000000001</v>
      </c>
      <c r="BA588" s="89" t="n">
        <v>191</v>
      </c>
      <c r="BB588" s="89" t="n">
        <v>247.3</v>
      </c>
      <c r="BC588" s="89" t="n">
        <v>246.7</v>
      </c>
      <c r="BD588" s="89" t="n">
        <v>1055</v>
      </c>
      <c r="BE588" s="89" t="n">
        <v>2404.8</v>
      </c>
      <c r="BF588" s="89" t="n">
        <v>331.8</v>
      </c>
      <c r="BG588" s="89" t="n">
        <v>594.7</v>
      </c>
      <c r="BH588" s="89" t="n">
        <v>-885</v>
      </c>
      <c r="BI588" s="89" t="n">
        <v>-800.3</v>
      </c>
      <c r="BJ588" s="89" t="n">
        <v>912.8</v>
      </c>
      <c r="BK588" s="89" t="n">
        <v>712.9</v>
      </c>
      <c r="BL588" s="89" t="n">
        <v>69.59999999999999</v>
      </c>
      <c r="BM588" s="89" t="n">
        <v>59.7</v>
      </c>
      <c r="BN588" s="89" t="n">
        <v>32.8</v>
      </c>
      <c r="BO588" s="89" t="n">
        <v>5769.4</v>
      </c>
      <c r="BP588" s="89" t="n">
        <v>5384.5</v>
      </c>
      <c r="BQ588" s="89" t="n">
        <v>0</v>
      </c>
      <c r="BR588" s="89" t="n">
        <v>0</v>
      </c>
      <c r="BS588" s="89" t="n">
        <v>0</v>
      </c>
      <c r="BT588" s="89" t="n">
        <v>0</v>
      </c>
      <c r="BU588" s="89" t="n">
        <v>0</v>
      </c>
      <c r="BV588" s="89" t="n">
        <v>0</v>
      </c>
      <c r="BW588" s="89" t="n">
        <v>0</v>
      </c>
      <c r="BX588" s="89" t="n">
        <v>0</v>
      </c>
      <c r="BY588" s="89" t="n">
        <v>0</v>
      </c>
    </row>
    <row r="589" ht="17" customHeight="1">
      <c r="A589" s="82" t="n">
        <v>587</v>
      </c>
      <c r="B589" s="83" t="inlineStr">
        <is>
          <t>IPGP</t>
        </is>
      </c>
      <c r="C589" s="84" t="inlineStr">
        <is>
          <t>IPG PHOTONICS CORP</t>
        </is>
      </c>
      <c r="D589" s="82" t="inlineStr">
        <is>
          <t>Information Technology</t>
        </is>
      </c>
      <c r="E589" s="82" t="n">
        <v>2026</v>
      </c>
      <c r="F589" s="85" t="n">
        <v>2424.3</v>
      </c>
      <c r="G589" s="85" t="n">
        <v>1423.4</v>
      </c>
      <c r="H589" s="85" t="n">
        <v>234</v>
      </c>
      <c r="I589" s="85" t="n">
        <v>296.1</v>
      </c>
      <c r="J589" s="85" t="n">
        <v>2645</v>
      </c>
      <c r="K589" s="85" t="n">
        <v>13.1</v>
      </c>
      <c r="L589" s="85" t="n">
        <v>1003.8</v>
      </c>
      <c r="M589" s="85" t="n">
        <v>31.1</v>
      </c>
      <c r="N589" s="85" t="n">
        <v>75.3</v>
      </c>
      <c r="O589" s="85" t="n">
        <v>381.5</v>
      </c>
      <c r="P589" s="85" t="n">
        <v>16</v>
      </c>
      <c r="Q589" s="85" t="n">
        <v>2128.1</v>
      </c>
      <c r="R589" s="85" t="n">
        <v>143.1</v>
      </c>
      <c r="S589" s="85" t="n">
        <v>66.90000000000001</v>
      </c>
      <c r="T589" s="85" t="n">
        <v>181.7</v>
      </c>
      <c r="U589" s="85" t="n">
        <v>637.5</v>
      </c>
      <c r="V589" s="85" t="n">
        <v>0.7</v>
      </c>
      <c r="W589" s="85" t="n">
        <v>2289.3</v>
      </c>
      <c r="X589" s="85" t="n">
        <v>1431</v>
      </c>
      <c r="Y589" s="85" t="n">
        <v>205</v>
      </c>
      <c r="Z589" s="85" t="n">
        <v>264.8</v>
      </c>
      <c r="AA589" s="85" t="n">
        <v>-208.3</v>
      </c>
      <c r="AB589" s="85" t="n">
        <v>977.1</v>
      </c>
      <c r="AC589" s="85" t="n">
        <v>-181.5</v>
      </c>
      <c r="AD589" s="85" t="n">
        <v>247.9</v>
      </c>
      <c r="AE589" s="85" t="n">
        <v>338.2</v>
      </c>
      <c r="AF589" s="85" t="n">
        <v>34.2</v>
      </c>
      <c r="AG589" s="85" t="n">
        <v>2024.5</v>
      </c>
      <c r="AH589" s="85" t="n">
        <v>977.1</v>
      </c>
      <c r="AI589" s="85" t="n">
        <v>2289.3</v>
      </c>
      <c r="AJ589" s="85" t="n">
        <v>45.1</v>
      </c>
      <c r="AK589" s="85" t="n">
        <v>-161.9</v>
      </c>
      <c r="AL589" s="85" t="n">
        <v>14</v>
      </c>
      <c r="AM589" s="85" t="n">
        <v>19.6</v>
      </c>
      <c r="AN589" s="85" t="n">
        <v>78.8</v>
      </c>
      <c r="AO589" s="85" t="n">
        <v>98.5</v>
      </c>
      <c r="AP589" s="85" t="n">
        <v>313.4</v>
      </c>
      <c r="AQ589" s="85" t="n">
        <v>284.8</v>
      </c>
      <c r="AR589" s="85" t="n">
        <v>71.7</v>
      </c>
      <c r="AS589" s="85" t="n">
        <v>49.9</v>
      </c>
      <c r="AT589" s="91" t="inlineStr">
        <is>
          <t>N/A</t>
        </is>
      </c>
      <c r="AU589" s="85" t="n">
        <v>117.4</v>
      </c>
      <c r="AV589" s="85" t="n">
        <v>403.8</v>
      </c>
      <c r="AW589" s="85" t="n">
        <v>620</v>
      </c>
      <c r="AX589" s="85" t="n">
        <v>16</v>
      </c>
      <c r="AY589" s="85" t="n">
        <v>34.2</v>
      </c>
      <c r="AZ589" s="85" t="n">
        <v>-387.8</v>
      </c>
      <c r="BA589" s="85" t="n">
        <v>-3.5</v>
      </c>
      <c r="BB589" s="85" t="n">
        <v>42.1</v>
      </c>
      <c r="BC589" s="85" t="n">
        <v>42.5</v>
      </c>
      <c r="BD589" s="85" t="n">
        <v>171.1</v>
      </c>
      <c r="BE589" s="85" t="n">
        <v>588.4</v>
      </c>
      <c r="BF589" s="85" t="n">
        <v>124.3</v>
      </c>
      <c r="BG589" s="85" t="n">
        <v>61.4</v>
      </c>
      <c r="BH589" s="85" t="n">
        <v>-265.2</v>
      </c>
      <c r="BI589" s="85" t="n">
        <v>208.7</v>
      </c>
      <c r="BJ589" s="85" t="n">
        <v>39.3</v>
      </c>
      <c r="BK589" s="85" t="n">
        <v>35.4</v>
      </c>
      <c r="BL589" s="85" t="n">
        <v>66.2</v>
      </c>
      <c r="BM589" s="85" t="n">
        <v>56.5</v>
      </c>
      <c r="BN589" s="85" t="n">
        <v>9.9</v>
      </c>
      <c r="BO589" s="85" t="n">
        <v>622.3</v>
      </c>
      <c r="BP589" s="85" t="n">
        <v>639</v>
      </c>
      <c r="BQ589" s="85" t="n">
        <v>0</v>
      </c>
      <c r="BR589" s="85" t="n">
        <v>0</v>
      </c>
      <c r="BS589" s="85" t="n">
        <v>0</v>
      </c>
      <c r="BT589" s="85" t="n">
        <v>0</v>
      </c>
      <c r="BU589" s="85" t="n">
        <v>0</v>
      </c>
      <c r="BV589" s="85" t="n">
        <v>0</v>
      </c>
      <c r="BW589" s="85" t="n">
        <v>0</v>
      </c>
      <c r="BX589" s="85" t="n">
        <v>0</v>
      </c>
      <c r="BY589" s="85" t="n">
        <v>0</v>
      </c>
    </row>
    <row r="590" ht="17" customHeight="1">
      <c r="A590" s="86" t="n">
        <v>588</v>
      </c>
      <c r="B590" s="87" t="inlineStr">
        <is>
          <t>PGR</t>
        </is>
      </c>
      <c r="C590" s="88" t="inlineStr">
        <is>
          <t>PROGRESSIVE CORP/OH/</t>
        </is>
      </c>
      <c r="D590" s="86" t="inlineStr">
        <is>
          <t>Financials</t>
        </is>
      </c>
      <c r="E590" s="86" t="n">
        <v>2026</v>
      </c>
      <c r="F590" s="89" t="n">
        <v>123039</v>
      </c>
      <c r="G590" s="90" t="inlineStr">
        <is>
          <t>N/A</t>
        </is>
      </c>
      <c r="H590" s="90" t="inlineStr">
        <is>
          <t>N/A</t>
        </is>
      </c>
      <c r="I590" s="89" t="n">
        <v>92716</v>
      </c>
      <c r="J590" s="89" t="n">
        <v>27327</v>
      </c>
      <c r="K590" s="89" t="n">
        <v>14223</v>
      </c>
      <c r="L590" s="89" t="n">
        <v>87671</v>
      </c>
      <c r="M590" s="89" t="n">
        <v>11308</v>
      </c>
      <c r="N590" s="89" t="n">
        <v>17548</v>
      </c>
      <c r="O590" s="89" t="n">
        <v>14223</v>
      </c>
      <c r="P590" s="89" t="n">
        <v>2707.9</v>
      </c>
      <c r="Q590" s="89" t="n">
        <v>30323</v>
      </c>
      <c r="R590" s="90" t="inlineStr">
        <is>
          <t>N/A</t>
        </is>
      </c>
      <c r="S590" s="89" t="n">
        <v>313</v>
      </c>
      <c r="T590" s="90" t="inlineStr">
        <is>
          <t>N/A</t>
        </is>
      </c>
      <c r="U590" s="89" t="n">
        <v>783</v>
      </c>
      <c r="V590" s="89" t="n">
        <v>278</v>
      </c>
      <c r="W590" s="89" t="n">
        <v>105745</v>
      </c>
      <c r="X590" s="90" t="inlineStr">
        <is>
          <t>N/A</t>
        </is>
      </c>
      <c r="Y590" s="90" t="inlineStr">
        <is>
          <t>N/A</t>
        </is>
      </c>
      <c r="Z590" s="89" t="n">
        <v>80154</v>
      </c>
      <c r="AA590" s="89" t="n">
        <v>10713</v>
      </c>
      <c r="AB590" s="89" t="n">
        <v>75372</v>
      </c>
      <c r="AC590" s="89" t="n">
        <v>8480</v>
      </c>
      <c r="AD590" s="89" t="n">
        <v>15119</v>
      </c>
      <c r="AE590" s="89" t="n">
        <v>10713</v>
      </c>
      <c r="AF590" s="89" t="n">
        <v>2164.7</v>
      </c>
      <c r="AG590" s="89" t="n">
        <v>25591</v>
      </c>
      <c r="AH590" s="89" t="n">
        <v>75372</v>
      </c>
      <c r="AI590" s="89" t="n">
        <v>105745</v>
      </c>
      <c r="AJ590" s="89" t="n">
        <v>14223</v>
      </c>
      <c r="AK590" s="89" t="n">
        <v>10713</v>
      </c>
      <c r="AL590" s="89" t="n">
        <v>2915</v>
      </c>
      <c r="AM590" s="89" t="n">
        <v>2233</v>
      </c>
      <c r="AN590" s="89" t="n">
        <v>348</v>
      </c>
      <c r="AO590" s="89" t="n">
        <v>285</v>
      </c>
      <c r="AP590" s="90" t="inlineStr">
        <is>
          <t>N/A</t>
        </is>
      </c>
      <c r="AQ590" s="90" t="inlineStr">
        <is>
          <t>N/A</t>
        </is>
      </c>
      <c r="AR590" s="89" t="n">
        <v>228</v>
      </c>
      <c r="AS590" s="89" t="n">
        <v>86.3</v>
      </c>
      <c r="AT590" s="90" t="inlineStr">
        <is>
          <t>N/A</t>
        </is>
      </c>
      <c r="AU590" s="90" t="inlineStr">
        <is>
          <t>N/A</t>
        </is>
      </c>
      <c r="AV590" s="90" t="inlineStr">
        <is>
          <t>N/A</t>
        </is>
      </c>
      <c r="AW590" s="90" t="inlineStr">
        <is>
          <t>N/A</t>
        </is>
      </c>
      <c r="AX590" s="89" t="n">
        <v>2707.9</v>
      </c>
      <c r="AY590" s="89" t="n">
        <v>2164.7</v>
      </c>
      <c r="AZ590" s="89" t="n">
        <v>2707.9</v>
      </c>
      <c r="BA590" s="89" t="n">
        <v>17200</v>
      </c>
      <c r="BB590" s="89" t="n">
        <v>798</v>
      </c>
      <c r="BC590" s="89" t="n">
        <v>798</v>
      </c>
      <c r="BD590" s="90" t="inlineStr">
        <is>
          <t>N/A</t>
        </is>
      </c>
      <c r="BE590" s="89" t="n">
        <v>790</v>
      </c>
      <c r="BF590" s="90" t="inlineStr">
        <is>
          <t>N/A</t>
        </is>
      </c>
      <c r="BG590" s="89" t="n">
        <v>284</v>
      </c>
      <c r="BH590" s="89" t="n">
        <v>-14527</v>
      </c>
      <c r="BI590" s="89" t="n">
        <v>-13749</v>
      </c>
      <c r="BJ590" s="90" t="inlineStr">
        <is>
          <t>N/A</t>
        </is>
      </c>
      <c r="BK590" s="90" t="inlineStr">
        <is>
          <t>N/A</t>
        </is>
      </c>
      <c r="BL590" s="90" t="inlineStr">
        <is>
          <t>N/A</t>
        </is>
      </c>
      <c r="BM590" s="90" t="inlineStr">
        <is>
          <t>N/A</t>
        </is>
      </c>
      <c r="BN590" s="90" t="inlineStr">
        <is>
          <t>N/A</t>
        </is>
      </c>
      <c r="BO590" s="89" t="n">
        <v>73448</v>
      </c>
      <c r="BP590" s="89" t="n">
        <v>64659</v>
      </c>
      <c r="BQ590" s="90" t="inlineStr">
        <is>
          <t>N/A</t>
        </is>
      </c>
      <c r="BR590" s="90" t="inlineStr">
        <is>
          <t>N/A</t>
        </is>
      </c>
      <c r="BS590" s="90" t="inlineStr">
        <is>
          <t>N/A</t>
        </is>
      </c>
      <c r="BT590" s="90" t="inlineStr">
        <is>
          <t>N/A</t>
        </is>
      </c>
      <c r="BU590" s="90" t="inlineStr">
        <is>
          <t>N/A</t>
        </is>
      </c>
      <c r="BV590" s="90" t="inlineStr">
        <is>
          <t>N/A</t>
        </is>
      </c>
      <c r="BW590" s="89" t="n">
        <v>0</v>
      </c>
      <c r="BX590" s="89" t="n">
        <v>0</v>
      </c>
      <c r="BY590" s="89" t="n">
        <v>0</v>
      </c>
    </row>
    <row r="591" ht="17" customHeight="1">
      <c r="A591" s="82" t="n">
        <v>589</v>
      </c>
      <c r="B591" s="83" t="inlineStr">
        <is>
          <t>FE</t>
        </is>
      </c>
      <c r="C591" s="84" t="inlineStr">
        <is>
          <t>FIRSTENERGY CORP</t>
        </is>
      </c>
      <c r="D591" s="82" t="inlineStr">
        <is>
          <t>Utilities</t>
        </is>
      </c>
      <c r="E591" s="82" t="n">
        <v>2026</v>
      </c>
      <c r="F591" s="85" t="n">
        <v>55904</v>
      </c>
      <c r="G591" s="85" t="n">
        <v>2979</v>
      </c>
      <c r="H591" s="85" t="n">
        <v>5271</v>
      </c>
      <c r="I591" s="85" t="n">
        <v>41978</v>
      </c>
      <c r="J591" s="85" t="n">
        <v>35</v>
      </c>
      <c r="K591" s="85" t="n">
        <v>2206</v>
      </c>
      <c r="L591" s="85" t="n">
        <v>15090</v>
      </c>
      <c r="M591" s="85" t="n">
        <v>1020</v>
      </c>
      <c r="N591" s="85" t="n">
        <v>3700</v>
      </c>
      <c r="O591" s="85" t="n">
        <v>12393</v>
      </c>
      <c r="P591" s="91" t="inlineStr">
        <is>
          <t>N/A</t>
        </is>
      </c>
      <c r="Q591" s="85" t="n">
        <v>12510</v>
      </c>
      <c r="R591" s="91" t="inlineStr">
        <is>
          <t>N/A</t>
        </is>
      </c>
      <c r="S591" s="85" t="n">
        <v>1056</v>
      </c>
      <c r="T591" s="85" t="n">
        <v>1726</v>
      </c>
      <c r="U591" s="85" t="n">
        <v>38412</v>
      </c>
      <c r="V591" s="85" t="n">
        <v>1124</v>
      </c>
      <c r="W591" s="85" t="n">
        <v>52044</v>
      </c>
      <c r="X591" s="85" t="n">
        <v>2776</v>
      </c>
      <c r="Y591" s="85" t="n">
        <v>4997</v>
      </c>
      <c r="Z591" s="85" t="n">
        <v>38324</v>
      </c>
      <c r="AA591" s="85" t="n">
        <v>2375</v>
      </c>
      <c r="AB591" s="85" t="n">
        <v>13472</v>
      </c>
      <c r="AC591" s="85" t="n">
        <v>978</v>
      </c>
      <c r="AD591" s="85" t="n">
        <v>2891</v>
      </c>
      <c r="AE591" s="85" t="n">
        <v>10427</v>
      </c>
      <c r="AF591" s="91" t="inlineStr">
        <is>
          <t>N/A</t>
        </is>
      </c>
      <c r="AG591" s="85" t="n">
        <v>12455</v>
      </c>
      <c r="AH591" s="85" t="n">
        <v>13472</v>
      </c>
      <c r="AI591" s="85" t="n">
        <v>52044</v>
      </c>
      <c r="AJ591" s="85" t="n">
        <v>1559</v>
      </c>
      <c r="AK591" s="85" t="n">
        <v>1504</v>
      </c>
      <c r="AL591" s="85" t="n">
        <v>288</v>
      </c>
      <c r="AM591" s="85" t="n">
        <v>377</v>
      </c>
      <c r="AN591" s="85" t="n">
        <v>4705</v>
      </c>
      <c r="AO591" s="85" t="n">
        <v>4030</v>
      </c>
      <c r="AP591" s="85" t="n">
        <v>577</v>
      </c>
      <c r="AQ591" s="85" t="n">
        <v>549</v>
      </c>
      <c r="AR591" s="85" t="n">
        <v>5618</v>
      </c>
      <c r="AS591" s="85" t="n">
        <v>73</v>
      </c>
      <c r="AT591" s="85" t="n">
        <v>325</v>
      </c>
      <c r="AU591" s="91" t="inlineStr">
        <is>
          <t>N/A</t>
        </is>
      </c>
      <c r="AV591" s="85" t="n">
        <v>57</v>
      </c>
      <c r="AW591" s="85" t="n">
        <v>111</v>
      </c>
      <c r="AX591" s="85" t="n">
        <v>325</v>
      </c>
      <c r="AY591" s="91" t="inlineStr">
        <is>
          <t>N/A</t>
        </is>
      </c>
      <c r="AZ591" s="85" t="n">
        <v>268</v>
      </c>
      <c r="BA591" s="85" t="n">
        <v>-1005</v>
      </c>
      <c r="BB591" s="85" t="n">
        <v>577.9</v>
      </c>
      <c r="BC591" s="85" t="n">
        <v>576.6</v>
      </c>
      <c r="BD591" s="85" t="n">
        <v>1530</v>
      </c>
      <c r="BE591" s="85" t="n">
        <v>36285</v>
      </c>
      <c r="BF591" s="91" t="inlineStr">
        <is>
          <t>N/A</t>
        </is>
      </c>
      <c r="BG591" s="85" t="n">
        <v>1395</v>
      </c>
      <c r="BH591" s="85" t="n">
        <v>-5065</v>
      </c>
      <c r="BI591" s="85" t="n">
        <v>-4350</v>
      </c>
      <c r="BJ591" s="85" t="n">
        <v>2002</v>
      </c>
      <c r="BK591" s="85" t="n">
        <v>1575</v>
      </c>
      <c r="BL591" s="85" t="n">
        <v>250</v>
      </c>
      <c r="BM591" s="85" t="n">
        <v>233</v>
      </c>
      <c r="BN591" s="85" t="n">
        <v>768</v>
      </c>
      <c r="BO591" s="85" t="n">
        <v>2697</v>
      </c>
      <c r="BP591" s="85" t="n">
        <v>3045</v>
      </c>
      <c r="BQ591" s="85" t="n">
        <v>0</v>
      </c>
      <c r="BR591" s="85" t="n">
        <v>0</v>
      </c>
      <c r="BS591" s="85" t="n">
        <v>0</v>
      </c>
      <c r="BT591" s="85" t="n">
        <v>0</v>
      </c>
      <c r="BU591" s="85" t="n">
        <v>0</v>
      </c>
      <c r="BV591" s="85" t="n">
        <v>0</v>
      </c>
      <c r="BW591" s="85" t="n">
        <v>0</v>
      </c>
      <c r="BX591" s="85" t="n">
        <v>0</v>
      </c>
      <c r="BY591" s="85" t="n">
        <v>0</v>
      </c>
    </row>
    <row r="592" ht="17" customHeight="1">
      <c r="A592" s="86" t="n">
        <v>590</v>
      </c>
      <c r="B592" s="87" t="inlineStr">
        <is>
          <t>MDLZ</t>
        </is>
      </c>
      <c r="C592" s="88" t="inlineStr">
        <is>
          <t>Mondelez International, Inc.</t>
        </is>
      </c>
      <c r="D592" s="86" t="inlineStr">
        <is>
          <t>Consumer Staples</t>
        </is>
      </c>
      <c r="E592" s="86" t="n">
        <v>2026</v>
      </c>
      <c r="F592" s="89" t="n">
        <v>71487</v>
      </c>
      <c r="G592" s="89" t="n">
        <v>12951</v>
      </c>
      <c r="H592" s="89" t="n">
        <v>21864</v>
      </c>
      <c r="I592" s="89" t="n">
        <v>45596</v>
      </c>
      <c r="J592" s="89" t="n">
        <v>36413</v>
      </c>
      <c r="K592" s="89" t="n">
        <v>3548</v>
      </c>
      <c r="L592" s="89" t="n">
        <v>38537</v>
      </c>
      <c r="M592" s="89" t="n">
        <v>2451</v>
      </c>
      <c r="N592" s="89" t="n">
        <v>4514</v>
      </c>
      <c r="O592" s="89" t="n">
        <v>10935</v>
      </c>
      <c r="P592" s="89" t="n">
        <v>15875</v>
      </c>
      <c r="Q592" s="89" t="n">
        <v>25838</v>
      </c>
      <c r="R592" s="89" t="n">
        <v>7173</v>
      </c>
      <c r="S592" s="89" t="n">
        <v>1358</v>
      </c>
      <c r="T592" s="89" t="n">
        <v>3903</v>
      </c>
      <c r="U592" s="89" t="n">
        <v>8482</v>
      </c>
      <c r="V592" s="89" t="n">
        <v>599</v>
      </c>
      <c r="W592" s="89" t="n">
        <v>68497</v>
      </c>
      <c r="X592" s="89" t="n">
        <v>13242</v>
      </c>
      <c r="Y592" s="89" t="n">
        <v>19549</v>
      </c>
      <c r="Z592" s="89" t="n">
        <v>41539</v>
      </c>
      <c r="AA592" s="89" t="n">
        <v>6345</v>
      </c>
      <c r="AB592" s="89" t="n">
        <v>36441</v>
      </c>
      <c r="AC592" s="89" t="n">
        <v>4611</v>
      </c>
      <c r="AD592" s="89" t="n">
        <v>4910</v>
      </c>
      <c r="AE592" s="89" t="n">
        <v>14257</v>
      </c>
      <c r="AF592" s="89" t="n">
        <v>15250</v>
      </c>
      <c r="AG592" s="89" t="n">
        <v>26932</v>
      </c>
      <c r="AH592" s="89" t="n">
        <v>36441</v>
      </c>
      <c r="AI592" s="89" t="n">
        <v>68497</v>
      </c>
      <c r="AJ592" s="89" t="n">
        <v>750</v>
      </c>
      <c r="AK592" s="90" t="inlineStr">
        <is>
          <t>N/A</t>
        </is>
      </c>
      <c r="AL592" s="89" t="n">
        <v>782</v>
      </c>
      <c r="AM592" s="89" t="n">
        <v>1469</v>
      </c>
      <c r="AN592" s="89" t="n">
        <v>1279</v>
      </c>
      <c r="AO592" s="89" t="n">
        <v>1387</v>
      </c>
      <c r="AP592" s="89" t="n">
        <v>4419</v>
      </c>
      <c r="AQ592" s="89" t="n">
        <v>3827</v>
      </c>
      <c r="AR592" s="89" t="n">
        <v>24336</v>
      </c>
      <c r="AS592" s="89" t="n">
        <v>981</v>
      </c>
      <c r="AT592" s="89" t="n">
        <v>2688</v>
      </c>
      <c r="AU592" s="89" t="n">
        <v>400</v>
      </c>
      <c r="AV592" s="89" t="n">
        <v>4475</v>
      </c>
      <c r="AW592" s="89" t="n">
        <v>1974</v>
      </c>
      <c r="AX592" s="89" t="n">
        <v>18563</v>
      </c>
      <c r="AY592" s="89" t="n">
        <v>15321</v>
      </c>
      <c r="AZ592" s="89" t="n">
        <v>14088</v>
      </c>
      <c r="BA592" s="89" t="n">
        <v>3235</v>
      </c>
      <c r="BB592" s="89" t="n">
        <v>1996.5</v>
      </c>
      <c r="BC592" s="89" t="n">
        <v>1996.5</v>
      </c>
      <c r="BD592" s="89" t="n">
        <v>3874</v>
      </c>
      <c r="BE592" s="89" t="n">
        <v>8482</v>
      </c>
      <c r="BF592" s="89" t="n">
        <v>7439</v>
      </c>
      <c r="BG592" s="89" t="n">
        <v>1302</v>
      </c>
      <c r="BH592" s="89" t="n">
        <v>-1196</v>
      </c>
      <c r="BI592" s="89" t="n">
        <v>526</v>
      </c>
      <c r="BJ592" s="89" t="n">
        <v>10139</v>
      </c>
      <c r="BK592" s="89" t="n">
        <v>9433</v>
      </c>
      <c r="BL592" s="90" t="inlineStr">
        <is>
          <t>N/A</t>
        </is>
      </c>
      <c r="BM592" s="90" t="inlineStr">
        <is>
          <t>N/A</t>
        </is>
      </c>
      <c r="BN592" s="90" t="inlineStr">
        <is>
          <t>N/A</t>
        </is>
      </c>
      <c r="BO592" s="89" t="n">
        <v>27602</v>
      </c>
      <c r="BP592" s="89" t="n">
        <v>22184</v>
      </c>
      <c r="BQ592" s="89" t="n">
        <v>0</v>
      </c>
      <c r="BR592" s="89" t="n">
        <v>0</v>
      </c>
      <c r="BS592" s="89" t="n">
        <v>0</v>
      </c>
      <c r="BT592" s="89" t="n">
        <v>0</v>
      </c>
      <c r="BU592" s="89" t="n">
        <v>0</v>
      </c>
      <c r="BV592" s="89" t="n">
        <v>0</v>
      </c>
      <c r="BW592" s="89" t="n">
        <v>0</v>
      </c>
      <c r="BX592" s="89" t="n">
        <v>0</v>
      </c>
      <c r="BY592" s="89" t="n">
        <v>0</v>
      </c>
    </row>
    <row r="593" ht="17" customHeight="1">
      <c r="A593" s="82" t="n">
        <v>591</v>
      </c>
      <c r="B593" s="83" t="inlineStr">
        <is>
          <t>HBAN</t>
        </is>
      </c>
      <c r="C593" s="84" t="inlineStr">
        <is>
          <t>Huntington Bancshares Incorporated</t>
        </is>
      </c>
      <c r="D593" s="82" t="inlineStr">
        <is>
          <t>Financials</t>
        </is>
      </c>
      <c r="E593" s="82" t="n">
        <v>2026</v>
      </c>
      <c r="F593" s="85" t="n">
        <v>225106</v>
      </c>
      <c r="G593" s="91" t="inlineStr">
        <is>
          <t>N/A</t>
        </is>
      </c>
      <c r="H593" s="91" t="inlineStr">
        <is>
          <t>N/A</t>
        </is>
      </c>
      <c r="I593" s="85" t="n">
        <v>200727</v>
      </c>
      <c r="J593" s="85" t="n">
        <v>6351</v>
      </c>
      <c r="K593" s="85" t="n">
        <v>2688</v>
      </c>
      <c r="L593" s="85" t="n">
        <v>1562</v>
      </c>
      <c r="M593" s="85" t="n">
        <v>2211</v>
      </c>
      <c r="N593" s="85" t="n">
        <v>2482</v>
      </c>
      <c r="O593" s="91" t="inlineStr">
        <is>
          <t>N/A</t>
        </is>
      </c>
      <c r="P593" s="85" t="n">
        <v>17221</v>
      </c>
      <c r="Q593" s="85" t="n">
        <v>24342</v>
      </c>
      <c r="R593" s="91" t="inlineStr">
        <is>
          <t>N/A</t>
        </is>
      </c>
      <c r="S593" s="85" t="n">
        <v>622</v>
      </c>
      <c r="T593" s="91" t="inlineStr">
        <is>
          <t>N/A</t>
        </is>
      </c>
      <c r="U593" s="85" t="n">
        <v>1321</v>
      </c>
      <c r="V593" s="85" t="n">
        <v>3477</v>
      </c>
      <c r="W593" s="85" t="n">
        <v>204230</v>
      </c>
      <c r="X593" s="91" t="inlineStr">
        <is>
          <t>N/A</t>
        </is>
      </c>
      <c r="Y593" s="91" t="inlineStr">
        <is>
          <t>N/A</t>
        </is>
      </c>
      <c r="Z593" s="85" t="n">
        <v>184448</v>
      </c>
      <c r="AA593" s="85" t="n">
        <v>2403</v>
      </c>
      <c r="AB593" s="85" t="n">
        <v>1468</v>
      </c>
      <c r="AC593" s="85" t="n">
        <v>1940</v>
      </c>
      <c r="AD593" s="85" t="n">
        <v>1815</v>
      </c>
      <c r="AE593" s="91" t="inlineStr">
        <is>
          <t>N/A</t>
        </is>
      </c>
      <c r="AF593" s="85" t="n">
        <v>16374</v>
      </c>
      <c r="AG593" s="85" t="n">
        <v>19740</v>
      </c>
      <c r="AH593" s="85" t="n">
        <v>1468</v>
      </c>
      <c r="AI593" s="85" t="n">
        <v>204230</v>
      </c>
      <c r="AJ593" s="85" t="n">
        <v>2688</v>
      </c>
      <c r="AK593" s="85" t="n">
        <v>2403</v>
      </c>
      <c r="AL593" s="85" t="n">
        <v>459</v>
      </c>
      <c r="AM593" s="85" t="n">
        <v>443</v>
      </c>
      <c r="AN593" s="85" t="n">
        <v>267</v>
      </c>
      <c r="AO593" s="85" t="n">
        <v>143</v>
      </c>
      <c r="AP593" s="91" t="inlineStr">
        <is>
          <t>N/A</t>
        </is>
      </c>
      <c r="AQ593" s="91" t="inlineStr">
        <is>
          <t>N/A</t>
        </is>
      </c>
      <c r="AR593" s="85" t="n">
        <v>5997</v>
      </c>
      <c r="AS593" s="85" t="n">
        <v>145</v>
      </c>
      <c r="AT593" s="85" t="n">
        <v>1261</v>
      </c>
      <c r="AU593" s="91" t="inlineStr">
        <is>
          <t>N/A</t>
        </is>
      </c>
      <c r="AV593" s="85" t="n">
        <v>2672</v>
      </c>
      <c r="AW593" s="85" t="n">
        <v>1520</v>
      </c>
      <c r="AX593" s="85" t="n">
        <v>18482</v>
      </c>
      <c r="AY593" s="85" t="n">
        <v>16573</v>
      </c>
      <c r="AZ593" s="85" t="n">
        <v>15810</v>
      </c>
      <c r="BA593" s="85" t="n">
        <v>2215</v>
      </c>
      <c r="BB593" s="85" t="n">
        <v>1567.7</v>
      </c>
      <c r="BC593" s="85" t="n">
        <v>1453.6</v>
      </c>
      <c r="BD593" s="91" t="inlineStr">
        <is>
          <t>N/A</t>
        </is>
      </c>
      <c r="BE593" s="85" t="n">
        <v>1066</v>
      </c>
      <c r="BF593" s="91" t="inlineStr">
        <is>
          <t>N/A</t>
        </is>
      </c>
      <c r="BG593" s="85" t="n">
        <v>798</v>
      </c>
      <c r="BH593" s="85" t="n">
        <v>-6347</v>
      </c>
      <c r="BI593" s="85" t="n">
        <v>-12119</v>
      </c>
      <c r="BJ593" s="91" t="inlineStr">
        <is>
          <t>N/A</t>
        </is>
      </c>
      <c r="BK593" s="91" t="inlineStr">
        <is>
          <t>N/A</t>
        </is>
      </c>
      <c r="BL593" s="85" t="n">
        <v>4.4</v>
      </c>
      <c r="BM593" s="85" t="n">
        <v>2.1</v>
      </c>
      <c r="BN593" s="91" t="inlineStr">
        <is>
          <t>N/A</t>
        </is>
      </c>
      <c r="BO593" s="91" t="inlineStr">
        <is>
          <t>N/A</t>
        </is>
      </c>
      <c r="BP593" s="91" t="inlineStr">
        <is>
          <t>N/A</t>
        </is>
      </c>
      <c r="BQ593" s="91" t="inlineStr">
        <is>
          <t>N/A</t>
        </is>
      </c>
      <c r="BR593" s="91" t="inlineStr">
        <is>
          <t>N/A</t>
        </is>
      </c>
      <c r="BS593" s="91" t="inlineStr">
        <is>
          <t>N/A</t>
        </is>
      </c>
      <c r="BT593" s="91" t="inlineStr">
        <is>
          <t>N/A</t>
        </is>
      </c>
      <c r="BU593" s="91" t="inlineStr">
        <is>
          <t>N/A</t>
        </is>
      </c>
      <c r="BV593" s="91" t="inlineStr">
        <is>
          <t>N/A</t>
        </is>
      </c>
      <c r="BW593" s="85" t="n">
        <v>0</v>
      </c>
      <c r="BX593" s="85" t="n">
        <v>0</v>
      </c>
      <c r="BY593" s="85" t="n">
        <v>0</v>
      </c>
    </row>
    <row r="594" ht="17" customHeight="1">
      <c r="A594" s="86" t="n">
        <v>592</v>
      </c>
      <c r="B594" s="87" t="inlineStr">
        <is>
          <t>MTDR</t>
        </is>
      </c>
      <c r="C594" s="88" t="inlineStr">
        <is>
          <t>Matador Resources Company</t>
        </is>
      </c>
      <c r="D594" s="86" t="inlineStr">
        <is>
          <t>Energy</t>
        </is>
      </c>
      <c r="E594" s="86" t="n">
        <v>2026</v>
      </c>
      <c r="F594" s="89" t="n">
        <v>11710.6</v>
      </c>
      <c r="G594" s="89" t="n">
        <v>816.6</v>
      </c>
      <c r="H594" s="89" t="n">
        <v>1031.5</v>
      </c>
      <c r="I594" s="89" t="n">
        <v>11710.6</v>
      </c>
      <c r="J594" s="89" t="n">
        <v>3153.1</v>
      </c>
      <c r="K594" s="89" t="n">
        <v>1226.5</v>
      </c>
      <c r="L594" s="89" t="n">
        <v>3696.3</v>
      </c>
      <c r="M594" s="89" t="n">
        <v>759.2</v>
      </c>
      <c r="N594" s="89" t="n">
        <v>2425</v>
      </c>
      <c r="O594" s="89" t="n">
        <v>3488.1</v>
      </c>
      <c r="P594" s="89" t="n">
        <v>3402.1</v>
      </c>
      <c r="Q594" s="89" t="n">
        <v>5658.1</v>
      </c>
      <c r="R594" s="89" t="n">
        <v>137.1</v>
      </c>
      <c r="S594" s="89" t="n">
        <v>1195.4</v>
      </c>
      <c r="T594" s="89" t="n">
        <v>286.2</v>
      </c>
      <c r="U594" s="89" t="n">
        <v>6956.4</v>
      </c>
      <c r="V594" s="89" t="n">
        <v>121.5</v>
      </c>
      <c r="W594" s="89" t="n">
        <v>10850.1</v>
      </c>
      <c r="X594" s="89" t="n">
        <v>927.3</v>
      </c>
      <c r="Y594" s="89" t="n">
        <v>995.4</v>
      </c>
      <c r="Z594" s="89" t="n">
        <v>10850.1</v>
      </c>
      <c r="AA594" s="89" t="n">
        <v>1434.7</v>
      </c>
      <c r="AB594" s="89" t="n">
        <v>3505</v>
      </c>
      <c r="AC594" s="89" t="n">
        <v>885.3</v>
      </c>
      <c r="AD594" s="89" t="n">
        <v>2246.9</v>
      </c>
      <c r="AE594" s="89" t="n">
        <v>3333.5</v>
      </c>
      <c r="AF594" s="89" t="n">
        <v>3325.4</v>
      </c>
      <c r="AG594" s="89" t="n">
        <v>5089.1</v>
      </c>
      <c r="AH594" s="89" t="n">
        <v>3505</v>
      </c>
      <c r="AI594" s="89" t="n">
        <v>10850.1</v>
      </c>
      <c r="AJ594" s="89" t="n">
        <v>1033.4</v>
      </c>
      <c r="AK594" s="89" t="n">
        <v>1263.7</v>
      </c>
      <c r="AL594" s="89" t="n">
        <v>172.7</v>
      </c>
      <c r="AM594" s="89" t="n">
        <v>292.4</v>
      </c>
      <c r="AN594" s="89" t="n">
        <v>2155.4</v>
      </c>
      <c r="AO594" s="89" t="n">
        <v>3906.5</v>
      </c>
      <c r="AP594" s="90" t="inlineStr">
        <is>
          <t>N/A</t>
        </is>
      </c>
      <c r="AQ594" s="90" t="inlineStr">
        <is>
          <t>N/A</t>
        </is>
      </c>
      <c r="AR594" s="90" t="inlineStr">
        <is>
          <t>N/A</t>
        </is>
      </c>
      <c r="AS594" s="90" t="inlineStr">
        <is>
          <t>N/A</t>
        </is>
      </c>
      <c r="AT594" s="89" t="n">
        <v>12</v>
      </c>
      <c r="AU594" s="90" t="inlineStr">
        <is>
          <t>N/A</t>
        </is>
      </c>
      <c r="AV594" s="89" t="n">
        <v>15.3</v>
      </c>
      <c r="AW594" s="89" t="n">
        <v>23</v>
      </c>
      <c r="AX594" s="89" t="n">
        <v>3414.1</v>
      </c>
      <c r="AY594" s="89" t="n">
        <v>3325.4</v>
      </c>
      <c r="AZ594" s="89" t="n">
        <v>3398.8</v>
      </c>
      <c r="BA594" s="89" t="n">
        <v>269.6</v>
      </c>
      <c r="BB594" s="89" t="n">
        <v>124.3</v>
      </c>
      <c r="BC594" s="89" t="n">
        <v>125</v>
      </c>
      <c r="BD594" s="89" t="n">
        <v>331.6</v>
      </c>
      <c r="BE594" s="89" t="n">
        <v>4418.2</v>
      </c>
      <c r="BF594" s="89" t="n">
        <v>127.5</v>
      </c>
      <c r="BG594" s="89" t="n">
        <v>974.3</v>
      </c>
      <c r="BH594" s="89" t="n">
        <v>-2157.7</v>
      </c>
      <c r="BI594" s="89" t="n">
        <v>-3672.1</v>
      </c>
      <c r="BJ594" s="89" t="n">
        <v>147.1</v>
      </c>
      <c r="BK594" s="89" t="n">
        <v>68.2</v>
      </c>
      <c r="BL594" s="90" t="inlineStr">
        <is>
          <t>N/A</t>
        </is>
      </c>
      <c r="BM594" s="90" t="inlineStr">
        <is>
          <t>N/A</t>
        </is>
      </c>
      <c r="BN594" s="90" t="inlineStr">
        <is>
          <t>N/A</t>
        </is>
      </c>
      <c r="BO594" s="89" t="n">
        <v>208.1</v>
      </c>
      <c r="BP594" s="89" t="n">
        <v>171.5</v>
      </c>
      <c r="BQ594" s="89" t="n">
        <v>0</v>
      </c>
      <c r="BR594" s="89" t="n">
        <v>0</v>
      </c>
      <c r="BS594" s="90" t="inlineStr">
        <is>
          <t>N/A</t>
        </is>
      </c>
      <c r="BT594" s="90" t="inlineStr">
        <is>
          <t>N/A</t>
        </is>
      </c>
      <c r="BU594" s="89" t="n">
        <v>0</v>
      </c>
      <c r="BV594" s="89" t="n">
        <v>0</v>
      </c>
      <c r="BW594" s="89" t="n">
        <v>0</v>
      </c>
      <c r="BX594" s="89" t="n">
        <v>0</v>
      </c>
      <c r="BY594" s="89" t="n">
        <v>0</v>
      </c>
    </row>
    <row r="595" ht="17" customHeight="1">
      <c r="A595" s="82" t="n">
        <v>593</v>
      </c>
      <c r="B595" s="83" t="inlineStr">
        <is>
          <t>BOOT</t>
        </is>
      </c>
      <c r="C595" s="84" t="inlineStr">
        <is>
          <t>BOOT BARN HOLDINGS, INC.</t>
        </is>
      </c>
      <c r="D595" s="82" t="inlineStr">
        <is>
          <t>Consumer Discretionary</t>
        </is>
      </c>
      <c r="E595" s="82" t="n">
        <v>2026</v>
      </c>
      <c r="F595" s="85" t="n">
        <v>2450.1</v>
      </c>
      <c r="G595" s="85" t="n">
        <v>1034.4</v>
      </c>
      <c r="H595" s="85" t="n">
        <v>391</v>
      </c>
      <c r="I595" s="85" t="n">
        <v>1131.4</v>
      </c>
      <c r="J595" s="85" t="n">
        <v>1129.8</v>
      </c>
      <c r="K595" s="85" t="n">
        <v>299.1</v>
      </c>
      <c r="L595" s="85" t="n">
        <v>776.9</v>
      </c>
      <c r="M595" s="85" t="n">
        <v>225.9</v>
      </c>
      <c r="N595" s="85" t="n">
        <v>304.9</v>
      </c>
      <c r="O595" s="85" t="n">
        <v>858.4</v>
      </c>
      <c r="P595" s="85" t="n">
        <v>247.3</v>
      </c>
      <c r="Q595" s="85" t="n">
        <v>1318.7</v>
      </c>
      <c r="R595" s="85" t="n">
        <v>559.2</v>
      </c>
      <c r="S595" s="85" t="n">
        <v>78.7</v>
      </c>
      <c r="T595" s="85" t="n">
        <v>15.3</v>
      </c>
      <c r="U595" s="85" t="n">
        <v>514.1</v>
      </c>
      <c r="V595" s="85" t="n">
        <v>13.6</v>
      </c>
      <c r="W595" s="85" t="n">
        <v>2018</v>
      </c>
      <c r="X595" s="85" t="n">
        <v>864</v>
      </c>
      <c r="Y595" s="85" t="n">
        <v>353.3</v>
      </c>
      <c r="Z595" s="85" t="n">
        <v>887</v>
      </c>
      <c r="AA595" s="85" t="n">
        <v>239.4</v>
      </c>
      <c r="AB595" s="85" t="n">
        <v>192.8</v>
      </c>
      <c r="AC595" s="85" t="n">
        <v>180.9</v>
      </c>
      <c r="AD595" s="85" t="n">
        <v>147.5</v>
      </c>
      <c r="AE595" s="85" t="n">
        <v>717</v>
      </c>
      <c r="AF595" s="85" t="n">
        <v>91.2</v>
      </c>
      <c r="AG595" s="85" t="n">
        <v>1131.1</v>
      </c>
      <c r="AH595" s="85" t="n">
        <v>254</v>
      </c>
      <c r="AI595" s="85" t="n">
        <v>2018</v>
      </c>
      <c r="AJ595" s="85" t="n">
        <v>300.6</v>
      </c>
      <c r="AK595" s="85" t="n">
        <v>240.1</v>
      </c>
      <c r="AL595" s="85" t="n">
        <v>74.7</v>
      </c>
      <c r="AM595" s="85" t="n">
        <v>59.2</v>
      </c>
      <c r="AN595" s="85" t="n">
        <v>178.6</v>
      </c>
      <c r="AO595" s="85" t="n">
        <v>148.3</v>
      </c>
      <c r="AP595" s="85" t="n">
        <v>844.6</v>
      </c>
      <c r="AQ595" s="85" t="n">
        <v>747.2</v>
      </c>
      <c r="AR595" s="85" t="n">
        <v>197.5</v>
      </c>
      <c r="AS595" s="85" t="n">
        <v>0.2</v>
      </c>
      <c r="AT595" s="85" t="n">
        <v>1.1</v>
      </c>
      <c r="AU595" s="91" t="inlineStr">
        <is>
          <t>N/A</t>
        </is>
      </c>
      <c r="AV595" s="85" t="n">
        <v>141</v>
      </c>
      <c r="AW595" s="85" t="n">
        <v>69.8</v>
      </c>
      <c r="AX595" s="85" t="n">
        <v>248.4</v>
      </c>
      <c r="AY595" s="85" t="n">
        <v>92.3</v>
      </c>
      <c r="AZ595" s="85" t="n">
        <v>107.3</v>
      </c>
      <c r="BA595" s="85" t="n">
        <v>126.3</v>
      </c>
      <c r="BB595" s="85" t="n">
        <v>30.4</v>
      </c>
      <c r="BC595" s="85" t="n">
        <v>30.6</v>
      </c>
      <c r="BD595" s="85" t="n">
        <v>10.3</v>
      </c>
      <c r="BE595" s="85" t="n">
        <v>422.1</v>
      </c>
      <c r="BF595" s="85" t="n">
        <v>477.7</v>
      </c>
      <c r="BG595" s="85" t="n">
        <v>62.5</v>
      </c>
      <c r="BH595" s="85" t="n">
        <v>-178.8</v>
      </c>
      <c r="BI595" s="85" t="n">
        <v>-148.2</v>
      </c>
      <c r="BJ595" s="85" t="n">
        <v>142.1</v>
      </c>
      <c r="BK595" s="85" t="n">
        <v>134.4</v>
      </c>
      <c r="BL595" s="85" t="n">
        <v>10.2</v>
      </c>
      <c r="BM595" s="85" t="n">
        <v>9.5</v>
      </c>
      <c r="BN595" s="85" t="n">
        <v>5.3</v>
      </c>
      <c r="BO595" s="85" t="n">
        <v>1395.5</v>
      </c>
      <c r="BP595" s="85" t="n">
        <v>1194.1</v>
      </c>
      <c r="BQ595" s="85" t="n">
        <v>0</v>
      </c>
      <c r="BR595" s="85" t="n">
        <v>0</v>
      </c>
      <c r="BS595" s="85" t="n">
        <v>0</v>
      </c>
      <c r="BT595" s="85" t="n">
        <v>0</v>
      </c>
      <c r="BU595" s="85" t="n">
        <v>0</v>
      </c>
      <c r="BV595" s="85" t="n">
        <v>0</v>
      </c>
      <c r="BW595" s="85" t="n">
        <v>0</v>
      </c>
      <c r="BX595" s="85" t="n">
        <v>0</v>
      </c>
      <c r="BY595" s="85" t="n">
        <v>0</v>
      </c>
    </row>
    <row r="596" ht="17" customHeight="1">
      <c r="A596" s="86" t="n">
        <v>594</v>
      </c>
      <c r="B596" s="87" t="inlineStr">
        <is>
          <t>WELL</t>
        </is>
      </c>
      <c r="C596" s="88" t="inlineStr">
        <is>
          <t>WELLTOWER INC.</t>
        </is>
      </c>
      <c r="D596" s="86" t="inlineStr">
        <is>
          <t>Real Estate</t>
        </is>
      </c>
      <c r="E596" s="86" t="n">
        <v>2026</v>
      </c>
      <c r="F596" s="89" t="n">
        <v>67303</v>
      </c>
      <c r="G596" s="90" t="inlineStr">
        <is>
          <t>N/A</t>
        </is>
      </c>
      <c r="H596" s="90" t="inlineStr">
        <is>
          <t>N/A</t>
        </is>
      </c>
      <c r="I596" s="89" t="n">
        <v>24100.1</v>
      </c>
      <c r="J596" s="89" t="n">
        <v>11033.6</v>
      </c>
      <c r="K596" s="90" t="inlineStr">
        <is>
          <t>N/A</t>
        </is>
      </c>
      <c r="L596" s="89" t="n">
        <v>10838</v>
      </c>
      <c r="M596" s="89" t="n">
        <v>217.6</v>
      </c>
      <c r="N596" s="89" t="n">
        <v>2881.7</v>
      </c>
      <c r="O596" s="89" t="n">
        <v>4350</v>
      </c>
      <c r="P596" s="89" t="n">
        <v>19197.3</v>
      </c>
      <c r="Q596" s="89" t="n">
        <v>42129.5</v>
      </c>
      <c r="R596" s="89" t="n">
        <v>1748.4</v>
      </c>
      <c r="S596" s="89" t="n">
        <v>2084.9</v>
      </c>
      <c r="T596" s="89" t="n">
        <v>251.1</v>
      </c>
      <c r="U596" s="90" t="inlineStr">
        <is>
          <t>N/A</t>
        </is>
      </c>
      <c r="V596" s="89" t="n">
        <v>607.8</v>
      </c>
      <c r="W596" s="89" t="n">
        <v>51044.3</v>
      </c>
      <c r="X596" s="90" t="inlineStr">
        <is>
          <t>N/A</t>
        </is>
      </c>
      <c r="Y596" s="90" t="inlineStr">
        <is>
          <t>N/A</t>
        </is>
      </c>
      <c r="Z596" s="89" t="n">
        <v>18471.7</v>
      </c>
      <c r="AA596" s="90" t="inlineStr">
        <is>
          <t>N/A</t>
        </is>
      </c>
      <c r="AB596" s="89" t="n">
        <v>7991.1</v>
      </c>
      <c r="AC596" s="89" t="n">
        <v>128.5</v>
      </c>
      <c r="AD596" s="89" t="n">
        <v>2256.4</v>
      </c>
      <c r="AE596" s="89" t="n">
        <v>3160.9</v>
      </c>
      <c r="AF596" s="89" t="n">
        <v>15500.3</v>
      </c>
      <c r="AG596" s="89" t="n">
        <v>31956.2</v>
      </c>
      <c r="AH596" s="89" t="n">
        <v>7991.1</v>
      </c>
      <c r="AI596" s="89" t="n">
        <v>51044.3</v>
      </c>
      <c r="AJ596" s="90" t="inlineStr">
        <is>
          <t>N/A</t>
        </is>
      </c>
      <c r="AK596" s="90" t="inlineStr">
        <is>
          <t>N/A</t>
        </is>
      </c>
      <c r="AL596" s="89" t="n">
        <v>-7.1</v>
      </c>
      <c r="AM596" s="89" t="n">
        <v>2.7</v>
      </c>
      <c r="AN596" s="89" t="n">
        <v>1050.3</v>
      </c>
      <c r="AO596" s="89" t="n">
        <v>857.5</v>
      </c>
      <c r="AP596" s="90" t="inlineStr">
        <is>
          <t>N/A</t>
        </is>
      </c>
      <c r="AQ596" s="90" t="inlineStr">
        <is>
          <t>N/A</t>
        </is>
      </c>
      <c r="AR596" s="89" t="n">
        <v>346.3</v>
      </c>
      <c r="AS596" s="89" t="n">
        <v>377</v>
      </c>
      <c r="AT596" s="90" t="inlineStr">
        <is>
          <t>N/A</t>
        </is>
      </c>
      <c r="AU596" s="90" t="inlineStr">
        <is>
          <t>N/A</t>
        </is>
      </c>
      <c r="AV596" s="89" t="n">
        <v>5033.7</v>
      </c>
      <c r="AW596" s="89" t="n">
        <v>3506.6</v>
      </c>
      <c r="AX596" s="89" t="n">
        <v>19197.3</v>
      </c>
      <c r="AY596" s="89" t="n">
        <v>15500.3</v>
      </c>
      <c r="AZ596" s="89" t="n">
        <v>14163.6</v>
      </c>
      <c r="BA596" s="89" t="n">
        <v>1831.4</v>
      </c>
      <c r="BB596" s="89" t="n">
        <v>696.5</v>
      </c>
      <c r="BC596" s="89" t="n">
        <v>635.3</v>
      </c>
      <c r="BD596" s="89" t="n">
        <v>222.5</v>
      </c>
      <c r="BE596" s="90" t="inlineStr">
        <is>
          <t>N/A</t>
        </is>
      </c>
      <c r="BF596" s="89" t="n">
        <v>235.5</v>
      </c>
      <c r="BG596" s="89" t="n">
        <v>1632.1</v>
      </c>
      <c r="BH596" s="89" t="n">
        <v>-10512.7</v>
      </c>
      <c r="BI596" s="89" t="n">
        <v>-5514.7</v>
      </c>
      <c r="BJ596" s="90" t="inlineStr">
        <is>
          <t>N/A</t>
        </is>
      </c>
      <c r="BK596" s="90" t="inlineStr">
        <is>
          <t>N/A</t>
        </is>
      </c>
      <c r="BL596" s="89" t="n">
        <v>501.4</v>
      </c>
      <c r="BM596" s="89" t="n">
        <v>430.8</v>
      </c>
      <c r="BN596" s="90" t="inlineStr">
        <is>
          <t>N/A</t>
        </is>
      </c>
      <c r="BO596" s="89" t="n">
        <v>6488.1</v>
      </c>
      <c r="BP596" s="89" t="n">
        <v>4830.2</v>
      </c>
      <c r="BQ596" s="89" t="n">
        <v>0</v>
      </c>
      <c r="BR596" s="89" t="n">
        <v>0</v>
      </c>
      <c r="BS596" s="90" t="inlineStr">
        <is>
          <t>N/A</t>
        </is>
      </c>
      <c r="BT596" s="90" t="inlineStr">
        <is>
          <t>N/A</t>
        </is>
      </c>
      <c r="BU596" s="90" t="inlineStr">
        <is>
          <t>N/A</t>
        </is>
      </c>
      <c r="BV596" s="90" t="inlineStr">
        <is>
          <t>N/A</t>
        </is>
      </c>
      <c r="BW596" s="89" t="n">
        <v>0</v>
      </c>
      <c r="BX596" s="89" t="n">
        <v>0</v>
      </c>
      <c r="BY596" s="90" t="inlineStr">
        <is>
          <t>N/A</t>
        </is>
      </c>
    </row>
    <row r="597" ht="17" customHeight="1">
      <c r="A597" s="82" t="n">
        <v>595</v>
      </c>
      <c r="B597" s="83" t="inlineStr">
        <is>
          <t>NI</t>
        </is>
      </c>
      <c r="C597" s="84" t="inlineStr">
        <is>
          <t>NISOURCE INC.</t>
        </is>
      </c>
      <c r="D597" s="82" t="inlineStr">
        <is>
          <t>Industrials</t>
        </is>
      </c>
      <c r="E597" s="82" t="n">
        <v>2026</v>
      </c>
      <c r="F597" s="85" t="n">
        <v>35858.7</v>
      </c>
      <c r="G597" s="85" t="n">
        <v>2377.2</v>
      </c>
      <c r="H597" s="85" t="n">
        <v>3457.4</v>
      </c>
      <c r="I597" s="85" t="n">
        <v>35858.7</v>
      </c>
      <c r="J597" s="85" t="n">
        <v>-315.2</v>
      </c>
      <c r="K597" s="85" t="n">
        <v>1835.3</v>
      </c>
      <c r="L597" s="85" t="n">
        <v>4874.6</v>
      </c>
      <c r="M597" s="85" t="n">
        <v>929.5</v>
      </c>
      <c r="N597" s="85" t="n">
        <v>2362.3</v>
      </c>
      <c r="O597" s="85" t="n">
        <v>1211</v>
      </c>
      <c r="P597" s="85" t="n">
        <v>6427.7</v>
      </c>
      <c r="Q597" s="85" t="n">
        <v>9450.1</v>
      </c>
      <c r="R597" s="91" t="inlineStr">
        <is>
          <t>N/A</t>
        </is>
      </c>
      <c r="S597" s="85" t="n">
        <v>1167.6</v>
      </c>
      <c r="T597" s="85" t="n">
        <v>1197.5</v>
      </c>
      <c r="U597" s="85" t="n">
        <v>28688.2</v>
      </c>
      <c r="V597" s="85" t="n">
        <v>489.6</v>
      </c>
      <c r="W597" s="85" t="n">
        <v>31788.1</v>
      </c>
      <c r="X597" s="85" t="n">
        <v>2080.2</v>
      </c>
      <c r="Y597" s="85" t="n">
        <v>4113.4</v>
      </c>
      <c r="Z597" s="85" t="n">
        <v>31788.1</v>
      </c>
      <c r="AA597" s="85" t="n">
        <v>1455.5</v>
      </c>
      <c r="AB597" s="85" t="n">
        <v>4492.5</v>
      </c>
      <c r="AC597" s="85" t="n">
        <v>760.4</v>
      </c>
      <c r="AD597" s="85" t="n">
        <v>1781.5</v>
      </c>
      <c r="AE597" s="85" t="n">
        <v>902.5</v>
      </c>
      <c r="AF597" s="85" t="n">
        <v>8472.4</v>
      </c>
      <c r="AG597" s="85" t="n">
        <v>8684.200000000001</v>
      </c>
      <c r="AH597" s="85" t="n">
        <v>4492.5</v>
      </c>
      <c r="AI597" s="85" t="n">
        <v>31788.1</v>
      </c>
      <c r="AJ597" s="85" t="n">
        <v>1216.4</v>
      </c>
      <c r="AK597" s="91" t="inlineStr">
        <is>
          <t>N/A</t>
        </is>
      </c>
      <c r="AL597" s="85" t="n">
        <v>203.8</v>
      </c>
      <c r="AM597" s="85" t="n">
        <v>158.1</v>
      </c>
      <c r="AN597" s="85" t="n">
        <v>2782.3</v>
      </c>
      <c r="AO597" s="85" t="n">
        <v>2614</v>
      </c>
      <c r="AP597" s="91" t="inlineStr">
        <is>
          <t>N/A</t>
        </is>
      </c>
      <c r="AQ597" s="91" t="inlineStr">
        <is>
          <t>N/A</t>
        </is>
      </c>
      <c r="AR597" s="85" t="n">
        <v>1485.9</v>
      </c>
      <c r="AS597" s="91" t="inlineStr">
        <is>
          <t>N/A</t>
        </is>
      </c>
      <c r="AT597" s="85" t="n">
        <v>736</v>
      </c>
      <c r="AU597" s="91" t="inlineStr">
        <is>
          <t>N/A</t>
        </is>
      </c>
      <c r="AV597" s="85" t="n">
        <v>110.1</v>
      </c>
      <c r="AW597" s="85" t="n">
        <v>156.6</v>
      </c>
      <c r="AX597" s="85" t="n">
        <v>7163.7</v>
      </c>
      <c r="AY597" s="85" t="n">
        <v>9077</v>
      </c>
      <c r="AZ597" s="85" t="n">
        <v>7053.6</v>
      </c>
      <c r="BA597" s="85" t="n">
        <v>-420</v>
      </c>
      <c r="BB597" s="85" t="n">
        <v>478.4</v>
      </c>
      <c r="BC597" s="85" t="n">
        <v>469.8</v>
      </c>
      <c r="BD597" s="85" t="n">
        <v>964.2</v>
      </c>
      <c r="BE597" s="85" t="n">
        <v>25453.9</v>
      </c>
      <c r="BF597" s="91" t="inlineStr">
        <is>
          <t>N/A</t>
        </is>
      </c>
      <c r="BG597" s="85" t="n">
        <v>1043.2</v>
      </c>
      <c r="BH597" s="85" t="n">
        <v>-4524.1</v>
      </c>
      <c r="BI597" s="85" t="n">
        <v>-3213</v>
      </c>
      <c r="BJ597" s="85" t="n">
        <v>1124.5</v>
      </c>
      <c r="BK597" s="85" t="n">
        <v>863.1</v>
      </c>
      <c r="BL597" s="85" t="n">
        <v>6.6</v>
      </c>
      <c r="BM597" s="85" t="n">
        <v>25.6</v>
      </c>
      <c r="BN597" s="85" t="n">
        <v>228.8</v>
      </c>
      <c r="BO597" s="85" t="n">
        <v>1534.8</v>
      </c>
      <c r="BP597" s="85" t="n">
        <v>1761.3</v>
      </c>
      <c r="BQ597" s="85" t="n">
        <v>0</v>
      </c>
      <c r="BR597" s="85" t="n">
        <v>0</v>
      </c>
      <c r="BS597" s="91" t="inlineStr">
        <is>
          <t>N/A</t>
        </is>
      </c>
      <c r="BT597" s="91" t="inlineStr">
        <is>
          <t>N/A</t>
        </is>
      </c>
      <c r="BU597" s="85" t="n">
        <v>0</v>
      </c>
      <c r="BV597" s="85" t="n">
        <v>0</v>
      </c>
      <c r="BW597" s="85" t="n">
        <v>0</v>
      </c>
      <c r="BX597" s="85" t="n">
        <v>0</v>
      </c>
      <c r="BY597" s="85" t="n">
        <v>0</v>
      </c>
    </row>
    <row r="598" ht="17" customHeight="1">
      <c r="A598" s="86" t="n">
        <v>596</v>
      </c>
      <c r="B598" s="87" t="inlineStr">
        <is>
          <t>DASH</t>
        </is>
      </c>
      <c r="C598" s="88" t="inlineStr">
        <is>
          <t>DOORDASH, INC.</t>
        </is>
      </c>
      <c r="D598" s="86" t="inlineStr">
        <is>
          <t>Communication Services</t>
        </is>
      </c>
      <c r="E598" s="86" t="n">
        <v>2026</v>
      </c>
      <c r="F598" s="89" t="n">
        <v>19659</v>
      </c>
      <c r="G598" s="89" t="n">
        <v>8643</v>
      </c>
      <c r="H598" s="89" t="n">
        <v>6147</v>
      </c>
      <c r="I598" s="89" t="n">
        <v>9613</v>
      </c>
      <c r="J598" s="89" t="n">
        <v>-4320</v>
      </c>
      <c r="K598" s="89" t="n">
        <v>723</v>
      </c>
      <c r="L598" s="89" t="n">
        <v>13717</v>
      </c>
      <c r="M598" s="89" t="n">
        <v>935</v>
      </c>
      <c r="N598" s="89" t="n">
        <v>2431</v>
      </c>
      <c r="O598" s="90" t="inlineStr">
        <is>
          <t>N/A</t>
        </is>
      </c>
      <c r="P598" s="90" t="inlineStr">
        <is>
          <t>N/A</t>
        </is>
      </c>
      <c r="Q598" s="89" t="n">
        <v>10033</v>
      </c>
      <c r="R598" s="89" t="n">
        <v>1600</v>
      </c>
      <c r="S598" s="89" t="n">
        <v>747</v>
      </c>
      <c r="T598" s="89" t="n">
        <v>1108</v>
      </c>
      <c r="U598" s="90" t="inlineStr">
        <is>
          <t>N/A</t>
        </is>
      </c>
      <c r="V598" s="89" t="n">
        <v>2</v>
      </c>
      <c r="W598" s="89" t="n">
        <v>19659</v>
      </c>
      <c r="X598" s="89" t="n">
        <v>8643</v>
      </c>
      <c r="Y598" s="89" t="n">
        <v>6147</v>
      </c>
      <c r="Z598" s="89" t="n">
        <v>9613</v>
      </c>
      <c r="AA598" s="89" t="n">
        <v>723</v>
      </c>
      <c r="AB598" s="89" t="n">
        <v>13717</v>
      </c>
      <c r="AC598" s="89" t="n">
        <v>935</v>
      </c>
      <c r="AD598" s="89" t="n">
        <v>2431</v>
      </c>
      <c r="AE598" s="90" t="inlineStr">
        <is>
          <t>N/A</t>
        </is>
      </c>
      <c r="AF598" s="90" t="inlineStr">
        <is>
          <t>N/A</t>
        </is>
      </c>
      <c r="AG598" s="89" t="n">
        <v>10033</v>
      </c>
      <c r="AH598" s="89" t="n">
        <v>10722</v>
      </c>
      <c r="AI598" s="89" t="n">
        <v>12845</v>
      </c>
      <c r="AJ598" s="89" t="n">
        <v>939</v>
      </c>
      <c r="AK598" s="89" t="n">
        <v>939</v>
      </c>
      <c r="AL598" s="89" t="n">
        <v>7</v>
      </c>
      <c r="AM598" s="89" t="n">
        <v>7</v>
      </c>
      <c r="AN598" s="89" t="n">
        <v>257</v>
      </c>
      <c r="AO598" s="89" t="n">
        <v>257</v>
      </c>
      <c r="AP598" s="90" t="inlineStr">
        <is>
          <t>N/A</t>
        </is>
      </c>
      <c r="AQ598" s="90" t="inlineStr">
        <is>
          <t>N/A</t>
        </is>
      </c>
      <c r="AR598" s="89" t="n">
        <v>5519</v>
      </c>
      <c r="AS598" s="89" t="n">
        <v>2260</v>
      </c>
      <c r="AT598" s="90" t="inlineStr">
        <is>
          <t>N/A</t>
        </is>
      </c>
      <c r="AU598" s="89" t="n">
        <v>1431</v>
      </c>
      <c r="AV598" s="89" t="n">
        <v>4378</v>
      </c>
      <c r="AW598" s="89" t="n">
        <v>4378</v>
      </c>
      <c r="AX598" s="90" t="inlineStr">
        <is>
          <t>N/A</t>
        </is>
      </c>
      <c r="AY598" s="90" t="inlineStr">
        <is>
          <t>N/A</t>
        </is>
      </c>
      <c r="AZ598" s="90" t="inlineStr">
        <is>
          <t>N/A</t>
        </is>
      </c>
      <c r="BA598" s="89" t="n">
        <v>2174</v>
      </c>
      <c r="BB598" s="90" t="inlineStr">
        <is>
          <t>N/A</t>
        </is>
      </c>
      <c r="BC598" s="90" t="inlineStr">
        <is>
          <t>N/A</t>
        </is>
      </c>
      <c r="BD598" s="89" t="n">
        <v>1108</v>
      </c>
      <c r="BE598" s="90" t="inlineStr">
        <is>
          <t>N/A</t>
        </is>
      </c>
      <c r="BF598" s="89" t="n">
        <v>1600</v>
      </c>
      <c r="BG598" s="89" t="n">
        <v>747</v>
      </c>
      <c r="BH598" s="89" t="n">
        <v>-4391</v>
      </c>
      <c r="BI598" s="89" t="n">
        <v>-4391</v>
      </c>
      <c r="BJ598" s="89" t="n">
        <v>397</v>
      </c>
      <c r="BK598" s="89" t="n">
        <v>397</v>
      </c>
      <c r="BL598" s="89" t="n">
        <v>547</v>
      </c>
      <c r="BM598" s="89" t="n">
        <v>547</v>
      </c>
      <c r="BN598" s="90" t="inlineStr">
        <is>
          <t>N/A</t>
        </is>
      </c>
      <c r="BO598" s="90" t="inlineStr">
        <is>
          <t>N/A</t>
        </is>
      </c>
      <c r="BP598" s="90" t="inlineStr">
        <is>
          <t>N/A</t>
        </is>
      </c>
      <c r="BQ598" s="89" t="n">
        <v>0</v>
      </c>
      <c r="BR598" s="89" t="n">
        <v>0</v>
      </c>
      <c r="BS598" s="90" t="inlineStr">
        <is>
          <t>N/A</t>
        </is>
      </c>
      <c r="BT598" s="90" t="inlineStr">
        <is>
          <t>N/A</t>
        </is>
      </c>
      <c r="BU598" s="90" t="inlineStr">
        <is>
          <t>N/A</t>
        </is>
      </c>
      <c r="BV598" s="90" t="inlineStr">
        <is>
          <t>N/A</t>
        </is>
      </c>
      <c r="BW598" s="89" t="n">
        <v>0</v>
      </c>
      <c r="BX598" s="89" t="n">
        <v>0</v>
      </c>
      <c r="BY598" s="89" t="n">
        <v>0</v>
      </c>
    </row>
    <row r="599" ht="17" customHeight="1">
      <c r="A599" s="82" t="n">
        <v>597</v>
      </c>
      <c r="B599" s="83" t="inlineStr">
        <is>
          <t>IRDM</t>
        </is>
      </c>
      <c r="C599" s="84" t="inlineStr">
        <is>
          <t>Iridium Communications Inc.</t>
        </is>
      </c>
      <c r="D599" s="82" t="inlineStr">
        <is>
          <t>Communication Services</t>
        </is>
      </c>
      <c r="E599" s="82" t="n">
        <v>2026</v>
      </c>
      <c r="F599" s="85" t="n">
        <v>2531</v>
      </c>
      <c r="G599" s="85" t="n">
        <v>276.5</v>
      </c>
      <c r="H599" s="85" t="n">
        <v>111.7</v>
      </c>
      <c r="I599" s="85" t="n">
        <v>2068.4</v>
      </c>
      <c r="J599" s="85" t="n">
        <v>-418.6</v>
      </c>
      <c r="K599" s="85" t="n">
        <v>236</v>
      </c>
      <c r="L599" s="85" t="n">
        <v>871.7</v>
      </c>
      <c r="M599" s="85" t="n">
        <v>114.4</v>
      </c>
      <c r="N599" s="85" t="n">
        <v>400.1</v>
      </c>
      <c r="O599" s="85" t="n">
        <v>827.2</v>
      </c>
      <c r="P599" s="85" t="n">
        <v>1757.1</v>
      </c>
      <c r="Q599" s="85" t="n">
        <v>462.6</v>
      </c>
      <c r="R599" s="85" t="n">
        <v>157.7</v>
      </c>
      <c r="S599" s="85" t="n">
        <v>210.2</v>
      </c>
      <c r="T599" s="85" t="n">
        <v>93.8</v>
      </c>
      <c r="U599" s="85" t="n">
        <v>1978.2</v>
      </c>
      <c r="V599" s="85" t="n">
        <v>14.7</v>
      </c>
      <c r="W599" s="85" t="n">
        <v>2671.5</v>
      </c>
      <c r="X599" s="85" t="n">
        <v>292.7</v>
      </c>
      <c r="Y599" s="85" t="n">
        <v>169.2</v>
      </c>
      <c r="Z599" s="85" t="n">
        <v>2094.8</v>
      </c>
      <c r="AA599" s="85" t="n">
        <v>200.4</v>
      </c>
      <c r="AB599" s="85" t="n">
        <v>830.7</v>
      </c>
      <c r="AC599" s="85" t="n">
        <v>112.8</v>
      </c>
      <c r="AD599" s="85" t="n">
        <v>376</v>
      </c>
      <c r="AE599" s="85" t="n">
        <v>786.4</v>
      </c>
      <c r="AF599" s="85" t="n">
        <v>1757.8</v>
      </c>
      <c r="AG599" s="85" t="n">
        <v>576.6</v>
      </c>
      <c r="AH599" s="85" t="n">
        <v>830.7</v>
      </c>
      <c r="AI599" s="85" t="n">
        <v>2671.5</v>
      </c>
      <c r="AJ599" s="85" t="n">
        <v>144.8</v>
      </c>
      <c r="AK599" s="85" t="n">
        <v>109.8</v>
      </c>
      <c r="AL599" s="85" t="n">
        <v>27.6</v>
      </c>
      <c r="AM599" s="85" t="n">
        <v>12.3</v>
      </c>
      <c r="AN599" s="85" t="n">
        <v>100.3</v>
      </c>
      <c r="AO599" s="85" t="n">
        <v>69.90000000000001</v>
      </c>
      <c r="AP599" s="85" t="n">
        <v>73.8</v>
      </c>
      <c r="AQ599" s="85" t="n">
        <v>81.3</v>
      </c>
      <c r="AR599" s="85" t="n">
        <v>98.90000000000001</v>
      </c>
      <c r="AS599" s="85" t="n">
        <v>51.7</v>
      </c>
      <c r="AT599" s="85" t="n">
        <v>3.4</v>
      </c>
      <c r="AU599" s="85" t="n">
        <v>19.8</v>
      </c>
      <c r="AV599" s="85" t="n">
        <v>96.5</v>
      </c>
      <c r="AW599" s="85" t="n">
        <v>93.5</v>
      </c>
      <c r="AX599" s="85" t="n">
        <v>1760.5</v>
      </c>
      <c r="AY599" s="85" t="n">
        <v>1790.9</v>
      </c>
      <c r="AZ599" s="85" t="n">
        <v>1664</v>
      </c>
      <c r="BA599" s="85" t="n">
        <v>299.8</v>
      </c>
      <c r="BB599" s="85" t="n">
        <v>110.4</v>
      </c>
      <c r="BC599" s="85" t="n">
        <v>122.8</v>
      </c>
      <c r="BD599" s="85" t="n">
        <v>98.8</v>
      </c>
      <c r="BE599" s="85" t="n">
        <v>2080.5</v>
      </c>
      <c r="BF599" s="85" t="n">
        <v>168.2</v>
      </c>
      <c r="BG599" s="85" t="n">
        <v>203.1</v>
      </c>
      <c r="BH599" s="85" t="n">
        <v>-100.3</v>
      </c>
      <c r="BI599" s="85" t="n">
        <v>-180.6</v>
      </c>
      <c r="BJ599" s="85" t="n">
        <v>17.7</v>
      </c>
      <c r="BK599" s="85" t="n">
        <v>19.7</v>
      </c>
      <c r="BL599" s="85" t="n">
        <v>41.1</v>
      </c>
      <c r="BM599" s="85" t="n">
        <v>51.6</v>
      </c>
      <c r="BN599" s="91" t="inlineStr">
        <is>
          <t>N/A</t>
        </is>
      </c>
      <c r="BO599" s="85" t="n">
        <v>44.4</v>
      </c>
      <c r="BP599" s="85" t="n">
        <v>44.3</v>
      </c>
      <c r="BQ599" s="85" t="n">
        <v>0</v>
      </c>
      <c r="BR599" s="85" t="n">
        <v>0</v>
      </c>
      <c r="BS599" s="85" t="n">
        <v>0</v>
      </c>
      <c r="BT599" s="85" t="n">
        <v>0</v>
      </c>
      <c r="BU599" s="85" t="n">
        <v>0</v>
      </c>
      <c r="BV599" s="85" t="n">
        <v>0</v>
      </c>
      <c r="BW599" s="85" t="n">
        <v>0</v>
      </c>
      <c r="BX599" s="85" t="n">
        <v>0</v>
      </c>
      <c r="BY599" s="85" t="n">
        <v>0</v>
      </c>
    </row>
    <row r="600" ht="17" customHeight="1">
      <c r="A600" s="86" t="n">
        <v>598</v>
      </c>
      <c r="B600" s="87" t="inlineStr">
        <is>
          <t>APO</t>
        </is>
      </c>
      <c r="C600" s="88" t="inlineStr">
        <is>
          <t>APOLLO GLOBAL MANAGEMENT, INC.</t>
        </is>
      </c>
      <c r="D600" s="86" t="inlineStr">
        <is>
          <t>Financials</t>
        </is>
      </c>
      <c r="E600" s="86" t="n">
        <v>2026</v>
      </c>
      <c r="F600" s="89" t="n">
        <v>460949</v>
      </c>
      <c r="G600" s="90" t="inlineStr">
        <is>
          <t>N/A</t>
        </is>
      </c>
      <c r="H600" s="90" t="inlineStr">
        <is>
          <t>N/A</t>
        </is>
      </c>
      <c r="I600" s="89" t="n">
        <v>418434</v>
      </c>
      <c r="J600" s="89" t="n">
        <v>7634</v>
      </c>
      <c r="K600" s="89" t="n">
        <v>6677</v>
      </c>
      <c r="L600" s="89" t="n">
        <v>32049</v>
      </c>
      <c r="M600" s="89" t="n">
        <v>3492</v>
      </c>
      <c r="N600" s="89" t="n">
        <v>7246</v>
      </c>
      <c r="O600" s="89" t="n">
        <v>6760</v>
      </c>
      <c r="P600" s="89" t="n">
        <v>13364</v>
      </c>
      <c r="Q600" s="89" t="n">
        <v>23341</v>
      </c>
      <c r="R600" s="90" t="inlineStr">
        <is>
          <t>N/A</t>
        </is>
      </c>
      <c r="S600" s="89" t="n">
        <v>1431</v>
      </c>
      <c r="T600" s="90" t="inlineStr">
        <is>
          <t>N/A</t>
        </is>
      </c>
      <c r="U600" s="90" t="inlineStr">
        <is>
          <t>N/A</t>
        </is>
      </c>
      <c r="V600" s="89" t="n">
        <v>618</v>
      </c>
      <c r="W600" s="89" t="n">
        <v>377895</v>
      </c>
      <c r="X600" s="90" t="inlineStr">
        <is>
          <t>N/A</t>
        </is>
      </c>
      <c r="Y600" s="90" t="inlineStr">
        <is>
          <t>N/A</t>
        </is>
      </c>
      <c r="Z600" s="89" t="n">
        <v>346915</v>
      </c>
      <c r="AA600" s="89" t="n">
        <v>7435</v>
      </c>
      <c r="AB600" s="89" t="n">
        <v>26114</v>
      </c>
      <c r="AC600" s="89" t="n">
        <v>4577</v>
      </c>
      <c r="AD600" s="89" t="n">
        <v>3253</v>
      </c>
      <c r="AE600" s="89" t="n">
        <v>7132</v>
      </c>
      <c r="AF600" s="89" t="n">
        <v>10588</v>
      </c>
      <c r="AG600" s="89" t="n">
        <v>17253</v>
      </c>
      <c r="AH600" s="89" t="n">
        <v>26114</v>
      </c>
      <c r="AI600" s="89" t="n">
        <v>377895</v>
      </c>
      <c r="AJ600" s="89" t="n">
        <v>6677</v>
      </c>
      <c r="AK600" s="89" t="n">
        <v>7435</v>
      </c>
      <c r="AL600" s="89" t="n">
        <v>1276</v>
      </c>
      <c r="AM600" s="89" t="n">
        <v>1062</v>
      </c>
      <c r="AN600" s="90" t="inlineStr">
        <is>
          <t>N/A</t>
        </is>
      </c>
      <c r="AO600" s="90" t="inlineStr">
        <is>
          <t>N/A</t>
        </is>
      </c>
      <c r="AP600" s="90" t="inlineStr">
        <is>
          <t>N/A</t>
        </is>
      </c>
      <c r="AQ600" s="90" t="inlineStr">
        <is>
          <t>N/A</t>
        </is>
      </c>
      <c r="AR600" s="89" t="n">
        <v>5920</v>
      </c>
      <c r="AS600" s="90" t="inlineStr">
        <is>
          <t>N/A</t>
        </is>
      </c>
      <c r="AT600" s="90" t="inlineStr">
        <is>
          <t>N/A</t>
        </is>
      </c>
      <c r="AU600" s="90" t="inlineStr">
        <is>
          <t>N/A</t>
        </is>
      </c>
      <c r="AV600" s="89" t="n">
        <v>8980</v>
      </c>
      <c r="AW600" s="89" t="n">
        <v>917</v>
      </c>
      <c r="AX600" s="89" t="n">
        <v>13364</v>
      </c>
      <c r="AY600" s="89" t="n">
        <v>10588</v>
      </c>
      <c r="AZ600" s="89" t="n">
        <v>4384</v>
      </c>
      <c r="BA600" s="90" t="inlineStr">
        <is>
          <t>N/A</t>
        </is>
      </c>
      <c r="BB600" s="89" t="n">
        <v>579</v>
      </c>
      <c r="BC600" s="89" t="n">
        <v>565.7</v>
      </c>
      <c r="BD600" s="90" t="inlineStr">
        <is>
          <t>N/A</t>
        </is>
      </c>
      <c r="BE600" s="90" t="inlineStr">
        <is>
          <t>N/A</t>
        </is>
      </c>
      <c r="BF600" s="90" t="inlineStr">
        <is>
          <t>N/A</t>
        </is>
      </c>
      <c r="BG600" s="89" t="n">
        <v>1075</v>
      </c>
      <c r="BH600" s="89" t="n">
        <v>-63972</v>
      </c>
      <c r="BI600" s="89" t="n">
        <v>-61801</v>
      </c>
      <c r="BJ600" s="90" t="inlineStr">
        <is>
          <t>N/A</t>
        </is>
      </c>
      <c r="BK600" s="90" t="inlineStr">
        <is>
          <t>N/A</t>
        </is>
      </c>
      <c r="BL600" s="90" t="inlineStr">
        <is>
          <t>N/A</t>
        </is>
      </c>
      <c r="BM600" s="90" t="inlineStr">
        <is>
          <t>N/A</t>
        </is>
      </c>
      <c r="BN600" s="90" t="inlineStr">
        <is>
          <t>N/A</t>
        </is>
      </c>
      <c r="BO600" s="89" t="n">
        <v>25289</v>
      </c>
      <c r="BP600" s="89" t="n">
        <v>18982</v>
      </c>
      <c r="BQ600" s="90" t="inlineStr">
        <is>
          <t>N/A</t>
        </is>
      </c>
      <c r="BR600" s="90" t="inlineStr">
        <is>
          <t>N/A</t>
        </is>
      </c>
      <c r="BS600" s="90" t="inlineStr">
        <is>
          <t>N/A</t>
        </is>
      </c>
      <c r="BT600" s="90" t="inlineStr">
        <is>
          <t>N/A</t>
        </is>
      </c>
      <c r="BU600" s="90" t="inlineStr">
        <is>
          <t>N/A</t>
        </is>
      </c>
      <c r="BV600" s="90" t="inlineStr">
        <is>
          <t>N/A</t>
        </is>
      </c>
      <c r="BW600" s="89" t="n">
        <v>0</v>
      </c>
      <c r="BX600" s="89" t="n">
        <v>0</v>
      </c>
      <c r="BY600" s="89" t="n">
        <v>0</v>
      </c>
    </row>
    <row r="601" ht="17" customHeight="1">
      <c r="A601" s="82" t="n">
        <v>599</v>
      </c>
      <c r="B601" s="83" t="inlineStr">
        <is>
          <t>ALGM</t>
        </is>
      </c>
      <c r="C601" s="84" t="inlineStr">
        <is>
          <t>Allegro MicroSystems, Inc.</t>
        </is>
      </c>
      <c r="D601" s="82" t="inlineStr">
        <is>
          <t>Information Technology</t>
        </is>
      </c>
      <c r="E601" s="82" t="n">
        <v>2026</v>
      </c>
      <c r="F601" s="85" t="n">
        <v>1416.2</v>
      </c>
      <c r="G601" s="85" t="n">
        <v>503.6</v>
      </c>
      <c r="H601" s="85" t="n">
        <v>145.9</v>
      </c>
      <c r="I601" s="85" t="n">
        <v>459.7</v>
      </c>
      <c r="J601" s="85" t="n">
        <v>-68.5</v>
      </c>
      <c r="K601" s="85" t="n">
        <v>18.5</v>
      </c>
      <c r="L601" s="85" t="n">
        <v>890.1</v>
      </c>
      <c r="M601" s="85" t="n">
        <v>-14.9</v>
      </c>
      <c r="N601" s="85" t="n">
        <v>163.1</v>
      </c>
      <c r="O601" s="85" t="n">
        <v>412</v>
      </c>
      <c r="P601" s="85" t="n">
        <v>280.9</v>
      </c>
      <c r="Q601" s="85" t="n">
        <v>954.7</v>
      </c>
      <c r="R601" s="85" t="n">
        <v>181.1</v>
      </c>
      <c r="S601" s="85" t="n">
        <v>67.59999999999999</v>
      </c>
      <c r="T601" s="85" t="n">
        <v>93.2</v>
      </c>
      <c r="U601" s="85" t="n">
        <v>308.3</v>
      </c>
      <c r="V601" s="85" t="n">
        <v>22.1</v>
      </c>
      <c r="W601" s="85" t="n">
        <v>1421</v>
      </c>
      <c r="X601" s="85" t="n">
        <v>483</v>
      </c>
      <c r="Y601" s="85" t="n">
        <v>112.3</v>
      </c>
      <c r="Z601" s="85" t="n">
        <v>489.9</v>
      </c>
      <c r="AA601" s="85" t="n">
        <v>-19.8</v>
      </c>
      <c r="AB601" s="85" t="n">
        <v>725</v>
      </c>
      <c r="AC601" s="85" t="n">
        <v>-73</v>
      </c>
      <c r="AD601" s="85" t="n">
        <v>61.9</v>
      </c>
      <c r="AE601" s="85" t="n">
        <v>321.5</v>
      </c>
      <c r="AF601" s="85" t="n">
        <v>338.9</v>
      </c>
      <c r="AG601" s="85" t="n">
        <v>929.6</v>
      </c>
      <c r="AH601" s="85" t="n">
        <v>725</v>
      </c>
      <c r="AI601" s="85" t="n">
        <v>1421</v>
      </c>
      <c r="AJ601" s="85" t="n">
        <v>-14.9</v>
      </c>
      <c r="AK601" s="85" t="n">
        <v>-85.7</v>
      </c>
      <c r="AL601" s="85" t="n">
        <v>-0.2</v>
      </c>
      <c r="AM601" s="85" t="n">
        <v>-12.9</v>
      </c>
      <c r="AN601" s="85" t="n">
        <v>38.2</v>
      </c>
      <c r="AO601" s="85" t="n">
        <v>40</v>
      </c>
      <c r="AP601" s="85" t="n">
        <v>181.8</v>
      </c>
      <c r="AQ601" s="85" t="n">
        <v>183.9</v>
      </c>
      <c r="AR601" s="85" t="n">
        <v>203.3</v>
      </c>
      <c r="AS601" s="85" t="n">
        <v>236.4</v>
      </c>
      <c r="AT601" s="85" t="n">
        <v>1.5</v>
      </c>
      <c r="AU601" s="85" t="n">
        <v>205.8</v>
      </c>
      <c r="AV601" s="85" t="n">
        <v>168.8</v>
      </c>
      <c r="AW601" s="85" t="n">
        <v>121.3</v>
      </c>
      <c r="AX601" s="85" t="n">
        <v>282.4</v>
      </c>
      <c r="AY601" s="85" t="n">
        <v>338.9</v>
      </c>
      <c r="AZ601" s="85" t="n">
        <v>113.7</v>
      </c>
      <c r="BA601" s="85" t="n">
        <v>124.9</v>
      </c>
      <c r="BB601" s="85" t="n">
        <v>185.4</v>
      </c>
      <c r="BC601" s="85" t="n">
        <v>184.3</v>
      </c>
      <c r="BD601" s="85" t="n">
        <v>84.59999999999999</v>
      </c>
      <c r="BE601" s="85" t="n">
        <v>302.9</v>
      </c>
      <c r="BF601" s="85" t="n">
        <v>161.7</v>
      </c>
      <c r="BG601" s="85" t="n">
        <v>64.5</v>
      </c>
      <c r="BH601" s="85" t="n">
        <v>-41.7</v>
      </c>
      <c r="BI601" s="85" t="n">
        <v>-40.8</v>
      </c>
      <c r="BJ601" s="91" t="inlineStr">
        <is>
          <t>N/A</t>
        </is>
      </c>
      <c r="BK601" s="91" t="inlineStr">
        <is>
          <t>N/A</t>
        </is>
      </c>
      <c r="BL601" s="91" t="inlineStr">
        <is>
          <t>N/A</t>
        </is>
      </c>
      <c r="BM601" s="91" t="inlineStr">
        <is>
          <t>N/A</t>
        </is>
      </c>
      <c r="BN601" s="85" t="n">
        <v>3.9</v>
      </c>
      <c r="BO601" s="85" t="n">
        <v>478.1</v>
      </c>
      <c r="BP601" s="85" t="n">
        <v>403.5</v>
      </c>
      <c r="BQ601" s="85" t="n">
        <v>0</v>
      </c>
      <c r="BR601" s="85" t="n">
        <v>0</v>
      </c>
      <c r="BS601" s="85" t="n">
        <v>0</v>
      </c>
      <c r="BT601" s="85" t="n">
        <v>0</v>
      </c>
      <c r="BU601" s="85" t="n">
        <v>0</v>
      </c>
      <c r="BV601" s="91" t="inlineStr">
        <is>
          <t>N/A</t>
        </is>
      </c>
      <c r="BW601" s="85" t="n">
        <v>0</v>
      </c>
      <c r="BX601" s="85" t="n">
        <v>0</v>
      </c>
      <c r="BY601" s="85" t="n">
        <v>0</v>
      </c>
    </row>
    <row r="602" ht="17" customHeight="1">
      <c r="A602" s="86" t="n">
        <v>600</v>
      </c>
      <c r="B602" s="87" t="inlineStr">
        <is>
          <t>LRCX</t>
        </is>
      </c>
      <c r="C602" s="88" t="inlineStr">
        <is>
          <t>LAM RESEARCH CORPORATION</t>
        </is>
      </c>
      <c r="D602" s="86" t="inlineStr">
        <is>
          <t>Information Technology</t>
        </is>
      </c>
      <c r="E602" s="86" t="n">
        <v>2026</v>
      </c>
      <c r="F602" s="89" t="n">
        <v>21345.3</v>
      </c>
      <c r="G602" s="89" t="n">
        <v>14517</v>
      </c>
      <c r="H602" s="89" t="n">
        <v>6568.4</v>
      </c>
      <c r="I602" s="89" t="n">
        <v>11483.6</v>
      </c>
      <c r="J602" s="89" t="n">
        <v>28988.9</v>
      </c>
      <c r="K602" s="89" t="n">
        <v>5901</v>
      </c>
      <c r="L602" s="89" t="n">
        <v>3237.7</v>
      </c>
      <c r="M602" s="89" t="n">
        <v>5358.2</v>
      </c>
      <c r="N602" s="89" t="n">
        <v>6173.3</v>
      </c>
      <c r="O602" s="89" t="n">
        <v>8979.1</v>
      </c>
      <c r="P602" s="89" t="n">
        <v>4469.4</v>
      </c>
      <c r="Q602" s="89" t="n">
        <v>9861.6</v>
      </c>
      <c r="R602" s="89" t="n">
        <v>981.7</v>
      </c>
      <c r="S602" s="89" t="n">
        <v>386.3</v>
      </c>
      <c r="T602" s="89" t="n">
        <v>3378.1</v>
      </c>
      <c r="U602" s="89" t="n">
        <v>2405.5</v>
      </c>
      <c r="V602" s="89" t="n">
        <v>186.5</v>
      </c>
      <c r="W602" s="89" t="n">
        <v>18744.7</v>
      </c>
      <c r="X602" s="89" t="n">
        <v>12883.2</v>
      </c>
      <c r="Y602" s="89" t="n">
        <v>4338.4</v>
      </c>
      <c r="Z602" s="89" t="n">
        <v>10205.3</v>
      </c>
      <c r="AA602" s="89" t="n">
        <v>4263.9</v>
      </c>
      <c r="AB602" s="89" t="n">
        <v>2133.8</v>
      </c>
      <c r="AC602" s="89" t="n">
        <v>3827.8</v>
      </c>
      <c r="AD602" s="89" t="n">
        <v>4652.3</v>
      </c>
      <c r="AE602" s="89" t="n">
        <v>7052.8</v>
      </c>
      <c r="AF602" s="89" t="n">
        <v>4967.4</v>
      </c>
      <c r="AG602" s="89" t="n">
        <v>8539.5</v>
      </c>
      <c r="AH602" s="89" t="n">
        <v>1115.9</v>
      </c>
      <c r="AI602" s="89" t="n">
        <v>18744.7</v>
      </c>
      <c r="AJ602" s="89" t="n">
        <v>5958.1</v>
      </c>
      <c r="AK602" s="89" t="n">
        <v>4360.2</v>
      </c>
      <c r="AL602" s="89" t="n">
        <v>599.9</v>
      </c>
      <c r="AM602" s="89" t="n">
        <v>532.5</v>
      </c>
      <c r="AN602" s="89" t="n">
        <v>759.2</v>
      </c>
      <c r="AO602" s="89" t="n">
        <v>396.7</v>
      </c>
      <c r="AP602" s="89" t="n">
        <v>4308</v>
      </c>
      <c r="AQ602" s="89" t="n">
        <v>4217.9</v>
      </c>
      <c r="AR602" s="89" t="n">
        <v>1600</v>
      </c>
      <c r="AS602" s="89" t="n">
        <v>138.5</v>
      </c>
      <c r="AT602" s="89" t="n">
        <v>839.9</v>
      </c>
      <c r="AU602" s="89" t="n">
        <v>2096.4</v>
      </c>
      <c r="AV602" s="89" t="n">
        <v>6390.7</v>
      </c>
      <c r="AW602" s="89" t="n">
        <v>5847.9</v>
      </c>
      <c r="AX602" s="89" t="n">
        <v>5309.2</v>
      </c>
      <c r="AY602" s="89" t="n">
        <v>5634.5</v>
      </c>
      <c r="AZ602" s="89" t="n">
        <v>-1081.4</v>
      </c>
      <c r="BA602" s="89" t="n">
        <v>5414.1</v>
      </c>
      <c r="BB602" s="89" t="n">
        <v>1268.7</v>
      </c>
      <c r="BC602" s="89" t="n">
        <v>130.4</v>
      </c>
      <c r="BD602" s="89" t="n">
        <v>2519.2</v>
      </c>
      <c r="BE602" s="89" t="n">
        <v>2130</v>
      </c>
      <c r="BF602" s="89" t="n">
        <v>868.2</v>
      </c>
      <c r="BG602" s="89" t="n">
        <v>359.7</v>
      </c>
      <c r="BH602" s="89" t="n">
        <v>-708.1</v>
      </c>
      <c r="BI602" s="89" t="n">
        <v>-370.6</v>
      </c>
      <c r="BJ602" s="89" t="n">
        <v>854.2</v>
      </c>
      <c r="BK602" s="89" t="n">
        <v>614</v>
      </c>
      <c r="BL602" s="89" t="n">
        <v>2565.5</v>
      </c>
      <c r="BM602" s="89" t="n">
        <v>1417.8</v>
      </c>
      <c r="BN602" s="89" t="n">
        <v>541.4</v>
      </c>
      <c r="BO602" s="89" t="n">
        <v>9456.5</v>
      </c>
      <c r="BP602" s="89" t="n">
        <v>7852.6</v>
      </c>
      <c r="BQ602" s="89" t="n">
        <v>0</v>
      </c>
      <c r="BR602" s="89" t="n">
        <v>0</v>
      </c>
      <c r="BS602" s="89" t="n">
        <v>0</v>
      </c>
      <c r="BT602" s="89" t="n">
        <v>0</v>
      </c>
      <c r="BU602" s="89" t="n">
        <v>0</v>
      </c>
      <c r="BV602" s="89" t="n">
        <v>0</v>
      </c>
      <c r="BW602" s="89" t="n">
        <v>0</v>
      </c>
      <c r="BX602" s="89" t="n">
        <v>0</v>
      </c>
      <c r="BY602" s="8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6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25" customWidth="1" min="3" max="3"/>
    <col width="14.65" customWidth="1" min="4" max="4"/>
    <col width="13.5" customWidth="1" min="5" max="5"/>
    <col width="13.5" customWidth="1" min="6" max="6"/>
    <col width="9" customWidth="1" min="7" max="7"/>
    <col width="10.05" customWidth="1" min="8" max="8"/>
    <col width="9" customWidth="1" min="9" max="9"/>
    <col width="9" customWidth="1" min="10" max="10"/>
    <col width="19.25" customWidth="1" min="11" max="11"/>
    <col width="19.25" customWidth="1" min="12" max="12"/>
    <col width="21.55" customWidth="1" min="13" max="13"/>
    <col width="21.55" customWidth="1" min="14" max="14"/>
    <col width="20.4" customWidth="1" min="15" max="15"/>
    <col width="20.4" customWidth="1" min="16" max="16"/>
    <col width="18.1" customWidth="1" min="17" max="17"/>
    <col width="16.95" customWidth="1" min="18" max="18"/>
    <col width="14.65" customWidth="1" min="19" max="19"/>
    <col width="14.65" customWidth="1" min="20" max="20"/>
    <col width="18.1" customWidth="1" min="21" max="21"/>
    <col width="19.25" customWidth="1" min="22" max="22"/>
    <col width="20.4" customWidth="1" min="23" max="23"/>
    <col width="13.5" customWidth="1" min="24" max="24"/>
    <col width="16.95" customWidth="1" min="25" max="25"/>
    <col width="21.55" customWidth="1" min="26" max="26"/>
    <col width="18.1" customWidth="1" min="27" max="27"/>
    <col width="12.35" customWidth="1" min="28" max="28"/>
    <col width="18.1" customWidth="1" min="29" max="29"/>
    <col width="16.95" customWidth="1" min="30" max="30"/>
    <col width="10.05" customWidth="1" min="31" max="31"/>
    <col width="10.05" customWidth="1" min="32" max="32"/>
    <col width="10.05" customWidth="1" min="33" max="33"/>
    <col width="10.05" customWidth="1" min="34" max="34"/>
    <col width="10.05" customWidth="1" min="35" max="35"/>
    <col width="18.1" customWidth="1" min="36" max="36"/>
    <col width="16.95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19.25" customWidth="1" min="43" max="43"/>
    <col width="18.1" customWidth="1" min="44" max="44"/>
    <col width="10.05" customWidth="1" min="45" max="45"/>
    <col width="10.05" customWidth="1" min="46" max="46"/>
    <col width="10.05" customWidth="1" min="47" max="47"/>
    <col width="10.05" customWidth="1" min="48" max="48"/>
    <col width="20.4" customWidth="1" min="49" max="49"/>
    <col width="19.25" customWidth="1" min="50" max="50"/>
    <col width="9" customWidth="1" min="51" max="51"/>
    <col width="9" customWidth="1" min="52" max="52"/>
    <col width="10.05" customWidth="1" min="53" max="53"/>
    <col width="9" customWidth="1" min="54" max="54"/>
    <col width="23.85" customWidth="1" min="55" max="55"/>
    <col width="22.7" customWidth="1" min="56" max="56"/>
    <col width="10.05" customWidth="1" min="57" max="57"/>
    <col width="15.8" customWidth="1" min="58" max="58"/>
    <col width="16.95" customWidth="1" min="59" max="59"/>
    <col width="23.85" customWidth="1" min="60" max="60"/>
    <col width="13.5" customWidth="1" min="61" max="61"/>
    <col width="22.7" customWidth="1" min="62" max="62"/>
    <col width="11.2" customWidth="1" min="63" max="63"/>
    <col width="11.2" customWidth="1" min="64" max="64"/>
    <col width="14.65" customWidth="1" min="65" max="65"/>
    <col width="13.5" customWidth="1" min="66" max="66"/>
    <col width="14.65" customWidth="1" min="67" max="67"/>
    <col width="12.35" customWidth="1" min="68" max="68"/>
    <col width="18.1" customWidth="1" min="69" max="69"/>
    <col width="11.2" customWidth="1" min="70" max="70"/>
    <col width="11.2" customWidth="1" min="71" max="71"/>
    <col width="10.05" customWidth="1" min="72" max="72"/>
    <col width="20.4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21.55" customWidth="1" min="82" max="82"/>
    <col width="14.65" customWidth="1" min="83" max="83"/>
    <col width="19.25" customWidth="1" min="84" max="84"/>
    <col width="25" customWidth="1" min="85" max="85"/>
    <col width="14.65" customWidth="1" min="86" max="86"/>
    <col width="13.5" customWidth="1" min="87" max="87"/>
  </cols>
  <sheetData>
    <row r="1">
      <c r="A1" s="92" t="inlineStr">
        <is>
          <t>RATIOS &amp; SCORES — 5 Bankruptcy Models + Extended Analytics</t>
        </is>
      </c>
    </row>
    <row r="2" ht="36" customHeight="1">
      <c r="A2" s="93" t="inlineStr">
        <is>
          <t>Ticker</t>
        </is>
      </c>
      <c r="B2" s="93" t="inlineStr">
        <is>
          <t>Company Name</t>
        </is>
      </c>
      <c r="C2" s="94" t="inlineStr">
        <is>
          <t>Working Capital ($M)</t>
        </is>
      </c>
      <c r="D2" s="94" t="inlineStr">
        <is>
          <t>EBIT Margin</t>
        </is>
      </c>
      <c r="E2" s="94" t="inlineStr">
        <is>
          <t>EBT Margin</t>
        </is>
      </c>
      <c r="F2" s="94" t="inlineStr">
        <is>
          <t>Net Margin</t>
        </is>
      </c>
      <c r="G2" s="94" t="inlineStr">
        <is>
          <t>ROA Y0</t>
        </is>
      </c>
      <c r="H2" s="94" t="inlineStr">
        <is>
          <t>ROA Y1</t>
        </is>
      </c>
      <c r="I2" s="94" t="inlineStr">
        <is>
          <t>ROE</t>
        </is>
      </c>
      <c r="J2" s="94" t="inlineStr">
        <is>
          <t>ROCE</t>
        </is>
      </c>
      <c r="K2" s="94" t="inlineStr">
        <is>
          <t>Gross Margin Y0</t>
        </is>
      </c>
      <c r="L2" s="94" t="inlineStr">
        <is>
          <t>Gross Margin Y1</t>
        </is>
      </c>
      <c r="M2" s="94" t="inlineStr">
        <is>
          <t>Asset Turnover Y0</t>
        </is>
      </c>
      <c r="N2" s="94" t="inlineStr">
        <is>
          <t>Asset Turnover Y1</t>
        </is>
      </c>
      <c r="O2" s="94" t="inlineStr">
        <is>
          <t>Current Ratio Y0</t>
        </is>
      </c>
      <c r="P2" s="94" t="inlineStr">
        <is>
          <t>Current Ratio Y1</t>
        </is>
      </c>
      <c r="Q2" s="94" t="inlineStr">
        <is>
          <t>Quick Ratio Y0</t>
        </is>
      </c>
      <c r="R2" s="94" t="inlineStr">
        <is>
          <t>Cash Ratio Y0</t>
        </is>
      </c>
      <c r="S2" s="94" t="inlineStr">
        <is>
          <t>Leverage Y0</t>
        </is>
      </c>
      <c r="T2" s="94" t="inlineStr">
        <is>
          <t>Leverage Y1</t>
        </is>
      </c>
      <c r="U2" s="94" t="inlineStr">
        <is>
          <t>Debt/Equity Y0</t>
        </is>
      </c>
      <c r="V2" s="94" t="inlineStr">
        <is>
          <t>Net Debt/Equity</t>
        </is>
      </c>
      <c r="W2" s="94" t="inlineStr">
        <is>
          <t>CFO / Net Income</t>
        </is>
      </c>
      <c r="X2" s="94" t="inlineStr">
        <is>
          <t>FCF Margin</t>
        </is>
      </c>
      <c r="Y2" s="94" t="inlineStr">
        <is>
          <t>R&amp;D % Revenue</t>
        </is>
      </c>
      <c r="Z2" s="94" t="inlineStr">
        <is>
          <t>Interest Coverage</t>
        </is>
      </c>
      <c r="AA2" s="94" t="inlineStr">
        <is>
          <t>Revenue Growth</t>
        </is>
      </c>
      <c r="AB2" s="94" t="inlineStr">
        <is>
          <t>NI Growth</t>
        </is>
      </c>
      <c r="AC2" s="94" t="inlineStr">
        <is>
          <t>Accruals Ratio</t>
        </is>
      </c>
      <c r="AD2" s="95" t="inlineStr">
        <is>
          <t>Sloan Accrual</t>
        </is>
      </c>
      <c r="AE2" s="95" t="inlineStr">
        <is>
          <t>Z68: X1</t>
        </is>
      </c>
      <c r="AF2" s="95" t="inlineStr">
        <is>
          <t>Z68: X2</t>
        </is>
      </c>
      <c r="AG2" s="95" t="inlineStr">
        <is>
          <t>Z68: X3</t>
        </is>
      </c>
      <c r="AH2" s="95" t="inlineStr">
        <is>
          <t>Z68: X4</t>
        </is>
      </c>
      <c r="AI2" s="95" t="inlineStr">
        <is>
          <t>Z68: X5</t>
        </is>
      </c>
      <c r="AJ2" s="95" t="inlineStr">
        <is>
          <t>Z-Score (1968)</t>
        </is>
      </c>
      <c r="AK2" s="96" t="inlineStr">
        <is>
          <t>Z-Band (1968)</t>
        </is>
      </c>
      <c r="AL2" s="96" t="inlineStr">
        <is>
          <t>Z': X1</t>
        </is>
      </c>
      <c r="AM2" s="96" t="inlineStr">
        <is>
          <t>Z': X2</t>
        </is>
      </c>
      <c r="AN2" s="96" t="inlineStr">
        <is>
          <t>Z': X3</t>
        </is>
      </c>
      <c r="AO2" s="96" t="inlineStr">
        <is>
          <t>Z': X4</t>
        </is>
      </c>
      <c r="AP2" s="96" t="inlineStr">
        <is>
          <t>Z': X5</t>
        </is>
      </c>
      <c r="AQ2" s="96" t="inlineStr">
        <is>
          <t>Z'-Score (1983)</t>
        </is>
      </c>
      <c r="AR2" s="97" t="inlineStr">
        <is>
          <t>Z'-Band (1983)</t>
        </is>
      </c>
      <c r="AS2" s="97" t="inlineStr">
        <is>
          <t>Z'': X1</t>
        </is>
      </c>
      <c r="AT2" s="97" t="inlineStr">
        <is>
          <t>Z'': X2</t>
        </is>
      </c>
      <c r="AU2" s="97" t="inlineStr">
        <is>
          <t>Z'': X3</t>
        </is>
      </c>
      <c r="AV2" s="97" t="inlineStr">
        <is>
          <t>Z'': X4</t>
        </is>
      </c>
      <c r="AW2" s="97" t="inlineStr">
        <is>
          <t>Z''-Score (1995)</t>
        </is>
      </c>
      <c r="AX2" s="98" t="inlineStr">
        <is>
          <t>Z''-Band (1995)</t>
        </is>
      </c>
      <c r="AY2" s="98" t="inlineStr">
        <is>
          <t>SS: A</t>
        </is>
      </c>
      <c r="AZ2" s="98" t="inlineStr">
        <is>
          <t>SS: B</t>
        </is>
      </c>
      <c r="BA2" s="98" t="inlineStr">
        <is>
          <t>SS: C</t>
        </is>
      </c>
      <c r="BB2" s="98" t="inlineStr">
        <is>
          <t>SS: D</t>
        </is>
      </c>
      <c r="BC2" s="98" t="inlineStr">
        <is>
          <t>S-Score (Springate)</t>
        </is>
      </c>
      <c r="BD2" s="99" t="inlineStr">
        <is>
          <t>S-Band (Springate)</t>
        </is>
      </c>
      <c r="BE2" s="99" t="inlineStr">
        <is>
          <t>ZM: ROA</t>
        </is>
      </c>
      <c r="BF2" s="99" t="inlineStr">
        <is>
          <t>ZM: Leverage</t>
        </is>
      </c>
      <c r="BG2" s="99" t="inlineStr">
        <is>
          <t>ZM: Liquidity</t>
        </is>
      </c>
      <c r="BH2" s="99" t="inlineStr">
        <is>
          <t>X-Score (Zmijewski)</t>
        </is>
      </c>
      <c r="BI2" s="99" t="inlineStr">
        <is>
          <t>X-Prob (%)</t>
        </is>
      </c>
      <c r="BJ2" s="100" t="inlineStr">
        <is>
          <t>X-Band (Zmijewski)</t>
        </is>
      </c>
      <c r="BK2" s="100" t="inlineStr">
        <is>
          <t>F1 ROA&gt;0</t>
        </is>
      </c>
      <c r="BL2" s="100" t="inlineStr">
        <is>
          <t>F2 CFO&gt;0</t>
        </is>
      </c>
      <c r="BM2" s="100" t="inlineStr">
        <is>
          <t>F3 ROA Impr</t>
        </is>
      </c>
      <c r="BN2" s="100" t="inlineStr">
        <is>
          <t>F4 CFO&gt;ROA</t>
        </is>
      </c>
      <c r="BO2" s="100" t="inlineStr">
        <is>
          <t>F5 Lev Down</t>
        </is>
      </c>
      <c r="BP2" s="100" t="inlineStr">
        <is>
          <t>F6 Liq Up</t>
        </is>
      </c>
      <c r="BQ2" s="100" t="inlineStr">
        <is>
          <t>F7 No Dilution</t>
        </is>
      </c>
      <c r="BR2" s="100" t="inlineStr">
        <is>
          <t>F8 GM Up</t>
        </is>
      </c>
      <c r="BS2" s="100" t="inlineStr">
        <is>
          <t>F9 AT Up</t>
        </is>
      </c>
      <c r="BT2" s="100" t="inlineStr">
        <is>
          <t>F-Score</t>
        </is>
      </c>
      <c r="BU2" s="101" t="inlineStr">
        <is>
          <t>F-Interpretation</t>
        </is>
      </c>
      <c r="BV2" s="101" t="inlineStr">
        <is>
          <t>DSRI</t>
        </is>
      </c>
      <c r="BW2" s="101" t="inlineStr">
        <is>
          <t>GMI</t>
        </is>
      </c>
      <c r="BX2" s="101" t="inlineStr">
        <is>
          <t>AQI</t>
        </is>
      </c>
      <c r="BY2" s="101" t="inlineStr">
        <is>
          <t>SGI</t>
        </is>
      </c>
      <c r="BZ2" s="101" t="inlineStr">
        <is>
          <t>DEPI</t>
        </is>
      </c>
      <c r="CA2" s="101" t="inlineStr">
        <is>
          <t>SGAI</t>
        </is>
      </c>
      <c r="CB2" s="101" t="inlineStr">
        <is>
          <t>LVGI</t>
        </is>
      </c>
      <c r="CC2" s="101" t="inlineStr">
        <is>
          <t>TATA</t>
        </is>
      </c>
      <c r="CD2" s="101" t="inlineStr">
        <is>
          <t>M-Score (Beneish)</t>
        </is>
      </c>
      <c r="CE2" s="102" t="inlineStr">
        <is>
          <t>M-Flag</t>
        </is>
      </c>
      <c r="CF2" s="102" t="inlineStr">
        <is>
          <t>Net Debt/EBITDA</t>
        </is>
      </c>
      <c r="CG2" s="102" t="inlineStr">
        <is>
          <t>Health Score (0-100)</t>
        </is>
      </c>
      <c r="CH2" s="102" t="inlineStr">
        <is>
          <t>TGTBT Score</t>
        </is>
      </c>
      <c r="CI2" s="93" t="inlineStr">
        <is>
          <t>TGTBT Flag</t>
        </is>
      </c>
    </row>
    <row r="3" ht="17" customHeight="1">
      <c r="A3" s="103" t="inlineStr">
        <is>
          <t>AVY</t>
        </is>
      </c>
      <c r="B3" s="103" t="inlineStr">
        <is>
          <t>AVERY DENNISON CORPORATION</t>
        </is>
      </c>
      <c r="C3" s="104" t="n">
        <v>336700000</v>
      </c>
      <c r="D3" s="105" t="n">
        <v>0.1</v>
      </c>
      <c r="E3" s="105" t="n">
        <v>0.1</v>
      </c>
      <c r="F3" s="105" t="n">
        <v>0.08</v>
      </c>
      <c r="G3" s="105" t="n">
        <v>0.08</v>
      </c>
      <c r="H3" s="105" t="n">
        <v>0.08</v>
      </c>
      <c r="I3" s="105" t="n">
        <v>0.31</v>
      </c>
      <c r="J3" s="105" t="n">
        <v>0.15</v>
      </c>
      <c r="K3" s="105" t="n">
        <v>0.29</v>
      </c>
      <c r="L3" s="105" t="n">
        <v>0.29</v>
      </c>
      <c r="M3" s="105" t="n">
        <v>1.01</v>
      </c>
      <c r="N3" s="104" t="n">
        <v>1.04</v>
      </c>
      <c r="O3" s="104" t="n">
        <v>1.13</v>
      </c>
      <c r="P3" s="104" t="n">
        <v>1.08</v>
      </c>
      <c r="Q3" s="104" t="n">
        <v>0.76</v>
      </c>
      <c r="R3" s="104" t="n">
        <v>0.08</v>
      </c>
      <c r="S3" s="104" t="n">
        <v>1</v>
      </c>
      <c r="T3" s="104" t="n">
        <v>1</v>
      </c>
      <c r="U3" s="104" t="n">
        <v>1.66</v>
      </c>
      <c r="V3" s="104" t="n">
        <v>1.57</v>
      </c>
      <c r="W3" s="104" t="n">
        <v>1.28</v>
      </c>
      <c r="X3" s="105" t="n">
        <v>0.08</v>
      </c>
      <c r="Y3" s="105" t="n">
        <v>0.02</v>
      </c>
      <c r="Z3" s="105" t="n">
        <v>7.77</v>
      </c>
      <c r="AA3" s="105" t="n">
        <v>0.01</v>
      </c>
      <c r="AB3" s="105" t="n">
        <v>-0.02</v>
      </c>
      <c r="AC3" s="104" t="n">
        <v>-0.02</v>
      </c>
      <c r="AD3" s="104" t="n">
        <v>-0.02</v>
      </c>
      <c r="AE3" s="104" t="n">
        <v>0.04</v>
      </c>
      <c r="AF3" s="104" t="n">
        <v>0.64</v>
      </c>
      <c r="AG3" s="104" t="n">
        <v>0.11</v>
      </c>
      <c r="AH3" s="104" t="n">
        <v>0.25</v>
      </c>
      <c r="AI3" s="104" t="n">
        <v>1.01</v>
      </c>
      <c r="AJ3" s="104" t="n">
        <v>2.44</v>
      </c>
      <c r="AK3" s="106" t="inlineStr">
        <is>
          <t>Grey</t>
        </is>
      </c>
      <c r="AL3" s="104" t="n">
        <v>0.04</v>
      </c>
      <c r="AM3" s="104" t="n">
        <v>0.64</v>
      </c>
      <c r="AN3" s="104" t="n">
        <v>0.11</v>
      </c>
      <c r="AO3" s="104" t="n">
        <v>0.25</v>
      </c>
      <c r="AP3" s="104" t="n">
        <v>1.01</v>
      </c>
      <c r="AQ3" s="103" t="n">
        <v>2</v>
      </c>
      <c r="AR3" s="103" t="inlineStr">
        <is>
          <t>Grey</t>
        </is>
      </c>
      <c r="AS3" s="104" t="n">
        <v>0.04</v>
      </c>
      <c r="AT3" s="104" t="n">
        <v>0.64</v>
      </c>
      <c r="AU3" s="104" t="n">
        <v>0.11</v>
      </c>
      <c r="AV3" s="104" t="n">
        <v>0.25</v>
      </c>
      <c r="AW3" s="103" t="n">
        <v>3.3</v>
      </c>
      <c r="AX3" s="103" t="inlineStr">
        <is>
          <t>Safe</t>
        </is>
      </c>
      <c r="AY3" s="104" t="n">
        <v>0.04</v>
      </c>
      <c r="AZ3" s="104" t="n">
        <v>0.11</v>
      </c>
      <c r="BA3" s="104" t="n">
        <v>0.35</v>
      </c>
      <c r="BB3" s="104" t="n">
        <v>1.01</v>
      </c>
      <c r="BC3" s="103" t="n">
        <v>0.99</v>
      </c>
      <c r="BD3" s="103" t="inlineStr">
        <is>
          <t>Healthy</t>
        </is>
      </c>
      <c r="BE3" s="104" t="n">
        <v>0.08</v>
      </c>
      <c r="BF3" s="104" t="n">
        <v>1</v>
      </c>
      <c r="BG3" s="104" t="n">
        <v>1.13</v>
      </c>
      <c r="BH3" s="104" t="n">
        <v>0.99</v>
      </c>
      <c r="BI3" s="103" t="n">
        <v>0.73</v>
      </c>
      <c r="BJ3" s="103" t="inlineStr">
        <is>
          <t>Distress</t>
        </is>
      </c>
      <c r="BK3" s="103" t="n">
        <v>1</v>
      </c>
      <c r="BL3" s="103" t="n">
        <v>1</v>
      </c>
      <c r="BM3" s="103" t="n">
        <v>0</v>
      </c>
      <c r="BN3" s="103" t="n">
        <v>1</v>
      </c>
      <c r="BO3" s="103" t="n">
        <v>0</v>
      </c>
      <c r="BP3" s="103" t="n">
        <v>1</v>
      </c>
      <c r="BQ3" s="103" t="n">
        <v>1</v>
      </c>
      <c r="BR3" s="103" t="n">
        <v>0</v>
      </c>
      <c r="BS3" s="103" t="n">
        <v>0</v>
      </c>
      <c r="BT3" s="103" t="n">
        <v>5</v>
      </c>
      <c r="BU3" s="103" t="inlineStr">
        <is>
          <t>Mixed</t>
        </is>
      </c>
      <c r="BV3" s="104" t="n">
        <v>1.01</v>
      </c>
      <c r="BW3" s="104" t="n">
        <v>1.01</v>
      </c>
      <c r="BX3" s="104" t="n">
        <v>1.06</v>
      </c>
      <c r="BY3" s="104" t="n">
        <v>1.01</v>
      </c>
      <c r="BZ3" s="104" t="n">
        <v>0.99</v>
      </c>
      <c r="CA3" s="104" t="n">
        <v>0.99</v>
      </c>
      <c r="CB3" s="104" t="n">
        <v>1</v>
      </c>
      <c r="CC3" s="104" t="n">
        <v>-0.02</v>
      </c>
      <c r="CD3" s="103" t="n">
        <v>-2.53</v>
      </c>
      <c r="CE3" s="103" t="inlineStr">
        <is>
          <t>Lower Risk</t>
        </is>
      </c>
      <c r="CF3" s="104" t="n">
        <v>2.81</v>
      </c>
      <c r="CG3" s="104" t="n">
        <v>49.96</v>
      </c>
      <c r="CH3" s="103" t="n">
        <v>0</v>
      </c>
      <c r="CI3" s="103" t="inlineStr">
        <is>
          <t>CLEAR</t>
        </is>
      </c>
    </row>
    <row r="4" ht="17" customHeight="1">
      <c r="A4" s="107" t="inlineStr">
        <is>
          <t>CHD</t>
        </is>
      </c>
      <c r="B4" s="107" t="inlineStr">
        <is>
          <t>CHURCH &amp; DWIGHT CO., INC.</t>
        </is>
      </c>
      <c r="C4" s="108" t="n">
        <v>99300000</v>
      </c>
      <c r="D4" s="109" t="n">
        <v>0.17</v>
      </c>
      <c r="E4" s="109" t="n">
        <v>0.15</v>
      </c>
      <c r="F4" s="109" t="n">
        <v>0.12</v>
      </c>
      <c r="G4" s="109" t="n">
        <v>0.08</v>
      </c>
      <c r="H4" s="109" t="n">
        <v>0.07000000000000001</v>
      </c>
      <c r="I4" s="109" t="n">
        <v>0.18</v>
      </c>
      <c r="J4" s="109" t="n">
        <v>0.15</v>
      </c>
      <c r="K4" s="109" t="n">
        <v>0.45</v>
      </c>
      <c r="L4" s="109" t="n">
        <v>0.46</v>
      </c>
      <c r="M4" s="109" t="n">
        <v>0.7</v>
      </c>
      <c r="N4" s="108" t="n">
        <v>0.6899999999999999</v>
      </c>
      <c r="O4" s="108" t="n">
        <v>1.07</v>
      </c>
      <c r="P4" s="108" t="n">
        <v>1.7</v>
      </c>
      <c r="Q4" s="108" t="n">
        <v>0.71</v>
      </c>
      <c r="R4" s="108" t="n">
        <v>0.27</v>
      </c>
      <c r="S4" s="108" t="n">
        <v>0.55</v>
      </c>
      <c r="T4" s="108" t="n">
        <v>0.51</v>
      </c>
      <c r="U4" s="108" t="n">
        <v>0.55</v>
      </c>
      <c r="V4" s="108" t="n">
        <v>0.45</v>
      </c>
      <c r="W4" s="108" t="n">
        <v>1.65</v>
      </c>
      <c r="X4" s="109" t="n">
        <v>0.18</v>
      </c>
      <c r="Y4" s="109" t="n">
        <v>0.02</v>
      </c>
      <c r="Z4" s="109" t="n">
        <v>11.32</v>
      </c>
      <c r="AA4" s="109" t="n">
        <v>0.02</v>
      </c>
      <c r="AB4" s="109" t="n">
        <v>0.26</v>
      </c>
      <c r="AC4" s="108" t="n">
        <v>-0.05</v>
      </c>
      <c r="AD4" s="108" t="n">
        <v>-0.05</v>
      </c>
      <c r="AE4" s="108" t="n">
        <v>0.01</v>
      </c>
      <c r="AF4" s="108" t="n">
        <v>0.76</v>
      </c>
      <c r="AG4" s="108" t="n">
        <v>0.12</v>
      </c>
      <c r="AH4" s="108" t="n">
        <v>0.82</v>
      </c>
      <c r="AI4" s="108" t="n">
        <v>0.7</v>
      </c>
      <c r="AJ4" s="108" t="n">
        <v>2.66</v>
      </c>
      <c r="AK4" s="106" t="inlineStr">
        <is>
          <t>Grey</t>
        </is>
      </c>
      <c r="AL4" s="108" t="n">
        <v>0.01</v>
      </c>
      <c r="AM4" s="108" t="n">
        <v>0.76</v>
      </c>
      <c r="AN4" s="108" t="n">
        <v>0.12</v>
      </c>
      <c r="AO4" s="108" t="n">
        <v>0.82</v>
      </c>
      <c r="AP4" s="108" t="n">
        <v>0.7</v>
      </c>
      <c r="AQ4" s="107" t="n">
        <v>2.06</v>
      </c>
      <c r="AR4" s="107" t="inlineStr">
        <is>
          <t>Grey</t>
        </is>
      </c>
      <c r="AS4" s="108" t="n">
        <v>0.01</v>
      </c>
      <c r="AT4" s="108" t="n">
        <v>0.76</v>
      </c>
      <c r="AU4" s="108" t="n">
        <v>0.12</v>
      </c>
      <c r="AV4" s="108" t="n">
        <v>0.82</v>
      </c>
      <c r="AW4" s="107" t="n">
        <v>4.22</v>
      </c>
      <c r="AX4" s="107" t="inlineStr">
        <is>
          <t>Safe</t>
        </is>
      </c>
      <c r="AY4" s="108" t="n">
        <v>0.01</v>
      </c>
      <c r="AZ4" s="108" t="n">
        <v>0.12</v>
      </c>
      <c r="BA4" s="108" t="n">
        <v>0.64</v>
      </c>
      <c r="BB4" s="108" t="n">
        <v>0.7</v>
      </c>
      <c r="BC4" s="107" t="n">
        <v>1.08</v>
      </c>
      <c r="BD4" s="107" t="inlineStr">
        <is>
          <t>Healthy</t>
        </is>
      </c>
      <c r="BE4" s="108" t="n">
        <v>0.08</v>
      </c>
      <c r="BF4" s="108" t="n">
        <v>0.55</v>
      </c>
      <c r="BG4" s="108" t="n">
        <v>1.07</v>
      </c>
      <c r="BH4" s="108" t="n">
        <v>-1.58</v>
      </c>
      <c r="BI4" s="107" t="n">
        <v>0.17</v>
      </c>
      <c r="BJ4" s="107" t="inlineStr">
        <is>
          <t>Healthy</t>
        </is>
      </c>
      <c r="BK4" s="107" t="n">
        <v>1</v>
      </c>
      <c r="BL4" s="107" t="n">
        <v>1</v>
      </c>
      <c r="BM4" s="107" t="n">
        <v>1</v>
      </c>
      <c r="BN4" s="107" t="n">
        <v>1</v>
      </c>
      <c r="BO4" s="107" t="n">
        <v>1</v>
      </c>
      <c r="BP4" s="107" t="n">
        <v>0</v>
      </c>
      <c r="BQ4" s="107" t="n">
        <v>1</v>
      </c>
      <c r="BR4" s="107" t="n">
        <v>0</v>
      </c>
      <c r="BS4" s="107" t="n">
        <v>1</v>
      </c>
      <c r="BT4" s="107" t="n">
        <v>7</v>
      </c>
      <c r="BU4" s="107" t="inlineStr">
        <is>
          <t>Strong</t>
        </is>
      </c>
      <c r="BV4" s="108" t="n">
        <v>0.97</v>
      </c>
      <c r="BW4" s="108" t="n">
        <v>1.02</v>
      </c>
      <c r="BX4" s="108" t="n">
        <v>1.13</v>
      </c>
      <c r="BY4" s="108" t="n">
        <v>1.02</v>
      </c>
      <c r="BZ4" s="108" t="n">
        <v>0.88</v>
      </c>
      <c r="CA4" s="108" t="n">
        <v>1.05</v>
      </c>
      <c r="CB4" s="108" t="n">
        <v>1.08</v>
      </c>
      <c r="CC4" s="108" t="n">
        <v>-0.05</v>
      </c>
      <c r="CD4" s="107" t="n">
        <v>-2.73</v>
      </c>
      <c r="CE4" s="107" t="inlineStr">
        <is>
          <t>Lower Risk</t>
        </is>
      </c>
      <c r="CF4" s="108" t="n">
        <v>1.36</v>
      </c>
      <c r="CG4" s="108" t="n">
        <v>58.64</v>
      </c>
      <c r="CH4" s="107" t="n">
        <v>0</v>
      </c>
      <c r="CI4" s="107" t="inlineStr">
        <is>
          <t>CLEAR</t>
        </is>
      </c>
    </row>
    <row r="5" ht="17" customHeight="1">
      <c r="A5" s="103" t="inlineStr">
        <is>
          <t>GWW</t>
        </is>
      </c>
      <c r="B5" s="103" t="inlineStr">
        <is>
          <t>W.W. GRAINGER, INC.</t>
        </is>
      </c>
      <c r="C5" s="104" t="n">
        <v>3544000000</v>
      </c>
      <c r="D5" s="105" t="n">
        <v>0.14</v>
      </c>
      <c r="E5" s="105" t="n">
        <v>0.14</v>
      </c>
      <c r="F5" s="105" t="n">
        <v>0.1</v>
      </c>
      <c r="G5" s="105" t="n">
        <v>0.19</v>
      </c>
      <c r="H5" s="105" t="n">
        <v>0.22</v>
      </c>
      <c r="I5" s="105" t="n">
        <v>0.46</v>
      </c>
      <c r="J5" s="105" t="n">
        <v>0.36</v>
      </c>
      <c r="K5" s="105" t="n">
        <v>0.39</v>
      </c>
      <c r="L5" s="105" t="n">
        <v>0.39</v>
      </c>
      <c r="M5" s="105" t="n">
        <v>2</v>
      </c>
      <c r="N5" s="104" t="n">
        <v>1.94</v>
      </c>
      <c r="O5" s="104" t="n">
        <v>2.83</v>
      </c>
      <c r="P5" s="104" t="n">
        <v>2.49</v>
      </c>
      <c r="Q5" s="104" t="n">
        <v>1.59</v>
      </c>
      <c r="R5" s="104" t="n">
        <v>0.3</v>
      </c>
      <c r="S5" s="104" t="n">
        <v>1</v>
      </c>
      <c r="T5" s="104" t="n">
        <v>1</v>
      </c>
      <c r="U5" s="104" t="n">
        <v>0.67</v>
      </c>
      <c r="V5" s="104" t="n">
        <v>0.51</v>
      </c>
      <c r="W5" s="104" t="n">
        <v>1.18</v>
      </c>
      <c r="X5" s="105" t="n">
        <v>0.07000000000000001</v>
      </c>
      <c r="Y5" s="105" t="n">
        <v>0</v>
      </c>
      <c r="Z5" s="105" t="n">
        <v>28.35</v>
      </c>
      <c r="AA5" s="105" t="n">
        <v>0.05</v>
      </c>
      <c r="AB5" s="105" t="n">
        <v>-0.11</v>
      </c>
      <c r="AC5" s="104" t="n">
        <v>-0.03</v>
      </c>
      <c r="AD5" s="104" t="n">
        <v>-0.03</v>
      </c>
      <c r="AE5" s="104" t="n">
        <v>0.4</v>
      </c>
      <c r="AF5" s="104" t="n">
        <v>1.67</v>
      </c>
      <c r="AG5" s="104" t="n">
        <v>0.28</v>
      </c>
      <c r="AH5" s="104" t="n">
        <v>0.42</v>
      </c>
      <c r="AI5" s="104" t="n">
        <v>2</v>
      </c>
      <c r="AJ5" s="104" t="n">
        <v>5.98</v>
      </c>
      <c r="AK5" s="110" t="inlineStr">
        <is>
          <t>Safe</t>
        </is>
      </c>
      <c r="AL5" s="104" t="n">
        <v>0.4</v>
      </c>
      <c r="AM5" s="104" t="n">
        <v>1.67</v>
      </c>
      <c r="AN5" s="104" t="n">
        <v>0.28</v>
      </c>
      <c r="AO5" s="104" t="n">
        <v>0.42</v>
      </c>
      <c r="AP5" s="104" t="n">
        <v>2</v>
      </c>
      <c r="AQ5" s="103" t="n">
        <v>4.74</v>
      </c>
      <c r="AR5" s="103" t="inlineStr">
        <is>
          <t>Safe</t>
        </is>
      </c>
      <c r="AS5" s="104" t="n">
        <v>0.4</v>
      </c>
      <c r="AT5" s="104" t="n">
        <v>1.67</v>
      </c>
      <c r="AU5" s="104" t="n">
        <v>0.28</v>
      </c>
      <c r="AV5" s="104" t="n">
        <v>0.42</v>
      </c>
      <c r="AW5" s="103" t="n">
        <v>10.34</v>
      </c>
      <c r="AX5" s="103" t="inlineStr">
        <is>
          <t>Safe</t>
        </is>
      </c>
      <c r="AY5" s="104" t="n">
        <v>0.4</v>
      </c>
      <c r="AZ5" s="104" t="n">
        <v>0.28</v>
      </c>
      <c r="BA5" s="104" t="n">
        <v>1.25</v>
      </c>
      <c r="BB5" s="104" t="n">
        <v>2</v>
      </c>
      <c r="BC5" s="103" t="n">
        <v>2.89</v>
      </c>
      <c r="BD5" s="103" t="inlineStr">
        <is>
          <t>Healthy</t>
        </is>
      </c>
      <c r="BE5" s="104" t="n">
        <v>0.19</v>
      </c>
      <c r="BF5" s="104" t="n">
        <v>1</v>
      </c>
      <c r="BG5" s="104" t="n">
        <v>2.83</v>
      </c>
      <c r="BH5" s="104" t="n">
        <v>0.5</v>
      </c>
      <c r="BI5" s="103" t="n">
        <v>0.62</v>
      </c>
      <c r="BJ5" s="103" t="inlineStr">
        <is>
          <t>Distress</t>
        </is>
      </c>
      <c r="BK5" s="103" t="n">
        <v>1</v>
      </c>
      <c r="BL5" s="103" t="n">
        <v>1</v>
      </c>
      <c r="BM5" s="103" t="n">
        <v>0</v>
      </c>
      <c r="BN5" s="103" t="n">
        <v>1</v>
      </c>
      <c r="BO5" s="103" t="n">
        <v>1</v>
      </c>
      <c r="BP5" s="103" t="n">
        <v>1</v>
      </c>
      <c r="BQ5" s="103" t="n">
        <v>1</v>
      </c>
      <c r="BR5" s="103" t="n">
        <v>0</v>
      </c>
      <c r="BS5" s="103" t="n">
        <v>1</v>
      </c>
      <c r="BT5" s="103" t="n">
        <v>7</v>
      </c>
      <c r="BU5" s="103" t="inlineStr">
        <is>
          <t>Strong</t>
        </is>
      </c>
      <c r="BV5" s="104" t="n">
        <v>1</v>
      </c>
      <c r="BW5" s="104" t="n">
        <v>1.01</v>
      </c>
      <c r="BX5" s="104" t="n">
        <v>1.02</v>
      </c>
      <c r="BY5" s="104" t="n">
        <v>1.05</v>
      </c>
      <c r="BZ5" s="104" t="n">
        <v>1.09</v>
      </c>
      <c r="CA5" s="104" t="n">
        <v>1.05</v>
      </c>
      <c r="CB5" s="104" t="n">
        <v>1</v>
      </c>
      <c r="CC5" s="104" t="n">
        <v>-0.03</v>
      </c>
      <c r="CD5" s="103" t="n">
        <v>-2.59</v>
      </c>
      <c r="CE5" s="103" t="inlineStr">
        <is>
          <t>Lower Risk</t>
        </is>
      </c>
      <c r="CF5" s="104" t="n">
        <v>0.6899999999999999</v>
      </c>
      <c r="CG5" s="104" t="n">
        <v>67.3</v>
      </c>
      <c r="CH5" s="103" t="n">
        <v>0</v>
      </c>
      <c r="CI5" s="103" t="inlineStr">
        <is>
          <t>CLEAR</t>
        </is>
      </c>
    </row>
    <row r="6" ht="17" customHeight="1">
      <c r="A6" s="107" t="inlineStr">
        <is>
          <t>SO</t>
        </is>
      </c>
      <c r="B6" s="107" t="inlineStr">
        <is>
          <t>SOUTHERN CO</t>
        </is>
      </c>
      <c r="C6" s="108" t="n">
        <v>-5971000000</v>
      </c>
      <c r="D6" s="109" t="n">
        <v>0.25</v>
      </c>
      <c r="E6" s="109" t="n">
        <v>0.17</v>
      </c>
      <c r="F6" s="109" t="n">
        <v>0.15</v>
      </c>
      <c r="G6" s="109" t="n">
        <v>0.03</v>
      </c>
      <c r="H6" s="109" t="n">
        <v>0.03</v>
      </c>
      <c r="I6" s="109" t="n">
        <v>0.12</v>
      </c>
      <c r="J6" s="109" t="n">
        <v>0.05</v>
      </c>
      <c r="K6" s="111" t="inlineStr">
        <is>
          <t>N/A</t>
        </is>
      </c>
      <c r="L6" s="111" t="inlineStr">
        <is>
          <t>N/A</t>
        </is>
      </c>
      <c r="M6" s="109" t="n">
        <v>0.19</v>
      </c>
      <c r="N6" s="108" t="n">
        <v>0.18</v>
      </c>
      <c r="O6" s="108" t="n">
        <v>0.65</v>
      </c>
      <c r="P6" s="108" t="n">
        <v>0.67</v>
      </c>
      <c r="Q6" s="108" t="n">
        <v>0.65</v>
      </c>
      <c r="R6" s="108" t="n">
        <v>0.1</v>
      </c>
      <c r="S6" s="108" t="n">
        <v>0.75</v>
      </c>
      <c r="T6" s="108" t="n">
        <v>0.75</v>
      </c>
      <c r="U6" s="108" t="n">
        <v>0.02</v>
      </c>
      <c r="V6" s="108" t="n">
        <v>-0.03</v>
      </c>
      <c r="W6" s="108" t="n">
        <v>2.26</v>
      </c>
      <c r="X6" s="109" t="n">
        <v>-0.1</v>
      </c>
      <c r="Y6" s="109" t="n">
        <v>0</v>
      </c>
      <c r="Z6" s="111" t="inlineStr">
        <is>
          <t>N/A</t>
        </is>
      </c>
      <c r="AA6" s="109" t="n">
        <v>0.11</v>
      </c>
      <c r="AB6" s="109" t="n">
        <v>-0.01</v>
      </c>
      <c r="AC6" s="108" t="n">
        <v>-0.04</v>
      </c>
      <c r="AD6" s="108" t="n">
        <v>-0.04</v>
      </c>
      <c r="AE6" s="108" t="n">
        <v>-0.04</v>
      </c>
      <c r="AF6" s="108" t="n">
        <v>0.1</v>
      </c>
      <c r="AG6" s="108" t="n">
        <v>0.05</v>
      </c>
      <c r="AH6" s="108" t="n">
        <v>0.31</v>
      </c>
      <c r="AI6" s="108" t="n">
        <v>0.19</v>
      </c>
      <c r="AJ6" s="108" t="n">
        <v>0.62</v>
      </c>
      <c r="AK6" s="112" t="inlineStr">
        <is>
          <t>Distress</t>
        </is>
      </c>
      <c r="AL6" s="108" t="n">
        <v>-0.04</v>
      </c>
      <c r="AM6" s="108" t="n">
        <v>0.1</v>
      </c>
      <c r="AN6" s="108" t="n">
        <v>0.05</v>
      </c>
      <c r="AO6" s="108" t="n">
        <v>0.31</v>
      </c>
      <c r="AP6" s="108" t="n">
        <v>0.19</v>
      </c>
      <c r="AQ6" s="107" t="n">
        <v>0.52</v>
      </c>
      <c r="AR6" s="107" t="inlineStr">
        <is>
          <t>Distress</t>
        </is>
      </c>
      <c r="AS6" s="108" t="n">
        <v>-0.04</v>
      </c>
      <c r="AT6" s="108" t="n">
        <v>0.1</v>
      </c>
      <c r="AU6" s="108" t="n">
        <v>0.05</v>
      </c>
      <c r="AV6" s="108" t="n">
        <v>0.31</v>
      </c>
      <c r="AW6" s="107" t="n">
        <v>0.7</v>
      </c>
      <c r="AX6" s="107" t="inlineStr">
        <is>
          <t>Distress</t>
        </is>
      </c>
      <c r="AY6" s="108" t="n">
        <v>-0.04</v>
      </c>
      <c r="AZ6" s="108" t="n">
        <v>0.05</v>
      </c>
      <c r="BA6" s="108" t="n">
        <v>0.3</v>
      </c>
      <c r="BB6" s="108" t="n">
        <v>0.19</v>
      </c>
      <c r="BC6" s="107" t="n">
        <v>0.38</v>
      </c>
      <c r="BD6" s="107" t="inlineStr">
        <is>
          <t>Distress</t>
        </is>
      </c>
      <c r="BE6" s="108" t="n">
        <v>0.03</v>
      </c>
      <c r="BF6" s="108" t="n">
        <v>0.75</v>
      </c>
      <c r="BG6" s="108" t="n">
        <v>0.65</v>
      </c>
      <c r="BH6" s="108" t="n">
        <v>-0.2</v>
      </c>
      <c r="BI6" s="107" t="n">
        <v>0.45</v>
      </c>
      <c r="BJ6" s="107" t="inlineStr">
        <is>
          <t>Healthy</t>
        </is>
      </c>
      <c r="BK6" s="107" t="n">
        <v>1</v>
      </c>
      <c r="BL6" s="107" t="n">
        <v>1</v>
      </c>
      <c r="BM6" s="107" t="n">
        <v>0</v>
      </c>
      <c r="BN6" s="107" t="n">
        <v>1</v>
      </c>
      <c r="BO6" s="107" t="n">
        <v>0</v>
      </c>
      <c r="BP6" s="107" t="n">
        <v>0</v>
      </c>
      <c r="BQ6" s="107" t="n">
        <v>1</v>
      </c>
      <c r="BR6" s="107" t="n">
        <v>0</v>
      </c>
      <c r="BS6" s="107" t="n">
        <v>1</v>
      </c>
      <c r="BT6" s="107" t="n">
        <v>5</v>
      </c>
      <c r="BU6" s="107" t="inlineStr">
        <is>
          <t>Mixed</t>
        </is>
      </c>
      <c r="BV6" s="108" t="n">
        <v>0.93</v>
      </c>
      <c r="BW6" s="111" t="inlineStr">
        <is>
          <t>N/A</t>
        </is>
      </c>
      <c r="BX6" s="108" t="n">
        <v>1.05</v>
      </c>
      <c r="BY6" s="108" t="n">
        <v>1.11</v>
      </c>
      <c r="BZ6" s="108" t="n">
        <v>1.15</v>
      </c>
      <c r="CA6" s="111" t="inlineStr">
        <is>
          <t>N/A</t>
        </is>
      </c>
      <c r="CB6" s="108" t="n">
        <v>1</v>
      </c>
      <c r="CC6" s="108" t="n">
        <v>-0.04</v>
      </c>
      <c r="CD6" s="111" t="inlineStr">
        <is>
          <t>N/A</t>
        </is>
      </c>
      <c r="CE6" s="111" t="inlineStr">
        <is>
          <t>N/A</t>
        </is>
      </c>
      <c r="CF6" s="108" t="n">
        <v>-0.13</v>
      </c>
      <c r="CG6" s="108" t="n">
        <v>44.76</v>
      </c>
      <c r="CH6" s="107" t="n">
        <v>0</v>
      </c>
      <c r="CI6" s="107" t="inlineStr">
        <is>
          <t>CLEAR</t>
        </is>
      </c>
    </row>
    <row r="7" ht="17" customHeight="1">
      <c r="A7" s="103" t="inlineStr">
        <is>
          <t>VICI</t>
        </is>
      </c>
      <c r="B7" s="103" t="inlineStr">
        <is>
          <t>VICI Properties Inc.</t>
        </is>
      </c>
      <c r="C7" s="113" t="inlineStr">
        <is>
          <t>N/A</t>
        </is>
      </c>
      <c r="D7" s="105" t="n">
        <v>0.08</v>
      </c>
      <c r="E7" s="105" t="n">
        <v>0.7</v>
      </c>
      <c r="F7" s="105" t="n">
        <v>0.6899999999999999</v>
      </c>
      <c r="G7" s="105" t="n">
        <v>0.06</v>
      </c>
      <c r="H7" s="105" t="n">
        <v>0.06</v>
      </c>
      <c r="I7" s="105" t="n">
        <v>0.1</v>
      </c>
      <c r="J7" s="113" t="inlineStr">
        <is>
          <t>N/A</t>
        </is>
      </c>
      <c r="K7" s="105" t="n">
        <v>0.99</v>
      </c>
      <c r="L7" s="105" t="n">
        <v>0.99</v>
      </c>
      <c r="M7" s="105" t="n">
        <v>0.09</v>
      </c>
      <c r="N7" s="104" t="n">
        <v>0.08</v>
      </c>
      <c r="O7" s="113" t="inlineStr">
        <is>
          <t>N/A</t>
        </is>
      </c>
      <c r="P7" s="113" t="inlineStr">
        <is>
          <t>N/A</t>
        </is>
      </c>
      <c r="Q7" s="113" t="inlineStr">
        <is>
          <t>N/A</t>
        </is>
      </c>
      <c r="R7" s="113" t="inlineStr">
        <is>
          <t>N/A</t>
        </is>
      </c>
      <c r="S7" s="104" t="n">
        <v>0.4</v>
      </c>
      <c r="T7" s="104" t="n">
        <v>0.41</v>
      </c>
      <c r="U7" s="104" t="n">
        <v>0.6</v>
      </c>
      <c r="V7" s="104" t="n">
        <v>0.58</v>
      </c>
      <c r="W7" s="104" t="n">
        <v>0.9</v>
      </c>
      <c r="X7" s="105" t="n">
        <v>0.63</v>
      </c>
      <c r="Y7" s="105" t="n">
        <v>0</v>
      </c>
      <c r="Z7" s="105" t="n">
        <v>0.39</v>
      </c>
      <c r="AA7" s="105" t="n">
        <v>0.04</v>
      </c>
      <c r="AB7" s="105" t="n">
        <v>0.04</v>
      </c>
      <c r="AC7" s="104" t="n">
        <v>0.01</v>
      </c>
      <c r="AD7" s="104" t="n">
        <v>0.01</v>
      </c>
      <c r="AE7" s="113" t="inlineStr">
        <is>
          <t>N/A</t>
        </is>
      </c>
      <c r="AF7" s="104" t="n">
        <v>0.06</v>
      </c>
      <c r="AG7" s="104" t="n">
        <v>0.01</v>
      </c>
      <c r="AH7" s="104" t="n">
        <v>1.5</v>
      </c>
      <c r="AI7" s="104" t="n">
        <v>0.09</v>
      </c>
      <c r="AJ7" s="113" t="inlineStr">
        <is>
          <t>N/A</t>
        </is>
      </c>
      <c r="AK7" s="113" t="inlineStr">
        <is>
          <t>N/A</t>
        </is>
      </c>
      <c r="AL7" s="113" t="inlineStr">
        <is>
          <t>N/A</t>
        </is>
      </c>
      <c r="AM7" s="104" t="n">
        <v>0.06</v>
      </c>
      <c r="AN7" s="104" t="n">
        <v>0.01</v>
      </c>
      <c r="AO7" s="104" t="n">
        <v>1.5</v>
      </c>
      <c r="AP7" s="104" t="n">
        <v>0.09</v>
      </c>
      <c r="AQ7" s="113" t="inlineStr">
        <is>
          <t>N/A</t>
        </is>
      </c>
      <c r="AR7" s="113" t="inlineStr">
        <is>
          <t>N/A</t>
        </is>
      </c>
      <c r="AS7" s="113" t="inlineStr">
        <is>
          <t>N/A</t>
        </is>
      </c>
      <c r="AT7" s="104" t="n">
        <v>0.06</v>
      </c>
      <c r="AU7" s="104" t="n">
        <v>0.01</v>
      </c>
      <c r="AV7" s="104" t="n">
        <v>1.5</v>
      </c>
      <c r="AW7" s="113" t="inlineStr">
        <is>
          <t>N/A</t>
        </is>
      </c>
      <c r="AX7" s="113" t="inlineStr">
        <is>
          <t>N/A</t>
        </is>
      </c>
      <c r="AY7" s="113" t="inlineStr">
        <is>
          <t>N/A</t>
        </is>
      </c>
      <c r="AZ7" s="104" t="n">
        <v>0.01</v>
      </c>
      <c r="BA7" s="113" t="inlineStr">
        <is>
          <t>N/A</t>
        </is>
      </c>
      <c r="BB7" s="104" t="n">
        <v>0.09</v>
      </c>
      <c r="BC7" s="113" t="inlineStr">
        <is>
          <t>N/A</t>
        </is>
      </c>
      <c r="BD7" s="113" t="inlineStr">
        <is>
          <t>N/A</t>
        </is>
      </c>
      <c r="BE7" s="104" t="n">
        <v>0.06</v>
      </c>
      <c r="BF7" s="104" t="n">
        <v>0.4</v>
      </c>
      <c r="BG7" s="113" t="inlineStr">
        <is>
          <t>N/A</t>
        </is>
      </c>
      <c r="BH7" s="113" t="inlineStr">
        <is>
          <t>N/A</t>
        </is>
      </c>
      <c r="BI7" s="113" t="inlineStr">
        <is>
          <t>N/A</t>
        </is>
      </c>
      <c r="BJ7" s="113" t="inlineStr">
        <is>
          <t>N/A</t>
        </is>
      </c>
      <c r="BK7" s="103" t="n">
        <v>1</v>
      </c>
      <c r="BL7" s="103" t="n">
        <v>1</v>
      </c>
      <c r="BM7" s="103" t="n">
        <v>1</v>
      </c>
      <c r="BN7" s="103" t="n">
        <v>0</v>
      </c>
      <c r="BO7" s="103" t="n">
        <v>1</v>
      </c>
      <c r="BP7" s="103" t="n">
        <v>0</v>
      </c>
      <c r="BQ7" s="103" t="n">
        <v>0</v>
      </c>
      <c r="BR7" s="103" t="n">
        <v>1</v>
      </c>
      <c r="BS7" s="103" t="n">
        <v>1</v>
      </c>
      <c r="BT7" s="103" t="n">
        <v>6</v>
      </c>
      <c r="BU7" s="103" t="inlineStr">
        <is>
          <t>Mixed</t>
        </is>
      </c>
      <c r="BV7" s="113" t="inlineStr">
        <is>
          <t>N/A</t>
        </is>
      </c>
      <c r="BW7" s="104" t="n">
        <v>1</v>
      </c>
      <c r="BX7" s="104" t="n">
        <v>1</v>
      </c>
      <c r="BY7" s="104" t="n">
        <v>1.04</v>
      </c>
      <c r="BZ7" s="104" t="n">
        <v>1.09</v>
      </c>
      <c r="CA7" s="104" t="n">
        <v>0.9</v>
      </c>
      <c r="CB7" s="104" t="n">
        <v>0.98</v>
      </c>
      <c r="CC7" s="104" t="n">
        <v>0.01</v>
      </c>
      <c r="CD7" s="113" t="inlineStr">
        <is>
          <t>N/A</t>
        </is>
      </c>
      <c r="CE7" s="113" t="inlineStr">
        <is>
          <t>N/A</t>
        </is>
      </c>
      <c r="CF7" s="104" t="n">
        <v>49.93</v>
      </c>
      <c r="CG7" s="104" t="n">
        <v>48.46</v>
      </c>
      <c r="CH7" s="103" t="n">
        <v>0</v>
      </c>
      <c r="CI7" s="103" t="inlineStr">
        <is>
          <t>CLEAR</t>
        </is>
      </c>
    </row>
    <row r="8" ht="17" customHeight="1">
      <c r="A8" s="107" t="inlineStr">
        <is>
          <t>MPWR</t>
        </is>
      </c>
      <c r="B8" s="107" t="inlineStr">
        <is>
          <t>MONOLITHIC POWER SYSTEMS INC</t>
        </is>
      </c>
      <c r="C8" s="108" t="n">
        <v>1814437000</v>
      </c>
      <c r="D8" s="109" t="n">
        <v>2.19</v>
      </c>
      <c r="E8" s="109" t="n">
        <v>2.3</v>
      </c>
      <c r="F8" s="109" t="n">
        <v>1.87</v>
      </c>
      <c r="G8" s="109" t="n">
        <v>0.15</v>
      </c>
      <c r="H8" s="109" t="n">
        <v>0.11</v>
      </c>
      <c r="I8" s="109" t="n">
        <v>0.18</v>
      </c>
      <c r="J8" s="109" t="n">
        <v>0.19</v>
      </c>
      <c r="K8" s="109" t="n">
        <v>4.62</v>
      </c>
      <c r="L8" s="109" t="n">
        <v>3.98</v>
      </c>
      <c r="M8" s="109" t="n">
        <v>0.08</v>
      </c>
      <c r="N8" s="108" t="n">
        <v>0.07000000000000001</v>
      </c>
      <c r="O8" s="108" t="n">
        <v>5.91</v>
      </c>
      <c r="P8" s="108" t="n">
        <v>4.77</v>
      </c>
      <c r="Q8" s="108" t="n">
        <v>4.38</v>
      </c>
      <c r="R8" s="108" t="n">
        <v>2.98</v>
      </c>
      <c r="S8" s="108" t="n">
        <v>0.16</v>
      </c>
      <c r="T8" s="108" t="n">
        <v>0.18</v>
      </c>
      <c r="U8" s="111" t="inlineStr">
        <is>
          <t>N/A</t>
        </is>
      </c>
      <c r="V8" s="111" t="inlineStr">
        <is>
          <t>N/A</t>
        </is>
      </c>
      <c r="W8" s="108" t="n">
        <v>1.35</v>
      </c>
      <c r="X8" s="109" t="n">
        <v>2</v>
      </c>
      <c r="Y8" s="109" t="n">
        <v>0.13</v>
      </c>
      <c r="Z8" s="111" t="inlineStr">
        <is>
          <t>N/A</t>
        </is>
      </c>
      <c r="AA8" s="109" t="n">
        <v>0.18</v>
      </c>
      <c r="AB8" s="109" t="n">
        <v>0.38</v>
      </c>
      <c r="AC8" s="108" t="n">
        <v>-0.05</v>
      </c>
      <c r="AD8" s="108" t="n">
        <v>-0.05</v>
      </c>
      <c r="AE8" s="108" t="n">
        <v>0.43</v>
      </c>
      <c r="AF8" s="108" t="n">
        <v>0.62</v>
      </c>
      <c r="AG8" s="108" t="n">
        <v>0.17</v>
      </c>
      <c r="AH8" s="108" t="n">
        <v>5.33</v>
      </c>
      <c r="AI8" s="108" t="n">
        <v>0.08</v>
      </c>
      <c r="AJ8" s="108" t="n">
        <v>5.24</v>
      </c>
      <c r="AK8" s="110" t="inlineStr">
        <is>
          <t>Safe</t>
        </is>
      </c>
      <c r="AL8" s="108" t="n">
        <v>0.43</v>
      </c>
      <c r="AM8" s="108" t="n">
        <v>0.62</v>
      </c>
      <c r="AN8" s="108" t="n">
        <v>0.17</v>
      </c>
      <c r="AO8" s="108" t="n">
        <v>5.33</v>
      </c>
      <c r="AP8" s="108" t="n">
        <v>0.08</v>
      </c>
      <c r="AQ8" s="107" t="n">
        <v>3.69</v>
      </c>
      <c r="AR8" s="107" t="inlineStr">
        <is>
          <t>Safe</t>
        </is>
      </c>
      <c r="AS8" s="108" t="n">
        <v>0.43</v>
      </c>
      <c r="AT8" s="108" t="n">
        <v>0.62</v>
      </c>
      <c r="AU8" s="108" t="n">
        <v>0.17</v>
      </c>
      <c r="AV8" s="108" t="n">
        <v>5.33</v>
      </c>
      <c r="AW8" s="107" t="n">
        <v>11.63</v>
      </c>
      <c r="AX8" s="107" t="inlineStr">
        <is>
          <t>Safe</t>
        </is>
      </c>
      <c r="AY8" s="108" t="n">
        <v>0.43</v>
      </c>
      <c r="AZ8" s="108" t="n">
        <v>0.17</v>
      </c>
      <c r="BA8" s="108" t="n">
        <v>2.07</v>
      </c>
      <c r="BB8" s="108" t="n">
        <v>0.08</v>
      </c>
      <c r="BC8" s="107" t="n">
        <v>2.38</v>
      </c>
      <c r="BD8" s="107" t="inlineStr">
        <is>
          <t>Healthy</t>
        </is>
      </c>
      <c r="BE8" s="108" t="n">
        <v>0.15</v>
      </c>
      <c r="BF8" s="108" t="n">
        <v>0.16</v>
      </c>
      <c r="BG8" s="108" t="n">
        <v>5.91</v>
      </c>
      <c r="BH8" s="108" t="n">
        <v>-4.08</v>
      </c>
      <c r="BI8" s="107" t="n">
        <v>0.02</v>
      </c>
      <c r="BJ8" s="107" t="inlineStr">
        <is>
          <t>Healthy</t>
        </is>
      </c>
      <c r="BK8" s="107" t="n">
        <v>1</v>
      </c>
      <c r="BL8" s="107" t="n">
        <v>1</v>
      </c>
      <c r="BM8" s="107" t="n">
        <v>1</v>
      </c>
      <c r="BN8" s="107" t="n">
        <v>1</v>
      </c>
      <c r="BO8" s="107" t="n">
        <v>0</v>
      </c>
      <c r="BP8" s="107" t="n">
        <v>1</v>
      </c>
      <c r="BQ8" s="107" t="n">
        <v>0</v>
      </c>
      <c r="BR8" s="107" t="n">
        <v>1</v>
      </c>
      <c r="BS8" s="107" t="n">
        <v>1</v>
      </c>
      <c r="BT8" s="107" t="n">
        <v>7</v>
      </c>
      <c r="BU8" s="107" t="inlineStr">
        <is>
          <t>Strong</t>
        </is>
      </c>
      <c r="BV8" s="108" t="n">
        <v>0.9</v>
      </c>
      <c r="BW8" s="108" t="n">
        <v>0.86</v>
      </c>
      <c r="BX8" s="108" t="n">
        <v>0.97</v>
      </c>
      <c r="BY8" s="108" t="n">
        <v>1.18</v>
      </c>
      <c r="BZ8" s="108" t="n">
        <v>0.74</v>
      </c>
      <c r="CA8" s="108" t="n">
        <v>1.17</v>
      </c>
      <c r="CB8" s="108" t="n">
        <v>0.89</v>
      </c>
      <c r="CC8" s="108" t="n">
        <v>-0.05</v>
      </c>
      <c r="CD8" s="107" t="n">
        <v>-2.76</v>
      </c>
      <c r="CE8" s="107" t="inlineStr">
        <is>
          <t>Lower Risk</t>
        </is>
      </c>
      <c r="CF8" s="111" t="inlineStr">
        <is>
          <t>N/A</t>
        </is>
      </c>
      <c r="CG8" s="108" t="n">
        <v>66.7</v>
      </c>
      <c r="CH8" s="107" t="n">
        <v>0</v>
      </c>
      <c r="CI8" s="107" t="inlineStr">
        <is>
          <t>CLEAR</t>
        </is>
      </c>
    </row>
    <row r="9" ht="17" customHeight="1">
      <c r="A9" s="103" t="inlineStr">
        <is>
          <t>EWBC</t>
        </is>
      </c>
      <c r="B9" s="103" t="inlineStr">
        <is>
          <t>EAST WEST BANCORP INC</t>
        </is>
      </c>
      <c r="C9" s="113" t="inlineStr">
        <is>
          <t>N/A</t>
        </is>
      </c>
      <c r="D9" s="105" t="n">
        <v>31.19</v>
      </c>
      <c r="E9" s="105" t="n">
        <v>31.19</v>
      </c>
      <c r="F9" s="105" t="n">
        <v>23.96</v>
      </c>
      <c r="G9" s="105" t="n">
        <v>0.02</v>
      </c>
      <c r="H9" s="105" t="n">
        <v>0.02</v>
      </c>
      <c r="I9" s="105" t="n">
        <v>0.15</v>
      </c>
      <c r="J9" s="113" t="inlineStr">
        <is>
          <t>N/A</t>
        </is>
      </c>
      <c r="K9" s="105" t="n">
        <v>-0.02</v>
      </c>
      <c r="L9" s="105" t="n">
        <v>-0.02</v>
      </c>
      <c r="M9" s="105" t="n">
        <v>0</v>
      </c>
      <c r="N9" s="104" t="n">
        <v>0</v>
      </c>
      <c r="O9" s="113" t="inlineStr">
        <is>
          <t>N/A</t>
        </is>
      </c>
      <c r="P9" s="113" t="inlineStr">
        <is>
          <t>N/A</t>
        </is>
      </c>
      <c r="Q9" s="113" t="inlineStr">
        <is>
          <t>N/A</t>
        </is>
      </c>
      <c r="R9" s="113" t="inlineStr">
        <is>
          <t>N/A</t>
        </is>
      </c>
      <c r="S9" s="104" t="n">
        <v>0.89</v>
      </c>
      <c r="T9" s="104" t="n">
        <v>0.9</v>
      </c>
      <c r="U9" s="104" t="n">
        <v>0.02</v>
      </c>
      <c r="V9" s="104" t="n">
        <v>-0.45</v>
      </c>
      <c r="W9" s="104" t="n">
        <v>1.13</v>
      </c>
      <c r="X9" s="105" t="n">
        <v>27.04</v>
      </c>
      <c r="Y9" s="105" t="n">
        <v>0</v>
      </c>
      <c r="Z9" s="105" t="n">
        <v>1.25</v>
      </c>
      <c r="AA9" s="105" t="n">
        <v>0.03</v>
      </c>
      <c r="AB9" s="105" t="n">
        <v>0.14</v>
      </c>
      <c r="AC9" s="104" t="n">
        <v>-0</v>
      </c>
      <c r="AD9" s="104" t="n">
        <v>-0</v>
      </c>
      <c r="AE9" s="113" t="inlineStr">
        <is>
          <t>N/A</t>
        </is>
      </c>
      <c r="AF9" s="104" t="n">
        <v>0.1</v>
      </c>
      <c r="AG9" s="104" t="n">
        <v>0.02</v>
      </c>
      <c r="AH9" s="104" t="n">
        <v>0.12</v>
      </c>
      <c r="AI9" s="104" t="n">
        <v>0</v>
      </c>
      <c r="AJ9" s="113" t="inlineStr">
        <is>
          <t>N/A</t>
        </is>
      </c>
      <c r="AK9" s="113" t="inlineStr">
        <is>
          <t>N/A</t>
        </is>
      </c>
      <c r="AL9" s="113" t="inlineStr">
        <is>
          <t>N/A</t>
        </is>
      </c>
      <c r="AM9" s="104" t="n">
        <v>0.1</v>
      </c>
      <c r="AN9" s="104" t="n">
        <v>0.02</v>
      </c>
      <c r="AO9" s="104" t="n">
        <v>0.12</v>
      </c>
      <c r="AP9" s="104" t="n">
        <v>0</v>
      </c>
      <c r="AQ9" s="113" t="inlineStr">
        <is>
          <t>N/A</t>
        </is>
      </c>
      <c r="AR9" s="113" t="inlineStr">
        <is>
          <t>N/A</t>
        </is>
      </c>
      <c r="AS9" s="113" t="inlineStr">
        <is>
          <t>N/A</t>
        </is>
      </c>
      <c r="AT9" s="104" t="n">
        <v>0.1</v>
      </c>
      <c r="AU9" s="104" t="n">
        <v>0.02</v>
      </c>
      <c r="AV9" s="104" t="n">
        <v>0.12</v>
      </c>
      <c r="AW9" s="113" t="inlineStr">
        <is>
          <t>N/A</t>
        </is>
      </c>
      <c r="AX9" s="113" t="inlineStr">
        <is>
          <t>N/A</t>
        </is>
      </c>
      <c r="AY9" s="113" t="inlineStr">
        <is>
          <t>N/A</t>
        </is>
      </c>
      <c r="AZ9" s="104" t="n">
        <v>0.02</v>
      </c>
      <c r="BA9" s="113" t="inlineStr">
        <is>
          <t>N/A</t>
        </is>
      </c>
      <c r="BB9" s="104" t="n">
        <v>0</v>
      </c>
      <c r="BC9" s="113" t="inlineStr">
        <is>
          <t>N/A</t>
        </is>
      </c>
      <c r="BD9" s="113" t="inlineStr">
        <is>
          <t>N/A</t>
        </is>
      </c>
      <c r="BE9" s="104" t="n">
        <v>0.02</v>
      </c>
      <c r="BF9" s="104" t="n">
        <v>0.89</v>
      </c>
      <c r="BG9" s="113" t="inlineStr">
        <is>
          <t>N/A</t>
        </is>
      </c>
      <c r="BH9" s="113" t="inlineStr">
        <is>
          <t>N/A</t>
        </is>
      </c>
      <c r="BI9" s="113" t="inlineStr">
        <is>
          <t>N/A</t>
        </is>
      </c>
      <c r="BJ9" s="113" t="inlineStr">
        <is>
          <t>N/A</t>
        </is>
      </c>
      <c r="BK9" s="103" t="n">
        <v>1</v>
      </c>
      <c r="BL9" s="103" t="n">
        <v>1</v>
      </c>
      <c r="BM9" s="103" t="n">
        <v>1</v>
      </c>
      <c r="BN9" s="103" t="n">
        <v>1</v>
      </c>
      <c r="BO9" s="103" t="n">
        <v>1</v>
      </c>
      <c r="BP9" s="103" t="n">
        <v>0</v>
      </c>
      <c r="BQ9" s="103" t="n">
        <v>0</v>
      </c>
      <c r="BR9" s="103" t="n">
        <v>1</v>
      </c>
      <c r="BS9" s="103" t="n">
        <v>0</v>
      </c>
      <c r="BT9" s="103" t="n">
        <v>6</v>
      </c>
      <c r="BU9" s="103" t="inlineStr">
        <is>
          <t>Mixed</t>
        </is>
      </c>
      <c r="BV9" s="113" t="inlineStr">
        <is>
          <t>N/A</t>
        </is>
      </c>
      <c r="BW9" s="113" t="inlineStr">
        <is>
          <t>N/A</t>
        </is>
      </c>
      <c r="BX9" s="104" t="n">
        <v>1</v>
      </c>
      <c r="BY9" s="104" t="n">
        <v>1.03</v>
      </c>
      <c r="BZ9" s="104" t="n">
        <v>0.98</v>
      </c>
      <c r="CA9" s="113" t="inlineStr">
        <is>
          <t>N/A</t>
        </is>
      </c>
      <c r="CB9" s="104" t="n">
        <v>0.99</v>
      </c>
      <c r="CC9" s="104" t="n">
        <v>-0</v>
      </c>
      <c r="CD9" s="113" t="inlineStr">
        <is>
          <t>N/A</t>
        </is>
      </c>
      <c r="CE9" s="113" t="inlineStr">
        <is>
          <t>N/A</t>
        </is>
      </c>
      <c r="CF9" s="104" t="n">
        <v>-2.07</v>
      </c>
      <c r="CG9" s="104" t="n">
        <v>46.83</v>
      </c>
      <c r="CH9" s="103" t="n">
        <v>0</v>
      </c>
      <c r="CI9" s="103" t="inlineStr">
        <is>
          <t>CLEAR</t>
        </is>
      </c>
    </row>
    <row r="10" ht="17" customHeight="1">
      <c r="A10" s="107" t="inlineStr">
        <is>
          <t>BEN</t>
        </is>
      </c>
      <c r="B10" s="107" t="inlineStr">
        <is>
          <t>FRANKLIN RESOURCES, INC.</t>
        </is>
      </c>
      <c r="C10" s="108" t="n">
        <v>6304704000</v>
      </c>
      <c r="D10" s="109" t="n">
        <v>0.1</v>
      </c>
      <c r="E10" s="109" t="n">
        <v>0.14</v>
      </c>
      <c r="F10" s="109" t="n">
        <v>0.09</v>
      </c>
      <c r="G10" s="109" t="n">
        <v>0.02</v>
      </c>
      <c r="H10" s="109" t="n">
        <v>0.01</v>
      </c>
      <c r="I10" s="109" t="n">
        <v>0.04</v>
      </c>
      <c r="J10" s="109" t="n">
        <v>0.02</v>
      </c>
      <c r="K10" s="109" t="n">
        <v>-0.41</v>
      </c>
      <c r="L10" s="109" t="n">
        <v>-0.28</v>
      </c>
      <c r="M10" s="109" t="n">
        <v>0.18</v>
      </c>
      <c r="N10" s="108" t="n">
        <v>0.19</v>
      </c>
      <c r="O10" s="108" t="n">
        <v>5.81</v>
      </c>
      <c r="P10" s="108" t="n">
        <v>6.32</v>
      </c>
      <c r="Q10" s="108" t="n">
        <v>5.81</v>
      </c>
      <c r="R10" s="108" t="n">
        <v>3.54</v>
      </c>
      <c r="S10" s="108" t="n">
        <v>0.5600000000000001</v>
      </c>
      <c r="T10" s="108" t="n">
        <v>0.55</v>
      </c>
      <c r="U10" s="108" t="n">
        <v>0.2</v>
      </c>
      <c r="V10" s="108" t="n">
        <v>-0.18</v>
      </c>
      <c r="W10" s="108" t="n">
        <v>2.03</v>
      </c>
      <c r="X10" s="109" t="n">
        <v>0.16</v>
      </c>
      <c r="Y10" s="109" t="n">
        <v>0</v>
      </c>
      <c r="Z10" s="109" t="n">
        <v>6.37</v>
      </c>
      <c r="AA10" s="109" t="n">
        <v>-0.09</v>
      </c>
      <c r="AB10" s="109" t="n">
        <v>0.13</v>
      </c>
      <c r="AC10" s="108" t="n">
        <v>-0.02</v>
      </c>
      <c r="AD10" s="108" t="n">
        <v>-0.02</v>
      </c>
      <c r="AE10" s="108" t="n">
        <v>0.19</v>
      </c>
      <c r="AF10" s="108" t="n">
        <v>0.36</v>
      </c>
      <c r="AG10" s="108" t="n">
        <v>0.02</v>
      </c>
      <c r="AH10" s="108" t="n">
        <v>0.66</v>
      </c>
      <c r="AI10" s="108" t="n">
        <v>0.18</v>
      </c>
      <c r="AJ10" s="108" t="n">
        <v>1.37</v>
      </c>
      <c r="AK10" s="112" t="inlineStr">
        <is>
          <t>Distress</t>
        </is>
      </c>
      <c r="AL10" s="108" t="n">
        <v>0.19</v>
      </c>
      <c r="AM10" s="108" t="n">
        <v>0.36</v>
      </c>
      <c r="AN10" s="108" t="n">
        <v>0.02</v>
      </c>
      <c r="AO10" s="108" t="n">
        <v>0.66</v>
      </c>
      <c r="AP10" s="108" t="n">
        <v>0.18</v>
      </c>
      <c r="AQ10" s="107" t="n">
        <v>0.96</v>
      </c>
      <c r="AR10" s="107" t="inlineStr">
        <is>
          <t>Distress</t>
        </is>
      </c>
      <c r="AS10" s="108" t="n">
        <v>0.19</v>
      </c>
      <c r="AT10" s="108" t="n">
        <v>0.36</v>
      </c>
      <c r="AU10" s="108" t="n">
        <v>0.02</v>
      </c>
      <c r="AV10" s="108" t="n">
        <v>0.66</v>
      </c>
      <c r="AW10" s="107" t="n">
        <v>3.26</v>
      </c>
      <c r="AX10" s="107" t="inlineStr">
        <is>
          <t>Safe</t>
        </is>
      </c>
      <c r="AY10" s="108" t="n">
        <v>0.19</v>
      </c>
      <c r="AZ10" s="108" t="n">
        <v>0.02</v>
      </c>
      <c r="BA10" s="108" t="n">
        <v>0.6</v>
      </c>
      <c r="BB10" s="108" t="n">
        <v>0.18</v>
      </c>
      <c r="BC10" s="107" t="n">
        <v>0.73</v>
      </c>
      <c r="BD10" s="107" t="inlineStr">
        <is>
          <t>Distress</t>
        </is>
      </c>
      <c r="BE10" s="108" t="n">
        <v>0.02</v>
      </c>
      <c r="BF10" s="108" t="n">
        <v>0.5600000000000001</v>
      </c>
      <c r="BG10" s="108" t="n">
        <v>5.81</v>
      </c>
      <c r="BH10" s="108" t="n">
        <v>-1.2</v>
      </c>
      <c r="BI10" s="107" t="n">
        <v>0.23</v>
      </c>
      <c r="BJ10" s="107" t="inlineStr">
        <is>
          <t>Healthy</t>
        </is>
      </c>
      <c r="BK10" s="107" t="n">
        <v>1</v>
      </c>
      <c r="BL10" s="107" t="n">
        <v>1</v>
      </c>
      <c r="BM10" s="107" t="n">
        <v>1</v>
      </c>
      <c r="BN10" s="107" t="n">
        <v>1</v>
      </c>
      <c r="BO10" s="107" t="n">
        <v>1</v>
      </c>
      <c r="BP10" s="107" t="n">
        <v>0</v>
      </c>
      <c r="BQ10" s="107" t="n">
        <v>1</v>
      </c>
      <c r="BR10" s="107" t="n">
        <v>0</v>
      </c>
      <c r="BS10" s="107" t="n">
        <v>0</v>
      </c>
      <c r="BT10" s="107" t="n">
        <v>6</v>
      </c>
      <c r="BU10" s="107" t="inlineStr">
        <is>
          <t>Mixed</t>
        </is>
      </c>
      <c r="BV10" s="108" t="n">
        <v>1.24</v>
      </c>
      <c r="BW10" s="108" t="n">
        <v>0.67</v>
      </c>
      <c r="BX10" s="108" t="n">
        <v>0.95</v>
      </c>
      <c r="BY10" s="108" t="n">
        <v>0.91</v>
      </c>
      <c r="BZ10" s="108" t="n">
        <v>0.93</v>
      </c>
      <c r="CA10" s="108" t="n">
        <v>1.21</v>
      </c>
      <c r="CB10" s="108" t="n">
        <v>1.02</v>
      </c>
      <c r="CC10" s="108" t="n">
        <v>-0.02</v>
      </c>
      <c r="CD10" s="107" t="n">
        <v>-2.66</v>
      </c>
      <c r="CE10" s="107" t="inlineStr">
        <is>
          <t>Lower Risk</t>
        </is>
      </c>
      <c r="CF10" s="108" t="n">
        <v>-2.95</v>
      </c>
      <c r="CG10" s="108" t="n">
        <v>50.81</v>
      </c>
      <c r="CH10" s="107" t="n">
        <v>0</v>
      </c>
      <c r="CI10" s="107" t="inlineStr">
        <is>
          <t>CLEAR</t>
        </is>
      </c>
    </row>
    <row r="11" ht="17" customHeight="1">
      <c r="A11" s="103" t="inlineStr">
        <is>
          <t>NVDA</t>
        </is>
      </c>
      <c r="B11" s="103" t="inlineStr">
        <is>
          <t>NVIDIA CORP</t>
        </is>
      </c>
      <c r="C11" s="104" t="n">
        <v>93442000000</v>
      </c>
      <c r="D11" s="105" t="n">
        <v>0.6</v>
      </c>
      <c r="E11" s="105" t="n">
        <v>0.66</v>
      </c>
      <c r="F11" s="105" t="n">
        <v>0.5600000000000001</v>
      </c>
      <c r="G11" s="105" t="n">
        <v>0.58</v>
      </c>
      <c r="H11" s="105" t="n">
        <v>0.65</v>
      </c>
      <c r="I11" s="105" t="n">
        <v>0.76</v>
      </c>
      <c r="J11" s="105" t="n">
        <v>0.75</v>
      </c>
      <c r="K11" s="105" t="n">
        <v>0.71</v>
      </c>
      <c r="L11" s="105" t="n">
        <v>0.75</v>
      </c>
      <c r="M11" s="105" t="n">
        <v>1.04</v>
      </c>
      <c r="N11" s="104" t="n">
        <v>1.17</v>
      </c>
      <c r="O11" s="104" t="n">
        <v>3.91</v>
      </c>
      <c r="P11" s="104" t="n">
        <v>4.44</v>
      </c>
      <c r="Q11" s="104" t="n">
        <v>3.24</v>
      </c>
      <c r="R11" s="104" t="n">
        <v>0.33</v>
      </c>
      <c r="S11" s="104" t="n">
        <v>0.24</v>
      </c>
      <c r="T11" s="104" t="n">
        <v>0.29</v>
      </c>
      <c r="U11" s="104" t="n">
        <v>0.06</v>
      </c>
      <c r="V11" s="104" t="n">
        <v>-0.01</v>
      </c>
      <c r="W11" s="104" t="n">
        <v>0.86</v>
      </c>
      <c r="X11" s="105" t="n">
        <v>0.48</v>
      </c>
      <c r="Y11" s="105" t="n">
        <v>0.09</v>
      </c>
      <c r="Z11" s="105" t="n">
        <v>507.34</v>
      </c>
      <c r="AA11" s="105" t="n">
        <v>0.65</v>
      </c>
      <c r="AB11" s="105" t="n">
        <v>0.65</v>
      </c>
      <c r="AC11" s="104" t="n">
        <v>0.08</v>
      </c>
      <c r="AD11" s="104" t="n">
        <v>0.08</v>
      </c>
      <c r="AE11" s="104" t="n">
        <v>0.45</v>
      </c>
      <c r="AF11" s="104" t="n">
        <v>0.71</v>
      </c>
      <c r="AG11" s="104" t="n">
        <v>0.63</v>
      </c>
      <c r="AH11" s="104" t="n">
        <v>3.18</v>
      </c>
      <c r="AI11" s="104" t="n">
        <v>1.04</v>
      </c>
      <c r="AJ11" s="104" t="n">
        <v>6.57</v>
      </c>
      <c r="AK11" s="110" t="inlineStr">
        <is>
          <t>Safe</t>
        </is>
      </c>
      <c r="AL11" s="104" t="n">
        <v>0.45</v>
      </c>
      <c r="AM11" s="104" t="n">
        <v>0.71</v>
      </c>
      <c r="AN11" s="104" t="n">
        <v>0.63</v>
      </c>
      <c r="AO11" s="104" t="n">
        <v>3.18</v>
      </c>
      <c r="AP11" s="104" t="n">
        <v>1.04</v>
      </c>
      <c r="AQ11" s="103" t="n">
        <v>5.26</v>
      </c>
      <c r="AR11" s="103" t="inlineStr">
        <is>
          <t>Safe</t>
        </is>
      </c>
      <c r="AS11" s="104" t="n">
        <v>0.45</v>
      </c>
      <c r="AT11" s="104" t="n">
        <v>0.71</v>
      </c>
      <c r="AU11" s="104" t="n">
        <v>0.63</v>
      </c>
      <c r="AV11" s="104" t="n">
        <v>3.18</v>
      </c>
      <c r="AW11" s="103" t="n">
        <v>12.85</v>
      </c>
      <c r="AX11" s="103" t="inlineStr">
        <is>
          <t>Safe</t>
        </is>
      </c>
      <c r="AY11" s="104" t="n">
        <v>0.45</v>
      </c>
      <c r="AZ11" s="104" t="n">
        <v>0.63</v>
      </c>
      <c r="BA11" s="104" t="n">
        <v>4.4</v>
      </c>
      <c r="BB11" s="104" t="n">
        <v>1.04</v>
      </c>
      <c r="BC11" s="103" t="n">
        <v>5.72</v>
      </c>
      <c r="BD11" s="103" t="inlineStr">
        <is>
          <t>Healthy</t>
        </is>
      </c>
      <c r="BE11" s="104" t="n">
        <v>0.58</v>
      </c>
      <c r="BF11" s="104" t="n">
        <v>0.24</v>
      </c>
      <c r="BG11" s="104" t="n">
        <v>3.91</v>
      </c>
      <c r="BH11" s="104" t="n">
        <v>-5.58</v>
      </c>
      <c r="BI11" s="103" t="n">
        <v>0</v>
      </c>
      <c r="BJ11" s="103" t="inlineStr">
        <is>
          <t>Healthy</t>
        </is>
      </c>
      <c r="BK11" s="103" t="n">
        <v>1</v>
      </c>
      <c r="BL11" s="103" t="n">
        <v>1</v>
      </c>
      <c r="BM11" s="103" t="n">
        <v>0</v>
      </c>
      <c r="BN11" s="103" t="n">
        <v>0</v>
      </c>
      <c r="BO11" s="103" t="n">
        <v>1</v>
      </c>
      <c r="BP11" s="103" t="n">
        <v>0</v>
      </c>
      <c r="BQ11" s="103" t="n">
        <v>1</v>
      </c>
      <c r="BR11" s="103" t="n">
        <v>0</v>
      </c>
      <c r="BS11" s="103" t="n">
        <v>0</v>
      </c>
      <c r="BT11" s="103" t="n">
        <v>4</v>
      </c>
      <c r="BU11" s="103" t="inlineStr">
        <is>
          <t>Mixed</t>
        </is>
      </c>
      <c r="BV11" s="104" t="n">
        <v>1.01</v>
      </c>
      <c r="BW11" s="104" t="n">
        <v>1.06</v>
      </c>
      <c r="BX11" s="104" t="n">
        <v>1.52</v>
      </c>
      <c r="BY11" s="104" t="n">
        <v>1.65</v>
      </c>
      <c r="BZ11" s="104" t="n">
        <v>0.6</v>
      </c>
      <c r="CA11" s="104" t="n">
        <v>0.79</v>
      </c>
      <c r="CB11" s="104" t="n">
        <v>0.83</v>
      </c>
      <c r="CC11" s="104" t="n">
        <v>0.08</v>
      </c>
      <c r="CD11" s="103" t="n">
        <v>-1.21</v>
      </c>
      <c r="CE11" s="103" t="inlineStr">
        <is>
          <t>Higher Risk</t>
        </is>
      </c>
      <c r="CF11" s="104" t="n">
        <v>-0.01</v>
      </c>
      <c r="CG11" s="104" t="n">
        <v>55.03</v>
      </c>
      <c r="CH11" s="103" t="n">
        <v>20</v>
      </c>
      <c r="CI11" s="103" t="inlineStr">
        <is>
          <t>CLEAR</t>
        </is>
      </c>
    </row>
    <row r="12" ht="17" customHeight="1">
      <c r="A12" s="107" t="inlineStr">
        <is>
          <t>KRYS</t>
        </is>
      </c>
      <c r="B12" s="107" t="inlineStr">
        <is>
          <t>Krystal Biotech, Inc.</t>
        </is>
      </c>
      <c r="C12" s="108" t="n">
        <v>921660000</v>
      </c>
      <c r="D12" s="109" t="n">
        <v>0.41</v>
      </c>
      <c r="E12" s="109" t="n">
        <v>0.49</v>
      </c>
      <c r="F12" s="109" t="n">
        <v>0.53</v>
      </c>
      <c r="G12" s="109" t="n">
        <v>0.15</v>
      </c>
      <c r="H12" s="109" t="n">
        <v>0.08</v>
      </c>
      <c r="I12" s="109" t="n">
        <v>0.17</v>
      </c>
      <c r="J12" s="109" t="n">
        <v>0.13</v>
      </c>
      <c r="K12" s="109" t="n">
        <v>0.41</v>
      </c>
      <c r="L12" s="109" t="n">
        <v>0.23</v>
      </c>
      <c r="M12" s="109" t="n">
        <v>0.29</v>
      </c>
      <c r="N12" s="108" t="n">
        <v>0.28</v>
      </c>
      <c r="O12" s="108" t="n">
        <v>9.949999999999999</v>
      </c>
      <c r="P12" s="108" t="n">
        <v>7.28</v>
      </c>
      <c r="Q12" s="108" t="n">
        <v>9.56</v>
      </c>
      <c r="R12" s="108" t="n">
        <v>4.82</v>
      </c>
      <c r="S12" s="108" t="n">
        <v>0.09</v>
      </c>
      <c r="T12" s="108" t="n">
        <v>0.1</v>
      </c>
      <c r="U12" s="108" t="n">
        <v>0</v>
      </c>
      <c r="V12" s="108" t="n">
        <v>-0.4</v>
      </c>
      <c r="W12" s="108" t="n">
        <v>0.98</v>
      </c>
      <c r="X12" s="109" t="n">
        <v>0.49</v>
      </c>
      <c r="Y12" s="109" t="n">
        <v>0.15</v>
      </c>
      <c r="Z12" s="111" t="inlineStr">
        <is>
          <t>N/A</t>
        </is>
      </c>
      <c r="AA12" s="109" t="n">
        <v>0.34</v>
      </c>
      <c r="AB12" s="109" t="n">
        <v>1.3</v>
      </c>
      <c r="AC12" s="108" t="n">
        <v>0</v>
      </c>
      <c r="AD12" s="108" t="n">
        <v>0</v>
      </c>
      <c r="AE12" s="108" t="n">
        <v>0.6899999999999999</v>
      </c>
      <c r="AF12" s="108" t="n">
        <v>0.02</v>
      </c>
      <c r="AG12" s="108" t="n">
        <v>0.12</v>
      </c>
      <c r="AH12" s="108" t="n">
        <v>10.68</v>
      </c>
      <c r="AI12" s="108" t="n">
        <v>0.29</v>
      </c>
      <c r="AJ12" s="108" t="n">
        <v>7.95</v>
      </c>
      <c r="AK12" s="110" t="inlineStr">
        <is>
          <t>Safe</t>
        </is>
      </c>
      <c r="AL12" s="108" t="n">
        <v>0.6899999999999999</v>
      </c>
      <c r="AM12" s="108" t="n">
        <v>0.02</v>
      </c>
      <c r="AN12" s="108" t="n">
        <v>0.12</v>
      </c>
      <c r="AO12" s="108" t="n">
        <v>10.68</v>
      </c>
      <c r="AP12" s="108" t="n">
        <v>0.29</v>
      </c>
      <c r="AQ12" s="107" t="n">
        <v>5.66</v>
      </c>
      <c r="AR12" s="107" t="inlineStr">
        <is>
          <t>Safe</t>
        </is>
      </c>
      <c r="AS12" s="108" t="n">
        <v>0.6899999999999999</v>
      </c>
      <c r="AT12" s="108" t="n">
        <v>0.02</v>
      </c>
      <c r="AU12" s="108" t="n">
        <v>0.12</v>
      </c>
      <c r="AV12" s="108" t="n">
        <v>10.68</v>
      </c>
      <c r="AW12" s="107" t="n">
        <v>16.61</v>
      </c>
      <c r="AX12" s="107" t="inlineStr">
        <is>
          <t>Safe</t>
        </is>
      </c>
      <c r="AY12" s="108" t="n">
        <v>0.6899999999999999</v>
      </c>
      <c r="AZ12" s="108" t="n">
        <v>0.12</v>
      </c>
      <c r="BA12" s="108" t="n">
        <v>1.84</v>
      </c>
      <c r="BB12" s="108" t="n">
        <v>0.29</v>
      </c>
      <c r="BC12" s="107" t="n">
        <v>2.41</v>
      </c>
      <c r="BD12" s="107" t="inlineStr">
        <is>
          <t>Healthy</t>
        </is>
      </c>
      <c r="BE12" s="108" t="n">
        <v>0.15</v>
      </c>
      <c r="BF12" s="108" t="n">
        <v>0.09</v>
      </c>
      <c r="BG12" s="108" t="n">
        <v>9.949999999999999</v>
      </c>
      <c r="BH12" s="108" t="n">
        <v>-4.5</v>
      </c>
      <c r="BI12" s="107" t="n">
        <v>0.01</v>
      </c>
      <c r="BJ12" s="107" t="inlineStr">
        <is>
          <t>Healthy</t>
        </is>
      </c>
      <c r="BK12" s="107" t="n">
        <v>1</v>
      </c>
      <c r="BL12" s="107" t="n">
        <v>1</v>
      </c>
      <c r="BM12" s="107" t="n">
        <v>1</v>
      </c>
      <c r="BN12" s="107" t="n">
        <v>0</v>
      </c>
      <c r="BO12" s="107" t="n">
        <v>0</v>
      </c>
      <c r="BP12" s="107" t="n">
        <v>1</v>
      </c>
      <c r="BQ12" s="107" t="n">
        <v>0</v>
      </c>
      <c r="BR12" s="107" t="n">
        <v>1</v>
      </c>
      <c r="BS12" s="107" t="n">
        <v>1</v>
      </c>
      <c r="BT12" s="107" t="n">
        <v>6</v>
      </c>
      <c r="BU12" s="107" t="inlineStr">
        <is>
          <t>Mixed</t>
        </is>
      </c>
      <c r="BV12" s="108" t="n">
        <v>0.91</v>
      </c>
      <c r="BW12" s="108" t="n">
        <v>0.55</v>
      </c>
      <c r="BX12" s="108" t="n">
        <v>0.79</v>
      </c>
      <c r="BY12" s="108" t="n">
        <v>1.34</v>
      </c>
      <c r="BZ12" s="108" t="n">
        <v>0.67</v>
      </c>
      <c r="CA12" s="108" t="n">
        <v>0.96</v>
      </c>
      <c r="CB12" s="108" t="n">
        <v>0.83</v>
      </c>
      <c r="CC12" s="108" t="n">
        <v>0</v>
      </c>
      <c r="CD12" s="107" t="n">
        <v>-2.55</v>
      </c>
      <c r="CE12" s="107" t="inlineStr">
        <is>
          <t>Lower Risk</t>
        </is>
      </c>
      <c r="CF12" s="108" t="n">
        <v>-2.98</v>
      </c>
      <c r="CG12" s="108" t="n">
        <v>70.14</v>
      </c>
      <c r="CH12" s="107" t="n">
        <v>0</v>
      </c>
      <c r="CI12" s="107" t="inlineStr">
        <is>
          <t>CLEAR</t>
        </is>
      </c>
    </row>
    <row r="13" ht="17" customHeight="1">
      <c r="A13" s="103" t="inlineStr">
        <is>
          <t>APTV</t>
        </is>
      </c>
      <c r="B13" s="103" t="inlineStr">
        <is>
          <t>APTIV PLC</t>
        </is>
      </c>
      <c r="C13" s="104" t="n">
        <v>3708000000</v>
      </c>
      <c r="D13" s="105" t="n">
        <v>0.06</v>
      </c>
      <c r="E13" s="105" t="n">
        <v>0.05</v>
      </c>
      <c r="F13" s="105" t="n">
        <v>0.01</v>
      </c>
      <c r="G13" s="105" t="n">
        <v>0.01</v>
      </c>
      <c r="H13" s="105" t="n">
        <v>0.01</v>
      </c>
      <c r="I13" s="105" t="n">
        <v>0.02</v>
      </c>
      <c r="J13" s="105" t="n">
        <v>0.06</v>
      </c>
      <c r="K13" s="105" t="n">
        <v>0.05</v>
      </c>
      <c r="L13" s="105" t="n">
        <v>0.19</v>
      </c>
      <c r="M13" s="105" t="n">
        <v>0.87</v>
      </c>
      <c r="N13" s="104" t="n">
        <v>0.22</v>
      </c>
      <c r="O13" s="104" t="n">
        <v>1.74</v>
      </c>
      <c r="P13" s="104" t="n">
        <v>1.53</v>
      </c>
      <c r="Q13" s="104" t="n">
        <v>1.23</v>
      </c>
      <c r="R13" s="104" t="n">
        <v>0.37</v>
      </c>
      <c r="S13" s="104" t="n">
        <v>0.59</v>
      </c>
      <c r="T13" s="104" t="n">
        <v>0.61</v>
      </c>
      <c r="U13" s="104" t="n">
        <v>0.84</v>
      </c>
      <c r="V13" s="104" t="n">
        <v>0.64</v>
      </c>
      <c r="W13" s="104" t="n">
        <v>13.24</v>
      </c>
      <c r="X13" s="105" t="n">
        <v>0.07000000000000001</v>
      </c>
      <c r="Y13" s="105" t="n">
        <v>0.06</v>
      </c>
      <c r="Z13" s="105" t="n">
        <v>3.28</v>
      </c>
      <c r="AA13" s="105" t="n">
        <v>2.96</v>
      </c>
      <c r="AB13" s="105" t="n">
        <v>0.2</v>
      </c>
      <c r="AC13" s="104" t="n">
        <v>-0.09</v>
      </c>
      <c r="AD13" s="104" t="n">
        <v>-0.09</v>
      </c>
      <c r="AE13" s="104" t="n">
        <v>0.16</v>
      </c>
      <c r="AF13" s="104" t="n">
        <v>0.27</v>
      </c>
      <c r="AG13" s="104" t="n">
        <v>0.05</v>
      </c>
      <c r="AH13" s="104" t="n">
        <v>0.66</v>
      </c>
      <c r="AI13" s="104" t="n">
        <v>0.87</v>
      </c>
      <c r="AJ13" s="104" t="n">
        <v>2</v>
      </c>
      <c r="AK13" s="106" t="inlineStr">
        <is>
          <t>Grey</t>
        </is>
      </c>
      <c r="AL13" s="104" t="n">
        <v>0.16</v>
      </c>
      <c r="AM13" s="104" t="n">
        <v>0.27</v>
      </c>
      <c r="AN13" s="104" t="n">
        <v>0.05</v>
      </c>
      <c r="AO13" s="104" t="n">
        <v>0.66</v>
      </c>
      <c r="AP13" s="104" t="n">
        <v>0.87</v>
      </c>
      <c r="AQ13" s="103" t="n">
        <v>1.64</v>
      </c>
      <c r="AR13" s="103" t="inlineStr">
        <is>
          <t>Grey</t>
        </is>
      </c>
      <c r="AS13" s="104" t="n">
        <v>0.16</v>
      </c>
      <c r="AT13" s="104" t="n">
        <v>0.27</v>
      </c>
      <c r="AU13" s="104" t="n">
        <v>0.05</v>
      </c>
      <c r="AV13" s="104" t="n">
        <v>0.66</v>
      </c>
      <c r="AW13" s="103" t="n">
        <v>2.94</v>
      </c>
      <c r="AX13" s="103" t="inlineStr">
        <is>
          <t>Safe</t>
        </is>
      </c>
      <c r="AY13" s="104" t="n">
        <v>0.16</v>
      </c>
      <c r="AZ13" s="104" t="n">
        <v>0.05</v>
      </c>
      <c r="BA13" s="104" t="n">
        <v>0.18</v>
      </c>
      <c r="BB13" s="104" t="n">
        <v>0.87</v>
      </c>
      <c r="BC13" s="103" t="n">
        <v>0.79</v>
      </c>
      <c r="BD13" s="103" t="inlineStr">
        <is>
          <t>Distress</t>
        </is>
      </c>
      <c r="BE13" s="104" t="n">
        <v>0.01</v>
      </c>
      <c r="BF13" s="104" t="n">
        <v>0.59</v>
      </c>
      <c r="BG13" s="104" t="n">
        <v>1.74</v>
      </c>
      <c r="BH13" s="104" t="n">
        <v>-0.99</v>
      </c>
      <c r="BI13" s="103" t="n">
        <v>0.27</v>
      </c>
      <c r="BJ13" s="103" t="inlineStr">
        <is>
          <t>Healthy</t>
        </is>
      </c>
      <c r="BK13" s="103" t="n">
        <v>1</v>
      </c>
      <c r="BL13" s="103" t="n">
        <v>1</v>
      </c>
      <c r="BM13" s="103" t="n">
        <v>1</v>
      </c>
      <c r="BN13" s="103" t="n">
        <v>1</v>
      </c>
      <c r="BO13" s="103" t="n">
        <v>1</v>
      </c>
      <c r="BP13" s="103" t="n">
        <v>1</v>
      </c>
      <c r="BQ13" s="103" t="n">
        <v>1</v>
      </c>
      <c r="BR13" s="103" t="n">
        <v>0</v>
      </c>
      <c r="BS13" s="103" t="n">
        <v>1</v>
      </c>
      <c r="BT13" s="103" t="n">
        <v>8</v>
      </c>
      <c r="BU13" s="103" t="inlineStr">
        <is>
          <t>Strong</t>
        </is>
      </c>
      <c r="BV13" s="104" t="n">
        <v>0.27</v>
      </c>
      <c r="BW13" s="104" t="n">
        <v>3.95</v>
      </c>
      <c r="BX13" s="104" t="n">
        <v>0.91</v>
      </c>
      <c r="BY13" s="104" t="n">
        <v>3.96</v>
      </c>
      <c r="BZ13" s="104" t="n">
        <v>0.99</v>
      </c>
      <c r="CA13" s="104" t="n">
        <v>0.29</v>
      </c>
      <c r="CB13" s="104" t="n">
        <v>0.97</v>
      </c>
      <c r="CC13" s="104" t="n">
        <v>-0.09</v>
      </c>
      <c r="CD13" s="103" t="n">
        <v>0.74</v>
      </c>
      <c r="CE13" s="103" t="inlineStr">
        <is>
          <t>Higher Risk</t>
        </is>
      </c>
      <c r="CF13" s="104" t="n">
        <v>2.7</v>
      </c>
      <c r="CG13" s="104" t="n">
        <v>55.8</v>
      </c>
      <c r="CH13" s="103" t="n">
        <v>20</v>
      </c>
      <c r="CI13" s="103" t="inlineStr">
        <is>
          <t>CLEAR</t>
        </is>
      </c>
    </row>
    <row r="14" ht="17" customHeight="1">
      <c r="A14" s="107" t="inlineStr">
        <is>
          <t>ZBRA</t>
        </is>
      </c>
      <c r="B14" s="107" t="inlineStr">
        <is>
          <t>ZEBRA TECHNOLOGIES CORPORATION</t>
        </is>
      </c>
      <c r="C14" s="108" t="n">
        <v>-56000000</v>
      </c>
      <c r="D14" s="109" t="n">
        <v>0.13</v>
      </c>
      <c r="E14" s="109" t="n">
        <v>0.1</v>
      </c>
      <c r="F14" s="109" t="n">
        <v>0.08</v>
      </c>
      <c r="G14" s="109" t="n">
        <v>0.05</v>
      </c>
      <c r="H14" s="109" t="n">
        <v>0.07000000000000001</v>
      </c>
      <c r="I14" s="109" t="n">
        <v>0.12</v>
      </c>
      <c r="J14" s="109" t="n">
        <v>0.11</v>
      </c>
      <c r="K14" s="109" t="n">
        <v>0.48</v>
      </c>
      <c r="L14" s="109" t="n">
        <v>0.48</v>
      </c>
      <c r="M14" s="109" t="n">
        <v>0.63</v>
      </c>
      <c r="N14" s="108" t="n">
        <v>0.63</v>
      </c>
      <c r="O14" s="108" t="n">
        <v>0.97</v>
      </c>
      <c r="P14" s="108" t="n">
        <v>1.43</v>
      </c>
      <c r="Q14" s="108" t="n">
        <v>0.58</v>
      </c>
      <c r="R14" s="108" t="n">
        <v>0.07000000000000001</v>
      </c>
      <c r="S14" s="108" t="n">
        <v>0.58</v>
      </c>
      <c r="T14" s="108" t="n">
        <v>0.55</v>
      </c>
      <c r="U14" s="108" t="n">
        <v>0.11</v>
      </c>
      <c r="V14" s="108" t="n">
        <v>0.08</v>
      </c>
      <c r="W14" s="108" t="n">
        <v>2.19</v>
      </c>
      <c r="X14" s="109" t="n">
        <v>0.15</v>
      </c>
      <c r="Y14" s="109" t="n">
        <v>0.11</v>
      </c>
      <c r="Z14" s="109" t="n">
        <v>140</v>
      </c>
      <c r="AA14" s="109" t="n">
        <v>0.08</v>
      </c>
      <c r="AB14" s="109" t="n">
        <v>-0.21</v>
      </c>
      <c r="AC14" s="108" t="n">
        <v>-0.06</v>
      </c>
      <c r="AD14" s="108" t="n">
        <v>-0.06</v>
      </c>
      <c r="AE14" s="108" t="n">
        <v>-0.01</v>
      </c>
      <c r="AF14" s="108" t="n">
        <v>0.62</v>
      </c>
      <c r="AG14" s="108" t="n">
        <v>0.08</v>
      </c>
      <c r="AH14" s="108" t="n">
        <v>0.73</v>
      </c>
      <c r="AI14" s="108" t="n">
        <v>0.63</v>
      </c>
      <c r="AJ14" s="108" t="n">
        <v>2.21</v>
      </c>
      <c r="AK14" s="106" t="inlineStr">
        <is>
          <t>Grey</t>
        </is>
      </c>
      <c r="AL14" s="108" t="n">
        <v>-0.01</v>
      </c>
      <c r="AM14" s="108" t="n">
        <v>0.62</v>
      </c>
      <c r="AN14" s="108" t="n">
        <v>0.08</v>
      </c>
      <c r="AO14" s="108" t="n">
        <v>0.73</v>
      </c>
      <c r="AP14" s="108" t="n">
        <v>0.63</v>
      </c>
      <c r="AQ14" s="107" t="n">
        <v>1.72</v>
      </c>
      <c r="AR14" s="107" t="inlineStr">
        <is>
          <t>Grey</t>
        </is>
      </c>
      <c r="AS14" s="108" t="n">
        <v>-0.01</v>
      </c>
      <c r="AT14" s="108" t="n">
        <v>0.62</v>
      </c>
      <c r="AU14" s="108" t="n">
        <v>0.08</v>
      </c>
      <c r="AV14" s="108" t="n">
        <v>0.73</v>
      </c>
      <c r="AW14" s="107" t="n">
        <v>3.3</v>
      </c>
      <c r="AX14" s="107" t="inlineStr">
        <is>
          <t>Safe</t>
        </is>
      </c>
      <c r="AY14" s="108" t="n">
        <v>-0.01</v>
      </c>
      <c r="AZ14" s="108" t="n">
        <v>0.08</v>
      </c>
      <c r="BA14" s="108" t="n">
        <v>0.3</v>
      </c>
      <c r="BB14" s="108" t="n">
        <v>0.63</v>
      </c>
      <c r="BC14" s="107" t="n">
        <v>0.7</v>
      </c>
      <c r="BD14" s="107" t="inlineStr">
        <is>
          <t>Distress</t>
        </is>
      </c>
      <c r="BE14" s="108" t="n">
        <v>0.05</v>
      </c>
      <c r="BF14" s="108" t="n">
        <v>0.58</v>
      </c>
      <c r="BG14" s="108" t="n">
        <v>0.97</v>
      </c>
      <c r="BH14" s="108" t="n">
        <v>-1.27</v>
      </c>
      <c r="BI14" s="107" t="n">
        <v>0.22</v>
      </c>
      <c r="BJ14" s="107" t="inlineStr">
        <is>
          <t>Healthy</t>
        </is>
      </c>
      <c r="BK14" s="107" t="n">
        <v>1</v>
      </c>
      <c r="BL14" s="107" t="n">
        <v>1</v>
      </c>
      <c r="BM14" s="107" t="n">
        <v>0</v>
      </c>
      <c r="BN14" s="107" t="n">
        <v>1</v>
      </c>
      <c r="BO14" s="107" t="n">
        <v>1</v>
      </c>
      <c r="BP14" s="107" t="n">
        <v>0</v>
      </c>
      <c r="BQ14" s="107" t="n">
        <v>0</v>
      </c>
      <c r="BR14" s="107" t="n">
        <v>0</v>
      </c>
      <c r="BS14" s="107" t="n">
        <v>1</v>
      </c>
      <c r="BT14" s="107" t="n">
        <v>5</v>
      </c>
      <c r="BU14" s="107" t="inlineStr">
        <is>
          <t>Mixed</t>
        </is>
      </c>
      <c r="BV14" s="108" t="n">
        <v>1.07</v>
      </c>
      <c r="BW14" s="108" t="n">
        <v>1.01</v>
      </c>
      <c r="BX14" s="108" t="n">
        <v>1.14</v>
      </c>
      <c r="BY14" s="108" t="n">
        <v>1.08</v>
      </c>
      <c r="BZ14" s="108" t="n">
        <v>1.05</v>
      </c>
      <c r="CA14" s="108" t="n">
        <v>1.05</v>
      </c>
      <c r="CB14" s="108" t="n">
        <v>1.05</v>
      </c>
      <c r="CC14" s="108" t="n">
        <v>-0.06</v>
      </c>
      <c r="CD14" s="107" t="n">
        <v>-2.58</v>
      </c>
      <c r="CE14" s="107" t="inlineStr">
        <is>
          <t>Lower Risk</t>
        </is>
      </c>
      <c r="CF14" s="108" t="n">
        <v>0.32</v>
      </c>
      <c r="CG14" s="108" t="n">
        <v>49.49</v>
      </c>
      <c r="CH14" s="107" t="n">
        <v>0</v>
      </c>
      <c r="CI14" s="107" t="inlineStr">
        <is>
          <t>CLEAR</t>
        </is>
      </c>
    </row>
    <row r="15" ht="17" customHeight="1">
      <c r="A15" s="103" t="inlineStr">
        <is>
          <t>WFC</t>
        </is>
      </c>
      <c r="B15" s="103" t="inlineStr">
        <is>
          <t>WELLS        FARGO &amp; COMPANY/MN</t>
        </is>
      </c>
      <c r="C15" s="113" t="inlineStr">
        <is>
          <t>N/A</t>
        </is>
      </c>
      <c r="D15" s="105" t="n">
        <v>0.3</v>
      </c>
      <c r="E15" s="105" t="n">
        <v>0.3</v>
      </c>
      <c r="F15" s="105" t="n">
        <v>0.25</v>
      </c>
      <c r="G15" s="105" t="n">
        <v>0.01</v>
      </c>
      <c r="H15" s="105" t="n">
        <v>0.01</v>
      </c>
      <c r="I15" s="105" t="n">
        <v>0.12</v>
      </c>
      <c r="J15" s="113" t="inlineStr">
        <is>
          <t>N/A</t>
        </is>
      </c>
      <c r="K15" s="105" t="n">
        <v>0.02</v>
      </c>
      <c r="L15" s="105" t="n">
        <v>0.03</v>
      </c>
      <c r="M15" s="105" t="n">
        <v>0.04</v>
      </c>
      <c r="N15" s="104" t="n">
        <v>0.04</v>
      </c>
      <c r="O15" s="113" t="inlineStr">
        <is>
          <t>N/A</t>
        </is>
      </c>
      <c r="P15" s="113" t="inlineStr">
        <is>
          <t>N/A</t>
        </is>
      </c>
      <c r="Q15" s="113" t="inlineStr">
        <is>
          <t>N/A</t>
        </is>
      </c>
      <c r="R15" s="113" t="inlineStr">
        <is>
          <t>N/A</t>
        </is>
      </c>
      <c r="S15" s="104" t="n">
        <v>0.91</v>
      </c>
      <c r="T15" s="104" t="n">
        <v>0.91</v>
      </c>
      <c r="U15" s="104" t="n">
        <v>1.07</v>
      </c>
      <c r="V15" s="104" t="n">
        <v>1.07</v>
      </c>
      <c r="W15" s="104" t="n">
        <v>-0.89</v>
      </c>
      <c r="X15" s="113" t="inlineStr">
        <is>
          <t>N/A</t>
        </is>
      </c>
      <c r="Y15" s="105" t="n">
        <v>0</v>
      </c>
      <c r="Z15" s="105" t="n">
        <v>0.77</v>
      </c>
      <c r="AA15" s="105" t="n">
        <v>-0.02</v>
      </c>
      <c r="AB15" s="105" t="n">
        <v>0.08</v>
      </c>
      <c r="AC15" s="104" t="n">
        <v>0.02</v>
      </c>
      <c r="AD15" s="104" t="n">
        <v>0.02</v>
      </c>
      <c r="AE15" s="113" t="inlineStr">
        <is>
          <t>N/A</t>
        </is>
      </c>
      <c r="AF15" s="104" t="n">
        <v>0.11</v>
      </c>
      <c r="AG15" s="104" t="n">
        <v>0.01</v>
      </c>
      <c r="AH15" s="104" t="n">
        <v>0.09</v>
      </c>
      <c r="AI15" s="104" t="n">
        <v>0.04</v>
      </c>
      <c r="AJ15" s="113" t="inlineStr">
        <is>
          <t>N/A</t>
        </is>
      </c>
      <c r="AK15" s="113" t="inlineStr">
        <is>
          <t>N/A</t>
        </is>
      </c>
      <c r="AL15" s="113" t="inlineStr">
        <is>
          <t>N/A</t>
        </is>
      </c>
      <c r="AM15" s="104" t="n">
        <v>0.11</v>
      </c>
      <c r="AN15" s="104" t="n">
        <v>0.01</v>
      </c>
      <c r="AO15" s="104" t="n">
        <v>0.09</v>
      </c>
      <c r="AP15" s="104" t="n">
        <v>0.04</v>
      </c>
      <c r="AQ15" s="113" t="inlineStr">
        <is>
          <t>N/A</t>
        </is>
      </c>
      <c r="AR15" s="113" t="inlineStr">
        <is>
          <t>N/A</t>
        </is>
      </c>
      <c r="AS15" s="113" t="inlineStr">
        <is>
          <t>N/A</t>
        </is>
      </c>
      <c r="AT15" s="104" t="n">
        <v>0.11</v>
      </c>
      <c r="AU15" s="104" t="n">
        <v>0.01</v>
      </c>
      <c r="AV15" s="104" t="n">
        <v>0.09</v>
      </c>
      <c r="AW15" s="113" t="inlineStr">
        <is>
          <t>N/A</t>
        </is>
      </c>
      <c r="AX15" s="113" t="inlineStr">
        <is>
          <t>N/A</t>
        </is>
      </c>
      <c r="AY15" s="113" t="inlineStr">
        <is>
          <t>N/A</t>
        </is>
      </c>
      <c r="AZ15" s="104" t="n">
        <v>0.01</v>
      </c>
      <c r="BA15" s="113" t="inlineStr">
        <is>
          <t>N/A</t>
        </is>
      </c>
      <c r="BB15" s="104" t="n">
        <v>0.04</v>
      </c>
      <c r="BC15" s="113" t="inlineStr">
        <is>
          <t>N/A</t>
        </is>
      </c>
      <c r="BD15" s="113" t="inlineStr">
        <is>
          <t>N/A</t>
        </is>
      </c>
      <c r="BE15" s="104" t="n">
        <v>0.01</v>
      </c>
      <c r="BF15" s="104" t="n">
        <v>0.91</v>
      </c>
      <c r="BG15" s="113" t="inlineStr">
        <is>
          <t>N/A</t>
        </is>
      </c>
      <c r="BH15" s="113" t="inlineStr">
        <is>
          <t>N/A</t>
        </is>
      </c>
      <c r="BI15" s="113" t="inlineStr">
        <is>
          <t>N/A</t>
        </is>
      </c>
      <c r="BJ15" s="113" t="inlineStr">
        <is>
          <t>N/A</t>
        </is>
      </c>
      <c r="BK15" s="103" t="n">
        <v>1</v>
      </c>
      <c r="BL15" s="103" t="n">
        <v>0</v>
      </c>
      <c r="BM15" s="103" t="n">
        <v>0</v>
      </c>
      <c r="BN15" s="103" t="n">
        <v>0</v>
      </c>
      <c r="BO15" s="103" t="n">
        <v>1</v>
      </c>
      <c r="BP15" s="103" t="n">
        <v>0</v>
      </c>
      <c r="BQ15" s="103" t="n">
        <v>1</v>
      </c>
      <c r="BR15" s="103" t="n">
        <v>0</v>
      </c>
      <c r="BS15" s="103" t="n">
        <v>0</v>
      </c>
      <c r="BT15" s="103" t="n">
        <v>3</v>
      </c>
      <c r="BU15" s="103" t="inlineStr">
        <is>
          <t>Weak</t>
        </is>
      </c>
      <c r="BV15" s="104" t="n">
        <v>1.02</v>
      </c>
      <c r="BW15" s="113" t="inlineStr">
        <is>
          <t>N/A</t>
        </is>
      </c>
      <c r="BX15" s="104" t="n">
        <v>1</v>
      </c>
      <c r="BY15" s="104" t="n">
        <v>0.98</v>
      </c>
      <c r="BZ15" s="104" t="n">
        <v>0.88</v>
      </c>
      <c r="CA15" s="113" t="inlineStr">
        <is>
          <t>N/A</t>
        </is>
      </c>
      <c r="CB15" s="104" t="n">
        <v>1.01</v>
      </c>
      <c r="CC15" s="104" t="n">
        <v>0.02</v>
      </c>
      <c r="CD15" s="113" t="inlineStr">
        <is>
          <t>N/A</t>
        </is>
      </c>
      <c r="CE15" s="113" t="inlineStr">
        <is>
          <t>N/A</t>
        </is>
      </c>
      <c r="CF15" s="104" t="n">
        <v>7.18</v>
      </c>
      <c r="CG15" s="104" t="n">
        <v>35.17</v>
      </c>
      <c r="CH15" s="103" t="n">
        <v>20</v>
      </c>
      <c r="CI15" s="103" t="inlineStr">
        <is>
          <t>CLEAR</t>
        </is>
      </c>
    </row>
    <row r="16" ht="17" customHeight="1">
      <c r="A16" s="107" t="inlineStr">
        <is>
          <t>EXPD</t>
        </is>
      </c>
      <c r="B16" s="107" t="inlineStr">
        <is>
          <t>EXPEDITORS INTERNATIONAL OF WASHINGTON, INC.</t>
        </is>
      </c>
      <c r="C16" s="108" t="n">
        <v>1682815000</v>
      </c>
      <c r="D16" s="109" t="n">
        <v>0.15</v>
      </c>
      <c r="E16" s="109" t="n">
        <v>0.16</v>
      </c>
      <c r="F16" s="109" t="n">
        <v>0.12</v>
      </c>
      <c r="G16" s="109" t="n">
        <v>0.17</v>
      </c>
      <c r="H16" s="109" t="n">
        <v>0.17</v>
      </c>
      <c r="I16" s="109" t="n">
        <v>0.34</v>
      </c>
      <c r="J16" s="109" t="n">
        <v>0.37</v>
      </c>
      <c r="K16" s="109" t="n">
        <v>0.26</v>
      </c>
      <c r="L16" s="109" t="n">
        <v>0.24</v>
      </c>
      <c r="M16" s="109" t="n">
        <v>1.41</v>
      </c>
      <c r="N16" s="108" t="n">
        <v>0.4</v>
      </c>
      <c r="O16" s="108" t="n">
        <v>1.81</v>
      </c>
      <c r="P16" s="108" t="n">
        <v>1.77</v>
      </c>
      <c r="Q16" s="108" t="n">
        <v>1.81</v>
      </c>
      <c r="R16" s="108" t="n">
        <v>0.63</v>
      </c>
      <c r="S16" s="108" t="n">
        <v>1</v>
      </c>
      <c r="T16" s="108" t="n">
        <v>1</v>
      </c>
      <c r="U16" s="111" t="inlineStr">
        <is>
          <t>N/A</t>
        </is>
      </c>
      <c r="V16" s="111" t="inlineStr">
        <is>
          <t>N/A</t>
        </is>
      </c>
      <c r="W16" s="108" t="n">
        <v>1.24</v>
      </c>
      <c r="X16" s="109" t="n">
        <v>0.14</v>
      </c>
      <c r="Y16" s="109" t="n">
        <v>0</v>
      </c>
      <c r="Z16" s="109" t="n">
        <v>219.28</v>
      </c>
      <c r="AA16" s="109" t="n">
        <v>2.64</v>
      </c>
      <c r="AB16" s="109" t="n">
        <v>0</v>
      </c>
      <c r="AC16" s="108" t="n">
        <v>-0.04</v>
      </c>
      <c r="AD16" s="108" t="n">
        <v>-0.04</v>
      </c>
      <c r="AE16" s="108" t="n">
        <v>0.34</v>
      </c>
      <c r="AF16" s="108" t="n">
        <v>0.52</v>
      </c>
      <c r="AG16" s="108" t="n">
        <v>0.22</v>
      </c>
      <c r="AH16" s="108" t="n">
        <v>0.48</v>
      </c>
      <c r="AI16" s="108" t="n">
        <v>1.41</v>
      </c>
      <c r="AJ16" s="108" t="n">
        <v>3.55</v>
      </c>
      <c r="AK16" s="110" t="inlineStr">
        <is>
          <t>Safe</t>
        </is>
      </c>
      <c r="AL16" s="108" t="n">
        <v>0.34</v>
      </c>
      <c r="AM16" s="108" t="n">
        <v>0.52</v>
      </c>
      <c r="AN16" s="108" t="n">
        <v>0.22</v>
      </c>
      <c r="AO16" s="108" t="n">
        <v>0.48</v>
      </c>
      <c r="AP16" s="108" t="n">
        <v>1.41</v>
      </c>
      <c r="AQ16" s="107" t="n">
        <v>2.97</v>
      </c>
      <c r="AR16" s="107" t="inlineStr">
        <is>
          <t>Safe</t>
        </is>
      </c>
      <c r="AS16" s="108" t="n">
        <v>0.34</v>
      </c>
      <c r="AT16" s="108" t="n">
        <v>0.52</v>
      </c>
      <c r="AU16" s="108" t="n">
        <v>0.22</v>
      </c>
      <c r="AV16" s="108" t="n">
        <v>0.48</v>
      </c>
      <c r="AW16" s="107" t="n">
        <v>5.9</v>
      </c>
      <c r="AX16" s="107" t="inlineStr">
        <is>
          <t>Safe</t>
        </is>
      </c>
      <c r="AY16" s="108" t="n">
        <v>0.34</v>
      </c>
      <c r="AZ16" s="108" t="n">
        <v>0.22</v>
      </c>
      <c r="BA16" s="108" t="n">
        <v>0.53</v>
      </c>
      <c r="BB16" s="108" t="n">
        <v>1.41</v>
      </c>
      <c r="BC16" s="107" t="n">
        <v>1.93</v>
      </c>
      <c r="BD16" s="107" t="inlineStr">
        <is>
          <t>Healthy</t>
        </is>
      </c>
      <c r="BE16" s="108" t="n">
        <v>0.17</v>
      </c>
      <c r="BF16" s="108" t="n">
        <v>1</v>
      </c>
      <c r="BG16" s="108" t="n">
        <v>1.81</v>
      </c>
      <c r="BH16" s="108" t="n">
        <v>0.6</v>
      </c>
      <c r="BI16" s="107" t="n">
        <v>0.65</v>
      </c>
      <c r="BJ16" s="107" t="inlineStr">
        <is>
          <t>Distress</t>
        </is>
      </c>
      <c r="BK16" s="107" t="n">
        <v>1</v>
      </c>
      <c r="BL16" s="107" t="n">
        <v>1</v>
      </c>
      <c r="BM16" s="107" t="n">
        <v>0</v>
      </c>
      <c r="BN16" s="107" t="n">
        <v>1</v>
      </c>
      <c r="BO16" s="107" t="n">
        <v>0</v>
      </c>
      <c r="BP16" s="107" t="n">
        <v>1</v>
      </c>
      <c r="BQ16" s="107" t="n">
        <v>1</v>
      </c>
      <c r="BR16" s="107" t="n">
        <v>1</v>
      </c>
      <c r="BS16" s="107" t="n">
        <v>1</v>
      </c>
      <c r="BT16" s="107" t="n">
        <v>7</v>
      </c>
      <c r="BU16" s="107" t="inlineStr">
        <is>
          <t>Strong</t>
        </is>
      </c>
      <c r="BV16" s="108" t="n">
        <v>0.28</v>
      </c>
      <c r="BW16" s="108" t="n">
        <v>0.92</v>
      </c>
      <c r="BX16" s="108" t="n">
        <v>1.02</v>
      </c>
      <c r="BY16" s="108" t="n">
        <v>3.64</v>
      </c>
      <c r="BZ16" s="108" t="n">
        <v>0.95</v>
      </c>
      <c r="CA16" s="108" t="n">
        <v>0.33</v>
      </c>
      <c r="CB16" s="108" t="n">
        <v>1</v>
      </c>
      <c r="CC16" s="108" t="n">
        <v>-0.04</v>
      </c>
      <c r="CD16" s="107" t="n">
        <v>-0.9</v>
      </c>
      <c r="CE16" s="107" t="inlineStr">
        <is>
          <t>Higher Risk</t>
        </is>
      </c>
      <c r="CF16" s="111" t="inlineStr">
        <is>
          <t>N/A</t>
        </is>
      </c>
      <c r="CG16" s="108" t="n">
        <v>56.11</v>
      </c>
      <c r="CH16" s="107" t="n">
        <v>20</v>
      </c>
      <c r="CI16" s="107" t="inlineStr">
        <is>
          <t>CLEAR</t>
        </is>
      </c>
    </row>
    <row r="17" ht="17" customHeight="1">
      <c r="A17" s="103" t="inlineStr">
        <is>
          <t>CELH</t>
        </is>
      </c>
      <c r="B17" s="103" t="inlineStr">
        <is>
          <t>CELSIUS HOLDINGS, INC.</t>
        </is>
      </c>
      <c r="C17" s="104" t="n">
        <v>732428000</v>
      </c>
      <c r="D17" s="105" t="n">
        <v>0.11</v>
      </c>
      <c r="E17" s="105" t="n">
        <v>0.09</v>
      </c>
      <c r="F17" s="105" t="n">
        <v>0.08</v>
      </c>
      <c r="G17" s="105" t="n">
        <v>0.02</v>
      </c>
      <c r="H17" s="105" t="n">
        <v>0.08</v>
      </c>
      <c r="I17" s="105" t="n">
        <v>0.09</v>
      </c>
      <c r="J17" s="105" t="n">
        <v>0.03</v>
      </c>
      <c r="K17" s="105" t="n">
        <v>0.96</v>
      </c>
      <c r="L17" s="105" t="n">
        <v>1.04</v>
      </c>
      <c r="M17" s="105" t="n">
        <v>0.26</v>
      </c>
      <c r="N17" s="104" t="n">
        <v>0.37</v>
      </c>
      <c r="O17" s="104" t="n">
        <v>1.68</v>
      </c>
      <c r="P17" s="104" t="n">
        <v>3.62</v>
      </c>
      <c r="Q17" s="104" t="n">
        <v>1.37</v>
      </c>
      <c r="R17" s="104" t="n">
        <v>0.37</v>
      </c>
      <c r="S17" s="104" t="n">
        <v>0.43</v>
      </c>
      <c r="T17" s="104" t="n">
        <v>0.31</v>
      </c>
      <c r="U17" s="104" t="n">
        <v>0.58</v>
      </c>
      <c r="V17" s="104" t="n">
        <v>0.24</v>
      </c>
      <c r="W17" s="104" t="n">
        <v>3.33</v>
      </c>
      <c r="X17" s="105" t="n">
        <v>0.25</v>
      </c>
      <c r="Y17" s="105" t="n">
        <v>0</v>
      </c>
      <c r="Z17" s="105" t="n">
        <v>276.9</v>
      </c>
      <c r="AA17" s="105" t="n">
        <v>1.02</v>
      </c>
      <c r="AB17" s="105" t="n">
        <v>-0.26</v>
      </c>
      <c r="AC17" s="104" t="n">
        <v>-0.05</v>
      </c>
      <c r="AD17" s="104" t="n">
        <v>-0.05</v>
      </c>
      <c r="AE17" s="104" t="n">
        <v>0.14</v>
      </c>
      <c r="AF17" s="104" t="n">
        <v>0.03</v>
      </c>
      <c r="AG17" s="104" t="n">
        <v>0.03</v>
      </c>
      <c r="AH17" s="104" t="n">
        <v>0.54</v>
      </c>
      <c r="AI17" s="104" t="n">
        <v>0.26</v>
      </c>
      <c r="AJ17" s="104" t="n">
        <v>0.89</v>
      </c>
      <c r="AK17" s="112" t="inlineStr">
        <is>
          <t>Distress</t>
        </is>
      </c>
      <c r="AL17" s="104" t="n">
        <v>0.14</v>
      </c>
      <c r="AM17" s="104" t="n">
        <v>0.03</v>
      </c>
      <c r="AN17" s="104" t="n">
        <v>0.03</v>
      </c>
      <c r="AO17" s="104" t="n">
        <v>0.54</v>
      </c>
      <c r="AP17" s="104" t="n">
        <v>0.26</v>
      </c>
      <c r="AQ17" s="103" t="n">
        <v>0.7</v>
      </c>
      <c r="AR17" s="103" t="inlineStr">
        <is>
          <t>Distress</t>
        </is>
      </c>
      <c r="AS17" s="104" t="n">
        <v>0.14</v>
      </c>
      <c r="AT17" s="104" t="n">
        <v>0.03</v>
      </c>
      <c r="AU17" s="104" t="n">
        <v>0.03</v>
      </c>
      <c r="AV17" s="104" t="n">
        <v>0.54</v>
      </c>
      <c r="AW17" s="103" t="n">
        <v>1.81</v>
      </c>
      <c r="AX17" s="103" t="inlineStr">
        <is>
          <t>Grey</t>
        </is>
      </c>
      <c r="AY17" s="104" t="n">
        <v>0.14</v>
      </c>
      <c r="AZ17" s="104" t="n">
        <v>0.03</v>
      </c>
      <c r="BA17" s="104" t="n">
        <v>0.12</v>
      </c>
      <c r="BB17" s="104" t="n">
        <v>0.26</v>
      </c>
      <c r="BC17" s="103" t="n">
        <v>0.41</v>
      </c>
      <c r="BD17" s="103" t="inlineStr">
        <is>
          <t>Distress</t>
        </is>
      </c>
      <c r="BE17" s="104" t="n">
        <v>0.02</v>
      </c>
      <c r="BF17" s="104" t="n">
        <v>0.43</v>
      </c>
      <c r="BG17" s="104" t="n">
        <v>1.68</v>
      </c>
      <c r="BH17" s="104" t="n">
        <v>-2.01</v>
      </c>
      <c r="BI17" s="103" t="n">
        <v>0.12</v>
      </c>
      <c r="BJ17" s="103" t="inlineStr">
        <is>
          <t>Healthy</t>
        </is>
      </c>
      <c r="BK17" s="103" t="n">
        <v>1</v>
      </c>
      <c r="BL17" s="103" t="n">
        <v>1</v>
      </c>
      <c r="BM17" s="103" t="n">
        <v>0</v>
      </c>
      <c r="BN17" s="103" t="n">
        <v>1</v>
      </c>
      <c r="BO17" s="103" t="n">
        <v>0</v>
      </c>
      <c r="BP17" s="103" t="n">
        <v>0</v>
      </c>
      <c r="BQ17" s="103" t="n">
        <v>0</v>
      </c>
      <c r="BR17" s="103" t="n">
        <v>0</v>
      </c>
      <c r="BS17" s="103" t="n">
        <v>0</v>
      </c>
      <c r="BT17" s="103" t="n">
        <v>3</v>
      </c>
      <c r="BU17" s="103" t="inlineStr">
        <is>
          <t>Weak</t>
        </is>
      </c>
      <c r="BV17" s="104" t="n">
        <v>1.39</v>
      </c>
      <c r="BW17" s="104" t="n">
        <v>1.08</v>
      </c>
      <c r="BX17" s="104" t="n">
        <v>2.87</v>
      </c>
      <c r="BY17" s="104" t="n">
        <v>2.02</v>
      </c>
      <c r="BZ17" s="104" t="n">
        <v>0.46</v>
      </c>
      <c r="CA17" s="104" t="n">
        <v>0.76</v>
      </c>
      <c r="CB17" s="104" t="n">
        <v>1.39</v>
      </c>
      <c r="CC17" s="104" t="n">
        <v>-0.05</v>
      </c>
      <c r="CD17" s="103" t="n">
        <v>-0.79</v>
      </c>
      <c r="CE17" s="103" t="inlineStr">
        <is>
          <t>Higher Risk</t>
        </is>
      </c>
      <c r="CF17" s="104" t="n">
        <v>1.67</v>
      </c>
      <c r="CG17" s="104" t="n">
        <v>34.07</v>
      </c>
      <c r="CH17" s="103" t="n">
        <v>20</v>
      </c>
      <c r="CI17" s="103" t="inlineStr">
        <is>
          <t>CLEAR</t>
        </is>
      </c>
    </row>
    <row r="18" ht="17" customHeight="1">
      <c r="A18" s="107" t="inlineStr">
        <is>
          <t>MKSI</t>
        </is>
      </c>
      <c r="B18" s="107" t="inlineStr">
        <is>
          <t>MKS INC</t>
        </is>
      </c>
      <c r="C18" s="108" t="n">
        <v>1583000000</v>
      </c>
      <c r="D18" s="109" t="n">
        <v>0.13</v>
      </c>
      <c r="E18" s="109" t="n">
        <v>0.08</v>
      </c>
      <c r="F18" s="109" t="n">
        <v>0.08</v>
      </c>
      <c r="G18" s="109" t="n">
        <v>0.03</v>
      </c>
      <c r="H18" s="109" t="n">
        <v>0.02</v>
      </c>
      <c r="I18" s="109" t="n">
        <v>0.11</v>
      </c>
      <c r="J18" s="109" t="n">
        <v>0.07000000000000001</v>
      </c>
      <c r="K18" s="109" t="n">
        <v>0.47</v>
      </c>
      <c r="L18" s="109" t="n">
        <v>0.48</v>
      </c>
      <c r="M18" s="109" t="n">
        <v>0.45</v>
      </c>
      <c r="N18" s="108" t="n">
        <v>0.42</v>
      </c>
      <c r="O18" s="108" t="n">
        <v>2.71</v>
      </c>
      <c r="P18" s="108" t="n">
        <v>3.19</v>
      </c>
      <c r="Q18" s="108" t="n">
        <v>1.71</v>
      </c>
      <c r="R18" s="108" t="n">
        <v>0.45</v>
      </c>
      <c r="S18" s="108" t="n">
        <v>0.6899999999999999</v>
      </c>
      <c r="T18" s="108" t="n">
        <v>0.73</v>
      </c>
      <c r="U18" s="108" t="n">
        <v>1.55</v>
      </c>
      <c r="V18" s="108" t="n">
        <v>1.39</v>
      </c>
      <c r="W18" s="108" t="n">
        <v>2.19</v>
      </c>
      <c r="X18" s="109" t="n">
        <v>0.13</v>
      </c>
      <c r="Y18" s="109" t="n">
        <v>0.08</v>
      </c>
      <c r="Z18" s="109" t="n">
        <v>2.49</v>
      </c>
      <c r="AA18" s="109" t="n">
        <v>0.1</v>
      </c>
      <c r="AB18" s="109" t="n">
        <v>0.55</v>
      </c>
      <c r="AC18" s="108" t="n">
        <v>-0.04</v>
      </c>
      <c r="AD18" s="108" t="n">
        <v>-0.04</v>
      </c>
      <c r="AE18" s="108" t="n">
        <v>0.18</v>
      </c>
      <c r="AF18" s="108" t="n">
        <v>0.08</v>
      </c>
      <c r="AG18" s="108" t="n">
        <v>0.06</v>
      </c>
      <c r="AH18" s="108" t="n">
        <v>0.45</v>
      </c>
      <c r="AI18" s="108" t="n">
        <v>0.45</v>
      </c>
      <c r="AJ18" s="108" t="n">
        <v>1.24</v>
      </c>
      <c r="AK18" s="112" t="inlineStr">
        <is>
          <t>Distress</t>
        </is>
      </c>
      <c r="AL18" s="108" t="n">
        <v>0.18</v>
      </c>
      <c r="AM18" s="108" t="n">
        <v>0.08</v>
      </c>
      <c r="AN18" s="108" t="n">
        <v>0.06</v>
      </c>
      <c r="AO18" s="108" t="n">
        <v>0.45</v>
      </c>
      <c r="AP18" s="108" t="n">
        <v>0.45</v>
      </c>
      <c r="AQ18" s="107" t="n">
        <v>1.02</v>
      </c>
      <c r="AR18" s="107" t="inlineStr">
        <is>
          <t>Distress</t>
        </is>
      </c>
      <c r="AS18" s="108" t="n">
        <v>0.18</v>
      </c>
      <c r="AT18" s="108" t="n">
        <v>0.08</v>
      </c>
      <c r="AU18" s="108" t="n">
        <v>0.06</v>
      </c>
      <c r="AV18" s="108" t="n">
        <v>0.45</v>
      </c>
      <c r="AW18" s="107" t="n">
        <v>2.32</v>
      </c>
      <c r="AX18" s="107" t="inlineStr">
        <is>
          <t>Grey</t>
        </is>
      </c>
      <c r="AY18" s="108" t="n">
        <v>0.18</v>
      </c>
      <c r="AZ18" s="108" t="n">
        <v>0.06</v>
      </c>
      <c r="BA18" s="108" t="n">
        <v>0.33</v>
      </c>
      <c r="BB18" s="108" t="n">
        <v>0.45</v>
      </c>
      <c r="BC18" s="107" t="n">
        <v>0.76</v>
      </c>
      <c r="BD18" s="107" t="inlineStr">
        <is>
          <t>Distress</t>
        </is>
      </c>
      <c r="BE18" s="108" t="n">
        <v>0.03</v>
      </c>
      <c r="BF18" s="108" t="n">
        <v>0.6899999999999999</v>
      </c>
      <c r="BG18" s="108" t="n">
        <v>2.71</v>
      </c>
      <c r="BH18" s="108" t="n">
        <v>-0.55</v>
      </c>
      <c r="BI18" s="107" t="n">
        <v>0.37</v>
      </c>
      <c r="BJ18" s="107" t="inlineStr">
        <is>
          <t>Healthy</t>
        </is>
      </c>
      <c r="BK18" s="107" t="n">
        <v>1</v>
      </c>
      <c r="BL18" s="107" t="n">
        <v>1</v>
      </c>
      <c r="BM18" s="107" t="n">
        <v>1</v>
      </c>
      <c r="BN18" s="107" t="n">
        <v>1</v>
      </c>
      <c r="BO18" s="107" t="n">
        <v>1</v>
      </c>
      <c r="BP18" s="107" t="n">
        <v>0</v>
      </c>
      <c r="BQ18" s="107" t="n">
        <v>1</v>
      </c>
      <c r="BR18" s="107" t="n">
        <v>0</v>
      </c>
      <c r="BS18" s="107" t="n">
        <v>1</v>
      </c>
      <c r="BT18" s="107" t="n">
        <v>7</v>
      </c>
      <c r="BU18" s="107" t="inlineStr">
        <is>
          <t>Strong</t>
        </is>
      </c>
      <c r="BV18" s="108" t="n">
        <v>0.97</v>
      </c>
      <c r="BW18" s="108" t="n">
        <v>1.02</v>
      </c>
      <c r="BX18" s="108" t="n">
        <v>1</v>
      </c>
      <c r="BY18" s="108" t="n">
        <v>1.1</v>
      </c>
      <c r="BZ18" s="108" t="n">
        <v>1.04</v>
      </c>
      <c r="CA18" s="108" t="n">
        <v>0.98</v>
      </c>
      <c r="CB18" s="108" t="n">
        <v>0.95</v>
      </c>
      <c r="CC18" s="108" t="n">
        <v>-0.04</v>
      </c>
      <c r="CD18" s="107" t="n">
        <v>-2.58</v>
      </c>
      <c r="CE18" s="107" t="inlineStr">
        <is>
          <t>Lower Risk</t>
        </is>
      </c>
      <c r="CF18" s="108" t="n">
        <v>4.34</v>
      </c>
      <c r="CG18" s="108" t="n">
        <v>54.29</v>
      </c>
      <c r="CH18" s="107" t="n">
        <v>0</v>
      </c>
      <c r="CI18" s="107" t="inlineStr">
        <is>
          <t>CLEAR</t>
        </is>
      </c>
    </row>
    <row r="19" ht="17" customHeight="1">
      <c r="A19" s="103" t="inlineStr">
        <is>
          <t>ACAD</t>
        </is>
      </c>
      <c r="B19" s="103" t="inlineStr">
        <is>
          <t>ACADIA PHARMACEUTICALS INC</t>
        </is>
      </c>
      <c r="C19" s="104" t="n">
        <v>784999000</v>
      </c>
      <c r="D19" s="105" t="n">
        <v>0.14</v>
      </c>
      <c r="E19" s="105" t="n">
        <v>0.19</v>
      </c>
      <c r="F19" s="105" t="n">
        <v>0.54</v>
      </c>
      <c r="G19" s="105" t="n">
        <v>0.25</v>
      </c>
      <c r="H19" s="105" t="n">
        <v>0.19</v>
      </c>
      <c r="I19" s="105" t="n">
        <v>0.32</v>
      </c>
      <c r="J19" s="105" t="n">
        <v>0.08</v>
      </c>
      <c r="K19" s="105" t="n">
        <v>0.9399999999999999</v>
      </c>
      <c r="L19" s="105" t="n">
        <v>0.92</v>
      </c>
      <c r="M19" s="105" t="n">
        <v>0.46</v>
      </c>
      <c r="N19" s="104" t="n">
        <v>0.19</v>
      </c>
      <c r="O19" s="104" t="n">
        <v>3.83</v>
      </c>
      <c r="P19" s="104" t="n">
        <v>2.38</v>
      </c>
      <c r="Q19" s="104" t="n">
        <v>3.43</v>
      </c>
      <c r="R19" s="104" t="n">
        <v>0.64</v>
      </c>
      <c r="S19" s="104" t="n">
        <v>0.22</v>
      </c>
      <c r="T19" s="104" t="n">
        <v>0.38</v>
      </c>
      <c r="U19" s="104" t="n">
        <v>0</v>
      </c>
      <c r="V19" s="104" t="n">
        <v>-0.14</v>
      </c>
      <c r="W19" s="104" t="n">
        <v>0.28</v>
      </c>
      <c r="X19" s="105" t="n">
        <v>0.14</v>
      </c>
      <c r="Y19" s="105" t="n">
        <v>0.45</v>
      </c>
      <c r="Z19" s="105" t="n">
        <v>13101.38</v>
      </c>
      <c r="AA19" s="105" t="n">
        <v>2.14</v>
      </c>
      <c r="AB19" s="105" t="n">
        <v>0.73</v>
      </c>
      <c r="AC19" s="104" t="n">
        <v>0.18</v>
      </c>
      <c r="AD19" s="104" t="n">
        <v>0.18</v>
      </c>
      <c r="AE19" s="104" t="n">
        <v>0.5</v>
      </c>
      <c r="AF19" s="104" t="n">
        <v>-1.16</v>
      </c>
      <c r="AG19" s="104" t="n">
        <v>0.07000000000000001</v>
      </c>
      <c r="AH19" s="104" t="n">
        <v>3.64</v>
      </c>
      <c r="AI19" s="104" t="n">
        <v>0.46</v>
      </c>
      <c r="AJ19" s="104" t="n">
        <v>1.85</v>
      </c>
      <c r="AK19" s="106" t="inlineStr">
        <is>
          <t>Grey</t>
        </is>
      </c>
      <c r="AL19" s="104" t="n">
        <v>0.5</v>
      </c>
      <c r="AM19" s="104" t="n">
        <v>-1.16</v>
      </c>
      <c r="AN19" s="104" t="n">
        <v>0.07000000000000001</v>
      </c>
      <c r="AO19" s="104" t="n">
        <v>3.64</v>
      </c>
      <c r="AP19" s="104" t="n">
        <v>0.46</v>
      </c>
      <c r="AQ19" s="103" t="n">
        <v>1.58</v>
      </c>
      <c r="AR19" s="103" t="inlineStr">
        <is>
          <t>Grey</t>
        </is>
      </c>
      <c r="AS19" s="104" t="n">
        <v>0.5</v>
      </c>
      <c r="AT19" s="104" t="n">
        <v>-1.16</v>
      </c>
      <c r="AU19" s="104" t="n">
        <v>0.07000000000000001</v>
      </c>
      <c r="AV19" s="104" t="n">
        <v>3.64</v>
      </c>
      <c r="AW19" s="103" t="n">
        <v>3.79</v>
      </c>
      <c r="AX19" s="103" t="inlineStr">
        <is>
          <t>Safe</t>
        </is>
      </c>
      <c r="AY19" s="104" t="n">
        <v>0.5</v>
      </c>
      <c r="AZ19" s="104" t="n">
        <v>0.07000000000000001</v>
      </c>
      <c r="BA19" s="104" t="n">
        <v>0.5</v>
      </c>
      <c r="BB19" s="104" t="n">
        <v>0.46</v>
      </c>
      <c r="BC19" s="103" t="n">
        <v>1.24</v>
      </c>
      <c r="BD19" s="103" t="inlineStr">
        <is>
          <t>Healthy</t>
        </is>
      </c>
      <c r="BE19" s="104" t="n">
        <v>0.25</v>
      </c>
      <c r="BF19" s="104" t="n">
        <v>0.22</v>
      </c>
      <c r="BG19" s="104" t="n">
        <v>3.83</v>
      </c>
      <c r="BH19" s="104" t="n">
        <v>-4.23</v>
      </c>
      <c r="BI19" s="103" t="n">
        <v>0.01</v>
      </c>
      <c r="BJ19" s="103" t="inlineStr">
        <is>
          <t>Healthy</t>
        </is>
      </c>
      <c r="BK19" s="103" t="n">
        <v>1</v>
      </c>
      <c r="BL19" s="103" t="n">
        <v>1</v>
      </c>
      <c r="BM19" s="103" t="n">
        <v>1</v>
      </c>
      <c r="BN19" s="103" t="n">
        <v>0</v>
      </c>
      <c r="BO19" s="103" t="n">
        <v>0</v>
      </c>
      <c r="BP19" s="103" t="n">
        <v>1</v>
      </c>
      <c r="BQ19" s="103" t="n">
        <v>0</v>
      </c>
      <c r="BR19" s="103" t="n">
        <v>1</v>
      </c>
      <c r="BS19" s="103" t="n">
        <v>1</v>
      </c>
      <c r="BT19" s="103" t="n">
        <v>6</v>
      </c>
      <c r="BU19" s="103" t="inlineStr">
        <is>
          <t>Mixed</t>
        </is>
      </c>
      <c r="BV19" s="104" t="n">
        <v>0.39</v>
      </c>
      <c r="BW19" s="104" t="n">
        <v>0.98</v>
      </c>
      <c r="BX19" s="104" t="n">
        <v>1.53</v>
      </c>
      <c r="BY19" s="104" t="n">
        <v>3.14</v>
      </c>
      <c r="BZ19" s="104" t="n">
        <v>0.6899999999999999</v>
      </c>
      <c r="CA19" s="104" t="n">
        <v>0.36</v>
      </c>
      <c r="CB19" s="104" t="n">
        <v>0.5600000000000001</v>
      </c>
      <c r="CC19" s="104" t="n">
        <v>0.18</v>
      </c>
      <c r="CD19" s="103" t="n">
        <v>0.13</v>
      </c>
      <c r="CE19" s="103" t="inlineStr">
        <is>
          <t>Higher Risk</t>
        </is>
      </c>
      <c r="CF19" s="104" t="n">
        <v>-1.69</v>
      </c>
      <c r="CG19" s="104" t="n">
        <v>50.07</v>
      </c>
      <c r="CH19" s="112" t="n">
        <v>80</v>
      </c>
      <c r="CI19" s="103" t="inlineStr">
        <is>
          <t>RED FLAG</t>
        </is>
      </c>
    </row>
    <row r="20" ht="17" customHeight="1">
      <c r="A20" s="107" t="inlineStr">
        <is>
          <t>NEM</t>
        </is>
      </c>
      <c r="B20" s="107" t="inlineStr">
        <is>
          <t>NEWMONT CORPORATION</t>
        </is>
      </c>
      <c r="C20" s="108" t="n">
        <v>7354000000</v>
      </c>
      <c r="D20" s="109" t="n">
        <v>1.69</v>
      </c>
      <c r="E20" s="109" t="n">
        <v>1.69</v>
      </c>
      <c r="F20" s="109" t="n">
        <v>1.06</v>
      </c>
      <c r="G20" s="109" t="n">
        <v>0.12</v>
      </c>
      <c r="H20" s="109" t="n">
        <v>0.06</v>
      </c>
      <c r="I20" s="109" t="n">
        <v>0.21</v>
      </c>
      <c r="J20" s="109" t="n">
        <v>0.22</v>
      </c>
      <c r="K20" s="109" t="n">
        <v>0.12</v>
      </c>
      <c r="L20" s="109" t="n">
        <v>0.09</v>
      </c>
      <c r="M20" s="109" t="n">
        <v>0.12</v>
      </c>
      <c r="N20" s="108" t="n">
        <v>0.14</v>
      </c>
      <c r="O20" s="108" t="n">
        <v>2.29</v>
      </c>
      <c r="P20" s="108" t="n">
        <v>1.63</v>
      </c>
      <c r="Q20" s="108" t="n">
        <v>2.16</v>
      </c>
      <c r="R20" s="108" t="n">
        <v>1.34</v>
      </c>
      <c r="S20" s="108" t="n">
        <v>0.4</v>
      </c>
      <c r="T20" s="108" t="n">
        <v>0.47</v>
      </c>
      <c r="U20" s="108" t="n">
        <v>0.15</v>
      </c>
      <c r="V20" s="108" t="n">
        <v>-0.07000000000000001</v>
      </c>
      <c r="W20" s="108" t="n">
        <v>1.46</v>
      </c>
      <c r="X20" s="109" t="n">
        <v>1.09</v>
      </c>
      <c r="Y20" s="109" t="n">
        <v>0.02</v>
      </c>
      <c r="Z20" s="109" t="n">
        <v>45.55</v>
      </c>
      <c r="AA20" s="109" t="n">
        <v>-0.13</v>
      </c>
      <c r="AB20" s="109" t="n">
        <v>1.12</v>
      </c>
      <c r="AC20" s="108" t="n">
        <v>-0.06</v>
      </c>
      <c r="AD20" s="108" t="n">
        <v>-0.06</v>
      </c>
      <c r="AE20" s="108" t="n">
        <v>0.13</v>
      </c>
      <c r="AF20" s="108" t="n">
        <v>0.06</v>
      </c>
      <c r="AG20" s="108" t="n">
        <v>0.2</v>
      </c>
      <c r="AH20" s="108" t="n">
        <v>1.47</v>
      </c>
      <c r="AI20" s="108" t="n">
        <v>0.12</v>
      </c>
      <c r="AJ20" s="108" t="n">
        <v>1.89</v>
      </c>
      <c r="AK20" s="106" t="inlineStr">
        <is>
          <t>Grey</t>
        </is>
      </c>
      <c r="AL20" s="108" t="n">
        <v>0.13</v>
      </c>
      <c r="AM20" s="108" t="n">
        <v>0.06</v>
      </c>
      <c r="AN20" s="108" t="n">
        <v>0.2</v>
      </c>
      <c r="AO20" s="108" t="n">
        <v>1.47</v>
      </c>
      <c r="AP20" s="108" t="n">
        <v>0.12</v>
      </c>
      <c r="AQ20" s="107" t="n">
        <v>1.49</v>
      </c>
      <c r="AR20" s="107" t="inlineStr">
        <is>
          <t>Grey</t>
        </is>
      </c>
      <c r="AS20" s="108" t="n">
        <v>0.13</v>
      </c>
      <c r="AT20" s="108" t="n">
        <v>0.06</v>
      </c>
      <c r="AU20" s="108" t="n">
        <v>0.2</v>
      </c>
      <c r="AV20" s="108" t="n">
        <v>1.47</v>
      </c>
      <c r="AW20" s="107" t="n">
        <v>3.92</v>
      </c>
      <c r="AX20" s="107" t="inlineStr">
        <is>
          <t>Safe</t>
        </is>
      </c>
      <c r="AY20" s="108" t="n">
        <v>0.13</v>
      </c>
      <c r="AZ20" s="108" t="n">
        <v>0.2</v>
      </c>
      <c r="BA20" s="108" t="n">
        <v>1.99</v>
      </c>
      <c r="BB20" s="108" t="n">
        <v>0.12</v>
      </c>
      <c r="BC20" s="107" t="n">
        <v>2.1</v>
      </c>
      <c r="BD20" s="107" t="inlineStr">
        <is>
          <t>Healthy</t>
        </is>
      </c>
      <c r="BE20" s="108" t="n">
        <v>0.12</v>
      </c>
      <c r="BF20" s="108" t="n">
        <v>0.4</v>
      </c>
      <c r="BG20" s="108" t="n">
        <v>2.29</v>
      </c>
      <c r="BH20" s="108" t="n">
        <v>-2.59</v>
      </c>
      <c r="BI20" s="107" t="n">
        <v>0.07000000000000001</v>
      </c>
      <c r="BJ20" s="107" t="inlineStr">
        <is>
          <t>Healthy</t>
        </is>
      </c>
      <c r="BK20" s="107" t="n">
        <v>1</v>
      </c>
      <c r="BL20" s="107" t="n">
        <v>1</v>
      </c>
      <c r="BM20" s="107" t="n">
        <v>1</v>
      </c>
      <c r="BN20" s="107" t="n">
        <v>1</v>
      </c>
      <c r="BO20" s="107" t="n">
        <v>1</v>
      </c>
      <c r="BP20" s="107" t="n">
        <v>1</v>
      </c>
      <c r="BQ20" s="107" t="n">
        <v>1</v>
      </c>
      <c r="BR20" s="107" t="n">
        <v>1</v>
      </c>
      <c r="BS20" s="107" t="n">
        <v>0</v>
      </c>
      <c r="BT20" s="107" t="n">
        <v>8</v>
      </c>
      <c r="BU20" s="107" t="inlineStr">
        <is>
          <t>Strong</t>
        </is>
      </c>
      <c r="BV20" s="108" t="n">
        <v>1.16</v>
      </c>
      <c r="BW20" s="108" t="n">
        <v>0.79</v>
      </c>
      <c r="BX20" s="108" t="n">
        <v>0.58</v>
      </c>
      <c r="BY20" s="108" t="n">
        <v>0.87</v>
      </c>
      <c r="BZ20" s="108" t="n">
        <v>2.16</v>
      </c>
      <c r="CA20" s="108" t="n">
        <v>1</v>
      </c>
      <c r="CB20" s="108" t="n">
        <v>0.87</v>
      </c>
      <c r="CC20" s="108" t="n">
        <v>-0.06</v>
      </c>
      <c r="CD20" s="107" t="n">
        <v>-2.81</v>
      </c>
      <c r="CE20" s="107" t="inlineStr">
        <is>
          <t>Lower Risk</t>
        </is>
      </c>
      <c r="CF20" s="108" t="n">
        <v>-0.2</v>
      </c>
      <c r="CG20" s="108" t="n">
        <v>61.41</v>
      </c>
      <c r="CH20" s="107" t="n">
        <v>0</v>
      </c>
      <c r="CI20" s="107" t="inlineStr">
        <is>
          <t>CLEAR</t>
        </is>
      </c>
    </row>
    <row r="21" ht="17" customHeight="1">
      <c r="A21" s="103" t="inlineStr">
        <is>
          <t>NFLX</t>
        </is>
      </c>
      <c r="B21" s="103" t="inlineStr">
        <is>
          <t>Netflix, Inc.</t>
        </is>
      </c>
      <c r="C21" s="104" t="n">
        <v>2039261000</v>
      </c>
      <c r="D21" s="105" t="n">
        <v>0.29</v>
      </c>
      <c r="E21" s="105" t="n">
        <v>0.28</v>
      </c>
      <c r="F21" s="105" t="n">
        <v>0.24</v>
      </c>
      <c r="G21" s="105" t="n">
        <v>0.2</v>
      </c>
      <c r="H21" s="105" t="n">
        <v>0.16</v>
      </c>
      <c r="I21" s="105" t="n">
        <v>0.41</v>
      </c>
      <c r="J21" s="105" t="n">
        <v>0.3</v>
      </c>
      <c r="K21" s="105" t="n">
        <v>0.05</v>
      </c>
      <c r="L21" s="105" t="n">
        <v>0.07000000000000001</v>
      </c>
      <c r="M21" s="105" t="n">
        <v>0.8100000000000001</v>
      </c>
      <c r="N21" s="104" t="n">
        <v>0.73</v>
      </c>
      <c r="O21" s="104" t="n">
        <v>1.19</v>
      </c>
      <c r="P21" s="104" t="n">
        <v>1.22</v>
      </c>
      <c r="Q21" s="104" t="n">
        <v>1.19</v>
      </c>
      <c r="R21" s="104" t="n">
        <v>0.82</v>
      </c>
      <c r="S21" s="104" t="n">
        <v>0.52</v>
      </c>
      <c r="T21" s="104" t="n">
        <v>0.54</v>
      </c>
      <c r="U21" s="104" t="n">
        <v>0.86</v>
      </c>
      <c r="V21" s="104" t="n">
        <v>0.52</v>
      </c>
      <c r="W21" s="104" t="n">
        <v>0.92</v>
      </c>
      <c r="X21" s="105" t="n">
        <v>0.21</v>
      </c>
      <c r="Y21" s="105" t="n">
        <v>0.08</v>
      </c>
      <c r="Z21" s="105" t="n">
        <v>19.04</v>
      </c>
      <c r="AA21" s="105" t="n">
        <v>0.16</v>
      </c>
      <c r="AB21" s="105" t="n">
        <v>0.26</v>
      </c>
      <c r="AC21" s="104" t="n">
        <v>0.01</v>
      </c>
      <c r="AD21" s="104" t="n">
        <v>0.01</v>
      </c>
      <c r="AE21" s="104" t="n">
        <v>0.04</v>
      </c>
      <c r="AF21" s="104" t="n">
        <v>0.76</v>
      </c>
      <c r="AG21" s="104" t="n">
        <v>0.24</v>
      </c>
      <c r="AH21" s="104" t="n">
        <v>0.92</v>
      </c>
      <c r="AI21" s="104" t="n">
        <v>0.8100000000000001</v>
      </c>
      <c r="AJ21" s="104" t="n">
        <v>3.26</v>
      </c>
      <c r="AK21" s="110" t="inlineStr">
        <is>
          <t>Safe</t>
        </is>
      </c>
      <c r="AL21" s="104" t="n">
        <v>0.04</v>
      </c>
      <c r="AM21" s="104" t="n">
        <v>0.76</v>
      </c>
      <c r="AN21" s="104" t="n">
        <v>0.24</v>
      </c>
      <c r="AO21" s="104" t="n">
        <v>0.92</v>
      </c>
      <c r="AP21" s="104" t="n">
        <v>0.8100000000000001</v>
      </c>
      <c r="AQ21" s="103" t="n">
        <v>2.61</v>
      </c>
      <c r="AR21" s="103" t="inlineStr">
        <is>
          <t>Grey</t>
        </is>
      </c>
      <c r="AS21" s="104" t="n">
        <v>0.04</v>
      </c>
      <c r="AT21" s="104" t="n">
        <v>0.76</v>
      </c>
      <c r="AU21" s="104" t="n">
        <v>0.24</v>
      </c>
      <c r="AV21" s="104" t="n">
        <v>0.92</v>
      </c>
      <c r="AW21" s="103" t="n">
        <v>5.29</v>
      </c>
      <c r="AX21" s="103" t="inlineStr">
        <is>
          <t>Safe</t>
        </is>
      </c>
      <c r="AY21" s="104" t="n">
        <v>0.04</v>
      </c>
      <c r="AZ21" s="104" t="n">
        <v>0.24</v>
      </c>
      <c r="BA21" s="104" t="n">
        <v>1.16</v>
      </c>
      <c r="BB21" s="104" t="n">
        <v>0.8100000000000001</v>
      </c>
      <c r="BC21" s="103" t="n">
        <v>1.86</v>
      </c>
      <c r="BD21" s="103" t="inlineStr">
        <is>
          <t>Healthy</t>
        </is>
      </c>
      <c r="BE21" s="104" t="n">
        <v>0.2</v>
      </c>
      <c r="BF21" s="104" t="n">
        <v>0.52</v>
      </c>
      <c r="BG21" s="104" t="n">
        <v>1.19</v>
      </c>
      <c r="BH21" s="104" t="n">
        <v>-2.26</v>
      </c>
      <c r="BI21" s="103" t="n">
        <v>0.09</v>
      </c>
      <c r="BJ21" s="103" t="inlineStr">
        <is>
          <t>Healthy</t>
        </is>
      </c>
      <c r="BK21" s="103" t="n">
        <v>1</v>
      </c>
      <c r="BL21" s="103" t="n">
        <v>1</v>
      </c>
      <c r="BM21" s="103" t="n">
        <v>1</v>
      </c>
      <c r="BN21" s="103" t="n">
        <v>0</v>
      </c>
      <c r="BO21" s="103" t="n">
        <v>0</v>
      </c>
      <c r="BP21" s="103" t="n">
        <v>0</v>
      </c>
      <c r="BQ21" s="103" t="n">
        <v>0</v>
      </c>
      <c r="BR21" s="103" t="n">
        <v>0</v>
      </c>
      <c r="BS21" s="103" t="n">
        <v>1</v>
      </c>
      <c r="BT21" s="103" t="n">
        <v>4</v>
      </c>
      <c r="BU21" s="103" t="inlineStr">
        <is>
          <t>Mixed</t>
        </is>
      </c>
      <c r="BV21" s="113" t="inlineStr">
        <is>
          <t>N/A</t>
        </is>
      </c>
      <c r="BW21" s="104" t="n">
        <v>1.2</v>
      </c>
      <c r="BX21" s="104" t="n">
        <v>1.01</v>
      </c>
      <c r="BY21" s="104" t="n">
        <v>1.16</v>
      </c>
      <c r="BZ21" s="104" t="n">
        <v>1.2</v>
      </c>
      <c r="CA21" s="104" t="n">
        <v>0.96</v>
      </c>
      <c r="CB21" s="104" t="n">
        <v>0.97</v>
      </c>
      <c r="CC21" s="104" t="n">
        <v>0.01</v>
      </c>
      <c r="CD21" s="113" t="inlineStr">
        <is>
          <t>N/A</t>
        </is>
      </c>
      <c r="CE21" s="113" t="inlineStr">
        <is>
          <t>N/A</t>
        </is>
      </c>
      <c r="CF21" s="104" t="n">
        <v>1.03</v>
      </c>
      <c r="CG21" s="104" t="n">
        <v>49.07</v>
      </c>
      <c r="CH21" s="103" t="n">
        <v>0</v>
      </c>
      <c r="CI21" s="103" t="inlineStr">
        <is>
          <t>CLEAR</t>
        </is>
      </c>
    </row>
    <row r="22" ht="17" customHeight="1">
      <c r="A22" s="107" t="inlineStr">
        <is>
          <t>BWA</t>
        </is>
      </c>
      <c r="B22" s="107" t="inlineStr">
        <is>
          <t>BORGWARNER INC</t>
        </is>
      </c>
      <c r="C22" s="108" t="n">
        <v>3513000000</v>
      </c>
      <c r="D22" s="109" t="n">
        <v>0.04</v>
      </c>
      <c r="E22" s="109" t="n">
        <v>0.04</v>
      </c>
      <c r="F22" s="109" t="n">
        <v>0.02</v>
      </c>
      <c r="G22" s="109" t="n">
        <v>0.02</v>
      </c>
      <c r="H22" s="109" t="n">
        <v>0.02</v>
      </c>
      <c r="I22" s="109" t="n">
        <v>0.05</v>
      </c>
      <c r="J22" s="109" t="n">
        <v>0.05</v>
      </c>
      <c r="K22" s="109" t="n">
        <v>0.19</v>
      </c>
      <c r="L22" s="109" t="n">
        <v>0.19</v>
      </c>
      <c r="M22" s="109" t="n">
        <v>1.04</v>
      </c>
      <c r="N22" s="108" t="n">
        <v>1.01</v>
      </c>
      <c r="O22" s="108" t="n">
        <v>2.07</v>
      </c>
      <c r="P22" s="108" t="n">
        <v>1.79</v>
      </c>
      <c r="Q22" s="108" t="n">
        <v>1.7</v>
      </c>
      <c r="R22" s="108" t="n">
        <v>0.5600000000000001</v>
      </c>
      <c r="S22" s="108" t="n">
        <v>0.59</v>
      </c>
      <c r="T22" s="108" t="n">
        <v>0.59</v>
      </c>
      <c r="U22" s="108" t="n">
        <v>0.38</v>
      </c>
      <c r="V22" s="108" t="n">
        <v>0.04</v>
      </c>
      <c r="W22" s="108" t="n">
        <v>5.66</v>
      </c>
      <c r="X22" s="109" t="n">
        <v>0.08</v>
      </c>
      <c r="Y22" s="109" t="n">
        <v>0.05</v>
      </c>
      <c r="Z22" s="109" t="n">
        <v>5.41</v>
      </c>
      <c r="AA22" s="109" t="n">
        <v>0.02</v>
      </c>
      <c r="AB22" s="109" t="n">
        <v>-0.18</v>
      </c>
      <c r="AC22" s="108" t="n">
        <v>-0.09</v>
      </c>
      <c r="AD22" s="108" t="n">
        <v>-0.09</v>
      </c>
      <c r="AE22" s="108" t="n">
        <v>0.26</v>
      </c>
      <c r="AF22" s="108" t="n">
        <v>0.48</v>
      </c>
      <c r="AG22" s="108" t="n">
        <v>0.04</v>
      </c>
      <c r="AH22" s="108" t="n">
        <v>0.67</v>
      </c>
      <c r="AI22" s="108" t="n">
        <v>1.04</v>
      </c>
      <c r="AJ22" s="108" t="n">
        <v>2.54</v>
      </c>
      <c r="AK22" s="106" t="inlineStr">
        <is>
          <t>Grey</t>
        </is>
      </c>
      <c r="AL22" s="108" t="n">
        <v>0.26</v>
      </c>
      <c r="AM22" s="108" t="n">
        <v>0.48</v>
      </c>
      <c r="AN22" s="108" t="n">
        <v>0.04</v>
      </c>
      <c r="AO22" s="108" t="n">
        <v>0.67</v>
      </c>
      <c r="AP22" s="108" t="n">
        <v>1.04</v>
      </c>
      <c r="AQ22" s="107" t="n">
        <v>2.03</v>
      </c>
      <c r="AR22" s="107" t="inlineStr">
        <is>
          <t>Grey</t>
        </is>
      </c>
      <c r="AS22" s="108" t="n">
        <v>0.26</v>
      </c>
      <c r="AT22" s="108" t="n">
        <v>0.48</v>
      </c>
      <c r="AU22" s="108" t="n">
        <v>0.04</v>
      </c>
      <c r="AV22" s="108" t="n">
        <v>0.67</v>
      </c>
      <c r="AW22" s="107" t="n">
        <v>4.19</v>
      </c>
      <c r="AX22" s="107" t="inlineStr">
        <is>
          <t>Safe</t>
        </is>
      </c>
      <c r="AY22" s="108" t="n">
        <v>0.26</v>
      </c>
      <c r="AZ22" s="108" t="n">
        <v>0.04</v>
      </c>
      <c r="BA22" s="108" t="n">
        <v>0.16</v>
      </c>
      <c r="BB22" s="108" t="n">
        <v>1.04</v>
      </c>
      <c r="BC22" s="107" t="n">
        <v>0.9</v>
      </c>
      <c r="BD22" s="107" t="inlineStr">
        <is>
          <t>Healthy</t>
        </is>
      </c>
      <c r="BE22" s="108" t="n">
        <v>0.02</v>
      </c>
      <c r="BF22" s="108" t="n">
        <v>0.59</v>
      </c>
      <c r="BG22" s="108" t="n">
        <v>2.07</v>
      </c>
      <c r="BH22" s="108" t="n">
        <v>-1.05</v>
      </c>
      <c r="BI22" s="107" t="n">
        <v>0.26</v>
      </c>
      <c r="BJ22" s="107" t="inlineStr">
        <is>
          <t>Healthy</t>
        </is>
      </c>
      <c r="BK22" s="107" t="n">
        <v>1</v>
      </c>
      <c r="BL22" s="107" t="n">
        <v>1</v>
      </c>
      <c r="BM22" s="107" t="n">
        <v>0</v>
      </c>
      <c r="BN22" s="107" t="n">
        <v>1</v>
      </c>
      <c r="BO22" s="107" t="n">
        <v>1</v>
      </c>
      <c r="BP22" s="107" t="n">
        <v>1</v>
      </c>
      <c r="BQ22" s="107" t="n">
        <v>1</v>
      </c>
      <c r="BR22" s="107" t="n">
        <v>0</v>
      </c>
      <c r="BS22" s="107" t="n">
        <v>1</v>
      </c>
      <c r="BT22" s="107" t="n">
        <v>7</v>
      </c>
      <c r="BU22" s="107" t="inlineStr">
        <is>
          <t>Strong</t>
        </is>
      </c>
      <c r="BV22" s="108" t="n">
        <v>1.03</v>
      </c>
      <c r="BW22" s="108" t="n">
        <v>1.01</v>
      </c>
      <c r="BX22" s="108" t="n">
        <v>0.9</v>
      </c>
      <c r="BY22" s="108" t="n">
        <v>1.02</v>
      </c>
      <c r="BZ22" s="108" t="n">
        <v>0.8100000000000001</v>
      </c>
      <c r="CA22" s="108" t="n">
        <v>0.95</v>
      </c>
      <c r="CB22" s="108" t="n">
        <v>1</v>
      </c>
      <c r="CC22" s="108" t="n">
        <v>-0.09</v>
      </c>
      <c r="CD22" s="107" t="n">
        <v>-2.93</v>
      </c>
      <c r="CE22" s="107" t="inlineStr">
        <is>
          <t>Lower Risk</t>
        </is>
      </c>
      <c r="CF22" s="108" t="n">
        <v>0.19</v>
      </c>
      <c r="CG22" s="108" t="n">
        <v>58.26</v>
      </c>
      <c r="CH22" s="107" t="n">
        <v>0</v>
      </c>
      <c r="CI22" s="107" t="inlineStr">
        <is>
          <t>CLEAR</t>
        </is>
      </c>
    </row>
    <row r="23" ht="17" customHeight="1">
      <c r="A23" s="103" t="inlineStr">
        <is>
          <t>CCL</t>
        </is>
      </c>
      <c r="B23" s="103" t="inlineStr">
        <is>
          <t>Carnival Corporation Ltd.</t>
        </is>
      </c>
      <c r="C23" s="104" t="n">
        <v>-8873000000</v>
      </c>
      <c r="D23" s="105" t="n">
        <v>0.24</v>
      </c>
      <c r="E23" s="105" t="n">
        <v>0.15</v>
      </c>
      <c r="F23" s="105" t="n">
        <v>0.15</v>
      </c>
      <c r="G23" s="105" t="n">
        <v>0.05</v>
      </c>
      <c r="H23" s="105" t="n">
        <v>0.04</v>
      </c>
      <c r="I23" s="105" t="n">
        <v>0.22</v>
      </c>
      <c r="J23" s="105" t="n">
        <v>0.12</v>
      </c>
      <c r="K23" s="105" t="n">
        <v>0.17</v>
      </c>
      <c r="L23" s="105" t="n">
        <v>0.18</v>
      </c>
      <c r="M23" s="105" t="n">
        <v>0.37</v>
      </c>
      <c r="N23" s="104" t="n">
        <v>0.36</v>
      </c>
      <c r="O23" s="104" t="n">
        <v>0.32</v>
      </c>
      <c r="P23" s="104" t="n">
        <v>0.29</v>
      </c>
      <c r="Q23" s="104" t="n">
        <v>0.28</v>
      </c>
      <c r="R23" s="104" t="n">
        <v>0.15</v>
      </c>
      <c r="S23" s="104" t="n">
        <v>1</v>
      </c>
      <c r="T23" s="104" t="n">
        <v>1</v>
      </c>
      <c r="U23" s="104" t="n">
        <v>2.23</v>
      </c>
      <c r="V23" s="104" t="n">
        <v>2.07</v>
      </c>
      <c r="W23" s="104" t="n">
        <v>2.25</v>
      </c>
      <c r="X23" s="105" t="n">
        <v>0.14</v>
      </c>
      <c r="Y23" s="113" t="inlineStr">
        <is>
          <t>N/A</t>
        </is>
      </c>
      <c r="Z23" s="105" t="n">
        <v>2.17</v>
      </c>
      <c r="AA23" s="105" t="n">
        <v>0.08</v>
      </c>
      <c r="AB23" s="105" t="n">
        <v>0.44</v>
      </c>
      <c r="AC23" s="104" t="n">
        <v>-0.07000000000000001</v>
      </c>
      <c r="AD23" s="104" t="n">
        <v>-0.07000000000000001</v>
      </c>
      <c r="AE23" s="104" t="n">
        <v>-0.17</v>
      </c>
      <c r="AF23" s="104" t="n">
        <v>0.09</v>
      </c>
      <c r="AG23" s="104" t="n">
        <v>0.09</v>
      </c>
      <c r="AH23" s="104" t="n">
        <v>0.24</v>
      </c>
      <c r="AI23" s="104" t="n">
        <v>0.37</v>
      </c>
      <c r="AJ23" s="104" t="n">
        <v>0.72</v>
      </c>
      <c r="AK23" s="112" t="inlineStr">
        <is>
          <t>Distress</t>
        </is>
      </c>
      <c r="AL23" s="104" t="n">
        <v>-0.17</v>
      </c>
      <c r="AM23" s="104" t="n">
        <v>0.09</v>
      </c>
      <c r="AN23" s="104" t="n">
        <v>0.09</v>
      </c>
      <c r="AO23" s="104" t="n">
        <v>0.24</v>
      </c>
      <c r="AP23" s="104" t="n">
        <v>0.37</v>
      </c>
      <c r="AQ23" s="103" t="n">
        <v>0.6899999999999999</v>
      </c>
      <c r="AR23" s="103" t="inlineStr">
        <is>
          <t>Distress</t>
        </is>
      </c>
      <c r="AS23" s="104" t="n">
        <v>-0.17</v>
      </c>
      <c r="AT23" s="104" t="n">
        <v>0.09</v>
      </c>
      <c r="AU23" s="104" t="n">
        <v>0.09</v>
      </c>
      <c r="AV23" s="104" t="n">
        <v>0.24</v>
      </c>
      <c r="AW23" s="103" t="n">
        <v>0.01</v>
      </c>
      <c r="AX23" s="103" t="inlineStr">
        <is>
          <t>Distress</t>
        </is>
      </c>
      <c r="AY23" s="104" t="n">
        <v>-0.17</v>
      </c>
      <c r="AZ23" s="104" t="n">
        <v>0.09</v>
      </c>
      <c r="BA23" s="104" t="n">
        <v>0.21</v>
      </c>
      <c r="BB23" s="104" t="n">
        <v>0.37</v>
      </c>
      <c r="BC23" s="103" t="n">
        <v>0.38</v>
      </c>
      <c r="BD23" s="103" t="inlineStr">
        <is>
          <t>Distress</t>
        </is>
      </c>
      <c r="BE23" s="104" t="n">
        <v>0.05</v>
      </c>
      <c r="BF23" s="104" t="n">
        <v>1</v>
      </c>
      <c r="BG23" s="104" t="n">
        <v>0.32</v>
      </c>
      <c r="BH23" s="104" t="n">
        <v>1.1</v>
      </c>
      <c r="BI23" s="103" t="n">
        <v>0.75</v>
      </c>
      <c r="BJ23" s="103" t="inlineStr">
        <is>
          <t>Distress</t>
        </is>
      </c>
      <c r="BK23" s="103" t="n">
        <v>1</v>
      </c>
      <c r="BL23" s="103" t="n">
        <v>1</v>
      </c>
      <c r="BM23" s="103" t="n">
        <v>1</v>
      </c>
      <c r="BN23" s="103" t="n">
        <v>1</v>
      </c>
      <c r="BO23" s="103" t="n">
        <v>1</v>
      </c>
      <c r="BP23" s="103" t="n">
        <v>1</v>
      </c>
      <c r="BQ23" s="103" t="n">
        <v>0</v>
      </c>
      <c r="BR23" s="103" t="n">
        <v>0</v>
      </c>
      <c r="BS23" s="103" t="n">
        <v>1</v>
      </c>
      <c r="BT23" s="103" t="n">
        <v>7</v>
      </c>
      <c r="BU23" s="103" t="inlineStr">
        <is>
          <t>Strong</t>
        </is>
      </c>
      <c r="BV23" s="104" t="n">
        <v>1.07</v>
      </c>
      <c r="BW23" s="104" t="n">
        <v>1.06</v>
      </c>
      <c r="BX23" s="104" t="n">
        <v>0.97</v>
      </c>
      <c r="BY23" s="104" t="n">
        <v>1.08</v>
      </c>
      <c r="BZ23" s="104" t="n">
        <v>0.96</v>
      </c>
      <c r="CA23" s="104" t="n">
        <v>0.97</v>
      </c>
      <c r="CB23" s="104" t="n">
        <v>1</v>
      </c>
      <c r="CC23" s="104" t="n">
        <v>-0.07000000000000001</v>
      </c>
      <c r="CD23" s="103" t="n">
        <v>-2.64</v>
      </c>
      <c r="CE23" s="103" t="inlineStr">
        <is>
          <t>Lower Risk</t>
        </is>
      </c>
      <c r="CF23" s="104" t="n">
        <v>3.5</v>
      </c>
      <c r="CG23" s="104" t="n">
        <v>53.14</v>
      </c>
      <c r="CH23" s="103" t="n">
        <v>0</v>
      </c>
      <c r="CI23" s="103" t="inlineStr">
        <is>
          <t>CLEAR</t>
        </is>
      </c>
    </row>
    <row r="24" ht="17" customHeight="1">
      <c r="A24" s="107" t="inlineStr">
        <is>
          <t>BIO</t>
        </is>
      </c>
      <c r="B24" s="107" t="inlineStr">
        <is>
          <t>Bio-Rad Laboratories, Inc.</t>
        </is>
      </c>
      <c r="C24" s="108" t="n">
        <v>2389200000</v>
      </c>
      <c r="D24" s="109" t="n">
        <v>0.02</v>
      </c>
      <c r="E24" s="109" t="n">
        <v>0.39</v>
      </c>
      <c r="F24" s="109" t="n">
        <v>0.29</v>
      </c>
      <c r="G24" s="109" t="n">
        <v>0.07000000000000001</v>
      </c>
      <c r="H24" s="109" t="n">
        <v>-0.2</v>
      </c>
      <c r="I24" s="109" t="n">
        <v>0.1</v>
      </c>
      <c r="J24" s="109" t="n">
        <v>0</v>
      </c>
      <c r="K24" s="109" t="n">
        <v>0.52</v>
      </c>
      <c r="L24" s="109" t="n">
        <v>0.54</v>
      </c>
      <c r="M24" s="109" t="n">
        <v>0.24</v>
      </c>
      <c r="N24" s="108" t="n">
        <v>0.27</v>
      </c>
      <c r="O24" s="108" t="n">
        <v>5.62</v>
      </c>
      <c r="P24" s="108" t="n">
        <v>6.48</v>
      </c>
      <c r="Q24" s="108" t="n">
        <v>4.19</v>
      </c>
      <c r="R24" s="108" t="n">
        <v>1.02</v>
      </c>
      <c r="S24" s="108" t="n">
        <v>0.3</v>
      </c>
      <c r="T24" s="108" t="n">
        <v>0.3</v>
      </c>
      <c r="U24" s="108" t="n">
        <v>0.16</v>
      </c>
      <c r="V24" s="108" t="n">
        <v>0.09</v>
      </c>
      <c r="W24" s="108" t="n">
        <v>0.7</v>
      </c>
      <c r="X24" s="109" t="n">
        <v>0.15</v>
      </c>
      <c r="Y24" s="109" t="n">
        <v>0.11</v>
      </c>
      <c r="Z24" s="109" t="n">
        <v>0.96</v>
      </c>
      <c r="AA24" s="109" t="n">
        <v>0.01</v>
      </c>
      <c r="AB24" s="109" t="n">
        <v>-1.41</v>
      </c>
      <c r="AC24" s="108" t="n">
        <v>0.02</v>
      </c>
      <c r="AD24" s="108" t="n">
        <v>0.02</v>
      </c>
      <c r="AE24" s="108" t="n">
        <v>0.23</v>
      </c>
      <c r="AF24" s="108" t="n">
        <v>0.77</v>
      </c>
      <c r="AG24" s="108" t="n">
        <v>0</v>
      </c>
      <c r="AH24" s="108" t="n">
        <v>2.39</v>
      </c>
      <c r="AI24" s="108" t="n">
        <v>0.24</v>
      </c>
      <c r="AJ24" s="108" t="n">
        <v>3.04</v>
      </c>
      <c r="AK24" s="110" t="inlineStr">
        <is>
          <t>Safe</t>
        </is>
      </c>
      <c r="AL24" s="108" t="n">
        <v>0.23</v>
      </c>
      <c r="AM24" s="108" t="n">
        <v>0.77</v>
      </c>
      <c r="AN24" s="108" t="n">
        <v>0</v>
      </c>
      <c r="AO24" s="108" t="n">
        <v>2.39</v>
      </c>
      <c r="AP24" s="108" t="n">
        <v>0.24</v>
      </c>
      <c r="AQ24" s="107" t="n">
        <v>2.08</v>
      </c>
      <c r="AR24" s="107" t="inlineStr">
        <is>
          <t>Grey</t>
        </is>
      </c>
      <c r="AS24" s="108" t="n">
        <v>0.23</v>
      </c>
      <c r="AT24" s="108" t="n">
        <v>0.77</v>
      </c>
      <c r="AU24" s="108" t="n">
        <v>0</v>
      </c>
      <c r="AV24" s="108" t="n">
        <v>2.39</v>
      </c>
      <c r="AW24" s="107" t="n">
        <v>6.54</v>
      </c>
      <c r="AX24" s="107" t="inlineStr">
        <is>
          <t>Safe</t>
        </is>
      </c>
      <c r="AY24" s="108" t="n">
        <v>0.23</v>
      </c>
      <c r="AZ24" s="108" t="n">
        <v>0</v>
      </c>
      <c r="BA24" s="108" t="n">
        <v>1.93</v>
      </c>
      <c r="BB24" s="108" t="n">
        <v>0.24</v>
      </c>
      <c r="BC24" s="107" t="n">
        <v>1.61</v>
      </c>
      <c r="BD24" s="107" t="inlineStr">
        <is>
          <t>Healthy</t>
        </is>
      </c>
      <c r="BE24" s="108" t="n">
        <v>0.07000000000000001</v>
      </c>
      <c r="BF24" s="108" t="n">
        <v>0.3</v>
      </c>
      <c r="BG24" s="108" t="n">
        <v>5.62</v>
      </c>
      <c r="BH24" s="108" t="n">
        <v>-2.96</v>
      </c>
      <c r="BI24" s="107" t="n">
        <v>0.05</v>
      </c>
      <c r="BJ24" s="107" t="inlineStr">
        <is>
          <t>Healthy</t>
        </is>
      </c>
      <c r="BK24" s="107" t="n">
        <v>1</v>
      </c>
      <c r="BL24" s="107" t="n">
        <v>1</v>
      </c>
      <c r="BM24" s="107" t="n">
        <v>1</v>
      </c>
      <c r="BN24" s="107" t="n">
        <v>0</v>
      </c>
      <c r="BO24" s="107" t="n">
        <v>1</v>
      </c>
      <c r="BP24" s="107" t="n">
        <v>0</v>
      </c>
      <c r="BQ24" s="107" t="n">
        <v>0</v>
      </c>
      <c r="BR24" s="107" t="n">
        <v>0</v>
      </c>
      <c r="BS24" s="107" t="n">
        <v>0</v>
      </c>
      <c r="BT24" s="107" t="n">
        <v>4</v>
      </c>
      <c r="BU24" s="107" t="inlineStr">
        <is>
          <t>Mixed</t>
        </is>
      </c>
      <c r="BV24" s="108" t="n">
        <v>1.01</v>
      </c>
      <c r="BW24" s="108" t="n">
        <v>1.04</v>
      </c>
      <c r="BX24" s="108" t="n">
        <v>1.09</v>
      </c>
      <c r="BY24" s="108" t="n">
        <v>1.01</v>
      </c>
      <c r="BZ24" s="108" t="n">
        <v>0.95</v>
      </c>
      <c r="CA24" s="108" t="n">
        <v>1.03</v>
      </c>
      <c r="CB24" s="108" t="n">
        <v>0.99</v>
      </c>
      <c r="CC24" s="108" t="n">
        <v>0.02</v>
      </c>
      <c r="CD24" s="107" t="n">
        <v>-2.32</v>
      </c>
      <c r="CE24" s="107" t="inlineStr">
        <is>
          <t>Lower Risk</t>
        </is>
      </c>
      <c r="CF24" s="108" t="n">
        <v>3.17</v>
      </c>
      <c r="CG24" s="108" t="n">
        <v>48.55</v>
      </c>
      <c r="CH24" s="107" t="n">
        <v>0</v>
      </c>
      <c r="CI24" s="107" t="inlineStr">
        <is>
          <t>CLEAR</t>
        </is>
      </c>
    </row>
    <row r="25" ht="17" customHeight="1">
      <c r="A25" s="103" t="inlineStr">
        <is>
          <t>GEHC</t>
        </is>
      </c>
      <c r="B25" s="103" t="inlineStr">
        <is>
          <t>GE HEALTHCARE TECHNOLOGIES INC.</t>
        </is>
      </c>
      <c r="C25" s="104" t="n">
        <v>3396000000</v>
      </c>
      <c r="D25" s="105" t="n">
        <v>0.13</v>
      </c>
      <c r="E25" s="105" t="n">
        <v>0.13</v>
      </c>
      <c r="F25" s="105" t="n">
        <v>0.1</v>
      </c>
      <c r="G25" s="105" t="n">
        <v>0.06</v>
      </c>
      <c r="H25" s="105" t="n">
        <v>0.06</v>
      </c>
      <c r="I25" s="105" t="n">
        <v>0.2</v>
      </c>
      <c r="J25" s="105" t="n">
        <v>0.1</v>
      </c>
      <c r="K25" s="105" t="n">
        <v>0.4</v>
      </c>
      <c r="L25" s="105" t="n">
        <v>0.42</v>
      </c>
      <c r="M25" s="105" t="n">
        <v>0.5600000000000001</v>
      </c>
      <c r="N25" s="104" t="n">
        <v>0.59</v>
      </c>
      <c r="O25" s="104" t="n">
        <v>1.37</v>
      </c>
      <c r="P25" s="104" t="n">
        <v>1.04</v>
      </c>
      <c r="Q25" s="104" t="n">
        <v>1.13</v>
      </c>
      <c r="R25" s="104" t="n">
        <v>0.49</v>
      </c>
      <c r="S25" s="104" t="n">
        <v>0.71</v>
      </c>
      <c r="T25" s="104" t="n">
        <v>0.74</v>
      </c>
      <c r="U25" s="104" t="n">
        <v>1.01</v>
      </c>
      <c r="V25" s="104" t="n">
        <v>0.58</v>
      </c>
      <c r="W25" s="113" t="inlineStr">
        <is>
          <t>N/A</t>
        </is>
      </c>
      <c r="X25" s="113" t="inlineStr">
        <is>
          <t>N/A</t>
        </is>
      </c>
      <c r="Y25" s="105" t="n">
        <v>0.06</v>
      </c>
      <c r="Z25" s="113" t="inlineStr">
        <is>
          <t>N/A</t>
        </is>
      </c>
      <c r="AA25" s="105" t="n">
        <v>0.05</v>
      </c>
      <c r="AB25" s="105" t="n">
        <v>0.05</v>
      </c>
      <c r="AC25" s="113" t="inlineStr">
        <is>
          <t>N/A</t>
        </is>
      </c>
      <c r="AD25" s="113" t="inlineStr">
        <is>
          <t>N/A</t>
        </is>
      </c>
      <c r="AE25" s="104" t="n">
        <v>0.09</v>
      </c>
      <c r="AF25" s="104" t="n">
        <v>0.14</v>
      </c>
      <c r="AG25" s="104" t="n">
        <v>0.07000000000000001</v>
      </c>
      <c r="AH25" s="104" t="n">
        <v>0.39</v>
      </c>
      <c r="AI25" s="104" t="n">
        <v>0.5600000000000001</v>
      </c>
      <c r="AJ25" s="104" t="n">
        <v>1.35</v>
      </c>
      <c r="AK25" s="112" t="inlineStr">
        <is>
          <t>Distress</t>
        </is>
      </c>
      <c r="AL25" s="104" t="n">
        <v>0.09</v>
      </c>
      <c r="AM25" s="104" t="n">
        <v>0.14</v>
      </c>
      <c r="AN25" s="104" t="n">
        <v>0.07000000000000001</v>
      </c>
      <c r="AO25" s="104" t="n">
        <v>0.39</v>
      </c>
      <c r="AP25" s="104" t="n">
        <v>0.5600000000000001</v>
      </c>
      <c r="AQ25" s="103" t="n">
        <v>1.14</v>
      </c>
      <c r="AR25" s="103" t="inlineStr">
        <is>
          <t>Distress</t>
        </is>
      </c>
      <c r="AS25" s="104" t="n">
        <v>0.09</v>
      </c>
      <c r="AT25" s="104" t="n">
        <v>0.14</v>
      </c>
      <c r="AU25" s="104" t="n">
        <v>0.07000000000000001</v>
      </c>
      <c r="AV25" s="104" t="n">
        <v>0.39</v>
      </c>
      <c r="AW25" s="103" t="n">
        <v>1.99</v>
      </c>
      <c r="AX25" s="103" t="inlineStr">
        <is>
          <t>Grey</t>
        </is>
      </c>
      <c r="AY25" s="104" t="n">
        <v>0.09</v>
      </c>
      <c r="AZ25" s="104" t="n">
        <v>0.07000000000000001</v>
      </c>
      <c r="BA25" s="104" t="n">
        <v>0.3</v>
      </c>
      <c r="BB25" s="104" t="n">
        <v>0.5600000000000001</v>
      </c>
      <c r="BC25" s="103" t="n">
        <v>0.75</v>
      </c>
      <c r="BD25" s="103" t="inlineStr">
        <is>
          <t>Distress</t>
        </is>
      </c>
      <c r="BE25" s="104" t="n">
        <v>0.06</v>
      </c>
      <c r="BF25" s="104" t="n">
        <v>0.71</v>
      </c>
      <c r="BG25" s="104" t="n">
        <v>1.37</v>
      </c>
      <c r="BH25" s="104" t="n">
        <v>-0.54</v>
      </c>
      <c r="BI25" s="103" t="n">
        <v>0.37</v>
      </c>
      <c r="BJ25" s="103" t="inlineStr">
        <is>
          <t>Healthy</t>
        </is>
      </c>
      <c r="BK25" s="103" t="n">
        <v>1</v>
      </c>
      <c r="BL25" s="103" t="n">
        <v>0</v>
      </c>
      <c r="BM25" s="103" t="n">
        <v>0</v>
      </c>
      <c r="BN25" s="103" t="n">
        <v>0</v>
      </c>
      <c r="BO25" s="103" t="n">
        <v>0</v>
      </c>
      <c r="BP25" s="103" t="n">
        <v>1</v>
      </c>
      <c r="BQ25" s="103" t="n">
        <v>0</v>
      </c>
      <c r="BR25" s="103" t="n">
        <v>0</v>
      </c>
      <c r="BS25" s="103" t="n">
        <v>0</v>
      </c>
      <c r="BT25" s="103" t="n">
        <v>2</v>
      </c>
      <c r="BU25" s="103" t="inlineStr">
        <is>
          <t>Weak</t>
        </is>
      </c>
      <c r="BV25" s="113" t="inlineStr">
        <is>
          <t>N/A</t>
        </is>
      </c>
      <c r="BW25" s="104" t="n">
        <v>1.04</v>
      </c>
      <c r="BX25" s="104" t="n">
        <v>0.9399999999999999</v>
      </c>
      <c r="BY25" s="104" t="n">
        <v>1.05</v>
      </c>
      <c r="BZ25" s="104" t="n">
        <v>1</v>
      </c>
      <c r="CA25" s="104" t="n">
        <v>0.9399999999999999</v>
      </c>
      <c r="CB25" s="104" t="n">
        <v>0.97</v>
      </c>
      <c r="CC25" s="113" t="inlineStr">
        <is>
          <t>N/A</t>
        </is>
      </c>
      <c r="CD25" s="113" t="inlineStr">
        <is>
          <t>N/A</t>
        </is>
      </c>
      <c r="CE25" s="113" t="inlineStr">
        <is>
          <t>N/A</t>
        </is>
      </c>
      <c r="CF25" s="104" t="n">
        <v>1.97</v>
      </c>
      <c r="CG25" s="104" t="n">
        <v>35.28</v>
      </c>
      <c r="CH25" s="103" t="n">
        <v>0</v>
      </c>
      <c r="CI25" s="103" t="inlineStr">
        <is>
          <t>CLEAR</t>
        </is>
      </c>
    </row>
    <row r="26" ht="17" customHeight="1">
      <c r="A26" s="107" t="inlineStr">
        <is>
          <t>BAC</t>
        </is>
      </c>
      <c r="B26" s="107" t="inlineStr">
        <is>
          <t>BofA Finance LLC</t>
        </is>
      </c>
      <c r="C26" s="111" t="inlineStr">
        <is>
          <t>N/A</t>
        </is>
      </c>
      <c r="D26" s="109" t="n">
        <v>0.33</v>
      </c>
      <c r="E26" s="109" t="n">
        <v>0.33</v>
      </c>
      <c r="F26" s="109" t="n">
        <v>0.27</v>
      </c>
      <c r="G26" s="109" t="n">
        <v>0.01</v>
      </c>
      <c r="H26" s="109" t="n">
        <v>0.01</v>
      </c>
      <c r="I26" s="109" t="n">
        <v>0.1</v>
      </c>
      <c r="J26" s="111" t="inlineStr">
        <is>
          <t>N/A</t>
        </is>
      </c>
      <c r="K26" s="109" t="n">
        <v>0.01</v>
      </c>
      <c r="L26" s="109" t="n">
        <v>0.01</v>
      </c>
      <c r="M26" s="109" t="n">
        <v>0.03</v>
      </c>
      <c r="N26" s="108" t="n">
        <v>0.03</v>
      </c>
      <c r="O26" s="111" t="inlineStr">
        <is>
          <t>N/A</t>
        </is>
      </c>
      <c r="P26" s="111" t="inlineStr">
        <is>
          <t>N/A</t>
        </is>
      </c>
      <c r="Q26" s="111" t="inlineStr">
        <is>
          <t>N/A</t>
        </is>
      </c>
      <c r="R26" s="111" t="inlineStr">
        <is>
          <t>N/A</t>
        </is>
      </c>
      <c r="S26" s="108" t="n">
        <v>0.91</v>
      </c>
      <c r="T26" s="108" t="n">
        <v>0.91</v>
      </c>
      <c r="U26" s="108" t="n">
        <v>1.2</v>
      </c>
      <c r="V26" s="108" t="n">
        <v>0.67</v>
      </c>
      <c r="W26" s="108" t="n">
        <v>0.41</v>
      </c>
      <c r="X26" s="111" t="inlineStr">
        <is>
          <t>N/A</t>
        </is>
      </c>
      <c r="Y26" s="109" t="n">
        <v>0</v>
      </c>
      <c r="Z26" s="109" t="n">
        <v>0.51</v>
      </c>
      <c r="AA26" s="109" t="n">
        <v>0.11</v>
      </c>
      <c r="AB26" s="109" t="n">
        <v>0.12</v>
      </c>
      <c r="AC26" s="108" t="n">
        <v>0.01</v>
      </c>
      <c r="AD26" s="108" t="n">
        <v>0.01</v>
      </c>
      <c r="AE26" s="111" t="inlineStr">
        <is>
          <t>N/A</t>
        </is>
      </c>
      <c r="AF26" s="108" t="n">
        <v>0.08</v>
      </c>
      <c r="AG26" s="108" t="n">
        <v>0.01</v>
      </c>
      <c r="AH26" s="108" t="n">
        <v>0.1</v>
      </c>
      <c r="AI26" s="108" t="n">
        <v>0.03</v>
      </c>
      <c r="AJ26" s="111" t="inlineStr">
        <is>
          <t>N/A</t>
        </is>
      </c>
      <c r="AK26" s="111" t="inlineStr">
        <is>
          <t>N/A</t>
        </is>
      </c>
      <c r="AL26" s="111" t="inlineStr">
        <is>
          <t>N/A</t>
        </is>
      </c>
      <c r="AM26" s="108" t="n">
        <v>0.08</v>
      </c>
      <c r="AN26" s="108" t="n">
        <v>0.01</v>
      </c>
      <c r="AO26" s="108" t="n">
        <v>0.1</v>
      </c>
      <c r="AP26" s="108" t="n">
        <v>0.03</v>
      </c>
      <c r="AQ26" s="111" t="inlineStr">
        <is>
          <t>N/A</t>
        </is>
      </c>
      <c r="AR26" s="111" t="inlineStr">
        <is>
          <t>N/A</t>
        </is>
      </c>
      <c r="AS26" s="111" t="inlineStr">
        <is>
          <t>N/A</t>
        </is>
      </c>
      <c r="AT26" s="108" t="n">
        <v>0.08</v>
      </c>
      <c r="AU26" s="108" t="n">
        <v>0.01</v>
      </c>
      <c r="AV26" s="108" t="n">
        <v>0.1</v>
      </c>
      <c r="AW26" s="111" t="inlineStr">
        <is>
          <t>N/A</t>
        </is>
      </c>
      <c r="AX26" s="111" t="inlineStr">
        <is>
          <t>N/A</t>
        </is>
      </c>
      <c r="AY26" s="111" t="inlineStr">
        <is>
          <t>N/A</t>
        </is>
      </c>
      <c r="AZ26" s="108" t="n">
        <v>0.01</v>
      </c>
      <c r="BA26" s="111" t="inlineStr">
        <is>
          <t>N/A</t>
        </is>
      </c>
      <c r="BB26" s="108" t="n">
        <v>0.03</v>
      </c>
      <c r="BC26" s="111" t="inlineStr">
        <is>
          <t>N/A</t>
        </is>
      </c>
      <c r="BD26" s="111" t="inlineStr">
        <is>
          <t>N/A</t>
        </is>
      </c>
      <c r="BE26" s="108" t="n">
        <v>0.01</v>
      </c>
      <c r="BF26" s="108" t="n">
        <v>0.91</v>
      </c>
      <c r="BG26" s="111" t="inlineStr">
        <is>
          <t>N/A</t>
        </is>
      </c>
      <c r="BH26" s="111" t="inlineStr">
        <is>
          <t>N/A</t>
        </is>
      </c>
      <c r="BI26" s="111" t="inlineStr">
        <is>
          <t>N/A</t>
        </is>
      </c>
      <c r="BJ26" s="111" t="inlineStr">
        <is>
          <t>N/A</t>
        </is>
      </c>
      <c r="BK26" s="107" t="n">
        <v>1</v>
      </c>
      <c r="BL26" s="107" t="n">
        <v>1</v>
      </c>
      <c r="BM26" s="107" t="n">
        <v>1</v>
      </c>
      <c r="BN26" s="107" t="n">
        <v>0</v>
      </c>
      <c r="BO26" s="107" t="n">
        <v>0</v>
      </c>
      <c r="BP26" s="107" t="n">
        <v>0</v>
      </c>
      <c r="BQ26" s="107" t="n">
        <v>1</v>
      </c>
      <c r="BR26" s="107" t="n">
        <v>1</v>
      </c>
      <c r="BS26" s="107" t="n">
        <v>1</v>
      </c>
      <c r="BT26" s="107" t="n">
        <v>6</v>
      </c>
      <c r="BU26" s="107" t="inlineStr">
        <is>
          <t>Mixed</t>
        </is>
      </c>
      <c r="BV26" s="111" t="inlineStr">
        <is>
          <t>N/A</t>
        </is>
      </c>
      <c r="BW26" s="111" t="inlineStr">
        <is>
          <t>N/A</t>
        </is>
      </c>
      <c r="BX26" s="108" t="n">
        <v>1</v>
      </c>
      <c r="BY26" s="108" t="n">
        <v>1.11</v>
      </c>
      <c r="BZ26" s="108" t="n">
        <v>0.98</v>
      </c>
      <c r="CA26" s="111" t="inlineStr">
        <is>
          <t>N/A</t>
        </is>
      </c>
      <c r="CB26" s="108" t="n">
        <v>1</v>
      </c>
      <c r="CC26" s="108" t="n">
        <v>0.01</v>
      </c>
      <c r="CD26" s="111" t="inlineStr">
        <is>
          <t>N/A</t>
        </is>
      </c>
      <c r="CE26" s="111" t="inlineStr">
        <is>
          <t>N/A</t>
        </is>
      </c>
      <c r="CF26" s="108" t="n">
        <v>5.06</v>
      </c>
      <c r="CG26" s="108" t="n">
        <v>46.83</v>
      </c>
      <c r="CH26" s="107" t="n">
        <v>20</v>
      </c>
      <c r="CI26" s="107" t="inlineStr">
        <is>
          <t>CLEAR</t>
        </is>
      </c>
    </row>
    <row r="27" ht="17" customHeight="1">
      <c r="A27" s="103" t="inlineStr">
        <is>
          <t>COR</t>
        </is>
      </c>
      <c r="B27" s="103" t="inlineStr">
        <is>
          <t>CENCORA, INC.</t>
        </is>
      </c>
      <c r="C27" s="104" t="n">
        <v>-5581466000</v>
      </c>
      <c r="D27" s="105" t="n">
        <v>0.01</v>
      </c>
      <c r="E27" s="105" t="n">
        <v>0.01</v>
      </c>
      <c r="F27" s="105" t="n">
        <v>0</v>
      </c>
      <c r="G27" s="105" t="n">
        <v>0.02</v>
      </c>
      <c r="H27" s="105" t="n">
        <v>0.02</v>
      </c>
      <c r="I27" s="105" t="n">
        <v>1.03</v>
      </c>
      <c r="J27" s="105" t="n">
        <v>0.14</v>
      </c>
      <c r="K27" s="105" t="n">
        <v>0.04</v>
      </c>
      <c r="L27" s="105" t="n">
        <v>0.03</v>
      </c>
      <c r="M27" s="105" t="n">
        <v>4.2</v>
      </c>
      <c r="N27" s="104" t="n">
        <v>4.38</v>
      </c>
      <c r="O27" s="104" t="n">
        <v>0.9</v>
      </c>
      <c r="P27" s="104" t="n">
        <v>0.88</v>
      </c>
      <c r="Q27" s="104" t="n">
        <v>0.55</v>
      </c>
      <c r="R27" s="104" t="n">
        <v>0.08</v>
      </c>
      <c r="S27" s="104" t="n">
        <v>1</v>
      </c>
      <c r="T27" s="104" t="n">
        <v>1</v>
      </c>
      <c r="U27" s="104" t="n">
        <v>5.16</v>
      </c>
      <c r="V27" s="104" t="n">
        <v>2.27</v>
      </c>
      <c r="W27" s="104" t="n">
        <v>2.49</v>
      </c>
      <c r="X27" s="105" t="n">
        <v>0.01</v>
      </c>
      <c r="Y27" s="113" t="inlineStr">
        <is>
          <t>N/A</t>
        </is>
      </c>
      <c r="Z27" s="105" t="n">
        <v>20.98</v>
      </c>
      <c r="AA27" s="105" t="n">
        <v>0.09</v>
      </c>
      <c r="AB27" s="105" t="n">
        <v>0.03</v>
      </c>
      <c r="AC27" s="104" t="n">
        <v>-0.03</v>
      </c>
      <c r="AD27" s="104" t="n">
        <v>-0.03</v>
      </c>
      <c r="AE27" s="104" t="n">
        <v>-0.07000000000000001</v>
      </c>
      <c r="AF27" s="104" t="n">
        <v>0.09</v>
      </c>
      <c r="AG27" s="104" t="n">
        <v>0.03</v>
      </c>
      <c r="AH27" s="104" t="n">
        <v>0.02</v>
      </c>
      <c r="AI27" s="104" t="n">
        <v>4.2</v>
      </c>
      <c r="AJ27" s="104" t="n">
        <v>4.35</v>
      </c>
      <c r="AK27" s="110" t="inlineStr">
        <is>
          <t>Safe</t>
        </is>
      </c>
      <c r="AL27" s="104" t="n">
        <v>-0.07000000000000001</v>
      </c>
      <c r="AM27" s="104" t="n">
        <v>0.09</v>
      </c>
      <c r="AN27" s="104" t="n">
        <v>0.03</v>
      </c>
      <c r="AO27" s="104" t="n">
        <v>0.02</v>
      </c>
      <c r="AP27" s="104" t="n">
        <v>4.2</v>
      </c>
      <c r="AQ27" s="103" t="n">
        <v>4.32</v>
      </c>
      <c r="AR27" s="103" t="inlineStr">
        <is>
          <t>Safe</t>
        </is>
      </c>
      <c r="AS27" s="104" t="n">
        <v>-0.07000000000000001</v>
      </c>
      <c r="AT27" s="104" t="n">
        <v>0.09</v>
      </c>
      <c r="AU27" s="104" t="n">
        <v>0.03</v>
      </c>
      <c r="AV27" s="104" t="n">
        <v>0.02</v>
      </c>
      <c r="AW27" s="103" t="n">
        <v>0.05</v>
      </c>
      <c r="AX27" s="103" t="inlineStr">
        <is>
          <t>Distress</t>
        </is>
      </c>
      <c r="AY27" s="104" t="n">
        <v>-0.07000000000000001</v>
      </c>
      <c r="AZ27" s="104" t="n">
        <v>0.03</v>
      </c>
      <c r="BA27" s="104" t="n">
        <v>0.04</v>
      </c>
      <c r="BB27" s="104" t="n">
        <v>4.2</v>
      </c>
      <c r="BC27" s="103" t="n">
        <v>1.73</v>
      </c>
      <c r="BD27" s="103" t="inlineStr">
        <is>
          <t>Healthy</t>
        </is>
      </c>
      <c r="BE27" s="104" t="n">
        <v>0.02</v>
      </c>
      <c r="BF27" s="104" t="n">
        <v>1</v>
      </c>
      <c r="BG27" s="104" t="n">
        <v>0.9</v>
      </c>
      <c r="BH27" s="104" t="n">
        <v>1.26</v>
      </c>
      <c r="BI27" s="103" t="n">
        <v>0.78</v>
      </c>
      <c r="BJ27" s="103" t="inlineStr">
        <is>
          <t>Distress</t>
        </is>
      </c>
      <c r="BK27" s="103" t="n">
        <v>1</v>
      </c>
      <c r="BL27" s="103" t="n">
        <v>1</v>
      </c>
      <c r="BM27" s="103" t="n">
        <v>0</v>
      </c>
      <c r="BN27" s="103" t="n">
        <v>1</v>
      </c>
      <c r="BO27" s="103" t="n">
        <v>0</v>
      </c>
      <c r="BP27" s="103" t="n">
        <v>1</v>
      </c>
      <c r="BQ27" s="103" t="n">
        <v>1</v>
      </c>
      <c r="BR27" s="103" t="n">
        <v>1</v>
      </c>
      <c r="BS27" s="103" t="n">
        <v>0</v>
      </c>
      <c r="BT27" s="103" t="n">
        <v>6</v>
      </c>
      <c r="BU27" s="103" t="inlineStr">
        <is>
          <t>Mixed</t>
        </is>
      </c>
      <c r="BV27" s="104" t="n">
        <v>0.97</v>
      </c>
      <c r="BW27" s="104" t="n">
        <v>0.9399999999999999</v>
      </c>
      <c r="BX27" s="104" t="n">
        <v>1.11</v>
      </c>
      <c r="BY27" s="104" t="n">
        <v>1.09</v>
      </c>
      <c r="BZ27" s="104" t="n">
        <v>1.14</v>
      </c>
      <c r="CA27" s="104" t="n">
        <v>1.05</v>
      </c>
      <c r="CB27" s="104" t="n">
        <v>1</v>
      </c>
      <c r="CC27" s="104" t="n">
        <v>-0.03</v>
      </c>
      <c r="CD27" s="103" t="n">
        <v>-2.55</v>
      </c>
      <c r="CE27" s="103" t="inlineStr">
        <is>
          <t>Lower Risk</t>
        </is>
      </c>
      <c r="CF27" s="104" t="n">
        <v>0.93</v>
      </c>
      <c r="CG27" s="104" t="n">
        <v>61.96</v>
      </c>
      <c r="CH27" s="103" t="n">
        <v>0</v>
      </c>
      <c r="CI27" s="103" t="inlineStr">
        <is>
          <t>CLEAR</t>
        </is>
      </c>
    </row>
    <row r="28" ht="17" customHeight="1">
      <c r="A28" s="107" t="inlineStr">
        <is>
          <t>NKE</t>
        </is>
      </c>
      <c r="B28" s="107" t="inlineStr">
        <is>
          <t>NIKE, Inc.</t>
        </is>
      </c>
      <c r="C28" s="108" t="n">
        <v>12796000000</v>
      </c>
      <c r="D28" s="109" t="n">
        <v>0.08</v>
      </c>
      <c r="E28" s="109" t="n">
        <v>0.08</v>
      </c>
      <c r="F28" s="109" t="n">
        <v>0.07000000000000001</v>
      </c>
      <c r="G28" s="109" t="n">
        <v>0.09</v>
      </c>
      <c r="H28" s="109" t="n">
        <v>0.15</v>
      </c>
      <c r="I28" s="109" t="n">
        <v>0.24</v>
      </c>
      <c r="J28" s="109" t="n">
        <v>0.15</v>
      </c>
      <c r="K28" s="109" t="n">
        <v>0.43</v>
      </c>
      <c r="L28" s="109" t="n">
        <v>0.45</v>
      </c>
      <c r="M28" s="109" t="n">
        <v>1.27</v>
      </c>
      <c r="N28" s="108" t="n">
        <v>1.35</v>
      </c>
      <c r="O28" s="108" t="n">
        <v>2.21</v>
      </c>
      <c r="P28" s="108" t="n">
        <v>2.4</v>
      </c>
      <c r="Q28" s="108" t="n">
        <v>1.95</v>
      </c>
      <c r="R28" s="108" t="n">
        <v>0.71</v>
      </c>
      <c r="S28" s="108" t="n">
        <v>1</v>
      </c>
      <c r="T28" s="108" t="n">
        <v>1</v>
      </c>
      <c r="U28" s="108" t="n">
        <v>0.6</v>
      </c>
      <c r="V28" s="108" t="n">
        <v>0.04</v>
      </c>
      <c r="W28" s="108" t="n">
        <v>1.15</v>
      </c>
      <c r="X28" s="109" t="n">
        <v>0.07000000000000001</v>
      </c>
      <c r="Y28" s="111" t="inlineStr">
        <is>
          <t>N/A</t>
        </is>
      </c>
      <c r="Z28" s="111" t="inlineStr">
        <is>
          <t>N/A</t>
        </is>
      </c>
      <c r="AA28" s="109" t="n">
        <v>-0.1</v>
      </c>
      <c r="AB28" s="109" t="n">
        <v>-0.44</v>
      </c>
      <c r="AC28" s="108" t="n">
        <v>-0.01</v>
      </c>
      <c r="AD28" s="108" t="n">
        <v>-0.01</v>
      </c>
      <c r="AE28" s="108" t="n">
        <v>0.35</v>
      </c>
      <c r="AF28" s="108" t="n">
        <v>-0.02</v>
      </c>
      <c r="AG28" s="108" t="n">
        <v>0.11</v>
      </c>
      <c r="AH28" s="108" t="n">
        <v>0.36</v>
      </c>
      <c r="AI28" s="108" t="n">
        <v>1.27</v>
      </c>
      <c r="AJ28" s="108" t="n">
        <v>2.23</v>
      </c>
      <c r="AK28" s="106" t="inlineStr">
        <is>
          <t>Grey</t>
        </is>
      </c>
      <c r="AL28" s="108" t="n">
        <v>0.35</v>
      </c>
      <c r="AM28" s="108" t="n">
        <v>-0.02</v>
      </c>
      <c r="AN28" s="108" t="n">
        <v>0.11</v>
      </c>
      <c r="AO28" s="108" t="n">
        <v>0.36</v>
      </c>
      <c r="AP28" s="108" t="n">
        <v>1.27</v>
      </c>
      <c r="AQ28" s="107" t="n">
        <v>1.98</v>
      </c>
      <c r="AR28" s="107" t="inlineStr">
        <is>
          <t>Grey</t>
        </is>
      </c>
      <c r="AS28" s="108" t="n">
        <v>0.35</v>
      </c>
      <c r="AT28" s="108" t="n">
        <v>-0.02</v>
      </c>
      <c r="AU28" s="108" t="n">
        <v>0.11</v>
      </c>
      <c r="AV28" s="108" t="n">
        <v>0.36</v>
      </c>
      <c r="AW28" s="107" t="n">
        <v>3.32</v>
      </c>
      <c r="AX28" s="107" t="inlineStr">
        <is>
          <t>Safe</t>
        </is>
      </c>
      <c r="AY28" s="108" t="n">
        <v>0.35</v>
      </c>
      <c r="AZ28" s="108" t="n">
        <v>0.11</v>
      </c>
      <c r="BA28" s="108" t="n">
        <v>0.37</v>
      </c>
      <c r="BB28" s="108" t="n">
        <v>1.27</v>
      </c>
      <c r="BC28" s="107" t="n">
        <v>1.44</v>
      </c>
      <c r="BD28" s="107" t="inlineStr">
        <is>
          <t>Healthy</t>
        </is>
      </c>
      <c r="BE28" s="108" t="n">
        <v>0.09</v>
      </c>
      <c r="BF28" s="108" t="n">
        <v>1</v>
      </c>
      <c r="BG28" s="108" t="n">
        <v>2.21</v>
      </c>
      <c r="BH28" s="108" t="n">
        <v>0.95</v>
      </c>
      <c r="BI28" s="107" t="n">
        <v>0.72</v>
      </c>
      <c r="BJ28" s="107" t="inlineStr">
        <is>
          <t>Distress</t>
        </is>
      </c>
      <c r="BK28" s="107" t="n">
        <v>1</v>
      </c>
      <c r="BL28" s="107" t="n">
        <v>1</v>
      </c>
      <c r="BM28" s="107" t="n">
        <v>0</v>
      </c>
      <c r="BN28" s="107" t="n">
        <v>1</v>
      </c>
      <c r="BO28" s="107" t="n">
        <v>1</v>
      </c>
      <c r="BP28" s="107" t="n">
        <v>0</v>
      </c>
      <c r="BQ28" s="107" t="n">
        <v>0</v>
      </c>
      <c r="BR28" s="107" t="n">
        <v>0</v>
      </c>
      <c r="BS28" s="107" t="n">
        <v>0</v>
      </c>
      <c r="BT28" s="107" t="n">
        <v>4</v>
      </c>
      <c r="BU28" s="107" t="inlineStr">
        <is>
          <t>Mixed</t>
        </is>
      </c>
      <c r="BV28" s="108" t="n">
        <v>1.18</v>
      </c>
      <c r="BW28" s="108" t="n">
        <v>1.04</v>
      </c>
      <c r="BX28" s="108" t="n">
        <v>1.13</v>
      </c>
      <c r="BY28" s="108" t="n">
        <v>0.9</v>
      </c>
      <c r="BZ28" s="108" t="n">
        <v>0.99</v>
      </c>
      <c r="CA28" s="108" t="n">
        <v>1.08</v>
      </c>
      <c r="CB28" s="108" t="n">
        <v>1</v>
      </c>
      <c r="CC28" s="108" t="n">
        <v>-0.01</v>
      </c>
      <c r="CD28" s="107" t="n">
        <v>-2.4</v>
      </c>
      <c r="CE28" s="107" t="inlineStr">
        <is>
          <t>Lower Risk</t>
        </is>
      </c>
      <c r="CF28" s="108" t="n">
        <v>0.11</v>
      </c>
      <c r="CG28" s="108" t="n">
        <v>45.98</v>
      </c>
      <c r="CH28" s="107" t="n">
        <v>0</v>
      </c>
      <c r="CI28" s="107" t="inlineStr">
        <is>
          <t>CLEAR</t>
        </is>
      </c>
    </row>
    <row r="29" ht="17" customHeight="1">
      <c r="A29" s="103" t="inlineStr">
        <is>
          <t>ELS</t>
        </is>
      </c>
      <c r="B29" s="103" t="inlineStr">
        <is>
          <t>EQUITY LIFESTYLE PROPERTIES, INC.</t>
        </is>
      </c>
      <c r="C29" s="113" t="inlineStr">
        <is>
          <t>N/A</t>
        </is>
      </c>
      <c r="D29" s="105" t="n">
        <v>0.26</v>
      </c>
      <c r="E29" s="113" t="inlineStr">
        <is>
          <t>N/A</t>
        </is>
      </c>
      <c r="F29" s="105" t="n">
        <v>0.26</v>
      </c>
      <c r="G29" s="105" t="n">
        <v>0.07000000000000001</v>
      </c>
      <c r="H29" s="105" t="n">
        <v>0.07000000000000001</v>
      </c>
      <c r="I29" s="105" t="n">
        <v>0.23</v>
      </c>
      <c r="J29" s="113" t="inlineStr">
        <is>
          <t>N/A</t>
        </is>
      </c>
      <c r="K29" s="105" t="n">
        <v>0.05</v>
      </c>
      <c r="L29" s="105" t="n">
        <v>0.06</v>
      </c>
      <c r="M29" s="105" t="n">
        <v>0.27</v>
      </c>
      <c r="N29" s="104" t="n">
        <v>0.27</v>
      </c>
      <c r="O29" s="113" t="inlineStr">
        <is>
          <t>N/A</t>
        </is>
      </c>
      <c r="P29" s="113" t="inlineStr">
        <is>
          <t>N/A</t>
        </is>
      </c>
      <c r="Q29" s="113" t="inlineStr">
        <is>
          <t>N/A</t>
        </is>
      </c>
      <c r="R29" s="113" t="inlineStr">
        <is>
          <t>N/A</t>
        </is>
      </c>
      <c r="S29" s="104" t="n">
        <v>0.68</v>
      </c>
      <c r="T29" s="104" t="n">
        <v>0.68</v>
      </c>
      <c r="U29" s="104" t="n">
        <v>1.91</v>
      </c>
      <c r="V29" s="104" t="n">
        <v>1.88</v>
      </c>
      <c r="W29" s="104" t="n">
        <v>1.42</v>
      </c>
      <c r="X29" s="105" t="n">
        <v>0.22</v>
      </c>
      <c r="Y29" s="105" t="n">
        <v>0</v>
      </c>
      <c r="Z29" s="105" t="n">
        <v>2.99</v>
      </c>
      <c r="AA29" s="105" t="n">
        <v>0</v>
      </c>
      <c r="AB29" s="105" t="n">
        <v>0.04</v>
      </c>
      <c r="AC29" s="104" t="n">
        <v>-0.03</v>
      </c>
      <c r="AD29" s="104" t="n">
        <v>-0.03</v>
      </c>
      <c r="AE29" s="113" t="inlineStr">
        <is>
          <t>N/A</t>
        </is>
      </c>
      <c r="AF29" s="113" t="inlineStr">
        <is>
          <t>N/A</t>
        </is>
      </c>
      <c r="AG29" s="104" t="n">
        <v>0.07000000000000001</v>
      </c>
      <c r="AH29" s="104" t="n">
        <v>0.45</v>
      </c>
      <c r="AI29" s="104" t="n">
        <v>0.27</v>
      </c>
      <c r="AJ29" s="113" t="inlineStr">
        <is>
          <t>N/A</t>
        </is>
      </c>
      <c r="AK29" s="113" t="inlineStr">
        <is>
          <t>N/A</t>
        </is>
      </c>
      <c r="AL29" s="113" t="inlineStr">
        <is>
          <t>N/A</t>
        </is>
      </c>
      <c r="AM29" s="113" t="inlineStr">
        <is>
          <t>N/A</t>
        </is>
      </c>
      <c r="AN29" s="104" t="n">
        <v>0.07000000000000001</v>
      </c>
      <c r="AO29" s="104" t="n">
        <v>0.45</v>
      </c>
      <c r="AP29" s="104" t="n">
        <v>0.27</v>
      </c>
      <c r="AQ29" s="113" t="inlineStr">
        <is>
          <t>N/A</t>
        </is>
      </c>
      <c r="AR29" s="113" t="inlineStr">
        <is>
          <t>N/A</t>
        </is>
      </c>
      <c r="AS29" s="113" t="inlineStr">
        <is>
          <t>N/A</t>
        </is>
      </c>
      <c r="AT29" s="113" t="inlineStr">
        <is>
          <t>N/A</t>
        </is>
      </c>
      <c r="AU29" s="104" t="n">
        <v>0.07000000000000001</v>
      </c>
      <c r="AV29" s="104" t="n">
        <v>0.45</v>
      </c>
      <c r="AW29" s="113" t="inlineStr">
        <is>
          <t>N/A</t>
        </is>
      </c>
      <c r="AX29" s="113" t="inlineStr">
        <is>
          <t>N/A</t>
        </is>
      </c>
      <c r="AY29" s="113" t="inlineStr">
        <is>
          <t>N/A</t>
        </is>
      </c>
      <c r="AZ29" s="104" t="n">
        <v>0.07000000000000001</v>
      </c>
      <c r="BA29" s="113" t="inlineStr">
        <is>
          <t>N/A</t>
        </is>
      </c>
      <c r="BB29" s="104" t="n">
        <v>0.27</v>
      </c>
      <c r="BC29" s="113" t="inlineStr">
        <is>
          <t>N/A</t>
        </is>
      </c>
      <c r="BD29" s="113" t="inlineStr">
        <is>
          <t>N/A</t>
        </is>
      </c>
      <c r="BE29" s="104" t="n">
        <v>0.07000000000000001</v>
      </c>
      <c r="BF29" s="104" t="n">
        <v>0.68</v>
      </c>
      <c r="BG29" s="113" t="inlineStr">
        <is>
          <t>N/A</t>
        </is>
      </c>
      <c r="BH29" s="113" t="inlineStr">
        <is>
          <t>N/A</t>
        </is>
      </c>
      <c r="BI29" s="113" t="inlineStr">
        <is>
          <t>N/A</t>
        </is>
      </c>
      <c r="BJ29" s="113" t="inlineStr">
        <is>
          <t>N/A</t>
        </is>
      </c>
      <c r="BK29" s="103" t="n">
        <v>1</v>
      </c>
      <c r="BL29" s="103" t="n">
        <v>1</v>
      </c>
      <c r="BM29" s="103" t="n">
        <v>1</v>
      </c>
      <c r="BN29" s="103" t="n">
        <v>1</v>
      </c>
      <c r="BO29" s="103" t="n">
        <v>0</v>
      </c>
      <c r="BP29" s="103" t="n">
        <v>0</v>
      </c>
      <c r="BQ29" s="103" t="n">
        <v>0</v>
      </c>
      <c r="BR29" s="103" t="n">
        <v>0</v>
      </c>
      <c r="BS29" s="103" t="n">
        <v>0</v>
      </c>
      <c r="BT29" s="103" t="n">
        <v>4</v>
      </c>
      <c r="BU29" s="103" t="inlineStr">
        <is>
          <t>Mixed</t>
        </is>
      </c>
      <c r="BV29" s="104" t="n">
        <v>1.04</v>
      </c>
      <c r="BW29" s="104" t="n">
        <v>1.03</v>
      </c>
      <c r="BX29" s="104" t="n">
        <v>0.98</v>
      </c>
      <c r="BY29" s="104" t="n">
        <v>1</v>
      </c>
      <c r="BZ29" s="104" t="n">
        <v>1.27</v>
      </c>
      <c r="CA29" s="104" t="n">
        <v>0.97</v>
      </c>
      <c r="CB29" s="104" t="n">
        <v>1.01</v>
      </c>
      <c r="CC29" s="104" t="n">
        <v>-0.03</v>
      </c>
      <c r="CD29" s="103" t="n">
        <v>-2.54</v>
      </c>
      <c r="CE29" s="103" t="inlineStr">
        <is>
          <t>Lower Risk</t>
        </is>
      </c>
      <c r="CF29" s="104" t="n">
        <v>6.33</v>
      </c>
      <c r="CG29" s="104" t="n">
        <v>39.06</v>
      </c>
      <c r="CH29" s="103" t="n">
        <v>0</v>
      </c>
      <c r="CI29" s="103" t="inlineStr">
        <is>
          <t>CLEAR</t>
        </is>
      </c>
    </row>
    <row r="30" ht="17" customHeight="1">
      <c r="A30" s="107" t="inlineStr">
        <is>
          <t>IVZ</t>
        </is>
      </c>
      <c r="B30" s="107" t="inlineStr">
        <is>
          <t>Invesco Ltd.</t>
        </is>
      </c>
      <c r="C30" s="108" t="n">
        <v>1194600000</v>
      </c>
      <c r="D30" s="109" t="n">
        <v>-0.13</v>
      </c>
      <c r="E30" s="109" t="n">
        <v>-0.07000000000000001</v>
      </c>
      <c r="F30" s="109" t="n">
        <v>0.1</v>
      </c>
      <c r="G30" s="109" t="n">
        <v>0.02</v>
      </c>
      <c r="H30" s="109" t="n">
        <v>-0.01</v>
      </c>
      <c r="I30" s="109" t="n">
        <v>0.04</v>
      </c>
      <c r="J30" s="109" t="n">
        <v>-0.03</v>
      </c>
      <c r="K30" s="109" t="n">
        <v>-0.33</v>
      </c>
      <c r="L30" s="109" t="n">
        <v>-0.01</v>
      </c>
      <c r="M30" s="109" t="n">
        <v>0.2</v>
      </c>
      <c r="N30" s="108" t="n">
        <v>0.19</v>
      </c>
      <c r="O30" s="108" t="n">
        <v>1.44</v>
      </c>
      <c r="P30" s="108" t="n">
        <v>1.29</v>
      </c>
      <c r="Q30" s="108" t="n">
        <v>1.44</v>
      </c>
      <c r="R30" s="108" t="n">
        <v>0.38</v>
      </c>
      <c r="S30" s="108" t="n">
        <v>0.52</v>
      </c>
      <c r="T30" s="108" t="n">
        <v>0.42</v>
      </c>
      <c r="U30" s="108" t="n">
        <v>0.15</v>
      </c>
      <c r="V30" s="108" t="n">
        <v>0.06</v>
      </c>
      <c r="W30" s="108" t="n">
        <v>2.84</v>
      </c>
      <c r="X30" s="109" t="n">
        <v>0.27</v>
      </c>
      <c r="Y30" s="109" t="n">
        <v>0</v>
      </c>
      <c r="Z30" s="109" t="n">
        <v>-9.869999999999999</v>
      </c>
      <c r="AA30" s="109" t="n">
        <v>0.03</v>
      </c>
      <c r="AB30" s="109" t="n">
        <v>-2.61</v>
      </c>
      <c r="AC30" s="108" t="n">
        <v>-0.04</v>
      </c>
      <c r="AD30" s="108" t="n">
        <v>-0.04</v>
      </c>
      <c r="AE30" s="108" t="n">
        <v>0.04</v>
      </c>
      <c r="AF30" s="108" t="n">
        <v>0.22</v>
      </c>
      <c r="AG30" s="108" t="n">
        <v>-0.03</v>
      </c>
      <c r="AH30" s="108" t="n">
        <v>0.87</v>
      </c>
      <c r="AI30" s="108" t="n">
        <v>0.2</v>
      </c>
      <c r="AJ30" s="108" t="n">
        <v>0.99</v>
      </c>
      <c r="AK30" s="112" t="inlineStr">
        <is>
          <t>Distress</t>
        </is>
      </c>
      <c r="AL30" s="108" t="n">
        <v>0.04</v>
      </c>
      <c r="AM30" s="108" t="n">
        <v>0.22</v>
      </c>
      <c r="AN30" s="108" t="n">
        <v>-0.03</v>
      </c>
      <c r="AO30" s="108" t="n">
        <v>0.87</v>
      </c>
      <c r="AP30" s="108" t="n">
        <v>0.2</v>
      </c>
      <c r="AQ30" s="107" t="n">
        <v>0.7</v>
      </c>
      <c r="AR30" s="107" t="inlineStr">
        <is>
          <t>Distress</t>
        </is>
      </c>
      <c r="AS30" s="108" t="n">
        <v>0.04</v>
      </c>
      <c r="AT30" s="108" t="n">
        <v>0.22</v>
      </c>
      <c r="AU30" s="108" t="n">
        <v>-0.03</v>
      </c>
      <c r="AV30" s="108" t="n">
        <v>0.87</v>
      </c>
      <c r="AW30" s="107" t="n">
        <v>1.74</v>
      </c>
      <c r="AX30" s="107" t="inlineStr">
        <is>
          <t>Grey</t>
        </is>
      </c>
      <c r="AY30" s="108" t="n">
        <v>0.04</v>
      </c>
      <c r="AZ30" s="108" t="n">
        <v>-0.03</v>
      </c>
      <c r="BA30" s="108" t="n">
        <v>-0.14</v>
      </c>
      <c r="BB30" s="108" t="n">
        <v>0.2</v>
      </c>
      <c r="BC30" s="107" t="n">
        <v>-0.05</v>
      </c>
      <c r="BD30" s="107" t="inlineStr">
        <is>
          <t>Distress</t>
        </is>
      </c>
      <c r="BE30" s="108" t="n">
        <v>0.02</v>
      </c>
      <c r="BF30" s="108" t="n">
        <v>0.52</v>
      </c>
      <c r="BG30" s="108" t="n">
        <v>1.44</v>
      </c>
      <c r="BH30" s="108" t="n">
        <v>-1.47</v>
      </c>
      <c r="BI30" s="107" t="n">
        <v>0.19</v>
      </c>
      <c r="BJ30" s="107" t="inlineStr">
        <is>
          <t>Healthy</t>
        </is>
      </c>
      <c r="BK30" s="107" t="n">
        <v>1</v>
      </c>
      <c r="BL30" s="107" t="n">
        <v>1</v>
      </c>
      <c r="BM30" s="107" t="n">
        <v>1</v>
      </c>
      <c r="BN30" s="107" t="n">
        <v>1</v>
      </c>
      <c r="BO30" s="107" t="n">
        <v>0</v>
      </c>
      <c r="BP30" s="107" t="n">
        <v>1</v>
      </c>
      <c r="BQ30" s="107" t="n">
        <v>1</v>
      </c>
      <c r="BR30" s="107" t="n">
        <v>0</v>
      </c>
      <c r="BS30" s="107" t="n">
        <v>1</v>
      </c>
      <c r="BT30" s="107" t="n">
        <v>7</v>
      </c>
      <c r="BU30" s="107" t="inlineStr">
        <is>
          <t>Strong</t>
        </is>
      </c>
      <c r="BV30" s="108" t="n">
        <v>1.03</v>
      </c>
      <c r="BW30" s="108" t="n">
        <v>0.04</v>
      </c>
      <c r="BX30" s="108" t="n">
        <v>1</v>
      </c>
      <c r="BY30" s="108" t="n">
        <v>1.03</v>
      </c>
      <c r="BZ30" s="108" t="n">
        <v>0.9399999999999999</v>
      </c>
      <c r="CA30" s="108" t="n">
        <v>0.9399999999999999</v>
      </c>
      <c r="CB30" s="108" t="n">
        <v>1.24</v>
      </c>
      <c r="CC30" s="108" t="n">
        <v>-0.04</v>
      </c>
      <c r="CD30" s="107" t="n">
        <v>-3.18</v>
      </c>
      <c r="CE30" s="107" t="inlineStr">
        <is>
          <t>Lower Risk</t>
        </is>
      </c>
      <c r="CF30" s="108" t="n">
        <v>-1.46</v>
      </c>
      <c r="CG30" s="108" t="n">
        <v>54.04</v>
      </c>
      <c r="CH30" s="107" t="n">
        <v>0</v>
      </c>
      <c r="CI30" s="107" t="inlineStr">
        <is>
          <t>CLEAR</t>
        </is>
      </c>
    </row>
    <row r="31" ht="17" customHeight="1">
      <c r="A31" s="103" t="inlineStr">
        <is>
          <t>AMP</t>
        </is>
      </c>
      <c r="B31" s="103" t="inlineStr">
        <is>
          <t>AMERIPRISE FINANCIAL INC</t>
        </is>
      </c>
      <c r="C31" s="113" t="inlineStr">
        <is>
          <t>N/A</t>
        </is>
      </c>
      <c r="D31" s="105" t="n">
        <v>0.24</v>
      </c>
      <c r="E31" s="105" t="n">
        <v>0.24</v>
      </c>
      <c r="F31" s="105" t="n">
        <v>0.19</v>
      </c>
      <c r="G31" s="105" t="n">
        <v>0.02</v>
      </c>
      <c r="H31" s="105" t="n">
        <v>0.02</v>
      </c>
      <c r="I31" s="105" t="n">
        <v>0.54</v>
      </c>
      <c r="J31" s="113" t="inlineStr">
        <is>
          <t>N/A</t>
        </is>
      </c>
      <c r="K31" s="105" t="n">
        <v>0.1</v>
      </c>
      <c r="L31" s="105" t="n">
        <v>0.1</v>
      </c>
      <c r="M31" s="105" t="n">
        <v>0.1</v>
      </c>
      <c r="N31" s="104" t="n">
        <v>0.1</v>
      </c>
      <c r="O31" s="113" t="inlineStr">
        <is>
          <t>N/A</t>
        </is>
      </c>
      <c r="P31" s="113" t="inlineStr">
        <is>
          <t>N/A</t>
        </is>
      </c>
      <c r="Q31" s="113" t="inlineStr">
        <is>
          <t>N/A</t>
        </is>
      </c>
      <c r="R31" s="113" t="inlineStr">
        <is>
          <t>N/A</t>
        </is>
      </c>
      <c r="S31" s="104" t="n">
        <v>0.97</v>
      </c>
      <c r="T31" s="104" t="n">
        <v>0.97</v>
      </c>
      <c r="U31" s="104" t="n">
        <v>0.34</v>
      </c>
      <c r="V31" s="104" t="n">
        <v>-0.01</v>
      </c>
      <c r="W31" s="104" t="n">
        <v>2.34</v>
      </c>
      <c r="X31" s="105" t="n">
        <v>0.43</v>
      </c>
      <c r="Y31" s="105" t="n">
        <v>0</v>
      </c>
      <c r="Z31" s="105" t="n">
        <v>26.49</v>
      </c>
      <c r="AA31" s="105" t="n">
        <v>0</v>
      </c>
      <c r="AB31" s="105" t="n">
        <v>0</v>
      </c>
      <c r="AC31" s="104" t="n">
        <v>-0.02</v>
      </c>
      <c r="AD31" s="104" t="n">
        <v>-0.02</v>
      </c>
      <c r="AE31" s="113" t="inlineStr">
        <is>
          <t>N/A</t>
        </is>
      </c>
      <c r="AF31" s="104" t="n">
        <v>0.14</v>
      </c>
      <c r="AG31" s="104" t="n">
        <v>0.02</v>
      </c>
      <c r="AH31" s="104" t="n">
        <v>0.04</v>
      </c>
      <c r="AI31" s="104" t="n">
        <v>0.1</v>
      </c>
      <c r="AJ31" s="113" t="inlineStr">
        <is>
          <t>N/A</t>
        </is>
      </c>
      <c r="AK31" s="113" t="inlineStr">
        <is>
          <t>N/A</t>
        </is>
      </c>
      <c r="AL31" s="113" t="inlineStr">
        <is>
          <t>N/A</t>
        </is>
      </c>
      <c r="AM31" s="104" t="n">
        <v>0.14</v>
      </c>
      <c r="AN31" s="104" t="n">
        <v>0.02</v>
      </c>
      <c r="AO31" s="104" t="n">
        <v>0.04</v>
      </c>
      <c r="AP31" s="104" t="n">
        <v>0.1</v>
      </c>
      <c r="AQ31" s="113" t="inlineStr">
        <is>
          <t>N/A</t>
        </is>
      </c>
      <c r="AR31" s="113" t="inlineStr">
        <is>
          <t>N/A</t>
        </is>
      </c>
      <c r="AS31" s="113" t="inlineStr">
        <is>
          <t>N/A</t>
        </is>
      </c>
      <c r="AT31" s="104" t="n">
        <v>0.14</v>
      </c>
      <c r="AU31" s="104" t="n">
        <v>0.02</v>
      </c>
      <c r="AV31" s="104" t="n">
        <v>0.04</v>
      </c>
      <c r="AW31" s="113" t="inlineStr">
        <is>
          <t>N/A</t>
        </is>
      </c>
      <c r="AX31" s="113" t="inlineStr">
        <is>
          <t>N/A</t>
        </is>
      </c>
      <c r="AY31" s="113" t="inlineStr">
        <is>
          <t>N/A</t>
        </is>
      </c>
      <c r="AZ31" s="104" t="n">
        <v>0.02</v>
      </c>
      <c r="BA31" s="113" t="inlineStr">
        <is>
          <t>N/A</t>
        </is>
      </c>
      <c r="BB31" s="104" t="n">
        <v>0.1</v>
      </c>
      <c r="BC31" s="113" t="inlineStr">
        <is>
          <t>N/A</t>
        </is>
      </c>
      <c r="BD31" s="113" t="inlineStr">
        <is>
          <t>N/A</t>
        </is>
      </c>
      <c r="BE31" s="104" t="n">
        <v>0.02</v>
      </c>
      <c r="BF31" s="104" t="n">
        <v>0.97</v>
      </c>
      <c r="BG31" s="113" t="inlineStr">
        <is>
          <t>N/A</t>
        </is>
      </c>
      <c r="BH31" s="113" t="inlineStr">
        <is>
          <t>N/A</t>
        </is>
      </c>
      <c r="BI31" s="113" t="inlineStr">
        <is>
          <t>N/A</t>
        </is>
      </c>
      <c r="BJ31" s="113" t="inlineStr">
        <is>
          <t>N/A</t>
        </is>
      </c>
      <c r="BK31" s="103" t="n">
        <v>1</v>
      </c>
      <c r="BL31" s="103" t="n">
        <v>1</v>
      </c>
      <c r="BM31" s="103" t="n">
        <v>0</v>
      </c>
      <c r="BN31" s="103" t="n">
        <v>1</v>
      </c>
      <c r="BO31" s="103" t="n">
        <v>0</v>
      </c>
      <c r="BP31" s="103" t="n">
        <v>0</v>
      </c>
      <c r="BQ31" s="103" t="n">
        <v>1</v>
      </c>
      <c r="BR31" s="103" t="n">
        <v>0</v>
      </c>
      <c r="BS31" s="103" t="n">
        <v>0</v>
      </c>
      <c r="BT31" s="103" t="n">
        <v>4</v>
      </c>
      <c r="BU31" s="103" t="inlineStr">
        <is>
          <t>Mixed</t>
        </is>
      </c>
      <c r="BV31" s="104" t="n">
        <v>1.01</v>
      </c>
      <c r="BW31" s="113" t="inlineStr">
        <is>
          <t>N/A</t>
        </is>
      </c>
      <c r="BX31" s="104" t="n">
        <v>1</v>
      </c>
      <c r="BY31" s="104" t="n">
        <v>1</v>
      </c>
      <c r="BZ31" s="104" t="n">
        <v>1</v>
      </c>
      <c r="CA31" s="104" t="n">
        <v>1</v>
      </c>
      <c r="CB31" s="104" t="n">
        <v>1</v>
      </c>
      <c r="CC31" s="104" t="n">
        <v>-0.02</v>
      </c>
      <c r="CD31" s="113" t="inlineStr">
        <is>
          <t>N/A</t>
        </is>
      </c>
      <c r="CE31" s="113" t="inlineStr">
        <is>
          <t>N/A</t>
        </is>
      </c>
      <c r="CF31" s="104" t="n">
        <v>-0.01</v>
      </c>
      <c r="CG31" s="104" t="n">
        <v>39.06</v>
      </c>
      <c r="CH31" s="103" t="n">
        <v>0</v>
      </c>
      <c r="CI31" s="103" t="inlineStr">
        <is>
          <t>CLEAR</t>
        </is>
      </c>
    </row>
    <row r="32" ht="17" customHeight="1">
      <c r="A32" s="107" t="inlineStr">
        <is>
          <t>ZBH</t>
        </is>
      </c>
      <c r="B32" s="107" t="inlineStr">
        <is>
          <t>ZIMMER BIOMET HOLDINGS, INC.</t>
        </is>
      </c>
      <c r="C32" s="108" t="n">
        <v>2536200000</v>
      </c>
      <c r="D32" s="109" t="n">
        <v>0.13</v>
      </c>
      <c r="E32" s="109" t="n">
        <v>0.1</v>
      </c>
      <c r="F32" s="109" t="n">
        <v>0.09</v>
      </c>
      <c r="G32" s="109" t="n">
        <v>0.03</v>
      </c>
      <c r="H32" s="109" t="n">
        <v>0.04</v>
      </c>
      <c r="I32" s="109" t="n">
        <v>0.06</v>
      </c>
      <c r="J32" s="109" t="n">
        <v>0.05</v>
      </c>
      <c r="K32" s="109" t="n">
        <v>0.16</v>
      </c>
      <c r="L32" s="109" t="n">
        <v>0.16</v>
      </c>
      <c r="M32" s="109" t="n">
        <v>0.36</v>
      </c>
      <c r="N32" s="108" t="n">
        <v>0.36</v>
      </c>
      <c r="O32" s="108" t="n">
        <v>1.98</v>
      </c>
      <c r="P32" s="108" t="n">
        <v>1.91</v>
      </c>
      <c r="Q32" s="108" t="n">
        <v>1.1</v>
      </c>
      <c r="R32" s="108" t="n">
        <v>0.23</v>
      </c>
      <c r="S32" s="108" t="n">
        <v>0.45</v>
      </c>
      <c r="T32" s="108" t="n">
        <v>0.42</v>
      </c>
      <c r="U32" s="108" t="n">
        <v>0.08</v>
      </c>
      <c r="V32" s="108" t="n">
        <v>0.03</v>
      </c>
      <c r="W32" s="108" t="n">
        <v>2.41</v>
      </c>
      <c r="X32" s="109" t="n">
        <v>0.18</v>
      </c>
      <c r="Y32" s="109" t="n">
        <v>0.03</v>
      </c>
      <c r="Z32" s="109" t="n">
        <v>3.35</v>
      </c>
      <c r="AA32" s="109" t="n">
        <v>0.07000000000000001</v>
      </c>
      <c r="AB32" s="109" t="n">
        <v>-0.22</v>
      </c>
      <c r="AC32" s="108" t="n">
        <v>-0.04</v>
      </c>
      <c r="AD32" s="108" t="n">
        <v>-0.04</v>
      </c>
      <c r="AE32" s="108" t="n">
        <v>0.11</v>
      </c>
      <c r="AF32" s="108" t="n">
        <v>0.5</v>
      </c>
      <c r="AG32" s="108" t="n">
        <v>0.05</v>
      </c>
      <c r="AH32" s="108" t="n">
        <v>1.22</v>
      </c>
      <c r="AI32" s="108" t="n">
        <v>0.36</v>
      </c>
      <c r="AJ32" s="108" t="n">
        <v>2.08</v>
      </c>
      <c r="AK32" s="106" t="inlineStr">
        <is>
          <t>Grey</t>
        </is>
      </c>
      <c r="AL32" s="108" t="n">
        <v>0.11</v>
      </c>
      <c r="AM32" s="108" t="n">
        <v>0.5</v>
      </c>
      <c r="AN32" s="108" t="n">
        <v>0.05</v>
      </c>
      <c r="AO32" s="108" t="n">
        <v>1.22</v>
      </c>
      <c r="AP32" s="108" t="n">
        <v>0.36</v>
      </c>
      <c r="AQ32" s="107" t="n">
        <v>1.52</v>
      </c>
      <c r="AR32" s="107" t="inlineStr">
        <is>
          <t>Grey</t>
        </is>
      </c>
      <c r="AS32" s="108" t="n">
        <v>0.11</v>
      </c>
      <c r="AT32" s="108" t="n">
        <v>0.5</v>
      </c>
      <c r="AU32" s="108" t="n">
        <v>0.05</v>
      </c>
      <c r="AV32" s="108" t="n">
        <v>1.22</v>
      </c>
      <c r="AW32" s="107" t="n">
        <v>3.96</v>
      </c>
      <c r="AX32" s="107" t="inlineStr">
        <is>
          <t>Safe</t>
        </is>
      </c>
      <c r="AY32" s="108" t="n">
        <v>0.11</v>
      </c>
      <c r="AZ32" s="108" t="n">
        <v>0.05</v>
      </c>
      <c r="BA32" s="108" t="n">
        <v>0.32</v>
      </c>
      <c r="BB32" s="108" t="n">
        <v>0.36</v>
      </c>
      <c r="BC32" s="107" t="n">
        <v>0.61</v>
      </c>
      <c r="BD32" s="107" t="inlineStr">
        <is>
          <t>Distress</t>
        </is>
      </c>
      <c r="BE32" s="108" t="n">
        <v>0.03</v>
      </c>
      <c r="BF32" s="108" t="n">
        <v>0.45</v>
      </c>
      <c r="BG32" s="108" t="n">
        <v>1.98</v>
      </c>
      <c r="BH32" s="108" t="n">
        <v>-1.91</v>
      </c>
      <c r="BI32" s="107" t="n">
        <v>0.13</v>
      </c>
      <c r="BJ32" s="107" t="inlineStr">
        <is>
          <t>Healthy</t>
        </is>
      </c>
      <c r="BK32" s="107" t="n">
        <v>1</v>
      </c>
      <c r="BL32" s="107" t="n">
        <v>1</v>
      </c>
      <c r="BM32" s="107" t="n">
        <v>0</v>
      </c>
      <c r="BN32" s="107" t="n">
        <v>1</v>
      </c>
      <c r="BO32" s="107" t="n">
        <v>1</v>
      </c>
      <c r="BP32" s="107" t="n">
        <v>1</v>
      </c>
      <c r="BQ32" s="107" t="n">
        <v>0</v>
      </c>
      <c r="BR32" s="107" t="n">
        <v>0</v>
      </c>
      <c r="BS32" s="107" t="n">
        <v>0</v>
      </c>
      <c r="BT32" s="107" t="n">
        <v>5</v>
      </c>
      <c r="BU32" s="107" t="inlineStr">
        <is>
          <t>Mixed</t>
        </is>
      </c>
      <c r="BV32" s="108" t="n">
        <v>1.07</v>
      </c>
      <c r="BW32" s="108" t="n">
        <v>1.01</v>
      </c>
      <c r="BX32" s="108" t="n">
        <v>1</v>
      </c>
      <c r="BY32" s="108" t="n">
        <v>1.07</v>
      </c>
      <c r="BZ32" s="108" t="n">
        <v>0.99</v>
      </c>
      <c r="CA32" s="108" t="n">
        <v>1.04</v>
      </c>
      <c r="CB32" s="108" t="n">
        <v>1.08</v>
      </c>
      <c r="CC32" s="108" t="n">
        <v>-0.04</v>
      </c>
      <c r="CD32" s="107" t="n">
        <v>-2.58</v>
      </c>
      <c r="CE32" s="107" t="inlineStr">
        <is>
          <t>Lower Risk</t>
        </is>
      </c>
      <c r="CF32" s="108" t="n">
        <v>0.19</v>
      </c>
      <c r="CG32" s="108" t="n">
        <v>49.57</v>
      </c>
      <c r="CH32" s="107" t="n">
        <v>0</v>
      </c>
      <c r="CI32" s="107" t="inlineStr">
        <is>
          <t>CLEAR</t>
        </is>
      </c>
    </row>
    <row r="33" ht="17" customHeight="1">
      <c r="A33" s="103" t="inlineStr">
        <is>
          <t>CEVA</t>
        </is>
      </c>
      <c r="B33" s="103" t="inlineStr">
        <is>
          <t>Ceva, Inc.</t>
        </is>
      </c>
      <c r="C33" s="104" t="n">
        <v>256153000</v>
      </c>
      <c r="D33" s="105" t="n">
        <v>-0.13</v>
      </c>
      <c r="E33" s="105" t="n">
        <v>-0.05</v>
      </c>
      <c r="F33" s="105" t="n">
        <v>-0.12</v>
      </c>
      <c r="G33" s="105" t="n">
        <v>-0.03</v>
      </c>
      <c r="H33" s="105" t="n">
        <v>-0.03</v>
      </c>
      <c r="I33" s="105" t="n">
        <v>-0.03</v>
      </c>
      <c r="J33" s="105" t="n">
        <v>-0.03</v>
      </c>
      <c r="K33" s="105" t="n">
        <v>1.09</v>
      </c>
      <c r="L33" s="105" t="n">
        <v>1.3</v>
      </c>
      <c r="M33" s="105" t="n">
        <v>0.23</v>
      </c>
      <c r="N33" s="104" t="n">
        <v>0.24</v>
      </c>
      <c r="O33" s="104" t="n">
        <v>9.93</v>
      </c>
      <c r="P33" s="104" t="n">
        <v>7.09</v>
      </c>
      <c r="Q33" s="104" t="n">
        <v>9.92</v>
      </c>
      <c r="R33" s="104" t="n">
        <v>1.41</v>
      </c>
      <c r="S33" s="104" t="n">
        <v>1</v>
      </c>
      <c r="T33" s="104" t="n">
        <v>1</v>
      </c>
      <c r="U33" s="113" t="inlineStr">
        <is>
          <t>N/A</t>
        </is>
      </c>
      <c r="V33" s="113" t="inlineStr">
        <is>
          <t>N/A</t>
        </is>
      </c>
      <c r="W33" s="104" t="n">
        <v>0.32</v>
      </c>
      <c r="X33" s="105" t="n">
        <v>-0.07000000000000001</v>
      </c>
      <c r="Y33" s="105" t="n">
        <v>0.86</v>
      </c>
      <c r="Z33" s="113" t="inlineStr">
        <is>
          <t>N/A</t>
        </is>
      </c>
      <c r="AA33" s="105" t="n">
        <v>0.2</v>
      </c>
      <c r="AB33" s="105" t="n">
        <v>0.21</v>
      </c>
      <c r="AC33" s="104" t="n">
        <v>-0.02</v>
      </c>
      <c r="AD33" s="104" t="n">
        <v>-0.02</v>
      </c>
      <c r="AE33" s="104" t="n">
        <v>0.66</v>
      </c>
      <c r="AF33" s="104" t="n">
        <v>-0</v>
      </c>
      <c r="AG33" s="104" t="n">
        <v>-0.03</v>
      </c>
      <c r="AH33" s="104" t="n">
        <v>0.87</v>
      </c>
      <c r="AI33" s="104" t="n">
        <v>0.23</v>
      </c>
      <c r="AJ33" s="104" t="n">
        <v>1.44</v>
      </c>
      <c r="AK33" s="112" t="inlineStr">
        <is>
          <t>Distress</t>
        </is>
      </c>
      <c r="AL33" s="104" t="n">
        <v>0.66</v>
      </c>
      <c r="AM33" s="104" t="n">
        <v>-0</v>
      </c>
      <c r="AN33" s="104" t="n">
        <v>-0.03</v>
      </c>
      <c r="AO33" s="104" t="n">
        <v>0.87</v>
      </c>
      <c r="AP33" s="104" t="n">
        <v>0.23</v>
      </c>
      <c r="AQ33" s="103" t="n">
        <v>0.97</v>
      </c>
      <c r="AR33" s="103" t="inlineStr">
        <is>
          <t>Distress</t>
        </is>
      </c>
      <c r="AS33" s="104" t="n">
        <v>0.66</v>
      </c>
      <c r="AT33" s="104" t="n">
        <v>-0</v>
      </c>
      <c r="AU33" s="104" t="n">
        <v>-0.03</v>
      </c>
      <c r="AV33" s="104" t="n">
        <v>0.87</v>
      </c>
      <c r="AW33" s="103" t="n">
        <v>5.04</v>
      </c>
      <c r="AX33" s="103" t="inlineStr">
        <is>
          <t>Safe</t>
        </is>
      </c>
      <c r="AY33" s="104" t="n">
        <v>0.66</v>
      </c>
      <c r="AZ33" s="104" t="n">
        <v>-0.03</v>
      </c>
      <c r="BA33" s="104" t="n">
        <v>-0.16</v>
      </c>
      <c r="BB33" s="104" t="n">
        <v>0.23</v>
      </c>
      <c r="BC33" s="103" t="n">
        <v>0.57</v>
      </c>
      <c r="BD33" s="103" t="inlineStr">
        <is>
          <t>Distress</t>
        </is>
      </c>
      <c r="BE33" s="104" t="n">
        <v>-0.03</v>
      </c>
      <c r="BF33" s="104" t="n">
        <v>1</v>
      </c>
      <c r="BG33" s="104" t="n">
        <v>9.93</v>
      </c>
      <c r="BH33" s="104" t="n">
        <v>1.51</v>
      </c>
      <c r="BI33" s="103" t="n">
        <v>0.82</v>
      </c>
      <c r="BJ33" s="103" t="inlineStr">
        <is>
          <t>Distress</t>
        </is>
      </c>
      <c r="BK33" s="103" t="n">
        <v>0</v>
      </c>
      <c r="BL33" s="103" t="n">
        <v>0</v>
      </c>
      <c r="BM33" s="103" t="n">
        <v>1</v>
      </c>
      <c r="BN33" s="103" t="n">
        <v>1</v>
      </c>
      <c r="BO33" s="103" t="n">
        <v>0</v>
      </c>
      <c r="BP33" s="103" t="n">
        <v>1</v>
      </c>
      <c r="BQ33" s="103" t="n">
        <v>0</v>
      </c>
      <c r="BR33" s="103" t="n">
        <v>0</v>
      </c>
      <c r="BS33" s="103" t="n">
        <v>0</v>
      </c>
      <c r="BT33" s="103" t="n">
        <v>3</v>
      </c>
      <c r="BU33" s="103" t="inlineStr">
        <is>
          <t>Weak</t>
        </is>
      </c>
      <c r="BV33" s="104" t="n">
        <v>1.1</v>
      </c>
      <c r="BW33" s="104" t="n">
        <v>1.19</v>
      </c>
      <c r="BX33" s="104" t="n">
        <v>0.89</v>
      </c>
      <c r="BY33" s="104" t="n">
        <v>1.2</v>
      </c>
      <c r="BZ33" s="104" t="n">
        <v>0.9399999999999999</v>
      </c>
      <c r="CA33" s="104" t="n">
        <v>0.89</v>
      </c>
      <c r="CB33" s="104" t="n">
        <v>1</v>
      </c>
      <c r="CC33" s="104" t="n">
        <v>-0.02</v>
      </c>
      <c r="CD33" s="103" t="n">
        <v>-2.22</v>
      </c>
      <c r="CE33" s="103" t="inlineStr">
        <is>
          <t>Lower Risk</t>
        </is>
      </c>
      <c r="CF33" s="113" t="inlineStr">
        <is>
          <t>N/A</t>
        </is>
      </c>
      <c r="CG33" s="104" t="n">
        <v>38.57</v>
      </c>
      <c r="CH33" s="103" t="n">
        <v>20</v>
      </c>
      <c r="CI33" s="103" t="inlineStr">
        <is>
          <t>CLEAR</t>
        </is>
      </c>
    </row>
    <row r="34" ht="17" customHeight="1">
      <c r="A34" s="107" t="inlineStr">
        <is>
          <t>EHC</t>
        </is>
      </c>
      <c r="B34" s="107" t="inlineStr">
        <is>
          <t>Encompass Health Corporation</t>
        </is>
      </c>
      <c r="C34" s="108" t="n">
        <v>69500000</v>
      </c>
      <c r="D34" s="109" t="n">
        <v>0.09</v>
      </c>
      <c r="E34" s="109" t="n">
        <v>0.16</v>
      </c>
      <c r="F34" s="109" t="n">
        <v>0.1</v>
      </c>
      <c r="G34" s="109" t="n">
        <v>0.08</v>
      </c>
      <c r="H34" s="109" t="n">
        <v>0.07000000000000001</v>
      </c>
      <c r="I34" s="109" t="n">
        <v>0.23</v>
      </c>
      <c r="J34" s="109" t="n">
        <v>0.09</v>
      </c>
      <c r="K34" s="111" t="inlineStr">
        <is>
          <t>N/A</t>
        </is>
      </c>
      <c r="L34" s="111" t="inlineStr">
        <is>
          <t>N/A</t>
        </is>
      </c>
      <c r="M34" s="109" t="n">
        <v>0.84</v>
      </c>
      <c r="N34" s="108" t="n">
        <v>0.82</v>
      </c>
      <c r="O34" s="108" t="n">
        <v>1.08</v>
      </c>
      <c r="P34" s="108" t="n">
        <v>1.05</v>
      </c>
      <c r="Q34" s="108" t="n">
        <v>1.08</v>
      </c>
      <c r="R34" s="108" t="n">
        <v>0.09</v>
      </c>
      <c r="S34" s="108" t="n">
        <v>0.54</v>
      </c>
      <c r="T34" s="108" t="n">
        <v>0.5600000000000001</v>
      </c>
      <c r="U34" s="108" t="n">
        <v>0.51</v>
      </c>
      <c r="V34" s="108" t="n">
        <v>0.48</v>
      </c>
      <c r="W34" s="108" t="n">
        <v>1.25</v>
      </c>
      <c r="X34" s="109" t="n">
        <v>0.02</v>
      </c>
      <c r="Y34" s="111" t="inlineStr">
        <is>
          <t>N/A</t>
        </is>
      </c>
      <c r="Z34" s="109" t="n">
        <v>3.76</v>
      </c>
      <c r="AA34" s="109" t="n">
        <v>0.1</v>
      </c>
      <c r="AB34" s="109" t="n">
        <v>0.24</v>
      </c>
      <c r="AC34" s="108" t="n">
        <v>-0.02</v>
      </c>
      <c r="AD34" s="108" t="n">
        <v>-0.02</v>
      </c>
      <c r="AE34" s="108" t="n">
        <v>0.01</v>
      </c>
      <c r="AF34" s="108" t="n">
        <v>0.18</v>
      </c>
      <c r="AG34" s="108" t="n">
        <v>0.08</v>
      </c>
      <c r="AH34" s="108" t="n">
        <v>0.64</v>
      </c>
      <c r="AI34" s="108" t="n">
        <v>0.84</v>
      </c>
      <c r="AJ34" s="108" t="n">
        <v>1.74</v>
      </c>
      <c r="AK34" s="112" t="inlineStr">
        <is>
          <t>Distress</t>
        </is>
      </c>
      <c r="AL34" s="108" t="n">
        <v>0.01</v>
      </c>
      <c r="AM34" s="108" t="n">
        <v>0.18</v>
      </c>
      <c r="AN34" s="108" t="n">
        <v>0.08</v>
      </c>
      <c r="AO34" s="108" t="n">
        <v>0.64</v>
      </c>
      <c r="AP34" s="108" t="n">
        <v>0.84</v>
      </c>
      <c r="AQ34" s="107" t="n">
        <v>1.5</v>
      </c>
      <c r="AR34" s="107" t="inlineStr">
        <is>
          <t>Grey</t>
        </is>
      </c>
      <c r="AS34" s="108" t="n">
        <v>0.01</v>
      </c>
      <c r="AT34" s="108" t="n">
        <v>0.18</v>
      </c>
      <c r="AU34" s="108" t="n">
        <v>0.08</v>
      </c>
      <c r="AV34" s="108" t="n">
        <v>0.64</v>
      </c>
      <c r="AW34" s="107" t="n">
        <v>1.84</v>
      </c>
      <c r="AX34" s="107" t="inlineStr">
        <is>
          <t>Grey</t>
        </is>
      </c>
      <c r="AY34" s="108" t="n">
        <v>0.01</v>
      </c>
      <c r="AZ34" s="108" t="n">
        <v>0.08</v>
      </c>
      <c r="BA34" s="108" t="n">
        <v>1.14</v>
      </c>
      <c r="BB34" s="108" t="n">
        <v>0.84</v>
      </c>
      <c r="BC34" s="107" t="n">
        <v>1.33</v>
      </c>
      <c r="BD34" s="107" t="inlineStr">
        <is>
          <t>Healthy</t>
        </is>
      </c>
      <c r="BE34" s="108" t="n">
        <v>0.08</v>
      </c>
      <c r="BF34" s="108" t="n">
        <v>0.54</v>
      </c>
      <c r="BG34" s="108" t="n">
        <v>1.08</v>
      </c>
      <c r="BH34" s="108" t="n">
        <v>-1.64</v>
      </c>
      <c r="BI34" s="107" t="n">
        <v>0.16</v>
      </c>
      <c r="BJ34" s="107" t="inlineStr">
        <is>
          <t>Healthy</t>
        </is>
      </c>
      <c r="BK34" s="107" t="n">
        <v>1</v>
      </c>
      <c r="BL34" s="107" t="n">
        <v>1</v>
      </c>
      <c r="BM34" s="107" t="n">
        <v>1</v>
      </c>
      <c r="BN34" s="107" t="n">
        <v>1</v>
      </c>
      <c r="BO34" s="107" t="n">
        <v>1</v>
      </c>
      <c r="BP34" s="107" t="n">
        <v>1</v>
      </c>
      <c r="BQ34" s="107" t="n">
        <v>1</v>
      </c>
      <c r="BR34" s="107" t="n">
        <v>0</v>
      </c>
      <c r="BS34" s="107" t="n">
        <v>1</v>
      </c>
      <c r="BT34" s="107" t="n">
        <v>8</v>
      </c>
      <c r="BU34" s="107" t="inlineStr">
        <is>
          <t>Strong</t>
        </is>
      </c>
      <c r="BV34" s="108" t="n">
        <v>0.9399999999999999</v>
      </c>
      <c r="BW34" s="111" t="inlineStr">
        <is>
          <t>N/A</t>
        </is>
      </c>
      <c r="BX34" s="108" t="n">
        <v>0.97</v>
      </c>
      <c r="BY34" s="108" t="n">
        <v>1.1</v>
      </c>
      <c r="BZ34" s="108" t="n">
        <v>1.08</v>
      </c>
      <c r="CA34" s="108" t="n">
        <v>1.02</v>
      </c>
      <c r="CB34" s="108" t="n">
        <v>0.95</v>
      </c>
      <c r="CC34" s="108" t="n">
        <v>-0.02</v>
      </c>
      <c r="CD34" s="111" t="inlineStr">
        <is>
          <t>N/A</t>
        </is>
      </c>
      <c r="CE34" s="111" t="inlineStr">
        <is>
          <t>N/A</t>
        </is>
      </c>
      <c r="CF34" s="108" t="n">
        <v>1.34</v>
      </c>
      <c r="CG34" s="108" t="n">
        <v>60.64</v>
      </c>
      <c r="CH34" s="107" t="n">
        <v>0</v>
      </c>
      <c r="CI34" s="107" t="inlineStr">
        <is>
          <t>CLEAR</t>
        </is>
      </c>
    </row>
    <row r="35" ht="17" customHeight="1">
      <c r="A35" s="103" t="inlineStr">
        <is>
          <t>TOL</t>
        </is>
      </c>
      <c r="B35" s="103" t="inlineStr">
        <is>
          <t>Toll Brothers, Inc.</t>
        </is>
      </c>
      <c r="C35" s="113" t="inlineStr">
        <is>
          <t>N/A</t>
        </is>
      </c>
      <c r="D35" s="105" t="n">
        <v>0.24</v>
      </c>
      <c r="E35" s="105" t="n">
        <v>0.25</v>
      </c>
      <c r="F35" s="105" t="n">
        <v>0.19</v>
      </c>
      <c r="G35" s="105" t="n">
        <v>0.09</v>
      </c>
      <c r="H35" s="105" t="n">
        <v>0.03</v>
      </c>
      <c r="I35" s="105" t="n">
        <v>0.16</v>
      </c>
      <c r="J35" s="113" t="inlineStr">
        <is>
          <t>N/A</t>
        </is>
      </c>
      <c r="K35" s="105" t="n">
        <v>0.07000000000000001</v>
      </c>
      <c r="L35" s="105" t="n">
        <v>0.05</v>
      </c>
      <c r="M35" s="105" t="n">
        <v>0.49</v>
      </c>
      <c r="N35" s="104" t="n">
        <v>0.8100000000000001</v>
      </c>
      <c r="O35" s="113" t="inlineStr">
        <is>
          <t>N/A</t>
        </is>
      </c>
      <c r="P35" s="113" t="inlineStr">
        <is>
          <t>N/A</t>
        </is>
      </c>
      <c r="Q35" s="113" t="inlineStr">
        <is>
          <t>N/A</t>
        </is>
      </c>
      <c r="R35" s="113" t="inlineStr">
        <is>
          <t>N/A</t>
        </is>
      </c>
      <c r="S35" s="104" t="n">
        <v>0.43</v>
      </c>
      <c r="T35" s="104" t="n">
        <v>0.42</v>
      </c>
      <c r="U35" s="113" t="inlineStr">
        <is>
          <t>N/A</t>
        </is>
      </c>
      <c r="V35" s="113" t="inlineStr">
        <is>
          <t>N/A</t>
        </is>
      </c>
      <c r="W35" s="104" t="n">
        <v>0.83</v>
      </c>
      <c r="X35" s="105" t="n">
        <v>0.14</v>
      </c>
      <c r="Y35" s="113" t="inlineStr">
        <is>
          <t>N/A</t>
        </is>
      </c>
      <c r="Z35" s="113" t="inlineStr">
        <is>
          <t>N/A</t>
        </is>
      </c>
      <c r="AA35" s="105" t="n">
        <v>-0.34</v>
      </c>
      <c r="AB35" s="105" t="n">
        <v>2.01</v>
      </c>
      <c r="AC35" s="104" t="n">
        <v>0.02</v>
      </c>
      <c r="AD35" s="104" t="n">
        <v>0.02</v>
      </c>
      <c r="AE35" s="113" t="inlineStr">
        <is>
          <t>N/A</t>
        </is>
      </c>
      <c r="AF35" s="104" t="n">
        <v>0.59</v>
      </c>
      <c r="AG35" s="104" t="n">
        <v>0.12</v>
      </c>
      <c r="AH35" s="104" t="n">
        <v>1.33</v>
      </c>
      <c r="AI35" s="104" t="n">
        <v>0.49</v>
      </c>
      <c r="AJ35" s="113" t="inlineStr">
        <is>
          <t>N/A</t>
        </is>
      </c>
      <c r="AK35" s="113" t="inlineStr">
        <is>
          <t>N/A</t>
        </is>
      </c>
      <c r="AL35" s="113" t="inlineStr">
        <is>
          <t>N/A</t>
        </is>
      </c>
      <c r="AM35" s="104" t="n">
        <v>0.59</v>
      </c>
      <c r="AN35" s="104" t="n">
        <v>0.12</v>
      </c>
      <c r="AO35" s="104" t="n">
        <v>1.33</v>
      </c>
      <c r="AP35" s="104" t="n">
        <v>0.49</v>
      </c>
      <c r="AQ35" s="113" t="inlineStr">
        <is>
          <t>N/A</t>
        </is>
      </c>
      <c r="AR35" s="113" t="inlineStr">
        <is>
          <t>N/A</t>
        </is>
      </c>
      <c r="AS35" s="113" t="inlineStr">
        <is>
          <t>N/A</t>
        </is>
      </c>
      <c r="AT35" s="104" t="n">
        <v>0.59</v>
      </c>
      <c r="AU35" s="104" t="n">
        <v>0.12</v>
      </c>
      <c r="AV35" s="104" t="n">
        <v>1.33</v>
      </c>
      <c r="AW35" s="113" t="inlineStr">
        <is>
          <t>N/A</t>
        </is>
      </c>
      <c r="AX35" s="113" t="inlineStr">
        <is>
          <t>N/A</t>
        </is>
      </c>
      <c r="AY35" s="113" t="inlineStr">
        <is>
          <t>N/A</t>
        </is>
      </c>
      <c r="AZ35" s="104" t="n">
        <v>0.12</v>
      </c>
      <c r="BA35" s="113" t="inlineStr">
        <is>
          <t>N/A</t>
        </is>
      </c>
      <c r="BB35" s="104" t="n">
        <v>0.49</v>
      </c>
      <c r="BC35" s="113" t="inlineStr">
        <is>
          <t>N/A</t>
        </is>
      </c>
      <c r="BD35" s="113" t="inlineStr">
        <is>
          <t>N/A</t>
        </is>
      </c>
      <c r="BE35" s="104" t="n">
        <v>0.09</v>
      </c>
      <c r="BF35" s="104" t="n">
        <v>0.43</v>
      </c>
      <c r="BG35" s="113" t="inlineStr">
        <is>
          <t>N/A</t>
        </is>
      </c>
      <c r="BH35" s="113" t="inlineStr">
        <is>
          <t>N/A</t>
        </is>
      </c>
      <c r="BI35" s="113" t="inlineStr">
        <is>
          <t>N/A</t>
        </is>
      </c>
      <c r="BJ35" s="113" t="inlineStr">
        <is>
          <t>N/A</t>
        </is>
      </c>
      <c r="BK35" s="103" t="n">
        <v>1</v>
      </c>
      <c r="BL35" s="103" t="n">
        <v>1</v>
      </c>
      <c r="BM35" s="103" t="n">
        <v>1</v>
      </c>
      <c r="BN35" s="103" t="n">
        <v>0</v>
      </c>
      <c r="BO35" s="103" t="n">
        <v>0</v>
      </c>
      <c r="BP35" s="103" t="n">
        <v>0</v>
      </c>
      <c r="BQ35" s="103" t="n">
        <v>1</v>
      </c>
      <c r="BR35" s="103" t="n">
        <v>1</v>
      </c>
      <c r="BS35" s="103" t="n">
        <v>0</v>
      </c>
      <c r="BT35" s="103" t="n">
        <v>5</v>
      </c>
      <c r="BU35" s="103" t="inlineStr">
        <is>
          <t>Mixed</t>
        </is>
      </c>
      <c r="BV35" s="113" t="inlineStr">
        <is>
          <t>N/A</t>
        </is>
      </c>
      <c r="BW35" s="104" t="n">
        <v>0.66</v>
      </c>
      <c r="BX35" s="104" t="n">
        <v>1.02</v>
      </c>
      <c r="BY35" s="104" t="n">
        <v>0.66</v>
      </c>
      <c r="BZ35" s="104" t="n">
        <v>0.66</v>
      </c>
      <c r="CA35" s="104" t="n">
        <v>1.6</v>
      </c>
      <c r="CB35" s="104" t="n">
        <v>1.01</v>
      </c>
      <c r="CC35" s="104" t="n">
        <v>0.02</v>
      </c>
      <c r="CD35" s="113" t="inlineStr">
        <is>
          <t>N/A</t>
        </is>
      </c>
      <c r="CE35" s="113" t="inlineStr">
        <is>
          <t>N/A</t>
        </is>
      </c>
      <c r="CF35" s="113" t="inlineStr">
        <is>
          <t>N/A</t>
        </is>
      </c>
      <c r="CG35" s="104" t="n">
        <v>44.37</v>
      </c>
      <c r="CH35" s="103" t="n">
        <v>0</v>
      </c>
      <c r="CI35" s="103" t="inlineStr">
        <is>
          <t>CLEAR</t>
        </is>
      </c>
    </row>
    <row r="36" ht="17" customHeight="1">
      <c r="A36" s="107" t="inlineStr">
        <is>
          <t>CLX</t>
        </is>
      </c>
      <c r="B36" s="107" t="inlineStr">
        <is>
          <t>CLOROX CO /DE/</t>
        </is>
      </c>
      <c r="C36" s="108" t="n">
        <v>-311000000</v>
      </c>
      <c r="D36" s="109" t="n">
        <v>0.18</v>
      </c>
      <c r="E36" s="109" t="n">
        <v>0.18</v>
      </c>
      <c r="F36" s="109" t="n">
        <v>0.13</v>
      </c>
      <c r="G36" s="109" t="n">
        <v>0.15</v>
      </c>
      <c r="H36" s="109" t="n">
        <v>0.05</v>
      </c>
      <c r="I36" s="109" t="n">
        <v>2.52</v>
      </c>
      <c r="J36" s="109" t="n">
        <v>0.3</v>
      </c>
      <c r="K36" s="109" t="n">
        <v>0.52</v>
      </c>
      <c r="L36" s="109" t="n">
        <v>0.5</v>
      </c>
      <c r="M36" s="109" t="n">
        <v>1.1</v>
      </c>
      <c r="N36" s="108" t="n">
        <v>1.06</v>
      </c>
      <c r="O36" s="108" t="n">
        <v>0.84</v>
      </c>
      <c r="P36" s="108" t="n">
        <v>1.03</v>
      </c>
      <c r="Q36" s="108" t="n">
        <v>0.57</v>
      </c>
      <c r="R36" s="108" t="n">
        <v>0.09</v>
      </c>
      <c r="S36" s="108" t="n">
        <v>0.91</v>
      </c>
      <c r="T36" s="108" t="n">
        <v>0.91</v>
      </c>
      <c r="U36" s="108" t="n">
        <v>8.369999999999999</v>
      </c>
      <c r="V36" s="108" t="n">
        <v>7.85</v>
      </c>
      <c r="W36" s="108" t="n">
        <v>1.21</v>
      </c>
      <c r="X36" s="109" t="n">
        <v>0.12</v>
      </c>
      <c r="Y36" s="109" t="n">
        <v>0.02</v>
      </c>
      <c r="Z36" s="109" t="n">
        <v>12.25</v>
      </c>
      <c r="AA36" s="109" t="n">
        <v>0</v>
      </c>
      <c r="AB36" s="109" t="n">
        <v>1.89</v>
      </c>
      <c r="AC36" s="108" t="n">
        <v>-0.03</v>
      </c>
      <c r="AD36" s="108" t="n">
        <v>-0.03</v>
      </c>
      <c r="AE36" s="108" t="n">
        <v>-0.06</v>
      </c>
      <c r="AF36" s="108" t="n">
        <v>0.08</v>
      </c>
      <c r="AG36" s="108" t="n">
        <v>0.19</v>
      </c>
      <c r="AH36" s="108" t="n">
        <v>0.06</v>
      </c>
      <c r="AI36" s="108" t="n">
        <v>1.1</v>
      </c>
      <c r="AJ36" s="108" t="n">
        <v>1.82</v>
      </c>
      <c r="AK36" s="106" t="inlineStr">
        <is>
          <t>Grey</t>
        </is>
      </c>
      <c r="AL36" s="108" t="n">
        <v>-0.06</v>
      </c>
      <c r="AM36" s="108" t="n">
        <v>0.08</v>
      </c>
      <c r="AN36" s="108" t="n">
        <v>0.19</v>
      </c>
      <c r="AO36" s="108" t="n">
        <v>0.06</v>
      </c>
      <c r="AP36" s="108" t="n">
        <v>1.1</v>
      </c>
      <c r="AQ36" s="107" t="n">
        <v>1.75</v>
      </c>
      <c r="AR36" s="107" t="inlineStr">
        <is>
          <t>Grey</t>
        </is>
      </c>
      <c r="AS36" s="108" t="n">
        <v>-0.06</v>
      </c>
      <c r="AT36" s="108" t="n">
        <v>0.08</v>
      </c>
      <c r="AU36" s="108" t="n">
        <v>0.19</v>
      </c>
      <c r="AV36" s="108" t="n">
        <v>0.06</v>
      </c>
      <c r="AW36" s="107" t="n">
        <v>1.26</v>
      </c>
      <c r="AX36" s="107" t="inlineStr">
        <is>
          <t>Grey</t>
        </is>
      </c>
      <c r="AY36" s="108" t="n">
        <v>-0.06</v>
      </c>
      <c r="AZ36" s="108" t="n">
        <v>0.19</v>
      </c>
      <c r="BA36" s="108" t="n">
        <v>0.5600000000000001</v>
      </c>
      <c r="BB36" s="108" t="n">
        <v>1.1</v>
      </c>
      <c r="BC36" s="107" t="n">
        <v>1.35</v>
      </c>
      <c r="BD36" s="107" t="inlineStr">
        <is>
          <t>Healthy</t>
        </is>
      </c>
      <c r="BE36" s="108" t="n">
        <v>0.15</v>
      </c>
      <c r="BF36" s="108" t="n">
        <v>0.91</v>
      </c>
      <c r="BG36" s="108" t="n">
        <v>0.84</v>
      </c>
      <c r="BH36" s="108" t="n">
        <v>0.2</v>
      </c>
      <c r="BI36" s="107" t="n">
        <v>0.55</v>
      </c>
      <c r="BJ36" s="107" t="inlineStr">
        <is>
          <t>Distress</t>
        </is>
      </c>
      <c r="BK36" s="107" t="n">
        <v>1</v>
      </c>
      <c r="BL36" s="107" t="n">
        <v>1</v>
      </c>
      <c r="BM36" s="107" t="n">
        <v>1</v>
      </c>
      <c r="BN36" s="107" t="n">
        <v>1</v>
      </c>
      <c r="BO36" s="107" t="n">
        <v>0</v>
      </c>
      <c r="BP36" s="107" t="n">
        <v>0</v>
      </c>
      <c r="BQ36" s="107" t="n">
        <v>1</v>
      </c>
      <c r="BR36" s="107" t="n">
        <v>1</v>
      </c>
      <c r="BS36" s="107" t="n">
        <v>1</v>
      </c>
      <c r="BT36" s="107" t="n">
        <v>7</v>
      </c>
      <c r="BU36" s="107" t="inlineStr">
        <is>
          <t>Strong</t>
        </is>
      </c>
      <c r="BV36" s="108" t="n">
        <v>1.18</v>
      </c>
      <c r="BW36" s="108" t="n">
        <v>0.95</v>
      </c>
      <c r="BX36" s="108" t="n">
        <v>0.99</v>
      </c>
      <c r="BY36" s="108" t="n">
        <v>1</v>
      </c>
      <c r="BZ36" s="108" t="n">
        <v>0.99</v>
      </c>
      <c r="CA36" s="108" t="n">
        <v>0.96</v>
      </c>
      <c r="CB36" s="108" t="n">
        <v>1</v>
      </c>
      <c r="CC36" s="108" t="n">
        <v>-0.03</v>
      </c>
      <c r="CD36" s="107" t="n">
        <v>-2.48</v>
      </c>
      <c r="CE36" s="107" t="inlineStr">
        <is>
          <t>Lower Risk</t>
        </is>
      </c>
      <c r="CF36" s="108" t="n">
        <v>2.03</v>
      </c>
      <c r="CG36" s="108" t="n">
        <v>56.86</v>
      </c>
      <c r="CH36" s="107" t="n">
        <v>0</v>
      </c>
      <c r="CI36" s="107" t="inlineStr">
        <is>
          <t>CLEAR</t>
        </is>
      </c>
    </row>
    <row r="37" ht="17" customHeight="1">
      <c r="A37" s="103" t="inlineStr">
        <is>
          <t>GRBK</t>
        </is>
      </c>
      <c r="B37" s="103" t="inlineStr">
        <is>
          <t>Green Brick Partners, Inc.</t>
        </is>
      </c>
      <c r="C37" s="104" t="n">
        <v>10817000</v>
      </c>
      <c r="D37" s="105" t="n">
        <v>0.03</v>
      </c>
      <c r="E37" s="105" t="n">
        <v>0.21</v>
      </c>
      <c r="F37" s="105" t="n">
        <v>0.15</v>
      </c>
      <c r="G37" s="105" t="n">
        <v>0.12</v>
      </c>
      <c r="H37" s="105" t="n">
        <v>0.12</v>
      </c>
      <c r="I37" s="105" t="n">
        <v>0.17</v>
      </c>
      <c r="J37" s="105" t="n">
        <v>0.03</v>
      </c>
      <c r="K37" s="105" t="n">
        <v>0.31</v>
      </c>
      <c r="L37" s="105" t="n">
        <v>0.31</v>
      </c>
      <c r="M37" s="105" t="n">
        <v>0.83</v>
      </c>
      <c r="N37" s="104" t="n">
        <v>0.8</v>
      </c>
      <c r="O37" s="104" t="n">
        <v>3.51</v>
      </c>
      <c r="P37" s="104" t="n">
        <v>0.19</v>
      </c>
      <c r="Q37" s="104" t="n">
        <v>0.39</v>
      </c>
      <c r="R37" s="104" t="n">
        <v>8.15</v>
      </c>
      <c r="S37" s="104" t="n">
        <v>0.24</v>
      </c>
      <c r="T37" s="104" t="n">
        <v>0.24</v>
      </c>
      <c r="U37" s="104" t="n">
        <v>0.17</v>
      </c>
      <c r="V37" s="104" t="n">
        <v>0.16</v>
      </c>
      <c r="W37" s="104" t="n">
        <v>0.68</v>
      </c>
      <c r="X37" s="105" t="n">
        <v>0.1</v>
      </c>
      <c r="Y37" s="113" t="inlineStr">
        <is>
          <t>N/A</t>
        </is>
      </c>
      <c r="Z37" s="113" t="inlineStr">
        <is>
          <t>N/A</t>
        </is>
      </c>
      <c r="AA37" s="105" t="n">
        <v>0.03</v>
      </c>
      <c r="AB37" s="105" t="n">
        <v>0</v>
      </c>
      <c r="AC37" s="104" t="n">
        <v>0.04</v>
      </c>
      <c r="AD37" s="104" t="n">
        <v>0.04</v>
      </c>
      <c r="AE37" s="104" t="n">
        <v>0</v>
      </c>
      <c r="AF37" s="104" t="n">
        <v>0.62</v>
      </c>
      <c r="AG37" s="104" t="n">
        <v>0.03</v>
      </c>
      <c r="AH37" s="104" t="n">
        <v>3.09</v>
      </c>
      <c r="AI37" s="104" t="n">
        <v>0.83</v>
      </c>
      <c r="AJ37" s="104" t="n">
        <v>3.65</v>
      </c>
      <c r="AK37" s="110" t="inlineStr">
        <is>
          <t>Safe</t>
        </is>
      </c>
      <c r="AL37" s="104" t="n">
        <v>0</v>
      </c>
      <c r="AM37" s="104" t="n">
        <v>0.62</v>
      </c>
      <c r="AN37" s="104" t="n">
        <v>0.03</v>
      </c>
      <c r="AO37" s="104" t="n">
        <v>3.09</v>
      </c>
      <c r="AP37" s="104" t="n">
        <v>0.83</v>
      </c>
      <c r="AQ37" s="103" t="n">
        <v>2.74</v>
      </c>
      <c r="AR37" s="103" t="inlineStr">
        <is>
          <t>Grey</t>
        </is>
      </c>
      <c r="AS37" s="104" t="n">
        <v>0</v>
      </c>
      <c r="AT37" s="104" t="n">
        <v>0.62</v>
      </c>
      <c r="AU37" s="104" t="n">
        <v>0.03</v>
      </c>
      <c r="AV37" s="104" t="n">
        <v>3.09</v>
      </c>
      <c r="AW37" s="103" t="n">
        <v>5.48</v>
      </c>
      <c r="AX37" s="103" t="inlineStr">
        <is>
          <t>Safe</t>
        </is>
      </c>
      <c r="AY37" s="104" t="n">
        <v>0</v>
      </c>
      <c r="AZ37" s="104" t="n">
        <v>0.03</v>
      </c>
      <c r="BA37" s="104" t="n">
        <v>101.62</v>
      </c>
      <c r="BB37" s="104" t="n">
        <v>0.83</v>
      </c>
      <c r="BC37" s="103" t="n">
        <v>67.48999999999999</v>
      </c>
      <c r="BD37" s="103" t="inlineStr">
        <is>
          <t>Healthy</t>
        </is>
      </c>
      <c r="BE37" s="104" t="n">
        <v>0.12</v>
      </c>
      <c r="BF37" s="104" t="n">
        <v>0.24</v>
      </c>
      <c r="BG37" s="104" t="n">
        <v>3.51</v>
      </c>
      <c r="BH37" s="104" t="n">
        <v>-3.53</v>
      </c>
      <c r="BI37" s="103" t="n">
        <v>0.03</v>
      </c>
      <c r="BJ37" s="103" t="inlineStr">
        <is>
          <t>Healthy</t>
        </is>
      </c>
      <c r="BK37" s="103" t="n">
        <v>1</v>
      </c>
      <c r="BL37" s="103" t="n">
        <v>1</v>
      </c>
      <c r="BM37" s="103" t="n">
        <v>0</v>
      </c>
      <c r="BN37" s="103" t="n">
        <v>0</v>
      </c>
      <c r="BO37" s="103" t="n">
        <v>0</v>
      </c>
      <c r="BP37" s="103" t="n">
        <v>1</v>
      </c>
      <c r="BQ37" s="103" t="n">
        <v>1</v>
      </c>
      <c r="BR37" s="103" t="n">
        <v>0</v>
      </c>
      <c r="BS37" s="103" t="n">
        <v>1</v>
      </c>
      <c r="BT37" s="103" t="n">
        <v>5</v>
      </c>
      <c r="BU37" s="103" t="inlineStr">
        <is>
          <t>Mixed</t>
        </is>
      </c>
      <c r="BV37" s="104" t="n">
        <v>0.66</v>
      </c>
      <c r="BW37" s="104" t="n">
        <v>1.03</v>
      </c>
      <c r="BX37" s="104" t="n">
        <v>1.01</v>
      </c>
      <c r="BY37" s="104" t="n">
        <v>1.03</v>
      </c>
      <c r="BZ37" s="104" t="n">
        <v>1</v>
      </c>
      <c r="CA37" s="104" t="n">
        <v>0.97</v>
      </c>
      <c r="CB37" s="104" t="n">
        <v>1</v>
      </c>
      <c r="CC37" s="104" t="n">
        <v>0.04</v>
      </c>
      <c r="CD37" s="103" t="n">
        <v>-2.56</v>
      </c>
      <c r="CE37" s="103" t="inlineStr">
        <is>
          <t>Lower Risk</t>
        </is>
      </c>
      <c r="CF37" s="104" t="n">
        <v>3.75</v>
      </c>
      <c r="CG37" s="104" t="n">
        <v>55.1</v>
      </c>
      <c r="CH37" s="103" t="n">
        <v>0</v>
      </c>
      <c r="CI37" s="103" t="inlineStr">
        <is>
          <t>CLEAR</t>
        </is>
      </c>
    </row>
    <row r="38" ht="17" customHeight="1">
      <c r="A38" s="107" t="inlineStr">
        <is>
          <t>ED</t>
        </is>
      </c>
      <c r="B38" s="107" t="inlineStr">
        <is>
          <t>CONSOLIDATED EDISON INC</t>
        </is>
      </c>
      <c r="C38" s="108" t="n">
        <v>136000000</v>
      </c>
      <c r="D38" s="109" t="n">
        <v>0.17</v>
      </c>
      <c r="E38" s="109" t="n">
        <v>0.15</v>
      </c>
      <c r="F38" s="109" t="n">
        <v>0.12</v>
      </c>
      <c r="G38" s="109" t="n">
        <v>0.03</v>
      </c>
      <c r="H38" s="109" t="n">
        <v>0.03</v>
      </c>
      <c r="I38" s="109" t="n">
        <v>0.08</v>
      </c>
      <c r="J38" s="109" t="n">
        <v>0.04</v>
      </c>
      <c r="K38" s="109" t="n">
        <v>0.17</v>
      </c>
      <c r="L38" s="109" t="n">
        <v>0.18</v>
      </c>
      <c r="M38" s="109" t="n">
        <v>0.23</v>
      </c>
      <c r="N38" s="108" t="n">
        <v>0.22</v>
      </c>
      <c r="O38" s="108" t="n">
        <v>1.02</v>
      </c>
      <c r="P38" s="108" t="n">
        <v>1.04</v>
      </c>
      <c r="Q38" s="108" t="n">
        <v>1.02</v>
      </c>
      <c r="R38" s="108" t="n">
        <v>0.25</v>
      </c>
      <c r="S38" s="108" t="n">
        <v>1</v>
      </c>
      <c r="T38" s="108" t="n">
        <v>1</v>
      </c>
      <c r="U38" s="108" t="n">
        <v>1.08</v>
      </c>
      <c r="V38" s="108" t="n">
        <v>1.02</v>
      </c>
      <c r="W38" s="108" t="n">
        <v>2.37</v>
      </c>
      <c r="X38" s="109" t="n">
        <v>0.02</v>
      </c>
      <c r="Y38" s="109" t="n">
        <v>0</v>
      </c>
      <c r="Z38" s="109" t="n">
        <v>2.38</v>
      </c>
      <c r="AA38" s="109" t="n">
        <v>0.11</v>
      </c>
      <c r="AB38" s="109" t="n">
        <v>0.11</v>
      </c>
      <c r="AC38" s="108" t="n">
        <v>-0.04</v>
      </c>
      <c r="AD38" s="108" t="n">
        <v>-0.04</v>
      </c>
      <c r="AE38" s="108" t="n">
        <v>0</v>
      </c>
      <c r="AF38" s="108" t="n">
        <v>0.2</v>
      </c>
      <c r="AG38" s="108" t="n">
        <v>0.04</v>
      </c>
      <c r="AH38" s="108" t="n">
        <v>0.32</v>
      </c>
      <c r="AI38" s="108" t="n">
        <v>0.23</v>
      </c>
      <c r="AJ38" s="108" t="n">
        <v>0.83</v>
      </c>
      <c r="AK38" s="112" t="inlineStr">
        <is>
          <t>Distress</t>
        </is>
      </c>
      <c r="AL38" s="108" t="n">
        <v>0</v>
      </c>
      <c r="AM38" s="108" t="n">
        <v>0.2</v>
      </c>
      <c r="AN38" s="108" t="n">
        <v>0.04</v>
      </c>
      <c r="AO38" s="108" t="n">
        <v>0.32</v>
      </c>
      <c r="AP38" s="108" t="n">
        <v>0.23</v>
      </c>
      <c r="AQ38" s="107" t="n">
        <v>0.65</v>
      </c>
      <c r="AR38" s="107" t="inlineStr">
        <is>
          <t>Distress</t>
        </is>
      </c>
      <c r="AS38" s="108" t="n">
        <v>0</v>
      </c>
      <c r="AT38" s="108" t="n">
        <v>0.2</v>
      </c>
      <c r="AU38" s="108" t="n">
        <v>0.04</v>
      </c>
      <c r="AV38" s="108" t="n">
        <v>0.32</v>
      </c>
      <c r="AW38" s="107" t="n">
        <v>1.27</v>
      </c>
      <c r="AX38" s="107" t="inlineStr">
        <is>
          <t>Grey</t>
        </is>
      </c>
      <c r="AY38" s="108" t="n">
        <v>0</v>
      </c>
      <c r="AZ38" s="108" t="n">
        <v>0.04</v>
      </c>
      <c r="BA38" s="108" t="n">
        <v>0.39</v>
      </c>
      <c r="BB38" s="108" t="n">
        <v>0.23</v>
      </c>
      <c r="BC38" s="107" t="n">
        <v>0.47</v>
      </c>
      <c r="BD38" s="107" t="inlineStr">
        <is>
          <t>Distress</t>
        </is>
      </c>
      <c r="BE38" s="108" t="n">
        <v>0.03</v>
      </c>
      <c r="BF38" s="108" t="n">
        <v>1</v>
      </c>
      <c r="BG38" s="108" t="n">
        <v>1.02</v>
      </c>
      <c r="BH38" s="108" t="n">
        <v>1.22</v>
      </c>
      <c r="BI38" s="107" t="n">
        <v>0.77</v>
      </c>
      <c r="BJ38" s="107" t="inlineStr">
        <is>
          <t>Distress</t>
        </is>
      </c>
      <c r="BK38" s="107" t="n">
        <v>1</v>
      </c>
      <c r="BL38" s="107" t="n">
        <v>1</v>
      </c>
      <c r="BM38" s="107" t="n">
        <v>1</v>
      </c>
      <c r="BN38" s="107" t="n">
        <v>1</v>
      </c>
      <c r="BO38" s="107" t="n">
        <v>1</v>
      </c>
      <c r="BP38" s="107" t="n">
        <v>0</v>
      </c>
      <c r="BQ38" s="107" t="n">
        <v>0</v>
      </c>
      <c r="BR38" s="107" t="n">
        <v>0</v>
      </c>
      <c r="BS38" s="107" t="n">
        <v>1</v>
      </c>
      <c r="BT38" s="107" t="n">
        <v>6</v>
      </c>
      <c r="BU38" s="107" t="inlineStr">
        <is>
          <t>Mixed</t>
        </is>
      </c>
      <c r="BV38" s="108" t="n">
        <v>0.95</v>
      </c>
      <c r="BW38" s="108" t="n">
        <v>1.03</v>
      </c>
      <c r="BX38" s="108" t="n">
        <v>1</v>
      </c>
      <c r="BY38" s="108" t="n">
        <v>1.11</v>
      </c>
      <c r="BZ38" s="108" t="n">
        <v>0.99</v>
      </c>
      <c r="CA38" s="111" t="inlineStr">
        <is>
          <t>N/A</t>
        </is>
      </c>
      <c r="CB38" s="108" t="n">
        <v>1</v>
      </c>
      <c r="CC38" s="108" t="n">
        <v>-0.04</v>
      </c>
      <c r="CD38" s="107" t="n">
        <v>-2.41</v>
      </c>
      <c r="CE38" s="107" t="inlineStr">
        <is>
          <t>Lower Risk</t>
        </is>
      </c>
      <c r="CF38" s="108" t="n">
        <v>4.68</v>
      </c>
      <c r="CG38" s="108" t="n">
        <v>49.12</v>
      </c>
      <c r="CH38" s="107" t="n">
        <v>0</v>
      </c>
      <c r="CI38" s="107" t="inlineStr">
        <is>
          <t>CLEAR</t>
        </is>
      </c>
    </row>
    <row r="39" ht="17" customHeight="1">
      <c r="A39" s="103" t="inlineStr">
        <is>
          <t>GS</t>
        </is>
      </c>
      <c r="B39" s="103" t="inlineStr">
        <is>
          <t>The Goldman Sachs Group, Inc.</t>
        </is>
      </c>
      <c r="C39" s="113" t="inlineStr">
        <is>
          <t>N/A</t>
        </is>
      </c>
      <c r="D39" s="113" t="inlineStr">
        <is>
          <t>N/A</t>
        </is>
      </c>
      <c r="E39" s="113" t="inlineStr">
        <is>
          <t>N/A</t>
        </is>
      </c>
      <c r="F39" s="113" t="inlineStr">
        <is>
          <t>N/A</t>
        </is>
      </c>
      <c r="G39" s="105" t="n">
        <v>0.01</v>
      </c>
      <c r="H39" s="105" t="n">
        <v>0.01</v>
      </c>
      <c r="I39" s="105" t="n">
        <v>0.14</v>
      </c>
      <c r="J39" s="113" t="inlineStr">
        <is>
          <t>N/A</t>
        </is>
      </c>
      <c r="K39" s="113" t="inlineStr">
        <is>
          <t>N/A</t>
        </is>
      </c>
      <c r="L39" s="113" t="inlineStr">
        <is>
          <t>N/A</t>
        </is>
      </c>
      <c r="M39" s="113" t="inlineStr">
        <is>
          <t>N/A</t>
        </is>
      </c>
      <c r="N39" s="113" t="inlineStr">
        <is>
          <t>N/A</t>
        </is>
      </c>
      <c r="O39" s="113" t="inlineStr">
        <is>
          <t>N/A</t>
        </is>
      </c>
      <c r="P39" s="113" t="inlineStr">
        <is>
          <t>N/A</t>
        </is>
      </c>
      <c r="Q39" s="113" t="inlineStr">
        <is>
          <t>N/A</t>
        </is>
      </c>
      <c r="R39" s="113" t="inlineStr">
        <is>
          <t>N/A</t>
        </is>
      </c>
      <c r="S39" s="104" t="n">
        <v>0.93</v>
      </c>
      <c r="T39" s="104" t="n">
        <v>0.93</v>
      </c>
      <c r="U39" s="104" t="n">
        <v>2.45</v>
      </c>
      <c r="V39" s="104" t="n">
        <v>1.13</v>
      </c>
      <c r="W39" s="104" t="n">
        <v>-2.63</v>
      </c>
      <c r="X39" s="113" t="inlineStr">
        <is>
          <t>N/A</t>
        </is>
      </c>
      <c r="Y39" s="105" t="n">
        <v>0</v>
      </c>
      <c r="Z39" s="105" t="n">
        <v>0.33</v>
      </c>
      <c r="AA39" s="113" t="inlineStr">
        <is>
          <t>N/A</t>
        </is>
      </c>
      <c r="AB39" s="105" t="n">
        <v>0.2</v>
      </c>
      <c r="AC39" s="104" t="n">
        <v>0.03</v>
      </c>
      <c r="AD39" s="104" t="n">
        <v>0.03</v>
      </c>
      <c r="AE39" s="113" t="inlineStr">
        <is>
          <t>N/A</t>
        </is>
      </c>
      <c r="AF39" s="104" t="n">
        <v>0.09</v>
      </c>
      <c r="AG39" s="104" t="n">
        <v>0.01</v>
      </c>
      <c r="AH39" s="104" t="n">
        <v>0.07000000000000001</v>
      </c>
      <c r="AI39" s="113" t="inlineStr">
        <is>
          <t>N/A</t>
        </is>
      </c>
      <c r="AJ39" s="113" t="inlineStr">
        <is>
          <t>N/A</t>
        </is>
      </c>
      <c r="AK39" s="113" t="inlineStr">
        <is>
          <t>N/A</t>
        </is>
      </c>
      <c r="AL39" s="113" t="inlineStr">
        <is>
          <t>N/A</t>
        </is>
      </c>
      <c r="AM39" s="104" t="n">
        <v>0.09</v>
      </c>
      <c r="AN39" s="104" t="n">
        <v>0.01</v>
      </c>
      <c r="AO39" s="104" t="n">
        <v>0.07000000000000001</v>
      </c>
      <c r="AP39" s="113" t="inlineStr">
        <is>
          <t>N/A</t>
        </is>
      </c>
      <c r="AQ39" s="113" t="inlineStr">
        <is>
          <t>N/A</t>
        </is>
      </c>
      <c r="AR39" s="113" t="inlineStr">
        <is>
          <t>N/A</t>
        </is>
      </c>
      <c r="AS39" s="113" t="inlineStr">
        <is>
          <t>N/A</t>
        </is>
      </c>
      <c r="AT39" s="104" t="n">
        <v>0.09</v>
      </c>
      <c r="AU39" s="104" t="n">
        <v>0.01</v>
      </c>
      <c r="AV39" s="104" t="n">
        <v>0.07000000000000001</v>
      </c>
      <c r="AW39" s="113" t="inlineStr">
        <is>
          <t>N/A</t>
        </is>
      </c>
      <c r="AX39" s="113" t="inlineStr">
        <is>
          <t>N/A</t>
        </is>
      </c>
      <c r="AY39" s="113" t="inlineStr">
        <is>
          <t>N/A</t>
        </is>
      </c>
      <c r="AZ39" s="104" t="n">
        <v>0.01</v>
      </c>
      <c r="BA39" s="113" t="inlineStr">
        <is>
          <t>N/A</t>
        </is>
      </c>
      <c r="BB39" s="113" t="inlineStr">
        <is>
          <t>N/A</t>
        </is>
      </c>
      <c r="BC39" s="113" t="inlineStr">
        <is>
          <t>N/A</t>
        </is>
      </c>
      <c r="BD39" s="113" t="inlineStr">
        <is>
          <t>N/A</t>
        </is>
      </c>
      <c r="BE39" s="104" t="n">
        <v>0.01</v>
      </c>
      <c r="BF39" s="104" t="n">
        <v>0.93</v>
      </c>
      <c r="BG39" s="113" t="inlineStr">
        <is>
          <t>N/A</t>
        </is>
      </c>
      <c r="BH39" s="113" t="inlineStr">
        <is>
          <t>N/A</t>
        </is>
      </c>
      <c r="BI39" s="113" t="inlineStr">
        <is>
          <t>N/A</t>
        </is>
      </c>
      <c r="BJ39" s="113" t="inlineStr">
        <is>
          <t>N/A</t>
        </is>
      </c>
      <c r="BK39" s="103" t="n">
        <v>1</v>
      </c>
      <c r="BL39" s="103" t="n">
        <v>0</v>
      </c>
      <c r="BM39" s="103" t="n">
        <v>1</v>
      </c>
      <c r="BN39" s="103" t="n">
        <v>0</v>
      </c>
      <c r="BO39" s="103" t="n">
        <v>1</v>
      </c>
      <c r="BP39" s="103" t="n">
        <v>0</v>
      </c>
      <c r="BQ39" s="103" t="n">
        <v>1</v>
      </c>
      <c r="BR39" s="103" t="n">
        <v>0</v>
      </c>
      <c r="BS39" s="103" t="n">
        <v>0</v>
      </c>
      <c r="BT39" s="103" t="n">
        <v>4</v>
      </c>
      <c r="BU39" s="103" t="inlineStr">
        <is>
          <t>Mixed</t>
        </is>
      </c>
      <c r="BV39" s="113" t="inlineStr">
        <is>
          <t>N/A</t>
        </is>
      </c>
      <c r="BW39" s="113" t="inlineStr">
        <is>
          <t>N/A</t>
        </is>
      </c>
      <c r="BX39" s="104" t="n">
        <v>1</v>
      </c>
      <c r="BY39" s="113" t="inlineStr">
        <is>
          <t>N/A</t>
        </is>
      </c>
      <c r="BZ39" s="104" t="n">
        <v>1.02</v>
      </c>
      <c r="CA39" s="113" t="inlineStr">
        <is>
          <t>N/A</t>
        </is>
      </c>
      <c r="CB39" s="104" t="n">
        <v>1</v>
      </c>
      <c r="CC39" s="104" t="n">
        <v>0.03</v>
      </c>
      <c r="CD39" s="113" t="inlineStr">
        <is>
          <t>N/A</t>
        </is>
      </c>
      <c r="CE39" s="113" t="inlineStr">
        <is>
          <t>N/A</t>
        </is>
      </c>
      <c r="CF39" s="104" t="n">
        <v>5.89</v>
      </c>
      <c r="CG39" s="104" t="n">
        <v>39.06</v>
      </c>
      <c r="CH39" s="103" t="n">
        <v>20</v>
      </c>
      <c r="CI39" s="103" t="inlineStr">
        <is>
          <t>CLEAR</t>
        </is>
      </c>
    </row>
    <row r="40" ht="17" customHeight="1">
      <c r="A40" s="107" t="inlineStr">
        <is>
          <t>INGR</t>
        </is>
      </c>
      <c r="B40" s="107" t="inlineStr">
        <is>
          <t>INGREDION INCORPORATED</t>
        </is>
      </c>
      <c r="C40" s="108" t="n">
        <v>2189000000</v>
      </c>
      <c r="D40" s="109" t="n">
        <v>0.14</v>
      </c>
      <c r="E40" s="109" t="n">
        <v>0.13</v>
      </c>
      <c r="F40" s="109" t="n">
        <v>0.1</v>
      </c>
      <c r="G40" s="109" t="n">
        <v>0.09</v>
      </c>
      <c r="H40" s="109" t="n">
        <v>0.02</v>
      </c>
      <c r="I40" s="109" t="n">
        <v>0.17</v>
      </c>
      <c r="J40" s="109" t="n">
        <v>0.15</v>
      </c>
      <c r="K40" s="109" t="n">
        <v>0.25</v>
      </c>
      <c r="L40" s="109" t="n">
        <v>0.24</v>
      </c>
      <c r="M40" s="109" t="n">
        <v>0.91</v>
      </c>
      <c r="N40" s="108" t="n">
        <v>0.24</v>
      </c>
      <c r="O40" s="108" t="n">
        <v>2.66</v>
      </c>
      <c r="P40" s="108" t="n">
        <v>2.62</v>
      </c>
      <c r="Q40" s="108" t="n">
        <v>1.73</v>
      </c>
      <c r="R40" s="108" t="n">
        <v>0.78</v>
      </c>
      <c r="S40" s="108" t="n">
        <v>0.45</v>
      </c>
      <c r="T40" s="108" t="n">
        <v>0.48</v>
      </c>
      <c r="U40" s="108" t="n">
        <v>0.43</v>
      </c>
      <c r="V40" s="108" t="n">
        <v>0.19</v>
      </c>
      <c r="W40" s="108" t="n">
        <v>1.29</v>
      </c>
      <c r="X40" s="109" t="n">
        <v>0.07000000000000001</v>
      </c>
      <c r="Y40" s="109" t="n">
        <v>0.01</v>
      </c>
      <c r="Z40" s="109" t="n">
        <v>17.22</v>
      </c>
      <c r="AA40" s="109" t="n">
        <v>3.11</v>
      </c>
      <c r="AB40" s="109" t="n">
        <v>3.42</v>
      </c>
      <c r="AC40" s="108" t="n">
        <v>-0.03</v>
      </c>
      <c r="AD40" s="108" t="n">
        <v>-0.03</v>
      </c>
      <c r="AE40" s="108" t="n">
        <v>0.28</v>
      </c>
      <c r="AF40" s="108" t="n">
        <v>0.71</v>
      </c>
      <c r="AG40" s="108" t="n">
        <v>0.13</v>
      </c>
      <c r="AH40" s="108" t="n">
        <v>1.21</v>
      </c>
      <c r="AI40" s="108" t="n">
        <v>0.91</v>
      </c>
      <c r="AJ40" s="108" t="n">
        <v>3.39</v>
      </c>
      <c r="AK40" s="110" t="inlineStr">
        <is>
          <t>Safe</t>
        </is>
      </c>
      <c r="AL40" s="108" t="n">
        <v>0.28</v>
      </c>
      <c r="AM40" s="108" t="n">
        <v>0.71</v>
      </c>
      <c r="AN40" s="108" t="n">
        <v>0.13</v>
      </c>
      <c r="AO40" s="108" t="n">
        <v>1.21</v>
      </c>
      <c r="AP40" s="108" t="n">
        <v>0.91</v>
      </c>
      <c r="AQ40" s="107" t="n">
        <v>2.62</v>
      </c>
      <c r="AR40" s="107" t="inlineStr">
        <is>
          <t>Grey</t>
        </is>
      </c>
      <c r="AS40" s="108" t="n">
        <v>0.28</v>
      </c>
      <c r="AT40" s="108" t="n">
        <v>0.71</v>
      </c>
      <c r="AU40" s="108" t="n">
        <v>0.13</v>
      </c>
      <c r="AV40" s="108" t="n">
        <v>1.21</v>
      </c>
      <c r="AW40" s="107" t="n">
        <v>6.27</v>
      </c>
      <c r="AX40" s="107" t="inlineStr">
        <is>
          <t>Safe</t>
        </is>
      </c>
      <c r="AY40" s="108" t="n">
        <v>0.28</v>
      </c>
      <c r="AZ40" s="108" t="n">
        <v>0.13</v>
      </c>
      <c r="BA40" s="108" t="n">
        <v>0.74</v>
      </c>
      <c r="BB40" s="108" t="n">
        <v>0.91</v>
      </c>
      <c r="BC40" s="107" t="n">
        <v>1.53</v>
      </c>
      <c r="BD40" s="107" t="inlineStr">
        <is>
          <t>Healthy</t>
        </is>
      </c>
      <c r="BE40" s="108" t="n">
        <v>0.09</v>
      </c>
      <c r="BF40" s="108" t="n">
        <v>0.45</v>
      </c>
      <c r="BG40" s="108" t="n">
        <v>2.66</v>
      </c>
      <c r="BH40" s="108" t="n">
        <v>-2.2</v>
      </c>
      <c r="BI40" s="107" t="n">
        <v>0.1</v>
      </c>
      <c r="BJ40" s="107" t="inlineStr">
        <is>
          <t>Healthy</t>
        </is>
      </c>
      <c r="BK40" s="107" t="n">
        <v>1</v>
      </c>
      <c r="BL40" s="107" t="n">
        <v>1</v>
      </c>
      <c r="BM40" s="107" t="n">
        <v>1</v>
      </c>
      <c r="BN40" s="107" t="n">
        <v>1</v>
      </c>
      <c r="BO40" s="107" t="n">
        <v>1</v>
      </c>
      <c r="BP40" s="107" t="n">
        <v>1</v>
      </c>
      <c r="BQ40" s="107" t="n">
        <v>1</v>
      </c>
      <c r="BR40" s="107" t="n">
        <v>1</v>
      </c>
      <c r="BS40" s="107" t="n">
        <v>1</v>
      </c>
      <c r="BT40" s="107" t="n">
        <v>9</v>
      </c>
      <c r="BU40" s="107" t="inlineStr">
        <is>
          <t>Strong</t>
        </is>
      </c>
      <c r="BV40" s="108" t="n">
        <v>0.26</v>
      </c>
      <c r="BW40" s="108" t="n">
        <v>0.97</v>
      </c>
      <c r="BX40" s="108" t="n">
        <v>0.96</v>
      </c>
      <c r="BY40" s="108" t="n">
        <v>4.11</v>
      </c>
      <c r="BZ40" s="108" t="n">
        <v>1.07</v>
      </c>
      <c r="CA40" s="108" t="n">
        <v>0.25</v>
      </c>
      <c r="CB40" s="108" t="n">
        <v>0.9399999999999999</v>
      </c>
      <c r="CC40" s="108" t="n">
        <v>-0.03</v>
      </c>
      <c r="CD40" s="107" t="n">
        <v>-0.39</v>
      </c>
      <c r="CE40" s="107" t="inlineStr">
        <is>
          <t>Higher Risk</t>
        </is>
      </c>
      <c r="CF40" s="108" t="n">
        <v>0.64</v>
      </c>
      <c r="CG40" s="108" t="n">
        <v>63.99</v>
      </c>
      <c r="CH40" s="107" t="n">
        <v>20</v>
      </c>
      <c r="CI40" s="107" t="inlineStr">
        <is>
          <t>CLEAR</t>
        </is>
      </c>
    </row>
    <row r="41" ht="17" customHeight="1">
      <c r="A41" s="103" t="inlineStr">
        <is>
          <t>RCL</t>
        </is>
      </c>
      <c r="B41" s="103" t="inlineStr">
        <is>
          <t>ROYAL CARIBBEAN CRUISES LTD</t>
        </is>
      </c>
      <c r="C41" s="104" t="n">
        <v>-9844000000</v>
      </c>
      <c r="D41" s="105" t="n">
        <v>2.11</v>
      </c>
      <c r="E41" s="105" t="n">
        <v>1.87</v>
      </c>
      <c r="F41" s="105" t="n">
        <v>1.83</v>
      </c>
      <c r="G41" s="105" t="n">
        <v>0.1</v>
      </c>
      <c r="H41" s="105" t="n">
        <v>0.08</v>
      </c>
      <c r="I41" s="105" t="n">
        <v>0.43</v>
      </c>
      <c r="J41" s="105" t="n">
        <v>0.17</v>
      </c>
      <c r="K41" s="105" t="n">
        <v>-2.89</v>
      </c>
      <c r="L41" s="105" t="n">
        <v>-2.09</v>
      </c>
      <c r="M41" s="105" t="n">
        <v>0.06</v>
      </c>
      <c r="N41" s="104" t="n">
        <v>0.08</v>
      </c>
      <c r="O41" s="104" t="n">
        <v>0.18</v>
      </c>
      <c r="P41" s="104" t="n">
        <v>0.17</v>
      </c>
      <c r="Q41" s="104" t="n">
        <v>0.16</v>
      </c>
      <c r="R41" s="104" t="n">
        <v>0.07000000000000001</v>
      </c>
      <c r="S41" s="104" t="n">
        <v>0.75</v>
      </c>
      <c r="T41" s="104" t="n">
        <v>0.79</v>
      </c>
      <c r="U41" s="104" t="n">
        <v>1.16</v>
      </c>
      <c r="V41" s="104" t="n">
        <v>1.08</v>
      </c>
      <c r="W41" s="104" t="n">
        <v>1.51</v>
      </c>
      <c r="X41" s="105" t="n">
        <v>0.53</v>
      </c>
      <c r="Y41" s="113" t="inlineStr">
        <is>
          <t>N/A</t>
        </is>
      </c>
      <c r="Z41" s="105" t="n">
        <v>3.5</v>
      </c>
      <c r="AA41" s="105" t="n">
        <v>-0.17</v>
      </c>
      <c r="AB41" s="105" t="n">
        <v>0.48</v>
      </c>
      <c r="AC41" s="104" t="n">
        <v>-0.05</v>
      </c>
      <c r="AD41" s="104" t="n">
        <v>-0.05</v>
      </c>
      <c r="AE41" s="104" t="n">
        <v>-0.24</v>
      </c>
      <c r="AF41" s="104" t="n">
        <v>0.14</v>
      </c>
      <c r="AG41" s="104" t="n">
        <v>0.12</v>
      </c>
      <c r="AH41" s="104" t="n">
        <v>0.32</v>
      </c>
      <c r="AI41" s="104" t="n">
        <v>0.06</v>
      </c>
      <c r="AJ41" s="104" t="n">
        <v>0.55</v>
      </c>
      <c r="AK41" s="112" t="inlineStr">
        <is>
          <t>Distress</t>
        </is>
      </c>
      <c r="AL41" s="104" t="n">
        <v>-0.24</v>
      </c>
      <c r="AM41" s="104" t="n">
        <v>0.14</v>
      </c>
      <c r="AN41" s="104" t="n">
        <v>0.12</v>
      </c>
      <c r="AO41" s="104" t="n">
        <v>0.32</v>
      </c>
      <c r="AP41" s="104" t="n">
        <v>0.06</v>
      </c>
      <c r="AQ41" s="103" t="n">
        <v>0.51</v>
      </c>
      <c r="AR41" s="103" t="inlineStr">
        <is>
          <t>Distress</t>
        </is>
      </c>
      <c r="AS41" s="104" t="n">
        <v>-0.24</v>
      </c>
      <c r="AT41" s="104" t="n">
        <v>0.14</v>
      </c>
      <c r="AU41" s="104" t="n">
        <v>0.12</v>
      </c>
      <c r="AV41" s="104" t="n">
        <v>0.32</v>
      </c>
      <c r="AW41" s="103" t="n">
        <v>0.04</v>
      </c>
      <c r="AX41" s="103" t="inlineStr">
        <is>
          <t>Distress</t>
        </is>
      </c>
      <c r="AY41" s="104" t="n">
        <v>-0.24</v>
      </c>
      <c r="AZ41" s="104" t="n">
        <v>0.12</v>
      </c>
      <c r="BA41" s="104" t="n">
        <v>0.36</v>
      </c>
      <c r="BB41" s="104" t="n">
        <v>0.06</v>
      </c>
      <c r="BC41" s="103" t="n">
        <v>0.38</v>
      </c>
      <c r="BD41" s="103" t="inlineStr">
        <is>
          <t>Distress</t>
        </is>
      </c>
      <c r="BE41" s="104" t="n">
        <v>0.1</v>
      </c>
      <c r="BF41" s="104" t="n">
        <v>0.75</v>
      </c>
      <c r="BG41" s="104" t="n">
        <v>0.18</v>
      </c>
      <c r="BH41" s="104" t="n">
        <v>-0.52</v>
      </c>
      <c r="BI41" s="103" t="n">
        <v>0.37</v>
      </c>
      <c r="BJ41" s="103" t="inlineStr">
        <is>
          <t>Healthy</t>
        </is>
      </c>
      <c r="BK41" s="103" t="n">
        <v>1</v>
      </c>
      <c r="BL41" s="103" t="n">
        <v>1</v>
      </c>
      <c r="BM41" s="103" t="n">
        <v>1</v>
      </c>
      <c r="BN41" s="103" t="n">
        <v>1</v>
      </c>
      <c r="BO41" s="103" t="n">
        <v>1</v>
      </c>
      <c r="BP41" s="103" t="n">
        <v>1</v>
      </c>
      <c r="BQ41" s="103" t="n">
        <v>0</v>
      </c>
      <c r="BR41" s="103" t="n">
        <v>0</v>
      </c>
      <c r="BS41" s="103" t="n">
        <v>0</v>
      </c>
      <c r="BT41" s="103" t="n">
        <v>6</v>
      </c>
      <c r="BU41" s="103" t="inlineStr">
        <is>
          <t>Mixed</t>
        </is>
      </c>
      <c r="BV41" s="104" t="n">
        <v>1.02</v>
      </c>
      <c r="BW41" s="104" t="n">
        <v>0.72</v>
      </c>
      <c r="BX41" s="104" t="n">
        <v>0.9399999999999999</v>
      </c>
      <c r="BY41" s="104" t="n">
        <v>0.83</v>
      </c>
      <c r="BZ41" s="104" t="n">
        <v>1.04</v>
      </c>
      <c r="CA41" s="104" t="n">
        <v>1.25</v>
      </c>
      <c r="CB41" s="104" t="n">
        <v>0.95</v>
      </c>
      <c r="CC41" s="104" t="n">
        <v>-0.05</v>
      </c>
      <c r="CD41" s="103" t="n">
        <v>-3.05</v>
      </c>
      <c r="CE41" s="103" t="inlineStr">
        <is>
          <t>Lower Risk</t>
        </is>
      </c>
      <c r="CF41" s="104" t="n">
        <v>1.64</v>
      </c>
      <c r="CG41" s="104" t="n">
        <v>48.61</v>
      </c>
      <c r="CH41" s="103" t="n">
        <v>0</v>
      </c>
      <c r="CI41" s="103" t="inlineStr">
        <is>
          <t>CLEAR</t>
        </is>
      </c>
    </row>
    <row r="42" ht="17" customHeight="1">
      <c r="A42" s="107" t="inlineStr">
        <is>
          <t>CL</t>
        </is>
      </c>
      <c r="B42" s="107" t="inlineStr">
        <is>
          <t>COLGATE-PALMOLIVE COMPANY</t>
        </is>
      </c>
      <c r="C42" s="108" t="n">
        <v>-1144000000</v>
      </c>
      <c r="D42" s="109" t="n">
        <v>0.21</v>
      </c>
      <c r="E42" s="109" t="n">
        <v>0.2</v>
      </c>
      <c r="F42" s="109" t="n">
        <v>0.14</v>
      </c>
      <c r="G42" s="109" t="n">
        <v>0.13</v>
      </c>
      <c r="H42" s="109" t="n">
        <v>0.18</v>
      </c>
      <c r="I42" s="109" t="n">
        <v>39.48</v>
      </c>
      <c r="J42" s="109" t="n">
        <v>0.35</v>
      </c>
      <c r="K42" s="109" t="n">
        <v>0.79</v>
      </c>
      <c r="L42" s="109" t="n">
        <v>0.79</v>
      </c>
      <c r="M42" s="109" t="n">
        <v>0.95</v>
      </c>
      <c r="N42" s="108" t="n">
        <v>0.96</v>
      </c>
      <c r="O42" s="108" t="n">
        <v>0.83</v>
      </c>
      <c r="P42" s="108" t="n">
        <v>0.92</v>
      </c>
      <c r="Q42" s="108" t="n">
        <v>0.54</v>
      </c>
      <c r="R42" s="108" t="n">
        <v>0.19</v>
      </c>
      <c r="S42" s="108" t="n">
        <v>0.98</v>
      </c>
      <c r="T42" s="108" t="n">
        <v>0.97</v>
      </c>
      <c r="U42" s="108" t="n">
        <v>165.81</v>
      </c>
      <c r="V42" s="108" t="n">
        <v>141.96</v>
      </c>
      <c r="W42" s="108" t="n">
        <v>1.97</v>
      </c>
      <c r="X42" s="109" t="n">
        <v>0.23</v>
      </c>
      <c r="Y42" s="109" t="n">
        <v>0.02</v>
      </c>
      <c r="Z42" s="109" t="n">
        <v>11.06</v>
      </c>
      <c r="AA42" s="109" t="n">
        <v>0</v>
      </c>
      <c r="AB42" s="109" t="n">
        <v>-0.26</v>
      </c>
      <c r="AC42" s="108" t="n">
        <v>-0.13</v>
      </c>
      <c r="AD42" s="108" t="n">
        <v>-0.13</v>
      </c>
      <c r="AE42" s="108" t="n">
        <v>-0.07000000000000001</v>
      </c>
      <c r="AF42" s="108" t="n">
        <v>1.63</v>
      </c>
      <c r="AG42" s="108" t="n">
        <v>0.2</v>
      </c>
      <c r="AH42" s="108" t="n">
        <v>0</v>
      </c>
      <c r="AI42" s="108" t="n">
        <v>0.95</v>
      </c>
      <c r="AJ42" s="108" t="n">
        <v>3.81</v>
      </c>
      <c r="AK42" s="110" t="inlineStr">
        <is>
          <t>Safe</t>
        </is>
      </c>
      <c r="AL42" s="108" t="n">
        <v>-0.07000000000000001</v>
      </c>
      <c r="AM42" s="108" t="n">
        <v>1.63</v>
      </c>
      <c r="AN42" s="108" t="n">
        <v>0.2</v>
      </c>
      <c r="AO42" s="108" t="n">
        <v>0</v>
      </c>
      <c r="AP42" s="108" t="n">
        <v>0.95</v>
      </c>
      <c r="AQ42" s="107" t="n">
        <v>2.9</v>
      </c>
      <c r="AR42" s="107" t="inlineStr">
        <is>
          <t>Safe</t>
        </is>
      </c>
      <c r="AS42" s="108" t="n">
        <v>-0.07000000000000001</v>
      </c>
      <c r="AT42" s="108" t="n">
        <v>1.63</v>
      </c>
      <c r="AU42" s="108" t="n">
        <v>0.2</v>
      </c>
      <c r="AV42" s="108" t="n">
        <v>0</v>
      </c>
      <c r="AW42" s="107" t="n">
        <v>6.21</v>
      </c>
      <c r="AX42" s="107" t="inlineStr">
        <is>
          <t>Safe</t>
        </is>
      </c>
      <c r="AY42" s="108" t="n">
        <v>-0.07000000000000001</v>
      </c>
      <c r="AZ42" s="108" t="n">
        <v>0.2</v>
      </c>
      <c r="BA42" s="108" t="n">
        <v>0.45</v>
      </c>
      <c r="BB42" s="108" t="n">
        <v>0.95</v>
      </c>
      <c r="BC42" s="107" t="n">
        <v>1.22</v>
      </c>
      <c r="BD42" s="107" t="inlineStr">
        <is>
          <t>Healthy</t>
        </is>
      </c>
      <c r="BE42" s="108" t="n">
        <v>0.13</v>
      </c>
      <c r="BF42" s="108" t="n">
        <v>0.98</v>
      </c>
      <c r="BG42" s="108" t="n">
        <v>0.83</v>
      </c>
      <c r="BH42" s="108" t="n">
        <v>0.63</v>
      </c>
      <c r="BI42" s="107" t="n">
        <v>0.65</v>
      </c>
      <c r="BJ42" s="107" t="inlineStr">
        <is>
          <t>Distress</t>
        </is>
      </c>
      <c r="BK42" s="107" t="n">
        <v>1</v>
      </c>
      <c r="BL42" s="107" t="n">
        <v>1</v>
      </c>
      <c r="BM42" s="107" t="n">
        <v>0</v>
      </c>
      <c r="BN42" s="107" t="n">
        <v>1</v>
      </c>
      <c r="BO42" s="107" t="n">
        <v>0</v>
      </c>
      <c r="BP42" s="107" t="n">
        <v>0</v>
      </c>
      <c r="BQ42" s="107" t="n">
        <v>1</v>
      </c>
      <c r="BR42" s="107" t="n">
        <v>1</v>
      </c>
      <c r="BS42" s="107" t="n">
        <v>0</v>
      </c>
      <c r="BT42" s="107" t="n">
        <v>5</v>
      </c>
      <c r="BU42" s="107" t="inlineStr">
        <is>
          <t>Mixed</t>
        </is>
      </c>
      <c r="BV42" s="108" t="n">
        <v>1.1</v>
      </c>
      <c r="BW42" s="108" t="n">
        <v>0.99</v>
      </c>
      <c r="BX42" s="108" t="n">
        <v>0.93</v>
      </c>
      <c r="BY42" s="108" t="n">
        <v>1</v>
      </c>
      <c r="BZ42" s="108" t="n">
        <v>1.01</v>
      </c>
      <c r="CA42" s="108" t="n">
        <v>1.02</v>
      </c>
      <c r="CB42" s="108" t="n">
        <v>1.01</v>
      </c>
      <c r="CC42" s="108" t="n">
        <v>-0.13</v>
      </c>
      <c r="CD42" s="107" t="n">
        <v>-3.02</v>
      </c>
      <c r="CE42" s="107" t="inlineStr">
        <is>
          <t>Lower Risk</t>
        </is>
      </c>
      <c r="CF42" s="108" t="n">
        <v>1.95</v>
      </c>
      <c r="CG42" s="108" t="n">
        <v>53.11</v>
      </c>
      <c r="CH42" s="107" t="n">
        <v>20</v>
      </c>
      <c r="CI42" s="107" t="inlineStr">
        <is>
          <t>CLEAR</t>
        </is>
      </c>
    </row>
    <row r="43" ht="17" customHeight="1">
      <c r="A43" s="103" t="inlineStr">
        <is>
          <t>LKQ</t>
        </is>
      </c>
      <c r="B43" s="103" t="inlineStr">
        <is>
          <t>LKQ CORPORATION</t>
        </is>
      </c>
      <c r="C43" s="104" t="n">
        <v>2111000000</v>
      </c>
      <c r="D43" s="105" t="n">
        <v>0.07000000000000001</v>
      </c>
      <c r="E43" s="105" t="n">
        <v>0.1</v>
      </c>
      <c r="F43" s="105" t="n">
        <v>0.04</v>
      </c>
      <c r="G43" s="105" t="n">
        <v>0.04</v>
      </c>
      <c r="H43" s="105" t="n">
        <v>0.05</v>
      </c>
      <c r="I43" s="105" t="n">
        <v>0.09</v>
      </c>
      <c r="J43" s="105" t="n">
        <v>0.08</v>
      </c>
      <c r="K43" s="105" t="n">
        <v>0.39</v>
      </c>
      <c r="L43" s="105" t="n">
        <v>0.39</v>
      </c>
      <c r="M43" s="105" t="n">
        <v>0.9</v>
      </c>
      <c r="N43" s="104" t="n">
        <v>0.96</v>
      </c>
      <c r="O43" s="104" t="n">
        <v>1.67</v>
      </c>
      <c r="P43" s="104" t="n">
        <v>1.71</v>
      </c>
      <c r="Q43" s="104" t="n">
        <v>0.58</v>
      </c>
      <c r="R43" s="104" t="n">
        <v>0.1</v>
      </c>
      <c r="S43" s="104" t="n">
        <v>1</v>
      </c>
      <c r="T43" s="104" t="n">
        <v>1</v>
      </c>
      <c r="U43" s="104" t="n">
        <v>0.01</v>
      </c>
      <c r="V43" s="104" t="n">
        <v>-0.04</v>
      </c>
      <c r="W43" s="104" t="n">
        <v>1.75</v>
      </c>
      <c r="X43" s="105" t="n">
        <v>0.06</v>
      </c>
      <c r="Y43" s="113" t="inlineStr">
        <is>
          <t>N/A</t>
        </is>
      </c>
      <c r="Z43" s="105" t="n">
        <v>-4.64</v>
      </c>
      <c r="AA43" s="105" t="n">
        <v>-0.05</v>
      </c>
      <c r="AB43" s="105" t="n">
        <v>-0.12</v>
      </c>
      <c r="AC43" s="104" t="n">
        <v>-0.03</v>
      </c>
      <c r="AD43" s="104" t="n">
        <v>-0.03</v>
      </c>
      <c r="AE43" s="104" t="n">
        <v>0.14</v>
      </c>
      <c r="AF43" s="104" t="n">
        <v>0.53</v>
      </c>
      <c r="AG43" s="104" t="n">
        <v>0.07000000000000001</v>
      </c>
      <c r="AH43" s="104" t="n">
        <v>0.43</v>
      </c>
      <c r="AI43" s="104" t="n">
        <v>0.9</v>
      </c>
      <c r="AJ43" s="104" t="n">
        <v>2.28</v>
      </c>
      <c r="AK43" s="106" t="inlineStr">
        <is>
          <t>Grey</t>
        </is>
      </c>
      <c r="AL43" s="104" t="n">
        <v>0.14</v>
      </c>
      <c r="AM43" s="104" t="n">
        <v>0.53</v>
      </c>
      <c r="AN43" s="104" t="n">
        <v>0.07000000000000001</v>
      </c>
      <c r="AO43" s="104" t="n">
        <v>0.43</v>
      </c>
      <c r="AP43" s="104" t="n">
        <v>0.9</v>
      </c>
      <c r="AQ43" s="103" t="n">
        <v>1.83</v>
      </c>
      <c r="AR43" s="103" t="inlineStr">
        <is>
          <t>Grey</t>
        </is>
      </c>
      <c r="AS43" s="104" t="n">
        <v>0.14</v>
      </c>
      <c r="AT43" s="104" t="n">
        <v>0.53</v>
      </c>
      <c r="AU43" s="104" t="n">
        <v>0.07000000000000001</v>
      </c>
      <c r="AV43" s="104" t="n">
        <v>0.43</v>
      </c>
      <c r="AW43" s="103" t="n">
        <v>3.52</v>
      </c>
      <c r="AX43" s="103" t="inlineStr">
        <is>
          <t>Safe</t>
        </is>
      </c>
      <c r="AY43" s="104" t="n">
        <v>0.14</v>
      </c>
      <c r="AZ43" s="104" t="n">
        <v>0.07000000000000001</v>
      </c>
      <c r="BA43" s="104" t="n">
        <v>0.45</v>
      </c>
      <c r="BB43" s="104" t="n">
        <v>0.9</v>
      </c>
      <c r="BC43" s="103" t="n">
        <v>1</v>
      </c>
      <c r="BD43" s="103" t="inlineStr">
        <is>
          <t>Healthy</t>
        </is>
      </c>
      <c r="BE43" s="104" t="n">
        <v>0.04</v>
      </c>
      <c r="BF43" s="104" t="n">
        <v>1</v>
      </c>
      <c r="BG43" s="104" t="n">
        <v>1.67</v>
      </c>
      <c r="BH43" s="104" t="n">
        <v>1.17</v>
      </c>
      <c r="BI43" s="103" t="n">
        <v>0.76</v>
      </c>
      <c r="BJ43" s="103" t="inlineStr">
        <is>
          <t>Distress</t>
        </is>
      </c>
      <c r="BK43" s="103" t="n">
        <v>1</v>
      </c>
      <c r="BL43" s="103" t="n">
        <v>1</v>
      </c>
      <c r="BM43" s="103" t="n">
        <v>0</v>
      </c>
      <c r="BN43" s="103" t="n">
        <v>1</v>
      </c>
      <c r="BO43" s="103" t="n">
        <v>0</v>
      </c>
      <c r="BP43" s="103" t="n">
        <v>0</v>
      </c>
      <c r="BQ43" s="103" t="n">
        <v>1</v>
      </c>
      <c r="BR43" s="103" t="n">
        <v>0</v>
      </c>
      <c r="BS43" s="103" t="n">
        <v>0</v>
      </c>
      <c r="BT43" s="103" t="n">
        <v>4</v>
      </c>
      <c r="BU43" s="103" t="inlineStr">
        <is>
          <t>Mixed</t>
        </is>
      </c>
      <c r="BV43" s="104" t="n">
        <v>1.13</v>
      </c>
      <c r="BW43" s="104" t="n">
        <v>1.01</v>
      </c>
      <c r="BX43" s="104" t="n">
        <v>0.98</v>
      </c>
      <c r="BY43" s="104" t="n">
        <v>0.95</v>
      </c>
      <c r="BZ43" s="104" t="n">
        <v>0.96</v>
      </c>
      <c r="CA43" s="104" t="n">
        <v>1.02</v>
      </c>
      <c r="CB43" s="104" t="n">
        <v>1</v>
      </c>
      <c r="CC43" s="104" t="n">
        <v>-0.03</v>
      </c>
      <c r="CD43" s="103" t="n">
        <v>-2.56</v>
      </c>
      <c r="CE43" s="103" t="inlineStr">
        <is>
          <t>Lower Risk</t>
        </is>
      </c>
      <c r="CF43" s="104" t="n">
        <v>-0.2</v>
      </c>
      <c r="CG43" s="104" t="n">
        <v>45.46</v>
      </c>
      <c r="CH43" s="103" t="n">
        <v>0</v>
      </c>
      <c r="CI43" s="103" t="inlineStr">
        <is>
          <t>CLEAR</t>
        </is>
      </c>
    </row>
    <row r="44" ht="17" customHeight="1">
      <c r="A44" s="107" t="inlineStr">
        <is>
          <t>FFIN</t>
        </is>
      </c>
      <c r="B44" s="107" t="inlineStr">
        <is>
          <t>First Financial Bankshares, Inc.</t>
        </is>
      </c>
      <c r="C44" s="111" t="inlineStr">
        <is>
          <t>N/A</t>
        </is>
      </c>
      <c r="D44" s="111" t="inlineStr">
        <is>
          <t>N/A</t>
        </is>
      </c>
      <c r="E44" s="111" t="inlineStr">
        <is>
          <t>N/A</t>
        </is>
      </c>
      <c r="F44" s="111" t="inlineStr">
        <is>
          <t>N/A</t>
        </is>
      </c>
      <c r="G44" s="109" t="n">
        <v>0.02</v>
      </c>
      <c r="H44" s="109" t="n">
        <v>0.02</v>
      </c>
      <c r="I44" s="109" t="n">
        <v>0.13</v>
      </c>
      <c r="J44" s="111" t="inlineStr">
        <is>
          <t>N/A</t>
        </is>
      </c>
      <c r="K44" s="111" t="inlineStr">
        <is>
          <t>N/A</t>
        </is>
      </c>
      <c r="L44" s="111" t="inlineStr">
        <is>
          <t>N/A</t>
        </is>
      </c>
      <c r="M44" s="111" t="inlineStr">
        <is>
          <t>N/A</t>
        </is>
      </c>
      <c r="N44" s="111" t="inlineStr">
        <is>
          <t>N/A</t>
        </is>
      </c>
      <c r="O44" s="111" t="inlineStr">
        <is>
          <t>N/A</t>
        </is>
      </c>
      <c r="P44" s="111" t="inlineStr">
        <is>
          <t>N/A</t>
        </is>
      </c>
      <c r="Q44" s="111" t="inlineStr">
        <is>
          <t>N/A</t>
        </is>
      </c>
      <c r="R44" s="111" t="inlineStr">
        <is>
          <t>N/A</t>
        </is>
      </c>
      <c r="S44" s="108" t="n">
        <v>0.88</v>
      </c>
      <c r="T44" s="108" t="n">
        <v>0.89</v>
      </c>
      <c r="U44" s="108" t="n">
        <v>0.01</v>
      </c>
      <c r="V44" s="108" t="n">
        <v>0.01</v>
      </c>
      <c r="W44" s="108" t="n">
        <v>1.18</v>
      </c>
      <c r="X44" s="111" t="inlineStr">
        <is>
          <t>N/A</t>
        </is>
      </c>
      <c r="Y44" s="109" t="n">
        <v>0</v>
      </c>
      <c r="Z44" s="109" t="n">
        <v>2.15</v>
      </c>
      <c r="AA44" s="111" t="inlineStr">
        <is>
          <t>N/A</t>
        </is>
      </c>
      <c r="AB44" s="109" t="n">
        <v>0.13</v>
      </c>
      <c r="AC44" s="108" t="n">
        <v>-0</v>
      </c>
      <c r="AD44" s="108" t="n">
        <v>-0</v>
      </c>
      <c r="AE44" s="111" t="inlineStr">
        <is>
          <t>N/A</t>
        </is>
      </c>
      <c r="AF44" s="108" t="n">
        <v>0.1</v>
      </c>
      <c r="AG44" s="108" t="n">
        <v>0.02</v>
      </c>
      <c r="AH44" s="108" t="n">
        <v>0.14</v>
      </c>
      <c r="AI44" s="111" t="inlineStr">
        <is>
          <t>N/A</t>
        </is>
      </c>
      <c r="AJ44" s="111" t="inlineStr">
        <is>
          <t>N/A</t>
        </is>
      </c>
      <c r="AK44" s="111" t="inlineStr">
        <is>
          <t>N/A</t>
        </is>
      </c>
      <c r="AL44" s="111" t="inlineStr">
        <is>
          <t>N/A</t>
        </is>
      </c>
      <c r="AM44" s="108" t="n">
        <v>0.1</v>
      </c>
      <c r="AN44" s="108" t="n">
        <v>0.02</v>
      </c>
      <c r="AO44" s="108" t="n">
        <v>0.14</v>
      </c>
      <c r="AP44" s="111" t="inlineStr">
        <is>
          <t>N/A</t>
        </is>
      </c>
      <c r="AQ44" s="111" t="inlineStr">
        <is>
          <t>N/A</t>
        </is>
      </c>
      <c r="AR44" s="111" t="inlineStr">
        <is>
          <t>N/A</t>
        </is>
      </c>
      <c r="AS44" s="111" t="inlineStr">
        <is>
          <t>N/A</t>
        </is>
      </c>
      <c r="AT44" s="108" t="n">
        <v>0.1</v>
      </c>
      <c r="AU44" s="108" t="n">
        <v>0.02</v>
      </c>
      <c r="AV44" s="108" t="n">
        <v>0.14</v>
      </c>
      <c r="AW44" s="111" t="inlineStr">
        <is>
          <t>N/A</t>
        </is>
      </c>
      <c r="AX44" s="111" t="inlineStr">
        <is>
          <t>N/A</t>
        </is>
      </c>
      <c r="AY44" s="111" t="inlineStr">
        <is>
          <t>N/A</t>
        </is>
      </c>
      <c r="AZ44" s="108" t="n">
        <v>0.02</v>
      </c>
      <c r="BA44" s="111" t="inlineStr">
        <is>
          <t>N/A</t>
        </is>
      </c>
      <c r="BB44" s="111" t="inlineStr">
        <is>
          <t>N/A</t>
        </is>
      </c>
      <c r="BC44" s="111" t="inlineStr">
        <is>
          <t>N/A</t>
        </is>
      </c>
      <c r="BD44" s="111" t="inlineStr">
        <is>
          <t>N/A</t>
        </is>
      </c>
      <c r="BE44" s="108" t="n">
        <v>0.02</v>
      </c>
      <c r="BF44" s="108" t="n">
        <v>0.88</v>
      </c>
      <c r="BG44" s="111" t="inlineStr">
        <is>
          <t>N/A</t>
        </is>
      </c>
      <c r="BH44" s="111" t="inlineStr">
        <is>
          <t>N/A</t>
        </is>
      </c>
      <c r="BI44" s="111" t="inlineStr">
        <is>
          <t>N/A</t>
        </is>
      </c>
      <c r="BJ44" s="111" t="inlineStr">
        <is>
          <t>N/A</t>
        </is>
      </c>
      <c r="BK44" s="107" t="n">
        <v>1</v>
      </c>
      <c r="BL44" s="107" t="n">
        <v>1</v>
      </c>
      <c r="BM44" s="107" t="n">
        <v>1</v>
      </c>
      <c r="BN44" s="107" t="n">
        <v>1</v>
      </c>
      <c r="BO44" s="107" t="n">
        <v>0</v>
      </c>
      <c r="BP44" s="107" t="n">
        <v>0</v>
      </c>
      <c r="BQ44" s="107" t="n">
        <v>0</v>
      </c>
      <c r="BR44" s="107" t="n">
        <v>0</v>
      </c>
      <c r="BS44" s="107" t="n">
        <v>0</v>
      </c>
      <c r="BT44" s="107" t="n">
        <v>4</v>
      </c>
      <c r="BU44" s="107" t="inlineStr">
        <is>
          <t>Mixed</t>
        </is>
      </c>
      <c r="BV44" s="111" t="inlineStr">
        <is>
          <t>N/A</t>
        </is>
      </c>
      <c r="BW44" s="111" t="inlineStr">
        <is>
          <t>N/A</t>
        </is>
      </c>
      <c r="BX44" s="108" t="n">
        <v>1</v>
      </c>
      <c r="BY44" s="111" t="inlineStr">
        <is>
          <t>N/A</t>
        </is>
      </c>
      <c r="BZ44" s="108" t="n">
        <v>0.99</v>
      </c>
      <c r="CA44" s="111" t="inlineStr">
        <is>
          <t>N/A</t>
        </is>
      </c>
      <c r="CB44" s="108" t="n">
        <v>0.99</v>
      </c>
      <c r="CC44" s="108" t="n">
        <v>-0</v>
      </c>
      <c r="CD44" s="111" t="inlineStr">
        <is>
          <t>N/A</t>
        </is>
      </c>
      <c r="CE44" s="111" t="inlineStr">
        <is>
          <t>N/A</t>
        </is>
      </c>
      <c r="CF44" s="108" t="n">
        <v>0.07000000000000001</v>
      </c>
      <c r="CG44" s="108" t="n">
        <v>39.06</v>
      </c>
      <c r="CH44" s="107" t="n">
        <v>0</v>
      </c>
      <c r="CI44" s="107" t="inlineStr">
        <is>
          <t>CLEAR</t>
        </is>
      </c>
    </row>
    <row r="45" ht="17" customHeight="1">
      <c r="A45" s="103" t="inlineStr">
        <is>
          <t>ONTO</t>
        </is>
      </c>
      <c r="B45" s="103" t="inlineStr">
        <is>
          <t>ONTO INNOVATION INC.</t>
        </is>
      </c>
      <c r="C45" s="104" t="n">
        <v>1049089000</v>
      </c>
      <c r="D45" s="105" t="n">
        <v>0.13</v>
      </c>
      <c r="E45" s="105" t="n">
        <v>0.16</v>
      </c>
      <c r="F45" s="105" t="n">
        <v>0.14</v>
      </c>
      <c r="G45" s="105" t="n">
        <v>0.06</v>
      </c>
      <c r="H45" s="105" t="n">
        <v>0.1</v>
      </c>
      <c r="I45" s="105" t="n">
        <v>0.07000000000000001</v>
      </c>
      <c r="J45" s="105" t="n">
        <v>0.06</v>
      </c>
      <c r="K45" s="105" t="n">
        <v>0.5</v>
      </c>
      <c r="L45" s="105" t="n">
        <v>0.52</v>
      </c>
      <c r="M45" s="105" t="n">
        <v>0.42</v>
      </c>
      <c r="N45" s="104" t="n">
        <v>0.47</v>
      </c>
      <c r="O45" s="104" t="n">
        <v>5.79</v>
      </c>
      <c r="P45" s="104" t="n">
        <v>8.69</v>
      </c>
      <c r="Q45" s="104" t="n">
        <v>4.43</v>
      </c>
      <c r="R45" s="104" t="n">
        <v>1.58</v>
      </c>
      <c r="S45" s="104" t="n">
        <v>0.11</v>
      </c>
      <c r="T45" s="104" t="n">
        <v>0.09</v>
      </c>
      <c r="U45" s="104" t="n">
        <v>0</v>
      </c>
      <c r="V45" s="104" t="n">
        <v>-0.16</v>
      </c>
      <c r="W45" s="104" t="n">
        <v>2.4</v>
      </c>
      <c r="X45" s="105" t="n">
        <v>0.3</v>
      </c>
      <c r="Y45" s="105" t="n">
        <v>0.13</v>
      </c>
      <c r="Z45" s="105" t="n">
        <v>401.59</v>
      </c>
      <c r="AA45" s="105" t="n">
        <v>0.02</v>
      </c>
      <c r="AB45" s="105" t="n">
        <v>-0.32</v>
      </c>
      <c r="AC45" s="104" t="n">
        <v>-0.08</v>
      </c>
      <c r="AD45" s="104" t="n">
        <v>-0.08</v>
      </c>
      <c r="AE45" s="104" t="n">
        <v>0.44</v>
      </c>
      <c r="AF45" s="104" t="n">
        <v>0.31</v>
      </c>
      <c r="AG45" s="104" t="n">
        <v>0.06</v>
      </c>
      <c r="AH45" s="104" t="n">
        <v>7.86</v>
      </c>
      <c r="AI45" s="104" t="n">
        <v>0.42</v>
      </c>
      <c r="AJ45" s="104" t="n">
        <v>6.3</v>
      </c>
      <c r="AK45" s="110" t="inlineStr">
        <is>
          <t>Safe</t>
        </is>
      </c>
      <c r="AL45" s="104" t="n">
        <v>0.44</v>
      </c>
      <c r="AM45" s="104" t="n">
        <v>0.31</v>
      </c>
      <c r="AN45" s="104" t="n">
        <v>0.06</v>
      </c>
      <c r="AO45" s="104" t="n">
        <v>7.86</v>
      </c>
      <c r="AP45" s="104" t="n">
        <v>0.42</v>
      </c>
      <c r="AQ45" s="103" t="n">
        <v>4.49</v>
      </c>
      <c r="AR45" s="103" t="inlineStr">
        <is>
          <t>Safe</t>
        </is>
      </c>
      <c r="AS45" s="104" t="n">
        <v>0.44</v>
      </c>
      <c r="AT45" s="104" t="n">
        <v>0.31</v>
      </c>
      <c r="AU45" s="104" t="n">
        <v>0.06</v>
      </c>
      <c r="AV45" s="104" t="n">
        <v>7.86</v>
      </c>
      <c r="AW45" s="103" t="n">
        <v>12.57</v>
      </c>
      <c r="AX45" s="103" t="inlineStr">
        <is>
          <t>Safe</t>
        </is>
      </c>
      <c r="AY45" s="104" t="n">
        <v>0.44</v>
      </c>
      <c r="AZ45" s="104" t="n">
        <v>0.06</v>
      </c>
      <c r="BA45" s="104" t="n">
        <v>0.74</v>
      </c>
      <c r="BB45" s="104" t="n">
        <v>0.42</v>
      </c>
      <c r="BC45" s="103" t="n">
        <v>1.29</v>
      </c>
      <c r="BD45" s="103" t="inlineStr">
        <is>
          <t>Healthy</t>
        </is>
      </c>
      <c r="BE45" s="104" t="n">
        <v>0.06</v>
      </c>
      <c r="BF45" s="104" t="n">
        <v>0.11</v>
      </c>
      <c r="BG45" s="104" t="n">
        <v>5.79</v>
      </c>
      <c r="BH45" s="104" t="n">
        <v>-3.93</v>
      </c>
      <c r="BI45" s="103" t="n">
        <v>0.02</v>
      </c>
      <c r="BJ45" s="103" t="inlineStr">
        <is>
          <t>Healthy</t>
        </is>
      </c>
      <c r="BK45" s="103" t="n">
        <v>1</v>
      </c>
      <c r="BL45" s="103" t="n">
        <v>1</v>
      </c>
      <c r="BM45" s="103" t="n">
        <v>0</v>
      </c>
      <c r="BN45" s="103" t="n">
        <v>1</v>
      </c>
      <c r="BO45" s="103" t="n">
        <v>0</v>
      </c>
      <c r="BP45" s="103" t="n">
        <v>0</v>
      </c>
      <c r="BQ45" s="103" t="n">
        <v>0</v>
      </c>
      <c r="BR45" s="103" t="n">
        <v>0</v>
      </c>
      <c r="BS45" s="103" t="n">
        <v>0</v>
      </c>
      <c r="BT45" s="103" t="n">
        <v>3</v>
      </c>
      <c r="BU45" s="103" t="inlineStr">
        <is>
          <t>Weak</t>
        </is>
      </c>
      <c r="BV45" s="104" t="n">
        <v>0.86</v>
      </c>
      <c r="BW45" s="104" t="n">
        <v>1.05</v>
      </c>
      <c r="BX45" s="104" t="n">
        <v>1.69</v>
      </c>
      <c r="BY45" s="104" t="n">
        <v>1.02</v>
      </c>
      <c r="BZ45" s="104" t="n">
        <v>1.04</v>
      </c>
      <c r="CA45" s="104" t="n">
        <v>1.23</v>
      </c>
      <c r="CB45" s="104" t="n">
        <v>1.25</v>
      </c>
      <c r="CC45" s="104" t="n">
        <v>-0.08</v>
      </c>
      <c r="CD45" s="103" t="n">
        <v>-2.79</v>
      </c>
      <c r="CE45" s="103" t="inlineStr">
        <is>
          <t>Lower Risk</t>
        </is>
      </c>
      <c r="CF45" s="104" t="n">
        <v>-2.48</v>
      </c>
      <c r="CG45" s="104" t="n">
        <v>54.19</v>
      </c>
      <c r="CH45" s="103" t="n">
        <v>0</v>
      </c>
      <c r="CI45" s="103" t="inlineStr">
        <is>
          <t>CLEAR</t>
        </is>
      </c>
    </row>
    <row r="46" ht="17" customHeight="1">
      <c r="A46" s="107" t="inlineStr">
        <is>
          <t>PKG</t>
        </is>
      </c>
      <c r="B46" s="107" t="inlineStr">
        <is>
          <t>PACKAGING CORP OF AMERICA</t>
        </is>
      </c>
      <c r="C46" s="108" t="n">
        <v>2198600000</v>
      </c>
      <c r="D46" s="109" t="n">
        <v>0.12</v>
      </c>
      <c r="E46" s="109" t="n">
        <v>0.11</v>
      </c>
      <c r="F46" s="109" t="n">
        <v>0.09</v>
      </c>
      <c r="G46" s="109" t="n">
        <v>0.07000000000000001</v>
      </c>
      <c r="H46" s="109" t="n">
        <v>0.09</v>
      </c>
      <c r="I46" s="109" t="n">
        <v>0.17</v>
      </c>
      <c r="J46" s="109" t="n">
        <v>0.11</v>
      </c>
      <c r="K46" s="109" t="n">
        <v>0.21</v>
      </c>
      <c r="L46" s="109" t="n">
        <v>0.21</v>
      </c>
      <c r="M46" s="109" t="n">
        <v>0.84</v>
      </c>
      <c r="N46" s="108" t="n">
        <v>0.95</v>
      </c>
      <c r="O46" s="108" t="n">
        <v>3.17</v>
      </c>
      <c r="P46" s="108" t="n">
        <v>3.23</v>
      </c>
      <c r="Q46" s="108" t="n">
        <v>1.94</v>
      </c>
      <c r="R46" s="108" t="n">
        <v>0.52</v>
      </c>
      <c r="S46" s="108" t="n">
        <v>1</v>
      </c>
      <c r="T46" s="108" t="n">
        <v>1</v>
      </c>
      <c r="U46" s="108" t="n">
        <v>0.87</v>
      </c>
      <c r="V46" s="108" t="n">
        <v>0.75</v>
      </c>
      <c r="W46" s="108" t="n">
        <v>2.01</v>
      </c>
      <c r="X46" s="109" t="n">
        <v>0.08</v>
      </c>
      <c r="Y46" s="109" t="n">
        <v>0</v>
      </c>
      <c r="Z46" s="109" t="n">
        <v>11</v>
      </c>
      <c r="AA46" s="109" t="n">
        <v>0.07000000000000001</v>
      </c>
      <c r="AB46" s="109" t="n">
        <v>-0.04</v>
      </c>
      <c r="AC46" s="108" t="n">
        <v>-0.07000000000000001</v>
      </c>
      <c r="AD46" s="108" t="n">
        <v>-0.07000000000000001</v>
      </c>
      <c r="AE46" s="108" t="n">
        <v>0.2</v>
      </c>
      <c r="AF46" s="108" t="n">
        <v>0.37</v>
      </c>
      <c r="AG46" s="108" t="n">
        <v>0.1</v>
      </c>
      <c r="AH46" s="108" t="n">
        <v>0.43</v>
      </c>
      <c r="AI46" s="108" t="n">
        <v>0.84</v>
      </c>
      <c r="AJ46" s="108" t="n">
        <v>2.2</v>
      </c>
      <c r="AK46" s="106" t="inlineStr">
        <is>
          <t>Grey</t>
        </is>
      </c>
      <c r="AL46" s="108" t="n">
        <v>0.2</v>
      </c>
      <c r="AM46" s="108" t="n">
        <v>0.37</v>
      </c>
      <c r="AN46" s="108" t="n">
        <v>0.1</v>
      </c>
      <c r="AO46" s="108" t="n">
        <v>0.43</v>
      </c>
      <c r="AP46" s="108" t="n">
        <v>0.84</v>
      </c>
      <c r="AQ46" s="107" t="n">
        <v>1.79</v>
      </c>
      <c r="AR46" s="107" t="inlineStr">
        <is>
          <t>Grey</t>
        </is>
      </c>
      <c r="AS46" s="108" t="n">
        <v>0.2</v>
      </c>
      <c r="AT46" s="108" t="n">
        <v>0.37</v>
      </c>
      <c r="AU46" s="108" t="n">
        <v>0.1</v>
      </c>
      <c r="AV46" s="108" t="n">
        <v>0.43</v>
      </c>
      <c r="AW46" s="107" t="n">
        <v>3.68</v>
      </c>
      <c r="AX46" s="107" t="inlineStr">
        <is>
          <t>Safe</t>
        </is>
      </c>
      <c r="AY46" s="108" t="n">
        <v>0.2</v>
      </c>
      <c r="AZ46" s="108" t="n">
        <v>0.1</v>
      </c>
      <c r="BA46" s="108" t="n">
        <v>1.01</v>
      </c>
      <c r="BB46" s="108" t="n">
        <v>0.84</v>
      </c>
      <c r="BC46" s="107" t="n">
        <v>1.53</v>
      </c>
      <c r="BD46" s="107" t="inlineStr">
        <is>
          <t>Healthy</t>
        </is>
      </c>
      <c r="BE46" s="108" t="n">
        <v>0.07000000000000001</v>
      </c>
      <c r="BF46" s="108" t="n">
        <v>1</v>
      </c>
      <c r="BG46" s="108" t="n">
        <v>3.17</v>
      </c>
      <c r="BH46" s="108" t="n">
        <v>1.03</v>
      </c>
      <c r="BI46" s="107" t="n">
        <v>0.74</v>
      </c>
      <c r="BJ46" s="107" t="inlineStr">
        <is>
          <t>Distress</t>
        </is>
      </c>
      <c r="BK46" s="107" t="n">
        <v>1</v>
      </c>
      <c r="BL46" s="107" t="n">
        <v>1</v>
      </c>
      <c r="BM46" s="107" t="n">
        <v>0</v>
      </c>
      <c r="BN46" s="107" t="n">
        <v>1</v>
      </c>
      <c r="BO46" s="107" t="n">
        <v>0</v>
      </c>
      <c r="BP46" s="107" t="n">
        <v>0</v>
      </c>
      <c r="BQ46" s="107" t="n">
        <v>1</v>
      </c>
      <c r="BR46" s="107" t="n">
        <v>0</v>
      </c>
      <c r="BS46" s="107" t="n">
        <v>0</v>
      </c>
      <c r="BT46" s="107" t="n">
        <v>4</v>
      </c>
      <c r="BU46" s="107" t="inlineStr">
        <is>
          <t>Mixed</t>
        </is>
      </c>
      <c r="BV46" s="108" t="n">
        <v>1.02</v>
      </c>
      <c r="BW46" s="108" t="n">
        <v>1.01</v>
      </c>
      <c r="BX46" s="108" t="n">
        <v>1.33</v>
      </c>
      <c r="BY46" s="108" t="n">
        <v>1.07</v>
      </c>
      <c r="BZ46" s="108" t="n">
        <v>0.99</v>
      </c>
      <c r="CA46" s="108" t="n">
        <v>0.97</v>
      </c>
      <c r="CB46" s="108" t="n">
        <v>1</v>
      </c>
      <c r="CC46" s="108" t="n">
        <v>-0.07000000000000001</v>
      </c>
      <c r="CD46" s="107" t="n">
        <v>-2.59</v>
      </c>
      <c r="CE46" s="107" t="inlineStr">
        <is>
          <t>Lower Risk</t>
        </is>
      </c>
      <c r="CF46" s="108" t="n">
        <v>1.97</v>
      </c>
      <c r="CG46" s="108" t="n">
        <v>45.34</v>
      </c>
      <c r="CH46" s="107" t="n">
        <v>0</v>
      </c>
      <c r="CI46" s="107" t="inlineStr">
        <is>
          <t>CLEAR</t>
        </is>
      </c>
    </row>
    <row r="47" ht="17" customHeight="1">
      <c r="A47" s="103" t="inlineStr">
        <is>
          <t>MU</t>
        </is>
      </c>
      <c r="B47" s="103" t="inlineStr">
        <is>
          <t>Micron Technology, Inc.</t>
        </is>
      </c>
      <c r="C47" s="104" t="n">
        <v>17387000000</v>
      </c>
      <c r="D47" s="105" t="n">
        <v>0.32</v>
      </c>
      <c r="E47" s="105" t="n">
        <v>0.02</v>
      </c>
      <c r="F47" s="105" t="n">
        <v>0.28</v>
      </c>
      <c r="G47" s="105" t="n">
        <v>0.1</v>
      </c>
      <c r="H47" s="105" t="n">
        <v>0.01</v>
      </c>
      <c r="I47" s="105" t="n">
        <v>0.16</v>
      </c>
      <c r="J47" s="105" t="n">
        <v>0.14</v>
      </c>
      <c r="K47" s="105" t="n">
        <v>0.49</v>
      </c>
      <c r="L47" s="105" t="n">
        <v>0.67</v>
      </c>
      <c r="M47" s="105" t="n">
        <v>0.37</v>
      </c>
      <c r="N47" s="104" t="n">
        <v>0.12</v>
      </c>
      <c r="O47" s="104" t="n">
        <v>2.52</v>
      </c>
      <c r="P47" s="104" t="n">
        <v>2.64</v>
      </c>
      <c r="Q47" s="104" t="n">
        <v>1.79</v>
      </c>
      <c r="R47" s="104" t="n">
        <v>0.84</v>
      </c>
      <c r="S47" s="104" t="n">
        <v>0.35</v>
      </c>
      <c r="T47" s="104" t="n">
        <v>0.35</v>
      </c>
      <c r="U47" s="104" t="n">
        <v>0.22</v>
      </c>
      <c r="V47" s="104" t="n">
        <v>0.05</v>
      </c>
      <c r="W47" s="104" t="n">
        <v>2.05</v>
      </c>
      <c r="X47" s="105" t="n">
        <v>0.05</v>
      </c>
      <c r="Y47" s="105" t="n">
        <v>0.12</v>
      </c>
      <c r="Z47" s="105" t="n">
        <v>25.18</v>
      </c>
      <c r="AA47" s="105" t="n">
        <v>2.6</v>
      </c>
      <c r="AB47" s="105" t="n">
        <v>9.98</v>
      </c>
      <c r="AC47" s="104" t="n">
        <v>-0.11</v>
      </c>
      <c r="AD47" s="104" t="n">
        <v>-0.11</v>
      </c>
      <c r="AE47" s="104" t="n">
        <v>0.21</v>
      </c>
      <c r="AF47" s="104" t="n">
        <v>0.59</v>
      </c>
      <c r="AG47" s="104" t="n">
        <v>0.12</v>
      </c>
      <c r="AH47" s="104" t="n">
        <v>1.89</v>
      </c>
      <c r="AI47" s="104" t="n">
        <v>0.37</v>
      </c>
      <c r="AJ47" s="104" t="n">
        <v>2.96</v>
      </c>
      <c r="AK47" s="106" t="inlineStr">
        <is>
          <t>Grey</t>
        </is>
      </c>
      <c r="AL47" s="104" t="n">
        <v>0.21</v>
      </c>
      <c r="AM47" s="104" t="n">
        <v>0.59</v>
      </c>
      <c r="AN47" s="104" t="n">
        <v>0.12</v>
      </c>
      <c r="AO47" s="104" t="n">
        <v>1.89</v>
      </c>
      <c r="AP47" s="104" t="n">
        <v>0.37</v>
      </c>
      <c r="AQ47" s="103" t="n">
        <v>2.18</v>
      </c>
      <c r="AR47" s="103" t="inlineStr">
        <is>
          <t>Grey</t>
        </is>
      </c>
      <c r="AS47" s="104" t="n">
        <v>0.21</v>
      </c>
      <c r="AT47" s="104" t="n">
        <v>0.59</v>
      </c>
      <c r="AU47" s="104" t="n">
        <v>0.12</v>
      </c>
      <c r="AV47" s="104" t="n">
        <v>1.89</v>
      </c>
      <c r="AW47" s="103" t="n">
        <v>6.07</v>
      </c>
      <c r="AX47" s="103" t="inlineStr">
        <is>
          <t>Safe</t>
        </is>
      </c>
      <c r="AY47" s="104" t="n">
        <v>0.21</v>
      </c>
      <c r="AZ47" s="104" t="n">
        <v>0.12</v>
      </c>
      <c r="BA47" s="104" t="n">
        <v>0.06</v>
      </c>
      <c r="BB47" s="104" t="n">
        <v>0.37</v>
      </c>
      <c r="BC47" s="103" t="n">
        <v>0.76</v>
      </c>
      <c r="BD47" s="103" t="inlineStr">
        <is>
          <t>Distress</t>
        </is>
      </c>
      <c r="BE47" s="104" t="n">
        <v>0.1</v>
      </c>
      <c r="BF47" s="104" t="n">
        <v>0.35</v>
      </c>
      <c r="BG47" s="104" t="n">
        <v>2.52</v>
      </c>
      <c r="BH47" s="104" t="n">
        <v>-2.83</v>
      </c>
      <c r="BI47" s="103" t="n">
        <v>0.06</v>
      </c>
      <c r="BJ47" s="103" t="inlineStr">
        <is>
          <t>Healthy</t>
        </is>
      </c>
      <c r="BK47" s="103" t="n">
        <v>1</v>
      </c>
      <c r="BL47" s="103" t="n">
        <v>1</v>
      </c>
      <c r="BM47" s="103" t="n">
        <v>1</v>
      </c>
      <c r="BN47" s="103" t="n">
        <v>1</v>
      </c>
      <c r="BO47" s="103" t="n">
        <v>1</v>
      </c>
      <c r="BP47" s="103" t="n">
        <v>0</v>
      </c>
      <c r="BQ47" s="103" t="n">
        <v>0</v>
      </c>
      <c r="BR47" s="103" t="n">
        <v>0</v>
      </c>
      <c r="BS47" s="103" t="n">
        <v>1</v>
      </c>
      <c r="BT47" s="103" t="n">
        <v>6</v>
      </c>
      <c r="BU47" s="103" t="inlineStr">
        <is>
          <t>Mixed</t>
        </is>
      </c>
      <c r="BV47" s="104" t="n">
        <v>0.37</v>
      </c>
      <c r="BW47" s="104" t="n">
        <v>1.36</v>
      </c>
      <c r="BX47" s="104" t="n">
        <v>1.01</v>
      </c>
      <c r="BY47" s="104" t="n">
        <v>3.6</v>
      </c>
      <c r="BZ47" s="104" t="n">
        <v>1.08</v>
      </c>
      <c r="CA47" s="104" t="n">
        <v>0.3</v>
      </c>
      <c r="CB47" s="104" t="n">
        <v>0.99</v>
      </c>
      <c r="CC47" s="104" t="n">
        <v>-0.11</v>
      </c>
      <c r="CD47" s="103" t="n">
        <v>-0.92</v>
      </c>
      <c r="CE47" s="103" t="inlineStr">
        <is>
          <t>Higher Risk</t>
        </is>
      </c>
      <c r="CF47" s="104" t="n">
        <v>0.14</v>
      </c>
      <c r="CG47" s="104" t="n">
        <v>51.37</v>
      </c>
      <c r="CH47" s="106" t="n">
        <v>40</v>
      </c>
      <c r="CI47" s="103" t="inlineStr">
        <is>
          <t>WATCH</t>
        </is>
      </c>
    </row>
    <row r="48" ht="17" customHeight="1">
      <c r="A48" s="107" t="inlineStr">
        <is>
          <t>JAZZ</t>
        </is>
      </c>
      <c r="B48" s="107" t="inlineStr">
        <is>
          <t>Jazz Pharmaceuticals plc</t>
        </is>
      </c>
      <c r="C48" s="108" t="n">
        <v>1923522000</v>
      </c>
      <c r="D48" s="109" t="n">
        <v>-0.9</v>
      </c>
      <c r="E48" s="109" t="n">
        <v>0.91</v>
      </c>
      <c r="F48" s="109" t="n">
        <v>-0.75</v>
      </c>
      <c r="G48" s="109" t="n">
        <v>-0.03</v>
      </c>
      <c r="H48" s="109" t="n">
        <v>0.05</v>
      </c>
      <c r="I48" s="109" t="n">
        <v>-0.08</v>
      </c>
      <c r="J48" s="109" t="n">
        <v>-0.05</v>
      </c>
      <c r="K48" s="109" t="n">
        <v>1.28</v>
      </c>
      <c r="L48" s="109" t="n">
        <v>1.18</v>
      </c>
      <c r="M48" s="109" t="n">
        <v>0.04</v>
      </c>
      <c r="N48" s="108" t="n">
        <v>0.04</v>
      </c>
      <c r="O48" s="108" t="n">
        <v>1.86</v>
      </c>
      <c r="P48" s="108" t="n">
        <v>4.46</v>
      </c>
      <c r="Q48" s="108" t="n">
        <v>1.67</v>
      </c>
      <c r="R48" s="108" t="n">
        <v>0.62</v>
      </c>
      <c r="S48" s="108" t="n">
        <v>1</v>
      </c>
      <c r="T48" s="108" t="n">
        <v>1</v>
      </c>
      <c r="U48" s="108" t="n">
        <v>1.48</v>
      </c>
      <c r="V48" s="108" t="n">
        <v>1.16</v>
      </c>
      <c r="W48" s="108" t="n">
        <v>-3.81</v>
      </c>
      <c r="X48" s="109" t="n">
        <v>2.72</v>
      </c>
      <c r="Y48" s="109" t="n">
        <v>0.63</v>
      </c>
      <c r="Z48" s="109" t="n">
        <v>-256.86</v>
      </c>
      <c r="AA48" s="109" t="n">
        <v>0.02</v>
      </c>
      <c r="AB48" s="109" t="n">
        <v>-1.64</v>
      </c>
      <c r="AC48" s="108" t="n">
        <v>-0.15</v>
      </c>
      <c r="AD48" s="108" t="n">
        <v>-0.15</v>
      </c>
      <c r="AE48" s="108" t="n">
        <v>0.16</v>
      </c>
      <c r="AF48" s="108" t="n">
        <v>0.06</v>
      </c>
      <c r="AG48" s="108" t="n">
        <v>-0.04</v>
      </c>
      <c r="AH48" s="108" t="n">
        <v>0.37</v>
      </c>
      <c r="AI48" s="108" t="n">
        <v>0.04</v>
      </c>
      <c r="AJ48" s="108" t="n">
        <v>0.42</v>
      </c>
      <c r="AK48" s="112" t="inlineStr">
        <is>
          <t>Distress</t>
        </is>
      </c>
      <c r="AL48" s="108" t="n">
        <v>0.16</v>
      </c>
      <c r="AM48" s="108" t="n">
        <v>0.06</v>
      </c>
      <c r="AN48" s="108" t="n">
        <v>-0.04</v>
      </c>
      <c r="AO48" s="108" t="n">
        <v>0.37</v>
      </c>
      <c r="AP48" s="108" t="n">
        <v>0.04</v>
      </c>
      <c r="AQ48" s="107" t="n">
        <v>0.25</v>
      </c>
      <c r="AR48" s="107" t="inlineStr">
        <is>
          <t>Distress</t>
        </is>
      </c>
      <c r="AS48" s="108" t="n">
        <v>0.16</v>
      </c>
      <c r="AT48" s="108" t="n">
        <v>0.06</v>
      </c>
      <c r="AU48" s="108" t="n">
        <v>-0.04</v>
      </c>
      <c r="AV48" s="108" t="n">
        <v>0.37</v>
      </c>
      <c r="AW48" s="107" t="n">
        <v>1.4</v>
      </c>
      <c r="AX48" s="107" t="inlineStr">
        <is>
          <t>Grey</t>
        </is>
      </c>
      <c r="AY48" s="108" t="n">
        <v>0.16</v>
      </c>
      <c r="AZ48" s="108" t="n">
        <v>-0.04</v>
      </c>
      <c r="BA48" s="108" t="n">
        <v>0.19</v>
      </c>
      <c r="BB48" s="108" t="n">
        <v>0.04</v>
      </c>
      <c r="BC48" s="107" t="n">
        <v>0.2</v>
      </c>
      <c r="BD48" s="107" t="inlineStr">
        <is>
          <t>Distress</t>
        </is>
      </c>
      <c r="BE48" s="108" t="n">
        <v>-0.03</v>
      </c>
      <c r="BF48" s="108" t="n">
        <v>1</v>
      </c>
      <c r="BG48" s="108" t="n">
        <v>1.86</v>
      </c>
      <c r="BH48" s="108" t="n">
        <v>1.49</v>
      </c>
      <c r="BI48" s="107" t="n">
        <v>0.82</v>
      </c>
      <c r="BJ48" s="107" t="inlineStr">
        <is>
          <t>Distress</t>
        </is>
      </c>
      <c r="BK48" s="107" t="n">
        <v>0</v>
      </c>
      <c r="BL48" s="107" t="n">
        <v>1</v>
      </c>
      <c r="BM48" s="107" t="n">
        <v>0</v>
      </c>
      <c r="BN48" s="107" t="n">
        <v>1</v>
      </c>
      <c r="BO48" s="107" t="n">
        <v>1</v>
      </c>
      <c r="BP48" s="107" t="n">
        <v>0</v>
      </c>
      <c r="BQ48" s="107" t="n">
        <v>0</v>
      </c>
      <c r="BR48" s="107" t="n">
        <v>1</v>
      </c>
      <c r="BS48" s="107" t="n">
        <v>1</v>
      </c>
      <c r="BT48" s="107" t="n">
        <v>5</v>
      </c>
      <c r="BU48" s="107" t="inlineStr">
        <is>
          <t>Mixed</t>
        </is>
      </c>
      <c r="BV48" s="108" t="n">
        <v>1.14</v>
      </c>
      <c r="BW48" s="108" t="n">
        <v>0.92</v>
      </c>
      <c r="BX48" s="108" t="n">
        <v>1.05</v>
      </c>
      <c r="BY48" s="108" t="n">
        <v>1.02</v>
      </c>
      <c r="BZ48" s="108" t="n">
        <v>0.8100000000000001</v>
      </c>
      <c r="CA48" s="108" t="n">
        <v>1.29</v>
      </c>
      <c r="CB48" s="108" t="n">
        <v>1</v>
      </c>
      <c r="CC48" s="108" t="n">
        <v>-0.15</v>
      </c>
      <c r="CD48" s="107" t="n">
        <v>-3.12</v>
      </c>
      <c r="CE48" s="107" t="inlineStr">
        <is>
          <t>Lower Risk</t>
        </is>
      </c>
      <c r="CF48" s="108" t="n">
        <v>-12.86</v>
      </c>
      <c r="CG48" s="108" t="n">
        <v>43.81</v>
      </c>
      <c r="CH48" s="106" t="n">
        <v>40</v>
      </c>
      <c r="CI48" s="107" t="inlineStr">
        <is>
          <t>WATCH</t>
        </is>
      </c>
    </row>
    <row r="49" ht="17" customHeight="1">
      <c r="A49" s="103" t="inlineStr">
        <is>
          <t>INTC</t>
        </is>
      </c>
      <c r="B49" s="103" t="inlineStr">
        <is>
          <t>INTEL CORP</t>
        </is>
      </c>
      <c r="C49" s="104" t="n">
        <v>32113000000</v>
      </c>
      <c r="D49" s="105" t="n">
        <v>-0.04</v>
      </c>
      <c r="E49" s="105" t="n">
        <v>0.03</v>
      </c>
      <c r="F49" s="105" t="n">
        <v>-0.01</v>
      </c>
      <c r="G49" s="105" t="n">
        <v>-0</v>
      </c>
      <c r="H49" s="105" t="n">
        <v>-0.1</v>
      </c>
      <c r="I49" s="105" t="n">
        <v>-0</v>
      </c>
      <c r="J49" s="105" t="n">
        <v>-0.01</v>
      </c>
      <c r="K49" s="105" t="n">
        <v>0.35</v>
      </c>
      <c r="L49" s="105" t="n">
        <v>0.33</v>
      </c>
      <c r="M49" s="105" t="n">
        <v>0.25</v>
      </c>
      <c r="N49" s="104" t="n">
        <v>0.27</v>
      </c>
      <c r="O49" s="104" t="n">
        <v>2.02</v>
      </c>
      <c r="P49" s="104" t="n">
        <v>1.33</v>
      </c>
      <c r="Q49" s="104" t="n">
        <v>1.65</v>
      </c>
      <c r="R49" s="104" t="n">
        <v>0.45</v>
      </c>
      <c r="S49" s="104" t="n">
        <v>1</v>
      </c>
      <c r="T49" s="104" t="n">
        <v>1</v>
      </c>
      <c r="U49" s="104" t="n">
        <v>0.43</v>
      </c>
      <c r="V49" s="104" t="n">
        <v>0.3</v>
      </c>
      <c r="W49" s="104" t="n">
        <v>-36.32</v>
      </c>
      <c r="X49" s="105" t="n">
        <v>-0.09</v>
      </c>
      <c r="Y49" s="105" t="n">
        <v>0.26</v>
      </c>
      <c r="Z49" s="105" t="n">
        <v>-2.52</v>
      </c>
      <c r="AA49" s="105" t="n">
        <v>-0</v>
      </c>
      <c r="AB49" s="105" t="n">
        <v>-0.99</v>
      </c>
      <c r="AC49" s="104" t="n">
        <v>-0.05</v>
      </c>
      <c r="AD49" s="104" t="n">
        <v>-0.05</v>
      </c>
      <c r="AE49" s="104" t="n">
        <v>0.15</v>
      </c>
      <c r="AF49" s="104" t="n">
        <v>0.23</v>
      </c>
      <c r="AG49" s="104" t="n">
        <v>-0.01</v>
      </c>
      <c r="AH49" s="104" t="n">
        <v>0.54</v>
      </c>
      <c r="AI49" s="104" t="n">
        <v>0.25</v>
      </c>
      <c r="AJ49" s="104" t="n">
        <v>1.05</v>
      </c>
      <c r="AK49" s="112" t="inlineStr">
        <is>
          <t>Distress</t>
        </is>
      </c>
      <c r="AL49" s="104" t="n">
        <v>0.15</v>
      </c>
      <c r="AM49" s="104" t="n">
        <v>0.23</v>
      </c>
      <c r="AN49" s="104" t="n">
        <v>-0.01</v>
      </c>
      <c r="AO49" s="104" t="n">
        <v>0.54</v>
      </c>
      <c r="AP49" s="104" t="n">
        <v>0.25</v>
      </c>
      <c r="AQ49" s="103" t="n">
        <v>0.75</v>
      </c>
      <c r="AR49" s="103" t="inlineStr">
        <is>
          <t>Distress</t>
        </is>
      </c>
      <c r="AS49" s="104" t="n">
        <v>0.15</v>
      </c>
      <c r="AT49" s="104" t="n">
        <v>0.23</v>
      </c>
      <c r="AU49" s="104" t="n">
        <v>-0.01</v>
      </c>
      <c r="AV49" s="104" t="n">
        <v>0.54</v>
      </c>
      <c r="AW49" s="103" t="n">
        <v>2.25</v>
      </c>
      <c r="AX49" s="103" t="inlineStr">
        <is>
          <t>Grey</t>
        </is>
      </c>
      <c r="AY49" s="104" t="n">
        <v>0.15</v>
      </c>
      <c r="AZ49" s="104" t="n">
        <v>-0.01</v>
      </c>
      <c r="BA49" s="104" t="n">
        <v>0.05</v>
      </c>
      <c r="BB49" s="104" t="n">
        <v>0.25</v>
      </c>
      <c r="BC49" s="103" t="n">
        <v>0.26</v>
      </c>
      <c r="BD49" s="103" t="inlineStr">
        <is>
          <t>Distress</t>
        </is>
      </c>
      <c r="BE49" s="104" t="n">
        <v>-0</v>
      </c>
      <c r="BF49" s="104" t="n">
        <v>1</v>
      </c>
      <c r="BG49" s="104" t="n">
        <v>2.02</v>
      </c>
      <c r="BH49" s="104" t="n">
        <v>1.36</v>
      </c>
      <c r="BI49" s="103" t="n">
        <v>0.8</v>
      </c>
      <c r="BJ49" s="103" t="inlineStr">
        <is>
          <t>Distress</t>
        </is>
      </c>
      <c r="BK49" s="103" t="n">
        <v>0</v>
      </c>
      <c r="BL49" s="103" t="n">
        <v>1</v>
      </c>
      <c r="BM49" s="103" t="n">
        <v>1</v>
      </c>
      <c r="BN49" s="103" t="n">
        <v>1</v>
      </c>
      <c r="BO49" s="103" t="n">
        <v>1</v>
      </c>
      <c r="BP49" s="103" t="n">
        <v>1</v>
      </c>
      <c r="BQ49" s="103" t="n">
        <v>0</v>
      </c>
      <c r="BR49" s="103" t="n">
        <v>1</v>
      </c>
      <c r="BS49" s="103" t="n">
        <v>0</v>
      </c>
      <c r="BT49" s="103" t="n">
        <v>6</v>
      </c>
      <c r="BU49" s="103" t="inlineStr">
        <is>
          <t>Mixed</t>
        </is>
      </c>
      <c r="BV49" s="104" t="n">
        <v>1.11</v>
      </c>
      <c r="BW49" s="104" t="n">
        <v>0.9399999999999999</v>
      </c>
      <c r="BX49" s="104" t="n">
        <v>0.72</v>
      </c>
      <c r="BY49" s="104" t="n">
        <v>1</v>
      </c>
      <c r="BZ49" s="104" t="n">
        <v>1.28</v>
      </c>
      <c r="CA49" s="104" t="n">
        <v>0.84</v>
      </c>
      <c r="CB49" s="104" t="n">
        <v>1</v>
      </c>
      <c r="CC49" s="104" t="n">
        <v>-0.05</v>
      </c>
      <c r="CD49" s="103" t="n">
        <v>-2.69</v>
      </c>
      <c r="CE49" s="103" t="inlineStr">
        <is>
          <t>Lower Risk</t>
        </is>
      </c>
      <c r="CF49" s="104" t="n">
        <v>-17.29</v>
      </c>
      <c r="CG49" s="104" t="n">
        <v>49.46</v>
      </c>
      <c r="CH49" s="103" t="n">
        <v>20</v>
      </c>
      <c r="CI49" s="103" t="inlineStr">
        <is>
          <t>CLEAR</t>
        </is>
      </c>
    </row>
    <row r="50" ht="17" customHeight="1">
      <c r="A50" s="107" t="inlineStr">
        <is>
          <t>STE</t>
        </is>
      </c>
      <c r="B50" s="107" t="inlineStr">
        <is>
          <t>STERIS plc</t>
        </is>
      </c>
      <c r="C50" s="108" t="n">
        <v>1249600000</v>
      </c>
      <c r="D50" s="109" t="n">
        <v>0.19</v>
      </c>
      <c r="E50" s="109" t="n">
        <v>0.18</v>
      </c>
      <c r="F50" s="109" t="n">
        <v>0.13</v>
      </c>
      <c r="G50" s="109" t="n">
        <v>0.07000000000000001</v>
      </c>
      <c r="H50" s="109" t="n">
        <v>0.06</v>
      </c>
      <c r="I50" s="109" t="n">
        <v>0.11</v>
      </c>
      <c r="J50" s="109" t="n">
        <v>0.11</v>
      </c>
      <c r="K50" s="109" t="n">
        <v>0.44</v>
      </c>
      <c r="L50" s="109" t="n">
        <v>0.44</v>
      </c>
      <c r="M50" s="109" t="n">
        <v>0.55</v>
      </c>
      <c r="N50" s="108" t="n">
        <v>0.54</v>
      </c>
      <c r="O50" s="108" t="n">
        <v>2.09</v>
      </c>
      <c r="P50" s="108" t="n">
        <v>1.96</v>
      </c>
      <c r="Q50" s="108" t="n">
        <v>1.54</v>
      </c>
      <c r="R50" s="108" t="n">
        <v>0.19</v>
      </c>
      <c r="S50" s="108" t="n">
        <v>0.33</v>
      </c>
      <c r="T50" s="108" t="n">
        <v>0.35</v>
      </c>
      <c r="U50" s="108" t="n">
        <v>0.27</v>
      </c>
      <c r="V50" s="108" t="n">
        <v>0.24</v>
      </c>
      <c r="W50" s="108" t="n">
        <v>1.71</v>
      </c>
      <c r="X50" s="109" t="n">
        <v>0.16</v>
      </c>
      <c r="Y50" s="109" t="n">
        <v>0.02</v>
      </c>
      <c r="Z50" s="109" t="n">
        <v>7.63</v>
      </c>
      <c r="AA50" s="109" t="n">
        <v>0.09</v>
      </c>
      <c r="AB50" s="109" t="n">
        <v>0.27</v>
      </c>
      <c r="AC50" s="108" t="n">
        <v>-0.05</v>
      </c>
      <c r="AD50" s="108" t="n">
        <v>-0.05</v>
      </c>
      <c r="AE50" s="108" t="n">
        <v>0.12</v>
      </c>
      <c r="AF50" s="108" t="n">
        <v>0.28</v>
      </c>
      <c r="AG50" s="108" t="n">
        <v>0.1</v>
      </c>
      <c r="AH50" s="108" t="n">
        <v>2.03</v>
      </c>
      <c r="AI50" s="108" t="n">
        <v>0.55</v>
      </c>
      <c r="AJ50" s="108" t="n">
        <v>2.64</v>
      </c>
      <c r="AK50" s="106" t="inlineStr">
        <is>
          <t>Grey</t>
        </is>
      </c>
      <c r="AL50" s="108" t="n">
        <v>0.12</v>
      </c>
      <c r="AM50" s="108" t="n">
        <v>0.28</v>
      </c>
      <c r="AN50" s="108" t="n">
        <v>0.1</v>
      </c>
      <c r="AO50" s="108" t="n">
        <v>2.03</v>
      </c>
      <c r="AP50" s="108" t="n">
        <v>0.55</v>
      </c>
      <c r="AQ50" s="107" t="n">
        <v>2.04</v>
      </c>
      <c r="AR50" s="107" t="inlineStr">
        <is>
          <t>Grey</t>
        </is>
      </c>
      <c r="AS50" s="108" t="n">
        <v>0.12</v>
      </c>
      <c r="AT50" s="108" t="n">
        <v>0.28</v>
      </c>
      <c r="AU50" s="108" t="n">
        <v>0.1</v>
      </c>
      <c r="AV50" s="108" t="n">
        <v>2.03</v>
      </c>
      <c r="AW50" s="107" t="n">
        <v>4.5</v>
      </c>
      <c r="AX50" s="107" t="inlineStr">
        <is>
          <t>Safe</t>
        </is>
      </c>
      <c r="AY50" s="108" t="n">
        <v>0.12</v>
      </c>
      <c r="AZ50" s="108" t="n">
        <v>0.1</v>
      </c>
      <c r="BA50" s="108" t="n">
        <v>0.91</v>
      </c>
      <c r="BB50" s="108" t="n">
        <v>0.55</v>
      </c>
      <c r="BC50" s="107" t="n">
        <v>1.26</v>
      </c>
      <c r="BD50" s="107" t="inlineStr">
        <is>
          <t>Healthy</t>
        </is>
      </c>
      <c r="BE50" s="108" t="n">
        <v>0.07000000000000001</v>
      </c>
      <c r="BF50" s="108" t="n">
        <v>0.33</v>
      </c>
      <c r="BG50" s="108" t="n">
        <v>2.09</v>
      </c>
      <c r="BH50" s="108" t="n">
        <v>-2.78</v>
      </c>
      <c r="BI50" s="107" t="n">
        <v>0.06</v>
      </c>
      <c r="BJ50" s="107" t="inlineStr">
        <is>
          <t>Healthy</t>
        </is>
      </c>
      <c r="BK50" s="107" t="n">
        <v>1</v>
      </c>
      <c r="BL50" s="107" t="n">
        <v>1</v>
      </c>
      <c r="BM50" s="107" t="n">
        <v>1</v>
      </c>
      <c r="BN50" s="107" t="n">
        <v>1</v>
      </c>
      <c r="BO50" s="107" t="n">
        <v>1</v>
      </c>
      <c r="BP50" s="107" t="n">
        <v>1</v>
      </c>
      <c r="BQ50" s="107" t="n">
        <v>1</v>
      </c>
      <c r="BR50" s="107" t="n">
        <v>1</v>
      </c>
      <c r="BS50" s="107" t="n">
        <v>1</v>
      </c>
      <c r="BT50" s="107" t="n">
        <v>9</v>
      </c>
      <c r="BU50" s="107" t="inlineStr">
        <is>
          <t>Strong</t>
        </is>
      </c>
      <c r="BV50" s="108" t="n">
        <v>0.96</v>
      </c>
      <c r="BW50" s="108" t="n">
        <v>0.99</v>
      </c>
      <c r="BX50" s="108" t="n">
        <v>0.9399999999999999</v>
      </c>
      <c r="BY50" s="108" t="n">
        <v>1.09</v>
      </c>
      <c r="BZ50" s="108" t="n">
        <v>1.07</v>
      </c>
      <c r="CA50" s="108" t="n">
        <v>0.97</v>
      </c>
      <c r="CB50" s="108" t="n">
        <v>0.95</v>
      </c>
      <c r="CC50" s="108" t="n">
        <v>-0.05</v>
      </c>
      <c r="CD50" s="107" t="n">
        <v>-2.68</v>
      </c>
      <c r="CE50" s="107" t="inlineStr">
        <is>
          <t>Lower Risk</t>
        </is>
      </c>
      <c r="CF50" s="108" t="n">
        <v>1.08</v>
      </c>
      <c r="CG50" s="108" t="n">
        <v>67.68000000000001</v>
      </c>
      <c r="CH50" s="107" t="n">
        <v>0</v>
      </c>
      <c r="CI50" s="107" t="inlineStr">
        <is>
          <t>CLEAR</t>
        </is>
      </c>
    </row>
    <row r="51" ht="17" customHeight="1">
      <c r="A51" s="103" t="inlineStr">
        <is>
          <t>BMY</t>
        </is>
      </c>
      <c r="B51" s="103" t="inlineStr">
        <is>
          <t>Bristol-Myers Squibb Company</t>
        </is>
      </c>
      <c r="C51" s="104" t="n">
        <v>5973000000</v>
      </c>
      <c r="D51" s="105" t="n">
        <v>0.19</v>
      </c>
      <c r="E51" s="105" t="n">
        <v>0.19</v>
      </c>
      <c r="F51" s="105" t="n">
        <v>0.15</v>
      </c>
      <c r="G51" s="105" t="n">
        <v>0.08</v>
      </c>
      <c r="H51" s="105" t="n">
        <v>-0.1</v>
      </c>
      <c r="I51" s="105" t="n">
        <v>0.38</v>
      </c>
      <c r="J51" s="105" t="n">
        <v>0.14</v>
      </c>
      <c r="K51" s="105" t="n">
        <v>0.64</v>
      </c>
      <c r="L51" s="105" t="n">
        <v>0.17</v>
      </c>
      <c r="M51" s="105" t="n">
        <v>0.54</v>
      </c>
      <c r="N51" s="104" t="n">
        <v>0.52</v>
      </c>
      <c r="O51" s="104" t="n">
        <v>1.26</v>
      </c>
      <c r="P51" s="104" t="n">
        <v>1.25</v>
      </c>
      <c r="Q51" s="104" t="n">
        <v>1.14</v>
      </c>
      <c r="R51" s="104" t="n">
        <v>0.44</v>
      </c>
      <c r="S51" s="104" t="n">
        <v>0.79</v>
      </c>
      <c r="T51" s="104" t="n">
        <v>0.82</v>
      </c>
      <c r="U51" s="104" t="n">
        <v>2.55</v>
      </c>
      <c r="V51" s="104" t="n">
        <v>2</v>
      </c>
      <c r="W51" s="104" t="n">
        <v>2.01</v>
      </c>
      <c r="X51" s="105" t="n">
        <v>0.27</v>
      </c>
      <c r="Y51" s="105" t="n">
        <v>0.21</v>
      </c>
      <c r="Z51" s="105" t="n">
        <v>8</v>
      </c>
      <c r="AA51" s="105" t="n">
        <v>-0</v>
      </c>
      <c r="AB51" s="105" t="n">
        <v>-1.79</v>
      </c>
      <c r="AC51" s="104" t="n">
        <v>-0.08</v>
      </c>
      <c r="AD51" s="104" t="n">
        <v>-0.08</v>
      </c>
      <c r="AE51" s="104" t="n">
        <v>0.07000000000000001</v>
      </c>
      <c r="AF51" s="104" t="n">
        <v>0.19</v>
      </c>
      <c r="AG51" s="104" t="n">
        <v>0.1</v>
      </c>
      <c r="AH51" s="104" t="n">
        <v>0.26</v>
      </c>
      <c r="AI51" s="104" t="n">
        <v>0.54</v>
      </c>
      <c r="AJ51" s="104" t="n">
        <v>1.37</v>
      </c>
      <c r="AK51" s="112" t="inlineStr">
        <is>
          <t>Distress</t>
        </is>
      </c>
      <c r="AL51" s="104" t="n">
        <v>0.07000000000000001</v>
      </c>
      <c r="AM51" s="104" t="n">
        <v>0.19</v>
      </c>
      <c r="AN51" s="104" t="n">
        <v>0.1</v>
      </c>
      <c r="AO51" s="104" t="n">
        <v>0.26</v>
      </c>
      <c r="AP51" s="104" t="n">
        <v>0.54</v>
      </c>
      <c r="AQ51" s="103" t="n">
        <v>1.17</v>
      </c>
      <c r="AR51" s="103" t="inlineStr">
        <is>
          <t>Distress</t>
        </is>
      </c>
      <c r="AS51" s="104" t="n">
        <v>0.07000000000000001</v>
      </c>
      <c r="AT51" s="104" t="n">
        <v>0.19</v>
      </c>
      <c r="AU51" s="104" t="n">
        <v>0.1</v>
      </c>
      <c r="AV51" s="104" t="n">
        <v>0.26</v>
      </c>
      <c r="AW51" s="103" t="n">
        <v>2.01</v>
      </c>
      <c r="AX51" s="103" t="inlineStr">
        <is>
          <t>Grey</t>
        </is>
      </c>
      <c r="AY51" s="104" t="n">
        <v>0.07000000000000001</v>
      </c>
      <c r="AZ51" s="104" t="n">
        <v>0.1</v>
      </c>
      <c r="BA51" s="104" t="n">
        <v>0.4</v>
      </c>
      <c r="BB51" s="104" t="n">
        <v>0.54</v>
      </c>
      <c r="BC51" s="103" t="n">
        <v>0.86</v>
      </c>
      <c r="BD51" s="103" t="inlineStr">
        <is>
          <t>Healthy</t>
        </is>
      </c>
      <c r="BE51" s="104" t="n">
        <v>0.08</v>
      </c>
      <c r="BF51" s="104" t="n">
        <v>0.79</v>
      </c>
      <c r="BG51" s="104" t="n">
        <v>1.26</v>
      </c>
      <c r="BH51" s="104" t="n">
        <v>-0.17</v>
      </c>
      <c r="BI51" s="103" t="n">
        <v>0.46</v>
      </c>
      <c r="BJ51" s="103" t="inlineStr">
        <is>
          <t>Healthy</t>
        </is>
      </c>
      <c r="BK51" s="103" t="n">
        <v>1</v>
      </c>
      <c r="BL51" s="103" t="n">
        <v>1</v>
      </c>
      <c r="BM51" s="103" t="n">
        <v>1</v>
      </c>
      <c r="BN51" s="103" t="n">
        <v>1</v>
      </c>
      <c r="BO51" s="103" t="n">
        <v>1</v>
      </c>
      <c r="BP51" s="103" t="n">
        <v>1</v>
      </c>
      <c r="BQ51" s="103" t="n">
        <v>1</v>
      </c>
      <c r="BR51" s="103" t="n">
        <v>1</v>
      </c>
      <c r="BS51" s="103" t="n">
        <v>1</v>
      </c>
      <c r="BT51" s="103" t="n">
        <v>9</v>
      </c>
      <c r="BU51" s="103" t="inlineStr">
        <is>
          <t>Strong</t>
        </is>
      </c>
      <c r="BV51" s="104" t="n">
        <v>1.07</v>
      </c>
      <c r="BW51" s="104" t="n">
        <v>0.26</v>
      </c>
      <c r="BX51" s="104" t="n">
        <v>0.98</v>
      </c>
      <c r="BY51" s="104" t="n">
        <v>1</v>
      </c>
      <c r="BZ51" s="104" t="n">
        <v>1.65</v>
      </c>
      <c r="CA51" s="104" t="n">
        <v>0.87</v>
      </c>
      <c r="CB51" s="104" t="n">
        <v>0.97</v>
      </c>
      <c r="CC51" s="104" t="n">
        <v>-0.08</v>
      </c>
      <c r="CD51" s="103" t="n">
        <v>-3.08</v>
      </c>
      <c r="CE51" s="103" t="inlineStr">
        <is>
          <t>Lower Risk</t>
        </is>
      </c>
      <c r="CF51" s="104" t="n">
        <v>2.76</v>
      </c>
      <c r="CG51" s="104" t="n">
        <v>62.6</v>
      </c>
      <c r="CH51" s="103" t="n">
        <v>0</v>
      </c>
      <c r="CI51" s="103" t="inlineStr">
        <is>
          <t>CLEAR</t>
        </is>
      </c>
    </row>
    <row r="52" ht="17" customHeight="1">
      <c r="A52" s="107" t="inlineStr">
        <is>
          <t>HRL</t>
        </is>
      </c>
      <c r="B52" s="107" t="inlineStr">
        <is>
          <t>HORMEL FOODS CORPORATION</t>
        </is>
      </c>
      <c r="C52" s="108" t="n">
        <v>2024860000</v>
      </c>
      <c r="D52" s="109" t="n">
        <v>0.08</v>
      </c>
      <c r="E52" s="109" t="n">
        <v>0.07000000000000001</v>
      </c>
      <c r="F52" s="109" t="n">
        <v>0.05</v>
      </c>
      <c r="G52" s="109" t="n">
        <v>0.04</v>
      </c>
      <c r="H52" s="109" t="n">
        <v>0.06</v>
      </c>
      <c r="I52" s="109" t="n">
        <v>0.06</v>
      </c>
      <c r="J52" s="109" t="n">
        <v>0.06</v>
      </c>
      <c r="K52" s="109" t="n">
        <v>0.21</v>
      </c>
      <c r="L52" s="109" t="n">
        <v>0.8100000000000001</v>
      </c>
      <c r="M52" s="109" t="n">
        <v>0.68</v>
      </c>
      <c r="N52" s="108" t="n">
        <v>0.19</v>
      </c>
      <c r="O52" s="108" t="n">
        <v>2.47</v>
      </c>
      <c r="P52" s="108" t="n">
        <v>2.32</v>
      </c>
      <c r="Q52" s="108" t="n">
        <v>1.2</v>
      </c>
      <c r="R52" s="108" t="n">
        <v>0.49</v>
      </c>
      <c r="S52" s="108" t="n">
        <v>1</v>
      </c>
      <c r="T52" s="108" t="n">
        <v>1</v>
      </c>
      <c r="U52" s="108" t="n">
        <v>0.38</v>
      </c>
      <c r="V52" s="108" t="n">
        <v>0.3</v>
      </c>
      <c r="W52" s="108" t="n">
        <v>1.77</v>
      </c>
      <c r="X52" s="109" t="n">
        <v>0.06</v>
      </c>
      <c r="Y52" s="109" t="n">
        <v>0</v>
      </c>
      <c r="Z52" s="109" t="n">
        <v>9.789999999999999</v>
      </c>
      <c r="AA52" s="109" t="n">
        <v>2.68</v>
      </c>
      <c r="AB52" s="109" t="n">
        <v>-0.41</v>
      </c>
      <c r="AC52" s="108" t="n">
        <v>-0.03</v>
      </c>
      <c r="AD52" s="108" t="n">
        <v>-0.03</v>
      </c>
      <c r="AE52" s="108" t="n">
        <v>0.15</v>
      </c>
      <c r="AF52" s="108" t="n">
        <v>0.5600000000000001</v>
      </c>
      <c r="AG52" s="108" t="n">
        <v>0.05</v>
      </c>
      <c r="AH52" s="108" t="n">
        <v>0.59</v>
      </c>
      <c r="AI52" s="108" t="n">
        <v>0.68</v>
      </c>
      <c r="AJ52" s="108" t="n">
        <v>2.18</v>
      </c>
      <c r="AK52" s="106" t="inlineStr">
        <is>
          <t>Grey</t>
        </is>
      </c>
      <c r="AL52" s="108" t="n">
        <v>0.15</v>
      </c>
      <c r="AM52" s="108" t="n">
        <v>0.5600000000000001</v>
      </c>
      <c r="AN52" s="108" t="n">
        <v>0.05</v>
      </c>
      <c r="AO52" s="108" t="n">
        <v>0.59</v>
      </c>
      <c r="AP52" s="108" t="n">
        <v>0.68</v>
      </c>
      <c r="AQ52" s="107" t="n">
        <v>1.68</v>
      </c>
      <c r="AR52" s="107" t="inlineStr">
        <is>
          <t>Grey</t>
        </is>
      </c>
      <c r="AS52" s="108" t="n">
        <v>0.15</v>
      </c>
      <c r="AT52" s="108" t="n">
        <v>0.5600000000000001</v>
      </c>
      <c r="AU52" s="108" t="n">
        <v>0.05</v>
      </c>
      <c r="AV52" s="108" t="n">
        <v>0.59</v>
      </c>
      <c r="AW52" s="107" t="n">
        <v>3.8</v>
      </c>
      <c r="AX52" s="107" t="inlineStr">
        <is>
          <t>Safe</t>
        </is>
      </c>
      <c r="AY52" s="108" t="n">
        <v>0.15</v>
      </c>
      <c r="AZ52" s="108" t="n">
        <v>0.05</v>
      </c>
      <c r="BA52" s="108" t="n">
        <v>0.48</v>
      </c>
      <c r="BB52" s="108" t="n">
        <v>0.68</v>
      </c>
      <c r="BC52" s="107" t="n">
        <v>0.91</v>
      </c>
      <c r="BD52" s="107" t="inlineStr">
        <is>
          <t>Healthy</t>
        </is>
      </c>
      <c r="BE52" s="108" t="n">
        <v>0.04</v>
      </c>
      <c r="BF52" s="108" t="n">
        <v>1</v>
      </c>
      <c r="BG52" s="108" t="n">
        <v>2.47</v>
      </c>
      <c r="BH52" s="108" t="n">
        <v>1.19</v>
      </c>
      <c r="BI52" s="107" t="n">
        <v>0.77</v>
      </c>
      <c r="BJ52" s="107" t="inlineStr">
        <is>
          <t>Distress</t>
        </is>
      </c>
      <c r="BK52" s="107" t="n">
        <v>1</v>
      </c>
      <c r="BL52" s="107" t="n">
        <v>1</v>
      </c>
      <c r="BM52" s="107" t="n">
        <v>0</v>
      </c>
      <c r="BN52" s="107" t="n">
        <v>1</v>
      </c>
      <c r="BO52" s="107" t="n">
        <v>0</v>
      </c>
      <c r="BP52" s="107" t="n">
        <v>1</v>
      </c>
      <c r="BQ52" s="107" t="n">
        <v>0</v>
      </c>
      <c r="BR52" s="107" t="n">
        <v>0</v>
      </c>
      <c r="BS52" s="107" t="n">
        <v>1</v>
      </c>
      <c r="BT52" s="107" t="n">
        <v>5</v>
      </c>
      <c r="BU52" s="107" t="inlineStr">
        <is>
          <t>Mixed</t>
        </is>
      </c>
      <c r="BV52" s="108" t="n">
        <v>0.26</v>
      </c>
      <c r="BW52" s="108" t="n">
        <v>3.93</v>
      </c>
      <c r="BX52" s="108" t="n">
        <v>0.98</v>
      </c>
      <c r="BY52" s="108" t="n">
        <v>3.68</v>
      </c>
      <c r="BZ52" s="108" t="n">
        <v>0.98</v>
      </c>
      <c r="CA52" s="108" t="n">
        <v>0.27</v>
      </c>
      <c r="CB52" s="108" t="n">
        <v>1</v>
      </c>
      <c r="CC52" s="108" t="n">
        <v>-0.03</v>
      </c>
      <c r="CD52" s="107" t="n">
        <v>0.76</v>
      </c>
      <c r="CE52" s="107" t="inlineStr">
        <is>
          <t>Higher Risk</t>
        </is>
      </c>
      <c r="CF52" s="108" t="n">
        <v>2.41</v>
      </c>
      <c r="CG52" s="108" t="n">
        <v>43.83</v>
      </c>
      <c r="CH52" s="107" t="n">
        <v>20</v>
      </c>
      <c r="CI52" s="107" t="inlineStr">
        <is>
          <t>CLEAR</t>
        </is>
      </c>
    </row>
    <row r="53" ht="17" customHeight="1">
      <c r="A53" s="103" t="inlineStr">
        <is>
          <t>BMRN</t>
        </is>
      </c>
      <c r="B53" s="103" t="inlineStr">
        <is>
          <t>BioMarin Pharmaceutical Inc</t>
        </is>
      </c>
      <c r="C53" s="104" t="n">
        <v>3194459000</v>
      </c>
      <c r="D53" s="105" t="n">
        <v>0.31</v>
      </c>
      <c r="E53" s="105" t="n">
        <v>0.37</v>
      </c>
      <c r="F53" s="105" t="n">
        <v>0.27</v>
      </c>
      <c r="G53" s="105" t="n">
        <v>0.05</v>
      </c>
      <c r="H53" s="105" t="n">
        <v>0.06</v>
      </c>
      <c r="I53" s="105" t="n">
        <v>0.06</v>
      </c>
      <c r="J53" s="105" t="n">
        <v>0.06</v>
      </c>
      <c r="K53" s="105" t="n">
        <v>0.45</v>
      </c>
      <c r="L53" s="105" t="n">
        <v>0.48</v>
      </c>
      <c r="M53" s="105" t="n">
        <v>0.17</v>
      </c>
      <c r="N53" s="104" t="n">
        <v>0.16</v>
      </c>
      <c r="O53" s="104" t="n">
        <v>5.21</v>
      </c>
      <c r="P53" s="104" t="n">
        <v>5.33</v>
      </c>
      <c r="Q53" s="104" t="n">
        <v>3.5</v>
      </c>
      <c r="R53" s="104" t="n">
        <v>1.73</v>
      </c>
      <c r="S53" s="104" t="n">
        <v>0.2</v>
      </c>
      <c r="T53" s="104" t="n">
        <v>0.19</v>
      </c>
      <c r="U53" s="113" t="inlineStr">
        <is>
          <t>N/A</t>
        </is>
      </c>
      <c r="V53" s="113" t="inlineStr">
        <is>
          <t>N/A</t>
        </is>
      </c>
      <c r="W53" s="104" t="n">
        <v>2.37</v>
      </c>
      <c r="X53" s="105" t="n">
        <v>0.55</v>
      </c>
      <c r="Y53" s="105" t="n">
        <v>0.7</v>
      </c>
      <c r="Z53" s="105" t="n">
        <v>23.62</v>
      </c>
      <c r="AA53" s="105" t="n">
        <v>0.18</v>
      </c>
      <c r="AB53" s="105" t="n">
        <v>-0.18</v>
      </c>
      <c r="AC53" s="104" t="n">
        <v>-0.06</v>
      </c>
      <c r="AD53" s="104" t="n">
        <v>-0.06</v>
      </c>
      <c r="AE53" s="104" t="n">
        <v>0.42</v>
      </c>
      <c r="AF53" s="104" t="n">
        <v>0.02</v>
      </c>
      <c r="AG53" s="104" t="n">
        <v>0.05</v>
      </c>
      <c r="AH53" s="104" t="n">
        <v>4.04</v>
      </c>
      <c r="AI53" s="104" t="n">
        <v>0.17</v>
      </c>
      <c r="AJ53" s="104" t="n">
        <v>3.31</v>
      </c>
      <c r="AK53" s="110" t="inlineStr">
        <is>
          <t>Safe</t>
        </is>
      </c>
      <c r="AL53" s="104" t="n">
        <v>0.42</v>
      </c>
      <c r="AM53" s="104" t="n">
        <v>0.02</v>
      </c>
      <c r="AN53" s="104" t="n">
        <v>0.05</v>
      </c>
      <c r="AO53" s="104" t="n">
        <v>4.04</v>
      </c>
      <c r="AP53" s="104" t="n">
        <v>0.17</v>
      </c>
      <c r="AQ53" s="103" t="n">
        <v>2.36</v>
      </c>
      <c r="AR53" s="103" t="inlineStr">
        <is>
          <t>Grey</t>
        </is>
      </c>
      <c r="AS53" s="104" t="n">
        <v>0.42</v>
      </c>
      <c r="AT53" s="104" t="n">
        <v>0.02</v>
      </c>
      <c r="AU53" s="104" t="n">
        <v>0.05</v>
      </c>
      <c r="AV53" s="104" t="n">
        <v>4.04</v>
      </c>
      <c r="AW53" s="103" t="n">
        <v>7.43</v>
      </c>
      <c r="AX53" s="103" t="inlineStr">
        <is>
          <t>Safe</t>
        </is>
      </c>
      <c r="AY53" s="104" t="n">
        <v>0.42</v>
      </c>
      <c r="AZ53" s="104" t="n">
        <v>0.05</v>
      </c>
      <c r="BA53" s="104" t="n">
        <v>0.64</v>
      </c>
      <c r="BB53" s="104" t="n">
        <v>0.17</v>
      </c>
      <c r="BC53" s="103" t="n">
        <v>1.09</v>
      </c>
      <c r="BD53" s="103" t="inlineStr">
        <is>
          <t>Healthy</t>
        </is>
      </c>
      <c r="BE53" s="104" t="n">
        <v>0.05</v>
      </c>
      <c r="BF53" s="104" t="n">
        <v>0.2</v>
      </c>
      <c r="BG53" s="104" t="n">
        <v>5.21</v>
      </c>
      <c r="BH53" s="104" t="n">
        <v>-3.4</v>
      </c>
      <c r="BI53" s="103" t="n">
        <v>0.03</v>
      </c>
      <c r="BJ53" s="103" t="inlineStr">
        <is>
          <t>Healthy</t>
        </is>
      </c>
      <c r="BK53" s="103" t="n">
        <v>1</v>
      </c>
      <c r="BL53" s="103" t="n">
        <v>1</v>
      </c>
      <c r="BM53" s="103" t="n">
        <v>0</v>
      </c>
      <c r="BN53" s="103" t="n">
        <v>1</v>
      </c>
      <c r="BO53" s="103" t="n">
        <v>0</v>
      </c>
      <c r="BP53" s="103" t="n">
        <v>0</v>
      </c>
      <c r="BQ53" s="103" t="n">
        <v>0</v>
      </c>
      <c r="BR53" s="103" t="n">
        <v>0</v>
      </c>
      <c r="BS53" s="103" t="n">
        <v>1</v>
      </c>
      <c r="BT53" s="103" t="n">
        <v>4</v>
      </c>
      <c r="BU53" s="103" t="inlineStr">
        <is>
          <t>Mixed</t>
        </is>
      </c>
      <c r="BV53" s="104" t="n">
        <v>1.17</v>
      </c>
      <c r="BW53" s="104" t="n">
        <v>1.06</v>
      </c>
      <c r="BX53" s="104" t="n">
        <v>0.91</v>
      </c>
      <c r="BY53" s="104" t="n">
        <v>1.18</v>
      </c>
      <c r="BZ53" s="104" t="n">
        <v>0.77</v>
      </c>
      <c r="CA53" s="104" t="n">
        <v>0.97</v>
      </c>
      <c r="CB53" s="104" t="n">
        <v>1.04</v>
      </c>
      <c r="CC53" s="104" t="n">
        <v>-0.06</v>
      </c>
      <c r="CD53" s="103" t="n">
        <v>-2.5</v>
      </c>
      <c r="CE53" s="103" t="inlineStr">
        <is>
          <t>Lower Risk</t>
        </is>
      </c>
      <c r="CF53" s="113" t="inlineStr">
        <is>
          <t>N/A</t>
        </is>
      </c>
      <c r="CG53" s="104" t="n">
        <v>50.11</v>
      </c>
      <c r="CH53" s="103" t="n">
        <v>0</v>
      </c>
      <c r="CI53" s="103" t="inlineStr">
        <is>
          <t>CLEAR</t>
        </is>
      </c>
    </row>
    <row r="54" ht="17" customHeight="1">
      <c r="A54" s="107" t="inlineStr">
        <is>
          <t>AMAT</t>
        </is>
      </c>
      <c r="B54" s="107" t="inlineStr">
        <is>
          <t>APPLIED MATERIALS INC /DE</t>
        </is>
      </c>
      <c r="C54" s="108" t="n">
        <v>12882000000</v>
      </c>
      <c r="D54" s="109" t="n">
        <v>0.57</v>
      </c>
      <c r="E54" s="109" t="n">
        <v>0.63</v>
      </c>
      <c r="F54" s="109" t="n">
        <v>0.48</v>
      </c>
      <c r="G54" s="109" t="n">
        <v>0.19</v>
      </c>
      <c r="H54" s="109" t="n">
        <v>0.21</v>
      </c>
      <c r="I54" s="109" t="n">
        <v>0.34</v>
      </c>
      <c r="J54" s="109" t="n">
        <v>0.29</v>
      </c>
      <c r="K54" s="109" t="n">
        <v>0.95</v>
      </c>
      <c r="L54" s="109" t="n">
        <v>3.44</v>
      </c>
      <c r="M54" s="109" t="n">
        <v>0.4</v>
      </c>
      <c r="N54" s="108" t="n">
        <v>0.11</v>
      </c>
      <c r="O54" s="108" t="n">
        <v>2.61</v>
      </c>
      <c r="P54" s="108" t="n">
        <v>2.51</v>
      </c>
      <c r="Q54" s="108" t="n">
        <v>1.87</v>
      </c>
      <c r="R54" s="108" t="n">
        <v>0.91</v>
      </c>
      <c r="S54" s="108" t="n">
        <v>0.44</v>
      </c>
      <c r="T54" s="108" t="n">
        <v>0.45</v>
      </c>
      <c r="U54" s="108" t="n">
        <v>0.27</v>
      </c>
      <c r="V54" s="108" t="n">
        <v>-0.08</v>
      </c>
      <c r="W54" s="108" t="n">
        <v>1.14</v>
      </c>
      <c r="X54" s="109" t="n">
        <v>0.39</v>
      </c>
      <c r="Y54" s="109" t="n">
        <v>0.24</v>
      </c>
      <c r="Z54" s="109" t="n">
        <v>34.83</v>
      </c>
      <c r="AA54" s="109" t="n">
        <v>2.89</v>
      </c>
      <c r="AB54" s="109" t="n">
        <v>-0.02</v>
      </c>
      <c r="AC54" s="108" t="n">
        <v>-0.03</v>
      </c>
      <c r="AD54" s="108" t="n">
        <v>-0.03</v>
      </c>
      <c r="AE54" s="108" t="n">
        <v>0.35</v>
      </c>
      <c r="AF54" s="108" t="n">
        <v>1.52</v>
      </c>
      <c r="AG54" s="108" t="n">
        <v>0.23</v>
      </c>
      <c r="AH54" s="108" t="n">
        <v>1.29</v>
      </c>
      <c r="AI54" s="108" t="n">
        <v>0.4</v>
      </c>
      <c r="AJ54" s="108" t="n">
        <v>4.48</v>
      </c>
      <c r="AK54" s="110" t="inlineStr">
        <is>
          <t>Safe</t>
        </is>
      </c>
      <c r="AL54" s="108" t="n">
        <v>0.35</v>
      </c>
      <c r="AM54" s="108" t="n">
        <v>1.52</v>
      </c>
      <c r="AN54" s="108" t="n">
        <v>0.23</v>
      </c>
      <c r="AO54" s="108" t="n">
        <v>1.29</v>
      </c>
      <c r="AP54" s="108" t="n">
        <v>0.4</v>
      </c>
      <c r="AQ54" s="107" t="n">
        <v>3.19</v>
      </c>
      <c r="AR54" s="107" t="inlineStr">
        <is>
          <t>Safe</t>
        </is>
      </c>
      <c r="AS54" s="108" t="n">
        <v>0.35</v>
      </c>
      <c r="AT54" s="108" t="n">
        <v>1.52</v>
      </c>
      <c r="AU54" s="108" t="n">
        <v>0.23</v>
      </c>
      <c r="AV54" s="108" t="n">
        <v>1.29</v>
      </c>
      <c r="AW54" s="107" t="n">
        <v>10.17</v>
      </c>
      <c r="AX54" s="107" t="inlineStr">
        <is>
          <t>Safe</t>
        </is>
      </c>
      <c r="AY54" s="108" t="n">
        <v>0.35</v>
      </c>
      <c r="AZ54" s="108" t="n">
        <v>0.23</v>
      </c>
      <c r="BA54" s="108" t="n">
        <v>1.16</v>
      </c>
      <c r="BB54" s="108" t="n">
        <v>0.4</v>
      </c>
      <c r="BC54" s="107" t="n">
        <v>1.99</v>
      </c>
      <c r="BD54" s="107" t="inlineStr">
        <is>
          <t>Healthy</t>
        </is>
      </c>
      <c r="BE54" s="108" t="n">
        <v>0.19</v>
      </c>
      <c r="BF54" s="108" t="n">
        <v>0.44</v>
      </c>
      <c r="BG54" s="108" t="n">
        <v>2.61</v>
      </c>
      <c r="BH54" s="108" t="n">
        <v>-2.71</v>
      </c>
      <c r="BI54" s="107" t="n">
        <v>0.06</v>
      </c>
      <c r="BJ54" s="107" t="inlineStr">
        <is>
          <t>Healthy</t>
        </is>
      </c>
      <c r="BK54" s="107" t="n">
        <v>1</v>
      </c>
      <c r="BL54" s="107" t="n">
        <v>1</v>
      </c>
      <c r="BM54" s="107" t="n">
        <v>0</v>
      </c>
      <c r="BN54" s="107" t="n">
        <v>1</v>
      </c>
      <c r="BO54" s="107" t="n">
        <v>1</v>
      </c>
      <c r="BP54" s="107" t="n">
        <v>1</v>
      </c>
      <c r="BQ54" s="107" t="n">
        <v>1</v>
      </c>
      <c r="BR54" s="107" t="n">
        <v>0</v>
      </c>
      <c r="BS54" s="107" t="n">
        <v>1</v>
      </c>
      <c r="BT54" s="107" t="n">
        <v>7</v>
      </c>
      <c r="BU54" s="107" t="inlineStr">
        <is>
          <t>Strong</t>
        </is>
      </c>
      <c r="BV54" s="108" t="n">
        <v>0.25</v>
      </c>
      <c r="BW54" s="108" t="n">
        <v>3.63</v>
      </c>
      <c r="BX54" s="108" t="n">
        <v>1.04</v>
      </c>
      <c r="BY54" s="108" t="n">
        <v>3.89</v>
      </c>
      <c r="BZ54" s="108" t="n">
        <v>1.22</v>
      </c>
      <c r="CA54" s="108" t="n">
        <v>0.25</v>
      </c>
      <c r="CB54" s="108" t="n">
        <v>0.98</v>
      </c>
      <c r="CC54" s="108" t="n">
        <v>-0.03</v>
      </c>
      <c r="CD54" s="107" t="n">
        <v>0.86</v>
      </c>
      <c r="CE54" s="107" t="inlineStr">
        <is>
          <t>Higher Risk</t>
        </is>
      </c>
      <c r="CF54" s="108" t="n">
        <v>-0.19</v>
      </c>
      <c r="CG54" s="108" t="n">
        <v>58.28</v>
      </c>
      <c r="CH54" s="107" t="n">
        <v>20</v>
      </c>
      <c r="CI54" s="107" t="inlineStr">
        <is>
          <t>CLEAR</t>
        </is>
      </c>
    </row>
    <row r="55" ht="17" customHeight="1">
      <c r="A55" s="103" t="inlineStr">
        <is>
          <t>PCG</t>
        </is>
      </c>
      <c r="B55" s="103" t="inlineStr">
        <is>
          <t>PG&amp;E CORP</t>
        </is>
      </c>
      <c r="C55" s="104" t="n">
        <v>-470000000</v>
      </c>
      <c r="D55" s="105" t="n">
        <v>0.19</v>
      </c>
      <c r="E55" s="105" t="n">
        <v>0.1</v>
      </c>
      <c r="F55" s="105" t="n">
        <v>0.05</v>
      </c>
      <c r="G55" s="105" t="n">
        <v>0.01</v>
      </c>
      <c r="H55" s="105" t="n">
        <v>0.01</v>
      </c>
      <c r="I55" s="105" t="n">
        <v>0.04</v>
      </c>
      <c r="J55" s="105" t="n">
        <v>0.04</v>
      </c>
      <c r="K55" s="113" t="inlineStr">
        <is>
          <t>N/A</t>
        </is>
      </c>
      <c r="L55" s="113" t="inlineStr">
        <is>
          <t>N/A</t>
        </is>
      </c>
      <c r="M55" s="105" t="n">
        <v>0.18</v>
      </c>
      <c r="N55" s="104" t="n">
        <v>0.18</v>
      </c>
      <c r="O55" s="104" t="n">
        <v>0.97</v>
      </c>
      <c r="P55" s="104" t="n">
        <v>1.05</v>
      </c>
      <c r="Q55" s="104" t="n">
        <v>0.97</v>
      </c>
      <c r="R55" s="104" t="n">
        <v>0.04</v>
      </c>
      <c r="S55" s="104" t="n">
        <v>1</v>
      </c>
      <c r="T55" s="104" t="n">
        <v>1</v>
      </c>
      <c r="U55" s="104" t="n">
        <v>1.85</v>
      </c>
      <c r="V55" s="104" t="n">
        <v>1.82</v>
      </c>
      <c r="W55" s="104" t="n">
        <v>7.14</v>
      </c>
      <c r="X55" s="105" t="n">
        <v>-0.12</v>
      </c>
      <c r="Y55" s="105" t="n">
        <v>0</v>
      </c>
      <c r="Z55" s="105" t="n">
        <v>1.67</v>
      </c>
      <c r="AA55" s="105" t="n">
        <v>0.02</v>
      </c>
      <c r="AB55" s="105" t="n">
        <v>-0.09</v>
      </c>
      <c r="AC55" s="104" t="n">
        <v>-0.05</v>
      </c>
      <c r="AD55" s="104" t="n">
        <v>-0.05</v>
      </c>
      <c r="AE55" s="104" t="n">
        <v>-0</v>
      </c>
      <c r="AF55" s="104" t="n">
        <v>-0</v>
      </c>
      <c r="AG55" s="104" t="n">
        <v>0.03</v>
      </c>
      <c r="AH55" s="104" t="n">
        <v>0.23</v>
      </c>
      <c r="AI55" s="104" t="n">
        <v>0.18</v>
      </c>
      <c r="AJ55" s="104" t="n">
        <v>0.41</v>
      </c>
      <c r="AK55" s="112" t="inlineStr">
        <is>
          <t>Distress</t>
        </is>
      </c>
      <c r="AL55" s="104" t="n">
        <v>-0</v>
      </c>
      <c r="AM55" s="104" t="n">
        <v>-0</v>
      </c>
      <c r="AN55" s="104" t="n">
        <v>0.03</v>
      </c>
      <c r="AO55" s="104" t="n">
        <v>0.23</v>
      </c>
      <c r="AP55" s="104" t="n">
        <v>0.18</v>
      </c>
      <c r="AQ55" s="103" t="n">
        <v>0.37</v>
      </c>
      <c r="AR55" s="103" t="inlineStr">
        <is>
          <t>Distress</t>
        </is>
      </c>
      <c r="AS55" s="104" t="n">
        <v>-0</v>
      </c>
      <c r="AT55" s="104" t="n">
        <v>-0</v>
      </c>
      <c r="AU55" s="104" t="n">
        <v>0.03</v>
      </c>
      <c r="AV55" s="104" t="n">
        <v>0.23</v>
      </c>
      <c r="AW55" s="103" t="n">
        <v>0.43</v>
      </c>
      <c r="AX55" s="103" t="inlineStr">
        <is>
          <t>Distress</t>
        </is>
      </c>
      <c r="AY55" s="104" t="n">
        <v>-0</v>
      </c>
      <c r="AZ55" s="104" t="n">
        <v>0.03</v>
      </c>
      <c r="BA55" s="104" t="n">
        <v>0.15</v>
      </c>
      <c r="BB55" s="104" t="n">
        <v>0.18</v>
      </c>
      <c r="BC55" s="103" t="n">
        <v>0.27</v>
      </c>
      <c r="BD55" s="103" t="inlineStr">
        <is>
          <t>Distress</t>
        </is>
      </c>
      <c r="BE55" s="104" t="n">
        <v>0.01</v>
      </c>
      <c r="BF55" s="104" t="n">
        <v>1</v>
      </c>
      <c r="BG55" s="104" t="n">
        <v>0.97</v>
      </c>
      <c r="BH55" s="104" t="n">
        <v>1.31</v>
      </c>
      <c r="BI55" s="103" t="n">
        <v>0.79</v>
      </c>
      <c r="BJ55" s="103" t="inlineStr">
        <is>
          <t>Distress</t>
        </is>
      </c>
      <c r="BK55" s="103" t="n">
        <v>1</v>
      </c>
      <c r="BL55" s="103" t="n">
        <v>1</v>
      </c>
      <c r="BM55" s="103" t="n">
        <v>0</v>
      </c>
      <c r="BN55" s="103" t="n">
        <v>1</v>
      </c>
      <c r="BO55" s="103" t="n">
        <v>0</v>
      </c>
      <c r="BP55" s="103" t="n">
        <v>0</v>
      </c>
      <c r="BQ55" s="103" t="n">
        <v>0</v>
      </c>
      <c r="BR55" s="103" t="n">
        <v>0</v>
      </c>
      <c r="BS55" s="103" t="n">
        <v>0</v>
      </c>
      <c r="BT55" s="103" t="n">
        <v>3</v>
      </c>
      <c r="BU55" s="103" t="inlineStr">
        <is>
          <t>Weak</t>
        </is>
      </c>
      <c r="BV55" s="104" t="n">
        <v>1</v>
      </c>
      <c r="BW55" s="113" t="inlineStr">
        <is>
          <t>N/A</t>
        </is>
      </c>
      <c r="BX55" s="104" t="n">
        <v>1.03</v>
      </c>
      <c r="BY55" s="104" t="n">
        <v>1.02</v>
      </c>
      <c r="BZ55" s="104" t="n">
        <v>1.54</v>
      </c>
      <c r="CA55" s="113" t="inlineStr">
        <is>
          <t>N/A</t>
        </is>
      </c>
      <c r="CB55" s="104" t="n">
        <v>1</v>
      </c>
      <c r="CC55" s="104" t="n">
        <v>-0.05</v>
      </c>
      <c r="CD55" s="113" t="inlineStr">
        <is>
          <t>N/A</t>
        </is>
      </c>
      <c r="CE55" s="113" t="inlineStr">
        <is>
          <t>N/A</t>
        </is>
      </c>
      <c r="CF55" s="104" t="n">
        <v>12.19</v>
      </c>
      <c r="CG55" s="104" t="n">
        <v>36.46</v>
      </c>
      <c r="CH55" s="103" t="n">
        <v>0</v>
      </c>
      <c r="CI55" s="103" t="inlineStr">
        <is>
          <t>CLEAR</t>
        </is>
      </c>
    </row>
    <row r="56" ht="17" customHeight="1">
      <c r="A56" s="107" t="inlineStr">
        <is>
          <t>RS</t>
        </is>
      </c>
      <c r="B56" s="107" t="inlineStr">
        <is>
          <t>RELIANCE, INC.</t>
        </is>
      </c>
      <c r="C56" s="108" t="n">
        <v>3293000000</v>
      </c>
      <c r="D56" s="109" t="n">
        <v>0.07000000000000001</v>
      </c>
      <c r="E56" s="109" t="n">
        <v>0.07000000000000001</v>
      </c>
      <c r="F56" s="109" t="n">
        <v>0.05</v>
      </c>
      <c r="G56" s="109" t="n">
        <v>0.07000000000000001</v>
      </c>
      <c r="H56" s="109" t="n">
        <v>0.09</v>
      </c>
      <c r="I56" s="109" t="n">
        <v>0.1</v>
      </c>
      <c r="J56" s="109" t="n">
        <v>0.11</v>
      </c>
      <c r="K56" s="109" t="n">
        <v>0.05</v>
      </c>
      <c r="L56" s="109" t="n">
        <v>0.04</v>
      </c>
      <c r="M56" s="109" t="n">
        <v>1.43</v>
      </c>
      <c r="N56" s="108" t="n">
        <v>1.7</v>
      </c>
      <c r="O56" s="108" t="n">
        <v>4.88</v>
      </c>
      <c r="P56" s="108" t="n">
        <v>3.21</v>
      </c>
      <c r="Q56" s="108" t="n">
        <v>2.3</v>
      </c>
      <c r="R56" s="108" t="n">
        <v>0.26</v>
      </c>
      <c r="S56" s="108" t="n">
        <v>0.31</v>
      </c>
      <c r="T56" s="108" t="n">
        <v>0.28</v>
      </c>
      <c r="U56" s="108" t="n">
        <v>0.28</v>
      </c>
      <c r="V56" s="108" t="n">
        <v>0.25</v>
      </c>
      <c r="W56" s="108" t="n">
        <v>1.12</v>
      </c>
      <c r="X56" s="109" t="n">
        <v>0.03</v>
      </c>
      <c r="Y56" s="109" t="n">
        <v>0</v>
      </c>
      <c r="Z56" s="109" t="n">
        <v>25.25</v>
      </c>
      <c r="AA56" s="109" t="n">
        <v>-0.13</v>
      </c>
      <c r="AB56" s="109" t="n">
        <v>-0.16</v>
      </c>
      <c r="AC56" s="108" t="n">
        <v>-0.01</v>
      </c>
      <c r="AD56" s="108" t="n">
        <v>-0.01</v>
      </c>
      <c r="AE56" s="108" t="n">
        <v>0.32</v>
      </c>
      <c r="AF56" s="108" t="n">
        <v>0.7</v>
      </c>
      <c r="AG56" s="108" t="n">
        <v>0.1</v>
      </c>
      <c r="AH56" s="108" t="n">
        <v>2.25</v>
      </c>
      <c r="AI56" s="108" t="n">
        <v>1.43</v>
      </c>
      <c r="AJ56" s="108" t="n">
        <v>4.46</v>
      </c>
      <c r="AK56" s="110" t="inlineStr">
        <is>
          <t>Safe</t>
        </is>
      </c>
      <c r="AL56" s="108" t="n">
        <v>0.32</v>
      </c>
      <c r="AM56" s="108" t="n">
        <v>0.7</v>
      </c>
      <c r="AN56" s="108" t="n">
        <v>0.1</v>
      </c>
      <c r="AO56" s="108" t="n">
        <v>2.25</v>
      </c>
      <c r="AP56" s="108" t="n">
        <v>1.43</v>
      </c>
      <c r="AQ56" s="107" t="n">
        <v>3.49</v>
      </c>
      <c r="AR56" s="107" t="inlineStr">
        <is>
          <t>Safe</t>
        </is>
      </c>
      <c r="AS56" s="108" t="n">
        <v>0.32</v>
      </c>
      <c r="AT56" s="108" t="n">
        <v>0.7</v>
      </c>
      <c r="AU56" s="108" t="n">
        <v>0.1</v>
      </c>
      <c r="AV56" s="108" t="n">
        <v>2.25</v>
      </c>
      <c r="AW56" s="107" t="n">
        <v>7.38</v>
      </c>
      <c r="AX56" s="107" t="inlineStr">
        <is>
          <t>Safe</t>
        </is>
      </c>
      <c r="AY56" s="108" t="n">
        <v>0.32</v>
      </c>
      <c r="AZ56" s="108" t="n">
        <v>0.1</v>
      </c>
      <c r="BA56" s="108" t="n">
        <v>1.14</v>
      </c>
      <c r="BB56" s="108" t="n">
        <v>1.43</v>
      </c>
      <c r="BC56" s="107" t="n">
        <v>1.95</v>
      </c>
      <c r="BD56" s="107" t="inlineStr">
        <is>
          <t>Healthy</t>
        </is>
      </c>
      <c r="BE56" s="108" t="n">
        <v>0.07000000000000001</v>
      </c>
      <c r="BF56" s="108" t="n">
        <v>0.31</v>
      </c>
      <c r="BG56" s="108" t="n">
        <v>4.88</v>
      </c>
      <c r="BH56" s="108" t="n">
        <v>-2.89</v>
      </c>
      <c r="BI56" s="107" t="n">
        <v>0.05</v>
      </c>
      <c r="BJ56" s="107" t="inlineStr">
        <is>
          <t>Healthy</t>
        </is>
      </c>
      <c r="BK56" s="107" t="n">
        <v>1</v>
      </c>
      <c r="BL56" s="107" t="n">
        <v>1</v>
      </c>
      <c r="BM56" s="107" t="n">
        <v>0</v>
      </c>
      <c r="BN56" s="107" t="n">
        <v>1</v>
      </c>
      <c r="BO56" s="107" t="n">
        <v>1</v>
      </c>
      <c r="BP56" s="107" t="n">
        <v>1</v>
      </c>
      <c r="BQ56" s="107" t="n">
        <v>1</v>
      </c>
      <c r="BR56" s="107" t="n">
        <v>1</v>
      </c>
      <c r="BS56" s="107" t="n">
        <v>0</v>
      </c>
      <c r="BT56" s="107" t="n">
        <v>7</v>
      </c>
      <c r="BU56" s="107" t="inlineStr">
        <is>
          <t>Strong</t>
        </is>
      </c>
      <c r="BV56" s="108" t="n">
        <v>1.32</v>
      </c>
      <c r="BW56" s="108" t="n">
        <v>0.84</v>
      </c>
      <c r="BX56" s="108" t="n">
        <v>0.97</v>
      </c>
      <c r="BY56" s="108" t="n">
        <v>0.87</v>
      </c>
      <c r="BZ56" s="108" t="n">
        <v>1</v>
      </c>
      <c r="CA56" s="108" t="n">
        <v>1.21</v>
      </c>
      <c r="CB56" s="108" t="n">
        <v>1.11</v>
      </c>
      <c r="CC56" s="108" t="n">
        <v>-0.01</v>
      </c>
      <c r="CD56" s="107" t="n">
        <v>-2.51</v>
      </c>
      <c r="CE56" s="107" t="inlineStr">
        <is>
          <t>Lower Risk</t>
        </is>
      </c>
      <c r="CF56" s="108" t="n">
        <v>1.39</v>
      </c>
      <c r="CG56" s="108" t="n">
        <v>65.09</v>
      </c>
      <c r="CH56" s="107" t="n">
        <v>0</v>
      </c>
      <c r="CI56" s="107" t="inlineStr">
        <is>
          <t>CLEAR</t>
        </is>
      </c>
    </row>
    <row r="57" ht="17" customHeight="1">
      <c r="A57" s="103" t="inlineStr">
        <is>
          <t>MKC</t>
        </is>
      </c>
      <c r="B57" s="103" t="inlineStr">
        <is>
          <t>McCORMICK &amp; COMPANY, INCORPORATED</t>
        </is>
      </c>
      <c r="C57" s="104" t="n">
        <v>-924100000</v>
      </c>
      <c r="D57" s="105" t="n">
        <v>0.16</v>
      </c>
      <c r="E57" s="105" t="n">
        <v>0.09</v>
      </c>
      <c r="F57" s="105" t="n">
        <v>0.12</v>
      </c>
      <c r="G57" s="105" t="n">
        <v>0.06</v>
      </c>
      <c r="H57" s="105" t="n">
        <v>0.06</v>
      </c>
      <c r="I57" s="105" t="n">
        <v>0.14</v>
      </c>
      <c r="J57" s="105" t="n">
        <v>0.11</v>
      </c>
      <c r="K57" s="105" t="n">
        <v>0.38</v>
      </c>
      <c r="L57" s="105" t="n">
        <v>0.39</v>
      </c>
      <c r="M57" s="105" t="n">
        <v>0.52</v>
      </c>
      <c r="N57" s="104" t="n">
        <v>0.51</v>
      </c>
      <c r="O57" s="104" t="n">
        <v>0.7</v>
      </c>
      <c r="P57" s="104" t="n">
        <v>0.74</v>
      </c>
      <c r="Q57" s="104" t="n">
        <v>0.28</v>
      </c>
      <c r="R57" s="104" t="n">
        <v>0.03</v>
      </c>
      <c r="S57" s="104" t="n">
        <v>0.5600000000000001</v>
      </c>
      <c r="T57" s="104" t="n">
        <v>0.59</v>
      </c>
      <c r="U57" s="104" t="n">
        <v>0.7</v>
      </c>
      <c r="V57" s="104" t="n">
        <v>0.68</v>
      </c>
      <c r="W57" s="104" t="n">
        <v>1.22</v>
      </c>
      <c r="X57" s="105" t="n">
        <v>0.1</v>
      </c>
      <c r="Y57" s="105" t="n">
        <v>0.02</v>
      </c>
      <c r="Z57" s="105" t="n">
        <v>5.46</v>
      </c>
      <c r="AA57" s="105" t="n">
        <v>0.02</v>
      </c>
      <c r="AB57" s="105" t="n">
        <v>0</v>
      </c>
      <c r="AC57" s="104" t="n">
        <v>-0.01</v>
      </c>
      <c r="AD57" s="104" t="n">
        <v>-0.01</v>
      </c>
      <c r="AE57" s="104" t="n">
        <v>-0.07000000000000001</v>
      </c>
      <c r="AF57" s="104" t="n">
        <v>0.29</v>
      </c>
      <c r="AG57" s="104" t="n">
        <v>0.08</v>
      </c>
      <c r="AH57" s="104" t="n">
        <v>0.77</v>
      </c>
      <c r="AI57" s="104" t="n">
        <v>0.52</v>
      </c>
      <c r="AJ57" s="104" t="n">
        <v>1.57</v>
      </c>
      <c r="AK57" s="112" t="inlineStr">
        <is>
          <t>Distress</t>
        </is>
      </c>
      <c r="AL57" s="104" t="n">
        <v>-0.07000000000000001</v>
      </c>
      <c r="AM57" s="104" t="n">
        <v>0.29</v>
      </c>
      <c r="AN57" s="104" t="n">
        <v>0.08</v>
      </c>
      <c r="AO57" s="104" t="n">
        <v>0.77</v>
      </c>
      <c r="AP57" s="104" t="n">
        <v>0.52</v>
      </c>
      <c r="AQ57" s="103" t="n">
        <v>1.29</v>
      </c>
      <c r="AR57" s="103" t="inlineStr">
        <is>
          <t>Grey</t>
        </is>
      </c>
      <c r="AS57" s="104" t="n">
        <v>-0.07000000000000001</v>
      </c>
      <c r="AT57" s="104" t="n">
        <v>0.29</v>
      </c>
      <c r="AU57" s="104" t="n">
        <v>0.08</v>
      </c>
      <c r="AV57" s="104" t="n">
        <v>0.77</v>
      </c>
      <c r="AW57" s="103" t="n">
        <v>1.84</v>
      </c>
      <c r="AX57" s="103" t="inlineStr">
        <is>
          <t>Grey</t>
        </is>
      </c>
      <c r="AY57" s="104" t="n">
        <v>-0.07000000000000001</v>
      </c>
      <c r="AZ57" s="104" t="n">
        <v>0.08</v>
      </c>
      <c r="BA57" s="104" t="n">
        <v>0.2</v>
      </c>
      <c r="BB57" s="104" t="n">
        <v>0.52</v>
      </c>
      <c r="BC57" s="103" t="n">
        <v>0.52</v>
      </c>
      <c r="BD57" s="103" t="inlineStr">
        <is>
          <t>Distress</t>
        </is>
      </c>
      <c r="BE57" s="104" t="n">
        <v>0.06</v>
      </c>
      <c r="BF57" s="104" t="n">
        <v>0.5600000000000001</v>
      </c>
      <c r="BG57" s="104" t="n">
        <v>0.7</v>
      </c>
      <c r="BH57" s="104" t="n">
        <v>-1.41</v>
      </c>
      <c r="BI57" s="103" t="n">
        <v>0.2</v>
      </c>
      <c r="BJ57" s="103" t="inlineStr">
        <is>
          <t>Healthy</t>
        </is>
      </c>
      <c r="BK57" s="103" t="n">
        <v>1</v>
      </c>
      <c r="BL57" s="103" t="n">
        <v>1</v>
      </c>
      <c r="BM57" s="103" t="n">
        <v>0</v>
      </c>
      <c r="BN57" s="103" t="n">
        <v>1</v>
      </c>
      <c r="BO57" s="103" t="n">
        <v>1</v>
      </c>
      <c r="BP57" s="103" t="n">
        <v>0</v>
      </c>
      <c r="BQ57" s="103" t="n">
        <v>0</v>
      </c>
      <c r="BR57" s="103" t="n">
        <v>0</v>
      </c>
      <c r="BS57" s="103" t="n">
        <v>1</v>
      </c>
      <c r="BT57" s="103" t="n">
        <v>5</v>
      </c>
      <c r="BU57" s="103" t="inlineStr">
        <is>
          <t>Mixed</t>
        </is>
      </c>
      <c r="BV57" s="104" t="n">
        <v>1.05</v>
      </c>
      <c r="BW57" s="104" t="n">
        <v>1.02</v>
      </c>
      <c r="BX57" s="104" t="n">
        <v>1</v>
      </c>
      <c r="BY57" s="104" t="n">
        <v>1.02</v>
      </c>
      <c r="BZ57" s="104" t="n">
        <v>0.98</v>
      </c>
      <c r="CA57" s="104" t="n">
        <v>0.97</v>
      </c>
      <c r="CB57" s="104" t="n">
        <v>0.95</v>
      </c>
      <c r="CC57" s="104" t="n">
        <v>-0.01</v>
      </c>
      <c r="CD57" s="103" t="n">
        <v>-2.45</v>
      </c>
      <c r="CE57" s="103" t="inlineStr">
        <is>
          <t>Lower Risk</t>
        </is>
      </c>
      <c r="CF57" s="104" t="n">
        <v>3.32</v>
      </c>
      <c r="CG57" s="104" t="n">
        <v>48.07</v>
      </c>
      <c r="CH57" s="103" t="n">
        <v>0</v>
      </c>
      <c r="CI57" s="103" t="inlineStr">
        <is>
          <t>CLEAR</t>
        </is>
      </c>
    </row>
    <row r="58" ht="17" customHeight="1">
      <c r="A58" s="107" t="inlineStr">
        <is>
          <t>JKHY</t>
        </is>
      </c>
      <c r="B58" s="107" t="inlineStr">
        <is>
          <t>JACK HENRY &amp; ASSOCIATES, INC.</t>
        </is>
      </c>
      <c r="C58" s="108" t="n">
        <v>145680000</v>
      </c>
      <c r="D58" s="109" t="n">
        <v>0.37</v>
      </c>
      <c r="E58" s="109" t="n">
        <v>0.38</v>
      </c>
      <c r="F58" s="109" t="n">
        <v>0.3</v>
      </c>
      <c r="G58" s="109" t="n">
        <v>0.15</v>
      </c>
      <c r="H58" s="109" t="n">
        <v>0.13</v>
      </c>
      <c r="I58" s="109" t="n">
        <v>0.21</v>
      </c>
      <c r="J58" s="109" t="n">
        <v>0.23</v>
      </c>
      <c r="K58" s="109" t="n">
        <v>0.4</v>
      </c>
      <c r="L58" s="109" t="n">
        <v>0.39</v>
      </c>
      <c r="M58" s="109" t="n">
        <v>0.5</v>
      </c>
      <c r="N58" s="108" t="n">
        <v>0.14</v>
      </c>
      <c r="O58" s="108" t="n">
        <v>1.27</v>
      </c>
      <c r="P58" s="108" t="n">
        <v>1</v>
      </c>
      <c r="Q58" s="108" t="n">
        <v>1.27</v>
      </c>
      <c r="R58" s="108" t="n">
        <v>0.1</v>
      </c>
      <c r="S58" s="108" t="n">
        <v>0.3</v>
      </c>
      <c r="T58" s="108" t="n">
        <v>0.37</v>
      </c>
      <c r="U58" s="108" t="n">
        <v>0</v>
      </c>
      <c r="V58" s="108" t="n">
        <v>-0.02</v>
      </c>
      <c r="W58" s="108" t="n">
        <v>1.41</v>
      </c>
      <c r="X58" s="109" t="n">
        <v>0.38</v>
      </c>
      <c r="Y58" s="109" t="n">
        <v>0.11</v>
      </c>
      <c r="Z58" s="109" t="n">
        <v>37.73</v>
      </c>
      <c r="AA58" s="109" t="n">
        <v>2.68</v>
      </c>
      <c r="AB58" s="109" t="n">
        <v>0.19</v>
      </c>
      <c r="AC58" s="108" t="n">
        <v>-0.06</v>
      </c>
      <c r="AD58" s="108" t="n">
        <v>-0.06</v>
      </c>
      <c r="AE58" s="108" t="n">
        <v>0.05</v>
      </c>
      <c r="AF58" s="108" t="n">
        <v>1.11</v>
      </c>
      <c r="AG58" s="108" t="n">
        <v>0.19</v>
      </c>
      <c r="AH58" s="108" t="n">
        <v>2.33</v>
      </c>
      <c r="AI58" s="108" t="n">
        <v>0.5</v>
      </c>
      <c r="AJ58" s="108" t="n">
        <v>4.13</v>
      </c>
      <c r="AK58" s="110" t="inlineStr">
        <is>
          <t>Safe</t>
        </is>
      </c>
      <c r="AL58" s="108" t="n">
        <v>0.05</v>
      </c>
      <c r="AM58" s="108" t="n">
        <v>1.11</v>
      </c>
      <c r="AN58" s="108" t="n">
        <v>0.19</v>
      </c>
      <c r="AO58" s="108" t="n">
        <v>2.33</v>
      </c>
      <c r="AP58" s="108" t="n">
        <v>0.5</v>
      </c>
      <c r="AQ58" s="107" t="n">
        <v>3.04</v>
      </c>
      <c r="AR58" s="107" t="inlineStr">
        <is>
          <t>Safe</t>
        </is>
      </c>
      <c r="AS58" s="108" t="n">
        <v>0.05</v>
      </c>
      <c r="AT58" s="108" t="n">
        <v>1.11</v>
      </c>
      <c r="AU58" s="108" t="n">
        <v>0.19</v>
      </c>
      <c r="AV58" s="108" t="n">
        <v>2.33</v>
      </c>
      <c r="AW58" s="107" t="n">
        <v>7.63</v>
      </c>
      <c r="AX58" s="107" t="inlineStr">
        <is>
          <t>Safe</t>
        </is>
      </c>
      <c r="AY58" s="108" t="n">
        <v>0.05</v>
      </c>
      <c r="AZ58" s="108" t="n">
        <v>0.19</v>
      </c>
      <c r="BA58" s="108" t="n">
        <v>1.09</v>
      </c>
      <c r="BB58" s="108" t="n">
        <v>0.5</v>
      </c>
      <c r="BC58" s="107" t="n">
        <v>1.55</v>
      </c>
      <c r="BD58" s="107" t="inlineStr">
        <is>
          <t>Healthy</t>
        </is>
      </c>
      <c r="BE58" s="108" t="n">
        <v>0.15</v>
      </c>
      <c r="BF58" s="108" t="n">
        <v>0.3</v>
      </c>
      <c r="BG58" s="108" t="n">
        <v>1.27</v>
      </c>
      <c r="BH58" s="108" t="n">
        <v>-3.3</v>
      </c>
      <c r="BI58" s="107" t="n">
        <v>0.04</v>
      </c>
      <c r="BJ58" s="107" t="inlineStr">
        <is>
          <t>Healthy</t>
        </is>
      </c>
      <c r="BK58" s="107" t="n">
        <v>1</v>
      </c>
      <c r="BL58" s="107" t="n">
        <v>1</v>
      </c>
      <c r="BM58" s="107" t="n">
        <v>1</v>
      </c>
      <c r="BN58" s="107" t="n">
        <v>1</v>
      </c>
      <c r="BO58" s="107" t="n">
        <v>0</v>
      </c>
      <c r="BP58" s="107" t="n">
        <v>1</v>
      </c>
      <c r="BQ58" s="107" t="n">
        <v>0</v>
      </c>
      <c r="BR58" s="107" t="n">
        <v>1</v>
      </c>
      <c r="BS58" s="107" t="n">
        <v>1</v>
      </c>
      <c r="BT58" s="107" t="n">
        <v>7</v>
      </c>
      <c r="BU58" s="107" t="inlineStr">
        <is>
          <t>Strong</t>
        </is>
      </c>
      <c r="BV58" s="108" t="n">
        <v>0.26</v>
      </c>
      <c r="BW58" s="108" t="n">
        <v>0.99</v>
      </c>
      <c r="BX58" s="108" t="n">
        <v>0.99</v>
      </c>
      <c r="BY58" s="108" t="n">
        <v>3.68</v>
      </c>
      <c r="BZ58" s="108" t="n">
        <v>1.07</v>
      </c>
      <c r="CA58" s="108" t="n">
        <v>0.28</v>
      </c>
      <c r="CB58" s="108" t="n">
        <v>0.8100000000000001</v>
      </c>
      <c r="CC58" s="108" t="n">
        <v>-0.06</v>
      </c>
      <c r="CD58" s="107" t="n">
        <v>-0.87</v>
      </c>
      <c r="CE58" s="107" t="inlineStr">
        <is>
          <t>Higher Risk</t>
        </is>
      </c>
      <c r="CF58" s="108" t="n">
        <v>-0.08</v>
      </c>
      <c r="CG58" s="108" t="n">
        <v>58.55</v>
      </c>
      <c r="CH58" s="107" t="n">
        <v>20</v>
      </c>
      <c r="CI58" s="107" t="inlineStr">
        <is>
          <t>CLEAR</t>
        </is>
      </c>
    </row>
    <row r="59" ht="17" customHeight="1">
      <c r="A59" s="103" t="inlineStr">
        <is>
          <t>CF</t>
        </is>
      </c>
      <c r="B59" s="103" t="inlineStr">
        <is>
          <t>CF INDUSTRIES HOLDINGS, INC.</t>
        </is>
      </c>
      <c r="C59" s="104" t="n">
        <v>2098000000</v>
      </c>
      <c r="D59" s="105" t="n">
        <v>0.32</v>
      </c>
      <c r="E59" s="105" t="n">
        <v>0.32</v>
      </c>
      <c r="F59" s="105" t="n">
        <v>0.22</v>
      </c>
      <c r="G59" s="105" t="n">
        <v>0.11</v>
      </c>
      <c r="H59" s="105" t="n">
        <v>0.03</v>
      </c>
      <c r="I59" s="105" t="n">
        <v>0.32</v>
      </c>
      <c r="J59" s="105" t="n">
        <v>0.17</v>
      </c>
      <c r="K59" s="105" t="n">
        <v>0.38</v>
      </c>
      <c r="L59" s="105" t="n">
        <v>0.35</v>
      </c>
      <c r="M59" s="105" t="n">
        <v>0.5</v>
      </c>
      <c r="N59" s="104" t="n">
        <v>0.44</v>
      </c>
      <c r="O59" s="104" t="n">
        <v>3.37</v>
      </c>
      <c r="P59" s="104" t="n">
        <v>3.08</v>
      </c>
      <c r="Q59" s="104" t="n">
        <v>2.93</v>
      </c>
      <c r="R59" s="104" t="n">
        <v>0.32</v>
      </c>
      <c r="S59" s="104" t="n">
        <v>1</v>
      </c>
      <c r="T59" s="104" t="n">
        <v>1</v>
      </c>
      <c r="U59" s="104" t="n">
        <v>0.66</v>
      </c>
      <c r="V59" s="104" t="n">
        <v>0.61</v>
      </c>
      <c r="W59" s="104" t="n">
        <v>1.79</v>
      </c>
      <c r="X59" s="105" t="n">
        <v>0.25</v>
      </c>
      <c r="Y59" s="105" t="n">
        <v>0</v>
      </c>
      <c r="Z59" s="105" t="n">
        <v>14.84</v>
      </c>
      <c r="AA59" s="105" t="n">
        <v>0.19</v>
      </c>
      <c r="AB59" s="105" t="n">
        <v>3.41</v>
      </c>
      <c r="AC59" s="104" t="n">
        <v>-0.09</v>
      </c>
      <c r="AD59" s="104" t="n">
        <v>-0.09</v>
      </c>
      <c r="AE59" s="104" t="n">
        <v>0.15</v>
      </c>
      <c r="AF59" s="104" t="n">
        <v>0.27</v>
      </c>
      <c r="AG59" s="104" t="n">
        <v>0.16</v>
      </c>
      <c r="AH59" s="104" t="n">
        <v>0.34</v>
      </c>
      <c r="AI59" s="104" t="n">
        <v>0.5</v>
      </c>
      <c r="AJ59" s="104" t="n">
        <v>1.81</v>
      </c>
      <c r="AK59" s="106" t="inlineStr">
        <is>
          <t>Grey</t>
        </is>
      </c>
      <c r="AL59" s="104" t="n">
        <v>0.15</v>
      </c>
      <c r="AM59" s="104" t="n">
        <v>0.27</v>
      </c>
      <c r="AN59" s="104" t="n">
        <v>0.16</v>
      </c>
      <c r="AO59" s="104" t="n">
        <v>0.34</v>
      </c>
      <c r="AP59" s="104" t="n">
        <v>0.5</v>
      </c>
      <c r="AQ59" s="103" t="n">
        <v>1.49</v>
      </c>
      <c r="AR59" s="103" t="inlineStr">
        <is>
          <t>Grey</t>
        </is>
      </c>
      <c r="AS59" s="104" t="n">
        <v>0.15</v>
      </c>
      <c r="AT59" s="104" t="n">
        <v>0.27</v>
      </c>
      <c r="AU59" s="104" t="n">
        <v>0.16</v>
      </c>
      <c r="AV59" s="104" t="n">
        <v>0.34</v>
      </c>
      <c r="AW59" s="103" t="n">
        <v>3.33</v>
      </c>
      <c r="AX59" s="103" t="inlineStr">
        <is>
          <t>Safe</t>
        </is>
      </c>
      <c r="AY59" s="104" t="n">
        <v>0.15</v>
      </c>
      <c r="AZ59" s="104" t="n">
        <v>0.16</v>
      </c>
      <c r="BA59" s="104" t="n">
        <v>2.52</v>
      </c>
      <c r="BB59" s="104" t="n">
        <v>0.5</v>
      </c>
      <c r="BC59" s="103" t="n">
        <v>2.52</v>
      </c>
      <c r="BD59" s="103" t="inlineStr">
        <is>
          <t>Healthy</t>
        </is>
      </c>
      <c r="BE59" s="104" t="n">
        <v>0.11</v>
      </c>
      <c r="BF59" s="104" t="n">
        <v>1</v>
      </c>
      <c r="BG59" s="104" t="n">
        <v>3.37</v>
      </c>
      <c r="BH59" s="104" t="n">
        <v>0.86</v>
      </c>
      <c r="BI59" s="103" t="n">
        <v>0.7</v>
      </c>
      <c r="BJ59" s="103" t="inlineStr">
        <is>
          <t>Distress</t>
        </is>
      </c>
      <c r="BK59" s="103" t="n">
        <v>1</v>
      </c>
      <c r="BL59" s="103" t="n">
        <v>1</v>
      </c>
      <c r="BM59" s="103" t="n">
        <v>1</v>
      </c>
      <c r="BN59" s="103" t="n">
        <v>1</v>
      </c>
      <c r="BO59" s="103" t="n">
        <v>0</v>
      </c>
      <c r="BP59" s="103" t="n">
        <v>1</v>
      </c>
      <c r="BQ59" s="103" t="n">
        <v>1</v>
      </c>
      <c r="BR59" s="103" t="n">
        <v>1</v>
      </c>
      <c r="BS59" s="103" t="n">
        <v>1</v>
      </c>
      <c r="BT59" s="103" t="n">
        <v>8</v>
      </c>
      <c r="BU59" s="103" t="inlineStr">
        <is>
          <t>Strong</t>
        </is>
      </c>
      <c r="BV59" s="104" t="n">
        <v>1.01</v>
      </c>
      <c r="BW59" s="104" t="n">
        <v>0.9</v>
      </c>
      <c r="BX59" s="104" t="n">
        <v>1</v>
      </c>
      <c r="BY59" s="104" t="n">
        <v>1.19</v>
      </c>
      <c r="BZ59" s="104" t="n">
        <v>1.02</v>
      </c>
      <c r="CA59" s="104" t="n">
        <v>0.95</v>
      </c>
      <c r="CB59" s="104" t="n">
        <v>1</v>
      </c>
      <c r="CC59" s="104" t="n">
        <v>-0.09</v>
      </c>
      <c r="CD59" s="103" t="n">
        <v>-2.74</v>
      </c>
      <c r="CE59" s="103" t="inlineStr">
        <is>
          <t>Lower Risk</t>
        </is>
      </c>
      <c r="CF59" s="104" t="n">
        <v>1.08</v>
      </c>
      <c r="CG59" s="104" t="n">
        <v>59.84</v>
      </c>
      <c r="CH59" s="103" t="n">
        <v>0</v>
      </c>
      <c r="CI59" s="103" t="inlineStr">
        <is>
          <t>CLEAR</t>
        </is>
      </c>
    </row>
    <row r="60" ht="17" customHeight="1">
      <c r="A60" s="107" t="inlineStr">
        <is>
          <t>PFE</t>
        </is>
      </c>
      <c r="B60" s="107" t="inlineStr">
        <is>
          <t>Pfizer Inc.</t>
        </is>
      </c>
      <c r="C60" s="108" t="n">
        <v>5914000000</v>
      </c>
      <c r="D60" s="109" t="n">
        <v>0.12</v>
      </c>
      <c r="E60" s="109" t="n">
        <v>0.12</v>
      </c>
      <c r="F60" s="109" t="n">
        <v>0.12</v>
      </c>
      <c r="G60" s="109" t="n">
        <v>0.04</v>
      </c>
      <c r="H60" s="109" t="n">
        <v>0.04</v>
      </c>
      <c r="I60" s="109" t="n">
        <v>0.09</v>
      </c>
      <c r="J60" s="109" t="n">
        <v>0.04</v>
      </c>
      <c r="K60" s="109" t="n">
        <v>0.74</v>
      </c>
      <c r="L60" s="109" t="n">
        <v>0.72</v>
      </c>
      <c r="M60" s="109" t="n">
        <v>0.3</v>
      </c>
      <c r="N60" s="108" t="n">
        <v>0.3</v>
      </c>
      <c r="O60" s="108" t="n">
        <v>1.16</v>
      </c>
      <c r="P60" s="108" t="n">
        <v>1.17</v>
      </c>
      <c r="Q60" s="108" t="n">
        <v>0.87</v>
      </c>
      <c r="R60" s="108" t="n">
        <v>0.03</v>
      </c>
      <c r="S60" s="108" t="n">
        <v>0.58</v>
      </c>
      <c r="T60" s="108" t="n">
        <v>0.59</v>
      </c>
      <c r="U60" s="108" t="n">
        <v>0.08</v>
      </c>
      <c r="V60" s="108" t="n">
        <v>0.07000000000000001</v>
      </c>
      <c r="W60" s="108" t="n">
        <v>1.51</v>
      </c>
      <c r="X60" s="109" t="n">
        <v>0.15</v>
      </c>
      <c r="Y60" s="109" t="n">
        <v>0.17</v>
      </c>
      <c r="Z60" s="109" t="n">
        <v>2.82</v>
      </c>
      <c r="AA60" s="109" t="n">
        <v>-0.02</v>
      </c>
      <c r="AB60" s="109" t="n">
        <v>-0.03</v>
      </c>
      <c r="AC60" s="108" t="n">
        <v>-0.02</v>
      </c>
      <c r="AD60" s="108" t="n">
        <v>-0.02</v>
      </c>
      <c r="AE60" s="108" t="n">
        <v>0.03</v>
      </c>
      <c r="AF60" s="108" t="n">
        <v>0.55</v>
      </c>
      <c r="AG60" s="108" t="n">
        <v>0.04</v>
      </c>
      <c r="AH60" s="108" t="n">
        <v>0.71</v>
      </c>
      <c r="AI60" s="108" t="n">
        <v>0.3</v>
      </c>
      <c r="AJ60" s="108" t="n">
        <v>1.65</v>
      </c>
      <c r="AK60" s="112" t="inlineStr">
        <is>
          <t>Distress</t>
        </is>
      </c>
      <c r="AL60" s="108" t="n">
        <v>0.03</v>
      </c>
      <c r="AM60" s="108" t="n">
        <v>0.55</v>
      </c>
      <c r="AN60" s="108" t="n">
        <v>0.04</v>
      </c>
      <c r="AO60" s="108" t="n">
        <v>0.71</v>
      </c>
      <c r="AP60" s="108" t="n">
        <v>0.3</v>
      </c>
      <c r="AQ60" s="107" t="n">
        <v>1.2</v>
      </c>
      <c r="AR60" s="107" t="inlineStr">
        <is>
          <t>Distress</t>
        </is>
      </c>
      <c r="AS60" s="108" t="n">
        <v>0.03</v>
      </c>
      <c r="AT60" s="108" t="n">
        <v>0.55</v>
      </c>
      <c r="AU60" s="108" t="n">
        <v>0.04</v>
      </c>
      <c r="AV60" s="108" t="n">
        <v>0.71</v>
      </c>
      <c r="AW60" s="107" t="n">
        <v>2.97</v>
      </c>
      <c r="AX60" s="107" t="inlineStr">
        <is>
          <t>Safe</t>
        </is>
      </c>
      <c r="AY60" s="108" t="n">
        <v>0.03</v>
      </c>
      <c r="AZ60" s="108" t="n">
        <v>0.04</v>
      </c>
      <c r="BA60" s="108" t="n">
        <v>0.2</v>
      </c>
      <c r="BB60" s="108" t="n">
        <v>0.3</v>
      </c>
      <c r="BC60" s="107" t="n">
        <v>0.39</v>
      </c>
      <c r="BD60" s="107" t="inlineStr">
        <is>
          <t>Distress</t>
        </is>
      </c>
      <c r="BE60" s="108" t="n">
        <v>0.04</v>
      </c>
      <c r="BF60" s="108" t="n">
        <v>0.58</v>
      </c>
      <c r="BG60" s="108" t="n">
        <v>1.16</v>
      </c>
      <c r="BH60" s="108" t="n">
        <v>-1.19</v>
      </c>
      <c r="BI60" s="107" t="n">
        <v>0.23</v>
      </c>
      <c r="BJ60" s="107" t="inlineStr">
        <is>
          <t>Healthy</t>
        </is>
      </c>
      <c r="BK60" s="107" t="n">
        <v>1</v>
      </c>
      <c r="BL60" s="107" t="n">
        <v>1</v>
      </c>
      <c r="BM60" s="107" t="n">
        <v>0</v>
      </c>
      <c r="BN60" s="107" t="n">
        <v>1</v>
      </c>
      <c r="BO60" s="107" t="n">
        <v>1</v>
      </c>
      <c r="BP60" s="107" t="n">
        <v>0</v>
      </c>
      <c r="BQ60" s="107" t="n">
        <v>0</v>
      </c>
      <c r="BR60" s="107" t="n">
        <v>1</v>
      </c>
      <c r="BS60" s="107" t="n">
        <v>1</v>
      </c>
      <c r="BT60" s="107" t="n">
        <v>6</v>
      </c>
      <c r="BU60" s="107" t="inlineStr">
        <is>
          <t>Mixed</t>
        </is>
      </c>
      <c r="BV60" s="108" t="n">
        <v>1.05</v>
      </c>
      <c r="BW60" s="108" t="n">
        <v>0.97</v>
      </c>
      <c r="BX60" s="108" t="n">
        <v>1.03</v>
      </c>
      <c r="BY60" s="108" t="n">
        <v>0.98</v>
      </c>
      <c r="BZ60" s="108" t="n">
        <v>1.08</v>
      </c>
      <c r="CA60" s="108" t="n">
        <v>0.95</v>
      </c>
      <c r="CB60" s="108" t="n">
        <v>1</v>
      </c>
      <c r="CC60" s="108" t="n">
        <v>-0.02</v>
      </c>
      <c r="CD60" s="107" t="n">
        <v>-2.52</v>
      </c>
      <c r="CE60" s="107" t="inlineStr">
        <is>
          <t>Lower Risk</t>
        </is>
      </c>
      <c r="CF60" s="108" t="n">
        <v>0.43</v>
      </c>
      <c r="CG60" s="108" t="n">
        <v>51.53</v>
      </c>
      <c r="CH60" s="107" t="n">
        <v>0</v>
      </c>
      <c r="CI60" s="107" t="inlineStr">
        <is>
          <t>CLEAR</t>
        </is>
      </c>
    </row>
    <row r="61" ht="17" customHeight="1">
      <c r="A61" s="103" t="inlineStr">
        <is>
          <t>AMGN</t>
        </is>
      </c>
      <c r="B61" s="103" t="inlineStr">
        <is>
          <t>Amgen Inc.</t>
        </is>
      </c>
      <c r="C61" s="104" t="n">
        <v>3568000000</v>
      </c>
      <c r="D61" s="105" t="n">
        <v>0.36</v>
      </c>
      <c r="E61" s="105" t="n">
        <v>0.35</v>
      </c>
      <c r="F61" s="105" t="n">
        <v>0.3</v>
      </c>
      <c r="G61" s="105" t="n">
        <v>0.09</v>
      </c>
      <c r="H61" s="105" t="n">
        <v>0.04</v>
      </c>
      <c r="I61" s="105" t="n">
        <v>0.89</v>
      </c>
      <c r="J61" s="105" t="n">
        <v>0.14</v>
      </c>
      <c r="K61" s="105" t="n">
        <v>0.19</v>
      </c>
      <c r="L61" s="105" t="n">
        <v>0.19</v>
      </c>
      <c r="M61" s="105" t="n">
        <v>0.28</v>
      </c>
      <c r="N61" s="104" t="n">
        <v>0.25</v>
      </c>
      <c r="O61" s="104" t="n">
        <v>1.14</v>
      </c>
      <c r="P61" s="104" t="n">
        <v>1.26</v>
      </c>
      <c r="Q61" s="104" t="n">
        <v>0.9</v>
      </c>
      <c r="R61" s="104" t="n">
        <v>0.36</v>
      </c>
      <c r="S61" s="104" t="n">
        <v>1</v>
      </c>
      <c r="T61" s="104" t="n">
        <v>1</v>
      </c>
      <c r="U61" s="104" t="n">
        <v>6.6</v>
      </c>
      <c r="V61" s="104" t="n">
        <v>5.54</v>
      </c>
      <c r="W61" s="104" t="n">
        <v>1.29</v>
      </c>
      <c r="X61" s="105" t="n">
        <v>0.32</v>
      </c>
      <c r="Y61" s="105" t="n">
        <v>0.29</v>
      </c>
      <c r="Z61" s="105" t="n">
        <v>3.3</v>
      </c>
      <c r="AA61" s="105" t="n">
        <v>0.09</v>
      </c>
      <c r="AB61" s="105" t="n">
        <v>0.89</v>
      </c>
      <c r="AC61" s="104" t="n">
        <v>-0.02</v>
      </c>
      <c r="AD61" s="104" t="n">
        <v>-0.02</v>
      </c>
      <c r="AE61" s="104" t="n">
        <v>0.04</v>
      </c>
      <c r="AF61" s="104" t="n">
        <v>-0.28</v>
      </c>
      <c r="AG61" s="104" t="n">
        <v>0.1</v>
      </c>
      <c r="AH61" s="104" t="n">
        <v>0.1</v>
      </c>
      <c r="AI61" s="104" t="n">
        <v>0.28</v>
      </c>
      <c r="AJ61" s="104" t="n">
        <v>0.33</v>
      </c>
      <c r="AK61" s="112" t="inlineStr">
        <is>
          <t>Distress</t>
        </is>
      </c>
      <c r="AL61" s="104" t="n">
        <v>0.04</v>
      </c>
      <c r="AM61" s="104" t="n">
        <v>-0.28</v>
      </c>
      <c r="AN61" s="104" t="n">
        <v>0.1</v>
      </c>
      <c r="AO61" s="104" t="n">
        <v>0.1</v>
      </c>
      <c r="AP61" s="104" t="n">
        <v>0.28</v>
      </c>
      <c r="AQ61" s="103" t="n">
        <v>0.43</v>
      </c>
      <c r="AR61" s="103" t="inlineStr">
        <is>
          <t>Distress</t>
        </is>
      </c>
      <c r="AS61" s="104" t="n">
        <v>0.04</v>
      </c>
      <c r="AT61" s="104" t="n">
        <v>-0.28</v>
      </c>
      <c r="AU61" s="104" t="n">
        <v>0.1</v>
      </c>
      <c r="AV61" s="104" t="n">
        <v>0.1</v>
      </c>
      <c r="AW61" s="103" t="n">
        <v>0.13</v>
      </c>
      <c r="AX61" s="103" t="inlineStr">
        <is>
          <t>Distress</t>
        </is>
      </c>
      <c r="AY61" s="104" t="n">
        <v>0.04</v>
      </c>
      <c r="AZ61" s="104" t="n">
        <v>0.1</v>
      </c>
      <c r="BA61" s="104" t="n">
        <v>0.35</v>
      </c>
      <c r="BB61" s="104" t="n">
        <v>0.28</v>
      </c>
      <c r="BC61" s="103" t="n">
        <v>0.6899999999999999</v>
      </c>
      <c r="BD61" s="103" t="inlineStr">
        <is>
          <t>Distress</t>
        </is>
      </c>
      <c r="BE61" s="104" t="n">
        <v>0.09</v>
      </c>
      <c r="BF61" s="104" t="n">
        <v>1</v>
      </c>
      <c r="BG61" s="104" t="n">
        <v>1.14</v>
      </c>
      <c r="BH61" s="104" t="n">
        <v>0.96</v>
      </c>
      <c r="BI61" s="103" t="n">
        <v>0.72</v>
      </c>
      <c r="BJ61" s="103" t="inlineStr">
        <is>
          <t>Distress</t>
        </is>
      </c>
      <c r="BK61" s="103" t="n">
        <v>1</v>
      </c>
      <c r="BL61" s="103" t="n">
        <v>1</v>
      </c>
      <c r="BM61" s="103" t="n">
        <v>1</v>
      </c>
      <c r="BN61" s="103" t="n">
        <v>1</v>
      </c>
      <c r="BO61" s="103" t="n">
        <v>1</v>
      </c>
      <c r="BP61" s="103" t="n">
        <v>0</v>
      </c>
      <c r="BQ61" s="103" t="n">
        <v>0</v>
      </c>
      <c r="BR61" s="103" t="n">
        <v>0</v>
      </c>
      <c r="BS61" s="103" t="n">
        <v>1</v>
      </c>
      <c r="BT61" s="103" t="n">
        <v>6</v>
      </c>
      <c r="BU61" s="103" t="inlineStr">
        <is>
          <t>Mixed</t>
        </is>
      </c>
      <c r="BV61" s="104" t="n">
        <v>1.3</v>
      </c>
      <c r="BW61" s="104" t="n">
        <v>1.04</v>
      </c>
      <c r="BX61" s="104" t="n">
        <v>0.97</v>
      </c>
      <c r="BY61" s="104" t="n">
        <v>1.09</v>
      </c>
      <c r="BZ61" s="104" t="n">
        <v>1.09</v>
      </c>
      <c r="CA61" s="104" t="n">
        <v>0.91</v>
      </c>
      <c r="CB61" s="104" t="n">
        <v>1</v>
      </c>
      <c r="CC61" s="104" t="n">
        <v>-0.02</v>
      </c>
      <c r="CD61" s="103" t="n">
        <v>-2.21</v>
      </c>
      <c r="CE61" s="103" t="inlineStr">
        <is>
          <t>Higher Risk</t>
        </is>
      </c>
      <c r="CF61" s="104" t="n">
        <v>4.81</v>
      </c>
      <c r="CG61" s="104" t="n">
        <v>43.32</v>
      </c>
      <c r="CH61" s="103" t="n">
        <v>20</v>
      </c>
      <c r="CI61" s="103" t="inlineStr">
        <is>
          <t>CLEAR</t>
        </is>
      </c>
    </row>
    <row r="62" ht="17" customHeight="1">
      <c r="A62" s="107" t="inlineStr">
        <is>
          <t>TDG</t>
        </is>
      </c>
      <c r="B62" s="107" t="inlineStr">
        <is>
          <t>TransDigm Group Incorporated</t>
        </is>
      </c>
      <c r="C62" s="108" t="n">
        <v>4830000000</v>
      </c>
      <c r="D62" s="109" t="n">
        <v>0.47</v>
      </c>
      <c r="E62" s="109" t="n">
        <v>0.3</v>
      </c>
      <c r="F62" s="109" t="n">
        <v>0.23</v>
      </c>
      <c r="G62" s="109" t="n">
        <v>0.09</v>
      </c>
      <c r="H62" s="109" t="n">
        <v>0.07000000000000001</v>
      </c>
      <c r="I62" s="109" t="n">
        <v>-0.21</v>
      </c>
      <c r="J62" s="109" t="n">
        <v>0.2</v>
      </c>
      <c r="K62" s="109" t="n">
        <v>0.6</v>
      </c>
      <c r="L62" s="109" t="n">
        <v>0.59</v>
      </c>
      <c r="M62" s="109" t="n">
        <v>0.39</v>
      </c>
      <c r="N62" s="108" t="n">
        <v>0.31</v>
      </c>
      <c r="O62" s="108" t="n">
        <v>3.21</v>
      </c>
      <c r="P62" s="108" t="n">
        <v>1.58</v>
      </c>
      <c r="Q62" s="108" t="n">
        <v>2.25</v>
      </c>
      <c r="R62" s="108" t="n">
        <v>1.29</v>
      </c>
      <c r="S62" s="108" t="n">
        <v>1.42</v>
      </c>
      <c r="T62" s="108" t="n">
        <v>1.25</v>
      </c>
      <c r="U62" s="108" t="n">
        <v>-3.04</v>
      </c>
      <c r="V62" s="108" t="n">
        <v>-2.75</v>
      </c>
      <c r="W62" s="108" t="n">
        <v>0.98</v>
      </c>
      <c r="X62" s="109" t="n">
        <v>0.21</v>
      </c>
      <c r="Y62" s="109" t="n">
        <v>0.01</v>
      </c>
      <c r="Z62" s="109" t="n">
        <v>6.56</v>
      </c>
      <c r="AA62" s="109" t="n">
        <v>0.11</v>
      </c>
      <c r="AB62" s="109" t="n">
        <v>0.21</v>
      </c>
      <c r="AC62" s="108" t="n">
        <v>0</v>
      </c>
      <c r="AD62" s="108" t="n">
        <v>0</v>
      </c>
      <c r="AE62" s="108" t="n">
        <v>0.21</v>
      </c>
      <c r="AF62" s="108" t="n">
        <v>-0.46</v>
      </c>
      <c r="AG62" s="108" t="n">
        <v>0.18</v>
      </c>
      <c r="AH62" s="108" t="n">
        <v>-0.3</v>
      </c>
      <c r="AI62" s="108" t="n">
        <v>0.39</v>
      </c>
      <c r="AJ62" s="108" t="n">
        <v>0.41</v>
      </c>
      <c r="AK62" s="112" t="inlineStr">
        <is>
          <t>Distress</t>
        </is>
      </c>
      <c r="AL62" s="108" t="n">
        <v>0.21</v>
      </c>
      <c r="AM62" s="108" t="n">
        <v>-0.46</v>
      </c>
      <c r="AN62" s="108" t="n">
        <v>0.18</v>
      </c>
      <c r="AO62" s="108" t="n">
        <v>-0.3</v>
      </c>
      <c r="AP62" s="108" t="n">
        <v>0.39</v>
      </c>
      <c r="AQ62" s="107" t="n">
        <v>0.58</v>
      </c>
      <c r="AR62" s="107" t="inlineStr">
        <is>
          <t>Distress</t>
        </is>
      </c>
      <c r="AS62" s="108" t="n">
        <v>0.21</v>
      </c>
      <c r="AT62" s="108" t="n">
        <v>-0.46</v>
      </c>
      <c r="AU62" s="108" t="n">
        <v>0.18</v>
      </c>
      <c r="AV62" s="108" t="n">
        <v>-0.3</v>
      </c>
      <c r="AW62" s="107" t="n">
        <v>0.78</v>
      </c>
      <c r="AX62" s="107" t="inlineStr">
        <is>
          <t>Distress</t>
        </is>
      </c>
      <c r="AY62" s="108" t="n">
        <v>0.21</v>
      </c>
      <c r="AZ62" s="108" t="n">
        <v>0.18</v>
      </c>
      <c r="BA62" s="108" t="n">
        <v>1.2</v>
      </c>
      <c r="BB62" s="108" t="n">
        <v>0.39</v>
      </c>
      <c r="BC62" s="107" t="n">
        <v>1.72</v>
      </c>
      <c r="BD62" s="107" t="inlineStr">
        <is>
          <t>Healthy</t>
        </is>
      </c>
      <c r="BE62" s="108" t="n">
        <v>0.09</v>
      </c>
      <c r="BF62" s="108" t="n">
        <v>1.42</v>
      </c>
      <c r="BG62" s="108" t="n">
        <v>3.21</v>
      </c>
      <c r="BH62" s="108" t="n">
        <v>3.35</v>
      </c>
      <c r="BI62" s="107" t="n">
        <v>0.97</v>
      </c>
      <c r="BJ62" s="107" t="inlineStr">
        <is>
          <t>Distress</t>
        </is>
      </c>
      <c r="BK62" s="107" t="n">
        <v>1</v>
      </c>
      <c r="BL62" s="107" t="n">
        <v>1</v>
      </c>
      <c r="BM62" s="107" t="n">
        <v>1</v>
      </c>
      <c r="BN62" s="107" t="n">
        <v>0</v>
      </c>
      <c r="BO62" s="107" t="n">
        <v>0</v>
      </c>
      <c r="BP62" s="107" t="n">
        <v>1</v>
      </c>
      <c r="BQ62" s="107" t="n">
        <v>0</v>
      </c>
      <c r="BR62" s="107" t="n">
        <v>1</v>
      </c>
      <c r="BS62" s="107" t="n">
        <v>1</v>
      </c>
      <c r="BT62" s="107" t="n">
        <v>6</v>
      </c>
      <c r="BU62" s="107" t="inlineStr">
        <is>
          <t>Mixed</t>
        </is>
      </c>
      <c r="BV62" s="108" t="n">
        <v>1.05</v>
      </c>
      <c r="BW62" s="108" t="n">
        <v>0.98</v>
      </c>
      <c r="BX62" s="108" t="n">
        <v>1.14</v>
      </c>
      <c r="BY62" s="108" t="n">
        <v>1.11</v>
      </c>
      <c r="BZ62" s="108" t="n">
        <v>0.92</v>
      </c>
      <c r="CA62" s="108" t="n">
        <v>0.87</v>
      </c>
      <c r="CB62" s="108" t="n">
        <v>1.14</v>
      </c>
      <c r="CC62" s="108" t="n">
        <v>0</v>
      </c>
      <c r="CD62" s="107" t="n">
        <v>-2.31</v>
      </c>
      <c r="CE62" s="107" t="inlineStr">
        <is>
          <t>Lower Risk</t>
        </is>
      </c>
      <c r="CF62" s="108" t="n">
        <v>5.87</v>
      </c>
      <c r="CG62" s="108" t="n">
        <v>48.88</v>
      </c>
      <c r="CH62" s="107" t="n">
        <v>0</v>
      </c>
      <c r="CI62" s="107" t="inlineStr">
        <is>
          <t>CLEAR</t>
        </is>
      </c>
    </row>
    <row r="63" ht="17" customHeight="1">
      <c r="A63" s="103" t="inlineStr">
        <is>
          <t>ETN</t>
        </is>
      </c>
      <c r="B63" s="103" t="inlineStr">
        <is>
          <t>EATON CORPORATION plc</t>
        </is>
      </c>
      <c r="C63" s="104" t="n">
        <v>2985000000</v>
      </c>
      <c r="D63" s="113" t="inlineStr">
        <is>
          <t>N/A</t>
        </is>
      </c>
      <c r="E63" s="113" t="inlineStr">
        <is>
          <t>N/A</t>
        </is>
      </c>
      <c r="F63" s="113" t="inlineStr">
        <is>
          <t>N/A</t>
        </is>
      </c>
      <c r="G63" s="105" t="n">
        <v>0.1</v>
      </c>
      <c r="H63" s="105" t="n">
        <v>0.1</v>
      </c>
      <c r="I63" s="105" t="n">
        <v>0.21</v>
      </c>
      <c r="J63" s="105" t="n">
        <v>0.12</v>
      </c>
      <c r="K63" s="113" t="inlineStr">
        <is>
          <t>N/A</t>
        </is>
      </c>
      <c r="L63" s="113" t="inlineStr">
        <is>
          <t>N/A</t>
        </is>
      </c>
      <c r="M63" s="105" t="n">
        <v>0</v>
      </c>
      <c r="N63" s="104" t="n">
        <v>0</v>
      </c>
      <c r="O63" s="104" t="n">
        <v>1.32</v>
      </c>
      <c r="P63" s="104" t="n">
        <v>1.5</v>
      </c>
      <c r="Q63" s="104" t="n">
        <v>0.8100000000000001</v>
      </c>
      <c r="R63" s="104" t="n">
        <v>0.07000000000000001</v>
      </c>
      <c r="S63" s="104" t="n">
        <v>1</v>
      </c>
      <c r="T63" s="104" t="n">
        <v>1</v>
      </c>
      <c r="U63" s="104" t="n">
        <v>0.51</v>
      </c>
      <c r="V63" s="104" t="n">
        <v>0.48</v>
      </c>
      <c r="W63" s="104" t="n">
        <v>1.09</v>
      </c>
      <c r="X63" s="113" t="inlineStr">
        <is>
          <t>N/A</t>
        </is>
      </c>
      <c r="Y63" s="105" t="n">
        <v>0</v>
      </c>
      <c r="Z63" s="105" t="n">
        <v>25.52</v>
      </c>
      <c r="AA63" s="113" t="inlineStr">
        <is>
          <t>N/A</t>
        </is>
      </c>
      <c r="AB63" s="105" t="n">
        <v>0.08</v>
      </c>
      <c r="AC63" s="104" t="n">
        <v>-0.01</v>
      </c>
      <c r="AD63" s="104" t="n">
        <v>-0.01</v>
      </c>
      <c r="AE63" s="104" t="n">
        <v>0.07000000000000001</v>
      </c>
      <c r="AF63" s="104" t="n">
        <v>0.26</v>
      </c>
      <c r="AG63" s="104" t="n">
        <v>0.09</v>
      </c>
      <c r="AH63" s="104" t="n">
        <v>0.47</v>
      </c>
      <c r="AI63" s="104" t="n">
        <v>0</v>
      </c>
      <c r="AJ63" s="104" t="n">
        <v>1.03</v>
      </c>
      <c r="AK63" s="112" t="inlineStr">
        <is>
          <t>Distress</t>
        </is>
      </c>
      <c r="AL63" s="104" t="n">
        <v>0.07000000000000001</v>
      </c>
      <c r="AM63" s="104" t="n">
        <v>0.26</v>
      </c>
      <c r="AN63" s="104" t="n">
        <v>0.09</v>
      </c>
      <c r="AO63" s="104" t="n">
        <v>0.47</v>
      </c>
      <c r="AP63" s="104" t="n">
        <v>0</v>
      </c>
      <c r="AQ63" s="103" t="n">
        <v>0.75</v>
      </c>
      <c r="AR63" s="103" t="inlineStr">
        <is>
          <t>Distress</t>
        </is>
      </c>
      <c r="AS63" s="104" t="n">
        <v>0.07000000000000001</v>
      </c>
      <c r="AT63" s="104" t="n">
        <v>0.26</v>
      </c>
      <c r="AU63" s="104" t="n">
        <v>0.09</v>
      </c>
      <c r="AV63" s="104" t="n">
        <v>0.47</v>
      </c>
      <c r="AW63" s="103" t="n">
        <v>2.41</v>
      </c>
      <c r="AX63" s="103" t="inlineStr">
        <is>
          <t>Grey</t>
        </is>
      </c>
      <c r="AY63" s="104" t="n">
        <v>0.07000000000000001</v>
      </c>
      <c r="AZ63" s="104" t="n">
        <v>0.09</v>
      </c>
      <c r="BA63" s="104" t="n">
        <v>0.53</v>
      </c>
      <c r="BB63" s="104" t="n">
        <v>0</v>
      </c>
      <c r="BC63" s="103" t="n">
        <v>0.7</v>
      </c>
      <c r="BD63" s="103" t="inlineStr">
        <is>
          <t>Distress</t>
        </is>
      </c>
      <c r="BE63" s="104" t="n">
        <v>0.1</v>
      </c>
      <c r="BF63" s="104" t="n">
        <v>1</v>
      </c>
      <c r="BG63" s="104" t="n">
        <v>1.32</v>
      </c>
      <c r="BH63" s="104" t="n">
        <v>0.9</v>
      </c>
      <c r="BI63" s="103" t="n">
        <v>0.71</v>
      </c>
      <c r="BJ63" s="103" t="inlineStr">
        <is>
          <t>Distress</t>
        </is>
      </c>
      <c r="BK63" s="103" t="n">
        <v>1</v>
      </c>
      <c r="BL63" s="103" t="n">
        <v>1</v>
      </c>
      <c r="BM63" s="103" t="n">
        <v>1</v>
      </c>
      <c r="BN63" s="103" t="n">
        <v>1</v>
      </c>
      <c r="BO63" s="103" t="n">
        <v>0</v>
      </c>
      <c r="BP63" s="103" t="n">
        <v>0</v>
      </c>
      <c r="BQ63" s="103" t="n">
        <v>1</v>
      </c>
      <c r="BR63" s="103" t="n">
        <v>0</v>
      </c>
      <c r="BS63" s="103" t="n">
        <v>0</v>
      </c>
      <c r="BT63" s="103" t="n">
        <v>5</v>
      </c>
      <c r="BU63" s="103" t="inlineStr">
        <is>
          <t>Mixed</t>
        </is>
      </c>
      <c r="BV63" s="113" t="inlineStr">
        <is>
          <t>N/A</t>
        </is>
      </c>
      <c r="BW63" s="113" t="inlineStr">
        <is>
          <t>N/A</t>
        </is>
      </c>
      <c r="BX63" s="104" t="n">
        <v>1</v>
      </c>
      <c r="BY63" s="113" t="inlineStr">
        <is>
          <t>N/A</t>
        </is>
      </c>
      <c r="BZ63" s="104" t="n">
        <v>1.05</v>
      </c>
      <c r="CA63" s="113" t="inlineStr">
        <is>
          <t>N/A</t>
        </is>
      </c>
      <c r="CB63" s="104" t="n">
        <v>1</v>
      </c>
      <c r="CC63" s="104" t="n">
        <v>-0.01</v>
      </c>
      <c r="CD63" s="113" t="inlineStr">
        <is>
          <t>N/A</t>
        </is>
      </c>
      <c r="CE63" s="113" t="inlineStr">
        <is>
          <t>N/A</t>
        </is>
      </c>
      <c r="CF63" s="104" t="n">
        <v>1.98</v>
      </c>
      <c r="CG63" s="104" t="n">
        <v>45.56</v>
      </c>
      <c r="CH63" s="103" t="n">
        <v>0</v>
      </c>
      <c r="CI63" s="103" t="inlineStr">
        <is>
          <t>CLEAR</t>
        </is>
      </c>
    </row>
    <row r="64" ht="17" customHeight="1">
      <c r="A64" s="107" t="inlineStr">
        <is>
          <t>GILD</t>
        </is>
      </c>
      <c r="B64" s="107" t="inlineStr">
        <is>
          <t>GILEAD SCIENCES, INC.</t>
        </is>
      </c>
      <c r="C64" s="108" t="n">
        <v>6529000000</v>
      </c>
      <c r="D64" s="109" t="n">
        <v>0.41</v>
      </c>
      <c r="E64" s="109" t="n">
        <v>0.4</v>
      </c>
      <c r="F64" s="109" t="n">
        <v>0.34</v>
      </c>
      <c r="G64" s="109" t="n">
        <v>0.14</v>
      </c>
      <c r="H64" s="109" t="n">
        <v>0.01</v>
      </c>
      <c r="I64" s="109" t="n">
        <v>0.37</v>
      </c>
      <c r="J64" s="109" t="n">
        <v>0.21</v>
      </c>
      <c r="K64" s="109" t="n">
        <v>0.24</v>
      </c>
      <c r="L64" s="109" t="n">
        <v>0.72</v>
      </c>
      <c r="M64" s="109" t="n">
        <v>0.42</v>
      </c>
      <c r="N64" s="108" t="n">
        <v>0.13</v>
      </c>
      <c r="O64" s="108" t="n">
        <v>1.55</v>
      </c>
      <c r="P64" s="108" t="n">
        <v>1.6</v>
      </c>
      <c r="Q64" s="108" t="n">
        <v>1.4</v>
      </c>
      <c r="R64" s="108" t="n">
        <v>0.46</v>
      </c>
      <c r="S64" s="108" t="n">
        <v>1</v>
      </c>
      <c r="T64" s="108" t="n">
        <v>1</v>
      </c>
      <c r="U64" s="108" t="n">
        <v>1.22</v>
      </c>
      <c r="V64" s="108" t="n">
        <v>0.98</v>
      </c>
      <c r="W64" s="108" t="n">
        <v>1.18</v>
      </c>
      <c r="X64" s="109" t="n">
        <v>0.38</v>
      </c>
      <c r="Y64" s="109" t="n">
        <v>0.37</v>
      </c>
      <c r="Z64" s="109" t="n">
        <v>10.62</v>
      </c>
      <c r="AA64" s="109" t="n">
        <v>2.33</v>
      </c>
      <c r="AB64" s="109" t="n">
        <v>16.73</v>
      </c>
      <c r="AC64" s="108" t="n">
        <v>-0.03</v>
      </c>
      <c r="AD64" s="108" t="n">
        <v>-0.03</v>
      </c>
      <c r="AE64" s="108" t="n">
        <v>0.11</v>
      </c>
      <c r="AF64" s="108" t="n">
        <v>0.23</v>
      </c>
      <c r="AG64" s="108" t="n">
        <v>0.17</v>
      </c>
      <c r="AH64" s="108" t="n">
        <v>0.38</v>
      </c>
      <c r="AI64" s="108" t="n">
        <v>0.42</v>
      </c>
      <c r="AJ64" s="108" t="n">
        <v>1.67</v>
      </c>
      <c r="AK64" s="112" t="inlineStr">
        <is>
          <t>Distress</t>
        </is>
      </c>
      <c r="AL64" s="108" t="n">
        <v>0.11</v>
      </c>
      <c r="AM64" s="108" t="n">
        <v>0.23</v>
      </c>
      <c r="AN64" s="108" t="n">
        <v>0.17</v>
      </c>
      <c r="AO64" s="108" t="n">
        <v>0.38</v>
      </c>
      <c r="AP64" s="108" t="n">
        <v>0.42</v>
      </c>
      <c r="AQ64" s="107" t="n">
        <v>1.38</v>
      </c>
      <c r="AR64" s="107" t="inlineStr">
        <is>
          <t>Grey</t>
        </is>
      </c>
      <c r="AS64" s="108" t="n">
        <v>0.11</v>
      </c>
      <c r="AT64" s="108" t="n">
        <v>0.23</v>
      </c>
      <c r="AU64" s="108" t="n">
        <v>0.17</v>
      </c>
      <c r="AV64" s="108" t="n">
        <v>0.38</v>
      </c>
      <c r="AW64" s="107" t="n">
        <v>3.03</v>
      </c>
      <c r="AX64" s="107" t="inlineStr">
        <is>
          <t>Safe</t>
        </is>
      </c>
      <c r="AY64" s="108" t="n">
        <v>0.11</v>
      </c>
      <c r="AZ64" s="108" t="n">
        <v>0.17</v>
      </c>
      <c r="BA64" s="108" t="n">
        <v>0.83</v>
      </c>
      <c r="BB64" s="108" t="n">
        <v>0.42</v>
      </c>
      <c r="BC64" s="107" t="n">
        <v>1.35</v>
      </c>
      <c r="BD64" s="107" t="inlineStr">
        <is>
          <t>Healthy</t>
        </is>
      </c>
      <c r="BE64" s="108" t="n">
        <v>0.14</v>
      </c>
      <c r="BF64" s="108" t="n">
        <v>1</v>
      </c>
      <c r="BG64" s="108" t="n">
        <v>1.55</v>
      </c>
      <c r="BH64" s="108" t="n">
        <v>0.7</v>
      </c>
      <c r="BI64" s="107" t="n">
        <v>0.67</v>
      </c>
      <c r="BJ64" s="107" t="inlineStr">
        <is>
          <t>Distress</t>
        </is>
      </c>
      <c r="BK64" s="107" t="n">
        <v>1</v>
      </c>
      <c r="BL64" s="107" t="n">
        <v>1</v>
      </c>
      <c r="BM64" s="107" t="n">
        <v>1</v>
      </c>
      <c r="BN64" s="107" t="n">
        <v>1</v>
      </c>
      <c r="BO64" s="107" t="n">
        <v>1</v>
      </c>
      <c r="BP64" s="107" t="n">
        <v>0</v>
      </c>
      <c r="BQ64" s="107" t="n">
        <v>1</v>
      </c>
      <c r="BR64" s="107" t="n">
        <v>0</v>
      </c>
      <c r="BS64" s="107" t="n">
        <v>1</v>
      </c>
      <c r="BT64" s="107" t="n">
        <v>7</v>
      </c>
      <c r="BU64" s="107" t="inlineStr">
        <is>
          <t>Strong</t>
        </is>
      </c>
      <c r="BV64" s="108" t="n">
        <v>0.33</v>
      </c>
      <c r="BW64" s="108" t="n">
        <v>3</v>
      </c>
      <c r="BX64" s="108" t="n">
        <v>1.02</v>
      </c>
      <c r="BY64" s="108" t="n">
        <v>3.33</v>
      </c>
      <c r="BZ64" s="108" t="n">
        <v>1.06</v>
      </c>
      <c r="CA64" s="108" t="n">
        <v>0.28</v>
      </c>
      <c r="CB64" s="108" t="n">
        <v>1</v>
      </c>
      <c r="CC64" s="108" t="n">
        <v>-0.03</v>
      </c>
      <c r="CD64" s="107" t="n">
        <v>0.06</v>
      </c>
      <c r="CE64" s="107" t="inlineStr">
        <is>
          <t>Higher Risk</t>
        </is>
      </c>
      <c r="CF64" s="108" t="n">
        <v>2.15</v>
      </c>
      <c r="CG64" s="108" t="n">
        <v>50.56</v>
      </c>
      <c r="CH64" s="107" t="n">
        <v>20</v>
      </c>
      <c r="CI64" s="107" t="inlineStr">
        <is>
          <t>CLEAR</t>
        </is>
      </c>
    </row>
    <row r="65" ht="17" customHeight="1">
      <c r="A65" s="103" t="inlineStr">
        <is>
          <t>CARR</t>
        </is>
      </c>
      <c r="B65" s="103" t="inlineStr">
        <is>
          <t>CARRIER GLOBAL CORPORATION</t>
        </is>
      </c>
      <c r="C65" s="104" t="n">
        <v>1419000000</v>
      </c>
      <c r="D65" s="105" t="n">
        <v>0.1</v>
      </c>
      <c r="E65" s="105" t="n">
        <v>0.08</v>
      </c>
      <c r="F65" s="105" t="n">
        <v>0.07000000000000001</v>
      </c>
      <c r="G65" s="105" t="n">
        <v>0.04</v>
      </c>
      <c r="H65" s="105" t="n">
        <v>0.15</v>
      </c>
      <c r="I65" s="105" t="n">
        <v>0.11</v>
      </c>
      <c r="J65" s="105" t="n">
        <v>0.07000000000000001</v>
      </c>
      <c r="K65" s="105" t="n">
        <v>0.24</v>
      </c>
      <c r="L65" s="105" t="n">
        <v>0.39</v>
      </c>
      <c r="M65" s="105" t="n">
        <v>0.58</v>
      </c>
      <c r="N65" s="104" t="n">
        <v>0.6</v>
      </c>
      <c r="O65" s="104" t="n">
        <v>1.2</v>
      </c>
      <c r="P65" s="104" t="n">
        <v>1.25</v>
      </c>
      <c r="Q65" s="104" t="n">
        <v>0.85</v>
      </c>
      <c r="R65" s="104" t="n">
        <v>0.22</v>
      </c>
      <c r="S65" s="104" t="n">
        <v>0.62</v>
      </c>
      <c r="T65" s="104" t="n">
        <v>0.62</v>
      </c>
      <c r="U65" s="104" t="n">
        <v>0.76</v>
      </c>
      <c r="V65" s="104" t="n">
        <v>0.65</v>
      </c>
      <c r="W65" s="104" t="n">
        <v>1.69</v>
      </c>
      <c r="X65" s="105" t="n">
        <v>0.1</v>
      </c>
      <c r="Y65" s="105" t="n">
        <v>0.03</v>
      </c>
      <c r="Z65" s="105" t="n">
        <v>4.74</v>
      </c>
      <c r="AA65" s="105" t="n">
        <v>-0.03</v>
      </c>
      <c r="AB65" s="105" t="n">
        <v>-0.74</v>
      </c>
      <c r="AC65" s="104" t="n">
        <v>-0.03</v>
      </c>
      <c r="AD65" s="104" t="n">
        <v>-0.03</v>
      </c>
      <c r="AE65" s="104" t="n">
        <v>0.04</v>
      </c>
      <c r="AF65" s="104" t="n">
        <v>0.33</v>
      </c>
      <c r="AG65" s="104" t="n">
        <v>0.06</v>
      </c>
      <c r="AH65" s="104" t="n">
        <v>0.61</v>
      </c>
      <c r="AI65" s="104" t="n">
        <v>0.58</v>
      </c>
      <c r="AJ65" s="104" t="n">
        <v>1.65</v>
      </c>
      <c r="AK65" s="112" t="inlineStr">
        <is>
          <t>Distress</t>
        </is>
      </c>
      <c r="AL65" s="104" t="n">
        <v>0.04</v>
      </c>
      <c r="AM65" s="104" t="n">
        <v>0.33</v>
      </c>
      <c r="AN65" s="104" t="n">
        <v>0.06</v>
      </c>
      <c r="AO65" s="104" t="n">
        <v>0.61</v>
      </c>
      <c r="AP65" s="104" t="n">
        <v>0.58</v>
      </c>
      <c r="AQ65" s="103" t="n">
        <v>1.33</v>
      </c>
      <c r="AR65" s="103" t="inlineStr">
        <is>
          <t>Grey</t>
        </is>
      </c>
      <c r="AS65" s="104" t="n">
        <v>0.04</v>
      </c>
      <c r="AT65" s="104" t="n">
        <v>0.33</v>
      </c>
      <c r="AU65" s="104" t="n">
        <v>0.06</v>
      </c>
      <c r="AV65" s="104" t="n">
        <v>0.61</v>
      </c>
      <c r="AW65" s="103" t="n">
        <v>2.35</v>
      </c>
      <c r="AX65" s="103" t="inlineStr">
        <is>
          <t>Grey</t>
        </is>
      </c>
      <c r="AY65" s="104" t="n">
        <v>0.04</v>
      </c>
      <c r="AZ65" s="104" t="n">
        <v>0.06</v>
      </c>
      <c r="BA65" s="104" t="n">
        <v>0.25</v>
      </c>
      <c r="BB65" s="104" t="n">
        <v>0.58</v>
      </c>
      <c r="BC65" s="103" t="n">
        <v>0.62</v>
      </c>
      <c r="BD65" s="103" t="inlineStr">
        <is>
          <t>Distress</t>
        </is>
      </c>
      <c r="BE65" s="104" t="n">
        <v>0.04</v>
      </c>
      <c r="BF65" s="104" t="n">
        <v>0.62</v>
      </c>
      <c r="BG65" s="104" t="n">
        <v>1.2</v>
      </c>
      <c r="BH65" s="104" t="n">
        <v>-0.99</v>
      </c>
      <c r="BI65" s="103" t="n">
        <v>0.27</v>
      </c>
      <c r="BJ65" s="103" t="inlineStr">
        <is>
          <t>Healthy</t>
        </is>
      </c>
      <c r="BK65" s="103" t="n">
        <v>1</v>
      </c>
      <c r="BL65" s="103" t="n">
        <v>1</v>
      </c>
      <c r="BM65" s="103" t="n">
        <v>0</v>
      </c>
      <c r="BN65" s="103" t="n">
        <v>1</v>
      </c>
      <c r="BO65" s="103" t="n">
        <v>0</v>
      </c>
      <c r="BP65" s="103" t="n">
        <v>0</v>
      </c>
      <c r="BQ65" s="103" t="n">
        <v>1</v>
      </c>
      <c r="BR65" s="103" t="n">
        <v>0</v>
      </c>
      <c r="BS65" s="103" t="n">
        <v>0</v>
      </c>
      <c r="BT65" s="103" t="n">
        <v>4</v>
      </c>
      <c r="BU65" s="103" t="inlineStr">
        <is>
          <t>Mixed</t>
        </is>
      </c>
      <c r="BV65" s="104" t="n">
        <v>1.03</v>
      </c>
      <c r="BW65" s="104" t="n">
        <v>1.6</v>
      </c>
      <c r="BX65" s="104" t="n">
        <v>1.05</v>
      </c>
      <c r="BY65" s="104" t="n">
        <v>0.97</v>
      </c>
      <c r="BZ65" s="104" t="n">
        <v>1.01</v>
      </c>
      <c r="CA65" s="104" t="n">
        <v>1</v>
      </c>
      <c r="CB65" s="104" t="n">
        <v>1.01</v>
      </c>
      <c r="CC65" s="104" t="n">
        <v>-0.03</v>
      </c>
      <c r="CD65" s="103" t="n">
        <v>-2.28</v>
      </c>
      <c r="CE65" s="103" t="inlineStr">
        <is>
          <t>Lower Risk</t>
        </is>
      </c>
      <c r="CF65" s="104" t="n">
        <v>2.65</v>
      </c>
      <c r="CG65" s="104" t="n">
        <v>43.98</v>
      </c>
      <c r="CH65" s="103" t="n">
        <v>0</v>
      </c>
      <c r="CI65" s="103" t="inlineStr">
        <is>
          <t>CLEAR</t>
        </is>
      </c>
    </row>
    <row r="66" ht="17" customHeight="1">
      <c r="A66" s="107" t="inlineStr">
        <is>
          <t>T</t>
        </is>
      </c>
      <c r="B66" s="107" t="inlineStr">
        <is>
          <t>AT&amp;T INC.</t>
        </is>
      </c>
      <c r="C66" s="108" t="n">
        <v>-5048000000</v>
      </c>
      <c r="D66" s="109" t="n">
        <v>0.19</v>
      </c>
      <c r="E66" s="109" t="n">
        <v>0.21</v>
      </c>
      <c r="F66" s="109" t="n">
        <v>0.17</v>
      </c>
      <c r="G66" s="109" t="n">
        <v>0.05</v>
      </c>
      <c r="H66" s="109" t="n">
        <v>0.03</v>
      </c>
      <c r="I66" s="109" t="n">
        <v>0.17</v>
      </c>
      <c r="J66" s="109" t="n">
        <v>0.07000000000000001</v>
      </c>
      <c r="K66" s="109" t="n">
        <v>0.52</v>
      </c>
      <c r="L66" s="109" t="n">
        <v>0.58</v>
      </c>
      <c r="M66" s="109" t="n">
        <v>0.3</v>
      </c>
      <c r="N66" s="108" t="n">
        <v>0.31</v>
      </c>
      <c r="O66" s="108" t="n">
        <v>0.91</v>
      </c>
      <c r="P66" s="108" t="n">
        <v>0.66</v>
      </c>
      <c r="Q66" s="108" t="n">
        <v>0.84</v>
      </c>
      <c r="R66" s="108" t="n">
        <v>0.34</v>
      </c>
      <c r="S66" s="108" t="n">
        <v>0.66</v>
      </c>
      <c r="T66" s="108" t="n">
        <v>0.52</v>
      </c>
      <c r="U66" s="108" t="n">
        <v>1.14</v>
      </c>
      <c r="V66" s="108" t="n">
        <v>0.99</v>
      </c>
      <c r="W66" s="108" t="n">
        <v>1.84</v>
      </c>
      <c r="X66" s="109" t="n">
        <v>0.16</v>
      </c>
      <c r="Y66" s="111" t="inlineStr">
        <is>
          <t>N/A</t>
        </is>
      </c>
      <c r="Z66" s="109" t="n">
        <v>3.6</v>
      </c>
      <c r="AA66" s="109" t="n">
        <v>0.03</v>
      </c>
      <c r="AB66" s="109" t="n">
        <v>1.01</v>
      </c>
      <c r="AC66" s="108" t="n">
        <v>-0.04</v>
      </c>
      <c r="AD66" s="108" t="n">
        <v>-0.04</v>
      </c>
      <c r="AE66" s="108" t="n">
        <v>-0.01</v>
      </c>
      <c r="AF66" s="108" t="n">
        <v>0.04</v>
      </c>
      <c r="AG66" s="108" t="n">
        <v>0.06</v>
      </c>
      <c r="AH66" s="108" t="n">
        <v>0.45</v>
      </c>
      <c r="AI66" s="108" t="n">
        <v>0.3</v>
      </c>
      <c r="AJ66" s="108" t="n">
        <v>0.8</v>
      </c>
      <c r="AK66" s="112" t="inlineStr">
        <is>
          <t>Distress</t>
        </is>
      </c>
      <c r="AL66" s="108" t="n">
        <v>-0.01</v>
      </c>
      <c r="AM66" s="108" t="n">
        <v>0.04</v>
      </c>
      <c r="AN66" s="108" t="n">
        <v>0.06</v>
      </c>
      <c r="AO66" s="108" t="n">
        <v>0.45</v>
      </c>
      <c r="AP66" s="108" t="n">
        <v>0.3</v>
      </c>
      <c r="AQ66" s="107" t="n">
        <v>0.6899999999999999</v>
      </c>
      <c r="AR66" s="107" t="inlineStr">
        <is>
          <t>Distress</t>
        </is>
      </c>
      <c r="AS66" s="108" t="n">
        <v>-0.01</v>
      </c>
      <c r="AT66" s="108" t="n">
        <v>0.04</v>
      </c>
      <c r="AU66" s="108" t="n">
        <v>0.06</v>
      </c>
      <c r="AV66" s="108" t="n">
        <v>0.45</v>
      </c>
      <c r="AW66" s="107" t="n">
        <v>0.91</v>
      </c>
      <c r="AX66" s="107" t="inlineStr">
        <is>
          <t>Distress</t>
        </is>
      </c>
      <c r="AY66" s="108" t="n">
        <v>-0.01</v>
      </c>
      <c r="AZ66" s="108" t="n">
        <v>0.06</v>
      </c>
      <c r="BA66" s="108" t="n">
        <v>0.5</v>
      </c>
      <c r="BB66" s="108" t="n">
        <v>0.3</v>
      </c>
      <c r="BC66" s="107" t="n">
        <v>0.62</v>
      </c>
      <c r="BD66" s="107" t="inlineStr">
        <is>
          <t>Distress</t>
        </is>
      </c>
      <c r="BE66" s="108" t="n">
        <v>0.05</v>
      </c>
      <c r="BF66" s="108" t="n">
        <v>0.66</v>
      </c>
      <c r="BG66" s="108" t="n">
        <v>0.91</v>
      </c>
      <c r="BH66" s="108" t="n">
        <v>-0.8</v>
      </c>
      <c r="BI66" s="107" t="n">
        <v>0.31</v>
      </c>
      <c r="BJ66" s="107" t="inlineStr">
        <is>
          <t>Healthy</t>
        </is>
      </c>
      <c r="BK66" s="107" t="n">
        <v>1</v>
      </c>
      <c r="BL66" s="107" t="n">
        <v>1</v>
      </c>
      <c r="BM66" s="107" t="n">
        <v>1</v>
      </c>
      <c r="BN66" s="107" t="n">
        <v>1</v>
      </c>
      <c r="BO66" s="107" t="n">
        <v>0</v>
      </c>
      <c r="BP66" s="107" t="n">
        <v>1</v>
      </c>
      <c r="BQ66" s="107" t="n">
        <v>1</v>
      </c>
      <c r="BR66" s="107" t="n">
        <v>0</v>
      </c>
      <c r="BS66" s="107" t="n">
        <v>0</v>
      </c>
      <c r="BT66" s="107" t="n">
        <v>6</v>
      </c>
      <c r="BU66" s="107" t="inlineStr">
        <is>
          <t>Mixed</t>
        </is>
      </c>
      <c r="BV66" s="108" t="n">
        <v>0.89</v>
      </c>
      <c r="BW66" s="108" t="n">
        <v>1.12</v>
      </c>
      <c r="BX66" s="108" t="n">
        <v>0.98</v>
      </c>
      <c r="BY66" s="108" t="n">
        <v>1.03</v>
      </c>
      <c r="BZ66" s="108" t="n">
        <v>0.98</v>
      </c>
      <c r="CA66" s="108" t="n">
        <v>0.99</v>
      </c>
      <c r="CB66" s="108" t="n">
        <v>1.27</v>
      </c>
      <c r="CC66" s="108" t="n">
        <v>-0.04</v>
      </c>
      <c r="CD66" s="107" t="n">
        <v>-2.79</v>
      </c>
      <c r="CE66" s="107" t="inlineStr">
        <is>
          <t>Lower Risk</t>
        </is>
      </c>
      <c r="CF66" s="108" t="n">
        <v>2.79</v>
      </c>
      <c r="CG66" s="108" t="n">
        <v>49.27</v>
      </c>
      <c r="CH66" s="107" t="n">
        <v>0</v>
      </c>
      <c r="CI66" s="107" t="inlineStr">
        <is>
          <t>CLEAR</t>
        </is>
      </c>
    </row>
    <row r="67" ht="17" customHeight="1">
      <c r="A67" s="103" t="inlineStr">
        <is>
          <t>ADI</t>
        </is>
      </c>
      <c r="B67" s="103" t="inlineStr">
        <is>
          <t>Analog Devices, Inc.</t>
        </is>
      </c>
      <c r="C67" s="104" t="n">
        <v>3862260000</v>
      </c>
      <c r="D67" s="105" t="n">
        <v>0.47</v>
      </c>
      <c r="E67" s="105" t="n">
        <v>0.44</v>
      </c>
      <c r="F67" s="105" t="n">
        <v>0.37</v>
      </c>
      <c r="G67" s="105" t="n">
        <v>0.05</v>
      </c>
      <c r="H67" s="105" t="n">
        <v>0.03</v>
      </c>
      <c r="I67" s="105" t="n">
        <v>0.07000000000000001</v>
      </c>
      <c r="J67" s="105" t="n">
        <v>0.07000000000000001</v>
      </c>
      <c r="K67" s="105" t="n">
        <v>1.09</v>
      </c>
      <c r="L67" s="105" t="n">
        <v>3.37</v>
      </c>
      <c r="M67" s="105" t="n">
        <v>0.13</v>
      </c>
      <c r="N67" s="104" t="n">
        <v>0.03</v>
      </c>
      <c r="O67" s="104" t="n">
        <v>2.19</v>
      </c>
      <c r="P67" s="104" t="n">
        <v>1.84</v>
      </c>
      <c r="Q67" s="104" t="n">
        <v>1.68</v>
      </c>
      <c r="R67" s="104" t="n">
        <v>0.77</v>
      </c>
      <c r="S67" s="104" t="n">
        <v>1</v>
      </c>
      <c r="T67" s="104" t="n">
        <v>1</v>
      </c>
      <c r="U67" s="104" t="n">
        <v>0.25</v>
      </c>
      <c r="V67" s="104" t="n">
        <v>0.18</v>
      </c>
      <c r="W67" s="104" t="n">
        <v>2.12</v>
      </c>
      <c r="X67" s="105" t="n">
        <v>0.6899999999999999</v>
      </c>
      <c r="Y67" s="105" t="n">
        <v>0.28</v>
      </c>
      <c r="Z67" s="105" t="n">
        <v>11.08</v>
      </c>
      <c r="AA67" s="105" t="n">
        <v>2.88</v>
      </c>
      <c r="AB67" s="105" t="n">
        <v>0.39</v>
      </c>
      <c r="AC67" s="104" t="n">
        <v>-0.05</v>
      </c>
      <c r="AD67" s="104" t="n">
        <v>-0.05</v>
      </c>
      <c r="AE67" s="104" t="n">
        <v>0.08</v>
      </c>
      <c r="AF67" s="104" t="n">
        <v>0.22</v>
      </c>
      <c r="AG67" s="104" t="n">
        <v>0.06</v>
      </c>
      <c r="AH67" s="104" t="n">
        <v>0.7</v>
      </c>
      <c r="AI67" s="104" t="n">
        <v>0.13</v>
      </c>
      <c r="AJ67" s="104" t="n">
        <v>1.16</v>
      </c>
      <c r="AK67" s="112" t="inlineStr">
        <is>
          <t>Distress</t>
        </is>
      </c>
      <c r="AL67" s="104" t="n">
        <v>0.08</v>
      </c>
      <c r="AM67" s="104" t="n">
        <v>0.22</v>
      </c>
      <c r="AN67" s="104" t="n">
        <v>0.06</v>
      </c>
      <c r="AO67" s="104" t="n">
        <v>0.7</v>
      </c>
      <c r="AP67" s="104" t="n">
        <v>0.13</v>
      </c>
      <c r="AQ67" s="103" t="n">
        <v>0.86</v>
      </c>
      <c r="AR67" s="103" t="inlineStr">
        <is>
          <t>Distress</t>
        </is>
      </c>
      <c r="AS67" s="104" t="n">
        <v>0.08</v>
      </c>
      <c r="AT67" s="104" t="n">
        <v>0.22</v>
      </c>
      <c r="AU67" s="104" t="n">
        <v>0.06</v>
      </c>
      <c r="AV67" s="104" t="n">
        <v>0.7</v>
      </c>
      <c r="AW67" s="103" t="n">
        <v>2.39</v>
      </c>
      <c r="AX67" s="103" t="inlineStr">
        <is>
          <t>Grey</t>
        </is>
      </c>
      <c r="AY67" s="104" t="n">
        <v>0.08</v>
      </c>
      <c r="AZ67" s="104" t="n">
        <v>0.06</v>
      </c>
      <c r="BA67" s="104" t="n">
        <v>0.84</v>
      </c>
      <c r="BB67" s="104" t="n">
        <v>0.13</v>
      </c>
      <c r="BC67" s="103" t="n">
        <v>0.87</v>
      </c>
      <c r="BD67" s="103" t="inlineStr">
        <is>
          <t>Healthy</t>
        </is>
      </c>
      <c r="BE67" s="104" t="n">
        <v>0.05</v>
      </c>
      <c r="BF67" s="104" t="n">
        <v>1</v>
      </c>
      <c r="BG67" s="104" t="n">
        <v>2.19</v>
      </c>
      <c r="BH67" s="104" t="n">
        <v>1.14</v>
      </c>
      <c r="BI67" s="103" t="n">
        <v>0.76</v>
      </c>
      <c r="BJ67" s="103" t="inlineStr">
        <is>
          <t>Distress</t>
        </is>
      </c>
      <c r="BK67" s="103" t="n">
        <v>1</v>
      </c>
      <c r="BL67" s="103" t="n">
        <v>1</v>
      </c>
      <c r="BM67" s="103" t="n">
        <v>1</v>
      </c>
      <c r="BN67" s="103" t="n">
        <v>1</v>
      </c>
      <c r="BO67" s="103" t="n">
        <v>0</v>
      </c>
      <c r="BP67" s="103" t="n">
        <v>1</v>
      </c>
      <c r="BQ67" s="103" t="n">
        <v>1</v>
      </c>
      <c r="BR67" s="103" t="n">
        <v>0</v>
      </c>
      <c r="BS67" s="103" t="n">
        <v>1</v>
      </c>
      <c r="BT67" s="103" t="n">
        <v>7</v>
      </c>
      <c r="BU67" s="103" t="inlineStr">
        <is>
          <t>Strong</t>
        </is>
      </c>
      <c r="BV67" s="104" t="n">
        <v>0.28</v>
      </c>
      <c r="BW67" s="104" t="n">
        <v>3.09</v>
      </c>
      <c r="BX67" s="104" t="n">
        <v>0.96</v>
      </c>
      <c r="BY67" s="104" t="n">
        <v>3.88</v>
      </c>
      <c r="BZ67" s="104" t="n">
        <v>0.88</v>
      </c>
      <c r="CA67" s="104" t="n">
        <v>0.3</v>
      </c>
      <c r="CB67" s="104" t="n">
        <v>1</v>
      </c>
      <c r="CC67" s="104" t="n">
        <v>-0.05</v>
      </c>
      <c r="CD67" s="103" t="n">
        <v>0.37</v>
      </c>
      <c r="CE67" s="103" t="inlineStr">
        <is>
          <t>Higher Risk</t>
        </is>
      </c>
      <c r="CF67" s="104" t="n">
        <v>1.82</v>
      </c>
      <c r="CG67" s="104" t="n">
        <v>48.73</v>
      </c>
      <c r="CH67" s="103" t="n">
        <v>20</v>
      </c>
      <c r="CI67" s="103" t="inlineStr">
        <is>
          <t>CLEAR</t>
        </is>
      </c>
    </row>
    <row r="68" ht="17" customHeight="1">
      <c r="A68" s="107" t="inlineStr">
        <is>
          <t>CPB</t>
        </is>
      </c>
      <c r="B68" s="107" t="inlineStr">
        <is>
          <t>THE CAMPBELL'S COMPANY</t>
        </is>
      </c>
      <c r="C68" s="108" t="n">
        <v>-674000000</v>
      </c>
      <c r="D68" s="109" t="n">
        <v>0.11</v>
      </c>
      <c r="E68" s="109" t="n">
        <v>0.08</v>
      </c>
      <c r="F68" s="109" t="n">
        <v>0.06</v>
      </c>
      <c r="G68" s="109" t="n">
        <v>0.04</v>
      </c>
      <c r="H68" s="109" t="n">
        <v>0.04</v>
      </c>
      <c r="I68" s="109" t="n">
        <v>0.15</v>
      </c>
      <c r="J68" s="109" t="n">
        <v>0.09</v>
      </c>
      <c r="K68" s="109" t="n">
        <v>0.07000000000000001</v>
      </c>
      <c r="L68" s="109" t="n">
        <v>0.08</v>
      </c>
      <c r="M68" s="109" t="n">
        <v>0.6899999999999999</v>
      </c>
      <c r="N68" s="108" t="n">
        <v>0.63</v>
      </c>
      <c r="O68" s="108" t="n">
        <v>0.77</v>
      </c>
      <c r="P68" s="108" t="n">
        <v>0.61</v>
      </c>
      <c r="Q68" s="108" t="n">
        <v>0.28</v>
      </c>
      <c r="R68" s="108" t="n">
        <v>0.05</v>
      </c>
      <c r="S68" s="108" t="n">
        <v>0.74</v>
      </c>
      <c r="T68" s="108" t="n">
        <v>0.75</v>
      </c>
      <c r="U68" s="108" t="n">
        <v>2.2</v>
      </c>
      <c r="V68" s="108" t="n">
        <v>2.17</v>
      </c>
      <c r="W68" s="108" t="n">
        <v>1.88</v>
      </c>
      <c r="X68" s="109" t="n">
        <v>0.07000000000000001</v>
      </c>
      <c r="Y68" s="109" t="n">
        <v>0.01</v>
      </c>
      <c r="Z68" s="109" t="n">
        <v>3.26</v>
      </c>
      <c r="AA68" s="109" t="n">
        <v>0.06</v>
      </c>
      <c r="AB68" s="109" t="n">
        <v>0.06</v>
      </c>
      <c r="AC68" s="108" t="n">
        <v>-0.04</v>
      </c>
      <c r="AD68" s="108" t="n">
        <v>-0.04</v>
      </c>
      <c r="AE68" s="108" t="n">
        <v>-0.05</v>
      </c>
      <c r="AF68" s="108" t="n">
        <v>0.32</v>
      </c>
      <c r="AG68" s="108" t="n">
        <v>0.08</v>
      </c>
      <c r="AH68" s="108" t="n">
        <v>0.35</v>
      </c>
      <c r="AI68" s="108" t="n">
        <v>0.6899999999999999</v>
      </c>
      <c r="AJ68" s="108" t="n">
        <v>1.54</v>
      </c>
      <c r="AK68" s="112" t="inlineStr">
        <is>
          <t>Distress</t>
        </is>
      </c>
      <c r="AL68" s="108" t="n">
        <v>-0.05</v>
      </c>
      <c r="AM68" s="108" t="n">
        <v>0.32</v>
      </c>
      <c r="AN68" s="108" t="n">
        <v>0.08</v>
      </c>
      <c r="AO68" s="108" t="n">
        <v>0.35</v>
      </c>
      <c r="AP68" s="108" t="n">
        <v>0.6899999999999999</v>
      </c>
      <c r="AQ68" s="107" t="n">
        <v>1.3</v>
      </c>
      <c r="AR68" s="107" t="inlineStr">
        <is>
          <t>Grey</t>
        </is>
      </c>
      <c r="AS68" s="108" t="n">
        <v>-0.05</v>
      </c>
      <c r="AT68" s="108" t="n">
        <v>0.32</v>
      </c>
      <c r="AU68" s="108" t="n">
        <v>0.08</v>
      </c>
      <c r="AV68" s="108" t="n">
        <v>0.35</v>
      </c>
      <c r="AW68" s="107" t="n">
        <v>1.61</v>
      </c>
      <c r="AX68" s="107" t="inlineStr">
        <is>
          <t>Grey</t>
        </is>
      </c>
      <c r="AY68" s="108" t="n">
        <v>-0.05</v>
      </c>
      <c r="AZ68" s="108" t="n">
        <v>0.08</v>
      </c>
      <c r="BA68" s="108" t="n">
        <v>0.27</v>
      </c>
      <c r="BB68" s="108" t="n">
        <v>0.6899999999999999</v>
      </c>
      <c r="BC68" s="107" t="n">
        <v>0.64</v>
      </c>
      <c r="BD68" s="107" t="inlineStr">
        <is>
          <t>Distress</t>
        </is>
      </c>
      <c r="BE68" s="108" t="n">
        <v>0.04</v>
      </c>
      <c r="BF68" s="108" t="n">
        <v>0.74</v>
      </c>
      <c r="BG68" s="108" t="n">
        <v>0.77</v>
      </c>
      <c r="BH68" s="108" t="n">
        <v>-0.32</v>
      </c>
      <c r="BI68" s="107" t="n">
        <v>0.42</v>
      </c>
      <c r="BJ68" s="107" t="inlineStr">
        <is>
          <t>Healthy</t>
        </is>
      </c>
      <c r="BK68" s="107" t="n">
        <v>1</v>
      </c>
      <c r="BL68" s="107" t="n">
        <v>1</v>
      </c>
      <c r="BM68" s="107" t="n">
        <v>1</v>
      </c>
      <c r="BN68" s="107" t="n">
        <v>1</v>
      </c>
      <c r="BO68" s="107" t="n">
        <v>0</v>
      </c>
      <c r="BP68" s="107" t="n">
        <v>1</v>
      </c>
      <c r="BQ68" s="107" t="n">
        <v>1</v>
      </c>
      <c r="BR68" s="107" t="n">
        <v>0</v>
      </c>
      <c r="BS68" s="107" t="n">
        <v>1</v>
      </c>
      <c r="BT68" s="107" t="n">
        <v>7</v>
      </c>
      <c r="BU68" s="107" t="inlineStr">
        <is>
          <t>Strong</t>
        </is>
      </c>
      <c r="BV68" s="108" t="n">
        <v>0.87</v>
      </c>
      <c r="BW68" s="108" t="n">
        <v>1.1</v>
      </c>
      <c r="BX68" s="108" t="n">
        <v>0.98</v>
      </c>
      <c r="BY68" s="108" t="n">
        <v>1.06</v>
      </c>
      <c r="BZ68" s="108" t="n">
        <v>0.98</v>
      </c>
      <c r="CA68" s="108" t="n">
        <v>0.86</v>
      </c>
      <c r="CB68" s="108" t="n">
        <v>0.98</v>
      </c>
      <c r="CC68" s="108" t="n">
        <v>-0.04</v>
      </c>
      <c r="CD68" s="107" t="n">
        <v>-2.64</v>
      </c>
      <c r="CE68" s="107" t="inlineStr">
        <is>
          <t>Lower Risk</t>
        </is>
      </c>
      <c r="CF68" s="108" t="n">
        <v>5.43</v>
      </c>
      <c r="CG68" s="108" t="n">
        <v>55.29</v>
      </c>
      <c r="CH68" s="107" t="n">
        <v>0</v>
      </c>
      <c r="CI68" s="107" t="inlineStr">
        <is>
          <t>CLEAR</t>
        </is>
      </c>
    </row>
    <row r="69" ht="17" customHeight="1">
      <c r="A69" s="103" t="inlineStr">
        <is>
          <t>FIX</t>
        </is>
      </c>
      <c r="B69" s="103" t="inlineStr">
        <is>
          <t>COMFORT SYSTEMS USA, INC.</t>
        </is>
      </c>
      <c r="C69" s="104" t="n">
        <v>716703000</v>
      </c>
      <c r="D69" s="105" t="n">
        <v>0.14</v>
      </c>
      <c r="E69" s="105" t="n">
        <v>0.14</v>
      </c>
      <c r="F69" s="105" t="n">
        <v>0.11</v>
      </c>
      <c r="G69" s="105" t="n">
        <v>0.16</v>
      </c>
      <c r="H69" s="105" t="n">
        <v>0.11</v>
      </c>
      <c r="I69" s="105" t="n">
        <v>0.42</v>
      </c>
      <c r="J69" s="105" t="n">
        <v>0.43</v>
      </c>
      <c r="K69" s="105" t="n">
        <v>0.24</v>
      </c>
      <c r="L69" s="105" t="n">
        <v>0.21</v>
      </c>
      <c r="M69" s="105" t="n">
        <v>1.41</v>
      </c>
      <c r="N69" s="104" t="n">
        <v>1.49</v>
      </c>
      <c r="O69" s="104" t="n">
        <v>1.21</v>
      </c>
      <c r="P69" s="104" t="n">
        <v>1.08</v>
      </c>
      <c r="Q69" s="104" t="n">
        <v>1.19</v>
      </c>
      <c r="R69" s="104" t="n">
        <v>0.29</v>
      </c>
      <c r="S69" s="104" t="n">
        <v>0.62</v>
      </c>
      <c r="T69" s="104" t="n">
        <v>0.64</v>
      </c>
      <c r="U69" s="104" t="n">
        <v>0.06</v>
      </c>
      <c r="V69" s="104" t="n">
        <v>-0.34</v>
      </c>
      <c r="W69" s="104" t="n">
        <v>1.16</v>
      </c>
      <c r="X69" s="105" t="n">
        <v>0.11</v>
      </c>
      <c r="Y69" s="105" t="n">
        <v>0</v>
      </c>
      <c r="Z69" s="105" t="n">
        <v>145.92</v>
      </c>
      <c r="AA69" s="105" t="n">
        <v>0.3</v>
      </c>
      <c r="AB69" s="105" t="n">
        <v>0.96</v>
      </c>
      <c r="AC69" s="104" t="n">
        <v>-0.03</v>
      </c>
      <c r="AD69" s="104" t="n">
        <v>-0.03</v>
      </c>
      <c r="AE69" s="104" t="n">
        <v>0.11</v>
      </c>
      <c r="AF69" s="104" t="n">
        <v>0.4</v>
      </c>
      <c r="AG69" s="104" t="n">
        <v>0.2</v>
      </c>
      <c r="AH69" s="104" t="n">
        <v>0.61</v>
      </c>
      <c r="AI69" s="104" t="n">
        <v>1.41</v>
      </c>
      <c r="AJ69" s="104" t="n">
        <v>3.15</v>
      </c>
      <c r="AK69" s="110" t="inlineStr">
        <is>
          <t>Safe</t>
        </is>
      </c>
      <c r="AL69" s="104" t="n">
        <v>0.11</v>
      </c>
      <c r="AM69" s="104" t="n">
        <v>0.4</v>
      </c>
      <c r="AN69" s="104" t="n">
        <v>0.2</v>
      </c>
      <c r="AO69" s="104" t="n">
        <v>0.61</v>
      </c>
      <c r="AP69" s="104" t="n">
        <v>1.41</v>
      </c>
      <c r="AQ69" s="103" t="n">
        <v>2.72</v>
      </c>
      <c r="AR69" s="103" t="inlineStr">
        <is>
          <t>Grey</t>
        </is>
      </c>
      <c r="AS69" s="104" t="n">
        <v>0.11</v>
      </c>
      <c r="AT69" s="104" t="n">
        <v>0.4</v>
      </c>
      <c r="AU69" s="104" t="n">
        <v>0.2</v>
      </c>
      <c r="AV69" s="104" t="n">
        <v>0.61</v>
      </c>
      <c r="AW69" s="103" t="n">
        <v>4.05</v>
      </c>
      <c r="AX69" s="103" t="inlineStr">
        <is>
          <t>Safe</t>
        </is>
      </c>
      <c r="AY69" s="104" t="n">
        <v>0.11</v>
      </c>
      <c r="AZ69" s="104" t="n">
        <v>0.2</v>
      </c>
      <c r="BA69" s="104" t="n">
        <v>0.38</v>
      </c>
      <c r="BB69" s="104" t="n">
        <v>1.41</v>
      </c>
      <c r="BC69" s="103" t="n">
        <v>1.56</v>
      </c>
      <c r="BD69" s="103" t="inlineStr">
        <is>
          <t>Healthy</t>
        </is>
      </c>
      <c r="BE69" s="104" t="n">
        <v>0.16</v>
      </c>
      <c r="BF69" s="104" t="n">
        <v>0.62</v>
      </c>
      <c r="BG69" s="104" t="n">
        <v>1.21</v>
      </c>
      <c r="BH69" s="104" t="n">
        <v>-1.53</v>
      </c>
      <c r="BI69" s="103" t="n">
        <v>0.18</v>
      </c>
      <c r="BJ69" s="103" t="inlineStr">
        <is>
          <t>Healthy</t>
        </is>
      </c>
      <c r="BK69" s="103" t="n">
        <v>1</v>
      </c>
      <c r="BL69" s="103" t="n">
        <v>1</v>
      </c>
      <c r="BM69" s="103" t="n">
        <v>1</v>
      </c>
      <c r="BN69" s="103" t="n">
        <v>1</v>
      </c>
      <c r="BO69" s="103" t="n">
        <v>0</v>
      </c>
      <c r="BP69" s="103" t="n">
        <v>1</v>
      </c>
      <c r="BQ69" s="103" t="n">
        <v>1</v>
      </c>
      <c r="BR69" s="103" t="n">
        <v>1</v>
      </c>
      <c r="BS69" s="103" t="n">
        <v>0</v>
      </c>
      <c r="BT69" s="103" t="n">
        <v>7</v>
      </c>
      <c r="BU69" s="103" t="inlineStr">
        <is>
          <t>Strong</t>
        </is>
      </c>
      <c r="BV69" s="104" t="n">
        <v>0.93</v>
      </c>
      <c r="BW69" s="104" t="n">
        <v>0.87</v>
      </c>
      <c r="BX69" s="104" t="n">
        <v>0.86</v>
      </c>
      <c r="BY69" s="104" t="n">
        <v>1.3</v>
      </c>
      <c r="BZ69" s="104" t="n">
        <v>1.07</v>
      </c>
      <c r="CA69" s="104" t="n">
        <v>0.93</v>
      </c>
      <c r="CB69" s="104" t="n">
        <v>0.97</v>
      </c>
      <c r="CC69" s="104" t="n">
        <v>-0.03</v>
      </c>
      <c r="CD69" s="103" t="n">
        <v>-2.5</v>
      </c>
      <c r="CE69" s="103" t="inlineStr">
        <is>
          <t>Lower Risk</t>
        </is>
      </c>
      <c r="CF69" s="104" t="n">
        <v>-0.61</v>
      </c>
      <c r="CG69" s="104" t="n">
        <v>60.53</v>
      </c>
      <c r="CH69" s="103" t="n">
        <v>0</v>
      </c>
      <c r="CI69" s="103" t="inlineStr">
        <is>
          <t>CLEAR</t>
        </is>
      </c>
    </row>
    <row r="70" ht="17" customHeight="1">
      <c r="A70" s="107" t="inlineStr">
        <is>
          <t>MSFT</t>
        </is>
      </c>
      <c r="B70" s="107" t="inlineStr">
        <is>
          <t>MICROSOFT CORPORATION</t>
        </is>
      </c>
      <c r="C70" s="108" t="n">
        <v>49913000000</v>
      </c>
      <c r="D70" s="109" t="n">
        <v>2.06</v>
      </c>
      <c r="E70" s="109" t="n">
        <v>1.98</v>
      </c>
      <c r="F70" s="109" t="n">
        <v>1.63</v>
      </c>
      <c r="G70" s="109" t="n">
        <v>0.16</v>
      </c>
      <c r="H70" s="109" t="n">
        <v>0.17</v>
      </c>
      <c r="I70" s="109" t="n">
        <v>0.3</v>
      </c>
      <c r="J70" s="109" t="n">
        <v>0.27</v>
      </c>
      <c r="K70" s="109" t="n">
        <v>3.1</v>
      </c>
      <c r="L70" s="109" t="n">
        <v>10.66</v>
      </c>
      <c r="M70" s="109" t="n">
        <v>0.1</v>
      </c>
      <c r="N70" s="108" t="n">
        <v>0.03</v>
      </c>
      <c r="O70" s="108" t="n">
        <v>1.35</v>
      </c>
      <c r="P70" s="108" t="n">
        <v>1.27</v>
      </c>
      <c r="Q70" s="108" t="n">
        <v>1.35</v>
      </c>
      <c r="R70" s="108" t="n">
        <v>0.21</v>
      </c>
      <c r="S70" s="108" t="n">
        <v>0.45</v>
      </c>
      <c r="T70" s="108" t="n">
        <v>0.48</v>
      </c>
      <c r="U70" s="108" t="n">
        <v>0.13</v>
      </c>
      <c r="V70" s="108" t="n">
        <v>0.04</v>
      </c>
      <c r="W70" s="108" t="n">
        <v>1.34</v>
      </c>
      <c r="X70" s="109" t="n">
        <v>1.15</v>
      </c>
      <c r="Y70" s="109" t="n">
        <v>0.52</v>
      </c>
      <c r="Z70" s="109" t="n">
        <v>43.79</v>
      </c>
      <c r="AA70" s="109" t="n">
        <v>2.9</v>
      </c>
      <c r="AB70" s="109" t="n">
        <v>0.16</v>
      </c>
      <c r="AC70" s="108" t="n">
        <v>-0.06</v>
      </c>
      <c r="AD70" s="108" t="n">
        <v>-0.06</v>
      </c>
      <c r="AE70" s="108" t="n">
        <v>0.08</v>
      </c>
      <c r="AF70" s="108" t="n">
        <v>0.38</v>
      </c>
      <c r="AG70" s="108" t="n">
        <v>0.21</v>
      </c>
      <c r="AH70" s="108" t="n">
        <v>1.25</v>
      </c>
      <c r="AI70" s="108" t="n">
        <v>0.1</v>
      </c>
      <c r="AJ70" s="108" t="n">
        <v>2.17</v>
      </c>
      <c r="AK70" s="106" t="inlineStr">
        <is>
          <t>Grey</t>
        </is>
      </c>
      <c r="AL70" s="108" t="n">
        <v>0.08</v>
      </c>
      <c r="AM70" s="108" t="n">
        <v>0.38</v>
      </c>
      <c r="AN70" s="108" t="n">
        <v>0.21</v>
      </c>
      <c r="AO70" s="108" t="n">
        <v>1.25</v>
      </c>
      <c r="AP70" s="108" t="n">
        <v>0.1</v>
      </c>
      <c r="AQ70" s="107" t="n">
        <v>1.65</v>
      </c>
      <c r="AR70" s="107" t="inlineStr">
        <is>
          <t>Grey</t>
        </is>
      </c>
      <c r="AS70" s="108" t="n">
        <v>0.08</v>
      </c>
      <c r="AT70" s="108" t="n">
        <v>0.38</v>
      </c>
      <c r="AU70" s="108" t="n">
        <v>0.21</v>
      </c>
      <c r="AV70" s="108" t="n">
        <v>1.25</v>
      </c>
      <c r="AW70" s="107" t="n">
        <v>4.49</v>
      </c>
      <c r="AX70" s="107" t="inlineStr">
        <is>
          <t>Safe</t>
        </is>
      </c>
      <c r="AY70" s="108" t="n">
        <v>0.08</v>
      </c>
      <c r="AZ70" s="108" t="n">
        <v>0.21</v>
      </c>
      <c r="BA70" s="108" t="n">
        <v>0.88</v>
      </c>
      <c r="BB70" s="108" t="n">
        <v>0.1</v>
      </c>
      <c r="BC70" s="107" t="n">
        <v>1.34</v>
      </c>
      <c r="BD70" s="107" t="inlineStr">
        <is>
          <t>Healthy</t>
        </is>
      </c>
      <c r="BE70" s="108" t="n">
        <v>0.16</v>
      </c>
      <c r="BF70" s="108" t="n">
        <v>0.45</v>
      </c>
      <c r="BG70" s="108" t="n">
        <v>1.35</v>
      </c>
      <c r="BH70" s="108" t="n">
        <v>-2.55</v>
      </c>
      <c r="BI70" s="107" t="n">
        <v>0.07000000000000001</v>
      </c>
      <c r="BJ70" s="107" t="inlineStr">
        <is>
          <t>Healthy</t>
        </is>
      </c>
      <c r="BK70" s="107" t="n">
        <v>1</v>
      </c>
      <c r="BL70" s="107" t="n">
        <v>1</v>
      </c>
      <c r="BM70" s="107" t="n">
        <v>0</v>
      </c>
      <c r="BN70" s="107" t="n">
        <v>1</v>
      </c>
      <c r="BO70" s="107" t="n">
        <v>1</v>
      </c>
      <c r="BP70" s="107" t="n">
        <v>1</v>
      </c>
      <c r="BQ70" s="107" t="n">
        <v>1</v>
      </c>
      <c r="BR70" s="107" t="n">
        <v>0</v>
      </c>
      <c r="BS70" s="107" t="n">
        <v>1</v>
      </c>
      <c r="BT70" s="107" t="n">
        <v>7</v>
      </c>
      <c r="BU70" s="107" t="inlineStr">
        <is>
          <t>Strong</t>
        </is>
      </c>
      <c r="BV70" s="108" t="n">
        <v>0.32</v>
      </c>
      <c r="BW70" s="108" t="n">
        <v>3.44</v>
      </c>
      <c r="BX70" s="108" t="n">
        <v>0.85</v>
      </c>
      <c r="BY70" s="108" t="n">
        <v>3.9</v>
      </c>
      <c r="BZ70" s="108" t="n">
        <v>1.04</v>
      </c>
      <c r="CA70" s="108" t="n">
        <v>0.24</v>
      </c>
      <c r="CB70" s="108" t="n">
        <v>0.9399999999999999</v>
      </c>
      <c r="CC70" s="108" t="n">
        <v>-0.06</v>
      </c>
      <c r="CD70" s="107" t="n">
        <v>0.6</v>
      </c>
      <c r="CE70" s="107" t="inlineStr">
        <is>
          <t>Higher Risk</t>
        </is>
      </c>
      <c r="CF70" s="108" t="n">
        <v>0.09</v>
      </c>
      <c r="CG70" s="108" t="n">
        <v>52.84</v>
      </c>
      <c r="CH70" s="107" t="n">
        <v>20</v>
      </c>
      <c r="CI70" s="107" t="inlineStr">
        <is>
          <t>CLEAR</t>
        </is>
      </c>
    </row>
    <row r="71" ht="17" customHeight="1">
      <c r="A71" s="103" t="inlineStr">
        <is>
          <t>FIVN</t>
        </is>
      </c>
      <c r="B71" s="103" t="inlineStr">
        <is>
          <t>FIVE9, INC.</t>
        </is>
      </c>
      <c r="C71" s="104" t="n">
        <v>746714000</v>
      </c>
      <c r="D71" s="105" t="n">
        <v>0.03</v>
      </c>
      <c r="E71" s="105" t="n">
        <v>0.04</v>
      </c>
      <c r="F71" s="105" t="n">
        <v>0.03</v>
      </c>
      <c r="G71" s="105" t="n">
        <v>0.02</v>
      </c>
      <c r="H71" s="105" t="n">
        <v>0.01</v>
      </c>
      <c r="I71" s="105" t="n">
        <v>0.05</v>
      </c>
      <c r="J71" s="105" t="n">
        <v>0.02</v>
      </c>
      <c r="K71" s="105" t="n">
        <v>0.55</v>
      </c>
      <c r="L71" s="105" t="n">
        <v>0.55</v>
      </c>
      <c r="M71" s="105" t="n">
        <v>0.64</v>
      </c>
      <c r="N71" s="104" t="n">
        <v>0.15</v>
      </c>
      <c r="O71" s="104" t="n">
        <v>4.51</v>
      </c>
      <c r="P71" s="104" t="n">
        <v>1.95</v>
      </c>
      <c r="Q71" s="104" t="n">
        <v>4.51</v>
      </c>
      <c r="R71" s="104" t="n">
        <v>1.09</v>
      </c>
      <c r="S71" s="104" t="n">
        <v>0.5600000000000001</v>
      </c>
      <c r="T71" s="104" t="n">
        <v>0.7</v>
      </c>
      <c r="U71" s="104" t="n">
        <v>0.25</v>
      </c>
      <c r="V71" s="104" t="n">
        <v>-0.04</v>
      </c>
      <c r="W71" s="104" t="n">
        <v>5.74</v>
      </c>
      <c r="X71" s="105" t="n">
        <v>0.18</v>
      </c>
      <c r="Y71" s="105" t="n">
        <v>0.13</v>
      </c>
      <c r="Z71" s="105" t="n">
        <v>3.77</v>
      </c>
      <c r="AA71" s="105" t="n">
        <v>2.83</v>
      </c>
      <c r="AB71" s="105" t="n">
        <v>1</v>
      </c>
      <c r="AC71" s="104" t="n">
        <v>-0.1</v>
      </c>
      <c r="AD71" s="104" t="n">
        <v>-0.1</v>
      </c>
      <c r="AE71" s="104" t="n">
        <v>0.42</v>
      </c>
      <c r="AF71" s="104" t="n">
        <v>-0.21</v>
      </c>
      <c r="AG71" s="104" t="n">
        <v>0.02</v>
      </c>
      <c r="AH71" s="104" t="n">
        <v>0.78</v>
      </c>
      <c r="AI71" s="104" t="n">
        <v>0.64</v>
      </c>
      <c r="AJ71" s="104" t="n">
        <v>1.37</v>
      </c>
      <c r="AK71" s="112" t="inlineStr">
        <is>
          <t>Distress</t>
        </is>
      </c>
      <c r="AL71" s="104" t="n">
        <v>0.42</v>
      </c>
      <c r="AM71" s="104" t="n">
        <v>-0.21</v>
      </c>
      <c r="AN71" s="104" t="n">
        <v>0.02</v>
      </c>
      <c r="AO71" s="104" t="n">
        <v>0.78</v>
      </c>
      <c r="AP71" s="104" t="n">
        <v>0.64</v>
      </c>
      <c r="AQ71" s="103" t="n">
        <v>1.14</v>
      </c>
      <c r="AR71" s="103" t="inlineStr">
        <is>
          <t>Distress</t>
        </is>
      </c>
      <c r="AS71" s="104" t="n">
        <v>0.42</v>
      </c>
      <c r="AT71" s="104" t="n">
        <v>-0.21</v>
      </c>
      <c r="AU71" s="104" t="n">
        <v>0.02</v>
      </c>
      <c r="AV71" s="104" t="n">
        <v>0.78</v>
      </c>
      <c r="AW71" s="103" t="n">
        <v>2.98</v>
      </c>
      <c r="AX71" s="103" t="inlineStr">
        <is>
          <t>Safe</t>
        </is>
      </c>
      <c r="AY71" s="104" t="n">
        <v>0.42</v>
      </c>
      <c r="AZ71" s="104" t="n">
        <v>0.02</v>
      </c>
      <c r="BA71" s="104" t="n">
        <v>0.21</v>
      </c>
      <c r="BB71" s="104" t="n">
        <v>0.64</v>
      </c>
      <c r="BC71" s="103" t="n">
        <v>0.88</v>
      </c>
      <c r="BD71" s="103" t="inlineStr">
        <is>
          <t>Healthy</t>
        </is>
      </c>
      <c r="BE71" s="104" t="n">
        <v>0.02</v>
      </c>
      <c r="BF71" s="104" t="n">
        <v>0.5600000000000001</v>
      </c>
      <c r="BG71" s="104" t="n">
        <v>4.51</v>
      </c>
      <c r="BH71" s="104" t="n">
        <v>-1.23</v>
      </c>
      <c r="BI71" s="103" t="n">
        <v>0.23</v>
      </c>
      <c r="BJ71" s="103" t="inlineStr">
        <is>
          <t>Healthy</t>
        </is>
      </c>
      <c r="BK71" s="103" t="n">
        <v>1</v>
      </c>
      <c r="BL71" s="103" t="n">
        <v>1</v>
      </c>
      <c r="BM71" s="103" t="n">
        <v>1</v>
      </c>
      <c r="BN71" s="103" t="n">
        <v>1</v>
      </c>
      <c r="BO71" s="103" t="n">
        <v>0</v>
      </c>
      <c r="BP71" s="103" t="n">
        <v>1</v>
      </c>
      <c r="BQ71" s="103" t="n">
        <v>0</v>
      </c>
      <c r="BR71" s="103" t="n">
        <v>0</v>
      </c>
      <c r="BS71" s="103" t="n">
        <v>1</v>
      </c>
      <c r="BT71" s="103" t="n">
        <v>6</v>
      </c>
      <c r="BU71" s="103" t="inlineStr">
        <is>
          <t>Mixed</t>
        </is>
      </c>
      <c r="BV71" s="104" t="n">
        <v>0.3</v>
      </c>
      <c r="BW71" s="104" t="n">
        <v>1.01</v>
      </c>
      <c r="BX71" s="104" t="n">
        <v>1.16</v>
      </c>
      <c r="BY71" s="104" t="n">
        <v>3.83</v>
      </c>
      <c r="BZ71" s="104" t="n">
        <v>0.38</v>
      </c>
      <c r="CA71" s="104" t="n">
        <v>1.08</v>
      </c>
      <c r="CB71" s="104" t="n">
        <v>0.8100000000000001</v>
      </c>
      <c r="CC71" s="104" t="n">
        <v>-0.1</v>
      </c>
      <c r="CD71" s="103" t="n">
        <v>-1.05</v>
      </c>
      <c r="CE71" s="103" t="inlineStr">
        <is>
          <t>Higher Risk</t>
        </is>
      </c>
      <c r="CF71" s="104" t="n">
        <v>-0.39</v>
      </c>
      <c r="CG71" s="104" t="n">
        <v>46.46</v>
      </c>
      <c r="CH71" s="106" t="n">
        <v>40</v>
      </c>
      <c r="CI71" s="103" t="inlineStr">
        <is>
          <t>WATCH</t>
        </is>
      </c>
    </row>
    <row r="72" ht="17" customHeight="1">
      <c r="A72" s="107" t="inlineStr">
        <is>
          <t>WWD</t>
        </is>
      </c>
      <c r="B72" s="107" t="inlineStr">
        <is>
          <t>WOODWARD, INC.</t>
        </is>
      </c>
      <c r="C72" s="108" t="n">
        <v>977025000</v>
      </c>
      <c r="D72" s="109" t="n">
        <v>0.15</v>
      </c>
      <c r="E72" s="109" t="n">
        <v>0.15</v>
      </c>
      <c r="F72" s="109" t="n">
        <v>0.12</v>
      </c>
      <c r="G72" s="109" t="n">
        <v>0.1</v>
      </c>
      <c r="H72" s="109" t="n">
        <v>0.09</v>
      </c>
      <c r="I72" s="109" t="n">
        <v>0.17</v>
      </c>
      <c r="J72" s="109" t="n">
        <v>0.14</v>
      </c>
      <c r="K72" s="109" t="n">
        <v>0.27</v>
      </c>
      <c r="L72" s="109" t="n">
        <v>0.26</v>
      </c>
      <c r="M72" s="109" t="n">
        <v>0.77</v>
      </c>
      <c r="N72" s="108" t="n">
        <v>0.76</v>
      </c>
      <c r="O72" s="108" t="n">
        <v>2.08</v>
      </c>
      <c r="P72" s="108" t="n">
        <v>1.89</v>
      </c>
      <c r="Q72" s="108" t="n">
        <v>1.36</v>
      </c>
      <c r="R72" s="108" t="n">
        <v>0.36</v>
      </c>
      <c r="S72" s="108" t="n">
        <v>0.45</v>
      </c>
      <c r="T72" s="108" t="n">
        <v>0.5</v>
      </c>
      <c r="U72" s="108" t="n">
        <v>0.27</v>
      </c>
      <c r="V72" s="108" t="n">
        <v>0.15</v>
      </c>
      <c r="W72" s="108" t="n">
        <v>1.07</v>
      </c>
      <c r="X72" s="109" t="n">
        <v>0.1</v>
      </c>
      <c r="Y72" s="109" t="n">
        <v>0.04</v>
      </c>
      <c r="Z72" s="109" t="n">
        <v>11.41</v>
      </c>
      <c r="AA72" s="109" t="n">
        <v>0.07000000000000001</v>
      </c>
      <c r="AB72" s="109" t="n">
        <v>0.19</v>
      </c>
      <c r="AC72" s="108" t="n">
        <v>-0.01</v>
      </c>
      <c r="AD72" s="108" t="n">
        <v>-0.01</v>
      </c>
      <c r="AE72" s="108" t="n">
        <v>0.21</v>
      </c>
      <c r="AF72" s="108" t="n">
        <v>0.78</v>
      </c>
      <c r="AG72" s="108" t="n">
        <v>0.11</v>
      </c>
      <c r="AH72" s="108" t="n">
        <v>1.24</v>
      </c>
      <c r="AI72" s="108" t="n">
        <v>0.77</v>
      </c>
      <c r="AJ72" s="108" t="n">
        <v>3.23</v>
      </c>
      <c r="AK72" s="110" t="inlineStr">
        <is>
          <t>Safe</t>
        </is>
      </c>
      <c r="AL72" s="108" t="n">
        <v>0.21</v>
      </c>
      <c r="AM72" s="108" t="n">
        <v>0.78</v>
      </c>
      <c r="AN72" s="108" t="n">
        <v>0.11</v>
      </c>
      <c r="AO72" s="108" t="n">
        <v>1.24</v>
      </c>
      <c r="AP72" s="108" t="n">
        <v>0.77</v>
      </c>
      <c r="AQ72" s="107" t="n">
        <v>2.45</v>
      </c>
      <c r="AR72" s="107" t="inlineStr">
        <is>
          <t>Grey</t>
        </is>
      </c>
      <c r="AS72" s="108" t="n">
        <v>0.21</v>
      </c>
      <c r="AT72" s="108" t="n">
        <v>0.78</v>
      </c>
      <c r="AU72" s="108" t="n">
        <v>0.11</v>
      </c>
      <c r="AV72" s="108" t="n">
        <v>1.24</v>
      </c>
      <c r="AW72" s="107" t="n">
        <v>5.98</v>
      </c>
      <c r="AX72" s="107" t="inlineStr">
        <is>
          <t>Safe</t>
        </is>
      </c>
      <c r="AY72" s="108" t="n">
        <v>0.21</v>
      </c>
      <c r="AZ72" s="108" t="n">
        <v>0.11</v>
      </c>
      <c r="BA72" s="108" t="n">
        <v>0.57</v>
      </c>
      <c r="BB72" s="108" t="n">
        <v>0.77</v>
      </c>
      <c r="BC72" s="107" t="n">
        <v>1.25</v>
      </c>
      <c r="BD72" s="107" t="inlineStr">
        <is>
          <t>Healthy</t>
        </is>
      </c>
      <c r="BE72" s="108" t="n">
        <v>0.1</v>
      </c>
      <c r="BF72" s="108" t="n">
        <v>0.45</v>
      </c>
      <c r="BG72" s="108" t="n">
        <v>2.08</v>
      </c>
      <c r="BH72" s="108" t="n">
        <v>-2.23</v>
      </c>
      <c r="BI72" s="107" t="n">
        <v>0.1</v>
      </c>
      <c r="BJ72" s="107" t="inlineStr">
        <is>
          <t>Healthy</t>
        </is>
      </c>
      <c r="BK72" s="107" t="n">
        <v>1</v>
      </c>
      <c r="BL72" s="107" t="n">
        <v>1</v>
      </c>
      <c r="BM72" s="107" t="n">
        <v>1</v>
      </c>
      <c r="BN72" s="107" t="n">
        <v>1</v>
      </c>
      <c r="BO72" s="107" t="n">
        <v>1</v>
      </c>
      <c r="BP72" s="107" t="n">
        <v>1</v>
      </c>
      <c r="BQ72" s="107" t="n">
        <v>1</v>
      </c>
      <c r="BR72" s="107" t="n">
        <v>1</v>
      </c>
      <c r="BS72" s="107" t="n">
        <v>1</v>
      </c>
      <c r="BT72" s="107" t="n">
        <v>9</v>
      </c>
      <c r="BU72" s="107" t="inlineStr">
        <is>
          <t>Strong</t>
        </is>
      </c>
      <c r="BV72" s="108" t="n">
        <v>0.97</v>
      </c>
      <c r="BW72" s="108" t="n">
        <v>0.98</v>
      </c>
      <c r="BX72" s="108" t="n">
        <v>0.99</v>
      </c>
      <c r="BY72" s="108" t="n">
        <v>1.07</v>
      </c>
      <c r="BZ72" s="108" t="n">
        <v>1.07</v>
      </c>
      <c r="CA72" s="108" t="n">
        <v>1</v>
      </c>
      <c r="CB72" s="108" t="n">
        <v>0.89</v>
      </c>
      <c r="CC72" s="108" t="n">
        <v>-0.01</v>
      </c>
      <c r="CD72" s="107" t="n">
        <v>-2.44</v>
      </c>
      <c r="CE72" s="107" t="inlineStr">
        <is>
          <t>Lower Risk</t>
        </is>
      </c>
      <c r="CF72" s="108" t="n">
        <v>0.59</v>
      </c>
      <c r="CG72" s="108" t="n">
        <v>68.40000000000001</v>
      </c>
      <c r="CH72" s="107" t="n">
        <v>0</v>
      </c>
      <c r="CI72" s="107" t="inlineStr">
        <is>
          <t>CLEAR</t>
        </is>
      </c>
    </row>
    <row r="73" ht="17" customHeight="1">
      <c r="A73" s="103" t="inlineStr">
        <is>
          <t>CBRE</t>
        </is>
      </c>
      <c r="B73" s="103" t="inlineStr">
        <is>
          <t>CBRE GROUP, INC.</t>
        </is>
      </c>
      <c r="C73" s="104" t="n">
        <v>1169000000</v>
      </c>
      <c r="D73" s="105" t="n">
        <v>0.04</v>
      </c>
      <c r="E73" s="105" t="n">
        <v>0.04</v>
      </c>
      <c r="F73" s="105" t="n">
        <v>0.03</v>
      </c>
      <c r="G73" s="105" t="n">
        <v>0.04</v>
      </c>
      <c r="H73" s="105" t="n">
        <v>0.04</v>
      </c>
      <c r="I73" s="105" t="n">
        <v>0.13</v>
      </c>
      <c r="J73" s="105" t="n">
        <v>0.09</v>
      </c>
      <c r="K73" s="105" t="n">
        <v>0.59</v>
      </c>
      <c r="L73" s="105" t="n">
        <v>0.6</v>
      </c>
      <c r="M73" s="105" t="n">
        <v>1.31</v>
      </c>
      <c r="N73" s="104" t="n">
        <v>1.47</v>
      </c>
      <c r="O73" s="104" t="n">
        <v>1.09</v>
      </c>
      <c r="P73" s="104" t="n">
        <v>1.07</v>
      </c>
      <c r="Q73" s="104" t="n">
        <v>1.09</v>
      </c>
      <c r="R73" s="104" t="n">
        <v>0.15</v>
      </c>
      <c r="S73" s="104" t="n">
        <v>0.6899999999999999</v>
      </c>
      <c r="T73" s="104" t="n">
        <v>0.62</v>
      </c>
      <c r="U73" s="104" t="n">
        <v>0.57</v>
      </c>
      <c r="V73" s="104" t="n">
        <v>0.36</v>
      </c>
      <c r="W73" s="104" t="n">
        <v>1.35</v>
      </c>
      <c r="X73" s="105" t="n">
        <v>0.03</v>
      </c>
      <c r="Y73" s="105" t="n">
        <v>0</v>
      </c>
      <c r="Z73" s="105" t="n">
        <v>16.34</v>
      </c>
      <c r="AA73" s="105" t="n">
        <v>0.13</v>
      </c>
      <c r="AB73" s="105" t="n">
        <v>0.2</v>
      </c>
      <c r="AC73" s="104" t="n">
        <v>-0.01</v>
      </c>
      <c r="AD73" s="104" t="n">
        <v>-0.01</v>
      </c>
      <c r="AE73" s="104" t="n">
        <v>0.04</v>
      </c>
      <c r="AF73" s="104" t="n">
        <v>0.32</v>
      </c>
      <c r="AG73" s="104" t="n">
        <v>0.06</v>
      </c>
      <c r="AH73" s="104" t="n">
        <v>0.42</v>
      </c>
      <c r="AI73" s="104" t="n">
        <v>1.31</v>
      </c>
      <c r="AJ73" s="104" t="n">
        <v>2.25</v>
      </c>
      <c r="AK73" s="106" t="inlineStr">
        <is>
          <t>Grey</t>
        </is>
      </c>
      <c r="AL73" s="104" t="n">
        <v>0.04</v>
      </c>
      <c r="AM73" s="104" t="n">
        <v>0.32</v>
      </c>
      <c r="AN73" s="104" t="n">
        <v>0.06</v>
      </c>
      <c r="AO73" s="104" t="n">
        <v>0.42</v>
      </c>
      <c r="AP73" s="104" t="n">
        <v>1.31</v>
      </c>
      <c r="AQ73" s="103" t="n">
        <v>1.96</v>
      </c>
      <c r="AR73" s="103" t="inlineStr">
        <is>
          <t>Grey</t>
        </is>
      </c>
      <c r="AS73" s="104" t="n">
        <v>0.04</v>
      </c>
      <c r="AT73" s="104" t="n">
        <v>0.32</v>
      </c>
      <c r="AU73" s="104" t="n">
        <v>0.06</v>
      </c>
      <c r="AV73" s="104" t="n">
        <v>0.42</v>
      </c>
      <c r="AW73" s="103" t="n">
        <v>2.12</v>
      </c>
      <c r="AX73" s="103" t="inlineStr">
        <is>
          <t>Grey</t>
        </is>
      </c>
      <c r="AY73" s="104" t="n">
        <v>0.04</v>
      </c>
      <c r="AZ73" s="104" t="n">
        <v>0.06</v>
      </c>
      <c r="BA73" s="104" t="n">
        <v>0.13</v>
      </c>
      <c r="BB73" s="104" t="n">
        <v>1.31</v>
      </c>
      <c r="BC73" s="103" t="n">
        <v>0.82</v>
      </c>
      <c r="BD73" s="103" t="inlineStr">
        <is>
          <t>Distress</t>
        </is>
      </c>
      <c r="BE73" s="104" t="n">
        <v>0.04</v>
      </c>
      <c r="BF73" s="104" t="n">
        <v>0.6899999999999999</v>
      </c>
      <c r="BG73" s="104" t="n">
        <v>1.09</v>
      </c>
      <c r="BH73" s="104" t="n">
        <v>-0.59</v>
      </c>
      <c r="BI73" s="103" t="n">
        <v>0.36</v>
      </c>
      <c r="BJ73" s="103" t="inlineStr">
        <is>
          <t>Healthy</t>
        </is>
      </c>
      <c r="BK73" s="103" t="n">
        <v>1</v>
      </c>
      <c r="BL73" s="103" t="n">
        <v>1</v>
      </c>
      <c r="BM73" s="103" t="n">
        <v>0</v>
      </c>
      <c r="BN73" s="103" t="n">
        <v>1</v>
      </c>
      <c r="BO73" s="103" t="n">
        <v>1</v>
      </c>
      <c r="BP73" s="103" t="n">
        <v>1</v>
      </c>
      <c r="BQ73" s="103" t="n">
        <v>1</v>
      </c>
      <c r="BR73" s="103" t="n">
        <v>0</v>
      </c>
      <c r="BS73" s="103" t="n">
        <v>0</v>
      </c>
      <c r="BT73" s="103" t="n">
        <v>6</v>
      </c>
      <c r="BU73" s="103" t="inlineStr">
        <is>
          <t>Mixed</t>
        </is>
      </c>
      <c r="BV73" s="104" t="n">
        <v>1.04</v>
      </c>
      <c r="BW73" s="104" t="n">
        <v>1.01</v>
      </c>
      <c r="BX73" s="104" t="n">
        <v>0.96</v>
      </c>
      <c r="BY73" s="104" t="n">
        <v>1.13</v>
      </c>
      <c r="BZ73" s="104" t="n">
        <v>1.04</v>
      </c>
      <c r="CA73" s="113" t="inlineStr">
        <is>
          <t>N/A</t>
        </is>
      </c>
      <c r="CB73" s="104" t="n">
        <v>1.1</v>
      </c>
      <c r="CC73" s="104" t="n">
        <v>-0.01</v>
      </c>
      <c r="CD73" s="103" t="n">
        <v>-2.25</v>
      </c>
      <c r="CE73" s="103" t="inlineStr">
        <is>
          <t>Lower Risk</t>
        </is>
      </c>
      <c r="CF73" s="104" t="n">
        <v>1.28</v>
      </c>
      <c r="CG73" s="104" t="n">
        <v>53.7</v>
      </c>
      <c r="CH73" s="103" t="n">
        <v>0</v>
      </c>
      <c r="CI73" s="103" t="inlineStr">
        <is>
          <t>CLEAR</t>
        </is>
      </c>
    </row>
    <row r="74" ht="17" customHeight="1">
      <c r="A74" s="107" t="inlineStr">
        <is>
          <t>WTW</t>
        </is>
      </c>
      <c r="B74" s="107" t="inlineStr">
        <is>
          <t>WILLIS TOWERS WATSON PLC</t>
        </is>
      </c>
      <c r="C74" s="108" t="n">
        <v>2870000000</v>
      </c>
      <c r="D74" s="109" t="n">
        <v>0.23</v>
      </c>
      <c r="E74" s="109" t="n">
        <v>0.2</v>
      </c>
      <c r="F74" s="109" t="n">
        <v>0.17</v>
      </c>
      <c r="G74" s="109" t="n">
        <v>0.05</v>
      </c>
      <c r="H74" s="109" t="n">
        <v>-0</v>
      </c>
      <c r="I74" s="109" t="n">
        <v>0.2</v>
      </c>
      <c r="J74" s="109" t="n">
        <v>0.14</v>
      </c>
      <c r="K74" s="109" t="n">
        <v>0.21</v>
      </c>
      <c r="L74" s="109" t="n">
        <v>0.8100000000000001</v>
      </c>
      <c r="M74" s="109" t="n">
        <v>0.33</v>
      </c>
      <c r="N74" s="108" t="n">
        <v>0.36</v>
      </c>
      <c r="O74" s="108" t="n">
        <v>1.2</v>
      </c>
      <c r="P74" s="108" t="n">
        <v>1.2</v>
      </c>
      <c r="Q74" s="108" t="n">
        <v>1.2</v>
      </c>
      <c r="R74" s="108" t="n">
        <v>0.22</v>
      </c>
      <c r="S74" s="108" t="n">
        <v>0.73</v>
      </c>
      <c r="T74" s="108" t="n">
        <v>0.71</v>
      </c>
      <c r="U74" s="108" t="n">
        <v>1.34</v>
      </c>
      <c r="V74" s="108" t="n">
        <v>0.95</v>
      </c>
      <c r="W74" s="108" t="n">
        <v>1.11</v>
      </c>
      <c r="X74" s="109" t="n">
        <v>0.17</v>
      </c>
      <c r="Y74" s="109" t="n">
        <v>0</v>
      </c>
      <c r="Z74" s="109" t="n">
        <v>8.59</v>
      </c>
      <c r="AA74" s="109" t="n">
        <v>-0.02</v>
      </c>
      <c r="AB74" s="109" t="n">
        <v>-17.38</v>
      </c>
      <c r="AC74" s="108" t="n">
        <v>-0.01</v>
      </c>
      <c r="AD74" s="108" t="n">
        <v>-0.01</v>
      </c>
      <c r="AE74" s="108" t="n">
        <v>0.1</v>
      </c>
      <c r="AF74" s="108" t="n">
        <v>-0.01</v>
      </c>
      <c r="AG74" s="108" t="n">
        <v>0.08</v>
      </c>
      <c r="AH74" s="108" t="n">
        <v>0.37</v>
      </c>
      <c r="AI74" s="108" t="n">
        <v>0.33</v>
      </c>
      <c r="AJ74" s="108" t="n">
        <v>0.9</v>
      </c>
      <c r="AK74" s="112" t="inlineStr">
        <is>
          <t>Distress</t>
        </is>
      </c>
      <c r="AL74" s="108" t="n">
        <v>0.1</v>
      </c>
      <c r="AM74" s="108" t="n">
        <v>-0.01</v>
      </c>
      <c r="AN74" s="108" t="n">
        <v>0.08</v>
      </c>
      <c r="AO74" s="108" t="n">
        <v>0.37</v>
      </c>
      <c r="AP74" s="108" t="n">
        <v>0.33</v>
      </c>
      <c r="AQ74" s="107" t="n">
        <v>0.78</v>
      </c>
      <c r="AR74" s="107" t="inlineStr">
        <is>
          <t>Distress</t>
        </is>
      </c>
      <c r="AS74" s="108" t="n">
        <v>0.1</v>
      </c>
      <c r="AT74" s="108" t="n">
        <v>-0.01</v>
      </c>
      <c r="AU74" s="108" t="n">
        <v>0.08</v>
      </c>
      <c r="AV74" s="108" t="n">
        <v>0.37</v>
      </c>
      <c r="AW74" s="107" t="n">
        <v>1.5</v>
      </c>
      <c r="AX74" s="107" t="inlineStr">
        <is>
          <t>Grey</t>
        </is>
      </c>
      <c r="AY74" s="108" t="n">
        <v>0.1</v>
      </c>
      <c r="AZ74" s="108" t="n">
        <v>0.08</v>
      </c>
      <c r="BA74" s="108" t="n">
        <v>0.14</v>
      </c>
      <c r="BB74" s="108" t="n">
        <v>0.33</v>
      </c>
      <c r="BC74" s="107" t="n">
        <v>0.5600000000000001</v>
      </c>
      <c r="BD74" s="107" t="inlineStr">
        <is>
          <t>Distress</t>
        </is>
      </c>
      <c r="BE74" s="108" t="n">
        <v>0.05</v>
      </c>
      <c r="BF74" s="108" t="n">
        <v>0.73</v>
      </c>
      <c r="BG74" s="108" t="n">
        <v>1.2</v>
      </c>
      <c r="BH74" s="108" t="n">
        <v>-0.45</v>
      </c>
      <c r="BI74" s="107" t="n">
        <v>0.39</v>
      </c>
      <c r="BJ74" s="107" t="inlineStr">
        <is>
          <t>Healthy</t>
        </is>
      </c>
      <c r="BK74" s="107" t="n">
        <v>1</v>
      </c>
      <c r="BL74" s="107" t="n">
        <v>1</v>
      </c>
      <c r="BM74" s="107" t="n">
        <v>1</v>
      </c>
      <c r="BN74" s="107" t="n">
        <v>1</v>
      </c>
      <c r="BO74" s="107" t="n">
        <v>0</v>
      </c>
      <c r="BP74" s="107" t="n">
        <v>1</v>
      </c>
      <c r="BQ74" s="107" t="n">
        <v>0</v>
      </c>
      <c r="BR74" s="107" t="n">
        <v>0</v>
      </c>
      <c r="BS74" s="107" t="n">
        <v>0</v>
      </c>
      <c r="BT74" s="107" t="n">
        <v>5</v>
      </c>
      <c r="BU74" s="107" t="inlineStr">
        <is>
          <t>Mixed</t>
        </is>
      </c>
      <c r="BV74" s="108" t="n">
        <v>1.11</v>
      </c>
      <c r="BW74" s="108" t="n">
        <v>3.92</v>
      </c>
      <c r="BX74" s="108" t="n">
        <v>0.9399999999999999</v>
      </c>
      <c r="BY74" s="108" t="n">
        <v>0.98</v>
      </c>
      <c r="BZ74" s="108" t="n">
        <v>0.92</v>
      </c>
      <c r="CA74" s="111" t="inlineStr">
        <is>
          <t>N/A</t>
        </is>
      </c>
      <c r="CB74" s="108" t="n">
        <v>1.02</v>
      </c>
      <c r="CC74" s="108" t="n">
        <v>-0.01</v>
      </c>
      <c r="CD74" s="107" t="n">
        <v>-0.76</v>
      </c>
      <c r="CE74" s="107" t="inlineStr">
        <is>
          <t>Higher Risk</t>
        </is>
      </c>
      <c r="CF74" s="108" t="n">
        <v>3.14</v>
      </c>
      <c r="CG74" s="108" t="n">
        <v>40.68</v>
      </c>
      <c r="CH74" s="107" t="n">
        <v>20</v>
      </c>
      <c r="CI74" s="107" t="inlineStr">
        <is>
          <t>CLEAR</t>
        </is>
      </c>
    </row>
    <row r="75" ht="17" customHeight="1">
      <c r="A75" s="103" t="inlineStr">
        <is>
          <t>ITW</t>
        </is>
      </c>
      <c r="B75" s="103" t="inlineStr">
        <is>
          <t>ILLINOIS TOOL WORKS INC</t>
        </is>
      </c>
      <c r="C75" s="104" t="n">
        <v>1074000000</v>
      </c>
      <c r="D75" s="105" t="n">
        <v>0.29</v>
      </c>
      <c r="E75" s="105" t="n">
        <v>0.16</v>
      </c>
      <c r="F75" s="105" t="n">
        <v>0.21</v>
      </c>
      <c r="G75" s="105" t="n">
        <v>0.19</v>
      </c>
      <c r="H75" s="105" t="n">
        <v>0.23</v>
      </c>
      <c r="I75" s="105" t="n">
        <v>0.95</v>
      </c>
      <c r="J75" s="105" t="n">
        <v>0.38</v>
      </c>
      <c r="K75" s="105" t="n">
        <v>0.39</v>
      </c>
      <c r="L75" s="105" t="n">
        <v>-1.47</v>
      </c>
      <c r="M75" s="105" t="n">
        <v>0.91</v>
      </c>
      <c r="N75" s="104" t="n">
        <v>0.24</v>
      </c>
      <c r="O75" s="104" t="n">
        <v>1.21</v>
      </c>
      <c r="P75" s="104" t="n">
        <v>1.36</v>
      </c>
      <c r="Q75" s="104" t="n">
        <v>0.89</v>
      </c>
      <c r="R75" s="104" t="n">
        <v>0.17</v>
      </c>
      <c r="S75" s="104" t="n">
        <v>1</v>
      </c>
      <c r="T75" s="104" t="n">
        <v>1</v>
      </c>
      <c r="U75" s="104" t="n">
        <v>2.95</v>
      </c>
      <c r="V75" s="104" t="n">
        <v>2.68</v>
      </c>
      <c r="W75" s="104" t="n">
        <v>1.02</v>
      </c>
      <c r="X75" s="105" t="n">
        <v>0.18</v>
      </c>
      <c r="Y75" s="105" t="n">
        <v>0.02</v>
      </c>
      <c r="Z75" s="105" t="n">
        <v>15.85</v>
      </c>
      <c r="AA75" s="105" t="n">
        <v>3.13</v>
      </c>
      <c r="AB75" s="105" t="n">
        <v>-0.12</v>
      </c>
      <c r="AC75" s="104" t="n">
        <v>-0</v>
      </c>
      <c r="AD75" s="104" t="n">
        <v>-0</v>
      </c>
      <c r="AE75" s="104" t="n">
        <v>0.07000000000000001</v>
      </c>
      <c r="AF75" s="104" t="n">
        <v>1.87</v>
      </c>
      <c r="AG75" s="104" t="n">
        <v>0.26</v>
      </c>
      <c r="AH75" s="104" t="n">
        <v>0.2</v>
      </c>
      <c r="AI75" s="104" t="n">
        <v>0.91</v>
      </c>
      <c r="AJ75" s="104" t="n">
        <v>4.59</v>
      </c>
      <c r="AK75" s="110" t="inlineStr">
        <is>
          <t>Safe</t>
        </is>
      </c>
      <c r="AL75" s="104" t="n">
        <v>0.07000000000000001</v>
      </c>
      <c r="AM75" s="104" t="n">
        <v>1.87</v>
      </c>
      <c r="AN75" s="104" t="n">
        <v>0.26</v>
      </c>
      <c r="AO75" s="104" t="n">
        <v>0.2</v>
      </c>
      <c r="AP75" s="104" t="n">
        <v>0.91</v>
      </c>
      <c r="AQ75" s="103" t="n">
        <v>3.44</v>
      </c>
      <c r="AR75" s="103" t="inlineStr">
        <is>
          <t>Safe</t>
        </is>
      </c>
      <c r="AS75" s="104" t="n">
        <v>0.07000000000000001</v>
      </c>
      <c r="AT75" s="104" t="n">
        <v>1.87</v>
      </c>
      <c r="AU75" s="104" t="n">
        <v>0.26</v>
      </c>
      <c r="AV75" s="104" t="n">
        <v>0.2</v>
      </c>
      <c r="AW75" s="103" t="n">
        <v>8.49</v>
      </c>
      <c r="AX75" s="103" t="inlineStr">
        <is>
          <t>Safe</t>
        </is>
      </c>
      <c r="AY75" s="104" t="n">
        <v>0.07000000000000001</v>
      </c>
      <c r="AZ75" s="104" t="n">
        <v>0.26</v>
      </c>
      <c r="BA75" s="104" t="n">
        <v>0.47</v>
      </c>
      <c r="BB75" s="104" t="n">
        <v>0.91</v>
      </c>
      <c r="BC75" s="103" t="n">
        <v>1.54</v>
      </c>
      <c r="BD75" s="103" t="inlineStr">
        <is>
          <t>Healthy</t>
        </is>
      </c>
      <c r="BE75" s="104" t="n">
        <v>0.19</v>
      </c>
      <c r="BF75" s="104" t="n">
        <v>1</v>
      </c>
      <c r="BG75" s="104" t="n">
        <v>1.21</v>
      </c>
      <c r="BH75" s="104" t="n">
        <v>0.49</v>
      </c>
      <c r="BI75" s="103" t="n">
        <v>0.62</v>
      </c>
      <c r="BJ75" s="103" t="inlineStr">
        <is>
          <t>Distress</t>
        </is>
      </c>
      <c r="BK75" s="103" t="n">
        <v>1</v>
      </c>
      <c r="BL75" s="103" t="n">
        <v>1</v>
      </c>
      <c r="BM75" s="103" t="n">
        <v>0</v>
      </c>
      <c r="BN75" s="103" t="n">
        <v>1</v>
      </c>
      <c r="BO75" s="103" t="n">
        <v>0</v>
      </c>
      <c r="BP75" s="103" t="n">
        <v>0</v>
      </c>
      <c r="BQ75" s="103" t="n">
        <v>1</v>
      </c>
      <c r="BR75" s="103" t="n">
        <v>1</v>
      </c>
      <c r="BS75" s="103" t="n">
        <v>1</v>
      </c>
      <c r="BT75" s="103" t="n">
        <v>6</v>
      </c>
      <c r="BU75" s="103" t="inlineStr">
        <is>
          <t>Mixed</t>
        </is>
      </c>
      <c r="BV75" s="104" t="n">
        <v>0.26</v>
      </c>
      <c r="BW75" s="104" t="n">
        <v>-3.75</v>
      </c>
      <c r="BX75" s="104" t="n">
        <v>1</v>
      </c>
      <c r="BY75" s="104" t="n">
        <v>4.13</v>
      </c>
      <c r="BZ75" s="104" t="n">
        <v>1.03</v>
      </c>
      <c r="CA75" s="113" t="inlineStr">
        <is>
          <t>N/A</t>
        </is>
      </c>
      <c r="CB75" s="104" t="n">
        <v>1</v>
      </c>
      <c r="CC75" s="104" t="n">
        <v>-0</v>
      </c>
      <c r="CD75" s="103" t="n">
        <v>-2.72</v>
      </c>
      <c r="CE75" s="103" t="inlineStr">
        <is>
          <t>Lower Risk</t>
        </is>
      </c>
      <c r="CF75" s="104" t="n">
        <v>1.91</v>
      </c>
      <c r="CG75" s="104" t="n">
        <v>58.86</v>
      </c>
      <c r="CH75" s="103" t="n">
        <v>0</v>
      </c>
      <c r="CI75" s="103" t="inlineStr">
        <is>
          <t>CLEAR</t>
        </is>
      </c>
    </row>
    <row r="76" ht="17" customHeight="1">
      <c r="A76" s="107" t="inlineStr">
        <is>
          <t>KTOS</t>
        </is>
      </c>
      <c r="B76" s="107" t="inlineStr">
        <is>
          <t>Kratos Defense &amp; Security Solutions, Inc.</t>
        </is>
      </c>
      <c r="C76" s="108" t="n">
        <v>951900000</v>
      </c>
      <c r="D76" s="109" t="n">
        <v>0.03</v>
      </c>
      <c r="E76" s="109" t="n">
        <v>0.05</v>
      </c>
      <c r="F76" s="109" t="n">
        <v>0.03</v>
      </c>
      <c r="G76" s="109" t="n">
        <v>0.01</v>
      </c>
      <c r="H76" s="109" t="n">
        <v>0.01</v>
      </c>
      <c r="I76" s="109" t="n">
        <v>0.01</v>
      </c>
      <c r="J76" s="109" t="n">
        <v>0.01</v>
      </c>
      <c r="K76" s="109" t="n">
        <v>0.41</v>
      </c>
      <c r="L76" s="109" t="n">
        <v>0.43</v>
      </c>
      <c r="M76" s="109" t="n">
        <v>0.3</v>
      </c>
      <c r="N76" s="108" t="n">
        <v>0.34</v>
      </c>
      <c r="O76" s="108" t="n">
        <v>4.06</v>
      </c>
      <c r="P76" s="108" t="n">
        <v>2.94</v>
      </c>
      <c r="Q76" s="108" t="n">
        <v>3.91</v>
      </c>
      <c r="R76" s="108" t="n">
        <v>1.8</v>
      </c>
      <c r="S76" s="108" t="n">
        <v>0.19</v>
      </c>
      <c r="T76" s="108" t="n">
        <v>0.31</v>
      </c>
      <c r="U76" s="108" t="n">
        <v>0.15</v>
      </c>
      <c r="V76" s="108" t="n">
        <v>-0.13</v>
      </c>
      <c r="W76" s="108" t="n">
        <v>-1.91</v>
      </c>
      <c r="X76" s="109" t="n">
        <v>-0.18</v>
      </c>
      <c r="Y76" s="109" t="n">
        <v>0.05</v>
      </c>
      <c r="Z76" s="109" t="n">
        <v>2.67</v>
      </c>
      <c r="AA76" s="109" t="n">
        <v>0.12</v>
      </c>
      <c r="AB76" s="109" t="n">
        <v>0.35</v>
      </c>
      <c r="AC76" s="108" t="n">
        <v>0.03</v>
      </c>
      <c r="AD76" s="108" t="n">
        <v>0.03</v>
      </c>
      <c r="AE76" s="108" t="n">
        <v>0.39</v>
      </c>
      <c r="AF76" s="108" t="n">
        <v>-0.26</v>
      </c>
      <c r="AG76" s="108" t="n">
        <v>0.01</v>
      </c>
      <c r="AH76" s="108" t="n">
        <v>4.24</v>
      </c>
      <c r="AI76" s="108" t="n">
        <v>0.3</v>
      </c>
      <c r="AJ76" s="108" t="n">
        <v>2.98</v>
      </c>
      <c r="AK76" s="106" t="inlineStr">
        <is>
          <t>Grey</t>
        </is>
      </c>
      <c r="AL76" s="108" t="n">
        <v>0.39</v>
      </c>
      <c r="AM76" s="108" t="n">
        <v>-0.26</v>
      </c>
      <c r="AN76" s="108" t="n">
        <v>0.01</v>
      </c>
      <c r="AO76" s="108" t="n">
        <v>4.24</v>
      </c>
      <c r="AP76" s="108" t="n">
        <v>0.3</v>
      </c>
      <c r="AQ76" s="107" t="n">
        <v>2.17</v>
      </c>
      <c r="AR76" s="107" t="inlineStr">
        <is>
          <t>Grey</t>
        </is>
      </c>
      <c r="AS76" s="108" t="n">
        <v>0.39</v>
      </c>
      <c r="AT76" s="108" t="n">
        <v>-0.26</v>
      </c>
      <c r="AU76" s="108" t="n">
        <v>0.01</v>
      </c>
      <c r="AV76" s="108" t="n">
        <v>4.24</v>
      </c>
      <c r="AW76" s="107" t="n">
        <v>6.2</v>
      </c>
      <c r="AX76" s="107" t="inlineStr">
        <is>
          <t>Safe</t>
        </is>
      </c>
      <c r="AY76" s="108" t="n">
        <v>0.39</v>
      </c>
      <c r="AZ76" s="108" t="n">
        <v>0.01</v>
      </c>
      <c r="BA76" s="108" t="n">
        <v>0.11</v>
      </c>
      <c r="BB76" s="108" t="n">
        <v>0.3</v>
      </c>
      <c r="BC76" s="107" t="n">
        <v>0.62</v>
      </c>
      <c r="BD76" s="107" t="inlineStr">
        <is>
          <t>Distress</t>
        </is>
      </c>
      <c r="BE76" s="108" t="n">
        <v>0.01</v>
      </c>
      <c r="BF76" s="108" t="n">
        <v>0.19</v>
      </c>
      <c r="BG76" s="108" t="n">
        <v>4.06</v>
      </c>
      <c r="BH76" s="108" t="n">
        <v>-3.28</v>
      </c>
      <c r="BI76" s="107" t="n">
        <v>0.04</v>
      </c>
      <c r="BJ76" s="107" t="inlineStr">
        <is>
          <t>Healthy</t>
        </is>
      </c>
      <c r="BK76" s="107" t="n">
        <v>1</v>
      </c>
      <c r="BL76" s="107" t="n">
        <v>0</v>
      </c>
      <c r="BM76" s="107" t="n">
        <v>1</v>
      </c>
      <c r="BN76" s="107" t="n">
        <v>0</v>
      </c>
      <c r="BO76" s="107" t="n">
        <v>1</v>
      </c>
      <c r="BP76" s="107" t="n">
        <v>1</v>
      </c>
      <c r="BQ76" s="107" t="n">
        <v>0</v>
      </c>
      <c r="BR76" s="107" t="n">
        <v>0</v>
      </c>
      <c r="BS76" s="107" t="n">
        <v>0</v>
      </c>
      <c r="BT76" s="107" t="n">
        <v>4</v>
      </c>
      <c r="BU76" s="107" t="inlineStr">
        <is>
          <t>Mixed</t>
        </is>
      </c>
      <c r="BV76" s="108" t="n">
        <v>1.25</v>
      </c>
      <c r="BW76" s="108" t="n">
        <v>1.05</v>
      </c>
      <c r="BX76" s="108" t="n">
        <v>0.85</v>
      </c>
      <c r="BY76" s="108" t="n">
        <v>1.12</v>
      </c>
      <c r="BZ76" s="108" t="n">
        <v>1.31</v>
      </c>
      <c r="CA76" s="108" t="n">
        <v>1</v>
      </c>
      <c r="CB76" s="108" t="n">
        <v>0.62</v>
      </c>
      <c r="CC76" s="108" t="n">
        <v>0.03</v>
      </c>
      <c r="CD76" s="107" t="n">
        <v>-1.89</v>
      </c>
      <c r="CE76" s="107" t="inlineStr">
        <is>
          <t>Higher Risk</t>
        </is>
      </c>
      <c r="CF76" s="108" t="n">
        <v>-3.62</v>
      </c>
      <c r="CG76" s="108" t="n">
        <v>44.52</v>
      </c>
      <c r="CH76" s="106" t="n">
        <v>40</v>
      </c>
      <c r="CI76" s="107" t="inlineStr">
        <is>
          <t>WATCH</t>
        </is>
      </c>
    </row>
    <row r="77" ht="17" customHeight="1">
      <c r="A77" s="103" t="inlineStr">
        <is>
          <t>CTVA</t>
        </is>
      </c>
      <c r="B77" s="103" t="inlineStr">
        <is>
          <t>Corteva, Inc.</t>
        </is>
      </c>
      <c r="C77" s="104" t="n">
        <v>5210000000</v>
      </c>
      <c r="D77" s="105" t="n">
        <v>0.1</v>
      </c>
      <c r="E77" s="105" t="n">
        <v>0.1</v>
      </c>
      <c r="F77" s="105" t="n">
        <v>0.06</v>
      </c>
      <c r="G77" s="105" t="n">
        <v>0.03</v>
      </c>
      <c r="H77" s="105" t="n">
        <v>0.02</v>
      </c>
      <c r="I77" s="105" t="n">
        <v>0.05</v>
      </c>
      <c r="J77" s="105" t="n">
        <v>0.05</v>
      </c>
      <c r="K77" s="105" t="n">
        <v>0.47</v>
      </c>
      <c r="L77" s="105" t="n">
        <v>0.44</v>
      </c>
      <c r="M77" s="105" t="n">
        <v>0.41</v>
      </c>
      <c r="N77" s="104" t="n">
        <v>0.41</v>
      </c>
      <c r="O77" s="104" t="n">
        <v>1.43</v>
      </c>
      <c r="P77" s="104" t="n">
        <v>1.45</v>
      </c>
      <c r="Q77" s="104" t="n">
        <v>0.96</v>
      </c>
      <c r="R77" s="104" t="n">
        <v>0.37</v>
      </c>
      <c r="S77" s="104" t="n">
        <v>1</v>
      </c>
      <c r="T77" s="104" t="n">
        <v>1</v>
      </c>
      <c r="U77" s="104" t="n">
        <v>0.04</v>
      </c>
      <c r="V77" s="104" t="n">
        <v>-0.15</v>
      </c>
      <c r="W77" s="104" t="n">
        <v>3.11</v>
      </c>
      <c r="X77" s="105" t="n">
        <v>0.13</v>
      </c>
      <c r="Y77" s="105" t="n">
        <v>0.08</v>
      </c>
      <c r="Z77" s="113" t="inlineStr">
        <is>
          <t>N/A</t>
        </is>
      </c>
      <c r="AA77" s="105" t="n">
        <v>0.03</v>
      </c>
      <c r="AB77" s="105" t="n">
        <v>0.21</v>
      </c>
      <c r="AC77" s="104" t="n">
        <v>-0.05</v>
      </c>
      <c r="AD77" s="104" t="n">
        <v>-0.05</v>
      </c>
      <c r="AE77" s="104" t="n">
        <v>0.12</v>
      </c>
      <c r="AF77" s="104" t="n">
        <v>-0</v>
      </c>
      <c r="AG77" s="104" t="n">
        <v>0.04</v>
      </c>
      <c r="AH77" s="104" t="n">
        <v>0.5600000000000001</v>
      </c>
      <c r="AI77" s="104" t="n">
        <v>0.41</v>
      </c>
      <c r="AJ77" s="104" t="n">
        <v>1.02</v>
      </c>
      <c r="AK77" s="112" t="inlineStr">
        <is>
          <t>Distress</t>
        </is>
      </c>
      <c r="AL77" s="104" t="n">
        <v>0.12</v>
      </c>
      <c r="AM77" s="104" t="n">
        <v>-0</v>
      </c>
      <c r="AN77" s="104" t="n">
        <v>0.04</v>
      </c>
      <c r="AO77" s="104" t="n">
        <v>0.5600000000000001</v>
      </c>
      <c r="AP77" s="104" t="n">
        <v>0.41</v>
      </c>
      <c r="AQ77" s="103" t="n">
        <v>0.85</v>
      </c>
      <c r="AR77" s="103" t="inlineStr">
        <is>
          <t>Distress</t>
        </is>
      </c>
      <c r="AS77" s="104" t="n">
        <v>0.12</v>
      </c>
      <c r="AT77" s="104" t="n">
        <v>-0</v>
      </c>
      <c r="AU77" s="104" t="n">
        <v>0.04</v>
      </c>
      <c r="AV77" s="104" t="n">
        <v>0.5600000000000001</v>
      </c>
      <c r="AW77" s="103" t="n">
        <v>1.65</v>
      </c>
      <c r="AX77" s="103" t="inlineStr">
        <is>
          <t>Grey</t>
        </is>
      </c>
      <c r="AY77" s="104" t="n">
        <v>0.12</v>
      </c>
      <c r="AZ77" s="104" t="n">
        <v>0.04</v>
      </c>
      <c r="BA77" s="104" t="n">
        <v>0.14</v>
      </c>
      <c r="BB77" s="104" t="n">
        <v>0.41</v>
      </c>
      <c r="BC77" s="103" t="n">
        <v>0.5</v>
      </c>
      <c r="BD77" s="103" t="inlineStr">
        <is>
          <t>Distress</t>
        </is>
      </c>
      <c r="BE77" s="104" t="n">
        <v>0.03</v>
      </c>
      <c r="BF77" s="104" t="n">
        <v>1</v>
      </c>
      <c r="BG77" s="104" t="n">
        <v>1.43</v>
      </c>
      <c r="BH77" s="104" t="n">
        <v>1.23</v>
      </c>
      <c r="BI77" s="103" t="n">
        <v>0.77</v>
      </c>
      <c r="BJ77" s="103" t="inlineStr">
        <is>
          <t>Distress</t>
        </is>
      </c>
      <c r="BK77" s="103" t="n">
        <v>1</v>
      </c>
      <c r="BL77" s="103" t="n">
        <v>1</v>
      </c>
      <c r="BM77" s="103" t="n">
        <v>1</v>
      </c>
      <c r="BN77" s="103" t="n">
        <v>1</v>
      </c>
      <c r="BO77" s="103" t="n">
        <v>0</v>
      </c>
      <c r="BP77" s="103" t="n">
        <v>0</v>
      </c>
      <c r="BQ77" s="103" t="n">
        <v>1</v>
      </c>
      <c r="BR77" s="103" t="n">
        <v>1</v>
      </c>
      <c r="BS77" s="103" t="n">
        <v>0</v>
      </c>
      <c r="BT77" s="103" t="n">
        <v>6</v>
      </c>
      <c r="BU77" s="103" t="inlineStr">
        <is>
          <t>Mixed</t>
        </is>
      </c>
      <c r="BV77" s="104" t="n">
        <v>1.07</v>
      </c>
      <c r="BW77" s="104" t="n">
        <v>0.92</v>
      </c>
      <c r="BX77" s="104" t="n">
        <v>0.9399999999999999</v>
      </c>
      <c r="BY77" s="104" t="n">
        <v>1.03</v>
      </c>
      <c r="BZ77" s="104" t="n">
        <v>1.04</v>
      </c>
      <c r="CA77" s="104" t="n">
        <v>1.06</v>
      </c>
      <c r="CB77" s="104" t="n">
        <v>1</v>
      </c>
      <c r="CC77" s="104" t="n">
        <v>-0.05</v>
      </c>
      <c r="CD77" s="103" t="n">
        <v>-2.72</v>
      </c>
      <c r="CE77" s="103" t="inlineStr">
        <is>
          <t>Lower Risk</t>
        </is>
      </c>
      <c r="CF77" s="104" t="n">
        <v>-1.25</v>
      </c>
      <c r="CG77" s="104" t="n">
        <v>49.81</v>
      </c>
      <c r="CH77" s="103" t="n">
        <v>0</v>
      </c>
      <c r="CI77" s="103" t="inlineStr">
        <is>
          <t>CLEAR</t>
        </is>
      </c>
    </row>
    <row r="78" ht="17" customHeight="1">
      <c r="A78" s="107" t="inlineStr">
        <is>
          <t>ABM</t>
        </is>
      </c>
      <c r="B78" s="107" t="inlineStr">
        <is>
          <t>ABM INDUSTRIES INCORPORATED</t>
        </is>
      </c>
      <c r="C78" s="108" t="n">
        <v>633000000</v>
      </c>
      <c r="D78" s="109" t="n">
        <v>0.04</v>
      </c>
      <c r="E78" s="109" t="n">
        <v>0.03</v>
      </c>
      <c r="F78" s="109" t="n">
        <v>0.02</v>
      </c>
      <c r="G78" s="109" t="n">
        <v>0.03</v>
      </c>
      <c r="H78" s="109" t="n">
        <v>0.02</v>
      </c>
      <c r="I78" s="109" t="n">
        <v>0.09</v>
      </c>
      <c r="J78" s="109" t="n">
        <v>0.08</v>
      </c>
      <c r="K78" s="109" t="n">
        <v>0.03</v>
      </c>
      <c r="L78" s="109" t="n">
        <v>0.03</v>
      </c>
      <c r="M78" s="109" t="n">
        <v>1.66</v>
      </c>
      <c r="N78" s="108" t="n">
        <v>1.64</v>
      </c>
      <c r="O78" s="108" t="n">
        <v>1.48</v>
      </c>
      <c r="P78" s="108" t="n">
        <v>1.33</v>
      </c>
      <c r="Q78" s="108" t="n">
        <v>1.48</v>
      </c>
      <c r="R78" s="108" t="n">
        <v>0.08</v>
      </c>
      <c r="S78" s="108" t="n">
        <v>0.66</v>
      </c>
      <c r="T78" s="108" t="n">
        <v>0.65</v>
      </c>
      <c r="U78" s="108" t="n">
        <v>0.88</v>
      </c>
      <c r="V78" s="108" t="n">
        <v>0.82</v>
      </c>
      <c r="W78" s="108" t="n">
        <v>1.44</v>
      </c>
      <c r="X78" s="109" t="n">
        <v>0.02</v>
      </c>
      <c r="Y78" s="109" t="n">
        <v>0</v>
      </c>
      <c r="Z78" s="109" t="n">
        <v>3.79</v>
      </c>
      <c r="AA78" s="109" t="n">
        <v>0.05</v>
      </c>
      <c r="AB78" s="109" t="n">
        <v>1</v>
      </c>
      <c r="AC78" s="108" t="n">
        <v>-0.01</v>
      </c>
      <c r="AD78" s="108" t="n">
        <v>-0.01</v>
      </c>
      <c r="AE78" s="108" t="n">
        <v>0.12</v>
      </c>
      <c r="AF78" s="108" t="n">
        <v>0.26</v>
      </c>
      <c r="AG78" s="108" t="n">
        <v>0.06</v>
      </c>
      <c r="AH78" s="108" t="n">
        <v>0.51</v>
      </c>
      <c r="AI78" s="108" t="n">
        <v>1.66</v>
      </c>
      <c r="AJ78" s="108" t="n">
        <v>2.67</v>
      </c>
      <c r="AK78" s="106" t="inlineStr">
        <is>
          <t>Grey</t>
        </is>
      </c>
      <c r="AL78" s="108" t="n">
        <v>0.12</v>
      </c>
      <c r="AM78" s="108" t="n">
        <v>0.26</v>
      </c>
      <c r="AN78" s="108" t="n">
        <v>0.06</v>
      </c>
      <c r="AO78" s="108" t="n">
        <v>0.51</v>
      </c>
      <c r="AP78" s="108" t="n">
        <v>1.66</v>
      </c>
      <c r="AQ78" s="107" t="n">
        <v>2.36</v>
      </c>
      <c r="AR78" s="107" t="inlineStr">
        <is>
          <t>Grey</t>
        </is>
      </c>
      <c r="AS78" s="108" t="n">
        <v>0.12</v>
      </c>
      <c r="AT78" s="108" t="n">
        <v>0.26</v>
      </c>
      <c r="AU78" s="108" t="n">
        <v>0.06</v>
      </c>
      <c r="AV78" s="108" t="n">
        <v>0.51</v>
      </c>
      <c r="AW78" s="107" t="n">
        <v>2.57</v>
      </c>
      <c r="AX78" s="107" t="inlineStr">
        <is>
          <t>Grey</t>
        </is>
      </c>
      <c r="AY78" s="108" t="n">
        <v>0.12</v>
      </c>
      <c r="AZ78" s="108" t="n">
        <v>0.06</v>
      </c>
      <c r="BA78" s="108" t="n">
        <v>0.17</v>
      </c>
      <c r="BB78" s="108" t="n">
        <v>1.66</v>
      </c>
      <c r="BC78" s="107" t="n">
        <v>1.08</v>
      </c>
      <c r="BD78" s="107" t="inlineStr">
        <is>
          <t>Healthy</t>
        </is>
      </c>
      <c r="BE78" s="108" t="n">
        <v>0.03</v>
      </c>
      <c r="BF78" s="108" t="n">
        <v>0.66</v>
      </c>
      <c r="BG78" s="108" t="n">
        <v>1.48</v>
      </c>
      <c r="BH78" s="108" t="n">
        <v>-0.71</v>
      </c>
      <c r="BI78" s="107" t="n">
        <v>0.33</v>
      </c>
      <c r="BJ78" s="107" t="inlineStr">
        <is>
          <t>Healthy</t>
        </is>
      </c>
      <c r="BK78" s="107" t="n">
        <v>1</v>
      </c>
      <c r="BL78" s="107" t="n">
        <v>1</v>
      </c>
      <c r="BM78" s="107" t="n">
        <v>1</v>
      </c>
      <c r="BN78" s="107" t="n">
        <v>1</v>
      </c>
      <c r="BO78" s="107" t="n">
        <v>0</v>
      </c>
      <c r="BP78" s="107" t="n">
        <v>1</v>
      </c>
      <c r="BQ78" s="107" t="n">
        <v>1</v>
      </c>
      <c r="BR78" s="107" t="n">
        <v>1</v>
      </c>
      <c r="BS78" s="107" t="n">
        <v>1</v>
      </c>
      <c r="BT78" s="107" t="n">
        <v>8</v>
      </c>
      <c r="BU78" s="107" t="inlineStr">
        <is>
          <t>Strong</t>
        </is>
      </c>
      <c r="BV78" s="108" t="n">
        <v>0.93</v>
      </c>
      <c r="BW78" s="108" t="n">
        <v>0.95</v>
      </c>
      <c r="BX78" s="108" t="n">
        <v>0.97</v>
      </c>
      <c r="BY78" s="108" t="n">
        <v>1.05</v>
      </c>
      <c r="BZ78" s="108" t="n">
        <v>1.13</v>
      </c>
      <c r="CA78" s="108" t="n">
        <v>0.87</v>
      </c>
      <c r="CB78" s="108" t="n">
        <v>1.02</v>
      </c>
      <c r="CC78" s="108" t="n">
        <v>-0.01</v>
      </c>
      <c r="CD78" s="107" t="n">
        <v>-2.57</v>
      </c>
      <c r="CE78" s="107" t="inlineStr">
        <is>
          <t>Lower Risk</t>
        </is>
      </c>
      <c r="CF78" s="108" t="n">
        <v>3.49</v>
      </c>
      <c r="CG78" s="108" t="n">
        <v>62.91</v>
      </c>
      <c r="CH78" s="107" t="n">
        <v>0</v>
      </c>
      <c r="CI78" s="107" t="inlineStr">
        <is>
          <t>CLEAR</t>
        </is>
      </c>
    </row>
    <row r="79" ht="17" customHeight="1">
      <c r="A79" s="103" t="inlineStr">
        <is>
          <t>ACLS</t>
        </is>
      </c>
      <c r="B79" s="103" t="inlineStr">
        <is>
          <t>AXCELIS TECHNOLOGIES INC</t>
        </is>
      </c>
      <c r="C79" s="104" t="n">
        <v>745542000</v>
      </c>
      <c r="D79" s="105" t="n">
        <v>0.14</v>
      </c>
      <c r="E79" s="105" t="n">
        <v>0.16</v>
      </c>
      <c r="F79" s="105" t="n">
        <v>0.14</v>
      </c>
      <c r="G79" s="105" t="n">
        <v>0.09</v>
      </c>
      <c r="H79" s="105" t="n">
        <v>0.15</v>
      </c>
      <c r="I79" s="105" t="n">
        <v>0.12</v>
      </c>
      <c r="J79" s="105" t="n">
        <v>0.1</v>
      </c>
      <c r="K79" s="105" t="n">
        <v>0.45</v>
      </c>
      <c r="L79" s="105" t="n">
        <v>0.45</v>
      </c>
      <c r="M79" s="105" t="n">
        <v>0.62</v>
      </c>
      <c r="N79" s="104" t="n">
        <v>0.75</v>
      </c>
      <c r="O79" s="104" t="n">
        <v>4.77</v>
      </c>
      <c r="P79" s="104" t="n">
        <v>5.41</v>
      </c>
      <c r="Q79" s="104" t="n">
        <v>3.11</v>
      </c>
      <c r="R79" s="104" t="n">
        <v>0.74</v>
      </c>
      <c r="S79" s="104" t="n">
        <v>0.24</v>
      </c>
      <c r="T79" s="104" t="n">
        <v>0.25</v>
      </c>
      <c r="U79" s="104" t="n">
        <v>0.03</v>
      </c>
      <c r="V79" s="104" t="n">
        <v>-0.11</v>
      </c>
      <c r="W79" s="104" t="n">
        <v>0.98</v>
      </c>
      <c r="X79" s="105" t="n">
        <v>0.13</v>
      </c>
      <c r="Y79" s="105" t="n">
        <v>0.13</v>
      </c>
      <c r="Z79" s="105" t="n">
        <v>22.31</v>
      </c>
      <c r="AA79" s="105" t="n">
        <v>-0.18</v>
      </c>
      <c r="AB79" s="105" t="n">
        <v>-0.4</v>
      </c>
      <c r="AC79" s="104" t="n">
        <v>0</v>
      </c>
      <c r="AD79" s="104" t="n">
        <v>0</v>
      </c>
      <c r="AE79" s="104" t="n">
        <v>0.55</v>
      </c>
      <c r="AF79" s="104" t="n">
        <v>0.37</v>
      </c>
      <c r="AG79" s="104" t="n">
        <v>0.09</v>
      </c>
      <c r="AH79" s="104" t="n">
        <v>3.17</v>
      </c>
      <c r="AI79" s="104" t="n">
        <v>0.62</v>
      </c>
      <c r="AJ79" s="104" t="n">
        <v>3.98</v>
      </c>
      <c r="AK79" s="110" t="inlineStr">
        <is>
          <t>Safe</t>
        </is>
      </c>
      <c r="AL79" s="104" t="n">
        <v>0.55</v>
      </c>
      <c r="AM79" s="104" t="n">
        <v>0.37</v>
      </c>
      <c r="AN79" s="104" t="n">
        <v>0.09</v>
      </c>
      <c r="AO79" s="104" t="n">
        <v>3.17</v>
      </c>
      <c r="AP79" s="104" t="n">
        <v>0.62</v>
      </c>
      <c r="AQ79" s="103" t="n">
        <v>2.92</v>
      </c>
      <c r="AR79" s="103" t="inlineStr">
        <is>
          <t>Safe</t>
        </is>
      </c>
      <c r="AS79" s="104" t="n">
        <v>0.55</v>
      </c>
      <c r="AT79" s="104" t="n">
        <v>0.37</v>
      </c>
      <c r="AU79" s="104" t="n">
        <v>0.09</v>
      </c>
      <c r="AV79" s="104" t="n">
        <v>3.17</v>
      </c>
      <c r="AW79" s="103" t="n">
        <v>8.710000000000001</v>
      </c>
      <c r="AX79" s="103" t="inlineStr">
        <is>
          <t>Safe</t>
        </is>
      </c>
      <c r="AY79" s="104" t="n">
        <v>0.55</v>
      </c>
      <c r="AZ79" s="104" t="n">
        <v>0.09</v>
      </c>
      <c r="BA79" s="104" t="n">
        <v>0.7</v>
      </c>
      <c r="BB79" s="104" t="n">
        <v>0.62</v>
      </c>
      <c r="BC79" s="103" t="n">
        <v>1.54</v>
      </c>
      <c r="BD79" s="103" t="inlineStr">
        <is>
          <t>Healthy</t>
        </is>
      </c>
      <c r="BE79" s="104" t="n">
        <v>0.09</v>
      </c>
      <c r="BF79" s="104" t="n">
        <v>0.24</v>
      </c>
      <c r="BG79" s="104" t="n">
        <v>4.77</v>
      </c>
      <c r="BH79" s="104" t="n">
        <v>-3.35</v>
      </c>
      <c r="BI79" s="103" t="n">
        <v>0.03</v>
      </c>
      <c r="BJ79" s="103" t="inlineStr">
        <is>
          <t>Healthy</t>
        </is>
      </c>
      <c r="BK79" s="103" t="n">
        <v>1</v>
      </c>
      <c r="BL79" s="103" t="n">
        <v>1</v>
      </c>
      <c r="BM79" s="103" t="n">
        <v>0</v>
      </c>
      <c r="BN79" s="103" t="n">
        <v>0</v>
      </c>
      <c r="BO79" s="103" t="n">
        <v>1</v>
      </c>
      <c r="BP79" s="103" t="n">
        <v>0</v>
      </c>
      <c r="BQ79" s="103" t="n">
        <v>1</v>
      </c>
      <c r="BR79" s="103" t="n">
        <v>1</v>
      </c>
      <c r="BS79" s="103" t="n">
        <v>0</v>
      </c>
      <c r="BT79" s="103" t="n">
        <v>5</v>
      </c>
      <c r="BU79" s="103" t="inlineStr">
        <is>
          <t>Mixed</t>
        </is>
      </c>
      <c r="BV79" s="104" t="n">
        <v>1.01</v>
      </c>
      <c r="BW79" s="104" t="n">
        <v>0.99</v>
      </c>
      <c r="BX79" s="104" t="n">
        <v>2.09</v>
      </c>
      <c r="BY79" s="104" t="n">
        <v>0.82</v>
      </c>
      <c r="BZ79" s="104" t="n">
        <v>0.95</v>
      </c>
      <c r="CA79" s="104" t="n">
        <v>1.44</v>
      </c>
      <c r="CB79" s="104" t="n">
        <v>0.96</v>
      </c>
      <c r="CC79" s="104" t="n">
        <v>0</v>
      </c>
      <c r="CD79" s="103" t="n">
        <v>-2.25</v>
      </c>
      <c r="CE79" s="103" t="inlineStr">
        <is>
          <t>Lower Risk</t>
        </is>
      </c>
      <c r="CF79" s="104" t="n">
        <v>-0.85</v>
      </c>
      <c r="CG79" s="104" t="n">
        <v>55.74</v>
      </c>
      <c r="CH79" s="103" t="n">
        <v>0</v>
      </c>
      <c r="CI79" s="103" t="inlineStr">
        <is>
          <t>CLEAR</t>
        </is>
      </c>
    </row>
    <row r="80" ht="17" customHeight="1">
      <c r="A80" s="107" t="inlineStr">
        <is>
          <t>RTX</t>
        </is>
      </c>
      <c r="B80" s="107" t="inlineStr">
        <is>
          <t>RTX CORPORATION</t>
        </is>
      </c>
      <c r="C80" s="108" t="n">
        <v>1548000000</v>
      </c>
      <c r="D80" s="109" t="n">
        <v>0.12</v>
      </c>
      <c r="E80" s="109" t="n">
        <v>0.11</v>
      </c>
      <c r="F80" s="109" t="n">
        <v>0.08</v>
      </c>
      <c r="G80" s="109" t="n">
        <v>0.04</v>
      </c>
      <c r="H80" s="109" t="n">
        <v>0.03</v>
      </c>
      <c r="I80" s="109" t="n">
        <v>0.1</v>
      </c>
      <c r="J80" s="109" t="n">
        <v>0.08</v>
      </c>
      <c r="K80" s="109" t="n">
        <v>0.03</v>
      </c>
      <c r="L80" s="109" t="n">
        <v>0.03</v>
      </c>
      <c r="M80" s="109" t="n">
        <v>0.47</v>
      </c>
      <c r="N80" s="108" t="n">
        <v>0.42</v>
      </c>
      <c r="O80" s="108" t="n">
        <v>1.03</v>
      </c>
      <c r="P80" s="108" t="n">
        <v>0.99</v>
      </c>
      <c r="Q80" s="108" t="n">
        <v>0.8</v>
      </c>
      <c r="R80" s="108" t="n">
        <v>0.13</v>
      </c>
      <c r="S80" s="108" t="n">
        <v>0.61</v>
      </c>
      <c r="T80" s="108" t="n">
        <v>0.62</v>
      </c>
      <c r="U80" s="108" t="n">
        <v>0.63</v>
      </c>
      <c r="V80" s="108" t="n">
        <v>0.52</v>
      </c>
      <c r="W80" s="108" t="n">
        <v>1.57</v>
      </c>
      <c r="X80" s="109" t="n">
        <v>0.1</v>
      </c>
      <c r="Y80" s="109" t="n">
        <v>0.03</v>
      </c>
      <c r="Z80" s="109" t="n">
        <v>4.99</v>
      </c>
      <c r="AA80" s="109" t="n">
        <v>0.17</v>
      </c>
      <c r="AB80" s="109" t="n">
        <v>0.41</v>
      </c>
      <c r="AC80" s="108" t="n">
        <v>-0.02</v>
      </c>
      <c r="AD80" s="108" t="n">
        <v>-0.02</v>
      </c>
      <c r="AE80" s="108" t="n">
        <v>0.01</v>
      </c>
      <c r="AF80" s="108" t="n">
        <v>0.33</v>
      </c>
      <c r="AG80" s="108" t="n">
        <v>0.05</v>
      </c>
      <c r="AH80" s="108" t="n">
        <v>0.63</v>
      </c>
      <c r="AI80" s="108" t="n">
        <v>0.47</v>
      </c>
      <c r="AJ80" s="108" t="n">
        <v>1.5</v>
      </c>
      <c r="AK80" s="112" t="inlineStr">
        <is>
          <t>Distress</t>
        </is>
      </c>
      <c r="AL80" s="108" t="n">
        <v>0.01</v>
      </c>
      <c r="AM80" s="108" t="n">
        <v>0.33</v>
      </c>
      <c r="AN80" s="108" t="n">
        <v>0.05</v>
      </c>
      <c r="AO80" s="108" t="n">
        <v>0.63</v>
      </c>
      <c r="AP80" s="108" t="n">
        <v>0.47</v>
      </c>
      <c r="AQ80" s="107" t="n">
        <v>1.19</v>
      </c>
      <c r="AR80" s="107" t="inlineStr">
        <is>
          <t>Distress</t>
        </is>
      </c>
      <c r="AS80" s="108" t="n">
        <v>0.01</v>
      </c>
      <c r="AT80" s="108" t="n">
        <v>0.33</v>
      </c>
      <c r="AU80" s="108" t="n">
        <v>0.05</v>
      </c>
      <c r="AV80" s="108" t="n">
        <v>0.63</v>
      </c>
      <c r="AW80" s="107" t="n">
        <v>2.16</v>
      </c>
      <c r="AX80" s="107" t="inlineStr">
        <is>
          <t>Grey</t>
        </is>
      </c>
      <c r="AY80" s="108" t="n">
        <v>0.01</v>
      </c>
      <c r="AZ80" s="108" t="n">
        <v>0.05</v>
      </c>
      <c r="BA80" s="108" t="n">
        <v>0.15</v>
      </c>
      <c r="BB80" s="108" t="n">
        <v>0.47</v>
      </c>
      <c r="BC80" s="107" t="n">
        <v>0.46</v>
      </c>
      <c r="BD80" s="107" t="inlineStr">
        <is>
          <t>Distress</t>
        </is>
      </c>
      <c r="BE80" s="108" t="n">
        <v>0.04</v>
      </c>
      <c r="BF80" s="108" t="n">
        <v>0.61</v>
      </c>
      <c r="BG80" s="108" t="n">
        <v>1.03</v>
      </c>
      <c r="BH80" s="108" t="n">
        <v>-1.06</v>
      </c>
      <c r="BI80" s="107" t="n">
        <v>0.26</v>
      </c>
      <c r="BJ80" s="107" t="inlineStr">
        <is>
          <t>Healthy</t>
        </is>
      </c>
      <c r="BK80" s="107" t="n">
        <v>1</v>
      </c>
      <c r="BL80" s="107" t="n">
        <v>1</v>
      </c>
      <c r="BM80" s="107" t="n">
        <v>1</v>
      </c>
      <c r="BN80" s="107" t="n">
        <v>1</v>
      </c>
      <c r="BO80" s="107" t="n">
        <v>1</v>
      </c>
      <c r="BP80" s="107" t="n">
        <v>1</v>
      </c>
      <c r="BQ80" s="107" t="n">
        <v>0</v>
      </c>
      <c r="BR80" s="107" t="n">
        <v>1</v>
      </c>
      <c r="BS80" s="107" t="n">
        <v>1</v>
      </c>
      <c r="BT80" s="107" t="n">
        <v>8</v>
      </c>
      <c r="BU80" s="107" t="inlineStr">
        <is>
          <t>Strong</t>
        </is>
      </c>
      <c r="BV80" s="108" t="n">
        <v>1.14</v>
      </c>
      <c r="BW80" s="108" t="n">
        <v>0.95</v>
      </c>
      <c r="BX80" s="108" t="n">
        <v>0.93</v>
      </c>
      <c r="BY80" s="108" t="n">
        <v>1.17</v>
      </c>
      <c r="BZ80" s="108" t="n">
        <v>1.04</v>
      </c>
      <c r="CA80" s="108" t="n">
        <v>0.9</v>
      </c>
      <c r="CB80" s="108" t="n">
        <v>0.98</v>
      </c>
      <c r="CC80" s="108" t="n">
        <v>-0.02</v>
      </c>
      <c r="CD80" s="107" t="n">
        <v>-2.33</v>
      </c>
      <c r="CE80" s="107" t="inlineStr">
        <is>
          <t>Lower Risk</t>
        </is>
      </c>
      <c r="CF80" s="108" t="n">
        <v>2.47</v>
      </c>
      <c r="CG80" s="108" t="n">
        <v>59.13</v>
      </c>
      <c r="CH80" s="107" t="n">
        <v>0</v>
      </c>
      <c r="CI80" s="107" t="inlineStr">
        <is>
          <t>CLEAR</t>
        </is>
      </c>
    </row>
    <row r="81" ht="17" customHeight="1">
      <c r="A81" s="103" t="inlineStr">
        <is>
          <t>RF</t>
        </is>
      </c>
      <c r="B81" s="103" t="inlineStr">
        <is>
          <t>Regions Financial Corporation</t>
        </is>
      </c>
      <c r="C81" s="113" t="inlineStr">
        <is>
          <t>N/A</t>
        </is>
      </c>
      <c r="D81" s="105" t="n">
        <v>0.51</v>
      </c>
      <c r="E81" s="105" t="n">
        <v>26.38</v>
      </c>
      <c r="F81" s="105" t="n">
        <v>20.73</v>
      </c>
      <c r="G81" s="105" t="n">
        <v>0.01</v>
      </c>
      <c r="H81" s="105" t="n">
        <v>0.01</v>
      </c>
      <c r="I81" s="105" t="n">
        <v>0.11</v>
      </c>
      <c r="J81" s="113" t="inlineStr">
        <is>
          <t>N/A</t>
        </is>
      </c>
      <c r="K81" s="105" t="n">
        <v>-0.01</v>
      </c>
      <c r="L81" s="105" t="n">
        <v>-0.01</v>
      </c>
      <c r="M81" s="105" t="n">
        <v>0</v>
      </c>
      <c r="N81" s="104" t="n">
        <v>0</v>
      </c>
      <c r="O81" s="113" t="inlineStr">
        <is>
          <t>N/A</t>
        </is>
      </c>
      <c r="P81" s="113" t="inlineStr">
        <is>
          <t>N/A</t>
        </is>
      </c>
      <c r="Q81" s="113" t="inlineStr">
        <is>
          <t>N/A</t>
        </is>
      </c>
      <c r="R81" s="113" t="inlineStr">
        <is>
          <t>N/A</t>
        </is>
      </c>
      <c r="S81" s="104" t="n">
        <v>0.88</v>
      </c>
      <c r="T81" s="104" t="n">
        <v>0.89</v>
      </c>
      <c r="U81" s="104" t="n">
        <v>0.26</v>
      </c>
      <c r="V81" s="104" t="n">
        <v>0.07000000000000001</v>
      </c>
      <c r="W81" s="104" t="n">
        <v>1.01</v>
      </c>
      <c r="X81" s="113" t="inlineStr">
        <is>
          <t>N/A</t>
        </is>
      </c>
      <c r="Y81" s="105" t="n">
        <v>0</v>
      </c>
      <c r="Z81" s="105" t="n">
        <v>0.03</v>
      </c>
      <c r="AA81" s="105" t="n">
        <v>0.24</v>
      </c>
      <c r="AB81" s="105" t="n">
        <v>0.14</v>
      </c>
      <c r="AC81" s="104" t="n">
        <v>-0</v>
      </c>
      <c r="AD81" s="104" t="n">
        <v>-0</v>
      </c>
      <c r="AE81" s="113" t="inlineStr">
        <is>
          <t>N/A</t>
        </is>
      </c>
      <c r="AF81" s="104" t="n">
        <v>0.06</v>
      </c>
      <c r="AG81" s="104" t="n">
        <v>0</v>
      </c>
      <c r="AH81" s="104" t="n">
        <v>0.14</v>
      </c>
      <c r="AI81" s="104" t="n">
        <v>0</v>
      </c>
      <c r="AJ81" s="113" t="inlineStr">
        <is>
          <t>N/A</t>
        </is>
      </c>
      <c r="AK81" s="113" t="inlineStr">
        <is>
          <t>N/A</t>
        </is>
      </c>
      <c r="AL81" s="113" t="inlineStr">
        <is>
          <t>N/A</t>
        </is>
      </c>
      <c r="AM81" s="104" t="n">
        <v>0.06</v>
      </c>
      <c r="AN81" s="104" t="n">
        <v>0</v>
      </c>
      <c r="AO81" s="104" t="n">
        <v>0.14</v>
      </c>
      <c r="AP81" s="104" t="n">
        <v>0</v>
      </c>
      <c r="AQ81" s="113" t="inlineStr">
        <is>
          <t>N/A</t>
        </is>
      </c>
      <c r="AR81" s="113" t="inlineStr">
        <is>
          <t>N/A</t>
        </is>
      </c>
      <c r="AS81" s="113" t="inlineStr">
        <is>
          <t>N/A</t>
        </is>
      </c>
      <c r="AT81" s="104" t="n">
        <v>0.06</v>
      </c>
      <c r="AU81" s="104" t="n">
        <v>0</v>
      </c>
      <c r="AV81" s="104" t="n">
        <v>0.14</v>
      </c>
      <c r="AW81" s="113" t="inlineStr">
        <is>
          <t>N/A</t>
        </is>
      </c>
      <c r="AX81" s="113" t="inlineStr">
        <is>
          <t>N/A</t>
        </is>
      </c>
      <c r="AY81" s="113" t="inlineStr">
        <is>
          <t>N/A</t>
        </is>
      </c>
      <c r="AZ81" s="104" t="n">
        <v>0</v>
      </c>
      <c r="BA81" s="113" t="inlineStr">
        <is>
          <t>N/A</t>
        </is>
      </c>
      <c r="BB81" s="104" t="n">
        <v>0</v>
      </c>
      <c r="BC81" s="113" t="inlineStr">
        <is>
          <t>N/A</t>
        </is>
      </c>
      <c r="BD81" s="113" t="inlineStr">
        <is>
          <t>N/A</t>
        </is>
      </c>
      <c r="BE81" s="104" t="n">
        <v>0.01</v>
      </c>
      <c r="BF81" s="104" t="n">
        <v>0.88</v>
      </c>
      <c r="BG81" s="113" t="inlineStr">
        <is>
          <t>N/A</t>
        </is>
      </c>
      <c r="BH81" s="113" t="inlineStr">
        <is>
          <t>N/A</t>
        </is>
      </c>
      <c r="BI81" s="113" t="inlineStr">
        <is>
          <t>N/A</t>
        </is>
      </c>
      <c r="BJ81" s="113" t="inlineStr">
        <is>
          <t>N/A</t>
        </is>
      </c>
      <c r="BK81" s="103" t="n">
        <v>1</v>
      </c>
      <c r="BL81" s="103" t="n">
        <v>1</v>
      </c>
      <c r="BM81" s="103" t="n">
        <v>1</v>
      </c>
      <c r="BN81" s="103" t="n">
        <v>1</v>
      </c>
      <c r="BO81" s="103" t="n">
        <v>1</v>
      </c>
      <c r="BP81" s="103" t="n">
        <v>0</v>
      </c>
      <c r="BQ81" s="103" t="n">
        <v>1</v>
      </c>
      <c r="BR81" s="103" t="n">
        <v>1</v>
      </c>
      <c r="BS81" s="103" t="n">
        <v>1</v>
      </c>
      <c r="BT81" s="103" t="n">
        <v>8</v>
      </c>
      <c r="BU81" s="103" t="inlineStr">
        <is>
          <t>Strong</t>
        </is>
      </c>
      <c r="BV81" s="113" t="inlineStr">
        <is>
          <t>N/A</t>
        </is>
      </c>
      <c r="BW81" s="113" t="inlineStr">
        <is>
          <t>N/A</t>
        </is>
      </c>
      <c r="BX81" s="104" t="n">
        <v>1</v>
      </c>
      <c r="BY81" s="104" t="n">
        <v>1.24</v>
      </c>
      <c r="BZ81" s="104" t="n">
        <v>1.03</v>
      </c>
      <c r="CA81" s="113" t="inlineStr">
        <is>
          <t>N/A</t>
        </is>
      </c>
      <c r="CB81" s="104" t="n">
        <v>0.99</v>
      </c>
      <c r="CC81" s="104" t="n">
        <v>-0</v>
      </c>
      <c r="CD81" s="113" t="inlineStr">
        <is>
          <t>N/A</t>
        </is>
      </c>
      <c r="CE81" s="113" t="inlineStr">
        <is>
          <t>N/A</t>
        </is>
      </c>
      <c r="CF81" s="104" t="n">
        <v>17.04</v>
      </c>
      <c r="CG81" s="104" t="n">
        <v>54.61</v>
      </c>
      <c r="CH81" s="103" t="n">
        <v>0</v>
      </c>
      <c r="CI81" s="103" t="inlineStr">
        <is>
          <t>CLEAR</t>
        </is>
      </c>
    </row>
    <row r="82" ht="17" customHeight="1">
      <c r="A82" s="107" t="inlineStr">
        <is>
          <t>WPC</t>
        </is>
      </c>
      <c r="B82" s="107" t="inlineStr">
        <is>
          <t>W. P. Carey Inc.</t>
        </is>
      </c>
      <c r="C82" s="111" t="inlineStr">
        <is>
          <t>N/A</t>
        </is>
      </c>
      <c r="D82" s="109" t="n">
        <v>0.12</v>
      </c>
      <c r="E82" s="109" t="n">
        <v>0.29</v>
      </c>
      <c r="F82" s="109" t="n">
        <v>0.27</v>
      </c>
      <c r="G82" s="109" t="n">
        <v>0.03</v>
      </c>
      <c r="H82" s="109" t="n">
        <v>0.03</v>
      </c>
      <c r="I82" s="109" t="n">
        <v>0.06</v>
      </c>
      <c r="J82" s="111" t="inlineStr">
        <is>
          <t>N/A</t>
        </is>
      </c>
      <c r="K82" s="109" t="n">
        <v>1</v>
      </c>
      <c r="L82" s="109" t="n">
        <v>1</v>
      </c>
      <c r="M82" s="109" t="n">
        <v>0.1</v>
      </c>
      <c r="N82" s="108" t="n">
        <v>0.09</v>
      </c>
      <c r="O82" s="111" t="inlineStr">
        <is>
          <t>N/A</t>
        </is>
      </c>
      <c r="P82" s="111" t="inlineStr">
        <is>
          <t>N/A</t>
        </is>
      </c>
      <c r="Q82" s="111" t="inlineStr">
        <is>
          <t>N/A</t>
        </is>
      </c>
      <c r="R82" s="111" t="inlineStr">
        <is>
          <t>N/A</t>
        </is>
      </c>
      <c r="S82" s="108" t="n">
        <v>0.55</v>
      </c>
      <c r="T82" s="108" t="n">
        <v>0.52</v>
      </c>
      <c r="U82" s="108" t="n">
        <v>1.07</v>
      </c>
      <c r="V82" s="108" t="n">
        <v>1.06</v>
      </c>
      <c r="W82" s="108" t="n">
        <v>2.75</v>
      </c>
      <c r="X82" s="111" t="inlineStr">
        <is>
          <t>N/A</t>
        </is>
      </c>
      <c r="Y82" s="109" t="n">
        <v>0</v>
      </c>
      <c r="Z82" s="109" t="n">
        <v>0.72</v>
      </c>
      <c r="AA82" s="109" t="n">
        <v>0.08</v>
      </c>
      <c r="AB82" s="109" t="n">
        <v>0.01</v>
      </c>
      <c r="AC82" s="108" t="n">
        <v>-0.05</v>
      </c>
      <c r="AD82" s="108" t="n">
        <v>-0.05</v>
      </c>
      <c r="AE82" s="111" t="inlineStr">
        <is>
          <t>N/A</t>
        </is>
      </c>
      <c r="AF82" s="111" t="inlineStr">
        <is>
          <t>N/A</t>
        </is>
      </c>
      <c r="AG82" s="108" t="n">
        <v>0.01</v>
      </c>
      <c r="AH82" s="108" t="n">
        <v>0.82</v>
      </c>
      <c r="AI82" s="108" t="n">
        <v>0.1</v>
      </c>
      <c r="AJ82" s="111" t="inlineStr">
        <is>
          <t>N/A</t>
        </is>
      </c>
      <c r="AK82" s="111" t="inlineStr">
        <is>
          <t>N/A</t>
        </is>
      </c>
      <c r="AL82" s="111" t="inlineStr">
        <is>
          <t>N/A</t>
        </is>
      </c>
      <c r="AM82" s="111" t="inlineStr">
        <is>
          <t>N/A</t>
        </is>
      </c>
      <c r="AN82" s="108" t="n">
        <v>0.01</v>
      </c>
      <c r="AO82" s="108" t="n">
        <v>0.82</v>
      </c>
      <c r="AP82" s="108" t="n">
        <v>0.1</v>
      </c>
      <c r="AQ82" s="111" t="inlineStr">
        <is>
          <t>N/A</t>
        </is>
      </c>
      <c r="AR82" s="111" t="inlineStr">
        <is>
          <t>N/A</t>
        </is>
      </c>
      <c r="AS82" s="111" t="inlineStr">
        <is>
          <t>N/A</t>
        </is>
      </c>
      <c r="AT82" s="111" t="inlineStr">
        <is>
          <t>N/A</t>
        </is>
      </c>
      <c r="AU82" s="108" t="n">
        <v>0.01</v>
      </c>
      <c r="AV82" s="108" t="n">
        <v>0.82</v>
      </c>
      <c r="AW82" s="111" t="inlineStr">
        <is>
          <t>N/A</t>
        </is>
      </c>
      <c r="AX82" s="111" t="inlineStr">
        <is>
          <t>N/A</t>
        </is>
      </c>
      <c r="AY82" s="111" t="inlineStr">
        <is>
          <t>N/A</t>
        </is>
      </c>
      <c r="AZ82" s="108" t="n">
        <v>0.01</v>
      </c>
      <c r="BA82" s="111" t="inlineStr">
        <is>
          <t>N/A</t>
        </is>
      </c>
      <c r="BB82" s="108" t="n">
        <v>0.1</v>
      </c>
      <c r="BC82" s="111" t="inlineStr">
        <is>
          <t>N/A</t>
        </is>
      </c>
      <c r="BD82" s="111" t="inlineStr">
        <is>
          <t>N/A</t>
        </is>
      </c>
      <c r="BE82" s="108" t="n">
        <v>0.03</v>
      </c>
      <c r="BF82" s="108" t="n">
        <v>0.55</v>
      </c>
      <c r="BG82" s="111" t="inlineStr">
        <is>
          <t>N/A</t>
        </is>
      </c>
      <c r="BH82" s="111" t="inlineStr">
        <is>
          <t>N/A</t>
        </is>
      </c>
      <c r="BI82" s="111" t="inlineStr">
        <is>
          <t>N/A</t>
        </is>
      </c>
      <c r="BJ82" s="111" t="inlineStr">
        <is>
          <t>N/A</t>
        </is>
      </c>
      <c r="BK82" s="107" t="n">
        <v>1</v>
      </c>
      <c r="BL82" s="107" t="n">
        <v>1</v>
      </c>
      <c r="BM82" s="107" t="n">
        <v>0</v>
      </c>
      <c r="BN82" s="107" t="n">
        <v>1</v>
      </c>
      <c r="BO82" s="107" t="n">
        <v>0</v>
      </c>
      <c r="BP82" s="107" t="n">
        <v>0</v>
      </c>
      <c r="BQ82" s="107" t="n">
        <v>0</v>
      </c>
      <c r="BR82" s="107" t="n">
        <v>1</v>
      </c>
      <c r="BS82" s="107" t="n">
        <v>1</v>
      </c>
      <c r="BT82" s="107" t="n">
        <v>5</v>
      </c>
      <c r="BU82" s="107" t="inlineStr">
        <is>
          <t>Mixed</t>
        </is>
      </c>
      <c r="BV82" s="111" t="inlineStr">
        <is>
          <t>N/A</t>
        </is>
      </c>
      <c r="BW82" s="108" t="n">
        <v>1</v>
      </c>
      <c r="BX82" s="111" t="inlineStr">
        <is>
          <t>N/A</t>
        </is>
      </c>
      <c r="BY82" s="108" t="n">
        <v>1.08</v>
      </c>
      <c r="BZ82" s="111" t="inlineStr">
        <is>
          <t>N/A</t>
        </is>
      </c>
      <c r="CA82" s="108" t="n">
        <v>0.9399999999999999</v>
      </c>
      <c r="CB82" s="108" t="n">
        <v>1.06</v>
      </c>
      <c r="CC82" s="108" t="n">
        <v>-0.05</v>
      </c>
      <c r="CD82" s="111" t="inlineStr">
        <is>
          <t>N/A</t>
        </is>
      </c>
      <c r="CE82" s="111" t="inlineStr">
        <is>
          <t>N/A</t>
        </is>
      </c>
      <c r="CF82" s="108" t="n">
        <v>11.72</v>
      </c>
      <c r="CG82" s="108" t="n">
        <v>43.66</v>
      </c>
      <c r="CH82" s="107" t="n">
        <v>0</v>
      </c>
      <c r="CI82" s="107" t="inlineStr">
        <is>
          <t>CLEAR</t>
        </is>
      </c>
    </row>
    <row r="83" ht="17" customHeight="1">
      <c r="A83" s="103" t="inlineStr">
        <is>
          <t>NMIH</t>
        </is>
      </c>
      <c r="B83" s="103" t="inlineStr">
        <is>
          <t>NMI Holdings, Inc.</t>
        </is>
      </c>
      <c r="C83" s="113" t="inlineStr">
        <is>
          <t>N/A</t>
        </is>
      </c>
      <c r="D83" s="105" t="n">
        <v>0.71</v>
      </c>
      <c r="E83" s="105" t="n">
        <v>0.71</v>
      </c>
      <c r="F83" s="105" t="n">
        <v>0.55</v>
      </c>
      <c r="G83" s="105" t="n">
        <v>0.1</v>
      </c>
      <c r="H83" s="105" t="n">
        <v>0.11</v>
      </c>
      <c r="I83" s="105" t="n">
        <v>0.15</v>
      </c>
      <c r="J83" s="113" t="inlineStr">
        <is>
          <t>N/A</t>
        </is>
      </c>
      <c r="K83" s="105" t="n">
        <v>0.18</v>
      </c>
      <c r="L83" s="105" t="n">
        <v>0.18</v>
      </c>
      <c r="M83" s="105" t="n">
        <v>0.18</v>
      </c>
      <c r="N83" s="104" t="n">
        <v>0.19</v>
      </c>
      <c r="O83" s="113" t="inlineStr">
        <is>
          <t>N/A</t>
        </is>
      </c>
      <c r="P83" s="113" t="inlineStr">
        <is>
          <t>N/A</t>
        </is>
      </c>
      <c r="Q83" s="113" t="inlineStr">
        <is>
          <t>N/A</t>
        </is>
      </c>
      <c r="R83" s="113" t="inlineStr">
        <is>
          <t>N/A</t>
        </is>
      </c>
      <c r="S83" s="104" t="n">
        <v>0.33</v>
      </c>
      <c r="T83" s="104" t="n">
        <v>0.34</v>
      </c>
      <c r="U83" s="104" t="n">
        <v>0.15</v>
      </c>
      <c r="V83" s="104" t="n">
        <v>0.15</v>
      </c>
      <c r="W83" s="104" t="n">
        <v>1.08</v>
      </c>
      <c r="X83" s="105" t="n">
        <v>0.58</v>
      </c>
      <c r="Y83" s="105" t="n">
        <v>0</v>
      </c>
      <c r="Z83" s="105" t="n">
        <v>15.52</v>
      </c>
      <c r="AA83" s="105" t="n">
        <v>0.09</v>
      </c>
      <c r="AB83" s="105" t="n">
        <v>0.08</v>
      </c>
      <c r="AC83" s="104" t="n">
        <v>-0.01</v>
      </c>
      <c r="AD83" s="104" t="n">
        <v>-0.01</v>
      </c>
      <c r="AE83" s="113" t="inlineStr">
        <is>
          <t>N/A</t>
        </is>
      </c>
      <c r="AF83" s="104" t="n">
        <v>0.51</v>
      </c>
      <c r="AG83" s="104" t="n">
        <v>0.13</v>
      </c>
      <c r="AH83" s="104" t="n">
        <v>2.08</v>
      </c>
      <c r="AI83" s="104" t="n">
        <v>0.18</v>
      </c>
      <c r="AJ83" s="113" t="inlineStr">
        <is>
          <t>N/A</t>
        </is>
      </c>
      <c r="AK83" s="113" t="inlineStr">
        <is>
          <t>N/A</t>
        </is>
      </c>
      <c r="AL83" s="113" t="inlineStr">
        <is>
          <t>N/A</t>
        </is>
      </c>
      <c r="AM83" s="104" t="n">
        <v>0.51</v>
      </c>
      <c r="AN83" s="104" t="n">
        <v>0.13</v>
      </c>
      <c r="AO83" s="104" t="n">
        <v>2.08</v>
      </c>
      <c r="AP83" s="104" t="n">
        <v>0.18</v>
      </c>
      <c r="AQ83" s="113" t="inlineStr">
        <is>
          <t>N/A</t>
        </is>
      </c>
      <c r="AR83" s="113" t="inlineStr">
        <is>
          <t>N/A</t>
        </is>
      </c>
      <c r="AS83" s="113" t="inlineStr">
        <is>
          <t>N/A</t>
        </is>
      </c>
      <c r="AT83" s="104" t="n">
        <v>0.51</v>
      </c>
      <c r="AU83" s="104" t="n">
        <v>0.13</v>
      </c>
      <c r="AV83" s="104" t="n">
        <v>2.08</v>
      </c>
      <c r="AW83" s="113" t="inlineStr">
        <is>
          <t>N/A</t>
        </is>
      </c>
      <c r="AX83" s="113" t="inlineStr">
        <is>
          <t>N/A</t>
        </is>
      </c>
      <c r="AY83" s="113" t="inlineStr">
        <is>
          <t>N/A</t>
        </is>
      </c>
      <c r="AZ83" s="104" t="n">
        <v>0.13</v>
      </c>
      <c r="BA83" s="113" t="inlineStr">
        <is>
          <t>N/A</t>
        </is>
      </c>
      <c r="BB83" s="104" t="n">
        <v>0.18</v>
      </c>
      <c r="BC83" s="113" t="inlineStr">
        <is>
          <t>N/A</t>
        </is>
      </c>
      <c r="BD83" s="113" t="inlineStr">
        <is>
          <t>N/A</t>
        </is>
      </c>
      <c r="BE83" s="104" t="n">
        <v>0.1</v>
      </c>
      <c r="BF83" s="104" t="n">
        <v>0.33</v>
      </c>
      <c r="BG83" s="113" t="inlineStr">
        <is>
          <t>N/A</t>
        </is>
      </c>
      <c r="BH83" s="113" t="inlineStr">
        <is>
          <t>N/A</t>
        </is>
      </c>
      <c r="BI83" s="113" t="inlineStr">
        <is>
          <t>N/A</t>
        </is>
      </c>
      <c r="BJ83" s="113" t="inlineStr">
        <is>
          <t>N/A</t>
        </is>
      </c>
      <c r="BK83" s="103" t="n">
        <v>1</v>
      </c>
      <c r="BL83" s="103" t="n">
        <v>1</v>
      </c>
      <c r="BM83" s="103" t="n">
        <v>0</v>
      </c>
      <c r="BN83" s="103" t="n">
        <v>1</v>
      </c>
      <c r="BO83" s="103" t="n">
        <v>1</v>
      </c>
      <c r="BP83" s="103" t="n">
        <v>0</v>
      </c>
      <c r="BQ83" s="103" t="n">
        <v>1</v>
      </c>
      <c r="BR83" s="103" t="n">
        <v>0</v>
      </c>
      <c r="BS83" s="103" t="n">
        <v>0</v>
      </c>
      <c r="BT83" s="103" t="n">
        <v>5</v>
      </c>
      <c r="BU83" s="103" t="inlineStr">
        <is>
          <t>Mixed</t>
        </is>
      </c>
      <c r="BV83" s="113" t="inlineStr">
        <is>
          <t>N/A</t>
        </is>
      </c>
      <c r="BW83" s="113" t="inlineStr">
        <is>
          <t>N/A</t>
        </is>
      </c>
      <c r="BX83" s="104" t="n">
        <v>1</v>
      </c>
      <c r="BY83" s="104" t="n">
        <v>1.09</v>
      </c>
      <c r="BZ83" s="104" t="n">
        <v>0.93</v>
      </c>
      <c r="CA83" s="113" t="inlineStr">
        <is>
          <t>N/A</t>
        </is>
      </c>
      <c r="CB83" s="104" t="n">
        <v>0.96</v>
      </c>
      <c r="CC83" s="104" t="n">
        <v>-0.01</v>
      </c>
      <c r="CD83" s="113" t="inlineStr">
        <is>
          <t>N/A</t>
        </is>
      </c>
      <c r="CE83" s="113" t="inlineStr">
        <is>
          <t>N/A</t>
        </is>
      </c>
      <c r="CF83" s="104" t="n">
        <v>0.74</v>
      </c>
      <c r="CG83" s="104" t="n">
        <v>44.99</v>
      </c>
      <c r="CH83" s="103" t="n">
        <v>0</v>
      </c>
      <c r="CI83" s="103" t="inlineStr">
        <is>
          <t>CLEAR</t>
        </is>
      </c>
    </row>
    <row r="84" ht="17" customHeight="1">
      <c r="A84" s="107" t="inlineStr">
        <is>
          <t>RPM</t>
        </is>
      </c>
      <c r="B84" s="107" t="inlineStr">
        <is>
          <t>RPM International Inc.</t>
        </is>
      </c>
      <c r="C84" s="108" t="n">
        <v>1702851000</v>
      </c>
      <c r="D84" s="109" t="n">
        <v>0.15</v>
      </c>
      <c r="E84" s="109" t="n">
        <v>0.15</v>
      </c>
      <c r="F84" s="109" t="n">
        <v>0.13</v>
      </c>
      <c r="G84" s="109" t="n">
        <v>0.09</v>
      </c>
      <c r="H84" s="109" t="n">
        <v>0.09</v>
      </c>
      <c r="I84" s="109" t="n">
        <v>0.24</v>
      </c>
      <c r="J84" s="109" t="n">
        <v>0.13</v>
      </c>
      <c r="K84" s="109" t="n">
        <v>0.57</v>
      </c>
      <c r="L84" s="109" t="n">
        <v>1.93</v>
      </c>
      <c r="M84" s="109" t="n">
        <v>0.68</v>
      </c>
      <c r="N84" s="108" t="n">
        <v>0.24</v>
      </c>
      <c r="O84" s="108" t="n">
        <v>2.16</v>
      </c>
      <c r="P84" s="108" t="n">
        <v>1.97</v>
      </c>
      <c r="Q84" s="108" t="n">
        <v>1.45</v>
      </c>
      <c r="R84" s="108" t="n">
        <v>0.21</v>
      </c>
      <c r="S84" s="108" t="n">
        <v>1</v>
      </c>
      <c r="T84" s="108" t="n">
        <v>1</v>
      </c>
      <c r="U84" s="108" t="n">
        <v>0.48</v>
      </c>
      <c r="V84" s="108" t="n">
        <v>0.37</v>
      </c>
      <c r="W84" s="108" t="n">
        <v>1.12</v>
      </c>
      <c r="X84" s="109" t="n">
        <v>0.1</v>
      </c>
      <c r="Y84" s="109" t="n">
        <v>0.02</v>
      </c>
      <c r="Z84" s="109" t="n">
        <v>8.210000000000001</v>
      </c>
      <c r="AA84" s="109" t="n">
        <v>2.42</v>
      </c>
      <c r="AB84" s="109" t="n">
        <v>0.17</v>
      </c>
      <c r="AC84" s="108" t="n">
        <v>-0.01</v>
      </c>
      <c r="AD84" s="108" t="n">
        <v>-0.01</v>
      </c>
      <c r="AE84" s="108" t="n">
        <v>0.22</v>
      </c>
      <c r="AF84" s="108" t="n">
        <v>0.41</v>
      </c>
      <c r="AG84" s="108" t="n">
        <v>0.1</v>
      </c>
      <c r="AH84" s="108" t="n">
        <v>0.37</v>
      </c>
      <c r="AI84" s="108" t="n">
        <v>0.68</v>
      </c>
      <c r="AJ84" s="108" t="n">
        <v>2.08</v>
      </c>
      <c r="AK84" s="106" t="inlineStr">
        <is>
          <t>Grey</t>
        </is>
      </c>
      <c r="AL84" s="108" t="n">
        <v>0.22</v>
      </c>
      <c r="AM84" s="108" t="n">
        <v>0.41</v>
      </c>
      <c r="AN84" s="108" t="n">
        <v>0.1</v>
      </c>
      <c r="AO84" s="108" t="n">
        <v>0.37</v>
      </c>
      <c r="AP84" s="108" t="n">
        <v>0.68</v>
      </c>
      <c r="AQ84" s="107" t="n">
        <v>1.66</v>
      </c>
      <c r="AR84" s="107" t="inlineStr">
        <is>
          <t>Grey</t>
        </is>
      </c>
      <c r="AS84" s="108" t="n">
        <v>0.22</v>
      </c>
      <c r="AT84" s="108" t="n">
        <v>0.41</v>
      </c>
      <c r="AU84" s="108" t="n">
        <v>0.1</v>
      </c>
      <c r="AV84" s="108" t="n">
        <v>0.37</v>
      </c>
      <c r="AW84" s="107" t="n">
        <v>3.85</v>
      </c>
      <c r="AX84" s="107" t="inlineStr">
        <is>
          <t>Safe</t>
        </is>
      </c>
      <c r="AY84" s="108" t="n">
        <v>0.22</v>
      </c>
      <c r="AZ84" s="108" t="n">
        <v>0.1</v>
      </c>
      <c r="BA84" s="108" t="n">
        <v>0.54</v>
      </c>
      <c r="BB84" s="108" t="n">
        <v>0.68</v>
      </c>
      <c r="BC84" s="107" t="n">
        <v>1.17</v>
      </c>
      <c r="BD84" s="107" t="inlineStr">
        <is>
          <t>Healthy</t>
        </is>
      </c>
      <c r="BE84" s="108" t="n">
        <v>0.09</v>
      </c>
      <c r="BF84" s="108" t="n">
        <v>1</v>
      </c>
      <c r="BG84" s="108" t="n">
        <v>2.16</v>
      </c>
      <c r="BH84" s="108" t="n">
        <v>0.95</v>
      </c>
      <c r="BI84" s="107" t="n">
        <v>0.72</v>
      </c>
      <c r="BJ84" s="107" t="inlineStr">
        <is>
          <t>Distress</t>
        </is>
      </c>
      <c r="BK84" s="107" t="n">
        <v>1</v>
      </c>
      <c r="BL84" s="107" t="n">
        <v>1</v>
      </c>
      <c r="BM84" s="107" t="n">
        <v>0</v>
      </c>
      <c r="BN84" s="107" t="n">
        <v>1</v>
      </c>
      <c r="BO84" s="107" t="n">
        <v>0</v>
      </c>
      <c r="BP84" s="107" t="n">
        <v>1</v>
      </c>
      <c r="BQ84" s="107" t="n">
        <v>1</v>
      </c>
      <c r="BR84" s="107" t="n">
        <v>0</v>
      </c>
      <c r="BS84" s="107" t="n">
        <v>1</v>
      </c>
      <c r="BT84" s="107" t="n">
        <v>6</v>
      </c>
      <c r="BU84" s="107" t="inlineStr">
        <is>
          <t>Mixed</t>
        </is>
      </c>
      <c r="BV84" s="108" t="n">
        <v>0.31</v>
      </c>
      <c r="BW84" s="108" t="n">
        <v>3.38</v>
      </c>
      <c r="BX84" s="108" t="n">
        <v>1.12</v>
      </c>
      <c r="BY84" s="108" t="n">
        <v>3.42</v>
      </c>
      <c r="BZ84" s="108" t="n">
        <v>1</v>
      </c>
      <c r="CA84" s="108" t="n">
        <v>0.3</v>
      </c>
      <c r="CB84" s="108" t="n">
        <v>1</v>
      </c>
      <c r="CC84" s="108" t="n">
        <v>-0.01</v>
      </c>
      <c r="CD84" s="107" t="n">
        <v>0.42</v>
      </c>
      <c r="CE84" s="107" t="inlineStr">
        <is>
          <t>Higher Risk</t>
        </is>
      </c>
      <c r="CF84" s="108" t="n">
        <v>1.11</v>
      </c>
      <c r="CG84" s="108" t="n">
        <v>47.65</v>
      </c>
      <c r="CH84" s="107" t="n">
        <v>20</v>
      </c>
      <c r="CI84" s="107" t="inlineStr">
        <is>
          <t>CLEAR</t>
        </is>
      </c>
    </row>
    <row r="85" ht="17" customHeight="1">
      <c r="A85" s="103" t="inlineStr">
        <is>
          <t>WMB</t>
        </is>
      </c>
      <c r="B85" s="103" t="inlineStr">
        <is>
          <t>WILLIAMS COMPANIES, INC.</t>
        </is>
      </c>
      <c r="C85" s="104" t="n">
        <v>-2862000000</v>
      </c>
      <c r="D85" s="105" t="n">
        <v>0.35</v>
      </c>
      <c r="E85" s="105" t="n">
        <v>0.3</v>
      </c>
      <c r="F85" s="105" t="n">
        <v>0.22</v>
      </c>
      <c r="G85" s="105" t="n">
        <v>0.04</v>
      </c>
      <c r="H85" s="105" t="n">
        <v>0.04</v>
      </c>
      <c r="I85" s="105" t="n">
        <v>0.2</v>
      </c>
      <c r="J85" s="105" t="n">
        <v>0.08</v>
      </c>
      <c r="K85" s="105" t="n">
        <v>0.71</v>
      </c>
      <c r="L85" s="105" t="n">
        <v>0.63</v>
      </c>
      <c r="M85" s="105" t="n">
        <v>0.2</v>
      </c>
      <c r="N85" s="104" t="n">
        <v>0.19</v>
      </c>
      <c r="O85" s="104" t="n">
        <v>0.53</v>
      </c>
      <c r="P85" s="104" t="n">
        <v>0.5</v>
      </c>
      <c r="Q85" s="104" t="n">
        <v>0.48</v>
      </c>
      <c r="R85" s="104" t="n">
        <v>0.02</v>
      </c>
      <c r="S85" s="104" t="n">
        <v>1</v>
      </c>
      <c r="T85" s="104" t="n">
        <v>1</v>
      </c>
      <c r="U85" s="104" t="n">
        <v>0.04</v>
      </c>
      <c r="V85" s="104" t="n">
        <v>0.03</v>
      </c>
      <c r="W85" s="104" t="n">
        <v>2.25</v>
      </c>
      <c r="X85" s="105" t="n">
        <v>0.08</v>
      </c>
      <c r="Y85" s="105" t="n">
        <v>0</v>
      </c>
      <c r="Z85" s="105" t="n">
        <v>3.39</v>
      </c>
      <c r="AA85" s="105" t="n">
        <v>0.14</v>
      </c>
      <c r="AB85" s="105" t="n">
        <v>0.18</v>
      </c>
      <c r="AC85" s="104" t="n">
        <v>-0.06</v>
      </c>
      <c r="AD85" s="104" t="n">
        <v>-0.06</v>
      </c>
      <c r="AE85" s="104" t="n">
        <v>-0.05</v>
      </c>
      <c r="AF85" s="104" t="n">
        <v>-0.21</v>
      </c>
      <c r="AG85" s="104" t="n">
        <v>0.07000000000000001</v>
      </c>
      <c r="AH85" s="104" t="n">
        <v>0.22</v>
      </c>
      <c r="AI85" s="104" t="n">
        <v>0.2</v>
      </c>
      <c r="AJ85" s="104" t="n">
        <v>0.22</v>
      </c>
      <c r="AK85" s="112" t="inlineStr">
        <is>
          <t>Distress</t>
        </is>
      </c>
      <c r="AL85" s="104" t="n">
        <v>-0.05</v>
      </c>
      <c r="AM85" s="104" t="n">
        <v>-0.21</v>
      </c>
      <c r="AN85" s="104" t="n">
        <v>0.07000000000000001</v>
      </c>
      <c r="AO85" s="104" t="n">
        <v>0.22</v>
      </c>
      <c r="AP85" s="104" t="n">
        <v>0.2</v>
      </c>
      <c r="AQ85" s="103" t="n">
        <v>0.31</v>
      </c>
      <c r="AR85" s="103" t="inlineStr">
        <is>
          <t>Distress</t>
        </is>
      </c>
      <c r="AS85" s="104" t="n">
        <v>-0.05</v>
      </c>
      <c r="AT85" s="104" t="n">
        <v>-0.21</v>
      </c>
      <c r="AU85" s="104" t="n">
        <v>0.07000000000000001</v>
      </c>
      <c r="AV85" s="104" t="n">
        <v>0.22</v>
      </c>
      <c r="AW85" s="103" t="n">
        <v>-0.29</v>
      </c>
      <c r="AX85" s="103" t="inlineStr">
        <is>
          <t>Distress</t>
        </is>
      </c>
      <c r="AY85" s="104" t="n">
        <v>-0.05</v>
      </c>
      <c r="AZ85" s="104" t="n">
        <v>0.07000000000000001</v>
      </c>
      <c r="BA85" s="104" t="n">
        <v>0.59</v>
      </c>
      <c r="BB85" s="104" t="n">
        <v>0.2</v>
      </c>
      <c r="BC85" s="103" t="n">
        <v>0.64</v>
      </c>
      <c r="BD85" s="103" t="inlineStr">
        <is>
          <t>Distress</t>
        </is>
      </c>
      <c r="BE85" s="104" t="n">
        <v>0.04</v>
      </c>
      <c r="BF85" s="104" t="n">
        <v>1</v>
      </c>
      <c r="BG85" s="104" t="n">
        <v>0.53</v>
      </c>
      <c r="BH85" s="104" t="n">
        <v>1.14</v>
      </c>
      <c r="BI85" s="103" t="n">
        <v>0.76</v>
      </c>
      <c r="BJ85" s="103" t="inlineStr">
        <is>
          <t>Distress</t>
        </is>
      </c>
      <c r="BK85" s="103" t="n">
        <v>1</v>
      </c>
      <c r="BL85" s="103" t="n">
        <v>1</v>
      </c>
      <c r="BM85" s="103" t="n">
        <v>1</v>
      </c>
      <c r="BN85" s="103" t="n">
        <v>1</v>
      </c>
      <c r="BO85" s="103" t="n">
        <v>0</v>
      </c>
      <c r="BP85" s="103" t="n">
        <v>1</v>
      </c>
      <c r="BQ85" s="103" t="n">
        <v>0</v>
      </c>
      <c r="BR85" s="103" t="n">
        <v>1</v>
      </c>
      <c r="BS85" s="103" t="n">
        <v>1</v>
      </c>
      <c r="BT85" s="103" t="n">
        <v>7</v>
      </c>
      <c r="BU85" s="103" t="inlineStr">
        <is>
          <t>Strong</t>
        </is>
      </c>
      <c r="BV85" s="104" t="n">
        <v>0.98</v>
      </c>
      <c r="BW85" s="104" t="n">
        <v>0.88</v>
      </c>
      <c r="BX85" s="104" t="n">
        <v>0.9399999999999999</v>
      </c>
      <c r="BY85" s="104" t="n">
        <v>1.14</v>
      </c>
      <c r="BZ85" s="104" t="n">
        <v>0.95</v>
      </c>
      <c r="CA85" s="104" t="n">
        <v>0.9399999999999999</v>
      </c>
      <c r="CB85" s="104" t="n">
        <v>1</v>
      </c>
      <c r="CC85" s="104" t="n">
        <v>-0.06</v>
      </c>
      <c r="CD85" s="103" t="n">
        <v>-2.71</v>
      </c>
      <c r="CE85" s="103" t="inlineStr">
        <is>
          <t>Lower Risk</t>
        </is>
      </c>
      <c r="CF85" s="104" t="n">
        <v>0.07000000000000001</v>
      </c>
      <c r="CG85" s="104" t="n">
        <v>51.79</v>
      </c>
      <c r="CH85" s="103" t="n">
        <v>0</v>
      </c>
      <c r="CI85" s="103" t="inlineStr">
        <is>
          <t>CLEAR</t>
        </is>
      </c>
    </row>
    <row r="86" ht="17" customHeight="1">
      <c r="A86" s="107" t="inlineStr">
        <is>
          <t>PCOR</t>
        </is>
      </c>
      <c r="B86" s="107" t="inlineStr">
        <is>
          <t>Procore Technologies, Inc.</t>
        </is>
      </c>
      <c r="C86" s="108" t="n">
        <v>282275000</v>
      </c>
      <c r="D86" s="109" t="n">
        <v>-0.09</v>
      </c>
      <c r="E86" s="109" t="n">
        <v>-0.07000000000000001</v>
      </c>
      <c r="F86" s="109" t="n">
        <v>-0.08</v>
      </c>
      <c r="G86" s="109" t="n">
        <v>-0.05</v>
      </c>
      <c r="H86" s="109" t="n">
        <v>-0.05</v>
      </c>
      <c r="I86" s="109" t="n">
        <v>-0.08</v>
      </c>
      <c r="J86" s="109" t="n">
        <v>-0.09</v>
      </c>
      <c r="K86" s="109" t="n">
        <v>0.8</v>
      </c>
      <c r="L86" s="109" t="n">
        <v>0.82</v>
      </c>
      <c r="M86" s="109" t="n">
        <v>0.59</v>
      </c>
      <c r="N86" s="108" t="n">
        <v>0.55</v>
      </c>
      <c r="O86" s="108" t="n">
        <v>1.32</v>
      </c>
      <c r="P86" s="108" t="n">
        <v>1.51</v>
      </c>
      <c r="Q86" s="108" t="n">
        <v>1.32</v>
      </c>
      <c r="R86" s="108" t="n">
        <v>0.54</v>
      </c>
      <c r="S86" s="108" t="n">
        <v>0.44</v>
      </c>
      <c r="T86" s="108" t="n">
        <v>0.39</v>
      </c>
      <c r="U86" s="111" t="inlineStr">
        <is>
          <t>N/A</t>
        </is>
      </c>
      <c r="V86" s="111" t="inlineStr">
        <is>
          <t>N/A</t>
        </is>
      </c>
      <c r="W86" s="108" t="n">
        <v>-2.98</v>
      </c>
      <c r="X86" s="109" t="n">
        <v>0.21</v>
      </c>
      <c r="Y86" s="109" t="n">
        <v>0.27</v>
      </c>
      <c r="Z86" s="109" t="n">
        <v>-63.54</v>
      </c>
      <c r="AA86" s="109" t="n">
        <v>0.15</v>
      </c>
      <c r="AB86" s="109" t="n">
        <v>-0.05</v>
      </c>
      <c r="AC86" s="108" t="n">
        <v>-0.18</v>
      </c>
      <c r="AD86" s="108" t="n">
        <v>-0.18</v>
      </c>
      <c r="AE86" s="108" t="n">
        <v>0.13</v>
      </c>
      <c r="AF86" s="108" t="n">
        <v>-0.6</v>
      </c>
      <c r="AG86" s="108" t="n">
        <v>-0.06</v>
      </c>
      <c r="AH86" s="108" t="n">
        <v>1.29</v>
      </c>
      <c r="AI86" s="108" t="n">
        <v>0.59</v>
      </c>
      <c r="AJ86" s="108" t="n">
        <v>0.49</v>
      </c>
      <c r="AK86" s="112" t="inlineStr">
        <is>
          <t>Distress</t>
        </is>
      </c>
      <c r="AL86" s="108" t="n">
        <v>0.13</v>
      </c>
      <c r="AM86" s="108" t="n">
        <v>-0.6</v>
      </c>
      <c r="AN86" s="108" t="n">
        <v>-0.06</v>
      </c>
      <c r="AO86" s="108" t="n">
        <v>1.29</v>
      </c>
      <c r="AP86" s="108" t="n">
        <v>0.59</v>
      </c>
      <c r="AQ86" s="107" t="n">
        <v>0.54</v>
      </c>
      <c r="AR86" s="107" t="inlineStr">
        <is>
          <t>Distress</t>
        </is>
      </c>
      <c r="AS86" s="108" t="n">
        <v>0.13</v>
      </c>
      <c r="AT86" s="108" t="n">
        <v>-0.6</v>
      </c>
      <c r="AU86" s="108" t="n">
        <v>-0.06</v>
      </c>
      <c r="AV86" s="108" t="n">
        <v>1.29</v>
      </c>
      <c r="AW86" s="107" t="n">
        <v>-0.15</v>
      </c>
      <c r="AX86" s="107" t="inlineStr">
        <is>
          <t>Distress</t>
        </is>
      </c>
      <c r="AY86" s="108" t="n">
        <v>0.13</v>
      </c>
      <c r="AZ86" s="108" t="n">
        <v>-0.06</v>
      </c>
      <c r="BA86" s="108" t="n">
        <v>-0.11</v>
      </c>
      <c r="BB86" s="108" t="n">
        <v>0.59</v>
      </c>
      <c r="BC86" s="107" t="n">
        <v>0.13</v>
      </c>
      <c r="BD86" s="107" t="inlineStr">
        <is>
          <t>Distress</t>
        </is>
      </c>
      <c r="BE86" s="108" t="n">
        <v>-0.05</v>
      </c>
      <c r="BF86" s="108" t="n">
        <v>0.44</v>
      </c>
      <c r="BG86" s="108" t="n">
        <v>1.32</v>
      </c>
      <c r="BH86" s="108" t="n">
        <v>-1.65</v>
      </c>
      <c r="BI86" s="107" t="n">
        <v>0.16</v>
      </c>
      <c r="BJ86" s="107" t="inlineStr">
        <is>
          <t>Healthy</t>
        </is>
      </c>
      <c r="BK86" s="107" t="n">
        <v>0</v>
      </c>
      <c r="BL86" s="107" t="n">
        <v>1</v>
      </c>
      <c r="BM86" s="107" t="n">
        <v>1</v>
      </c>
      <c r="BN86" s="107" t="n">
        <v>1</v>
      </c>
      <c r="BO86" s="107" t="n">
        <v>0</v>
      </c>
      <c r="BP86" s="107" t="n">
        <v>0</v>
      </c>
      <c r="BQ86" s="107" t="n">
        <v>0</v>
      </c>
      <c r="BR86" s="107" t="n">
        <v>0</v>
      </c>
      <c r="BS86" s="107" t="n">
        <v>1</v>
      </c>
      <c r="BT86" s="107" t="n">
        <v>4</v>
      </c>
      <c r="BU86" s="107" t="inlineStr">
        <is>
          <t>Mixed</t>
        </is>
      </c>
      <c r="BV86" s="108" t="n">
        <v>1.02</v>
      </c>
      <c r="BW86" s="108" t="n">
        <v>1.03</v>
      </c>
      <c r="BX86" s="108" t="n">
        <v>1</v>
      </c>
      <c r="BY86" s="108" t="n">
        <v>1.15</v>
      </c>
      <c r="BZ86" s="108" t="n">
        <v>0.97</v>
      </c>
      <c r="CA86" s="108" t="n">
        <v>0.93</v>
      </c>
      <c r="CB86" s="108" t="n">
        <v>1.13</v>
      </c>
      <c r="CC86" s="108" t="n">
        <v>-0.18</v>
      </c>
      <c r="CD86" s="107" t="n">
        <v>-3.19</v>
      </c>
      <c r="CE86" s="107" t="inlineStr">
        <is>
          <t>Lower Risk</t>
        </is>
      </c>
      <c r="CF86" s="111" t="inlineStr">
        <is>
          <t>N/A</t>
        </is>
      </c>
      <c r="CG86" s="108" t="n">
        <v>42.33</v>
      </c>
      <c r="CH86" s="106" t="n">
        <v>40</v>
      </c>
      <c r="CI86" s="107" t="inlineStr">
        <is>
          <t>WATCH</t>
        </is>
      </c>
    </row>
    <row r="87" ht="17" customHeight="1">
      <c r="A87" s="103" t="inlineStr">
        <is>
          <t>DGX</t>
        </is>
      </c>
      <c r="B87" s="103" t="inlineStr">
        <is>
          <t>QUEST DIAGNOSTICS INC</t>
        </is>
      </c>
      <c r="C87" s="104" t="n">
        <v>100000000</v>
      </c>
      <c r="D87" s="105" t="n">
        <v>0.14</v>
      </c>
      <c r="E87" s="105" t="n">
        <v>0.11</v>
      </c>
      <c r="F87" s="105" t="n">
        <v>0.09</v>
      </c>
      <c r="G87" s="105" t="n">
        <v>0.06</v>
      </c>
      <c r="H87" s="105" t="n">
        <v>0.05</v>
      </c>
      <c r="I87" s="105" t="n">
        <v>0.14</v>
      </c>
      <c r="J87" s="105" t="n">
        <v>0.11</v>
      </c>
      <c r="K87" s="105" t="n">
        <v>0.33</v>
      </c>
      <c r="L87" s="105" t="n">
        <v>0.13</v>
      </c>
      <c r="M87" s="105" t="n">
        <v>0.68</v>
      </c>
      <c r="N87" s="104" t="n">
        <v>0.61</v>
      </c>
      <c r="O87" s="104" t="n">
        <v>1.04</v>
      </c>
      <c r="P87" s="104" t="n">
        <v>1.1</v>
      </c>
      <c r="Q87" s="104" t="n">
        <v>0.96</v>
      </c>
      <c r="R87" s="104" t="n">
        <v>0.18</v>
      </c>
      <c r="S87" s="104" t="n">
        <v>1</v>
      </c>
      <c r="T87" s="104" t="n">
        <v>1</v>
      </c>
      <c r="U87" s="104" t="n">
        <v>0.8</v>
      </c>
      <c r="V87" s="104" t="n">
        <v>0.74</v>
      </c>
      <c r="W87" s="104" t="n">
        <v>1.9</v>
      </c>
      <c r="X87" s="105" t="n">
        <v>0.12</v>
      </c>
      <c r="Y87" s="113" t="inlineStr">
        <is>
          <t>N/A</t>
        </is>
      </c>
      <c r="Z87" s="105" t="n">
        <v>9.550000000000001</v>
      </c>
      <c r="AA87" s="105" t="n">
        <v>0.12</v>
      </c>
      <c r="AB87" s="105" t="n">
        <v>0.14</v>
      </c>
      <c r="AC87" s="104" t="n">
        <v>-0.06</v>
      </c>
      <c r="AD87" s="104" t="n">
        <v>-0.06</v>
      </c>
      <c r="AE87" s="104" t="n">
        <v>0.01</v>
      </c>
      <c r="AF87" s="104" t="n">
        <v>0.62</v>
      </c>
      <c r="AG87" s="104" t="n">
        <v>0.1</v>
      </c>
      <c r="AH87" s="104" t="n">
        <v>0.44</v>
      </c>
      <c r="AI87" s="104" t="n">
        <v>0.68</v>
      </c>
      <c r="AJ87" s="104" t="n">
        <v>2.13</v>
      </c>
      <c r="AK87" s="106" t="inlineStr">
        <is>
          <t>Grey</t>
        </is>
      </c>
      <c r="AL87" s="104" t="n">
        <v>0.01</v>
      </c>
      <c r="AM87" s="104" t="n">
        <v>0.62</v>
      </c>
      <c r="AN87" s="104" t="n">
        <v>0.1</v>
      </c>
      <c r="AO87" s="104" t="n">
        <v>0.44</v>
      </c>
      <c r="AP87" s="104" t="n">
        <v>0.68</v>
      </c>
      <c r="AQ87" s="103" t="n">
        <v>1.69</v>
      </c>
      <c r="AR87" s="103" t="inlineStr">
        <is>
          <t>Grey</t>
        </is>
      </c>
      <c r="AS87" s="104" t="n">
        <v>0.01</v>
      </c>
      <c r="AT87" s="104" t="n">
        <v>0.62</v>
      </c>
      <c r="AU87" s="104" t="n">
        <v>0.1</v>
      </c>
      <c r="AV87" s="104" t="n">
        <v>0.44</v>
      </c>
      <c r="AW87" s="103" t="n">
        <v>3.16</v>
      </c>
      <c r="AX87" s="103" t="inlineStr">
        <is>
          <t>Safe</t>
        </is>
      </c>
      <c r="AY87" s="104" t="n">
        <v>0.01</v>
      </c>
      <c r="AZ87" s="104" t="n">
        <v>0.1</v>
      </c>
      <c r="BA87" s="104" t="n">
        <v>0.53</v>
      </c>
      <c r="BB87" s="104" t="n">
        <v>0.68</v>
      </c>
      <c r="BC87" s="103" t="n">
        <v>0.92</v>
      </c>
      <c r="BD87" s="103" t="inlineStr">
        <is>
          <t>Healthy</t>
        </is>
      </c>
      <c r="BE87" s="104" t="n">
        <v>0.06</v>
      </c>
      <c r="BF87" s="104" t="n">
        <v>1</v>
      </c>
      <c r="BG87" s="104" t="n">
        <v>1.04</v>
      </c>
      <c r="BH87" s="104" t="n">
        <v>1.07</v>
      </c>
      <c r="BI87" s="103" t="n">
        <v>0.74</v>
      </c>
      <c r="BJ87" s="103" t="inlineStr">
        <is>
          <t>Distress</t>
        </is>
      </c>
      <c r="BK87" s="103" t="n">
        <v>1</v>
      </c>
      <c r="BL87" s="103" t="n">
        <v>1</v>
      </c>
      <c r="BM87" s="103" t="n">
        <v>1</v>
      </c>
      <c r="BN87" s="103" t="n">
        <v>1</v>
      </c>
      <c r="BO87" s="103" t="n">
        <v>1</v>
      </c>
      <c r="BP87" s="103" t="n">
        <v>0</v>
      </c>
      <c r="BQ87" s="103" t="n">
        <v>1</v>
      </c>
      <c r="BR87" s="103" t="n">
        <v>1</v>
      </c>
      <c r="BS87" s="103" t="n">
        <v>1</v>
      </c>
      <c r="BT87" s="103" t="n">
        <v>8</v>
      </c>
      <c r="BU87" s="103" t="inlineStr">
        <is>
          <t>Strong</t>
        </is>
      </c>
      <c r="BV87" s="104" t="n">
        <v>0.97</v>
      </c>
      <c r="BW87" s="104" t="n">
        <v>0.39</v>
      </c>
      <c r="BX87" s="104" t="n">
        <v>1</v>
      </c>
      <c r="BY87" s="104" t="n">
        <v>1.12</v>
      </c>
      <c r="BZ87" s="104" t="n">
        <v>0.92</v>
      </c>
      <c r="CA87" s="104" t="n">
        <v>0.99</v>
      </c>
      <c r="CB87" s="104" t="n">
        <v>1</v>
      </c>
      <c r="CC87" s="104" t="n">
        <v>-0.06</v>
      </c>
      <c r="CD87" s="103" t="n">
        <v>-3</v>
      </c>
      <c r="CE87" s="103" t="inlineStr">
        <is>
          <t>Lower Risk</t>
        </is>
      </c>
      <c r="CF87" s="104" t="n">
        <v>2.49</v>
      </c>
      <c r="CG87" s="104" t="n">
        <v>60.52</v>
      </c>
      <c r="CH87" s="103" t="n">
        <v>0</v>
      </c>
      <c r="CI87" s="103" t="inlineStr">
        <is>
          <t>CLEAR</t>
        </is>
      </c>
    </row>
    <row r="88" ht="17" customHeight="1">
      <c r="A88" s="107" t="inlineStr">
        <is>
          <t>DLR</t>
        </is>
      </c>
      <c r="B88" s="107" t="inlineStr">
        <is>
          <t>DIGITAL REALTY TRUST, INC.</t>
        </is>
      </c>
      <c r="C88" s="111" t="inlineStr">
        <is>
          <t>N/A</t>
        </is>
      </c>
      <c r="D88" s="109" t="n">
        <v>0.11</v>
      </c>
      <c r="E88" s="109" t="n">
        <v>0.22</v>
      </c>
      <c r="F88" s="109" t="n">
        <v>0.21</v>
      </c>
      <c r="G88" s="109" t="n">
        <v>0.03</v>
      </c>
      <c r="H88" s="109" t="n">
        <v>0.01</v>
      </c>
      <c r="I88" s="109" t="n">
        <v>0.06</v>
      </c>
      <c r="J88" s="111" t="inlineStr">
        <is>
          <t>N/A</t>
        </is>
      </c>
      <c r="K88" s="109" t="n">
        <v>0.11</v>
      </c>
      <c r="L88" s="109" t="n">
        <v>0.08</v>
      </c>
      <c r="M88" s="109" t="n">
        <v>0.12</v>
      </c>
      <c r="N88" s="108" t="n">
        <v>0.12</v>
      </c>
      <c r="O88" s="111" t="inlineStr">
        <is>
          <t>N/A</t>
        </is>
      </c>
      <c r="P88" s="111" t="inlineStr">
        <is>
          <t>N/A</t>
        </is>
      </c>
      <c r="Q88" s="111" t="inlineStr">
        <is>
          <t>N/A</t>
        </is>
      </c>
      <c r="R88" s="111" t="inlineStr">
        <is>
          <t>N/A</t>
        </is>
      </c>
      <c r="S88" s="108" t="n">
        <v>0.5</v>
      </c>
      <c r="T88" s="108" t="n">
        <v>0.49</v>
      </c>
      <c r="U88" s="108" t="n">
        <v>0.13</v>
      </c>
      <c r="V88" s="108" t="n">
        <v>-0.02</v>
      </c>
      <c r="W88" s="108" t="n">
        <v>1.84</v>
      </c>
      <c r="X88" s="111" t="inlineStr">
        <is>
          <t>N/A</t>
        </is>
      </c>
      <c r="Y88" s="109" t="n">
        <v>0</v>
      </c>
      <c r="Z88" s="109" t="n">
        <v>1.5</v>
      </c>
      <c r="AA88" s="109" t="n">
        <v>0.1</v>
      </c>
      <c r="AB88" s="109" t="n">
        <v>1.17</v>
      </c>
      <c r="AC88" s="108" t="n">
        <v>-0.02</v>
      </c>
      <c r="AD88" s="108" t="n">
        <v>-0.02</v>
      </c>
      <c r="AE88" s="111" t="inlineStr">
        <is>
          <t>N/A</t>
        </is>
      </c>
      <c r="AF88" s="108" t="n">
        <v>-0.14</v>
      </c>
      <c r="AG88" s="108" t="n">
        <v>0.01</v>
      </c>
      <c r="AH88" s="108" t="n">
        <v>0.93</v>
      </c>
      <c r="AI88" s="108" t="n">
        <v>0.12</v>
      </c>
      <c r="AJ88" s="111" t="inlineStr">
        <is>
          <t>N/A</t>
        </is>
      </c>
      <c r="AK88" s="111" t="inlineStr">
        <is>
          <t>N/A</t>
        </is>
      </c>
      <c r="AL88" s="111" t="inlineStr">
        <is>
          <t>N/A</t>
        </is>
      </c>
      <c r="AM88" s="108" t="n">
        <v>-0.14</v>
      </c>
      <c r="AN88" s="108" t="n">
        <v>0.01</v>
      </c>
      <c r="AO88" s="108" t="n">
        <v>0.93</v>
      </c>
      <c r="AP88" s="108" t="n">
        <v>0.12</v>
      </c>
      <c r="AQ88" s="111" t="inlineStr">
        <is>
          <t>N/A</t>
        </is>
      </c>
      <c r="AR88" s="111" t="inlineStr">
        <is>
          <t>N/A</t>
        </is>
      </c>
      <c r="AS88" s="111" t="inlineStr">
        <is>
          <t>N/A</t>
        </is>
      </c>
      <c r="AT88" s="108" t="n">
        <v>-0.14</v>
      </c>
      <c r="AU88" s="108" t="n">
        <v>0.01</v>
      </c>
      <c r="AV88" s="108" t="n">
        <v>0.93</v>
      </c>
      <c r="AW88" s="111" t="inlineStr">
        <is>
          <t>N/A</t>
        </is>
      </c>
      <c r="AX88" s="111" t="inlineStr">
        <is>
          <t>N/A</t>
        </is>
      </c>
      <c r="AY88" s="111" t="inlineStr">
        <is>
          <t>N/A</t>
        </is>
      </c>
      <c r="AZ88" s="108" t="n">
        <v>0.01</v>
      </c>
      <c r="BA88" s="111" t="inlineStr">
        <is>
          <t>N/A</t>
        </is>
      </c>
      <c r="BB88" s="108" t="n">
        <v>0.12</v>
      </c>
      <c r="BC88" s="111" t="inlineStr">
        <is>
          <t>N/A</t>
        </is>
      </c>
      <c r="BD88" s="111" t="inlineStr">
        <is>
          <t>N/A</t>
        </is>
      </c>
      <c r="BE88" s="108" t="n">
        <v>0.03</v>
      </c>
      <c r="BF88" s="108" t="n">
        <v>0.5</v>
      </c>
      <c r="BG88" s="111" t="inlineStr">
        <is>
          <t>N/A</t>
        </is>
      </c>
      <c r="BH88" s="111" t="inlineStr">
        <is>
          <t>N/A</t>
        </is>
      </c>
      <c r="BI88" s="111" t="inlineStr">
        <is>
          <t>N/A</t>
        </is>
      </c>
      <c r="BJ88" s="111" t="inlineStr">
        <is>
          <t>N/A</t>
        </is>
      </c>
      <c r="BK88" s="107" t="n">
        <v>1</v>
      </c>
      <c r="BL88" s="107" t="n">
        <v>1</v>
      </c>
      <c r="BM88" s="107" t="n">
        <v>1</v>
      </c>
      <c r="BN88" s="107" t="n">
        <v>1</v>
      </c>
      <c r="BO88" s="107" t="n">
        <v>1</v>
      </c>
      <c r="BP88" s="107" t="n">
        <v>0</v>
      </c>
      <c r="BQ88" s="107" t="n">
        <v>0</v>
      </c>
      <c r="BR88" s="107" t="n">
        <v>1</v>
      </c>
      <c r="BS88" s="107" t="n">
        <v>1</v>
      </c>
      <c r="BT88" s="107" t="n">
        <v>7</v>
      </c>
      <c r="BU88" s="107" t="inlineStr">
        <is>
          <t>Strong</t>
        </is>
      </c>
      <c r="BV88" s="108" t="n">
        <v>1.16</v>
      </c>
      <c r="BW88" s="108" t="n">
        <v>0.79</v>
      </c>
      <c r="BX88" s="111" t="inlineStr">
        <is>
          <t>N/A</t>
        </is>
      </c>
      <c r="BY88" s="108" t="n">
        <v>1.1</v>
      </c>
      <c r="BZ88" s="111" t="inlineStr">
        <is>
          <t>N/A</t>
        </is>
      </c>
      <c r="CA88" s="108" t="n">
        <v>1.07</v>
      </c>
      <c r="CB88" s="108" t="n">
        <v>1.02</v>
      </c>
      <c r="CC88" s="108" t="n">
        <v>-0.02</v>
      </c>
      <c r="CD88" s="111" t="inlineStr">
        <is>
          <t>N/A</t>
        </is>
      </c>
      <c r="CE88" s="111" t="inlineStr">
        <is>
          <t>N/A</t>
        </is>
      </c>
      <c r="CF88" s="108" t="n">
        <v>-0.2</v>
      </c>
      <c r="CG88" s="108" t="n">
        <v>51.74</v>
      </c>
      <c r="CH88" s="107" t="n">
        <v>0</v>
      </c>
      <c r="CI88" s="107" t="inlineStr">
        <is>
          <t>CLEAR</t>
        </is>
      </c>
    </row>
    <row r="89" ht="17" customHeight="1">
      <c r="A89" s="103" t="inlineStr">
        <is>
          <t>KLAC</t>
        </is>
      </c>
      <c r="B89" s="103" t="inlineStr">
        <is>
          <t>KLA CORPORATION</t>
        </is>
      </c>
      <c r="C89" s="104" t="n">
        <v>6612994000</v>
      </c>
      <c r="D89" s="105" t="n">
        <v>0.06</v>
      </c>
      <c r="E89" s="105" t="n">
        <v>0.38</v>
      </c>
      <c r="F89" s="105" t="n">
        <v>0.33</v>
      </c>
      <c r="G89" s="105" t="n">
        <v>0.25</v>
      </c>
      <c r="H89" s="105" t="n">
        <v>0.18</v>
      </c>
      <c r="I89" s="105" t="n">
        <v>0.87</v>
      </c>
      <c r="J89" s="105" t="n">
        <v>0.06</v>
      </c>
      <c r="K89" s="105" t="n">
        <v>0.09</v>
      </c>
      <c r="L89" s="105" t="n">
        <v>0.11</v>
      </c>
      <c r="M89" s="105" t="n">
        <v>0.76</v>
      </c>
      <c r="N89" s="104" t="n">
        <v>0.64</v>
      </c>
      <c r="O89" s="104" t="n">
        <v>2.62</v>
      </c>
      <c r="P89" s="104" t="n">
        <v>2.15</v>
      </c>
      <c r="Q89" s="104" t="n">
        <v>1.83</v>
      </c>
      <c r="R89" s="104" t="n">
        <v>0.51</v>
      </c>
      <c r="S89" s="104" t="n">
        <v>0.71</v>
      </c>
      <c r="T89" s="104" t="n">
        <v>0.78</v>
      </c>
      <c r="U89" s="104" t="n">
        <v>1.25</v>
      </c>
      <c r="V89" s="104" t="n">
        <v>0.8100000000000001</v>
      </c>
      <c r="W89" s="104" t="n">
        <v>1</v>
      </c>
      <c r="X89" s="105" t="n">
        <v>0.31</v>
      </c>
      <c r="Y89" s="105" t="n">
        <v>0.11</v>
      </c>
      <c r="Z89" s="105" t="n">
        <v>2.6</v>
      </c>
      <c r="AA89" s="105" t="n">
        <v>0.24</v>
      </c>
      <c r="AB89" s="105" t="n">
        <v>0.47</v>
      </c>
      <c r="AC89" s="104" t="n">
        <v>-0</v>
      </c>
      <c r="AD89" s="104" t="n">
        <v>-0</v>
      </c>
      <c r="AE89" s="104" t="n">
        <v>0.41</v>
      </c>
      <c r="AF89" s="104" t="n">
        <v>0.14</v>
      </c>
      <c r="AG89" s="104" t="n">
        <v>0.05</v>
      </c>
      <c r="AH89" s="104" t="n">
        <v>0.41</v>
      </c>
      <c r="AI89" s="104" t="n">
        <v>0.76</v>
      </c>
      <c r="AJ89" s="104" t="n">
        <v>1.85</v>
      </c>
      <c r="AK89" s="106" t="inlineStr">
        <is>
          <t>Grey</t>
        </is>
      </c>
      <c r="AL89" s="104" t="n">
        <v>0.41</v>
      </c>
      <c r="AM89" s="104" t="n">
        <v>0.14</v>
      </c>
      <c r="AN89" s="104" t="n">
        <v>0.05</v>
      </c>
      <c r="AO89" s="104" t="n">
        <v>0.41</v>
      </c>
      <c r="AP89" s="104" t="n">
        <v>0.76</v>
      </c>
      <c r="AQ89" s="103" t="n">
        <v>1.49</v>
      </c>
      <c r="AR89" s="103" t="inlineStr">
        <is>
          <t>Grey</t>
        </is>
      </c>
      <c r="AS89" s="104" t="n">
        <v>0.41</v>
      </c>
      <c r="AT89" s="104" t="n">
        <v>0.14</v>
      </c>
      <c r="AU89" s="104" t="n">
        <v>0.05</v>
      </c>
      <c r="AV89" s="104" t="n">
        <v>0.41</v>
      </c>
      <c r="AW89" s="103" t="n">
        <v>3.9</v>
      </c>
      <c r="AX89" s="103" t="inlineStr">
        <is>
          <t>Safe</t>
        </is>
      </c>
      <c r="AY89" s="104" t="n">
        <v>0.41</v>
      </c>
      <c r="AZ89" s="104" t="n">
        <v>0.05</v>
      </c>
      <c r="BA89" s="104" t="n">
        <v>1.14</v>
      </c>
      <c r="BB89" s="104" t="n">
        <v>0.76</v>
      </c>
      <c r="BC89" s="103" t="n">
        <v>1.62</v>
      </c>
      <c r="BD89" s="103" t="inlineStr">
        <is>
          <t>Healthy</t>
        </is>
      </c>
      <c r="BE89" s="104" t="n">
        <v>0.25</v>
      </c>
      <c r="BF89" s="104" t="n">
        <v>0.71</v>
      </c>
      <c r="BG89" s="104" t="n">
        <v>2.62</v>
      </c>
      <c r="BH89" s="104" t="n">
        <v>-1.45</v>
      </c>
      <c r="BI89" s="103" t="n">
        <v>0.19</v>
      </c>
      <c r="BJ89" s="103" t="inlineStr">
        <is>
          <t>Healthy</t>
        </is>
      </c>
      <c r="BK89" s="103" t="n">
        <v>1</v>
      </c>
      <c r="BL89" s="103" t="n">
        <v>1</v>
      </c>
      <c r="BM89" s="103" t="n">
        <v>1</v>
      </c>
      <c r="BN89" s="103" t="n">
        <v>1</v>
      </c>
      <c r="BO89" s="103" t="n">
        <v>1</v>
      </c>
      <c r="BP89" s="103" t="n">
        <v>1</v>
      </c>
      <c r="BQ89" s="103" t="n">
        <v>1</v>
      </c>
      <c r="BR89" s="103" t="n">
        <v>0</v>
      </c>
      <c r="BS89" s="103" t="n">
        <v>1</v>
      </c>
      <c r="BT89" s="103" t="n">
        <v>8</v>
      </c>
      <c r="BU89" s="103" t="inlineStr">
        <is>
          <t>Strong</t>
        </is>
      </c>
      <c r="BV89" s="104" t="n">
        <v>1</v>
      </c>
      <c r="BW89" s="104" t="n">
        <v>1.18</v>
      </c>
      <c r="BX89" s="104" t="n">
        <v>0.92</v>
      </c>
      <c r="BY89" s="104" t="n">
        <v>1.24</v>
      </c>
      <c r="BZ89" s="104" t="n">
        <v>1.11</v>
      </c>
      <c r="CA89" s="104" t="n">
        <v>0.86</v>
      </c>
      <c r="CB89" s="104" t="n">
        <v>0.91</v>
      </c>
      <c r="CC89" s="104" t="n">
        <v>-0</v>
      </c>
      <c r="CD89" s="103" t="n">
        <v>-2.15</v>
      </c>
      <c r="CE89" s="103" t="inlineStr">
        <is>
          <t>Higher Risk</t>
        </is>
      </c>
      <c r="CF89" s="104" t="n">
        <v>3.26</v>
      </c>
      <c r="CG89" s="104" t="n">
        <v>54.82</v>
      </c>
      <c r="CH89" s="103" t="n">
        <v>20</v>
      </c>
      <c r="CI89" s="103" t="inlineStr">
        <is>
          <t>CLEAR</t>
        </is>
      </c>
    </row>
    <row r="90" ht="17" customHeight="1">
      <c r="A90" s="107" t="inlineStr">
        <is>
          <t>IONS</t>
        </is>
      </c>
      <c r="B90" s="107" t="inlineStr">
        <is>
          <t>IONIS PHARMACEUTICALS, INC.</t>
        </is>
      </c>
      <c r="C90" s="108" t="n">
        <v>2209068000</v>
      </c>
      <c r="D90" s="109" t="n">
        <v>-1.88</v>
      </c>
      <c r="E90" s="109" t="n">
        <v>-1.87</v>
      </c>
      <c r="F90" s="109" t="n">
        <v>-1.88</v>
      </c>
      <c r="G90" s="109" t="n">
        <v>-0.11</v>
      </c>
      <c r="H90" s="109" t="n">
        <v>-0.08</v>
      </c>
      <c r="I90" s="109" t="n">
        <v>-0.78</v>
      </c>
      <c r="J90" s="109" t="n">
        <v>-0.14</v>
      </c>
      <c r="K90" s="109" t="n">
        <v>0.92</v>
      </c>
      <c r="L90" s="109" t="n">
        <v>0.95</v>
      </c>
      <c r="M90" s="109" t="n">
        <v>0.06</v>
      </c>
      <c r="N90" s="108" t="n">
        <v>0.08</v>
      </c>
      <c r="O90" s="108" t="n">
        <v>3.83</v>
      </c>
      <c r="P90" s="108" t="n">
        <v>8.470000000000001</v>
      </c>
      <c r="Q90" s="108" t="n">
        <v>3.81</v>
      </c>
      <c r="R90" s="108" t="n">
        <v>0.48</v>
      </c>
      <c r="S90" s="108" t="n">
        <v>0.86</v>
      </c>
      <c r="T90" s="108" t="n">
        <v>0.8</v>
      </c>
      <c r="U90" s="108" t="n">
        <v>4.59</v>
      </c>
      <c r="V90" s="108" t="n">
        <v>3.83</v>
      </c>
      <c r="W90" s="108" t="n">
        <v>0.7</v>
      </c>
      <c r="X90" s="109" t="n">
        <v>-1.57</v>
      </c>
      <c r="Y90" s="109" t="n">
        <v>4.5</v>
      </c>
      <c r="Z90" s="109" t="n">
        <v>-22.11</v>
      </c>
      <c r="AA90" s="109" t="n">
        <v>-0.1</v>
      </c>
      <c r="AB90" s="109" t="n">
        <v>0.66</v>
      </c>
      <c r="AC90" s="108" t="n">
        <v>-0.03</v>
      </c>
      <c r="AD90" s="108" t="n">
        <v>-0.03</v>
      </c>
      <c r="AE90" s="108" t="n">
        <v>0.63</v>
      </c>
      <c r="AF90" s="108" t="n">
        <v>-0.75</v>
      </c>
      <c r="AG90" s="108" t="n">
        <v>-0.11</v>
      </c>
      <c r="AH90" s="108" t="n">
        <v>0.16</v>
      </c>
      <c r="AI90" s="108" t="n">
        <v>0.06</v>
      </c>
      <c r="AJ90" s="108" t="n">
        <v>-0.5</v>
      </c>
      <c r="AK90" s="112" t="inlineStr">
        <is>
          <t>Distress</t>
        </is>
      </c>
      <c r="AL90" s="108" t="n">
        <v>0.63</v>
      </c>
      <c r="AM90" s="108" t="n">
        <v>-0.75</v>
      </c>
      <c r="AN90" s="108" t="n">
        <v>-0.11</v>
      </c>
      <c r="AO90" s="108" t="n">
        <v>0.16</v>
      </c>
      <c r="AP90" s="108" t="n">
        <v>0.06</v>
      </c>
      <c r="AQ90" s="107" t="n">
        <v>-0.39</v>
      </c>
      <c r="AR90" s="107" t="inlineStr">
        <is>
          <t>Distress</t>
        </is>
      </c>
      <c r="AS90" s="108" t="n">
        <v>0.63</v>
      </c>
      <c r="AT90" s="108" t="n">
        <v>-0.75</v>
      </c>
      <c r="AU90" s="108" t="n">
        <v>-0.11</v>
      </c>
      <c r="AV90" s="108" t="n">
        <v>0.16</v>
      </c>
      <c r="AW90" s="107" t="n">
        <v>1.12</v>
      </c>
      <c r="AX90" s="107" t="inlineStr">
        <is>
          <t>Grey</t>
        </is>
      </c>
      <c r="AY90" s="108" t="n">
        <v>0.63</v>
      </c>
      <c r="AZ90" s="108" t="n">
        <v>-0.11</v>
      </c>
      <c r="BA90" s="108" t="n">
        <v>-0.49</v>
      </c>
      <c r="BB90" s="108" t="n">
        <v>0.06</v>
      </c>
      <c r="BC90" s="107" t="n">
        <v>0.02</v>
      </c>
      <c r="BD90" s="107" t="inlineStr">
        <is>
          <t>Distress</t>
        </is>
      </c>
      <c r="BE90" s="108" t="n">
        <v>-0.11</v>
      </c>
      <c r="BF90" s="108" t="n">
        <v>0.86</v>
      </c>
      <c r="BG90" s="108" t="n">
        <v>3.83</v>
      </c>
      <c r="BH90" s="108" t="n">
        <v>1.06</v>
      </c>
      <c r="BI90" s="107" t="n">
        <v>0.74</v>
      </c>
      <c r="BJ90" s="107" t="inlineStr">
        <is>
          <t>Distress</t>
        </is>
      </c>
      <c r="BK90" s="107" t="n">
        <v>0</v>
      </c>
      <c r="BL90" s="107" t="n">
        <v>0</v>
      </c>
      <c r="BM90" s="107" t="n">
        <v>0</v>
      </c>
      <c r="BN90" s="107" t="n">
        <v>1</v>
      </c>
      <c r="BO90" s="107" t="n">
        <v>0</v>
      </c>
      <c r="BP90" s="107" t="n">
        <v>0</v>
      </c>
      <c r="BQ90" s="107" t="n">
        <v>0</v>
      </c>
      <c r="BR90" s="107" t="n">
        <v>0</v>
      </c>
      <c r="BS90" s="107" t="n">
        <v>0</v>
      </c>
      <c r="BT90" s="107" t="n">
        <v>1</v>
      </c>
      <c r="BU90" s="107" t="inlineStr">
        <is>
          <t>Weak</t>
        </is>
      </c>
      <c r="BV90" s="111" t="inlineStr">
        <is>
          <t>N/A</t>
        </is>
      </c>
      <c r="BW90" s="108" t="n">
        <v>1.03</v>
      </c>
      <c r="BX90" s="108" t="n">
        <v>1.21</v>
      </c>
      <c r="BY90" s="108" t="n">
        <v>0.9</v>
      </c>
      <c r="BZ90" s="108" t="n">
        <v>1.23</v>
      </c>
      <c r="CA90" s="108" t="n">
        <v>1.64</v>
      </c>
      <c r="CB90" s="108" t="n">
        <v>1.07</v>
      </c>
      <c r="CC90" s="108" t="n">
        <v>-0.03</v>
      </c>
      <c r="CD90" s="111" t="inlineStr">
        <is>
          <t>N/A</t>
        </is>
      </c>
      <c r="CE90" s="111" t="inlineStr">
        <is>
          <t>N/A</t>
        </is>
      </c>
      <c r="CF90" s="108" t="n">
        <v>-5.04</v>
      </c>
      <c r="CG90" s="108" t="n">
        <v>27.39</v>
      </c>
      <c r="CH90" s="107" t="n">
        <v>0</v>
      </c>
      <c r="CI90" s="107" t="inlineStr">
        <is>
          <t>CLEAR</t>
        </is>
      </c>
    </row>
    <row r="91" ht="17" customHeight="1">
      <c r="A91" s="103" t="inlineStr">
        <is>
          <t>F</t>
        </is>
      </c>
      <c r="B91" s="103" t="inlineStr">
        <is>
          <t>Ford Motor Co</t>
        </is>
      </c>
      <c r="C91" s="104" t="n">
        <v>8597000000</v>
      </c>
      <c r="D91" s="105" t="n">
        <v>-0.05</v>
      </c>
      <c r="E91" s="105" t="n">
        <v>-0.06</v>
      </c>
      <c r="F91" s="105" t="n">
        <v>0.03</v>
      </c>
      <c r="G91" s="105" t="n">
        <v>0.02</v>
      </c>
      <c r="H91" s="105" t="n">
        <v>0.02</v>
      </c>
      <c r="I91" s="105" t="n">
        <v>0.16</v>
      </c>
      <c r="J91" s="105" t="n">
        <v>-0.05</v>
      </c>
      <c r="K91" s="105" t="n">
        <v>0.06</v>
      </c>
      <c r="L91" s="105" t="n">
        <v>0.1</v>
      </c>
      <c r="M91" s="105" t="n">
        <v>0.64</v>
      </c>
      <c r="N91" s="104" t="n">
        <v>0.62</v>
      </c>
      <c r="O91" s="104" t="n">
        <v>1.07</v>
      </c>
      <c r="P91" s="104" t="n">
        <v>1.16</v>
      </c>
      <c r="Q91" s="104" t="n">
        <v>0.9399999999999999</v>
      </c>
      <c r="R91" s="104" t="n">
        <v>0.2</v>
      </c>
      <c r="S91" s="104" t="n">
        <v>0.88</v>
      </c>
      <c r="T91" s="104" t="n">
        <v>0.84</v>
      </c>
      <c r="U91" s="104" t="n">
        <v>0.01</v>
      </c>
      <c r="V91" s="104" t="n">
        <v>-0.64</v>
      </c>
      <c r="W91" s="104" t="n">
        <v>3.62</v>
      </c>
      <c r="X91" s="105" t="n">
        <v>0.07000000000000001</v>
      </c>
      <c r="Y91" s="105" t="n">
        <v>0.05</v>
      </c>
      <c r="Z91" s="105" t="n">
        <v>-1.2</v>
      </c>
      <c r="AA91" s="105" t="n">
        <v>0.05</v>
      </c>
      <c r="AB91" s="105" t="n">
        <v>0.35</v>
      </c>
      <c r="AC91" s="104" t="n">
        <v>-0.05</v>
      </c>
      <c r="AD91" s="104" t="n">
        <v>-0.05</v>
      </c>
      <c r="AE91" s="104" t="n">
        <v>0.03</v>
      </c>
      <c r="AF91" s="104" t="n">
        <v>0.08</v>
      </c>
      <c r="AG91" s="104" t="n">
        <v>-0.03</v>
      </c>
      <c r="AH91" s="104" t="n">
        <v>0.14</v>
      </c>
      <c r="AI91" s="104" t="n">
        <v>0.64</v>
      </c>
      <c r="AJ91" s="104" t="n">
        <v>0.76</v>
      </c>
      <c r="AK91" s="112" t="inlineStr">
        <is>
          <t>Distress</t>
        </is>
      </c>
      <c r="AL91" s="104" t="n">
        <v>0.03</v>
      </c>
      <c r="AM91" s="104" t="n">
        <v>0.08</v>
      </c>
      <c r="AN91" s="104" t="n">
        <v>-0.03</v>
      </c>
      <c r="AO91" s="104" t="n">
        <v>0.14</v>
      </c>
      <c r="AP91" s="104" t="n">
        <v>0.64</v>
      </c>
      <c r="AQ91" s="103" t="n">
        <v>0.6899999999999999</v>
      </c>
      <c r="AR91" s="103" t="inlineStr">
        <is>
          <t>Distress</t>
        </is>
      </c>
      <c r="AS91" s="104" t="n">
        <v>0.03</v>
      </c>
      <c r="AT91" s="104" t="n">
        <v>0.08</v>
      </c>
      <c r="AU91" s="104" t="n">
        <v>-0.03</v>
      </c>
      <c r="AV91" s="104" t="n">
        <v>0.14</v>
      </c>
      <c r="AW91" s="103" t="n">
        <v>0.38</v>
      </c>
      <c r="AX91" s="103" t="inlineStr">
        <is>
          <t>Distress</t>
        </is>
      </c>
      <c r="AY91" s="104" t="n">
        <v>0.03</v>
      </c>
      <c r="AZ91" s="104" t="n">
        <v>-0.03</v>
      </c>
      <c r="BA91" s="104" t="n">
        <v>-0.1</v>
      </c>
      <c r="BB91" s="104" t="n">
        <v>0.64</v>
      </c>
      <c r="BC91" s="103" t="n">
        <v>0.12</v>
      </c>
      <c r="BD91" s="103" t="inlineStr">
        <is>
          <t>Distress</t>
        </is>
      </c>
      <c r="BE91" s="104" t="n">
        <v>0.02</v>
      </c>
      <c r="BF91" s="104" t="n">
        <v>0.88</v>
      </c>
      <c r="BG91" s="104" t="n">
        <v>1.07</v>
      </c>
      <c r="BH91" s="104" t="n">
        <v>0.55</v>
      </c>
      <c r="BI91" s="103" t="n">
        <v>0.63</v>
      </c>
      <c r="BJ91" s="103" t="inlineStr">
        <is>
          <t>Distress</t>
        </is>
      </c>
      <c r="BK91" s="103" t="n">
        <v>1</v>
      </c>
      <c r="BL91" s="103" t="n">
        <v>1</v>
      </c>
      <c r="BM91" s="103" t="n">
        <v>1</v>
      </c>
      <c r="BN91" s="103" t="n">
        <v>1</v>
      </c>
      <c r="BO91" s="103" t="n">
        <v>1</v>
      </c>
      <c r="BP91" s="103" t="n">
        <v>0</v>
      </c>
      <c r="BQ91" s="103" t="n">
        <v>0</v>
      </c>
      <c r="BR91" s="103" t="n">
        <v>0</v>
      </c>
      <c r="BS91" s="103" t="n">
        <v>1</v>
      </c>
      <c r="BT91" s="103" t="n">
        <v>6</v>
      </c>
      <c r="BU91" s="103" t="inlineStr">
        <is>
          <t>Mixed</t>
        </is>
      </c>
      <c r="BV91" s="104" t="n">
        <v>1</v>
      </c>
      <c r="BW91" s="104" t="n">
        <v>1.77</v>
      </c>
      <c r="BX91" s="104" t="n">
        <v>1.02</v>
      </c>
      <c r="BY91" s="104" t="n">
        <v>1.05</v>
      </c>
      <c r="BZ91" s="104" t="n">
        <v>0.57</v>
      </c>
      <c r="CA91" s="104" t="n">
        <v>1</v>
      </c>
      <c r="CB91" s="104" t="n">
        <v>1.04</v>
      </c>
      <c r="CC91" s="104" t="n">
        <v>-0.05</v>
      </c>
      <c r="CD91" s="103" t="n">
        <v>-2.34</v>
      </c>
      <c r="CE91" s="103" t="inlineStr">
        <is>
          <t>Lower Risk</t>
        </is>
      </c>
      <c r="CF91" s="104" t="n">
        <v>-3.39</v>
      </c>
      <c r="CG91" s="104" t="n">
        <v>49.24</v>
      </c>
      <c r="CH91" s="103" t="n">
        <v>0</v>
      </c>
      <c r="CI91" s="103" t="inlineStr">
        <is>
          <t>CLEAR</t>
        </is>
      </c>
    </row>
    <row r="92" ht="17" customHeight="1">
      <c r="A92" s="107" t="inlineStr">
        <is>
          <t>NTRS</t>
        </is>
      </c>
      <c r="B92" s="107" t="inlineStr">
        <is>
          <t>NORTHERN TRUST CORP</t>
        </is>
      </c>
      <c r="C92" s="111" t="inlineStr">
        <is>
          <t>N/A</t>
        </is>
      </c>
      <c r="D92" s="109" t="n">
        <v>0.29</v>
      </c>
      <c r="E92" s="109" t="n">
        <v>0.29</v>
      </c>
      <c r="F92" s="109" t="n">
        <v>0.21</v>
      </c>
      <c r="G92" s="109" t="n">
        <v>0.01</v>
      </c>
      <c r="H92" s="109" t="n">
        <v>0.01</v>
      </c>
      <c r="I92" s="109" t="n">
        <v>0.13</v>
      </c>
      <c r="J92" s="111" t="inlineStr">
        <is>
          <t>N/A</t>
        </is>
      </c>
      <c r="K92" s="109" t="n">
        <v>0.02</v>
      </c>
      <c r="L92" s="109" t="n">
        <v>0.02</v>
      </c>
      <c r="M92" s="109" t="n">
        <v>0.05</v>
      </c>
      <c r="N92" s="108" t="n">
        <v>0.05</v>
      </c>
      <c r="O92" s="111" t="inlineStr">
        <is>
          <t>N/A</t>
        </is>
      </c>
      <c r="P92" s="111" t="inlineStr">
        <is>
          <t>N/A</t>
        </is>
      </c>
      <c r="Q92" s="111" t="inlineStr">
        <is>
          <t>N/A</t>
        </is>
      </c>
      <c r="R92" s="111" t="inlineStr">
        <is>
          <t>N/A</t>
        </is>
      </c>
      <c r="S92" s="108" t="n">
        <v>0.93</v>
      </c>
      <c r="T92" s="108" t="n">
        <v>0.92</v>
      </c>
      <c r="U92" s="108" t="n">
        <v>0.11</v>
      </c>
      <c r="V92" s="108" t="n">
        <v>0.11</v>
      </c>
      <c r="W92" s="108" t="n">
        <v>3.19</v>
      </c>
      <c r="X92" s="109" t="n">
        <v>0.68</v>
      </c>
      <c r="Y92" s="109" t="n">
        <v>0</v>
      </c>
      <c r="Z92" s="109" t="n">
        <v>0.44</v>
      </c>
      <c r="AA92" s="109" t="n">
        <v>-0.02</v>
      </c>
      <c r="AB92" s="109" t="n">
        <v>-0.14</v>
      </c>
      <c r="AC92" s="108" t="n">
        <v>-0.02</v>
      </c>
      <c r="AD92" s="108" t="n">
        <v>-0.02</v>
      </c>
      <c r="AE92" s="111" t="inlineStr">
        <is>
          <t>N/A</t>
        </is>
      </c>
      <c r="AF92" s="108" t="n">
        <v>0.09</v>
      </c>
      <c r="AG92" s="108" t="n">
        <v>0.01</v>
      </c>
      <c r="AH92" s="108" t="n">
        <v>0.08</v>
      </c>
      <c r="AI92" s="108" t="n">
        <v>0.05</v>
      </c>
      <c r="AJ92" s="111" t="inlineStr">
        <is>
          <t>N/A</t>
        </is>
      </c>
      <c r="AK92" s="111" t="inlineStr">
        <is>
          <t>N/A</t>
        </is>
      </c>
      <c r="AL92" s="111" t="inlineStr">
        <is>
          <t>N/A</t>
        </is>
      </c>
      <c r="AM92" s="108" t="n">
        <v>0.09</v>
      </c>
      <c r="AN92" s="108" t="n">
        <v>0.01</v>
      </c>
      <c r="AO92" s="108" t="n">
        <v>0.08</v>
      </c>
      <c r="AP92" s="108" t="n">
        <v>0.05</v>
      </c>
      <c r="AQ92" s="111" t="inlineStr">
        <is>
          <t>N/A</t>
        </is>
      </c>
      <c r="AR92" s="111" t="inlineStr">
        <is>
          <t>N/A</t>
        </is>
      </c>
      <c r="AS92" s="111" t="inlineStr">
        <is>
          <t>N/A</t>
        </is>
      </c>
      <c r="AT92" s="108" t="n">
        <v>0.09</v>
      </c>
      <c r="AU92" s="108" t="n">
        <v>0.01</v>
      </c>
      <c r="AV92" s="108" t="n">
        <v>0.08</v>
      </c>
      <c r="AW92" s="111" t="inlineStr">
        <is>
          <t>N/A</t>
        </is>
      </c>
      <c r="AX92" s="111" t="inlineStr">
        <is>
          <t>N/A</t>
        </is>
      </c>
      <c r="AY92" s="111" t="inlineStr">
        <is>
          <t>N/A</t>
        </is>
      </c>
      <c r="AZ92" s="108" t="n">
        <v>0.01</v>
      </c>
      <c r="BA92" s="111" t="inlineStr">
        <is>
          <t>N/A</t>
        </is>
      </c>
      <c r="BB92" s="108" t="n">
        <v>0.05</v>
      </c>
      <c r="BC92" s="111" t="inlineStr">
        <is>
          <t>N/A</t>
        </is>
      </c>
      <c r="BD92" s="111" t="inlineStr">
        <is>
          <t>N/A</t>
        </is>
      </c>
      <c r="BE92" s="108" t="n">
        <v>0.01</v>
      </c>
      <c r="BF92" s="108" t="n">
        <v>0.93</v>
      </c>
      <c r="BG92" s="111" t="inlineStr">
        <is>
          <t>N/A</t>
        </is>
      </c>
      <c r="BH92" s="111" t="inlineStr">
        <is>
          <t>N/A</t>
        </is>
      </c>
      <c r="BI92" s="111" t="inlineStr">
        <is>
          <t>N/A</t>
        </is>
      </c>
      <c r="BJ92" s="111" t="inlineStr">
        <is>
          <t>N/A</t>
        </is>
      </c>
      <c r="BK92" s="107" t="n">
        <v>1</v>
      </c>
      <c r="BL92" s="107" t="n">
        <v>1</v>
      </c>
      <c r="BM92" s="107" t="n">
        <v>0</v>
      </c>
      <c r="BN92" s="107" t="n">
        <v>1</v>
      </c>
      <c r="BO92" s="107" t="n">
        <v>1</v>
      </c>
      <c r="BP92" s="107" t="n">
        <v>0</v>
      </c>
      <c r="BQ92" s="107" t="n">
        <v>1</v>
      </c>
      <c r="BR92" s="107" t="n">
        <v>0</v>
      </c>
      <c r="BS92" s="107" t="n">
        <v>0</v>
      </c>
      <c r="BT92" s="107" t="n">
        <v>5</v>
      </c>
      <c r="BU92" s="107" t="inlineStr">
        <is>
          <t>Mixed</t>
        </is>
      </c>
      <c r="BV92" s="111" t="inlineStr">
        <is>
          <t>N/A</t>
        </is>
      </c>
      <c r="BW92" s="111" t="inlineStr">
        <is>
          <t>N/A</t>
        </is>
      </c>
      <c r="BX92" s="108" t="n">
        <v>1</v>
      </c>
      <c r="BY92" s="108" t="n">
        <v>0.98</v>
      </c>
      <c r="BZ92" s="108" t="n">
        <v>1.49</v>
      </c>
      <c r="CA92" s="111" t="inlineStr">
        <is>
          <t>N/A</t>
        </is>
      </c>
      <c r="CB92" s="108" t="n">
        <v>1.01</v>
      </c>
      <c r="CC92" s="108" t="n">
        <v>-0.02</v>
      </c>
      <c r="CD92" s="111" t="inlineStr">
        <is>
          <t>N/A</t>
        </is>
      </c>
      <c r="CE92" s="111" t="inlineStr">
        <is>
          <t>N/A</t>
        </is>
      </c>
      <c r="CF92" s="108" t="n">
        <v>0.61</v>
      </c>
      <c r="CG92" s="108" t="n">
        <v>42.94</v>
      </c>
      <c r="CH92" s="107" t="n">
        <v>0</v>
      </c>
      <c r="CI92" s="107" t="inlineStr">
        <is>
          <t>CLEAR</t>
        </is>
      </c>
    </row>
    <row r="93" ht="17" customHeight="1">
      <c r="A93" s="103" t="inlineStr">
        <is>
          <t>MNST</t>
        </is>
      </c>
      <c r="B93" s="103" t="inlineStr">
        <is>
          <t>Monster Beverage Corp</t>
        </is>
      </c>
      <c r="C93" s="104" t="n">
        <v>3913304000</v>
      </c>
      <c r="D93" s="105" t="n">
        <v>0.29</v>
      </c>
      <c r="E93" s="105" t="n">
        <v>0.3</v>
      </c>
      <c r="F93" s="105" t="n">
        <v>0.23</v>
      </c>
      <c r="G93" s="105" t="n">
        <v>0.19</v>
      </c>
      <c r="H93" s="105" t="n">
        <v>0.2</v>
      </c>
      <c r="I93" s="105" t="n">
        <v>0.23</v>
      </c>
      <c r="J93" s="105" t="n">
        <v>0.28</v>
      </c>
      <c r="K93" s="105" t="n">
        <v>0.5600000000000001</v>
      </c>
      <c r="L93" s="105" t="n">
        <v>0.54</v>
      </c>
      <c r="M93" s="105" t="n">
        <v>0.83</v>
      </c>
      <c r="N93" s="104" t="n">
        <v>0.97</v>
      </c>
      <c r="O93" s="104" t="n">
        <v>3.7</v>
      </c>
      <c r="P93" s="104" t="n">
        <v>3.32</v>
      </c>
      <c r="Q93" s="104" t="n">
        <v>3.15</v>
      </c>
      <c r="R93" s="104" t="n">
        <v>1.44</v>
      </c>
      <c r="S93" s="104" t="n">
        <v>1</v>
      </c>
      <c r="T93" s="104" t="n">
        <v>1</v>
      </c>
      <c r="U93" s="104" t="n">
        <v>0.05</v>
      </c>
      <c r="V93" s="104" t="n">
        <v>-0.21</v>
      </c>
      <c r="W93" s="104" t="n">
        <v>1.1</v>
      </c>
      <c r="X93" s="105" t="n">
        <v>0.24</v>
      </c>
      <c r="Y93" s="105" t="n">
        <v>0</v>
      </c>
      <c r="Z93" s="105" t="n">
        <v>35578.74</v>
      </c>
      <c r="AA93" s="105" t="n">
        <v>0.11</v>
      </c>
      <c r="AB93" s="105" t="n">
        <v>0.26</v>
      </c>
      <c r="AC93" s="104" t="n">
        <v>-0.02</v>
      </c>
      <c r="AD93" s="104" t="n">
        <v>-0.02</v>
      </c>
      <c r="AE93" s="104" t="n">
        <v>0.39</v>
      </c>
      <c r="AF93" s="104" t="n">
        <v>0.9399999999999999</v>
      </c>
      <c r="AG93" s="104" t="n">
        <v>0.24</v>
      </c>
      <c r="AH93" s="104" t="n">
        <v>0.83</v>
      </c>
      <c r="AI93" s="104" t="n">
        <v>0.83</v>
      </c>
      <c r="AJ93" s="104" t="n">
        <v>3.91</v>
      </c>
      <c r="AK93" s="110" t="inlineStr">
        <is>
          <t>Safe</t>
        </is>
      </c>
      <c r="AL93" s="104" t="n">
        <v>0.39</v>
      </c>
      <c r="AM93" s="104" t="n">
        <v>0.9399999999999999</v>
      </c>
      <c r="AN93" s="104" t="n">
        <v>0.24</v>
      </c>
      <c r="AO93" s="104" t="n">
        <v>0.83</v>
      </c>
      <c r="AP93" s="104" t="n">
        <v>0.83</v>
      </c>
      <c r="AQ93" s="103" t="n">
        <v>3</v>
      </c>
      <c r="AR93" s="103" t="inlineStr">
        <is>
          <t>Safe</t>
        </is>
      </c>
      <c r="AS93" s="104" t="n">
        <v>0.39</v>
      </c>
      <c r="AT93" s="104" t="n">
        <v>0.9399999999999999</v>
      </c>
      <c r="AU93" s="104" t="n">
        <v>0.24</v>
      </c>
      <c r="AV93" s="104" t="n">
        <v>0.83</v>
      </c>
      <c r="AW93" s="103" t="n">
        <v>8.119999999999999</v>
      </c>
      <c r="AX93" s="103" t="inlineStr">
        <is>
          <t>Safe</t>
        </is>
      </c>
      <c r="AY93" s="104" t="n">
        <v>0.39</v>
      </c>
      <c r="AZ93" s="104" t="n">
        <v>0.24</v>
      </c>
      <c r="BA93" s="104" t="n">
        <v>1.71</v>
      </c>
      <c r="BB93" s="104" t="n">
        <v>0.83</v>
      </c>
      <c r="BC93" s="103" t="n">
        <v>2.61</v>
      </c>
      <c r="BD93" s="103" t="inlineStr">
        <is>
          <t>Healthy</t>
        </is>
      </c>
      <c r="BE93" s="104" t="n">
        <v>0.19</v>
      </c>
      <c r="BF93" s="104" t="n">
        <v>1</v>
      </c>
      <c r="BG93" s="104" t="n">
        <v>3.7</v>
      </c>
      <c r="BH93" s="104" t="n">
        <v>0.5</v>
      </c>
      <c r="BI93" s="103" t="n">
        <v>0.62</v>
      </c>
      <c r="BJ93" s="103" t="inlineStr">
        <is>
          <t>Distress</t>
        </is>
      </c>
      <c r="BK93" s="103" t="n">
        <v>1</v>
      </c>
      <c r="BL93" s="103" t="n">
        <v>1</v>
      </c>
      <c r="BM93" s="103" t="n">
        <v>0</v>
      </c>
      <c r="BN93" s="103" t="n">
        <v>1</v>
      </c>
      <c r="BO93" s="103" t="n">
        <v>1</v>
      </c>
      <c r="BP93" s="103" t="n">
        <v>1</v>
      </c>
      <c r="BQ93" s="103" t="n">
        <v>0</v>
      </c>
      <c r="BR93" s="103" t="n">
        <v>1</v>
      </c>
      <c r="BS93" s="103" t="n">
        <v>0</v>
      </c>
      <c r="BT93" s="103" t="n">
        <v>6</v>
      </c>
      <c r="BU93" s="103" t="inlineStr">
        <is>
          <t>Mixed</t>
        </is>
      </c>
      <c r="BV93" s="104" t="n">
        <v>1.2</v>
      </c>
      <c r="BW93" s="104" t="n">
        <v>0.97</v>
      </c>
      <c r="BX93" s="104" t="n">
        <v>0.9</v>
      </c>
      <c r="BY93" s="104" t="n">
        <v>1.11</v>
      </c>
      <c r="BZ93" s="104" t="n">
        <v>0.75</v>
      </c>
      <c r="CA93" s="113" t="inlineStr">
        <is>
          <t>N/A</t>
        </is>
      </c>
      <c r="CB93" s="104" t="n">
        <v>1</v>
      </c>
      <c r="CC93" s="104" t="n">
        <v>-0.02</v>
      </c>
      <c r="CD93" s="103" t="n">
        <v>-2.21</v>
      </c>
      <c r="CE93" s="103" t="inlineStr">
        <is>
          <t>Higher Risk</t>
        </is>
      </c>
      <c r="CF93" s="104" t="n">
        <v>-0.68</v>
      </c>
      <c r="CG93" s="104" t="n">
        <v>52.34</v>
      </c>
      <c r="CH93" s="103" t="n">
        <v>20</v>
      </c>
      <c r="CI93" s="103" t="inlineStr">
        <is>
          <t>CLEAR</t>
        </is>
      </c>
    </row>
    <row r="94" ht="17" customHeight="1">
      <c r="A94" s="107" t="inlineStr">
        <is>
          <t>PNW</t>
        </is>
      </c>
      <c r="B94" s="107" t="inlineStr">
        <is>
          <t>PINNACLE WEST CAPITAL CORP</t>
        </is>
      </c>
      <c r="C94" s="108" t="n">
        <v>-1457317000</v>
      </c>
      <c r="D94" s="109" t="n">
        <v>0.2</v>
      </c>
      <c r="E94" s="109" t="n">
        <v>0.14</v>
      </c>
      <c r="F94" s="109" t="n">
        <v>0.07000000000000001</v>
      </c>
      <c r="G94" s="109" t="n">
        <v>0.01</v>
      </c>
      <c r="H94" s="109" t="n">
        <v>0</v>
      </c>
      <c r="I94" s="109" t="n">
        <v>0.05</v>
      </c>
      <c r="J94" s="109" t="n">
        <v>0.04</v>
      </c>
      <c r="K94" s="109" t="n">
        <v>0.8</v>
      </c>
      <c r="L94" s="109" t="n">
        <v>0.8100000000000001</v>
      </c>
      <c r="M94" s="109" t="n">
        <v>0.18</v>
      </c>
      <c r="N94" s="108" t="n">
        <v>0.2</v>
      </c>
      <c r="O94" s="108" t="n">
        <v>0.54</v>
      </c>
      <c r="P94" s="108" t="n">
        <v>0.59</v>
      </c>
      <c r="Q94" s="108" t="n">
        <v>0.54</v>
      </c>
      <c r="R94" s="108" t="n">
        <v>0</v>
      </c>
      <c r="S94" s="108" t="n">
        <v>1</v>
      </c>
      <c r="T94" s="108" t="n">
        <v>1</v>
      </c>
      <c r="U94" s="108" t="n">
        <v>0.58</v>
      </c>
      <c r="V94" s="108" t="n">
        <v>0.58</v>
      </c>
      <c r="W94" s="108" t="n">
        <v>5.16</v>
      </c>
      <c r="X94" s="109" t="n">
        <v>-0.15</v>
      </c>
      <c r="Y94" s="109" t="n">
        <v>0</v>
      </c>
      <c r="Z94" s="109" t="n">
        <v>3.22</v>
      </c>
      <c r="AA94" s="109" t="n">
        <v>0.04</v>
      </c>
      <c r="AB94" s="109" t="n">
        <v>4.12</v>
      </c>
      <c r="AC94" s="108" t="n">
        <v>-0.05</v>
      </c>
      <c r="AD94" s="108" t="n">
        <v>-0.05</v>
      </c>
      <c r="AE94" s="108" t="n">
        <v>-0.05</v>
      </c>
      <c r="AF94" s="108" t="n">
        <v>0.13</v>
      </c>
      <c r="AG94" s="108" t="n">
        <v>0.04</v>
      </c>
      <c r="AH94" s="108" t="n">
        <v>0.23</v>
      </c>
      <c r="AI94" s="108" t="n">
        <v>0.18</v>
      </c>
      <c r="AJ94" s="108" t="n">
        <v>0.5600000000000001</v>
      </c>
      <c r="AK94" s="112" t="inlineStr">
        <is>
          <t>Distress</t>
        </is>
      </c>
      <c r="AL94" s="108" t="n">
        <v>-0.05</v>
      </c>
      <c r="AM94" s="108" t="n">
        <v>0.13</v>
      </c>
      <c r="AN94" s="108" t="n">
        <v>0.04</v>
      </c>
      <c r="AO94" s="108" t="n">
        <v>0.23</v>
      </c>
      <c r="AP94" s="108" t="n">
        <v>0.18</v>
      </c>
      <c r="AQ94" s="107" t="n">
        <v>0.46</v>
      </c>
      <c r="AR94" s="107" t="inlineStr">
        <is>
          <t>Distress</t>
        </is>
      </c>
      <c r="AS94" s="108" t="n">
        <v>-0.05</v>
      </c>
      <c r="AT94" s="108" t="n">
        <v>0.13</v>
      </c>
      <c r="AU94" s="108" t="n">
        <v>0.04</v>
      </c>
      <c r="AV94" s="108" t="n">
        <v>0.23</v>
      </c>
      <c r="AW94" s="107" t="n">
        <v>0.58</v>
      </c>
      <c r="AX94" s="107" t="inlineStr">
        <is>
          <t>Distress</t>
        </is>
      </c>
      <c r="AY94" s="108" t="n">
        <v>-0.05</v>
      </c>
      <c r="AZ94" s="108" t="n">
        <v>0.04</v>
      </c>
      <c r="BA94" s="108" t="n">
        <v>0.23</v>
      </c>
      <c r="BB94" s="108" t="n">
        <v>0.18</v>
      </c>
      <c r="BC94" s="107" t="n">
        <v>0.28</v>
      </c>
      <c r="BD94" s="107" t="inlineStr">
        <is>
          <t>Distress</t>
        </is>
      </c>
      <c r="BE94" s="108" t="n">
        <v>0.01</v>
      </c>
      <c r="BF94" s="108" t="n">
        <v>1</v>
      </c>
      <c r="BG94" s="108" t="n">
        <v>0.54</v>
      </c>
      <c r="BH94" s="108" t="n">
        <v>1.29</v>
      </c>
      <c r="BI94" s="107" t="n">
        <v>0.78</v>
      </c>
      <c r="BJ94" s="107" t="inlineStr">
        <is>
          <t>Distress</t>
        </is>
      </c>
      <c r="BK94" s="107" t="n">
        <v>1</v>
      </c>
      <c r="BL94" s="107" t="n">
        <v>1</v>
      </c>
      <c r="BM94" s="107" t="n">
        <v>1</v>
      </c>
      <c r="BN94" s="107" t="n">
        <v>1</v>
      </c>
      <c r="BO94" s="107" t="n">
        <v>1</v>
      </c>
      <c r="BP94" s="107" t="n">
        <v>0</v>
      </c>
      <c r="BQ94" s="107" t="n">
        <v>0</v>
      </c>
      <c r="BR94" s="107" t="n">
        <v>0</v>
      </c>
      <c r="BS94" s="107" t="n">
        <v>0</v>
      </c>
      <c r="BT94" s="107" t="n">
        <v>5</v>
      </c>
      <c r="BU94" s="107" t="inlineStr">
        <is>
          <t>Mixed</t>
        </is>
      </c>
      <c r="BV94" s="111" t="inlineStr">
        <is>
          <t>N/A</t>
        </is>
      </c>
      <c r="BW94" s="108" t="n">
        <v>1.01</v>
      </c>
      <c r="BX94" s="108" t="n">
        <v>1.14</v>
      </c>
      <c r="BY94" s="108" t="n">
        <v>1.04</v>
      </c>
      <c r="BZ94" s="108" t="n">
        <v>1.07</v>
      </c>
      <c r="CA94" s="111" t="inlineStr">
        <is>
          <t>N/A</t>
        </is>
      </c>
      <c r="CB94" s="108" t="n">
        <v>1</v>
      </c>
      <c r="CC94" s="108" t="n">
        <v>-0.05</v>
      </c>
      <c r="CD94" s="111" t="inlineStr">
        <is>
          <t>N/A</t>
        </is>
      </c>
      <c r="CE94" s="111" t="inlineStr">
        <is>
          <t>N/A</t>
        </is>
      </c>
      <c r="CF94" s="108" t="n">
        <v>2.01</v>
      </c>
      <c r="CG94" s="108" t="n">
        <v>44.56</v>
      </c>
      <c r="CH94" s="107" t="n">
        <v>0</v>
      </c>
      <c r="CI94" s="107" t="inlineStr">
        <is>
          <t>CLEAR</t>
        </is>
      </c>
    </row>
    <row r="95" ht="17" customHeight="1">
      <c r="A95" s="103" t="inlineStr">
        <is>
          <t>CI</t>
        </is>
      </c>
      <c r="B95" s="103" t="inlineStr">
        <is>
          <t>The Cigna Group</t>
        </is>
      </c>
      <c r="C95" s="104" t="n">
        <v>-8528000000</v>
      </c>
      <c r="D95" s="105" t="n">
        <v>0.03</v>
      </c>
      <c r="E95" s="105" t="n">
        <v>0.03</v>
      </c>
      <c r="F95" s="105" t="n">
        <v>0.02</v>
      </c>
      <c r="G95" s="105" t="n">
        <v>0.04</v>
      </c>
      <c r="H95" s="105" t="n">
        <v>0.02</v>
      </c>
      <c r="I95" s="105" t="n">
        <v>0.14</v>
      </c>
      <c r="J95" s="105" t="n">
        <v>0.09</v>
      </c>
      <c r="K95" s="105" t="n">
        <v>0.22</v>
      </c>
      <c r="L95" s="105" t="n">
        <v>0.26</v>
      </c>
      <c r="M95" s="105" t="n">
        <v>1.74</v>
      </c>
      <c r="N95" s="104" t="n">
        <v>1.59</v>
      </c>
      <c r="O95" s="104" t="n">
        <v>0.85</v>
      </c>
      <c r="P95" s="104" t="n">
        <v>0.84</v>
      </c>
      <c r="Q95" s="104" t="n">
        <v>0.72</v>
      </c>
      <c r="R95" s="104" t="n">
        <v>0.14</v>
      </c>
      <c r="S95" s="104" t="n">
        <v>0.73</v>
      </c>
      <c r="T95" s="104" t="n">
        <v>0.74</v>
      </c>
      <c r="U95" s="104" t="n">
        <v>0.01</v>
      </c>
      <c r="V95" s="104" t="n">
        <v>-0.17</v>
      </c>
      <c r="W95" s="104" t="n">
        <v>1.61</v>
      </c>
      <c r="X95" s="105" t="n">
        <v>0.03</v>
      </c>
      <c r="Y95" s="113" t="inlineStr">
        <is>
          <t>N/A</t>
        </is>
      </c>
      <c r="Z95" s="105" t="n">
        <v>6.57</v>
      </c>
      <c r="AA95" s="105" t="n">
        <v>0.11</v>
      </c>
      <c r="AB95" s="105" t="n">
        <v>0.73</v>
      </c>
      <c r="AC95" s="104" t="n">
        <v>-0.02</v>
      </c>
      <c r="AD95" s="104" t="n">
        <v>-0.02</v>
      </c>
      <c r="AE95" s="104" t="n">
        <v>-0.05</v>
      </c>
      <c r="AF95" s="104" t="n">
        <v>0.3</v>
      </c>
      <c r="AG95" s="104" t="n">
        <v>0.06</v>
      </c>
      <c r="AH95" s="104" t="n">
        <v>0.36</v>
      </c>
      <c r="AI95" s="104" t="n">
        <v>1.74</v>
      </c>
      <c r="AJ95" s="104" t="n">
        <v>2.51</v>
      </c>
      <c r="AK95" s="106" t="inlineStr">
        <is>
          <t>Grey</t>
        </is>
      </c>
      <c r="AL95" s="104" t="n">
        <v>-0.05</v>
      </c>
      <c r="AM95" s="104" t="n">
        <v>0.3</v>
      </c>
      <c r="AN95" s="104" t="n">
        <v>0.06</v>
      </c>
      <c r="AO95" s="104" t="n">
        <v>0.36</v>
      </c>
      <c r="AP95" s="104" t="n">
        <v>1.74</v>
      </c>
      <c r="AQ95" s="103" t="n">
        <v>2.29</v>
      </c>
      <c r="AR95" s="103" t="inlineStr">
        <is>
          <t>Grey</t>
        </is>
      </c>
      <c r="AS95" s="104" t="n">
        <v>-0.05</v>
      </c>
      <c r="AT95" s="104" t="n">
        <v>0.3</v>
      </c>
      <c r="AU95" s="104" t="n">
        <v>0.06</v>
      </c>
      <c r="AV95" s="104" t="n">
        <v>0.36</v>
      </c>
      <c r="AW95" s="103" t="n">
        <v>1.4</v>
      </c>
      <c r="AX95" s="103" t="inlineStr">
        <is>
          <t>Grey</t>
        </is>
      </c>
      <c r="AY95" s="104" t="n">
        <v>-0.05</v>
      </c>
      <c r="AZ95" s="104" t="n">
        <v>0.06</v>
      </c>
      <c r="BA95" s="104" t="n">
        <v>0.14</v>
      </c>
      <c r="BB95" s="104" t="n">
        <v>1.74</v>
      </c>
      <c r="BC95" s="103" t="n">
        <v>0.91</v>
      </c>
      <c r="BD95" s="103" t="inlineStr">
        <is>
          <t>Healthy</t>
        </is>
      </c>
      <c r="BE95" s="104" t="n">
        <v>0.04</v>
      </c>
      <c r="BF95" s="104" t="n">
        <v>0.73</v>
      </c>
      <c r="BG95" s="104" t="n">
        <v>0.85</v>
      </c>
      <c r="BH95" s="104" t="n">
        <v>-0.33</v>
      </c>
      <c r="BI95" s="103" t="n">
        <v>0.42</v>
      </c>
      <c r="BJ95" s="103" t="inlineStr">
        <is>
          <t>Healthy</t>
        </is>
      </c>
      <c r="BK95" s="103" t="n">
        <v>1</v>
      </c>
      <c r="BL95" s="103" t="n">
        <v>1</v>
      </c>
      <c r="BM95" s="103" t="n">
        <v>1</v>
      </c>
      <c r="BN95" s="103" t="n">
        <v>1</v>
      </c>
      <c r="BO95" s="103" t="n">
        <v>0</v>
      </c>
      <c r="BP95" s="103" t="n">
        <v>1</v>
      </c>
      <c r="BQ95" s="103" t="n">
        <v>1</v>
      </c>
      <c r="BR95" s="103" t="n">
        <v>0</v>
      </c>
      <c r="BS95" s="103" t="n">
        <v>1</v>
      </c>
      <c r="BT95" s="103" t="n">
        <v>7</v>
      </c>
      <c r="BU95" s="103" t="inlineStr">
        <is>
          <t>Strong</t>
        </is>
      </c>
      <c r="BV95" s="104" t="n">
        <v>1.07</v>
      </c>
      <c r="BW95" s="104" t="n">
        <v>1.2</v>
      </c>
      <c r="BX95" s="104" t="n">
        <v>1.02</v>
      </c>
      <c r="BY95" s="104" t="n">
        <v>1.11</v>
      </c>
      <c r="BZ95" s="104" t="n">
        <v>0.98</v>
      </c>
      <c r="CA95" s="104" t="n">
        <v>0.89</v>
      </c>
      <c r="CB95" s="104" t="n">
        <v>1</v>
      </c>
      <c r="CC95" s="104" t="n">
        <v>-0.02</v>
      </c>
      <c r="CD95" s="103" t="n">
        <v>-2.3</v>
      </c>
      <c r="CE95" s="103" t="inlineStr">
        <is>
          <t>Lower Risk</t>
        </is>
      </c>
      <c r="CF95" s="104" t="n">
        <v>-0.59</v>
      </c>
      <c r="CG95" s="104" t="n">
        <v>58.73</v>
      </c>
      <c r="CH95" s="103" t="n">
        <v>0</v>
      </c>
      <c r="CI95" s="103" t="inlineStr">
        <is>
          <t>CLEAR</t>
        </is>
      </c>
    </row>
    <row r="96" ht="17" customHeight="1">
      <c r="A96" s="107" t="inlineStr">
        <is>
          <t>TREX</t>
        </is>
      </c>
      <c r="B96" s="107" t="inlineStr">
        <is>
          <t>Trex Company, Inc.</t>
        </is>
      </c>
      <c r="C96" s="108" t="n">
        <v>59701000</v>
      </c>
      <c r="D96" s="109" t="n">
        <v>0.22</v>
      </c>
      <c r="E96" s="109" t="n">
        <v>0.22</v>
      </c>
      <c r="F96" s="109" t="n">
        <v>0.16</v>
      </c>
      <c r="G96" s="109" t="n">
        <v>0.13</v>
      </c>
      <c r="H96" s="109" t="n">
        <v>0.17</v>
      </c>
      <c r="I96" s="109" t="n">
        <v>0.18</v>
      </c>
      <c r="J96" s="109" t="n">
        <v>0.21</v>
      </c>
      <c r="K96" s="109" t="n">
        <v>0.39</v>
      </c>
      <c r="L96" s="109" t="n">
        <v>0.42</v>
      </c>
      <c r="M96" s="109" t="n">
        <v>0.8100000000000001</v>
      </c>
      <c r="N96" s="108" t="n">
        <v>0.87</v>
      </c>
      <c r="O96" s="108" t="n">
        <v>1.24</v>
      </c>
      <c r="P96" s="108" t="n">
        <v>0.93</v>
      </c>
      <c r="Q96" s="108" t="n">
        <v>0.29</v>
      </c>
      <c r="R96" s="108" t="n">
        <v>0.02</v>
      </c>
      <c r="S96" s="108" t="n">
        <v>0.29</v>
      </c>
      <c r="T96" s="108" t="n">
        <v>0.36</v>
      </c>
      <c r="U96" s="108" t="n">
        <v>0.17</v>
      </c>
      <c r="V96" s="108" t="n">
        <v>0.16</v>
      </c>
      <c r="W96" s="108" t="n">
        <v>1.88</v>
      </c>
      <c r="X96" s="109" t="n">
        <v>0.11</v>
      </c>
      <c r="Y96" s="109" t="n">
        <v>0</v>
      </c>
      <c r="Z96" s="109" t="n">
        <v>559.5700000000001</v>
      </c>
      <c r="AA96" s="109" t="n">
        <v>0.02</v>
      </c>
      <c r="AB96" s="109" t="n">
        <v>-0.16</v>
      </c>
      <c r="AC96" s="108" t="n">
        <v>-0.12</v>
      </c>
      <c r="AD96" s="108" t="n">
        <v>-0.12</v>
      </c>
      <c r="AE96" s="108" t="n">
        <v>0.04</v>
      </c>
      <c r="AF96" s="108" t="n">
        <v>1.23</v>
      </c>
      <c r="AG96" s="108" t="n">
        <v>0.18</v>
      </c>
      <c r="AH96" s="108" t="n">
        <v>2.47</v>
      </c>
      <c r="AI96" s="108" t="n">
        <v>0.8100000000000001</v>
      </c>
      <c r="AJ96" s="108" t="n">
        <v>4.65</v>
      </c>
      <c r="AK96" s="110" t="inlineStr">
        <is>
          <t>Safe</t>
        </is>
      </c>
      <c r="AL96" s="108" t="n">
        <v>0.04</v>
      </c>
      <c r="AM96" s="108" t="n">
        <v>1.23</v>
      </c>
      <c r="AN96" s="108" t="n">
        <v>0.18</v>
      </c>
      <c r="AO96" s="108" t="n">
        <v>2.47</v>
      </c>
      <c r="AP96" s="108" t="n">
        <v>0.8100000000000001</v>
      </c>
      <c r="AQ96" s="107" t="n">
        <v>3.47</v>
      </c>
      <c r="AR96" s="107" t="inlineStr">
        <is>
          <t>Safe</t>
        </is>
      </c>
      <c r="AS96" s="108" t="n">
        <v>0.04</v>
      </c>
      <c r="AT96" s="108" t="n">
        <v>1.23</v>
      </c>
      <c r="AU96" s="108" t="n">
        <v>0.18</v>
      </c>
      <c r="AV96" s="108" t="n">
        <v>2.47</v>
      </c>
      <c r="AW96" s="107" t="n">
        <v>8.07</v>
      </c>
      <c r="AX96" s="107" t="inlineStr">
        <is>
          <t>Safe</t>
        </is>
      </c>
      <c r="AY96" s="108" t="n">
        <v>0.04</v>
      </c>
      <c r="AZ96" s="108" t="n">
        <v>0.18</v>
      </c>
      <c r="BA96" s="108" t="n">
        <v>1.03</v>
      </c>
      <c r="BB96" s="108" t="n">
        <v>0.8100000000000001</v>
      </c>
      <c r="BC96" s="107" t="n">
        <v>1.59</v>
      </c>
      <c r="BD96" s="107" t="inlineStr">
        <is>
          <t>Healthy</t>
        </is>
      </c>
      <c r="BE96" s="108" t="n">
        <v>0.13</v>
      </c>
      <c r="BF96" s="108" t="n">
        <v>0.29</v>
      </c>
      <c r="BG96" s="108" t="n">
        <v>1.24</v>
      </c>
      <c r="BH96" s="108" t="n">
        <v>-3.28</v>
      </c>
      <c r="BI96" s="107" t="n">
        <v>0.04</v>
      </c>
      <c r="BJ96" s="107" t="inlineStr">
        <is>
          <t>Healthy</t>
        </is>
      </c>
      <c r="BK96" s="107" t="n">
        <v>1</v>
      </c>
      <c r="BL96" s="107" t="n">
        <v>1</v>
      </c>
      <c r="BM96" s="107" t="n">
        <v>0</v>
      </c>
      <c r="BN96" s="107" t="n">
        <v>1</v>
      </c>
      <c r="BO96" s="107" t="n">
        <v>1</v>
      </c>
      <c r="BP96" s="107" t="n">
        <v>1</v>
      </c>
      <c r="BQ96" s="107" t="n">
        <v>1</v>
      </c>
      <c r="BR96" s="107" t="n">
        <v>0</v>
      </c>
      <c r="BS96" s="107" t="n">
        <v>0</v>
      </c>
      <c r="BT96" s="107" t="n">
        <v>6</v>
      </c>
      <c r="BU96" s="107" t="inlineStr">
        <is>
          <t>Mixed</t>
        </is>
      </c>
      <c r="BV96" s="108" t="n">
        <v>0.53</v>
      </c>
      <c r="BW96" s="108" t="n">
        <v>1.08</v>
      </c>
      <c r="BX96" s="108" t="n">
        <v>1.03</v>
      </c>
      <c r="BY96" s="108" t="n">
        <v>1.02</v>
      </c>
      <c r="BZ96" s="108" t="n">
        <v>0.99</v>
      </c>
      <c r="CA96" s="108" t="n">
        <v>1.1</v>
      </c>
      <c r="CB96" s="108" t="n">
        <v>0.8100000000000001</v>
      </c>
      <c r="CC96" s="108" t="n">
        <v>-0.12</v>
      </c>
      <c r="CD96" s="107" t="n">
        <v>-3.33</v>
      </c>
      <c r="CE96" s="107" t="inlineStr">
        <is>
          <t>Lower Risk</t>
        </is>
      </c>
      <c r="CF96" s="108" t="n">
        <v>0.53</v>
      </c>
      <c r="CG96" s="108" t="n">
        <v>61.24</v>
      </c>
      <c r="CH96" s="107" t="n">
        <v>20</v>
      </c>
      <c r="CI96" s="107" t="inlineStr">
        <is>
          <t>CLEAR</t>
        </is>
      </c>
    </row>
    <row r="97" ht="17" customHeight="1">
      <c r="A97" s="103" t="inlineStr">
        <is>
          <t>APA</t>
        </is>
      </c>
      <c r="B97" s="103" t="inlineStr">
        <is>
          <t>APA CORPORATION</t>
        </is>
      </c>
      <c r="C97" s="104" t="n">
        <v>-450000000</v>
      </c>
      <c r="D97" s="113" t="inlineStr">
        <is>
          <t>N/A</t>
        </is>
      </c>
      <c r="E97" s="113" t="inlineStr">
        <is>
          <t>N/A</t>
        </is>
      </c>
      <c r="F97" s="113" t="inlineStr">
        <is>
          <t>N/A</t>
        </is>
      </c>
      <c r="G97" s="105" t="n">
        <v>0.08</v>
      </c>
      <c r="H97" s="105" t="n">
        <v>0.04</v>
      </c>
      <c r="I97" s="105" t="n">
        <v>0.24</v>
      </c>
      <c r="J97" s="105" t="n">
        <v>0.2</v>
      </c>
      <c r="K97" s="113" t="inlineStr">
        <is>
          <t>N/A</t>
        </is>
      </c>
      <c r="L97" s="113" t="inlineStr">
        <is>
          <t>N/A</t>
        </is>
      </c>
      <c r="M97" s="113" t="inlineStr">
        <is>
          <t>N/A</t>
        </is>
      </c>
      <c r="N97" s="113" t="inlineStr">
        <is>
          <t>N/A</t>
        </is>
      </c>
      <c r="O97" s="104" t="n">
        <v>0.82</v>
      </c>
      <c r="P97" s="104" t="n">
        <v>1.15</v>
      </c>
      <c r="Q97" s="104" t="n">
        <v>0.6899999999999999</v>
      </c>
      <c r="R97" s="104" t="n">
        <v>0.2</v>
      </c>
      <c r="S97" s="104" t="n">
        <v>1</v>
      </c>
      <c r="T97" s="104" t="n">
        <v>1</v>
      </c>
      <c r="U97" s="104" t="n">
        <v>0.03</v>
      </c>
      <c r="V97" s="104" t="n">
        <v>-0.05</v>
      </c>
      <c r="W97" s="104" t="n">
        <v>3.17</v>
      </c>
      <c r="X97" s="113" t="inlineStr">
        <is>
          <t>N/A</t>
        </is>
      </c>
      <c r="Y97" s="105" t="n">
        <v>0</v>
      </c>
      <c r="Z97" s="105" t="n">
        <v>9.56</v>
      </c>
      <c r="AA97" s="113" t="inlineStr">
        <is>
          <t>N/A</t>
        </is>
      </c>
      <c r="AB97" s="105" t="n">
        <v>0.78</v>
      </c>
      <c r="AC97" s="104" t="n">
        <v>-0.18</v>
      </c>
      <c r="AD97" s="104" t="n">
        <v>-0.18</v>
      </c>
      <c r="AE97" s="104" t="n">
        <v>-0.03</v>
      </c>
      <c r="AF97" s="104" t="n">
        <v>-0.04</v>
      </c>
      <c r="AG97" s="104" t="n">
        <v>0.17</v>
      </c>
      <c r="AH97" s="104" t="n">
        <v>0.34</v>
      </c>
      <c r="AI97" s="113" t="inlineStr">
        <is>
          <t>N/A</t>
        </is>
      </c>
      <c r="AJ97" s="113" t="inlineStr">
        <is>
          <t>N/A</t>
        </is>
      </c>
      <c r="AK97" s="113" t="inlineStr">
        <is>
          <t>N/A</t>
        </is>
      </c>
      <c r="AL97" s="104" t="n">
        <v>-0.03</v>
      </c>
      <c r="AM97" s="104" t="n">
        <v>-0.04</v>
      </c>
      <c r="AN97" s="104" t="n">
        <v>0.17</v>
      </c>
      <c r="AO97" s="104" t="n">
        <v>0.34</v>
      </c>
      <c r="AP97" s="113" t="inlineStr">
        <is>
          <t>N/A</t>
        </is>
      </c>
      <c r="AQ97" s="113" t="inlineStr">
        <is>
          <t>N/A</t>
        </is>
      </c>
      <c r="AR97" s="113" t="inlineStr">
        <is>
          <t>N/A</t>
        </is>
      </c>
      <c r="AS97" s="104" t="n">
        <v>-0.03</v>
      </c>
      <c r="AT97" s="104" t="n">
        <v>-0.04</v>
      </c>
      <c r="AU97" s="104" t="n">
        <v>0.17</v>
      </c>
      <c r="AV97" s="104" t="n">
        <v>0.34</v>
      </c>
      <c r="AW97" s="103" t="n">
        <v>1.23</v>
      </c>
      <c r="AX97" s="103" t="inlineStr">
        <is>
          <t>Grey</t>
        </is>
      </c>
      <c r="AY97" s="104" t="n">
        <v>-0.03</v>
      </c>
      <c r="AZ97" s="104" t="n">
        <v>0.17</v>
      </c>
      <c r="BA97" s="104" t="n">
        <v>1.09</v>
      </c>
      <c r="BB97" s="113" t="inlineStr">
        <is>
          <t>N/A</t>
        </is>
      </c>
      <c r="BC97" s="113" t="inlineStr">
        <is>
          <t>N/A</t>
        </is>
      </c>
      <c r="BD97" s="113" t="inlineStr">
        <is>
          <t>N/A</t>
        </is>
      </c>
      <c r="BE97" s="104" t="n">
        <v>0.08</v>
      </c>
      <c r="BF97" s="104" t="n">
        <v>1</v>
      </c>
      <c r="BG97" s="104" t="n">
        <v>0.82</v>
      </c>
      <c r="BH97" s="104" t="n">
        <v>0.98</v>
      </c>
      <c r="BI97" s="103" t="n">
        <v>0.73</v>
      </c>
      <c r="BJ97" s="103" t="inlineStr">
        <is>
          <t>Distress</t>
        </is>
      </c>
      <c r="BK97" s="103" t="n">
        <v>1</v>
      </c>
      <c r="BL97" s="103" t="n">
        <v>1</v>
      </c>
      <c r="BM97" s="103" t="n">
        <v>1</v>
      </c>
      <c r="BN97" s="103" t="n">
        <v>1</v>
      </c>
      <c r="BO97" s="103" t="n">
        <v>0</v>
      </c>
      <c r="BP97" s="103" t="n">
        <v>0</v>
      </c>
      <c r="BQ97" s="103" t="n">
        <v>1</v>
      </c>
      <c r="BR97" s="103" t="n">
        <v>0</v>
      </c>
      <c r="BS97" s="103" t="n">
        <v>0</v>
      </c>
      <c r="BT97" s="103" t="n">
        <v>5</v>
      </c>
      <c r="BU97" s="103" t="inlineStr">
        <is>
          <t>Mixed</t>
        </is>
      </c>
      <c r="BV97" s="113" t="inlineStr">
        <is>
          <t>N/A</t>
        </is>
      </c>
      <c r="BW97" s="113" t="inlineStr">
        <is>
          <t>N/A</t>
        </is>
      </c>
      <c r="BX97" s="113" t="inlineStr">
        <is>
          <t>N/A</t>
        </is>
      </c>
      <c r="BY97" s="113" t="inlineStr">
        <is>
          <t>N/A</t>
        </is>
      </c>
      <c r="BZ97" s="113" t="inlineStr">
        <is>
          <t>N/A</t>
        </is>
      </c>
      <c r="CA97" s="113" t="inlineStr">
        <is>
          <t>N/A</t>
        </is>
      </c>
      <c r="CB97" s="104" t="n">
        <v>1</v>
      </c>
      <c r="CC97" s="104" t="n">
        <v>-0.18</v>
      </c>
      <c r="CD97" s="113" t="inlineStr">
        <is>
          <t>N/A</t>
        </is>
      </c>
      <c r="CE97" s="113" t="inlineStr">
        <is>
          <t>N/A</t>
        </is>
      </c>
      <c r="CF97" s="104" t="n">
        <v>-0.06</v>
      </c>
      <c r="CG97" s="104" t="n">
        <v>42.94</v>
      </c>
      <c r="CH97" s="103" t="n">
        <v>20</v>
      </c>
      <c r="CI97" s="103" t="inlineStr">
        <is>
          <t>CLEAR</t>
        </is>
      </c>
    </row>
    <row r="98" ht="17" customHeight="1">
      <c r="A98" s="107" t="inlineStr">
        <is>
          <t>MCHP</t>
        </is>
      </c>
      <c r="B98" s="107" t="inlineStr">
        <is>
          <t>Microchip Technology Incorporated</t>
        </is>
      </c>
      <c r="C98" s="108" t="n">
        <v>1241300000</v>
      </c>
      <c r="D98" s="109" t="n">
        <v>0.09</v>
      </c>
      <c r="E98" s="109" t="n">
        <v>0.05</v>
      </c>
      <c r="F98" s="109" t="n">
        <v>0.04</v>
      </c>
      <c r="G98" s="109" t="n">
        <v>0.02</v>
      </c>
      <c r="H98" s="109" t="n">
        <v>-0</v>
      </c>
      <c r="I98" s="109" t="n">
        <v>0.04</v>
      </c>
      <c r="J98" s="109" t="n">
        <v>0.04</v>
      </c>
      <c r="K98" s="109" t="n">
        <v>0.51</v>
      </c>
      <c r="L98" s="109" t="n">
        <v>1.86</v>
      </c>
      <c r="M98" s="109" t="n">
        <v>0.37</v>
      </c>
      <c r="N98" s="108" t="n">
        <v>0.09</v>
      </c>
      <c r="O98" s="108" t="n">
        <v>2.09</v>
      </c>
      <c r="P98" s="108" t="n">
        <v>2.59</v>
      </c>
      <c r="Q98" s="108" t="n">
        <v>1.18</v>
      </c>
      <c r="R98" s="108" t="n">
        <v>0.21</v>
      </c>
      <c r="S98" s="108" t="n">
        <v>1</v>
      </c>
      <c r="T98" s="108" t="n">
        <v>1</v>
      </c>
      <c r="U98" s="108" t="n">
        <v>0.85</v>
      </c>
      <c r="V98" s="108" t="n">
        <v>0.82</v>
      </c>
      <c r="W98" s="108" t="n">
        <v>4.18</v>
      </c>
      <c r="X98" s="109" t="n">
        <v>0.16</v>
      </c>
      <c r="Y98" s="109" t="n">
        <v>0.2</v>
      </c>
      <c r="Z98" s="109" t="n">
        <v>2.47</v>
      </c>
      <c r="AA98" s="109" t="n">
        <v>3.02</v>
      </c>
      <c r="AB98" s="109" t="n">
        <v>-461</v>
      </c>
      <c r="AC98" s="108" t="n">
        <v>-0.05</v>
      </c>
      <c r="AD98" s="108" t="n">
        <v>-0.05</v>
      </c>
      <c r="AE98" s="108" t="n">
        <v>0.09</v>
      </c>
      <c r="AF98" s="108" t="n">
        <v>0.34</v>
      </c>
      <c r="AG98" s="108" t="n">
        <v>0.03</v>
      </c>
      <c r="AH98" s="108" t="n">
        <v>0.45</v>
      </c>
      <c r="AI98" s="108" t="n">
        <v>0.37</v>
      </c>
      <c r="AJ98" s="108" t="n">
        <v>1.34</v>
      </c>
      <c r="AK98" s="112" t="inlineStr">
        <is>
          <t>Distress</t>
        </is>
      </c>
      <c r="AL98" s="108" t="n">
        <v>0.09</v>
      </c>
      <c r="AM98" s="108" t="n">
        <v>0.34</v>
      </c>
      <c r="AN98" s="108" t="n">
        <v>0.03</v>
      </c>
      <c r="AO98" s="108" t="n">
        <v>0.45</v>
      </c>
      <c r="AP98" s="108" t="n">
        <v>0.37</v>
      </c>
      <c r="AQ98" s="107" t="n">
        <v>1.02</v>
      </c>
      <c r="AR98" s="107" t="inlineStr">
        <is>
          <t>Distress</t>
        </is>
      </c>
      <c r="AS98" s="108" t="n">
        <v>0.09</v>
      </c>
      <c r="AT98" s="108" t="n">
        <v>0.34</v>
      </c>
      <c r="AU98" s="108" t="n">
        <v>0.03</v>
      </c>
      <c r="AV98" s="108" t="n">
        <v>0.45</v>
      </c>
      <c r="AW98" s="107" t="n">
        <v>2.38</v>
      </c>
      <c r="AX98" s="107" t="inlineStr">
        <is>
          <t>Grey</t>
        </is>
      </c>
      <c r="AY98" s="108" t="n">
        <v>0.09</v>
      </c>
      <c r="AZ98" s="108" t="n">
        <v>0.03</v>
      </c>
      <c r="BA98" s="108" t="n">
        <v>0.24</v>
      </c>
      <c r="BB98" s="108" t="n">
        <v>0.37</v>
      </c>
      <c r="BC98" s="107" t="n">
        <v>0.5</v>
      </c>
      <c r="BD98" s="107" t="inlineStr">
        <is>
          <t>Distress</t>
        </is>
      </c>
      <c r="BE98" s="108" t="n">
        <v>0.02</v>
      </c>
      <c r="BF98" s="108" t="n">
        <v>1</v>
      </c>
      <c r="BG98" s="108" t="n">
        <v>2.09</v>
      </c>
      <c r="BH98" s="108" t="n">
        <v>1.28</v>
      </c>
      <c r="BI98" s="107" t="n">
        <v>0.78</v>
      </c>
      <c r="BJ98" s="107" t="inlineStr">
        <is>
          <t>Distress</t>
        </is>
      </c>
      <c r="BK98" s="107" t="n">
        <v>1</v>
      </c>
      <c r="BL98" s="107" t="n">
        <v>1</v>
      </c>
      <c r="BM98" s="107" t="n">
        <v>1</v>
      </c>
      <c r="BN98" s="107" t="n">
        <v>1</v>
      </c>
      <c r="BO98" s="107" t="n">
        <v>0</v>
      </c>
      <c r="BP98" s="107" t="n">
        <v>0</v>
      </c>
      <c r="BQ98" s="107" t="n">
        <v>0</v>
      </c>
      <c r="BR98" s="107" t="n">
        <v>0</v>
      </c>
      <c r="BS98" s="107" t="n">
        <v>1</v>
      </c>
      <c r="BT98" s="107" t="n">
        <v>5</v>
      </c>
      <c r="BU98" s="107" t="inlineStr">
        <is>
          <t>Mixed</t>
        </is>
      </c>
      <c r="BV98" s="108" t="n">
        <v>0.32</v>
      </c>
      <c r="BW98" s="108" t="n">
        <v>3.65</v>
      </c>
      <c r="BX98" s="108" t="n">
        <v>1.04</v>
      </c>
      <c r="BY98" s="108" t="n">
        <v>4.02</v>
      </c>
      <c r="BZ98" s="108" t="n">
        <v>1.01</v>
      </c>
      <c r="CA98" s="108" t="n">
        <v>0.27</v>
      </c>
      <c r="CB98" s="108" t="n">
        <v>1</v>
      </c>
      <c r="CC98" s="108" t="n">
        <v>-0.05</v>
      </c>
      <c r="CD98" s="107" t="n">
        <v>0.9</v>
      </c>
      <c r="CE98" s="107" t="inlineStr">
        <is>
          <t>Higher Risk</t>
        </is>
      </c>
      <c r="CF98" s="108" t="n">
        <v>4.46</v>
      </c>
      <c r="CG98" s="108" t="n">
        <v>41.5</v>
      </c>
      <c r="CH98" s="107" t="n">
        <v>20</v>
      </c>
      <c r="CI98" s="107" t="inlineStr">
        <is>
          <t>CLEAR</t>
        </is>
      </c>
    </row>
    <row r="99" ht="17" customHeight="1">
      <c r="A99" s="103" t="inlineStr">
        <is>
          <t>FORM</t>
        </is>
      </c>
      <c r="B99" s="103" t="inlineStr">
        <is>
          <t>FormFactor, Inc.</t>
        </is>
      </c>
      <c r="C99" s="104" t="n">
        <v>433193000</v>
      </c>
      <c r="D99" s="105" t="n">
        <v>0.07000000000000001</v>
      </c>
      <c r="E99" s="105" t="n">
        <v>0.09</v>
      </c>
      <c r="F99" s="105" t="n">
        <v>0.07000000000000001</v>
      </c>
      <c r="G99" s="105" t="n">
        <v>0.04</v>
      </c>
      <c r="H99" s="105" t="n">
        <v>0.06</v>
      </c>
      <c r="I99" s="105" t="n">
        <v>0.05</v>
      </c>
      <c r="J99" s="105" t="n">
        <v>0.05</v>
      </c>
      <c r="K99" s="105" t="n">
        <v>0.39</v>
      </c>
      <c r="L99" s="105" t="n">
        <v>0.4</v>
      </c>
      <c r="M99" s="105" t="n">
        <v>0.64</v>
      </c>
      <c r="N99" s="104" t="n">
        <v>0.67</v>
      </c>
      <c r="O99" s="104" t="n">
        <v>4.5</v>
      </c>
      <c r="P99" s="104" t="n">
        <v>4.61</v>
      </c>
      <c r="Q99" s="104" t="n">
        <v>3.6</v>
      </c>
      <c r="R99" s="104" t="n">
        <v>0.83</v>
      </c>
      <c r="S99" s="104" t="n">
        <v>0.15</v>
      </c>
      <c r="T99" s="104" t="n">
        <v>0.17</v>
      </c>
      <c r="U99" s="104" t="n">
        <v>0.01</v>
      </c>
      <c r="V99" s="104" t="n">
        <v>-0.09</v>
      </c>
      <c r="W99" s="104" t="n">
        <v>2.12</v>
      </c>
      <c r="X99" s="105" t="n">
        <v>0.01</v>
      </c>
      <c r="Y99" s="105" t="n">
        <v>0.15</v>
      </c>
      <c r="Z99" s="105" t="n">
        <v>109.54</v>
      </c>
      <c r="AA99" s="105" t="n">
        <v>0.03</v>
      </c>
      <c r="AB99" s="105" t="n">
        <v>-0.22</v>
      </c>
      <c r="AC99" s="104" t="n">
        <v>-0.05</v>
      </c>
      <c r="AD99" s="104" t="n">
        <v>-0.05</v>
      </c>
      <c r="AE99" s="104" t="n">
        <v>0.35</v>
      </c>
      <c r="AF99" s="104" t="n">
        <v>0.14</v>
      </c>
      <c r="AG99" s="104" t="n">
        <v>0.05</v>
      </c>
      <c r="AH99" s="104" t="n">
        <v>5.48</v>
      </c>
      <c r="AI99" s="104" t="n">
        <v>0.64</v>
      </c>
      <c r="AJ99" s="104" t="n">
        <v>4.71</v>
      </c>
      <c r="AK99" s="110" t="inlineStr">
        <is>
          <t>Safe</t>
        </is>
      </c>
      <c r="AL99" s="104" t="n">
        <v>0.35</v>
      </c>
      <c r="AM99" s="104" t="n">
        <v>0.14</v>
      </c>
      <c r="AN99" s="104" t="n">
        <v>0.05</v>
      </c>
      <c r="AO99" s="104" t="n">
        <v>5.48</v>
      </c>
      <c r="AP99" s="104" t="n">
        <v>0.64</v>
      </c>
      <c r="AQ99" s="103" t="n">
        <v>3.46</v>
      </c>
      <c r="AR99" s="103" t="inlineStr">
        <is>
          <t>Safe</t>
        </is>
      </c>
      <c r="AS99" s="104" t="n">
        <v>0.35</v>
      </c>
      <c r="AT99" s="104" t="n">
        <v>0.14</v>
      </c>
      <c r="AU99" s="104" t="n">
        <v>0.05</v>
      </c>
      <c r="AV99" s="104" t="n">
        <v>5.48</v>
      </c>
      <c r="AW99" s="103" t="n">
        <v>8.85</v>
      </c>
      <c r="AX99" s="103" t="inlineStr">
        <is>
          <t>Safe</t>
        </is>
      </c>
      <c r="AY99" s="104" t="n">
        <v>0.35</v>
      </c>
      <c r="AZ99" s="104" t="n">
        <v>0.05</v>
      </c>
      <c r="BA99" s="104" t="n">
        <v>0.5600000000000001</v>
      </c>
      <c r="BB99" s="104" t="n">
        <v>0.64</v>
      </c>
      <c r="BC99" s="103" t="n">
        <v>1.13</v>
      </c>
      <c r="BD99" s="103" t="inlineStr">
        <is>
          <t>Healthy</t>
        </is>
      </c>
      <c r="BE99" s="104" t="n">
        <v>0.04</v>
      </c>
      <c r="BF99" s="104" t="n">
        <v>0.15</v>
      </c>
      <c r="BG99" s="104" t="n">
        <v>4.5</v>
      </c>
      <c r="BH99" s="104" t="n">
        <v>-3.64</v>
      </c>
      <c r="BI99" s="103" t="n">
        <v>0.03</v>
      </c>
      <c r="BJ99" s="103" t="inlineStr">
        <is>
          <t>Healthy</t>
        </is>
      </c>
      <c r="BK99" s="103" t="n">
        <v>1</v>
      </c>
      <c r="BL99" s="103" t="n">
        <v>1</v>
      </c>
      <c r="BM99" s="103" t="n">
        <v>0</v>
      </c>
      <c r="BN99" s="103" t="n">
        <v>1</v>
      </c>
      <c r="BO99" s="103" t="n">
        <v>1</v>
      </c>
      <c r="BP99" s="103" t="n">
        <v>0</v>
      </c>
      <c r="BQ99" s="103" t="n">
        <v>0</v>
      </c>
      <c r="BR99" s="103" t="n">
        <v>0</v>
      </c>
      <c r="BS99" s="103" t="n">
        <v>0</v>
      </c>
      <c r="BT99" s="103" t="n">
        <v>4</v>
      </c>
      <c r="BU99" s="103" t="inlineStr">
        <is>
          <t>Mixed</t>
        </is>
      </c>
      <c r="BV99" s="104" t="n">
        <v>1.17</v>
      </c>
      <c r="BW99" s="104" t="n">
        <v>1.02</v>
      </c>
      <c r="BX99" s="104" t="n">
        <v>1.16</v>
      </c>
      <c r="BY99" s="104" t="n">
        <v>1.03</v>
      </c>
      <c r="BZ99" s="104" t="n">
        <v>0.66</v>
      </c>
      <c r="CA99" s="104" t="n">
        <v>0.91</v>
      </c>
      <c r="CB99" s="104" t="n">
        <v>0.89</v>
      </c>
      <c r="CC99" s="104" t="n">
        <v>-0.05</v>
      </c>
      <c r="CD99" s="103" t="n">
        <v>-2.44</v>
      </c>
      <c r="CE99" s="103" t="inlineStr">
        <is>
          <t>Lower Risk</t>
        </is>
      </c>
      <c r="CF99" s="104" t="n">
        <v>-0.87</v>
      </c>
      <c r="CG99" s="104" t="n">
        <v>54.24</v>
      </c>
      <c r="CH99" s="103" t="n">
        <v>0</v>
      </c>
      <c r="CI99" s="103" t="inlineStr">
        <is>
          <t>CLEAR</t>
        </is>
      </c>
    </row>
    <row r="100" ht="17" customHeight="1">
      <c r="A100" s="107" t="inlineStr">
        <is>
          <t>WSM</t>
        </is>
      </c>
      <c r="B100" s="107" t="inlineStr">
        <is>
          <t>WILLIAMS-SONOMA, INC.</t>
        </is>
      </c>
      <c r="C100" s="108" t="n">
        <v>759057000</v>
      </c>
      <c r="D100" s="109" t="n">
        <v>0.18</v>
      </c>
      <c r="E100" s="109" t="n">
        <v>0.19</v>
      </c>
      <c r="F100" s="109" t="n">
        <v>0.14</v>
      </c>
      <c r="G100" s="109" t="n">
        <v>0.2</v>
      </c>
      <c r="H100" s="109" t="n">
        <v>0.21</v>
      </c>
      <c r="I100" s="109" t="n">
        <v>0.52</v>
      </c>
      <c r="J100" s="109" t="n">
        <v>0.41</v>
      </c>
      <c r="K100" s="109" t="n">
        <v>0.46</v>
      </c>
      <c r="L100" s="109" t="n">
        <v>0.46</v>
      </c>
      <c r="M100" s="109" t="n">
        <v>1.44</v>
      </c>
      <c r="N100" s="108" t="n">
        <v>1.45</v>
      </c>
      <c r="O100" s="108" t="n">
        <v>1.39</v>
      </c>
      <c r="P100" s="108" t="n">
        <v>1.44</v>
      </c>
      <c r="Q100" s="108" t="n">
        <v>0.64</v>
      </c>
      <c r="R100" s="108" t="n">
        <v>0.52</v>
      </c>
      <c r="S100" s="108" t="n">
        <v>0.62</v>
      </c>
      <c r="T100" s="108" t="n">
        <v>0.6</v>
      </c>
      <c r="U100" s="108" t="n">
        <v>0</v>
      </c>
      <c r="V100" s="108" t="n">
        <v>-0.49</v>
      </c>
      <c r="W100" s="108" t="n">
        <v>1.21</v>
      </c>
      <c r="X100" s="109" t="n">
        <v>0.14</v>
      </c>
      <c r="Y100" s="111" t="inlineStr">
        <is>
          <t>N/A</t>
        </is>
      </c>
      <c r="Z100" s="109" t="n">
        <v>485.67</v>
      </c>
      <c r="AA100" s="109" t="n">
        <v>0.01</v>
      </c>
      <c r="AB100" s="109" t="n">
        <v>-0.03</v>
      </c>
      <c r="AC100" s="108" t="n">
        <v>-0.04</v>
      </c>
      <c r="AD100" s="108" t="n">
        <v>-0.04</v>
      </c>
      <c r="AE100" s="108" t="n">
        <v>0.14</v>
      </c>
      <c r="AF100" s="108" t="n">
        <v>0.28</v>
      </c>
      <c r="AG100" s="108" t="n">
        <v>0.26</v>
      </c>
      <c r="AH100" s="108" t="n">
        <v>0.63</v>
      </c>
      <c r="AI100" s="108" t="n">
        <v>1.44</v>
      </c>
      <c r="AJ100" s="108" t="n">
        <v>3.24</v>
      </c>
      <c r="AK100" s="110" t="inlineStr">
        <is>
          <t>Safe</t>
        </is>
      </c>
      <c r="AL100" s="108" t="n">
        <v>0.14</v>
      </c>
      <c r="AM100" s="108" t="n">
        <v>0.28</v>
      </c>
      <c r="AN100" s="108" t="n">
        <v>0.26</v>
      </c>
      <c r="AO100" s="108" t="n">
        <v>0.63</v>
      </c>
      <c r="AP100" s="108" t="n">
        <v>1.44</v>
      </c>
      <c r="AQ100" s="107" t="n">
        <v>2.85</v>
      </c>
      <c r="AR100" s="107" t="inlineStr">
        <is>
          <t>Grey</t>
        </is>
      </c>
      <c r="AS100" s="108" t="n">
        <v>0.14</v>
      </c>
      <c r="AT100" s="108" t="n">
        <v>0.28</v>
      </c>
      <c r="AU100" s="108" t="n">
        <v>0.26</v>
      </c>
      <c r="AV100" s="108" t="n">
        <v>0.63</v>
      </c>
      <c r="AW100" s="107" t="n">
        <v>4.24</v>
      </c>
      <c r="AX100" s="107" t="inlineStr">
        <is>
          <t>Safe</t>
        </is>
      </c>
      <c r="AY100" s="108" t="n">
        <v>0.14</v>
      </c>
      <c r="AZ100" s="108" t="n">
        <v>0.26</v>
      </c>
      <c r="BA100" s="108" t="n">
        <v>0.74</v>
      </c>
      <c r="BB100" s="108" t="n">
        <v>1.44</v>
      </c>
      <c r="BC100" s="107" t="n">
        <v>2.02</v>
      </c>
      <c r="BD100" s="107" t="inlineStr">
        <is>
          <t>Healthy</t>
        </is>
      </c>
      <c r="BE100" s="108" t="n">
        <v>0.2</v>
      </c>
      <c r="BF100" s="108" t="n">
        <v>0.62</v>
      </c>
      <c r="BG100" s="108" t="n">
        <v>1.39</v>
      </c>
      <c r="BH100" s="108" t="n">
        <v>-1.74</v>
      </c>
      <c r="BI100" s="107" t="n">
        <v>0.15</v>
      </c>
      <c r="BJ100" s="107" t="inlineStr">
        <is>
          <t>Healthy</t>
        </is>
      </c>
      <c r="BK100" s="107" t="n">
        <v>1</v>
      </c>
      <c r="BL100" s="107" t="n">
        <v>1</v>
      </c>
      <c r="BM100" s="107" t="n">
        <v>0</v>
      </c>
      <c r="BN100" s="107" t="n">
        <v>1</v>
      </c>
      <c r="BO100" s="107" t="n">
        <v>1</v>
      </c>
      <c r="BP100" s="107" t="n">
        <v>0</v>
      </c>
      <c r="BQ100" s="107" t="n">
        <v>1</v>
      </c>
      <c r="BR100" s="107" t="n">
        <v>0</v>
      </c>
      <c r="BS100" s="107" t="n">
        <v>0</v>
      </c>
      <c r="BT100" s="107" t="n">
        <v>5</v>
      </c>
      <c r="BU100" s="107" t="inlineStr">
        <is>
          <t>Mixed</t>
        </is>
      </c>
      <c r="BV100" s="108" t="n">
        <v>1.06</v>
      </c>
      <c r="BW100" s="108" t="n">
        <v>1.01</v>
      </c>
      <c r="BX100" s="108" t="n">
        <v>1.04</v>
      </c>
      <c r="BY100" s="108" t="n">
        <v>1.01</v>
      </c>
      <c r="BZ100" s="108" t="n">
        <v>1.04</v>
      </c>
      <c r="CA100" s="108" t="n">
        <v>1</v>
      </c>
      <c r="CB100" s="108" t="n">
        <v>1.03</v>
      </c>
      <c r="CC100" s="108" t="n">
        <v>-0.04</v>
      </c>
      <c r="CD100" s="107" t="n">
        <v>-2.59</v>
      </c>
      <c r="CE100" s="107" t="inlineStr">
        <is>
          <t>Lower Risk</t>
        </is>
      </c>
      <c r="CF100" s="108" t="n">
        <v>-0.61</v>
      </c>
      <c r="CG100" s="108" t="n">
        <v>53.23</v>
      </c>
      <c r="CH100" s="107" t="n">
        <v>0</v>
      </c>
      <c r="CI100" s="107" t="inlineStr">
        <is>
          <t>CLEAR</t>
        </is>
      </c>
    </row>
    <row r="101" ht="17" customHeight="1">
      <c r="A101" s="103" t="inlineStr">
        <is>
          <t>EFX</t>
        </is>
      </c>
      <c r="B101" s="103" t="inlineStr">
        <is>
          <t>EQUIFAX INC</t>
        </is>
      </c>
      <c r="C101" s="104" t="n">
        <v>-923200000</v>
      </c>
      <c r="D101" s="105" t="n">
        <v>0.18</v>
      </c>
      <c r="E101" s="105" t="n">
        <v>0.15</v>
      </c>
      <c r="F101" s="105" t="n">
        <v>0.11</v>
      </c>
      <c r="G101" s="105" t="n">
        <v>0.06</v>
      </c>
      <c r="H101" s="105" t="n">
        <v>0.05</v>
      </c>
      <c r="I101" s="105" t="n">
        <v>0.14</v>
      </c>
      <c r="J101" s="105" t="n">
        <v>0.11</v>
      </c>
      <c r="K101" s="105" t="n">
        <v>0.8</v>
      </c>
      <c r="L101" s="105" t="n">
        <v>0.8</v>
      </c>
      <c r="M101" s="105" t="n">
        <v>0.51</v>
      </c>
      <c r="N101" s="104" t="n">
        <v>0.48</v>
      </c>
      <c r="O101" s="104" t="n">
        <v>0.6</v>
      </c>
      <c r="P101" s="104" t="n">
        <v>0.75</v>
      </c>
      <c r="Q101" s="104" t="n">
        <v>0.6</v>
      </c>
      <c r="R101" s="104" t="n">
        <v>0.08</v>
      </c>
      <c r="S101" s="104" t="n">
        <v>0.6</v>
      </c>
      <c r="T101" s="104" t="n">
        <v>0.58</v>
      </c>
      <c r="U101" s="104" t="n">
        <v>1.34</v>
      </c>
      <c r="V101" s="104" t="n">
        <v>1.3</v>
      </c>
      <c r="W101" s="104" t="n">
        <v>2.45</v>
      </c>
      <c r="X101" s="105" t="n">
        <v>0.19</v>
      </c>
      <c r="Y101" s="105" t="n">
        <v>0</v>
      </c>
      <c r="Z101" s="105" t="n">
        <v>4.54</v>
      </c>
      <c r="AA101" s="105" t="n">
        <v>0.07000000000000001</v>
      </c>
      <c r="AB101" s="105" t="n">
        <v>0.09</v>
      </c>
      <c r="AC101" s="104" t="n">
        <v>-0.08</v>
      </c>
      <c r="AD101" s="104" t="n">
        <v>-0.08</v>
      </c>
      <c r="AE101" s="104" t="n">
        <v>-0.08</v>
      </c>
      <c r="AF101" s="104" t="n">
        <v>0.54</v>
      </c>
      <c r="AG101" s="104" t="n">
        <v>0.09</v>
      </c>
      <c r="AH101" s="104" t="n">
        <v>0.65</v>
      </c>
      <c r="AI101" s="104" t="n">
        <v>0.51</v>
      </c>
      <c r="AJ101" s="104" t="n">
        <v>1.87</v>
      </c>
      <c r="AK101" s="106" t="inlineStr">
        <is>
          <t>Grey</t>
        </is>
      </c>
      <c r="AL101" s="104" t="n">
        <v>-0.08</v>
      </c>
      <c r="AM101" s="104" t="n">
        <v>0.54</v>
      </c>
      <c r="AN101" s="104" t="n">
        <v>0.09</v>
      </c>
      <c r="AO101" s="104" t="n">
        <v>0.65</v>
      </c>
      <c r="AP101" s="104" t="n">
        <v>0.51</v>
      </c>
      <c r="AQ101" s="103" t="n">
        <v>1.47</v>
      </c>
      <c r="AR101" s="103" t="inlineStr">
        <is>
          <t>Grey</t>
        </is>
      </c>
      <c r="AS101" s="104" t="n">
        <v>-0.08</v>
      </c>
      <c r="AT101" s="104" t="n">
        <v>0.54</v>
      </c>
      <c r="AU101" s="104" t="n">
        <v>0.09</v>
      </c>
      <c r="AV101" s="104" t="n">
        <v>0.65</v>
      </c>
      <c r="AW101" s="103" t="n">
        <v>2.56</v>
      </c>
      <c r="AX101" s="103" t="inlineStr">
        <is>
          <t>Grey</t>
        </is>
      </c>
      <c r="AY101" s="104" t="n">
        <v>-0.08</v>
      </c>
      <c r="AZ101" s="104" t="n">
        <v>0.09</v>
      </c>
      <c r="BA101" s="104" t="n">
        <v>0.38</v>
      </c>
      <c r="BB101" s="104" t="n">
        <v>0.51</v>
      </c>
      <c r="BC101" s="103" t="n">
        <v>0.66</v>
      </c>
      <c r="BD101" s="103" t="inlineStr">
        <is>
          <t>Distress</t>
        </is>
      </c>
      <c r="BE101" s="104" t="n">
        <v>0.06</v>
      </c>
      <c r="BF101" s="104" t="n">
        <v>0.6</v>
      </c>
      <c r="BG101" s="104" t="n">
        <v>0.6</v>
      </c>
      <c r="BH101" s="104" t="n">
        <v>-1.17</v>
      </c>
      <c r="BI101" s="103" t="n">
        <v>0.24</v>
      </c>
      <c r="BJ101" s="103" t="inlineStr">
        <is>
          <t>Healthy</t>
        </is>
      </c>
      <c r="BK101" s="103" t="n">
        <v>1</v>
      </c>
      <c r="BL101" s="103" t="n">
        <v>1</v>
      </c>
      <c r="BM101" s="103" t="n">
        <v>1</v>
      </c>
      <c r="BN101" s="103" t="n">
        <v>1</v>
      </c>
      <c r="BO101" s="103" t="n">
        <v>0</v>
      </c>
      <c r="BP101" s="103" t="n">
        <v>0</v>
      </c>
      <c r="BQ101" s="103" t="n">
        <v>1</v>
      </c>
      <c r="BR101" s="103" t="n">
        <v>0</v>
      </c>
      <c r="BS101" s="103" t="n">
        <v>1</v>
      </c>
      <c r="BT101" s="103" t="n">
        <v>6</v>
      </c>
      <c r="BU101" s="103" t="inlineStr">
        <is>
          <t>Mixed</t>
        </is>
      </c>
      <c r="BV101" s="104" t="n">
        <v>0.99</v>
      </c>
      <c r="BW101" s="104" t="n">
        <v>1</v>
      </c>
      <c r="BX101" s="104" t="n">
        <v>0.99</v>
      </c>
      <c r="BY101" s="104" t="n">
        <v>1.07</v>
      </c>
      <c r="BZ101" s="104" t="n">
        <v>0.96</v>
      </c>
      <c r="CA101" s="104" t="n">
        <v>1.04</v>
      </c>
      <c r="CB101" s="104" t="n">
        <v>1.03</v>
      </c>
      <c r="CC101" s="104" t="n">
        <v>-0.08</v>
      </c>
      <c r="CD101" s="103" t="n">
        <v>-2.83</v>
      </c>
      <c r="CE101" s="103" t="inlineStr">
        <is>
          <t>Lower Risk</t>
        </is>
      </c>
      <c r="CF101" s="104" t="n">
        <v>3.29</v>
      </c>
      <c r="CG101" s="104" t="n">
        <v>52.39</v>
      </c>
      <c r="CH101" s="103" t="n">
        <v>0</v>
      </c>
      <c r="CI101" s="103" t="inlineStr">
        <is>
          <t>CLEAR</t>
        </is>
      </c>
    </row>
    <row r="102" ht="17" customHeight="1">
      <c r="A102" s="107" t="inlineStr">
        <is>
          <t>AEP</t>
        </is>
      </c>
      <c r="B102" s="107" t="inlineStr">
        <is>
          <t>American Electric Power Company, Inc.</t>
        </is>
      </c>
      <c r="C102" s="108" t="n">
        <v>-7262000000</v>
      </c>
      <c r="D102" s="109" t="n">
        <v>0.24</v>
      </c>
      <c r="E102" s="109" t="n">
        <v>0.17</v>
      </c>
      <c r="F102" s="109" t="n">
        <v>0.07000000000000001</v>
      </c>
      <c r="G102" s="109" t="n">
        <v>0.01</v>
      </c>
      <c r="H102" s="109" t="n">
        <v>0.01</v>
      </c>
      <c r="I102" s="109" t="n">
        <v>0.05</v>
      </c>
      <c r="J102" s="109" t="n">
        <v>0.05</v>
      </c>
      <c r="K102" s="109" t="n">
        <v>0.29</v>
      </c>
      <c r="L102" s="109" t="n">
        <v>0.18</v>
      </c>
      <c r="M102" s="109" t="n">
        <v>0.19</v>
      </c>
      <c r="N102" s="108" t="n">
        <v>0.19</v>
      </c>
      <c r="O102" s="108" t="n">
        <v>0.45</v>
      </c>
      <c r="P102" s="108" t="n">
        <v>0.44</v>
      </c>
      <c r="Q102" s="108" t="n">
        <v>0.45</v>
      </c>
      <c r="R102" s="108" t="n">
        <v>0.01</v>
      </c>
      <c r="S102" s="108" t="n">
        <v>0.72</v>
      </c>
      <c r="T102" s="108" t="n">
        <v>0.74</v>
      </c>
      <c r="U102" s="108" t="n">
        <v>1.57</v>
      </c>
      <c r="V102" s="108" t="n">
        <v>1.56</v>
      </c>
      <c r="W102" s="108" t="n">
        <v>4.69</v>
      </c>
      <c r="X102" s="109" t="n">
        <v>0.32</v>
      </c>
      <c r="Y102" s="109" t="n">
        <v>0</v>
      </c>
      <c r="Z102" s="109" t="n">
        <v>2.94</v>
      </c>
      <c r="AA102" s="109" t="n">
        <v>0.11</v>
      </c>
      <c r="AB102" s="109" t="n">
        <v>0.18</v>
      </c>
      <c r="AC102" s="108" t="n">
        <v>-0.05</v>
      </c>
      <c r="AD102" s="108" t="n">
        <v>-0.05</v>
      </c>
      <c r="AE102" s="108" t="n">
        <v>-0.06</v>
      </c>
      <c r="AF102" s="108" t="n">
        <v>0.13</v>
      </c>
      <c r="AG102" s="108" t="n">
        <v>0.05</v>
      </c>
      <c r="AH102" s="108" t="n">
        <v>0.38</v>
      </c>
      <c r="AI102" s="108" t="n">
        <v>0.19</v>
      </c>
      <c r="AJ102" s="108" t="n">
        <v>0.68</v>
      </c>
      <c r="AK102" s="112" t="inlineStr">
        <is>
          <t>Distress</t>
        </is>
      </c>
      <c r="AL102" s="108" t="n">
        <v>-0.06</v>
      </c>
      <c r="AM102" s="108" t="n">
        <v>0.13</v>
      </c>
      <c r="AN102" s="108" t="n">
        <v>0.05</v>
      </c>
      <c r="AO102" s="108" t="n">
        <v>0.38</v>
      </c>
      <c r="AP102" s="108" t="n">
        <v>0.19</v>
      </c>
      <c r="AQ102" s="107" t="n">
        <v>0.5600000000000001</v>
      </c>
      <c r="AR102" s="107" t="inlineStr">
        <is>
          <t>Distress</t>
        </is>
      </c>
      <c r="AS102" s="108" t="n">
        <v>-0.06</v>
      </c>
      <c r="AT102" s="108" t="n">
        <v>0.13</v>
      </c>
      <c r="AU102" s="108" t="n">
        <v>0.05</v>
      </c>
      <c r="AV102" s="108" t="n">
        <v>0.38</v>
      </c>
      <c r="AW102" s="107" t="n">
        <v>0.73</v>
      </c>
      <c r="AX102" s="107" t="inlineStr">
        <is>
          <t>Distress</t>
        </is>
      </c>
      <c r="AY102" s="108" t="n">
        <v>-0.06</v>
      </c>
      <c r="AZ102" s="108" t="n">
        <v>0.05</v>
      </c>
      <c r="BA102" s="108" t="n">
        <v>0.29</v>
      </c>
      <c r="BB102" s="108" t="n">
        <v>0.19</v>
      </c>
      <c r="BC102" s="107" t="n">
        <v>0.34</v>
      </c>
      <c r="BD102" s="107" t="inlineStr">
        <is>
          <t>Distress</t>
        </is>
      </c>
      <c r="BE102" s="108" t="n">
        <v>0.01</v>
      </c>
      <c r="BF102" s="108" t="n">
        <v>0.72</v>
      </c>
      <c r="BG102" s="108" t="n">
        <v>0.45</v>
      </c>
      <c r="BH102" s="108" t="n">
        <v>-0.31</v>
      </c>
      <c r="BI102" s="107" t="n">
        <v>0.42</v>
      </c>
      <c r="BJ102" s="107" t="inlineStr">
        <is>
          <t>Healthy</t>
        </is>
      </c>
      <c r="BK102" s="107" t="n">
        <v>1</v>
      </c>
      <c r="BL102" s="107" t="n">
        <v>1</v>
      </c>
      <c r="BM102" s="107" t="n">
        <v>1</v>
      </c>
      <c r="BN102" s="107" t="n">
        <v>1</v>
      </c>
      <c r="BO102" s="107" t="n">
        <v>1</v>
      </c>
      <c r="BP102" s="107" t="n">
        <v>1</v>
      </c>
      <c r="BQ102" s="107" t="n">
        <v>0</v>
      </c>
      <c r="BR102" s="107" t="n">
        <v>1</v>
      </c>
      <c r="BS102" s="107" t="n">
        <v>0</v>
      </c>
      <c r="BT102" s="107" t="n">
        <v>7</v>
      </c>
      <c r="BU102" s="107" t="inlineStr">
        <is>
          <t>Strong</t>
        </is>
      </c>
      <c r="BV102" s="108" t="n">
        <v>0.98</v>
      </c>
      <c r="BW102" s="108" t="n">
        <v>0.61</v>
      </c>
      <c r="BX102" s="108" t="n">
        <v>1</v>
      </c>
      <c r="BY102" s="108" t="n">
        <v>1.11</v>
      </c>
      <c r="BZ102" s="108" t="n">
        <v>1</v>
      </c>
      <c r="CA102" s="111" t="inlineStr">
        <is>
          <t>N/A</t>
        </is>
      </c>
      <c r="CB102" s="108" t="n">
        <v>0.97</v>
      </c>
      <c r="CC102" s="108" t="n">
        <v>-0.05</v>
      </c>
      <c r="CD102" s="107" t="n">
        <v>-2.64</v>
      </c>
      <c r="CE102" s="107" t="inlineStr">
        <is>
          <t>Lower Risk</t>
        </is>
      </c>
      <c r="CF102" s="108" t="n">
        <v>6.99</v>
      </c>
      <c r="CG102" s="108" t="n">
        <v>52.69</v>
      </c>
      <c r="CH102" s="107" t="n">
        <v>0</v>
      </c>
      <c r="CI102" s="107" t="inlineStr">
        <is>
          <t>CLEAR</t>
        </is>
      </c>
    </row>
    <row r="103" ht="17" customHeight="1">
      <c r="A103" s="103" t="inlineStr">
        <is>
          <t>NET</t>
        </is>
      </c>
      <c r="B103" s="103" t="inlineStr">
        <is>
          <t>CLOUDFLARE, INC.</t>
        </is>
      </c>
      <c r="C103" s="104" t="n">
        <v>2294274000</v>
      </c>
      <c r="D103" s="105" t="n">
        <v>-0.1</v>
      </c>
      <c r="E103" s="105" t="n">
        <v>-0.04</v>
      </c>
      <c r="F103" s="105" t="n">
        <v>-0.05</v>
      </c>
      <c r="G103" s="105" t="n">
        <v>-0.02</v>
      </c>
      <c r="H103" s="105" t="n">
        <v>-0.02</v>
      </c>
      <c r="I103" s="105" t="n">
        <v>-0.07000000000000001</v>
      </c>
      <c r="J103" s="105" t="n">
        <v>-0.06</v>
      </c>
      <c r="K103" s="105" t="n">
        <v>0.75</v>
      </c>
      <c r="L103" s="105" t="n">
        <v>0.77</v>
      </c>
      <c r="M103" s="105" t="n">
        <v>0.36</v>
      </c>
      <c r="N103" s="104" t="n">
        <v>0.51</v>
      </c>
      <c r="O103" s="104" t="n">
        <v>1.98</v>
      </c>
      <c r="P103" s="104" t="n">
        <v>2.86</v>
      </c>
      <c r="Q103" s="104" t="n">
        <v>1.98</v>
      </c>
      <c r="R103" s="104" t="n">
        <v>0.4</v>
      </c>
      <c r="S103" s="104" t="n">
        <v>0.76</v>
      </c>
      <c r="T103" s="104" t="n">
        <v>0.68</v>
      </c>
      <c r="U103" s="104" t="n">
        <v>0</v>
      </c>
      <c r="V103" s="104" t="n">
        <v>-0.65</v>
      </c>
      <c r="W103" s="104" t="n">
        <v>-5.9</v>
      </c>
      <c r="X103" s="105" t="n">
        <v>0.13</v>
      </c>
      <c r="Y103" s="105" t="n">
        <v>0.24</v>
      </c>
      <c r="Z103" s="105" t="n">
        <v>-35.29</v>
      </c>
      <c r="AA103" s="105" t="n">
        <v>0.3</v>
      </c>
      <c r="AB103" s="105" t="n">
        <v>0.3</v>
      </c>
      <c r="AC103" s="104" t="n">
        <v>-0.12</v>
      </c>
      <c r="AD103" s="104" t="n">
        <v>-0.12</v>
      </c>
      <c r="AE103" s="104" t="n">
        <v>0.38</v>
      </c>
      <c r="AF103" s="104" t="n">
        <v>-0.2</v>
      </c>
      <c r="AG103" s="104" t="n">
        <v>-0.03</v>
      </c>
      <c r="AH103" s="104" t="n">
        <v>0.32</v>
      </c>
      <c r="AI103" s="104" t="n">
        <v>0.36</v>
      </c>
      <c r="AJ103" s="104" t="n">
        <v>0.61</v>
      </c>
      <c r="AK103" s="112" t="inlineStr">
        <is>
          <t>Distress</t>
        </is>
      </c>
      <c r="AL103" s="104" t="n">
        <v>0.38</v>
      </c>
      <c r="AM103" s="104" t="n">
        <v>-0.2</v>
      </c>
      <c r="AN103" s="104" t="n">
        <v>-0.03</v>
      </c>
      <c r="AO103" s="104" t="n">
        <v>0.32</v>
      </c>
      <c r="AP103" s="104" t="n">
        <v>0.36</v>
      </c>
      <c r="AQ103" s="103" t="n">
        <v>0.49</v>
      </c>
      <c r="AR103" s="103" t="inlineStr">
        <is>
          <t>Distress</t>
        </is>
      </c>
      <c r="AS103" s="104" t="n">
        <v>0.38</v>
      </c>
      <c r="AT103" s="104" t="n">
        <v>-0.2</v>
      </c>
      <c r="AU103" s="104" t="n">
        <v>-0.03</v>
      </c>
      <c r="AV103" s="104" t="n">
        <v>0.32</v>
      </c>
      <c r="AW103" s="103" t="n">
        <v>1.95</v>
      </c>
      <c r="AX103" s="103" t="inlineStr">
        <is>
          <t>Grey</t>
        </is>
      </c>
      <c r="AY103" s="104" t="n">
        <v>0.38</v>
      </c>
      <c r="AZ103" s="104" t="n">
        <v>-0.03</v>
      </c>
      <c r="BA103" s="104" t="n">
        <v>-0.04</v>
      </c>
      <c r="BB103" s="104" t="n">
        <v>0.36</v>
      </c>
      <c r="BC103" s="103" t="n">
        <v>0.4</v>
      </c>
      <c r="BD103" s="103" t="inlineStr">
        <is>
          <t>Distress</t>
        </is>
      </c>
      <c r="BE103" s="104" t="n">
        <v>-0.02</v>
      </c>
      <c r="BF103" s="104" t="n">
        <v>0.76</v>
      </c>
      <c r="BG103" s="104" t="n">
        <v>1.98</v>
      </c>
      <c r="BH103" s="104" t="n">
        <v>0.05</v>
      </c>
      <c r="BI103" s="103" t="n">
        <v>0.51</v>
      </c>
      <c r="BJ103" s="103" t="inlineStr">
        <is>
          <t>Distress</t>
        </is>
      </c>
      <c r="BK103" s="103" t="n">
        <v>0</v>
      </c>
      <c r="BL103" s="103" t="n">
        <v>1</v>
      </c>
      <c r="BM103" s="103" t="n">
        <v>1</v>
      </c>
      <c r="BN103" s="103" t="n">
        <v>1</v>
      </c>
      <c r="BO103" s="103" t="n">
        <v>0</v>
      </c>
      <c r="BP103" s="103" t="n">
        <v>0</v>
      </c>
      <c r="BQ103" s="103" t="n">
        <v>0</v>
      </c>
      <c r="BR103" s="103" t="n">
        <v>0</v>
      </c>
      <c r="BS103" s="103" t="n">
        <v>0</v>
      </c>
      <c r="BT103" s="103" t="n">
        <v>3</v>
      </c>
      <c r="BU103" s="103" t="inlineStr">
        <is>
          <t>Weak</t>
        </is>
      </c>
      <c r="BV103" s="104" t="n">
        <v>0.93</v>
      </c>
      <c r="BW103" s="104" t="n">
        <v>1.04</v>
      </c>
      <c r="BX103" s="104" t="n">
        <v>0.75</v>
      </c>
      <c r="BY103" s="104" t="n">
        <v>1.3</v>
      </c>
      <c r="BZ103" s="104" t="n">
        <v>0.91</v>
      </c>
      <c r="CA103" s="104" t="n">
        <v>1.08</v>
      </c>
      <c r="CB103" s="104" t="n">
        <v>1.11</v>
      </c>
      <c r="CC103" s="104" t="n">
        <v>-0.12</v>
      </c>
      <c r="CD103" s="103" t="n">
        <v>-2.97</v>
      </c>
      <c r="CE103" s="103" t="inlineStr">
        <is>
          <t>Lower Risk</t>
        </is>
      </c>
      <c r="CF103" s="104" t="n">
        <v>54.03</v>
      </c>
      <c r="CG103" s="104" t="n">
        <v>36.88</v>
      </c>
      <c r="CH103" s="106" t="n">
        <v>40</v>
      </c>
      <c r="CI103" s="103" t="inlineStr">
        <is>
          <t>WATCH</t>
        </is>
      </c>
    </row>
    <row r="104" ht="17" customHeight="1">
      <c r="A104" s="107" t="inlineStr">
        <is>
          <t>MO</t>
        </is>
      </c>
      <c r="B104" s="107" t="inlineStr">
        <is>
          <t>ALTRIA GROUP, INC.</t>
        </is>
      </c>
      <c r="C104" s="108" t="n">
        <v>-3222000000</v>
      </c>
      <c r="D104" s="109" t="n">
        <v>0.43</v>
      </c>
      <c r="E104" s="109" t="n">
        <v>0.4</v>
      </c>
      <c r="F104" s="109" t="n">
        <v>0.3</v>
      </c>
      <c r="G104" s="109" t="n">
        <v>0.2</v>
      </c>
      <c r="H104" s="109" t="n">
        <v>0.32</v>
      </c>
      <c r="I104" s="109" t="n">
        <v>-1.98</v>
      </c>
      <c r="J104" s="109" t="n">
        <v>0.38</v>
      </c>
      <c r="K104" s="109" t="n">
        <v>0.62</v>
      </c>
      <c r="L104" s="109" t="n">
        <v>0.6</v>
      </c>
      <c r="M104" s="109" t="n">
        <v>0.66</v>
      </c>
      <c r="N104" s="108" t="n">
        <v>0.68</v>
      </c>
      <c r="O104" s="108" t="n">
        <v>0.65</v>
      </c>
      <c r="P104" s="108" t="n">
        <v>0.51</v>
      </c>
      <c r="Q104" s="108" t="n">
        <v>0.53</v>
      </c>
      <c r="R104" s="108" t="n">
        <v>0.49</v>
      </c>
      <c r="S104" s="108" t="n">
        <v>1.1</v>
      </c>
      <c r="T104" s="108" t="n">
        <v>1.06</v>
      </c>
      <c r="U104" s="108" t="n">
        <v>-7.34</v>
      </c>
      <c r="V104" s="108" t="n">
        <v>-6.06</v>
      </c>
      <c r="W104" s="108" t="n">
        <v>1.34</v>
      </c>
      <c r="X104" s="109" t="n">
        <v>0.39</v>
      </c>
      <c r="Y104" s="109" t="n">
        <v>0.01</v>
      </c>
      <c r="Z104" s="109" t="n">
        <v>8.619999999999999</v>
      </c>
      <c r="AA104" s="109" t="n">
        <v>-0.03</v>
      </c>
      <c r="AB104" s="109" t="n">
        <v>-0.38</v>
      </c>
      <c r="AC104" s="108" t="n">
        <v>-0.07000000000000001</v>
      </c>
      <c r="AD104" s="108" t="n">
        <v>-0.07000000000000001</v>
      </c>
      <c r="AE104" s="108" t="n">
        <v>-0.09</v>
      </c>
      <c r="AF104" s="108" t="n">
        <v>1.01</v>
      </c>
      <c r="AG104" s="108" t="n">
        <v>0.28</v>
      </c>
      <c r="AH104" s="108" t="n">
        <v>-0.09</v>
      </c>
      <c r="AI104" s="108" t="n">
        <v>0.66</v>
      </c>
      <c r="AJ104" s="108" t="n">
        <v>2.85</v>
      </c>
      <c r="AK104" s="106" t="inlineStr">
        <is>
          <t>Grey</t>
        </is>
      </c>
      <c r="AL104" s="108" t="n">
        <v>-0.09</v>
      </c>
      <c r="AM104" s="108" t="n">
        <v>1.01</v>
      </c>
      <c r="AN104" s="108" t="n">
        <v>0.28</v>
      </c>
      <c r="AO104" s="108" t="n">
        <v>-0.09</v>
      </c>
      <c r="AP104" s="108" t="n">
        <v>0.66</v>
      </c>
      <c r="AQ104" s="107" t="n">
        <v>2.3</v>
      </c>
      <c r="AR104" s="107" t="inlineStr">
        <is>
          <t>Grey</t>
        </is>
      </c>
      <c r="AS104" s="108" t="n">
        <v>-0.09</v>
      </c>
      <c r="AT104" s="108" t="n">
        <v>1.01</v>
      </c>
      <c r="AU104" s="108" t="n">
        <v>0.28</v>
      </c>
      <c r="AV104" s="108" t="n">
        <v>-0.09</v>
      </c>
      <c r="AW104" s="107" t="n">
        <v>4.5</v>
      </c>
      <c r="AX104" s="107" t="inlineStr">
        <is>
          <t>Safe</t>
        </is>
      </c>
      <c r="AY104" s="108" t="n">
        <v>-0.09</v>
      </c>
      <c r="AZ104" s="108" t="n">
        <v>0.28</v>
      </c>
      <c r="BA104" s="108" t="n">
        <v>1.03</v>
      </c>
      <c r="BB104" s="108" t="n">
        <v>0.66</v>
      </c>
      <c r="BC104" s="107" t="n">
        <v>1.72</v>
      </c>
      <c r="BD104" s="107" t="inlineStr">
        <is>
          <t>Healthy</t>
        </is>
      </c>
      <c r="BE104" s="108" t="n">
        <v>0.2</v>
      </c>
      <c r="BF104" s="108" t="n">
        <v>1.1</v>
      </c>
      <c r="BG104" s="108" t="n">
        <v>0.65</v>
      </c>
      <c r="BH104" s="108" t="n">
        <v>1.01</v>
      </c>
      <c r="BI104" s="107" t="n">
        <v>0.73</v>
      </c>
      <c r="BJ104" s="107" t="inlineStr">
        <is>
          <t>Distress</t>
        </is>
      </c>
      <c r="BK104" s="107" t="n">
        <v>1</v>
      </c>
      <c r="BL104" s="107" t="n">
        <v>1</v>
      </c>
      <c r="BM104" s="107" t="n">
        <v>0</v>
      </c>
      <c r="BN104" s="107" t="n">
        <v>1</v>
      </c>
      <c r="BO104" s="107" t="n">
        <v>0</v>
      </c>
      <c r="BP104" s="107" t="n">
        <v>1</v>
      </c>
      <c r="BQ104" s="107" t="n">
        <v>1</v>
      </c>
      <c r="BR104" s="107" t="n">
        <v>1</v>
      </c>
      <c r="BS104" s="107" t="n">
        <v>0</v>
      </c>
      <c r="BT104" s="107" t="n">
        <v>6</v>
      </c>
      <c r="BU104" s="107" t="inlineStr">
        <is>
          <t>Mixed</t>
        </is>
      </c>
      <c r="BV104" s="108" t="n">
        <v>1.53</v>
      </c>
      <c r="BW104" s="108" t="n">
        <v>0.96</v>
      </c>
      <c r="BX104" s="108" t="n">
        <v>0.95</v>
      </c>
      <c r="BY104" s="108" t="n">
        <v>0.97</v>
      </c>
      <c r="BZ104" s="108" t="n">
        <v>1.12</v>
      </c>
      <c r="CA104" s="111" t="inlineStr">
        <is>
          <t>N/A</t>
        </is>
      </c>
      <c r="CB104" s="108" t="n">
        <v>1.03</v>
      </c>
      <c r="CC104" s="108" t="n">
        <v>-0.07000000000000001</v>
      </c>
      <c r="CD104" s="107" t="n">
        <v>-2.2</v>
      </c>
      <c r="CE104" s="107" t="inlineStr">
        <is>
          <t>Higher Risk</t>
        </is>
      </c>
      <c r="CF104" s="108" t="n">
        <v>2.09</v>
      </c>
      <c r="CG104" s="108" t="n">
        <v>49.87</v>
      </c>
      <c r="CH104" s="107" t="n">
        <v>20</v>
      </c>
      <c r="CI104" s="107" t="inlineStr">
        <is>
          <t>CLEAR</t>
        </is>
      </c>
    </row>
    <row r="105" ht="17" customHeight="1">
      <c r="A105" s="103" t="inlineStr">
        <is>
          <t>EQIX</t>
        </is>
      </c>
      <c r="B105" s="103" t="inlineStr">
        <is>
          <t>EQUINIX INC</t>
        </is>
      </c>
      <c r="C105" s="104" t="n">
        <v>1232000000</v>
      </c>
      <c r="D105" s="105" t="n">
        <v>0.31</v>
      </c>
      <c r="E105" s="105" t="n">
        <v>0.25</v>
      </c>
      <c r="F105" s="105" t="n">
        <v>0.23</v>
      </c>
      <c r="G105" s="105" t="n">
        <v>0.03</v>
      </c>
      <c r="H105" s="105" t="n">
        <v>0.02</v>
      </c>
      <c r="I105" s="105" t="n">
        <v>0.1</v>
      </c>
      <c r="J105" s="105" t="n">
        <v>0.05</v>
      </c>
      <c r="K105" s="105" t="n">
        <v>0.12</v>
      </c>
      <c r="L105" s="105" t="n">
        <v>0.48</v>
      </c>
      <c r="M105" s="105" t="n">
        <v>0.15</v>
      </c>
      <c r="N105" s="104" t="n">
        <v>0.04</v>
      </c>
      <c r="O105" s="104" t="n">
        <v>1.32</v>
      </c>
      <c r="P105" s="104" t="n">
        <v>1.63</v>
      </c>
      <c r="Q105" s="104" t="n">
        <v>1.32</v>
      </c>
      <c r="R105" s="104" t="n">
        <v>0.44</v>
      </c>
      <c r="S105" s="104" t="n">
        <v>0.65</v>
      </c>
      <c r="T105" s="104" t="n">
        <v>0.61</v>
      </c>
      <c r="U105" s="104" t="n">
        <v>1.17</v>
      </c>
      <c r="V105" s="104" t="n">
        <v>1.05</v>
      </c>
      <c r="W105" s="104" t="n">
        <v>2.9</v>
      </c>
      <c r="X105" s="105" t="n">
        <v>0.65</v>
      </c>
      <c r="Y105" s="105" t="n">
        <v>0</v>
      </c>
      <c r="Z105" s="105" t="n">
        <v>4.6</v>
      </c>
      <c r="AA105" s="105" t="n">
        <v>2.84</v>
      </c>
      <c r="AB105" s="105" t="n">
        <v>0.66</v>
      </c>
      <c r="AC105" s="104" t="n">
        <v>-0.06</v>
      </c>
      <c r="AD105" s="104" t="n">
        <v>-0.06</v>
      </c>
      <c r="AE105" s="104" t="n">
        <v>0.03</v>
      </c>
      <c r="AF105" s="104" t="n">
        <v>0.15</v>
      </c>
      <c r="AG105" s="104" t="n">
        <v>0.05</v>
      </c>
      <c r="AH105" s="104" t="n">
        <v>0.55</v>
      </c>
      <c r="AI105" s="104" t="n">
        <v>0.15</v>
      </c>
      <c r="AJ105" s="104" t="n">
        <v>0.88</v>
      </c>
      <c r="AK105" s="112" t="inlineStr">
        <is>
          <t>Distress</t>
        </is>
      </c>
      <c r="AL105" s="104" t="n">
        <v>0.03</v>
      </c>
      <c r="AM105" s="104" t="n">
        <v>0.15</v>
      </c>
      <c r="AN105" s="104" t="n">
        <v>0.05</v>
      </c>
      <c r="AO105" s="104" t="n">
        <v>0.55</v>
      </c>
      <c r="AP105" s="104" t="n">
        <v>0.15</v>
      </c>
      <c r="AQ105" s="103" t="n">
        <v>0.67</v>
      </c>
      <c r="AR105" s="103" t="inlineStr">
        <is>
          <t>Distress</t>
        </is>
      </c>
      <c r="AS105" s="104" t="n">
        <v>0.03</v>
      </c>
      <c r="AT105" s="104" t="n">
        <v>0.15</v>
      </c>
      <c r="AU105" s="104" t="n">
        <v>0.05</v>
      </c>
      <c r="AV105" s="104" t="n">
        <v>0.55</v>
      </c>
      <c r="AW105" s="103" t="n">
        <v>1.58</v>
      </c>
      <c r="AX105" s="103" t="inlineStr">
        <is>
          <t>Grey</t>
        </is>
      </c>
      <c r="AY105" s="104" t="n">
        <v>0.03</v>
      </c>
      <c r="AZ105" s="104" t="n">
        <v>0.05</v>
      </c>
      <c r="BA105" s="104" t="n">
        <v>0.39</v>
      </c>
      <c r="BB105" s="104" t="n">
        <v>0.15</v>
      </c>
      <c r="BC105" s="103" t="n">
        <v>0.49</v>
      </c>
      <c r="BD105" s="103" t="inlineStr">
        <is>
          <t>Distress</t>
        </is>
      </c>
      <c r="BE105" s="104" t="n">
        <v>0.03</v>
      </c>
      <c r="BF105" s="104" t="n">
        <v>0.65</v>
      </c>
      <c r="BG105" s="104" t="n">
        <v>1.32</v>
      </c>
      <c r="BH105" s="104" t="n">
        <v>-0.8100000000000001</v>
      </c>
      <c r="BI105" s="103" t="n">
        <v>0.31</v>
      </c>
      <c r="BJ105" s="103" t="inlineStr">
        <is>
          <t>Healthy</t>
        </is>
      </c>
      <c r="BK105" s="103" t="n">
        <v>1</v>
      </c>
      <c r="BL105" s="103" t="n">
        <v>1</v>
      </c>
      <c r="BM105" s="103" t="n">
        <v>1</v>
      </c>
      <c r="BN105" s="103" t="n">
        <v>1</v>
      </c>
      <c r="BO105" s="103" t="n">
        <v>1</v>
      </c>
      <c r="BP105" s="103" t="n">
        <v>0</v>
      </c>
      <c r="BQ105" s="103" t="n">
        <v>0</v>
      </c>
      <c r="BR105" s="103" t="n">
        <v>0</v>
      </c>
      <c r="BS105" s="103" t="n">
        <v>1</v>
      </c>
      <c r="BT105" s="103" t="n">
        <v>6</v>
      </c>
      <c r="BU105" s="103" t="inlineStr">
        <is>
          <t>Mixed</t>
        </is>
      </c>
      <c r="BV105" s="104" t="n">
        <v>0.28</v>
      </c>
      <c r="BW105" s="104" t="n">
        <v>3.93</v>
      </c>
      <c r="BX105" s="104" t="n">
        <v>0.96</v>
      </c>
      <c r="BY105" s="104" t="n">
        <v>3.84</v>
      </c>
      <c r="BZ105" s="104" t="n">
        <v>1.18</v>
      </c>
      <c r="CA105" s="104" t="n">
        <v>0.27</v>
      </c>
      <c r="CB105" s="104" t="n">
        <v>1.05</v>
      </c>
      <c r="CC105" s="104" t="n">
        <v>-0.06</v>
      </c>
      <c r="CD105" s="103" t="n">
        <v>0.74</v>
      </c>
      <c r="CE105" s="103" t="inlineStr">
        <is>
          <t>Higher Risk</t>
        </is>
      </c>
      <c r="CF105" s="104" t="n">
        <v>3.82</v>
      </c>
      <c r="CG105" s="104" t="n">
        <v>44.3</v>
      </c>
      <c r="CH105" s="103" t="n">
        <v>20</v>
      </c>
      <c r="CI105" s="103" t="inlineStr">
        <is>
          <t>CLEAR</t>
        </is>
      </c>
    </row>
    <row r="106" ht="17" customHeight="1">
      <c r="A106" s="107" t="inlineStr">
        <is>
          <t>ANF</t>
        </is>
      </c>
      <c r="B106" s="107" t="inlineStr">
        <is>
          <t>Abercrombie &amp; Fitch Co.</t>
        </is>
      </c>
      <c r="C106" s="108" t="n">
        <v>544464000</v>
      </c>
      <c r="D106" s="109" t="n">
        <v>0.13</v>
      </c>
      <c r="E106" s="109" t="n">
        <v>0.14</v>
      </c>
      <c r="F106" s="109" t="n">
        <v>0.1</v>
      </c>
      <c r="G106" s="109" t="n">
        <v>0.14</v>
      </c>
      <c r="H106" s="109" t="n">
        <v>0.17</v>
      </c>
      <c r="I106" s="109" t="n">
        <v>0.36</v>
      </c>
      <c r="J106" s="109" t="n">
        <v>0.29</v>
      </c>
      <c r="K106" s="109" t="n">
        <v>0.51</v>
      </c>
      <c r="L106" s="109" t="n">
        <v>0.43</v>
      </c>
      <c r="M106" s="109" t="n">
        <v>1.49</v>
      </c>
      <c r="N106" s="108" t="n">
        <v>1.5</v>
      </c>
      <c r="O106" s="108" t="n">
        <v>1.49</v>
      </c>
      <c r="P106" s="108" t="n">
        <v>1.48</v>
      </c>
      <c r="Q106" s="108" t="n">
        <v>0.95</v>
      </c>
      <c r="R106" s="108" t="n">
        <v>0.6899999999999999</v>
      </c>
      <c r="S106" s="108" t="n">
        <v>1</v>
      </c>
      <c r="T106" s="108" t="n">
        <v>1</v>
      </c>
      <c r="U106" s="108" t="n">
        <v>0</v>
      </c>
      <c r="V106" s="108" t="n">
        <v>-0.54</v>
      </c>
      <c r="W106" s="108" t="n">
        <v>1.22</v>
      </c>
      <c r="X106" s="109" t="n">
        <v>0.07000000000000001</v>
      </c>
      <c r="Y106" s="111" t="inlineStr">
        <is>
          <t>N/A</t>
        </is>
      </c>
      <c r="Z106" s="109" t="n">
        <v>23.03</v>
      </c>
      <c r="AA106" s="109" t="n">
        <v>0.06</v>
      </c>
      <c r="AB106" s="109" t="n">
        <v>-0.1</v>
      </c>
      <c r="AC106" s="108" t="n">
        <v>-0.03</v>
      </c>
      <c r="AD106" s="108" t="n">
        <v>-0.03</v>
      </c>
      <c r="AE106" s="108" t="n">
        <v>0.15</v>
      </c>
      <c r="AF106" s="108" t="n">
        <v>1.04</v>
      </c>
      <c r="AG106" s="108" t="n">
        <v>0.2</v>
      </c>
      <c r="AH106" s="108" t="n">
        <v>0.4</v>
      </c>
      <c r="AI106" s="108" t="n">
        <v>1.49</v>
      </c>
      <c r="AJ106" s="108" t="n">
        <v>4.02</v>
      </c>
      <c r="AK106" s="110" t="inlineStr">
        <is>
          <t>Safe</t>
        </is>
      </c>
      <c r="AL106" s="108" t="n">
        <v>0.15</v>
      </c>
      <c r="AM106" s="108" t="n">
        <v>1.04</v>
      </c>
      <c r="AN106" s="108" t="n">
        <v>0.2</v>
      </c>
      <c r="AO106" s="108" t="n">
        <v>0.4</v>
      </c>
      <c r="AP106" s="108" t="n">
        <v>1.49</v>
      </c>
      <c r="AQ106" s="107" t="n">
        <v>3.26</v>
      </c>
      <c r="AR106" s="107" t="inlineStr">
        <is>
          <t>Safe</t>
        </is>
      </c>
      <c r="AS106" s="108" t="n">
        <v>0.15</v>
      </c>
      <c r="AT106" s="108" t="n">
        <v>1.04</v>
      </c>
      <c r="AU106" s="108" t="n">
        <v>0.2</v>
      </c>
      <c r="AV106" s="108" t="n">
        <v>0.4</v>
      </c>
      <c r="AW106" s="107" t="n">
        <v>6.15</v>
      </c>
      <c r="AX106" s="107" t="inlineStr">
        <is>
          <t>Safe</t>
        </is>
      </c>
      <c r="AY106" s="108" t="n">
        <v>0.15</v>
      </c>
      <c r="AZ106" s="108" t="n">
        <v>0.2</v>
      </c>
      <c r="BA106" s="108" t="n">
        <v>0.65</v>
      </c>
      <c r="BB106" s="108" t="n">
        <v>1.49</v>
      </c>
      <c r="BC106" s="107" t="n">
        <v>1.79</v>
      </c>
      <c r="BD106" s="107" t="inlineStr">
        <is>
          <t>Healthy</t>
        </is>
      </c>
      <c r="BE106" s="108" t="n">
        <v>0.14</v>
      </c>
      <c r="BF106" s="108" t="n">
        <v>1</v>
      </c>
      <c r="BG106" s="108" t="n">
        <v>1.49</v>
      </c>
      <c r="BH106" s="108" t="n">
        <v>0.7</v>
      </c>
      <c r="BI106" s="107" t="n">
        <v>0.67</v>
      </c>
      <c r="BJ106" s="107" t="inlineStr">
        <is>
          <t>Distress</t>
        </is>
      </c>
      <c r="BK106" s="107" t="n">
        <v>1</v>
      </c>
      <c r="BL106" s="107" t="n">
        <v>1</v>
      </c>
      <c r="BM106" s="107" t="n">
        <v>0</v>
      </c>
      <c r="BN106" s="107" t="n">
        <v>1</v>
      </c>
      <c r="BO106" s="107" t="n">
        <v>0</v>
      </c>
      <c r="BP106" s="107" t="n">
        <v>1</v>
      </c>
      <c r="BQ106" s="107" t="n">
        <v>1</v>
      </c>
      <c r="BR106" s="107" t="n">
        <v>1</v>
      </c>
      <c r="BS106" s="107" t="n">
        <v>0</v>
      </c>
      <c r="BT106" s="107" t="n">
        <v>6</v>
      </c>
      <c r="BU106" s="107" t="inlineStr">
        <is>
          <t>Mixed</t>
        </is>
      </c>
      <c r="BV106" s="108" t="n">
        <v>1.31</v>
      </c>
      <c r="BW106" s="108" t="n">
        <v>0.83</v>
      </c>
      <c r="BX106" s="108" t="n">
        <v>1.08</v>
      </c>
      <c r="BY106" s="108" t="n">
        <v>1.06</v>
      </c>
      <c r="BZ106" s="108" t="n">
        <v>1.13</v>
      </c>
      <c r="CA106" s="108" t="n">
        <v>0.91</v>
      </c>
      <c r="CB106" s="108" t="n">
        <v>1</v>
      </c>
      <c r="CC106" s="108" t="n">
        <v>-0.03</v>
      </c>
      <c r="CD106" s="107" t="n">
        <v>-2.31</v>
      </c>
      <c r="CE106" s="107" t="inlineStr">
        <is>
          <t>Lower Risk</t>
        </is>
      </c>
      <c r="CF106" s="108" t="n">
        <v>-0.89</v>
      </c>
      <c r="CG106" s="108" t="n">
        <v>58.24</v>
      </c>
      <c r="CH106" s="107" t="n">
        <v>0</v>
      </c>
      <c r="CI106" s="107" t="inlineStr">
        <is>
          <t>CLEAR</t>
        </is>
      </c>
    </row>
    <row r="107" ht="17" customHeight="1">
      <c r="A107" s="103" t="inlineStr">
        <is>
          <t>CFG</t>
        </is>
      </c>
      <c r="B107" s="103" t="inlineStr">
        <is>
          <t>CITIZENS FINANCIAL GROUP INC/RI</t>
        </is>
      </c>
      <c r="C107" s="113" t="inlineStr">
        <is>
          <t>N/A</t>
        </is>
      </c>
      <c r="D107" s="105" t="n">
        <v>0.28</v>
      </c>
      <c r="E107" s="105" t="n">
        <v>0.28</v>
      </c>
      <c r="F107" s="105" t="n">
        <v>0.22</v>
      </c>
      <c r="G107" s="105" t="n">
        <v>0.01</v>
      </c>
      <c r="H107" s="105" t="n">
        <v>0.01</v>
      </c>
      <c r="I107" s="105" t="n">
        <v>0.07000000000000001</v>
      </c>
      <c r="J107" s="113" t="inlineStr">
        <is>
          <t>N/A</t>
        </is>
      </c>
      <c r="K107" s="105" t="n">
        <v>0.02</v>
      </c>
      <c r="L107" s="105" t="n">
        <v>0.02</v>
      </c>
      <c r="M107" s="105" t="n">
        <v>0.04</v>
      </c>
      <c r="N107" s="104" t="n">
        <v>0.04</v>
      </c>
      <c r="O107" s="113" t="inlineStr">
        <is>
          <t>N/A</t>
        </is>
      </c>
      <c r="P107" s="113" t="inlineStr">
        <is>
          <t>N/A</t>
        </is>
      </c>
      <c r="Q107" s="113" t="inlineStr">
        <is>
          <t>N/A</t>
        </is>
      </c>
      <c r="R107" s="113" t="inlineStr">
        <is>
          <t>N/A</t>
        </is>
      </c>
      <c r="S107" s="104" t="n">
        <v>0.88</v>
      </c>
      <c r="T107" s="104" t="n">
        <v>0.89</v>
      </c>
      <c r="U107" s="104" t="n">
        <v>0.43</v>
      </c>
      <c r="V107" s="104" t="n">
        <v>0.27</v>
      </c>
      <c r="W107" s="104" t="n">
        <v>1.21</v>
      </c>
      <c r="X107" s="105" t="n">
        <v>0.25</v>
      </c>
      <c r="Y107" s="105" t="n">
        <v>0</v>
      </c>
      <c r="Z107" s="105" t="n">
        <v>0.59</v>
      </c>
      <c r="AA107" s="105" t="n">
        <v>0.06</v>
      </c>
      <c r="AB107" s="105" t="n">
        <v>0.21</v>
      </c>
      <c r="AC107" s="104" t="n">
        <v>-0</v>
      </c>
      <c r="AD107" s="104" t="n">
        <v>-0</v>
      </c>
      <c r="AE107" s="113" t="inlineStr">
        <is>
          <t>N/A</t>
        </is>
      </c>
      <c r="AF107" s="104" t="n">
        <v>0.05</v>
      </c>
      <c r="AG107" s="104" t="n">
        <v>0.01</v>
      </c>
      <c r="AH107" s="104" t="n">
        <v>0.13</v>
      </c>
      <c r="AI107" s="104" t="n">
        <v>0.04</v>
      </c>
      <c r="AJ107" s="113" t="inlineStr">
        <is>
          <t>N/A</t>
        </is>
      </c>
      <c r="AK107" s="113" t="inlineStr">
        <is>
          <t>N/A</t>
        </is>
      </c>
      <c r="AL107" s="113" t="inlineStr">
        <is>
          <t>N/A</t>
        </is>
      </c>
      <c r="AM107" s="104" t="n">
        <v>0.05</v>
      </c>
      <c r="AN107" s="104" t="n">
        <v>0.01</v>
      </c>
      <c r="AO107" s="104" t="n">
        <v>0.13</v>
      </c>
      <c r="AP107" s="104" t="n">
        <v>0.04</v>
      </c>
      <c r="AQ107" s="113" t="inlineStr">
        <is>
          <t>N/A</t>
        </is>
      </c>
      <c r="AR107" s="113" t="inlineStr">
        <is>
          <t>N/A</t>
        </is>
      </c>
      <c r="AS107" s="113" t="inlineStr">
        <is>
          <t>N/A</t>
        </is>
      </c>
      <c r="AT107" s="104" t="n">
        <v>0.05</v>
      </c>
      <c r="AU107" s="104" t="n">
        <v>0.01</v>
      </c>
      <c r="AV107" s="104" t="n">
        <v>0.13</v>
      </c>
      <c r="AW107" s="113" t="inlineStr">
        <is>
          <t>N/A</t>
        </is>
      </c>
      <c r="AX107" s="113" t="inlineStr">
        <is>
          <t>N/A</t>
        </is>
      </c>
      <c r="AY107" s="113" t="inlineStr">
        <is>
          <t>N/A</t>
        </is>
      </c>
      <c r="AZ107" s="104" t="n">
        <v>0.01</v>
      </c>
      <c r="BA107" s="113" t="inlineStr">
        <is>
          <t>N/A</t>
        </is>
      </c>
      <c r="BB107" s="104" t="n">
        <v>0.04</v>
      </c>
      <c r="BC107" s="113" t="inlineStr">
        <is>
          <t>N/A</t>
        </is>
      </c>
      <c r="BD107" s="113" t="inlineStr">
        <is>
          <t>N/A</t>
        </is>
      </c>
      <c r="BE107" s="104" t="n">
        <v>0.01</v>
      </c>
      <c r="BF107" s="104" t="n">
        <v>0.88</v>
      </c>
      <c r="BG107" s="113" t="inlineStr">
        <is>
          <t>N/A</t>
        </is>
      </c>
      <c r="BH107" s="113" t="inlineStr">
        <is>
          <t>N/A</t>
        </is>
      </c>
      <c r="BI107" s="113" t="inlineStr">
        <is>
          <t>N/A</t>
        </is>
      </c>
      <c r="BJ107" s="113" t="inlineStr">
        <is>
          <t>N/A</t>
        </is>
      </c>
      <c r="BK107" s="103" t="n">
        <v>1</v>
      </c>
      <c r="BL107" s="103" t="n">
        <v>1</v>
      </c>
      <c r="BM107" s="103" t="n">
        <v>1</v>
      </c>
      <c r="BN107" s="103" t="n">
        <v>1</v>
      </c>
      <c r="BO107" s="103" t="n">
        <v>1</v>
      </c>
      <c r="BP107" s="103" t="n">
        <v>0</v>
      </c>
      <c r="BQ107" s="103" t="n">
        <v>1</v>
      </c>
      <c r="BR107" s="103" t="n">
        <v>1</v>
      </c>
      <c r="BS107" s="103" t="n">
        <v>1</v>
      </c>
      <c r="BT107" s="103" t="n">
        <v>8</v>
      </c>
      <c r="BU107" s="103" t="inlineStr">
        <is>
          <t>Strong</t>
        </is>
      </c>
      <c r="BV107" s="113" t="inlineStr">
        <is>
          <t>N/A</t>
        </is>
      </c>
      <c r="BW107" s="113" t="inlineStr">
        <is>
          <t>N/A</t>
        </is>
      </c>
      <c r="BX107" s="104" t="n">
        <v>1</v>
      </c>
      <c r="BY107" s="104" t="n">
        <v>1.06</v>
      </c>
      <c r="BZ107" s="104" t="n">
        <v>1.05</v>
      </c>
      <c r="CA107" s="113" t="inlineStr">
        <is>
          <t>N/A</t>
        </is>
      </c>
      <c r="CB107" s="104" t="n">
        <v>0.99</v>
      </c>
      <c r="CC107" s="104" t="n">
        <v>-0</v>
      </c>
      <c r="CD107" s="113" t="inlineStr">
        <is>
          <t>N/A</t>
        </is>
      </c>
      <c r="CE107" s="113" t="inlineStr">
        <is>
          <t>N/A</t>
        </is>
      </c>
      <c r="CF107" s="104" t="n">
        <v>2.93</v>
      </c>
      <c r="CG107" s="104" t="n">
        <v>54.61</v>
      </c>
      <c r="CH107" s="103" t="n">
        <v>0</v>
      </c>
      <c r="CI107" s="103" t="inlineStr">
        <is>
          <t>CLEAR</t>
        </is>
      </c>
    </row>
    <row r="108" ht="17" customHeight="1">
      <c r="A108" s="107" t="inlineStr">
        <is>
          <t>IMCR</t>
        </is>
      </c>
      <c r="B108" s="107" t="inlineStr">
        <is>
          <t>Immunocore Holdings plc</t>
        </is>
      </c>
      <c r="C108" s="108" t="n">
        <v>750045000</v>
      </c>
      <c r="D108" s="109" t="n">
        <v>-0.18</v>
      </c>
      <c r="E108" s="109" t="n">
        <v>-0.08</v>
      </c>
      <c r="F108" s="109" t="n">
        <v>-0.14</v>
      </c>
      <c r="G108" s="109" t="n">
        <v>-0.03</v>
      </c>
      <c r="H108" s="109" t="n">
        <v>-0.05</v>
      </c>
      <c r="I108" s="109" t="n">
        <v>-0.09</v>
      </c>
      <c r="J108" s="109" t="n">
        <v>-0.06</v>
      </c>
      <c r="K108" s="109" t="n">
        <v>0.98</v>
      </c>
      <c r="L108" s="109" t="n">
        <v>0.98</v>
      </c>
      <c r="M108" s="109" t="n">
        <v>0.23</v>
      </c>
      <c r="N108" s="108" t="n">
        <v>0.17</v>
      </c>
      <c r="O108" s="108" t="n">
        <v>4.04</v>
      </c>
      <c r="P108" s="108" t="n">
        <v>4.38</v>
      </c>
      <c r="Q108" s="108" t="n">
        <v>4.01</v>
      </c>
      <c r="R108" s="108" t="n">
        <v>1.9</v>
      </c>
      <c r="S108" s="108" t="n">
        <v>0.64</v>
      </c>
      <c r="T108" s="108" t="n">
        <v>0.64</v>
      </c>
      <c r="U108" s="111" t="inlineStr">
        <is>
          <t>N/A</t>
        </is>
      </c>
      <c r="V108" s="111" t="inlineStr">
        <is>
          <t>N/A</t>
        </is>
      </c>
      <c r="W108" s="108" t="n">
        <v>0.3</v>
      </c>
      <c r="X108" s="109" t="n">
        <v>-0.06</v>
      </c>
      <c r="Y108" s="109" t="n">
        <v>1.1</v>
      </c>
      <c r="Z108" s="109" t="n">
        <v>-8.800000000000001</v>
      </c>
      <c r="AA108" s="109" t="n">
        <v>0.43</v>
      </c>
      <c r="AB108" s="109" t="n">
        <v>-0.3</v>
      </c>
      <c r="AC108" s="108" t="n">
        <v>-0.02</v>
      </c>
      <c r="AD108" s="108" t="n">
        <v>-0.02</v>
      </c>
      <c r="AE108" s="108" t="n">
        <v>0.7</v>
      </c>
      <c r="AF108" s="108" t="n">
        <v>-0.78</v>
      </c>
      <c r="AG108" s="108" t="n">
        <v>-0.04</v>
      </c>
      <c r="AH108" s="108" t="n">
        <v>0.5600000000000001</v>
      </c>
      <c r="AI108" s="108" t="n">
        <v>0.23</v>
      </c>
      <c r="AJ108" s="108" t="n">
        <v>0.18</v>
      </c>
      <c r="AK108" s="112" t="inlineStr">
        <is>
          <t>Distress</t>
        </is>
      </c>
      <c r="AL108" s="108" t="n">
        <v>0.7</v>
      </c>
      <c r="AM108" s="108" t="n">
        <v>-0.78</v>
      </c>
      <c r="AN108" s="108" t="n">
        <v>-0.04</v>
      </c>
      <c r="AO108" s="108" t="n">
        <v>0.5600000000000001</v>
      </c>
      <c r="AP108" s="108" t="n">
        <v>0.23</v>
      </c>
      <c r="AQ108" s="107" t="n">
        <v>0.18</v>
      </c>
      <c r="AR108" s="107" t="inlineStr">
        <is>
          <t>Distress</t>
        </is>
      </c>
      <c r="AS108" s="108" t="n">
        <v>0.7</v>
      </c>
      <c r="AT108" s="108" t="n">
        <v>-0.78</v>
      </c>
      <c r="AU108" s="108" t="n">
        <v>-0.04</v>
      </c>
      <c r="AV108" s="108" t="n">
        <v>0.5600000000000001</v>
      </c>
      <c r="AW108" s="107" t="n">
        <v>2.37</v>
      </c>
      <c r="AX108" s="107" t="inlineStr">
        <is>
          <t>Grey</t>
        </is>
      </c>
      <c r="AY108" s="108" t="n">
        <v>0.7</v>
      </c>
      <c r="AZ108" s="108" t="n">
        <v>-0.04</v>
      </c>
      <c r="BA108" s="108" t="n">
        <v>-0.08</v>
      </c>
      <c r="BB108" s="108" t="n">
        <v>0.23</v>
      </c>
      <c r="BC108" s="107" t="n">
        <v>0.64</v>
      </c>
      <c r="BD108" s="107" t="inlineStr">
        <is>
          <t>Distress</t>
        </is>
      </c>
      <c r="BE108" s="108" t="n">
        <v>-0.03</v>
      </c>
      <c r="BF108" s="108" t="n">
        <v>0.64</v>
      </c>
      <c r="BG108" s="108" t="n">
        <v>4.04</v>
      </c>
      <c r="BH108" s="108" t="n">
        <v>-0.52</v>
      </c>
      <c r="BI108" s="107" t="n">
        <v>0.37</v>
      </c>
      <c r="BJ108" s="107" t="inlineStr">
        <is>
          <t>Healthy</t>
        </is>
      </c>
      <c r="BK108" s="107" t="n">
        <v>0</v>
      </c>
      <c r="BL108" s="107" t="n">
        <v>0</v>
      </c>
      <c r="BM108" s="107" t="n">
        <v>1</v>
      </c>
      <c r="BN108" s="107" t="n">
        <v>1</v>
      </c>
      <c r="BO108" s="107" t="n">
        <v>0</v>
      </c>
      <c r="BP108" s="107" t="n">
        <v>0</v>
      </c>
      <c r="BQ108" s="107" t="n">
        <v>0</v>
      </c>
      <c r="BR108" s="107" t="n">
        <v>0</v>
      </c>
      <c r="BS108" s="107" t="n">
        <v>1</v>
      </c>
      <c r="BT108" s="107" t="n">
        <v>3</v>
      </c>
      <c r="BU108" s="107" t="inlineStr">
        <is>
          <t>Weak</t>
        </is>
      </c>
      <c r="BV108" s="108" t="n">
        <v>0.85</v>
      </c>
      <c r="BW108" s="108" t="n">
        <v>1</v>
      </c>
      <c r="BX108" s="108" t="n">
        <v>0.8</v>
      </c>
      <c r="BY108" s="108" t="n">
        <v>1.43</v>
      </c>
      <c r="BZ108" s="108" t="n">
        <v>1.38</v>
      </c>
      <c r="CA108" s="108" t="n">
        <v>0.74</v>
      </c>
      <c r="CB108" s="108" t="n">
        <v>1</v>
      </c>
      <c r="CC108" s="108" t="n">
        <v>-0.02</v>
      </c>
      <c r="CD108" s="107" t="n">
        <v>-2.34</v>
      </c>
      <c r="CE108" s="107" t="inlineStr">
        <is>
          <t>Lower Risk</t>
        </is>
      </c>
      <c r="CF108" s="111" t="inlineStr">
        <is>
          <t>N/A</t>
        </is>
      </c>
      <c r="CG108" s="108" t="n">
        <v>35.93</v>
      </c>
      <c r="CH108" s="107" t="n">
        <v>20</v>
      </c>
      <c r="CI108" s="107" t="inlineStr">
        <is>
          <t>CLEAR</t>
        </is>
      </c>
    </row>
    <row r="109" ht="17" customHeight="1">
      <c r="A109" s="103" t="inlineStr">
        <is>
          <t>NHI</t>
        </is>
      </c>
      <c r="B109" s="103" t="inlineStr">
        <is>
          <t>National Health Investors, Inc.</t>
        </is>
      </c>
      <c r="C109" s="113" t="inlineStr">
        <is>
          <t>N/A</t>
        </is>
      </c>
      <c r="D109" s="105" t="n">
        <v>0.4</v>
      </c>
      <c r="E109" s="105" t="n">
        <v>0.43</v>
      </c>
      <c r="F109" s="105" t="n">
        <v>0.38</v>
      </c>
      <c r="G109" s="105" t="n">
        <v>0.05</v>
      </c>
      <c r="H109" s="105" t="n">
        <v>0.05</v>
      </c>
      <c r="I109" s="105" t="n">
        <v>0.09</v>
      </c>
      <c r="J109" s="113" t="inlineStr">
        <is>
          <t>N/A</t>
        </is>
      </c>
      <c r="K109" s="105" t="n">
        <v>0.36</v>
      </c>
      <c r="L109" s="105" t="n">
        <v>0.37</v>
      </c>
      <c r="M109" s="105" t="n">
        <v>0.13</v>
      </c>
      <c r="N109" s="104" t="n">
        <v>0.13</v>
      </c>
      <c r="O109" s="113" t="inlineStr">
        <is>
          <t>N/A</t>
        </is>
      </c>
      <c r="P109" s="113" t="inlineStr">
        <is>
          <t>N/A</t>
        </is>
      </c>
      <c r="Q109" s="113" t="inlineStr">
        <is>
          <t>N/A</t>
        </is>
      </c>
      <c r="R109" s="113" t="inlineStr">
        <is>
          <t>N/A</t>
        </is>
      </c>
      <c r="S109" s="104" t="n">
        <v>0.45</v>
      </c>
      <c r="T109" s="104" t="n">
        <v>0.47</v>
      </c>
      <c r="U109" s="104" t="n">
        <v>0.74</v>
      </c>
      <c r="V109" s="104" t="n">
        <v>0.73</v>
      </c>
      <c r="W109" s="104" t="n">
        <v>1.66</v>
      </c>
      <c r="X109" s="105" t="n">
        <v>-0.15</v>
      </c>
      <c r="Y109" s="105" t="n">
        <v>0</v>
      </c>
      <c r="Z109" s="105" t="n">
        <v>2.62</v>
      </c>
      <c r="AA109" s="105" t="n">
        <v>0.12</v>
      </c>
      <c r="AB109" s="105" t="n">
        <v>0.03</v>
      </c>
      <c r="AC109" s="104" t="n">
        <v>-0.03</v>
      </c>
      <c r="AD109" s="104" t="n">
        <v>-0.03</v>
      </c>
      <c r="AE109" s="113" t="inlineStr">
        <is>
          <t>N/A</t>
        </is>
      </c>
      <c r="AF109" s="104" t="n">
        <v>0.98</v>
      </c>
      <c r="AG109" s="104" t="n">
        <v>0.05</v>
      </c>
      <c r="AH109" s="104" t="n">
        <v>1.21</v>
      </c>
      <c r="AI109" s="104" t="n">
        <v>0.13</v>
      </c>
      <c r="AJ109" s="113" t="inlineStr">
        <is>
          <t>N/A</t>
        </is>
      </c>
      <c r="AK109" s="113" t="inlineStr">
        <is>
          <t>N/A</t>
        </is>
      </c>
      <c r="AL109" s="113" t="inlineStr">
        <is>
          <t>N/A</t>
        </is>
      </c>
      <c r="AM109" s="104" t="n">
        <v>0.98</v>
      </c>
      <c r="AN109" s="104" t="n">
        <v>0.05</v>
      </c>
      <c r="AO109" s="104" t="n">
        <v>1.21</v>
      </c>
      <c r="AP109" s="104" t="n">
        <v>0.13</v>
      </c>
      <c r="AQ109" s="113" t="inlineStr">
        <is>
          <t>N/A</t>
        </is>
      </c>
      <c r="AR109" s="113" t="inlineStr">
        <is>
          <t>N/A</t>
        </is>
      </c>
      <c r="AS109" s="113" t="inlineStr">
        <is>
          <t>N/A</t>
        </is>
      </c>
      <c r="AT109" s="104" t="n">
        <v>0.98</v>
      </c>
      <c r="AU109" s="104" t="n">
        <v>0.05</v>
      </c>
      <c r="AV109" s="104" t="n">
        <v>1.21</v>
      </c>
      <c r="AW109" s="113" t="inlineStr">
        <is>
          <t>N/A</t>
        </is>
      </c>
      <c r="AX109" s="113" t="inlineStr">
        <is>
          <t>N/A</t>
        </is>
      </c>
      <c r="AY109" s="113" t="inlineStr">
        <is>
          <t>N/A</t>
        </is>
      </c>
      <c r="AZ109" s="104" t="n">
        <v>0.05</v>
      </c>
      <c r="BA109" s="113" t="inlineStr">
        <is>
          <t>N/A</t>
        </is>
      </c>
      <c r="BB109" s="104" t="n">
        <v>0.13</v>
      </c>
      <c r="BC109" s="113" t="inlineStr">
        <is>
          <t>N/A</t>
        </is>
      </c>
      <c r="BD109" s="113" t="inlineStr">
        <is>
          <t>N/A</t>
        </is>
      </c>
      <c r="BE109" s="104" t="n">
        <v>0.05</v>
      </c>
      <c r="BF109" s="104" t="n">
        <v>0.45</v>
      </c>
      <c r="BG109" s="113" t="inlineStr">
        <is>
          <t>N/A</t>
        </is>
      </c>
      <c r="BH109" s="113" t="inlineStr">
        <is>
          <t>N/A</t>
        </is>
      </c>
      <c r="BI109" s="113" t="inlineStr">
        <is>
          <t>N/A</t>
        </is>
      </c>
      <c r="BJ109" s="113" t="inlineStr">
        <is>
          <t>N/A</t>
        </is>
      </c>
      <c r="BK109" s="103" t="n">
        <v>1</v>
      </c>
      <c r="BL109" s="103" t="n">
        <v>1</v>
      </c>
      <c r="BM109" s="103" t="n">
        <v>0</v>
      </c>
      <c r="BN109" s="103" t="n">
        <v>1</v>
      </c>
      <c r="BO109" s="103" t="n">
        <v>0</v>
      </c>
      <c r="BP109" s="103" t="n">
        <v>0</v>
      </c>
      <c r="BQ109" s="103" t="n">
        <v>0</v>
      </c>
      <c r="BR109" s="103" t="n">
        <v>0</v>
      </c>
      <c r="BS109" s="103" t="n">
        <v>1</v>
      </c>
      <c r="BT109" s="103" t="n">
        <v>4</v>
      </c>
      <c r="BU109" s="103" t="inlineStr">
        <is>
          <t>Mixed</t>
        </is>
      </c>
      <c r="BV109" s="104" t="n">
        <v>1.01</v>
      </c>
      <c r="BW109" s="104" t="n">
        <v>1.01</v>
      </c>
      <c r="BX109" s="104" t="n">
        <v>0.75</v>
      </c>
      <c r="BY109" s="104" t="n">
        <v>1.12</v>
      </c>
      <c r="BZ109" s="104" t="n">
        <v>0.99</v>
      </c>
      <c r="CA109" s="104" t="n">
        <v>1.16</v>
      </c>
      <c r="CB109" s="104" t="n">
        <v>0.96</v>
      </c>
      <c r="CC109" s="104" t="n">
        <v>-0.03</v>
      </c>
      <c r="CD109" s="103" t="n">
        <v>-2.63</v>
      </c>
      <c r="CE109" s="103" t="inlineStr">
        <is>
          <t>Lower Risk</t>
        </is>
      </c>
      <c r="CF109" s="104" t="n">
        <v>4.81</v>
      </c>
      <c r="CG109" s="104" t="n">
        <v>40.36</v>
      </c>
      <c r="CH109" s="103" t="n">
        <v>0</v>
      </c>
      <c r="CI109" s="103" t="inlineStr">
        <is>
          <t>CLEAR</t>
        </is>
      </c>
    </row>
    <row r="110" ht="17" customHeight="1">
      <c r="A110" s="107" t="inlineStr">
        <is>
          <t>NXPI</t>
        </is>
      </c>
      <c r="B110" s="107" t="inlineStr">
        <is>
          <t>NXP Semiconductors N.V.</t>
        </is>
      </c>
      <c r="C110" s="108" t="n">
        <v>4059000000</v>
      </c>
      <c r="D110" s="109" t="n">
        <v>0.25</v>
      </c>
      <c r="E110" s="109" t="n">
        <v>0.1</v>
      </c>
      <c r="F110" s="109" t="n">
        <v>0.16</v>
      </c>
      <c r="G110" s="109" t="n">
        <v>0.08</v>
      </c>
      <c r="H110" s="109" t="n">
        <v>0.1</v>
      </c>
      <c r="I110" s="109" t="n">
        <v>0.2</v>
      </c>
      <c r="J110" s="109" t="n">
        <v>0.13</v>
      </c>
      <c r="K110" s="109" t="n">
        <v>0.55</v>
      </c>
      <c r="L110" s="109" t="n">
        <v>0.5600000000000001</v>
      </c>
      <c r="M110" s="109" t="n">
        <v>0.46</v>
      </c>
      <c r="N110" s="108" t="n">
        <v>0.52</v>
      </c>
      <c r="O110" s="108" t="n">
        <v>2.05</v>
      </c>
      <c r="P110" s="108" t="n">
        <v>2.36</v>
      </c>
      <c r="Q110" s="108" t="n">
        <v>1.38</v>
      </c>
      <c r="R110" s="108" t="n">
        <v>0.84</v>
      </c>
      <c r="S110" s="108" t="n">
        <v>1</v>
      </c>
      <c r="T110" s="108" t="n">
        <v>1</v>
      </c>
      <c r="U110" s="108" t="n">
        <v>1.13</v>
      </c>
      <c r="V110" s="108" t="n">
        <v>0.8</v>
      </c>
      <c r="W110" s="108" t="n">
        <v>1.4</v>
      </c>
      <c r="X110" s="109" t="n">
        <v>0.2</v>
      </c>
      <c r="Y110" s="109" t="n">
        <v>0.19</v>
      </c>
      <c r="Z110" s="109" t="n">
        <v>6.54</v>
      </c>
      <c r="AA110" s="109" t="n">
        <v>-0.03</v>
      </c>
      <c r="AB110" s="109" t="n">
        <v>-0.19</v>
      </c>
      <c r="AC110" s="108" t="n">
        <v>-0.03</v>
      </c>
      <c r="AD110" s="108" t="n">
        <v>-0.03</v>
      </c>
      <c r="AE110" s="108" t="n">
        <v>0.15</v>
      </c>
      <c r="AF110" s="108" t="n">
        <v>-0.05</v>
      </c>
      <c r="AG110" s="108" t="n">
        <v>0.11</v>
      </c>
      <c r="AH110" s="108" t="n">
        <v>0.38</v>
      </c>
      <c r="AI110" s="108" t="n">
        <v>0.46</v>
      </c>
      <c r="AJ110" s="108" t="n">
        <v>1.18</v>
      </c>
      <c r="AK110" s="112" t="inlineStr">
        <is>
          <t>Distress</t>
        </is>
      </c>
      <c r="AL110" s="108" t="n">
        <v>0.15</v>
      </c>
      <c r="AM110" s="108" t="n">
        <v>-0.05</v>
      </c>
      <c r="AN110" s="108" t="n">
        <v>0.11</v>
      </c>
      <c r="AO110" s="108" t="n">
        <v>0.38</v>
      </c>
      <c r="AP110" s="108" t="n">
        <v>0.46</v>
      </c>
      <c r="AQ110" s="107" t="n">
        <v>1.04</v>
      </c>
      <c r="AR110" s="107" t="inlineStr">
        <is>
          <t>Distress</t>
        </is>
      </c>
      <c r="AS110" s="108" t="n">
        <v>0.15</v>
      </c>
      <c r="AT110" s="108" t="n">
        <v>-0.05</v>
      </c>
      <c r="AU110" s="108" t="n">
        <v>0.11</v>
      </c>
      <c r="AV110" s="108" t="n">
        <v>0.38</v>
      </c>
      <c r="AW110" s="107" t="n">
        <v>2</v>
      </c>
      <c r="AX110" s="107" t="inlineStr">
        <is>
          <t>Grey</t>
        </is>
      </c>
      <c r="AY110" s="108" t="n">
        <v>0.15</v>
      </c>
      <c r="AZ110" s="108" t="n">
        <v>0.11</v>
      </c>
      <c r="BA110" s="108" t="n">
        <v>0.33</v>
      </c>
      <c r="BB110" s="108" t="n">
        <v>0.46</v>
      </c>
      <c r="BC110" s="107" t="n">
        <v>0.91</v>
      </c>
      <c r="BD110" s="107" t="inlineStr">
        <is>
          <t>Healthy</t>
        </is>
      </c>
      <c r="BE110" s="108" t="n">
        <v>0.08</v>
      </c>
      <c r="BF110" s="108" t="n">
        <v>1</v>
      </c>
      <c r="BG110" s="108" t="n">
        <v>2.05</v>
      </c>
      <c r="BH110" s="108" t="n">
        <v>1.01</v>
      </c>
      <c r="BI110" s="107" t="n">
        <v>0.73</v>
      </c>
      <c r="BJ110" s="107" t="inlineStr">
        <is>
          <t>Distress</t>
        </is>
      </c>
      <c r="BK110" s="107" t="n">
        <v>1</v>
      </c>
      <c r="BL110" s="107" t="n">
        <v>1</v>
      </c>
      <c r="BM110" s="107" t="n">
        <v>0</v>
      </c>
      <c r="BN110" s="107" t="n">
        <v>1</v>
      </c>
      <c r="BO110" s="107" t="n">
        <v>1</v>
      </c>
      <c r="BP110" s="107" t="n">
        <v>0</v>
      </c>
      <c r="BQ110" s="107" t="n">
        <v>0</v>
      </c>
      <c r="BR110" s="107" t="n">
        <v>0</v>
      </c>
      <c r="BS110" s="107" t="n">
        <v>0</v>
      </c>
      <c r="BT110" s="107" t="n">
        <v>4</v>
      </c>
      <c r="BU110" s="107" t="inlineStr">
        <is>
          <t>Mixed</t>
        </is>
      </c>
      <c r="BV110" s="108" t="n">
        <v>1.05</v>
      </c>
      <c r="BW110" s="108" t="n">
        <v>1.03</v>
      </c>
      <c r="BX110" s="108" t="n">
        <v>1.04</v>
      </c>
      <c r="BY110" s="108" t="n">
        <v>0.97</v>
      </c>
      <c r="BZ110" s="108" t="n">
        <v>0.9399999999999999</v>
      </c>
      <c r="CA110" s="108" t="n">
        <v>1.06</v>
      </c>
      <c r="CB110" s="108" t="n">
        <v>1</v>
      </c>
      <c r="CC110" s="108" t="n">
        <v>-0.03</v>
      </c>
      <c r="CD110" s="107" t="n">
        <v>-2.58</v>
      </c>
      <c r="CE110" s="107" t="inlineStr">
        <is>
          <t>Lower Risk</t>
        </is>
      </c>
      <c r="CF110" s="108" t="n">
        <v>1.88</v>
      </c>
      <c r="CG110" s="108" t="n">
        <v>42.71</v>
      </c>
      <c r="CH110" s="107" t="n">
        <v>0</v>
      </c>
      <c r="CI110" s="107" t="inlineStr">
        <is>
          <t>CLEAR</t>
        </is>
      </c>
    </row>
    <row r="111" ht="17" customHeight="1">
      <c r="A111" s="103" t="inlineStr">
        <is>
          <t>RBC</t>
        </is>
      </c>
      <c r="B111" s="103" t="inlineStr">
        <is>
          <t>RBC BEARINGS INCORPORATED</t>
        </is>
      </c>
      <c r="C111" s="104" t="n">
        <v>643600000</v>
      </c>
      <c r="D111" s="105" t="n">
        <v>0.23</v>
      </c>
      <c r="E111" s="105" t="n">
        <v>0.2</v>
      </c>
      <c r="F111" s="105" t="n">
        <v>0.15</v>
      </c>
      <c r="G111" s="105" t="n">
        <v>0.06</v>
      </c>
      <c r="H111" s="105" t="n">
        <v>0.05</v>
      </c>
      <c r="I111" s="105" t="n">
        <v>0.09</v>
      </c>
      <c r="J111" s="105" t="n">
        <v>0.09</v>
      </c>
      <c r="K111" s="105" t="n">
        <v>0.44</v>
      </c>
      <c r="L111" s="105" t="n">
        <v>0.44</v>
      </c>
      <c r="M111" s="105" t="n">
        <v>0.37</v>
      </c>
      <c r="N111" s="104" t="n">
        <v>0.35</v>
      </c>
      <c r="O111" s="104" t="n">
        <v>2.18</v>
      </c>
      <c r="P111" s="104" t="n">
        <v>3.26</v>
      </c>
      <c r="Q111" s="104" t="n">
        <v>0.78</v>
      </c>
      <c r="R111" s="104" t="n">
        <v>0.1</v>
      </c>
      <c r="S111" s="104" t="n">
        <v>0.34</v>
      </c>
      <c r="T111" s="104" t="n">
        <v>0.35</v>
      </c>
      <c r="U111" s="104" t="n">
        <v>0.31</v>
      </c>
      <c r="V111" s="104" t="n">
        <v>0.3</v>
      </c>
      <c r="W111" s="104" t="n">
        <v>1.45</v>
      </c>
      <c r="X111" s="105" t="n">
        <v>0.2</v>
      </c>
      <c r="Y111" s="105" t="n">
        <v>0.02</v>
      </c>
      <c r="Z111" s="105" t="n">
        <v>-8.449999999999999</v>
      </c>
      <c r="AA111" s="105" t="n">
        <v>0.14</v>
      </c>
      <c r="AB111" s="105" t="n">
        <v>0.17</v>
      </c>
      <c r="AC111" s="104" t="n">
        <v>-0.03</v>
      </c>
      <c r="AD111" s="104" t="n">
        <v>-0.03</v>
      </c>
      <c r="AE111" s="104" t="n">
        <v>0.13</v>
      </c>
      <c r="AF111" s="104" t="n">
        <v>0.34</v>
      </c>
      <c r="AG111" s="104" t="n">
        <v>0.08</v>
      </c>
      <c r="AH111" s="104" t="n">
        <v>1.91</v>
      </c>
      <c r="AI111" s="104" t="n">
        <v>0.37</v>
      </c>
      <c r="AJ111" s="104" t="n">
        <v>2.41</v>
      </c>
      <c r="AK111" s="106" t="inlineStr">
        <is>
          <t>Grey</t>
        </is>
      </c>
      <c r="AL111" s="104" t="n">
        <v>0.13</v>
      </c>
      <c r="AM111" s="104" t="n">
        <v>0.34</v>
      </c>
      <c r="AN111" s="104" t="n">
        <v>0.08</v>
      </c>
      <c r="AO111" s="104" t="n">
        <v>1.91</v>
      </c>
      <c r="AP111" s="104" t="n">
        <v>0.37</v>
      </c>
      <c r="AQ111" s="103" t="n">
        <v>1.8</v>
      </c>
      <c r="AR111" s="103" t="inlineStr">
        <is>
          <t>Grey</t>
        </is>
      </c>
      <c r="AS111" s="104" t="n">
        <v>0.13</v>
      </c>
      <c r="AT111" s="104" t="n">
        <v>0.34</v>
      </c>
      <c r="AU111" s="104" t="n">
        <v>0.08</v>
      </c>
      <c r="AV111" s="104" t="n">
        <v>1.91</v>
      </c>
      <c r="AW111" s="103" t="n">
        <v>4.49</v>
      </c>
      <c r="AX111" s="103" t="inlineStr">
        <is>
          <t>Safe</t>
        </is>
      </c>
      <c r="AY111" s="104" t="n">
        <v>0.13</v>
      </c>
      <c r="AZ111" s="104" t="n">
        <v>0.08</v>
      </c>
      <c r="BA111" s="104" t="n">
        <v>0.68</v>
      </c>
      <c r="BB111" s="104" t="n">
        <v>0.37</v>
      </c>
      <c r="BC111" s="103" t="n">
        <v>0.97</v>
      </c>
      <c r="BD111" s="103" t="inlineStr">
        <is>
          <t>Healthy</t>
        </is>
      </c>
      <c r="BE111" s="104" t="n">
        <v>0.06</v>
      </c>
      <c r="BF111" s="104" t="n">
        <v>0.34</v>
      </c>
      <c r="BG111" s="104" t="n">
        <v>2.18</v>
      </c>
      <c r="BH111" s="104" t="n">
        <v>-2.63</v>
      </c>
      <c r="BI111" s="103" t="n">
        <v>0.07000000000000001</v>
      </c>
      <c r="BJ111" s="103" t="inlineStr">
        <is>
          <t>Healthy</t>
        </is>
      </c>
      <c r="BK111" s="103" t="n">
        <v>1</v>
      </c>
      <c r="BL111" s="103" t="n">
        <v>1</v>
      </c>
      <c r="BM111" s="103" t="n">
        <v>1</v>
      </c>
      <c r="BN111" s="103" t="n">
        <v>1</v>
      </c>
      <c r="BO111" s="103" t="n">
        <v>1</v>
      </c>
      <c r="BP111" s="103" t="n">
        <v>0</v>
      </c>
      <c r="BQ111" s="103" t="n">
        <v>0</v>
      </c>
      <c r="BR111" s="103" t="n">
        <v>0</v>
      </c>
      <c r="BS111" s="103" t="n">
        <v>1</v>
      </c>
      <c r="BT111" s="103" t="n">
        <v>6</v>
      </c>
      <c r="BU111" s="103" t="inlineStr">
        <is>
          <t>Mixed</t>
        </is>
      </c>
      <c r="BV111" s="104" t="n">
        <v>0.97</v>
      </c>
      <c r="BW111" s="104" t="n">
        <v>1</v>
      </c>
      <c r="BX111" s="104" t="n">
        <v>0.97</v>
      </c>
      <c r="BY111" s="104" t="n">
        <v>1.14</v>
      </c>
      <c r="BZ111" s="104" t="n">
        <v>1.07</v>
      </c>
      <c r="CA111" s="104" t="n">
        <v>0.99</v>
      </c>
      <c r="CB111" s="104" t="n">
        <v>0.97</v>
      </c>
      <c r="CC111" s="104" t="n">
        <v>-0.03</v>
      </c>
      <c r="CD111" s="103" t="n">
        <v>-2.49</v>
      </c>
      <c r="CE111" s="103" t="inlineStr">
        <is>
          <t>Lower Risk</t>
        </is>
      </c>
      <c r="CF111" s="104" t="n">
        <v>1.8</v>
      </c>
      <c r="CG111" s="104" t="n">
        <v>55.07</v>
      </c>
      <c r="CH111" s="103" t="n">
        <v>0</v>
      </c>
      <c r="CI111" s="103" t="inlineStr">
        <is>
          <t>CLEAR</t>
        </is>
      </c>
    </row>
    <row r="112" ht="17" customHeight="1">
      <c r="A112" s="107" t="inlineStr">
        <is>
          <t>IMVT</t>
        </is>
      </c>
      <c r="B112" s="107" t="inlineStr">
        <is>
          <t>IMMUNOVANT, INC.</t>
        </is>
      </c>
      <c r="C112" s="108" t="n">
        <v>844397000</v>
      </c>
      <c r="D112" s="111" t="inlineStr">
        <is>
          <t>N/A</t>
        </is>
      </c>
      <c r="E112" s="111" t="inlineStr">
        <is>
          <t>N/A</t>
        </is>
      </c>
      <c r="F112" s="111" t="inlineStr">
        <is>
          <t>N/A</t>
        </is>
      </c>
      <c r="G112" s="109" t="n">
        <v>-0.53</v>
      </c>
      <c r="H112" s="109" t="n">
        <v>-0.53</v>
      </c>
      <c r="I112" s="109" t="n">
        <v>-0.59</v>
      </c>
      <c r="J112" s="109" t="n">
        <v>-0.59</v>
      </c>
      <c r="K112" s="111" t="inlineStr">
        <is>
          <t>N/A</t>
        </is>
      </c>
      <c r="L112" s="111" t="inlineStr">
        <is>
          <t>N/A</t>
        </is>
      </c>
      <c r="M112" s="111" t="inlineStr">
        <is>
          <t>N/A</t>
        </is>
      </c>
      <c r="N112" s="111" t="inlineStr">
        <is>
          <t>N/A</t>
        </is>
      </c>
      <c r="O112" s="108" t="n">
        <v>9.09</v>
      </c>
      <c r="P112" s="108" t="n">
        <v>11.16</v>
      </c>
      <c r="Q112" s="108" t="n">
        <v>9.09</v>
      </c>
      <c r="R112" s="108" t="n">
        <v>8.640000000000001</v>
      </c>
      <c r="S112" s="108" t="n">
        <v>0.11</v>
      </c>
      <c r="T112" s="108" t="n">
        <v>0.09</v>
      </c>
      <c r="U112" s="111" t="inlineStr">
        <is>
          <t>N/A</t>
        </is>
      </c>
      <c r="V112" s="111" t="inlineStr">
        <is>
          <t>N/A</t>
        </is>
      </c>
      <c r="W112" s="108" t="n">
        <v>0.8100000000000001</v>
      </c>
      <c r="X112" s="111" t="inlineStr">
        <is>
          <t>N/A</t>
        </is>
      </c>
      <c r="Y112" s="111" t="inlineStr">
        <is>
          <t>N/A</t>
        </is>
      </c>
      <c r="Z112" s="111" t="inlineStr">
        <is>
          <t>N/A</t>
        </is>
      </c>
      <c r="AA112" s="111" t="inlineStr">
        <is>
          <t>N/A</t>
        </is>
      </c>
      <c r="AB112" s="109" t="n">
        <v>0.22</v>
      </c>
      <c r="AC112" s="108" t="n">
        <v>-0.1</v>
      </c>
      <c r="AD112" s="108" t="n">
        <v>-0.1</v>
      </c>
      <c r="AE112" s="108" t="n">
        <v>0.88</v>
      </c>
      <c r="AF112" s="108" t="n">
        <v>-1.82</v>
      </c>
      <c r="AG112" s="108" t="n">
        <v>-0.53</v>
      </c>
      <c r="AH112" s="108" t="n">
        <v>8.16</v>
      </c>
      <c r="AI112" s="111" t="inlineStr">
        <is>
          <t>N/A</t>
        </is>
      </c>
      <c r="AJ112" s="111" t="inlineStr">
        <is>
          <t>N/A</t>
        </is>
      </c>
      <c r="AK112" s="111" t="inlineStr">
        <is>
          <t>N/A</t>
        </is>
      </c>
      <c r="AL112" s="108" t="n">
        <v>0.88</v>
      </c>
      <c r="AM112" s="108" t="n">
        <v>-1.82</v>
      </c>
      <c r="AN112" s="108" t="n">
        <v>-0.53</v>
      </c>
      <c r="AO112" s="108" t="n">
        <v>8.16</v>
      </c>
      <c r="AP112" s="111" t="inlineStr">
        <is>
          <t>N/A</t>
        </is>
      </c>
      <c r="AQ112" s="111" t="inlineStr">
        <is>
          <t>N/A</t>
        </is>
      </c>
      <c r="AR112" s="111" t="inlineStr">
        <is>
          <t>N/A</t>
        </is>
      </c>
      <c r="AS112" s="108" t="n">
        <v>0.88</v>
      </c>
      <c r="AT112" s="108" t="n">
        <v>-1.82</v>
      </c>
      <c r="AU112" s="108" t="n">
        <v>-0.53</v>
      </c>
      <c r="AV112" s="108" t="n">
        <v>8.16</v>
      </c>
      <c r="AW112" s="107" t="n">
        <v>4.87</v>
      </c>
      <c r="AX112" s="107" t="inlineStr">
        <is>
          <t>Safe</t>
        </is>
      </c>
      <c r="AY112" s="108" t="n">
        <v>0.88</v>
      </c>
      <c r="AZ112" s="108" t="n">
        <v>-0.53</v>
      </c>
      <c r="BA112" s="108" t="n">
        <v>-4.84</v>
      </c>
      <c r="BB112" s="111" t="inlineStr">
        <is>
          <t>N/A</t>
        </is>
      </c>
      <c r="BC112" s="111" t="inlineStr">
        <is>
          <t>N/A</t>
        </is>
      </c>
      <c r="BD112" s="111" t="inlineStr">
        <is>
          <t>N/A</t>
        </is>
      </c>
      <c r="BE112" s="108" t="n">
        <v>-0.53</v>
      </c>
      <c r="BF112" s="108" t="n">
        <v>0.11</v>
      </c>
      <c r="BG112" s="108" t="n">
        <v>9.09</v>
      </c>
      <c r="BH112" s="108" t="n">
        <v>-1.3</v>
      </c>
      <c r="BI112" s="107" t="n">
        <v>0.21</v>
      </c>
      <c r="BJ112" s="107" t="inlineStr">
        <is>
          <t>Healthy</t>
        </is>
      </c>
      <c r="BK112" s="107" t="n">
        <v>0</v>
      </c>
      <c r="BL112" s="107" t="n">
        <v>0</v>
      </c>
      <c r="BM112" s="107" t="n">
        <v>1</v>
      </c>
      <c r="BN112" s="107" t="n">
        <v>1</v>
      </c>
      <c r="BO112" s="107" t="n">
        <v>0</v>
      </c>
      <c r="BP112" s="107" t="n">
        <v>0</v>
      </c>
      <c r="BQ112" s="107" t="n">
        <v>0</v>
      </c>
      <c r="BR112" s="107" t="n">
        <v>0</v>
      </c>
      <c r="BS112" s="107" t="n">
        <v>0</v>
      </c>
      <c r="BT112" s="107" t="n">
        <v>2</v>
      </c>
      <c r="BU112" s="107" t="inlineStr">
        <is>
          <t>Weak</t>
        </is>
      </c>
      <c r="BV112" s="111" t="inlineStr">
        <is>
          <t>N/A</t>
        </is>
      </c>
      <c r="BW112" s="111" t="inlineStr">
        <is>
          <t>N/A</t>
        </is>
      </c>
      <c r="BX112" s="108" t="n">
        <v>0.8100000000000001</v>
      </c>
      <c r="BY112" s="111" t="inlineStr">
        <is>
          <t>N/A</t>
        </is>
      </c>
      <c r="BZ112" s="108" t="n">
        <v>0.64</v>
      </c>
      <c r="CA112" s="111" t="inlineStr">
        <is>
          <t>N/A</t>
        </is>
      </c>
      <c r="CB112" s="108" t="n">
        <v>1.23</v>
      </c>
      <c r="CC112" s="108" t="n">
        <v>-0.1</v>
      </c>
      <c r="CD112" s="111" t="inlineStr">
        <is>
          <t>N/A</t>
        </is>
      </c>
      <c r="CE112" s="111" t="inlineStr">
        <is>
          <t>N/A</t>
        </is>
      </c>
      <c r="CF112" s="111" t="inlineStr">
        <is>
          <t>N/A</t>
        </is>
      </c>
      <c r="CG112" s="108" t="n">
        <v>34.62</v>
      </c>
      <c r="CH112" s="107" t="n">
        <v>20</v>
      </c>
      <c r="CI112" s="107" t="inlineStr">
        <is>
          <t>CLEAR</t>
        </is>
      </c>
    </row>
    <row r="113" ht="17" customHeight="1">
      <c r="A113" s="103" t="inlineStr">
        <is>
          <t>MOS</t>
        </is>
      </c>
      <c r="B113" s="103" t="inlineStr">
        <is>
          <t>MOSAIC CO</t>
        </is>
      </c>
      <c r="C113" s="104" t="n">
        <v>1254700000</v>
      </c>
      <c r="D113" s="105" t="n">
        <v>0.07000000000000001</v>
      </c>
      <c r="E113" s="105" t="n">
        <v>0.1</v>
      </c>
      <c r="F113" s="105" t="n">
        <v>0.04</v>
      </c>
      <c r="G113" s="105" t="n">
        <v>0.02</v>
      </c>
      <c r="H113" s="105" t="n">
        <v>0.01</v>
      </c>
      <c r="I113" s="105" t="n">
        <v>0.04</v>
      </c>
      <c r="J113" s="105" t="n">
        <v>0.04</v>
      </c>
      <c r="K113" s="105" t="n">
        <v>0.16</v>
      </c>
      <c r="L113" s="105" t="n">
        <v>0.14</v>
      </c>
      <c r="M113" s="105" t="n">
        <v>0.49</v>
      </c>
      <c r="N113" s="104" t="n">
        <v>0.49</v>
      </c>
      <c r="O113" s="104" t="n">
        <v>1.32</v>
      </c>
      <c r="P113" s="104" t="n">
        <v>1.08</v>
      </c>
      <c r="Q113" s="104" t="n">
        <v>0.47</v>
      </c>
      <c r="R113" s="104" t="n">
        <v>0.07000000000000001</v>
      </c>
      <c r="S113" s="104" t="n">
        <v>1</v>
      </c>
      <c r="T113" s="104" t="n">
        <v>1</v>
      </c>
      <c r="U113" s="104" t="n">
        <v>0.38</v>
      </c>
      <c r="V113" s="104" t="n">
        <v>0.36</v>
      </c>
      <c r="W113" s="104" t="n">
        <v>1.53</v>
      </c>
      <c r="X113" s="105" t="n">
        <v>-0.04</v>
      </c>
      <c r="Y113" s="105" t="n">
        <v>0</v>
      </c>
      <c r="Z113" s="105" t="n">
        <v>3.4</v>
      </c>
      <c r="AA113" s="105" t="n">
        <v>0.08</v>
      </c>
      <c r="AB113" s="105" t="n">
        <v>2.09</v>
      </c>
      <c r="AC113" s="104" t="n">
        <v>-0.01</v>
      </c>
      <c r="AD113" s="104" t="n">
        <v>-0.01</v>
      </c>
      <c r="AE113" s="104" t="n">
        <v>0.05</v>
      </c>
      <c r="AF113" s="104" t="n">
        <v>0.58</v>
      </c>
      <c r="AG113" s="104" t="n">
        <v>0.03</v>
      </c>
      <c r="AH113" s="104" t="n">
        <v>0.49</v>
      </c>
      <c r="AI113" s="104" t="n">
        <v>0.49</v>
      </c>
      <c r="AJ113" s="104" t="n">
        <v>1.77</v>
      </c>
      <c r="AK113" s="112" t="inlineStr">
        <is>
          <t>Distress</t>
        </is>
      </c>
      <c r="AL113" s="104" t="n">
        <v>0.05</v>
      </c>
      <c r="AM113" s="104" t="n">
        <v>0.58</v>
      </c>
      <c r="AN113" s="104" t="n">
        <v>0.03</v>
      </c>
      <c r="AO113" s="104" t="n">
        <v>0.49</v>
      </c>
      <c r="AP113" s="104" t="n">
        <v>0.49</v>
      </c>
      <c r="AQ113" s="103" t="n">
        <v>1.33</v>
      </c>
      <c r="AR113" s="103" t="inlineStr">
        <is>
          <t>Grey</t>
        </is>
      </c>
      <c r="AS113" s="104" t="n">
        <v>0.05</v>
      </c>
      <c r="AT113" s="104" t="n">
        <v>0.58</v>
      </c>
      <c r="AU113" s="104" t="n">
        <v>0.03</v>
      </c>
      <c r="AV113" s="104" t="n">
        <v>0.49</v>
      </c>
      <c r="AW113" s="103" t="n">
        <v>2.97</v>
      </c>
      <c r="AX113" s="103" t="inlineStr">
        <is>
          <t>Safe</t>
        </is>
      </c>
      <c r="AY113" s="104" t="n">
        <v>0.05</v>
      </c>
      <c r="AZ113" s="104" t="n">
        <v>0.03</v>
      </c>
      <c r="BA113" s="104" t="n">
        <v>0.3</v>
      </c>
      <c r="BB113" s="104" t="n">
        <v>0.49</v>
      </c>
      <c r="BC113" s="103" t="n">
        <v>0.55</v>
      </c>
      <c r="BD113" s="103" t="inlineStr">
        <is>
          <t>Distress</t>
        </is>
      </c>
      <c r="BE113" s="104" t="n">
        <v>0.02</v>
      </c>
      <c r="BF113" s="104" t="n">
        <v>1</v>
      </c>
      <c r="BG113" s="104" t="n">
        <v>1.32</v>
      </c>
      <c r="BH113" s="104" t="n">
        <v>1.25</v>
      </c>
      <c r="BI113" s="103" t="n">
        <v>0.78</v>
      </c>
      <c r="BJ113" s="103" t="inlineStr">
        <is>
          <t>Distress</t>
        </is>
      </c>
      <c r="BK113" s="103" t="n">
        <v>1</v>
      </c>
      <c r="BL113" s="103" t="n">
        <v>1</v>
      </c>
      <c r="BM113" s="103" t="n">
        <v>1</v>
      </c>
      <c r="BN113" s="103" t="n">
        <v>1</v>
      </c>
      <c r="BO113" s="103" t="n">
        <v>1</v>
      </c>
      <c r="BP113" s="103" t="n">
        <v>1</v>
      </c>
      <c r="BQ113" s="103" t="n">
        <v>0</v>
      </c>
      <c r="BR113" s="103" t="n">
        <v>1</v>
      </c>
      <c r="BS113" s="103" t="n">
        <v>1</v>
      </c>
      <c r="BT113" s="103" t="n">
        <v>8</v>
      </c>
      <c r="BU113" s="103" t="inlineStr">
        <is>
          <t>Strong</t>
        </is>
      </c>
      <c r="BV113" s="104" t="n">
        <v>0.89</v>
      </c>
      <c r="BW113" s="104" t="n">
        <v>0.86</v>
      </c>
      <c r="BX113" s="104" t="n">
        <v>0.97</v>
      </c>
      <c r="BY113" s="104" t="n">
        <v>1.08</v>
      </c>
      <c r="BZ113" s="104" t="n">
        <v>1.02</v>
      </c>
      <c r="CA113" s="104" t="n">
        <v>0.99</v>
      </c>
      <c r="CB113" s="104" t="n">
        <v>1</v>
      </c>
      <c r="CC113" s="104" t="n">
        <v>-0.01</v>
      </c>
      <c r="CD113" s="103" t="n">
        <v>-2.64</v>
      </c>
      <c r="CE113" s="103" t="inlineStr">
        <is>
          <t>Lower Risk</t>
        </is>
      </c>
      <c r="CF113" s="104" t="n">
        <v>2.31</v>
      </c>
      <c r="CG113" s="104" t="n">
        <v>59.27</v>
      </c>
      <c r="CH113" s="103" t="n">
        <v>0</v>
      </c>
      <c r="CI113" s="103" t="inlineStr">
        <is>
          <t>CLEAR</t>
        </is>
      </c>
    </row>
    <row r="114" ht="17" customHeight="1">
      <c r="A114" s="107" t="inlineStr">
        <is>
          <t>AWK</t>
        </is>
      </c>
      <c r="B114" s="107" t="inlineStr">
        <is>
          <t>AMERICAN WATER WORKS COMPANY, INC.</t>
        </is>
      </c>
      <c r="C114" s="108" t="n">
        <v>-2556000000</v>
      </c>
      <c r="D114" s="109" t="n">
        <v>0.62</v>
      </c>
      <c r="E114" s="109" t="n">
        <v>0.47</v>
      </c>
      <c r="F114" s="109" t="n">
        <v>0.37</v>
      </c>
      <c r="G114" s="109" t="n">
        <v>0.03</v>
      </c>
      <c r="H114" s="109" t="n">
        <v>0.03</v>
      </c>
      <c r="I114" s="109" t="n">
        <v>0.1</v>
      </c>
      <c r="J114" s="109" t="n">
        <v>0.06</v>
      </c>
      <c r="K114" s="109" t="n">
        <v>-0.08</v>
      </c>
      <c r="L114" s="109" t="n">
        <v>-3.06</v>
      </c>
      <c r="M114" s="109" t="n">
        <v>0.08</v>
      </c>
      <c r="N114" s="108" t="n">
        <v>0.02</v>
      </c>
      <c r="O114" s="108" t="n">
        <v>0.46</v>
      </c>
      <c r="P114" s="108" t="n">
        <v>0.39</v>
      </c>
      <c r="Q114" s="108" t="n">
        <v>0.46</v>
      </c>
      <c r="R114" s="108" t="n">
        <v>0.02</v>
      </c>
      <c r="S114" s="108" t="n">
        <v>1</v>
      </c>
      <c r="T114" s="108" t="n">
        <v>1</v>
      </c>
      <c r="U114" s="108" t="n">
        <v>1.04</v>
      </c>
      <c r="V114" s="108" t="n">
        <v>1.03</v>
      </c>
      <c r="W114" s="108" t="n">
        <v>1.85</v>
      </c>
      <c r="X114" s="109" t="n">
        <v>-0.35</v>
      </c>
      <c r="Y114" s="109" t="n">
        <v>0</v>
      </c>
      <c r="Z114" s="109" t="n">
        <v>6.31</v>
      </c>
      <c r="AA114" s="109" t="n">
        <v>3.12</v>
      </c>
      <c r="AB114" s="109" t="n">
        <v>0.06</v>
      </c>
      <c r="AC114" s="108" t="n">
        <v>-0.03</v>
      </c>
      <c r="AD114" s="108" t="n">
        <v>-0.03</v>
      </c>
      <c r="AE114" s="108" t="n">
        <v>-0.07000000000000001</v>
      </c>
      <c r="AF114" s="108" t="n">
        <v>0.07000000000000001</v>
      </c>
      <c r="AG114" s="108" t="n">
        <v>0.05</v>
      </c>
      <c r="AH114" s="108" t="n">
        <v>0.31</v>
      </c>
      <c r="AI114" s="108" t="n">
        <v>0.08</v>
      </c>
      <c r="AJ114" s="108" t="n">
        <v>0.46</v>
      </c>
      <c r="AK114" s="112" t="inlineStr">
        <is>
          <t>Distress</t>
        </is>
      </c>
      <c r="AL114" s="108" t="n">
        <v>-0.07000000000000001</v>
      </c>
      <c r="AM114" s="108" t="n">
        <v>0.07000000000000001</v>
      </c>
      <c r="AN114" s="108" t="n">
        <v>0.05</v>
      </c>
      <c r="AO114" s="108" t="n">
        <v>0.31</v>
      </c>
      <c r="AP114" s="108" t="n">
        <v>0.08</v>
      </c>
      <c r="AQ114" s="107" t="n">
        <v>0.39</v>
      </c>
      <c r="AR114" s="107" t="inlineStr">
        <is>
          <t>Distress</t>
        </is>
      </c>
      <c r="AS114" s="108" t="n">
        <v>-0.07000000000000001</v>
      </c>
      <c r="AT114" s="108" t="n">
        <v>0.07000000000000001</v>
      </c>
      <c r="AU114" s="108" t="n">
        <v>0.05</v>
      </c>
      <c r="AV114" s="108" t="n">
        <v>0.31</v>
      </c>
      <c r="AW114" s="107" t="n">
        <v>0.44</v>
      </c>
      <c r="AX114" s="107" t="inlineStr">
        <is>
          <t>Distress</t>
        </is>
      </c>
      <c r="AY114" s="108" t="n">
        <v>-0.07000000000000001</v>
      </c>
      <c r="AZ114" s="108" t="n">
        <v>0.05</v>
      </c>
      <c r="BA114" s="108" t="n">
        <v>0.3</v>
      </c>
      <c r="BB114" s="108" t="n">
        <v>0.08</v>
      </c>
      <c r="BC114" s="107" t="n">
        <v>0.32</v>
      </c>
      <c r="BD114" s="107" t="inlineStr">
        <is>
          <t>Distress</t>
        </is>
      </c>
      <c r="BE114" s="108" t="n">
        <v>0.03</v>
      </c>
      <c r="BF114" s="108" t="n">
        <v>1</v>
      </c>
      <c r="BG114" s="108" t="n">
        <v>0.46</v>
      </c>
      <c r="BH114" s="108" t="n">
        <v>1.2</v>
      </c>
      <c r="BI114" s="107" t="n">
        <v>0.77</v>
      </c>
      <c r="BJ114" s="107" t="inlineStr">
        <is>
          <t>Distress</t>
        </is>
      </c>
      <c r="BK114" s="107" t="n">
        <v>1</v>
      </c>
      <c r="BL114" s="107" t="n">
        <v>1</v>
      </c>
      <c r="BM114" s="107" t="n">
        <v>0</v>
      </c>
      <c r="BN114" s="107" t="n">
        <v>1</v>
      </c>
      <c r="BO114" s="107" t="n">
        <v>0</v>
      </c>
      <c r="BP114" s="107" t="n">
        <v>1</v>
      </c>
      <c r="BQ114" s="107" t="n">
        <v>0</v>
      </c>
      <c r="BR114" s="107" t="n">
        <v>1</v>
      </c>
      <c r="BS114" s="107" t="n">
        <v>1</v>
      </c>
      <c r="BT114" s="107" t="n">
        <v>6</v>
      </c>
      <c r="BU114" s="107" t="inlineStr">
        <is>
          <t>Mixed</t>
        </is>
      </c>
      <c r="BV114" s="108" t="n">
        <v>0.23</v>
      </c>
      <c r="BW114" s="108" t="n">
        <v>36.85</v>
      </c>
      <c r="BX114" s="108" t="n">
        <v>0.9399999999999999</v>
      </c>
      <c r="BY114" s="108" t="n">
        <v>4.12</v>
      </c>
      <c r="BZ114" s="108" t="n">
        <v>0.95</v>
      </c>
      <c r="CA114" s="111" t="inlineStr">
        <is>
          <t>N/A</t>
        </is>
      </c>
      <c r="CB114" s="108" t="n">
        <v>1</v>
      </c>
      <c r="CC114" s="108" t="n">
        <v>-0.03</v>
      </c>
      <c r="CD114" s="107" t="n">
        <v>18.54</v>
      </c>
      <c r="CE114" s="107" t="inlineStr">
        <is>
          <t>Higher Risk</t>
        </is>
      </c>
      <c r="CF114" s="108" t="n">
        <v>4.02</v>
      </c>
      <c r="CG114" s="108" t="n">
        <v>43.19</v>
      </c>
      <c r="CH114" s="107" t="n">
        <v>20</v>
      </c>
      <c r="CI114" s="107" t="inlineStr">
        <is>
          <t>CLEAR</t>
        </is>
      </c>
    </row>
    <row r="115" ht="17" customHeight="1">
      <c r="A115" s="103" t="inlineStr">
        <is>
          <t>ESNT</t>
        </is>
      </c>
      <c r="B115" s="103" t="inlineStr">
        <is>
          <t>ESSENT GROUP LTD.</t>
        </is>
      </c>
      <c r="C115" s="113" t="inlineStr">
        <is>
          <t>N/A</t>
        </is>
      </c>
      <c r="D115" s="105" t="n">
        <v>0.65</v>
      </c>
      <c r="E115" s="105" t="n">
        <v>0.65</v>
      </c>
      <c r="F115" s="105" t="n">
        <v>0.55</v>
      </c>
      <c r="G115" s="105" t="n">
        <v>0.09</v>
      </c>
      <c r="H115" s="105" t="n">
        <v>0.1</v>
      </c>
      <c r="I115" s="105" t="n">
        <v>0.12</v>
      </c>
      <c r="J115" s="113" t="inlineStr">
        <is>
          <t>N/A</t>
        </is>
      </c>
      <c r="K115" s="105" t="n">
        <v>0.65</v>
      </c>
      <c r="L115" s="105" t="n">
        <v>0.6899999999999999</v>
      </c>
      <c r="M115" s="105" t="n">
        <v>0.17</v>
      </c>
      <c r="N115" s="104" t="n">
        <v>0.17</v>
      </c>
      <c r="O115" s="113" t="inlineStr">
        <is>
          <t>N/A</t>
        </is>
      </c>
      <c r="P115" s="113" t="inlineStr">
        <is>
          <t>N/A</t>
        </is>
      </c>
      <c r="Q115" s="113" t="inlineStr">
        <is>
          <t>N/A</t>
        </is>
      </c>
      <c r="R115" s="113" t="inlineStr">
        <is>
          <t>N/A</t>
        </is>
      </c>
      <c r="S115" s="104" t="n">
        <v>0.23</v>
      </c>
      <c r="T115" s="104" t="n">
        <v>0.21</v>
      </c>
      <c r="U115" s="113" t="inlineStr">
        <is>
          <t>N/A</t>
        </is>
      </c>
      <c r="V115" s="113" t="inlineStr">
        <is>
          <t>N/A</t>
        </is>
      </c>
      <c r="W115" s="104" t="n">
        <v>1.24</v>
      </c>
      <c r="X115" s="105" t="n">
        <v>0.67</v>
      </c>
      <c r="Y115" s="105" t="n">
        <v>0</v>
      </c>
      <c r="Z115" s="105" t="n">
        <v>27.27</v>
      </c>
      <c r="AA115" s="105" t="n">
        <v>0.01</v>
      </c>
      <c r="AB115" s="105" t="n">
        <v>-0.05</v>
      </c>
      <c r="AC115" s="104" t="n">
        <v>-0.02</v>
      </c>
      <c r="AD115" s="104" t="n">
        <v>-0.02</v>
      </c>
      <c r="AE115" s="113" t="inlineStr">
        <is>
          <t>N/A</t>
        </is>
      </c>
      <c r="AF115" s="104" t="n">
        <v>0.71</v>
      </c>
      <c r="AG115" s="104" t="n">
        <v>0.11</v>
      </c>
      <c r="AH115" s="104" t="n">
        <v>3.42</v>
      </c>
      <c r="AI115" s="104" t="n">
        <v>0.17</v>
      </c>
      <c r="AJ115" s="113" t="inlineStr">
        <is>
          <t>N/A</t>
        </is>
      </c>
      <c r="AK115" s="113" t="inlineStr">
        <is>
          <t>N/A</t>
        </is>
      </c>
      <c r="AL115" s="113" t="inlineStr">
        <is>
          <t>N/A</t>
        </is>
      </c>
      <c r="AM115" s="104" t="n">
        <v>0.71</v>
      </c>
      <c r="AN115" s="104" t="n">
        <v>0.11</v>
      </c>
      <c r="AO115" s="104" t="n">
        <v>3.42</v>
      </c>
      <c r="AP115" s="104" t="n">
        <v>0.17</v>
      </c>
      <c r="AQ115" s="113" t="inlineStr">
        <is>
          <t>N/A</t>
        </is>
      </c>
      <c r="AR115" s="113" t="inlineStr">
        <is>
          <t>N/A</t>
        </is>
      </c>
      <c r="AS115" s="113" t="inlineStr">
        <is>
          <t>N/A</t>
        </is>
      </c>
      <c r="AT115" s="104" t="n">
        <v>0.71</v>
      </c>
      <c r="AU115" s="104" t="n">
        <v>0.11</v>
      </c>
      <c r="AV115" s="104" t="n">
        <v>3.42</v>
      </c>
      <c r="AW115" s="113" t="inlineStr">
        <is>
          <t>N/A</t>
        </is>
      </c>
      <c r="AX115" s="113" t="inlineStr">
        <is>
          <t>N/A</t>
        </is>
      </c>
      <c r="AY115" s="113" t="inlineStr">
        <is>
          <t>N/A</t>
        </is>
      </c>
      <c r="AZ115" s="104" t="n">
        <v>0.11</v>
      </c>
      <c r="BA115" s="113" t="inlineStr">
        <is>
          <t>N/A</t>
        </is>
      </c>
      <c r="BB115" s="104" t="n">
        <v>0.17</v>
      </c>
      <c r="BC115" s="113" t="inlineStr">
        <is>
          <t>N/A</t>
        </is>
      </c>
      <c r="BD115" s="113" t="inlineStr">
        <is>
          <t>N/A</t>
        </is>
      </c>
      <c r="BE115" s="104" t="n">
        <v>0.09</v>
      </c>
      <c r="BF115" s="104" t="n">
        <v>0.23</v>
      </c>
      <c r="BG115" s="113" t="inlineStr">
        <is>
          <t>N/A</t>
        </is>
      </c>
      <c r="BH115" s="113" t="inlineStr">
        <is>
          <t>N/A</t>
        </is>
      </c>
      <c r="BI115" s="113" t="inlineStr">
        <is>
          <t>N/A</t>
        </is>
      </c>
      <c r="BJ115" s="113" t="inlineStr">
        <is>
          <t>N/A</t>
        </is>
      </c>
      <c r="BK115" s="103" t="n">
        <v>1</v>
      </c>
      <c r="BL115" s="103" t="n">
        <v>1</v>
      </c>
      <c r="BM115" s="103" t="n">
        <v>0</v>
      </c>
      <c r="BN115" s="103" t="n">
        <v>1</v>
      </c>
      <c r="BO115" s="103" t="n">
        <v>0</v>
      </c>
      <c r="BP115" s="103" t="n">
        <v>0</v>
      </c>
      <c r="BQ115" s="103" t="n">
        <v>1</v>
      </c>
      <c r="BR115" s="103" t="n">
        <v>0</v>
      </c>
      <c r="BS115" s="103" t="n">
        <v>0</v>
      </c>
      <c r="BT115" s="103" t="n">
        <v>4</v>
      </c>
      <c r="BU115" s="103" t="inlineStr">
        <is>
          <t>Mixed</t>
        </is>
      </c>
      <c r="BV115" s="104" t="n">
        <v>0.91</v>
      </c>
      <c r="BW115" s="104" t="n">
        <v>1.06</v>
      </c>
      <c r="BX115" s="104" t="n">
        <v>1</v>
      </c>
      <c r="BY115" s="104" t="n">
        <v>1.01</v>
      </c>
      <c r="BZ115" s="104" t="n">
        <v>2.03</v>
      </c>
      <c r="CA115" s="113" t="inlineStr">
        <is>
          <t>N/A</t>
        </is>
      </c>
      <c r="CB115" s="104" t="n">
        <v>1.07</v>
      </c>
      <c r="CC115" s="104" t="n">
        <v>-0.02</v>
      </c>
      <c r="CD115" s="103" t="n">
        <v>-2.36</v>
      </c>
      <c r="CE115" s="103" t="inlineStr">
        <is>
          <t>Lower Risk</t>
        </is>
      </c>
      <c r="CF115" s="113" t="inlineStr">
        <is>
          <t>N/A</t>
        </is>
      </c>
      <c r="CG115" s="104" t="n">
        <v>41.7</v>
      </c>
      <c r="CH115" s="103" t="n">
        <v>0</v>
      </c>
      <c r="CI115" s="103" t="inlineStr">
        <is>
          <t>CLEAR</t>
        </is>
      </c>
    </row>
    <row r="116" ht="17" customHeight="1">
      <c r="A116" s="107" t="inlineStr">
        <is>
          <t>EVRG</t>
        </is>
      </c>
      <c r="B116" s="107" t="inlineStr">
        <is>
          <t>EVERGY, INC.</t>
        </is>
      </c>
      <c r="C116" s="108" t="n">
        <v>-1880100000</v>
      </c>
      <c r="D116" s="109" t="n">
        <v>0.26</v>
      </c>
      <c r="E116" s="111" t="inlineStr">
        <is>
          <t>N/A</t>
        </is>
      </c>
      <c r="F116" s="109" t="n">
        <v>0.14</v>
      </c>
      <c r="G116" s="109" t="n">
        <v>0.03</v>
      </c>
      <c r="H116" s="109" t="n">
        <v>0.03</v>
      </c>
      <c r="I116" s="109" t="n">
        <v>0.08</v>
      </c>
      <c r="J116" s="109" t="n">
        <v>0.05</v>
      </c>
      <c r="K116" s="111" t="inlineStr">
        <is>
          <t>N/A</t>
        </is>
      </c>
      <c r="L116" s="111" t="inlineStr">
        <is>
          <t>N/A</t>
        </is>
      </c>
      <c r="M116" s="109" t="n">
        <v>0.18</v>
      </c>
      <c r="N116" s="108" t="n">
        <v>0.18</v>
      </c>
      <c r="O116" s="108" t="n">
        <v>0.49</v>
      </c>
      <c r="P116" s="108" t="n">
        <v>0.5</v>
      </c>
      <c r="Q116" s="108" t="n">
        <v>0.49</v>
      </c>
      <c r="R116" s="108" t="n">
        <v>0.01</v>
      </c>
      <c r="S116" s="108" t="n">
        <v>1</v>
      </c>
      <c r="T116" s="108" t="n">
        <v>1</v>
      </c>
      <c r="U116" s="108" t="n">
        <v>1.31</v>
      </c>
      <c r="V116" s="108" t="n">
        <v>1.31</v>
      </c>
      <c r="W116" s="108" t="n">
        <v>2.39</v>
      </c>
      <c r="X116" s="109" t="n">
        <v>-0.13</v>
      </c>
      <c r="Y116" s="109" t="n">
        <v>0</v>
      </c>
      <c r="Z116" s="109" t="n">
        <v>2.49</v>
      </c>
      <c r="AA116" s="109" t="n">
        <v>0.02</v>
      </c>
      <c r="AB116" s="109" t="n">
        <v>-0.02</v>
      </c>
      <c r="AC116" s="108" t="n">
        <v>-0.04</v>
      </c>
      <c r="AD116" s="108" t="n">
        <v>-0.04</v>
      </c>
      <c r="AE116" s="108" t="n">
        <v>-0.06</v>
      </c>
      <c r="AF116" s="108" t="n">
        <v>0.09</v>
      </c>
      <c r="AG116" s="108" t="n">
        <v>0.05</v>
      </c>
      <c r="AH116" s="108" t="n">
        <v>0.3</v>
      </c>
      <c r="AI116" s="108" t="n">
        <v>0.18</v>
      </c>
      <c r="AJ116" s="108" t="n">
        <v>0.5600000000000001</v>
      </c>
      <c r="AK116" s="112" t="inlineStr">
        <is>
          <t>Distress</t>
        </is>
      </c>
      <c r="AL116" s="108" t="n">
        <v>-0.06</v>
      </c>
      <c r="AM116" s="108" t="n">
        <v>0.09</v>
      </c>
      <c r="AN116" s="108" t="n">
        <v>0.05</v>
      </c>
      <c r="AO116" s="108" t="n">
        <v>0.3</v>
      </c>
      <c r="AP116" s="108" t="n">
        <v>0.18</v>
      </c>
      <c r="AQ116" s="107" t="n">
        <v>0.48</v>
      </c>
      <c r="AR116" s="107" t="inlineStr">
        <is>
          <t>Distress</t>
        </is>
      </c>
      <c r="AS116" s="108" t="n">
        <v>-0.06</v>
      </c>
      <c r="AT116" s="108" t="n">
        <v>0.09</v>
      </c>
      <c r="AU116" s="108" t="n">
        <v>0.05</v>
      </c>
      <c r="AV116" s="108" t="n">
        <v>0.3</v>
      </c>
      <c r="AW116" s="107" t="n">
        <v>0.54</v>
      </c>
      <c r="AX116" s="107" t="inlineStr">
        <is>
          <t>Distress</t>
        </is>
      </c>
      <c r="AY116" s="108" t="n">
        <v>-0.06</v>
      </c>
      <c r="AZ116" s="108" t="n">
        <v>0.05</v>
      </c>
      <c r="BA116" s="111" t="inlineStr">
        <is>
          <t>N/A</t>
        </is>
      </c>
      <c r="BB116" s="108" t="n">
        <v>0.18</v>
      </c>
      <c r="BC116" s="111" t="inlineStr">
        <is>
          <t>N/A</t>
        </is>
      </c>
      <c r="BD116" s="111" t="inlineStr">
        <is>
          <t>N/A</t>
        </is>
      </c>
      <c r="BE116" s="108" t="n">
        <v>0.03</v>
      </c>
      <c r="BF116" s="108" t="n">
        <v>1</v>
      </c>
      <c r="BG116" s="108" t="n">
        <v>0.49</v>
      </c>
      <c r="BH116" s="108" t="n">
        <v>1.23</v>
      </c>
      <c r="BI116" s="107" t="n">
        <v>0.77</v>
      </c>
      <c r="BJ116" s="107" t="inlineStr">
        <is>
          <t>Distress</t>
        </is>
      </c>
      <c r="BK116" s="107" t="n">
        <v>1</v>
      </c>
      <c r="BL116" s="107" t="n">
        <v>1</v>
      </c>
      <c r="BM116" s="107" t="n">
        <v>0</v>
      </c>
      <c r="BN116" s="107" t="n">
        <v>1</v>
      </c>
      <c r="BO116" s="107" t="n">
        <v>0</v>
      </c>
      <c r="BP116" s="107" t="n">
        <v>0</v>
      </c>
      <c r="BQ116" s="107" t="n">
        <v>1</v>
      </c>
      <c r="BR116" s="107" t="n">
        <v>0</v>
      </c>
      <c r="BS116" s="107" t="n">
        <v>0</v>
      </c>
      <c r="BT116" s="107" t="n">
        <v>4</v>
      </c>
      <c r="BU116" s="107" t="inlineStr">
        <is>
          <t>Mixed</t>
        </is>
      </c>
      <c r="BV116" s="108" t="n">
        <v>0.86</v>
      </c>
      <c r="BW116" s="111" t="inlineStr">
        <is>
          <t>N/A</t>
        </is>
      </c>
      <c r="BX116" s="108" t="n">
        <v>1.01</v>
      </c>
      <c r="BY116" s="108" t="n">
        <v>1.02</v>
      </c>
      <c r="BZ116" s="108" t="n">
        <v>1.01</v>
      </c>
      <c r="CA116" s="111" t="inlineStr">
        <is>
          <t>N/A</t>
        </is>
      </c>
      <c r="CB116" s="108" t="n">
        <v>1</v>
      </c>
      <c r="CC116" s="108" t="n">
        <v>-0.04</v>
      </c>
      <c r="CD116" s="111" t="inlineStr">
        <is>
          <t>N/A</t>
        </is>
      </c>
      <c r="CE116" s="111" t="inlineStr">
        <is>
          <t>N/A</t>
        </is>
      </c>
      <c r="CF116" s="108" t="n">
        <v>4.97</v>
      </c>
      <c r="CG116" s="108" t="n">
        <v>40.72</v>
      </c>
      <c r="CH116" s="107" t="n">
        <v>0</v>
      </c>
      <c r="CI116" s="107" t="inlineStr">
        <is>
          <t>CLEAR</t>
        </is>
      </c>
    </row>
    <row r="117" ht="17" customHeight="1">
      <c r="A117" s="103" t="inlineStr">
        <is>
          <t>SRE</t>
        </is>
      </c>
      <c r="B117" s="103" t="inlineStr">
        <is>
          <t>SEMPRA</t>
        </is>
      </c>
      <c r="C117" s="104" t="n">
        <v>12943000000</v>
      </c>
      <c r="D117" s="105" t="n">
        <v>0.13</v>
      </c>
      <c r="E117" s="105" t="n">
        <v>0.13</v>
      </c>
      <c r="F117" s="105" t="n">
        <v>0.13</v>
      </c>
      <c r="G117" s="105" t="n">
        <v>0.02</v>
      </c>
      <c r="H117" s="105" t="n">
        <v>0.03</v>
      </c>
      <c r="I117" s="105" t="n">
        <v>0.06</v>
      </c>
      <c r="J117" s="105" t="n">
        <v>0.02</v>
      </c>
      <c r="K117" s="113" t="inlineStr">
        <is>
          <t>N/A</t>
        </is>
      </c>
      <c r="L117" s="113" t="inlineStr">
        <is>
          <t>N/A</t>
        </is>
      </c>
      <c r="M117" s="105" t="n">
        <v>0.12</v>
      </c>
      <c r="N117" s="104" t="n">
        <v>0.14</v>
      </c>
      <c r="O117" s="104" t="n">
        <v>1.59</v>
      </c>
      <c r="P117" s="104" t="n">
        <v>0.55</v>
      </c>
      <c r="Q117" s="104" t="n">
        <v>1.57</v>
      </c>
      <c r="R117" s="104" t="n">
        <v>0</v>
      </c>
      <c r="S117" s="104" t="n">
        <v>1</v>
      </c>
      <c r="T117" s="104" t="n">
        <v>1</v>
      </c>
      <c r="U117" s="104" t="n">
        <v>0.13</v>
      </c>
      <c r="V117" s="104" t="n">
        <v>0.13</v>
      </c>
      <c r="W117" s="104" t="n">
        <v>2.49</v>
      </c>
      <c r="X117" s="105" t="n">
        <v>-0.44</v>
      </c>
      <c r="Y117" s="105" t="n">
        <v>0</v>
      </c>
      <c r="Z117" s="105" t="n">
        <v>1.37</v>
      </c>
      <c r="AA117" s="105" t="n">
        <v>0.04</v>
      </c>
      <c r="AB117" s="105" t="n">
        <v>-0.36</v>
      </c>
      <c r="AC117" s="104" t="n">
        <v>-0.02</v>
      </c>
      <c r="AD117" s="104" t="n">
        <v>-0.02</v>
      </c>
      <c r="AE117" s="104" t="n">
        <v>0.12</v>
      </c>
      <c r="AF117" s="104" t="n">
        <v>0.15</v>
      </c>
      <c r="AG117" s="104" t="n">
        <v>0.02</v>
      </c>
      <c r="AH117" s="104" t="n">
        <v>0.28</v>
      </c>
      <c r="AI117" s="104" t="n">
        <v>0.12</v>
      </c>
      <c r="AJ117" s="104" t="n">
        <v>0.7</v>
      </c>
      <c r="AK117" s="112" t="inlineStr">
        <is>
          <t>Distress</t>
        </is>
      </c>
      <c r="AL117" s="104" t="n">
        <v>0.12</v>
      </c>
      <c r="AM117" s="104" t="n">
        <v>0.15</v>
      </c>
      <c r="AN117" s="104" t="n">
        <v>0.02</v>
      </c>
      <c r="AO117" s="104" t="n">
        <v>0.28</v>
      </c>
      <c r="AP117" s="104" t="n">
        <v>0.12</v>
      </c>
      <c r="AQ117" s="103" t="n">
        <v>0.51</v>
      </c>
      <c r="AR117" s="103" t="inlineStr">
        <is>
          <t>Distress</t>
        </is>
      </c>
      <c r="AS117" s="104" t="n">
        <v>0.12</v>
      </c>
      <c r="AT117" s="104" t="n">
        <v>0.15</v>
      </c>
      <c r="AU117" s="104" t="n">
        <v>0.02</v>
      </c>
      <c r="AV117" s="104" t="n">
        <v>0.28</v>
      </c>
      <c r="AW117" s="103" t="n">
        <v>1.68</v>
      </c>
      <c r="AX117" s="103" t="inlineStr">
        <is>
          <t>Grey</t>
        </is>
      </c>
      <c r="AY117" s="104" t="n">
        <v>0.12</v>
      </c>
      <c r="AZ117" s="104" t="n">
        <v>0.02</v>
      </c>
      <c r="BA117" s="104" t="n">
        <v>0.08</v>
      </c>
      <c r="BB117" s="104" t="n">
        <v>0.12</v>
      </c>
      <c r="BC117" s="103" t="n">
        <v>0.27</v>
      </c>
      <c r="BD117" s="103" t="inlineStr">
        <is>
          <t>Distress</t>
        </is>
      </c>
      <c r="BE117" s="104" t="n">
        <v>0.02</v>
      </c>
      <c r="BF117" s="104" t="n">
        <v>1</v>
      </c>
      <c r="BG117" s="104" t="n">
        <v>1.59</v>
      </c>
      <c r="BH117" s="104" t="n">
        <v>1.27</v>
      </c>
      <c r="BI117" s="103" t="n">
        <v>0.78</v>
      </c>
      <c r="BJ117" s="103" t="inlineStr">
        <is>
          <t>Distress</t>
        </is>
      </c>
      <c r="BK117" s="103" t="n">
        <v>1</v>
      </c>
      <c r="BL117" s="103" t="n">
        <v>1</v>
      </c>
      <c r="BM117" s="103" t="n">
        <v>0</v>
      </c>
      <c r="BN117" s="103" t="n">
        <v>1</v>
      </c>
      <c r="BO117" s="103" t="n">
        <v>0</v>
      </c>
      <c r="BP117" s="103" t="n">
        <v>1</v>
      </c>
      <c r="BQ117" s="103" t="n">
        <v>0</v>
      </c>
      <c r="BR117" s="103" t="n">
        <v>0</v>
      </c>
      <c r="BS117" s="103" t="n">
        <v>0</v>
      </c>
      <c r="BT117" s="103" t="n">
        <v>4</v>
      </c>
      <c r="BU117" s="103" t="inlineStr">
        <is>
          <t>Mixed</t>
        </is>
      </c>
      <c r="BV117" s="104" t="n">
        <v>0.86</v>
      </c>
      <c r="BW117" s="113" t="inlineStr">
        <is>
          <t>N/A</t>
        </is>
      </c>
      <c r="BX117" s="104" t="n">
        <v>0.52</v>
      </c>
      <c r="BY117" s="104" t="n">
        <v>1.04</v>
      </c>
      <c r="BZ117" s="104" t="n">
        <v>1.03</v>
      </c>
      <c r="CA117" s="113" t="inlineStr">
        <is>
          <t>N/A</t>
        </is>
      </c>
      <c r="CB117" s="104" t="n">
        <v>1</v>
      </c>
      <c r="CC117" s="104" t="n">
        <v>-0.02</v>
      </c>
      <c r="CD117" s="113" t="inlineStr">
        <is>
          <t>N/A</t>
        </is>
      </c>
      <c r="CE117" s="113" t="inlineStr">
        <is>
          <t>N/A</t>
        </is>
      </c>
      <c r="CF117" s="104" t="n">
        <v>0.95</v>
      </c>
      <c r="CG117" s="104" t="n">
        <v>40.83</v>
      </c>
      <c r="CH117" s="103" t="n">
        <v>0</v>
      </c>
      <c r="CI117" s="103" t="inlineStr">
        <is>
          <t>CLEAR</t>
        </is>
      </c>
    </row>
    <row r="118" ht="17" customHeight="1">
      <c r="A118" s="107" t="inlineStr">
        <is>
          <t>RJF</t>
        </is>
      </c>
      <c r="B118" s="107" t="inlineStr">
        <is>
          <t>RAYMOND JAMES FINANCIAL INC</t>
        </is>
      </c>
      <c r="C118" s="111" t="inlineStr">
        <is>
          <t>N/A</t>
        </is>
      </c>
      <c r="D118" s="109" t="n">
        <v>0.14</v>
      </c>
      <c r="E118" s="109" t="n">
        <v>0.14</v>
      </c>
      <c r="F118" s="109" t="n">
        <v>0.13</v>
      </c>
      <c r="G118" s="109" t="n">
        <v>0.02</v>
      </c>
      <c r="H118" s="109" t="n">
        <v>0.02</v>
      </c>
      <c r="I118" s="109" t="n">
        <v>0.17</v>
      </c>
      <c r="J118" s="111" t="inlineStr">
        <is>
          <t>N/A</t>
        </is>
      </c>
      <c r="K118" s="109" t="n">
        <v>0.16</v>
      </c>
      <c r="L118" s="109" t="n">
        <v>0.16</v>
      </c>
      <c r="M118" s="109" t="n">
        <v>0.18</v>
      </c>
      <c r="N118" s="108" t="n">
        <v>0.18</v>
      </c>
      <c r="O118" s="111" t="inlineStr">
        <is>
          <t>N/A</t>
        </is>
      </c>
      <c r="P118" s="111" t="inlineStr">
        <is>
          <t>N/A</t>
        </is>
      </c>
      <c r="Q118" s="111" t="inlineStr">
        <is>
          <t>N/A</t>
        </is>
      </c>
      <c r="R118" s="111" t="inlineStr">
        <is>
          <t>N/A</t>
        </is>
      </c>
      <c r="S118" s="108" t="n">
        <v>0.86</v>
      </c>
      <c r="T118" s="108" t="n">
        <v>0.86</v>
      </c>
      <c r="U118" s="108" t="n">
        <v>0.1</v>
      </c>
      <c r="V118" s="108" t="n">
        <v>-0.82</v>
      </c>
      <c r="W118" s="108" t="n">
        <v>1.14</v>
      </c>
      <c r="X118" s="109" t="n">
        <v>0.14</v>
      </c>
      <c r="Y118" s="109" t="n">
        <v>0</v>
      </c>
      <c r="Z118" s="109" t="n">
        <v>1.66</v>
      </c>
      <c r="AA118" s="109" t="n">
        <v>0.07000000000000001</v>
      </c>
      <c r="AB118" s="109" t="n">
        <v>0.03</v>
      </c>
      <c r="AC118" s="108" t="n">
        <v>-0</v>
      </c>
      <c r="AD118" s="108" t="n">
        <v>-0</v>
      </c>
      <c r="AE118" s="111" t="inlineStr">
        <is>
          <t>N/A</t>
        </is>
      </c>
      <c r="AF118" s="108" t="n">
        <v>0.15</v>
      </c>
      <c r="AG118" s="108" t="n">
        <v>0.03</v>
      </c>
      <c r="AH118" s="108" t="n">
        <v>0.17</v>
      </c>
      <c r="AI118" s="108" t="n">
        <v>0.18</v>
      </c>
      <c r="AJ118" s="111" t="inlineStr">
        <is>
          <t>N/A</t>
        </is>
      </c>
      <c r="AK118" s="111" t="inlineStr">
        <is>
          <t>N/A</t>
        </is>
      </c>
      <c r="AL118" s="111" t="inlineStr">
        <is>
          <t>N/A</t>
        </is>
      </c>
      <c r="AM118" s="108" t="n">
        <v>0.15</v>
      </c>
      <c r="AN118" s="108" t="n">
        <v>0.03</v>
      </c>
      <c r="AO118" s="108" t="n">
        <v>0.17</v>
      </c>
      <c r="AP118" s="108" t="n">
        <v>0.18</v>
      </c>
      <c r="AQ118" s="111" t="inlineStr">
        <is>
          <t>N/A</t>
        </is>
      </c>
      <c r="AR118" s="111" t="inlineStr">
        <is>
          <t>N/A</t>
        </is>
      </c>
      <c r="AS118" s="111" t="inlineStr">
        <is>
          <t>N/A</t>
        </is>
      </c>
      <c r="AT118" s="108" t="n">
        <v>0.15</v>
      </c>
      <c r="AU118" s="108" t="n">
        <v>0.03</v>
      </c>
      <c r="AV118" s="108" t="n">
        <v>0.17</v>
      </c>
      <c r="AW118" s="111" t="inlineStr">
        <is>
          <t>N/A</t>
        </is>
      </c>
      <c r="AX118" s="111" t="inlineStr">
        <is>
          <t>N/A</t>
        </is>
      </c>
      <c r="AY118" s="111" t="inlineStr">
        <is>
          <t>N/A</t>
        </is>
      </c>
      <c r="AZ118" s="108" t="n">
        <v>0.03</v>
      </c>
      <c r="BA118" s="111" t="inlineStr">
        <is>
          <t>N/A</t>
        </is>
      </c>
      <c r="BB118" s="108" t="n">
        <v>0.18</v>
      </c>
      <c r="BC118" s="111" t="inlineStr">
        <is>
          <t>N/A</t>
        </is>
      </c>
      <c r="BD118" s="111" t="inlineStr">
        <is>
          <t>N/A</t>
        </is>
      </c>
      <c r="BE118" s="108" t="n">
        <v>0.02</v>
      </c>
      <c r="BF118" s="108" t="n">
        <v>0.86</v>
      </c>
      <c r="BG118" s="111" t="inlineStr">
        <is>
          <t>N/A</t>
        </is>
      </c>
      <c r="BH118" s="111" t="inlineStr">
        <is>
          <t>N/A</t>
        </is>
      </c>
      <c r="BI118" s="111" t="inlineStr">
        <is>
          <t>N/A</t>
        </is>
      </c>
      <c r="BJ118" s="111" t="inlineStr">
        <is>
          <t>N/A</t>
        </is>
      </c>
      <c r="BK118" s="107" t="n">
        <v>1</v>
      </c>
      <c r="BL118" s="107" t="n">
        <v>1</v>
      </c>
      <c r="BM118" s="107" t="n">
        <v>0</v>
      </c>
      <c r="BN118" s="107" t="n">
        <v>1</v>
      </c>
      <c r="BO118" s="107" t="n">
        <v>1</v>
      </c>
      <c r="BP118" s="107" t="n">
        <v>0</v>
      </c>
      <c r="BQ118" s="107" t="n">
        <v>1</v>
      </c>
      <c r="BR118" s="107" t="n">
        <v>1</v>
      </c>
      <c r="BS118" s="107" t="n">
        <v>1</v>
      </c>
      <c r="BT118" s="107" t="n">
        <v>7</v>
      </c>
      <c r="BU118" s="107" t="inlineStr">
        <is>
          <t>Strong</t>
        </is>
      </c>
      <c r="BV118" s="111" t="inlineStr">
        <is>
          <t>N/A</t>
        </is>
      </c>
      <c r="BW118" s="111" t="inlineStr">
        <is>
          <t>N/A</t>
        </is>
      </c>
      <c r="BX118" s="108" t="n">
        <v>1</v>
      </c>
      <c r="BY118" s="108" t="n">
        <v>1.07</v>
      </c>
      <c r="BZ118" s="108" t="n">
        <v>0.93</v>
      </c>
      <c r="CA118" s="111" t="inlineStr">
        <is>
          <t>N/A</t>
        </is>
      </c>
      <c r="CB118" s="108" t="n">
        <v>1</v>
      </c>
      <c r="CC118" s="108" t="n">
        <v>-0</v>
      </c>
      <c r="CD118" s="111" t="inlineStr">
        <is>
          <t>N/A</t>
        </is>
      </c>
      <c r="CE118" s="111" t="inlineStr">
        <is>
          <t>N/A</t>
        </is>
      </c>
      <c r="CF118" s="108" t="n">
        <v>-4.29</v>
      </c>
      <c r="CG118" s="108" t="n">
        <v>50.72</v>
      </c>
      <c r="CH118" s="107" t="n">
        <v>0</v>
      </c>
      <c r="CI118" s="107" t="inlineStr">
        <is>
          <t>CLEAR</t>
        </is>
      </c>
    </row>
    <row r="119" ht="17" customHeight="1">
      <c r="A119" s="103" t="inlineStr">
        <is>
          <t>NCLH</t>
        </is>
      </c>
      <c r="B119" s="103" t="inlineStr">
        <is>
          <t>NORWEGIAN CRUISE LINE HOLDINGS LTD.</t>
        </is>
      </c>
      <c r="C119" s="104" t="n">
        <v>-4314036000</v>
      </c>
      <c r="D119" s="105" t="n">
        <v>0.29</v>
      </c>
      <c r="E119" s="105" t="n">
        <v>0.08</v>
      </c>
      <c r="F119" s="105" t="n">
        <v>0.08</v>
      </c>
      <c r="G119" s="105" t="n">
        <v>0.02</v>
      </c>
      <c r="H119" s="105" t="n">
        <v>0.05</v>
      </c>
      <c r="I119" s="105" t="n">
        <v>0.19</v>
      </c>
      <c r="J119" s="105" t="n">
        <v>0.09</v>
      </c>
      <c r="K119" s="105" t="n">
        <v>-0.05</v>
      </c>
      <c r="L119" s="105" t="n">
        <v>-3.55</v>
      </c>
      <c r="M119" s="105" t="n">
        <v>0.24</v>
      </c>
      <c r="N119" s="104" t="n">
        <v>0.06</v>
      </c>
      <c r="O119" s="104" t="n">
        <v>0.21</v>
      </c>
      <c r="P119" s="104" t="n">
        <v>0.17</v>
      </c>
      <c r="Q119" s="104" t="n">
        <v>0.18</v>
      </c>
      <c r="R119" s="104" t="n">
        <v>0.04</v>
      </c>
      <c r="S119" s="104" t="n">
        <v>0.9</v>
      </c>
      <c r="T119" s="104" t="n">
        <v>0.93</v>
      </c>
      <c r="U119" s="104" t="n">
        <v>0.7</v>
      </c>
      <c r="V119" s="104" t="n">
        <v>0.61</v>
      </c>
      <c r="W119" s="104" t="n">
        <v>4.94</v>
      </c>
      <c r="X119" s="105" t="n">
        <v>-0.22</v>
      </c>
      <c r="Y119" s="113" t="inlineStr">
        <is>
          <t>N/A</t>
        </is>
      </c>
      <c r="Z119" s="105" t="n">
        <v>2.15</v>
      </c>
      <c r="AA119" s="105" t="n">
        <v>3.32</v>
      </c>
      <c r="AB119" s="105" t="n">
        <v>-0.54</v>
      </c>
      <c r="AC119" s="104" t="n">
        <v>-0.07000000000000001</v>
      </c>
      <c r="AD119" s="104" t="n">
        <v>-0.07000000000000001</v>
      </c>
      <c r="AE119" s="104" t="n">
        <v>-0.19</v>
      </c>
      <c r="AF119" s="104" t="n">
        <v>-0.25</v>
      </c>
      <c r="AG119" s="104" t="n">
        <v>0.07000000000000001</v>
      </c>
      <c r="AH119" s="104" t="n">
        <v>0.11</v>
      </c>
      <c r="AI119" s="104" t="n">
        <v>0.24</v>
      </c>
      <c r="AJ119" s="104" t="n">
        <v>-0.04</v>
      </c>
      <c r="AK119" s="112" t="inlineStr">
        <is>
          <t>Distress</t>
        </is>
      </c>
      <c r="AL119" s="104" t="n">
        <v>-0.19</v>
      </c>
      <c r="AM119" s="104" t="n">
        <v>-0.25</v>
      </c>
      <c r="AN119" s="104" t="n">
        <v>0.07000000000000001</v>
      </c>
      <c r="AO119" s="104" t="n">
        <v>0.11</v>
      </c>
      <c r="AP119" s="104" t="n">
        <v>0.24</v>
      </c>
      <c r="AQ119" s="103" t="n">
        <v>0.15</v>
      </c>
      <c r="AR119" s="103" t="inlineStr">
        <is>
          <t>Distress</t>
        </is>
      </c>
      <c r="AS119" s="104" t="n">
        <v>-0.19</v>
      </c>
      <c r="AT119" s="104" t="n">
        <v>-0.25</v>
      </c>
      <c r="AU119" s="104" t="n">
        <v>0.07000000000000001</v>
      </c>
      <c r="AV119" s="104" t="n">
        <v>0.11</v>
      </c>
      <c r="AW119" s="103" t="n">
        <v>-1.48</v>
      </c>
      <c r="AX119" s="103" t="inlineStr">
        <is>
          <t>Distress</t>
        </is>
      </c>
      <c r="AY119" s="104" t="n">
        <v>-0.19</v>
      </c>
      <c r="AZ119" s="104" t="n">
        <v>0.07000000000000001</v>
      </c>
      <c r="BA119" s="104" t="n">
        <v>0.08</v>
      </c>
      <c r="BB119" s="104" t="n">
        <v>0.24</v>
      </c>
      <c r="BC119" s="103" t="n">
        <v>0.16</v>
      </c>
      <c r="BD119" s="103" t="inlineStr">
        <is>
          <t>Distress</t>
        </is>
      </c>
      <c r="BE119" s="104" t="n">
        <v>0.02</v>
      </c>
      <c r="BF119" s="104" t="n">
        <v>0.9</v>
      </c>
      <c r="BG119" s="104" t="n">
        <v>0.21</v>
      </c>
      <c r="BH119" s="104" t="n">
        <v>0.7</v>
      </c>
      <c r="BI119" s="103" t="n">
        <v>0.67</v>
      </c>
      <c r="BJ119" s="103" t="inlineStr">
        <is>
          <t>Distress</t>
        </is>
      </c>
      <c r="BK119" s="103" t="n">
        <v>1</v>
      </c>
      <c r="BL119" s="103" t="n">
        <v>1</v>
      </c>
      <c r="BM119" s="103" t="n">
        <v>0</v>
      </c>
      <c r="BN119" s="103" t="n">
        <v>1</v>
      </c>
      <c r="BO119" s="103" t="n">
        <v>1</v>
      </c>
      <c r="BP119" s="103" t="n">
        <v>1</v>
      </c>
      <c r="BQ119" s="103" t="n">
        <v>0</v>
      </c>
      <c r="BR119" s="103" t="n">
        <v>1</v>
      </c>
      <c r="BS119" s="103" t="n">
        <v>1</v>
      </c>
      <c r="BT119" s="103" t="n">
        <v>7</v>
      </c>
      <c r="BU119" s="103" t="inlineStr">
        <is>
          <t>Strong</t>
        </is>
      </c>
      <c r="BV119" s="104" t="n">
        <v>0.31</v>
      </c>
      <c r="BW119" s="104" t="n">
        <v>78.89</v>
      </c>
      <c r="BX119" s="104" t="n">
        <v>0.96</v>
      </c>
      <c r="BY119" s="104" t="n">
        <v>4.32</v>
      </c>
      <c r="BZ119" s="104" t="n">
        <v>0.9399999999999999</v>
      </c>
      <c r="CA119" s="104" t="n">
        <v>0.25</v>
      </c>
      <c r="CB119" s="104" t="n">
        <v>0.97</v>
      </c>
      <c r="CC119" s="104" t="n">
        <v>-0.07000000000000001</v>
      </c>
      <c r="CD119" s="103" t="n">
        <v>40.74</v>
      </c>
      <c r="CE119" s="103" t="inlineStr">
        <is>
          <t>Higher Risk</t>
        </is>
      </c>
      <c r="CF119" s="104" t="n">
        <v>0.51</v>
      </c>
      <c r="CG119" s="104" t="n">
        <v>46.26</v>
      </c>
      <c r="CH119" s="103" t="n">
        <v>20</v>
      </c>
      <c r="CI119" s="103" t="inlineStr">
        <is>
          <t>CLEAR</t>
        </is>
      </c>
    </row>
    <row r="120" ht="17" customHeight="1">
      <c r="A120" s="107" t="inlineStr">
        <is>
          <t>GLW</t>
        </is>
      </c>
      <c r="B120" s="107" t="inlineStr">
        <is>
          <t>CORNING INC /NY</t>
        </is>
      </c>
      <c r="C120" s="108" t="n">
        <v>3308000000</v>
      </c>
      <c r="D120" s="109" t="n">
        <v>0.15</v>
      </c>
      <c r="E120" s="109" t="n">
        <v>0.13</v>
      </c>
      <c r="F120" s="109" t="n">
        <v>0.1</v>
      </c>
      <c r="G120" s="109" t="n">
        <v>0.05</v>
      </c>
      <c r="H120" s="109" t="n">
        <v>0.02</v>
      </c>
      <c r="I120" s="109" t="n">
        <v>0.14</v>
      </c>
      <c r="J120" s="109" t="n">
        <v>0.09</v>
      </c>
      <c r="K120" s="109" t="n">
        <v>0.36</v>
      </c>
      <c r="L120" s="109" t="n">
        <v>0.33</v>
      </c>
      <c r="M120" s="109" t="n">
        <v>0.5</v>
      </c>
      <c r="N120" s="108" t="n">
        <v>0.47</v>
      </c>
      <c r="O120" s="108" t="n">
        <v>1.59</v>
      </c>
      <c r="P120" s="108" t="n">
        <v>1.62</v>
      </c>
      <c r="Q120" s="108" t="n">
        <v>1.04</v>
      </c>
      <c r="R120" s="108" t="n">
        <v>0.27</v>
      </c>
      <c r="S120" s="108" t="n">
        <v>0.6</v>
      </c>
      <c r="T120" s="108" t="n">
        <v>0.6</v>
      </c>
      <c r="U120" s="108" t="n">
        <v>0.3</v>
      </c>
      <c r="V120" s="108" t="n">
        <v>0.17</v>
      </c>
      <c r="W120" s="108" t="n">
        <v>1.69</v>
      </c>
      <c r="X120" s="109" t="n">
        <v>0.09</v>
      </c>
      <c r="Y120" s="109" t="n">
        <v>0.05</v>
      </c>
      <c r="Z120" s="109" t="n">
        <v>7.33</v>
      </c>
      <c r="AA120" s="109" t="n">
        <v>0.19</v>
      </c>
      <c r="AB120" s="109" t="n">
        <v>2.15</v>
      </c>
      <c r="AC120" s="108" t="n">
        <v>-0.04</v>
      </c>
      <c r="AD120" s="108" t="n">
        <v>-0.04</v>
      </c>
      <c r="AE120" s="108" t="n">
        <v>0.11</v>
      </c>
      <c r="AF120" s="108" t="n">
        <v>0.53</v>
      </c>
      <c r="AG120" s="108" t="n">
        <v>0.07000000000000001</v>
      </c>
      <c r="AH120" s="108" t="n">
        <v>0.63</v>
      </c>
      <c r="AI120" s="108" t="n">
        <v>0.5</v>
      </c>
      <c r="AJ120" s="108" t="n">
        <v>2</v>
      </c>
      <c r="AK120" s="106" t="inlineStr">
        <is>
          <t>Grey</t>
        </is>
      </c>
      <c r="AL120" s="108" t="n">
        <v>0.11</v>
      </c>
      <c r="AM120" s="108" t="n">
        <v>0.53</v>
      </c>
      <c r="AN120" s="108" t="n">
        <v>0.07000000000000001</v>
      </c>
      <c r="AO120" s="108" t="n">
        <v>0.63</v>
      </c>
      <c r="AP120" s="108" t="n">
        <v>0.5</v>
      </c>
      <c r="AQ120" s="107" t="n">
        <v>1.53</v>
      </c>
      <c r="AR120" s="107" t="inlineStr">
        <is>
          <t>Grey</t>
        </is>
      </c>
      <c r="AS120" s="108" t="n">
        <v>0.11</v>
      </c>
      <c r="AT120" s="108" t="n">
        <v>0.53</v>
      </c>
      <c r="AU120" s="108" t="n">
        <v>0.07000000000000001</v>
      </c>
      <c r="AV120" s="108" t="n">
        <v>0.63</v>
      </c>
      <c r="AW120" s="107" t="n">
        <v>3.6</v>
      </c>
      <c r="AX120" s="107" t="inlineStr">
        <is>
          <t>Safe</t>
        </is>
      </c>
      <c r="AY120" s="108" t="n">
        <v>0.11</v>
      </c>
      <c r="AZ120" s="108" t="n">
        <v>0.07000000000000001</v>
      </c>
      <c r="BA120" s="108" t="n">
        <v>0.36</v>
      </c>
      <c r="BB120" s="108" t="n">
        <v>0.5</v>
      </c>
      <c r="BC120" s="107" t="n">
        <v>0.78</v>
      </c>
      <c r="BD120" s="107" t="inlineStr">
        <is>
          <t>Distress</t>
        </is>
      </c>
      <c r="BE120" s="108" t="n">
        <v>0.05</v>
      </c>
      <c r="BF120" s="108" t="n">
        <v>0.6</v>
      </c>
      <c r="BG120" s="108" t="n">
        <v>1.59</v>
      </c>
      <c r="BH120" s="108" t="n">
        <v>-1.14</v>
      </c>
      <c r="BI120" s="107" t="n">
        <v>0.24</v>
      </c>
      <c r="BJ120" s="107" t="inlineStr">
        <is>
          <t>Healthy</t>
        </is>
      </c>
      <c r="BK120" s="107" t="n">
        <v>1</v>
      </c>
      <c r="BL120" s="107" t="n">
        <v>1</v>
      </c>
      <c r="BM120" s="107" t="n">
        <v>1</v>
      </c>
      <c r="BN120" s="107" t="n">
        <v>1</v>
      </c>
      <c r="BO120" s="107" t="n">
        <v>0</v>
      </c>
      <c r="BP120" s="107" t="n">
        <v>0</v>
      </c>
      <c r="BQ120" s="107" t="n">
        <v>1</v>
      </c>
      <c r="BR120" s="107" t="n">
        <v>1</v>
      </c>
      <c r="BS120" s="107" t="n">
        <v>1</v>
      </c>
      <c r="BT120" s="107" t="n">
        <v>7</v>
      </c>
      <c r="BU120" s="107" t="inlineStr">
        <is>
          <t>Strong</t>
        </is>
      </c>
      <c r="BV120" s="108" t="n">
        <v>1.14</v>
      </c>
      <c r="BW120" s="108" t="n">
        <v>0.91</v>
      </c>
      <c r="BX120" s="108" t="n">
        <v>1.01</v>
      </c>
      <c r="BY120" s="108" t="n">
        <v>1.19</v>
      </c>
      <c r="BZ120" s="108" t="n">
        <v>1.09</v>
      </c>
      <c r="CA120" s="108" t="n">
        <v>0.92</v>
      </c>
      <c r="CB120" s="108" t="n">
        <v>1</v>
      </c>
      <c r="CC120" s="108" t="n">
        <v>-0.04</v>
      </c>
      <c r="CD120" s="107" t="n">
        <v>-2.37</v>
      </c>
      <c r="CE120" s="107" t="inlineStr">
        <is>
          <t>Lower Risk</t>
        </is>
      </c>
      <c r="CF120" s="108" t="n">
        <v>0.57</v>
      </c>
      <c r="CG120" s="108" t="n">
        <v>56.45</v>
      </c>
      <c r="CH120" s="107" t="n">
        <v>0</v>
      </c>
      <c r="CI120" s="107" t="inlineStr">
        <is>
          <t>CLEAR</t>
        </is>
      </c>
    </row>
    <row r="121" ht="17" customHeight="1">
      <c r="A121" s="103" t="inlineStr">
        <is>
          <t>AMCR</t>
        </is>
      </c>
      <c r="B121" s="103" t="inlineStr">
        <is>
          <t>AMCOR PLC</t>
        </is>
      </c>
      <c r="C121" s="104" t="n">
        <v>1447000000</v>
      </c>
      <c r="D121" s="105" t="n">
        <v>0.2</v>
      </c>
      <c r="E121" s="105" t="n">
        <v>0.13</v>
      </c>
      <c r="F121" s="105" t="n">
        <v>0.1</v>
      </c>
      <c r="G121" s="105" t="n">
        <v>0.01</v>
      </c>
      <c r="H121" s="105" t="n">
        <v>-0</v>
      </c>
      <c r="I121" s="105" t="n">
        <v>0.04</v>
      </c>
      <c r="J121" s="105" t="n">
        <v>0.03</v>
      </c>
      <c r="K121" s="105" t="n">
        <v>0.5600000000000001</v>
      </c>
      <c r="L121" s="105" t="n">
        <v>0.27</v>
      </c>
      <c r="M121" s="105" t="n">
        <v>0.14</v>
      </c>
      <c r="N121" s="104" t="n">
        <v>0.2</v>
      </c>
      <c r="O121" s="104" t="n">
        <v>1.21</v>
      </c>
      <c r="P121" s="104" t="n">
        <v>1.17</v>
      </c>
      <c r="Q121" s="104" t="n">
        <v>0.86</v>
      </c>
      <c r="R121" s="104" t="n">
        <v>0.12</v>
      </c>
      <c r="S121" s="104" t="n">
        <v>0.68</v>
      </c>
      <c r="T121" s="104" t="n">
        <v>0.76</v>
      </c>
      <c r="U121" s="104" t="n">
        <v>0.46</v>
      </c>
      <c r="V121" s="104" t="n">
        <v>0.39</v>
      </c>
      <c r="W121" s="104" t="n">
        <v>2.72</v>
      </c>
      <c r="X121" s="105" t="n">
        <v>0.21</v>
      </c>
      <c r="Y121" s="105" t="n">
        <v>0.02</v>
      </c>
      <c r="Z121" s="105" t="n">
        <v>2.55</v>
      </c>
      <c r="AA121" s="105" t="n">
        <v>0.52</v>
      </c>
      <c r="AB121" s="105" t="n">
        <v>-14.1</v>
      </c>
      <c r="AC121" s="104" t="n">
        <v>-0.02</v>
      </c>
      <c r="AD121" s="104" t="n">
        <v>-0.02</v>
      </c>
      <c r="AE121" s="104" t="n">
        <v>0.04</v>
      </c>
      <c r="AF121" s="104" t="n">
        <v>0.01</v>
      </c>
      <c r="AG121" s="104" t="n">
        <v>0.03</v>
      </c>
      <c r="AH121" s="104" t="n">
        <v>0.46</v>
      </c>
      <c r="AI121" s="104" t="n">
        <v>0.14</v>
      </c>
      <c r="AJ121" s="104" t="n">
        <v>0.57</v>
      </c>
      <c r="AK121" s="112" t="inlineStr">
        <is>
          <t>Distress</t>
        </is>
      </c>
      <c r="AL121" s="104" t="n">
        <v>0.04</v>
      </c>
      <c r="AM121" s="104" t="n">
        <v>0.01</v>
      </c>
      <c r="AN121" s="104" t="n">
        <v>0.03</v>
      </c>
      <c r="AO121" s="104" t="n">
        <v>0.46</v>
      </c>
      <c r="AP121" s="104" t="n">
        <v>0.14</v>
      </c>
      <c r="AQ121" s="103" t="n">
        <v>0.46</v>
      </c>
      <c r="AR121" s="103" t="inlineStr">
        <is>
          <t>Distress</t>
        </is>
      </c>
      <c r="AS121" s="104" t="n">
        <v>0.04</v>
      </c>
      <c r="AT121" s="104" t="n">
        <v>0.01</v>
      </c>
      <c r="AU121" s="104" t="n">
        <v>0.03</v>
      </c>
      <c r="AV121" s="104" t="n">
        <v>0.46</v>
      </c>
      <c r="AW121" s="103" t="n">
        <v>0.97</v>
      </c>
      <c r="AX121" s="103" t="inlineStr">
        <is>
          <t>Distress</t>
        </is>
      </c>
      <c r="AY121" s="104" t="n">
        <v>0.04</v>
      </c>
      <c r="AZ121" s="104" t="n">
        <v>0.03</v>
      </c>
      <c r="BA121" s="104" t="n">
        <v>0.09</v>
      </c>
      <c r="BB121" s="104" t="n">
        <v>0.14</v>
      </c>
      <c r="BC121" s="103" t="n">
        <v>0.24</v>
      </c>
      <c r="BD121" s="103" t="inlineStr">
        <is>
          <t>Distress</t>
        </is>
      </c>
      <c r="BE121" s="104" t="n">
        <v>0.01</v>
      </c>
      <c r="BF121" s="104" t="n">
        <v>0.68</v>
      </c>
      <c r="BG121" s="104" t="n">
        <v>1.21</v>
      </c>
      <c r="BH121" s="104" t="n">
        <v>-0.51</v>
      </c>
      <c r="BI121" s="103" t="n">
        <v>0.37</v>
      </c>
      <c r="BJ121" s="103" t="inlineStr">
        <is>
          <t>Healthy</t>
        </is>
      </c>
      <c r="BK121" s="103" t="n">
        <v>1</v>
      </c>
      <c r="BL121" s="103" t="n">
        <v>1</v>
      </c>
      <c r="BM121" s="103" t="n">
        <v>1</v>
      </c>
      <c r="BN121" s="103" t="n">
        <v>1</v>
      </c>
      <c r="BO121" s="103" t="n">
        <v>1</v>
      </c>
      <c r="BP121" s="103" t="n">
        <v>1</v>
      </c>
      <c r="BQ121" s="103" t="n">
        <v>0</v>
      </c>
      <c r="BR121" s="103" t="n">
        <v>1</v>
      </c>
      <c r="BS121" s="103" t="n">
        <v>0</v>
      </c>
      <c r="BT121" s="103" t="n">
        <v>7</v>
      </c>
      <c r="BU121" s="103" t="inlineStr">
        <is>
          <t>Strong</t>
        </is>
      </c>
      <c r="BV121" s="104" t="n">
        <v>1.22</v>
      </c>
      <c r="BW121" s="104" t="n">
        <v>0.48</v>
      </c>
      <c r="BX121" s="104" t="n">
        <v>1.45</v>
      </c>
      <c r="BY121" s="104" t="n">
        <v>1.52</v>
      </c>
      <c r="BZ121" s="104" t="n">
        <v>0.85</v>
      </c>
      <c r="CA121" s="104" t="n">
        <v>0.63</v>
      </c>
      <c r="CB121" s="104" t="n">
        <v>0.9</v>
      </c>
      <c r="CC121" s="104" t="n">
        <v>-0.02</v>
      </c>
      <c r="CD121" s="103" t="n">
        <v>-1.94</v>
      </c>
      <c r="CE121" s="103" t="inlineStr">
        <is>
          <t>Higher Risk</t>
        </is>
      </c>
      <c r="CF121" s="104" t="n">
        <v>2.66</v>
      </c>
      <c r="CG121" s="104" t="n">
        <v>47.32</v>
      </c>
      <c r="CH121" s="103" t="n">
        <v>20</v>
      </c>
      <c r="CI121" s="103" t="inlineStr">
        <is>
          <t>CLEAR</t>
        </is>
      </c>
    </row>
    <row r="122" ht="17" customHeight="1">
      <c r="A122" s="107" t="inlineStr">
        <is>
          <t>QCOM</t>
        </is>
      </c>
      <c r="B122" s="107" t="inlineStr">
        <is>
          <t>QUALCOMM INC/DE</t>
        </is>
      </c>
      <c r="C122" s="108" t="n">
        <v>16610000000</v>
      </c>
      <c r="D122" s="109" t="n">
        <v>0.28</v>
      </c>
      <c r="E122" s="109" t="n">
        <v>0.29</v>
      </c>
      <c r="F122" s="109" t="n">
        <v>0.13</v>
      </c>
      <c r="G122" s="109" t="n">
        <v>0.11</v>
      </c>
      <c r="H122" s="109" t="n">
        <v>0.18</v>
      </c>
      <c r="I122" s="109" t="n">
        <v>1.13</v>
      </c>
      <c r="J122" s="109" t="n">
        <v>0.3</v>
      </c>
      <c r="K122" s="109" t="n">
        <v>0.55</v>
      </c>
      <c r="L122" s="109" t="n">
        <v>0.5600000000000001</v>
      </c>
      <c r="M122" s="109" t="n">
        <v>0.88</v>
      </c>
      <c r="N122" s="108" t="n">
        <v>0.71</v>
      </c>
      <c r="O122" s="108" t="n">
        <v>2.82</v>
      </c>
      <c r="P122" s="108" t="n">
        <v>2.4</v>
      </c>
      <c r="Q122" s="108" t="n">
        <v>2.1</v>
      </c>
      <c r="R122" s="108" t="n">
        <v>0.6</v>
      </c>
      <c r="S122" s="108" t="n">
        <v>0.58</v>
      </c>
      <c r="T122" s="108" t="n">
        <v>0.52</v>
      </c>
      <c r="U122" s="108" t="n">
        <v>3.22</v>
      </c>
      <c r="V122" s="108" t="n">
        <v>2.1</v>
      </c>
      <c r="W122" s="108" t="n">
        <v>2.53</v>
      </c>
      <c r="X122" s="109" t="n">
        <v>0.29</v>
      </c>
      <c r="Y122" s="109" t="n">
        <v>0.2</v>
      </c>
      <c r="Z122" s="109" t="n">
        <v>18.61</v>
      </c>
      <c r="AA122" s="109" t="n">
        <v>0.14</v>
      </c>
      <c r="AB122" s="109" t="n">
        <v>-0.45</v>
      </c>
      <c r="AC122" s="108" t="n">
        <v>-0.17</v>
      </c>
      <c r="AD122" s="108" t="n">
        <v>-0.17</v>
      </c>
      <c r="AE122" s="108" t="n">
        <v>0.33</v>
      </c>
      <c r="AF122" s="108" t="n">
        <v>0.41</v>
      </c>
      <c r="AG122" s="108" t="n">
        <v>0.25</v>
      </c>
      <c r="AH122" s="108" t="n">
        <v>0.17</v>
      </c>
      <c r="AI122" s="108" t="n">
        <v>0.88</v>
      </c>
      <c r="AJ122" s="108" t="n">
        <v>2.77</v>
      </c>
      <c r="AK122" s="106" t="inlineStr">
        <is>
          <t>Grey</t>
        </is>
      </c>
      <c r="AL122" s="108" t="n">
        <v>0.33</v>
      </c>
      <c r="AM122" s="108" t="n">
        <v>0.41</v>
      </c>
      <c r="AN122" s="108" t="n">
        <v>0.25</v>
      </c>
      <c r="AO122" s="108" t="n">
        <v>0.17</v>
      </c>
      <c r="AP122" s="108" t="n">
        <v>0.88</v>
      </c>
      <c r="AQ122" s="107" t="n">
        <v>2.3</v>
      </c>
      <c r="AR122" s="107" t="inlineStr">
        <is>
          <t>Grey</t>
        </is>
      </c>
      <c r="AS122" s="108" t="n">
        <v>0.33</v>
      </c>
      <c r="AT122" s="108" t="n">
        <v>0.41</v>
      </c>
      <c r="AU122" s="108" t="n">
        <v>0.25</v>
      </c>
      <c r="AV122" s="108" t="n">
        <v>0.17</v>
      </c>
      <c r="AW122" s="107" t="n">
        <v>5.35</v>
      </c>
      <c r="AX122" s="107" t="inlineStr">
        <is>
          <t>Safe</t>
        </is>
      </c>
      <c r="AY122" s="108" t="n">
        <v>0.33</v>
      </c>
      <c r="AZ122" s="108" t="n">
        <v>0.25</v>
      </c>
      <c r="BA122" s="108" t="n">
        <v>1.38</v>
      </c>
      <c r="BB122" s="108" t="n">
        <v>0.88</v>
      </c>
      <c r="BC122" s="107" t="n">
        <v>2.36</v>
      </c>
      <c r="BD122" s="107" t="inlineStr">
        <is>
          <t>Healthy</t>
        </is>
      </c>
      <c r="BE122" s="108" t="n">
        <v>0.11</v>
      </c>
      <c r="BF122" s="108" t="n">
        <v>0.58</v>
      </c>
      <c r="BG122" s="108" t="n">
        <v>2.82</v>
      </c>
      <c r="BH122" s="108" t="n">
        <v>-1.55</v>
      </c>
      <c r="BI122" s="107" t="n">
        <v>0.18</v>
      </c>
      <c r="BJ122" s="107" t="inlineStr">
        <is>
          <t>Healthy</t>
        </is>
      </c>
      <c r="BK122" s="107" t="n">
        <v>1</v>
      </c>
      <c r="BL122" s="107" t="n">
        <v>1</v>
      </c>
      <c r="BM122" s="107" t="n">
        <v>0</v>
      </c>
      <c r="BN122" s="107" t="n">
        <v>1</v>
      </c>
      <c r="BO122" s="107" t="n">
        <v>0</v>
      </c>
      <c r="BP122" s="107" t="n">
        <v>1</v>
      </c>
      <c r="BQ122" s="107" t="n">
        <v>1</v>
      </c>
      <c r="BR122" s="107" t="n">
        <v>0</v>
      </c>
      <c r="BS122" s="107" t="n">
        <v>1</v>
      </c>
      <c r="BT122" s="107" t="n">
        <v>6</v>
      </c>
      <c r="BU122" s="107" t="inlineStr">
        <is>
          <t>Mixed</t>
        </is>
      </c>
      <c r="BV122" s="108" t="n">
        <v>1.07</v>
      </c>
      <c r="BW122" s="108" t="n">
        <v>1.01</v>
      </c>
      <c r="BX122" s="108" t="n">
        <v>0.86</v>
      </c>
      <c r="BY122" s="108" t="n">
        <v>1.14</v>
      </c>
      <c r="BZ122" s="108" t="n">
        <v>0.96</v>
      </c>
      <c r="CA122" s="108" t="n">
        <v>0.99</v>
      </c>
      <c r="CB122" s="108" t="n">
        <v>1.1</v>
      </c>
      <c r="CC122" s="108" t="n">
        <v>-0.17</v>
      </c>
      <c r="CD122" s="107" t="n">
        <v>-3.17</v>
      </c>
      <c r="CE122" s="107" t="inlineStr">
        <is>
          <t>Lower Risk</t>
        </is>
      </c>
      <c r="CF122" s="108" t="n">
        <v>0.76</v>
      </c>
      <c r="CG122" s="108" t="n">
        <v>55.44</v>
      </c>
      <c r="CH122" s="107" t="n">
        <v>20</v>
      </c>
      <c r="CI122" s="107" t="inlineStr">
        <is>
          <t>CLEAR</t>
        </is>
      </c>
    </row>
    <row r="123" ht="17" customHeight="1">
      <c r="A123" s="103" t="inlineStr">
        <is>
          <t>AAP</t>
        </is>
      </c>
      <c r="B123" s="103" t="inlineStr">
        <is>
          <t>ADVANCE AUTO PARTS, INC.</t>
        </is>
      </c>
      <c r="C123" s="104" t="n">
        <v>3114000000</v>
      </c>
      <c r="D123" s="105" t="n">
        <v>-0</v>
      </c>
      <c r="E123" s="105" t="n">
        <v>-0.01</v>
      </c>
      <c r="F123" s="105" t="n">
        <v>0.01</v>
      </c>
      <c r="G123" s="105" t="n">
        <v>0</v>
      </c>
      <c r="H123" s="105" t="n">
        <v>-0.03</v>
      </c>
      <c r="I123" s="105" t="n">
        <v>0.02</v>
      </c>
      <c r="J123" s="105" t="n">
        <v>-0.01</v>
      </c>
      <c r="K123" s="105" t="n">
        <v>0.43</v>
      </c>
      <c r="L123" s="105" t="n">
        <v>0.37</v>
      </c>
      <c r="M123" s="105" t="n">
        <v>0.73</v>
      </c>
      <c r="N123" s="104" t="n">
        <v>0.84</v>
      </c>
      <c r="O123" s="104" t="n">
        <v>1.75</v>
      </c>
      <c r="P123" s="104" t="n">
        <v>1.32</v>
      </c>
      <c r="Q123" s="104" t="n">
        <v>0.87</v>
      </c>
      <c r="R123" s="104" t="n">
        <v>0.75</v>
      </c>
      <c r="S123" s="104" t="n">
        <v>0.8100000000000001</v>
      </c>
      <c r="T123" s="104" t="n">
        <v>0.8</v>
      </c>
      <c r="U123" s="104" t="n">
        <v>1.55</v>
      </c>
      <c r="V123" s="104" t="n">
        <v>0.13</v>
      </c>
      <c r="W123" s="104" t="n">
        <v>-1.05</v>
      </c>
      <c r="X123" s="105" t="n">
        <v>-0.03</v>
      </c>
      <c r="Y123" s="113" t="inlineStr">
        <is>
          <t>N/A</t>
        </is>
      </c>
      <c r="Z123" s="105" t="n">
        <v>-0.66</v>
      </c>
      <c r="AA123" s="105" t="n">
        <v>-0.05</v>
      </c>
      <c r="AB123" s="105" t="n">
        <v>-1.13</v>
      </c>
      <c r="AC123" s="104" t="n">
        <v>0.01</v>
      </c>
      <c r="AD123" s="104" t="n">
        <v>0.01</v>
      </c>
      <c r="AE123" s="104" t="n">
        <v>0.26</v>
      </c>
      <c r="AF123" s="104" t="n">
        <v>0.35</v>
      </c>
      <c r="AG123" s="104" t="n">
        <v>-0</v>
      </c>
      <c r="AH123" s="104" t="n">
        <v>0.23</v>
      </c>
      <c r="AI123" s="104" t="n">
        <v>0.73</v>
      </c>
      <c r="AJ123" s="104" t="n">
        <v>1.66</v>
      </c>
      <c r="AK123" s="112" t="inlineStr">
        <is>
          <t>Distress</t>
        </is>
      </c>
      <c r="AL123" s="104" t="n">
        <v>0.26</v>
      </c>
      <c r="AM123" s="104" t="n">
        <v>0.35</v>
      </c>
      <c r="AN123" s="104" t="n">
        <v>-0</v>
      </c>
      <c r="AO123" s="104" t="n">
        <v>0.23</v>
      </c>
      <c r="AP123" s="104" t="n">
        <v>0.73</v>
      </c>
      <c r="AQ123" s="103" t="n">
        <v>1.3</v>
      </c>
      <c r="AR123" s="103" t="inlineStr">
        <is>
          <t>Grey</t>
        </is>
      </c>
      <c r="AS123" s="104" t="n">
        <v>0.26</v>
      </c>
      <c r="AT123" s="104" t="n">
        <v>0.35</v>
      </c>
      <c r="AU123" s="104" t="n">
        <v>-0</v>
      </c>
      <c r="AV123" s="104" t="n">
        <v>0.23</v>
      </c>
      <c r="AW123" s="103" t="n">
        <v>3.09</v>
      </c>
      <c r="AX123" s="103" t="inlineStr">
        <is>
          <t>Safe</t>
        </is>
      </c>
      <c r="AY123" s="104" t="n">
        <v>0.26</v>
      </c>
      <c r="AZ123" s="104" t="n">
        <v>-0</v>
      </c>
      <c r="BA123" s="104" t="n">
        <v>-0.02</v>
      </c>
      <c r="BB123" s="104" t="n">
        <v>0.73</v>
      </c>
      <c r="BC123" s="103" t="n">
        <v>0.54</v>
      </c>
      <c r="BD123" s="103" t="inlineStr">
        <is>
          <t>Distress</t>
        </is>
      </c>
      <c r="BE123" s="104" t="n">
        <v>0</v>
      </c>
      <c r="BF123" s="104" t="n">
        <v>0.8100000000000001</v>
      </c>
      <c r="BG123" s="104" t="n">
        <v>1.75</v>
      </c>
      <c r="BH123" s="104" t="n">
        <v>0.28</v>
      </c>
      <c r="BI123" s="103" t="n">
        <v>0.57</v>
      </c>
      <c r="BJ123" s="103" t="inlineStr">
        <is>
          <t>Distress</t>
        </is>
      </c>
      <c r="BK123" s="103" t="n">
        <v>1</v>
      </c>
      <c r="BL123" s="103" t="n">
        <v>0</v>
      </c>
      <c r="BM123" s="103" t="n">
        <v>1</v>
      </c>
      <c r="BN123" s="103" t="n">
        <v>0</v>
      </c>
      <c r="BO123" s="103" t="n">
        <v>0</v>
      </c>
      <c r="BP123" s="103" t="n">
        <v>1</v>
      </c>
      <c r="BQ123" s="103" t="n">
        <v>0</v>
      </c>
      <c r="BR123" s="103" t="n">
        <v>1</v>
      </c>
      <c r="BS123" s="103" t="n">
        <v>0</v>
      </c>
      <c r="BT123" s="103" t="n">
        <v>4</v>
      </c>
      <c r="BU123" s="103" t="inlineStr">
        <is>
          <t>Mixed</t>
        </is>
      </c>
      <c r="BV123" s="104" t="n">
        <v>0.74</v>
      </c>
      <c r="BW123" s="104" t="n">
        <v>0.86</v>
      </c>
      <c r="BX123" s="104" t="n">
        <v>0.9</v>
      </c>
      <c r="BY123" s="104" t="n">
        <v>0.95</v>
      </c>
      <c r="BZ123" s="104" t="n">
        <v>1.02</v>
      </c>
      <c r="CA123" s="104" t="n">
        <v>0.99</v>
      </c>
      <c r="CB123" s="104" t="n">
        <v>1.02</v>
      </c>
      <c r="CC123" s="104" t="n">
        <v>0.01</v>
      </c>
      <c r="CD123" s="103" t="n">
        <v>-2.85</v>
      </c>
      <c r="CE123" s="103" t="inlineStr">
        <is>
          <t>Lower Risk</t>
        </is>
      </c>
      <c r="CF123" s="104" t="n">
        <v>1.26</v>
      </c>
      <c r="CG123" s="104" t="n">
        <v>43.59</v>
      </c>
      <c r="CH123" s="103" t="n">
        <v>20</v>
      </c>
      <c r="CI123" s="103" t="inlineStr">
        <is>
          <t>CLEAR</t>
        </is>
      </c>
    </row>
    <row r="124" ht="17" customHeight="1">
      <c r="A124" s="107" t="inlineStr">
        <is>
          <t>LYB</t>
        </is>
      </c>
      <c r="B124" s="107" t="inlineStr">
        <is>
          <t>LYONDELLBASELL INDUSTRIES N.V.</t>
        </is>
      </c>
      <c r="C124" s="108" t="n">
        <v>4739000000</v>
      </c>
      <c r="D124" s="109" t="n">
        <v>-0.01</v>
      </c>
      <c r="E124" s="109" t="n">
        <v>-0.02</v>
      </c>
      <c r="F124" s="109" t="n">
        <v>0.11</v>
      </c>
      <c r="G124" s="109" t="n">
        <v>0.1</v>
      </c>
      <c r="H124" s="109" t="n">
        <v>0.13</v>
      </c>
      <c r="I124" s="109" t="n">
        <v>0.34</v>
      </c>
      <c r="J124" s="109" t="n">
        <v>-0.02</v>
      </c>
      <c r="K124" s="109" t="n">
        <v>0.04</v>
      </c>
      <c r="L124" s="109" t="n">
        <v>0.02</v>
      </c>
      <c r="M124" s="109" t="n">
        <v>0.89</v>
      </c>
      <c r="N124" s="108" t="n">
        <v>1.13</v>
      </c>
      <c r="O124" s="108" t="n">
        <v>1.77</v>
      </c>
      <c r="P124" s="108" t="n">
        <v>1.83</v>
      </c>
      <c r="Q124" s="108" t="n">
        <v>1.2</v>
      </c>
      <c r="R124" s="108" t="n">
        <v>0.5600000000000001</v>
      </c>
      <c r="S124" s="108" t="n">
        <v>1</v>
      </c>
      <c r="T124" s="108" t="n">
        <v>1</v>
      </c>
      <c r="U124" s="108" t="n">
        <v>0.59</v>
      </c>
      <c r="V124" s="108" t="n">
        <v>0.25</v>
      </c>
      <c r="W124" s="108" t="n">
        <v>0.67</v>
      </c>
      <c r="X124" s="109" t="n">
        <v>0.01</v>
      </c>
      <c r="Y124" s="109" t="n">
        <v>0</v>
      </c>
      <c r="Z124" s="109" t="n">
        <v>-0.88</v>
      </c>
      <c r="AA124" s="109" t="n">
        <v>-0.25</v>
      </c>
      <c r="AB124" s="109" t="n">
        <v>-0.28</v>
      </c>
      <c r="AC124" s="108" t="n">
        <v>0.03</v>
      </c>
      <c r="AD124" s="108" t="n">
        <v>0.03</v>
      </c>
      <c r="AE124" s="108" t="n">
        <v>0.14</v>
      </c>
      <c r="AF124" s="108" t="n">
        <v>0.2</v>
      </c>
      <c r="AG124" s="108" t="n">
        <v>-0.01</v>
      </c>
      <c r="AH124" s="108" t="n">
        <v>0.3</v>
      </c>
      <c r="AI124" s="108" t="n">
        <v>0.89</v>
      </c>
      <c r="AJ124" s="108" t="n">
        <v>1.47</v>
      </c>
      <c r="AK124" s="112" t="inlineStr">
        <is>
          <t>Distress</t>
        </is>
      </c>
      <c r="AL124" s="108" t="n">
        <v>0.14</v>
      </c>
      <c r="AM124" s="108" t="n">
        <v>0.2</v>
      </c>
      <c r="AN124" s="108" t="n">
        <v>-0.01</v>
      </c>
      <c r="AO124" s="108" t="n">
        <v>0.3</v>
      </c>
      <c r="AP124" s="108" t="n">
        <v>0.89</v>
      </c>
      <c r="AQ124" s="107" t="n">
        <v>1.24</v>
      </c>
      <c r="AR124" s="107" t="inlineStr">
        <is>
          <t>Grey</t>
        </is>
      </c>
      <c r="AS124" s="108" t="n">
        <v>0.14</v>
      </c>
      <c r="AT124" s="108" t="n">
        <v>0.2</v>
      </c>
      <c r="AU124" s="108" t="n">
        <v>-0.01</v>
      </c>
      <c r="AV124" s="108" t="n">
        <v>0.3</v>
      </c>
      <c r="AW124" s="107" t="n">
        <v>1.8</v>
      </c>
      <c r="AX124" s="107" t="inlineStr">
        <is>
          <t>Grey</t>
        </is>
      </c>
      <c r="AY124" s="108" t="n">
        <v>0.14</v>
      </c>
      <c r="AZ124" s="108" t="n">
        <v>-0.01</v>
      </c>
      <c r="BA124" s="108" t="n">
        <v>-0.12</v>
      </c>
      <c r="BB124" s="108" t="n">
        <v>0.89</v>
      </c>
      <c r="BC124" s="107" t="n">
        <v>0.38</v>
      </c>
      <c r="BD124" s="107" t="inlineStr">
        <is>
          <t>Distress</t>
        </is>
      </c>
      <c r="BE124" s="108" t="n">
        <v>0.1</v>
      </c>
      <c r="BF124" s="108" t="n">
        <v>1</v>
      </c>
      <c r="BG124" s="108" t="n">
        <v>1.77</v>
      </c>
      <c r="BH124" s="108" t="n">
        <v>0.9</v>
      </c>
      <c r="BI124" s="107" t="n">
        <v>0.71</v>
      </c>
      <c r="BJ124" s="107" t="inlineStr">
        <is>
          <t>Distress</t>
        </is>
      </c>
      <c r="BK124" s="107" t="n">
        <v>1</v>
      </c>
      <c r="BL124" s="107" t="n">
        <v>1</v>
      </c>
      <c r="BM124" s="107" t="n">
        <v>0</v>
      </c>
      <c r="BN124" s="107" t="n">
        <v>0</v>
      </c>
      <c r="BO124" s="107" t="n">
        <v>0</v>
      </c>
      <c r="BP124" s="107" t="n">
        <v>0</v>
      </c>
      <c r="BQ124" s="107" t="n">
        <v>1</v>
      </c>
      <c r="BR124" s="107" t="n">
        <v>1</v>
      </c>
      <c r="BS124" s="107" t="n">
        <v>0</v>
      </c>
      <c r="BT124" s="107" t="n">
        <v>4</v>
      </c>
      <c r="BU124" s="107" t="inlineStr">
        <is>
          <t>Mixed</t>
        </is>
      </c>
      <c r="BV124" s="108" t="n">
        <v>0.99</v>
      </c>
      <c r="BW124" s="108" t="n">
        <v>0.54</v>
      </c>
      <c r="BX124" s="108" t="n">
        <v>0.91</v>
      </c>
      <c r="BY124" s="108" t="n">
        <v>0.75</v>
      </c>
      <c r="BZ124" s="108" t="n">
        <v>1.14</v>
      </c>
      <c r="CA124" s="108" t="n">
        <v>1.29</v>
      </c>
      <c r="CB124" s="108" t="n">
        <v>1</v>
      </c>
      <c r="CC124" s="108" t="n">
        <v>0.03</v>
      </c>
      <c r="CD124" s="107" t="n">
        <v>-2.87</v>
      </c>
      <c r="CE124" s="107" t="inlineStr">
        <is>
          <t>Lower Risk</t>
        </is>
      </c>
      <c r="CF124" s="108" t="n">
        <v>2.63</v>
      </c>
      <c r="CG124" s="108" t="n">
        <v>43.4</v>
      </c>
      <c r="CH124" s="107" t="n">
        <v>0</v>
      </c>
      <c r="CI124" s="107" t="inlineStr">
        <is>
          <t>CLEAR</t>
        </is>
      </c>
    </row>
    <row r="125" ht="17" customHeight="1">
      <c r="A125" s="103" t="inlineStr">
        <is>
          <t>VZ</t>
        </is>
      </c>
      <c r="B125" s="103" t="inlineStr">
        <is>
          <t>VERIZON COMMUNICATIONS INC</t>
        </is>
      </c>
      <c r="C125" s="104" t="n">
        <v>-5448000000</v>
      </c>
      <c r="D125" s="105" t="n">
        <v>0.21</v>
      </c>
      <c r="E125" s="105" t="n">
        <v>0.16</v>
      </c>
      <c r="F125" s="105" t="n">
        <v>0.12</v>
      </c>
      <c r="G125" s="105" t="n">
        <v>0.04</v>
      </c>
      <c r="H125" s="105" t="n">
        <v>0.05</v>
      </c>
      <c r="I125" s="105" t="n">
        <v>0.16</v>
      </c>
      <c r="J125" s="105" t="n">
        <v>0.09</v>
      </c>
      <c r="K125" s="105" t="n">
        <v>0.64</v>
      </c>
      <c r="L125" s="105" t="n">
        <v>0.67</v>
      </c>
      <c r="M125" s="105" t="n">
        <v>0.34</v>
      </c>
      <c r="N125" s="104" t="n">
        <v>0.35</v>
      </c>
      <c r="O125" s="104" t="n">
        <v>0.91</v>
      </c>
      <c r="P125" s="104" t="n">
        <v>0.63</v>
      </c>
      <c r="Q125" s="104" t="n">
        <v>0.87</v>
      </c>
      <c r="R125" s="104" t="n">
        <v>0.31</v>
      </c>
      <c r="S125" s="104" t="n">
        <v>1</v>
      </c>
      <c r="T125" s="104" t="n">
        <v>1</v>
      </c>
      <c r="U125" s="104" t="n">
        <v>0.89</v>
      </c>
      <c r="V125" s="104" t="n">
        <v>0.7</v>
      </c>
      <c r="W125" s="104" t="n">
        <v>2.16</v>
      </c>
      <c r="X125" s="105" t="n">
        <v>0.15</v>
      </c>
      <c r="Y125" s="113" t="inlineStr">
        <is>
          <t>N/A</t>
        </is>
      </c>
      <c r="Z125" s="105" t="n">
        <v>5.3</v>
      </c>
      <c r="AA125" s="105" t="n">
        <v>0.03</v>
      </c>
      <c r="AB125" s="105" t="n">
        <v>-0.02</v>
      </c>
      <c r="AC125" s="104" t="n">
        <v>-0.05</v>
      </c>
      <c r="AD125" s="104" t="n">
        <v>-0.05</v>
      </c>
      <c r="AE125" s="104" t="n">
        <v>-0.01</v>
      </c>
      <c r="AF125" s="104" t="n">
        <v>0.23</v>
      </c>
      <c r="AG125" s="104" t="n">
        <v>0.07000000000000001</v>
      </c>
      <c r="AH125" s="104" t="n">
        <v>0.26</v>
      </c>
      <c r="AI125" s="104" t="n">
        <v>0.34</v>
      </c>
      <c r="AJ125" s="104" t="n">
        <v>1.05</v>
      </c>
      <c r="AK125" s="112" t="inlineStr">
        <is>
          <t>Distress</t>
        </is>
      </c>
      <c r="AL125" s="104" t="n">
        <v>-0.01</v>
      </c>
      <c r="AM125" s="104" t="n">
        <v>0.23</v>
      </c>
      <c r="AN125" s="104" t="n">
        <v>0.07000000000000001</v>
      </c>
      <c r="AO125" s="104" t="n">
        <v>0.26</v>
      </c>
      <c r="AP125" s="104" t="n">
        <v>0.34</v>
      </c>
      <c r="AQ125" s="103" t="n">
        <v>0.86</v>
      </c>
      <c r="AR125" s="103" t="inlineStr">
        <is>
          <t>Distress</t>
        </is>
      </c>
      <c r="AS125" s="104" t="n">
        <v>-0.01</v>
      </c>
      <c r="AT125" s="104" t="n">
        <v>0.23</v>
      </c>
      <c r="AU125" s="104" t="n">
        <v>0.07000000000000001</v>
      </c>
      <c r="AV125" s="104" t="n">
        <v>0.26</v>
      </c>
      <c r="AW125" s="103" t="n">
        <v>1.44</v>
      </c>
      <c r="AX125" s="103" t="inlineStr">
        <is>
          <t>Grey</t>
        </is>
      </c>
      <c r="AY125" s="104" t="n">
        <v>-0.01</v>
      </c>
      <c r="AZ125" s="104" t="n">
        <v>0.07000000000000001</v>
      </c>
      <c r="BA125" s="104" t="n">
        <v>0.36</v>
      </c>
      <c r="BB125" s="104" t="n">
        <v>0.34</v>
      </c>
      <c r="BC125" s="103" t="n">
        <v>0.58</v>
      </c>
      <c r="BD125" s="103" t="inlineStr">
        <is>
          <t>Distress</t>
        </is>
      </c>
      <c r="BE125" s="104" t="n">
        <v>0.04</v>
      </c>
      <c r="BF125" s="104" t="n">
        <v>1</v>
      </c>
      <c r="BG125" s="104" t="n">
        <v>0.91</v>
      </c>
      <c r="BH125" s="104" t="n">
        <v>1.15</v>
      </c>
      <c r="BI125" s="103" t="n">
        <v>0.76</v>
      </c>
      <c r="BJ125" s="103" t="inlineStr">
        <is>
          <t>Distress</t>
        </is>
      </c>
      <c r="BK125" s="103" t="n">
        <v>1</v>
      </c>
      <c r="BL125" s="103" t="n">
        <v>1</v>
      </c>
      <c r="BM125" s="103" t="n">
        <v>0</v>
      </c>
      <c r="BN125" s="103" t="n">
        <v>1</v>
      </c>
      <c r="BO125" s="103" t="n">
        <v>0</v>
      </c>
      <c r="BP125" s="103" t="n">
        <v>1</v>
      </c>
      <c r="BQ125" s="103" t="n">
        <v>1</v>
      </c>
      <c r="BR125" s="103" t="n">
        <v>0</v>
      </c>
      <c r="BS125" s="103" t="n">
        <v>0</v>
      </c>
      <c r="BT125" s="103" t="n">
        <v>5</v>
      </c>
      <c r="BU125" s="103" t="inlineStr">
        <is>
          <t>Mixed</t>
        </is>
      </c>
      <c r="BV125" s="104" t="n">
        <v>0.97</v>
      </c>
      <c r="BW125" s="104" t="n">
        <v>1.04</v>
      </c>
      <c r="BX125" s="104" t="n">
        <v>0.96</v>
      </c>
      <c r="BY125" s="104" t="n">
        <v>1.03</v>
      </c>
      <c r="BZ125" s="104" t="n">
        <v>0.99</v>
      </c>
      <c r="CA125" s="104" t="n">
        <v>0.97</v>
      </c>
      <c r="CB125" s="104" t="n">
        <v>1</v>
      </c>
      <c r="CC125" s="104" t="n">
        <v>-0.05</v>
      </c>
      <c r="CD125" s="103" t="n">
        <v>-2.7</v>
      </c>
      <c r="CE125" s="103" t="inlineStr">
        <is>
          <t>Lower Risk</t>
        </is>
      </c>
      <c r="CF125" s="104" t="n">
        <v>1.57</v>
      </c>
      <c r="CG125" s="104" t="n">
        <v>45.97</v>
      </c>
      <c r="CH125" s="103" t="n">
        <v>0</v>
      </c>
      <c r="CI125" s="103" t="inlineStr">
        <is>
          <t>CLEAR</t>
        </is>
      </c>
    </row>
    <row r="126" ht="17" customHeight="1">
      <c r="A126" s="107" t="inlineStr">
        <is>
          <t>PLD</t>
        </is>
      </c>
      <c r="B126" s="107" t="inlineStr">
        <is>
          <t>Prologis, Inc.</t>
        </is>
      </c>
      <c r="C126" s="111" t="inlineStr">
        <is>
          <t>N/A</t>
        </is>
      </c>
      <c r="D126" s="109" t="n">
        <v>0.5</v>
      </c>
      <c r="E126" s="109" t="n">
        <v>0.43</v>
      </c>
      <c r="F126" s="109" t="n">
        <v>0.38</v>
      </c>
      <c r="G126" s="109" t="n">
        <v>0.03</v>
      </c>
      <c r="H126" s="109" t="n">
        <v>0.04</v>
      </c>
      <c r="I126" s="109" t="n">
        <v>0.06</v>
      </c>
      <c r="J126" s="111" t="inlineStr">
        <is>
          <t>N/A</t>
        </is>
      </c>
      <c r="K126" s="109" t="n">
        <v>1.26</v>
      </c>
      <c r="L126" s="109" t="n">
        <v>1.93</v>
      </c>
      <c r="M126" s="109" t="n">
        <v>0.09</v>
      </c>
      <c r="N126" s="108" t="n">
        <v>0.02</v>
      </c>
      <c r="O126" s="111" t="inlineStr">
        <is>
          <t>N/A</t>
        </is>
      </c>
      <c r="P126" s="111" t="inlineStr">
        <is>
          <t>N/A</t>
        </is>
      </c>
      <c r="Q126" s="111" t="inlineStr">
        <is>
          <t>N/A</t>
        </is>
      </c>
      <c r="R126" s="111" t="inlineStr">
        <is>
          <t>N/A</t>
        </is>
      </c>
      <c r="S126" s="108" t="n">
        <v>0.41</v>
      </c>
      <c r="T126" s="108" t="n">
        <v>0.39</v>
      </c>
      <c r="U126" s="108" t="n">
        <v>0.66</v>
      </c>
      <c r="V126" s="108" t="n">
        <v>0.64</v>
      </c>
      <c r="W126" s="108" t="n">
        <v>1.5</v>
      </c>
      <c r="X126" s="109" t="n">
        <v>0.5600000000000001</v>
      </c>
      <c r="Y126" s="109" t="n">
        <v>0</v>
      </c>
      <c r="Z126" s="109" t="n">
        <v>4.35</v>
      </c>
      <c r="AA126" s="109" t="n">
        <v>2.9</v>
      </c>
      <c r="AB126" s="109" t="n">
        <v>-0.11</v>
      </c>
      <c r="AC126" s="108" t="n">
        <v>-0.02</v>
      </c>
      <c r="AD126" s="108" t="n">
        <v>-0.02</v>
      </c>
      <c r="AE126" s="111" t="inlineStr">
        <is>
          <t>N/A</t>
        </is>
      </c>
      <c r="AF126" s="108" t="n">
        <v>-0.01</v>
      </c>
      <c r="AG126" s="108" t="n">
        <v>0.04</v>
      </c>
      <c r="AH126" s="108" t="n">
        <v>1.3</v>
      </c>
      <c r="AI126" s="108" t="n">
        <v>0.09</v>
      </c>
      <c r="AJ126" s="111" t="inlineStr">
        <is>
          <t>N/A</t>
        </is>
      </c>
      <c r="AK126" s="111" t="inlineStr">
        <is>
          <t>N/A</t>
        </is>
      </c>
      <c r="AL126" s="111" t="inlineStr">
        <is>
          <t>N/A</t>
        </is>
      </c>
      <c r="AM126" s="108" t="n">
        <v>-0.01</v>
      </c>
      <c r="AN126" s="108" t="n">
        <v>0.04</v>
      </c>
      <c r="AO126" s="108" t="n">
        <v>1.3</v>
      </c>
      <c r="AP126" s="108" t="n">
        <v>0.09</v>
      </c>
      <c r="AQ126" s="111" t="inlineStr">
        <is>
          <t>N/A</t>
        </is>
      </c>
      <c r="AR126" s="111" t="inlineStr">
        <is>
          <t>N/A</t>
        </is>
      </c>
      <c r="AS126" s="111" t="inlineStr">
        <is>
          <t>N/A</t>
        </is>
      </c>
      <c r="AT126" s="108" t="n">
        <v>-0.01</v>
      </c>
      <c r="AU126" s="108" t="n">
        <v>0.04</v>
      </c>
      <c r="AV126" s="108" t="n">
        <v>1.3</v>
      </c>
      <c r="AW126" s="111" t="inlineStr">
        <is>
          <t>N/A</t>
        </is>
      </c>
      <c r="AX126" s="111" t="inlineStr">
        <is>
          <t>N/A</t>
        </is>
      </c>
      <c r="AY126" s="111" t="inlineStr">
        <is>
          <t>N/A</t>
        </is>
      </c>
      <c r="AZ126" s="108" t="n">
        <v>0.04</v>
      </c>
      <c r="BA126" s="111" t="inlineStr">
        <is>
          <t>N/A</t>
        </is>
      </c>
      <c r="BB126" s="108" t="n">
        <v>0.09</v>
      </c>
      <c r="BC126" s="111" t="inlineStr">
        <is>
          <t>N/A</t>
        </is>
      </c>
      <c r="BD126" s="111" t="inlineStr">
        <is>
          <t>N/A</t>
        </is>
      </c>
      <c r="BE126" s="108" t="n">
        <v>0.03</v>
      </c>
      <c r="BF126" s="108" t="n">
        <v>0.41</v>
      </c>
      <c r="BG126" s="111" t="inlineStr">
        <is>
          <t>N/A</t>
        </is>
      </c>
      <c r="BH126" s="111" t="inlineStr">
        <is>
          <t>N/A</t>
        </is>
      </c>
      <c r="BI126" s="111" t="inlineStr">
        <is>
          <t>N/A</t>
        </is>
      </c>
      <c r="BJ126" s="111" t="inlineStr">
        <is>
          <t>N/A</t>
        </is>
      </c>
      <c r="BK126" s="107" t="n">
        <v>1</v>
      </c>
      <c r="BL126" s="107" t="n">
        <v>1</v>
      </c>
      <c r="BM126" s="107" t="n">
        <v>0</v>
      </c>
      <c r="BN126" s="107" t="n">
        <v>1</v>
      </c>
      <c r="BO126" s="107" t="n">
        <v>0</v>
      </c>
      <c r="BP126" s="107" t="n">
        <v>0</v>
      </c>
      <c r="BQ126" s="107" t="n">
        <v>0</v>
      </c>
      <c r="BR126" s="107" t="n">
        <v>0</v>
      </c>
      <c r="BS126" s="107" t="n">
        <v>1</v>
      </c>
      <c r="BT126" s="107" t="n">
        <v>4</v>
      </c>
      <c r="BU126" s="107" t="inlineStr">
        <is>
          <t>Mixed</t>
        </is>
      </c>
      <c r="BV126" s="108" t="n">
        <v>0.38</v>
      </c>
      <c r="BW126" s="108" t="n">
        <v>1.54</v>
      </c>
      <c r="BX126" s="108" t="n">
        <v>1</v>
      </c>
      <c r="BY126" s="108" t="n">
        <v>3.9</v>
      </c>
      <c r="BZ126" s="108" t="n">
        <v>1</v>
      </c>
      <c r="CA126" s="108" t="n">
        <v>0.29</v>
      </c>
      <c r="CB126" s="108" t="n">
        <v>1.08</v>
      </c>
      <c r="CC126" s="108" t="n">
        <v>-0.02</v>
      </c>
      <c r="CD126" s="107" t="n">
        <v>-0.16</v>
      </c>
      <c r="CE126" s="107" t="inlineStr">
        <is>
          <t>Higher Risk</t>
        </is>
      </c>
      <c r="CF126" s="108" t="n">
        <v>4.85</v>
      </c>
      <c r="CG126" s="108" t="n">
        <v>35.57</v>
      </c>
      <c r="CH126" s="107" t="n">
        <v>20</v>
      </c>
      <c r="CI126" s="107" t="inlineStr">
        <is>
          <t>CLEAR</t>
        </is>
      </c>
    </row>
    <row r="127" ht="17" customHeight="1">
      <c r="A127" s="103" t="inlineStr">
        <is>
          <t>TRGP</t>
        </is>
      </c>
      <c r="B127" s="103" t="inlineStr">
        <is>
          <t>TARGA RESOURCES CORP.</t>
        </is>
      </c>
      <c r="C127" s="104" t="n">
        <v>-1184100000</v>
      </c>
      <c r="D127" s="105" t="n">
        <v>0.2</v>
      </c>
      <c r="E127" s="105" t="n">
        <v>0.15</v>
      </c>
      <c r="F127" s="105" t="n">
        <v>0.11</v>
      </c>
      <c r="G127" s="105" t="n">
        <v>0.08</v>
      </c>
      <c r="H127" s="105" t="n">
        <v>0.06</v>
      </c>
      <c r="I127" s="105" t="n">
        <v>0.63</v>
      </c>
      <c r="J127" s="105" t="n">
        <v>0.15</v>
      </c>
      <c r="K127" s="105" t="n">
        <v>0.15</v>
      </c>
      <c r="L127" s="105" t="n">
        <v>0.05</v>
      </c>
      <c r="M127" s="105" t="n">
        <v>0.68</v>
      </c>
      <c r="N127" s="104" t="n">
        <v>0.72</v>
      </c>
      <c r="O127" s="104" t="n">
        <v>0.67</v>
      </c>
      <c r="P127" s="104" t="n">
        <v>0.72</v>
      </c>
      <c r="Q127" s="104" t="n">
        <v>0.55</v>
      </c>
      <c r="R127" s="104" t="n">
        <v>0.05</v>
      </c>
      <c r="S127" s="104" t="n">
        <v>1</v>
      </c>
      <c r="T127" s="104" t="n">
        <v>1</v>
      </c>
      <c r="U127" s="104" t="n">
        <v>5.73</v>
      </c>
      <c r="V127" s="104" t="n">
        <v>5.68</v>
      </c>
      <c r="W127" s="104" t="n">
        <v>2.04</v>
      </c>
      <c r="X127" s="105" t="n">
        <v>0.03</v>
      </c>
      <c r="Y127" s="105" t="n">
        <v>0</v>
      </c>
      <c r="Z127" s="105" t="n">
        <v>24.84</v>
      </c>
      <c r="AA127" s="105" t="n">
        <v>0.04</v>
      </c>
      <c r="AB127" s="105" t="n">
        <v>0.47</v>
      </c>
      <c r="AC127" s="104" t="n">
        <v>-0.08</v>
      </c>
      <c r="AD127" s="104" t="n">
        <v>-0.08</v>
      </c>
      <c r="AE127" s="104" t="n">
        <v>-0.05</v>
      </c>
      <c r="AF127" s="104" t="n">
        <v>0.09</v>
      </c>
      <c r="AG127" s="104" t="n">
        <v>0.13</v>
      </c>
      <c r="AH127" s="104" t="n">
        <v>0.12</v>
      </c>
      <c r="AI127" s="104" t="n">
        <v>0.68</v>
      </c>
      <c r="AJ127" s="104" t="n">
        <v>1.26</v>
      </c>
      <c r="AK127" s="112" t="inlineStr">
        <is>
          <t>Distress</t>
        </is>
      </c>
      <c r="AL127" s="104" t="n">
        <v>-0.05</v>
      </c>
      <c r="AM127" s="104" t="n">
        <v>0.09</v>
      </c>
      <c r="AN127" s="104" t="n">
        <v>0.13</v>
      </c>
      <c r="AO127" s="104" t="n">
        <v>0.12</v>
      </c>
      <c r="AP127" s="104" t="n">
        <v>0.68</v>
      </c>
      <c r="AQ127" s="103" t="n">
        <v>1.18</v>
      </c>
      <c r="AR127" s="103" t="inlineStr">
        <is>
          <t>Distress</t>
        </is>
      </c>
      <c r="AS127" s="104" t="n">
        <v>-0.05</v>
      </c>
      <c r="AT127" s="104" t="n">
        <v>0.09</v>
      </c>
      <c r="AU127" s="104" t="n">
        <v>0.13</v>
      </c>
      <c r="AV127" s="104" t="n">
        <v>0.12</v>
      </c>
      <c r="AW127" s="103" t="n">
        <v>1</v>
      </c>
      <c r="AX127" s="103" t="inlineStr">
        <is>
          <t>Distress</t>
        </is>
      </c>
      <c r="AY127" s="104" t="n">
        <v>-0.05</v>
      </c>
      <c r="AZ127" s="104" t="n">
        <v>0.13</v>
      </c>
      <c r="BA127" s="104" t="n">
        <v>0.7</v>
      </c>
      <c r="BB127" s="104" t="n">
        <v>0.68</v>
      </c>
      <c r="BC127" s="103" t="n">
        <v>1.09</v>
      </c>
      <c r="BD127" s="103" t="inlineStr">
        <is>
          <t>Healthy</t>
        </is>
      </c>
      <c r="BE127" s="104" t="n">
        <v>0.08</v>
      </c>
      <c r="BF127" s="104" t="n">
        <v>1</v>
      </c>
      <c r="BG127" s="104" t="n">
        <v>0.67</v>
      </c>
      <c r="BH127" s="104" t="n">
        <v>1</v>
      </c>
      <c r="BI127" s="103" t="n">
        <v>0.73</v>
      </c>
      <c r="BJ127" s="103" t="inlineStr">
        <is>
          <t>Distress</t>
        </is>
      </c>
      <c r="BK127" s="103" t="n">
        <v>1</v>
      </c>
      <c r="BL127" s="103" t="n">
        <v>1</v>
      </c>
      <c r="BM127" s="103" t="n">
        <v>1</v>
      </c>
      <c r="BN127" s="103" t="n">
        <v>1</v>
      </c>
      <c r="BO127" s="103" t="n">
        <v>0</v>
      </c>
      <c r="BP127" s="103" t="n">
        <v>0</v>
      </c>
      <c r="BQ127" s="103" t="n">
        <v>1</v>
      </c>
      <c r="BR127" s="103" t="n">
        <v>1</v>
      </c>
      <c r="BS127" s="103" t="n">
        <v>0</v>
      </c>
      <c r="BT127" s="103" t="n">
        <v>6</v>
      </c>
      <c r="BU127" s="103" t="inlineStr">
        <is>
          <t>Mixed</t>
        </is>
      </c>
      <c r="BV127" s="104" t="n">
        <v>0.88</v>
      </c>
      <c r="BW127" s="104" t="n">
        <v>0.31</v>
      </c>
      <c r="BX127" s="104" t="n">
        <v>0.88</v>
      </c>
      <c r="BY127" s="104" t="n">
        <v>1.04</v>
      </c>
      <c r="BZ127" s="104" t="n">
        <v>1.06</v>
      </c>
      <c r="CA127" s="104" t="n">
        <v>1.01</v>
      </c>
      <c r="CB127" s="104" t="n">
        <v>1</v>
      </c>
      <c r="CC127" s="104" t="n">
        <v>-0.08</v>
      </c>
      <c r="CD127" s="103" t="n">
        <v>-3.33</v>
      </c>
      <c r="CE127" s="103" t="inlineStr">
        <is>
          <t>Lower Risk</t>
        </is>
      </c>
      <c r="CF127" s="104" t="n">
        <v>3.59</v>
      </c>
      <c r="CG127" s="104" t="n">
        <v>50.96</v>
      </c>
      <c r="CH127" s="103" t="n">
        <v>0</v>
      </c>
      <c r="CI127" s="103" t="inlineStr">
        <is>
          <t>CLEAR</t>
        </is>
      </c>
    </row>
    <row r="128" ht="17" customHeight="1">
      <c r="A128" s="107" t="inlineStr">
        <is>
          <t>PANW</t>
        </is>
      </c>
      <c r="B128" s="107" t="inlineStr">
        <is>
          <t>PALO ALTO NETWORKS, INC</t>
        </is>
      </c>
      <c r="C128" s="108" t="n">
        <v>-465200000</v>
      </c>
      <c r="D128" s="109" t="n">
        <v>0.55</v>
      </c>
      <c r="E128" s="109" t="n">
        <v>0.7</v>
      </c>
      <c r="F128" s="109" t="n">
        <v>0.5</v>
      </c>
      <c r="G128" s="109" t="n">
        <v>0.05</v>
      </c>
      <c r="H128" s="109" t="n">
        <v>0.13</v>
      </c>
      <c r="I128" s="109" t="n">
        <v>0.14</v>
      </c>
      <c r="J128" s="109" t="n">
        <v>0.08</v>
      </c>
      <c r="K128" s="109" t="n">
        <v>2.98</v>
      </c>
      <c r="L128" s="109" t="n">
        <v>3.39</v>
      </c>
      <c r="M128" s="109" t="n">
        <v>0.1</v>
      </c>
      <c r="N128" s="108" t="n">
        <v>0.09</v>
      </c>
      <c r="O128" s="108" t="n">
        <v>0.9399999999999999</v>
      </c>
      <c r="P128" s="108" t="n">
        <v>0.89</v>
      </c>
      <c r="Q128" s="108" t="n">
        <v>0.93</v>
      </c>
      <c r="R128" s="108" t="n">
        <v>0.28</v>
      </c>
      <c r="S128" s="108" t="n">
        <v>0.67</v>
      </c>
      <c r="T128" s="108" t="n">
        <v>0.74</v>
      </c>
      <c r="U128" s="108" t="n">
        <v>0.25</v>
      </c>
      <c r="V128" s="108" t="n">
        <v>-0.04</v>
      </c>
      <c r="W128" s="108" t="n">
        <v>3.28</v>
      </c>
      <c r="X128" s="109" t="n">
        <v>1.53</v>
      </c>
      <c r="Y128" s="109" t="n">
        <v>0.87</v>
      </c>
      <c r="Z128" s="109" t="n">
        <v>149.75</v>
      </c>
      <c r="AA128" s="109" t="n">
        <v>0.29</v>
      </c>
      <c r="AB128" s="109" t="n">
        <v>-0.5600000000000001</v>
      </c>
      <c r="AC128" s="108" t="n">
        <v>-0.11</v>
      </c>
      <c r="AD128" s="108" t="n">
        <v>-0.11</v>
      </c>
      <c r="AE128" s="108" t="n">
        <v>-0.02</v>
      </c>
      <c r="AF128" s="108" t="n">
        <v>0.11</v>
      </c>
      <c r="AG128" s="108" t="n">
        <v>0.05</v>
      </c>
      <c r="AH128" s="108" t="n">
        <v>0.5</v>
      </c>
      <c r="AI128" s="108" t="n">
        <v>0.1</v>
      </c>
      <c r="AJ128" s="108" t="n">
        <v>0.6899999999999999</v>
      </c>
      <c r="AK128" s="112" t="inlineStr">
        <is>
          <t>Distress</t>
        </is>
      </c>
      <c r="AL128" s="108" t="n">
        <v>-0.02</v>
      </c>
      <c r="AM128" s="108" t="n">
        <v>0.11</v>
      </c>
      <c r="AN128" s="108" t="n">
        <v>0.05</v>
      </c>
      <c r="AO128" s="108" t="n">
        <v>0.5</v>
      </c>
      <c r="AP128" s="108" t="n">
        <v>0.1</v>
      </c>
      <c r="AQ128" s="107" t="n">
        <v>0.54</v>
      </c>
      <c r="AR128" s="107" t="inlineStr">
        <is>
          <t>Distress</t>
        </is>
      </c>
      <c r="AS128" s="108" t="n">
        <v>-0.02</v>
      </c>
      <c r="AT128" s="108" t="n">
        <v>0.11</v>
      </c>
      <c r="AU128" s="108" t="n">
        <v>0.05</v>
      </c>
      <c r="AV128" s="108" t="n">
        <v>0.5</v>
      </c>
      <c r="AW128" s="107" t="n">
        <v>1.09</v>
      </c>
      <c r="AX128" s="107" t="inlineStr">
        <is>
          <t>Distress</t>
        </is>
      </c>
      <c r="AY128" s="108" t="n">
        <v>-0.02</v>
      </c>
      <c r="AZ128" s="108" t="n">
        <v>0.05</v>
      </c>
      <c r="BA128" s="108" t="n">
        <v>0.2</v>
      </c>
      <c r="BB128" s="108" t="n">
        <v>0.1</v>
      </c>
      <c r="BC128" s="107" t="n">
        <v>0.31</v>
      </c>
      <c r="BD128" s="107" t="inlineStr">
        <is>
          <t>Distress</t>
        </is>
      </c>
      <c r="BE128" s="108" t="n">
        <v>0.05</v>
      </c>
      <c r="BF128" s="108" t="n">
        <v>0.67</v>
      </c>
      <c r="BG128" s="108" t="n">
        <v>0.9399999999999999</v>
      </c>
      <c r="BH128" s="108" t="n">
        <v>-0.76</v>
      </c>
      <c r="BI128" s="107" t="n">
        <v>0.32</v>
      </c>
      <c r="BJ128" s="107" t="inlineStr">
        <is>
          <t>Healthy</t>
        </is>
      </c>
      <c r="BK128" s="107" t="n">
        <v>1</v>
      </c>
      <c r="BL128" s="107" t="n">
        <v>1</v>
      </c>
      <c r="BM128" s="107" t="n">
        <v>0</v>
      </c>
      <c r="BN128" s="107" t="n">
        <v>1</v>
      </c>
      <c r="BO128" s="107" t="n">
        <v>1</v>
      </c>
      <c r="BP128" s="107" t="n">
        <v>1</v>
      </c>
      <c r="BQ128" s="107" t="n">
        <v>0</v>
      </c>
      <c r="BR128" s="107" t="n">
        <v>0</v>
      </c>
      <c r="BS128" s="107" t="n">
        <v>1</v>
      </c>
      <c r="BT128" s="107" t="n">
        <v>6</v>
      </c>
      <c r="BU128" s="107" t="inlineStr">
        <is>
          <t>Mixed</t>
        </is>
      </c>
      <c r="BV128" s="108" t="n">
        <v>0.88</v>
      </c>
      <c r="BW128" s="108" t="n">
        <v>1.14</v>
      </c>
      <c r="BX128" s="108" t="n">
        <v>1.04</v>
      </c>
      <c r="BY128" s="108" t="n">
        <v>1.29</v>
      </c>
      <c r="BZ128" s="108" t="n">
        <v>0.9399999999999999</v>
      </c>
      <c r="CA128" s="108" t="n">
        <v>0.5</v>
      </c>
      <c r="CB128" s="108" t="n">
        <v>0.9</v>
      </c>
      <c r="CC128" s="108" t="n">
        <v>-0.11</v>
      </c>
      <c r="CD128" s="107" t="n">
        <v>-2.65</v>
      </c>
      <c r="CE128" s="107" t="inlineStr">
        <is>
          <t>Lower Risk</t>
        </is>
      </c>
      <c r="CF128" s="108" t="n">
        <v>-0.17</v>
      </c>
      <c r="CG128" s="108" t="n">
        <v>48.74</v>
      </c>
      <c r="CH128" s="107" t="n">
        <v>20</v>
      </c>
      <c r="CI128" s="107" t="inlineStr">
        <is>
          <t>CLEAR</t>
        </is>
      </c>
    </row>
    <row r="129" ht="17" customHeight="1">
      <c r="A129" s="103" t="inlineStr">
        <is>
          <t>MEDP</t>
        </is>
      </c>
      <c r="B129" s="103" t="inlineStr">
        <is>
          <t>Medpace Holdings, Inc.</t>
        </is>
      </c>
      <c r="C129" s="104" t="n">
        <v>-354124000</v>
      </c>
      <c r="D129" s="105" t="n">
        <v>0.21</v>
      </c>
      <c r="E129" s="105" t="n">
        <v>0.21</v>
      </c>
      <c r="F129" s="105" t="n">
        <v>0.18</v>
      </c>
      <c r="G129" s="105" t="n">
        <v>0.23</v>
      </c>
      <c r="H129" s="105" t="n">
        <v>0.19</v>
      </c>
      <c r="I129" s="105" t="n">
        <v>0.98</v>
      </c>
      <c r="J129" s="105" t="n">
        <v>0.85</v>
      </c>
      <c r="K129" s="113" t="inlineStr">
        <is>
          <t>N/A</t>
        </is>
      </c>
      <c r="L129" s="113" t="inlineStr">
        <is>
          <t>N/A</t>
        </is>
      </c>
      <c r="M129" s="105" t="n">
        <v>1.28</v>
      </c>
      <c r="N129" s="104" t="n">
        <v>1</v>
      </c>
      <c r="O129" s="104" t="n">
        <v>0.74</v>
      </c>
      <c r="P129" s="104" t="n">
        <v>0.93</v>
      </c>
      <c r="Q129" s="104" t="n">
        <v>0.74</v>
      </c>
      <c r="R129" s="104" t="n">
        <v>0.37</v>
      </c>
      <c r="S129" s="104" t="n">
        <v>0.77</v>
      </c>
      <c r="T129" s="104" t="n">
        <v>0.61</v>
      </c>
      <c r="U129" s="104" t="n">
        <v>0.36</v>
      </c>
      <c r="V129" s="104" t="n">
        <v>-0.72</v>
      </c>
      <c r="W129" s="104" t="n">
        <v>1.58</v>
      </c>
      <c r="X129" s="105" t="n">
        <v>0.27</v>
      </c>
      <c r="Y129" s="113" t="inlineStr">
        <is>
          <t>N/A</t>
        </is>
      </c>
      <c r="Z129" s="105" t="n">
        <v>77.66</v>
      </c>
      <c r="AA129" s="105" t="n">
        <v>0.2</v>
      </c>
      <c r="AB129" s="105" t="n">
        <v>0.12</v>
      </c>
      <c r="AC129" s="104" t="n">
        <v>-0.13</v>
      </c>
      <c r="AD129" s="104" t="n">
        <v>-0.13</v>
      </c>
      <c r="AE129" s="104" t="n">
        <v>-0.18</v>
      </c>
      <c r="AF129" s="104" t="n">
        <v>-0.23</v>
      </c>
      <c r="AG129" s="104" t="n">
        <v>0.27</v>
      </c>
      <c r="AH129" s="104" t="n">
        <v>0.3</v>
      </c>
      <c r="AI129" s="104" t="n">
        <v>1.28</v>
      </c>
      <c r="AJ129" s="104" t="n">
        <v>1.81</v>
      </c>
      <c r="AK129" s="106" t="inlineStr">
        <is>
          <t>Grey</t>
        </is>
      </c>
      <c r="AL129" s="104" t="n">
        <v>-0.18</v>
      </c>
      <c r="AM129" s="104" t="n">
        <v>-0.23</v>
      </c>
      <c r="AN129" s="104" t="n">
        <v>0.27</v>
      </c>
      <c r="AO129" s="104" t="n">
        <v>0.3</v>
      </c>
      <c r="AP129" s="104" t="n">
        <v>1.28</v>
      </c>
      <c r="AQ129" s="103" t="n">
        <v>1.92</v>
      </c>
      <c r="AR129" s="103" t="inlineStr">
        <is>
          <t>Grey</t>
        </is>
      </c>
      <c r="AS129" s="104" t="n">
        <v>-0.18</v>
      </c>
      <c r="AT129" s="104" t="n">
        <v>-0.23</v>
      </c>
      <c r="AU129" s="104" t="n">
        <v>0.27</v>
      </c>
      <c r="AV129" s="104" t="n">
        <v>0.3</v>
      </c>
      <c r="AW129" s="103" t="n">
        <v>0.2</v>
      </c>
      <c r="AX129" s="103" t="inlineStr">
        <is>
          <t>Distress</t>
        </is>
      </c>
      <c r="AY129" s="104" t="n">
        <v>-0.18</v>
      </c>
      <c r="AZ129" s="104" t="n">
        <v>0.27</v>
      </c>
      <c r="BA129" s="104" t="n">
        <v>0.4</v>
      </c>
      <c r="BB129" s="104" t="n">
        <v>1.28</v>
      </c>
      <c r="BC129" s="103" t="n">
        <v>1.43</v>
      </c>
      <c r="BD129" s="103" t="inlineStr">
        <is>
          <t>Healthy</t>
        </is>
      </c>
      <c r="BE129" s="104" t="n">
        <v>0.23</v>
      </c>
      <c r="BF129" s="104" t="n">
        <v>0.77</v>
      </c>
      <c r="BG129" s="104" t="n">
        <v>0.74</v>
      </c>
      <c r="BH129" s="104" t="n">
        <v>-1</v>
      </c>
      <c r="BI129" s="103" t="n">
        <v>0.27</v>
      </c>
      <c r="BJ129" s="103" t="inlineStr">
        <is>
          <t>Healthy</t>
        </is>
      </c>
      <c r="BK129" s="103" t="n">
        <v>1</v>
      </c>
      <c r="BL129" s="103" t="n">
        <v>1</v>
      </c>
      <c r="BM129" s="103" t="n">
        <v>1</v>
      </c>
      <c r="BN129" s="103" t="n">
        <v>1</v>
      </c>
      <c r="BO129" s="103" t="n">
        <v>0</v>
      </c>
      <c r="BP129" s="103" t="n">
        <v>0</v>
      </c>
      <c r="BQ129" s="103" t="n">
        <v>1</v>
      </c>
      <c r="BR129" s="103" t="n">
        <v>0</v>
      </c>
      <c r="BS129" s="103" t="n">
        <v>1</v>
      </c>
      <c r="BT129" s="103" t="n">
        <v>6</v>
      </c>
      <c r="BU129" s="103" t="inlineStr">
        <is>
          <t>Mixed</t>
        </is>
      </c>
      <c r="BV129" s="104" t="n">
        <v>1.13</v>
      </c>
      <c r="BW129" s="113" t="inlineStr">
        <is>
          <t>N/A</t>
        </is>
      </c>
      <c r="BX129" s="104" t="n">
        <v>0.96</v>
      </c>
      <c r="BY129" s="104" t="n">
        <v>1.2</v>
      </c>
      <c r="BZ129" s="104" t="n">
        <v>1.07</v>
      </c>
      <c r="CA129" s="104" t="n">
        <v>0.91</v>
      </c>
      <c r="CB129" s="104" t="n">
        <v>1.26</v>
      </c>
      <c r="CC129" s="104" t="n">
        <v>-0.13</v>
      </c>
      <c r="CD129" s="113" t="inlineStr">
        <is>
          <t>N/A</t>
        </is>
      </c>
      <c r="CE129" s="113" t="inlineStr">
        <is>
          <t>N/A</t>
        </is>
      </c>
      <c r="CF129" s="104" t="n">
        <v>-0.59</v>
      </c>
      <c r="CG129" s="104" t="n">
        <v>53.56</v>
      </c>
      <c r="CH129" s="103" t="n">
        <v>20</v>
      </c>
      <c r="CI129" s="103" t="inlineStr">
        <is>
          <t>CLEAR</t>
        </is>
      </c>
    </row>
    <row r="130" ht="17" customHeight="1">
      <c r="A130" s="107" t="inlineStr">
        <is>
          <t>BJRI</t>
        </is>
      </c>
      <c r="B130" s="107" t="inlineStr">
        <is>
          <t>BJ’S RESTAURANTS, INC.</t>
        </is>
      </c>
      <c r="C130" s="108" t="n">
        <v>-112850000</v>
      </c>
      <c r="D130" s="109" t="n">
        <v>0.03</v>
      </c>
      <c r="E130" s="109" t="n">
        <v>0.03</v>
      </c>
      <c r="F130" s="109" t="n">
        <v>0.03</v>
      </c>
      <c r="G130" s="109" t="n">
        <v>0.05</v>
      </c>
      <c r="H130" s="109" t="n">
        <v>0.02</v>
      </c>
      <c r="I130" s="109" t="n">
        <v>0.13</v>
      </c>
      <c r="J130" s="109" t="n">
        <v>0.06</v>
      </c>
      <c r="K130" s="109" t="n">
        <v>0.75</v>
      </c>
      <c r="L130" s="109" t="n">
        <v>0.74</v>
      </c>
      <c r="M130" s="109" t="n">
        <v>1.38</v>
      </c>
      <c r="N130" s="108" t="n">
        <v>1.3</v>
      </c>
      <c r="O130" s="108" t="n">
        <v>0.4</v>
      </c>
      <c r="P130" s="108" t="n">
        <v>0.41</v>
      </c>
      <c r="Q130" s="108" t="n">
        <v>0.37</v>
      </c>
      <c r="R130" s="108" t="n">
        <v>0.13</v>
      </c>
      <c r="S130" s="108" t="n">
        <v>0.64</v>
      </c>
      <c r="T130" s="108" t="n">
        <v>0.64</v>
      </c>
      <c r="U130" s="108" t="n">
        <v>0.23</v>
      </c>
      <c r="V130" s="108" t="n">
        <v>0.17</v>
      </c>
      <c r="W130" s="108" t="n">
        <v>2.26</v>
      </c>
      <c r="X130" s="109" t="n">
        <v>0.03</v>
      </c>
      <c r="Y130" s="111" t="inlineStr">
        <is>
          <t>N/A</t>
        </is>
      </c>
      <c r="Z130" s="109" t="n">
        <v>857.59</v>
      </c>
      <c r="AA130" s="109" t="n">
        <v>0.03</v>
      </c>
      <c r="AB130" s="109" t="n">
        <v>1.92</v>
      </c>
      <c r="AC130" s="108" t="n">
        <v>-0.06</v>
      </c>
      <c r="AD130" s="108" t="n">
        <v>-0.06</v>
      </c>
      <c r="AE130" s="108" t="n">
        <v>-0.11</v>
      </c>
      <c r="AF130" s="108" t="n">
        <v>0.29</v>
      </c>
      <c r="AG130" s="108" t="n">
        <v>0.05</v>
      </c>
      <c r="AH130" s="108" t="n">
        <v>0.5600000000000001</v>
      </c>
      <c r="AI130" s="108" t="n">
        <v>1.38</v>
      </c>
      <c r="AJ130" s="108" t="n">
        <v>2.13</v>
      </c>
      <c r="AK130" s="106" t="inlineStr">
        <is>
          <t>Grey</t>
        </is>
      </c>
      <c r="AL130" s="108" t="n">
        <v>-0.11</v>
      </c>
      <c r="AM130" s="108" t="n">
        <v>0.29</v>
      </c>
      <c r="AN130" s="108" t="n">
        <v>0.05</v>
      </c>
      <c r="AO130" s="108" t="n">
        <v>0.5600000000000001</v>
      </c>
      <c r="AP130" s="108" t="n">
        <v>1.38</v>
      </c>
      <c r="AQ130" s="107" t="n">
        <v>1.92</v>
      </c>
      <c r="AR130" s="107" t="inlineStr">
        <is>
          <t>Grey</t>
        </is>
      </c>
      <c r="AS130" s="108" t="n">
        <v>-0.11</v>
      </c>
      <c r="AT130" s="108" t="n">
        <v>0.29</v>
      </c>
      <c r="AU130" s="108" t="n">
        <v>0.05</v>
      </c>
      <c r="AV130" s="108" t="n">
        <v>0.5600000000000001</v>
      </c>
      <c r="AW130" s="107" t="n">
        <v>1.1</v>
      </c>
      <c r="AX130" s="107" t="inlineStr">
        <is>
          <t>Grey</t>
        </is>
      </c>
      <c r="AY130" s="108" t="n">
        <v>-0.11</v>
      </c>
      <c r="AZ130" s="108" t="n">
        <v>0.05</v>
      </c>
      <c r="BA130" s="108" t="n">
        <v>0.25</v>
      </c>
      <c r="BB130" s="108" t="n">
        <v>1.38</v>
      </c>
      <c r="BC130" s="107" t="n">
        <v>0.74</v>
      </c>
      <c r="BD130" s="107" t="inlineStr">
        <is>
          <t>Distress</t>
        </is>
      </c>
      <c r="BE130" s="108" t="n">
        <v>0.05</v>
      </c>
      <c r="BF130" s="108" t="n">
        <v>0.64</v>
      </c>
      <c r="BG130" s="108" t="n">
        <v>0.4</v>
      </c>
      <c r="BH130" s="108" t="n">
        <v>-0.92</v>
      </c>
      <c r="BI130" s="107" t="n">
        <v>0.28</v>
      </c>
      <c r="BJ130" s="107" t="inlineStr">
        <is>
          <t>Healthy</t>
        </is>
      </c>
      <c r="BK130" s="107" t="n">
        <v>1</v>
      </c>
      <c r="BL130" s="107" t="n">
        <v>1</v>
      </c>
      <c r="BM130" s="107" t="n">
        <v>1</v>
      </c>
      <c r="BN130" s="107" t="n">
        <v>1</v>
      </c>
      <c r="BO130" s="107" t="n">
        <v>0</v>
      </c>
      <c r="BP130" s="107" t="n">
        <v>0</v>
      </c>
      <c r="BQ130" s="107" t="n">
        <v>1</v>
      </c>
      <c r="BR130" s="107" t="n">
        <v>1</v>
      </c>
      <c r="BS130" s="107" t="n">
        <v>1</v>
      </c>
      <c r="BT130" s="107" t="n">
        <v>7</v>
      </c>
      <c r="BU130" s="107" t="inlineStr">
        <is>
          <t>Strong</t>
        </is>
      </c>
      <c r="BV130" s="108" t="n">
        <v>0.87</v>
      </c>
      <c r="BW130" s="108" t="n">
        <v>0.99</v>
      </c>
      <c r="BX130" s="108" t="n">
        <v>1</v>
      </c>
      <c r="BY130" s="108" t="n">
        <v>1.03</v>
      </c>
      <c r="BZ130" s="108" t="n">
        <v>0.9399999999999999</v>
      </c>
      <c r="CA130" s="108" t="n">
        <v>1</v>
      </c>
      <c r="CB130" s="108" t="n">
        <v>0.99</v>
      </c>
      <c r="CC130" s="108" t="n">
        <v>-0.06</v>
      </c>
      <c r="CD130" s="107" t="n">
        <v>-2.86</v>
      </c>
      <c r="CE130" s="107" t="inlineStr">
        <is>
          <t>Lower Risk</t>
        </is>
      </c>
      <c r="CF130" s="108" t="n">
        <v>0.5</v>
      </c>
      <c r="CG130" s="108" t="n">
        <v>57.59</v>
      </c>
      <c r="CH130" s="107" t="n">
        <v>0</v>
      </c>
      <c r="CI130" s="107" t="inlineStr">
        <is>
          <t>CLEAR</t>
        </is>
      </c>
    </row>
    <row r="131" ht="17" customHeight="1">
      <c r="A131" s="103" t="inlineStr">
        <is>
          <t>GLPI</t>
        </is>
      </c>
      <c r="B131" s="103" t="inlineStr">
        <is>
          <t>Gaming and Leisure Properties, Inc.</t>
        </is>
      </c>
      <c r="C131" s="113" t="inlineStr">
        <is>
          <t>N/A</t>
        </is>
      </c>
      <c r="D131" s="105" t="n">
        <v>0.75</v>
      </c>
      <c r="E131" s="105" t="n">
        <v>0.53</v>
      </c>
      <c r="F131" s="105" t="n">
        <v>0.52</v>
      </c>
      <c r="G131" s="105" t="n">
        <v>0.06</v>
      </c>
      <c r="H131" s="105" t="n">
        <v>0.06</v>
      </c>
      <c r="I131" s="105" t="n">
        <v>0.18</v>
      </c>
      <c r="J131" s="113" t="inlineStr">
        <is>
          <t>N/A</t>
        </is>
      </c>
      <c r="K131" s="113" t="inlineStr">
        <is>
          <t>N/A</t>
        </is>
      </c>
      <c r="L131" s="113" t="inlineStr">
        <is>
          <t>N/A</t>
        </is>
      </c>
      <c r="M131" s="105" t="n">
        <v>0.12</v>
      </c>
      <c r="N131" s="104" t="n">
        <v>0.12</v>
      </c>
      <c r="O131" s="113" t="inlineStr">
        <is>
          <t>N/A</t>
        </is>
      </c>
      <c r="P131" s="113" t="inlineStr">
        <is>
          <t>N/A</t>
        </is>
      </c>
      <c r="Q131" s="113" t="inlineStr">
        <is>
          <t>N/A</t>
        </is>
      </c>
      <c r="R131" s="113" t="inlineStr">
        <is>
          <t>N/A</t>
        </is>
      </c>
      <c r="S131" s="104" t="n">
        <v>0.61</v>
      </c>
      <c r="T131" s="104" t="n">
        <v>0.64</v>
      </c>
      <c r="U131" s="104" t="n">
        <v>1.56</v>
      </c>
      <c r="V131" s="104" t="n">
        <v>1.55</v>
      </c>
      <c r="W131" s="104" t="n">
        <v>1.37</v>
      </c>
      <c r="X131" s="105" t="n">
        <v>0.7</v>
      </c>
      <c r="Y131" s="105" t="n">
        <v>0</v>
      </c>
      <c r="Z131" s="105" t="n">
        <v>3.27</v>
      </c>
      <c r="AA131" s="105" t="n">
        <v>0.04</v>
      </c>
      <c r="AB131" s="105" t="n">
        <v>0.05</v>
      </c>
      <c r="AC131" s="104" t="n">
        <v>-0.02</v>
      </c>
      <c r="AD131" s="104" t="n">
        <v>-0.02</v>
      </c>
      <c r="AE131" s="113" t="inlineStr">
        <is>
          <t>N/A</t>
        </is>
      </c>
      <c r="AF131" s="104" t="n">
        <v>-0.15</v>
      </c>
      <c r="AG131" s="104" t="n">
        <v>0.09</v>
      </c>
      <c r="AH131" s="104" t="n">
        <v>0.59</v>
      </c>
      <c r="AI131" s="104" t="n">
        <v>0.12</v>
      </c>
      <c r="AJ131" s="113" t="inlineStr">
        <is>
          <t>N/A</t>
        </is>
      </c>
      <c r="AK131" s="113" t="inlineStr">
        <is>
          <t>N/A</t>
        </is>
      </c>
      <c r="AL131" s="113" t="inlineStr">
        <is>
          <t>N/A</t>
        </is>
      </c>
      <c r="AM131" s="104" t="n">
        <v>-0.15</v>
      </c>
      <c r="AN131" s="104" t="n">
        <v>0.09</v>
      </c>
      <c r="AO131" s="104" t="n">
        <v>0.59</v>
      </c>
      <c r="AP131" s="104" t="n">
        <v>0.12</v>
      </c>
      <c r="AQ131" s="113" t="inlineStr">
        <is>
          <t>N/A</t>
        </is>
      </c>
      <c r="AR131" s="113" t="inlineStr">
        <is>
          <t>N/A</t>
        </is>
      </c>
      <c r="AS131" s="113" t="inlineStr">
        <is>
          <t>N/A</t>
        </is>
      </c>
      <c r="AT131" s="104" t="n">
        <v>-0.15</v>
      </c>
      <c r="AU131" s="104" t="n">
        <v>0.09</v>
      </c>
      <c r="AV131" s="104" t="n">
        <v>0.59</v>
      </c>
      <c r="AW131" s="113" t="inlineStr">
        <is>
          <t>N/A</t>
        </is>
      </c>
      <c r="AX131" s="113" t="inlineStr">
        <is>
          <t>N/A</t>
        </is>
      </c>
      <c r="AY131" s="113" t="inlineStr">
        <is>
          <t>N/A</t>
        </is>
      </c>
      <c r="AZ131" s="104" t="n">
        <v>0.09</v>
      </c>
      <c r="BA131" s="113" t="inlineStr">
        <is>
          <t>N/A</t>
        </is>
      </c>
      <c r="BB131" s="104" t="n">
        <v>0.12</v>
      </c>
      <c r="BC131" s="113" t="inlineStr">
        <is>
          <t>N/A</t>
        </is>
      </c>
      <c r="BD131" s="113" t="inlineStr">
        <is>
          <t>N/A</t>
        </is>
      </c>
      <c r="BE131" s="104" t="n">
        <v>0.06</v>
      </c>
      <c r="BF131" s="104" t="n">
        <v>0.61</v>
      </c>
      <c r="BG131" s="113" t="inlineStr">
        <is>
          <t>N/A</t>
        </is>
      </c>
      <c r="BH131" s="113" t="inlineStr">
        <is>
          <t>N/A</t>
        </is>
      </c>
      <c r="BI131" s="113" t="inlineStr">
        <is>
          <t>N/A</t>
        </is>
      </c>
      <c r="BJ131" s="113" t="inlineStr">
        <is>
          <t>N/A</t>
        </is>
      </c>
      <c r="BK131" s="103" t="n">
        <v>1</v>
      </c>
      <c r="BL131" s="103" t="n">
        <v>1</v>
      </c>
      <c r="BM131" s="103" t="n">
        <v>1</v>
      </c>
      <c r="BN131" s="103" t="n">
        <v>1</v>
      </c>
      <c r="BO131" s="103" t="n">
        <v>1</v>
      </c>
      <c r="BP131" s="103" t="n">
        <v>0</v>
      </c>
      <c r="BQ131" s="103" t="n">
        <v>0</v>
      </c>
      <c r="BR131" s="103" t="n">
        <v>0</v>
      </c>
      <c r="BS131" s="103" t="n">
        <v>1</v>
      </c>
      <c r="BT131" s="103" t="n">
        <v>6</v>
      </c>
      <c r="BU131" s="103" t="inlineStr">
        <is>
          <t>Mixed</t>
        </is>
      </c>
      <c r="BV131" s="113" t="inlineStr">
        <is>
          <t>N/A</t>
        </is>
      </c>
      <c r="BW131" s="113" t="inlineStr">
        <is>
          <t>N/A</t>
        </is>
      </c>
      <c r="BX131" s="104" t="n">
        <v>1.01</v>
      </c>
      <c r="BY131" s="104" t="n">
        <v>1.04</v>
      </c>
      <c r="BZ131" s="104" t="n">
        <v>0.8100000000000001</v>
      </c>
      <c r="CA131" s="104" t="n">
        <v>1.02</v>
      </c>
      <c r="CB131" s="104" t="n">
        <v>0.95</v>
      </c>
      <c r="CC131" s="104" t="n">
        <v>-0.02</v>
      </c>
      <c r="CD131" s="113" t="inlineStr">
        <is>
          <t>N/A</t>
        </is>
      </c>
      <c r="CE131" s="113" t="inlineStr">
        <is>
          <t>N/A</t>
        </is>
      </c>
      <c r="CF131" s="104" t="n">
        <v>4.83</v>
      </c>
      <c r="CG131" s="104" t="n">
        <v>47.16</v>
      </c>
      <c r="CH131" s="103" t="n">
        <v>0</v>
      </c>
      <c r="CI131" s="103" t="inlineStr">
        <is>
          <t>CLEAR</t>
        </is>
      </c>
    </row>
    <row r="132" ht="17" customHeight="1">
      <c r="A132" s="107" t="inlineStr">
        <is>
          <t>EBAY</t>
        </is>
      </c>
      <c r="B132" s="107" t="inlineStr">
        <is>
          <t>eBay Inc.</t>
        </is>
      </c>
      <c r="C132" s="108" t="n">
        <v>449000000</v>
      </c>
      <c r="D132" s="109" t="n">
        <v>0.13</v>
      </c>
      <c r="E132" s="109" t="n">
        <v>0.13</v>
      </c>
      <c r="F132" s="109" t="n">
        <v>0.11</v>
      </c>
      <c r="G132" s="109" t="n">
        <v>0.12</v>
      </c>
      <c r="H132" s="109" t="n">
        <v>0.1</v>
      </c>
      <c r="I132" s="109" t="n">
        <v>0.44</v>
      </c>
      <c r="J132" s="109" t="n">
        <v>0.18</v>
      </c>
      <c r="K132" s="109" t="n">
        <v>0.44</v>
      </c>
      <c r="L132" s="109" t="n">
        <v>0.46</v>
      </c>
      <c r="M132" s="109" t="n">
        <v>1.02</v>
      </c>
      <c r="N132" s="108" t="n">
        <v>0.83</v>
      </c>
      <c r="O132" s="108" t="n">
        <v>1.1</v>
      </c>
      <c r="P132" s="108" t="n">
        <v>1.24</v>
      </c>
      <c r="Q132" s="108" t="n">
        <v>1.1</v>
      </c>
      <c r="R132" s="108" t="n">
        <v>0.4</v>
      </c>
      <c r="S132" s="108" t="n">
        <v>0.74</v>
      </c>
      <c r="T132" s="108" t="n">
        <v>0.73</v>
      </c>
      <c r="U132" s="108" t="n">
        <v>1.84</v>
      </c>
      <c r="V132" s="108" t="n">
        <v>1.43</v>
      </c>
      <c r="W132" s="108" t="n">
        <v>0.96</v>
      </c>
      <c r="X132" s="109" t="n">
        <v>0.08</v>
      </c>
      <c r="Y132" s="109" t="n">
        <v>0.09</v>
      </c>
      <c r="Z132" s="109" t="n">
        <v>8.66</v>
      </c>
      <c r="AA132" s="109" t="n">
        <v>0.12</v>
      </c>
      <c r="AB132" s="109" t="n">
        <v>0.03</v>
      </c>
      <c r="AC132" s="108" t="n">
        <v>0</v>
      </c>
      <c r="AD132" s="108" t="n">
        <v>0</v>
      </c>
      <c r="AE132" s="108" t="n">
        <v>0.03</v>
      </c>
      <c r="AF132" s="108" t="n">
        <v>2.24</v>
      </c>
      <c r="AG132" s="108" t="n">
        <v>0.13</v>
      </c>
      <c r="AH132" s="108" t="n">
        <v>0.36</v>
      </c>
      <c r="AI132" s="108" t="n">
        <v>1.02</v>
      </c>
      <c r="AJ132" s="108" t="n">
        <v>4.82</v>
      </c>
      <c r="AK132" s="110" t="inlineStr">
        <is>
          <t>Safe</t>
        </is>
      </c>
      <c r="AL132" s="108" t="n">
        <v>0.03</v>
      </c>
      <c r="AM132" s="108" t="n">
        <v>2.24</v>
      </c>
      <c r="AN132" s="108" t="n">
        <v>0.13</v>
      </c>
      <c r="AO132" s="108" t="n">
        <v>0.36</v>
      </c>
      <c r="AP132" s="108" t="n">
        <v>1.02</v>
      </c>
      <c r="AQ132" s="107" t="n">
        <v>3.48</v>
      </c>
      <c r="AR132" s="107" t="inlineStr">
        <is>
          <t>Safe</t>
        </is>
      </c>
      <c r="AS132" s="108" t="n">
        <v>0.03</v>
      </c>
      <c r="AT132" s="108" t="n">
        <v>2.24</v>
      </c>
      <c r="AU132" s="108" t="n">
        <v>0.13</v>
      </c>
      <c r="AV132" s="108" t="n">
        <v>0.36</v>
      </c>
      <c r="AW132" s="107" t="n">
        <v>8.710000000000001</v>
      </c>
      <c r="AX132" s="107" t="inlineStr">
        <is>
          <t>Safe</t>
        </is>
      </c>
      <c r="AY132" s="108" t="n">
        <v>0.03</v>
      </c>
      <c r="AZ132" s="108" t="n">
        <v>0.13</v>
      </c>
      <c r="BA132" s="108" t="n">
        <v>0.5</v>
      </c>
      <c r="BB132" s="108" t="n">
        <v>1.02</v>
      </c>
      <c r="BC132" s="107" t="n">
        <v>1.16</v>
      </c>
      <c r="BD132" s="107" t="inlineStr">
        <is>
          <t>Healthy</t>
        </is>
      </c>
      <c r="BE132" s="108" t="n">
        <v>0.12</v>
      </c>
      <c r="BF132" s="108" t="n">
        <v>0.74</v>
      </c>
      <c r="BG132" s="108" t="n">
        <v>1.1</v>
      </c>
      <c r="BH132" s="108" t="n">
        <v>-0.66</v>
      </c>
      <c r="BI132" s="107" t="n">
        <v>0.34</v>
      </c>
      <c r="BJ132" s="107" t="inlineStr">
        <is>
          <t>Healthy</t>
        </is>
      </c>
      <c r="BK132" s="107" t="n">
        <v>1</v>
      </c>
      <c r="BL132" s="107" t="n">
        <v>1</v>
      </c>
      <c r="BM132" s="107" t="n">
        <v>1</v>
      </c>
      <c r="BN132" s="107" t="n">
        <v>0</v>
      </c>
      <c r="BO132" s="107" t="n">
        <v>0</v>
      </c>
      <c r="BP132" s="107" t="n">
        <v>0</v>
      </c>
      <c r="BQ132" s="107" t="n">
        <v>1</v>
      </c>
      <c r="BR132" s="107" t="n">
        <v>0</v>
      </c>
      <c r="BS132" s="107" t="n">
        <v>1</v>
      </c>
      <c r="BT132" s="107" t="n">
        <v>5</v>
      </c>
      <c r="BU132" s="107" t="inlineStr">
        <is>
          <t>Mixed</t>
        </is>
      </c>
      <c r="BV132" s="108" t="n">
        <v>1.12</v>
      </c>
      <c r="BW132" s="108" t="n">
        <v>1.04</v>
      </c>
      <c r="BX132" s="108" t="n">
        <v>1.17</v>
      </c>
      <c r="BY132" s="108" t="n">
        <v>1.12</v>
      </c>
      <c r="BZ132" s="108" t="n">
        <v>0.88</v>
      </c>
      <c r="CA132" s="108" t="n">
        <v>1.17</v>
      </c>
      <c r="CB132" s="108" t="n">
        <v>1.01</v>
      </c>
      <c r="CC132" s="108" t="n">
        <v>0</v>
      </c>
      <c r="CD132" s="107" t="n">
        <v>-2.2</v>
      </c>
      <c r="CE132" s="107" t="inlineStr">
        <is>
          <t>Higher Risk</t>
        </is>
      </c>
      <c r="CF132" s="108" t="n">
        <v>2.46</v>
      </c>
      <c r="CG132" s="108" t="n">
        <v>50.12</v>
      </c>
      <c r="CH132" s="107" t="n">
        <v>20</v>
      </c>
      <c r="CI132" s="107" t="inlineStr">
        <is>
          <t>CLEAR</t>
        </is>
      </c>
    </row>
    <row r="133" ht="17" customHeight="1">
      <c r="A133" s="103" t="inlineStr">
        <is>
          <t>MSA</t>
        </is>
      </c>
      <c r="B133" s="103" t="inlineStr">
        <is>
          <t>MSA Safety Inc</t>
        </is>
      </c>
      <c r="C133" s="104" t="n">
        <v>580081000</v>
      </c>
      <c r="D133" s="105" t="n">
        <v>0.2</v>
      </c>
      <c r="E133" s="105" t="n">
        <v>0.2</v>
      </c>
      <c r="F133" s="105" t="n">
        <v>0.15</v>
      </c>
      <c r="G133" s="105" t="n">
        <v>0.11</v>
      </c>
      <c r="H133" s="105" t="n">
        <v>0.04</v>
      </c>
      <c r="I133" s="105" t="n">
        <v>0.33</v>
      </c>
      <c r="J133" s="105" t="n">
        <v>0.16</v>
      </c>
      <c r="K133" s="105" t="n">
        <v>0.46</v>
      </c>
      <c r="L133" s="105" t="n">
        <v>0.13</v>
      </c>
      <c r="M133" s="105" t="n">
        <v>0.73</v>
      </c>
      <c r="N133" s="104" t="n">
        <v>0.82</v>
      </c>
      <c r="O133" s="104" t="n">
        <v>3.01</v>
      </c>
      <c r="P133" s="104" t="n">
        <v>2.79</v>
      </c>
      <c r="Q133" s="104" t="n">
        <v>1.82</v>
      </c>
      <c r="R133" s="104" t="n">
        <v>0.57</v>
      </c>
      <c r="S133" s="104" t="n">
        <v>0.46</v>
      </c>
      <c r="T133" s="104" t="n">
        <v>0.48</v>
      </c>
      <c r="U133" s="104" t="n">
        <v>0.7</v>
      </c>
      <c r="V133" s="104" t="n">
        <v>0.5</v>
      </c>
      <c r="W133" s="104" t="n">
        <v>1.3</v>
      </c>
      <c r="X133" s="105" t="n">
        <v>0.16</v>
      </c>
      <c r="Y133" s="105" t="n">
        <v>0.03</v>
      </c>
      <c r="Z133" s="105" t="n">
        <v>7.96</v>
      </c>
      <c r="AA133" s="105" t="n">
        <v>0.04</v>
      </c>
      <c r="AB133" s="105" t="n">
        <v>2.21</v>
      </c>
      <c r="AC133" s="104" t="n">
        <v>-0.03</v>
      </c>
      <c r="AD133" s="104" t="n">
        <v>-0.03</v>
      </c>
      <c r="AE133" s="104" t="n">
        <v>0.23</v>
      </c>
      <c r="AF133" s="104" t="n">
        <v>0.61</v>
      </c>
      <c r="AG133" s="104" t="n">
        <v>0.15</v>
      </c>
      <c r="AH133" s="104" t="n">
        <v>0.7</v>
      </c>
      <c r="AI133" s="104" t="n">
        <v>0.73</v>
      </c>
      <c r="AJ133" s="104" t="n">
        <v>2.76</v>
      </c>
      <c r="AK133" s="106" t="inlineStr">
        <is>
          <t>Grey</t>
        </is>
      </c>
      <c r="AL133" s="104" t="n">
        <v>0.23</v>
      </c>
      <c r="AM133" s="104" t="n">
        <v>0.61</v>
      </c>
      <c r="AN133" s="104" t="n">
        <v>0.15</v>
      </c>
      <c r="AO133" s="104" t="n">
        <v>0.7</v>
      </c>
      <c r="AP133" s="104" t="n">
        <v>0.73</v>
      </c>
      <c r="AQ133" s="103" t="n">
        <v>2.16</v>
      </c>
      <c r="AR133" s="103" t="inlineStr">
        <is>
          <t>Grey</t>
        </is>
      </c>
      <c r="AS133" s="104" t="n">
        <v>0.23</v>
      </c>
      <c r="AT133" s="104" t="n">
        <v>0.61</v>
      </c>
      <c r="AU133" s="104" t="n">
        <v>0.15</v>
      </c>
      <c r="AV133" s="104" t="n">
        <v>0.7</v>
      </c>
      <c r="AW133" s="103" t="n">
        <v>5.18</v>
      </c>
      <c r="AX133" s="103" t="inlineStr">
        <is>
          <t>Safe</t>
        </is>
      </c>
      <c r="AY133" s="104" t="n">
        <v>0.23</v>
      </c>
      <c r="AZ133" s="104" t="n">
        <v>0.15</v>
      </c>
      <c r="BA133" s="104" t="n">
        <v>1.27</v>
      </c>
      <c r="BB133" s="104" t="n">
        <v>0.73</v>
      </c>
      <c r="BC133" s="103" t="n">
        <v>1.81</v>
      </c>
      <c r="BD133" s="103" t="inlineStr">
        <is>
          <t>Healthy</t>
        </is>
      </c>
      <c r="BE133" s="104" t="n">
        <v>0.11</v>
      </c>
      <c r="BF133" s="104" t="n">
        <v>0.46</v>
      </c>
      <c r="BG133" s="104" t="n">
        <v>3.01</v>
      </c>
      <c r="BH133" s="104" t="n">
        <v>-2.18</v>
      </c>
      <c r="BI133" s="103" t="n">
        <v>0.1</v>
      </c>
      <c r="BJ133" s="103" t="inlineStr">
        <is>
          <t>Healthy</t>
        </is>
      </c>
      <c r="BK133" s="103" t="n">
        <v>1</v>
      </c>
      <c r="BL133" s="103" t="n">
        <v>1</v>
      </c>
      <c r="BM133" s="103" t="n">
        <v>1</v>
      </c>
      <c r="BN133" s="103" t="n">
        <v>1</v>
      </c>
      <c r="BO133" s="103" t="n">
        <v>1</v>
      </c>
      <c r="BP133" s="103" t="n">
        <v>1</v>
      </c>
      <c r="BQ133" s="103" t="n">
        <v>1</v>
      </c>
      <c r="BR133" s="103" t="n">
        <v>1</v>
      </c>
      <c r="BS133" s="103" t="n">
        <v>0</v>
      </c>
      <c r="BT133" s="103" t="n">
        <v>8</v>
      </c>
      <c r="BU133" s="103" t="inlineStr">
        <is>
          <t>Strong</t>
        </is>
      </c>
      <c r="BV133" s="104" t="n">
        <v>1.06</v>
      </c>
      <c r="BW133" s="104" t="n">
        <v>0.28</v>
      </c>
      <c r="BX133" s="104" t="n">
        <v>1.02</v>
      </c>
      <c r="BY133" s="104" t="n">
        <v>1.04</v>
      </c>
      <c r="BZ133" s="104" t="n">
        <v>1.23</v>
      </c>
      <c r="CA133" s="104" t="n">
        <v>1.01</v>
      </c>
      <c r="CB133" s="104" t="n">
        <v>0.97</v>
      </c>
      <c r="CC133" s="104" t="n">
        <v>-0.03</v>
      </c>
      <c r="CD133" s="103" t="n">
        <v>-2.88</v>
      </c>
      <c r="CE133" s="103" t="inlineStr">
        <is>
          <t>Lower Risk</t>
        </is>
      </c>
      <c r="CF133" s="104" t="n">
        <v>1.03</v>
      </c>
      <c r="CG133" s="104" t="n">
        <v>63.37</v>
      </c>
      <c r="CH133" s="103" t="n">
        <v>0</v>
      </c>
      <c r="CI133" s="103" t="inlineStr">
        <is>
          <t>CLEAR</t>
        </is>
      </c>
    </row>
    <row r="134" ht="17" customHeight="1">
      <c r="A134" s="107" t="inlineStr">
        <is>
          <t>NOC</t>
        </is>
      </c>
      <c r="B134" s="107" t="inlineStr">
        <is>
          <t>NORTHROP GRUMMAN CORP /DE/</t>
        </is>
      </c>
      <c r="C134" s="108" t="n">
        <v>1405000000</v>
      </c>
      <c r="D134" s="109" t="n">
        <v>0.11</v>
      </c>
      <c r="E134" s="109" t="n">
        <v>0.12</v>
      </c>
      <c r="F134" s="109" t="n">
        <v>0.1</v>
      </c>
      <c r="G134" s="109" t="n">
        <v>0.08</v>
      </c>
      <c r="H134" s="109" t="n">
        <v>0.08</v>
      </c>
      <c r="I134" s="109" t="n">
        <v>0.25</v>
      </c>
      <c r="J134" s="109" t="n">
        <v>0.12</v>
      </c>
      <c r="K134" s="109" t="n">
        <v>0.71</v>
      </c>
      <c r="L134" s="109" t="n">
        <v>0.73</v>
      </c>
      <c r="M134" s="109" t="n">
        <v>0.82</v>
      </c>
      <c r="N134" s="108" t="n">
        <v>0.83</v>
      </c>
      <c r="O134" s="108" t="n">
        <v>1.1</v>
      </c>
      <c r="P134" s="108" t="n">
        <v>1.01</v>
      </c>
      <c r="Q134" s="108" t="n">
        <v>1.01</v>
      </c>
      <c r="R134" s="108" t="n">
        <v>0.32</v>
      </c>
      <c r="S134" s="108" t="n">
        <v>0.68</v>
      </c>
      <c r="T134" s="108" t="n">
        <v>0.6899999999999999</v>
      </c>
      <c r="U134" s="108" t="n">
        <v>0.9399999999999999</v>
      </c>
      <c r="V134" s="108" t="n">
        <v>0.68</v>
      </c>
      <c r="W134" s="108" t="n">
        <v>1.14</v>
      </c>
      <c r="X134" s="109" t="n">
        <v>0.08</v>
      </c>
      <c r="Y134" s="109" t="n">
        <v>0.03</v>
      </c>
      <c r="Z134" s="111" t="inlineStr">
        <is>
          <t>N/A</t>
        </is>
      </c>
      <c r="AA134" s="109" t="n">
        <v>0.02</v>
      </c>
      <c r="AB134" s="109" t="n">
        <v>0</v>
      </c>
      <c r="AC134" s="108" t="n">
        <v>-0.01</v>
      </c>
      <c r="AD134" s="108" t="n">
        <v>-0.01</v>
      </c>
      <c r="AE134" s="108" t="n">
        <v>0.03</v>
      </c>
      <c r="AF134" s="108" t="n">
        <v>0.32</v>
      </c>
      <c r="AG134" s="108" t="n">
        <v>0.09</v>
      </c>
      <c r="AH134" s="108" t="n">
        <v>0.48</v>
      </c>
      <c r="AI134" s="108" t="n">
        <v>0.82</v>
      </c>
      <c r="AJ134" s="108" t="n">
        <v>1.88</v>
      </c>
      <c r="AK134" s="106" t="inlineStr">
        <is>
          <t>Grey</t>
        </is>
      </c>
      <c r="AL134" s="108" t="n">
        <v>0.03</v>
      </c>
      <c r="AM134" s="108" t="n">
        <v>0.32</v>
      </c>
      <c r="AN134" s="108" t="n">
        <v>0.09</v>
      </c>
      <c r="AO134" s="108" t="n">
        <v>0.48</v>
      </c>
      <c r="AP134" s="108" t="n">
        <v>0.82</v>
      </c>
      <c r="AQ134" s="107" t="n">
        <v>1.58</v>
      </c>
      <c r="AR134" s="107" t="inlineStr">
        <is>
          <t>Grey</t>
        </is>
      </c>
      <c r="AS134" s="108" t="n">
        <v>0.03</v>
      </c>
      <c r="AT134" s="108" t="n">
        <v>0.32</v>
      </c>
      <c r="AU134" s="108" t="n">
        <v>0.09</v>
      </c>
      <c r="AV134" s="108" t="n">
        <v>0.48</v>
      </c>
      <c r="AW134" s="107" t="n">
        <v>2.33</v>
      </c>
      <c r="AX134" s="107" t="inlineStr">
        <is>
          <t>Grey</t>
        </is>
      </c>
      <c r="AY134" s="108" t="n">
        <v>0.03</v>
      </c>
      <c r="AZ134" s="108" t="n">
        <v>0.09</v>
      </c>
      <c r="BA134" s="108" t="n">
        <v>0.37</v>
      </c>
      <c r="BB134" s="108" t="n">
        <v>0.82</v>
      </c>
      <c r="BC134" s="107" t="n">
        <v>0.87</v>
      </c>
      <c r="BD134" s="107" t="inlineStr">
        <is>
          <t>Healthy</t>
        </is>
      </c>
      <c r="BE134" s="108" t="n">
        <v>0.08</v>
      </c>
      <c r="BF134" s="108" t="n">
        <v>0.68</v>
      </c>
      <c r="BG134" s="108" t="n">
        <v>1.1</v>
      </c>
      <c r="BH134" s="108" t="n">
        <v>-0.86</v>
      </c>
      <c r="BI134" s="107" t="n">
        <v>0.3</v>
      </c>
      <c r="BJ134" s="107" t="inlineStr">
        <is>
          <t>Healthy</t>
        </is>
      </c>
      <c r="BK134" s="107" t="n">
        <v>1</v>
      </c>
      <c r="BL134" s="107" t="n">
        <v>1</v>
      </c>
      <c r="BM134" s="107" t="n">
        <v>0</v>
      </c>
      <c r="BN134" s="107" t="n">
        <v>1</v>
      </c>
      <c r="BO134" s="107" t="n">
        <v>1</v>
      </c>
      <c r="BP134" s="107" t="n">
        <v>1</v>
      </c>
      <c r="BQ134" s="107" t="n">
        <v>1</v>
      </c>
      <c r="BR134" s="107" t="n">
        <v>0</v>
      </c>
      <c r="BS134" s="107" t="n">
        <v>0</v>
      </c>
      <c r="BT134" s="107" t="n">
        <v>6</v>
      </c>
      <c r="BU134" s="107" t="inlineStr">
        <is>
          <t>Mixed</t>
        </is>
      </c>
      <c r="BV134" s="108" t="n">
        <v>1.06</v>
      </c>
      <c r="BW134" s="108" t="n">
        <v>1.03</v>
      </c>
      <c r="BX134" s="108" t="n">
        <v>0.98</v>
      </c>
      <c r="BY134" s="108" t="n">
        <v>1.02</v>
      </c>
      <c r="BZ134" s="108" t="n">
        <v>0.97</v>
      </c>
      <c r="CA134" s="108" t="n">
        <v>0.99</v>
      </c>
      <c r="CB134" s="108" t="n">
        <v>0.98</v>
      </c>
      <c r="CC134" s="108" t="n">
        <v>-0.01</v>
      </c>
      <c r="CD134" s="107" t="n">
        <v>-2.44</v>
      </c>
      <c r="CE134" s="107" t="inlineStr">
        <is>
          <t>Lower Risk</t>
        </is>
      </c>
      <c r="CF134" s="108" t="n">
        <v>1.89</v>
      </c>
      <c r="CG134" s="108" t="n">
        <v>52.38</v>
      </c>
      <c r="CH134" s="107" t="n">
        <v>0</v>
      </c>
      <c r="CI134" s="107" t="inlineStr">
        <is>
          <t>CLEAR</t>
        </is>
      </c>
    </row>
    <row r="135" ht="17" customHeight="1">
      <c r="A135" s="103" t="inlineStr">
        <is>
          <t>V</t>
        </is>
      </c>
      <c r="B135" s="103" t="inlineStr">
        <is>
          <t>VISA INC.</t>
        </is>
      </c>
      <c r="C135" s="104" t="n">
        <v>2718000000</v>
      </c>
      <c r="D135" s="105" t="n">
        <v>1.1</v>
      </c>
      <c r="E135" s="105" t="n">
        <v>1.11</v>
      </c>
      <c r="F135" s="105" t="n">
        <v>0.92</v>
      </c>
      <c r="G135" s="105" t="n">
        <v>0.2</v>
      </c>
      <c r="H135" s="105" t="n">
        <v>0.21</v>
      </c>
      <c r="I135" s="105" t="n">
        <v>0.76</v>
      </c>
      <c r="J135" s="105" t="n">
        <v>0.37</v>
      </c>
      <c r="K135" s="105" t="n">
        <v>0.22</v>
      </c>
      <c r="L135" s="105" t="n">
        <v>0.24</v>
      </c>
      <c r="M135" s="105" t="n">
        <v>0.22</v>
      </c>
      <c r="N135" s="104" t="n">
        <v>0.24</v>
      </c>
      <c r="O135" s="104" t="n">
        <v>1.08</v>
      </c>
      <c r="P135" s="104" t="n">
        <v>1.28</v>
      </c>
      <c r="Q135" s="104" t="n">
        <v>1.08</v>
      </c>
      <c r="R135" s="104" t="n">
        <v>0.49</v>
      </c>
      <c r="S135" s="104" t="n">
        <v>0.62</v>
      </c>
      <c r="T135" s="104" t="n">
        <v>0.59</v>
      </c>
      <c r="U135" s="104" t="n">
        <v>1</v>
      </c>
      <c r="V135" s="104" t="n">
        <v>0.35</v>
      </c>
      <c r="W135" s="104" t="n">
        <v>1.15</v>
      </c>
      <c r="X135" s="105" t="n">
        <v>0.99</v>
      </c>
      <c r="Y135" s="105" t="n">
        <v>0</v>
      </c>
      <c r="Z135" s="105" t="n">
        <v>-827.38</v>
      </c>
      <c r="AA135" s="105" t="n">
        <v>-0.05</v>
      </c>
      <c r="AB135" s="105" t="n">
        <v>0.02</v>
      </c>
      <c r="AC135" s="104" t="n">
        <v>-0.03</v>
      </c>
      <c r="AD135" s="104" t="n">
        <v>-0.03</v>
      </c>
      <c r="AE135" s="104" t="n">
        <v>0.03</v>
      </c>
      <c r="AF135" s="104" t="n">
        <v>0.15</v>
      </c>
      <c r="AG135" s="104" t="n">
        <v>0.24</v>
      </c>
      <c r="AH135" s="104" t="n">
        <v>0.43</v>
      </c>
      <c r="AI135" s="104" t="n">
        <v>0.22</v>
      </c>
      <c r="AJ135" s="104" t="n">
        <v>1.52</v>
      </c>
      <c r="AK135" s="112" t="inlineStr">
        <is>
          <t>Distress</t>
        </is>
      </c>
      <c r="AL135" s="104" t="n">
        <v>0.03</v>
      </c>
      <c r="AM135" s="104" t="n">
        <v>0.15</v>
      </c>
      <c r="AN135" s="104" t="n">
        <v>0.24</v>
      </c>
      <c r="AO135" s="104" t="n">
        <v>0.43</v>
      </c>
      <c r="AP135" s="104" t="n">
        <v>0.22</v>
      </c>
      <c r="AQ135" s="103" t="n">
        <v>1.3</v>
      </c>
      <c r="AR135" s="103" t="inlineStr">
        <is>
          <t>Grey</t>
        </is>
      </c>
      <c r="AS135" s="104" t="n">
        <v>0.03</v>
      </c>
      <c r="AT135" s="104" t="n">
        <v>0.15</v>
      </c>
      <c r="AU135" s="104" t="n">
        <v>0.24</v>
      </c>
      <c r="AV135" s="104" t="n">
        <v>0.43</v>
      </c>
      <c r="AW135" s="103" t="n">
        <v>2.74</v>
      </c>
      <c r="AX135" s="103" t="inlineStr">
        <is>
          <t>Safe</t>
        </is>
      </c>
      <c r="AY135" s="104" t="n">
        <v>0.03</v>
      </c>
      <c r="AZ135" s="104" t="n">
        <v>0.24</v>
      </c>
      <c r="BA135" s="104" t="n">
        <v>0.6899999999999999</v>
      </c>
      <c r="BB135" s="104" t="n">
        <v>0.22</v>
      </c>
      <c r="BC135" s="103" t="n">
        <v>1.31</v>
      </c>
      <c r="BD135" s="103" t="inlineStr">
        <is>
          <t>Healthy</t>
        </is>
      </c>
      <c r="BE135" s="104" t="n">
        <v>0.2</v>
      </c>
      <c r="BF135" s="104" t="n">
        <v>0.62</v>
      </c>
      <c r="BG135" s="104" t="n">
        <v>1.08</v>
      </c>
      <c r="BH135" s="104" t="n">
        <v>-1.72</v>
      </c>
      <c r="BI135" s="103" t="n">
        <v>0.15</v>
      </c>
      <c r="BJ135" s="103" t="inlineStr">
        <is>
          <t>Healthy</t>
        </is>
      </c>
      <c r="BK135" s="103" t="n">
        <v>1</v>
      </c>
      <c r="BL135" s="103" t="n">
        <v>1</v>
      </c>
      <c r="BM135" s="103" t="n">
        <v>0</v>
      </c>
      <c r="BN135" s="103" t="n">
        <v>1</v>
      </c>
      <c r="BO135" s="103" t="n">
        <v>1</v>
      </c>
      <c r="BP135" s="103" t="n">
        <v>0</v>
      </c>
      <c r="BQ135" s="103" t="n">
        <v>0</v>
      </c>
      <c r="BR135" s="103" t="n">
        <v>0</v>
      </c>
      <c r="BS135" s="103" t="n">
        <v>0</v>
      </c>
      <c r="BT135" s="103" t="n">
        <v>4</v>
      </c>
      <c r="BU135" s="103" t="inlineStr">
        <is>
          <t>Mixed</t>
        </is>
      </c>
      <c r="BV135" s="104" t="n">
        <v>1.28</v>
      </c>
      <c r="BW135" s="113" t="inlineStr">
        <is>
          <t>N/A</t>
        </is>
      </c>
      <c r="BX135" s="104" t="n">
        <v>0.96</v>
      </c>
      <c r="BY135" s="104" t="n">
        <v>0.95</v>
      </c>
      <c r="BZ135" s="104" t="n">
        <v>0.95</v>
      </c>
      <c r="CA135" s="104" t="n">
        <v>1.27</v>
      </c>
      <c r="CB135" s="104" t="n">
        <v>1.06</v>
      </c>
      <c r="CC135" s="104" t="n">
        <v>-0.03</v>
      </c>
      <c r="CD135" s="113" t="inlineStr">
        <is>
          <t>N/A</t>
        </is>
      </c>
      <c r="CE135" s="113" t="inlineStr">
        <is>
          <t>N/A</t>
        </is>
      </c>
      <c r="CF135" s="104" t="n">
        <v>0.37</v>
      </c>
      <c r="CG135" s="104" t="n">
        <v>43.87</v>
      </c>
      <c r="CH135" s="103" t="n">
        <v>0</v>
      </c>
      <c r="CI135" s="103" t="inlineStr">
        <is>
          <t>CLEAR</t>
        </is>
      </c>
    </row>
    <row r="136" ht="17" customHeight="1">
      <c r="A136" s="107" t="inlineStr">
        <is>
          <t>MDT</t>
        </is>
      </c>
      <c r="B136" s="107" t="inlineStr">
        <is>
          <t>Medtronic plc</t>
        </is>
      </c>
      <c r="C136" s="108" t="n">
        <v>13129000000</v>
      </c>
      <c r="D136" s="109" t="n">
        <v>0.18</v>
      </c>
      <c r="E136" s="109" t="n">
        <v>0.17</v>
      </c>
      <c r="F136" s="109" t="n">
        <v>0.13</v>
      </c>
      <c r="G136" s="109" t="n">
        <v>0.05</v>
      </c>
      <c r="H136" s="109" t="n">
        <v>0.05</v>
      </c>
      <c r="I136" s="109" t="n">
        <v>0.1</v>
      </c>
      <c r="J136" s="109" t="n">
        <v>0.08</v>
      </c>
      <c r="K136" s="109" t="n">
        <v>0.1</v>
      </c>
      <c r="L136" s="109" t="n">
        <v>0.16</v>
      </c>
      <c r="M136" s="109" t="n">
        <v>0.39</v>
      </c>
      <c r="N136" s="108" t="n">
        <v>0.37</v>
      </c>
      <c r="O136" s="108" t="n">
        <v>2.13</v>
      </c>
      <c r="P136" s="108" t="n">
        <v>1.85</v>
      </c>
      <c r="Q136" s="108" t="n">
        <v>1.62</v>
      </c>
      <c r="R136" s="108" t="n">
        <v>0.17</v>
      </c>
      <c r="S136" s="108" t="n">
        <v>0.46</v>
      </c>
      <c r="T136" s="108" t="n">
        <v>0.47</v>
      </c>
      <c r="U136" s="108" t="n">
        <v>0.48</v>
      </c>
      <c r="V136" s="108" t="n">
        <v>0.44</v>
      </c>
      <c r="W136" s="108" t="n">
        <v>1.53</v>
      </c>
      <c r="X136" s="109" t="n">
        <v>0.15</v>
      </c>
      <c r="Y136" s="109" t="n">
        <v>0.08</v>
      </c>
      <c r="Z136" s="109" t="n">
        <v>8.99</v>
      </c>
      <c r="AA136" s="109" t="n">
        <v>0.08</v>
      </c>
      <c r="AB136" s="109" t="n">
        <v>0.03</v>
      </c>
      <c r="AC136" s="108" t="n">
        <v>-0.03</v>
      </c>
      <c r="AD136" s="108" t="n">
        <v>-0.03</v>
      </c>
      <c r="AE136" s="108" t="n">
        <v>0.14</v>
      </c>
      <c r="AF136" s="108" t="n">
        <v>0.35</v>
      </c>
      <c r="AG136" s="108" t="n">
        <v>0.07000000000000001</v>
      </c>
      <c r="AH136" s="108" t="n">
        <v>1.15</v>
      </c>
      <c r="AI136" s="108" t="n">
        <v>0.39</v>
      </c>
      <c r="AJ136" s="108" t="n">
        <v>1.97</v>
      </c>
      <c r="AK136" s="106" t="inlineStr">
        <is>
          <t>Grey</t>
        </is>
      </c>
      <c r="AL136" s="108" t="n">
        <v>0.14</v>
      </c>
      <c r="AM136" s="108" t="n">
        <v>0.35</v>
      </c>
      <c r="AN136" s="108" t="n">
        <v>0.07000000000000001</v>
      </c>
      <c r="AO136" s="108" t="n">
        <v>1.15</v>
      </c>
      <c r="AP136" s="108" t="n">
        <v>0.39</v>
      </c>
      <c r="AQ136" s="107" t="n">
        <v>1.49</v>
      </c>
      <c r="AR136" s="107" t="inlineStr">
        <is>
          <t>Grey</t>
        </is>
      </c>
      <c r="AS136" s="108" t="n">
        <v>0.14</v>
      </c>
      <c r="AT136" s="108" t="n">
        <v>0.35</v>
      </c>
      <c r="AU136" s="108" t="n">
        <v>0.07000000000000001</v>
      </c>
      <c r="AV136" s="108" t="n">
        <v>1.15</v>
      </c>
      <c r="AW136" s="107" t="n">
        <v>3.75</v>
      </c>
      <c r="AX136" s="107" t="inlineStr">
        <is>
          <t>Safe</t>
        </is>
      </c>
      <c r="AY136" s="108" t="n">
        <v>0.14</v>
      </c>
      <c r="AZ136" s="108" t="n">
        <v>0.07000000000000001</v>
      </c>
      <c r="BA136" s="108" t="n">
        <v>0.53</v>
      </c>
      <c r="BB136" s="108" t="n">
        <v>0.39</v>
      </c>
      <c r="BC136" s="107" t="n">
        <v>0.86</v>
      </c>
      <c r="BD136" s="107" t="inlineStr">
        <is>
          <t>Healthy</t>
        </is>
      </c>
      <c r="BE136" s="108" t="n">
        <v>0.05</v>
      </c>
      <c r="BF136" s="108" t="n">
        <v>0.46</v>
      </c>
      <c r="BG136" s="108" t="n">
        <v>2.13</v>
      </c>
      <c r="BH136" s="108" t="n">
        <v>-1.94</v>
      </c>
      <c r="BI136" s="107" t="n">
        <v>0.13</v>
      </c>
      <c r="BJ136" s="107" t="inlineStr">
        <is>
          <t>Healthy</t>
        </is>
      </c>
      <c r="BK136" s="107" t="n">
        <v>1</v>
      </c>
      <c r="BL136" s="107" t="n">
        <v>1</v>
      </c>
      <c r="BM136" s="107" t="n">
        <v>1</v>
      </c>
      <c r="BN136" s="107" t="n">
        <v>1</v>
      </c>
      <c r="BO136" s="107" t="n">
        <v>1</v>
      </c>
      <c r="BP136" s="107" t="n">
        <v>1</v>
      </c>
      <c r="BQ136" s="107" t="n">
        <v>1</v>
      </c>
      <c r="BR136" s="107" t="n">
        <v>0</v>
      </c>
      <c r="BS136" s="107" t="n">
        <v>1</v>
      </c>
      <c r="BT136" s="107" t="n">
        <v>8</v>
      </c>
      <c r="BU136" s="107" t="inlineStr">
        <is>
          <t>Strong</t>
        </is>
      </c>
      <c r="BV136" s="108" t="n">
        <v>0.9399999999999999</v>
      </c>
      <c r="BW136" s="108" t="n">
        <v>1.54</v>
      </c>
      <c r="BX136" s="108" t="n">
        <v>0.98</v>
      </c>
      <c r="BY136" s="108" t="n">
        <v>1.08</v>
      </c>
      <c r="BZ136" s="108" t="n">
        <v>1.03</v>
      </c>
      <c r="CA136" s="108" t="n">
        <v>1</v>
      </c>
      <c r="CB136" s="108" t="n">
        <v>0.97</v>
      </c>
      <c r="CC136" s="108" t="n">
        <v>-0.03</v>
      </c>
      <c r="CD136" s="107" t="n">
        <v>-2.29</v>
      </c>
      <c r="CE136" s="107" t="inlineStr">
        <is>
          <t>Lower Risk</t>
        </is>
      </c>
      <c r="CF136" s="108" t="n">
        <v>2.33</v>
      </c>
      <c r="CG136" s="108" t="n">
        <v>61.05</v>
      </c>
      <c r="CH136" s="107" t="n">
        <v>0</v>
      </c>
      <c r="CI136" s="107" t="inlineStr">
        <is>
          <t>CLEAR</t>
        </is>
      </c>
    </row>
    <row r="137" ht="17" customHeight="1">
      <c r="A137" s="103" t="inlineStr">
        <is>
          <t>WDC</t>
        </is>
      </c>
      <c r="B137" s="103" t="inlineStr">
        <is>
          <t>WESTERN DIGITAL CORPORATION</t>
        </is>
      </c>
      <c r="C137" s="104" t="n">
        <v>438000000</v>
      </c>
      <c r="D137" s="105" t="n">
        <v>0.25</v>
      </c>
      <c r="E137" s="105" t="n">
        <v>0.12</v>
      </c>
      <c r="F137" s="105" t="n">
        <v>0.2</v>
      </c>
      <c r="G137" s="105" t="n">
        <v>0.13</v>
      </c>
      <c r="H137" s="105" t="n">
        <v>0.01</v>
      </c>
      <c r="I137" s="105" t="n">
        <v>0.36</v>
      </c>
      <c r="J137" s="105" t="n">
        <v>0.27</v>
      </c>
      <c r="K137" s="105" t="n">
        <v>0.39</v>
      </c>
      <c r="L137" s="105" t="n">
        <v>0.41</v>
      </c>
      <c r="M137" s="105" t="n">
        <v>0.68</v>
      </c>
      <c r="N137" s="104" t="n">
        <v>0.11</v>
      </c>
      <c r="O137" s="104" t="n">
        <v>1.08</v>
      </c>
      <c r="P137" s="104" t="n">
        <v>1.32</v>
      </c>
      <c r="Q137" s="104" t="n">
        <v>0.84</v>
      </c>
      <c r="R137" s="104" t="n">
        <v>0.39</v>
      </c>
      <c r="S137" s="104" t="n">
        <v>0.6</v>
      </c>
      <c r="T137" s="104" t="n">
        <v>0.54</v>
      </c>
      <c r="U137" s="104" t="n">
        <v>0.9399999999999999</v>
      </c>
      <c r="V137" s="104" t="n">
        <v>0.54</v>
      </c>
      <c r="W137" s="104" t="n">
        <v>0.9</v>
      </c>
      <c r="X137" s="105" t="n">
        <v>0.13</v>
      </c>
      <c r="Y137" s="105" t="n">
        <v>0.1</v>
      </c>
      <c r="Z137" s="105" t="n">
        <v>7.48</v>
      </c>
      <c r="AA137" s="105" t="n">
        <v>2.65</v>
      </c>
      <c r="AB137" s="105" t="n">
        <v>5.7</v>
      </c>
      <c r="AC137" s="104" t="n">
        <v>0.01</v>
      </c>
      <c r="AD137" s="104" t="n">
        <v>0.01</v>
      </c>
      <c r="AE137" s="104" t="n">
        <v>0.03</v>
      </c>
      <c r="AF137" s="104" t="n">
        <v>0.05</v>
      </c>
      <c r="AG137" s="104" t="n">
        <v>0.17</v>
      </c>
      <c r="AH137" s="104" t="n">
        <v>0.63</v>
      </c>
      <c r="AI137" s="104" t="n">
        <v>0.68</v>
      </c>
      <c r="AJ137" s="104" t="n">
        <v>1.72</v>
      </c>
      <c r="AK137" s="112" t="inlineStr">
        <is>
          <t>Distress</t>
        </is>
      </c>
      <c r="AL137" s="104" t="n">
        <v>0.03</v>
      </c>
      <c r="AM137" s="104" t="n">
        <v>0.05</v>
      </c>
      <c r="AN137" s="104" t="n">
        <v>0.17</v>
      </c>
      <c r="AO137" s="104" t="n">
        <v>0.63</v>
      </c>
      <c r="AP137" s="104" t="n">
        <v>0.68</v>
      </c>
      <c r="AQ137" s="103" t="n">
        <v>1.53</v>
      </c>
      <c r="AR137" s="103" t="inlineStr">
        <is>
          <t>Grey</t>
        </is>
      </c>
      <c r="AS137" s="104" t="n">
        <v>0.03</v>
      </c>
      <c r="AT137" s="104" t="n">
        <v>0.05</v>
      </c>
      <c r="AU137" s="104" t="n">
        <v>0.17</v>
      </c>
      <c r="AV137" s="104" t="n">
        <v>0.63</v>
      </c>
      <c r="AW137" s="103" t="n">
        <v>2.16</v>
      </c>
      <c r="AX137" s="103" t="inlineStr">
        <is>
          <t>Grey</t>
        </is>
      </c>
      <c r="AY137" s="104" t="n">
        <v>0.03</v>
      </c>
      <c r="AZ137" s="104" t="n">
        <v>0.17</v>
      </c>
      <c r="BA137" s="104" t="n">
        <v>0.21</v>
      </c>
      <c r="BB137" s="104" t="n">
        <v>0.68</v>
      </c>
      <c r="BC137" s="103" t="n">
        <v>0.95</v>
      </c>
      <c r="BD137" s="103" t="inlineStr">
        <is>
          <t>Healthy</t>
        </is>
      </c>
      <c r="BE137" s="104" t="n">
        <v>0.13</v>
      </c>
      <c r="BF137" s="104" t="n">
        <v>0.6</v>
      </c>
      <c r="BG137" s="104" t="n">
        <v>1.08</v>
      </c>
      <c r="BH137" s="104" t="n">
        <v>-1.51</v>
      </c>
      <c r="BI137" s="103" t="n">
        <v>0.18</v>
      </c>
      <c r="BJ137" s="103" t="inlineStr">
        <is>
          <t>Healthy</t>
        </is>
      </c>
      <c r="BK137" s="103" t="n">
        <v>1</v>
      </c>
      <c r="BL137" s="103" t="n">
        <v>1</v>
      </c>
      <c r="BM137" s="103" t="n">
        <v>1</v>
      </c>
      <c r="BN137" s="103" t="n">
        <v>0</v>
      </c>
      <c r="BO137" s="103" t="n">
        <v>0</v>
      </c>
      <c r="BP137" s="103" t="n">
        <v>0</v>
      </c>
      <c r="BQ137" s="103" t="n">
        <v>0</v>
      </c>
      <c r="BR137" s="103" t="n">
        <v>0</v>
      </c>
      <c r="BS137" s="103" t="n">
        <v>1</v>
      </c>
      <c r="BT137" s="103" t="n">
        <v>4</v>
      </c>
      <c r="BU137" s="103" t="inlineStr">
        <is>
          <t>Mixed</t>
        </is>
      </c>
      <c r="BV137" s="104" t="n">
        <v>0.19</v>
      </c>
      <c r="BW137" s="104" t="n">
        <v>1.06</v>
      </c>
      <c r="BX137" s="104" t="n">
        <v>0.77</v>
      </c>
      <c r="BY137" s="104" t="n">
        <v>3.65</v>
      </c>
      <c r="BZ137" s="104" t="n">
        <v>0.9399999999999999</v>
      </c>
      <c r="CA137" s="104" t="n">
        <v>0.19</v>
      </c>
      <c r="CB137" s="104" t="n">
        <v>1.11</v>
      </c>
      <c r="CC137" s="104" t="n">
        <v>0.01</v>
      </c>
      <c r="CD137" s="103" t="n">
        <v>-0.76</v>
      </c>
      <c r="CE137" s="103" t="inlineStr">
        <is>
          <t>Higher Risk</t>
        </is>
      </c>
      <c r="CF137" s="104" t="n">
        <v>1.02</v>
      </c>
      <c r="CG137" s="104" t="n">
        <v>39.78</v>
      </c>
      <c r="CH137" s="103" t="n">
        <v>20</v>
      </c>
      <c r="CI137" s="103" t="inlineStr">
        <is>
          <t>CLEAR</t>
        </is>
      </c>
    </row>
    <row r="138" ht="17" customHeight="1">
      <c r="A138" s="107" t="inlineStr">
        <is>
          <t>OPEN</t>
        </is>
      </c>
      <c r="B138" s="107" t="inlineStr">
        <is>
          <t>Opendoor Technologies Inc.</t>
        </is>
      </c>
      <c r="C138" s="108" t="n">
        <v>1972000000</v>
      </c>
      <c r="D138" s="109" t="n">
        <v>-0.07000000000000001</v>
      </c>
      <c r="E138" s="109" t="n">
        <v>-0.3</v>
      </c>
      <c r="F138" s="109" t="n">
        <v>-0.3</v>
      </c>
      <c r="G138" s="109" t="n">
        <v>-0.54</v>
      </c>
      <c r="H138" s="109" t="n">
        <v>-0.13</v>
      </c>
      <c r="I138" s="109" t="n">
        <v>-1.29</v>
      </c>
      <c r="J138" s="109" t="n">
        <v>-0.14</v>
      </c>
      <c r="K138" s="109" t="n">
        <v>0.08</v>
      </c>
      <c r="L138" s="109" t="n">
        <v>0.08</v>
      </c>
      <c r="M138" s="109" t="n">
        <v>1.82</v>
      </c>
      <c r="N138" s="108" t="n">
        <v>1.65</v>
      </c>
      <c r="O138" s="108" t="n">
        <v>7.03</v>
      </c>
      <c r="P138" s="108" t="n">
        <v>5.67</v>
      </c>
      <c r="Q138" s="108" t="n">
        <v>7.03</v>
      </c>
      <c r="R138" s="108" t="n">
        <v>2.94</v>
      </c>
      <c r="S138" s="108" t="n">
        <v>0.58</v>
      </c>
      <c r="T138" s="108" t="n">
        <v>0.77</v>
      </c>
      <c r="U138" s="108" t="n">
        <v>0.48</v>
      </c>
      <c r="V138" s="108" t="n">
        <v>-0.48</v>
      </c>
      <c r="W138" s="108" t="n">
        <v>-0.8100000000000001</v>
      </c>
      <c r="X138" s="109" t="n">
        <v>0.24</v>
      </c>
      <c r="Y138" s="109" t="n">
        <v>0.02</v>
      </c>
      <c r="Z138" s="109" t="n">
        <v>-1.36</v>
      </c>
      <c r="AA138" s="109" t="n">
        <v>-0.15</v>
      </c>
      <c r="AB138" s="109" t="n">
        <v>2.32</v>
      </c>
      <c r="AC138" s="108" t="n">
        <v>-0.98</v>
      </c>
      <c r="AD138" s="108" t="n">
        <v>-0.98</v>
      </c>
      <c r="AE138" s="108" t="n">
        <v>0.82</v>
      </c>
      <c r="AF138" s="108" t="n">
        <v>-2.09</v>
      </c>
      <c r="AG138" s="108" t="n">
        <v>-0.12</v>
      </c>
      <c r="AH138" s="108" t="n">
        <v>0.72</v>
      </c>
      <c r="AI138" s="108" t="n">
        <v>1.82</v>
      </c>
      <c r="AJ138" s="108" t="n">
        <v>-0.09</v>
      </c>
      <c r="AK138" s="112" t="inlineStr">
        <is>
          <t>Distress</t>
        </is>
      </c>
      <c r="AL138" s="108" t="n">
        <v>0.82</v>
      </c>
      <c r="AM138" s="108" t="n">
        <v>-2.09</v>
      </c>
      <c r="AN138" s="108" t="n">
        <v>-0.12</v>
      </c>
      <c r="AO138" s="108" t="n">
        <v>0.72</v>
      </c>
      <c r="AP138" s="108" t="n">
        <v>1.82</v>
      </c>
      <c r="AQ138" s="107" t="n">
        <v>0.5600000000000001</v>
      </c>
      <c r="AR138" s="107" t="inlineStr">
        <is>
          <t>Distress</t>
        </is>
      </c>
      <c r="AS138" s="108" t="n">
        <v>0.82</v>
      </c>
      <c r="AT138" s="108" t="n">
        <v>-2.09</v>
      </c>
      <c r="AU138" s="108" t="n">
        <v>-0.12</v>
      </c>
      <c r="AV138" s="108" t="n">
        <v>0.72</v>
      </c>
      <c r="AW138" s="107" t="n">
        <v>-1.49</v>
      </c>
      <c r="AX138" s="107" t="inlineStr">
        <is>
          <t>Distress</t>
        </is>
      </c>
      <c r="AY138" s="108" t="n">
        <v>0.82</v>
      </c>
      <c r="AZ138" s="108" t="n">
        <v>-0.12</v>
      </c>
      <c r="BA138" s="108" t="n">
        <v>-3.98</v>
      </c>
      <c r="BB138" s="108" t="n">
        <v>1.82</v>
      </c>
      <c r="BC138" s="107" t="n">
        <v>-1.42</v>
      </c>
      <c r="BD138" s="107" t="inlineStr">
        <is>
          <t>Distress</t>
        </is>
      </c>
      <c r="BE138" s="108" t="n">
        <v>-0.54</v>
      </c>
      <c r="BF138" s="108" t="n">
        <v>0.58</v>
      </c>
      <c r="BG138" s="108" t="n">
        <v>7.03</v>
      </c>
      <c r="BH138" s="108" t="n">
        <v>1.44</v>
      </c>
      <c r="BI138" s="107" t="n">
        <v>0.8100000000000001</v>
      </c>
      <c r="BJ138" s="107" t="inlineStr">
        <is>
          <t>Distress</t>
        </is>
      </c>
      <c r="BK138" s="107" t="n">
        <v>0</v>
      </c>
      <c r="BL138" s="107" t="n">
        <v>1</v>
      </c>
      <c r="BM138" s="107" t="n">
        <v>0</v>
      </c>
      <c r="BN138" s="107" t="n">
        <v>1</v>
      </c>
      <c r="BO138" s="107" t="n">
        <v>0</v>
      </c>
      <c r="BP138" s="107" t="n">
        <v>1</v>
      </c>
      <c r="BQ138" s="107" t="n">
        <v>0</v>
      </c>
      <c r="BR138" s="107" t="n">
        <v>0</v>
      </c>
      <c r="BS138" s="107" t="n">
        <v>1</v>
      </c>
      <c r="BT138" s="107" t="n">
        <v>4</v>
      </c>
      <c r="BU138" s="107" t="inlineStr">
        <is>
          <t>Mixed</t>
        </is>
      </c>
      <c r="BV138" s="111" t="inlineStr">
        <is>
          <t>N/A</t>
        </is>
      </c>
      <c r="BW138" s="108" t="n">
        <v>1.05</v>
      </c>
      <c r="BX138" s="108" t="n">
        <v>1.3</v>
      </c>
      <c r="BY138" s="108" t="n">
        <v>0.85</v>
      </c>
      <c r="BZ138" s="108" t="n">
        <v>0.76</v>
      </c>
      <c r="CA138" s="108" t="n">
        <v>1.54</v>
      </c>
      <c r="CB138" s="108" t="n">
        <v>0.75</v>
      </c>
      <c r="CC138" s="108" t="n">
        <v>-0.98</v>
      </c>
      <c r="CD138" s="111" t="inlineStr">
        <is>
          <t>N/A</t>
        </is>
      </c>
      <c r="CE138" s="111" t="inlineStr">
        <is>
          <t>N/A</t>
        </is>
      </c>
      <c r="CF138" s="108" t="n">
        <v>1.88</v>
      </c>
      <c r="CG138" s="108" t="n">
        <v>41.52</v>
      </c>
      <c r="CH138" s="106" t="n">
        <v>40</v>
      </c>
      <c r="CI138" s="107" t="inlineStr">
        <is>
          <t>WATCH</t>
        </is>
      </c>
    </row>
    <row r="139" ht="17" customHeight="1">
      <c r="A139" s="103" t="inlineStr">
        <is>
          <t>RHI</t>
        </is>
      </c>
      <c r="B139" s="103" t="inlineStr">
        <is>
          <t>Robert Half Inc.</t>
        </is>
      </c>
      <c r="C139" s="104" t="n">
        <v>734516000</v>
      </c>
      <c r="D139" s="105" t="n">
        <v>0.01</v>
      </c>
      <c r="E139" s="105" t="n">
        <v>0.04</v>
      </c>
      <c r="F139" s="105" t="n">
        <v>0.02</v>
      </c>
      <c r="G139" s="105" t="n">
        <v>0.05</v>
      </c>
      <c r="H139" s="105" t="n">
        <v>0.09</v>
      </c>
      <c r="I139" s="105" t="n">
        <v>0.1</v>
      </c>
      <c r="J139" s="105" t="n">
        <v>0.05</v>
      </c>
      <c r="K139" s="105" t="n">
        <v>0.37</v>
      </c>
      <c r="L139" s="105" t="n">
        <v>0.39</v>
      </c>
      <c r="M139" s="105" t="n">
        <v>1.88</v>
      </c>
      <c r="N139" s="104" t="n">
        <v>2.03</v>
      </c>
      <c r="O139" s="104" t="n">
        <v>1.53</v>
      </c>
      <c r="P139" s="104" t="n">
        <v>1.66</v>
      </c>
      <c r="Q139" s="104" t="n">
        <v>1.53</v>
      </c>
      <c r="R139" s="104" t="n">
        <v>0.34</v>
      </c>
      <c r="S139" s="104" t="n">
        <v>0.55</v>
      </c>
      <c r="T139" s="104" t="n">
        <v>0.52</v>
      </c>
      <c r="U139" s="104" t="n">
        <v>0</v>
      </c>
      <c r="V139" s="104" t="n">
        <v>-0.36</v>
      </c>
      <c r="W139" s="104" t="n">
        <v>2.41</v>
      </c>
      <c r="X139" s="105" t="n">
        <v>0.05</v>
      </c>
      <c r="Y139" s="105" t="n">
        <v>0</v>
      </c>
      <c r="Z139" s="105" t="n">
        <v>275.04</v>
      </c>
      <c r="AA139" s="105" t="n">
        <v>-0.07000000000000001</v>
      </c>
      <c r="AB139" s="105" t="n">
        <v>-0.47</v>
      </c>
      <c r="AC139" s="104" t="n">
        <v>-0.07000000000000001</v>
      </c>
      <c r="AD139" s="104" t="n">
        <v>-0.07000000000000001</v>
      </c>
      <c r="AE139" s="104" t="n">
        <v>0.26</v>
      </c>
      <c r="AF139" s="104" t="n">
        <v>0</v>
      </c>
      <c r="AG139" s="104" t="n">
        <v>0.03</v>
      </c>
      <c r="AH139" s="104" t="n">
        <v>0.8100000000000001</v>
      </c>
      <c r="AI139" s="104" t="n">
        <v>1.88</v>
      </c>
      <c r="AJ139" s="104" t="n">
        <v>2.76</v>
      </c>
      <c r="AK139" s="106" t="inlineStr">
        <is>
          <t>Grey</t>
        </is>
      </c>
      <c r="AL139" s="104" t="n">
        <v>0.26</v>
      </c>
      <c r="AM139" s="104" t="n">
        <v>0</v>
      </c>
      <c r="AN139" s="104" t="n">
        <v>0.03</v>
      </c>
      <c r="AO139" s="104" t="n">
        <v>0.8100000000000001</v>
      </c>
      <c r="AP139" s="104" t="n">
        <v>1.88</v>
      </c>
      <c r="AQ139" s="103" t="n">
        <v>2.49</v>
      </c>
      <c r="AR139" s="103" t="inlineStr">
        <is>
          <t>Grey</t>
        </is>
      </c>
      <c r="AS139" s="104" t="n">
        <v>0.26</v>
      </c>
      <c r="AT139" s="104" t="n">
        <v>0</v>
      </c>
      <c r="AU139" s="104" t="n">
        <v>0.03</v>
      </c>
      <c r="AV139" s="104" t="n">
        <v>0.8100000000000001</v>
      </c>
      <c r="AW139" s="103" t="n">
        <v>2.71</v>
      </c>
      <c r="AX139" s="103" t="inlineStr">
        <is>
          <t>Safe</t>
        </is>
      </c>
      <c r="AY139" s="104" t="n">
        <v>0.26</v>
      </c>
      <c r="AZ139" s="104" t="n">
        <v>0.03</v>
      </c>
      <c r="BA139" s="104" t="n">
        <v>0.14</v>
      </c>
      <c r="BB139" s="104" t="n">
        <v>1.88</v>
      </c>
      <c r="BC139" s="103" t="n">
        <v>1.19</v>
      </c>
      <c r="BD139" s="103" t="inlineStr">
        <is>
          <t>Healthy</t>
        </is>
      </c>
      <c r="BE139" s="104" t="n">
        <v>0.05</v>
      </c>
      <c r="BF139" s="104" t="n">
        <v>0.55</v>
      </c>
      <c r="BG139" s="104" t="n">
        <v>1.53</v>
      </c>
      <c r="BH139" s="104" t="n">
        <v>-1.4</v>
      </c>
      <c r="BI139" s="103" t="n">
        <v>0.2</v>
      </c>
      <c r="BJ139" s="103" t="inlineStr">
        <is>
          <t>Healthy</t>
        </is>
      </c>
      <c r="BK139" s="103" t="n">
        <v>1</v>
      </c>
      <c r="BL139" s="103" t="n">
        <v>1</v>
      </c>
      <c r="BM139" s="103" t="n">
        <v>0</v>
      </c>
      <c r="BN139" s="103" t="n">
        <v>1</v>
      </c>
      <c r="BO139" s="103" t="n">
        <v>1</v>
      </c>
      <c r="BP139" s="103" t="n">
        <v>0</v>
      </c>
      <c r="BQ139" s="103" t="n">
        <v>1</v>
      </c>
      <c r="BR139" s="103" t="n">
        <v>0</v>
      </c>
      <c r="BS139" s="103" t="n">
        <v>0</v>
      </c>
      <c r="BT139" s="103" t="n">
        <v>5</v>
      </c>
      <c r="BU139" s="103" t="inlineStr">
        <is>
          <t>Mixed</t>
        </is>
      </c>
      <c r="BV139" s="104" t="n">
        <v>1.04</v>
      </c>
      <c r="BW139" s="104" t="n">
        <v>1.04</v>
      </c>
      <c r="BX139" s="104" t="n">
        <v>1</v>
      </c>
      <c r="BY139" s="104" t="n">
        <v>0.93</v>
      </c>
      <c r="BZ139" s="104" t="n">
        <v>1.08</v>
      </c>
      <c r="CA139" s="104" t="n">
        <v>1.04</v>
      </c>
      <c r="CB139" s="104" t="n">
        <v>1.07</v>
      </c>
      <c r="CC139" s="104" t="n">
        <v>-0.07000000000000001</v>
      </c>
      <c r="CD139" s="103" t="n">
        <v>-2.81</v>
      </c>
      <c r="CE139" s="103" t="inlineStr">
        <is>
          <t>Lower Risk</t>
        </is>
      </c>
      <c r="CF139" s="104" t="n">
        <v>-3.67</v>
      </c>
      <c r="CG139" s="104" t="n">
        <v>52.33</v>
      </c>
      <c r="CH139" s="103" t="n">
        <v>0</v>
      </c>
      <c r="CI139" s="103" t="inlineStr">
        <is>
          <t>CLEAR</t>
        </is>
      </c>
    </row>
    <row r="140" ht="17" customHeight="1">
      <c r="A140" s="107" t="inlineStr">
        <is>
          <t>RCKT</t>
        </is>
      </c>
      <c r="B140" s="107" t="inlineStr">
        <is>
          <t>Rocket Pharmaceuticals, Inc.</t>
        </is>
      </c>
      <c r="C140" s="108" t="n">
        <v>162528000</v>
      </c>
      <c r="D140" s="111" t="inlineStr">
        <is>
          <t>N/A</t>
        </is>
      </c>
      <c r="E140" s="111" t="inlineStr">
        <is>
          <t>N/A</t>
        </is>
      </c>
      <c r="F140" s="111" t="inlineStr">
        <is>
          <t>N/A</t>
        </is>
      </c>
      <c r="G140" s="109" t="n">
        <v>-0.68</v>
      </c>
      <c r="H140" s="109" t="n">
        <v>-0.49</v>
      </c>
      <c r="I140" s="109" t="n">
        <v>-0.8</v>
      </c>
      <c r="J140" s="109" t="n">
        <v>-0.77</v>
      </c>
      <c r="K140" s="111" t="inlineStr">
        <is>
          <t>N/A</t>
        </is>
      </c>
      <c r="L140" s="111" t="inlineStr">
        <is>
          <t>N/A</t>
        </is>
      </c>
      <c r="M140" s="109" t="n">
        <v>0</v>
      </c>
      <c r="N140" s="108" t="n">
        <v>0</v>
      </c>
      <c r="O140" s="108" t="n">
        <v>6.38</v>
      </c>
      <c r="P140" s="108" t="n">
        <v>9.300000000000001</v>
      </c>
      <c r="Q140" s="108" t="n">
        <v>6.38</v>
      </c>
      <c r="R140" s="108" t="n">
        <v>2.57</v>
      </c>
      <c r="S140" s="108" t="n">
        <v>0.16</v>
      </c>
      <c r="T140" s="108" t="n">
        <v>0.12</v>
      </c>
      <c r="U140" s="108" t="n">
        <v>0.01</v>
      </c>
      <c r="V140" s="108" t="n">
        <v>-0.27</v>
      </c>
      <c r="W140" s="108" t="n">
        <v>0.85</v>
      </c>
      <c r="X140" s="111" t="inlineStr">
        <is>
          <t>N/A</t>
        </is>
      </c>
      <c r="Y140" s="111" t="inlineStr">
        <is>
          <t>N/A</t>
        </is>
      </c>
      <c r="Z140" s="109" t="n">
        <v>-122.55</v>
      </c>
      <c r="AA140" s="111" t="inlineStr">
        <is>
          <t>N/A</t>
        </is>
      </c>
      <c r="AB140" s="109" t="n">
        <v>-0.14</v>
      </c>
      <c r="AC140" s="108" t="n">
        <v>-0.1</v>
      </c>
      <c r="AD140" s="108" t="n">
        <v>-0.1</v>
      </c>
      <c r="AE140" s="108" t="n">
        <v>0.49</v>
      </c>
      <c r="AF140" s="108" t="n">
        <v>-4.36</v>
      </c>
      <c r="AG140" s="108" t="n">
        <v>-0.7</v>
      </c>
      <c r="AH140" s="108" t="n">
        <v>5.21</v>
      </c>
      <c r="AI140" s="108" t="n">
        <v>0</v>
      </c>
      <c r="AJ140" s="108" t="n">
        <v>-4.71</v>
      </c>
      <c r="AK140" s="112" t="inlineStr">
        <is>
          <t>Distress</t>
        </is>
      </c>
      <c r="AL140" s="108" t="n">
        <v>0.49</v>
      </c>
      <c r="AM140" s="108" t="n">
        <v>-4.36</v>
      </c>
      <c r="AN140" s="108" t="n">
        <v>-0.7</v>
      </c>
      <c r="AO140" s="108" t="n">
        <v>5.21</v>
      </c>
      <c r="AP140" s="108" t="n">
        <v>0</v>
      </c>
      <c r="AQ140" s="107" t="n">
        <v>-3.33</v>
      </c>
      <c r="AR140" s="107" t="inlineStr">
        <is>
          <t>Distress</t>
        </is>
      </c>
      <c r="AS140" s="108" t="n">
        <v>0.49</v>
      </c>
      <c r="AT140" s="108" t="n">
        <v>-4.36</v>
      </c>
      <c r="AU140" s="108" t="n">
        <v>-0.7</v>
      </c>
      <c r="AV140" s="108" t="n">
        <v>5.21</v>
      </c>
      <c r="AW140" s="107" t="n">
        <v>-10.24</v>
      </c>
      <c r="AX140" s="107" t="inlineStr">
        <is>
          <t>Distress</t>
        </is>
      </c>
      <c r="AY140" s="108" t="n">
        <v>0.49</v>
      </c>
      <c r="AZ140" s="108" t="n">
        <v>-0.7</v>
      </c>
      <c r="BA140" s="108" t="n">
        <v>-7.39</v>
      </c>
      <c r="BB140" s="108" t="n">
        <v>0</v>
      </c>
      <c r="BC140" s="107" t="n">
        <v>-6.52</v>
      </c>
      <c r="BD140" s="107" t="inlineStr">
        <is>
          <t>Distress</t>
        </is>
      </c>
      <c r="BE140" s="108" t="n">
        <v>-0.68</v>
      </c>
      <c r="BF140" s="108" t="n">
        <v>0.16</v>
      </c>
      <c r="BG140" s="108" t="n">
        <v>6.38</v>
      </c>
      <c r="BH140" s="108" t="n">
        <v>-0.35</v>
      </c>
      <c r="BI140" s="107" t="n">
        <v>0.41</v>
      </c>
      <c r="BJ140" s="107" t="inlineStr">
        <is>
          <t>Healthy</t>
        </is>
      </c>
      <c r="BK140" s="107" t="n">
        <v>0</v>
      </c>
      <c r="BL140" s="107" t="n">
        <v>0</v>
      </c>
      <c r="BM140" s="107" t="n">
        <v>0</v>
      </c>
      <c r="BN140" s="107" t="n">
        <v>1</v>
      </c>
      <c r="BO140" s="107" t="n">
        <v>0</v>
      </c>
      <c r="BP140" s="107" t="n">
        <v>0</v>
      </c>
      <c r="BQ140" s="107" t="n">
        <v>0</v>
      </c>
      <c r="BR140" s="107" t="n">
        <v>0</v>
      </c>
      <c r="BS140" s="107" t="n">
        <v>0</v>
      </c>
      <c r="BT140" s="107" t="n">
        <v>1</v>
      </c>
      <c r="BU140" s="107" t="inlineStr">
        <is>
          <t>Weak</t>
        </is>
      </c>
      <c r="BV140" s="111" t="inlineStr">
        <is>
          <t>N/A</t>
        </is>
      </c>
      <c r="BW140" s="111" t="inlineStr">
        <is>
          <t>N/A</t>
        </is>
      </c>
      <c r="BX140" s="108" t="n">
        <v>1.55</v>
      </c>
      <c r="BY140" s="111" t="inlineStr">
        <is>
          <t>N/A</t>
        </is>
      </c>
      <c r="BZ140" s="108" t="n">
        <v>0.68</v>
      </c>
      <c r="CA140" s="111" t="inlineStr">
        <is>
          <t>N/A</t>
        </is>
      </c>
      <c r="CB140" s="108" t="n">
        <v>1.32</v>
      </c>
      <c r="CC140" s="108" t="n">
        <v>-0.1</v>
      </c>
      <c r="CD140" s="111" t="inlineStr">
        <is>
          <t>N/A</t>
        </is>
      </c>
      <c r="CE140" s="111" t="inlineStr">
        <is>
          <t>N/A</t>
        </is>
      </c>
      <c r="CF140" s="108" t="n">
        <v>0.34</v>
      </c>
      <c r="CG140" s="108" t="n">
        <v>30.42</v>
      </c>
      <c r="CH140" s="107" t="n">
        <v>20</v>
      </c>
      <c r="CI140" s="107" t="inlineStr">
        <is>
          <t>CLEAR</t>
        </is>
      </c>
    </row>
    <row r="141" ht="17" customHeight="1">
      <c r="A141" s="103" t="inlineStr">
        <is>
          <t>PSA</t>
        </is>
      </c>
      <c r="B141" s="103" t="inlineStr">
        <is>
          <t>Public Storage</t>
        </is>
      </c>
      <c r="C141" s="113" t="inlineStr">
        <is>
          <t>N/A</t>
        </is>
      </c>
      <c r="D141" s="105" t="n">
        <v>0.3</v>
      </c>
      <c r="E141" s="105" t="n">
        <v>0.37</v>
      </c>
      <c r="F141" s="105" t="n">
        <v>0.37</v>
      </c>
      <c r="G141" s="105" t="n">
        <v>0.09</v>
      </c>
      <c r="H141" s="105" t="n">
        <v>0.1</v>
      </c>
      <c r="I141" s="105" t="n">
        <v>0.19</v>
      </c>
      <c r="J141" s="113" t="inlineStr">
        <is>
          <t>N/A</t>
        </is>
      </c>
      <c r="K141" s="105" t="n">
        <v>0.42</v>
      </c>
      <c r="L141" s="105" t="n">
        <v>0.42</v>
      </c>
      <c r="M141" s="105" t="n">
        <v>0.24</v>
      </c>
      <c r="N141" s="104" t="n">
        <v>0.24</v>
      </c>
      <c r="O141" s="113" t="inlineStr">
        <is>
          <t>N/A</t>
        </is>
      </c>
      <c r="P141" s="113" t="inlineStr">
        <is>
          <t>N/A</t>
        </is>
      </c>
      <c r="Q141" s="113" t="inlineStr">
        <is>
          <t>N/A</t>
        </is>
      </c>
      <c r="R141" s="113" t="inlineStr">
        <is>
          <t>N/A</t>
        </is>
      </c>
      <c r="S141" s="104" t="n">
        <v>0.54</v>
      </c>
      <c r="T141" s="104" t="n">
        <v>0.5</v>
      </c>
      <c r="U141" s="104" t="n">
        <v>1.18</v>
      </c>
      <c r="V141" s="104" t="n">
        <v>1.15</v>
      </c>
      <c r="W141" s="104" t="n">
        <v>1.79</v>
      </c>
      <c r="X141" s="105" t="n">
        <v>0.62</v>
      </c>
      <c r="Y141" s="105" t="n">
        <v>0</v>
      </c>
      <c r="Z141" s="105" t="n">
        <v>4.67</v>
      </c>
      <c r="AA141" s="105" t="n">
        <v>0.03</v>
      </c>
      <c r="AB141" s="105" t="n">
        <v>-0.14</v>
      </c>
      <c r="AC141" s="104" t="n">
        <v>-0.07000000000000001</v>
      </c>
      <c r="AD141" s="104" t="n">
        <v>-0.07000000000000001</v>
      </c>
      <c r="AE141" s="113" t="inlineStr">
        <is>
          <t>N/A</t>
        </is>
      </c>
      <c r="AF141" s="104" t="n">
        <v>-0.06</v>
      </c>
      <c r="AG141" s="104" t="n">
        <v>0.07000000000000001</v>
      </c>
      <c r="AH141" s="104" t="n">
        <v>0.85</v>
      </c>
      <c r="AI141" s="104" t="n">
        <v>0.24</v>
      </c>
      <c r="AJ141" s="113" t="inlineStr">
        <is>
          <t>N/A</t>
        </is>
      </c>
      <c r="AK141" s="113" t="inlineStr">
        <is>
          <t>N/A</t>
        </is>
      </c>
      <c r="AL141" s="113" t="inlineStr">
        <is>
          <t>N/A</t>
        </is>
      </c>
      <c r="AM141" s="104" t="n">
        <v>-0.06</v>
      </c>
      <c r="AN141" s="104" t="n">
        <v>0.07000000000000001</v>
      </c>
      <c r="AO141" s="104" t="n">
        <v>0.85</v>
      </c>
      <c r="AP141" s="104" t="n">
        <v>0.24</v>
      </c>
      <c r="AQ141" s="113" t="inlineStr">
        <is>
          <t>N/A</t>
        </is>
      </c>
      <c r="AR141" s="113" t="inlineStr">
        <is>
          <t>N/A</t>
        </is>
      </c>
      <c r="AS141" s="113" t="inlineStr">
        <is>
          <t>N/A</t>
        </is>
      </c>
      <c r="AT141" s="104" t="n">
        <v>-0.06</v>
      </c>
      <c r="AU141" s="104" t="n">
        <v>0.07000000000000001</v>
      </c>
      <c r="AV141" s="104" t="n">
        <v>0.85</v>
      </c>
      <c r="AW141" s="113" t="inlineStr">
        <is>
          <t>N/A</t>
        </is>
      </c>
      <c r="AX141" s="113" t="inlineStr">
        <is>
          <t>N/A</t>
        </is>
      </c>
      <c r="AY141" s="113" t="inlineStr">
        <is>
          <t>N/A</t>
        </is>
      </c>
      <c r="AZ141" s="104" t="n">
        <v>0.07000000000000001</v>
      </c>
      <c r="BA141" s="113" t="inlineStr">
        <is>
          <t>N/A</t>
        </is>
      </c>
      <c r="BB141" s="104" t="n">
        <v>0.24</v>
      </c>
      <c r="BC141" s="113" t="inlineStr">
        <is>
          <t>N/A</t>
        </is>
      </c>
      <c r="BD141" s="113" t="inlineStr">
        <is>
          <t>N/A</t>
        </is>
      </c>
      <c r="BE141" s="104" t="n">
        <v>0.09</v>
      </c>
      <c r="BF141" s="104" t="n">
        <v>0.54</v>
      </c>
      <c r="BG141" s="113" t="inlineStr">
        <is>
          <t>N/A</t>
        </is>
      </c>
      <c r="BH141" s="113" t="inlineStr">
        <is>
          <t>N/A</t>
        </is>
      </c>
      <c r="BI141" s="113" t="inlineStr">
        <is>
          <t>N/A</t>
        </is>
      </c>
      <c r="BJ141" s="113" t="inlineStr">
        <is>
          <t>N/A</t>
        </is>
      </c>
      <c r="BK141" s="103" t="n">
        <v>1</v>
      </c>
      <c r="BL141" s="103" t="n">
        <v>1</v>
      </c>
      <c r="BM141" s="103" t="n">
        <v>0</v>
      </c>
      <c r="BN141" s="103" t="n">
        <v>1</v>
      </c>
      <c r="BO141" s="103" t="n">
        <v>0</v>
      </c>
      <c r="BP141" s="103" t="n">
        <v>0</v>
      </c>
      <c r="BQ141" s="103" t="n">
        <v>0</v>
      </c>
      <c r="BR141" s="103" t="n">
        <v>1</v>
      </c>
      <c r="BS141" s="103" t="n">
        <v>1</v>
      </c>
      <c r="BT141" s="103" t="n">
        <v>5</v>
      </c>
      <c r="BU141" s="103" t="inlineStr">
        <is>
          <t>Mixed</t>
        </is>
      </c>
      <c r="BV141" s="113" t="inlineStr">
        <is>
          <t>N/A</t>
        </is>
      </c>
      <c r="BW141" s="104" t="n">
        <v>1</v>
      </c>
      <c r="BX141" s="113" t="inlineStr">
        <is>
          <t>N/A</t>
        </is>
      </c>
      <c r="BY141" s="104" t="n">
        <v>1.03</v>
      </c>
      <c r="BZ141" s="113" t="inlineStr">
        <is>
          <t>N/A</t>
        </is>
      </c>
      <c r="CA141" s="104" t="n">
        <v>0.97</v>
      </c>
      <c r="CB141" s="104" t="n">
        <v>1.07</v>
      </c>
      <c r="CC141" s="104" t="n">
        <v>-0.07000000000000001</v>
      </c>
      <c r="CD141" s="113" t="inlineStr">
        <is>
          <t>N/A</t>
        </is>
      </c>
      <c r="CE141" s="113" t="inlineStr">
        <is>
          <t>N/A</t>
        </is>
      </c>
      <c r="CF141" s="104" t="n">
        <v>4.98</v>
      </c>
      <c r="CG141" s="104" t="n">
        <v>43.72</v>
      </c>
      <c r="CH141" s="103" t="n">
        <v>0</v>
      </c>
      <c r="CI141" s="103" t="inlineStr">
        <is>
          <t>CLEAR</t>
        </is>
      </c>
    </row>
    <row r="142" ht="17" customHeight="1">
      <c r="A142" s="107" t="inlineStr">
        <is>
          <t>ONB</t>
        </is>
      </c>
      <c r="B142" s="107" t="inlineStr">
        <is>
          <t>OLD NATIONAL BANCORP /IN/</t>
        </is>
      </c>
      <c r="C142" s="111" t="inlineStr">
        <is>
          <t>N/A</t>
        </is>
      </c>
      <c r="D142" s="109" t="n">
        <v>6.7</v>
      </c>
      <c r="E142" s="109" t="n">
        <v>6.7</v>
      </c>
      <c r="F142" s="109" t="n">
        <v>5.33</v>
      </c>
      <c r="G142" s="109" t="n">
        <v>0.01</v>
      </c>
      <c r="H142" s="109" t="n">
        <v>0.01</v>
      </c>
      <c r="I142" s="109" t="n">
        <v>0.08</v>
      </c>
      <c r="J142" s="111" t="inlineStr">
        <is>
          <t>N/A</t>
        </is>
      </c>
      <c r="K142" s="109" t="n">
        <v>-0.01</v>
      </c>
      <c r="L142" s="109" t="n">
        <v>-0.01</v>
      </c>
      <c r="M142" s="109" t="n">
        <v>0</v>
      </c>
      <c r="N142" s="108" t="n">
        <v>0</v>
      </c>
      <c r="O142" s="111" t="inlineStr">
        <is>
          <t>N/A</t>
        </is>
      </c>
      <c r="P142" s="111" t="inlineStr">
        <is>
          <t>N/A</t>
        </is>
      </c>
      <c r="Q142" s="111" t="inlineStr">
        <is>
          <t>N/A</t>
        </is>
      </c>
      <c r="R142" s="111" t="inlineStr">
        <is>
          <t>N/A</t>
        </is>
      </c>
      <c r="S142" s="108" t="n">
        <v>0.88</v>
      </c>
      <c r="T142" s="108" t="n">
        <v>0.88</v>
      </c>
      <c r="U142" s="108" t="n">
        <v>0.1</v>
      </c>
      <c r="V142" s="108" t="n">
        <v>-0.11</v>
      </c>
      <c r="W142" s="108" t="n">
        <v>1.02</v>
      </c>
      <c r="X142" s="109" t="n">
        <v>5.07</v>
      </c>
      <c r="Y142" s="109" t="n">
        <v>0</v>
      </c>
      <c r="Z142" s="109" t="n">
        <v>1.2</v>
      </c>
      <c r="AA142" s="109" t="n">
        <v>0.06</v>
      </c>
      <c r="AB142" s="109" t="n">
        <v>0.24</v>
      </c>
      <c r="AC142" s="108" t="n">
        <v>-0</v>
      </c>
      <c r="AD142" s="108" t="n">
        <v>-0</v>
      </c>
      <c r="AE142" s="111" t="inlineStr">
        <is>
          <t>N/A</t>
        </is>
      </c>
      <c r="AF142" s="108" t="n">
        <v>0.03</v>
      </c>
      <c r="AG142" s="108" t="n">
        <v>0.01</v>
      </c>
      <c r="AH142" s="108" t="n">
        <v>0.13</v>
      </c>
      <c r="AI142" s="108" t="n">
        <v>0</v>
      </c>
      <c r="AJ142" s="111" t="inlineStr">
        <is>
          <t>N/A</t>
        </is>
      </c>
      <c r="AK142" s="111" t="inlineStr">
        <is>
          <t>N/A</t>
        </is>
      </c>
      <c r="AL142" s="111" t="inlineStr">
        <is>
          <t>N/A</t>
        </is>
      </c>
      <c r="AM142" s="108" t="n">
        <v>0.03</v>
      </c>
      <c r="AN142" s="108" t="n">
        <v>0.01</v>
      </c>
      <c r="AO142" s="108" t="n">
        <v>0.13</v>
      </c>
      <c r="AP142" s="108" t="n">
        <v>0</v>
      </c>
      <c r="AQ142" s="111" t="inlineStr">
        <is>
          <t>N/A</t>
        </is>
      </c>
      <c r="AR142" s="111" t="inlineStr">
        <is>
          <t>N/A</t>
        </is>
      </c>
      <c r="AS142" s="111" t="inlineStr">
        <is>
          <t>N/A</t>
        </is>
      </c>
      <c r="AT142" s="108" t="n">
        <v>0.03</v>
      </c>
      <c r="AU142" s="108" t="n">
        <v>0.01</v>
      </c>
      <c r="AV142" s="108" t="n">
        <v>0.13</v>
      </c>
      <c r="AW142" s="111" t="inlineStr">
        <is>
          <t>N/A</t>
        </is>
      </c>
      <c r="AX142" s="111" t="inlineStr">
        <is>
          <t>N/A</t>
        </is>
      </c>
      <c r="AY142" s="111" t="inlineStr">
        <is>
          <t>N/A</t>
        </is>
      </c>
      <c r="AZ142" s="108" t="n">
        <v>0.01</v>
      </c>
      <c r="BA142" s="111" t="inlineStr">
        <is>
          <t>N/A</t>
        </is>
      </c>
      <c r="BB142" s="108" t="n">
        <v>0</v>
      </c>
      <c r="BC142" s="111" t="inlineStr">
        <is>
          <t>N/A</t>
        </is>
      </c>
      <c r="BD142" s="111" t="inlineStr">
        <is>
          <t>N/A</t>
        </is>
      </c>
      <c r="BE142" s="108" t="n">
        <v>0.01</v>
      </c>
      <c r="BF142" s="108" t="n">
        <v>0.88</v>
      </c>
      <c r="BG142" s="111" t="inlineStr">
        <is>
          <t>N/A</t>
        </is>
      </c>
      <c r="BH142" s="111" t="inlineStr">
        <is>
          <t>N/A</t>
        </is>
      </c>
      <c r="BI142" s="111" t="inlineStr">
        <is>
          <t>N/A</t>
        </is>
      </c>
      <c r="BJ142" s="111" t="inlineStr">
        <is>
          <t>N/A</t>
        </is>
      </c>
      <c r="BK142" s="107" t="n">
        <v>1</v>
      </c>
      <c r="BL142" s="107" t="n">
        <v>1</v>
      </c>
      <c r="BM142" s="107" t="n">
        <v>0</v>
      </c>
      <c r="BN142" s="107" t="n">
        <v>1</v>
      </c>
      <c r="BO142" s="107" t="n">
        <v>1</v>
      </c>
      <c r="BP142" s="107" t="n">
        <v>0</v>
      </c>
      <c r="BQ142" s="107" t="n">
        <v>0</v>
      </c>
      <c r="BR142" s="107" t="n">
        <v>1</v>
      </c>
      <c r="BS142" s="107" t="n">
        <v>0</v>
      </c>
      <c r="BT142" s="107" t="n">
        <v>5</v>
      </c>
      <c r="BU142" s="107" t="inlineStr">
        <is>
          <t>Mixed</t>
        </is>
      </c>
      <c r="BV142" s="111" t="inlineStr">
        <is>
          <t>N/A</t>
        </is>
      </c>
      <c r="BW142" s="111" t="inlineStr">
        <is>
          <t>N/A</t>
        </is>
      </c>
      <c r="BX142" s="108" t="n">
        <v>1</v>
      </c>
      <c r="BY142" s="108" t="n">
        <v>1.06</v>
      </c>
      <c r="BZ142" s="108" t="n">
        <v>0.87</v>
      </c>
      <c r="CA142" s="111" t="inlineStr">
        <is>
          <t>N/A</t>
        </is>
      </c>
      <c r="CB142" s="108" t="n">
        <v>1</v>
      </c>
      <c r="CC142" s="108" t="n">
        <v>-0</v>
      </c>
      <c r="CD142" s="111" t="inlineStr">
        <is>
          <t>N/A</t>
        </is>
      </c>
      <c r="CE142" s="111" t="inlineStr">
        <is>
          <t>N/A</t>
        </is>
      </c>
      <c r="CF142" s="108" t="n">
        <v>-1.11</v>
      </c>
      <c r="CG142" s="108" t="n">
        <v>42.94</v>
      </c>
      <c r="CH142" s="107" t="n">
        <v>0</v>
      </c>
      <c r="CI142" s="107" t="inlineStr">
        <is>
          <t>CLEAR</t>
        </is>
      </c>
    </row>
    <row r="143" ht="17" customHeight="1">
      <c r="A143" s="103" t="inlineStr">
        <is>
          <t>CMI</t>
        </is>
      </c>
      <c r="B143" s="103" t="inlineStr">
        <is>
          <t>CUMMINS INC</t>
        </is>
      </c>
      <c r="C143" s="104" t="n">
        <v>7315000000</v>
      </c>
      <c r="D143" s="105" t="n">
        <v>0.12</v>
      </c>
      <c r="E143" s="105" t="n">
        <v>0.12</v>
      </c>
      <c r="F143" s="105" t="n">
        <v>0.03</v>
      </c>
      <c r="G143" s="105" t="n">
        <v>0.03</v>
      </c>
      <c r="H143" s="105" t="n">
        <v>0.01</v>
      </c>
      <c r="I143" s="105" t="n">
        <v>0.08</v>
      </c>
      <c r="J143" s="105" t="n">
        <v>0.17</v>
      </c>
      <c r="K143" s="105" t="n">
        <v>0.25</v>
      </c>
      <c r="L143" s="105" t="n">
        <v>0.25</v>
      </c>
      <c r="M143" s="105" t="n">
        <v>0.99</v>
      </c>
      <c r="N143" s="104" t="n">
        <v>1.08</v>
      </c>
      <c r="O143" s="104" t="n">
        <v>1.76</v>
      </c>
      <c r="P143" s="104" t="n">
        <v>1.31</v>
      </c>
      <c r="Q143" s="104" t="n">
        <v>1.16</v>
      </c>
      <c r="R143" s="104" t="n">
        <v>0.22</v>
      </c>
      <c r="S143" s="104" t="n">
        <v>0.61</v>
      </c>
      <c r="T143" s="104" t="n">
        <v>0.64</v>
      </c>
      <c r="U143" s="104" t="n">
        <v>0.13</v>
      </c>
      <c r="V143" s="104" t="n">
        <v>-0.04</v>
      </c>
      <c r="W143" s="104" t="n">
        <v>3.48</v>
      </c>
      <c r="X143" s="105" t="n">
        <v>0.07000000000000001</v>
      </c>
      <c r="Y143" s="105" t="n">
        <v>0.04</v>
      </c>
      <c r="Z143" s="105" t="n">
        <v>12.23</v>
      </c>
      <c r="AA143" s="105" t="n">
        <v>-0.01</v>
      </c>
      <c r="AB143" s="105" t="n">
        <v>1.43</v>
      </c>
      <c r="AC143" s="104" t="n">
        <v>-0.08</v>
      </c>
      <c r="AD143" s="104" t="n">
        <v>-0.08</v>
      </c>
      <c r="AE143" s="104" t="n">
        <v>0.22</v>
      </c>
      <c r="AF143" s="104" t="n">
        <v>0.67</v>
      </c>
      <c r="AG143" s="104" t="n">
        <v>0.12</v>
      </c>
      <c r="AH143" s="104" t="n">
        <v>0.6</v>
      </c>
      <c r="AI143" s="104" t="n">
        <v>0.99</v>
      </c>
      <c r="AJ143" s="104" t="n">
        <v>2.93</v>
      </c>
      <c r="AK143" s="106" t="inlineStr">
        <is>
          <t>Grey</t>
        </is>
      </c>
      <c r="AL143" s="104" t="n">
        <v>0.22</v>
      </c>
      <c r="AM143" s="104" t="n">
        <v>0.67</v>
      </c>
      <c r="AN143" s="104" t="n">
        <v>0.12</v>
      </c>
      <c r="AO143" s="104" t="n">
        <v>0.6</v>
      </c>
      <c r="AP143" s="104" t="n">
        <v>0.99</v>
      </c>
      <c r="AQ143" s="103" t="n">
        <v>2.33</v>
      </c>
      <c r="AR143" s="103" t="inlineStr">
        <is>
          <t>Grey</t>
        </is>
      </c>
      <c r="AS143" s="104" t="n">
        <v>0.22</v>
      </c>
      <c r="AT143" s="104" t="n">
        <v>0.67</v>
      </c>
      <c r="AU143" s="104" t="n">
        <v>0.12</v>
      </c>
      <c r="AV143" s="104" t="n">
        <v>0.6</v>
      </c>
      <c r="AW143" s="103" t="n">
        <v>5.01</v>
      </c>
      <c r="AX143" s="103" t="inlineStr">
        <is>
          <t>Safe</t>
        </is>
      </c>
      <c r="AY143" s="104" t="n">
        <v>0.22</v>
      </c>
      <c r="AZ143" s="104" t="n">
        <v>0.12</v>
      </c>
      <c r="BA143" s="104" t="n">
        <v>0.41</v>
      </c>
      <c r="BB143" s="104" t="n">
        <v>0.99</v>
      </c>
      <c r="BC143" s="103" t="n">
        <v>1.25</v>
      </c>
      <c r="BD143" s="103" t="inlineStr">
        <is>
          <t>Healthy</t>
        </is>
      </c>
      <c r="BE143" s="104" t="n">
        <v>0.03</v>
      </c>
      <c r="BF143" s="104" t="n">
        <v>0.61</v>
      </c>
      <c r="BG143" s="104" t="n">
        <v>1.76</v>
      </c>
      <c r="BH143" s="104" t="n">
        <v>-1.03</v>
      </c>
      <c r="BI143" s="103" t="n">
        <v>0.26</v>
      </c>
      <c r="BJ143" s="103" t="inlineStr">
        <is>
          <t>Healthy</t>
        </is>
      </c>
      <c r="BK143" s="103" t="n">
        <v>1</v>
      </c>
      <c r="BL143" s="103" t="n">
        <v>1</v>
      </c>
      <c r="BM143" s="103" t="n">
        <v>1</v>
      </c>
      <c r="BN143" s="103" t="n">
        <v>1</v>
      </c>
      <c r="BO143" s="103" t="n">
        <v>0</v>
      </c>
      <c r="BP143" s="103" t="n">
        <v>1</v>
      </c>
      <c r="BQ143" s="103" t="n">
        <v>1</v>
      </c>
      <c r="BR143" s="103" t="n">
        <v>1</v>
      </c>
      <c r="BS143" s="103" t="n">
        <v>0</v>
      </c>
      <c r="BT143" s="103" t="n">
        <v>7</v>
      </c>
      <c r="BU143" s="103" t="inlineStr">
        <is>
          <t>Strong</t>
        </is>
      </c>
      <c r="BV143" s="104" t="n">
        <v>1.14</v>
      </c>
      <c r="BW143" s="104" t="n">
        <v>0.98</v>
      </c>
      <c r="BX143" s="104" t="n">
        <v>0.9</v>
      </c>
      <c r="BY143" s="104" t="n">
        <v>0.99</v>
      </c>
      <c r="BZ143" s="104" t="n">
        <v>1.11</v>
      </c>
      <c r="CA143" s="104" t="n">
        <v>0.97</v>
      </c>
      <c r="CB143" s="104" t="n">
        <v>0.9399999999999999</v>
      </c>
      <c r="CC143" s="104" t="n">
        <v>-0.08</v>
      </c>
      <c r="CD143" s="103" t="n">
        <v>-2.74</v>
      </c>
      <c r="CE143" s="103" t="inlineStr">
        <is>
          <t>Lower Risk</t>
        </is>
      </c>
      <c r="CF143" s="104" t="n">
        <v>-0.1</v>
      </c>
      <c r="CG143" s="104" t="n">
        <v>59.23</v>
      </c>
      <c r="CH143" s="103" t="n">
        <v>0</v>
      </c>
      <c r="CI143" s="103" t="inlineStr">
        <is>
          <t>CLEAR</t>
        </is>
      </c>
    </row>
    <row r="144" ht="17" customHeight="1">
      <c r="A144" s="107" t="inlineStr">
        <is>
          <t>WTFC</t>
        </is>
      </c>
      <c r="B144" s="107" t="inlineStr">
        <is>
          <t>WINTRUST FINANCIAL CORP</t>
        </is>
      </c>
      <c r="C144" s="111" t="inlineStr">
        <is>
          <t>N/A</t>
        </is>
      </c>
      <c r="D144" s="109" t="n">
        <v>4.21</v>
      </c>
      <c r="E144" s="109" t="n">
        <v>4.21</v>
      </c>
      <c r="F144" s="109" t="n">
        <v>3.1</v>
      </c>
      <c r="G144" s="109" t="n">
        <v>0.01</v>
      </c>
      <c r="H144" s="109" t="n">
        <v>0.01</v>
      </c>
      <c r="I144" s="109" t="n">
        <v>0.11</v>
      </c>
      <c r="J144" s="111" t="inlineStr">
        <is>
          <t>N/A</t>
        </is>
      </c>
      <c r="K144" s="109" t="n">
        <v>-0.02</v>
      </c>
      <c r="L144" s="109" t="n">
        <v>-0.02</v>
      </c>
      <c r="M144" s="109" t="n">
        <v>0</v>
      </c>
      <c r="N144" s="108" t="n">
        <v>0</v>
      </c>
      <c r="O144" s="111" t="inlineStr">
        <is>
          <t>N/A</t>
        </is>
      </c>
      <c r="P144" s="111" t="inlineStr">
        <is>
          <t>N/A</t>
        </is>
      </c>
      <c r="Q144" s="111" t="inlineStr">
        <is>
          <t>N/A</t>
        </is>
      </c>
      <c r="R144" s="111" t="inlineStr">
        <is>
          <t>N/A</t>
        </is>
      </c>
      <c r="S144" s="108" t="n">
        <v>0.9</v>
      </c>
      <c r="T144" s="108" t="n">
        <v>0.9</v>
      </c>
      <c r="U144" s="108" t="n">
        <v>0</v>
      </c>
      <c r="V144" s="108" t="n">
        <v>-0.05</v>
      </c>
      <c r="W144" s="108" t="n">
        <v>1.11</v>
      </c>
      <c r="X144" s="109" t="n">
        <v>3.24</v>
      </c>
      <c r="Y144" s="109" t="n">
        <v>0</v>
      </c>
      <c r="Z144" s="109" t="n">
        <v>0.74</v>
      </c>
      <c r="AA144" s="109" t="n">
        <v>0.06</v>
      </c>
      <c r="AB144" s="109" t="n">
        <v>0.19</v>
      </c>
      <c r="AC144" s="108" t="n">
        <v>-0</v>
      </c>
      <c r="AD144" s="108" t="n">
        <v>-0</v>
      </c>
      <c r="AE144" s="111" t="inlineStr">
        <is>
          <t>N/A</t>
        </is>
      </c>
      <c r="AF144" s="108" t="n">
        <v>0.06</v>
      </c>
      <c r="AG144" s="108" t="n">
        <v>0.02</v>
      </c>
      <c r="AH144" s="108" t="n">
        <v>0.11</v>
      </c>
      <c r="AI144" s="108" t="n">
        <v>0</v>
      </c>
      <c r="AJ144" s="111" t="inlineStr">
        <is>
          <t>N/A</t>
        </is>
      </c>
      <c r="AK144" s="111" t="inlineStr">
        <is>
          <t>N/A</t>
        </is>
      </c>
      <c r="AL144" s="111" t="inlineStr">
        <is>
          <t>N/A</t>
        </is>
      </c>
      <c r="AM144" s="108" t="n">
        <v>0.06</v>
      </c>
      <c r="AN144" s="108" t="n">
        <v>0.02</v>
      </c>
      <c r="AO144" s="108" t="n">
        <v>0.11</v>
      </c>
      <c r="AP144" s="108" t="n">
        <v>0</v>
      </c>
      <c r="AQ144" s="111" t="inlineStr">
        <is>
          <t>N/A</t>
        </is>
      </c>
      <c r="AR144" s="111" t="inlineStr">
        <is>
          <t>N/A</t>
        </is>
      </c>
      <c r="AS144" s="111" t="inlineStr">
        <is>
          <t>N/A</t>
        </is>
      </c>
      <c r="AT144" s="108" t="n">
        <v>0.06</v>
      </c>
      <c r="AU144" s="108" t="n">
        <v>0.02</v>
      </c>
      <c r="AV144" s="108" t="n">
        <v>0.11</v>
      </c>
      <c r="AW144" s="111" t="inlineStr">
        <is>
          <t>N/A</t>
        </is>
      </c>
      <c r="AX144" s="111" t="inlineStr">
        <is>
          <t>N/A</t>
        </is>
      </c>
      <c r="AY144" s="111" t="inlineStr">
        <is>
          <t>N/A</t>
        </is>
      </c>
      <c r="AZ144" s="108" t="n">
        <v>0.02</v>
      </c>
      <c r="BA144" s="111" t="inlineStr">
        <is>
          <t>N/A</t>
        </is>
      </c>
      <c r="BB144" s="108" t="n">
        <v>0</v>
      </c>
      <c r="BC144" s="111" t="inlineStr">
        <is>
          <t>N/A</t>
        </is>
      </c>
      <c r="BD144" s="111" t="inlineStr">
        <is>
          <t>N/A</t>
        </is>
      </c>
      <c r="BE144" s="108" t="n">
        <v>0.01</v>
      </c>
      <c r="BF144" s="108" t="n">
        <v>0.9</v>
      </c>
      <c r="BG144" s="111" t="inlineStr">
        <is>
          <t>N/A</t>
        </is>
      </c>
      <c r="BH144" s="111" t="inlineStr">
        <is>
          <t>N/A</t>
        </is>
      </c>
      <c r="BI144" s="111" t="inlineStr">
        <is>
          <t>N/A</t>
        </is>
      </c>
      <c r="BJ144" s="111" t="inlineStr">
        <is>
          <t>N/A</t>
        </is>
      </c>
      <c r="BK144" s="107" t="n">
        <v>1</v>
      </c>
      <c r="BL144" s="107" t="n">
        <v>1</v>
      </c>
      <c r="BM144" s="107" t="n">
        <v>1</v>
      </c>
      <c r="BN144" s="107" t="n">
        <v>1</v>
      </c>
      <c r="BO144" s="107" t="n">
        <v>0</v>
      </c>
      <c r="BP144" s="107" t="n">
        <v>0</v>
      </c>
      <c r="BQ144" s="107" t="n">
        <v>0</v>
      </c>
      <c r="BR144" s="107" t="n">
        <v>1</v>
      </c>
      <c r="BS144" s="107" t="n">
        <v>0</v>
      </c>
      <c r="BT144" s="107" t="n">
        <v>5</v>
      </c>
      <c r="BU144" s="107" t="inlineStr">
        <is>
          <t>Mixed</t>
        </is>
      </c>
      <c r="BV144" s="108" t="n">
        <v>1.02</v>
      </c>
      <c r="BW144" s="111" t="inlineStr">
        <is>
          <t>N/A</t>
        </is>
      </c>
      <c r="BX144" s="108" t="n">
        <v>1</v>
      </c>
      <c r="BY144" s="108" t="n">
        <v>1.06</v>
      </c>
      <c r="BZ144" s="108" t="n">
        <v>0.93</v>
      </c>
      <c r="CA144" s="111" t="inlineStr">
        <is>
          <t>N/A</t>
        </is>
      </c>
      <c r="CB144" s="108" t="n">
        <v>1</v>
      </c>
      <c r="CC144" s="108" t="n">
        <v>-0</v>
      </c>
      <c r="CD144" s="111" t="inlineStr">
        <is>
          <t>N/A</t>
        </is>
      </c>
      <c r="CE144" s="111" t="inlineStr">
        <is>
          <t>N/A</t>
        </is>
      </c>
      <c r="CF144" s="108" t="n">
        <v>-0.33</v>
      </c>
      <c r="CG144" s="108" t="n">
        <v>42.94</v>
      </c>
      <c r="CH144" s="107" t="n">
        <v>0</v>
      </c>
      <c r="CI144" s="107" t="inlineStr">
        <is>
          <t>CLEAR</t>
        </is>
      </c>
    </row>
    <row r="145" ht="17" customHeight="1">
      <c r="A145" s="103" t="inlineStr">
        <is>
          <t>MSTR</t>
        </is>
      </c>
      <c r="B145" s="103" t="inlineStr">
        <is>
          <t>STRATEGY INC</t>
        </is>
      </c>
      <c r="C145" s="104" t="n">
        <v>2107645000</v>
      </c>
      <c r="D145" s="105" t="n">
        <v>-11.75</v>
      </c>
      <c r="E145" s="105" t="n">
        <v>-11.92</v>
      </c>
      <c r="F145" s="105" t="n">
        <v>-8.300000000000001</v>
      </c>
      <c r="G145" s="105" t="n">
        <v>-0.06</v>
      </c>
      <c r="H145" s="105" t="n">
        <v>-0.05</v>
      </c>
      <c r="I145" s="105" t="n">
        <v>-0.09</v>
      </c>
      <c r="J145" s="105" t="n">
        <v>-0.09</v>
      </c>
      <c r="K145" s="105" t="n">
        <v>0.71</v>
      </c>
      <c r="L145" s="105" t="n">
        <v>0.67</v>
      </c>
      <c r="M145" s="105" t="n">
        <v>0.01</v>
      </c>
      <c r="N145" s="104" t="n">
        <v>0.02</v>
      </c>
      <c r="O145" s="104" t="n">
        <v>5.62</v>
      </c>
      <c r="P145" s="104" t="n">
        <v>0.71</v>
      </c>
      <c r="Q145" s="104" t="n">
        <v>5.62</v>
      </c>
      <c r="R145" s="104" t="n">
        <v>5.04</v>
      </c>
      <c r="S145" s="104" t="n">
        <v>0.17</v>
      </c>
      <c r="T145" s="104" t="n">
        <v>0.29</v>
      </c>
      <c r="U145" s="104" t="n">
        <v>0.19</v>
      </c>
      <c r="V145" s="104" t="n">
        <v>0.13</v>
      </c>
      <c r="W145" s="104" t="n">
        <v>0.02</v>
      </c>
      <c r="X145" s="105" t="n">
        <v>-0.16</v>
      </c>
      <c r="Y145" s="105" t="n">
        <v>0.2</v>
      </c>
      <c r="Z145" s="113" t="inlineStr">
        <is>
          <t>N/A</t>
        </is>
      </c>
      <c r="AA145" s="105" t="n">
        <v>-0.07000000000000001</v>
      </c>
      <c r="AB145" s="105" t="n">
        <v>2.3</v>
      </c>
      <c r="AC145" s="104" t="n">
        <v>-0.06</v>
      </c>
      <c r="AD145" s="104" t="n">
        <v>-0.06</v>
      </c>
      <c r="AE145" s="104" t="n">
        <v>0.03</v>
      </c>
      <c r="AF145" s="104" t="n">
        <v>0.1</v>
      </c>
      <c r="AG145" s="104" t="n">
        <v>-0.09</v>
      </c>
      <c r="AH145" s="104" t="n">
        <v>4.16</v>
      </c>
      <c r="AI145" s="104" t="n">
        <v>0.01</v>
      </c>
      <c r="AJ145" s="104" t="n">
        <v>2.4</v>
      </c>
      <c r="AK145" s="106" t="inlineStr">
        <is>
          <t>Grey</t>
        </is>
      </c>
      <c r="AL145" s="104" t="n">
        <v>0.03</v>
      </c>
      <c r="AM145" s="104" t="n">
        <v>0.1</v>
      </c>
      <c r="AN145" s="104" t="n">
        <v>-0.09</v>
      </c>
      <c r="AO145" s="104" t="n">
        <v>4.16</v>
      </c>
      <c r="AP145" s="104" t="n">
        <v>0.01</v>
      </c>
      <c r="AQ145" s="103" t="n">
        <v>1.59</v>
      </c>
      <c r="AR145" s="103" t="inlineStr">
        <is>
          <t>Grey</t>
        </is>
      </c>
      <c r="AS145" s="104" t="n">
        <v>0.03</v>
      </c>
      <c r="AT145" s="104" t="n">
        <v>0.1</v>
      </c>
      <c r="AU145" s="104" t="n">
        <v>-0.09</v>
      </c>
      <c r="AV145" s="104" t="n">
        <v>4.16</v>
      </c>
      <c r="AW145" s="103" t="n">
        <v>4.34</v>
      </c>
      <c r="AX145" s="103" t="inlineStr">
        <is>
          <t>Safe</t>
        </is>
      </c>
      <c r="AY145" s="104" t="n">
        <v>0.03</v>
      </c>
      <c r="AZ145" s="104" t="n">
        <v>-0.09</v>
      </c>
      <c r="BA145" s="104" t="n">
        <v>-12.11</v>
      </c>
      <c r="BB145" s="104" t="n">
        <v>0.01</v>
      </c>
      <c r="BC145" s="103" t="n">
        <v>-8.220000000000001</v>
      </c>
      <c r="BD145" s="103" t="inlineStr">
        <is>
          <t>Distress</t>
        </is>
      </c>
      <c r="BE145" s="104" t="n">
        <v>-0.06</v>
      </c>
      <c r="BF145" s="104" t="n">
        <v>0.17</v>
      </c>
      <c r="BG145" s="104" t="n">
        <v>5.62</v>
      </c>
      <c r="BH145" s="104" t="n">
        <v>-3.06</v>
      </c>
      <c r="BI145" s="103" t="n">
        <v>0.04</v>
      </c>
      <c r="BJ145" s="103" t="inlineStr">
        <is>
          <t>Healthy</t>
        </is>
      </c>
      <c r="BK145" s="103" t="n">
        <v>0</v>
      </c>
      <c r="BL145" s="103" t="n">
        <v>0</v>
      </c>
      <c r="BM145" s="103" t="n">
        <v>0</v>
      </c>
      <c r="BN145" s="103" t="n">
        <v>1</v>
      </c>
      <c r="BO145" s="103" t="n">
        <v>1</v>
      </c>
      <c r="BP145" s="103" t="n">
        <v>1</v>
      </c>
      <c r="BQ145" s="103" t="n">
        <v>0</v>
      </c>
      <c r="BR145" s="103" t="n">
        <v>1</v>
      </c>
      <c r="BS145" s="103" t="n">
        <v>0</v>
      </c>
      <c r="BT145" s="103" t="n">
        <v>4</v>
      </c>
      <c r="BU145" s="103" t="inlineStr">
        <is>
          <t>Mixed</t>
        </is>
      </c>
      <c r="BV145" s="104" t="n">
        <v>1.22</v>
      </c>
      <c r="BW145" s="104" t="n">
        <v>0.95</v>
      </c>
      <c r="BX145" s="104" t="n">
        <v>0.97</v>
      </c>
      <c r="BY145" s="104" t="n">
        <v>0.93</v>
      </c>
      <c r="BZ145" s="104" t="n">
        <v>1.05</v>
      </c>
      <c r="CA145" s="104" t="n">
        <v>1.16</v>
      </c>
      <c r="CB145" s="104" t="n">
        <v>0.58</v>
      </c>
      <c r="CC145" s="104" t="n">
        <v>-0.06</v>
      </c>
      <c r="CD145" s="103" t="n">
        <v>-2.55</v>
      </c>
      <c r="CE145" s="103" t="inlineStr">
        <is>
          <t>Lower Risk</t>
        </is>
      </c>
      <c r="CF145" s="104" t="n">
        <v>-1.09</v>
      </c>
      <c r="CG145" s="104" t="n">
        <v>47.6</v>
      </c>
      <c r="CH145" s="103" t="n">
        <v>20</v>
      </c>
      <c r="CI145" s="103" t="inlineStr">
        <is>
          <t>CLEAR</t>
        </is>
      </c>
    </row>
    <row r="146" ht="17" customHeight="1">
      <c r="A146" s="107" t="inlineStr">
        <is>
          <t>IP</t>
        </is>
      </c>
      <c r="B146" s="107" t="inlineStr">
        <is>
          <t>INTERNATIONAL PAPER COMPANY</t>
        </is>
      </c>
      <c r="C146" s="108" t="n">
        <v>2207000000</v>
      </c>
      <c r="D146" s="109" t="n">
        <v>0.1</v>
      </c>
      <c r="E146" s="109" t="n">
        <v>-0.01</v>
      </c>
      <c r="F146" s="109" t="n">
        <v>-0.15</v>
      </c>
      <c r="G146" s="109" t="n">
        <v>-0.09</v>
      </c>
      <c r="H146" s="109" t="n">
        <v>-0.1</v>
      </c>
      <c r="I146" s="109" t="n">
        <v>-0.24</v>
      </c>
      <c r="J146" s="109" t="n">
        <v>0.08</v>
      </c>
      <c r="K146" s="109" t="n">
        <v>0.29</v>
      </c>
      <c r="L146" s="109" t="n">
        <v>0.28</v>
      </c>
      <c r="M146" s="109" t="n">
        <v>0.62</v>
      </c>
      <c r="N146" s="108" t="n">
        <v>0.26</v>
      </c>
      <c r="O146" s="108" t="n">
        <v>1.28</v>
      </c>
      <c r="P146" s="108" t="n">
        <v>1.51</v>
      </c>
      <c r="Q146" s="108" t="n">
        <v>1.02</v>
      </c>
      <c r="R146" s="108" t="n">
        <v>0.14</v>
      </c>
      <c r="S146" s="108" t="n">
        <v>1</v>
      </c>
      <c r="T146" s="108" t="n">
        <v>1</v>
      </c>
      <c r="U146" s="108" t="n">
        <v>0.65</v>
      </c>
      <c r="V146" s="108" t="n">
        <v>0.57</v>
      </c>
      <c r="W146" s="108" t="n">
        <v>-0.48</v>
      </c>
      <c r="X146" s="109" t="n">
        <v>0.05</v>
      </c>
      <c r="Y146" s="109" t="n">
        <v>0</v>
      </c>
      <c r="Z146" s="109" t="n">
        <v>4.28</v>
      </c>
      <c r="AA146" s="109" t="n">
        <v>2.94</v>
      </c>
      <c r="AB146" s="109" t="n">
        <v>0.47</v>
      </c>
      <c r="AC146" s="108" t="n">
        <v>-0.14</v>
      </c>
      <c r="AD146" s="108" t="n">
        <v>-0.14</v>
      </c>
      <c r="AE146" s="108" t="n">
        <v>0.06</v>
      </c>
      <c r="AF146" s="108" t="n">
        <v>0.13</v>
      </c>
      <c r="AG146" s="108" t="n">
        <v>0.06</v>
      </c>
      <c r="AH146" s="108" t="n">
        <v>0.39</v>
      </c>
      <c r="AI146" s="108" t="n">
        <v>0.62</v>
      </c>
      <c r="AJ146" s="108" t="n">
        <v>1.31</v>
      </c>
      <c r="AK146" s="112" t="inlineStr">
        <is>
          <t>Distress</t>
        </is>
      </c>
      <c r="AL146" s="108" t="n">
        <v>0.06</v>
      </c>
      <c r="AM146" s="108" t="n">
        <v>0.13</v>
      </c>
      <c r="AN146" s="108" t="n">
        <v>0.06</v>
      </c>
      <c r="AO146" s="108" t="n">
        <v>0.39</v>
      </c>
      <c r="AP146" s="108" t="n">
        <v>0.62</v>
      </c>
      <c r="AQ146" s="107" t="n">
        <v>1.13</v>
      </c>
      <c r="AR146" s="107" t="inlineStr">
        <is>
          <t>Distress</t>
        </is>
      </c>
      <c r="AS146" s="108" t="n">
        <v>0.06</v>
      </c>
      <c r="AT146" s="108" t="n">
        <v>0.13</v>
      </c>
      <c r="AU146" s="108" t="n">
        <v>0.06</v>
      </c>
      <c r="AV146" s="108" t="n">
        <v>0.39</v>
      </c>
      <c r="AW146" s="107" t="n">
        <v>1.63</v>
      </c>
      <c r="AX146" s="107" t="inlineStr">
        <is>
          <t>Grey</t>
        </is>
      </c>
      <c r="AY146" s="108" t="n">
        <v>0.06</v>
      </c>
      <c r="AZ146" s="108" t="n">
        <v>0.06</v>
      </c>
      <c r="BA146" s="108" t="n">
        <v>-0.03</v>
      </c>
      <c r="BB146" s="108" t="n">
        <v>0.62</v>
      </c>
      <c r="BC146" s="107" t="n">
        <v>0.48</v>
      </c>
      <c r="BD146" s="107" t="inlineStr">
        <is>
          <t>Distress</t>
        </is>
      </c>
      <c r="BE146" s="108" t="n">
        <v>-0.09</v>
      </c>
      <c r="BF146" s="108" t="n">
        <v>1</v>
      </c>
      <c r="BG146" s="108" t="n">
        <v>1.28</v>
      </c>
      <c r="BH146" s="108" t="n">
        <v>1.77</v>
      </c>
      <c r="BI146" s="107" t="n">
        <v>0.85</v>
      </c>
      <c r="BJ146" s="107" t="inlineStr">
        <is>
          <t>Distress</t>
        </is>
      </c>
      <c r="BK146" s="107" t="n">
        <v>0</v>
      </c>
      <c r="BL146" s="107" t="n">
        <v>1</v>
      </c>
      <c r="BM146" s="107" t="n">
        <v>1</v>
      </c>
      <c r="BN146" s="107" t="n">
        <v>1</v>
      </c>
      <c r="BO146" s="107" t="n">
        <v>1</v>
      </c>
      <c r="BP146" s="107" t="n">
        <v>0</v>
      </c>
      <c r="BQ146" s="107" t="n">
        <v>0</v>
      </c>
      <c r="BR146" s="107" t="n">
        <v>1</v>
      </c>
      <c r="BS146" s="107" t="n">
        <v>1</v>
      </c>
      <c r="BT146" s="107" t="n">
        <v>6</v>
      </c>
      <c r="BU146" s="107" t="inlineStr">
        <is>
          <t>Mixed</t>
        </is>
      </c>
      <c r="BV146" s="111" t="inlineStr">
        <is>
          <t>N/A</t>
        </is>
      </c>
      <c r="BW146" s="108" t="n">
        <v>0.96</v>
      </c>
      <c r="BX146" s="108" t="n">
        <v>1.2</v>
      </c>
      <c r="BY146" s="108" t="n">
        <v>3.94</v>
      </c>
      <c r="BZ146" s="108" t="n">
        <v>0.74</v>
      </c>
      <c r="CA146" s="108" t="n">
        <v>0.28</v>
      </c>
      <c r="CB146" s="108" t="n">
        <v>1</v>
      </c>
      <c r="CC146" s="108" t="n">
        <v>-0.14</v>
      </c>
      <c r="CD146" s="111" t="inlineStr">
        <is>
          <t>N/A</t>
        </is>
      </c>
      <c r="CE146" s="111" t="inlineStr">
        <is>
          <t>N/A</t>
        </is>
      </c>
      <c r="CF146" s="108" t="n">
        <v>1.67</v>
      </c>
      <c r="CG146" s="108" t="n">
        <v>50.79</v>
      </c>
      <c r="CH146" s="112" t="n">
        <v>60</v>
      </c>
      <c r="CI146" s="107" t="inlineStr">
        <is>
          <t>RED FLAG</t>
        </is>
      </c>
    </row>
    <row r="147" ht="17" customHeight="1">
      <c r="A147" s="103" t="inlineStr">
        <is>
          <t>ALL</t>
        </is>
      </c>
      <c r="B147" s="103" t="inlineStr">
        <is>
          <t>ALLSTATE CORP</t>
        </is>
      </c>
      <c r="C147" s="113" t="inlineStr">
        <is>
          <t>N/A</t>
        </is>
      </c>
      <c r="D147" s="105" t="n">
        <v>0.19</v>
      </c>
      <c r="E147" s="105" t="n">
        <v>0.19</v>
      </c>
      <c r="F147" s="105" t="n">
        <v>0.15</v>
      </c>
      <c r="G147" s="105" t="n">
        <v>0.09</v>
      </c>
      <c r="H147" s="105" t="n">
        <v>0.04</v>
      </c>
      <c r="I147" s="105" t="n">
        <v>0.34</v>
      </c>
      <c r="J147" s="113" t="inlineStr">
        <is>
          <t>N/A</t>
        </is>
      </c>
      <c r="K147" s="105" t="n">
        <v>0.17</v>
      </c>
      <c r="L147" s="105" t="n">
        <v>-2.36</v>
      </c>
      <c r="M147" s="105" t="n">
        <v>0.57</v>
      </c>
      <c r="N147" s="104" t="n">
        <v>0.16</v>
      </c>
      <c r="O147" s="113" t="inlineStr">
        <is>
          <t>N/A</t>
        </is>
      </c>
      <c r="P147" s="113" t="inlineStr">
        <is>
          <t>N/A</t>
        </is>
      </c>
      <c r="Q147" s="113" t="inlineStr">
        <is>
          <t>N/A</t>
        </is>
      </c>
      <c r="R147" s="113" t="inlineStr">
        <is>
          <t>N/A</t>
        </is>
      </c>
      <c r="S147" s="104" t="n">
        <v>0.74</v>
      </c>
      <c r="T147" s="104" t="n">
        <v>0.8100000000000001</v>
      </c>
      <c r="U147" s="104" t="n">
        <v>0.25</v>
      </c>
      <c r="V147" s="104" t="n">
        <v>0.25</v>
      </c>
      <c r="W147" s="104" t="n">
        <v>0.98</v>
      </c>
      <c r="X147" s="105" t="n">
        <v>0.15</v>
      </c>
      <c r="Y147" s="105" t="n">
        <v>0</v>
      </c>
      <c r="Z147" s="105" t="n">
        <v>34.71</v>
      </c>
      <c r="AA147" s="105" t="n">
        <v>2.9</v>
      </c>
      <c r="AB147" s="105" t="n">
        <v>1.2</v>
      </c>
      <c r="AC147" s="104" t="n">
        <v>0</v>
      </c>
      <c r="AD147" s="104" t="n">
        <v>0</v>
      </c>
      <c r="AE147" s="113" t="inlineStr">
        <is>
          <t>N/A</t>
        </is>
      </c>
      <c r="AF147" s="104" t="n">
        <v>0.52</v>
      </c>
      <c r="AG147" s="104" t="n">
        <v>0.11</v>
      </c>
      <c r="AH147" s="104" t="n">
        <v>0.34</v>
      </c>
      <c r="AI147" s="104" t="n">
        <v>0.57</v>
      </c>
      <c r="AJ147" s="113" t="inlineStr">
        <is>
          <t>N/A</t>
        </is>
      </c>
      <c r="AK147" s="113" t="inlineStr">
        <is>
          <t>N/A</t>
        </is>
      </c>
      <c r="AL147" s="113" t="inlineStr">
        <is>
          <t>N/A</t>
        </is>
      </c>
      <c r="AM147" s="104" t="n">
        <v>0.52</v>
      </c>
      <c r="AN147" s="104" t="n">
        <v>0.11</v>
      </c>
      <c r="AO147" s="104" t="n">
        <v>0.34</v>
      </c>
      <c r="AP147" s="104" t="n">
        <v>0.57</v>
      </c>
      <c r="AQ147" s="113" t="inlineStr">
        <is>
          <t>N/A</t>
        </is>
      </c>
      <c r="AR147" s="113" t="inlineStr">
        <is>
          <t>N/A</t>
        </is>
      </c>
      <c r="AS147" s="113" t="inlineStr">
        <is>
          <t>N/A</t>
        </is>
      </c>
      <c r="AT147" s="104" t="n">
        <v>0.52</v>
      </c>
      <c r="AU147" s="104" t="n">
        <v>0.11</v>
      </c>
      <c r="AV147" s="104" t="n">
        <v>0.34</v>
      </c>
      <c r="AW147" s="113" t="inlineStr">
        <is>
          <t>N/A</t>
        </is>
      </c>
      <c r="AX147" s="113" t="inlineStr">
        <is>
          <t>N/A</t>
        </is>
      </c>
      <c r="AY147" s="113" t="inlineStr">
        <is>
          <t>N/A</t>
        </is>
      </c>
      <c r="AZ147" s="104" t="n">
        <v>0.11</v>
      </c>
      <c r="BA147" s="113" t="inlineStr">
        <is>
          <t>N/A</t>
        </is>
      </c>
      <c r="BB147" s="104" t="n">
        <v>0.57</v>
      </c>
      <c r="BC147" s="113" t="inlineStr">
        <is>
          <t>N/A</t>
        </is>
      </c>
      <c r="BD147" s="113" t="inlineStr">
        <is>
          <t>N/A</t>
        </is>
      </c>
      <c r="BE147" s="104" t="n">
        <v>0.09</v>
      </c>
      <c r="BF147" s="104" t="n">
        <v>0.74</v>
      </c>
      <c r="BG147" s="113" t="inlineStr">
        <is>
          <t>N/A</t>
        </is>
      </c>
      <c r="BH147" s="113" t="inlineStr">
        <is>
          <t>N/A</t>
        </is>
      </c>
      <c r="BI147" s="113" t="inlineStr">
        <is>
          <t>N/A</t>
        </is>
      </c>
      <c r="BJ147" s="113" t="inlineStr">
        <is>
          <t>N/A</t>
        </is>
      </c>
      <c r="BK147" s="103" t="n">
        <v>1</v>
      </c>
      <c r="BL147" s="103" t="n">
        <v>1</v>
      </c>
      <c r="BM147" s="103" t="n">
        <v>1</v>
      </c>
      <c r="BN147" s="103" t="n">
        <v>0</v>
      </c>
      <c r="BO147" s="103" t="n">
        <v>1</v>
      </c>
      <c r="BP147" s="103" t="n">
        <v>0</v>
      </c>
      <c r="BQ147" s="103" t="n">
        <v>1</v>
      </c>
      <c r="BR147" s="103" t="n">
        <v>1</v>
      </c>
      <c r="BS147" s="103" t="n">
        <v>1</v>
      </c>
      <c r="BT147" s="103" t="n">
        <v>7</v>
      </c>
      <c r="BU147" s="103" t="inlineStr">
        <is>
          <t>Strong</t>
        </is>
      </c>
      <c r="BV147" s="113" t="inlineStr">
        <is>
          <t>N/A</t>
        </is>
      </c>
      <c r="BW147" s="104" t="n">
        <v>-13.85</v>
      </c>
      <c r="BX147" s="104" t="n">
        <v>1</v>
      </c>
      <c r="BY147" s="104" t="n">
        <v>3.9</v>
      </c>
      <c r="BZ147" s="104" t="n">
        <v>1.1</v>
      </c>
      <c r="CA147" s="113" t="inlineStr">
        <is>
          <t>N/A</t>
        </is>
      </c>
      <c r="CB147" s="104" t="n">
        <v>0.92</v>
      </c>
      <c r="CC147" s="104" t="n">
        <v>0</v>
      </c>
      <c r="CD147" s="113" t="inlineStr">
        <is>
          <t>N/A</t>
        </is>
      </c>
      <c r="CE147" s="113" t="inlineStr">
        <is>
          <t>N/A</t>
        </is>
      </c>
      <c r="CF147" s="104" t="n">
        <v>0.58</v>
      </c>
      <c r="CG147" s="104" t="n">
        <v>50.72</v>
      </c>
      <c r="CH147" s="103" t="n">
        <v>0</v>
      </c>
      <c r="CI147" s="103" t="inlineStr">
        <is>
          <t>CLEAR</t>
        </is>
      </c>
    </row>
    <row r="148" ht="17" customHeight="1">
      <c r="A148" s="107" t="inlineStr">
        <is>
          <t>WAT</t>
        </is>
      </c>
      <c r="B148" s="107" t="inlineStr">
        <is>
          <t>Waters Corporation</t>
        </is>
      </c>
      <c r="C148" s="108" t="n">
        <v>908146000</v>
      </c>
      <c r="D148" s="109" t="n">
        <v>0.25</v>
      </c>
      <c r="E148" s="109" t="n">
        <v>0.24</v>
      </c>
      <c r="F148" s="109" t="n">
        <v>0.2</v>
      </c>
      <c r="G148" s="109" t="n">
        <v>0.13</v>
      </c>
      <c r="H148" s="109" t="n">
        <v>0.14</v>
      </c>
      <c r="I148" s="109" t="n">
        <v>0.25</v>
      </c>
      <c r="J148" s="109" t="n">
        <v>0.21</v>
      </c>
      <c r="K148" s="109" t="n">
        <v>0.38</v>
      </c>
      <c r="L148" s="109" t="n">
        <v>0.37</v>
      </c>
      <c r="M148" s="109" t="n">
        <v>0.62</v>
      </c>
      <c r="N148" s="108" t="n">
        <v>0.2</v>
      </c>
      <c r="O148" s="108" t="n">
        <v>1.73</v>
      </c>
      <c r="P148" s="108" t="n">
        <v>2.11</v>
      </c>
      <c r="Q148" s="108" t="n">
        <v>1.27</v>
      </c>
      <c r="R148" s="108" t="n">
        <v>0.47</v>
      </c>
      <c r="S148" s="108" t="n">
        <v>0.5</v>
      </c>
      <c r="T148" s="108" t="n">
        <v>0.6</v>
      </c>
      <c r="U148" s="108" t="n">
        <v>0.73</v>
      </c>
      <c r="V148" s="108" t="n">
        <v>0.5</v>
      </c>
      <c r="W148" s="108" t="n">
        <v>1.02</v>
      </c>
      <c r="X148" s="109" t="n">
        <v>0.17</v>
      </c>
      <c r="Y148" s="109" t="n">
        <v>0.06</v>
      </c>
      <c r="Z148" s="109" t="n">
        <v>11.54</v>
      </c>
      <c r="AA148" s="109" t="n">
        <v>2.39</v>
      </c>
      <c r="AB148" s="109" t="n">
        <v>0.01</v>
      </c>
      <c r="AC148" s="108" t="n">
        <v>-0</v>
      </c>
      <c r="AD148" s="108" t="n">
        <v>-0</v>
      </c>
      <c r="AE148" s="108" t="n">
        <v>0.18</v>
      </c>
      <c r="AF148" s="108" t="n">
        <v>2.05</v>
      </c>
      <c r="AG148" s="108" t="n">
        <v>0.16</v>
      </c>
      <c r="AH148" s="108" t="n">
        <v>1.02</v>
      </c>
      <c r="AI148" s="108" t="n">
        <v>0.62</v>
      </c>
      <c r="AJ148" s="108" t="n">
        <v>4.85</v>
      </c>
      <c r="AK148" s="110" t="inlineStr">
        <is>
          <t>Safe</t>
        </is>
      </c>
      <c r="AL148" s="108" t="n">
        <v>0.18</v>
      </c>
      <c r="AM148" s="108" t="n">
        <v>2.05</v>
      </c>
      <c r="AN148" s="108" t="n">
        <v>0.16</v>
      </c>
      <c r="AO148" s="108" t="n">
        <v>1.02</v>
      </c>
      <c r="AP148" s="108" t="n">
        <v>0.62</v>
      </c>
      <c r="AQ148" s="107" t="n">
        <v>3.41</v>
      </c>
      <c r="AR148" s="107" t="inlineStr">
        <is>
          <t>Safe</t>
        </is>
      </c>
      <c r="AS148" s="108" t="n">
        <v>0.18</v>
      </c>
      <c r="AT148" s="108" t="n">
        <v>2.05</v>
      </c>
      <c r="AU148" s="108" t="n">
        <v>0.16</v>
      </c>
      <c r="AV148" s="108" t="n">
        <v>1.02</v>
      </c>
      <c r="AW148" s="107" t="n">
        <v>10</v>
      </c>
      <c r="AX148" s="107" t="inlineStr">
        <is>
          <t>Safe</t>
        </is>
      </c>
      <c r="AY148" s="108" t="n">
        <v>0.18</v>
      </c>
      <c r="AZ148" s="108" t="n">
        <v>0.16</v>
      </c>
      <c r="BA148" s="108" t="n">
        <v>0.61</v>
      </c>
      <c r="BB148" s="108" t="n">
        <v>0.62</v>
      </c>
      <c r="BC148" s="107" t="n">
        <v>1.32</v>
      </c>
      <c r="BD148" s="107" t="inlineStr">
        <is>
          <t>Healthy</t>
        </is>
      </c>
      <c r="BE148" s="108" t="n">
        <v>0.13</v>
      </c>
      <c r="BF148" s="108" t="n">
        <v>0.5</v>
      </c>
      <c r="BG148" s="108" t="n">
        <v>1.73</v>
      </c>
      <c r="BH148" s="108" t="n">
        <v>-2.09</v>
      </c>
      <c r="BI148" s="107" t="n">
        <v>0.11</v>
      </c>
      <c r="BJ148" s="107" t="inlineStr">
        <is>
          <t>Healthy</t>
        </is>
      </c>
      <c r="BK148" s="107" t="n">
        <v>1</v>
      </c>
      <c r="BL148" s="107" t="n">
        <v>1</v>
      </c>
      <c r="BM148" s="107" t="n">
        <v>0</v>
      </c>
      <c r="BN148" s="107" t="n">
        <v>1</v>
      </c>
      <c r="BO148" s="107" t="n">
        <v>1</v>
      </c>
      <c r="BP148" s="107" t="n">
        <v>0</v>
      </c>
      <c r="BQ148" s="107" t="n">
        <v>0</v>
      </c>
      <c r="BR148" s="107" t="n">
        <v>1</v>
      </c>
      <c r="BS148" s="107" t="n">
        <v>1</v>
      </c>
      <c r="BT148" s="107" t="n">
        <v>6</v>
      </c>
      <c r="BU148" s="107" t="inlineStr">
        <is>
          <t>Mixed</t>
        </is>
      </c>
      <c r="BV148" s="108" t="n">
        <v>0.33</v>
      </c>
      <c r="BW148" s="108" t="n">
        <v>0.99</v>
      </c>
      <c r="BX148" s="108" t="n">
        <v>0.92</v>
      </c>
      <c r="BY148" s="108" t="n">
        <v>3.39</v>
      </c>
      <c r="BZ148" s="108" t="n">
        <v>0.98</v>
      </c>
      <c r="CA148" s="108" t="n">
        <v>1.02</v>
      </c>
      <c r="CB148" s="108" t="n">
        <v>0.83</v>
      </c>
      <c r="CC148" s="108" t="n">
        <v>-0</v>
      </c>
      <c r="CD148" s="107" t="n">
        <v>-0.96</v>
      </c>
      <c r="CE148" s="107" t="inlineStr">
        <is>
          <t>Higher Risk</t>
        </is>
      </c>
      <c r="CF148" s="108" t="n">
        <v>1.44</v>
      </c>
      <c r="CG148" s="108" t="n">
        <v>54.79</v>
      </c>
      <c r="CH148" s="107" t="n">
        <v>20</v>
      </c>
      <c r="CI148" s="107" t="inlineStr">
        <is>
          <t>CLEAR</t>
        </is>
      </c>
    </row>
    <row r="149" ht="17" customHeight="1">
      <c r="A149" s="103" t="inlineStr">
        <is>
          <t>NEE</t>
        </is>
      </c>
      <c r="B149" s="103" t="inlineStr">
        <is>
          <t>NEXTERA ENERGY, INC.</t>
        </is>
      </c>
      <c r="C149" s="104" t="n">
        <v>-9233000000</v>
      </c>
      <c r="D149" s="105" t="n">
        <v>0.58</v>
      </c>
      <c r="E149" s="105" t="n">
        <v>0.32</v>
      </c>
      <c r="F149" s="105" t="n">
        <v>0.48</v>
      </c>
      <c r="G149" s="105" t="n">
        <v>0.03</v>
      </c>
      <c r="H149" s="105" t="n">
        <v>0.04</v>
      </c>
      <c r="I149" s="105" t="n">
        <v>0.13</v>
      </c>
      <c r="J149" s="105" t="n">
        <v>0.04</v>
      </c>
      <c r="K149" s="105" t="n">
        <v>-0.36</v>
      </c>
      <c r="L149" s="105" t="n">
        <v>-4.22</v>
      </c>
      <c r="M149" s="105" t="n">
        <v>0.07000000000000001</v>
      </c>
      <c r="N149" s="104" t="n">
        <v>0.02</v>
      </c>
      <c r="O149" s="104" t="n">
        <v>0.6</v>
      </c>
      <c r="P149" s="104" t="n">
        <v>0.47</v>
      </c>
      <c r="Q149" s="104" t="n">
        <v>0.49</v>
      </c>
      <c r="R149" s="104" t="n">
        <v>0.12</v>
      </c>
      <c r="S149" s="104" t="n">
        <v>0.6899999999999999</v>
      </c>
      <c r="T149" s="104" t="n">
        <v>0.68</v>
      </c>
      <c r="U149" s="104" t="n">
        <v>1.65</v>
      </c>
      <c r="V149" s="104" t="n">
        <v>1.6</v>
      </c>
      <c r="W149" s="104" t="n">
        <v>1.83</v>
      </c>
      <c r="X149" s="113" t="inlineStr">
        <is>
          <t>N/A</t>
        </is>
      </c>
      <c r="Y149" s="105" t="n">
        <v>0</v>
      </c>
      <c r="Z149" s="113" t="inlineStr">
        <is>
          <t>N/A</t>
        </is>
      </c>
      <c r="AA149" s="105" t="n">
        <v>3.22</v>
      </c>
      <c r="AB149" s="105" t="n">
        <v>-0.02</v>
      </c>
      <c r="AC149" s="104" t="n">
        <v>-0.03</v>
      </c>
      <c r="AD149" s="104" t="n">
        <v>-0.03</v>
      </c>
      <c r="AE149" s="104" t="n">
        <v>-0.04</v>
      </c>
      <c r="AF149" s="104" t="n">
        <v>0.17</v>
      </c>
      <c r="AG149" s="104" t="n">
        <v>0.04</v>
      </c>
      <c r="AH149" s="104" t="n">
        <v>0.37</v>
      </c>
      <c r="AI149" s="104" t="n">
        <v>0.07000000000000001</v>
      </c>
      <c r="AJ149" s="104" t="n">
        <v>0.6</v>
      </c>
      <c r="AK149" s="112" t="inlineStr">
        <is>
          <t>Distress</t>
        </is>
      </c>
      <c r="AL149" s="104" t="n">
        <v>-0.04</v>
      </c>
      <c r="AM149" s="104" t="n">
        <v>0.17</v>
      </c>
      <c r="AN149" s="104" t="n">
        <v>0.04</v>
      </c>
      <c r="AO149" s="104" t="n">
        <v>0.37</v>
      </c>
      <c r="AP149" s="104" t="n">
        <v>0.07000000000000001</v>
      </c>
      <c r="AQ149" s="103" t="n">
        <v>0.45</v>
      </c>
      <c r="AR149" s="103" t="inlineStr">
        <is>
          <t>Distress</t>
        </is>
      </c>
      <c r="AS149" s="104" t="n">
        <v>-0.04</v>
      </c>
      <c r="AT149" s="104" t="n">
        <v>0.17</v>
      </c>
      <c r="AU149" s="104" t="n">
        <v>0.04</v>
      </c>
      <c r="AV149" s="104" t="n">
        <v>0.37</v>
      </c>
      <c r="AW149" s="103" t="n">
        <v>0.91</v>
      </c>
      <c r="AX149" s="103" t="inlineStr">
        <is>
          <t>Distress</t>
        </is>
      </c>
      <c r="AY149" s="104" t="n">
        <v>-0.04</v>
      </c>
      <c r="AZ149" s="104" t="n">
        <v>0.04</v>
      </c>
      <c r="BA149" s="104" t="n">
        <v>0.2</v>
      </c>
      <c r="BB149" s="104" t="n">
        <v>0.07000000000000001</v>
      </c>
      <c r="BC149" s="103" t="n">
        <v>0.23</v>
      </c>
      <c r="BD149" s="103" t="inlineStr">
        <is>
          <t>Distress</t>
        </is>
      </c>
      <c r="BE149" s="104" t="n">
        <v>0.03</v>
      </c>
      <c r="BF149" s="104" t="n">
        <v>0.6899999999999999</v>
      </c>
      <c r="BG149" s="104" t="n">
        <v>0.6</v>
      </c>
      <c r="BH149" s="104" t="n">
        <v>-0.57</v>
      </c>
      <c r="BI149" s="103" t="n">
        <v>0.36</v>
      </c>
      <c r="BJ149" s="103" t="inlineStr">
        <is>
          <t>Healthy</t>
        </is>
      </c>
      <c r="BK149" s="103" t="n">
        <v>1</v>
      </c>
      <c r="BL149" s="103" t="n">
        <v>1</v>
      </c>
      <c r="BM149" s="103" t="n">
        <v>0</v>
      </c>
      <c r="BN149" s="103" t="n">
        <v>1</v>
      </c>
      <c r="BO149" s="103" t="n">
        <v>0</v>
      </c>
      <c r="BP149" s="103" t="n">
        <v>1</v>
      </c>
      <c r="BQ149" s="103" t="n">
        <v>0</v>
      </c>
      <c r="BR149" s="103" t="n">
        <v>1</v>
      </c>
      <c r="BS149" s="103" t="n">
        <v>1</v>
      </c>
      <c r="BT149" s="103" t="n">
        <v>6</v>
      </c>
      <c r="BU149" s="103" t="inlineStr">
        <is>
          <t>Mixed</t>
        </is>
      </c>
      <c r="BV149" s="104" t="n">
        <v>0.29</v>
      </c>
      <c r="BW149" s="104" t="n">
        <v>11.72</v>
      </c>
      <c r="BX149" s="104" t="n">
        <v>0.98</v>
      </c>
      <c r="BY149" s="104" t="n">
        <v>4.22</v>
      </c>
      <c r="BZ149" s="104" t="n">
        <v>0.9399999999999999</v>
      </c>
      <c r="CA149" s="113" t="inlineStr">
        <is>
          <t>N/A</t>
        </is>
      </c>
      <c r="CB149" s="104" t="n">
        <v>1.01</v>
      </c>
      <c r="CC149" s="104" t="n">
        <v>-0.03</v>
      </c>
      <c r="CD149" s="103" t="n">
        <v>5.43</v>
      </c>
      <c r="CE149" s="103" t="inlineStr">
        <is>
          <t>Higher Risk</t>
        </is>
      </c>
      <c r="CF149" s="104" t="n">
        <v>5.86</v>
      </c>
      <c r="CG149" s="104" t="n">
        <v>43.42</v>
      </c>
      <c r="CH149" s="103" t="n">
        <v>20</v>
      </c>
      <c r="CI149" s="103" t="inlineStr">
        <is>
          <t>CLEAR</t>
        </is>
      </c>
    </row>
    <row r="150" ht="17" customHeight="1">
      <c r="A150" s="107" t="inlineStr">
        <is>
          <t>PAYX</t>
        </is>
      </c>
      <c r="B150" s="107" t="inlineStr">
        <is>
          <t>Paychex, Inc.</t>
        </is>
      </c>
      <c r="C150" s="108" t="n">
        <v>1960200000</v>
      </c>
      <c r="D150" s="109" t="n">
        <v>0.4</v>
      </c>
      <c r="E150" s="109" t="n">
        <v>0.39</v>
      </c>
      <c r="F150" s="109" t="n">
        <v>0.12</v>
      </c>
      <c r="G150" s="109" t="n">
        <v>0.04</v>
      </c>
      <c r="H150" s="109" t="n">
        <v>0.02</v>
      </c>
      <c r="I150" s="109" t="n">
        <v>0.16</v>
      </c>
      <c r="J150" s="109" t="n">
        <v>0.23</v>
      </c>
      <c r="K150" s="109" t="n">
        <v>0.72</v>
      </c>
      <c r="L150" s="109" t="n">
        <v>0.72</v>
      </c>
      <c r="M150" s="109" t="n">
        <v>0.34</v>
      </c>
      <c r="N150" s="108" t="n">
        <v>0.51</v>
      </c>
      <c r="O150" s="108" t="n">
        <v>1.28</v>
      </c>
      <c r="P150" s="108" t="n">
        <v>1.37</v>
      </c>
      <c r="Q150" s="108" t="n">
        <v>1.28</v>
      </c>
      <c r="R150" s="108" t="n">
        <v>0.23</v>
      </c>
      <c r="S150" s="108" t="n">
        <v>0.75</v>
      </c>
      <c r="T150" s="108" t="n">
        <v>0.63</v>
      </c>
      <c r="U150" s="108" t="n">
        <v>1.2</v>
      </c>
      <c r="V150" s="108" t="n">
        <v>0.8100000000000001</v>
      </c>
      <c r="W150" s="108" t="n">
        <v>2.82</v>
      </c>
      <c r="X150" s="109" t="n">
        <v>0.31</v>
      </c>
      <c r="Y150" s="109" t="n">
        <v>0</v>
      </c>
      <c r="Z150" s="109" t="n">
        <v>59.19</v>
      </c>
      <c r="AA150" s="109" t="n">
        <v>0.06</v>
      </c>
      <c r="AB150" s="109" t="n">
        <v>3.19</v>
      </c>
      <c r="AC150" s="108" t="n">
        <v>-0.07000000000000001</v>
      </c>
      <c r="AD150" s="108" t="n">
        <v>-0.07000000000000001</v>
      </c>
      <c r="AE150" s="108" t="n">
        <v>0.12</v>
      </c>
      <c r="AF150" s="108" t="n">
        <v>0.14</v>
      </c>
      <c r="AG150" s="108" t="n">
        <v>0.13</v>
      </c>
      <c r="AH150" s="108" t="n">
        <v>0.33</v>
      </c>
      <c r="AI150" s="108" t="n">
        <v>0.34</v>
      </c>
      <c r="AJ150" s="108" t="n">
        <v>1.31</v>
      </c>
      <c r="AK150" s="112" t="inlineStr">
        <is>
          <t>Distress</t>
        </is>
      </c>
      <c r="AL150" s="108" t="n">
        <v>0.12</v>
      </c>
      <c r="AM150" s="108" t="n">
        <v>0.14</v>
      </c>
      <c r="AN150" s="108" t="n">
        <v>0.13</v>
      </c>
      <c r="AO150" s="108" t="n">
        <v>0.33</v>
      </c>
      <c r="AP150" s="108" t="n">
        <v>0.34</v>
      </c>
      <c r="AQ150" s="107" t="n">
        <v>1.09</v>
      </c>
      <c r="AR150" s="107" t="inlineStr">
        <is>
          <t>Distress</t>
        </is>
      </c>
      <c r="AS150" s="108" t="n">
        <v>0.12</v>
      </c>
      <c r="AT150" s="108" t="n">
        <v>0.14</v>
      </c>
      <c r="AU150" s="108" t="n">
        <v>0.13</v>
      </c>
      <c r="AV150" s="108" t="n">
        <v>0.33</v>
      </c>
      <c r="AW150" s="107" t="n">
        <v>2.47</v>
      </c>
      <c r="AX150" s="107" t="inlineStr">
        <is>
          <t>Grey</t>
        </is>
      </c>
      <c r="AY150" s="108" t="n">
        <v>0.12</v>
      </c>
      <c r="AZ150" s="108" t="n">
        <v>0.13</v>
      </c>
      <c r="BA150" s="108" t="n">
        <v>0.31</v>
      </c>
      <c r="BB150" s="108" t="n">
        <v>0.34</v>
      </c>
      <c r="BC150" s="107" t="n">
        <v>0.87</v>
      </c>
      <c r="BD150" s="107" t="inlineStr">
        <is>
          <t>Healthy</t>
        </is>
      </c>
      <c r="BE150" s="108" t="n">
        <v>0.04</v>
      </c>
      <c r="BF150" s="108" t="n">
        <v>0.75</v>
      </c>
      <c r="BG150" s="108" t="n">
        <v>1.28</v>
      </c>
      <c r="BH150" s="108" t="n">
        <v>-0.25</v>
      </c>
      <c r="BI150" s="107" t="n">
        <v>0.44</v>
      </c>
      <c r="BJ150" s="107" t="inlineStr">
        <is>
          <t>Healthy</t>
        </is>
      </c>
      <c r="BK150" s="107" t="n">
        <v>1</v>
      </c>
      <c r="BL150" s="107" t="n">
        <v>1</v>
      </c>
      <c r="BM150" s="107" t="n">
        <v>1</v>
      </c>
      <c r="BN150" s="107" t="n">
        <v>1</v>
      </c>
      <c r="BO150" s="107" t="n">
        <v>0</v>
      </c>
      <c r="BP150" s="107" t="n">
        <v>0</v>
      </c>
      <c r="BQ150" s="107" t="n">
        <v>0</v>
      </c>
      <c r="BR150" s="107" t="n">
        <v>1</v>
      </c>
      <c r="BS150" s="107" t="n">
        <v>0</v>
      </c>
      <c r="BT150" s="107" t="n">
        <v>5</v>
      </c>
      <c r="BU150" s="107" t="inlineStr">
        <is>
          <t>Mixed</t>
        </is>
      </c>
      <c r="BV150" s="108" t="n">
        <v>1.12</v>
      </c>
      <c r="BW150" s="108" t="n">
        <v>0.99</v>
      </c>
      <c r="BX150" s="108" t="n">
        <v>1.64</v>
      </c>
      <c r="BY150" s="108" t="n">
        <v>1.06</v>
      </c>
      <c r="BZ150" s="108" t="n">
        <v>1.17</v>
      </c>
      <c r="CA150" s="108" t="n">
        <v>1.06</v>
      </c>
      <c r="CB150" s="108" t="n">
        <v>1.18</v>
      </c>
      <c r="CC150" s="108" t="n">
        <v>-0.07000000000000001</v>
      </c>
      <c r="CD150" s="107" t="n">
        <v>-2.46</v>
      </c>
      <c r="CE150" s="107" t="inlineStr">
        <is>
          <t>Lower Risk</t>
        </is>
      </c>
      <c r="CF150" s="108" t="n">
        <v>1.45</v>
      </c>
      <c r="CG150" s="108" t="n">
        <v>46.76</v>
      </c>
      <c r="CH150" s="107" t="n">
        <v>0</v>
      </c>
      <c r="CI150" s="107" t="inlineStr">
        <is>
          <t>CLEAR</t>
        </is>
      </c>
    </row>
    <row r="151" ht="17" customHeight="1">
      <c r="A151" s="103" t="inlineStr">
        <is>
          <t>AFL</t>
        </is>
      </c>
      <c r="B151" s="103" t="inlineStr">
        <is>
          <t>AFLAC INC</t>
        </is>
      </c>
      <c r="C151" s="113" t="inlineStr">
        <is>
          <t>N/A</t>
        </is>
      </c>
      <c r="D151" s="105" t="n">
        <v>0.24</v>
      </c>
      <c r="E151" s="105" t="n">
        <v>0.26</v>
      </c>
      <c r="F151" s="105" t="n">
        <v>0.21</v>
      </c>
      <c r="G151" s="105" t="n">
        <v>0.03</v>
      </c>
      <c r="H151" s="105" t="n">
        <v>0.05</v>
      </c>
      <c r="I151" s="105" t="n">
        <v>0.12</v>
      </c>
      <c r="J151" s="113" t="inlineStr">
        <is>
          <t>N/A</t>
        </is>
      </c>
      <c r="K151" s="105" t="n">
        <v>0.26</v>
      </c>
      <c r="L151" s="105" t="n">
        <v>0.34</v>
      </c>
      <c r="M151" s="105" t="n">
        <v>0.15</v>
      </c>
      <c r="N151" s="104" t="n">
        <v>0.16</v>
      </c>
      <c r="O151" s="113" t="inlineStr">
        <is>
          <t>N/A</t>
        </is>
      </c>
      <c r="P151" s="113" t="inlineStr">
        <is>
          <t>N/A</t>
        </is>
      </c>
      <c r="Q151" s="113" t="inlineStr">
        <is>
          <t>N/A</t>
        </is>
      </c>
      <c r="R151" s="113" t="inlineStr">
        <is>
          <t>N/A</t>
        </is>
      </c>
      <c r="S151" s="104" t="n">
        <v>0.75</v>
      </c>
      <c r="T151" s="104" t="n">
        <v>0.78</v>
      </c>
      <c r="U151" s="113" t="inlineStr">
        <is>
          <t>N/A</t>
        </is>
      </c>
      <c r="V151" s="113" t="inlineStr">
        <is>
          <t>N/A</t>
        </is>
      </c>
      <c r="W151" s="104" t="n">
        <v>0.7</v>
      </c>
      <c r="X151" s="113" t="inlineStr">
        <is>
          <t>N/A</t>
        </is>
      </c>
      <c r="Y151" s="105" t="n">
        <v>0</v>
      </c>
      <c r="Z151" s="105" t="n">
        <v>21.32</v>
      </c>
      <c r="AA151" s="105" t="n">
        <v>-0.09</v>
      </c>
      <c r="AB151" s="105" t="n">
        <v>-0.33</v>
      </c>
      <c r="AC151" s="104" t="n">
        <v>0.01</v>
      </c>
      <c r="AD151" s="104" t="n">
        <v>0.01</v>
      </c>
      <c r="AE151" s="113" t="inlineStr">
        <is>
          <t>N/A</t>
        </is>
      </c>
      <c r="AF151" s="104" t="n">
        <v>0.47</v>
      </c>
      <c r="AG151" s="104" t="n">
        <v>0.04</v>
      </c>
      <c r="AH151" s="104" t="n">
        <v>0.34</v>
      </c>
      <c r="AI151" s="104" t="n">
        <v>0.15</v>
      </c>
      <c r="AJ151" s="113" t="inlineStr">
        <is>
          <t>N/A</t>
        </is>
      </c>
      <c r="AK151" s="113" t="inlineStr">
        <is>
          <t>N/A</t>
        </is>
      </c>
      <c r="AL151" s="113" t="inlineStr">
        <is>
          <t>N/A</t>
        </is>
      </c>
      <c r="AM151" s="104" t="n">
        <v>0.47</v>
      </c>
      <c r="AN151" s="104" t="n">
        <v>0.04</v>
      </c>
      <c r="AO151" s="104" t="n">
        <v>0.34</v>
      </c>
      <c r="AP151" s="104" t="n">
        <v>0.15</v>
      </c>
      <c r="AQ151" s="113" t="inlineStr">
        <is>
          <t>N/A</t>
        </is>
      </c>
      <c r="AR151" s="113" t="inlineStr">
        <is>
          <t>N/A</t>
        </is>
      </c>
      <c r="AS151" s="113" t="inlineStr">
        <is>
          <t>N/A</t>
        </is>
      </c>
      <c r="AT151" s="104" t="n">
        <v>0.47</v>
      </c>
      <c r="AU151" s="104" t="n">
        <v>0.04</v>
      </c>
      <c r="AV151" s="104" t="n">
        <v>0.34</v>
      </c>
      <c r="AW151" s="113" t="inlineStr">
        <is>
          <t>N/A</t>
        </is>
      </c>
      <c r="AX151" s="113" t="inlineStr">
        <is>
          <t>N/A</t>
        </is>
      </c>
      <c r="AY151" s="113" t="inlineStr">
        <is>
          <t>N/A</t>
        </is>
      </c>
      <c r="AZ151" s="104" t="n">
        <v>0.04</v>
      </c>
      <c r="BA151" s="113" t="inlineStr">
        <is>
          <t>N/A</t>
        </is>
      </c>
      <c r="BB151" s="104" t="n">
        <v>0.15</v>
      </c>
      <c r="BC151" s="113" t="inlineStr">
        <is>
          <t>N/A</t>
        </is>
      </c>
      <c r="BD151" s="113" t="inlineStr">
        <is>
          <t>N/A</t>
        </is>
      </c>
      <c r="BE151" s="104" t="n">
        <v>0.03</v>
      </c>
      <c r="BF151" s="104" t="n">
        <v>0.75</v>
      </c>
      <c r="BG151" s="113" t="inlineStr">
        <is>
          <t>N/A</t>
        </is>
      </c>
      <c r="BH151" s="113" t="inlineStr">
        <is>
          <t>N/A</t>
        </is>
      </c>
      <c r="BI151" s="113" t="inlineStr">
        <is>
          <t>N/A</t>
        </is>
      </c>
      <c r="BJ151" s="113" t="inlineStr">
        <is>
          <t>N/A</t>
        </is>
      </c>
      <c r="BK151" s="103" t="n">
        <v>1</v>
      </c>
      <c r="BL151" s="103" t="n">
        <v>1</v>
      </c>
      <c r="BM151" s="103" t="n">
        <v>0</v>
      </c>
      <c r="BN151" s="103" t="n">
        <v>0</v>
      </c>
      <c r="BO151" s="103" t="n">
        <v>0</v>
      </c>
      <c r="BP151" s="103" t="n">
        <v>0</v>
      </c>
      <c r="BQ151" s="103" t="n">
        <v>1</v>
      </c>
      <c r="BR151" s="103" t="n">
        <v>0</v>
      </c>
      <c r="BS151" s="103" t="n">
        <v>0</v>
      </c>
      <c r="BT151" s="103" t="n">
        <v>3</v>
      </c>
      <c r="BU151" s="103" t="inlineStr">
        <is>
          <t>Weak</t>
        </is>
      </c>
      <c r="BV151" s="113" t="inlineStr">
        <is>
          <t>N/A</t>
        </is>
      </c>
      <c r="BW151" s="104" t="n">
        <v>1.28</v>
      </c>
      <c r="BX151" s="104" t="n">
        <v>1</v>
      </c>
      <c r="BY151" s="104" t="n">
        <v>0.91</v>
      </c>
      <c r="BZ151" s="104" t="n">
        <v>1.01</v>
      </c>
      <c r="CA151" s="104" t="n">
        <v>1.19</v>
      </c>
      <c r="CB151" s="104" t="n">
        <v>0.96</v>
      </c>
      <c r="CC151" s="104" t="n">
        <v>0.01</v>
      </c>
      <c r="CD151" s="113" t="inlineStr">
        <is>
          <t>N/A</t>
        </is>
      </c>
      <c r="CE151" s="113" t="inlineStr">
        <is>
          <t>N/A</t>
        </is>
      </c>
      <c r="CF151" s="113" t="inlineStr">
        <is>
          <t>N/A</t>
        </is>
      </c>
      <c r="CG151" s="104" t="n">
        <v>35.17</v>
      </c>
      <c r="CH151" s="103" t="n">
        <v>0</v>
      </c>
      <c r="CI151" s="103" t="inlineStr">
        <is>
          <t>CLEAR</t>
        </is>
      </c>
    </row>
    <row r="152" ht="17" customHeight="1">
      <c r="A152" s="107" t="inlineStr">
        <is>
          <t>SMCI</t>
        </is>
      </c>
      <c r="B152" s="107" t="inlineStr">
        <is>
          <t>SUPER MICRO COMPUTER, INC.</t>
        </is>
      </c>
      <c r="C152" s="108" t="n">
        <v>9956862000</v>
      </c>
      <c r="D152" s="109" t="n">
        <v>0.5</v>
      </c>
      <c r="E152" s="109" t="n">
        <v>0.43</v>
      </c>
      <c r="F152" s="109" t="n">
        <v>0.42</v>
      </c>
      <c r="G152" s="109" t="n">
        <v>0.07000000000000001</v>
      </c>
      <c r="H152" s="109" t="n">
        <v>0.12</v>
      </c>
      <c r="I152" s="109" t="n">
        <v>0.17</v>
      </c>
      <c r="J152" s="109" t="n">
        <v>0.11</v>
      </c>
      <c r="K152" s="109" t="n">
        <v>0.98</v>
      </c>
      <c r="L152" s="109" t="n">
        <v>3.04</v>
      </c>
      <c r="M152" s="109" t="n">
        <v>0.18</v>
      </c>
      <c r="N152" s="108" t="n">
        <v>0.07000000000000001</v>
      </c>
      <c r="O152" s="108" t="n">
        <v>5.25</v>
      </c>
      <c r="P152" s="108" t="n">
        <v>3.81</v>
      </c>
      <c r="Q152" s="108" t="n">
        <v>3.25</v>
      </c>
      <c r="R152" s="108" t="n">
        <v>2.2</v>
      </c>
      <c r="S152" s="108" t="n">
        <v>0.55</v>
      </c>
      <c r="T152" s="108" t="n">
        <v>0.45</v>
      </c>
      <c r="U152" s="108" t="n">
        <v>0.05</v>
      </c>
      <c r="V152" s="108" t="n">
        <v>-0.77</v>
      </c>
      <c r="W152" s="108" t="n">
        <v>1.58</v>
      </c>
      <c r="X152" s="109" t="n">
        <v>0.62</v>
      </c>
      <c r="Y152" s="109" t="n">
        <v>0.26</v>
      </c>
      <c r="Z152" s="109" t="n">
        <v>119.44</v>
      </c>
      <c r="AA152" s="109" t="n">
        <v>2.66</v>
      </c>
      <c r="AB152" s="109" t="n">
        <v>-0.09</v>
      </c>
      <c r="AC152" s="108" t="n">
        <v>-0.04</v>
      </c>
      <c r="AD152" s="108" t="n">
        <v>-0.04</v>
      </c>
      <c r="AE152" s="108" t="n">
        <v>0.71</v>
      </c>
      <c r="AF152" s="108" t="n">
        <v>0.25</v>
      </c>
      <c r="AG152" s="108" t="n">
        <v>0.09</v>
      </c>
      <c r="AH152" s="108" t="n">
        <v>0.82</v>
      </c>
      <c r="AI152" s="108" t="n">
        <v>0.18</v>
      </c>
      <c r="AJ152" s="108" t="n">
        <v>2.16</v>
      </c>
      <c r="AK152" s="106" t="inlineStr">
        <is>
          <t>Grey</t>
        </is>
      </c>
      <c r="AL152" s="108" t="n">
        <v>0.71</v>
      </c>
      <c r="AM152" s="108" t="n">
        <v>0.25</v>
      </c>
      <c r="AN152" s="108" t="n">
        <v>0.09</v>
      </c>
      <c r="AO152" s="108" t="n">
        <v>0.82</v>
      </c>
      <c r="AP152" s="108" t="n">
        <v>0.18</v>
      </c>
      <c r="AQ152" s="107" t="n">
        <v>1.51</v>
      </c>
      <c r="AR152" s="107" t="inlineStr">
        <is>
          <t>Grey</t>
        </is>
      </c>
      <c r="AS152" s="108" t="n">
        <v>0.71</v>
      </c>
      <c r="AT152" s="108" t="n">
        <v>0.25</v>
      </c>
      <c r="AU152" s="108" t="n">
        <v>0.09</v>
      </c>
      <c r="AV152" s="108" t="n">
        <v>0.82</v>
      </c>
      <c r="AW152" s="107" t="n">
        <v>6.92</v>
      </c>
      <c r="AX152" s="107" t="inlineStr">
        <is>
          <t>Safe</t>
        </is>
      </c>
      <c r="AY152" s="108" t="n">
        <v>0.71</v>
      </c>
      <c r="AZ152" s="108" t="n">
        <v>0.09</v>
      </c>
      <c r="BA152" s="108" t="n">
        <v>0.45</v>
      </c>
      <c r="BB152" s="108" t="n">
        <v>0.18</v>
      </c>
      <c r="BC152" s="107" t="n">
        <v>1.38</v>
      </c>
      <c r="BD152" s="107" t="inlineStr">
        <is>
          <t>Healthy</t>
        </is>
      </c>
      <c r="BE152" s="108" t="n">
        <v>0.07000000000000001</v>
      </c>
      <c r="BF152" s="108" t="n">
        <v>0.55</v>
      </c>
      <c r="BG152" s="108" t="n">
        <v>5.25</v>
      </c>
      <c r="BH152" s="108" t="n">
        <v>-1.53</v>
      </c>
      <c r="BI152" s="107" t="n">
        <v>0.18</v>
      </c>
      <c r="BJ152" s="107" t="inlineStr">
        <is>
          <t>Healthy</t>
        </is>
      </c>
      <c r="BK152" s="107" t="n">
        <v>1</v>
      </c>
      <c r="BL152" s="107" t="n">
        <v>1</v>
      </c>
      <c r="BM152" s="107" t="n">
        <v>0</v>
      </c>
      <c r="BN152" s="107" t="n">
        <v>1</v>
      </c>
      <c r="BO152" s="107" t="n">
        <v>1</v>
      </c>
      <c r="BP152" s="107" t="n">
        <v>1</v>
      </c>
      <c r="BQ152" s="107" t="n">
        <v>0</v>
      </c>
      <c r="BR152" s="107" t="n">
        <v>0</v>
      </c>
      <c r="BS152" s="107" t="n">
        <v>1</v>
      </c>
      <c r="BT152" s="107" t="n">
        <v>6</v>
      </c>
      <c r="BU152" s="107" t="inlineStr">
        <is>
          <t>Mixed</t>
        </is>
      </c>
      <c r="BV152" s="108" t="n">
        <v>0.22</v>
      </c>
      <c r="BW152" s="108" t="n">
        <v>3.11</v>
      </c>
      <c r="BX152" s="108" t="n">
        <v>1.77</v>
      </c>
      <c r="BY152" s="108" t="n">
        <v>3.66</v>
      </c>
      <c r="BZ152" s="108" t="n">
        <v>0.9</v>
      </c>
      <c r="CA152" s="108" t="n">
        <v>0.37</v>
      </c>
      <c r="CB152" s="108" t="n">
        <v>1.23</v>
      </c>
      <c r="CC152" s="108" t="n">
        <v>-0.04</v>
      </c>
      <c r="CD152" s="107" t="n">
        <v>0.42</v>
      </c>
      <c r="CE152" s="107" t="inlineStr">
        <is>
          <t>Higher Risk</t>
        </is>
      </c>
      <c r="CF152" s="108" t="n">
        <v>-3.77</v>
      </c>
      <c r="CG152" s="108" t="n">
        <v>47.83</v>
      </c>
      <c r="CH152" s="107" t="n">
        <v>20</v>
      </c>
      <c r="CI152" s="107" t="inlineStr">
        <is>
          <t>CLEAR</t>
        </is>
      </c>
    </row>
    <row r="153" ht="17" customHeight="1">
      <c r="A153" s="103" t="inlineStr">
        <is>
          <t>EW</t>
        </is>
      </c>
      <c r="B153" s="103" t="inlineStr">
        <is>
          <t>EDWARDS LIFESCIENCES CORPORATION</t>
        </is>
      </c>
      <c r="C153" s="104" t="n">
        <v>4925200000</v>
      </c>
      <c r="D153" s="105" t="n">
        <v>0.21</v>
      </c>
      <c r="E153" s="105" t="n">
        <v>0.21</v>
      </c>
      <c r="F153" s="105" t="n">
        <v>0.18</v>
      </c>
      <c r="G153" s="105" t="n">
        <v>0.08</v>
      </c>
      <c r="H153" s="105" t="n">
        <v>0.32</v>
      </c>
      <c r="I153" s="105" t="n">
        <v>0.1</v>
      </c>
      <c r="J153" s="105" t="n">
        <v>0.11</v>
      </c>
      <c r="K153" s="105" t="n">
        <v>0.78</v>
      </c>
      <c r="L153" s="105" t="n">
        <v>0.79</v>
      </c>
      <c r="M153" s="105" t="n">
        <v>0.44</v>
      </c>
      <c r="N153" s="104" t="n">
        <v>0.42</v>
      </c>
      <c r="O153" s="104" t="n">
        <v>3.72</v>
      </c>
      <c r="P153" s="104" t="n">
        <v>4.18</v>
      </c>
      <c r="Q153" s="104" t="n">
        <v>3.09</v>
      </c>
      <c r="R153" s="104" t="n">
        <v>1.62</v>
      </c>
      <c r="S153" s="104" t="n">
        <v>0.25</v>
      </c>
      <c r="T153" s="104" t="n">
        <v>0.23</v>
      </c>
      <c r="U153" s="104" t="n">
        <v>0.06</v>
      </c>
      <c r="V153" s="104" t="n">
        <v>-0.23</v>
      </c>
      <c r="W153" s="104" t="n">
        <v>1.49</v>
      </c>
      <c r="X153" s="105" t="n">
        <v>0.22</v>
      </c>
      <c r="Y153" s="105" t="n">
        <v>0.18</v>
      </c>
      <c r="Z153" s="105" t="n">
        <v>71.83</v>
      </c>
      <c r="AA153" s="105" t="n">
        <v>0.12</v>
      </c>
      <c r="AB153" s="105" t="n">
        <v>-0.74</v>
      </c>
      <c r="AC153" s="104" t="n">
        <v>-0.04</v>
      </c>
      <c r="AD153" s="104" t="n">
        <v>-0.04</v>
      </c>
      <c r="AE153" s="104" t="n">
        <v>0.36</v>
      </c>
      <c r="AF153" s="104" t="n">
        <v>1.04</v>
      </c>
      <c r="AG153" s="104" t="n">
        <v>0.09</v>
      </c>
      <c r="AH153" s="104" t="n">
        <v>3.08</v>
      </c>
      <c r="AI153" s="104" t="n">
        <v>0.44</v>
      </c>
      <c r="AJ153" s="104" t="n">
        <v>4.48</v>
      </c>
      <c r="AK153" s="110" t="inlineStr">
        <is>
          <t>Safe</t>
        </is>
      </c>
      <c r="AL153" s="104" t="n">
        <v>0.36</v>
      </c>
      <c r="AM153" s="104" t="n">
        <v>1.04</v>
      </c>
      <c r="AN153" s="104" t="n">
        <v>0.09</v>
      </c>
      <c r="AO153" s="104" t="n">
        <v>3.08</v>
      </c>
      <c r="AP153" s="104" t="n">
        <v>0.44</v>
      </c>
      <c r="AQ153" s="103" t="n">
        <v>3.16</v>
      </c>
      <c r="AR153" s="103" t="inlineStr">
        <is>
          <t>Safe</t>
        </is>
      </c>
      <c r="AS153" s="104" t="n">
        <v>0.36</v>
      </c>
      <c r="AT153" s="104" t="n">
        <v>1.04</v>
      </c>
      <c r="AU153" s="104" t="n">
        <v>0.09</v>
      </c>
      <c r="AV153" s="104" t="n">
        <v>3.08</v>
      </c>
      <c r="AW153" s="103" t="n">
        <v>9.6</v>
      </c>
      <c r="AX153" s="103" t="inlineStr">
        <is>
          <t>Safe</t>
        </is>
      </c>
      <c r="AY153" s="104" t="n">
        <v>0.36</v>
      </c>
      <c r="AZ153" s="104" t="n">
        <v>0.09</v>
      </c>
      <c r="BA153" s="104" t="n">
        <v>0.7</v>
      </c>
      <c r="BB153" s="104" t="n">
        <v>0.44</v>
      </c>
      <c r="BC153" s="103" t="n">
        <v>1.29</v>
      </c>
      <c r="BD153" s="103" t="inlineStr">
        <is>
          <t>Healthy</t>
        </is>
      </c>
      <c r="BE153" s="104" t="n">
        <v>0.08</v>
      </c>
      <c r="BF153" s="104" t="n">
        <v>0.25</v>
      </c>
      <c r="BG153" s="104" t="n">
        <v>3.72</v>
      </c>
      <c r="BH153" s="104" t="n">
        <v>-3.28</v>
      </c>
      <c r="BI153" s="103" t="n">
        <v>0.04</v>
      </c>
      <c r="BJ153" s="103" t="inlineStr">
        <is>
          <t>Healthy</t>
        </is>
      </c>
      <c r="BK153" s="103" t="n">
        <v>1</v>
      </c>
      <c r="BL153" s="103" t="n">
        <v>1</v>
      </c>
      <c r="BM153" s="103" t="n">
        <v>0</v>
      </c>
      <c r="BN153" s="103" t="n">
        <v>1</v>
      </c>
      <c r="BO153" s="103" t="n">
        <v>1</v>
      </c>
      <c r="BP153" s="103" t="n">
        <v>0</v>
      </c>
      <c r="BQ153" s="103" t="n">
        <v>1</v>
      </c>
      <c r="BR153" s="103" t="n">
        <v>0</v>
      </c>
      <c r="BS153" s="103" t="n">
        <v>1</v>
      </c>
      <c r="BT153" s="103" t="n">
        <v>6</v>
      </c>
      <c r="BU153" s="103" t="inlineStr">
        <is>
          <t>Mixed</t>
        </is>
      </c>
      <c r="BV153" s="104" t="n">
        <v>0.97</v>
      </c>
      <c r="BW153" s="104" t="n">
        <v>1.02</v>
      </c>
      <c r="BX153" s="104" t="n">
        <v>0.96</v>
      </c>
      <c r="BY153" s="104" t="n">
        <v>1.12</v>
      </c>
      <c r="BZ153" s="104" t="n">
        <v>1.06</v>
      </c>
      <c r="CA153" s="104" t="n">
        <v>1.04</v>
      </c>
      <c r="CB153" s="104" t="n">
        <v>1.07</v>
      </c>
      <c r="CC153" s="104" t="n">
        <v>-0.04</v>
      </c>
      <c r="CD153" s="103" t="n">
        <v>-2.61</v>
      </c>
      <c r="CE153" s="103" t="inlineStr">
        <is>
          <t>Lower Risk</t>
        </is>
      </c>
      <c r="CF153" s="104" t="n">
        <v>-1.65</v>
      </c>
      <c r="CG153" s="104" t="n">
        <v>60.42</v>
      </c>
      <c r="CH153" s="103" t="n">
        <v>0</v>
      </c>
      <c r="CI153" s="103" t="inlineStr">
        <is>
          <t>CLEAR</t>
        </is>
      </c>
    </row>
    <row r="154" ht="17" customHeight="1">
      <c r="A154" s="107" t="inlineStr">
        <is>
          <t>CACI</t>
        </is>
      </c>
      <c r="B154" s="107" t="inlineStr">
        <is>
          <t>CACI International Inc</t>
        </is>
      </c>
      <c r="C154" s="108" t="n">
        <v>571839000</v>
      </c>
      <c r="D154" s="109" t="n">
        <v>0.17</v>
      </c>
      <c r="E154" s="109" t="n">
        <v>0.14</v>
      </c>
      <c r="F154" s="109" t="n">
        <v>0.11</v>
      </c>
      <c r="G154" s="109" t="n">
        <v>0.06</v>
      </c>
      <c r="H154" s="109" t="n">
        <v>0.06</v>
      </c>
      <c r="I154" s="109" t="n">
        <v>0.14</v>
      </c>
      <c r="J154" s="109" t="n">
        <v>0.1</v>
      </c>
      <c r="K154" s="109" t="n">
        <v>-0.03</v>
      </c>
      <c r="L154" s="109" t="n">
        <v>-2.53</v>
      </c>
      <c r="M154" s="109" t="n">
        <v>0.52</v>
      </c>
      <c r="N154" s="108" t="n">
        <v>0.17</v>
      </c>
      <c r="O154" s="108" t="n">
        <v>1.47</v>
      </c>
      <c r="P154" s="108" t="n">
        <v>1.27</v>
      </c>
      <c r="Q154" s="108" t="n">
        <v>1.37</v>
      </c>
      <c r="R154" s="108" t="n">
        <v>0.09</v>
      </c>
      <c r="S154" s="108" t="n">
        <v>0.55</v>
      </c>
      <c r="T154" s="108" t="n">
        <v>0.48</v>
      </c>
      <c r="U154" s="108" t="n">
        <v>0.85</v>
      </c>
      <c r="V154" s="108" t="n">
        <v>0.82</v>
      </c>
      <c r="W154" s="108" t="n">
        <v>1.09</v>
      </c>
      <c r="X154" s="109" t="n">
        <v>0.11</v>
      </c>
      <c r="Y154" s="109" t="n">
        <v>0</v>
      </c>
      <c r="Z154" s="109" t="n">
        <v>9.109999999999999</v>
      </c>
      <c r="AA154" s="109" t="n">
        <v>2.82</v>
      </c>
      <c r="AB154" s="109" t="n">
        <v>0.19</v>
      </c>
      <c r="AC154" s="108" t="n">
        <v>-0.01</v>
      </c>
      <c r="AD154" s="108" t="n">
        <v>-0.01</v>
      </c>
      <c r="AE154" s="108" t="n">
        <v>0.07000000000000001</v>
      </c>
      <c r="AF154" s="108" t="n">
        <v>0.5600000000000001</v>
      </c>
      <c r="AG154" s="108" t="n">
        <v>0.09</v>
      </c>
      <c r="AH154" s="108" t="n">
        <v>0.74</v>
      </c>
      <c r="AI154" s="108" t="n">
        <v>0.52</v>
      </c>
      <c r="AJ154" s="108" t="n">
        <v>2.12</v>
      </c>
      <c r="AK154" s="106" t="inlineStr">
        <is>
          <t>Grey</t>
        </is>
      </c>
      <c r="AL154" s="108" t="n">
        <v>0.07000000000000001</v>
      </c>
      <c r="AM154" s="108" t="n">
        <v>0.5600000000000001</v>
      </c>
      <c r="AN154" s="108" t="n">
        <v>0.09</v>
      </c>
      <c r="AO154" s="108" t="n">
        <v>0.74</v>
      </c>
      <c r="AP154" s="108" t="n">
        <v>0.52</v>
      </c>
      <c r="AQ154" s="107" t="n">
        <v>1.62</v>
      </c>
      <c r="AR154" s="107" t="inlineStr">
        <is>
          <t>Grey</t>
        </is>
      </c>
      <c r="AS154" s="108" t="n">
        <v>0.07000000000000001</v>
      </c>
      <c r="AT154" s="108" t="n">
        <v>0.5600000000000001</v>
      </c>
      <c r="AU154" s="108" t="n">
        <v>0.09</v>
      </c>
      <c r="AV154" s="108" t="n">
        <v>0.74</v>
      </c>
      <c r="AW154" s="107" t="n">
        <v>3.64</v>
      </c>
      <c r="AX154" s="107" t="inlineStr">
        <is>
          <t>Safe</t>
        </is>
      </c>
      <c r="AY154" s="108" t="n">
        <v>0.07000000000000001</v>
      </c>
      <c r="AZ154" s="108" t="n">
        <v>0.09</v>
      </c>
      <c r="BA154" s="108" t="n">
        <v>0.5</v>
      </c>
      <c r="BB154" s="108" t="n">
        <v>0.52</v>
      </c>
      <c r="BC154" s="107" t="n">
        <v>0.88</v>
      </c>
      <c r="BD154" s="107" t="inlineStr">
        <is>
          <t>Healthy</t>
        </is>
      </c>
      <c r="BE154" s="108" t="n">
        <v>0.06</v>
      </c>
      <c r="BF154" s="108" t="n">
        <v>0.55</v>
      </c>
      <c r="BG154" s="108" t="n">
        <v>1.47</v>
      </c>
      <c r="BH154" s="108" t="n">
        <v>-1.47</v>
      </c>
      <c r="BI154" s="107" t="n">
        <v>0.19</v>
      </c>
      <c r="BJ154" s="107" t="inlineStr">
        <is>
          <t>Healthy</t>
        </is>
      </c>
      <c r="BK154" s="107" t="n">
        <v>1</v>
      </c>
      <c r="BL154" s="107" t="n">
        <v>1</v>
      </c>
      <c r="BM154" s="107" t="n">
        <v>0</v>
      </c>
      <c r="BN154" s="107" t="n">
        <v>1</v>
      </c>
      <c r="BO154" s="107" t="n">
        <v>0</v>
      </c>
      <c r="BP154" s="107" t="n">
        <v>1</v>
      </c>
      <c r="BQ154" s="107" t="n">
        <v>1</v>
      </c>
      <c r="BR154" s="107" t="n">
        <v>1</v>
      </c>
      <c r="BS154" s="107" t="n">
        <v>1</v>
      </c>
      <c r="BT154" s="107" t="n">
        <v>7</v>
      </c>
      <c r="BU154" s="107" t="inlineStr">
        <is>
          <t>Strong</t>
        </is>
      </c>
      <c r="BV154" s="108" t="n">
        <v>0.36</v>
      </c>
      <c r="BW154" s="108" t="n">
        <v>80.3</v>
      </c>
      <c r="BX154" s="108" t="n">
        <v>1</v>
      </c>
      <c r="BY154" s="108" t="n">
        <v>3.82</v>
      </c>
      <c r="BZ154" s="108" t="n">
        <v>0.88</v>
      </c>
      <c r="CA154" s="108" t="n">
        <v>0.28</v>
      </c>
      <c r="CB154" s="108" t="n">
        <v>1.14</v>
      </c>
      <c r="CC154" s="108" t="n">
        <v>-0.01</v>
      </c>
      <c r="CD154" s="107" t="n">
        <v>41.35</v>
      </c>
      <c r="CE154" s="107" t="inlineStr">
        <is>
          <t>Higher Risk</t>
        </is>
      </c>
      <c r="CF154" s="108" t="n">
        <v>3</v>
      </c>
      <c r="CG154" s="108" t="n">
        <v>52.11</v>
      </c>
      <c r="CH154" s="107" t="n">
        <v>20</v>
      </c>
      <c r="CI154" s="107" t="inlineStr">
        <is>
          <t>CLEAR</t>
        </is>
      </c>
    </row>
    <row r="155" ht="17" customHeight="1">
      <c r="A155" s="103" t="inlineStr">
        <is>
          <t>ROP</t>
        </is>
      </c>
      <c r="B155" s="103" t="inlineStr">
        <is>
          <t>ROPER TECHNOLOGIES INC</t>
        </is>
      </c>
      <c r="C155" s="104" t="n">
        <v>-1797500000</v>
      </c>
      <c r="D155" s="105" t="n">
        <v>0.28</v>
      </c>
      <c r="E155" s="105" t="n">
        <v>0.24</v>
      </c>
      <c r="F155" s="105" t="n">
        <v>0.19</v>
      </c>
      <c r="G155" s="105" t="n">
        <v>0.04</v>
      </c>
      <c r="H155" s="105" t="n">
        <v>0.05</v>
      </c>
      <c r="I155" s="105" t="n">
        <v>0.08</v>
      </c>
      <c r="J155" s="105" t="n">
        <v>0.07000000000000001</v>
      </c>
      <c r="K155" s="105" t="n">
        <v>0.6899999999999999</v>
      </c>
      <c r="L155" s="105" t="n">
        <v>0.6899999999999999</v>
      </c>
      <c r="M155" s="105" t="n">
        <v>0.23</v>
      </c>
      <c r="N155" s="104" t="n">
        <v>0.22</v>
      </c>
      <c r="O155" s="104" t="n">
        <v>0.52</v>
      </c>
      <c r="P155" s="104" t="n">
        <v>0.4</v>
      </c>
      <c r="Q155" s="104" t="n">
        <v>0.48</v>
      </c>
      <c r="R155" s="104" t="n">
        <v>0.08</v>
      </c>
      <c r="S155" s="104" t="n">
        <v>0.43</v>
      </c>
      <c r="T155" s="104" t="n">
        <v>0.4</v>
      </c>
      <c r="U155" s="104" t="n">
        <v>0.5</v>
      </c>
      <c r="V155" s="104" t="n">
        <v>0.49</v>
      </c>
      <c r="W155" s="104" t="n">
        <v>1.65</v>
      </c>
      <c r="X155" s="105" t="n">
        <v>0.32</v>
      </c>
      <c r="Y155" s="105" t="n">
        <v>0.11</v>
      </c>
      <c r="Z155" s="105" t="n">
        <v>13.57</v>
      </c>
      <c r="AA155" s="105" t="n">
        <v>0.12</v>
      </c>
      <c r="AB155" s="105" t="n">
        <v>-0.01</v>
      </c>
      <c r="AC155" s="104" t="n">
        <v>-0.03</v>
      </c>
      <c r="AD155" s="104" t="n">
        <v>-0.03</v>
      </c>
      <c r="AE155" s="104" t="n">
        <v>-0.05</v>
      </c>
      <c r="AF155" s="104" t="n">
        <v>0.5</v>
      </c>
      <c r="AG155" s="104" t="n">
        <v>0.06</v>
      </c>
      <c r="AH155" s="104" t="n">
        <v>1.35</v>
      </c>
      <c r="AI155" s="104" t="n">
        <v>0.23</v>
      </c>
      <c r="AJ155" s="104" t="n">
        <v>1.89</v>
      </c>
      <c r="AK155" s="106" t="inlineStr">
        <is>
          <t>Grey</t>
        </is>
      </c>
      <c r="AL155" s="104" t="n">
        <v>-0.05</v>
      </c>
      <c r="AM155" s="104" t="n">
        <v>0.5</v>
      </c>
      <c r="AN155" s="104" t="n">
        <v>0.06</v>
      </c>
      <c r="AO155" s="104" t="n">
        <v>1.35</v>
      </c>
      <c r="AP155" s="104" t="n">
        <v>0.23</v>
      </c>
      <c r="AQ155" s="103" t="n">
        <v>1.38</v>
      </c>
      <c r="AR155" s="103" t="inlineStr">
        <is>
          <t>Grey</t>
        </is>
      </c>
      <c r="AS155" s="104" t="n">
        <v>-0.05</v>
      </c>
      <c r="AT155" s="104" t="n">
        <v>0.5</v>
      </c>
      <c r="AU155" s="104" t="n">
        <v>0.06</v>
      </c>
      <c r="AV155" s="104" t="n">
        <v>1.35</v>
      </c>
      <c r="AW155" s="103" t="n">
        <v>3.14</v>
      </c>
      <c r="AX155" s="103" t="inlineStr">
        <is>
          <t>Safe</t>
        </is>
      </c>
      <c r="AY155" s="104" t="n">
        <v>-0.05</v>
      </c>
      <c r="AZ155" s="104" t="n">
        <v>0.06</v>
      </c>
      <c r="BA155" s="104" t="n">
        <v>0.52</v>
      </c>
      <c r="BB155" s="104" t="n">
        <v>0.23</v>
      </c>
      <c r="BC155" s="103" t="n">
        <v>0.58</v>
      </c>
      <c r="BD155" s="103" t="inlineStr">
        <is>
          <t>Distress</t>
        </is>
      </c>
      <c r="BE155" s="104" t="n">
        <v>0.04</v>
      </c>
      <c r="BF155" s="104" t="n">
        <v>0.43</v>
      </c>
      <c r="BG155" s="104" t="n">
        <v>0.52</v>
      </c>
      <c r="BH155" s="104" t="n">
        <v>-2.12</v>
      </c>
      <c r="BI155" s="103" t="n">
        <v>0.11</v>
      </c>
      <c r="BJ155" s="103" t="inlineStr">
        <is>
          <t>Healthy</t>
        </is>
      </c>
      <c r="BK155" s="103" t="n">
        <v>1</v>
      </c>
      <c r="BL155" s="103" t="n">
        <v>1</v>
      </c>
      <c r="BM155" s="103" t="n">
        <v>0</v>
      </c>
      <c r="BN155" s="103" t="n">
        <v>1</v>
      </c>
      <c r="BO155" s="103" t="n">
        <v>0</v>
      </c>
      <c r="BP155" s="103" t="n">
        <v>1</v>
      </c>
      <c r="BQ155" s="103" t="n">
        <v>1</v>
      </c>
      <c r="BR155" s="103" t="n">
        <v>0</v>
      </c>
      <c r="BS155" s="103" t="n">
        <v>1</v>
      </c>
      <c r="BT155" s="103" t="n">
        <v>6</v>
      </c>
      <c r="BU155" s="103" t="inlineStr">
        <is>
          <t>Mixed</t>
        </is>
      </c>
      <c r="BV155" s="104" t="n">
        <v>1.01</v>
      </c>
      <c r="BW155" s="104" t="n">
        <v>1</v>
      </c>
      <c r="BX155" s="104" t="n">
        <v>0.99</v>
      </c>
      <c r="BY155" s="104" t="n">
        <v>1.12</v>
      </c>
      <c r="BZ155" s="104" t="n">
        <v>0.99</v>
      </c>
      <c r="CA155" s="104" t="n">
        <v>1</v>
      </c>
      <c r="CB155" s="104" t="n">
        <v>1.07</v>
      </c>
      <c r="CC155" s="104" t="n">
        <v>-0.03</v>
      </c>
      <c r="CD155" s="103" t="n">
        <v>-2.53</v>
      </c>
      <c r="CE155" s="103" t="inlineStr">
        <is>
          <t>Lower Risk</t>
        </is>
      </c>
      <c r="CF155" s="104" t="n">
        <v>3.1</v>
      </c>
      <c r="CG155" s="104" t="n">
        <v>53.12</v>
      </c>
      <c r="CH155" s="103" t="n">
        <v>0</v>
      </c>
      <c r="CI155" s="103" t="inlineStr">
        <is>
          <t>CLEAR</t>
        </is>
      </c>
    </row>
    <row r="156" ht="17" customHeight="1">
      <c r="A156" s="107" t="inlineStr">
        <is>
          <t>TXRH</t>
        </is>
      </c>
      <c r="B156" s="107" t="inlineStr">
        <is>
          <t>Texas Roadhouse, Inc.</t>
        </is>
      </c>
      <c r="C156" s="108" t="n">
        <v>-457361000</v>
      </c>
      <c r="D156" s="109" t="n">
        <v>0.08</v>
      </c>
      <c r="E156" s="109" t="n">
        <v>0.08</v>
      </c>
      <c r="F156" s="109" t="n">
        <v>0.05</v>
      </c>
      <c r="G156" s="109" t="n">
        <v>0.08</v>
      </c>
      <c r="H156" s="109" t="n">
        <v>0.08</v>
      </c>
      <c r="I156" s="109" t="n">
        <v>0.18</v>
      </c>
      <c r="J156" s="109" t="n">
        <v>0.18</v>
      </c>
      <c r="K156" s="111" t="inlineStr">
        <is>
          <t>N/A</t>
        </is>
      </c>
      <c r="L156" s="111" t="inlineStr">
        <is>
          <t>N/A</t>
        </is>
      </c>
      <c r="M156" s="109" t="n">
        <v>1.66</v>
      </c>
      <c r="N156" s="108" t="n">
        <v>1.68</v>
      </c>
      <c r="O156" s="108" t="n">
        <v>0.5</v>
      </c>
      <c r="P156" s="108" t="n">
        <v>0.62</v>
      </c>
      <c r="Q156" s="108" t="n">
        <v>0.45</v>
      </c>
      <c r="R156" s="108" t="n">
        <v>0.15</v>
      </c>
      <c r="S156" s="108" t="n">
        <v>0.58</v>
      </c>
      <c r="T156" s="108" t="n">
        <v>0.57</v>
      </c>
      <c r="U156" s="108" t="n">
        <v>0.05</v>
      </c>
      <c r="V156" s="108" t="n">
        <v>-0.04</v>
      </c>
      <c r="W156" s="108" t="n">
        <v>2.71</v>
      </c>
      <c r="X156" s="109" t="n">
        <v>0.06</v>
      </c>
      <c r="Y156" s="111" t="inlineStr">
        <is>
          <t>N/A</t>
        </is>
      </c>
      <c r="Z156" s="109" t="n">
        <v>301.04</v>
      </c>
      <c r="AA156" s="109" t="n">
        <v>0.09</v>
      </c>
      <c r="AB156" s="109" t="n">
        <v>0.1</v>
      </c>
      <c r="AC156" s="108" t="n">
        <v>-0.13</v>
      </c>
      <c r="AD156" s="108" t="n">
        <v>-0.13</v>
      </c>
      <c r="AE156" s="108" t="n">
        <v>-0.13</v>
      </c>
      <c r="AF156" s="108" t="n">
        <v>0.41</v>
      </c>
      <c r="AG156" s="108" t="n">
        <v>0.13</v>
      </c>
      <c r="AH156" s="108" t="n">
        <v>0.71</v>
      </c>
      <c r="AI156" s="108" t="n">
        <v>1.66</v>
      </c>
      <c r="AJ156" s="108" t="n">
        <v>2.94</v>
      </c>
      <c r="AK156" s="106" t="inlineStr">
        <is>
          <t>Grey</t>
        </is>
      </c>
      <c r="AL156" s="108" t="n">
        <v>-0.13</v>
      </c>
      <c r="AM156" s="108" t="n">
        <v>0.41</v>
      </c>
      <c r="AN156" s="108" t="n">
        <v>0.13</v>
      </c>
      <c r="AO156" s="108" t="n">
        <v>0.71</v>
      </c>
      <c r="AP156" s="108" t="n">
        <v>1.66</v>
      </c>
      <c r="AQ156" s="107" t="n">
        <v>2.62</v>
      </c>
      <c r="AR156" s="107" t="inlineStr">
        <is>
          <t>Grey</t>
        </is>
      </c>
      <c r="AS156" s="108" t="n">
        <v>-0.13</v>
      </c>
      <c r="AT156" s="108" t="n">
        <v>0.41</v>
      </c>
      <c r="AU156" s="108" t="n">
        <v>0.13</v>
      </c>
      <c r="AV156" s="108" t="n">
        <v>0.71</v>
      </c>
      <c r="AW156" s="107" t="n">
        <v>2.14</v>
      </c>
      <c r="AX156" s="107" t="inlineStr">
        <is>
          <t>Grey</t>
        </is>
      </c>
      <c r="AY156" s="108" t="n">
        <v>-0.13</v>
      </c>
      <c r="AZ156" s="108" t="n">
        <v>0.13</v>
      </c>
      <c r="BA156" s="108" t="n">
        <v>0.53</v>
      </c>
      <c r="BB156" s="108" t="n">
        <v>1.66</v>
      </c>
      <c r="BC156" s="107" t="n">
        <v>1.29</v>
      </c>
      <c r="BD156" s="107" t="inlineStr">
        <is>
          <t>Healthy</t>
        </is>
      </c>
      <c r="BE156" s="108" t="n">
        <v>0.08</v>
      </c>
      <c r="BF156" s="108" t="n">
        <v>0.58</v>
      </c>
      <c r="BG156" s="108" t="n">
        <v>0.5</v>
      </c>
      <c r="BH156" s="108" t="n">
        <v>-1.37</v>
      </c>
      <c r="BI156" s="107" t="n">
        <v>0.2</v>
      </c>
      <c r="BJ156" s="107" t="inlineStr">
        <is>
          <t>Healthy</t>
        </is>
      </c>
      <c r="BK156" s="107" t="n">
        <v>1</v>
      </c>
      <c r="BL156" s="107" t="n">
        <v>1</v>
      </c>
      <c r="BM156" s="107" t="n">
        <v>0</v>
      </c>
      <c r="BN156" s="107" t="n">
        <v>1</v>
      </c>
      <c r="BO156" s="107" t="n">
        <v>1</v>
      </c>
      <c r="BP156" s="107" t="n">
        <v>0</v>
      </c>
      <c r="BQ156" s="107" t="n">
        <v>1</v>
      </c>
      <c r="BR156" s="107" t="n">
        <v>0</v>
      </c>
      <c r="BS156" s="107" t="n">
        <v>0</v>
      </c>
      <c r="BT156" s="107" t="n">
        <v>5</v>
      </c>
      <c r="BU156" s="107" t="inlineStr">
        <is>
          <t>Mixed</t>
        </is>
      </c>
      <c r="BV156" s="108" t="n">
        <v>1.02</v>
      </c>
      <c r="BW156" s="111" t="inlineStr">
        <is>
          <t>N/A</t>
        </is>
      </c>
      <c r="BX156" s="108" t="n">
        <v>1.1</v>
      </c>
      <c r="BY156" s="108" t="n">
        <v>1.09</v>
      </c>
      <c r="BZ156" s="108" t="n">
        <v>0.97</v>
      </c>
      <c r="CA156" s="108" t="n">
        <v>0.93</v>
      </c>
      <c r="CB156" s="108" t="n">
        <v>1.02</v>
      </c>
      <c r="CC156" s="108" t="n">
        <v>-0.13</v>
      </c>
      <c r="CD156" s="111" t="inlineStr">
        <is>
          <t>N/A</t>
        </is>
      </c>
      <c r="CE156" s="111" t="inlineStr">
        <is>
          <t>N/A</t>
        </is>
      </c>
      <c r="CF156" s="108" t="n">
        <v>-0.09</v>
      </c>
      <c r="CG156" s="108" t="n">
        <v>52.62</v>
      </c>
      <c r="CH156" s="107" t="n">
        <v>20</v>
      </c>
      <c r="CI156" s="107" t="inlineStr">
        <is>
          <t>CLEAR</t>
        </is>
      </c>
    </row>
    <row r="157" ht="17" customHeight="1">
      <c r="A157" s="103" t="inlineStr">
        <is>
          <t>AXON</t>
        </is>
      </c>
      <c r="B157" s="103" t="inlineStr">
        <is>
          <t>Axon Enterprise, Inc.</t>
        </is>
      </c>
      <c r="C157" s="104" t="n">
        <v>2242905000</v>
      </c>
      <c r="D157" s="105" t="n">
        <v>-0.02</v>
      </c>
      <c r="E157" s="105" t="n">
        <v>0.01</v>
      </c>
      <c r="F157" s="105" t="n">
        <v>0.04</v>
      </c>
      <c r="G157" s="105" t="n">
        <v>0.02</v>
      </c>
      <c r="H157" s="105" t="n">
        <v>0.08</v>
      </c>
      <c r="I157" s="105" t="n">
        <v>0.04</v>
      </c>
      <c r="J157" s="105" t="n">
        <v>-0.01</v>
      </c>
      <c r="K157" s="105" t="n">
        <v>0.6</v>
      </c>
      <c r="L157" s="105" t="n">
        <v>0.6</v>
      </c>
      <c r="M157" s="105" t="n">
        <v>0.4</v>
      </c>
      <c r="N157" s="104" t="n">
        <v>0.47</v>
      </c>
      <c r="O157" s="104" t="n">
        <v>2.53</v>
      </c>
      <c r="P157" s="104" t="n">
        <v>2.3</v>
      </c>
      <c r="Q157" s="104" t="n">
        <v>2.29</v>
      </c>
      <c r="R157" s="104" t="n">
        <v>0.82</v>
      </c>
      <c r="S157" s="104" t="n">
        <v>0.54</v>
      </c>
      <c r="T157" s="104" t="n">
        <v>0.48</v>
      </c>
      <c r="U157" s="104" t="n">
        <v>0.58</v>
      </c>
      <c r="V157" s="104" t="n">
        <v>0.21</v>
      </c>
      <c r="W157" s="104" t="n">
        <v>1.7</v>
      </c>
      <c r="X157" s="105" t="n">
        <v>0.03</v>
      </c>
      <c r="Y157" s="105" t="n">
        <v>0.25</v>
      </c>
      <c r="Z157" s="113" t="inlineStr">
        <is>
          <t>N/A</t>
        </is>
      </c>
      <c r="AA157" s="105" t="n">
        <v>0.33</v>
      </c>
      <c r="AB157" s="105" t="n">
        <v>-0.67</v>
      </c>
      <c r="AC157" s="104" t="n">
        <v>-0.01</v>
      </c>
      <c r="AD157" s="104" t="n">
        <v>-0.01</v>
      </c>
      <c r="AE157" s="104" t="n">
        <v>0.32</v>
      </c>
      <c r="AF157" s="104" t="n">
        <v>0.13</v>
      </c>
      <c r="AG157" s="104" t="n">
        <v>-0.01</v>
      </c>
      <c r="AH157" s="104" t="n">
        <v>0.86</v>
      </c>
      <c r="AI157" s="104" t="n">
        <v>0.4</v>
      </c>
      <c r="AJ157" s="104" t="n">
        <v>1.46</v>
      </c>
      <c r="AK157" s="112" t="inlineStr">
        <is>
          <t>Distress</t>
        </is>
      </c>
      <c r="AL157" s="104" t="n">
        <v>0.32</v>
      </c>
      <c r="AM157" s="104" t="n">
        <v>0.13</v>
      </c>
      <c r="AN157" s="104" t="n">
        <v>-0.01</v>
      </c>
      <c r="AO157" s="104" t="n">
        <v>0.86</v>
      </c>
      <c r="AP157" s="104" t="n">
        <v>0.4</v>
      </c>
      <c r="AQ157" s="103" t="n">
        <v>1.07</v>
      </c>
      <c r="AR157" s="103" t="inlineStr">
        <is>
          <t>Distress</t>
        </is>
      </c>
      <c r="AS157" s="104" t="n">
        <v>0.32</v>
      </c>
      <c r="AT157" s="104" t="n">
        <v>0.13</v>
      </c>
      <c r="AU157" s="104" t="n">
        <v>-0.01</v>
      </c>
      <c r="AV157" s="104" t="n">
        <v>0.86</v>
      </c>
      <c r="AW157" s="103" t="n">
        <v>3.38</v>
      </c>
      <c r="AX157" s="103" t="inlineStr">
        <is>
          <t>Safe</t>
        </is>
      </c>
      <c r="AY157" s="104" t="n">
        <v>0.32</v>
      </c>
      <c r="AZ157" s="104" t="n">
        <v>-0.01</v>
      </c>
      <c r="BA157" s="104" t="n">
        <v>0.01</v>
      </c>
      <c r="BB157" s="104" t="n">
        <v>0.4</v>
      </c>
      <c r="BC157" s="103" t="n">
        <v>0.47</v>
      </c>
      <c r="BD157" s="103" t="inlineStr">
        <is>
          <t>Distress</t>
        </is>
      </c>
      <c r="BE157" s="104" t="n">
        <v>0.02</v>
      </c>
      <c r="BF157" s="104" t="n">
        <v>0.54</v>
      </c>
      <c r="BG157" s="104" t="n">
        <v>2.53</v>
      </c>
      <c r="BH157" s="104" t="n">
        <v>-1.36</v>
      </c>
      <c r="BI157" s="103" t="n">
        <v>0.2</v>
      </c>
      <c r="BJ157" s="103" t="inlineStr">
        <is>
          <t>Healthy</t>
        </is>
      </c>
      <c r="BK157" s="103" t="n">
        <v>1</v>
      </c>
      <c r="BL157" s="103" t="n">
        <v>1</v>
      </c>
      <c r="BM157" s="103" t="n">
        <v>0</v>
      </c>
      <c r="BN157" s="103" t="n">
        <v>1</v>
      </c>
      <c r="BO157" s="103" t="n">
        <v>0</v>
      </c>
      <c r="BP157" s="103" t="n">
        <v>1</v>
      </c>
      <c r="BQ157" s="103" t="n">
        <v>0</v>
      </c>
      <c r="BR157" s="103" t="n">
        <v>1</v>
      </c>
      <c r="BS157" s="103" t="n">
        <v>0</v>
      </c>
      <c r="BT157" s="103" t="n">
        <v>5</v>
      </c>
      <c r="BU157" s="103" t="inlineStr">
        <is>
          <t>Mixed</t>
        </is>
      </c>
      <c r="BV157" s="104" t="n">
        <v>1.15</v>
      </c>
      <c r="BW157" s="104" t="n">
        <v>1</v>
      </c>
      <c r="BX157" s="104" t="n">
        <v>0.98</v>
      </c>
      <c r="BY157" s="104" t="n">
        <v>1.33</v>
      </c>
      <c r="BZ157" s="104" t="n">
        <v>0.82</v>
      </c>
      <c r="CA157" s="104" t="n">
        <v>1.05</v>
      </c>
      <c r="CB157" s="104" t="n">
        <v>1.12</v>
      </c>
      <c r="CC157" s="104" t="n">
        <v>-0.01</v>
      </c>
      <c r="CD157" s="103" t="n">
        <v>-2.18</v>
      </c>
      <c r="CE157" s="103" t="inlineStr">
        <is>
          <t>Higher Risk</t>
        </is>
      </c>
      <c r="CF157" s="104" t="n">
        <v>32.73</v>
      </c>
      <c r="CG157" s="104" t="n">
        <v>42.48</v>
      </c>
      <c r="CH157" s="103" t="n">
        <v>20</v>
      </c>
      <c r="CI157" s="103" t="inlineStr">
        <is>
          <t>CLEAR</t>
        </is>
      </c>
    </row>
    <row r="158" ht="17" customHeight="1">
      <c r="A158" s="107" t="inlineStr">
        <is>
          <t>LOW</t>
        </is>
      </c>
      <c r="B158" s="107" t="inlineStr">
        <is>
          <t>LOWE’S COMPANIES, INC.</t>
        </is>
      </c>
      <c r="C158" s="108" t="n">
        <v>1492000000</v>
      </c>
      <c r="D158" s="109" t="n">
        <v>0.12</v>
      </c>
      <c r="E158" s="109" t="n">
        <v>0.1</v>
      </c>
      <c r="F158" s="109" t="n">
        <v>0.08</v>
      </c>
      <c r="G158" s="109" t="n">
        <v>0.12</v>
      </c>
      <c r="H158" s="109" t="n">
        <v>0.16</v>
      </c>
      <c r="I158" s="109" t="n">
        <v>-0.67</v>
      </c>
      <c r="J158" s="109" t="n">
        <v>0.29</v>
      </c>
      <c r="K158" s="109" t="n">
        <v>0.33</v>
      </c>
      <c r="L158" s="109" t="n">
        <v>0.33</v>
      </c>
      <c r="M158" s="109" t="n">
        <v>1.59</v>
      </c>
      <c r="N158" s="108" t="n">
        <v>1.94</v>
      </c>
      <c r="O158" s="108" t="n">
        <v>1.08</v>
      </c>
      <c r="P158" s="108" t="n">
        <v>1.09</v>
      </c>
      <c r="Q158" s="108" t="n">
        <v>0.19</v>
      </c>
      <c r="R158" s="108" t="n">
        <v>0.05</v>
      </c>
      <c r="S158" s="108" t="n">
        <v>1.18</v>
      </c>
      <c r="T158" s="108" t="n">
        <v>1.33</v>
      </c>
      <c r="U158" s="108" t="n">
        <v>-4.02</v>
      </c>
      <c r="V158" s="108" t="n">
        <v>-3.92</v>
      </c>
      <c r="W158" s="108" t="n">
        <v>1.48</v>
      </c>
      <c r="X158" s="109" t="n">
        <v>0.09</v>
      </c>
      <c r="Y158" s="111" t="inlineStr">
        <is>
          <t>N/A</t>
        </is>
      </c>
      <c r="Z158" s="109" t="n">
        <v>30.58</v>
      </c>
      <c r="AA158" s="109" t="n">
        <v>0.03</v>
      </c>
      <c r="AB158" s="109" t="n">
        <v>-0.04</v>
      </c>
      <c r="AC158" s="108" t="n">
        <v>-0.06</v>
      </c>
      <c r="AD158" s="108" t="n">
        <v>-0.06</v>
      </c>
      <c r="AE158" s="108" t="n">
        <v>0.03</v>
      </c>
      <c r="AF158" s="108" t="n">
        <v>-0.2</v>
      </c>
      <c r="AG158" s="108" t="n">
        <v>0.19</v>
      </c>
      <c r="AH158" s="108" t="n">
        <v>-0.15</v>
      </c>
      <c r="AI158" s="108" t="n">
        <v>1.59</v>
      </c>
      <c r="AJ158" s="108" t="n">
        <v>1.87</v>
      </c>
      <c r="AK158" s="106" t="inlineStr">
        <is>
          <t>Grey</t>
        </is>
      </c>
      <c r="AL158" s="108" t="n">
        <v>0.03</v>
      </c>
      <c r="AM158" s="108" t="n">
        <v>-0.2</v>
      </c>
      <c r="AN158" s="108" t="n">
        <v>0.19</v>
      </c>
      <c r="AO158" s="108" t="n">
        <v>-0.15</v>
      </c>
      <c r="AP158" s="108" t="n">
        <v>1.59</v>
      </c>
      <c r="AQ158" s="107" t="n">
        <v>1.96</v>
      </c>
      <c r="AR158" s="107" t="inlineStr">
        <is>
          <t>Grey</t>
        </is>
      </c>
      <c r="AS158" s="108" t="n">
        <v>0.03</v>
      </c>
      <c r="AT158" s="108" t="n">
        <v>-0.2</v>
      </c>
      <c r="AU158" s="108" t="n">
        <v>0.19</v>
      </c>
      <c r="AV158" s="108" t="n">
        <v>-0.15</v>
      </c>
      <c r="AW158" s="107" t="n">
        <v>0.63</v>
      </c>
      <c r="AX158" s="107" t="inlineStr">
        <is>
          <t>Distress</t>
        </is>
      </c>
      <c r="AY158" s="108" t="n">
        <v>0.03</v>
      </c>
      <c r="AZ158" s="108" t="n">
        <v>0.19</v>
      </c>
      <c r="BA158" s="108" t="n">
        <v>0.45</v>
      </c>
      <c r="BB158" s="108" t="n">
        <v>1.59</v>
      </c>
      <c r="BC158" s="107" t="n">
        <v>1.54</v>
      </c>
      <c r="BD158" s="107" t="inlineStr">
        <is>
          <t>Healthy</t>
        </is>
      </c>
      <c r="BE158" s="108" t="n">
        <v>0.12</v>
      </c>
      <c r="BF158" s="108" t="n">
        <v>1.18</v>
      </c>
      <c r="BG158" s="108" t="n">
        <v>1.08</v>
      </c>
      <c r="BH158" s="108" t="n">
        <v>1.83</v>
      </c>
      <c r="BI158" s="107" t="n">
        <v>0.86</v>
      </c>
      <c r="BJ158" s="107" t="inlineStr">
        <is>
          <t>Distress</t>
        </is>
      </c>
      <c r="BK158" s="107" t="n">
        <v>1</v>
      </c>
      <c r="BL158" s="107" t="n">
        <v>1</v>
      </c>
      <c r="BM158" s="107" t="n">
        <v>0</v>
      </c>
      <c r="BN158" s="107" t="n">
        <v>1</v>
      </c>
      <c r="BO158" s="107" t="n">
        <v>1</v>
      </c>
      <c r="BP158" s="107" t="n">
        <v>0</v>
      </c>
      <c r="BQ158" s="107" t="n">
        <v>0</v>
      </c>
      <c r="BR158" s="107" t="n">
        <v>1</v>
      </c>
      <c r="BS158" s="107" t="n">
        <v>0</v>
      </c>
      <c r="BT158" s="107" t="n">
        <v>5</v>
      </c>
      <c r="BU158" s="107" t="inlineStr">
        <is>
          <t>Mixed</t>
        </is>
      </c>
      <c r="BV158" s="108" t="n">
        <v>11.24</v>
      </c>
      <c r="BW158" s="108" t="n">
        <v>1</v>
      </c>
      <c r="BX158" s="108" t="n">
        <v>3.39</v>
      </c>
      <c r="BY158" s="108" t="n">
        <v>1.03</v>
      </c>
      <c r="BZ158" s="108" t="n">
        <v>0.84</v>
      </c>
      <c r="CA158" s="108" t="n">
        <v>1.04</v>
      </c>
      <c r="CB158" s="108" t="n">
        <v>0.89</v>
      </c>
      <c r="CC158" s="108" t="n">
        <v>-0.06</v>
      </c>
      <c r="CD158" s="107" t="n">
        <v>7.67</v>
      </c>
      <c r="CE158" s="107" t="inlineStr">
        <is>
          <t>Higher Risk</t>
        </is>
      </c>
      <c r="CF158" s="108" t="n">
        <v>3.21</v>
      </c>
      <c r="CG158" s="108" t="n">
        <v>44.8</v>
      </c>
      <c r="CH158" s="107" t="n">
        <v>20</v>
      </c>
      <c r="CI158" s="107" t="inlineStr">
        <is>
          <t>CLEAR</t>
        </is>
      </c>
    </row>
    <row r="159" ht="17" customHeight="1">
      <c r="A159" s="103" t="inlineStr">
        <is>
          <t>ARQT</t>
        </is>
      </c>
      <c r="B159" s="103" t="inlineStr">
        <is>
          <t>ARCUTIS BIOTHERAPEUTICS, INC.</t>
        </is>
      </c>
      <c r="C159" s="104" t="n">
        <v>281394000</v>
      </c>
      <c r="D159" s="105" t="n">
        <v>-0.03</v>
      </c>
      <c r="E159" s="105" t="n">
        <v>-0.02</v>
      </c>
      <c r="F159" s="105" t="n">
        <v>-0.04</v>
      </c>
      <c r="G159" s="105" t="n">
        <v>-0.04</v>
      </c>
      <c r="H159" s="105" t="n">
        <v>-0.4</v>
      </c>
      <c r="I159" s="105" t="n">
        <v>-0.09</v>
      </c>
      <c r="J159" s="105" t="n">
        <v>-0.04</v>
      </c>
      <c r="K159" s="105" t="n">
        <v>0.9</v>
      </c>
      <c r="L159" s="105" t="n">
        <v>0.9</v>
      </c>
      <c r="M159" s="105" t="n">
        <v>0.87</v>
      </c>
      <c r="N159" s="104" t="n">
        <v>0.5600000000000001</v>
      </c>
      <c r="O159" s="104" t="n">
        <v>3.17</v>
      </c>
      <c r="P159" s="104" t="n">
        <v>4.15</v>
      </c>
      <c r="Q159" s="104" t="n">
        <v>2.99</v>
      </c>
      <c r="R159" s="104" t="n">
        <v>0.33</v>
      </c>
      <c r="S159" s="104" t="n">
        <v>0.5600000000000001</v>
      </c>
      <c r="T159" s="104" t="n">
        <v>0.55</v>
      </c>
      <c r="U159" s="104" t="n">
        <v>0.58</v>
      </c>
      <c r="V159" s="104" t="n">
        <v>0.35</v>
      </c>
      <c r="W159" s="104" t="n">
        <v>0.35</v>
      </c>
      <c r="X159" s="105" t="n">
        <v>-0.02</v>
      </c>
      <c r="Y159" s="105" t="n">
        <v>0.2</v>
      </c>
      <c r="Z159" s="105" t="n">
        <v>-0.41</v>
      </c>
      <c r="AA159" s="105" t="n">
        <v>0.91</v>
      </c>
      <c r="AB159" s="105" t="n">
        <v>-0.88</v>
      </c>
      <c r="AC159" s="104" t="n">
        <v>-0.02</v>
      </c>
      <c r="AD159" s="104" t="n">
        <v>-0.02</v>
      </c>
      <c r="AE159" s="104" t="n">
        <v>0.65</v>
      </c>
      <c r="AF159" s="104" t="n">
        <v>-2.63</v>
      </c>
      <c r="AG159" s="104" t="n">
        <v>-0.03</v>
      </c>
      <c r="AH159" s="104" t="n">
        <v>0.78</v>
      </c>
      <c r="AI159" s="104" t="n">
        <v>0.87</v>
      </c>
      <c r="AJ159" s="104" t="n">
        <v>-1.66</v>
      </c>
      <c r="AK159" s="112" t="inlineStr">
        <is>
          <t>Distress</t>
        </is>
      </c>
      <c r="AL159" s="104" t="n">
        <v>0.65</v>
      </c>
      <c r="AM159" s="104" t="n">
        <v>-2.63</v>
      </c>
      <c r="AN159" s="104" t="n">
        <v>-0.03</v>
      </c>
      <c r="AO159" s="104" t="n">
        <v>0.78</v>
      </c>
      <c r="AP159" s="104" t="n">
        <v>0.87</v>
      </c>
      <c r="AQ159" s="103" t="n">
        <v>-0.65</v>
      </c>
      <c r="AR159" s="103" t="inlineStr">
        <is>
          <t>Distress</t>
        </is>
      </c>
      <c r="AS159" s="104" t="n">
        <v>0.65</v>
      </c>
      <c r="AT159" s="104" t="n">
        <v>-2.63</v>
      </c>
      <c r="AU159" s="104" t="n">
        <v>-0.03</v>
      </c>
      <c r="AV159" s="104" t="n">
        <v>0.78</v>
      </c>
      <c r="AW159" s="103" t="n">
        <v>-3.68</v>
      </c>
      <c r="AX159" s="103" t="inlineStr">
        <is>
          <t>Distress</t>
        </is>
      </c>
      <c r="AY159" s="104" t="n">
        <v>0.65</v>
      </c>
      <c r="AZ159" s="104" t="n">
        <v>-0.03</v>
      </c>
      <c r="BA159" s="104" t="n">
        <v>-0.06</v>
      </c>
      <c r="BB159" s="104" t="n">
        <v>0.87</v>
      </c>
      <c r="BC159" s="103" t="n">
        <v>0.89</v>
      </c>
      <c r="BD159" s="103" t="inlineStr">
        <is>
          <t>Healthy</t>
        </is>
      </c>
      <c r="BE159" s="104" t="n">
        <v>-0.04</v>
      </c>
      <c r="BF159" s="104" t="n">
        <v>0.5600000000000001</v>
      </c>
      <c r="BG159" s="104" t="n">
        <v>3.17</v>
      </c>
      <c r="BH159" s="104" t="n">
        <v>-0.96</v>
      </c>
      <c r="BI159" s="103" t="n">
        <v>0.28</v>
      </c>
      <c r="BJ159" s="103" t="inlineStr">
        <is>
          <t>Healthy</t>
        </is>
      </c>
      <c r="BK159" s="103" t="n">
        <v>0</v>
      </c>
      <c r="BL159" s="103" t="n">
        <v>0</v>
      </c>
      <c r="BM159" s="103" t="n">
        <v>1</v>
      </c>
      <c r="BN159" s="103" t="n">
        <v>1</v>
      </c>
      <c r="BO159" s="103" t="n">
        <v>1</v>
      </c>
      <c r="BP159" s="103" t="n">
        <v>0</v>
      </c>
      <c r="BQ159" s="103" t="n">
        <v>0</v>
      </c>
      <c r="BR159" s="103" t="n">
        <v>0</v>
      </c>
      <c r="BS159" s="103" t="n">
        <v>1</v>
      </c>
      <c r="BT159" s="103" t="n">
        <v>4</v>
      </c>
      <c r="BU159" s="103" t="inlineStr">
        <is>
          <t>Mixed</t>
        </is>
      </c>
      <c r="BV159" s="104" t="n">
        <v>1.05</v>
      </c>
      <c r="BW159" s="104" t="n">
        <v>1</v>
      </c>
      <c r="BX159" s="104" t="n">
        <v>1.39</v>
      </c>
      <c r="BY159" s="104" t="n">
        <v>1.91</v>
      </c>
      <c r="BZ159" s="104" t="n">
        <v>0.95</v>
      </c>
      <c r="CA159" s="104" t="n">
        <v>0.63</v>
      </c>
      <c r="CB159" s="104" t="n">
        <v>1.03</v>
      </c>
      <c r="CC159" s="104" t="n">
        <v>-0.02</v>
      </c>
      <c r="CD159" s="103" t="n">
        <v>-1.53</v>
      </c>
      <c r="CE159" s="103" t="inlineStr">
        <is>
          <t>Higher Risk</t>
        </is>
      </c>
      <c r="CF159" s="104" t="n">
        <v>-5.82</v>
      </c>
      <c r="CG159" s="104" t="n">
        <v>34.68</v>
      </c>
      <c r="CH159" s="112" t="n">
        <v>60</v>
      </c>
      <c r="CI159" s="103" t="inlineStr">
        <is>
          <t>RED FLAG</t>
        </is>
      </c>
    </row>
    <row r="160" ht="17" customHeight="1">
      <c r="A160" s="107" t="inlineStr">
        <is>
          <t>GVA</t>
        </is>
      </c>
      <c r="B160" s="107" t="inlineStr">
        <is>
          <t>GRANITE CONSTRUCTION INC</t>
        </is>
      </c>
      <c r="C160" s="108" t="n">
        <v>330486000</v>
      </c>
      <c r="D160" s="109" t="n">
        <v>0.16</v>
      </c>
      <c r="E160" s="109" t="n">
        <v>0.16</v>
      </c>
      <c r="F160" s="109" t="n">
        <v>0.11</v>
      </c>
      <c r="G160" s="109" t="n">
        <v>0.05</v>
      </c>
      <c r="H160" s="109" t="n">
        <v>0.04</v>
      </c>
      <c r="I160" s="109" t="n">
        <v>0.16</v>
      </c>
      <c r="J160" s="109" t="n">
        <v>0.11</v>
      </c>
      <c r="K160" s="109" t="n">
        <v>0.4</v>
      </c>
      <c r="L160" s="109" t="n">
        <v>0.29</v>
      </c>
      <c r="M160" s="109" t="n">
        <v>0.44</v>
      </c>
      <c r="N160" s="108" t="n">
        <v>0.65</v>
      </c>
      <c r="O160" s="108" t="n">
        <v>1.22</v>
      </c>
      <c r="P160" s="108" t="n">
        <v>1.66</v>
      </c>
      <c r="Q160" s="108" t="n">
        <v>1.13</v>
      </c>
      <c r="R160" s="108" t="n">
        <v>0.36</v>
      </c>
      <c r="S160" s="108" t="n">
        <v>1</v>
      </c>
      <c r="T160" s="108" t="n">
        <v>1</v>
      </c>
      <c r="U160" s="108" t="n">
        <v>1.45</v>
      </c>
      <c r="V160" s="108" t="n">
        <v>1.01</v>
      </c>
      <c r="W160" s="108" t="n">
        <v>2.43</v>
      </c>
      <c r="X160" s="109" t="n">
        <v>0.19</v>
      </c>
      <c r="Y160" s="109" t="n">
        <v>0</v>
      </c>
      <c r="Z160" s="109" t="n">
        <v>15.3</v>
      </c>
      <c r="AA160" s="109" t="n">
        <v>-0.1</v>
      </c>
      <c r="AB160" s="109" t="n">
        <v>0.53</v>
      </c>
      <c r="AC160" s="108" t="n">
        <v>-0.07000000000000001</v>
      </c>
      <c r="AD160" s="108" t="n">
        <v>-0.07000000000000001</v>
      </c>
      <c r="AE160" s="108" t="n">
        <v>0.08</v>
      </c>
      <c r="AF160" s="108" t="n">
        <v>0.19</v>
      </c>
      <c r="AG160" s="108" t="n">
        <v>0.07000000000000001</v>
      </c>
      <c r="AH160" s="108" t="n">
        <v>0.29</v>
      </c>
      <c r="AI160" s="108" t="n">
        <v>0.44</v>
      </c>
      <c r="AJ160" s="108" t="n">
        <v>1.21</v>
      </c>
      <c r="AK160" s="112" t="inlineStr">
        <is>
          <t>Distress</t>
        </is>
      </c>
      <c r="AL160" s="108" t="n">
        <v>0.08</v>
      </c>
      <c r="AM160" s="108" t="n">
        <v>0.19</v>
      </c>
      <c r="AN160" s="108" t="n">
        <v>0.07000000000000001</v>
      </c>
      <c r="AO160" s="108" t="n">
        <v>0.29</v>
      </c>
      <c r="AP160" s="108" t="n">
        <v>0.44</v>
      </c>
      <c r="AQ160" s="107" t="n">
        <v>1</v>
      </c>
      <c r="AR160" s="107" t="inlineStr">
        <is>
          <t>Distress</t>
        </is>
      </c>
      <c r="AS160" s="108" t="n">
        <v>0.08</v>
      </c>
      <c r="AT160" s="108" t="n">
        <v>0.19</v>
      </c>
      <c r="AU160" s="108" t="n">
        <v>0.07000000000000001</v>
      </c>
      <c r="AV160" s="108" t="n">
        <v>0.29</v>
      </c>
      <c r="AW160" s="107" t="n">
        <v>1.94</v>
      </c>
      <c r="AX160" s="107" t="inlineStr">
        <is>
          <t>Grey</t>
        </is>
      </c>
      <c r="AY160" s="108" t="n">
        <v>0.08</v>
      </c>
      <c r="AZ160" s="108" t="n">
        <v>0.07000000000000001</v>
      </c>
      <c r="BA160" s="108" t="n">
        <v>0.19</v>
      </c>
      <c r="BB160" s="108" t="n">
        <v>0.44</v>
      </c>
      <c r="BC160" s="107" t="n">
        <v>0.6</v>
      </c>
      <c r="BD160" s="107" t="inlineStr">
        <is>
          <t>Distress</t>
        </is>
      </c>
      <c r="BE160" s="108" t="n">
        <v>0.05</v>
      </c>
      <c r="BF160" s="108" t="n">
        <v>1</v>
      </c>
      <c r="BG160" s="108" t="n">
        <v>1.22</v>
      </c>
      <c r="BH160" s="108" t="n">
        <v>1.13</v>
      </c>
      <c r="BI160" s="107" t="n">
        <v>0.76</v>
      </c>
      <c r="BJ160" s="107" t="inlineStr">
        <is>
          <t>Distress</t>
        </is>
      </c>
      <c r="BK160" s="107" t="n">
        <v>1</v>
      </c>
      <c r="BL160" s="107" t="n">
        <v>1</v>
      </c>
      <c r="BM160" s="107" t="n">
        <v>1</v>
      </c>
      <c r="BN160" s="107" t="n">
        <v>1</v>
      </c>
      <c r="BO160" s="107" t="n">
        <v>0</v>
      </c>
      <c r="BP160" s="107" t="n">
        <v>0</v>
      </c>
      <c r="BQ160" s="107" t="n">
        <v>0</v>
      </c>
      <c r="BR160" s="107" t="n">
        <v>1</v>
      </c>
      <c r="BS160" s="107" t="n">
        <v>0</v>
      </c>
      <c r="BT160" s="107" t="n">
        <v>5</v>
      </c>
      <c r="BU160" s="107" t="inlineStr">
        <is>
          <t>Mixed</t>
        </is>
      </c>
      <c r="BV160" s="108" t="n">
        <v>1.37</v>
      </c>
      <c r="BW160" s="108" t="n">
        <v>0.72</v>
      </c>
      <c r="BX160" s="108" t="n">
        <v>1.21</v>
      </c>
      <c r="BY160" s="108" t="n">
        <v>0.9</v>
      </c>
      <c r="BZ160" s="108" t="n">
        <v>1.28</v>
      </c>
      <c r="CA160" s="108" t="n">
        <v>1.36</v>
      </c>
      <c r="CB160" s="108" t="n">
        <v>1</v>
      </c>
      <c r="CC160" s="108" t="n">
        <v>-0.07000000000000001</v>
      </c>
      <c r="CD160" s="107" t="n">
        <v>-2.64</v>
      </c>
      <c r="CE160" s="107" t="inlineStr">
        <is>
          <t>Lower Risk</t>
        </is>
      </c>
      <c r="CF160" s="108" t="n">
        <v>2.71</v>
      </c>
      <c r="CG160" s="108" t="n">
        <v>46.44</v>
      </c>
      <c r="CH160" s="107" t="n">
        <v>0</v>
      </c>
      <c r="CI160" s="107" t="inlineStr">
        <is>
          <t>CLEAR</t>
        </is>
      </c>
    </row>
    <row r="161" ht="17" customHeight="1">
      <c r="A161" s="103" t="inlineStr">
        <is>
          <t>TRV</t>
        </is>
      </c>
      <c r="B161" s="103" t="inlineStr">
        <is>
          <t>Travelers Companies, Inc.</t>
        </is>
      </c>
      <c r="C161" s="113" t="inlineStr">
        <is>
          <t>N/A</t>
        </is>
      </c>
      <c r="D161" s="105" t="n">
        <v>0.07000000000000001</v>
      </c>
      <c r="E161" s="105" t="n">
        <v>0.16</v>
      </c>
      <c r="F161" s="105" t="n">
        <v>0.13</v>
      </c>
      <c r="G161" s="105" t="n">
        <v>0.04</v>
      </c>
      <c r="H161" s="105" t="n">
        <v>0.04</v>
      </c>
      <c r="I161" s="105" t="n">
        <v>0.19</v>
      </c>
      <c r="J161" s="113" t="inlineStr">
        <is>
          <t>N/A</t>
        </is>
      </c>
      <c r="K161" s="105" t="n">
        <v>0.16</v>
      </c>
      <c r="L161" s="105" t="n">
        <v>0.13</v>
      </c>
      <c r="M161" s="105" t="n">
        <v>0.34</v>
      </c>
      <c r="N161" s="104" t="n">
        <v>0.35</v>
      </c>
      <c r="O161" s="113" t="inlineStr">
        <is>
          <t>N/A</t>
        </is>
      </c>
      <c r="P161" s="113" t="inlineStr">
        <is>
          <t>N/A</t>
        </is>
      </c>
      <c r="Q161" s="113" t="inlineStr">
        <is>
          <t>N/A</t>
        </is>
      </c>
      <c r="R161" s="113" t="inlineStr">
        <is>
          <t>N/A</t>
        </is>
      </c>
      <c r="S161" s="104" t="n">
        <v>0.77</v>
      </c>
      <c r="T161" s="104" t="n">
        <v>0.79</v>
      </c>
      <c r="U161" s="104" t="n">
        <v>0.19</v>
      </c>
      <c r="V161" s="104" t="n">
        <v>0.19</v>
      </c>
      <c r="W161" s="104" t="n">
        <v>1.69</v>
      </c>
      <c r="X161" s="113" t="inlineStr">
        <is>
          <t>N/A</t>
        </is>
      </c>
      <c r="Y161" s="105" t="n">
        <v>0</v>
      </c>
      <c r="Z161" s="105" t="n">
        <v>8.57</v>
      </c>
      <c r="AA161" s="105" t="n">
        <v>0.05</v>
      </c>
      <c r="AB161" s="105" t="n">
        <v>0.26</v>
      </c>
      <c r="AC161" s="104" t="n">
        <v>-0.03</v>
      </c>
      <c r="AD161" s="104" t="n">
        <v>-0.03</v>
      </c>
      <c r="AE161" s="113" t="inlineStr">
        <is>
          <t>N/A</t>
        </is>
      </c>
      <c r="AF161" s="104" t="n">
        <v>0.38</v>
      </c>
      <c r="AG161" s="104" t="n">
        <v>0.03</v>
      </c>
      <c r="AH161" s="104" t="n">
        <v>0.3</v>
      </c>
      <c r="AI161" s="104" t="n">
        <v>0.34</v>
      </c>
      <c r="AJ161" s="113" t="inlineStr">
        <is>
          <t>N/A</t>
        </is>
      </c>
      <c r="AK161" s="113" t="inlineStr">
        <is>
          <t>N/A</t>
        </is>
      </c>
      <c r="AL161" s="113" t="inlineStr">
        <is>
          <t>N/A</t>
        </is>
      </c>
      <c r="AM161" s="104" t="n">
        <v>0.38</v>
      </c>
      <c r="AN161" s="104" t="n">
        <v>0.03</v>
      </c>
      <c r="AO161" s="104" t="n">
        <v>0.3</v>
      </c>
      <c r="AP161" s="104" t="n">
        <v>0.34</v>
      </c>
      <c r="AQ161" s="113" t="inlineStr">
        <is>
          <t>N/A</t>
        </is>
      </c>
      <c r="AR161" s="113" t="inlineStr">
        <is>
          <t>N/A</t>
        </is>
      </c>
      <c r="AS161" s="113" t="inlineStr">
        <is>
          <t>N/A</t>
        </is>
      </c>
      <c r="AT161" s="104" t="n">
        <v>0.38</v>
      </c>
      <c r="AU161" s="104" t="n">
        <v>0.03</v>
      </c>
      <c r="AV161" s="104" t="n">
        <v>0.3</v>
      </c>
      <c r="AW161" s="113" t="inlineStr">
        <is>
          <t>N/A</t>
        </is>
      </c>
      <c r="AX161" s="113" t="inlineStr">
        <is>
          <t>N/A</t>
        </is>
      </c>
      <c r="AY161" s="113" t="inlineStr">
        <is>
          <t>N/A</t>
        </is>
      </c>
      <c r="AZ161" s="104" t="n">
        <v>0.03</v>
      </c>
      <c r="BA161" s="113" t="inlineStr">
        <is>
          <t>N/A</t>
        </is>
      </c>
      <c r="BB161" s="104" t="n">
        <v>0.34</v>
      </c>
      <c r="BC161" s="113" t="inlineStr">
        <is>
          <t>N/A</t>
        </is>
      </c>
      <c r="BD161" s="113" t="inlineStr">
        <is>
          <t>N/A</t>
        </is>
      </c>
      <c r="BE161" s="104" t="n">
        <v>0.04</v>
      </c>
      <c r="BF161" s="104" t="n">
        <v>0.77</v>
      </c>
      <c r="BG161" s="113" t="inlineStr">
        <is>
          <t>N/A</t>
        </is>
      </c>
      <c r="BH161" s="113" t="inlineStr">
        <is>
          <t>N/A</t>
        </is>
      </c>
      <c r="BI161" s="113" t="inlineStr">
        <is>
          <t>N/A</t>
        </is>
      </c>
      <c r="BJ161" s="113" t="inlineStr">
        <is>
          <t>N/A</t>
        </is>
      </c>
      <c r="BK161" s="103" t="n">
        <v>1</v>
      </c>
      <c r="BL161" s="103" t="n">
        <v>1</v>
      </c>
      <c r="BM161" s="103" t="n">
        <v>1</v>
      </c>
      <c r="BN161" s="103" t="n">
        <v>1</v>
      </c>
      <c r="BO161" s="103" t="n">
        <v>1</v>
      </c>
      <c r="BP161" s="103" t="n">
        <v>0</v>
      </c>
      <c r="BQ161" s="103" t="n">
        <v>1</v>
      </c>
      <c r="BR161" s="103" t="n">
        <v>1</v>
      </c>
      <c r="BS161" s="103" t="n">
        <v>0</v>
      </c>
      <c r="BT161" s="103" t="n">
        <v>7</v>
      </c>
      <c r="BU161" s="103" t="inlineStr">
        <is>
          <t>Strong</t>
        </is>
      </c>
      <c r="BV161" s="113" t="inlineStr">
        <is>
          <t>N/A</t>
        </is>
      </c>
      <c r="BW161" s="104" t="n">
        <v>0.83</v>
      </c>
      <c r="BX161" s="113" t="inlineStr">
        <is>
          <t>N/A</t>
        </is>
      </c>
      <c r="BY161" s="104" t="n">
        <v>1.05</v>
      </c>
      <c r="BZ161" s="113" t="inlineStr">
        <is>
          <t>N/A</t>
        </is>
      </c>
      <c r="CA161" s="104" t="n">
        <v>1</v>
      </c>
      <c r="CB161" s="104" t="n">
        <v>0.98</v>
      </c>
      <c r="CC161" s="104" t="n">
        <v>-0.03</v>
      </c>
      <c r="CD161" s="113" t="inlineStr">
        <is>
          <t>N/A</t>
        </is>
      </c>
      <c r="CE161" s="113" t="inlineStr">
        <is>
          <t>N/A</t>
        </is>
      </c>
      <c r="CF161" s="104" t="n">
        <v>1.43</v>
      </c>
      <c r="CG161" s="104" t="n">
        <v>50.72</v>
      </c>
      <c r="CH161" s="103" t="n">
        <v>0</v>
      </c>
      <c r="CI161" s="103" t="inlineStr">
        <is>
          <t>CLEAR</t>
        </is>
      </c>
    </row>
    <row r="162" ht="17" customHeight="1">
      <c r="A162" s="107" t="inlineStr">
        <is>
          <t>USB</t>
        </is>
      </c>
      <c r="B162" s="107" t="inlineStr">
        <is>
          <t>US BANCORP \DE\</t>
        </is>
      </c>
      <c r="C162" s="111" t="inlineStr">
        <is>
          <t>N/A</t>
        </is>
      </c>
      <c r="D162" s="109" t="n">
        <v>0.33</v>
      </c>
      <c r="E162" s="109" t="n">
        <v>0.33</v>
      </c>
      <c r="F162" s="109" t="n">
        <v>0.26</v>
      </c>
      <c r="G162" s="109" t="n">
        <v>0.01</v>
      </c>
      <c r="H162" s="109" t="n">
        <v>0.01</v>
      </c>
      <c r="I162" s="109" t="n">
        <v>0.12</v>
      </c>
      <c r="J162" s="111" t="inlineStr">
        <is>
          <t>N/A</t>
        </is>
      </c>
      <c r="K162" s="109" t="n">
        <v>0.02</v>
      </c>
      <c r="L162" s="109" t="n">
        <v>0.02</v>
      </c>
      <c r="M162" s="109" t="n">
        <v>0.04</v>
      </c>
      <c r="N162" s="108" t="n">
        <v>0.04</v>
      </c>
      <c r="O162" s="111" t="inlineStr">
        <is>
          <t>N/A</t>
        </is>
      </c>
      <c r="P162" s="111" t="inlineStr">
        <is>
          <t>N/A</t>
        </is>
      </c>
      <c r="Q162" s="111" t="inlineStr">
        <is>
          <t>N/A</t>
        </is>
      </c>
      <c r="R162" s="111" t="inlineStr">
        <is>
          <t>N/A</t>
        </is>
      </c>
      <c r="S162" s="108" t="n">
        <v>0.91</v>
      </c>
      <c r="T162" s="108" t="n">
        <v>0.91</v>
      </c>
      <c r="U162" s="108" t="n">
        <v>0.87</v>
      </c>
      <c r="V162" s="108" t="n">
        <v>0.75</v>
      </c>
      <c r="W162" s="108" t="n">
        <v>1.05</v>
      </c>
      <c r="X162" s="111" t="inlineStr">
        <is>
          <t>N/A</t>
        </is>
      </c>
      <c r="Y162" s="109" t="n">
        <v>0</v>
      </c>
      <c r="Z162" s="109" t="n">
        <v>0.75</v>
      </c>
      <c r="AA162" s="109" t="n">
        <v>0.04</v>
      </c>
      <c r="AB162" s="109" t="n">
        <v>0.2</v>
      </c>
      <c r="AC162" s="108" t="n">
        <v>-0</v>
      </c>
      <c r="AD162" s="108" t="n">
        <v>-0</v>
      </c>
      <c r="AE162" s="111" t="inlineStr">
        <is>
          <t>N/A</t>
        </is>
      </c>
      <c r="AF162" s="108" t="n">
        <v>0.12</v>
      </c>
      <c r="AG162" s="108" t="n">
        <v>0.01</v>
      </c>
      <c r="AH162" s="108" t="n">
        <v>0.1</v>
      </c>
      <c r="AI162" s="108" t="n">
        <v>0.04</v>
      </c>
      <c r="AJ162" s="111" t="inlineStr">
        <is>
          <t>N/A</t>
        </is>
      </c>
      <c r="AK162" s="111" t="inlineStr">
        <is>
          <t>N/A</t>
        </is>
      </c>
      <c r="AL162" s="111" t="inlineStr">
        <is>
          <t>N/A</t>
        </is>
      </c>
      <c r="AM162" s="108" t="n">
        <v>0.12</v>
      </c>
      <c r="AN162" s="108" t="n">
        <v>0.01</v>
      </c>
      <c r="AO162" s="108" t="n">
        <v>0.1</v>
      </c>
      <c r="AP162" s="108" t="n">
        <v>0.04</v>
      </c>
      <c r="AQ162" s="111" t="inlineStr">
        <is>
          <t>N/A</t>
        </is>
      </c>
      <c r="AR162" s="111" t="inlineStr">
        <is>
          <t>N/A</t>
        </is>
      </c>
      <c r="AS162" s="111" t="inlineStr">
        <is>
          <t>N/A</t>
        </is>
      </c>
      <c r="AT162" s="108" t="n">
        <v>0.12</v>
      </c>
      <c r="AU162" s="108" t="n">
        <v>0.01</v>
      </c>
      <c r="AV162" s="108" t="n">
        <v>0.1</v>
      </c>
      <c r="AW162" s="111" t="inlineStr">
        <is>
          <t>N/A</t>
        </is>
      </c>
      <c r="AX162" s="111" t="inlineStr">
        <is>
          <t>N/A</t>
        </is>
      </c>
      <c r="AY162" s="111" t="inlineStr">
        <is>
          <t>N/A</t>
        </is>
      </c>
      <c r="AZ162" s="108" t="n">
        <v>0.01</v>
      </c>
      <c r="BA162" s="111" t="inlineStr">
        <is>
          <t>N/A</t>
        </is>
      </c>
      <c r="BB162" s="108" t="n">
        <v>0.04</v>
      </c>
      <c r="BC162" s="111" t="inlineStr">
        <is>
          <t>N/A</t>
        </is>
      </c>
      <c r="BD162" s="111" t="inlineStr">
        <is>
          <t>N/A</t>
        </is>
      </c>
      <c r="BE162" s="108" t="n">
        <v>0.01</v>
      </c>
      <c r="BF162" s="108" t="n">
        <v>0.91</v>
      </c>
      <c r="BG162" s="111" t="inlineStr">
        <is>
          <t>N/A</t>
        </is>
      </c>
      <c r="BH162" s="111" t="inlineStr">
        <is>
          <t>N/A</t>
        </is>
      </c>
      <c r="BI162" s="111" t="inlineStr">
        <is>
          <t>N/A</t>
        </is>
      </c>
      <c r="BJ162" s="111" t="inlineStr">
        <is>
          <t>N/A</t>
        </is>
      </c>
      <c r="BK162" s="107" t="n">
        <v>1</v>
      </c>
      <c r="BL162" s="107" t="n">
        <v>1</v>
      </c>
      <c r="BM162" s="107" t="n">
        <v>1</v>
      </c>
      <c r="BN162" s="107" t="n">
        <v>1</v>
      </c>
      <c r="BO162" s="107" t="n">
        <v>0</v>
      </c>
      <c r="BP162" s="107" t="n">
        <v>0</v>
      </c>
      <c r="BQ162" s="107" t="n">
        <v>1</v>
      </c>
      <c r="BR162" s="107" t="n">
        <v>1</v>
      </c>
      <c r="BS162" s="107" t="n">
        <v>1</v>
      </c>
      <c r="BT162" s="107" t="n">
        <v>7</v>
      </c>
      <c r="BU162" s="107" t="inlineStr">
        <is>
          <t>Strong</t>
        </is>
      </c>
      <c r="BV162" s="111" t="inlineStr">
        <is>
          <t>N/A</t>
        </is>
      </c>
      <c r="BW162" s="111" t="inlineStr">
        <is>
          <t>N/A</t>
        </is>
      </c>
      <c r="BX162" s="108" t="n">
        <v>1</v>
      </c>
      <c r="BY162" s="108" t="n">
        <v>1.04</v>
      </c>
      <c r="BZ162" s="108" t="n">
        <v>1.28</v>
      </c>
      <c r="CA162" s="111" t="inlineStr">
        <is>
          <t>N/A</t>
        </is>
      </c>
      <c r="CB162" s="108" t="n">
        <v>0.99</v>
      </c>
      <c r="CC162" s="108" t="n">
        <v>-0</v>
      </c>
      <c r="CD162" s="111" t="inlineStr">
        <is>
          <t>N/A</t>
        </is>
      </c>
      <c r="CE162" s="111" t="inlineStr">
        <is>
          <t>N/A</t>
        </is>
      </c>
      <c r="CF162" s="108" t="n">
        <v>4.87</v>
      </c>
      <c r="CG162" s="108" t="n">
        <v>50.72</v>
      </c>
      <c r="CH162" s="107" t="n">
        <v>0</v>
      </c>
      <c r="CI162" s="107" t="inlineStr">
        <is>
          <t>CLEAR</t>
        </is>
      </c>
    </row>
    <row r="163" ht="17" customHeight="1">
      <c r="A163" s="103" t="inlineStr">
        <is>
          <t>AZO</t>
        </is>
      </c>
      <c r="B163" s="103" t="inlineStr">
        <is>
          <t>AUTOZONE INC</t>
        </is>
      </c>
      <c r="C163" s="104" t="n">
        <v>-1178018000</v>
      </c>
      <c r="D163" s="105" t="n">
        <v>0.19</v>
      </c>
      <c r="E163" s="105" t="n">
        <v>0.17</v>
      </c>
      <c r="F163" s="105" t="n">
        <v>0.13</v>
      </c>
      <c r="G163" s="105" t="n">
        <v>0.13</v>
      </c>
      <c r="H163" s="105" t="n">
        <v>0.16</v>
      </c>
      <c r="I163" s="105" t="n">
        <v>-0.73</v>
      </c>
      <c r="J163" s="105" t="n">
        <v>0.37</v>
      </c>
      <c r="K163" s="105" t="n">
        <v>0.53</v>
      </c>
      <c r="L163" s="105" t="n">
        <v>0.53</v>
      </c>
      <c r="M163" s="105" t="n">
        <v>0.98</v>
      </c>
      <c r="N163" s="104" t="n">
        <v>1.08</v>
      </c>
      <c r="O163" s="104" t="n">
        <v>0.88</v>
      </c>
      <c r="P163" s="104" t="n">
        <v>0.84</v>
      </c>
      <c r="Q163" s="104" t="n">
        <v>0.14</v>
      </c>
      <c r="R163" s="104" t="n">
        <v>0.03</v>
      </c>
      <c r="S163" s="104" t="n">
        <v>1</v>
      </c>
      <c r="T163" s="104" t="n">
        <v>1</v>
      </c>
      <c r="U163" s="104" t="n">
        <v>-1.33</v>
      </c>
      <c r="V163" s="104" t="n">
        <v>-1.25</v>
      </c>
      <c r="W163" s="104" t="n">
        <v>1.25</v>
      </c>
      <c r="X163" s="105" t="n">
        <v>0.09</v>
      </c>
      <c r="Y163" s="113" t="inlineStr">
        <is>
          <t>N/A</t>
        </is>
      </c>
      <c r="Z163" s="105" t="n">
        <v>11.28</v>
      </c>
      <c r="AA163" s="105" t="n">
        <v>0.02</v>
      </c>
      <c r="AB163" s="105" t="n">
        <v>-0.06</v>
      </c>
      <c r="AC163" s="104" t="n">
        <v>-0.03</v>
      </c>
      <c r="AD163" s="104" t="n">
        <v>-0.03</v>
      </c>
      <c r="AE163" s="104" t="n">
        <v>-0.06</v>
      </c>
      <c r="AF163" s="104" t="n">
        <v>-0.21</v>
      </c>
      <c r="AG163" s="104" t="n">
        <v>0.19</v>
      </c>
      <c r="AH163" s="104" t="n">
        <v>-0.18</v>
      </c>
      <c r="AI163" s="104" t="n">
        <v>0.98</v>
      </c>
      <c r="AJ163" s="104" t="n">
        <v>1.13</v>
      </c>
      <c r="AK163" s="112" t="inlineStr">
        <is>
          <t>Distress</t>
        </is>
      </c>
      <c r="AL163" s="104" t="n">
        <v>-0.06</v>
      </c>
      <c r="AM163" s="104" t="n">
        <v>-0.21</v>
      </c>
      <c r="AN163" s="104" t="n">
        <v>0.19</v>
      </c>
      <c r="AO163" s="104" t="n">
        <v>-0.18</v>
      </c>
      <c r="AP163" s="104" t="n">
        <v>0.98</v>
      </c>
      <c r="AQ163" s="103" t="n">
        <v>1.26</v>
      </c>
      <c r="AR163" s="103" t="inlineStr">
        <is>
          <t>Grey</t>
        </is>
      </c>
      <c r="AS163" s="104" t="n">
        <v>-0.06</v>
      </c>
      <c r="AT163" s="104" t="n">
        <v>-0.21</v>
      </c>
      <c r="AU163" s="104" t="n">
        <v>0.19</v>
      </c>
      <c r="AV163" s="104" t="n">
        <v>-0.18</v>
      </c>
      <c r="AW163" s="103" t="n">
        <v>-0</v>
      </c>
      <c r="AX163" s="103" t="inlineStr">
        <is>
          <t>Distress</t>
        </is>
      </c>
      <c r="AY163" s="104" t="n">
        <v>-0.06</v>
      </c>
      <c r="AZ163" s="104" t="n">
        <v>0.19</v>
      </c>
      <c r="BA163" s="104" t="n">
        <v>0.33</v>
      </c>
      <c r="BB163" s="104" t="n">
        <v>0.98</v>
      </c>
      <c r="BC163" s="103" t="n">
        <v>1.12</v>
      </c>
      <c r="BD163" s="103" t="inlineStr">
        <is>
          <t>Healthy</t>
        </is>
      </c>
      <c r="BE163" s="104" t="n">
        <v>0.13</v>
      </c>
      <c r="BF163" s="104" t="n">
        <v>1</v>
      </c>
      <c r="BG163" s="104" t="n">
        <v>0.88</v>
      </c>
      <c r="BH163" s="104" t="n">
        <v>0.76</v>
      </c>
      <c r="BI163" s="103" t="n">
        <v>0.68</v>
      </c>
      <c r="BJ163" s="103" t="inlineStr">
        <is>
          <t>Distress</t>
        </is>
      </c>
      <c r="BK163" s="103" t="n">
        <v>1</v>
      </c>
      <c r="BL163" s="103" t="n">
        <v>1</v>
      </c>
      <c r="BM163" s="103" t="n">
        <v>0</v>
      </c>
      <c r="BN163" s="103" t="n">
        <v>1</v>
      </c>
      <c r="BO163" s="103" t="n">
        <v>1</v>
      </c>
      <c r="BP163" s="103" t="n">
        <v>1</v>
      </c>
      <c r="BQ163" s="103" t="n">
        <v>1</v>
      </c>
      <c r="BR163" s="103" t="n">
        <v>0</v>
      </c>
      <c r="BS163" s="103" t="n">
        <v>0</v>
      </c>
      <c r="BT163" s="103" t="n">
        <v>6</v>
      </c>
      <c r="BU163" s="103" t="inlineStr">
        <is>
          <t>Mixed</t>
        </is>
      </c>
      <c r="BV163" s="104" t="n">
        <v>1.2</v>
      </c>
      <c r="BW163" s="104" t="n">
        <v>1.01</v>
      </c>
      <c r="BX163" s="104" t="n">
        <v>0.95</v>
      </c>
      <c r="BY163" s="104" t="n">
        <v>1.02</v>
      </c>
      <c r="BZ163" s="104" t="n">
        <v>1.02</v>
      </c>
      <c r="CA163" s="104" t="n">
        <v>1.03</v>
      </c>
      <c r="CB163" s="104" t="n">
        <v>1</v>
      </c>
      <c r="CC163" s="104" t="n">
        <v>-0.03</v>
      </c>
      <c r="CD163" s="103" t="n">
        <v>-2.44</v>
      </c>
      <c r="CE163" s="103" t="inlineStr">
        <is>
          <t>Lower Risk</t>
        </is>
      </c>
      <c r="CF163" s="104" t="n">
        <v>1.01</v>
      </c>
      <c r="CG163" s="104" t="n">
        <v>51.26</v>
      </c>
      <c r="CH163" s="103" t="n">
        <v>0</v>
      </c>
      <c r="CI163" s="103" t="inlineStr">
        <is>
          <t>CLEAR</t>
        </is>
      </c>
    </row>
    <row r="164" ht="17" customHeight="1">
      <c r="A164" s="107" t="inlineStr">
        <is>
          <t>PPL</t>
        </is>
      </c>
      <c r="B164" s="107" t="inlineStr">
        <is>
          <t>PPL Corp</t>
        </is>
      </c>
      <c r="C164" s="108" t="n">
        <v>-615000000</v>
      </c>
      <c r="D164" s="109" t="n">
        <v>0.24</v>
      </c>
      <c r="E164" s="109" t="n">
        <v>0.16</v>
      </c>
      <c r="F164" s="109" t="n">
        <v>0.13</v>
      </c>
      <c r="G164" s="109" t="n">
        <v>0.03</v>
      </c>
      <c r="H164" s="109" t="n">
        <v>0.02</v>
      </c>
      <c r="I164" s="109" t="n">
        <v>0.08</v>
      </c>
      <c r="J164" s="109" t="n">
        <v>0.05</v>
      </c>
      <c r="K164" s="111" t="inlineStr">
        <is>
          <t>N/A</t>
        </is>
      </c>
      <c r="L164" s="111" t="inlineStr">
        <is>
          <t>N/A</t>
        </is>
      </c>
      <c r="M164" s="109" t="n">
        <v>0.2</v>
      </c>
      <c r="N164" s="108" t="n">
        <v>0.21</v>
      </c>
      <c r="O164" s="108" t="n">
        <v>0.86</v>
      </c>
      <c r="P164" s="108" t="n">
        <v>0.86</v>
      </c>
      <c r="Q164" s="108" t="n">
        <v>0.74</v>
      </c>
      <c r="R164" s="108" t="n">
        <v>0.24</v>
      </c>
      <c r="S164" s="108" t="n">
        <v>1</v>
      </c>
      <c r="T164" s="108" t="n">
        <v>1</v>
      </c>
      <c r="U164" s="108" t="n">
        <v>1.39</v>
      </c>
      <c r="V164" s="108" t="n">
        <v>1.31</v>
      </c>
      <c r="W164" s="108" t="n">
        <v>2.23</v>
      </c>
      <c r="X164" s="109" t="n">
        <v>-0.15</v>
      </c>
      <c r="Y164" s="109" t="n">
        <v>0</v>
      </c>
      <c r="Z164" s="109" t="n">
        <v>2.63</v>
      </c>
      <c r="AA164" s="109" t="n">
        <v>0.07000000000000001</v>
      </c>
      <c r="AB164" s="109" t="n">
        <v>0.33</v>
      </c>
      <c r="AC164" s="108" t="n">
        <v>-0.03</v>
      </c>
      <c r="AD164" s="108" t="n">
        <v>-0.03</v>
      </c>
      <c r="AE164" s="108" t="n">
        <v>-0.01</v>
      </c>
      <c r="AF164" s="108" t="n">
        <v>0.07000000000000001</v>
      </c>
      <c r="AG164" s="108" t="n">
        <v>0.05</v>
      </c>
      <c r="AH164" s="108" t="n">
        <v>0.31</v>
      </c>
      <c r="AI164" s="108" t="n">
        <v>0.2</v>
      </c>
      <c r="AJ164" s="108" t="n">
        <v>0.62</v>
      </c>
      <c r="AK164" s="112" t="inlineStr">
        <is>
          <t>Distress</t>
        </is>
      </c>
      <c r="AL164" s="108" t="n">
        <v>-0.01</v>
      </c>
      <c r="AM164" s="108" t="n">
        <v>0.07000000000000001</v>
      </c>
      <c r="AN164" s="108" t="n">
        <v>0.05</v>
      </c>
      <c r="AO164" s="108" t="n">
        <v>0.31</v>
      </c>
      <c r="AP164" s="108" t="n">
        <v>0.2</v>
      </c>
      <c r="AQ164" s="107" t="n">
        <v>0.53</v>
      </c>
      <c r="AR164" s="107" t="inlineStr">
        <is>
          <t>Distress</t>
        </is>
      </c>
      <c r="AS164" s="108" t="n">
        <v>-0.01</v>
      </c>
      <c r="AT164" s="108" t="n">
        <v>0.07000000000000001</v>
      </c>
      <c r="AU164" s="108" t="n">
        <v>0.05</v>
      </c>
      <c r="AV164" s="108" t="n">
        <v>0.31</v>
      </c>
      <c r="AW164" s="107" t="n">
        <v>0.78</v>
      </c>
      <c r="AX164" s="107" t="inlineStr">
        <is>
          <t>Distress</t>
        </is>
      </c>
      <c r="AY164" s="108" t="n">
        <v>-0.01</v>
      </c>
      <c r="AZ164" s="108" t="n">
        <v>0.05</v>
      </c>
      <c r="BA164" s="108" t="n">
        <v>0.32</v>
      </c>
      <c r="BB164" s="108" t="n">
        <v>0.2</v>
      </c>
      <c r="BC164" s="107" t="n">
        <v>0.42</v>
      </c>
      <c r="BD164" s="107" t="inlineStr">
        <is>
          <t>Distress</t>
        </is>
      </c>
      <c r="BE164" s="108" t="n">
        <v>0.03</v>
      </c>
      <c r="BF164" s="108" t="n">
        <v>1</v>
      </c>
      <c r="BG164" s="108" t="n">
        <v>0.86</v>
      </c>
      <c r="BH164" s="108" t="n">
        <v>1.23</v>
      </c>
      <c r="BI164" s="107" t="n">
        <v>0.77</v>
      </c>
      <c r="BJ164" s="107" t="inlineStr">
        <is>
          <t>Distress</t>
        </is>
      </c>
      <c r="BK164" s="107" t="n">
        <v>1</v>
      </c>
      <c r="BL164" s="107" t="n">
        <v>1</v>
      </c>
      <c r="BM164" s="107" t="n">
        <v>1</v>
      </c>
      <c r="BN164" s="107" t="n">
        <v>1</v>
      </c>
      <c r="BO164" s="107" t="n">
        <v>0</v>
      </c>
      <c r="BP164" s="107" t="n">
        <v>1</v>
      </c>
      <c r="BQ164" s="107" t="n">
        <v>0</v>
      </c>
      <c r="BR164" s="107" t="n">
        <v>0</v>
      </c>
      <c r="BS164" s="107" t="n">
        <v>0</v>
      </c>
      <c r="BT164" s="107" t="n">
        <v>5</v>
      </c>
      <c r="BU164" s="107" t="inlineStr">
        <is>
          <t>Mixed</t>
        </is>
      </c>
      <c r="BV164" s="108" t="n">
        <v>1.08</v>
      </c>
      <c r="BW164" s="111" t="inlineStr">
        <is>
          <t>N/A</t>
        </is>
      </c>
      <c r="BX164" s="108" t="n">
        <v>0.93</v>
      </c>
      <c r="BY164" s="108" t="n">
        <v>1.07</v>
      </c>
      <c r="BZ164" s="108" t="n">
        <v>1.06</v>
      </c>
      <c r="CA164" s="111" t="inlineStr">
        <is>
          <t>N/A</t>
        </is>
      </c>
      <c r="CB164" s="108" t="n">
        <v>1</v>
      </c>
      <c r="CC164" s="108" t="n">
        <v>-0.03</v>
      </c>
      <c r="CD164" s="111" t="inlineStr">
        <is>
          <t>N/A</t>
        </is>
      </c>
      <c r="CE164" s="111" t="inlineStr">
        <is>
          <t>N/A</t>
        </is>
      </c>
      <c r="CF164" s="108" t="n">
        <v>5.31</v>
      </c>
      <c r="CG164" s="108" t="n">
        <v>44.78</v>
      </c>
      <c r="CH164" s="107" t="n">
        <v>0</v>
      </c>
      <c r="CI164" s="107" t="inlineStr">
        <is>
          <t>CLEAR</t>
        </is>
      </c>
    </row>
    <row r="165" ht="17" customHeight="1">
      <c r="A165" s="103" t="inlineStr">
        <is>
          <t>MET</t>
        </is>
      </c>
      <c r="B165" s="103" t="inlineStr">
        <is>
          <t>MetLife, Inc.</t>
        </is>
      </c>
      <c r="C165" s="113" t="inlineStr">
        <is>
          <t>N/A</t>
        </is>
      </c>
      <c r="D165" s="105" t="n">
        <v>0.08</v>
      </c>
      <c r="E165" s="105" t="n">
        <v>0.06</v>
      </c>
      <c r="F165" s="105" t="n">
        <v>0.04</v>
      </c>
      <c r="G165" s="105" t="n">
        <v>0</v>
      </c>
      <c r="H165" s="105" t="n">
        <v>0.01</v>
      </c>
      <c r="I165" s="105" t="n">
        <v>0.12</v>
      </c>
      <c r="J165" s="113" t="inlineStr">
        <is>
          <t>N/A</t>
        </is>
      </c>
      <c r="K165" s="105" t="n">
        <v>0.06</v>
      </c>
      <c r="L165" s="105" t="n">
        <v>0.08</v>
      </c>
      <c r="M165" s="105" t="n">
        <v>0.1</v>
      </c>
      <c r="N165" s="104" t="n">
        <v>0.1</v>
      </c>
      <c r="O165" s="113" t="inlineStr">
        <is>
          <t>N/A</t>
        </is>
      </c>
      <c r="P165" s="113" t="inlineStr">
        <is>
          <t>N/A</t>
        </is>
      </c>
      <c r="Q165" s="113" t="inlineStr">
        <is>
          <t>N/A</t>
        </is>
      </c>
      <c r="R165" s="113" t="inlineStr">
        <is>
          <t>N/A</t>
        </is>
      </c>
      <c r="S165" s="104" t="n">
        <v>0.96</v>
      </c>
      <c r="T165" s="104" t="n">
        <v>0.96</v>
      </c>
      <c r="U165" s="104" t="n">
        <v>0.85</v>
      </c>
      <c r="V165" s="104" t="n">
        <v>0.07000000000000001</v>
      </c>
      <c r="W165" s="104" t="n">
        <v>5.06</v>
      </c>
      <c r="X165" s="113" t="inlineStr">
        <is>
          <t>N/A</t>
        </is>
      </c>
      <c r="Y165" s="105" t="n">
        <v>0</v>
      </c>
      <c r="Z165" s="105" t="n">
        <v>3.96</v>
      </c>
      <c r="AA165" s="105" t="n">
        <v>0.09</v>
      </c>
      <c r="AB165" s="105" t="n">
        <v>-0.24</v>
      </c>
      <c r="AC165" s="104" t="n">
        <v>-0.02</v>
      </c>
      <c r="AD165" s="104" t="n">
        <v>-0.02</v>
      </c>
      <c r="AE165" s="113" t="inlineStr">
        <is>
          <t>N/A</t>
        </is>
      </c>
      <c r="AF165" s="104" t="n">
        <v>0.06</v>
      </c>
      <c r="AG165" s="104" t="n">
        <v>0.01</v>
      </c>
      <c r="AH165" s="104" t="n">
        <v>0.04</v>
      </c>
      <c r="AI165" s="104" t="n">
        <v>0.1</v>
      </c>
      <c r="AJ165" s="113" t="inlineStr">
        <is>
          <t>N/A</t>
        </is>
      </c>
      <c r="AK165" s="113" t="inlineStr">
        <is>
          <t>N/A</t>
        </is>
      </c>
      <c r="AL165" s="113" t="inlineStr">
        <is>
          <t>N/A</t>
        </is>
      </c>
      <c r="AM165" s="104" t="n">
        <v>0.06</v>
      </c>
      <c r="AN165" s="104" t="n">
        <v>0.01</v>
      </c>
      <c r="AO165" s="104" t="n">
        <v>0.04</v>
      </c>
      <c r="AP165" s="104" t="n">
        <v>0.1</v>
      </c>
      <c r="AQ165" s="113" t="inlineStr">
        <is>
          <t>N/A</t>
        </is>
      </c>
      <c r="AR165" s="113" t="inlineStr">
        <is>
          <t>N/A</t>
        </is>
      </c>
      <c r="AS165" s="113" t="inlineStr">
        <is>
          <t>N/A</t>
        </is>
      </c>
      <c r="AT165" s="104" t="n">
        <v>0.06</v>
      </c>
      <c r="AU165" s="104" t="n">
        <v>0.01</v>
      </c>
      <c r="AV165" s="104" t="n">
        <v>0.04</v>
      </c>
      <c r="AW165" s="113" t="inlineStr">
        <is>
          <t>N/A</t>
        </is>
      </c>
      <c r="AX165" s="113" t="inlineStr">
        <is>
          <t>N/A</t>
        </is>
      </c>
      <c r="AY165" s="113" t="inlineStr">
        <is>
          <t>N/A</t>
        </is>
      </c>
      <c r="AZ165" s="104" t="n">
        <v>0.01</v>
      </c>
      <c r="BA165" s="113" t="inlineStr">
        <is>
          <t>N/A</t>
        </is>
      </c>
      <c r="BB165" s="104" t="n">
        <v>0.1</v>
      </c>
      <c r="BC165" s="113" t="inlineStr">
        <is>
          <t>N/A</t>
        </is>
      </c>
      <c r="BD165" s="113" t="inlineStr">
        <is>
          <t>N/A</t>
        </is>
      </c>
      <c r="BE165" s="104" t="n">
        <v>0</v>
      </c>
      <c r="BF165" s="104" t="n">
        <v>0.96</v>
      </c>
      <c r="BG165" s="113" t="inlineStr">
        <is>
          <t>N/A</t>
        </is>
      </c>
      <c r="BH165" s="113" t="inlineStr">
        <is>
          <t>N/A</t>
        </is>
      </c>
      <c r="BI165" s="113" t="inlineStr">
        <is>
          <t>N/A</t>
        </is>
      </c>
      <c r="BJ165" s="113" t="inlineStr">
        <is>
          <t>N/A</t>
        </is>
      </c>
      <c r="BK165" s="103" t="n">
        <v>1</v>
      </c>
      <c r="BL165" s="103" t="n">
        <v>1</v>
      </c>
      <c r="BM165" s="103" t="n">
        <v>0</v>
      </c>
      <c r="BN165" s="103" t="n">
        <v>1</v>
      </c>
      <c r="BO165" s="103" t="n">
        <v>1</v>
      </c>
      <c r="BP165" s="103" t="n">
        <v>0</v>
      </c>
      <c r="BQ165" s="103" t="n">
        <v>1</v>
      </c>
      <c r="BR165" s="103" t="n">
        <v>0</v>
      </c>
      <c r="BS165" s="103" t="n">
        <v>0</v>
      </c>
      <c r="BT165" s="103" t="n">
        <v>5</v>
      </c>
      <c r="BU165" s="103" t="inlineStr">
        <is>
          <t>Mixed</t>
        </is>
      </c>
      <c r="BV165" s="104" t="n">
        <v>1.05</v>
      </c>
      <c r="BW165" s="104" t="n">
        <v>1.31</v>
      </c>
      <c r="BX165" s="104" t="n">
        <v>1</v>
      </c>
      <c r="BY165" s="104" t="n">
        <v>1.09</v>
      </c>
      <c r="BZ165" s="104" t="n">
        <v>0.98</v>
      </c>
      <c r="CA165" s="104" t="n">
        <v>1.07</v>
      </c>
      <c r="CB165" s="104" t="n">
        <v>1</v>
      </c>
      <c r="CC165" s="104" t="n">
        <v>-0.02</v>
      </c>
      <c r="CD165" s="103" t="n">
        <v>-2.29</v>
      </c>
      <c r="CE165" s="103" t="inlineStr">
        <is>
          <t>Lower Risk</t>
        </is>
      </c>
      <c r="CF165" s="104" t="n">
        <v>0.32</v>
      </c>
      <c r="CG165" s="104" t="n">
        <v>42.94</v>
      </c>
      <c r="CH165" s="103" t="n">
        <v>0</v>
      </c>
      <c r="CI165" s="103" t="inlineStr">
        <is>
          <t>CLEAR</t>
        </is>
      </c>
    </row>
    <row r="166" ht="17" customHeight="1">
      <c r="A166" s="107" t="inlineStr">
        <is>
          <t>TER</t>
        </is>
      </c>
      <c r="B166" s="107" t="inlineStr">
        <is>
          <t>TERADYNE, INC.</t>
        </is>
      </c>
      <c r="C166" s="108" t="n">
        <v>834093000</v>
      </c>
      <c r="D166" s="109" t="n">
        <v>0.2</v>
      </c>
      <c r="E166" s="109" t="n">
        <v>0.2</v>
      </c>
      <c r="F166" s="109" t="n">
        <v>0.17</v>
      </c>
      <c r="G166" s="109" t="n">
        <v>0.13</v>
      </c>
      <c r="H166" s="109" t="n">
        <v>0.15</v>
      </c>
      <c r="I166" s="109" t="n">
        <v>0.2</v>
      </c>
      <c r="J166" s="109" t="n">
        <v>0.21</v>
      </c>
      <c r="K166" s="109" t="n">
        <v>0.58</v>
      </c>
      <c r="L166" s="109" t="n">
        <v>0.58</v>
      </c>
      <c r="M166" s="109" t="n">
        <v>0.76</v>
      </c>
      <c r="N166" s="108" t="n">
        <v>0.76</v>
      </c>
      <c r="O166" s="108" t="n">
        <v>1.75</v>
      </c>
      <c r="P166" s="108" t="n">
        <v>2.91</v>
      </c>
      <c r="Q166" s="108" t="n">
        <v>1.41</v>
      </c>
      <c r="R166" s="108" t="n">
        <v>0.26</v>
      </c>
      <c r="S166" s="108" t="n">
        <v>0.33</v>
      </c>
      <c r="T166" s="108" t="n">
        <v>0.24</v>
      </c>
      <c r="U166" s="108" t="n">
        <v>0.07000000000000001</v>
      </c>
      <c r="V166" s="108" t="n">
        <v>-0.03</v>
      </c>
      <c r="W166" s="108" t="n">
        <v>1.22</v>
      </c>
      <c r="X166" s="109" t="n">
        <v>0.14</v>
      </c>
      <c r="Y166" s="109" t="n">
        <v>0.16</v>
      </c>
      <c r="Z166" s="109" t="n">
        <v>94.95</v>
      </c>
      <c r="AA166" s="109" t="n">
        <v>0.13</v>
      </c>
      <c r="AB166" s="109" t="n">
        <v>0.02</v>
      </c>
      <c r="AC166" s="108" t="n">
        <v>-0.03</v>
      </c>
      <c r="AD166" s="108" t="n">
        <v>-0.03</v>
      </c>
      <c r="AE166" s="108" t="n">
        <v>0.2</v>
      </c>
      <c r="AF166" s="108" t="n">
        <v>0.18</v>
      </c>
      <c r="AG166" s="108" t="n">
        <v>0.16</v>
      </c>
      <c r="AH166" s="108" t="n">
        <v>2.01</v>
      </c>
      <c r="AI166" s="108" t="n">
        <v>0.76</v>
      </c>
      <c r="AJ166" s="108" t="n">
        <v>2.97</v>
      </c>
      <c r="AK166" s="106" t="inlineStr">
        <is>
          <t>Grey</t>
        </is>
      </c>
      <c r="AL166" s="108" t="n">
        <v>0.2</v>
      </c>
      <c r="AM166" s="108" t="n">
        <v>0.18</v>
      </c>
      <c r="AN166" s="108" t="n">
        <v>0.16</v>
      </c>
      <c r="AO166" s="108" t="n">
        <v>2.01</v>
      </c>
      <c r="AP166" s="108" t="n">
        <v>0.76</v>
      </c>
      <c r="AQ166" s="107" t="n">
        <v>2.38</v>
      </c>
      <c r="AR166" s="107" t="inlineStr">
        <is>
          <t>Grey</t>
        </is>
      </c>
      <c r="AS166" s="108" t="n">
        <v>0.2</v>
      </c>
      <c r="AT166" s="108" t="n">
        <v>0.18</v>
      </c>
      <c r="AU166" s="108" t="n">
        <v>0.16</v>
      </c>
      <c r="AV166" s="108" t="n">
        <v>2.01</v>
      </c>
      <c r="AW166" s="107" t="n">
        <v>5.05</v>
      </c>
      <c r="AX166" s="107" t="inlineStr">
        <is>
          <t>Safe</t>
        </is>
      </c>
      <c r="AY166" s="108" t="n">
        <v>0.2</v>
      </c>
      <c r="AZ166" s="108" t="n">
        <v>0.16</v>
      </c>
      <c r="BA166" s="108" t="n">
        <v>0.59</v>
      </c>
      <c r="BB166" s="108" t="n">
        <v>0.76</v>
      </c>
      <c r="BC166" s="107" t="n">
        <v>1.37</v>
      </c>
      <c r="BD166" s="107" t="inlineStr">
        <is>
          <t>Healthy</t>
        </is>
      </c>
      <c r="BE166" s="108" t="n">
        <v>0.13</v>
      </c>
      <c r="BF166" s="108" t="n">
        <v>0.33</v>
      </c>
      <c r="BG166" s="108" t="n">
        <v>1.75</v>
      </c>
      <c r="BH166" s="108" t="n">
        <v>-3.04</v>
      </c>
      <c r="BI166" s="107" t="n">
        <v>0.05</v>
      </c>
      <c r="BJ166" s="107" t="inlineStr">
        <is>
          <t>Healthy</t>
        </is>
      </c>
      <c r="BK166" s="107" t="n">
        <v>1</v>
      </c>
      <c r="BL166" s="107" t="n">
        <v>1</v>
      </c>
      <c r="BM166" s="107" t="n">
        <v>0</v>
      </c>
      <c r="BN166" s="107" t="n">
        <v>1</v>
      </c>
      <c r="BO166" s="107" t="n">
        <v>0</v>
      </c>
      <c r="BP166" s="107" t="n">
        <v>0</v>
      </c>
      <c r="BQ166" s="107" t="n">
        <v>1</v>
      </c>
      <c r="BR166" s="107" t="n">
        <v>0</v>
      </c>
      <c r="BS166" s="107" t="n">
        <v>1</v>
      </c>
      <c r="BT166" s="107" t="n">
        <v>5</v>
      </c>
      <c r="BU166" s="107" t="inlineStr">
        <is>
          <t>Mixed</t>
        </is>
      </c>
      <c r="BV166" s="108" t="n">
        <v>1.48</v>
      </c>
      <c r="BW166" s="108" t="n">
        <v>1</v>
      </c>
      <c r="BX166" s="108" t="n">
        <v>1.07</v>
      </c>
      <c r="BY166" s="108" t="n">
        <v>1.13</v>
      </c>
      <c r="BZ166" s="108" t="n">
        <v>1.03</v>
      </c>
      <c r="CA166" s="108" t="n">
        <v>0.93</v>
      </c>
      <c r="CB166" s="108" t="n">
        <v>1.38</v>
      </c>
      <c r="CC166" s="108" t="n">
        <v>-0.03</v>
      </c>
      <c r="CD166" s="107" t="n">
        <v>-2.14</v>
      </c>
      <c r="CE166" s="107" t="inlineStr">
        <is>
          <t>Higher Risk</t>
        </is>
      </c>
      <c r="CF166" s="108" t="n">
        <v>-0.12</v>
      </c>
      <c r="CG166" s="108" t="n">
        <v>48.3</v>
      </c>
      <c r="CH166" s="107" t="n">
        <v>20</v>
      </c>
      <c r="CI166" s="107" t="inlineStr">
        <is>
          <t>CLEAR</t>
        </is>
      </c>
    </row>
    <row r="167" ht="17" customHeight="1">
      <c r="A167" s="103" t="inlineStr">
        <is>
          <t>CAH</t>
        </is>
      </c>
      <c r="B167" s="103" t="inlineStr">
        <is>
          <t>Cardinal Health, Inc.</t>
        </is>
      </c>
      <c r="C167" s="104" t="n">
        <v>-2524000000</v>
      </c>
      <c r="D167" s="105" t="n">
        <v>0.01</v>
      </c>
      <c r="E167" s="105" t="n">
        <v>0.01</v>
      </c>
      <c r="F167" s="105" t="n">
        <v>0.01</v>
      </c>
      <c r="G167" s="105" t="n">
        <v>0.03</v>
      </c>
      <c r="H167" s="105" t="n">
        <v>0.02</v>
      </c>
      <c r="I167" s="105" t="n">
        <v>-0.5600000000000001</v>
      </c>
      <c r="J167" s="105" t="n">
        <v>0.16</v>
      </c>
      <c r="K167" s="105" t="n">
        <v>0.04</v>
      </c>
      <c r="L167" s="105" t="n">
        <v>0.03</v>
      </c>
      <c r="M167" s="105" t="n">
        <v>4.19</v>
      </c>
      <c r="N167" s="104" t="n">
        <v>5.03</v>
      </c>
      <c r="O167" s="104" t="n">
        <v>0.9399999999999999</v>
      </c>
      <c r="P167" s="104" t="n">
        <v>0.98</v>
      </c>
      <c r="Q167" s="104" t="n">
        <v>0.5</v>
      </c>
      <c r="R167" s="104" t="n">
        <v>0.1</v>
      </c>
      <c r="S167" s="104" t="n">
        <v>1</v>
      </c>
      <c r="T167" s="104" t="n">
        <v>1</v>
      </c>
      <c r="U167" s="104" t="n">
        <v>-1.02</v>
      </c>
      <c r="V167" s="104" t="n">
        <v>0.38</v>
      </c>
      <c r="W167" s="104" t="n">
        <v>1.54</v>
      </c>
      <c r="X167" s="105" t="n">
        <v>0.01</v>
      </c>
      <c r="Y167" s="113" t="inlineStr">
        <is>
          <t>N/A</t>
        </is>
      </c>
      <c r="Z167" s="105" t="n">
        <v>10.58</v>
      </c>
      <c r="AA167" s="105" t="n">
        <v>-0.02</v>
      </c>
      <c r="AB167" s="105" t="n">
        <v>0.83</v>
      </c>
      <c r="AC167" s="104" t="n">
        <v>-0.02</v>
      </c>
      <c r="AD167" s="104" t="n">
        <v>-0.02</v>
      </c>
      <c r="AE167" s="104" t="n">
        <v>-0.05</v>
      </c>
      <c r="AF167" s="104" t="n">
        <v>0.01</v>
      </c>
      <c r="AG167" s="104" t="n">
        <v>0.04</v>
      </c>
      <c r="AH167" s="104" t="n">
        <v>-0.05</v>
      </c>
      <c r="AI167" s="104" t="n">
        <v>4.19</v>
      </c>
      <c r="AJ167" s="104" t="n">
        <v>4.26</v>
      </c>
      <c r="AK167" s="110" t="inlineStr">
        <is>
          <t>Safe</t>
        </is>
      </c>
      <c r="AL167" s="104" t="n">
        <v>-0.05</v>
      </c>
      <c r="AM167" s="104" t="n">
        <v>0.01</v>
      </c>
      <c r="AN167" s="104" t="n">
        <v>0.04</v>
      </c>
      <c r="AO167" s="104" t="n">
        <v>-0.05</v>
      </c>
      <c r="AP167" s="104" t="n">
        <v>4.19</v>
      </c>
      <c r="AQ167" s="103" t="n">
        <v>4.27</v>
      </c>
      <c r="AR167" s="103" t="inlineStr">
        <is>
          <t>Safe</t>
        </is>
      </c>
      <c r="AS167" s="104" t="n">
        <v>-0.05</v>
      </c>
      <c r="AT167" s="104" t="n">
        <v>0.01</v>
      </c>
      <c r="AU167" s="104" t="n">
        <v>0.04</v>
      </c>
      <c r="AV167" s="104" t="n">
        <v>-0.05</v>
      </c>
      <c r="AW167" s="103" t="n">
        <v>-0.03</v>
      </c>
      <c r="AX167" s="103" t="inlineStr">
        <is>
          <t>Distress</t>
        </is>
      </c>
      <c r="AY167" s="104" t="n">
        <v>-0.05</v>
      </c>
      <c r="AZ167" s="104" t="n">
        <v>0.04</v>
      </c>
      <c r="BA167" s="104" t="n">
        <v>0.05</v>
      </c>
      <c r="BB167" s="104" t="n">
        <v>4.19</v>
      </c>
      <c r="BC167" s="103" t="n">
        <v>1.79</v>
      </c>
      <c r="BD167" s="103" t="inlineStr">
        <is>
          <t>Healthy</t>
        </is>
      </c>
      <c r="BE167" s="104" t="n">
        <v>0.03</v>
      </c>
      <c r="BF167" s="104" t="n">
        <v>1</v>
      </c>
      <c r="BG167" s="104" t="n">
        <v>0.9399999999999999</v>
      </c>
      <c r="BH167" s="104" t="n">
        <v>1.21</v>
      </c>
      <c r="BI167" s="103" t="n">
        <v>0.77</v>
      </c>
      <c r="BJ167" s="103" t="inlineStr">
        <is>
          <t>Distress</t>
        </is>
      </c>
      <c r="BK167" s="103" t="n">
        <v>1</v>
      </c>
      <c r="BL167" s="103" t="n">
        <v>1</v>
      </c>
      <c r="BM167" s="103" t="n">
        <v>1</v>
      </c>
      <c r="BN167" s="103" t="n">
        <v>1</v>
      </c>
      <c r="BO167" s="103" t="n">
        <v>1</v>
      </c>
      <c r="BP167" s="103" t="n">
        <v>0</v>
      </c>
      <c r="BQ167" s="103" t="n">
        <v>1</v>
      </c>
      <c r="BR167" s="103" t="n">
        <v>1</v>
      </c>
      <c r="BS167" s="103" t="n">
        <v>0</v>
      </c>
      <c r="BT167" s="103" t="n">
        <v>7</v>
      </c>
      <c r="BU167" s="103" t="inlineStr">
        <is>
          <t>Strong</t>
        </is>
      </c>
      <c r="BV167" s="104" t="n">
        <v>1.12</v>
      </c>
      <c r="BW167" s="104" t="n">
        <v>0.89</v>
      </c>
      <c r="BX167" s="104" t="n">
        <v>1.53</v>
      </c>
      <c r="BY167" s="104" t="n">
        <v>0.98</v>
      </c>
      <c r="BZ167" s="104" t="n">
        <v>1.08</v>
      </c>
      <c r="CA167" s="104" t="n">
        <v>1.1</v>
      </c>
      <c r="CB167" s="104" t="n">
        <v>1</v>
      </c>
      <c r="CC167" s="104" t="n">
        <v>-0.02</v>
      </c>
      <c r="CD167" s="103" t="n">
        <v>-2.31</v>
      </c>
      <c r="CE167" s="103" t="inlineStr">
        <is>
          <t>Lower Risk</t>
        </is>
      </c>
      <c r="CF167" s="104" t="n">
        <v>-0.4</v>
      </c>
      <c r="CG167" s="104" t="n">
        <v>65.67</v>
      </c>
      <c r="CH167" s="103" t="n">
        <v>0</v>
      </c>
      <c r="CI167" s="103" t="inlineStr">
        <is>
          <t>CLEAR</t>
        </is>
      </c>
    </row>
    <row r="168" ht="17" customHeight="1">
      <c r="A168" s="107" t="inlineStr">
        <is>
          <t>MDB</t>
        </is>
      </c>
      <c r="B168" s="107" t="inlineStr">
        <is>
          <t>MONGODB, INC.</t>
        </is>
      </c>
      <c r="C168" s="108" t="n">
        <v>2445359000</v>
      </c>
      <c r="D168" s="109" t="n">
        <v>-0.06</v>
      </c>
      <c r="E168" s="109" t="n">
        <v>-0.02</v>
      </c>
      <c r="F168" s="109" t="n">
        <v>-0.03</v>
      </c>
      <c r="G168" s="109" t="n">
        <v>-0.02</v>
      </c>
      <c r="H168" s="109" t="n">
        <v>-0.04</v>
      </c>
      <c r="I168" s="109" t="n">
        <v>-0.02</v>
      </c>
      <c r="J168" s="109" t="n">
        <v>-0.04</v>
      </c>
      <c r="K168" s="109" t="n">
        <v>0.72</v>
      </c>
      <c r="L168" s="109" t="n">
        <v>0.73</v>
      </c>
      <c r="M168" s="109" t="n">
        <v>0.66</v>
      </c>
      <c r="N168" s="108" t="n">
        <v>0.58</v>
      </c>
      <c r="O168" s="108" t="n">
        <v>4.65</v>
      </c>
      <c r="P168" s="108" t="n">
        <v>5.2</v>
      </c>
      <c r="Q168" s="108" t="n">
        <v>4.65</v>
      </c>
      <c r="R168" s="108" t="n">
        <v>1.62</v>
      </c>
      <c r="S168" s="108" t="n">
        <v>0.21</v>
      </c>
      <c r="T168" s="108" t="n">
        <v>0.19</v>
      </c>
      <c r="U168" s="108" t="n">
        <v>0.07000000000000001</v>
      </c>
      <c r="V168" s="108" t="n">
        <v>-0.29</v>
      </c>
      <c r="W168" s="108" t="n">
        <v>-7.1</v>
      </c>
      <c r="X168" s="109" t="n">
        <v>0.2</v>
      </c>
      <c r="Y168" s="109" t="n">
        <v>0.29</v>
      </c>
      <c r="Z168" s="109" t="n">
        <v>-43.79</v>
      </c>
      <c r="AA168" s="109" t="n">
        <v>0.23</v>
      </c>
      <c r="AB168" s="109" t="n">
        <v>-0.45</v>
      </c>
      <c r="AC168" s="108" t="n">
        <v>-0.15</v>
      </c>
      <c r="AD168" s="108" t="n">
        <v>-0.15</v>
      </c>
      <c r="AE168" s="108" t="n">
        <v>0.65</v>
      </c>
      <c r="AF168" s="108" t="n">
        <v>-0.51</v>
      </c>
      <c r="AG168" s="108" t="n">
        <v>-0.04</v>
      </c>
      <c r="AH168" s="108" t="n">
        <v>3.66</v>
      </c>
      <c r="AI168" s="108" t="n">
        <v>0.66</v>
      </c>
      <c r="AJ168" s="108" t="n">
        <v>2.8</v>
      </c>
      <c r="AK168" s="106" t="inlineStr">
        <is>
          <t>Grey</t>
        </is>
      </c>
      <c r="AL168" s="108" t="n">
        <v>0.65</v>
      </c>
      <c r="AM168" s="108" t="n">
        <v>-0.51</v>
      </c>
      <c r="AN168" s="108" t="n">
        <v>-0.04</v>
      </c>
      <c r="AO168" s="108" t="n">
        <v>3.66</v>
      </c>
      <c r="AP168" s="108" t="n">
        <v>0.66</v>
      </c>
      <c r="AQ168" s="107" t="n">
        <v>2.11</v>
      </c>
      <c r="AR168" s="107" t="inlineStr">
        <is>
          <t>Grey</t>
        </is>
      </c>
      <c r="AS168" s="108" t="n">
        <v>0.65</v>
      </c>
      <c r="AT168" s="108" t="n">
        <v>-0.51</v>
      </c>
      <c r="AU168" s="108" t="n">
        <v>-0.04</v>
      </c>
      <c r="AV168" s="108" t="n">
        <v>3.66</v>
      </c>
      <c r="AW168" s="107" t="n">
        <v>6.21</v>
      </c>
      <c r="AX168" s="107" t="inlineStr">
        <is>
          <t>Safe</t>
        </is>
      </c>
      <c r="AY168" s="108" t="n">
        <v>0.65</v>
      </c>
      <c r="AZ168" s="108" t="n">
        <v>-0.04</v>
      </c>
      <c r="BA168" s="108" t="n">
        <v>-0.08</v>
      </c>
      <c r="BB168" s="108" t="n">
        <v>0.66</v>
      </c>
      <c r="BC168" s="107" t="n">
        <v>0.77</v>
      </c>
      <c r="BD168" s="107" t="inlineStr">
        <is>
          <t>Distress</t>
        </is>
      </c>
      <c r="BE168" s="108" t="n">
        <v>-0.02</v>
      </c>
      <c r="BF168" s="108" t="n">
        <v>0.21</v>
      </c>
      <c r="BG168" s="108" t="n">
        <v>4.65</v>
      </c>
      <c r="BH168" s="108" t="n">
        <v>-3.01</v>
      </c>
      <c r="BI168" s="107" t="n">
        <v>0.05</v>
      </c>
      <c r="BJ168" s="107" t="inlineStr">
        <is>
          <t>Healthy</t>
        </is>
      </c>
      <c r="BK168" s="107" t="n">
        <v>0</v>
      </c>
      <c r="BL168" s="107" t="n">
        <v>1</v>
      </c>
      <c r="BM168" s="107" t="n">
        <v>1</v>
      </c>
      <c r="BN168" s="107" t="n">
        <v>1</v>
      </c>
      <c r="BO168" s="107" t="n">
        <v>0</v>
      </c>
      <c r="BP168" s="107" t="n">
        <v>0</v>
      </c>
      <c r="BQ168" s="107" t="n">
        <v>0</v>
      </c>
      <c r="BR168" s="107" t="n">
        <v>0</v>
      </c>
      <c r="BS168" s="107" t="n">
        <v>1</v>
      </c>
      <c r="BT168" s="107" t="n">
        <v>4</v>
      </c>
      <c r="BU168" s="107" t="inlineStr">
        <is>
          <t>Mixed</t>
        </is>
      </c>
      <c r="BV168" s="108" t="n">
        <v>1.03</v>
      </c>
      <c r="BW168" s="108" t="n">
        <v>1.02</v>
      </c>
      <c r="BX168" s="108" t="n">
        <v>1.2</v>
      </c>
      <c r="BY168" s="108" t="n">
        <v>1.23</v>
      </c>
      <c r="BZ168" s="108" t="n">
        <v>0.5600000000000001</v>
      </c>
      <c r="CA168" s="108" t="n">
        <v>0.91</v>
      </c>
      <c r="CB168" s="108" t="n">
        <v>1.14</v>
      </c>
      <c r="CC168" s="108" t="n">
        <v>-0.15</v>
      </c>
      <c r="CD168" s="107" t="n">
        <v>-2.95</v>
      </c>
      <c r="CE168" s="107" t="inlineStr">
        <is>
          <t>Lower Risk</t>
        </is>
      </c>
      <c r="CF168" s="108" t="n">
        <v>7.56</v>
      </c>
      <c r="CG168" s="108" t="n">
        <v>49.17</v>
      </c>
      <c r="CH168" s="106" t="n">
        <v>40</v>
      </c>
      <c r="CI168" s="107" t="inlineStr">
        <is>
          <t>WATCH</t>
        </is>
      </c>
    </row>
    <row r="169" ht="17" customHeight="1">
      <c r="A169" s="103" t="inlineStr">
        <is>
          <t>ETR</t>
        </is>
      </c>
      <c r="B169" s="103" t="inlineStr">
        <is>
          <t>ENTERGY CORP /DE/</t>
        </is>
      </c>
      <c r="C169" s="104" t="n">
        <v>-2016117000</v>
      </c>
      <c r="D169" s="105" t="n">
        <v>0.25</v>
      </c>
      <c r="E169" s="105" t="n">
        <v>0.18</v>
      </c>
      <c r="F169" s="105" t="n">
        <v>0.18</v>
      </c>
      <c r="G169" s="105" t="n">
        <v>0.03</v>
      </c>
      <c r="H169" s="105" t="n">
        <v>0.02</v>
      </c>
      <c r="I169" s="105" t="n">
        <v>0.14</v>
      </c>
      <c r="J169" s="105" t="n">
        <v>0.05</v>
      </c>
      <c r="K169" s="105" t="n">
        <v>0.24</v>
      </c>
      <c r="L169" s="105" t="n">
        <v>0.01</v>
      </c>
      <c r="M169" s="105" t="n">
        <v>0.18</v>
      </c>
      <c r="N169" s="104" t="n">
        <v>0.18</v>
      </c>
      <c r="O169" s="104" t="n">
        <v>0.74</v>
      </c>
      <c r="P169" s="104" t="n">
        <v>0.72</v>
      </c>
      <c r="Q169" s="104" t="n">
        <v>0.74</v>
      </c>
      <c r="R169" s="104" t="n">
        <v>0.25</v>
      </c>
      <c r="S169" s="104" t="n">
        <v>1</v>
      </c>
      <c r="T169" s="104" t="n">
        <v>1</v>
      </c>
      <c r="U169" s="104" t="n">
        <v>1.83</v>
      </c>
      <c r="V169" s="104" t="n">
        <v>1.71</v>
      </c>
      <c r="W169" s="104" t="n">
        <v>2.19</v>
      </c>
      <c r="X169" s="105" t="n">
        <v>-0.2</v>
      </c>
      <c r="Y169" s="105" t="n">
        <v>0</v>
      </c>
      <c r="Z169" s="105" t="n">
        <v>3.18</v>
      </c>
      <c r="AA169" s="105" t="n">
        <v>0.09</v>
      </c>
      <c r="AB169" s="105" t="n">
        <v>1.14</v>
      </c>
      <c r="AC169" s="104" t="n">
        <v>-0.04</v>
      </c>
      <c r="AD169" s="104" t="n">
        <v>-0.04</v>
      </c>
      <c r="AE169" s="104" t="n">
        <v>-0.03</v>
      </c>
      <c r="AF169" s="104" t="n">
        <v>0.18</v>
      </c>
      <c r="AG169" s="104" t="n">
        <v>0.04</v>
      </c>
      <c r="AH169" s="104" t="n">
        <v>0.24</v>
      </c>
      <c r="AI169" s="104" t="n">
        <v>0.18</v>
      </c>
      <c r="AJ169" s="104" t="n">
        <v>0.68</v>
      </c>
      <c r="AK169" s="112" t="inlineStr">
        <is>
          <t>Distress</t>
        </is>
      </c>
      <c r="AL169" s="104" t="n">
        <v>-0.03</v>
      </c>
      <c r="AM169" s="104" t="n">
        <v>0.18</v>
      </c>
      <c r="AN169" s="104" t="n">
        <v>0.04</v>
      </c>
      <c r="AO169" s="104" t="n">
        <v>0.24</v>
      </c>
      <c r="AP169" s="104" t="n">
        <v>0.18</v>
      </c>
      <c r="AQ169" s="103" t="n">
        <v>0.55</v>
      </c>
      <c r="AR169" s="103" t="inlineStr">
        <is>
          <t>Distress</t>
        </is>
      </c>
      <c r="AS169" s="104" t="n">
        <v>-0.03</v>
      </c>
      <c r="AT169" s="104" t="n">
        <v>0.18</v>
      </c>
      <c r="AU169" s="104" t="n">
        <v>0.04</v>
      </c>
      <c r="AV169" s="104" t="n">
        <v>0.24</v>
      </c>
      <c r="AW169" s="103" t="n">
        <v>0.9399999999999999</v>
      </c>
      <c r="AX169" s="103" t="inlineStr">
        <is>
          <t>Distress</t>
        </is>
      </c>
      <c r="AY169" s="104" t="n">
        <v>-0.03</v>
      </c>
      <c r="AZ169" s="104" t="n">
        <v>0.04</v>
      </c>
      <c r="BA169" s="104" t="n">
        <v>0.29</v>
      </c>
      <c r="BB169" s="104" t="n">
        <v>0.18</v>
      </c>
      <c r="BC169" s="103" t="n">
        <v>0.37</v>
      </c>
      <c r="BD169" s="103" t="inlineStr">
        <is>
          <t>Distress</t>
        </is>
      </c>
      <c r="BE169" s="104" t="n">
        <v>0.03</v>
      </c>
      <c r="BF169" s="104" t="n">
        <v>1</v>
      </c>
      <c r="BG169" s="104" t="n">
        <v>0.74</v>
      </c>
      <c r="BH169" s="104" t="n">
        <v>1.2</v>
      </c>
      <c r="BI169" s="103" t="n">
        <v>0.77</v>
      </c>
      <c r="BJ169" s="103" t="inlineStr">
        <is>
          <t>Distress</t>
        </is>
      </c>
      <c r="BK169" s="103" t="n">
        <v>1</v>
      </c>
      <c r="BL169" s="103" t="n">
        <v>1</v>
      </c>
      <c r="BM169" s="103" t="n">
        <v>1</v>
      </c>
      <c r="BN169" s="103" t="n">
        <v>1</v>
      </c>
      <c r="BO169" s="103" t="n">
        <v>1</v>
      </c>
      <c r="BP169" s="103" t="n">
        <v>1</v>
      </c>
      <c r="BQ169" s="103" t="n">
        <v>0</v>
      </c>
      <c r="BR169" s="103" t="n">
        <v>1</v>
      </c>
      <c r="BS169" s="103" t="n">
        <v>0</v>
      </c>
      <c r="BT169" s="103" t="n">
        <v>7</v>
      </c>
      <c r="BU169" s="103" t="inlineStr">
        <is>
          <t>Strong</t>
        </is>
      </c>
      <c r="BV169" s="104" t="n">
        <v>0.86</v>
      </c>
      <c r="BW169" s="104" t="n">
        <v>0.05</v>
      </c>
      <c r="BX169" s="104" t="n">
        <v>0.99</v>
      </c>
      <c r="BY169" s="104" t="n">
        <v>1.09</v>
      </c>
      <c r="BZ169" s="104" t="n">
        <v>1.03</v>
      </c>
      <c r="CA169" s="113" t="inlineStr">
        <is>
          <t>N/A</t>
        </is>
      </c>
      <c r="CB169" s="104" t="n">
        <v>1</v>
      </c>
      <c r="CC169" s="104" t="n">
        <v>-0.04</v>
      </c>
      <c r="CD169" s="103" t="n">
        <v>-3.05</v>
      </c>
      <c r="CE169" s="103" t="inlineStr">
        <is>
          <t>Lower Risk</t>
        </is>
      </c>
      <c r="CF169" s="104" t="n">
        <v>6.4</v>
      </c>
      <c r="CG169" s="104" t="n">
        <v>52.63</v>
      </c>
      <c r="CH169" s="103" t="n">
        <v>0</v>
      </c>
      <c r="CI169" s="103" t="inlineStr">
        <is>
          <t>CLEAR</t>
        </is>
      </c>
    </row>
    <row r="170" ht="17" customHeight="1">
      <c r="A170" s="107" t="inlineStr">
        <is>
          <t>RH</t>
        </is>
      </c>
      <c r="B170" s="107" t="inlineStr">
        <is>
          <t>RH</t>
        </is>
      </c>
      <c r="C170" s="108" t="n">
        <v>177056000</v>
      </c>
      <c r="D170" s="109" t="n">
        <v>0.32</v>
      </c>
      <c r="E170" s="109" t="n">
        <v>0.06</v>
      </c>
      <c r="F170" s="109" t="n">
        <v>0.1</v>
      </c>
      <c r="G170" s="109" t="n">
        <v>0.03</v>
      </c>
      <c r="H170" s="109" t="n">
        <v>0.02</v>
      </c>
      <c r="I170" s="109" t="n">
        <v>2.06</v>
      </c>
      <c r="J170" s="109" t="n">
        <v>0.1</v>
      </c>
      <c r="K170" s="109" t="n">
        <v>1.27</v>
      </c>
      <c r="L170" s="109" t="n">
        <v>1.48</v>
      </c>
      <c r="M170" s="109" t="n">
        <v>0.25</v>
      </c>
      <c r="N170" s="108" t="n">
        <v>0.21</v>
      </c>
      <c r="O170" s="108" t="n">
        <v>1.19</v>
      </c>
      <c r="P170" s="108" t="n">
        <v>1.43</v>
      </c>
      <c r="Q170" s="108" t="n">
        <v>1.19</v>
      </c>
      <c r="R170" s="108" t="n">
        <v>0.04</v>
      </c>
      <c r="S170" s="108" t="n">
        <v>0.99</v>
      </c>
      <c r="T170" s="108" t="n">
        <v>1.04</v>
      </c>
      <c r="U170" s="108" t="n">
        <v>0.89</v>
      </c>
      <c r="V170" s="108" t="n">
        <v>0.21</v>
      </c>
      <c r="W170" s="108" t="n">
        <v>3.62</v>
      </c>
      <c r="X170" s="109" t="n">
        <v>0.21</v>
      </c>
      <c r="Y170" s="111" t="inlineStr">
        <is>
          <t>N/A</t>
        </is>
      </c>
      <c r="Z170" s="109" t="n">
        <v>1.63</v>
      </c>
      <c r="AA170" s="109" t="n">
        <v>0.25</v>
      </c>
      <c r="AB170" s="109" t="n">
        <v>0.72</v>
      </c>
      <c r="AC170" s="108" t="n">
        <v>-0.07000000000000001</v>
      </c>
      <c r="AD170" s="108" t="n">
        <v>-0.07000000000000001</v>
      </c>
      <c r="AE170" s="108" t="n">
        <v>0.04</v>
      </c>
      <c r="AF170" s="108" t="n">
        <v>-0.08</v>
      </c>
      <c r="AG170" s="108" t="n">
        <v>0.08</v>
      </c>
      <c r="AH170" s="108" t="n">
        <v>0.01</v>
      </c>
      <c r="AI170" s="108" t="n">
        <v>0.25</v>
      </c>
      <c r="AJ170" s="108" t="n">
        <v>0.45</v>
      </c>
      <c r="AK170" s="112" t="inlineStr">
        <is>
          <t>Distress</t>
        </is>
      </c>
      <c r="AL170" s="108" t="n">
        <v>0.04</v>
      </c>
      <c r="AM170" s="108" t="n">
        <v>-0.08</v>
      </c>
      <c r="AN170" s="108" t="n">
        <v>0.08</v>
      </c>
      <c r="AO170" s="108" t="n">
        <v>0.01</v>
      </c>
      <c r="AP170" s="108" t="n">
        <v>0.25</v>
      </c>
      <c r="AQ170" s="107" t="n">
        <v>0.46</v>
      </c>
      <c r="AR170" s="107" t="inlineStr">
        <is>
          <t>Distress</t>
        </is>
      </c>
      <c r="AS170" s="108" t="n">
        <v>0.04</v>
      </c>
      <c r="AT170" s="108" t="n">
        <v>-0.08</v>
      </c>
      <c r="AU170" s="108" t="n">
        <v>0.08</v>
      </c>
      <c r="AV170" s="108" t="n">
        <v>0.01</v>
      </c>
      <c r="AW170" s="107" t="n">
        <v>0.53</v>
      </c>
      <c r="AX170" s="107" t="inlineStr">
        <is>
          <t>Distress</t>
        </is>
      </c>
      <c r="AY170" s="108" t="n">
        <v>0.04</v>
      </c>
      <c r="AZ170" s="108" t="n">
        <v>0.08</v>
      </c>
      <c r="BA170" s="108" t="n">
        <v>0.08</v>
      </c>
      <c r="BB170" s="108" t="n">
        <v>0.25</v>
      </c>
      <c r="BC170" s="107" t="n">
        <v>0.44</v>
      </c>
      <c r="BD170" s="107" t="inlineStr">
        <is>
          <t>Distress</t>
        </is>
      </c>
      <c r="BE170" s="108" t="n">
        <v>0.03</v>
      </c>
      <c r="BF170" s="108" t="n">
        <v>0.99</v>
      </c>
      <c r="BG170" s="108" t="n">
        <v>1.19</v>
      </c>
      <c r="BH170" s="108" t="n">
        <v>1.16</v>
      </c>
      <c r="BI170" s="107" t="n">
        <v>0.76</v>
      </c>
      <c r="BJ170" s="107" t="inlineStr">
        <is>
          <t>Distress</t>
        </is>
      </c>
      <c r="BK170" s="107" t="n">
        <v>1</v>
      </c>
      <c r="BL170" s="107" t="n">
        <v>1</v>
      </c>
      <c r="BM170" s="107" t="n">
        <v>1</v>
      </c>
      <c r="BN170" s="107" t="n">
        <v>1</v>
      </c>
      <c r="BO170" s="107" t="n">
        <v>1</v>
      </c>
      <c r="BP170" s="107" t="n">
        <v>0</v>
      </c>
      <c r="BQ170" s="107" t="n">
        <v>0</v>
      </c>
      <c r="BR170" s="107" t="n">
        <v>0</v>
      </c>
      <c r="BS170" s="107" t="n">
        <v>1</v>
      </c>
      <c r="BT170" s="107" t="n">
        <v>6</v>
      </c>
      <c r="BU170" s="107" t="inlineStr">
        <is>
          <t>Mixed</t>
        </is>
      </c>
      <c r="BV170" s="108" t="n">
        <v>0.8</v>
      </c>
      <c r="BW170" s="108" t="n">
        <v>1.16</v>
      </c>
      <c r="BX170" s="108" t="n">
        <v>1.07</v>
      </c>
      <c r="BY170" s="108" t="n">
        <v>1.25</v>
      </c>
      <c r="BZ170" s="108" t="n">
        <v>1</v>
      </c>
      <c r="CA170" s="108" t="n">
        <v>0.83</v>
      </c>
      <c r="CB170" s="108" t="n">
        <v>0.95</v>
      </c>
      <c r="CC170" s="108" t="n">
        <v>-0.07000000000000001</v>
      </c>
      <c r="CD170" s="107" t="n">
        <v>-2.6</v>
      </c>
      <c r="CE170" s="107" t="inlineStr">
        <is>
          <t>Lower Risk</t>
        </is>
      </c>
      <c r="CF170" s="108" t="n">
        <v>0.02</v>
      </c>
      <c r="CG170" s="108" t="n">
        <v>48.44</v>
      </c>
      <c r="CH170" s="107" t="n">
        <v>0</v>
      </c>
      <c r="CI170" s="107" t="inlineStr">
        <is>
          <t>CLEAR</t>
        </is>
      </c>
    </row>
    <row r="171" ht="17" customHeight="1">
      <c r="A171" s="103" t="inlineStr">
        <is>
          <t>ATR</t>
        </is>
      </c>
      <c r="B171" s="103" t="inlineStr">
        <is>
          <t>AptarGroup, Inc</t>
        </is>
      </c>
      <c r="C171" s="104" t="n">
        <v>727118000</v>
      </c>
      <c r="D171" s="105" t="n">
        <v>0.13</v>
      </c>
      <c r="E171" s="105" t="n">
        <v>0.13</v>
      </c>
      <c r="F171" s="105" t="n">
        <v>0.1</v>
      </c>
      <c r="G171" s="105" t="n">
        <v>0.07000000000000001</v>
      </c>
      <c r="H171" s="105" t="n">
        <v>0.08</v>
      </c>
      <c r="I171" s="105" t="n">
        <v>0.15</v>
      </c>
      <c r="J171" s="105" t="n">
        <v>0.12</v>
      </c>
      <c r="K171" s="105" t="n">
        <v>0.24</v>
      </c>
      <c r="L171" s="105" t="n">
        <v>0.06</v>
      </c>
      <c r="M171" s="105" t="n">
        <v>0.72</v>
      </c>
      <c r="N171" s="104" t="n">
        <v>0.8100000000000001</v>
      </c>
      <c r="O171" s="104" t="n">
        <v>1.62</v>
      </c>
      <c r="P171" s="104" t="n">
        <v>1.38</v>
      </c>
      <c r="Q171" s="104" t="n">
        <v>1.16</v>
      </c>
      <c r="R171" s="104" t="n">
        <v>0.35</v>
      </c>
      <c r="S171" s="104" t="n">
        <v>1</v>
      </c>
      <c r="T171" s="104" t="n">
        <v>1</v>
      </c>
      <c r="U171" s="104" t="n">
        <v>0.07000000000000001</v>
      </c>
      <c r="V171" s="104" t="n">
        <v>-0.08</v>
      </c>
      <c r="W171" s="104" t="n">
        <v>1.45</v>
      </c>
      <c r="X171" s="105" t="n">
        <v>0.08</v>
      </c>
      <c r="Y171" s="105" t="n">
        <v>0.03</v>
      </c>
      <c r="Z171" s="105" t="n">
        <v>12.4</v>
      </c>
      <c r="AA171" s="105" t="n">
        <v>0.05</v>
      </c>
      <c r="AB171" s="105" t="n">
        <v>0.05</v>
      </c>
      <c r="AC171" s="104" t="n">
        <v>-0.03</v>
      </c>
      <c r="AD171" s="104" t="n">
        <v>-0.03</v>
      </c>
      <c r="AE171" s="104" t="n">
        <v>0.14</v>
      </c>
      <c r="AF171" s="104" t="n">
        <v>0.5</v>
      </c>
      <c r="AG171" s="104" t="n">
        <v>0.1</v>
      </c>
      <c r="AH171" s="104" t="n">
        <v>0.51</v>
      </c>
      <c r="AI171" s="104" t="n">
        <v>0.72</v>
      </c>
      <c r="AJ171" s="104" t="n">
        <v>2.21</v>
      </c>
      <c r="AK171" s="106" t="inlineStr">
        <is>
          <t>Grey</t>
        </is>
      </c>
      <c r="AL171" s="104" t="n">
        <v>0.14</v>
      </c>
      <c r="AM171" s="104" t="n">
        <v>0.5</v>
      </c>
      <c r="AN171" s="104" t="n">
        <v>0.1</v>
      </c>
      <c r="AO171" s="104" t="n">
        <v>0.51</v>
      </c>
      <c r="AP171" s="104" t="n">
        <v>0.72</v>
      </c>
      <c r="AQ171" s="103" t="n">
        <v>1.75</v>
      </c>
      <c r="AR171" s="103" t="inlineStr">
        <is>
          <t>Grey</t>
        </is>
      </c>
      <c r="AS171" s="104" t="n">
        <v>0.14</v>
      </c>
      <c r="AT171" s="104" t="n">
        <v>0.5</v>
      </c>
      <c r="AU171" s="104" t="n">
        <v>0.1</v>
      </c>
      <c r="AV171" s="104" t="n">
        <v>0.51</v>
      </c>
      <c r="AW171" s="103" t="n">
        <v>3.72</v>
      </c>
      <c r="AX171" s="103" t="inlineStr">
        <is>
          <t>Safe</t>
        </is>
      </c>
      <c r="AY171" s="104" t="n">
        <v>0.14</v>
      </c>
      <c r="AZ171" s="104" t="n">
        <v>0.1</v>
      </c>
      <c r="BA171" s="104" t="n">
        <v>0.42</v>
      </c>
      <c r="BB171" s="104" t="n">
        <v>0.72</v>
      </c>
      <c r="BC171" s="103" t="n">
        <v>1</v>
      </c>
      <c r="BD171" s="103" t="inlineStr">
        <is>
          <t>Healthy</t>
        </is>
      </c>
      <c r="BE171" s="104" t="n">
        <v>0.07000000000000001</v>
      </c>
      <c r="BF171" s="104" t="n">
        <v>1</v>
      </c>
      <c r="BG171" s="104" t="n">
        <v>1.62</v>
      </c>
      <c r="BH171" s="104" t="n">
        <v>1.01</v>
      </c>
      <c r="BI171" s="103" t="n">
        <v>0.73</v>
      </c>
      <c r="BJ171" s="103" t="inlineStr">
        <is>
          <t>Distress</t>
        </is>
      </c>
      <c r="BK171" s="103" t="n">
        <v>1</v>
      </c>
      <c r="BL171" s="103" t="n">
        <v>1</v>
      </c>
      <c r="BM171" s="103" t="n">
        <v>0</v>
      </c>
      <c r="BN171" s="103" t="n">
        <v>1</v>
      </c>
      <c r="BO171" s="103" t="n">
        <v>0</v>
      </c>
      <c r="BP171" s="103" t="n">
        <v>1</v>
      </c>
      <c r="BQ171" s="103" t="n">
        <v>0</v>
      </c>
      <c r="BR171" s="103" t="n">
        <v>1</v>
      </c>
      <c r="BS171" s="103" t="n">
        <v>0</v>
      </c>
      <c r="BT171" s="103" t="n">
        <v>5</v>
      </c>
      <c r="BU171" s="103" t="inlineStr">
        <is>
          <t>Mixed</t>
        </is>
      </c>
      <c r="BV171" s="104" t="n">
        <v>0.92</v>
      </c>
      <c r="BW171" s="104" t="n">
        <v>0.27</v>
      </c>
      <c r="BX171" s="104" t="n">
        <v>0.9399999999999999</v>
      </c>
      <c r="BY171" s="104" t="n">
        <v>1.05</v>
      </c>
      <c r="BZ171" s="104" t="n">
        <v>1.05</v>
      </c>
      <c r="CA171" s="113" t="inlineStr">
        <is>
          <t>N/A</t>
        </is>
      </c>
      <c r="CB171" s="104" t="n">
        <v>1</v>
      </c>
      <c r="CC171" s="104" t="n">
        <v>-0.03</v>
      </c>
      <c r="CD171" s="103" t="n">
        <v>-2.89</v>
      </c>
      <c r="CE171" s="103" t="inlineStr">
        <is>
          <t>Lower Risk</t>
        </is>
      </c>
      <c r="CF171" s="104" t="n">
        <v>-0.28</v>
      </c>
      <c r="CG171" s="104" t="n">
        <v>49.08</v>
      </c>
      <c r="CH171" s="103" t="n">
        <v>0</v>
      </c>
      <c r="CI171" s="103" t="inlineStr">
        <is>
          <t>CLEAR</t>
        </is>
      </c>
    </row>
    <row r="172" ht="17" customHeight="1">
      <c r="A172" s="107" t="inlineStr">
        <is>
          <t>VLO</t>
        </is>
      </c>
      <c r="B172" s="107" t="inlineStr">
        <is>
          <t>VALERO ENERGY CORP/TX</t>
        </is>
      </c>
      <c r="C172" s="108" t="n">
        <v>9101000000</v>
      </c>
      <c r="D172" s="109" t="n">
        <v>0.03</v>
      </c>
      <c r="E172" s="109" t="n">
        <v>0.02</v>
      </c>
      <c r="F172" s="109" t="n">
        <v>0.02</v>
      </c>
      <c r="G172" s="109" t="n">
        <v>0.04</v>
      </c>
      <c r="H172" s="109" t="n">
        <v>0.05</v>
      </c>
      <c r="I172" s="109" t="n">
        <v>0.1</v>
      </c>
      <c r="J172" s="109" t="n">
        <v>0.07000000000000001</v>
      </c>
      <c r="K172" s="109" t="n">
        <v>-0</v>
      </c>
      <c r="L172" s="109" t="n">
        <v>-0</v>
      </c>
      <c r="M172" s="109" t="n">
        <v>2.12</v>
      </c>
      <c r="N172" s="108" t="n">
        <v>2.16</v>
      </c>
      <c r="O172" s="108" t="n">
        <v>1.65</v>
      </c>
      <c r="P172" s="108" t="n">
        <v>1.53</v>
      </c>
      <c r="Q172" s="108" t="n">
        <v>1.11</v>
      </c>
      <c r="R172" s="108" t="n">
        <v>0.33</v>
      </c>
      <c r="S172" s="108" t="n">
        <v>1</v>
      </c>
      <c r="T172" s="108" t="n">
        <v>1</v>
      </c>
      <c r="U172" s="108" t="n">
        <v>0.39</v>
      </c>
      <c r="V172" s="108" t="n">
        <v>0.19</v>
      </c>
      <c r="W172" s="108" t="n">
        <v>2.48</v>
      </c>
      <c r="X172" s="109" t="n">
        <v>0.04</v>
      </c>
      <c r="Y172" s="109" t="n">
        <v>0</v>
      </c>
      <c r="Z172" s="109" t="n">
        <v>5.72</v>
      </c>
      <c r="AA172" s="109" t="n">
        <v>-0.06</v>
      </c>
      <c r="AB172" s="109" t="n">
        <v>-0.15</v>
      </c>
      <c r="AC172" s="108" t="n">
        <v>-0.06</v>
      </c>
      <c r="AD172" s="108" t="n">
        <v>-0.06</v>
      </c>
      <c r="AE172" s="108" t="n">
        <v>0.16</v>
      </c>
      <c r="AF172" s="108" t="n">
        <v>0.83</v>
      </c>
      <c r="AG172" s="108" t="n">
        <v>0.05</v>
      </c>
      <c r="AH172" s="108" t="n">
        <v>0.41</v>
      </c>
      <c r="AI172" s="108" t="n">
        <v>2.12</v>
      </c>
      <c r="AJ172" s="108" t="n">
        <v>3.89</v>
      </c>
      <c r="AK172" s="110" t="inlineStr">
        <is>
          <t>Safe</t>
        </is>
      </c>
      <c r="AL172" s="108" t="n">
        <v>0.16</v>
      </c>
      <c r="AM172" s="108" t="n">
        <v>0.83</v>
      </c>
      <c r="AN172" s="108" t="n">
        <v>0.05</v>
      </c>
      <c r="AO172" s="108" t="n">
        <v>0.41</v>
      </c>
      <c r="AP172" s="108" t="n">
        <v>2.12</v>
      </c>
      <c r="AQ172" s="107" t="n">
        <v>3.27</v>
      </c>
      <c r="AR172" s="107" t="inlineStr">
        <is>
          <t>Safe</t>
        </is>
      </c>
      <c r="AS172" s="108" t="n">
        <v>0.16</v>
      </c>
      <c r="AT172" s="108" t="n">
        <v>0.83</v>
      </c>
      <c r="AU172" s="108" t="n">
        <v>0.05</v>
      </c>
      <c r="AV172" s="108" t="n">
        <v>0.41</v>
      </c>
      <c r="AW172" s="107" t="n">
        <v>4.52</v>
      </c>
      <c r="AX172" s="107" t="inlineStr">
        <is>
          <t>Safe</t>
        </is>
      </c>
      <c r="AY172" s="108" t="n">
        <v>0.16</v>
      </c>
      <c r="AZ172" s="108" t="n">
        <v>0.05</v>
      </c>
      <c r="BA172" s="108" t="n">
        <v>0.21</v>
      </c>
      <c r="BB172" s="108" t="n">
        <v>2.12</v>
      </c>
      <c r="BC172" s="107" t="n">
        <v>1.32</v>
      </c>
      <c r="BD172" s="107" t="inlineStr">
        <is>
          <t>Healthy</t>
        </is>
      </c>
      <c r="BE172" s="108" t="n">
        <v>0.04</v>
      </c>
      <c r="BF172" s="108" t="n">
        <v>1</v>
      </c>
      <c r="BG172" s="108" t="n">
        <v>1.65</v>
      </c>
      <c r="BH172" s="108" t="n">
        <v>1.17</v>
      </c>
      <c r="BI172" s="107" t="n">
        <v>0.76</v>
      </c>
      <c r="BJ172" s="107" t="inlineStr">
        <is>
          <t>Distress</t>
        </is>
      </c>
      <c r="BK172" s="107" t="n">
        <v>1</v>
      </c>
      <c r="BL172" s="107" t="n">
        <v>1</v>
      </c>
      <c r="BM172" s="107" t="n">
        <v>0</v>
      </c>
      <c r="BN172" s="107" t="n">
        <v>1</v>
      </c>
      <c r="BO172" s="107" t="n">
        <v>0</v>
      </c>
      <c r="BP172" s="107" t="n">
        <v>1</v>
      </c>
      <c r="BQ172" s="107" t="n">
        <v>1</v>
      </c>
      <c r="BR172" s="107" t="n">
        <v>1</v>
      </c>
      <c r="BS172" s="107" t="n">
        <v>0</v>
      </c>
      <c r="BT172" s="107" t="n">
        <v>6</v>
      </c>
      <c r="BU172" s="107" t="inlineStr">
        <is>
          <t>Mixed</t>
        </is>
      </c>
      <c r="BV172" s="108" t="n">
        <v>1</v>
      </c>
      <c r="BW172" s="108" t="n">
        <v>1.63</v>
      </c>
      <c r="BX172" s="108" t="n">
        <v>0.76</v>
      </c>
      <c r="BY172" s="108" t="n">
        <v>0.9399999999999999</v>
      </c>
      <c r="BZ172" s="108" t="n">
        <v>0.73</v>
      </c>
      <c r="CA172" s="108" t="n">
        <v>1.15</v>
      </c>
      <c r="CB172" s="108" t="n">
        <v>1</v>
      </c>
      <c r="CC172" s="108" t="n">
        <v>-0.06</v>
      </c>
      <c r="CD172" s="107" t="n">
        <v>-2.63</v>
      </c>
      <c r="CE172" s="107" t="inlineStr">
        <is>
          <t>Lower Risk</t>
        </is>
      </c>
      <c r="CF172" s="108" t="n">
        <v>1.39</v>
      </c>
      <c r="CG172" s="108" t="n">
        <v>58.27</v>
      </c>
      <c r="CH172" s="107" t="n">
        <v>0</v>
      </c>
      <c r="CI172" s="107" t="inlineStr">
        <is>
          <t>CLEAR</t>
        </is>
      </c>
    </row>
    <row r="173" ht="17" customHeight="1">
      <c r="A173" s="103" t="inlineStr">
        <is>
          <t>NUE</t>
        </is>
      </c>
      <c r="B173" s="103" t="inlineStr">
        <is>
          <t>NUCOR CORPORATION</t>
        </is>
      </c>
      <c r="C173" s="104" t="n">
        <v>7761000000</v>
      </c>
      <c r="D173" s="105" t="n">
        <v>0.1</v>
      </c>
      <c r="E173" s="105" t="n">
        <v>0.1</v>
      </c>
      <c r="F173" s="105" t="n">
        <v>0.07000000000000001</v>
      </c>
      <c r="G173" s="105" t="n">
        <v>0.05</v>
      </c>
      <c r="H173" s="105" t="n">
        <v>0.06</v>
      </c>
      <c r="I173" s="105" t="n">
        <v>0.08</v>
      </c>
      <c r="J173" s="105" t="n">
        <v>0.08</v>
      </c>
      <c r="K173" s="105" t="n">
        <v>0.03</v>
      </c>
      <c r="L173" s="105" t="n">
        <v>0.02</v>
      </c>
      <c r="M173" s="105" t="n">
        <v>0.71</v>
      </c>
      <c r="N173" s="104" t="n">
        <v>0.91</v>
      </c>
      <c r="O173" s="104" t="n">
        <v>2.94</v>
      </c>
      <c r="P173" s="104" t="n">
        <v>2.51</v>
      </c>
      <c r="Q173" s="104" t="n">
        <v>1.57</v>
      </c>
      <c r="R173" s="104" t="n">
        <v>0.5600000000000001</v>
      </c>
      <c r="S173" s="104" t="n">
        <v>0.37</v>
      </c>
      <c r="T173" s="104" t="n">
        <v>0.37</v>
      </c>
      <c r="U173" s="104" t="n">
        <v>0.21</v>
      </c>
      <c r="V173" s="104" t="n">
        <v>0.11</v>
      </c>
      <c r="W173" s="104" t="n">
        <v>1.85</v>
      </c>
      <c r="X173" s="105" t="n">
        <v>-0.01</v>
      </c>
      <c r="Y173" s="105" t="n">
        <v>0</v>
      </c>
      <c r="Z173" s="105" t="n">
        <v>15.11</v>
      </c>
      <c r="AA173" s="105" t="n">
        <v>-0.18</v>
      </c>
      <c r="AB173" s="105" t="n">
        <v>-0.14</v>
      </c>
      <c r="AC173" s="104" t="n">
        <v>-0.04</v>
      </c>
      <c r="AD173" s="104" t="n">
        <v>-0.04</v>
      </c>
      <c r="AE173" s="104" t="n">
        <v>0.22</v>
      </c>
      <c r="AF173" s="104" t="n">
        <v>0.9</v>
      </c>
      <c r="AG173" s="104" t="n">
        <v>0.07000000000000001</v>
      </c>
      <c r="AH173" s="104" t="n">
        <v>1.61</v>
      </c>
      <c r="AI173" s="104" t="n">
        <v>0.71</v>
      </c>
      <c r="AJ173" s="104" t="n">
        <v>3.44</v>
      </c>
      <c r="AK173" s="110" t="inlineStr">
        <is>
          <t>Safe</t>
        </is>
      </c>
      <c r="AL173" s="104" t="n">
        <v>0.22</v>
      </c>
      <c r="AM173" s="104" t="n">
        <v>0.9</v>
      </c>
      <c r="AN173" s="104" t="n">
        <v>0.07000000000000001</v>
      </c>
      <c r="AO173" s="104" t="n">
        <v>1.61</v>
      </c>
      <c r="AP173" s="104" t="n">
        <v>0.71</v>
      </c>
      <c r="AQ173" s="103" t="n">
        <v>2.54</v>
      </c>
      <c r="AR173" s="103" t="inlineStr">
        <is>
          <t>Grey</t>
        </is>
      </c>
      <c r="AS173" s="104" t="n">
        <v>0.22</v>
      </c>
      <c r="AT173" s="104" t="n">
        <v>0.9</v>
      </c>
      <c r="AU173" s="104" t="n">
        <v>0.07000000000000001</v>
      </c>
      <c r="AV173" s="104" t="n">
        <v>1.61</v>
      </c>
      <c r="AW173" s="103" t="n">
        <v>6.56</v>
      </c>
      <c r="AX173" s="103" t="inlineStr">
        <is>
          <t>Safe</t>
        </is>
      </c>
      <c r="AY173" s="104" t="n">
        <v>0.22</v>
      </c>
      <c r="AZ173" s="104" t="n">
        <v>0.07000000000000001</v>
      </c>
      <c r="BA173" s="104" t="n">
        <v>0.64</v>
      </c>
      <c r="BB173" s="104" t="n">
        <v>0.71</v>
      </c>
      <c r="BC173" s="103" t="n">
        <v>1.16</v>
      </c>
      <c r="BD173" s="103" t="inlineStr">
        <is>
          <t>Healthy</t>
        </is>
      </c>
      <c r="BE173" s="104" t="n">
        <v>0.05</v>
      </c>
      <c r="BF173" s="104" t="n">
        <v>0.37</v>
      </c>
      <c r="BG173" s="104" t="n">
        <v>2.94</v>
      </c>
      <c r="BH173" s="104" t="n">
        <v>-2.45</v>
      </c>
      <c r="BI173" s="103" t="n">
        <v>0.08</v>
      </c>
      <c r="BJ173" s="103" t="inlineStr">
        <is>
          <t>Healthy</t>
        </is>
      </c>
      <c r="BK173" s="103" t="n">
        <v>1</v>
      </c>
      <c r="BL173" s="103" t="n">
        <v>1</v>
      </c>
      <c r="BM173" s="103" t="n">
        <v>0</v>
      </c>
      <c r="BN173" s="103" t="n">
        <v>1</v>
      </c>
      <c r="BO173" s="103" t="n">
        <v>1</v>
      </c>
      <c r="BP173" s="103" t="n">
        <v>1</v>
      </c>
      <c r="BQ173" s="103" t="n">
        <v>1</v>
      </c>
      <c r="BR173" s="103" t="n">
        <v>1</v>
      </c>
      <c r="BS173" s="103" t="n">
        <v>0</v>
      </c>
      <c r="BT173" s="103" t="n">
        <v>7</v>
      </c>
      <c r="BU173" s="103" t="inlineStr">
        <is>
          <t>Strong</t>
        </is>
      </c>
      <c r="BV173" s="104" t="n">
        <v>1.42</v>
      </c>
      <c r="BW173" s="104" t="n">
        <v>0.99</v>
      </c>
      <c r="BX173" s="104" t="n">
        <v>0.9399999999999999</v>
      </c>
      <c r="BY173" s="104" t="n">
        <v>0.82</v>
      </c>
      <c r="BZ173" s="104" t="n">
        <v>1.03</v>
      </c>
      <c r="CA173" s="104" t="n">
        <v>1.33</v>
      </c>
      <c r="CB173" s="104" t="n">
        <v>1</v>
      </c>
      <c r="CC173" s="104" t="n">
        <v>-0.04</v>
      </c>
      <c r="CD173" s="103" t="n">
        <v>-2.54</v>
      </c>
      <c r="CE173" s="103" t="inlineStr">
        <is>
          <t>Lower Risk</t>
        </is>
      </c>
      <c r="CF173" s="104" t="n">
        <v>0.59</v>
      </c>
      <c r="CG173" s="104" t="n">
        <v>61.38</v>
      </c>
      <c r="CH173" s="103" t="n">
        <v>0</v>
      </c>
      <c r="CI173" s="103" t="inlineStr">
        <is>
          <t>CLEAR</t>
        </is>
      </c>
    </row>
    <row r="174" ht="17" customHeight="1">
      <c r="A174" s="107" t="inlineStr">
        <is>
          <t>MCO</t>
        </is>
      </c>
      <c r="B174" s="107" t="inlineStr">
        <is>
          <t>Moody’s Corporation</t>
        </is>
      </c>
      <c r="C174" s="108" t="n">
        <v>2205000000</v>
      </c>
      <c r="D174" s="109" t="n">
        <v>0.8</v>
      </c>
      <c r="E174" s="109" t="n">
        <v>0.74</v>
      </c>
      <c r="F174" s="109" t="n">
        <v>0.58</v>
      </c>
      <c r="G174" s="109" t="n">
        <v>0.16</v>
      </c>
      <c r="H174" s="109" t="n">
        <v>0.13</v>
      </c>
      <c r="I174" s="109" t="n">
        <v>0.61</v>
      </c>
      <c r="J174" s="109" t="n">
        <v>0.26</v>
      </c>
      <c r="K174" s="109" t="n">
        <v>0.53</v>
      </c>
      <c r="L174" s="109" t="n">
        <v>-0.67</v>
      </c>
      <c r="M174" s="109" t="n">
        <v>0.27</v>
      </c>
      <c r="N174" s="108" t="n">
        <v>0.08</v>
      </c>
      <c r="O174" s="108" t="n">
        <v>1.74</v>
      </c>
      <c r="P174" s="108" t="n">
        <v>1.47</v>
      </c>
      <c r="Q174" s="108" t="n">
        <v>1.74</v>
      </c>
      <c r="R174" s="108" t="n">
        <v>0.8</v>
      </c>
      <c r="S174" s="108" t="n">
        <v>0.73</v>
      </c>
      <c r="T174" s="108" t="n">
        <v>0.76</v>
      </c>
      <c r="U174" s="108" t="n">
        <v>1.83</v>
      </c>
      <c r="V174" s="108" t="n">
        <v>1.24</v>
      </c>
      <c r="W174" s="108" t="n">
        <v>1.18</v>
      </c>
      <c r="X174" s="109" t="n">
        <v>0.61</v>
      </c>
      <c r="Y174" s="109" t="n">
        <v>0.01</v>
      </c>
      <c r="Z174" s="109" t="n">
        <v>20.69</v>
      </c>
      <c r="AA174" s="109" t="n">
        <v>2.61</v>
      </c>
      <c r="AB174" s="109" t="n">
        <v>0.19</v>
      </c>
      <c r="AC174" s="108" t="n">
        <v>-0.03</v>
      </c>
      <c r="AD174" s="108" t="n">
        <v>-0.03</v>
      </c>
      <c r="AE174" s="108" t="n">
        <v>0.14</v>
      </c>
      <c r="AF174" s="108" t="n">
        <v>1.13</v>
      </c>
      <c r="AG174" s="108" t="n">
        <v>0.21</v>
      </c>
      <c r="AH174" s="108" t="n">
        <v>0.35</v>
      </c>
      <c r="AI174" s="108" t="n">
        <v>0.27</v>
      </c>
      <c r="AJ174" s="108" t="n">
        <v>2.92</v>
      </c>
      <c r="AK174" s="106" t="inlineStr">
        <is>
          <t>Grey</t>
        </is>
      </c>
      <c r="AL174" s="108" t="n">
        <v>0.14</v>
      </c>
      <c r="AM174" s="108" t="n">
        <v>1.13</v>
      </c>
      <c r="AN174" s="108" t="n">
        <v>0.21</v>
      </c>
      <c r="AO174" s="108" t="n">
        <v>0.35</v>
      </c>
      <c r="AP174" s="108" t="n">
        <v>0.27</v>
      </c>
      <c r="AQ174" s="107" t="n">
        <v>2.12</v>
      </c>
      <c r="AR174" s="107" t="inlineStr">
        <is>
          <t>Grey</t>
        </is>
      </c>
      <c r="AS174" s="108" t="n">
        <v>0.14</v>
      </c>
      <c r="AT174" s="108" t="n">
        <v>1.13</v>
      </c>
      <c r="AU174" s="108" t="n">
        <v>0.21</v>
      </c>
      <c r="AV174" s="108" t="n">
        <v>0.35</v>
      </c>
      <c r="AW174" s="107" t="n">
        <v>6.38</v>
      </c>
      <c r="AX174" s="107" t="inlineStr">
        <is>
          <t>Safe</t>
        </is>
      </c>
      <c r="AY174" s="108" t="n">
        <v>0.14</v>
      </c>
      <c r="AZ174" s="108" t="n">
        <v>0.21</v>
      </c>
      <c r="BA174" s="108" t="n">
        <v>1.05</v>
      </c>
      <c r="BB174" s="108" t="n">
        <v>0.27</v>
      </c>
      <c r="BC174" s="107" t="n">
        <v>1.59</v>
      </c>
      <c r="BD174" s="107" t="inlineStr">
        <is>
          <t>Healthy</t>
        </is>
      </c>
      <c r="BE174" s="108" t="n">
        <v>0.16</v>
      </c>
      <c r="BF174" s="108" t="n">
        <v>0.73</v>
      </c>
      <c r="BG174" s="108" t="n">
        <v>1.74</v>
      </c>
      <c r="BH174" s="108" t="n">
        <v>-0.86</v>
      </c>
      <c r="BI174" s="107" t="n">
        <v>0.3</v>
      </c>
      <c r="BJ174" s="107" t="inlineStr">
        <is>
          <t>Healthy</t>
        </is>
      </c>
      <c r="BK174" s="107" t="n">
        <v>1</v>
      </c>
      <c r="BL174" s="107" t="n">
        <v>1</v>
      </c>
      <c r="BM174" s="107" t="n">
        <v>1</v>
      </c>
      <c r="BN174" s="107" t="n">
        <v>1</v>
      </c>
      <c r="BO174" s="107" t="n">
        <v>1</v>
      </c>
      <c r="BP174" s="107" t="n">
        <v>1</v>
      </c>
      <c r="BQ174" s="107" t="n">
        <v>1</v>
      </c>
      <c r="BR174" s="107" t="n">
        <v>1</v>
      </c>
      <c r="BS174" s="107" t="n">
        <v>1</v>
      </c>
      <c r="BT174" s="107" t="n">
        <v>9</v>
      </c>
      <c r="BU174" s="107" t="inlineStr">
        <is>
          <t>Strong</t>
        </is>
      </c>
      <c r="BV174" s="108" t="n">
        <v>0.31</v>
      </c>
      <c r="BW174" s="108" t="n">
        <v>-1.26</v>
      </c>
      <c r="BX174" s="108" t="n">
        <v>1.02</v>
      </c>
      <c r="BY174" s="108" t="n">
        <v>3.61</v>
      </c>
      <c r="BZ174" s="108" t="n">
        <v>0.99</v>
      </c>
      <c r="CA174" s="108" t="n">
        <v>0.29</v>
      </c>
      <c r="CB174" s="108" t="n">
        <v>0.97</v>
      </c>
      <c r="CC174" s="108" t="n">
        <v>-0.03</v>
      </c>
      <c r="CD174" s="107" t="n">
        <v>-1.97</v>
      </c>
      <c r="CE174" s="107" t="inlineStr">
        <is>
          <t>Higher Risk</t>
        </is>
      </c>
      <c r="CF174" s="108" t="n">
        <v>1.32</v>
      </c>
      <c r="CG174" s="108" t="n">
        <v>60.94</v>
      </c>
      <c r="CH174" s="107" t="n">
        <v>20</v>
      </c>
      <c r="CI174" s="107" t="inlineStr">
        <is>
          <t>CLEAR</t>
        </is>
      </c>
    </row>
    <row r="175" ht="17" customHeight="1">
      <c r="A175" s="103" t="inlineStr">
        <is>
          <t>NVT</t>
        </is>
      </c>
      <c r="B175" s="103" t="inlineStr">
        <is>
          <t>nVent Electric plc</t>
        </is>
      </c>
      <c r="C175" s="104" t="n">
        <v>636100000</v>
      </c>
      <c r="D175" s="105" t="n">
        <v>0.16</v>
      </c>
      <c r="E175" s="105" t="n">
        <v>0.14</v>
      </c>
      <c r="F175" s="105" t="n">
        <v>0.18</v>
      </c>
      <c r="G175" s="105" t="n">
        <v>0.1</v>
      </c>
      <c r="H175" s="105" t="n">
        <v>0.05</v>
      </c>
      <c r="I175" s="105" t="n">
        <v>0.19</v>
      </c>
      <c r="J175" s="105" t="n">
        <v>0.11</v>
      </c>
      <c r="K175" s="105" t="n">
        <v>0.38</v>
      </c>
      <c r="L175" s="105" t="n">
        <v>0.4</v>
      </c>
      <c r="M175" s="105" t="n">
        <v>0.57</v>
      </c>
      <c r="N175" s="104" t="n">
        <v>0.45</v>
      </c>
      <c r="O175" s="104" t="n">
        <v>1.63</v>
      </c>
      <c r="P175" s="104" t="n">
        <v>1.73</v>
      </c>
      <c r="Q175" s="104" t="n">
        <v>1.16</v>
      </c>
      <c r="R175" s="104" t="n">
        <v>0.18</v>
      </c>
      <c r="S175" s="104" t="n">
        <v>0.46</v>
      </c>
      <c r="T175" s="104" t="n">
        <v>0.52</v>
      </c>
      <c r="U175" s="104" t="n">
        <v>0.42</v>
      </c>
      <c r="V175" s="104" t="n">
        <v>0.37</v>
      </c>
      <c r="W175" s="104" t="n">
        <v>0.66</v>
      </c>
      <c r="X175" s="105" t="n">
        <v>0.1</v>
      </c>
      <c r="Y175" s="105" t="n">
        <v>0.02</v>
      </c>
      <c r="Z175" s="105" t="n">
        <v>7.77</v>
      </c>
      <c r="AA175" s="105" t="n">
        <v>0.3</v>
      </c>
      <c r="AB175" s="105" t="n">
        <v>1.14</v>
      </c>
      <c r="AC175" s="104" t="n">
        <v>0.04</v>
      </c>
      <c r="AD175" s="104" t="n">
        <v>0.04</v>
      </c>
      <c r="AE175" s="104" t="n">
        <v>0.09</v>
      </c>
      <c r="AF175" s="104" t="n">
        <v>0.25</v>
      </c>
      <c r="AG175" s="104" t="n">
        <v>0.09</v>
      </c>
      <c r="AH175" s="104" t="n">
        <v>1.19</v>
      </c>
      <c r="AI175" s="104" t="n">
        <v>0.57</v>
      </c>
      <c r="AJ175" s="104" t="n">
        <v>2.04</v>
      </c>
      <c r="AK175" s="106" t="inlineStr">
        <is>
          <t>Grey</t>
        </is>
      </c>
      <c r="AL175" s="104" t="n">
        <v>0.09</v>
      </c>
      <c r="AM175" s="104" t="n">
        <v>0.25</v>
      </c>
      <c r="AN175" s="104" t="n">
        <v>0.09</v>
      </c>
      <c r="AO175" s="104" t="n">
        <v>1.19</v>
      </c>
      <c r="AP175" s="104" t="n">
        <v>0.57</v>
      </c>
      <c r="AQ175" s="103" t="n">
        <v>1.62</v>
      </c>
      <c r="AR175" s="103" t="inlineStr">
        <is>
          <t>Grey</t>
        </is>
      </c>
      <c r="AS175" s="104" t="n">
        <v>0.09</v>
      </c>
      <c r="AT175" s="104" t="n">
        <v>0.25</v>
      </c>
      <c r="AU175" s="104" t="n">
        <v>0.09</v>
      </c>
      <c r="AV175" s="104" t="n">
        <v>1.19</v>
      </c>
      <c r="AW175" s="103" t="n">
        <v>3.27</v>
      </c>
      <c r="AX175" s="103" t="inlineStr">
        <is>
          <t>Safe</t>
        </is>
      </c>
      <c r="AY175" s="104" t="n">
        <v>0.09</v>
      </c>
      <c r="AZ175" s="104" t="n">
        <v>0.09</v>
      </c>
      <c r="BA175" s="104" t="n">
        <v>0.55</v>
      </c>
      <c r="BB175" s="104" t="n">
        <v>0.57</v>
      </c>
      <c r="BC175" s="103" t="n">
        <v>0.96</v>
      </c>
      <c r="BD175" s="103" t="inlineStr">
        <is>
          <t>Healthy</t>
        </is>
      </c>
      <c r="BE175" s="104" t="n">
        <v>0.1</v>
      </c>
      <c r="BF175" s="104" t="n">
        <v>0.46</v>
      </c>
      <c r="BG175" s="104" t="n">
        <v>1.63</v>
      </c>
      <c r="BH175" s="104" t="n">
        <v>-2.21</v>
      </c>
      <c r="BI175" s="103" t="n">
        <v>0.1</v>
      </c>
      <c r="BJ175" s="103" t="inlineStr">
        <is>
          <t>Healthy</t>
        </is>
      </c>
      <c r="BK175" s="103" t="n">
        <v>1</v>
      </c>
      <c r="BL175" s="103" t="n">
        <v>1</v>
      </c>
      <c r="BM175" s="103" t="n">
        <v>1</v>
      </c>
      <c r="BN175" s="103" t="n">
        <v>0</v>
      </c>
      <c r="BO175" s="103" t="n">
        <v>1</v>
      </c>
      <c r="BP175" s="103" t="n">
        <v>0</v>
      </c>
      <c r="BQ175" s="103" t="n">
        <v>1</v>
      </c>
      <c r="BR175" s="103" t="n">
        <v>0</v>
      </c>
      <c r="BS175" s="103" t="n">
        <v>1</v>
      </c>
      <c r="BT175" s="103" t="n">
        <v>6</v>
      </c>
      <c r="BU175" s="103" t="inlineStr">
        <is>
          <t>Mixed</t>
        </is>
      </c>
      <c r="BV175" s="113" t="inlineStr">
        <is>
          <t>N/A</t>
        </is>
      </c>
      <c r="BW175" s="104" t="n">
        <v>1.07</v>
      </c>
      <c r="BX175" s="104" t="n">
        <v>0.9399999999999999</v>
      </c>
      <c r="BY175" s="104" t="n">
        <v>1.3</v>
      </c>
      <c r="BZ175" s="104" t="n">
        <v>1.05</v>
      </c>
      <c r="CA175" s="104" t="n">
        <v>0.97</v>
      </c>
      <c r="CB175" s="104" t="n">
        <v>0.88</v>
      </c>
      <c r="CC175" s="104" t="n">
        <v>0.04</v>
      </c>
      <c r="CD175" s="113" t="inlineStr">
        <is>
          <t>N/A</t>
        </is>
      </c>
      <c r="CE175" s="113" t="inlineStr">
        <is>
          <t>N/A</t>
        </is>
      </c>
      <c r="CF175" s="104" t="n">
        <v>2.05</v>
      </c>
      <c r="CG175" s="104" t="n">
        <v>53.78</v>
      </c>
      <c r="CH175" s="103" t="n">
        <v>0</v>
      </c>
      <c r="CI175" s="103" t="inlineStr">
        <is>
          <t>CLEAR</t>
        </is>
      </c>
    </row>
    <row r="176" ht="17" customHeight="1">
      <c r="A176" s="107" t="inlineStr">
        <is>
          <t>VRTX</t>
        </is>
      </c>
      <c r="B176" s="107" t="inlineStr">
        <is>
          <t>VERTEX PHARMACEUTICALS INC / MA</t>
        </is>
      </c>
      <c r="C176" s="108" t="n">
        <v>7339800000</v>
      </c>
      <c r="D176" s="109" t="n">
        <v>1.68</v>
      </c>
      <c r="E176" s="109" t="n">
        <v>1.87</v>
      </c>
      <c r="F176" s="109" t="n">
        <v>1.59</v>
      </c>
      <c r="G176" s="109" t="n">
        <v>0.15</v>
      </c>
      <c r="H176" s="109" t="n">
        <v>-0.02</v>
      </c>
      <c r="I176" s="109" t="n">
        <v>0.21</v>
      </c>
      <c r="J176" s="109" t="n">
        <v>0.19</v>
      </c>
      <c r="K176" s="109" t="n">
        <v>0.34</v>
      </c>
      <c r="L176" s="109" t="n">
        <v>-1.35</v>
      </c>
      <c r="M176" s="109" t="n">
        <v>0.1</v>
      </c>
      <c r="N176" s="108" t="n">
        <v>0.03</v>
      </c>
      <c r="O176" s="108" t="n">
        <v>2.9</v>
      </c>
      <c r="P176" s="108" t="n">
        <v>2.69</v>
      </c>
      <c r="Q176" s="108" t="n">
        <v>2.46</v>
      </c>
      <c r="R176" s="108" t="n">
        <v>1.32</v>
      </c>
      <c r="S176" s="108" t="n">
        <v>0.27</v>
      </c>
      <c r="T176" s="108" t="n">
        <v>0.27</v>
      </c>
      <c r="U176" s="111" t="inlineStr">
        <is>
          <t>N/A</t>
        </is>
      </c>
      <c r="V176" s="111" t="inlineStr">
        <is>
          <t>N/A</t>
        </is>
      </c>
      <c r="W176" s="108" t="n">
        <v>0.92</v>
      </c>
      <c r="X176" s="109" t="n">
        <v>1.28</v>
      </c>
      <c r="Y176" s="109" t="n">
        <v>1.23</v>
      </c>
      <c r="Z176" s="109" t="n">
        <v>71.77</v>
      </c>
      <c r="AA176" s="109" t="n">
        <v>2.82</v>
      </c>
      <c r="AB176" s="109" t="n">
        <v>-8.380000000000001</v>
      </c>
      <c r="AC176" s="108" t="n">
        <v>0.01</v>
      </c>
      <c r="AD176" s="108" t="n">
        <v>0.01</v>
      </c>
      <c r="AE176" s="108" t="n">
        <v>0.29</v>
      </c>
      <c r="AF176" s="108" t="n">
        <v>0.53</v>
      </c>
      <c r="AG176" s="108" t="n">
        <v>0.16</v>
      </c>
      <c r="AH176" s="108" t="n">
        <v>2.68</v>
      </c>
      <c r="AI176" s="108" t="n">
        <v>0.1</v>
      </c>
      <c r="AJ176" s="108" t="n">
        <v>3.32</v>
      </c>
      <c r="AK176" s="110" t="inlineStr">
        <is>
          <t>Safe</t>
        </is>
      </c>
      <c r="AL176" s="108" t="n">
        <v>0.29</v>
      </c>
      <c r="AM176" s="108" t="n">
        <v>0.53</v>
      </c>
      <c r="AN176" s="108" t="n">
        <v>0.16</v>
      </c>
      <c r="AO176" s="108" t="n">
        <v>2.68</v>
      </c>
      <c r="AP176" s="108" t="n">
        <v>0.1</v>
      </c>
      <c r="AQ176" s="107" t="n">
        <v>2.38</v>
      </c>
      <c r="AR176" s="107" t="inlineStr">
        <is>
          <t>Grey</t>
        </is>
      </c>
      <c r="AS176" s="108" t="n">
        <v>0.29</v>
      </c>
      <c r="AT176" s="108" t="n">
        <v>0.53</v>
      </c>
      <c r="AU176" s="108" t="n">
        <v>0.16</v>
      </c>
      <c r="AV176" s="108" t="n">
        <v>2.68</v>
      </c>
      <c r="AW176" s="107" t="n">
        <v>7.5</v>
      </c>
      <c r="AX176" s="107" t="inlineStr">
        <is>
          <t>Safe</t>
        </is>
      </c>
      <c r="AY176" s="108" t="n">
        <v>0.29</v>
      </c>
      <c r="AZ176" s="108" t="n">
        <v>0.16</v>
      </c>
      <c r="BA176" s="108" t="n">
        <v>1.2</v>
      </c>
      <c r="BB176" s="108" t="n">
        <v>0.1</v>
      </c>
      <c r="BC176" s="107" t="n">
        <v>1.63</v>
      </c>
      <c r="BD176" s="107" t="inlineStr">
        <is>
          <t>Healthy</t>
        </is>
      </c>
      <c r="BE176" s="108" t="n">
        <v>0.15</v>
      </c>
      <c r="BF176" s="108" t="n">
        <v>0.27</v>
      </c>
      <c r="BG176" s="108" t="n">
        <v>2.9</v>
      </c>
      <c r="BH176" s="108" t="n">
        <v>-3.47</v>
      </c>
      <c r="BI176" s="107" t="n">
        <v>0.03</v>
      </c>
      <c r="BJ176" s="107" t="inlineStr">
        <is>
          <t>Healthy</t>
        </is>
      </c>
      <c r="BK176" s="107" t="n">
        <v>1</v>
      </c>
      <c r="BL176" s="107" t="n">
        <v>1</v>
      </c>
      <c r="BM176" s="107" t="n">
        <v>1</v>
      </c>
      <c r="BN176" s="107" t="n">
        <v>0</v>
      </c>
      <c r="BO176" s="107" t="n">
        <v>0</v>
      </c>
      <c r="BP176" s="107" t="n">
        <v>1</v>
      </c>
      <c r="BQ176" s="107" t="n">
        <v>1</v>
      </c>
      <c r="BR176" s="107" t="n">
        <v>1</v>
      </c>
      <c r="BS176" s="107" t="n">
        <v>1</v>
      </c>
      <c r="BT176" s="107" t="n">
        <v>7</v>
      </c>
      <c r="BU176" s="107" t="inlineStr">
        <is>
          <t>Strong</t>
        </is>
      </c>
      <c r="BV176" s="108" t="n">
        <v>0.33</v>
      </c>
      <c r="BW176" s="108" t="n">
        <v>-4.01</v>
      </c>
      <c r="BX176" s="108" t="n">
        <v>0.99</v>
      </c>
      <c r="BY176" s="108" t="n">
        <v>3.82</v>
      </c>
      <c r="BZ176" s="108" t="n">
        <v>0.9399999999999999</v>
      </c>
      <c r="CA176" s="108" t="n">
        <v>0.31</v>
      </c>
      <c r="CB176" s="108" t="n">
        <v>1</v>
      </c>
      <c r="CC176" s="108" t="n">
        <v>0.01</v>
      </c>
      <c r="CD176" s="107" t="n">
        <v>-3.06</v>
      </c>
      <c r="CE176" s="107" t="inlineStr">
        <is>
          <t>Lower Risk</t>
        </is>
      </c>
      <c r="CF176" s="111" t="inlineStr">
        <is>
          <t>N/A</t>
        </is>
      </c>
      <c r="CG176" s="108" t="n">
        <v>61.42</v>
      </c>
      <c r="CH176" s="107" t="n">
        <v>0</v>
      </c>
      <c r="CI176" s="107" t="inlineStr">
        <is>
          <t>CLEAR</t>
        </is>
      </c>
    </row>
    <row r="177" ht="17" customHeight="1">
      <c r="A177" s="103" t="inlineStr">
        <is>
          <t>ECL</t>
        </is>
      </c>
      <c r="B177" s="103" t="inlineStr">
        <is>
          <t>ECOLAB INC.</t>
        </is>
      </c>
      <c r="C177" s="104" t="n">
        <v>420900000</v>
      </c>
      <c r="D177" s="105" t="n">
        <v>0.17</v>
      </c>
      <c r="E177" s="105" t="n">
        <v>0.16</v>
      </c>
      <c r="F177" s="105" t="n">
        <v>0.13</v>
      </c>
      <c r="G177" s="105" t="n">
        <v>0.08</v>
      </c>
      <c r="H177" s="105" t="n">
        <v>0.09</v>
      </c>
      <c r="I177" s="105" t="n">
        <v>0.21</v>
      </c>
      <c r="J177" s="105" t="n">
        <v>0.14</v>
      </c>
      <c r="K177" s="105" t="n">
        <v>0.44</v>
      </c>
      <c r="L177" s="105" t="n">
        <v>0.43</v>
      </c>
      <c r="M177" s="105" t="n">
        <v>0.65</v>
      </c>
      <c r="N177" s="104" t="n">
        <v>0.7</v>
      </c>
      <c r="O177" s="104" t="n">
        <v>1.08</v>
      </c>
      <c r="P177" s="104" t="n">
        <v>1.26</v>
      </c>
      <c r="Q177" s="104" t="n">
        <v>0.8100000000000001</v>
      </c>
      <c r="R177" s="104" t="n">
        <v>0.12</v>
      </c>
      <c r="S177" s="104" t="n">
        <v>0.6</v>
      </c>
      <c r="T177" s="104" t="n">
        <v>0.61</v>
      </c>
      <c r="U177" s="104" t="n">
        <v>0.78</v>
      </c>
      <c r="V177" s="104" t="n">
        <v>0.72</v>
      </c>
      <c r="W177" s="104" t="n">
        <v>1.42</v>
      </c>
      <c r="X177" s="105" t="n">
        <v>0.12</v>
      </c>
      <c r="Y177" s="105" t="n">
        <v>0.01</v>
      </c>
      <c r="Z177" s="105" t="n">
        <v>8.94</v>
      </c>
      <c r="AA177" s="105" t="n">
        <v>0.02</v>
      </c>
      <c r="AB177" s="105" t="n">
        <v>-0.02</v>
      </c>
      <c r="AC177" s="104" t="n">
        <v>-0.04</v>
      </c>
      <c r="AD177" s="104" t="n">
        <v>-0.04</v>
      </c>
      <c r="AE177" s="104" t="n">
        <v>0.02</v>
      </c>
      <c r="AF177" s="104" t="n">
        <v>0.52</v>
      </c>
      <c r="AG177" s="104" t="n">
        <v>0.11</v>
      </c>
      <c r="AH177" s="104" t="n">
        <v>0.66</v>
      </c>
      <c r="AI177" s="104" t="n">
        <v>0.65</v>
      </c>
      <c r="AJ177" s="104" t="n">
        <v>2.16</v>
      </c>
      <c r="AK177" s="106" t="inlineStr">
        <is>
          <t>Grey</t>
        </is>
      </c>
      <c r="AL177" s="104" t="n">
        <v>0.02</v>
      </c>
      <c r="AM177" s="104" t="n">
        <v>0.52</v>
      </c>
      <c r="AN177" s="104" t="n">
        <v>0.11</v>
      </c>
      <c r="AO177" s="104" t="n">
        <v>0.66</v>
      </c>
      <c r="AP177" s="104" t="n">
        <v>0.65</v>
      </c>
      <c r="AQ177" s="103" t="n">
        <v>1.72</v>
      </c>
      <c r="AR177" s="103" t="inlineStr">
        <is>
          <t>Grey</t>
        </is>
      </c>
      <c r="AS177" s="104" t="n">
        <v>0.02</v>
      </c>
      <c r="AT177" s="104" t="n">
        <v>0.52</v>
      </c>
      <c r="AU177" s="104" t="n">
        <v>0.11</v>
      </c>
      <c r="AV177" s="104" t="n">
        <v>0.66</v>
      </c>
      <c r="AW177" s="103" t="n">
        <v>3.24</v>
      </c>
      <c r="AX177" s="103" t="inlineStr">
        <is>
          <t>Safe</t>
        </is>
      </c>
      <c r="AY177" s="104" t="n">
        <v>0.02</v>
      </c>
      <c r="AZ177" s="104" t="n">
        <v>0.11</v>
      </c>
      <c r="BA177" s="104" t="n">
        <v>0.46</v>
      </c>
      <c r="BB177" s="104" t="n">
        <v>0.65</v>
      </c>
      <c r="BC177" s="103" t="n">
        <v>0.92</v>
      </c>
      <c r="BD177" s="103" t="inlineStr">
        <is>
          <t>Healthy</t>
        </is>
      </c>
      <c r="BE177" s="104" t="n">
        <v>0.08</v>
      </c>
      <c r="BF177" s="104" t="n">
        <v>0.6</v>
      </c>
      <c r="BG177" s="104" t="n">
        <v>1.08</v>
      </c>
      <c r="BH177" s="104" t="n">
        <v>-1.29</v>
      </c>
      <c r="BI177" s="103" t="n">
        <v>0.22</v>
      </c>
      <c r="BJ177" s="103" t="inlineStr">
        <is>
          <t>Healthy</t>
        </is>
      </c>
      <c r="BK177" s="103" t="n">
        <v>1</v>
      </c>
      <c r="BL177" s="103" t="n">
        <v>1</v>
      </c>
      <c r="BM177" s="103" t="n">
        <v>0</v>
      </c>
      <c r="BN177" s="103" t="n">
        <v>1</v>
      </c>
      <c r="BO177" s="103" t="n">
        <v>0</v>
      </c>
      <c r="BP177" s="103" t="n">
        <v>0</v>
      </c>
      <c r="BQ177" s="103" t="n">
        <v>1</v>
      </c>
      <c r="BR177" s="103" t="n">
        <v>1</v>
      </c>
      <c r="BS177" s="103" t="n">
        <v>0</v>
      </c>
      <c r="BT177" s="103" t="n">
        <v>5</v>
      </c>
      <c r="BU177" s="103" t="inlineStr">
        <is>
          <t>Mixed</t>
        </is>
      </c>
      <c r="BV177" s="104" t="n">
        <v>1.11</v>
      </c>
      <c r="BW177" s="104" t="n">
        <v>0.98</v>
      </c>
      <c r="BX177" s="104" t="n">
        <v>1.04</v>
      </c>
      <c r="BY177" s="104" t="n">
        <v>1.02</v>
      </c>
      <c r="BZ177" s="104" t="n">
        <v>0.67</v>
      </c>
      <c r="CA177" s="104" t="n">
        <v>0.99</v>
      </c>
      <c r="CB177" s="104" t="n">
        <v>0.99</v>
      </c>
      <c r="CC177" s="104" t="n">
        <v>-0.04</v>
      </c>
      <c r="CD177" s="103" t="n">
        <v>-2.55</v>
      </c>
      <c r="CE177" s="103" t="inlineStr">
        <is>
          <t>Lower Risk</t>
        </is>
      </c>
      <c r="CF177" s="104" t="n">
        <v>2.02</v>
      </c>
      <c r="CG177" s="104" t="n">
        <v>49.35</v>
      </c>
      <c r="CH177" s="103" t="n">
        <v>0</v>
      </c>
      <c r="CI177" s="103" t="inlineStr">
        <is>
          <t>CLEAR</t>
        </is>
      </c>
    </row>
    <row r="178" ht="17" customHeight="1">
      <c r="A178" s="107" t="inlineStr">
        <is>
          <t>EMN</t>
        </is>
      </c>
      <c r="B178" s="107" t="inlineStr">
        <is>
          <t>EASTMAN CHEMICAL CO</t>
        </is>
      </c>
      <c r="C178" s="108" t="n">
        <v>993000000</v>
      </c>
      <c r="D178" s="109" t="n">
        <v>0.18</v>
      </c>
      <c r="E178" s="109" t="n">
        <v>0.06</v>
      </c>
      <c r="F178" s="109" t="n">
        <v>0.05</v>
      </c>
      <c r="G178" s="109" t="n">
        <v>0.03</v>
      </c>
      <c r="H178" s="109" t="n">
        <v>0.06</v>
      </c>
      <c r="I178" s="109" t="n">
        <v>0.08</v>
      </c>
      <c r="J178" s="109" t="n">
        <v>0.13</v>
      </c>
      <c r="K178" s="109" t="n">
        <v>0.21</v>
      </c>
      <c r="L178" s="109" t="n">
        <v>0.24</v>
      </c>
      <c r="M178" s="109" t="n">
        <v>0.59</v>
      </c>
      <c r="N178" s="108" t="n">
        <v>0.62</v>
      </c>
      <c r="O178" s="108" t="n">
        <v>1.37</v>
      </c>
      <c r="P178" s="108" t="n">
        <v>1.51</v>
      </c>
      <c r="Q178" s="108" t="n">
        <v>0.63</v>
      </c>
      <c r="R178" s="108" t="n">
        <v>0.21</v>
      </c>
      <c r="S178" s="108" t="n">
        <v>0.59</v>
      </c>
      <c r="T178" s="108" t="n">
        <v>0.62</v>
      </c>
      <c r="U178" s="108" t="n">
        <v>0.8100000000000001</v>
      </c>
      <c r="V178" s="108" t="n">
        <v>0.72</v>
      </c>
      <c r="W178" s="108" t="n">
        <v>2.05</v>
      </c>
      <c r="X178" s="109" t="n">
        <v>0.05</v>
      </c>
      <c r="Y178" s="109" t="n">
        <v>0.03</v>
      </c>
      <c r="Z178" s="111" t="inlineStr">
        <is>
          <t>N/A</t>
        </is>
      </c>
      <c r="AA178" s="109" t="n">
        <v>-0.07000000000000001</v>
      </c>
      <c r="AB178" s="109" t="n">
        <v>-0.48</v>
      </c>
      <c r="AC178" s="108" t="n">
        <v>-0.03</v>
      </c>
      <c r="AD178" s="108" t="n">
        <v>-0.03</v>
      </c>
      <c r="AE178" s="108" t="n">
        <v>0.07000000000000001</v>
      </c>
      <c r="AF178" s="108" t="n">
        <v>0.68</v>
      </c>
      <c r="AG178" s="108" t="n">
        <v>0.1</v>
      </c>
      <c r="AH178" s="108" t="n">
        <v>0.68</v>
      </c>
      <c r="AI178" s="108" t="n">
        <v>0.59</v>
      </c>
      <c r="AJ178" s="108" t="n">
        <v>2.37</v>
      </c>
      <c r="AK178" s="106" t="inlineStr">
        <is>
          <t>Grey</t>
        </is>
      </c>
      <c r="AL178" s="108" t="n">
        <v>0.07000000000000001</v>
      </c>
      <c r="AM178" s="108" t="n">
        <v>0.68</v>
      </c>
      <c r="AN178" s="108" t="n">
        <v>0.1</v>
      </c>
      <c r="AO178" s="108" t="n">
        <v>0.68</v>
      </c>
      <c r="AP178" s="108" t="n">
        <v>0.59</v>
      </c>
      <c r="AQ178" s="107" t="n">
        <v>1.82</v>
      </c>
      <c r="AR178" s="107" t="inlineStr">
        <is>
          <t>Grey</t>
        </is>
      </c>
      <c r="AS178" s="108" t="n">
        <v>0.07000000000000001</v>
      </c>
      <c r="AT178" s="108" t="n">
        <v>0.68</v>
      </c>
      <c r="AU178" s="108" t="n">
        <v>0.1</v>
      </c>
      <c r="AV178" s="108" t="n">
        <v>0.68</v>
      </c>
      <c r="AW178" s="107" t="n">
        <v>4.06</v>
      </c>
      <c r="AX178" s="107" t="inlineStr">
        <is>
          <t>Safe</t>
        </is>
      </c>
      <c r="AY178" s="108" t="n">
        <v>0.07000000000000001</v>
      </c>
      <c r="AZ178" s="108" t="n">
        <v>0.1</v>
      </c>
      <c r="BA178" s="108" t="n">
        <v>0.21</v>
      </c>
      <c r="BB178" s="108" t="n">
        <v>0.59</v>
      </c>
      <c r="BC178" s="107" t="n">
        <v>0.76</v>
      </c>
      <c r="BD178" s="107" t="inlineStr">
        <is>
          <t>Distress</t>
        </is>
      </c>
      <c r="BE178" s="108" t="n">
        <v>0.03</v>
      </c>
      <c r="BF178" s="108" t="n">
        <v>0.59</v>
      </c>
      <c r="BG178" s="108" t="n">
        <v>1.37</v>
      </c>
      <c r="BH178" s="108" t="n">
        <v>-1.1</v>
      </c>
      <c r="BI178" s="107" t="n">
        <v>0.25</v>
      </c>
      <c r="BJ178" s="107" t="inlineStr">
        <is>
          <t>Healthy</t>
        </is>
      </c>
      <c r="BK178" s="107" t="n">
        <v>1</v>
      </c>
      <c r="BL178" s="107" t="n">
        <v>1</v>
      </c>
      <c r="BM178" s="107" t="n">
        <v>0</v>
      </c>
      <c r="BN178" s="107" t="n">
        <v>1</v>
      </c>
      <c r="BO178" s="107" t="n">
        <v>1</v>
      </c>
      <c r="BP178" s="107" t="n">
        <v>0</v>
      </c>
      <c r="BQ178" s="107" t="n">
        <v>0</v>
      </c>
      <c r="BR178" s="107" t="n">
        <v>0</v>
      </c>
      <c r="BS178" s="107" t="n">
        <v>0</v>
      </c>
      <c r="BT178" s="107" t="n">
        <v>4</v>
      </c>
      <c r="BU178" s="107" t="inlineStr">
        <is>
          <t>Mixed</t>
        </is>
      </c>
      <c r="BV178" s="108" t="n">
        <v>1</v>
      </c>
      <c r="BW178" s="108" t="n">
        <v>1.16</v>
      </c>
      <c r="BX178" s="108" t="n">
        <v>1.02</v>
      </c>
      <c r="BY178" s="108" t="n">
        <v>0.93</v>
      </c>
      <c r="BZ178" s="108" t="n">
        <v>1.01</v>
      </c>
      <c r="CA178" s="108" t="n">
        <v>0.96</v>
      </c>
      <c r="CB178" s="108" t="n">
        <v>0.96</v>
      </c>
      <c r="CC178" s="108" t="n">
        <v>-0.03</v>
      </c>
      <c r="CD178" s="107" t="n">
        <v>-2.58</v>
      </c>
      <c r="CE178" s="107" t="inlineStr">
        <is>
          <t>Lower Risk</t>
        </is>
      </c>
      <c r="CF178" s="108" t="n">
        <v>2.09</v>
      </c>
      <c r="CG178" s="108" t="n">
        <v>45.85</v>
      </c>
      <c r="CH178" s="107" t="n">
        <v>0</v>
      </c>
      <c r="CI178" s="107" t="inlineStr">
        <is>
          <t>CLEAR</t>
        </is>
      </c>
    </row>
    <row r="179" ht="17" customHeight="1">
      <c r="A179" s="103" t="inlineStr">
        <is>
          <t>PCVX</t>
        </is>
      </c>
      <c r="B179" s="103" t="inlineStr">
        <is>
          <t>VAXCYTE, INC.</t>
        </is>
      </c>
      <c r="C179" s="104" t="n">
        <v>1421611000</v>
      </c>
      <c r="D179" s="113" t="inlineStr">
        <is>
          <t>N/A</t>
        </is>
      </c>
      <c r="E179" s="113" t="inlineStr">
        <is>
          <t>N/A</t>
        </is>
      </c>
      <c r="F179" s="113" t="inlineStr">
        <is>
          <t>N/A</t>
        </is>
      </c>
      <c r="G179" s="105" t="n">
        <v>-0.26</v>
      </c>
      <c r="H179" s="105" t="n">
        <v>-0.13</v>
      </c>
      <c r="I179" s="105" t="n">
        <v>-0.29</v>
      </c>
      <c r="J179" s="105" t="n">
        <v>-0.33</v>
      </c>
      <c r="K179" s="113" t="inlineStr">
        <is>
          <t>N/A</t>
        </is>
      </c>
      <c r="L179" s="113" t="inlineStr">
        <is>
          <t>N/A</t>
        </is>
      </c>
      <c r="M179" s="113" t="inlineStr">
        <is>
          <t>N/A</t>
        </is>
      </c>
      <c r="N179" s="113" t="inlineStr">
        <is>
          <t>N/A</t>
        </is>
      </c>
      <c r="O179" s="104" t="n">
        <v>7.91</v>
      </c>
      <c r="P179" s="104" t="n">
        <v>12.75</v>
      </c>
      <c r="Q179" s="104" t="n">
        <v>7.91</v>
      </c>
      <c r="R179" s="104" t="n">
        <v>0.85</v>
      </c>
      <c r="S179" s="104" t="n">
        <v>0.11</v>
      </c>
      <c r="T179" s="104" t="n">
        <v>0.06</v>
      </c>
      <c r="U179" s="113" t="inlineStr">
        <is>
          <t>N/A</t>
        </is>
      </c>
      <c r="V179" s="113" t="inlineStr">
        <is>
          <t>N/A</t>
        </is>
      </c>
      <c r="W179" s="104" t="n">
        <v>0.86</v>
      </c>
      <c r="X179" s="113" t="inlineStr">
        <is>
          <t>N/A</t>
        </is>
      </c>
      <c r="Y179" s="113" t="inlineStr">
        <is>
          <t>N/A</t>
        </is>
      </c>
      <c r="Z179" s="113" t="inlineStr">
        <is>
          <t>N/A</t>
        </is>
      </c>
      <c r="AA179" s="113" t="inlineStr">
        <is>
          <t>N/A</t>
        </is>
      </c>
      <c r="AB179" s="105" t="n">
        <v>0.65</v>
      </c>
      <c r="AC179" s="104" t="n">
        <v>-0.04</v>
      </c>
      <c r="AD179" s="104" t="n">
        <v>-0.04</v>
      </c>
      <c r="AE179" s="104" t="n">
        <v>0.47</v>
      </c>
      <c r="AF179" s="104" t="n">
        <v>-0.72</v>
      </c>
      <c r="AG179" s="104" t="n">
        <v>-0.31</v>
      </c>
      <c r="AH179" s="104" t="n">
        <v>8.470000000000001</v>
      </c>
      <c r="AI179" s="113" t="inlineStr">
        <is>
          <t>N/A</t>
        </is>
      </c>
      <c r="AJ179" s="113" t="inlineStr">
        <is>
          <t>N/A</t>
        </is>
      </c>
      <c r="AK179" s="113" t="inlineStr">
        <is>
          <t>N/A</t>
        </is>
      </c>
      <c r="AL179" s="104" t="n">
        <v>0.47</v>
      </c>
      <c r="AM179" s="104" t="n">
        <v>-0.72</v>
      </c>
      <c r="AN179" s="104" t="n">
        <v>-0.31</v>
      </c>
      <c r="AO179" s="104" t="n">
        <v>8.470000000000001</v>
      </c>
      <c r="AP179" s="113" t="inlineStr">
        <is>
          <t>N/A</t>
        </is>
      </c>
      <c r="AQ179" s="113" t="inlineStr">
        <is>
          <t>N/A</t>
        </is>
      </c>
      <c r="AR179" s="113" t="inlineStr">
        <is>
          <t>N/A</t>
        </is>
      </c>
      <c r="AS179" s="104" t="n">
        <v>0.47</v>
      </c>
      <c r="AT179" s="104" t="n">
        <v>-0.72</v>
      </c>
      <c r="AU179" s="104" t="n">
        <v>-0.31</v>
      </c>
      <c r="AV179" s="104" t="n">
        <v>8.470000000000001</v>
      </c>
      <c r="AW179" s="103" t="n">
        <v>7.59</v>
      </c>
      <c r="AX179" s="103" t="inlineStr">
        <is>
          <t>Safe</t>
        </is>
      </c>
      <c r="AY179" s="104" t="n">
        <v>0.47</v>
      </c>
      <c r="AZ179" s="104" t="n">
        <v>-0.31</v>
      </c>
      <c r="BA179" s="113" t="inlineStr">
        <is>
          <t>N/A</t>
        </is>
      </c>
      <c r="BB179" s="113" t="inlineStr">
        <is>
          <t>N/A</t>
        </is>
      </c>
      <c r="BC179" s="113" t="inlineStr">
        <is>
          <t>N/A</t>
        </is>
      </c>
      <c r="BD179" s="113" t="inlineStr">
        <is>
          <t>N/A</t>
        </is>
      </c>
      <c r="BE179" s="104" t="n">
        <v>-0.26</v>
      </c>
      <c r="BF179" s="104" t="n">
        <v>0.11</v>
      </c>
      <c r="BG179" s="104" t="n">
        <v>7.91</v>
      </c>
      <c r="BH179" s="104" t="n">
        <v>-2.55</v>
      </c>
      <c r="BI179" s="103" t="n">
        <v>0.07000000000000001</v>
      </c>
      <c r="BJ179" s="103" t="inlineStr">
        <is>
          <t>Healthy</t>
        </is>
      </c>
      <c r="BK179" s="103" t="n">
        <v>0</v>
      </c>
      <c r="BL179" s="103" t="n">
        <v>0</v>
      </c>
      <c r="BM179" s="103" t="n">
        <v>0</v>
      </c>
      <c r="BN179" s="103" t="n">
        <v>1</v>
      </c>
      <c r="BO179" s="103" t="n">
        <v>0</v>
      </c>
      <c r="BP179" s="103" t="n">
        <v>0</v>
      </c>
      <c r="BQ179" s="103" t="n">
        <v>0</v>
      </c>
      <c r="BR179" s="103" t="n">
        <v>0</v>
      </c>
      <c r="BS179" s="103" t="n">
        <v>0</v>
      </c>
      <c r="BT179" s="103" t="n">
        <v>1</v>
      </c>
      <c r="BU179" s="103" t="inlineStr">
        <is>
          <t>Weak</t>
        </is>
      </c>
      <c r="BV179" s="113" t="inlineStr">
        <is>
          <t>N/A</t>
        </is>
      </c>
      <c r="BW179" s="113" t="inlineStr">
        <is>
          <t>N/A</t>
        </is>
      </c>
      <c r="BX179" s="104" t="n">
        <v>0.86</v>
      </c>
      <c r="BY179" s="113" t="inlineStr">
        <is>
          <t>N/A</t>
        </is>
      </c>
      <c r="BZ179" s="104" t="n">
        <v>0.57</v>
      </c>
      <c r="CA179" s="113" t="inlineStr">
        <is>
          <t>N/A</t>
        </is>
      </c>
      <c r="CB179" s="104" t="n">
        <v>1.81</v>
      </c>
      <c r="CC179" s="104" t="n">
        <v>-0.04</v>
      </c>
      <c r="CD179" s="113" t="inlineStr">
        <is>
          <t>N/A</t>
        </is>
      </c>
      <c r="CE179" s="113" t="inlineStr">
        <is>
          <t>N/A</t>
        </is>
      </c>
      <c r="CF179" s="113" t="inlineStr">
        <is>
          <t>N/A</t>
        </is>
      </c>
      <c r="CG179" s="104" t="n">
        <v>30.76</v>
      </c>
      <c r="CH179" s="103" t="n">
        <v>0</v>
      </c>
      <c r="CI179" s="103" t="inlineStr">
        <is>
          <t>CLEAR</t>
        </is>
      </c>
    </row>
    <row r="180" ht="17" customHeight="1">
      <c r="A180" s="107" t="inlineStr">
        <is>
          <t>BLK</t>
        </is>
      </c>
      <c r="B180" s="107" t="inlineStr">
        <is>
          <t>BlackRock, Inc.</t>
        </is>
      </c>
      <c r="C180" s="111" t="inlineStr">
        <is>
          <t>N/A</t>
        </is>
      </c>
      <c r="D180" s="109" t="n">
        <v>0.55</v>
      </c>
      <c r="E180" s="109" t="n">
        <v>0.6</v>
      </c>
      <c r="F180" s="109" t="n">
        <v>0.43</v>
      </c>
      <c r="G180" s="109" t="n">
        <v>0.03</v>
      </c>
      <c r="H180" s="109" t="n">
        <v>0.05</v>
      </c>
      <c r="I180" s="109" t="n">
        <v>0.1</v>
      </c>
      <c r="J180" s="111" t="inlineStr">
        <is>
          <t>N/A</t>
        </is>
      </c>
      <c r="K180" s="109" t="n">
        <v>-0.34</v>
      </c>
      <c r="L180" s="109" t="n">
        <v>-0.17</v>
      </c>
      <c r="M180" s="109" t="n">
        <v>0.08</v>
      </c>
      <c r="N180" s="108" t="n">
        <v>0.08</v>
      </c>
      <c r="O180" s="111" t="inlineStr">
        <is>
          <t>N/A</t>
        </is>
      </c>
      <c r="P180" s="111" t="inlineStr">
        <is>
          <t>N/A</t>
        </is>
      </c>
      <c r="Q180" s="111" t="inlineStr">
        <is>
          <t>N/A</t>
        </is>
      </c>
      <c r="R180" s="111" t="inlineStr">
        <is>
          <t>N/A</t>
        </is>
      </c>
      <c r="S180" s="108" t="n">
        <v>0.64</v>
      </c>
      <c r="T180" s="108" t="n">
        <v>0.64</v>
      </c>
      <c r="U180" s="108" t="n">
        <v>0.23</v>
      </c>
      <c r="V180" s="108" t="n">
        <v>0.02</v>
      </c>
      <c r="W180" s="108" t="n">
        <v>0.71</v>
      </c>
      <c r="X180" s="109" t="n">
        <v>0.28</v>
      </c>
      <c r="Y180" s="109" t="n">
        <v>0</v>
      </c>
      <c r="Z180" s="111" t="inlineStr">
        <is>
          <t>N/A</t>
        </is>
      </c>
      <c r="AA180" s="109" t="n">
        <v>0.16</v>
      </c>
      <c r="AB180" s="109" t="n">
        <v>-0.13</v>
      </c>
      <c r="AC180" s="108" t="n">
        <v>0.01</v>
      </c>
      <c r="AD180" s="108" t="n">
        <v>0.01</v>
      </c>
      <c r="AE180" s="111" t="inlineStr">
        <is>
          <t>N/A</t>
        </is>
      </c>
      <c r="AF180" s="111" t="inlineStr">
        <is>
          <t>N/A</t>
        </is>
      </c>
      <c r="AG180" s="108" t="n">
        <v>0.04</v>
      </c>
      <c r="AH180" s="108" t="n">
        <v>0.52</v>
      </c>
      <c r="AI180" s="108" t="n">
        <v>0.08</v>
      </c>
      <c r="AJ180" s="111" t="inlineStr">
        <is>
          <t>N/A</t>
        </is>
      </c>
      <c r="AK180" s="111" t="inlineStr">
        <is>
          <t>N/A</t>
        </is>
      </c>
      <c r="AL180" s="111" t="inlineStr">
        <is>
          <t>N/A</t>
        </is>
      </c>
      <c r="AM180" s="111" t="inlineStr">
        <is>
          <t>N/A</t>
        </is>
      </c>
      <c r="AN180" s="108" t="n">
        <v>0.04</v>
      </c>
      <c r="AO180" s="108" t="n">
        <v>0.52</v>
      </c>
      <c r="AP180" s="108" t="n">
        <v>0.08</v>
      </c>
      <c r="AQ180" s="111" t="inlineStr">
        <is>
          <t>N/A</t>
        </is>
      </c>
      <c r="AR180" s="111" t="inlineStr">
        <is>
          <t>N/A</t>
        </is>
      </c>
      <c r="AS180" s="111" t="inlineStr">
        <is>
          <t>N/A</t>
        </is>
      </c>
      <c r="AT180" s="111" t="inlineStr">
        <is>
          <t>N/A</t>
        </is>
      </c>
      <c r="AU180" s="108" t="n">
        <v>0.04</v>
      </c>
      <c r="AV180" s="108" t="n">
        <v>0.52</v>
      </c>
      <c r="AW180" s="111" t="inlineStr">
        <is>
          <t>N/A</t>
        </is>
      </c>
      <c r="AX180" s="111" t="inlineStr">
        <is>
          <t>N/A</t>
        </is>
      </c>
      <c r="AY180" s="111" t="inlineStr">
        <is>
          <t>N/A</t>
        </is>
      </c>
      <c r="AZ180" s="108" t="n">
        <v>0.04</v>
      </c>
      <c r="BA180" s="111" t="inlineStr">
        <is>
          <t>N/A</t>
        </is>
      </c>
      <c r="BB180" s="108" t="n">
        <v>0.08</v>
      </c>
      <c r="BC180" s="111" t="inlineStr">
        <is>
          <t>N/A</t>
        </is>
      </c>
      <c r="BD180" s="111" t="inlineStr">
        <is>
          <t>N/A</t>
        </is>
      </c>
      <c r="BE180" s="108" t="n">
        <v>0.03</v>
      </c>
      <c r="BF180" s="108" t="n">
        <v>0.64</v>
      </c>
      <c r="BG180" s="111" t="inlineStr">
        <is>
          <t>N/A</t>
        </is>
      </c>
      <c r="BH180" s="111" t="inlineStr">
        <is>
          <t>N/A</t>
        </is>
      </c>
      <c r="BI180" s="111" t="inlineStr">
        <is>
          <t>N/A</t>
        </is>
      </c>
      <c r="BJ180" s="111" t="inlineStr">
        <is>
          <t>N/A</t>
        </is>
      </c>
      <c r="BK180" s="107" t="n">
        <v>1</v>
      </c>
      <c r="BL180" s="107" t="n">
        <v>1</v>
      </c>
      <c r="BM180" s="107" t="n">
        <v>0</v>
      </c>
      <c r="BN180" s="107" t="n">
        <v>0</v>
      </c>
      <c r="BO180" s="107" t="n">
        <v>1</v>
      </c>
      <c r="BP180" s="107" t="n">
        <v>0</v>
      </c>
      <c r="BQ180" s="107" t="n">
        <v>0</v>
      </c>
      <c r="BR180" s="107" t="n">
        <v>0</v>
      </c>
      <c r="BS180" s="107" t="n">
        <v>0</v>
      </c>
      <c r="BT180" s="107" t="n">
        <v>3</v>
      </c>
      <c r="BU180" s="107" t="inlineStr">
        <is>
          <t>Weak</t>
        </is>
      </c>
      <c r="BV180" s="108" t="n">
        <v>1.03</v>
      </c>
      <c r="BW180" s="108" t="n">
        <v>0.48</v>
      </c>
      <c r="BX180" s="108" t="n">
        <v>1</v>
      </c>
      <c r="BY180" s="108" t="n">
        <v>1.16</v>
      </c>
      <c r="BZ180" s="108" t="n">
        <v>1.03</v>
      </c>
      <c r="CA180" s="108" t="n">
        <v>1.06</v>
      </c>
      <c r="CB180" s="108" t="n">
        <v>0.99</v>
      </c>
      <c r="CC180" s="108" t="n">
        <v>0.01</v>
      </c>
      <c r="CD180" s="107" t="n">
        <v>-2.54</v>
      </c>
      <c r="CE180" s="107" t="inlineStr">
        <is>
          <t>Lower Risk</t>
        </is>
      </c>
      <c r="CF180" s="108" t="n">
        <v>0.18</v>
      </c>
      <c r="CG180" s="108" t="n">
        <v>35.34</v>
      </c>
      <c r="CH180" s="107" t="n">
        <v>0</v>
      </c>
      <c r="CI180" s="107" t="inlineStr">
        <is>
          <t>CLEAR</t>
        </is>
      </c>
    </row>
    <row r="181" ht="17" customHeight="1">
      <c r="A181" s="103" t="inlineStr">
        <is>
          <t>DTE</t>
        </is>
      </c>
      <c r="B181" s="103" t="inlineStr">
        <is>
          <t>DTE ENERGY CO</t>
        </is>
      </c>
      <c r="C181" s="104" t="n">
        <v>-1061000000</v>
      </c>
      <c r="D181" s="105" t="n">
        <v>0.19</v>
      </c>
      <c r="E181" s="105" t="n">
        <v>0.12</v>
      </c>
      <c r="F181" s="105" t="n">
        <v>0.12</v>
      </c>
      <c r="G181" s="105" t="n">
        <v>0.03</v>
      </c>
      <c r="H181" s="105" t="n">
        <v>0.03</v>
      </c>
      <c r="I181" s="105" t="n">
        <v>0.12</v>
      </c>
      <c r="J181" s="105" t="n">
        <v>0.05</v>
      </c>
      <c r="K181" s="105" t="n">
        <v>0.46</v>
      </c>
      <c r="L181" s="105" t="n">
        <v>-1.47</v>
      </c>
      <c r="M181" s="105" t="n">
        <v>0.23</v>
      </c>
      <c r="N181" s="104" t="n">
        <v>0.07000000000000001</v>
      </c>
      <c r="O181" s="104" t="n">
        <v>0.8</v>
      </c>
      <c r="P181" s="104" t="n">
        <v>0.71</v>
      </c>
      <c r="Q181" s="104" t="n">
        <v>0.8</v>
      </c>
      <c r="R181" s="104" t="n">
        <v>0.04</v>
      </c>
      <c r="S181" s="104" t="n">
        <v>1</v>
      </c>
      <c r="T181" s="104" t="n">
        <v>1</v>
      </c>
      <c r="U181" s="104" t="n">
        <v>2.13</v>
      </c>
      <c r="V181" s="104" t="n">
        <v>2.11</v>
      </c>
      <c r="W181" s="104" t="n">
        <v>2.33</v>
      </c>
      <c r="X181" s="113" t="inlineStr">
        <is>
          <t>N/A</t>
        </is>
      </c>
      <c r="Y181" s="105" t="n">
        <v>0</v>
      </c>
      <c r="Z181" s="105" t="n">
        <v>2.25</v>
      </c>
      <c r="AA181" s="105" t="n">
        <v>2.85</v>
      </c>
      <c r="AB181" s="105" t="n">
        <v>0.04</v>
      </c>
      <c r="AC181" s="104" t="n">
        <v>-0.04</v>
      </c>
      <c r="AD181" s="104" t="n">
        <v>-0.04</v>
      </c>
      <c r="AE181" s="104" t="n">
        <v>-0.02</v>
      </c>
      <c r="AF181" s="104" t="n">
        <v>0.1</v>
      </c>
      <c r="AG181" s="104" t="n">
        <v>0.04</v>
      </c>
      <c r="AH181" s="104" t="n">
        <v>0.23</v>
      </c>
      <c r="AI181" s="104" t="n">
        <v>0.23</v>
      </c>
      <c r="AJ181" s="104" t="n">
        <v>0.63</v>
      </c>
      <c r="AK181" s="112" t="inlineStr">
        <is>
          <t>Distress</t>
        </is>
      </c>
      <c r="AL181" s="104" t="n">
        <v>-0.02</v>
      </c>
      <c r="AM181" s="104" t="n">
        <v>0.1</v>
      </c>
      <c r="AN181" s="104" t="n">
        <v>0.04</v>
      </c>
      <c r="AO181" s="104" t="n">
        <v>0.23</v>
      </c>
      <c r="AP181" s="104" t="n">
        <v>0.23</v>
      </c>
      <c r="AQ181" s="103" t="n">
        <v>0.54</v>
      </c>
      <c r="AR181" s="103" t="inlineStr">
        <is>
          <t>Distress</t>
        </is>
      </c>
      <c r="AS181" s="104" t="n">
        <v>-0.02</v>
      </c>
      <c r="AT181" s="104" t="n">
        <v>0.1</v>
      </c>
      <c r="AU181" s="104" t="n">
        <v>0.04</v>
      </c>
      <c r="AV181" s="104" t="n">
        <v>0.23</v>
      </c>
      <c r="AW181" s="103" t="n">
        <v>0.74</v>
      </c>
      <c r="AX181" s="103" t="inlineStr">
        <is>
          <t>Distress</t>
        </is>
      </c>
      <c r="AY181" s="104" t="n">
        <v>-0.02</v>
      </c>
      <c r="AZ181" s="104" t="n">
        <v>0.04</v>
      </c>
      <c r="BA181" s="104" t="n">
        <v>0.29</v>
      </c>
      <c r="BB181" s="104" t="n">
        <v>0.23</v>
      </c>
      <c r="BC181" s="103" t="n">
        <v>0.4</v>
      </c>
      <c r="BD181" s="103" t="inlineStr">
        <is>
          <t>Distress</t>
        </is>
      </c>
      <c r="BE181" s="104" t="n">
        <v>0.03</v>
      </c>
      <c r="BF181" s="104" t="n">
        <v>1</v>
      </c>
      <c r="BG181" s="104" t="n">
        <v>0.8</v>
      </c>
      <c r="BH181" s="104" t="n">
        <v>1.22</v>
      </c>
      <c r="BI181" s="103" t="n">
        <v>0.77</v>
      </c>
      <c r="BJ181" s="103" t="inlineStr">
        <is>
          <t>Distress</t>
        </is>
      </c>
      <c r="BK181" s="103" t="n">
        <v>1</v>
      </c>
      <c r="BL181" s="103" t="n">
        <v>1</v>
      </c>
      <c r="BM181" s="103" t="n">
        <v>0</v>
      </c>
      <c r="BN181" s="103" t="n">
        <v>1</v>
      </c>
      <c r="BO181" s="103" t="n">
        <v>0</v>
      </c>
      <c r="BP181" s="103" t="n">
        <v>1</v>
      </c>
      <c r="BQ181" s="103" t="n">
        <v>0</v>
      </c>
      <c r="BR181" s="103" t="n">
        <v>1</v>
      </c>
      <c r="BS181" s="103" t="n">
        <v>1</v>
      </c>
      <c r="BT181" s="103" t="n">
        <v>6</v>
      </c>
      <c r="BU181" s="103" t="inlineStr">
        <is>
          <t>Mixed</t>
        </is>
      </c>
      <c r="BV181" s="104" t="n">
        <v>0.31</v>
      </c>
      <c r="BW181" s="104" t="n">
        <v>-3.16</v>
      </c>
      <c r="BX181" s="104" t="n">
        <v>1.01</v>
      </c>
      <c r="BY181" s="104" t="n">
        <v>3.85</v>
      </c>
      <c r="BZ181" s="104" t="n">
        <v>1.02</v>
      </c>
      <c r="CA181" s="113" t="inlineStr">
        <is>
          <t>N/A</t>
        </is>
      </c>
      <c r="CB181" s="104" t="n">
        <v>1</v>
      </c>
      <c r="CC181" s="104" t="n">
        <v>-0.04</v>
      </c>
      <c r="CD181" s="103" t="n">
        <v>-2.75</v>
      </c>
      <c r="CE181" s="103" t="inlineStr">
        <is>
          <t>Lower Risk</t>
        </is>
      </c>
      <c r="CF181" s="104" t="n">
        <v>6.16</v>
      </c>
      <c r="CG181" s="104" t="n">
        <v>48.71</v>
      </c>
      <c r="CH181" s="103" t="n">
        <v>0</v>
      </c>
      <c r="CI181" s="103" t="inlineStr">
        <is>
          <t>CLEAR</t>
        </is>
      </c>
    </row>
    <row r="182" ht="17" customHeight="1">
      <c r="A182" s="107" t="inlineStr">
        <is>
          <t>GTLS</t>
        </is>
      </c>
      <c r="B182" s="107" t="inlineStr">
        <is>
          <t>CHART INDUSTRIES, INC.</t>
        </is>
      </c>
      <c r="C182" s="108" t="n">
        <v>770900000</v>
      </c>
      <c r="D182" s="109" t="n">
        <v>0.36</v>
      </c>
      <c r="E182" s="109" t="n">
        <v>0.1</v>
      </c>
      <c r="F182" s="109" t="n">
        <v>0.04</v>
      </c>
      <c r="G182" s="109" t="n">
        <v>0</v>
      </c>
      <c r="H182" s="109" t="n">
        <v>0.02</v>
      </c>
      <c r="I182" s="109" t="n">
        <v>0.01</v>
      </c>
      <c r="J182" s="109" t="n">
        <v>0.05</v>
      </c>
      <c r="K182" s="109" t="n">
        <v>1.45</v>
      </c>
      <c r="L182" s="109" t="n">
        <v>1.62</v>
      </c>
      <c r="M182" s="109" t="n">
        <v>0.1</v>
      </c>
      <c r="N182" s="108" t="n">
        <v>0.09</v>
      </c>
      <c r="O182" s="108" t="n">
        <v>1.36</v>
      </c>
      <c r="P182" s="108" t="n">
        <v>1.38</v>
      </c>
      <c r="Q182" s="108" t="n">
        <v>1.09</v>
      </c>
      <c r="R182" s="108" t="n">
        <v>0.17</v>
      </c>
      <c r="S182" s="108" t="n">
        <v>0.66</v>
      </c>
      <c r="T182" s="108" t="n">
        <v>0.67</v>
      </c>
      <c r="U182" s="108" t="n">
        <v>1.13</v>
      </c>
      <c r="V182" s="108" t="n">
        <v>1.02</v>
      </c>
      <c r="W182" s="108" t="n">
        <v>7.19</v>
      </c>
      <c r="X182" s="109" t="n">
        <v>0.21</v>
      </c>
      <c r="Y182" s="109" t="n">
        <v>0.04</v>
      </c>
      <c r="Z182" s="109" t="n">
        <v>14.17</v>
      </c>
      <c r="AA182" s="109" t="n">
        <v>0.15</v>
      </c>
      <c r="AB182" s="109" t="n">
        <v>-0.8100000000000001</v>
      </c>
      <c r="AC182" s="108" t="n">
        <v>-0.03</v>
      </c>
      <c r="AD182" s="108" t="n">
        <v>-0.03</v>
      </c>
      <c r="AE182" s="108" t="n">
        <v>0.08</v>
      </c>
      <c r="AF182" s="108" t="n">
        <v>0.11</v>
      </c>
      <c r="AG182" s="108" t="n">
        <v>0.04</v>
      </c>
      <c r="AH182" s="108" t="n">
        <v>0.5</v>
      </c>
      <c r="AI182" s="108" t="n">
        <v>0.1</v>
      </c>
      <c r="AJ182" s="108" t="n">
        <v>0.78</v>
      </c>
      <c r="AK182" s="112" t="inlineStr">
        <is>
          <t>Distress</t>
        </is>
      </c>
      <c r="AL182" s="108" t="n">
        <v>0.08</v>
      </c>
      <c r="AM182" s="108" t="n">
        <v>0.11</v>
      </c>
      <c r="AN182" s="108" t="n">
        <v>0.04</v>
      </c>
      <c r="AO182" s="108" t="n">
        <v>0.5</v>
      </c>
      <c r="AP182" s="108" t="n">
        <v>0.1</v>
      </c>
      <c r="AQ182" s="107" t="n">
        <v>0.58</v>
      </c>
      <c r="AR182" s="107" t="inlineStr">
        <is>
          <t>Distress</t>
        </is>
      </c>
      <c r="AS182" s="108" t="n">
        <v>0.08</v>
      </c>
      <c r="AT182" s="108" t="n">
        <v>0.11</v>
      </c>
      <c r="AU182" s="108" t="n">
        <v>0.04</v>
      </c>
      <c r="AV182" s="108" t="n">
        <v>0.5</v>
      </c>
      <c r="AW182" s="107" t="n">
        <v>1.66</v>
      </c>
      <c r="AX182" s="107" t="inlineStr">
        <is>
          <t>Grey</t>
        </is>
      </c>
      <c r="AY182" s="108" t="n">
        <v>0.08</v>
      </c>
      <c r="AZ182" s="108" t="n">
        <v>0.04</v>
      </c>
      <c r="BA182" s="108" t="n">
        <v>0.05</v>
      </c>
      <c r="BB182" s="108" t="n">
        <v>0.1</v>
      </c>
      <c r="BC182" s="107" t="n">
        <v>0.27</v>
      </c>
      <c r="BD182" s="107" t="inlineStr">
        <is>
          <t>Distress</t>
        </is>
      </c>
      <c r="BE182" s="108" t="n">
        <v>0</v>
      </c>
      <c r="BF182" s="108" t="n">
        <v>0.66</v>
      </c>
      <c r="BG182" s="108" t="n">
        <v>1.36</v>
      </c>
      <c r="BH182" s="108" t="n">
        <v>-0.63</v>
      </c>
      <c r="BI182" s="107" t="n">
        <v>0.35</v>
      </c>
      <c r="BJ182" s="107" t="inlineStr">
        <is>
          <t>Healthy</t>
        </is>
      </c>
      <c r="BK182" s="107" t="n">
        <v>1</v>
      </c>
      <c r="BL182" s="107" t="n">
        <v>1</v>
      </c>
      <c r="BM182" s="107" t="n">
        <v>0</v>
      </c>
      <c r="BN182" s="107" t="n">
        <v>1</v>
      </c>
      <c r="BO182" s="107" t="n">
        <v>1</v>
      </c>
      <c r="BP182" s="107" t="n">
        <v>0</v>
      </c>
      <c r="BQ182" s="107" t="n">
        <v>0</v>
      </c>
      <c r="BR182" s="107" t="n">
        <v>0</v>
      </c>
      <c r="BS182" s="107" t="n">
        <v>1</v>
      </c>
      <c r="BT182" s="107" t="n">
        <v>5</v>
      </c>
      <c r="BU182" s="107" t="inlineStr">
        <is>
          <t>Mixed</t>
        </is>
      </c>
      <c r="BV182" s="108" t="n">
        <v>0.9</v>
      </c>
      <c r="BW182" s="108" t="n">
        <v>1.11</v>
      </c>
      <c r="BX182" s="108" t="n">
        <v>0.97</v>
      </c>
      <c r="BY182" s="108" t="n">
        <v>1.15</v>
      </c>
      <c r="BZ182" s="108" t="n">
        <v>1</v>
      </c>
      <c r="CA182" s="108" t="n">
        <v>0.98</v>
      </c>
      <c r="CB182" s="108" t="n">
        <v>0.98</v>
      </c>
      <c r="CC182" s="108" t="n">
        <v>-0.03</v>
      </c>
      <c r="CD182" s="107" t="n">
        <v>-2.5</v>
      </c>
      <c r="CE182" s="107" t="inlineStr">
        <is>
          <t>Lower Risk</t>
        </is>
      </c>
      <c r="CF182" s="108" t="n">
        <v>5.14</v>
      </c>
      <c r="CG182" s="108" t="n">
        <v>45.04</v>
      </c>
      <c r="CH182" s="107" t="n">
        <v>0</v>
      </c>
      <c r="CI182" s="107" t="inlineStr">
        <is>
          <t>CLEAR</t>
        </is>
      </c>
    </row>
    <row r="183" ht="17" customHeight="1">
      <c r="A183" s="103" t="inlineStr">
        <is>
          <t>HLT</t>
        </is>
      </c>
      <c r="B183" s="103" t="inlineStr">
        <is>
          <t>Hilton Worldwide Holdings Inc.</t>
        </is>
      </c>
      <c r="C183" s="104" t="n">
        <v>-1512000000</v>
      </c>
      <c r="D183" s="105" t="n">
        <v>0.22</v>
      </c>
      <c r="E183" s="105" t="n">
        <v>0.17</v>
      </c>
      <c r="F183" s="105" t="n">
        <v>0.12</v>
      </c>
      <c r="G183" s="105" t="n">
        <v>0.09</v>
      </c>
      <c r="H183" s="105" t="n">
        <v>0.09</v>
      </c>
      <c r="I183" s="105" t="n">
        <v>-0.27</v>
      </c>
      <c r="J183" s="105" t="n">
        <v>0.22</v>
      </c>
      <c r="K183" s="113" t="inlineStr">
        <is>
          <t>N/A</t>
        </is>
      </c>
      <c r="L183" s="113" t="inlineStr">
        <is>
          <t>N/A</t>
        </is>
      </c>
      <c r="M183" s="105" t="n">
        <v>0.72</v>
      </c>
      <c r="N183" s="104" t="n">
        <v>0.68</v>
      </c>
      <c r="O183" s="104" t="n">
        <v>0.66</v>
      </c>
      <c r="P183" s="104" t="n">
        <v>0.7</v>
      </c>
      <c r="Q183" s="104" t="n">
        <v>0.54</v>
      </c>
      <c r="R183" s="104" t="n">
        <v>0.2</v>
      </c>
      <c r="S183" s="104" t="n">
        <v>1.32</v>
      </c>
      <c r="T183" s="104" t="n">
        <v>1.22</v>
      </c>
      <c r="U183" s="104" t="n">
        <v>-0.01</v>
      </c>
      <c r="V183" s="104" t="n">
        <v>0.16</v>
      </c>
      <c r="W183" s="104" t="n">
        <v>1.46</v>
      </c>
      <c r="X183" s="105" t="n">
        <v>0.17</v>
      </c>
      <c r="Y183" s="113" t="inlineStr">
        <is>
          <t>N/A</t>
        </is>
      </c>
      <c r="Z183" s="105" t="n">
        <v>4.73</v>
      </c>
      <c r="AA183" s="105" t="n">
        <v>0.08</v>
      </c>
      <c r="AB183" s="105" t="n">
        <v>-0.05</v>
      </c>
      <c r="AC183" s="104" t="n">
        <v>-0.04</v>
      </c>
      <c r="AD183" s="104" t="n">
        <v>-0.04</v>
      </c>
      <c r="AE183" s="104" t="n">
        <v>-0.09</v>
      </c>
      <c r="AF183" s="104" t="n">
        <v>-0.09</v>
      </c>
      <c r="AG183" s="104" t="n">
        <v>0.16</v>
      </c>
      <c r="AH183" s="104" t="n">
        <v>-0.24</v>
      </c>
      <c r="AI183" s="104" t="n">
        <v>0.72</v>
      </c>
      <c r="AJ183" s="104" t="n">
        <v>0.87</v>
      </c>
      <c r="AK183" s="112" t="inlineStr">
        <is>
          <t>Distress</t>
        </is>
      </c>
      <c r="AL183" s="104" t="n">
        <v>-0.09</v>
      </c>
      <c r="AM183" s="104" t="n">
        <v>-0.09</v>
      </c>
      <c r="AN183" s="104" t="n">
        <v>0.16</v>
      </c>
      <c r="AO183" s="104" t="n">
        <v>-0.24</v>
      </c>
      <c r="AP183" s="104" t="n">
        <v>0.72</v>
      </c>
      <c r="AQ183" s="103" t="n">
        <v>0.97</v>
      </c>
      <c r="AR183" s="103" t="inlineStr">
        <is>
          <t>Distress</t>
        </is>
      </c>
      <c r="AS183" s="104" t="n">
        <v>-0.09</v>
      </c>
      <c r="AT183" s="104" t="n">
        <v>-0.09</v>
      </c>
      <c r="AU183" s="104" t="n">
        <v>0.16</v>
      </c>
      <c r="AV183" s="104" t="n">
        <v>-0.24</v>
      </c>
      <c r="AW183" s="103" t="n">
        <v>-0.06</v>
      </c>
      <c r="AX183" s="103" t="inlineStr">
        <is>
          <t>Distress</t>
        </is>
      </c>
      <c r="AY183" s="104" t="n">
        <v>-0.09</v>
      </c>
      <c r="AZ183" s="104" t="n">
        <v>0.16</v>
      </c>
      <c r="BA183" s="104" t="n">
        <v>0.46</v>
      </c>
      <c r="BB183" s="104" t="n">
        <v>0.72</v>
      </c>
      <c r="BC183" s="103" t="n">
        <v>0.99</v>
      </c>
      <c r="BD183" s="103" t="inlineStr">
        <is>
          <t>Healthy</t>
        </is>
      </c>
      <c r="BE183" s="104" t="n">
        <v>0.09</v>
      </c>
      <c r="BF183" s="104" t="n">
        <v>1.32</v>
      </c>
      <c r="BG183" s="104" t="n">
        <v>0.66</v>
      </c>
      <c r="BH183" s="104" t="n">
        <v>2.76</v>
      </c>
      <c r="BI183" s="103" t="n">
        <v>0.9399999999999999</v>
      </c>
      <c r="BJ183" s="103" t="inlineStr">
        <is>
          <t>Distress</t>
        </is>
      </c>
      <c r="BK183" s="103" t="n">
        <v>1</v>
      </c>
      <c r="BL183" s="103" t="n">
        <v>1</v>
      </c>
      <c r="BM183" s="103" t="n">
        <v>0</v>
      </c>
      <c r="BN183" s="103" t="n">
        <v>1</v>
      </c>
      <c r="BO183" s="103" t="n">
        <v>0</v>
      </c>
      <c r="BP183" s="103" t="n">
        <v>0</v>
      </c>
      <c r="BQ183" s="103" t="n">
        <v>1</v>
      </c>
      <c r="BR183" s="103" t="n">
        <v>0</v>
      </c>
      <c r="BS183" s="103" t="n">
        <v>1</v>
      </c>
      <c r="BT183" s="103" t="n">
        <v>5</v>
      </c>
      <c r="BU183" s="103" t="inlineStr">
        <is>
          <t>Mixed</t>
        </is>
      </c>
      <c r="BV183" s="104" t="n">
        <v>0.99</v>
      </c>
      <c r="BW183" s="113" t="inlineStr">
        <is>
          <t>N/A</t>
        </is>
      </c>
      <c r="BX183" s="104" t="n">
        <v>1</v>
      </c>
      <c r="BY183" s="104" t="n">
        <v>1.08</v>
      </c>
      <c r="BZ183" s="104" t="n">
        <v>1.28</v>
      </c>
      <c r="CA183" s="104" t="n">
        <v>0.88</v>
      </c>
      <c r="CB183" s="104" t="n">
        <v>1.08</v>
      </c>
      <c r="CC183" s="104" t="n">
        <v>-0.04</v>
      </c>
      <c r="CD183" s="113" t="inlineStr">
        <is>
          <t>N/A</t>
        </is>
      </c>
      <c r="CE183" s="113" t="inlineStr">
        <is>
          <t>N/A</t>
        </is>
      </c>
      <c r="CF183" s="104" t="n">
        <v>-0.3</v>
      </c>
      <c r="CG183" s="104" t="n">
        <v>46.35</v>
      </c>
      <c r="CH183" s="103" t="n">
        <v>0</v>
      </c>
      <c r="CI183" s="103" t="inlineStr">
        <is>
          <t>CLEAR</t>
        </is>
      </c>
    </row>
    <row r="184" ht="17" customHeight="1">
      <c r="A184" s="107" t="inlineStr">
        <is>
          <t>WEC</t>
        </is>
      </c>
      <c r="B184" s="107" t="inlineStr">
        <is>
          <t>WEC ENERGY GROUP, INC.</t>
        </is>
      </c>
      <c r="C184" s="108" t="n">
        <v>-2308700000</v>
      </c>
      <c r="D184" s="109" t="n">
        <v>0.23</v>
      </c>
      <c r="E184" s="109" t="n">
        <v>0.17</v>
      </c>
      <c r="F184" s="109" t="n">
        <v>0.07000000000000001</v>
      </c>
      <c r="G184" s="109" t="n">
        <v>0.01</v>
      </c>
      <c r="H184" s="109" t="n">
        <v>0.01</v>
      </c>
      <c r="I184" s="109" t="n">
        <v>0.07000000000000001</v>
      </c>
      <c r="J184" s="109" t="n">
        <v>0.05</v>
      </c>
      <c r="K184" s="109" t="n">
        <v>0.67</v>
      </c>
      <c r="L184" s="109" t="n">
        <v>0.6899999999999999</v>
      </c>
      <c r="M184" s="109" t="n">
        <v>0.19</v>
      </c>
      <c r="N184" s="108" t="n">
        <v>0.18</v>
      </c>
      <c r="O184" s="108" t="n">
        <v>0.59</v>
      </c>
      <c r="P184" s="108" t="n">
        <v>0.6</v>
      </c>
      <c r="Q184" s="108" t="n">
        <v>0.59</v>
      </c>
      <c r="R184" s="108" t="n">
        <v>0</v>
      </c>
      <c r="S184" s="108" t="n">
        <v>1</v>
      </c>
      <c r="T184" s="108" t="n">
        <v>1</v>
      </c>
      <c r="U184" s="108" t="n">
        <v>2.31</v>
      </c>
      <c r="V184" s="108" t="n">
        <v>2.31</v>
      </c>
      <c r="W184" s="108" t="n">
        <v>5.28</v>
      </c>
      <c r="X184" s="109" t="n">
        <v>0.07000000000000001</v>
      </c>
      <c r="Y184" s="109" t="n">
        <v>0</v>
      </c>
      <c r="Z184" s="109" t="n">
        <v>3.09</v>
      </c>
      <c r="AA184" s="109" t="n">
        <v>0.14</v>
      </c>
      <c r="AB184" s="109" t="n">
        <v>0.09</v>
      </c>
      <c r="AC184" s="108" t="n">
        <v>-0.05</v>
      </c>
      <c r="AD184" s="108" t="n">
        <v>-0.05</v>
      </c>
      <c r="AE184" s="108" t="n">
        <v>-0.04</v>
      </c>
      <c r="AF184" s="108" t="n">
        <v>0.16</v>
      </c>
      <c r="AG184" s="108" t="n">
        <v>0.04</v>
      </c>
      <c r="AH184" s="108" t="n">
        <v>0.18</v>
      </c>
      <c r="AI184" s="108" t="n">
        <v>0.19</v>
      </c>
      <c r="AJ184" s="108" t="n">
        <v>0.62</v>
      </c>
      <c r="AK184" s="112" t="inlineStr">
        <is>
          <t>Distress</t>
        </is>
      </c>
      <c r="AL184" s="108" t="n">
        <v>-0.04</v>
      </c>
      <c r="AM184" s="108" t="n">
        <v>0.16</v>
      </c>
      <c r="AN184" s="108" t="n">
        <v>0.04</v>
      </c>
      <c r="AO184" s="108" t="n">
        <v>0.18</v>
      </c>
      <c r="AP184" s="108" t="n">
        <v>0.19</v>
      </c>
      <c r="AQ184" s="107" t="n">
        <v>0.51</v>
      </c>
      <c r="AR184" s="107" t="inlineStr">
        <is>
          <t>Distress</t>
        </is>
      </c>
      <c r="AS184" s="108" t="n">
        <v>-0.04</v>
      </c>
      <c r="AT184" s="108" t="n">
        <v>0.16</v>
      </c>
      <c r="AU184" s="108" t="n">
        <v>0.04</v>
      </c>
      <c r="AV184" s="108" t="n">
        <v>0.18</v>
      </c>
      <c r="AW184" s="107" t="n">
        <v>0.73</v>
      </c>
      <c r="AX184" s="107" t="inlineStr">
        <is>
          <t>Distress</t>
        </is>
      </c>
      <c r="AY184" s="108" t="n">
        <v>-0.04</v>
      </c>
      <c r="AZ184" s="108" t="n">
        <v>0.04</v>
      </c>
      <c r="BA184" s="108" t="n">
        <v>0.3</v>
      </c>
      <c r="BB184" s="108" t="n">
        <v>0.19</v>
      </c>
      <c r="BC184" s="107" t="n">
        <v>0.36</v>
      </c>
      <c r="BD184" s="107" t="inlineStr">
        <is>
          <t>Distress</t>
        </is>
      </c>
      <c r="BE184" s="108" t="n">
        <v>0.01</v>
      </c>
      <c r="BF184" s="108" t="n">
        <v>1</v>
      </c>
      <c r="BG184" s="108" t="n">
        <v>0.59</v>
      </c>
      <c r="BH184" s="108" t="n">
        <v>1.29</v>
      </c>
      <c r="BI184" s="107" t="n">
        <v>0.78</v>
      </c>
      <c r="BJ184" s="107" t="inlineStr">
        <is>
          <t>Distress</t>
        </is>
      </c>
      <c r="BK184" s="107" t="n">
        <v>1</v>
      </c>
      <c r="BL184" s="107" t="n">
        <v>1</v>
      </c>
      <c r="BM184" s="107" t="n">
        <v>1</v>
      </c>
      <c r="BN184" s="107" t="n">
        <v>1</v>
      </c>
      <c r="BO184" s="107" t="n">
        <v>1</v>
      </c>
      <c r="BP184" s="107" t="n">
        <v>0</v>
      </c>
      <c r="BQ184" s="107" t="n">
        <v>0</v>
      </c>
      <c r="BR184" s="107" t="n">
        <v>0</v>
      </c>
      <c r="BS184" s="107" t="n">
        <v>1</v>
      </c>
      <c r="BT184" s="107" t="n">
        <v>6</v>
      </c>
      <c r="BU184" s="107" t="inlineStr">
        <is>
          <t>Mixed</t>
        </is>
      </c>
      <c r="BV184" s="108" t="n">
        <v>1.08</v>
      </c>
      <c r="BW184" s="108" t="n">
        <v>1.04</v>
      </c>
      <c r="BX184" s="108" t="n">
        <v>0.93</v>
      </c>
      <c r="BY184" s="108" t="n">
        <v>1.14</v>
      </c>
      <c r="BZ184" s="108" t="n">
        <v>0.82</v>
      </c>
      <c r="CA184" s="111" t="inlineStr">
        <is>
          <t>N/A</t>
        </is>
      </c>
      <c r="CB184" s="108" t="n">
        <v>1</v>
      </c>
      <c r="CC184" s="108" t="n">
        <v>-0.05</v>
      </c>
      <c r="CD184" s="107" t="n">
        <v>-2.38</v>
      </c>
      <c r="CE184" s="107" t="inlineStr">
        <is>
          <t>Lower Risk</t>
        </is>
      </c>
      <c r="CF184" s="108" t="n">
        <v>7.29</v>
      </c>
      <c r="CG184" s="108" t="n">
        <v>48.62</v>
      </c>
      <c r="CH184" s="107" t="n">
        <v>0</v>
      </c>
      <c r="CI184" s="107" t="inlineStr">
        <is>
          <t>CLEAR</t>
        </is>
      </c>
    </row>
    <row r="185" ht="17" customHeight="1">
      <c r="A185" s="103" t="inlineStr">
        <is>
          <t>CRS</t>
        </is>
      </c>
      <c r="B185" s="103" t="inlineStr">
        <is>
          <t>CARPENTER TECHNOLOGY CORPORATION</t>
        </is>
      </c>
      <c r="C185" s="104" t="n">
        <v>1281000000</v>
      </c>
      <c r="D185" s="105" t="n">
        <v>0.24</v>
      </c>
      <c r="E185" s="105" t="n">
        <v>0.22</v>
      </c>
      <c r="F185" s="105" t="n">
        <v>0.17</v>
      </c>
      <c r="G185" s="105" t="n">
        <v>0.11</v>
      </c>
      <c r="H185" s="105" t="n">
        <v>0.06</v>
      </c>
      <c r="I185" s="105" t="n">
        <v>0.2</v>
      </c>
      <c r="J185" s="105" t="n">
        <v>0.17</v>
      </c>
      <c r="K185" s="105" t="n">
        <v>0.36</v>
      </c>
      <c r="L185" s="105" t="n">
        <v>0.95</v>
      </c>
      <c r="M185" s="105" t="n">
        <v>0.62</v>
      </c>
      <c r="N185" s="104" t="n">
        <v>0.19</v>
      </c>
      <c r="O185" s="104" t="n">
        <v>3.65</v>
      </c>
      <c r="P185" s="104" t="n">
        <v>3.41</v>
      </c>
      <c r="Q185" s="104" t="n">
        <v>2.01</v>
      </c>
      <c r="R185" s="104" t="n">
        <v>0.65</v>
      </c>
      <c r="S185" s="104" t="n">
        <v>0.46</v>
      </c>
      <c r="T185" s="104" t="n">
        <v>0.51</v>
      </c>
      <c r="U185" s="104" t="n">
        <v>0.29</v>
      </c>
      <c r="V185" s="104" t="n">
        <v>0.12</v>
      </c>
      <c r="W185" s="104" t="n">
        <v>1.17</v>
      </c>
      <c r="X185" s="105" t="n">
        <v>0.13</v>
      </c>
      <c r="Y185" s="105" t="n">
        <v>0.01</v>
      </c>
      <c r="Z185" s="105" t="n">
        <v>9.65</v>
      </c>
      <c r="AA185" s="105" t="n">
        <v>2.49</v>
      </c>
      <c r="AB185" s="105" t="n">
        <v>1.02</v>
      </c>
      <c r="AC185" s="104" t="n">
        <v>-0.02</v>
      </c>
      <c r="AD185" s="104" t="n">
        <v>-0.02</v>
      </c>
      <c r="AE185" s="104" t="n">
        <v>0.37</v>
      </c>
      <c r="AF185" s="104" t="n">
        <v>0.49</v>
      </c>
      <c r="AG185" s="104" t="n">
        <v>0.15</v>
      </c>
      <c r="AH185" s="104" t="n">
        <v>1.18</v>
      </c>
      <c r="AI185" s="104" t="n">
        <v>0.62</v>
      </c>
      <c r="AJ185" s="104" t="n">
        <v>2.95</v>
      </c>
      <c r="AK185" s="106" t="inlineStr">
        <is>
          <t>Grey</t>
        </is>
      </c>
      <c r="AL185" s="104" t="n">
        <v>0.37</v>
      </c>
      <c r="AM185" s="104" t="n">
        <v>0.49</v>
      </c>
      <c r="AN185" s="104" t="n">
        <v>0.15</v>
      </c>
      <c r="AO185" s="104" t="n">
        <v>1.18</v>
      </c>
      <c r="AP185" s="104" t="n">
        <v>0.62</v>
      </c>
      <c r="AQ185" s="103" t="n">
        <v>2.26</v>
      </c>
      <c r="AR185" s="103" t="inlineStr">
        <is>
          <t>Grey</t>
        </is>
      </c>
      <c r="AS185" s="104" t="n">
        <v>0.37</v>
      </c>
      <c r="AT185" s="104" t="n">
        <v>0.49</v>
      </c>
      <c r="AU185" s="104" t="n">
        <v>0.15</v>
      </c>
      <c r="AV185" s="104" t="n">
        <v>1.18</v>
      </c>
      <c r="AW185" s="103" t="n">
        <v>6.25</v>
      </c>
      <c r="AX185" s="103" t="inlineStr">
        <is>
          <t>Safe</t>
        </is>
      </c>
      <c r="AY185" s="104" t="n">
        <v>0.37</v>
      </c>
      <c r="AZ185" s="104" t="n">
        <v>0.15</v>
      </c>
      <c r="BA185" s="104" t="n">
        <v>0.97</v>
      </c>
      <c r="BB185" s="104" t="n">
        <v>0.62</v>
      </c>
      <c r="BC185" s="103" t="n">
        <v>1.72</v>
      </c>
      <c r="BD185" s="103" t="inlineStr">
        <is>
          <t>Healthy</t>
        </is>
      </c>
      <c r="BE185" s="104" t="n">
        <v>0.11</v>
      </c>
      <c r="BF185" s="104" t="n">
        <v>0.46</v>
      </c>
      <c r="BG185" s="104" t="n">
        <v>3.65</v>
      </c>
      <c r="BH185" s="104" t="n">
        <v>-2.2</v>
      </c>
      <c r="BI185" s="103" t="n">
        <v>0.1</v>
      </c>
      <c r="BJ185" s="103" t="inlineStr">
        <is>
          <t>Healthy</t>
        </is>
      </c>
      <c r="BK185" s="103" t="n">
        <v>1</v>
      </c>
      <c r="BL185" s="103" t="n">
        <v>1</v>
      </c>
      <c r="BM185" s="103" t="n">
        <v>1</v>
      </c>
      <c r="BN185" s="103" t="n">
        <v>1</v>
      </c>
      <c r="BO185" s="103" t="n">
        <v>1</v>
      </c>
      <c r="BP185" s="103" t="n">
        <v>1</v>
      </c>
      <c r="BQ185" s="103" t="n">
        <v>1</v>
      </c>
      <c r="BR185" s="103" t="n">
        <v>0</v>
      </c>
      <c r="BS185" s="103" t="n">
        <v>1</v>
      </c>
      <c r="BT185" s="103" t="n">
        <v>8</v>
      </c>
      <c r="BU185" s="103" t="inlineStr">
        <is>
          <t>Strong</t>
        </is>
      </c>
      <c r="BV185" s="104" t="n">
        <v>0.29</v>
      </c>
      <c r="BW185" s="104" t="n">
        <v>2.65</v>
      </c>
      <c r="BX185" s="104" t="n">
        <v>0.9399999999999999</v>
      </c>
      <c r="BY185" s="104" t="n">
        <v>3.49</v>
      </c>
      <c r="BZ185" s="104" t="n">
        <v>0.91</v>
      </c>
      <c r="CA185" s="104" t="n">
        <v>0.3</v>
      </c>
      <c r="CB185" s="104" t="n">
        <v>0.91</v>
      </c>
      <c r="CC185" s="104" t="n">
        <v>-0.02</v>
      </c>
      <c r="CD185" s="103" t="n">
        <v>-0.01</v>
      </c>
      <c r="CE185" s="103" t="inlineStr">
        <is>
          <t>Higher Risk</t>
        </is>
      </c>
      <c r="CF185" s="104" t="n">
        <v>0.4</v>
      </c>
      <c r="CG185" s="104" t="n">
        <v>58.76</v>
      </c>
      <c r="CH185" s="103" t="n">
        <v>20</v>
      </c>
      <c r="CI185" s="103" t="inlineStr">
        <is>
          <t>CLEAR</t>
        </is>
      </c>
    </row>
    <row r="186" ht="17" customHeight="1">
      <c r="A186" s="107" t="inlineStr">
        <is>
          <t>HII</t>
        </is>
      </c>
      <c r="B186" s="107" t="inlineStr">
        <is>
          <t>HUNTINGTON INGALLS INDUSTRIES, INC.</t>
        </is>
      </c>
      <c r="C186" s="108" t="n">
        <v>406000000</v>
      </c>
      <c r="D186" s="109" t="n">
        <v>0.05</v>
      </c>
      <c r="E186" s="109" t="n">
        <v>0.06</v>
      </c>
      <c r="F186" s="109" t="n">
        <v>0.05</v>
      </c>
      <c r="G186" s="109" t="n">
        <v>0.05</v>
      </c>
      <c r="H186" s="109" t="n">
        <v>0.05</v>
      </c>
      <c r="I186" s="109" t="n">
        <v>0.12</v>
      </c>
      <c r="J186" s="109" t="n">
        <v>0.07000000000000001</v>
      </c>
      <c r="K186" s="109" t="n">
        <v>0.64</v>
      </c>
      <c r="L186" s="109" t="n">
        <v>0.62</v>
      </c>
      <c r="M186" s="109" t="n">
        <v>0.98</v>
      </c>
      <c r="N186" s="108" t="n">
        <v>0.95</v>
      </c>
      <c r="O186" s="108" t="n">
        <v>1.13</v>
      </c>
      <c r="P186" s="108" t="n">
        <v>1.08</v>
      </c>
      <c r="Q186" s="108" t="n">
        <v>1.13</v>
      </c>
      <c r="R186" s="108" t="n">
        <v>0.21</v>
      </c>
      <c r="S186" s="108" t="n">
        <v>0.6</v>
      </c>
      <c r="T186" s="108" t="n">
        <v>0.62</v>
      </c>
      <c r="U186" s="108" t="n">
        <v>0.62</v>
      </c>
      <c r="V186" s="108" t="n">
        <v>0.49</v>
      </c>
      <c r="W186" s="108" t="n">
        <v>1.98</v>
      </c>
      <c r="X186" s="109" t="n">
        <v>0.06</v>
      </c>
      <c r="Y186" s="109" t="n">
        <v>0</v>
      </c>
      <c r="Z186" s="109" t="n">
        <v>6.26</v>
      </c>
      <c r="AA186" s="109" t="n">
        <v>0.08</v>
      </c>
      <c r="AB186" s="109" t="n">
        <v>0.1</v>
      </c>
      <c r="AC186" s="108" t="n">
        <v>-0.05</v>
      </c>
      <c r="AD186" s="108" t="n">
        <v>-0.05</v>
      </c>
      <c r="AE186" s="108" t="n">
        <v>0.03</v>
      </c>
      <c r="AF186" s="108" t="n">
        <v>0.43</v>
      </c>
      <c r="AG186" s="108" t="n">
        <v>0.05</v>
      </c>
      <c r="AH186" s="108" t="n">
        <v>0.66</v>
      </c>
      <c r="AI186" s="108" t="n">
        <v>0.98</v>
      </c>
      <c r="AJ186" s="108" t="n">
        <v>2.19</v>
      </c>
      <c r="AK186" s="106" t="inlineStr">
        <is>
          <t>Grey</t>
        </is>
      </c>
      <c r="AL186" s="108" t="n">
        <v>0.03</v>
      </c>
      <c r="AM186" s="108" t="n">
        <v>0.43</v>
      </c>
      <c r="AN186" s="108" t="n">
        <v>0.05</v>
      </c>
      <c r="AO186" s="108" t="n">
        <v>0.66</v>
      </c>
      <c r="AP186" s="108" t="n">
        <v>0.98</v>
      </c>
      <c r="AQ186" s="107" t="n">
        <v>1.8</v>
      </c>
      <c r="AR186" s="107" t="inlineStr">
        <is>
          <t>Grey</t>
        </is>
      </c>
      <c r="AS186" s="108" t="n">
        <v>0.03</v>
      </c>
      <c r="AT186" s="108" t="n">
        <v>0.43</v>
      </c>
      <c r="AU186" s="108" t="n">
        <v>0.05</v>
      </c>
      <c r="AV186" s="108" t="n">
        <v>0.66</v>
      </c>
      <c r="AW186" s="107" t="n">
        <v>2.65</v>
      </c>
      <c r="AX186" s="107" t="inlineStr">
        <is>
          <t>Safe</t>
        </is>
      </c>
      <c r="AY186" s="108" t="n">
        <v>0.03</v>
      </c>
      <c r="AZ186" s="108" t="n">
        <v>0.05</v>
      </c>
      <c r="BA186" s="108" t="n">
        <v>0.26</v>
      </c>
      <c r="BB186" s="108" t="n">
        <v>0.98</v>
      </c>
      <c r="BC186" s="107" t="n">
        <v>0.75</v>
      </c>
      <c r="BD186" s="107" t="inlineStr">
        <is>
          <t>Distress</t>
        </is>
      </c>
      <c r="BE186" s="108" t="n">
        <v>0.05</v>
      </c>
      <c r="BF186" s="108" t="n">
        <v>0.6</v>
      </c>
      <c r="BG186" s="108" t="n">
        <v>1.13</v>
      </c>
      <c r="BH186" s="108" t="n">
        <v>-1.13</v>
      </c>
      <c r="BI186" s="107" t="n">
        <v>0.24</v>
      </c>
      <c r="BJ186" s="107" t="inlineStr">
        <is>
          <t>Healthy</t>
        </is>
      </c>
      <c r="BK186" s="107" t="n">
        <v>1</v>
      </c>
      <c r="BL186" s="107" t="n">
        <v>1</v>
      </c>
      <c r="BM186" s="107" t="n">
        <v>1</v>
      </c>
      <c r="BN186" s="107" t="n">
        <v>1</v>
      </c>
      <c r="BO186" s="107" t="n">
        <v>1</v>
      </c>
      <c r="BP186" s="107" t="n">
        <v>1</v>
      </c>
      <c r="BQ186" s="107" t="n">
        <v>0</v>
      </c>
      <c r="BR186" s="107" t="n">
        <v>1</v>
      </c>
      <c r="BS186" s="107" t="n">
        <v>1</v>
      </c>
      <c r="BT186" s="107" t="n">
        <v>8</v>
      </c>
      <c r="BU186" s="107" t="inlineStr">
        <is>
          <t>Strong</t>
        </is>
      </c>
      <c r="BV186" s="108" t="n">
        <v>1.48</v>
      </c>
      <c r="BW186" s="108" t="n">
        <v>0.96</v>
      </c>
      <c r="BX186" s="108" t="n">
        <v>0.97</v>
      </c>
      <c r="BY186" s="108" t="n">
        <v>1.08</v>
      </c>
      <c r="BZ186" s="108" t="n">
        <v>1.06</v>
      </c>
      <c r="CA186" s="108" t="n">
        <v>0.93</v>
      </c>
      <c r="CB186" s="108" t="n">
        <v>0.98</v>
      </c>
      <c r="CC186" s="108" t="n">
        <v>-0.05</v>
      </c>
      <c r="CD186" s="107" t="n">
        <v>-2.19</v>
      </c>
      <c r="CE186" s="107" t="inlineStr">
        <is>
          <t>Higher Risk</t>
        </is>
      </c>
      <c r="CF186" s="108" t="n">
        <v>2.54</v>
      </c>
      <c r="CG186" s="108" t="n">
        <v>56.31</v>
      </c>
      <c r="CH186" s="107" t="n">
        <v>20</v>
      </c>
      <c r="CI186" s="107" t="inlineStr">
        <is>
          <t>CLEAR</t>
        </is>
      </c>
    </row>
    <row r="187" ht="17" customHeight="1">
      <c r="A187" s="103" t="inlineStr">
        <is>
          <t>TSLA</t>
        </is>
      </c>
      <c r="B187" s="103" t="inlineStr">
        <is>
          <t>Tesla, Inc.</t>
        </is>
      </c>
      <c r="C187" s="104" t="n">
        <v>36928000000</v>
      </c>
      <c r="D187" s="105" t="n">
        <v>0.05</v>
      </c>
      <c r="E187" s="105" t="n">
        <v>0.06</v>
      </c>
      <c r="F187" s="105" t="n">
        <v>0.04</v>
      </c>
      <c r="G187" s="105" t="n">
        <v>0.03</v>
      </c>
      <c r="H187" s="105" t="n">
        <v>0.06</v>
      </c>
      <c r="I187" s="105" t="n">
        <v>0.05</v>
      </c>
      <c r="J187" s="105" t="n">
        <v>0.04</v>
      </c>
      <c r="K187" s="105" t="n">
        <v>0.18</v>
      </c>
      <c r="L187" s="105" t="n">
        <v>0.18</v>
      </c>
      <c r="M187" s="105" t="n">
        <v>0.6899999999999999</v>
      </c>
      <c r="N187" s="104" t="n">
        <v>0.8</v>
      </c>
      <c r="O187" s="104" t="n">
        <v>2.16</v>
      </c>
      <c r="P187" s="104" t="n">
        <v>2.02</v>
      </c>
      <c r="Q187" s="104" t="n">
        <v>1.77</v>
      </c>
      <c r="R187" s="104" t="n">
        <v>0.52</v>
      </c>
      <c r="S187" s="104" t="n">
        <v>0.4</v>
      </c>
      <c r="T187" s="104" t="n">
        <v>0.4</v>
      </c>
      <c r="U187" s="104" t="n">
        <v>0.1</v>
      </c>
      <c r="V187" s="104" t="n">
        <v>-0.1</v>
      </c>
      <c r="W187" s="104" t="n">
        <v>3.89</v>
      </c>
      <c r="X187" s="105" t="n">
        <v>0.07000000000000001</v>
      </c>
      <c r="Y187" s="105" t="n">
        <v>0.07000000000000001</v>
      </c>
      <c r="Z187" s="105" t="n">
        <v>27.92</v>
      </c>
      <c r="AA187" s="105" t="n">
        <v>-0.03</v>
      </c>
      <c r="AB187" s="105" t="n">
        <v>-0.46</v>
      </c>
      <c r="AC187" s="104" t="n">
        <v>-0.08</v>
      </c>
      <c r="AD187" s="104" t="n">
        <v>-0.08</v>
      </c>
      <c r="AE187" s="104" t="n">
        <v>0.27</v>
      </c>
      <c r="AF187" s="104" t="n">
        <v>0.28</v>
      </c>
      <c r="AG187" s="104" t="n">
        <v>0.03</v>
      </c>
      <c r="AH187" s="104" t="n">
        <v>1.5</v>
      </c>
      <c r="AI187" s="104" t="n">
        <v>0.6899999999999999</v>
      </c>
      <c r="AJ187" s="104" t="n">
        <v>2.41</v>
      </c>
      <c r="AK187" s="106" t="inlineStr">
        <is>
          <t>Grey</t>
        </is>
      </c>
      <c r="AL187" s="104" t="n">
        <v>0.27</v>
      </c>
      <c r="AM187" s="104" t="n">
        <v>0.28</v>
      </c>
      <c r="AN187" s="104" t="n">
        <v>0.03</v>
      </c>
      <c r="AO187" s="104" t="n">
        <v>1.5</v>
      </c>
      <c r="AP187" s="104" t="n">
        <v>0.6899999999999999</v>
      </c>
      <c r="AQ187" s="103" t="n">
        <v>1.84</v>
      </c>
      <c r="AR187" s="103" t="inlineStr">
        <is>
          <t>Grey</t>
        </is>
      </c>
      <c r="AS187" s="104" t="n">
        <v>0.27</v>
      </c>
      <c r="AT187" s="104" t="n">
        <v>0.28</v>
      </c>
      <c r="AU187" s="104" t="n">
        <v>0.03</v>
      </c>
      <c r="AV187" s="104" t="n">
        <v>1.5</v>
      </c>
      <c r="AW187" s="103" t="n">
        <v>4.46</v>
      </c>
      <c r="AX187" s="103" t="inlineStr">
        <is>
          <t>Safe</t>
        </is>
      </c>
      <c r="AY187" s="104" t="n">
        <v>0.27</v>
      </c>
      <c r="AZ187" s="104" t="n">
        <v>0.03</v>
      </c>
      <c r="BA187" s="104" t="n">
        <v>0.17</v>
      </c>
      <c r="BB187" s="104" t="n">
        <v>0.6899999999999999</v>
      </c>
      <c r="BC187" s="103" t="n">
        <v>0.76</v>
      </c>
      <c r="BD187" s="103" t="inlineStr">
        <is>
          <t>Distress</t>
        </is>
      </c>
      <c r="BE187" s="104" t="n">
        <v>0.03</v>
      </c>
      <c r="BF187" s="104" t="n">
        <v>0.4</v>
      </c>
      <c r="BG187" s="104" t="n">
        <v>2.16</v>
      </c>
      <c r="BH187" s="104" t="n">
        <v>-2.19</v>
      </c>
      <c r="BI187" s="103" t="n">
        <v>0.1</v>
      </c>
      <c r="BJ187" s="103" t="inlineStr">
        <is>
          <t>Healthy</t>
        </is>
      </c>
      <c r="BK187" s="103" t="n">
        <v>1</v>
      </c>
      <c r="BL187" s="103" t="n">
        <v>1</v>
      </c>
      <c r="BM187" s="103" t="n">
        <v>0</v>
      </c>
      <c r="BN187" s="103" t="n">
        <v>1</v>
      </c>
      <c r="BO187" s="103" t="n">
        <v>0</v>
      </c>
      <c r="BP187" s="103" t="n">
        <v>1</v>
      </c>
      <c r="BQ187" s="103" t="n">
        <v>0</v>
      </c>
      <c r="BR187" s="103" t="n">
        <v>1</v>
      </c>
      <c r="BS187" s="103" t="n">
        <v>0</v>
      </c>
      <c r="BT187" s="103" t="n">
        <v>5</v>
      </c>
      <c r="BU187" s="103" t="inlineStr">
        <is>
          <t>Mixed</t>
        </is>
      </c>
      <c r="BV187" s="104" t="n">
        <v>1.07</v>
      </c>
      <c r="BW187" s="104" t="n">
        <v>0.99</v>
      </c>
      <c r="BX187" s="104" t="n">
        <v>0.87</v>
      </c>
      <c r="BY187" s="104" t="n">
        <v>0.97</v>
      </c>
      <c r="BZ187" s="104" t="n">
        <v>0.71</v>
      </c>
      <c r="CA187" s="104" t="n">
        <v>1.17</v>
      </c>
      <c r="CB187" s="104" t="n">
        <v>1.01</v>
      </c>
      <c r="CC187" s="104" t="n">
        <v>-0.08</v>
      </c>
      <c r="CD187" s="103" t="n">
        <v>-2.94</v>
      </c>
      <c r="CE187" s="103" t="inlineStr">
        <is>
          <t>Lower Risk</t>
        </is>
      </c>
      <c r="CF187" s="104" t="n">
        <v>-1.4</v>
      </c>
      <c r="CG187" s="104" t="n">
        <v>51.01</v>
      </c>
      <c r="CH187" s="103" t="n">
        <v>0</v>
      </c>
      <c r="CI187" s="103" t="inlineStr">
        <is>
          <t>CLEAR</t>
        </is>
      </c>
    </row>
    <row r="188" ht="17" customHeight="1">
      <c r="A188" s="107" t="inlineStr">
        <is>
          <t>IIPR</t>
        </is>
      </c>
      <c r="B188" s="107" t="inlineStr">
        <is>
          <t>Innovative Industrial Properties, Inc.</t>
        </is>
      </c>
      <c r="C188" s="111" t="inlineStr">
        <is>
          <t>N/A</t>
        </is>
      </c>
      <c r="D188" s="109" t="n">
        <v>0.47</v>
      </c>
      <c r="E188" s="111" t="inlineStr">
        <is>
          <t>N/A</t>
        </is>
      </c>
      <c r="F188" s="109" t="n">
        <v>0.44</v>
      </c>
      <c r="G188" s="109" t="n">
        <v>0.05</v>
      </c>
      <c r="H188" s="109" t="n">
        <v>0.07000000000000001</v>
      </c>
      <c r="I188" s="109" t="n">
        <v>0.06</v>
      </c>
      <c r="J188" s="111" t="inlineStr">
        <is>
          <t>N/A</t>
        </is>
      </c>
      <c r="K188" s="109" t="n">
        <v>0.47</v>
      </c>
      <c r="L188" s="109" t="n">
        <v>0.5600000000000001</v>
      </c>
      <c r="M188" s="109" t="n">
        <v>0.11</v>
      </c>
      <c r="N188" s="108" t="n">
        <v>0.13</v>
      </c>
      <c r="O188" s="111" t="inlineStr">
        <is>
          <t>N/A</t>
        </is>
      </c>
      <c r="P188" s="111" t="inlineStr">
        <is>
          <t>N/A</t>
        </is>
      </c>
      <c r="Q188" s="111" t="inlineStr">
        <is>
          <t>N/A</t>
        </is>
      </c>
      <c r="R188" s="111" t="inlineStr">
        <is>
          <t>N/A</t>
        </is>
      </c>
      <c r="S188" s="108" t="n">
        <v>0.22</v>
      </c>
      <c r="T188" s="108" t="n">
        <v>0.19</v>
      </c>
      <c r="U188" s="108" t="n">
        <v>0.21</v>
      </c>
      <c r="V188" s="108" t="n">
        <v>0.19</v>
      </c>
      <c r="W188" s="108" t="n">
        <v>1.68</v>
      </c>
      <c r="X188" s="109" t="n">
        <v>0.73</v>
      </c>
      <c r="Y188" s="109" t="n">
        <v>0</v>
      </c>
      <c r="Z188" s="109" t="n">
        <v>7.11</v>
      </c>
      <c r="AA188" s="109" t="n">
        <v>-0.14</v>
      </c>
      <c r="AB188" s="109" t="n">
        <v>-0.27</v>
      </c>
      <c r="AC188" s="108" t="n">
        <v>-0.03</v>
      </c>
      <c r="AD188" s="108" t="n">
        <v>-0.03</v>
      </c>
      <c r="AE188" s="111" t="inlineStr">
        <is>
          <t>N/A</t>
        </is>
      </c>
      <c r="AF188" s="108" t="n">
        <v>0</v>
      </c>
      <c r="AG188" s="108" t="n">
        <v>0.05</v>
      </c>
      <c r="AH188" s="108" t="n">
        <v>3.53</v>
      </c>
      <c r="AI188" s="108" t="n">
        <v>0.11</v>
      </c>
      <c r="AJ188" s="111" t="inlineStr">
        <is>
          <t>N/A</t>
        </is>
      </c>
      <c r="AK188" s="111" t="inlineStr">
        <is>
          <t>N/A</t>
        </is>
      </c>
      <c r="AL188" s="111" t="inlineStr">
        <is>
          <t>N/A</t>
        </is>
      </c>
      <c r="AM188" s="108" t="n">
        <v>0</v>
      </c>
      <c r="AN188" s="108" t="n">
        <v>0.05</v>
      </c>
      <c r="AO188" s="108" t="n">
        <v>3.53</v>
      </c>
      <c r="AP188" s="108" t="n">
        <v>0.11</v>
      </c>
      <c r="AQ188" s="111" t="inlineStr">
        <is>
          <t>N/A</t>
        </is>
      </c>
      <c r="AR188" s="111" t="inlineStr">
        <is>
          <t>N/A</t>
        </is>
      </c>
      <c r="AS188" s="111" t="inlineStr">
        <is>
          <t>N/A</t>
        </is>
      </c>
      <c r="AT188" s="108" t="n">
        <v>0</v>
      </c>
      <c r="AU188" s="108" t="n">
        <v>0.05</v>
      </c>
      <c r="AV188" s="108" t="n">
        <v>3.53</v>
      </c>
      <c r="AW188" s="111" t="inlineStr">
        <is>
          <t>N/A</t>
        </is>
      </c>
      <c r="AX188" s="111" t="inlineStr">
        <is>
          <t>N/A</t>
        </is>
      </c>
      <c r="AY188" s="111" t="inlineStr">
        <is>
          <t>N/A</t>
        </is>
      </c>
      <c r="AZ188" s="108" t="n">
        <v>0.05</v>
      </c>
      <c r="BA188" s="111" t="inlineStr">
        <is>
          <t>N/A</t>
        </is>
      </c>
      <c r="BB188" s="108" t="n">
        <v>0.11</v>
      </c>
      <c r="BC188" s="111" t="inlineStr">
        <is>
          <t>N/A</t>
        </is>
      </c>
      <c r="BD188" s="111" t="inlineStr">
        <is>
          <t>N/A</t>
        </is>
      </c>
      <c r="BE188" s="108" t="n">
        <v>0.05</v>
      </c>
      <c r="BF188" s="108" t="n">
        <v>0.22</v>
      </c>
      <c r="BG188" s="111" t="inlineStr">
        <is>
          <t>N/A</t>
        </is>
      </c>
      <c r="BH188" s="111" t="inlineStr">
        <is>
          <t>N/A</t>
        </is>
      </c>
      <c r="BI188" s="111" t="inlineStr">
        <is>
          <t>N/A</t>
        </is>
      </c>
      <c r="BJ188" s="111" t="inlineStr">
        <is>
          <t>N/A</t>
        </is>
      </c>
      <c r="BK188" s="107" t="n">
        <v>1</v>
      </c>
      <c r="BL188" s="107" t="n">
        <v>1</v>
      </c>
      <c r="BM188" s="107" t="n">
        <v>0</v>
      </c>
      <c r="BN188" s="107" t="n">
        <v>1</v>
      </c>
      <c r="BO188" s="107" t="n">
        <v>0</v>
      </c>
      <c r="BP188" s="107" t="n">
        <v>0</v>
      </c>
      <c r="BQ188" s="107" t="n">
        <v>1</v>
      </c>
      <c r="BR188" s="107" t="n">
        <v>0</v>
      </c>
      <c r="BS188" s="107" t="n">
        <v>0</v>
      </c>
      <c r="BT188" s="107" t="n">
        <v>4</v>
      </c>
      <c r="BU188" s="107" t="inlineStr">
        <is>
          <t>Mixed</t>
        </is>
      </c>
      <c r="BV188" s="111" t="inlineStr">
        <is>
          <t>N/A</t>
        </is>
      </c>
      <c r="BW188" s="108" t="n">
        <v>1.19</v>
      </c>
      <c r="BX188" s="111" t="inlineStr">
        <is>
          <t>N/A</t>
        </is>
      </c>
      <c r="BY188" s="108" t="n">
        <v>0.86</v>
      </c>
      <c r="BZ188" s="111" t="inlineStr">
        <is>
          <t>N/A</t>
        </is>
      </c>
      <c r="CA188" s="108" t="n">
        <v>1.05</v>
      </c>
      <c r="CB188" s="108" t="n">
        <v>1.19</v>
      </c>
      <c r="CC188" s="108" t="n">
        <v>-0.03</v>
      </c>
      <c r="CD188" s="111" t="inlineStr">
        <is>
          <t>N/A</t>
        </is>
      </c>
      <c r="CE188" s="111" t="inlineStr">
        <is>
          <t>N/A</t>
        </is>
      </c>
      <c r="CF188" s="108" t="n">
        <v>1.75</v>
      </c>
      <c r="CG188" s="108" t="n">
        <v>41.73</v>
      </c>
      <c r="CH188" s="107" t="n">
        <v>0</v>
      </c>
      <c r="CI188" s="107" t="inlineStr">
        <is>
          <t>CLEAR</t>
        </is>
      </c>
    </row>
    <row r="189" ht="17" customHeight="1">
      <c r="A189" s="103" t="inlineStr">
        <is>
          <t>MRVL</t>
        </is>
      </c>
      <c r="B189" s="103" t="inlineStr">
        <is>
          <t>MARVELL TECHNOLOGY, INC</t>
        </is>
      </c>
      <c r="C189" s="104" t="n">
        <v>3240100000</v>
      </c>
      <c r="D189" s="105" t="n">
        <v>0.16</v>
      </c>
      <c r="E189" s="105" t="n">
        <v>0.37</v>
      </c>
      <c r="F189" s="105" t="n">
        <v>0.33</v>
      </c>
      <c r="G189" s="105" t="n">
        <v>0.12</v>
      </c>
      <c r="H189" s="105" t="n">
        <v>-0.04</v>
      </c>
      <c r="I189" s="105" t="n">
        <v>0.19</v>
      </c>
      <c r="J189" s="105" t="n">
        <v>0.07000000000000001</v>
      </c>
      <c r="K189" s="105" t="n">
        <v>0.51</v>
      </c>
      <c r="L189" s="105" t="n">
        <v>0.41</v>
      </c>
      <c r="M189" s="105" t="n">
        <v>0.37</v>
      </c>
      <c r="N189" s="104" t="n">
        <v>0.29</v>
      </c>
      <c r="O189" s="104" t="n">
        <v>2.01</v>
      </c>
      <c r="P189" s="104" t="n">
        <v>1.54</v>
      </c>
      <c r="Q189" s="104" t="n">
        <v>1.58</v>
      </c>
      <c r="R189" s="104" t="n">
        <v>0.82</v>
      </c>
      <c r="S189" s="104" t="n">
        <v>0.36</v>
      </c>
      <c r="T189" s="104" t="n">
        <v>0.34</v>
      </c>
      <c r="U189" s="104" t="n">
        <v>0.35</v>
      </c>
      <c r="V189" s="104" t="n">
        <v>0.16</v>
      </c>
      <c r="W189" s="104" t="n">
        <v>0.66</v>
      </c>
      <c r="X189" s="105" t="n">
        <v>0.17</v>
      </c>
      <c r="Y189" s="105" t="n">
        <v>0.25</v>
      </c>
      <c r="Z189" s="105" t="n">
        <v>6.25</v>
      </c>
      <c r="AA189" s="105" t="n">
        <v>0.42</v>
      </c>
      <c r="AB189" s="105" t="n">
        <v>-4.02</v>
      </c>
      <c r="AC189" s="104" t="n">
        <v>0.04</v>
      </c>
      <c r="AD189" s="104" t="n">
        <v>0.04</v>
      </c>
      <c r="AE189" s="104" t="n">
        <v>0.15</v>
      </c>
      <c r="AF189" s="104" t="n">
        <v>0.06</v>
      </c>
      <c r="AG189" s="104" t="n">
        <v>0.06</v>
      </c>
      <c r="AH189" s="104" t="n">
        <v>1.79</v>
      </c>
      <c r="AI189" s="104" t="n">
        <v>0.37</v>
      </c>
      <c r="AJ189" s="104" t="n">
        <v>1.9</v>
      </c>
      <c r="AK189" s="106" t="inlineStr">
        <is>
          <t>Grey</t>
        </is>
      </c>
      <c r="AL189" s="104" t="n">
        <v>0.15</v>
      </c>
      <c r="AM189" s="104" t="n">
        <v>0.06</v>
      </c>
      <c r="AN189" s="104" t="n">
        <v>0.06</v>
      </c>
      <c r="AO189" s="104" t="n">
        <v>1.79</v>
      </c>
      <c r="AP189" s="104" t="n">
        <v>0.37</v>
      </c>
      <c r="AQ189" s="103" t="n">
        <v>1.46</v>
      </c>
      <c r="AR189" s="103" t="inlineStr">
        <is>
          <t>Grey</t>
        </is>
      </c>
      <c r="AS189" s="104" t="n">
        <v>0.15</v>
      </c>
      <c r="AT189" s="104" t="n">
        <v>0.06</v>
      </c>
      <c r="AU189" s="104" t="n">
        <v>0.06</v>
      </c>
      <c r="AV189" s="104" t="n">
        <v>1.79</v>
      </c>
      <c r="AW189" s="103" t="n">
        <v>3.43</v>
      </c>
      <c r="AX189" s="103" t="inlineStr">
        <is>
          <t>Safe</t>
        </is>
      </c>
      <c r="AY189" s="104" t="n">
        <v>0.15</v>
      </c>
      <c r="AZ189" s="104" t="n">
        <v>0.06</v>
      </c>
      <c r="BA189" s="104" t="n">
        <v>0.95</v>
      </c>
      <c r="BB189" s="104" t="n">
        <v>0.37</v>
      </c>
      <c r="BC189" s="103" t="n">
        <v>1.1</v>
      </c>
      <c r="BD189" s="103" t="inlineStr">
        <is>
          <t>Healthy</t>
        </is>
      </c>
      <c r="BE189" s="104" t="n">
        <v>0.12</v>
      </c>
      <c r="BF189" s="104" t="n">
        <v>0.36</v>
      </c>
      <c r="BG189" s="104" t="n">
        <v>2.01</v>
      </c>
      <c r="BH189" s="104" t="n">
        <v>-2.84</v>
      </c>
      <c r="BI189" s="103" t="n">
        <v>0.06</v>
      </c>
      <c r="BJ189" s="103" t="inlineStr">
        <is>
          <t>Healthy</t>
        </is>
      </c>
      <c r="BK189" s="103" t="n">
        <v>1</v>
      </c>
      <c r="BL189" s="103" t="n">
        <v>1</v>
      </c>
      <c r="BM189" s="103" t="n">
        <v>1</v>
      </c>
      <c r="BN189" s="103" t="n">
        <v>0</v>
      </c>
      <c r="BO189" s="103" t="n">
        <v>1</v>
      </c>
      <c r="BP189" s="103" t="n">
        <v>1</v>
      </c>
      <c r="BQ189" s="103" t="n">
        <v>1</v>
      </c>
      <c r="BR189" s="103" t="n">
        <v>1</v>
      </c>
      <c r="BS189" s="103" t="n">
        <v>1</v>
      </c>
      <c r="BT189" s="103" t="n">
        <v>8</v>
      </c>
      <c r="BU189" s="103" t="inlineStr">
        <is>
          <t>Strong</t>
        </is>
      </c>
      <c r="BV189" s="104" t="n">
        <v>1.5</v>
      </c>
      <c r="BW189" s="104" t="n">
        <v>0.8100000000000001</v>
      </c>
      <c r="BX189" s="104" t="n">
        <v>0.83</v>
      </c>
      <c r="BY189" s="104" t="n">
        <v>1.42</v>
      </c>
      <c r="BZ189" s="104" t="n">
        <v>1.02</v>
      </c>
      <c r="CA189" s="104" t="n">
        <v>0.68</v>
      </c>
      <c r="CB189" s="104" t="n">
        <v>1.07</v>
      </c>
      <c r="CC189" s="104" t="n">
        <v>0.04</v>
      </c>
      <c r="CD189" s="103" t="n">
        <v>-1.59</v>
      </c>
      <c r="CE189" s="103" t="inlineStr">
        <is>
          <t>Higher Risk</t>
        </is>
      </c>
      <c r="CF189" s="104" t="n">
        <v>1.43</v>
      </c>
      <c r="CG189" s="104" t="n">
        <v>56.58</v>
      </c>
      <c r="CH189" s="103" t="n">
        <v>20</v>
      </c>
      <c r="CI189" s="103" t="inlineStr">
        <is>
          <t>CLEAR</t>
        </is>
      </c>
    </row>
    <row r="190" ht="17" customHeight="1">
      <c r="A190" s="107" t="inlineStr">
        <is>
          <t>CFR</t>
        </is>
      </c>
      <c r="B190" s="107" t="inlineStr">
        <is>
          <t>Cullen/Frost Bankers, Inc.</t>
        </is>
      </c>
      <c r="C190" s="111" t="inlineStr">
        <is>
          <t>N/A</t>
        </is>
      </c>
      <c r="D190" s="109" t="n">
        <v>0.35</v>
      </c>
      <c r="E190" s="109" t="n">
        <v>0.35</v>
      </c>
      <c r="F190" s="109" t="n">
        <v>0.29</v>
      </c>
      <c r="G190" s="109" t="n">
        <v>0.01</v>
      </c>
      <c r="H190" s="109" t="n">
        <v>0.01</v>
      </c>
      <c r="I190" s="109" t="n">
        <v>0.14</v>
      </c>
      <c r="J190" s="111" t="inlineStr">
        <is>
          <t>N/A</t>
        </is>
      </c>
      <c r="K190" s="109" t="n">
        <v>0.03</v>
      </c>
      <c r="L190" s="109" t="n">
        <v>0.03</v>
      </c>
      <c r="M190" s="109" t="n">
        <v>0.04</v>
      </c>
      <c r="N190" s="108" t="n">
        <v>0.04</v>
      </c>
      <c r="O190" s="111" t="inlineStr">
        <is>
          <t>N/A</t>
        </is>
      </c>
      <c r="P190" s="111" t="inlineStr">
        <is>
          <t>N/A</t>
        </is>
      </c>
      <c r="Q190" s="111" t="inlineStr">
        <is>
          <t>N/A</t>
        </is>
      </c>
      <c r="R190" s="111" t="inlineStr">
        <is>
          <t>N/A</t>
        </is>
      </c>
      <c r="S190" s="108" t="n">
        <v>0.91</v>
      </c>
      <c r="T190" s="108" t="n">
        <v>0.93</v>
      </c>
      <c r="U190" s="111" t="inlineStr">
        <is>
          <t>N/A</t>
        </is>
      </c>
      <c r="V190" s="111" t="inlineStr">
        <is>
          <t>N/A</t>
        </is>
      </c>
      <c r="W190" s="108" t="n">
        <v>0.42</v>
      </c>
      <c r="X190" s="109" t="n">
        <v>0.06</v>
      </c>
      <c r="Y190" s="109" t="n">
        <v>0</v>
      </c>
      <c r="Z190" s="109" t="n">
        <v>1.17</v>
      </c>
      <c r="AA190" s="109" t="n">
        <v>0.08</v>
      </c>
      <c r="AB190" s="109" t="n">
        <v>0.11</v>
      </c>
      <c r="AC190" s="108" t="n">
        <v>0.01</v>
      </c>
      <c r="AD190" s="108" t="n">
        <v>0.01</v>
      </c>
      <c r="AE190" s="111" t="inlineStr">
        <is>
          <t>N/A</t>
        </is>
      </c>
      <c r="AF190" s="108" t="n">
        <v>0.08</v>
      </c>
      <c r="AG190" s="108" t="n">
        <v>0.01</v>
      </c>
      <c r="AH190" s="108" t="n">
        <v>0.09</v>
      </c>
      <c r="AI190" s="108" t="n">
        <v>0.04</v>
      </c>
      <c r="AJ190" s="111" t="inlineStr">
        <is>
          <t>N/A</t>
        </is>
      </c>
      <c r="AK190" s="111" t="inlineStr">
        <is>
          <t>N/A</t>
        </is>
      </c>
      <c r="AL190" s="111" t="inlineStr">
        <is>
          <t>N/A</t>
        </is>
      </c>
      <c r="AM190" s="108" t="n">
        <v>0.08</v>
      </c>
      <c r="AN190" s="108" t="n">
        <v>0.01</v>
      </c>
      <c r="AO190" s="108" t="n">
        <v>0.09</v>
      </c>
      <c r="AP190" s="108" t="n">
        <v>0.04</v>
      </c>
      <c r="AQ190" s="111" t="inlineStr">
        <is>
          <t>N/A</t>
        </is>
      </c>
      <c r="AR190" s="111" t="inlineStr">
        <is>
          <t>N/A</t>
        </is>
      </c>
      <c r="AS190" s="111" t="inlineStr">
        <is>
          <t>N/A</t>
        </is>
      </c>
      <c r="AT190" s="108" t="n">
        <v>0.08</v>
      </c>
      <c r="AU190" s="108" t="n">
        <v>0.01</v>
      </c>
      <c r="AV190" s="108" t="n">
        <v>0.09</v>
      </c>
      <c r="AW190" s="111" t="inlineStr">
        <is>
          <t>N/A</t>
        </is>
      </c>
      <c r="AX190" s="111" t="inlineStr">
        <is>
          <t>N/A</t>
        </is>
      </c>
      <c r="AY190" s="111" t="inlineStr">
        <is>
          <t>N/A</t>
        </is>
      </c>
      <c r="AZ190" s="108" t="n">
        <v>0.01</v>
      </c>
      <c r="BA190" s="111" t="inlineStr">
        <is>
          <t>N/A</t>
        </is>
      </c>
      <c r="BB190" s="108" t="n">
        <v>0.04</v>
      </c>
      <c r="BC190" s="111" t="inlineStr">
        <is>
          <t>N/A</t>
        </is>
      </c>
      <c r="BD190" s="111" t="inlineStr">
        <is>
          <t>N/A</t>
        </is>
      </c>
      <c r="BE190" s="108" t="n">
        <v>0.01</v>
      </c>
      <c r="BF190" s="108" t="n">
        <v>0.91</v>
      </c>
      <c r="BG190" s="111" t="inlineStr">
        <is>
          <t>N/A</t>
        </is>
      </c>
      <c r="BH190" s="111" t="inlineStr">
        <is>
          <t>N/A</t>
        </is>
      </c>
      <c r="BI190" s="111" t="inlineStr">
        <is>
          <t>N/A</t>
        </is>
      </c>
      <c r="BJ190" s="111" t="inlineStr">
        <is>
          <t>N/A</t>
        </is>
      </c>
      <c r="BK190" s="107" t="n">
        <v>1</v>
      </c>
      <c r="BL190" s="107" t="n">
        <v>1</v>
      </c>
      <c r="BM190" s="107" t="n">
        <v>1</v>
      </c>
      <c r="BN190" s="107" t="n">
        <v>0</v>
      </c>
      <c r="BO190" s="107" t="n">
        <v>0</v>
      </c>
      <c r="BP190" s="107" t="n">
        <v>0</v>
      </c>
      <c r="BQ190" s="107" t="n">
        <v>1</v>
      </c>
      <c r="BR190" s="107" t="n">
        <v>1</v>
      </c>
      <c r="BS190" s="107" t="n">
        <v>1</v>
      </c>
      <c r="BT190" s="107" t="n">
        <v>6</v>
      </c>
      <c r="BU190" s="107" t="inlineStr">
        <is>
          <t>Mixed</t>
        </is>
      </c>
      <c r="BV190" s="111" t="inlineStr">
        <is>
          <t>N/A</t>
        </is>
      </c>
      <c r="BW190" s="111" t="inlineStr">
        <is>
          <t>N/A</t>
        </is>
      </c>
      <c r="BX190" s="108" t="n">
        <v>1</v>
      </c>
      <c r="BY190" s="108" t="n">
        <v>1.08</v>
      </c>
      <c r="BZ190" s="108" t="n">
        <v>1</v>
      </c>
      <c r="CA190" s="111" t="inlineStr">
        <is>
          <t>N/A</t>
        </is>
      </c>
      <c r="CB190" s="108" t="n">
        <v>0.99</v>
      </c>
      <c r="CC190" s="108" t="n">
        <v>0.01</v>
      </c>
      <c r="CD190" s="111" t="inlineStr">
        <is>
          <t>N/A</t>
        </is>
      </c>
      <c r="CE190" s="111" t="inlineStr">
        <is>
          <t>N/A</t>
        </is>
      </c>
      <c r="CF190" s="111" t="inlineStr">
        <is>
          <t>N/A</t>
        </is>
      </c>
      <c r="CG190" s="108" t="n">
        <v>46.83</v>
      </c>
      <c r="CH190" s="107" t="n">
        <v>20</v>
      </c>
      <c r="CI190" s="107" t="inlineStr">
        <is>
          <t>CLEAR</t>
        </is>
      </c>
    </row>
    <row r="191" ht="17" customHeight="1">
      <c r="A191" s="103" t="inlineStr">
        <is>
          <t>OKE</t>
        </is>
      </c>
      <c r="B191" s="103" t="inlineStr">
        <is>
          <t>ONEOK INC /NEW/</t>
        </is>
      </c>
      <c r="C191" s="104" t="n">
        <v>-1877000000</v>
      </c>
      <c r="D191" s="105" t="n">
        <v>0.26</v>
      </c>
      <c r="E191" s="105" t="n">
        <v>0.2</v>
      </c>
      <c r="F191" s="105" t="n">
        <v>0.15</v>
      </c>
      <c r="G191" s="105" t="n">
        <v>0.05</v>
      </c>
      <c r="H191" s="105" t="n">
        <v>0.05</v>
      </c>
      <c r="I191" s="105" t="n">
        <v>0.15</v>
      </c>
      <c r="J191" s="105" t="n">
        <v>0.1</v>
      </c>
      <c r="K191" s="105" t="n">
        <v>0.09</v>
      </c>
      <c r="L191" s="105" t="n">
        <v>0.03</v>
      </c>
      <c r="M191" s="105" t="n">
        <v>0.34</v>
      </c>
      <c r="N191" s="104" t="n">
        <v>0.26</v>
      </c>
      <c r="O191" s="104" t="n">
        <v>0.71</v>
      </c>
      <c r="P191" s="104" t="n">
        <v>0.9</v>
      </c>
      <c r="Q191" s="104" t="n">
        <v>0.5600000000000001</v>
      </c>
      <c r="R191" s="104" t="n">
        <v>0.01</v>
      </c>
      <c r="S191" s="104" t="n">
        <v>1</v>
      </c>
      <c r="T191" s="104" t="n">
        <v>1</v>
      </c>
      <c r="U191" s="104" t="n">
        <v>1.46</v>
      </c>
      <c r="V191" s="104" t="n">
        <v>1.46</v>
      </c>
      <c r="W191" s="104" t="n">
        <v>1.65</v>
      </c>
      <c r="X191" s="105" t="n">
        <v>0.11</v>
      </c>
      <c r="Y191" s="105" t="n">
        <v>0</v>
      </c>
      <c r="Z191" s="105" t="n">
        <v>6.63</v>
      </c>
      <c r="AA191" s="105" t="n">
        <v>0.35</v>
      </c>
      <c r="AB191" s="105" t="n">
        <v>0.12</v>
      </c>
      <c r="AC191" s="104" t="n">
        <v>-0.03</v>
      </c>
      <c r="AD191" s="104" t="n">
        <v>-0.03</v>
      </c>
      <c r="AE191" s="104" t="n">
        <v>-0.03</v>
      </c>
      <c r="AF191" s="104" t="n">
        <v>0.04</v>
      </c>
      <c r="AG191" s="104" t="n">
        <v>0.09</v>
      </c>
      <c r="AH191" s="104" t="n">
        <v>0.34</v>
      </c>
      <c r="AI191" s="104" t="n">
        <v>0.34</v>
      </c>
      <c r="AJ191" s="104" t="n">
        <v>0.84</v>
      </c>
      <c r="AK191" s="112" t="inlineStr">
        <is>
          <t>Distress</t>
        </is>
      </c>
      <c r="AL191" s="104" t="n">
        <v>-0.03</v>
      </c>
      <c r="AM191" s="104" t="n">
        <v>0.04</v>
      </c>
      <c r="AN191" s="104" t="n">
        <v>0.09</v>
      </c>
      <c r="AO191" s="104" t="n">
        <v>0.34</v>
      </c>
      <c r="AP191" s="104" t="n">
        <v>0.34</v>
      </c>
      <c r="AQ191" s="103" t="n">
        <v>0.75</v>
      </c>
      <c r="AR191" s="103" t="inlineStr">
        <is>
          <t>Distress</t>
        </is>
      </c>
      <c r="AS191" s="104" t="n">
        <v>-0.03</v>
      </c>
      <c r="AT191" s="104" t="n">
        <v>0.04</v>
      </c>
      <c r="AU191" s="104" t="n">
        <v>0.09</v>
      </c>
      <c r="AV191" s="104" t="n">
        <v>0.34</v>
      </c>
      <c r="AW191" s="103" t="n">
        <v>0.86</v>
      </c>
      <c r="AX191" s="103" t="inlineStr">
        <is>
          <t>Distress</t>
        </is>
      </c>
      <c r="AY191" s="104" t="n">
        <v>-0.03</v>
      </c>
      <c r="AZ191" s="104" t="n">
        <v>0.09</v>
      </c>
      <c r="BA191" s="104" t="n">
        <v>0.71</v>
      </c>
      <c r="BB191" s="104" t="n">
        <v>0.34</v>
      </c>
      <c r="BC191" s="103" t="n">
        <v>0.84</v>
      </c>
      <c r="BD191" s="103" t="inlineStr">
        <is>
          <t>Distress</t>
        </is>
      </c>
      <c r="BE191" s="104" t="n">
        <v>0.05</v>
      </c>
      <c r="BF191" s="104" t="n">
        <v>1</v>
      </c>
      <c r="BG191" s="104" t="n">
        <v>0.71</v>
      </c>
      <c r="BH191" s="104" t="n">
        <v>1.12</v>
      </c>
      <c r="BI191" s="103" t="n">
        <v>0.75</v>
      </c>
      <c r="BJ191" s="103" t="inlineStr">
        <is>
          <t>Distress</t>
        </is>
      </c>
      <c r="BK191" s="103" t="n">
        <v>1</v>
      </c>
      <c r="BL191" s="103" t="n">
        <v>1</v>
      </c>
      <c r="BM191" s="103" t="n">
        <v>1</v>
      </c>
      <c r="BN191" s="103" t="n">
        <v>1</v>
      </c>
      <c r="BO191" s="103" t="n">
        <v>0</v>
      </c>
      <c r="BP191" s="103" t="n">
        <v>0</v>
      </c>
      <c r="BQ191" s="103" t="n">
        <v>0</v>
      </c>
      <c r="BR191" s="103" t="n">
        <v>1</v>
      </c>
      <c r="BS191" s="103" t="n">
        <v>1</v>
      </c>
      <c r="BT191" s="103" t="n">
        <v>6</v>
      </c>
      <c r="BU191" s="103" t="inlineStr">
        <is>
          <t>Mixed</t>
        </is>
      </c>
      <c r="BV191" s="104" t="n">
        <v>0.96</v>
      </c>
      <c r="BW191" s="104" t="n">
        <v>0.36</v>
      </c>
      <c r="BX191" s="104" t="n">
        <v>0.99</v>
      </c>
      <c r="BY191" s="104" t="n">
        <v>1.35</v>
      </c>
      <c r="BZ191" s="104" t="n">
        <v>0.79</v>
      </c>
      <c r="CA191" s="113" t="inlineStr">
        <is>
          <t>N/A</t>
        </is>
      </c>
      <c r="CB191" s="104" t="n">
        <v>1</v>
      </c>
      <c r="CC191" s="104" t="n">
        <v>-0.03</v>
      </c>
      <c r="CD191" s="103" t="n">
        <v>-2.55</v>
      </c>
      <c r="CE191" s="103" t="inlineStr">
        <is>
          <t>Lower Risk</t>
        </is>
      </c>
      <c r="CF191" s="104" t="n">
        <v>4.53</v>
      </c>
      <c r="CG191" s="104" t="n">
        <v>49.47</v>
      </c>
      <c r="CH191" s="103" t="n">
        <v>0</v>
      </c>
      <c r="CI191" s="103" t="inlineStr">
        <is>
          <t>CLEAR</t>
        </is>
      </c>
    </row>
    <row r="192" ht="17" customHeight="1">
      <c r="A192" s="107" t="inlineStr">
        <is>
          <t>HUBS</t>
        </is>
      </c>
      <c r="B192" s="107" t="inlineStr">
        <is>
          <t>HUBSPOT INC</t>
        </is>
      </c>
      <c r="C192" s="108" t="n">
        <v>982264000</v>
      </c>
      <c r="D192" s="109" t="n">
        <v>0.05</v>
      </c>
      <c r="E192" s="109" t="n">
        <v>0.48</v>
      </c>
      <c r="F192" s="109" t="n">
        <v>0.32</v>
      </c>
      <c r="G192" s="109" t="n">
        <v>0.01</v>
      </c>
      <c r="H192" s="109" t="n">
        <v>0</v>
      </c>
      <c r="I192" s="109" t="n">
        <v>0.02</v>
      </c>
      <c r="J192" s="109" t="n">
        <v>0</v>
      </c>
      <c r="K192" s="109" t="n">
        <v>18.21</v>
      </c>
      <c r="L192" s="109" t="n">
        <v>16.95</v>
      </c>
      <c r="M192" s="109" t="n">
        <v>0.04</v>
      </c>
      <c r="N192" s="108" t="n">
        <v>0.03</v>
      </c>
      <c r="O192" s="108" t="n">
        <v>1.67</v>
      </c>
      <c r="P192" s="108" t="n">
        <v>1.67</v>
      </c>
      <c r="Q192" s="108" t="n">
        <v>1.67</v>
      </c>
      <c r="R192" s="108" t="n">
        <v>0.6</v>
      </c>
      <c r="S192" s="108" t="n">
        <v>0.46</v>
      </c>
      <c r="T192" s="108" t="n">
        <v>0.5</v>
      </c>
      <c r="U192" s="111" t="inlineStr">
        <is>
          <t>N/A</t>
        </is>
      </c>
      <c r="V192" s="111" t="inlineStr">
        <is>
          <t>N/A</t>
        </is>
      </c>
      <c r="W192" s="108" t="n">
        <v>16.57</v>
      </c>
      <c r="X192" s="109" t="n">
        <v>4.91</v>
      </c>
      <c r="Y192" s="109" t="n">
        <v>6.29</v>
      </c>
      <c r="Z192" s="109" t="n">
        <v>1.94</v>
      </c>
      <c r="AA192" s="109" t="n">
        <v>0.09</v>
      </c>
      <c r="AB192" s="109" t="n">
        <v>8.92</v>
      </c>
      <c r="AC192" s="108" t="n">
        <v>-0.19</v>
      </c>
      <c r="AD192" s="108" t="n">
        <v>-0.19</v>
      </c>
      <c r="AE192" s="108" t="n">
        <v>0.25</v>
      </c>
      <c r="AF192" s="108" t="n">
        <v>-0.2</v>
      </c>
      <c r="AG192" s="108" t="n">
        <v>0</v>
      </c>
      <c r="AH192" s="108" t="n">
        <v>1.16</v>
      </c>
      <c r="AI192" s="108" t="n">
        <v>0.04</v>
      </c>
      <c r="AJ192" s="108" t="n">
        <v>0.77</v>
      </c>
      <c r="AK192" s="112" t="inlineStr">
        <is>
          <t>Distress</t>
        </is>
      </c>
      <c r="AL192" s="108" t="n">
        <v>0.25</v>
      </c>
      <c r="AM192" s="108" t="n">
        <v>-0.2</v>
      </c>
      <c r="AN192" s="108" t="n">
        <v>0</v>
      </c>
      <c r="AO192" s="108" t="n">
        <v>1.16</v>
      </c>
      <c r="AP192" s="108" t="n">
        <v>0.04</v>
      </c>
      <c r="AQ192" s="107" t="n">
        <v>0.55</v>
      </c>
      <c r="AR192" s="107" t="inlineStr">
        <is>
          <t>Distress</t>
        </is>
      </c>
      <c r="AS192" s="108" t="n">
        <v>0.25</v>
      </c>
      <c r="AT192" s="108" t="n">
        <v>-0.2</v>
      </c>
      <c r="AU192" s="108" t="n">
        <v>0</v>
      </c>
      <c r="AV192" s="108" t="n">
        <v>1.16</v>
      </c>
      <c r="AW192" s="107" t="n">
        <v>2.26</v>
      </c>
      <c r="AX192" s="107" t="inlineStr">
        <is>
          <t>Grey</t>
        </is>
      </c>
      <c r="AY192" s="108" t="n">
        <v>0.25</v>
      </c>
      <c r="AZ192" s="108" t="n">
        <v>0</v>
      </c>
      <c r="BA192" s="108" t="n">
        <v>0.05</v>
      </c>
      <c r="BB192" s="108" t="n">
        <v>0.04</v>
      </c>
      <c r="BC192" s="107" t="n">
        <v>0.31</v>
      </c>
      <c r="BD192" s="107" t="inlineStr">
        <is>
          <t>Distress</t>
        </is>
      </c>
      <c r="BE192" s="108" t="n">
        <v>0.01</v>
      </c>
      <c r="BF192" s="108" t="n">
        <v>0.46</v>
      </c>
      <c r="BG192" s="108" t="n">
        <v>1.67</v>
      </c>
      <c r="BH192" s="108" t="n">
        <v>-1.75</v>
      </c>
      <c r="BI192" s="107" t="n">
        <v>0.15</v>
      </c>
      <c r="BJ192" s="107" t="inlineStr">
        <is>
          <t>Healthy</t>
        </is>
      </c>
      <c r="BK192" s="107" t="n">
        <v>1</v>
      </c>
      <c r="BL192" s="107" t="n">
        <v>1</v>
      </c>
      <c r="BM192" s="107" t="n">
        <v>1</v>
      </c>
      <c r="BN192" s="107" t="n">
        <v>1</v>
      </c>
      <c r="BO192" s="107" t="n">
        <v>0</v>
      </c>
      <c r="BP192" s="107" t="n">
        <v>0</v>
      </c>
      <c r="BQ192" s="107" t="n">
        <v>0</v>
      </c>
      <c r="BR192" s="107" t="n">
        <v>1</v>
      </c>
      <c r="BS192" s="107" t="n">
        <v>1</v>
      </c>
      <c r="BT192" s="107" t="n">
        <v>6</v>
      </c>
      <c r="BU192" s="107" t="inlineStr">
        <is>
          <t>Mixed</t>
        </is>
      </c>
      <c r="BV192" s="108" t="n">
        <v>1.15</v>
      </c>
      <c r="BW192" s="108" t="n">
        <v>0.93</v>
      </c>
      <c r="BX192" s="108" t="n">
        <v>1.19</v>
      </c>
      <c r="BY192" s="108" t="n">
        <v>1.09</v>
      </c>
      <c r="BZ192" s="108" t="n">
        <v>1.06</v>
      </c>
      <c r="CA192" s="108" t="n">
        <v>0.99</v>
      </c>
      <c r="CB192" s="108" t="n">
        <v>0.93</v>
      </c>
      <c r="CC192" s="108" t="n">
        <v>-0.19</v>
      </c>
      <c r="CD192" s="107" t="n">
        <v>-3.06</v>
      </c>
      <c r="CE192" s="107" t="inlineStr">
        <is>
          <t>Lower Risk</t>
        </is>
      </c>
      <c r="CF192" s="111" t="inlineStr">
        <is>
          <t>N/A</t>
        </is>
      </c>
      <c r="CG192" s="108" t="n">
        <v>49.96</v>
      </c>
      <c r="CH192" s="107" t="n">
        <v>20</v>
      </c>
      <c r="CI192" s="107" t="inlineStr">
        <is>
          <t>CLEAR</t>
        </is>
      </c>
    </row>
    <row r="193" ht="17" customHeight="1">
      <c r="A193" s="103" t="inlineStr">
        <is>
          <t>ZION</t>
        </is>
      </c>
      <c r="B193" s="103" t="inlineStr">
        <is>
          <t>ZIONS BANCORPORATION, NATIONAL ASSOCIATION</t>
        </is>
      </c>
      <c r="C193" s="113" t="inlineStr">
        <is>
          <t>N/A</t>
        </is>
      </c>
      <c r="D193" s="113" t="inlineStr">
        <is>
          <t>N/A</t>
        </is>
      </c>
      <c r="E193" s="105" t="n">
        <v>1.77</v>
      </c>
      <c r="F193" s="105" t="n">
        <v>1.36</v>
      </c>
      <c r="G193" s="105" t="n">
        <v>0.01</v>
      </c>
      <c r="H193" s="105" t="n">
        <v>0</v>
      </c>
      <c r="I193" s="105" t="n">
        <v>0.13</v>
      </c>
      <c r="J193" s="113" t="inlineStr">
        <is>
          <t>N/A</t>
        </is>
      </c>
      <c r="K193" s="105" t="n">
        <v>-0.01</v>
      </c>
      <c r="L193" s="105" t="n">
        <v>-0.01</v>
      </c>
      <c r="M193" s="105" t="n">
        <v>0.01</v>
      </c>
      <c r="N193" s="104" t="n">
        <v>0.01</v>
      </c>
      <c r="O193" s="113" t="inlineStr">
        <is>
          <t>N/A</t>
        </is>
      </c>
      <c r="P193" s="113" t="inlineStr">
        <is>
          <t>N/A</t>
        </is>
      </c>
      <c r="Q193" s="113" t="inlineStr">
        <is>
          <t>N/A</t>
        </is>
      </c>
      <c r="R193" s="113" t="inlineStr">
        <is>
          <t>N/A</t>
        </is>
      </c>
      <c r="S193" s="104" t="n">
        <v>0.92</v>
      </c>
      <c r="T193" s="104" t="n">
        <v>0.93</v>
      </c>
      <c r="U193" s="104" t="n">
        <v>0.5600000000000001</v>
      </c>
      <c r="V193" s="104" t="n">
        <v>0.5600000000000001</v>
      </c>
      <c r="W193" s="104" t="n">
        <v>1.19</v>
      </c>
      <c r="X193" s="105" t="n">
        <v>1.44</v>
      </c>
      <c r="Y193" s="105" t="n">
        <v>0</v>
      </c>
      <c r="Z193" s="113" t="inlineStr">
        <is>
          <t>N/A</t>
        </is>
      </c>
      <c r="AA193" s="105" t="n">
        <v>0.04</v>
      </c>
      <c r="AB193" s="105" t="n">
        <v>2.42</v>
      </c>
      <c r="AC193" s="104" t="n">
        <v>-0</v>
      </c>
      <c r="AD193" s="104" t="n">
        <v>-0</v>
      </c>
      <c r="AE193" s="113" t="inlineStr">
        <is>
          <t>N/A</t>
        </is>
      </c>
      <c r="AF193" s="104" t="n">
        <v>0.08</v>
      </c>
      <c r="AG193" s="113" t="inlineStr">
        <is>
          <t>N/A</t>
        </is>
      </c>
      <c r="AH193" s="104" t="n">
        <v>0.09</v>
      </c>
      <c r="AI193" s="104" t="n">
        <v>0.01</v>
      </c>
      <c r="AJ193" s="113" t="inlineStr">
        <is>
          <t>N/A</t>
        </is>
      </c>
      <c r="AK193" s="113" t="inlineStr">
        <is>
          <t>N/A</t>
        </is>
      </c>
      <c r="AL193" s="113" t="inlineStr">
        <is>
          <t>N/A</t>
        </is>
      </c>
      <c r="AM193" s="104" t="n">
        <v>0.08</v>
      </c>
      <c r="AN193" s="113" t="inlineStr">
        <is>
          <t>N/A</t>
        </is>
      </c>
      <c r="AO193" s="104" t="n">
        <v>0.09</v>
      </c>
      <c r="AP193" s="104" t="n">
        <v>0.01</v>
      </c>
      <c r="AQ193" s="113" t="inlineStr">
        <is>
          <t>N/A</t>
        </is>
      </c>
      <c r="AR193" s="113" t="inlineStr">
        <is>
          <t>N/A</t>
        </is>
      </c>
      <c r="AS193" s="113" t="inlineStr">
        <is>
          <t>N/A</t>
        </is>
      </c>
      <c r="AT193" s="104" t="n">
        <v>0.08</v>
      </c>
      <c r="AU193" s="113" t="inlineStr">
        <is>
          <t>N/A</t>
        </is>
      </c>
      <c r="AV193" s="104" t="n">
        <v>0.09</v>
      </c>
      <c r="AW193" s="113" t="inlineStr">
        <is>
          <t>N/A</t>
        </is>
      </c>
      <c r="AX193" s="113" t="inlineStr">
        <is>
          <t>N/A</t>
        </is>
      </c>
      <c r="AY193" s="113" t="inlineStr">
        <is>
          <t>N/A</t>
        </is>
      </c>
      <c r="AZ193" s="113" t="inlineStr">
        <is>
          <t>N/A</t>
        </is>
      </c>
      <c r="BA193" s="113" t="inlineStr">
        <is>
          <t>N/A</t>
        </is>
      </c>
      <c r="BB193" s="104" t="n">
        <v>0.01</v>
      </c>
      <c r="BC193" s="113" t="inlineStr">
        <is>
          <t>N/A</t>
        </is>
      </c>
      <c r="BD193" s="113" t="inlineStr">
        <is>
          <t>N/A</t>
        </is>
      </c>
      <c r="BE193" s="104" t="n">
        <v>0.01</v>
      </c>
      <c r="BF193" s="104" t="n">
        <v>0.92</v>
      </c>
      <c r="BG193" s="113" t="inlineStr">
        <is>
          <t>N/A</t>
        </is>
      </c>
      <c r="BH193" s="113" t="inlineStr">
        <is>
          <t>N/A</t>
        </is>
      </c>
      <c r="BI193" s="113" t="inlineStr">
        <is>
          <t>N/A</t>
        </is>
      </c>
      <c r="BJ193" s="113" t="inlineStr">
        <is>
          <t>N/A</t>
        </is>
      </c>
      <c r="BK193" s="103" t="n">
        <v>1</v>
      </c>
      <c r="BL193" s="103" t="n">
        <v>1</v>
      </c>
      <c r="BM193" s="103" t="n">
        <v>1</v>
      </c>
      <c r="BN193" s="103" t="n">
        <v>1</v>
      </c>
      <c r="BO193" s="103" t="n">
        <v>0</v>
      </c>
      <c r="BP193" s="103" t="n">
        <v>0</v>
      </c>
      <c r="BQ193" s="103" t="n">
        <v>1</v>
      </c>
      <c r="BR193" s="103" t="n">
        <v>1</v>
      </c>
      <c r="BS193" s="103" t="n">
        <v>1</v>
      </c>
      <c r="BT193" s="103" t="n">
        <v>7</v>
      </c>
      <c r="BU193" s="103" t="inlineStr">
        <is>
          <t>Strong</t>
        </is>
      </c>
      <c r="BV193" s="113" t="inlineStr">
        <is>
          <t>N/A</t>
        </is>
      </c>
      <c r="BW193" s="113" t="inlineStr">
        <is>
          <t>N/A</t>
        </is>
      </c>
      <c r="BX193" s="104" t="n">
        <v>1</v>
      </c>
      <c r="BY193" s="104" t="n">
        <v>1.04</v>
      </c>
      <c r="BZ193" s="104" t="n">
        <v>1.08</v>
      </c>
      <c r="CA193" s="113" t="inlineStr">
        <is>
          <t>N/A</t>
        </is>
      </c>
      <c r="CB193" s="104" t="n">
        <v>0.99</v>
      </c>
      <c r="CC193" s="104" t="n">
        <v>-0</v>
      </c>
      <c r="CD193" s="113" t="inlineStr">
        <is>
          <t>N/A</t>
        </is>
      </c>
      <c r="CE193" s="113" t="inlineStr">
        <is>
          <t>N/A</t>
        </is>
      </c>
      <c r="CF193" s="113" t="inlineStr">
        <is>
          <t>N/A</t>
        </is>
      </c>
      <c r="CG193" s="104" t="n">
        <v>50.72</v>
      </c>
      <c r="CH193" s="103" t="n">
        <v>0</v>
      </c>
      <c r="CI193" s="103" t="inlineStr">
        <is>
          <t>CLEAR</t>
        </is>
      </c>
    </row>
    <row r="194" ht="17" customHeight="1">
      <c r="A194" s="107" t="inlineStr">
        <is>
          <t>CCK</t>
        </is>
      </c>
      <c r="B194" s="107" t="inlineStr">
        <is>
          <t>CROWN HOLDINGS, INC.</t>
        </is>
      </c>
      <c r="C194" s="108" t="n">
        <v>122000000</v>
      </c>
      <c r="D194" s="109" t="n">
        <v>0.13</v>
      </c>
      <c r="E194" s="109" t="n">
        <v>0.05</v>
      </c>
      <c r="F194" s="109" t="n">
        <v>0.06</v>
      </c>
      <c r="G194" s="109" t="n">
        <v>0.05</v>
      </c>
      <c r="H194" s="109" t="n">
        <v>0.03</v>
      </c>
      <c r="I194" s="109" t="n">
        <v>0.25</v>
      </c>
      <c r="J194" s="109" t="n">
        <v>0.16</v>
      </c>
      <c r="K194" s="109" t="n">
        <v>0.04</v>
      </c>
      <c r="L194" s="109" t="n">
        <v>0.2</v>
      </c>
      <c r="M194" s="109" t="n">
        <v>0.82</v>
      </c>
      <c r="N194" s="108" t="n">
        <v>0.2</v>
      </c>
      <c r="O194" s="108" t="n">
        <v>1.03</v>
      </c>
      <c r="P194" s="108" t="n">
        <v>1.22</v>
      </c>
      <c r="Q194" s="108" t="n">
        <v>0.66</v>
      </c>
      <c r="R194" s="108" t="n">
        <v>0.18</v>
      </c>
      <c r="S194" s="108" t="n">
        <v>1</v>
      </c>
      <c r="T194" s="108" t="n">
        <v>1</v>
      </c>
      <c r="U194" s="108" t="n">
        <v>1.99</v>
      </c>
      <c r="V194" s="108" t="n">
        <v>1.73</v>
      </c>
      <c r="W194" s="108" t="n">
        <v>2.07</v>
      </c>
      <c r="X194" s="109" t="n">
        <v>0.1</v>
      </c>
      <c r="Y194" s="109" t="n">
        <v>0</v>
      </c>
      <c r="Z194" s="109" t="n">
        <v>3.44</v>
      </c>
      <c r="AA194" s="109" t="n">
        <v>3.18</v>
      </c>
      <c r="AB194" s="109" t="n">
        <v>0.74</v>
      </c>
      <c r="AC194" s="108" t="n">
        <v>-0.06</v>
      </c>
      <c r="AD194" s="108" t="n">
        <v>-0.06</v>
      </c>
      <c r="AE194" s="108" t="n">
        <v>0.01</v>
      </c>
      <c r="AF194" s="108" t="n">
        <v>0.27</v>
      </c>
      <c r="AG194" s="108" t="n">
        <v>0.11</v>
      </c>
      <c r="AH194" s="108" t="n">
        <v>0.21</v>
      </c>
      <c r="AI194" s="108" t="n">
        <v>0.82</v>
      </c>
      <c r="AJ194" s="108" t="n">
        <v>1.69</v>
      </c>
      <c r="AK194" s="112" t="inlineStr">
        <is>
          <t>Distress</t>
        </is>
      </c>
      <c r="AL194" s="108" t="n">
        <v>0.01</v>
      </c>
      <c r="AM194" s="108" t="n">
        <v>0.27</v>
      </c>
      <c r="AN194" s="108" t="n">
        <v>0.11</v>
      </c>
      <c r="AO194" s="108" t="n">
        <v>0.21</v>
      </c>
      <c r="AP194" s="108" t="n">
        <v>0.82</v>
      </c>
      <c r="AQ194" s="107" t="n">
        <v>1.47</v>
      </c>
      <c r="AR194" s="107" t="inlineStr">
        <is>
          <t>Grey</t>
        </is>
      </c>
      <c r="AS194" s="108" t="n">
        <v>0.01</v>
      </c>
      <c r="AT194" s="108" t="n">
        <v>0.27</v>
      </c>
      <c r="AU194" s="108" t="n">
        <v>0.11</v>
      </c>
      <c r="AV194" s="108" t="n">
        <v>0.21</v>
      </c>
      <c r="AW194" s="107" t="n">
        <v>1.88</v>
      </c>
      <c r="AX194" s="107" t="inlineStr">
        <is>
          <t>Grey</t>
        </is>
      </c>
      <c r="AY194" s="108" t="n">
        <v>0.01</v>
      </c>
      <c r="AZ194" s="108" t="n">
        <v>0.11</v>
      </c>
      <c r="BA194" s="108" t="n">
        <v>0.14</v>
      </c>
      <c r="BB194" s="108" t="n">
        <v>0.82</v>
      </c>
      <c r="BC194" s="107" t="n">
        <v>0.76</v>
      </c>
      <c r="BD194" s="107" t="inlineStr">
        <is>
          <t>Distress</t>
        </is>
      </c>
      <c r="BE194" s="108" t="n">
        <v>0.05</v>
      </c>
      <c r="BF194" s="108" t="n">
        <v>1</v>
      </c>
      <c r="BG194" s="108" t="n">
        <v>1.03</v>
      </c>
      <c r="BH194" s="108" t="n">
        <v>1.11</v>
      </c>
      <c r="BI194" s="107" t="n">
        <v>0.75</v>
      </c>
      <c r="BJ194" s="107" t="inlineStr">
        <is>
          <t>Distress</t>
        </is>
      </c>
      <c r="BK194" s="107" t="n">
        <v>1</v>
      </c>
      <c r="BL194" s="107" t="n">
        <v>1</v>
      </c>
      <c r="BM194" s="107" t="n">
        <v>1</v>
      </c>
      <c r="BN194" s="107" t="n">
        <v>1</v>
      </c>
      <c r="BO194" s="107" t="n">
        <v>1</v>
      </c>
      <c r="BP194" s="107" t="n">
        <v>0</v>
      </c>
      <c r="BQ194" s="107" t="n">
        <v>1</v>
      </c>
      <c r="BR194" s="107" t="n">
        <v>0</v>
      </c>
      <c r="BS194" s="107" t="n">
        <v>1</v>
      </c>
      <c r="BT194" s="107" t="n">
        <v>7</v>
      </c>
      <c r="BU194" s="107" t="inlineStr">
        <is>
          <t>Strong</t>
        </is>
      </c>
      <c r="BV194" s="108" t="n">
        <v>0.24</v>
      </c>
      <c r="BW194" s="108" t="n">
        <v>4.64</v>
      </c>
      <c r="BX194" s="108" t="n">
        <v>0.97</v>
      </c>
      <c r="BY194" s="108" t="n">
        <v>4.18</v>
      </c>
      <c r="BZ194" s="108" t="n">
        <v>1.01</v>
      </c>
      <c r="CA194" s="108" t="n">
        <v>0.25</v>
      </c>
      <c r="CB194" s="108" t="n">
        <v>1</v>
      </c>
      <c r="CC194" s="108" t="n">
        <v>-0.06</v>
      </c>
      <c r="CD194" s="107" t="n">
        <v>1.43</v>
      </c>
      <c r="CE194" s="107" t="inlineStr">
        <is>
          <t>Higher Risk</t>
        </is>
      </c>
      <c r="CF194" s="108" t="n">
        <v>2.79</v>
      </c>
      <c r="CG194" s="108" t="n">
        <v>50.88</v>
      </c>
      <c r="CH194" s="107" t="n">
        <v>20</v>
      </c>
      <c r="CI194" s="107" t="inlineStr">
        <is>
          <t>CLEAR</t>
        </is>
      </c>
    </row>
    <row r="195" ht="17" customHeight="1">
      <c r="A195" s="103" t="inlineStr">
        <is>
          <t>APH</t>
        </is>
      </c>
      <c r="B195" s="103" t="inlineStr">
        <is>
          <t>AMPHENOL CORP /DE/</t>
        </is>
      </c>
      <c r="C195" s="104" t="n">
        <v>13464400000</v>
      </c>
      <c r="D195" s="105" t="n">
        <v>0.25</v>
      </c>
      <c r="E195" s="105" t="n">
        <v>0.24</v>
      </c>
      <c r="F195" s="105" t="n">
        <v>0.18</v>
      </c>
      <c r="G195" s="105" t="n">
        <v>0.12</v>
      </c>
      <c r="H195" s="105" t="n">
        <v>0.11</v>
      </c>
      <c r="I195" s="105" t="n">
        <v>0.32</v>
      </c>
      <c r="J195" s="105" t="n">
        <v>0.2</v>
      </c>
      <c r="K195" s="105" t="n">
        <v>0.37</v>
      </c>
      <c r="L195" s="105" t="n">
        <v>0.34</v>
      </c>
      <c r="M195" s="105" t="n">
        <v>0.64</v>
      </c>
      <c r="N195" s="104" t="n">
        <v>0.71</v>
      </c>
      <c r="O195" s="104" t="n">
        <v>2.98</v>
      </c>
      <c r="P195" s="104" t="n">
        <v>2.37</v>
      </c>
      <c r="Q195" s="104" t="n">
        <v>2.48</v>
      </c>
      <c r="R195" s="104" t="n">
        <v>1.64</v>
      </c>
      <c r="S195" s="104" t="n">
        <v>0.63</v>
      </c>
      <c r="T195" s="104" t="n">
        <v>0.54</v>
      </c>
      <c r="U195" s="104" t="n">
        <v>0.26</v>
      </c>
      <c r="V195" s="104" t="n">
        <v>-0.57</v>
      </c>
      <c r="W195" s="104" t="n">
        <v>1.26</v>
      </c>
      <c r="X195" s="105" t="n">
        <v>0.19</v>
      </c>
      <c r="Y195" s="105" t="n">
        <v>0.03</v>
      </c>
      <c r="Z195" s="105" t="n">
        <v>42.07</v>
      </c>
      <c r="AA195" s="105" t="n">
        <v>0.52</v>
      </c>
      <c r="AB195" s="105" t="n">
        <v>0.76</v>
      </c>
      <c r="AC195" s="104" t="n">
        <v>-0.03</v>
      </c>
      <c r="AD195" s="104" t="n">
        <v>-0.03</v>
      </c>
      <c r="AE195" s="104" t="n">
        <v>0.37</v>
      </c>
      <c r="AF195" s="104" t="n">
        <v>0.27</v>
      </c>
      <c r="AG195" s="104" t="n">
        <v>0.16</v>
      </c>
      <c r="AH195" s="104" t="n">
        <v>0.59</v>
      </c>
      <c r="AI195" s="104" t="n">
        <v>0.64</v>
      </c>
      <c r="AJ195" s="104" t="n">
        <v>2.35</v>
      </c>
      <c r="AK195" s="106" t="inlineStr">
        <is>
          <t>Grey</t>
        </is>
      </c>
      <c r="AL195" s="104" t="n">
        <v>0.37</v>
      </c>
      <c r="AM195" s="104" t="n">
        <v>0.27</v>
      </c>
      <c r="AN195" s="104" t="n">
        <v>0.16</v>
      </c>
      <c r="AO195" s="104" t="n">
        <v>0.59</v>
      </c>
      <c r="AP195" s="104" t="n">
        <v>0.64</v>
      </c>
      <c r="AQ195" s="103" t="n">
        <v>1.88</v>
      </c>
      <c r="AR195" s="103" t="inlineStr">
        <is>
          <t>Grey</t>
        </is>
      </c>
      <c r="AS195" s="104" t="n">
        <v>0.37</v>
      </c>
      <c r="AT195" s="104" t="n">
        <v>0.27</v>
      </c>
      <c r="AU195" s="104" t="n">
        <v>0.16</v>
      </c>
      <c r="AV195" s="104" t="n">
        <v>0.59</v>
      </c>
      <c r="AW195" s="103" t="n">
        <v>5.03</v>
      </c>
      <c r="AX195" s="103" t="inlineStr">
        <is>
          <t>Safe</t>
        </is>
      </c>
      <c r="AY195" s="104" t="n">
        <v>0.37</v>
      </c>
      <c r="AZ195" s="104" t="n">
        <v>0.16</v>
      </c>
      <c r="BA195" s="104" t="n">
        <v>0.82</v>
      </c>
      <c r="BB195" s="104" t="n">
        <v>0.64</v>
      </c>
      <c r="BC195" s="103" t="n">
        <v>1.68</v>
      </c>
      <c r="BD195" s="103" t="inlineStr">
        <is>
          <t>Healthy</t>
        </is>
      </c>
      <c r="BE195" s="104" t="n">
        <v>0.12</v>
      </c>
      <c r="BF195" s="104" t="n">
        <v>0.63</v>
      </c>
      <c r="BG195" s="104" t="n">
        <v>2.98</v>
      </c>
      <c r="BH195" s="104" t="n">
        <v>-1.29</v>
      </c>
      <c r="BI195" s="103" t="n">
        <v>0.22</v>
      </c>
      <c r="BJ195" s="103" t="inlineStr">
        <is>
          <t>Healthy</t>
        </is>
      </c>
      <c r="BK195" s="103" t="n">
        <v>1</v>
      </c>
      <c r="BL195" s="103" t="n">
        <v>1</v>
      </c>
      <c r="BM195" s="103" t="n">
        <v>1</v>
      </c>
      <c r="BN195" s="103" t="n">
        <v>1</v>
      </c>
      <c r="BO195" s="103" t="n">
        <v>1</v>
      </c>
      <c r="BP195" s="103" t="n">
        <v>1</v>
      </c>
      <c r="BQ195" s="103" t="n">
        <v>0</v>
      </c>
      <c r="BR195" s="103" t="n">
        <v>1</v>
      </c>
      <c r="BS195" s="103" t="n">
        <v>0</v>
      </c>
      <c r="BT195" s="103" t="n">
        <v>7</v>
      </c>
      <c r="BU195" s="103" t="inlineStr">
        <is>
          <t>Strong</t>
        </is>
      </c>
      <c r="BV195" s="104" t="n">
        <v>0.95</v>
      </c>
      <c r="BW195" s="104" t="n">
        <v>0.92</v>
      </c>
      <c r="BX195" s="104" t="n">
        <v>0.8100000000000001</v>
      </c>
      <c r="BY195" s="104" t="n">
        <v>1.52</v>
      </c>
      <c r="BZ195" s="104" t="n">
        <v>0.88</v>
      </c>
      <c r="CA195" s="104" t="n">
        <v>0.9</v>
      </c>
      <c r="CB195" s="104" t="n">
        <v>1.16</v>
      </c>
      <c r="CC195" s="104" t="n">
        <v>-0.03</v>
      </c>
      <c r="CD195" s="103" t="n">
        <v>-2.38</v>
      </c>
      <c r="CE195" s="103" t="inlineStr">
        <is>
          <t>Lower Risk</t>
        </is>
      </c>
      <c r="CF195" s="104" t="n">
        <v>-1.12</v>
      </c>
      <c r="CG195" s="104" t="n">
        <v>57.55</v>
      </c>
      <c r="CH195" s="103" t="n">
        <v>0</v>
      </c>
      <c r="CI195" s="103" t="inlineStr">
        <is>
          <t>CLEAR</t>
        </is>
      </c>
    </row>
    <row r="196" ht="17" customHeight="1">
      <c r="A196" s="107" t="inlineStr">
        <is>
          <t>BAH</t>
        </is>
      </c>
      <c r="B196" s="107" t="inlineStr">
        <is>
          <t>BOOZ ALLEN HAMILTON HOLDING CORPORATION</t>
        </is>
      </c>
      <c r="C196" s="108" t="n">
        <v>1298000000</v>
      </c>
      <c r="D196" s="109" t="n">
        <v>0.09</v>
      </c>
      <c r="E196" s="109" t="n">
        <v>0.08</v>
      </c>
      <c r="F196" s="109" t="n">
        <v>0.08</v>
      </c>
      <c r="G196" s="109" t="n">
        <v>0.12</v>
      </c>
      <c r="H196" s="109" t="n">
        <v>0.13</v>
      </c>
      <c r="I196" s="109" t="n">
        <v>0.77</v>
      </c>
      <c r="J196" s="109" t="n">
        <v>0.19</v>
      </c>
      <c r="K196" s="109" t="n">
        <v>0.53</v>
      </c>
      <c r="L196" s="109" t="n">
        <v>0.55</v>
      </c>
      <c r="M196" s="109" t="n">
        <v>1.58</v>
      </c>
      <c r="N196" s="108" t="n">
        <v>1.64</v>
      </c>
      <c r="O196" s="108" t="n">
        <v>1.78</v>
      </c>
      <c r="P196" s="108" t="n">
        <v>1.79</v>
      </c>
      <c r="Q196" s="108" t="n">
        <v>1.78</v>
      </c>
      <c r="R196" s="108" t="n">
        <v>0.44</v>
      </c>
      <c r="S196" s="108" t="n">
        <v>0.84</v>
      </c>
      <c r="T196" s="108" t="n">
        <v>0.86</v>
      </c>
      <c r="U196" s="108" t="n">
        <v>3.58</v>
      </c>
      <c r="V196" s="108" t="n">
        <v>2.92</v>
      </c>
      <c r="W196" s="108" t="n">
        <v>1.22</v>
      </c>
      <c r="X196" s="109" t="n">
        <v>0.09</v>
      </c>
      <c r="Y196" s="109" t="n">
        <v>0</v>
      </c>
      <c r="Z196" s="109" t="n">
        <v>5.97</v>
      </c>
      <c r="AA196" s="109" t="n">
        <v>-0.06</v>
      </c>
      <c r="AB196" s="109" t="n">
        <v>-0.09</v>
      </c>
      <c r="AC196" s="108" t="n">
        <v>-0.03</v>
      </c>
      <c r="AD196" s="108" t="n">
        <v>-0.03</v>
      </c>
      <c r="AE196" s="108" t="n">
        <v>0.18</v>
      </c>
      <c r="AF196" s="108" t="n">
        <v>0.51</v>
      </c>
      <c r="AG196" s="108" t="n">
        <v>0.15</v>
      </c>
      <c r="AH196" s="108" t="n">
        <v>0.18</v>
      </c>
      <c r="AI196" s="108" t="n">
        <v>1.58</v>
      </c>
      <c r="AJ196" s="108" t="n">
        <v>3.1</v>
      </c>
      <c r="AK196" s="110" t="inlineStr">
        <is>
          <t>Safe</t>
        </is>
      </c>
      <c r="AL196" s="108" t="n">
        <v>0.18</v>
      </c>
      <c r="AM196" s="108" t="n">
        <v>0.51</v>
      </c>
      <c r="AN196" s="108" t="n">
        <v>0.15</v>
      </c>
      <c r="AO196" s="108" t="n">
        <v>0.18</v>
      </c>
      <c r="AP196" s="108" t="n">
        <v>1.58</v>
      </c>
      <c r="AQ196" s="107" t="n">
        <v>2.67</v>
      </c>
      <c r="AR196" s="107" t="inlineStr">
        <is>
          <t>Grey</t>
        </is>
      </c>
      <c r="AS196" s="108" t="n">
        <v>0.18</v>
      </c>
      <c r="AT196" s="108" t="n">
        <v>0.51</v>
      </c>
      <c r="AU196" s="108" t="n">
        <v>0.15</v>
      </c>
      <c r="AV196" s="108" t="n">
        <v>0.18</v>
      </c>
      <c r="AW196" s="107" t="n">
        <v>4.03</v>
      </c>
      <c r="AX196" s="107" t="inlineStr">
        <is>
          <t>Safe</t>
        </is>
      </c>
      <c r="AY196" s="108" t="n">
        <v>0.18</v>
      </c>
      <c r="AZ196" s="108" t="n">
        <v>0.15</v>
      </c>
      <c r="BA196" s="108" t="n">
        <v>0.52</v>
      </c>
      <c r="BB196" s="108" t="n">
        <v>1.58</v>
      </c>
      <c r="BC196" s="107" t="n">
        <v>1.61</v>
      </c>
      <c r="BD196" s="107" t="inlineStr">
        <is>
          <t>Healthy</t>
        </is>
      </c>
      <c r="BE196" s="108" t="n">
        <v>0.12</v>
      </c>
      <c r="BF196" s="108" t="n">
        <v>0.84</v>
      </c>
      <c r="BG196" s="108" t="n">
        <v>1.78</v>
      </c>
      <c r="BH196" s="108" t="n">
        <v>-0.07000000000000001</v>
      </c>
      <c r="BI196" s="107" t="n">
        <v>0.48</v>
      </c>
      <c r="BJ196" s="107" t="inlineStr">
        <is>
          <t>Healthy</t>
        </is>
      </c>
      <c r="BK196" s="107" t="n">
        <v>1</v>
      </c>
      <c r="BL196" s="107" t="n">
        <v>1</v>
      </c>
      <c r="BM196" s="107" t="n">
        <v>0</v>
      </c>
      <c r="BN196" s="107" t="n">
        <v>1</v>
      </c>
      <c r="BO196" s="107" t="n">
        <v>0</v>
      </c>
      <c r="BP196" s="107" t="n">
        <v>0</v>
      </c>
      <c r="BQ196" s="107" t="n">
        <v>1</v>
      </c>
      <c r="BR196" s="107" t="n">
        <v>0</v>
      </c>
      <c r="BS196" s="107" t="n">
        <v>0</v>
      </c>
      <c r="BT196" s="107" t="n">
        <v>4</v>
      </c>
      <c r="BU196" s="107" t="inlineStr">
        <is>
          <t>Mixed</t>
        </is>
      </c>
      <c r="BV196" s="108" t="n">
        <v>0.97</v>
      </c>
      <c r="BW196" s="108" t="n">
        <v>1.04</v>
      </c>
      <c r="BX196" s="108" t="n">
        <v>1.07</v>
      </c>
      <c r="BY196" s="108" t="n">
        <v>0.9399999999999999</v>
      </c>
      <c r="BZ196" s="108" t="n">
        <v>0.99</v>
      </c>
      <c r="CA196" s="108" t="n">
        <v>1.09</v>
      </c>
      <c r="CB196" s="108" t="n">
        <v>0.98</v>
      </c>
      <c r="CC196" s="108" t="n">
        <v>-0.03</v>
      </c>
      <c r="CD196" s="107" t="n">
        <v>-2.65</v>
      </c>
      <c r="CE196" s="107" t="inlineStr">
        <is>
          <t>Lower Risk</t>
        </is>
      </c>
      <c r="CF196" s="108" t="n">
        <v>2.7</v>
      </c>
      <c r="CG196" s="108" t="n">
        <v>48.38</v>
      </c>
      <c r="CH196" s="107" t="n">
        <v>0</v>
      </c>
      <c r="CI196" s="107" t="inlineStr">
        <is>
          <t>CLEAR</t>
        </is>
      </c>
    </row>
    <row r="197" ht="17" customHeight="1">
      <c r="A197" s="103" t="inlineStr">
        <is>
          <t>MS</t>
        </is>
      </c>
      <c r="B197" s="103" t="inlineStr">
        <is>
          <t>MORGAN STANLEY</t>
        </is>
      </c>
      <c r="C197" s="113" t="inlineStr">
        <is>
          <t>N/A</t>
        </is>
      </c>
      <c r="D197" s="105" t="n">
        <v>0.64</v>
      </c>
      <c r="E197" s="105" t="n">
        <v>0.64</v>
      </c>
      <c r="F197" s="105" t="n">
        <v>0.49</v>
      </c>
      <c r="G197" s="105" t="n">
        <v>0.01</v>
      </c>
      <c r="H197" s="105" t="n">
        <v>0.01</v>
      </c>
      <c r="I197" s="105" t="n">
        <v>0.15</v>
      </c>
      <c r="J197" s="113" t="inlineStr">
        <is>
          <t>N/A</t>
        </is>
      </c>
      <c r="K197" s="105" t="n">
        <v>-0.01</v>
      </c>
      <c r="L197" s="105" t="n">
        <v>-0.03</v>
      </c>
      <c r="M197" s="105" t="n">
        <v>0.02</v>
      </c>
      <c r="N197" s="104" t="n">
        <v>0.01</v>
      </c>
      <c r="O197" s="113" t="inlineStr">
        <is>
          <t>N/A</t>
        </is>
      </c>
      <c r="P197" s="113" t="inlineStr">
        <is>
          <t>N/A</t>
        </is>
      </c>
      <c r="Q197" s="113" t="inlineStr">
        <is>
          <t>N/A</t>
        </is>
      </c>
      <c r="R197" s="113" t="inlineStr">
        <is>
          <t>N/A</t>
        </is>
      </c>
      <c r="S197" s="104" t="n">
        <v>0.92</v>
      </c>
      <c r="T197" s="104" t="n">
        <v>0.91</v>
      </c>
      <c r="U197" s="104" t="n">
        <v>3.07</v>
      </c>
      <c r="V197" s="104" t="n">
        <v>2.07</v>
      </c>
      <c r="W197" s="104" t="n">
        <v>-1.06</v>
      </c>
      <c r="X197" s="113" t="inlineStr">
        <is>
          <t>N/A</t>
        </is>
      </c>
      <c r="Y197" s="105" t="n">
        <v>0</v>
      </c>
      <c r="Z197" s="105" t="n">
        <v>0.52</v>
      </c>
      <c r="AA197" s="105" t="n">
        <v>3.41</v>
      </c>
      <c r="AB197" s="105" t="n">
        <v>0.26</v>
      </c>
      <c r="AC197" s="104" t="n">
        <v>0.02</v>
      </c>
      <c r="AD197" s="104" t="n">
        <v>0.02</v>
      </c>
      <c r="AE197" s="113" t="inlineStr">
        <is>
          <t>N/A</t>
        </is>
      </c>
      <c r="AF197" s="104" t="n">
        <v>0.08</v>
      </c>
      <c r="AG197" s="104" t="n">
        <v>0.02</v>
      </c>
      <c r="AH197" s="104" t="n">
        <v>0.09</v>
      </c>
      <c r="AI197" s="104" t="n">
        <v>0.02</v>
      </c>
      <c r="AJ197" s="113" t="inlineStr">
        <is>
          <t>N/A</t>
        </is>
      </c>
      <c r="AK197" s="113" t="inlineStr">
        <is>
          <t>N/A</t>
        </is>
      </c>
      <c r="AL197" s="113" t="inlineStr">
        <is>
          <t>N/A</t>
        </is>
      </c>
      <c r="AM197" s="104" t="n">
        <v>0.08</v>
      </c>
      <c r="AN197" s="104" t="n">
        <v>0.02</v>
      </c>
      <c r="AO197" s="104" t="n">
        <v>0.09</v>
      </c>
      <c r="AP197" s="104" t="n">
        <v>0.02</v>
      </c>
      <c r="AQ197" s="113" t="inlineStr">
        <is>
          <t>N/A</t>
        </is>
      </c>
      <c r="AR197" s="113" t="inlineStr">
        <is>
          <t>N/A</t>
        </is>
      </c>
      <c r="AS197" s="113" t="inlineStr">
        <is>
          <t>N/A</t>
        </is>
      </c>
      <c r="AT197" s="104" t="n">
        <v>0.08</v>
      </c>
      <c r="AU197" s="104" t="n">
        <v>0.02</v>
      </c>
      <c r="AV197" s="104" t="n">
        <v>0.09</v>
      </c>
      <c r="AW197" s="113" t="inlineStr">
        <is>
          <t>N/A</t>
        </is>
      </c>
      <c r="AX197" s="113" t="inlineStr">
        <is>
          <t>N/A</t>
        </is>
      </c>
      <c r="AY197" s="113" t="inlineStr">
        <is>
          <t>N/A</t>
        </is>
      </c>
      <c r="AZ197" s="104" t="n">
        <v>0.02</v>
      </c>
      <c r="BA197" s="113" t="inlineStr">
        <is>
          <t>N/A</t>
        </is>
      </c>
      <c r="BB197" s="104" t="n">
        <v>0.02</v>
      </c>
      <c r="BC197" s="113" t="inlineStr">
        <is>
          <t>N/A</t>
        </is>
      </c>
      <c r="BD197" s="113" t="inlineStr">
        <is>
          <t>N/A</t>
        </is>
      </c>
      <c r="BE197" s="104" t="n">
        <v>0.01</v>
      </c>
      <c r="BF197" s="104" t="n">
        <v>0.92</v>
      </c>
      <c r="BG197" s="113" t="inlineStr">
        <is>
          <t>N/A</t>
        </is>
      </c>
      <c r="BH197" s="113" t="inlineStr">
        <is>
          <t>N/A</t>
        </is>
      </c>
      <c r="BI197" s="113" t="inlineStr">
        <is>
          <t>N/A</t>
        </is>
      </c>
      <c r="BJ197" s="113" t="inlineStr">
        <is>
          <t>N/A</t>
        </is>
      </c>
      <c r="BK197" s="103" t="n">
        <v>1</v>
      </c>
      <c r="BL197" s="103" t="n">
        <v>0</v>
      </c>
      <c r="BM197" s="103" t="n">
        <v>1</v>
      </c>
      <c r="BN197" s="103" t="n">
        <v>0</v>
      </c>
      <c r="BO197" s="103" t="n">
        <v>0</v>
      </c>
      <c r="BP197" s="103" t="n">
        <v>0</v>
      </c>
      <c r="BQ197" s="103" t="n">
        <v>1</v>
      </c>
      <c r="BR197" s="103" t="n">
        <v>1</v>
      </c>
      <c r="BS197" s="103" t="n">
        <v>1</v>
      </c>
      <c r="BT197" s="103" t="n">
        <v>5</v>
      </c>
      <c r="BU197" s="103" t="inlineStr">
        <is>
          <t>Mixed</t>
        </is>
      </c>
      <c r="BV197" s="104" t="n">
        <v>0.31</v>
      </c>
      <c r="BW197" s="113" t="inlineStr">
        <is>
          <t>N/A</t>
        </is>
      </c>
      <c r="BX197" s="104" t="n">
        <v>1</v>
      </c>
      <c r="BY197" s="104" t="n">
        <v>4.41</v>
      </c>
      <c r="BZ197" s="104" t="n">
        <v>1.08</v>
      </c>
      <c r="CA197" s="113" t="inlineStr">
        <is>
          <t>N/A</t>
        </is>
      </c>
      <c r="CB197" s="104" t="n">
        <v>1.01</v>
      </c>
      <c r="CC197" s="104" t="n">
        <v>0.02</v>
      </c>
      <c r="CD197" s="113" t="inlineStr">
        <is>
          <t>N/A</t>
        </is>
      </c>
      <c r="CE197" s="113" t="inlineStr">
        <is>
          <t>N/A</t>
        </is>
      </c>
      <c r="CF197" s="104" t="n">
        <v>8.68</v>
      </c>
      <c r="CG197" s="104" t="n">
        <v>42.94</v>
      </c>
      <c r="CH197" s="106" t="n">
        <v>40</v>
      </c>
      <c r="CI197" s="103" t="inlineStr">
        <is>
          <t>WATCH</t>
        </is>
      </c>
    </row>
    <row r="198" ht="17" customHeight="1">
      <c r="A198" s="107" t="inlineStr">
        <is>
          <t>CUBE</t>
        </is>
      </c>
      <c r="B198" s="107" t="inlineStr">
        <is>
          <t>CUBESMART</t>
        </is>
      </c>
      <c r="C198" s="111" t="inlineStr">
        <is>
          <t>N/A</t>
        </is>
      </c>
      <c r="D198" s="109" t="n">
        <v>0.17</v>
      </c>
      <c r="E198" s="111" t="inlineStr">
        <is>
          <t>N/A</t>
        </is>
      </c>
      <c r="F198" s="109" t="n">
        <v>0.04</v>
      </c>
      <c r="G198" s="109" t="n">
        <v>0.01</v>
      </c>
      <c r="H198" s="109" t="n">
        <v>0.01</v>
      </c>
      <c r="I198" s="109" t="n">
        <v>0.02</v>
      </c>
      <c r="J198" s="111" t="inlineStr">
        <is>
          <t>N/A</t>
        </is>
      </c>
      <c r="K198" s="109" t="n">
        <v>0.93</v>
      </c>
      <c r="L198" s="109" t="n">
        <v>0.89</v>
      </c>
      <c r="M198" s="109" t="n">
        <v>0.17</v>
      </c>
      <c r="N198" s="108" t="n">
        <v>0.17</v>
      </c>
      <c r="O198" s="111" t="inlineStr">
        <is>
          <t>N/A</t>
        </is>
      </c>
      <c r="P198" s="111" t="inlineStr">
        <is>
          <t>N/A</t>
        </is>
      </c>
      <c r="Q198" s="111" t="inlineStr">
        <is>
          <t>N/A</t>
        </is>
      </c>
      <c r="R198" s="111" t="inlineStr">
        <is>
          <t>N/A</t>
        </is>
      </c>
      <c r="S198" s="108" t="n">
        <v>0.58</v>
      </c>
      <c r="T198" s="108" t="n">
        <v>0.54</v>
      </c>
      <c r="U198" s="111" t="inlineStr">
        <is>
          <t>N/A</t>
        </is>
      </c>
      <c r="V198" s="111" t="inlineStr">
        <is>
          <t>N/A</t>
        </is>
      </c>
      <c r="W198" s="108" t="n">
        <v>14.47</v>
      </c>
      <c r="X198" s="109" t="n">
        <v>0.44</v>
      </c>
      <c r="Y198" s="109" t="n">
        <v>0</v>
      </c>
      <c r="Z198" s="109" t="n">
        <v>3.15</v>
      </c>
      <c r="AA198" s="109" t="n">
        <v>0.05</v>
      </c>
      <c r="AB198" s="109" t="n">
        <v>-0</v>
      </c>
      <c r="AC198" s="108" t="n">
        <v>-0.09</v>
      </c>
      <c r="AD198" s="108" t="n">
        <v>-0.09</v>
      </c>
      <c r="AE198" s="111" t="inlineStr">
        <is>
          <t>N/A</t>
        </is>
      </c>
      <c r="AF198" s="108" t="n">
        <v>-0.24</v>
      </c>
      <c r="AG198" s="108" t="n">
        <v>0.03</v>
      </c>
      <c r="AH198" s="108" t="n">
        <v>0.7</v>
      </c>
      <c r="AI198" s="108" t="n">
        <v>0.17</v>
      </c>
      <c r="AJ198" s="111" t="inlineStr">
        <is>
          <t>N/A</t>
        </is>
      </c>
      <c r="AK198" s="111" t="inlineStr">
        <is>
          <t>N/A</t>
        </is>
      </c>
      <c r="AL198" s="111" t="inlineStr">
        <is>
          <t>N/A</t>
        </is>
      </c>
      <c r="AM198" s="108" t="n">
        <v>-0.24</v>
      </c>
      <c r="AN198" s="108" t="n">
        <v>0.03</v>
      </c>
      <c r="AO198" s="108" t="n">
        <v>0.7</v>
      </c>
      <c r="AP198" s="108" t="n">
        <v>0.17</v>
      </c>
      <c r="AQ198" s="111" t="inlineStr">
        <is>
          <t>N/A</t>
        </is>
      </c>
      <c r="AR198" s="111" t="inlineStr">
        <is>
          <t>N/A</t>
        </is>
      </c>
      <c r="AS198" s="111" t="inlineStr">
        <is>
          <t>N/A</t>
        </is>
      </c>
      <c r="AT198" s="108" t="n">
        <v>-0.24</v>
      </c>
      <c r="AU198" s="108" t="n">
        <v>0.03</v>
      </c>
      <c r="AV198" s="108" t="n">
        <v>0.7</v>
      </c>
      <c r="AW198" s="111" t="inlineStr">
        <is>
          <t>N/A</t>
        </is>
      </c>
      <c r="AX198" s="111" t="inlineStr">
        <is>
          <t>N/A</t>
        </is>
      </c>
      <c r="AY198" s="111" t="inlineStr">
        <is>
          <t>N/A</t>
        </is>
      </c>
      <c r="AZ198" s="108" t="n">
        <v>0.03</v>
      </c>
      <c r="BA198" s="111" t="inlineStr">
        <is>
          <t>N/A</t>
        </is>
      </c>
      <c r="BB198" s="108" t="n">
        <v>0.17</v>
      </c>
      <c r="BC198" s="111" t="inlineStr">
        <is>
          <t>N/A</t>
        </is>
      </c>
      <c r="BD198" s="111" t="inlineStr">
        <is>
          <t>N/A</t>
        </is>
      </c>
      <c r="BE198" s="108" t="n">
        <v>0.01</v>
      </c>
      <c r="BF198" s="108" t="n">
        <v>0.58</v>
      </c>
      <c r="BG198" s="111" t="inlineStr">
        <is>
          <t>N/A</t>
        </is>
      </c>
      <c r="BH198" s="111" t="inlineStr">
        <is>
          <t>N/A</t>
        </is>
      </c>
      <c r="BI198" s="111" t="inlineStr">
        <is>
          <t>N/A</t>
        </is>
      </c>
      <c r="BJ198" s="111" t="inlineStr">
        <is>
          <t>N/A</t>
        </is>
      </c>
      <c r="BK198" s="107" t="n">
        <v>1</v>
      </c>
      <c r="BL198" s="107" t="n">
        <v>1</v>
      </c>
      <c r="BM198" s="107" t="n">
        <v>0</v>
      </c>
      <c r="BN198" s="107" t="n">
        <v>1</v>
      </c>
      <c r="BO198" s="107" t="n">
        <v>0</v>
      </c>
      <c r="BP198" s="107" t="n">
        <v>0</v>
      </c>
      <c r="BQ198" s="107" t="n">
        <v>1</v>
      </c>
      <c r="BR198" s="107" t="n">
        <v>1</v>
      </c>
      <c r="BS198" s="107" t="n">
        <v>1</v>
      </c>
      <c r="BT198" s="107" t="n">
        <v>6</v>
      </c>
      <c r="BU198" s="107" t="inlineStr">
        <is>
          <t>Mixed</t>
        </is>
      </c>
      <c r="BV198" s="108" t="n">
        <v>0.89</v>
      </c>
      <c r="BW198" s="108" t="n">
        <v>0.95</v>
      </c>
      <c r="BX198" s="111" t="inlineStr">
        <is>
          <t>N/A</t>
        </is>
      </c>
      <c r="BY198" s="108" t="n">
        <v>1.05</v>
      </c>
      <c r="BZ198" s="111" t="inlineStr">
        <is>
          <t>N/A</t>
        </is>
      </c>
      <c r="CA198" s="108" t="n">
        <v>1.03</v>
      </c>
      <c r="CB198" s="108" t="n">
        <v>1.08</v>
      </c>
      <c r="CC198" s="108" t="n">
        <v>-0.09</v>
      </c>
      <c r="CD198" s="111" t="inlineStr">
        <is>
          <t>N/A</t>
        </is>
      </c>
      <c r="CE198" s="111" t="inlineStr">
        <is>
          <t>N/A</t>
        </is>
      </c>
      <c r="CF198" s="111" t="inlineStr">
        <is>
          <t>N/A</t>
        </is>
      </c>
      <c r="CG198" s="108" t="n">
        <v>47.35</v>
      </c>
      <c r="CH198" s="107" t="n">
        <v>0</v>
      </c>
      <c r="CI198" s="107" t="inlineStr">
        <is>
          <t>CLEAR</t>
        </is>
      </c>
    </row>
    <row r="199" ht="17" customHeight="1">
      <c r="A199" s="103" t="inlineStr">
        <is>
          <t>FTI</t>
        </is>
      </c>
      <c r="B199" s="103" t="inlineStr">
        <is>
          <t>TechnipFMC plc</t>
        </is>
      </c>
      <c r="C199" s="104" t="n">
        <v>630500000</v>
      </c>
      <c r="D199" s="105" t="n">
        <v>0.14</v>
      </c>
      <c r="E199" s="105" t="n">
        <v>0.13</v>
      </c>
      <c r="F199" s="105" t="n">
        <v>0.1</v>
      </c>
      <c r="G199" s="105" t="n">
        <v>0.1</v>
      </c>
      <c r="H199" s="105" t="n">
        <v>0.09</v>
      </c>
      <c r="I199" s="105" t="n">
        <v>0.29</v>
      </c>
      <c r="J199" s="105" t="n">
        <v>0.28</v>
      </c>
      <c r="K199" s="105" t="n">
        <v>0.26</v>
      </c>
      <c r="L199" s="105" t="n">
        <v>0.28</v>
      </c>
      <c r="M199" s="105" t="n">
        <v>0.98</v>
      </c>
      <c r="N199" s="104" t="n">
        <v>0.92</v>
      </c>
      <c r="O199" s="104" t="n">
        <v>1.13</v>
      </c>
      <c r="P199" s="104" t="n">
        <v>1.12</v>
      </c>
      <c r="Q199" s="104" t="n">
        <v>0.89</v>
      </c>
      <c r="R199" s="104" t="n">
        <v>0.21</v>
      </c>
      <c r="S199" s="104" t="n">
        <v>0.66</v>
      </c>
      <c r="T199" s="104" t="n">
        <v>0.68</v>
      </c>
      <c r="U199" s="104" t="n">
        <v>0.28</v>
      </c>
      <c r="V199" s="104" t="n">
        <v>-0.03</v>
      </c>
      <c r="W199" s="104" t="n">
        <v>1.83</v>
      </c>
      <c r="X199" s="105" t="n">
        <v>0.15</v>
      </c>
      <c r="Y199" s="105" t="n">
        <v>0.01</v>
      </c>
      <c r="Z199" s="105" t="n">
        <v>11.75</v>
      </c>
      <c r="AA199" s="105" t="n">
        <v>0.09</v>
      </c>
      <c r="AB199" s="105" t="n">
        <v>0.14</v>
      </c>
      <c r="AC199" s="104" t="n">
        <v>-0.08</v>
      </c>
      <c r="AD199" s="104" t="n">
        <v>-0.08</v>
      </c>
      <c r="AE199" s="104" t="n">
        <v>0.06</v>
      </c>
      <c r="AF199" s="104" t="n">
        <v>-0.37</v>
      </c>
      <c r="AG199" s="104" t="n">
        <v>0.14</v>
      </c>
      <c r="AH199" s="104" t="n">
        <v>0.5</v>
      </c>
      <c r="AI199" s="104" t="n">
        <v>0.98</v>
      </c>
      <c r="AJ199" s="104" t="n">
        <v>1.31</v>
      </c>
      <c r="AK199" s="112" t="inlineStr">
        <is>
          <t>Distress</t>
        </is>
      </c>
      <c r="AL199" s="104" t="n">
        <v>0.06</v>
      </c>
      <c r="AM199" s="104" t="n">
        <v>-0.37</v>
      </c>
      <c r="AN199" s="104" t="n">
        <v>0.14</v>
      </c>
      <c r="AO199" s="104" t="n">
        <v>0.5</v>
      </c>
      <c r="AP199" s="104" t="n">
        <v>0.98</v>
      </c>
      <c r="AQ199" s="103" t="n">
        <v>1.36</v>
      </c>
      <c r="AR199" s="103" t="inlineStr">
        <is>
          <t>Grey</t>
        </is>
      </c>
      <c r="AS199" s="104" t="n">
        <v>0.06</v>
      </c>
      <c r="AT199" s="104" t="n">
        <v>-0.37</v>
      </c>
      <c r="AU199" s="104" t="n">
        <v>0.14</v>
      </c>
      <c r="AV199" s="104" t="n">
        <v>0.5</v>
      </c>
      <c r="AW199" s="103" t="n">
        <v>0.68</v>
      </c>
      <c r="AX199" s="103" t="inlineStr">
        <is>
          <t>Distress</t>
        </is>
      </c>
      <c r="AY199" s="104" t="n">
        <v>0.06</v>
      </c>
      <c r="AZ199" s="104" t="n">
        <v>0.14</v>
      </c>
      <c r="BA199" s="104" t="n">
        <v>0.26</v>
      </c>
      <c r="BB199" s="104" t="n">
        <v>0.98</v>
      </c>
      <c r="BC199" s="103" t="n">
        <v>1.06</v>
      </c>
      <c r="BD199" s="103" t="inlineStr">
        <is>
          <t>Healthy</t>
        </is>
      </c>
      <c r="BE199" s="104" t="n">
        <v>0.1</v>
      </c>
      <c r="BF199" s="104" t="n">
        <v>0.66</v>
      </c>
      <c r="BG199" s="104" t="n">
        <v>1.13</v>
      </c>
      <c r="BH199" s="104" t="n">
        <v>-0.99</v>
      </c>
      <c r="BI199" s="103" t="n">
        <v>0.27</v>
      </c>
      <c r="BJ199" s="103" t="inlineStr">
        <is>
          <t>Healthy</t>
        </is>
      </c>
      <c r="BK199" s="103" t="n">
        <v>1</v>
      </c>
      <c r="BL199" s="103" t="n">
        <v>1</v>
      </c>
      <c r="BM199" s="103" t="n">
        <v>1</v>
      </c>
      <c r="BN199" s="103" t="n">
        <v>1</v>
      </c>
      <c r="BO199" s="103" t="n">
        <v>1</v>
      </c>
      <c r="BP199" s="103" t="n">
        <v>1</v>
      </c>
      <c r="BQ199" s="103" t="n">
        <v>1</v>
      </c>
      <c r="BR199" s="103" t="n">
        <v>0</v>
      </c>
      <c r="BS199" s="103" t="n">
        <v>1</v>
      </c>
      <c r="BT199" s="103" t="n">
        <v>8</v>
      </c>
      <c r="BU199" s="103" t="inlineStr">
        <is>
          <t>Strong</t>
        </is>
      </c>
      <c r="BV199" s="104" t="n">
        <v>0.85</v>
      </c>
      <c r="BW199" s="104" t="n">
        <v>1.08</v>
      </c>
      <c r="BX199" s="104" t="n">
        <v>0.98</v>
      </c>
      <c r="BY199" s="104" t="n">
        <v>1.09</v>
      </c>
      <c r="BZ199" s="104" t="n">
        <v>0.96</v>
      </c>
      <c r="CA199" s="104" t="n">
        <v>0.97</v>
      </c>
      <c r="CB199" s="104" t="n">
        <v>0.97</v>
      </c>
      <c r="CC199" s="104" t="n">
        <v>-0.08</v>
      </c>
      <c r="CD199" s="103" t="n">
        <v>-2.86</v>
      </c>
      <c r="CE199" s="103" t="inlineStr">
        <is>
          <t>Lower Risk</t>
        </is>
      </c>
      <c r="CF199" s="104" t="n">
        <v>-0.06</v>
      </c>
      <c r="CG199" s="104" t="n">
        <v>59.39</v>
      </c>
      <c r="CH199" s="103" t="n">
        <v>0</v>
      </c>
      <c r="CI199" s="103" t="inlineStr">
        <is>
          <t>CLEAR</t>
        </is>
      </c>
    </row>
    <row r="200" ht="17" customHeight="1">
      <c r="A200" s="107" t="inlineStr">
        <is>
          <t>TROW</t>
        </is>
      </c>
      <c r="B200" s="107" t="inlineStr">
        <is>
          <t>PRICE T ROWE GROUP INC</t>
        </is>
      </c>
      <c r="C200" s="111" t="inlineStr">
        <is>
          <t>N/A</t>
        </is>
      </c>
      <c r="D200" s="109" t="n">
        <v>0.92</v>
      </c>
      <c r="E200" s="109" t="n">
        <v>1.21</v>
      </c>
      <c r="F200" s="109" t="n">
        <v>0.88</v>
      </c>
      <c r="G200" s="109" t="n">
        <v>0.15</v>
      </c>
      <c r="H200" s="109" t="n">
        <v>0.16</v>
      </c>
      <c r="I200" s="109" t="n">
        <v>0.19</v>
      </c>
      <c r="J200" s="111" t="inlineStr">
        <is>
          <t>N/A</t>
        </is>
      </c>
      <c r="K200" s="109" t="n">
        <v>1.16</v>
      </c>
      <c r="L200" s="109" t="n">
        <v>0.36</v>
      </c>
      <c r="M200" s="109" t="n">
        <v>0.17</v>
      </c>
      <c r="N200" s="108" t="n">
        <v>0.14</v>
      </c>
      <c r="O200" s="111" t="inlineStr">
        <is>
          <t>N/A</t>
        </is>
      </c>
      <c r="P200" s="111" t="inlineStr">
        <is>
          <t>N/A</t>
        </is>
      </c>
      <c r="Q200" s="111" t="inlineStr">
        <is>
          <t>N/A</t>
        </is>
      </c>
      <c r="R200" s="111" t="inlineStr">
        <is>
          <t>N/A</t>
        </is>
      </c>
      <c r="S200" s="108" t="n">
        <v>0.16</v>
      </c>
      <c r="T200" s="108" t="n">
        <v>0.15</v>
      </c>
      <c r="U200" s="111" t="inlineStr">
        <is>
          <t>N/A</t>
        </is>
      </c>
      <c r="V200" s="111" t="inlineStr">
        <is>
          <t>N/A</t>
        </is>
      </c>
      <c r="W200" s="108" t="n">
        <v>0.84</v>
      </c>
      <c r="X200" s="109" t="n">
        <v>0.62</v>
      </c>
      <c r="Y200" s="109" t="n">
        <v>0</v>
      </c>
      <c r="Z200" s="111" t="inlineStr">
        <is>
          <t>N/A</t>
        </is>
      </c>
      <c r="AA200" s="109" t="n">
        <v>0.27</v>
      </c>
      <c r="AB200" s="109" t="n">
        <v>-0.01</v>
      </c>
      <c r="AC200" s="108" t="n">
        <v>0.02</v>
      </c>
      <c r="AD200" s="108" t="n">
        <v>0.02</v>
      </c>
      <c r="AE200" s="111" t="inlineStr">
        <is>
          <t>N/A</t>
        </is>
      </c>
      <c r="AF200" s="111" t="inlineStr">
        <is>
          <t>N/A</t>
        </is>
      </c>
      <c r="AG200" s="108" t="n">
        <v>0.15</v>
      </c>
      <c r="AH200" s="108" t="n">
        <v>4.75</v>
      </c>
      <c r="AI200" s="108" t="n">
        <v>0.17</v>
      </c>
      <c r="AJ200" s="111" t="inlineStr">
        <is>
          <t>N/A</t>
        </is>
      </c>
      <c r="AK200" s="111" t="inlineStr">
        <is>
          <t>N/A</t>
        </is>
      </c>
      <c r="AL200" s="111" t="inlineStr">
        <is>
          <t>N/A</t>
        </is>
      </c>
      <c r="AM200" s="111" t="inlineStr">
        <is>
          <t>N/A</t>
        </is>
      </c>
      <c r="AN200" s="108" t="n">
        <v>0.15</v>
      </c>
      <c r="AO200" s="108" t="n">
        <v>4.75</v>
      </c>
      <c r="AP200" s="108" t="n">
        <v>0.17</v>
      </c>
      <c r="AQ200" s="111" t="inlineStr">
        <is>
          <t>N/A</t>
        </is>
      </c>
      <c r="AR200" s="111" t="inlineStr">
        <is>
          <t>N/A</t>
        </is>
      </c>
      <c r="AS200" s="111" t="inlineStr">
        <is>
          <t>N/A</t>
        </is>
      </c>
      <c r="AT200" s="111" t="inlineStr">
        <is>
          <t>N/A</t>
        </is>
      </c>
      <c r="AU200" s="108" t="n">
        <v>0.15</v>
      </c>
      <c r="AV200" s="108" t="n">
        <v>4.75</v>
      </c>
      <c r="AW200" s="111" t="inlineStr">
        <is>
          <t>N/A</t>
        </is>
      </c>
      <c r="AX200" s="111" t="inlineStr">
        <is>
          <t>N/A</t>
        </is>
      </c>
      <c r="AY200" s="111" t="inlineStr">
        <is>
          <t>N/A</t>
        </is>
      </c>
      <c r="AZ200" s="108" t="n">
        <v>0.15</v>
      </c>
      <c r="BA200" s="111" t="inlineStr">
        <is>
          <t>N/A</t>
        </is>
      </c>
      <c r="BB200" s="108" t="n">
        <v>0.17</v>
      </c>
      <c r="BC200" s="111" t="inlineStr">
        <is>
          <t>N/A</t>
        </is>
      </c>
      <c r="BD200" s="111" t="inlineStr">
        <is>
          <t>N/A</t>
        </is>
      </c>
      <c r="BE200" s="108" t="n">
        <v>0.15</v>
      </c>
      <c r="BF200" s="108" t="n">
        <v>0.16</v>
      </c>
      <c r="BG200" s="111" t="inlineStr">
        <is>
          <t>N/A</t>
        </is>
      </c>
      <c r="BH200" s="111" t="inlineStr">
        <is>
          <t>N/A</t>
        </is>
      </c>
      <c r="BI200" s="111" t="inlineStr">
        <is>
          <t>N/A</t>
        </is>
      </c>
      <c r="BJ200" s="111" t="inlineStr">
        <is>
          <t>N/A</t>
        </is>
      </c>
      <c r="BK200" s="107" t="n">
        <v>1</v>
      </c>
      <c r="BL200" s="107" t="n">
        <v>1</v>
      </c>
      <c r="BM200" s="107" t="n">
        <v>0</v>
      </c>
      <c r="BN200" s="107" t="n">
        <v>0</v>
      </c>
      <c r="BO200" s="107" t="n">
        <v>0</v>
      </c>
      <c r="BP200" s="107" t="n">
        <v>0</v>
      </c>
      <c r="BQ200" s="107" t="n">
        <v>1</v>
      </c>
      <c r="BR200" s="107" t="n">
        <v>1</v>
      </c>
      <c r="BS200" s="107" t="n">
        <v>1</v>
      </c>
      <c r="BT200" s="107" t="n">
        <v>5</v>
      </c>
      <c r="BU200" s="107" t="inlineStr">
        <is>
          <t>Mixed</t>
        </is>
      </c>
      <c r="BV200" s="108" t="n">
        <v>0.84</v>
      </c>
      <c r="BW200" s="108" t="n">
        <v>0.31</v>
      </c>
      <c r="BX200" s="108" t="n">
        <v>1.01</v>
      </c>
      <c r="BY200" s="108" t="n">
        <v>1.27</v>
      </c>
      <c r="BZ200" s="111" t="inlineStr">
        <is>
          <t>N/A</t>
        </is>
      </c>
      <c r="CA200" s="111" t="inlineStr">
        <is>
          <t>N/A</t>
        </is>
      </c>
      <c r="CB200" s="108" t="n">
        <v>1.06</v>
      </c>
      <c r="CC200" s="108" t="n">
        <v>0.02</v>
      </c>
      <c r="CD200" s="107" t="n">
        <v>-2.6</v>
      </c>
      <c r="CE200" s="107" t="inlineStr">
        <is>
          <t>Lower Risk</t>
        </is>
      </c>
      <c r="CF200" s="111" t="inlineStr">
        <is>
          <t>N/A</t>
        </is>
      </c>
      <c r="CG200" s="108" t="n">
        <v>45.99</v>
      </c>
      <c r="CH200" s="107" t="n">
        <v>0</v>
      </c>
      <c r="CI200" s="107" t="inlineStr">
        <is>
          <t>CLEAR</t>
        </is>
      </c>
    </row>
    <row r="201" ht="17" customHeight="1">
      <c r="A201" s="103" t="inlineStr">
        <is>
          <t>DIOD</t>
        </is>
      </c>
      <c r="B201" s="103" t="inlineStr">
        <is>
          <t>DIODES INC /DEL/</t>
        </is>
      </c>
      <c r="C201" s="104" t="n">
        <v>878622000</v>
      </c>
      <c r="D201" s="105" t="n">
        <v>0.02</v>
      </c>
      <c r="E201" s="105" t="n">
        <v>0.06</v>
      </c>
      <c r="F201" s="105" t="n">
        <v>0.04</v>
      </c>
      <c r="G201" s="105" t="n">
        <v>0.03</v>
      </c>
      <c r="H201" s="105" t="n">
        <v>0.02</v>
      </c>
      <c r="I201" s="105" t="n">
        <v>0.04</v>
      </c>
      <c r="J201" s="105" t="n">
        <v>0.02</v>
      </c>
      <c r="K201" s="105" t="n">
        <v>0.31</v>
      </c>
      <c r="L201" s="105" t="n">
        <v>0.33</v>
      </c>
      <c r="M201" s="105" t="n">
        <v>0.61</v>
      </c>
      <c r="N201" s="104" t="n">
        <v>0.55</v>
      </c>
      <c r="O201" s="104" t="n">
        <v>3.32</v>
      </c>
      <c r="P201" s="104" t="n">
        <v>3.26</v>
      </c>
      <c r="Q201" s="104" t="n">
        <v>2.08</v>
      </c>
      <c r="R201" s="104" t="n">
        <v>0.97</v>
      </c>
      <c r="S201" s="104" t="n">
        <v>0.21</v>
      </c>
      <c r="T201" s="104" t="n">
        <v>0.22</v>
      </c>
      <c r="U201" s="104" t="n">
        <v>0.01</v>
      </c>
      <c r="V201" s="104" t="n">
        <v>-0.18</v>
      </c>
      <c r="W201" s="104" t="n">
        <v>3.26</v>
      </c>
      <c r="X201" s="105" t="n">
        <v>0.09</v>
      </c>
      <c r="Y201" s="105" t="n">
        <v>0.11</v>
      </c>
      <c r="Z201" s="105" t="n">
        <v>15.19</v>
      </c>
      <c r="AA201" s="105" t="n">
        <v>0.13</v>
      </c>
      <c r="AB201" s="105" t="n">
        <v>0.5</v>
      </c>
      <c r="AC201" s="104" t="n">
        <v>-0.06</v>
      </c>
      <c r="AD201" s="104" t="n">
        <v>-0.06</v>
      </c>
      <c r="AE201" s="104" t="n">
        <v>0.36</v>
      </c>
      <c r="AF201" s="113" t="inlineStr">
        <is>
          <t>N/A</t>
        </is>
      </c>
      <c r="AG201" s="104" t="n">
        <v>0.01</v>
      </c>
      <c r="AH201" s="104" t="n">
        <v>3.68</v>
      </c>
      <c r="AI201" s="104" t="n">
        <v>0.61</v>
      </c>
      <c r="AJ201" s="113" t="inlineStr">
        <is>
          <t>N/A</t>
        </is>
      </c>
      <c r="AK201" s="113" t="inlineStr">
        <is>
          <t>N/A</t>
        </is>
      </c>
      <c r="AL201" s="104" t="n">
        <v>0.36</v>
      </c>
      <c r="AM201" s="113" t="inlineStr">
        <is>
          <t>N/A</t>
        </is>
      </c>
      <c r="AN201" s="104" t="n">
        <v>0.01</v>
      </c>
      <c r="AO201" s="104" t="n">
        <v>3.68</v>
      </c>
      <c r="AP201" s="104" t="n">
        <v>0.61</v>
      </c>
      <c r="AQ201" s="113" t="inlineStr">
        <is>
          <t>N/A</t>
        </is>
      </c>
      <c r="AR201" s="113" t="inlineStr">
        <is>
          <t>N/A</t>
        </is>
      </c>
      <c r="AS201" s="104" t="n">
        <v>0.36</v>
      </c>
      <c r="AT201" s="113" t="inlineStr">
        <is>
          <t>N/A</t>
        </is>
      </c>
      <c r="AU201" s="104" t="n">
        <v>0.01</v>
      </c>
      <c r="AV201" s="104" t="n">
        <v>3.68</v>
      </c>
      <c r="AW201" s="113" t="inlineStr">
        <is>
          <t>N/A</t>
        </is>
      </c>
      <c r="AX201" s="113" t="inlineStr">
        <is>
          <t>N/A</t>
        </is>
      </c>
      <c r="AY201" s="104" t="n">
        <v>0.36</v>
      </c>
      <c r="AZ201" s="104" t="n">
        <v>0.01</v>
      </c>
      <c r="BA201" s="104" t="n">
        <v>0.22</v>
      </c>
      <c r="BB201" s="104" t="n">
        <v>0.61</v>
      </c>
      <c r="BC201" s="103" t="n">
        <v>0.8</v>
      </c>
      <c r="BD201" s="103" t="inlineStr">
        <is>
          <t>Distress</t>
        </is>
      </c>
      <c r="BE201" s="104" t="n">
        <v>0.03</v>
      </c>
      <c r="BF201" s="104" t="n">
        <v>0.21</v>
      </c>
      <c r="BG201" s="104" t="n">
        <v>3.32</v>
      </c>
      <c r="BH201" s="104" t="n">
        <v>-3.26</v>
      </c>
      <c r="BI201" s="103" t="n">
        <v>0.04</v>
      </c>
      <c r="BJ201" s="103" t="inlineStr">
        <is>
          <t>Healthy</t>
        </is>
      </c>
      <c r="BK201" s="103" t="n">
        <v>1</v>
      </c>
      <c r="BL201" s="103" t="n">
        <v>1</v>
      </c>
      <c r="BM201" s="103" t="n">
        <v>1</v>
      </c>
      <c r="BN201" s="103" t="n">
        <v>1</v>
      </c>
      <c r="BO201" s="103" t="n">
        <v>0</v>
      </c>
      <c r="BP201" s="103" t="n">
        <v>1</v>
      </c>
      <c r="BQ201" s="103" t="n">
        <v>1</v>
      </c>
      <c r="BR201" s="103" t="n">
        <v>0</v>
      </c>
      <c r="BS201" s="103" t="n">
        <v>1</v>
      </c>
      <c r="BT201" s="103" t="n">
        <v>7</v>
      </c>
      <c r="BU201" s="103" t="inlineStr">
        <is>
          <t>Strong</t>
        </is>
      </c>
      <c r="BV201" s="104" t="n">
        <v>0.83</v>
      </c>
      <c r="BW201" s="104" t="n">
        <v>1.07</v>
      </c>
      <c r="BX201" s="104" t="n">
        <v>1.1</v>
      </c>
      <c r="BY201" s="104" t="n">
        <v>1.13</v>
      </c>
      <c r="BZ201" s="104" t="n">
        <v>0.95</v>
      </c>
      <c r="CA201" s="104" t="n">
        <v>0.91</v>
      </c>
      <c r="CB201" s="104" t="n">
        <v>0.96</v>
      </c>
      <c r="CC201" s="104" t="n">
        <v>-0.06</v>
      </c>
      <c r="CD201" s="103" t="n">
        <v>-2.7</v>
      </c>
      <c r="CE201" s="103" t="inlineStr">
        <is>
          <t>Lower Risk</t>
        </is>
      </c>
      <c r="CF201" s="104" t="n">
        <v>-2.17</v>
      </c>
      <c r="CG201" s="104" t="n">
        <v>53.47</v>
      </c>
      <c r="CH201" s="103" t="n">
        <v>0</v>
      </c>
      <c r="CI201" s="103" t="inlineStr">
        <is>
          <t>CLEAR</t>
        </is>
      </c>
    </row>
    <row r="202" ht="17" customHeight="1">
      <c r="A202" s="107" t="inlineStr">
        <is>
          <t>ABT</t>
        </is>
      </c>
      <c r="B202" s="107" t="inlineStr">
        <is>
          <t>ABBOTT LABORATORIES</t>
        </is>
      </c>
      <c r="C202" s="108" t="n">
        <v>9500000000</v>
      </c>
      <c r="D202" s="109" t="n">
        <v>0.18</v>
      </c>
      <c r="E202" s="109" t="n">
        <v>0.19</v>
      </c>
      <c r="F202" s="109" t="n">
        <v>0.15</v>
      </c>
      <c r="G202" s="109" t="n">
        <v>0.08</v>
      </c>
      <c r="H202" s="109" t="n">
        <v>0.16</v>
      </c>
      <c r="I202" s="109" t="n">
        <v>0.13</v>
      </c>
      <c r="J202" s="109" t="n">
        <v>0.11</v>
      </c>
      <c r="K202" s="109" t="n">
        <v>0.1</v>
      </c>
      <c r="L202" s="109" t="n">
        <v>0.1</v>
      </c>
      <c r="M202" s="109" t="n">
        <v>0.51</v>
      </c>
      <c r="N202" s="108" t="n">
        <v>0.52</v>
      </c>
      <c r="O202" s="108" t="n">
        <v>1.58</v>
      </c>
      <c r="P202" s="108" t="n">
        <v>1.67</v>
      </c>
      <c r="Q202" s="108" t="n">
        <v>1.18</v>
      </c>
      <c r="R202" s="108" t="n">
        <v>0.52</v>
      </c>
      <c r="S202" s="108" t="n">
        <v>1</v>
      </c>
      <c r="T202" s="108" t="n">
        <v>1</v>
      </c>
      <c r="U202" s="108" t="n">
        <v>0.25</v>
      </c>
      <c r="V202" s="108" t="n">
        <v>0.08</v>
      </c>
      <c r="W202" s="108" t="n">
        <v>1.47</v>
      </c>
      <c r="X202" s="109" t="n">
        <v>0.17</v>
      </c>
      <c r="Y202" s="109" t="n">
        <v>0.07000000000000001</v>
      </c>
      <c r="Z202" s="109" t="n">
        <v>12.64</v>
      </c>
      <c r="AA202" s="109" t="n">
        <v>0.06</v>
      </c>
      <c r="AB202" s="109" t="n">
        <v>-0.51</v>
      </c>
      <c r="AC202" s="108" t="n">
        <v>-0.04</v>
      </c>
      <c r="AD202" s="108" t="n">
        <v>-0.04</v>
      </c>
      <c r="AE202" s="108" t="n">
        <v>0.11</v>
      </c>
      <c r="AF202" s="108" t="n">
        <v>0.57</v>
      </c>
      <c r="AG202" s="108" t="n">
        <v>0.09</v>
      </c>
      <c r="AH202" s="108" t="n">
        <v>0.6</v>
      </c>
      <c r="AI202" s="108" t="n">
        <v>0.51</v>
      </c>
      <c r="AJ202" s="108" t="n">
        <v>2.11</v>
      </c>
      <c r="AK202" s="106" t="inlineStr">
        <is>
          <t>Grey</t>
        </is>
      </c>
      <c r="AL202" s="108" t="n">
        <v>0.11</v>
      </c>
      <c r="AM202" s="108" t="n">
        <v>0.57</v>
      </c>
      <c r="AN202" s="108" t="n">
        <v>0.09</v>
      </c>
      <c r="AO202" s="108" t="n">
        <v>0.6</v>
      </c>
      <c r="AP202" s="108" t="n">
        <v>0.51</v>
      </c>
      <c r="AQ202" s="107" t="n">
        <v>1.62</v>
      </c>
      <c r="AR202" s="107" t="inlineStr">
        <is>
          <t>Grey</t>
        </is>
      </c>
      <c r="AS202" s="108" t="n">
        <v>0.11</v>
      </c>
      <c r="AT202" s="108" t="n">
        <v>0.57</v>
      </c>
      <c r="AU202" s="108" t="n">
        <v>0.09</v>
      </c>
      <c r="AV202" s="108" t="n">
        <v>0.6</v>
      </c>
      <c r="AW202" s="107" t="n">
        <v>3.85</v>
      </c>
      <c r="AX202" s="107" t="inlineStr">
        <is>
          <t>Safe</t>
        </is>
      </c>
      <c r="AY202" s="108" t="n">
        <v>0.11</v>
      </c>
      <c r="AZ202" s="108" t="n">
        <v>0.09</v>
      </c>
      <c r="BA202" s="108" t="n">
        <v>0.51</v>
      </c>
      <c r="BB202" s="108" t="n">
        <v>0.51</v>
      </c>
      <c r="BC202" s="107" t="n">
        <v>0.9399999999999999</v>
      </c>
      <c r="BD202" s="107" t="inlineStr">
        <is>
          <t>Healthy</t>
        </is>
      </c>
      <c r="BE202" s="108" t="n">
        <v>0.08</v>
      </c>
      <c r="BF202" s="108" t="n">
        <v>1</v>
      </c>
      <c r="BG202" s="108" t="n">
        <v>1.58</v>
      </c>
      <c r="BH202" s="108" t="n">
        <v>1.01</v>
      </c>
      <c r="BI202" s="107" t="n">
        <v>0.73</v>
      </c>
      <c r="BJ202" s="107" t="inlineStr">
        <is>
          <t>Distress</t>
        </is>
      </c>
      <c r="BK202" s="107" t="n">
        <v>1</v>
      </c>
      <c r="BL202" s="107" t="n">
        <v>1</v>
      </c>
      <c r="BM202" s="107" t="n">
        <v>0</v>
      </c>
      <c r="BN202" s="107" t="n">
        <v>1</v>
      </c>
      <c r="BO202" s="107" t="n">
        <v>1</v>
      </c>
      <c r="BP202" s="107" t="n">
        <v>0</v>
      </c>
      <c r="BQ202" s="107" t="n">
        <v>0</v>
      </c>
      <c r="BR202" s="107" t="n">
        <v>0</v>
      </c>
      <c r="BS202" s="107" t="n">
        <v>0</v>
      </c>
      <c r="BT202" s="107" t="n">
        <v>4</v>
      </c>
      <c r="BU202" s="107" t="inlineStr">
        <is>
          <t>Mixed</t>
        </is>
      </c>
      <c r="BV202" s="108" t="n">
        <v>1.08</v>
      </c>
      <c r="BW202" s="108" t="n">
        <v>1.02</v>
      </c>
      <c r="BX202" s="108" t="n">
        <v>0.97</v>
      </c>
      <c r="BY202" s="108" t="n">
        <v>1.06</v>
      </c>
      <c r="BZ202" s="108" t="n">
        <v>1.03</v>
      </c>
      <c r="CA202" s="108" t="n">
        <v>1</v>
      </c>
      <c r="CB202" s="108" t="n">
        <v>1</v>
      </c>
      <c r="CC202" s="108" t="n">
        <v>-0.04</v>
      </c>
      <c r="CD202" s="107" t="n">
        <v>-2.51</v>
      </c>
      <c r="CE202" s="107" t="inlineStr">
        <is>
          <t>Lower Risk</t>
        </is>
      </c>
      <c r="CF202" s="108" t="n">
        <v>0.46</v>
      </c>
      <c r="CG202" s="108" t="n">
        <v>44.71</v>
      </c>
      <c r="CH202" s="107" t="n">
        <v>0</v>
      </c>
      <c r="CI202" s="107" t="inlineStr">
        <is>
          <t>CLEAR</t>
        </is>
      </c>
    </row>
    <row r="203" ht="17" customHeight="1">
      <c r="A203" s="103" t="inlineStr">
        <is>
          <t>DAN</t>
        </is>
      </c>
      <c r="B203" s="103" t="inlineStr">
        <is>
          <t>Dana Incorporated</t>
        </is>
      </c>
      <c r="C203" s="104" t="n">
        <v>560000000</v>
      </c>
      <c r="D203" s="105" t="n">
        <v>0.02</v>
      </c>
      <c r="E203" s="105" t="n">
        <v>-0.02</v>
      </c>
      <c r="F203" s="105" t="n">
        <v>0.01</v>
      </c>
      <c r="G203" s="105" t="n">
        <v>0.01</v>
      </c>
      <c r="H203" s="105" t="n">
        <v>-0.01</v>
      </c>
      <c r="I203" s="105" t="n">
        <v>0.1</v>
      </c>
      <c r="J203" s="105" t="n">
        <v>0.03</v>
      </c>
      <c r="K203" s="105" t="n">
        <v>0.03</v>
      </c>
      <c r="L203" s="105" t="n">
        <v>0.11</v>
      </c>
      <c r="M203" s="105" t="n">
        <v>0.96</v>
      </c>
      <c r="N203" s="104" t="n">
        <v>0.25</v>
      </c>
      <c r="O203" s="104" t="n">
        <v>1.17</v>
      </c>
      <c r="P203" s="104" t="n">
        <v>1.45</v>
      </c>
      <c r="Q203" s="104" t="n">
        <v>0.86</v>
      </c>
      <c r="R203" s="104" t="n">
        <v>0.14</v>
      </c>
      <c r="S203" s="104" t="n">
        <v>0.88</v>
      </c>
      <c r="T203" s="104" t="n">
        <v>0.79</v>
      </c>
      <c r="U203" s="104" t="n">
        <v>1.75</v>
      </c>
      <c r="V203" s="104" t="n">
        <v>1.19</v>
      </c>
      <c r="W203" s="104" t="n">
        <v>6.02</v>
      </c>
      <c r="X203" s="105" t="n">
        <v>0.05</v>
      </c>
      <c r="Y203" s="105" t="n">
        <v>0.01</v>
      </c>
      <c r="Z203" s="105" t="n">
        <v>0.77</v>
      </c>
      <c r="AA203" s="105" t="n">
        <v>3.02</v>
      </c>
      <c r="AB203" s="105" t="n">
        <v>-2.7</v>
      </c>
      <c r="AC203" s="104" t="n">
        <v>-0.05</v>
      </c>
      <c r="AD203" s="104" t="n">
        <v>-0.05</v>
      </c>
      <c r="AE203" s="104" t="n">
        <v>0.07000000000000001</v>
      </c>
      <c r="AF203" s="104" t="n">
        <v>0.03</v>
      </c>
      <c r="AG203" s="104" t="n">
        <v>0.02</v>
      </c>
      <c r="AH203" s="104" t="n">
        <v>0.12</v>
      </c>
      <c r="AI203" s="104" t="n">
        <v>0.96</v>
      </c>
      <c r="AJ203" s="104" t="n">
        <v>1.22</v>
      </c>
      <c r="AK203" s="112" t="inlineStr">
        <is>
          <t>Distress</t>
        </is>
      </c>
      <c r="AL203" s="104" t="n">
        <v>0.07000000000000001</v>
      </c>
      <c r="AM203" s="104" t="n">
        <v>0.03</v>
      </c>
      <c r="AN203" s="104" t="n">
        <v>0.02</v>
      </c>
      <c r="AO203" s="104" t="n">
        <v>0.12</v>
      </c>
      <c r="AP203" s="104" t="n">
        <v>0.96</v>
      </c>
      <c r="AQ203" s="103" t="n">
        <v>1.14</v>
      </c>
      <c r="AR203" s="103" t="inlineStr">
        <is>
          <t>Distress</t>
        </is>
      </c>
      <c r="AS203" s="104" t="n">
        <v>0.07000000000000001</v>
      </c>
      <c r="AT203" s="104" t="n">
        <v>0.03</v>
      </c>
      <c r="AU203" s="104" t="n">
        <v>0.02</v>
      </c>
      <c r="AV203" s="104" t="n">
        <v>0.12</v>
      </c>
      <c r="AW203" s="103" t="n">
        <v>0.82</v>
      </c>
      <c r="AX203" s="103" t="inlineStr">
        <is>
          <t>Distress</t>
        </is>
      </c>
      <c r="AY203" s="104" t="n">
        <v>0.07000000000000001</v>
      </c>
      <c r="AZ203" s="104" t="n">
        <v>0.02</v>
      </c>
      <c r="BA203" s="104" t="n">
        <v>-0.05</v>
      </c>
      <c r="BB203" s="104" t="n">
        <v>0.96</v>
      </c>
      <c r="BC203" s="103" t="n">
        <v>0.48</v>
      </c>
      <c r="BD203" s="103" t="inlineStr">
        <is>
          <t>Distress</t>
        </is>
      </c>
      <c r="BE203" s="104" t="n">
        <v>0.01</v>
      </c>
      <c r="BF203" s="104" t="n">
        <v>0.88</v>
      </c>
      <c r="BG203" s="104" t="n">
        <v>1.17</v>
      </c>
      <c r="BH203" s="104" t="n">
        <v>0.64</v>
      </c>
      <c r="BI203" s="103" t="n">
        <v>0.66</v>
      </c>
      <c r="BJ203" s="103" t="inlineStr">
        <is>
          <t>Distress</t>
        </is>
      </c>
      <c r="BK203" s="103" t="n">
        <v>1</v>
      </c>
      <c r="BL203" s="103" t="n">
        <v>1</v>
      </c>
      <c r="BM203" s="103" t="n">
        <v>1</v>
      </c>
      <c r="BN203" s="103" t="n">
        <v>1</v>
      </c>
      <c r="BO203" s="103" t="n">
        <v>0</v>
      </c>
      <c r="BP203" s="103" t="n">
        <v>0</v>
      </c>
      <c r="BQ203" s="103" t="n">
        <v>1</v>
      </c>
      <c r="BR203" s="103" t="n">
        <v>0</v>
      </c>
      <c r="BS203" s="103" t="n">
        <v>1</v>
      </c>
      <c r="BT203" s="103" t="n">
        <v>6</v>
      </c>
      <c r="BU203" s="103" t="inlineStr">
        <is>
          <t>Mixed</t>
        </is>
      </c>
      <c r="BV203" s="104" t="n">
        <v>0.21</v>
      </c>
      <c r="BW203" s="104" t="n">
        <v>4.07</v>
      </c>
      <c r="BX203" s="104" t="n">
        <v>0.83</v>
      </c>
      <c r="BY203" s="104" t="n">
        <v>4.02</v>
      </c>
      <c r="BZ203" s="104" t="n">
        <v>1.35</v>
      </c>
      <c r="CA203" s="104" t="n">
        <v>0.18</v>
      </c>
      <c r="CB203" s="104" t="n">
        <v>1.12</v>
      </c>
      <c r="CC203" s="104" t="n">
        <v>-0.05</v>
      </c>
      <c r="CD203" s="103" t="n">
        <v>0.92</v>
      </c>
      <c r="CE203" s="103" t="inlineStr">
        <is>
          <t>Higher Risk</t>
        </is>
      </c>
      <c r="CF203" s="104" t="n">
        <v>2.07</v>
      </c>
      <c r="CG203" s="104" t="n">
        <v>45.83</v>
      </c>
      <c r="CH203" s="103" t="n">
        <v>20</v>
      </c>
      <c r="CI203" s="103" t="inlineStr">
        <is>
          <t>CLEAR</t>
        </is>
      </c>
    </row>
    <row r="204" ht="17" customHeight="1">
      <c r="A204" s="107" t="inlineStr">
        <is>
          <t>POOL</t>
        </is>
      </c>
      <c r="B204" s="107" t="inlineStr">
        <is>
          <t>POOL CORPORATION</t>
        </is>
      </c>
      <c r="C204" s="108" t="n">
        <v>1089579000</v>
      </c>
      <c r="D204" s="109" t="n">
        <v>0.11</v>
      </c>
      <c r="E204" s="109" t="n">
        <v>0.1</v>
      </c>
      <c r="F204" s="109" t="n">
        <v>0.08</v>
      </c>
      <c r="G204" s="109" t="n">
        <v>0.11</v>
      </c>
      <c r="H204" s="109" t="n">
        <v>0.13</v>
      </c>
      <c r="I204" s="109" t="n">
        <v>0.34</v>
      </c>
      <c r="J204" s="109" t="n">
        <v>0.21</v>
      </c>
      <c r="K204" s="109" t="n">
        <v>0.3</v>
      </c>
      <c r="L204" s="109" t="n">
        <v>0.3</v>
      </c>
      <c r="M204" s="109" t="n">
        <v>1.46</v>
      </c>
      <c r="N204" s="108" t="n">
        <v>1.58</v>
      </c>
      <c r="O204" s="108" t="n">
        <v>2.24</v>
      </c>
      <c r="P204" s="108" t="n">
        <v>2.05</v>
      </c>
      <c r="Q204" s="108" t="n">
        <v>0.59</v>
      </c>
      <c r="R204" s="108" t="n">
        <v>0.02</v>
      </c>
      <c r="S204" s="108" t="n">
        <v>0.67</v>
      </c>
      <c r="T204" s="108" t="n">
        <v>0.62</v>
      </c>
      <c r="U204" s="108" t="n">
        <v>0.57</v>
      </c>
      <c r="V204" s="108" t="n">
        <v>0.5600000000000001</v>
      </c>
      <c r="W204" s="108" t="n">
        <v>0.9</v>
      </c>
      <c r="X204" s="109" t="n">
        <v>0.06</v>
      </c>
      <c r="Y204" s="111" t="inlineStr">
        <is>
          <t>N/A</t>
        </is>
      </c>
      <c r="Z204" s="109" t="n">
        <v>72.84999999999999</v>
      </c>
      <c r="AA204" s="109" t="n">
        <v>-0</v>
      </c>
      <c r="AB204" s="109" t="n">
        <v>-0.06</v>
      </c>
      <c r="AC204" s="108" t="n">
        <v>0.01</v>
      </c>
      <c r="AD204" s="108" t="n">
        <v>0.01</v>
      </c>
      <c r="AE204" s="108" t="n">
        <v>0.3</v>
      </c>
      <c r="AF204" s="108" t="n">
        <v>0.14</v>
      </c>
      <c r="AG204" s="108" t="n">
        <v>0.16</v>
      </c>
      <c r="AH204" s="108" t="n">
        <v>0.49</v>
      </c>
      <c r="AI204" s="108" t="n">
        <v>1.46</v>
      </c>
      <c r="AJ204" s="108" t="n">
        <v>2.84</v>
      </c>
      <c r="AK204" s="106" t="inlineStr">
        <is>
          <t>Grey</t>
        </is>
      </c>
      <c r="AL204" s="108" t="n">
        <v>0.3</v>
      </c>
      <c r="AM204" s="108" t="n">
        <v>0.14</v>
      </c>
      <c r="AN204" s="108" t="n">
        <v>0.16</v>
      </c>
      <c r="AO204" s="108" t="n">
        <v>0.49</v>
      </c>
      <c r="AP204" s="108" t="n">
        <v>1.46</v>
      </c>
      <c r="AQ204" s="107" t="n">
        <v>2.49</v>
      </c>
      <c r="AR204" s="107" t="inlineStr">
        <is>
          <t>Grey</t>
        </is>
      </c>
      <c r="AS204" s="108" t="n">
        <v>0.3</v>
      </c>
      <c r="AT204" s="108" t="n">
        <v>0.14</v>
      </c>
      <c r="AU204" s="108" t="n">
        <v>0.16</v>
      </c>
      <c r="AV204" s="108" t="n">
        <v>0.49</v>
      </c>
      <c r="AW204" s="107" t="n">
        <v>4.02</v>
      </c>
      <c r="AX204" s="107" t="inlineStr">
        <is>
          <t>Safe</t>
        </is>
      </c>
      <c r="AY204" s="108" t="n">
        <v>0.3</v>
      </c>
      <c r="AZ204" s="108" t="n">
        <v>0.16</v>
      </c>
      <c r="BA204" s="108" t="n">
        <v>0.59</v>
      </c>
      <c r="BB204" s="108" t="n">
        <v>1.46</v>
      </c>
      <c r="BC204" s="107" t="n">
        <v>1.77</v>
      </c>
      <c r="BD204" s="107" t="inlineStr">
        <is>
          <t>Healthy</t>
        </is>
      </c>
      <c r="BE204" s="108" t="n">
        <v>0.11</v>
      </c>
      <c r="BF204" s="108" t="n">
        <v>0.67</v>
      </c>
      <c r="BG204" s="108" t="n">
        <v>2.24</v>
      </c>
      <c r="BH204" s="108" t="n">
        <v>-1.01</v>
      </c>
      <c r="BI204" s="107" t="n">
        <v>0.27</v>
      </c>
      <c r="BJ204" s="107" t="inlineStr">
        <is>
          <t>Healthy</t>
        </is>
      </c>
      <c r="BK204" s="107" t="n">
        <v>1</v>
      </c>
      <c r="BL204" s="107" t="n">
        <v>1</v>
      </c>
      <c r="BM204" s="107" t="n">
        <v>0</v>
      </c>
      <c r="BN204" s="107" t="n">
        <v>0</v>
      </c>
      <c r="BO204" s="107" t="n">
        <v>0</v>
      </c>
      <c r="BP204" s="107" t="n">
        <v>1</v>
      </c>
      <c r="BQ204" s="107" t="n">
        <v>1</v>
      </c>
      <c r="BR204" s="107" t="n">
        <v>1</v>
      </c>
      <c r="BS204" s="107" t="n">
        <v>0</v>
      </c>
      <c r="BT204" s="107" t="n">
        <v>5</v>
      </c>
      <c r="BU204" s="107" t="inlineStr">
        <is>
          <t>Mixed</t>
        </is>
      </c>
      <c r="BV204" s="108" t="n">
        <v>1.18</v>
      </c>
      <c r="BW204" s="108" t="n">
        <v>1</v>
      </c>
      <c r="BX204" s="108" t="n">
        <v>0.93</v>
      </c>
      <c r="BY204" s="108" t="n">
        <v>1</v>
      </c>
      <c r="BZ204" s="108" t="n">
        <v>0.93</v>
      </c>
      <c r="CA204" s="108" t="n">
        <v>1.04</v>
      </c>
      <c r="CB204" s="108" t="n">
        <v>1.08</v>
      </c>
      <c r="CC204" s="108" t="n">
        <v>0.01</v>
      </c>
      <c r="CD204" s="107" t="n">
        <v>-2.34</v>
      </c>
      <c r="CE204" s="107" t="inlineStr">
        <is>
          <t>Lower Risk</t>
        </is>
      </c>
      <c r="CF204" s="108" t="n">
        <v>1.07</v>
      </c>
      <c r="CG204" s="108" t="n">
        <v>51.67</v>
      </c>
      <c r="CH204" s="107" t="n">
        <v>0</v>
      </c>
      <c r="CI204" s="107" t="inlineStr">
        <is>
          <t>CLEAR</t>
        </is>
      </c>
    </row>
    <row r="205" ht="17" customHeight="1">
      <c r="A205" s="103" t="inlineStr">
        <is>
          <t>RGLD</t>
        </is>
      </c>
      <c r="B205" s="103" t="inlineStr">
        <is>
          <t>Royal Gold, Inc</t>
        </is>
      </c>
      <c r="C205" s="104" t="n">
        <v>256530000</v>
      </c>
      <c r="D205" s="105" t="n">
        <v>0.62</v>
      </c>
      <c r="E205" s="105" t="n">
        <v>0.5600000000000001</v>
      </c>
      <c r="F205" s="105" t="n">
        <v>0.45</v>
      </c>
      <c r="G205" s="105" t="n">
        <v>0.05</v>
      </c>
      <c r="H205" s="105" t="n">
        <v>0.1</v>
      </c>
      <c r="I205" s="105" t="n">
        <v>0.07000000000000001</v>
      </c>
      <c r="J205" s="105" t="n">
        <v>0.07000000000000001</v>
      </c>
      <c r="K205" s="105" t="n">
        <v>0.6899999999999999</v>
      </c>
      <c r="L205" s="105" t="n">
        <v>0.65</v>
      </c>
      <c r="M205" s="105" t="n">
        <v>0.11</v>
      </c>
      <c r="N205" s="104" t="n">
        <v>0.21</v>
      </c>
      <c r="O205" s="104" t="n">
        <v>3.12</v>
      </c>
      <c r="P205" s="104" t="n">
        <v>3.23</v>
      </c>
      <c r="Q205" s="104" t="n">
        <v>2.91</v>
      </c>
      <c r="R205" s="104" t="n">
        <v>1.93</v>
      </c>
      <c r="S205" s="104" t="n">
        <v>0.24</v>
      </c>
      <c r="T205" s="104" t="n">
        <v>0.08</v>
      </c>
      <c r="U205" s="104" t="n">
        <v>0.13</v>
      </c>
      <c r="V205" s="104" t="n">
        <v>0.09</v>
      </c>
      <c r="W205" s="104" t="n">
        <v>1.51</v>
      </c>
      <c r="X205" s="113" t="inlineStr">
        <is>
          <t>N/A</t>
        </is>
      </c>
      <c r="Y205" s="105" t="n">
        <v>0</v>
      </c>
      <c r="Z205" s="105" t="n">
        <v>36.07</v>
      </c>
      <c r="AA205" s="105" t="n">
        <v>0.43</v>
      </c>
      <c r="AB205" s="105" t="n">
        <v>0.4</v>
      </c>
      <c r="AC205" s="104" t="n">
        <v>-0.03</v>
      </c>
      <c r="AD205" s="104" t="n">
        <v>-0.03</v>
      </c>
      <c r="AE205" s="104" t="n">
        <v>0.03</v>
      </c>
      <c r="AF205" s="104" t="n">
        <v>0.13</v>
      </c>
      <c r="AG205" s="104" t="n">
        <v>0.07000000000000001</v>
      </c>
      <c r="AH205" s="104" t="n">
        <v>3.07</v>
      </c>
      <c r="AI205" s="104" t="n">
        <v>0.11</v>
      </c>
      <c r="AJ205" s="104" t="n">
        <v>2.38</v>
      </c>
      <c r="AK205" s="106" t="inlineStr">
        <is>
          <t>Grey</t>
        </is>
      </c>
      <c r="AL205" s="104" t="n">
        <v>0.03</v>
      </c>
      <c r="AM205" s="104" t="n">
        <v>0.13</v>
      </c>
      <c r="AN205" s="104" t="n">
        <v>0.07000000000000001</v>
      </c>
      <c r="AO205" s="104" t="n">
        <v>3.07</v>
      </c>
      <c r="AP205" s="104" t="n">
        <v>0.11</v>
      </c>
      <c r="AQ205" s="103" t="n">
        <v>1.73</v>
      </c>
      <c r="AR205" s="103" t="inlineStr">
        <is>
          <t>Grey</t>
        </is>
      </c>
      <c r="AS205" s="104" t="n">
        <v>0.03</v>
      </c>
      <c r="AT205" s="104" t="n">
        <v>0.13</v>
      </c>
      <c r="AU205" s="104" t="n">
        <v>0.07000000000000001</v>
      </c>
      <c r="AV205" s="104" t="n">
        <v>3.07</v>
      </c>
      <c r="AW205" s="103" t="n">
        <v>4.27</v>
      </c>
      <c r="AX205" s="103" t="inlineStr">
        <is>
          <t>Safe</t>
        </is>
      </c>
      <c r="AY205" s="104" t="n">
        <v>0.03</v>
      </c>
      <c r="AZ205" s="104" t="n">
        <v>0.07000000000000001</v>
      </c>
      <c r="BA205" s="104" t="n">
        <v>4.75</v>
      </c>
      <c r="BB205" s="104" t="n">
        <v>0.11</v>
      </c>
      <c r="BC205" s="103" t="n">
        <v>3.41</v>
      </c>
      <c r="BD205" s="103" t="inlineStr">
        <is>
          <t>Healthy</t>
        </is>
      </c>
      <c r="BE205" s="104" t="n">
        <v>0.05</v>
      </c>
      <c r="BF205" s="104" t="n">
        <v>0.24</v>
      </c>
      <c r="BG205" s="104" t="n">
        <v>3.12</v>
      </c>
      <c r="BH205" s="104" t="n">
        <v>-3.16</v>
      </c>
      <c r="BI205" s="103" t="n">
        <v>0.04</v>
      </c>
      <c r="BJ205" s="103" t="inlineStr">
        <is>
          <t>Healthy</t>
        </is>
      </c>
      <c r="BK205" s="103" t="n">
        <v>1</v>
      </c>
      <c r="BL205" s="103" t="n">
        <v>1</v>
      </c>
      <c r="BM205" s="103" t="n">
        <v>0</v>
      </c>
      <c r="BN205" s="103" t="n">
        <v>1</v>
      </c>
      <c r="BO205" s="103" t="n">
        <v>0</v>
      </c>
      <c r="BP205" s="103" t="n">
        <v>0</v>
      </c>
      <c r="BQ205" s="103" t="n">
        <v>1</v>
      </c>
      <c r="BR205" s="103" t="n">
        <v>1</v>
      </c>
      <c r="BS205" s="103" t="n">
        <v>0</v>
      </c>
      <c r="BT205" s="103" t="n">
        <v>5</v>
      </c>
      <c r="BU205" s="103" t="inlineStr">
        <is>
          <t>Mixed</t>
        </is>
      </c>
      <c r="BV205" s="113" t="inlineStr">
        <is>
          <t>N/A</t>
        </is>
      </c>
      <c r="BW205" s="104" t="n">
        <v>0.9399999999999999</v>
      </c>
      <c r="BX205" s="113" t="inlineStr">
        <is>
          <t>N/A</t>
        </is>
      </c>
      <c r="BY205" s="104" t="n">
        <v>1.43</v>
      </c>
      <c r="BZ205" s="113" t="inlineStr">
        <is>
          <t>N/A</t>
        </is>
      </c>
      <c r="CA205" s="104" t="n">
        <v>0.84</v>
      </c>
      <c r="CB205" s="104" t="n">
        <v>3.18</v>
      </c>
      <c r="CC205" s="104" t="n">
        <v>-0.03</v>
      </c>
      <c r="CD205" s="113" t="inlineStr">
        <is>
          <t>N/A</t>
        </is>
      </c>
      <c r="CE205" s="113" t="inlineStr">
        <is>
          <t>N/A</t>
        </is>
      </c>
      <c r="CF205" s="104" t="n">
        <v>1.06</v>
      </c>
      <c r="CG205" s="104" t="n">
        <v>51.54</v>
      </c>
      <c r="CH205" s="103" t="n">
        <v>0</v>
      </c>
      <c r="CI205" s="103" t="inlineStr">
        <is>
          <t>CLEAR</t>
        </is>
      </c>
    </row>
    <row r="206" ht="17" customHeight="1">
      <c r="A206" s="107" t="inlineStr">
        <is>
          <t>DUK</t>
        </is>
      </c>
      <c r="B206" s="107" t="inlineStr">
        <is>
          <t>DUKE ENERGY CORPORATION</t>
        </is>
      </c>
      <c r="C206" s="108" t="n">
        <v>-9434000000</v>
      </c>
      <c r="D206" s="109" t="n">
        <v>0.44</v>
      </c>
      <c r="E206" s="109" t="n">
        <v>0.29</v>
      </c>
      <c r="F206" s="109" t="n">
        <v>0.25</v>
      </c>
      <c r="G206" s="109" t="n">
        <v>0.03</v>
      </c>
      <c r="H206" s="109" t="n">
        <v>0.02</v>
      </c>
      <c r="I206" s="109" t="n">
        <v>0.1</v>
      </c>
      <c r="J206" s="109" t="n">
        <v>0.05</v>
      </c>
      <c r="K206" s="109" t="n">
        <v>0.65</v>
      </c>
      <c r="L206" s="109" t="n">
        <v>-0.2</v>
      </c>
      <c r="M206" s="109" t="n">
        <v>0.1</v>
      </c>
      <c r="N206" s="108" t="n">
        <v>0.03</v>
      </c>
      <c r="O206" s="108" t="n">
        <v>0.55</v>
      </c>
      <c r="P206" s="108" t="n">
        <v>0.67</v>
      </c>
      <c r="Q206" s="108" t="n">
        <v>0.48</v>
      </c>
      <c r="R206" s="108" t="n">
        <v>0.01</v>
      </c>
      <c r="S206" s="108" t="n">
        <v>1</v>
      </c>
      <c r="T206" s="108" t="n">
        <v>1</v>
      </c>
      <c r="U206" s="108" t="n">
        <v>1.73</v>
      </c>
      <c r="V206" s="108" t="n">
        <v>1.73</v>
      </c>
      <c r="W206" s="108" t="n">
        <v>2.48</v>
      </c>
      <c r="X206" s="109" t="n">
        <v>-0.09</v>
      </c>
      <c r="Y206" s="109" t="n">
        <v>0</v>
      </c>
      <c r="Z206" s="109" t="n">
        <v>2.37</v>
      </c>
      <c r="AA206" s="109" t="n">
        <v>2.45</v>
      </c>
      <c r="AB206" s="109" t="n">
        <v>0.1</v>
      </c>
      <c r="AC206" s="108" t="n">
        <v>-0.04</v>
      </c>
      <c r="AD206" s="108" t="n">
        <v>-0.04</v>
      </c>
      <c r="AE206" s="108" t="n">
        <v>-0.05</v>
      </c>
      <c r="AF206" s="108" t="n">
        <v>0.03</v>
      </c>
      <c r="AG206" s="108" t="n">
        <v>0.04</v>
      </c>
      <c r="AH206" s="108" t="n">
        <v>0.26</v>
      </c>
      <c r="AI206" s="108" t="n">
        <v>0.1</v>
      </c>
      <c r="AJ206" s="108" t="n">
        <v>0.38</v>
      </c>
      <c r="AK206" s="112" t="inlineStr">
        <is>
          <t>Distress</t>
        </is>
      </c>
      <c r="AL206" s="108" t="n">
        <v>-0.05</v>
      </c>
      <c r="AM206" s="108" t="n">
        <v>0.03</v>
      </c>
      <c r="AN206" s="108" t="n">
        <v>0.04</v>
      </c>
      <c r="AO206" s="108" t="n">
        <v>0.26</v>
      </c>
      <c r="AP206" s="108" t="n">
        <v>0.1</v>
      </c>
      <c r="AQ206" s="107" t="n">
        <v>0.34</v>
      </c>
      <c r="AR206" s="107" t="inlineStr">
        <is>
          <t>Distress</t>
        </is>
      </c>
      <c r="AS206" s="108" t="n">
        <v>-0.05</v>
      </c>
      <c r="AT206" s="108" t="n">
        <v>0.03</v>
      </c>
      <c r="AU206" s="108" t="n">
        <v>0.04</v>
      </c>
      <c r="AV206" s="108" t="n">
        <v>0.26</v>
      </c>
      <c r="AW206" s="107" t="n">
        <v>0.34</v>
      </c>
      <c r="AX206" s="107" t="inlineStr">
        <is>
          <t>Distress</t>
        </is>
      </c>
      <c r="AY206" s="108" t="n">
        <v>-0.05</v>
      </c>
      <c r="AZ206" s="108" t="n">
        <v>0.04</v>
      </c>
      <c r="BA206" s="108" t="n">
        <v>0.27</v>
      </c>
      <c r="BB206" s="108" t="n">
        <v>0.1</v>
      </c>
      <c r="BC206" s="107" t="n">
        <v>0.3</v>
      </c>
      <c r="BD206" s="107" t="inlineStr">
        <is>
          <t>Distress</t>
        </is>
      </c>
      <c r="BE206" s="108" t="n">
        <v>0.03</v>
      </c>
      <c r="BF206" s="108" t="n">
        <v>1</v>
      </c>
      <c r="BG206" s="108" t="n">
        <v>0.55</v>
      </c>
      <c r="BH206" s="108" t="n">
        <v>1.23</v>
      </c>
      <c r="BI206" s="107" t="n">
        <v>0.77</v>
      </c>
      <c r="BJ206" s="107" t="inlineStr">
        <is>
          <t>Distress</t>
        </is>
      </c>
      <c r="BK206" s="107" t="n">
        <v>1</v>
      </c>
      <c r="BL206" s="107" t="n">
        <v>1</v>
      </c>
      <c r="BM206" s="107" t="n">
        <v>1</v>
      </c>
      <c r="BN206" s="107" t="n">
        <v>1</v>
      </c>
      <c r="BO206" s="107" t="n">
        <v>0</v>
      </c>
      <c r="BP206" s="107" t="n">
        <v>0</v>
      </c>
      <c r="BQ206" s="107" t="n">
        <v>0</v>
      </c>
      <c r="BR206" s="107" t="n">
        <v>1</v>
      </c>
      <c r="BS206" s="107" t="n">
        <v>1</v>
      </c>
      <c r="BT206" s="107" t="n">
        <v>6</v>
      </c>
      <c r="BU206" s="107" t="inlineStr">
        <is>
          <t>Mixed</t>
        </is>
      </c>
      <c r="BV206" s="108" t="n">
        <v>0</v>
      </c>
      <c r="BW206" s="108" t="n">
        <v>-0.31</v>
      </c>
      <c r="BX206" s="108" t="n">
        <v>1.03</v>
      </c>
      <c r="BY206" s="108" t="n">
        <v>3.45</v>
      </c>
      <c r="BZ206" s="108" t="n">
        <v>1.04</v>
      </c>
      <c r="CA206" s="111" t="inlineStr">
        <is>
          <t>N/A</t>
        </is>
      </c>
      <c r="CB206" s="108" t="n">
        <v>1</v>
      </c>
      <c r="CC206" s="108" t="n">
        <v>-0.04</v>
      </c>
      <c r="CD206" s="107" t="n">
        <v>-1.89</v>
      </c>
      <c r="CE206" s="107" t="inlineStr">
        <is>
          <t>Higher Risk</t>
        </is>
      </c>
      <c r="CF206" s="108" t="n">
        <v>8.59</v>
      </c>
      <c r="CG206" s="108" t="n">
        <v>43.01</v>
      </c>
      <c r="CH206" s="107" t="n">
        <v>20</v>
      </c>
      <c r="CI206" s="107" t="inlineStr">
        <is>
          <t>CLEAR</t>
        </is>
      </c>
    </row>
    <row r="207" ht="17" customHeight="1">
      <c r="A207" s="103" t="inlineStr">
        <is>
          <t>HSY</t>
        </is>
      </c>
      <c r="B207" s="103" t="inlineStr">
        <is>
          <t>HERSHEY CO</t>
        </is>
      </c>
      <c r="C207" s="104" t="n">
        <v>577003000</v>
      </c>
      <c r="D207" s="105" t="n">
        <v>0.18</v>
      </c>
      <c r="E207" s="105" t="n">
        <v>0.15</v>
      </c>
      <c r="F207" s="105" t="n">
        <v>0.11</v>
      </c>
      <c r="G207" s="105" t="n">
        <v>0.06</v>
      </c>
      <c r="H207" s="105" t="n">
        <v>0.17</v>
      </c>
      <c r="I207" s="105" t="n">
        <v>0.19</v>
      </c>
      <c r="J207" s="105" t="n">
        <v>0.13</v>
      </c>
      <c r="K207" s="105" t="n">
        <v>0.48</v>
      </c>
      <c r="L207" s="105" t="n">
        <v>2.43</v>
      </c>
      <c r="M207" s="105" t="n">
        <v>0.59</v>
      </c>
      <c r="N207" s="104" t="n">
        <v>0.17</v>
      </c>
      <c r="O207" s="104" t="n">
        <v>1.19</v>
      </c>
      <c r="P207" s="104" t="n">
        <v>0.96</v>
      </c>
      <c r="Q207" s="104" t="n">
        <v>0.72</v>
      </c>
      <c r="R207" s="104" t="n">
        <v>0.2</v>
      </c>
      <c r="S207" s="104" t="n">
        <v>0.66</v>
      </c>
      <c r="T207" s="104" t="n">
        <v>0.64</v>
      </c>
      <c r="U207" s="104" t="n">
        <v>1.02</v>
      </c>
      <c r="V207" s="104" t="n">
        <v>0.9</v>
      </c>
      <c r="W207" s="104" t="n">
        <v>2.58</v>
      </c>
      <c r="X207" s="105" t="n">
        <v>0.22</v>
      </c>
      <c r="Y207" s="105" t="n">
        <v>0.01</v>
      </c>
      <c r="Z207" s="105" t="n">
        <v>6.41</v>
      </c>
      <c r="AA207" s="105" t="n">
        <v>2.73</v>
      </c>
      <c r="AB207" s="105" t="n">
        <v>-0.6</v>
      </c>
      <c r="AC207" s="104" t="n">
        <v>-0.1</v>
      </c>
      <c r="AD207" s="104" t="n">
        <v>-0.1</v>
      </c>
      <c r="AE207" s="104" t="n">
        <v>0.04</v>
      </c>
      <c r="AF207" s="104" t="n">
        <v>0.4</v>
      </c>
      <c r="AG207" s="104" t="n">
        <v>0.1</v>
      </c>
      <c r="AH207" s="104" t="n">
        <v>0.51</v>
      </c>
      <c r="AI207" s="104" t="n">
        <v>0.59</v>
      </c>
      <c r="AJ207" s="104" t="n">
        <v>1.86</v>
      </c>
      <c r="AK207" s="106" t="inlineStr">
        <is>
          <t>Grey</t>
        </is>
      </c>
      <c r="AL207" s="104" t="n">
        <v>0.04</v>
      </c>
      <c r="AM207" s="104" t="n">
        <v>0.4</v>
      </c>
      <c r="AN207" s="104" t="n">
        <v>0.1</v>
      </c>
      <c r="AO207" s="104" t="n">
        <v>0.51</v>
      </c>
      <c r="AP207" s="104" t="n">
        <v>0.59</v>
      </c>
      <c r="AQ207" s="103" t="n">
        <v>1.5</v>
      </c>
      <c r="AR207" s="103" t="inlineStr">
        <is>
          <t>Grey</t>
        </is>
      </c>
      <c r="AS207" s="104" t="n">
        <v>0.04</v>
      </c>
      <c r="AT207" s="104" t="n">
        <v>0.4</v>
      </c>
      <c r="AU207" s="104" t="n">
        <v>0.1</v>
      </c>
      <c r="AV207" s="104" t="n">
        <v>0.51</v>
      </c>
      <c r="AW207" s="103" t="n">
        <v>2.82</v>
      </c>
      <c r="AX207" s="103" t="inlineStr">
        <is>
          <t>Safe</t>
        </is>
      </c>
      <c r="AY207" s="104" t="n">
        <v>0.04</v>
      </c>
      <c r="AZ207" s="104" t="n">
        <v>0.1</v>
      </c>
      <c r="BA207" s="104" t="n">
        <v>0.4</v>
      </c>
      <c r="BB207" s="104" t="n">
        <v>0.59</v>
      </c>
      <c r="BC207" s="103" t="n">
        <v>0.87</v>
      </c>
      <c r="BD207" s="103" t="inlineStr">
        <is>
          <t>Healthy</t>
        </is>
      </c>
      <c r="BE207" s="104" t="n">
        <v>0.06</v>
      </c>
      <c r="BF207" s="104" t="n">
        <v>0.66</v>
      </c>
      <c r="BG207" s="104" t="n">
        <v>1.19</v>
      </c>
      <c r="BH207" s="104" t="n">
        <v>-0.86</v>
      </c>
      <c r="BI207" s="103" t="n">
        <v>0.3</v>
      </c>
      <c r="BJ207" s="103" t="inlineStr">
        <is>
          <t>Healthy</t>
        </is>
      </c>
      <c r="BK207" s="103" t="n">
        <v>1</v>
      </c>
      <c r="BL207" s="103" t="n">
        <v>1</v>
      </c>
      <c r="BM207" s="103" t="n">
        <v>0</v>
      </c>
      <c r="BN207" s="103" t="n">
        <v>1</v>
      </c>
      <c r="BO207" s="103" t="n">
        <v>0</v>
      </c>
      <c r="BP207" s="103" t="n">
        <v>1</v>
      </c>
      <c r="BQ207" s="103" t="n">
        <v>0</v>
      </c>
      <c r="BR207" s="103" t="n">
        <v>0</v>
      </c>
      <c r="BS207" s="103" t="n">
        <v>1</v>
      </c>
      <c r="BT207" s="103" t="n">
        <v>5</v>
      </c>
      <c r="BU207" s="103" t="inlineStr">
        <is>
          <t>Mixed</t>
        </is>
      </c>
      <c r="BV207" s="104" t="n">
        <v>0.24</v>
      </c>
      <c r="BW207" s="104" t="n">
        <v>5.04</v>
      </c>
      <c r="BX207" s="104" t="n">
        <v>1.05</v>
      </c>
      <c r="BY207" s="104" t="n">
        <v>3.73</v>
      </c>
      <c r="BZ207" s="104" t="n">
        <v>0.98</v>
      </c>
      <c r="CA207" s="104" t="n">
        <v>0.28</v>
      </c>
      <c r="CB207" s="104" t="n">
        <v>1.04</v>
      </c>
      <c r="CC207" s="104" t="n">
        <v>-0.1</v>
      </c>
      <c r="CD207" s="103" t="n">
        <v>1.05</v>
      </c>
      <c r="CE207" s="103" t="inlineStr">
        <is>
          <t>Higher Risk</t>
        </is>
      </c>
      <c r="CF207" s="104" t="n">
        <v>2.54</v>
      </c>
      <c r="CG207" s="104" t="n">
        <v>43.22</v>
      </c>
      <c r="CH207" s="106" t="n">
        <v>40</v>
      </c>
      <c r="CI207" s="103" t="inlineStr">
        <is>
          <t>WATCH</t>
        </is>
      </c>
    </row>
    <row r="208" ht="17" customHeight="1">
      <c r="A208" s="107" t="inlineStr">
        <is>
          <t>WOLF</t>
        </is>
      </c>
      <c r="B208" s="107" t="inlineStr">
        <is>
          <t>WOLFSPEED, INC.</t>
        </is>
      </c>
      <c r="C208" s="108" t="n">
        <v>-4547800000</v>
      </c>
      <c r="D208" s="109" t="n">
        <v>-0.96</v>
      </c>
      <c r="E208" s="109" t="n">
        <v>-1.17</v>
      </c>
      <c r="F208" s="109" t="n">
        <v>-1.16</v>
      </c>
      <c r="G208" s="109" t="n">
        <v>-0.23</v>
      </c>
      <c r="H208" s="109" t="n">
        <v>-0.11</v>
      </c>
      <c r="I208" s="109" t="n">
        <v>3.6</v>
      </c>
      <c r="J208" s="109" t="n">
        <v>5.64</v>
      </c>
      <c r="K208" s="109" t="n">
        <v>-0.09</v>
      </c>
      <c r="L208" s="109" t="n">
        <v>0.21</v>
      </c>
      <c r="M208" s="109" t="n">
        <v>0.2</v>
      </c>
      <c r="N208" s="108" t="n">
        <v>0.05</v>
      </c>
      <c r="O208" s="108" t="n">
        <v>0.36</v>
      </c>
      <c r="P208" s="108" t="n">
        <v>4.51</v>
      </c>
      <c r="Q208" s="108" t="n">
        <v>0.3</v>
      </c>
      <c r="R208" s="108" t="n">
        <v>0.07000000000000001</v>
      </c>
      <c r="S208" s="108" t="n">
        <v>1</v>
      </c>
      <c r="T208" s="108" t="n">
        <v>1</v>
      </c>
      <c r="U208" s="108" t="n">
        <v>-29.25</v>
      </c>
      <c r="V208" s="108" t="n">
        <v>-28.2</v>
      </c>
      <c r="W208" s="108" t="n">
        <v>0.44</v>
      </c>
      <c r="X208" s="109" t="n">
        <v>-1.43</v>
      </c>
      <c r="Y208" s="109" t="n">
        <v>0.13</v>
      </c>
      <c r="Z208" s="109" t="n">
        <v>-31.2</v>
      </c>
      <c r="AA208" s="109" t="n">
        <v>2.7</v>
      </c>
      <c r="AB208" s="109" t="n">
        <v>0.86</v>
      </c>
      <c r="AC208" s="108" t="n">
        <v>-0.13</v>
      </c>
      <c r="AD208" s="108" t="n">
        <v>-0.13</v>
      </c>
      <c r="AE208" s="108" t="n">
        <v>-0.66</v>
      </c>
      <c r="AF208" s="108" t="n">
        <v>-0.66</v>
      </c>
      <c r="AG208" s="108" t="n">
        <v>-0.19</v>
      </c>
      <c r="AH208" s="108" t="n">
        <v>-0.07000000000000001</v>
      </c>
      <c r="AI208" s="108" t="n">
        <v>0.2</v>
      </c>
      <c r="AJ208" s="108" t="n">
        <v>-2.2</v>
      </c>
      <c r="AK208" s="112" t="inlineStr">
        <is>
          <t>Distress</t>
        </is>
      </c>
      <c r="AL208" s="108" t="n">
        <v>-0.66</v>
      </c>
      <c r="AM208" s="108" t="n">
        <v>-0.66</v>
      </c>
      <c r="AN208" s="108" t="n">
        <v>-0.19</v>
      </c>
      <c r="AO208" s="108" t="n">
        <v>-0.07000000000000001</v>
      </c>
      <c r="AP208" s="108" t="n">
        <v>0.2</v>
      </c>
      <c r="AQ208" s="107" t="n">
        <v>-1.46</v>
      </c>
      <c r="AR208" s="107" t="inlineStr">
        <is>
          <t>Distress</t>
        </is>
      </c>
      <c r="AS208" s="108" t="n">
        <v>-0.66</v>
      </c>
      <c r="AT208" s="108" t="n">
        <v>-0.66</v>
      </c>
      <c r="AU208" s="108" t="n">
        <v>-0.19</v>
      </c>
      <c r="AV208" s="108" t="n">
        <v>-0.07000000000000001</v>
      </c>
      <c r="AW208" s="107" t="n">
        <v>-7.88</v>
      </c>
      <c r="AX208" s="107" t="inlineStr">
        <is>
          <t>Distress</t>
        </is>
      </c>
      <c r="AY208" s="108" t="n">
        <v>-0.66</v>
      </c>
      <c r="AZ208" s="108" t="n">
        <v>-0.19</v>
      </c>
      <c r="BA208" s="108" t="n">
        <v>-0.23</v>
      </c>
      <c r="BB208" s="108" t="n">
        <v>0.2</v>
      </c>
      <c r="BC208" s="107" t="n">
        <v>-1.35</v>
      </c>
      <c r="BD208" s="107" t="inlineStr">
        <is>
          <t>Distress</t>
        </is>
      </c>
      <c r="BE208" s="108" t="n">
        <v>-0.23</v>
      </c>
      <c r="BF208" s="108" t="n">
        <v>1</v>
      </c>
      <c r="BG208" s="108" t="n">
        <v>0.36</v>
      </c>
      <c r="BH208" s="108" t="n">
        <v>2.4</v>
      </c>
      <c r="BI208" s="107" t="n">
        <v>0.92</v>
      </c>
      <c r="BJ208" s="107" t="inlineStr">
        <is>
          <t>Distress</t>
        </is>
      </c>
      <c r="BK208" s="107" t="n">
        <v>0</v>
      </c>
      <c r="BL208" s="107" t="n">
        <v>0</v>
      </c>
      <c r="BM208" s="107" t="n">
        <v>0</v>
      </c>
      <c r="BN208" s="107" t="n">
        <v>1</v>
      </c>
      <c r="BO208" s="107" t="n">
        <v>0</v>
      </c>
      <c r="BP208" s="107" t="n">
        <v>0</v>
      </c>
      <c r="BQ208" s="107" t="n">
        <v>0</v>
      </c>
      <c r="BR208" s="107" t="n">
        <v>0</v>
      </c>
      <c r="BS208" s="107" t="n">
        <v>1</v>
      </c>
      <c r="BT208" s="107" t="n">
        <v>2</v>
      </c>
      <c r="BU208" s="107" t="inlineStr">
        <is>
          <t>Weak</t>
        </is>
      </c>
      <c r="BV208" s="108" t="n">
        <v>0.33</v>
      </c>
      <c r="BW208" s="108" t="n">
        <v>-2.35</v>
      </c>
      <c r="BX208" s="108" t="n">
        <v>0.93</v>
      </c>
      <c r="BY208" s="108" t="n">
        <v>3.7</v>
      </c>
      <c r="BZ208" s="108" t="n">
        <v>0.96</v>
      </c>
      <c r="CA208" s="108" t="n">
        <v>0.21</v>
      </c>
      <c r="CB208" s="108" t="n">
        <v>1</v>
      </c>
      <c r="CC208" s="108" t="n">
        <v>-0.13</v>
      </c>
      <c r="CD208" s="107" t="n">
        <v>-2.97</v>
      </c>
      <c r="CE208" s="107" t="inlineStr">
        <is>
          <t>Lower Risk</t>
        </is>
      </c>
      <c r="CF208" s="108" t="n">
        <v>-11.71</v>
      </c>
      <c r="CG208" s="108" t="n">
        <v>31.28</v>
      </c>
      <c r="CH208" s="112" t="n">
        <v>60</v>
      </c>
      <c r="CI208" s="107" t="inlineStr">
        <is>
          <t>RED FLAG</t>
        </is>
      </c>
    </row>
    <row r="209" ht="17" customHeight="1">
      <c r="A209" s="103" t="inlineStr">
        <is>
          <t>NCNO</t>
        </is>
      </c>
      <c r="B209" s="103" t="inlineStr">
        <is>
          <t>nCino, Inc.</t>
        </is>
      </c>
      <c r="C209" s="104" t="n">
        <v>-989000</v>
      </c>
      <c r="D209" s="105" t="n">
        <v>0.01</v>
      </c>
      <c r="E209" s="105" t="n">
        <v>0.01</v>
      </c>
      <c r="F209" s="105" t="n">
        <v>0.01</v>
      </c>
      <c r="G209" s="105" t="n">
        <v>0</v>
      </c>
      <c r="H209" s="105" t="n">
        <v>-0.02</v>
      </c>
      <c r="I209" s="105" t="n">
        <v>0</v>
      </c>
      <c r="J209" s="105" t="n">
        <v>0</v>
      </c>
      <c r="K209" s="105" t="n">
        <v>0.61</v>
      </c>
      <c r="L209" s="105" t="n">
        <v>0.6</v>
      </c>
      <c r="M209" s="105" t="n">
        <v>0.36</v>
      </c>
      <c r="N209" s="104" t="n">
        <v>0.34</v>
      </c>
      <c r="O209" s="104" t="n">
        <v>1</v>
      </c>
      <c r="P209" s="104" t="n">
        <v>1.2</v>
      </c>
      <c r="Q209" s="104" t="n">
        <v>1</v>
      </c>
      <c r="R209" s="104" t="n">
        <v>0.3</v>
      </c>
      <c r="S209" s="104" t="n">
        <v>0.35</v>
      </c>
      <c r="T209" s="104" t="n">
        <v>0.32</v>
      </c>
      <c r="U209" s="113" t="inlineStr">
        <is>
          <t>N/A</t>
        </is>
      </c>
      <c r="V209" s="113" t="inlineStr">
        <is>
          <t>N/A</t>
        </is>
      </c>
      <c r="W209" s="104" t="n">
        <v>17.39</v>
      </c>
      <c r="X209" s="105" t="n">
        <v>0.14</v>
      </c>
      <c r="Y209" s="105" t="n">
        <v>0.21</v>
      </c>
      <c r="Z209" s="105" t="n">
        <v>0.9</v>
      </c>
      <c r="AA209" s="105" t="n">
        <v>0.1</v>
      </c>
      <c r="AB209" s="105" t="n">
        <v>-1.14</v>
      </c>
      <c r="AC209" s="104" t="n">
        <v>-0.05</v>
      </c>
      <c r="AD209" s="104" t="n">
        <v>-0.05</v>
      </c>
      <c r="AE209" s="104" t="n">
        <v>-0</v>
      </c>
      <c r="AF209" s="104" t="n">
        <v>-0.23</v>
      </c>
      <c r="AG209" s="104" t="n">
        <v>0</v>
      </c>
      <c r="AH209" s="104" t="n">
        <v>1.82</v>
      </c>
      <c r="AI209" s="104" t="n">
        <v>0.36</v>
      </c>
      <c r="AJ209" s="104" t="n">
        <v>1.14</v>
      </c>
      <c r="AK209" s="112" t="inlineStr">
        <is>
          <t>Distress</t>
        </is>
      </c>
      <c r="AL209" s="104" t="n">
        <v>-0</v>
      </c>
      <c r="AM209" s="104" t="n">
        <v>-0.23</v>
      </c>
      <c r="AN209" s="104" t="n">
        <v>0</v>
      </c>
      <c r="AO209" s="104" t="n">
        <v>1.82</v>
      </c>
      <c r="AP209" s="104" t="n">
        <v>0.36</v>
      </c>
      <c r="AQ209" s="103" t="n">
        <v>0.9399999999999999</v>
      </c>
      <c r="AR209" s="103" t="inlineStr">
        <is>
          <t>Distress</t>
        </is>
      </c>
      <c r="AS209" s="104" t="n">
        <v>-0</v>
      </c>
      <c r="AT209" s="104" t="n">
        <v>-0.23</v>
      </c>
      <c r="AU209" s="104" t="n">
        <v>0</v>
      </c>
      <c r="AV209" s="104" t="n">
        <v>1.82</v>
      </c>
      <c r="AW209" s="103" t="n">
        <v>1.18</v>
      </c>
      <c r="AX209" s="103" t="inlineStr">
        <is>
          <t>Grey</t>
        </is>
      </c>
      <c r="AY209" s="104" t="n">
        <v>-0</v>
      </c>
      <c r="AZ209" s="104" t="n">
        <v>0</v>
      </c>
      <c r="BA209" s="104" t="n">
        <v>0.02</v>
      </c>
      <c r="BB209" s="104" t="n">
        <v>0.36</v>
      </c>
      <c r="BC209" s="103" t="n">
        <v>0.17</v>
      </c>
      <c r="BD209" s="103" t="inlineStr">
        <is>
          <t>Distress</t>
        </is>
      </c>
      <c r="BE209" s="104" t="n">
        <v>0</v>
      </c>
      <c r="BF209" s="104" t="n">
        <v>0.35</v>
      </c>
      <c r="BG209" s="104" t="n">
        <v>1</v>
      </c>
      <c r="BH209" s="104" t="n">
        <v>-2.35</v>
      </c>
      <c r="BI209" s="103" t="n">
        <v>0.09</v>
      </c>
      <c r="BJ209" s="103" t="inlineStr">
        <is>
          <t>Healthy</t>
        </is>
      </c>
      <c r="BK209" s="103" t="n">
        <v>1</v>
      </c>
      <c r="BL209" s="103" t="n">
        <v>1</v>
      </c>
      <c r="BM209" s="103" t="n">
        <v>1</v>
      </c>
      <c r="BN209" s="103" t="n">
        <v>1</v>
      </c>
      <c r="BO209" s="103" t="n">
        <v>0</v>
      </c>
      <c r="BP209" s="103" t="n">
        <v>0</v>
      </c>
      <c r="BQ209" s="103" t="n">
        <v>1</v>
      </c>
      <c r="BR209" s="103" t="n">
        <v>1</v>
      </c>
      <c r="BS209" s="103" t="n">
        <v>1</v>
      </c>
      <c r="BT209" s="103" t="n">
        <v>7</v>
      </c>
      <c r="BU209" s="103" t="inlineStr">
        <is>
          <t>Strong</t>
        </is>
      </c>
      <c r="BV209" s="104" t="n">
        <v>1.03</v>
      </c>
      <c r="BW209" s="104" t="n">
        <v>0.99</v>
      </c>
      <c r="BX209" s="104" t="n">
        <v>1.01</v>
      </c>
      <c r="BY209" s="104" t="n">
        <v>1.1</v>
      </c>
      <c r="BZ209" s="104" t="n">
        <v>0.91</v>
      </c>
      <c r="CA209" s="104" t="n">
        <v>0.93</v>
      </c>
      <c r="CB209" s="104" t="n">
        <v>1.1</v>
      </c>
      <c r="CC209" s="104" t="n">
        <v>-0.05</v>
      </c>
      <c r="CD209" s="103" t="n">
        <v>-2.63</v>
      </c>
      <c r="CE209" s="103" t="inlineStr">
        <is>
          <t>Lower Risk</t>
        </is>
      </c>
      <c r="CF209" s="113" t="inlineStr">
        <is>
          <t>N/A</t>
        </is>
      </c>
      <c r="CG209" s="104" t="n">
        <v>55.9</v>
      </c>
      <c r="CH209" s="103" t="n">
        <v>0</v>
      </c>
      <c r="CI209" s="103" t="inlineStr">
        <is>
          <t>CLEAR</t>
        </is>
      </c>
    </row>
    <row r="210" ht="17" customHeight="1">
      <c r="A210" s="107" t="inlineStr">
        <is>
          <t>PVH</t>
        </is>
      </c>
      <c r="B210" s="107" t="inlineStr">
        <is>
          <t>PVH Corp.</t>
        </is>
      </c>
      <c r="C210" s="108" t="n">
        <v>1229000000</v>
      </c>
      <c r="D210" s="109" t="n">
        <v>0.03</v>
      </c>
      <c r="E210" s="109" t="n">
        <v>0.02</v>
      </c>
      <c r="F210" s="109" t="n">
        <v>0</v>
      </c>
      <c r="G210" s="109" t="n">
        <v>0</v>
      </c>
      <c r="H210" s="109" t="n">
        <v>0.05</v>
      </c>
      <c r="I210" s="109" t="n">
        <v>0.01</v>
      </c>
      <c r="J210" s="109" t="n">
        <v>0.02</v>
      </c>
      <c r="K210" s="109" t="n">
        <v>0.58</v>
      </c>
      <c r="L210" s="109" t="n">
        <v>0.59</v>
      </c>
      <c r="M210" s="109" t="n">
        <v>0.77</v>
      </c>
      <c r="N210" s="108" t="n">
        <v>0.78</v>
      </c>
      <c r="O210" s="108" t="n">
        <v>1.52</v>
      </c>
      <c r="P210" s="108" t="n">
        <v>1.27</v>
      </c>
      <c r="Q210" s="108" t="n">
        <v>0.85</v>
      </c>
      <c r="R210" s="108" t="n">
        <v>0.3</v>
      </c>
      <c r="S210" s="108" t="n">
        <v>1</v>
      </c>
      <c r="T210" s="108" t="n">
        <v>1</v>
      </c>
      <c r="U210" s="108" t="n">
        <v>0.48</v>
      </c>
      <c r="V210" s="108" t="n">
        <v>0.33</v>
      </c>
      <c r="W210" s="108" t="n">
        <v>26.89</v>
      </c>
      <c r="X210" s="109" t="n">
        <v>0.06</v>
      </c>
      <c r="Y210" s="111" t="inlineStr">
        <is>
          <t>N/A</t>
        </is>
      </c>
      <c r="Z210" s="109" t="n">
        <v>2.45</v>
      </c>
      <c r="AA210" s="109" t="n">
        <v>0.03</v>
      </c>
      <c r="AB210" s="109" t="n">
        <v>-0.96</v>
      </c>
      <c r="AC210" s="108" t="n">
        <v>-0.06</v>
      </c>
      <c r="AD210" s="108" t="n">
        <v>-0.06</v>
      </c>
      <c r="AE210" s="108" t="n">
        <v>0.11</v>
      </c>
      <c r="AF210" s="108" t="n">
        <v>0.51</v>
      </c>
      <c r="AG210" s="108" t="n">
        <v>0.02</v>
      </c>
      <c r="AH210" s="108" t="n">
        <v>0.41</v>
      </c>
      <c r="AI210" s="108" t="n">
        <v>0.77</v>
      </c>
      <c r="AJ210" s="108" t="n">
        <v>1.92</v>
      </c>
      <c r="AK210" s="106" t="inlineStr">
        <is>
          <t>Grey</t>
        </is>
      </c>
      <c r="AL210" s="108" t="n">
        <v>0.11</v>
      </c>
      <c r="AM210" s="108" t="n">
        <v>0.51</v>
      </c>
      <c r="AN210" s="108" t="n">
        <v>0.02</v>
      </c>
      <c r="AO210" s="108" t="n">
        <v>0.41</v>
      </c>
      <c r="AP210" s="108" t="n">
        <v>0.77</v>
      </c>
      <c r="AQ210" s="107" t="n">
        <v>1.51</v>
      </c>
      <c r="AR210" s="107" t="inlineStr">
        <is>
          <t>Grey</t>
        </is>
      </c>
      <c r="AS210" s="108" t="n">
        <v>0.11</v>
      </c>
      <c r="AT210" s="108" t="n">
        <v>0.51</v>
      </c>
      <c r="AU210" s="108" t="n">
        <v>0.02</v>
      </c>
      <c r="AV210" s="108" t="n">
        <v>0.41</v>
      </c>
      <c r="AW210" s="107" t="n">
        <v>2.93</v>
      </c>
      <c r="AX210" s="107" t="inlineStr">
        <is>
          <t>Safe</t>
        </is>
      </c>
      <c r="AY210" s="108" t="n">
        <v>0.11</v>
      </c>
      <c r="AZ210" s="108" t="n">
        <v>0.02</v>
      </c>
      <c r="BA210" s="108" t="n">
        <v>0.06</v>
      </c>
      <c r="BB210" s="108" t="n">
        <v>0.77</v>
      </c>
      <c r="BC210" s="107" t="n">
        <v>0.52</v>
      </c>
      <c r="BD210" s="107" t="inlineStr">
        <is>
          <t>Distress</t>
        </is>
      </c>
      <c r="BE210" s="108" t="n">
        <v>0</v>
      </c>
      <c r="BF210" s="108" t="n">
        <v>1</v>
      </c>
      <c r="BG210" s="108" t="n">
        <v>1.52</v>
      </c>
      <c r="BH210" s="108" t="n">
        <v>1.34</v>
      </c>
      <c r="BI210" s="107" t="n">
        <v>0.79</v>
      </c>
      <c r="BJ210" s="107" t="inlineStr">
        <is>
          <t>Distress</t>
        </is>
      </c>
      <c r="BK210" s="107" t="n">
        <v>1</v>
      </c>
      <c r="BL210" s="107" t="n">
        <v>1</v>
      </c>
      <c r="BM210" s="107" t="n">
        <v>0</v>
      </c>
      <c r="BN210" s="107" t="n">
        <v>1</v>
      </c>
      <c r="BO210" s="107" t="n">
        <v>0</v>
      </c>
      <c r="BP210" s="107" t="n">
        <v>1</v>
      </c>
      <c r="BQ210" s="107" t="n">
        <v>0</v>
      </c>
      <c r="BR210" s="107" t="n">
        <v>0</v>
      </c>
      <c r="BS210" s="107" t="n">
        <v>0</v>
      </c>
      <c r="BT210" s="107" t="n">
        <v>4</v>
      </c>
      <c r="BU210" s="107" t="inlineStr">
        <is>
          <t>Mixed</t>
        </is>
      </c>
      <c r="BV210" s="108" t="n">
        <v>1.13</v>
      </c>
      <c r="BW210" s="108" t="n">
        <v>1.03</v>
      </c>
      <c r="BX210" s="108" t="n">
        <v>1.03</v>
      </c>
      <c r="BY210" s="108" t="n">
        <v>1.03</v>
      </c>
      <c r="BZ210" s="108" t="n">
        <v>0.96</v>
      </c>
      <c r="CA210" s="108" t="n">
        <v>0.98</v>
      </c>
      <c r="CB210" s="108" t="n">
        <v>1</v>
      </c>
      <c r="CC210" s="108" t="n">
        <v>-0.06</v>
      </c>
      <c r="CD210" s="107" t="n">
        <v>-2.57</v>
      </c>
      <c r="CE210" s="107" t="inlineStr">
        <is>
          <t>Lower Risk</t>
        </is>
      </c>
      <c r="CF210" s="108" t="n">
        <v>3.19</v>
      </c>
      <c r="CG210" s="108" t="n">
        <v>44.34</v>
      </c>
      <c r="CH210" s="107" t="n">
        <v>0</v>
      </c>
      <c r="CI210" s="107" t="inlineStr">
        <is>
          <t>CLEAR</t>
        </is>
      </c>
    </row>
    <row r="211" ht="17" customHeight="1">
      <c r="A211" s="103" t="inlineStr">
        <is>
          <t>TGT</t>
        </is>
      </c>
      <c r="B211" s="103" t="inlineStr">
        <is>
          <t>TARGET CORPORATION</t>
        </is>
      </c>
      <c r="C211" s="104" t="n">
        <v>-1225000000</v>
      </c>
      <c r="D211" s="105" t="n">
        <v>0.07000000000000001</v>
      </c>
      <c r="E211" s="105" t="n">
        <v>0.07000000000000001</v>
      </c>
      <c r="F211" s="105" t="n">
        <v>0.05</v>
      </c>
      <c r="G211" s="105" t="n">
        <v>0.06</v>
      </c>
      <c r="H211" s="105" t="n">
        <v>0.07000000000000001</v>
      </c>
      <c r="I211" s="105" t="n">
        <v>0.23</v>
      </c>
      <c r="J211" s="105" t="n">
        <v>0.13</v>
      </c>
      <c r="K211" s="105" t="n">
        <v>0.29</v>
      </c>
      <c r="L211" s="105" t="n">
        <v>0.08</v>
      </c>
      <c r="M211" s="105" t="n">
        <v>1.22</v>
      </c>
      <c r="N211" s="104" t="n">
        <v>1.23</v>
      </c>
      <c r="O211" s="104" t="n">
        <v>0.9399999999999999</v>
      </c>
      <c r="P211" s="104" t="n">
        <v>0.9399999999999999</v>
      </c>
      <c r="Q211" s="104" t="n">
        <v>0.36</v>
      </c>
      <c r="R211" s="104" t="n">
        <v>0.26</v>
      </c>
      <c r="S211" s="104" t="n">
        <v>1</v>
      </c>
      <c r="T211" s="104" t="n">
        <v>1</v>
      </c>
      <c r="U211" s="104" t="n">
        <v>0.95</v>
      </c>
      <c r="V211" s="104" t="n">
        <v>0.61</v>
      </c>
      <c r="W211" s="104" t="n">
        <v>1.77</v>
      </c>
      <c r="X211" s="105" t="n">
        <v>0.04</v>
      </c>
      <c r="Y211" s="113" t="inlineStr">
        <is>
          <t>N/A</t>
        </is>
      </c>
      <c r="Z211" s="105" t="n">
        <v>10.19</v>
      </c>
      <c r="AA211" s="105" t="n">
        <v>0.02</v>
      </c>
      <c r="AB211" s="105" t="n">
        <v>-0.09</v>
      </c>
      <c r="AC211" s="104" t="n">
        <v>-0.05</v>
      </c>
      <c r="AD211" s="104" t="n">
        <v>-0.05</v>
      </c>
      <c r="AE211" s="104" t="n">
        <v>-0.02</v>
      </c>
      <c r="AF211" s="104" t="n">
        <v>0.16</v>
      </c>
      <c r="AG211" s="104" t="n">
        <v>0.09</v>
      </c>
      <c r="AH211" s="104" t="n">
        <v>0.27</v>
      </c>
      <c r="AI211" s="104" t="n">
        <v>1.22</v>
      </c>
      <c r="AJ211" s="104" t="n">
        <v>1.86</v>
      </c>
      <c r="AK211" s="106" t="inlineStr">
        <is>
          <t>Grey</t>
        </is>
      </c>
      <c r="AL211" s="104" t="n">
        <v>-0.02</v>
      </c>
      <c r="AM211" s="104" t="n">
        <v>0.16</v>
      </c>
      <c r="AN211" s="104" t="n">
        <v>0.09</v>
      </c>
      <c r="AO211" s="104" t="n">
        <v>0.27</v>
      </c>
      <c r="AP211" s="104" t="n">
        <v>1.22</v>
      </c>
      <c r="AQ211" s="103" t="n">
        <v>1.72</v>
      </c>
      <c r="AR211" s="103" t="inlineStr">
        <is>
          <t>Grey</t>
        </is>
      </c>
      <c r="AS211" s="104" t="n">
        <v>-0.02</v>
      </c>
      <c r="AT211" s="104" t="n">
        <v>0.16</v>
      </c>
      <c r="AU211" s="104" t="n">
        <v>0.09</v>
      </c>
      <c r="AV211" s="104" t="n">
        <v>0.27</v>
      </c>
      <c r="AW211" s="103" t="n">
        <v>1.24</v>
      </c>
      <c r="AX211" s="103" t="inlineStr">
        <is>
          <t>Grey</t>
        </is>
      </c>
      <c r="AY211" s="104" t="n">
        <v>-0.02</v>
      </c>
      <c r="AZ211" s="104" t="n">
        <v>0.09</v>
      </c>
      <c r="BA211" s="104" t="n">
        <v>0.22</v>
      </c>
      <c r="BB211" s="104" t="n">
        <v>1.22</v>
      </c>
      <c r="BC211" s="103" t="n">
        <v>0.88</v>
      </c>
      <c r="BD211" s="103" t="inlineStr">
        <is>
          <t>Healthy</t>
        </is>
      </c>
      <c r="BE211" s="104" t="n">
        <v>0.06</v>
      </c>
      <c r="BF211" s="104" t="n">
        <v>1</v>
      </c>
      <c r="BG211" s="104" t="n">
        <v>0.9399999999999999</v>
      </c>
      <c r="BH211" s="104" t="n">
        <v>1.07</v>
      </c>
      <c r="BI211" s="103" t="n">
        <v>0.74</v>
      </c>
      <c r="BJ211" s="103" t="inlineStr">
        <is>
          <t>Distress</t>
        </is>
      </c>
      <c r="BK211" s="103" t="n">
        <v>1</v>
      </c>
      <c r="BL211" s="103" t="n">
        <v>1</v>
      </c>
      <c r="BM211" s="103" t="n">
        <v>0</v>
      </c>
      <c r="BN211" s="103" t="n">
        <v>1</v>
      </c>
      <c r="BO211" s="103" t="n">
        <v>0</v>
      </c>
      <c r="BP211" s="103" t="n">
        <v>1</v>
      </c>
      <c r="BQ211" s="103" t="n">
        <v>1</v>
      </c>
      <c r="BR211" s="103" t="n">
        <v>1</v>
      </c>
      <c r="BS211" s="103" t="n">
        <v>0</v>
      </c>
      <c r="BT211" s="103" t="n">
        <v>6</v>
      </c>
      <c r="BU211" s="103" t="inlineStr">
        <is>
          <t>Mixed</t>
        </is>
      </c>
      <c r="BV211" s="113" t="inlineStr">
        <is>
          <t>N/A</t>
        </is>
      </c>
      <c r="BW211" s="104" t="n">
        <v>0.29</v>
      </c>
      <c r="BX211" s="104" t="n">
        <v>0.76</v>
      </c>
      <c r="BY211" s="104" t="n">
        <v>1.02</v>
      </c>
      <c r="BZ211" s="104" t="n">
        <v>1.07</v>
      </c>
      <c r="CA211" s="104" t="n">
        <v>0.96</v>
      </c>
      <c r="CB211" s="104" t="n">
        <v>1</v>
      </c>
      <c r="CC211" s="104" t="n">
        <v>-0.05</v>
      </c>
      <c r="CD211" s="113" t="inlineStr">
        <is>
          <t>N/A</t>
        </is>
      </c>
      <c r="CE211" s="113" t="inlineStr">
        <is>
          <t>N/A</t>
        </is>
      </c>
      <c r="CF211" s="104" t="n">
        <v>1.28</v>
      </c>
      <c r="CG211" s="104" t="n">
        <v>52.84</v>
      </c>
      <c r="CH211" s="103" t="n">
        <v>0</v>
      </c>
      <c r="CI211" s="103" t="inlineStr">
        <is>
          <t>CLEAR</t>
        </is>
      </c>
    </row>
    <row r="212" ht="17" customHeight="1">
      <c r="A212" s="107" t="inlineStr">
        <is>
          <t>J</t>
        </is>
      </c>
      <c r="B212" s="107" t="inlineStr">
        <is>
          <t>JACOBS SOLUTIONS INC.</t>
        </is>
      </c>
      <c r="C212" s="108" t="n">
        <v>1008420000</v>
      </c>
      <c r="D212" s="109" t="n">
        <v>0.06</v>
      </c>
      <c r="E212" s="109" t="n">
        <v>0.04</v>
      </c>
      <c r="F212" s="109" t="n">
        <v>0.02</v>
      </c>
      <c r="G212" s="109" t="n">
        <v>0.03</v>
      </c>
      <c r="H212" s="109" t="n">
        <v>0.07000000000000001</v>
      </c>
      <c r="I212" s="109" t="n">
        <v>0.08</v>
      </c>
      <c r="J212" s="109" t="n">
        <v>0.11</v>
      </c>
      <c r="K212" s="109" t="n">
        <v>0.2</v>
      </c>
      <c r="L212" s="109" t="n">
        <v>0.68</v>
      </c>
      <c r="M212" s="109" t="n">
        <v>1.33</v>
      </c>
      <c r="N212" s="108" t="n">
        <v>0.35</v>
      </c>
      <c r="O212" s="108" t="n">
        <v>1.3</v>
      </c>
      <c r="P212" s="108" t="n">
        <v>1.2</v>
      </c>
      <c r="Q212" s="108" t="n">
        <v>1.3</v>
      </c>
      <c r="R212" s="108" t="n">
        <v>0.37</v>
      </c>
      <c r="S212" s="108" t="n">
        <v>1</v>
      </c>
      <c r="T212" s="108" t="n">
        <v>1</v>
      </c>
      <c r="U212" s="108" t="n">
        <v>0.61</v>
      </c>
      <c r="V212" s="108" t="n">
        <v>0.27</v>
      </c>
      <c r="W212" s="108" t="n">
        <v>2.37</v>
      </c>
      <c r="X212" s="109" t="n">
        <v>0.04</v>
      </c>
      <c r="Y212" s="109" t="n">
        <v>0</v>
      </c>
      <c r="Z212" s="109" t="n">
        <v>5.14</v>
      </c>
      <c r="AA212" s="109" t="n">
        <v>2.62</v>
      </c>
      <c r="AB212" s="109" t="n">
        <v>-0.64</v>
      </c>
      <c r="AC212" s="108" t="n">
        <v>-0.04</v>
      </c>
      <c r="AD212" s="108" t="n">
        <v>-0.04</v>
      </c>
      <c r="AE212" s="108" t="n">
        <v>0.09</v>
      </c>
      <c r="AF212" s="108" t="n">
        <v>0.14</v>
      </c>
      <c r="AG212" s="108" t="n">
        <v>0.08</v>
      </c>
      <c r="AH212" s="108" t="n">
        <v>0.32</v>
      </c>
      <c r="AI212" s="108" t="n">
        <v>1.33</v>
      </c>
      <c r="AJ212" s="108" t="n">
        <v>2.08</v>
      </c>
      <c r="AK212" s="106" t="inlineStr">
        <is>
          <t>Grey</t>
        </is>
      </c>
      <c r="AL212" s="108" t="n">
        <v>0.09</v>
      </c>
      <c r="AM212" s="108" t="n">
        <v>0.14</v>
      </c>
      <c r="AN212" s="108" t="n">
        <v>0.08</v>
      </c>
      <c r="AO212" s="108" t="n">
        <v>0.32</v>
      </c>
      <c r="AP212" s="108" t="n">
        <v>1.33</v>
      </c>
      <c r="AQ212" s="107" t="n">
        <v>1.88</v>
      </c>
      <c r="AR212" s="107" t="inlineStr">
        <is>
          <t>Grey</t>
        </is>
      </c>
      <c r="AS212" s="108" t="n">
        <v>0.09</v>
      </c>
      <c r="AT212" s="108" t="n">
        <v>0.14</v>
      </c>
      <c r="AU212" s="108" t="n">
        <v>0.08</v>
      </c>
      <c r="AV212" s="108" t="n">
        <v>0.32</v>
      </c>
      <c r="AW212" s="107" t="n">
        <v>1.89</v>
      </c>
      <c r="AX212" s="107" t="inlineStr">
        <is>
          <t>Grey</t>
        </is>
      </c>
      <c r="AY212" s="108" t="n">
        <v>0.09</v>
      </c>
      <c r="AZ212" s="108" t="n">
        <v>0.08</v>
      </c>
      <c r="BA212" s="108" t="n">
        <v>0.16</v>
      </c>
      <c r="BB212" s="108" t="n">
        <v>1.33</v>
      </c>
      <c r="BC212" s="107" t="n">
        <v>0.97</v>
      </c>
      <c r="BD212" s="107" t="inlineStr">
        <is>
          <t>Healthy</t>
        </is>
      </c>
      <c r="BE212" s="108" t="n">
        <v>0.03</v>
      </c>
      <c r="BF212" s="108" t="n">
        <v>1</v>
      </c>
      <c r="BG212" s="108" t="n">
        <v>1.3</v>
      </c>
      <c r="BH212" s="108" t="n">
        <v>1.23</v>
      </c>
      <c r="BI212" s="107" t="n">
        <v>0.77</v>
      </c>
      <c r="BJ212" s="107" t="inlineStr">
        <is>
          <t>Distress</t>
        </is>
      </c>
      <c r="BK212" s="107" t="n">
        <v>1</v>
      </c>
      <c r="BL212" s="107" t="n">
        <v>1</v>
      </c>
      <c r="BM212" s="107" t="n">
        <v>0</v>
      </c>
      <c r="BN212" s="107" t="n">
        <v>1</v>
      </c>
      <c r="BO212" s="107" t="n">
        <v>0</v>
      </c>
      <c r="BP212" s="107" t="n">
        <v>1</v>
      </c>
      <c r="BQ212" s="107" t="n">
        <v>1</v>
      </c>
      <c r="BR212" s="107" t="n">
        <v>0</v>
      </c>
      <c r="BS212" s="107" t="n">
        <v>1</v>
      </c>
      <c r="BT212" s="107" t="n">
        <v>6</v>
      </c>
      <c r="BU212" s="107" t="inlineStr">
        <is>
          <t>Mixed</t>
        </is>
      </c>
      <c r="BV212" s="108" t="n">
        <v>0.29</v>
      </c>
      <c r="BW212" s="108" t="n">
        <v>3.43</v>
      </c>
      <c r="BX212" s="108" t="n">
        <v>1.05</v>
      </c>
      <c r="BY212" s="108" t="n">
        <v>3.62</v>
      </c>
      <c r="BZ212" s="108" t="n">
        <v>1.15</v>
      </c>
      <c r="CA212" s="108" t="n">
        <v>0.27</v>
      </c>
      <c r="CB212" s="108" t="n">
        <v>1</v>
      </c>
      <c r="CC212" s="108" t="n">
        <v>-0.04</v>
      </c>
      <c r="CD212" s="107" t="n">
        <v>0.48</v>
      </c>
      <c r="CE212" s="107" t="inlineStr">
        <is>
          <t>Higher Risk</t>
        </is>
      </c>
      <c r="CF212" s="108" t="n">
        <v>1.06</v>
      </c>
      <c r="CG212" s="108" t="n">
        <v>48.42</v>
      </c>
      <c r="CH212" s="107" t="n">
        <v>20</v>
      </c>
      <c r="CI212" s="107" t="inlineStr">
        <is>
          <t>CLEAR</t>
        </is>
      </c>
    </row>
    <row r="213" ht="17" customHeight="1">
      <c r="A213" s="103" t="inlineStr">
        <is>
          <t>XPO</t>
        </is>
      </c>
      <c r="B213" s="103" t="inlineStr">
        <is>
          <t>XPO, Inc.</t>
        </is>
      </c>
      <c r="C213" s="104" t="n">
        <v>75000000</v>
      </c>
      <c r="D213" s="105" t="n">
        <v>0.08</v>
      </c>
      <c r="E213" s="105" t="n">
        <v>0.06</v>
      </c>
      <c r="F213" s="105" t="n">
        <v>0.04</v>
      </c>
      <c r="G213" s="105" t="n">
        <v>0.04</v>
      </c>
      <c r="H213" s="105" t="n">
        <v>0.05</v>
      </c>
      <c r="I213" s="105" t="n">
        <v>0.17</v>
      </c>
      <c r="J213" s="105" t="n">
        <v>0.1</v>
      </c>
      <c r="K213" s="105" t="n">
        <v>0.02</v>
      </c>
      <c r="L213" s="105" t="n">
        <v>0.01</v>
      </c>
      <c r="M213" s="105" t="n">
        <v>0.95</v>
      </c>
      <c r="N213" s="104" t="n">
        <v>1</v>
      </c>
      <c r="O213" s="104" t="n">
        <v>1.05</v>
      </c>
      <c r="P213" s="104" t="n">
        <v>1.06</v>
      </c>
      <c r="Q213" s="104" t="n">
        <v>1.02</v>
      </c>
      <c r="R213" s="104" t="n">
        <v>0.2</v>
      </c>
      <c r="S213" s="104" t="n">
        <v>1</v>
      </c>
      <c r="T213" s="104" t="n">
        <v>1</v>
      </c>
      <c r="U213" s="104" t="n">
        <v>2.71</v>
      </c>
      <c r="V213" s="104" t="n">
        <v>2.55</v>
      </c>
      <c r="W213" s="104" t="n">
        <v>2.08</v>
      </c>
      <c r="X213" s="105" t="n">
        <v>-0</v>
      </c>
      <c r="Y213" s="105" t="n">
        <v>0</v>
      </c>
      <c r="Z213" s="105" t="n">
        <v>3.9</v>
      </c>
      <c r="AA213" s="105" t="n">
        <v>0</v>
      </c>
      <c r="AB213" s="105" t="n">
        <v>-0.18</v>
      </c>
      <c r="AC213" s="104" t="n">
        <v>-0.04</v>
      </c>
      <c r="AD213" s="104" t="n">
        <v>-0.04</v>
      </c>
      <c r="AE213" s="104" t="n">
        <v>0.01</v>
      </c>
      <c r="AF213" s="104" t="n">
        <v>0.11</v>
      </c>
      <c r="AG213" s="104" t="n">
        <v>0.08</v>
      </c>
      <c r="AH213" s="104" t="n">
        <v>0.23</v>
      </c>
      <c r="AI213" s="104" t="n">
        <v>0.95</v>
      </c>
      <c r="AJ213" s="104" t="n">
        <v>1.51</v>
      </c>
      <c r="AK213" s="112" t="inlineStr">
        <is>
          <t>Distress</t>
        </is>
      </c>
      <c r="AL213" s="104" t="n">
        <v>0.01</v>
      </c>
      <c r="AM213" s="104" t="n">
        <v>0.11</v>
      </c>
      <c r="AN213" s="104" t="n">
        <v>0.08</v>
      </c>
      <c r="AO213" s="104" t="n">
        <v>0.23</v>
      </c>
      <c r="AP213" s="104" t="n">
        <v>0.95</v>
      </c>
      <c r="AQ213" s="103" t="n">
        <v>1.39</v>
      </c>
      <c r="AR213" s="103" t="inlineStr">
        <is>
          <t>Grey</t>
        </is>
      </c>
      <c r="AS213" s="104" t="n">
        <v>0.01</v>
      </c>
      <c r="AT213" s="104" t="n">
        <v>0.11</v>
      </c>
      <c r="AU213" s="104" t="n">
        <v>0.08</v>
      </c>
      <c r="AV213" s="104" t="n">
        <v>0.23</v>
      </c>
      <c r="AW213" s="103" t="n">
        <v>1.19</v>
      </c>
      <c r="AX213" s="103" t="inlineStr">
        <is>
          <t>Grey</t>
        </is>
      </c>
      <c r="AY213" s="104" t="n">
        <v>0.01</v>
      </c>
      <c r="AZ213" s="104" t="n">
        <v>0.08</v>
      </c>
      <c r="BA213" s="104" t="n">
        <v>0.28</v>
      </c>
      <c r="BB213" s="104" t="n">
        <v>0.95</v>
      </c>
      <c r="BC213" s="103" t="n">
        <v>0.82</v>
      </c>
      <c r="BD213" s="103" t="inlineStr">
        <is>
          <t>Distress</t>
        </is>
      </c>
      <c r="BE213" s="104" t="n">
        <v>0.04</v>
      </c>
      <c r="BF213" s="104" t="n">
        <v>1</v>
      </c>
      <c r="BG213" s="104" t="n">
        <v>1.05</v>
      </c>
      <c r="BH213" s="104" t="n">
        <v>1.17</v>
      </c>
      <c r="BI213" s="103" t="n">
        <v>0.76</v>
      </c>
      <c r="BJ213" s="103" t="inlineStr">
        <is>
          <t>Distress</t>
        </is>
      </c>
      <c r="BK213" s="103" t="n">
        <v>1</v>
      </c>
      <c r="BL213" s="103" t="n">
        <v>1</v>
      </c>
      <c r="BM213" s="103" t="n">
        <v>0</v>
      </c>
      <c r="BN213" s="103" t="n">
        <v>1</v>
      </c>
      <c r="BO213" s="103" t="n">
        <v>1</v>
      </c>
      <c r="BP213" s="103" t="n">
        <v>0</v>
      </c>
      <c r="BQ213" s="103" t="n">
        <v>1</v>
      </c>
      <c r="BR213" s="103" t="n">
        <v>1</v>
      </c>
      <c r="BS213" s="103" t="n">
        <v>0</v>
      </c>
      <c r="BT213" s="103" t="n">
        <v>6</v>
      </c>
      <c r="BU213" s="103" t="inlineStr">
        <is>
          <t>Mixed</t>
        </is>
      </c>
      <c r="BV213" s="104" t="n">
        <v>1.06</v>
      </c>
      <c r="BW213" s="104" t="n">
        <v>0.43</v>
      </c>
      <c r="BX213" s="104" t="n">
        <v>0.97</v>
      </c>
      <c r="BY213" s="104" t="n">
        <v>1</v>
      </c>
      <c r="BZ213" s="104" t="n">
        <v>1.01</v>
      </c>
      <c r="CA213" s="104" t="n">
        <v>0.51</v>
      </c>
      <c r="CB213" s="104" t="n">
        <v>1</v>
      </c>
      <c r="CC213" s="104" t="n">
        <v>-0.04</v>
      </c>
      <c r="CD213" s="103" t="n">
        <v>-2.85</v>
      </c>
      <c r="CE213" s="103" t="inlineStr">
        <is>
          <t>Lower Risk</t>
        </is>
      </c>
      <c r="CF213" s="104" t="n">
        <v>4.03</v>
      </c>
      <c r="CG213" s="104" t="n">
        <v>51.68</v>
      </c>
      <c r="CH213" s="103" t="n">
        <v>0</v>
      </c>
      <c r="CI213" s="103" t="inlineStr">
        <is>
          <t>CLEAR</t>
        </is>
      </c>
    </row>
    <row r="214" ht="17" customHeight="1">
      <c r="A214" s="107" t="inlineStr">
        <is>
          <t>CLF</t>
        </is>
      </c>
      <c r="B214" s="107" t="inlineStr">
        <is>
          <t>CLEVELAND-CLIFFS INC.</t>
        </is>
      </c>
      <c r="C214" s="108" t="n">
        <v>3133000000</v>
      </c>
      <c r="D214" s="109" t="n">
        <v>-0.08</v>
      </c>
      <c r="E214" s="109" t="n">
        <v>-0.11</v>
      </c>
      <c r="F214" s="109" t="n">
        <v>-0.08</v>
      </c>
      <c r="G214" s="109" t="n">
        <v>-0.07000000000000001</v>
      </c>
      <c r="H214" s="109" t="n">
        <v>-0.04</v>
      </c>
      <c r="I214" s="109" t="n">
        <v>-0.24</v>
      </c>
      <c r="J214" s="109" t="n">
        <v>-0.09</v>
      </c>
      <c r="K214" s="109" t="n">
        <v>0.03</v>
      </c>
      <c r="L214" s="109" t="n">
        <v>0.01</v>
      </c>
      <c r="M214" s="109" t="n">
        <v>0.93</v>
      </c>
      <c r="N214" s="108" t="n">
        <v>0.92</v>
      </c>
      <c r="O214" s="108" t="n">
        <v>1.95</v>
      </c>
      <c r="P214" s="108" t="n">
        <v>2.08</v>
      </c>
      <c r="Q214" s="108" t="n">
        <v>0.5</v>
      </c>
      <c r="R214" s="108" t="n">
        <v>0.02</v>
      </c>
      <c r="S214" s="108" t="n">
        <v>0.68</v>
      </c>
      <c r="T214" s="108" t="n">
        <v>0.67</v>
      </c>
      <c r="U214" s="108" t="n">
        <v>1.19</v>
      </c>
      <c r="V214" s="108" t="n">
        <v>1.18</v>
      </c>
      <c r="W214" s="108" t="n">
        <v>0.31</v>
      </c>
      <c r="X214" s="109" t="n">
        <v>-0.05</v>
      </c>
      <c r="Y214" s="109" t="n">
        <v>0</v>
      </c>
      <c r="Z214" s="109" t="n">
        <v>-7.29</v>
      </c>
      <c r="AA214" s="109" t="n">
        <v>-0.03</v>
      </c>
      <c r="AB214" s="109" t="n">
        <v>0.96</v>
      </c>
      <c r="AC214" s="108" t="n">
        <v>-0.05</v>
      </c>
      <c r="AD214" s="108" t="n">
        <v>-0.05</v>
      </c>
      <c r="AE214" s="108" t="n">
        <v>0.16</v>
      </c>
      <c r="AF214" s="108" t="n">
        <v>-0.03</v>
      </c>
      <c r="AG214" s="108" t="n">
        <v>-0.08</v>
      </c>
      <c r="AH214" s="108" t="n">
        <v>0.45</v>
      </c>
      <c r="AI214" s="108" t="n">
        <v>0.93</v>
      </c>
      <c r="AJ214" s="108" t="n">
        <v>1.09</v>
      </c>
      <c r="AK214" s="112" t="inlineStr">
        <is>
          <t>Distress</t>
        </is>
      </c>
      <c r="AL214" s="108" t="n">
        <v>0.16</v>
      </c>
      <c r="AM214" s="108" t="n">
        <v>-0.03</v>
      </c>
      <c r="AN214" s="108" t="n">
        <v>-0.08</v>
      </c>
      <c r="AO214" s="108" t="n">
        <v>0.45</v>
      </c>
      <c r="AP214" s="108" t="n">
        <v>0.93</v>
      </c>
      <c r="AQ214" s="107" t="n">
        <v>0.96</v>
      </c>
      <c r="AR214" s="107" t="inlineStr">
        <is>
          <t>Distress</t>
        </is>
      </c>
      <c r="AS214" s="108" t="n">
        <v>0.16</v>
      </c>
      <c r="AT214" s="108" t="n">
        <v>-0.03</v>
      </c>
      <c r="AU214" s="108" t="n">
        <v>-0.08</v>
      </c>
      <c r="AV214" s="108" t="n">
        <v>0.45</v>
      </c>
      <c r="AW214" s="107" t="n">
        <v>0.88</v>
      </c>
      <c r="AX214" s="107" t="inlineStr">
        <is>
          <t>Distress</t>
        </is>
      </c>
      <c r="AY214" s="108" t="n">
        <v>0.16</v>
      </c>
      <c r="AZ214" s="108" t="n">
        <v>-0.08</v>
      </c>
      <c r="BA214" s="108" t="n">
        <v>-0.61</v>
      </c>
      <c r="BB214" s="108" t="n">
        <v>0.93</v>
      </c>
      <c r="BC214" s="107" t="n">
        <v>-0.11</v>
      </c>
      <c r="BD214" s="107" t="inlineStr">
        <is>
          <t>Distress</t>
        </is>
      </c>
      <c r="BE214" s="108" t="n">
        <v>-0.07000000000000001</v>
      </c>
      <c r="BF214" s="108" t="n">
        <v>0.68</v>
      </c>
      <c r="BG214" s="108" t="n">
        <v>1.95</v>
      </c>
      <c r="BH214" s="108" t="n">
        <v>-0.11</v>
      </c>
      <c r="BI214" s="107" t="n">
        <v>0.47</v>
      </c>
      <c r="BJ214" s="107" t="inlineStr">
        <is>
          <t>Healthy</t>
        </is>
      </c>
      <c r="BK214" s="107" t="n">
        <v>0</v>
      </c>
      <c r="BL214" s="107" t="n">
        <v>0</v>
      </c>
      <c r="BM214" s="107" t="n">
        <v>0</v>
      </c>
      <c r="BN214" s="107" t="n">
        <v>1</v>
      </c>
      <c r="BO214" s="107" t="n">
        <v>0</v>
      </c>
      <c r="BP214" s="107" t="n">
        <v>0</v>
      </c>
      <c r="BQ214" s="107" t="n">
        <v>0</v>
      </c>
      <c r="BR214" s="107" t="n">
        <v>1</v>
      </c>
      <c r="BS214" s="107" t="n">
        <v>1</v>
      </c>
      <c r="BT214" s="107" t="n">
        <v>3</v>
      </c>
      <c r="BU214" s="107" t="inlineStr">
        <is>
          <t>Weak</t>
        </is>
      </c>
      <c r="BV214" s="108" t="n">
        <v>0.9399999999999999</v>
      </c>
      <c r="BW214" s="108" t="n">
        <v>0.21</v>
      </c>
      <c r="BX214" s="108" t="n">
        <v>1.05</v>
      </c>
      <c r="BY214" s="108" t="n">
        <v>0.97</v>
      </c>
      <c r="BZ214" s="108" t="n">
        <v>0.76</v>
      </c>
      <c r="CA214" s="108" t="n">
        <v>1.15</v>
      </c>
      <c r="CB214" s="108" t="n">
        <v>1.02</v>
      </c>
      <c r="CC214" s="108" t="n">
        <v>-0.05</v>
      </c>
      <c r="CD214" s="107" t="n">
        <v>-3.25</v>
      </c>
      <c r="CE214" s="107" t="inlineStr">
        <is>
          <t>Lower Risk</t>
        </is>
      </c>
      <c r="CF214" s="108" t="n">
        <v>-21.02</v>
      </c>
      <c r="CG214" s="108" t="n">
        <v>38.53</v>
      </c>
      <c r="CH214" s="107" t="n">
        <v>20</v>
      </c>
      <c r="CI214" s="107" t="inlineStr">
        <is>
          <t>CLEAR</t>
        </is>
      </c>
    </row>
    <row r="215" ht="17" customHeight="1">
      <c r="A215" s="103" t="inlineStr">
        <is>
          <t>DHR</t>
        </is>
      </c>
      <c r="B215" s="103" t="inlineStr">
        <is>
          <t>Danaher Corporation</t>
        </is>
      </c>
      <c r="C215" s="104" t="n">
        <v>5949000000</v>
      </c>
      <c r="D215" s="105" t="n">
        <v>0.24</v>
      </c>
      <c r="E215" s="105" t="n">
        <v>0.21</v>
      </c>
      <c r="F215" s="105" t="n">
        <v>0.18</v>
      </c>
      <c r="G215" s="105" t="n">
        <v>0.04</v>
      </c>
      <c r="H215" s="105" t="n">
        <v>0.05</v>
      </c>
      <c r="I215" s="105" t="n">
        <v>0.07000000000000001</v>
      </c>
      <c r="J215" s="105" t="n">
        <v>0.06</v>
      </c>
      <c r="K215" s="105" t="n">
        <v>0.73</v>
      </c>
      <c r="L215" s="105" t="n">
        <v>2.65</v>
      </c>
      <c r="M215" s="105" t="n">
        <v>0.24</v>
      </c>
      <c r="N215" s="104" t="n">
        <v>0.07000000000000001</v>
      </c>
      <c r="O215" s="104" t="n">
        <v>1.87</v>
      </c>
      <c r="P215" s="104" t="n">
        <v>1.4</v>
      </c>
      <c r="Q215" s="104" t="n">
        <v>1.51</v>
      </c>
      <c r="R215" s="104" t="n">
        <v>2.93</v>
      </c>
      <c r="S215" s="104" t="n">
        <v>0.1</v>
      </c>
      <c r="T215" s="104" t="n">
        <v>0.1</v>
      </c>
      <c r="U215" s="104" t="n">
        <v>0.35</v>
      </c>
      <c r="V215" s="104" t="n">
        <v>-0.03</v>
      </c>
      <c r="W215" s="104" t="n">
        <v>1.78</v>
      </c>
      <c r="X215" s="105" t="n">
        <v>0.26</v>
      </c>
      <c r="Y215" s="105" t="n">
        <v>0.08</v>
      </c>
      <c r="Z215" s="105" t="n">
        <v>16.4</v>
      </c>
      <c r="AA215" s="105" t="n">
        <v>2.71</v>
      </c>
      <c r="AB215" s="105" t="n">
        <v>-0.07000000000000001</v>
      </c>
      <c r="AC215" s="104" t="n">
        <v>-0.03</v>
      </c>
      <c r="AD215" s="104" t="n">
        <v>-0.03</v>
      </c>
      <c r="AE215" s="104" t="n">
        <v>0.07000000000000001</v>
      </c>
      <c r="AF215" s="104" t="n">
        <v>0.5600000000000001</v>
      </c>
      <c r="AG215" s="104" t="n">
        <v>0.06</v>
      </c>
      <c r="AH215" s="104" t="n">
        <v>6.22</v>
      </c>
      <c r="AI215" s="104" t="n">
        <v>0.24</v>
      </c>
      <c r="AJ215" s="104" t="n">
        <v>5.03</v>
      </c>
      <c r="AK215" s="110" t="inlineStr">
        <is>
          <t>Safe</t>
        </is>
      </c>
      <c r="AL215" s="104" t="n">
        <v>0.07000000000000001</v>
      </c>
      <c r="AM215" s="104" t="n">
        <v>0.5600000000000001</v>
      </c>
      <c r="AN215" s="104" t="n">
        <v>0.06</v>
      </c>
      <c r="AO215" s="104" t="n">
        <v>6.22</v>
      </c>
      <c r="AP215" s="104" t="n">
        <v>0.24</v>
      </c>
      <c r="AQ215" s="103" t="n">
        <v>3.55</v>
      </c>
      <c r="AR215" s="103" t="inlineStr">
        <is>
          <t>Safe</t>
        </is>
      </c>
      <c r="AS215" s="104" t="n">
        <v>0.07000000000000001</v>
      </c>
      <c r="AT215" s="104" t="n">
        <v>0.5600000000000001</v>
      </c>
      <c r="AU215" s="104" t="n">
        <v>0.06</v>
      </c>
      <c r="AV215" s="104" t="n">
        <v>6.22</v>
      </c>
      <c r="AW215" s="103" t="n">
        <v>9.210000000000001</v>
      </c>
      <c r="AX215" s="103" t="inlineStr">
        <is>
          <t>Safe</t>
        </is>
      </c>
      <c r="AY215" s="104" t="n">
        <v>0.07000000000000001</v>
      </c>
      <c r="AZ215" s="104" t="n">
        <v>0.06</v>
      </c>
      <c r="BA215" s="104" t="n">
        <v>0.62</v>
      </c>
      <c r="BB215" s="104" t="n">
        <v>0.24</v>
      </c>
      <c r="BC215" s="103" t="n">
        <v>0.75</v>
      </c>
      <c r="BD215" s="103" t="inlineStr">
        <is>
          <t>Distress</t>
        </is>
      </c>
      <c r="BE215" s="104" t="n">
        <v>0.04</v>
      </c>
      <c r="BF215" s="104" t="n">
        <v>0.1</v>
      </c>
      <c r="BG215" s="104" t="n">
        <v>1.87</v>
      </c>
      <c r="BH215" s="104" t="n">
        <v>-3.95</v>
      </c>
      <c r="BI215" s="103" t="n">
        <v>0.02</v>
      </c>
      <c r="BJ215" s="103" t="inlineStr">
        <is>
          <t>Healthy</t>
        </is>
      </c>
      <c r="BK215" s="103" t="n">
        <v>1</v>
      </c>
      <c r="BL215" s="103" t="n">
        <v>1</v>
      </c>
      <c r="BM215" s="103" t="n">
        <v>0</v>
      </c>
      <c r="BN215" s="103" t="n">
        <v>1</v>
      </c>
      <c r="BO215" s="103" t="n">
        <v>0</v>
      </c>
      <c r="BP215" s="103" t="n">
        <v>1</v>
      </c>
      <c r="BQ215" s="103" t="n">
        <v>1</v>
      </c>
      <c r="BR215" s="103" t="n">
        <v>0</v>
      </c>
      <c r="BS215" s="103" t="n">
        <v>1</v>
      </c>
      <c r="BT215" s="103" t="n">
        <v>6</v>
      </c>
      <c r="BU215" s="103" t="inlineStr">
        <is>
          <t>Mixed</t>
        </is>
      </c>
      <c r="BV215" s="104" t="n">
        <v>0.3</v>
      </c>
      <c r="BW215" s="104" t="n">
        <v>3.63</v>
      </c>
      <c r="BX215" s="104" t="n">
        <v>0.96</v>
      </c>
      <c r="BY215" s="104" t="n">
        <v>3.71</v>
      </c>
      <c r="BZ215" s="104" t="n">
        <v>1.09</v>
      </c>
      <c r="CA215" s="104" t="n">
        <v>0.29</v>
      </c>
      <c r="CB215" s="104" t="n">
        <v>0.98</v>
      </c>
      <c r="CC215" s="104" t="n">
        <v>-0.03</v>
      </c>
      <c r="CD215" s="103" t="n">
        <v>0.64</v>
      </c>
      <c r="CE215" s="103" t="inlineStr">
        <is>
          <t>Higher Risk</t>
        </is>
      </c>
      <c r="CF215" s="104" t="n">
        <v>-0.22</v>
      </c>
      <c r="CG215" s="104" t="n">
        <v>57.66</v>
      </c>
      <c r="CH215" s="103" t="n">
        <v>20</v>
      </c>
      <c r="CI215" s="103" t="inlineStr">
        <is>
          <t>CLEAR</t>
        </is>
      </c>
    </row>
    <row r="216" ht="17" customHeight="1">
      <c r="A216" s="107" t="inlineStr">
        <is>
          <t>AGEN</t>
        </is>
      </c>
      <c r="B216" s="107" t="inlineStr">
        <is>
          <t>AGENUS INC</t>
        </is>
      </c>
      <c r="C216" s="108" t="n">
        <v>-190053000</v>
      </c>
      <c r="D216" s="109" t="n">
        <v>-0.47</v>
      </c>
      <c r="E216" s="109" t="n">
        <v>-0.07000000000000001</v>
      </c>
      <c r="F216" s="109" t="n">
        <v>-0.88</v>
      </c>
      <c r="G216" s="109" t="n">
        <v>-0.17</v>
      </c>
      <c r="H216" s="109" t="n">
        <v>-0.23</v>
      </c>
      <c r="I216" s="109" t="n">
        <v>0.14</v>
      </c>
      <c r="J216" s="109" t="n">
        <v>0.21</v>
      </c>
      <c r="K216" s="109" t="n">
        <v>0.98</v>
      </c>
      <c r="L216" s="109" t="n">
        <v>0.9399999999999999</v>
      </c>
      <c r="M216" s="109" t="n">
        <v>0.19</v>
      </c>
      <c r="N216" s="108" t="n">
        <v>0.04</v>
      </c>
      <c r="O216" s="108" t="n">
        <v>0.41</v>
      </c>
      <c r="P216" s="108" t="n">
        <v>0.21</v>
      </c>
      <c r="Q216" s="108" t="n">
        <v>0.41</v>
      </c>
      <c r="R216" s="108" t="n">
        <v>0.01</v>
      </c>
      <c r="S216" s="108" t="n">
        <v>1</v>
      </c>
      <c r="T216" s="108" t="n">
        <v>1</v>
      </c>
      <c r="U216" s="108" t="n">
        <v>-0.33</v>
      </c>
      <c r="V216" s="108" t="n">
        <v>-0.32</v>
      </c>
      <c r="W216" s="108" t="n">
        <v>2.05</v>
      </c>
      <c r="X216" s="109" t="n">
        <v>-1.8</v>
      </c>
      <c r="Y216" s="109" t="n">
        <v>1.85</v>
      </c>
      <c r="Z216" s="109" t="n">
        <v>-15.99</v>
      </c>
      <c r="AA216" s="109" t="n">
        <v>4.13</v>
      </c>
      <c r="AB216" s="109" t="n">
        <v>-0.27</v>
      </c>
      <c r="AC216" s="108" t="n">
        <v>0.17</v>
      </c>
      <c r="AD216" s="108" t="n">
        <v>0.17</v>
      </c>
      <c r="AE216" s="108" t="n">
        <v>-0.84</v>
      </c>
      <c r="AF216" s="108" t="n">
        <v>-9.619999999999999</v>
      </c>
      <c r="AG216" s="108" t="n">
        <v>-0.09</v>
      </c>
      <c r="AH216" s="108" t="n">
        <v>-1.2</v>
      </c>
      <c r="AI216" s="108" t="n">
        <v>0.19</v>
      </c>
      <c r="AJ216" s="108" t="n">
        <v>-15.3</v>
      </c>
      <c r="AK216" s="112" t="inlineStr">
        <is>
          <t>Distress</t>
        </is>
      </c>
      <c r="AL216" s="108" t="n">
        <v>-0.84</v>
      </c>
      <c r="AM216" s="108" t="n">
        <v>-9.619999999999999</v>
      </c>
      <c r="AN216" s="108" t="n">
        <v>-0.09</v>
      </c>
      <c r="AO216" s="108" t="n">
        <v>-1.2</v>
      </c>
      <c r="AP216" s="108" t="n">
        <v>0.19</v>
      </c>
      <c r="AQ216" s="107" t="n">
        <v>-9.34</v>
      </c>
      <c r="AR216" s="107" t="inlineStr">
        <is>
          <t>Distress</t>
        </is>
      </c>
      <c r="AS216" s="108" t="n">
        <v>-0.84</v>
      </c>
      <c r="AT216" s="108" t="n">
        <v>-9.619999999999999</v>
      </c>
      <c r="AU216" s="108" t="n">
        <v>-0.09</v>
      </c>
      <c r="AV216" s="108" t="n">
        <v>-1.2</v>
      </c>
      <c r="AW216" s="107" t="n">
        <v>-38.73</v>
      </c>
      <c r="AX216" s="107" t="inlineStr">
        <is>
          <t>Distress</t>
        </is>
      </c>
      <c r="AY216" s="108" t="n">
        <v>-0.84</v>
      </c>
      <c r="AZ216" s="108" t="n">
        <v>-0.09</v>
      </c>
      <c r="BA216" s="108" t="n">
        <v>-0.01</v>
      </c>
      <c r="BB216" s="108" t="n">
        <v>0.19</v>
      </c>
      <c r="BC216" s="107" t="n">
        <v>-1.07</v>
      </c>
      <c r="BD216" s="107" t="inlineStr">
        <is>
          <t>Distress</t>
        </is>
      </c>
      <c r="BE216" s="108" t="n">
        <v>-0.17</v>
      </c>
      <c r="BF216" s="108" t="n">
        <v>1</v>
      </c>
      <c r="BG216" s="108" t="n">
        <v>0.41</v>
      </c>
      <c r="BH216" s="108" t="n">
        <v>2.1</v>
      </c>
      <c r="BI216" s="107" t="n">
        <v>0.89</v>
      </c>
      <c r="BJ216" s="107" t="inlineStr">
        <is>
          <t>Distress</t>
        </is>
      </c>
      <c r="BK216" s="107" t="n">
        <v>0</v>
      </c>
      <c r="BL216" s="107" t="n">
        <v>0</v>
      </c>
      <c r="BM216" s="107" t="n">
        <v>1</v>
      </c>
      <c r="BN216" s="107" t="n">
        <v>0</v>
      </c>
      <c r="BO216" s="107" t="n">
        <v>0</v>
      </c>
      <c r="BP216" s="107" t="n">
        <v>1</v>
      </c>
      <c r="BQ216" s="107" t="n">
        <v>0</v>
      </c>
      <c r="BR216" s="107" t="n">
        <v>1</v>
      </c>
      <c r="BS216" s="107" t="n">
        <v>1</v>
      </c>
      <c r="BT216" s="107" t="n">
        <v>4</v>
      </c>
      <c r="BU216" s="107" t="inlineStr">
        <is>
          <t>Mixed</t>
        </is>
      </c>
      <c r="BV216" s="108" t="n">
        <v>0.88</v>
      </c>
      <c r="BW216" s="108" t="n">
        <v>0.96</v>
      </c>
      <c r="BX216" s="108" t="n">
        <v>1.28</v>
      </c>
      <c r="BY216" s="108" t="n">
        <v>5.13</v>
      </c>
      <c r="BZ216" s="108" t="n">
        <v>0.25</v>
      </c>
      <c r="CA216" s="108" t="n">
        <v>0.15</v>
      </c>
      <c r="CB216" s="108" t="n">
        <v>1</v>
      </c>
      <c r="CC216" s="108" t="n">
        <v>0.17</v>
      </c>
      <c r="CD216" s="107" t="n">
        <v>2.06</v>
      </c>
      <c r="CE216" s="107" t="inlineStr">
        <is>
          <t>Higher Risk</t>
        </is>
      </c>
      <c r="CF216" s="108" t="n">
        <v>-8.49</v>
      </c>
      <c r="CG216" s="108" t="n">
        <v>34.06</v>
      </c>
      <c r="CH216" s="106" t="n">
        <v>40</v>
      </c>
      <c r="CI216" s="107" t="inlineStr">
        <is>
          <t>WATCH</t>
        </is>
      </c>
    </row>
    <row r="217" ht="17" customHeight="1">
      <c r="A217" s="103" t="inlineStr">
        <is>
          <t>AIZ</t>
        </is>
      </c>
      <c r="B217" s="103" t="inlineStr">
        <is>
          <t>Assurant, Inc.</t>
        </is>
      </c>
      <c r="C217" s="113" t="inlineStr">
        <is>
          <t>N/A</t>
        </is>
      </c>
      <c r="D217" s="105" t="n">
        <v>0.08</v>
      </c>
      <c r="E217" s="105" t="n">
        <v>0.08</v>
      </c>
      <c r="F217" s="105" t="n">
        <v>0.07000000000000001</v>
      </c>
      <c r="G217" s="105" t="n">
        <v>0.02</v>
      </c>
      <c r="H217" s="105" t="n">
        <v>0.02</v>
      </c>
      <c r="I217" s="105" t="n">
        <v>0.15</v>
      </c>
      <c r="J217" s="113" t="inlineStr">
        <is>
          <t>N/A</t>
        </is>
      </c>
      <c r="K217" s="105" t="n">
        <v>0.08</v>
      </c>
      <c r="L217" s="105" t="n">
        <v>0.08</v>
      </c>
      <c r="M217" s="105" t="n">
        <v>0.35</v>
      </c>
      <c r="N217" s="104" t="n">
        <v>0.34</v>
      </c>
      <c r="O217" s="113" t="inlineStr">
        <is>
          <t>N/A</t>
        </is>
      </c>
      <c r="P217" s="113" t="inlineStr">
        <is>
          <t>N/A</t>
        </is>
      </c>
      <c r="Q217" s="113" t="inlineStr">
        <is>
          <t>N/A</t>
        </is>
      </c>
      <c r="R217" s="113" t="inlineStr">
        <is>
          <t>N/A</t>
        </is>
      </c>
      <c r="S217" s="104" t="n">
        <v>0.84</v>
      </c>
      <c r="T217" s="104" t="n">
        <v>0.85</v>
      </c>
      <c r="U217" s="104" t="n">
        <v>0.34</v>
      </c>
      <c r="V217" s="104" t="n">
        <v>0.03</v>
      </c>
      <c r="W217" s="104" t="n">
        <v>2.1</v>
      </c>
      <c r="X217" s="105" t="n">
        <v>0.12</v>
      </c>
      <c r="Y217" s="105" t="n">
        <v>0</v>
      </c>
      <c r="Z217" s="105" t="n">
        <v>10.07</v>
      </c>
      <c r="AA217" s="105" t="n">
        <v>0.08</v>
      </c>
      <c r="AB217" s="105" t="n">
        <v>0.15</v>
      </c>
      <c r="AC217" s="104" t="n">
        <v>-0.03</v>
      </c>
      <c r="AD217" s="104" t="n">
        <v>-0.03</v>
      </c>
      <c r="AE217" s="113" t="inlineStr">
        <is>
          <t>N/A</t>
        </is>
      </c>
      <c r="AF217" s="104" t="n">
        <v>0.13</v>
      </c>
      <c r="AG217" s="104" t="n">
        <v>0.03</v>
      </c>
      <c r="AH217" s="104" t="n">
        <v>0.19</v>
      </c>
      <c r="AI217" s="104" t="n">
        <v>0.35</v>
      </c>
      <c r="AJ217" s="113" t="inlineStr">
        <is>
          <t>N/A</t>
        </is>
      </c>
      <c r="AK217" s="113" t="inlineStr">
        <is>
          <t>N/A</t>
        </is>
      </c>
      <c r="AL217" s="113" t="inlineStr">
        <is>
          <t>N/A</t>
        </is>
      </c>
      <c r="AM217" s="104" t="n">
        <v>0.13</v>
      </c>
      <c r="AN217" s="104" t="n">
        <v>0.03</v>
      </c>
      <c r="AO217" s="104" t="n">
        <v>0.19</v>
      </c>
      <c r="AP217" s="104" t="n">
        <v>0.35</v>
      </c>
      <c r="AQ217" s="113" t="inlineStr">
        <is>
          <t>N/A</t>
        </is>
      </c>
      <c r="AR217" s="113" t="inlineStr">
        <is>
          <t>N/A</t>
        </is>
      </c>
      <c r="AS217" s="113" t="inlineStr">
        <is>
          <t>N/A</t>
        </is>
      </c>
      <c r="AT217" s="104" t="n">
        <v>0.13</v>
      </c>
      <c r="AU217" s="104" t="n">
        <v>0.03</v>
      </c>
      <c r="AV217" s="104" t="n">
        <v>0.19</v>
      </c>
      <c r="AW217" s="113" t="inlineStr">
        <is>
          <t>N/A</t>
        </is>
      </c>
      <c r="AX217" s="113" t="inlineStr">
        <is>
          <t>N/A</t>
        </is>
      </c>
      <c r="AY217" s="113" t="inlineStr">
        <is>
          <t>N/A</t>
        </is>
      </c>
      <c r="AZ217" s="104" t="n">
        <v>0.03</v>
      </c>
      <c r="BA217" s="113" t="inlineStr">
        <is>
          <t>N/A</t>
        </is>
      </c>
      <c r="BB217" s="104" t="n">
        <v>0.35</v>
      </c>
      <c r="BC217" s="113" t="inlineStr">
        <is>
          <t>N/A</t>
        </is>
      </c>
      <c r="BD217" s="113" t="inlineStr">
        <is>
          <t>N/A</t>
        </is>
      </c>
      <c r="BE217" s="104" t="n">
        <v>0.02</v>
      </c>
      <c r="BF217" s="104" t="n">
        <v>0.84</v>
      </c>
      <c r="BG217" s="113" t="inlineStr">
        <is>
          <t>N/A</t>
        </is>
      </c>
      <c r="BH217" s="113" t="inlineStr">
        <is>
          <t>N/A</t>
        </is>
      </c>
      <c r="BI217" s="113" t="inlineStr">
        <is>
          <t>N/A</t>
        </is>
      </c>
      <c r="BJ217" s="113" t="inlineStr">
        <is>
          <t>N/A</t>
        </is>
      </c>
      <c r="BK217" s="103" t="n">
        <v>1</v>
      </c>
      <c r="BL217" s="103" t="n">
        <v>1</v>
      </c>
      <c r="BM217" s="103" t="n">
        <v>1</v>
      </c>
      <c r="BN217" s="103" t="n">
        <v>1</v>
      </c>
      <c r="BO217" s="103" t="n">
        <v>1</v>
      </c>
      <c r="BP217" s="103" t="n">
        <v>0</v>
      </c>
      <c r="BQ217" s="103" t="n">
        <v>1</v>
      </c>
      <c r="BR217" s="103" t="n">
        <v>1</v>
      </c>
      <c r="BS217" s="103" t="n">
        <v>1</v>
      </c>
      <c r="BT217" s="103" t="n">
        <v>8</v>
      </c>
      <c r="BU217" s="103" t="inlineStr">
        <is>
          <t>Strong</t>
        </is>
      </c>
      <c r="BV217" s="113" t="inlineStr">
        <is>
          <t>N/A</t>
        </is>
      </c>
      <c r="BW217" s="104" t="n">
        <v>0.92</v>
      </c>
      <c r="BX217" s="104" t="n">
        <v>1</v>
      </c>
      <c r="BY217" s="104" t="n">
        <v>1.08</v>
      </c>
      <c r="BZ217" s="104" t="n">
        <v>0.98</v>
      </c>
      <c r="CA217" s="104" t="n">
        <v>0.93</v>
      </c>
      <c r="CB217" s="104" t="n">
        <v>0.98</v>
      </c>
      <c r="CC217" s="104" t="n">
        <v>-0.03</v>
      </c>
      <c r="CD217" s="113" t="inlineStr">
        <is>
          <t>N/A</t>
        </is>
      </c>
      <c r="CE217" s="113" t="inlineStr">
        <is>
          <t>N/A</t>
        </is>
      </c>
      <c r="CF217" s="104" t="n">
        <v>0.14</v>
      </c>
      <c r="CG217" s="104" t="n">
        <v>54.61</v>
      </c>
      <c r="CH217" s="103" t="n">
        <v>0</v>
      </c>
      <c r="CI217" s="103" t="inlineStr">
        <is>
          <t>CLEAR</t>
        </is>
      </c>
    </row>
    <row r="218" ht="17" customHeight="1">
      <c r="A218" s="107" t="inlineStr">
        <is>
          <t>FDX</t>
        </is>
      </c>
      <c r="B218" s="107" t="inlineStr">
        <is>
          <t>FedEx Corporation</t>
        </is>
      </c>
      <c r="C218" s="108" t="n">
        <v>2975000000</v>
      </c>
      <c r="D218" s="109" t="n">
        <v>0.08</v>
      </c>
      <c r="E218" s="109" t="n">
        <v>0.08</v>
      </c>
      <c r="F218" s="109" t="n">
        <v>0.06</v>
      </c>
      <c r="G218" s="109" t="n">
        <v>0.05</v>
      </c>
      <c r="H218" s="109" t="n">
        <v>0.05</v>
      </c>
      <c r="I218" s="109" t="n">
        <v>0.15</v>
      </c>
      <c r="J218" s="109" t="n">
        <v>0.07000000000000001</v>
      </c>
      <c r="K218" s="109" t="n">
        <v>0.75</v>
      </c>
      <c r="L218" s="109" t="n">
        <v>0.13</v>
      </c>
      <c r="M218" s="109" t="n">
        <v>0.75</v>
      </c>
      <c r="N218" s="108" t="n">
        <v>0.2</v>
      </c>
      <c r="O218" s="108" t="n">
        <v>1.19</v>
      </c>
      <c r="P218" s="108" t="n">
        <v>1.36</v>
      </c>
      <c r="Q218" s="108" t="n">
        <v>1.19</v>
      </c>
      <c r="R218" s="108" t="n">
        <v>0.36</v>
      </c>
      <c r="S218" s="108" t="n">
        <v>1</v>
      </c>
      <c r="T218" s="108" t="n">
        <v>1</v>
      </c>
      <c r="U218" s="108" t="n">
        <v>0.71</v>
      </c>
      <c r="V218" s="108" t="n">
        <v>0.51</v>
      </c>
      <c r="W218" s="108" t="n">
        <v>1.72</v>
      </c>
      <c r="X218" s="109" t="n">
        <v>0.05</v>
      </c>
      <c r="Y218" s="109" t="n">
        <v>0</v>
      </c>
      <c r="Z218" s="109" t="n">
        <v>7</v>
      </c>
      <c r="AA218" s="109" t="n">
        <v>2.78</v>
      </c>
      <c r="AB218" s="109" t="n">
        <v>-0.06</v>
      </c>
      <c r="AC218" s="108" t="n">
        <v>-0.03</v>
      </c>
      <c r="AD218" s="108" t="n">
        <v>-0.03</v>
      </c>
      <c r="AE218" s="108" t="n">
        <v>0.03</v>
      </c>
      <c r="AF218" s="108" t="n">
        <v>0.47</v>
      </c>
      <c r="AG218" s="108" t="n">
        <v>0.06</v>
      </c>
      <c r="AH218" s="108" t="n">
        <v>0.32</v>
      </c>
      <c r="AI218" s="108" t="n">
        <v>0.75</v>
      </c>
      <c r="AJ218" s="108" t="n">
        <v>1.84</v>
      </c>
      <c r="AK218" s="106" t="inlineStr">
        <is>
          <t>Grey</t>
        </is>
      </c>
      <c r="AL218" s="108" t="n">
        <v>0.03</v>
      </c>
      <c r="AM218" s="108" t="n">
        <v>0.47</v>
      </c>
      <c r="AN218" s="108" t="n">
        <v>0.06</v>
      </c>
      <c r="AO218" s="108" t="n">
        <v>0.32</v>
      </c>
      <c r="AP218" s="108" t="n">
        <v>0.75</v>
      </c>
      <c r="AQ218" s="107" t="n">
        <v>1.49</v>
      </c>
      <c r="AR218" s="107" t="inlineStr">
        <is>
          <t>Grey</t>
        </is>
      </c>
      <c r="AS218" s="108" t="n">
        <v>0.03</v>
      </c>
      <c r="AT218" s="108" t="n">
        <v>0.47</v>
      </c>
      <c r="AU218" s="108" t="n">
        <v>0.06</v>
      </c>
      <c r="AV218" s="108" t="n">
        <v>0.32</v>
      </c>
      <c r="AW218" s="107" t="n">
        <v>2.5</v>
      </c>
      <c r="AX218" s="107" t="inlineStr">
        <is>
          <t>Grey</t>
        </is>
      </c>
      <c r="AY218" s="108" t="n">
        <v>0.03</v>
      </c>
      <c r="AZ218" s="108" t="n">
        <v>0.06</v>
      </c>
      <c r="BA218" s="108" t="n">
        <v>0.35</v>
      </c>
      <c r="BB218" s="108" t="n">
        <v>0.75</v>
      </c>
      <c r="BC218" s="107" t="n">
        <v>0.75</v>
      </c>
      <c r="BD218" s="107" t="inlineStr">
        <is>
          <t>Distress</t>
        </is>
      </c>
      <c r="BE218" s="108" t="n">
        <v>0.05</v>
      </c>
      <c r="BF218" s="108" t="n">
        <v>1</v>
      </c>
      <c r="BG218" s="108" t="n">
        <v>1.19</v>
      </c>
      <c r="BH218" s="108" t="n">
        <v>1.14</v>
      </c>
      <c r="BI218" s="107" t="n">
        <v>0.76</v>
      </c>
      <c r="BJ218" s="107" t="inlineStr">
        <is>
          <t>Distress</t>
        </is>
      </c>
      <c r="BK218" s="107" t="n">
        <v>1</v>
      </c>
      <c r="BL218" s="107" t="n">
        <v>1</v>
      </c>
      <c r="BM218" s="107" t="n">
        <v>0</v>
      </c>
      <c r="BN218" s="107" t="n">
        <v>1</v>
      </c>
      <c r="BO218" s="107" t="n">
        <v>1</v>
      </c>
      <c r="BP218" s="107" t="n">
        <v>0</v>
      </c>
      <c r="BQ218" s="107" t="n">
        <v>1</v>
      </c>
      <c r="BR218" s="107" t="n">
        <v>1</v>
      </c>
      <c r="BS218" s="107" t="n">
        <v>1</v>
      </c>
      <c r="BT218" s="107" t="n">
        <v>7</v>
      </c>
      <c r="BU218" s="107" t="inlineStr">
        <is>
          <t>Strong</t>
        </is>
      </c>
      <c r="BV218" s="108" t="n">
        <v>0.3</v>
      </c>
      <c r="BW218" s="108" t="n">
        <v>0.17</v>
      </c>
      <c r="BX218" s="108" t="n">
        <v>1</v>
      </c>
      <c r="BY218" s="108" t="n">
        <v>3.78</v>
      </c>
      <c r="BZ218" s="108" t="n">
        <v>0.89</v>
      </c>
      <c r="CA218" s="111" t="inlineStr">
        <is>
          <t>N/A</t>
        </is>
      </c>
      <c r="CB218" s="108" t="n">
        <v>1</v>
      </c>
      <c r="CC218" s="108" t="n">
        <v>-0.03</v>
      </c>
      <c r="CD218" s="107" t="n">
        <v>-1.08</v>
      </c>
      <c r="CE218" s="107" t="inlineStr">
        <is>
          <t>Higher Risk</t>
        </is>
      </c>
      <c r="CF218" s="108" t="n">
        <v>1.75</v>
      </c>
      <c r="CG218" s="108" t="n">
        <v>50.94</v>
      </c>
      <c r="CH218" s="107" t="n">
        <v>20</v>
      </c>
      <c r="CI218" s="107" t="inlineStr">
        <is>
          <t>CLEAR</t>
        </is>
      </c>
    </row>
    <row r="219" ht="17" customHeight="1">
      <c r="A219" s="103" t="inlineStr">
        <is>
          <t>CVS</t>
        </is>
      </c>
      <c r="B219" s="103" t="inlineStr">
        <is>
          <t>CVS HEALTH Corp</t>
        </is>
      </c>
      <c r="C219" s="104" t="n">
        <v>-13978000000</v>
      </c>
      <c r="D219" s="105" t="n">
        <v>0.01</v>
      </c>
      <c r="E219" s="105" t="n">
        <v>0.01</v>
      </c>
      <c r="F219" s="105" t="n">
        <v>0</v>
      </c>
      <c r="G219" s="105" t="n">
        <v>0.01</v>
      </c>
      <c r="H219" s="105" t="n">
        <v>0.02</v>
      </c>
      <c r="I219" s="105" t="n">
        <v>0.02</v>
      </c>
      <c r="J219" s="105" t="n">
        <v>0.03</v>
      </c>
      <c r="K219" s="105" t="n">
        <v>0.07000000000000001</v>
      </c>
      <c r="L219" s="105" t="n">
        <v>0.02</v>
      </c>
      <c r="M219" s="105" t="n">
        <v>1.59</v>
      </c>
      <c r="N219" s="104" t="n">
        <v>1.47</v>
      </c>
      <c r="O219" s="104" t="n">
        <v>0.84</v>
      </c>
      <c r="P219" s="104" t="n">
        <v>0.8100000000000001</v>
      </c>
      <c r="Q219" s="104" t="n">
        <v>0.63</v>
      </c>
      <c r="R219" s="104" t="n">
        <v>0.1</v>
      </c>
      <c r="S219" s="104" t="n">
        <v>0.7</v>
      </c>
      <c r="T219" s="104" t="n">
        <v>0.7</v>
      </c>
      <c r="U219" s="104" t="n">
        <v>0.98</v>
      </c>
      <c r="V219" s="104" t="n">
        <v>0.86</v>
      </c>
      <c r="W219" s="104" t="n">
        <v>6.02</v>
      </c>
      <c r="X219" s="105" t="n">
        <v>0.02</v>
      </c>
      <c r="Y219" s="113" t="inlineStr">
        <is>
          <t>N/A</t>
        </is>
      </c>
      <c r="Z219" s="105" t="n">
        <v>1.75</v>
      </c>
      <c r="AA219" s="105" t="n">
        <v>0.08</v>
      </c>
      <c r="AB219" s="105" t="n">
        <v>-0.62</v>
      </c>
      <c r="AC219" s="104" t="n">
        <v>-0.03</v>
      </c>
      <c r="AD219" s="104" t="n">
        <v>-0.03</v>
      </c>
      <c r="AE219" s="104" t="n">
        <v>-0.06</v>
      </c>
      <c r="AF219" s="104" t="n">
        <v>0.24</v>
      </c>
      <c r="AG219" s="104" t="n">
        <v>0.02</v>
      </c>
      <c r="AH219" s="104" t="n">
        <v>0.42</v>
      </c>
      <c r="AI219" s="104" t="n">
        <v>1.59</v>
      </c>
      <c r="AJ219" s="104" t="n">
        <v>2.17</v>
      </c>
      <c r="AK219" s="106" t="inlineStr">
        <is>
          <t>Grey</t>
        </is>
      </c>
      <c r="AL219" s="104" t="n">
        <v>-0.06</v>
      </c>
      <c r="AM219" s="104" t="n">
        <v>0.24</v>
      </c>
      <c r="AN219" s="104" t="n">
        <v>0.02</v>
      </c>
      <c r="AO219" s="104" t="n">
        <v>0.42</v>
      </c>
      <c r="AP219" s="104" t="n">
        <v>1.59</v>
      </c>
      <c r="AQ219" s="103" t="n">
        <v>1.98</v>
      </c>
      <c r="AR219" s="103" t="inlineStr">
        <is>
          <t>Grey</t>
        </is>
      </c>
      <c r="AS219" s="104" t="n">
        <v>-0.06</v>
      </c>
      <c r="AT219" s="104" t="n">
        <v>0.24</v>
      </c>
      <c r="AU219" s="104" t="n">
        <v>0.02</v>
      </c>
      <c r="AV219" s="104" t="n">
        <v>0.42</v>
      </c>
      <c r="AW219" s="103" t="n">
        <v>0.99</v>
      </c>
      <c r="AX219" s="103" t="inlineStr">
        <is>
          <t>Distress</t>
        </is>
      </c>
      <c r="AY219" s="104" t="n">
        <v>-0.06</v>
      </c>
      <c r="AZ219" s="104" t="n">
        <v>0.02</v>
      </c>
      <c r="BA219" s="104" t="n">
        <v>0.02</v>
      </c>
      <c r="BB219" s="104" t="n">
        <v>1.59</v>
      </c>
      <c r="BC219" s="103" t="n">
        <v>0.65</v>
      </c>
      <c r="BD219" s="103" t="inlineStr">
        <is>
          <t>Distress</t>
        </is>
      </c>
      <c r="BE219" s="104" t="n">
        <v>0.01</v>
      </c>
      <c r="BF219" s="104" t="n">
        <v>0.7</v>
      </c>
      <c r="BG219" s="104" t="n">
        <v>0.84</v>
      </c>
      <c r="BH219" s="104" t="n">
        <v>-0.37</v>
      </c>
      <c r="BI219" s="103" t="n">
        <v>0.41</v>
      </c>
      <c r="BJ219" s="103" t="inlineStr">
        <is>
          <t>Healthy</t>
        </is>
      </c>
      <c r="BK219" s="103" t="n">
        <v>1</v>
      </c>
      <c r="BL219" s="103" t="n">
        <v>1</v>
      </c>
      <c r="BM219" s="103" t="n">
        <v>0</v>
      </c>
      <c r="BN219" s="103" t="n">
        <v>1</v>
      </c>
      <c r="BO219" s="103" t="n">
        <v>0</v>
      </c>
      <c r="BP219" s="103" t="n">
        <v>1</v>
      </c>
      <c r="BQ219" s="103" t="n">
        <v>0</v>
      </c>
      <c r="BR219" s="103" t="n">
        <v>1</v>
      </c>
      <c r="BS219" s="103" t="n">
        <v>1</v>
      </c>
      <c r="BT219" s="103" t="n">
        <v>6</v>
      </c>
      <c r="BU219" s="103" t="inlineStr">
        <is>
          <t>Mixed</t>
        </is>
      </c>
      <c r="BV219" s="104" t="n">
        <v>1.01</v>
      </c>
      <c r="BW219" s="104" t="n">
        <v>0.3</v>
      </c>
      <c r="BX219" s="104" t="n">
        <v>0.97</v>
      </c>
      <c r="BY219" s="104" t="n">
        <v>1.08</v>
      </c>
      <c r="BZ219" s="104" t="n">
        <v>1</v>
      </c>
      <c r="CA219" s="113" t="inlineStr">
        <is>
          <t>N/A</t>
        </is>
      </c>
      <c r="CB219" s="104" t="n">
        <v>1</v>
      </c>
      <c r="CC219" s="104" t="n">
        <v>-0.03</v>
      </c>
      <c r="CD219" s="103" t="n">
        <v>-2.78</v>
      </c>
      <c r="CE219" s="103" t="inlineStr">
        <is>
          <t>Lower Risk</t>
        </is>
      </c>
      <c r="CF219" s="104" t="n">
        <v>9.1</v>
      </c>
      <c r="CG219" s="104" t="n">
        <v>53.77</v>
      </c>
      <c r="CH219" s="103" t="n">
        <v>0</v>
      </c>
      <c r="CI219" s="103" t="inlineStr">
        <is>
          <t>CLEAR</t>
        </is>
      </c>
    </row>
    <row r="220" ht="17" customHeight="1">
      <c r="A220" s="107" t="inlineStr">
        <is>
          <t>JPM</t>
        </is>
      </c>
      <c r="B220" s="107" t="inlineStr">
        <is>
          <t>JPMORGAN CHASE &amp; CO</t>
        </is>
      </c>
      <c r="C220" s="111" t="inlineStr">
        <is>
          <t>N/A</t>
        </is>
      </c>
      <c r="D220" s="109" t="n">
        <v>0.4</v>
      </c>
      <c r="E220" s="109" t="n">
        <v>0.4</v>
      </c>
      <c r="F220" s="109" t="n">
        <v>0.31</v>
      </c>
      <c r="G220" s="109" t="n">
        <v>0.01</v>
      </c>
      <c r="H220" s="109" t="n">
        <v>0.01</v>
      </c>
      <c r="I220" s="109" t="n">
        <v>0.16</v>
      </c>
      <c r="J220" s="111" t="inlineStr">
        <is>
          <t>N/A</t>
        </is>
      </c>
      <c r="K220" s="109" t="n">
        <v>0.02</v>
      </c>
      <c r="L220" s="109" t="n">
        <v>0.02</v>
      </c>
      <c r="M220" s="109" t="n">
        <v>0.04</v>
      </c>
      <c r="N220" s="108" t="n">
        <v>0.04</v>
      </c>
      <c r="O220" s="111" t="inlineStr">
        <is>
          <t>N/A</t>
        </is>
      </c>
      <c r="P220" s="111" t="inlineStr">
        <is>
          <t>N/A</t>
        </is>
      </c>
      <c r="Q220" s="111" t="inlineStr">
        <is>
          <t>N/A</t>
        </is>
      </c>
      <c r="R220" s="111" t="inlineStr">
        <is>
          <t>N/A</t>
        </is>
      </c>
      <c r="S220" s="108" t="n">
        <v>0.92</v>
      </c>
      <c r="T220" s="108" t="n">
        <v>0.91</v>
      </c>
      <c r="U220" s="108" t="n">
        <v>0.92</v>
      </c>
      <c r="V220" s="108" t="n">
        <v>0.15</v>
      </c>
      <c r="W220" s="108" t="n">
        <v>-2.59</v>
      </c>
      <c r="X220" s="111" t="inlineStr">
        <is>
          <t>N/A</t>
        </is>
      </c>
      <c r="Y220" s="109" t="n">
        <v>0</v>
      </c>
      <c r="Z220" s="109" t="n">
        <v>0.89</v>
      </c>
      <c r="AA220" s="109" t="n">
        <v>0.03</v>
      </c>
      <c r="AB220" s="109" t="n">
        <v>-0.02</v>
      </c>
      <c r="AC220" s="108" t="n">
        <v>0.05</v>
      </c>
      <c r="AD220" s="108" t="n">
        <v>0.05</v>
      </c>
      <c r="AE220" s="111" t="inlineStr">
        <is>
          <t>N/A</t>
        </is>
      </c>
      <c r="AF220" s="108" t="n">
        <v>0.09</v>
      </c>
      <c r="AG220" s="108" t="n">
        <v>0.02</v>
      </c>
      <c r="AH220" s="108" t="n">
        <v>0.09</v>
      </c>
      <c r="AI220" s="108" t="n">
        <v>0.04</v>
      </c>
      <c r="AJ220" s="111" t="inlineStr">
        <is>
          <t>N/A</t>
        </is>
      </c>
      <c r="AK220" s="111" t="inlineStr">
        <is>
          <t>N/A</t>
        </is>
      </c>
      <c r="AL220" s="111" t="inlineStr">
        <is>
          <t>N/A</t>
        </is>
      </c>
      <c r="AM220" s="108" t="n">
        <v>0.09</v>
      </c>
      <c r="AN220" s="108" t="n">
        <v>0.02</v>
      </c>
      <c r="AO220" s="108" t="n">
        <v>0.09</v>
      </c>
      <c r="AP220" s="108" t="n">
        <v>0.04</v>
      </c>
      <c r="AQ220" s="111" t="inlineStr">
        <is>
          <t>N/A</t>
        </is>
      </c>
      <c r="AR220" s="111" t="inlineStr">
        <is>
          <t>N/A</t>
        </is>
      </c>
      <c r="AS220" s="111" t="inlineStr">
        <is>
          <t>N/A</t>
        </is>
      </c>
      <c r="AT220" s="108" t="n">
        <v>0.09</v>
      </c>
      <c r="AU220" s="108" t="n">
        <v>0.02</v>
      </c>
      <c r="AV220" s="108" t="n">
        <v>0.09</v>
      </c>
      <c r="AW220" s="111" t="inlineStr">
        <is>
          <t>N/A</t>
        </is>
      </c>
      <c r="AX220" s="111" t="inlineStr">
        <is>
          <t>N/A</t>
        </is>
      </c>
      <c r="AY220" s="111" t="inlineStr">
        <is>
          <t>N/A</t>
        </is>
      </c>
      <c r="AZ220" s="108" t="n">
        <v>0.02</v>
      </c>
      <c r="BA220" s="111" t="inlineStr">
        <is>
          <t>N/A</t>
        </is>
      </c>
      <c r="BB220" s="108" t="n">
        <v>0.04</v>
      </c>
      <c r="BC220" s="111" t="inlineStr">
        <is>
          <t>N/A</t>
        </is>
      </c>
      <c r="BD220" s="111" t="inlineStr">
        <is>
          <t>N/A</t>
        </is>
      </c>
      <c r="BE220" s="108" t="n">
        <v>0.01</v>
      </c>
      <c r="BF220" s="108" t="n">
        <v>0.92</v>
      </c>
      <c r="BG220" s="111" t="inlineStr">
        <is>
          <t>N/A</t>
        </is>
      </c>
      <c r="BH220" s="111" t="inlineStr">
        <is>
          <t>N/A</t>
        </is>
      </c>
      <c r="BI220" s="111" t="inlineStr">
        <is>
          <t>N/A</t>
        </is>
      </c>
      <c r="BJ220" s="111" t="inlineStr">
        <is>
          <t>N/A</t>
        </is>
      </c>
      <c r="BK220" s="107" t="n">
        <v>1</v>
      </c>
      <c r="BL220" s="107" t="n">
        <v>0</v>
      </c>
      <c r="BM220" s="107" t="n">
        <v>0</v>
      </c>
      <c r="BN220" s="107" t="n">
        <v>0</v>
      </c>
      <c r="BO220" s="107" t="n">
        <v>1</v>
      </c>
      <c r="BP220" s="107" t="n">
        <v>0</v>
      </c>
      <c r="BQ220" s="107" t="n">
        <v>1</v>
      </c>
      <c r="BR220" s="107" t="n">
        <v>0</v>
      </c>
      <c r="BS220" s="107" t="n">
        <v>0</v>
      </c>
      <c r="BT220" s="107" t="n">
        <v>3</v>
      </c>
      <c r="BU220" s="107" t="inlineStr">
        <is>
          <t>Weak</t>
        </is>
      </c>
      <c r="BV220" s="111" t="inlineStr">
        <is>
          <t>N/A</t>
        </is>
      </c>
      <c r="BW220" s="111" t="inlineStr">
        <is>
          <t>N/A</t>
        </is>
      </c>
      <c r="BX220" s="108" t="n">
        <v>1</v>
      </c>
      <c r="BY220" s="108" t="n">
        <v>1.03</v>
      </c>
      <c r="BZ220" s="108" t="n">
        <v>1.19</v>
      </c>
      <c r="CA220" s="111" t="inlineStr">
        <is>
          <t>N/A</t>
        </is>
      </c>
      <c r="CB220" s="108" t="n">
        <v>1</v>
      </c>
      <c r="CC220" s="108" t="n">
        <v>0.05</v>
      </c>
      <c r="CD220" s="111" t="inlineStr">
        <is>
          <t>N/A</t>
        </is>
      </c>
      <c r="CE220" s="111" t="inlineStr">
        <is>
          <t>N/A</t>
        </is>
      </c>
      <c r="CF220" s="108" t="n">
        <v>0.74</v>
      </c>
      <c r="CG220" s="108" t="n">
        <v>35.17</v>
      </c>
      <c r="CH220" s="107" t="n">
        <v>20</v>
      </c>
      <c r="CI220" s="107" t="inlineStr">
        <is>
          <t>CLEAR</t>
        </is>
      </c>
    </row>
    <row r="221" ht="17" customHeight="1">
      <c r="A221" s="103" t="inlineStr">
        <is>
          <t>HOOD</t>
        </is>
      </c>
      <c r="B221" s="103" t="inlineStr">
        <is>
          <t>Robinhood Markets, Inc.</t>
        </is>
      </c>
      <c r="C221" s="104" t="n">
        <v>7534000000</v>
      </c>
      <c r="D221" s="105" t="n">
        <v>0.47</v>
      </c>
      <c r="E221" s="105" t="n">
        <v>0.47</v>
      </c>
      <c r="F221" s="105" t="n">
        <v>0.42</v>
      </c>
      <c r="G221" s="105" t="n">
        <v>0.05</v>
      </c>
      <c r="H221" s="105" t="n">
        <v>0.05</v>
      </c>
      <c r="I221" s="105" t="n">
        <v>0.24</v>
      </c>
      <c r="J221" s="105" t="n">
        <v>0.23</v>
      </c>
      <c r="K221" s="105" t="n">
        <v>0.47</v>
      </c>
      <c r="L221" s="105" t="n">
        <v>0.47</v>
      </c>
      <c r="M221" s="105" t="n">
        <v>0.12</v>
      </c>
      <c r="N221" s="104" t="n">
        <v>0.12</v>
      </c>
      <c r="O221" s="104" t="n">
        <v>1.26</v>
      </c>
      <c r="P221" s="104" t="n">
        <v>1.26</v>
      </c>
      <c r="Q221" s="104" t="n">
        <v>1.26</v>
      </c>
      <c r="R221" s="104" t="n">
        <v>0.15</v>
      </c>
      <c r="S221" s="104" t="n">
        <v>0.76</v>
      </c>
      <c r="T221" s="104" t="n">
        <v>0.76</v>
      </c>
      <c r="U221" s="113" t="inlineStr">
        <is>
          <t>N/A</t>
        </is>
      </c>
      <c r="V221" s="113" t="inlineStr">
        <is>
          <t>N/A</t>
        </is>
      </c>
      <c r="W221" s="104" t="n">
        <v>0.87</v>
      </c>
      <c r="X221" s="105" t="n">
        <v>0.36</v>
      </c>
      <c r="Y221" s="105" t="n">
        <v>0.08</v>
      </c>
      <c r="Z221" s="113" t="inlineStr">
        <is>
          <t>N/A</t>
        </is>
      </c>
      <c r="AA221" s="105" t="n">
        <v>0</v>
      </c>
      <c r="AB221" s="105" t="n">
        <v>0</v>
      </c>
      <c r="AC221" s="104" t="n">
        <v>0.01</v>
      </c>
      <c r="AD221" s="104" t="n">
        <v>0.01</v>
      </c>
      <c r="AE221" s="104" t="n">
        <v>0.2</v>
      </c>
      <c r="AF221" s="104" t="n">
        <v>-0.06</v>
      </c>
      <c r="AG221" s="104" t="n">
        <v>0.06</v>
      </c>
      <c r="AH221" s="104" t="n">
        <v>0.28</v>
      </c>
      <c r="AI221" s="104" t="n">
        <v>0.12</v>
      </c>
      <c r="AJ221" s="104" t="n">
        <v>0.62</v>
      </c>
      <c r="AK221" s="112" t="inlineStr">
        <is>
          <t>Distress</t>
        </is>
      </c>
      <c r="AL221" s="104" t="n">
        <v>0.2</v>
      </c>
      <c r="AM221" s="104" t="n">
        <v>-0.06</v>
      </c>
      <c r="AN221" s="104" t="n">
        <v>0.06</v>
      </c>
      <c r="AO221" s="104" t="n">
        <v>0.28</v>
      </c>
      <c r="AP221" s="104" t="n">
        <v>0.12</v>
      </c>
      <c r="AQ221" s="103" t="n">
        <v>0.5</v>
      </c>
      <c r="AR221" s="103" t="inlineStr">
        <is>
          <t>Distress</t>
        </is>
      </c>
      <c r="AS221" s="104" t="n">
        <v>0.2</v>
      </c>
      <c r="AT221" s="104" t="n">
        <v>-0.06</v>
      </c>
      <c r="AU221" s="104" t="n">
        <v>0.06</v>
      </c>
      <c r="AV221" s="104" t="n">
        <v>0.28</v>
      </c>
      <c r="AW221" s="103" t="n">
        <v>1.77</v>
      </c>
      <c r="AX221" s="103" t="inlineStr">
        <is>
          <t>Grey</t>
        </is>
      </c>
      <c r="AY221" s="104" t="n">
        <v>0.2</v>
      </c>
      <c r="AZ221" s="104" t="n">
        <v>0.06</v>
      </c>
      <c r="BA221" s="104" t="n">
        <v>0.07000000000000001</v>
      </c>
      <c r="BB221" s="104" t="n">
        <v>0.12</v>
      </c>
      <c r="BC221" s="103" t="n">
        <v>0.47</v>
      </c>
      <c r="BD221" s="103" t="inlineStr">
        <is>
          <t>Distress</t>
        </is>
      </c>
      <c r="BE221" s="104" t="n">
        <v>0.05</v>
      </c>
      <c r="BF221" s="104" t="n">
        <v>0.76</v>
      </c>
      <c r="BG221" s="104" t="n">
        <v>1.26</v>
      </c>
      <c r="BH221" s="104" t="n">
        <v>-0.24</v>
      </c>
      <c r="BI221" s="103" t="n">
        <v>0.44</v>
      </c>
      <c r="BJ221" s="103" t="inlineStr">
        <is>
          <t>Healthy</t>
        </is>
      </c>
      <c r="BK221" s="103" t="n">
        <v>1</v>
      </c>
      <c r="BL221" s="103" t="n">
        <v>1</v>
      </c>
      <c r="BM221" s="103" t="n">
        <v>0</v>
      </c>
      <c r="BN221" s="103" t="n">
        <v>0</v>
      </c>
      <c r="BO221" s="103" t="n">
        <v>0</v>
      </c>
      <c r="BP221" s="103" t="n">
        <v>0</v>
      </c>
      <c r="BQ221" s="103" t="n">
        <v>0</v>
      </c>
      <c r="BR221" s="103" t="n">
        <v>0</v>
      </c>
      <c r="BS221" s="103" t="n">
        <v>0</v>
      </c>
      <c r="BT221" s="103" t="n">
        <v>2</v>
      </c>
      <c r="BU221" s="103" t="inlineStr">
        <is>
          <t>Weak</t>
        </is>
      </c>
      <c r="BV221" s="113" t="inlineStr">
        <is>
          <t>N/A</t>
        </is>
      </c>
      <c r="BW221" s="104" t="n">
        <v>1</v>
      </c>
      <c r="BX221" s="104" t="n">
        <v>1</v>
      </c>
      <c r="BY221" s="104" t="n">
        <v>1</v>
      </c>
      <c r="BZ221" s="104" t="n">
        <v>1</v>
      </c>
      <c r="CA221" s="104" t="n">
        <v>1</v>
      </c>
      <c r="CB221" s="104" t="n">
        <v>1</v>
      </c>
      <c r="CC221" s="104" t="n">
        <v>0.01</v>
      </c>
      <c r="CD221" s="113" t="inlineStr">
        <is>
          <t>N/A</t>
        </is>
      </c>
      <c r="CE221" s="113" t="inlineStr">
        <is>
          <t>N/A</t>
        </is>
      </c>
      <c r="CF221" s="113" t="inlineStr">
        <is>
          <t>N/A</t>
        </is>
      </c>
      <c r="CG221" s="104" t="n">
        <v>33.02</v>
      </c>
      <c r="CH221" s="103" t="n">
        <v>0</v>
      </c>
      <c r="CI221" s="103" t="inlineStr">
        <is>
          <t>CLEAR</t>
        </is>
      </c>
    </row>
    <row r="222" ht="17" customHeight="1">
      <c r="A222" s="107" t="inlineStr">
        <is>
          <t>BWXT</t>
        </is>
      </c>
      <c r="B222" s="107" t="inlineStr">
        <is>
          <t>BWX TECHNOLOGIES, INC.</t>
        </is>
      </c>
      <c r="C222" s="108" t="n">
        <v>888337000</v>
      </c>
      <c r="D222" s="109" t="n">
        <v>0.24</v>
      </c>
      <c r="E222" s="109" t="n">
        <v>0.24</v>
      </c>
      <c r="F222" s="109" t="n">
        <v>0.19</v>
      </c>
      <c r="G222" s="109" t="n">
        <v>0.08</v>
      </c>
      <c r="H222" s="109" t="n">
        <v>0.03</v>
      </c>
      <c r="I222" s="109" t="n">
        <v>0.27</v>
      </c>
      <c r="J222" s="109" t="n">
        <v>0.11</v>
      </c>
      <c r="K222" s="109" t="n">
        <v>-0.46</v>
      </c>
      <c r="L222" s="109" t="n">
        <v>-3.76</v>
      </c>
      <c r="M222" s="109" t="n">
        <v>0.4</v>
      </c>
      <c r="N222" s="108" t="n">
        <v>0.15</v>
      </c>
      <c r="O222" s="108" t="n">
        <v>2.32</v>
      </c>
      <c r="P222" s="108" t="n">
        <v>1.96</v>
      </c>
      <c r="Q222" s="108" t="n">
        <v>2.25</v>
      </c>
      <c r="R222" s="108" t="n">
        <v>0.74</v>
      </c>
      <c r="S222" s="108" t="n">
        <v>0.71</v>
      </c>
      <c r="T222" s="108" t="n">
        <v>0.62</v>
      </c>
      <c r="U222" s="108" t="n">
        <v>0.25</v>
      </c>
      <c r="V222" s="108" t="n">
        <v>-0.16</v>
      </c>
      <c r="W222" s="108" t="n">
        <v>1.46</v>
      </c>
      <c r="X222" s="109" t="n">
        <v>0.17</v>
      </c>
      <c r="Y222" s="109" t="n">
        <v>0.01</v>
      </c>
      <c r="Z222" s="109" t="n">
        <v>8.6</v>
      </c>
      <c r="AA222" s="109" t="n">
        <v>2.92</v>
      </c>
      <c r="AB222" s="109" t="n">
        <v>2.54</v>
      </c>
      <c r="AC222" s="108" t="n">
        <v>-0.04</v>
      </c>
      <c r="AD222" s="108" t="n">
        <v>-0.04</v>
      </c>
      <c r="AE222" s="108" t="n">
        <v>0.21</v>
      </c>
      <c r="AF222" s="108" t="n">
        <v>0.59</v>
      </c>
      <c r="AG222" s="108" t="n">
        <v>0.09</v>
      </c>
      <c r="AH222" s="108" t="n">
        <v>0.41</v>
      </c>
      <c r="AI222" s="108" t="n">
        <v>0.4</v>
      </c>
      <c r="AJ222" s="108" t="n">
        <v>2.03</v>
      </c>
      <c r="AK222" s="106" t="inlineStr">
        <is>
          <t>Grey</t>
        </is>
      </c>
      <c r="AL222" s="108" t="n">
        <v>0.21</v>
      </c>
      <c r="AM222" s="108" t="n">
        <v>0.59</v>
      </c>
      <c r="AN222" s="108" t="n">
        <v>0.09</v>
      </c>
      <c r="AO222" s="108" t="n">
        <v>0.41</v>
      </c>
      <c r="AP222" s="108" t="n">
        <v>0.4</v>
      </c>
      <c r="AQ222" s="107" t="n">
        <v>1.51</v>
      </c>
      <c r="AR222" s="107" t="inlineStr">
        <is>
          <t>Grey</t>
        </is>
      </c>
      <c r="AS222" s="108" t="n">
        <v>0.21</v>
      </c>
      <c r="AT222" s="108" t="n">
        <v>0.59</v>
      </c>
      <c r="AU222" s="108" t="n">
        <v>0.09</v>
      </c>
      <c r="AV222" s="108" t="n">
        <v>0.41</v>
      </c>
      <c r="AW222" s="107" t="n">
        <v>4.35</v>
      </c>
      <c r="AX222" s="107" t="inlineStr">
        <is>
          <t>Safe</t>
        </is>
      </c>
      <c r="AY222" s="108" t="n">
        <v>0.21</v>
      </c>
      <c r="AZ222" s="108" t="n">
        <v>0.09</v>
      </c>
      <c r="BA222" s="108" t="n">
        <v>0.59</v>
      </c>
      <c r="BB222" s="108" t="n">
        <v>0.4</v>
      </c>
      <c r="BC222" s="107" t="n">
        <v>1.05</v>
      </c>
      <c r="BD222" s="107" t="inlineStr">
        <is>
          <t>Healthy</t>
        </is>
      </c>
      <c r="BE222" s="108" t="n">
        <v>0.08</v>
      </c>
      <c r="BF222" s="108" t="n">
        <v>0.71</v>
      </c>
      <c r="BG222" s="108" t="n">
        <v>2.32</v>
      </c>
      <c r="BH222" s="108" t="n">
        <v>-0.63</v>
      </c>
      <c r="BI222" s="107" t="n">
        <v>0.35</v>
      </c>
      <c r="BJ222" s="107" t="inlineStr">
        <is>
          <t>Healthy</t>
        </is>
      </c>
      <c r="BK222" s="107" t="n">
        <v>1</v>
      </c>
      <c r="BL222" s="107" t="n">
        <v>1</v>
      </c>
      <c r="BM222" s="107" t="n">
        <v>1</v>
      </c>
      <c r="BN222" s="107" t="n">
        <v>1</v>
      </c>
      <c r="BO222" s="107" t="n">
        <v>1</v>
      </c>
      <c r="BP222" s="107" t="n">
        <v>1</v>
      </c>
      <c r="BQ222" s="107" t="n">
        <v>0</v>
      </c>
      <c r="BR222" s="107" t="n">
        <v>1</v>
      </c>
      <c r="BS222" s="107" t="n">
        <v>1</v>
      </c>
      <c r="BT222" s="107" t="n">
        <v>8</v>
      </c>
      <c r="BU222" s="107" t="inlineStr">
        <is>
          <t>Strong</t>
        </is>
      </c>
      <c r="BV222" s="108" t="n">
        <v>0.57</v>
      </c>
      <c r="BW222" s="108" t="n">
        <v>8.16</v>
      </c>
      <c r="BX222" s="108" t="n">
        <v>1.14</v>
      </c>
      <c r="BY222" s="108" t="n">
        <v>3.92</v>
      </c>
      <c r="BZ222" s="108" t="n">
        <v>0.98</v>
      </c>
      <c r="CA222" s="108" t="n">
        <v>0.32</v>
      </c>
      <c r="CB222" s="108" t="n">
        <v>1.14</v>
      </c>
      <c r="CC222" s="108" t="n">
        <v>-0.04</v>
      </c>
      <c r="CD222" s="107" t="n">
        <v>3.47</v>
      </c>
      <c r="CE222" s="107" t="inlineStr">
        <is>
          <t>Higher Risk</t>
        </is>
      </c>
      <c r="CF222" s="108" t="n">
        <v>-0.38</v>
      </c>
      <c r="CG222" s="108" t="n">
        <v>54.89</v>
      </c>
      <c r="CH222" s="107" t="n">
        <v>20</v>
      </c>
      <c r="CI222" s="107" t="inlineStr">
        <is>
          <t>CLEAR</t>
        </is>
      </c>
    </row>
    <row r="223" ht="17" customHeight="1">
      <c r="A223" s="103" t="inlineStr">
        <is>
          <t>DDOG</t>
        </is>
      </c>
      <c r="B223" s="103" t="inlineStr">
        <is>
          <t>Datadog, Inc.</t>
        </is>
      </c>
      <c r="C223" s="104" t="n">
        <v>3790879000</v>
      </c>
      <c r="D223" s="105" t="n">
        <v>-0.01</v>
      </c>
      <c r="E223" s="105" t="n">
        <v>0.04</v>
      </c>
      <c r="F223" s="105" t="n">
        <v>0.03</v>
      </c>
      <c r="G223" s="105" t="n">
        <v>0.02</v>
      </c>
      <c r="H223" s="105" t="n">
        <v>0.03</v>
      </c>
      <c r="I223" s="105" t="n">
        <v>0.03</v>
      </c>
      <c r="J223" s="105" t="n">
        <v>-0.01</v>
      </c>
      <c r="K223" s="105" t="n">
        <v>0.8</v>
      </c>
      <c r="L223" s="105" t="n">
        <v>0.8100000000000001</v>
      </c>
      <c r="M223" s="105" t="n">
        <v>0.52</v>
      </c>
      <c r="N223" s="104" t="n">
        <v>0.46</v>
      </c>
      <c r="O223" s="104" t="n">
        <v>3.38</v>
      </c>
      <c r="P223" s="104" t="n">
        <v>2.64</v>
      </c>
      <c r="Q223" s="104" t="n">
        <v>3.38</v>
      </c>
      <c r="R223" s="104" t="n">
        <v>0.25</v>
      </c>
      <c r="S223" s="104" t="n">
        <v>0.44</v>
      </c>
      <c r="T223" s="104" t="n">
        <v>0.53</v>
      </c>
      <c r="U223" s="113" t="inlineStr">
        <is>
          <t>N/A</t>
        </is>
      </c>
      <c r="V223" s="113" t="inlineStr">
        <is>
          <t>N/A</t>
        </is>
      </c>
      <c r="W223" s="104" t="n">
        <v>9.75</v>
      </c>
      <c r="X223" s="105" t="n">
        <v>0.29</v>
      </c>
      <c r="Y223" s="105" t="n">
        <v>0.45</v>
      </c>
      <c r="Z223" s="105" t="n">
        <v>-7.04</v>
      </c>
      <c r="AA223" s="105" t="n">
        <v>0.28</v>
      </c>
      <c r="AB223" s="105" t="n">
        <v>-0.41</v>
      </c>
      <c r="AC223" s="104" t="n">
        <v>-0.14</v>
      </c>
      <c r="AD223" s="104" t="n">
        <v>-0.14</v>
      </c>
      <c r="AE223" s="104" t="n">
        <v>0.57</v>
      </c>
      <c r="AF223" s="104" t="n">
        <v>0.02</v>
      </c>
      <c r="AG223" s="104" t="n">
        <v>-0.01</v>
      </c>
      <c r="AH223" s="104" t="n">
        <v>1.28</v>
      </c>
      <c r="AI223" s="104" t="n">
        <v>0.52</v>
      </c>
      <c r="AJ223" s="104" t="n">
        <v>1.98</v>
      </c>
      <c r="AK223" s="106" t="inlineStr">
        <is>
          <t>Grey</t>
        </is>
      </c>
      <c r="AL223" s="104" t="n">
        <v>0.57</v>
      </c>
      <c r="AM223" s="104" t="n">
        <v>0.02</v>
      </c>
      <c r="AN223" s="104" t="n">
        <v>-0.01</v>
      </c>
      <c r="AO223" s="104" t="n">
        <v>1.28</v>
      </c>
      <c r="AP223" s="104" t="n">
        <v>0.52</v>
      </c>
      <c r="AQ223" s="103" t="n">
        <v>1.46</v>
      </c>
      <c r="AR223" s="103" t="inlineStr">
        <is>
          <t>Grey</t>
        </is>
      </c>
      <c r="AS223" s="104" t="n">
        <v>0.57</v>
      </c>
      <c r="AT223" s="104" t="n">
        <v>0.02</v>
      </c>
      <c r="AU223" s="104" t="n">
        <v>-0.01</v>
      </c>
      <c r="AV223" s="104" t="n">
        <v>1.28</v>
      </c>
      <c r="AW223" s="103" t="n">
        <v>5.11</v>
      </c>
      <c r="AX223" s="103" t="inlineStr">
        <is>
          <t>Safe</t>
        </is>
      </c>
      <c r="AY223" s="104" t="n">
        <v>0.57</v>
      </c>
      <c r="AZ223" s="104" t="n">
        <v>-0.01</v>
      </c>
      <c r="BA223" s="104" t="n">
        <v>0.08</v>
      </c>
      <c r="BB223" s="104" t="n">
        <v>0.52</v>
      </c>
      <c r="BC223" s="103" t="n">
        <v>0.83</v>
      </c>
      <c r="BD223" s="103" t="inlineStr">
        <is>
          <t>Distress</t>
        </is>
      </c>
      <c r="BE223" s="104" t="n">
        <v>0.02</v>
      </c>
      <c r="BF223" s="104" t="n">
        <v>0.44</v>
      </c>
      <c r="BG223" s="104" t="n">
        <v>3.38</v>
      </c>
      <c r="BH223" s="104" t="n">
        <v>-1.91</v>
      </c>
      <c r="BI223" s="103" t="n">
        <v>0.13</v>
      </c>
      <c r="BJ223" s="103" t="inlineStr">
        <is>
          <t>Healthy</t>
        </is>
      </c>
      <c r="BK223" s="103" t="n">
        <v>1</v>
      </c>
      <c r="BL223" s="103" t="n">
        <v>1</v>
      </c>
      <c r="BM223" s="103" t="n">
        <v>0</v>
      </c>
      <c r="BN223" s="103" t="n">
        <v>1</v>
      </c>
      <c r="BO223" s="103" t="n">
        <v>0</v>
      </c>
      <c r="BP223" s="103" t="n">
        <v>1</v>
      </c>
      <c r="BQ223" s="103" t="n">
        <v>0</v>
      </c>
      <c r="BR223" s="103" t="n">
        <v>0</v>
      </c>
      <c r="BS223" s="103" t="n">
        <v>1</v>
      </c>
      <c r="BT223" s="103" t="n">
        <v>5</v>
      </c>
      <c r="BU223" s="103" t="inlineStr">
        <is>
          <t>Mixed</t>
        </is>
      </c>
      <c r="BV223" s="104" t="n">
        <v>0.97</v>
      </c>
      <c r="BW223" s="104" t="n">
        <v>1.01</v>
      </c>
      <c r="BX223" s="104" t="n">
        <v>1.24</v>
      </c>
      <c r="BY223" s="104" t="n">
        <v>1.28</v>
      </c>
      <c r="BZ223" s="104" t="n">
        <v>1.38</v>
      </c>
      <c r="CA223" s="104" t="n">
        <v>1.07</v>
      </c>
      <c r="CB223" s="104" t="n">
        <v>0.83</v>
      </c>
      <c r="CC223" s="104" t="n">
        <v>-0.14</v>
      </c>
      <c r="CD223" s="103" t="n">
        <v>-2.73</v>
      </c>
      <c r="CE223" s="103" t="inlineStr">
        <is>
          <t>Lower Risk</t>
        </is>
      </c>
      <c r="CF223" s="113" t="inlineStr">
        <is>
          <t>N/A</t>
        </is>
      </c>
      <c r="CG223" s="104" t="n">
        <v>49.42</v>
      </c>
      <c r="CH223" s="103" t="n">
        <v>20</v>
      </c>
      <c r="CI223" s="103" t="inlineStr">
        <is>
          <t>CLEAR</t>
        </is>
      </c>
    </row>
    <row r="224" ht="17" customHeight="1">
      <c r="A224" s="107" t="inlineStr">
        <is>
          <t>PLAY</t>
        </is>
      </c>
      <c r="B224" s="107" t="inlineStr">
        <is>
          <t>Dave &amp; Buster’s Entertainment, Inc.</t>
        </is>
      </c>
      <c r="C224" s="108" t="n">
        <v>-310500000</v>
      </c>
      <c r="D224" s="109" t="n">
        <v>0.74</v>
      </c>
      <c r="E224" s="109" t="n">
        <v>-0.58</v>
      </c>
      <c r="F224" s="109" t="n">
        <v>-0.42</v>
      </c>
      <c r="G224" s="109" t="n">
        <v>-0.01</v>
      </c>
      <c r="H224" s="109" t="n">
        <v>0.01</v>
      </c>
      <c r="I224" s="109" t="n">
        <v>-0.53</v>
      </c>
      <c r="J224" s="109" t="n">
        <v>0.02</v>
      </c>
      <c r="K224" s="109" t="n">
        <v>-1.57</v>
      </c>
      <c r="L224" s="109" t="n">
        <v>-1.88</v>
      </c>
      <c r="M224" s="109" t="n">
        <v>0.03</v>
      </c>
      <c r="N224" s="108" t="n">
        <v>0.03</v>
      </c>
      <c r="O224" s="108" t="n">
        <v>0.29</v>
      </c>
      <c r="P224" s="108" t="n">
        <v>0.22</v>
      </c>
      <c r="Q224" s="108" t="n">
        <v>0.19</v>
      </c>
      <c r="R224" s="108" t="n">
        <v>0.04</v>
      </c>
      <c r="S224" s="108" t="n">
        <v>1</v>
      </c>
      <c r="T224" s="108" t="n">
        <v>1</v>
      </c>
      <c r="U224" s="108" t="n">
        <v>17.1</v>
      </c>
      <c r="V224" s="108" t="n">
        <v>16.92</v>
      </c>
      <c r="W224" s="108" t="n">
        <v>-5.97</v>
      </c>
      <c r="X224" s="109" t="n">
        <v>-0.86</v>
      </c>
      <c r="Y224" s="111" t="inlineStr">
        <is>
          <t>N/A</t>
        </is>
      </c>
      <c r="Z224" s="109" t="n">
        <v>0.68</v>
      </c>
      <c r="AA224" s="109" t="n">
        <v>0.07000000000000001</v>
      </c>
      <c r="AB224" s="109" t="n">
        <v>-1.84</v>
      </c>
      <c r="AC224" s="108" t="n">
        <v>-0.08</v>
      </c>
      <c r="AD224" s="108" t="n">
        <v>-0.08</v>
      </c>
      <c r="AE224" s="108" t="n">
        <v>-0.08</v>
      </c>
      <c r="AF224" s="108" t="n">
        <v>0.15</v>
      </c>
      <c r="AG224" s="108" t="n">
        <v>0.02</v>
      </c>
      <c r="AH224" s="108" t="n">
        <v>0.02</v>
      </c>
      <c r="AI224" s="108" t="n">
        <v>0.03</v>
      </c>
      <c r="AJ224" s="108" t="n">
        <v>0.23</v>
      </c>
      <c r="AK224" s="112" t="inlineStr">
        <is>
          <t>Distress</t>
        </is>
      </c>
      <c r="AL224" s="108" t="n">
        <v>-0.08</v>
      </c>
      <c r="AM224" s="108" t="n">
        <v>0.15</v>
      </c>
      <c r="AN224" s="108" t="n">
        <v>0.02</v>
      </c>
      <c r="AO224" s="108" t="n">
        <v>0.02</v>
      </c>
      <c r="AP224" s="108" t="n">
        <v>0.03</v>
      </c>
      <c r="AQ224" s="107" t="n">
        <v>0.17</v>
      </c>
      <c r="AR224" s="107" t="inlineStr">
        <is>
          <t>Distress</t>
        </is>
      </c>
      <c r="AS224" s="108" t="n">
        <v>-0.08</v>
      </c>
      <c r="AT224" s="108" t="n">
        <v>0.15</v>
      </c>
      <c r="AU224" s="108" t="n">
        <v>0.02</v>
      </c>
      <c r="AV224" s="108" t="n">
        <v>0.02</v>
      </c>
      <c r="AW224" s="107" t="n">
        <v>0.15</v>
      </c>
      <c r="AX224" s="107" t="inlineStr">
        <is>
          <t>Distress</t>
        </is>
      </c>
      <c r="AY224" s="108" t="n">
        <v>-0.08</v>
      </c>
      <c r="AZ224" s="108" t="n">
        <v>0.02</v>
      </c>
      <c r="BA224" s="108" t="n">
        <v>-0.16</v>
      </c>
      <c r="BB224" s="108" t="n">
        <v>0.03</v>
      </c>
      <c r="BC224" s="107" t="n">
        <v>-0.11</v>
      </c>
      <c r="BD224" s="107" t="inlineStr">
        <is>
          <t>Distress</t>
        </is>
      </c>
      <c r="BE224" s="108" t="n">
        <v>-0.01</v>
      </c>
      <c r="BF224" s="108" t="n">
        <v>1</v>
      </c>
      <c r="BG224" s="108" t="n">
        <v>0.29</v>
      </c>
      <c r="BH224" s="108" t="n">
        <v>1.4</v>
      </c>
      <c r="BI224" s="107" t="n">
        <v>0.8</v>
      </c>
      <c r="BJ224" s="107" t="inlineStr">
        <is>
          <t>Distress</t>
        </is>
      </c>
      <c r="BK224" s="107" t="n">
        <v>0</v>
      </c>
      <c r="BL224" s="107" t="n">
        <v>1</v>
      </c>
      <c r="BM224" s="107" t="n">
        <v>0</v>
      </c>
      <c r="BN224" s="107" t="n">
        <v>1</v>
      </c>
      <c r="BO224" s="107" t="n">
        <v>1</v>
      </c>
      <c r="BP224" s="107" t="n">
        <v>1</v>
      </c>
      <c r="BQ224" s="107" t="n">
        <v>1</v>
      </c>
      <c r="BR224" s="107" t="n">
        <v>1</v>
      </c>
      <c r="BS224" s="107" t="n">
        <v>1</v>
      </c>
      <c r="BT224" s="107" t="n">
        <v>7</v>
      </c>
      <c r="BU224" s="107" t="inlineStr">
        <is>
          <t>Strong</t>
        </is>
      </c>
      <c r="BV224" s="111" t="inlineStr">
        <is>
          <t>N/A</t>
        </is>
      </c>
      <c r="BW224" s="108" t="n">
        <v>1.2</v>
      </c>
      <c r="BX224" s="108" t="n">
        <v>0.97</v>
      </c>
      <c r="BY224" s="108" t="n">
        <v>1.07</v>
      </c>
      <c r="BZ224" s="108" t="n">
        <v>0.91</v>
      </c>
      <c r="CA224" s="108" t="n">
        <v>1.1</v>
      </c>
      <c r="CB224" s="108" t="n">
        <v>1</v>
      </c>
      <c r="CC224" s="108" t="n">
        <v>-0.08</v>
      </c>
      <c r="CD224" s="111" t="inlineStr">
        <is>
          <t>N/A</t>
        </is>
      </c>
      <c r="CE224" s="111" t="inlineStr">
        <is>
          <t>N/A</t>
        </is>
      </c>
      <c r="CF224" s="108" t="n">
        <v>4.22</v>
      </c>
      <c r="CG224" s="108" t="n">
        <v>51.33</v>
      </c>
      <c r="CH224" s="107" t="n">
        <v>20</v>
      </c>
      <c r="CI224" s="107" t="inlineStr">
        <is>
          <t>CLEAR</t>
        </is>
      </c>
    </row>
    <row r="225" ht="17" customHeight="1">
      <c r="A225" s="103" t="inlineStr">
        <is>
          <t>CMC</t>
        </is>
      </c>
      <c r="B225" s="103" t="inlineStr">
        <is>
          <t>COMMERCIAL METALS COMPANY</t>
        </is>
      </c>
      <c r="C225" s="104" t="n">
        <v>2236005000</v>
      </c>
      <c r="D225" s="105" t="n">
        <v>0.01</v>
      </c>
      <c r="E225" s="105" t="n">
        <v>0.01</v>
      </c>
      <c r="F225" s="105" t="n">
        <v>0.01</v>
      </c>
      <c r="G225" s="105" t="n">
        <v>0.01</v>
      </c>
      <c r="H225" s="105" t="n">
        <v>0.07000000000000001</v>
      </c>
      <c r="I225" s="105" t="n">
        <v>0.02</v>
      </c>
      <c r="J225" s="105" t="n">
        <v>0.02</v>
      </c>
      <c r="K225" s="105" t="n">
        <v>0.03</v>
      </c>
      <c r="L225" s="105" t="n">
        <v>0.04</v>
      </c>
      <c r="M225" s="105" t="n">
        <v>1.1</v>
      </c>
      <c r="N225" s="104" t="n">
        <v>0.92</v>
      </c>
      <c r="O225" s="104" t="n">
        <v>2.78</v>
      </c>
      <c r="P225" s="104" t="n">
        <v>3.94</v>
      </c>
      <c r="Q225" s="104" t="n">
        <v>2.03</v>
      </c>
      <c r="R225" s="104" t="n">
        <v>0.83</v>
      </c>
      <c r="S225" s="104" t="n">
        <v>0.42</v>
      </c>
      <c r="T225" s="104" t="n">
        <v>0.37</v>
      </c>
      <c r="U225" s="104" t="n">
        <v>0.29</v>
      </c>
      <c r="V225" s="104" t="n">
        <v>0.04</v>
      </c>
      <c r="W225" s="104" t="n">
        <v>8.449999999999999</v>
      </c>
      <c r="X225" s="105" t="n">
        <v>0.04</v>
      </c>
      <c r="Y225" s="105" t="n">
        <v>0</v>
      </c>
      <c r="Z225" s="105" t="n">
        <v>2.25</v>
      </c>
      <c r="AA225" s="105" t="n">
        <v>0.26</v>
      </c>
      <c r="AB225" s="105" t="n">
        <v>-0.83</v>
      </c>
      <c r="AC225" s="104" t="n">
        <v>-0.09</v>
      </c>
      <c r="AD225" s="104" t="n">
        <v>-0.09</v>
      </c>
      <c r="AE225" s="104" t="n">
        <v>0.31</v>
      </c>
      <c r="AF225" s="104" t="n">
        <v>0.63</v>
      </c>
      <c r="AG225" s="104" t="n">
        <v>0.01</v>
      </c>
      <c r="AH225" s="104" t="n">
        <v>1.41</v>
      </c>
      <c r="AI225" s="104" t="n">
        <v>1.1</v>
      </c>
      <c r="AJ225" s="104" t="n">
        <v>3.25</v>
      </c>
      <c r="AK225" s="110" t="inlineStr">
        <is>
          <t>Safe</t>
        </is>
      </c>
      <c r="AL225" s="104" t="n">
        <v>0.31</v>
      </c>
      <c r="AM225" s="104" t="n">
        <v>0.63</v>
      </c>
      <c r="AN225" s="104" t="n">
        <v>0.01</v>
      </c>
      <c r="AO225" s="104" t="n">
        <v>1.41</v>
      </c>
      <c r="AP225" s="104" t="n">
        <v>1.1</v>
      </c>
      <c r="AQ225" s="103" t="n">
        <v>2.5</v>
      </c>
      <c r="AR225" s="103" t="inlineStr">
        <is>
          <t>Grey</t>
        </is>
      </c>
      <c r="AS225" s="104" t="n">
        <v>0.31</v>
      </c>
      <c r="AT225" s="104" t="n">
        <v>0.63</v>
      </c>
      <c r="AU225" s="104" t="n">
        <v>0.01</v>
      </c>
      <c r="AV225" s="104" t="n">
        <v>1.41</v>
      </c>
      <c r="AW225" s="103" t="n">
        <v>5.67</v>
      </c>
      <c r="AX225" s="103" t="inlineStr">
        <is>
          <t>Safe</t>
        </is>
      </c>
      <c r="AY225" s="104" t="n">
        <v>0.31</v>
      </c>
      <c r="AZ225" s="104" t="n">
        <v>0.01</v>
      </c>
      <c r="BA225" s="104" t="n">
        <v>0.09</v>
      </c>
      <c r="BB225" s="104" t="n">
        <v>1.1</v>
      </c>
      <c r="BC225" s="103" t="n">
        <v>0.87</v>
      </c>
      <c r="BD225" s="103" t="inlineStr">
        <is>
          <t>Healthy</t>
        </is>
      </c>
      <c r="BE225" s="104" t="n">
        <v>0.01</v>
      </c>
      <c r="BF225" s="104" t="n">
        <v>0.42</v>
      </c>
      <c r="BG225" s="104" t="n">
        <v>2.78</v>
      </c>
      <c r="BH225" s="104" t="n">
        <v>-2.02</v>
      </c>
      <c r="BI225" s="103" t="n">
        <v>0.12</v>
      </c>
      <c r="BJ225" s="103" t="inlineStr">
        <is>
          <t>Healthy</t>
        </is>
      </c>
      <c r="BK225" s="103" t="n">
        <v>1</v>
      </c>
      <c r="BL225" s="103" t="n">
        <v>1</v>
      </c>
      <c r="BM225" s="103" t="n">
        <v>0</v>
      </c>
      <c r="BN225" s="103" t="n">
        <v>1</v>
      </c>
      <c r="BO225" s="103" t="n">
        <v>0</v>
      </c>
      <c r="BP225" s="103" t="n">
        <v>0</v>
      </c>
      <c r="BQ225" s="103" t="n">
        <v>1</v>
      </c>
      <c r="BR225" s="103" t="n">
        <v>0</v>
      </c>
      <c r="BS225" s="103" t="n">
        <v>1</v>
      </c>
      <c r="BT225" s="103" t="n">
        <v>5</v>
      </c>
      <c r="BU225" s="103" t="inlineStr">
        <is>
          <t>Mixed</t>
        </is>
      </c>
      <c r="BV225" s="104" t="n">
        <v>0.83</v>
      </c>
      <c r="BW225" s="104" t="n">
        <v>1.07</v>
      </c>
      <c r="BX225" s="104" t="n">
        <v>0.9399999999999999</v>
      </c>
      <c r="BY225" s="104" t="n">
        <v>1.26</v>
      </c>
      <c r="BZ225" s="104" t="n">
        <v>1.04</v>
      </c>
      <c r="CA225" s="104" t="n">
        <v>0.84</v>
      </c>
      <c r="CB225" s="104" t="n">
        <v>1.12</v>
      </c>
      <c r="CC225" s="104" t="n">
        <v>-0.09</v>
      </c>
      <c r="CD225" s="103" t="n">
        <v>-2.82</v>
      </c>
      <c r="CE225" s="103" t="inlineStr">
        <is>
          <t>Lower Risk</t>
        </is>
      </c>
      <c r="CF225" s="104" t="n">
        <v>0.42</v>
      </c>
      <c r="CG225" s="104" t="n">
        <v>53.19</v>
      </c>
      <c r="CH225" s="103" t="n">
        <v>0</v>
      </c>
      <c r="CI225" s="103" t="inlineStr">
        <is>
          <t>CLEAR</t>
        </is>
      </c>
    </row>
    <row r="226" ht="17" customHeight="1">
      <c r="A226" s="107" t="inlineStr">
        <is>
          <t>BK</t>
        </is>
      </c>
      <c r="B226" s="107" t="inlineStr">
        <is>
          <t>THE BANK OF NEW YORK MELLON CORPORATION</t>
        </is>
      </c>
      <c r="C226" s="111" t="inlineStr">
        <is>
          <t>N/A</t>
        </is>
      </c>
      <c r="D226" s="109" t="n">
        <v>0.21</v>
      </c>
      <c r="E226" s="109" t="n">
        <v>0.21</v>
      </c>
      <c r="F226" s="109" t="n">
        <v>0.28</v>
      </c>
      <c r="G226" s="109" t="n">
        <v>0.01</v>
      </c>
      <c r="H226" s="109" t="n">
        <v>0.01</v>
      </c>
      <c r="I226" s="109" t="n">
        <v>0.13</v>
      </c>
      <c r="J226" s="111" t="inlineStr">
        <is>
          <t>N/A</t>
        </is>
      </c>
      <c r="K226" s="109" t="n">
        <v>0.01</v>
      </c>
      <c r="L226" s="109" t="n">
        <v>0.01</v>
      </c>
      <c r="M226" s="109" t="n">
        <v>0.04</v>
      </c>
      <c r="N226" s="108" t="n">
        <v>0.04</v>
      </c>
      <c r="O226" s="111" t="inlineStr">
        <is>
          <t>N/A</t>
        </is>
      </c>
      <c r="P226" s="111" t="inlineStr">
        <is>
          <t>N/A</t>
        </is>
      </c>
      <c r="Q226" s="111" t="inlineStr">
        <is>
          <t>N/A</t>
        </is>
      </c>
      <c r="R226" s="111" t="inlineStr">
        <is>
          <t>N/A</t>
        </is>
      </c>
      <c r="S226" s="108" t="n">
        <v>0.91</v>
      </c>
      <c r="T226" s="108" t="n">
        <v>0.9</v>
      </c>
      <c r="U226" s="108" t="n">
        <v>0.72</v>
      </c>
      <c r="V226" s="108" t="n">
        <v>0.6</v>
      </c>
      <c r="W226" s="108" t="n">
        <v>1.21</v>
      </c>
      <c r="X226" s="109" t="n">
        <v>0.26</v>
      </c>
      <c r="Y226" s="109" t="n">
        <v>0</v>
      </c>
      <c r="Z226" s="109" t="n">
        <v>0.26</v>
      </c>
      <c r="AA226" s="109" t="n">
        <v>0.08</v>
      </c>
      <c r="AB226" s="109" t="n">
        <v>0.22</v>
      </c>
      <c r="AC226" s="108" t="n">
        <v>-0</v>
      </c>
      <c r="AD226" s="108" t="n">
        <v>-0</v>
      </c>
      <c r="AE226" s="111" t="inlineStr">
        <is>
          <t>N/A</t>
        </is>
      </c>
      <c r="AF226" s="108" t="n">
        <v>0.1</v>
      </c>
      <c r="AG226" s="108" t="n">
        <v>0.01</v>
      </c>
      <c r="AH226" s="108" t="n">
        <v>0.1</v>
      </c>
      <c r="AI226" s="108" t="n">
        <v>0.04</v>
      </c>
      <c r="AJ226" s="111" t="inlineStr">
        <is>
          <t>N/A</t>
        </is>
      </c>
      <c r="AK226" s="111" t="inlineStr">
        <is>
          <t>N/A</t>
        </is>
      </c>
      <c r="AL226" s="111" t="inlineStr">
        <is>
          <t>N/A</t>
        </is>
      </c>
      <c r="AM226" s="108" t="n">
        <v>0.1</v>
      </c>
      <c r="AN226" s="108" t="n">
        <v>0.01</v>
      </c>
      <c r="AO226" s="108" t="n">
        <v>0.1</v>
      </c>
      <c r="AP226" s="108" t="n">
        <v>0.04</v>
      </c>
      <c r="AQ226" s="111" t="inlineStr">
        <is>
          <t>N/A</t>
        </is>
      </c>
      <c r="AR226" s="111" t="inlineStr">
        <is>
          <t>N/A</t>
        </is>
      </c>
      <c r="AS226" s="111" t="inlineStr">
        <is>
          <t>N/A</t>
        </is>
      </c>
      <c r="AT226" s="108" t="n">
        <v>0.1</v>
      </c>
      <c r="AU226" s="108" t="n">
        <v>0.01</v>
      </c>
      <c r="AV226" s="108" t="n">
        <v>0.1</v>
      </c>
      <c r="AW226" s="111" t="inlineStr">
        <is>
          <t>N/A</t>
        </is>
      </c>
      <c r="AX226" s="111" t="inlineStr">
        <is>
          <t>N/A</t>
        </is>
      </c>
      <c r="AY226" s="111" t="inlineStr">
        <is>
          <t>N/A</t>
        </is>
      </c>
      <c r="AZ226" s="108" t="n">
        <v>0.01</v>
      </c>
      <c r="BA226" s="111" t="inlineStr">
        <is>
          <t>N/A</t>
        </is>
      </c>
      <c r="BB226" s="108" t="n">
        <v>0.04</v>
      </c>
      <c r="BC226" s="111" t="inlineStr">
        <is>
          <t>N/A</t>
        </is>
      </c>
      <c r="BD226" s="111" t="inlineStr">
        <is>
          <t>N/A</t>
        </is>
      </c>
      <c r="BE226" s="108" t="n">
        <v>0.01</v>
      </c>
      <c r="BF226" s="108" t="n">
        <v>0.91</v>
      </c>
      <c r="BG226" s="111" t="inlineStr">
        <is>
          <t>N/A</t>
        </is>
      </c>
      <c r="BH226" s="111" t="inlineStr">
        <is>
          <t>N/A</t>
        </is>
      </c>
      <c r="BI226" s="111" t="inlineStr">
        <is>
          <t>N/A</t>
        </is>
      </c>
      <c r="BJ226" s="111" t="inlineStr">
        <is>
          <t>N/A</t>
        </is>
      </c>
      <c r="BK226" s="107" t="n">
        <v>1</v>
      </c>
      <c r="BL226" s="107" t="n">
        <v>1</v>
      </c>
      <c r="BM226" s="107" t="n">
        <v>1</v>
      </c>
      <c r="BN226" s="107" t="n">
        <v>1</v>
      </c>
      <c r="BO226" s="107" t="n">
        <v>1</v>
      </c>
      <c r="BP226" s="107" t="n">
        <v>0</v>
      </c>
      <c r="BQ226" s="107" t="n">
        <v>1</v>
      </c>
      <c r="BR226" s="107" t="n">
        <v>1</v>
      </c>
      <c r="BS226" s="107" t="n">
        <v>0</v>
      </c>
      <c r="BT226" s="107" t="n">
        <v>7</v>
      </c>
      <c r="BU226" s="107" t="inlineStr">
        <is>
          <t>Strong</t>
        </is>
      </c>
      <c r="BV226" s="108" t="n">
        <v>0.91</v>
      </c>
      <c r="BW226" s="111" t="inlineStr">
        <is>
          <t>N/A</t>
        </is>
      </c>
      <c r="BX226" s="108" t="n">
        <v>1</v>
      </c>
      <c r="BY226" s="108" t="n">
        <v>1.08</v>
      </c>
      <c r="BZ226" s="108" t="n">
        <v>1.21</v>
      </c>
      <c r="CA226" s="111" t="inlineStr">
        <is>
          <t>N/A</t>
        </is>
      </c>
      <c r="CB226" s="108" t="n">
        <v>1.01</v>
      </c>
      <c r="CC226" s="108" t="n">
        <v>-0</v>
      </c>
      <c r="CD226" s="111" t="inlineStr">
        <is>
          <t>N/A</t>
        </is>
      </c>
      <c r="CE226" s="111" t="inlineStr">
        <is>
          <t>N/A</t>
        </is>
      </c>
      <c r="CF226" s="108" t="n">
        <v>6.35</v>
      </c>
      <c r="CG226" s="108" t="n">
        <v>50.72</v>
      </c>
      <c r="CH226" s="107" t="n">
        <v>0</v>
      </c>
      <c r="CI226" s="107" t="inlineStr">
        <is>
          <t>CLEAR</t>
        </is>
      </c>
    </row>
    <row r="227" ht="17" customHeight="1">
      <c r="A227" s="103" t="inlineStr">
        <is>
          <t>QSR</t>
        </is>
      </c>
      <c r="B227" s="103" t="inlineStr">
        <is>
          <t>RESTAURANT BRANDS INTERNATIONAL INC.</t>
        </is>
      </c>
      <c r="C227" s="104" t="n">
        <v>-61000000</v>
      </c>
      <c r="D227" s="105" t="n">
        <v>0.23</v>
      </c>
      <c r="E227" s="105" t="n">
        <v>0.18</v>
      </c>
      <c r="F227" s="105" t="n">
        <v>0.01</v>
      </c>
      <c r="G227" s="105" t="n">
        <v>0.01</v>
      </c>
      <c r="H227" s="105" t="n">
        <v>0.01</v>
      </c>
      <c r="I227" s="105" t="n">
        <v>0.04</v>
      </c>
      <c r="J227" s="105" t="n">
        <v>0.1</v>
      </c>
      <c r="K227" s="105" t="n">
        <v>0.09</v>
      </c>
      <c r="L227" s="105" t="n">
        <v>0.09</v>
      </c>
      <c r="M227" s="105" t="n">
        <v>0.37</v>
      </c>
      <c r="N227" s="104" t="n">
        <v>0.34</v>
      </c>
      <c r="O227" s="104" t="n">
        <v>0.98</v>
      </c>
      <c r="P227" s="104" t="n">
        <v>0.97</v>
      </c>
      <c r="Q227" s="104" t="n">
        <v>0.91</v>
      </c>
      <c r="R227" s="104" t="n">
        <v>0.32</v>
      </c>
      <c r="S227" s="104" t="n">
        <v>0.8</v>
      </c>
      <c r="T227" s="104" t="n">
        <v>0.8</v>
      </c>
      <c r="U227" s="104" t="n">
        <v>3.94</v>
      </c>
      <c r="V227" s="104" t="n">
        <v>3.69</v>
      </c>
      <c r="W227" s="104" t="n">
        <v>12.33</v>
      </c>
      <c r="X227" s="105" t="n">
        <v>0.15</v>
      </c>
      <c r="Y227" s="113" t="inlineStr">
        <is>
          <t>N/A</t>
        </is>
      </c>
      <c r="Z227" s="105" t="n">
        <v>4.92</v>
      </c>
      <c r="AA227" s="105" t="n">
        <v>0.12</v>
      </c>
      <c r="AB227" s="105" t="n">
        <v>-0.38</v>
      </c>
      <c r="AC227" s="104" t="n">
        <v>-0.06</v>
      </c>
      <c r="AD227" s="104" t="n">
        <v>-0.06</v>
      </c>
      <c r="AE227" s="104" t="n">
        <v>-0</v>
      </c>
      <c r="AF227" s="104" t="n">
        <v>0.07000000000000001</v>
      </c>
      <c r="AG227" s="104" t="n">
        <v>0.09</v>
      </c>
      <c r="AH227" s="104" t="n">
        <v>0.18</v>
      </c>
      <c r="AI227" s="104" t="n">
        <v>0.37</v>
      </c>
      <c r="AJ227" s="104" t="n">
        <v>0.85</v>
      </c>
      <c r="AK227" s="112" t="inlineStr">
        <is>
          <t>Distress</t>
        </is>
      </c>
      <c r="AL227" s="104" t="n">
        <v>-0</v>
      </c>
      <c r="AM227" s="104" t="n">
        <v>0.07000000000000001</v>
      </c>
      <c r="AN227" s="104" t="n">
        <v>0.09</v>
      </c>
      <c r="AO227" s="104" t="n">
        <v>0.18</v>
      </c>
      <c r="AP227" s="104" t="n">
        <v>0.37</v>
      </c>
      <c r="AQ227" s="103" t="n">
        <v>0.77</v>
      </c>
      <c r="AR227" s="103" t="inlineStr">
        <is>
          <t>Distress</t>
        </is>
      </c>
      <c r="AS227" s="104" t="n">
        <v>-0</v>
      </c>
      <c r="AT227" s="104" t="n">
        <v>0.07000000000000001</v>
      </c>
      <c r="AU227" s="104" t="n">
        <v>0.09</v>
      </c>
      <c r="AV227" s="104" t="n">
        <v>0.18</v>
      </c>
      <c r="AW227" s="103" t="n">
        <v>0.98</v>
      </c>
      <c r="AX227" s="103" t="inlineStr">
        <is>
          <t>Distress</t>
        </is>
      </c>
      <c r="AY227" s="104" t="n">
        <v>-0</v>
      </c>
      <c r="AZ227" s="104" t="n">
        <v>0.09</v>
      </c>
      <c r="BA227" s="104" t="n">
        <v>0.58</v>
      </c>
      <c r="BB227" s="104" t="n">
        <v>0.37</v>
      </c>
      <c r="BC227" s="103" t="n">
        <v>0.79</v>
      </c>
      <c r="BD227" s="103" t="inlineStr">
        <is>
          <t>Distress</t>
        </is>
      </c>
      <c r="BE227" s="104" t="n">
        <v>0.01</v>
      </c>
      <c r="BF227" s="104" t="n">
        <v>0.8</v>
      </c>
      <c r="BG227" s="104" t="n">
        <v>0.98</v>
      </c>
      <c r="BH227" s="104" t="n">
        <v>0.18</v>
      </c>
      <c r="BI227" s="103" t="n">
        <v>0.54</v>
      </c>
      <c r="BJ227" s="103" t="inlineStr">
        <is>
          <t>Distress</t>
        </is>
      </c>
      <c r="BK227" s="103" t="n">
        <v>1</v>
      </c>
      <c r="BL227" s="103" t="n">
        <v>1</v>
      </c>
      <c r="BM227" s="103" t="n">
        <v>0</v>
      </c>
      <c r="BN227" s="103" t="n">
        <v>1</v>
      </c>
      <c r="BO227" s="103" t="n">
        <v>1</v>
      </c>
      <c r="BP227" s="103" t="n">
        <v>1</v>
      </c>
      <c r="BQ227" s="103" t="n">
        <v>0</v>
      </c>
      <c r="BR227" s="103" t="n">
        <v>0</v>
      </c>
      <c r="BS227" s="103" t="n">
        <v>1</v>
      </c>
      <c r="BT227" s="103" t="n">
        <v>6</v>
      </c>
      <c r="BU227" s="103" t="inlineStr">
        <is>
          <t>Mixed</t>
        </is>
      </c>
      <c r="BV227" s="113" t="inlineStr">
        <is>
          <t>N/A</t>
        </is>
      </c>
      <c r="BW227" s="104" t="n">
        <v>1.01</v>
      </c>
      <c r="BX227" s="104" t="n">
        <v>0.98</v>
      </c>
      <c r="BY227" s="104" t="n">
        <v>1.12</v>
      </c>
      <c r="BZ227" s="104" t="n">
        <v>0.92</v>
      </c>
      <c r="CA227" s="104" t="n">
        <v>0.89</v>
      </c>
      <c r="CB227" s="104" t="n">
        <v>0.99</v>
      </c>
      <c r="CC227" s="104" t="n">
        <v>-0.06</v>
      </c>
      <c r="CD227" s="113" t="inlineStr">
        <is>
          <t>N/A</t>
        </is>
      </c>
      <c r="CE227" s="113" t="inlineStr">
        <is>
          <t>N/A</t>
        </is>
      </c>
      <c r="CF227" s="104" t="n">
        <v>5.36</v>
      </c>
      <c r="CG227" s="104" t="n">
        <v>49.52</v>
      </c>
      <c r="CH227" s="103" t="n">
        <v>0</v>
      </c>
      <c r="CI227" s="103" t="inlineStr">
        <is>
          <t>CLEAR</t>
        </is>
      </c>
    </row>
    <row r="228" ht="17" customHeight="1">
      <c r="A228" s="107" t="inlineStr">
        <is>
          <t>RSG</t>
        </is>
      </c>
      <c r="B228" s="107" t="inlineStr">
        <is>
          <t>REPUBLIC SERVICES, INC.</t>
        </is>
      </c>
      <c r="C228" s="108" t="n">
        <v>-1405000000</v>
      </c>
      <c r="D228" s="109" t="n">
        <v>0.17</v>
      </c>
      <c r="E228" s="109" t="n">
        <v>0.14</v>
      </c>
      <c r="F228" s="109" t="n">
        <v>0.11</v>
      </c>
      <c r="G228" s="109" t="n">
        <v>0.06</v>
      </c>
      <c r="H228" s="109" t="n">
        <v>0.06</v>
      </c>
      <c r="I228" s="109" t="n">
        <v>0.18</v>
      </c>
      <c r="J228" s="109" t="n">
        <v>0.11</v>
      </c>
      <c r="K228" s="109" t="n">
        <v>0.49</v>
      </c>
      <c r="L228" s="109" t="n">
        <v>0.49</v>
      </c>
      <c r="M228" s="109" t="n">
        <v>0.55</v>
      </c>
      <c r="N228" s="108" t="n">
        <v>0.57</v>
      </c>
      <c r="O228" s="108" t="n">
        <v>0.64</v>
      </c>
      <c r="P228" s="108" t="n">
        <v>0.58</v>
      </c>
      <c r="Q228" s="108" t="n">
        <v>0.62</v>
      </c>
      <c r="R228" s="108" t="n">
        <v>0.02</v>
      </c>
      <c r="S228" s="108" t="n">
        <v>1</v>
      </c>
      <c r="T228" s="108" t="n">
        <v>1</v>
      </c>
      <c r="U228" s="108" t="n">
        <v>1.15</v>
      </c>
      <c r="V228" s="108" t="n">
        <v>1.14</v>
      </c>
      <c r="W228" s="108" t="n">
        <v>2.01</v>
      </c>
      <c r="X228" s="109" t="n">
        <v>0.13</v>
      </c>
      <c r="Y228" s="109" t="n">
        <v>0</v>
      </c>
      <c r="Z228" s="109" t="n">
        <v>6.5</v>
      </c>
      <c r="AA228" s="109" t="n">
        <v>0.03</v>
      </c>
      <c r="AB228" s="109" t="n">
        <v>0.05</v>
      </c>
      <c r="AC228" s="108" t="n">
        <v>-0.06</v>
      </c>
      <c r="AD228" s="108" t="n">
        <v>-0.06</v>
      </c>
      <c r="AE228" s="108" t="n">
        <v>-0.04</v>
      </c>
      <c r="AF228" s="108" t="n">
        <v>0.32</v>
      </c>
      <c r="AG228" s="108" t="n">
        <v>0.1</v>
      </c>
      <c r="AH228" s="108" t="n">
        <v>0.35</v>
      </c>
      <c r="AI228" s="108" t="n">
        <v>0.55</v>
      </c>
      <c r="AJ228" s="108" t="n">
        <v>1.49</v>
      </c>
      <c r="AK228" s="112" t="inlineStr">
        <is>
          <t>Distress</t>
        </is>
      </c>
      <c r="AL228" s="108" t="n">
        <v>-0.04</v>
      </c>
      <c r="AM228" s="108" t="n">
        <v>0.32</v>
      </c>
      <c r="AN228" s="108" t="n">
        <v>0.1</v>
      </c>
      <c r="AO228" s="108" t="n">
        <v>0.35</v>
      </c>
      <c r="AP228" s="108" t="n">
        <v>0.55</v>
      </c>
      <c r="AQ228" s="107" t="n">
        <v>1.24</v>
      </c>
      <c r="AR228" s="107" t="inlineStr">
        <is>
          <t>Grey</t>
        </is>
      </c>
      <c r="AS228" s="108" t="n">
        <v>-0.04</v>
      </c>
      <c r="AT228" s="108" t="n">
        <v>0.32</v>
      </c>
      <c r="AU228" s="108" t="n">
        <v>0.1</v>
      </c>
      <c r="AV228" s="108" t="n">
        <v>0.35</v>
      </c>
      <c r="AW228" s="107" t="n">
        <v>1.8</v>
      </c>
      <c r="AX228" s="107" t="inlineStr">
        <is>
          <t>Grey</t>
        </is>
      </c>
      <c r="AY228" s="108" t="n">
        <v>-0.04</v>
      </c>
      <c r="AZ228" s="108" t="n">
        <v>0.1</v>
      </c>
      <c r="BA228" s="108" t="n">
        <v>0.66</v>
      </c>
      <c r="BB228" s="108" t="n">
        <v>0.55</v>
      </c>
      <c r="BC228" s="107" t="n">
        <v>0.91</v>
      </c>
      <c r="BD228" s="107" t="inlineStr">
        <is>
          <t>Healthy</t>
        </is>
      </c>
      <c r="BE228" s="108" t="n">
        <v>0.06</v>
      </c>
      <c r="BF228" s="108" t="n">
        <v>1</v>
      </c>
      <c r="BG228" s="108" t="n">
        <v>0.64</v>
      </c>
      <c r="BH228" s="108" t="n">
        <v>1.06</v>
      </c>
      <c r="BI228" s="107" t="n">
        <v>0.74</v>
      </c>
      <c r="BJ228" s="107" t="inlineStr">
        <is>
          <t>Distress</t>
        </is>
      </c>
      <c r="BK228" s="107" t="n">
        <v>1</v>
      </c>
      <c r="BL228" s="107" t="n">
        <v>1</v>
      </c>
      <c r="BM228" s="107" t="n">
        <v>0</v>
      </c>
      <c r="BN228" s="107" t="n">
        <v>1</v>
      </c>
      <c r="BO228" s="107" t="n">
        <v>0</v>
      </c>
      <c r="BP228" s="107" t="n">
        <v>1</v>
      </c>
      <c r="BQ228" s="107" t="n">
        <v>1</v>
      </c>
      <c r="BR228" s="107" t="n">
        <v>1</v>
      </c>
      <c r="BS228" s="107" t="n">
        <v>0</v>
      </c>
      <c r="BT228" s="107" t="n">
        <v>6</v>
      </c>
      <c r="BU228" s="107" t="inlineStr">
        <is>
          <t>Mixed</t>
        </is>
      </c>
      <c r="BV228" s="108" t="n">
        <v>1.01</v>
      </c>
      <c r="BW228" s="108" t="n">
        <v>1</v>
      </c>
      <c r="BX228" s="108" t="n">
        <v>1.01</v>
      </c>
      <c r="BY228" s="108" t="n">
        <v>1.03</v>
      </c>
      <c r="BZ228" s="108" t="n">
        <v>0.97</v>
      </c>
      <c r="CA228" s="108" t="n">
        <v>0.99</v>
      </c>
      <c r="CB228" s="108" t="n">
        <v>1</v>
      </c>
      <c r="CC228" s="108" t="n">
        <v>-0.06</v>
      </c>
      <c r="CD228" s="107" t="n">
        <v>-2.74</v>
      </c>
      <c r="CE228" s="107" t="inlineStr">
        <is>
          <t>Lower Risk</t>
        </is>
      </c>
      <c r="CF228" s="108" t="n">
        <v>2.66</v>
      </c>
      <c r="CG228" s="108" t="n">
        <v>51.18</v>
      </c>
      <c r="CH228" s="107" t="n">
        <v>0</v>
      </c>
      <c r="CI228" s="107" t="inlineStr">
        <is>
          <t>CLEAR</t>
        </is>
      </c>
    </row>
    <row r="229" ht="17" customHeight="1">
      <c r="A229" s="103" t="inlineStr">
        <is>
          <t>AR</t>
        </is>
      </c>
      <c r="B229" s="103" t="inlineStr">
        <is>
          <t>ANTERO RESOURCES CORPORATION</t>
        </is>
      </c>
      <c r="C229" s="104" t="n">
        <v>-671533000</v>
      </c>
      <c r="D229" s="105" t="n">
        <v>0.17</v>
      </c>
      <c r="E229" s="105" t="n">
        <v>0.17</v>
      </c>
      <c r="F229" s="105" t="n">
        <v>0.13</v>
      </c>
      <c r="G229" s="105" t="n">
        <v>0.05</v>
      </c>
      <c r="H229" s="105" t="n">
        <v>0.05</v>
      </c>
      <c r="I229" s="105" t="n">
        <v>0.09</v>
      </c>
      <c r="J229" s="105" t="n">
        <v>0.08</v>
      </c>
      <c r="K229" s="105" t="n">
        <v>0.73</v>
      </c>
      <c r="L229" s="105" t="n">
        <v>0.9</v>
      </c>
      <c r="M229" s="105" t="n">
        <v>0.4</v>
      </c>
      <c r="N229" s="104" t="n">
        <v>0.33</v>
      </c>
      <c r="O229" s="104" t="n">
        <v>0.55</v>
      </c>
      <c r="P229" s="104" t="n">
        <v>0.35</v>
      </c>
      <c r="Q229" s="104" t="n">
        <v>0.55</v>
      </c>
      <c r="R229" s="104" t="n">
        <v>0.02</v>
      </c>
      <c r="S229" s="104" t="n">
        <v>0.42</v>
      </c>
      <c r="T229" s="104" t="n">
        <v>0.45</v>
      </c>
      <c r="U229" s="104" t="n">
        <v>0.19</v>
      </c>
      <c r="V229" s="104" t="n">
        <v>0.18</v>
      </c>
      <c r="W229" s="104" t="n">
        <v>2.41</v>
      </c>
      <c r="X229" s="105" t="n">
        <v>0.13</v>
      </c>
      <c r="Y229" s="105" t="n">
        <v>0</v>
      </c>
      <c r="Z229" s="105" t="n">
        <v>3.08</v>
      </c>
      <c r="AA229" s="105" t="n">
        <v>0.22</v>
      </c>
      <c r="AB229" s="105" t="n">
        <v>0.11</v>
      </c>
      <c r="AC229" s="104" t="n">
        <v>-0.07000000000000001</v>
      </c>
      <c r="AD229" s="104" t="n">
        <v>-0.07000000000000001</v>
      </c>
      <c r="AE229" s="104" t="n">
        <v>-0.05</v>
      </c>
      <c r="AF229" s="104" t="n">
        <v>0.13</v>
      </c>
      <c r="AG229" s="104" t="n">
        <v>0.07000000000000001</v>
      </c>
      <c r="AH229" s="104" t="n">
        <v>1.37</v>
      </c>
      <c r="AI229" s="104" t="n">
        <v>0.4</v>
      </c>
      <c r="AJ229" s="104" t="n">
        <v>1.55</v>
      </c>
      <c r="AK229" s="112" t="inlineStr">
        <is>
          <t>Distress</t>
        </is>
      </c>
      <c r="AL229" s="104" t="n">
        <v>-0.05</v>
      </c>
      <c r="AM229" s="104" t="n">
        <v>0.13</v>
      </c>
      <c r="AN229" s="104" t="n">
        <v>0.07000000000000001</v>
      </c>
      <c r="AO229" s="104" t="n">
        <v>1.37</v>
      </c>
      <c r="AP229" s="104" t="n">
        <v>0.4</v>
      </c>
      <c r="AQ229" s="103" t="n">
        <v>1.25</v>
      </c>
      <c r="AR229" s="103" t="inlineStr">
        <is>
          <t>Grey</t>
        </is>
      </c>
      <c r="AS229" s="104" t="n">
        <v>-0.05</v>
      </c>
      <c r="AT229" s="104" t="n">
        <v>0.13</v>
      </c>
      <c r="AU229" s="104" t="n">
        <v>0.07000000000000001</v>
      </c>
      <c r="AV229" s="104" t="n">
        <v>1.37</v>
      </c>
      <c r="AW229" s="103" t="n">
        <v>1.96</v>
      </c>
      <c r="AX229" s="103" t="inlineStr">
        <is>
          <t>Grey</t>
        </is>
      </c>
      <c r="AY229" s="104" t="n">
        <v>-0.05</v>
      </c>
      <c r="AZ229" s="104" t="n">
        <v>0.07000000000000001</v>
      </c>
      <c r="BA229" s="104" t="n">
        <v>0.59</v>
      </c>
      <c r="BB229" s="104" t="n">
        <v>0.4</v>
      </c>
      <c r="BC229" s="103" t="n">
        <v>0.7</v>
      </c>
      <c r="BD229" s="103" t="inlineStr">
        <is>
          <t>Distress</t>
        </is>
      </c>
      <c r="BE229" s="104" t="n">
        <v>0.05</v>
      </c>
      <c r="BF229" s="104" t="n">
        <v>0.42</v>
      </c>
      <c r="BG229" s="104" t="n">
        <v>0.55</v>
      </c>
      <c r="BH229" s="104" t="n">
        <v>-2.19</v>
      </c>
      <c r="BI229" s="103" t="n">
        <v>0.1</v>
      </c>
      <c r="BJ229" s="103" t="inlineStr">
        <is>
          <t>Healthy</t>
        </is>
      </c>
      <c r="BK229" s="103" t="n">
        <v>1</v>
      </c>
      <c r="BL229" s="103" t="n">
        <v>1</v>
      </c>
      <c r="BM229" s="103" t="n">
        <v>1</v>
      </c>
      <c r="BN229" s="103" t="n">
        <v>1</v>
      </c>
      <c r="BO229" s="103" t="n">
        <v>1</v>
      </c>
      <c r="BP229" s="103" t="n">
        <v>1</v>
      </c>
      <c r="BQ229" s="103" t="n">
        <v>1</v>
      </c>
      <c r="BR229" s="103" t="n">
        <v>0</v>
      </c>
      <c r="BS229" s="103" t="n">
        <v>1</v>
      </c>
      <c r="BT229" s="103" t="n">
        <v>8</v>
      </c>
      <c r="BU229" s="103" t="inlineStr">
        <is>
          <t>Strong</t>
        </is>
      </c>
      <c r="BV229" s="104" t="n">
        <v>0.8</v>
      </c>
      <c r="BW229" s="104" t="n">
        <v>1.22</v>
      </c>
      <c r="BX229" s="104" t="n">
        <v>-1.75</v>
      </c>
      <c r="BY229" s="104" t="n">
        <v>1.22</v>
      </c>
      <c r="BZ229" s="104" t="n">
        <v>0.75</v>
      </c>
      <c r="CA229" s="104" t="n">
        <v>0.83</v>
      </c>
      <c r="CB229" s="104" t="n">
        <v>0.9399999999999999</v>
      </c>
      <c r="CC229" s="104" t="n">
        <v>-0.07000000000000001</v>
      </c>
      <c r="CD229" s="103" t="n">
        <v>-3.77</v>
      </c>
      <c r="CE229" s="103" t="inlineStr">
        <is>
          <t>Lower Risk</t>
        </is>
      </c>
      <c r="CF229" s="104" t="n">
        <v>0.85</v>
      </c>
      <c r="CG229" s="104" t="n">
        <v>60.48</v>
      </c>
      <c r="CH229" s="103" t="n">
        <v>0</v>
      </c>
      <c r="CI229" s="103" t="inlineStr">
        <is>
          <t>CLEAR</t>
        </is>
      </c>
    </row>
    <row r="230" ht="17" customHeight="1">
      <c r="A230" s="107" t="inlineStr">
        <is>
          <t>PI</t>
        </is>
      </c>
      <c r="B230" s="107" t="inlineStr">
        <is>
          <t>Impinj, Inc.</t>
        </is>
      </c>
      <c r="C230" s="108" t="n">
        <v>212691000</v>
      </c>
      <c r="D230" s="109" t="n">
        <v>-0.01</v>
      </c>
      <c r="E230" s="109" t="n">
        <v>-0.09</v>
      </c>
      <c r="F230" s="109" t="n">
        <v>-0.09</v>
      </c>
      <c r="G230" s="109" t="n">
        <v>-0.02</v>
      </c>
      <c r="H230" s="109" t="n">
        <v>0.08</v>
      </c>
      <c r="I230" s="109" t="n">
        <v>-0.05</v>
      </c>
      <c r="J230" s="109" t="n">
        <v>-0</v>
      </c>
      <c r="K230" s="109" t="n">
        <v>1.55</v>
      </c>
      <c r="L230" s="109" t="n">
        <v>1.51</v>
      </c>
      <c r="M230" s="109" t="n">
        <v>0.22</v>
      </c>
      <c r="N230" s="108" t="n">
        <v>0.26</v>
      </c>
      <c r="O230" s="108" t="n">
        <v>2.68</v>
      </c>
      <c r="P230" s="108" t="n">
        <v>0.99</v>
      </c>
      <c r="Q230" s="108" t="n">
        <v>2.01</v>
      </c>
      <c r="R230" s="108" t="n">
        <v>0.38</v>
      </c>
      <c r="S230" s="108" t="n">
        <v>0.62</v>
      </c>
      <c r="T230" s="108" t="n">
        <v>0.6899999999999999</v>
      </c>
      <c r="U230" s="108" t="n">
        <v>1.8</v>
      </c>
      <c r="V230" s="108" t="n">
        <v>1.57</v>
      </c>
      <c r="W230" s="108" t="n">
        <v>-5.42</v>
      </c>
      <c r="X230" s="109" t="n">
        <v>0.37</v>
      </c>
      <c r="Y230" s="109" t="n">
        <v>0.84</v>
      </c>
      <c r="Z230" s="109" t="n">
        <v>-0.17</v>
      </c>
      <c r="AA230" s="109" t="n">
        <v>-0.02</v>
      </c>
      <c r="AB230" s="109" t="n">
        <v>-1.27</v>
      </c>
      <c r="AC230" s="108" t="n">
        <v>-0.13</v>
      </c>
      <c r="AD230" s="108" t="n">
        <v>-0.13</v>
      </c>
      <c r="AE230" s="108" t="n">
        <v>0.39</v>
      </c>
      <c r="AF230" s="108" t="n">
        <v>-0.73</v>
      </c>
      <c r="AG230" s="108" t="n">
        <v>-0</v>
      </c>
      <c r="AH230" s="108" t="n">
        <v>0.62</v>
      </c>
      <c r="AI230" s="108" t="n">
        <v>0.22</v>
      </c>
      <c r="AJ230" s="108" t="n">
        <v>0.03</v>
      </c>
      <c r="AK230" s="112" t="inlineStr">
        <is>
          <t>Distress</t>
        </is>
      </c>
      <c r="AL230" s="108" t="n">
        <v>0.39</v>
      </c>
      <c r="AM230" s="108" t="n">
        <v>-0.73</v>
      </c>
      <c r="AN230" s="108" t="n">
        <v>-0</v>
      </c>
      <c r="AO230" s="108" t="n">
        <v>0.62</v>
      </c>
      <c r="AP230" s="108" t="n">
        <v>0.22</v>
      </c>
      <c r="AQ230" s="107" t="n">
        <v>0.14</v>
      </c>
      <c r="AR230" s="107" t="inlineStr">
        <is>
          <t>Distress</t>
        </is>
      </c>
      <c r="AS230" s="108" t="n">
        <v>0.39</v>
      </c>
      <c r="AT230" s="108" t="n">
        <v>-0.73</v>
      </c>
      <c r="AU230" s="108" t="n">
        <v>-0</v>
      </c>
      <c r="AV230" s="108" t="n">
        <v>0.62</v>
      </c>
      <c r="AW230" s="107" t="n">
        <v>0.8100000000000001</v>
      </c>
      <c r="AX230" s="107" t="inlineStr">
        <is>
          <t>Distress</t>
        </is>
      </c>
      <c r="AY230" s="108" t="n">
        <v>0.39</v>
      </c>
      <c r="AZ230" s="108" t="n">
        <v>-0</v>
      </c>
      <c r="BA230" s="108" t="n">
        <v>-0.09</v>
      </c>
      <c r="BB230" s="108" t="n">
        <v>0.22</v>
      </c>
      <c r="BC230" s="107" t="n">
        <v>0.43</v>
      </c>
      <c r="BD230" s="107" t="inlineStr">
        <is>
          <t>Distress</t>
        </is>
      </c>
      <c r="BE230" s="108" t="n">
        <v>-0.02</v>
      </c>
      <c r="BF230" s="108" t="n">
        <v>0.62</v>
      </c>
      <c r="BG230" s="108" t="n">
        <v>2.68</v>
      </c>
      <c r="BH230" s="108" t="n">
        <v>-0.74</v>
      </c>
      <c r="BI230" s="107" t="n">
        <v>0.32</v>
      </c>
      <c r="BJ230" s="107" t="inlineStr">
        <is>
          <t>Healthy</t>
        </is>
      </c>
      <c r="BK230" s="107" t="n">
        <v>0</v>
      </c>
      <c r="BL230" s="107" t="n">
        <v>1</v>
      </c>
      <c r="BM230" s="107" t="n">
        <v>0</v>
      </c>
      <c r="BN230" s="107" t="n">
        <v>1</v>
      </c>
      <c r="BO230" s="107" t="n">
        <v>1</v>
      </c>
      <c r="BP230" s="107" t="n">
        <v>1</v>
      </c>
      <c r="BQ230" s="107" t="n">
        <v>0</v>
      </c>
      <c r="BR230" s="107" t="n">
        <v>1</v>
      </c>
      <c r="BS230" s="107" t="n">
        <v>0</v>
      </c>
      <c r="BT230" s="107" t="n">
        <v>5</v>
      </c>
      <c r="BU230" s="107" t="inlineStr">
        <is>
          <t>Mixed</t>
        </is>
      </c>
      <c r="BV230" s="108" t="n">
        <v>1.27</v>
      </c>
      <c r="BW230" s="108" t="n">
        <v>0.97</v>
      </c>
      <c r="BX230" s="108" t="n">
        <v>1.25</v>
      </c>
      <c r="BY230" s="108" t="n">
        <v>0.98</v>
      </c>
      <c r="BZ230" s="108" t="n">
        <v>0.74</v>
      </c>
      <c r="CA230" s="108" t="n">
        <v>0.97</v>
      </c>
      <c r="CB230" s="108" t="n">
        <v>0.89</v>
      </c>
      <c r="CC230" s="108" t="n">
        <v>-0.13</v>
      </c>
      <c r="CD230" s="107" t="n">
        <v>-2.75</v>
      </c>
      <c r="CE230" s="107" t="inlineStr">
        <is>
          <t>Lower Risk</t>
        </is>
      </c>
      <c r="CF230" s="108" t="n">
        <v>102.53</v>
      </c>
      <c r="CG230" s="108" t="n">
        <v>43.74</v>
      </c>
      <c r="CH230" s="106" t="n">
        <v>40</v>
      </c>
      <c r="CI230" s="107" t="inlineStr">
        <is>
          <t>WATCH</t>
        </is>
      </c>
    </row>
    <row r="231" ht="17" customHeight="1">
      <c r="A231" s="103" t="inlineStr">
        <is>
          <t>WM</t>
        </is>
      </c>
      <c r="B231" s="103" t="inlineStr">
        <is>
          <t>Waste Management, Inc</t>
        </is>
      </c>
      <c r="C231" s="104" t="n">
        <v>-614000000</v>
      </c>
      <c r="D231" s="105" t="n">
        <v>0.3</v>
      </c>
      <c r="E231" s="105" t="n">
        <v>0.24</v>
      </c>
      <c r="F231" s="105" t="n">
        <v>0.19</v>
      </c>
      <c r="G231" s="105" t="n">
        <v>0.06</v>
      </c>
      <c r="H231" s="105" t="n">
        <v>0.06</v>
      </c>
      <c r="I231" s="105" t="n">
        <v>0.27</v>
      </c>
      <c r="J231" s="105" t="n">
        <v>0.11</v>
      </c>
      <c r="K231" s="105" t="n">
        <v>-0.04</v>
      </c>
      <c r="L231" s="105" t="n">
        <v>-2.66</v>
      </c>
      <c r="M231" s="105" t="n">
        <v>0.32</v>
      </c>
      <c r="N231" s="104" t="n">
        <v>0.08</v>
      </c>
      <c r="O231" s="104" t="n">
        <v>0.89</v>
      </c>
      <c r="P231" s="104" t="n">
        <v>0.76</v>
      </c>
      <c r="Q231" s="104" t="n">
        <v>0.89</v>
      </c>
      <c r="R231" s="104" t="n">
        <v>0.04</v>
      </c>
      <c r="S231" s="104" t="n">
        <v>0.78</v>
      </c>
      <c r="T231" s="104" t="n">
        <v>0.8100000000000001</v>
      </c>
      <c r="U231" s="104" t="n">
        <v>0.07000000000000001</v>
      </c>
      <c r="V231" s="104" t="n">
        <v>0.05</v>
      </c>
      <c r="W231" s="104" t="n">
        <v>2.23</v>
      </c>
      <c r="X231" s="105" t="n">
        <v>0.22</v>
      </c>
      <c r="Y231" s="105" t="n">
        <v>0</v>
      </c>
      <c r="Z231" s="105" t="n">
        <v>8.619999999999999</v>
      </c>
      <c r="AA231" s="105" t="n">
        <v>2.97</v>
      </c>
      <c r="AB231" s="105" t="n">
        <v>-0.01</v>
      </c>
      <c r="AC231" s="104" t="n">
        <v>-0.07000000000000001</v>
      </c>
      <c r="AD231" s="104" t="n">
        <v>-0.07000000000000001</v>
      </c>
      <c r="AE231" s="104" t="n">
        <v>-0.01</v>
      </c>
      <c r="AF231" s="104" t="n">
        <v>0.38</v>
      </c>
      <c r="AG231" s="104" t="n">
        <v>0.09</v>
      </c>
      <c r="AH231" s="104" t="n">
        <v>0.28</v>
      </c>
      <c r="AI231" s="104" t="n">
        <v>0.32</v>
      </c>
      <c r="AJ231" s="104" t="n">
        <v>1.3</v>
      </c>
      <c r="AK231" s="112" t="inlineStr">
        <is>
          <t>Distress</t>
        </is>
      </c>
      <c r="AL231" s="104" t="n">
        <v>-0.01</v>
      </c>
      <c r="AM231" s="104" t="n">
        <v>0.38</v>
      </c>
      <c r="AN231" s="104" t="n">
        <v>0.09</v>
      </c>
      <c r="AO231" s="104" t="n">
        <v>0.28</v>
      </c>
      <c r="AP231" s="104" t="n">
        <v>0.32</v>
      </c>
      <c r="AQ231" s="103" t="n">
        <v>1.03</v>
      </c>
      <c r="AR231" s="103" t="inlineStr">
        <is>
          <t>Distress</t>
        </is>
      </c>
      <c r="AS231" s="104" t="n">
        <v>-0.01</v>
      </c>
      <c r="AT231" s="104" t="n">
        <v>0.38</v>
      </c>
      <c r="AU231" s="104" t="n">
        <v>0.09</v>
      </c>
      <c r="AV231" s="104" t="n">
        <v>0.28</v>
      </c>
      <c r="AW231" s="103" t="n">
        <v>2.06</v>
      </c>
      <c r="AX231" s="103" t="inlineStr">
        <is>
          <t>Grey</t>
        </is>
      </c>
      <c r="AY231" s="104" t="n">
        <v>-0.01</v>
      </c>
      <c r="AZ231" s="104" t="n">
        <v>0.09</v>
      </c>
      <c r="BA231" s="104" t="n">
        <v>0.62</v>
      </c>
      <c r="BB231" s="104" t="n">
        <v>0.32</v>
      </c>
      <c r="BC231" s="103" t="n">
        <v>0.8100000000000001</v>
      </c>
      <c r="BD231" s="103" t="inlineStr">
        <is>
          <t>Distress</t>
        </is>
      </c>
      <c r="BE231" s="104" t="n">
        <v>0.06</v>
      </c>
      <c r="BF231" s="104" t="n">
        <v>0.78</v>
      </c>
      <c r="BG231" s="104" t="n">
        <v>0.89</v>
      </c>
      <c r="BH231" s="104" t="n">
        <v>-0.16</v>
      </c>
      <c r="BI231" s="103" t="n">
        <v>0.46</v>
      </c>
      <c r="BJ231" s="103" t="inlineStr">
        <is>
          <t>Healthy</t>
        </is>
      </c>
      <c r="BK231" s="103" t="n">
        <v>1</v>
      </c>
      <c r="BL231" s="103" t="n">
        <v>1</v>
      </c>
      <c r="BM231" s="103" t="n">
        <v>0</v>
      </c>
      <c r="BN231" s="103" t="n">
        <v>1</v>
      </c>
      <c r="BO231" s="103" t="n">
        <v>0</v>
      </c>
      <c r="BP231" s="103" t="n">
        <v>1</v>
      </c>
      <c r="BQ231" s="103" t="n">
        <v>0</v>
      </c>
      <c r="BR231" s="103" t="n">
        <v>1</v>
      </c>
      <c r="BS231" s="103" t="n">
        <v>1</v>
      </c>
      <c r="BT231" s="103" t="n">
        <v>6</v>
      </c>
      <c r="BU231" s="103" t="inlineStr">
        <is>
          <t>Mixed</t>
        </is>
      </c>
      <c r="BV231" s="104" t="n">
        <v>0.26</v>
      </c>
      <c r="BW231" s="104" t="n">
        <v>73.23999999999999</v>
      </c>
      <c r="BX231" s="104" t="n">
        <v>0.98</v>
      </c>
      <c r="BY231" s="104" t="n">
        <v>3.97</v>
      </c>
      <c r="BZ231" s="104" t="n">
        <v>0.88</v>
      </c>
      <c r="CA231" s="104" t="n">
        <v>0.3</v>
      </c>
      <c r="CB231" s="104" t="n">
        <v>0.96</v>
      </c>
      <c r="CC231" s="104" t="n">
        <v>-0.07000000000000001</v>
      </c>
      <c r="CD231" s="103" t="n">
        <v>37.4</v>
      </c>
      <c r="CE231" s="103" t="inlineStr">
        <is>
          <t>Higher Risk</t>
        </is>
      </c>
      <c r="CF231" s="104" t="n">
        <v>0.08</v>
      </c>
      <c r="CG231" s="104" t="n">
        <v>45.45</v>
      </c>
      <c r="CH231" s="103" t="n">
        <v>20</v>
      </c>
      <c r="CI231" s="103" t="inlineStr">
        <is>
          <t>CLEAR</t>
        </is>
      </c>
    </row>
    <row r="232" ht="17" customHeight="1">
      <c r="A232" s="107" t="inlineStr">
        <is>
          <t>CNC</t>
        </is>
      </c>
      <c r="B232" s="107" t="inlineStr">
        <is>
          <t>CENTENE CORPORATION</t>
        </is>
      </c>
      <c r="C232" s="108" t="n">
        <v>3674000000</v>
      </c>
      <c r="D232" s="109" t="n">
        <v>-0.04</v>
      </c>
      <c r="E232" s="109" t="n">
        <v>-0.03</v>
      </c>
      <c r="F232" s="109" t="n">
        <v>-0.03</v>
      </c>
      <c r="G232" s="109" t="n">
        <v>-0.09</v>
      </c>
      <c r="H232" s="109" t="n">
        <v>0.04</v>
      </c>
      <c r="I232" s="109" t="n">
        <v>-0.33</v>
      </c>
      <c r="J232" s="109" t="n">
        <v>-0.19</v>
      </c>
      <c r="K232" s="109" t="n">
        <v>0.07000000000000001</v>
      </c>
      <c r="L232" s="109" t="n">
        <v>0.1</v>
      </c>
      <c r="M232" s="109" t="n">
        <v>2.54</v>
      </c>
      <c r="N232" s="108" t="n">
        <v>1.98</v>
      </c>
      <c r="O232" s="108" t="n">
        <v>1.1</v>
      </c>
      <c r="P232" s="108" t="n">
        <v>1.11</v>
      </c>
      <c r="Q232" s="108" t="n">
        <v>1.1</v>
      </c>
      <c r="R232" s="108" t="n">
        <v>0.49</v>
      </c>
      <c r="S232" s="108" t="n">
        <v>0.74</v>
      </c>
      <c r="T232" s="108" t="n">
        <v>0.68</v>
      </c>
      <c r="U232" s="108" t="n">
        <v>0.88</v>
      </c>
      <c r="V232" s="108" t="n">
        <v>-0.02</v>
      </c>
      <c r="W232" s="108" t="n">
        <v>-0.76</v>
      </c>
      <c r="X232" s="109" t="n">
        <v>0.02</v>
      </c>
      <c r="Y232" s="111" t="inlineStr">
        <is>
          <t>N/A</t>
        </is>
      </c>
      <c r="Z232" s="109" t="n">
        <v>-10.51</v>
      </c>
      <c r="AA232" s="109" t="n">
        <v>0.19</v>
      </c>
      <c r="AB232" s="109" t="n">
        <v>-3.02</v>
      </c>
      <c r="AC232" s="108" t="n">
        <v>-0.15</v>
      </c>
      <c r="AD232" s="108" t="n">
        <v>-0.15</v>
      </c>
      <c r="AE232" s="108" t="n">
        <v>0.05</v>
      </c>
      <c r="AF232" s="108" t="n">
        <v>0.11</v>
      </c>
      <c r="AG232" s="108" t="n">
        <v>-0.1</v>
      </c>
      <c r="AH232" s="108" t="n">
        <v>0.35</v>
      </c>
      <c r="AI232" s="108" t="n">
        <v>2.54</v>
      </c>
      <c r="AJ232" s="108" t="n">
        <v>2.64</v>
      </c>
      <c r="AK232" s="106" t="inlineStr">
        <is>
          <t>Grey</t>
        </is>
      </c>
      <c r="AL232" s="108" t="n">
        <v>0.05</v>
      </c>
      <c r="AM232" s="108" t="n">
        <v>0.11</v>
      </c>
      <c r="AN232" s="108" t="n">
        <v>-0.1</v>
      </c>
      <c r="AO232" s="108" t="n">
        <v>0.35</v>
      </c>
      <c r="AP232" s="108" t="n">
        <v>2.54</v>
      </c>
      <c r="AQ232" s="107" t="n">
        <v>2.5</v>
      </c>
      <c r="AR232" s="107" t="inlineStr">
        <is>
          <t>Grey</t>
        </is>
      </c>
      <c r="AS232" s="108" t="n">
        <v>0.05</v>
      </c>
      <c r="AT232" s="108" t="n">
        <v>0.11</v>
      </c>
      <c r="AU232" s="108" t="n">
        <v>-0.1</v>
      </c>
      <c r="AV232" s="108" t="n">
        <v>0.35</v>
      </c>
      <c r="AW232" s="107" t="n">
        <v>0.38</v>
      </c>
      <c r="AX232" s="107" t="inlineStr">
        <is>
          <t>Distress</t>
        </is>
      </c>
      <c r="AY232" s="108" t="n">
        <v>0.05</v>
      </c>
      <c r="AZ232" s="108" t="n">
        <v>-0.1</v>
      </c>
      <c r="BA232" s="108" t="n">
        <v>-0.18</v>
      </c>
      <c r="BB232" s="108" t="n">
        <v>2.54</v>
      </c>
      <c r="BC232" s="107" t="n">
        <v>0.64</v>
      </c>
      <c r="BD232" s="107" t="inlineStr">
        <is>
          <t>Distress</t>
        </is>
      </c>
      <c r="BE232" s="108" t="n">
        <v>-0.09</v>
      </c>
      <c r="BF232" s="108" t="n">
        <v>0.74</v>
      </c>
      <c r="BG232" s="108" t="n">
        <v>1.1</v>
      </c>
      <c r="BH232" s="108" t="n">
        <v>0.26</v>
      </c>
      <c r="BI232" s="107" t="n">
        <v>0.5600000000000001</v>
      </c>
      <c r="BJ232" s="107" t="inlineStr">
        <is>
          <t>Distress</t>
        </is>
      </c>
      <c r="BK232" s="107" t="n">
        <v>0</v>
      </c>
      <c r="BL232" s="107" t="n">
        <v>1</v>
      </c>
      <c r="BM232" s="107" t="n">
        <v>0</v>
      </c>
      <c r="BN232" s="107" t="n">
        <v>1</v>
      </c>
      <c r="BO232" s="107" t="n">
        <v>0</v>
      </c>
      <c r="BP232" s="107" t="n">
        <v>0</v>
      </c>
      <c r="BQ232" s="107" t="n">
        <v>1</v>
      </c>
      <c r="BR232" s="107" t="n">
        <v>0</v>
      </c>
      <c r="BS232" s="107" t="n">
        <v>1</v>
      </c>
      <c r="BT232" s="107" t="n">
        <v>4</v>
      </c>
      <c r="BU232" s="107" t="inlineStr">
        <is>
          <t>Mixed</t>
        </is>
      </c>
      <c r="BV232" s="111" t="inlineStr">
        <is>
          <t>N/A</t>
        </is>
      </c>
      <c r="BW232" s="108" t="n">
        <v>1.43</v>
      </c>
      <c r="BX232" s="108" t="n">
        <v>0.87</v>
      </c>
      <c r="BY232" s="108" t="n">
        <v>1.19</v>
      </c>
      <c r="BZ232" s="108" t="n">
        <v>0.97</v>
      </c>
      <c r="CA232" s="108" t="n">
        <v>0.87</v>
      </c>
      <c r="CB232" s="108" t="n">
        <v>1.09</v>
      </c>
      <c r="CC232" s="108" t="n">
        <v>-0.15</v>
      </c>
      <c r="CD232" s="111" t="inlineStr">
        <is>
          <t>N/A</t>
        </is>
      </c>
      <c r="CE232" s="111" t="inlineStr">
        <is>
          <t>N/A</t>
        </is>
      </c>
      <c r="CF232" s="108" t="n">
        <v>0.05</v>
      </c>
      <c r="CG232" s="108" t="n">
        <v>47.81</v>
      </c>
      <c r="CH232" s="106" t="n">
        <v>40</v>
      </c>
      <c r="CI232" s="107" t="inlineStr">
        <is>
          <t>WATCH</t>
        </is>
      </c>
    </row>
    <row r="233" ht="17" customHeight="1">
      <c r="A233" s="103" t="inlineStr">
        <is>
          <t>COP</t>
        </is>
      </c>
      <c r="B233" s="103" t="inlineStr">
        <is>
          <t>CONOCOPHILLIPS</t>
        </is>
      </c>
      <c r="C233" s="104" t="n">
        <v>3560000000</v>
      </c>
      <c r="D233" s="105" t="n">
        <v>0.21</v>
      </c>
      <c r="E233" s="105" t="n">
        <v>0.21</v>
      </c>
      <c r="F233" s="105" t="n">
        <v>0.14</v>
      </c>
      <c r="G233" s="105" t="n">
        <v>0.07000000000000001</v>
      </c>
      <c r="H233" s="105" t="n">
        <v>0.08</v>
      </c>
      <c r="I233" s="105" t="n">
        <v>0.12</v>
      </c>
      <c r="J233" s="105" t="n">
        <v>0.12</v>
      </c>
      <c r="K233" s="105" t="n">
        <v>0.62</v>
      </c>
      <c r="L233" s="105" t="n">
        <v>0.63</v>
      </c>
      <c r="M233" s="105" t="n">
        <v>0.48</v>
      </c>
      <c r="N233" s="104" t="n">
        <v>0.45</v>
      </c>
      <c r="O233" s="104" t="n">
        <v>1.3</v>
      </c>
      <c r="P233" s="104" t="n">
        <v>1.29</v>
      </c>
      <c r="Q233" s="104" t="n">
        <v>1.14</v>
      </c>
      <c r="R233" s="104" t="n">
        <v>0.54</v>
      </c>
      <c r="S233" s="104" t="n">
        <v>0.47</v>
      </c>
      <c r="T233" s="104" t="n">
        <v>0.47</v>
      </c>
      <c r="U233" s="104" t="n">
        <v>0.27</v>
      </c>
      <c r="V233" s="104" t="n">
        <v>0.17</v>
      </c>
      <c r="W233" s="104" t="n">
        <v>2.48</v>
      </c>
      <c r="X233" s="105" t="n">
        <v>0.16</v>
      </c>
      <c r="Y233" s="105" t="n">
        <v>0</v>
      </c>
      <c r="Z233" s="105" t="n">
        <v>10.76</v>
      </c>
      <c r="AA233" s="105" t="n">
        <v>0.08</v>
      </c>
      <c r="AB233" s="105" t="n">
        <v>-0.14</v>
      </c>
      <c r="AC233" s="104" t="n">
        <v>-0.1</v>
      </c>
      <c r="AD233" s="104" t="n">
        <v>-0.1</v>
      </c>
      <c r="AE233" s="104" t="n">
        <v>0.03</v>
      </c>
      <c r="AF233" s="104" t="n">
        <v>0.5600000000000001</v>
      </c>
      <c r="AG233" s="104" t="n">
        <v>0.1</v>
      </c>
      <c r="AH233" s="104" t="n">
        <v>1.12</v>
      </c>
      <c r="AI233" s="104" t="n">
        <v>0.48</v>
      </c>
      <c r="AJ233" s="104" t="n">
        <v>2.33</v>
      </c>
      <c r="AK233" s="106" t="inlineStr">
        <is>
          <t>Grey</t>
        </is>
      </c>
      <c r="AL233" s="104" t="n">
        <v>0.03</v>
      </c>
      <c r="AM233" s="104" t="n">
        <v>0.5600000000000001</v>
      </c>
      <c r="AN233" s="104" t="n">
        <v>0.1</v>
      </c>
      <c r="AO233" s="104" t="n">
        <v>1.12</v>
      </c>
      <c r="AP233" s="104" t="n">
        <v>0.48</v>
      </c>
      <c r="AQ233" s="103" t="n">
        <v>1.78</v>
      </c>
      <c r="AR233" s="103" t="inlineStr">
        <is>
          <t>Grey</t>
        </is>
      </c>
      <c r="AS233" s="104" t="n">
        <v>0.03</v>
      </c>
      <c r="AT233" s="104" t="n">
        <v>0.5600000000000001</v>
      </c>
      <c r="AU233" s="104" t="n">
        <v>0.1</v>
      </c>
      <c r="AV233" s="104" t="n">
        <v>1.12</v>
      </c>
      <c r="AW233" s="103" t="n">
        <v>3.91</v>
      </c>
      <c r="AX233" s="103" t="inlineStr">
        <is>
          <t>Safe</t>
        </is>
      </c>
      <c r="AY233" s="104" t="n">
        <v>0.03</v>
      </c>
      <c r="AZ233" s="104" t="n">
        <v>0.1</v>
      </c>
      <c r="BA233" s="104" t="n">
        <v>1.06</v>
      </c>
      <c r="BB233" s="104" t="n">
        <v>0.48</v>
      </c>
      <c r="BC233" s="103" t="n">
        <v>1.24</v>
      </c>
      <c r="BD233" s="103" t="inlineStr">
        <is>
          <t>Healthy</t>
        </is>
      </c>
      <c r="BE233" s="104" t="n">
        <v>0.07000000000000001</v>
      </c>
      <c r="BF233" s="104" t="n">
        <v>0.47</v>
      </c>
      <c r="BG233" s="104" t="n">
        <v>1.3</v>
      </c>
      <c r="BH233" s="104" t="n">
        <v>-1.95</v>
      </c>
      <c r="BI233" s="103" t="n">
        <v>0.12</v>
      </c>
      <c r="BJ233" s="103" t="inlineStr">
        <is>
          <t>Healthy</t>
        </is>
      </c>
      <c r="BK233" s="103" t="n">
        <v>1</v>
      </c>
      <c r="BL233" s="103" t="n">
        <v>1</v>
      </c>
      <c r="BM233" s="103" t="n">
        <v>0</v>
      </c>
      <c r="BN233" s="103" t="n">
        <v>1</v>
      </c>
      <c r="BO233" s="103" t="n">
        <v>1</v>
      </c>
      <c r="BP233" s="103" t="n">
        <v>1</v>
      </c>
      <c r="BQ233" s="103" t="n">
        <v>0</v>
      </c>
      <c r="BR233" s="103" t="n">
        <v>0</v>
      </c>
      <c r="BS233" s="103" t="n">
        <v>1</v>
      </c>
      <c r="BT233" s="103" t="n">
        <v>6</v>
      </c>
      <c r="BU233" s="103" t="inlineStr">
        <is>
          <t>Mixed</t>
        </is>
      </c>
      <c r="BV233" s="104" t="n">
        <v>0.78</v>
      </c>
      <c r="BW233" s="104" t="n">
        <v>1.02</v>
      </c>
      <c r="BX233" s="104" t="n">
        <v>0.62</v>
      </c>
      <c r="BY233" s="104" t="n">
        <v>1.08</v>
      </c>
      <c r="BZ233" s="104" t="n">
        <v>1.29</v>
      </c>
      <c r="CA233" s="104" t="n">
        <v>0.72</v>
      </c>
      <c r="CB233" s="104" t="n">
        <v>1</v>
      </c>
      <c r="CC233" s="104" t="n">
        <v>-0.1</v>
      </c>
      <c r="CD233" s="103" t="n">
        <v>-3.13</v>
      </c>
      <c r="CE233" s="103" t="inlineStr">
        <is>
          <t>Lower Risk</t>
        </is>
      </c>
      <c r="CF233" s="104" t="n">
        <v>0.44</v>
      </c>
      <c r="CG233" s="104" t="n">
        <v>54.22</v>
      </c>
      <c r="CH233" s="103" t="n">
        <v>0</v>
      </c>
      <c r="CI233" s="103" t="inlineStr">
        <is>
          <t>CLEAR</t>
        </is>
      </c>
    </row>
    <row r="234" ht="17" customHeight="1">
      <c r="A234" s="107" t="inlineStr">
        <is>
          <t>FANG</t>
        </is>
      </c>
      <c r="B234" s="107" t="inlineStr">
        <is>
          <t>Diamondback Energy, Inc.</t>
        </is>
      </c>
      <c r="C234" s="108" t="n">
        <v>-2685000000</v>
      </c>
      <c r="D234" s="109" t="n">
        <v>0.08</v>
      </c>
      <c r="E234" s="109" t="n">
        <v>0.12</v>
      </c>
      <c r="F234" s="109" t="n">
        <v>0.11</v>
      </c>
      <c r="G234" s="109" t="n">
        <v>0.02</v>
      </c>
      <c r="H234" s="109" t="n">
        <v>0.05</v>
      </c>
      <c r="I234" s="109" t="n">
        <v>0.05</v>
      </c>
      <c r="J234" s="109" t="n">
        <v>0.02</v>
      </c>
      <c r="K234" s="109" t="n">
        <v>0.92</v>
      </c>
      <c r="L234" s="109" t="n">
        <v>0.97</v>
      </c>
      <c r="M234" s="109" t="n">
        <v>0.21</v>
      </c>
      <c r="N234" s="108" t="n">
        <v>0.16</v>
      </c>
      <c r="O234" s="108" t="n">
        <v>0.42</v>
      </c>
      <c r="P234" s="108" t="n">
        <v>0.44</v>
      </c>
      <c r="Q234" s="108" t="n">
        <v>0.4</v>
      </c>
      <c r="R234" s="108" t="n">
        <v>0.02</v>
      </c>
      <c r="S234" s="108" t="n">
        <v>0.4</v>
      </c>
      <c r="T234" s="108" t="n">
        <v>0.41</v>
      </c>
      <c r="U234" s="108" t="n">
        <v>0.37</v>
      </c>
      <c r="V234" s="108" t="n">
        <v>0.37</v>
      </c>
      <c r="W234" s="108" t="n">
        <v>5.26</v>
      </c>
      <c r="X234" s="111" t="inlineStr">
        <is>
          <t>N/A</t>
        </is>
      </c>
      <c r="Y234" s="109" t="n">
        <v>0</v>
      </c>
      <c r="Z234" s="109" t="n">
        <v>5.19</v>
      </c>
      <c r="AA234" s="109" t="n">
        <v>0.36</v>
      </c>
      <c r="AB234" s="109" t="n">
        <v>-0.5</v>
      </c>
      <c r="AC234" s="108" t="n">
        <v>-0.1</v>
      </c>
      <c r="AD234" s="108" t="n">
        <v>-0.1</v>
      </c>
      <c r="AE234" s="108" t="n">
        <v>-0.04</v>
      </c>
      <c r="AF234" s="108" t="n">
        <v>0.07000000000000001</v>
      </c>
      <c r="AG234" s="108" t="n">
        <v>0.02</v>
      </c>
      <c r="AH234" s="108" t="n">
        <v>1.32</v>
      </c>
      <c r="AI234" s="108" t="n">
        <v>0.21</v>
      </c>
      <c r="AJ234" s="108" t="n">
        <v>1.11</v>
      </c>
      <c r="AK234" s="112" t="inlineStr">
        <is>
          <t>Distress</t>
        </is>
      </c>
      <c r="AL234" s="108" t="n">
        <v>-0.04</v>
      </c>
      <c r="AM234" s="108" t="n">
        <v>0.07000000000000001</v>
      </c>
      <c r="AN234" s="108" t="n">
        <v>0.02</v>
      </c>
      <c r="AO234" s="108" t="n">
        <v>1.32</v>
      </c>
      <c r="AP234" s="108" t="n">
        <v>0.21</v>
      </c>
      <c r="AQ234" s="107" t="n">
        <v>0.85</v>
      </c>
      <c r="AR234" s="107" t="inlineStr">
        <is>
          <t>Distress</t>
        </is>
      </c>
      <c r="AS234" s="108" t="n">
        <v>-0.04</v>
      </c>
      <c r="AT234" s="108" t="n">
        <v>0.07000000000000001</v>
      </c>
      <c r="AU234" s="108" t="n">
        <v>0.02</v>
      </c>
      <c r="AV234" s="108" t="n">
        <v>1.32</v>
      </c>
      <c r="AW234" s="107" t="n">
        <v>1.47</v>
      </c>
      <c r="AX234" s="107" t="inlineStr">
        <is>
          <t>Grey</t>
        </is>
      </c>
      <c r="AY234" s="108" t="n">
        <v>-0.04</v>
      </c>
      <c r="AZ234" s="108" t="n">
        <v>0.02</v>
      </c>
      <c r="BA234" s="108" t="n">
        <v>0.41</v>
      </c>
      <c r="BB234" s="108" t="n">
        <v>0.21</v>
      </c>
      <c r="BC234" s="107" t="n">
        <v>0.37</v>
      </c>
      <c r="BD234" s="107" t="inlineStr">
        <is>
          <t>Distress</t>
        </is>
      </c>
      <c r="BE234" s="108" t="n">
        <v>0.02</v>
      </c>
      <c r="BF234" s="108" t="n">
        <v>0.4</v>
      </c>
      <c r="BG234" s="108" t="n">
        <v>0.42</v>
      </c>
      <c r="BH234" s="108" t="n">
        <v>-2.19</v>
      </c>
      <c r="BI234" s="107" t="n">
        <v>0.1</v>
      </c>
      <c r="BJ234" s="107" t="inlineStr">
        <is>
          <t>Healthy</t>
        </is>
      </c>
      <c r="BK234" s="107" t="n">
        <v>1</v>
      </c>
      <c r="BL234" s="107" t="n">
        <v>1</v>
      </c>
      <c r="BM234" s="107" t="n">
        <v>0</v>
      </c>
      <c r="BN234" s="107" t="n">
        <v>1</v>
      </c>
      <c r="BO234" s="107" t="n">
        <v>0</v>
      </c>
      <c r="BP234" s="107" t="n">
        <v>0</v>
      </c>
      <c r="BQ234" s="107" t="n">
        <v>1</v>
      </c>
      <c r="BR234" s="107" t="n">
        <v>0</v>
      </c>
      <c r="BS234" s="107" t="n">
        <v>1</v>
      </c>
      <c r="BT234" s="107" t="n">
        <v>5</v>
      </c>
      <c r="BU234" s="107" t="inlineStr">
        <is>
          <t>Mixed</t>
        </is>
      </c>
      <c r="BV234" s="108" t="n">
        <v>0.6</v>
      </c>
      <c r="BW234" s="108" t="n">
        <v>1.06</v>
      </c>
      <c r="BX234" s="108" t="n">
        <v>0.7</v>
      </c>
      <c r="BY234" s="108" t="n">
        <v>1.36</v>
      </c>
      <c r="BZ234" s="108" t="n">
        <v>0.62</v>
      </c>
      <c r="CA234" s="108" t="n">
        <v>1</v>
      </c>
      <c r="CB234" s="108" t="n">
        <v>0.97</v>
      </c>
      <c r="CC234" s="108" t="n">
        <v>-0.1</v>
      </c>
      <c r="CD234" s="107" t="n">
        <v>-3.12</v>
      </c>
      <c r="CE234" s="107" t="inlineStr">
        <is>
          <t>Lower Risk</t>
        </is>
      </c>
      <c r="CF234" s="108" t="n">
        <v>2.16</v>
      </c>
      <c r="CG234" s="108" t="n">
        <v>47.54</v>
      </c>
      <c r="CH234" s="107" t="n">
        <v>0</v>
      </c>
      <c r="CI234" s="107" t="inlineStr">
        <is>
          <t>CLEAR</t>
        </is>
      </c>
    </row>
    <row r="235" ht="17" customHeight="1">
      <c r="A235" s="103" t="inlineStr">
        <is>
          <t>LEN</t>
        </is>
      </c>
      <c r="B235" s="103" t="inlineStr">
        <is>
          <t>LENNAR CORP /NEW/</t>
        </is>
      </c>
      <c r="C235" s="113" t="inlineStr">
        <is>
          <t>N/A</t>
        </is>
      </c>
      <c r="D235" s="105" t="n">
        <v>0.1</v>
      </c>
      <c r="E235" s="105" t="n">
        <v>0.08</v>
      </c>
      <c r="F235" s="105" t="n">
        <v>0.06</v>
      </c>
      <c r="G235" s="105" t="n">
        <v>0.06</v>
      </c>
      <c r="H235" s="105" t="n">
        <v>0.1</v>
      </c>
      <c r="I235" s="105" t="n">
        <v>0.09</v>
      </c>
      <c r="J235" s="113" t="inlineStr">
        <is>
          <t>N/A</t>
        </is>
      </c>
      <c r="K235" s="105" t="n">
        <v>0.05</v>
      </c>
      <c r="L235" s="105" t="n">
        <v>0.04</v>
      </c>
      <c r="M235" s="105" t="n">
        <v>0.99</v>
      </c>
      <c r="N235" s="104" t="n">
        <v>0.86</v>
      </c>
      <c r="O235" s="113" t="inlineStr">
        <is>
          <t>N/A</t>
        </is>
      </c>
      <c r="P235" s="113" t="inlineStr">
        <is>
          <t>N/A</t>
        </is>
      </c>
      <c r="Q235" s="113" t="inlineStr">
        <is>
          <t>N/A</t>
        </is>
      </c>
      <c r="R235" s="113" t="inlineStr">
        <is>
          <t>N/A</t>
        </is>
      </c>
      <c r="S235" s="104" t="n">
        <v>0.36</v>
      </c>
      <c r="T235" s="104" t="n">
        <v>0.32</v>
      </c>
      <c r="U235" s="104" t="n">
        <v>0.27</v>
      </c>
      <c r="V235" s="104" t="n">
        <v>0.1</v>
      </c>
      <c r="W235" s="104" t="n">
        <v>0.1</v>
      </c>
      <c r="X235" s="105" t="n">
        <v>0</v>
      </c>
      <c r="Y235" s="113" t="inlineStr">
        <is>
          <t>N/A</t>
        </is>
      </c>
      <c r="Z235" s="105" t="n">
        <v>752.75</v>
      </c>
      <c r="AA235" s="105" t="n">
        <v>-0.04</v>
      </c>
      <c r="AB235" s="105" t="n">
        <v>-0.47</v>
      </c>
      <c r="AC235" s="104" t="n">
        <v>0.05</v>
      </c>
      <c r="AD235" s="104" t="n">
        <v>0.05</v>
      </c>
      <c r="AE235" s="113" t="inlineStr">
        <is>
          <t>N/A</t>
        </is>
      </c>
      <c r="AF235" s="104" t="n">
        <v>0.65</v>
      </c>
      <c r="AG235" s="104" t="n">
        <v>0.1</v>
      </c>
      <c r="AH235" s="104" t="n">
        <v>1.79</v>
      </c>
      <c r="AI235" s="104" t="n">
        <v>0.99</v>
      </c>
      <c r="AJ235" s="113" t="inlineStr">
        <is>
          <t>N/A</t>
        </is>
      </c>
      <c r="AK235" s="113" t="inlineStr">
        <is>
          <t>N/A</t>
        </is>
      </c>
      <c r="AL235" s="113" t="inlineStr">
        <is>
          <t>N/A</t>
        </is>
      </c>
      <c r="AM235" s="104" t="n">
        <v>0.65</v>
      </c>
      <c r="AN235" s="104" t="n">
        <v>0.1</v>
      </c>
      <c r="AO235" s="104" t="n">
        <v>1.79</v>
      </c>
      <c r="AP235" s="104" t="n">
        <v>0.99</v>
      </c>
      <c r="AQ235" s="113" t="inlineStr">
        <is>
          <t>N/A</t>
        </is>
      </c>
      <c r="AR235" s="113" t="inlineStr">
        <is>
          <t>N/A</t>
        </is>
      </c>
      <c r="AS235" s="113" t="inlineStr">
        <is>
          <t>N/A</t>
        </is>
      </c>
      <c r="AT235" s="104" t="n">
        <v>0.65</v>
      </c>
      <c r="AU235" s="104" t="n">
        <v>0.1</v>
      </c>
      <c r="AV235" s="104" t="n">
        <v>1.79</v>
      </c>
      <c r="AW235" s="113" t="inlineStr">
        <is>
          <t>N/A</t>
        </is>
      </c>
      <c r="AX235" s="113" t="inlineStr">
        <is>
          <t>N/A</t>
        </is>
      </c>
      <c r="AY235" s="113" t="inlineStr">
        <is>
          <t>N/A</t>
        </is>
      </c>
      <c r="AZ235" s="104" t="n">
        <v>0.1</v>
      </c>
      <c r="BA235" s="113" t="inlineStr">
        <is>
          <t>N/A</t>
        </is>
      </c>
      <c r="BB235" s="104" t="n">
        <v>0.99</v>
      </c>
      <c r="BC235" s="113" t="inlineStr">
        <is>
          <t>N/A</t>
        </is>
      </c>
      <c r="BD235" s="113" t="inlineStr">
        <is>
          <t>N/A</t>
        </is>
      </c>
      <c r="BE235" s="104" t="n">
        <v>0.06</v>
      </c>
      <c r="BF235" s="104" t="n">
        <v>0.36</v>
      </c>
      <c r="BG235" s="113" t="inlineStr">
        <is>
          <t>N/A</t>
        </is>
      </c>
      <c r="BH235" s="113" t="inlineStr">
        <is>
          <t>N/A</t>
        </is>
      </c>
      <c r="BI235" s="113" t="inlineStr">
        <is>
          <t>N/A</t>
        </is>
      </c>
      <c r="BJ235" s="113" t="inlineStr">
        <is>
          <t>N/A</t>
        </is>
      </c>
      <c r="BK235" s="103" t="n">
        <v>1</v>
      </c>
      <c r="BL235" s="103" t="n">
        <v>1</v>
      </c>
      <c r="BM235" s="103" t="n">
        <v>0</v>
      </c>
      <c r="BN235" s="103" t="n">
        <v>0</v>
      </c>
      <c r="BO235" s="103" t="n">
        <v>0</v>
      </c>
      <c r="BP235" s="103" t="n">
        <v>0</v>
      </c>
      <c r="BQ235" s="103" t="n">
        <v>0</v>
      </c>
      <c r="BR235" s="103" t="n">
        <v>1</v>
      </c>
      <c r="BS235" s="103" t="n">
        <v>1</v>
      </c>
      <c r="BT235" s="103" t="n">
        <v>4</v>
      </c>
      <c r="BU235" s="103" t="inlineStr">
        <is>
          <t>Mixed</t>
        </is>
      </c>
      <c r="BV235" s="104" t="n">
        <v>0.92</v>
      </c>
      <c r="BW235" s="104" t="n">
        <v>0.77</v>
      </c>
      <c r="BX235" s="104" t="n">
        <v>0.99</v>
      </c>
      <c r="BY235" s="104" t="n">
        <v>0.96</v>
      </c>
      <c r="BZ235" s="104" t="n">
        <v>0.98</v>
      </c>
      <c r="CA235" s="104" t="n">
        <v>1.12</v>
      </c>
      <c r="CB235" s="104" t="n">
        <v>1.11</v>
      </c>
      <c r="CC235" s="104" t="n">
        <v>0.05</v>
      </c>
      <c r="CD235" s="103" t="n">
        <v>-2.51</v>
      </c>
      <c r="CE235" s="103" t="inlineStr">
        <is>
          <t>Lower Risk</t>
        </is>
      </c>
      <c r="CF235" s="104" t="n">
        <v>0.6</v>
      </c>
      <c r="CG235" s="104" t="n">
        <v>40.91</v>
      </c>
      <c r="CH235" s="103" t="n">
        <v>20</v>
      </c>
      <c r="CI235" s="103" t="inlineStr">
        <is>
          <t>CLEAR</t>
        </is>
      </c>
    </row>
    <row r="236" ht="17" customHeight="1">
      <c r="A236" s="107" t="inlineStr">
        <is>
          <t>SPGI</t>
        </is>
      </c>
      <c r="B236" s="107" t="inlineStr">
        <is>
          <t>S&amp;P Global Inc.</t>
        </is>
      </c>
      <c r="C236" s="108" t="n">
        <v>-1341000000</v>
      </c>
      <c r="D236" s="109" t="n">
        <v>1.07</v>
      </c>
      <c r="E236" s="109" t="n">
        <v>1.03</v>
      </c>
      <c r="F236" s="109" t="n">
        <v>0.74</v>
      </c>
      <c r="G236" s="109" t="n">
        <v>0.07000000000000001</v>
      </c>
      <c r="H236" s="109" t="n">
        <v>0.06</v>
      </c>
      <c r="I236" s="109" t="n">
        <v>0.14</v>
      </c>
      <c r="J236" s="109" t="n">
        <v>0.12</v>
      </c>
      <c r="K236" s="109" t="n">
        <v>0.25</v>
      </c>
      <c r="L236" s="109" t="n">
        <v>-1.74</v>
      </c>
      <c r="M236" s="109" t="n">
        <v>0.1</v>
      </c>
      <c r="N236" s="108" t="n">
        <v>0.03</v>
      </c>
      <c r="O236" s="108" t="n">
        <v>0.82</v>
      </c>
      <c r="P236" s="108" t="n">
        <v>0.85</v>
      </c>
      <c r="Q236" s="108" t="n">
        <v>0.79</v>
      </c>
      <c r="R236" s="108" t="n">
        <v>0.23</v>
      </c>
      <c r="S236" s="108" t="n">
        <v>0.41</v>
      </c>
      <c r="T236" s="108" t="n">
        <v>0.38</v>
      </c>
      <c r="U236" s="108" t="n">
        <v>0.43</v>
      </c>
      <c r="V236" s="108" t="n">
        <v>0.38</v>
      </c>
      <c r="W236" s="108" t="n">
        <v>1.26</v>
      </c>
      <c r="X236" s="109" t="n">
        <v>0.92</v>
      </c>
      <c r="Y236" s="109" t="n">
        <v>0</v>
      </c>
      <c r="Z236" s="109" t="n">
        <v>19.4</v>
      </c>
      <c r="AA236" s="109" t="n">
        <v>2.82</v>
      </c>
      <c r="AB236" s="109" t="n">
        <v>0.16</v>
      </c>
      <c r="AC236" s="108" t="n">
        <v>-0.02</v>
      </c>
      <c r="AD236" s="108" t="n">
        <v>-0.02</v>
      </c>
      <c r="AE236" s="108" t="n">
        <v>-0.02</v>
      </c>
      <c r="AF236" s="108" t="n">
        <v>0.39</v>
      </c>
      <c r="AG236" s="108" t="n">
        <v>0.11</v>
      </c>
      <c r="AH236" s="108" t="n">
        <v>1.24</v>
      </c>
      <c r="AI236" s="108" t="n">
        <v>0.1</v>
      </c>
      <c r="AJ236" s="108" t="n">
        <v>1.71</v>
      </c>
      <c r="AK236" s="112" t="inlineStr">
        <is>
          <t>Distress</t>
        </is>
      </c>
      <c r="AL236" s="108" t="n">
        <v>-0.02</v>
      </c>
      <c r="AM236" s="108" t="n">
        <v>0.39</v>
      </c>
      <c r="AN236" s="108" t="n">
        <v>0.11</v>
      </c>
      <c r="AO236" s="108" t="n">
        <v>1.24</v>
      </c>
      <c r="AP236" s="108" t="n">
        <v>0.1</v>
      </c>
      <c r="AQ236" s="107" t="n">
        <v>1.26</v>
      </c>
      <c r="AR236" s="107" t="inlineStr">
        <is>
          <t>Grey</t>
        </is>
      </c>
      <c r="AS236" s="108" t="n">
        <v>-0.02</v>
      </c>
      <c r="AT236" s="108" t="n">
        <v>0.39</v>
      </c>
      <c r="AU236" s="108" t="n">
        <v>0.11</v>
      </c>
      <c r="AV236" s="108" t="n">
        <v>1.24</v>
      </c>
      <c r="AW236" s="107" t="n">
        <v>3.13</v>
      </c>
      <c r="AX236" s="107" t="inlineStr">
        <is>
          <t>Safe</t>
        </is>
      </c>
      <c r="AY236" s="108" t="n">
        <v>-0.02</v>
      </c>
      <c r="AZ236" s="108" t="n">
        <v>0.11</v>
      </c>
      <c r="BA236" s="108" t="n">
        <v>0.82</v>
      </c>
      <c r="BB236" s="108" t="n">
        <v>0.1</v>
      </c>
      <c r="BC236" s="107" t="n">
        <v>0.88</v>
      </c>
      <c r="BD236" s="107" t="inlineStr">
        <is>
          <t>Healthy</t>
        </is>
      </c>
      <c r="BE236" s="108" t="n">
        <v>0.07000000000000001</v>
      </c>
      <c r="BF236" s="108" t="n">
        <v>0.41</v>
      </c>
      <c r="BG236" s="108" t="n">
        <v>0.82</v>
      </c>
      <c r="BH236" s="108" t="n">
        <v>-2.34</v>
      </c>
      <c r="BI236" s="107" t="n">
        <v>0.09</v>
      </c>
      <c r="BJ236" s="107" t="inlineStr">
        <is>
          <t>Healthy</t>
        </is>
      </c>
      <c r="BK236" s="107" t="n">
        <v>1</v>
      </c>
      <c r="BL236" s="107" t="n">
        <v>1</v>
      </c>
      <c r="BM236" s="107" t="n">
        <v>1</v>
      </c>
      <c r="BN236" s="107" t="n">
        <v>1</v>
      </c>
      <c r="BO236" s="107" t="n">
        <v>0</v>
      </c>
      <c r="BP236" s="107" t="n">
        <v>0</v>
      </c>
      <c r="BQ236" s="107" t="n">
        <v>1</v>
      </c>
      <c r="BR236" s="107" t="n">
        <v>1</v>
      </c>
      <c r="BS236" s="107" t="n">
        <v>1</v>
      </c>
      <c r="BT236" s="107" t="n">
        <v>7</v>
      </c>
      <c r="BU236" s="107" t="inlineStr">
        <is>
          <t>Strong</t>
        </is>
      </c>
      <c r="BV236" s="108" t="n">
        <v>0.31</v>
      </c>
      <c r="BW236" s="108" t="n">
        <v>-7.05</v>
      </c>
      <c r="BX236" s="108" t="n">
        <v>0.99</v>
      </c>
      <c r="BY236" s="108" t="n">
        <v>3.82</v>
      </c>
      <c r="BZ236" s="108" t="n">
        <v>1.01</v>
      </c>
      <c r="CA236" s="108" t="n">
        <v>0.28</v>
      </c>
      <c r="CB236" s="108" t="n">
        <v>1.09</v>
      </c>
      <c r="CC236" s="108" t="n">
        <v>-0.02</v>
      </c>
      <c r="CD236" s="107" t="n">
        <v>-4.85</v>
      </c>
      <c r="CE236" s="107" t="inlineStr">
        <is>
          <t>Lower Risk</t>
        </is>
      </c>
      <c r="CF236" s="108" t="n">
        <v>1.53</v>
      </c>
      <c r="CG236" s="108" t="n">
        <v>56.68</v>
      </c>
      <c r="CH236" s="107" t="n">
        <v>0</v>
      </c>
      <c r="CI236" s="107" t="inlineStr">
        <is>
          <t>CLEAR</t>
        </is>
      </c>
    </row>
    <row r="237" ht="17" customHeight="1">
      <c r="A237" s="103" t="inlineStr">
        <is>
          <t>KNX</t>
        </is>
      </c>
      <c r="B237" s="103" t="inlineStr">
        <is>
          <t>Knight-Swift Transportation Holdings Inc.</t>
        </is>
      </c>
      <c r="C237" s="104" t="n">
        <v>-143683000</v>
      </c>
      <c r="D237" s="105" t="n">
        <v>0.03</v>
      </c>
      <c r="E237" s="105" t="n">
        <v>0.01</v>
      </c>
      <c r="F237" s="105" t="n">
        <v>0.01</v>
      </c>
      <c r="G237" s="105" t="n">
        <v>0.01</v>
      </c>
      <c r="H237" s="105" t="n">
        <v>0.01</v>
      </c>
      <c r="I237" s="105" t="n">
        <v>0.01</v>
      </c>
      <c r="J237" s="105" t="n">
        <v>0.02</v>
      </c>
      <c r="K237" s="105" t="n">
        <v>1</v>
      </c>
      <c r="L237" s="105" t="n">
        <v>0.4</v>
      </c>
      <c r="M237" s="105" t="n">
        <v>0.62</v>
      </c>
      <c r="N237" s="104" t="n">
        <v>0.58</v>
      </c>
      <c r="O237" s="104" t="n">
        <v>0.86</v>
      </c>
      <c r="P237" s="104" t="n">
        <v>0.85</v>
      </c>
      <c r="Q237" s="104" t="n">
        <v>0.86</v>
      </c>
      <c r="R237" s="104" t="n">
        <v>0.21</v>
      </c>
      <c r="S237" s="104" t="n">
        <v>0.41</v>
      </c>
      <c r="T237" s="104" t="n">
        <v>0.44</v>
      </c>
      <c r="U237" s="104" t="n">
        <v>0.3</v>
      </c>
      <c r="V237" s="104" t="n">
        <v>0.27</v>
      </c>
      <c r="W237" s="104" t="n">
        <v>19.21</v>
      </c>
      <c r="X237" s="105" t="n">
        <v>0.06</v>
      </c>
      <c r="Y237" s="105" t="n">
        <v>0</v>
      </c>
      <c r="Z237" s="105" t="n">
        <v>1.7</v>
      </c>
      <c r="AA237" s="105" t="n">
        <v>0.01</v>
      </c>
      <c r="AB237" s="105" t="n">
        <v>-0.44</v>
      </c>
      <c r="AC237" s="104" t="n">
        <v>-0.1</v>
      </c>
      <c r="AD237" s="104" t="n">
        <v>-0.1</v>
      </c>
      <c r="AE237" s="104" t="n">
        <v>-0.01</v>
      </c>
      <c r="AF237" s="104" t="n">
        <v>0.22</v>
      </c>
      <c r="AG237" s="104" t="n">
        <v>0.02</v>
      </c>
      <c r="AH237" s="104" t="n">
        <v>1.46</v>
      </c>
      <c r="AI237" s="104" t="n">
        <v>0.62</v>
      </c>
      <c r="AJ237" s="104" t="n">
        <v>1.85</v>
      </c>
      <c r="AK237" s="106" t="inlineStr">
        <is>
          <t>Grey</t>
        </is>
      </c>
      <c r="AL237" s="104" t="n">
        <v>-0.01</v>
      </c>
      <c r="AM237" s="104" t="n">
        <v>0.22</v>
      </c>
      <c r="AN237" s="104" t="n">
        <v>0.02</v>
      </c>
      <c r="AO237" s="104" t="n">
        <v>1.46</v>
      </c>
      <c r="AP237" s="104" t="n">
        <v>0.62</v>
      </c>
      <c r="AQ237" s="103" t="n">
        <v>1.47</v>
      </c>
      <c r="AR237" s="103" t="inlineStr">
        <is>
          <t>Grey</t>
        </is>
      </c>
      <c r="AS237" s="104" t="n">
        <v>-0.01</v>
      </c>
      <c r="AT237" s="104" t="n">
        <v>0.22</v>
      </c>
      <c r="AU237" s="104" t="n">
        <v>0.02</v>
      </c>
      <c r="AV237" s="104" t="n">
        <v>1.46</v>
      </c>
      <c r="AW237" s="103" t="n">
        <v>2.28</v>
      </c>
      <c r="AX237" s="103" t="inlineStr">
        <is>
          <t>Grey</t>
        </is>
      </c>
      <c r="AY237" s="104" t="n">
        <v>-0.01</v>
      </c>
      <c r="AZ237" s="104" t="n">
        <v>0.02</v>
      </c>
      <c r="BA237" s="104" t="n">
        <v>0.09</v>
      </c>
      <c r="BB237" s="104" t="n">
        <v>0.62</v>
      </c>
      <c r="BC237" s="103" t="n">
        <v>0.35</v>
      </c>
      <c r="BD237" s="103" t="inlineStr">
        <is>
          <t>Distress</t>
        </is>
      </c>
      <c r="BE237" s="104" t="n">
        <v>0.01</v>
      </c>
      <c r="BF237" s="104" t="n">
        <v>0.41</v>
      </c>
      <c r="BG237" s="104" t="n">
        <v>0.86</v>
      </c>
      <c r="BH237" s="104" t="n">
        <v>-2.05</v>
      </c>
      <c r="BI237" s="103" t="n">
        <v>0.11</v>
      </c>
      <c r="BJ237" s="103" t="inlineStr">
        <is>
          <t>Healthy</t>
        </is>
      </c>
      <c r="BK237" s="103" t="n">
        <v>1</v>
      </c>
      <c r="BL237" s="103" t="n">
        <v>1</v>
      </c>
      <c r="BM237" s="103" t="n">
        <v>0</v>
      </c>
      <c r="BN237" s="103" t="n">
        <v>1</v>
      </c>
      <c r="BO237" s="103" t="n">
        <v>0</v>
      </c>
      <c r="BP237" s="103" t="n">
        <v>1</v>
      </c>
      <c r="BQ237" s="103" t="n">
        <v>0</v>
      </c>
      <c r="BR237" s="103" t="n">
        <v>1</v>
      </c>
      <c r="BS237" s="103" t="n">
        <v>1</v>
      </c>
      <c r="BT237" s="103" t="n">
        <v>6</v>
      </c>
      <c r="BU237" s="103" t="inlineStr">
        <is>
          <t>Mixed</t>
        </is>
      </c>
      <c r="BV237" s="104" t="n">
        <v>0.38</v>
      </c>
      <c r="BW237" s="104" t="n">
        <v>0.4</v>
      </c>
      <c r="BX237" s="104" t="n">
        <v>1.03</v>
      </c>
      <c r="BY237" s="104" t="n">
        <v>1.01</v>
      </c>
      <c r="BZ237" s="104" t="n">
        <v>0.91</v>
      </c>
      <c r="CA237" s="113" t="inlineStr">
        <is>
          <t>N/A</t>
        </is>
      </c>
      <c r="CB237" s="104" t="n">
        <v>0.93</v>
      </c>
      <c r="CC237" s="104" t="n">
        <v>-0.1</v>
      </c>
      <c r="CD237" s="103" t="n">
        <v>-3.63</v>
      </c>
      <c r="CE237" s="103" t="inlineStr">
        <is>
          <t>Lower Risk</t>
        </is>
      </c>
      <c r="CF237" s="104" t="n">
        <v>2.14</v>
      </c>
      <c r="CG237" s="104" t="n">
        <v>53.53</v>
      </c>
      <c r="CH237" s="103" t="n">
        <v>20</v>
      </c>
      <c r="CI237" s="103" t="inlineStr">
        <is>
          <t>CLEAR</t>
        </is>
      </c>
    </row>
    <row r="238" ht="17" customHeight="1">
      <c r="A238" s="107" t="inlineStr">
        <is>
          <t>BA</t>
        </is>
      </c>
      <c r="B238" s="107" t="inlineStr">
        <is>
          <t>THE BOEING COMPANY</t>
        </is>
      </c>
      <c r="C238" s="108" t="n">
        <v>20344000000</v>
      </c>
      <c r="D238" s="109" t="n">
        <v>0.05</v>
      </c>
      <c r="E238" s="109" t="n">
        <v>0.03</v>
      </c>
      <c r="F238" s="109" t="n">
        <v>0.02</v>
      </c>
      <c r="G238" s="109" t="n">
        <v>0.01</v>
      </c>
      <c r="H238" s="109" t="n">
        <v>-0.08</v>
      </c>
      <c r="I238" s="109" t="n">
        <v>0.41</v>
      </c>
      <c r="J238" s="109" t="n">
        <v>0.07000000000000001</v>
      </c>
      <c r="K238" s="109" t="n">
        <v>0.05</v>
      </c>
      <c r="L238" s="109" t="n">
        <v>-0.03</v>
      </c>
      <c r="M238" s="109" t="n">
        <v>0.53</v>
      </c>
      <c r="N238" s="108" t="n">
        <v>0.43</v>
      </c>
      <c r="O238" s="108" t="n">
        <v>1.19</v>
      </c>
      <c r="P238" s="108" t="n">
        <v>1.32</v>
      </c>
      <c r="Q238" s="108" t="n">
        <v>0.52</v>
      </c>
      <c r="R238" s="108" t="n">
        <v>0.1</v>
      </c>
      <c r="S238" s="108" t="n">
        <v>0.97</v>
      </c>
      <c r="T238" s="108" t="n">
        <v>1.03</v>
      </c>
      <c r="U238" s="108" t="n">
        <v>11.42</v>
      </c>
      <c r="V238" s="108" t="n">
        <v>9.42</v>
      </c>
      <c r="W238" s="108" t="n">
        <v>0.48</v>
      </c>
      <c r="X238" s="109" t="n">
        <v>-0.02</v>
      </c>
      <c r="Y238" s="109" t="n">
        <v>0.04</v>
      </c>
      <c r="Z238" s="109" t="n">
        <v>1.63</v>
      </c>
      <c r="AA238" s="109" t="n">
        <v>0.34</v>
      </c>
      <c r="AB238" s="109" t="n">
        <v>-1.19</v>
      </c>
      <c r="AC238" s="108" t="n">
        <v>0.01</v>
      </c>
      <c r="AD238" s="108" t="n">
        <v>0.01</v>
      </c>
      <c r="AE238" s="108" t="n">
        <v>0.12</v>
      </c>
      <c r="AF238" s="108" t="n">
        <v>0.1</v>
      </c>
      <c r="AG238" s="108" t="n">
        <v>0.03</v>
      </c>
      <c r="AH238" s="108" t="n">
        <v>0.03</v>
      </c>
      <c r="AI238" s="108" t="n">
        <v>0.53</v>
      </c>
      <c r="AJ238" s="108" t="n">
        <v>0.92</v>
      </c>
      <c r="AK238" s="112" t="inlineStr">
        <is>
          <t>Distress</t>
        </is>
      </c>
      <c r="AL238" s="108" t="n">
        <v>0.12</v>
      </c>
      <c r="AM238" s="108" t="n">
        <v>0.1</v>
      </c>
      <c r="AN238" s="108" t="n">
        <v>0.03</v>
      </c>
      <c r="AO238" s="108" t="n">
        <v>0.03</v>
      </c>
      <c r="AP238" s="108" t="n">
        <v>0.53</v>
      </c>
      <c r="AQ238" s="107" t="n">
        <v>0.8</v>
      </c>
      <c r="AR238" s="107" t="inlineStr">
        <is>
          <t>Distress</t>
        </is>
      </c>
      <c r="AS238" s="108" t="n">
        <v>0.12</v>
      </c>
      <c r="AT238" s="108" t="n">
        <v>0.1</v>
      </c>
      <c r="AU238" s="108" t="n">
        <v>0.03</v>
      </c>
      <c r="AV238" s="108" t="n">
        <v>0.03</v>
      </c>
      <c r="AW238" s="107" t="n">
        <v>1.33</v>
      </c>
      <c r="AX238" s="107" t="inlineStr">
        <is>
          <t>Grey</t>
        </is>
      </c>
      <c r="AY238" s="108" t="n">
        <v>0.12</v>
      </c>
      <c r="AZ238" s="108" t="n">
        <v>0.03</v>
      </c>
      <c r="BA238" s="108" t="n">
        <v>0.02</v>
      </c>
      <c r="BB238" s="108" t="n">
        <v>0.53</v>
      </c>
      <c r="BC238" s="107" t="n">
        <v>0.43</v>
      </c>
      <c r="BD238" s="107" t="inlineStr">
        <is>
          <t>Distress</t>
        </is>
      </c>
      <c r="BE238" s="108" t="n">
        <v>0.01</v>
      </c>
      <c r="BF238" s="108" t="n">
        <v>0.97</v>
      </c>
      <c r="BG238" s="108" t="n">
        <v>1.19</v>
      </c>
      <c r="BH238" s="108" t="n">
        <v>1.1</v>
      </c>
      <c r="BI238" s="107" t="n">
        <v>0.75</v>
      </c>
      <c r="BJ238" s="107" t="inlineStr">
        <is>
          <t>Distress</t>
        </is>
      </c>
      <c r="BK238" s="107" t="n">
        <v>1</v>
      </c>
      <c r="BL238" s="107" t="n">
        <v>1</v>
      </c>
      <c r="BM238" s="107" t="n">
        <v>1</v>
      </c>
      <c r="BN238" s="107" t="n">
        <v>0</v>
      </c>
      <c r="BO238" s="107" t="n">
        <v>1</v>
      </c>
      <c r="BP238" s="107" t="n">
        <v>0</v>
      </c>
      <c r="BQ238" s="107" t="n">
        <v>1</v>
      </c>
      <c r="BR238" s="107" t="n">
        <v>1</v>
      </c>
      <c r="BS238" s="107" t="n">
        <v>1</v>
      </c>
      <c r="BT238" s="107" t="n">
        <v>7</v>
      </c>
      <c r="BU238" s="107" t="inlineStr">
        <is>
          <t>Strong</t>
        </is>
      </c>
      <c r="BV238" s="108" t="n">
        <v>0.83</v>
      </c>
      <c r="BW238" s="108" t="n">
        <v>-0.62</v>
      </c>
      <c r="BX238" s="108" t="n">
        <v>1.34</v>
      </c>
      <c r="BY238" s="108" t="n">
        <v>1.34</v>
      </c>
      <c r="BZ238" s="108" t="n">
        <v>1.21</v>
      </c>
      <c r="CA238" s="108" t="n">
        <v>0.9</v>
      </c>
      <c r="CB238" s="108" t="n">
        <v>0.9399999999999999</v>
      </c>
      <c r="CC238" s="108" t="n">
        <v>0.01</v>
      </c>
      <c r="CD238" s="107" t="n">
        <v>-2.96</v>
      </c>
      <c r="CE238" s="107" t="inlineStr">
        <is>
          <t>Lower Risk</t>
        </is>
      </c>
      <c r="CF238" s="108" t="n">
        <v>8.44</v>
      </c>
      <c r="CG238" s="108" t="n">
        <v>53.51</v>
      </c>
      <c r="CH238" s="107" t="n">
        <v>20</v>
      </c>
      <c r="CI238" s="107" t="inlineStr">
        <is>
          <t>CLEAR</t>
        </is>
      </c>
    </row>
    <row r="239" ht="17" customHeight="1">
      <c r="A239" s="103" t="inlineStr">
        <is>
          <t>RRX</t>
        </is>
      </c>
      <c r="B239" s="103" t="inlineStr">
        <is>
          <t>REGAL REXNORD CORP</t>
        </is>
      </c>
      <c r="C239" s="104" t="n">
        <v>1448000000</v>
      </c>
      <c r="D239" s="105" t="n">
        <v>0.21</v>
      </c>
      <c r="E239" s="105" t="n">
        <v>0.11</v>
      </c>
      <c r="F239" s="105" t="n">
        <v>0.09</v>
      </c>
      <c r="G239" s="105" t="n">
        <v>0.02</v>
      </c>
      <c r="H239" s="105" t="n">
        <v>0.01</v>
      </c>
      <c r="I239" s="105" t="n">
        <v>0.04</v>
      </c>
      <c r="J239" s="105" t="n">
        <v>0.05</v>
      </c>
      <c r="K239" s="105" t="n">
        <v>0.68</v>
      </c>
      <c r="L239" s="105" t="n">
        <v>0.71</v>
      </c>
      <c r="M239" s="105" t="n">
        <v>0.23</v>
      </c>
      <c r="N239" s="104" t="n">
        <v>0.22</v>
      </c>
      <c r="O239" s="104" t="n">
        <v>2.15</v>
      </c>
      <c r="P239" s="104" t="n">
        <v>2.26</v>
      </c>
      <c r="Q239" s="104" t="n">
        <v>1.1</v>
      </c>
      <c r="R239" s="104" t="n">
        <v>0.41</v>
      </c>
      <c r="S239" s="104" t="n">
        <v>1</v>
      </c>
      <c r="T239" s="104" t="n">
        <v>1</v>
      </c>
      <c r="U239" s="104" t="n">
        <v>0.71</v>
      </c>
      <c r="V239" s="104" t="n">
        <v>0.63</v>
      </c>
      <c r="W239" s="104" t="n">
        <v>3.54</v>
      </c>
      <c r="X239" s="105" t="n">
        <v>0.27</v>
      </c>
      <c r="Y239" s="105" t="n">
        <v>0.06</v>
      </c>
      <c r="Z239" s="105" t="n">
        <v>1.58</v>
      </c>
      <c r="AA239" s="105" t="n">
        <v>0.05</v>
      </c>
      <c r="AB239" s="105" t="n">
        <v>0.42</v>
      </c>
      <c r="AC239" s="104" t="n">
        <v>-0.05</v>
      </c>
      <c r="AD239" s="104" t="n">
        <v>-0.05</v>
      </c>
      <c r="AE239" s="104" t="n">
        <v>0.1</v>
      </c>
      <c r="AF239" s="104" t="n">
        <v>0.16</v>
      </c>
      <c r="AG239" s="104" t="n">
        <v>0.05</v>
      </c>
      <c r="AH239" s="104" t="n">
        <v>0.49</v>
      </c>
      <c r="AI239" s="104" t="n">
        <v>0.23</v>
      </c>
      <c r="AJ239" s="104" t="n">
        <v>1.04</v>
      </c>
      <c r="AK239" s="112" t="inlineStr">
        <is>
          <t>Distress</t>
        </is>
      </c>
      <c r="AL239" s="104" t="n">
        <v>0.1</v>
      </c>
      <c r="AM239" s="104" t="n">
        <v>0.16</v>
      </c>
      <c r="AN239" s="104" t="n">
        <v>0.05</v>
      </c>
      <c r="AO239" s="104" t="n">
        <v>0.49</v>
      </c>
      <c r="AP239" s="104" t="n">
        <v>0.23</v>
      </c>
      <c r="AQ239" s="103" t="n">
        <v>0.8</v>
      </c>
      <c r="AR239" s="103" t="inlineStr">
        <is>
          <t>Distress</t>
        </is>
      </c>
      <c r="AS239" s="104" t="n">
        <v>0.1</v>
      </c>
      <c r="AT239" s="104" t="n">
        <v>0.16</v>
      </c>
      <c r="AU239" s="104" t="n">
        <v>0.05</v>
      </c>
      <c r="AV239" s="104" t="n">
        <v>0.49</v>
      </c>
      <c r="AW239" s="103" t="n">
        <v>2.05</v>
      </c>
      <c r="AX239" s="103" t="inlineStr">
        <is>
          <t>Grey</t>
        </is>
      </c>
      <c r="AY239" s="104" t="n">
        <v>0.1</v>
      </c>
      <c r="AZ239" s="104" t="n">
        <v>0.05</v>
      </c>
      <c r="BA239" s="104" t="n">
        <v>0.28</v>
      </c>
      <c r="BB239" s="104" t="n">
        <v>0.23</v>
      </c>
      <c r="BC239" s="103" t="n">
        <v>0.53</v>
      </c>
      <c r="BD239" s="103" t="inlineStr">
        <is>
          <t>Distress</t>
        </is>
      </c>
      <c r="BE239" s="104" t="n">
        <v>0.02</v>
      </c>
      <c r="BF239" s="104" t="n">
        <v>1</v>
      </c>
      <c r="BG239" s="104" t="n">
        <v>2.15</v>
      </c>
      <c r="BH239" s="104" t="n">
        <v>1.26</v>
      </c>
      <c r="BI239" s="103" t="n">
        <v>0.78</v>
      </c>
      <c r="BJ239" s="103" t="inlineStr">
        <is>
          <t>Distress</t>
        </is>
      </c>
      <c r="BK239" s="103" t="n">
        <v>1</v>
      </c>
      <c r="BL239" s="103" t="n">
        <v>1</v>
      </c>
      <c r="BM239" s="103" t="n">
        <v>1</v>
      </c>
      <c r="BN239" s="103" t="n">
        <v>1</v>
      </c>
      <c r="BO239" s="103" t="n">
        <v>1</v>
      </c>
      <c r="BP239" s="103" t="n">
        <v>0</v>
      </c>
      <c r="BQ239" s="103" t="n">
        <v>0</v>
      </c>
      <c r="BR239" s="103" t="n">
        <v>0</v>
      </c>
      <c r="BS239" s="103" t="n">
        <v>1</v>
      </c>
      <c r="BT239" s="103" t="n">
        <v>6</v>
      </c>
      <c r="BU239" s="103" t="inlineStr">
        <is>
          <t>Mixed</t>
        </is>
      </c>
      <c r="BV239" s="104" t="n">
        <v>0.59</v>
      </c>
      <c r="BW239" s="104" t="n">
        <v>1.04</v>
      </c>
      <c r="BX239" s="104" t="n">
        <v>1</v>
      </c>
      <c r="BY239" s="104" t="n">
        <v>1.05</v>
      </c>
      <c r="BZ239" s="104" t="n">
        <v>0.76</v>
      </c>
      <c r="CA239" s="113" t="inlineStr">
        <is>
          <t>N/A</t>
        </is>
      </c>
      <c r="CB239" s="104" t="n">
        <v>1</v>
      </c>
      <c r="CC239" s="104" t="n">
        <v>-0.05</v>
      </c>
      <c r="CD239" s="103" t="n">
        <v>-2.88</v>
      </c>
      <c r="CE239" s="103" t="inlineStr">
        <is>
          <t>Lower Risk</t>
        </is>
      </c>
      <c r="CF239" s="104" t="n">
        <v>5.53</v>
      </c>
      <c r="CG239" s="104" t="n">
        <v>49.64</v>
      </c>
      <c r="CH239" s="103" t="n">
        <v>0</v>
      </c>
      <c r="CI239" s="103" t="inlineStr">
        <is>
          <t>CLEAR</t>
        </is>
      </c>
    </row>
    <row r="240" ht="17" customHeight="1">
      <c r="A240" s="107" t="inlineStr">
        <is>
          <t>VST</t>
        </is>
      </c>
      <c r="B240" s="107" t="inlineStr">
        <is>
          <t>Vistra Corp.</t>
        </is>
      </c>
      <c r="C240" s="108" t="n">
        <v>-2635000000</v>
      </c>
      <c r="D240" s="109" t="n">
        <v>0.11</v>
      </c>
      <c r="E240" s="109" t="n">
        <v>0.06</v>
      </c>
      <c r="F240" s="109" t="n">
        <v>0.05</v>
      </c>
      <c r="G240" s="109" t="n">
        <v>0.02</v>
      </c>
      <c r="H240" s="109" t="n">
        <v>0.07000000000000001</v>
      </c>
      <c r="I240" s="109" t="n">
        <v>0.19</v>
      </c>
      <c r="J240" s="109" t="n">
        <v>0.06</v>
      </c>
      <c r="K240" s="111" t="inlineStr">
        <is>
          <t>N/A</t>
        </is>
      </c>
      <c r="L240" s="111" t="inlineStr">
        <is>
          <t>N/A</t>
        </is>
      </c>
      <c r="M240" s="109" t="n">
        <v>0.43</v>
      </c>
      <c r="N240" s="108" t="n">
        <v>0.46</v>
      </c>
      <c r="O240" s="108" t="n">
        <v>0.78</v>
      </c>
      <c r="P240" s="108" t="n">
        <v>0.96</v>
      </c>
      <c r="Q240" s="108" t="n">
        <v>0.6899999999999999</v>
      </c>
      <c r="R240" s="108" t="n">
        <v>0.07000000000000001</v>
      </c>
      <c r="S240" s="108" t="n">
        <v>0.88</v>
      </c>
      <c r="T240" s="108" t="n">
        <v>0.85</v>
      </c>
      <c r="U240" s="108" t="n">
        <v>3.7</v>
      </c>
      <c r="V240" s="108" t="n">
        <v>3.54</v>
      </c>
      <c r="W240" s="108" t="n">
        <v>4.31</v>
      </c>
      <c r="X240" s="109" t="n">
        <v>0.07000000000000001</v>
      </c>
      <c r="Y240" s="109" t="n">
        <v>0</v>
      </c>
      <c r="Z240" s="109" t="n">
        <v>2.58</v>
      </c>
      <c r="AA240" s="109" t="n">
        <v>0.03</v>
      </c>
      <c r="AB240" s="109" t="n">
        <v>-0.64</v>
      </c>
      <c r="AC240" s="108" t="n">
        <v>-0.08</v>
      </c>
      <c r="AD240" s="108" t="n">
        <v>-0.08</v>
      </c>
      <c r="AE240" s="108" t="n">
        <v>-0.06</v>
      </c>
      <c r="AF240" s="108" t="n">
        <v>-0</v>
      </c>
      <c r="AG240" s="108" t="n">
        <v>0.05</v>
      </c>
      <c r="AH240" s="108" t="n">
        <v>0.14</v>
      </c>
      <c r="AI240" s="108" t="n">
        <v>0.43</v>
      </c>
      <c r="AJ240" s="108" t="n">
        <v>0.59</v>
      </c>
      <c r="AK240" s="112" t="inlineStr">
        <is>
          <t>Distress</t>
        </is>
      </c>
      <c r="AL240" s="108" t="n">
        <v>-0.06</v>
      </c>
      <c r="AM240" s="108" t="n">
        <v>-0</v>
      </c>
      <c r="AN240" s="108" t="n">
        <v>0.05</v>
      </c>
      <c r="AO240" s="108" t="n">
        <v>0.14</v>
      </c>
      <c r="AP240" s="108" t="n">
        <v>0.43</v>
      </c>
      <c r="AQ240" s="107" t="n">
        <v>0.58</v>
      </c>
      <c r="AR240" s="107" t="inlineStr">
        <is>
          <t>Distress</t>
        </is>
      </c>
      <c r="AS240" s="108" t="n">
        <v>-0.06</v>
      </c>
      <c r="AT240" s="108" t="n">
        <v>-0</v>
      </c>
      <c r="AU240" s="108" t="n">
        <v>0.05</v>
      </c>
      <c r="AV240" s="108" t="n">
        <v>0.14</v>
      </c>
      <c r="AW240" s="107" t="n">
        <v>0.04</v>
      </c>
      <c r="AX240" s="107" t="inlineStr">
        <is>
          <t>Distress</t>
        </is>
      </c>
      <c r="AY240" s="108" t="n">
        <v>-0.06</v>
      </c>
      <c r="AZ240" s="108" t="n">
        <v>0.05</v>
      </c>
      <c r="BA240" s="108" t="n">
        <v>0.1</v>
      </c>
      <c r="BB240" s="108" t="n">
        <v>0.43</v>
      </c>
      <c r="BC240" s="107" t="n">
        <v>0.31</v>
      </c>
      <c r="BD240" s="107" t="inlineStr">
        <is>
          <t>Distress</t>
        </is>
      </c>
      <c r="BE240" s="108" t="n">
        <v>0.02</v>
      </c>
      <c r="BF240" s="108" t="n">
        <v>0.88</v>
      </c>
      <c r="BG240" s="108" t="n">
        <v>0.78</v>
      </c>
      <c r="BH240" s="108" t="n">
        <v>0.55</v>
      </c>
      <c r="BI240" s="107" t="n">
        <v>0.63</v>
      </c>
      <c r="BJ240" s="107" t="inlineStr">
        <is>
          <t>Distress</t>
        </is>
      </c>
      <c r="BK240" s="107" t="n">
        <v>1</v>
      </c>
      <c r="BL240" s="107" t="n">
        <v>1</v>
      </c>
      <c r="BM240" s="107" t="n">
        <v>0</v>
      </c>
      <c r="BN240" s="107" t="n">
        <v>1</v>
      </c>
      <c r="BO240" s="107" t="n">
        <v>1</v>
      </c>
      <c r="BP240" s="107" t="n">
        <v>0</v>
      </c>
      <c r="BQ240" s="107" t="n">
        <v>1</v>
      </c>
      <c r="BR240" s="107" t="n">
        <v>0</v>
      </c>
      <c r="BS240" s="107" t="n">
        <v>0</v>
      </c>
      <c r="BT240" s="107" t="n">
        <v>5</v>
      </c>
      <c r="BU240" s="107" t="inlineStr">
        <is>
          <t>Mixed</t>
        </is>
      </c>
      <c r="BV240" s="108" t="n">
        <v>1.14</v>
      </c>
      <c r="BW240" s="111" t="inlineStr">
        <is>
          <t>N/A</t>
        </is>
      </c>
      <c r="BX240" s="108" t="n">
        <v>0.99</v>
      </c>
      <c r="BY240" s="108" t="n">
        <v>1.03</v>
      </c>
      <c r="BZ240" s="108" t="n">
        <v>1.01</v>
      </c>
      <c r="CA240" s="108" t="n">
        <v>1.04</v>
      </c>
      <c r="CB240" s="108" t="n">
        <v>1.03</v>
      </c>
      <c r="CC240" s="108" t="n">
        <v>-0.08</v>
      </c>
      <c r="CD240" s="111" t="inlineStr">
        <is>
          <t>N/A</t>
        </is>
      </c>
      <c r="CE240" s="111" t="inlineStr">
        <is>
          <t>N/A</t>
        </is>
      </c>
      <c r="CF240" s="108" t="n">
        <v>4.64</v>
      </c>
      <c r="CG240" s="108" t="n">
        <v>44.98</v>
      </c>
      <c r="CH240" s="107" t="n">
        <v>0</v>
      </c>
      <c r="CI240" s="107" t="inlineStr">
        <is>
          <t>CLEAR</t>
        </is>
      </c>
    </row>
    <row r="241" ht="17" customHeight="1">
      <c r="A241" s="103" t="inlineStr">
        <is>
          <t>TT</t>
        </is>
      </c>
      <c r="B241" s="103" t="inlineStr">
        <is>
          <t>TRANE TECHNOLOGIES PLC</t>
        </is>
      </c>
      <c r="C241" s="104" t="n">
        <v>1576300000</v>
      </c>
      <c r="D241" s="105" t="n">
        <v>0.27</v>
      </c>
      <c r="E241" s="105" t="n">
        <v>0.25</v>
      </c>
      <c r="F241" s="105" t="n">
        <v>0.2</v>
      </c>
      <c r="G241" s="105" t="n">
        <v>0.14</v>
      </c>
      <c r="H241" s="105" t="n">
        <v>0.13</v>
      </c>
      <c r="I241" s="105" t="n">
        <v>0.34</v>
      </c>
      <c r="J241" s="105" t="n">
        <v>0.26</v>
      </c>
      <c r="K241" s="105" t="n">
        <v>0.41</v>
      </c>
      <c r="L241" s="105" t="n">
        <v>0.18</v>
      </c>
      <c r="M241" s="105" t="n">
        <v>0.6899999999999999</v>
      </c>
      <c r="N241" s="104" t="n">
        <v>0.6899999999999999</v>
      </c>
      <c r="O241" s="104" t="n">
        <v>1.25</v>
      </c>
      <c r="P241" s="104" t="n">
        <v>1.21</v>
      </c>
      <c r="Q241" s="104" t="n">
        <v>0.92</v>
      </c>
      <c r="R241" s="104" t="n">
        <v>0.28</v>
      </c>
      <c r="S241" s="104" t="n">
        <v>0.6</v>
      </c>
      <c r="T241" s="104" t="n">
        <v>0.63</v>
      </c>
      <c r="U241" s="104" t="n">
        <v>0.63</v>
      </c>
      <c r="V241" s="104" t="n">
        <v>0.42</v>
      </c>
      <c r="W241" s="104" t="n">
        <v>1.09</v>
      </c>
      <c r="X241" s="105" t="n">
        <v>0.19</v>
      </c>
      <c r="Y241" s="105" t="n">
        <v>0.02</v>
      </c>
      <c r="Z241" s="105" t="n">
        <v>17.5</v>
      </c>
      <c r="AA241" s="105" t="n">
        <v>0.06</v>
      </c>
      <c r="AB241" s="105" t="n">
        <v>0.14</v>
      </c>
      <c r="AC241" s="104" t="n">
        <v>-0.01</v>
      </c>
      <c r="AD241" s="104" t="n">
        <v>-0.01</v>
      </c>
      <c r="AE241" s="104" t="n">
        <v>0.07000000000000001</v>
      </c>
      <c r="AF241" s="104" t="n">
        <v>0.49</v>
      </c>
      <c r="AG241" s="104" t="n">
        <v>0.19</v>
      </c>
      <c r="AH241" s="104" t="n">
        <v>0.67</v>
      </c>
      <c r="AI241" s="104" t="n">
        <v>0.6899999999999999</v>
      </c>
      <c r="AJ241" s="104" t="n">
        <v>2.47</v>
      </c>
      <c r="AK241" s="106" t="inlineStr">
        <is>
          <t>Grey</t>
        </is>
      </c>
      <c r="AL241" s="104" t="n">
        <v>0.07000000000000001</v>
      </c>
      <c r="AM241" s="104" t="n">
        <v>0.49</v>
      </c>
      <c r="AN241" s="104" t="n">
        <v>0.19</v>
      </c>
      <c r="AO241" s="104" t="n">
        <v>0.67</v>
      </c>
      <c r="AP241" s="104" t="n">
        <v>0.6899999999999999</v>
      </c>
      <c r="AQ241" s="103" t="n">
        <v>2.01</v>
      </c>
      <c r="AR241" s="103" t="inlineStr">
        <is>
          <t>Grey</t>
        </is>
      </c>
      <c r="AS241" s="104" t="n">
        <v>0.07000000000000001</v>
      </c>
      <c r="AT241" s="104" t="n">
        <v>0.49</v>
      </c>
      <c r="AU241" s="104" t="n">
        <v>0.19</v>
      </c>
      <c r="AV241" s="104" t="n">
        <v>0.67</v>
      </c>
      <c r="AW241" s="103" t="n">
        <v>4.02</v>
      </c>
      <c r="AX241" s="103" t="inlineStr">
        <is>
          <t>Safe</t>
        </is>
      </c>
      <c r="AY241" s="104" t="n">
        <v>0.07000000000000001</v>
      </c>
      <c r="AZ241" s="104" t="n">
        <v>0.19</v>
      </c>
      <c r="BA241" s="104" t="n">
        <v>0.59</v>
      </c>
      <c r="BB241" s="104" t="n">
        <v>0.6899999999999999</v>
      </c>
      <c r="BC241" s="103" t="n">
        <v>1.31</v>
      </c>
      <c r="BD241" s="103" t="inlineStr">
        <is>
          <t>Healthy</t>
        </is>
      </c>
      <c r="BE241" s="104" t="n">
        <v>0.14</v>
      </c>
      <c r="BF241" s="104" t="n">
        <v>0.6</v>
      </c>
      <c r="BG241" s="104" t="n">
        <v>1.25</v>
      </c>
      <c r="BH241" s="104" t="n">
        <v>-1.55</v>
      </c>
      <c r="BI241" s="103" t="n">
        <v>0.18</v>
      </c>
      <c r="BJ241" s="103" t="inlineStr">
        <is>
          <t>Healthy</t>
        </is>
      </c>
      <c r="BK241" s="103" t="n">
        <v>1</v>
      </c>
      <c r="BL241" s="103" t="n">
        <v>1</v>
      </c>
      <c r="BM241" s="103" t="n">
        <v>1</v>
      </c>
      <c r="BN241" s="103" t="n">
        <v>1</v>
      </c>
      <c r="BO241" s="103" t="n">
        <v>1</v>
      </c>
      <c r="BP241" s="103" t="n">
        <v>1</v>
      </c>
      <c r="BQ241" s="103" t="n">
        <v>1</v>
      </c>
      <c r="BR241" s="103" t="n">
        <v>1</v>
      </c>
      <c r="BS241" s="103" t="n">
        <v>0</v>
      </c>
      <c r="BT241" s="103" t="n">
        <v>8</v>
      </c>
      <c r="BU241" s="103" t="inlineStr">
        <is>
          <t>Strong</t>
        </is>
      </c>
      <c r="BV241" s="104" t="n">
        <v>0.99</v>
      </c>
      <c r="BW241" s="104" t="n">
        <v>0.44</v>
      </c>
      <c r="BX241" s="104" t="n">
        <v>0.99</v>
      </c>
      <c r="BY241" s="104" t="n">
        <v>1.06</v>
      </c>
      <c r="BZ241" s="104" t="n">
        <v>1.06</v>
      </c>
      <c r="CA241" s="104" t="n">
        <v>0.99</v>
      </c>
      <c r="CB241" s="104" t="n">
        <v>0.95</v>
      </c>
      <c r="CC241" s="104" t="n">
        <v>-0.01</v>
      </c>
      <c r="CD241" s="103" t="n">
        <v>-2.78</v>
      </c>
      <c r="CE241" s="103" t="inlineStr">
        <is>
          <t>Lower Risk</t>
        </is>
      </c>
      <c r="CF241" s="104" t="n">
        <v>0.82</v>
      </c>
      <c r="CG241" s="104" t="n">
        <v>62.06</v>
      </c>
      <c r="CH241" s="103" t="n">
        <v>0</v>
      </c>
      <c r="CI241" s="103" t="inlineStr">
        <is>
          <t>CLEAR</t>
        </is>
      </c>
    </row>
    <row r="242" ht="17" customHeight="1">
      <c r="A242" s="107" t="inlineStr">
        <is>
          <t>HOMB</t>
        </is>
      </c>
      <c r="B242" s="107" t="inlineStr">
        <is>
          <t>HOME BANCSHARES, INC.</t>
        </is>
      </c>
      <c r="C242" s="111" t="inlineStr">
        <is>
          <t>N/A</t>
        </is>
      </c>
      <c r="D242" s="111" t="inlineStr">
        <is>
          <t>N/A</t>
        </is>
      </c>
      <c r="E242" s="111" t="inlineStr">
        <is>
          <t>N/A</t>
        </is>
      </c>
      <c r="F242" s="111" t="inlineStr">
        <is>
          <t>N/A</t>
        </is>
      </c>
      <c r="G242" s="109" t="n">
        <v>0.02</v>
      </c>
      <c r="H242" s="109" t="n">
        <v>0.02</v>
      </c>
      <c r="I242" s="109" t="n">
        <v>0.11</v>
      </c>
      <c r="J242" s="111" t="inlineStr">
        <is>
          <t>N/A</t>
        </is>
      </c>
      <c r="K242" s="111" t="inlineStr">
        <is>
          <t>N/A</t>
        </is>
      </c>
      <c r="L242" s="111" t="inlineStr">
        <is>
          <t>N/A</t>
        </is>
      </c>
      <c r="M242" s="111" t="inlineStr">
        <is>
          <t>N/A</t>
        </is>
      </c>
      <c r="N242" s="111" t="inlineStr">
        <is>
          <t>N/A</t>
        </is>
      </c>
      <c r="O242" s="111" t="inlineStr">
        <is>
          <t>N/A</t>
        </is>
      </c>
      <c r="P242" s="111" t="inlineStr">
        <is>
          <t>N/A</t>
        </is>
      </c>
      <c r="Q242" s="111" t="inlineStr">
        <is>
          <t>N/A</t>
        </is>
      </c>
      <c r="R242" s="111" t="inlineStr">
        <is>
          <t>N/A</t>
        </is>
      </c>
      <c r="S242" s="108" t="n">
        <v>0.8100000000000001</v>
      </c>
      <c r="T242" s="108" t="n">
        <v>0.82</v>
      </c>
      <c r="U242" s="108" t="n">
        <v>0.3</v>
      </c>
      <c r="V242" s="108" t="n">
        <v>0.15</v>
      </c>
      <c r="W242" s="108" t="n">
        <v>0.84</v>
      </c>
      <c r="X242" s="111" t="inlineStr">
        <is>
          <t>N/A</t>
        </is>
      </c>
      <c r="Y242" s="109" t="n">
        <v>0</v>
      </c>
      <c r="Z242" s="109" t="n">
        <v>1.76</v>
      </c>
      <c r="AA242" s="111" t="inlineStr">
        <is>
          <t>N/A</t>
        </is>
      </c>
      <c r="AB242" s="109" t="n">
        <v>0.18</v>
      </c>
      <c r="AC242" s="108" t="n">
        <v>0</v>
      </c>
      <c r="AD242" s="108" t="n">
        <v>0</v>
      </c>
      <c r="AE242" s="111" t="inlineStr">
        <is>
          <t>N/A</t>
        </is>
      </c>
      <c r="AF242" s="108" t="n">
        <v>0.1</v>
      </c>
      <c r="AG242" s="108" t="n">
        <v>0.03</v>
      </c>
      <c r="AH242" s="108" t="n">
        <v>0.23</v>
      </c>
      <c r="AI242" s="111" t="inlineStr">
        <is>
          <t>N/A</t>
        </is>
      </c>
      <c r="AJ242" s="111" t="inlineStr">
        <is>
          <t>N/A</t>
        </is>
      </c>
      <c r="AK242" s="111" t="inlineStr">
        <is>
          <t>N/A</t>
        </is>
      </c>
      <c r="AL242" s="111" t="inlineStr">
        <is>
          <t>N/A</t>
        </is>
      </c>
      <c r="AM242" s="108" t="n">
        <v>0.1</v>
      </c>
      <c r="AN242" s="108" t="n">
        <v>0.03</v>
      </c>
      <c r="AO242" s="108" t="n">
        <v>0.23</v>
      </c>
      <c r="AP242" s="111" t="inlineStr">
        <is>
          <t>N/A</t>
        </is>
      </c>
      <c r="AQ242" s="111" t="inlineStr">
        <is>
          <t>N/A</t>
        </is>
      </c>
      <c r="AR242" s="111" t="inlineStr">
        <is>
          <t>N/A</t>
        </is>
      </c>
      <c r="AS242" s="111" t="inlineStr">
        <is>
          <t>N/A</t>
        </is>
      </c>
      <c r="AT242" s="108" t="n">
        <v>0.1</v>
      </c>
      <c r="AU242" s="108" t="n">
        <v>0.03</v>
      </c>
      <c r="AV242" s="108" t="n">
        <v>0.23</v>
      </c>
      <c r="AW242" s="111" t="inlineStr">
        <is>
          <t>N/A</t>
        </is>
      </c>
      <c r="AX242" s="111" t="inlineStr">
        <is>
          <t>N/A</t>
        </is>
      </c>
      <c r="AY242" s="111" t="inlineStr">
        <is>
          <t>N/A</t>
        </is>
      </c>
      <c r="AZ242" s="108" t="n">
        <v>0.03</v>
      </c>
      <c r="BA242" s="111" t="inlineStr">
        <is>
          <t>N/A</t>
        </is>
      </c>
      <c r="BB242" s="111" t="inlineStr">
        <is>
          <t>N/A</t>
        </is>
      </c>
      <c r="BC242" s="111" t="inlineStr">
        <is>
          <t>N/A</t>
        </is>
      </c>
      <c r="BD242" s="111" t="inlineStr">
        <is>
          <t>N/A</t>
        </is>
      </c>
      <c r="BE242" s="108" t="n">
        <v>0.02</v>
      </c>
      <c r="BF242" s="108" t="n">
        <v>0.8100000000000001</v>
      </c>
      <c r="BG242" s="111" t="inlineStr">
        <is>
          <t>N/A</t>
        </is>
      </c>
      <c r="BH242" s="111" t="inlineStr">
        <is>
          <t>N/A</t>
        </is>
      </c>
      <c r="BI242" s="111" t="inlineStr">
        <is>
          <t>N/A</t>
        </is>
      </c>
      <c r="BJ242" s="111" t="inlineStr">
        <is>
          <t>N/A</t>
        </is>
      </c>
      <c r="BK242" s="107" t="n">
        <v>1</v>
      </c>
      <c r="BL242" s="107" t="n">
        <v>1</v>
      </c>
      <c r="BM242" s="107" t="n">
        <v>1</v>
      </c>
      <c r="BN242" s="107" t="n">
        <v>0</v>
      </c>
      <c r="BO242" s="107" t="n">
        <v>1</v>
      </c>
      <c r="BP242" s="107" t="n">
        <v>0</v>
      </c>
      <c r="BQ242" s="107" t="n">
        <v>1</v>
      </c>
      <c r="BR242" s="107" t="n">
        <v>0</v>
      </c>
      <c r="BS242" s="107" t="n">
        <v>0</v>
      </c>
      <c r="BT242" s="107" t="n">
        <v>5</v>
      </c>
      <c r="BU242" s="107" t="inlineStr">
        <is>
          <t>Mixed</t>
        </is>
      </c>
      <c r="BV242" s="111" t="inlineStr">
        <is>
          <t>N/A</t>
        </is>
      </c>
      <c r="BW242" s="111" t="inlineStr">
        <is>
          <t>N/A</t>
        </is>
      </c>
      <c r="BX242" s="108" t="n">
        <v>1</v>
      </c>
      <c r="BY242" s="111" t="inlineStr">
        <is>
          <t>N/A</t>
        </is>
      </c>
      <c r="BZ242" s="108" t="n">
        <v>0.96</v>
      </c>
      <c r="CA242" s="111" t="inlineStr">
        <is>
          <t>N/A</t>
        </is>
      </c>
      <c r="CB242" s="108" t="n">
        <v>0.99</v>
      </c>
      <c r="CC242" s="108" t="n">
        <v>0</v>
      </c>
      <c r="CD242" s="111" t="inlineStr">
        <is>
          <t>N/A</t>
        </is>
      </c>
      <c r="CE242" s="111" t="inlineStr">
        <is>
          <t>N/A</t>
        </is>
      </c>
      <c r="CF242" s="108" t="n">
        <v>1</v>
      </c>
      <c r="CG242" s="108" t="n">
        <v>42.94</v>
      </c>
      <c r="CH242" s="107" t="n">
        <v>0</v>
      </c>
      <c r="CI242" s="107" t="inlineStr">
        <is>
          <t>CLEAR</t>
        </is>
      </c>
    </row>
    <row r="243" ht="17" customHeight="1">
      <c r="A243" s="103" t="inlineStr">
        <is>
          <t>BR</t>
        </is>
      </c>
      <c r="B243" s="103" t="inlineStr">
        <is>
          <t>BROADRIDGE FINANCIAL SOLUTIONS, INC.</t>
        </is>
      </c>
      <c r="C243" s="104" t="n">
        <v>-44100000</v>
      </c>
      <c r="D243" s="105" t="n">
        <v>0.29</v>
      </c>
      <c r="E243" s="105" t="n">
        <v>0.15</v>
      </c>
      <c r="F243" s="105" t="n">
        <v>0.2</v>
      </c>
      <c r="G243" s="105" t="n">
        <v>0.1</v>
      </c>
      <c r="H243" s="105" t="n">
        <v>0.08</v>
      </c>
      <c r="I243" s="105" t="n">
        <v>0.32</v>
      </c>
      <c r="J243" s="105" t="n">
        <v>0.18</v>
      </c>
      <c r="K243" s="105" t="n">
        <v>0.34</v>
      </c>
      <c r="L243" s="105" t="n">
        <v>0.38</v>
      </c>
      <c r="M243" s="105" t="n">
        <v>0.48</v>
      </c>
      <c r="N243" s="104" t="n">
        <v>0.16</v>
      </c>
      <c r="O243" s="104" t="n">
        <v>0.98</v>
      </c>
      <c r="P243" s="104" t="n">
        <v>1.08</v>
      </c>
      <c r="Q243" s="104" t="n">
        <v>0.96</v>
      </c>
      <c r="R243" s="104" t="n">
        <v>0.3</v>
      </c>
      <c r="S243" s="104" t="n">
        <v>0.6899999999999999</v>
      </c>
      <c r="T243" s="104" t="n">
        <v>0.74</v>
      </c>
      <c r="U243" s="104" t="n">
        <v>1.38</v>
      </c>
      <c r="V243" s="104" t="n">
        <v>1.16</v>
      </c>
      <c r="W243" s="104" t="n">
        <v>1.4</v>
      </c>
      <c r="X243" s="105" t="n">
        <v>0.27</v>
      </c>
      <c r="Y243" s="105" t="n">
        <v>0</v>
      </c>
      <c r="Z243" s="105" t="n">
        <v>8.75</v>
      </c>
      <c r="AA243" s="105" t="n">
        <v>2.08</v>
      </c>
      <c r="AB243" s="105" t="n">
        <v>0.2</v>
      </c>
      <c r="AC243" s="104" t="n">
        <v>-0.04</v>
      </c>
      <c r="AD243" s="104" t="n">
        <v>-0.04</v>
      </c>
      <c r="AE243" s="104" t="n">
        <v>-0.01</v>
      </c>
      <c r="AF243" s="104" t="n">
        <v>0.45</v>
      </c>
      <c r="AG243" s="104" t="n">
        <v>0.14</v>
      </c>
      <c r="AH243" s="104" t="n">
        <v>0.45</v>
      </c>
      <c r="AI243" s="104" t="n">
        <v>0.48</v>
      </c>
      <c r="AJ243" s="104" t="n">
        <v>1.84</v>
      </c>
      <c r="AK243" s="106" t="inlineStr">
        <is>
          <t>Grey</t>
        </is>
      </c>
      <c r="AL243" s="104" t="n">
        <v>-0.01</v>
      </c>
      <c r="AM243" s="104" t="n">
        <v>0.45</v>
      </c>
      <c r="AN243" s="104" t="n">
        <v>0.14</v>
      </c>
      <c r="AO243" s="104" t="n">
        <v>0.45</v>
      </c>
      <c r="AP243" s="104" t="n">
        <v>0.48</v>
      </c>
      <c r="AQ243" s="103" t="n">
        <v>1.48</v>
      </c>
      <c r="AR243" s="103" t="inlineStr">
        <is>
          <t>Grey</t>
        </is>
      </c>
      <c r="AS243" s="104" t="n">
        <v>-0.01</v>
      </c>
      <c r="AT243" s="104" t="n">
        <v>0.45</v>
      </c>
      <c r="AU243" s="104" t="n">
        <v>0.14</v>
      </c>
      <c r="AV243" s="104" t="n">
        <v>0.45</v>
      </c>
      <c r="AW243" s="103" t="n">
        <v>2.85</v>
      </c>
      <c r="AX243" s="103" t="inlineStr">
        <is>
          <t>Safe</t>
        </is>
      </c>
      <c r="AY243" s="104" t="n">
        <v>-0.01</v>
      </c>
      <c r="AZ243" s="104" t="n">
        <v>0.14</v>
      </c>
      <c r="BA243" s="104" t="n">
        <v>0.33</v>
      </c>
      <c r="BB243" s="104" t="n">
        <v>0.48</v>
      </c>
      <c r="BC243" s="103" t="n">
        <v>0.83</v>
      </c>
      <c r="BD243" s="103" t="inlineStr">
        <is>
          <t>Distress</t>
        </is>
      </c>
      <c r="BE243" s="104" t="n">
        <v>0.1</v>
      </c>
      <c r="BF243" s="104" t="n">
        <v>0.6899999999999999</v>
      </c>
      <c r="BG243" s="104" t="n">
        <v>0.98</v>
      </c>
      <c r="BH243" s="104" t="n">
        <v>-0.86</v>
      </c>
      <c r="BI243" s="103" t="n">
        <v>0.3</v>
      </c>
      <c r="BJ243" s="103" t="inlineStr">
        <is>
          <t>Healthy</t>
        </is>
      </c>
      <c r="BK243" s="103" t="n">
        <v>1</v>
      </c>
      <c r="BL243" s="103" t="n">
        <v>1</v>
      </c>
      <c r="BM243" s="103" t="n">
        <v>1</v>
      </c>
      <c r="BN243" s="103" t="n">
        <v>1</v>
      </c>
      <c r="BO243" s="103" t="n">
        <v>1</v>
      </c>
      <c r="BP243" s="103" t="n">
        <v>0</v>
      </c>
      <c r="BQ243" s="103" t="n">
        <v>0</v>
      </c>
      <c r="BR243" s="103" t="n">
        <v>0</v>
      </c>
      <c r="BS243" s="103" t="n">
        <v>1</v>
      </c>
      <c r="BT243" s="103" t="n">
        <v>6</v>
      </c>
      <c r="BU243" s="103" t="inlineStr">
        <is>
          <t>Mixed</t>
        </is>
      </c>
      <c r="BV243" s="104" t="n">
        <v>0.33</v>
      </c>
      <c r="BW243" s="104" t="n">
        <v>1.11</v>
      </c>
      <c r="BX243" s="104" t="n">
        <v>0.97</v>
      </c>
      <c r="BY243" s="104" t="n">
        <v>3.08</v>
      </c>
      <c r="BZ243" s="104" t="n">
        <v>0.95</v>
      </c>
      <c r="CA243" s="104" t="n">
        <v>0.34</v>
      </c>
      <c r="CB243" s="104" t="n">
        <v>0.9399999999999999</v>
      </c>
      <c r="CC243" s="104" t="n">
        <v>-0.04</v>
      </c>
      <c r="CD243" s="103" t="n">
        <v>-1.25</v>
      </c>
      <c r="CE243" s="103" t="inlineStr">
        <is>
          <t>Higher Risk</t>
        </is>
      </c>
      <c r="CF243" s="104" t="n">
        <v>2.52</v>
      </c>
      <c r="CG243" s="104" t="n">
        <v>47.03</v>
      </c>
      <c r="CH243" s="103" t="n">
        <v>20</v>
      </c>
      <c r="CI243" s="103" t="inlineStr">
        <is>
          <t>CLEAR</t>
        </is>
      </c>
    </row>
    <row r="244" ht="17" customHeight="1">
      <c r="A244" s="107" t="inlineStr">
        <is>
          <t>FNF</t>
        </is>
      </c>
      <c r="B244" s="107" t="inlineStr">
        <is>
          <t>FIDELITY NATIONAL FINANCIAL, INC.</t>
        </is>
      </c>
      <c r="C244" s="111" t="inlineStr">
        <is>
          <t>N/A</t>
        </is>
      </c>
      <c r="D244" s="111" t="inlineStr">
        <is>
          <t>N/A</t>
        </is>
      </c>
      <c r="E244" s="111" t="inlineStr">
        <is>
          <t>N/A</t>
        </is>
      </c>
      <c r="F244" s="109" t="n">
        <v>0.04</v>
      </c>
      <c r="G244" s="109" t="n">
        <v>0.01</v>
      </c>
      <c r="H244" s="109" t="n">
        <v>0.01</v>
      </c>
      <c r="I244" s="109" t="n">
        <v>0.08</v>
      </c>
      <c r="J244" s="111" t="inlineStr">
        <is>
          <t>N/A</t>
        </is>
      </c>
      <c r="K244" s="109" t="n">
        <v>0.1</v>
      </c>
      <c r="L244" s="109" t="n">
        <v>0.13</v>
      </c>
      <c r="M244" s="109" t="n">
        <v>0.13</v>
      </c>
      <c r="N244" s="108" t="n">
        <v>0.14</v>
      </c>
      <c r="O244" s="111" t="inlineStr">
        <is>
          <t>N/A</t>
        </is>
      </c>
      <c r="P244" s="111" t="inlineStr">
        <is>
          <t>N/A</t>
        </is>
      </c>
      <c r="Q244" s="111" t="inlineStr">
        <is>
          <t>N/A</t>
        </is>
      </c>
      <c r="R244" s="111" t="inlineStr">
        <is>
          <t>N/A</t>
        </is>
      </c>
      <c r="S244" s="108" t="n">
        <v>0.92</v>
      </c>
      <c r="T244" s="108" t="n">
        <v>0.91</v>
      </c>
      <c r="U244" s="108" t="n">
        <v>0.59</v>
      </c>
      <c r="V244" s="108" t="n">
        <v>0.24</v>
      </c>
      <c r="W244" s="108" t="n">
        <v>9.68</v>
      </c>
      <c r="X244" s="109" t="n">
        <v>0.39</v>
      </c>
      <c r="Y244" s="109" t="n">
        <v>0</v>
      </c>
      <c r="Z244" s="111" t="inlineStr">
        <is>
          <t>N/A</t>
        </is>
      </c>
      <c r="AA244" s="109" t="n">
        <v>0.06</v>
      </c>
      <c r="AB244" s="109" t="n">
        <v>-0.53</v>
      </c>
      <c r="AC244" s="108" t="n">
        <v>-0.05</v>
      </c>
      <c r="AD244" s="108" t="n">
        <v>-0.05</v>
      </c>
      <c r="AE244" s="111" t="inlineStr">
        <is>
          <t>N/A</t>
        </is>
      </c>
      <c r="AF244" s="108" t="n">
        <v>0.05</v>
      </c>
      <c r="AG244" s="111" t="inlineStr">
        <is>
          <t>N/A</t>
        </is>
      </c>
      <c r="AH244" s="108" t="n">
        <v>0.07000000000000001</v>
      </c>
      <c r="AI244" s="108" t="n">
        <v>0.13</v>
      </c>
      <c r="AJ244" s="111" t="inlineStr">
        <is>
          <t>N/A</t>
        </is>
      </c>
      <c r="AK244" s="111" t="inlineStr">
        <is>
          <t>N/A</t>
        </is>
      </c>
      <c r="AL244" s="111" t="inlineStr">
        <is>
          <t>N/A</t>
        </is>
      </c>
      <c r="AM244" s="108" t="n">
        <v>0.05</v>
      </c>
      <c r="AN244" s="111" t="inlineStr">
        <is>
          <t>N/A</t>
        </is>
      </c>
      <c r="AO244" s="108" t="n">
        <v>0.07000000000000001</v>
      </c>
      <c r="AP244" s="108" t="n">
        <v>0.13</v>
      </c>
      <c r="AQ244" s="111" t="inlineStr">
        <is>
          <t>N/A</t>
        </is>
      </c>
      <c r="AR244" s="111" t="inlineStr">
        <is>
          <t>N/A</t>
        </is>
      </c>
      <c r="AS244" s="111" t="inlineStr">
        <is>
          <t>N/A</t>
        </is>
      </c>
      <c r="AT244" s="108" t="n">
        <v>0.05</v>
      </c>
      <c r="AU244" s="111" t="inlineStr">
        <is>
          <t>N/A</t>
        </is>
      </c>
      <c r="AV244" s="108" t="n">
        <v>0.07000000000000001</v>
      </c>
      <c r="AW244" s="111" t="inlineStr">
        <is>
          <t>N/A</t>
        </is>
      </c>
      <c r="AX244" s="111" t="inlineStr">
        <is>
          <t>N/A</t>
        </is>
      </c>
      <c r="AY244" s="111" t="inlineStr">
        <is>
          <t>N/A</t>
        </is>
      </c>
      <c r="AZ244" s="111" t="inlineStr">
        <is>
          <t>N/A</t>
        </is>
      </c>
      <c r="BA244" s="111" t="inlineStr">
        <is>
          <t>N/A</t>
        </is>
      </c>
      <c r="BB244" s="108" t="n">
        <v>0.13</v>
      </c>
      <c r="BC244" s="111" t="inlineStr">
        <is>
          <t>N/A</t>
        </is>
      </c>
      <c r="BD244" s="111" t="inlineStr">
        <is>
          <t>N/A</t>
        </is>
      </c>
      <c r="BE244" s="108" t="n">
        <v>0.01</v>
      </c>
      <c r="BF244" s="108" t="n">
        <v>0.92</v>
      </c>
      <c r="BG244" s="111" t="inlineStr">
        <is>
          <t>N/A</t>
        </is>
      </c>
      <c r="BH244" s="111" t="inlineStr">
        <is>
          <t>N/A</t>
        </is>
      </c>
      <c r="BI244" s="111" t="inlineStr">
        <is>
          <t>N/A</t>
        </is>
      </c>
      <c r="BJ244" s="111" t="inlineStr">
        <is>
          <t>N/A</t>
        </is>
      </c>
      <c r="BK244" s="107" t="n">
        <v>1</v>
      </c>
      <c r="BL244" s="107" t="n">
        <v>1</v>
      </c>
      <c r="BM244" s="107" t="n">
        <v>0</v>
      </c>
      <c r="BN244" s="107" t="n">
        <v>1</v>
      </c>
      <c r="BO244" s="107" t="n">
        <v>1</v>
      </c>
      <c r="BP244" s="107" t="n">
        <v>0</v>
      </c>
      <c r="BQ244" s="107" t="n">
        <v>1</v>
      </c>
      <c r="BR244" s="107" t="n">
        <v>0</v>
      </c>
      <c r="BS244" s="107" t="n">
        <v>0</v>
      </c>
      <c r="BT244" s="107" t="n">
        <v>5</v>
      </c>
      <c r="BU244" s="107" t="inlineStr">
        <is>
          <t>Mixed</t>
        </is>
      </c>
      <c r="BV244" s="108" t="n">
        <v>0.98</v>
      </c>
      <c r="BW244" s="108" t="n">
        <v>1.32</v>
      </c>
      <c r="BX244" s="108" t="n">
        <v>1</v>
      </c>
      <c r="BY244" s="108" t="n">
        <v>1.06</v>
      </c>
      <c r="BZ244" s="108" t="n">
        <v>0.99</v>
      </c>
      <c r="CA244" s="111" t="inlineStr">
        <is>
          <t>N/A</t>
        </is>
      </c>
      <c r="CB244" s="108" t="n">
        <v>1.01</v>
      </c>
      <c r="CC244" s="108" t="n">
        <v>-0.05</v>
      </c>
      <c r="CD244" s="107" t="n">
        <v>-2.34</v>
      </c>
      <c r="CE244" s="107" t="inlineStr">
        <is>
          <t>Lower Risk</t>
        </is>
      </c>
      <c r="CF244" s="111" t="inlineStr">
        <is>
          <t>N/A</t>
        </is>
      </c>
      <c r="CG244" s="108" t="n">
        <v>42.94</v>
      </c>
      <c r="CH244" s="107" t="n">
        <v>0</v>
      </c>
      <c r="CI244" s="107" t="inlineStr">
        <is>
          <t>CLEAR</t>
        </is>
      </c>
    </row>
    <row r="245" ht="17" customHeight="1">
      <c r="A245" s="103" t="inlineStr">
        <is>
          <t>CTSH</t>
        </is>
      </c>
      <c r="B245" s="103" t="inlineStr">
        <is>
          <t>COGNIZANT TECHNOLOGY SOLUTIONS CORPORATION</t>
        </is>
      </c>
      <c r="C245" s="104" t="n">
        <v>4159000000</v>
      </c>
      <c r="D245" s="105" t="n">
        <v>0.16</v>
      </c>
      <c r="E245" s="105" t="n">
        <v>0.06</v>
      </c>
      <c r="F245" s="105" t="n">
        <v>0.11</v>
      </c>
      <c r="G245" s="105" t="n">
        <v>0.11</v>
      </c>
      <c r="H245" s="105" t="n">
        <v>0.11</v>
      </c>
      <c r="I245" s="105" t="n">
        <v>0.15</v>
      </c>
      <c r="J245" s="105" t="n">
        <v>0.2</v>
      </c>
      <c r="K245" s="113" t="inlineStr">
        <is>
          <t>N/A</t>
        </is>
      </c>
      <c r="L245" s="113" t="inlineStr">
        <is>
          <t>N/A</t>
        </is>
      </c>
      <c r="M245" s="105" t="n">
        <v>1.02</v>
      </c>
      <c r="N245" s="104" t="n">
        <v>0.99</v>
      </c>
      <c r="O245" s="104" t="n">
        <v>2.14</v>
      </c>
      <c r="P245" s="104" t="n">
        <v>2.09</v>
      </c>
      <c r="Q245" s="104" t="n">
        <v>2.14</v>
      </c>
      <c r="R245" s="104" t="n">
        <v>0.52</v>
      </c>
      <c r="S245" s="104" t="n">
        <v>0.27</v>
      </c>
      <c r="T245" s="104" t="n">
        <v>0.28</v>
      </c>
      <c r="U245" s="104" t="n">
        <v>0.05</v>
      </c>
      <c r="V245" s="104" t="n">
        <v>-0.07000000000000001</v>
      </c>
      <c r="W245" s="104" t="n">
        <v>1.29</v>
      </c>
      <c r="X245" s="105" t="n">
        <v>0.12</v>
      </c>
      <c r="Y245" s="113" t="inlineStr">
        <is>
          <t>N/A</t>
        </is>
      </c>
      <c r="Z245" s="105" t="n">
        <v>82.66</v>
      </c>
      <c r="AA245" s="105" t="n">
        <v>0.07000000000000001</v>
      </c>
      <c r="AB245" s="105" t="n">
        <v>-0</v>
      </c>
      <c r="AC245" s="104" t="n">
        <v>-0.03</v>
      </c>
      <c r="AD245" s="104" t="n">
        <v>-0.03</v>
      </c>
      <c r="AE245" s="104" t="n">
        <v>0.2</v>
      </c>
      <c r="AF245" s="104" t="n">
        <v>0.73</v>
      </c>
      <c r="AG245" s="104" t="n">
        <v>0.16</v>
      </c>
      <c r="AH245" s="104" t="n">
        <v>2.64</v>
      </c>
      <c r="AI245" s="104" t="n">
        <v>1.02</v>
      </c>
      <c r="AJ245" s="104" t="n">
        <v>4.41</v>
      </c>
      <c r="AK245" s="110" t="inlineStr">
        <is>
          <t>Safe</t>
        </is>
      </c>
      <c r="AL245" s="104" t="n">
        <v>0.2</v>
      </c>
      <c r="AM245" s="104" t="n">
        <v>0.73</v>
      </c>
      <c r="AN245" s="104" t="n">
        <v>0.16</v>
      </c>
      <c r="AO245" s="104" t="n">
        <v>2.64</v>
      </c>
      <c r="AP245" s="104" t="n">
        <v>1.02</v>
      </c>
      <c r="AQ245" s="103" t="n">
        <v>3.4</v>
      </c>
      <c r="AR245" s="103" t="inlineStr">
        <is>
          <t>Safe</t>
        </is>
      </c>
      <c r="AS245" s="104" t="n">
        <v>0.2</v>
      </c>
      <c r="AT245" s="104" t="n">
        <v>0.73</v>
      </c>
      <c r="AU245" s="104" t="n">
        <v>0.16</v>
      </c>
      <c r="AV245" s="104" t="n">
        <v>2.64</v>
      </c>
      <c r="AW245" s="103" t="n">
        <v>7.58</v>
      </c>
      <c r="AX245" s="103" t="inlineStr">
        <is>
          <t>Safe</t>
        </is>
      </c>
      <c r="AY245" s="104" t="n">
        <v>0.2</v>
      </c>
      <c r="AZ245" s="104" t="n">
        <v>0.16</v>
      </c>
      <c r="BA245" s="104" t="n">
        <v>0.32</v>
      </c>
      <c r="BB245" s="104" t="n">
        <v>1.02</v>
      </c>
      <c r="BC245" s="103" t="n">
        <v>1.33</v>
      </c>
      <c r="BD245" s="103" t="inlineStr">
        <is>
          <t>Healthy</t>
        </is>
      </c>
      <c r="BE245" s="104" t="n">
        <v>0.11</v>
      </c>
      <c r="BF245" s="104" t="n">
        <v>0.27</v>
      </c>
      <c r="BG245" s="104" t="n">
        <v>2.14</v>
      </c>
      <c r="BH245" s="104" t="n">
        <v>-3.26</v>
      </c>
      <c r="BI245" s="103" t="n">
        <v>0.04</v>
      </c>
      <c r="BJ245" s="103" t="inlineStr">
        <is>
          <t>Healthy</t>
        </is>
      </c>
      <c r="BK245" s="103" t="n">
        <v>1</v>
      </c>
      <c r="BL245" s="103" t="n">
        <v>1</v>
      </c>
      <c r="BM245" s="103" t="n">
        <v>0</v>
      </c>
      <c r="BN245" s="103" t="n">
        <v>1</v>
      </c>
      <c r="BO245" s="103" t="n">
        <v>1</v>
      </c>
      <c r="BP245" s="103" t="n">
        <v>1</v>
      </c>
      <c r="BQ245" s="103" t="n">
        <v>1</v>
      </c>
      <c r="BR245" s="103" t="n">
        <v>0</v>
      </c>
      <c r="BS245" s="103" t="n">
        <v>1</v>
      </c>
      <c r="BT245" s="103" t="n">
        <v>7</v>
      </c>
      <c r="BU245" s="103" t="inlineStr">
        <is>
          <t>Strong</t>
        </is>
      </c>
      <c r="BV245" s="104" t="n">
        <v>1.02</v>
      </c>
      <c r="BW245" s="113" t="inlineStr">
        <is>
          <t>N/A</t>
        </is>
      </c>
      <c r="BX245" s="104" t="n">
        <v>1</v>
      </c>
      <c r="BY245" s="104" t="n">
        <v>1.07</v>
      </c>
      <c r="BZ245" s="104" t="n">
        <v>0.9399999999999999</v>
      </c>
      <c r="CA245" s="104" t="n">
        <v>0.9399999999999999</v>
      </c>
      <c r="CB245" s="104" t="n">
        <v>0.99</v>
      </c>
      <c r="CC245" s="104" t="n">
        <v>-0.03</v>
      </c>
      <c r="CD245" s="113" t="inlineStr">
        <is>
          <t>N/A</t>
        </is>
      </c>
      <c r="CE245" s="113" t="inlineStr">
        <is>
          <t>N/A</t>
        </is>
      </c>
      <c r="CF245" s="104" t="n">
        <v>-0.28</v>
      </c>
      <c r="CG245" s="104" t="n">
        <v>64.98</v>
      </c>
      <c r="CH245" s="103" t="n">
        <v>0</v>
      </c>
      <c r="CI245" s="103" t="inlineStr">
        <is>
          <t>CLEAR</t>
        </is>
      </c>
    </row>
    <row r="246" ht="17" customHeight="1">
      <c r="A246" s="107" t="inlineStr">
        <is>
          <t>LULU</t>
        </is>
      </c>
      <c r="B246" s="107" t="inlineStr">
        <is>
          <t>lululemon athletica inc.</t>
        </is>
      </c>
      <c r="C246" s="108" t="n">
        <v>2375153000</v>
      </c>
      <c r="D246" s="109" t="n">
        <v>0.2</v>
      </c>
      <c r="E246" s="109" t="n">
        <v>0.2</v>
      </c>
      <c r="F246" s="109" t="n">
        <v>0.14</v>
      </c>
      <c r="G246" s="109" t="n">
        <v>0.19</v>
      </c>
      <c r="H246" s="109" t="n">
        <v>0.24</v>
      </c>
      <c r="I246" s="109" t="n">
        <v>0.32</v>
      </c>
      <c r="J246" s="109" t="n">
        <v>0.34</v>
      </c>
      <c r="K246" s="109" t="n">
        <v>0.57</v>
      </c>
      <c r="L246" s="109" t="n">
        <v>0.59</v>
      </c>
      <c r="M246" s="109" t="n">
        <v>1.31</v>
      </c>
      <c r="N246" s="108" t="n">
        <v>1.39</v>
      </c>
      <c r="O246" s="108" t="n">
        <v>2.26</v>
      </c>
      <c r="P246" s="108" t="n">
        <v>2.16</v>
      </c>
      <c r="Q246" s="108" t="n">
        <v>1.36</v>
      </c>
      <c r="R246" s="108" t="n">
        <v>0.47</v>
      </c>
      <c r="S246" s="108" t="n">
        <v>0.41</v>
      </c>
      <c r="T246" s="108" t="n">
        <v>0.43</v>
      </c>
      <c r="U246" s="108" t="n">
        <v>0</v>
      </c>
      <c r="V246" s="108" t="n">
        <v>-0.18</v>
      </c>
      <c r="W246" s="108" t="n">
        <v>1.01</v>
      </c>
      <c r="X246" s="109" t="n">
        <v>0.08</v>
      </c>
      <c r="Y246" s="111" t="inlineStr">
        <is>
          <t>N/A</t>
        </is>
      </c>
      <c r="Z246" s="109" t="n">
        <v>276326.88</v>
      </c>
      <c r="AA246" s="109" t="n">
        <v>0.05</v>
      </c>
      <c r="AB246" s="109" t="n">
        <v>-0.13</v>
      </c>
      <c r="AC246" s="108" t="n">
        <v>-0</v>
      </c>
      <c r="AD246" s="108" t="n">
        <v>-0</v>
      </c>
      <c r="AE246" s="108" t="n">
        <v>0.28</v>
      </c>
      <c r="AF246" s="108" t="n">
        <v>0.53</v>
      </c>
      <c r="AG246" s="108" t="n">
        <v>0.26</v>
      </c>
      <c r="AH246" s="108" t="n">
        <v>1.42</v>
      </c>
      <c r="AI246" s="108" t="n">
        <v>1.31</v>
      </c>
      <c r="AJ246" s="108" t="n">
        <v>4.11</v>
      </c>
      <c r="AK246" s="110" t="inlineStr">
        <is>
          <t>Safe</t>
        </is>
      </c>
      <c r="AL246" s="108" t="n">
        <v>0.28</v>
      </c>
      <c r="AM246" s="108" t="n">
        <v>0.53</v>
      </c>
      <c r="AN246" s="108" t="n">
        <v>0.26</v>
      </c>
      <c r="AO246" s="108" t="n">
        <v>1.42</v>
      </c>
      <c r="AP246" s="108" t="n">
        <v>1.31</v>
      </c>
      <c r="AQ246" s="107" t="n">
        <v>3.37</v>
      </c>
      <c r="AR246" s="107" t="inlineStr">
        <is>
          <t>Safe</t>
        </is>
      </c>
      <c r="AS246" s="108" t="n">
        <v>0.28</v>
      </c>
      <c r="AT246" s="108" t="n">
        <v>0.53</v>
      </c>
      <c r="AU246" s="108" t="n">
        <v>0.26</v>
      </c>
      <c r="AV246" s="108" t="n">
        <v>1.42</v>
      </c>
      <c r="AW246" s="107" t="n">
        <v>6.83</v>
      </c>
      <c r="AX246" s="107" t="inlineStr">
        <is>
          <t>Safe</t>
        </is>
      </c>
      <c r="AY246" s="108" t="n">
        <v>0.28</v>
      </c>
      <c r="AZ246" s="108" t="n">
        <v>0.26</v>
      </c>
      <c r="BA246" s="108" t="n">
        <v>1.19</v>
      </c>
      <c r="BB246" s="108" t="n">
        <v>1.31</v>
      </c>
      <c r="BC246" s="107" t="n">
        <v>2.4</v>
      </c>
      <c r="BD246" s="107" t="inlineStr">
        <is>
          <t>Healthy</t>
        </is>
      </c>
      <c r="BE246" s="108" t="n">
        <v>0.19</v>
      </c>
      <c r="BF246" s="108" t="n">
        <v>0.41</v>
      </c>
      <c r="BG246" s="108" t="n">
        <v>2.26</v>
      </c>
      <c r="BH246" s="108" t="n">
        <v>-2.82</v>
      </c>
      <c r="BI246" s="107" t="n">
        <v>0.06</v>
      </c>
      <c r="BJ246" s="107" t="inlineStr">
        <is>
          <t>Healthy</t>
        </is>
      </c>
      <c r="BK246" s="107" t="n">
        <v>1</v>
      </c>
      <c r="BL246" s="107" t="n">
        <v>1</v>
      </c>
      <c r="BM246" s="107" t="n">
        <v>0</v>
      </c>
      <c r="BN246" s="107" t="n">
        <v>1</v>
      </c>
      <c r="BO246" s="107" t="n">
        <v>0</v>
      </c>
      <c r="BP246" s="107" t="n">
        <v>1</v>
      </c>
      <c r="BQ246" s="107" t="n">
        <v>1</v>
      </c>
      <c r="BR246" s="107" t="n">
        <v>0</v>
      </c>
      <c r="BS246" s="107" t="n">
        <v>0</v>
      </c>
      <c r="BT246" s="107" t="n">
        <v>5</v>
      </c>
      <c r="BU246" s="107" t="inlineStr">
        <is>
          <t>Mixed</t>
        </is>
      </c>
      <c r="BV246" s="108" t="n">
        <v>1.51</v>
      </c>
      <c r="BW246" s="108" t="n">
        <v>1.05</v>
      </c>
      <c r="BX246" s="108" t="n">
        <v>1.05</v>
      </c>
      <c r="BY246" s="108" t="n">
        <v>1.05</v>
      </c>
      <c r="BZ246" s="108" t="n">
        <v>1.02</v>
      </c>
      <c r="CA246" s="108" t="n">
        <v>1.03</v>
      </c>
      <c r="CB246" s="108" t="n">
        <v>0.96</v>
      </c>
      <c r="CC246" s="108" t="n">
        <v>-0</v>
      </c>
      <c r="CD246" s="107" t="n">
        <v>-1.92</v>
      </c>
      <c r="CE246" s="107" t="inlineStr">
        <is>
          <t>Higher Risk</t>
        </is>
      </c>
      <c r="CF246" s="108" t="n">
        <v>-0.33</v>
      </c>
      <c r="CG246" s="108" t="n">
        <v>51.27</v>
      </c>
      <c r="CH246" s="107" t="n">
        <v>20</v>
      </c>
      <c r="CI246" s="107" t="inlineStr">
        <is>
          <t>CLEAR</t>
        </is>
      </c>
    </row>
    <row r="247" ht="17" customHeight="1">
      <c r="A247" s="103" t="inlineStr">
        <is>
          <t>KMI</t>
        </is>
      </c>
      <c r="B247" s="103" t="inlineStr">
        <is>
          <t>KINDER MORGAN, INC.</t>
        </is>
      </c>
      <c r="C247" s="104" t="n">
        <v>-1568000000</v>
      </c>
      <c r="D247" s="105" t="n">
        <v>0.28</v>
      </c>
      <c r="E247" s="105" t="n">
        <v>0.24</v>
      </c>
      <c r="F247" s="105" t="n">
        <v>0.18</v>
      </c>
      <c r="G247" s="105" t="n">
        <v>0.04</v>
      </c>
      <c r="H247" s="105" t="n">
        <v>0.04</v>
      </c>
      <c r="I247" s="105" t="n">
        <v>0.1</v>
      </c>
      <c r="J247" s="105" t="n">
        <v>0.07000000000000001</v>
      </c>
      <c r="K247" s="105" t="n">
        <v>0.45</v>
      </c>
      <c r="L247" s="105" t="n">
        <v>0.57</v>
      </c>
      <c r="M247" s="105" t="n">
        <v>0.23</v>
      </c>
      <c r="N247" s="104" t="n">
        <v>0.21</v>
      </c>
      <c r="O247" s="104" t="n">
        <v>0.64</v>
      </c>
      <c r="P247" s="104" t="n">
        <v>0.49</v>
      </c>
      <c r="Q247" s="104" t="n">
        <v>0.5</v>
      </c>
      <c r="R247" s="104" t="n">
        <v>0.01</v>
      </c>
      <c r="S247" s="104" t="n">
        <v>0.55</v>
      </c>
      <c r="T247" s="104" t="n">
        <v>0.55</v>
      </c>
      <c r="U247" s="104" t="n">
        <v>0.98</v>
      </c>
      <c r="V247" s="104" t="n">
        <v>0.98</v>
      </c>
      <c r="W247" s="104" t="n">
        <v>1.94</v>
      </c>
      <c r="X247" s="105" t="n">
        <v>0.17</v>
      </c>
      <c r="Y247" s="105" t="n">
        <v>0</v>
      </c>
      <c r="Z247" s="105" t="n">
        <v>2.61</v>
      </c>
      <c r="AA247" s="105" t="n">
        <v>0.12</v>
      </c>
      <c r="AB247" s="105" t="n">
        <v>0.17</v>
      </c>
      <c r="AC247" s="104" t="n">
        <v>-0.04</v>
      </c>
      <c r="AD247" s="104" t="n">
        <v>-0.04</v>
      </c>
      <c r="AE247" s="104" t="n">
        <v>-0.02</v>
      </c>
      <c r="AF247" s="104" t="n">
        <v>-0.14</v>
      </c>
      <c r="AG247" s="104" t="n">
        <v>0.06</v>
      </c>
      <c r="AH247" s="104" t="n">
        <v>0.77</v>
      </c>
      <c r="AI247" s="104" t="n">
        <v>0.23</v>
      </c>
      <c r="AJ247" s="104" t="n">
        <v>0.6899999999999999</v>
      </c>
      <c r="AK247" s="112" t="inlineStr">
        <is>
          <t>Distress</t>
        </is>
      </c>
      <c r="AL247" s="104" t="n">
        <v>-0.02</v>
      </c>
      <c r="AM247" s="104" t="n">
        <v>-0.14</v>
      </c>
      <c r="AN247" s="104" t="n">
        <v>0.06</v>
      </c>
      <c r="AO247" s="104" t="n">
        <v>0.77</v>
      </c>
      <c r="AP247" s="104" t="n">
        <v>0.23</v>
      </c>
      <c r="AQ247" s="103" t="n">
        <v>0.62</v>
      </c>
      <c r="AR247" s="103" t="inlineStr">
        <is>
          <t>Distress</t>
        </is>
      </c>
      <c r="AS247" s="104" t="n">
        <v>-0.02</v>
      </c>
      <c r="AT247" s="104" t="n">
        <v>-0.14</v>
      </c>
      <c r="AU247" s="104" t="n">
        <v>0.06</v>
      </c>
      <c r="AV247" s="104" t="n">
        <v>0.77</v>
      </c>
      <c r="AW247" s="103" t="n">
        <v>0.65</v>
      </c>
      <c r="AX247" s="103" t="inlineStr">
        <is>
          <t>Distress</t>
        </is>
      </c>
      <c r="AY247" s="104" t="n">
        <v>-0.02</v>
      </c>
      <c r="AZ247" s="104" t="n">
        <v>0.06</v>
      </c>
      <c r="BA247" s="104" t="n">
        <v>0.92</v>
      </c>
      <c r="BB247" s="104" t="n">
        <v>0.23</v>
      </c>
      <c r="BC247" s="103" t="n">
        <v>0.88</v>
      </c>
      <c r="BD247" s="103" t="inlineStr">
        <is>
          <t>Healthy</t>
        </is>
      </c>
      <c r="BE247" s="104" t="n">
        <v>0.04</v>
      </c>
      <c r="BF247" s="104" t="n">
        <v>0.55</v>
      </c>
      <c r="BG247" s="104" t="n">
        <v>0.64</v>
      </c>
      <c r="BH247" s="104" t="n">
        <v>-1.38</v>
      </c>
      <c r="BI247" s="103" t="n">
        <v>0.2</v>
      </c>
      <c r="BJ247" s="103" t="inlineStr">
        <is>
          <t>Healthy</t>
        </is>
      </c>
      <c r="BK247" s="103" t="n">
        <v>1</v>
      </c>
      <c r="BL247" s="103" t="n">
        <v>1</v>
      </c>
      <c r="BM247" s="103" t="n">
        <v>1</v>
      </c>
      <c r="BN247" s="103" t="n">
        <v>1</v>
      </c>
      <c r="BO247" s="103" t="n">
        <v>0</v>
      </c>
      <c r="BP247" s="103" t="n">
        <v>1</v>
      </c>
      <c r="BQ247" s="103" t="n">
        <v>0</v>
      </c>
      <c r="BR247" s="103" t="n">
        <v>0</v>
      </c>
      <c r="BS247" s="103" t="n">
        <v>1</v>
      </c>
      <c r="BT247" s="103" t="n">
        <v>6</v>
      </c>
      <c r="BU247" s="103" t="inlineStr">
        <is>
          <t>Mixed</t>
        </is>
      </c>
      <c r="BV247" s="104" t="n">
        <v>0.82</v>
      </c>
      <c r="BW247" s="104" t="n">
        <v>1.26</v>
      </c>
      <c r="BX247" s="104" t="n">
        <v>0.97</v>
      </c>
      <c r="BY247" s="104" t="n">
        <v>1.12</v>
      </c>
      <c r="BZ247" s="104" t="n">
        <v>0.99</v>
      </c>
      <c r="CA247" s="104" t="n">
        <v>0.93</v>
      </c>
      <c r="CB247" s="104" t="n">
        <v>1</v>
      </c>
      <c r="CC247" s="104" t="n">
        <v>-0.04</v>
      </c>
      <c r="CD247" s="103" t="n">
        <v>-2.59</v>
      </c>
      <c r="CE247" s="103" t="inlineStr">
        <is>
          <t>Lower Risk</t>
        </is>
      </c>
      <c r="CF247" s="104" t="n">
        <v>4.25</v>
      </c>
      <c r="CG247" s="104" t="n">
        <v>49.7</v>
      </c>
      <c r="CH247" s="103" t="n">
        <v>0</v>
      </c>
      <c r="CI247" s="103" t="inlineStr">
        <is>
          <t>CLEAR</t>
        </is>
      </c>
    </row>
    <row r="248" ht="17" customHeight="1">
      <c r="A248" s="107" t="inlineStr">
        <is>
          <t>PPG</t>
        </is>
      </c>
      <c r="B248" s="107" t="inlineStr">
        <is>
          <t>PPG INDUSTRIES INC</t>
        </is>
      </c>
      <c r="C248" s="108" t="n">
        <v>3059000000</v>
      </c>
      <c r="D248" s="109" t="n">
        <v>0.24</v>
      </c>
      <c r="E248" s="109" t="n">
        <v>0.18</v>
      </c>
      <c r="F248" s="109" t="n">
        <v>0.14</v>
      </c>
      <c r="G248" s="109" t="n">
        <v>0.07000000000000001</v>
      </c>
      <c r="H248" s="109" t="n">
        <v>0.06</v>
      </c>
      <c r="I248" s="109" t="n">
        <v>0.2</v>
      </c>
      <c r="J248" s="109" t="n">
        <v>0.16</v>
      </c>
      <c r="K248" s="109" t="n">
        <v>0.16</v>
      </c>
      <c r="L248" s="109" t="n">
        <v>-1.45</v>
      </c>
      <c r="M248" s="109" t="n">
        <v>0.5</v>
      </c>
      <c r="N248" s="108" t="n">
        <v>0.19</v>
      </c>
      <c r="O248" s="108" t="n">
        <v>1.62</v>
      </c>
      <c r="P248" s="108" t="n">
        <v>1.31</v>
      </c>
      <c r="Q248" s="108" t="n">
        <v>1.22</v>
      </c>
      <c r="R248" s="108" t="n">
        <v>0.44</v>
      </c>
      <c r="S248" s="108" t="n">
        <v>0.63</v>
      </c>
      <c r="T248" s="108" t="n">
        <v>0.64</v>
      </c>
      <c r="U248" s="108" t="n">
        <v>0.92</v>
      </c>
      <c r="V248" s="108" t="n">
        <v>0.65</v>
      </c>
      <c r="W248" s="108" t="n">
        <v>1.23</v>
      </c>
      <c r="X248" s="109" t="n">
        <v>0.11</v>
      </c>
      <c r="Y248" s="109" t="n">
        <v>0.04</v>
      </c>
      <c r="Z248" s="109" t="n">
        <v>10.83</v>
      </c>
      <c r="AA248" s="109" t="n">
        <v>1.93</v>
      </c>
      <c r="AB248" s="109" t="n">
        <v>0.41</v>
      </c>
      <c r="AC248" s="108" t="n">
        <v>-0.02</v>
      </c>
      <c r="AD248" s="108" t="n">
        <v>-0.02</v>
      </c>
      <c r="AE248" s="108" t="n">
        <v>0.14</v>
      </c>
      <c r="AF248" s="108" t="n">
        <v>1.04</v>
      </c>
      <c r="AG248" s="108" t="n">
        <v>0.12</v>
      </c>
      <c r="AH248" s="108" t="n">
        <v>0.57</v>
      </c>
      <c r="AI248" s="108" t="n">
        <v>0.5</v>
      </c>
      <c r="AJ248" s="108" t="n">
        <v>2.86</v>
      </c>
      <c r="AK248" s="106" t="inlineStr">
        <is>
          <t>Grey</t>
        </is>
      </c>
      <c r="AL248" s="108" t="n">
        <v>0.14</v>
      </c>
      <c r="AM248" s="108" t="n">
        <v>1.04</v>
      </c>
      <c r="AN248" s="108" t="n">
        <v>0.12</v>
      </c>
      <c r="AO248" s="108" t="n">
        <v>0.57</v>
      </c>
      <c r="AP248" s="108" t="n">
        <v>0.5</v>
      </c>
      <c r="AQ248" s="107" t="n">
        <v>2.09</v>
      </c>
      <c r="AR248" s="107" t="inlineStr">
        <is>
          <t>Grey</t>
        </is>
      </c>
      <c r="AS248" s="108" t="n">
        <v>0.14</v>
      </c>
      <c r="AT248" s="108" t="n">
        <v>1.04</v>
      </c>
      <c r="AU248" s="108" t="n">
        <v>0.12</v>
      </c>
      <c r="AV248" s="108" t="n">
        <v>0.57</v>
      </c>
      <c r="AW248" s="107" t="n">
        <v>5.7</v>
      </c>
      <c r="AX248" s="107" t="inlineStr">
        <is>
          <t>Safe</t>
        </is>
      </c>
      <c r="AY248" s="108" t="n">
        <v>0.14</v>
      </c>
      <c r="AZ248" s="108" t="n">
        <v>0.12</v>
      </c>
      <c r="BA248" s="108" t="n">
        <v>0.42</v>
      </c>
      <c r="BB248" s="108" t="n">
        <v>0.5</v>
      </c>
      <c r="BC248" s="107" t="n">
        <v>0.99</v>
      </c>
      <c r="BD248" s="107" t="inlineStr">
        <is>
          <t>Healthy</t>
        </is>
      </c>
      <c r="BE248" s="108" t="n">
        <v>0.07000000000000001</v>
      </c>
      <c r="BF248" s="108" t="n">
        <v>0.63</v>
      </c>
      <c r="BG248" s="108" t="n">
        <v>1.62</v>
      </c>
      <c r="BH248" s="108" t="n">
        <v>-1.05</v>
      </c>
      <c r="BI248" s="107" t="n">
        <v>0.26</v>
      </c>
      <c r="BJ248" s="107" t="inlineStr">
        <is>
          <t>Healthy</t>
        </is>
      </c>
      <c r="BK248" s="107" t="n">
        <v>1</v>
      </c>
      <c r="BL248" s="107" t="n">
        <v>1</v>
      </c>
      <c r="BM248" s="107" t="n">
        <v>1</v>
      </c>
      <c r="BN248" s="107" t="n">
        <v>1</v>
      </c>
      <c r="BO248" s="107" t="n">
        <v>0</v>
      </c>
      <c r="BP248" s="107" t="n">
        <v>1</v>
      </c>
      <c r="BQ248" s="107" t="n">
        <v>1</v>
      </c>
      <c r="BR248" s="107" t="n">
        <v>1</v>
      </c>
      <c r="BS248" s="107" t="n">
        <v>1</v>
      </c>
      <c r="BT248" s="107" t="n">
        <v>8</v>
      </c>
      <c r="BU248" s="107" t="inlineStr">
        <is>
          <t>Strong</t>
        </is>
      </c>
      <c r="BV248" s="108" t="n">
        <v>0.38</v>
      </c>
      <c r="BW248" s="108" t="n">
        <v>-9.17</v>
      </c>
      <c r="BX248" s="108" t="n">
        <v>0.95</v>
      </c>
      <c r="BY248" s="108" t="n">
        <v>2.93</v>
      </c>
      <c r="BZ248" s="108" t="n">
        <v>1.07</v>
      </c>
      <c r="CA248" s="108" t="n">
        <v>0.35</v>
      </c>
      <c r="CB248" s="108" t="n">
        <v>0.99</v>
      </c>
      <c r="CC248" s="108" t="n">
        <v>-0.02</v>
      </c>
      <c r="CD248" s="107" t="n">
        <v>-6.67</v>
      </c>
      <c r="CE248" s="107" t="inlineStr">
        <is>
          <t>Lower Risk</t>
        </is>
      </c>
      <c r="CF248" s="108" t="n">
        <v>1.6</v>
      </c>
      <c r="CG248" s="108" t="n">
        <v>62.13</v>
      </c>
      <c r="CH248" s="107" t="n">
        <v>0</v>
      </c>
      <c r="CI248" s="107" t="inlineStr">
        <is>
          <t>CLEAR</t>
        </is>
      </c>
    </row>
    <row r="249" ht="17" customHeight="1">
      <c r="A249" s="103" t="inlineStr">
        <is>
          <t>OGE</t>
        </is>
      </c>
      <c r="B249" s="103" t="inlineStr">
        <is>
          <t>OGE ENERGY CORP.</t>
        </is>
      </c>
      <c r="C249" s="104" t="n">
        <v>-236200000</v>
      </c>
      <c r="D249" s="105" t="n">
        <v>0.25</v>
      </c>
      <c r="E249" s="105" t="n">
        <v>0.17</v>
      </c>
      <c r="F249" s="105" t="n">
        <v>0.14</v>
      </c>
      <c r="G249" s="105" t="n">
        <v>0.03</v>
      </c>
      <c r="H249" s="105" t="n">
        <v>0.03</v>
      </c>
      <c r="I249" s="105" t="n">
        <v>0.09</v>
      </c>
      <c r="J249" s="105" t="n">
        <v>0.06</v>
      </c>
      <c r="K249" s="105" t="n">
        <v>0.54</v>
      </c>
      <c r="L249" s="105" t="n">
        <v>0.55</v>
      </c>
      <c r="M249" s="105" t="n">
        <v>0.23</v>
      </c>
      <c r="N249" s="104" t="n">
        <v>0.22</v>
      </c>
      <c r="O249" s="104" t="n">
        <v>0.78</v>
      </c>
      <c r="P249" s="104" t="n">
        <v>0.73</v>
      </c>
      <c r="Q249" s="104" t="n">
        <v>0.68</v>
      </c>
      <c r="R249" s="104" t="n">
        <v>0</v>
      </c>
      <c r="S249" s="104" t="n">
        <v>0.65</v>
      </c>
      <c r="T249" s="104" t="n">
        <v>0.66</v>
      </c>
      <c r="U249" s="104" t="n">
        <v>1.14</v>
      </c>
      <c r="V249" s="104" t="n">
        <v>1.14</v>
      </c>
      <c r="W249" s="104" t="n">
        <v>2.42</v>
      </c>
      <c r="X249" s="105" t="n">
        <v>0.03</v>
      </c>
      <c r="Y249" s="105" t="n">
        <v>0</v>
      </c>
      <c r="Z249" s="105" t="n">
        <v>2.96</v>
      </c>
      <c r="AA249" s="105" t="n">
        <v>0.09</v>
      </c>
      <c r="AB249" s="105" t="n">
        <v>0.07000000000000001</v>
      </c>
      <c r="AC249" s="104" t="n">
        <v>-0.05</v>
      </c>
      <c r="AD249" s="104" t="n">
        <v>-0.05</v>
      </c>
      <c r="AE249" s="104" t="n">
        <v>-0.02</v>
      </c>
      <c r="AF249" s="104" t="n">
        <v>0.25</v>
      </c>
      <c r="AG249" s="104" t="n">
        <v>0.06</v>
      </c>
      <c r="AH249" s="104" t="n">
        <v>0.53</v>
      </c>
      <c r="AI249" s="104" t="n">
        <v>0.23</v>
      </c>
      <c r="AJ249" s="104" t="n">
        <v>1.06</v>
      </c>
      <c r="AK249" s="112" t="inlineStr">
        <is>
          <t>Distress</t>
        </is>
      </c>
      <c r="AL249" s="104" t="n">
        <v>-0.02</v>
      </c>
      <c r="AM249" s="104" t="n">
        <v>0.25</v>
      </c>
      <c r="AN249" s="104" t="n">
        <v>0.06</v>
      </c>
      <c r="AO249" s="104" t="n">
        <v>0.53</v>
      </c>
      <c r="AP249" s="104" t="n">
        <v>0.23</v>
      </c>
      <c r="AQ249" s="103" t="n">
        <v>0.82</v>
      </c>
      <c r="AR249" s="103" t="inlineStr">
        <is>
          <t>Distress</t>
        </is>
      </c>
      <c r="AS249" s="104" t="n">
        <v>-0.02</v>
      </c>
      <c r="AT249" s="104" t="n">
        <v>0.25</v>
      </c>
      <c r="AU249" s="104" t="n">
        <v>0.06</v>
      </c>
      <c r="AV249" s="104" t="n">
        <v>0.53</v>
      </c>
      <c r="AW249" s="103" t="n">
        <v>1.64</v>
      </c>
      <c r="AX249" s="103" t="inlineStr">
        <is>
          <t>Grey</t>
        </is>
      </c>
      <c r="AY249" s="104" t="n">
        <v>-0.02</v>
      </c>
      <c r="AZ249" s="104" t="n">
        <v>0.06</v>
      </c>
      <c r="BA249" s="104" t="n">
        <v>0.51</v>
      </c>
      <c r="BB249" s="104" t="n">
        <v>0.23</v>
      </c>
      <c r="BC249" s="103" t="n">
        <v>0.58</v>
      </c>
      <c r="BD249" s="103" t="inlineStr">
        <is>
          <t>Distress</t>
        </is>
      </c>
      <c r="BE249" s="104" t="n">
        <v>0.03</v>
      </c>
      <c r="BF249" s="104" t="n">
        <v>0.65</v>
      </c>
      <c r="BG249" s="104" t="n">
        <v>0.78</v>
      </c>
      <c r="BH249" s="104" t="n">
        <v>-0.77</v>
      </c>
      <c r="BI249" s="103" t="n">
        <v>0.32</v>
      </c>
      <c r="BJ249" s="103" t="inlineStr">
        <is>
          <t>Healthy</t>
        </is>
      </c>
      <c r="BK249" s="103" t="n">
        <v>1</v>
      </c>
      <c r="BL249" s="103" t="n">
        <v>1</v>
      </c>
      <c r="BM249" s="103" t="n">
        <v>1</v>
      </c>
      <c r="BN249" s="103" t="n">
        <v>1</v>
      </c>
      <c r="BO249" s="103" t="n">
        <v>0</v>
      </c>
      <c r="BP249" s="103" t="n">
        <v>1</v>
      </c>
      <c r="BQ249" s="103" t="n">
        <v>0</v>
      </c>
      <c r="BR249" s="103" t="n">
        <v>0</v>
      </c>
      <c r="BS249" s="103" t="n">
        <v>1</v>
      </c>
      <c r="BT249" s="103" t="n">
        <v>6</v>
      </c>
      <c r="BU249" s="103" t="inlineStr">
        <is>
          <t>Mixed</t>
        </is>
      </c>
      <c r="BV249" s="104" t="n">
        <v>1.32</v>
      </c>
      <c r="BW249" s="104" t="n">
        <v>1.02</v>
      </c>
      <c r="BX249" s="104" t="n">
        <v>1.02</v>
      </c>
      <c r="BY249" s="104" t="n">
        <v>1.09</v>
      </c>
      <c r="BZ249" s="104" t="n">
        <v>1.01</v>
      </c>
      <c r="CA249" s="104" t="n">
        <v>0.92</v>
      </c>
      <c r="CB249" s="104" t="n">
        <v>0.99</v>
      </c>
      <c r="CC249" s="104" t="n">
        <v>-0.05</v>
      </c>
      <c r="CD249" s="103" t="n">
        <v>-2.28</v>
      </c>
      <c r="CE249" s="103" t="inlineStr">
        <is>
          <t>Lower Risk</t>
        </is>
      </c>
      <c r="CF249" s="104" t="n">
        <v>4.16</v>
      </c>
      <c r="CG249" s="104" t="n">
        <v>49.79</v>
      </c>
      <c r="CH249" s="103" t="n">
        <v>0</v>
      </c>
      <c r="CI249" s="103" t="inlineStr">
        <is>
          <t>CLEAR</t>
        </is>
      </c>
    </row>
    <row r="250" ht="17" customHeight="1">
      <c r="A250" s="107" t="inlineStr">
        <is>
          <t>BKNG</t>
        </is>
      </c>
      <c r="B250" s="107" t="inlineStr">
        <is>
          <t>Booking Holdings Inc.</t>
        </is>
      </c>
      <c r="C250" s="108" t="n">
        <v>5566000000</v>
      </c>
      <c r="D250" s="109" t="n">
        <v>0.33</v>
      </c>
      <c r="E250" s="109" t="n">
        <v>0.25</v>
      </c>
      <c r="F250" s="109" t="n">
        <v>0.01</v>
      </c>
      <c r="G250" s="109" t="n">
        <v>0.01</v>
      </c>
      <c r="H250" s="109" t="n">
        <v>0.01</v>
      </c>
      <c r="I250" s="109" t="n">
        <v>-0.05</v>
      </c>
      <c r="J250" s="109" t="n">
        <v>0.7</v>
      </c>
      <c r="K250" s="109" t="n">
        <v>0.46</v>
      </c>
      <c r="L250" s="109" t="n">
        <v>0.52</v>
      </c>
      <c r="M250" s="109" t="n">
        <v>0.92</v>
      </c>
      <c r="N250" s="108" t="n">
        <v>0.86</v>
      </c>
      <c r="O250" s="108" t="n">
        <v>1.33</v>
      </c>
      <c r="P250" s="108" t="n">
        <v>1.31</v>
      </c>
      <c r="Q250" s="108" t="n">
        <v>1.33</v>
      </c>
      <c r="R250" s="108" t="n">
        <v>1.03</v>
      </c>
      <c r="S250" s="108" t="n">
        <v>1.19</v>
      </c>
      <c r="T250" s="108" t="n">
        <v>1.15</v>
      </c>
      <c r="U250" s="108" t="n">
        <v>-3.7</v>
      </c>
      <c r="V250" s="108" t="n">
        <v>-0.61</v>
      </c>
      <c r="W250" s="108" t="n">
        <v>32.6</v>
      </c>
      <c r="X250" s="109" t="n">
        <v>0.34</v>
      </c>
      <c r="Y250" s="111" t="inlineStr">
        <is>
          <t>N/A</t>
        </is>
      </c>
      <c r="Z250" s="109" t="n">
        <v>9.84</v>
      </c>
      <c r="AA250" s="109" t="n">
        <v>0.13</v>
      </c>
      <c r="AB250" s="109" t="n">
        <v>0</v>
      </c>
      <c r="AC250" s="108" t="n">
        <v>-0.31</v>
      </c>
      <c r="AD250" s="108" t="n">
        <v>-0.31</v>
      </c>
      <c r="AE250" s="108" t="n">
        <v>0.19</v>
      </c>
      <c r="AF250" s="108" t="n">
        <v>1.39</v>
      </c>
      <c r="AG250" s="108" t="n">
        <v>0.3</v>
      </c>
      <c r="AH250" s="108" t="n">
        <v>-0.16</v>
      </c>
      <c r="AI250" s="108" t="n">
        <v>0.92</v>
      </c>
      <c r="AJ250" s="108" t="n">
        <v>3.99</v>
      </c>
      <c r="AK250" s="110" t="inlineStr">
        <is>
          <t>Safe</t>
        </is>
      </c>
      <c r="AL250" s="108" t="n">
        <v>0.19</v>
      </c>
      <c r="AM250" s="108" t="n">
        <v>1.39</v>
      </c>
      <c r="AN250" s="108" t="n">
        <v>0.3</v>
      </c>
      <c r="AO250" s="108" t="n">
        <v>-0.16</v>
      </c>
      <c r="AP250" s="108" t="n">
        <v>0.92</v>
      </c>
      <c r="AQ250" s="107" t="n">
        <v>3.1</v>
      </c>
      <c r="AR250" s="107" t="inlineStr">
        <is>
          <t>Safe</t>
        </is>
      </c>
      <c r="AS250" s="108" t="n">
        <v>0.19</v>
      </c>
      <c r="AT250" s="108" t="n">
        <v>1.39</v>
      </c>
      <c r="AU250" s="108" t="n">
        <v>0.3</v>
      </c>
      <c r="AV250" s="108" t="n">
        <v>-0.16</v>
      </c>
      <c r="AW250" s="107" t="n">
        <v>7.64</v>
      </c>
      <c r="AX250" s="107" t="inlineStr">
        <is>
          <t>Safe</t>
        </is>
      </c>
      <c r="AY250" s="108" t="n">
        <v>0.19</v>
      </c>
      <c r="AZ250" s="108" t="n">
        <v>0.3</v>
      </c>
      <c r="BA250" s="108" t="n">
        <v>0.41</v>
      </c>
      <c r="BB250" s="108" t="n">
        <v>0.92</v>
      </c>
      <c r="BC250" s="107" t="n">
        <v>1.76</v>
      </c>
      <c r="BD250" s="107" t="inlineStr">
        <is>
          <t>Healthy</t>
        </is>
      </c>
      <c r="BE250" s="108" t="n">
        <v>0.01</v>
      </c>
      <c r="BF250" s="108" t="n">
        <v>1.19</v>
      </c>
      <c r="BG250" s="108" t="n">
        <v>1.33</v>
      </c>
      <c r="BH250" s="108" t="n">
        <v>2.39</v>
      </c>
      <c r="BI250" s="107" t="n">
        <v>0.92</v>
      </c>
      <c r="BJ250" s="107" t="inlineStr">
        <is>
          <t>Distress</t>
        </is>
      </c>
      <c r="BK250" s="107" t="n">
        <v>1</v>
      </c>
      <c r="BL250" s="107" t="n">
        <v>1</v>
      </c>
      <c r="BM250" s="107" t="n">
        <v>0</v>
      </c>
      <c r="BN250" s="107" t="n">
        <v>1</v>
      </c>
      <c r="BO250" s="107" t="n">
        <v>0</v>
      </c>
      <c r="BP250" s="107" t="n">
        <v>1</v>
      </c>
      <c r="BQ250" s="107" t="n">
        <v>0</v>
      </c>
      <c r="BR250" s="107" t="n">
        <v>0</v>
      </c>
      <c r="BS250" s="107" t="n">
        <v>1</v>
      </c>
      <c r="BT250" s="107" t="n">
        <v>5</v>
      </c>
      <c r="BU250" s="107" t="inlineStr">
        <is>
          <t>Mixed</t>
        </is>
      </c>
      <c r="BV250" s="108" t="n">
        <v>0.9399999999999999</v>
      </c>
      <c r="BW250" s="108" t="n">
        <v>1.13</v>
      </c>
      <c r="BX250" s="108" t="n">
        <v>0.92</v>
      </c>
      <c r="BY250" s="108" t="n">
        <v>1.13</v>
      </c>
      <c r="BZ250" s="108" t="n">
        <v>0.95</v>
      </c>
      <c r="CA250" s="108" t="n">
        <v>0.73</v>
      </c>
      <c r="CB250" s="108" t="n">
        <v>1.04</v>
      </c>
      <c r="CC250" s="108" t="n">
        <v>-0.31</v>
      </c>
      <c r="CD250" s="107" t="n">
        <v>-3.8</v>
      </c>
      <c r="CE250" s="107" t="inlineStr">
        <is>
          <t>Lower Risk</t>
        </is>
      </c>
      <c r="CF250" s="108" t="n">
        <v>0.36</v>
      </c>
      <c r="CG250" s="108" t="n">
        <v>53.8</v>
      </c>
      <c r="CH250" s="107" t="n">
        <v>20</v>
      </c>
      <c r="CI250" s="107" t="inlineStr">
        <is>
          <t>CLEAR</t>
        </is>
      </c>
    </row>
    <row r="251" ht="17" customHeight="1">
      <c r="A251" s="103" t="inlineStr">
        <is>
          <t>SCHW</t>
        </is>
      </c>
      <c r="B251" s="103" t="inlineStr">
        <is>
          <t>SCHWAB CHARLES CORP</t>
        </is>
      </c>
      <c r="C251" s="113" t="inlineStr">
        <is>
          <t>N/A</t>
        </is>
      </c>
      <c r="D251" s="105" t="n">
        <v>0.48</v>
      </c>
      <c r="E251" s="105" t="n">
        <v>0.48</v>
      </c>
      <c r="F251" s="105" t="n">
        <v>0.37</v>
      </c>
      <c r="G251" s="105" t="n">
        <v>0.02</v>
      </c>
      <c r="H251" s="105" t="n">
        <v>0.01</v>
      </c>
      <c r="I251" s="105" t="n">
        <v>0.18</v>
      </c>
      <c r="J251" s="113" t="inlineStr">
        <is>
          <t>N/A</t>
        </is>
      </c>
      <c r="K251" s="105" t="n">
        <v>0.04</v>
      </c>
      <c r="L251" s="105" t="n">
        <v>0.03</v>
      </c>
      <c r="M251" s="105" t="n">
        <v>0.05</v>
      </c>
      <c r="N251" s="104" t="n">
        <v>0.04</v>
      </c>
      <c r="O251" s="113" t="inlineStr">
        <is>
          <t>N/A</t>
        </is>
      </c>
      <c r="P251" s="113" t="inlineStr">
        <is>
          <t>N/A</t>
        </is>
      </c>
      <c r="Q251" s="113" t="inlineStr">
        <is>
          <t>N/A</t>
        </is>
      </c>
      <c r="R251" s="113" t="inlineStr">
        <is>
          <t>N/A</t>
        </is>
      </c>
      <c r="S251" s="104" t="n">
        <v>0.9</v>
      </c>
      <c r="T251" s="104" t="n">
        <v>0.9</v>
      </c>
      <c r="U251" s="104" t="n">
        <v>0.73</v>
      </c>
      <c r="V251" s="104" t="n">
        <v>-0.2</v>
      </c>
      <c r="W251" s="104" t="n">
        <v>1.05</v>
      </c>
      <c r="X251" s="105" t="n">
        <v>0.37</v>
      </c>
      <c r="Y251" s="105" t="n">
        <v>0</v>
      </c>
      <c r="Z251" s="105" t="n">
        <v>1.71</v>
      </c>
      <c r="AA251" s="105" t="n">
        <v>0.22</v>
      </c>
      <c r="AB251" s="105" t="n">
        <v>0.49</v>
      </c>
      <c r="AC251" s="104" t="n">
        <v>-0</v>
      </c>
      <c r="AD251" s="104" t="n">
        <v>-0</v>
      </c>
      <c r="AE251" s="113" t="inlineStr">
        <is>
          <t>N/A</t>
        </is>
      </c>
      <c r="AF251" s="104" t="n">
        <v>0.09</v>
      </c>
      <c r="AG251" s="104" t="n">
        <v>0.02</v>
      </c>
      <c r="AH251" s="104" t="n">
        <v>0.11</v>
      </c>
      <c r="AI251" s="104" t="n">
        <v>0.05</v>
      </c>
      <c r="AJ251" s="113" t="inlineStr">
        <is>
          <t>N/A</t>
        </is>
      </c>
      <c r="AK251" s="113" t="inlineStr">
        <is>
          <t>N/A</t>
        </is>
      </c>
      <c r="AL251" s="113" t="inlineStr">
        <is>
          <t>N/A</t>
        </is>
      </c>
      <c r="AM251" s="104" t="n">
        <v>0.09</v>
      </c>
      <c r="AN251" s="104" t="n">
        <v>0.02</v>
      </c>
      <c r="AO251" s="104" t="n">
        <v>0.11</v>
      </c>
      <c r="AP251" s="104" t="n">
        <v>0.05</v>
      </c>
      <c r="AQ251" s="113" t="inlineStr">
        <is>
          <t>N/A</t>
        </is>
      </c>
      <c r="AR251" s="113" t="inlineStr">
        <is>
          <t>N/A</t>
        </is>
      </c>
      <c r="AS251" s="113" t="inlineStr">
        <is>
          <t>N/A</t>
        </is>
      </c>
      <c r="AT251" s="104" t="n">
        <v>0.09</v>
      </c>
      <c r="AU251" s="104" t="n">
        <v>0.02</v>
      </c>
      <c r="AV251" s="104" t="n">
        <v>0.11</v>
      </c>
      <c r="AW251" s="113" t="inlineStr">
        <is>
          <t>N/A</t>
        </is>
      </c>
      <c r="AX251" s="113" t="inlineStr">
        <is>
          <t>N/A</t>
        </is>
      </c>
      <c r="AY251" s="113" t="inlineStr">
        <is>
          <t>N/A</t>
        </is>
      </c>
      <c r="AZ251" s="104" t="n">
        <v>0.02</v>
      </c>
      <c r="BA251" s="113" t="inlineStr">
        <is>
          <t>N/A</t>
        </is>
      </c>
      <c r="BB251" s="104" t="n">
        <v>0.05</v>
      </c>
      <c r="BC251" s="113" t="inlineStr">
        <is>
          <t>N/A</t>
        </is>
      </c>
      <c r="BD251" s="113" t="inlineStr">
        <is>
          <t>N/A</t>
        </is>
      </c>
      <c r="BE251" s="104" t="n">
        <v>0.02</v>
      </c>
      <c r="BF251" s="104" t="n">
        <v>0.9</v>
      </c>
      <c r="BG251" s="113" t="inlineStr">
        <is>
          <t>N/A</t>
        </is>
      </c>
      <c r="BH251" s="113" t="inlineStr">
        <is>
          <t>N/A</t>
        </is>
      </c>
      <c r="BI251" s="113" t="inlineStr">
        <is>
          <t>N/A</t>
        </is>
      </c>
      <c r="BJ251" s="113" t="inlineStr">
        <is>
          <t>N/A</t>
        </is>
      </c>
      <c r="BK251" s="103" t="n">
        <v>1</v>
      </c>
      <c r="BL251" s="103" t="n">
        <v>1</v>
      </c>
      <c r="BM251" s="103" t="n">
        <v>1</v>
      </c>
      <c r="BN251" s="103" t="n">
        <v>1</v>
      </c>
      <c r="BO251" s="103" t="n">
        <v>0</v>
      </c>
      <c r="BP251" s="103" t="n">
        <v>0</v>
      </c>
      <c r="BQ251" s="103" t="n">
        <v>1</v>
      </c>
      <c r="BR251" s="103" t="n">
        <v>1</v>
      </c>
      <c r="BS251" s="103" t="n">
        <v>1</v>
      </c>
      <c r="BT251" s="103" t="n">
        <v>7</v>
      </c>
      <c r="BU251" s="103" t="inlineStr">
        <is>
          <t>Strong</t>
        </is>
      </c>
      <c r="BV251" s="104" t="n">
        <v>0.73</v>
      </c>
      <c r="BW251" s="113" t="inlineStr">
        <is>
          <t>N/A</t>
        </is>
      </c>
      <c r="BX251" s="104" t="n">
        <v>1</v>
      </c>
      <c r="BY251" s="104" t="n">
        <v>1.22</v>
      </c>
      <c r="BZ251" s="104" t="n">
        <v>1.08</v>
      </c>
      <c r="CA251" s="113" t="inlineStr">
        <is>
          <t>N/A</t>
        </is>
      </c>
      <c r="CB251" s="104" t="n">
        <v>1</v>
      </c>
      <c r="CC251" s="104" t="n">
        <v>-0</v>
      </c>
      <c r="CD251" s="113" t="inlineStr">
        <is>
          <t>N/A</t>
        </is>
      </c>
      <c r="CE251" s="113" t="inlineStr">
        <is>
          <t>N/A</t>
        </is>
      </c>
      <c r="CF251" s="104" t="n">
        <v>-0.82</v>
      </c>
      <c r="CG251" s="104" t="n">
        <v>50.72</v>
      </c>
      <c r="CH251" s="103" t="n">
        <v>0</v>
      </c>
      <c r="CI251" s="103" t="inlineStr">
        <is>
          <t>CLEAR</t>
        </is>
      </c>
    </row>
    <row r="252" ht="17" customHeight="1">
      <c r="A252" s="107" t="inlineStr">
        <is>
          <t>MSI</t>
        </is>
      </c>
      <c r="B252" s="107" t="inlineStr">
        <is>
          <t>MOTOROLA SOLUTIONS, INC.</t>
        </is>
      </c>
      <c r="C252" s="108" t="n">
        <v>222000000</v>
      </c>
      <c r="D252" s="109" t="n">
        <v>0.47</v>
      </c>
      <c r="E252" s="109" t="n">
        <v>0.44</v>
      </c>
      <c r="F252" s="109" t="n">
        <v>0.34</v>
      </c>
      <c r="G252" s="109" t="n">
        <v>0.11</v>
      </c>
      <c r="H252" s="109" t="n">
        <v>0.11</v>
      </c>
      <c r="I252" s="109" t="n">
        <v>0.89</v>
      </c>
      <c r="J252" s="109" t="n">
        <v>0.22</v>
      </c>
      <c r="K252" s="109" t="n">
        <v>0.95</v>
      </c>
      <c r="L252" s="109" t="n">
        <v>2.82</v>
      </c>
      <c r="M252" s="109" t="n">
        <v>0.33</v>
      </c>
      <c r="N252" s="108" t="n">
        <v>0.13</v>
      </c>
      <c r="O252" s="108" t="n">
        <v>1.04</v>
      </c>
      <c r="P252" s="108" t="n">
        <v>1.28</v>
      </c>
      <c r="Q252" s="108" t="n">
        <v>0.87</v>
      </c>
      <c r="R252" s="108" t="n">
        <v>0.19</v>
      </c>
      <c r="S252" s="108" t="n">
        <v>1</v>
      </c>
      <c r="T252" s="108" t="n">
        <v>1</v>
      </c>
      <c r="U252" s="108" t="n">
        <v>0.93</v>
      </c>
      <c r="V252" s="108" t="n">
        <v>0.45</v>
      </c>
      <c r="W252" s="108" t="n">
        <v>1.32</v>
      </c>
      <c r="X252" s="109" t="n">
        <v>0.4</v>
      </c>
      <c r="Y252" s="109" t="n">
        <v>0.15</v>
      </c>
      <c r="Z252" s="109" t="n">
        <v>8.300000000000001</v>
      </c>
      <c r="AA252" s="109" t="n">
        <v>2.26</v>
      </c>
      <c r="AB252" s="109" t="n">
        <v>0.37</v>
      </c>
      <c r="AC252" s="108" t="n">
        <v>-0.04</v>
      </c>
      <c r="AD252" s="108" t="n">
        <v>-0.04</v>
      </c>
      <c r="AE252" s="108" t="n">
        <v>0.01</v>
      </c>
      <c r="AF252" s="108" t="n">
        <v>0.13</v>
      </c>
      <c r="AG252" s="108" t="n">
        <v>0.15</v>
      </c>
      <c r="AH252" s="108" t="n">
        <v>0.12</v>
      </c>
      <c r="AI252" s="108" t="n">
        <v>0.33</v>
      </c>
      <c r="AJ252" s="108" t="n">
        <v>1.11</v>
      </c>
      <c r="AK252" s="112" t="inlineStr">
        <is>
          <t>Distress</t>
        </is>
      </c>
      <c r="AL252" s="108" t="n">
        <v>0.01</v>
      </c>
      <c r="AM252" s="108" t="n">
        <v>0.13</v>
      </c>
      <c r="AN252" s="108" t="n">
        <v>0.15</v>
      </c>
      <c r="AO252" s="108" t="n">
        <v>0.12</v>
      </c>
      <c r="AP252" s="108" t="n">
        <v>0.33</v>
      </c>
      <c r="AQ252" s="107" t="n">
        <v>0.98</v>
      </c>
      <c r="AR252" s="107" t="inlineStr">
        <is>
          <t>Distress</t>
        </is>
      </c>
      <c r="AS252" s="108" t="n">
        <v>0.01</v>
      </c>
      <c r="AT252" s="108" t="n">
        <v>0.13</v>
      </c>
      <c r="AU252" s="108" t="n">
        <v>0.15</v>
      </c>
      <c r="AV252" s="108" t="n">
        <v>0.12</v>
      </c>
      <c r="AW252" s="107" t="n">
        <v>1.67</v>
      </c>
      <c r="AX252" s="107" t="inlineStr">
        <is>
          <t>Grey</t>
        </is>
      </c>
      <c r="AY252" s="108" t="n">
        <v>0.01</v>
      </c>
      <c r="AZ252" s="108" t="n">
        <v>0.15</v>
      </c>
      <c r="BA252" s="108" t="n">
        <v>0.46</v>
      </c>
      <c r="BB252" s="108" t="n">
        <v>0.33</v>
      </c>
      <c r="BC252" s="107" t="n">
        <v>0.92</v>
      </c>
      <c r="BD252" s="107" t="inlineStr">
        <is>
          <t>Healthy</t>
        </is>
      </c>
      <c r="BE252" s="108" t="n">
        <v>0.11</v>
      </c>
      <c r="BF252" s="108" t="n">
        <v>1</v>
      </c>
      <c r="BG252" s="108" t="n">
        <v>1.04</v>
      </c>
      <c r="BH252" s="108" t="n">
        <v>0.85</v>
      </c>
      <c r="BI252" s="107" t="n">
        <v>0.7</v>
      </c>
      <c r="BJ252" s="107" t="inlineStr">
        <is>
          <t>Distress</t>
        </is>
      </c>
      <c r="BK252" s="107" t="n">
        <v>1</v>
      </c>
      <c r="BL252" s="107" t="n">
        <v>1</v>
      </c>
      <c r="BM252" s="107" t="n">
        <v>1</v>
      </c>
      <c r="BN252" s="107" t="n">
        <v>1</v>
      </c>
      <c r="BO252" s="107" t="n">
        <v>1</v>
      </c>
      <c r="BP252" s="107" t="n">
        <v>0</v>
      </c>
      <c r="BQ252" s="107" t="n">
        <v>1</v>
      </c>
      <c r="BR252" s="107" t="n">
        <v>0</v>
      </c>
      <c r="BS252" s="107" t="n">
        <v>1</v>
      </c>
      <c r="BT252" s="107" t="n">
        <v>7</v>
      </c>
      <c r="BU252" s="107" t="inlineStr">
        <is>
          <t>Strong</t>
        </is>
      </c>
      <c r="BV252" s="108" t="n">
        <v>0.35</v>
      </c>
      <c r="BW252" s="108" t="n">
        <v>2.98</v>
      </c>
      <c r="BX252" s="108" t="n">
        <v>1.27</v>
      </c>
      <c r="BY252" s="108" t="n">
        <v>3.26</v>
      </c>
      <c r="BZ252" s="108" t="n">
        <v>0.93</v>
      </c>
      <c r="CA252" s="108" t="n">
        <v>0.33</v>
      </c>
      <c r="CB252" s="108" t="n">
        <v>1</v>
      </c>
      <c r="CC252" s="108" t="n">
        <v>-0.04</v>
      </c>
      <c r="CD252" s="107" t="n">
        <v>0.03</v>
      </c>
      <c r="CE252" s="107" t="inlineStr">
        <is>
          <t>Higher Risk</t>
        </is>
      </c>
      <c r="CF252" s="108" t="n">
        <v>0.32</v>
      </c>
      <c r="CG252" s="108" t="n">
        <v>49.15</v>
      </c>
      <c r="CH252" s="107" t="n">
        <v>20</v>
      </c>
      <c r="CI252" s="107" t="inlineStr">
        <is>
          <t>CLEAR</t>
        </is>
      </c>
    </row>
    <row r="253" ht="17" customHeight="1">
      <c r="A253" s="103" t="inlineStr">
        <is>
          <t>MAR</t>
        </is>
      </c>
      <c r="B253" s="103" t="inlineStr">
        <is>
          <t>MARRIOTT INTERNATIONAL INC /MD/</t>
        </is>
      </c>
      <c r="C253" s="104" t="n">
        <v>-4814000000</v>
      </c>
      <c r="D253" s="105" t="n">
        <v>0.16</v>
      </c>
      <c r="E253" s="105" t="n">
        <v>0.13</v>
      </c>
      <c r="F253" s="105" t="n">
        <v>0.1</v>
      </c>
      <c r="G253" s="105" t="n">
        <v>0.09</v>
      </c>
      <c r="H253" s="105" t="n">
        <v>0.09</v>
      </c>
      <c r="I253" s="105" t="n">
        <v>-0.6899999999999999</v>
      </c>
      <c r="J253" s="105" t="n">
        <v>0.22</v>
      </c>
      <c r="K253" s="113" t="inlineStr">
        <is>
          <t>N/A</t>
        </is>
      </c>
      <c r="L253" s="113" t="inlineStr">
        <is>
          <t>N/A</t>
        </is>
      </c>
      <c r="M253" s="105" t="n">
        <v>0.95</v>
      </c>
      <c r="N253" s="104" t="n">
        <v>0.96</v>
      </c>
      <c r="O253" s="104" t="n">
        <v>0.43</v>
      </c>
      <c r="P253" s="104" t="n">
        <v>0.4</v>
      </c>
      <c r="Q253" s="104" t="n">
        <v>0.43</v>
      </c>
      <c r="R253" s="104" t="n">
        <v>0.04</v>
      </c>
      <c r="S253" s="104" t="n">
        <v>1</v>
      </c>
      <c r="T253" s="104" t="n">
        <v>1</v>
      </c>
      <c r="U253" s="104" t="n">
        <v>-0.1</v>
      </c>
      <c r="V253" s="104" t="n">
        <v>-0.01</v>
      </c>
      <c r="W253" s="104" t="n">
        <v>1.23</v>
      </c>
      <c r="X253" s="105" t="n">
        <v>0.09</v>
      </c>
      <c r="Y253" s="113" t="inlineStr">
        <is>
          <t>N/A</t>
        </is>
      </c>
      <c r="Z253" s="105" t="n">
        <v>7.33</v>
      </c>
      <c r="AA253" s="105" t="n">
        <v>0.04</v>
      </c>
      <c r="AB253" s="105" t="n">
        <v>0.1</v>
      </c>
      <c r="AC253" s="104" t="n">
        <v>-0.02</v>
      </c>
      <c r="AD253" s="104" t="n">
        <v>-0.02</v>
      </c>
      <c r="AE253" s="104" t="n">
        <v>-0.17</v>
      </c>
      <c r="AF253" s="104" t="n">
        <v>0.67</v>
      </c>
      <c r="AG253" s="104" t="n">
        <v>0.15</v>
      </c>
      <c r="AH253" s="104" t="n">
        <v>-0.14</v>
      </c>
      <c r="AI253" s="104" t="n">
        <v>0.95</v>
      </c>
      <c r="AJ253" s="104" t="n">
        <v>2.09</v>
      </c>
      <c r="AK253" s="106" t="inlineStr">
        <is>
          <t>Grey</t>
        </is>
      </c>
      <c r="AL253" s="104" t="n">
        <v>-0.17</v>
      </c>
      <c r="AM253" s="104" t="n">
        <v>0.67</v>
      </c>
      <c r="AN253" s="104" t="n">
        <v>0.15</v>
      </c>
      <c r="AO253" s="104" t="n">
        <v>-0.14</v>
      </c>
      <c r="AP253" s="104" t="n">
        <v>0.95</v>
      </c>
      <c r="AQ253" s="103" t="n">
        <v>1.8</v>
      </c>
      <c r="AR253" s="103" t="inlineStr">
        <is>
          <t>Grey</t>
        </is>
      </c>
      <c r="AS253" s="104" t="n">
        <v>-0.17</v>
      </c>
      <c r="AT253" s="104" t="n">
        <v>0.67</v>
      </c>
      <c r="AU253" s="104" t="n">
        <v>0.15</v>
      </c>
      <c r="AV253" s="104" t="n">
        <v>-0.14</v>
      </c>
      <c r="AW253" s="103" t="n">
        <v>1.9</v>
      </c>
      <c r="AX253" s="103" t="inlineStr">
        <is>
          <t>Grey</t>
        </is>
      </c>
      <c r="AY253" s="104" t="n">
        <v>-0.17</v>
      </c>
      <c r="AZ253" s="104" t="n">
        <v>0.15</v>
      </c>
      <c r="BA253" s="104" t="n">
        <v>0.4</v>
      </c>
      <c r="BB253" s="104" t="n">
        <v>0.95</v>
      </c>
      <c r="BC253" s="103" t="n">
        <v>0.93</v>
      </c>
      <c r="BD253" s="103" t="inlineStr">
        <is>
          <t>Healthy</t>
        </is>
      </c>
      <c r="BE253" s="104" t="n">
        <v>0.09</v>
      </c>
      <c r="BF253" s="104" t="n">
        <v>1</v>
      </c>
      <c r="BG253" s="104" t="n">
        <v>0.43</v>
      </c>
      <c r="BH253" s="104" t="n">
        <v>0.92</v>
      </c>
      <c r="BI253" s="103" t="n">
        <v>0.71</v>
      </c>
      <c r="BJ253" s="103" t="inlineStr">
        <is>
          <t>Distress</t>
        </is>
      </c>
      <c r="BK253" s="103" t="n">
        <v>1</v>
      </c>
      <c r="BL253" s="103" t="n">
        <v>1</v>
      </c>
      <c r="BM253" s="103" t="n">
        <v>1</v>
      </c>
      <c r="BN253" s="103" t="n">
        <v>1</v>
      </c>
      <c r="BO253" s="103" t="n">
        <v>1</v>
      </c>
      <c r="BP253" s="103" t="n">
        <v>1</v>
      </c>
      <c r="BQ253" s="103" t="n">
        <v>1</v>
      </c>
      <c r="BR253" s="103" t="n">
        <v>0</v>
      </c>
      <c r="BS253" s="103" t="n">
        <v>0</v>
      </c>
      <c r="BT253" s="103" t="n">
        <v>7</v>
      </c>
      <c r="BU253" s="103" t="inlineStr">
        <is>
          <t>Strong</t>
        </is>
      </c>
      <c r="BV253" s="113" t="inlineStr">
        <is>
          <t>N/A</t>
        </is>
      </c>
      <c r="BW253" s="113" t="inlineStr">
        <is>
          <t>N/A</t>
        </is>
      </c>
      <c r="BX253" s="104" t="n">
        <v>1</v>
      </c>
      <c r="BY253" s="104" t="n">
        <v>1.04</v>
      </c>
      <c r="BZ253" s="104" t="n">
        <v>1.1</v>
      </c>
      <c r="CA253" s="104" t="n">
        <v>0.78</v>
      </c>
      <c r="CB253" s="104" t="n">
        <v>1</v>
      </c>
      <c r="CC253" s="104" t="n">
        <v>-0.02</v>
      </c>
      <c r="CD253" s="113" t="inlineStr">
        <is>
          <t>N/A</t>
        </is>
      </c>
      <c r="CE253" s="113" t="inlineStr">
        <is>
          <t>N/A</t>
        </is>
      </c>
      <c r="CF253" s="104" t="n">
        <v>0</v>
      </c>
      <c r="CG253" s="104" t="n">
        <v>57.02</v>
      </c>
      <c r="CH253" s="103" t="n">
        <v>0</v>
      </c>
      <c r="CI253" s="103" t="inlineStr">
        <is>
          <t>CLEAR</t>
        </is>
      </c>
    </row>
    <row r="254" ht="17" customHeight="1">
      <c r="A254" s="107" t="inlineStr">
        <is>
          <t>HD</t>
        </is>
      </c>
      <c r="B254" s="107" t="inlineStr">
        <is>
          <t>HOME DEPOT, INC.</t>
        </is>
      </c>
      <c r="C254" s="108" t="n">
        <v>1967000000</v>
      </c>
      <c r="D254" s="109" t="n">
        <v>0.32</v>
      </c>
      <c r="E254" s="109" t="n">
        <v>0.28</v>
      </c>
      <c r="F254" s="109" t="n">
        <v>0.21</v>
      </c>
      <c r="G254" s="109" t="n">
        <v>0.13</v>
      </c>
      <c r="H254" s="109" t="n">
        <v>0.15</v>
      </c>
      <c r="I254" s="109" t="n">
        <v>1.1</v>
      </c>
      <c r="J254" s="109" t="n">
        <v>0.29</v>
      </c>
      <c r="K254" s="109" t="n">
        <v>0.83</v>
      </c>
      <c r="L254" s="109" t="n">
        <v>0.75</v>
      </c>
      <c r="M254" s="109" t="n">
        <v>0.63</v>
      </c>
      <c r="N254" s="108" t="n">
        <v>0.74</v>
      </c>
      <c r="O254" s="108" t="n">
        <v>1.06</v>
      </c>
      <c r="P254" s="108" t="n">
        <v>1.11</v>
      </c>
      <c r="Q254" s="108" t="n">
        <v>0.26</v>
      </c>
      <c r="R254" s="108" t="n">
        <v>0.04</v>
      </c>
      <c r="S254" s="108" t="n">
        <v>0.88</v>
      </c>
      <c r="T254" s="108" t="n">
        <v>0.93</v>
      </c>
      <c r="U254" s="108" t="n">
        <v>3.94</v>
      </c>
      <c r="V254" s="108" t="n">
        <v>3.83</v>
      </c>
      <c r="W254" s="108" t="n">
        <v>1.15</v>
      </c>
      <c r="X254" s="109" t="n">
        <v>0.19</v>
      </c>
      <c r="Y254" s="111" t="inlineStr">
        <is>
          <t>N/A</t>
        </is>
      </c>
      <c r="Z254" s="109" t="n">
        <v>10.75</v>
      </c>
      <c r="AA254" s="109" t="n">
        <v>-0.07000000000000001</v>
      </c>
      <c r="AB254" s="109" t="n">
        <v>-0.04</v>
      </c>
      <c r="AC254" s="108" t="n">
        <v>-0.02</v>
      </c>
      <c r="AD254" s="108" t="n">
        <v>-0.02</v>
      </c>
      <c r="AE254" s="108" t="n">
        <v>0.02</v>
      </c>
      <c r="AF254" s="108" t="n">
        <v>0.9</v>
      </c>
      <c r="AG254" s="108" t="n">
        <v>0.2</v>
      </c>
      <c r="AH254" s="108" t="n">
        <v>0.14</v>
      </c>
      <c r="AI254" s="108" t="n">
        <v>0.63</v>
      </c>
      <c r="AJ254" s="108" t="n">
        <v>2.65</v>
      </c>
      <c r="AK254" s="106" t="inlineStr">
        <is>
          <t>Grey</t>
        </is>
      </c>
      <c r="AL254" s="108" t="n">
        <v>0.02</v>
      </c>
      <c r="AM254" s="108" t="n">
        <v>0.9</v>
      </c>
      <c r="AN254" s="108" t="n">
        <v>0.2</v>
      </c>
      <c r="AO254" s="108" t="n">
        <v>0.14</v>
      </c>
      <c r="AP254" s="108" t="n">
        <v>0.63</v>
      </c>
      <c r="AQ254" s="107" t="n">
        <v>2.08</v>
      </c>
      <c r="AR254" s="107" t="inlineStr">
        <is>
          <t>Grey</t>
        </is>
      </c>
      <c r="AS254" s="108" t="n">
        <v>0.02</v>
      </c>
      <c r="AT254" s="108" t="n">
        <v>0.9</v>
      </c>
      <c r="AU254" s="108" t="n">
        <v>0.2</v>
      </c>
      <c r="AV254" s="108" t="n">
        <v>0.14</v>
      </c>
      <c r="AW254" s="107" t="n">
        <v>4.54</v>
      </c>
      <c r="AX254" s="107" t="inlineStr">
        <is>
          <t>Safe</t>
        </is>
      </c>
      <c r="AY254" s="108" t="n">
        <v>0.02</v>
      </c>
      <c r="AZ254" s="108" t="n">
        <v>0.2</v>
      </c>
      <c r="BA254" s="108" t="n">
        <v>0.57</v>
      </c>
      <c r="BB254" s="108" t="n">
        <v>0.63</v>
      </c>
      <c r="BC254" s="107" t="n">
        <v>1.26</v>
      </c>
      <c r="BD254" s="107" t="inlineStr">
        <is>
          <t>Healthy</t>
        </is>
      </c>
      <c r="BE254" s="108" t="n">
        <v>0.13</v>
      </c>
      <c r="BF254" s="108" t="n">
        <v>0.88</v>
      </c>
      <c r="BG254" s="108" t="n">
        <v>1.06</v>
      </c>
      <c r="BH254" s="108" t="n">
        <v>0.05</v>
      </c>
      <c r="BI254" s="107" t="n">
        <v>0.51</v>
      </c>
      <c r="BJ254" s="107" t="inlineStr">
        <is>
          <t>Distress</t>
        </is>
      </c>
      <c r="BK254" s="107" t="n">
        <v>1</v>
      </c>
      <c r="BL254" s="107" t="n">
        <v>1</v>
      </c>
      <c r="BM254" s="107" t="n">
        <v>0</v>
      </c>
      <c r="BN254" s="107" t="n">
        <v>1</v>
      </c>
      <c r="BO254" s="107" t="n">
        <v>1</v>
      </c>
      <c r="BP254" s="107" t="n">
        <v>0</v>
      </c>
      <c r="BQ254" s="107" t="n">
        <v>0</v>
      </c>
      <c r="BR254" s="107" t="n">
        <v>1</v>
      </c>
      <c r="BS254" s="107" t="n">
        <v>0</v>
      </c>
      <c r="BT254" s="107" t="n">
        <v>5</v>
      </c>
      <c r="BU254" s="107" t="inlineStr">
        <is>
          <t>Mixed</t>
        </is>
      </c>
      <c r="BV254" s="108" t="n">
        <v>1.23</v>
      </c>
      <c r="BW254" s="108" t="n">
        <v>0.9</v>
      </c>
      <c r="BX254" s="108" t="n">
        <v>1.05</v>
      </c>
      <c r="BY254" s="108" t="n">
        <v>0.93</v>
      </c>
      <c r="BZ254" s="108" t="n">
        <v>0.95</v>
      </c>
      <c r="CA254" s="108" t="n">
        <v>1.15</v>
      </c>
      <c r="CB254" s="108" t="n">
        <v>0.9399999999999999</v>
      </c>
      <c r="CC254" s="108" t="n">
        <v>-0.02</v>
      </c>
      <c r="CD254" s="107" t="n">
        <v>-2.47</v>
      </c>
      <c r="CE254" s="107" t="inlineStr">
        <is>
          <t>Lower Risk</t>
        </is>
      </c>
      <c r="CF254" s="108" t="n">
        <v>2.03</v>
      </c>
      <c r="CG254" s="108" t="n">
        <v>50.22</v>
      </c>
      <c r="CH254" s="107" t="n">
        <v>0</v>
      </c>
      <c r="CI254" s="107" t="inlineStr">
        <is>
          <t>CLEAR</t>
        </is>
      </c>
    </row>
    <row r="255" ht="17" customHeight="1">
      <c r="A255" s="103" t="inlineStr">
        <is>
          <t>UPS</t>
        </is>
      </c>
      <c r="B255" s="103" t="inlineStr">
        <is>
          <t>United Parcel Service, Inc</t>
        </is>
      </c>
      <c r="C255" s="104" t="n">
        <v>3425000000</v>
      </c>
      <c r="D255" s="105" t="n">
        <v>0.12</v>
      </c>
      <c r="E255" s="105" t="n">
        <v>0.11</v>
      </c>
      <c r="F255" s="105" t="n">
        <v>0.08</v>
      </c>
      <c r="G255" s="105" t="n">
        <v>0.08</v>
      </c>
      <c r="H255" s="105" t="n">
        <v>0.08</v>
      </c>
      <c r="I255" s="105" t="n">
        <v>0.34</v>
      </c>
      <c r="J255" s="105" t="n">
        <v>0.14</v>
      </c>
      <c r="K255" s="113" t="inlineStr">
        <is>
          <t>N/A</t>
        </is>
      </c>
      <c r="L255" s="113" t="inlineStr">
        <is>
          <t>N/A</t>
        </is>
      </c>
      <c r="M255" s="105" t="n">
        <v>0.9</v>
      </c>
      <c r="N255" s="104" t="n">
        <v>0.27</v>
      </c>
      <c r="O255" s="104" t="n">
        <v>1.22</v>
      </c>
      <c r="P255" s="104" t="n">
        <v>1.17</v>
      </c>
      <c r="Q255" s="104" t="n">
        <v>1.17</v>
      </c>
      <c r="R255" s="104" t="n">
        <v>0.38</v>
      </c>
      <c r="S255" s="104" t="n">
        <v>1</v>
      </c>
      <c r="T255" s="104" t="n">
        <v>1</v>
      </c>
      <c r="U255" s="104" t="n">
        <v>1.49</v>
      </c>
      <c r="V255" s="104" t="n">
        <v>1.13</v>
      </c>
      <c r="W255" s="104" t="n">
        <v>1.52</v>
      </c>
      <c r="X255" s="105" t="n">
        <v>0.07000000000000001</v>
      </c>
      <c r="Y255" s="105" t="n">
        <v>0</v>
      </c>
      <c r="Z255" s="105" t="n">
        <v>10.02</v>
      </c>
      <c r="AA255" s="105" t="n">
        <v>2.5</v>
      </c>
      <c r="AB255" s="105" t="n">
        <v>-0.04</v>
      </c>
      <c r="AC255" s="104" t="n">
        <v>-0.04</v>
      </c>
      <c r="AD255" s="104" t="n">
        <v>-0.04</v>
      </c>
      <c r="AE255" s="104" t="n">
        <v>0.05</v>
      </c>
      <c r="AF255" s="104" t="n">
        <v>0.28</v>
      </c>
      <c r="AG255" s="104" t="n">
        <v>0.11</v>
      </c>
      <c r="AH255" s="104" t="n">
        <v>0.22</v>
      </c>
      <c r="AI255" s="104" t="n">
        <v>0.9</v>
      </c>
      <c r="AJ255" s="104" t="n">
        <v>1.83</v>
      </c>
      <c r="AK255" s="106" t="inlineStr">
        <is>
          <t>Grey</t>
        </is>
      </c>
      <c r="AL255" s="104" t="n">
        <v>0.05</v>
      </c>
      <c r="AM255" s="104" t="n">
        <v>0.28</v>
      </c>
      <c r="AN255" s="104" t="n">
        <v>0.11</v>
      </c>
      <c r="AO255" s="104" t="n">
        <v>0.22</v>
      </c>
      <c r="AP255" s="104" t="n">
        <v>0.9</v>
      </c>
      <c r="AQ255" s="103" t="n">
        <v>1.59</v>
      </c>
      <c r="AR255" s="103" t="inlineStr">
        <is>
          <t>Grey</t>
        </is>
      </c>
      <c r="AS255" s="104" t="n">
        <v>0.05</v>
      </c>
      <c r="AT255" s="104" t="n">
        <v>0.28</v>
      </c>
      <c r="AU255" s="104" t="n">
        <v>0.11</v>
      </c>
      <c r="AV255" s="104" t="n">
        <v>0.22</v>
      </c>
      <c r="AW255" s="103" t="n">
        <v>2.16</v>
      </c>
      <c r="AX255" s="103" t="inlineStr">
        <is>
          <t>Grey</t>
        </is>
      </c>
      <c r="AY255" s="104" t="n">
        <v>0.05</v>
      </c>
      <c r="AZ255" s="104" t="n">
        <v>0.11</v>
      </c>
      <c r="BA255" s="104" t="n">
        <v>0.46</v>
      </c>
      <c r="BB255" s="104" t="n">
        <v>0.9</v>
      </c>
      <c r="BC255" s="103" t="n">
        <v>1.04</v>
      </c>
      <c r="BD255" s="103" t="inlineStr">
        <is>
          <t>Healthy</t>
        </is>
      </c>
      <c r="BE255" s="104" t="n">
        <v>0.08</v>
      </c>
      <c r="BF255" s="104" t="n">
        <v>1</v>
      </c>
      <c r="BG255" s="104" t="n">
        <v>1.22</v>
      </c>
      <c r="BH255" s="104" t="n">
        <v>1</v>
      </c>
      <c r="BI255" s="103" t="n">
        <v>0.73</v>
      </c>
      <c r="BJ255" s="103" t="inlineStr">
        <is>
          <t>Distress</t>
        </is>
      </c>
      <c r="BK255" s="103" t="n">
        <v>1</v>
      </c>
      <c r="BL255" s="103" t="n">
        <v>1</v>
      </c>
      <c r="BM255" s="103" t="n">
        <v>0</v>
      </c>
      <c r="BN255" s="103" t="n">
        <v>1</v>
      </c>
      <c r="BO255" s="103" t="n">
        <v>0</v>
      </c>
      <c r="BP255" s="103" t="n">
        <v>1</v>
      </c>
      <c r="BQ255" s="103" t="n">
        <v>0</v>
      </c>
      <c r="BR255" s="103" t="n">
        <v>0</v>
      </c>
      <c r="BS255" s="103" t="n">
        <v>1</v>
      </c>
      <c r="BT255" s="103" t="n">
        <v>5</v>
      </c>
      <c r="BU255" s="103" t="inlineStr">
        <is>
          <t>Mixed</t>
        </is>
      </c>
      <c r="BV255" s="104" t="n">
        <v>0.29</v>
      </c>
      <c r="BW255" s="113" t="inlineStr">
        <is>
          <t>N/A</t>
        </is>
      </c>
      <c r="BX255" s="104" t="n">
        <v>1.07</v>
      </c>
      <c r="BY255" s="104" t="n">
        <v>3.5</v>
      </c>
      <c r="BZ255" s="104" t="n">
        <v>1</v>
      </c>
      <c r="CA255" s="113" t="inlineStr">
        <is>
          <t>N/A</t>
        </is>
      </c>
      <c r="CB255" s="104" t="n">
        <v>1</v>
      </c>
      <c r="CC255" s="104" t="n">
        <v>-0.04</v>
      </c>
      <c r="CD255" s="113" t="inlineStr">
        <is>
          <t>N/A</t>
        </is>
      </c>
      <c r="CE255" s="113" t="inlineStr">
        <is>
          <t>N/A</t>
        </is>
      </c>
      <c r="CF255" s="104" t="n">
        <v>1.58</v>
      </c>
      <c r="CG255" s="104" t="n">
        <v>48.52</v>
      </c>
      <c r="CH255" s="103" t="n">
        <v>0</v>
      </c>
      <c r="CI255" s="103" t="inlineStr">
        <is>
          <t>CLEAR</t>
        </is>
      </c>
    </row>
    <row r="256" ht="17" customHeight="1">
      <c r="A256" s="107" t="inlineStr">
        <is>
          <t>HUBB</t>
        </is>
      </c>
      <c r="B256" s="107" t="inlineStr">
        <is>
          <t>HUBBELL INC</t>
        </is>
      </c>
      <c r="C256" s="108" t="n">
        <v>1085300000</v>
      </c>
      <c r="D256" s="109" t="n">
        <v>0.21</v>
      </c>
      <c r="E256" s="109" t="n">
        <v>0.19</v>
      </c>
      <c r="F256" s="109" t="n">
        <v>0.15</v>
      </c>
      <c r="G256" s="109" t="n">
        <v>0.11</v>
      </c>
      <c r="H256" s="109" t="n">
        <v>0.03</v>
      </c>
      <c r="I256" s="109" t="n">
        <v>0.23</v>
      </c>
      <c r="J256" s="109" t="n">
        <v>0.18</v>
      </c>
      <c r="K256" s="109" t="n">
        <v>0.35</v>
      </c>
      <c r="L256" s="109" t="n">
        <v>0.35</v>
      </c>
      <c r="M256" s="109" t="n">
        <v>0.71</v>
      </c>
      <c r="N256" s="108" t="n">
        <v>0.22</v>
      </c>
      <c r="O256" s="108" t="n">
        <v>1.72</v>
      </c>
      <c r="P256" s="108" t="n">
        <v>1.64</v>
      </c>
      <c r="Q256" s="108" t="n">
        <v>1</v>
      </c>
      <c r="R256" s="108" t="n">
        <v>0.32</v>
      </c>
      <c r="S256" s="108" t="n">
        <v>0.53</v>
      </c>
      <c r="T256" s="108" t="n">
        <v>0.51</v>
      </c>
      <c r="U256" s="108" t="n">
        <v>0.39</v>
      </c>
      <c r="V256" s="108" t="n">
        <v>0.26</v>
      </c>
      <c r="W256" s="108" t="n">
        <v>1.16</v>
      </c>
      <c r="X256" s="109" t="n">
        <v>0.15</v>
      </c>
      <c r="Y256" s="109" t="n">
        <v>0</v>
      </c>
      <c r="Z256" s="109" t="n">
        <v>20.05</v>
      </c>
      <c r="AA256" s="109" t="n">
        <v>2.92</v>
      </c>
      <c r="AB256" s="109" t="n">
        <v>2.96</v>
      </c>
      <c r="AC256" s="108" t="n">
        <v>-0.02</v>
      </c>
      <c r="AD256" s="108" t="n">
        <v>-0.02</v>
      </c>
      <c r="AE256" s="108" t="n">
        <v>0.13</v>
      </c>
      <c r="AF256" s="108" t="n">
        <v>0.51</v>
      </c>
      <c r="AG256" s="108" t="n">
        <v>0.15</v>
      </c>
      <c r="AH256" s="108" t="n">
        <v>0.88</v>
      </c>
      <c r="AI256" s="108" t="n">
        <v>0.71</v>
      </c>
      <c r="AJ256" s="108" t="n">
        <v>2.59</v>
      </c>
      <c r="AK256" s="106" t="inlineStr">
        <is>
          <t>Grey</t>
        </is>
      </c>
      <c r="AL256" s="108" t="n">
        <v>0.13</v>
      </c>
      <c r="AM256" s="108" t="n">
        <v>0.51</v>
      </c>
      <c r="AN256" s="108" t="n">
        <v>0.15</v>
      </c>
      <c r="AO256" s="108" t="n">
        <v>0.88</v>
      </c>
      <c r="AP256" s="108" t="n">
        <v>0.71</v>
      </c>
      <c r="AQ256" s="107" t="n">
        <v>2.06</v>
      </c>
      <c r="AR256" s="107" t="inlineStr">
        <is>
          <t>Grey</t>
        </is>
      </c>
      <c r="AS256" s="108" t="n">
        <v>0.13</v>
      </c>
      <c r="AT256" s="108" t="n">
        <v>0.51</v>
      </c>
      <c r="AU256" s="108" t="n">
        <v>0.15</v>
      </c>
      <c r="AV256" s="108" t="n">
        <v>0.88</v>
      </c>
      <c r="AW256" s="107" t="n">
        <v>4.42</v>
      </c>
      <c r="AX256" s="107" t="inlineStr">
        <is>
          <t>Safe</t>
        </is>
      </c>
      <c r="AY256" s="108" t="n">
        <v>0.13</v>
      </c>
      <c r="AZ256" s="108" t="n">
        <v>0.15</v>
      </c>
      <c r="BA256" s="108" t="n">
        <v>0.74</v>
      </c>
      <c r="BB256" s="108" t="n">
        <v>0.71</v>
      </c>
      <c r="BC256" s="107" t="n">
        <v>1.36</v>
      </c>
      <c r="BD256" s="107" t="inlineStr">
        <is>
          <t>Healthy</t>
        </is>
      </c>
      <c r="BE256" s="108" t="n">
        <v>0.11</v>
      </c>
      <c r="BF256" s="108" t="n">
        <v>0.53</v>
      </c>
      <c r="BG256" s="108" t="n">
        <v>1.72</v>
      </c>
      <c r="BH256" s="108" t="n">
        <v>-1.8</v>
      </c>
      <c r="BI256" s="107" t="n">
        <v>0.14</v>
      </c>
      <c r="BJ256" s="107" t="inlineStr">
        <is>
          <t>Healthy</t>
        </is>
      </c>
      <c r="BK256" s="107" t="n">
        <v>1</v>
      </c>
      <c r="BL256" s="107" t="n">
        <v>1</v>
      </c>
      <c r="BM256" s="107" t="n">
        <v>1</v>
      </c>
      <c r="BN256" s="107" t="n">
        <v>1</v>
      </c>
      <c r="BO256" s="107" t="n">
        <v>1</v>
      </c>
      <c r="BP256" s="107" t="n">
        <v>1</v>
      </c>
      <c r="BQ256" s="107" t="n">
        <v>1</v>
      </c>
      <c r="BR256" s="107" t="n">
        <v>1</v>
      </c>
      <c r="BS256" s="107" t="n">
        <v>1</v>
      </c>
      <c r="BT256" s="107" t="n">
        <v>9</v>
      </c>
      <c r="BU256" s="107" t="inlineStr">
        <is>
          <t>Strong</t>
        </is>
      </c>
      <c r="BV256" s="108" t="n">
        <v>0.29</v>
      </c>
      <c r="BW256" s="108" t="n">
        <v>1</v>
      </c>
      <c r="BX256" s="108" t="n">
        <v>1.01</v>
      </c>
      <c r="BY256" s="108" t="n">
        <v>3.92</v>
      </c>
      <c r="BZ256" s="108" t="n">
        <v>1.15</v>
      </c>
      <c r="CA256" s="108" t="n">
        <v>1.02</v>
      </c>
      <c r="CB256" s="108" t="n">
        <v>1.04</v>
      </c>
      <c r="CC256" s="108" t="n">
        <v>-0.02</v>
      </c>
      <c r="CD256" s="107" t="n">
        <v>-0.61</v>
      </c>
      <c r="CE256" s="107" t="inlineStr">
        <is>
          <t>Higher Risk</t>
        </is>
      </c>
      <c r="CF256" s="108" t="n">
        <v>0.72</v>
      </c>
      <c r="CG256" s="108" t="n">
        <v>61.51</v>
      </c>
      <c r="CH256" s="107" t="n">
        <v>20</v>
      </c>
      <c r="CI256" s="107" t="inlineStr">
        <is>
          <t>CLEAR</t>
        </is>
      </c>
    </row>
    <row r="257" ht="17" customHeight="1">
      <c r="A257" s="103" t="inlineStr">
        <is>
          <t>PODD</t>
        </is>
      </c>
      <c r="B257" s="103" t="inlineStr">
        <is>
          <t>INSULET CORPORATION</t>
        </is>
      </c>
      <c r="C257" s="104" t="n">
        <v>1233900000</v>
      </c>
      <c r="D257" s="105" t="n">
        <v>0.17</v>
      </c>
      <c r="E257" s="105" t="n">
        <v>0.13</v>
      </c>
      <c r="F257" s="105" t="n">
        <v>0.09</v>
      </c>
      <c r="G257" s="105" t="n">
        <v>0.08</v>
      </c>
      <c r="H257" s="105" t="n">
        <v>0.14</v>
      </c>
      <c r="I257" s="105" t="n">
        <v>0.16</v>
      </c>
      <c r="J257" s="105" t="n">
        <v>0.19</v>
      </c>
      <c r="K257" s="105" t="n">
        <v>0.72</v>
      </c>
      <c r="L257" s="105" t="n">
        <v>0.7</v>
      </c>
      <c r="M257" s="105" t="n">
        <v>0.85</v>
      </c>
      <c r="N257" s="104" t="n">
        <v>0.67</v>
      </c>
      <c r="O257" s="104" t="n">
        <v>2.81</v>
      </c>
      <c r="P257" s="104" t="n">
        <v>3.58</v>
      </c>
      <c r="Q257" s="104" t="n">
        <v>2.15</v>
      </c>
      <c r="R257" s="104" t="n">
        <v>1.33</v>
      </c>
      <c r="S257" s="104" t="n">
        <v>0.53</v>
      </c>
      <c r="T257" s="104" t="n">
        <v>0.61</v>
      </c>
      <c r="U257" s="104" t="n">
        <v>0.9399999999999999</v>
      </c>
      <c r="V257" s="104" t="n">
        <v>0.34</v>
      </c>
      <c r="W257" s="104" t="n">
        <v>2.3</v>
      </c>
      <c r="X257" s="105" t="n">
        <v>0.14</v>
      </c>
      <c r="Y257" s="105" t="n">
        <v>0.11</v>
      </c>
      <c r="Z257" s="105" t="n">
        <v>13.09</v>
      </c>
      <c r="AA257" s="105" t="n">
        <v>0.31</v>
      </c>
      <c r="AB257" s="105" t="n">
        <v>-0.41</v>
      </c>
      <c r="AC257" s="104" t="n">
        <v>-0.1</v>
      </c>
      <c r="AD257" s="104" t="n">
        <v>-0.1</v>
      </c>
      <c r="AE257" s="104" t="n">
        <v>0.39</v>
      </c>
      <c r="AF257" s="104" t="n">
        <v>0.09</v>
      </c>
      <c r="AG257" s="104" t="n">
        <v>0.15</v>
      </c>
      <c r="AH257" s="104" t="n">
        <v>0.9</v>
      </c>
      <c r="AI257" s="104" t="n">
        <v>0.85</v>
      </c>
      <c r="AJ257" s="104" t="n">
        <v>2.47</v>
      </c>
      <c r="AK257" s="106" t="inlineStr">
        <is>
          <t>Grey</t>
        </is>
      </c>
      <c r="AL257" s="104" t="n">
        <v>0.39</v>
      </c>
      <c r="AM257" s="104" t="n">
        <v>0.09</v>
      </c>
      <c r="AN257" s="104" t="n">
        <v>0.15</v>
      </c>
      <c r="AO257" s="104" t="n">
        <v>0.9</v>
      </c>
      <c r="AP257" s="104" t="n">
        <v>0.85</v>
      </c>
      <c r="AQ257" s="103" t="n">
        <v>2.04</v>
      </c>
      <c r="AR257" s="103" t="inlineStr">
        <is>
          <t>Grey</t>
        </is>
      </c>
      <c r="AS257" s="104" t="n">
        <v>0.39</v>
      </c>
      <c r="AT257" s="104" t="n">
        <v>0.09</v>
      </c>
      <c r="AU257" s="104" t="n">
        <v>0.15</v>
      </c>
      <c r="AV257" s="104" t="n">
        <v>0.9</v>
      </c>
      <c r="AW257" s="103" t="n">
        <v>4.78</v>
      </c>
      <c r="AX257" s="103" t="inlineStr">
        <is>
          <t>Safe</t>
        </is>
      </c>
      <c r="AY257" s="104" t="n">
        <v>0.39</v>
      </c>
      <c r="AZ257" s="104" t="n">
        <v>0.15</v>
      </c>
      <c r="BA257" s="104" t="n">
        <v>0.5</v>
      </c>
      <c r="BB257" s="104" t="n">
        <v>0.85</v>
      </c>
      <c r="BC257" s="103" t="n">
        <v>1.52</v>
      </c>
      <c r="BD257" s="103" t="inlineStr">
        <is>
          <t>Healthy</t>
        </is>
      </c>
      <c r="BE257" s="104" t="n">
        <v>0.08</v>
      </c>
      <c r="BF257" s="104" t="n">
        <v>0.53</v>
      </c>
      <c r="BG257" s="104" t="n">
        <v>2.81</v>
      </c>
      <c r="BH257" s="104" t="n">
        <v>-1.69</v>
      </c>
      <c r="BI257" s="103" t="n">
        <v>0.16</v>
      </c>
      <c r="BJ257" s="103" t="inlineStr">
        <is>
          <t>Healthy</t>
        </is>
      </c>
      <c r="BK257" s="103" t="n">
        <v>1</v>
      </c>
      <c r="BL257" s="103" t="n">
        <v>1</v>
      </c>
      <c r="BM257" s="103" t="n">
        <v>0</v>
      </c>
      <c r="BN257" s="103" t="n">
        <v>1</v>
      </c>
      <c r="BO257" s="103" t="n">
        <v>0</v>
      </c>
      <c r="BP257" s="103" t="n">
        <v>0</v>
      </c>
      <c r="BQ257" s="103" t="n">
        <v>0</v>
      </c>
      <c r="BR257" s="103" t="n">
        <v>1</v>
      </c>
      <c r="BS257" s="103" t="n">
        <v>1</v>
      </c>
      <c r="BT257" s="103" t="n">
        <v>5</v>
      </c>
      <c r="BU257" s="103" t="inlineStr">
        <is>
          <t>Mixed</t>
        </is>
      </c>
      <c r="BV257" s="104" t="n">
        <v>0.67</v>
      </c>
      <c r="BW257" s="104" t="n">
        <v>0.97</v>
      </c>
      <c r="BX257" s="104" t="n">
        <v>0.99</v>
      </c>
      <c r="BY257" s="104" t="n">
        <v>1.31</v>
      </c>
      <c r="BZ257" s="104" t="n">
        <v>1</v>
      </c>
      <c r="CA257" s="104" t="n">
        <v>0.97</v>
      </c>
      <c r="CB257" s="104" t="n">
        <v>0.86</v>
      </c>
      <c r="CC257" s="104" t="n">
        <v>-0.1</v>
      </c>
      <c r="CD257" s="103" t="n">
        <v>-2.95</v>
      </c>
      <c r="CE257" s="103" t="inlineStr">
        <is>
          <t>Lower Risk</t>
        </is>
      </c>
      <c r="CF257" s="104" t="n">
        <v>0.91</v>
      </c>
      <c r="CG257" s="104" t="n">
        <v>50.94</v>
      </c>
      <c r="CH257" s="103" t="n">
        <v>20</v>
      </c>
      <c r="CI257" s="103" t="inlineStr">
        <is>
          <t>CLEAR</t>
        </is>
      </c>
    </row>
    <row r="258" ht="17" customHeight="1">
      <c r="A258" s="107" t="inlineStr">
        <is>
          <t>CMS</t>
        </is>
      </c>
      <c r="B258" s="107" t="inlineStr">
        <is>
          <t>CMS ENERGY CORP</t>
        </is>
      </c>
      <c r="C258" s="108" t="n">
        <v>-76000000</v>
      </c>
      <c r="D258" s="109" t="n">
        <v>0.2</v>
      </c>
      <c r="E258" s="109" t="n">
        <v>0.15</v>
      </c>
      <c r="F258" s="109" t="n">
        <v>0.13</v>
      </c>
      <c r="G258" s="109" t="n">
        <v>0.03</v>
      </c>
      <c r="H258" s="109" t="n">
        <v>0.03</v>
      </c>
      <c r="I258" s="109" t="n">
        <v>0.12</v>
      </c>
      <c r="J258" s="109" t="n">
        <v>0.05</v>
      </c>
      <c r="K258" s="109" t="n">
        <v>0.29</v>
      </c>
      <c r="L258" s="109" t="n">
        <v>0.28</v>
      </c>
      <c r="M258" s="109" t="n">
        <v>0.21</v>
      </c>
      <c r="N258" s="108" t="n">
        <v>0.21</v>
      </c>
      <c r="O258" s="108" t="n">
        <v>0.98</v>
      </c>
      <c r="P258" s="108" t="n">
        <v>0.79</v>
      </c>
      <c r="Q258" s="108" t="n">
        <v>0.98</v>
      </c>
      <c r="R258" s="108" t="n">
        <v>0.14</v>
      </c>
      <c r="S258" s="108" t="n">
        <v>1</v>
      </c>
      <c r="T258" s="108" t="n">
        <v>1</v>
      </c>
      <c r="U258" s="108" t="n">
        <v>0.84</v>
      </c>
      <c r="V258" s="108" t="n">
        <v>0.78</v>
      </c>
      <c r="W258" s="108" t="n">
        <v>2.09</v>
      </c>
      <c r="X258" s="109" t="n">
        <v>-0.02</v>
      </c>
      <c r="Y258" s="109" t="n">
        <v>0</v>
      </c>
      <c r="Z258" s="109" t="n">
        <v>2.69</v>
      </c>
      <c r="AA258" s="109" t="n">
        <v>0.14</v>
      </c>
      <c r="AB258" s="109" t="n">
        <v>0.07000000000000001</v>
      </c>
      <c r="AC258" s="108" t="n">
        <v>-0.03</v>
      </c>
      <c r="AD258" s="108" t="n">
        <v>-0.03</v>
      </c>
      <c r="AE258" s="108" t="n">
        <v>-0</v>
      </c>
      <c r="AF258" s="108" t="n">
        <v>0.06</v>
      </c>
      <c r="AG258" s="108" t="n">
        <v>0.04</v>
      </c>
      <c r="AH258" s="108" t="n">
        <v>0.23</v>
      </c>
      <c r="AI258" s="108" t="n">
        <v>0.21</v>
      </c>
      <c r="AJ258" s="108" t="n">
        <v>0.58</v>
      </c>
      <c r="AK258" s="112" t="inlineStr">
        <is>
          <t>Distress</t>
        </is>
      </c>
      <c r="AL258" s="108" t="n">
        <v>-0</v>
      </c>
      <c r="AM258" s="108" t="n">
        <v>0.06</v>
      </c>
      <c r="AN258" s="108" t="n">
        <v>0.04</v>
      </c>
      <c r="AO258" s="108" t="n">
        <v>0.23</v>
      </c>
      <c r="AP258" s="108" t="n">
        <v>0.21</v>
      </c>
      <c r="AQ258" s="107" t="n">
        <v>0.49</v>
      </c>
      <c r="AR258" s="107" t="inlineStr">
        <is>
          <t>Distress</t>
        </is>
      </c>
      <c r="AS258" s="108" t="n">
        <v>-0</v>
      </c>
      <c r="AT258" s="108" t="n">
        <v>0.06</v>
      </c>
      <c r="AU258" s="108" t="n">
        <v>0.04</v>
      </c>
      <c r="AV258" s="108" t="n">
        <v>0.23</v>
      </c>
      <c r="AW258" s="107" t="n">
        <v>0.72</v>
      </c>
      <c r="AX258" s="107" t="inlineStr">
        <is>
          <t>Distress</t>
        </is>
      </c>
      <c r="AY258" s="108" t="n">
        <v>-0</v>
      </c>
      <c r="AZ258" s="108" t="n">
        <v>0.04</v>
      </c>
      <c r="BA258" s="108" t="n">
        <v>0.35</v>
      </c>
      <c r="BB258" s="108" t="n">
        <v>0.21</v>
      </c>
      <c r="BC258" s="107" t="n">
        <v>0.45</v>
      </c>
      <c r="BD258" s="107" t="inlineStr">
        <is>
          <t>Distress</t>
        </is>
      </c>
      <c r="BE258" s="108" t="n">
        <v>0.03</v>
      </c>
      <c r="BF258" s="108" t="n">
        <v>1</v>
      </c>
      <c r="BG258" s="108" t="n">
        <v>0.98</v>
      </c>
      <c r="BH258" s="108" t="n">
        <v>1.23</v>
      </c>
      <c r="BI258" s="107" t="n">
        <v>0.77</v>
      </c>
      <c r="BJ258" s="107" t="inlineStr">
        <is>
          <t>Distress</t>
        </is>
      </c>
      <c r="BK258" s="107" t="n">
        <v>1</v>
      </c>
      <c r="BL258" s="107" t="n">
        <v>1</v>
      </c>
      <c r="BM258" s="107" t="n">
        <v>0</v>
      </c>
      <c r="BN258" s="107" t="n">
        <v>1</v>
      </c>
      <c r="BO258" s="107" t="n">
        <v>1</v>
      </c>
      <c r="BP258" s="107" t="n">
        <v>1</v>
      </c>
      <c r="BQ258" s="107" t="n">
        <v>0</v>
      </c>
      <c r="BR258" s="107" t="n">
        <v>1</v>
      </c>
      <c r="BS258" s="107" t="n">
        <v>1</v>
      </c>
      <c r="BT258" s="107" t="n">
        <v>7</v>
      </c>
      <c r="BU258" s="107" t="inlineStr">
        <is>
          <t>Strong</t>
        </is>
      </c>
      <c r="BV258" s="108" t="n">
        <v>1.48</v>
      </c>
      <c r="BW258" s="108" t="n">
        <v>0.95</v>
      </c>
      <c r="BX258" s="108" t="n">
        <v>0.92</v>
      </c>
      <c r="BY258" s="108" t="n">
        <v>1.14</v>
      </c>
      <c r="BZ258" s="108" t="n">
        <v>1.06</v>
      </c>
      <c r="CA258" s="111" t="inlineStr">
        <is>
          <t>N/A</t>
        </is>
      </c>
      <c r="CB258" s="108" t="n">
        <v>1</v>
      </c>
      <c r="CC258" s="108" t="n">
        <v>-0.03</v>
      </c>
      <c r="CD258" s="107" t="n">
        <v>-1.94</v>
      </c>
      <c r="CE258" s="107" t="inlineStr">
        <is>
          <t>Higher Risk</t>
        </is>
      </c>
      <c r="CF258" s="108" t="n">
        <v>2.35</v>
      </c>
      <c r="CG258" s="108" t="n">
        <v>47.45</v>
      </c>
      <c r="CH258" s="107" t="n">
        <v>20</v>
      </c>
      <c r="CI258" s="107" t="inlineStr">
        <is>
          <t>CLEAR</t>
        </is>
      </c>
    </row>
    <row r="259" ht="17" customHeight="1">
      <c r="A259" s="103" t="inlineStr">
        <is>
          <t>PRU</t>
        </is>
      </c>
      <c r="B259" s="103" t="inlineStr">
        <is>
          <t>PRUDENTIAL FINANCIAL INC</t>
        </is>
      </c>
      <c r="C259" s="113" t="inlineStr">
        <is>
          <t>N/A</t>
        </is>
      </c>
      <c r="D259" s="113" t="inlineStr">
        <is>
          <t>N/A</t>
        </is>
      </c>
      <c r="E259" s="105" t="n">
        <v>0.04</v>
      </c>
      <c r="F259" s="105" t="n">
        <v>0.06</v>
      </c>
      <c r="G259" s="105" t="n">
        <v>0</v>
      </c>
      <c r="H259" s="105" t="n">
        <v>0</v>
      </c>
      <c r="I259" s="105" t="n">
        <v>0.11</v>
      </c>
      <c r="J259" s="113" t="inlineStr">
        <is>
          <t>N/A</t>
        </is>
      </c>
      <c r="K259" s="105" t="n">
        <v>0.08</v>
      </c>
      <c r="L259" s="105" t="n">
        <v>0.05</v>
      </c>
      <c r="M259" s="105" t="n">
        <v>0.08</v>
      </c>
      <c r="N259" s="104" t="n">
        <v>0.1</v>
      </c>
      <c r="O259" s="113" t="inlineStr">
        <is>
          <t>N/A</t>
        </is>
      </c>
      <c r="P259" s="113" t="inlineStr">
        <is>
          <t>N/A</t>
        </is>
      </c>
      <c r="Q259" s="113" t="inlineStr">
        <is>
          <t>N/A</t>
        </is>
      </c>
      <c r="R259" s="113" t="inlineStr">
        <is>
          <t>N/A</t>
        </is>
      </c>
      <c r="S259" s="104" t="n">
        <v>0.95</v>
      </c>
      <c r="T259" s="104" t="n">
        <v>0.96</v>
      </c>
      <c r="U259" s="104" t="n">
        <v>0.63</v>
      </c>
      <c r="V259" s="104" t="n">
        <v>0.02</v>
      </c>
      <c r="W259" s="104" t="n">
        <v>1.75</v>
      </c>
      <c r="X259" s="113" t="inlineStr">
        <is>
          <t>N/A</t>
        </is>
      </c>
      <c r="Y259" s="105" t="n">
        <v>0</v>
      </c>
      <c r="Z259" s="113" t="inlineStr">
        <is>
          <t>N/A</t>
        </is>
      </c>
      <c r="AA259" s="105" t="n">
        <v>-0.14</v>
      </c>
      <c r="AB259" s="105" t="n">
        <v>0.31</v>
      </c>
      <c r="AC259" s="104" t="n">
        <v>-0</v>
      </c>
      <c r="AD259" s="104" t="n">
        <v>-0</v>
      </c>
      <c r="AE259" s="113" t="inlineStr">
        <is>
          <t>N/A</t>
        </is>
      </c>
      <c r="AF259" s="104" t="n">
        <v>0.05</v>
      </c>
      <c r="AG259" s="113" t="inlineStr">
        <is>
          <t>N/A</t>
        </is>
      </c>
      <c r="AH259" s="104" t="n">
        <v>0.04</v>
      </c>
      <c r="AI259" s="104" t="n">
        <v>0.08</v>
      </c>
      <c r="AJ259" s="113" t="inlineStr">
        <is>
          <t>N/A</t>
        </is>
      </c>
      <c r="AK259" s="113" t="inlineStr">
        <is>
          <t>N/A</t>
        </is>
      </c>
      <c r="AL259" s="113" t="inlineStr">
        <is>
          <t>N/A</t>
        </is>
      </c>
      <c r="AM259" s="104" t="n">
        <v>0.05</v>
      </c>
      <c r="AN259" s="113" t="inlineStr">
        <is>
          <t>N/A</t>
        </is>
      </c>
      <c r="AO259" s="104" t="n">
        <v>0.04</v>
      </c>
      <c r="AP259" s="104" t="n">
        <v>0.08</v>
      </c>
      <c r="AQ259" s="113" t="inlineStr">
        <is>
          <t>N/A</t>
        </is>
      </c>
      <c r="AR259" s="113" t="inlineStr">
        <is>
          <t>N/A</t>
        </is>
      </c>
      <c r="AS259" s="113" t="inlineStr">
        <is>
          <t>N/A</t>
        </is>
      </c>
      <c r="AT259" s="104" t="n">
        <v>0.05</v>
      </c>
      <c r="AU259" s="113" t="inlineStr">
        <is>
          <t>N/A</t>
        </is>
      </c>
      <c r="AV259" s="104" t="n">
        <v>0.04</v>
      </c>
      <c r="AW259" s="113" t="inlineStr">
        <is>
          <t>N/A</t>
        </is>
      </c>
      <c r="AX259" s="113" t="inlineStr">
        <is>
          <t>N/A</t>
        </is>
      </c>
      <c r="AY259" s="113" t="inlineStr">
        <is>
          <t>N/A</t>
        </is>
      </c>
      <c r="AZ259" s="113" t="inlineStr">
        <is>
          <t>N/A</t>
        </is>
      </c>
      <c r="BA259" s="113" t="inlineStr">
        <is>
          <t>N/A</t>
        </is>
      </c>
      <c r="BB259" s="104" t="n">
        <v>0.08</v>
      </c>
      <c r="BC259" s="113" t="inlineStr">
        <is>
          <t>N/A</t>
        </is>
      </c>
      <c r="BD259" s="113" t="inlineStr">
        <is>
          <t>N/A</t>
        </is>
      </c>
      <c r="BE259" s="104" t="n">
        <v>0</v>
      </c>
      <c r="BF259" s="104" t="n">
        <v>0.95</v>
      </c>
      <c r="BG259" s="113" t="inlineStr">
        <is>
          <t>N/A</t>
        </is>
      </c>
      <c r="BH259" s="113" t="inlineStr">
        <is>
          <t>N/A</t>
        </is>
      </c>
      <c r="BI259" s="113" t="inlineStr">
        <is>
          <t>N/A</t>
        </is>
      </c>
      <c r="BJ259" s="113" t="inlineStr">
        <is>
          <t>N/A</t>
        </is>
      </c>
      <c r="BK259" s="103" t="n">
        <v>1</v>
      </c>
      <c r="BL259" s="103" t="n">
        <v>1</v>
      </c>
      <c r="BM259" s="103" t="n">
        <v>1</v>
      </c>
      <c r="BN259" s="103" t="n">
        <v>1</v>
      </c>
      <c r="BO259" s="103" t="n">
        <v>1</v>
      </c>
      <c r="BP259" s="103" t="n">
        <v>0</v>
      </c>
      <c r="BQ259" s="103" t="n">
        <v>1</v>
      </c>
      <c r="BR259" s="103" t="n">
        <v>1</v>
      </c>
      <c r="BS259" s="103" t="n">
        <v>0</v>
      </c>
      <c r="BT259" s="103" t="n">
        <v>7</v>
      </c>
      <c r="BU259" s="103" t="inlineStr">
        <is>
          <t>Strong</t>
        </is>
      </c>
      <c r="BV259" s="113" t="inlineStr">
        <is>
          <t>N/A</t>
        </is>
      </c>
      <c r="BW259" s="104" t="n">
        <v>0.59</v>
      </c>
      <c r="BX259" s="113" t="inlineStr">
        <is>
          <t>N/A</t>
        </is>
      </c>
      <c r="BY259" s="104" t="n">
        <v>0.86</v>
      </c>
      <c r="BZ259" s="113" t="inlineStr">
        <is>
          <t>N/A</t>
        </is>
      </c>
      <c r="CA259" s="104" t="n">
        <v>1.12</v>
      </c>
      <c r="CB259" s="104" t="n">
        <v>0.99</v>
      </c>
      <c r="CC259" s="104" t="n">
        <v>-0</v>
      </c>
      <c r="CD259" s="113" t="inlineStr">
        <is>
          <t>N/A</t>
        </is>
      </c>
      <c r="CE259" s="113" t="inlineStr">
        <is>
          <t>N/A</t>
        </is>
      </c>
      <c r="CF259" s="113" t="inlineStr">
        <is>
          <t>N/A</t>
        </is>
      </c>
      <c r="CG259" s="104" t="n">
        <v>50.72</v>
      </c>
      <c r="CH259" s="103" t="n">
        <v>0</v>
      </c>
      <c r="CI259" s="103" t="inlineStr">
        <is>
          <t>CLEAR</t>
        </is>
      </c>
    </row>
    <row r="260" ht="17" customHeight="1">
      <c r="A260" s="107" t="inlineStr">
        <is>
          <t>NTRA</t>
        </is>
      </c>
      <c r="B260" s="107" t="inlineStr">
        <is>
          <t>NATERA, INC.</t>
        </is>
      </c>
      <c r="C260" s="108" t="n">
        <v>1055711000</v>
      </c>
      <c r="D260" s="109" t="n">
        <v>-1.47</v>
      </c>
      <c r="E260" s="109" t="n">
        <v>-1.27</v>
      </c>
      <c r="F260" s="109" t="n">
        <v>-0.99</v>
      </c>
      <c r="G260" s="109" t="n">
        <v>-0.09</v>
      </c>
      <c r="H260" s="109" t="n">
        <v>-0.11</v>
      </c>
      <c r="I260" s="109" t="n">
        <v>-0.12</v>
      </c>
      <c r="J260" s="109" t="n">
        <v>-0.16</v>
      </c>
      <c r="K260" s="109" t="n">
        <v>0.18</v>
      </c>
      <c r="L260" s="109" t="n">
        <v>0.63</v>
      </c>
      <c r="M260" s="109" t="n">
        <v>0.09</v>
      </c>
      <c r="N260" s="108" t="n">
        <v>0.03</v>
      </c>
      <c r="O260" s="108" t="n">
        <v>3.39</v>
      </c>
      <c r="P260" s="108" t="n">
        <v>4</v>
      </c>
      <c r="Q260" s="108" t="n">
        <v>3.24</v>
      </c>
      <c r="R260" s="108" t="n">
        <v>1.06</v>
      </c>
      <c r="S260" s="108" t="n">
        <v>0.29</v>
      </c>
      <c r="T260" s="108" t="n">
        <v>0.28</v>
      </c>
      <c r="U260" s="108" t="n">
        <v>0.21</v>
      </c>
      <c r="V260" s="108" t="n">
        <v>-0.06</v>
      </c>
      <c r="W260" s="108" t="n">
        <v>-1.03</v>
      </c>
      <c r="X260" s="109" t="n">
        <v>0.52</v>
      </c>
      <c r="Y260" s="109" t="n">
        <v>2.96</v>
      </c>
      <c r="Z260" s="109" t="n">
        <v>-76.16</v>
      </c>
      <c r="AA260" s="109" t="n">
        <v>2.92</v>
      </c>
      <c r="AB260" s="109" t="n">
        <v>0.09</v>
      </c>
      <c r="AC260" s="108" t="n">
        <v>-0.18</v>
      </c>
      <c r="AD260" s="108" t="n">
        <v>-0.18</v>
      </c>
      <c r="AE260" s="108" t="n">
        <v>0.44</v>
      </c>
      <c r="AF260" s="108" t="n">
        <v>-1.16</v>
      </c>
      <c r="AG260" s="108" t="n">
        <v>-0.13</v>
      </c>
      <c r="AH260" s="108" t="n">
        <v>2.5</v>
      </c>
      <c r="AI260" s="108" t="n">
        <v>0.09</v>
      </c>
      <c r="AJ260" s="108" t="n">
        <v>0.07000000000000001</v>
      </c>
      <c r="AK260" s="112" t="inlineStr">
        <is>
          <t>Distress</t>
        </is>
      </c>
      <c r="AL260" s="108" t="n">
        <v>0.44</v>
      </c>
      <c r="AM260" s="108" t="n">
        <v>-1.16</v>
      </c>
      <c r="AN260" s="108" t="n">
        <v>-0.13</v>
      </c>
      <c r="AO260" s="108" t="n">
        <v>2.5</v>
      </c>
      <c r="AP260" s="108" t="n">
        <v>0.09</v>
      </c>
      <c r="AQ260" s="107" t="n">
        <v>0.07000000000000001</v>
      </c>
      <c r="AR260" s="107" t="inlineStr">
        <is>
          <t>Distress</t>
        </is>
      </c>
      <c r="AS260" s="108" t="n">
        <v>0.44</v>
      </c>
      <c r="AT260" s="108" t="n">
        <v>-1.16</v>
      </c>
      <c r="AU260" s="108" t="n">
        <v>-0.13</v>
      </c>
      <c r="AV260" s="108" t="n">
        <v>2.5</v>
      </c>
      <c r="AW260" s="107" t="n">
        <v>0.87</v>
      </c>
      <c r="AX260" s="107" t="inlineStr">
        <is>
          <t>Distress</t>
        </is>
      </c>
      <c r="AY260" s="108" t="n">
        <v>0.44</v>
      </c>
      <c r="AZ260" s="108" t="n">
        <v>-0.13</v>
      </c>
      <c r="BA260" s="108" t="n">
        <v>-0.61</v>
      </c>
      <c r="BB260" s="108" t="n">
        <v>0.09</v>
      </c>
      <c r="BC260" s="107" t="n">
        <v>-0.31</v>
      </c>
      <c r="BD260" s="107" t="inlineStr">
        <is>
          <t>Distress</t>
        </is>
      </c>
      <c r="BE260" s="108" t="n">
        <v>-0.09</v>
      </c>
      <c r="BF260" s="108" t="n">
        <v>0.29</v>
      </c>
      <c r="BG260" s="108" t="n">
        <v>3.39</v>
      </c>
      <c r="BH260" s="108" t="n">
        <v>-2.31</v>
      </c>
      <c r="BI260" s="107" t="n">
        <v>0.09</v>
      </c>
      <c r="BJ260" s="107" t="inlineStr">
        <is>
          <t>Healthy</t>
        </is>
      </c>
      <c r="BK260" s="107" t="n">
        <v>0</v>
      </c>
      <c r="BL260" s="107" t="n">
        <v>1</v>
      </c>
      <c r="BM260" s="107" t="n">
        <v>1</v>
      </c>
      <c r="BN260" s="107" t="n">
        <v>1</v>
      </c>
      <c r="BO260" s="107" t="n">
        <v>1</v>
      </c>
      <c r="BP260" s="107" t="n">
        <v>0</v>
      </c>
      <c r="BQ260" s="107" t="n">
        <v>0</v>
      </c>
      <c r="BR260" s="107" t="n">
        <v>0</v>
      </c>
      <c r="BS260" s="107" t="n">
        <v>1</v>
      </c>
      <c r="BT260" s="107" t="n">
        <v>5</v>
      </c>
      <c r="BU260" s="107" t="inlineStr">
        <is>
          <t>Mixed</t>
        </is>
      </c>
      <c r="BV260" s="108" t="n">
        <v>0.24</v>
      </c>
      <c r="BW260" s="108" t="n">
        <v>3.44</v>
      </c>
      <c r="BX260" s="108" t="n">
        <v>3.72</v>
      </c>
      <c r="BY260" s="108" t="n">
        <v>3.92</v>
      </c>
      <c r="BZ260" s="108" t="n">
        <v>1.09</v>
      </c>
      <c r="CA260" s="108" t="n">
        <v>0.36</v>
      </c>
      <c r="CB260" s="108" t="n">
        <v>1.02</v>
      </c>
      <c r="CC260" s="108" t="n">
        <v>-0.18</v>
      </c>
      <c r="CD260" s="107" t="n">
        <v>1.11</v>
      </c>
      <c r="CE260" s="107" t="inlineStr">
        <is>
          <t>Higher Risk</t>
        </is>
      </c>
      <c r="CF260" s="108" t="n">
        <v>0.38</v>
      </c>
      <c r="CG260" s="108" t="n">
        <v>40.47</v>
      </c>
      <c r="CH260" s="112" t="n">
        <v>80</v>
      </c>
      <c r="CI260" s="107" t="inlineStr">
        <is>
          <t>RED FLAG</t>
        </is>
      </c>
    </row>
    <row r="261" ht="17" customHeight="1">
      <c r="A261" s="103" t="inlineStr">
        <is>
          <t>LITE</t>
        </is>
      </c>
      <c r="B261" s="103" t="inlineStr">
        <is>
          <t>Lumentum Holdings Inc.</t>
        </is>
      </c>
      <c r="C261" s="104" t="n">
        <v>1324500000</v>
      </c>
      <c r="D261" s="105" t="n">
        <v>-0.45</v>
      </c>
      <c r="E261" s="105" t="n">
        <v>-0.08</v>
      </c>
      <c r="F261" s="105" t="n">
        <v>0.06</v>
      </c>
      <c r="G261" s="105" t="n">
        <v>0.01</v>
      </c>
      <c r="H261" s="105" t="n">
        <v>-0.14</v>
      </c>
      <c r="I261" s="105" t="n">
        <v>0.02</v>
      </c>
      <c r="J261" s="105" t="n">
        <v>-0.05</v>
      </c>
      <c r="K261" s="105" t="n">
        <v>1.14</v>
      </c>
      <c r="L261" s="105" t="n">
        <v>0.58</v>
      </c>
      <c r="M261" s="105" t="n">
        <v>0.1</v>
      </c>
      <c r="N261" s="104" t="n">
        <v>0.11</v>
      </c>
      <c r="O261" s="104" t="n">
        <v>4.37</v>
      </c>
      <c r="P261" s="104" t="n">
        <v>5.9</v>
      </c>
      <c r="Q261" s="104" t="n">
        <v>3.18</v>
      </c>
      <c r="R261" s="104" t="n">
        <v>1.33</v>
      </c>
      <c r="S261" s="104" t="n">
        <v>0.73</v>
      </c>
      <c r="T261" s="104" t="n">
        <v>0.76</v>
      </c>
      <c r="U261" s="104" t="n">
        <v>2.13</v>
      </c>
      <c r="V261" s="104" t="n">
        <v>1.68</v>
      </c>
      <c r="W261" s="104" t="n">
        <v>4.88</v>
      </c>
      <c r="X261" s="105" t="n">
        <v>-0.26</v>
      </c>
      <c r="Y261" s="105" t="n">
        <v>0.75</v>
      </c>
      <c r="Z261" s="105" t="n">
        <v>-5.07</v>
      </c>
      <c r="AA261" s="105" t="n">
        <v>-0.07000000000000001</v>
      </c>
      <c r="AB261" s="105" t="n">
        <v>-1.05</v>
      </c>
      <c r="AC261" s="104" t="n">
        <v>-0.02</v>
      </c>
      <c r="AD261" s="104" t="n">
        <v>-0.02</v>
      </c>
      <c r="AE261" s="104" t="n">
        <v>0.31</v>
      </c>
      <c r="AF261" s="104" t="n">
        <v>-0.2</v>
      </c>
      <c r="AG261" s="104" t="n">
        <v>-0.04</v>
      </c>
      <c r="AH261" s="104" t="n">
        <v>0.37</v>
      </c>
      <c r="AI261" s="104" t="n">
        <v>0.1</v>
      </c>
      <c r="AJ261" s="104" t="n">
        <v>0.27</v>
      </c>
      <c r="AK261" s="112" t="inlineStr">
        <is>
          <t>Distress</t>
        </is>
      </c>
      <c r="AL261" s="104" t="n">
        <v>0.31</v>
      </c>
      <c r="AM261" s="104" t="n">
        <v>-0.2</v>
      </c>
      <c r="AN261" s="104" t="n">
        <v>-0.04</v>
      </c>
      <c r="AO261" s="104" t="n">
        <v>0.37</v>
      </c>
      <c r="AP261" s="104" t="n">
        <v>0.1</v>
      </c>
      <c r="AQ261" s="103" t="n">
        <v>0.17</v>
      </c>
      <c r="AR261" s="103" t="inlineStr">
        <is>
          <t>Distress</t>
        </is>
      </c>
      <c r="AS261" s="104" t="n">
        <v>0.31</v>
      </c>
      <c r="AT261" s="104" t="n">
        <v>-0.2</v>
      </c>
      <c r="AU261" s="104" t="n">
        <v>-0.04</v>
      </c>
      <c r="AV261" s="104" t="n">
        <v>0.37</v>
      </c>
      <c r="AW261" s="103" t="n">
        <v>1.49</v>
      </c>
      <c r="AX261" s="103" t="inlineStr">
        <is>
          <t>Grey</t>
        </is>
      </c>
      <c r="AY261" s="104" t="n">
        <v>0.31</v>
      </c>
      <c r="AZ261" s="104" t="n">
        <v>-0.04</v>
      </c>
      <c r="BA261" s="104" t="n">
        <v>-0.08</v>
      </c>
      <c r="BB261" s="104" t="n">
        <v>0.1</v>
      </c>
      <c r="BC261" s="103" t="n">
        <v>0.17</v>
      </c>
      <c r="BD261" s="103" t="inlineStr">
        <is>
          <t>Distress</t>
        </is>
      </c>
      <c r="BE261" s="104" t="n">
        <v>0.01</v>
      </c>
      <c r="BF261" s="104" t="n">
        <v>0.73</v>
      </c>
      <c r="BG261" s="104" t="n">
        <v>4.37</v>
      </c>
      <c r="BH261" s="104" t="n">
        <v>-0.19</v>
      </c>
      <c r="BI261" s="103" t="n">
        <v>0.45</v>
      </c>
      <c r="BJ261" s="103" t="inlineStr">
        <is>
          <t>Healthy</t>
        </is>
      </c>
      <c r="BK261" s="103" t="n">
        <v>1</v>
      </c>
      <c r="BL261" s="103" t="n">
        <v>1</v>
      </c>
      <c r="BM261" s="103" t="n">
        <v>1</v>
      </c>
      <c r="BN261" s="103" t="n">
        <v>1</v>
      </c>
      <c r="BO261" s="103" t="n">
        <v>0</v>
      </c>
      <c r="BP261" s="103" t="n">
        <v>0</v>
      </c>
      <c r="BQ261" s="103" t="n">
        <v>0</v>
      </c>
      <c r="BR261" s="103" t="n">
        <v>1</v>
      </c>
      <c r="BS261" s="103" t="n">
        <v>0</v>
      </c>
      <c r="BT261" s="103" t="n">
        <v>5</v>
      </c>
      <c r="BU261" s="103" t="inlineStr">
        <is>
          <t>Mixed</t>
        </is>
      </c>
      <c r="BV261" s="104" t="n">
        <v>1.27</v>
      </c>
      <c r="BW261" s="104" t="n">
        <v>0.51</v>
      </c>
      <c r="BX261" s="104" t="n">
        <v>1.01</v>
      </c>
      <c r="BY261" s="104" t="n">
        <v>0.93</v>
      </c>
      <c r="BZ261" s="104" t="n">
        <v>1.05</v>
      </c>
      <c r="CA261" s="104" t="n">
        <v>1.2</v>
      </c>
      <c r="CB261" s="104" t="n">
        <v>0.97</v>
      </c>
      <c r="CC261" s="104" t="n">
        <v>-0.02</v>
      </c>
      <c r="CD261" s="103" t="n">
        <v>-2.67</v>
      </c>
      <c r="CE261" s="103" t="inlineStr">
        <is>
          <t>Lower Risk</t>
        </is>
      </c>
      <c r="CF261" s="104" t="n">
        <v>-25.08</v>
      </c>
      <c r="CG261" s="104" t="n">
        <v>43.54</v>
      </c>
      <c r="CH261" s="103" t="n">
        <v>0</v>
      </c>
      <c r="CI261" s="103" t="inlineStr">
        <is>
          <t>CLEAR</t>
        </is>
      </c>
    </row>
    <row r="262" ht="17" customHeight="1">
      <c r="A262" s="107" t="inlineStr">
        <is>
          <t>GEV</t>
        </is>
      </c>
      <c r="B262" s="107" t="inlineStr">
        <is>
          <t>GE Vernova Inc.</t>
        </is>
      </c>
      <c r="C262" s="108" t="n">
        <v>-756000000</v>
      </c>
      <c r="D262" s="109" t="n">
        <v>0.04</v>
      </c>
      <c r="E262" s="109" t="n">
        <v>0.07000000000000001</v>
      </c>
      <c r="F262" s="109" t="n">
        <v>0.13</v>
      </c>
      <c r="G262" s="109" t="n">
        <v>0.08</v>
      </c>
      <c r="H262" s="109" t="n">
        <v>0.03</v>
      </c>
      <c r="I262" s="109" t="n">
        <v>0.44</v>
      </c>
      <c r="J262" s="109" t="n">
        <v>0.06</v>
      </c>
      <c r="K262" s="109" t="n">
        <v>0.2</v>
      </c>
      <c r="L262" s="109" t="n">
        <v>0.17</v>
      </c>
      <c r="M262" s="109" t="n">
        <v>0.6</v>
      </c>
      <c r="N262" s="108" t="n">
        <v>0.68</v>
      </c>
      <c r="O262" s="108" t="n">
        <v>0.98</v>
      </c>
      <c r="P262" s="108" t="n">
        <v>1.08</v>
      </c>
      <c r="Q262" s="108" t="n">
        <v>0.73</v>
      </c>
      <c r="R262" s="108" t="n">
        <v>0</v>
      </c>
      <c r="S262" s="108" t="n">
        <v>0.8</v>
      </c>
      <c r="T262" s="108" t="n">
        <v>0.79</v>
      </c>
      <c r="U262" s="108" t="n">
        <v>0.01</v>
      </c>
      <c r="V262" s="108" t="n">
        <v>0.01</v>
      </c>
      <c r="W262" s="108" t="n">
        <v>1.02</v>
      </c>
      <c r="X262" s="109" t="n">
        <v>0.1</v>
      </c>
      <c r="Y262" s="109" t="n">
        <v>0.03</v>
      </c>
      <c r="Z262" s="111" t="inlineStr">
        <is>
          <t>N/A</t>
        </is>
      </c>
      <c r="AA262" s="109" t="n">
        <v>0.09</v>
      </c>
      <c r="AB262" s="109" t="n">
        <v>2.15</v>
      </c>
      <c r="AC262" s="108" t="n">
        <v>-0</v>
      </c>
      <c r="AD262" s="108" t="n">
        <v>-0</v>
      </c>
      <c r="AE262" s="108" t="n">
        <v>-0.01</v>
      </c>
      <c r="AF262" s="108" t="n">
        <v>0.1</v>
      </c>
      <c r="AG262" s="108" t="n">
        <v>0.02</v>
      </c>
      <c r="AH262" s="108" t="n">
        <v>0.22</v>
      </c>
      <c r="AI262" s="108" t="n">
        <v>0.6</v>
      </c>
      <c r="AJ262" s="108" t="n">
        <v>0.93</v>
      </c>
      <c r="AK262" s="112" t="inlineStr">
        <is>
          <t>Distress</t>
        </is>
      </c>
      <c r="AL262" s="108" t="n">
        <v>-0.01</v>
      </c>
      <c r="AM262" s="108" t="n">
        <v>0.1</v>
      </c>
      <c r="AN262" s="108" t="n">
        <v>0.02</v>
      </c>
      <c r="AO262" s="108" t="n">
        <v>0.22</v>
      </c>
      <c r="AP262" s="108" t="n">
        <v>0.6</v>
      </c>
      <c r="AQ262" s="107" t="n">
        <v>0.84</v>
      </c>
      <c r="AR262" s="107" t="inlineStr">
        <is>
          <t>Distress</t>
        </is>
      </c>
      <c r="AS262" s="108" t="n">
        <v>-0.01</v>
      </c>
      <c r="AT262" s="108" t="n">
        <v>0.1</v>
      </c>
      <c r="AU262" s="108" t="n">
        <v>0.02</v>
      </c>
      <c r="AV262" s="108" t="n">
        <v>0.22</v>
      </c>
      <c r="AW262" s="107" t="n">
        <v>0.62</v>
      </c>
      <c r="AX262" s="107" t="inlineStr">
        <is>
          <t>Distress</t>
        </is>
      </c>
      <c r="AY262" s="108" t="n">
        <v>-0.01</v>
      </c>
      <c r="AZ262" s="108" t="n">
        <v>0.02</v>
      </c>
      <c r="BA262" s="108" t="n">
        <v>0.07000000000000001</v>
      </c>
      <c r="BB262" s="108" t="n">
        <v>0.6</v>
      </c>
      <c r="BC262" s="107" t="n">
        <v>0.34</v>
      </c>
      <c r="BD262" s="107" t="inlineStr">
        <is>
          <t>Distress</t>
        </is>
      </c>
      <c r="BE262" s="108" t="n">
        <v>0.08</v>
      </c>
      <c r="BF262" s="108" t="n">
        <v>0.8</v>
      </c>
      <c r="BG262" s="108" t="n">
        <v>0.98</v>
      </c>
      <c r="BH262" s="108" t="n">
        <v>-0.11</v>
      </c>
      <c r="BI262" s="107" t="n">
        <v>0.47</v>
      </c>
      <c r="BJ262" s="107" t="inlineStr">
        <is>
          <t>Healthy</t>
        </is>
      </c>
      <c r="BK262" s="107" t="n">
        <v>1</v>
      </c>
      <c r="BL262" s="107" t="n">
        <v>1</v>
      </c>
      <c r="BM262" s="107" t="n">
        <v>1</v>
      </c>
      <c r="BN262" s="107" t="n">
        <v>1</v>
      </c>
      <c r="BO262" s="107" t="n">
        <v>0</v>
      </c>
      <c r="BP262" s="107" t="n">
        <v>0</v>
      </c>
      <c r="BQ262" s="107" t="n">
        <v>1</v>
      </c>
      <c r="BR262" s="107" t="n">
        <v>1</v>
      </c>
      <c r="BS262" s="107" t="n">
        <v>0</v>
      </c>
      <c r="BT262" s="107" t="n">
        <v>6</v>
      </c>
      <c r="BU262" s="107" t="inlineStr">
        <is>
          <t>Mixed</t>
        </is>
      </c>
      <c r="BV262" s="108" t="n">
        <v>1.1</v>
      </c>
      <c r="BW262" s="108" t="n">
        <v>0.88</v>
      </c>
      <c r="BX262" s="111" t="inlineStr">
        <is>
          <t>N/A</t>
        </is>
      </c>
      <c r="BY262" s="108" t="n">
        <v>1.09</v>
      </c>
      <c r="BZ262" s="111" t="inlineStr">
        <is>
          <t>N/A</t>
        </is>
      </c>
      <c r="CA262" s="108" t="n">
        <v>0.98</v>
      </c>
      <c r="CB262" s="108" t="n">
        <v>1.01</v>
      </c>
      <c r="CC262" s="108" t="n">
        <v>-0</v>
      </c>
      <c r="CD262" s="111" t="inlineStr">
        <is>
          <t>N/A</t>
        </is>
      </c>
      <c r="CE262" s="111" t="inlineStr">
        <is>
          <t>N/A</t>
        </is>
      </c>
      <c r="CF262" s="108" t="n">
        <v>0.03</v>
      </c>
      <c r="CG262" s="108" t="n">
        <v>49.77</v>
      </c>
      <c r="CH262" s="107" t="n">
        <v>0</v>
      </c>
      <c r="CI262" s="107" t="inlineStr">
        <is>
          <t>CLEAR</t>
        </is>
      </c>
    </row>
    <row r="263" ht="17" customHeight="1">
      <c r="A263" s="103" t="inlineStr">
        <is>
          <t>IRT</t>
        </is>
      </c>
      <c r="B263" s="103" t="inlineStr">
        <is>
          <t>INDEPENDENCE REALTY TRUST, INC.</t>
        </is>
      </c>
      <c r="C263" s="113" t="inlineStr">
        <is>
          <t>N/A</t>
        </is>
      </c>
      <c r="D263" s="105" t="n">
        <v>0.08</v>
      </c>
      <c r="E263" s="105" t="n">
        <v>0</v>
      </c>
      <c r="F263" s="105" t="n">
        <v>0.09</v>
      </c>
      <c r="G263" s="105" t="n">
        <v>0.01</v>
      </c>
      <c r="H263" s="105" t="n">
        <v>0.01</v>
      </c>
      <c r="I263" s="105" t="n">
        <v>0.02</v>
      </c>
      <c r="J263" s="113" t="inlineStr">
        <is>
          <t>N/A</t>
        </is>
      </c>
      <c r="K263" s="105" t="n">
        <v>0.99</v>
      </c>
      <c r="L263" s="105" t="n">
        <v>0.96</v>
      </c>
      <c r="M263" s="105" t="n">
        <v>0.11</v>
      </c>
      <c r="N263" s="104" t="n">
        <v>0.03</v>
      </c>
      <c r="O263" s="113" t="inlineStr">
        <is>
          <t>N/A</t>
        </is>
      </c>
      <c r="P263" s="113" t="inlineStr">
        <is>
          <t>N/A</t>
        </is>
      </c>
      <c r="Q263" s="113" t="inlineStr">
        <is>
          <t>N/A</t>
        </is>
      </c>
      <c r="R263" s="113" t="inlineStr">
        <is>
          <t>N/A</t>
        </is>
      </c>
      <c r="S263" s="104" t="n">
        <v>0.4</v>
      </c>
      <c r="T263" s="104" t="n">
        <v>0.41</v>
      </c>
      <c r="U263" s="104" t="n">
        <v>0.66</v>
      </c>
      <c r="V263" s="104" t="n">
        <v>0.65</v>
      </c>
      <c r="W263" s="104" t="n">
        <v>4.99</v>
      </c>
      <c r="X263" s="105" t="n">
        <v>0.43</v>
      </c>
      <c r="Y263" s="105" t="n">
        <v>0</v>
      </c>
      <c r="Z263" s="105" t="n">
        <v>0.58</v>
      </c>
      <c r="AA263" s="105" t="n">
        <v>2.94</v>
      </c>
      <c r="AB263" s="105" t="n">
        <v>0.7</v>
      </c>
      <c r="AC263" s="104" t="n">
        <v>-0.04</v>
      </c>
      <c r="AD263" s="104" t="n">
        <v>-0.04</v>
      </c>
      <c r="AE263" s="113" t="inlineStr">
        <is>
          <t>N/A</t>
        </is>
      </c>
      <c r="AF263" s="104" t="n">
        <v>-0.09</v>
      </c>
      <c r="AG263" s="104" t="n">
        <v>0.01</v>
      </c>
      <c r="AH263" s="104" t="n">
        <v>1.42</v>
      </c>
      <c r="AI263" s="104" t="n">
        <v>0.11</v>
      </c>
      <c r="AJ263" s="113" t="inlineStr">
        <is>
          <t>N/A</t>
        </is>
      </c>
      <c r="AK263" s="113" t="inlineStr">
        <is>
          <t>N/A</t>
        </is>
      </c>
      <c r="AL263" s="113" t="inlineStr">
        <is>
          <t>N/A</t>
        </is>
      </c>
      <c r="AM263" s="104" t="n">
        <v>-0.09</v>
      </c>
      <c r="AN263" s="104" t="n">
        <v>0.01</v>
      </c>
      <c r="AO263" s="104" t="n">
        <v>1.42</v>
      </c>
      <c r="AP263" s="104" t="n">
        <v>0.11</v>
      </c>
      <c r="AQ263" s="113" t="inlineStr">
        <is>
          <t>N/A</t>
        </is>
      </c>
      <c r="AR263" s="113" t="inlineStr">
        <is>
          <t>N/A</t>
        </is>
      </c>
      <c r="AS263" s="113" t="inlineStr">
        <is>
          <t>N/A</t>
        </is>
      </c>
      <c r="AT263" s="104" t="n">
        <v>-0.09</v>
      </c>
      <c r="AU263" s="104" t="n">
        <v>0.01</v>
      </c>
      <c r="AV263" s="104" t="n">
        <v>1.42</v>
      </c>
      <c r="AW263" s="113" t="inlineStr">
        <is>
          <t>N/A</t>
        </is>
      </c>
      <c r="AX263" s="113" t="inlineStr">
        <is>
          <t>N/A</t>
        </is>
      </c>
      <c r="AY263" s="113" t="inlineStr">
        <is>
          <t>N/A</t>
        </is>
      </c>
      <c r="AZ263" s="104" t="n">
        <v>0.01</v>
      </c>
      <c r="BA263" s="113" t="inlineStr">
        <is>
          <t>N/A</t>
        </is>
      </c>
      <c r="BB263" s="104" t="n">
        <v>0.11</v>
      </c>
      <c r="BC263" s="113" t="inlineStr">
        <is>
          <t>N/A</t>
        </is>
      </c>
      <c r="BD263" s="113" t="inlineStr">
        <is>
          <t>N/A</t>
        </is>
      </c>
      <c r="BE263" s="104" t="n">
        <v>0.01</v>
      </c>
      <c r="BF263" s="104" t="n">
        <v>0.4</v>
      </c>
      <c r="BG263" s="113" t="inlineStr">
        <is>
          <t>N/A</t>
        </is>
      </c>
      <c r="BH263" s="113" t="inlineStr">
        <is>
          <t>N/A</t>
        </is>
      </c>
      <c r="BI263" s="113" t="inlineStr">
        <is>
          <t>N/A</t>
        </is>
      </c>
      <c r="BJ263" s="113" t="inlineStr">
        <is>
          <t>N/A</t>
        </is>
      </c>
      <c r="BK263" s="103" t="n">
        <v>1</v>
      </c>
      <c r="BL263" s="103" t="n">
        <v>1</v>
      </c>
      <c r="BM263" s="103" t="n">
        <v>1</v>
      </c>
      <c r="BN263" s="103" t="n">
        <v>1</v>
      </c>
      <c r="BO263" s="103" t="n">
        <v>1</v>
      </c>
      <c r="BP263" s="103" t="n">
        <v>0</v>
      </c>
      <c r="BQ263" s="103" t="n">
        <v>0</v>
      </c>
      <c r="BR263" s="103" t="n">
        <v>1</v>
      </c>
      <c r="BS263" s="103" t="n">
        <v>1</v>
      </c>
      <c r="BT263" s="103" t="n">
        <v>7</v>
      </c>
      <c r="BU263" s="103" t="inlineStr">
        <is>
          <t>Strong</t>
        </is>
      </c>
      <c r="BV263" s="113" t="inlineStr">
        <is>
          <t>N/A</t>
        </is>
      </c>
      <c r="BW263" s="104" t="n">
        <v>0.97</v>
      </c>
      <c r="BX263" s="113" t="inlineStr">
        <is>
          <t>N/A</t>
        </is>
      </c>
      <c r="BY263" s="104" t="n">
        <v>3.94</v>
      </c>
      <c r="BZ263" s="113" t="inlineStr">
        <is>
          <t>N/A</t>
        </is>
      </c>
      <c r="CA263" s="104" t="n">
        <v>0.25</v>
      </c>
      <c r="CB263" s="104" t="n">
        <v>0.99</v>
      </c>
      <c r="CC263" s="104" t="n">
        <v>-0.04</v>
      </c>
      <c r="CD263" s="113" t="inlineStr">
        <is>
          <t>N/A</t>
        </is>
      </c>
      <c r="CE263" s="113" t="inlineStr">
        <is>
          <t>N/A</t>
        </is>
      </c>
      <c r="CF263" s="104" t="n">
        <v>7.65</v>
      </c>
      <c r="CG263" s="104" t="n">
        <v>52.3</v>
      </c>
      <c r="CH263" s="103" t="n">
        <v>0</v>
      </c>
      <c r="CI263" s="103" t="inlineStr">
        <is>
          <t>CLEAR</t>
        </is>
      </c>
    </row>
    <row r="264" ht="17" customHeight="1">
      <c r="A264" s="107" t="inlineStr">
        <is>
          <t>EXPE</t>
        </is>
      </c>
      <c r="B264" s="107" t="inlineStr">
        <is>
          <t>EXPEDIA GROUP, INC.</t>
        </is>
      </c>
      <c r="C264" s="108" t="n">
        <v>-4458000000</v>
      </c>
      <c r="D264" s="109" t="n">
        <v>0.13</v>
      </c>
      <c r="E264" s="109" t="n">
        <v>0.11</v>
      </c>
      <c r="F264" s="109" t="n">
        <v>0.09</v>
      </c>
      <c r="G264" s="109" t="n">
        <v>0.05</v>
      </c>
      <c r="H264" s="109" t="n">
        <v>0.06</v>
      </c>
      <c r="I264" s="109" t="n">
        <v>1.01</v>
      </c>
      <c r="J264" s="109" t="n">
        <v>0.24</v>
      </c>
      <c r="K264" s="109" t="n">
        <v>0.85</v>
      </c>
      <c r="L264" s="109" t="n">
        <v>0.86</v>
      </c>
      <c r="M264" s="109" t="n">
        <v>0.6</v>
      </c>
      <c r="N264" s="108" t="n">
        <v>0.61</v>
      </c>
      <c r="O264" s="108" t="n">
        <v>0.73</v>
      </c>
      <c r="P264" s="108" t="n">
        <v>0.72</v>
      </c>
      <c r="Q264" s="108" t="n">
        <v>0.73</v>
      </c>
      <c r="R264" s="108" t="n">
        <v>0.32</v>
      </c>
      <c r="S264" s="108" t="n">
        <v>1</v>
      </c>
      <c r="T264" s="108" t="n">
        <v>1</v>
      </c>
      <c r="U264" s="108" t="n">
        <v>6.12</v>
      </c>
      <c r="V264" s="108" t="n">
        <v>1.9</v>
      </c>
      <c r="W264" s="108" t="n">
        <v>3</v>
      </c>
      <c r="X264" s="109" t="n">
        <v>0.21</v>
      </c>
      <c r="Y264" s="111" t="inlineStr">
        <is>
          <t>N/A</t>
        </is>
      </c>
      <c r="Z264" s="109" t="n">
        <v>7.64</v>
      </c>
      <c r="AA264" s="109" t="n">
        <v>0.08</v>
      </c>
      <c r="AB264" s="109" t="n">
        <v>0.05</v>
      </c>
      <c r="AC264" s="108" t="n">
        <v>-0.11</v>
      </c>
      <c r="AD264" s="108" t="n">
        <v>-0.11</v>
      </c>
      <c r="AE264" s="108" t="n">
        <v>-0.18</v>
      </c>
      <c r="AF264" s="108" t="n">
        <v>0.07000000000000001</v>
      </c>
      <c r="AG264" s="108" t="n">
        <v>0.08</v>
      </c>
      <c r="AH264" s="108" t="n">
        <v>0.05</v>
      </c>
      <c r="AI264" s="108" t="n">
        <v>0.6</v>
      </c>
      <c r="AJ264" s="108" t="n">
        <v>0.76</v>
      </c>
      <c r="AK264" s="112" t="inlineStr">
        <is>
          <t>Distress</t>
        </is>
      </c>
      <c r="AL264" s="108" t="n">
        <v>-0.18</v>
      </c>
      <c r="AM264" s="108" t="n">
        <v>0.07000000000000001</v>
      </c>
      <c r="AN264" s="108" t="n">
        <v>0.08</v>
      </c>
      <c r="AO264" s="108" t="n">
        <v>0.05</v>
      </c>
      <c r="AP264" s="108" t="n">
        <v>0.6</v>
      </c>
      <c r="AQ264" s="107" t="n">
        <v>0.79</v>
      </c>
      <c r="AR264" s="107" t="inlineStr">
        <is>
          <t>Distress</t>
        </is>
      </c>
      <c r="AS264" s="108" t="n">
        <v>-0.18</v>
      </c>
      <c r="AT264" s="108" t="n">
        <v>0.07000000000000001</v>
      </c>
      <c r="AU264" s="108" t="n">
        <v>0.08</v>
      </c>
      <c r="AV264" s="108" t="n">
        <v>0.05</v>
      </c>
      <c r="AW264" s="107" t="n">
        <v>-0.4</v>
      </c>
      <c r="AX264" s="107" t="inlineStr">
        <is>
          <t>Distress</t>
        </is>
      </c>
      <c r="AY264" s="108" t="n">
        <v>-0.18</v>
      </c>
      <c r="AZ264" s="108" t="n">
        <v>0.08</v>
      </c>
      <c r="BA264" s="108" t="n">
        <v>0.1</v>
      </c>
      <c r="BB264" s="108" t="n">
        <v>0.6</v>
      </c>
      <c r="BC264" s="107" t="n">
        <v>0.35</v>
      </c>
      <c r="BD264" s="107" t="inlineStr">
        <is>
          <t>Distress</t>
        </is>
      </c>
      <c r="BE264" s="108" t="n">
        <v>0.05</v>
      </c>
      <c r="BF264" s="108" t="n">
        <v>1</v>
      </c>
      <c r="BG264" s="108" t="n">
        <v>0.73</v>
      </c>
      <c r="BH264" s="108" t="n">
        <v>1.11</v>
      </c>
      <c r="BI264" s="107" t="n">
        <v>0.75</v>
      </c>
      <c r="BJ264" s="107" t="inlineStr">
        <is>
          <t>Distress</t>
        </is>
      </c>
      <c r="BK264" s="107" t="n">
        <v>1</v>
      </c>
      <c r="BL264" s="107" t="n">
        <v>1</v>
      </c>
      <c r="BM264" s="107" t="n">
        <v>0</v>
      </c>
      <c r="BN264" s="107" t="n">
        <v>1</v>
      </c>
      <c r="BO264" s="107" t="n">
        <v>1</v>
      </c>
      <c r="BP264" s="107" t="n">
        <v>1</v>
      </c>
      <c r="BQ264" s="107" t="n">
        <v>1</v>
      </c>
      <c r="BR264" s="107" t="n">
        <v>0</v>
      </c>
      <c r="BS264" s="107" t="n">
        <v>0</v>
      </c>
      <c r="BT264" s="107" t="n">
        <v>6</v>
      </c>
      <c r="BU264" s="107" t="inlineStr">
        <is>
          <t>Mixed</t>
        </is>
      </c>
      <c r="BV264" s="108" t="n">
        <v>1.2</v>
      </c>
      <c r="BW264" s="108" t="n">
        <v>1</v>
      </c>
      <c r="BX264" s="108" t="n">
        <v>0.88</v>
      </c>
      <c r="BY264" s="108" t="n">
        <v>1.08</v>
      </c>
      <c r="BZ264" s="108" t="n">
        <v>0.97</v>
      </c>
      <c r="CA264" s="108" t="n">
        <v>0.88</v>
      </c>
      <c r="CB264" s="108" t="n">
        <v>1</v>
      </c>
      <c r="CC264" s="108" t="n">
        <v>-0.11</v>
      </c>
      <c r="CD264" s="107" t="n">
        <v>-2.75</v>
      </c>
      <c r="CE264" s="107" t="inlineStr">
        <is>
          <t>Lower Risk</t>
        </is>
      </c>
      <c r="CF264" s="108" t="n">
        <v>0.88</v>
      </c>
      <c r="CG264" s="108" t="n">
        <v>49.6</v>
      </c>
      <c r="CH264" s="107" t="n">
        <v>20</v>
      </c>
      <c r="CI264" s="107" t="inlineStr">
        <is>
          <t>CLEAR</t>
        </is>
      </c>
    </row>
    <row r="265" ht="17" customHeight="1">
      <c r="A265" s="103" t="inlineStr">
        <is>
          <t>GT</t>
        </is>
      </c>
      <c r="B265" s="103" t="inlineStr">
        <is>
          <t>GOODYEAR TIRE &amp; RUBBER CO /OH/</t>
        </is>
      </c>
      <c r="C265" s="104" t="n">
        <v>436000000</v>
      </c>
      <c r="D265" s="105" t="n">
        <v>0.11</v>
      </c>
      <c r="E265" s="105" t="n">
        <v>-0.01</v>
      </c>
      <c r="F265" s="105" t="n">
        <v>-0.09</v>
      </c>
      <c r="G265" s="105" t="n">
        <v>-0.09</v>
      </c>
      <c r="H265" s="105" t="n">
        <v>0</v>
      </c>
      <c r="I265" s="105" t="n">
        <v>-0.53</v>
      </c>
      <c r="J265" s="105" t="n">
        <v>0.18</v>
      </c>
      <c r="K265" s="105" t="n">
        <v>0.18</v>
      </c>
      <c r="L265" s="105" t="n">
        <v>0.2</v>
      </c>
      <c r="M265" s="105" t="n">
        <v>1</v>
      </c>
      <c r="N265" s="104" t="n">
        <v>0.9</v>
      </c>
      <c r="O265" s="104" t="n">
        <v>1.06</v>
      </c>
      <c r="P265" s="104" t="n">
        <v>1.04</v>
      </c>
      <c r="Q265" s="104" t="n">
        <v>0.54</v>
      </c>
      <c r="R265" s="104" t="n">
        <v>0.12</v>
      </c>
      <c r="S265" s="104" t="n">
        <v>0.8100000000000001</v>
      </c>
      <c r="T265" s="104" t="n">
        <v>0.77</v>
      </c>
      <c r="U265" s="104" t="n">
        <v>1.84</v>
      </c>
      <c r="V265" s="104" t="n">
        <v>1.59</v>
      </c>
      <c r="W265" s="104" t="n">
        <v>-0.46</v>
      </c>
      <c r="X265" s="105" t="n">
        <v>-0</v>
      </c>
      <c r="Y265" s="105" t="n">
        <v>0.02</v>
      </c>
      <c r="Z265" s="105" t="n">
        <v>3.87</v>
      </c>
      <c r="AA265" s="105" t="n">
        <v>-0.03</v>
      </c>
      <c r="AB265" s="105" t="n">
        <v>-25.59</v>
      </c>
      <c r="AC265" s="104" t="n">
        <v>-0.14</v>
      </c>
      <c r="AD265" s="104" t="n">
        <v>-0.14</v>
      </c>
      <c r="AE265" s="104" t="n">
        <v>0.02</v>
      </c>
      <c r="AF265" s="104" t="n">
        <v>0.18</v>
      </c>
      <c r="AG265" s="104" t="n">
        <v>0.11</v>
      </c>
      <c r="AH265" s="104" t="n">
        <v>0.22</v>
      </c>
      <c r="AI265" s="104" t="n">
        <v>1</v>
      </c>
      <c r="AJ265" s="104" t="n">
        <v>1.79</v>
      </c>
      <c r="AK265" s="112" t="inlineStr">
        <is>
          <t>Distress</t>
        </is>
      </c>
      <c r="AL265" s="104" t="n">
        <v>0.02</v>
      </c>
      <c r="AM265" s="104" t="n">
        <v>0.18</v>
      </c>
      <c r="AN265" s="104" t="n">
        <v>0.11</v>
      </c>
      <c r="AO265" s="104" t="n">
        <v>0.22</v>
      </c>
      <c r="AP265" s="104" t="n">
        <v>1</v>
      </c>
      <c r="AQ265" s="103" t="n">
        <v>1.61</v>
      </c>
      <c r="AR265" s="103" t="inlineStr">
        <is>
          <t>Grey</t>
        </is>
      </c>
      <c r="AS265" s="104" t="n">
        <v>0.02</v>
      </c>
      <c r="AT265" s="104" t="n">
        <v>0.18</v>
      </c>
      <c r="AU265" s="104" t="n">
        <v>0.11</v>
      </c>
      <c r="AV265" s="104" t="n">
        <v>0.22</v>
      </c>
      <c r="AW265" s="103" t="n">
        <v>1.73</v>
      </c>
      <c r="AX265" s="103" t="inlineStr">
        <is>
          <t>Grey</t>
        </is>
      </c>
      <c r="AY265" s="104" t="n">
        <v>0.02</v>
      </c>
      <c r="AZ265" s="104" t="n">
        <v>0.11</v>
      </c>
      <c r="BA265" s="104" t="n">
        <v>-0.02</v>
      </c>
      <c r="BB265" s="104" t="n">
        <v>1</v>
      </c>
      <c r="BC265" s="103" t="n">
        <v>0.75</v>
      </c>
      <c r="BD265" s="103" t="inlineStr">
        <is>
          <t>Distress</t>
        </is>
      </c>
      <c r="BE265" s="104" t="n">
        <v>-0.09</v>
      </c>
      <c r="BF265" s="104" t="n">
        <v>0.8100000000000001</v>
      </c>
      <c r="BG265" s="104" t="n">
        <v>1.06</v>
      </c>
      <c r="BH265" s="104" t="n">
        <v>0.71</v>
      </c>
      <c r="BI265" s="103" t="n">
        <v>0.67</v>
      </c>
      <c r="BJ265" s="103" t="inlineStr">
        <is>
          <t>Distress</t>
        </is>
      </c>
      <c r="BK265" s="103" t="n">
        <v>0</v>
      </c>
      <c r="BL265" s="103" t="n">
        <v>1</v>
      </c>
      <c r="BM265" s="103" t="n">
        <v>0</v>
      </c>
      <c r="BN265" s="103" t="n">
        <v>1</v>
      </c>
      <c r="BO265" s="103" t="n">
        <v>1</v>
      </c>
      <c r="BP265" s="103" t="n">
        <v>1</v>
      </c>
      <c r="BQ265" s="103" t="n">
        <v>0</v>
      </c>
      <c r="BR265" s="103" t="n">
        <v>0</v>
      </c>
      <c r="BS265" s="103" t="n">
        <v>1</v>
      </c>
      <c r="BT265" s="103" t="n">
        <v>5</v>
      </c>
      <c r="BU265" s="103" t="inlineStr">
        <is>
          <t>Mixed</t>
        </is>
      </c>
      <c r="BV265" s="104" t="n">
        <v>0.97</v>
      </c>
      <c r="BW265" s="104" t="n">
        <v>1.06</v>
      </c>
      <c r="BX265" s="104" t="n">
        <v>0.71</v>
      </c>
      <c r="BY265" s="104" t="n">
        <v>0.97</v>
      </c>
      <c r="BZ265" s="104" t="n">
        <v>1</v>
      </c>
      <c r="CA265" s="104" t="n">
        <v>1.01</v>
      </c>
      <c r="CB265" s="104" t="n">
        <v>1.06</v>
      </c>
      <c r="CC265" s="104" t="n">
        <v>-0.14</v>
      </c>
      <c r="CD265" s="103" t="n">
        <v>-3.28</v>
      </c>
      <c r="CE265" s="103" t="inlineStr">
        <is>
          <t>Lower Risk</t>
        </is>
      </c>
      <c r="CF265" s="104" t="n">
        <v>1.67</v>
      </c>
      <c r="CG265" s="104" t="n">
        <v>48.59</v>
      </c>
      <c r="CH265" s="106" t="n">
        <v>40</v>
      </c>
      <c r="CI265" s="103" t="inlineStr">
        <is>
          <t>WATCH</t>
        </is>
      </c>
    </row>
    <row r="266" ht="17" customHeight="1">
      <c r="A266" s="107" t="inlineStr">
        <is>
          <t>CLH</t>
        </is>
      </c>
      <c r="B266" s="107" t="inlineStr">
        <is>
          <t>CLEAN HARBORS, INC</t>
        </is>
      </c>
      <c r="C266" s="108" t="n">
        <v>1510396000</v>
      </c>
      <c r="D266" s="109" t="n">
        <v>0.23</v>
      </c>
      <c r="E266" s="109" t="n">
        <v>0.18</v>
      </c>
      <c r="F266" s="109" t="n">
        <v>0.13</v>
      </c>
      <c r="G266" s="109" t="n">
        <v>0.05</v>
      </c>
      <c r="H266" s="109" t="n">
        <v>0.05</v>
      </c>
      <c r="I266" s="109" t="n">
        <v>0.14</v>
      </c>
      <c r="J266" s="109" t="n">
        <v>0.1</v>
      </c>
      <c r="K266" s="109" t="n">
        <v>0.08</v>
      </c>
      <c r="L266" s="109" t="n">
        <v>0.34</v>
      </c>
      <c r="M266" s="109" t="n">
        <v>0.39</v>
      </c>
      <c r="N266" s="108" t="n">
        <v>0.1</v>
      </c>
      <c r="O266" s="108" t="n">
        <v>2.33</v>
      </c>
      <c r="P266" s="108" t="n">
        <v>2.21</v>
      </c>
      <c r="Q266" s="108" t="n">
        <v>2</v>
      </c>
      <c r="R266" s="108" t="n">
        <v>0.2</v>
      </c>
      <c r="S266" s="108" t="n">
        <v>0.34</v>
      </c>
      <c r="T266" s="108" t="n">
        <v>0.34</v>
      </c>
      <c r="U266" s="108" t="n">
        <v>1.01</v>
      </c>
      <c r="V266" s="108" t="n">
        <v>0.93</v>
      </c>
      <c r="W266" s="108" t="n">
        <v>2.22</v>
      </c>
      <c r="X266" s="109" t="n">
        <v>0.15</v>
      </c>
      <c r="Y266" s="109" t="n">
        <v>0</v>
      </c>
      <c r="Z266" s="111" t="inlineStr">
        <is>
          <t>N/A</t>
        </is>
      </c>
      <c r="AA266" s="109" t="n">
        <v>2.94</v>
      </c>
      <c r="AB266" s="109" t="n">
        <v>-0.03</v>
      </c>
      <c r="AC266" s="108" t="n">
        <v>-0.06</v>
      </c>
      <c r="AD266" s="108" t="n">
        <v>-0.06</v>
      </c>
      <c r="AE266" s="108" t="n">
        <v>0.2</v>
      </c>
      <c r="AF266" s="108" t="n">
        <v>0.36</v>
      </c>
      <c r="AG266" s="108" t="n">
        <v>0.09</v>
      </c>
      <c r="AH266" s="108" t="n">
        <v>1.07</v>
      </c>
      <c r="AI266" s="108" t="n">
        <v>0.39</v>
      </c>
      <c r="AJ266" s="108" t="n">
        <v>2.06</v>
      </c>
      <c r="AK266" s="106" t="inlineStr">
        <is>
          <t>Grey</t>
        </is>
      </c>
      <c r="AL266" s="108" t="n">
        <v>0.2</v>
      </c>
      <c r="AM266" s="108" t="n">
        <v>0.36</v>
      </c>
      <c r="AN266" s="108" t="n">
        <v>0.09</v>
      </c>
      <c r="AO266" s="108" t="n">
        <v>1.07</v>
      </c>
      <c r="AP266" s="108" t="n">
        <v>0.39</v>
      </c>
      <c r="AQ266" s="107" t="n">
        <v>1.56</v>
      </c>
      <c r="AR266" s="107" t="inlineStr">
        <is>
          <t>Grey</t>
        </is>
      </c>
      <c r="AS266" s="108" t="n">
        <v>0.2</v>
      </c>
      <c r="AT266" s="108" t="n">
        <v>0.36</v>
      </c>
      <c r="AU266" s="108" t="n">
        <v>0.09</v>
      </c>
      <c r="AV266" s="108" t="n">
        <v>1.07</v>
      </c>
      <c r="AW266" s="107" t="n">
        <v>4.19</v>
      </c>
      <c r="AX266" s="107" t="inlineStr">
        <is>
          <t>Safe</t>
        </is>
      </c>
      <c r="AY266" s="108" t="n">
        <v>0.2</v>
      </c>
      <c r="AZ266" s="108" t="n">
        <v>0.09</v>
      </c>
      <c r="BA266" s="108" t="n">
        <v>0.46</v>
      </c>
      <c r="BB266" s="108" t="n">
        <v>0.39</v>
      </c>
      <c r="BC266" s="107" t="n">
        <v>0.9399999999999999</v>
      </c>
      <c r="BD266" s="107" t="inlineStr">
        <is>
          <t>Healthy</t>
        </is>
      </c>
      <c r="BE266" s="108" t="n">
        <v>0.05</v>
      </c>
      <c r="BF266" s="108" t="n">
        <v>0.34</v>
      </c>
      <c r="BG266" s="108" t="n">
        <v>2.33</v>
      </c>
      <c r="BH266" s="108" t="n">
        <v>-2.64</v>
      </c>
      <c r="BI266" s="107" t="n">
        <v>0.07000000000000001</v>
      </c>
      <c r="BJ266" s="107" t="inlineStr">
        <is>
          <t>Healthy</t>
        </is>
      </c>
      <c r="BK266" s="107" t="n">
        <v>1</v>
      </c>
      <c r="BL266" s="107" t="n">
        <v>1</v>
      </c>
      <c r="BM266" s="107" t="n">
        <v>0</v>
      </c>
      <c r="BN266" s="107" t="n">
        <v>1</v>
      </c>
      <c r="BO266" s="107" t="n">
        <v>1</v>
      </c>
      <c r="BP266" s="107" t="n">
        <v>1</v>
      </c>
      <c r="BQ266" s="107" t="n">
        <v>1</v>
      </c>
      <c r="BR266" s="107" t="n">
        <v>0</v>
      </c>
      <c r="BS266" s="107" t="n">
        <v>1</v>
      </c>
      <c r="BT266" s="107" t="n">
        <v>7</v>
      </c>
      <c r="BU266" s="107" t="inlineStr">
        <is>
          <t>Strong</t>
        </is>
      </c>
      <c r="BV266" s="108" t="n">
        <v>0.26</v>
      </c>
      <c r="BW266" s="108" t="n">
        <v>4.26</v>
      </c>
      <c r="BX266" s="108" t="n">
        <v>0.98</v>
      </c>
      <c r="BY266" s="108" t="n">
        <v>3.94</v>
      </c>
      <c r="BZ266" s="108" t="n">
        <v>0.63</v>
      </c>
      <c r="CA266" s="108" t="n">
        <v>0.26</v>
      </c>
      <c r="CB266" s="108" t="n">
        <v>0.99</v>
      </c>
      <c r="CC266" s="108" t="n">
        <v>-0.06</v>
      </c>
      <c r="CD266" s="107" t="n">
        <v>0.97</v>
      </c>
      <c r="CE266" s="107" t="inlineStr">
        <is>
          <t>Higher Risk</t>
        </is>
      </c>
      <c r="CF266" s="108" t="n">
        <v>2.88</v>
      </c>
      <c r="CG266" s="108" t="n">
        <v>53.15</v>
      </c>
      <c r="CH266" s="107" t="n">
        <v>20</v>
      </c>
      <c r="CI266" s="107" t="inlineStr">
        <is>
          <t>CLEAR</t>
        </is>
      </c>
    </row>
    <row r="267" ht="17" customHeight="1">
      <c r="A267" s="103" t="inlineStr">
        <is>
          <t>GTLB</t>
        </is>
      </c>
      <c r="B267" s="103" t="inlineStr">
        <is>
          <t>GITLAB INC.</t>
        </is>
      </c>
      <c r="C267" s="104" t="n">
        <v>1003636000</v>
      </c>
      <c r="D267" s="105" t="n">
        <v>-0.07000000000000001</v>
      </c>
      <c r="E267" s="105" t="n">
        <v>-0.05</v>
      </c>
      <c r="F267" s="105" t="n">
        <v>-0.06</v>
      </c>
      <c r="G267" s="105" t="n">
        <v>-0.03</v>
      </c>
      <c r="H267" s="105" t="n">
        <v>-0</v>
      </c>
      <c r="I267" s="105" t="n">
        <v>-0.06</v>
      </c>
      <c r="J267" s="105" t="n">
        <v>-0.07000000000000001</v>
      </c>
      <c r="K267" s="105" t="n">
        <v>0.87</v>
      </c>
      <c r="L267" s="105" t="n">
        <v>0.89</v>
      </c>
      <c r="M267" s="105" t="n">
        <v>0.55</v>
      </c>
      <c r="N267" s="104" t="n">
        <v>0.54</v>
      </c>
      <c r="O267" s="104" t="n">
        <v>2.54</v>
      </c>
      <c r="P267" s="104" t="n">
        <v>2.45</v>
      </c>
      <c r="Q267" s="104" t="n">
        <v>2.54</v>
      </c>
      <c r="R267" s="104" t="n">
        <v>0.35</v>
      </c>
      <c r="S267" s="104" t="n">
        <v>0.4</v>
      </c>
      <c r="T267" s="104" t="n">
        <v>0.41</v>
      </c>
      <c r="U267" s="113" t="inlineStr">
        <is>
          <t>N/A</t>
        </is>
      </c>
      <c r="V267" s="113" t="inlineStr">
        <is>
          <t>N/A</t>
        </is>
      </c>
      <c r="W267" s="104" t="n">
        <v>-4.16</v>
      </c>
      <c r="X267" s="105" t="n">
        <v>0.23</v>
      </c>
      <c r="Y267" s="105" t="n">
        <v>0.29</v>
      </c>
      <c r="Z267" s="113" t="inlineStr">
        <is>
          <t>N/A</t>
        </is>
      </c>
      <c r="AA267" s="105" t="n">
        <v>0.26</v>
      </c>
      <c r="AB267" s="105" t="n">
        <v>7.85</v>
      </c>
      <c r="AC267" s="104" t="n">
        <v>-0.17</v>
      </c>
      <c r="AD267" s="104" t="n">
        <v>-0.17</v>
      </c>
      <c r="AE267" s="104" t="n">
        <v>0.58</v>
      </c>
      <c r="AF267" s="104" t="n">
        <v>-0.71</v>
      </c>
      <c r="AG267" s="104" t="n">
        <v>-0.04</v>
      </c>
      <c r="AH267" s="104" t="n">
        <v>1.44</v>
      </c>
      <c r="AI267" s="104" t="n">
        <v>0.55</v>
      </c>
      <c r="AJ267" s="104" t="n">
        <v>0.99</v>
      </c>
      <c r="AK267" s="112" t="inlineStr">
        <is>
          <t>Distress</t>
        </is>
      </c>
      <c r="AL267" s="104" t="n">
        <v>0.58</v>
      </c>
      <c r="AM267" s="104" t="n">
        <v>-0.71</v>
      </c>
      <c r="AN267" s="104" t="n">
        <v>-0.04</v>
      </c>
      <c r="AO267" s="104" t="n">
        <v>1.44</v>
      </c>
      <c r="AP267" s="104" t="n">
        <v>0.55</v>
      </c>
      <c r="AQ267" s="103" t="n">
        <v>0.85</v>
      </c>
      <c r="AR267" s="103" t="inlineStr">
        <is>
          <t>Distress</t>
        </is>
      </c>
      <c r="AS267" s="104" t="n">
        <v>0.58</v>
      </c>
      <c r="AT267" s="104" t="n">
        <v>-0.71</v>
      </c>
      <c r="AU267" s="104" t="n">
        <v>-0.04</v>
      </c>
      <c r="AV267" s="104" t="n">
        <v>1.44</v>
      </c>
      <c r="AW267" s="103" t="n">
        <v>2.75</v>
      </c>
      <c r="AX267" s="103" t="inlineStr">
        <is>
          <t>Safe</t>
        </is>
      </c>
      <c r="AY267" s="104" t="n">
        <v>0.58</v>
      </c>
      <c r="AZ267" s="104" t="n">
        <v>-0.04</v>
      </c>
      <c r="BA267" s="104" t="n">
        <v>-0.07000000000000001</v>
      </c>
      <c r="BB267" s="104" t="n">
        <v>0.55</v>
      </c>
      <c r="BC267" s="103" t="n">
        <v>0.65</v>
      </c>
      <c r="BD267" s="103" t="inlineStr">
        <is>
          <t>Distress</t>
        </is>
      </c>
      <c r="BE267" s="104" t="n">
        <v>-0.03</v>
      </c>
      <c r="BF267" s="104" t="n">
        <v>0.4</v>
      </c>
      <c r="BG267" s="104" t="n">
        <v>2.54</v>
      </c>
      <c r="BH267" s="104" t="n">
        <v>-1.92</v>
      </c>
      <c r="BI267" s="103" t="n">
        <v>0.13</v>
      </c>
      <c r="BJ267" s="103" t="inlineStr">
        <is>
          <t>Healthy</t>
        </is>
      </c>
      <c r="BK267" s="103" t="n">
        <v>0</v>
      </c>
      <c r="BL267" s="103" t="n">
        <v>1</v>
      </c>
      <c r="BM267" s="103" t="n">
        <v>0</v>
      </c>
      <c r="BN267" s="103" t="n">
        <v>1</v>
      </c>
      <c r="BO267" s="103" t="n">
        <v>0</v>
      </c>
      <c r="BP267" s="103" t="n">
        <v>1</v>
      </c>
      <c r="BQ267" s="103" t="n">
        <v>0</v>
      </c>
      <c r="BR267" s="103" t="n">
        <v>0</v>
      </c>
      <c r="BS267" s="103" t="n">
        <v>1</v>
      </c>
      <c r="BT267" s="103" t="n">
        <v>4</v>
      </c>
      <c r="BU267" s="103" t="inlineStr">
        <is>
          <t>Mixed</t>
        </is>
      </c>
      <c r="BV267" s="104" t="n">
        <v>0.91</v>
      </c>
      <c r="BW267" s="104" t="n">
        <v>1.02</v>
      </c>
      <c r="BX267" s="104" t="n">
        <v>0.76</v>
      </c>
      <c r="BY267" s="104" t="n">
        <v>1.26</v>
      </c>
      <c r="BZ267" s="104" t="n">
        <v>1.92</v>
      </c>
      <c r="CA267" s="104" t="n">
        <v>0.8100000000000001</v>
      </c>
      <c r="CB267" s="104" t="n">
        <v>0.96</v>
      </c>
      <c r="CC267" s="104" t="n">
        <v>-0.17</v>
      </c>
      <c r="CD267" s="103" t="n">
        <v>-3.05</v>
      </c>
      <c r="CE267" s="103" t="inlineStr">
        <is>
          <t>Lower Risk</t>
        </is>
      </c>
      <c r="CF267" s="113" t="inlineStr">
        <is>
          <t>N/A</t>
        </is>
      </c>
      <c r="CG267" s="104" t="n">
        <v>43.63</v>
      </c>
      <c r="CH267" s="106" t="n">
        <v>40</v>
      </c>
      <c r="CI267" s="103" t="inlineStr">
        <is>
          <t>WATCH</t>
        </is>
      </c>
    </row>
    <row r="268" ht="17" customHeight="1">
      <c r="A268" s="107" t="inlineStr">
        <is>
          <t>COLD</t>
        </is>
      </c>
      <c r="B268" s="107" t="inlineStr">
        <is>
          <t>AMERICOLD REALTY TRUST, INC.</t>
        </is>
      </c>
      <c r="C268" s="111" t="inlineStr">
        <is>
          <t>N/A</t>
        </is>
      </c>
      <c r="D268" s="109" t="n">
        <v>0</v>
      </c>
      <c r="E268" s="109" t="n">
        <v>-0.05</v>
      </c>
      <c r="F268" s="109" t="n">
        <v>-0.04</v>
      </c>
      <c r="G268" s="109" t="n">
        <v>-0.01</v>
      </c>
      <c r="H268" s="109" t="n">
        <v>-0.01</v>
      </c>
      <c r="I268" s="109" t="n">
        <v>-0.04</v>
      </c>
      <c r="J268" s="111" t="inlineStr">
        <is>
          <t>N/A</t>
        </is>
      </c>
      <c r="K268" s="109" t="n">
        <v>0.32</v>
      </c>
      <c r="L268" s="109" t="n">
        <v>0.32</v>
      </c>
      <c r="M268" s="109" t="n">
        <v>0.32</v>
      </c>
      <c r="N268" s="108" t="n">
        <v>0.34</v>
      </c>
      <c r="O268" s="111" t="inlineStr">
        <is>
          <t>N/A</t>
        </is>
      </c>
      <c r="P268" s="111" t="inlineStr">
        <is>
          <t>N/A</t>
        </is>
      </c>
      <c r="Q268" s="111" t="inlineStr">
        <is>
          <t>N/A</t>
        </is>
      </c>
      <c r="R268" s="111" t="inlineStr">
        <is>
          <t>N/A</t>
        </is>
      </c>
      <c r="S268" s="108" t="n">
        <v>0.64</v>
      </c>
      <c r="T268" s="108" t="n">
        <v>0.57</v>
      </c>
      <c r="U268" s="108" t="n">
        <v>0.92</v>
      </c>
      <c r="V268" s="108" t="n">
        <v>0.87</v>
      </c>
      <c r="W268" s="108" t="n">
        <v>-3.14</v>
      </c>
      <c r="X268" s="109" t="n">
        <v>-0.08</v>
      </c>
      <c r="Y268" s="109" t="n">
        <v>0</v>
      </c>
      <c r="Z268" s="109" t="n">
        <v>0.07000000000000001</v>
      </c>
      <c r="AA268" s="109" t="n">
        <v>-0.02</v>
      </c>
      <c r="AB268" s="109" t="n">
        <v>0.21</v>
      </c>
      <c r="AC268" s="108" t="n">
        <v>-0.06</v>
      </c>
      <c r="AD268" s="108" t="n">
        <v>-0.06</v>
      </c>
      <c r="AE268" s="111" t="inlineStr">
        <is>
          <t>N/A</t>
        </is>
      </c>
      <c r="AF268" s="108" t="n">
        <v>-0.33</v>
      </c>
      <c r="AG268" s="108" t="n">
        <v>0</v>
      </c>
      <c r="AH268" s="108" t="n">
        <v>0.55</v>
      </c>
      <c r="AI268" s="108" t="n">
        <v>0.32</v>
      </c>
      <c r="AJ268" s="111" t="inlineStr">
        <is>
          <t>N/A</t>
        </is>
      </c>
      <c r="AK268" s="111" t="inlineStr">
        <is>
          <t>N/A</t>
        </is>
      </c>
      <c r="AL268" s="111" t="inlineStr">
        <is>
          <t>N/A</t>
        </is>
      </c>
      <c r="AM268" s="108" t="n">
        <v>-0.33</v>
      </c>
      <c r="AN268" s="108" t="n">
        <v>0</v>
      </c>
      <c r="AO268" s="108" t="n">
        <v>0.55</v>
      </c>
      <c r="AP268" s="108" t="n">
        <v>0.32</v>
      </c>
      <c r="AQ268" s="111" t="inlineStr">
        <is>
          <t>N/A</t>
        </is>
      </c>
      <c r="AR268" s="111" t="inlineStr">
        <is>
          <t>N/A</t>
        </is>
      </c>
      <c r="AS268" s="111" t="inlineStr">
        <is>
          <t>N/A</t>
        </is>
      </c>
      <c r="AT268" s="108" t="n">
        <v>-0.33</v>
      </c>
      <c r="AU268" s="108" t="n">
        <v>0</v>
      </c>
      <c r="AV268" s="108" t="n">
        <v>0.55</v>
      </c>
      <c r="AW268" s="111" t="inlineStr">
        <is>
          <t>N/A</t>
        </is>
      </c>
      <c r="AX268" s="111" t="inlineStr">
        <is>
          <t>N/A</t>
        </is>
      </c>
      <c r="AY268" s="111" t="inlineStr">
        <is>
          <t>N/A</t>
        </is>
      </c>
      <c r="AZ268" s="108" t="n">
        <v>0</v>
      </c>
      <c r="BA268" s="111" t="inlineStr">
        <is>
          <t>N/A</t>
        </is>
      </c>
      <c r="BB268" s="108" t="n">
        <v>0.32</v>
      </c>
      <c r="BC268" s="111" t="inlineStr">
        <is>
          <t>N/A</t>
        </is>
      </c>
      <c r="BD268" s="111" t="inlineStr">
        <is>
          <t>N/A</t>
        </is>
      </c>
      <c r="BE268" s="108" t="n">
        <v>-0.01</v>
      </c>
      <c r="BF268" s="108" t="n">
        <v>0.64</v>
      </c>
      <c r="BG268" s="111" t="inlineStr">
        <is>
          <t>N/A</t>
        </is>
      </c>
      <c r="BH268" s="111" t="inlineStr">
        <is>
          <t>N/A</t>
        </is>
      </c>
      <c r="BI268" s="111" t="inlineStr">
        <is>
          <t>N/A</t>
        </is>
      </c>
      <c r="BJ268" s="111" t="inlineStr">
        <is>
          <t>N/A</t>
        </is>
      </c>
      <c r="BK268" s="107" t="n">
        <v>0</v>
      </c>
      <c r="BL268" s="107" t="n">
        <v>1</v>
      </c>
      <c r="BM268" s="107" t="n">
        <v>0</v>
      </c>
      <c r="BN268" s="107" t="n">
        <v>1</v>
      </c>
      <c r="BO268" s="107" t="n">
        <v>0</v>
      </c>
      <c r="BP268" s="107" t="n">
        <v>0</v>
      </c>
      <c r="BQ268" s="107" t="n">
        <v>0</v>
      </c>
      <c r="BR268" s="107" t="n">
        <v>1</v>
      </c>
      <c r="BS268" s="107" t="n">
        <v>0</v>
      </c>
      <c r="BT268" s="107" t="n">
        <v>3</v>
      </c>
      <c r="BU268" s="107" t="inlineStr">
        <is>
          <t>Weak</t>
        </is>
      </c>
      <c r="BV268" s="108" t="n">
        <v>0.98</v>
      </c>
      <c r="BW268" s="108" t="n">
        <v>0.98</v>
      </c>
      <c r="BX268" s="108" t="n">
        <v>0.97</v>
      </c>
      <c r="BY268" s="108" t="n">
        <v>0.98</v>
      </c>
      <c r="BZ268" s="108" t="n">
        <v>1.04</v>
      </c>
      <c r="CA268" s="108" t="n">
        <v>1.08</v>
      </c>
      <c r="CB268" s="108" t="n">
        <v>1.12</v>
      </c>
      <c r="CC268" s="108" t="n">
        <v>-0.06</v>
      </c>
      <c r="CD268" s="107" t="n">
        <v>-2.86</v>
      </c>
      <c r="CE268" s="107" t="inlineStr">
        <is>
          <t>Lower Risk</t>
        </is>
      </c>
      <c r="CF268" s="108" t="n">
        <v>6.7</v>
      </c>
      <c r="CG268" s="108" t="n">
        <v>35.33</v>
      </c>
      <c r="CH268" s="107" t="n">
        <v>20</v>
      </c>
      <c r="CI268" s="107" t="inlineStr">
        <is>
          <t>CLEAR</t>
        </is>
      </c>
    </row>
    <row r="269" ht="17" customHeight="1">
      <c r="A269" s="103" t="inlineStr">
        <is>
          <t>THC</t>
        </is>
      </c>
      <c r="B269" s="103" t="inlineStr">
        <is>
          <t>TENET HEALTHCARE CORP</t>
        </is>
      </c>
      <c r="C269" s="104" t="n">
        <v>3386000000</v>
      </c>
      <c r="D269" s="105" t="n">
        <v>0.19</v>
      </c>
      <c r="E269" s="105" t="n">
        <v>0.15</v>
      </c>
      <c r="F269" s="105" t="n">
        <v>0.06</v>
      </c>
      <c r="G269" s="105" t="n">
        <v>0.04</v>
      </c>
      <c r="H269" s="105" t="n">
        <v>0.01</v>
      </c>
      <c r="I269" s="105" t="n">
        <v>0.27</v>
      </c>
      <c r="J269" s="105" t="n">
        <v>0.14</v>
      </c>
      <c r="K269" s="113" t="inlineStr">
        <is>
          <t>N/A</t>
        </is>
      </c>
      <c r="L269" s="113" t="inlineStr">
        <is>
          <t>N/A</t>
        </is>
      </c>
      <c r="M269" s="105" t="n">
        <v>0.62</v>
      </c>
      <c r="N269" s="104" t="n">
        <v>0.17</v>
      </c>
      <c r="O269" s="104" t="n">
        <v>1.76</v>
      </c>
      <c r="P269" s="104" t="n">
        <v>1.78</v>
      </c>
      <c r="Q269" s="104" t="n">
        <v>1.68</v>
      </c>
      <c r="R269" s="104" t="n">
        <v>0.65</v>
      </c>
      <c r="S269" s="104" t="n">
        <v>0.7</v>
      </c>
      <c r="T269" s="104" t="n">
        <v>0.7</v>
      </c>
      <c r="U269" s="113" t="inlineStr">
        <is>
          <t>N/A</t>
        </is>
      </c>
      <c r="V269" s="113" t="inlineStr">
        <is>
          <t>N/A</t>
        </is>
      </c>
      <c r="W269" s="104" t="n">
        <v>3.16</v>
      </c>
      <c r="X269" s="105" t="n">
        <v>0.14</v>
      </c>
      <c r="Y269" s="113" t="inlineStr">
        <is>
          <t>N/A</t>
        </is>
      </c>
      <c r="Z269" s="105" t="n">
        <v>3.89</v>
      </c>
      <c r="AA269" s="105" t="n">
        <v>2.84</v>
      </c>
      <c r="AB269" s="105" t="n">
        <v>5.18</v>
      </c>
      <c r="AC269" s="104" t="n">
        <v>-0.08</v>
      </c>
      <c r="AD269" s="104" t="n">
        <v>-0.08</v>
      </c>
      <c r="AE269" s="104" t="n">
        <v>0.11</v>
      </c>
      <c r="AF269" s="104" t="n">
        <v>0.15</v>
      </c>
      <c r="AG269" s="104" t="n">
        <v>0.12</v>
      </c>
      <c r="AH269" s="104" t="n">
        <v>0.2</v>
      </c>
      <c r="AI269" s="104" t="n">
        <v>0.62</v>
      </c>
      <c r="AJ269" s="104" t="n">
        <v>1.48</v>
      </c>
      <c r="AK269" s="112" t="inlineStr">
        <is>
          <t>Distress</t>
        </is>
      </c>
      <c r="AL269" s="104" t="n">
        <v>0.11</v>
      </c>
      <c r="AM269" s="104" t="n">
        <v>0.15</v>
      </c>
      <c r="AN269" s="104" t="n">
        <v>0.12</v>
      </c>
      <c r="AO269" s="104" t="n">
        <v>0.2</v>
      </c>
      <c r="AP269" s="104" t="n">
        <v>0.62</v>
      </c>
      <c r="AQ269" s="103" t="n">
        <v>1.28</v>
      </c>
      <c r="AR269" s="103" t="inlineStr">
        <is>
          <t>Grey</t>
        </is>
      </c>
      <c r="AS269" s="104" t="n">
        <v>0.11</v>
      </c>
      <c r="AT269" s="104" t="n">
        <v>0.15</v>
      </c>
      <c r="AU269" s="104" t="n">
        <v>0.12</v>
      </c>
      <c r="AV269" s="104" t="n">
        <v>0.2</v>
      </c>
      <c r="AW269" s="103" t="n">
        <v>2.24</v>
      </c>
      <c r="AX269" s="103" t="inlineStr">
        <is>
          <t>Grey</t>
        </is>
      </c>
      <c r="AY269" s="104" t="n">
        <v>0.11</v>
      </c>
      <c r="AZ269" s="104" t="n">
        <v>0.12</v>
      </c>
      <c r="BA269" s="104" t="n">
        <v>0.63</v>
      </c>
      <c r="BB269" s="104" t="n">
        <v>0.62</v>
      </c>
      <c r="BC269" s="103" t="n">
        <v>1.14</v>
      </c>
      <c r="BD269" s="103" t="inlineStr">
        <is>
          <t>Healthy</t>
        </is>
      </c>
      <c r="BE269" s="104" t="n">
        <v>0.04</v>
      </c>
      <c r="BF269" s="104" t="n">
        <v>0.7</v>
      </c>
      <c r="BG269" s="104" t="n">
        <v>1.76</v>
      </c>
      <c r="BH269" s="104" t="n">
        <v>-0.54</v>
      </c>
      <c r="BI269" s="103" t="n">
        <v>0.37</v>
      </c>
      <c r="BJ269" s="103" t="inlineStr">
        <is>
          <t>Healthy</t>
        </is>
      </c>
      <c r="BK269" s="103" t="n">
        <v>1</v>
      </c>
      <c r="BL269" s="103" t="n">
        <v>1</v>
      </c>
      <c r="BM269" s="103" t="n">
        <v>1</v>
      </c>
      <c r="BN269" s="103" t="n">
        <v>1</v>
      </c>
      <c r="BO269" s="103" t="n">
        <v>0</v>
      </c>
      <c r="BP269" s="103" t="n">
        <v>0</v>
      </c>
      <c r="BQ269" s="103" t="n">
        <v>0</v>
      </c>
      <c r="BR269" s="103" t="n">
        <v>0</v>
      </c>
      <c r="BS269" s="103" t="n">
        <v>1</v>
      </c>
      <c r="BT269" s="103" t="n">
        <v>5</v>
      </c>
      <c r="BU269" s="103" t="inlineStr">
        <is>
          <t>Mixed</t>
        </is>
      </c>
      <c r="BV269" s="104" t="n">
        <v>0.26</v>
      </c>
      <c r="BW269" s="113" t="inlineStr">
        <is>
          <t>N/A</t>
        </is>
      </c>
      <c r="BX269" s="104" t="n">
        <v>1.01</v>
      </c>
      <c r="BY269" s="104" t="n">
        <v>3.84</v>
      </c>
      <c r="BZ269" s="104" t="n">
        <v>1.06</v>
      </c>
      <c r="CA269" s="113" t="inlineStr">
        <is>
          <t>N/A</t>
        </is>
      </c>
      <c r="CB269" s="104" t="n">
        <v>0.99</v>
      </c>
      <c r="CC269" s="104" t="n">
        <v>-0.08</v>
      </c>
      <c r="CD269" s="113" t="inlineStr">
        <is>
          <t>N/A</t>
        </is>
      </c>
      <c r="CE269" s="113" t="inlineStr">
        <is>
          <t>N/A</t>
        </is>
      </c>
      <c r="CF269" s="113" t="inlineStr">
        <is>
          <t>N/A</t>
        </is>
      </c>
      <c r="CG269" s="104" t="n">
        <v>47.43</v>
      </c>
      <c r="CH269" s="103" t="n">
        <v>0</v>
      </c>
      <c r="CI269" s="103" t="inlineStr">
        <is>
          <t>CLEAR</t>
        </is>
      </c>
    </row>
    <row r="270" ht="17" customHeight="1">
      <c r="A270" s="107" t="inlineStr">
        <is>
          <t>AAPL</t>
        </is>
      </c>
      <c r="B270" s="107" t="inlineStr">
        <is>
          <t>Apple Inc.</t>
        </is>
      </c>
      <c r="C270" s="108" t="n">
        <v>-17674000000</v>
      </c>
      <c r="D270" s="109" t="n">
        <v>0.5</v>
      </c>
      <c r="E270" s="109" t="n">
        <v>0.5</v>
      </c>
      <c r="F270" s="109" t="n">
        <v>0.42</v>
      </c>
      <c r="G270" s="109" t="n">
        <v>0.31</v>
      </c>
      <c r="H270" s="109" t="n">
        <v>0.26</v>
      </c>
      <c r="I270" s="109" t="n">
        <v>1.52</v>
      </c>
      <c r="J270" s="109" t="n">
        <v>0.6899999999999999</v>
      </c>
      <c r="K270" s="109" t="n">
        <v>0.73</v>
      </c>
      <c r="L270" s="109" t="n">
        <v>2.87</v>
      </c>
      <c r="M270" s="109" t="n">
        <v>0.74</v>
      </c>
      <c r="N270" s="108" t="n">
        <v>0.17</v>
      </c>
      <c r="O270" s="108" t="n">
        <v>0.89</v>
      </c>
      <c r="P270" s="108" t="n">
        <v>0.87</v>
      </c>
      <c r="Q270" s="108" t="n">
        <v>0.86</v>
      </c>
      <c r="R270" s="108" t="n">
        <v>0.22</v>
      </c>
      <c r="S270" s="108" t="n">
        <v>0.79</v>
      </c>
      <c r="T270" s="108" t="n">
        <v>0.84</v>
      </c>
      <c r="U270" s="108" t="n">
        <v>1.4</v>
      </c>
      <c r="V270" s="108" t="n">
        <v>0.91</v>
      </c>
      <c r="W270" s="108" t="n">
        <v>1</v>
      </c>
      <c r="X270" s="109" t="n">
        <v>0.37</v>
      </c>
      <c r="Y270" s="109" t="n">
        <v>0.13</v>
      </c>
      <c r="Z270" s="109" t="n">
        <v>33.83</v>
      </c>
      <c r="AA270" s="109" t="n">
        <v>3.22</v>
      </c>
      <c r="AB270" s="109" t="n">
        <v>0.19</v>
      </c>
      <c r="AC270" s="108" t="n">
        <v>0</v>
      </c>
      <c r="AD270" s="108" t="n">
        <v>0</v>
      </c>
      <c r="AE270" s="108" t="n">
        <v>-0.05</v>
      </c>
      <c r="AF270" s="108" t="n">
        <v>-0.04</v>
      </c>
      <c r="AG270" s="108" t="n">
        <v>0.37</v>
      </c>
      <c r="AH270" s="108" t="n">
        <v>0.26</v>
      </c>
      <c r="AI270" s="108" t="n">
        <v>0.74</v>
      </c>
      <c r="AJ270" s="108" t="n">
        <v>2</v>
      </c>
      <c r="AK270" s="106" t="inlineStr">
        <is>
          <t>Grey</t>
        </is>
      </c>
      <c r="AL270" s="108" t="n">
        <v>-0.05</v>
      </c>
      <c r="AM270" s="108" t="n">
        <v>-0.04</v>
      </c>
      <c r="AN270" s="108" t="n">
        <v>0.37</v>
      </c>
      <c r="AO270" s="108" t="n">
        <v>0.26</v>
      </c>
      <c r="AP270" s="108" t="n">
        <v>0.74</v>
      </c>
      <c r="AQ270" s="107" t="n">
        <v>1.93</v>
      </c>
      <c r="AR270" s="107" t="inlineStr">
        <is>
          <t>Grey</t>
        </is>
      </c>
      <c r="AS270" s="108" t="n">
        <v>-0.05</v>
      </c>
      <c r="AT270" s="108" t="n">
        <v>-0.04</v>
      </c>
      <c r="AU270" s="108" t="n">
        <v>0.37</v>
      </c>
      <c r="AV270" s="108" t="n">
        <v>0.26</v>
      </c>
      <c r="AW270" s="107" t="n">
        <v>2.31</v>
      </c>
      <c r="AX270" s="107" t="inlineStr">
        <is>
          <t>Grey</t>
        </is>
      </c>
      <c r="AY270" s="108" t="n">
        <v>-0.05</v>
      </c>
      <c r="AZ270" s="108" t="n">
        <v>0.37</v>
      </c>
      <c r="BA270" s="108" t="n">
        <v>0.8</v>
      </c>
      <c r="BB270" s="108" t="n">
        <v>0.74</v>
      </c>
      <c r="BC270" s="107" t="n">
        <v>1.91</v>
      </c>
      <c r="BD270" s="107" t="inlineStr">
        <is>
          <t>Healthy</t>
        </is>
      </c>
      <c r="BE270" s="108" t="n">
        <v>0.31</v>
      </c>
      <c r="BF270" s="108" t="n">
        <v>0.79</v>
      </c>
      <c r="BG270" s="108" t="n">
        <v>0.89</v>
      </c>
      <c r="BH270" s="108" t="n">
        <v>-1.23</v>
      </c>
      <c r="BI270" s="107" t="n">
        <v>0.23</v>
      </c>
      <c r="BJ270" s="107" t="inlineStr">
        <is>
          <t>Healthy</t>
        </is>
      </c>
      <c r="BK270" s="107" t="n">
        <v>1</v>
      </c>
      <c r="BL270" s="107" t="n">
        <v>1</v>
      </c>
      <c r="BM270" s="107" t="n">
        <v>1</v>
      </c>
      <c r="BN270" s="107" t="n">
        <v>0</v>
      </c>
      <c r="BO270" s="107" t="n">
        <v>1</v>
      </c>
      <c r="BP270" s="107" t="n">
        <v>1</v>
      </c>
      <c r="BQ270" s="107" t="n">
        <v>1</v>
      </c>
      <c r="BR270" s="107" t="n">
        <v>0</v>
      </c>
      <c r="BS270" s="107" t="n">
        <v>1</v>
      </c>
      <c r="BT270" s="107" t="n">
        <v>7</v>
      </c>
      <c r="BU270" s="107" t="inlineStr">
        <is>
          <t>Strong</t>
        </is>
      </c>
      <c r="BV270" s="108" t="n">
        <v>0.28</v>
      </c>
      <c r="BW270" s="108" t="n">
        <v>3.91</v>
      </c>
      <c r="BX270" s="108" t="n">
        <v>0.99</v>
      </c>
      <c r="BY270" s="108" t="n">
        <v>4.22</v>
      </c>
      <c r="BZ270" s="108" t="n">
        <v>1.17</v>
      </c>
      <c r="CA270" s="108" t="n">
        <v>0.25</v>
      </c>
      <c r="CB270" s="108" t="n">
        <v>0.9399999999999999</v>
      </c>
      <c r="CC270" s="108" t="n">
        <v>0</v>
      </c>
      <c r="CD270" s="107" t="n">
        <v>1.44</v>
      </c>
      <c r="CE270" s="107" t="inlineStr">
        <is>
          <t>Higher Risk</t>
        </is>
      </c>
      <c r="CF270" s="108" t="n">
        <v>0.47</v>
      </c>
      <c r="CG270" s="108" t="n">
        <v>52.47</v>
      </c>
      <c r="CH270" s="107" t="n">
        <v>20</v>
      </c>
      <c r="CI270" s="107" t="inlineStr">
        <is>
          <t>CLEAR</t>
        </is>
      </c>
    </row>
    <row r="271" ht="17" customHeight="1">
      <c r="A271" s="103" t="inlineStr">
        <is>
          <t>UTHR</t>
        </is>
      </c>
      <c r="B271" s="103" t="inlineStr">
        <is>
          <t>United Therapeutics Corporation</t>
        </is>
      </c>
      <c r="C271" s="104" t="n">
        <v>3141900000</v>
      </c>
      <c r="D271" s="105" t="n">
        <v>1.01</v>
      </c>
      <c r="E271" s="105" t="n">
        <v>1.16</v>
      </c>
      <c r="F271" s="105" t="n">
        <v>0.9</v>
      </c>
      <c r="G271" s="105" t="n">
        <v>0.17</v>
      </c>
      <c r="H271" s="105" t="n">
        <v>0.16</v>
      </c>
      <c r="I271" s="105" t="n">
        <v>0.19</v>
      </c>
      <c r="J271" s="105" t="n">
        <v>0.2</v>
      </c>
      <c r="K271" s="105" t="n">
        <v>1.89</v>
      </c>
      <c r="L271" s="105" t="n">
        <v>1.77</v>
      </c>
      <c r="M271" s="105" t="n">
        <v>0.19</v>
      </c>
      <c r="N271" s="104" t="n">
        <v>0.2</v>
      </c>
      <c r="O271" s="104" t="n">
        <v>6.6</v>
      </c>
      <c r="P271" s="104" t="n">
        <v>5.25</v>
      </c>
      <c r="Q271" s="104" t="n">
        <v>6.28</v>
      </c>
      <c r="R271" s="104" t="n">
        <v>2.78</v>
      </c>
      <c r="S271" s="104" t="n">
        <v>0.1</v>
      </c>
      <c r="T271" s="104" t="n">
        <v>0.12</v>
      </c>
      <c r="U271" s="104" t="n">
        <v>0</v>
      </c>
      <c r="V271" s="104" t="n">
        <v>-0.22</v>
      </c>
      <c r="W271" s="104" t="n">
        <v>1.17</v>
      </c>
      <c r="X271" s="105" t="n">
        <v>0.7</v>
      </c>
      <c r="Y271" s="105" t="n">
        <v>0.37</v>
      </c>
      <c r="Z271" s="105" t="n">
        <v>25.17</v>
      </c>
      <c r="AA271" s="105" t="n">
        <v>0.02</v>
      </c>
      <c r="AB271" s="105" t="n">
        <v>0.12</v>
      </c>
      <c r="AC271" s="104" t="n">
        <v>-0.03</v>
      </c>
      <c r="AD271" s="104" t="n">
        <v>-0.03</v>
      </c>
      <c r="AE271" s="104" t="n">
        <v>0.4</v>
      </c>
      <c r="AF271" s="104" t="n">
        <v>1.09</v>
      </c>
      <c r="AG271" s="104" t="n">
        <v>0.19</v>
      </c>
      <c r="AH271" s="104" t="n">
        <v>9.050000000000001</v>
      </c>
      <c r="AI271" s="104" t="n">
        <v>0.19</v>
      </c>
      <c r="AJ271" s="104" t="n">
        <v>8.24</v>
      </c>
      <c r="AK271" s="110" t="inlineStr">
        <is>
          <t>Safe</t>
        </is>
      </c>
      <c r="AL271" s="104" t="n">
        <v>0.4</v>
      </c>
      <c r="AM271" s="104" t="n">
        <v>1.09</v>
      </c>
      <c r="AN271" s="104" t="n">
        <v>0.19</v>
      </c>
      <c r="AO271" s="104" t="n">
        <v>9.050000000000001</v>
      </c>
      <c r="AP271" s="104" t="n">
        <v>0.19</v>
      </c>
      <c r="AQ271" s="103" t="n">
        <v>5.78</v>
      </c>
      <c r="AR271" s="103" t="inlineStr">
        <is>
          <t>Safe</t>
        </is>
      </c>
      <c r="AS271" s="104" t="n">
        <v>0.4</v>
      </c>
      <c r="AT271" s="104" t="n">
        <v>1.09</v>
      </c>
      <c r="AU271" s="104" t="n">
        <v>0.19</v>
      </c>
      <c r="AV271" s="104" t="n">
        <v>9.050000000000001</v>
      </c>
      <c r="AW271" s="103" t="n">
        <v>16.93</v>
      </c>
      <c r="AX271" s="103" t="inlineStr">
        <is>
          <t>Safe</t>
        </is>
      </c>
      <c r="AY271" s="104" t="n">
        <v>0.4</v>
      </c>
      <c r="AZ271" s="104" t="n">
        <v>0.19</v>
      </c>
      <c r="BA271" s="104" t="n">
        <v>3.06</v>
      </c>
      <c r="BB271" s="104" t="n">
        <v>0.19</v>
      </c>
      <c r="BC271" s="103" t="n">
        <v>3.09</v>
      </c>
      <c r="BD271" s="103" t="inlineStr">
        <is>
          <t>Healthy</t>
        </is>
      </c>
      <c r="BE271" s="104" t="n">
        <v>0.17</v>
      </c>
      <c r="BF271" s="104" t="n">
        <v>0.1</v>
      </c>
      <c r="BG271" s="104" t="n">
        <v>6.6</v>
      </c>
      <c r="BH271" s="104" t="n">
        <v>-4.51</v>
      </c>
      <c r="BI271" s="103" t="n">
        <v>0.01</v>
      </c>
      <c r="BJ271" s="103" t="inlineStr">
        <is>
          <t>Healthy</t>
        </is>
      </c>
      <c r="BK271" s="103" t="n">
        <v>1</v>
      </c>
      <c r="BL271" s="103" t="n">
        <v>1</v>
      </c>
      <c r="BM271" s="103" t="n">
        <v>1</v>
      </c>
      <c r="BN271" s="103" t="n">
        <v>1</v>
      </c>
      <c r="BO271" s="103" t="n">
        <v>1</v>
      </c>
      <c r="BP271" s="103" t="n">
        <v>1</v>
      </c>
      <c r="BQ271" s="103" t="n">
        <v>1</v>
      </c>
      <c r="BR271" s="103" t="n">
        <v>1</v>
      </c>
      <c r="BS271" s="103" t="n">
        <v>0</v>
      </c>
      <c r="BT271" s="103" t="n">
        <v>8</v>
      </c>
      <c r="BU271" s="103" t="inlineStr">
        <is>
          <t>Strong</t>
        </is>
      </c>
      <c r="BV271" s="104" t="n">
        <v>1.22</v>
      </c>
      <c r="BW271" s="104" t="n">
        <v>0.9399999999999999</v>
      </c>
      <c r="BX271" s="104" t="n">
        <v>1.01</v>
      </c>
      <c r="BY271" s="104" t="n">
        <v>1.02</v>
      </c>
      <c r="BZ271" s="104" t="n">
        <v>1.19</v>
      </c>
      <c r="CA271" s="104" t="n">
        <v>1.04</v>
      </c>
      <c r="CB271" s="104" t="n">
        <v>0.8</v>
      </c>
      <c r="CC271" s="104" t="n">
        <v>-0.03</v>
      </c>
      <c r="CD271" s="103" t="n">
        <v>-2.33</v>
      </c>
      <c r="CE271" s="103" t="inlineStr">
        <is>
          <t>Lower Risk</t>
        </is>
      </c>
      <c r="CF271" s="104" t="n">
        <v>-0.98</v>
      </c>
      <c r="CG271" s="104" t="n">
        <v>78.26000000000001</v>
      </c>
      <c r="CH271" s="103" t="n">
        <v>0</v>
      </c>
      <c r="CI271" s="103" t="inlineStr">
        <is>
          <t>CLEAR</t>
        </is>
      </c>
    </row>
    <row r="272" ht="17" customHeight="1">
      <c r="A272" s="107" t="inlineStr">
        <is>
          <t>ADMA</t>
        </is>
      </c>
      <c r="B272" s="107" t="inlineStr">
        <is>
          <t>ADMA BIOLOGICS, INC.</t>
        </is>
      </c>
      <c r="C272" s="108" t="n">
        <v>396971000</v>
      </c>
      <c r="D272" s="109" t="n">
        <v>4.53</v>
      </c>
      <c r="E272" s="109" t="n">
        <v>4.33</v>
      </c>
      <c r="F272" s="109" t="n">
        <v>3.48</v>
      </c>
      <c r="G272" s="109" t="n">
        <v>0.24</v>
      </c>
      <c r="H272" s="109" t="n">
        <v>0.4</v>
      </c>
      <c r="I272" s="109" t="n">
        <v>0.31</v>
      </c>
      <c r="J272" s="109" t="n">
        <v>0.35</v>
      </c>
      <c r="K272" s="109" t="n">
        <v>6.93</v>
      </c>
      <c r="L272" s="109" t="n">
        <v>7.48</v>
      </c>
      <c r="M272" s="109" t="n">
        <v>0.07000000000000001</v>
      </c>
      <c r="N272" s="108" t="n">
        <v>0.06</v>
      </c>
      <c r="O272" s="108" t="n">
        <v>6.71</v>
      </c>
      <c r="P272" s="108" t="n">
        <v>5.97</v>
      </c>
      <c r="Q272" s="108" t="n">
        <v>3.74</v>
      </c>
      <c r="R272" s="108" t="n">
        <v>1.26</v>
      </c>
      <c r="S272" s="108" t="n">
        <v>0.24</v>
      </c>
      <c r="T272" s="108" t="n">
        <v>0.29</v>
      </c>
      <c r="U272" s="108" t="n">
        <v>0.15</v>
      </c>
      <c r="V272" s="108" t="n">
        <v>-0.03</v>
      </c>
      <c r="W272" s="108" t="n">
        <v>0.34</v>
      </c>
      <c r="X272" s="109" t="n">
        <v>0.66</v>
      </c>
      <c r="Y272" s="109" t="n">
        <v>0.11</v>
      </c>
      <c r="Z272" s="109" t="n">
        <v>7.65</v>
      </c>
      <c r="AA272" s="109" t="n">
        <v>0.44</v>
      </c>
      <c r="AB272" s="109" t="n">
        <v>-0.26</v>
      </c>
      <c r="AC272" s="108" t="n">
        <v>0.15</v>
      </c>
      <c r="AD272" s="108" t="n">
        <v>0.15</v>
      </c>
      <c r="AE272" s="108" t="n">
        <v>0.64</v>
      </c>
      <c r="AF272" s="108" t="n">
        <v>-0.26</v>
      </c>
      <c r="AG272" s="108" t="n">
        <v>0.31</v>
      </c>
      <c r="AH272" s="108" t="n">
        <v>3.25</v>
      </c>
      <c r="AI272" s="108" t="n">
        <v>0.07000000000000001</v>
      </c>
      <c r="AJ272" s="108" t="n">
        <v>3.43</v>
      </c>
      <c r="AK272" s="110" t="inlineStr">
        <is>
          <t>Safe</t>
        </is>
      </c>
      <c r="AL272" s="108" t="n">
        <v>0.64</v>
      </c>
      <c r="AM272" s="108" t="n">
        <v>-0.26</v>
      </c>
      <c r="AN272" s="108" t="n">
        <v>0.31</v>
      </c>
      <c r="AO272" s="108" t="n">
        <v>3.25</v>
      </c>
      <c r="AP272" s="108" t="n">
        <v>0.07000000000000001</v>
      </c>
      <c r="AQ272" s="107" t="n">
        <v>2.62</v>
      </c>
      <c r="AR272" s="107" t="inlineStr">
        <is>
          <t>Grey</t>
        </is>
      </c>
      <c r="AS272" s="108" t="n">
        <v>0.64</v>
      </c>
      <c r="AT272" s="108" t="n">
        <v>-0.26</v>
      </c>
      <c r="AU272" s="108" t="n">
        <v>0.31</v>
      </c>
      <c r="AV272" s="108" t="n">
        <v>3.25</v>
      </c>
      <c r="AW272" s="107" t="n">
        <v>8.800000000000001</v>
      </c>
      <c r="AX272" s="107" t="inlineStr">
        <is>
          <t>Safe</t>
        </is>
      </c>
      <c r="AY272" s="108" t="n">
        <v>0.64</v>
      </c>
      <c r="AZ272" s="108" t="n">
        <v>0.31</v>
      </c>
      <c r="BA272" s="108" t="n">
        <v>2.63</v>
      </c>
      <c r="BB272" s="108" t="n">
        <v>0.07000000000000001</v>
      </c>
      <c r="BC272" s="107" t="n">
        <v>3.36</v>
      </c>
      <c r="BD272" s="107" t="inlineStr">
        <is>
          <t>Healthy</t>
        </is>
      </c>
      <c r="BE272" s="108" t="n">
        <v>0.24</v>
      </c>
      <c r="BF272" s="108" t="n">
        <v>0.24</v>
      </c>
      <c r="BG272" s="108" t="n">
        <v>6.71</v>
      </c>
      <c r="BH272" s="108" t="n">
        <v>-4.03</v>
      </c>
      <c r="BI272" s="107" t="n">
        <v>0.02</v>
      </c>
      <c r="BJ272" s="107" t="inlineStr">
        <is>
          <t>Healthy</t>
        </is>
      </c>
      <c r="BK272" s="107" t="n">
        <v>1</v>
      </c>
      <c r="BL272" s="107" t="n">
        <v>1</v>
      </c>
      <c r="BM272" s="107" t="n">
        <v>0</v>
      </c>
      <c r="BN272" s="107" t="n">
        <v>0</v>
      </c>
      <c r="BO272" s="107" t="n">
        <v>1</v>
      </c>
      <c r="BP272" s="107" t="n">
        <v>1</v>
      </c>
      <c r="BQ272" s="107" t="n">
        <v>0</v>
      </c>
      <c r="BR272" s="107" t="n">
        <v>0</v>
      </c>
      <c r="BS272" s="107" t="n">
        <v>1</v>
      </c>
      <c r="BT272" s="107" t="n">
        <v>5</v>
      </c>
      <c r="BU272" s="107" t="inlineStr">
        <is>
          <t>Mixed</t>
        </is>
      </c>
      <c r="BV272" s="108" t="n">
        <v>2.2</v>
      </c>
      <c r="BW272" s="108" t="n">
        <v>1.08</v>
      </c>
      <c r="BX272" s="108" t="n">
        <v>0.71</v>
      </c>
      <c r="BY272" s="108" t="n">
        <v>1.44</v>
      </c>
      <c r="BZ272" s="108" t="n">
        <v>1.16</v>
      </c>
      <c r="CA272" s="108" t="n">
        <v>0.86</v>
      </c>
      <c r="CB272" s="108" t="n">
        <v>0.82</v>
      </c>
      <c r="CC272" s="108" t="n">
        <v>0.15</v>
      </c>
      <c r="CD272" s="107" t="n">
        <v>-0.24</v>
      </c>
      <c r="CE272" s="107" t="inlineStr">
        <is>
          <t>Higher Risk</t>
        </is>
      </c>
      <c r="CF272" s="108" t="n">
        <v>-0.08</v>
      </c>
      <c r="CG272" s="108" t="n">
        <v>49.71</v>
      </c>
      <c r="CH272" s="112" t="n">
        <v>60</v>
      </c>
      <c r="CI272" s="107" t="inlineStr">
        <is>
          <t>RED FLAG</t>
        </is>
      </c>
    </row>
    <row r="273" ht="17" customHeight="1">
      <c r="A273" s="103" t="inlineStr">
        <is>
          <t>HUM</t>
        </is>
      </c>
      <c r="B273" s="103" t="inlineStr">
        <is>
          <t>HUMANA INC</t>
        </is>
      </c>
      <c r="C273" s="104" t="n">
        <v>16387000000</v>
      </c>
      <c r="D273" s="105" t="n">
        <v>0.02</v>
      </c>
      <c r="E273" s="105" t="n">
        <v>0.01</v>
      </c>
      <c r="F273" s="105" t="n">
        <v>0.01</v>
      </c>
      <c r="G273" s="105" t="n">
        <v>0.02</v>
      </c>
      <c r="H273" s="105" t="n">
        <v>0.03</v>
      </c>
      <c r="I273" s="105" t="n">
        <v>0.07000000000000001</v>
      </c>
      <c r="J273" s="105" t="n">
        <v>0.08</v>
      </c>
      <c r="K273" s="105" t="n">
        <v>0.02</v>
      </c>
      <c r="L273" s="105" t="n">
        <v>0.02</v>
      </c>
      <c r="M273" s="105" t="n">
        <v>2.65</v>
      </c>
      <c r="N273" s="104" t="n">
        <v>2.53</v>
      </c>
      <c r="O273" s="104" t="n">
        <v>2</v>
      </c>
      <c r="P273" s="104" t="n">
        <v>1.76</v>
      </c>
      <c r="Q273" s="104" t="n">
        <v>2</v>
      </c>
      <c r="R273" s="104" t="n">
        <v>0.26</v>
      </c>
      <c r="S273" s="104" t="n">
        <v>0.64</v>
      </c>
      <c r="T273" s="104" t="n">
        <v>0.65</v>
      </c>
      <c r="U273" s="104" t="n">
        <v>0.24</v>
      </c>
      <c r="V273" s="104" t="n">
        <v>0.01</v>
      </c>
      <c r="W273" s="104" t="n">
        <v>0.78</v>
      </c>
      <c r="X273" s="105" t="n">
        <v>0</v>
      </c>
      <c r="Y273" s="113" t="inlineStr">
        <is>
          <t>N/A</t>
        </is>
      </c>
      <c r="Z273" s="105" t="n">
        <v>5.48</v>
      </c>
      <c r="AA273" s="105" t="n">
        <v>0.1</v>
      </c>
      <c r="AB273" s="105" t="n">
        <v>-0.02</v>
      </c>
      <c r="AC273" s="104" t="n">
        <v>0.01</v>
      </c>
      <c r="AD273" s="104" t="n">
        <v>0.01</v>
      </c>
      <c r="AE273" s="104" t="n">
        <v>0.34</v>
      </c>
      <c r="AF273" s="104" t="n">
        <v>0.59</v>
      </c>
      <c r="AG273" s="104" t="n">
        <v>0.06</v>
      </c>
      <c r="AH273" s="104" t="n">
        <v>0.57</v>
      </c>
      <c r="AI273" s="104" t="n">
        <v>2.65</v>
      </c>
      <c r="AJ273" s="104" t="n">
        <v>4.41</v>
      </c>
      <c r="AK273" s="110" t="inlineStr">
        <is>
          <t>Safe</t>
        </is>
      </c>
      <c r="AL273" s="104" t="n">
        <v>0.34</v>
      </c>
      <c r="AM273" s="104" t="n">
        <v>0.59</v>
      </c>
      <c r="AN273" s="104" t="n">
        <v>0.06</v>
      </c>
      <c r="AO273" s="104" t="n">
        <v>0.57</v>
      </c>
      <c r="AP273" s="104" t="n">
        <v>2.65</v>
      </c>
      <c r="AQ273" s="103" t="n">
        <v>3.8</v>
      </c>
      <c r="AR273" s="103" t="inlineStr">
        <is>
          <t>Safe</t>
        </is>
      </c>
      <c r="AS273" s="104" t="n">
        <v>0.34</v>
      </c>
      <c r="AT273" s="104" t="n">
        <v>0.59</v>
      </c>
      <c r="AU273" s="104" t="n">
        <v>0.06</v>
      </c>
      <c r="AV273" s="104" t="n">
        <v>0.57</v>
      </c>
      <c r="AW273" s="103" t="n">
        <v>5.1</v>
      </c>
      <c r="AX273" s="103" t="inlineStr">
        <is>
          <t>Safe</t>
        </is>
      </c>
      <c r="AY273" s="104" t="n">
        <v>0.34</v>
      </c>
      <c r="AZ273" s="104" t="n">
        <v>0.06</v>
      </c>
      <c r="BA273" s="104" t="n">
        <v>0.09</v>
      </c>
      <c r="BB273" s="104" t="n">
        <v>2.65</v>
      </c>
      <c r="BC273" s="103" t="n">
        <v>1.63</v>
      </c>
      <c r="BD273" s="103" t="inlineStr">
        <is>
          <t>Healthy</t>
        </is>
      </c>
      <c r="BE273" s="104" t="n">
        <v>0.02</v>
      </c>
      <c r="BF273" s="104" t="n">
        <v>0.64</v>
      </c>
      <c r="BG273" s="104" t="n">
        <v>2</v>
      </c>
      <c r="BH273" s="104" t="n">
        <v>-0.82</v>
      </c>
      <c r="BI273" s="103" t="n">
        <v>0.31</v>
      </c>
      <c r="BJ273" s="103" t="inlineStr">
        <is>
          <t>Healthy</t>
        </is>
      </c>
      <c r="BK273" s="103" t="n">
        <v>1</v>
      </c>
      <c r="BL273" s="103" t="n">
        <v>1</v>
      </c>
      <c r="BM273" s="103" t="n">
        <v>0</v>
      </c>
      <c r="BN273" s="103" t="n">
        <v>0</v>
      </c>
      <c r="BO273" s="103" t="n">
        <v>1</v>
      </c>
      <c r="BP273" s="103" t="n">
        <v>1</v>
      </c>
      <c r="BQ273" s="103" t="n">
        <v>0</v>
      </c>
      <c r="BR273" s="103" t="n">
        <v>0</v>
      </c>
      <c r="BS273" s="103" t="n">
        <v>1</v>
      </c>
      <c r="BT273" s="103" t="n">
        <v>5</v>
      </c>
      <c r="BU273" s="103" t="inlineStr">
        <is>
          <t>Mixed</t>
        </is>
      </c>
      <c r="BV273" s="104" t="n">
        <v>1.1</v>
      </c>
      <c r="BW273" s="104" t="n">
        <v>1.04</v>
      </c>
      <c r="BX273" s="104" t="n">
        <v>0.9399999999999999</v>
      </c>
      <c r="BY273" s="104" t="n">
        <v>1.1</v>
      </c>
      <c r="BZ273" s="104" t="n">
        <v>1.04</v>
      </c>
      <c r="CA273" s="104" t="n">
        <v>1.02</v>
      </c>
      <c r="CB273" s="104" t="n">
        <v>0.99</v>
      </c>
      <c r="CC273" s="104" t="n">
        <v>0.01</v>
      </c>
      <c r="CD273" s="103" t="n">
        <v>-2.27</v>
      </c>
      <c r="CE273" s="103" t="inlineStr">
        <is>
          <t>Lower Risk</t>
        </is>
      </c>
      <c r="CF273" s="104" t="n">
        <v>0.03</v>
      </c>
      <c r="CG273" s="104" t="n">
        <v>56.42</v>
      </c>
      <c r="CH273" s="103" t="n">
        <v>0</v>
      </c>
      <c r="CI273" s="103" t="inlineStr">
        <is>
          <t>CLEAR</t>
        </is>
      </c>
    </row>
    <row r="274" ht="17" customHeight="1">
      <c r="A274" s="107" t="inlineStr">
        <is>
          <t>ICE</t>
        </is>
      </c>
      <c r="B274" s="107" t="inlineStr">
        <is>
          <t>INTERCONTINENTAL EXCHANGE, INC.</t>
        </is>
      </c>
      <c r="C274" s="108" t="n">
        <v>1662000000</v>
      </c>
      <c r="D274" s="109" t="n">
        <v>0.84</v>
      </c>
      <c r="E274" s="109" t="n">
        <v>0.74</v>
      </c>
      <c r="F274" s="109" t="n">
        <v>0.57</v>
      </c>
      <c r="G274" s="109" t="n">
        <v>0.02</v>
      </c>
      <c r="H274" s="109" t="n">
        <v>0.02</v>
      </c>
      <c r="I274" s="109" t="n">
        <v>0.11</v>
      </c>
      <c r="J274" s="109" t="n">
        <v>0.09</v>
      </c>
      <c r="K274" s="109" t="n">
        <v>0.14</v>
      </c>
      <c r="L274" s="109" t="n">
        <v>0.15</v>
      </c>
      <c r="M274" s="109" t="n">
        <v>0.04</v>
      </c>
      <c r="N274" s="108" t="n">
        <v>0.04</v>
      </c>
      <c r="O274" s="108" t="n">
        <v>1.02</v>
      </c>
      <c r="P274" s="108" t="n">
        <v>0.99</v>
      </c>
      <c r="Q274" s="108" t="n">
        <v>1.02</v>
      </c>
      <c r="R274" s="108" t="n">
        <v>0.01</v>
      </c>
      <c r="S274" s="108" t="n">
        <v>0.79</v>
      </c>
      <c r="T274" s="108" t="n">
        <v>0.8</v>
      </c>
      <c r="U274" s="108" t="n">
        <v>0.66</v>
      </c>
      <c r="V274" s="108" t="n">
        <v>0.63</v>
      </c>
      <c r="W274" s="108" t="n">
        <v>1.41</v>
      </c>
      <c r="X274" s="109" t="n">
        <v>0.74</v>
      </c>
      <c r="Y274" s="109" t="n">
        <v>0</v>
      </c>
      <c r="Z274" s="109" t="n">
        <v>6.1</v>
      </c>
      <c r="AA274" s="109" t="n">
        <v>-0</v>
      </c>
      <c r="AB274" s="109" t="n">
        <v>0.2</v>
      </c>
      <c r="AC274" s="108" t="n">
        <v>-0.01</v>
      </c>
      <c r="AD274" s="108" t="n">
        <v>-0.01</v>
      </c>
      <c r="AE274" s="108" t="n">
        <v>0.01</v>
      </c>
      <c r="AF274" s="108" t="n">
        <v>0.15</v>
      </c>
      <c r="AG274" s="108" t="n">
        <v>0.04</v>
      </c>
      <c r="AH274" s="108" t="n">
        <v>0.27</v>
      </c>
      <c r="AI274" s="108" t="n">
        <v>0.04</v>
      </c>
      <c r="AJ274" s="108" t="n">
        <v>0.54</v>
      </c>
      <c r="AK274" s="112" t="inlineStr">
        <is>
          <t>Distress</t>
        </is>
      </c>
      <c r="AL274" s="108" t="n">
        <v>0.01</v>
      </c>
      <c r="AM274" s="108" t="n">
        <v>0.15</v>
      </c>
      <c r="AN274" s="108" t="n">
        <v>0.04</v>
      </c>
      <c r="AO274" s="108" t="n">
        <v>0.27</v>
      </c>
      <c r="AP274" s="108" t="n">
        <v>0.04</v>
      </c>
      <c r="AQ274" s="107" t="n">
        <v>0.4</v>
      </c>
      <c r="AR274" s="107" t="inlineStr">
        <is>
          <t>Distress</t>
        </is>
      </c>
      <c r="AS274" s="108" t="n">
        <v>0.01</v>
      </c>
      <c r="AT274" s="108" t="n">
        <v>0.15</v>
      </c>
      <c r="AU274" s="108" t="n">
        <v>0.04</v>
      </c>
      <c r="AV274" s="108" t="n">
        <v>0.27</v>
      </c>
      <c r="AW274" s="107" t="n">
        <v>1.09</v>
      </c>
      <c r="AX274" s="107" t="inlineStr">
        <is>
          <t>Distress</t>
        </is>
      </c>
      <c r="AY274" s="108" t="n">
        <v>0.01</v>
      </c>
      <c r="AZ274" s="108" t="n">
        <v>0.04</v>
      </c>
      <c r="BA274" s="108" t="n">
        <v>0.05</v>
      </c>
      <c r="BB274" s="108" t="n">
        <v>0.04</v>
      </c>
      <c r="BC274" s="107" t="n">
        <v>0.17</v>
      </c>
      <c r="BD274" s="107" t="inlineStr">
        <is>
          <t>Distress</t>
        </is>
      </c>
      <c r="BE274" s="108" t="n">
        <v>0.02</v>
      </c>
      <c r="BF274" s="108" t="n">
        <v>0.79</v>
      </c>
      <c r="BG274" s="108" t="n">
        <v>1.02</v>
      </c>
      <c r="BH274" s="108" t="n">
        <v>0.04</v>
      </c>
      <c r="BI274" s="107" t="n">
        <v>0.51</v>
      </c>
      <c r="BJ274" s="107" t="inlineStr">
        <is>
          <t>Distress</t>
        </is>
      </c>
      <c r="BK274" s="107" t="n">
        <v>1</v>
      </c>
      <c r="BL274" s="107" t="n">
        <v>1</v>
      </c>
      <c r="BM274" s="107" t="n">
        <v>1</v>
      </c>
      <c r="BN274" s="107" t="n">
        <v>1</v>
      </c>
      <c r="BO274" s="107" t="n">
        <v>0</v>
      </c>
      <c r="BP274" s="107" t="n">
        <v>1</v>
      </c>
      <c r="BQ274" s="107" t="n">
        <v>1</v>
      </c>
      <c r="BR274" s="107" t="n">
        <v>0</v>
      </c>
      <c r="BS274" s="107" t="n">
        <v>1</v>
      </c>
      <c r="BT274" s="107" t="n">
        <v>7</v>
      </c>
      <c r="BU274" s="107" t="inlineStr">
        <is>
          <t>Strong</t>
        </is>
      </c>
      <c r="BV274" s="108" t="n">
        <v>1.04</v>
      </c>
      <c r="BW274" s="108" t="n">
        <v>1.05</v>
      </c>
      <c r="BX274" s="108" t="n">
        <v>1.03</v>
      </c>
      <c r="BY274" s="108" t="n">
        <v>1</v>
      </c>
      <c r="BZ274" s="108" t="n">
        <v>0.99</v>
      </c>
      <c r="CA274" s="108" t="n">
        <v>0.96</v>
      </c>
      <c r="CB274" s="108" t="n">
        <v>0.98</v>
      </c>
      <c r="CC274" s="108" t="n">
        <v>-0.01</v>
      </c>
      <c r="CD274" s="107" t="n">
        <v>-2.44</v>
      </c>
      <c r="CE274" s="107" t="inlineStr">
        <is>
          <t>Lower Risk</t>
        </is>
      </c>
      <c r="CF274" s="108" t="n">
        <v>2.82</v>
      </c>
      <c r="CG274" s="108" t="n">
        <v>52.13</v>
      </c>
      <c r="CH274" s="107" t="n">
        <v>0</v>
      </c>
      <c r="CI274" s="107" t="inlineStr">
        <is>
          <t>CLEAR</t>
        </is>
      </c>
    </row>
    <row r="275" ht="17" customHeight="1">
      <c r="A275" s="103" t="inlineStr">
        <is>
          <t>STX</t>
        </is>
      </c>
      <c r="B275" s="103" t="inlineStr">
        <is>
          <t>Seagate Technology Holdings plc</t>
        </is>
      </c>
      <c r="C275" s="104" t="n">
        <v>1005000000</v>
      </c>
      <c r="D275" s="105" t="n">
        <v>0.26</v>
      </c>
      <c r="E275" s="105" t="n">
        <v>0.2</v>
      </c>
      <c r="F275" s="105" t="n">
        <v>0.2</v>
      </c>
      <c r="G275" s="105" t="n">
        <v>0.18</v>
      </c>
      <c r="H275" s="105" t="n">
        <v>0.04</v>
      </c>
      <c r="I275" s="105" t="n">
        <v>-3.24</v>
      </c>
      <c r="J275" s="105" t="n">
        <v>0.35</v>
      </c>
      <c r="K275" s="105" t="n">
        <v>0.2</v>
      </c>
      <c r="L275" s="105" t="n">
        <v>0.57</v>
      </c>
      <c r="M275" s="105" t="n">
        <v>0.92</v>
      </c>
      <c r="N275" s="104" t="n">
        <v>1.51</v>
      </c>
      <c r="O275" s="104" t="n">
        <v>1.38</v>
      </c>
      <c r="P275" s="104" t="n">
        <v>1.08</v>
      </c>
      <c r="Q275" s="104" t="n">
        <v>0.84</v>
      </c>
      <c r="R275" s="104" t="n">
        <v>0.34</v>
      </c>
      <c r="S275" s="104" t="n">
        <v>1.06</v>
      </c>
      <c r="T275" s="104" t="n">
        <v>1.19</v>
      </c>
      <c r="U275" s="104" t="n">
        <v>-2.13</v>
      </c>
      <c r="V275" s="104" t="n">
        <v>-0.16</v>
      </c>
      <c r="W275" s="104" t="n">
        <v>0.74</v>
      </c>
      <c r="X275" s="105" t="n">
        <v>0.11</v>
      </c>
      <c r="Y275" s="105" t="n">
        <v>0.1</v>
      </c>
      <c r="Z275" s="105" t="n">
        <v>5.69</v>
      </c>
      <c r="AA275" s="105" t="n">
        <v>-0.37</v>
      </c>
      <c r="AB275" s="105" t="n">
        <v>3.39</v>
      </c>
      <c r="AC275" s="104" t="n">
        <v>0.05</v>
      </c>
      <c r="AD275" s="104" t="n">
        <v>0.05</v>
      </c>
      <c r="AE275" s="104" t="n">
        <v>0.13</v>
      </c>
      <c r="AF275" s="104" t="n">
        <v>-1.02</v>
      </c>
      <c r="AG275" s="104" t="n">
        <v>0.24</v>
      </c>
      <c r="AH275" s="104" t="n">
        <v>-0.05</v>
      </c>
      <c r="AI275" s="104" t="n">
        <v>0.92</v>
      </c>
      <c r="AJ275" s="104" t="n">
        <v>0.39</v>
      </c>
      <c r="AK275" s="112" t="inlineStr">
        <is>
          <t>Distress</t>
        </is>
      </c>
      <c r="AL275" s="104" t="n">
        <v>0.13</v>
      </c>
      <c r="AM275" s="104" t="n">
        <v>-1.02</v>
      </c>
      <c r="AN275" s="104" t="n">
        <v>0.24</v>
      </c>
      <c r="AO275" s="104" t="n">
        <v>-0.05</v>
      </c>
      <c r="AP275" s="104" t="n">
        <v>0.92</v>
      </c>
      <c r="AQ275" s="103" t="n">
        <v>0.86</v>
      </c>
      <c r="AR275" s="103" t="inlineStr">
        <is>
          <t>Distress</t>
        </is>
      </c>
      <c r="AS275" s="104" t="n">
        <v>0.13</v>
      </c>
      <c r="AT275" s="104" t="n">
        <v>-1.02</v>
      </c>
      <c r="AU275" s="104" t="n">
        <v>0.24</v>
      </c>
      <c r="AV275" s="104" t="n">
        <v>-0.05</v>
      </c>
      <c r="AW275" s="103" t="n">
        <v>-0.96</v>
      </c>
      <c r="AX275" s="103" t="inlineStr">
        <is>
          <t>Distress</t>
        </is>
      </c>
      <c r="AY275" s="104" t="n">
        <v>0.13</v>
      </c>
      <c r="AZ275" s="104" t="n">
        <v>0.24</v>
      </c>
      <c r="BA275" s="104" t="n">
        <v>0.57</v>
      </c>
      <c r="BB275" s="104" t="n">
        <v>0.92</v>
      </c>
      <c r="BC275" s="103" t="n">
        <v>1.6</v>
      </c>
      <c r="BD275" s="103" t="inlineStr">
        <is>
          <t>Healthy</t>
        </is>
      </c>
      <c r="BE275" s="104" t="n">
        <v>0.18</v>
      </c>
      <c r="BF275" s="104" t="n">
        <v>1.06</v>
      </c>
      <c r="BG275" s="104" t="n">
        <v>1.38</v>
      </c>
      <c r="BH275" s="104" t="n">
        <v>0.84</v>
      </c>
      <c r="BI275" s="103" t="n">
        <v>0.7</v>
      </c>
      <c r="BJ275" s="103" t="inlineStr">
        <is>
          <t>Distress</t>
        </is>
      </c>
      <c r="BK275" s="103" t="n">
        <v>1</v>
      </c>
      <c r="BL275" s="103" t="n">
        <v>1</v>
      </c>
      <c r="BM275" s="103" t="n">
        <v>1</v>
      </c>
      <c r="BN275" s="103" t="n">
        <v>0</v>
      </c>
      <c r="BO275" s="103" t="n">
        <v>1</v>
      </c>
      <c r="BP275" s="103" t="n">
        <v>1</v>
      </c>
      <c r="BQ275" s="103" t="n">
        <v>0</v>
      </c>
      <c r="BR275" s="103" t="n">
        <v>0</v>
      </c>
      <c r="BS275" s="103" t="n">
        <v>0</v>
      </c>
      <c r="BT275" s="103" t="n">
        <v>5</v>
      </c>
      <c r="BU275" s="103" t="inlineStr">
        <is>
          <t>Mixed</t>
        </is>
      </c>
      <c r="BV275" s="104" t="n">
        <v>3.53</v>
      </c>
      <c r="BW275" s="104" t="n">
        <v>2.83</v>
      </c>
      <c r="BX275" s="104" t="n">
        <v>0.9399999999999999</v>
      </c>
      <c r="BY275" s="104" t="n">
        <v>0.63</v>
      </c>
      <c r="BZ275" s="104" t="n">
        <v>1.07</v>
      </c>
      <c r="CA275" s="104" t="n">
        <v>1.93</v>
      </c>
      <c r="CB275" s="104" t="n">
        <v>0.89</v>
      </c>
      <c r="CC275" s="104" t="n">
        <v>0.05</v>
      </c>
      <c r="CD275" s="103" t="n">
        <v>0.57</v>
      </c>
      <c r="CE275" s="103" t="inlineStr">
        <is>
          <t>Higher Risk</t>
        </is>
      </c>
      <c r="CF275" s="104" t="n">
        <v>0.03</v>
      </c>
      <c r="CG275" s="104" t="n">
        <v>40.94</v>
      </c>
      <c r="CH275" s="103" t="n">
        <v>20</v>
      </c>
      <c r="CI275" s="103" t="inlineStr">
        <is>
          <t>CLEAR</t>
        </is>
      </c>
    </row>
    <row r="276" ht="17" customHeight="1">
      <c r="A276" s="107" t="inlineStr">
        <is>
          <t>ORCL</t>
        </is>
      </c>
      <c r="B276" s="107" t="inlineStr">
        <is>
          <t>Oracle Corporation</t>
        </is>
      </c>
      <c r="C276" s="108" t="n">
        <v>4803000000</v>
      </c>
      <c r="D276" s="109" t="n">
        <v>0.31</v>
      </c>
      <c r="E276" s="109" t="n">
        <v>0.19</v>
      </c>
      <c r="F276" s="109" t="n">
        <v>0.25</v>
      </c>
      <c r="G276" s="109" t="n">
        <v>0.07000000000000001</v>
      </c>
      <c r="H276" s="109" t="n">
        <v>0.07000000000000001</v>
      </c>
      <c r="I276" s="109" t="n">
        <v>0.4</v>
      </c>
      <c r="J276" s="109" t="n">
        <v>0.09</v>
      </c>
      <c r="K276" s="109" t="n">
        <v>0.36</v>
      </c>
      <c r="L276" s="109" t="n">
        <v>0.4</v>
      </c>
      <c r="M276" s="109" t="n">
        <v>0.26</v>
      </c>
      <c r="N276" s="108" t="n">
        <v>0.34</v>
      </c>
      <c r="O276" s="108" t="n">
        <v>1.12</v>
      </c>
      <c r="P276" s="108" t="n">
        <v>0.75</v>
      </c>
      <c r="Q276" s="108" t="n">
        <v>1.11</v>
      </c>
      <c r="R276" s="108" t="n">
        <v>0.75</v>
      </c>
      <c r="S276" s="108" t="n">
        <v>1</v>
      </c>
      <c r="T276" s="108" t="n">
        <v>1</v>
      </c>
      <c r="U276" s="108" t="n">
        <v>0.17</v>
      </c>
      <c r="V276" s="108" t="n">
        <v>-0.57</v>
      </c>
      <c r="W276" s="108" t="n">
        <v>1.87</v>
      </c>
      <c r="X276" s="109" t="n">
        <v>-0.35</v>
      </c>
      <c r="Y276" s="109" t="n">
        <v>0.15</v>
      </c>
      <c r="Z276" s="109" t="n">
        <v>4.48</v>
      </c>
      <c r="AA276" s="109" t="n">
        <v>0.17</v>
      </c>
      <c r="AB276" s="109" t="n">
        <v>0.37</v>
      </c>
      <c r="AC276" s="108" t="n">
        <v>-0.06</v>
      </c>
      <c r="AD276" s="108" t="n">
        <v>-0.06</v>
      </c>
      <c r="AE276" s="108" t="n">
        <v>0.02</v>
      </c>
      <c r="AF276" s="108" t="n">
        <v>-0.02</v>
      </c>
      <c r="AG276" s="108" t="n">
        <v>0.08</v>
      </c>
      <c r="AH276" s="108" t="n">
        <v>0.16</v>
      </c>
      <c r="AI276" s="108" t="n">
        <v>0.26</v>
      </c>
      <c r="AJ276" s="108" t="n">
        <v>0.61</v>
      </c>
      <c r="AK276" s="112" t="inlineStr">
        <is>
          <t>Distress</t>
        </is>
      </c>
      <c r="AL276" s="108" t="n">
        <v>0.02</v>
      </c>
      <c r="AM276" s="108" t="n">
        <v>-0.02</v>
      </c>
      <c r="AN276" s="108" t="n">
        <v>0.08</v>
      </c>
      <c r="AO276" s="108" t="n">
        <v>0.16</v>
      </c>
      <c r="AP276" s="108" t="n">
        <v>0.26</v>
      </c>
      <c r="AQ276" s="107" t="n">
        <v>0.57</v>
      </c>
      <c r="AR276" s="107" t="inlineStr">
        <is>
          <t>Distress</t>
        </is>
      </c>
      <c r="AS276" s="108" t="n">
        <v>0.02</v>
      </c>
      <c r="AT276" s="108" t="n">
        <v>-0.02</v>
      </c>
      <c r="AU276" s="108" t="n">
        <v>0.08</v>
      </c>
      <c r="AV276" s="108" t="n">
        <v>0.16</v>
      </c>
      <c r="AW276" s="107" t="n">
        <v>0.77</v>
      </c>
      <c r="AX276" s="107" t="inlineStr">
        <is>
          <t>Distress</t>
        </is>
      </c>
      <c r="AY276" s="108" t="n">
        <v>0.02</v>
      </c>
      <c r="AZ276" s="108" t="n">
        <v>0.08</v>
      </c>
      <c r="BA276" s="108" t="n">
        <v>0.31</v>
      </c>
      <c r="BB276" s="108" t="n">
        <v>0.26</v>
      </c>
      <c r="BC276" s="107" t="n">
        <v>0.57</v>
      </c>
      <c r="BD276" s="107" t="inlineStr">
        <is>
          <t>Distress</t>
        </is>
      </c>
      <c r="BE276" s="108" t="n">
        <v>0.07000000000000001</v>
      </c>
      <c r="BF276" s="108" t="n">
        <v>1</v>
      </c>
      <c r="BG276" s="108" t="n">
        <v>1.12</v>
      </c>
      <c r="BH276" s="108" t="n">
        <v>1.05</v>
      </c>
      <c r="BI276" s="107" t="n">
        <v>0.74</v>
      </c>
      <c r="BJ276" s="107" t="inlineStr">
        <is>
          <t>Distress</t>
        </is>
      </c>
      <c r="BK276" s="107" t="n">
        <v>1</v>
      </c>
      <c r="BL276" s="107" t="n">
        <v>1</v>
      </c>
      <c r="BM276" s="107" t="n">
        <v>0</v>
      </c>
      <c r="BN276" s="107" t="n">
        <v>1</v>
      </c>
      <c r="BO276" s="107" t="n">
        <v>0</v>
      </c>
      <c r="BP276" s="107" t="n">
        <v>1</v>
      </c>
      <c r="BQ276" s="107" t="n">
        <v>0</v>
      </c>
      <c r="BR276" s="107" t="n">
        <v>0</v>
      </c>
      <c r="BS276" s="107" t="n">
        <v>0</v>
      </c>
      <c r="BT276" s="107" t="n">
        <v>4</v>
      </c>
      <c r="BU276" s="107" t="inlineStr">
        <is>
          <t>Mixed</t>
        </is>
      </c>
      <c r="BV276" s="108" t="n">
        <v>1.03</v>
      </c>
      <c r="BW276" s="108" t="n">
        <v>1.11</v>
      </c>
      <c r="BX276" s="108" t="n">
        <v>0.74</v>
      </c>
      <c r="BY276" s="108" t="n">
        <v>1.17</v>
      </c>
      <c r="BZ276" s="108" t="n">
        <v>1.15</v>
      </c>
      <c r="CA276" s="108" t="n">
        <v>0.86</v>
      </c>
      <c r="CB276" s="108" t="n">
        <v>1</v>
      </c>
      <c r="CC276" s="108" t="n">
        <v>-0.06</v>
      </c>
      <c r="CD276" s="107" t="n">
        <v>-2.56</v>
      </c>
      <c r="CE276" s="107" t="inlineStr">
        <is>
          <t>Lower Risk</t>
        </is>
      </c>
      <c r="CF276" s="108" t="n">
        <v>-0.85</v>
      </c>
      <c r="CG276" s="108" t="n">
        <v>41.05</v>
      </c>
      <c r="CH276" s="107" t="n">
        <v>0</v>
      </c>
      <c r="CI276" s="107" t="inlineStr">
        <is>
          <t>CLEAR</t>
        </is>
      </c>
    </row>
    <row r="277" ht="17" customHeight="1">
      <c r="A277" s="103" t="inlineStr">
        <is>
          <t>KR</t>
        </is>
      </c>
      <c r="B277" s="103" t="inlineStr">
        <is>
          <t>KROGER CO</t>
        </is>
      </c>
      <c r="C277" s="104" t="n">
        <v>-3603000000</v>
      </c>
      <c r="D277" s="105" t="n">
        <v>0.01</v>
      </c>
      <c r="E277" s="105" t="n">
        <v>0.01</v>
      </c>
      <c r="F277" s="105" t="n">
        <v>0.01</v>
      </c>
      <c r="G277" s="105" t="n">
        <v>0.02</v>
      </c>
      <c r="H277" s="105" t="n">
        <v>0.05</v>
      </c>
      <c r="I277" s="105" t="n">
        <v>0.17</v>
      </c>
      <c r="J277" s="105" t="n">
        <v>0.06</v>
      </c>
      <c r="K277" s="105" t="n">
        <v>0.52</v>
      </c>
      <c r="L277" s="105" t="n">
        <v>0.88</v>
      </c>
      <c r="M277" s="105" t="n">
        <v>2.96</v>
      </c>
      <c r="N277" s="104" t="n">
        <v>2.8</v>
      </c>
      <c r="O277" s="104" t="n">
        <v>0.8</v>
      </c>
      <c r="P277" s="104" t="n">
        <v>0.96</v>
      </c>
      <c r="Q277" s="104" t="n">
        <v>0.8</v>
      </c>
      <c r="R277" s="104" t="n">
        <v>0.18</v>
      </c>
      <c r="S277" s="104" t="n">
        <v>0.88</v>
      </c>
      <c r="T277" s="104" t="n">
        <v>0.84</v>
      </c>
      <c r="U277" s="104" t="n">
        <v>2.91</v>
      </c>
      <c r="V277" s="104" t="n">
        <v>2.35</v>
      </c>
      <c r="W277" s="104" t="n">
        <v>7.2</v>
      </c>
      <c r="X277" s="105" t="n">
        <v>0.02</v>
      </c>
      <c r="Y277" s="105" t="n">
        <v>0</v>
      </c>
      <c r="Z277" s="105" t="n">
        <v>4.29</v>
      </c>
      <c r="AA277" s="105" t="n">
        <v>0</v>
      </c>
      <c r="AB277" s="105" t="n">
        <v>-0.62</v>
      </c>
      <c r="AC277" s="104" t="n">
        <v>-0.13</v>
      </c>
      <c r="AD277" s="104" t="n">
        <v>-0.13</v>
      </c>
      <c r="AE277" s="104" t="n">
        <v>-0.07000000000000001</v>
      </c>
      <c r="AF277" s="104" t="n">
        <v>0.58</v>
      </c>
      <c r="AG277" s="104" t="n">
        <v>0.04</v>
      </c>
      <c r="AH277" s="104" t="n">
        <v>0.13</v>
      </c>
      <c r="AI277" s="104" t="n">
        <v>2.96</v>
      </c>
      <c r="AJ277" s="104" t="n">
        <v>3.88</v>
      </c>
      <c r="AK277" s="110" t="inlineStr">
        <is>
          <t>Safe</t>
        </is>
      </c>
      <c r="AL277" s="104" t="n">
        <v>-0.07000000000000001</v>
      </c>
      <c r="AM277" s="104" t="n">
        <v>0.58</v>
      </c>
      <c r="AN277" s="104" t="n">
        <v>0.04</v>
      </c>
      <c r="AO277" s="104" t="n">
        <v>0.13</v>
      </c>
      <c r="AP277" s="104" t="n">
        <v>2.96</v>
      </c>
      <c r="AQ277" s="103" t="n">
        <v>3.56</v>
      </c>
      <c r="AR277" s="103" t="inlineStr">
        <is>
          <t>Safe</t>
        </is>
      </c>
      <c r="AS277" s="104" t="n">
        <v>-0.07000000000000001</v>
      </c>
      <c r="AT277" s="104" t="n">
        <v>0.58</v>
      </c>
      <c r="AU277" s="104" t="n">
        <v>0.04</v>
      </c>
      <c r="AV277" s="104" t="n">
        <v>0.13</v>
      </c>
      <c r="AW277" s="103" t="n">
        <v>1.81</v>
      </c>
      <c r="AX277" s="103" t="inlineStr">
        <is>
          <t>Grey</t>
        </is>
      </c>
      <c r="AY277" s="104" t="n">
        <v>-0.07000000000000001</v>
      </c>
      <c r="AZ277" s="104" t="n">
        <v>0.04</v>
      </c>
      <c r="BA277" s="104" t="n">
        <v>0.07000000000000001</v>
      </c>
      <c r="BB277" s="104" t="n">
        <v>2.96</v>
      </c>
      <c r="BC277" s="103" t="n">
        <v>1.27</v>
      </c>
      <c r="BD277" s="103" t="inlineStr">
        <is>
          <t>Healthy</t>
        </is>
      </c>
      <c r="BE277" s="104" t="n">
        <v>0.02</v>
      </c>
      <c r="BF277" s="104" t="n">
        <v>0.88</v>
      </c>
      <c r="BG277" s="104" t="n">
        <v>0.8</v>
      </c>
      <c r="BH277" s="104" t="n">
        <v>0.58</v>
      </c>
      <c r="BI277" s="103" t="n">
        <v>0.64</v>
      </c>
      <c r="BJ277" s="103" t="inlineStr">
        <is>
          <t>Distress</t>
        </is>
      </c>
      <c r="BK277" s="103" t="n">
        <v>1</v>
      </c>
      <c r="BL277" s="103" t="n">
        <v>1</v>
      </c>
      <c r="BM277" s="103" t="n">
        <v>0</v>
      </c>
      <c r="BN277" s="103" t="n">
        <v>1</v>
      </c>
      <c r="BO277" s="103" t="n">
        <v>0</v>
      </c>
      <c r="BP277" s="103" t="n">
        <v>0</v>
      </c>
      <c r="BQ277" s="103" t="n">
        <v>1</v>
      </c>
      <c r="BR277" s="103" t="n">
        <v>0</v>
      </c>
      <c r="BS277" s="103" t="n">
        <v>1</v>
      </c>
      <c r="BT277" s="103" t="n">
        <v>5</v>
      </c>
      <c r="BU277" s="103" t="inlineStr">
        <is>
          <t>Mixed</t>
        </is>
      </c>
      <c r="BV277" s="104" t="n">
        <v>1</v>
      </c>
      <c r="BW277" s="104" t="n">
        <v>1.72</v>
      </c>
      <c r="BX277" s="104" t="n">
        <v>0.91</v>
      </c>
      <c r="BY277" s="104" t="n">
        <v>1</v>
      </c>
      <c r="BZ277" s="104" t="n">
        <v>0.99</v>
      </c>
      <c r="CA277" s="113" t="inlineStr">
        <is>
          <t>N/A</t>
        </is>
      </c>
      <c r="CB277" s="104" t="n">
        <v>1.05</v>
      </c>
      <c r="CC277" s="104" t="n">
        <v>-0.13</v>
      </c>
      <c r="CD277" s="103" t="n">
        <v>-2.57</v>
      </c>
      <c r="CE277" s="103" t="inlineStr">
        <is>
          <t>Lower Risk</t>
        </is>
      </c>
      <c r="CF277" s="104" t="n">
        <v>2.66</v>
      </c>
      <c r="CG277" s="104" t="n">
        <v>55.41</v>
      </c>
      <c r="CH277" s="103" t="n">
        <v>20</v>
      </c>
      <c r="CI277" s="103" t="inlineStr">
        <is>
          <t>CLEAR</t>
        </is>
      </c>
    </row>
    <row r="278" ht="17" customHeight="1">
      <c r="A278" s="107" t="inlineStr">
        <is>
          <t>LLY</t>
        </is>
      </c>
      <c r="B278" s="107" t="inlineStr">
        <is>
          <t>ELI LILLY &amp; Co</t>
        </is>
      </c>
      <c r="C278" s="108" t="n">
        <v>20401000000</v>
      </c>
      <c r="D278" s="109" t="n">
        <v>0.39</v>
      </c>
      <c r="E278" s="109" t="n">
        <v>0.39</v>
      </c>
      <c r="F278" s="109" t="n">
        <v>0.32</v>
      </c>
      <c r="G278" s="109" t="n">
        <v>0.18</v>
      </c>
      <c r="H278" s="109" t="n">
        <v>0.13</v>
      </c>
      <c r="I278" s="109" t="n">
        <v>0.78</v>
      </c>
      <c r="J278" s="109" t="n">
        <v>0.33</v>
      </c>
      <c r="K278" s="109" t="n">
        <v>0.83</v>
      </c>
      <c r="L278" s="109" t="n">
        <v>0.8100000000000001</v>
      </c>
      <c r="M278" s="109" t="n">
        <v>0.58</v>
      </c>
      <c r="N278" s="108" t="n">
        <v>0.57</v>
      </c>
      <c r="O278" s="108" t="n">
        <v>1.58</v>
      </c>
      <c r="P278" s="108" t="n">
        <v>1.15</v>
      </c>
      <c r="Q278" s="108" t="n">
        <v>1.19</v>
      </c>
      <c r="R278" s="108" t="n">
        <v>0.21</v>
      </c>
      <c r="S278" s="108" t="n">
        <v>1</v>
      </c>
      <c r="T278" s="108" t="n">
        <v>1</v>
      </c>
      <c r="U278" s="108" t="n">
        <v>1.15</v>
      </c>
      <c r="V278" s="108" t="n">
        <v>0.87</v>
      </c>
      <c r="W278" s="108" t="n">
        <v>0.8100000000000001</v>
      </c>
      <c r="X278" s="111" t="inlineStr">
        <is>
          <t>N/A</t>
        </is>
      </c>
      <c r="Y278" s="109" t="n">
        <v>0.11</v>
      </c>
      <c r="Z278" s="109" t="n">
        <v>52.96</v>
      </c>
      <c r="AA278" s="109" t="n">
        <v>0.45</v>
      </c>
      <c r="AB278" s="109" t="n">
        <v>0.95</v>
      </c>
      <c r="AC278" s="108" t="n">
        <v>0.03</v>
      </c>
      <c r="AD278" s="108" t="n">
        <v>0.03</v>
      </c>
      <c r="AE278" s="108" t="n">
        <v>0.18</v>
      </c>
      <c r="AF278" s="108" t="n">
        <v>0.22</v>
      </c>
      <c r="AG278" s="108" t="n">
        <v>0.23</v>
      </c>
      <c r="AH278" s="108" t="n">
        <v>0.24</v>
      </c>
      <c r="AI278" s="108" t="n">
        <v>0.58</v>
      </c>
      <c r="AJ278" s="108" t="n">
        <v>2</v>
      </c>
      <c r="AK278" s="106" t="inlineStr">
        <is>
          <t>Grey</t>
        </is>
      </c>
      <c r="AL278" s="108" t="n">
        <v>0.18</v>
      </c>
      <c r="AM278" s="108" t="n">
        <v>0.22</v>
      </c>
      <c r="AN278" s="108" t="n">
        <v>0.23</v>
      </c>
      <c r="AO278" s="108" t="n">
        <v>0.24</v>
      </c>
      <c r="AP278" s="108" t="n">
        <v>0.58</v>
      </c>
      <c r="AQ278" s="107" t="n">
        <v>1.7</v>
      </c>
      <c r="AR278" s="107" t="inlineStr">
        <is>
          <t>Grey</t>
        </is>
      </c>
      <c r="AS278" s="108" t="n">
        <v>0.18</v>
      </c>
      <c r="AT278" s="108" t="n">
        <v>0.22</v>
      </c>
      <c r="AU278" s="108" t="n">
        <v>0.23</v>
      </c>
      <c r="AV278" s="108" t="n">
        <v>0.24</v>
      </c>
      <c r="AW278" s="107" t="n">
        <v>3.68</v>
      </c>
      <c r="AX278" s="107" t="inlineStr">
        <is>
          <t>Safe</t>
        </is>
      </c>
      <c r="AY278" s="108" t="n">
        <v>0.18</v>
      </c>
      <c r="AZ278" s="108" t="n">
        <v>0.23</v>
      </c>
      <c r="BA278" s="108" t="n">
        <v>0.73</v>
      </c>
      <c r="BB278" s="108" t="n">
        <v>0.58</v>
      </c>
      <c r="BC278" s="107" t="n">
        <v>1.6</v>
      </c>
      <c r="BD278" s="107" t="inlineStr">
        <is>
          <t>Healthy</t>
        </is>
      </c>
      <c r="BE278" s="108" t="n">
        <v>0.18</v>
      </c>
      <c r="BF278" s="108" t="n">
        <v>1</v>
      </c>
      <c r="BG278" s="108" t="n">
        <v>1.58</v>
      </c>
      <c r="BH278" s="108" t="n">
        <v>0.52</v>
      </c>
      <c r="BI278" s="107" t="n">
        <v>0.63</v>
      </c>
      <c r="BJ278" s="107" t="inlineStr">
        <is>
          <t>Distress</t>
        </is>
      </c>
      <c r="BK278" s="107" t="n">
        <v>1</v>
      </c>
      <c r="BL278" s="107" t="n">
        <v>1</v>
      </c>
      <c r="BM278" s="107" t="n">
        <v>1</v>
      </c>
      <c r="BN278" s="107" t="n">
        <v>0</v>
      </c>
      <c r="BO278" s="107" t="n">
        <v>0</v>
      </c>
      <c r="BP278" s="107" t="n">
        <v>1</v>
      </c>
      <c r="BQ278" s="107" t="n">
        <v>1</v>
      </c>
      <c r="BR278" s="107" t="n">
        <v>1</v>
      </c>
      <c r="BS278" s="107" t="n">
        <v>1</v>
      </c>
      <c r="BT278" s="107" t="n">
        <v>7</v>
      </c>
      <c r="BU278" s="107" t="inlineStr">
        <is>
          <t>Strong</t>
        </is>
      </c>
      <c r="BV278" s="108" t="n">
        <v>1.12</v>
      </c>
      <c r="BW278" s="108" t="n">
        <v>0.98</v>
      </c>
      <c r="BX278" s="108" t="n">
        <v>0.78</v>
      </c>
      <c r="BY278" s="108" t="n">
        <v>1.45</v>
      </c>
      <c r="BZ278" s="108" t="n">
        <v>1.25</v>
      </c>
      <c r="CA278" s="108" t="n">
        <v>0.89</v>
      </c>
      <c r="CB278" s="108" t="n">
        <v>1</v>
      </c>
      <c r="CC278" s="108" t="n">
        <v>0.03</v>
      </c>
      <c r="CD278" s="107" t="n">
        <v>-1.87</v>
      </c>
      <c r="CE278" s="107" t="inlineStr">
        <is>
          <t>Higher Risk</t>
        </is>
      </c>
      <c r="CF278" s="108" t="n">
        <v>0.84</v>
      </c>
      <c r="CG278" s="108" t="n">
        <v>51.68</v>
      </c>
      <c r="CH278" s="107" t="n">
        <v>20</v>
      </c>
      <c r="CI278" s="107" t="inlineStr">
        <is>
          <t>CLEAR</t>
        </is>
      </c>
    </row>
    <row r="279" ht="17" customHeight="1">
      <c r="A279" s="103" t="inlineStr">
        <is>
          <t>MTZ</t>
        </is>
      </c>
      <c r="B279" s="103" t="inlineStr">
        <is>
          <t>MasTec, Inc.</t>
        </is>
      </c>
      <c r="C279" s="104" t="n">
        <v>1058034000</v>
      </c>
      <c r="D279" s="105" t="n">
        <v>0.04</v>
      </c>
      <c r="E279" s="105" t="n">
        <v>0.04</v>
      </c>
      <c r="F279" s="105" t="n">
        <v>0.03</v>
      </c>
      <c r="G279" s="105" t="n">
        <v>0.04</v>
      </c>
      <c r="H279" s="105" t="n">
        <v>0.02</v>
      </c>
      <c r="I279" s="105" t="n">
        <v>0.12</v>
      </c>
      <c r="J279" s="105" t="n">
        <v>0.08</v>
      </c>
      <c r="K279" s="105" t="n">
        <v>0.82</v>
      </c>
      <c r="L279" s="105" t="n">
        <v>0.84</v>
      </c>
      <c r="M279" s="105" t="n">
        <v>1.44</v>
      </c>
      <c r="N279" s="104" t="n">
        <v>1.37</v>
      </c>
      <c r="O279" s="104" t="n">
        <v>1.32</v>
      </c>
      <c r="P279" s="104" t="n">
        <v>1.22</v>
      </c>
      <c r="Q279" s="104" t="n">
        <v>1.29</v>
      </c>
      <c r="R279" s="104" t="n">
        <v>0.12</v>
      </c>
      <c r="S279" s="104" t="n">
        <v>0.66</v>
      </c>
      <c r="T279" s="104" t="n">
        <v>0.67</v>
      </c>
      <c r="U279" s="104" t="n">
        <v>0.16</v>
      </c>
      <c r="V279" s="104" t="n">
        <v>0.04</v>
      </c>
      <c r="W279" s="104" t="n">
        <v>1.37</v>
      </c>
      <c r="X279" s="105" t="n">
        <v>0.03</v>
      </c>
      <c r="Y279" s="105" t="n">
        <v>0</v>
      </c>
      <c r="Z279" s="105" t="n">
        <v>14.73</v>
      </c>
      <c r="AA279" s="105" t="n">
        <v>0.16</v>
      </c>
      <c r="AB279" s="105" t="n">
        <v>1.45</v>
      </c>
      <c r="AC279" s="104" t="n">
        <v>-0.01</v>
      </c>
      <c r="AD279" s="104" t="n">
        <v>-0.01</v>
      </c>
      <c r="AE279" s="104" t="n">
        <v>0.11</v>
      </c>
      <c r="AF279" s="104" t="n">
        <v>0.27</v>
      </c>
      <c r="AG279" s="104" t="n">
        <v>0.05</v>
      </c>
      <c r="AH279" s="104" t="n">
        <v>0.49</v>
      </c>
      <c r="AI279" s="104" t="n">
        <v>1.44</v>
      </c>
      <c r="AJ279" s="104" t="n">
        <v>2.42</v>
      </c>
      <c r="AK279" s="106" t="inlineStr">
        <is>
          <t>Grey</t>
        </is>
      </c>
      <c r="AL279" s="104" t="n">
        <v>0.11</v>
      </c>
      <c r="AM279" s="104" t="n">
        <v>0.27</v>
      </c>
      <c r="AN279" s="104" t="n">
        <v>0.05</v>
      </c>
      <c r="AO279" s="104" t="n">
        <v>0.49</v>
      </c>
      <c r="AP279" s="104" t="n">
        <v>1.44</v>
      </c>
      <c r="AQ279" s="103" t="n">
        <v>2.11</v>
      </c>
      <c r="AR279" s="103" t="inlineStr">
        <is>
          <t>Grey</t>
        </is>
      </c>
      <c r="AS279" s="104" t="n">
        <v>0.11</v>
      </c>
      <c r="AT279" s="104" t="n">
        <v>0.27</v>
      </c>
      <c r="AU279" s="104" t="n">
        <v>0.05</v>
      </c>
      <c r="AV279" s="104" t="n">
        <v>0.49</v>
      </c>
      <c r="AW279" s="103" t="n">
        <v>2.46</v>
      </c>
      <c r="AX279" s="103" t="inlineStr">
        <is>
          <t>Grey</t>
        </is>
      </c>
      <c r="AY279" s="104" t="n">
        <v>0.11</v>
      </c>
      <c r="AZ279" s="104" t="n">
        <v>0.05</v>
      </c>
      <c r="BA279" s="104" t="n">
        <v>0.16</v>
      </c>
      <c r="BB279" s="104" t="n">
        <v>1.44</v>
      </c>
      <c r="BC279" s="103" t="n">
        <v>0.95</v>
      </c>
      <c r="BD279" s="103" t="inlineStr">
        <is>
          <t>Healthy</t>
        </is>
      </c>
      <c r="BE279" s="104" t="n">
        <v>0.04</v>
      </c>
      <c r="BF279" s="104" t="n">
        <v>0.66</v>
      </c>
      <c r="BG279" s="104" t="n">
        <v>1.32</v>
      </c>
      <c r="BH279" s="104" t="n">
        <v>-0.74</v>
      </c>
      <c r="BI279" s="103" t="n">
        <v>0.32</v>
      </c>
      <c r="BJ279" s="103" t="inlineStr">
        <is>
          <t>Healthy</t>
        </is>
      </c>
      <c r="BK279" s="103" t="n">
        <v>1</v>
      </c>
      <c r="BL279" s="103" t="n">
        <v>1</v>
      </c>
      <c r="BM279" s="103" t="n">
        <v>1</v>
      </c>
      <c r="BN279" s="103" t="n">
        <v>1</v>
      </c>
      <c r="BO279" s="103" t="n">
        <v>0</v>
      </c>
      <c r="BP279" s="103" t="n">
        <v>1</v>
      </c>
      <c r="BQ279" s="103" t="n">
        <v>0</v>
      </c>
      <c r="BR279" s="103" t="n">
        <v>0</v>
      </c>
      <c r="BS279" s="103" t="n">
        <v>1</v>
      </c>
      <c r="BT279" s="103" t="n">
        <v>6</v>
      </c>
      <c r="BU279" s="103" t="inlineStr">
        <is>
          <t>Mixed</t>
        </is>
      </c>
      <c r="BV279" s="104" t="n">
        <v>0.96</v>
      </c>
      <c r="BW279" s="104" t="n">
        <v>1.03</v>
      </c>
      <c r="BX279" s="104" t="n">
        <v>0.9399999999999999</v>
      </c>
      <c r="BY279" s="104" t="n">
        <v>1.16</v>
      </c>
      <c r="BZ279" s="104" t="n">
        <v>1.18</v>
      </c>
      <c r="CA279" s="104" t="n">
        <v>0.9</v>
      </c>
      <c r="CB279" s="104" t="n">
        <v>1</v>
      </c>
      <c r="CC279" s="104" t="n">
        <v>-0.01</v>
      </c>
      <c r="CD279" s="103" t="n">
        <v>-2.41</v>
      </c>
      <c r="CE279" s="103" t="inlineStr">
        <is>
          <t>Lower Risk</t>
        </is>
      </c>
      <c r="CF279" s="104" t="n">
        <v>0.14</v>
      </c>
      <c r="CG279" s="104" t="n">
        <v>54.25</v>
      </c>
      <c r="CH279" s="103" t="n">
        <v>0</v>
      </c>
      <c r="CI279" s="103" t="inlineStr">
        <is>
          <t>CLEAR</t>
        </is>
      </c>
    </row>
    <row r="280" ht="17" customHeight="1">
      <c r="A280" s="107" t="inlineStr">
        <is>
          <t>TPR</t>
        </is>
      </c>
      <c r="B280" s="107" t="inlineStr">
        <is>
          <t>Tapestry, Inc.</t>
        </is>
      </c>
      <c r="C280" s="108" t="n">
        <v>1348700000</v>
      </c>
      <c r="D280" s="109" t="n">
        <v>0.07000000000000001</v>
      </c>
      <c r="E280" s="109" t="n">
        <v>0.04</v>
      </c>
      <c r="F280" s="109" t="n">
        <v>0.03</v>
      </c>
      <c r="G280" s="109" t="n">
        <v>0.03</v>
      </c>
      <c r="H280" s="109" t="n">
        <v>0.06</v>
      </c>
      <c r="I280" s="109" t="n">
        <v>0.21</v>
      </c>
      <c r="J280" s="109" t="n">
        <v>0.08</v>
      </c>
      <c r="K280" s="109" t="n">
        <v>0.9</v>
      </c>
      <c r="L280" s="109" t="n">
        <v>3.3</v>
      </c>
      <c r="M280" s="109" t="n">
        <v>0.89</v>
      </c>
      <c r="N280" s="108" t="n">
        <v>0.11</v>
      </c>
      <c r="O280" s="108" t="n">
        <v>1.87</v>
      </c>
      <c r="P280" s="108" t="n">
        <v>5.14</v>
      </c>
      <c r="Q280" s="108" t="n">
        <v>1.31</v>
      </c>
      <c r="R280" s="108" t="n">
        <v>0.71</v>
      </c>
      <c r="S280" s="108" t="n">
        <v>0.87</v>
      </c>
      <c r="T280" s="108" t="n">
        <v>0.78</v>
      </c>
      <c r="U280" s="108" t="n">
        <v>2.79</v>
      </c>
      <c r="V280" s="108" t="n">
        <v>1.51</v>
      </c>
      <c r="W280" s="108" t="n">
        <v>6.64</v>
      </c>
      <c r="X280" s="109" t="n">
        <v>0.19</v>
      </c>
      <c r="Y280" s="111" t="inlineStr">
        <is>
          <t>N/A</t>
        </is>
      </c>
      <c r="Z280" s="109" t="n">
        <v>1.53</v>
      </c>
      <c r="AA280" s="109" t="n">
        <v>2.96</v>
      </c>
      <c r="AB280" s="109" t="n">
        <v>-0.78</v>
      </c>
      <c r="AC280" s="108" t="n">
        <v>-0.16</v>
      </c>
      <c r="AD280" s="108" t="n">
        <v>-0.16</v>
      </c>
      <c r="AE280" s="108" t="n">
        <v>0.2</v>
      </c>
      <c r="AF280" s="108" t="n">
        <v>-0.39</v>
      </c>
      <c r="AG280" s="108" t="n">
        <v>0.06</v>
      </c>
      <c r="AH280" s="108" t="n">
        <v>0.15</v>
      </c>
      <c r="AI280" s="108" t="n">
        <v>0.89</v>
      </c>
      <c r="AJ280" s="108" t="n">
        <v>0.89</v>
      </c>
      <c r="AK280" s="112" t="inlineStr">
        <is>
          <t>Distress</t>
        </is>
      </c>
      <c r="AL280" s="108" t="n">
        <v>0.2</v>
      </c>
      <c r="AM280" s="108" t="n">
        <v>-0.39</v>
      </c>
      <c r="AN280" s="108" t="n">
        <v>0.06</v>
      </c>
      <c r="AO280" s="108" t="n">
        <v>0.15</v>
      </c>
      <c r="AP280" s="108" t="n">
        <v>0.89</v>
      </c>
      <c r="AQ280" s="107" t="n">
        <v>0.97</v>
      </c>
      <c r="AR280" s="107" t="inlineStr">
        <is>
          <t>Distress</t>
        </is>
      </c>
      <c r="AS280" s="108" t="n">
        <v>0.2</v>
      </c>
      <c r="AT280" s="108" t="n">
        <v>-0.39</v>
      </c>
      <c r="AU280" s="108" t="n">
        <v>0.06</v>
      </c>
      <c r="AV280" s="108" t="n">
        <v>0.15</v>
      </c>
      <c r="AW280" s="107" t="n">
        <v>0.66</v>
      </c>
      <c r="AX280" s="107" t="inlineStr">
        <is>
          <t>Distress</t>
        </is>
      </c>
      <c r="AY280" s="108" t="n">
        <v>0.2</v>
      </c>
      <c r="AZ280" s="108" t="n">
        <v>0.06</v>
      </c>
      <c r="BA280" s="108" t="n">
        <v>0.14</v>
      </c>
      <c r="BB280" s="108" t="n">
        <v>0.89</v>
      </c>
      <c r="BC280" s="107" t="n">
        <v>0.85</v>
      </c>
      <c r="BD280" s="107" t="inlineStr">
        <is>
          <t>Distress</t>
        </is>
      </c>
      <c r="BE280" s="108" t="n">
        <v>0.03</v>
      </c>
      <c r="BF280" s="108" t="n">
        <v>0.87</v>
      </c>
      <c r="BG280" s="108" t="n">
        <v>1.87</v>
      </c>
      <c r="BH280" s="108" t="n">
        <v>0.48</v>
      </c>
      <c r="BI280" s="107" t="n">
        <v>0.62</v>
      </c>
      <c r="BJ280" s="107" t="inlineStr">
        <is>
          <t>Distress</t>
        </is>
      </c>
      <c r="BK280" s="107" t="n">
        <v>1</v>
      </c>
      <c r="BL280" s="107" t="n">
        <v>1</v>
      </c>
      <c r="BM280" s="107" t="n">
        <v>0</v>
      </c>
      <c r="BN280" s="107" t="n">
        <v>1</v>
      </c>
      <c r="BO280" s="107" t="n">
        <v>1</v>
      </c>
      <c r="BP280" s="107" t="n">
        <v>0</v>
      </c>
      <c r="BQ280" s="107" t="n">
        <v>1</v>
      </c>
      <c r="BR280" s="107" t="n">
        <v>0</v>
      </c>
      <c r="BS280" s="107" t="n">
        <v>1</v>
      </c>
      <c r="BT280" s="107" t="n">
        <v>6</v>
      </c>
      <c r="BU280" s="107" t="inlineStr">
        <is>
          <t>Mixed</t>
        </is>
      </c>
      <c r="BV280" s="108" t="n">
        <v>0.26</v>
      </c>
      <c r="BW280" s="108" t="n">
        <v>3.66</v>
      </c>
      <c r="BX280" s="108" t="n">
        <v>1.62</v>
      </c>
      <c r="BY280" s="108" t="n">
        <v>3.96</v>
      </c>
      <c r="BZ280" s="108" t="n">
        <v>0.88</v>
      </c>
      <c r="CA280" s="108" t="n">
        <v>0.27</v>
      </c>
      <c r="CB280" s="108" t="n">
        <v>1.11</v>
      </c>
      <c r="CC280" s="108" t="n">
        <v>-0.16</v>
      </c>
      <c r="CD280" s="107" t="n">
        <v>0.48</v>
      </c>
      <c r="CE280" s="107" t="inlineStr">
        <is>
          <t>Higher Risk</t>
        </is>
      </c>
      <c r="CF280" s="108" t="n">
        <v>2.22</v>
      </c>
      <c r="CG280" s="108" t="n">
        <v>45.22</v>
      </c>
      <c r="CH280" s="106" t="n">
        <v>40</v>
      </c>
      <c r="CI280" s="107" t="inlineStr">
        <is>
          <t>WATCH</t>
        </is>
      </c>
    </row>
    <row r="281" ht="17" customHeight="1">
      <c r="A281" s="103" t="inlineStr">
        <is>
          <t>CSL</t>
        </is>
      </c>
      <c r="B281" s="103" t="inlineStr">
        <is>
          <t>CARLISLE COMPANIES INCORPORATED</t>
        </is>
      </c>
      <c r="C281" s="104" t="n">
        <v>1541400000</v>
      </c>
      <c r="D281" s="105" t="n">
        <v>0.2</v>
      </c>
      <c r="E281" s="105" t="n">
        <v>0.19</v>
      </c>
      <c r="F281" s="105" t="n">
        <v>0.15</v>
      </c>
      <c r="G281" s="105" t="n">
        <v>0.12</v>
      </c>
      <c r="H281" s="105" t="n">
        <v>0.23</v>
      </c>
      <c r="I281" s="105" t="n">
        <v>0.41</v>
      </c>
      <c r="J281" s="105" t="n">
        <v>0.18</v>
      </c>
      <c r="K281" s="105" t="n">
        <v>0.33</v>
      </c>
      <c r="L281" s="105" t="n">
        <v>0.09</v>
      </c>
      <c r="M281" s="105" t="n">
        <v>0.8</v>
      </c>
      <c r="N281" s="104" t="n">
        <v>0.79</v>
      </c>
      <c r="O281" s="104" t="n">
        <v>3.09</v>
      </c>
      <c r="P281" s="104" t="n">
        <v>2.89</v>
      </c>
      <c r="Q281" s="104" t="n">
        <v>2.49</v>
      </c>
      <c r="R281" s="104" t="n">
        <v>1.51</v>
      </c>
      <c r="S281" s="104" t="n">
        <v>1</v>
      </c>
      <c r="T281" s="104" t="n">
        <v>1</v>
      </c>
      <c r="U281" s="104" t="n">
        <v>1.69</v>
      </c>
      <c r="V281" s="104" t="n">
        <v>1.07</v>
      </c>
      <c r="W281" s="104" t="n">
        <v>1.49</v>
      </c>
      <c r="X281" s="105" t="n">
        <v>0.19</v>
      </c>
      <c r="Y281" s="105" t="n">
        <v>0.01</v>
      </c>
      <c r="Z281" s="105" t="n">
        <v>33.87</v>
      </c>
      <c r="AA281" s="105" t="n">
        <v>0.09</v>
      </c>
      <c r="AB281" s="105" t="n">
        <v>-0.44</v>
      </c>
      <c r="AC281" s="104" t="n">
        <v>-0.06</v>
      </c>
      <c r="AD281" s="104" t="n">
        <v>-0.06</v>
      </c>
      <c r="AE281" s="104" t="n">
        <v>0.25</v>
      </c>
      <c r="AF281" s="104" t="n">
        <v>1.17</v>
      </c>
      <c r="AG281" s="104" t="n">
        <v>0.16</v>
      </c>
      <c r="AH281" s="104" t="n">
        <v>0.29</v>
      </c>
      <c r="AI281" s="104" t="n">
        <v>0.8</v>
      </c>
      <c r="AJ281" s="104" t="n">
        <v>3.43</v>
      </c>
      <c r="AK281" s="110" t="inlineStr">
        <is>
          <t>Safe</t>
        </is>
      </c>
      <c r="AL281" s="104" t="n">
        <v>0.25</v>
      </c>
      <c r="AM281" s="104" t="n">
        <v>1.17</v>
      </c>
      <c r="AN281" s="104" t="n">
        <v>0.16</v>
      </c>
      <c r="AO281" s="104" t="n">
        <v>0.29</v>
      </c>
      <c r="AP281" s="104" t="n">
        <v>0.8</v>
      </c>
      <c r="AQ281" s="103" t="n">
        <v>2.58</v>
      </c>
      <c r="AR281" s="103" t="inlineStr">
        <is>
          <t>Grey</t>
        </is>
      </c>
      <c r="AS281" s="104" t="n">
        <v>0.25</v>
      </c>
      <c r="AT281" s="104" t="n">
        <v>1.17</v>
      </c>
      <c r="AU281" s="104" t="n">
        <v>0.16</v>
      </c>
      <c r="AV281" s="104" t="n">
        <v>0.29</v>
      </c>
      <c r="AW281" s="103" t="n">
        <v>6.81</v>
      </c>
      <c r="AX281" s="103" t="inlineStr">
        <is>
          <t>Safe</t>
        </is>
      </c>
      <c r="AY281" s="104" t="n">
        <v>0.25</v>
      </c>
      <c r="AZ281" s="104" t="n">
        <v>0.16</v>
      </c>
      <c r="BA281" s="104" t="n">
        <v>1.29</v>
      </c>
      <c r="BB281" s="104" t="n">
        <v>0.8</v>
      </c>
      <c r="BC281" s="103" t="n">
        <v>1.92</v>
      </c>
      <c r="BD281" s="103" t="inlineStr">
        <is>
          <t>Healthy</t>
        </is>
      </c>
      <c r="BE281" s="104" t="n">
        <v>0.12</v>
      </c>
      <c r="BF281" s="104" t="n">
        <v>1</v>
      </c>
      <c r="BG281" s="104" t="n">
        <v>3.09</v>
      </c>
      <c r="BH281" s="104" t="n">
        <v>0.82</v>
      </c>
      <c r="BI281" s="103" t="n">
        <v>0.6899999999999999</v>
      </c>
      <c r="BJ281" s="103" t="inlineStr">
        <is>
          <t>Distress</t>
        </is>
      </c>
      <c r="BK281" s="103" t="n">
        <v>1</v>
      </c>
      <c r="BL281" s="103" t="n">
        <v>1</v>
      </c>
      <c r="BM281" s="103" t="n">
        <v>0</v>
      </c>
      <c r="BN281" s="103" t="n">
        <v>1</v>
      </c>
      <c r="BO281" s="103" t="n">
        <v>0</v>
      </c>
      <c r="BP281" s="103" t="n">
        <v>1</v>
      </c>
      <c r="BQ281" s="103" t="n">
        <v>1</v>
      </c>
      <c r="BR281" s="103" t="n">
        <v>1</v>
      </c>
      <c r="BS281" s="103" t="n">
        <v>1</v>
      </c>
      <c r="BT281" s="103" t="n">
        <v>7</v>
      </c>
      <c r="BU281" s="103" t="inlineStr">
        <is>
          <t>Strong</t>
        </is>
      </c>
      <c r="BV281" s="104" t="n">
        <v>0.9399999999999999</v>
      </c>
      <c r="BW281" s="104" t="n">
        <v>0.28</v>
      </c>
      <c r="BX281" s="104" t="n">
        <v>0.93</v>
      </c>
      <c r="BY281" s="104" t="n">
        <v>1.09</v>
      </c>
      <c r="BZ281" s="104" t="n">
        <v>1</v>
      </c>
      <c r="CA281" s="104" t="n">
        <v>0.95</v>
      </c>
      <c r="CB281" s="104" t="n">
        <v>1</v>
      </c>
      <c r="CC281" s="104" t="n">
        <v>-0.06</v>
      </c>
      <c r="CD281" s="103" t="n">
        <v>-3.12</v>
      </c>
      <c r="CE281" s="103" t="inlineStr">
        <is>
          <t>Lower Risk</t>
        </is>
      </c>
      <c r="CF281" s="104" t="n">
        <v>1.6</v>
      </c>
      <c r="CG281" s="104" t="n">
        <v>59.76</v>
      </c>
      <c r="CH281" s="103" t="n">
        <v>0</v>
      </c>
      <c r="CI281" s="103" t="inlineStr">
        <is>
          <t>CLEAR</t>
        </is>
      </c>
    </row>
    <row r="282" ht="17" customHeight="1">
      <c r="A282" s="107" t="inlineStr">
        <is>
          <t>FOUR</t>
        </is>
      </c>
      <c r="B282" s="107" t="inlineStr">
        <is>
          <t>SHIFT4 PAYMENTS, INC.</t>
        </is>
      </c>
      <c r="C282" s="108" t="n">
        <v>867000000</v>
      </c>
      <c r="D282" s="109" t="n">
        <v>0.08</v>
      </c>
      <c r="E282" s="109" t="n">
        <v>0.05</v>
      </c>
      <c r="F282" s="109" t="n">
        <v>0.03</v>
      </c>
      <c r="G282" s="109" t="n">
        <v>0.01</v>
      </c>
      <c r="H282" s="109" t="n">
        <v>0.05</v>
      </c>
      <c r="I282" s="109" t="n">
        <v>0.08</v>
      </c>
      <c r="J282" s="109" t="n">
        <v>0.05</v>
      </c>
      <c r="K282" s="109" t="n">
        <v>0.07000000000000001</v>
      </c>
      <c r="L282" s="109" t="n">
        <v>0.05</v>
      </c>
      <c r="M282" s="109" t="n">
        <v>0.48</v>
      </c>
      <c r="N282" s="108" t="n">
        <v>0.66</v>
      </c>
      <c r="O282" s="108" t="n">
        <v>1.66</v>
      </c>
      <c r="P282" s="108" t="n">
        <v>1.38</v>
      </c>
      <c r="Q282" s="108" t="n">
        <v>1.65</v>
      </c>
      <c r="R282" s="108" t="n">
        <v>0.73</v>
      </c>
      <c r="S282" s="108" t="n">
        <v>0.78</v>
      </c>
      <c r="T282" s="108" t="n">
        <v>0.8</v>
      </c>
      <c r="U282" s="108" t="n">
        <v>3.16</v>
      </c>
      <c r="V282" s="108" t="n">
        <v>2.49</v>
      </c>
      <c r="W282" s="108" t="n">
        <v>5.33</v>
      </c>
      <c r="X282" s="109" t="n">
        <v>0.15</v>
      </c>
      <c r="Y282" s="109" t="n">
        <v>0</v>
      </c>
      <c r="Z282" s="109" t="n">
        <v>10.93</v>
      </c>
      <c r="AA282" s="109" t="n">
        <v>0.26</v>
      </c>
      <c r="AB282" s="109" t="n">
        <v>-0.48</v>
      </c>
      <c r="AC282" s="108" t="n">
        <v>-0.06</v>
      </c>
      <c r="AD282" s="108" t="n">
        <v>-0.06</v>
      </c>
      <c r="AE282" s="108" t="n">
        <v>0.1</v>
      </c>
      <c r="AF282" s="108" t="n">
        <v>-0.05</v>
      </c>
      <c r="AG282" s="108" t="n">
        <v>0.04</v>
      </c>
      <c r="AH282" s="108" t="n">
        <v>0.21</v>
      </c>
      <c r="AI282" s="108" t="n">
        <v>0.48</v>
      </c>
      <c r="AJ282" s="108" t="n">
        <v>0.79</v>
      </c>
      <c r="AK282" s="112" t="inlineStr">
        <is>
          <t>Distress</t>
        </is>
      </c>
      <c r="AL282" s="108" t="n">
        <v>0.1</v>
      </c>
      <c r="AM282" s="108" t="n">
        <v>-0.05</v>
      </c>
      <c r="AN282" s="108" t="n">
        <v>0.04</v>
      </c>
      <c r="AO282" s="108" t="n">
        <v>0.21</v>
      </c>
      <c r="AP282" s="108" t="n">
        <v>0.48</v>
      </c>
      <c r="AQ282" s="107" t="n">
        <v>0.72</v>
      </c>
      <c r="AR282" s="107" t="inlineStr">
        <is>
          <t>Distress</t>
        </is>
      </c>
      <c r="AS282" s="108" t="n">
        <v>0.1</v>
      </c>
      <c r="AT282" s="108" t="n">
        <v>-0.05</v>
      </c>
      <c r="AU282" s="108" t="n">
        <v>0.04</v>
      </c>
      <c r="AV282" s="108" t="n">
        <v>0.21</v>
      </c>
      <c r="AW282" s="107" t="n">
        <v>0.97</v>
      </c>
      <c r="AX282" s="107" t="inlineStr">
        <is>
          <t>Distress</t>
        </is>
      </c>
      <c r="AY282" s="108" t="n">
        <v>0.1</v>
      </c>
      <c r="AZ282" s="108" t="n">
        <v>0.04</v>
      </c>
      <c r="BA282" s="108" t="n">
        <v>0.15</v>
      </c>
      <c r="BB282" s="108" t="n">
        <v>0.48</v>
      </c>
      <c r="BC282" s="107" t="n">
        <v>0.52</v>
      </c>
      <c r="BD282" s="107" t="inlineStr">
        <is>
          <t>Distress</t>
        </is>
      </c>
      <c r="BE282" s="108" t="n">
        <v>0.01</v>
      </c>
      <c r="BF282" s="108" t="n">
        <v>0.78</v>
      </c>
      <c r="BG282" s="108" t="n">
        <v>1.66</v>
      </c>
      <c r="BH282" s="108" t="n">
        <v>0.01</v>
      </c>
      <c r="BI282" s="107" t="n">
        <v>0.5</v>
      </c>
      <c r="BJ282" s="107" t="inlineStr">
        <is>
          <t>Distress</t>
        </is>
      </c>
      <c r="BK282" s="107" t="n">
        <v>1</v>
      </c>
      <c r="BL282" s="107" t="n">
        <v>1</v>
      </c>
      <c r="BM282" s="107" t="n">
        <v>0</v>
      </c>
      <c r="BN282" s="107" t="n">
        <v>1</v>
      </c>
      <c r="BO282" s="107" t="n">
        <v>1</v>
      </c>
      <c r="BP282" s="107" t="n">
        <v>1</v>
      </c>
      <c r="BQ282" s="107" t="n">
        <v>0</v>
      </c>
      <c r="BR282" s="107" t="n">
        <v>1</v>
      </c>
      <c r="BS282" s="107" t="n">
        <v>0</v>
      </c>
      <c r="BT282" s="107" t="n">
        <v>6</v>
      </c>
      <c r="BU282" s="107" t="inlineStr">
        <is>
          <t>Mixed</t>
        </is>
      </c>
      <c r="BV282" s="108" t="n">
        <v>1.7</v>
      </c>
      <c r="BW282" s="108" t="n">
        <v>0.8</v>
      </c>
      <c r="BX282" s="108" t="n">
        <v>1.21</v>
      </c>
      <c r="BY282" s="108" t="n">
        <v>1.26</v>
      </c>
      <c r="BZ282" s="108" t="n">
        <v>0.99</v>
      </c>
      <c r="CA282" s="108" t="n">
        <v>1.18</v>
      </c>
      <c r="CB282" s="108" t="n">
        <v>0.97</v>
      </c>
      <c r="CC282" s="108" t="n">
        <v>-0.06</v>
      </c>
      <c r="CD282" s="107" t="n">
        <v>-1.93</v>
      </c>
      <c r="CE282" s="107" t="inlineStr">
        <is>
          <t>Higher Risk</t>
        </is>
      </c>
      <c r="CF282" s="108" t="n">
        <v>5.6</v>
      </c>
      <c r="CG282" s="108" t="n">
        <v>44.35</v>
      </c>
      <c r="CH282" s="107" t="n">
        <v>20</v>
      </c>
      <c r="CI282" s="107" t="inlineStr">
        <is>
          <t>CLEAR</t>
        </is>
      </c>
    </row>
    <row r="283" ht="17" customHeight="1">
      <c r="A283" s="103" t="inlineStr">
        <is>
          <t>SYF</t>
        </is>
      </c>
      <c r="B283" s="103" t="inlineStr">
        <is>
          <t>Synchrony Financial</t>
        </is>
      </c>
      <c r="C283" s="113" t="inlineStr">
        <is>
          <t>N/A</t>
        </is>
      </c>
      <c r="D283" s="113" t="inlineStr">
        <is>
          <t>N/A</t>
        </is>
      </c>
      <c r="E283" s="113" t="inlineStr">
        <is>
          <t>N/A</t>
        </is>
      </c>
      <c r="F283" s="113" t="inlineStr">
        <is>
          <t>N/A</t>
        </is>
      </c>
      <c r="G283" s="105" t="n">
        <v>0.03</v>
      </c>
      <c r="H283" s="105" t="n">
        <v>0.03</v>
      </c>
      <c r="I283" s="105" t="n">
        <v>0.21</v>
      </c>
      <c r="J283" s="113" t="inlineStr">
        <is>
          <t>N/A</t>
        </is>
      </c>
      <c r="K283" s="113" t="inlineStr">
        <is>
          <t>N/A</t>
        </is>
      </c>
      <c r="L283" s="113" t="inlineStr">
        <is>
          <t>N/A</t>
        </is>
      </c>
      <c r="M283" s="113" t="inlineStr">
        <is>
          <t>N/A</t>
        </is>
      </c>
      <c r="N283" s="113" t="inlineStr">
        <is>
          <t>N/A</t>
        </is>
      </c>
      <c r="O283" s="113" t="inlineStr">
        <is>
          <t>N/A</t>
        </is>
      </c>
      <c r="P283" s="113" t="inlineStr">
        <is>
          <t>N/A</t>
        </is>
      </c>
      <c r="Q283" s="113" t="inlineStr">
        <is>
          <t>N/A</t>
        </is>
      </c>
      <c r="R283" s="113" t="inlineStr">
        <is>
          <t>N/A</t>
        </is>
      </c>
      <c r="S283" s="104" t="n">
        <v>0.86</v>
      </c>
      <c r="T283" s="104" t="n">
        <v>0.86</v>
      </c>
      <c r="U283" s="104" t="n">
        <v>0.91</v>
      </c>
      <c r="V283" s="104" t="n">
        <v>0.01</v>
      </c>
      <c r="W283" s="104" t="n">
        <v>2.77</v>
      </c>
      <c r="X283" s="113" t="inlineStr">
        <is>
          <t>N/A</t>
        </is>
      </c>
      <c r="Y283" s="105" t="n">
        <v>0</v>
      </c>
      <c r="Z283" s="105" t="n">
        <v>1.25</v>
      </c>
      <c r="AA283" s="113" t="inlineStr">
        <is>
          <t>N/A</t>
        </is>
      </c>
      <c r="AB283" s="105" t="n">
        <v>0.02</v>
      </c>
      <c r="AC283" s="104" t="n">
        <v>-0.05</v>
      </c>
      <c r="AD283" s="104" t="n">
        <v>-0.05</v>
      </c>
      <c r="AE283" s="113" t="inlineStr">
        <is>
          <t>N/A</t>
        </is>
      </c>
      <c r="AF283" s="104" t="n">
        <v>0.21</v>
      </c>
      <c r="AG283" s="104" t="n">
        <v>0.04</v>
      </c>
      <c r="AH283" s="104" t="n">
        <v>0.16</v>
      </c>
      <c r="AI283" s="113" t="inlineStr">
        <is>
          <t>N/A</t>
        </is>
      </c>
      <c r="AJ283" s="113" t="inlineStr">
        <is>
          <t>N/A</t>
        </is>
      </c>
      <c r="AK283" s="113" t="inlineStr">
        <is>
          <t>N/A</t>
        </is>
      </c>
      <c r="AL283" s="113" t="inlineStr">
        <is>
          <t>N/A</t>
        </is>
      </c>
      <c r="AM283" s="104" t="n">
        <v>0.21</v>
      </c>
      <c r="AN283" s="104" t="n">
        <v>0.04</v>
      </c>
      <c r="AO283" s="104" t="n">
        <v>0.16</v>
      </c>
      <c r="AP283" s="113" t="inlineStr">
        <is>
          <t>N/A</t>
        </is>
      </c>
      <c r="AQ283" s="113" t="inlineStr">
        <is>
          <t>N/A</t>
        </is>
      </c>
      <c r="AR283" s="113" t="inlineStr">
        <is>
          <t>N/A</t>
        </is>
      </c>
      <c r="AS283" s="113" t="inlineStr">
        <is>
          <t>N/A</t>
        </is>
      </c>
      <c r="AT283" s="104" t="n">
        <v>0.21</v>
      </c>
      <c r="AU283" s="104" t="n">
        <v>0.04</v>
      </c>
      <c r="AV283" s="104" t="n">
        <v>0.16</v>
      </c>
      <c r="AW283" s="113" t="inlineStr">
        <is>
          <t>N/A</t>
        </is>
      </c>
      <c r="AX283" s="113" t="inlineStr">
        <is>
          <t>N/A</t>
        </is>
      </c>
      <c r="AY283" s="113" t="inlineStr">
        <is>
          <t>N/A</t>
        </is>
      </c>
      <c r="AZ283" s="104" t="n">
        <v>0.04</v>
      </c>
      <c r="BA283" s="113" t="inlineStr">
        <is>
          <t>N/A</t>
        </is>
      </c>
      <c r="BB283" s="113" t="inlineStr">
        <is>
          <t>N/A</t>
        </is>
      </c>
      <c r="BC283" s="113" t="inlineStr">
        <is>
          <t>N/A</t>
        </is>
      </c>
      <c r="BD283" s="113" t="inlineStr">
        <is>
          <t>N/A</t>
        </is>
      </c>
      <c r="BE283" s="104" t="n">
        <v>0.03</v>
      </c>
      <c r="BF283" s="104" t="n">
        <v>0.86</v>
      </c>
      <c r="BG283" s="113" t="inlineStr">
        <is>
          <t>N/A</t>
        </is>
      </c>
      <c r="BH283" s="113" t="inlineStr">
        <is>
          <t>N/A</t>
        </is>
      </c>
      <c r="BI283" s="113" t="inlineStr">
        <is>
          <t>N/A</t>
        </is>
      </c>
      <c r="BJ283" s="113" t="inlineStr">
        <is>
          <t>N/A</t>
        </is>
      </c>
      <c r="BK283" s="103" t="n">
        <v>1</v>
      </c>
      <c r="BL283" s="103" t="n">
        <v>1</v>
      </c>
      <c r="BM283" s="103" t="n">
        <v>1</v>
      </c>
      <c r="BN283" s="103" t="n">
        <v>1</v>
      </c>
      <c r="BO283" s="103" t="n">
        <v>1</v>
      </c>
      <c r="BP283" s="103" t="n">
        <v>0</v>
      </c>
      <c r="BQ283" s="103" t="n">
        <v>1</v>
      </c>
      <c r="BR283" s="103" t="n">
        <v>0</v>
      </c>
      <c r="BS283" s="103" t="n">
        <v>0</v>
      </c>
      <c r="BT283" s="103" t="n">
        <v>6</v>
      </c>
      <c r="BU283" s="103" t="inlineStr">
        <is>
          <t>Mixed</t>
        </is>
      </c>
      <c r="BV283" s="113" t="inlineStr">
        <is>
          <t>N/A</t>
        </is>
      </c>
      <c r="BW283" s="113" t="inlineStr">
        <is>
          <t>N/A</t>
        </is>
      </c>
      <c r="BX283" s="113" t="inlineStr">
        <is>
          <t>N/A</t>
        </is>
      </c>
      <c r="BY283" s="113" t="inlineStr">
        <is>
          <t>N/A</t>
        </is>
      </c>
      <c r="BZ283" s="113" t="inlineStr">
        <is>
          <t>N/A</t>
        </is>
      </c>
      <c r="CA283" s="113" t="inlineStr">
        <is>
          <t>N/A</t>
        </is>
      </c>
      <c r="CB283" s="104" t="n">
        <v>1</v>
      </c>
      <c r="CC283" s="104" t="n">
        <v>-0.05</v>
      </c>
      <c r="CD283" s="113" t="inlineStr">
        <is>
          <t>N/A</t>
        </is>
      </c>
      <c r="CE283" s="113" t="inlineStr">
        <is>
          <t>N/A</t>
        </is>
      </c>
      <c r="CF283" s="104" t="n">
        <v>0.04</v>
      </c>
      <c r="CG283" s="104" t="n">
        <v>46.83</v>
      </c>
      <c r="CH283" s="103" t="n">
        <v>0</v>
      </c>
      <c r="CI283" s="103" t="inlineStr">
        <is>
          <t>CLEAR</t>
        </is>
      </c>
    </row>
    <row r="284" ht="17" customHeight="1">
      <c r="A284" s="107" t="inlineStr">
        <is>
          <t>TXN</t>
        </is>
      </c>
      <c r="B284" s="107" t="inlineStr">
        <is>
          <t>TEXAS INSTRUMENTS INCORPORATED</t>
        </is>
      </c>
      <c r="C284" s="108" t="n">
        <v>10591000000</v>
      </c>
      <c r="D284" s="109" t="n">
        <v>0.34</v>
      </c>
      <c r="E284" s="109" t="n">
        <v>0.32</v>
      </c>
      <c r="F284" s="109" t="n">
        <v>0.28</v>
      </c>
      <c r="G284" s="109" t="n">
        <v>0.14</v>
      </c>
      <c r="H284" s="109" t="n">
        <v>0.14</v>
      </c>
      <c r="I284" s="109" t="n">
        <v>0.31</v>
      </c>
      <c r="J284" s="109" t="n">
        <v>0.19</v>
      </c>
      <c r="K284" s="109" t="n">
        <v>0.57</v>
      </c>
      <c r="L284" s="109" t="n">
        <v>0.58</v>
      </c>
      <c r="M284" s="109" t="n">
        <v>0.51</v>
      </c>
      <c r="N284" s="108" t="n">
        <v>0.44</v>
      </c>
      <c r="O284" s="108" t="n">
        <v>4.35</v>
      </c>
      <c r="P284" s="108" t="n">
        <v>4.12</v>
      </c>
      <c r="Q284" s="108" t="n">
        <v>2.83</v>
      </c>
      <c r="R284" s="108" t="n">
        <v>1.02</v>
      </c>
      <c r="S284" s="108" t="n">
        <v>0.53</v>
      </c>
      <c r="T284" s="108" t="n">
        <v>0.52</v>
      </c>
      <c r="U284" s="108" t="n">
        <v>0.89</v>
      </c>
      <c r="V284" s="108" t="n">
        <v>0.7</v>
      </c>
      <c r="W284" s="108" t="n">
        <v>1.43</v>
      </c>
      <c r="X284" s="109" t="n">
        <v>0.15</v>
      </c>
      <c r="Y284" s="109" t="n">
        <v>0.12</v>
      </c>
      <c r="Z284" s="109" t="n">
        <v>11.11</v>
      </c>
      <c r="AA284" s="109" t="n">
        <v>0.13</v>
      </c>
      <c r="AB284" s="109" t="n">
        <v>0.04</v>
      </c>
      <c r="AC284" s="108" t="n">
        <v>-0.06</v>
      </c>
      <c r="AD284" s="108" t="n">
        <v>-0.06</v>
      </c>
      <c r="AE284" s="108" t="n">
        <v>0.31</v>
      </c>
      <c r="AF284" s="108" t="n">
        <v>1.51</v>
      </c>
      <c r="AG284" s="108" t="n">
        <v>0.17</v>
      </c>
      <c r="AH284" s="108" t="n">
        <v>0.89</v>
      </c>
      <c r="AI284" s="108" t="n">
        <v>0.51</v>
      </c>
      <c r="AJ284" s="108" t="n">
        <v>4.1</v>
      </c>
      <c r="AK284" s="110" t="inlineStr">
        <is>
          <t>Safe</t>
        </is>
      </c>
      <c r="AL284" s="108" t="n">
        <v>0.31</v>
      </c>
      <c r="AM284" s="108" t="n">
        <v>1.51</v>
      </c>
      <c r="AN284" s="108" t="n">
        <v>0.17</v>
      </c>
      <c r="AO284" s="108" t="n">
        <v>0.89</v>
      </c>
      <c r="AP284" s="108" t="n">
        <v>0.51</v>
      </c>
      <c r="AQ284" s="107" t="n">
        <v>2.92</v>
      </c>
      <c r="AR284" s="107" t="inlineStr">
        <is>
          <t>Safe</t>
        </is>
      </c>
      <c r="AS284" s="108" t="n">
        <v>0.31</v>
      </c>
      <c r="AT284" s="108" t="n">
        <v>1.51</v>
      </c>
      <c r="AU284" s="108" t="n">
        <v>0.17</v>
      </c>
      <c r="AV284" s="108" t="n">
        <v>0.89</v>
      </c>
      <c r="AW284" s="107" t="n">
        <v>9.039999999999999</v>
      </c>
      <c r="AX284" s="107" t="inlineStr">
        <is>
          <t>Safe</t>
        </is>
      </c>
      <c r="AY284" s="108" t="n">
        <v>0.31</v>
      </c>
      <c r="AZ284" s="108" t="n">
        <v>0.17</v>
      </c>
      <c r="BA284" s="108" t="n">
        <v>1.81</v>
      </c>
      <c r="BB284" s="108" t="n">
        <v>0.51</v>
      </c>
      <c r="BC284" s="107" t="n">
        <v>2.25</v>
      </c>
      <c r="BD284" s="107" t="inlineStr">
        <is>
          <t>Healthy</t>
        </is>
      </c>
      <c r="BE284" s="108" t="n">
        <v>0.14</v>
      </c>
      <c r="BF284" s="108" t="n">
        <v>0.53</v>
      </c>
      <c r="BG284" s="108" t="n">
        <v>4.35</v>
      </c>
      <c r="BH284" s="108" t="n">
        <v>-1.96</v>
      </c>
      <c r="BI284" s="107" t="n">
        <v>0.12</v>
      </c>
      <c r="BJ284" s="107" t="inlineStr">
        <is>
          <t>Healthy</t>
        </is>
      </c>
      <c r="BK284" s="107" t="n">
        <v>1</v>
      </c>
      <c r="BL284" s="107" t="n">
        <v>1</v>
      </c>
      <c r="BM284" s="107" t="n">
        <v>1</v>
      </c>
      <c r="BN284" s="107" t="n">
        <v>1</v>
      </c>
      <c r="BO284" s="107" t="n">
        <v>0</v>
      </c>
      <c r="BP284" s="107" t="n">
        <v>1</v>
      </c>
      <c r="BQ284" s="107" t="n">
        <v>1</v>
      </c>
      <c r="BR284" s="107" t="n">
        <v>0</v>
      </c>
      <c r="BS284" s="107" t="n">
        <v>1</v>
      </c>
      <c r="BT284" s="107" t="n">
        <v>7</v>
      </c>
      <c r="BU284" s="107" t="inlineStr">
        <is>
          <t>Strong</t>
        </is>
      </c>
      <c r="BV284" s="108" t="n">
        <v>1.01</v>
      </c>
      <c r="BW284" s="108" t="n">
        <v>1.02</v>
      </c>
      <c r="BX284" s="108" t="n">
        <v>0.96</v>
      </c>
      <c r="BY284" s="108" t="n">
        <v>1.13</v>
      </c>
      <c r="BZ284" s="108" t="n">
        <v>0.87</v>
      </c>
      <c r="CA284" s="108" t="n">
        <v>0.92</v>
      </c>
      <c r="CB284" s="108" t="n">
        <v>1.01</v>
      </c>
      <c r="CC284" s="108" t="n">
        <v>-0.06</v>
      </c>
      <c r="CD284" s="107" t="n">
        <v>-2.66</v>
      </c>
      <c r="CE284" s="107" t="inlineStr">
        <is>
          <t>Lower Risk</t>
        </is>
      </c>
      <c r="CF284" s="108" t="n">
        <v>1.43</v>
      </c>
      <c r="CG284" s="108" t="n">
        <v>61.78</v>
      </c>
      <c r="CH284" s="107" t="n">
        <v>0</v>
      </c>
      <c r="CI284" s="107" t="inlineStr">
        <is>
          <t>CLEAR</t>
        </is>
      </c>
    </row>
    <row r="285" ht="17" customHeight="1">
      <c r="A285" s="103" t="inlineStr">
        <is>
          <t>ADBE</t>
        </is>
      </c>
      <c r="B285" s="103" t="inlineStr">
        <is>
          <t>ADOBE INC.</t>
        </is>
      </c>
      <c r="C285" s="104" t="n">
        <v>-37000000</v>
      </c>
      <c r="D285" s="105" t="n">
        <v>0.37</v>
      </c>
      <c r="E285" s="105" t="n">
        <v>0.37</v>
      </c>
      <c r="F285" s="105" t="n">
        <v>0.3</v>
      </c>
      <c r="G285" s="105" t="n">
        <v>0.24</v>
      </c>
      <c r="H285" s="105" t="n">
        <v>0.18</v>
      </c>
      <c r="I285" s="105" t="n">
        <v>0.61</v>
      </c>
      <c r="J285" s="105" t="n">
        <v>0.45</v>
      </c>
      <c r="K285" s="105" t="n">
        <v>0.89</v>
      </c>
      <c r="L285" s="105" t="n">
        <v>0.89</v>
      </c>
      <c r="M285" s="105" t="n">
        <v>0.8100000000000001</v>
      </c>
      <c r="N285" s="104" t="n">
        <v>0.71</v>
      </c>
      <c r="O285" s="104" t="n">
        <v>1</v>
      </c>
      <c r="P285" s="104" t="n">
        <v>1.07</v>
      </c>
      <c r="Q285" s="104" t="n">
        <v>1</v>
      </c>
      <c r="R285" s="104" t="n">
        <v>0.53</v>
      </c>
      <c r="S285" s="104" t="n">
        <v>0.61</v>
      </c>
      <c r="T285" s="104" t="n">
        <v>0.53</v>
      </c>
      <c r="U285" s="104" t="n">
        <v>0.53</v>
      </c>
      <c r="V285" s="104" t="n">
        <v>0.07000000000000001</v>
      </c>
      <c r="W285" s="104" t="n">
        <v>1.41</v>
      </c>
      <c r="X285" s="105" t="n">
        <v>0.41</v>
      </c>
      <c r="Y285" s="113" t="inlineStr">
        <is>
          <t>N/A</t>
        </is>
      </c>
      <c r="Z285" s="105" t="n">
        <v>77.04000000000001</v>
      </c>
      <c r="AA285" s="105" t="n">
        <v>0.11</v>
      </c>
      <c r="AB285" s="105" t="n">
        <v>0.28</v>
      </c>
      <c r="AC285" s="104" t="n">
        <v>-0.1</v>
      </c>
      <c r="AD285" s="104" t="n">
        <v>-0.1</v>
      </c>
      <c r="AE285" s="104" t="n">
        <v>-0</v>
      </c>
      <c r="AF285" s="104" t="n">
        <v>1.54</v>
      </c>
      <c r="AG285" s="104" t="n">
        <v>0.3</v>
      </c>
      <c r="AH285" s="104" t="n">
        <v>0.65</v>
      </c>
      <c r="AI285" s="104" t="n">
        <v>0.8100000000000001</v>
      </c>
      <c r="AJ285" s="104" t="n">
        <v>4.32</v>
      </c>
      <c r="AK285" s="110" t="inlineStr">
        <is>
          <t>Safe</t>
        </is>
      </c>
      <c r="AL285" s="104" t="n">
        <v>-0</v>
      </c>
      <c r="AM285" s="104" t="n">
        <v>1.54</v>
      </c>
      <c r="AN285" s="104" t="n">
        <v>0.3</v>
      </c>
      <c r="AO285" s="104" t="n">
        <v>0.65</v>
      </c>
      <c r="AP285" s="104" t="n">
        <v>0.8100000000000001</v>
      </c>
      <c r="AQ285" s="103" t="n">
        <v>3.3</v>
      </c>
      <c r="AR285" s="103" t="inlineStr">
        <is>
          <t>Safe</t>
        </is>
      </c>
      <c r="AS285" s="104" t="n">
        <v>-0</v>
      </c>
      <c r="AT285" s="104" t="n">
        <v>1.54</v>
      </c>
      <c r="AU285" s="104" t="n">
        <v>0.3</v>
      </c>
      <c r="AV285" s="104" t="n">
        <v>0.65</v>
      </c>
      <c r="AW285" s="103" t="n">
        <v>7.67</v>
      </c>
      <c r="AX285" s="103" t="inlineStr">
        <is>
          <t>Safe</t>
        </is>
      </c>
      <c r="AY285" s="104" t="n">
        <v>-0</v>
      </c>
      <c r="AZ285" s="104" t="n">
        <v>0.3</v>
      </c>
      <c r="BA285" s="104" t="n">
        <v>0.86</v>
      </c>
      <c r="BB285" s="104" t="n">
        <v>0.8100000000000001</v>
      </c>
      <c r="BC285" s="103" t="n">
        <v>1.79</v>
      </c>
      <c r="BD285" s="103" t="inlineStr">
        <is>
          <t>Healthy</t>
        </is>
      </c>
      <c r="BE285" s="104" t="n">
        <v>0.24</v>
      </c>
      <c r="BF285" s="104" t="n">
        <v>0.61</v>
      </c>
      <c r="BG285" s="104" t="n">
        <v>1</v>
      </c>
      <c r="BH285" s="104" t="n">
        <v>-1.98</v>
      </c>
      <c r="BI285" s="103" t="n">
        <v>0.12</v>
      </c>
      <c r="BJ285" s="103" t="inlineStr">
        <is>
          <t>Healthy</t>
        </is>
      </c>
      <c r="BK285" s="103" t="n">
        <v>1</v>
      </c>
      <c r="BL285" s="103" t="n">
        <v>1</v>
      </c>
      <c r="BM285" s="103" t="n">
        <v>1</v>
      </c>
      <c r="BN285" s="103" t="n">
        <v>1</v>
      </c>
      <c r="BO285" s="103" t="n">
        <v>0</v>
      </c>
      <c r="BP285" s="103" t="n">
        <v>0</v>
      </c>
      <c r="BQ285" s="103" t="n">
        <v>1</v>
      </c>
      <c r="BR285" s="103" t="n">
        <v>1</v>
      </c>
      <c r="BS285" s="103" t="n">
        <v>1</v>
      </c>
      <c r="BT285" s="103" t="n">
        <v>7</v>
      </c>
      <c r="BU285" s="103" t="inlineStr">
        <is>
          <t>Strong</t>
        </is>
      </c>
      <c r="BV285" s="104" t="n">
        <v>1.02</v>
      </c>
      <c r="BW285" s="104" t="n">
        <v>1</v>
      </c>
      <c r="BX285" s="104" t="n">
        <v>1.05</v>
      </c>
      <c r="BY285" s="104" t="n">
        <v>1.11</v>
      </c>
      <c r="BZ285" s="104" t="n">
        <v>0.9399999999999999</v>
      </c>
      <c r="CA285" s="104" t="n">
        <v>0.93</v>
      </c>
      <c r="CB285" s="104" t="n">
        <v>1.14</v>
      </c>
      <c r="CC285" s="104" t="n">
        <v>-0.1</v>
      </c>
      <c r="CD285" s="103" t="n">
        <v>-2.85</v>
      </c>
      <c r="CE285" s="103" t="inlineStr">
        <is>
          <t>Lower Risk</t>
        </is>
      </c>
      <c r="CF285" s="104" t="n">
        <v>0.09</v>
      </c>
      <c r="CG285" s="104" t="n">
        <v>62.62</v>
      </c>
      <c r="CH285" s="103" t="n">
        <v>0</v>
      </c>
      <c r="CI285" s="103" t="inlineStr">
        <is>
          <t>CLEAR</t>
        </is>
      </c>
    </row>
    <row r="286" ht="17" customHeight="1">
      <c r="A286" s="107" t="inlineStr">
        <is>
          <t>CME</t>
        </is>
      </c>
      <c r="B286" s="107" t="inlineStr">
        <is>
          <t>CME GROUP INC.</t>
        </is>
      </c>
      <c r="C286" s="108" t="n">
        <v>5062600000</v>
      </c>
      <c r="D286" s="109" t="n">
        <v>0.65</v>
      </c>
      <c r="E286" s="109" t="n">
        <v>0.82</v>
      </c>
      <c r="F286" s="109" t="n">
        <v>0.62</v>
      </c>
      <c r="G286" s="109" t="n">
        <v>0.02</v>
      </c>
      <c r="H286" s="109" t="n">
        <v>0.03</v>
      </c>
      <c r="I286" s="109" t="n">
        <v>0.14</v>
      </c>
      <c r="J286" s="109" t="n">
        <v>0.11</v>
      </c>
      <c r="K286" s="109" t="n">
        <v>0.03</v>
      </c>
      <c r="L286" s="109" t="n">
        <v>0.04</v>
      </c>
      <c r="M286" s="109" t="n">
        <v>0.03</v>
      </c>
      <c r="N286" s="108" t="n">
        <v>0.04</v>
      </c>
      <c r="O286" s="108" t="n">
        <v>1.03</v>
      </c>
      <c r="P286" s="108" t="n">
        <v>1.01</v>
      </c>
      <c r="Q286" s="108" t="n">
        <v>1.03</v>
      </c>
      <c r="R286" s="108" t="n">
        <v>0.03</v>
      </c>
      <c r="S286" s="108" t="n">
        <v>0.86</v>
      </c>
      <c r="T286" s="108" t="n">
        <v>0.8100000000000001</v>
      </c>
      <c r="U286" s="108" t="n">
        <v>0</v>
      </c>
      <c r="V286" s="108" t="n">
        <v>-0.15</v>
      </c>
      <c r="W286" s="108" t="n">
        <v>1.05</v>
      </c>
      <c r="X286" s="109" t="n">
        <v>0.64</v>
      </c>
      <c r="Y286" s="109" t="n">
        <v>0</v>
      </c>
      <c r="Z286" s="109" t="n">
        <v>39.05</v>
      </c>
      <c r="AA286" s="109" t="n">
        <v>0.06</v>
      </c>
      <c r="AB286" s="109" t="n">
        <v>0.15</v>
      </c>
      <c r="AC286" s="108" t="n">
        <v>-0</v>
      </c>
      <c r="AD286" s="108" t="n">
        <v>-0</v>
      </c>
      <c r="AE286" s="108" t="n">
        <v>0.03</v>
      </c>
      <c r="AF286" s="108" t="n">
        <v>0.03</v>
      </c>
      <c r="AG286" s="108" t="n">
        <v>0.02</v>
      </c>
      <c r="AH286" s="108" t="n">
        <v>0.17</v>
      </c>
      <c r="AI286" s="108" t="n">
        <v>0.03</v>
      </c>
      <c r="AJ286" s="108" t="n">
        <v>0.28</v>
      </c>
      <c r="AK286" s="112" t="inlineStr">
        <is>
          <t>Distress</t>
        </is>
      </c>
      <c r="AL286" s="108" t="n">
        <v>0.03</v>
      </c>
      <c r="AM286" s="108" t="n">
        <v>0.03</v>
      </c>
      <c r="AN286" s="108" t="n">
        <v>0.02</v>
      </c>
      <c r="AO286" s="108" t="n">
        <v>0.17</v>
      </c>
      <c r="AP286" s="108" t="n">
        <v>0.03</v>
      </c>
      <c r="AQ286" s="107" t="n">
        <v>0.22</v>
      </c>
      <c r="AR286" s="107" t="inlineStr">
        <is>
          <t>Distress</t>
        </is>
      </c>
      <c r="AS286" s="108" t="n">
        <v>0.03</v>
      </c>
      <c r="AT286" s="108" t="n">
        <v>0.03</v>
      </c>
      <c r="AU286" s="108" t="n">
        <v>0.02</v>
      </c>
      <c r="AV286" s="108" t="n">
        <v>0.17</v>
      </c>
      <c r="AW286" s="107" t="n">
        <v>0.59</v>
      </c>
      <c r="AX286" s="107" t="inlineStr">
        <is>
          <t>Distress</t>
        </is>
      </c>
      <c r="AY286" s="108" t="n">
        <v>0.03</v>
      </c>
      <c r="AZ286" s="108" t="n">
        <v>0.02</v>
      </c>
      <c r="BA286" s="108" t="n">
        <v>0.03</v>
      </c>
      <c r="BB286" s="108" t="n">
        <v>0.03</v>
      </c>
      <c r="BC286" s="107" t="n">
        <v>0.13</v>
      </c>
      <c r="BD286" s="107" t="inlineStr">
        <is>
          <t>Distress</t>
        </is>
      </c>
      <c r="BE286" s="108" t="n">
        <v>0.02</v>
      </c>
      <c r="BF286" s="108" t="n">
        <v>0.86</v>
      </c>
      <c r="BG286" s="108" t="n">
        <v>1.03</v>
      </c>
      <c r="BH286" s="108" t="n">
        <v>0.43</v>
      </c>
      <c r="BI286" s="107" t="n">
        <v>0.61</v>
      </c>
      <c r="BJ286" s="107" t="inlineStr">
        <is>
          <t>Distress</t>
        </is>
      </c>
      <c r="BK286" s="107" t="n">
        <v>1</v>
      </c>
      <c r="BL286" s="107" t="n">
        <v>1</v>
      </c>
      <c r="BM286" s="107" t="n">
        <v>0</v>
      </c>
      <c r="BN286" s="107" t="n">
        <v>1</v>
      </c>
      <c r="BO286" s="107" t="n">
        <v>0</v>
      </c>
      <c r="BP286" s="107" t="n">
        <v>1</v>
      </c>
      <c r="BQ286" s="107" t="n">
        <v>0</v>
      </c>
      <c r="BR286" s="107" t="n">
        <v>0</v>
      </c>
      <c r="BS286" s="107" t="n">
        <v>0</v>
      </c>
      <c r="BT286" s="107" t="n">
        <v>4</v>
      </c>
      <c r="BU286" s="107" t="inlineStr">
        <is>
          <t>Mixed</t>
        </is>
      </c>
      <c r="BV286" s="108" t="n">
        <v>1.05</v>
      </c>
      <c r="BW286" s="111" t="inlineStr">
        <is>
          <t>N/A</t>
        </is>
      </c>
      <c r="BX286" s="108" t="n">
        <v>0.67</v>
      </c>
      <c r="BY286" s="108" t="n">
        <v>1.06</v>
      </c>
      <c r="BZ286" s="108" t="n">
        <v>1</v>
      </c>
      <c r="CA286" s="111" t="inlineStr">
        <is>
          <t>N/A</t>
        </is>
      </c>
      <c r="CB286" s="108" t="n">
        <v>1.06</v>
      </c>
      <c r="CC286" s="108" t="n">
        <v>-0</v>
      </c>
      <c r="CD286" s="111" t="inlineStr">
        <is>
          <t>N/A</t>
        </is>
      </c>
      <c r="CE286" s="111" t="inlineStr">
        <is>
          <t>N/A</t>
        </is>
      </c>
      <c r="CF286" s="108" t="n">
        <v>-1.02</v>
      </c>
      <c r="CG286" s="108" t="n">
        <v>39.81</v>
      </c>
      <c r="CH286" s="107" t="n">
        <v>0</v>
      </c>
      <c r="CI286" s="107" t="inlineStr">
        <is>
          <t>CLEAR</t>
        </is>
      </c>
    </row>
    <row r="287" ht="17" customHeight="1">
      <c r="A287" s="103" t="inlineStr">
        <is>
          <t>BDX</t>
        </is>
      </c>
      <c r="B287" s="103" t="inlineStr">
        <is>
          <t>BECTON DICKINSON &amp; CO</t>
        </is>
      </c>
      <c r="C287" s="104" t="n">
        <v>942000000</v>
      </c>
      <c r="D287" s="105" t="n">
        <v>0.12</v>
      </c>
      <c r="E287" s="105" t="n">
        <v>0.09</v>
      </c>
      <c r="F287" s="105" t="n">
        <v>0.08</v>
      </c>
      <c r="G287" s="105" t="n">
        <v>0.03</v>
      </c>
      <c r="H287" s="105" t="n">
        <v>0.03</v>
      </c>
      <c r="I287" s="105" t="n">
        <v>0.07000000000000001</v>
      </c>
      <c r="J287" s="105" t="n">
        <v>0.05</v>
      </c>
      <c r="K287" s="105" t="n">
        <v>0.35</v>
      </c>
      <c r="L287" s="105" t="n">
        <v>0.11</v>
      </c>
      <c r="M287" s="105" t="n">
        <v>0.39</v>
      </c>
      <c r="N287" s="104" t="n">
        <v>0.35</v>
      </c>
      <c r="O287" s="104" t="n">
        <v>1.11</v>
      </c>
      <c r="P287" s="104" t="n">
        <v>1.17</v>
      </c>
      <c r="Q287" s="104" t="n">
        <v>0.64</v>
      </c>
      <c r="R287" s="104" t="n">
        <v>0.08</v>
      </c>
      <c r="S287" s="104" t="n">
        <v>1</v>
      </c>
      <c r="T287" s="104" t="n">
        <v>1</v>
      </c>
      <c r="U287" s="104" t="n">
        <v>0.76</v>
      </c>
      <c r="V287" s="104" t="n">
        <v>0.73</v>
      </c>
      <c r="W287" s="104" t="n">
        <v>2.77</v>
      </c>
      <c r="X287" s="105" t="n">
        <v>0.18</v>
      </c>
      <c r="Y287" s="105" t="n">
        <v>0.06</v>
      </c>
      <c r="Z287" s="105" t="n">
        <v>4.21</v>
      </c>
      <c r="AA287" s="105" t="n">
        <v>0.08</v>
      </c>
      <c r="AB287" s="105" t="n">
        <v>-0.02</v>
      </c>
      <c r="AC287" s="104" t="n">
        <v>-0.05</v>
      </c>
      <c r="AD287" s="104" t="n">
        <v>-0.05</v>
      </c>
      <c r="AE287" s="104" t="n">
        <v>0.02</v>
      </c>
      <c r="AF287" s="104" t="n">
        <v>0.3</v>
      </c>
      <c r="AG287" s="104" t="n">
        <v>0.05</v>
      </c>
      <c r="AH287" s="104" t="n">
        <v>0.46</v>
      </c>
      <c r="AI287" s="104" t="n">
        <v>0.39</v>
      </c>
      <c r="AJ287" s="104" t="n">
        <v>1.26</v>
      </c>
      <c r="AK287" s="112" t="inlineStr">
        <is>
          <t>Distress</t>
        </is>
      </c>
      <c r="AL287" s="104" t="n">
        <v>0.02</v>
      </c>
      <c r="AM287" s="104" t="n">
        <v>0.3</v>
      </c>
      <c r="AN287" s="104" t="n">
        <v>0.05</v>
      </c>
      <c r="AO287" s="104" t="n">
        <v>0.46</v>
      </c>
      <c r="AP287" s="104" t="n">
        <v>0.39</v>
      </c>
      <c r="AQ287" s="103" t="n">
        <v>1</v>
      </c>
      <c r="AR287" s="103" t="inlineStr">
        <is>
          <t>Distress</t>
        </is>
      </c>
      <c r="AS287" s="104" t="n">
        <v>0.02</v>
      </c>
      <c r="AT287" s="104" t="n">
        <v>0.3</v>
      </c>
      <c r="AU287" s="104" t="n">
        <v>0.05</v>
      </c>
      <c r="AV287" s="104" t="n">
        <v>0.46</v>
      </c>
      <c r="AW287" s="103" t="n">
        <v>1.89</v>
      </c>
      <c r="AX287" s="103" t="inlineStr">
        <is>
          <t>Grey</t>
        </is>
      </c>
      <c r="AY287" s="104" t="n">
        <v>0.02</v>
      </c>
      <c r="AZ287" s="104" t="n">
        <v>0.05</v>
      </c>
      <c r="BA287" s="104" t="n">
        <v>0.23</v>
      </c>
      <c r="BB287" s="104" t="n">
        <v>0.39</v>
      </c>
      <c r="BC287" s="103" t="n">
        <v>0.47</v>
      </c>
      <c r="BD287" s="103" t="inlineStr">
        <is>
          <t>Distress</t>
        </is>
      </c>
      <c r="BE287" s="104" t="n">
        <v>0.03</v>
      </c>
      <c r="BF287" s="104" t="n">
        <v>1</v>
      </c>
      <c r="BG287" s="104" t="n">
        <v>1.11</v>
      </c>
      <c r="BH287" s="104" t="n">
        <v>1.21</v>
      </c>
      <c r="BI287" s="103" t="n">
        <v>0.77</v>
      </c>
      <c r="BJ287" s="103" t="inlineStr">
        <is>
          <t>Distress</t>
        </is>
      </c>
      <c r="BK287" s="103" t="n">
        <v>1</v>
      </c>
      <c r="BL287" s="103" t="n">
        <v>1</v>
      </c>
      <c r="BM287" s="103" t="n">
        <v>1</v>
      </c>
      <c r="BN287" s="103" t="n">
        <v>1</v>
      </c>
      <c r="BO287" s="103" t="n">
        <v>0</v>
      </c>
      <c r="BP287" s="103" t="n">
        <v>0</v>
      </c>
      <c r="BQ287" s="103" t="n">
        <v>1</v>
      </c>
      <c r="BR287" s="103" t="n">
        <v>1</v>
      </c>
      <c r="BS287" s="103" t="n">
        <v>1</v>
      </c>
      <c r="BT287" s="103" t="n">
        <v>7</v>
      </c>
      <c r="BU287" s="103" t="inlineStr">
        <is>
          <t>Strong</t>
        </is>
      </c>
      <c r="BV287" s="104" t="n">
        <v>0.91</v>
      </c>
      <c r="BW287" s="104" t="n">
        <v>0.32</v>
      </c>
      <c r="BX287" s="104" t="n">
        <v>1.01</v>
      </c>
      <c r="BY287" s="104" t="n">
        <v>1.08</v>
      </c>
      <c r="BZ287" s="104" t="n">
        <v>0.96</v>
      </c>
      <c r="CA287" s="104" t="n">
        <v>1</v>
      </c>
      <c r="CB287" s="104" t="n">
        <v>1</v>
      </c>
      <c r="CC287" s="104" t="n">
        <v>-0.05</v>
      </c>
      <c r="CD287" s="103" t="n">
        <v>-3.1</v>
      </c>
      <c r="CE287" s="103" t="inlineStr">
        <is>
          <t>Lower Risk</t>
        </is>
      </c>
      <c r="CF287" s="104" t="n">
        <v>3.68</v>
      </c>
      <c r="CG287" s="104" t="n">
        <v>54.22</v>
      </c>
      <c r="CH287" s="103" t="n">
        <v>0</v>
      </c>
      <c r="CI287" s="103" t="inlineStr">
        <is>
          <t>CLEAR</t>
        </is>
      </c>
    </row>
    <row r="288" ht="17" customHeight="1">
      <c r="A288" s="107" t="inlineStr">
        <is>
          <t>COIN</t>
        </is>
      </c>
      <c r="B288" s="107" t="inlineStr">
        <is>
          <t>Coinbase Global, Inc.</t>
        </is>
      </c>
      <c r="C288" s="108" t="n">
        <v>11687163000</v>
      </c>
      <c r="D288" s="109" t="n">
        <v>0.2</v>
      </c>
      <c r="E288" s="109" t="n">
        <v>0.21</v>
      </c>
      <c r="F288" s="109" t="n">
        <v>0.18</v>
      </c>
      <c r="G288" s="109" t="n">
        <v>0.04</v>
      </c>
      <c r="H288" s="109" t="n">
        <v>0.11</v>
      </c>
      <c r="I288" s="109" t="n">
        <v>0.09</v>
      </c>
      <c r="J288" s="109" t="n">
        <v>0.07000000000000001</v>
      </c>
      <c r="K288" s="109" t="n">
        <v>0.2</v>
      </c>
      <c r="L288" s="109" t="n">
        <v>0.35</v>
      </c>
      <c r="M288" s="109" t="n">
        <v>0.24</v>
      </c>
      <c r="N288" s="108" t="n">
        <v>0.29</v>
      </c>
      <c r="O288" s="108" t="n">
        <v>2.34</v>
      </c>
      <c r="P288" s="108" t="n">
        <v>2.28</v>
      </c>
      <c r="Q288" s="108" t="n">
        <v>2.34</v>
      </c>
      <c r="R288" s="108" t="n">
        <v>1.3</v>
      </c>
      <c r="S288" s="108" t="n">
        <v>0.5</v>
      </c>
      <c r="T288" s="108" t="n">
        <v>0.54</v>
      </c>
      <c r="U288" s="108" t="n">
        <v>0.52</v>
      </c>
      <c r="V288" s="108" t="n">
        <v>-0.25</v>
      </c>
      <c r="W288" s="108" t="n">
        <v>1.93</v>
      </c>
      <c r="X288" s="109" t="n">
        <v>0.34</v>
      </c>
      <c r="Y288" s="109" t="n">
        <v>0.23</v>
      </c>
      <c r="Z288" s="109" t="n">
        <v>17.34</v>
      </c>
      <c r="AA288" s="109" t="n">
        <v>0.09</v>
      </c>
      <c r="AB288" s="109" t="n">
        <v>-0.51</v>
      </c>
      <c r="AC288" s="108" t="n">
        <v>-0.04</v>
      </c>
      <c r="AD288" s="108" t="n">
        <v>-0.04</v>
      </c>
      <c r="AE288" s="108" t="n">
        <v>0.39</v>
      </c>
      <c r="AF288" s="108" t="n">
        <v>0.21</v>
      </c>
      <c r="AG288" s="108" t="n">
        <v>0.05</v>
      </c>
      <c r="AH288" s="108" t="n">
        <v>0.99</v>
      </c>
      <c r="AI288" s="108" t="n">
        <v>0.24</v>
      </c>
      <c r="AJ288" s="108" t="n">
        <v>1.76</v>
      </c>
      <c r="AK288" s="112" t="inlineStr">
        <is>
          <t>Distress</t>
        </is>
      </c>
      <c r="AL288" s="108" t="n">
        <v>0.39</v>
      </c>
      <c r="AM288" s="108" t="n">
        <v>0.21</v>
      </c>
      <c r="AN288" s="108" t="n">
        <v>0.05</v>
      </c>
      <c r="AO288" s="108" t="n">
        <v>0.99</v>
      </c>
      <c r="AP288" s="108" t="n">
        <v>0.24</v>
      </c>
      <c r="AQ288" s="107" t="n">
        <v>1.27</v>
      </c>
      <c r="AR288" s="107" t="inlineStr">
        <is>
          <t>Grey</t>
        </is>
      </c>
      <c r="AS288" s="108" t="n">
        <v>0.39</v>
      </c>
      <c r="AT288" s="108" t="n">
        <v>0.21</v>
      </c>
      <c r="AU288" s="108" t="n">
        <v>0.05</v>
      </c>
      <c r="AV288" s="108" t="n">
        <v>0.99</v>
      </c>
      <c r="AW288" s="107" t="n">
        <v>4.64</v>
      </c>
      <c r="AX288" s="107" t="inlineStr">
        <is>
          <t>Safe</t>
        </is>
      </c>
      <c r="AY288" s="108" t="n">
        <v>0.39</v>
      </c>
      <c r="AZ288" s="108" t="n">
        <v>0.05</v>
      </c>
      <c r="BA288" s="108" t="n">
        <v>0.17</v>
      </c>
      <c r="BB288" s="108" t="n">
        <v>0.24</v>
      </c>
      <c r="BC288" s="107" t="n">
        <v>0.77</v>
      </c>
      <c r="BD288" s="107" t="inlineStr">
        <is>
          <t>Distress</t>
        </is>
      </c>
      <c r="BE288" s="108" t="n">
        <v>0.04</v>
      </c>
      <c r="BF288" s="108" t="n">
        <v>0.5</v>
      </c>
      <c r="BG288" s="108" t="n">
        <v>2.34</v>
      </c>
      <c r="BH288" s="108" t="n">
        <v>-1.67</v>
      </c>
      <c r="BI288" s="107" t="n">
        <v>0.16</v>
      </c>
      <c r="BJ288" s="107" t="inlineStr">
        <is>
          <t>Healthy</t>
        </is>
      </c>
      <c r="BK288" s="107" t="n">
        <v>1</v>
      </c>
      <c r="BL288" s="107" t="n">
        <v>1</v>
      </c>
      <c r="BM288" s="107" t="n">
        <v>0</v>
      </c>
      <c r="BN288" s="107" t="n">
        <v>1</v>
      </c>
      <c r="BO288" s="107" t="n">
        <v>0</v>
      </c>
      <c r="BP288" s="107" t="n">
        <v>1</v>
      </c>
      <c r="BQ288" s="107" t="n">
        <v>0</v>
      </c>
      <c r="BR288" s="107" t="n">
        <v>0</v>
      </c>
      <c r="BS288" s="107" t="n">
        <v>0</v>
      </c>
      <c r="BT288" s="107" t="n">
        <v>4</v>
      </c>
      <c r="BU288" s="107" t="inlineStr">
        <is>
          <t>Mixed</t>
        </is>
      </c>
      <c r="BV288" s="108" t="n">
        <v>1.06</v>
      </c>
      <c r="BW288" s="108" t="n">
        <v>1.76</v>
      </c>
      <c r="BX288" s="108" t="n">
        <v>1.62</v>
      </c>
      <c r="BY288" s="108" t="n">
        <v>1.09</v>
      </c>
      <c r="BZ288" s="108" t="n">
        <v>0.9399999999999999</v>
      </c>
      <c r="CA288" s="108" t="n">
        <v>1.14</v>
      </c>
      <c r="CB288" s="108" t="n">
        <v>0.92</v>
      </c>
      <c r="CC288" s="108" t="n">
        <v>-0.04</v>
      </c>
      <c r="CD288" s="107" t="n">
        <v>-1.88</v>
      </c>
      <c r="CE288" s="107" t="inlineStr">
        <is>
          <t>Higher Risk</t>
        </is>
      </c>
      <c r="CF288" s="108" t="n">
        <v>-2.23</v>
      </c>
      <c r="CG288" s="108" t="n">
        <v>39.49</v>
      </c>
      <c r="CH288" s="107" t="n">
        <v>20</v>
      </c>
      <c r="CI288" s="107" t="inlineStr">
        <is>
          <t>CLEAR</t>
        </is>
      </c>
    </row>
    <row r="289" ht="17" customHeight="1">
      <c r="A289" s="103" t="inlineStr">
        <is>
          <t>TFC</t>
        </is>
      </c>
      <c r="B289" s="103" t="inlineStr">
        <is>
          <t>TRUIST FINANCIAL CORP</t>
        </is>
      </c>
      <c r="C289" s="113" t="inlineStr">
        <is>
          <t>N/A</t>
        </is>
      </c>
      <c r="D289" s="113" t="inlineStr">
        <is>
          <t>N/A</t>
        </is>
      </c>
      <c r="E289" s="113" t="inlineStr">
        <is>
          <t>N/A</t>
        </is>
      </c>
      <c r="F289" s="113" t="inlineStr">
        <is>
          <t>N/A</t>
        </is>
      </c>
      <c r="G289" s="105" t="n">
        <v>0.01</v>
      </c>
      <c r="H289" s="105" t="n">
        <v>0.01</v>
      </c>
      <c r="I289" s="105" t="n">
        <v>0.08</v>
      </c>
      <c r="J289" s="113" t="inlineStr">
        <is>
          <t>N/A</t>
        </is>
      </c>
      <c r="K289" s="113" t="inlineStr">
        <is>
          <t>N/A</t>
        </is>
      </c>
      <c r="L289" s="113" t="inlineStr">
        <is>
          <t>N/A</t>
        </is>
      </c>
      <c r="M289" s="113" t="inlineStr">
        <is>
          <t>N/A</t>
        </is>
      </c>
      <c r="N289" s="113" t="inlineStr">
        <is>
          <t>N/A</t>
        </is>
      </c>
      <c r="O289" s="113" t="inlineStr">
        <is>
          <t>N/A</t>
        </is>
      </c>
      <c r="P289" s="113" t="inlineStr">
        <is>
          <t>N/A</t>
        </is>
      </c>
      <c r="Q289" s="113" t="inlineStr">
        <is>
          <t>N/A</t>
        </is>
      </c>
      <c r="R289" s="113" t="inlineStr">
        <is>
          <t>N/A</t>
        </is>
      </c>
      <c r="S289" s="104" t="n">
        <v>0.88</v>
      </c>
      <c r="T289" s="104" t="n">
        <v>0.88</v>
      </c>
      <c r="U289" s="104" t="n">
        <v>1.07</v>
      </c>
      <c r="V289" s="104" t="n">
        <v>0.76</v>
      </c>
      <c r="W289" s="104" t="n">
        <v>1.08</v>
      </c>
      <c r="X289" s="113" t="inlineStr">
        <is>
          <t>N/A</t>
        </is>
      </c>
      <c r="Y289" s="105" t="n">
        <v>0</v>
      </c>
      <c r="Z289" s="105" t="n">
        <v>0.64</v>
      </c>
      <c r="AA289" s="113" t="inlineStr">
        <is>
          <t>N/A</t>
        </is>
      </c>
      <c r="AB289" s="105" t="n">
        <v>0.1</v>
      </c>
      <c r="AC289" s="104" t="n">
        <v>-0</v>
      </c>
      <c r="AD289" s="104" t="n">
        <v>-0</v>
      </c>
      <c r="AE289" s="113" t="inlineStr">
        <is>
          <t>N/A</t>
        </is>
      </c>
      <c r="AF289" s="104" t="n">
        <v>0.05</v>
      </c>
      <c r="AG289" s="104" t="n">
        <v>0.01</v>
      </c>
      <c r="AH289" s="104" t="n">
        <v>0.14</v>
      </c>
      <c r="AI289" s="113" t="inlineStr">
        <is>
          <t>N/A</t>
        </is>
      </c>
      <c r="AJ289" s="113" t="inlineStr">
        <is>
          <t>N/A</t>
        </is>
      </c>
      <c r="AK289" s="113" t="inlineStr">
        <is>
          <t>N/A</t>
        </is>
      </c>
      <c r="AL289" s="113" t="inlineStr">
        <is>
          <t>N/A</t>
        </is>
      </c>
      <c r="AM289" s="104" t="n">
        <v>0.05</v>
      </c>
      <c r="AN289" s="104" t="n">
        <v>0.01</v>
      </c>
      <c r="AO289" s="104" t="n">
        <v>0.14</v>
      </c>
      <c r="AP289" s="113" t="inlineStr">
        <is>
          <t>N/A</t>
        </is>
      </c>
      <c r="AQ289" s="113" t="inlineStr">
        <is>
          <t>N/A</t>
        </is>
      </c>
      <c r="AR289" s="113" t="inlineStr">
        <is>
          <t>N/A</t>
        </is>
      </c>
      <c r="AS289" s="113" t="inlineStr">
        <is>
          <t>N/A</t>
        </is>
      </c>
      <c r="AT289" s="104" t="n">
        <v>0.05</v>
      </c>
      <c r="AU289" s="104" t="n">
        <v>0.01</v>
      </c>
      <c r="AV289" s="104" t="n">
        <v>0.14</v>
      </c>
      <c r="AW289" s="113" t="inlineStr">
        <is>
          <t>N/A</t>
        </is>
      </c>
      <c r="AX289" s="113" t="inlineStr">
        <is>
          <t>N/A</t>
        </is>
      </c>
      <c r="AY289" s="113" t="inlineStr">
        <is>
          <t>N/A</t>
        </is>
      </c>
      <c r="AZ289" s="104" t="n">
        <v>0.01</v>
      </c>
      <c r="BA289" s="113" t="inlineStr">
        <is>
          <t>N/A</t>
        </is>
      </c>
      <c r="BB289" s="113" t="inlineStr">
        <is>
          <t>N/A</t>
        </is>
      </c>
      <c r="BC289" s="113" t="inlineStr">
        <is>
          <t>N/A</t>
        </is>
      </c>
      <c r="BD289" s="113" t="inlineStr">
        <is>
          <t>N/A</t>
        </is>
      </c>
      <c r="BE289" s="104" t="n">
        <v>0.01</v>
      </c>
      <c r="BF289" s="104" t="n">
        <v>0.88</v>
      </c>
      <c r="BG289" s="113" t="inlineStr">
        <is>
          <t>N/A</t>
        </is>
      </c>
      <c r="BH289" s="113" t="inlineStr">
        <is>
          <t>N/A</t>
        </is>
      </c>
      <c r="BI289" s="113" t="inlineStr">
        <is>
          <t>N/A</t>
        </is>
      </c>
      <c r="BJ289" s="113" t="inlineStr">
        <is>
          <t>N/A</t>
        </is>
      </c>
      <c r="BK289" s="103" t="n">
        <v>1</v>
      </c>
      <c r="BL289" s="103" t="n">
        <v>1</v>
      </c>
      <c r="BM289" s="103" t="n">
        <v>1</v>
      </c>
      <c r="BN289" s="103" t="n">
        <v>1</v>
      </c>
      <c r="BO289" s="103" t="n">
        <v>0</v>
      </c>
      <c r="BP289" s="103" t="n">
        <v>0</v>
      </c>
      <c r="BQ289" s="103" t="n">
        <v>1</v>
      </c>
      <c r="BR289" s="103" t="n">
        <v>0</v>
      </c>
      <c r="BS289" s="103" t="n">
        <v>0</v>
      </c>
      <c r="BT289" s="103" t="n">
        <v>5</v>
      </c>
      <c r="BU289" s="103" t="inlineStr">
        <is>
          <t>Mixed</t>
        </is>
      </c>
      <c r="BV289" s="113" t="inlineStr">
        <is>
          <t>N/A</t>
        </is>
      </c>
      <c r="BW289" s="113" t="inlineStr">
        <is>
          <t>N/A</t>
        </is>
      </c>
      <c r="BX289" s="104" t="n">
        <v>1</v>
      </c>
      <c r="BY289" s="113" t="inlineStr">
        <is>
          <t>N/A</t>
        </is>
      </c>
      <c r="BZ289" s="104" t="n">
        <v>1.15</v>
      </c>
      <c r="CA289" s="113" t="inlineStr">
        <is>
          <t>N/A</t>
        </is>
      </c>
      <c r="CB289" s="104" t="n">
        <v>1</v>
      </c>
      <c r="CC289" s="104" t="n">
        <v>-0</v>
      </c>
      <c r="CD289" s="113" t="inlineStr">
        <is>
          <t>N/A</t>
        </is>
      </c>
      <c r="CE289" s="113" t="inlineStr">
        <is>
          <t>N/A</t>
        </is>
      </c>
      <c r="CF289" s="104" t="n">
        <v>7.46</v>
      </c>
      <c r="CG289" s="104" t="n">
        <v>42.94</v>
      </c>
      <c r="CH289" s="103" t="n">
        <v>0</v>
      </c>
      <c r="CI289" s="103" t="inlineStr">
        <is>
          <t>CLEAR</t>
        </is>
      </c>
    </row>
    <row r="290" ht="17" customHeight="1">
      <c r="A290" s="107" t="inlineStr">
        <is>
          <t>GE</t>
        </is>
      </c>
      <c r="B290" s="107" t="inlineStr">
        <is>
          <t>GENERAL ELECTRIC COMPANY</t>
        </is>
      </c>
      <c r="C290" s="108" t="n">
        <v>1616000000</v>
      </c>
      <c r="D290" s="109" t="n">
        <v>0.5</v>
      </c>
      <c r="E290" s="109" t="n">
        <v>0.22</v>
      </c>
      <c r="F290" s="109" t="n">
        <v>0.19</v>
      </c>
      <c r="G290" s="109" t="n">
        <v>0.07000000000000001</v>
      </c>
      <c r="H290" s="109" t="n">
        <v>0.05</v>
      </c>
      <c r="I290" s="109" t="n">
        <v>0.47</v>
      </c>
      <c r="J290" s="109" t="n">
        <v>0.25</v>
      </c>
      <c r="K290" s="109" t="n">
        <v>0.15</v>
      </c>
      <c r="L290" s="109" t="n">
        <v>0.17</v>
      </c>
      <c r="M290" s="109" t="n">
        <v>0.35</v>
      </c>
      <c r="N290" s="108" t="n">
        <v>0.31</v>
      </c>
      <c r="O290" s="108" t="n">
        <v>1.04</v>
      </c>
      <c r="P290" s="108" t="n">
        <v>1.09</v>
      </c>
      <c r="Q290" s="108" t="n">
        <v>0.74</v>
      </c>
      <c r="R290" s="108" t="n">
        <v>1.11</v>
      </c>
      <c r="S290" s="108" t="n">
        <v>0.85</v>
      </c>
      <c r="T290" s="108" t="n">
        <v>0.84</v>
      </c>
      <c r="U290" s="108" t="n">
        <v>1.1</v>
      </c>
      <c r="V290" s="108" t="n">
        <v>-1.22</v>
      </c>
      <c r="W290" s="108" t="n">
        <v>0.98</v>
      </c>
      <c r="X290" s="109" t="n">
        <v>0.16</v>
      </c>
      <c r="Y290" s="109" t="n">
        <v>0.03</v>
      </c>
      <c r="Z290" s="109" t="n">
        <v>1.83</v>
      </c>
      <c r="AA290" s="109" t="n">
        <v>0.18</v>
      </c>
      <c r="AB290" s="109" t="n">
        <v>0.33</v>
      </c>
      <c r="AC290" s="108" t="n">
        <v>0</v>
      </c>
      <c r="AD290" s="108" t="n">
        <v>0</v>
      </c>
      <c r="AE290" s="108" t="n">
        <v>0.01</v>
      </c>
      <c r="AF290" s="108" t="n">
        <v>0.67</v>
      </c>
      <c r="AG290" s="108" t="n">
        <v>0.18</v>
      </c>
      <c r="AH290" s="108" t="n">
        <v>0.17</v>
      </c>
      <c r="AI290" s="108" t="n">
        <v>0.35</v>
      </c>
      <c r="AJ290" s="108" t="n">
        <v>1.99</v>
      </c>
      <c r="AK290" s="106" t="inlineStr">
        <is>
          <t>Grey</t>
        </is>
      </c>
      <c r="AL290" s="108" t="n">
        <v>0.01</v>
      </c>
      <c r="AM290" s="108" t="n">
        <v>0.67</v>
      </c>
      <c r="AN290" s="108" t="n">
        <v>0.18</v>
      </c>
      <c r="AO290" s="108" t="n">
        <v>0.17</v>
      </c>
      <c r="AP290" s="108" t="n">
        <v>0.35</v>
      </c>
      <c r="AQ290" s="107" t="n">
        <v>1.55</v>
      </c>
      <c r="AR290" s="107" t="inlineStr">
        <is>
          <t>Grey</t>
        </is>
      </c>
      <c r="AS290" s="108" t="n">
        <v>0.01</v>
      </c>
      <c r="AT290" s="108" t="n">
        <v>0.67</v>
      </c>
      <c r="AU290" s="108" t="n">
        <v>0.18</v>
      </c>
      <c r="AV290" s="108" t="n">
        <v>0.17</v>
      </c>
      <c r="AW290" s="107" t="n">
        <v>3.63</v>
      </c>
      <c r="AX290" s="107" t="inlineStr">
        <is>
          <t>Safe</t>
        </is>
      </c>
      <c r="AY290" s="108" t="n">
        <v>0.01</v>
      </c>
      <c r="AZ290" s="108" t="n">
        <v>0.18</v>
      </c>
      <c r="BA290" s="108" t="n">
        <v>0.26</v>
      </c>
      <c r="BB290" s="108" t="n">
        <v>0.35</v>
      </c>
      <c r="BC290" s="107" t="n">
        <v>0.86</v>
      </c>
      <c r="BD290" s="107" t="inlineStr">
        <is>
          <t>Healthy</t>
        </is>
      </c>
      <c r="BE290" s="108" t="n">
        <v>0.07000000000000001</v>
      </c>
      <c r="BF290" s="108" t="n">
        <v>0.85</v>
      </c>
      <c r="BG290" s="108" t="n">
        <v>1.04</v>
      </c>
      <c r="BH290" s="108" t="n">
        <v>0.22</v>
      </c>
      <c r="BI290" s="107" t="n">
        <v>0.5600000000000001</v>
      </c>
      <c r="BJ290" s="107" t="inlineStr">
        <is>
          <t>Distress</t>
        </is>
      </c>
      <c r="BK290" s="107" t="n">
        <v>1</v>
      </c>
      <c r="BL290" s="107" t="n">
        <v>1</v>
      </c>
      <c r="BM290" s="107" t="n">
        <v>1</v>
      </c>
      <c r="BN290" s="107" t="n">
        <v>0</v>
      </c>
      <c r="BO290" s="107" t="n">
        <v>0</v>
      </c>
      <c r="BP290" s="107" t="n">
        <v>0</v>
      </c>
      <c r="BQ290" s="107" t="n">
        <v>1</v>
      </c>
      <c r="BR290" s="107" t="n">
        <v>0</v>
      </c>
      <c r="BS290" s="107" t="n">
        <v>1</v>
      </c>
      <c r="BT290" s="107" t="n">
        <v>5</v>
      </c>
      <c r="BU290" s="107" t="inlineStr">
        <is>
          <t>Mixed</t>
        </is>
      </c>
      <c r="BV290" s="108" t="n">
        <v>0.84</v>
      </c>
      <c r="BW290" s="108" t="n">
        <v>1.08</v>
      </c>
      <c r="BX290" s="108" t="n">
        <v>1.01</v>
      </c>
      <c r="BY290" s="108" t="n">
        <v>1.18</v>
      </c>
      <c r="BZ290" s="108" t="n">
        <v>0.9399999999999999</v>
      </c>
      <c r="CA290" s="108" t="n">
        <v>0.78</v>
      </c>
      <c r="CB290" s="108" t="n">
        <v>1.02</v>
      </c>
      <c r="CC290" s="108" t="n">
        <v>0</v>
      </c>
      <c r="CD290" s="107" t="n">
        <v>-2.39</v>
      </c>
      <c r="CE290" s="107" t="inlineStr">
        <is>
          <t>Lower Risk</t>
        </is>
      </c>
      <c r="CF290" s="108" t="n">
        <v>-0.73</v>
      </c>
      <c r="CG290" s="108" t="n">
        <v>48.36</v>
      </c>
      <c r="CH290" s="107" t="n">
        <v>0</v>
      </c>
      <c r="CI290" s="107" t="inlineStr">
        <is>
          <t>CLEAR</t>
        </is>
      </c>
    </row>
    <row r="291" ht="17" customHeight="1">
      <c r="A291" s="103" t="inlineStr">
        <is>
          <t>A</t>
        </is>
      </c>
      <c r="B291" s="103" t="inlineStr">
        <is>
          <t>AGILENT TECHNOLOGIES, INC.</t>
        </is>
      </c>
      <c r="C291" s="104" t="n">
        <v>2247000000</v>
      </c>
      <c r="D291" s="105" t="n">
        <v>0.33</v>
      </c>
      <c r="E291" s="105" t="n">
        <v>0.32</v>
      </c>
      <c r="F291" s="105" t="n">
        <v>0.29</v>
      </c>
      <c r="G291" s="105" t="n">
        <v>0.1</v>
      </c>
      <c r="H291" s="105" t="n">
        <v>0.11</v>
      </c>
      <c r="I291" s="105" t="n">
        <v>0.19</v>
      </c>
      <c r="J291" s="105" t="n">
        <v>0.14</v>
      </c>
      <c r="K291" s="105" t="n">
        <v>0.26</v>
      </c>
      <c r="L291" s="105" t="n">
        <v>0.29</v>
      </c>
      <c r="M291" s="105" t="n">
        <v>0.35</v>
      </c>
      <c r="N291" s="104" t="n">
        <v>0.35</v>
      </c>
      <c r="O291" s="104" t="n">
        <v>1.96</v>
      </c>
      <c r="P291" s="104" t="n">
        <v>2.09</v>
      </c>
      <c r="Q291" s="104" t="n">
        <v>1.52</v>
      </c>
      <c r="R291" s="104" t="n">
        <v>0.76</v>
      </c>
      <c r="S291" s="104" t="n">
        <v>0.47</v>
      </c>
      <c r="T291" s="104" t="n">
        <v>0.5</v>
      </c>
      <c r="U291" s="104" t="n">
        <v>0.5</v>
      </c>
      <c r="V291" s="104" t="n">
        <v>0.23</v>
      </c>
      <c r="W291" s="104" t="n">
        <v>1.2</v>
      </c>
      <c r="X291" s="105" t="n">
        <v>0.26</v>
      </c>
      <c r="Y291" s="105" t="n">
        <v>0.1</v>
      </c>
      <c r="Z291" s="105" t="n">
        <v>13.21</v>
      </c>
      <c r="AA291" s="105" t="n">
        <v>0.06</v>
      </c>
      <c r="AB291" s="105" t="n">
        <v>0.01</v>
      </c>
      <c r="AC291" s="104" t="n">
        <v>-0.02</v>
      </c>
      <c r="AD291" s="104" t="n">
        <v>-0.02</v>
      </c>
      <c r="AE291" s="104" t="n">
        <v>0.18</v>
      </c>
      <c r="AF291" s="104" t="n">
        <v>0.11</v>
      </c>
      <c r="AG291" s="104" t="n">
        <v>0.12</v>
      </c>
      <c r="AH291" s="104" t="n">
        <v>1.13</v>
      </c>
      <c r="AI291" s="104" t="n">
        <v>0.35</v>
      </c>
      <c r="AJ291" s="104" t="n">
        <v>1.78</v>
      </c>
      <c r="AK291" s="112" t="inlineStr">
        <is>
          <t>Distress</t>
        </is>
      </c>
      <c r="AL291" s="104" t="n">
        <v>0.18</v>
      </c>
      <c r="AM291" s="104" t="n">
        <v>0.11</v>
      </c>
      <c r="AN291" s="104" t="n">
        <v>0.12</v>
      </c>
      <c r="AO291" s="104" t="n">
        <v>1.13</v>
      </c>
      <c r="AP291" s="104" t="n">
        <v>0.35</v>
      </c>
      <c r="AQ291" s="103" t="n">
        <v>1.4</v>
      </c>
      <c r="AR291" s="103" t="inlineStr">
        <is>
          <t>Grey</t>
        </is>
      </c>
      <c r="AS291" s="104" t="n">
        <v>0.18</v>
      </c>
      <c r="AT291" s="104" t="n">
        <v>0.11</v>
      </c>
      <c r="AU291" s="104" t="n">
        <v>0.12</v>
      </c>
      <c r="AV291" s="104" t="n">
        <v>1.13</v>
      </c>
      <c r="AW291" s="103" t="n">
        <v>3.48</v>
      </c>
      <c r="AX291" s="103" t="inlineStr">
        <is>
          <t>Safe</t>
        </is>
      </c>
      <c r="AY291" s="104" t="n">
        <v>0.18</v>
      </c>
      <c r="AZ291" s="104" t="n">
        <v>0.12</v>
      </c>
      <c r="BA291" s="104" t="n">
        <v>0.61</v>
      </c>
      <c r="BB291" s="104" t="n">
        <v>0.35</v>
      </c>
      <c r="BC291" s="103" t="n">
        <v>1.08</v>
      </c>
      <c r="BD291" s="103" t="inlineStr">
        <is>
          <t>Healthy</t>
        </is>
      </c>
      <c r="BE291" s="104" t="n">
        <v>0.1</v>
      </c>
      <c r="BF291" s="104" t="n">
        <v>0.47</v>
      </c>
      <c r="BG291" s="104" t="n">
        <v>1.96</v>
      </c>
      <c r="BH291" s="104" t="n">
        <v>-2.12</v>
      </c>
      <c r="BI291" s="103" t="n">
        <v>0.11</v>
      </c>
      <c r="BJ291" s="103" t="inlineStr">
        <is>
          <t>Healthy</t>
        </is>
      </c>
      <c r="BK291" s="103" t="n">
        <v>1</v>
      </c>
      <c r="BL291" s="103" t="n">
        <v>1</v>
      </c>
      <c r="BM291" s="103" t="n">
        <v>0</v>
      </c>
      <c r="BN291" s="103" t="n">
        <v>1</v>
      </c>
      <c r="BO291" s="103" t="n">
        <v>1</v>
      </c>
      <c r="BP291" s="103" t="n">
        <v>0</v>
      </c>
      <c r="BQ291" s="103" t="n">
        <v>1</v>
      </c>
      <c r="BR291" s="103" t="n">
        <v>0</v>
      </c>
      <c r="BS291" s="103" t="n">
        <v>0</v>
      </c>
      <c r="BT291" s="103" t="n">
        <v>5</v>
      </c>
      <c r="BU291" s="103" t="inlineStr">
        <is>
          <t>Mixed</t>
        </is>
      </c>
      <c r="BV291" s="104" t="n">
        <v>1.06</v>
      </c>
      <c r="BW291" s="104" t="n">
        <v>1.12</v>
      </c>
      <c r="BX291" s="104" t="n">
        <v>0.93</v>
      </c>
      <c r="BY291" s="104" t="n">
        <v>1.06</v>
      </c>
      <c r="BZ291" s="104" t="n">
        <v>1.01</v>
      </c>
      <c r="CA291" s="104" t="n">
        <v>1.02</v>
      </c>
      <c r="CB291" s="104" t="n">
        <v>0.9399999999999999</v>
      </c>
      <c r="CC291" s="104" t="n">
        <v>-0.02</v>
      </c>
      <c r="CD291" s="103" t="n">
        <v>-2.41</v>
      </c>
      <c r="CE291" s="103" t="inlineStr">
        <is>
          <t>Lower Risk</t>
        </is>
      </c>
      <c r="CF291" s="104" t="n">
        <v>0.89</v>
      </c>
      <c r="CG291" s="104" t="n">
        <v>49.04</v>
      </c>
      <c r="CH291" s="103" t="n">
        <v>0</v>
      </c>
      <c r="CI291" s="103" t="inlineStr">
        <is>
          <t>CLEAR</t>
        </is>
      </c>
    </row>
    <row r="292" ht="17" customHeight="1">
      <c r="A292" s="107" t="inlineStr">
        <is>
          <t>PEP</t>
        </is>
      </c>
      <c r="B292" s="107" t="inlineStr">
        <is>
          <t>PepsiCo, Inc.</t>
        </is>
      </c>
      <c r="C292" s="108" t="n">
        <v>-4815000000</v>
      </c>
      <c r="D292" s="109" t="n">
        <v>0.12</v>
      </c>
      <c r="E292" s="109" t="n">
        <v>0.11</v>
      </c>
      <c r="F292" s="109" t="n">
        <v>0.09</v>
      </c>
      <c r="G292" s="109" t="n">
        <v>0.08</v>
      </c>
      <c r="H292" s="109" t="n">
        <v>0.1</v>
      </c>
      <c r="I292" s="109" t="n">
        <v>0.4</v>
      </c>
      <c r="J292" s="109" t="n">
        <v>0.15</v>
      </c>
      <c r="K292" s="109" t="n">
        <v>0.54</v>
      </c>
      <c r="L292" s="109" t="n">
        <v>0.55</v>
      </c>
      <c r="M292" s="109" t="n">
        <v>0.87</v>
      </c>
      <c r="N292" s="108" t="n">
        <v>0.92</v>
      </c>
      <c r="O292" s="108" t="n">
        <v>0.85</v>
      </c>
      <c r="P292" s="108" t="n">
        <v>0.82</v>
      </c>
      <c r="Q292" s="108" t="n">
        <v>0.67</v>
      </c>
      <c r="R292" s="108" t="n">
        <v>0.28</v>
      </c>
      <c r="S292" s="108" t="n">
        <v>0.8100000000000001</v>
      </c>
      <c r="T292" s="108" t="n">
        <v>0.82</v>
      </c>
      <c r="U292" s="108" t="n">
        <v>2.51</v>
      </c>
      <c r="V292" s="108" t="n">
        <v>2.06</v>
      </c>
      <c r="W292" s="108" t="n">
        <v>1.47</v>
      </c>
      <c r="X292" s="109" t="n">
        <v>0.08</v>
      </c>
      <c r="Y292" s="109" t="n">
        <v>0.01</v>
      </c>
      <c r="Z292" s="109" t="n">
        <v>10.26</v>
      </c>
      <c r="AA292" s="109" t="n">
        <v>0.02</v>
      </c>
      <c r="AB292" s="109" t="n">
        <v>-0.14</v>
      </c>
      <c r="AC292" s="108" t="n">
        <v>-0.04</v>
      </c>
      <c r="AD292" s="108" t="n">
        <v>-0.04</v>
      </c>
      <c r="AE292" s="108" t="n">
        <v>-0.04</v>
      </c>
      <c r="AF292" s="108" t="n">
        <v>0.68</v>
      </c>
      <c r="AG292" s="108" t="n">
        <v>0.11</v>
      </c>
      <c r="AH292" s="108" t="n">
        <v>0.23</v>
      </c>
      <c r="AI292" s="108" t="n">
        <v>0.87</v>
      </c>
      <c r="AJ292" s="108" t="n">
        <v>2.26</v>
      </c>
      <c r="AK292" s="106" t="inlineStr">
        <is>
          <t>Grey</t>
        </is>
      </c>
      <c r="AL292" s="108" t="n">
        <v>-0.04</v>
      </c>
      <c r="AM292" s="108" t="n">
        <v>0.68</v>
      </c>
      <c r="AN292" s="108" t="n">
        <v>0.11</v>
      </c>
      <c r="AO292" s="108" t="n">
        <v>0.23</v>
      </c>
      <c r="AP292" s="108" t="n">
        <v>0.87</v>
      </c>
      <c r="AQ292" s="107" t="n">
        <v>1.85</v>
      </c>
      <c r="AR292" s="107" t="inlineStr">
        <is>
          <t>Grey</t>
        </is>
      </c>
      <c r="AS292" s="108" t="n">
        <v>-0.04</v>
      </c>
      <c r="AT292" s="108" t="n">
        <v>0.68</v>
      </c>
      <c r="AU292" s="108" t="n">
        <v>0.11</v>
      </c>
      <c r="AV292" s="108" t="n">
        <v>0.23</v>
      </c>
      <c r="AW292" s="107" t="n">
        <v>2.88</v>
      </c>
      <c r="AX292" s="107" t="inlineStr">
        <is>
          <t>Safe</t>
        </is>
      </c>
      <c r="AY292" s="108" t="n">
        <v>-0.04</v>
      </c>
      <c r="AZ292" s="108" t="n">
        <v>0.11</v>
      </c>
      <c r="BA292" s="108" t="n">
        <v>0.31</v>
      </c>
      <c r="BB292" s="108" t="n">
        <v>0.87</v>
      </c>
      <c r="BC292" s="107" t="n">
        <v>0.84</v>
      </c>
      <c r="BD292" s="107" t="inlineStr">
        <is>
          <t>Distress</t>
        </is>
      </c>
      <c r="BE292" s="108" t="n">
        <v>0.08</v>
      </c>
      <c r="BF292" s="108" t="n">
        <v>0.8100000000000001</v>
      </c>
      <c r="BG292" s="108" t="n">
        <v>0.85</v>
      </c>
      <c r="BH292" s="108" t="n">
        <v>-0.09</v>
      </c>
      <c r="BI292" s="107" t="n">
        <v>0.48</v>
      </c>
      <c r="BJ292" s="107" t="inlineStr">
        <is>
          <t>Healthy</t>
        </is>
      </c>
      <c r="BK292" s="107" t="n">
        <v>1</v>
      </c>
      <c r="BL292" s="107" t="n">
        <v>1</v>
      </c>
      <c r="BM292" s="107" t="n">
        <v>0</v>
      </c>
      <c r="BN292" s="107" t="n">
        <v>1</v>
      </c>
      <c r="BO292" s="107" t="n">
        <v>0</v>
      </c>
      <c r="BP292" s="107" t="n">
        <v>1</v>
      </c>
      <c r="BQ292" s="107" t="n">
        <v>1</v>
      </c>
      <c r="BR292" s="107" t="n">
        <v>0</v>
      </c>
      <c r="BS292" s="107" t="n">
        <v>0</v>
      </c>
      <c r="BT292" s="107" t="n">
        <v>5</v>
      </c>
      <c r="BU292" s="107" t="inlineStr">
        <is>
          <t>Mixed</t>
        </is>
      </c>
      <c r="BV292" s="111" t="inlineStr">
        <is>
          <t>N/A</t>
        </is>
      </c>
      <c r="BW292" s="108" t="n">
        <v>1.01</v>
      </c>
      <c r="BX292" s="108" t="n">
        <v>1.01</v>
      </c>
      <c r="BY292" s="108" t="n">
        <v>1.02</v>
      </c>
      <c r="BZ292" s="108" t="n">
        <v>0.96</v>
      </c>
      <c r="CA292" s="108" t="n">
        <v>0.98</v>
      </c>
      <c r="CB292" s="108" t="n">
        <v>0.99</v>
      </c>
      <c r="CC292" s="108" t="n">
        <v>-0.04</v>
      </c>
      <c r="CD292" s="111" t="inlineStr">
        <is>
          <t>N/A</t>
        </is>
      </c>
      <c r="CE292" s="111" t="inlineStr">
        <is>
          <t>N/A</t>
        </is>
      </c>
      <c r="CF292" s="108" t="n">
        <v>2.82</v>
      </c>
      <c r="CG292" s="108" t="n">
        <v>49.41</v>
      </c>
      <c r="CH292" s="107" t="n">
        <v>0</v>
      </c>
      <c r="CI292" s="107" t="inlineStr">
        <is>
          <t>CLEAR</t>
        </is>
      </c>
    </row>
    <row r="293" ht="17" customHeight="1">
      <c r="A293" s="103" t="inlineStr">
        <is>
          <t>STRL</t>
        </is>
      </c>
      <c r="B293" s="103" t="inlineStr">
        <is>
          <t>Sterling Infrastructure, Inc.</t>
        </is>
      </c>
      <c r="C293" s="104" t="n">
        <v>12008000</v>
      </c>
      <c r="D293" s="105" t="n">
        <v>0.42</v>
      </c>
      <c r="E293" s="113" t="inlineStr">
        <is>
          <t>N/A</t>
        </is>
      </c>
      <c r="F293" s="105" t="n">
        <v>0.3</v>
      </c>
      <c r="G293" s="105" t="n">
        <v>0.11</v>
      </c>
      <c r="H293" s="105" t="n">
        <v>0.13</v>
      </c>
      <c r="I293" s="105" t="n">
        <v>0.26</v>
      </c>
      <c r="J293" s="105" t="n">
        <v>0.25</v>
      </c>
      <c r="K293" s="105" t="n">
        <v>0.6</v>
      </c>
      <c r="L293" s="105" t="n">
        <v>1.68</v>
      </c>
      <c r="M293" s="105" t="n">
        <v>0.36</v>
      </c>
      <c r="N293" s="104" t="n">
        <v>0.13</v>
      </c>
      <c r="O293" s="104" t="n">
        <v>1.01</v>
      </c>
      <c r="P293" s="104" t="n">
        <v>1.38</v>
      </c>
      <c r="Q293" s="104" t="n">
        <v>1.01</v>
      </c>
      <c r="R293" s="104" t="n">
        <v>0.38</v>
      </c>
      <c r="S293" s="104" t="n">
        <v>0.58</v>
      </c>
      <c r="T293" s="104" t="n">
        <v>0.59</v>
      </c>
      <c r="U293" s="104" t="n">
        <v>0.09</v>
      </c>
      <c r="V293" s="104" t="n">
        <v>-0.26</v>
      </c>
      <c r="W293" s="104" t="n">
        <v>1.52</v>
      </c>
      <c r="X293" s="105" t="n">
        <v>0.38</v>
      </c>
      <c r="Y293" s="105" t="n">
        <v>0</v>
      </c>
      <c r="Z293" s="105" t="n">
        <v>41.42</v>
      </c>
      <c r="AA293" s="105" t="n">
        <v>2.77</v>
      </c>
      <c r="AB293" s="105" t="n">
        <v>0.13</v>
      </c>
      <c r="AC293" s="104" t="n">
        <v>-0.06</v>
      </c>
      <c r="AD293" s="104" t="n">
        <v>-0.06</v>
      </c>
      <c r="AE293" s="104" t="n">
        <v>0</v>
      </c>
      <c r="AF293" s="104" t="n">
        <v>0.33</v>
      </c>
      <c r="AG293" s="104" t="n">
        <v>0.15</v>
      </c>
      <c r="AH293" s="104" t="n">
        <v>0.73</v>
      </c>
      <c r="AI293" s="104" t="n">
        <v>0.36</v>
      </c>
      <c r="AJ293" s="104" t="n">
        <v>1.78</v>
      </c>
      <c r="AK293" s="112" t="inlineStr">
        <is>
          <t>Distress</t>
        </is>
      </c>
      <c r="AL293" s="104" t="n">
        <v>0</v>
      </c>
      <c r="AM293" s="104" t="n">
        <v>0.33</v>
      </c>
      <c r="AN293" s="104" t="n">
        <v>0.15</v>
      </c>
      <c r="AO293" s="104" t="n">
        <v>0.73</v>
      </c>
      <c r="AP293" s="104" t="n">
        <v>0.36</v>
      </c>
      <c r="AQ293" s="103" t="n">
        <v>1.43</v>
      </c>
      <c r="AR293" s="103" t="inlineStr">
        <is>
          <t>Grey</t>
        </is>
      </c>
      <c r="AS293" s="104" t="n">
        <v>0</v>
      </c>
      <c r="AT293" s="104" t="n">
        <v>0.33</v>
      </c>
      <c r="AU293" s="104" t="n">
        <v>0.15</v>
      </c>
      <c r="AV293" s="104" t="n">
        <v>0.73</v>
      </c>
      <c r="AW293" s="103" t="n">
        <v>2.91</v>
      </c>
      <c r="AX293" s="103" t="inlineStr">
        <is>
          <t>Safe</t>
        </is>
      </c>
      <c r="AY293" s="104" t="n">
        <v>0</v>
      </c>
      <c r="AZ293" s="104" t="n">
        <v>0.15</v>
      </c>
      <c r="BA293" s="113" t="inlineStr">
        <is>
          <t>N/A</t>
        </is>
      </c>
      <c r="BB293" s="104" t="n">
        <v>0.36</v>
      </c>
      <c r="BC293" s="113" t="inlineStr">
        <is>
          <t>N/A</t>
        </is>
      </c>
      <c r="BD293" s="113" t="inlineStr">
        <is>
          <t>N/A</t>
        </is>
      </c>
      <c r="BE293" s="104" t="n">
        <v>0.11</v>
      </c>
      <c r="BF293" s="104" t="n">
        <v>0.58</v>
      </c>
      <c r="BG293" s="104" t="n">
        <v>1.01</v>
      </c>
      <c r="BH293" s="104" t="n">
        <v>-1.54</v>
      </c>
      <c r="BI293" s="103" t="n">
        <v>0.18</v>
      </c>
      <c r="BJ293" s="103" t="inlineStr">
        <is>
          <t>Healthy</t>
        </is>
      </c>
      <c r="BK293" s="103" t="n">
        <v>1</v>
      </c>
      <c r="BL293" s="103" t="n">
        <v>1</v>
      </c>
      <c r="BM293" s="103" t="n">
        <v>0</v>
      </c>
      <c r="BN293" s="103" t="n">
        <v>1</v>
      </c>
      <c r="BO293" s="103" t="n">
        <v>0</v>
      </c>
      <c r="BP293" s="103" t="n">
        <v>0</v>
      </c>
      <c r="BQ293" s="103" t="n">
        <v>0</v>
      </c>
      <c r="BR293" s="103" t="n">
        <v>0</v>
      </c>
      <c r="BS293" s="103" t="n">
        <v>1</v>
      </c>
      <c r="BT293" s="103" t="n">
        <v>4</v>
      </c>
      <c r="BU293" s="103" t="inlineStr">
        <is>
          <t>Mixed</t>
        </is>
      </c>
      <c r="BV293" s="113" t="inlineStr">
        <is>
          <t>N/A</t>
        </is>
      </c>
      <c r="BW293" s="104" t="n">
        <v>2.81</v>
      </c>
      <c r="BX293" s="104" t="n">
        <v>1.2</v>
      </c>
      <c r="BY293" s="104" t="n">
        <v>3.77</v>
      </c>
      <c r="BZ293" s="104" t="n">
        <v>1.42</v>
      </c>
      <c r="CA293" s="104" t="n">
        <v>0.35</v>
      </c>
      <c r="CB293" s="104" t="n">
        <v>0.98</v>
      </c>
      <c r="CC293" s="104" t="n">
        <v>-0.06</v>
      </c>
      <c r="CD293" s="113" t="inlineStr">
        <is>
          <t>N/A</t>
        </is>
      </c>
      <c r="CE293" s="113" t="inlineStr">
        <is>
          <t>N/A</t>
        </is>
      </c>
      <c r="CF293" s="104" t="n">
        <v>-0.59</v>
      </c>
      <c r="CG293" s="104" t="n">
        <v>44.58</v>
      </c>
      <c r="CH293" s="103" t="n">
        <v>0</v>
      </c>
      <c r="CI293" s="103" t="inlineStr">
        <is>
          <t>CLEAR</t>
        </is>
      </c>
    </row>
    <row r="294" ht="17" customHeight="1">
      <c r="A294" s="107" t="inlineStr">
        <is>
          <t>INCY</t>
        </is>
      </c>
      <c r="B294" s="107" t="inlineStr">
        <is>
          <t>INCYTE CORPORATION</t>
        </is>
      </c>
      <c r="C294" s="108" t="n">
        <v>3508732000</v>
      </c>
      <c r="D294" s="109" t="n">
        <v>0.45</v>
      </c>
      <c r="E294" s="109" t="n">
        <v>0.49</v>
      </c>
      <c r="F294" s="109" t="n">
        <v>0.38</v>
      </c>
      <c r="G294" s="109" t="n">
        <v>0.18</v>
      </c>
      <c r="H294" s="109" t="n">
        <v>0.01</v>
      </c>
      <c r="I294" s="109" t="n">
        <v>0.25</v>
      </c>
      <c r="J294" s="109" t="n">
        <v>0.28</v>
      </c>
      <c r="K294" s="109" t="n">
        <v>0.89</v>
      </c>
      <c r="L294" s="109" t="n">
        <v>0.9</v>
      </c>
      <c r="M294" s="109" t="n">
        <v>0.49</v>
      </c>
      <c r="N294" s="108" t="n">
        <v>0.55</v>
      </c>
      <c r="O294" s="108" t="n">
        <v>3.32</v>
      </c>
      <c r="P294" s="108" t="n">
        <v>1.97</v>
      </c>
      <c r="Q294" s="108" t="n">
        <v>3.25</v>
      </c>
      <c r="R294" s="108" t="n">
        <v>2.04</v>
      </c>
      <c r="S294" s="108" t="n">
        <v>0.26</v>
      </c>
      <c r="T294" s="108" t="n">
        <v>0.37</v>
      </c>
      <c r="U294" s="108" t="n">
        <v>3.68</v>
      </c>
      <c r="V294" s="108" t="n">
        <v>3.08</v>
      </c>
      <c r="W294" s="108" t="n">
        <v>1.1</v>
      </c>
      <c r="X294" s="109" t="n">
        <v>0.4</v>
      </c>
      <c r="Y294" s="109" t="n">
        <v>0.6</v>
      </c>
      <c r="Z294" s="109" t="n">
        <v>593.83</v>
      </c>
      <c r="AA294" s="109" t="n">
        <v>0.14</v>
      </c>
      <c r="AB294" s="109" t="n">
        <v>38.45</v>
      </c>
      <c r="AC294" s="108" t="n">
        <v>-0.02</v>
      </c>
      <c r="AD294" s="108" t="n">
        <v>-0.02</v>
      </c>
      <c r="AE294" s="108" t="n">
        <v>0.5</v>
      </c>
      <c r="AF294" s="108" t="n">
        <v>0.03</v>
      </c>
      <c r="AG294" s="108" t="n">
        <v>0.22</v>
      </c>
      <c r="AH294" s="108" t="n">
        <v>2.89</v>
      </c>
      <c r="AI294" s="108" t="n">
        <v>0.49</v>
      </c>
      <c r="AJ294" s="108" t="n">
        <v>3.59</v>
      </c>
      <c r="AK294" s="110" t="inlineStr">
        <is>
          <t>Safe</t>
        </is>
      </c>
      <c r="AL294" s="108" t="n">
        <v>0.5</v>
      </c>
      <c r="AM294" s="108" t="n">
        <v>0.03</v>
      </c>
      <c r="AN294" s="108" t="n">
        <v>0.22</v>
      </c>
      <c r="AO294" s="108" t="n">
        <v>2.89</v>
      </c>
      <c r="AP294" s="108" t="n">
        <v>0.49</v>
      </c>
      <c r="AQ294" s="107" t="n">
        <v>2.76</v>
      </c>
      <c r="AR294" s="107" t="inlineStr">
        <is>
          <t>Grey</t>
        </is>
      </c>
      <c r="AS294" s="108" t="n">
        <v>0.5</v>
      </c>
      <c r="AT294" s="108" t="n">
        <v>0.03</v>
      </c>
      <c r="AU294" s="108" t="n">
        <v>0.22</v>
      </c>
      <c r="AV294" s="108" t="n">
        <v>2.89</v>
      </c>
      <c r="AW294" s="107" t="n">
        <v>7.9</v>
      </c>
      <c r="AX294" s="107" t="inlineStr">
        <is>
          <t>Safe</t>
        </is>
      </c>
      <c r="AY294" s="108" t="n">
        <v>0.5</v>
      </c>
      <c r="AZ294" s="108" t="n">
        <v>0.22</v>
      </c>
      <c r="BA294" s="108" t="n">
        <v>1.1</v>
      </c>
      <c r="BB294" s="108" t="n">
        <v>0.49</v>
      </c>
      <c r="BC294" s="107" t="n">
        <v>2.11</v>
      </c>
      <c r="BD294" s="107" t="inlineStr">
        <is>
          <t>Healthy</t>
        </is>
      </c>
      <c r="BE294" s="108" t="n">
        <v>0.18</v>
      </c>
      <c r="BF294" s="108" t="n">
        <v>0.26</v>
      </c>
      <c r="BG294" s="108" t="n">
        <v>3.32</v>
      </c>
      <c r="BH294" s="108" t="n">
        <v>-3.7</v>
      </c>
      <c r="BI294" s="107" t="n">
        <v>0.02</v>
      </c>
      <c r="BJ294" s="107" t="inlineStr">
        <is>
          <t>Healthy</t>
        </is>
      </c>
      <c r="BK294" s="107" t="n">
        <v>1</v>
      </c>
      <c r="BL294" s="107" t="n">
        <v>1</v>
      </c>
      <c r="BM294" s="107" t="n">
        <v>1</v>
      </c>
      <c r="BN294" s="107" t="n">
        <v>1</v>
      </c>
      <c r="BO294" s="107" t="n">
        <v>0</v>
      </c>
      <c r="BP294" s="107" t="n">
        <v>1</v>
      </c>
      <c r="BQ294" s="107" t="n">
        <v>0</v>
      </c>
      <c r="BR294" s="107" t="n">
        <v>0</v>
      </c>
      <c r="BS294" s="107" t="n">
        <v>0</v>
      </c>
      <c r="BT294" s="107" t="n">
        <v>5</v>
      </c>
      <c r="BU294" s="107" t="inlineStr">
        <is>
          <t>Mixed</t>
        </is>
      </c>
      <c r="BV294" s="108" t="n">
        <v>1.06</v>
      </c>
      <c r="BW294" s="108" t="n">
        <v>1.01</v>
      </c>
      <c r="BX294" s="108" t="n">
        <v>0.65</v>
      </c>
      <c r="BY294" s="108" t="n">
        <v>1.14</v>
      </c>
      <c r="BZ294" s="108" t="n">
        <v>0.92</v>
      </c>
      <c r="CA294" s="108" t="n">
        <v>0.97</v>
      </c>
      <c r="CB294" s="108" t="n">
        <v>0.7</v>
      </c>
      <c r="CC294" s="108" t="n">
        <v>-0.02</v>
      </c>
      <c r="CD294" s="107" t="n">
        <v>-2.44</v>
      </c>
      <c r="CE294" s="107" t="inlineStr">
        <is>
          <t>Lower Risk</t>
        </is>
      </c>
      <c r="CF294" s="108" t="n">
        <v>9.890000000000001</v>
      </c>
      <c r="CG294" s="108" t="n">
        <v>55.07</v>
      </c>
      <c r="CH294" s="107" t="n">
        <v>0</v>
      </c>
      <c r="CI294" s="107" t="inlineStr">
        <is>
          <t>CLEAR</t>
        </is>
      </c>
    </row>
    <row r="295" ht="17" customHeight="1">
      <c r="A295" s="103" t="inlineStr">
        <is>
          <t>MCK</t>
        </is>
      </c>
      <c r="B295" s="103" t="inlineStr">
        <is>
          <t>McKESSON CORPORATION</t>
        </is>
      </c>
      <c r="C295" s="104" t="n">
        <v>-9807000000</v>
      </c>
      <c r="D295" s="105" t="n">
        <v>0.06</v>
      </c>
      <c r="E295" s="105" t="n">
        <v>0.06</v>
      </c>
      <c r="F295" s="105" t="n">
        <v>0.04</v>
      </c>
      <c r="G295" s="105" t="n">
        <v>0.06</v>
      </c>
      <c r="H295" s="105" t="n">
        <v>0.04</v>
      </c>
      <c r="I295" s="105" t="n">
        <v>-2.19</v>
      </c>
      <c r="J295" s="105" t="n">
        <v>0.41</v>
      </c>
      <c r="K295" s="105" t="n">
        <v>0.13</v>
      </c>
      <c r="L295" s="105" t="n">
        <v>0.46</v>
      </c>
      <c r="M295" s="105" t="n">
        <v>1.36</v>
      </c>
      <c r="N295" s="104" t="n">
        <v>0.38</v>
      </c>
      <c r="O295" s="104" t="n">
        <v>0.85</v>
      </c>
      <c r="P295" s="104" t="n">
        <v>0.9</v>
      </c>
      <c r="Q295" s="104" t="n">
        <v>0.49</v>
      </c>
      <c r="R295" s="104" t="n">
        <v>0.06</v>
      </c>
      <c r="S295" s="104" t="n">
        <v>1</v>
      </c>
      <c r="T295" s="104" t="n">
        <v>1</v>
      </c>
      <c r="U295" s="104" t="n">
        <v>-3</v>
      </c>
      <c r="V295" s="104" t="n">
        <v>-1.17</v>
      </c>
      <c r="W295" s="104" t="n">
        <v>1.29</v>
      </c>
      <c r="X295" s="105" t="n">
        <v>0.05</v>
      </c>
      <c r="Y295" s="105" t="n">
        <v>0</v>
      </c>
      <c r="Z295" s="105" t="n">
        <v>24.65</v>
      </c>
      <c r="AA295" s="105" t="n">
        <v>2.88</v>
      </c>
      <c r="AB295" s="105" t="n">
        <v>0.45</v>
      </c>
      <c r="AC295" s="104" t="n">
        <v>-0.02</v>
      </c>
      <c r="AD295" s="104" t="n">
        <v>-0.02</v>
      </c>
      <c r="AE295" s="104" t="n">
        <v>-0.12</v>
      </c>
      <c r="AF295" s="104" t="n">
        <v>0.27</v>
      </c>
      <c r="AG295" s="104" t="n">
        <v>0.08</v>
      </c>
      <c r="AH295" s="104" t="n">
        <v>-0.03</v>
      </c>
      <c r="AI295" s="104" t="n">
        <v>1.36</v>
      </c>
      <c r="AJ295" s="104" t="n">
        <v>1.83</v>
      </c>
      <c r="AK295" s="106" t="inlineStr">
        <is>
          <t>Grey</t>
        </is>
      </c>
      <c r="AL295" s="104" t="n">
        <v>-0.12</v>
      </c>
      <c r="AM295" s="104" t="n">
        <v>0.27</v>
      </c>
      <c r="AN295" s="104" t="n">
        <v>0.08</v>
      </c>
      <c r="AO295" s="104" t="n">
        <v>-0.03</v>
      </c>
      <c r="AP295" s="104" t="n">
        <v>1.36</v>
      </c>
      <c r="AQ295" s="103" t="n">
        <v>1.73</v>
      </c>
      <c r="AR295" s="103" t="inlineStr">
        <is>
          <t>Grey</t>
        </is>
      </c>
      <c r="AS295" s="104" t="n">
        <v>-0.12</v>
      </c>
      <c r="AT295" s="104" t="n">
        <v>0.27</v>
      </c>
      <c r="AU295" s="104" t="n">
        <v>0.08</v>
      </c>
      <c r="AV295" s="104" t="n">
        <v>-0.03</v>
      </c>
      <c r="AW295" s="103" t="n">
        <v>0.58</v>
      </c>
      <c r="AX295" s="103" t="inlineStr">
        <is>
          <t>Distress</t>
        </is>
      </c>
      <c r="AY295" s="104" t="n">
        <v>-0.12</v>
      </c>
      <c r="AZ295" s="104" t="n">
        <v>0.08</v>
      </c>
      <c r="BA295" s="104" t="n">
        <v>0.09</v>
      </c>
      <c r="BB295" s="104" t="n">
        <v>1.36</v>
      </c>
      <c r="BC295" s="103" t="n">
        <v>0.71</v>
      </c>
      <c r="BD295" s="103" t="inlineStr">
        <is>
          <t>Distress</t>
        </is>
      </c>
      <c r="BE295" s="104" t="n">
        <v>0.06</v>
      </c>
      <c r="BF295" s="104" t="n">
        <v>1</v>
      </c>
      <c r="BG295" s="104" t="n">
        <v>0.85</v>
      </c>
      <c r="BH295" s="104" t="n">
        <v>1.09</v>
      </c>
      <c r="BI295" s="103" t="n">
        <v>0.75</v>
      </c>
      <c r="BJ295" s="103" t="inlineStr">
        <is>
          <t>Distress</t>
        </is>
      </c>
      <c r="BK295" s="103" t="n">
        <v>1</v>
      </c>
      <c r="BL295" s="103" t="n">
        <v>1</v>
      </c>
      <c r="BM295" s="103" t="n">
        <v>1</v>
      </c>
      <c r="BN295" s="103" t="n">
        <v>1</v>
      </c>
      <c r="BO295" s="103" t="n">
        <v>0</v>
      </c>
      <c r="BP295" s="103" t="n">
        <v>0</v>
      </c>
      <c r="BQ295" s="103" t="n">
        <v>0</v>
      </c>
      <c r="BR295" s="103" t="n">
        <v>0</v>
      </c>
      <c r="BS295" s="103" t="n">
        <v>1</v>
      </c>
      <c r="BT295" s="103" t="n">
        <v>5</v>
      </c>
      <c r="BU295" s="103" t="inlineStr">
        <is>
          <t>Mixed</t>
        </is>
      </c>
      <c r="BV295" s="104" t="n">
        <v>0.28</v>
      </c>
      <c r="BW295" s="104" t="n">
        <v>3.56</v>
      </c>
      <c r="BX295" s="104" t="n">
        <v>1.19</v>
      </c>
      <c r="BY295" s="104" t="n">
        <v>3.88</v>
      </c>
      <c r="BZ295" s="104" t="n">
        <v>0.9399999999999999</v>
      </c>
      <c r="CA295" s="104" t="n">
        <v>0.24</v>
      </c>
      <c r="CB295" s="104" t="n">
        <v>1</v>
      </c>
      <c r="CC295" s="104" t="n">
        <v>-0.02</v>
      </c>
      <c r="CD295" s="103" t="n">
        <v>0.9</v>
      </c>
      <c r="CE295" s="103" t="inlineStr">
        <is>
          <t>Higher Risk</t>
        </is>
      </c>
      <c r="CF295" s="104" t="n">
        <v>0.37</v>
      </c>
      <c r="CG295" s="104" t="n">
        <v>43.99</v>
      </c>
      <c r="CH295" s="103" t="n">
        <v>20</v>
      </c>
      <c r="CI295" s="103" t="inlineStr">
        <is>
          <t>CLEAR</t>
        </is>
      </c>
    </row>
    <row r="296" ht="17" customHeight="1">
      <c r="A296" s="107" t="inlineStr">
        <is>
          <t>JCI</t>
        </is>
      </c>
      <c r="B296" s="107" t="inlineStr">
        <is>
          <t>JOHNSON CONTROLS INTERNATIONAL PLC</t>
        </is>
      </c>
      <c r="C296" s="108" t="n">
        <v>-779000000</v>
      </c>
      <c r="D296" s="109" t="n">
        <v>0.09</v>
      </c>
      <c r="E296" s="109" t="n">
        <v>0.2</v>
      </c>
      <c r="F296" s="109" t="n">
        <v>0.33</v>
      </c>
      <c r="G296" s="109" t="n">
        <v>0.09</v>
      </c>
      <c r="H296" s="109" t="n">
        <v>0.04</v>
      </c>
      <c r="I296" s="109" t="n">
        <v>0.25</v>
      </c>
      <c r="J296" s="109" t="n">
        <v>0.03</v>
      </c>
      <c r="K296" s="109" t="n">
        <v>0.87</v>
      </c>
      <c r="L296" s="109" t="n">
        <v>0.78</v>
      </c>
      <c r="M296" s="109" t="n">
        <v>0.26</v>
      </c>
      <c r="N296" s="108" t="n">
        <v>0.24</v>
      </c>
      <c r="O296" s="108" t="n">
        <v>0.93</v>
      </c>
      <c r="P296" s="108" t="n">
        <v>0.9399999999999999</v>
      </c>
      <c r="Q296" s="108" t="n">
        <v>0.76</v>
      </c>
      <c r="R296" s="108" t="n">
        <v>0.03</v>
      </c>
      <c r="S296" s="108" t="n">
        <v>0.22</v>
      </c>
      <c r="T296" s="108" t="n">
        <v>0.17</v>
      </c>
      <c r="U296" s="108" t="n">
        <v>0.77</v>
      </c>
      <c r="V296" s="108" t="n">
        <v>0.74</v>
      </c>
      <c r="W296" s="108" t="n">
        <v>0.78</v>
      </c>
      <c r="X296" s="109" t="n">
        <v>0.21</v>
      </c>
      <c r="Y296" s="109" t="n">
        <v>0.03</v>
      </c>
      <c r="Z296" s="109" t="n">
        <v>3.93</v>
      </c>
      <c r="AA296" s="109" t="n">
        <v>-0.04</v>
      </c>
      <c r="AB296" s="109" t="n">
        <v>0.93</v>
      </c>
      <c r="AC296" s="108" t="n">
        <v>0.02</v>
      </c>
      <c r="AD296" s="108" t="n">
        <v>0.02</v>
      </c>
      <c r="AE296" s="108" t="n">
        <v>-0.02</v>
      </c>
      <c r="AF296" s="108" t="n">
        <v>0</v>
      </c>
      <c r="AG296" s="108" t="n">
        <v>0.02</v>
      </c>
      <c r="AH296" s="108" t="n">
        <v>1.57</v>
      </c>
      <c r="AI296" s="108" t="n">
        <v>0.26</v>
      </c>
      <c r="AJ296" s="108" t="n">
        <v>1.25</v>
      </c>
      <c r="AK296" s="112" t="inlineStr">
        <is>
          <t>Distress</t>
        </is>
      </c>
      <c r="AL296" s="108" t="n">
        <v>-0.02</v>
      </c>
      <c r="AM296" s="108" t="n">
        <v>0</v>
      </c>
      <c r="AN296" s="108" t="n">
        <v>0.02</v>
      </c>
      <c r="AO296" s="108" t="n">
        <v>1.57</v>
      </c>
      <c r="AP296" s="108" t="n">
        <v>0.26</v>
      </c>
      <c r="AQ296" s="107" t="n">
        <v>0.98</v>
      </c>
      <c r="AR296" s="107" t="inlineStr">
        <is>
          <t>Distress</t>
        </is>
      </c>
      <c r="AS296" s="108" t="n">
        <v>-0.02</v>
      </c>
      <c r="AT296" s="108" t="n">
        <v>0</v>
      </c>
      <c r="AU296" s="108" t="n">
        <v>0.02</v>
      </c>
      <c r="AV296" s="108" t="n">
        <v>1.57</v>
      </c>
      <c r="AW296" s="107" t="n">
        <v>1.67</v>
      </c>
      <c r="AX296" s="107" t="inlineStr">
        <is>
          <t>Grey</t>
        </is>
      </c>
      <c r="AY296" s="108" t="n">
        <v>-0.02</v>
      </c>
      <c r="AZ296" s="108" t="n">
        <v>0.02</v>
      </c>
      <c r="BA296" s="108" t="n">
        <v>0.18</v>
      </c>
      <c r="BB296" s="108" t="n">
        <v>0.26</v>
      </c>
      <c r="BC296" s="107" t="n">
        <v>0.27</v>
      </c>
      <c r="BD296" s="107" t="inlineStr">
        <is>
          <t>Distress</t>
        </is>
      </c>
      <c r="BE296" s="108" t="n">
        <v>0.09</v>
      </c>
      <c r="BF296" s="108" t="n">
        <v>0.22</v>
      </c>
      <c r="BG296" s="108" t="n">
        <v>0.93</v>
      </c>
      <c r="BH296" s="108" t="n">
        <v>-3.49</v>
      </c>
      <c r="BI296" s="107" t="n">
        <v>0.03</v>
      </c>
      <c r="BJ296" s="107" t="inlineStr">
        <is>
          <t>Healthy</t>
        </is>
      </c>
      <c r="BK296" s="107" t="n">
        <v>1</v>
      </c>
      <c r="BL296" s="107" t="n">
        <v>1</v>
      </c>
      <c r="BM296" s="107" t="n">
        <v>1</v>
      </c>
      <c r="BN296" s="107" t="n">
        <v>0</v>
      </c>
      <c r="BO296" s="107" t="n">
        <v>0</v>
      </c>
      <c r="BP296" s="107" t="n">
        <v>0</v>
      </c>
      <c r="BQ296" s="107" t="n">
        <v>1</v>
      </c>
      <c r="BR296" s="107" t="n">
        <v>1</v>
      </c>
      <c r="BS296" s="107" t="n">
        <v>1</v>
      </c>
      <c r="BT296" s="107" t="n">
        <v>6</v>
      </c>
      <c r="BU296" s="107" t="inlineStr">
        <is>
          <t>Mixed</t>
        </is>
      </c>
      <c r="BV296" s="108" t="n">
        <v>1.08</v>
      </c>
      <c r="BW296" s="108" t="n">
        <v>0.9</v>
      </c>
      <c r="BX296" s="108" t="n">
        <v>0.99</v>
      </c>
      <c r="BY296" s="108" t="n">
        <v>0.96</v>
      </c>
      <c r="BZ296" s="108" t="n">
        <v>0.95</v>
      </c>
      <c r="CA296" s="108" t="n">
        <v>1.06</v>
      </c>
      <c r="CB296" s="108" t="n">
        <v>1.3</v>
      </c>
      <c r="CC296" s="108" t="n">
        <v>0.02</v>
      </c>
      <c r="CD296" s="107" t="n">
        <v>-2.52</v>
      </c>
      <c r="CE296" s="107" t="inlineStr">
        <is>
          <t>Lower Risk</t>
        </is>
      </c>
      <c r="CF296" s="108" t="n">
        <v>4.73</v>
      </c>
      <c r="CG296" s="108" t="n">
        <v>52.95</v>
      </c>
      <c r="CH296" s="107" t="n">
        <v>0</v>
      </c>
      <c r="CI296" s="107" t="inlineStr">
        <is>
          <t>CLEAR</t>
        </is>
      </c>
    </row>
    <row r="297" ht="17" customHeight="1">
      <c r="A297" s="103" t="inlineStr">
        <is>
          <t>SNPS</t>
        </is>
      </c>
      <c r="B297" s="103" t="inlineStr">
        <is>
          <t>SYNOPSYS INC</t>
        </is>
      </c>
      <c r="C297" s="104" t="n">
        <v>2289608000</v>
      </c>
      <c r="D297" s="105" t="n">
        <v>0.18</v>
      </c>
      <c r="E297" s="105" t="n">
        <v>0.27</v>
      </c>
      <c r="F297" s="105" t="n">
        <v>0.26</v>
      </c>
      <c r="G297" s="105" t="n">
        <v>0.03</v>
      </c>
      <c r="H297" s="105" t="n">
        <v>0.17</v>
      </c>
      <c r="I297" s="105" t="n">
        <v>0.05</v>
      </c>
      <c r="J297" s="105" t="n">
        <v>0.02</v>
      </c>
      <c r="K297" s="105" t="n">
        <v>1.07</v>
      </c>
      <c r="L297" s="105" t="n">
        <v>1.16</v>
      </c>
      <c r="M297" s="105" t="n">
        <v>0.11</v>
      </c>
      <c r="N297" s="104" t="n">
        <v>0.32</v>
      </c>
      <c r="O297" s="104" t="n">
        <v>1.62</v>
      </c>
      <c r="P297" s="104" t="n">
        <v>2.44</v>
      </c>
      <c r="Q297" s="104" t="n">
        <v>1.52</v>
      </c>
      <c r="R297" s="104" t="n">
        <v>0.78</v>
      </c>
      <c r="S297" s="104" t="n">
        <v>0.41</v>
      </c>
      <c r="T297" s="104" t="n">
        <v>0.31</v>
      </c>
      <c r="U297" s="104" t="n">
        <v>0.48</v>
      </c>
      <c r="V297" s="104" t="n">
        <v>0.37</v>
      </c>
      <c r="W297" s="104" t="n">
        <v>1.14</v>
      </c>
      <c r="X297" s="105" t="n">
        <v>0.27</v>
      </c>
      <c r="Y297" s="105" t="n">
        <v>0.49</v>
      </c>
      <c r="Z297" s="105" t="n">
        <v>776.6799999999999</v>
      </c>
      <c r="AA297" s="105" t="n">
        <v>0.21</v>
      </c>
      <c r="AB297" s="105" t="n">
        <v>-0.41</v>
      </c>
      <c r="AC297" s="104" t="n">
        <v>-0</v>
      </c>
      <c r="AD297" s="104" t="n">
        <v>-0</v>
      </c>
      <c r="AE297" s="104" t="n">
        <v>0.05</v>
      </c>
      <c r="AF297" s="104" t="n">
        <v>0.21</v>
      </c>
      <c r="AG297" s="104" t="n">
        <v>0.02</v>
      </c>
      <c r="AH297" s="104" t="n">
        <v>1.42</v>
      </c>
      <c r="AI297" s="104" t="n">
        <v>0.11</v>
      </c>
      <c r="AJ297" s="104" t="n">
        <v>1.38</v>
      </c>
      <c r="AK297" s="112" t="inlineStr">
        <is>
          <t>Distress</t>
        </is>
      </c>
      <c r="AL297" s="104" t="n">
        <v>0.05</v>
      </c>
      <c r="AM297" s="104" t="n">
        <v>0.21</v>
      </c>
      <c r="AN297" s="104" t="n">
        <v>0.02</v>
      </c>
      <c r="AO297" s="104" t="n">
        <v>1.42</v>
      </c>
      <c r="AP297" s="104" t="n">
        <v>0.11</v>
      </c>
      <c r="AQ297" s="103" t="n">
        <v>0.98</v>
      </c>
      <c r="AR297" s="103" t="inlineStr">
        <is>
          <t>Distress</t>
        </is>
      </c>
      <c r="AS297" s="104" t="n">
        <v>0.05</v>
      </c>
      <c r="AT297" s="104" t="n">
        <v>0.21</v>
      </c>
      <c r="AU297" s="104" t="n">
        <v>0.02</v>
      </c>
      <c r="AV297" s="104" t="n">
        <v>1.42</v>
      </c>
      <c r="AW297" s="103" t="n">
        <v>2.63</v>
      </c>
      <c r="AX297" s="103" t="inlineStr">
        <is>
          <t>Safe</t>
        </is>
      </c>
      <c r="AY297" s="104" t="n">
        <v>0.05</v>
      </c>
      <c r="AZ297" s="104" t="n">
        <v>0.02</v>
      </c>
      <c r="BA297" s="104" t="n">
        <v>0.37</v>
      </c>
      <c r="BB297" s="104" t="n">
        <v>0.11</v>
      </c>
      <c r="BC297" s="103" t="n">
        <v>0.4</v>
      </c>
      <c r="BD297" s="103" t="inlineStr">
        <is>
          <t>Distress</t>
        </is>
      </c>
      <c r="BE297" s="104" t="n">
        <v>0.03</v>
      </c>
      <c r="BF297" s="104" t="n">
        <v>0.41</v>
      </c>
      <c r="BG297" s="104" t="n">
        <v>1.62</v>
      </c>
      <c r="BH297" s="104" t="n">
        <v>-2.11</v>
      </c>
      <c r="BI297" s="103" t="n">
        <v>0.11</v>
      </c>
      <c r="BJ297" s="103" t="inlineStr">
        <is>
          <t>Healthy</t>
        </is>
      </c>
      <c r="BK297" s="103" t="n">
        <v>1</v>
      </c>
      <c r="BL297" s="103" t="n">
        <v>1</v>
      </c>
      <c r="BM297" s="103" t="n">
        <v>0</v>
      </c>
      <c r="BN297" s="103" t="n">
        <v>1</v>
      </c>
      <c r="BO297" s="103" t="n">
        <v>0</v>
      </c>
      <c r="BP297" s="103" t="n">
        <v>0</v>
      </c>
      <c r="BQ297" s="103" t="n">
        <v>0</v>
      </c>
      <c r="BR297" s="103" t="n">
        <v>0</v>
      </c>
      <c r="BS297" s="103" t="n">
        <v>0</v>
      </c>
      <c r="BT297" s="103" t="n">
        <v>3</v>
      </c>
      <c r="BU297" s="103" t="inlineStr">
        <is>
          <t>Weak</t>
        </is>
      </c>
      <c r="BV297" s="104" t="n">
        <v>1.33</v>
      </c>
      <c r="BW297" s="104" t="n">
        <v>1.09</v>
      </c>
      <c r="BX297" s="104" t="n">
        <v>1.86</v>
      </c>
      <c r="BY297" s="104" t="n">
        <v>1.21</v>
      </c>
      <c r="BZ297" s="104" t="n">
        <v>0.71</v>
      </c>
      <c r="CA297" s="104" t="n">
        <v>1.12</v>
      </c>
      <c r="CB297" s="104" t="n">
        <v>1.33</v>
      </c>
      <c r="CC297" s="104" t="n">
        <v>-0</v>
      </c>
      <c r="CD297" s="103" t="n">
        <v>-1.77</v>
      </c>
      <c r="CE297" s="103" t="inlineStr">
        <is>
          <t>Higher Risk</t>
        </is>
      </c>
      <c r="CF297" s="104" t="n">
        <v>6.73</v>
      </c>
      <c r="CG297" s="104" t="n">
        <v>35.11</v>
      </c>
      <c r="CH297" s="103" t="n">
        <v>20</v>
      </c>
      <c r="CI297" s="103" t="inlineStr">
        <is>
          <t>CLEAR</t>
        </is>
      </c>
    </row>
    <row r="298" ht="17" customHeight="1">
      <c r="A298" s="107" t="inlineStr">
        <is>
          <t>VIAV</t>
        </is>
      </c>
      <c r="B298" s="107" t="inlineStr">
        <is>
          <t>Viavi Solutions Inc.</t>
        </is>
      </c>
      <c r="C298" s="108" t="n">
        <v>295500000</v>
      </c>
      <c r="D298" s="109" t="n">
        <v>0.05</v>
      </c>
      <c r="E298" s="109" t="n">
        <v>0.01</v>
      </c>
      <c r="F298" s="109" t="n">
        <v>0.03</v>
      </c>
      <c r="G298" s="109" t="n">
        <v>0.02</v>
      </c>
      <c r="H298" s="109" t="n">
        <v>-0.01</v>
      </c>
      <c r="I298" s="109" t="n">
        <v>0.04</v>
      </c>
      <c r="J298" s="109" t="n">
        <v>0.04</v>
      </c>
      <c r="K298" s="109" t="n">
        <v>0.57</v>
      </c>
      <c r="L298" s="109" t="n">
        <v>0.58</v>
      </c>
      <c r="M298" s="109" t="n">
        <v>0.54</v>
      </c>
      <c r="N298" s="108" t="n">
        <v>0.58</v>
      </c>
      <c r="O298" s="108" t="n">
        <v>1.5</v>
      </c>
      <c r="P298" s="108" t="n">
        <v>3.55</v>
      </c>
      <c r="Q298" s="108" t="n">
        <v>1.3</v>
      </c>
      <c r="R298" s="108" t="n">
        <v>0.72</v>
      </c>
      <c r="S298" s="108" t="n">
        <v>0.61</v>
      </c>
      <c r="T298" s="108" t="n">
        <v>0.61</v>
      </c>
      <c r="U298" s="108" t="n">
        <v>0.6</v>
      </c>
      <c r="V298" s="108" t="n">
        <v>0.06</v>
      </c>
      <c r="W298" s="108" t="n">
        <v>2.58</v>
      </c>
      <c r="X298" s="109" t="n">
        <v>0.06</v>
      </c>
      <c r="Y298" s="109" t="n">
        <v>0.19</v>
      </c>
      <c r="Z298" s="109" t="n">
        <v>2.12</v>
      </c>
      <c r="AA298" s="109" t="n">
        <v>0.08</v>
      </c>
      <c r="AB298" s="109" t="n">
        <v>-2.35</v>
      </c>
      <c r="AC298" s="108" t="n">
        <v>-0.03</v>
      </c>
      <c r="AD298" s="108" t="n">
        <v>-0.03</v>
      </c>
      <c r="AE298" s="108" t="n">
        <v>0.15</v>
      </c>
      <c r="AF298" s="108" t="n">
        <v>-34.92</v>
      </c>
      <c r="AG298" s="108" t="n">
        <v>0.03</v>
      </c>
      <c r="AH298" s="108" t="n">
        <v>0.64</v>
      </c>
      <c r="AI298" s="108" t="n">
        <v>0.54</v>
      </c>
      <c r="AJ298" s="108" t="n">
        <v>-47.69</v>
      </c>
      <c r="AK298" s="112" t="inlineStr">
        <is>
          <t>Distress</t>
        </is>
      </c>
      <c r="AL298" s="108" t="n">
        <v>0.15</v>
      </c>
      <c r="AM298" s="108" t="n">
        <v>-34.92</v>
      </c>
      <c r="AN298" s="108" t="n">
        <v>0.03</v>
      </c>
      <c r="AO298" s="108" t="n">
        <v>0.64</v>
      </c>
      <c r="AP298" s="108" t="n">
        <v>0.54</v>
      </c>
      <c r="AQ298" s="107" t="n">
        <v>-28.57</v>
      </c>
      <c r="AR298" s="107" t="inlineStr">
        <is>
          <t>Distress</t>
        </is>
      </c>
      <c r="AS298" s="108" t="n">
        <v>0.15</v>
      </c>
      <c r="AT298" s="108" t="n">
        <v>-34.92</v>
      </c>
      <c r="AU298" s="108" t="n">
        <v>0.03</v>
      </c>
      <c r="AV298" s="108" t="n">
        <v>0.64</v>
      </c>
      <c r="AW298" s="107" t="n">
        <v>-112.01</v>
      </c>
      <c r="AX298" s="107" t="inlineStr">
        <is>
          <t>Distress</t>
        </is>
      </c>
      <c r="AY298" s="108" t="n">
        <v>0.15</v>
      </c>
      <c r="AZ298" s="108" t="n">
        <v>0.03</v>
      </c>
      <c r="BA298" s="108" t="n">
        <v>0.02</v>
      </c>
      <c r="BB298" s="108" t="n">
        <v>0.54</v>
      </c>
      <c r="BC298" s="107" t="n">
        <v>0.47</v>
      </c>
      <c r="BD298" s="107" t="inlineStr">
        <is>
          <t>Distress</t>
        </is>
      </c>
      <c r="BE298" s="108" t="n">
        <v>0.02</v>
      </c>
      <c r="BF298" s="108" t="n">
        <v>0.61</v>
      </c>
      <c r="BG298" s="108" t="n">
        <v>1.5</v>
      </c>
      <c r="BH298" s="108" t="n">
        <v>-0.95</v>
      </c>
      <c r="BI298" s="107" t="n">
        <v>0.28</v>
      </c>
      <c r="BJ298" s="107" t="inlineStr">
        <is>
          <t>Healthy</t>
        </is>
      </c>
      <c r="BK298" s="107" t="n">
        <v>1</v>
      </c>
      <c r="BL298" s="107" t="n">
        <v>1</v>
      </c>
      <c r="BM298" s="107" t="n">
        <v>1</v>
      </c>
      <c r="BN298" s="107" t="n">
        <v>1</v>
      </c>
      <c r="BO298" s="107" t="n">
        <v>1</v>
      </c>
      <c r="BP298" s="107" t="n">
        <v>0</v>
      </c>
      <c r="BQ298" s="107" t="n">
        <v>0</v>
      </c>
      <c r="BR298" s="107" t="n">
        <v>0</v>
      </c>
      <c r="BS298" s="107" t="n">
        <v>0</v>
      </c>
      <c r="BT298" s="107" t="n">
        <v>5</v>
      </c>
      <c r="BU298" s="107" t="inlineStr">
        <is>
          <t>Mixed</t>
        </is>
      </c>
      <c r="BV298" s="108" t="n">
        <v>1.13</v>
      </c>
      <c r="BW298" s="108" t="n">
        <v>1</v>
      </c>
      <c r="BX298" s="108" t="n">
        <v>1.21</v>
      </c>
      <c r="BY298" s="108" t="n">
        <v>1.08</v>
      </c>
      <c r="BZ298" s="108" t="n">
        <v>1.02</v>
      </c>
      <c r="CA298" s="108" t="n">
        <v>0.97</v>
      </c>
      <c r="CB298" s="108" t="n">
        <v>1</v>
      </c>
      <c r="CC298" s="108" t="n">
        <v>-0.03</v>
      </c>
      <c r="CD298" s="107" t="n">
        <v>-2.32</v>
      </c>
      <c r="CE298" s="107" t="inlineStr">
        <is>
          <t>Lower Risk</t>
        </is>
      </c>
      <c r="CF298" s="108" t="n">
        <v>0.49</v>
      </c>
      <c r="CG298" s="108" t="n">
        <v>43.29</v>
      </c>
      <c r="CH298" s="107" t="n">
        <v>0</v>
      </c>
      <c r="CI298" s="107" t="inlineStr">
        <is>
          <t>CLEAR</t>
        </is>
      </c>
    </row>
    <row r="299" ht="17" customHeight="1">
      <c r="A299" s="103" t="inlineStr">
        <is>
          <t>CHRW</t>
        </is>
      </c>
      <c r="B299" s="103" t="inlineStr">
        <is>
          <t>C.H. ROBINSON WORLDWIDE, INC.</t>
        </is>
      </c>
      <c r="C299" s="104" t="n">
        <v>966841000</v>
      </c>
      <c r="D299" s="105" t="n">
        <v>0.05</v>
      </c>
      <c r="E299" s="105" t="n">
        <v>0.05</v>
      </c>
      <c r="F299" s="105" t="n">
        <v>0.04</v>
      </c>
      <c r="G299" s="105" t="n">
        <v>0.12</v>
      </c>
      <c r="H299" s="105" t="n">
        <v>0.09</v>
      </c>
      <c r="I299" s="105" t="n">
        <v>0.32</v>
      </c>
      <c r="J299" s="105" t="n">
        <v>0.25</v>
      </c>
      <c r="K299" s="105" t="n">
        <v>0.92</v>
      </c>
      <c r="L299" s="105" t="n">
        <v>0.93</v>
      </c>
      <c r="M299" s="105" t="n">
        <v>2.94</v>
      </c>
      <c r="N299" s="104" t="n">
        <v>0.75</v>
      </c>
      <c r="O299" s="104" t="n">
        <v>1.53</v>
      </c>
      <c r="P299" s="104" t="n">
        <v>1.28</v>
      </c>
      <c r="Q299" s="104" t="n">
        <v>1.53</v>
      </c>
      <c r="R299" s="104" t="n">
        <v>0.09</v>
      </c>
      <c r="S299" s="104" t="n">
        <v>0.64</v>
      </c>
      <c r="T299" s="104" t="n">
        <v>0.67</v>
      </c>
      <c r="U299" s="104" t="n">
        <v>0.98</v>
      </c>
      <c r="V299" s="104" t="n">
        <v>0.89</v>
      </c>
      <c r="W299" s="104" t="n">
        <v>1.56</v>
      </c>
      <c r="X299" s="105" t="n">
        <v>0.06</v>
      </c>
      <c r="Y299" s="105" t="n">
        <v>0</v>
      </c>
      <c r="Z299" s="105" t="n">
        <v>20.99</v>
      </c>
      <c r="AA299" s="105" t="n">
        <v>2.76</v>
      </c>
      <c r="AB299" s="105" t="n">
        <v>0.26</v>
      </c>
      <c r="AC299" s="104" t="n">
        <v>-0.06</v>
      </c>
      <c r="AD299" s="104" t="n">
        <v>-0.06</v>
      </c>
      <c r="AE299" s="104" t="n">
        <v>0.19</v>
      </c>
      <c r="AF299" s="104" t="n">
        <v>1.2</v>
      </c>
      <c r="AG299" s="104" t="n">
        <v>0.16</v>
      </c>
      <c r="AH299" s="104" t="n">
        <v>0.57</v>
      </c>
      <c r="AI299" s="104" t="n">
        <v>2.94</v>
      </c>
      <c r="AJ299" s="104" t="n">
        <v>5.71</v>
      </c>
      <c r="AK299" s="110" t="inlineStr">
        <is>
          <t>Safe</t>
        </is>
      </c>
      <c r="AL299" s="104" t="n">
        <v>0.19</v>
      </c>
      <c r="AM299" s="104" t="n">
        <v>1.2</v>
      </c>
      <c r="AN299" s="104" t="n">
        <v>0.16</v>
      </c>
      <c r="AO299" s="104" t="n">
        <v>0.57</v>
      </c>
      <c r="AP299" s="104" t="n">
        <v>2.94</v>
      </c>
      <c r="AQ299" s="103" t="n">
        <v>4.82</v>
      </c>
      <c r="AR299" s="103" t="inlineStr">
        <is>
          <t>Safe</t>
        </is>
      </c>
      <c r="AS299" s="104" t="n">
        <v>0.19</v>
      </c>
      <c r="AT299" s="104" t="n">
        <v>1.2</v>
      </c>
      <c r="AU299" s="104" t="n">
        <v>0.16</v>
      </c>
      <c r="AV299" s="104" t="n">
        <v>0.57</v>
      </c>
      <c r="AW299" s="103" t="n">
        <v>6.83</v>
      </c>
      <c r="AX299" s="103" t="inlineStr">
        <is>
          <t>Safe</t>
        </is>
      </c>
      <c r="AY299" s="104" t="n">
        <v>0.19</v>
      </c>
      <c r="AZ299" s="104" t="n">
        <v>0.16</v>
      </c>
      <c r="BA299" s="104" t="n">
        <v>0.39</v>
      </c>
      <c r="BB299" s="104" t="n">
        <v>2.94</v>
      </c>
      <c r="BC299" s="103" t="n">
        <v>2.12</v>
      </c>
      <c r="BD299" s="103" t="inlineStr">
        <is>
          <t>Healthy</t>
        </is>
      </c>
      <c r="BE299" s="104" t="n">
        <v>0.12</v>
      </c>
      <c r="BF299" s="104" t="n">
        <v>0.64</v>
      </c>
      <c r="BG299" s="104" t="n">
        <v>1.53</v>
      </c>
      <c r="BH299" s="104" t="n">
        <v>-1.25</v>
      </c>
      <c r="BI299" s="103" t="n">
        <v>0.22</v>
      </c>
      <c r="BJ299" s="103" t="inlineStr">
        <is>
          <t>Healthy</t>
        </is>
      </c>
      <c r="BK299" s="103" t="n">
        <v>1</v>
      </c>
      <c r="BL299" s="103" t="n">
        <v>1</v>
      </c>
      <c r="BM299" s="103" t="n">
        <v>1</v>
      </c>
      <c r="BN299" s="103" t="n">
        <v>1</v>
      </c>
      <c r="BO299" s="103" t="n">
        <v>1</v>
      </c>
      <c r="BP299" s="103" t="n">
        <v>1</v>
      </c>
      <c r="BQ299" s="103" t="n">
        <v>1</v>
      </c>
      <c r="BR299" s="103" t="n">
        <v>0</v>
      </c>
      <c r="BS299" s="103" t="n">
        <v>1</v>
      </c>
      <c r="BT299" s="103" t="n">
        <v>8</v>
      </c>
      <c r="BU299" s="103" t="inlineStr">
        <is>
          <t>Strong</t>
        </is>
      </c>
      <c r="BV299" s="104" t="n">
        <v>0.26</v>
      </c>
      <c r="BW299" s="104" t="n">
        <v>1.01</v>
      </c>
      <c r="BX299" s="104" t="n">
        <v>1.02</v>
      </c>
      <c r="BY299" s="104" t="n">
        <v>3.76</v>
      </c>
      <c r="BZ299" s="104" t="n">
        <v>0.92</v>
      </c>
      <c r="CA299" s="113" t="inlineStr">
        <is>
          <t>N/A</t>
        </is>
      </c>
      <c r="CB299" s="104" t="n">
        <v>0.9399999999999999</v>
      </c>
      <c r="CC299" s="104" t="n">
        <v>-0.06</v>
      </c>
      <c r="CD299" s="103" t="n">
        <v>-0.8100000000000001</v>
      </c>
      <c r="CE299" s="103" t="inlineStr">
        <is>
          <t>Higher Risk</t>
        </is>
      </c>
      <c r="CF299" s="104" t="n">
        <v>1.83</v>
      </c>
      <c r="CG299" s="104" t="n">
        <v>66.66</v>
      </c>
      <c r="CH299" s="103" t="n">
        <v>20</v>
      </c>
      <c r="CI299" s="103" t="inlineStr">
        <is>
          <t>CLEAR</t>
        </is>
      </c>
    </row>
    <row r="300" ht="17" customHeight="1">
      <c r="A300" s="107" t="inlineStr">
        <is>
          <t>HST</t>
        </is>
      </c>
      <c r="B300" s="107" t="inlineStr">
        <is>
          <t>HOST HOTELS &amp; RESORTS, INC.</t>
        </is>
      </c>
      <c r="C300" s="111" t="inlineStr">
        <is>
          <t>N/A</t>
        </is>
      </c>
      <c r="D300" s="109" t="n">
        <v>0.16</v>
      </c>
      <c r="E300" s="109" t="n">
        <v>0.15</v>
      </c>
      <c r="F300" s="109" t="n">
        <v>0.14</v>
      </c>
      <c r="G300" s="109" t="n">
        <v>0.06</v>
      </c>
      <c r="H300" s="109" t="n">
        <v>0.05</v>
      </c>
      <c r="I300" s="109" t="n">
        <v>0.12</v>
      </c>
      <c r="J300" s="111" t="inlineStr">
        <is>
          <t>N/A</t>
        </is>
      </c>
      <c r="K300" s="111" t="inlineStr">
        <is>
          <t>N/A</t>
        </is>
      </c>
      <c r="L300" s="111" t="inlineStr">
        <is>
          <t>N/A</t>
        </is>
      </c>
      <c r="M300" s="109" t="n">
        <v>0.41</v>
      </c>
      <c r="N300" s="108" t="n">
        <v>0.42</v>
      </c>
      <c r="O300" s="111" t="inlineStr">
        <is>
          <t>N/A</t>
        </is>
      </c>
      <c r="P300" s="111" t="inlineStr">
        <is>
          <t>N/A</t>
        </is>
      </c>
      <c r="Q300" s="111" t="inlineStr">
        <is>
          <t>N/A</t>
        </is>
      </c>
      <c r="R300" s="111" t="inlineStr">
        <is>
          <t>N/A</t>
        </is>
      </c>
      <c r="S300" s="108" t="n">
        <v>0.48</v>
      </c>
      <c r="T300" s="108" t="n">
        <v>0.48</v>
      </c>
      <c r="U300" s="108" t="n">
        <v>0.19</v>
      </c>
      <c r="V300" s="108" t="n">
        <v>0.08</v>
      </c>
      <c r="W300" s="108" t="n">
        <v>1.97</v>
      </c>
      <c r="X300" s="109" t="n">
        <v>0.28</v>
      </c>
      <c r="Y300" s="109" t="n">
        <v>0</v>
      </c>
      <c r="Z300" s="109" t="n">
        <v>4.48</v>
      </c>
      <c r="AA300" s="109" t="n">
        <v>-0.01</v>
      </c>
      <c r="AB300" s="109" t="n">
        <v>0.1</v>
      </c>
      <c r="AC300" s="108" t="n">
        <v>-0.06</v>
      </c>
      <c r="AD300" s="108" t="n">
        <v>-0.06</v>
      </c>
      <c r="AE300" s="111" t="inlineStr">
        <is>
          <t>N/A</t>
        </is>
      </c>
      <c r="AF300" s="108" t="n">
        <v>-0.05</v>
      </c>
      <c r="AG300" s="108" t="n">
        <v>0.07000000000000001</v>
      </c>
      <c r="AH300" s="108" t="n">
        <v>1.04</v>
      </c>
      <c r="AI300" s="108" t="n">
        <v>0.41</v>
      </c>
      <c r="AJ300" s="111" t="inlineStr">
        <is>
          <t>N/A</t>
        </is>
      </c>
      <c r="AK300" s="111" t="inlineStr">
        <is>
          <t>N/A</t>
        </is>
      </c>
      <c r="AL300" s="111" t="inlineStr">
        <is>
          <t>N/A</t>
        </is>
      </c>
      <c r="AM300" s="108" t="n">
        <v>-0.05</v>
      </c>
      <c r="AN300" s="108" t="n">
        <v>0.07000000000000001</v>
      </c>
      <c r="AO300" s="108" t="n">
        <v>1.04</v>
      </c>
      <c r="AP300" s="108" t="n">
        <v>0.41</v>
      </c>
      <c r="AQ300" s="111" t="inlineStr">
        <is>
          <t>N/A</t>
        </is>
      </c>
      <c r="AR300" s="111" t="inlineStr">
        <is>
          <t>N/A</t>
        </is>
      </c>
      <c r="AS300" s="111" t="inlineStr">
        <is>
          <t>N/A</t>
        </is>
      </c>
      <c r="AT300" s="108" t="n">
        <v>-0.05</v>
      </c>
      <c r="AU300" s="108" t="n">
        <v>0.07000000000000001</v>
      </c>
      <c r="AV300" s="108" t="n">
        <v>1.04</v>
      </c>
      <c r="AW300" s="111" t="inlineStr">
        <is>
          <t>N/A</t>
        </is>
      </c>
      <c r="AX300" s="111" t="inlineStr">
        <is>
          <t>N/A</t>
        </is>
      </c>
      <c r="AY300" s="111" t="inlineStr">
        <is>
          <t>N/A</t>
        </is>
      </c>
      <c r="AZ300" s="108" t="n">
        <v>0.07000000000000001</v>
      </c>
      <c r="BA300" s="111" t="inlineStr">
        <is>
          <t>N/A</t>
        </is>
      </c>
      <c r="BB300" s="108" t="n">
        <v>0.41</v>
      </c>
      <c r="BC300" s="111" t="inlineStr">
        <is>
          <t>N/A</t>
        </is>
      </c>
      <c r="BD300" s="111" t="inlineStr">
        <is>
          <t>N/A</t>
        </is>
      </c>
      <c r="BE300" s="108" t="n">
        <v>0.06</v>
      </c>
      <c r="BF300" s="108" t="n">
        <v>0.48</v>
      </c>
      <c r="BG300" s="111" t="inlineStr">
        <is>
          <t>N/A</t>
        </is>
      </c>
      <c r="BH300" s="111" t="inlineStr">
        <is>
          <t>N/A</t>
        </is>
      </c>
      <c r="BI300" s="111" t="inlineStr">
        <is>
          <t>N/A</t>
        </is>
      </c>
      <c r="BJ300" s="111" t="inlineStr">
        <is>
          <t>N/A</t>
        </is>
      </c>
      <c r="BK300" s="107" t="n">
        <v>1</v>
      </c>
      <c r="BL300" s="107" t="n">
        <v>1</v>
      </c>
      <c r="BM300" s="107" t="n">
        <v>1</v>
      </c>
      <c r="BN300" s="107" t="n">
        <v>1</v>
      </c>
      <c r="BO300" s="107" t="n">
        <v>0</v>
      </c>
      <c r="BP300" s="107" t="n">
        <v>0</v>
      </c>
      <c r="BQ300" s="107" t="n">
        <v>1</v>
      </c>
      <c r="BR300" s="107" t="n">
        <v>0</v>
      </c>
      <c r="BS300" s="107" t="n">
        <v>0</v>
      </c>
      <c r="BT300" s="107" t="n">
        <v>5</v>
      </c>
      <c r="BU300" s="107" t="inlineStr">
        <is>
          <t>Mixed</t>
        </is>
      </c>
      <c r="BV300" s="111" t="inlineStr">
        <is>
          <t>N/A</t>
        </is>
      </c>
      <c r="BW300" s="111" t="inlineStr">
        <is>
          <t>N/A</t>
        </is>
      </c>
      <c r="BX300" s="108" t="n">
        <v>1.13</v>
      </c>
      <c r="BY300" s="108" t="n">
        <v>0.99</v>
      </c>
      <c r="BZ300" s="108" t="n">
        <v>0.9399999999999999</v>
      </c>
      <c r="CA300" s="108" t="n">
        <v>1.02</v>
      </c>
      <c r="CB300" s="108" t="n">
        <v>1.01</v>
      </c>
      <c r="CC300" s="108" t="n">
        <v>-0.06</v>
      </c>
      <c r="CD300" s="111" t="inlineStr">
        <is>
          <t>N/A</t>
        </is>
      </c>
      <c r="CE300" s="111" t="inlineStr">
        <is>
          <t>N/A</t>
        </is>
      </c>
      <c r="CF300" s="108" t="n">
        <v>0.31</v>
      </c>
      <c r="CG300" s="108" t="n">
        <v>44.04</v>
      </c>
      <c r="CH300" s="107" t="n">
        <v>0</v>
      </c>
      <c r="CI300" s="107" t="inlineStr">
        <is>
          <t>CLEAR</t>
        </is>
      </c>
    </row>
    <row r="301" ht="17" customHeight="1">
      <c r="A301" s="103" t="inlineStr">
        <is>
          <t>INTU</t>
        </is>
      </c>
      <c r="B301" s="103" t="inlineStr">
        <is>
          <t>INTUIT INC.</t>
        </is>
      </c>
      <c r="C301" s="104" t="n">
        <v>3737000000</v>
      </c>
      <c r="D301" s="105" t="n">
        <v>0.26</v>
      </c>
      <c r="E301" s="105" t="n">
        <v>0.26</v>
      </c>
      <c r="F301" s="105" t="n">
        <v>0.21</v>
      </c>
      <c r="G301" s="105" t="n">
        <v>0.1</v>
      </c>
      <c r="H301" s="105" t="n">
        <v>0.09</v>
      </c>
      <c r="I301" s="105" t="n">
        <v>0.2</v>
      </c>
      <c r="J301" s="105" t="n">
        <v>0.19</v>
      </c>
      <c r="K301" s="105" t="n">
        <v>0.98</v>
      </c>
      <c r="L301" s="105" t="n">
        <v>0.97</v>
      </c>
      <c r="M301" s="105" t="n">
        <v>0.51</v>
      </c>
      <c r="N301" s="104" t="n">
        <v>0.51</v>
      </c>
      <c r="O301" s="104" t="n">
        <v>1.36</v>
      </c>
      <c r="P301" s="104" t="n">
        <v>1.29</v>
      </c>
      <c r="Q301" s="104" t="n">
        <v>1.36</v>
      </c>
      <c r="R301" s="104" t="n">
        <v>0.28</v>
      </c>
      <c r="S301" s="104" t="n">
        <v>0.47</v>
      </c>
      <c r="T301" s="104" t="n">
        <v>0.43</v>
      </c>
      <c r="U301" s="104" t="n">
        <v>0.3</v>
      </c>
      <c r="V301" s="104" t="n">
        <v>0.16</v>
      </c>
      <c r="W301" s="104" t="n">
        <v>1.6</v>
      </c>
      <c r="X301" s="105" t="n">
        <v>0.33</v>
      </c>
      <c r="Y301" s="105" t="n">
        <v>0.16</v>
      </c>
      <c r="Z301" s="105" t="n">
        <v>19.93</v>
      </c>
      <c r="AA301" s="105" t="n">
        <v>0.16</v>
      </c>
      <c r="AB301" s="105" t="n">
        <v>0.31</v>
      </c>
      <c r="AC301" s="104" t="n">
        <v>-0.06</v>
      </c>
      <c r="AD301" s="104" t="n">
        <v>-0.06</v>
      </c>
      <c r="AE301" s="104" t="n">
        <v>0.1</v>
      </c>
      <c r="AF301" s="104" t="n">
        <v>0.53</v>
      </c>
      <c r="AG301" s="104" t="n">
        <v>0.13</v>
      </c>
      <c r="AH301" s="104" t="n">
        <v>1.14</v>
      </c>
      <c r="AI301" s="104" t="n">
        <v>0.51</v>
      </c>
      <c r="AJ301" s="104" t="n">
        <v>2.5</v>
      </c>
      <c r="AK301" s="106" t="inlineStr">
        <is>
          <t>Grey</t>
        </is>
      </c>
      <c r="AL301" s="104" t="n">
        <v>0.1</v>
      </c>
      <c r="AM301" s="104" t="n">
        <v>0.53</v>
      </c>
      <c r="AN301" s="104" t="n">
        <v>0.13</v>
      </c>
      <c r="AO301" s="104" t="n">
        <v>1.14</v>
      </c>
      <c r="AP301" s="104" t="n">
        <v>0.51</v>
      </c>
      <c r="AQ301" s="103" t="n">
        <v>1.93</v>
      </c>
      <c r="AR301" s="103" t="inlineStr">
        <is>
          <t>Grey</t>
        </is>
      </c>
      <c r="AS301" s="104" t="n">
        <v>0.1</v>
      </c>
      <c r="AT301" s="104" t="n">
        <v>0.53</v>
      </c>
      <c r="AU301" s="104" t="n">
        <v>0.13</v>
      </c>
      <c r="AV301" s="104" t="n">
        <v>1.14</v>
      </c>
      <c r="AW301" s="103" t="n">
        <v>4.49</v>
      </c>
      <c r="AX301" s="103" t="inlineStr">
        <is>
          <t>Safe</t>
        </is>
      </c>
      <c r="AY301" s="104" t="n">
        <v>0.1</v>
      </c>
      <c r="AZ301" s="104" t="n">
        <v>0.13</v>
      </c>
      <c r="BA301" s="104" t="n">
        <v>0.47</v>
      </c>
      <c r="BB301" s="104" t="n">
        <v>0.51</v>
      </c>
      <c r="BC301" s="103" t="n">
        <v>1.02</v>
      </c>
      <c r="BD301" s="103" t="inlineStr">
        <is>
          <t>Healthy</t>
        </is>
      </c>
      <c r="BE301" s="104" t="n">
        <v>0.1</v>
      </c>
      <c r="BF301" s="104" t="n">
        <v>0.47</v>
      </c>
      <c r="BG301" s="104" t="n">
        <v>1.36</v>
      </c>
      <c r="BH301" s="104" t="n">
        <v>-2.15</v>
      </c>
      <c r="BI301" s="103" t="n">
        <v>0.1</v>
      </c>
      <c r="BJ301" s="103" t="inlineStr">
        <is>
          <t>Healthy</t>
        </is>
      </c>
      <c r="BK301" s="103" t="n">
        <v>1</v>
      </c>
      <c r="BL301" s="103" t="n">
        <v>1</v>
      </c>
      <c r="BM301" s="103" t="n">
        <v>1</v>
      </c>
      <c r="BN301" s="103" t="n">
        <v>1</v>
      </c>
      <c r="BO301" s="103" t="n">
        <v>1</v>
      </c>
      <c r="BP301" s="103" t="n">
        <v>1</v>
      </c>
      <c r="BQ301" s="103" t="n">
        <v>1</v>
      </c>
      <c r="BR301" s="103" t="n">
        <v>1</v>
      </c>
      <c r="BS301" s="103" t="n">
        <v>1</v>
      </c>
      <c r="BT301" s="103" t="n">
        <v>9</v>
      </c>
      <c r="BU301" s="103" t="inlineStr">
        <is>
          <t>Strong</t>
        </is>
      </c>
      <c r="BV301" s="104" t="n">
        <v>1</v>
      </c>
      <c r="BW301" s="104" t="n">
        <v>0.99</v>
      </c>
      <c r="BX301" s="104" t="n">
        <v>0.89</v>
      </c>
      <c r="BY301" s="104" t="n">
        <v>1.16</v>
      </c>
      <c r="BZ301" s="104" t="n">
        <v>0.9</v>
      </c>
      <c r="CA301" s="104" t="n">
        <v>0.98</v>
      </c>
      <c r="CB301" s="104" t="n">
        <v>1.09</v>
      </c>
      <c r="CC301" s="104" t="n">
        <v>-0.06</v>
      </c>
      <c r="CD301" s="103" t="n">
        <v>-2.72</v>
      </c>
      <c r="CE301" s="103" t="inlineStr">
        <is>
          <t>Lower Risk</t>
        </is>
      </c>
      <c r="CF301" s="104" t="n">
        <v>0.61</v>
      </c>
      <c r="CG301" s="104" t="n">
        <v>66.44</v>
      </c>
      <c r="CH301" s="103" t="n">
        <v>0</v>
      </c>
      <c r="CI301" s="103" t="inlineStr">
        <is>
          <t>CLEAR</t>
        </is>
      </c>
    </row>
    <row r="302" ht="17" customHeight="1">
      <c r="A302" s="107" t="inlineStr">
        <is>
          <t>TGTX</t>
        </is>
      </c>
      <c r="B302" s="107" t="inlineStr">
        <is>
          <t>TG THERAPEUTICS, INC.</t>
        </is>
      </c>
      <c r="C302" s="108" t="n">
        <v>477004000</v>
      </c>
      <c r="D302" s="109" t="n">
        <v>44.28</v>
      </c>
      <c r="E302" s="109" t="n">
        <v>38.56</v>
      </c>
      <c r="F302" s="109" t="n">
        <v>160.57</v>
      </c>
      <c r="G302" s="109" t="n">
        <v>0.42</v>
      </c>
      <c r="H302" s="109" t="n">
        <v>0.04</v>
      </c>
      <c r="I302" s="109" t="n">
        <v>0.6899999999999999</v>
      </c>
      <c r="J302" s="109" t="n">
        <v>0.14</v>
      </c>
      <c r="K302" s="109" t="n">
        <v>-35.16</v>
      </c>
      <c r="L302" s="109" t="n">
        <v>-4.75</v>
      </c>
      <c r="M302" s="109" t="n">
        <v>0</v>
      </c>
      <c r="N302" s="108" t="n">
        <v>0.01</v>
      </c>
      <c r="O302" s="108" t="n">
        <v>4.1</v>
      </c>
      <c r="P302" s="108" t="n">
        <v>6.25</v>
      </c>
      <c r="Q302" s="108" t="n">
        <v>3.29</v>
      </c>
      <c r="R302" s="108" t="n">
        <v>0.51</v>
      </c>
      <c r="S302" s="108" t="n">
        <v>0.39</v>
      </c>
      <c r="T302" s="108" t="n">
        <v>0.62</v>
      </c>
      <c r="U302" s="108" t="n">
        <v>0.16</v>
      </c>
      <c r="V302" s="108" t="n">
        <v>0.03</v>
      </c>
      <c r="W302" s="108" t="n">
        <v>-0.06</v>
      </c>
      <c r="X302" s="109" t="n">
        <v>-8.970000000000001</v>
      </c>
      <c r="Y302" s="109" t="n">
        <v>57.53</v>
      </c>
      <c r="Z302" s="109" t="n">
        <v>9.779999999999999</v>
      </c>
      <c r="AA302" s="109" t="n">
        <v>-0.58</v>
      </c>
      <c r="AB302" s="109" t="n">
        <v>18.12</v>
      </c>
      <c r="AC302" s="108" t="n">
        <v>0.44</v>
      </c>
      <c r="AD302" s="108" t="n">
        <v>0.44</v>
      </c>
      <c r="AE302" s="108" t="n">
        <v>0.45</v>
      </c>
      <c r="AF302" s="108" t="n">
        <v>-1.02</v>
      </c>
      <c r="AG302" s="108" t="n">
        <v>0.12</v>
      </c>
      <c r="AH302" s="108" t="n">
        <v>1.56</v>
      </c>
      <c r="AI302" s="108" t="n">
        <v>0</v>
      </c>
      <c r="AJ302" s="108" t="n">
        <v>0.44</v>
      </c>
      <c r="AK302" s="112" t="inlineStr">
        <is>
          <t>Distress</t>
        </is>
      </c>
      <c r="AL302" s="108" t="n">
        <v>0.45</v>
      </c>
      <c r="AM302" s="108" t="n">
        <v>-1.02</v>
      </c>
      <c r="AN302" s="108" t="n">
        <v>0.12</v>
      </c>
      <c r="AO302" s="108" t="n">
        <v>1.56</v>
      </c>
      <c r="AP302" s="108" t="n">
        <v>0</v>
      </c>
      <c r="AQ302" s="107" t="n">
        <v>0.48</v>
      </c>
      <c r="AR302" s="107" t="inlineStr">
        <is>
          <t>Distress</t>
        </is>
      </c>
      <c r="AS302" s="108" t="n">
        <v>0.45</v>
      </c>
      <c r="AT302" s="108" t="n">
        <v>-1.02</v>
      </c>
      <c r="AU302" s="108" t="n">
        <v>0.12</v>
      </c>
      <c r="AV302" s="108" t="n">
        <v>1.56</v>
      </c>
      <c r="AW302" s="107" t="n">
        <v>2.04</v>
      </c>
      <c r="AX302" s="107" t="inlineStr">
        <is>
          <t>Grey</t>
        </is>
      </c>
      <c r="AY302" s="108" t="n">
        <v>0.45</v>
      </c>
      <c r="AZ302" s="108" t="n">
        <v>0.12</v>
      </c>
      <c r="BA302" s="108" t="n">
        <v>0.7</v>
      </c>
      <c r="BB302" s="108" t="n">
        <v>0</v>
      </c>
      <c r="BC302" s="107" t="n">
        <v>1.28</v>
      </c>
      <c r="BD302" s="107" t="inlineStr">
        <is>
          <t>Healthy</t>
        </is>
      </c>
      <c r="BE302" s="108" t="n">
        <v>0.42</v>
      </c>
      <c r="BF302" s="108" t="n">
        <v>0.39</v>
      </c>
      <c r="BG302" s="108" t="n">
        <v>4.1</v>
      </c>
      <c r="BH302" s="108" t="n">
        <v>-4</v>
      </c>
      <c r="BI302" s="107" t="n">
        <v>0.02</v>
      </c>
      <c r="BJ302" s="107" t="inlineStr">
        <is>
          <t>Healthy</t>
        </is>
      </c>
      <c r="BK302" s="107" t="n">
        <v>1</v>
      </c>
      <c r="BL302" s="107" t="n">
        <v>0</v>
      </c>
      <c r="BM302" s="107" t="n">
        <v>1</v>
      </c>
      <c r="BN302" s="107" t="n">
        <v>0</v>
      </c>
      <c r="BO302" s="107" t="n">
        <v>1</v>
      </c>
      <c r="BP302" s="107" t="n">
        <v>0</v>
      </c>
      <c r="BQ302" s="107" t="n">
        <v>1</v>
      </c>
      <c r="BR302" s="107" t="n">
        <v>0</v>
      </c>
      <c r="BS302" s="107" t="n">
        <v>0</v>
      </c>
      <c r="BT302" s="107" t="n">
        <v>4</v>
      </c>
      <c r="BU302" s="107" t="inlineStr">
        <is>
          <t>Mixed</t>
        </is>
      </c>
      <c r="BV302" s="108" t="n">
        <v>5.68</v>
      </c>
      <c r="BW302" s="108" t="n">
        <v>0.14</v>
      </c>
      <c r="BX302" s="108" t="n">
        <v>21.31</v>
      </c>
      <c r="BY302" s="108" t="n">
        <v>0.42</v>
      </c>
      <c r="BZ302" s="108" t="n">
        <v>0.47</v>
      </c>
      <c r="CA302" s="108" t="n">
        <v>3.61</v>
      </c>
      <c r="CB302" s="108" t="n">
        <v>0.63</v>
      </c>
      <c r="CC302" s="108" t="n">
        <v>0.44</v>
      </c>
      <c r="CD302" s="107" t="n">
        <v>10.74</v>
      </c>
      <c r="CE302" s="107" t="inlineStr">
        <is>
          <t>Higher Risk</t>
        </is>
      </c>
      <c r="CF302" s="108" t="n">
        <v>0.18</v>
      </c>
      <c r="CG302" s="108" t="n">
        <v>37.39</v>
      </c>
      <c r="CH302" s="112" t="n">
        <v>60</v>
      </c>
      <c r="CI302" s="107" t="inlineStr">
        <is>
          <t>RED FLAG</t>
        </is>
      </c>
    </row>
    <row r="303" ht="17" customHeight="1">
      <c r="A303" s="103" t="inlineStr">
        <is>
          <t>DY</t>
        </is>
      </c>
      <c r="B303" s="103" t="inlineStr">
        <is>
          <t>DYCOM INDUSTRIES, INC.</t>
        </is>
      </c>
      <c r="C303" s="104" t="n">
        <v>1749995000</v>
      </c>
      <c r="D303" s="105" t="n">
        <v>0.47</v>
      </c>
      <c r="E303" s="105" t="n">
        <v>0.47</v>
      </c>
      <c r="F303" s="105" t="n">
        <v>0.36</v>
      </c>
      <c r="G303" s="105" t="n">
        <v>0.05</v>
      </c>
      <c r="H303" s="105" t="n">
        <v>0.08</v>
      </c>
      <c r="I303" s="105" t="n">
        <v>0.15</v>
      </c>
      <c r="J303" s="105" t="n">
        <v>0.07000000000000001</v>
      </c>
      <c r="K303" s="105" t="n">
        <v>0.2</v>
      </c>
      <c r="L303" s="105" t="n">
        <v>0.38</v>
      </c>
      <c r="M303" s="105" t="n">
        <v>0.13</v>
      </c>
      <c r="N303" s="104" t="n">
        <v>0.23</v>
      </c>
      <c r="O303" s="104" t="n">
        <v>2.74</v>
      </c>
      <c r="P303" s="104" t="n">
        <v>2.89</v>
      </c>
      <c r="Q303" s="104" t="n">
        <v>2.61</v>
      </c>
      <c r="R303" s="104" t="n">
        <v>0.7</v>
      </c>
      <c r="S303" s="104" t="n">
        <v>0.6899999999999999</v>
      </c>
      <c r="T303" s="104" t="n">
        <v>0.58</v>
      </c>
      <c r="U303" s="104" t="n">
        <v>0.1</v>
      </c>
      <c r="V303" s="104" t="n">
        <v>-0.28</v>
      </c>
      <c r="W303" s="104" t="n">
        <v>2.28</v>
      </c>
      <c r="X303" s="105" t="n">
        <v>0.51</v>
      </c>
      <c r="Y303" s="105" t="n">
        <v>0</v>
      </c>
      <c r="Z303" s="105" t="n">
        <v>22.29</v>
      </c>
      <c r="AA303" s="105" t="n">
        <v>0.19</v>
      </c>
      <c r="AB303" s="105" t="n">
        <v>0.2</v>
      </c>
      <c r="AC303" s="104" t="n">
        <v>-0.06</v>
      </c>
      <c r="AD303" s="104" t="n">
        <v>-0.06</v>
      </c>
      <c r="AE303" s="104" t="n">
        <v>0.29</v>
      </c>
      <c r="AF303" s="104" t="n">
        <v>0.25</v>
      </c>
      <c r="AG303" s="104" t="n">
        <v>0.06</v>
      </c>
      <c r="AH303" s="104" t="n">
        <v>0.45</v>
      </c>
      <c r="AI303" s="104" t="n">
        <v>0.13</v>
      </c>
      <c r="AJ303" s="104" t="n">
        <v>1.3</v>
      </c>
      <c r="AK303" s="112" t="inlineStr">
        <is>
          <t>Distress</t>
        </is>
      </c>
      <c r="AL303" s="104" t="n">
        <v>0.29</v>
      </c>
      <c r="AM303" s="104" t="n">
        <v>0.25</v>
      </c>
      <c r="AN303" s="104" t="n">
        <v>0.06</v>
      </c>
      <c r="AO303" s="104" t="n">
        <v>0.45</v>
      </c>
      <c r="AP303" s="104" t="n">
        <v>0.13</v>
      </c>
      <c r="AQ303" s="103" t="n">
        <v>0.93</v>
      </c>
      <c r="AR303" s="103" t="inlineStr">
        <is>
          <t>Distress</t>
        </is>
      </c>
      <c r="AS303" s="104" t="n">
        <v>0.29</v>
      </c>
      <c r="AT303" s="104" t="n">
        <v>0.25</v>
      </c>
      <c r="AU303" s="104" t="n">
        <v>0.06</v>
      </c>
      <c r="AV303" s="104" t="n">
        <v>0.45</v>
      </c>
      <c r="AW303" s="103" t="n">
        <v>3.61</v>
      </c>
      <c r="AX303" s="103" t="inlineStr">
        <is>
          <t>Safe</t>
        </is>
      </c>
      <c r="AY303" s="104" t="n">
        <v>0.29</v>
      </c>
      <c r="AZ303" s="104" t="n">
        <v>0.06</v>
      </c>
      <c r="BA303" s="104" t="n">
        <v>0.37</v>
      </c>
      <c r="BB303" s="104" t="n">
        <v>0.13</v>
      </c>
      <c r="BC303" s="103" t="n">
        <v>0.78</v>
      </c>
      <c r="BD303" s="103" t="inlineStr">
        <is>
          <t>Distress</t>
        </is>
      </c>
      <c r="BE303" s="104" t="n">
        <v>0.05</v>
      </c>
      <c r="BF303" s="104" t="n">
        <v>0.6899999999999999</v>
      </c>
      <c r="BG303" s="104" t="n">
        <v>2.74</v>
      </c>
      <c r="BH303" s="104" t="n">
        <v>-0.62</v>
      </c>
      <c r="BI303" s="103" t="n">
        <v>0.35</v>
      </c>
      <c r="BJ303" s="103" t="inlineStr">
        <is>
          <t>Healthy</t>
        </is>
      </c>
      <c r="BK303" s="103" t="n">
        <v>1</v>
      </c>
      <c r="BL303" s="103" t="n">
        <v>1</v>
      </c>
      <c r="BM303" s="103" t="n">
        <v>0</v>
      </c>
      <c r="BN303" s="103" t="n">
        <v>1</v>
      </c>
      <c r="BO303" s="103" t="n">
        <v>1</v>
      </c>
      <c r="BP303" s="103" t="n">
        <v>0</v>
      </c>
      <c r="BQ303" s="103" t="n">
        <v>0</v>
      </c>
      <c r="BR303" s="103" t="n">
        <v>0</v>
      </c>
      <c r="BS303" s="103" t="n">
        <v>0</v>
      </c>
      <c r="BT303" s="103" t="n">
        <v>4</v>
      </c>
      <c r="BU303" s="103" t="inlineStr">
        <is>
          <t>Mixed</t>
        </is>
      </c>
      <c r="BV303" s="104" t="n">
        <v>1.04</v>
      </c>
      <c r="BW303" s="104" t="n">
        <v>1.84</v>
      </c>
      <c r="BX303" s="104" t="n">
        <v>1.84</v>
      </c>
      <c r="BY303" s="104" t="n">
        <v>1.19</v>
      </c>
      <c r="BZ303" s="104" t="n">
        <v>0.84</v>
      </c>
      <c r="CA303" s="104" t="n">
        <v>0.95</v>
      </c>
      <c r="CB303" s="104" t="n">
        <v>1.19</v>
      </c>
      <c r="CC303" s="104" t="n">
        <v>-0.06</v>
      </c>
      <c r="CD303" s="103" t="n">
        <v>-1.85</v>
      </c>
      <c r="CE303" s="103" t="inlineStr">
        <is>
          <t>Higher Risk</t>
        </is>
      </c>
      <c r="CF303" s="104" t="n">
        <v>-0.8100000000000001</v>
      </c>
      <c r="CG303" s="104" t="n">
        <v>37.31</v>
      </c>
      <c r="CH303" s="103" t="n">
        <v>20</v>
      </c>
      <c r="CI303" s="103" t="inlineStr">
        <is>
          <t>CLEAR</t>
        </is>
      </c>
    </row>
    <row r="304" ht="17" customHeight="1">
      <c r="A304" s="107" t="inlineStr">
        <is>
          <t>EIX</t>
        </is>
      </c>
      <c r="B304" s="107" t="inlineStr">
        <is>
          <t>EDISON INTERNATIONAL</t>
        </is>
      </c>
      <c r="C304" s="108" t="n">
        <v>-2850000000</v>
      </c>
      <c r="D304" s="109" t="n">
        <v>0.37</v>
      </c>
      <c r="E304" s="109" t="n">
        <v>0.31</v>
      </c>
      <c r="F304" s="109" t="n">
        <v>0.23</v>
      </c>
      <c r="G304" s="109" t="n">
        <v>0.05</v>
      </c>
      <c r="H304" s="109" t="n">
        <v>0.02</v>
      </c>
      <c r="I304" s="109" t="n">
        <v>0.25</v>
      </c>
      <c r="J304" s="109" t="n">
        <v>0.08</v>
      </c>
      <c r="K304" s="111" t="inlineStr">
        <is>
          <t>N/A</t>
        </is>
      </c>
      <c r="L304" s="111" t="inlineStr">
        <is>
          <t>N/A</t>
        </is>
      </c>
      <c r="M304" s="109" t="n">
        <v>0.21</v>
      </c>
      <c r="N304" s="108" t="n">
        <v>0.21</v>
      </c>
      <c r="O304" s="108" t="n">
        <v>0.73</v>
      </c>
      <c r="P304" s="108" t="n">
        <v>0.85</v>
      </c>
      <c r="Q304" s="108" t="n">
        <v>0.68</v>
      </c>
      <c r="R304" s="108" t="n">
        <v>0.01</v>
      </c>
      <c r="S304" s="108" t="n">
        <v>0.8</v>
      </c>
      <c r="T304" s="108" t="n">
        <v>0.79</v>
      </c>
      <c r="U304" s="108" t="n">
        <v>2.3</v>
      </c>
      <c r="V304" s="108" t="n">
        <v>2.29</v>
      </c>
      <c r="W304" s="108" t="n">
        <v>1.3</v>
      </c>
      <c r="X304" s="109" t="n">
        <v>-0.04</v>
      </c>
      <c r="Y304" s="109" t="n">
        <v>0</v>
      </c>
      <c r="Z304" s="109" t="n">
        <v>4.4</v>
      </c>
      <c r="AA304" s="109" t="n">
        <v>0.1</v>
      </c>
      <c r="AB304" s="109" t="n">
        <v>2.47</v>
      </c>
      <c r="AC304" s="108" t="n">
        <v>-0.01</v>
      </c>
      <c r="AD304" s="108" t="n">
        <v>-0.01</v>
      </c>
      <c r="AE304" s="108" t="n">
        <v>-0.03</v>
      </c>
      <c r="AF304" s="108" t="n">
        <v>0.11</v>
      </c>
      <c r="AG304" s="108" t="n">
        <v>0.08</v>
      </c>
      <c r="AH304" s="108" t="n">
        <v>0.24</v>
      </c>
      <c r="AI304" s="108" t="n">
        <v>0.21</v>
      </c>
      <c r="AJ304" s="108" t="n">
        <v>0.72</v>
      </c>
      <c r="AK304" s="112" t="inlineStr">
        <is>
          <t>Distress</t>
        </is>
      </c>
      <c r="AL304" s="108" t="n">
        <v>-0.03</v>
      </c>
      <c r="AM304" s="108" t="n">
        <v>0.11</v>
      </c>
      <c r="AN304" s="108" t="n">
        <v>0.08</v>
      </c>
      <c r="AO304" s="108" t="n">
        <v>0.24</v>
      </c>
      <c r="AP304" s="108" t="n">
        <v>0.21</v>
      </c>
      <c r="AQ304" s="107" t="n">
        <v>0.61</v>
      </c>
      <c r="AR304" s="107" t="inlineStr">
        <is>
          <t>Distress</t>
        </is>
      </c>
      <c r="AS304" s="108" t="n">
        <v>-0.03</v>
      </c>
      <c r="AT304" s="108" t="n">
        <v>0.11</v>
      </c>
      <c r="AU304" s="108" t="n">
        <v>0.08</v>
      </c>
      <c r="AV304" s="108" t="n">
        <v>0.24</v>
      </c>
      <c r="AW304" s="107" t="n">
        <v>0.93</v>
      </c>
      <c r="AX304" s="107" t="inlineStr">
        <is>
          <t>Distress</t>
        </is>
      </c>
      <c r="AY304" s="108" t="n">
        <v>-0.03</v>
      </c>
      <c r="AZ304" s="108" t="n">
        <v>0.08</v>
      </c>
      <c r="BA304" s="108" t="n">
        <v>0.57</v>
      </c>
      <c r="BB304" s="108" t="n">
        <v>0.21</v>
      </c>
      <c r="BC304" s="107" t="n">
        <v>0.66</v>
      </c>
      <c r="BD304" s="107" t="inlineStr">
        <is>
          <t>Distress</t>
        </is>
      </c>
      <c r="BE304" s="108" t="n">
        <v>0.05</v>
      </c>
      <c r="BF304" s="108" t="n">
        <v>0.8</v>
      </c>
      <c r="BG304" s="108" t="n">
        <v>0.73</v>
      </c>
      <c r="BH304" s="108" t="n">
        <v>-0.03</v>
      </c>
      <c r="BI304" s="107" t="n">
        <v>0.49</v>
      </c>
      <c r="BJ304" s="107" t="inlineStr">
        <is>
          <t>Healthy</t>
        </is>
      </c>
      <c r="BK304" s="107" t="n">
        <v>1</v>
      </c>
      <c r="BL304" s="107" t="n">
        <v>1</v>
      </c>
      <c r="BM304" s="107" t="n">
        <v>1</v>
      </c>
      <c r="BN304" s="107" t="n">
        <v>1</v>
      </c>
      <c r="BO304" s="107" t="n">
        <v>1</v>
      </c>
      <c r="BP304" s="107" t="n">
        <v>0</v>
      </c>
      <c r="BQ304" s="107" t="n">
        <v>0</v>
      </c>
      <c r="BR304" s="107" t="n">
        <v>0</v>
      </c>
      <c r="BS304" s="107" t="n">
        <v>0</v>
      </c>
      <c r="BT304" s="107" t="n">
        <v>5</v>
      </c>
      <c r="BU304" s="107" t="inlineStr">
        <is>
          <t>Mixed</t>
        </is>
      </c>
      <c r="BV304" s="108" t="n">
        <v>0.61</v>
      </c>
      <c r="BW304" s="111" t="inlineStr">
        <is>
          <t>N/A</t>
        </is>
      </c>
      <c r="BX304" s="108" t="n">
        <v>1.09</v>
      </c>
      <c r="BY304" s="108" t="n">
        <v>1.1</v>
      </c>
      <c r="BZ304" s="108" t="n">
        <v>0.97</v>
      </c>
      <c r="CA304" s="111" t="inlineStr">
        <is>
          <t>N/A</t>
        </is>
      </c>
      <c r="CB304" s="108" t="n">
        <v>1</v>
      </c>
      <c r="CC304" s="108" t="n">
        <v>-0.01</v>
      </c>
      <c r="CD304" s="111" t="inlineStr">
        <is>
          <t>N/A</t>
        </is>
      </c>
      <c r="CE304" s="111" t="inlineStr">
        <is>
          <t>N/A</t>
        </is>
      </c>
      <c r="CF304" s="108" t="n">
        <v>3.89</v>
      </c>
      <c r="CG304" s="108" t="n">
        <v>45.09</v>
      </c>
      <c r="CH304" s="107" t="n">
        <v>0</v>
      </c>
      <c r="CI304" s="107" t="inlineStr">
        <is>
          <t>CLEAR</t>
        </is>
      </c>
    </row>
    <row r="305" ht="17" customHeight="1">
      <c r="A305" s="103" t="inlineStr">
        <is>
          <t>LH</t>
        </is>
      </c>
      <c r="B305" s="103" t="inlineStr">
        <is>
          <t>LABCORP HOLDINGS INC.</t>
        </is>
      </c>
      <c r="C305" s="104" t="n">
        <v>1197000000</v>
      </c>
      <c r="D305" s="105" t="n">
        <v>0.1</v>
      </c>
      <c r="E305" s="105" t="n">
        <v>0.05</v>
      </c>
      <c r="F305" s="105" t="n">
        <v>0.06</v>
      </c>
      <c r="G305" s="105" t="n">
        <v>0.05</v>
      </c>
      <c r="H305" s="105" t="n">
        <v>0.04</v>
      </c>
      <c r="I305" s="105" t="n">
        <v>0.1</v>
      </c>
      <c r="J305" s="105" t="n">
        <v>0.09</v>
      </c>
      <c r="K305" s="105" t="n">
        <v>0.29</v>
      </c>
      <c r="L305" s="105" t="n">
        <v>0.28</v>
      </c>
      <c r="M305" s="105" t="n">
        <v>0.76</v>
      </c>
      <c r="N305" s="104" t="n">
        <v>0.71</v>
      </c>
      <c r="O305" s="104" t="n">
        <v>1.42</v>
      </c>
      <c r="P305" s="104" t="n">
        <v>1.44</v>
      </c>
      <c r="Q305" s="104" t="n">
        <v>1.23</v>
      </c>
      <c r="R305" s="104" t="n">
        <v>0.19</v>
      </c>
      <c r="S305" s="104" t="n">
        <v>0.53</v>
      </c>
      <c r="T305" s="104" t="n">
        <v>0.5600000000000001</v>
      </c>
      <c r="U305" s="104" t="n">
        <v>0.72</v>
      </c>
      <c r="V305" s="104" t="n">
        <v>0.66</v>
      </c>
      <c r="W305" s="104" t="n">
        <v>1.87</v>
      </c>
      <c r="X305" s="105" t="n">
        <v>0.09</v>
      </c>
      <c r="Y305" s="113" t="inlineStr">
        <is>
          <t>N/A</t>
        </is>
      </c>
      <c r="Z305" s="105" t="n">
        <v>6.18</v>
      </c>
      <c r="AA305" s="105" t="n">
        <v>0.07000000000000001</v>
      </c>
      <c r="AB305" s="105" t="n">
        <v>0.17</v>
      </c>
      <c r="AC305" s="104" t="n">
        <v>-0.04</v>
      </c>
      <c r="AD305" s="104" t="n">
        <v>-0.04</v>
      </c>
      <c r="AE305" s="104" t="n">
        <v>0.07000000000000001</v>
      </c>
      <c r="AF305" s="104" t="n">
        <v>0.47</v>
      </c>
      <c r="AG305" s="104" t="n">
        <v>0.08</v>
      </c>
      <c r="AH305" s="104" t="n">
        <v>0.88</v>
      </c>
      <c r="AI305" s="104" t="n">
        <v>0.76</v>
      </c>
      <c r="AJ305" s="104" t="n">
        <v>2.27</v>
      </c>
      <c r="AK305" s="106" t="inlineStr">
        <is>
          <t>Grey</t>
        </is>
      </c>
      <c r="AL305" s="104" t="n">
        <v>0.07000000000000001</v>
      </c>
      <c r="AM305" s="104" t="n">
        <v>0.47</v>
      </c>
      <c r="AN305" s="104" t="n">
        <v>0.08</v>
      </c>
      <c r="AO305" s="104" t="n">
        <v>0.88</v>
      </c>
      <c r="AP305" s="104" t="n">
        <v>0.76</v>
      </c>
      <c r="AQ305" s="103" t="n">
        <v>1.81</v>
      </c>
      <c r="AR305" s="103" t="inlineStr">
        <is>
          <t>Grey</t>
        </is>
      </c>
      <c r="AS305" s="104" t="n">
        <v>0.07000000000000001</v>
      </c>
      <c r="AT305" s="104" t="n">
        <v>0.47</v>
      </c>
      <c r="AU305" s="104" t="n">
        <v>0.08</v>
      </c>
      <c r="AV305" s="104" t="n">
        <v>0.88</v>
      </c>
      <c r="AW305" s="103" t="n">
        <v>3.39</v>
      </c>
      <c r="AX305" s="103" t="inlineStr">
        <is>
          <t>Safe</t>
        </is>
      </c>
      <c r="AY305" s="104" t="n">
        <v>0.07000000000000001</v>
      </c>
      <c r="AZ305" s="104" t="n">
        <v>0.08</v>
      </c>
      <c r="BA305" s="104" t="n">
        <v>0.26</v>
      </c>
      <c r="BB305" s="104" t="n">
        <v>0.76</v>
      </c>
      <c r="BC305" s="103" t="n">
        <v>0.77</v>
      </c>
      <c r="BD305" s="103" t="inlineStr">
        <is>
          <t>Distress</t>
        </is>
      </c>
      <c r="BE305" s="104" t="n">
        <v>0.05</v>
      </c>
      <c r="BF305" s="104" t="n">
        <v>0.53</v>
      </c>
      <c r="BG305" s="104" t="n">
        <v>1.42</v>
      </c>
      <c r="BH305" s="104" t="n">
        <v>-1.53</v>
      </c>
      <c r="BI305" s="103" t="n">
        <v>0.18</v>
      </c>
      <c r="BJ305" s="103" t="inlineStr">
        <is>
          <t>Healthy</t>
        </is>
      </c>
      <c r="BK305" s="103" t="n">
        <v>1</v>
      </c>
      <c r="BL305" s="103" t="n">
        <v>1</v>
      </c>
      <c r="BM305" s="103" t="n">
        <v>1</v>
      </c>
      <c r="BN305" s="103" t="n">
        <v>1</v>
      </c>
      <c r="BO305" s="103" t="n">
        <v>0</v>
      </c>
      <c r="BP305" s="103" t="n">
        <v>0</v>
      </c>
      <c r="BQ305" s="103" t="n">
        <v>1</v>
      </c>
      <c r="BR305" s="103" t="n">
        <v>1</v>
      </c>
      <c r="BS305" s="103" t="n">
        <v>1</v>
      </c>
      <c r="BT305" s="103" t="n">
        <v>7</v>
      </c>
      <c r="BU305" s="103" t="inlineStr">
        <is>
          <t>Strong</t>
        </is>
      </c>
      <c r="BV305" s="104" t="n">
        <v>1.01</v>
      </c>
      <c r="BW305" s="104" t="n">
        <v>0.97</v>
      </c>
      <c r="BX305" s="104" t="n">
        <v>1.07</v>
      </c>
      <c r="BY305" s="104" t="n">
        <v>1.07</v>
      </c>
      <c r="BZ305" s="104" t="n">
        <v>0.96</v>
      </c>
      <c r="CA305" s="104" t="n">
        <v>0.93</v>
      </c>
      <c r="CB305" s="104" t="n">
        <v>0.95</v>
      </c>
      <c r="CC305" s="104" t="n">
        <v>-0.04</v>
      </c>
      <c r="CD305" s="103" t="n">
        <v>-2.56</v>
      </c>
      <c r="CE305" s="103" t="inlineStr">
        <is>
          <t>Lower Risk</t>
        </is>
      </c>
      <c r="CF305" s="104" t="n">
        <v>2.75</v>
      </c>
      <c r="CG305" s="104" t="n">
        <v>57.86</v>
      </c>
      <c r="CH305" s="103" t="n">
        <v>0</v>
      </c>
      <c r="CI305" s="103" t="inlineStr">
        <is>
          <t>CLEAR</t>
        </is>
      </c>
    </row>
    <row r="306" ht="17" customHeight="1">
      <c r="A306" s="107" t="inlineStr">
        <is>
          <t>CW</t>
        </is>
      </c>
      <c r="B306" s="107" t="inlineStr">
        <is>
          <t>CURTISS-WRIGHT CORPORATION</t>
        </is>
      </c>
      <c r="C306" s="108" t="n">
        <v>612907000</v>
      </c>
      <c r="D306" s="109" t="n">
        <v>0.26</v>
      </c>
      <c r="E306" s="109" t="n">
        <v>0.26</v>
      </c>
      <c r="F306" s="109" t="n">
        <v>0.2</v>
      </c>
      <c r="G306" s="109" t="n">
        <v>0.09</v>
      </c>
      <c r="H306" s="109" t="n">
        <v>0.08</v>
      </c>
      <c r="I306" s="109" t="n">
        <v>0.19</v>
      </c>
      <c r="J306" s="109" t="n">
        <v>0.17</v>
      </c>
      <c r="K306" s="109" t="n">
        <v>0.54</v>
      </c>
      <c r="L306" s="109" t="n">
        <v>0.46</v>
      </c>
      <c r="M306" s="109" t="n">
        <v>0.46</v>
      </c>
      <c r="N306" s="108" t="n">
        <v>0.5</v>
      </c>
      <c r="O306" s="108" t="n">
        <v>1.44</v>
      </c>
      <c r="P306" s="108" t="n">
        <v>1.69</v>
      </c>
      <c r="Q306" s="108" t="n">
        <v>1</v>
      </c>
      <c r="R306" s="108" t="n">
        <v>0.12</v>
      </c>
      <c r="S306" s="108" t="n">
        <v>0.51</v>
      </c>
      <c r="T306" s="108" t="n">
        <v>0.51</v>
      </c>
      <c r="U306" s="108" t="n">
        <v>0.46</v>
      </c>
      <c r="V306" s="108" t="n">
        <v>0.39</v>
      </c>
      <c r="W306" s="108" t="n">
        <v>1.33</v>
      </c>
      <c r="X306" s="109" t="n">
        <v>0.23</v>
      </c>
      <c r="Y306" s="109" t="n">
        <v>0.04</v>
      </c>
      <c r="Z306" s="109" t="n">
        <v>12.33</v>
      </c>
      <c r="AA306" s="109" t="n">
        <v>-0.04</v>
      </c>
      <c r="AB306" s="109" t="n">
        <v>0.2</v>
      </c>
      <c r="AC306" s="108" t="n">
        <v>-0.03</v>
      </c>
      <c r="AD306" s="108" t="n">
        <v>-0.03</v>
      </c>
      <c r="AE306" s="108" t="n">
        <v>0.12</v>
      </c>
      <c r="AF306" s="108" t="n">
        <v>0.83</v>
      </c>
      <c r="AG306" s="108" t="n">
        <v>0.12</v>
      </c>
      <c r="AH306" s="108" t="n">
        <v>0.9399999999999999</v>
      </c>
      <c r="AI306" s="108" t="n">
        <v>0.46</v>
      </c>
      <c r="AJ306" s="108" t="n">
        <v>2.72</v>
      </c>
      <c r="AK306" s="106" t="inlineStr">
        <is>
          <t>Grey</t>
        </is>
      </c>
      <c r="AL306" s="108" t="n">
        <v>0.12</v>
      </c>
      <c r="AM306" s="108" t="n">
        <v>0.83</v>
      </c>
      <c r="AN306" s="108" t="n">
        <v>0.12</v>
      </c>
      <c r="AO306" s="108" t="n">
        <v>0.9399999999999999</v>
      </c>
      <c r="AP306" s="108" t="n">
        <v>0.46</v>
      </c>
      <c r="AQ306" s="107" t="n">
        <v>2.01</v>
      </c>
      <c r="AR306" s="107" t="inlineStr">
        <is>
          <t>Grey</t>
        </is>
      </c>
      <c r="AS306" s="108" t="n">
        <v>0.12</v>
      </c>
      <c r="AT306" s="108" t="n">
        <v>0.83</v>
      </c>
      <c r="AU306" s="108" t="n">
        <v>0.12</v>
      </c>
      <c r="AV306" s="108" t="n">
        <v>0.9399999999999999</v>
      </c>
      <c r="AW306" s="107" t="n">
        <v>5.27</v>
      </c>
      <c r="AX306" s="107" t="inlineStr">
        <is>
          <t>Safe</t>
        </is>
      </c>
      <c r="AY306" s="108" t="n">
        <v>0.12</v>
      </c>
      <c r="AZ306" s="108" t="n">
        <v>0.12</v>
      </c>
      <c r="BA306" s="108" t="n">
        <v>0.44</v>
      </c>
      <c r="BB306" s="108" t="n">
        <v>0.46</v>
      </c>
      <c r="BC306" s="107" t="n">
        <v>0.97</v>
      </c>
      <c r="BD306" s="107" t="inlineStr">
        <is>
          <t>Healthy</t>
        </is>
      </c>
      <c r="BE306" s="108" t="n">
        <v>0.09</v>
      </c>
      <c r="BF306" s="108" t="n">
        <v>0.51</v>
      </c>
      <c r="BG306" s="108" t="n">
        <v>1.44</v>
      </c>
      <c r="BH306" s="108" t="n">
        <v>-1.83</v>
      </c>
      <c r="BI306" s="107" t="n">
        <v>0.14</v>
      </c>
      <c r="BJ306" s="107" t="inlineStr">
        <is>
          <t>Healthy</t>
        </is>
      </c>
      <c r="BK306" s="107" t="n">
        <v>1</v>
      </c>
      <c r="BL306" s="107" t="n">
        <v>1</v>
      </c>
      <c r="BM306" s="107" t="n">
        <v>1</v>
      </c>
      <c r="BN306" s="107" t="n">
        <v>1</v>
      </c>
      <c r="BO306" s="107" t="n">
        <v>1</v>
      </c>
      <c r="BP306" s="107" t="n">
        <v>0</v>
      </c>
      <c r="BQ306" s="107" t="n">
        <v>1</v>
      </c>
      <c r="BR306" s="107" t="n">
        <v>1</v>
      </c>
      <c r="BS306" s="107" t="n">
        <v>0</v>
      </c>
      <c r="BT306" s="107" t="n">
        <v>7</v>
      </c>
      <c r="BU306" s="107" t="inlineStr">
        <is>
          <t>Strong</t>
        </is>
      </c>
      <c r="BV306" s="108" t="n">
        <v>1.16</v>
      </c>
      <c r="BW306" s="108" t="n">
        <v>0.85</v>
      </c>
      <c r="BX306" s="108" t="n">
        <v>0.96</v>
      </c>
      <c r="BY306" s="108" t="n">
        <v>0.96</v>
      </c>
      <c r="BZ306" s="108" t="n">
        <v>0.98</v>
      </c>
      <c r="CA306" s="108" t="n">
        <v>1.11</v>
      </c>
      <c r="CB306" s="108" t="n">
        <v>1.01</v>
      </c>
      <c r="CC306" s="108" t="n">
        <v>-0.03</v>
      </c>
      <c r="CD306" s="107" t="n">
        <v>-2.63</v>
      </c>
      <c r="CE306" s="107" t="inlineStr">
        <is>
          <t>Lower Risk</t>
        </is>
      </c>
      <c r="CF306" s="108" t="n">
        <v>1.3</v>
      </c>
      <c r="CG306" s="108" t="n">
        <v>58.68</v>
      </c>
      <c r="CH306" s="107" t="n">
        <v>0</v>
      </c>
      <c r="CI306" s="107" t="inlineStr">
        <is>
          <t>CLEAR</t>
        </is>
      </c>
    </row>
    <row r="307" ht="17" customHeight="1">
      <c r="A307" s="103" t="inlineStr">
        <is>
          <t>HIG</t>
        </is>
      </c>
      <c r="B307" s="103" t="inlineStr">
        <is>
          <t>The Hartford Insurance Group, Inc.</t>
        </is>
      </c>
      <c r="C307" s="113" t="inlineStr">
        <is>
          <t>N/A</t>
        </is>
      </c>
      <c r="D307" s="105" t="n">
        <v>0.08</v>
      </c>
      <c r="E307" s="105" t="n">
        <v>0.17</v>
      </c>
      <c r="F307" s="105" t="n">
        <v>0.14</v>
      </c>
      <c r="G307" s="105" t="n">
        <v>0.04</v>
      </c>
      <c r="H307" s="105" t="n">
        <v>0.04</v>
      </c>
      <c r="I307" s="105" t="n">
        <v>0.2</v>
      </c>
      <c r="J307" s="113" t="inlineStr">
        <is>
          <t>N/A</t>
        </is>
      </c>
      <c r="K307" s="105" t="n">
        <v>0.17</v>
      </c>
      <c r="L307" s="105" t="n">
        <v>0.15</v>
      </c>
      <c r="M307" s="105" t="n">
        <v>0.33</v>
      </c>
      <c r="N307" s="104" t="n">
        <v>0.33</v>
      </c>
      <c r="O307" s="113" t="inlineStr">
        <is>
          <t>N/A</t>
        </is>
      </c>
      <c r="P307" s="113" t="inlineStr">
        <is>
          <t>N/A</t>
        </is>
      </c>
      <c r="Q307" s="113" t="inlineStr">
        <is>
          <t>N/A</t>
        </is>
      </c>
      <c r="R307" s="113" t="inlineStr">
        <is>
          <t>N/A</t>
        </is>
      </c>
      <c r="S307" s="104" t="n">
        <v>0.78</v>
      </c>
      <c r="T307" s="104" t="n">
        <v>0.8</v>
      </c>
      <c r="U307" s="104" t="n">
        <v>0.23</v>
      </c>
      <c r="V307" s="104" t="n">
        <v>0.23</v>
      </c>
      <c r="W307" s="104" t="n">
        <v>1.54</v>
      </c>
      <c r="X307" s="105" t="n">
        <v>0.2</v>
      </c>
      <c r="Y307" s="105" t="n">
        <v>0</v>
      </c>
      <c r="Z307" s="105" t="n">
        <v>11.38</v>
      </c>
      <c r="AA307" s="105" t="n">
        <v>0.07000000000000001</v>
      </c>
      <c r="AB307" s="105" t="n">
        <v>0.23</v>
      </c>
      <c r="AC307" s="104" t="n">
        <v>-0.02</v>
      </c>
      <c r="AD307" s="104" t="n">
        <v>-0.02</v>
      </c>
      <c r="AE307" s="113" t="inlineStr">
        <is>
          <t>N/A</t>
        </is>
      </c>
      <c r="AF307" s="104" t="n">
        <v>0.29</v>
      </c>
      <c r="AG307" s="104" t="n">
        <v>0.03</v>
      </c>
      <c r="AH307" s="104" t="n">
        <v>0.28</v>
      </c>
      <c r="AI307" s="104" t="n">
        <v>0.33</v>
      </c>
      <c r="AJ307" s="113" t="inlineStr">
        <is>
          <t>N/A</t>
        </is>
      </c>
      <c r="AK307" s="113" t="inlineStr">
        <is>
          <t>N/A</t>
        </is>
      </c>
      <c r="AL307" s="113" t="inlineStr">
        <is>
          <t>N/A</t>
        </is>
      </c>
      <c r="AM307" s="104" t="n">
        <v>0.29</v>
      </c>
      <c r="AN307" s="104" t="n">
        <v>0.03</v>
      </c>
      <c r="AO307" s="104" t="n">
        <v>0.28</v>
      </c>
      <c r="AP307" s="104" t="n">
        <v>0.33</v>
      </c>
      <c r="AQ307" s="113" t="inlineStr">
        <is>
          <t>N/A</t>
        </is>
      </c>
      <c r="AR307" s="113" t="inlineStr">
        <is>
          <t>N/A</t>
        </is>
      </c>
      <c r="AS307" s="113" t="inlineStr">
        <is>
          <t>N/A</t>
        </is>
      </c>
      <c r="AT307" s="104" t="n">
        <v>0.29</v>
      </c>
      <c r="AU307" s="104" t="n">
        <v>0.03</v>
      </c>
      <c r="AV307" s="104" t="n">
        <v>0.28</v>
      </c>
      <c r="AW307" s="113" t="inlineStr">
        <is>
          <t>N/A</t>
        </is>
      </c>
      <c r="AX307" s="113" t="inlineStr">
        <is>
          <t>N/A</t>
        </is>
      </c>
      <c r="AY307" s="113" t="inlineStr">
        <is>
          <t>N/A</t>
        </is>
      </c>
      <c r="AZ307" s="104" t="n">
        <v>0.03</v>
      </c>
      <c r="BA307" s="113" t="inlineStr">
        <is>
          <t>N/A</t>
        </is>
      </c>
      <c r="BB307" s="104" t="n">
        <v>0.33</v>
      </c>
      <c r="BC307" s="113" t="inlineStr">
        <is>
          <t>N/A</t>
        </is>
      </c>
      <c r="BD307" s="113" t="inlineStr">
        <is>
          <t>N/A</t>
        </is>
      </c>
      <c r="BE307" s="104" t="n">
        <v>0.04</v>
      </c>
      <c r="BF307" s="104" t="n">
        <v>0.78</v>
      </c>
      <c r="BG307" s="113" t="inlineStr">
        <is>
          <t>N/A</t>
        </is>
      </c>
      <c r="BH307" s="113" t="inlineStr">
        <is>
          <t>N/A</t>
        </is>
      </c>
      <c r="BI307" s="113" t="inlineStr">
        <is>
          <t>N/A</t>
        </is>
      </c>
      <c r="BJ307" s="113" t="inlineStr">
        <is>
          <t>N/A</t>
        </is>
      </c>
      <c r="BK307" s="103" t="n">
        <v>1</v>
      </c>
      <c r="BL307" s="103" t="n">
        <v>1</v>
      </c>
      <c r="BM307" s="103" t="n">
        <v>1</v>
      </c>
      <c r="BN307" s="103" t="n">
        <v>1</v>
      </c>
      <c r="BO307" s="103" t="n">
        <v>1</v>
      </c>
      <c r="BP307" s="103" t="n">
        <v>0</v>
      </c>
      <c r="BQ307" s="103" t="n">
        <v>1</v>
      </c>
      <c r="BR307" s="103" t="n">
        <v>1</v>
      </c>
      <c r="BS307" s="103" t="n">
        <v>1</v>
      </c>
      <c r="BT307" s="103" t="n">
        <v>8</v>
      </c>
      <c r="BU307" s="103" t="inlineStr">
        <is>
          <t>Strong</t>
        </is>
      </c>
      <c r="BV307" s="113" t="inlineStr">
        <is>
          <t>N/A</t>
        </is>
      </c>
      <c r="BW307" s="104" t="n">
        <v>0.86</v>
      </c>
      <c r="BX307" s="104" t="n">
        <v>1</v>
      </c>
      <c r="BY307" s="104" t="n">
        <v>1.07</v>
      </c>
      <c r="BZ307" s="104" t="n">
        <v>0.99</v>
      </c>
      <c r="CA307" s="104" t="n">
        <v>0.99</v>
      </c>
      <c r="CB307" s="104" t="n">
        <v>0.98</v>
      </c>
      <c r="CC307" s="104" t="n">
        <v>-0.02</v>
      </c>
      <c r="CD307" s="113" t="inlineStr">
        <is>
          <t>N/A</t>
        </is>
      </c>
      <c r="CE307" s="113" t="inlineStr">
        <is>
          <t>N/A</t>
        </is>
      </c>
      <c r="CF307" s="104" t="n">
        <v>1.78</v>
      </c>
      <c r="CG307" s="104" t="n">
        <v>54.61</v>
      </c>
      <c r="CH307" s="103" t="n">
        <v>0</v>
      </c>
      <c r="CI307" s="103" t="inlineStr">
        <is>
          <t>CLEAR</t>
        </is>
      </c>
    </row>
    <row r="308" ht="17" customHeight="1">
      <c r="A308" s="107" t="inlineStr">
        <is>
          <t>BX</t>
        </is>
      </c>
      <c r="B308" s="107" t="inlineStr">
        <is>
          <t>Blackstone Inc.</t>
        </is>
      </c>
      <c r="C308" s="111" t="inlineStr">
        <is>
          <t>N/A</t>
        </is>
      </c>
      <c r="D308" s="109" t="n">
        <v>0.5</v>
      </c>
      <c r="E308" s="109" t="n">
        <v>0.5</v>
      </c>
      <c r="F308" s="109" t="n">
        <v>0.21</v>
      </c>
      <c r="G308" s="109" t="n">
        <v>0.06</v>
      </c>
      <c r="H308" s="109" t="n">
        <v>0.06</v>
      </c>
      <c r="I308" s="109" t="n">
        <v>0.35</v>
      </c>
      <c r="J308" s="111" t="inlineStr">
        <is>
          <t>N/A</t>
        </is>
      </c>
      <c r="K308" s="109" t="n">
        <v>0.74</v>
      </c>
      <c r="L308" s="109" t="n">
        <v>0.78</v>
      </c>
      <c r="M308" s="109" t="n">
        <v>0.3</v>
      </c>
      <c r="N308" s="108" t="n">
        <v>0.3</v>
      </c>
      <c r="O308" s="111" t="inlineStr">
        <is>
          <t>N/A</t>
        </is>
      </c>
      <c r="P308" s="111" t="inlineStr">
        <is>
          <t>N/A</t>
        </is>
      </c>
      <c r="Q308" s="111" t="inlineStr">
        <is>
          <t>N/A</t>
        </is>
      </c>
      <c r="R308" s="111" t="inlineStr">
        <is>
          <t>N/A</t>
        </is>
      </c>
      <c r="S308" s="108" t="n">
        <v>0.54</v>
      </c>
      <c r="T308" s="108" t="n">
        <v>0.55</v>
      </c>
      <c r="U308" s="108" t="n">
        <v>1.45</v>
      </c>
      <c r="V308" s="108" t="n">
        <v>1.15</v>
      </c>
      <c r="W308" s="108" t="n">
        <v>1.54</v>
      </c>
      <c r="X308" s="109" t="n">
        <v>0.31</v>
      </c>
      <c r="Y308" s="109" t="n">
        <v>0</v>
      </c>
      <c r="Z308" s="109" t="n">
        <v>14.11</v>
      </c>
      <c r="AA308" s="109" t="n">
        <v>0.09</v>
      </c>
      <c r="AB308" s="109" t="n">
        <v>0.09</v>
      </c>
      <c r="AC308" s="108" t="n">
        <v>-0.03</v>
      </c>
      <c r="AD308" s="108" t="n">
        <v>-0.03</v>
      </c>
      <c r="AE308" s="111" t="inlineStr">
        <is>
          <t>N/A</t>
        </is>
      </c>
      <c r="AF308" s="108" t="n">
        <v>0</v>
      </c>
      <c r="AG308" s="108" t="n">
        <v>0.15</v>
      </c>
      <c r="AH308" s="108" t="n">
        <v>0.34</v>
      </c>
      <c r="AI308" s="108" t="n">
        <v>0.3</v>
      </c>
      <c r="AJ308" s="111" t="inlineStr">
        <is>
          <t>N/A</t>
        </is>
      </c>
      <c r="AK308" s="111" t="inlineStr">
        <is>
          <t>N/A</t>
        </is>
      </c>
      <c r="AL308" s="111" t="inlineStr">
        <is>
          <t>N/A</t>
        </is>
      </c>
      <c r="AM308" s="108" t="n">
        <v>0</v>
      </c>
      <c r="AN308" s="108" t="n">
        <v>0.15</v>
      </c>
      <c r="AO308" s="108" t="n">
        <v>0.34</v>
      </c>
      <c r="AP308" s="108" t="n">
        <v>0.3</v>
      </c>
      <c r="AQ308" s="111" t="inlineStr">
        <is>
          <t>N/A</t>
        </is>
      </c>
      <c r="AR308" s="111" t="inlineStr">
        <is>
          <t>N/A</t>
        </is>
      </c>
      <c r="AS308" s="111" t="inlineStr">
        <is>
          <t>N/A</t>
        </is>
      </c>
      <c r="AT308" s="108" t="n">
        <v>0</v>
      </c>
      <c r="AU308" s="108" t="n">
        <v>0.15</v>
      </c>
      <c r="AV308" s="108" t="n">
        <v>0.34</v>
      </c>
      <c r="AW308" s="111" t="inlineStr">
        <is>
          <t>N/A</t>
        </is>
      </c>
      <c r="AX308" s="111" t="inlineStr">
        <is>
          <t>N/A</t>
        </is>
      </c>
      <c r="AY308" s="111" t="inlineStr">
        <is>
          <t>N/A</t>
        </is>
      </c>
      <c r="AZ308" s="108" t="n">
        <v>0.15</v>
      </c>
      <c r="BA308" s="111" t="inlineStr">
        <is>
          <t>N/A</t>
        </is>
      </c>
      <c r="BB308" s="108" t="n">
        <v>0.3</v>
      </c>
      <c r="BC308" s="111" t="inlineStr">
        <is>
          <t>N/A</t>
        </is>
      </c>
      <c r="BD308" s="111" t="inlineStr">
        <is>
          <t>N/A</t>
        </is>
      </c>
      <c r="BE308" s="108" t="n">
        <v>0.06</v>
      </c>
      <c r="BF308" s="108" t="n">
        <v>0.54</v>
      </c>
      <c r="BG308" s="111" t="inlineStr">
        <is>
          <t>N/A</t>
        </is>
      </c>
      <c r="BH308" s="111" t="inlineStr">
        <is>
          <t>N/A</t>
        </is>
      </c>
      <c r="BI308" s="111" t="inlineStr">
        <is>
          <t>N/A</t>
        </is>
      </c>
      <c r="BJ308" s="111" t="inlineStr">
        <is>
          <t>N/A</t>
        </is>
      </c>
      <c r="BK308" s="107" t="n">
        <v>1</v>
      </c>
      <c r="BL308" s="107" t="n">
        <v>1</v>
      </c>
      <c r="BM308" s="107" t="n">
        <v>0</v>
      </c>
      <c r="BN308" s="107" t="n">
        <v>1</v>
      </c>
      <c r="BO308" s="107" t="n">
        <v>1</v>
      </c>
      <c r="BP308" s="107" t="n">
        <v>0</v>
      </c>
      <c r="BQ308" s="107" t="n">
        <v>0</v>
      </c>
      <c r="BR308" s="107" t="n">
        <v>0</v>
      </c>
      <c r="BS308" s="107" t="n">
        <v>0</v>
      </c>
      <c r="BT308" s="107" t="n">
        <v>4</v>
      </c>
      <c r="BU308" s="107" t="inlineStr">
        <is>
          <t>Mixed</t>
        </is>
      </c>
      <c r="BV308" s="108" t="n">
        <v>1.12</v>
      </c>
      <c r="BW308" s="108" t="n">
        <v>1.05</v>
      </c>
      <c r="BX308" s="108" t="n">
        <v>1</v>
      </c>
      <c r="BY308" s="108" t="n">
        <v>1.09</v>
      </c>
      <c r="BZ308" s="108" t="n">
        <v>1.03</v>
      </c>
      <c r="CA308" s="108" t="n">
        <v>1.02</v>
      </c>
      <c r="CB308" s="108" t="n">
        <v>0.98</v>
      </c>
      <c r="CC308" s="108" t="n">
        <v>-0.03</v>
      </c>
      <c r="CD308" s="107" t="n">
        <v>-2.41</v>
      </c>
      <c r="CE308" s="107" t="inlineStr">
        <is>
          <t>Lower Risk</t>
        </is>
      </c>
      <c r="CF308" s="108" t="n">
        <v>1.37</v>
      </c>
      <c r="CG308" s="108" t="n">
        <v>39.81</v>
      </c>
      <c r="CH308" s="107" t="n">
        <v>0</v>
      </c>
      <c r="CI308" s="107" t="inlineStr">
        <is>
          <t>CLEAR</t>
        </is>
      </c>
    </row>
    <row r="309" ht="17" customHeight="1">
      <c r="A309" s="103" t="inlineStr">
        <is>
          <t>NSC</t>
        </is>
      </c>
      <c r="B309" s="103" t="inlineStr">
        <is>
          <t>NORFOLK SOUTHERN CORP</t>
        </is>
      </c>
      <c r="C309" s="104" t="n">
        <v>-577000000</v>
      </c>
      <c r="D309" s="105" t="n">
        <v>0.41</v>
      </c>
      <c r="E309" s="105" t="n">
        <v>0.35</v>
      </c>
      <c r="F309" s="105" t="n">
        <v>0.27</v>
      </c>
      <c r="G309" s="105" t="n">
        <v>0.06</v>
      </c>
      <c r="H309" s="105" t="n">
        <v>0.06</v>
      </c>
      <c r="I309" s="105" t="n">
        <v>0.18</v>
      </c>
      <c r="J309" s="105" t="n">
        <v>0.11</v>
      </c>
      <c r="K309" s="105" t="n">
        <v>0.29</v>
      </c>
      <c r="L309" s="105" t="n">
        <v>-1.61</v>
      </c>
      <c r="M309" s="105" t="n">
        <v>0.23</v>
      </c>
      <c r="N309" s="104" t="n">
        <v>0.06</v>
      </c>
      <c r="O309" s="104" t="n">
        <v>0.85</v>
      </c>
      <c r="P309" s="104" t="n">
        <v>0.9</v>
      </c>
      <c r="Q309" s="104" t="n">
        <v>0.85</v>
      </c>
      <c r="R309" s="104" t="n">
        <v>0.41</v>
      </c>
      <c r="S309" s="104" t="n">
        <v>0.66</v>
      </c>
      <c r="T309" s="104" t="n">
        <v>0.67</v>
      </c>
      <c r="U309" s="104" t="n">
        <v>0.63</v>
      </c>
      <c r="V309" s="104" t="n">
        <v>0.53</v>
      </c>
      <c r="W309" s="104" t="n">
        <v>1.52</v>
      </c>
      <c r="X309" s="105" t="n">
        <v>0.2</v>
      </c>
      <c r="Y309" s="105" t="n">
        <v>0</v>
      </c>
      <c r="Z309" s="105" t="n">
        <v>5.4</v>
      </c>
      <c r="AA309" s="105" t="n">
        <v>2.95</v>
      </c>
      <c r="AB309" s="105" t="n">
        <v>0.1</v>
      </c>
      <c r="AC309" s="104" t="n">
        <v>-0.03</v>
      </c>
      <c r="AD309" s="104" t="n">
        <v>-0.03</v>
      </c>
      <c r="AE309" s="104" t="n">
        <v>-0.01</v>
      </c>
      <c r="AF309" s="104" t="n">
        <v>0.29</v>
      </c>
      <c r="AG309" s="104" t="n">
        <v>0.1</v>
      </c>
      <c r="AH309" s="104" t="n">
        <v>0.52</v>
      </c>
      <c r="AI309" s="104" t="n">
        <v>0.23</v>
      </c>
      <c r="AJ309" s="104" t="n">
        <v>1.26</v>
      </c>
      <c r="AK309" s="112" t="inlineStr">
        <is>
          <t>Distress</t>
        </is>
      </c>
      <c r="AL309" s="104" t="n">
        <v>-0.01</v>
      </c>
      <c r="AM309" s="104" t="n">
        <v>0.29</v>
      </c>
      <c r="AN309" s="104" t="n">
        <v>0.1</v>
      </c>
      <c r="AO309" s="104" t="n">
        <v>0.52</v>
      </c>
      <c r="AP309" s="104" t="n">
        <v>0.23</v>
      </c>
      <c r="AQ309" s="103" t="n">
        <v>0.99</v>
      </c>
      <c r="AR309" s="103" t="inlineStr">
        <is>
          <t>Distress</t>
        </is>
      </c>
      <c r="AS309" s="104" t="n">
        <v>-0.01</v>
      </c>
      <c r="AT309" s="104" t="n">
        <v>0.29</v>
      </c>
      <c r="AU309" s="104" t="n">
        <v>0.1</v>
      </c>
      <c r="AV309" s="104" t="n">
        <v>0.52</v>
      </c>
      <c r="AW309" s="103" t="n">
        <v>2.07</v>
      </c>
      <c r="AX309" s="103" t="inlineStr">
        <is>
          <t>Grey</t>
        </is>
      </c>
      <c r="AY309" s="104" t="n">
        <v>-0.01</v>
      </c>
      <c r="AZ309" s="104" t="n">
        <v>0.1</v>
      </c>
      <c r="BA309" s="104" t="n">
        <v>0.97</v>
      </c>
      <c r="BB309" s="104" t="n">
        <v>0.23</v>
      </c>
      <c r="BC309" s="103" t="n">
        <v>1.02</v>
      </c>
      <c r="BD309" s="103" t="inlineStr">
        <is>
          <t>Healthy</t>
        </is>
      </c>
      <c r="BE309" s="104" t="n">
        <v>0.06</v>
      </c>
      <c r="BF309" s="104" t="n">
        <v>0.66</v>
      </c>
      <c r="BG309" s="104" t="n">
        <v>0.85</v>
      </c>
      <c r="BH309" s="104" t="n">
        <v>-0.89</v>
      </c>
      <c r="BI309" s="103" t="n">
        <v>0.29</v>
      </c>
      <c r="BJ309" s="103" t="inlineStr">
        <is>
          <t>Healthy</t>
        </is>
      </c>
      <c r="BK309" s="103" t="n">
        <v>1</v>
      </c>
      <c r="BL309" s="103" t="n">
        <v>1</v>
      </c>
      <c r="BM309" s="103" t="n">
        <v>1</v>
      </c>
      <c r="BN309" s="103" t="n">
        <v>1</v>
      </c>
      <c r="BO309" s="103" t="n">
        <v>1</v>
      </c>
      <c r="BP309" s="103" t="n">
        <v>0</v>
      </c>
      <c r="BQ309" s="103" t="n">
        <v>1</v>
      </c>
      <c r="BR309" s="103" t="n">
        <v>1</v>
      </c>
      <c r="BS309" s="103" t="n">
        <v>1</v>
      </c>
      <c r="BT309" s="103" t="n">
        <v>8</v>
      </c>
      <c r="BU309" s="103" t="inlineStr">
        <is>
          <t>Strong</t>
        </is>
      </c>
      <c r="BV309" s="104" t="n">
        <v>0.23</v>
      </c>
      <c r="BW309" s="104" t="n">
        <v>-5.56</v>
      </c>
      <c r="BX309" s="104" t="n">
        <v>1.15</v>
      </c>
      <c r="BY309" s="104" t="n">
        <v>3.95</v>
      </c>
      <c r="BZ309" s="104" t="n">
        <v>0.99</v>
      </c>
      <c r="CA309" s="113" t="inlineStr">
        <is>
          <t>N/A</t>
        </is>
      </c>
      <c r="CB309" s="104" t="n">
        <v>0.98</v>
      </c>
      <c r="CC309" s="104" t="n">
        <v>-0.03</v>
      </c>
      <c r="CD309" s="103" t="n">
        <v>-3.93</v>
      </c>
      <c r="CE309" s="103" t="inlineStr">
        <is>
          <t>Lower Risk</t>
        </is>
      </c>
      <c r="CF309" s="104" t="n">
        <v>1.43</v>
      </c>
      <c r="CG309" s="104" t="n">
        <v>58.14</v>
      </c>
      <c r="CH309" s="103" t="n">
        <v>0</v>
      </c>
      <c r="CI309" s="103" t="inlineStr">
        <is>
          <t>CLEAR</t>
        </is>
      </c>
    </row>
    <row r="310" ht="17" customHeight="1">
      <c r="A310" s="107" t="inlineStr">
        <is>
          <t>CEG</t>
        </is>
      </c>
      <c r="B310" s="107" t="inlineStr">
        <is>
          <t>CONSTELLATION ENERGY CORPORATION</t>
        </is>
      </c>
      <c r="C310" s="108" t="n">
        <v>4175000000</v>
      </c>
      <c r="D310" s="109" t="n">
        <v>0.12</v>
      </c>
      <c r="E310" s="111" t="inlineStr">
        <is>
          <t>N/A</t>
        </is>
      </c>
      <c r="F310" s="109" t="n">
        <v>0.09</v>
      </c>
      <c r="G310" s="109" t="n">
        <v>0.04</v>
      </c>
      <c r="H310" s="109" t="n">
        <v>0.07000000000000001</v>
      </c>
      <c r="I310" s="109" t="n">
        <v>0.16</v>
      </c>
      <c r="J310" s="109" t="n">
        <v>0.06</v>
      </c>
      <c r="K310" s="111" t="inlineStr">
        <is>
          <t>N/A</t>
        </is>
      </c>
      <c r="L310" s="111" t="inlineStr">
        <is>
          <t>N/A</t>
        </is>
      </c>
      <c r="M310" s="109" t="n">
        <v>0.45</v>
      </c>
      <c r="N310" s="108" t="n">
        <v>0.45</v>
      </c>
      <c r="O310" s="108" t="n">
        <v>1.53</v>
      </c>
      <c r="P310" s="108" t="n">
        <v>1.57</v>
      </c>
      <c r="Q310" s="108" t="n">
        <v>1.31</v>
      </c>
      <c r="R310" s="108" t="n">
        <v>0.46</v>
      </c>
      <c r="S310" s="108" t="n">
        <v>0.74</v>
      </c>
      <c r="T310" s="108" t="n">
        <v>0.74</v>
      </c>
      <c r="U310" s="108" t="n">
        <v>0.62</v>
      </c>
      <c r="V310" s="108" t="n">
        <v>0.37</v>
      </c>
      <c r="W310" s="108" t="n">
        <v>1.83</v>
      </c>
      <c r="X310" s="109" t="n">
        <v>0.05</v>
      </c>
      <c r="Y310" s="109" t="n">
        <v>0</v>
      </c>
      <c r="Z310" s="109" t="n">
        <v>7.16</v>
      </c>
      <c r="AA310" s="109" t="n">
        <v>0.08</v>
      </c>
      <c r="AB310" s="109" t="n">
        <v>-0.38</v>
      </c>
      <c r="AC310" s="108" t="n">
        <v>-0.03</v>
      </c>
      <c r="AD310" s="108" t="n">
        <v>-0.03</v>
      </c>
      <c r="AE310" s="108" t="n">
        <v>0.07000000000000001</v>
      </c>
      <c r="AF310" s="108" t="n">
        <v>0.1</v>
      </c>
      <c r="AG310" s="108" t="n">
        <v>0.05</v>
      </c>
      <c r="AH310" s="108" t="n">
        <v>0.34</v>
      </c>
      <c r="AI310" s="108" t="n">
        <v>0.45</v>
      </c>
      <c r="AJ310" s="108" t="n">
        <v>1.06</v>
      </c>
      <c r="AK310" s="112" t="inlineStr">
        <is>
          <t>Distress</t>
        </is>
      </c>
      <c r="AL310" s="108" t="n">
        <v>0.07000000000000001</v>
      </c>
      <c r="AM310" s="108" t="n">
        <v>0.1</v>
      </c>
      <c r="AN310" s="108" t="n">
        <v>0.05</v>
      </c>
      <c r="AO310" s="108" t="n">
        <v>0.34</v>
      </c>
      <c r="AP310" s="108" t="n">
        <v>0.45</v>
      </c>
      <c r="AQ310" s="107" t="n">
        <v>0.9</v>
      </c>
      <c r="AR310" s="107" t="inlineStr">
        <is>
          <t>Distress</t>
        </is>
      </c>
      <c r="AS310" s="108" t="n">
        <v>0.07000000000000001</v>
      </c>
      <c r="AT310" s="108" t="n">
        <v>0.1</v>
      </c>
      <c r="AU310" s="108" t="n">
        <v>0.05</v>
      </c>
      <c r="AV310" s="108" t="n">
        <v>0.34</v>
      </c>
      <c r="AW310" s="107" t="n">
        <v>1.54</v>
      </c>
      <c r="AX310" s="107" t="inlineStr">
        <is>
          <t>Grey</t>
        </is>
      </c>
      <c r="AY310" s="108" t="n">
        <v>0.07000000000000001</v>
      </c>
      <c r="AZ310" s="108" t="n">
        <v>0.05</v>
      </c>
      <c r="BA310" s="111" t="inlineStr">
        <is>
          <t>N/A</t>
        </is>
      </c>
      <c r="BB310" s="108" t="n">
        <v>0.45</v>
      </c>
      <c r="BC310" s="111" t="inlineStr">
        <is>
          <t>N/A</t>
        </is>
      </c>
      <c r="BD310" s="111" t="inlineStr">
        <is>
          <t>N/A</t>
        </is>
      </c>
      <c r="BE310" s="108" t="n">
        <v>0.04</v>
      </c>
      <c r="BF310" s="108" t="n">
        <v>0.74</v>
      </c>
      <c r="BG310" s="108" t="n">
        <v>1.53</v>
      </c>
      <c r="BH310" s="108" t="n">
        <v>-0.31</v>
      </c>
      <c r="BI310" s="107" t="n">
        <v>0.42</v>
      </c>
      <c r="BJ310" s="107" t="inlineStr">
        <is>
          <t>Healthy</t>
        </is>
      </c>
      <c r="BK310" s="107" t="n">
        <v>1</v>
      </c>
      <c r="BL310" s="107" t="n">
        <v>1</v>
      </c>
      <c r="BM310" s="107" t="n">
        <v>0</v>
      </c>
      <c r="BN310" s="107" t="n">
        <v>1</v>
      </c>
      <c r="BO310" s="107" t="n">
        <v>1</v>
      </c>
      <c r="BP310" s="107" t="n">
        <v>0</v>
      </c>
      <c r="BQ310" s="107" t="n">
        <v>1</v>
      </c>
      <c r="BR310" s="107" t="n">
        <v>0</v>
      </c>
      <c r="BS310" s="107" t="n">
        <v>1</v>
      </c>
      <c r="BT310" s="107" t="n">
        <v>6</v>
      </c>
      <c r="BU310" s="107" t="inlineStr">
        <is>
          <t>Mixed</t>
        </is>
      </c>
      <c r="BV310" s="108" t="n">
        <v>1.26</v>
      </c>
      <c r="BW310" s="111" t="inlineStr">
        <is>
          <t>N/A</t>
        </is>
      </c>
      <c r="BX310" s="108" t="n">
        <v>1</v>
      </c>
      <c r="BY310" s="108" t="n">
        <v>1.08</v>
      </c>
      <c r="BZ310" s="108" t="n">
        <v>1.19</v>
      </c>
      <c r="CA310" s="111" t="inlineStr">
        <is>
          <t>N/A</t>
        </is>
      </c>
      <c r="CB310" s="108" t="n">
        <v>1</v>
      </c>
      <c r="CC310" s="108" t="n">
        <v>-0.03</v>
      </c>
      <c r="CD310" s="111" t="inlineStr">
        <is>
          <t>N/A</t>
        </is>
      </c>
      <c r="CE310" s="111" t="inlineStr">
        <is>
          <t>N/A</t>
        </is>
      </c>
      <c r="CF310" s="108" t="n">
        <v>1.34</v>
      </c>
      <c r="CG310" s="108" t="n">
        <v>49.97</v>
      </c>
      <c r="CH310" s="107" t="n">
        <v>0</v>
      </c>
      <c r="CI310" s="107" t="inlineStr">
        <is>
          <t>CLEAR</t>
        </is>
      </c>
    </row>
    <row r="311" ht="17" customHeight="1">
      <c r="A311" s="103" t="inlineStr">
        <is>
          <t>CVX</t>
        </is>
      </c>
      <c r="B311" s="103" t="inlineStr">
        <is>
          <t>Chevron Corp</t>
        </is>
      </c>
      <c r="C311" s="104" t="n">
        <v>5165000000</v>
      </c>
      <c r="D311" s="113" t="inlineStr">
        <is>
          <t>N/A</t>
        </is>
      </c>
      <c r="E311" s="105" t="n">
        <v>0.03</v>
      </c>
      <c r="F311" s="105" t="n">
        <v>0.07000000000000001</v>
      </c>
      <c r="G311" s="105" t="n">
        <v>0.04</v>
      </c>
      <c r="H311" s="105" t="n">
        <v>0.07000000000000001</v>
      </c>
      <c r="I311" s="105" t="n">
        <v>0.07000000000000001</v>
      </c>
      <c r="J311" s="113" t="inlineStr">
        <is>
          <t>N/A</t>
        </is>
      </c>
      <c r="K311" s="105" t="n">
        <v>0.43</v>
      </c>
      <c r="L311" s="105" t="n">
        <v>0.41</v>
      </c>
      <c r="M311" s="105" t="n">
        <v>0.58</v>
      </c>
      <c r="N311" s="104" t="n">
        <v>0.79</v>
      </c>
      <c r="O311" s="104" t="n">
        <v>1.15</v>
      </c>
      <c r="P311" s="104" t="n">
        <v>1.06</v>
      </c>
      <c r="Q311" s="104" t="n">
        <v>0.86</v>
      </c>
      <c r="R311" s="104" t="n">
        <v>0.24</v>
      </c>
      <c r="S311" s="104" t="n">
        <v>0.41</v>
      </c>
      <c r="T311" s="104" t="n">
        <v>0.4</v>
      </c>
      <c r="U311" s="104" t="n">
        <v>0.14</v>
      </c>
      <c r="V311" s="104" t="n">
        <v>0.1</v>
      </c>
      <c r="W311" s="104" t="n">
        <v>2.76</v>
      </c>
      <c r="X311" s="105" t="n">
        <v>0.09</v>
      </c>
      <c r="Y311" s="105" t="n">
        <v>0</v>
      </c>
      <c r="Z311" s="113" t="inlineStr">
        <is>
          <t>N/A</t>
        </is>
      </c>
      <c r="AA311" s="105" t="n">
        <v>-0.07000000000000001</v>
      </c>
      <c r="AB311" s="105" t="n">
        <v>-0.3</v>
      </c>
      <c r="AC311" s="104" t="n">
        <v>-0.07000000000000001</v>
      </c>
      <c r="AD311" s="104" t="n">
        <v>-0.07000000000000001</v>
      </c>
      <c r="AE311" s="104" t="n">
        <v>0.02</v>
      </c>
      <c r="AF311" s="104" t="n">
        <v>0.63</v>
      </c>
      <c r="AG311" s="113" t="inlineStr">
        <is>
          <t>N/A</t>
        </is>
      </c>
      <c r="AH311" s="104" t="n">
        <v>1.41</v>
      </c>
      <c r="AI311" s="104" t="n">
        <v>0.58</v>
      </c>
      <c r="AJ311" s="113" t="inlineStr">
        <is>
          <t>N/A</t>
        </is>
      </c>
      <c r="AK311" s="113" t="inlineStr">
        <is>
          <t>N/A</t>
        </is>
      </c>
      <c r="AL311" s="104" t="n">
        <v>0.02</v>
      </c>
      <c r="AM311" s="104" t="n">
        <v>0.63</v>
      </c>
      <c r="AN311" s="113" t="inlineStr">
        <is>
          <t>N/A</t>
        </is>
      </c>
      <c r="AO311" s="104" t="n">
        <v>1.41</v>
      </c>
      <c r="AP311" s="104" t="n">
        <v>0.58</v>
      </c>
      <c r="AQ311" s="113" t="inlineStr">
        <is>
          <t>N/A</t>
        </is>
      </c>
      <c r="AR311" s="113" t="inlineStr">
        <is>
          <t>N/A</t>
        </is>
      </c>
      <c r="AS311" s="104" t="n">
        <v>0.02</v>
      </c>
      <c r="AT311" s="104" t="n">
        <v>0.63</v>
      </c>
      <c r="AU311" s="113" t="inlineStr">
        <is>
          <t>N/A</t>
        </is>
      </c>
      <c r="AV311" s="104" t="n">
        <v>1.41</v>
      </c>
      <c r="AW311" s="113" t="inlineStr">
        <is>
          <t>N/A</t>
        </is>
      </c>
      <c r="AX311" s="113" t="inlineStr">
        <is>
          <t>N/A</t>
        </is>
      </c>
      <c r="AY311" s="104" t="n">
        <v>0.02</v>
      </c>
      <c r="AZ311" s="113" t="inlineStr">
        <is>
          <t>N/A</t>
        </is>
      </c>
      <c r="BA311" s="104" t="n">
        <v>0.18</v>
      </c>
      <c r="BB311" s="104" t="n">
        <v>0.58</v>
      </c>
      <c r="BC311" s="113" t="inlineStr">
        <is>
          <t>N/A</t>
        </is>
      </c>
      <c r="BD311" s="113" t="inlineStr">
        <is>
          <t>N/A</t>
        </is>
      </c>
      <c r="BE311" s="104" t="n">
        <v>0.04</v>
      </c>
      <c r="BF311" s="104" t="n">
        <v>0.41</v>
      </c>
      <c r="BG311" s="104" t="n">
        <v>1.15</v>
      </c>
      <c r="BH311" s="104" t="n">
        <v>-2.19</v>
      </c>
      <c r="BI311" s="103" t="n">
        <v>0.1</v>
      </c>
      <c r="BJ311" s="103" t="inlineStr">
        <is>
          <t>Healthy</t>
        </is>
      </c>
      <c r="BK311" s="103" t="n">
        <v>1</v>
      </c>
      <c r="BL311" s="103" t="n">
        <v>1</v>
      </c>
      <c r="BM311" s="103" t="n">
        <v>0</v>
      </c>
      <c r="BN311" s="103" t="n">
        <v>1</v>
      </c>
      <c r="BO311" s="103" t="n">
        <v>1</v>
      </c>
      <c r="BP311" s="103" t="n">
        <v>1</v>
      </c>
      <c r="BQ311" s="103" t="n">
        <v>1</v>
      </c>
      <c r="BR311" s="103" t="n">
        <v>1</v>
      </c>
      <c r="BS311" s="103" t="n">
        <v>0</v>
      </c>
      <c r="BT311" s="103" t="n">
        <v>7</v>
      </c>
      <c r="BU311" s="103" t="inlineStr">
        <is>
          <t>Strong</t>
        </is>
      </c>
      <c r="BV311" s="104" t="n">
        <v>0.9399999999999999</v>
      </c>
      <c r="BW311" s="104" t="n">
        <v>0.96</v>
      </c>
      <c r="BX311" s="104" t="n">
        <v>1.56</v>
      </c>
      <c r="BY311" s="104" t="n">
        <v>0.93</v>
      </c>
      <c r="BZ311" s="104" t="n">
        <v>0.9</v>
      </c>
      <c r="CA311" s="104" t="n">
        <v>1.14</v>
      </c>
      <c r="CB311" s="104" t="n">
        <v>1.01</v>
      </c>
      <c r="CC311" s="104" t="n">
        <v>-0.07000000000000001</v>
      </c>
      <c r="CD311" s="103" t="n">
        <v>-2.74</v>
      </c>
      <c r="CE311" s="103" t="inlineStr">
        <is>
          <t>Lower Risk</t>
        </is>
      </c>
      <c r="CF311" s="113" t="inlineStr">
        <is>
          <t>N/A</t>
        </is>
      </c>
      <c r="CG311" s="104" t="n">
        <v>52.28</v>
      </c>
      <c r="CH311" s="103" t="n">
        <v>0</v>
      </c>
      <c r="CI311" s="103" t="inlineStr">
        <is>
          <t>CLEAR</t>
        </is>
      </c>
    </row>
    <row r="312" ht="17" customHeight="1">
      <c r="A312" s="107" t="inlineStr">
        <is>
          <t>SWK</t>
        </is>
      </c>
      <c r="B312" s="107" t="inlineStr">
        <is>
          <t>STANLEY BLACK &amp; DECKER, INC.</t>
        </is>
      </c>
      <c r="C312" s="108" t="n">
        <v>733300000</v>
      </c>
      <c r="D312" s="109" t="n">
        <v>0.14</v>
      </c>
      <c r="E312" s="109" t="n">
        <v>0.03</v>
      </c>
      <c r="F312" s="109" t="n">
        <v>0.03</v>
      </c>
      <c r="G312" s="109" t="n">
        <v>0.02</v>
      </c>
      <c r="H312" s="109" t="n">
        <v>0.01</v>
      </c>
      <c r="I312" s="109" t="n">
        <v>0.04</v>
      </c>
      <c r="J312" s="109" t="n">
        <v>0.14</v>
      </c>
      <c r="K312" s="109" t="n">
        <v>0.28</v>
      </c>
      <c r="L312" s="109" t="n">
        <v>0.05</v>
      </c>
      <c r="M312" s="109" t="n">
        <v>0.71</v>
      </c>
      <c r="N312" s="108" t="n">
        <v>0.7</v>
      </c>
      <c r="O312" s="108" t="n">
        <v>1.14</v>
      </c>
      <c r="P312" s="108" t="n">
        <v>1.3</v>
      </c>
      <c r="Q312" s="108" t="n">
        <v>0.35</v>
      </c>
      <c r="R312" s="108" t="n">
        <v>0.05</v>
      </c>
      <c r="S312" s="108" t="n">
        <v>1</v>
      </c>
      <c r="T312" s="108" t="n">
        <v>1</v>
      </c>
      <c r="U312" s="108" t="n">
        <v>0.65</v>
      </c>
      <c r="V312" s="108" t="n">
        <v>0.62</v>
      </c>
      <c r="W312" s="108" t="n">
        <v>2.42</v>
      </c>
      <c r="X312" s="109" t="n">
        <v>0.05</v>
      </c>
      <c r="Y312" s="109" t="n">
        <v>0.02</v>
      </c>
      <c r="Z312" s="109" t="n">
        <v>4.21</v>
      </c>
      <c r="AA312" s="109" t="n">
        <v>-0.02</v>
      </c>
      <c r="AB312" s="109" t="n">
        <v>0.37</v>
      </c>
      <c r="AC312" s="108" t="n">
        <v>-0.03</v>
      </c>
      <c r="AD312" s="108" t="n">
        <v>-0.03</v>
      </c>
      <c r="AE312" s="108" t="n">
        <v>0.03</v>
      </c>
      <c r="AF312" s="108" t="n">
        <v>0.39</v>
      </c>
      <c r="AG312" s="108" t="n">
        <v>0.1</v>
      </c>
      <c r="AH312" s="108" t="n">
        <v>0.43</v>
      </c>
      <c r="AI312" s="108" t="n">
        <v>0.71</v>
      </c>
      <c r="AJ312" s="108" t="n">
        <v>1.89</v>
      </c>
      <c r="AK312" s="106" t="inlineStr">
        <is>
          <t>Grey</t>
        </is>
      </c>
      <c r="AL312" s="108" t="n">
        <v>0.03</v>
      </c>
      <c r="AM312" s="108" t="n">
        <v>0.39</v>
      </c>
      <c r="AN312" s="108" t="n">
        <v>0.1</v>
      </c>
      <c r="AO312" s="108" t="n">
        <v>0.43</v>
      </c>
      <c r="AP312" s="108" t="n">
        <v>0.71</v>
      </c>
      <c r="AQ312" s="107" t="n">
        <v>1.56</v>
      </c>
      <c r="AR312" s="107" t="inlineStr">
        <is>
          <t>Grey</t>
        </is>
      </c>
      <c r="AS312" s="108" t="n">
        <v>0.03</v>
      </c>
      <c r="AT312" s="108" t="n">
        <v>0.39</v>
      </c>
      <c r="AU312" s="108" t="n">
        <v>0.1</v>
      </c>
      <c r="AV312" s="108" t="n">
        <v>0.43</v>
      </c>
      <c r="AW312" s="107" t="n">
        <v>2.63</v>
      </c>
      <c r="AX312" s="107" t="inlineStr">
        <is>
          <t>Safe</t>
        </is>
      </c>
      <c r="AY312" s="108" t="n">
        <v>0.03</v>
      </c>
      <c r="AZ312" s="108" t="n">
        <v>0.1</v>
      </c>
      <c r="BA312" s="108" t="n">
        <v>0.08</v>
      </c>
      <c r="BB312" s="108" t="n">
        <v>0.71</v>
      </c>
      <c r="BC312" s="107" t="n">
        <v>0.6899999999999999</v>
      </c>
      <c r="BD312" s="107" t="inlineStr">
        <is>
          <t>Distress</t>
        </is>
      </c>
      <c r="BE312" s="108" t="n">
        <v>0.02</v>
      </c>
      <c r="BF312" s="108" t="n">
        <v>1</v>
      </c>
      <c r="BG312" s="108" t="n">
        <v>1.14</v>
      </c>
      <c r="BH312" s="108" t="n">
        <v>1.26</v>
      </c>
      <c r="BI312" s="107" t="n">
        <v>0.78</v>
      </c>
      <c r="BJ312" s="107" t="inlineStr">
        <is>
          <t>Distress</t>
        </is>
      </c>
      <c r="BK312" s="107" t="n">
        <v>1</v>
      </c>
      <c r="BL312" s="107" t="n">
        <v>1</v>
      </c>
      <c r="BM312" s="107" t="n">
        <v>1</v>
      </c>
      <c r="BN312" s="107" t="n">
        <v>1</v>
      </c>
      <c r="BO312" s="107" t="n">
        <v>1</v>
      </c>
      <c r="BP312" s="107" t="n">
        <v>0</v>
      </c>
      <c r="BQ312" s="107" t="n">
        <v>0</v>
      </c>
      <c r="BR312" s="107" t="n">
        <v>1</v>
      </c>
      <c r="BS312" s="107" t="n">
        <v>1</v>
      </c>
      <c r="BT312" s="107" t="n">
        <v>7</v>
      </c>
      <c r="BU312" s="107" t="inlineStr">
        <is>
          <t>Strong</t>
        </is>
      </c>
      <c r="BV312" s="111" t="inlineStr">
        <is>
          <t>N/A</t>
        </is>
      </c>
      <c r="BW312" s="108" t="n">
        <v>0.17</v>
      </c>
      <c r="BX312" s="108" t="n">
        <v>1.03</v>
      </c>
      <c r="BY312" s="108" t="n">
        <v>0.98</v>
      </c>
      <c r="BZ312" s="108" t="n">
        <v>1.03</v>
      </c>
      <c r="CA312" s="108" t="n">
        <v>1.02</v>
      </c>
      <c r="CB312" s="108" t="n">
        <v>1</v>
      </c>
      <c r="CC312" s="108" t="n">
        <v>-0.03</v>
      </c>
      <c r="CD312" s="111" t="inlineStr">
        <is>
          <t>N/A</t>
        </is>
      </c>
      <c r="CE312" s="111" t="inlineStr">
        <is>
          <t>N/A</t>
        </is>
      </c>
      <c r="CF312" s="108" t="n">
        <v>2.08</v>
      </c>
      <c r="CG312" s="108" t="n">
        <v>56.19</v>
      </c>
      <c r="CH312" s="107" t="n">
        <v>0</v>
      </c>
      <c r="CI312" s="107" t="inlineStr">
        <is>
          <t>CLEAR</t>
        </is>
      </c>
    </row>
    <row r="313" ht="17" customHeight="1">
      <c r="A313" s="103" t="inlineStr">
        <is>
          <t>FCX</t>
        </is>
      </c>
      <c r="B313" s="103" t="inlineStr">
        <is>
          <t>Freeport-McMoRan Inc.</t>
        </is>
      </c>
      <c r="C313" s="104" t="n">
        <v>7771000000</v>
      </c>
      <c r="D313" s="105" t="n">
        <v>0.25</v>
      </c>
      <c r="E313" s="105" t="n">
        <v>0.02</v>
      </c>
      <c r="F313" s="105" t="n">
        <v>0.16</v>
      </c>
      <c r="G313" s="105" t="n">
        <v>0.07000000000000001</v>
      </c>
      <c r="H313" s="105" t="n">
        <v>0.08</v>
      </c>
      <c r="I313" s="105" t="n">
        <v>0.22</v>
      </c>
      <c r="J313" s="105" t="n">
        <v>0.12</v>
      </c>
      <c r="K313" s="105" t="n">
        <v>0.28</v>
      </c>
      <c r="L313" s="105" t="n">
        <v>0.3</v>
      </c>
      <c r="M313" s="105" t="n">
        <v>0.45</v>
      </c>
      <c r="N313" s="104" t="n">
        <v>0.46</v>
      </c>
      <c r="O313" s="104" t="n">
        <v>2.29</v>
      </c>
      <c r="P313" s="104" t="n">
        <v>2.42</v>
      </c>
      <c r="Q313" s="104" t="n">
        <v>1.46</v>
      </c>
      <c r="R313" s="104" t="n">
        <v>0.64</v>
      </c>
      <c r="S313" s="104" t="n">
        <v>0.47</v>
      </c>
      <c r="T313" s="104" t="n">
        <v>0.48</v>
      </c>
      <c r="U313" s="104" t="n">
        <v>0.57</v>
      </c>
      <c r="V313" s="104" t="n">
        <v>0.37</v>
      </c>
      <c r="W313" s="104" t="n">
        <v>1.35</v>
      </c>
      <c r="X313" s="105" t="n">
        <v>0.04</v>
      </c>
      <c r="Y313" s="105" t="n">
        <v>0</v>
      </c>
      <c r="Z313" s="105" t="n">
        <v>20.89</v>
      </c>
      <c r="AA313" s="105" t="n">
        <v>0.02</v>
      </c>
      <c r="AB313" s="105" t="n">
        <v>-0.06</v>
      </c>
      <c r="AC313" s="104" t="n">
        <v>-0.03</v>
      </c>
      <c r="AD313" s="104" t="n">
        <v>-0.03</v>
      </c>
      <c r="AE313" s="104" t="n">
        <v>0.13</v>
      </c>
      <c r="AF313" s="104" t="n">
        <v>0.02</v>
      </c>
      <c r="AG313" s="104" t="n">
        <v>0.11</v>
      </c>
      <c r="AH313" s="104" t="n">
        <v>0.6899999999999999</v>
      </c>
      <c r="AI313" s="104" t="n">
        <v>0.45</v>
      </c>
      <c r="AJ313" s="104" t="n">
        <v>1.42</v>
      </c>
      <c r="AK313" s="112" t="inlineStr">
        <is>
          <t>Distress</t>
        </is>
      </c>
      <c r="AL313" s="104" t="n">
        <v>0.13</v>
      </c>
      <c r="AM313" s="104" t="n">
        <v>0.02</v>
      </c>
      <c r="AN313" s="104" t="n">
        <v>0.11</v>
      </c>
      <c r="AO313" s="104" t="n">
        <v>0.6899999999999999</v>
      </c>
      <c r="AP313" s="104" t="n">
        <v>0.45</v>
      </c>
      <c r="AQ313" s="103" t="n">
        <v>1.2</v>
      </c>
      <c r="AR313" s="103" t="inlineStr">
        <is>
          <t>Distress</t>
        </is>
      </c>
      <c r="AS313" s="104" t="n">
        <v>0.13</v>
      </c>
      <c r="AT313" s="104" t="n">
        <v>0.02</v>
      </c>
      <c r="AU313" s="104" t="n">
        <v>0.11</v>
      </c>
      <c r="AV313" s="104" t="n">
        <v>0.6899999999999999</v>
      </c>
      <c r="AW313" s="103" t="n">
        <v>2.43</v>
      </c>
      <c r="AX313" s="103" t="inlineStr">
        <is>
          <t>Grey</t>
        </is>
      </c>
      <c r="AY313" s="104" t="n">
        <v>0.13</v>
      </c>
      <c r="AZ313" s="104" t="n">
        <v>0.11</v>
      </c>
      <c r="BA313" s="104" t="n">
        <v>0.07000000000000001</v>
      </c>
      <c r="BB313" s="104" t="n">
        <v>0.45</v>
      </c>
      <c r="BC313" s="103" t="n">
        <v>0.7</v>
      </c>
      <c r="BD313" s="103" t="inlineStr">
        <is>
          <t>Distress</t>
        </is>
      </c>
      <c r="BE313" s="104" t="n">
        <v>0.07000000000000001</v>
      </c>
      <c r="BF313" s="104" t="n">
        <v>0.47</v>
      </c>
      <c r="BG313" s="104" t="n">
        <v>2.29</v>
      </c>
      <c r="BH313" s="104" t="n">
        <v>-1.97</v>
      </c>
      <c r="BI313" s="103" t="n">
        <v>0.12</v>
      </c>
      <c r="BJ313" s="103" t="inlineStr">
        <is>
          <t>Healthy</t>
        </is>
      </c>
      <c r="BK313" s="103" t="n">
        <v>1</v>
      </c>
      <c r="BL313" s="103" t="n">
        <v>1</v>
      </c>
      <c r="BM313" s="103" t="n">
        <v>0</v>
      </c>
      <c r="BN313" s="103" t="n">
        <v>1</v>
      </c>
      <c r="BO313" s="103" t="n">
        <v>1</v>
      </c>
      <c r="BP313" s="103" t="n">
        <v>0</v>
      </c>
      <c r="BQ313" s="103" t="n">
        <v>1</v>
      </c>
      <c r="BR313" s="103" t="n">
        <v>0</v>
      </c>
      <c r="BS313" s="103" t="n">
        <v>0</v>
      </c>
      <c r="BT313" s="103" t="n">
        <v>5</v>
      </c>
      <c r="BU313" s="103" t="inlineStr">
        <is>
          <t>Mixed</t>
        </is>
      </c>
      <c r="BV313" s="104" t="n">
        <v>1.66</v>
      </c>
      <c r="BW313" s="104" t="n">
        <v>1.07</v>
      </c>
      <c r="BX313" s="104" t="n">
        <v>1.13</v>
      </c>
      <c r="BY313" s="104" t="n">
        <v>1.02</v>
      </c>
      <c r="BZ313" s="104" t="n">
        <v>1.05</v>
      </c>
      <c r="CA313" s="104" t="n">
        <v>1.04</v>
      </c>
      <c r="CB313" s="104" t="n">
        <v>0.99</v>
      </c>
      <c r="CC313" s="104" t="n">
        <v>-0.03</v>
      </c>
      <c r="CD313" s="103" t="n">
        <v>-1.88</v>
      </c>
      <c r="CE313" s="103" t="inlineStr">
        <is>
          <t>Higher Risk</t>
        </is>
      </c>
      <c r="CF313" s="104" t="n">
        <v>0.8</v>
      </c>
      <c r="CG313" s="104" t="n">
        <v>43.31</v>
      </c>
      <c r="CH313" s="103" t="n">
        <v>20</v>
      </c>
      <c r="CI313" s="103" t="inlineStr">
        <is>
          <t>CLEAR</t>
        </is>
      </c>
    </row>
    <row r="314" ht="17" customHeight="1">
      <c r="A314" s="107" t="inlineStr">
        <is>
          <t>KMPR</t>
        </is>
      </c>
      <c r="B314" s="107" t="inlineStr">
        <is>
          <t>Kemper Corporation</t>
        </is>
      </c>
      <c r="C314" s="111" t="inlineStr">
        <is>
          <t>N/A</t>
        </is>
      </c>
      <c r="D314" s="109" t="n">
        <v>-0.01</v>
      </c>
      <c r="E314" s="109" t="n">
        <v>0.03</v>
      </c>
      <c r="F314" s="109" t="n">
        <v>0.03</v>
      </c>
      <c r="G314" s="109" t="n">
        <v>0.01</v>
      </c>
      <c r="H314" s="109" t="n">
        <v>0.03</v>
      </c>
      <c r="I314" s="109" t="n">
        <v>0.05</v>
      </c>
      <c r="J314" s="111" t="inlineStr">
        <is>
          <t>N/A</t>
        </is>
      </c>
      <c r="K314" s="109" t="n">
        <v>0.03</v>
      </c>
      <c r="L314" s="109" t="n">
        <v>0.08</v>
      </c>
      <c r="M314" s="109" t="n">
        <v>0.38</v>
      </c>
      <c r="N314" s="108" t="n">
        <v>0.37</v>
      </c>
      <c r="O314" s="111" t="inlineStr">
        <is>
          <t>N/A</t>
        </is>
      </c>
      <c r="P314" s="111" t="inlineStr">
        <is>
          <t>N/A</t>
        </is>
      </c>
      <c r="Q314" s="111" t="inlineStr">
        <is>
          <t>N/A</t>
        </is>
      </c>
      <c r="R314" s="111" t="inlineStr">
        <is>
          <t>N/A</t>
        </is>
      </c>
      <c r="S314" s="108" t="n">
        <v>0.79</v>
      </c>
      <c r="T314" s="108" t="n">
        <v>0.78</v>
      </c>
      <c r="U314" s="108" t="n">
        <v>0.35</v>
      </c>
      <c r="V314" s="108" t="n">
        <v>0.35</v>
      </c>
      <c r="W314" s="108" t="n">
        <v>4.08</v>
      </c>
      <c r="X314" s="109" t="n">
        <v>0.12</v>
      </c>
      <c r="Y314" s="109" t="n">
        <v>0</v>
      </c>
      <c r="Z314" s="109" t="n">
        <v>-1.79</v>
      </c>
      <c r="AA314" s="109" t="n">
        <v>0.03</v>
      </c>
      <c r="AB314" s="109" t="n">
        <v>-0.55</v>
      </c>
      <c r="AC314" s="108" t="n">
        <v>-0.04</v>
      </c>
      <c r="AD314" s="108" t="n">
        <v>-0.04</v>
      </c>
      <c r="AE314" s="111" t="inlineStr">
        <is>
          <t>N/A</t>
        </is>
      </c>
      <c r="AF314" s="108" t="n">
        <v>0.09</v>
      </c>
      <c r="AG314" s="108" t="n">
        <v>-0.01</v>
      </c>
      <c r="AH314" s="108" t="n">
        <v>0.27</v>
      </c>
      <c r="AI314" s="108" t="n">
        <v>0.38</v>
      </c>
      <c r="AJ314" s="111" t="inlineStr">
        <is>
          <t>N/A</t>
        </is>
      </c>
      <c r="AK314" s="111" t="inlineStr">
        <is>
          <t>N/A</t>
        </is>
      </c>
      <c r="AL314" s="111" t="inlineStr">
        <is>
          <t>N/A</t>
        </is>
      </c>
      <c r="AM314" s="108" t="n">
        <v>0.09</v>
      </c>
      <c r="AN314" s="108" t="n">
        <v>-0.01</v>
      </c>
      <c r="AO314" s="108" t="n">
        <v>0.27</v>
      </c>
      <c r="AP314" s="108" t="n">
        <v>0.38</v>
      </c>
      <c r="AQ314" s="111" t="inlineStr">
        <is>
          <t>N/A</t>
        </is>
      </c>
      <c r="AR314" s="111" t="inlineStr">
        <is>
          <t>N/A</t>
        </is>
      </c>
      <c r="AS314" s="111" t="inlineStr">
        <is>
          <t>N/A</t>
        </is>
      </c>
      <c r="AT314" s="108" t="n">
        <v>0.09</v>
      </c>
      <c r="AU314" s="108" t="n">
        <v>-0.01</v>
      </c>
      <c r="AV314" s="108" t="n">
        <v>0.27</v>
      </c>
      <c r="AW314" s="111" t="inlineStr">
        <is>
          <t>N/A</t>
        </is>
      </c>
      <c r="AX314" s="111" t="inlineStr">
        <is>
          <t>N/A</t>
        </is>
      </c>
      <c r="AY314" s="111" t="inlineStr">
        <is>
          <t>N/A</t>
        </is>
      </c>
      <c r="AZ314" s="108" t="n">
        <v>-0.01</v>
      </c>
      <c r="BA314" s="111" t="inlineStr">
        <is>
          <t>N/A</t>
        </is>
      </c>
      <c r="BB314" s="108" t="n">
        <v>0.38</v>
      </c>
      <c r="BC314" s="111" t="inlineStr">
        <is>
          <t>N/A</t>
        </is>
      </c>
      <c r="BD314" s="111" t="inlineStr">
        <is>
          <t>N/A</t>
        </is>
      </c>
      <c r="BE314" s="108" t="n">
        <v>0.01</v>
      </c>
      <c r="BF314" s="108" t="n">
        <v>0.79</v>
      </c>
      <c r="BG314" s="111" t="inlineStr">
        <is>
          <t>N/A</t>
        </is>
      </c>
      <c r="BH314" s="111" t="inlineStr">
        <is>
          <t>N/A</t>
        </is>
      </c>
      <c r="BI314" s="111" t="inlineStr">
        <is>
          <t>N/A</t>
        </is>
      </c>
      <c r="BJ314" s="111" t="inlineStr">
        <is>
          <t>N/A</t>
        </is>
      </c>
      <c r="BK314" s="107" t="n">
        <v>1</v>
      </c>
      <c r="BL314" s="107" t="n">
        <v>1</v>
      </c>
      <c r="BM314" s="107" t="n">
        <v>0</v>
      </c>
      <c r="BN314" s="107" t="n">
        <v>1</v>
      </c>
      <c r="BO314" s="107" t="n">
        <v>1</v>
      </c>
      <c r="BP314" s="107" t="n">
        <v>0</v>
      </c>
      <c r="BQ314" s="107" t="n">
        <v>1</v>
      </c>
      <c r="BR314" s="107" t="n">
        <v>0</v>
      </c>
      <c r="BS314" s="107" t="n">
        <v>1</v>
      </c>
      <c r="BT314" s="107" t="n">
        <v>6</v>
      </c>
      <c r="BU314" s="107" t="inlineStr">
        <is>
          <t>Mixed</t>
        </is>
      </c>
      <c r="BV314" s="111" t="inlineStr">
        <is>
          <t>N/A</t>
        </is>
      </c>
      <c r="BW314" s="108" t="n">
        <v>2.5</v>
      </c>
      <c r="BX314" s="111" t="inlineStr">
        <is>
          <t>N/A</t>
        </is>
      </c>
      <c r="BY314" s="108" t="n">
        <v>1.03</v>
      </c>
      <c r="BZ314" s="111" t="inlineStr">
        <is>
          <t>N/A</t>
        </is>
      </c>
      <c r="CA314" s="111" t="inlineStr">
        <is>
          <t>N/A</t>
        </is>
      </c>
      <c r="CB314" s="108" t="n">
        <v>1.01</v>
      </c>
      <c r="CC314" s="108" t="n">
        <v>-0.04</v>
      </c>
      <c r="CD314" s="111" t="inlineStr">
        <is>
          <t>N/A</t>
        </is>
      </c>
      <c r="CE314" s="111" t="inlineStr">
        <is>
          <t>N/A</t>
        </is>
      </c>
      <c r="CF314" s="108" t="n">
        <v>-17.7</v>
      </c>
      <c r="CG314" s="108" t="n">
        <v>46.83</v>
      </c>
      <c r="CH314" s="107" t="n">
        <v>0</v>
      </c>
      <c r="CI314" s="107" t="inlineStr">
        <is>
          <t>CLEAR</t>
        </is>
      </c>
    </row>
    <row r="315" ht="17" customHeight="1">
      <c r="A315" s="103" t="inlineStr">
        <is>
          <t>RHP</t>
        </is>
      </c>
      <c r="B315" s="103" t="inlineStr">
        <is>
          <t>RYMAN HOSPITALITY PROPERTIES, INC.</t>
        </is>
      </c>
      <c r="C315" s="104" t="n">
        <v>-137574000</v>
      </c>
      <c r="D315" s="105" t="n">
        <v>0.41</v>
      </c>
      <c r="E315" s="105" t="n">
        <v>0.21</v>
      </c>
      <c r="F315" s="105" t="n">
        <v>0.21</v>
      </c>
      <c r="G315" s="105" t="n">
        <v>0.04</v>
      </c>
      <c r="H315" s="105" t="n">
        <v>0.05</v>
      </c>
      <c r="I315" s="105" t="n">
        <v>0.32</v>
      </c>
      <c r="J315" s="105" t="n">
        <v>0.08</v>
      </c>
      <c r="K315" s="105" t="n">
        <v>-0.22</v>
      </c>
      <c r="L315" s="105" t="n">
        <v>-2.84</v>
      </c>
      <c r="M315" s="105" t="n">
        <v>0.19</v>
      </c>
      <c r="N315" s="104" t="n">
        <v>0.07000000000000001</v>
      </c>
      <c r="O315" s="104" t="n">
        <v>0.61</v>
      </c>
      <c r="P315" s="104" t="n">
        <v>0.85</v>
      </c>
      <c r="Q315" s="104" t="n">
        <v>0.5600000000000001</v>
      </c>
      <c r="R315" s="104" t="n">
        <v>1.35</v>
      </c>
      <c r="S315" s="104" t="n">
        <v>0.8</v>
      </c>
      <c r="T315" s="104" t="n">
        <v>0.82</v>
      </c>
      <c r="U315" s="104" t="n">
        <v>2.16</v>
      </c>
      <c r="V315" s="104" t="n">
        <v>1.53</v>
      </c>
      <c r="W315" s="104" t="n">
        <v>2.43</v>
      </c>
      <c r="X315" s="105" t="n">
        <v>0.43</v>
      </c>
      <c r="Y315" s="105" t="n">
        <v>0</v>
      </c>
      <c r="Z315" s="105" t="n">
        <v>2.3</v>
      </c>
      <c r="AA315" s="105" t="n">
        <v>2.43</v>
      </c>
      <c r="AB315" s="105" t="n">
        <v>-0.1</v>
      </c>
      <c r="AC315" s="104" t="n">
        <v>-0.06</v>
      </c>
      <c r="AD315" s="104" t="n">
        <v>-0.06</v>
      </c>
      <c r="AE315" s="104" t="n">
        <v>-0.02</v>
      </c>
      <c r="AF315" s="104" t="n">
        <v>-0.14</v>
      </c>
      <c r="AG315" s="104" t="n">
        <v>0.08</v>
      </c>
      <c r="AH315" s="104" t="n">
        <v>0.15</v>
      </c>
      <c r="AI315" s="104" t="n">
        <v>0.19</v>
      </c>
      <c r="AJ315" s="104" t="n">
        <v>0.31</v>
      </c>
      <c r="AK315" s="112" t="inlineStr">
        <is>
          <t>Distress</t>
        </is>
      </c>
      <c r="AL315" s="104" t="n">
        <v>-0.02</v>
      </c>
      <c r="AM315" s="104" t="n">
        <v>-0.14</v>
      </c>
      <c r="AN315" s="104" t="n">
        <v>0.08</v>
      </c>
      <c r="AO315" s="104" t="n">
        <v>0.15</v>
      </c>
      <c r="AP315" s="104" t="n">
        <v>0.19</v>
      </c>
      <c r="AQ315" s="103" t="n">
        <v>0.36</v>
      </c>
      <c r="AR315" s="103" t="inlineStr">
        <is>
          <t>Distress</t>
        </is>
      </c>
      <c r="AS315" s="104" t="n">
        <v>-0.02</v>
      </c>
      <c r="AT315" s="104" t="n">
        <v>-0.14</v>
      </c>
      <c r="AU315" s="104" t="n">
        <v>0.08</v>
      </c>
      <c r="AV315" s="104" t="n">
        <v>0.15</v>
      </c>
      <c r="AW315" s="103" t="n">
        <v>0.07000000000000001</v>
      </c>
      <c r="AX315" s="103" t="inlineStr">
        <is>
          <t>Distress</t>
        </is>
      </c>
      <c r="AY315" s="104" t="n">
        <v>-0.02</v>
      </c>
      <c r="AZ315" s="104" t="n">
        <v>0.08</v>
      </c>
      <c r="BA315" s="104" t="n">
        <v>0.73</v>
      </c>
      <c r="BB315" s="104" t="n">
        <v>0.19</v>
      </c>
      <c r="BC315" s="103" t="n">
        <v>0.78</v>
      </c>
      <c r="BD315" s="103" t="inlineStr">
        <is>
          <t>Distress</t>
        </is>
      </c>
      <c r="BE315" s="104" t="n">
        <v>0.04</v>
      </c>
      <c r="BF315" s="104" t="n">
        <v>0.8</v>
      </c>
      <c r="BG315" s="104" t="n">
        <v>0.61</v>
      </c>
      <c r="BH315" s="104" t="n">
        <v>0.05</v>
      </c>
      <c r="BI315" s="103" t="n">
        <v>0.51</v>
      </c>
      <c r="BJ315" s="103" t="inlineStr">
        <is>
          <t>Distress</t>
        </is>
      </c>
      <c r="BK315" s="103" t="n">
        <v>1</v>
      </c>
      <c r="BL315" s="103" t="n">
        <v>1</v>
      </c>
      <c r="BM315" s="103" t="n">
        <v>0</v>
      </c>
      <c r="BN315" s="103" t="n">
        <v>1</v>
      </c>
      <c r="BO315" s="103" t="n">
        <v>1</v>
      </c>
      <c r="BP315" s="103" t="n">
        <v>0</v>
      </c>
      <c r="BQ315" s="103" t="n">
        <v>0</v>
      </c>
      <c r="BR315" s="103" t="n">
        <v>1</v>
      </c>
      <c r="BS315" s="103" t="n">
        <v>1</v>
      </c>
      <c r="BT315" s="103" t="n">
        <v>6</v>
      </c>
      <c r="BU315" s="103" t="inlineStr">
        <is>
          <t>Mixed</t>
        </is>
      </c>
      <c r="BV315" s="104" t="n">
        <v>0.38</v>
      </c>
      <c r="BW315" s="104" t="n">
        <v>13.12</v>
      </c>
      <c r="BX315" s="104" t="n">
        <v>0.89</v>
      </c>
      <c r="BY315" s="104" t="n">
        <v>3.43</v>
      </c>
      <c r="BZ315" s="104" t="n">
        <v>1.02</v>
      </c>
      <c r="CA315" s="104" t="n">
        <v>0.3</v>
      </c>
      <c r="CB315" s="104" t="n">
        <v>0.98</v>
      </c>
      <c r="CC315" s="104" t="n">
        <v>-0.06</v>
      </c>
      <c r="CD315" s="103" t="n">
        <v>5.34</v>
      </c>
      <c r="CE315" s="103" t="inlineStr">
        <is>
          <t>Higher Risk</t>
        </is>
      </c>
      <c r="CF315" s="104" t="n">
        <v>1.5</v>
      </c>
      <c r="CG315" s="104" t="n">
        <v>43.1</v>
      </c>
      <c r="CH315" s="103" t="n">
        <v>20</v>
      </c>
      <c r="CI315" s="103" t="inlineStr">
        <is>
          <t>CLEAR</t>
        </is>
      </c>
    </row>
    <row r="316" ht="17" customHeight="1">
      <c r="A316" s="107" t="inlineStr">
        <is>
          <t>SFM</t>
        </is>
      </c>
      <c r="B316" s="107" t="inlineStr">
        <is>
          <t>Sprouts Farmers Market, Inc.</t>
        </is>
      </c>
      <c r="C316" s="108" t="n">
        <v>-60899000</v>
      </c>
      <c r="D316" s="109" t="n">
        <v>0.08</v>
      </c>
      <c r="E316" s="109" t="n">
        <v>0.08</v>
      </c>
      <c r="F316" s="109" t="n">
        <v>0.06</v>
      </c>
      <c r="G316" s="109" t="n">
        <v>0.13</v>
      </c>
      <c r="H316" s="109" t="n">
        <v>0.1</v>
      </c>
      <c r="I316" s="109" t="n">
        <v>0.37</v>
      </c>
      <c r="J316" s="109" t="n">
        <v>0.21</v>
      </c>
      <c r="K316" s="109" t="n">
        <v>0.39</v>
      </c>
      <c r="L316" s="109" t="n">
        <v>0.38</v>
      </c>
      <c r="M316" s="109" t="n">
        <v>2.12</v>
      </c>
      <c r="N316" s="108" t="n">
        <v>2.12</v>
      </c>
      <c r="O316" s="108" t="n">
        <v>0.93</v>
      </c>
      <c r="P316" s="108" t="n">
        <v>0.99</v>
      </c>
      <c r="Q316" s="108" t="n">
        <v>0.44</v>
      </c>
      <c r="R316" s="108" t="n">
        <v>0.3</v>
      </c>
      <c r="S316" s="108" t="n">
        <v>0.66</v>
      </c>
      <c r="T316" s="108" t="n">
        <v>0.64</v>
      </c>
      <c r="U316" s="108" t="n">
        <v>0.09</v>
      </c>
      <c r="V316" s="108" t="n">
        <v>-0.09</v>
      </c>
      <c r="W316" s="108" t="n">
        <v>1.37</v>
      </c>
      <c r="X316" s="109" t="n">
        <v>0.05</v>
      </c>
      <c r="Y316" s="109" t="n">
        <v>0</v>
      </c>
      <c r="Z316" s="109" t="n">
        <v>25.01</v>
      </c>
      <c r="AA316" s="109" t="n">
        <v>0.14</v>
      </c>
      <c r="AB316" s="109" t="n">
        <v>0.38</v>
      </c>
      <c r="AC316" s="108" t="n">
        <v>-0.05</v>
      </c>
      <c r="AD316" s="108" t="n">
        <v>-0.05</v>
      </c>
      <c r="AE316" s="108" t="n">
        <v>-0.01</v>
      </c>
      <c r="AF316" s="108" t="n">
        <v>0.13</v>
      </c>
      <c r="AG316" s="108" t="n">
        <v>0.16</v>
      </c>
      <c r="AH316" s="108" t="n">
        <v>0.51</v>
      </c>
      <c r="AI316" s="108" t="n">
        <v>2.12</v>
      </c>
      <c r="AJ316" s="108" t="n">
        <v>3.14</v>
      </c>
      <c r="AK316" s="110" t="inlineStr">
        <is>
          <t>Safe</t>
        </is>
      </c>
      <c r="AL316" s="108" t="n">
        <v>-0.01</v>
      </c>
      <c r="AM316" s="108" t="n">
        <v>0.13</v>
      </c>
      <c r="AN316" s="108" t="n">
        <v>0.16</v>
      </c>
      <c r="AO316" s="108" t="n">
        <v>0.51</v>
      </c>
      <c r="AP316" s="108" t="n">
        <v>2.12</v>
      </c>
      <c r="AQ316" s="107" t="n">
        <v>2.94</v>
      </c>
      <c r="AR316" s="107" t="inlineStr">
        <is>
          <t>Safe</t>
        </is>
      </c>
      <c r="AS316" s="108" t="n">
        <v>-0.01</v>
      </c>
      <c r="AT316" s="108" t="n">
        <v>0.13</v>
      </c>
      <c r="AU316" s="108" t="n">
        <v>0.16</v>
      </c>
      <c r="AV316" s="108" t="n">
        <v>0.51</v>
      </c>
      <c r="AW316" s="107" t="n">
        <v>1.99</v>
      </c>
      <c r="AX316" s="107" t="inlineStr">
        <is>
          <t>Grey</t>
        </is>
      </c>
      <c r="AY316" s="108" t="n">
        <v>-0.01</v>
      </c>
      <c r="AZ316" s="108" t="n">
        <v>0.16</v>
      </c>
      <c r="BA316" s="108" t="n">
        <v>0.79</v>
      </c>
      <c r="BB316" s="108" t="n">
        <v>2.12</v>
      </c>
      <c r="BC316" s="107" t="n">
        <v>1.86</v>
      </c>
      <c r="BD316" s="107" t="inlineStr">
        <is>
          <t>Healthy</t>
        </is>
      </c>
      <c r="BE316" s="108" t="n">
        <v>0.13</v>
      </c>
      <c r="BF316" s="108" t="n">
        <v>0.66</v>
      </c>
      <c r="BG316" s="108" t="n">
        <v>0.93</v>
      </c>
      <c r="BH316" s="108" t="n">
        <v>-1.14</v>
      </c>
      <c r="BI316" s="107" t="n">
        <v>0.24</v>
      </c>
      <c r="BJ316" s="107" t="inlineStr">
        <is>
          <t>Healthy</t>
        </is>
      </c>
      <c r="BK316" s="107" t="n">
        <v>1</v>
      </c>
      <c r="BL316" s="107" t="n">
        <v>1</v>
      </c>
      <c r="BM316" s="107" t="n">
        <v>1</v>
      </c>
      <c r="BN316" s="107" t="n">
        <v>1</v>
      </c>
      <c r="BO316" s="107" t="n">
        <v>1</v>
      </c>
      <c r="BP316" s="107" t="n">
        <v>0</v>
      </c>
      <c r="BQ316" s="107" t="n">
        <v>1</v>
      </c>
      <c r="BR316" s="107" t="n">
        <v>1</v>
      </c>
      <c r="BS316" s="107" t="n">
        <v>0</v>
      </c>
      <c r="BT316" s="107" t="n">
        <v>7</v>
      </c>
      <c r="BU316" s="107" t="inlineStr">
        <is>
          <t>Strong</t>
        </is>
      </c>
      <c r="BV316" s="108" t="n">
        <v>1.85</v>
      </c>
      <c r="BW316" s="108" t="n">
        <v>0.98</v>
      </c>
      <c r="BX316" s="108" t="n">
        <v>1</v>
      </c>
      <c r="BY316" s="108" t="n">
        <v>1.14</v>
      </c>
      <c r="BZ316" s="108" t="n">
        <v>0.98</v>
      </c>
      <c r="CA316" s="108" t="n">
        <v>0.98</v>
      </c>
      <c r="CB316" s="108" t="n">
        <v>1.04</v>
      </c>
      <c r="CC316" s="108" t="n">
        <v>-0.05</v>
      </c>
      <c r="CD316" s="107" t="n">
        <v>-1.81</v>
      </c>
      <c r="CE316" s="107" t="inlineStr">
        <is>
          <t>Higher Risk</t>
        </is>
      </c>
      <c r="CF316" s="108" t="n">
        <v>-0.15</v>
      </c>
      <c r="CG316" s="108" t="n">
        <v>56.05</v>
      </c>
      <c r="CH316" s="107" t="n">
        <v>20</v>
      </c>
      <c r="CI316" s="107" t="inlineStr">
        <is>
          <t>CLEAR</t>
        </is>
      </c>
    </row>
    <row r="317" ht="17" customHeight="1">
      <c r="A317" s="103" t="inlineStr">
        <is>
          <t>BKR</t>
        </is>
      </c>
      <c r="B317" s="103" t="inlineStr">
        <is>
          <t>Baker Hughes Co</t>
        </is>
      </c>
      <c r="C317" s="104" t="n">
        <v>4951000000</v>
      </c>
      <c r="D317" s="105" t="n">
        <v>0.11</v>
      </c>
      <c r="E317" s="105" t="n">
        <v>0.1</v>
      </c>
      <c r="F317" s="105" t="n">
        <v>0.09</v>
      </c>
      <c r="G317" s="105" t="n">
        <v>0.06</v>
      </c>
      <c r="H317" s="105" t="n">
        <v>0.08</v>
      </c>
      <c r="I317" s="105" t="n">
        <v>0.14</v>
      </c>
      <c r="J317" s="105" t="n">
        <v>0.11</v>
      </c>
      <c r="K317" s="105" t="n">
        <v>0.16</v>
      </c>
      <c r="L317" s="105" t="n">
        <v>0.05</v>
      </c>
      <c r="M317" s="105" t="n">
        <v>0.68</v>
      </c>
      <c r="N317" s="104" t="n">
        <v>0.73</v>
      </c>
      <c r="O317" s="104" t="n">
        <v>1.36</v>
      </c>
      <c r="P317" s="104" t="n">
        <v>1.32</v>
      </c>
      <c r="Q317" s="104" t="n">
        <v>1</v>
      </c>
      <c r="R317" s="104" t="n">
        <v>0.51</v>
      </c>
      <c r="S317" s="104" t="n">
        <v>1</v>
      </c>
      <c r="T317" s="104" t="n">
        <v>1</v>
      </c>
      <c r="U317" s="104" t="n">
        <v>0.04</v>
      </c>
      <c r="V317" s="104" t="n">
        <v>-0.34</v>
      </c>
      <c r="W317" s="104" t="n">
        <v>1.47</v>
      </c>
      <c r="X317" s="105" t="n">
        <v>0.09</v>
      </c>
      <c r="Y317" s="105" t="n">
        <v>0.02</v>
      </c>
      <c r="Z317" s="105" t="n">
        <v>28.27</v>
      </c>
      <c r="AA317" s="105" t="n">
        <v>-0</v>
      </c>
      <c r="AB317" s="105" t="n">
        <v>-0.13</v>
      </c>
      <c r="AC317" s="104" t="n">
        <v>-0.03</v>
      </c>
      <c r="AD317" s="104" t="n">
        <v>-0.03</v>
      </c>
      <c r="AE317" s="104" t="n">
        <v>0.12</v>
      </c>
      <c r="AF317" s="104" t="n">
        <v>-0.08</v>
      </c>
      <c r="AG317" s="104" t="n">
        <v>0.08</v>
      </c>
      <c r="AH317" s="104" t="n">
        <v>0.46</v>
      </c>
      <c r="AI317" s="104" t="n">
        <v>0.68</v>
      </c>
      <c r="AJ317" s="104" t="n">
        <v>1.24</v>
      </c>
      <c r="AK317" s="112" t="inlineStr">
        <is>
          <t>Distress</t>
        </is>
      </c>
      <c r="AL317" s="104" t="n">
        <v>0.12</v>
      </c>
      <c r="AM317" s="104" t="n">
        <v>-0.08</v>
      </c>
      <c r="AN317" s="104" t="n">
        <v>0.08</v>
      </c>
      <c r="AO317" s="104" t="n">
        <v>0.46</v>
      </c>
      <c r="AP317" s="104" t="n">
        <v>0.68</v>
      </c>
      <c r="AQ317" s="103" t="n">
        <v>1.12</v>
      </c>
      <c r="AR317" s="103" t="inlineStr">
        <is>
          <t>Distress</t>
        </is>
      </c>
      <c r="AS317" s="104" t="n">
        <v>0.12</v>
      </c>
      <c r="AT317" s="104" t="n">
        <v>-0.08</v>
      </c>
      <c r="AU317" s="104" t="n">
        <v>0.08</v>
      </c>
      <c r="AV317" s="104" t="n">
        <v>0.46</v>
      </c>
      <c r="AW317" s="103" t="n">
        <v>1.53</v>
      </c>
      <c r="AX317" s="103" t="inlineStr">
        <is>
          <t>Grey</t>
        </is>
      </c>
      <c r="AY317" s="104" t="n">
        <v>0.12</v>
      </c>
      <c r="AZ317" s="104" t="n">
        <v>0.08</v>
      </c>
      <c r="BA317" s="104" t="n">
        <v>0.21</v>
      </c>
      <c r="BB317" s="104" t="n">
        <v>0.68</v>
      </c>
      <c r="BC317" s="103" t="n">
        <v>0.76</v>
      </c>
      <c r="BD317" s="103" t="inlineStr">
        <is>
          <t>Distress</t>
        </is>
      </c>
      <c r="BE317" s="104" t="n">
        <v>0.06</v>
      </c>
      <c r="BF317" s="104" t="n">
        <v>1</v>
      </c>
      <c r="BG317" s="104" t="n">
        <v>1.36</v>
      </c>
      <c r="BH317" s="104" t="n">
        <v>1.06</v>
      </c>
      <c r="BI317" s="103" t="n">
        <v>0.74</v>
      </c>
      <c r="BJ317" s="103" t="inlineStr">
        <is>
          <t>Distress</t>
        </is>
      </c>
      <c r="BK317" s="103" t="n">
        <v>1</v>
      </c>
      <c r="BL317" s="103" t="n">
        <v>1</v>
      </c>
      <c r="BM317" s="103" t="n">
        <v>0</v>
      </c>
      <c r="BN317" s="103" t="n">
        <v>1</v>
      </c>
      <c r="BO317" s="103" t="n">
        <v>0</v>
      </c>
      <c r="BP317" s="103" t="n">
        <v>1</v>
      </c>
      <c r="BQ317" s="103" t="n">
        <v>0</v>
      </c>
      <c r="BR317" s="103" t="n">
        <v>1</v>
      </c>
      <c r="BS317" s="103" t="n">
        <v>0</v>
      </c>
      <c r="BT317" s="103" t="n">
        <v>5</v>
      </c>
      <c r="BU317" s="103" t="inlineStr">
        <is>
          <t>Mixed</t>
        </is>
      </c>
      <c r="BV317" s="104" t="n">
        <v>0.9399999999999999</v>
      </c>
      <c r="BW317" s="104" t="n">
        <v>0.29</v>
      </c>
      <c r="BX317" s="104" t="n">
        <v>0.98</v>
      </c>
      <c r="BY317" s="104" t="n">
        <v>1</v>
      </c>
      <c r="BZ317" s="104" t="n">
        <v>0.99</v>
      </c>
      <c r="CA317" s="104" t="n">
        <v>0.97</v>
      </c>
      <c r="CB317" s="104" t="n">
        <v>1</v>
      </c>
      <c r="CC317" s="104" t="n">
        <v>-0.03</v>
      </c>
      <c r="CD317" s="103" t="n">
        <v>-3.06</v>
      </c>
      <c r="CE317" s="103" t="inlineStr">
        <is>
          <t>Lower Risk</t>
        </is>
      </c>
      <c r="CF317" s="104" t="n">
        <v>-1.48</v>
      </c>
      <c r="CG317" s="104" t="n">
        <v>46.88</v>
      </c>
      <c r="CH317" s="103" t="n">
        <v>0</v>
      </c>
      <c r="CI317" s="103" t="inlineStr">
        <is>
          <t>CLEAR</t>
        </is>
      </c>
    </row>
    <row r="318" ht="17" customHeight="1">
      <c r="A318" s="107" t="inlineStr">
        <is>
          <t>PH</t>
        </is>
      </c>
      <c r="B318" s="107" t="inlineStr">
        <is>
          <t>PARKER-HANNIFIN CORPORATION</t>
        </is>
      </c>
      <c r="C318" s="108" t="n">
        <v>1131000000</v>
      </c>
      <c r="D318" s="109" t="n">
        <v>0.3</v>
      </c>
      <c r="E318" s="109" t="n">
        <v>0.29</v>
      </c>
      <c r="F318" s="109" t="n">
        <v>0.2</v>
      </c>
      <c r="G318" s="109" t="n">
        <v>0.1</v>
      </c>
      <c r="H318" s="109" t="n">
        <v>0.07000000000000001</v>
      </c>
      <c r="I318" s="109" t="n">
        <v>0.21</v>
      </c>
      <c r="J318" s="109" t="n">
        <v>0.18</v>
      </c>
      <c r="K318" s="109" t="n">
        <v>0.2</v>
      </c>
      <c r="L318" s="109" t="n">
        <v>0.22</v>
      </c>
      <c r="M318" s="109" t="n">
        <v>0.48</v>
      </c>
      <c r="N318" s="108" t="n">
        <v>0.13</v>
      </c>
      <c r="O318" s="108" t="n">
        <v>1.19</v>
      </c>
      <c r="P318" s="108" t="n">
        <v>0.93</v>
      </c>
      <c r="Q318" s="108" t="n">
        <v>0.71</v>
      </c>
      <c r="R318" s="108" t="n">
        <v>0.08</v>
      </c>
      <c r="S318" s="108" t="n">
        <v>0.54</v>
      </c>
      <c r="T318" s="108" t="n">
        <v>0.59</v>
      </c>
      <c r="U318" s="108" t="n">
        <v>0.55</v>
      </c>
      <c r="V318" s="108" t="n">
        <v>0.51</v>
      </c>
      <c r="W318" s="108" t="n">
        <v>1.33</v>
      </c>
      <c r="X318" s="109" t="n">
        <v>0.23</v>
      </c>
      <c r="Y318" s="109" t="n">
        <v>0.02</v>
      </c>
      <c r="Z318" s="109" t="n">
        <v>7.57</v>
      </c>
      <c r="AA318" s="109" t="n">
        <v>2.75</v>
      </c>
      <c r="AB318" s="109" t="n">
        <v>0.37</v>
      </c>
      <c r="AC318" s="108" t="n">
        <v>-0.03</v>
      </c>
      <c r="AD318" s="108" t="n">
        <v>-0.03</v>
      </c>
      <c r="AE318" s="108" t="n">
        <v>0.04</v>
      </c>
      <c r="AF318" s="108" t="n">
        <v>0.74</v>
      </c>
      <c r="AG318" s="108" t="n">
        <v>0.15</v>
      </c>
      <c r="AH318" s="108" t="n">
        <v>0.87</v>
      </c>
      <c r="AI318" s="108" t="n">
        <v>0.48</v>
      </c>
      <c r="AJ318" s="108" t="n">
        <v>2.57</v>
      </c>
      <c r="AK318" s="106" t="inlineStr">
        <is>
          <t>Grey</t>
        </is>
      </c>
      <c r="AL318" s="108" t="n">
        <v>0.04</v>
      </c>
      <c r="AM318" s="108" t="n">
        <v>0.74</v>
      </c>
      <c r="AN318" s="108" t="n">
        <v>0.15</v>
      </c>
      <c r="AO318" s="108" t="n">
        <v>0.87</v>
      </c>
      <c r="AP318" s="108" t="n">
        <v>0.48</v>
      </c>
      <c r="AQ318" s="107" t="n">
        <v>1.96</v>
      </c>
      <c r="AR318" s="107" t="inlineStr">
        <is>
          <t>Grey</t>
        </is>
      </c>
      <c r="AS318" s="108" t="n">
        <v>0.04</v>
      </c>
      <c r="AT318" s="108" t="n">
        <v>0.74</v>
      </c>
      <c r="AU318" s="108" t="n">
        <v>0.15</v>
      </c>
      <c r="AV318" s="108" t="n">
        <v>0.87</v>
      </c>
      <c r="AW318" s="107" t="n">
        <v>4.56</v>
      </c>
      <c r="AX318" s="107" t="inlineStr">
        <is>
          <t>Safe</t>
        </is>
      </c>
      <c r="AY318" s="108" t="n">
        <v>0.04</v>
      </c>
      <c r="AZ318" s="108" t="n">
        <v>0.15</v>
      </c>
      <c r="BA318" s="108" t="n">
        <v>0.71</v>
      </c>
      <c r="BB318" s="108" t="n">
        <v>0.48</v>
      </c>
      <c r="BC318" s="107" t="n">
        <v>1.15</v>
      </c>
      <c r="BD318" s="107" t="inlineStr">
        <is>
          <t>Healthy</t>
        </is>
      </c>
      <c r="BE318" s="108" t="n">
        <v>0.1</v>
      </c>
      <c r="BF318" s="108" t="n">
        <v>0.54</v>
      </c>
      <c r="BG318" s="108" t="n">
        <v>1.19</v>
      </c>
      <c r="BH318" s="108" t="n">
        <v>-1.72</v>
      </c>
      <c r="BI318" s="107" t="n">
        <v>0.15</v>
      </c>
      <c r="BJ318" s="107" t="inlineStr">
        <is>
          <t>Healthy</t>
        </is>
      </c>
      <c r="BK318" s="107" t="n">
        <v>1</v>
      </c>
      <c r="BL318" s="107" t="n">
        <v>1</v>
      </c>
      <c r="BM318" s="107" t="n">
        <v>1</v>
      </c>
      <c r="BN318" s="107" t="n">
        <v>1</v>
      </c>
      <c r="BO318" s="107" t="n">
        <v>1</v>
      </c>
      <c r="BP318" s="107" t="n">
        <v>1</v>
      </c>
      <c r="BQ318" s="107" t="n">
        <v>1</v>
      </c>
      <c r="BR318" s="107" t="n">
        <v>0</v>
      </c>
      <c r="BS318" s="107" t="n">
        <v>1</v>
      </c>
      <c r="BT318" s="107" t="n">
        <v>8</v>
      </c>
      <c r="BU318" s="107" t="inlineStr">
        <is>
          <t>Strong</t>
        </is>
      </c>
      <c r="BV318" s="108" t="n">
        <v>0.27</v>
      </c>
      <c r="BW318" s="108" t="n">
        <v>1.11</v>
      </c>
      <c r="BX318" s="108" t="n">
        <v>0.99</v>
      </c>
      <c r="BY318" s="108" t="n">
        <v>3.75</v>
      </c>
      <c r="BZ318" s="108" t="n">
        <v>1.01</v>
      </c>
      <c r="CA318" s="108" t="n">
        <v>0.26</v>
      </c>
      <c r="CB318" s="108" t="n">
        <v>0.91</v>
      </c>
      <c r="CC318" s="108" t="n">
        <v>-0.03</v>
      </c>
      <c r="CD318" s="107" t="n">
        <v>-0.64</v>
      </c>
      <c r="CE318" s="107" t="inlineStr">
        <is>
          <t>Higher Risk</t>
        </is>
      </c>
      <c r="CF318" s="108" t="n">
        <v>1.5</v>
      </c>
      <c r="CG318" s="108" t="n">
        <v>57.25</v>
      </c>
      <c r="CH318" s="107" t="n">
        <v>20</v>
      </c>
      <c r="CI318" s="107" t="inlineStr">
        <is>
          <t>CLEAR</t>
        </is>
      </c>
    </row>
    <row r="319" ht="17" customHeight="1">
      <c r="A319" s="103" t="inlineStr">
        <is>
          <t>OXY</t>
        </is>
      </c>
      <c r="B319" s="103" t="inlineStr">
        <is>
          <t>OCCIDENTAL PETROLEUM CORPORATION</t>
        </is>
      </c>
      <c r="C319" s="104" t="n">
        <v>-601000000</v>
      </c>
      <c r="D319" s="105" t="n">
        <v>0.14</v>
      </c>
      <c r="E319" s="105" t="n">
        <v>0.14</v>
      </c>
      <c r="F319" s="105" t="n">
        <v>0.22</v>
      </c>
      <c r="G319" s="105" t="n">
        <v>0.06</v>
      </c>
      <c r="H319" s="105" t="n">
        <v>0.16</v>
      </c>
      <c r="I319" s="105" t="n">
        <v>0.13</v>
      </c>
      <c r="J319" s="105" t="n">
        <v>0.04</v>
      </c>
      <c r="K319" s="105" t="n">
        <v>0.86</v>
      </c>
      <c r="L319" s="105" t="n">
        <v>0.88</v>
      </c>
      <c r="M319" s="105" t="n">
        <v>0.26</v>
      </c>
      <c r="N319" s="104" t="n">
        <v>0.31</v>
      </c>
      <c r="O319" s="104" t="n">
        <v>0.9399999999999999</v>
      </c>
      <c r="P319" s="104" t="n">
        <v>0.95</v>
      </c>
      <c r="Q319" s="104" t="n">
        <v>0.74</v>
      </c>
      <c r="R319" s="104" t="n">
        <v>0.21</v>
      </c>
      <c r="S319" s="104" t="n">
        <v>1</v>
      </c>
      <c r="T319" s="104" t="n">
        <v>1</v>
      </c>
      <c r="U319" s="104" t="n">
        <v>0.61</v>
      </c>
      <c r="V319" s="104" t="n">
        <v>0.5600000000000001</v>
      </c>
      <c r="W319" s="104" t="n">
        <v>2.24</v>
      </c>
      <c r="X319" s="105" t="n">
        <v>0.19</v>
      </c>
      <c r="Y319" s="105" t="n">
        <v>0</v>
      </c>
      <c r="Z319" s="105" t="n">
        <v>10.03</v>
      </c>
      <c r="AA319" s="105" t="n">
        <v>-0.19</v>
      </c>
      <c r="AB319" s="105" t="n">
        <v>-0.65</v>
      </c>
      <c r="AC319" s="104" t="n">
        <v>-0.07000000000000001</v>
      </c>
      <c r="AD319" s="104" t="n">
        <v>-0.07000000000000001</v>
      </c>
      <c r="AE319" s="104" t="n">
        <v>-0.01</v>
      </c>
      <c r="AF319" s="104" t="n">
        <v>0.26</v>
      </c>
      <c r="AG319" s="104" t="n">
        <v>0.04</v>
      </c>
      <c r="AH319" s="104" t="n">
        <v>0.43</v>
      </c>
      <c r="AI319" s="104" t="n">
        <v>0.26</v>
      </c>
      <c r="AJ319" s="104" t="n">
        <v>0.99</v>
      </c>
      <c r="AK319" s="112" t="inlineStr">
        <is>
          <t>Distress</t>
        </is>
      </c>
      <c r="AL319" s="104" t="n">
        <v>-0.01</v>
      </c>
      <c r="AM319" s="104" t="n">
        <v>0.26</v>
      </c>
      <c r="AN319" s="104" t="n">
        <v>0.04</v>
      </c>
      <c r="AO319" s="104" t="n">
        <v>0.43</v>
      </c>
      <c r="AP319" s="104" t="n">
        <v>0.26</v>
      </c>
      <c r="AQ319" s="103" t="n">
        <v>0.77</v>
      </c>
      <c r="AR319" s="103" t="inlineStr">
        <is>
          <t>Distress</t>
        </is>
      </c>
      <c r="AS319" s="104" t="n">
        <v>-0.01</v>
      </c>
      <c r="AT319" s="104" t="n">
        <v>0.26</v>
      </c>
      <c r="AU319" s="104" t="n">
        <v>0.04</v>
      </c>
      <c r="AV319" s="104" t="n">
        <v>0.43</v>
      </c>
      <c r="AW319" s="103" t="n">
        <v>1.5</v>
      </c>
      <c r="AX319" s="103" t="inlineStr">
        <is>
          <t>Grey</t>
        </is>
      </c>
      <c r="AY319" s="104" t="n">
        <v>-0.01</v>
      </c>
      <c r="AZ319" s="104" t="n">
        <v>0.04</v>
      </c>
      <c r="BA319" s="104" t="n">
        <v>0.33</v>
      </c>
      <c r="BB319" s="104" t="n">
        <v>0.26</v>
      </c>
      <c r="BC319" s="103" t="n">
        <v>0.43</v>
      </c>
      <c r="BD319" s="103" t="inlineStr">
        <is>
          <t>Distress</t>
        </is>
      </c>
      <c r="BE319" s="104" t="n">
        <v>0.06</v>
      </c>
      <c r="BF319" s="104" t="n">
        <v>1</v>
      </c>
      <c r="BG319" s="104" t="n">
        <v>0.9399999999999999</v>
      </c>
      <c r="BH319" s="104" t="n">
        <v>1.1</v>
      </c>
      <c r="BI319" s="103" t="n">
        <v>0.75</v>
      </c>
      <c r="BJ319" s="103" t="inlineStr">
        <is>
          <t>Distress</t>
        </is>
      </c>
      <c r="BK319" s="103" t="n">
        <v>1</v>
      </c>
      <c r="BL319" s="103" t="n">
        <v>1</v>
      </c>
      <c r="BM319" s="103" t="n">
        <v>0</v>
      </c>
      <c r="BN319" s="103" t="n">
        <v>1</v>
      </c>
      <c r="BO319" s="103" t="n">
        <v>1</v>
      </c>
      <c r="BP319" s="103" t="n">
        <v>0</v>
      </c>
      <c r="BQ319" s="103" t="n">
        <v>0</v>
      </c>
      <c r="BR319" s="103" t="n">
        <v>0</v>
      </c>
      <c r="BS319" s="103" t="n">
        <v>0</v>
      </c>
      <c r="BT319" s="103" t="n">
        <v>4</v>
      </c>
      <c r="BU319" s="103" t="inlineStr">
        <is>
          <t>Mixed</t>
        </is>
      </c>
      <c r="BV319" s="104" t="n">
        <v>0.9</v>
      </c>
      <c r="BW319" s="104" t="n">
        <v>1.03</v>
      </c>
      <c r="BX319" s="104" t="n">
        <v>-0.12</v>
      </c>
      <c r="BY319" s="104" t="n">
        <v>0.8100000000000001</v>
      </c>
      <c r="BZ319" s="104" t="n">
        <v>2.22</v>
      </c>
      <c r="CA319" s="104" t="n">
        <v>1.15</v>
      </c>
      <c r="CB319" s="104" t="n">
        <v>1</v>
      </c>
      <c r="CC319" s="104" t="n">
        <v>-0.07000000000000001</v>
      </c>
      <c r="CD319" s="103" t="n">
        <v>-3.38</v>
      </c>
      <c r="CE319" s="103" t="inlineStr">
        <is>
          <t>Lower Risk</t>
        </is>
      </c>
      <c r="CF319" s="104" t="n">
        <v>1.88</v>
      </c>
      <c r="CG319" s="104" t="n">
        <v>41.74</v>
      </c>
      <c r="CH319" s="103" t="n">
        <v>0</v>
      </c>
      <c r="CI319" s="103" t="inlineStr">
        <is>
          <t>CLEAR</t>
        </is>
      </c>
    </row>
    <row r="320" ht="17" customHeight="1">
      <c r="A320" s="107" t="inlineStr">
        <is>
          <t>KEY</t>
        </is>
      </c>
      <c r="B320" s="107" t="inlineStr">
        <is>
          <t>KEYCORP /NEW/</t>
        </is>
      </c>
      <c r="C320" s="111" t="inlineStr">
        <is>
          <t>N/A</t>
        </is>
      </c>
      <c r="D320" s="109" t="n">
        <v>0.31</v>
      </c>
      <c r="E320" s="109" t="n">
        <v>0.31</v>
      </c>
      <c r="F320" s="109" t="n">
        <v>0.24</v>
      </c>
      <c r="G320" s="109" t="n">
        <v>0.01</v>
      </c>
      <c r="H320" s="109" t="n">
        <v>-0</v>
      </c>
      <c r="I320" s="109" t="n">
        <v>0.09</v>
      </c>
      <c r="J320" s="111" t="inlineStr">
        <is>
          <t>N/A</t>
        </is>
      </c>
      <c r="K320" s="109" t="n">
        <v>0.02</v>
      </c>
      <c r="L320" s="109" t="n">
        <v>0</v>
      </c>
      <c r="M320" s="109" t="n">
        <v>0.04</v>
      </c>
      <c r="N320" s="108" t="n">
        <v>0.02</v>
      </c>
      <c r="O320" s="111" t="inlineStr">
        <is>
          <t>N/A</t>
        </is>
      </c>
      <c r="P320" s="111" t="inlineStr">
        <is>
          <t>N/A</t>
        </is>
      </c>
      <c r="Q320" s="111" t="inlineStr">
        <is>
          <t>N/A</t>
        </is>
      </c>
      <c r="R320" s="111" t="inlineStr">
        <is>
          <t>N/A</t>
        </is>
      </c>
      <c r="S320" s="108" t="n">
        <v>0.89</v>
      </c>
      <c r="T320" s="108" t="n">
        <v>0.9</v>
      </c>
      <c r="U320" s="108" t="n">
        <v>0.5</v>
      </c>
      <c r="V320" s="108" t="n">
        <v>0.5</v>
      </c>
      <c r="W320" s="108" t="n">
        <v>1.21</v>
      </c>
      <c r="X320" s="109" t="n">
        <v>0.27</v>
      </c>
      <c r="Y320" s="109" t="n">
        <v>0</v>
      </c>
      <c r="Z320" s="109" t="n">
        <v>0.57</v>
      </c>
      <c r="AA320" s="109" t="n">
        <v>0.63</v>
      </c>
      <c r="AB320" s="109" t="n">
        <v>-12.36</v>
      </c>
      <c r="AC320" s="108" t="n">
        <v>-0</v>
      </c>
      <c r="AD320" s="108" t="n">
        <v>-0</v>
      </c>
      <c r="AE320" s="111" t="inlineStr">
        <is>
          <t>N/A</t>
        </is>
      </c>
      <c r="AF320" s="108" t="n">
        <v>0.08</v>
      </c>
      <c r="AG320" s="108" t="n">
        <v>0.01</v>
      </c>
      <c r="AH320" s="108" t="n">
        <v>0.12</v>
      </c>
      <c r="AI320" s="108" t="n">
        <v>0.04</v>
      </c>
      <c r="AJ320" s="111" t="inlineStr">
        <is>
          <t>N/A</t>
        </is>
      </c>
      <c r="AK320" s="111" t="inlineStr">
        <is>
          <t>N/A</t>
        </is>
      </c>
      <c r="AL320" s="111" t="inlineStr">
        <is>
          <t>N/A</t>
        </is>
      </c>
      <c r="AM320" s="108" t="n">
        <v>0.08</v>
      </c>
      <c r="AN320" s="108" t="n">
        <v>0.01</v>
      </c>
      <c r="AO320" s="108" t="n">
        <v>0.12</v>
      </c>
      <c r="AP320" s="108" t="n">
        <v>0.04</v>
      </c>
      <c r="AQ320" s="111" t="inlineStr">
        <is>
          <t>N/A</t>
        </is>
      </c>
      <c r="AR320" s="111" t="inlineStr">
        <is>
          <t>N/A</t>
        </is>
      </c>
      <c r="AS320" s="111" t="inlineStr">
        <is>
          <t>N/A</t>
        </is>
      </c>
      <c r="AT320" s="108" t="n">
        <v>0.08</v>
      </c>
      <c r="AU320" s="108" t="n">
        <v>0.01</v>
      </c>
      <c r="AV320" s="108" t="n">
        <v>0.12</v>
      </c>
      <c r="AW320" s="111" t="inlineStr">
        <is>
          <t>N/A</t>
        </is>
      </c>
      <c r="AX320" s="111" t="inlineStr">
        <is>
          <t>N/A</t>
        </is>
      </c>
      <c r="AY320" s="111" t="inlineStr">
        <is>
          <t>N/A</t>
        </is>
      </c>
      <c r="AZ320" s="108" t="n">
        <v>0.01</v>
      </c>
      <c r="BA320" s="111" t="inlineStr">
        <is>
          <t>N/A</t>
        </is>
      </c>
      <c r="BB320" s="108" t="n">
        <v>0.04</v>
      </c>
      <c r="BC320" s="111" t="inlineStr">
        <is>
          <t>N/A</t>
        </is>
      </c>
      <c r="BD320" s="111" t="inlineStr">
        <is>
          <t>N/A</t>
        </is>
      </c>
      <c r="BE320" s="108" t="n">
        <v>0.01</v>
      </c>
      <c r="BF320" s="108" t="n">
        <v>0.89</v>
      </c>
      <c r="BG320" s="111" t="inlineStr">
        <is>
          <t>N/A</t>
        </is>
      </c>
      <c r="BH320" s="111" t="inlineStr">
        <is>
          <t>N/A</t>
        </is>
      </c>
      <c r="BI320" s="111" t="inlineStr">
        <is>
          <t>N/A</t>
        </is>
      </c>
      <c r="BJ320" s="111" t="inlineStr">
        <is>
          <t>N/A</t>
        </is>
      </c>
      <c r="BK320" s="107" t="n">
        <v>1</v>
      </c>
      <c r="BL320" s="107" t="n">
        <v>1</v>
      </c>
      <c r="BM320" s="107" t="n">
        <v>1</v>
      </c>
      <c r="BN320" s="107" t="n">
        <v>1</v>
      </c>
      <c r="BO320" s="107" t="n">
        <v>1</v>
      </c>
      <c r="BP320" s="107" t="n">
        <v>0</v>
      </c>
      <c r="BQ320" s="107" t="n">
        <v>1</v>
      </c>
      <c r="BR320" s="107" t="n">
        <v>1</v>
      </c>
      <c r="BS320" s="107" t="n">
        <v>1</v>
      </c>
      <c r="BT320" s="107" t="n">
        <v>8</v>
      </c>
      <c r="BU320" s="107" t="inlineStr">
        <is>
          <t>Strong</t>
        </is>
      </c>
      <c r="BV320" s="111" t="inlineStr">
        <is>
          <t>N/A</t>
        </is>
      </c>
      <c r="BW320" s="111" t="inlineStr">
        <is>
          <t>N/A</t>
        </is>
      </c>
      <c r="BX320" s="108" t="n">
        <v>1</v>
      </c>
      <c r="BY320" s="108" t="n">
        <v>1.63</v>
      </c>
      <c r="BZ320" s="108" t="n">
        <v>1.08</v>
      </c>
      <c r="CA320" s="111" t="inlineStr">
        <is>
          <t>N/A</t>
        </is>
      </c>
      <c r="CB320" s="108" t="n">
        <v>0.99</v>
      </c>
      <c r="CC320" s="108" t="n">
        <v>-0</v>
      </c>
      <c r="CD320" s="111" t="inlineStr">
        <is>
          <t>N/A</t>
        </is>
      </c>
      <c r="CE320" s="111" t="inlineStr">
        <is>
          <t>N/A</t>
        </is>
      </c>
      <c r="CF320" s="108" t="n">
        <v>4.05</v>
      </c>
      <c r="CG320" s="108" t="n">
        <v>54.61</v>
      </c>
      <c r="CH320" s="107" t="n">
        <v>0</v>
      </c>
      <c r="CI320" s="107" t="inlineStr">
        <is>
          <t>CLEAR</t>
        </is>
      </c>
    </row>
    <row r="321" ht="17" customHeight="1">
      <c r="A321" s="103" t="inlineStr">
        <is>
          <t>AMZN</t>
        </is>
      </c>
      <c r="B321" s="103" t="inlineStr">
        <is>
          <t>AMAZON COM INC</t>
        </is>
      </c>
      <c r="C321" s="104" t="n">
        <v>11078000000</v>
      </c>
      <c r="D321" s="105" t="n">
        <v>0.11</v>
      </c>
      <c r="E321" s="105" t="n">
        <v>0.12</v>
      </c>
      <c r="F321" s="105" t="n">
        <v>0.11</v>
      </c>
      <c r="G321" s="105" t="n">
        <v>0.09</v>
      </c>
      <c r="H321" s="105" t="n">
        <v>0.09</v>
      </c>
      <c r="I321" s="105" t="n">
        <v>0.19</v>
      </c>
      <c r="J321" s="105" t="n">
        <v>0.13</v>
      </c>
      <c r="K321" s="105" t="n">
        <v>0.01</v>
      </c>
      <c r="L321" s="105" t="n">
        <v>0.01</v>
      </c>
      <c r="M321" s="105" t="n">
        <v>0.88</v>
      </c>
      <c r="N321" s="104" t="n">
        <v>1.02</v>
      </c>
      <c r="O321" s="104" t="n">
        <v>1.05</v>
      </c>
      <c r="P321" s="104" t="n">
        <v>1.06</v>
      </c>
      <c r="Q321" s="104" t="n">
        <v>0.88</v>
      </c>
      <c r="R321" s="104" t="n">
        <v>0.4</v>
      </c>
      <c r="S321" s="104" t="n">
        <v>1</v>
      </c>
      <c r="T321" s="104" t="n">
        <v>1</v>
      </c>
      <c r="U321" s="104" t="n">
        <v>0.17</v>
      </c>
      <c r="V321" s="104" t="n">
        <v>-0.04</v>
      </c>
      <c r="W321" s="104" t="n">
        <v>1.8</v>
      </c>
      <c r="X321" s="105" t="n">
        <v>0.19</v>
      </c>
      <c r="Y321" s="113" t="inlineStr">
        <is>
          <t>N/A</t>
        </is>
      </c>
      <c r="Z321" s="105" t="n">
        <v>25.13</v>
      </c>
      <c r="AA321" s="105" t="n">
        <v>0.12</v>
      </c>
      <c r="AB321" s="105" t="n">
        <v>0.31</v>
      </c>
      <c r="AC321" s="104" t="n">
        <v>-0.08</v>
      </c>
      <c r="AD321" s="104" t="n">
        <v>-0.08</v>
      </c>
      <c r="AE321" s="104" t="n">
        <v>0.01</v>
      </c>
      <c r="AF321" s="104" t="n">
        <v>0.31</v>
      </c>
      <c r="AG321" s="104" t="n">
        <v>0.1</v>
      </c>
      <c r="AH321" s="104" t="n">
        <v>0.5</v>
      </c>
      <c r="AI321" s="104" t="n">
        <v>0.88</v>
      </c>
      <c r="AJ321" s="104" t="n">
        <v>1.95</v>
      </c>
      <c r="AK321" s="106" t="inlineStr">
        <is>
          <t>Grey</t>
        </is>
      </c>
      <c r="AL321" s="104" t="n">
        <v>0.01</v>
      </c>
      <c r="AM321" s="104" t="n">
        <v>0.31</v>
      </c>
      <c r="AN321" s="104" t="n">
        <v>0.1</v>
      </c>
      <c r="AO321" s="104" t="n">
        <v>0.5</v>
      </c>
      <c r="AP321" s="104" t="n">
        <v>0.88</v>
      </c>
      <c r="AQ321" s="103" t="n">
        <v>1.66</v>
      </c>
      <c r="AR321" s="103" t="inlineStr">
        <is>
          <t>Grey</t>
        </is>
      </c>
      <c r="AS321" s="104" t="n">
        <v>0.01</v>
      </c>
      <c r="AT321" s="104" t="n">
        <v>0.31</v>
      </c>
      <c r="AU321" s="104" t="n">
        <v>0.1</v>
      </c>
      <c r="AV321" s="104" t="n">
        <v>0.5</v>
      </c>
      <c r="AW321" s="103" t="n">
        <v>2.27</v>
      </c>
      <c r="AX321" s="103" t="inlineStr">
        <is>
          <t>Grey</t>
        </is>
      </c>
      <c r="AY321" s="104" t="n">
        <v>0.01</v>
      </c>
      <c r="AZ321" s="104" t="n">
        <v>0.1</v>
      </c>
      <c r="BA321" s="104" t="n">
        <v>0.41</v>
      </c>
      <c r="BB321" s="104" t="n">
        <v>0.88</v>
      </c>
      <c r="BC321" s="103" t="n">
        <v>0.9399999999999999</v>
      </c>
      <c r="BD321" s="103" t="inlineStr">
        <is>
          <t>Healthy</t>
        </is>
      </c>
      <c r="BE321" s="104" t="n">
        <v>0.09</v>
      </c>
      <c r="BF321" s="104" t="n">
        <v>1</v>
      </c>
      <c r="BG321" s="104" t="n">
        <v>1.05</v>
      </c>
      <c r="BH321" s="104" t="n">
        <v>0.92</v>
      </c>
      <c r="BI321" s="103" t="n">
        <v>0.71</v>
      </c>
      <c r="BJ321" s="103" t="inlineStr">
        <is>
          <t>Distress</t>
        </is>
      </c>
      <c r="BK321" s="103" t="n">
        <v>1</v>
      </c>
      <c r="BL321" s="103" t="n">
        <v>1</v>
      </c>
      <c r="BM321" s="103" t="n">
        <v>1</v>
      </c>
      <c r="BN321" s="103" t="n">
        <v>1</v>
      </c>
      <c r="BO321" s="103" t="n">
        <v>1</v>
      </c>
      <c r="BP321" s="103" t="n">
        <v>0</v>
      </c>
      <c r="BQ321" s="103" t="n">
        <v>0</v>
      </c>
      <c r="BR321" s="103" t="n">
        <v>1</v>
      </c>
      <c r="BS321" s="103" t="n">
        <v>0</v>
      </c>
      <c r="BT321" s="103" t="n">
        <v>6</v>
      </c>
      <c r="BU321" s="103" t="inlineStr">
        <is>
          <t>Mixed</t>
        </is>
      </c>
      <c r="BV321" s="104" t="n">
        <v>1.09</v>
      </c>
      <c r="BW321" s="104" t="n">
        <v>0.87</v>
      </c>
      <c r="BX321" s="104" t="n">
        <v>0.98</v>
      </c>
      <c r="BY321" s="104" t="n">
        <v>1.12</v>
      </c>
      <c r="BZ321" s="104" t="n">
        <v>1.09</v>
      </c>
      <c r="CA321" s="104" t="n">
        <v>0.88</v>
      </c>
      <c r="CB321" s="104" t="n">
        <v>1</v>
      </c>
      <c r="CC321" s="104" t="n">
        <v>-0.08</v>
      </c>
      <c r="CD321" s="103" t="n">
        <v>-2.69</v>
      </c>
      <c r="CE321" s="103" t="inlineStr">
        <is>
          <t>Lower Risk</t>
        </is>
      </c>
      <c r="CF321" s="104" t="n">
        <v>-0.2</v>
      </c>
      <c r="CG321" s="104" t="n">
        <v>52.64</v>
      </c>
      <c r="CH321" s="103" t="n">
        <v>0</v>
      </c>
      <c r="CI321" s="103" t="inlineStr">
        <is>
          <t>CLEAR</t>
        </is>
      </c>
    </row>
    <row r="322" ht="17" customHeight="1">
      <c r="A322" s="107" t="inlineStr">
        <is>
          <t>HCA</t>
        </is>
      </c>
      <c r="B322" s="107" t="inlineStr">
        <is>
          <t>HCA Healthcare, Inc.</t>
        </is>
      </c>
      <c r="C322" s="108" t="n">
        <v>-567000000</v>
      </c>
      <c r="D322" s="109" t="n">
        <v>0.13</v>
      </c>
      <c r="E322" s="109" t="n">
        <v>0.13</v>
      </c>
      <c r="F322" s="109" t="n">
        <v>0.09</v>
      </c>
      <c r="G322" s="109" t="n">
        <v>0.11</v>
      </c>
      <c r="H322" s="109" t="n">
        <v>0.1</v>
      </c>
      <c r="I322" s="109" t="n">
        <v>-1.13</v>
      </c>
      <c r="J322" s="109" t="n">
        <v>0.22</v>
      </c>
      <c r="K322" s="111" t="inlineStr">
        <is>
          <t>N/A</t>
        </is>
      </c>
      <c r="L322" s="111" t="inlineStr">
        <is>
          <t>N/A</t>
        </is>
      </c>
      <c r="M322" s="109" t="n">
        <v>1.25</v>
      </c>
      <c r="N322" s="108" t="n">
        <v>1.19</v>
      </c>
      <c r="O322" s="108" t="n">
        <v>0.97</v>
      </c>
      <c r="P322" s="108" t="n">
        <v>1.08</v>
      </c>
      <c r="Q322" s="108" t="n">
        <v>0.86</v>
      </c>
      <c r="R322" s="108" t="n">
        <v>0.06</v>
      </c>
      <c r="S322" s="108" t="n">
        <v>0.75</v>
      </c>
      <c r="T322" s="108" t="n">
        <v>0.71</v>
      </c>
      <c r="U322" s="108" t="n">
        <v>-8.16</v>
      </c>
      <c r="V322" s="108" t="n">
        <v>-7.99</v>
      </c>
      <c r="W322" s="108" t="n">
        <v>1.86</v>
      </c>
      <c r="X322" s="109" t="n">
        <v>0.1</v>
      </c>
      <c r="Y322" s="111" t="inlineStr">
        <is>
          <t>N/A</t>
        </is>
      </c>
      <c r="Z322" s="109" t="n">
        <v>4.37</v>
      </c>
      <c r="AA322" s="109" t="n">
        <v>0.07000000000000001</v>
      </c>
      <c r="AB322" s="109" t="n">
        <v>0.18</v>
      </c>
      <c r="AC322" s="108" t="n">
        <v>-0.1</v>
      </c>
      <c r="AD322" s="108" t="n">
        <v>-0.1</v>
      </c>
      <c r="AE322" s="108" t="n">
        <v>-0.01</v>
      </c>
      <c r="AF322" s="108" t="n">
        <v>-0.09</v>
      </c>
      <c r="AG322" s="108" t="n">
        <v>0.16</v>
      </c>
      <c r="AH322" s="108" t="n">
        <v>-0.13</v>
      </c>
      <c r="AI322" s="108" t="n">
        <v>1.25</v>
      </c>
      <c r="AJ322" s="108" t="n">
        <v>1.56</v>
      </c>
      <c r="AK322" s="112" t="inlineStr">
        <is>
          <t>Distress</t>
        </is>
      </c>
      <c r="AL322" s="108" t="n">
        <v>-0.01</v>
      </c>
      <c r="AM322" s="108" t="n">
        <v>-0.09</v>
      </c>
      <c r="AN322" s="108" t="n">
        <v>0.16</v>
      </c>
      <c r="AO322" s="108" t="n">
        <v>-0.13</v>
      </c>
      <c r="AP322" s="108" t="n">
        <v>1.25</v>
      </c>
      <c r="AQ322" s="107" t="n">
        <v>1.6</v>
      </c>
      <c r="AR322" s="107" t="inlineStr">
        <is>
          <t>Grey</t>
        </is>
      </c>
      <c r="AS322" s="108" t="n">
        <v>-0.01</v>
      </c>
      <c r="AT322" s="108" t="n">
        <v>-0.09</v>
      </c>
      <c r="AU322" s="108" t="n">
        <v>0.16</v>
      </c>
      <c r="AV322" s="108" t="n">
        <v>-0.13</v>
      </c>
      <c r="AW322" s="107" t="n">
        <v>0.58</v>
      </c>
      <c r="AX322" s="107" t="inlineStr">
        <is>
          <t>Distress</t>
        </is>
      </c>
      <c r="AY322" s="108" t="n">
        <v>-0.01</v>
      </c>
      <c r="AZ322" s="108" t="n">
        <v>0.16</v>
      </c>
      <c r="BA322" s="108" t="n">
        <v>0.6</v>
      </c>
      <c r="BB322" s="108" t="n">
        <v>1.25</v>
      </c>
      <c r="BC322" s="107" t="n">
        <v>1.38</v>
      </c>
      <c r="BD322" s="107" t="inlineStr">
        <is>
          <t>Healthy</t>
        </is>
      </c>
      <c r="BE322" s="108" t="n">
        <v>0.11</v>
      </c>
      <c r="BF322" s="108" t="n">
        <v>0.75</v>
      </c>
      <c r="BG322" s="108" t="n">
        <v>0.97</v>
      </c>
      <c r="BH322" s="108" t="n">
        <v>-0.57</v>
      </c>
      <c r="BI322" s="107" t="n">
        <v>0.36</v>
      </c>
      <c r="BJ322" s="107" t="inlineStr">
        <is>
          <t>Healthy</t>
        </is>
      </c>
      <c r="BK322" s="107" t="n">
        <v>1</v>
      </c>
      <c r="BL322" s="107" t="n">
        <v>1</v>
      </c>
      <c r="BM322" s="107" t="n">
        <v>1</v>
      </c>
      <c r="BN322" s="107" t="n">
        <v>1</v>
      </c>
      <c r="BO322" s="107" t="n">
        <v>0</v>
      </c>
      <c r="BP322" s="107" t="n">
        <v>0</v>
      </c>
      <c r="BQ322" s="107" t="n">
        <v>1</v>
      </c>
      <c r="BR322" s="107" t="n">
        <v>0</v>
      </c>
      <c r="BS322" s="107" t="n">
        <v>1</v>
      </c>
      <c r="BT322" s="107" t="n">
        <v>6</v>
      </c>
      <c r="BU322" s="107" t="inlineStr">
        <is>
          <t>Mixed</t>
        </is>
      </c>
      <c r="BV322" s="108" t="n">
        <v>0.9399999999999999</v>
      </c>
      <c r="BW322" s="111" t="inlineStr">
        <is>
          <t>N/A</t>
        </is>
      </c>
      <c r="BX322" s="108" t="n">
        <v>0.99</v>
      </c>
      <c r="BY322" s="108" t="n">
        <v>1.07</v>
      </c>
      <c r="BZ322" s="108" t="n">
        <v>1</v>
      </c>
      <c r="CA322" s="108" t="n">
        <v>1.22</v>
      </c>
      <c r="CB322" s="108" t="n">
        <v>1.06</v>
      </c>
      <c r="CC322" s="108" t="n">
        <v>-0.1</v>
      </c>
      <c r="CD322" s="111" t="inlineStr">
        <is>
          <t>N/A</t>
        </is>
      </c>
      <c r="CE322" s="111" t="inlineStr">
        <is>
          <t>N/A</t>
        </is>
      </c>
      <c r="CF322" s="108" t="n">
        <v>3.6</v>
      </c>
      <c r="CG322" s="108" t="n">
        <v>52.45</v>
      </c>
      <c r="CH322" s="107" t="n">
        <v>0</v>
      </c>
      <c r="CI322" s="107" t="inlineStr">
        <is>
          <t>CLEAR</t>
        </is>
      </c>
    </row>
    <row r="323" ht="17" customHeight="1">
      <c r="A323" s="103" t="inlineStr">
        <is>
          <t>ADP</t>
        </is>
      </c>
      <c r="B323" s="103" t="inlineStr">
        <is>
          <t>AUTOMATIC DATA PROCESSING INC</t>
        </is>
      </c>
      <c r="C323" s="104" t="n">
        <v>1973900000</v>
      </c>
      <c r="D323" s="105" t="n">
        <v>0.26</v>
      </c>
      <c r="E323" s="105" t="n">
        <v>0.26</v>
      </c>
      <c r="F323" s="105" t="n">
        <v>0.2</v>
      </c>
      <c r="G323" s="105" t="n">
        <v>0.08</v>
      </c>
      <c r="H323" s="105" t="n">
        <v>0.07000000000000001</v>
      </c>
      <c r="I323" s="105" t="n">
        <v>0.66</v>
      </c>
      <c r="J323" s="105" t="n">
        <v>0.44</v>
      </c>
      <c r="K323" s="105" t="n">
        <v>0.06</v>
      </c>
      <c r="L323" s="105" t="n">
        <v>0.09</v>
      </c>
      <c r="M323" s="105" t="n">
        <v>0.39</v>
      </c>
      <c r="N323" s="104" t="n">
        <v>0.35</v>
      </c>
      <c r="O323" s="104" t="n">
        <v>1.05</v>
      </c>
      <c r="P323" s="104" t="n">
        <v>1.01</v>
      </c>
      <c r="Q323" s="104" t="n">
        <v>1.05</v>
      </c>
      <c r="R323" s="104" t="n">
        <v>0.08</v>
      </c>
      <c r="S323" s="104" t="n">
        <v>0.88</v>
      </c>
      <c r="T323" s="104" t="n">
        <v>0.92</v>
      </c>
      <c r="U323" s="104" t="n">
        <v>0.01</v>
      </c>
      <c r="V323" s="104" t="n">
        <v>-0.54</v>
      </c>
      <c r="W323" s="104" t="n">
        <v>1.21</v>
      </c>
      <c r="X323" s="113" t="inlineStr">
        <is>
          <t>N/A</t>
        </is>
      </c>
      <c r="Y323" s="105" t="n">
        <v>0.05</v>
      </c>
      <c r="Z323" s="105" t="n">
        <v>11.65</v>
      </c>
      <c r="AA323" s="105" t="n">
        <v>0.07000000000000001</v>
      </c>
      <c r="AB323" s="105" t="n">
        <v>0.09</v>
      </c>
      <c r="AC323" s="104" t="n">
        <v>-0.02</v>
      </c>
      <c r="AD323" s="104" t="n">
        <v>-0.02</v>
      </c>
      <c r="AE323" s="104" t="n">
        <v>0.04</v>
      </c>
      <c r="AF323" s="104" t="n">
        <v>0.47</v>
      </c>
      <c r="AG323" s="104" t="n">
        <v>0.1</v>
      </c>
      <c r="AH323" s="104" t="n">
        <v>0.13</v>
      </c>
      <c r="AI323" s="104" t="n">
        <v>0.39</v>
      </c>
      <c r="AJ323" s="104" t="n">
        <v>1.5</v>
      </c>
      <c r="AK323" s="112" t="inlineStr">
        <is>
          <t>Distress</t>
        </is>
      </c>
      <c r="AL323" s="104" t="n">
        <v>0.04</v>
      </c>
      <c r="AM323" s="104" t="n">
        <v>0.47</v>
      </c>
      <c r="AN323" s="104" t="n">
        <v>0.1</v>
      </c>
      <c r="AO323" s="104" t="n">
        <v>0.13</v>
      </c>
      <c r="AP323" s="104" t="n">
        <v>0.39</v>
      </c>
      <c r="AQ323" s="103" t="n">
        <v>1.18</v>
      </c>
      <c r="AR323" s="103" t="inlineStr">
        <is>
          <t>Distress</t>
        </is>
      </c>
      <c r="AS323" s="104" t="n">
        <v>0.04</v>
      </c>
      <c r="AT323" s="104" t="n">
        <v>0.47</v>
      </c>
      <c r="AU323" s="104" t="n">
        <v>0.1</v>
      </c>
      <c r="AV323" s="104" t="n">
        <v>0.13</v>
      </c>
      <c r="AW323" s="103" t="n">
        <v>2.59</v>
      </c>
      <c r="AX323" s="103" t="inlineStr">
        <is>
          <t>Grey</t>
        </is>
      </c>
      <c r="AY323" s="104" t="n">
        <v>0.04</v>
      </c>
      <c r="AZ323" s="104" t="n">
        <v>0.1</v>
      </c>
      <c r="BA323" s="104" t="n">
        <v>0.13</v>
      </c>
      <c r="BB323" s="104" t="n">
        <v>0.39</v>
      </c>
      <c r="BC323" s="103" t="n">
        <v>0.58</v>
      </c>
      <c r="BD323" s="103" t="inlineStr">
        <is>
          <t>Distress</t>
        </is>
      </c>
      <c r="BE323" s="104" t="n">
        <v>0.08</v>
      </c>
      <c r="BF323" s="104" t="n">
        <v>0.88</v>
      </c>
      <c r="BG323" s="104" t="n">
        <v>1.05</v>
      </c>
      <c r="BH323" s="104" t="n">
        <v>0.34</v>
      </c>
      <c r="BI323" s="103" t="n">
        <v>0.59</v>
      </c>
      <c r="BJ323" s="103" t="inlineStr">
        <is>
          <t>Distress</t>
        </is>
      </c>
      <c r="BK323" s="103" t="n">
        <v>1</v>
      </c>
      <c r="BL323" s="103" t="n">
        <v>1</v>
      </c>
      <c r="BM323" s="103" t="n">
        <v>1</v>
      </c>
      <c r="BN323" s="103" t="n">
        <v>1</v>
      </c>
      <c r="BO323" s="103" t="n">
        <v>1</v>
      </c>
      <c r="BP323" s="103" t="n">
        <v>1</v>
      </c>
      <c r="BQ323" s="103" t="n">
        <v>1</v>
      </c>
      <c r="BR323" s="103" t="n">
        <v>0</v>
      </c>
      <c r="BS323" s="103" t="n">
        <v>1</v>
      </c>
      <c r="BT323" s="103" t="n">
        <v>8</v>
      </c>
      <c r="BU323" s="103" t="inlineStr">
        <is>
          <t>Strong</t>
        </is>
      </c>
      <c r="BV323" s="104" t="n">
        <v>0.98</v>
      </c>
      <c r="BW323" s="104" t="n">
        <v>1.48</v>
      </c>
      <c r="BX323" s="104" t="n">
        <v>1.18</v>
      </c>
      <c r="BY323" s="104" t="n">
        <v>1.07</v>
      </c>
      <c r="BZ323" s="104" t="n">
        <v>0.96</v>
      </c>
      <c r="CA323" s="104" t="n">
        <v>1</v>
      </c>
      <c r="CB323" s="104" t="n">
        <v>0.96</v>
      </c>
      <c r="CC323" s="104" t="n">
        <v>-0.02</v>
      </c>
      <c r="CD323" s="103" t="n">
        <v>-2.18</v>
      </c>
      <c r="CE323" s="103" t="inlineStr">
        <is>
          <t>Higher Risk</t>
        </is>
      </c>
      <c r="CF323" s="104" t="n">
        <v>-0.5600000000000001</v>
      </c>
      <c r="CG323" s="104" t="n">
        <v>53.73</v>
      </c>
      <c r="CH323" s="103" t="n">
        <v>20</v>
      </c>
      <c r="CI323" s="103" t="inlineStr">
        <is>
          <t>CLEAR</t>
        </is>
      </c>
    </row>
    <row r="324" ht="17" customHeight="1">
      <c r="A324" s="107" t="inlineStr">
        <is>
          <t>CYTK</t>
        </is>
      </c>
      <c r="B324" s="107" t="inlineStr">
        <is>
          <t>Cytokinetics, Incorporated</t>
        </is>
      </c>
      <c r="C324" s="108" t="n">
        <v>714523000</v>
      </c>
      <c r="D324" s="109" t="n">
        <v>-45.8</v>
      </c>
      <c r="E324" s="109" t="n">
        <v>-7.95</v>
      </c>
      <c r="F324" s="109" t="n">
        <v>-58.72</v>
      </c>
      <c r="G324" s="109" t="n">
        <v>-0.55</v>
      </c>
      <c r="H324" s="109" t="n">
        <v>-0.42</v>
      </c>
      <c r="I324" s="109" t="n">
        <v>1.19</v>
      </c>
      <c r="J324" s="109" t="n">
        <v>-0.5</v>
      </c>
      <c r="K324" s="109" t="n">
        <v>-51.39</v>
      </c>
      <c r="L324" s="109" t="n">
        <v>-4.21</v>
      </c>
      <c r="M324" s="109" t="n">
        <v>0.01</v>
      </c>
      <c r="N324" s="108" t="n">
        <v>0.08</v>
      </c>
      <c r="O324" s="108" t="n">
        <v>4.53</v>
      </c>
      <c r="P324" s="108" t="n">
        <v>6.17</v>
      </c>
      <c r="Q324" s="108" t="n">
        <v>4.53</v>
      </c>
      <c r="R324" s="108" t="n">
        <v>0.61</v>
      </c>
      <c r="S324" s="108" t="n">
        <v>1.46</v>
      </c>
      <c r="T324" s="108" t="n">
        <v>1.1</v>
      </c>
      <c r="U324" s="108" t="n">
        <v>-1</v>
      </c>
      <c r="V324" s="108" t="n">
        <v>-0.82</v>
      </c>
      <c r="W324" s="108" t="n">
        <v>0.65</v>
      </c>
      <c r="X324" s="109" t="n">
        <v>-40.01</v>
      </c>
      <c r="Y324" s="109" t="n">
        <v>31.12</v>
      </c>
      <c r="Z324" s="109" t="n">
        <v>-13.43</v>
      </c>
      <c r="AA324" s="109" t="n">
        <v>-0.87</v>
      </c>
      <c r="AB324" s="109" t="n">
        <v>0.33</v>
      </c>
      <c r="AC324" s="108" t="n">
        <v>-0.19</v>
      </c>
      <c r="AD324" s="108" t="n">
        <v>-0.19</v>
      </c>
      <c r="AE324" s="108" t="n">
        <v>0.5</v>
      </c>
      <c r="AF324" s="108" t="n">
        <v>-2.45</v>
      </c>
      <c r="AG324" s="108" t="n">
        <v>-0.43</v>
      </c>
      <c r="AH324" s="108" t="n">
        <v>-0.32</v>
      </c>
      <c r="AI324" s="108" t="n">
        <v>0.01</v>
      </c>
      <c r="AJ324" s="108" t="n">
        <v>-4.42</v>
      </c>
      <c r="AK324" s="112" t="inlineStr">
        <is>
          <t>Distress</t>
        </is>
      </c>
      <c r="AL324" s="108" t="n">
        <v>0.5</v>
      </c>
      <c r="AM324" s="108" t="n">
        <v>-2.45</v>
      </c>
      <c r="AN324" s="108" t="n">
        <v>-0.43</v>
      </c>
      <c r="AO324" s="108" t="n">
        <v>-0.32</v>
      </c>
      <c r="AP324" s="108" t="n">
        <v>0.01</v>
      </c>
      <c r="AQ324" s="107" t="n">
        <v>-3.17</v>
      </c>
      <c r="AR324" s="107" t="inlineStr">
        <is>
          <t>Distress</t>
        </is>
      </c>
      <c r="AS324" s="108" t="n">
        <v>0.5</v>
      </c>
      <c r="AT324" s="108" t="n">
        <v>-2.45</v>
      </c>
      <c r="AU324" s="108" t="n">
        <v>-0.43</v>
      </c>
      <c r="AV324" s="108" t="n">
        <v>-0.32</v>
      </c>
      <c r="AW324" s="107" t="n">
        <v>-7.91</v>
      </c>
      <c r="AX324" s="107" t="inlineStr">
        <is>
          <t>Distress</t>
        </is>
      </c>
      <c r="AY324" s="108" t="n">
        <v>0.5</v>
      </c>
      <c r="AZ324" s="108" t="n">
        <v>-0.43</v>
      </c>
      <c r="BA324" s="108" t="n">
        <v>-0.53</v>
      </c>
      <c r="BB324" s="108" t="n">
        <v>0.01</v>
      </c>
      <c r="BC324" s="107" t="n">
        <v>-1.15</v>
      </c>
      <c r="BD324" s="107" t="inlineStr">
        <is>
          <t>Distress</t>
        </is>
      </c>
      <c r="BE324" s="108" t="n">
        <v>-0.55</v>
      </c>
      <c r="BF324" s="108" t="n">
        <v>1.46</v>
      </c>
      <c r="BG324" s="108" t="n">
        <v>4.53</v>
      </c>
      <c r="BH324" s="108" t="n">
        <v>6.48</v>
      </c>
      <c r="BI324" s="107" t="n">
        <v>1</v>
      </c>
      <c r="BJ324" s="107" t="inlineStr">
        <is>
          <t>Distress</t>
        </is>
      </c>
      <c r="BK324" s="107" t="n">
        <v>0</v>
      </c>
      <c r="BL324" s="107" t="n">
        <v>0</v>
      </c>
      <c r="BM324" s="107" t="n">
        <v>0</v>
      </c>
      <c r="BN324" s="107" t="n">
        <v>1</v>
      </c>
      <c r="BO324" s="107" t="n">
        <v>1</v>
      </c>
      <c r="BP324" s="107" t="n">
        <v>0</v>
      </c>
      <c r="BQ324" s="107" t="n">
        <v>0</v>
      </c>
      <c r="BR324" s="107" t="n">
        <v>0</v>
      </c>
      <c r="BS324" s="107" t="n">
        <v>0</v>
      </c>
      <c r="BT324" s="107" t="n">
        <v>2</v>
      </c>
      <c r="BU324" s="107" t="inlineStr">
        <is>
          <t>Weak</t>
        </is>
      </c>
      <c r="BV324" s="108" t="n">
        <v>8.49</v>
      </c>
      <c r="BW324" s="108" t="n">
        <v>0.08</v>
      </c>
      <c r="BX324" s="108" t="n">
        <v>1.85</v>
      </c>
      <c r="BY324" s="108" t="n">
        <v>0.13</v>
      </c>
      <c r="BZ324" s="108" t="n">
        <v>1.12</v>
      </c>
      <c r="CA324" s="108" t="n">
        <v>10.51</v>
      </c>
      <c r="CB324" s="108" t="n">
        <v>1.33</v>
      </c>
      <c r="CC324" s="108" t="n">
        <v>-0.19</v>
      </c>
      <c r="CD324" s="107" t="n">
        <v>0.86</v>
      </c>
      <c r="CE324" s="107" t="inlineStr">
        <is>
          <t>Higher Risk</t>
        </is>
      </c>
      <c r="CF324" s="108" t="n">
        <v>-0.89</v>
      </c>
      <c r="CG324" s="108" t="n">
        <v>26.28</v>
      </c>
      <c r="CH324" s="106" t="n">
        <v>40</v>
      </c>
      <c r="CI324" s="107" t="inlineStr">
        <is>
          <t>WATCH</t>
        </is>
      </c>
    </row>
    <row r="325" ht="17" customHeight="1">
      <c r="A325" s="103" t="inlineStr">
        <is>
          <t>SPSC</t>
        </is>
      </c>
      <c r="B325" s="103" t="inlineStr">
        <is>
          <t>SPS COMMERCE, INC.</t>
        </is>
      </c>
      <c r="C325" s="104" t="n">
        <v>180953000</v>
      </c>
      <c r="D325" s="105" t="n">
        <v>0.54</v>
      </c>
      <c r="E325" s="105" t="n">
        <v>0.5600000000000001</v>
      </c>
      <c r="F325" s="105" t="n">
        <v>0.42</v>
      </c>
      <c r="G325" s="105" t="n">
        <v>0.08</v>
      </c>
      <c r="H325" s="105" t="n">
        <v>0.07000000000000001</v>
      </c>
      <c r="I325" s="105" t="n">
        <v>0.1</v>
      </c>
      <c r="J325" s="105" t="n">
        <v>0.12</v>
      </c>
      <c r="K325" s="105" t="n">
        <v>2.36</v>
      </c>
      <c r="L325" s="105" t="n">
        <v>7.34</v>
      </c>
      <c r="M325" s="105" t="n">
        <v>0.19</v>
      </c>
      <c r="N325" s="104" t="n">
        <v>0.06</v>
      </c>
      <c r="O325" s="104" t="n">
        <v>2.17</v>
      </c>
      <c r="P325" s="104" t="n">
        <v>2.6</v>
      </c>
      <c r="Q325" s="104" t="n">
        <v>2.17</v>
      </c>
      <c r="R325" s="104" t="n">
        <v>0.98</v>
      </c>
      <c r="S325" s="104" t="n">
        <v>0.17</v>
      </c>
      <c r="T325" s="104" t="n">
        <v>0.17</v>
      </c>
      <c r="U325" s="113" t="inlineStr">
        <is>
          <t>N/A</t>
        </is>
      </c>
      <c r="V325" s="113" t="inlineStr">
        <is>
          <t>N/A</t>
        </is>
      </c>
      <c r="W325" s="104" t="n">
        <v>1.92</v>
      </c>
      <c r="X325" s="105" t="n">
        <v>0.6899999999999999</v>
      </c>
      <c r="Y325" s="105" t="n">
        <v>0.31</v>
      </c>
      <c r="Z325" s="105" t="n">
        <v>4381.59</v>
      </c>
      <c r="AA325" s="105" t="n">
        <v>2.79</v>
      </c>
      <c r="AB325" s="105" t="n">
        <v>0.21</v>
      </c>
      <c r="AC325" s="104" t="n">
        <v>-0.07000000000000001</v>
      </c>
      <c r="AD325" s="104" t="n">
        <v>-0.07000000000000001</v>
      </c>
      <c r="AE325" s="104" t="n">
        <v>0.15</v>
      </c>
      <c r="AF325" s="104" t="n">
        <v>0.37</v>
      </c>
      <c r="AG325" s="104" t="n">
        <v>0.1</v>
      </c>
      <c r="AH325" s="104" t="n">
        <v>4.97</v>
      </c>
      <c r="AI325" s="104" t="n">
        <v>0.19</v>
      </c>
      <c r="AJ325" s="104" t="n">
        <v>4.2</v>
      </c>
      <c r="AK325" s="110" t="inlineStr">
        <is>
          <t>Safe</t>
        </is>
      </c>
      <c r="AL325" s="104" t="n">
        <v>0.15</v>
      </c>
      <c r="AM325" s="104" t="n">
        <v>0.37</v>
      </c>
      <c r="AN325" s="104" t="n">
        <v>0.1</v>
      </c>
      <c r="AO325" s="104" t="n">
        <v>4.97</v>
      </c>
      <c r="AP325" s="104" t="n">
        <v>0.19</v>
      </c>
      <c r="AQ325" s="103" t="n">
        <v>3.01</v>
      </c>
      <c r="AR325" s="103" t="inlineStr">
        <is>
          <t>Safe</t>
        </is>
      </c>
      <c r="AS325" s="104" t="n">
        <v>0.15</v>
      </c>
      <c r="AT325" s="104" t="n">
        <v>0.37</v>
      </c>
      <c r="AU325" s="104" t="n">
        <v>0.1</v>
      </c>
      <c r="AV325" s="104" t="n">
        <v>4.97</v>
      </c>
      <c r="AW325" s="103" t="n">
        <v>8.109999999999999</v>
      </c>
      <c r="AX325" s="103" t="inlineStr">
        <is>
          <t>Safe</t>
        </is>
      </c>
      <c r="AY325" s="104" t="n">
        <v>0.15</v>
      </c>
      <c r="AZ325" s="104" t="n">
        <v>0.1</v>
      </c>
      <c r="BA325" s="104" t="n">
        <v>0.8</v>
      </c>
      <c r="BB325" s="104" t="n">
        <v>0.19</v>
      </c>
      <c r="BC325" s="103" t="n">
        <v>1.07</v>
      </c>
      <c r="BD325" s="103" t="inlineStr">
        <is>
          <t>Healthy</t>
        </is>
      </c>
      <c r="BE325" s="104" t="n">
        <v>0.08</v>
      </c>
      <c r="BF325" s="104" t="n">
        <v>0.17</v>
      </c>
      <c r="BG325" s="104" t="n">
        <v>2.17</v>
      </c>
      <c r="BH325" s="104" t="n">
        <v>-3.74</v>
      </c>
      <c r="BI325" s="103" t="n">
        <v>0.02</v>
      </c>
      <c r="BJ325" s="103" t="inlineStr">
        <is>
          <t>Healthy</t>
        </is>
      </c>
      <c r="BK325" s="103" t="n">
        <v>1</v>
      </c>
      <c r="BL325" s="103" t="n">
        <v>1</v>
      </c>
      <c r="BM325" s="103" t="n">
        <v>1</v>
      </c>
      <c r="BN325" s="103" t="n">
        <v>1</v>
      </c>
      <c r="BO325" s="103" t="n">
        <v>0</v>
      </c>
      <c r="BP325" s="103" t="n">
        <v>0</v>
      </c>
      <c r="BQ325" s="103" t="n">
        <v>1</v>
      </c>
      <c r="BR325" s="103" t="n">
        <v>0</v>
      </c>
      <c r="BS325" s="103" t="n">
        <v>1</v>
      </c>
      <c r="BT325" s="103" t="n">
        <v>6</v>
      </c>
      <c r="BU325" s="103" t="inlineStr">
        <is>
          <t>Mixed</t>
        </is>
      </c>
      <c r="BV325" s="104" t="n">
        <v>0.35</v>
      </c>
      <c r="BW325" s="104" t="n">
        <v>3.11</v>
      </c>
      <c r="BX325" s="104" t="n">
        <v>1.14</v>
      </c>
      <c r="BY325" s="104" t="n">
        <v>3.79</v>
      </c>
      <c r="BZ325" s="104" t="n">
        <v>1.01</v>
      </c>
      <c r="CA325" s="104" t="n">
        <v>0.32</v>
      </c>
      <c r="CB325" s="104" t="n">
        <v>0.98</v>
      </c>
      <c r="CC325" s="104" t="n">
        <v>-0.07000000000000001</v>
      </c>
      <c r="CD325" s="103" t="n">
        <v>0.36</v>
      </c>
      <c r="CE325" s="103" t="inlineStr">
        <is>
          <t>Higher Risk</t>
        </is>
      </c>
      <c r="CF325" s="113" t="inlineStr">
        <is>
          <t>N/A</t>
        </is>
      </c>
      <c r="CG325" s="104" t="n">
        <v>55.37</v>
      </c>
      <c r="CH325" s="103" t="n">
        <v>20</v>
      </c>
      <c r="CI325" s="103" t="inlineStr">
        <is>
          <t>CLEAR</t>
        </is>
      </c>
    </row>
    <row r="326" ht="17" customHeight="1">
      <c r="A326" s="107" t="inlineStr">
        <is>
          <t>WYNN</t>
        </is>
      </c>
      <c r="B326" s="107" t="inlineStr">
        <is>
          <t>WYNN RESORTS LTD</t>
        </is>
      </c>
      <c r="C326" s="108" t="n">
        <v>1040343000</v>
      </c>
      <c r="D326" s="109" t="n">
        <v>0.17</v>
      </c>
      <c r="E326" s="109" t="n">
        <v>0.08</v>
      </c>
      <c r="F326" s="109" t="n">
        <v>0.05</v>
      </c>
      <c r="G326" s="109" t="n">
        <v>0.02</v>
      </c>
      <c r="H326" s="109" t="n">
        <v>0.04</v>
      </c>
      <c r="I326" s="109" t="n">
        <v>-1.19</v>
      </c>
      <c r="J326" s="109" t="n">
        <v>0.1</v>
      </c>
      <c r="K326" s="111" t="inlineStr">
        <is>
          <t>N/A</t>
        </is>
      </c>
      <c r="L326" s="111" t="inlineStr">
        <is>
          <t>N/A</t>
        </is>
      </c>
      <c r="M326" s="109" t="n">
        <v>0.51</v>
      </c>
      <c r="N326" s="108" t="n">
        <v>0.47</v>
      </c>
      <c r="O326" s="108" t="n">
        <v>1.63</v>
      </c>
      <c r="P326" s="108" t="n">
        <v>1.9</v>
      </c>
      <c r="Q326" s="108" t="n">
        <v>1.58</v>
      </c>
      <c r="R326" s="108" t="n">
        <v>0.89</v>
      </c>
      <c r="S326" s="108" t="n">
        <v>1.08</v>
      </c>
      <c r="T326" s="108" t="n">
        <v>1.07</v>
      </c>
      <c r="U326" s="108" t="n">
        <v>-38.32</v>
      </c>
      <c r="V326" s="108" t="n">
        <v>-33.01</v>
      </c>
      <c r="W326" s="108" t="n">
        <v>4.13</v>
      </c>
      <c r="X326" s="109" t="n">
        <v>0.1</v>
      </c>
      <c r="Y326" s="111" t="inlineStr">
        <is>
          <t>N/A</t>
        </is>
      </c>
      <c r="Z326" s="109" t="n">
        <v>1.49</v>
      </c>
      <c r="AA326" s="109" t="n">
        <v>0.11</v>
      </c>
      <c r="AB326" s="109" t="n">
        <v>-0.35</v>
      </c>
      <c r="AC326" s="108" t="n">
        <v>-0.08</v>
      </c>
      <c r="AD326" s="108" t="n">
        <v>-0.08</v>
      </c>
      <c r="AE326" s="108" t="n">
        <v>0.08</v>
      </c>
      <c r="AF326" s="108" t="n">
        <v>-0.11</v>
      </c>
      <c r="AG326" s="108" t="n">
        <v>0.09</v>
      </c>
      <c r="AH326" s="108" t="n">
        <v>-0.02</v>
      </c>
      <c r="AI326" s="108" t="n">
        <v>0.51</v>
      </c>
      <c r="AJ326" s="108" t="n">
        <v>0.72</v>
      </c>
      <c r="AK326" s="112" t="inlineStr">
        <is>
          <t>Distress</t>
        </is>
      </c>
      <c r="AL326" s="108" t="n">
        <v>0.08</v>
      </c>
      <c r="AM326" s="108" t="n">
        <v>-0.11</v>
      </c>
      <c r="AN326" s="108" t="n">
        <v>0.09</v>
      </c>
      <c r="AO326" s="108" t="n">
        <v>-0.02</v>
      </c>
      <c r="AP326" s="108" t="n">
        <v>0.51</v>
      </c>
      <c r="AQ326" s="107" t="n">
        <v>0.73</v>
      </c>
      <c r="AR326" s="107" t="inlineStr">
        <is>
          <t>Distress</t>
        </is>
      </c>
      <c r="AS326" s="108" t="n">
        <v>0.08</v>
      </c>
      <c r="AT326" s="108" t="n">
        <v>-0.11</v>
      </c>
      <c r="AU326" s="108" t="n">
        <v>0.09</v>
      </c>
      <c r="AV326" s="108" t="n">
        <v>-0.02</v>
      </c>
      <c r="AW326" s="107" t="n">
        <v>0.71</v>
      </c>
      <c r="AX326" s="107" t="inlineStr">
        <is>
          <t>Distress</t>
        </is>
      </c>
      <c r="AY326" s="108" t="n">
        <v>0.08</v>
      </c>
      <c r="AZ326" s="108" t="n">
        <v>0.09</v>
      </c>
      <c r="BA326" s="108" t="n">
        <v>0.31</v>
      </c>
      <c r="BB326" s="108" t="n">
        <v>0.51</v>
      </c>
      <c r="BC326" s="107" t="n">
        <v>0.76</v>
      </c>
      <c r="BD326" s="107" t="inlineStr">
        <is>
          <t>Distress</t>
        </is>
      </c>
      <c r="BE326" s="108" t="n">
        <v>0.02</v>
      </c>
      <c r="BF326" s="108" t="n">
        <v>1.08</v>
      </c>
      <c r="BG326" s="108" t="n">
        <v>1.63</v>
      </c>
      <c r="BH326" s="108" t="n">
        <v>1.68</v>
      </c>
      <c r="BI326" s="107" t="n">
        <v>0.84</v>
      </c>
      <c r="BJ326" s="107" t="inlineStr">
        <is>
          <t>Distress</t>
        </is>
      </c>
      <c r="BK326" s="107" t="n">
        <v>1</v>
      </c>
      <c r="BL326" s="107" t="n">
        <v>1</v>
      </c>
      <c r="BM326" s="107" t="n">
        <v>0</v>
      </c>
      <c r="BN326" s="107" t="n">
        <v>1</v>
      </c>
      <c r="BO326" s="107" t="n">
        <v>1</v>
      </c>
      <c r="BP326" s="107" t="n">
        <v>0</v>
      </c>
      <c r="BQ326" s="107" t="n">
        <v>1</v>
      </c>
      <c r="BR326" s="107" t="n">
        <v>0</v>
      </c>
      <c r="BS326" s="107" t="n">
        <v>1</v>
      </c>
      <c r="BT326" s="107" t="n">
        <v>6</v>
      </c>
      <c r="BU326" s="107" t="inlineStr">
        <is>
          <t>Mixed</t>
        </is>
      </c>
      <c r="BV326" s="108" t="n">
        <v>1.12</v>
      </c>
      <c r="BW326" s="111" t="inlineStr">
        <is>
          <t>N/A</t>
        </is>
      </c>
      <c r="BX326" s="108" t="n">
        <v>1.06</v>
      </c>
      <c r="BY326" s="108" t="n">
        <v>1.11</v>
      </c>
      <c r="BZ326" s="108" t="n">
        <v>1.07</v>
      </c>
      <c r="CA326" s="108" t="n">
        <v>0.93</v>
      </c>
      <c r="CB326" s="108" t="n">
        <v>1</v>
      </c>
      <c r="CC326" s="108" t="n">
        <v>-0.08</v>
      </c>
      <c r="CD326" s="111" t="inlineStr">
        <is>
          <t>N/A</t>
        </is>
      </c>
      <c r="CE326" s="111" t="inlineStr">
        <is>
          <t>N/A</t>
        </is>
      </c>
      <c r="CF326" s="108" t="n">
        <v>5.23</v>
      </c>
      <c r="CG326" s="108" t="n">
        <v>49.39</v>
      </c>
      <c r="CH326" s="107" t="n">
        <v>0</v>
      </c>
      <c r="CI326" s="107" t="inlineStr">
        <is>
          <t>CLEAR</t>
        </is>
      </c>
    </row>
    <row r="327" ht="17" customHeight="1">
      <c r="A327" s="103" t="inlineStr">
        <is>
          <t>TTD</t>
        </is>
      </c>
      <c r="B327" s="103" t="inlineStr">
        <is>
          <t>TRADE DESK, INC.</t>
        </is>
      </c>
      <c r="C327" s="104" t="n">
        <v>1995007000</v>
      </c>
      <c r="D327" s="105" t="n">
        <v>0.2</v>
      </c>
      <c r="E327" s="105" t="n">
        <v>0.23</v>
      </c>
      <c r="F327" s="105" t="n">
        <v>0.15</v>
      </c>
      <c r="G327" s="105" t="n">
        <v>0.07000000000000001</v>
      </c>
      <c r="H327" s="105" t="n">
        <v>0.06</v>
      </c>
      <c r="I327" s="105" t="n">
        <v>0.18</v>
      </c>
      <c r="J327" s="105" t="n">
        <v>0.2</v>
      </c>
      <c r="K327" s="105" t="n">
        <v>0.79</v>
      </c>
      <c r="L327" s="105" t="n">
        <v>0.8100000000000001</v>
      </c>
      <c r="M327" s="105" t="n">
        <v>0.47</v>
      </c>
      <c r="N327" s="104" t="n">
        <v>0.4</v>
      </c>
      <c r="O327" s="104" t="n">
        <v>1.61</v>
      </c>
      <c r="P327" s="104" t="n">
        <v>1.86</v>
      </c>
      <c r="Q327" s="104" t="n">
        <v>1.61</v>
      </c>
      <c r="R327" s="104" t="n">
        <v>0.2</v>
      </c>
      <c r="S327" s="104" t="n">
        <v>0.6</v>
      </c>
      <c r="T327" s="104" t="n">
        <v>0.52</v>
      </c>
      <c r="U327" s="113" t="inlineStr">
        <is>
          <t>N/A</t>
        </is>
      </c>
      <c r="V327" s="113" t="inlineStr">
        <is>
          <t>N/A</t>
        </is>
      </c>
      <c r="W327" s="104" t="n">
        <v>2.24</v>
      </c>
      <c r="X327" s="105" t="n">
        <v>0.27</v>
      </c>
      <c r="Y327" s="105" t="n">
        <v>0.18</v>
      </c>
      <c r="Z327" s="105" t="n">
        <v>380.21</v>
      </c>
      <c r="AA327" s="105" t="n">
        <v>0.18</v>
      </c>
      <c r="AB327" s="105" t="n">
        <v>0.13</v>
      </c>
      <c r="AC327" s="104" t="n">
        <v>-0.09</v>
      </c>
      <c r="AD327" s="104" t="n">
        <v>-0.09</v>
      </c>
      <c r="AE327" s="104" t="n">
        <v>0.32</v>
      </c>
      <c r="AF327" s="104" t="n">
        <v>-0.1</v>
      </c>
      <c r="AG327" s="104" t="n">
        <v>0.1</v>
      </c>
      <c r="AH327" s="104" t="n">
        <v>0.68</v>
      </c>
      <c r="AI327" s="104" t="n">
        <v>0.47</v>
      </c>
      <c r="AJ327" s="104" t="n">
        <v>1.45</v>
      </c>
      <c r="AK327" s="112" t="inlineStr">
        <is>
          <t>Distress</t>
        </is>
      </c>
      <c r="AL327" s="104" t="n">
        <v>0.32</v>
      </c>
      <c r="AM327" s="104" t="n">
        <v>-0.1</v>
      </c>
      <c r="AN327" s="104" t="n">
        <v>0.1</v>
      </c>
      <c r="AO327" s="104" t="n">
        <v>0.68</v>
      </c>
      <c r="AP327" s="104" t="n">
        <v>0.47</v>
      </c>
      <c r="AQ327" s="103" t="n">
        <v>1.2</v>
      </c>
      <c r="AR327" s="103" t="inlineStr">
        <is>
          <t>Distress</t>
        </is>
      </c>
      <c r="AS327" s="104" t="n">
        <v>0.32</v>
      </c>
      <c r="AT327" s="104" t="n">
        <v>-0.1</v>
      </c>
      <c r="AU327" s="104" t="n">
        <v>0.1</v>
      </c>
      <c r="AV327" s="104" t="n">
        <v>0.68</v>
      </c>
      <c r="AW327" s="103" t="n">
        <v>3.17</v>
      </c>
      <c r="AX327" s="103" t="inlineStr">
        <is>
          <t>Safe</t>
        </is>
      </c>
      <c r="AY327" s="104" t="n">
        <v>0.32</v>
      </c>
      <c r="AZ327" s="104" t="n">
        <v>0.1</v>
      </c>
      <c r="BA327" s="104" t="n">
        <v>0.2</v>
      </c>
      <c r="BB327" s="104" t="n">
        <v>0.47</v>
      </c>
      <c r="BC327" s="103" t="n">
        <v>0.95</v>
      </c>
      <c r="BD327" s="103" t="inlineStr">
        <is>
          <t>Healthy</t>
        </is>
      </c>
      <c r="BE327" s="104" t="n">
        <v>0.07000000000000001</v>
      </c>
      <c r="BF327" s="104" t="n">
        <v>0.6</v>
      </c>
      <c r="BG327" s="104" t="n">
        <v>1.61</v>
      </c>
      <c r="BH327" s="104" t="n">
        <v>-1.27</v>
      </c>
      <c r="BI327" s="103" t="n">
        <v>0.22</v>
      </c>
      <c r="BJ327" s="103" t="inlineStr">
        <is>
          <t>Healthy</t>
        </is>
      </c>
      <c r="BK327" s="103" t="n">
        <v>1</v>
      </c>
      <c r="BL327" s="103" t="n">
        <v>1</v>
      </c>
      <c r="BM327" s="103" t="n">
        <v>1</v>
      </c>
      <c r="BN327" s="103" t="n">
        <v>1</v>
      </c>
      <c r="BO327" s="103" t="n">
        <v>0</v>
      </c>
      <c r="BP327" s="103" t="n">
        <v>0</v>
      </c>
      <c r="BQ327" s="103" t="n">
        <v>0</v>
      </c>
      <c r="BR327" s="103" t="n">
        <v>0</v>
      </c>
      <c r="BS327" s="103" t="n">
        <v>1</v>
      </c>
      <c r="BT327" s="103" t="n">
        <v>5</v>
      </c>
      <c r="BU327" s="103" t="inlineStr">
        <is>
          <t>Mixed</t>
        </is>
      </c>
      <c r="BV327" s="104" t="n">
        <v>0.96</v>
      </c>
      <c r="BW327" s="104" t="n">
        <v>1.03</v>
      </c>
      <c r="BX327" s="104" t="n">
        <v>0.87</v>
      </c>
      <c r="BY327" s="104" t="n">
        <v>1.18</v>
      </c>
      <c r="BZ327" s="104" t="n">
        <v>1.24</v>
      </c>
      <c r="CA327" s="104" t="n">
        <v>0.82</v>
      </c>
      <c r="CB327" s="104" t="n">
        <v>1.15</v>
      </c>
      <c r="CC327" s="104" t="n">
        <v>-0.09</v>
      </c>
      <c r="CD327" s="103" t="n">
        <v>-2.8</v>
      </c>
      <c r="CE327" s="103" t="inlineStr">
        <is>
          <t>Lower Risk</t>
        </is>
      </c>
      <c r="CF327" s="113" t="inlineStr">
        <is>
          <t>N/A</t>
        </is>
      </c>
      <c r="CG327" s="104" t="n">
        <v>47.58</v>
      </c>
      <c r="CH327" s="103" t="n">
        <v>0</v>
      </c>
      <c r="CI327" s="103" t="inlineStr">
        <is>
          <t>CLEAR</t>
        </is>
      </c>
    </row>
    <row r="328" ht="17" customHeight="1">
      <c r="A328" s="107" t="inlineStr">
        <is>
          <t>CHDN</t>
        </is>
      </c>
      <c r="B328" s="107" t="inlineStr">
        <is>
          <t>Churchill Downs Inc</t>
        </is>
      </c>
      <c r="C328" s="108" t="n">
        <v>-290100000</v>
      </c>
      <c r="D328" s="109" t="n">
        <v>0.38</v>
      </c>
      <c r="E328" s="109" t="n">
        <v>0.29</v>
      </c>
      <c r="F328" s="109" t="n">
        <v>0.21</v>
      </c>
      <c r="G328" s="109" t="n">
        <v>0.05</v>
      </c>
      <c r="H328" s="109" t="n">
        <v>0.06</v>
      </c>
      <c r="I328" s="109" t="n">
        <v>0.38</v>
      </c>
      <c r="J328" s="109" t="n">
        <v>0.1</v>
      </c>
      <c r="K328" s="109" t="n">
        <v>-0.24</v>
      </c>
      <c r="L328" s="109" t="n">
        <v>-0.27</v>
      </c>
      <c r="M328" s="109" t="n">
        <v>0.24</v>
      </c>
      <c r="N328" s="108" t="n">
        <v>0.22</v>
      </c>
      <c r="O328" s="108" t="n">
        <v>0.6</v>
      </c>
      <c r="P328" s="108" t="n">
        <v>0.57</v>
      </c>
      <c r="Q328" s="108" t="n">
        <v>0.59</v>
      </c>
      <c r="R328" s="108" t="n">
        <v>0.27</v>
      </c>
      <c r="S328" s="108" t="n">
        <v>0.86</v>
      </c>
      <c r="T328" s="108" t="n">
        <v>0.85</v>
      </c>
      <c r="U328" s="108" t="n">
        <v>4.62</v>
      </c>
      <c r="V328" s="108" t="n">
        <v>4.43</v>
      </c>
      <c r="W328" s="108" t="n">
        <v>0.37</v>
      </c>
      <c r="X328" s="109" t="n">
        <v>0.06</v>
      </c>
      <c r="Y328" s="109" t="n">
        <v>0.02</v>
      </c>
      <c r="Z328" s="109" t="n">
        <v>2.55</v>
      </c>
      <c r="AA328" s="109" t="n">
        <v>0.13</v>
      </c>
      <c r="AB328" s="109" t="n">
        <v>-0.1</v>
      </c>
      <c r="AC328" s="108" t="n">
        <v>0.03</v>
      </c>
      <c r="AD328" s="108" t="n">
        <v>0.03</v>
      </c>
      <c r="AE328" s="108" t="n">
        <v>-0.04</v>
      </c>
      <c r="AF328" s="108" t="n">
        <v>0.14</v>
      </c>
      <c r="AG328" s="108" t="n">
        <v>0.09</v>
      </c>
      <c r="AH328" s="108" t="n">
        <v>0.16</v>
      </c>
      <c r="AI328" s="108" t="n">
        <v>0.24</v>
      </c>
      <c r="AJ328" s="108" t="n">
        <v>0.78</v>
      </c>
      <c r="AK328" s="112" t="inlineStr">
        <is>
          <t>Distress</t>
        </is>
      </c>
      <c r="AL328" s="108" t="n">
        <v>-0.04</v>
      </c>
      <c r="AM328" s="108" t="n">
        <v>0.14</v>
      </c>
      <c r="AN328" s="108" t="n">
        <v>0.09</v>
      </c>
      <c r="AO328" s="108" t="n">
        <v>0.16</v>
      </c>
      <c r="AP328" s="108" t="n">
        <v>0.24</v>
      </c>
      <c r="AQ328" s="107" t="n">
        <v>0.68</v>
      </c>
      <c r="AR328" s="107" t="inlineStr">
        <is>
          <t>Distress</t>
        </is>
      </c>
      <c r="AS328" s="108" t="n">
        <v>-0.04</v>
      </c>
      <c r="AT328" s="108" t="n">
        <v>0.14</v>
      </c>
      <c r="AU328" s="108" t="n">
        <v>0.09</v>
      </c>
      <c r="AV328" s="108" t="n">
        <v>0.16</v>
      </c>
      <c r="AW328" s="107" t="n">
        <v>0.96</v>
      </c>
      <c r="AX328" s="107" t="inlineStr">
        <is>
          <t>Distress</t>
        </is>
      </c>
      <c r="AY328" s="108" t="n">
        <v>-0.04</v>
      </c>
      <c r="AZ328" s="108" t="n">
        <v>0.09</v>
      </c>
      <c r="BA328" s="108" t="n">
        <v>0.73</v>
      </c>
      <c r="BB328" s="108" t="n">
        <v>0.24</v>
      </c>
      <c r="BC328" s="107" t="n">
        <v>0.82</v>
      </c>
      <c r="BD328" s="107" t="inlineStr">
        <is>
          <t>Distress</t>
        </is>
      </c>
      <c r="BE328" s="108" t="n">
        <v>0.05</v>
      </c>
      <c r="BF328" s="108" t="n">
        <v>0.86</v>
      </c>
      <c r="BG328" s="108" t="n">
        <v>0.6</v>
      </c>
      <c r="BH328" s="108" t="n">
        <v>0.31</v>
      </c>
      <c r="BI328" s="107" t="n">
        <v>0.58</v>
      </c>
      <c r="BJ328" s="107" t="inlineStr">
        <is>
          <t>Distress</t>
        </is>
      </c>
      <c r="BK328" s="107" t="n">
        <v>1</v>
      </c>
      <c r="BL328" s="107" t="n">
        <v>1</v>
      </c>
      <c r="BM328" s="107" t="n">
        <v>0</v>
      </c>
      <c r="BN328" s="107" t="n">
        <v>0</v>
      </c>
      <c r="BO328" s="107" t="n">
        <v>0</v>
      </c>
      <c r="BP328" s="107" t="n">
        <v>1</v>
      </c>
      <c r="BQ328" s="107" t="n">
        <v>1</v>
      </c>
      <c r="BR328" s="107" t="n">
        <v>1</v>
      </c>
      <c r="BS328" s="107" t="n">
        <v>1</v>
      </c>
      <c r="BT328" s="107" t="n">
        <v>6</v>
      </c>
      <c r="BU328" s="107" t="inlineStr">
        <is>
          <t>Mixed</t>
        </is>
      </c>
      <c r="BV328" s="108" t="n">
        <v>0.84</v>
      </c>
      <c r="BW328" s="108" t="n">
        <v>1.12</v>
      </c>
      <c r="BX328" s="108" t="n">
        <v>1.01</v>
      </c>
      <c r="BY328" s="108" t="n">
        <v>1.13</v>
      </c>
      <c r="BZ328" s="108" t="n">
        <v>0.87</v>
      </c>
      <c r="CA328" s="108" t="n">
        <v>0.91</v>
      </c>
      <c r="CB328" s="108" t="n">
        <v>1.01</v>
      </c>
      <c r="CC328" s="108" t="n">
        <v>0.03</v>
      </c>
      <c r="CD328" s="107" t="n">
        <v>-2.3</v>
      </c>
      <c r="CE328" s="107" t="inlineStr">
        <is>
          <t>Lower Risk</t>
        </is>
      </c>
      <c r="CF328" s="108" t="n">
        <v>4.87</v>
      </c>
      <c r="CG328" s="108" t="n">
        <v>49.21</v>
      </c>
      <c r="CH328" s="107" t="n">
        <v>20</v>
      </c>
      <c r="CI328" s="107" t="inlineStr">
        <is>
          <t>CLEAR</t>
        </is>
      </c>
    </row>
    <row r="329" ht="17" customHeight="1">
      <c r="A329" s="103" t="inlineStr">
        <is>
          <t>HON</t>
        </is>
      </c>
      <c r="B329" s="103" t="inlineStr">
        <is>
          <t>Honeywell International Inc</t>
        </is>
      </c>
      <c r="C329" s="104" t="n">
        <v>6973000000</v>
      </c>
      <c r="D329" s="105" t="n">
        <v>0.22</v>
      </c>
      <c r="E329" s="105" t="n">
        <v>0.15</v>
      </c>
      <c r="F329" s="105" t="n">
        <v>0.13</v>
      </c>
      <c r="G329" s="105" t="n">
        <v>0.06</v>
      </c>
      <c r="H329" s="105" t="n">
        <v>-0</v>
      </c>
      <c r="I329" s="105" t="n">
        <v>0.34</v>
      </c>
      <c r="J329" s="105" t="n">
        <v>0.16</v>
      </c>
      <c r="K329" s="105" t="n">
        <v>0.09</v>
      </c>
      <c r="L329" s="105" t="n">
        <v>0.34</v>
      </c>
      <c r="M329" s="105" t="n">
        <v>0.5</v>
      </c>
      <c r="N329" s="104" t="n">
        <v>0.13</v>
      </c>
      <c r="O329" s="104" t="n">
        <v>1.3</v>
      </c>
      <c r="P329" s="104" t="n">
        <v>1.31</v>
      </c>
      <c r="Q329" s="104" t="n">
        <v>1.03</v>
      </c>
      <c r="R329" s="104" t="n">
        <v>0.53</v>
      </c>
      <c r="S329" s="104" t="n">
        <v>1</v>
      </c>
      <c r="T329" s="104" t="n">
        <v>1</v>
      </c>
      <c r="U329" s="104" t="n">
        <v>2.51</v>
      </c>
      <c r="V329" s="104" t="n">
        <v>1.61</v>
      </c>
      <c r="W329" s="104" t="n">
        <v>1.36</v>
      </c>
      <c r="X329" s="105" t="n">
        <v>0.15</v>
      </c>
      <c r="Y329" s="105" t="n">
        <v>0.05</v>
      </c>
      <c r="Z329" s="113" t="inlineStr">
        <is>
          <t>N/A</t>
        </is>
      </c>
      <c r="AA329" s="105" t="n">
        <v>2.86</v>
      </c>
      <c r="AB329" s="105" t="n">
        <v>-42.12</v>
      </c>
      <c r="AC329" s="104" t="n">
        <v>-0.02</v>
      </c>
      <c r="AD329" s="104" t="n">
        <v>-0.02</v>
      </c>
      <c r="AE329" s="104" t="n">
        <v>0.09</v>
      </c>
      <c r="AF329" s="104" t="n">
        <v>0.6899999999999999</v>
      </c>
      <c r="AG329" s="104" t="n">
        <v>0.11</v>
      </c>
      <c r="AH329" s="104" t="n">
        <v>0.19</v>
      </c>
      <c r="AI329" s="104" t="n">
        <v>0.5</v>
      </c>
      <c r="AJ329" s="104" t="n">
        <v>2.05</v>
      </c>
      <c r="AK329" s="106" t="inlineStr">
        <is>
          <t>Grey</t>
        </is>
      </c>
      <c r="AL329" s="104" t="n">
        <v>0.09</v>
      </c>
      <c r="AM329" s="104" t="n">
        <v>0.6899999999999999</v>
      </c>
      <c r="AN329" s="104" t="n">
        <v>0.11</v>
      </c>
      <c r="AO329" s="104" t="n">
        <v>0.19</v>
      </c>
      <c r="AP329" s="104" t="n">
        <v>0.5</v>
      </c>
      <c r="AQ329" s="103" t="n">
        <v>1.57</v>
      </c>
      <c r="AR329" s="103" t="inlineStr">
        <is>
          <t>Grey</t>
        </is>
      </c>
      <c r="AS329" s="104" t="n">
        <v>0.09</v>
      </c>
      <c r="AT329" s="104" t="n">
        <v>0.6899999999999999</v>
      </c>
      <c r="AU329" s="104" t="n">
        <v>0.11</v>
      </c>
      <c r="AV329" s="104" t="n">
        <v>0.19</v>
      </c>
      <c r="AW329" s="103" t="n">
        <v>3.82</v>
      </c>
      <c r="AX329" s="103" t="inlineStr">
        <is>
          <t>Safe</t>
        </is>
      </c>
      <c r="AY329" s="104" t="n">
        <v>0.09</v>
      </c>
      <c r="AZ329" s="104" t="n">
        <v>0.11</v>
      </c>
      <c r="BA329" s="104" t="n">
        <v>0.23</v>
      </c>
      <c r="BB329" s="104" t="n">
        <v>0.5</v>
      </c>
      <c r="BC329" s="103" t="n">
        <v>0.79</v>
      </c>
      <c r="BD329" s="103" t="inlineStr">
        <is>
          <t>Distress</t>
        </is>
      </c>
      <c r="BE329" s="104" t="n">
        <v>0.06</v>
      </c>
      <c r="BF329" s="104" t="n">
        <v>1</v>
      </c>
      <c r="BG329" s="104" t="n">
        <v>1.3</v>
      </c>
      <c r="BH329" s="104" t="n">
        <v>1.06</v>
      </c>
      <c r="BI329" s="103" t="n">
        <v>0.74</v>
      </c>
      <c r="BJ329" s="103" t="inlineStr">
        <is>
          <t>Distress</t>
        </is>
      </c>
      <c r="BK329" s="103" t="n">
        <v>1</v>
      </c>
      <c r="BL329" s="103" t="n">
        <v>1</v>
      </c>
      <c r="BM329" s="103" t="n">
        <v>1</v>
      </c>
      <c r="BN329" s="103" t="n">
        <v>1</v>
      </c>
      <c r="BO329" s="103" t="n">
        <v>0</v>
      </c>
      <c r="BP329" s="103" t="n">
        <v>0</v>
      </c>
      <c r="BQ329" s="103" t="n">
        <v>1</v>
      </c>
      <c r="BR329" s="103" t="n">
        <v>0</v>
      </c>
      <c r="BS329" s="103" t="n">
        <v>1</v>
      </c>
      <c r="BT329" s="103" t="n">
        <v>6</v>
      </c>
      <c r="BU329" s="103" t="inlineStr">
        <is>
          <t>Mixed</t>
        </is>
      </c>
      <c r="BV329" s="104" t="n">
        <v>0.25</v>
      </c>
      <c r="BW329" s="104" t="n">
        <v>3.59</v>
      </c>
      <c r="BX329" s="104" t="n">
        <v>0.93</v>
      </c>
      <c r="BY329" s="104" t="n">
        <v>3.86</v>
      </c>
      <c r="BZ329" s="104" t="n">
        <v>0.96</v>
      </c>
      <c r="CA329" s="104" t="n">
        <v>0.26</v>
      </c>
      <c r="CB329" s="104" t="n">
        <v>1</v>
      </c>
      <c r="CC329" s="104" t="n">
        <v>-0.02</v>
      </c>
      <c r="CD329" s="103" t="n">
        <v>0.73</v>
      </c>
      <c r="CE329" s="103" t="inlineStr">
        <is>
          <t>Higher Risk</t>
        </is>
      </c>
      <c r="CF329" s="104" t="n">
        <v>2.36</v>
      </c>
      <c r="CG329" s="104" t="n">
        <v>47.33</v>
      </c>
      <c r="CH329" s="103" t="n">
        <v>20</v>
      </c>
      <c r="CI329" s="103" t="inlineStr">
        <is>
          <t>CLEAR</t>
        </is>
      </c>
    </row>
    <row r="330" ht="17" customHeight="1">
      <c r="A330" s="107" t="inlineStr">
        <is>
          <t>IR</t>
        </is>
      </c>
      <c r="B330" s="107" t="inlineStr">
        <is>
          <t>Ingersoll Rand Inc.</t>
        </is>
      </c>
      <c r="C330" s="108" t="n">
        <v>2181700000</v>
      </c>
      <c r="D330" s="109" t="n">
        <v>0.48</v>
      </c>
      <c r="E330" s="109" t="n">
        <v>0.22</v>
      </c>
      <c r="F330" s="109" t="n">
        <v>0.24</v>
      </c>
      <c r="G330" s="109" t="n">
        <v>0.03</v>
      </c>
      <c r="H330" s="109" t="n">
        <v>0.05</v>
      </c>
      <c r="I330" s="109" t="n">
        <v>0.06</v>
      </c>
      <c r="J330" s="109" t="n">
        <v>0.07000000000000001</v>
      </c>
      <c r="K330" s="109" t="n">
        <v>1.4</v>
      </c>
      <c r="L330" s="109" t="n">
        <v>1.63</v>
      </c>
      <c r="M330" s="109" t="n">
        <v>0.13</v>
      </c>
      <c r="N330" s="108" t="n">
        <v>0.11</v>
      </c>
      <c r="O330" s="108" t="n">
        <v>2.06</v>
      </c>
      <c r="P330" s="108" t="n">
        <v>2.29</v>
      </c>
      <c r="Q330" s="108" t="n">
        <v>1.49</v>
      </c>
      <c r="R330" s="108" t="n">
        <v>0.6</v>
      </c>
      <c r="S330" s="108" t="n">
        <v>0.45</v>
      </c>
      <c r="T330" s="108" t="n">
        <v>0.43</v>
      </c>
      <c r="U330" s="108" t="n">
        <v>0.28</v>
      </c>
      <c r="V330" s="108" t="n">
        <v>0.15</v>
      </c>
      <c r="W330" s="108" t="n">
        <v>2.33</v>
      </c>
      <c r="X330" s="109" t="n">
        <v>0.51</v>
      </c>
      <c r="Y330" s="109" t="n">
        <v>0.05</v>
      </c>
      <c r="Z330" s="109" t="n">
        <v>7.3</v>
      </c>
      <c r="AA330" s="109" t="n">
        <v>0.22</v>
      </c>
      <c r="AB330" s="109" t="n">
        <v>-0.31</v>
      </c>
      <c r="AC330" s="108" t="n">
        <v>-0.04</v>
      </c>
      <c r="AD330" s="108" t="n">
        <v>-0.04</v>
      </c>
      <c r="AE330" s="108" t="n">
        <v>0.12</v>
      </c>
      <c r="AF330" s="108" t="n">
        <v>0.17</v>
      </c>
      <c r="AG330" s="108" t="n">
        <v>0.06</v>
      </c>
      <c r="AH330" s="108" t="n">
        <v>1.24</v>
      </c>
      <c r="AI330" s="108" t="n">
        <v>0.13</v>
      </c>
      <c r="AJ330" s="108" t="n">
        <v>1.46</v>
      </c>
      <c r="AK330" s="112" t="inlineStr">
        <is>
          <t>Distress</t>
        </is>
      </c>
      <c r="AL330" s="108" t="n">
        <v>0.12</v>
      </c>
      <c r="AM330" s="108" t="n">
        <v>0.17</v>
      </c>
      <c r="AN330" s="108" t="n">
        <v>0.06</v>
      </c>
      <c r="AO330" s="108" t="n">
        <v>1.24</v>
      </c>
      <c r="AP330" s="108" t="n">
        <v>0.13</v>
      </c>
      <c r="AQ330" s="107" t="n">
        <v>1.07</v>
      </c>
      <c r="AR330" s="107" t="inlineStr">
        <is>
          <t>Distress</t>
        </is>
      </c>
      <c r="AS330" s="108" t="n">
        <v>0.12</v>
      </c>
      <c r="AT330" s="108" t="n">
        <v>0.17</v>
      </c>
      <c r="AU330" s="108" t="n">
        <v>0.06</v>
      </c>
      <c r="AV330" s="108" t="n">
        <v>1.24</v>
      </c>
      <c r="AW330" s="107" t="n">
        <v>3.05</v>
      </c>
      <c r="AX330" s="107" t="inlineStr">
        <is>
          <t>Safe</t>
        </is>
      </c>
      <c r="AY330" s="108" t="n">
        <v>0.12</v>
      </c>
      <c r="AZ330" s="108" t="n">
        <v>0.06</v>
      </c>
      <c r="BA330" s="108" t="n">
        <v>0.25</v>
      </c>
      <c r="BB330" s="108" t="n">
        <v>0.13</v>
      </c>
      <c r="BC330" s="107" t="n">
        <v>0.53</v>
      </c>
      <c r="BD330" s="107" t="inlineStr">
        <is>
          <t>Distress</t>
        </is>
      </c>
      <c r="BE330" s="108" t="n">
        <v>0.03</v>
      </c>
      <c r="BF330" s="108" t="n">
        <v>0.45</v>
      </c>
      <c r="BG330" s="108" t="n">
        <v>2.06</v>
      </c>
      <c r="BH330" s="108" t="n">
        <v>-1.94</v>
      </c>
      <c r="BI330" s="107" t="n">
        <v>0.13</v>
      </c>
      <c r="BJ330" s="107" t="inlineStr">
        <is>
          <t>Healthy</t>
        </is>
      </c>
      <c r="BK330" s="107" t="n">
        <v>1</v>
      </c>
      <c r="BL330" s="107" t="n">
        <v>1</v>
      </c>
      <c r="BM330" s="107" t="n">
        <v>0</v>
      </c>
      <c r="BN330" s="107" t="n">
        <v>1</v>
      </c>
      <c r="BO330" s="107" t="n">
        <v>0</v>
      </c>
      <c r="BP330" s="107" t="n">
        <v>0</v>
      </c>
      <c r="BQ330" s="107" t="n">
        <v>1</v>
      </c>
      <c r="BR330" s="107" t="n">
        <v>0</v>
      </c>
      <c r="BS330" s="107" t="n">
        <v>1</v>
      </c>
      <c r="BT330" s="107" t="n">
        <v>5</v>
      </c>
      <c r="BU330" s="107" t="inlineStr">
        <is>
          <t>Mixed</t>
        </is>
      </c>
      <c r="BV330" s="108" t="n">
        <v>0.93</v>
      </c>
      <c r="BW330" s="108" t="n">
        <v>1.16</v>
      </c>
      <c r="BX330" s="108" t="n">
        <v>0.99</v>
      </c>
      <c r="BY330" s="108" t="n">
        <v>1.22</v>
      </c>
      <c r="BZ330" s="108" t="n">
        <v>1.03</v>
      </c>
      <c r="CA330" s="108" t="n">
        <v>0.87</v>
      </c>
      <c r="CB330" s="108" t="n">
        <v>1.03</v>
      </c>
      <c r="CC330" s="108" t="n">
        <v>-0.04</v>
      </c>
      <c r="CD330" s="107" t="n">
        <v>-2.45</v>
      </c>
      <c r="CE330" s="107" t="inlineStr">
        <is>
          <t>Lower Risk</t>
        </is>
      </c>
      <c r="CF330" s="108" t="n">
        <v>0.93</v>
      </c>
      <c r="CG330" s="108" t="n">
        <v>48.02</v>
      </c>
      <c r="CH330" s="107" t="n">
        <v>0</v>
      </c>
      <c r="CI330" s="107" t="inlineStr">
        <is>
          <t>CLEAR</t>
        </is>
      </c>
    </row>
    <row r="331" ht="17" customHeight="1">
      <c r="A331" s="103" t="inlineStr">
        <is>
          <t>SCI</t>
        </is>
      </c>
      <c r="B331" s="103" t="inlineStr">
        <is>
          <t>SERVICE CORPORATION INTERNATIONAL</t>
        </is>
      </c>
      <c r="C331" s="104" t="n">
        <v>-333911000</v>
      </c>
      <c r="D331" s="105" t="n">
        <v>0.23</v>
      </c>
      <c r="E331" s="105" t="n">
        <v>0.17</v>
      </c>
      <c r="F331" s="105" t="n">
        <v>0.13</v>
      </c>
      <c r="G331" s="105" t="n">
        <v>0.03</v>
      </c>
      <c r="H331" s="105" t="n">
        <v>0.03</v>
      </c>
      <c r="I331" s="105" t="n">
        <v>0.33</v>
      </c>
      <c r="J331" s="105" t="n">
        <v>0.05</v>
      </c>
      <c r="K331" s="105" t="n">
        <v>0.26</v>
      </c>
      <c r="L331" s="105" t="n">
        <v>0.26</v>
      </c>
      <c r="M331" s="105" t="n">
        <v>0.23</v>
      </c>
      <c r="N331" s="104" t="n">
        <v>0.24</v>
      </c>
      <c r="O331" s="104" t="n">
        <v>0.55</v>
      </c>
      <c r="P331" s="104" t="n">
        <v>0.52</v>
      </c>
      <c r="Q331" s="104" t="n">
        <v>0.5</v>
      </c>
      <c r="R331" s="104" t="n">
        <v>0.33</v>
      </c>
      <c r="S331" s="104" t="n">
        <v>1</v>
      </c>
      <c r="T331" s="104" t="n">
        <v>1</v>
      </c>
      <c r="U331" s="104" t="n">
        <v>3.17</v>
      </c>
      <c r="V331" s="104" t="n">
        <v>3.02</v>
      </c>
      <c r="W331" s="104" t="n">
        <v>1.74</v>
      </c>
      <c r="X331" s="105" t="n">
        <v>0.13</v>
      </c>
      <c r="Y331" s="113" t="inlineStr">
        <is>
          <t>N/A</t>
        </is>
      </c>
      <c r="Z331" s="105" t="n">
        <v>3.83</v>
      </c>
      <c r="AA331" s="105" t="n">
        <v>0.03</v>
      </c>
      <c r="AB331" s="105" t="n">
        <v>0.05</v>
      </c>
      <c r="AC331" s="104" t="n">
        <v>-0.02</v>
      </c>
      <c r="AD331" s="104" t="n">
        <v>-0.02</v>
      </c>
      <c r="AE331" s="104" t="n">
        <v>-0.02</v>
      </c>
      <c r="AF331" s="104" t="n">
        <v>0.03</v>
      </c>
      <c r="AG331" s="104" t="n">
        <v>0.05</v>
      </c>
      <c r="AH331" s="104" t="n">
        <v>0.09</v>
      </c>
      <c r="AI331" s="104" t="n">
        <v>0.23</v>
      </c>
      <c r="AJ331" s="104" t="n">
        <v>0.47</v>
      </c>
      <c r="AK331" s="112" t="inlineStr">
        <is>
          <t>Distress</t>
        </is>
      </c>
      <c r="AL331" s="104" t="n">
        <v>-0.02</v>
      </c>
      <c r="AM331" s="104" t="n">
        <v>0.03</v>
      </c>
      <c r="AN331" s="104" t="n">
        <v>0.05</v>
      </c>
      <c r="AO331" s="104" t="n">
        <v>0.09</v>
      </c>
      <c r="AP331" s="104" t="n">
        <v>0.23</v>
      </c>
      <c r="AQ331" s="103" t="n">
        <v>0.44</v>
      </c>
      <c r="AR331" s="103" t="inlineStr">
        <is>
          <t>Distress</t>
        </is>
      </c>
      <c r="AS331" s="104" t="n">
        <v>-0.02</v>
      </c>
      <c r="AT331" s="104" t="n">
        <v>0.03</v>
      </c>
      <c r="AU331" s="104" t="n">
        <v>0.05</v>
      </c>
      <c r="AV331" s="104" t="n">
        <v>0.09</v>
      </c>
      <c r="AW331" s="103" t="n">
        <v>0.41</v>
      </c>
      <c r="AX331" s="103" t="inlineStr">
        <is>
          <t>Distress</t>
        </is>
      </c>
      <c r="AY331" s="104" t="n">
        <v>-0.02</v>
      </c>
      <c r="AZ331" s="104" t="n">
        <v>0.05</v>
      </c>
      <c r="BA331" s="104" t="n">
        <v>0.98</v>
      </c>
      <c r="BB331" s="104" t="n">
        <v>0.23</v>
      </c>
      <c r="BC331" s="103" t="n">
        <v>0.88</v>
      </c>
      <c r="BD331" s="103" t="inlineStr">
        <is>
          <t>Healthy</t>
        </is>
      </c>
      <c r="BE331" s="104" t="n">
        <v>0.03</v>
      </c>
      <c r="BF331" s="104" t="n">
        <v>1</v>
      </c>
      <c r="BG331" s="104" t="n">
        <v>0.55</v>
      </c>
      <c r="BH331" s="104" t="n">
        <v>1.21</v>
      </c>
      <c r="BI331" s="103" t="n">
        <v>0.77</v>
      </c>
      <c r="BJ331" s="103" t="inlineStr">
        <is>
          <t>Distress</t>
        </is>
      </c>
      <c r="BK331" s="103" t="n">
        <v>1</v>
      </c>
      <c r="BL331" s="103" t="n">
        <v>1</v>
      </c>
      <c r="BM331" s="103" t="n">
        <v>0</v>
      </c>
      <c r="BN331" s="103" t="n">
        <v>1</v>
      </c>
      <c r="BO331" s="103" t="n">
        <v>1</v>
      </c>
      <c r="BP331" s="103" t="n">
        <v>1</v>
      </c>
      <c r="BQ331" s="103" t="n">
        <v>1</v>
      </c>
      <c r="BR331" s="103" t="n">
        <v>1</v>
      </c>
      <c r="BS331" s="103" t="n">
        <v>0</v>
      </c>
      <c r="BT331" s="103" t="n">
        <v>7</v>
      </c>
      <c r="BU331" s="103" t="inlineStr">
        <is>
          <t>Strong</t>
        </is>
      </c>
      <c r="BV331" s="104" t="n">
        <v>1.03</v>
      </c>
      <c r="BW331" s="104" t="n">
        <v>0.98</v>
      </c>
      <c r="BX331" s="104" t="n">
        <v>1</v>
      </c>
      <c r="BY331" s="104" t="n">
        <v>1.03</v>
      </c>
      <c r="BZ331" s="104" t="n">
        <v>0.97</v>
      </c>
      <c r="CA331" s="104" t="n">
        <v>1.16</v>
      </c>
      <c r="CB331" s="104" t="n">
        <v>1</v>
      </c>
      <c r="CC331" s="104" t="n">
        <v>-0.02</v>
      </c>
      <c r="CD331" s="103" t="n">
        <v>-2.56</v>
      </c>
      <c r="CE331" s="103" t="inlineStr">
        <is>
          <t>Lower Risk</t>
        </is>
      </c>
      <c r="CF331" s="104" t="n">
        <v>4.29</v>
      </c>
      <c r="CG331" s="104" t="n">
        <v>52.26</v>
      </c>
      <c r="CH331" s="103" t="n">
        <v>0</v>
      </c>
      <c r="CI331" s="103" t="inlineStr">
        <is>
          <t>CLEAR</t>
        </is>
      </c>
    </row>
    <row r="332" ht="17" customHeight="1">
      <c r="A332" s="107" t="inlineStr">
        <is>
          <t>MRK</t>
        </is>
      </c>
      <c r="B332" s="107" t="inlineStr">
        <is>
          <t>Merck &amp; Co., Inc.</t>
        </is>
      </c>
      <c r="C332" s="108" t="n">
        <v>15189000000</v>
      </c>
      <c r="D332" s="109" t="n">
        <v>0.32</v>
      </c>
      <c r="E332" s="109" t="n">
        <v>0.32</v>
      </c>
      <c r="F332" s="109" t="n">
        <v>0.28</v>
      </c>
      <c r="G332" s="109" t="n">
        <v>0.13</v>
      </c>
      <c r="H332" s="109" t="n">
        <v>0.15</v>
      </c>
      <c r="I332" s="109" t="n">
        <v>0.35</v>
      </c>
      <c r="J332" s="109" t="n">
        <v>0.19</v>
      </c>
      <c r="K332" s="109" t="n">
        <v>0.75</v>
      </c>
      <c r="L332" s="109" t="n">
        <v>0.76</v>
      </c>
      <c r="M332" s="109" t="n">
        <v>0.47</v>
      </c>
      <c r="N332" s="108" t="n">
        <v>0.55</v>
      </c>
      <c r="O332" s="108" t="n">
        <v>1.54</v>
      </c>
      <c r="P332" s="108" t="n">
        <v>1.36</v>
      </c>
      <c r="Q332" s="108" t="n">
        <v>1.3</v>
      </c>
      <c r="R332" s="108" t="n">
        <v>0.51</v>
      </c>
      <c r="S332" s="108" t="n">
        <v>1</v>
      </c>
      <c r="T332" s="108" t="n">
        <v>1</v>
      </c>
      <c r="U332" s="108" t="n">
        <v>0.9399999999999999</v>
      </c>
      <c r="V332" s="108" t="n">
        <v>0.66</v>
      </c>
      <c r="W332" s="108" t="n">
        <v>0.9</v>
      </c>
      <c r="X332" s="109" t="n">
        <v>0.19</v>
      </c>
      <c r="Y332" s="109" t="n">
        <v>0.24</v>
      </c>
      <c r="Z332" s="109" t="n">
        <v>18.38</v>
      </c>
      <c r="AA332" s="109" t="n">
        <v>0.01</v>
      </c>
      <c r="AB332" s="109" t="n">
        <v>0.07000000000000001</v>
      </c>
      <c r="AC332" s="108" t="n">
        <v>0.01</v>
      </c>
      <c r="AD332" s="108" t="n">
        <v>0.01</v>
      </c>
      <c r="AE332" s="108" t="n">
        <v>0.11</v>
      </c>
      <c r="AF332" s="108" t="n">
        <v>0.53</v>
      </c>
      <c r="AG332" s="108" t="n">
        <v>0.15</v>
      </c>
      <c r="AH332" s="108" t="n">
        <v>0.38</v>
      </c>
      <c r="AI332" s="108" t="n">
        <v>0.47</v>
      </c>
      <c r="AJ332" s="108" t="n">
        <v>2.09</v>
      </c>
      <c r="AK332" s="106" t="inlineStr">
        <is>
          <t>Grey</t>
        </is>
      </c>
      <c r="AL332" s="108" t="n">
        <v>0.11</v>
      </c>
      <c r="AM332" s="108" t="n">
        <v>0.53</v>
      </c>
      <c r="AN332" s="108" t="n">
        <v>0.15</v>
      </c>
      <c r="AO332" s="108" t="n">
        <v>0.38</v>
      </c>
      <c r="AP332" s="108" t="n">
        <v>0.47</v>
      </c>
      <c r="AQ332" s="107" t="n">
        <v>1.65</v>
      </c>
      <c r="AR332" s="107" t="inlineStr">
        <is>
          <t>Grey</t>
        </is>
      </c>
      <c r="AS332" s="108" t="n">
        <v>0.11</v>
      </c>
      <c r="AT332" s="108" t="n">
        <v>0.53</v>
      </c>
      <c r="AU332" s="108" t="n">
        <v>0.15</v>
      </c>
      <c r="AV332" s="108" t="n">
        <v>0.38</v>
      </c>
      <c r="AW332" s="107" t="n">
        <v>3.91</v>
      </c>
      <c r="AX332" s="107" t="inlineStr">
        <is>
          <t>Safe</t>
        </is>
      </c>
      <c r="AY332" s="108" t="n">
        <v>0.11</v>
      </c>
      <c r="AZ332" s="108" t="n">
        <v>0.15</v>
      </c>
      <c r="BA332" s="108" t="n">
        <v>0.74</v>
      </c>
      <c r="BB332" s="108" t="n">
        <v>0.47</v>
      </c>
      <c r="BC332" s="107" t="n">
        <v>1.27</v>
      </c>
      <c r="BD332" s="107" t="inlineStr">
        <is>
          <t>Healthy</t>
        </is>
      </c>
      <c r="BE332" s="108" t="n">
        <v>0.13</v>
      </c>
      <c r="BF332" s="108" t="n">
        <v>1</v>
      </c>
      <c r="BG332" s="108" t="n">
        <v>1.54</v>
      </c>
      <c r="BH332" s="108" t="n">
        <v>0.75</v>
      </c>
      <c r="BI332" s="107" t="n">
        <v>0.68</v>
      </c>
      <c r="BJ332" s="107" t="inlineStr">
        <is>
          <t>Distress</t>
        </is>
      </c>
      <c r="BK332" s="107" t="n">
        <v>1</v>
      </c>
      <c r="BL332" s="107" t="n">
        <v>1</v>
      </c>
      <c r="BM332" s="107" t="n">
        <v>0</v>
      </c>
      <c r="BN332" s="107" t="n">
        <v>0</v>
      </c>
      <c r="BO332" s="107" t="n">
        <v>0</v>
      </c>
      <c r="BP332" s="107" t="n">
        <v>1</v>
      </c>
      <c r="BQ332" s="107" t="n">
        <v>1</v>
      </c>
      <c r="BR332" s="107" t="n">
        <v>0</v>
      </c>
      <c r="BS332" s="107" t="n">
        <v>0</v>
      </c>
      <c r="BT332" s="107" t="n">
        <v>4</v>
      </c>
      <c r="BU332" s="107" t="inlineStr">
        <is>
          <t>Mixed</t>
        </is>
      </c>
      <c r="BV332" s="108" t="n">
        <v>1.13</v>
      </c>
      <c r="BW332" s="108" t="n">
        <v>1.02</v>
      </c>
      <c r="BX332" s="108" t="n">
        <v>1.07</v>
      </c>
      <c r="BY332" s="108" t="n">
        <v>1.01</v>
      </c>
      <c r="BZ332" s="108" t="n">
        <v>1.27</v>
      </c>
      <c r="CA332" s="108" t="n">
        <v>0.98</v>
      </c>
      <c r="CB332" s="108" t="n">
        <v>1</v>
      </c>
      <c r="CC332" s="108" t="n">
        <v>0.01</v>
      </c>
      <c r="CD332" s="107" t="n">
        <v>-2.21</v>
      </c>
      <c r="CE332" s="107" t="inlineStr">
        <is>
          <t>Higher Risk</t>
        </is>
      </c>
      <c r="CF332" s="108" t="n">
        <v>1.41</v>
      </c>
      <c r="CG332" s="108" t="n">
        <v>39.81</v>
      </c>
      <c r="CH332" s="107" t="n">
        <v>20</v>
      </c>
      <c r="CI332" s="107" t="inlineStr">
        <is>
          <t>CLEAR</t>
        </is>
      </c>
    </row>
    <row r="333" ht="17" customHeight="1">
      <c r="A333" s="103" t="inlineStr">
        <is>
          <t>EMR</t>
        </is>
      </c>
      <c r="B333" s="103" t="inlineStr">
        <is>
          <t>EMERSON ELECTRIC CO.</t>
        </is>
      </c>
      <c r="C333" s="104" t="n">
        <v>-1214000000</v>
      </c>
      <c r="D333" s="105" t="n">
        <v>0.12</v>
      </c>
      <c r="E333" s="105" t="n">
        <v>0.12</v>
      </c>
      <c r="F333" s="105" t="n">
        <v>0.09</v>
      </c>
      <c r="G333" s="105" t="n">
        <v>0.05</v>
      </c>
      <c r="H333" s="105" t="n">
        <v>0.01</v>
      </c>
      <c r="I333" s="105" t="n">
        <v>0.11</v>
      </c>
      <c r="J333" s="105" t="n">
        <v>0.09</v>
      </c>
      <c r="K333" s="105" t="n">
        <v>0.39</v>
      </c>
      <c r="L333" s="105" t="n">
        <v>0.1</v>
      </c>
      <c r="M333" s="105" t="n">
        <v>0.58</v>
      </c>
      <c r="N333" s="104" t="n">
        <v>0.55</v>
      </c>
      <c r="O333" s="104" t="n">
        <v>0.88</v>
      </c>
      <c r="P333" s="104" t="n">
        <v>1.77</v>
      </c>
      <c r="Q333" s="104" t="n">
        <v>0.65</v>
      </c>
      <c r="R333" s="104" t="n">
        <v>0.24</v>
      </c>
      <c r="S333" s="104" t="n">
        <v>1</v>
      </c>
      <c r="T333" s="104" t="n">
        <v>1</v>
      </c>
      <c r="U333" s="104" t="n">
        <v>0.68</v>
      </c>
      <c r="V333" s="104" t="n">
        <v>0.5600000000000001</v>
      </c>
      <c r="W333" s="104" t="n">
        <v>1.35</v>
      </c>
      <c r="X333" s="105" t="n">
        <v>0.11</v>
      </c>
      <c r="Y333" s="105" t="n">
        <v>0.03</v>
      </c>
      <c r="Z333" s="105" t="n">
        <v>19.96</v>
      </c>
      <c r="AA333" s="105" t="n">
        <v>0.01</v>
      </c>
      <c r="AB333" s="105" t="n">
        <v>2.6</v>
      </c>
      <c r="AC333" s="104" t="n">
        <v>-0.02</v>
      </c>
      <c r="AD333" s="104" t="n">
        <v>-0.02</v>
      </c>
      <c r="AE333" s="104" t="n">
        <v>-0.03</v>
      </c>
      <c r="AF333" s="104" t="n">
        <v>0.97</v>
      </c>
      <c r="AG333" s="104" t="n">
        <v>0.07000000000000001</v>
      </c>
      <c r="AH333" s="104" t="n">
        <v>0.48</v>
      </c>
      <c r="AI333" s="104" t="n">
        <v>0.58</v>
      </c>
      <c r="AJ333" s="104" t="n">
        <v>2.42</v>
      </c>
      <c r="AK333" s="106" t="inlineStr">
        <is>
          <t>Grey</t>
        </is>
      </c>
      <c r="AL333" s="104" t="n">
        <v>-0.03</v>
      </c>
      <c r="AM333" s="104" t="n">
        <v>0.97</v>
      </c>
      <c r="AN333" s="104" t="n">
        <v>0.07000000000000001</v>
      </c>
      <c r="AO333" s="104" t="n">
        <v>0.48</v>
      </c>
      <c r="AP333" s="104" t="n">
        <v>0.58</v>
      </c>
      <c r="AQ333" s="103" t="n">
        <v>1.8</v>
      </c>
      <c r="AR333" s="103" t="inlineStr">
        <is>
          <t>Grey</t>
        </is>
      </c>
      <c r="AS333" s="104" t="n">
        <v>-0.03</v>
      </c>
      <c r="AT333" s="104" t="n">
        <v>0.97</v>
      </c>
      <c r="AU333" s="104" t="n">
        <v>0.07000000000000001</v>
      </c>
      <c r="AV333" s="104" t="n">
        <v>0.48</v>
      </c>
      <c r="AW333" s="103" t="n">
        <v>3.94</v>
      </c>
      <c r="AX333" s="103" t="inlineStr">
        <is>
          <t>Safe</t>
        </is>
      </c>
      <c r="AY333" s="104" t="n">
        <v>-0.03</v>
      </c>
      <c r="AZ333" s="104" t="n">
        <v>0.07000000000000001</v>
      </c>
      <c r="BA333" s="104" t="n">
        <v>0.3</v>
      </c>
      <c r="BB333" s="104" t="n">
        <v>0.58</v>
      </c>
      <c r="BC333" s="103" t="n">
        <v>0.62</v>
      </c>
      <c r="BD333" s="103" t="inlineStr">
        <is>
          <t>Distress</t>
        </is>
      </c>
      <c r="BE333" s="104" t="n">
        <v>0.05</v>
      </c>
      <c r="BF333" s="104" t="n">
        <v>1</v>
      </c>
      <c r="BG333" s="104" t="n">
        <v>0.88</v>
      </c>
      <c r="BH333" s="104" t="n">
        <v>1.1</v>
      </c>
      <c r="BI333" s="103" t="n">
        <v>0.75</v>
      </c>
      <c r="BJ333" s="103" t="inlineStr">
        <is>
          <t>Distress</t>
        </is>
      </c>
      <c r="BK333" s="103" t="n">
        <v>1</v>
      </c>
      <c r="BL333" s="103" t="n">
        <v>1</v>
      </c>
      <c r="BM333" s="103" t="n">
        <v>1</v>
      </c>
      <c r="BN333" s="103" t="n">
        <v>1</v>
      </c>
      <c r="BO333" s="103" t="n">
        <v>0</v>
      </c>
      <c r="BP333" s="103" t="n">
        <v>0</v>
      </c>
      <c r="BQ333" s="103" t="n">
        <v>1</v>
      </c>
      <c r="BR333" s="103" t="n">
        <v>1</v>
      </c>
      <c r="BS333" s="103" t="n">
        <v>1</v>
      </c>
      <c r="BT333" s="103" t="n">
        <v>7</v>
      </c>
      <c r="BU333" s="103" t="inlineStr">
        <is>
          <t>Strong</t>
        </is>
      </c>
      <c r="BV333" s="104" t="n">
        <v>1.05</v>
      </c>
      <c r="BW333" s="104" t="n">
        <v>0.27</v>
      </c>
      <c r="BX333" s="104" t="n">
        <v>1.03</v>
      </c>
      <c r="BY333" s="104" t="n">
        <v>1.01</v>
      </c>
      <c r="BZ333" s="104" t="n">
        <v>1.09</v>
      </c>
      <c r="CA333" s="104" t="n">
        <v>0.98</v>
      </c>
      <c r="CB333" s="104" t="n">
        <v>1</v>
      </c>
      <c r="CC333" s="104" t="n">
        <v>-0.02</v>
      </c>
      <c r="CD333" s="103" t="n">
        <v>-2.88</v>
      </c>
      <c r="CE333" s="103" t="inlineStr">
        <is>
          <t>Lower Risk</t>
        </is>
      </c>
      <c r="CF333" s="104" t="n">
        <v>2.55</v>
      </c>
      <c r="CG333" s="104" t="n">
        <v>57.02</v>
      </c>
      <c r="CH333" s="103" t="n">
        <v>0</v>
      </c>
      <c r="CI333" s="103" t="inlineStr">
        <is>
          <t>CLEAR</t>
        </is>
      </c>
    </row>
    <row r="334" ht="17" customHeight="1">
      <c r="A334" s="107" t="inlineStr">
        <is>
          <t>MMM</t>
        </is>
      </c>
      <c r="B334" s="107" t="inlineStr">
        <is>
          <t>3M COMPANY</t>
        </is>
      </c>
      <c r="C334" s="108" t="n">
        <v>6792000000</v>
      </c>
      <c r="D334" s="109" t="n">
        <v>0.19</v>
      </c>
      <c r="E334" s="109" t="n">
        <v>0.17</v>
      </c>
      <c r="F334" s="109" t="n">
        <v>0.13</v>
      </c>
      <c r="G334" s="109" t="n">
        <v>0.09</v>
      </c>
      <c r="H334" s="109" t="n">
        <v>0.1</v>
      </c>
      <c r="I334" s="109" t="n">
        <v>0.6899999999999999</v>
      </c>
      <c r="J334" s="109" t="n">
        <v>0.16</v>
      </c>
      <c r="K334" s="109" t="n">
        <v>0.4</v>
      </c>
      <c r="L334" s="109" t="n">
        <v>0.41</v>
      </c>
      <c r="M334" s="109" t="n">
        <v>0.66</v>
      </c>
      <c r="N334" s="108" t="n">
        <v>0.62</v>
      </c>
      <c r="O334" s="108" t="n">
        <v>1.71</v>
      </c>
      <c r="P334" s="108" t="n">
        <v>1.41</v>
      </c>
      <c r="Q334" s="108" t="n">
        <v>1.33</v>
      </c>
      <c r="R334" s="108" t="n">
        <v>0.25</v>
      </c>
      <c r="S334" s="108" t="n">
        <v>0.87</v>
      </c>
      <c r="T334" s="108" t="n">
        <v>0.9</v>
      </c>
      <c r="U334" s="108" t="n">
        <v>3.04</v>
      </c>
      <c r="V334" s="108" t="n">
        <v>2.53</v>
      </c>
      <c r="W334" s="108" t="n">
        <v>0.71</v>
      </c>
      <c r="X334" s="109" t="n">
        <v>0.06</v>
      </c>
      <c r="Y334" s="109" t="n">
        <v>0.03</v>
      </c>
      <c r="Z334" s="109" t="n">
        <v>4.91</v>
      </c>
      <c r="AA334" s="109" t="n">
        <v>0.02</v>
      </c>
      <c r="AB334" s="109" t="n">
        <v>-0.22</v>
      </c>
      <c r="AC334" s="108" t="n">
        <v>0.03</v>
      </c>
      <c r="AD334" s="108" t="n">
        <v>0.03</v>
      </c>
      <c r="AE334" s="108" t="n">
        <v>0.18</v>
      </c>
      <c r="AF334" s="108" t="n">
        <v>1.01</v>
      </c>
      <c r="AG334" s="108" t="n">
        <v>0.12</v>
      </c>
      <c r="AH334" s="108" t="n">
        <v>0.14</v>
      </c>
      <c r="AI334" s="108" t="n">
        <v>0.66</v>
      </c>
      <c r="AJ334" s="108" t="n">
        <v>2.79</v>
      </c>
      <c r="AK334" s="106" t="inlineStr">
        <is>
          <t>Grey</t>
        </is>
      </c>
      <c r="AL334" s="108" t="n">
        <v>0.18</v>
      </c>
      <c r="AM334" s="108" t="n">
        <v>1.01</v>
      </c>
      <c r="AN334" s="108" t="n">
        <v>0.12</v>
      </c>
      <c r="AO334" s="108" t="n">
        <v>0.14</v>
      </c>
      <c r="AP334" s="108" t="n">
        <v>0.66</v>
      </c>
      <c r="AQ334" s="107" t="n">
        <v>2.09</v>
      </c>
      <c r="AR334" s="107" t="inlineStr">
        <is>
          <t>Grey</t>
        </is>
      </c>
      <c r="AS334" s="108" t="n">
        <v>0.18</v>
      </c>
      <c r="AT334" s="108" t="n">
        <v>1.01</v>
      </c>
      <c r="AU334" s="108" t="n">
        <v>0.12</v>
      </c>
      <c r="AV334" s="108" t="n">
        <v>0.14</v>
      </c>
      <c r="AW334" s="107" t="n">
        <v>5.46</v>
      </c>
      <c r="AX334" s="107" t="inlineStr">
        <is>
          <t>Safe</t>
        </is>
      </c>
      <c r="AY334" s="108" t="n">
        <v>0.18</v>
      </c>
      <c r="AZ334" s="108" t="n">
        <v>0.12</v>
      </c>
      <c r="BA334" s="108" t="n">
        <v>0.44</v>
      </c>
      <c r="BB334" s="108" t="n">
        <v>0.66</v>
      </c>
      <c r="BC334" s="107" t="n">
        <v>1.12</v>
      </c>
      <c r="BD334" s="107" t="inlineStr">
        <is>
          <t>Healthy</t>
        </is>
      </c>
      <c r="BE334" s="108" t="n">
        <v>0.09</v>
      </c>
      <c r="BF334" s="108" t="n">
        <v>0.87</v>
      </c>
      <c r="BG334" s="108" t="n">
        <v>1.71</v>
      </c>
      <c r="BH334" s="108" t="n">
        <v>0.25</v>
      </c>
      <c r="BI334" s="107" t="n">
        <v>0.5600000000000001</v>
      </c>
      <c r="BJ334" s="107" t="inlineStr">
        <is>
          <t>Distress</t>
        </is>
      </c>
      <c r="BK334" s="107" t="n">
        <v>1</v>
      </c>
      <c r="BL334" s="107" t="n">
        <v>1</v>
      </c>
      <c r="BM334" s="107" t="n">
        <v>0</v>
      </c>
      <c r="BN334" s="107" t="n">
        <v>0</v>
      </c>
      <c r="BO334" s="107" t="n">
        <v>0</v>
      </c>
      <c r="BP334" s="107" t="n">
        <v>1</v>
      </c>
      <c r="BQ334" s="107" t="n">
        <v>1</v>
      </c>
      <c r="BR334" s="107" t="n">
        <v>0</v>
      </c>
      <c r="BS334" s="107" t="n">
        <v>1</v>
      </c>
      <c r="BT334" s="107" t="n">
        <v>5</v>
      </c>
      <c r="BU334" s="107" t="inlineStr">
        <is>
          <t>Mixed</t>
        </is>
      </c>
      <c r="BV334" s="108" t="n">
        <v>1.09</v>
      </c>
      <c r="BW334" s="108" t="n">
        <v>1.03</v>
      </c>
      <c r="BX334" s="108" t="n">
        <v>0.91</v>
      </c>
      <c r="BY334" s="108" t="n">
        <v>1.02</v>
      </c>
      <c r="BZ334" s="108" t="n">
        <v>0.96</v>
      </c>
      <c r="CA334" s="108" t="n">
        <v>0.93</v>
      </c>
      <c r="CB334" s="108" t="n">
        <v>0.97</v>
      </c>
      <c r="CC334" s="108" t="n">
        <v>0.03</v>
      </c>
      <c r="CD334" s="107" t="n">
        <v>-2.27</v>
      </c>
      <c r="CE334" s="107" t="inlineStr">
        <is>
          <t>Lower Risk</t>
        </is>
      </c>
      <c r="CF334" s="108" t="n">
        <v>2.05</v>
      </c>
      <c r="CG334" s="108" t="n">
        <v>50.25</v>
      </c>
      <c r="CH334" s="107" t="n">
        <v>0</v>
      </c>
      <c r="CI334" s="107" t="inlineStr">
        <is>
          <t>CLEAR</t>
        </is>
      </c>
    </row>
    <row r="335" ht="17" customHeight="1">
      <c r="A335" s="103" t="inlineStr">
        <is>
          <t>FULT</t>
        </is>
      </c>
      <c r="B335" s="103" t="inlineStr">
        <is>
          <t>FULTON FINANCIAL CORP</t>
        </is>
      </c>
      <c r="C335" s="113" t="inlineStr">
        <is>
          <t>N/A</t>
        </is>
      </c>
      <c r="D335" s="105" t="n">
        <v>1.75</v>
      </c>
      <c r="E335" s="105" t="n">
        <v>1.75</v>
      </c>
      <c r="F335" s="105" t="n">
        <v>1.41</v>
      </c>
      <c r="G335" s="105" t="n">
        <v>0.01</v>
      </c>
      <c r="H335" s="105" t="n">
        <v>0.01</v>
      </c>
      <c r="I335" s="105" t="n">
        <v>0.11</v>
      </c>
      <c r="J335" s="113" t="inlineStr">
        <is>
          <t>N/A</t>
        </is>
      </c>
      <c r="K335" s="105" t="n">
        <v>-0</v>
      </c>
      <c r="L335" s="105" t="n">
        <v>-0</v>
      </c>
      <c r="M335" s="105" t="n">
        <v>0.01</v>
      </c>
      <c r="N335" s="104" t="n">
        <v>0.01</v>
      </c>
      <c r="O335" s="113" t="inlineStr">
        <is>
          <t>N/A</t>
        </is>
      </c>
      <c r="P335" s="113" t="inlineStr">
        <is>
          <t>N/A</t>
        </is>
      </c>
      <c r="Q335" s="113" t="inlineStr">
        <is>
          <t>N/A</t>
        </is>
      </c>
      <c r="R335" s="113" t="inlineStr">
        <is>
          <t>N/A</t>
        </is>
      </c>
      <c r="S335" s="104" t="n">
        <v>0.89</v>
      </c>
      <c r="T335" s="104" t="n">
        <v>0.9</v>
      </c>
      <c r="U335" s="104" t="n">
        <v>0.12</v>
      </c>
      <c r="V335" s="104" t="n">
        <v>0.12</v>
      </c>
      <c r="W335" s="104" t="n">
        <v>0.78</v>
      </c>
      <c r="X335" s="113" t="inlineStr">
        <is>
          <t>N/A</t>
        </is>
      </c>
      <c r="Y335" s="105" t="n">
        <v>0</v>
      </c>
      <c r="Z335" s="105" t="n">
        <v>1.16</v>
      </c>
      <c r="AA335" s="105" t="n">
        <v>-0.07000000000000001</v>
      </c>
      <c r="AB335" s="105" t="n">
        <v>0.36</v>
      </c>
      <c r="AC335" s="104" t="n">
        <v>0</v>
      </c>
      <c r="AD335" s="104" t="n">
        <v>0</v>
      </c>
      <c r="AE335" s="113" t="inlineStr">
        <is>
          <t>N/A</t>
        </is>
      </c>
      <c r="AF335" s="104" t="n">
        <v>0.06</v>
      </c>
      <c r="AG335" s="104" t="n">
        <v>0.02</v>
      </c>
      <c r="AH335" s="104" t="n">
        <v>0.12</v>
      </c>
      <c r="AI335" s="104" t="n">
        <v>0.01</v>
      </c>
      <c r="AJ335" s="113" t="inlineStr">
        <is>
          <t>N/A</t>
        </is>
      </c>
      <c r="AK335" s="113" t="inlineStr">
        <is>
          <t>N/A</t>
        </is>
      </c>
      <c r="AL335" s="113" t="inlineStr">
        <is>
          <t>N/A</t>
        </is>
      </c>
      <c r="AM335" s="104" t="n">
        <v>0.06</v>
      </c>
      <c r="AN335" s="104" t="n">
        <v>0.02</v>
      </c>
      <c r="AO335" s="104" t="n">
        <v>0.12</v>
      </c>
      <c r="AP335" s="104" t="n">
        <v>0.01</v>
      </c>
      <c r="AQ335" s="113" t="inlineStr">
        <is>
          <t>N/A</t>
        </is>
      </c>
      <c r="AR335" s="113" t="inlineStr">
        <is>
          <t>N/A</t>
        </is>
      </c>
      <c r="AS335" s="113" t="inlineStr">
        <is>
          <t>N/A</t>
        </is>
      </c>
      <c r="AT335" s="104" t="n">
        <v>0.06</v>
      </c>
      <c r="AU335" s="104" t="n">
        <v>0.02</v>
      </c>
      <c r="AV335" s="104" t="n">
        <v>0.12</v>
      </c>
      <c r="AW335" s="113" t="inlineStr">
        <is>
          <t>N/A</t>
        </is>
      </c>
      <c r="AX335" s="113" t="inlineStr">
        <is>
          <t>N/A</t>
        </is>
      </c>
      <c r="AY335" s="113" t="inlineStr">
        <is>
          <t>N/A</t>
        </is>
      </c>
      <c r="AZ335" s="104" t="n">
        <v>0.02</v>
      </c>
      <c r="BA335" s="113" t="inlineStr">
        <is>
          <t>N/A</t>
        </is>
      </c>
      <c r="BB335" s="104" t="n">
        <v>0.01</v>
      </c>
      <c r="BC335" s="113" t="inlineStr">
        <is>
          <t>N/A</t>
        </is>
      </c>
      <c r="BD335" s="113" t="inlineStr">
        <is>
          <t>N/A</t>
        </is>
      </c>
      <c r="BE335" s="104" t="n">
        <v>0.01</v>
      </c>
      <c r="BF335" s="104" t="n">
        <v>0.89</v>
      </c>
      <c r="BG335" s="113" t="inlineStr">
        <is>
          <t>N/A</t>
        </is>
      </c>
      <c r="BH335" s="113" t="inlineStr">
        <is>
          <t>N/A</t>
        </is>
      </c>
      <c r="BI335" s="113" t="inlineStr">
        <is>
          <t>N/A</t>
        </is>
      </c>
      <c r="BJ335" s="113" t="inlineStr">
        <is>
          <t>N/A</t>
        </is>
      </c>
      <c r="BK335" s="103" t="n">
        <v>1</v>
      </c>
      <c r="BL335" s="103" t="n">
        <v>1</v>
      </c>
      <c r="BM335" s="103" t="n">
        <v>1</v>
      </c>
      <c r="BN335" s="103" t="n">
        <v>0</v>
      </c>
      <c r="BO335" s="103" t="n">
        <v>0</v>
      </c>
      <c r="BP335" s="103" t="n">
        <v>0</v>
      </c>
      <c r="BQ335" s="103" t="n">
        <v>0</v>
      </c>
      <c r="BR335" s="103" t="n">
        <v>0</v>
      </c>
      <c r="BS335" s="103" t="n">
        <v>0</v>
      </c>
      <c r="BT335" s="103" t="n">
        <v>3</v>
      </c>
      <c r="BU335" s="103" t="inlineStr">
        <is>
          <t>Weak</t>
        </is>
      </c>
      <c r="BV335" s="113" t="inlineStr">
        <is>
          <t>N/A</t>
        </is>
      </c>
      <c r="BW335" s="113" t="inlineStr">
        <is>
          <t>N/A</t>
        </is>
      </c>
      <c r="BX335" s="104" t="n">
        <v>1</v>
      </c>
      <c r="BY335" s="104" t="n">
        <v>0.93</v>
      </c>
      <c r="BZ335" s="104" t="n">
        <v>1.2</v>
      </c>
      <c r="CA335" s="113" t="inlineStr">
        <is>
          <t>N/A</t>
        </is>
      </c>
      <c r="CB335" s="104" t="n">
        <v>0.99</v>
      </c>
      <c r="CC335" s="104" t="n">
        <v>0</v>
      </c>
      <c r="CD335" s="113" t="inlineStr">
        <is>
          <t>N/A</t>
        </is>
      </c>
      <c r="CE335" s="113" t="inlineStr">
        <is>
          <t>N/A</t>
        </is>
      </c>
      <c r="CF335" s="104" t="n">
        <v>0.8100000000000001</v>
      </c>
      <c r="CG335" s="104" t="n">
        <v>35.17</v>
      </c>
      <c r="CH335" s="103" t="n">
        <v>0</v>
      </c>
      <c r="CI335" s="103" t="inlineStr">
        <is>
          <t>CLEAR</t>
        </is>
      </c>
    </row>
    <row r="336" ht="17" customHeight="1">
      <c r="A336" s="107" t="inlineStr">
        <is>
          <t>SNDK</t>
        </is>
      </c>
      <c r="B336" s="107" t="inlineStr">
        <is>
          <t>Sandisk Corporation</t>
        </is>
      </c>
      <c r="C336" s="108" t="n">
        <v>3659000000</v>
      </c>
      <c r="D336" s="109" t="n">
        <v>-0.19</v>
      </c>
      <c r="E336" s="109" t="n">
        <v>-0.2</v>
      </c>
      <c r="F336" s="109" t="n">
        <v>-0.22</v>
      </c>
      <c r="G336" s="109" t="n">
        <v>-0.13</v>
      </c>
      <c r="H336" s="109" t="n">
        <v>-0.05</v>
      </c>
      <c r="I336" s="109" t="n">
        <v>-0.18</v>
      </c>
      <c r="J336" s="109" t="n">
        <v>-0.12</v>
      </c>
      <c r="K336" s="109" t="n">
        <v>0.3</v>
      </c>
      <c r="L336" s="109" t="n">
        <v>0.16</v>
      </c>
      <c r="M336" s="109" t="n">
        <v>0.57</v>
      </c>
      <c r="N336" s="108" t="n">
        <v>0.49</v>
      </c>
      <c r="O336" s="108" t="n">
        <v>3.56</v>
      </c>
      <c r="P336" s="108" t="n">
        <v>1.67</v>
      </c>
      <c r="Q336" s="108" t="n">
        <v>2.11</v>
      </c>
      <c r="R336" s="108" t="n">
        <v>1.04</v>
      </c>
      <c r="S336" s="108" t="n">
        <v>0.29</v>
      </c>
      <c r="T336" s="108" t="n">
        <v>0.18</v>
      </c>
      <c r="U336" s="108" t="n">
        <v>0.2</v>
      </c>
      <c r="V336" s="108" t="n">
        <v>0.04</v>
      </c>
      <c r="W336" s="108" t="n">
        <v>-0.05</v>
      </c>
      <c r="X336" s="109" t="n">
        <v>-0.02</v>
      </c>
      <c r="Y336" s="109" t="n">
        <v>0.15</v>
      </c>
      <c r="Z336" s="111" t="inlineStr">
        <is>
          <t>N/A</t>
        </is>
      </c>
      <c r="AA336" s="109" t="n">
        <v>0.1</v>
      </c>
      <c r="AB336" s="109" t="n">
        <v>1.44</v>
      </c>
      <c r="AC336" s="108" t="n">
        <v>-0.13</v>
      </c>
      <c r="AD336" s="108" t="n">
        <v>-0.13</v>
      </c>
      <c r="AE336" s="108" t="n">
        <v>0.28</v>
      </c>
      <c r="AF336" s="108" t="n">
        <v>-0.14</v>
      </c>
      <c r="AG336" s="108" t="n">
        <v>-0.11</v>
      </c>
      <c r="AH336" s="108" t="n">
        <v>2.45</v>
      </c>
      <c r="AI336" s="108" t="n">
        <v>0.57</v>
      </c>
      <c r="AJ336" s="108" t="n">
        <v>1.83</v>
      </c>
      <c r="AK336" s="106" t="inlineStr">
        <is>
          <t>Grey</t>
        </is>
      </c>
      <c r="AL336" s="108" t="n">
        <v>0.28</v>
      </c>
      <c r="AM336" s="108" t="n">
        <v>-0.14</v>
      </c>
      <c r="AN336" s="108" t="n">
        <v>-0.11</v>
      </c>
      <c r="AO336" s="108" t="n">
        <v>2.45</v>
      </c>
      <c r="AP336" s="108" t="n">
        <v>0.57</v>
      </c>
      <c r="AQ336" s="107" t="n">
        <v>1.35</v>
      </c>
      <c r="AR336" s="107" t="inlineStr">
        <is>
          <t>Grey</t>
        </is>
      </c>
      <c r="AS336" s="108" t="n">
        <v>0.28</v>
      </c>
      <c r="AT336" s="108" t="n">
        <v>-0.14</v>
      </c>
      <c r="AU336" s="108" t="n">
        <v>-0.11</v>
      </c>
      <c r="AV336" s="108" t="n">
        <v>2.45</v>
      </c>
      <c r="AW336" s="107" t="n">
        <v>3.26</v>
      </c>
      <c r="AX336" s="107" t="inlineStr">
        <is>
          <t>Safe</t>
        </is>
      </c>
      <c r="AY336" s="108" t="n">
        <v>0.28</v>
      </c>
      <c r="AZ336" s="108" t="n">
        <v>-0.11</v>
      </c>
      <c r="BA336" s="108" t="n">
        <v>-1.04</v>
      </c>
      <c r="BB336" s="108" t="n">
        <v>0.57</v>
      </c>
      <c r="BC336" s="107" t="n">
        <v>-0.49</v>
      </c>
      <c r="BD336" s="107" t="inlineStr">
        <is>
          <t>Distress</t>
        </is>
      </c>
      <c r="BE336" s="108" t="n">
        <v>-0.13</v>
      </c>
      <c r="BF336" s="108" t="n">
        <v>0.29</v>
      </c>
      <c r="BG336" s="108" t="n">
        <v>3.56</v>
      </c>
      <c r="BH336" s="108" t="n">
        <v>-2.1</v>
      </c>
      <c r="BI336" s="107" t="n">
        <v>0.11</v>
      </c>
      <c r="BJ336" s="107" t="inlineStr">
        <is>
          <t>Healthy</t>
        </is>
      </c>
      <c r="BK336" s="107" t="n">
        <v>0</v>
      </c>
      <c r="BL336" s="107" t="n">
        <v>1</v>
      </c>
      <c r="BM336" s="107" t="n">
        <v>0</v>
      </c>
      <c r="BN336" s="107" t="n">
        <v>1</v>
      </c>
      <c r="BO336" s="107" t="n">
        <v>0</v>
      </c>
      <c r="BP336" s="107" t="n">
        <v>1</v>
      </c>
      <c r="BQ336" s="107" t="n">
        <v>0</v>
      </c>
      <c r="BR336" s="107" t="n">
        <v>1</v>
      </c>
      <c r="BS336" s="107" t="n">
        <v>1</v>
      </c>
      <c r="BT336" s="107" t="n">
        <v>5</v>
      </c>
      <c r="BU336" s="107" t="inlineStr">
        <is>
          <t>Mixed</t>
        </is>
      </c>
      <c r="BV336" s="108" t="n">
        <v>1.03</v>
      </c>
      <c r="BW336" s="108" t="n">
        <v>0.53</v>
      </c>
      <c r="BX336" s="108" t="n">
        <v>0.83</v>
      </c>
      <c r="BY336" s="108" t="n">
        <v>1.1</v>
      </c>
      <c r="BZ336" s="108" t="n">
        <v>1.06</v>
      </c>
      <c r="CA336" s="108" t="n">
        <v>1.14</v>
      </c>
      <c r="CB336" s="108" t="n">
        <v>1.62</v>
      </c>
      <c r="CC336" s="108" t="n">
        <v>-0.13</v>
      </c>
      <c r="CD336" s="107" t="n">
        <v>-3.51</v>
      </c>
      <c r="CE336" s="107" t="inlineStr">
        <is>
          <t>Lower Risk</t>
        </is>
      </c>
      <c r="CF336" s="108" t="n">
        <v>-0.32</v>
      </c>
      <c r="CG336" s="108" t="n">
        <v>49.92</v>
      </c>
      <c r="CH336" s="106" t="n">
        <v>40</v>
      </c>
      <c r="CI336" s="107" t="inlineStr">
        <is>
          <t>WATCH</t>
        </is>
      </c>
    </row>
    <row r="337" ht="17" customHeight="1">
      <c r="A337" s="103" t="inlineStr">
        <is>
          <t>LIN</t>
        </is>
      </c>
      <c r="B337" s="103" t="inlineStr">
        <is>
          <t>LINDE PLC</t>
        </is>
      </c>
      <c r="C337" s="104" t="n">
        <v>-1873000000</v>
      </c>
      <c r="D337" s="105" t="n">
        <v>0.26</v>
      </c>
      <c r="E337" s="105" t="n">
        <v>0.09</v>
      </c>
      <c r="F337" s="105" t="n">
        <v>0.2</v>
      </c>
      <c r="G337" s="105" t="n">
        <v>0.08</v>
      </c>
      <c r="H337" s="105" t="n">
        <v>0.08</v>
      </c>
      <c r="I337" s="105" t="n">
        <v>0.18</v>
      </c>
      <c r="J337" s="105" t="n">
        <v>0.12</v>
      </c>
      <c r="K337" s="113" t="inlineStr">
        <is>
          <t>N/A</t>
        </is>
      </c>
      <c r="L337" s="113" t="inlineStr">
        <is>
          <t>N/A</t>
        </is>
      </c>
      <c r="M337" s="105" t="n">
        <v>0.39</v>
      </c>
      <c r="N337" s="104" t="n">
        <v>0.41</v>
      </c>
      <c r="O337" s="104" t="n">
        <v>0.88</v>
      </c>
      <c r="P337" s="104" t="n">
        <v>0.89</v>
      </c>
      <c r="Q337" s="104" t="n">
        <v>0.74</v>
      </c>
      <c r="R337" s="104" t="n">
        <v>0.33</v>
      </c>
      <c r="S337" s="104" t="n">
        <v>0.54</v>
      </c>
      <c r="T337" s="104" t="n">
        <v>0.51</v>
      </c>
      <c r="U337" s="104" t="n">
        <v>0.71</v>
      </c>
      <c r="V337" s="104" t="n">
        <v>0.57</v>
      </c>
      <c r="W337" s="104" t="n">
        <v>1.5</v>
      </c>
      <c r="X337" s="105" t="n">
        <v>0.15</v>
      </c>
      <c r="Y337" s="105" t="n">
        <v>0</v>
      </c>
      <c r="Z337" s="105" t="n">
        <v>15.52</v>
      </c>
      <c r="AA337" s="105" t="n">
        <v>0.03</v>
      </c>
      <c r="AB337" s="105" t="n">
        <v>0.05</v>
      </c>
      <c r="AC337" s="104" t="n">
        <v>-0.04</v>
      </c>
      <c r="AD337" s="104" t="n">
        <v>-0.04</v>
      </c>
      <c r="AE337" s="104" t="n">
        <v>-0.02</v>
      </c>
      <c r="AF337" s="104" t="n">
        <v>0.19</v>
      </c>
      <c r="AG337" s="104" t="n">
        <v>0.1</v>
      </c>
      <c r="AH337" s="104" t="n">
        <v>0.8100000000000001</v>
      </c>
      <c r="AI337" s="104" t="n">
        <v>0.39</v>
      </c>
      <c r="AJ337" s="104" t="n">
        <v>1.46</v>
      </c>
      <c r="AK337" s="112" t="inlineStr">
        <is>
          <t>Distress</t>
        </is>
      </c>
      <c r="AL337" s="104" t="n">
        <v>-0.02</v>
      </c>
      <c r="AM337" s="104" t="n">
        <v>0.19</v>
      </c>
      <c r="AN337" s="104" t="n">
        <v>0.1</v>
      </c>
      <c r="AO337" s="104" t="n">
        <v>0.8100000000000001</v>
      </c>
      <c r="AP337" s="104" t="n">
        <v>0.39</v>
      </c>
      <c r="AQ337" s="103" t="n">
        <v>1.2</v>
      </c>
      <c r="AR337" s="103" t="inlineStr">
        <is>
          <t>Distress</t>
        </is>
      </c>
      <c r="AS337" s="104" t="n">
        <v>-0.02</v>
      </c>
      <c r="AT337" s="104" t="n">
        <v>0.19</v>
      </c>
      <c r="AU337" s="104" t="n">
        <v>0.1</v>
      </c>
      <c r="AV337" s="104" t="n">
        <v>0.8100000000000001</v>
      </c>
      <c r="AW337" s="103" t="n">
        <v>2.03</v>
      </c>
      <c r="AX337" s="103" t="inlineStr">
        <is>
          <t>Grey</t>
        </is>
      </c>
      <c r="AY337" s="104" t="n">
        <v>-0.02</v>
      </c>
      <c r="AZ337" s="104" t="n">
        <v>0.1</v>
      </c>
      <c r="BA337" s="104" t="n">
        <v>0.19</v>
      </c>
      <c r="BB337" s="104" t="n">
        <v>0.39</v>
      </c>
      <c r="BC337" s="103" t="n">
        <v>0.58</v>
      </c>
      <c r="BD337" s="103" t="inlineStr">
        <is>
          <t>Distress</t>
        </is>
      </c>
      <c r="BE337" s="104" t="n">
        <v>0.08</v>
      </c>
      <c r="BF337" s="104" t="n">
        <v>0.54</v>
      </c>
      <c r="BG337" s="104" t="n">
        <v>0.88</v>
      </c>
      <c r="BH337" s="104" t="n">
        <v>-1.61</v>
      </c>
      <c r="BI337" s="103" t="n">
        <v>0.17</v>
      </c>
      <c r="BJ337" s="103" t="inlineStr">
        <is>
          <t>Healthy</t>
        </is>
      </c>
      <c r="BK337" s="103" t="n">
        <v>1</v>
      </c>
      <c r="BL337" s="103" t="n">
        <v>1</v>
      </c>
      <c r="BM337" s="103" t="n">
        <v>0</v>
      </c>
      <c r="BN337" s="103" t="n">
        <v>1</v>
      </c>
      <c r="BO337" s="103" t="n">
        <v>0</v>
      </c>
      <c r="BP337" s="103" t="n">
        <v>0</v>
      </c>
      <c r="BQ337" s="103" t="n">
        <v>1</v>
      </c>
      <c r="BR337" s="103" t="n">
        <v>0</v>
      </c>
      <c r="BS337" s="103" t="n">
        <v>0</v>
      </c>
      <c r="BT337" s="103" t="n">
        <v>4</v>
      </c>
      <c r="BU337" s="103" t="inlineStr">
        <is>
          <t>Mixed</t>
        </is>
      </c>
      <c r="BV337" s="104" t="n">
        <v>1.04</v>
      </c>
      <c r="BW337" s="113" t="inlineStr">
        <is>
          <t>N/A</t>
        </is>
      </c>
      <c r="BX337" s="104" t="n">
        <v>0.98</v>
      </c>
      <c r="BY337" s="104" t="n">
        <v>1.03</v>
      </c>
      <c r="BZ337" s="104" t="n">
        <v>1.13</v>
      </c>
      <c r="CA337" s="104" t="n">
        <v>1</v>
      </c>
      <c r="CB337" s="104" t="n">
        <v>1.07</v>
      </c>
      <c r="CC337" s="104" t="n">
        <v>-0.04</v>
      </c>
      <c r="CD337" s="113" t="inlineStr">
        <is>
          <t>N/A</t>
        </is>
      </c>
      <c r="CE337" s="113" t="inlineStr">
        <is>
          <t>N/A</t>
        </is>
      </c>
      <c r="CF337" s="104" t="n">
        <v>1.73</v>
      </c>
      <c r="CG337" s="104" t="n">
        <v>43.99</v>
      </c>
      <c r="CH337" s="103" t="n">
        <v>0</v>
      </c>
      <c r="CI337" s="103" t="inlineStr">
        <is>
          <t>CLEAR</t>
        </is>
      </c>
    </row>
    <row r="338" ht="17" customHeight="1">
      <c r="A338" s="107" t="inlineStr">
        <is>
          <t>IBM</t>
        </is>
      </c>
      <c r="B338" s="107" t="inlineStr">
        <is>
          <t>INTERNATIONAL BUSINESS MACHINES CORP</t>
        </is>
      </c>
      <c r="C338" s="108" t="n">
        <v>-1714000000</v>
      </c>
      <c r="D338" s="109" t="n">
        <v>0.15</v>
      </c>
      <c r="E338" s="109" t="n">
        <v>0.15</v>
      </c>
      <c r="F338" s="109" t="n">
        <v>0.16</v>
      </c>
      <c r="G338" s="109" t="n">
        <v>0.07000000000000001</v>
      </c>
      <c r="H338" s="109" t="n">
        <v>0.04</v>
      </c>
      <c r="I338" s="109" t="n">
        <v>0.32</v>
      </c>
      <c r="J338" s="109" t="n">
        <v>0.09</v>
      </c>
      <c r="K338" s="109" t="n">
        <v>0.58</v>
      </c>
      <c r="L338" s="109" t="n">
        <v>0.57</v>
      </c>
      <c r="M338" s="109" t="n">
        <v>0.44</v>
      </c>
      <c r="N338" s="108" t="n">
        <v>0.46</v>
      </c>
      <c r="O338" s="108" t="n">
        <v>0.96</v>
      </c>
      <c r="P338" s="108" t="n">
        <v>1.04</v>
      </c>
      <c r="Q338" s="108" t="n">
        <v>0.92</v>
      </c>
      <c r="R338" s="108" t="n">
        <v>0.35</v>
      </c>
      <c r="S338" s="108" t="n">
        <v>0.78</v>
      </c>
      <c r="T338" s="108" t="n">
        <v>0.8</v>
      </c>
      <c r="U338" s="108" t="n">
        <v>1.5</v>
      </c>
      <c r="V338" s="108" t="n">
        <v>1.09</v>
      </c>
      <c r="W338" s="108" t="n">
        <v>1.25</v>
      </c>
      <c r="X338" s="109" t="n">
        <v>0.18</v>
      </c>
      <c r="Y338" s="109" t="n">
        <v>0.12</v>
      </c>
      <c r="Z338" s="109" t="n">
        <v>5.34</v>
      </c>
      <c r="AA338" s="109" t="n">
        <v>0.08</v>
      </c>
      <c r="AB338" s="109" t="n">
        <v>0.76</v>
      </c>
      <c r="AC338" s="108" t="n">
        <v>-0.02</v>
      </c>
      <c r="AD338" s="108" t="n">
        <v>-0.02</v>
      </c>
      <c r="AE338" s="108" t="n">
        <v>-0.01</v>
      </c>
      <c r="AF338" s="108" t="n">
        <v>1.02</v>
      </c>
      <c r="AG338" s="108" t="n">
        <v>0.07000000000000001</v>
      </c>
      <c r="AH338" s="108" t="n">
        <v>0.27</v>
      </c>
      <c r="AI338" s="108" t="n">
        <v>0.44</v>
      </c>
      <c r="AJ338" s="108" t="n">
        <v>2.25</v>
      </c>
      <c r="AK338" s="106" t="inlineStr">
        <is>
          <t>Grey</t>
        </is>
      </c>
      <c r="AL338" s="108" t="n">
        <v>-0.01</v>
      </c>
      <c r="AM338" s="108" t="n">
        <v>1.02</v>
      </c>
      <c r="AN338" s="108" t="n">
        <v>0.07000000000000001</v>
      </c>
      <c r="AO338" s="108" t="n">
        <v>0.27</v>
      </c>
      <c r="AP338" s="108" t="n">
        <v>0.44</v>
      </c>
      <c r="AQ338" s="107" t="n">
        <v>1.63</v>
      </c>
      <c r="AR338" s="107" t="inlineStr">
        <is>
          <t>Grey</t>
        </is>
      </c>
      <c r="AS338" s="108" t="n">
        <v>-0.01</v>
      </c>
      <c r="AT338" s="108" t="n">
        <v>1.02</v>
      </c>
      <c r="AU338" s="108" t="n">
        <v>0.07000000000000001</v>
      </c>
      <c r="AV338" s="108" t="n">
        <v>0.27</v>
      </c>
      <c r="AW338" s="107" t="n">
        <v>4.01</v>
      </c>
      <c r="AX338" s="107" t="inlineStr">
        <is>
          <t>Safe</t>
        </is>
      </c>
      <c r="AY338" s="108" t="n">
        <v>-0.01</v>
      </c>
      <c r="AZ338" s="108" t="n">
        <v>0.07000000000000001</v>
      </c>
      <c r="BA338" s="108" t="n">
        <v>0.27</v>
      </c>
      <c r="BB338" s="108" t="n">
        <v>0.44</v>
      </c>
      <c r="BC338" s="107" t="n">
        <v>0.55</v>
      </c>
      <c r="BD338" s="107" t="inlineStr">
        <is>
          <t>Distress</t>
        </is>
      </c>
      <c r="BE338" s="108" t="n">
        <v>0.07000000000000001</v>
      </c>
      <c r="BF338" s="108" t="n">
        <v>0.78</v>
      </c>
      <c r="BG338" s="108" t="n">
        <v>0.96</v>
      </c>
      <c r="BH338" s="108" t="n">
        <v>-0.19</v>
      </c>
      <c r="BI338" s="107" t="n">
        <v>0.45</v>
      </c>
      <c r="BJ338" s="107" t="inlineStr">
        <is>
          <t>Healthy</t>
        </is>
      </c>
      <c r="BK338" s="107" t="n">
        <v>1</v>
      </c>
      <c r="BL338" s="107" t="n">
        <v>1</v>
      </c>
      <c r="BM338" s="107" t="n">
        <v>1</v>
      </c>
      <c r="BN338" s="107" t="n">
        <v>1</v>
      </c>
      <c r="BO338" s="107" t="n">
        <v>1</v>
      </c>
      <c r="BP338" s="107" t="n">
        <v>0</v>
      </c>
      <c r="BQ338" s="107" t="n">
        <v>0</v>
      </c>
      <c r="BR338" s="107" t="n">
        <v>1</v>
      </c>
      <c r="BS338" s="107" t="n">
        <v>0</v>
      </c>
      <c r="BT338" s="107" t="n">
        <v>6</v>
      </c>
      <c r="BU338" s="107" t="inlineStr">
        <is>
          <t>Mixed</t>
        </is>
      </c>
      <c r="BV338" s="108" t="n">
        <v>1.11</v>
      </c>
      <c r="BW338" s="108" t="n">
        <v>0.97</v>
      </c>
      <c r="BX338" s="108" t="n">
        <v>1.02</v>
      </c>
      <c r="BY338" s="108" t="n">
        <v>1.08</v>
      </c>
      <c r="BZ338" s="108" t="n">
        <v>0.92</v>
      </c>
      <c r="CA338" s="108" t="n">
        <v>0.95</v>
      </c>
      <c r="CB338" s="108" t="n">
        <v>0.98</v>
      </c>
      <c r="CC338" s="108" t="n">
        <v>-0.02</v>
      </c>
      <c r="CD338" s="107" t="n">
        <v>-2.39</v>
      </c>
      <c r="CE338" s="107" t="inlineStr">
        <is>
          <t>Lower Risk</t>
        </is>
      </c>
      <c r="CF338" s="108" t="n">
        <v>2.81</v>
      </c>
      <c r="CG338" s="108" t="n">
        <v>52.54</v>
      </c>
      <c r="CH338" s="107" t="n">
        <v>0</v>
      </c>
      <c r="CI338" s="107" t="inlineStr">
        <is>
          <t>CLEAR</t>
        </is>
      </c>
    </row>
    <row r="339" ht="17" customHeight="1">
      <c r="A339" s="103" t="inlineStr">
        <is>
          <t>BOX</t>
        </is>
      </c>
      <c r="B339" s="103" t="inlineStr">
        <is>
          <t>Box, Inc.</t>
        </is>
      </c>
      <c r="C339" s="104" t="n">
        <v>88606000</v>
      </c>
      <c r="D339" s="105" t="n">
        <v>0.16</v>
      </c>
      <c r="E339" s="105" t="n">
        <v>0.2</v>
      </c>
      <c r="F339" s="105" t="n">
        <v>0.23</v>
      </c>
      <c r="G339" s="105" t="n">
        <v>0.07000000000000001</v>
      </c>
      <c r="H339" s="105" t="n">
        <v>0.15</v>
      </c>
      <c r="I339" s="105" t="n">
        <v>-0.39</v>
      </c>
      <c r="J339" s="105" t="n">
        <v>0.11</v>
      </c>
      <c r="K339" s="105" t="n">
        <v>1.84</v>
      </c>
      <c r="L339" s="105" t="n">
        <v>2.16</v>
      </c>
      <c r="M339" s="105" t="n">
        <v>0.33</v>
      </c>
      <c r="N339" s="104" t="n">
        <v>0.24</v>
      </c>
      <c r="O339" s="104" t="n">
        <v>1.11</v>
      </c>
      <c r="P339" s="104" t="n">
        <v>1.19</v>
      </c>
      <c r="Q339" s="104" t="n">
        <v>1.11</v>
      </c>
      <c r="R339" s="104" t="n">
        <v>0.47</v>
      </c>
      <c r="S339" s="104" t="n">
        <v>0.87</v>
      </c>
      <c r="T339" s="104" t="n">
        <v>0.88</v>
      </c>
      <c r="U339" s="104" t="n">
        <v>-1.51</v>
      </c>
      <c r="V339" s="104" t="n">
        <v>-0.25</v>
      </c>
      <c r="W339" s="104" t="n">
        <v>3.09</v>
      </c>
      <c r="X339" s="105" t="n">
        <v>0.6899999999999999</v>
      </c>
      <c r="Y339" s="105" t="n">
        <v>0.58</v>
      </c>
      <c r="Z339" s="105" t="n">
        <v>7.78</v>
      </c>
      <c r="AA339" s="105" t="n">
        <v>0.27</v>
      </c>
      <c r="AB339" s="105" t="n">
        <v>-0.53</v>
      </c>
      <c r="AC339" s="104" t="n">
        <v>-0.16</v>
      </c>
      <c r="AD339" s="104" t="n">
        <v>-0.16</v>
      </c>
      <c r="AE339" s="104" t="n">
        <v>0.06</v>
      </c>
      <c r="AF339" s="104" t="n">
        <v>-0.55</v>
      </c>
      <c r="AG339" s="104" t="n">
        <v>0.05</v>
      </c>
      <c r="AH339" s="104" t="n">
        <v>-0.22</v>
      </c>
      <c r="AI339" s="104" t="n">
        <v>0.33</v>
      </c>
      <c r="AJ339" s="104" t="n">
        <v>-0.33</v>
      </c>
      <c r="AK339" s="112" t="inlineStr">
        <is>
          <t>Distress</t>
        </is>
      </c>
      <c r="AL339" s="104" t="n">
        <v>0.06</v>
      </c>
      <c r="AM339" s="104" t="n">
        <v>-0.55</v>
      </c>
      <c r="AN339" s="104" t="n">
        <v>0.05</v>
      </c>
      <c r="AO339" s="104" t="n">
        <v>-0.22</v>
      </c>
      <c r="AP339" s="104" t="n">
        <v>0.33</v>
      </c>
      <c r="AQ339" s="103" t="n">
        <v>-0.02</v>
      </c>
      <c r="AR339" s="103" t="inlineStr">
        <is>
          <t>Distress</t>
        </is>
      </c>
      <c r="AS339" s="104" t="n">
        <v>0.06</v>
      </c>
      <c r="AT339" s="104" t="n">
        <v>-0.55</v>
      </c>
      <c r="AU339" s="104" t="n">
        <v>0.05</v>
      </c>
      <c r="AV339" s="104" t="n">
        <v>-0.22</v>
      </c>
      <c r="AW339" s="103" t="n">
        <v>-1.28</v>
      </c>
      <c r="AX339" s="103" t="inlineStr">
        <is>
          <t>Distress</t>
        </is>
      </c>
      <c r="AY339" s="104" t="n">
        <v>0.06</v>
      </c>
      <c r="AZ339" s="104" t="n">
        <v>0.05</v>
      </c>
      <c r="BA339" s="104" t="n">
        <v>0.12</v>
      </c>
      <c r="BB339" s="104" t="n">
        <v>0.33</v>
      </c>
      <c r="BC339" s="103" t="n">
        <v>0.44</v>
      </c>
      <c r="BD339" s="103" t="inlineStr">
        <is>
          <t>Distress</t>
        </is>
      </c>
      <c r="BE339" s="104" t="n">
        <v>0.07000000000000001</v>
      </c>
      <c r="BF339" s="104" t="n">
        <v>0.87</v>
      </c>
      <c r="BG339" s="104" t="n">
        <v>1.11</v>
      </c>
      <c r="BH339" s="104" t="n">
        <v>0.29</v>
      </c>
      <c r="BI339" s="103" t="n">
        <v>0.57</v>
      </c>
      <c r="BJ339" s="103" t="inlineStr">
        <is>
          <t>Distress</t>
        </is>
      </c>
      <c r="BK339" s="103" t="n">
        <v>1</v>
      </c>
      <c r="BL339" s="103" t="n">
        <v>1</v>
      </c>
      <c r="BM339" s="103" t="n">
        <v>0</v>
      </c>
      <c r="BN339" s="103" t="n">
        <v>1</v>
      </c>
      <c r="BO339" s="103" t="n">
        <v>0</v>
      </c>
      <c r="BP339" s="103" t="n">
        <v>0</v>
      </c>
      <c r="BQ339" s="103" t="n">
        <v>1</v>
      </c>
      <c r="BR339" s="103" t="n">
        <v>0</v>
      </c>
      <c r="BS339" s="103" t="n">
        <v>1</v>
      </c>
      <c r="BT339" s="103" t="n">
        <v>5</v>
      </c>
      <c r="BU339" s="103" t="inlineStr">
        <is>
          <t>Mixed</t>
        </is>
      </c>
      <c r="BV339" s="104" t="n">
        <v>0.87</v>
      </c>
      <c r="BW339" s="104" t="n">
        <v>1.17</v>
      </c>
      <c r="BX339" s="104" t="n">
        <v>1.25</v>
      </c>
      <c r="BY339" s="104" t="n">
        <v>1.27</v>
      </c>
      <c r="BZ339" s="104" t="n">
        <v>0.8100000000000001</v>
      </c>
      <c r="CA339" s="104" t="n">
        <v>0.86</v>
      </c>
      <c r="CB339" s="104" t="n">
        <v>0.99</v>
      </c>
      <c r="CC339" s="104" t="n">
        <v>-0.16</v>
      </c>
      <c r="CD339" s="103" t="n">
        <v>-2.89</v>
      </c>
      <c r="CE339" s="103" t="inlineStr">
        <is>
          <t>Lower Risk</t>
        </is>
      </c>
      <c r="CF339" s="104" t="n">
        <v>0.65</v>
      </c>
      <c r="CG339" s="104" t="n">
        <v>42.94</v>
      </c>
      <c r="CH339" s="103" t="n">
        <v>20</v>
      </c>
      <c r="CI339" s="103" t="inlineStr">
        <is>
          <t>CLEAR</t>
        </is>
      </c>
    </row>
    <row r="340" ht="17" customHeight="1">
      <c r="A340" s="107" t="inlineStr">
        <is>
          <t>PNC</t>
        </is>
      </c>
      <c r="B340" s="107" t="inlineStr">
        <is>
          <t>PNC FINANCIAL SERVICES GROUP, INC.</t>
        </is>
      </c>
      <c r="C340" s="111" t="inlineStr">
        <is>
          <t>N/A</t>
        </is>
      </c>
      <c r="D340" s="109" t="n">
        <v>0.37</v>
      </c>
      <c r="E340" s="109" t="n">
        <v>0.37</v>
      </c>
      <c r="F340" s="109" t="n">
        <v>0.3</v>
      </c>
      <c r="G340" s="109" t="n">
        <v>0.01</v>
      </c>
      <c r="H340" s="109" t="n">
        <v>0.01</v>
      </c>
      <c r="I340" s="109" t="n">
        <v>0.12</v>
      </c>
      <c r="J340" s="111" t="inlineStr">
        <is>
          <t>N/A</t>
        </is>
      </c>
      <c r="K340" s="109" t="n">
        <v>0.02</v>
      </c>
      <c r="L340" s="109" t="n">
        <v>0.02</v>
      </c>
      <c r="M340" s="109" t="n">
        <v>0.04</v>
      </c>
      <c r="N340" s="108" t="n">
        <v>0.04</v>
      </c>
      <c r="O340" s="111" t="inlineStr">
        <is>
          <t>N/A</t>
        </is>
      </c>
      <c r="P340" s="111" t="inlineStr">
        <is>
          <t>N/A</t>
        </is>
      </c>
      <c r="Q340" s="111" t="inlineStr">
        <is>
          <t>N/A</t>
        </is>
      </c>
      <c r="R340" s="111" t="inlineStr">
        <is>
          <t>N/A</t>
        </is>
      </c>
      <c r="S340" s="108" t="n">
        <v>0.89</v>
      </c>
      <c r="T340" s="108" t="n">
        <v>0.9</v>
      </c>
      <c r="U340" s="108" t="n">
        <v>0.9399999999999999</v>
      </c>
      <c r="V340" s="108" t="n">
        <v>0.9399999999999999</v>
      </c>
      <c r="W340" s="108" t="n">
        <v>0.63</v>
      </c>
      <c r="X340" s="111" t="inlineStr">
        <is>
          <t>N/A</t>
        </is>
      </c>
      <c r="Y340" s="109" t="n">
        <v>0</v>
      </c>
      <c r="Z340" s="109" t="n">
        <v>0.82</v>
      </c>
      <c r="AA340" s="109" t="n">
        <v>0.07000000000000001</v>
      </c>
      <c r="AB340" s="109" t="n">
        <v>0.18</v>
      </c>
      <c r="AC340" s="108" t="n">
        <v>0</v>
      </c>
      <c r="AD340" s="108" t="n">
        <v>0</v>
      </c>
      <c r="AE340" s="111" t="inlineStr">
        <is>
          <t>N/A</t>
        </is>
      </c>
      <c r="AF340" s="108" t="n">
        <v>0.11</v>
      </c>
      <c r="AG340" s="108" t="n">
        <v>0.01</v>
      </c>
      <c r="AH340" s="108" t="n">
        <v>0.12</v>
      </c>
      <c r="AI340" s="108" t="n">
        <v>0.04</v>
      </c>
      <c r="AJ340" s="111" t="inlineStr">
        <is>
          <t>N/A</t>
        </is>
      </c>
      <c r="AK340" s="111" t="inlineStr">
        <is>
          <t>N/A</t>
        </is>
      </c>
      <c r="AL340" s="111" t="inlineStr">
        <is>
          <t>N/A</t>
        </is>
      </c>
      <c r="AM340" s="108" t="n">
        <v>0.11</v>
      </c>
      <c r="AN340" s="108" t="n">
        <v>0.01</v>
      </c>
      <c r="AO340" s="108" t="n">
        <v>0.12</v>
      </c>
      <c r="AP340" s="108" t="n">
        <v>0.04</v>
      </c>
      <c r="AQ340" s="111" t="inlineStr">
        <is>
          <t>N/A</t>
        </is>
      </c>
      <c r="AR340" s="111" t="inlineStr">
        <is>
          <t>N/A</t>
        </is>
      </c>
      <c r="AS340" s="111" t="inlineStr">
        <is>
          <t>N/A</t>
        </is>
      </c>
      <c r="AT340" s="108" t="n">
        <v>0.11</v>
      </c>
      <c r="AU340" s="108" t="n">
        <v>0.01</v>
      </c>
      <c r="AV340" s="108" t="n">
        <v>0.12</v>
      </c>
      <c r="AW340" s="111" t="inlineStr">
        <is>
          <t>N/A</t>
        </is>
      </c>
      <c r="AX340" s="111" t="inlineStr">
        <is>
          <t>N/A</t>
        </is>
      </c>
      <c r="AY340" s="111" t="inlineStr">
        <is>
          <t>N/A</t>
        </is>
      </c>
      <c r="AZ340" s="108" t="n">
        <v>0.01</v>
      </c>
      <c r="BA340" s="111" t="inlineStr">
        <is>
          <t>N/A</t>
        </is>
      </c>
      <c r="BB340" s="108" t="n">
        <v>0.04</v>
      </c>
      <c r="BC340" s="111" t="inlineStr">
        <is>
          <t>N/A</t>
        </is>
      </c>
      <c r="BD340" s="111" t="inlineStr">
        <is>
          <t>N/A</t>
        </is>
      </c>
      <c r="BE340" s="108" t="n">
        <v>0.01</v>
      </c>
      <c r="BF340" s="108" t="n">
        <v>0.89</v>
      </c>
      <c r="BG340" s="111" t="inlineStr">
        <is>
          <t>N/A</t>
        </is>
      </c>
      <c r="BH340" s="111" t="inlineStr">
        <is>
          <t>N/A</t>
        </is>
      </c>
      <c r="BI340" s="111" t="inlineStr">
        <is>
          <t>N/A</t>
        </is>
      </c>
      <c r="BJ340" s="111" t="inlineStr">
        <is>
          <t>N/A</t>
        </is>
      </c>
      <c r="BK340" s="107" t="n">
        <v>1</v>
      </c>
      <c r="BL340" s="107" t="n">
        <v>1</v>
      </c>
      <c r="BM340" s="107" t="n">
        <v>1</v>
      </c>
      <c r="BN340" s="107" t="n">
        <v>0</v>
      </c>
      <c r="BO340" s="107" t="n">
        <v>1</v>
      </c>
      <c r="BP340" s="107" t="n">
        <v>0</v>
      </c>
      <c r="BQ340" s="107" t="n">
        <v>1</v>
      </c>
      <c r="BR340" s="107" t="n">
        <v>1</v>
      </c>
      <c r="BS340" s="107" t="n">
        <v>1</v>
      </c>
      <c r="BT340" s="107" t="n">
        <v>7</v>
      </c>
      <c r="BU340" s="107" t="inlineStr">
        <is>
          <t>Strong</t>
        </is>
      </c>
      <c r="BV340" s="111" t="inlineStr">
        <is>
          <t>N/A</t>
        </is>
      </c>
      <c r="BW340" s="111" t="inlineStr">
        <is>
          <t>N/A</t>
        </is>
      </c>
      <c r="BX340" s="108" t="n">
        <v>1</v>
      </c>
      <c r="BY340" s="108" t="n">
        <v>1.07</v>
      </c>
      <c r="BZ340" s="108" t="n">
        <v>0.71</v>
      </c>
      <c r="CA340" s="111" t="inlineStr">
        <is>
          <t>N/A</t>
        </is>
      </c>
      <c r="CB340" s="108" t="n">
        <v>0.99</v>
      </c>
      <c r="CC340" s="108" t="n">
        <v>0</v>
      </c>
      <c r="CD340" s="111" t="inlineStr">
        <is>
          <t>N/A</t>
        </is>
      </c>
      <c r="CE340" s="111" t="inlineStr">
        <is>
          <t>N/A</t>
        </is>
      </c>
      <c r="CF340" s="108" t="n">
        <v>6.44</v>
      </c>
      <c r="CG340" s="108" t="n">
        <v>50.72</v>
      </c>
      <c r="CH340" s="107" t="n">
        <v>0</v>
      </c>
      <c r="CI340" s="107" t="inlineStr">
        <is>
          <t>CLEAR</t>
        </is>
      </c>
    </row>
    <row r="341" ht="17" customHeight="1">
      <c r="A341" s="103" t="inlineStr">
        <is>
          <t>TWLO</t>
        </is>
      </c>
      <c r="B341" s="103" t="inlineStr">
        <is>
          <t>TWILIO INC.</t>
        </is>
      </c>
      <c r="C341" s="104" t="n">
        <v>2689720000</v>
      </c>
      <c r="D341" s="105" t="n">
        <v>0.4</v>
      </c>
      <c r="E341" s="105" t="n">
        <v>0.14</v>
      </c>
      <c r="F341" s="105" t="n">
        <v>0.08</v>
      </c>
      <c r="G341" s="105" t="n">
        <v>0</v>
      </c>
      <c r="H341" s="105" t="n">
        <v>-0.01</v>
      </c>
      <c r="I341" s="105" t="n">
        <v>0</v>
      </c>
      <c r="J341" s="105" t="n">
        <v>0.02</v>
      </c>
      <c r="K341" s="105" t="n">
        <v>6.21</v>
      </c>
      <c r="L341" s="105" t="n">
        <v>8.210000000000001</v>
      </c>
      <c r="M341" s="105" t="n">
        <v>0.04</v>
      </c>
      <c r="N341" s="104" t="n">
        <v>0.03</v>
      </c>
      <c r="O341" s="104" t="n">
        <v>4.03</v>
      </c>
      <c r="P341" s="104" t="n">
        <v>4.2</v>
      </c>
      <c r="Q341" s="104" t="n">
        <v>4.03</v>
      </c>
      <c r="R341" s="104" t="n">
        <v>0.77</v>
      </c>
      <c r="S341" s="104" t="n">
        <v>0.2</v>
      </c>
      <c r="T341" s="104" t="n">
        <v>0.19</v>
      </c>
      <c r="U341" s="104" t="n">
        <v>0.13</v>
      </c>
      <c r="V341" s="104" t="n">
        <v>0.04</v>
      </c>
      <c r="W341" s="104" t="n">
        <v>29.65</v>
      </c>
      <c r="X341" s="105" t="n">
        <v>2.4</v>
      </c>
      <c r="Y341" s="105" t="n">
        <v>2.56</v>
      </c>
      <c r="Z341" s="113" t="inlineStr">
        <is>
          <t>N/A</t>
        </is>
      </c>
      <c r="AA341" s="105" t="n">
        <v>0.44</v>
      </c>
      <c r="AB341" s="105" t="n">
        <v>-1.31</v>
      </c>
      <c r="AC341" s="104" t="n">
        <v>-0.1</v>
      </c>
      <c r="AD341" s="104" t="n">
        <v>-0.1</v>
      </c>
      <c r="AE341" s="104" t="n">
        <v>0.28</v>
      </c>
      <c r="AF341" s="104" t="n">
        <v>-0.85</v>
      </c>
      <c r="AG341" s="104" t="n">
        <v>0.02</v>
      </c>
      <c r="AH341" s="104" t="n">
        <v>4.01</v>
      </c>
      <c r="AI341" s="104" t="n">
        <v>0.04</v>
      </c>
      <c r="AJ341" s="104" t="n">
        <v>1.64</v>
      </c>
      <c r="AK341" s="112" t="inlineStr">
        <is>
          <t>Distress</t>
        </is>
      </c>
      <c r="AL341" s="104" t="n">
        <v>0.28</v>
      </c>
      <c r="AM341" s="104" t="n">
        <v>-0.85</v>
      </c>
      <c r="AN341" s="104" t="n">
        <v>0.02</v>
      </c>
      <c r="AO341" s="104" t="n">
        <v>4.01</v>
      </c>
      <c r="AP341" s="104" t="n">
        <v>0.04</v>
      </c>
      <c r="AQ341" s="103" t="n">
        <v>1.25</v>
      </c>
      <c r="AR341" s="103" t="inlineStr">
        <is>
          <t>Grey</t>
        </is>
      </c>
      <c r="AS341" s="104" t="n">
        <v>0.28</v>
      </c>
      <c r="AT341" s="104" t="n">
        <v>-0.85</v>
      </c>
      <c r="AU341" s="104" t="n">
        <v>0.02</v>
      </c>
      <c r="AV341" s="104" t="n">
        <v>4.01</v>
      </c>
      <c r="AW341" s="103" t="n">
        <v>3.34</v>
      </c>
      <c r="AX341" s="103" t="inlineStr">
        <is>
          <t>Safe</t>
        </is>
      </c>
      <c r="AY341" s="104" t="n">
        <v>0.28</v>
      </c>
      <c r="AZ341" s="104" t="n">
        <v>0.02</v>
      </c>
      <c r="BA341" s="104" t="n">
        <v>0.06</v>
      </c>
      <c r="BB341" s="104" t="n">
        <v>0.04</v>
      </c>
      <c r="BC341" s="103" t="n">
        <v>0.39</v>
      </c>
      <c r="BD341" s="103" t="inlineStr">
        <is>
          <t>Distress</t>
        </is>
      </c>
      <c r="BE341" s="104" t="n">
        <v>0</v>
      </c>
      <c r="BF341" s="104" t="n">
        <v>0.2</v>
      </c>
      <c r="BG341" s="104" t="n">
        <v>4.03</v>
      </c>
      <c r="BH341" s="104" t="n">
        <v>-3.2</v>
      </c>
      <c r="BI341" s="103" t="n">
        <v>0.04</v>
      </c>
      <c r="BJ341" s="103" t="inlineStr">
        <is>
          <t>Healthy</t>
        </is>
      </c>
      <c r="BK341" s="103" t="n">
        <v>1</v>
      </c>
      <c r="BL341" s="103" t="n">
        <v>1</v>
      </c>
      <c r="BM341" s="103" t="n">
        <v>1</v>
      </c>
      <c r="BN341" s="103" t="n">
        <v>1</v>
      </c>
      <c r="BO341" s="103" t="n">
        <v>0</v>
      </c>
      <c r="BP341" s="103" t="n">
        <v>0</v>
      </c>
      <c r="BQ341" s="103" t="n">
        <v>1</v>
      </c>
      <c r="BR341" s="103" t="n">
        <v>0</v>
      </c>
      <c r="BS341" s="103" t="n">
        <v>1</v>
      </c>
      <c r="BT341" s="103" t="n">
        <v>6</v>
      </c>
      <c r="BU341" s="103" t="inlineStr">
        <is>
          <t>Mixed</t>
        </is>
      </c>
      <c r="BV341" s="104" t="n">
        <v>0.75</v>
      </c>
      <c r="BW341" s="104" t="n">
        <v>1.32</v>
      </c>
      <c r="BX341" s="104" t="n">
        <v>0.96</v>
      </c>
      <c r="BY341" s="104" t="n">
        <v>1.44</v>
      </c>
      <c r="BZ341" s="104" t="n">
        <v>1.32</v>
      </c>
      <c r="CA341" s="104" t="n">
        <v>0.64</v>
      </c>
      <c r="CB341" s="104" t="n">
        <v>1.03</v>
      </c>
      <c r="CC341" s="104" t="n">
        <v>-0.1</v>
      </c>
      <c r="CD341" s="103" t="n">
        <v>-2.54</v>
      </c>
      <c r="CE341" s="103" t="inlineStr">
        <is>
          <t>Lower Risk</t>
        </is>
      </c>
      <c r="CF341" s="104" t="n">
        <v>0.88</v>
      </c>
      <c r="CG341" s="104" t="n">
        <v>54.01</v>
      </c>
      <c r="CH341" s="103" t="n">
        <v>0</v>
      </c>
      <c r="CI341" s="103" t="inlineStr">
        <is>
          <t>CLEAR</t>
        </is>
      </c>
    </row>
    <row r="342" ht="17" customHeight="1">
      <c r="A342" s="107" t="inlineStr">
        <is>
          <t>EXC</t>
        </is>
      </c>
      <c r="B342" s="107" t="inlineStr">
        <is>
          <t>EXELON CORPORATION</t>
        </is>
      </c>
      <c r="C342" s="108" t="n">
        <v>-785000000</v>
      </c>
      <c r="D342" s="109" t="n">
        <v>0.21</v>
      </c>
      <c r="E342" s="109" t="n">
        <v>0.14</v>
      </c>
      <c r="F342" s="109" t="n">
        <v>0.05</v>
      </c>
      <c r="G342" s="109" t="n">
        <v>0.01</v>
      </c>
      <c r="H342" s="109" t="n">
        <v>0</v>
      </c>
      <c r="I342" s="109" t="n">
        <v>0.04</v>
      </c>
      <c r="J342" s="109" t="n">
        <v>0.05</v>
      </c>
      <c r="K342" s="109" t="n">
        <v>0.35</v>
      </c>
      <c r="L342" s="109" t="n">
        <v>-0.47</v>
      </c>
      <c r="M342" s="109" t="n">
        <v>0.21</v>
      </c>
      <c r="N342" s="108" t="n">
        <v>0.21</v>
      </c>
      <c r="O342" s="108" t="n">
        <v>0.92</v>
      </c>
      <c r="P342" s="108" t="n">
        <v>0.87</v>
      </c>
      <c r="Q342" s="108" t="n">
        <v>0.92</v>
      </c>
      <c r="R342" s="108" t="n">
        <v>0.06</v>
      </c>
      <c r="S342" s="108" t="n">
        <v>0.75</v>
      </c>
      <c r="T342" s="108" t="n">
        <v>0.75</v>
      </c>
      <c r="U342" s="108" t="n">
        <v>1.74</v>
      </c>
      <c r="V342" s="108" t="n">
        <v>1.72</v>
      </c>
      <c r="W342" s="108" t="n">
        <v>5.34</v>
      </c>
      <c r="X342" s="109" t="n">
        <v>-0.09</v>
      </c>
      <c r="Y342" s="109" t="n">
        <v>0</v>
      </c>
      <c r="Z342" s="109" t="n">
        <v>3.2</v>
      </c>
      <c r="AA342" s="109" t="n">
        <v>0.05</v>
      </c>
      <c r="AB342" s="109" t="n">
        <v>2.1</v>
      </c>
      <c r="AC342" s="108" t="n">
        <v>-0.04</v>
      </c>
      <c r="AD342" s="108" t="n">
        <v>-0.04</v>
      </c>
      <c r="AE342" s="108" t="n">
        <v>-0.01</v>
      </c>
      <c r="AF342" s="108" t="n">
        <v>0.06</v>
      </c>
      <c r="AG342" s="108" t="n">
        <v>0.04</v>
      </c>
      <c r="AH342" s="108" t="n">
        <v>0.33</v>
      </c>
      <c r="AI342" s="108" t="n">
        <v>0.21</v>
      </c>
      <c r="AJ342" s="108" t="n">
        <v>0.63</v>
      </c>
      <c r="AK342" s="112" t="inlineStr">
        <is>
          <t>Distress</t>
        </is>
      </c>
      <c r="AL342" s="108" t="n">
        <v>-0.01</v>
      </c>
      <c r="AM342" s="108" t="n">
        <v>0.06</v>
      </c>
      <c r="AN342" s="108" t="n">
        <v>0.04</v>
      </c>
      <c r="AO342" s="108" t="n">
        <v>0.33</v>
      </c>
      <c r="AP342" s="108" t="n">
        <v>0.21</v>
      </c>
      <c r="AQ342" s="107" t="n">
        <v>0.53</v>
      </c>
      <c r="AR342" s="107" t="inlineStr">
        <is>
          <t>Distress</t>
        </is>
      </c>
      <c r="AS342" s="108" t="n">
        <v>-0.01</v>
      </c>
      <c r="AT342" s="108" t="n">
        <v>0.06</v>
      </c>
      <c r="AU342" s="108" t="n">
        <v>0.04</v>
      </c>
      <c r="AV342" s="108" t="n">
        <v>0.33</v>
      </c>
      <c r="AW342" s="107" t="n">
        <v>0.8100000000000001</v>
      </c>
      <c r="AX342" s="107" t="inlineStr">
        <is>
          <t>Distress</t>
        </is>
      </c>
      <c r="AY342" s="108" t="n">
        <v>-0.01</v>
      </c>
      <c r="AZ342" s="108" t="n">
        <v>0.04</v>
      </c>
      <c r="BA342" s="108" t="n">
        <v>0.32</v>
      </c>
      <c r="BB342" s="108" t="n">
        <v>0.21</v>
      </c>
      <c r="BC342" s="107" t="n">
        <v>0.42</v>
      </c>
      <c r="BD342" s="107" t="inlineStr">
        <is>
          <t>Distress</t>
        </is>
      </c>
      <c r="BE342" s="108" t="n">
        <v>0.01</v>
      </c>
      <c r="BF342" s="108" t="n">
        <v>0.75</v>
      </c>
      <c r="BG342" s="108" t="n">
        <v>0.92</v>
      </c>
      <c r="BH342" s="108" t="n">
        <v>-0.1</v>
      </c>
      <c r="BI342" s="107" t="n">
        <v>0.47</v>
      </c>
      <c r="BJ342" s="107" t="inlineStr">
        <is>
          <t>Healthy</t>
        </is>
      </c>
      <c r="BK342" s="107" t="n">
        <v>1</v>
      </c>
      <c r="BL342" s="107" t="n">
        <v>1</v>
      </c>
      <c r="BM342" s="107" t="n">
        <v>1</v>
      </c>
      <c r="BN342" s="107" t="n">
        <v>1</v>
      </c>
      <c r="BO342" s="107" t="n">
        <v>0</v>
      </c>
      <c r="BP342" s="107" t="n">
        <v>1</v>
      </c>
      <c r="BQ342" s="107" t="n">
        <v>0</v>
      </c>
      <c r="BR342" s="107" t="n">
        <v>1</v>
      </c>
      <c r="BS342" s="107" t="n">
        <v>0</v>
      </c>
      <c r="BT342" s="107" t="n">
        <v>6</v>
      </c>
      <c r="BU342" s="107" t="inlineStr">
        <is>
          <t>Mixed</t>
        </is>
      </c>
      <c r="BV342" s="108" t="n">
        <v>1.14</v>
      </c>
      <c r="BW342" s="108" t="n">
        <v>-1.34</v>
      </c>
      <c r="BX342" s="108" t="n">
        <v>0.99</v>
      </c>
      <c r="BY342" s="108" t="n">
        <v>1.05</v>
      </c>
      <c r="BZ342" s="108" t="n">
        <v>1.89</v>
      </c>
      <c r="CA342" s="111" t="inlineStr">
        <is>
          <t>N/A</t>
        </is>
      </c>
      <c r="CB342" s="108" t="n">
        <v>1</v>
      </c>
      <c r="CC342" s="108" t="n">
        <v>-0.04</v>
      </c>
      <c r="CD342" s="107" t="n">
        <v>-3.47</v>
      </c>
      <c r="CE342" s="107" t="inlineStr">
        <is>
          <t>Lower Risk</t>
        </is>
      </c>
      <c r="CF342" s="108" t="n">
        <v>5.83</v>
      </c>
      <c r="CG342" s="108" t="n">
        <v>48.7</v>
      </c>
      <c r="CH342" s="107" t="n">
        <v>0</v>
      </c>
      <c r="CI342" s="107" t="inlineStr">
        <is>
          <t>CLEAR</t>
        </is>
      </c>
    </row>
    <row r="343" ht="17" customHeight="1">
      <c r="A343" s="103" t="inlineStr">
        <is>
          <t>SNA</t>
        </is>
      </c>
      <c r="B343" s="103" t="inlineStr">
        <is>
          <t>Snap-on Inc</t>
        </is>
      </c>
      <c r="C343" s="104" t="n">
        <v>3484300000</v>
      </c>
      <c r="D343" s="105" t="n">
        <v>0.26</v>
      </c>
      <c r="E343" s="105" t="n">
        <v>0.26</v>
      </c>
      <c r="F343" s="105" t="n">
        <v>0.2</v>
      </c>
      <c r="G343" s="105" t="n">
        <v>0.12</v>
      </c>
      <c r="H343" s="105" t="n">
        <v>0.13</v>
      </c>
      <c r="I343" s="105" t="n">
        <v>0.17</v>
      </c>
      <c r="J343" s="105" t="n">
        <v>0.18</v>
      </c>
      <c r="K343" s="105" t="n">
        <v>0.35</v>
      </c>
      <c r="L343" s="105" t="n">
        <v>0.09</v>
      </c>
      <c r="M343" s="105" t="n">
        <v>0.61</v>
      </c>
      <c r="N343" s="104" t="n">
        <v>0.65</v>
      </c>
      <c r="O343" s="104" t="n">
        <v>4.79</v>
      </c>
      <c r="P343" s="104" t="n">
        <v>4.15</v>
      </c>
      <c r="Q343" s="104" t="n">
        <v>3.68</v>
      </c>
      <c r="R343" s="104" t="n">
        <v>1.77</v>
      </c>
      <c r="S343" s="104" t="n">
        <v>0.29</v>
      </c>
      <c r="T343" s="104" t="n">
        <v>0.31</v>
      </c>
      <c r="U343" s="104" t="n">
        <v>0.21</v>
      </c>
      <c r="V343" s="104" t="n">
        <v>-0.07000000000000001</v>
      </c>
      <c r="W343" s="104" t="n">
        <v>1.06</v>
      </c>
      <c r="X343" s="105" t="n">
        <v>0.2</v>
      </c>
      <c r="Y343" s="105" t="n">
        <v>0.01</v>
      </c>
      <c r="Z343" s="105" t="n">
        <v>26.61</v>
      </c>
      <c r="AA343" s="105" t="n">
        <v>0.01</v>
      </c>
      <c r="AB343" s="105" t="n">
        <v>-0.03</v>
      </c>
      <c r="AC343" s="104" t="n">
        <v>-0.01</v>
      </c>
      <c r="AD343" s="104" t="n">
        <v>-0.01</v>
      </c>
      <c r="AE343" s="104" t="n">
        <v>0.41</v>
      </c>
      <c r="AF343" s="104" t="n">
        <v>0.97</v>
      </c>
      <c r="AG343" s="104" t="n">
        <v>0.16</v>
      </c>
      <c r="AH343" s="104" t="n">
        <v>2.42</v>
      </c>
      <c r="AI343" s="104" t="n">
        <v>0.61</v>
      </c>
      <c r="AJ343" s="104" t="n">
        <v>4.43</v>
      </c>
      <c r="AK343" s="110" t="inlineStr">
        <is>
          <t>Safe</t>
        </is>
      </c>
      <c r="AL343" s="104" t="n">
        <v>0.41</v>
      </c>
      <c r="AM343" s="104" t="n">
        <v>0.97</v>
      </c>
      <c r="AN343" s="104" t="n">
        <v>0.16</v>
      </c>
      <c r="AO343" s="104" t="n">
        <v>2.42</v>
      </c>
      <c r="AP343" s="104" t="n">
        <v>0.61</v>
      </c>
      <c r="AQ343" s="103" t="n">
        <v>3.23</v>
      </c>
      <c r="AR343" s="103" t="inlineStr">
        <is>
          <t>Safe</t>
        </is>
      </c>
      <c r="AS343" s="104" t="n">
        <v>0.41</v>
      </c>
      <c r="AT343" s="104" t="n">
        <v>0.97</v>
      </c>
      <c r="AU343" s="104" t="n">
        <v>0.16</v>
      </c>
      <c r="AV343" s="104" t="n">
        <v>2.42</v>
      </c>
      <c r="AW343" s="103" t="n">
        <v>9.470000000000001</v>
      </c>
      <c r="AX343" s="103" t="inlineStr">
        <is>
          <t>Safe</t>
        </is>
      </c>
      <c r="AY343" s="104" t="n">
        <v>0.41</v>
      </c>
      <c r="AZ343" s="104" t="n">
        <v>0.16</v>
      </c>
      <c r="BA343" s="104" t="n">
        <v>1.45</v>
      </c>
      <c r="BB343" s="104" t="n">
        <v>0.61</v>
      </c>
      <c r="BC343" s="103" t="n">
        <v>2.12</v>
      </c>
      <c r="BD343" s="103" t="inlineStr">
        <is>
          <t>Healthy</t>
        </is>
      </c>
      <c r="BE343" s="104" t="n">
        <v>0.12</v>
      </c>
      <c r="BF343" s="104" t="n">
        <v>0.29</v>
      </c>
      <c r="BG343" s="104" t="n">
        <v>4.79</v>
      </c>
      <c r="BH343" s="104" t="n">
        <v>-3.2</v>
      </c>
      <c r="BI343" s="103" t="n">
        <v>0.04</v>
      </c>
      <c r="BJ343" s="103" t="inlineStr">
        <is>
          <t>Healthy</t>
        </is>
      </c>
      <c r="BK343" s="103" t="n">
        <v>1</v>
      </c>
      <c r="BL343" s="103" t="n">
        <v>1</v>
      </c>
      <c r="BM343" s="103" t="n">
        <v>0</v>
      </c>
      <c r="BN343" s="103" t="n">
        <v>1</v>
      </c>
      <c r="BO343" s="103" t="n">
        <v>1</v>
      </c>
      <c r="BP343" s="103" t="n">
        <v>1</v>
      </c>
      <c r="BQ343" s="103" t="n">
        <v>0</v>
      </c>
      <c r="BR343" s="103" t="n">
        <v>1</v>
      </c>
      <c r="BS343" s="103" t="n">
        <v>0</v>
      </c>
      <c r="BT343" s="103" t="n">
        <v>6</v>
      </c>
      <c r="BU343" s="103" t="inlineStr">
        <is>
          <t>Mixed</t>
        </is>
      </c>
      <c r="BV343" s="104" t="n">
        <v>1.07</v>
      </c>
      <c r="BW343" s="104" t="n">
        <v>0.26</v>
      </c>
      <c r="BX343" s="104" t="n">
        <v>0.97</v>
      </c>
      <c r="BY343" s="104" t="n">
        <v>1.01</v>
      </c>
      <c r="BZ343" s="104" t="n">
        <v>1</v>
      </c>
      <c r="CA343" s="113" t="inlineStr">
        <is>
          <t>N/A</t>
        </is>
      </c>
      <c r="CB343" s="104" t="n">
        <v>0.93</v>
      </c>
      <c r="CC343" s="104" t="n">
        <v>-0.01</v>
      </c>
      <c r="CD343" s="103" t="n">
        <v>-2.65</v>
      </c>
      <c r="CE343" s="103" t="inlineStr">
        <is>
          <t>Lower Risk</t>
        </is>
      </c>
      <c r="CF343" s="104" t="n">
        <v>-0.28</v>
      </c>
      <c r="CG343" s="104" t="n">
        <v>60.4</v>
      </c>
      <c r="CH343" s="103" t="n">
        <v>0</v>
      </c>
      <c r="CI343" s="103" t="inlineStr">
        <is>
          <t>CLEAR</t>
        </is>
      </c>
    </row>
    <row r="344" ht="17" customHeight="1">
      <c r="A344" s="107" t="inlineStr">
        <is>
          <t>PSX</t>
        </is>
      </c>
      <c r="B344" s="107" t="inlineStr">
        <is>
          <t>Phillips 66</t>
        </is>
      </c>
      <c r="C344" s="108" t="n">
        <v>3945000000</v>
      </c>
      <c r="D344" s="109" t="n">
        <v>-0.04</v>
      </c>
      <c r="E344" s="109" t="n">
        <v>-0.04</v>
      </c>
      <c r="F344" s="109" t="n">
        <v>0.03</v>
      </c>
      <c r="G344" s="109" t="n">
        <v>0.06</v>
      </c>
      <c r="H344" s="109" t="n">
        <v>0.03</v>
      </c>
      <c r="I344" s="109" t="n">
        <v>0.15</v>
      </c>
      <c r="J344" s="109" t="n">
        <v>-0.08</v>
      </c>
      <c r="K344" s="109" t="n">
        <v>0.12</v>
      </c>
      <c r="L344" s="109" t="n">
        <v>0.09</v>
      </c>
      <c r="M344" s="109" t="n">
        <v>1.8</v>
      </c>
      <c r="N344" s="108" t="n">
        <v>1.97</v>
      </c>
      <c r="O344" s="108" t="n">
        <v>1.3</v>
      </c>
      <c r="P344" s="108" t="n">
        <v>1.19</v>
      </c>
      <c r="Q344" s="108" t="n">
        <v>0.91</v>
      </c>
      <c r="R344" s="108" t="n">
        <v>0.08</v>
      </c>
      <c r="S344" s="108" t="n">
        <v>0.59</v>
      </c>
      <c r="T344" s="108" t="n">
        <v>0.61</v>
      </c>
      <c r="U344" s="108" t="n">
        <v>0.07000000000000001</v>
      </c>
      <c r="V344" s="108" t="n">
        <v>0.04</v>
      </c>
      <c r="W344" s="108" t="n">
        <v>1.13</v>
      </c>
      <c r="X344" s="111" t="inlineStr">
        <is>
          <t>N/A</t>
        </is>
      </c>
      <c r="Y344" s="109" t="n">
        <v>0</v>
      </c>
      <c r="Z344" s="109" t="n">
        <v>-4.98</v>
      </c>
      <c r="AA344" s="109" t="n">
        <v>-0.08</v>
      </c>
      <c r="AB344" s="109" t="n">
        <v>1.08</v>
      </c>
      <c r="AC344" s="108" t="n">
        <v>-0.01</v>
      </c>
      <c r="AD344" s="108" t="n">
        <v>-0.01</v>
      </c>
      <c r="AE344" s="108" t="n">
        <v>0.05</v>
      </c>
      <c r="AF344" s="108" t="n">
        <v>0.45</v>
      </c>
      <c r="AG344" s="108" t="n">
        <v>-0.07000000000000001</v>
      </c>
      <c r="AH344" s="108" t="n">
        <v>0.67</v>
      </c>
      <c r="AI344" s="108" t="n">
        <v>1.8</v>
      </c>
      <c r="AJ344" s="108" t="n">
        <v>2.67</v>
      </c>
      <c r="AK344" s="106" t="inlineStr">
        <is>
          <t>Grey</t>
        </is>
      </c>
      <c r="AL344" s="108" t="n">
        <v>0.05</v>
      </c>
      <c r="AM344" s="108" t="n">
        <v>0.45</v>
      </c>
      <c r="AN344" s="108" t="n">
        <v>-0.07000000000000001</v>
      </c>
      <c r="AO344" s="108" t="n">
        <v>0.67</v>
      </c>
      <c r="AP344" s="108" t="n">
        <v>1.8</v>
      </c>
      <c r="AQ344" s="107" t="n">
        <v>2.29</v>
      </c>
      <c r="AR344" s="107" t="inlineStr">
        <is>
          <t>Grey</t>
        </is>
      </c>
      <c r="AS344" s="108" t="n">
        <v>0.05</v>
      </c>
      <c r="AT344" s="108" t="n">
        <v>0.45</v>
      </c>
      <c r="AU344" s="108" t="n">
        <v>-0.07000000000000001</v>
      </c>
      <c r="AV344" s="108" t="n">
        <v>0.67</v>
      </c>
      <c r="AW344" s="107" t="n">
        <v>2.07</v>
      </c>
      <c r="AX344" s="107" t="inlineStr">
        <is>
          <t>Grey</t>
        </is>
      </c>
      <c r="AY344" s="108" t="n">
        <v>0.05</v>
      </c>
      <c r="AZ344" s="108" t="n">
        <v>-0.07000000000000001</v>
      </c>
      <c r="BA344" s="108" t="n">
        <v>-0.37</v>
      </c>
      <c r="BB344" s="108" t="n">
        <v>1.8</v>
      </c>
      <c r="BC344" s="107" t="n">
        <v>0.32</v>
      </c>
      <c r="BD344" s="107" t="inlineStr">
        <is>
          <t>Distress</t>
        </is>
      </c>
      <c r="BE344" s="108" t="n">
        <v>0.06</v>
      </c>
      <c r="BF344" s="108" t="n">
        <v>0.59</v>
      </c>
      <c r="BG344" s="108" t="n">
        <v>1.3</v>
      </c>
      <c r="BH344" s="108" t="n">
        <v>-1.25</v>
      </c>
      <c r="BI344" s="107" t="n">
        <v>0.22</v>
      </c>
      <c r="BJ344" s="107" t="inlineStr">
        <is>
          <t>Healthy</t>
        </is>
      </c>
      <c r="BK344" s="107" t="n">
        <v>1</v>
      </c>
      <c r="BL344" s="107" t="n">
        <v>1</v>
      </c>
      <c r="BM344" s="107" t="n">
        <v>1</v>
      </c>
      <c r="BN344" s="107" t="n">
        <v>1</v>
      </c>
      <c r="BO344" s="107" t="n">
        <v>0</v>
      </c>
      <c r="BP344" s="107" t="n">
        <v>1</v>
      </c>
      <c r="BQ344" s="107" t="n">
        <v>0</v>
      </c>
      <c r="BR344" s="107" t="n">
        <v>1</v>
      </c>
      <c r="BS344" s="107" t="n">
        <v>0</v>
      </c>
      <c r="BT344" s="107" t="n">
        <v>6</v>
      </c>
      <c r="BU344" s="107" t="inlineStr">
        <is>
          <t>Mixed</t>
        </is>
      </c>
      <c r="BV344" s="108" t="n">
        <v>0.96</v>
      </c>
      <c r="BW344" s="108" t="n">
        <v>0.75</v>
      </c>
      <c r="BX344" s="108" t="n">
        <v>1.04</v>
      </c>
      <c r="BY344" s="108" t="n">
        <v>0.92</v>
      </c>
      <c r="BZ344" s="108" t="n">
        <v>0.99</v>
      </c>
      <c r="CA344" s="108" t="n">
        <v>0.9399999999999999</v>
      </c>
      <c r="CB344" s="108" t="n">
        <v>0.97</v>
      </c>
      <c r="CC344" s="108" t="n">
        <v>-0.01</v>
      </c>
      <c r="CD344" s="107" t="n">
        <v>-2.72</v>
      </c>
      <c r="CE344" s="107" t="inlineStr">
        <is>
          <t>Lower Risk</t>
        </is>
      </c>
      <c r="CF344" s="108" t="n">
        <v>-0.31</v>
      </c>
      <c r="CG344" s="108" t="n">
        <v>55.3</v>
      </c>
      <c r="CH344" s="107" t="n">
        <v>0</v>
      </c>
      <c r="CI344" s="107" t="inlineStr">
        <is>
          <t>CLEAR</t>
        </is>
      </c>
    </row>
    <row r="345" ht="17" customHeight="1">
      <c r="A345" s="103" t="inlineStr">
        <is>
          <t>VKTX</t>
        </is>
      </c>
      <c r="B345" s="103" t="inlineStr">
        <is>
          <t>VIKING THERAPEUTICS, INC.</t>
        </is>
      </c>
      <c r="C345" s="104" t="n">
        <v>638931000</v>
      </c>
      <c r="D345" s="113" t="inlineStr">
        <is>
          <t>N/A</t>
        </is>
      </c>
      <c r="E345" s="113" t="inlineStr">
        <is>
          <t>N/A</t>
        </is>
      </c>
      <c r="F345" s="113" t="inlineStr">
        <is>
          <t>N/A</t>
        </is>
      </c>
      <c r="G345" s="105" t="n">
        <v>-0.5</v>
      </c>
      <c r="H345" s="105" t="n">
        <v>-0.12</v>
      </c>
      <c r="I345" s="105" t="n">
        <v>-0.5600000000000001</v>
      </c>
      <c r="J345" s="105" t="n">
        <v>-0.62</v>
      </c>
      <c r="K345" s="113" t="inlineStr">
        <is>
          <t>N/A</t>
        </is>
      </c>
      <c r="L345" s="113" t="inlineStr">
        <is>
          <t>N/A</t>
        </is>
      </c>
      <c r="M345" s="105" t="n">
        <v>0</v>
      </c>
      <c r="N345" s="104" t="n">
        <v>0</v>
      </c>
      <c r="O345" s="104" t="n">
        <v>9.33</v>
      </c>
      <c r="P345" s="104" t="n">
        <v>33.09</v>
      </c>
      <c r="Q345" s="104" t="n">
        <v>9.33</v>
      </c>
      <c r="R345" s="104" t="n">
        <v>2.16</v>
      </c>
      <c r="S345" s="104" t="n">
        <v>0.11</v>
      </c>
      <c r="T345" s="104" t="n">
        <v>0.03</v>
      </c>
      <c r="U345" s="113" t="inlineStr">
        <is>
          <t>N/A</t>
        </is>
      </c>
      <c r="V345" s="113" t="inlineStr">
        <is>
          <t>N/A</t>
        </is>
      </c>
      <c r="W345" s="104" t="n">
        <v>0.77</v>
      </c>
      <c r="X345" s="113" t="inlineStr">
        <is>
          <t>N/A</t>
        </is>
      </c>
      <c r="Y345" s="113" t="inlineStr">
        <is>
          <t>N/A</t>
        </is>
      </c>
      <c r="Z345" s="105" t="n">
        <v>-3204.7</v>
      </c>
      <c r="AA345" s="113" t="inlineStr">
        <is>
          <t>N/A</t>
        </is>
      </c>
      <c r="AB345" s="105" t="n">
        <v>2.27</v>
      </c>
      <c r="AC345" s="104" t="n">
        <v>-0.11</v>
      </c>
      <c r="AD345" s="104" t="n">
        <v>-0.11</v>
      </c>
      <c r="AE345" s="104" t="n">
        <v>0.89</v>
      </c>
      <c r="AF345" s="104" t="n">
        <v>-1.18</v>
      </c>
      <c r="AG345" s="104" t="n">
        <v>-0.55</v>
      </c>
      <c r="AH345" s="104" t="n">
        <v>8.34</v>
      </c>
      <c r="AI345" s="104" t="n">
        <v>0</v>
      </c>
      <c r="AJ345" s="104" t="n">
        <v>2.6</v>
      </c>
      <c r="AK345" s="106" t="inlineStr">
        <is>
          <t>Grey</t>
        </is>
      </c>
      <c r="AL345" s="104" t="n">
        <v>0.89</v>
      </c>
      <c r="AM345" s="104" t="n">
        <v>-1.18</v>
      </c>
      <c r="AN345" s="104" t="n">
        <v>-0.55</v>
      </c>
      <c r="AO345" s="104" t="n">
        <v>8.34</v>
      </c>
      <c r="AP345" s="104" t="n">
        <v>0</v>
      </c>
      <c r="AQ345" s="103" t="n">
        <v>1.43</v>
      </c>
      <c r="AR345" s="103" t="inlineStr">
        <is>
          <t>Grey</t>
        </is>
      </c>
      <c r="AS345" s="104" t="n">
        <v>0.89</v>
      </c>
      <c r="AT345" s="104" t="n">
        <v>-1.18</v>
      </c>
      <c r="AU345" s="104" t="n">
        <v>-0.55</v>
      </c>
      <c r="AV345" s="104" t="n">
        <v>8.34</v>
      </c>
      <c r="AW345" s="103" t="n">
        <v>7.05</v>
      </c>
      <c r="AX345" s="103" t="inlineStr">
        <is>
          <t>Safe</t>
        </is>
      </c>
      <c r="AY345" s="104" t="n">
        <v>0.89</v>
      </c>
      <c r="AZ345" s="104" t="n">
        <v>-0.55</v>
      </c>
      <c r="BA345" s="104" t="n">
        <v>-4.69</v>
      </c>
      <c r="BB345" s="104" t="n">
        <v>0</v>
      </c>
      <c r="BC345" s="103" t="n">
        <v>-3.86</v>
      </c>
      <c r="BD345" s="103" t="inlineStr">
        <is>
          <t>Distress</t>
        </is>
      </c>
      <c r="BE345" s="104" t="n">
        <v>-0.5</v>
      </c>
      <c r="BF345" s="104" t="n">
        <v>0.11</v>
      </c>
      <c r="BG345" s="104" t="n">
        <v>9.33</v>
      </c>
      <c r="BH345" s="104" t="n">
        <v>-1.42</v>
      </c>
      <c r="BI345" s="103" t="n">
        <v>0.19</v>
      </c>
      <c r="BJ345" s="103" t="inlineStr">
        <is>
          <t>Healthy</t>
        </is>
      </c>
      <c r="BK345" s="103" t="n">
        <v>0</v>
      </c>
      <c r="BL345" s="103" t="n">
        <v>0</v>
      </c>
      <c r="BM345" s="103" t="n">
        <v>0</v>
      </c>
      <c r="BN345" s="103" t="n">
        <v>1</v>
      </c>
      <c r="BO345" s="103" t="n">
        <v>0</v>
      </c>
      <c r="BP345" s="103" t="n">
        <v>0</v>
      </c>
      <c r="BQ345" s="103" t="n">
        <v>0</v>
      </c>
      <c r="BR345" s="103" t="n">
        <v>0</v>
      </c>
      <c r="BS345" s="103" t="n">
        <v>0</v>
      </c>
      <c r="BT345" s="103" t="n">
        <v>1</v>
      </c>
      <c r="BU345" s="103" t="inlineStr">
        <is>
          <t>Weak</t>
        </is>
      </c>
      <c r="BV345" s="113" t="inlineStr">
        <is>
          <t>N/A</t>
        </is>
      </c>
      <c r="BW345" s="113" t="inlineStr">
        <is>
          <t>N/A</t>
        </is>
      </c>
      <c r="BX345" s="113" t="inlineStr">
        <is>
          <t>N/A</t>
        </is>
      </c>
      <c r="BY345" s="113" t="inlineStr">
        <is>
          <t>N/A</t>
        </is>
      </c>
      <c r="BZ345" s="113" t="inlineStr">
        <is>
          <t>N/A</t>
        </is>
      </c>
      <c r="CA345" s="113" t="inlineStr">
        <is>
          <t>N/A</t>
        </is>
      </c>
      <c r="CB345" s="104" t="n">
        <v>3.47</v>
      </c>
      <c r="CC345" s="104" t="n">
        <v>-0.11</v>
      </c>
      <c r="CD345" s="113" t="inlineStr">
        <is>
          <t>N/A</t>
        </is>
      </c>
      <c r="CE345" s="113" t="inlineStr">
        <is>
          <t>N/A</t>
        </is>
      </c>
      <c r="CF345" s="113" t="inlineStr">
        <is>
          <t>N/A</t>
        </is>
      </c>
      <c r="CG345" s="104" t="n">
        <v>35.75</v>
      </c>
      <c r="CH345" s="103" t="n">
        <v>20</v>
      </c>
      <c r="CI345" s="103" t="inlineStr">
        <is>
          <t>CLEAR</t>
        </is>
      </c>
    </row>
    <row r="346" ht="17" customHeight="1">
      <c r="A346" s="107" t="inlineStr">
        <is>
          <t>DIS</t>
        </is>
      </c>
      <c r="B346" s="107" t="inlineStr">
        <is>
          <t>WALT DISNEY CO/</t>
        </is>
      </c>
      <c r="C346" s="108" t="n">
        <v>-9895000000</v>
      </c>
      <c r="D346" s="109" t="n">
        <v>0.19</v>
      </c>
      <c r="E346" s="109" t="n">
        <v>0.13</v>
      </c>
      <c r="F346" s="109" t="n">
        <v>0.13</v>
      </c>
      <c r="G346" s="109" t="n">
        <v>0.06</v>
      </c>
      <c r="H346" s="109" t="n">
        <v>0.03</v>
      </c>
      <c r="I346" s="109" t="n">
        <v>0.11</v>
      </c>
      <c r="J346" s="109" t="n">
        <v>0.11</v>
      </c>
      <c r="K346" s="111" t="inlineStr">
        <is>
          <t>N/A</t>
        </is>
      </c>
      <c r="L346" s="111" t="inlineStr">
        <is>
          <t>N/A</t>
        </is>
      </c>
      <c r="M346" s="109" t="n">
        <v>0.48</v>
      </c>
      <c r="N346" s="108" t="n">
        <v>0.47</v>
      </c>
      <c r="O346" s="108" t="n">
        <v>0.71</v>
      </c>
      <c r="P346" s="108" t="n">
        <v>0.73</v>
      </c>
      <c r="Q346" s="108" t="n">
        <v>0.65</v>
      </c>
      <c r="R346" s="108" t="n">
        <v>0.17</v>
      </c>
      <c r="S346" s="108" t="n">
        <v>1</v>
      </c>
      <c r="T346" s="108" t="n">
        <v>1</v>
      </c>
      <c r="U346" s="108" t="n">
        <v>0.44</v>
      </c>
      <c r="V346" s="108" t="n">
        <v>0.39</v>
      </c>
      <c r="W346" s="108" t="n">
        <v>1.46</v>
      </c>
      <c r="X346" s="109" t="n">
        <v>0.11</v>
      </c>
      <c r="Y346" s="111" t="inlineStr">
        <is>
          <t>N/A</t>
        </is>
      </c>
      <c r="Z346" s="109" t="n">
        <v>-9.69</v>
      </c>
      <c r="AA346" s="109" t="n">
        <v>0.03</v>
      </c>
      <c r="AB346" s="109" t="n">
        <v>1.49</v>
      </c>
      <c r="AC346" s="108" t="n">
        <v>-0.03</v>
      </c>
      <c r="AD346" s="108" t="n">
        <v>-0.03</v>
      </c>
      <c r="AE346" s="108" t="n">
        <v>-0.05</v>
      </c>
      <c r="AF346" s="108" t="n">
        <v>0.31</v>
      </c>
      <c r="AG346" s="108" t="n">
        <v>0.09</v>
      </c>
      <c r="AH346" s="108" t="n">
        <v>0.5600000000000001</v>
      </c>
      <c r="AI346" s="108" t="n">
        <v>0.48</v>
      </c>
      <c r="AJ346" s="108" t="n">
        <v>1.47</v>
      </c>
      <c r="AK346" s="112" t="inlineStr">
        <is>
          <t>Distress</t>
        </is>
      </c>
      <c r="AL346" s="108" t="n">
        <v>-0.05</v>
      </c>
      <c r="AM346" s="108" t="n">
        <v>0.31</v>
      </c>
      <c r="AN346" s="108" t="n">
        <v>0.09</v>
      </c>
      <c r="AO346" s="108" t="n">
        <v>0.5600000000000001</v>
      </c>
      <c r="AP346" s="108" t="n">
        <v>0.48</v>
      </c>
      <c r="AQ346" s="107" t="n">
        <v>1.21</v>
      </c>
      <c r="AR346" s="107" t="inlineStr">
        <is>
          <t>Distress</t>
        </is>
      </c>
      <c r="AS346" s="108" t="n">
        <v>-0.05</v>
      </c>
      <c r="AT346" s="108" t="n">
        <v>0.31</v>
      </c>
      <c r="AU346" s="108" t="n">
        <v>0.09</v>
      </c>
      <c r="AV346" s="108" t="n">
        <v>0.5600000000000001</v>
      </c>
      <c r="AW346" s="107" t="n">
        <v>1.85</v>
      </c>
      <c r="AX346" s="107" t="inlineStr">
        <is>
          <t>Grey</t>
        </is>
      </c>
      <c r="AY346" s="108" t="n">
        <v>-0.05</v>
      </c>
      <c r="AZ346" s="108" t="n">
        <v>0.09</v>
      </c>
      <c r="BA346" s="108" t="n">
        <v>0.35</v>
      </c>
      <c r="BB346" s="108" t="n">
        <v>0.48</v>
      </c>
      <c r="BC346" s="107" t="n">
        <v>0.64</v>
      </c>
      <c r="BD346" s="107" t="inlineStr">
        <is>
          <t>Distress</t>
        </is>
      </c>
      <c r="BE346" s="108" t="n">
        <v>0.06</v>
      </c>
      <c r="BF346" s="108" t="n">
        <v>1</v>
      </c>
      <c r="BG346" s="108" t="n">
        <v>0.71</v>
      </c>
      <c r="BH346" s="108" t="n">
        <v>1.06</v>
      </c>
      <c r="BI346" s="107" t="n">
        <v>0.74</v>
      </c>
      <c r="BJ346" s="107" t="inlineStr">
        <is>
          <t>Distress</t>
        </is>
      </c>
      <c r="BK346" s="107" t="n">
        <v>1</v>
      </c>
      <c r="BL346" s="107" t="n">
        <v>1</v>
      </c>
      <c r="BM346" s="107" t="n">
        <v>1</v>
      </c>
      <c r="BN346" s="107" t="n">
        <v>1</v>
      </c>
      <c r="BO346" s="107" t="n">
        <v>1</v>
      </c>
      <c r="BP346" s="107" t="n">
        <v>0</v>
      </c>
      <c r="BQ346" s="107" t="n">
        <v>1</v>
      </c>
      <c r="BR346" s="107" t="n">
        <v>0</v>
      </c>
      <c r="BS346" s="107" t="n">
        <v>1</v>
      </c>
      <c r="BT346" s="107" t="n">
        <v>7</v>
      </c>
      <c r="BU346" s="107" t="inlineStr">
        <is>
          <t>Strong</t>
        </is>
      </c>
      <c r="BV346" s="108" t="n">
        <v>1</v>
      </c>
      <c r="BW346" s="111" t="inlineStr">
        <is>
          <t>N/A</t>
        </is>
      </c>
      <c r="BX346" s="108" t="n">
        <v>0.98</v>
      </c>
      <c r="BY346" s="108" t="n">
        <v>1.03</v>
      </c>
      <c r="BZ346" s="108" t="n">
        <v>1.04</v>
      </c>
      <c r="CA346" s="108" t="n">
        <v>1.01</v>
      </c>
      <c r="CB346" s="108" t="n">
        <v>1</v>
      </c>
      <c r="CC346" s="108" t="n">
        <v>-0.03</v>
      </c>
      <c r="CD346" s="111" t="inlineStr">
        <is>
          <t>N/A</t>
        </is>
      </c>
      <c r="CE346" s="111" t="inlineStr">
        <is>
          <t>N/A</t>
        </is>
      </c>
      <c r="CF346" s="108" t="n">
        <v>1.88</v>
      </c>
      <c r="CG346" s="108" t="n">
        <v>54.96</v>
      </c>
      <c r="CH346" s="107" t="n">
        <v>0</v>
      </c>
      <c r="CI346" s="107" t="inlineStr">
        <is>
          <t>CLEAR</t>
        </is>
      </c>
    </row>
    <row r="347" ht="17" customHeight="1">
      <c r="A347" s="103" t="inlineStr">
        <is>
          <t>EXR</t>
        </is>
      </c>
      <c r="B347" s="103" t="inlineStr">
        <is>
          <t>Extra Space Storage Inc.</t>
        </is>
      </c>
      <c r="C347" s="113" t="inlineStr">
        <is>
          <t>N/A</t>
        </is>
      </c>
      <c r="D347" s="105" t="n">
        <v>0.42</v>
      </c>
      <c r="E347" s="105" t="n">
        <v>0.27</v>
      </c>
      <c r="F347" s="105" t="n">
        <v>0.29</v>
      </c>
      <c r="G347" s="105" t="n">
        <v>0.03</v>
      </c>
      <c r="H347" s="105" t="n">
        <v>0.03</v>
      </c>
      <c r="I347" s="105" t="n">
        <v>0.07000000000000001</v>
      </c>
      <c r="J347" s="113" t="inlineStr">
        <is>
          <t>N/A</t>
        </is>
      </c>
      <c r="K347" s="105" t="n">
        <v>0.73</v>
      </c>
      <c r="L347" s="105" t="n">
        <v>0.74</v>
      </c>
      <c r="M347" s="105" t="n">
        <v>0.12</v>
      </c>
      <c r="N347" s="104" t="n">
        <v>0.11</v>
      </c>
      <c r="O347" s="113" t="inlineStr">
        <is>
          <t>N/A</t>
        </is>
      </c>
      <c r="P347" s="113" t="inlineStr">
        <is>
          <t>N/A</t>
        </is>
      </c>
      <c r="Q347" s="113" t="inlineStr">
        <is>
          <t>N/A</t>
        </is>
      </c>
      <c r="R347" s="113" t="inlineStr">
        <is>
          <t>N/A</t>
        </is>
      </c>
      <c r="S347" s="104" t="n">
        <v>0.51</v>
      </c>
      <c r="T347" s="104" t="n">
        <v>0.48</v>
      </c>
      <c r="U347" s="113" t="inlineStr">
        <is>
          <t>N/A</t>
        </is>
      </c>
      <c r="V347" s="113" t="inlineStr">
        <is>
          <t>N/A</t>
        </is>
      </c>
      <c r="W347" s="104" t="n">
        <v>1.9</v>
      </c>
      <c r="X347" s="105" t="n">
        <v>0.38</v>
      </c>
      <c r="Y347" s="105" t="n">
        <v>0</v>
      </c>
      <c r="Z347" s="105" t="n">
        <v>3.37</v>
      </c>
      <c r="AA347" s="105" t="n">
        <v>0.04</v>
      </c>
      <c r="AB347" s="105" t="n">
        <v>0.14</v>
      </c>
      <c r="AC347" s="104" t="n">
        <v>-0.03</v>
      </c>
      <c r="AD347" s="104" t="n">
        <v>-0.03</v>
      </c>
      <c r="AE347" s="113" t="inlineStr">
        <is>
          <t>N/A</t>
        </is>
      </c>
      <c r="AF347" s="104" t="n">
        <v>-0.05</v>
      </c>
      <c r="AG347" s="104" t="n">
        <v>0.05</v>
      </c>
      <c r="AH347" s="104" t="n">
        <v>0.9</v>
      </c>
      <c r="AI347" s="104" t="n">
        <v>0.12</v>
      </c>
      <c r="AJ347" s="113" t="inlineStr">
        <is>
          <t>N/A</t>
        </is>
      </c>
      <c r="AK347" s="113" t="inlineStr">
        <is>
          <t>N/A</t>
        </is>
      </c>
      <c r="AL347" s="113" t="inlineStr">
        <is>
          <t>N/A</t>
        </is>
      </c>
      <c r="AM347" s="104" t="n">
        <v>-0.05</v>
      </c>
      <c r="AN347" s="104" t="n">
        <v>0.05</v>
      </c>
      <c r="AO347" s="104" t="n">
        <v>0.9</v>
      </c>
      <c r="AP347" s="104" t="n">
        <v>0.12</v>
      </c>
      <c r="AQ347" s="113" t="inlineStr">
        <is>
          <t>N/A</t>
        </is>
      </c>
      <c r="AR347" s="113" t="inlineStr">
        <is>
          <t>N/A</t>
        </is>
      </c>
      <c r="AS347" s="113" t="inlineStr">
        <is>
          <t>N/A</t>
        </is>
      </c>
      <c r="AT347" s="104" t="n">
        <v>-0.05</v>
      </c>
      <c r="AU347" s="104" t="n">
        <v>0.05</v>
      </c>
      <c r="AV347" s="104" t="n">
        <v>0.9</v>
      </c>
      <c r="AW347" s="113" t="inlineStr">
        <is>
          <t>N/A</t>
        </is>
      </c>
      <c r="AX347" s="113" t="inlineStr">
        <is>
          <t>N/A</t>
        </is>
      </c>
      <c r="AY347" s="113" t="inlineStr">
        <is>
          <t>N/A</t>
        </is>
      </c>
      <c r="AZ347" s="104" t="n">
        <v>0.05</v>
      </c>
      <c r="BA347" s="113" t="inlineStr">
        <is>
          <t>N/A</t>
        </is>
      </c>
      <c r="BB347" s="104" t="n">
        <v>0.12</v>
      </c>
      <c r="BC347" s="113" t="inlineStr">
        <is>
          <t>N/A</t>
        </is>
      </c>
      <c r="BD347" s="113" t="inlineStr">
        <is>
          <t>N/A</t>
        </is>
      </c>
      <c r="BE347" s="104" t="n">
        <v>0.03</v>
      </c>
      <c r="BF347" s="104" t="n">
        <v>0.51</v>
      </c>
      <c r="BG347" s="113" t="inlineStr">
        <is>
          <t>N/A</t>
        </is>
      </c>
      <c r="BH347" s="113" t="inlineStr">
        <is>
          <t>N/A</t>
        </is>
      </c>
      <c r="BI347" s="113" t="inlineStr">
        <is>
          <t>N/A</t>
        </is>
      </c>
      <c r="BJ347" s="113" t="inlineStr">
        <is>
          <t>N/A</t>
        </is>
      </c>
      <c r="BK347" s="103" t="n">
        <v>1</v>
      </c>
      <c r="BL347" s="103" t="n">
        <v>1</v>
      </c>
      <c r="BM347" s="103" t="n">
        <v>1</v>
      </c>
      <c r="BN347" s="103" t="n">
        <v>1</v>
      </c>
      <c r="BO347" s="103" t="n">
        <v>0</v>
      </c>
      <c r="BP347" s="103" t="n">
        <v>0</v>
      </c>
      <c r="BQ347" s="103" t="n">
        <v>1</v>
      </c>
      <c r="BR347" s="103" t="n">
        <v>0</v>
      </c>
      <c r="BS347" s="103" t="n">
        <v>1</v>
      </c>
      <c r="BT347" s="103" t="n">
        <v>6</v>
      </c>
      <c r="BU347" s="103" t="inlineStr">
        <is>
          <t>Mixed</t>
        </is>
      </c>
      <c r="BV347" s="104" t="n">
        <v>1.06</v>
      </c>
      <c r="BW347" s="104" t="n">
        <v>1.02</v>
      </c>
      <c r="BX347" s="104" t="n">
        <v>1</v>
      </c>
      <c r="BY347" s="104" t="n">
        <v>1.04</v>
      </c>
      <c r="BZ347" s="104" t="n">
        <v>1.03</v>
      </c>
      <c r="CA347" s="104" t="n">
        <v>1.07</v>
      </c>
      <c r="CB347" s="104" t="n">
        <v>1.05</v>
      </c>
      <c r="CC347" s="104" t="n">
        <v>-0.03</v>
      </c>
      <c r="CD347" s="103" t="n">
        <v>-2.55</v>
      </c>
      <c r="CE347" s="103" t="inlineStr">
        <is>
          <t>Lower Risk</t>
        </is>
      </c>
      <c r="CF347" s="113" t="inlineStr">
        <is>
          <t>N/A</t>
        </is>
      </c>
      <c r="CG347" s="104" t="n">
        <v>47.77</v>
      </c>
      <c r="CH347" s="103" t="n">
        <v>0</v>
      </c>
      <c r="CI347" s="103" t="inlineStr">
        <is>
          <t>CLEAR</t>
        </is>
      </c>
    </row>
    <row r="348" ht="17" customHeight="1">
      <c r="A348" s="107" t="inlineStr">
        <is>
          <t>RGEN</t>
        </is>
      </c>
      <c r="B348" s="107" t="inlineStr">
        <is>
          <t>REPLIGEN CORP</t>
        </is>
      </c>
      <c r="C348" s="108" t="n">
        <v>1001559000</v>
      </c>
      <c r="D348" s="109" t="n">
        <v>0.39</v>
      </c>
      <c r="E348" s="109" t="n">
        <v>0.44</v>
      </c>
      <c r="F348" s="109" t="n">
        <v>0.35</v>
      </c>
      <c r="G348" s="109" t="n">
        <v>0.02</v>
      </c>
      <c r="H348" s="109" t="n">
        <v>-0.01</v>
      </c>
      <c r="I348" s="109" t="n">
        <v>0.02</v>
      </c>
      <c r="J348" s="109" t="n">
        <v>0.02</v>
      </c>
      <c r="K348" s="109" t="n">
        <v>0.43</v>
      </c>
      <c r="L348" s="109" t="n">
        <v>1.31</v>
      </c>
      <c r="M348" s="109" t="n">
        <v>0.05</v>
      </c>
      <c r="N348" s="108" t="n">
        <v>0.01</v>
      </c>
      <c r="O348" s="108" t="n">
        <v>8.369999999999999</v>
      </c>
      <c r="P348" s="108" t="n">
        <v>8.41</v>
      </c>
      <c r="Q348" s="108" t="n">
        <v>7.12</v>
      </c>
      <c r="R348" s="108" t="n">
        <v>4.17</v>
      </c>
      <c r="S348" s="108" t="n">
        <v>0.29</v>
      </c>
      <c r="T348" s="108" t="n">
        <v>0.3</v>
      </c>
      <c r="U348" s="108" t="n">
        <v>0.26</v>
      </c>
      <c r="V348" s="108" t="n">
        <v>-0.01</v>
      </c>
      <c r="W348" s="108" t="n">
        <v>2.4</v>
      </c>
      <c r="X348" s="109" t="n">
        <v>0.66</v>
      </c>
      <c r="Y348" s="109" t="n">
        <v>0.38</v>
      </c>
      <c r="Z348" s="109" t="n">
        <v>28.28</v>
      </c>
      <c r="AA348" s="109" t="n">
        <v>2.39</v>
      </c>
      <c r="AB348" s="109" t="n">
        <v>-2.92</v>
      </c>
      <c r="AC348" s="108" t="n">
        <v>-0.02</v>
      </c>
      <c r="AD348" s="108" t="n">
        <v>-0.02</v>
      </c>
      <c r="AE348" s="108" t="n">
        <v>0.34</v>
      </c>
      <c r="AF348" s="108" t="n">
        <v>0.15</v>
      </c>
      <c r="AG348" s="108" t="n">
        <v>0.02</v>
      </c>
      <c r="AH348" s="108" t="n">
        <v>2.5</v>
      </c>
      <c r="AI348" s="108" t="n">
        <v>0.05</v>
      </c>
      <c r="AJ348" s="108" t="n">
        <v>2.23</v>
      </c>
      <c r="AK348" s="106" t="inlineStr">
        <is>
          <t>Grey</t>
        </is>
      </c>
      <c r="AL348" s="108" t="n">
        <v>0.34</v>
      </c>
      <c r="AM348" s="108" t="n">
        <v>0.15</v>
      </c>
      <c r="AN348" s="108" t="n">
        <v>0.02</v>
      </c>
      <c r="AO348" s="108" t="n">
        <v>2.5</v>
      </c>
      <c r="AP348" s="108" t="n">
        <v>0.05</v>
      </c>
      <c r="AQ348" s="107" t="n">
        <v>1.53</v>
      </c>
      <c r="AR348" s="107" t="inlineStr">
        <is>
          <t>Grey</t>
        </is>
      </c>
      <c r="AS348" s="108" t="n">
        <v>0.34</v>
      </c>
      <c r="AT348" s="108" t="n">
        <v>0.15</v>
      </c>
      <c r="AU348" s="108" t="n">
        <v>0.02</v>
      </c>
      <c r="AV348" s="108" t="n">
        <v>2.5</v>
      </c>
      <c r="AW348" s="107" t="n">
        <v>5.48</v>
      </c>
      <c r="AX348" s="107" t="inlineStr">
        <is>
          <t>Safe</t>
        </is>
      </c>
      <c r="AY348" s="108" t="n">
        <v>0.34</v>
      </c>
      <c r="AZ348" s="108" t="n">
        <v>0.02</v>
      </c>
      <c r="BA348" s="108" t="n">
        <v>0.46</v>
      </c>
      <c r="BB348" s="108" t="n">
        <v>0.05</v>
      </c>
      <c r="BC348" s="107" t="n">
        <v>0.73</v>
      </c>
      <c r="BD348" s="107" t="inlineStr">
        <is>
          <t>Distress</t>
        </is>
      </c>
      <c r="BE348" s="108" t="n">
        <v>0.02</v>
      </c>
      <c r="BF348" s="108" t="n">
        <v>0.29</v>
      </c>
      <c r="BG348" s="108" t="n">
        <v>8.369999999999999</v>
      </c>
      <c r="BH348" s="108" t="n">
        <v>-2.75</v>
      </c>
      <c r="BI348" s="107" t="n">
        <v>0.06</v>
      </c>
      <c r="BJ348" s="107" t="inlineStr">
        <is>
          <t>Healthy</t>
        </is>
      </c>
      <c r="BK348" s="107" t="n">
        <v>1</v>
      </c>
      <c r="BL348" s="107" t="n">
        <v>1</v>
      </c>
      <c r="BM348" s="107" t="n">
        <v>1</v>
      </c>
      <c r="BN348" s="107" t="n">
        <v>1</v>
      </c>
      <c r="BO348" s="107" t="n">
        <v>1</v>
      </c>
      <c r="BP348" s="107" t="n">
        <v>0</v>
      </c>
      <c r="BQ348" s="107" t="n">
        <v>0</v>
      </c>
      <c r="BR348" s="107" t="n">
        <v>0</v>
      </c>
      <c r="BS348" s="107" t="n">
        <v>1</v>
      </c>
      <c r="BT348" s="107" t="n">
        <v>6</v>
      </c>
      <c r="BU348" s="107" t="inlineStr">
        <is>
          <t>Mixed</t>
        </is>
      </c>
      <c r="BV348" s="108" t="n">
        <v>0.35</v>
      </c>
      <c r="BW348" s="108" t="n">
        <v>3.05</v>
      </c>
      <c r="BX348" s="108" t="n">
        <v>1</v>
      </c>
      <c r="BY348" s="108" t="n">
        <v>3.39</v>
      </c>
      <c r="BZ348" s="108" t="n">
        <v>0.88</v>
      </c>
      <c r="CA348" s="108" t="n">
        <v>0.32</v>
      </c>
      <c r="CB348" s="108" t="n">
        <v>0.9399999999999999</v>
      </c>
      <c r="CC348" s="108" t="n">
        <v>-0.02</v>
      </c>
      <c r="CD348" s="107" t="n">
        <v>0.15</v>
      </c>
      <c r="CE348" s="107" t="inlineStr">
        <is>
          <t>Higher Risk</t>
        </is>
      </c>
      <c r="CF348" s="108" t="n">
        <v>-0.18</v>
      </c>
      <c r="CG348" s="108" t="n">
        <v>49.47</v>
      </c>
      <c r="CH348" s="107" t="n">
        <v>20</v>
      </c>
      <c r="CI348" s="107" t="inlineStr">
        <is>
          <t>CLEAR</t>
        </is>
      </c>
    </row>
    <row r="349" ht="17" customHeight="1">
      <c r="A349" s="103" t="inlineStr">
        <is>
          <t>MASI</t>
        </is>
      </c>
      <c r="B349" s="103" t="inlineStr">
        <is>
          <t>MASIMO CORP</t>
        </is>
      </c>
      <c r="C349" s="104" t="n">
        <v>554400000</v>
      </c>
      <c r="D349" s="105" t="n">
        <v>0.25</v>
      </c>
      <c r="E349" s="105" t="n">
        <v>0.22</v>
      </c>
      <c r="F349" s="105" t="n">
        <v>-0.12</v>
      </c>
      <c r="G349" s="105" t="n">
        <v>-0.09</v>
      </c>
      <c r="H349" s="105" t="n">
        <v>-0.12</v>
      </c>
      <c r="I349" s="105" t="n">
        <v>-0.21</v>
      </c>
      <c r="J349" s="105" t="n">
        <v>0.23</v>
      </c>
      <c r="K349" s="105" t="n">
        <v>0.76</v>
      </c>
      <c r="L349" s="105" t="n">
        <v>3.07</v>
      </c>
      <c r="M349" s="105" t="n">
        <v>0.73</v>
      </c>
      <c r="N349" s="104" t="n">
        <v>0.12</v>
      </c>
      <c r="O349" s="104" t="n">
        <v>2.49</v>
      </c>
      <c r="P349" s="104" t="n">
        <v>1.98</v>
      </c>
      <c r="Q349" s="104" t="n">
        <v>1.47</v>
      </c>
      <c r="R349" s="104" t="n">
        <v>0.41</v>
      </c>
      <c r="S349" s="104" t="n">
        <v>0.58</v>
      </c>
      <c r="T349" s="104" t="n">
        <v>0.6</v>
      </c>
      <c r="U349" s="104" t="n">
        <v>0.74</v>
      </c>
      <c r="V349" s="104" t="n">
        <v>0.52</v>
      </c>
      <c r="W349" s="104" t="n">
        <v>-1.44</v>
      </c>
      <c r="X349" s="105" t="n">
        <v>0.16</v>
      </c>
      <c r="Y349" s="105" t="n">
        <v>0.1</v>
      </c>
      <c r="Z349" s="105" t="n">
        <v>6.16</v>
      </c>
      <c r="AA349" s="105" t="n">
        <v>2.78</v>
      </c>
      <c r="AB349" s="105" t="n">
        <v>-0.5</v>
      </c>
      <c r="AC349" s="104" t="n">
        <v>-0.22</v>
      </c>
      <c r="AD349" s="104" t="n">
        <v>-0.22</v>
      </c>
      <c r="AE349" s="104" t="n">
        <v>0.33</v>
      </c>
      <c r="AF349" s="104" t="n">
        <v>0.79</v>
      </c>
      <c r="AG349" s="104" t="n">
        <v>0.18</v>
      </c>
      <c r="AH349" s="104" t="n">
        <v>0.74</v>
      </c>
      <c r="AI349" s="104" t="n">
        <v>0.73</v>
      </c>
      <c r="AJ349" s="104" t="n">
        <v>3.27</v>
      </c>
      <c r="AK349" s="110" t="inlineStr">
        <is>
          <t>Safe</t>
        </is>
      </c>
      <c r="AL349" s="104" t="n">
        <v>0.33</v>
      </c>
      <c r="AM349" s="104" t="n">
        <v>0.79</v>
      </c>
      <c r="AN349" s="104" t="n">
        <v>0.18</v>
      </c>
      <c r="AO349" s="104" t="n">
        <v>0.74</v>
      </c>
      <c r="AP349" s="104" t="n">
        <v>0.73</v>
      </c>
      <c r="AQ349" s="103" t="n">
        <v>2.51</v>
      </c>
      <c r="AR349" s="103" t="inlineStr">
        <is>
          <t>Grey</t>
        </is>
      </c>
      <c r="AS349" s="104" t="n">
        <v>0.33</v>
      </c>
      <c r="AT349" s="104" t="n">
        <v>0.79</v>
      </c>
      <c r="AU349" s="104" t="n">
        <v>0.18</v>
      </c>
      <c r="AV349" s="104" t="n">
        <v>0.74</v>
      </c>
      <c r="AW349" s="103" t="n">
        <v>6.71</v>
      </c>
      <c r="AX349" s="103" t="inlineStr">
        <is>
          <t>Safe</t>
        </is>
      </c>
      <c r="AY349" s="104" t="n">
        <v>0.33</v>
      </c>
      <c r="AZ349" s="104" t="n">
        <v>0.18</v>
      </c>
      <c r="BA349" s="104" t="n">
        <v>0.73</v>
      </c>
      <c r="BB349" s="104" t="n">
        <v>0.73</v>
      </c>
      <c r="BC349" s="103" t="n">
        <v>1.67</v>
      </c>
      <c r="BD349" s="103" t="inlineStr">
        <is>
          <t>Healthy</t>
        </is>
      </c>
      <c r="BE349" s="104" t="n">
        <v>-0.09</v>
      </c>
      <c r="BF349" s="104" t="n">
        <v>0.58</v>
      </c>
      <c r="BG349" s="104" t="n">
        <v>2.49</v>
      </c>
      <c r="BH349" s="104" t="n">
        <v>-0.66</v>
      </c>
      <c r="BI349" s="103" t="n">
        <v>0.34</v>
      </c>
      <c r="BJ349" s="103" t="inlineStr">
        <is>
          <t>Healthy</t>
        </is>
      </c>
      <c r="BK349" s="103" t="n">
        <v>0</v>
      </c>
      <c r="BL349" s="103" t="n">
        <v>1</v>
      </c>
      <c r="BM349" s="103" t="n">
        <v>1</v>
      </c>
      <c r="BN349" s="103" t="n">
        <v>1</v>
      </c>
      <c r="BO349" s="103" t="n">
        <v>0</v>
      </c>
      <c r="BP349" s="103" t="n">
        <v>1</v>
      </c>
      <c r="BQ349" s="103" t="n">
        <v>1</v>
      </c>
      <c r="BR349" s="103" t="n">
        <v>0</v>
      </c>
      <c r="BS349" s="103" t="n">
        <v>1</v>
      </c>
      <c r="BT349" s="103" t="n">
        <v>6</v>
      </c>
      <c r="BU349" s="103" t="inlineStr">
        <is>
          <t>Mixed</t>
        </is>
      </c>
      <c r="BV349" s="104" t="n">
        <v>0.26</v>
      </c>
      <c r="BW349" s="104" t="n">
        <v>4.02</v>
      </c>
      <c r="BX349" s="104" t="n">
        <v>0.63</v>
      </c>
      <c r="BY349" s="104" t="n">
        <v>3.78</v>
      </c>
      <c r="BZ349" s="104" t="n">
        <v>2.16</v>
      </c>
      <c r="CA349" s="104" t="n">
        <v>0.18</v>
      </c>
      <c r="CB349" s="104" t="n">
        <v>0.96</v>
      </c>
      <c r="CC349" s="104" t="n">
        <v>-0.22</v>
      </c>
      <c r="CD349" s="103" t="n">
        <v>0.04</v>
      </c>
      <c r="CE349" s="103" t="inlineStr">
        <is>
          <t>Higher Risk</t>
        </is>
      </c>
      <c r="CF349" s="104" t="n">
        <v>1.08</v>
      </c>
      <c r="CG349" s="104" t="n">
        <v>51.15</v>
      </c>
      <c r="CH349" s="112" t="n">
        <v>80</v>
      </c>
      <c r="CI349" s="103" t="inlineStr">
        <is>
          <t>RED FLAG</t>
        </is>
      </c>
    </row>
    <row r="350" ht="17" customHeight="1">
      <c r="A350" s="107" t="inlineStr">
        <is>
          <t>HRB</t>
        </is>
      </c>
      <c r="B350" s="107" t="inlineStr">
        <is>
          <t>H&amp;R Block, Inc.</t>
        </is>
      </c>
      <c r="C350" s="108" t="n">
        <v>-136062000</v>
      </c>
      <c r="D350" s="109" t="n">
        <v>0.24</v>
      </c>
      <c r="E350" s="109" t="n">
        <v>0.25</v>
      </c>
      <c r="F350" s="109" t="n">
        <v>0.19</v>
      </c>
      <c r="G350" s="109" t="n">
        <v>0.19</v>
      </c>
      <c r="H350" s="109" t="n">
        <v>0.18</v>
      </c>
      <c r="I350" s="109" t="n">
        <v>6.81</v>
      </c>
      <c r="J350" s="109" t="n">
        <v>0.39</v>
      </c>
      <c r="K350" s="109" t="n">
        <v>0.34</v>
      </c>
      <c r="L350" s="109" t="n">
        <v>0.17</v>
      </c>
      <c r="M350" s="109" t="n">
        <v>0.97</v>
      </c>
      <c r="N350" s="108" t="n">
        <v>0.74</v>
      </c>
      <c r="O350" s="108" t="n">
        <v>0.9</v>
      </c>
      <c r="P350" s="108" t="n">
        <v>1.27</v>
      </c>
      <c r="Q350" s="108" t="n">
        <v>0.9</v>
      </c>
      <c r="R350" s="108" t="n">
        <v>0.76</v>
      </c>
      <c r="S350" s="108" t="n">
        <v>0.97</v>
      </c>
      <c r="T350" s="108" t="n">
        <v>0.97</v>
      </c>
      <c r="U350" s="108" t="n">
        <v>16.81</v>
      </c>
      <c r="V350" s="108" t="n">
        <v>5.75</v>
      </c>
      <c r="W350" s="108" t="n">
        <v>1.12</v>
      </c>
      <c r="X350" s="109" t="n">
        <v>0.19</v>
      </c>
      <c r="Y350" s="111" t="inlineStr">
        <is>
          <t>N/A</t>
        </is>
      </c>
      <c r="Z350" s="109" t="n">
        <v>16.62</v>
      </c>
      <c r="AA350" s="109" t="n">
        <v>0.32</v>
      </c>
      <c r="AB350" s="109" t="n">
        <v>0.02</v>
      </c>
      <c r="AC350" s="108" t="n">
        <v>-0.02</v>
      </c>
      <c r="AD350" s="108" t="n">
        <v>-0.02</v>
      </c>
      <c r="AE350" s="108" t="n">
        <v>-0.04</v>
      </c>
      <c r="AF350" s="108" t="n">
        <v>0</v>
      </c>
      <c r="AG350" s="108" t="n">
        <v>0.23</v>
      </c>
      <c r="AH350" s="108" t="n">
        <v>0.03</v>
      </c>
      <c r="AI350" s="108" t="n">
        <v>0.97</v>
      </c>
      <c r="AJ350" s="108" t="n">
        <v>1.71</v>
      </c>
      <c r="AK350" s="112" t="inlineStr">
        <is>
          <t>Distress</t>
        </is>
      </c>
      <c r="AL350" s="108" t="n">
        <v>-0.04</v>
      </c>
      <c r="AM350" s="108" t="n">
        <v>0</v>
      </c>
      <c r="AN350" s="108" t="n">
        <v>0.23</v>
      </c>
      <c r="AO350" s="108" t="n">
        <v>0.03</v>
      </c>
      <c r="AP350" s="108" t="n">
        <v>0.97</v>
      </c>
      <c r="AQ350" s="107" t="n">
        <v>1.68</v>
      </c>
      <c r="AR350" s="107" t="inlineStr">
        <is>
          <t>Grey</t>
        </is>
      </c>
      <c r="AS350" s="108" t="n">
        <v>-0.04</v>
      </c>
      <c r="AT350" s="108" t="n">
        <v>0</v>
      </c>
      <c r="AU350" s="108" t="n">
        <v>0.23</v>
      </c>
      <c r="AV350" s="108" t="n">
        <v>0.03</v>
      </c>
      <c r="AW350" s="107" t="n">
        <v>1.34</v>
      </c>
      <c r="AX350" s="107" t="inlineStr">
        <is>
          <t>Grey</t>
        </is>
      </c>
      <c r="AY350" s="108" t="n">
        <v>-0.04</v>
      </c>
      <c r="AZ350" s="108" t="n">
        <v>0.23</v>
      </c>
      <c r="BA350" s="108" t="n">
        <v>0.6</v>
      </c>
      <c r="BB350" s="108" t="n">
        <v>0.97</v>
      </c>
      <c r="BC350" s="107" t="n">
        <v>1.46</v>
      </c>
      <c r="BD350" s="107" t="inlineStr">
        <is>
          <t>Healthy</t>
        </is>
      </c>
      <c r="BE350" s="108" t="n">
        <v>0.19</v>
      </c>
      <c r="BF350" s="108" t="n">
        <v>0.97</v>
      </c>
      <c r="BG350" s="108" t="n">
        <v>0.9</v>
      </c>
      <c r="BH350" s="108" t="n">
        <v>0.35</v>
      </c>
      <c r="BI350" s="107" t="n">
        <v>0.59</v>
      </c>
      <c r="BJ350" s="107" t="inlineStr">
        <is>
          <t>Distress</t>
        </is>
      </c>
      <c r="BK350" s="107" t="n">
        <v>1</v>
      </c>
      <c r="BL350" s="107" t="n">
        <v>1</v>
      </c>
      <c r="BM350" s="107" t="n">
        <v>1</v>
      </c>
      <c r="BN350" s="107" t="n">
        <v>1</v>
      </c>
      <c r="BO350" s="107" t="n">
        <v>1</v>
      </c>
      <c r="BP350" s="107" t="n">
        <v>0</v>
      </c>
      <c r="BQ350" s="107" t="n">
        <v>1</v>
      </c>
      <c r="BR350" s="107" t="n">
        <v>1</v>
      </c>
      <c r="BS350" s="107" t="n">
        <v>1</v>
      </c>
      <c r="BT350" s="107" t="n">
        <v>8</v>
      </c>
      <c r="BU350" s="107" t="inlineStr">
        <is>
          <t>Strong</t>
        </is>
      </c>
      <c r="BV350" s="108" t="n">
        <v>0.7</v>
      </c>
      <c r="BW350" s="108" t="n">
        <v>0.49</v>
      </c>
      <c r="BX350" s="108" t="n">
        <v>1.05</v>
      </c>
      <c r="BY350" s="108" t="n">
        <v>1.32</v>
      </c>
      <c r="BZ350" s="108" t="n">
        <v>0.95</v>
      </c>
      <c r="CA350" s="108" t="n">
        <v>0.79</v>
      </c>
      <c r="CB350" s="108" t="n">
        <v>1</v>
      </c>
      <c r="CC350" s="108" t="n">
        <v>-0.02</v>
      </c>
      <c r="CD350" s="107" t="n">
        <v>-2.8</v>
      </c>
      <c r="CE350" s="107" t="inlineStr">
        <is>
          <t>Lower Risk</t>
        </is>
      </c>
      <c r="CF350" s="108" t="n">
        <v>0.61</v>
      </c>
      <c r="CG350" s="108" t="n">
        <v>60.48</v>
      </c>
      <c r="CH350" s="107" t="n">
        <v>0</v>
      </c>
      <c r="CI350" s="107" t="inlineStr">
        <is>
          <t>CLEAR</t>
        </is>
      </c>
    </row>
    <row r="351" ht="17" customHeight="1">
      <c r="A351" s="103" t="inlineStr">
        <is>
          <t>MYRG</t>
        </is>
      </c>
      <c r="B351" s="103" t="inlineStr">
        <is>
          <t>MYR GROUP INC.</t>
        </is>
      </c>
      <c r="C351" s="104" t="n">
        <v>265484000</v>
      </c>
      <c r="D351" s="105" t="n">
        <v>0.11</v>
      </c>
      <c r="E351" s="105" t="n">
        <v>0.11</v>
      </c>
      <c r="F351" s="105" t="n">
        <v>0.08</v>
      </c>
      <c r="G351" s="105" t="n">
        <v>0.07000000000000001</v>
      </c>
      <c r="H351" s="105" t="n">
        <v>0.02</v>
      </c>
      <c r="I351" s="105" t="n">
        <v>0.18</v>
      </c>
      <c r="J351" s="105" t="n">
        <v>0.2</v>
      </c>
      <c r="K351" s="105" t="n">
        <v>0.28</v>
      </c>
      <c r="L351" s="105" t="n">
        <v>0.19</v>
      </c>
      <c r="M351" s="105" t="n">
        <v>0.93</v>
      </c>
      <c r="N351" s="104" t="n">
        <v>0.97</v>
      </c>
      <c r="O351" s="104" t="n">
        <v>1.33</v>
      </c>
      <c r="P351" s="104" t="n">
        <v>1.35</v>
      </c>
      <c r="Q351" s="104" t="n">
        <v>1.33</v>
      </c>
      <c r="R351" s="104" t="n">
        <v>0.19</v>
      </c>
      <c r="S351" s="104" t="n">
        <v>0.6</v>
      </c>
      <c r="T351" s="104" t="n">
        <v>0.62</v>
      </c>
      <c r="U351" s="104" t="n">
        <v>0.1</v>
      </c>
      <c r="V351" s="104" t="n">
        <v>-0.12</v>
      </c>
      <c r="W351" s="104" t="n">
        <v>2.76</v>
      </c>
      <c r="X351" s="105" t="n">
        <v>0.15</v>
      </c>
      <c r="Y351" s="105" t="n">
        <v>0</v>
      </c>
      <c r="Z351" s="105" t="n">
        <v>29.55</v>
      </c>
      <c r="AA351" s="105" t="n">
        <v>0</v>
      </c>
      <c r="AB351" s="105" t="n">
        <v>2.91</v>
      </c>
      <c r="AC351" s="104" t="n">
        <v>-0.13</v>
      </c>
      <c r="AD351" s="104" t="n">
        <v>-0.13</v>
      </c>
      <c r="AE351" s="104" t="n">
        <v>0.16</v>
      </c>
      <c r="AF351" s="104" t="n">
        <v>0.31</v>
      </c>
      <c r="AG351" s="104" t="n">
        <v>0.1</v>
      </c>
      <c r="AH351" s="104" t="n">
        <v>0.67</v>
      </c>
      <c r="AI351" s="104" t="n">
        <v>0.93</v>
      </c>
      <c r="AJ351" s="104" t="n">
        <v>2.29</v>
      </c>
      <c r="AK351" s="106" t="inlineStr">
        <is>
          <t>Grey</t>
        </is>
      </c>
      <c r="AL351" s="104" t="n">
        <v>0.16</v>
      </c>
      <c r="AM351" s="104" t="n">
        <v>0.31</v>
      </c>
      <c r="AN351" s="104" t="n">
        <v>0.1</v>
      </c>
      <c r="AO351" s="104" t="n">
        <v>0.67</v>
      </c>
      <c r="AP351" s="104" t="n">
        <v>0.93</v>
      </c>
      <c r="AQ351" s="103" t="n">
        <v>1.9</v>
      </c>
      <c r="AR351" s="103" t="inlineStr">
        <is>
          <t>Grey</t>
        </is>
      </c>
      <c r="AS351" s="104" t="n">
        <v>0.16</v>
      </c>
      <c r="AT351" s="104" t="n">
        <v>0.31</v>
      </c>
      <c r="AU351" s="104" t="n">
        <v>0.1</v>
      </c>
      <c r="AV351" s="104" t="n">
        <v>0.67</v>
      </c>
      <c r="AW351" s="103" t="n">
        <v>3.44</v>
      </c>
      <c r="AX351" s="103" t="inlineStr">
        <is>
          <t>Safe</t>
        </is>
      </c>
      <c r="AY351" s="104" t="n">
        <v>0.16</v>
      </c>
      <c r="AZ351" s="104" t="n">
        <v>0.1</v>
      </c>
      <c r="BA351" s="104" t="n">
        <v>0.2</v>
      </c>
      <c r="BB351" s="104" t="n">
        <v>0.93</v>
      </c>
      <c r="BC351" s="103" t="n">
        <v>0.98</v>
      </c>
      <c r="BD351" s="103" t="inlineStr">
        <is>
          <t>Healthy</t>
        </is>
      </c>
      <c r="BE351" s="104" t="n">
        <v>0.07000000000000001</v>
      </c>
      <c r="BF351" s="104" t="n">
        <v>0.6</v>
      </c>
      <c r="BG351" s="104" t="n">
        <v>1.33</v>
      </c>
      <c r="BH351" s="104" t="n">
        <v>-1.26</v>
      </c>
      <c r="BI351" s="103" t="n">
        <v>0.22</v>
      </c>
      <c r="BJ351" s="103" t="inlineStr">
        <is>
          <t>Healthy</t>
        </is>
      </c>
      <c r="BK351" s="103" t="n">
        <v>1</v>
      </c>
      <c r="BL351" s="103" t="n">
        <v>1</v>
      </c>
      <c r="BM351" s="103" t="n">
        <v>1</v>
      </c>
      <c r="BN351" s="103" t="n">
        <v>1</v>
      </c>
      <c r="BO351" s="103" t="n">
        <v>1</v>
      </c>
      <c r="BP351" s="103" t="n">
        <v>0</v>
      </c>
      <c r="BQ351" s="103" t="n">
        <v>1</v>
      </c>
      <c r="BR351" s="103" t="n">
        <v>1</v>
      </c>
      <c r="BS351" s="103" t="n">
        <v>0</v>
      </c>
      <c r="BT351" s="103" t="n">
        <v>7</v>
      </c>
      <c r="BU351" s="103" t="inlineStr">
        <is>
          <t>Strong</t>
        </is>
      </c>
      <c r="BV351" s="104" t="n">
        <v>0.92</v>
      </c>
      <c r="BW351" s="104" t="n">
        <v>0.6899999999999999</v>
      </c>
      <c r="BX351" s="104" t="n">
        <v>0.96</v>
      </c>
      <c r="BY351" s="104" t="n">
        <v>1</v>
      </c>
      <c r="BZ351" s="104" t="n">
        <v>1.09</v>
      </c>
      <c r="CA351" s="104" t="n">
        <v>1.08</v>
      </c>
      <c r="CB351" s="104" t="n">
        <v>0.97</v>
      </c>
      <c r="CC351" s="104" t="n">
        <v>-0.13</v>
      </c>
      <c r="CD351" s="103" t="n">
        <v>-3.32</v>
      </c>
      <c r="CE351" s="103" t="inlineStr">
        <is>
          <t>Lower Risk</t>
        </is>
      </c>
      <c r="CF351" s="104" t="n">
        <v>-0.35</v>
      </c>
      <c r="CG351" s="104" t="n">
        <v>57.79</v>
      </c>
      <c r="CH351" s="103" t="n">
        <v>20</v>
      </c>
      <c r="CI351" s="103" t="inlineStr">
        <is>
          <t>CLEAR</t>
        </is>
      </c>
    </row>
    <row r="352" ht="17" customHeight="1">
      <c r="A352" s="107" t="inlineStr">
        <is>
          <t>KYMR</t>
        </is>
      </c>
      <c r="B352" s="107" t="inlineStr">
        <is>
          <t>KYMERA THERAPEUTICS, INC.</t>
        </is>
      </c>
      <c r="C352" s="108" t="n">
        <v>788002000</v>
      </c>
      <c r="D352" s="109" t="n">
        <v>-8.91</v>
      </c>
      <c r="E352" s="109" t="n">
        <v>-7.94</v>
      </c>
      <c r="F352" s="109" t="n">
        <v>-7.94</v>
      </c>
      <c r="G352" s="109" t="n">
        <v>-0.18</v>
      </c>
      <c r="H352" s="109" t="n">
        <v>-0.23</v>
      </c>
      <c r="I352" s="109" t="n">
        <v>-0.2</v>
      </c>
      <c r="J352" s="109" t="n">
        <v>-0.21</v>
      </c>
      <c r="K352" s="109" t="n">
        <v>0</v>
      </c>
      <c r="L352" s="109" t="n">
        <v>0</v>
      </c>
      <c r="M352" s="109" t="n">
        <v>0.02</v>
      </c>
      <c r="N352" s="108" t="n">
        <v>0.05</v>
      </c>
      <c r="O352" s="108" t="n">
        <v>10.47</v>
      </c>
      <c r="P352" s="108" t="n">
        <v>7.53</v>
      </c>
      <c r="Q352" s="108" t="n">
        <v>10.47</v>
      </c>
      <c r="R352" s="108" t="n">
        <v>4.29</v>
      </c>
      <c r="S352" s="108" t="n">
        <v>0.09</v>
      </c>
      <c r="T352" s="108" t="n">
        <v>0.15</v>
      </c>
      <c r="U352" s="111" t="inlineStr">
        <is>
          <t>N/A</t>
        </is>
      </c>
      <c r="V352" s="111" t="inlineStr">
        <is>
          <t>N/A</t>
        </is>
      </c>
      <c r="W352" s="108" t="n">
        <v>0.75</v>
      </c>
      <c r="X352" s="109" t="n">
        <v>-5.98</v>
      </c>
      <c r="Y352" s="109" t="n">
        <v>8.07</v>
      </c>
      <c r="Z352" s="111" t="inlineStr">
        <is>
          <t>N/A</t>
        </is>
      </c>
      <c r="AA352" s="109" t="n">
        <v>-0.17</v>
      </c>
      <c r="AB352" s="109" t="n">
        <v>0.39</v>
      </c>
      <c r="AC352" s="108" t="n">
        <v>-0.05</v>
      </c>
      <c r="AD352" s="108" t="n">
        <v>-0.05</v>
      </c>
      <c r="AE352" s="108" t="n">
        <v>0.45</v>
      </c>
      <c r="AF352" s="108" t="n">
        <v>-0.61</v>
      </c>
      <c r="AG352" s="108" t="n">
        <v>-0.2</v>
      </c>
      <c r="AH352" s="108" t="n">
        <v>9.68</v>
      </c>
      <c r="AI352" s="108" t="n">
        <v>0.02</v>
      </c>
      <c r="AJ352" s="108" t="n">
        <v>4.86</v>
      </c>
      <c r="AK352" s="110" t="inlineStr">
        <is>
          <t>Safe</t>
        </is>
      </c>
      <c r="AL352" s="108" t="n">
        <v>0.45</v>
      </c>
      <c r="AM352" s="108" t="n">
        <v>-0.61</v>
      </c>
      <c r="AN352" s="108" t="n">
        <v>-0.2</v>
      </c>
      <c r="AO352" s="108" t="n">
        <v>9.68</v>
      </c>
      <c r="AP352" s="108" t="n">
        <v>0.02</v>
      </c>
      <c r="AQ352" s="107" t="n">
        <v>3.27</v>
      </c>
      <c r="AR352" s="107" t="inlineStr">
        <is>
          <t>Safe</t>
        </is>
      </c>
      <c r="AS352" s="108" t="n">
        <v>0.45</v>
      </c>
      <c r="AT352" s="108" t="n">
        <v>-0.61</v>
      </c>
      <c r="AU352" s="108" t="n">
        <v>-0.2</v>
      </c>
      <c r="AV352" s="108" t="n">
        <v>9.68</v>
      </c>
      <c r="AW352" s="107" t="n">
        <v>9.789999999999999</v>
      </c>
      <c r="AX352" s="107" t="inlineStr">
        <is>
          <t>Safe</t>
        </is>
      </c>
      <c r="AY352" s="108" t="n">
        <v>0.45</v>
      </c>
      <c r="AZ352" s="108" t="n">
        <v>-0.2</v>
      </c>
      <c r="BA352" s="108" t="n">
        <v>-3.74</v>
      </c>
      <c r="BB352" s="108" t="n">
        <v>0.02</v>
      </c>
      <c r="BC352" s="107" t="n">
        <v>-2.61</v>
      </c>
      <c r="BD352" s="107" t="inlineStr">
        <is>
          <t>Distress</t>
        </is>
      </c>
      <c r="BE352" s="108" t="n">
        <v>-0.18</v>
      </c>
      <c r="BF352" s="108" t="n">
        <v>0.09</v>
      </c>
      <c r="BG352" s="108" t="n">
        <v>10.47</v>
      </c>
      <c r="BH352" s="108" t="n">
        <v>-2.96</v>
      </c>
      <c r="BI352" s="107" t="n">
        <v>0.05</v>
      </c>
      <c r="BJ352" s="107" t="inlineStr">
        <is>
          <t>Healthy</t>
        </is>
      </c>
      <c r="BK352" s="107" t="n">
        <v>0</v>
      </c>
      <c r="BL352" s="107" t="n">
        <v>0</v>
      </c>
      <c r="BM352" s="107" t="n">
        <v>1</v>
      </c>
      <c r="BN352" s="107" t="n">
        <v>1</v>
      </c>
      <c r="BO352" s="107" t="n">
        <v>0</v>
      </c>
      <c r="BP352" s="107" t="n">
        <v>1</v>
      </c>
      <c r="BQ352" s="107" t="n">
        <v>0</v>
      </c>
      <c r="BR352" s="107" t="n">
        <v>0</v>
      </c>
      <c r="BS352" s="107" t="n">
        <v>0</v>
      </c>
      <c r="BT352" s="107" t="n">
        <v>3</v>
      </c>
      <c r="BU352" s="107" t="inlineStr">
        <is>
          <t>Weak</t>
        </is>
      </c>
      <c r="BV352" s="108" t="n">
        <v>0</v>
      </c>
      <c r="BW352" s="111" t="inlineStr">
        <is>
          <t>N/A</t>
        </is>
      </c>
      <c r="BX352" s="108" t="n">
        <v>1.11</v>
      </c>
      <c r="BY352" s="108" t="n">
        <v>0.83</v>
      </c>
      <c r="BZ352" s="108" t="n">
        <v>0.79</v>
      </c>
      <c r="CA352" s="108" t="n">
        <v>1.29</v>
      </c>
      <c r="CB352" s="108" t="n">
        <v>0.64</v>
      </c>
      <c r="CC352" s="108" t="n">
        <v>-0.05</v>
      </c>
      <c r="CD352" s="111" t="inlineStr">
        <is>
          <t>N/A</t>
        </is>
      </c>
      <c r="CE352" s="111" t="inlineStr">
        <is>
          <t>N/A</t>
        </is>
      </c>
      <c r="CF352" s="111" t="inlineStr">
        <is>
          <t>N/A</t>
        </is>
      </c>
      <c r="CG352" s="108" t="n">
        <v>50.06</v>
      </c>
      <c r="CH352" s="107" t="n">
        <v>0</v>
      </c>
      <c r="CI352" s="107" t="inlineStr">
        <is>
          <t>CLEAR</t>
        </is>
      </c>
    </row>
    <row r="353" ht="17" customHeight="1">
      <c r="A353" s="103" t="inlineStr">
        <is>
          <t>APPF</t>
        </is>
      </c>
      <c r="B353" s="103" t="inlineStr">
        <is>
          <t>AppFolio, Inc.</t>
        </is>
      </c>
      <c r="C353" s="104" t="n">
        <v>246467000</v>
      </c>
      <c r="D353" s="105" t="n">
        <v>0.16</v>
      </c>
      <c r="E353" s="105" t="n">
        <v>0.17</v>
      </c>
      <c r="F353" s="105" t="n">
        <v>0.15</v>
      </c>
      <c r="G353" s="105" t="n">
        <v>0.2</v>
      </c>
      <c r="H353" s="105" t="n">
        <v>0.33</v>
      </c>
      <c r="I353" s="105" t="n">
        <v>0.26</v>
      </c>
      <c r="J353" s="105" t="n">
        <v>0.26</v>
      </c>
      <c r="K353" s="105" t="n">
        <v>0.85</v>
      </c>
      <c r="L353" s="105" t="n">
        <v>0.85</v>
      </c>
      <c r="M353" s="105" t="n">
        <v>1.38</v>
      </c>
      <c r="N353" s="104" t="n">
        <v>1.27</v>
      </c>
      <c r="O353" s="104" t="n">
        <v>3.31</v>
      </c>
      <c r="P353" s="104" t="n">
        <v>5.3</v>
      </c>
      <c r="Q353" s="104" t="n">
        <v>3.31</v>
      </c>
      <c r="R353" s="104" t="n">
        <v>1</v>
      </c>
      <c r="S353" s="104" t="n">
        <v>0.21</v>
      </c>
      <c r="T353" s="104" t="n">
        <v>0.17</v>
      </c>
      <c r="U353" s="104" t="n">
        <v>0.09</v>
      </c>
      <c r="V353" s="104" t="n">
        <v>-0.11</v>
      </c>
      <c r="W353" s="104" t="n">
        <v>1.72</v>
      </c>
      <c r="X353" s="105" t="n">
        <v>0.25</v>
      </c>
      <c r="Y353" s="105" t="n">
        <v>0.2</v>
      </c>
      <c r="Z353" s="105" t="n">
        <v>191.15</v>
      </c>
      <c r="AA353" s="105" t="n">
        <v>0.2</v>
      </c>
      <c r="AB353" s="105" t="n">
        <v>-0.31</v>
      </c>
      <c r="AC353" s="104" t="n">
        <v>-0.15</v>
      </c>
      <c r="AD353" s="104" t="n">
        <v>-0.15</v>
      </c>
      <c r="AE353" s="104" t="n">
        <v>0.36</v>
      </c>
      <c r="AF353" s="104" t="n">
        <v>0.63</v>
      </c>
      <c r="AG353" s="104" t="n">
        <v>0.22</v>
      </c>
      <c r="AH353" s="104" t="n">
        <v>3.71</v>
      </c>
      <c r="AI353" s="104" t="n">
        <v>1.38</v>
      </c>
      <c r="AJ353" s="104" t="n">
        <v>5.64</v>
      </c>
      <c r="AK353" s="110" t="inlineStr">
        <is>
          <t>Safe</t>
        </is>
      </c>
      <c r="AL353" s="104" t="n">
        <v>0.36</v>
      </c>
      <c r="AM353" s="104" t="n">
        <v>0.63</v>
      </c>
      <c r="AN353" s="104" t="n">
        <v>0.22</v>
      </c>
      <c r="AO353" s="104" t="n">
        <v>3.71</v>
      </c>
      <c r="AP353" s="104" t="n">
        <v>1.38</v>
      </c>
      <c r="AQ353" s="103" t="n">
        <v>4.41</v>
      </c>
      <c r="AR353" s="103" t="inlineStr">
        <is>
          <t>Safe</t>
        </is>
      </c>
      <c r="AS353" s="104" t="n">
        <v>0.36</v>
      </c>
      <c r="AT353" s="104" t="n">
        <v>0.63</v>
      </c>
      <c r="AU353" s="104" t="n">
        <v>0.22</v>
      </c>
      <c r="AV353" s="104" t="n">
        <v>3.71</v>
      </c>
      <c r="AW353" s="103" t="n">
        <v>9.77</v>
      </c>
      <c r="AX353" s="103" t="inlineStr">
        <is>
          <t>Safe</t>
        </is>
      </c>
      <c r="AY353" s="104" t="n">
        <v>0.36</v>
      </c>
      <c r="AZ353" s="104" t="n">
        <v>0.22</v>
      </c>
      <c r="BA353" s="104" t="n">
        <v>1.51</v>
      </c>
      <c r="BB353" s="104" t="n">
        <v>1.38</v>
      </c>
      <c r="BC353" s="103" t="n">
        <v>2.6</v>
      </c>
      <c r="BD353" s="103" t="inlineStr">
        <is>
          <t>Healthy</t>
        </is>
      </c>
      <c r="BE353" s="104" t="n">
        <v>0.2</v>
      </c>
      <c r="BF353" s="104" t="n">
        <v>0.21</v>
      </c>
      <c r="BG353" s="104" t="n">
        <v>3.31</v>
      </c>
      <c r="BH353" s="104" t="n">
        <v>-4.04</v>
      </c>
      <c r="BI353" s="103" t="n">
        <v>0.02</v>
      </c>
      <c r="BJ353" s="103" t="inlineStr">
        <is>
          <t>Healthy</t>
        </is>
      </c>
      <c r="BK353" s="103" t="n">
        <v>1</v>
      </c>
      <c r="BL353" s="103" t="n">
        <v>1</v>
      </c>
      <c r="BM353" s="103" t="n">
        <v>0</v>
      </c>
      <c r="BN353" s="103" t="n">
        <v>1</v>
      </c>
      <c r="BO353" s="103" t="n">
        <v>1</v>
      </c>
      <c r="BP353" s="103" t="n">
        <v>0</v>
      </c>
      <c r="BQ353" s="103" t="n">
        <v>0</v>
      </c>
      <c r="BR353" s="103" t="n">
        <v>0</v>
      </c>
      <c r="BS353" s="103" t="n">
        <v>1</v>
      </c>
      <c r="BT353" s="103" t="n">
        <v>5</v>
      </c>
      <c r="BU353" s="103" t="inlineStr">
        <is>
          <t>Mixed</t>
        </is>
      </c>
      <c r="BV353" s="104" t="n">
        <v>1.27</v>
      </c>
      <c r="BW353" s="104" t="n">
        <v>1</v>
      </c>
      <c r="BX353" s="104" t="n">
        <v>1.07</v>
      </c>
      <c r="BY353" s="104" t="n">
        <v>1.2</v>
      </c>
      <c r="BZ353" s="104" t="n">
        <v>0.85</v>
      </c>
      <c r="CA353" s="104" t="n">
        <v>0.93</v>
      </c>
      <c r="CB353" s="104" t="n">
        <v>1.24</v>
      </c>
      <c r="CC353" s="104" t="n">
        <v>-0.15</v>
      </c>
      <c r="CD353" s="103" t="n">
        <v>-2.8</v>
      </c>
      <c r="CE353" s="103" t="inlineStr">
        <is>
          <t>Lower Risk</t>
        </is>
      </c>
      <c r="CF353" s="104" t="n">
        <v>-0.34</v>
      </c>
      <c r="CG353" s="104" t="n">
        <v>61.1</v>
      </c>
      <c r="CH353" s="103" t="n">
        <v>20</v>
      </c>
      <c r="CI353" s="103" t="inlineStr">
        <is>
          <t>CLEAR</t>
        </is>
      </c>
    </row>
    <row r="354" ht="17" customHeight="1">
      <c r="A354" s="107" t="inlineStr">
        <is>
          <t>TJX</t>
        </is>
      </c>
      <c r="B354" s="107" t="inlineStr">
        <is>
          <t>THE TJX COMPANIES, INC.</t>
        </is>
      </c>
      <c r="C354" s="108" t="n">
        <v>1841000000</v>
      </c>
      <c r="D354" s="109" t="n">
        <v>0.16</v>
      </c>
      <c r="E354" s="109" t="n">
        <v>0.25</v>
      </c>
      <c r="F354" s="109" t="n">
        <v>0.19</v>
      </c>
      <c r="G354" s="109" t="n">
        <v>0.15</v>
      </c>
      <c r="H354" s="109" t="n">
        <v>0.15</v>
      </c>
      <c r="I354" s="109" t="n">
        <v>0.54</v>
      </c>
      <c r="J354" s="109" t="n">
        <v>0.21</v>
      </c>
      <c r="K354" s="109" t="n">
        <v>0.11</v>
      </c>
      <c r="L354" s="109" t="n">
        <v>0.37</v>
      </c>
      <c r="M354" s="109" t="n">
        <v>0.8100000000000001</v>
      </c>
      <c r="N354" s="108" t="n">
        <v>0.26</v>
      </c>
      <c r="O354" s="108" t="n">
        <v>1.14</v>
      </c>
      <c r="P354" s="108" t="n">
        <v>1.18</v>
      </c>
      <c r="Q354" s="108" t="n">
        <v>0.59</v>
      </c>
      <c r="R354" s="108" t="n">
        <v>0.47</v>
      </c>
      <c r="S354" s="108" t="n">
        <v>1</v>
      </c>
      <c r="T354" s="108" t="n">
        <v>1</v>
      </c>
      <c r="U354" s="108" t="n">
        <v>0.28</v>
      </c>
      <c r="V354" s="108" t="n">
        <v>-0.33</v>
      </c>
      <c r="W354" s="108" t="n">
        <v>1.25</v>
      </c>
      <c r="X354" s="109" t="n">
        <v>0.17</v>
      </c>
      <c r="Y354" s="111" t="inlineStr">
        <is>
          <t>N/A</t>
        </is>
      </c>
      <c r="Z354" s="109" t="n">
        <v>60.29</v>
      </c>
      <c r="AA354" s="109" t="n">
        <v>2.5</v>
      </c>
      <c r="AB354" s="109" t="n">
        <v>0.13</v>
      </c>
      <c r="AC354" s="108" t="n">
        <v>-0.04</v>
      </c>
      <c r="AD354" s="108" t="n">
        <v>-0.04</v>
      </c>
      <c r="AE354" s="108" t="n">
        <v>0.05</v>
      </c>
      <c r="AF354" s="108" t="n">
        <v>0.26</v>
      </c>
      <c r="AG354" s="108" t="n">
        <v>0.13</v>
      </c>
      <c r="AH354" s="108" t="n">
        <v>0.28</v>
      </c>
      <c r="AI354" s="108" t="n">
        <v>0.8100000000000001</v>
      </c>
      <c r="AJ354" s="108" t="n">
        <v>1.85</v>
      </c>
      <c r="AK354" s="106" t="inlineStr">
        <is>
          <t>Grey</t>
        </is>
      </c>
      <c r="AL354" s="108" t="n">
        <v>0.05</v>
      </c>
      <c r="AM354" s="108" t="n">
        <v>0.26</v>
      </c>
      <c r="AN354" s="108" t="n">
        <v>0.13</v>
      </c>
      <c r="AO354" s="108" t="n">
        <v>0.28</v>
      </c>
      <c r="AP354" s="108" t="n">
        <v>0.8100000000000001</v>
      </c>
      <c r="AQ354" s="107" t="n">
        <v>1.61</v>
      </c>
      <c r="AR354" s="107" t="inlineStr">
        <is>
          <t>Grey</t>
        </is>
      </c>
      <c r="AS354" s="108" t="n">
        <v>0.05</v>
      </c>
      <c r="AT354" s="108" t="n">
        <v>0.26</v>
      </c>
      <c r="AU354" s="108" t="n">
        <v>0.13</v>
      </c>
      <c r="AV354" s="108" t="n">
        <v>0.28</v>
      </c>
      <c r="AW354" s="107" t="n">
        <v>2.39</v>
      </c>
      <c r="AX354" s="107" t="inlineStr">
        <is>
          <t>Grey</t>
        </is>
      </c>
      <c r="AY354" s="108" t="n">
        <v>0.05</v>
      </c>
      <c r="AZ354" s="108" t="n">
        <v>0.13</v>
      </c>
      <c r="BA354" s="108" t="n">
        <v>0.55</v>
      </c>
      <c r="BB354" s="108" t="n">
        <v>0.8100000000000001</v>
      </c>
      <c r="BC354" s="107" t="n">
        <v>1.15</v>
      </c>
      <c r="BD354" s="107" t="inlineStr">
        <is>
          <t>Healthy</t>
        </is>
      </c>
      <c r="BE354" s="108" t="n">
        <v>0.15</v>
      </c>
      <c r="BF354" s="108" t="n">
        <v>1</v>
      </c>
      <c r="BG354" s="108" t="n">
        <v>1.14</v>
      </c>
      <c r="BH354" s="108" t="n">
        <v>0.65</v>
      </c>
      <c r="BI354" s="107" t="n">
        <v>0.66</v>
      </c>
      <c r="BJ354" s="107" t="inlineStr">
        <is>
          <t>Distress</t>
        </is>
      </c>
      <c r="BK354" s="107" t="n">
        <v>1</v>
      </c>
      <c r="BL354" s="107" t="n">
        <v>1</v>
      </c>
      <c r="BM354" s="107" t="n">
        <v>1</v>
      </c>
      <c r="BN354" s="107" t="n">
        <v>1</v>
      </c>
      <c r="BO354" s="107" t="n">
        <v>1</v>
      </c>
      <c r="BP354" s="107" t="n">
        <v>0</v>
      </c>
      <c r="BQ354" s="107" t="n">
        <v>1</v>
      </c>
      <c r="BR354" s="107" t="n">
        <v>0</v>
      </c>
      <c r="BS354" s="107" t="n">
        <v>1</v>
      </c>
      <c r="BT354" s="107" t="n">
        <v>7</v>
      </c>
      <c r="BU354" s="107" t="inlineStr">
        <is>
          <t>Strong</t>
        </is>
      </c>
      <c r="BV354" s="108" t="n">
        <v>0.31</v>
      </c>
      <c r="BW354" s="108" t="n">
        <v>3.5</v>
      </c>
      <c r="BX354" s="108" t="n">
        <v>0.96</v>
      </c>
      <c r="BY354" s="108" t="n">
        <v>3.5</v>
      </c>
      <c r="BZ354" s="108" t="n">
        <v>0.99</v>
      </c>
      <c r="CA354" s="108" t="n">
        <v>0.3</v>
      </c>
      <c r="CB354" s="108" t="n">
        <v>1</v>
      </c>
      <c r="CC354" s="108" t="n">
        <v>-0.04</v>
      </c>
      <c r="CD354" s="107" t="n">
        <v>0.36</v>
      </c>
      <c r="CE354" s="107" t="inlineStr">
        <is>
          <t>Higher Risk</t>
        </is>
      </c>
      <c r="CF354" s="108" t="n">
        <v>-0.5600000000000001</v>
      </c>
      <c r="CG354" s="108" t="n">
        <v>51.34</v>
      </c>
      <c r="CH354" s="107" t="n">
        <v>20</v>
      </c>
      <c r="CI354" s="107" t="inlineStr">
        <is>
          <t>CLEAR</t>
        </is>
      </c>
    </row>
    <row r="355" ht="17" customHeight="1">
      <c r="A355" s="103" t="inlineStr">
        <is>
          <t>CBOE</t>
        </is>
      </c>
      <c r="B355" s="103" t="inlineStr">
        <is>
          <t>Cboe Global Markets, Inc.</t>
        </is>
      </c>
      <c r="C355" s="104" t="n">
        <v>2059100000</v>
      </c>
      <c r="D355" s="105" t="n">
        <v>0.66</v>
      </c>
      <c r="E355" s="105" t="n">
        <v>0.7</v>
      </c>
      <c r="F355" s="105" t="n">
        <v>0.49</v>
      </c>
      <c r="G355" s="105" t="n">
        <v>0.12</v>
      </c>
      <c r="H355" s="105" t="n">
        <v>0.1</v>
      </c>
      <c r="I355" s="105" t="n">
        <v>0.21</v>
      </c>
      <c r="J355" s="105" t="n">
        <v>0.21</v>
      </c>
      <c r="K355" s="105" t="n">
        <v>1.09</v>
      </c>
      <c r="L355" s="105" t="n">
        <v>3.15</v>
      </c>
      <c r="M355" s="105" t="n">
        <v>0.24</v>
      </c>
      <c r="N355" s="104" t="n">
        <v>0.08</v>
      </c>
      <c r="O355" s="104" t="n">
        <v>1.87</v>
      </c>
      <c r="P355" s="104" t="n">
        <v>1.78</v>
      </c>
      <c r="Q355" s="104" t="n">
        <v>1.87</v>
      </c>
      <c r="R355" s="104" t="n">
        <v>0.9399999999999999</v>
      </c>
      <c r="S355" s="104" t="n">
        <v>0.45</v>
      </c>
      <c r="T355" s="104" t="n">
        <v>0.45</v>
      </c>
      <c r="U355" s="104" t="n">
        <v>0.34</v>
      </c>
      <c r="V355" s="104" t="n">
        <v>-0.09</v>
      </c>
      <c r="W355" s="104" t="n">
        <v>1.59</v>
      </c>
      <c r="X355" s="105" t="n">
        <v>0.75</v>
      </c>
      <c r="Y355" s="105" t="n">
        <v>0</v>
      </c>
      <c r="Z355" s="105" t="n">
        <v>34118.6</v>
      </c>
      <c r="AA355" s="105" t="n">
        <v>2.39</v>
      </c>
      <c r="AB355" s="105" t="n">
        <v>0.44</v>
      </c>
      <c r="AC355" s="104" t="n">
        <v>-0.07000000000000001</v>
      </c>
      <c r="AD355" s="104" t="n">
        <v>-0.07000000000000001</v>
      </c>
      <c r="AE355" s="104" t="n">
        <v>0.22</v>
      </c>
      <c r="AF355" s="104" t="n">
        <v>0.38</v>
      </c>
      <c r="AG355" s="104" t="n">
        <v>0.16</v>
      </c>
      <c r="AH355" s="104" t="n">
        <v>1.23</v>
      </c>
      <c r="AI355" s="104" t="n">
        <v>0.24</v>
      </c>
      <c r="AJ355" s="104" t="n">
        <v>2.3</v>
      </c>
      <c r="AK355" s="106" t="inlineStr">
        <is>
          <t>Grey</t>
        </is>
      </c>
      <c r="AL355" s="104" t="n">
        <v>0.22</v>
      </c>
      <c r="AM355" s="104" t="n">
        <v>0.38</v>
      </c>
      <c r="AN355" s="104" t="n">
        <v>0.16</v>
      </c>
      <c r="AO355" s="104" t="n">
        <v>1.23</v>
      </c>
      <c r="AP355" s="104" t="n">
        <v>0.24</v>
      </c>
      <c r="AQ355" s="103" t="n">
        <v>1.73</v>
      </c>
      <c r="AR355" s="103" t="inlineStr">
        <is>
          <t>Grey</t>
        </is>
      </c>
      <c r="AS355" s="104" t="n">
        <v>0.22</v>
      </c>
      <c r="AT355" s="104" t="n">
        <v>0.38</v>
      </c>
      <c r="AU355" s="104" t="n">
        <v>0.16</v>
      </c>
      <c r="AV355" s="104" t="n">
        <v>1.23</v>
      </c>
      <c r="AW355" s="103" t="n">
        <v>5.05</v>
      </c>
      <c r="AX355" s="103" t="inlineStr">
        <is>
          <t>Safe</t>
        </is>
      </c>
      <c r="AY355" s="104" t="n">
        <v>0.22</v>
      </c>
      <c r="AZ355" s="104" t="n">
        <v>0.16</v>
      </c>
      <c r="BA355" s="104" t="n">
        <v>0.66</v>
      </c>
      <c r="BB355" s="104" t="n">
        <v>0.24</v>
      </c>
      <c r="BC355" s="103" t="n">
        <v>1.25</v>
      </c>
      <c r="BD355" s="103" t="inlineStr">
        <is>
          <t>Healthy</t>
        </is>
      </c>
      <c r="BE355" s="104" t="n">
        <v>0.12</v>
      </c>
      <c r="BF355" s="104" t="n">
        <v>0.45</v>
      </c>
      <c r="BG355" s="104" t="n">
        <v>1.87</v>
      </c>
      <c r="BH355" s="104" t="n">
        <v>-2.32</v>
      </c>
      <c r="BI355" s="103" t="n">
        <v>0.09</v>
      </c>
      <c r="BJ355" s="103" t="inlineStr">
        <is>
          <t>Healthy</t>
        </is>
      </c>
      <c r="BK355" s="103" t="n">
        <v>1</v>
      </c>
      <c r="BL355" s="103" t="n">
        <v>1</v>
      </c>
      <c r="BM355" s="103" t="n">
        <v>1</v>
      </c>
      <c r="BN355" s="103" t="n">
        <v>1</v>
      </c>
      <c r="BO355" s="103" t="n">
        <v>1</v>
      </c>
      <c r="BP355" s="103" t="n">
        <v>1</v>
      </c>
      <c r="BQ355" s="103" t="n">
        <v>1</v>
      </c>
      <c r="BR355" s="103" t="n">
        <v>0</v>
      </c>
      <c r="BS355" s="103" t="n">
        <v>1</v>
      </c>
      <c r="BT355" s="103" t="n">
        <v>8</v>
      </c>
      <c r="BU355" s="103" t="inlineStr">
        <is>
          <t>Strong</t>
        </is>
      </c>
      <c r="BV355" s="104" t="n">
        <v>0.26</v>
      </c>
      <c r="BW355" s="104" t="n">
        <v>2.89</v>
      </c>
      <c r="BX355" s="104" t="n">
        <v>0.77</v>
      </c>
      <c r="BY355" s="104" t="n">
        <v>3.39</v>
      </c>
      <c r="BZ355" s="104" t="n">
        <v>1.13</v>
      </c>
      <c r="CA355" s="113" t="inlineStr">
        <is>
          <t>N/A</t>
        </is>
      </c>
      <c r="CB355" s="104" t="n">
        <v>0.99</v>
      </c>
      <c r="CC355" s="104" t="n">
        <v>-0.07000000000000001</v>
      </c>
      <c r="CD355" s="103" t="n">
        <v>-0.26</v>
      </c>
      <c r="CE355" s="103" t="inlineStr">
        <is>
          <t>Higher Risk</t>
        </is>
      </c>
      <c r="CF355" s="104" t="n">
        <v>-0.31</v>
      </c>
      <c r="CG355" s="104" t="n">
        <v>56.97</v>
      </c>
      <c r="CH355" s="103" t="n">
        <v>20</v>
      </c>
      <c r="CI355" s="103" t="inlineStr">
        <is>
          <t>CLEAR</t>
        </is>
      </c>
    </row>
    <row r="356" ht="17" customHeight="1">
      <c r="A356" s="107" t="inlineStr">
        <is>
          <t>STT</t>
        </is>
      </c>
      <c r="B356" s="107" t="inlineStr">
        <is>
          <t>STATE STREET CORPORATION</t>
        </is>
      </c>
      <c r="C356" s="111" t="inlineStr">
        <is>
          <t>N/A</t>
        </is>
      </c>
      <c r="D356" s="109" t="n">
        <v>0.27</v>
      </c>
      <c r="E356" s="109" t="n">
        <v>0.27</v>
      </c>
      <c r="F356" s="109" t="n">
        <v>0.21</v>
      </c>
      <c r="G356" s="109" t="n">
        <v>0.01</v>
      </c>
      <c r="H356" s="109" t="n">
        <v>0.01</v>
      </c>
      <c r="I356" s="109" t="n">
        <v>0.11</v>
      </c>
      <c r="J356" s="111" t="inlineStr">
        <is>
          <t>N/A</t>
        </is>
      </c>
      <c r="K356" s="109" t="n">
        <v>0.02</v>
      </c>
      <c r="L356" s="109" t="n">
        <v>0.02</v>
      </c>
      <c r="M356" s="109" t="n">
        <v>0.04</v>
      </c>
      <c r="N356" s="108" t="n">
        <v>0.04</v>
      </c>
      <c r="O356" s="111" t="inlineStr">
        <is>
          <t>N/A</t>
        </is>
      </c>
      <c r="P356" s="111" t="inlineStr">
        <is>
          <t>N/A</t>
        </is>
      </c>
      <c r="Q356" s="111" t="inlineStr">
        <is>
          <t>N/A</t>
        </is>
      </c>
      <c r="R356" s="111" t="inlineStr">
        <is>
          <t>N/A</t>
        </is>
      </c>
      <c r="S356" s="108" t="n">
        <v>0.92</v>
      </c>
      <c r="T356" s="108" t="n">
        <v>0.93</v>
      </c>
      <c r="U356" s="108" t="n">
        <v>0.41</v>
      </c>
      <c r="V356" s="108" t="n">
        <v>0.41</v>
      </c>
      <c r="W356" s="108" t="n">
        <v>4.04</v>
      </c>
      <c r="X356" s="109" t="n">
        <v>0.78</v>
      </c>
      <c r="Y356" s="109" t="n">
        <v>0</v>
      </c>
      <c r="Z356" s="109" t="n">
        <v>0.58</v>
      </c>
      <c r="AA356" s="109" t="n">
        <v>0.07000000000000001</v>
      </c>
      <c r="AB356" s="109" t="n">
        <v>0.1</v>
      </c>
      <c r="AC356" s="108" t="n">
        <v>-0.02</v>
      </c>
      <c r="AD356" s="108" t="n">
        <v>-0.02</v>
      </c>
      <c r="AE356" s="111" t="inlineStr">
        <is>
          <t>N/A</t>
        </is>
      </c>
      <c r="AF356" s="108" t="n">
        <v>0.09</v>
      </c>
      <c r="AG356" s="108" t="n">
        <v>0.01</v>
      </c>
      <c r="AH356" s="108" t="n">
        <v>0.08</v>
      </c>
      <c r="AI356" s="108" t="n">
        <v>0.04</v>
      </c>
      <c r="AJ356" s="111" t="inlineStr">
        <is>
          <t>N/A</t>
        </is>
      </c>
      <c r="AK356" s="111" t="inlineStr">
        <is>
          <t>N/A</t>
        </is>
      </c>
      <c r="AL356" s="111" t="inlineStr">
        <is>
          <t>N/A</t>
        </is>
      </c>
      <c r="AM356" s="108" t="n">
        <v>0.09</v>
      </c>
      <c r="AN356" s="108" t="n">
        <v>0.01</v>
      </c>
      <c r="AO356" s="108" t="n">
        <v>0.08</v>
      </c>
      <c r="AP356" s="108" t="n">
        <v>0.04</v>
      </c>
      <c r="AQ356" s="111" t="inlineStr">
        <is>
          <t>N/A</t>
        </is>
      </c>
      <c r="AR356" s="111" t="inlineStr">
        <is>
          <t>N/A</t>
        </is>
      </c>
      <c r="AS356" s="111" t="inlineStr">
        <is>
          <t>N/A</t>
        </is>
      </c>
      <c r="AT356" s="108" t="n">
        <v>0.09</v>
      </c>
      <c r="AU356" s="108" t="n">
        <v>0.01</v>
      </c>
      <c r="AV356" s="108" t="n">
        <v>0.08</v>
      </c>
      <c r="AW356" s="111" t="inlineStr">
        <is>
          <t>N/A</t>
        </is>
      </c>
      <c r="AX356" s="111" t="inlineStr">
        <is>
          <t>N/A</t>
        </is>
      </c>
      <c r="AY356" s="111" t="inlineStr">
        <is>
          <t>N/A</t>
        </is>
      </c>
      <c r="AZ356" s="108" t="n">
        <v>0.01</v>
      </c>
      <c r="BA356" s="111" t="inlineStr">
        <is>
          <t>N/A</t>
        </is>
      </c>
      <c r="BB356" s="108" t="n">
        <v>0.04</v>
      </c>
      <c r="BC356" s="111" t="inlineStr">
        <is>
          <t>N/A</t>
        </is>
      </c>
      <c r="BD356" s="111" t="inlineStr">
        <is>
          <t>N/A</t>
        </is>
      </c>
      <c r="BE356" s="108" t="n">
        <v>0.01</v>
      </c>
      <c r="BF356" s="108" t="n">
        <v>0.92</v>
      </c>
      <c r="BG356" s="111" t="inlineStr">
        <is>
          <t>N/A</t>
        </is>
      </c>
      <c r="BH356" s="111" t="inlineStr">
        <is>
          <t>N/A</t>
        </is>
      </c>
      <c r="BI356" s="111" t="inlineStr">
        <is>
          <t>N/A</t>
        </is>
      </c>
      <c r="BJ356" s="111" t="inlineStr">
        <is>
          <t>N/A</t>
        </is>
      </c>
      <c r="BK356" s="107" t="n">
        <v>1</v>
      </c>
      <c r="BL356" s="107" t="n">
        <v>1</v>
      </c>
      <c r="BM356" s="107" t="n">
        <v>1</v>
      </c>
      <c r="BN356" s="107" t="n">
        <v>1</v>
      </c>
      <c r="BO356" s="107" t="n">
        <v>0</v>
      </c>
      <c r="BP356" s="107" t="n">
        <v>0</v>
      </c>
      <c r="BQ356" s="107" t="n">
        <v>1</v>
      </c>
      <c r="BR356" s="107" t="n">
        <v>1</v>
      </c>
      <c r="BS356" s="107" t="n">
        <v>1</v>
      </c>
      <c r="BT356" s="107" t="n">
        <v>7</v>
      </c>
      <c r="BU356" s="107" t="inlineStr">
        <is>
          <t>Strong</t>
        </is>
      </c>
      <c r="BV356" s="108" t="n">
        <v>1.15</v>
      </c>
      <c r="BW356" s="111" t="inlineStr">
        <is>
          <t>N/A</t>
        </is>
      </c>
      <c r="BX356" s="108" t="n">
        <v>1</v>
      </c>
      <c r="BY356" s="108" t="n">
        <v>1.07</v>
      </c>
      <c r="BZ356" s="108" t="n">
        <v>0.93</v>
      </c>
      <c r="CA356" s="111" t="inlineStr">
        <is>
          <t>N/A</t>
        </is>
      </c>
      <c r="CB356" s="108" t="n">
        <v>1</v>
      </c>
      <c r="CC356" s="108" t="n">
        <v>-0.02</v>
      </c>
      <c r="CD356" s="111" t="inlineStr">
        <is>
          <t>N/A</t>
        </is>
      </c>
      <c r="CE356" s="111" t="inlineStr">
        <is>
          <t>N/A</t>
        </is>
      </c>
      <c r="CF356" s="108" t="n">
        <v>2.66</v>
      </c>
      <c r="CG356" s="108" t="n">
        <v>50.72</v>
      </c>
      <c r="CH356" s="107" t="n">
        <v>0</v>
      </c>
      <c r="CI356" s="107" t="inlineStr">
        <is>
          <t>CLEAR</t>
        </is>
      </c>
    </row>
    <row r="357" ht="17" customHeight="1">
      <c r="A357" s="103" t="inlineStr">
        <is>
          <t>ORLY</t>
        </is>
      </c>
      <c r="B357" s="103" t="inlineStr">
        <is>
          <t>O Reilly Automotive Inc</t>
        </is>
      </c>
      <c r="C357" s="104" t="n">
        <v>-2031544000</v>
      </c>
      <c r="D357" s="105" t="n">
        <v>0.19</v>
      </c>
      <c r="E357" s="105" t="n">
        <v>0.18</v>
      </c>
      <c r="F357" s="105" t="n">
        <v>0.14</v>
      </c>
      <c r="G357" s="105" t="n">
        <v>0.15</v>
      </c>
      <c r="H357" s="105" t="n">
        <v>0.16</v>
      </c>
      <c r="I357" s="105" t="n">
        <v>-3.33</v>
      </c>
      <c r="J357" s="105" t="n">
        <v>0.45</v>
      </c>
      <c r="K357" s="105" t="n">
        <v>0.52</v>
      </c>
      <c r="L357" s="105" t="n">
        <v>0.51</v>
      </c>
      <c r="M357" s="105" t="n">
        <v>1.08</v>
      </c>
      <c r="N357" s="104" t="n">
        <v>1.12</v>
      </c>
      <c r="O357" s="104" t="n">
        <v>0.77</v>
      </c>
      <c r="P357" s="104" t="n">
        <v>0.71</v>
      </c>
      <c r="Q357" s="104" t="n">
        <v>0.12</v>
      </c>
      <c r="R357" s="104" t="n">
        <v>0.02</v>
      </c>
      <c r="S357" s="104" t="n">
        <v>1</v>
      </c>
      <c r="T357" s="104" t="n">
        <v>1</v>
      </c>
      <c r="U357" s="104" t="n">
        <v>-2.49</v>
      </c>
      <c r="V357" s="104" t="n">
        <v>-2.24</v>
      </c>
      <c r="W357" s="104" t="n">
        <v>1.09</v>
      </c>
      <c r="X357" s="105" t="n">
        <v>0.09</v>
      </c>
      <c r="Y357" s="113" t="inlineStr">
        <is>
          <t>N/A</t>
        </is>
      </c>
      <c r="Z357" s="105" t="n">
        <v>14.72</v>
      </c>
      <c r="AA357" s="105" t="n">
        <v>0.06</v>
      </c>
      <c r="AB357" s="105" t="n">
        <v>0.06</v>
      </c>
      <c r="AC357" s="104" t="n">
        <v>-0.01</v>
      </c>
      <c r="AD357" s="104" t="n">
        <v>-0.01</v>
      </c>
      <c r="AE357" s="104" t="n">
        <v>-0.12</v>
      </c>
      <c r="AF357" s="104" t="n">
        <v>-0.14</v>
      </c>
      <c r="AG357" s="104" t="n">
        <v>0.21</v>
      </c>
      <c r="AH357" s="104" t="n">
        <v>-0.05</v>
      </c>
      <c r="AI357" s="104" t="n">
        <v>1.08</v>
      </c>
      <c r="AJ357" s="104" t="n">
        <v>1.39</v>
      </c>
      <c r="AK357" s="112" t="inlineStr">
        <is>
          <t>Distress</t>
        </is>
      </c>
      <c r="AL357" s="104" t="n">
        <v>-0.12</v>
      </c>
      <c r="AM357" s="104" t="n">
        <v>-0.14</v>
      </c>
      <c r="AN357" s="104" t="n">
        <v>0.21</v>
      </c>
      <c r="AO357" s="104" t="n">
        <v>-0.05</v>
      </c>
      <c r="AP357" s="104" t="n">
        <v>1.08</v>
      </c>
      <c r="AQ357" s="103" t="n">
        <v>1.5</v>
      </c>
      <c r="AR357" s="103" t="inlineStr">
        <is>
          <t>Grey</t>
        </is>
      </c>
      <c r="AS357" s="104" t="n">
        <v>-0.12</v>
      </c>
      <c r="AT357" s="104" t="n">
        <v>-0.14</v>
      </c>
      <c r="AU357" s="104" t="n">
        <v>0.21</v>
      </c>
      <c r="AV357" s="104" t="n">
        <v>-0.05</v>
      </c>
      <c r="AW357" s="103" t="n">
        <v>0.09</v>
      </c>
      <c r="AX357" s="103" t="inlineStr">
        <is>
          <t>Distress</t>
        </is>
      </c>
      <c r="AY357" s="104" t="n">
        <v>-0.12</v>
      </c>
      <c r="AZ357" s="104" t="n">
        <v>0.21</v>
      </c>
      <c r="BA357" s="104" t="n">
        <v>0.37</v>
      </c>
      <c r="BB357" s="104" t="n">
        <v>1.08</v>
      </c>
      <c r="BC357" s="103" t="n">
        <v>1.19</v>
      </c>
      <c r="BD357" s="103" t="inlineStr">
        <is>
          <t>Healthy</t>
        </is>
      </c>
      <c r="BE357" s="104" t="n">
        <v>0.15</v>
      </c>
      <c r="BF357" s="104" t="n">
        <v>1</v>
      </c>
      <c r="BG357" s="104" t="n">
        <v>0.77</v>
      </c>
      <c r="BH357" s="104" t="n">
        <v>0.65</v>
      </c>
      <c r="BI357" s="103" t="n">
        <v>0.66</v>
      </c>
      <c r="BJ357" s="103" t="inlineStr">
        <is>
          <t>Distress</t>
        </is>
      </c>
      <c r="BK357" s="103" t="n">
        <v>1</v>
      </c>
      <c r="BL357" s="103" t="n">
        <v>1</v>
      </c>
      <c r="BM357" s="103" t="n">
        <v>0</v>
      </c>
      <c r="BN357" s="103" t="n">
        <v>1</v>
      </c>
      <c r="BO357" s="103" t="n">
        <v>0</v>
      </c>
      <c r="BP357" s="103" t="n">
        <v>1</v>
      </c>
      <c r="BQ357" s="103" t="n">
        <v>0</v>
      </c>
      <c r="BR357" s="103" t="n">
        <v>1</v>
      </c>
      <c r="BS357" s="103" t="n">
        <v>0</v>
      </c>
      <c r="BT357" s="103" t="n">
        <v>5</v>
      </c>
      <c r="BU357" s="103" t="inlineStr">
        <is>
          <t>Mixed</t>
        </is>
      </c>
      <c r="BV357" s="104" t="n">
        <v>1.03</v>
      </c>
      <c r="BW357" s="104" t="n">
        <v>0.99</v>
      </c>
      <c r="BX357" s="104" t="n">
        <v>0.92</v>
      </c>
      <c r="BY357" s="104" t="n">
        <v>1.06</v>
      </c>
      <c r="BZ357" s="104" t="n">
        <v>1.01</v>
      </c>
      <c r="CA357" s="104" t="n">
        <v>1.01</v>
      </c>
      <c r="CB357" s="104" t="n">
        <v>1</v>
      </c>
      <c r="CC357" s="104" t="n">
        <v>-0.01</v>
      </c>
      <c r="CD357" s="103" t="n">
        <v>-2.5</v>
      </c>
      <c r="CE357" s="103" t="inlineStr">
        <is>
          <t>Lower Risk</t>
        </is>
      </c>
      <c r="CF357" s="104" t="n">
        <v>0.43</v>
      </c>
      <c r="CG357" s="104" t="n">
        <v>48.18</v>
      </c>
      <c r="CH357" s="103" t="n">
        <v>0</v>
      </c>
      <c r="CI357" s="103" t="inlineStr">
        <is>
          <t>CLEAR</t>
        </is>
      </c>
    </row>
    <row r="358" ht="17" customHeight="1">
      <c r="A358" s="107" t="inlineStr">
        <is>
          <t>ROIV</t>
        </is>
      </c>
      <c r="B358" s="107" t="inlineStr">
        <is>
          <t>ROIVANT SCIENCES LTD.</t>
        </is>
      </c>
      <c r="C358" s="108" t="n">
        <v>4886140000</v>
      </c>
      <c r="D358" s="109" t="n">
        <v>-62.36</v>
      </c>
      <c r="E358" s="109" t="n">
        <v>-32.03</v>
      </c>
      <c r="F358" s="109" t="n">
        <v>-36.29</v>
      </c>
      <c r="G358" s="109" t="n">
        <v>-0.05</v>
      </c>
      <c r="H358" s="109" t="n">
        <v>-0.03</v>
      </c>
      <c r="I358" s="109" t="n">
        <v>-0.07000000000000001</v>
      </c>
      <c r="J358" s="109" t="n">
        <v>-0.09</v>
      </c>
      <c r="K358" s="109" t="n">
        <v>-155.61</v>
      </c>
      <c r="L358" s="109" t="n">
        <v>-38.33</v>
      </c>
      <c r="M358" s="109" t="n">
        <v>0</v>
      </c>
      <c r="N358" s="108" t="n">
        <v>0.01</v>
      </c>
      <c r="O358" s="108" t="n">
        <v>18.37</v>
      </c>
      <c r="P358" s="108" t="n">
        <v>33.47</v>
      </c>
      <c r="Q358" s="108" t="n">
        <v>18.25</v>
      </c>
      <c r="R358" s="108" t="n">
        <v>5.05</v>
      </c>
      <c r="S358" s="108" t="n">
        <v>0.07000000000000001</v>
      </c>
      <c r="T358" s="108" t="n">
        <v>0.05</v>
      </c>
      <c r="U358" s="108" t="n">
        <v>0.1</v>
      </c>
      <c r="V358" s="108" t="n">
        <v>-0.22</v>
      </c>
      <c r="W358" s="108" t="n">
        <v>2.5</v>
      </c>
      <c r="X358" s="109" t="n">
        <v>-91.84</v>
      </c>
      <c r="Y358" s="109" t="n">
        <v>82.54000000000001</v>
      </c>
      <c r="Z358" s="109" t="n">
        <v>-14.81</v>
      </c>
      <c r="AA358" s="109" t="n">
        <v>-0.72</v>
      </c>
      <c r="AB358" s="109" t="n">
        <v>0.74</v>
      </c>
      <c r="AC358" s="108" t="n">
        <v>0.08</v>
      </c>
      <c r="AD358" s="108" t="n">
        <v>0.08</v>
      </c>
      <c r="AE358" s="108" t="n">
        <v>0.86</v>
      </c>
      <c r="AF358" s="108" t="n">
        <v>-0.09</v>
      </c>
      <c r="AG358" s="108" t="n">
        <v>-0.09</v>
      </c>
      <c r="AH358" s="108" t="n">
        <v>10.88</v>
      </c>
      <c r="AI358" s="108" t="n">
        <v>0</v>
      </c>
      <c r="AJ358" s="108" t="n">
        <v>7.13</v>
      </c>
      <c r="AK358" s="110" t="inlineStr">
        <is>
          <t>Safe</t>
        </is>
      </c>
      <c r="AL358" s="108" t="n">
        <v>0.86</v>
      </c>
      <c r="AM358" s="108" t="n">
        <v>-0.09</v>
      </c>
      <c r="AN358" s="108" t="n">
        <v>-0.09</v>
      </c>
      <c r="AO358" s="108" t="n">
        <v>10.88</v>
      </c>
      <c r="AP358" s="108" t="n">
        <v>0</v>
      </c>
      <c r="AQ358" s="107" t="n">
        <v>4.83</v>
      </c>
      <c r="AR358" s="107" t="inlineStr">
        <is>
          <t>Safe</t>
        </is>
      </c>
      <c r="AS358" s="108" t="n">
        <v>0.86</v>
      </c>
      <c r="AT358" s="108" t="n">
        <v>-0.09</v>
      </c>
      <c r="AU358" s="108" t="n">
        <v>-0.09</v>
      </c>
      <c r="AV358" s="108" t="n">
        <v>10.88</v>
      </c>
      <c r="AW358" s="107" t="n">
        <v>16.14</v>
      </c>
      <c r="AX358" s="107" t="inlineStr">
        <is>
          <t>Safe</t>
        </is>
      </c>
      <c r="AY358" s="108" t="n">
        <v>0.86</v>
      </c>
      <c r="AZ358" s="108" t="n">
        <v>-0.09</v>
      </c>
      <c r="BA358" s="108" t="n">
        <v>-0.9399999999999999</v>
      </c>
      <c r="BB358" s="108" t="n">
        <v>0</v>
      </c>
      <c r="BC358" s="107" t="n">
        <v>-0.02</v>
      </c>
      <c r="BD358" s="107" t="inlineStr">
        <is>
          <t>Distress</t>
        </is>
      </c>
      <c r="BE358" s="108" t="n">
        <v>-0.05</v>
      </c>
      <c r="BF358" s="108" t="n">
        <v>0.07000000000000001</v>
      </c>
      <c r="BG358" s="108" t="n">
        <v>18.37</v>
      </c>
      <c r="BH358" s="108" t="n">
        <v>-3.61</v>
      </c>
      <c r="BI358" s="107" t="n">
        <v>0.03</v>
      </c>
      <c r="BJ358" s="107" t="inlineStr">
        <is>
          <t>Healthy</t>
        </is>
      </c>
      <c r="BK358" s="107" t="n">
        <v>0</v>
      </c>
      <c r="BL358" s="107" t="n">
        <v>0</v>
      </c>
      <c r="BM358" s="107" t="n">
        <v>0</v>
      </c>
      <c r="BN358" s="107" t="n">
        <v>0</v>
      </c>
      <c r="BO358" s="107" t="n">
        <v>0</v>
      </c>
      <c r="BP358" s="107" t="n">
        <v>0</v>
      </c>
      <c r="BQ358" s="107" t="n">
        <v>0</v>
      </c>
      <c r="BR358" s="107" t="n">
        <v>0</v>
      </c>
      <c r="BS358" s="107" t="n">
        <v>0</v>
      </c>
      <c r="BT358" s="107" t="n">
        <v>0</v>
      </c>
      <c r="BU358" s="107" t="inlineStr">
        <is>
          <t>Weak</t>
        </is>
      </c>
      <c r="BV358" s="108" t="n">
        <v>6.2</v>
      </c>
      <c r="BW358" s="108" t="n">
        <v>0.25</v>
      </c>
      <c r="BX358" s="108" t="n">
        <v>1.19</v>
      </c>
      <c r="BY358" s="108" t="n">
        <v>0.28</v>
      </c>
      <c r="BZ358" s="108" t="n">
        <v>2.47</v>
      </c>
      <c r="CA358" s="108" t="n">
        <v>4.03</v>
      </c>
      <c r="CB358" s="108" t="n">
        <v>1.59</v>
      </c>
      <c r="CC358" s="108" t="n">
        <v>0.08</v>
      </c>
      <c r="CD358" s="107" t="n">
        <v>1.17</v>
      </c>
      <c r="CE358" s="107" t="inlineStr">
        <is>
          <t>Higher Risk</t>
        </is>
      </c>
      <c r="CF358" s="108" t="n">
        <v>1.91</v>
      </c>
      <c r="CG358" s="108" t="n">
        <v>38.96</v>
      </c>
      <c r="CH358" s="107" t="n">
        <v>20</v>
      </c>
      <c r="CI358" s="107" t="inlineStr">
        <is>
          <t>CLEAR</t>
        </is>
      </c>
    </row>
    <row r="359" ht="17" customHeight="1">
      <c r="A359" s="103" t="inlineStr">
        <is>
          <t>ALNY</t>
        </is>
      </c>
      <c r="B359" s="103" t="inlineStr">
        <is>
          <t>ALNYLAM PHARMACEUTICALS, INC.</t>
        </is>
      </c>
      <c r="C359" s="104" t="n">
        <v>2584313000</v>
      </c>
      <c r="D359" s="105" t="n">
        <v>0.48</v>
      </c>
      <c r="E359" s="105" t="n">
        <v>0.31</v>
      </c>
      <c r="F359" s="105" t="n">
        <v>0.3</v>
      </c>
      <c r="G359" s="105" t="n">
        <v>0.06</v>
      </c>
      <c r="H359" s="105" t="n">
        <v>0.05</v>
      </c>
      <c r="I359" s="105" t="n">
        <v>0.4</v>
      </c>
      <c r="J359" s="105" t="n">
        <v>0.14</v>
      </c>
      <c r="K359" s="105" t="n">
        <v>0.35</v>
      </c>
      <c r="L359" s="105" t="n">
        <v>0.64</v>
      </c>
      <c r="M359" s="105" t="n">
        <v>0.21</v>
      </c>
      <c r="N359" s="104" t="n">
        <v>0.2</v>
      </c>
      <c r="O359" s="104" t="n">
        <v>2.76</v>
      </c>
      <c r="P359" s="104" t="n">
        <v>2.78</v>
      </c>
      <c r="Q359" s="104" t="n">
        <v>2.71</v>
      </c>
      <c r="R359" s="104" t="n">
        <v>1.13</v>
      </c>
      <c r="S359" s="104" t="n">
        <v>0.84</v>
      </c>
      <c r="T359" s="104" t="n">
        <v>0.98</v>
      </c>
      <c r="U359" s="113" t="inlineStr">
        <is>
          <t>N/A</t>
        </is>
      </c>
      <c r="V359" s="113" t="inlineStr">
        <is>
          <t>N/A</t>
        </is>
      </c>
      <c r="W359" s="104" t="n">
        <v>1.67</v>
      </c>
      <c r="X359" s="105" t="n">
        <v>0.45</v>
      </c>
      <c r="Y359" s="105" t="n">
        <v>1.27</v>
      </c>
      <c r="Z359" s="105" t="n">
        <v>4.14</v>
      </c>
      <c r="AA359" s="105" t="n">
        <v>0.23</v>
      </c>
      <c r="AB359" s="105" t="n">
        <v>0.55</v>
      </c>
      <c r="AC359" s="104" t="n">
        <v>-0.04</v>
      </c>
      <c r="AD359" s="104" t="n">
        <v>-0.04</v>
      </c>
      <c r="AE359" s="104" t="n">
        <v>0.52</v>
      </c>
      <c r="AF359" s="104" t="n">
        <v>-1.35</v>
      </c>
      <c r="AG359" s="104" t="n">
        <v>0.1</v>
      </c>
      <c r="AH359" s="104" t="n">
        <v>0.19</v>
      </c>
      <c r="AI359" s="104" t="n">
        <v>0.21</v>
      </c>
      <c r="AJ359" s="104" t="n">
        <v>-0.61</v>
      </c>
      <c r="AK359" s="112" t="inlineStr">
        <is>
          <t>Distress</t>
        </is>
      </c>
      <c r="AL359" s="104" t="n">
        <v>0.52</v>
      </c>
      <c r="AM359" s="104" t="n">
        <v>-1.35</v>
      </c>
      <c r="AN359" s="104" t="n">
        <v>0.1</v>
      </c>
      <c r="AO359" s="104" t="n">
        <v>0.19</v>
      </c>
      <c r="AP359" s="104" t="n">
        <v>0.21</v>
      </c>
      <c r="AQ359" s="103" t="n">
        <v>-0.17</v>
      </c>
      <c r="AR359" s="103" t="inlineStr">
        <is>
          <t>Distress</t>
        </is>
      </c>
      <c r="AS359" s="104" t="n">
        <v>0.52</v>
      </c>
      <c r="AT359" s="104" t="n">
        <v>-1.35</v>
      </c>
      <c r="AU359" s="104" t="n">
        <v>0.1</v>
      </c>
      <c r="AV359" s="104" t="n">
        <v>0.19</v>
      </c>
      <c r="AW359" s="103" t="n">
        <v>-0.11</v>
      </c>
      <c r="AX359" s="103" t="inlineStr">
        <is>
          <t>Distress</t>
        </is>
      </c>
      <c r="AY359" s="104" t="n">
        <v>0.52</v>
      </c>
      <c r="AZ359" s="104" t="n">
        <v>0.1</v>
      </c>
      <c r="BA359" s="104" t="n">
        <v>0.22</v>
      </c>
      <c r="BB359" s="104" t="n">
        <v>0.21</v>
      </c>
      <c r="BC359" s="103" t="n">
        <v>1.08</v>
      </c>
      <c r="BD359" s="103" t="inlineStr">
        <is>
          <t>Healthy</t>
        </is>
      </c>
      <c r="BE359" s="104" t="n">
        <v>0.06</v>
      </c>
      <c r="BF359" s="104" t="n">
        <v>0.84</v>
      </c>
      <c r="BG359" s="104" t="n">
        <v>2.76</v>
      </c>
      <c r="BH359" s="104" t="n">
        <v>0.17</v>
      </c>
      <c r="BI359" s="103" t="n">
        <v>0.54</v>
      </c>
      <c r="BJ359" s="103" t="inlineStr">
        <is>
          <t>Distress</t>
        </is>
      </c>
      <c r="BK359" s="103" t="n">
        <v>1</v>
      </c>
      <c r="BL359" s="103" t="n">
        <v>1</v>
      </c>
      <c r="BM359" s="103" t="n">
        <v>1</v>
      </c>
      <c r="BN359" s="103" t="n">
        <v>1</v>
      </c>
      <c r="BO359" s="103" t="n">
        <v>0</v>
      </c>
      <c r="BP359" s="103" t="n">
        <v>0</v>
      </c>
      <c r="BQ359" s="103" t="n">
        <v>0</v>
      </c>
      <c r="BR359" s="103" t="n">
        <v>0</v>
      </c>
      <c r="BS359" s="103" t="n">
        <v>1</v>
      </c>
      <c r="BT359" s="103" t="n">
        <v>5</v>
      </c>
      <c r="BU359" s="103" t="inlineStr">
        <is>
          <t>Mixed</t>
        </is>
      </c>
      <c r="BV359" s="104" t="n">
        <v>1.56</v>
      </c>
      <c r="BW359" s="104" t="n">
        <v>1.83</v>
      </c>
      <c r="BX359" s="104" t="n">
        <v>0.78</v>
      </c>
      <c r="BY359" s="104" t="n">
        <v>1.23</v>
      </c>
      <c r="BZ359" s="104" t="n">
        <v>1.15</v>
      </c>
      <c r="CA359" s="104" t="n">
        <v>1.01</v>
      </c>
      <c r="CB359" s="104" t="n">
        <v>0.85</v>
      </c>
      <c r="CC359" s="104" t="n">
        <v>-0.04</v>
      </c>
      <c r="CD359" s="103" t="n">
        <v>-1.54</v>
      </c>
      <c r="CE359" s="103" t="inlineStr">
        <is>
          <t>Higher Risk</t>
        </is>
      </c>
      <c r="CF359" s="113" t="inlineStr">
        <is>
          <t>N/A</t>
        </is>
      </c>
      <c r="CG359" s="104" t="n">
        <v>37.94</v>
      </c>
      <c r="CH359" s="103" t="n">
        <v>20</v>
      </c>
      <c r="CI359" s="103" t="inlineStr">
        <is>
          <t>CLEAR</t>
        </is>
      </c>
    </row>
    <row r="360" ht="17" customHeight="1">
      <c r="A360" s="107" t="inlineStr">
        <is>
          <t>IOSP</t>
        </is>
      </c>
      <c r="B360" s="107" t="inlineStr">
        <is>
          <t>INNOSPEC INC.</t>
        </is>
      </c>
      <c r="C360" s="108" t="n">
        <v>644500000</v>
      </c>
      <c r="D360" s="109" t="n">
        <v>0.07000000000000001</v>
      </c>
      <c r="E360" s="109" t="n">
        <v>0.08</v>
      </c>
      <c r="F360" s="109" t="n">
        <v>0.07000000000000001</v>
      </c>
      <c r="G360" s="109" t="n">
        <v>0.07000000000000001</v>
      </c>
      <c r="H360" s="109" t="n">
        <v>0.05</v>
      </c>
      <c r="I360" s="109" t="n">
        <v>0.09</v>
      </c>
      <c r="J360" s="109" t="n">
        <v>0.09</v>
      </c>
      <c r="K360" s="109" t="n">
        <v>0.28</v>
      </c>
      <c r="L360" s="109" t="n">
        <v>0.29</v>
      </c>
      <c r="M360" s="109" t="n">
        <v>0.97</v>
      </c>
      <c r="N360" s="108" t="n">
        <v>1.06</v>
      </c>
      <c r="O360" s="108" t="n">
        <v>2.79</v>
      </c>
      <c r="P360" s="108" t="n">
        <v>2.58</v>
      </c>
      <c r="Q360" s="108" t="n">
        <v>1.88</v>
      </c>
      <c r="R360" s="108" t="n">
        <v>0.8100000000000001</v>
      </c>
      <c r="S360" s="108" t="n">
        <v>0.27</v>
      </c>
      <c r="T360" s="108" t="n">
        <v>0.3</v>
      </c>
      <c r="U360" s="108" t="n">
        <v>0</v>
      </c>
      <c r="V360" s="108" t="n">
        <v>-0.22</v>
      </c>
      <c r="W360" s="108" t="n">
        <v>1.16</v>
      </c>
      <c r="X360" s="109" t="n">
        <v>0.05</v>
      </c>
      <c r="Y360" s="109" t="n">
        <v>0.03</v>
      </c>
      <c r="Z360" s="109" t="n">
        <v>34.08</v>
      </c>
      <c r="AA360" s="109" t="n">
        <v>-0.04</v>
      </c>
      <c r="AB360" s="109" t="n">
        <v>0.42</v>
      </c>
      <c r="AC360" s="108" t="n">
        <v>-0.01</v>
      </c>
      <c r="AD360" s="108" t="n">
        <v>-0.01</v>
      </c>
      <c r="AE360" s="108" t="n">
        <v>0.35</v>
      </c>
      <c r="AF360" s="108" t="n">
        <v>0.6</v>
      </c>
      <c r="AG360" s="108" t="n">
        <v>0.07000000000000001</v>
      </c>
      <c r="AH360" s="108" t="n">
        <v>2.65</v>
      </c>
      <c r="AI360" s="108" t="n">
        <v>0.97</v>
      </c>
      <c r="AJ360" s="108" t="n">
        <v>4.06</v>
      </c>
      <c r="AK360" s="110" t="inlineStr">
        <is>
          <t>Safe</t>
        </is>
      </c>
      <c r="AL360" s="108" t="n">
        <v>0.35</v>
      </c>
      <c r="AM360" s="108" t="n">
        <v>0.6</v>
      </c>
      <c r="AN360" s="108" t="n">
        <v>0.07000000000000001</v>
      </c>
      <c r="AO360" s="108" t="n">
        <v>2.65</v>
      </c>
      <c r="AP360" s="108" t="n">
        <v>0.97</v>
      </c>
      <c r="AQ360" s="107" t="n">
        <v>3.06</v>
      </c>
      <c r="AR360" s="107" t="inlineStr">
        <is>
          <t>Safe</t>
        </is>
      </c>
      <c r="AS360" s="108" t="n">
        <v>0.35</v>
      </c>
      <c r="AT360" s="108" t="n">
        <v>0.6</v>
      </c>
      <c r="AU360" s="108" t="n">
        <v>0.07000000000000001</v>
      </c>
      <c r="AV360" s="108" t="n">
        <v>2.65</v>
      </c>
      <c r="AW360" s="107" t="n">
        <v>7.53</v>
      </c>
      <c r="AX360" s="107" t="inlineStr">
        <is>
          <t>Safe</t>
        </is>
      </c>
      <c r="AY360" s="108" t="n">
        <v>0.35</v>
      </c>
      <c r="AZ360" s="108" t="n">
        <v>0.07000000000000001</v>
      </c>
      <c r="BA360" s="108" t="n">
        <v>0.38</v>
      </c>
      <c r="BB360" s="108" t="n">
        <v>0.97</v>
      </c>
      <c r="BC360" s="107" t="n">
        <v>1.22</v>
      </c>
      <c r="BD360" s="107" t="inlineStr">
        <is>
          <t>Healthy</t>
        </is>
      </c>
      <c r="BE360" s="108" t="n">
        <v>0.07000000000000001</v>
      </c>
      <c r="BF360" s="108" t="n">
        <v>0.27</v>
      </c>
      <c r="BG360" s="108" t="n">
        <v>2.79</v>
      </c>
      <c r="BH360" s="108" t="n">
        <v>-3.07</v>
      </c>
      <c r="BI360" s="107" t="n">
        <v>0.04</v>
      </c>
      <c r="BJ360" s="107" t="inlineStr">
        <is>
          <t>Healthy</t>
        </is>
      </c>
      <c r="BK360" s="107" t="n">
        <v>1</v>
      </c>
      <c r="BL360" s="107" t="n">
        <v>1</v>
      </c>
      <c r="BM360" s="107" t="n">
        <v>1</v>
      </c>
      <c r="BN360" s="107" t="n">
        <v>1</v>
      </c>
      <c r="BO360" s="107" t="n">
        <v>0</v>
      </c>
      <c r="BP360" s="107" t="n">
        <v>1</v>
      </c>
      <c r="BQ360" s="107" t="n">
        <v>1</v>
      </c>
      <c r="BR360" s="107" t="n">
        <v>0</v>
      </c>
      <c r="BS360" s="107" t="n">
        <v>0</v>
      </c>
      <c r="BT360" s="107" t="n">
        <v>6</v>
      </c>
      <c r="BU360" s="107" t="inlineStr">
        <is>
          <t>Mixed</t>
        </is>
      </c>
      <c r="BV360" s="108" t="n">
        <v>1.04</v>
      </c>
      <c r="BW360" s="108" t="n">
        <v>1.06</v>
      </c>
      <c r="BX360" s="108" t="n">
        <v>1.01</v>
      </c>
      <c r="BY360" s="108" t="n">
        <v>0.96</v>
      </c>
      <c r="BZ360" s="108" t="n">
        <v>1.05</v>
      </c>
      <c r="CA360" s="108" t="n">
        <v>0.9399999999999999</v>
      </c>
      <c r="CB360" s="108" t="n">
        <v>0.91</v>
      </c>
      <c r="CC360" s="108" t="n">
        <v>-0.01</v>
      </c>
      <c r="CD360" s="107" t="n">
        <v>-2.44</v>
      </c>
      <c r="CE360" s="107" t="inlineStr">
        <is>
          <t>Lower Risk</t>
        </is>
      </c>
      <c r="CF360" s="108" t="n">
        <v>-1.69</v>
      </c>
      <c r="CG360" s="108" t="n">
        <v>59.92</v>
      </c>
      <c r="CH360" s="107" t="n">
        <v>0</v>
      </c>
      <c r="CI360" s="107" t="inlineStr">
        <is>
          <t>CLEAR</t>
        </is>
      </c>
    </row>
    <row r="361" ht="17" customHeight="1">
      <c r="A361" s="103" t="inlineStr">
        <is>
          <t>PAYC</t>
        </is>
      </c>
      <c r="B361" s="103" t="inlineStr">
        <is>
          <t>Paycom Software, Inc.</t>
        </is>
      </c>
      <c r="C361" s="104" t="n">
        <v>470400000</v>
      </c>
      <c r="D361" s="105" t="n">
        <v>3.77</v>
      </c>
      <c r="E361" s="105" t="n">
        <v>4.12</v>
      </c>
      <c r="F361" s="105" t="n">
        <v>3.02</v>
      </c>
      <c r="G361" s="105" t="n">
        <v>0.06</v>
      </c>
      <c r="H361" s="105" t="n">
        <v>0.09</v>
      </c>
      <c r="I361" s="105" t="n">
        <v>0.26</v>
      </c>
      <c r="J361" s="105" t="n">
        <v>0.25</v>
      </c>
      <c r="K361" s="105" t="n">
        <v>11.35</v>
      </c>
      <c r="L361" s="105" t="n">
        <v>11.62</v>
      </c>
      <c r="M361" s="105" t="n">
        <v>0.02</v>
      </c>
      <c r="N361" s="104" t="n">
        <v>0.02</v>
      </c>
      <c r="O361" s="104" t="n">
        <v>1.09</v>
      </c>
      <c r="P361" s="104" t="n">
        <v>1.1</v>
      </c>
      <c r="Q361" s="104" t="n">
        <v>1.09</v>
      </c>
      <c r="R361" s="104" t="n">
        <v>0.07000000000000001</v>
      </c>
      <c r="S361" s="104" t="n">
        <v>0.77</v>
      </c>
      <c r="T361" s="104" t="n">
        <v>0.73</v>
      </c>
      <c r="U361" s="104" t="n">
        <v>0.02</v>
      </c>
      <c r="V361" s="104" t="n">
        <v>-0.2</v>
      </c>
      <c r="W361" s="104" t="n">
        <v>1.5</v>
      </c>
      <c r="X361" s="105" t="n">
        <v>2.71</v>
      </c>
      <c r="Y361" s="105" t="n">
        <v>1.89</v>
      </c>
      <c r="Z361" s="105" t="n">
        <v>166.82</v>
      </c>
      <c r="AA361" s="105" t="n">
        <v>0.13</v>
      </c>
      <c r="AB361" s="105" t="n">
        <v>-0.1</v>
      </c>
      <c r="AC361" s="104" t="n">
        <v>-0.03</v>
      </c>
      <c r="AD361" s="104" t="n">
        <v>-0.03</v>
      </c>
      <c r="AE361" s="104" t="n">
        <v>0.06</v>
      </c>
      <c r="AF361" s="104" t="n">
        <v>0.3</v>
      </c>
      <c r="AG361" s="104" t="n">
        <v>0.07000000000000001</v>
      </c>
      <c r="AH361" s="104" t="n">
        <v>0.3</v>
      </c>
      <c r="AI361" s="104" t="n">
        <v>0.02</v>
      </c>
      <c r="AJ361" s="104" t="n">
        <v>0.93</v>
      </c>
      <c r="AK361" s="112" t="inlineStr">
        <is>
          <t>Distress</t>
        </is>
      </c>
      <c r="AL361" s="104" t="n">
        <v>0.06</v>
      </c>
      <c r="AM361" s="104" t="n">
        <v>0.3</v>
      </c>
      <c r="AN361" s="104" t="n">
        <v>0.07000000000000001</v>
      </c>
      <c r="AO361" s="104" t="n">
        <v>0.3</v>
      </c>
      <c r="AP361" s="104" t="n">
        <v>0.02</v>
      </c>
      <c r="AQ361" s="103" t="n">
        <v>0.67</v>
      </c>
      <c r="AR361" s="103" t="inlineStr">
        <is>
          <t>Distress</t>
        </is>
      </c>
      <c r="AS361" s="104" t="n">
        <v>0.06</v>
      </c>
      <c r="AT361" s="104" t="n">
        <v>0.3</v>
      </c>
      <c r="AU361" s="104" t="n">
        <v>0.07000000000000001</v>
      </c>
      <c r="AV361" s="104" t="n">
        <v>0.3</v>
      </c>
      <c r="AW361" s="103" t="n">
        <v>2.19</v>
      </c>
      <c r="AX361" s="103" t="inlineStr">
        <is>
          <t>Grey</t>
        </is>
      </c>
      <c r="AY361" s="104" t="n">
        <v>0.06</v>
      </c>
      <c r="AZ361" s="104" t="n">
        <v>0.07000000000000001</v>
      </c>
      <c r="BA361" s="104" t="n">
        <v>0.12</v>
      </c>
      <c r="BB361" s="104" t="n">
        <v>0.02</v>
      </c>
      <c r="BC361" s="103" t="n">
        <v>0.38</v>
      </c>
      <c r="BD361" s="103" t="inlineStr">
        <is>
          <t>Distress</t>
        </is>
      </c>
      <c r="BE361" s="104" t="n">
        <v>0.06</v>
      </c>
      <c r="BF361" s="104" t="n">
        <v>0.77</v>
      </c>
      <c r="BG361" s="104" t="n">
        <v>1.09</v>
      </c>
      <c r="BH361" s="104" t="n">
        <v>-0.22</v>
      </c>
      <c r="BI361" s="103" t="n">
        <v>0.45</v>
      </c>
      <c r="BJ361" s="103" t="inlineStr">
        <is>
          <t>Healthy</t>
        </is>
      </c>
      <c r="BK361" s="103" t="n">
        <v>1</v>
      </c>
      <c r="BL361" s="103" t="n">
        <v>1</v>
      </c>
      <c r="BM361" s="103" t="n">
        <v>0</v>
      </c>
      <c r="BN361" s="103" t="n">
        <v>1</v>
      </c>
      <c r="BO361" s="103" t="n">
        <v>1</v>
      </c>
      <c r="BP361" s="103" t="n">
        <v>0</v>
      </c>
      <c r="BQ361" s="103" t="n">
        <v>1</v>
      </c>
      <c r="BR361" s="103" t="n">
        <v>0</v>
      </c>
      <c r="BS361" s="103" t="n">
        <v>0</v>
      </c>
      <c r="BT361" s="103" t="n">
        <v>5</v>
      </c>
      <c r="BU361" s="103" t="inlineStr">
        <is>
          <t>Mixed</t>
        </is>
      </c>
      <c r="BV361" s="104" t="n">
        <v>1.02</v>
      </c>
      <c r="BW361" s="104" t="n">
        <v>1.02</v>
      </c>
      <c r="BX361" s="104" t="n">
        <v>0.84</v>
      </c>
      <c r="BY361" s="104" t="n">
        <v>1.13</v>
      </c>
      <c r="BZ361" s="104" t="n">
        <v>1.03</v>
      </c>
      <c r="CA361" s="104" t="n">
        <v>1.1</v>
      </c>
      <c r="CB361" s="104" t="n">
        <v>1.06</v>
      </c>
      <c r="CC361" s="104" t="n">
        <v>-0.03</v>
      </c>
      <c r="CD361" s="103" t="n">
        <v>-2.57</v>
      </c>
      <c r="CE361" s="103" t="inlineStr">
        <is>
          <t>Lower Risk</t>
        </is>
      </c>
      <c r="CF361" s="104" t="n">
        <v>-0.52</v>
      </c>
      <c r="CG361" s="104" t="n">
        <v>45.29</v>
      </c>
      <c r="CH361" s="103" t="n">
        <v>0</v>
      </c>
      <c r="CI361" s="103" t="inlineStr">
        <is>
          <t>CLEAR</t>
        </is>
      </c>
    </row>
    <row r="362" ht="17" customHeight="1">
      <c r="A362" s="107" t="inlineStr">
        <is>
          <t>UNP</t>
        </is>
      </c>
      <c r="B362" s="107" t="inlineStr">
        <is>
          <t>UNION PACIFIC CORP</t>
        </is>
      </c>
      <c r="C362" s="108" t="n">
        <v>-459000000</v>
      </c>
      <c r="D362" s="109" t="n">
        <v>0.5</v>
      </c>
      <c r="E362" s="109" t="n">
        <v>0.47</v>
      </c>
      <c r="F362" s="109" t="n">
        <v>0.37</v>
      </c>
      <c r="G362" s="109" t="n">
        <v>0.1</v>
      </c>
      <c r="H362" s="109" t="n">
        <v>0.1</v>
      </c>
      <c r="I362" s="109" t="n">
        <v>0.39</v>
      </c>
      <c r="J362" s="109" t="n">
        <v>0.15</v>
      </c>
      <c r="K362" s="109" t="n">
        <v>0.4</v>
      </c>
      <c r="L362" s="109" t="n">
        <v>-1.56</v>
      </c>
      <c r="M362" s="109" t="n">
        <v>0.28</v>
      </c>
      <c r="N362" s="108" t="n">
        <v>0.08</v>
      </c>
      <c r="O362" s="108" t="n">
        <v>0.91</v>
      </c>
      <c r="P362" s="108" t="n">
        <v>0.77</v>
      </c>
      <c r="Q362" s="108" t="n">
        <v>0.91</v>
      </c>
      <c r="R362" s="108" t="n">
        <v>0.25</v>
      </c>
      <c r="S362" s="108" t="n">
        <v>0.74</v>
      </c>
      <c r="T362" s="108" t="n">
        <v>0.75</v>
      </c>
      <c r="U362" s="108" t="n">
        <v>1.72</v>
      </c>
      <c r="V362" s="108" t="n">
        <v>1.65</v>
      </c>
      <c r="W362" s="108" t="n">
        <v>1.3</v>
      </c>
      <c r="X362" s="109" t="n">
        <v>0.28</v>
      </c>
      <c r="Y362" s="109" t="n">
        <v>0</v>
      </c>
      <c r="Z362" s="109" t="n">
        <v>7.35</v>
      </c>
      <c r="AA362" s="109" t="n">
        <v>2.8</v>
      </c>
      <c r="AB362" s="109" t="n">
        <v>0.06</v>
      </c>
      <c r="AC362" s="108" t="n">
        <v>-0.03</v>
      </c>
      <c r="AD362" s="108" t="n">
        <v>-0.03</v>
      </c>
      <c r="AE362" s="108" t="n">
        <v>-0.01</v>
      </c>
      <c r="AF362" s="108" t="n">
        <v>1</v>
      </c>
      <c r="AG362" s="108" t="n">
        <v>0.14</v>
      </c>
      <c r="AH362" s="108" t="n">
        <v>0.36</v>
      </c>
      <c r="AI362" s="108" t="n">
        <v>0.28</v>
      </c>
      <c r="AJ362" s="108" t="n">
        <v>2.35</v>
      </c>
      <c r="AK362" s="106" t="inlineStr">
        <is>
          <t>Grey</t>
        </is>
      </c>
      <c r="AL362" s="108" t="n">
        <v>-0.01</v>
      </c>
      <c r="AM362" s="108" t="n">
        <v>1</v>
      </c>
      <c r="AN362" s="108" t="n">
        <v>0.14</v>
      </c>
      <c r="AO362" s="108" t="n">
        <v>0.36</v>
      </c>
      <c r="AP362" s="108" t="n">
        <v>0.28</v>
      </c>
      <c r="AQ362" s="107" t="n">
        <v>1.71</v>
      </c>
      <c r="AR362" s="107" t="inlineStr">
        <is>
          <t>Grey</t>
        </is>
      </c>
      <c r="AS362" s="108" t="n">
        <v>-0.01</v>
      </c>
      <c r="AT362" s="108" t="n">
        <v>1</v>
      </c>
      <c r="AU362" s="108" t="n">
        <v>0.14</v>
      </c>
      <c r="AV362" s="108" t="n">
        <v>0.36</v>
      </c>
      <c r="AW362" s="107" t="n">
        <v>4.54</v>
      </c>
      <c r="AX362" s="107" t="inlineStr">
        <is>
          <t>Safe</t>
        </is>
      </c>
      <c r="AY362" s="108" t="n">
        <v>-0.01</v>
      </c>
      <c r="AZ362" s="108" t="n">
        <v>0.14</v>
      </c>
      <c r="BA362" s="108" t="n">
        <v>1.83</v>
      </c>
      <c r="BB362" s="108" t="n">
        <v>0.28</v>
      </c>
      <c r="BC362" s="107" t="n">
        <v>1.75</v>
      </c>
      <c r="BD362" s="107" t="inlineStr">
        <is>
          <t>Healthy</t>
        </is>
      </c>
      <c r="BE362" s="108" t="n">
        <v>0.1</v>
      </c>
      <c r="BF362" s="108" t="n">
        <v>0.74</v>
      </c>
      <c r="BG362" s="108" t="n">
        <v>0.91</v>
      </c>
      <c r="BH362" s="108" t="n">
        <v>-0.62</v>
      </c>
      <c r="BI362" s="107" t="n">
        <v>0.35</v>
      </c>
      <c r="BJ362" s="107" t="inlineStr">
        <is>
          <t>Healthy</t>
        </is>
      </c>
      <c r="BK362" s="107" t="n">
        <v>1</v>
      </c>
      <c r="BL362" s="107" t="n">
        <v>1</v>
      </c>
      <c r="BM362" s="107" t="n">
        <v>1</v>
      </c>
      <c r="BN362" s="107" t="n">
        <v>1</v>
      </c>
      <c r="BO362" s="107" t="n">
        <v>1</v>
      </c>
      <c r="BP362" s="107" t="n">
        <v>1</v>
      </c>
      <c r="BQ362" s="107" t="n">
        <v>1</v>
      </c>
      <c r="BR362" s="107" t="n">
        <v>1</v>
      </c>
      <c r="BS362" s="107" t="n">
        <v>1</v>
      </c>
      <c r="BT362" s="107" t="n">
        <v>9</v>
      </c>
      <c r="BU362" s="107" t="inlineStr">
        <is>
          <t>Strong</t>
        </is>
      </c>
      <c r="BV362" s="108" t="n">
        <v>0.26</v>
      </c>
      <c r="BW362" s="108" t="n">
        <v>-3.89</v>
      </c>
      <c r="BX362" s="108" t="n">
        <v>0.98</v>
      </c>
      <c r="BY362" s="108" t="n">
        <v>3.8</v>
      </c>
      <c r="BZ362" s="108" t="n">
        <v>1</v>
      </c>
      <c r="CA362" s="111" t="inlineStr">
        <is>
          <t>N/A</t>
        </is>
      </c>
      <c r="CB362" s="108" t="n">
        <v>0.98</v>
      </c>
      <c r="CC362" s="108" t="n">
        <v>-0.03</v>
      </c>
      <c r="CD362" s="107" t="n">
        <v>-3.22</v>
      </c>
      <c r="CE362" s="107" t="inlineStr">
        <is>
          <t>Lower Risk</t>
        </is>
      </c>
      <c r="CF362" s="108" t="n">
        <v>2.48</v>
      </c>
      <c r="CG362" s="108" t="n">
        <v>64.48999999999999</v>
      </c>
      <c r="CH362" s="107" t="n">
        <v>0</v>
      </c>
      <c r="CI362" s="107" t="inlineStr">
        <is>
          <t>CLEAR</t>
        </is>
      </c>
    </row>
    <row r="363" ht="17" customHeight="1">
      <c r="A363" s="103" t="inlineStr">
        <is>
          <t>SHAK</t>
        </is>
      </c>
      <c r="B363" s="103" t="inlineStr">
        <is>
          <t>SHAKE SHACK INC.</t>
        </is>
      </c>
      <c r="C363" s="104" t="n">
        <v>185429000</v>
      </c>
      <c r="D363" s="105" t="n">
        <v>0.04</v>
      </c>
      <c r="E363" s="105" t="n">
        <v>0.05</v>
      </c>
      <c r="F363" s="105" t="n">
        <v>0.03</v>
      </c>
      <c r="G363" s="105" t="n">
        <v>0.02</v>
      </c>
      <c r="H363" s="105" t="n">
        <v>0.01</v>
      </c>
      <c r="I363" s="105" t="n">
        <v>0.09</v>
      </c>
      <c r="J363" s="105" t="n">
        <v>0.04</v>
      </c>
      <c r="K363" s="105" t="n">
        <v>0.04</v>
      </c>
      <c r="L363" s="105" t="n">
        <v>0</v>
      </c>
      <c r="M363" s="105" t="n">
        <v>0.76</v>
      </c>
      <c r="N363" s="104" t="n">
        <v>0.74</v>
      </c>
      <c r="O363" s="104" t="n">
        <v>1.76</v>
      </c>
      <c r="P363" s="104" t="n">
        <v>1.97</v>
      </c>
      <c r="Q363" s="104" t="n">
        <v>1.73</v>
      </c>
      <c r="R363" s="104" t="n">
        <v>1.47</v>
      </c>
      <c r="S363" s="104" t="n">
        <v>0.71</v>
      </c>
      <c r="T363" s="104" t="n">
        <v>0.71</v>
      </c>
      <c r="U363" s="104" t="n">
        <v>0.47</v>
      </c>
      <c r="V363" s="104" t="n">
        <v>-0.21</v>
      </c>
      <c r="W363" s="104" t="n">
        <v>4.86</v>
      </c>
      <c r="X363" s="105" t="n">
        <v>0.04</v>
      </c>
      <c r="Y363" s="113" t="inlineStr">
        <is>
          <t>N/A</t>
        </is>
      </c>
      <c r="Z363" s="105" t="n">
        <v>28.95</v>
      </c>
      <c r="AA363" s="105" t="n">
        <v>0.15</v>
      </c>
      <c r="AB363" s="105" t="n">
        <v>3.48</v>
      </c>
      <c r="AC363" s="104" t="n">
        <v>-0.09</v>
      </c>
      <c r="AD363" s="104" t="n">
        <v>-0.09</v>
      </c>
      <c r="AE363" s="104" t="n">
        <v>0.1</v>
      </c>
      <c r="AF363" s="104" t="n">
        <v>0.04</v>
      </c>
      <c r="AG363" s="104" t="n">
        <v>0.03</v>
      </c>
      <c r="AH363" s="104" t="n">
        <v>0.39</v>
      </c>
      <c r="AI363" s="104" t="n">
        <v>0.76</v>
      </c>
      <c r="AJ363" s="104" t="n">
        <v>1.28</v>
      </c>
      <c r="AK363" s="112" t="inlineStr">
        <is>
          <t>Distress</t>
        </is>
      </c>
      <c r="AL363" s="104" t="n">
        <v>0.1</v>
      </c>
      <c r="AM363" s="104" t="n">
        <v>0.04</v>
      </c>
      <c r="AN363" s="104" t="n">
        <v>0.03</v>
      </c>
      <c r="AO363" s="104" t="n">
        <v>0.39</v>
      </c>
      <c r="AP363" s="104" t="n">
        <v>0.76</v>
      </c>
      <c r="AQ363" s="103" t="n">
        <v>1.13</v>
      </c>
      <c r="AR363" s="103" t="inlineStr">
        <is>
          <t>Distress</t>
        </is>
      </c>
      <c r="AS363" s="104" t="n">
        <v>0.1</v>
      </c>
      <c r="AT363" s="104" t="n">
        <v>0.04</v>
      </c>
      <c r="AU363" s="104" t="n">
        <v>0.03</v>
      </c>
      <c r="AV363" s="104" t="n">
        <v>0.39</v>
      </c>
      <c r="AW363" s="103" t="n">
        <v>1.4</v>
      </c>
      <c r="AX363" s="103" t="inlineStr">
        <is>
          <t>Grey</t>
        </is>
      </c>
      <c r="AY363" s="104" t="n">
        <v>0.1</v>
      </c>
      <c r="AZ363" s="104" t="n">
        <v>0.03</v>
      </c>
      <c r="BA363" s="104" t="n">
        <v>0.3</v>
      </c>
      <c r="BB363" s="104" t="n">
        <v>0.76</v>
      </c>
      <c r="BC363" s="103" t="n">
        <v>0.7</v>
      </c>
      <c r="BD363" s="103" t="inlineStr">
        <is>
          <t>Distress</t>
        </is>
      </c>
      <c r="BE363" s="104" t="n">
        <v>0.02</v>
      </c>
      <c r="BF363" s="104" t="n">
        <v>0.71</v>
      </c>
      <c r="BG363" s="104" t="n">
        <v>1.76</v>
      </c>
      <c r="BH363" s="104" t="n">
        <v>-0.42</v>
      </c>
      <c r="BI363" s="103" t="n">
        <v>0.4</v>
      </c>
      <c r="BJ363" s="103" t="inlineStr">
        <is>
          <t>Healthy</t>
        </is>
      </c>
      <c r="BK363" s="103" t="n">
        <v>1</v>
      </c>
      <c r="BL363" s="103" t="n">
        <v>1</v>
      </c>
      <c r="BM363" s="103" t="n">
        <v>1</v>
      </c>
      <c r="BN363" s="103" t="n">
        <v>1</v>
      </c>
      <c r="BO363" s="103" t="n">
        <v>1</v>
      </c>
      <c r="BP363" s="103" t="n">
        <v>0</v>
      </c>
      <c r="BQ363" s="103" t="n">
        <v>0</v>
      </c>
      <c r="BR363" s="103" t="n">
        <v>1</v>
      </c>
      <c r="BS363" s="103" t="n">
        <v>1</v>
      </c>
      <c r="BT363" s="103" t="n">
        <v>7</v>
      </c>
      <c r="BU363" s="103" t="inlineStr">
        <is>
          <t>Strong</t>
        </is>
      </c>
      <c r="BV363" s="104" t="n">
        <v>1.45</v>
      </c>
      <c r="BW363" s="104" t="n">
        <v>0.06</v>
      </c>
      <c r="BX363" s="104" t="n">
        <v>0.97</v>
      </c>
      <c r="BY363" s="104" t="n">
        <v>1.15</v>
      </c>
      <c r="BZ363" s="104" t="n">
        <v>1.08</v>
      </c>
      <c r="CA363" s="104" t="n">
        <v>1.02</v>
      </c>
      <c r="CB363" s="104" t="n">
        <v>1</v>
      </c>
      <c r="CC363" s="104" t="n">
        <v>-0.09</v>
      </c>
      <c r="CD363" s="103" t="n">
        <v>-2.87</v>
      </c>
      <c r="CE363" s="103" t="inlineStr">
        <is>
          <t>Lower Risk</t>
        </is>
      </c>
      <c r="CF363" s="104" t="n">
        <v>-0.66</v>
      </c>
      <c r="CG363" s="104" t="n">
        <v>54.68</v>
      </c>
      <c r="CH363" s="103" t="n">
        <v>0</v>
      </c>
      <c r="CI363" s="103" t="inlineStr">
        <is>
          <t>CLEAR</t>
        </is>
      </c>
    </row>
    <row r="364" ht="17" customHeight="1">
      <c r="A364" s="107" t="inlineStr">
        <is>
          <t>WBD</t>
        </is>
      </c>
      <c r="B364" s="107" t="inlineStr">
        <is>
          <t>Warner Bros. Discovery, Inc.</t>
        </is>
      </c>
      <c r="C364" s="108" t="n">
        <v>706000000</v>
      </c>
      <c r="D364" s="109" t="n">
        <v>0.07000000000000001</v>
      </c>
      <c r="E364" s="109" t="n">
        <v>0.16</v>
      </c>
      <c r="F364" s="109" t="n">
        <v>0.07000000000000001</v>
      </c>
      <c r="G364" s="109" t="n">
        <v>0.01</v>
      </c>
      <c r="H364" s="109" t="n">
        <v>-0.11</v>
      </c>
      <c r="I364" s="109" t="n">
        <v>0.02</v>
      </c>
      <c r="J364" s="109" t="n">
        <v>0.01</v>
      </c>
      <c r="K364" s="109" t="n">
        <v>0.63</v>
      </c>
      <c r="L364" s="109" t="n">
        <v>0.61</v>
      </c>
      <c r="M364" s="109" t="n">
        <v>0.11</v>
      </c>
      <c r="N364" s="108" t="n">
        <v>0.07000000000000001</v>
      </c>
      <c r="O364" s="108" t="n">
        <v>1.06</v>
      </c>
      <c r="P364" s="108" t="n">
        <v>0.89</v>
      </c>
      <c r="Q364" s="108" t="n">
        <v>1.06</v>
      </c>
      <c r="R364" s="108" t="n">
        <v>0.37</v>
      </c>
      <c r="S364" s="108" t="n">
        <v>0.63</v>
      </c>
      <c r="T364" s="108" t="n">
        <v>0.67</v>
      </c>
      <c r="U364" s="108" t="n">
        <v>0.91</v>
      </c>
      <c r="V364" s="108" t="n">
        <v>0.78</v>
      </c>
      <c r="W364" s="108" t="n">
        <v>5.94</v>
      </c>
      <c r="X364" s="109" t="n">
        <v>0.29</v>
      </c>
      <c r="Y364" s="111" t="inlineStr">
        <is>
          <t>N/A</t>
        </is>
      </c>
      <c r="Z364" s="109" t="n">
        <v>0.33</v>
      </c>
      <c r="AA364" s="109" t="n">
        <v>0.54</v>
      </c>
      <c r="AB364" s="109" t="n">
        <v>-1.06</v>
      </c>
      <c r="AC364" s="108" t="n">
        <v>-0.04</v>
      </c>
      <c r="AD364" s="108" t="n">
        <v>-0.04</v>
      </c>
      <c r="AE364" s="108" t="n">
        <v>0.01</v>
      </c>
      <c r="AF364" s="108" t="n">
        <v>-0.12</v>
      </c>
      <c r="AG364" s="108" t="n">
        <v>0.01</v>
      </c>
      <c r="AH364" s="108" t="n">
        <v>0.57</v>
      </c>
      <c r="AI364" s="108" t="n">
        <v>0.11</v>
      </c>
      <c r="AJ364" s="108" t="n">
        <v>0.32</v>
      </c>
      <c r="AK364" s="112" t="inlineStr">
        <is>
          <t>Distress</t>
        </is>
      </c>
      <c r="AL364" s="108" t="n">
        <v>0.01</v>
      </c>
      <c r="AM364" s="108" t="n">
        <v>-0.12</v>
      </c>
      <c r="AN364" s="108" t="n">
        <v>0.01</v>
      </c>
      <c r="AO364" s="108" t="n">
        <v>0.57</v>
      </c>
      <c r="AP364" s="108" t="n">
        <v>0.11</v>
      </c>
      <c r="AQ364" s="107" t="n">
        <v>0.28</v>
      </c>
      <c r="AR364" s="107" t="inlineStr">
        <is>
          <t>Distress</t>
        </is>
      </c>
      <c r="AS364" s="108" t="n">
        <v>0.01</v>
      </c>
      <c r="AT364" s="108" t="n">
        <v>-0.12</v>
      </c>
      <c r="AU364" s="108" t="n">
        <v>0.01</v>
      </c>
      <c r="AV364" s="108" t="n">
        <v>0.57</v>
      </c>
      <c r="AW364" s="107" t="n">
        <v>0.32</v>
      </c>
      <c r="AX364" s="107" t="inlineStr">
        <is>
          <t>Distress</t>
        </is>
      </c>
      <c r="AY364" s="108" t="n">
        <v>0.01</v>
      </c>
      <c r="AZ364" s="108" t="n">
        <v>0.01</v>
      </c>
      <c r="BA364" s="108" t="n">
        <v>0.13</v>
      </c>
      <c r="BB364" s="108" t="n">
        <v>0.11</v>
      </c>
      <c r="BC364" s="107" t="n">
        <v>0.16</v>
      </c>
      <c r="BD364" s="107" t="inlineStr">
        <is>
          <t>Distress</t>
        </is>
      </c>
      <c r="BE364" s="108" t="n">
        <v>0.01</v>
      </c>
      <c r="BF364" s="108" t="n">
        <v>0.63</v>
      </c>
      <c r="BG364" s="108" t="n">
        <v>1.06</v>
      </c>
      <c r="BH364" s="108" t="n">
        <v>-0.79</v>
      </c>
      <c r="BI364" s="107" t="n">
        <v>0.31</v>
      </c>
      <c r="BJ364" s="107" t="inlineStr">
        <is>
          <t>Healthy</t>
        </is>
      </c>
      <c r="BK364" s="107" t="n">
        <v>1</v>
      </c>
      <c r="BL364" s="107" t="n">
        <v>1</v>
      </c>
      <c r="BM364" s="107" t="n">
        <v>1</v>
      </c>
      <c r="BN364" s="107" t="n">
        <v>1</v>
      </c>
      <c r="BO364" s="107" t="n">
        <v>1</v>
      </c>
      <c r="BP364" s="107" t="n">
        <v>1</v>
      </c>
      <c r="BQ364" s="107" t="n">
        <v>0</v>
      </c>
      <c r="BR364" s="107" t="n">
        <v>1</v>
      </c>
      <c r="BS364" s="107" t="n">
        <v>1</v>
      </c>
      <c r="BT364" s="107" t="n">
        <v>8</v>
      </c>
      <c r="BU364" s="107" t="inlineStr">
        <is>
          <t>Strong</t>
        </is>
      </c>
      <c r="BV364" s="108" t="n">
        <v>0.7</v>
      </c>
      <c r="BW364" s="108" t="n">
        <v>0.98</v>
      </c>
      <c r="BX364" s="108" t="n">
        <v>0.99</v>
      </c>
      <c r="BY364" s="108" t="n">
        <v>1.54</v>
      </c>
      <c r="BZ364" s="108" t="n">
        <v>1.17</v>
      </c>
      <c r="CA364" s="108" t="n">
        <v>0.66</v>
      </c>
      <c r="CB364" s="108" t="n">
        <v>0.9399999999999999</v>
      </c>
      <c r="CC364" s="108" t="n">
        <v>-0.04</v>
      </c>
      <c r="CD364" s="107" t="n">
        <v>-2.37</v>
      </c>
      <c r="CE364" s="107" t="inlineStr">
        <is>
          <t>Lower Risk</t>
        </is>
      </c>
      <c r="CF364" s="108" t="n">
        <v>4.36</v>
      </c>
      <c r="CG364" s="108" t="n">
        <v>55.8</v>
      </c>
      <c r="CH364" s="107" t="n">
        <v>0</v>
      </c>
      <c r="CI364" s="107" t="inlineStr">
        <is>
          <t>CLEAR</t>
        </is>
      </c>
    </row>
    <row r="365" ht="17" customHeight="1">
      <c r="A365" s="103" t="inlineStr">
        <is>
          <t>WMT</t>
        </is>
      </c>
      <c r="B365" s="103" t="inlineStr">
        <is>
          <t>WALMART INC.</t>
        </is>
      </c>
      <c r="C365" s="104" t="n">
        <v>-22595000000</v>
      </c>
      <c r="D365" s="105" t="n">
        <v>0.04</v>
      </c>
      <c r="E365" s="105" t="n">
        <v>0.04</v>
      </c>
      <c r="F365" s="105" t="n">
        <v>0.03</v>
      </c>
      <c r="G365" s="105" t="n">
        <v>0.08</v>
      </c>
      <c r="H365" s="105" t="n">
        <v>0.07000000000000001</v>
      </c>
      <c r="I365" s="105" t="n">
        <v>0.22</v>
      </c>
      <c r="J365" s="105" t="n">
        <v>0.17</v>
      </c>
      <c r="K365" s="105" t="n">
        <v>0.25</v>
      </c>
      <c r="L365" s="105" t="n">
        <v>0.25</v>
      </c>
      <c r="M365" s="105" t="n">
        <v>2.51</v>
      </c>
      <c r="N365" s="104" t="n">
        <v>2.61</v>
      </c>
      <c r="O365" s="104" t="n">
        <v>0.79</v>
      </c>
      <c r="P365" s="104" t="n">
        <v>0.82</v>
      </c>
      <c r="Q365" s="104" t="n">
        <v>0.24</v>
      </c>
      <c r="R365" s="104" t="n">
        <v>0.1</v>
      </c>
      <c r="S365" s="104" t="n">
        <v>1</v>
      </c>
      <c r="T365" s="104" t="n">
        <v>1</v>
      </c>
      <c r="U365" s="104" t="n">
        <v>0.45</v>
      </c>
      <c r="V365" s="104" t="n">
        <v>0.34</v>
      </c>
      <c r="W365" s="104" t="n">
        <v>1.9</v>
      </c>
      <c r="X365" s="105" t="n">
        <v>0.02</v>
      </c>
      <c r="Y365" s="113" t="inlineStr">
        <is>
          <t>N/A</t>
        </is>
      </c>
      <c r="Z365" s="105" t="n">
        <v>12.87</v>
      </c>
      <c r="AA365" s="105" t="n">
        <v>0.05</v>
      </c>
      <c r="AB365" s="105" t="n">
        <v>0.13</v>
      </c>
      <c r="AC365" s="104" t="n">
        <v>-0.07000000000000001</v>
      </c>
      <c r="AD365" s="104" t="n">
        <v>-0.07000000000000001</v>
      </c>
      <c r="AE365" s="104" t="n">
        <v>-0.08</v>
      </c>
      <c r="AF365" s="104" t="n">
        <v>0.37</v>
      </c>
      <c r="AG365" s="104" t="n">
        <v>0.1</v>
      </c>
      <c r="AH365" s="104" t="n">
        <v>0.35</v>
      </c>
      <c r="AI365" s="104" t="n">
        <v>2.51</v>
      </c>
      <c r="AJ365" s="104" t="n">
        <v>3.48</v>
      </c>
      <c r="AK365" s="110" t="inlineStr">
        <is>
          <t>Safe</t>
        </is>
      </c>
      <c r="AL365" s="104" t="n">
        <v>-0.08</v>
      </c>
      <c r="AM365" s="104" t="n">
        <v>0.37</v>
      </c>
      <c r="AN365" s="104" t="n">
        <v>0.1</v>
      </c>
      <c r="AO365" s="104" t="n">
        <v>0.35</v>
      </c>
      <c r="AP365" s="104" t="n">
        <v>2.51</v>
      </c>
      <c r="AQ365" s="103" t="n">
        <v>3.23</v>
      </c>
      <c r="AR365" s="103" t="inlineStr">
        <is>
          <t>Safe</t>
        </is>
      </c>
      <c r="AS365" s="104" t="n">
        <v>-0.08</v>
      </c>
      <c r="AT365" s="104" t="n">
        <v>0.37</v>
      </c>
      <c r="AU365" s="104" t="n">
        <v>0.1</v>
      </c>
      <c r="AV365" s="104" t="n">
        <v>0.35</v>
      </c>
      <c r="AW365" s="103" t="n">
        <v>1.75</v>
      </c>
      <c r="AX365" s="103" t="inlineStr">
        <is>
          <t>Grey</t>
        </is>
      </c>
      <c r="AY365" s="104" t="n">
        <v>-0.08</v>
      </c>
      <c r="AZ365" s="104" t="n">
        <v>0.1</v>
      </c>
      <c r="BA365" s="104" t="n">
        <v>0.27</v>
      </c>
      <c r="BB365" s="104" t="n">
        <v>2.51</v>
      </c>
      <c r="BC365" s="103" t="n">
        <v>1.42</v>
      </c>
      <c r="BD365" s="103" t="inlineStr">
        <is>
          <t>Healthy</t>
        </is>
      </c>
      <c r="BE365" s="104" t="n">
        <v>0.08</v>
      </c>
      <c r="BF365" s="104" t="n">
        <v>1</v>
      </c>
      <c r="BG365" s="104" t="n">
        <v>0.79</v>
      </c>
      <c r="BH365" s="104" t="n">
        <v>1</v>
      </c>
      <c r="BI365" s="103" t="n">
        <v>0.73</v>
      </c>
      <c r="BJ365" s="103" t="inlineStr">
        <is>
          <t>Distress</t>
        </is>
      </c>
      <c r="BK365" s="103" t="n">
        <v>1</v>
      </c>
      <c r="BL365" s="103" t="n">
        <v>1</v>
      </c>
      <c r="BM365" s="103" t="n">
        <v>1</v>
      </c>
      <c r="BN365" s="103" t="n">
        <v>1</v>
      </c>
      <c r="BO365" s="103" t="n">
        <v>1</v>
      </c>
      <c r="BP365" s="103" t="n">
        <v>0</v>
      </c>
      <c r="BQ365" s="103" t="n">
        <v>1</v>
      </c>
      <c r="BR365" s="103" t="n">
        <v>1</v>
      </c>
      <c r="BS365" s="103" t="n">
        <v>0</v>
      </c>
      <c r="BT365" s="103" t="n">
        <v>7</v>
      </c>
      <c r="BU365" s="103" t="inlineStr">
        <is>
          <t>Strong</t>
        </is>
      </c>
      <c r="BV365" s="104" t="n">
        <v>1.07</v>
      </c>
      <c r="BW365" s="104" t="n">
        <v>1</v>
      </c>
      <c r="BX365" s="104" t="n">
        <v>0.95</v>
      </c>
      <c r="BY365" s="104" t="n">
        <v>1.05</v>
      </c>
      <c r="BZ365" s="104" t="n">
        <v>1.11</v>
      </c>
      <c r="CA365" s="104" t="n">
        <v>1.01</v>
      </c>
      <c r="CB365" s="104" t="n">
        <v>1</v>
      </c>
      <c r="CC365" s="104" t="n">
        <v>-0.07000000000000001</v>
      </c>
      <c r="CD365" s="103" t="n">
        <v>-2.71</v>
      </c>
      <c r="CE365" s="103" t="inlineStr">
        <is>
          <t>Lower Risk</t>
        </is>
      </c>
      <c r="CF365" s="104" t="n">
        <v>0.84</v>
      </c>
      <c r="CG365" s="104" t="n">
        <v>62.02</v>
      </c>
      <c r="CH365" s="103" t="n">
        <v>0</v>
      </c>
      <c r="CI365" s="103" t="inlineStr">
        <is>
          <t>CLEAR</t>
        </is>
      </c>
    </row>
    <row r="366" ht="17" customHeight="1">
      <c r="A366" s="107" t="inlineStr">
        <is>
          <t>TXT</t>
        </is>
      </c>
      <c r="B366" s="107" t="inlineStr">
        <is>
          <t>Textron Inc.</t>
        </is>
      </c>
      <c r="C366" s="111" t="inlineStr">
        <is>
          <t>N/A</t>
        </is>
      </c>
      <c r="D366" s="109" t="n">
        <v>0.08</v>
      </c>
      <c r="E366" s="109" t="n">
        <v>0.08</v>
      </c>
      <c r="F366" s="109" t="n">
        <v>0.06</v>
      </c>
      <c r="G366" s="109" t="n">
        <v>0.05</v>
      </c>
      <c r="H366" s="109" t="n">
        <v>0.05</v>
      </c>
      <c r="I366" s="109" t="n">
        <v>0.12</v>
      </c>
      <c r="J366" s="111" t="inlineStr">
        <is>
          <t>N/A</t>
        </is>
      </c>
      <c r="K366" s="109" t="n">
        <v>0.32</v>
      </c>
      <c r="L366" s="109" t="n">
        <v>0.17</v>
      </c>
      <c r="M366" s="109" t="n">
        <v>0.82</v>
      </c>
      <c r="N366" s="108" t="n">
        <v>0.8100000000000001</v>
      </c>
      <c r="O366" s="111" t="inlineStr">
        <is>
          <t>N/A</t>
        </is>
      </c>
      <c r="P366" s="111" t="inlineStr">
        <is>
          <t>N/A</t>
        </is>
      </c>
      <c r="Q366" s="111" t="inlineStr">
        <is>
          <t>N/A</t>
        </is>
      </c>
      <c r="R366" s="111" t="inlineStr">
        <is>
          <t>N/A</t>
        </is>
      </c>
      <c r="S366" s="108" t="n">
        <v>0.57</v>
      </c>
      <c r="T366" s="108" t="n">
        <v>0.57</v>
      </c>
      <c r="U366" s="111" t="inlineStr">
        <is>
          <t>N/A</t>
        </is>
      </c>
      <c r="V366" s="111" t="inlineStr">
        <is>
          <t>N/A</t>
        </is>
      </c>
      <c r="W366" s="108" t="n">
        <v>1.42</v>
      </c>
      <c r="X366" s="109" t="n">
        <v>0.06</v>
      </c>
      <c r="Y366" s="109" t="n">
        <v>0.04</v>
      </c>
      <c r="Z366" s="109" t="n">
        <v>8.01</v>
      </c>
      <c r="AA366" s="109" t="n">
        <v>0.08</v>
      </c>
      <c r="AB366" s="109" t="n">
        <v>0.12</v>
      </c>
      <c r="AC366" s="108" t="n">
        <v>-0.02</v>
      </c>
      <c r="AD366" s="108" t="n">
        <v>-0.02</v>
      </c>
      <c r="AE366" s="111" t="inlineStr">
        <is>
          <t>N/A</t>
        </is>
      </c>
      <c r="AF366" s="108" t="n">
        <v>0.32</v>
      </c>
      <c r="AG366" s="108" t="n">
        <v>0.06</v>
      </c>
      <c r="AH366" s="108" t="n">
        <v>0.77</v>
      </c>
      <c r="AI366" s="108" t="n">
        <v>0.82</v>
      </c>
      <c r="AJ366" s="111" t="inlineStr">
        <is>
          <t>N/A</t>
        </is>
      </c>
      <c r="AK366" s="111" t="inlineStr">
        <is>
          <t>N/A</t>
        </is>
      </c>
      <c r="AL366" s="111" t="inlineStr">
        <is>
          <t>N/A</t>
        </is>
      </c>
      <c r="AM366" s="108" t="n">
        <v>0.32</v>
      </c>
      <c r="AN366" s="108" t="n">
        <v>0.06</v>
      </c>
      <c r="AO366" s="108" t="n">
        <v>0.77</v>
      </c>
      <c r="AP366" s="108" t="n">
        <v>0.82</v>
      </c>
      <c r="AQ366" s="111" t="inlineStr">
        <is>
          <t>N/A</t>
        </is>
      </c>
      <c r="AR366" s="111" t="inlineStr">
        <is>
          <t>N/A</t>
        </is>
      </c>
      <c r="AS366" s="111" t="inlineStr">
        <is>
          <t>N/A</t>
        </is>
      </c>
      <c r="AT366" s="108" t="n">
        <v>0.32</v>
      </c>
      <c r="AU366" s="108" t="n">
        <v>0.06</v>
      </c>
      <c r="AV366" s="108" t="n">
        <v>0.77</v>
      </c>
      <c r="AW366" s="111" t="inlineStr">
        <is>
          <t>N/A</t>
        </is>
      </c>
      <c r="AX366" s="111" t="inlineStr">
        <is>
          <t>N/A</t>
        </is>
      </c>
      <c r="AY366" s="111" t="inlineStr">
        <is>
          <t>N/A</t>
        </is>
      </c>
      <c r="AZ366" s="108" t="n">
        <v>0.06</v>
      </c>
      <c r="BA366" s="111" t="inlineStr">
        <is>
          <t>N/A</t>
        </is>
      </c>
      <c r="BB366" s="108" t="n">
        <v>0.82</v>
      </c>
      <c r="BC366" s="111" t="inlineStr">
        <is>
          <t>N/A</t>
        </is>
      </c>
      <c r="BD366" s="111" t="inlineStr">
        <is>
          <t>N/A</t>
        </is>
      </c>
      <c r="BE366" s="108" t="n">
        <v>0.05</v>
      </c>
      <c r="BF366" s="108" t="n">
        <v>0.57</v>
      </c>
      <c r="BG366" s="111" t="inlineStr">
        <is>
          <t>N/A</t>
        </is>
      </c>
      <c r="BH366" s="111" t="inlineStr">
        <is>
          <t>N/A</t>
        </is>
      </c>
      <c r="BI366" s="111" t="inlineStr">
        <is>
          <t>N/A</t>
        </is>
      </c>
      <c r="BJ366" s="111" t="inlineStr">
        <is>
          <t>N/A</t>
        </is>
      </c>
      <c r="BK366" s="107" t="n">
        <v>1</v>
      </c>
      <c r="BL366" s="107" t="n">
        <v>1</v>
      </c>
      <c r="BM366" s="107" t="n">
        <v>1</v>
      </c>
      <c r="BN366" s="107" t="n">
        <v>1</v>
      </c>
      <c r="BO366" s="107" t="n">
        <v>0</v>
      </c>
      <c r="BP366" s="107" t="n">
        <v>0</v>
      </c>
      <c r="BQ366" s="107" t="n">
        <v>1</v>
      </c>
      <c r="BR366" s="107" t="n">
        <v>1</v>
      </c>
      <c r="BS366" s="107" t="n">
        <v>1</v>
      </c>
      <c r="BT366" s="107" t="n">
        <v>7</v>
      </c>
      <c r="BU366" s="107" t="inlineStr">
        <is>
          <t>Strong</t>
        </is>
      </c>
      <c r="BV366" s="111" t="inlineStr">
        <is>
          <t>N/A</t>
        </is>
      </c>
      <c r="BW366" s="108" t="n">
        <v>0.53</v>
      </c>
      <c r="BX366" s="108" t="n">
        <v>1.02</v>
      </c>
      <c r="BY366" s="108" t="n">
        <v>1.08</v>
      </c>
      <c r="BZ366" s="108" t="n">
        <v>0.9399999999999999</v>
      </c>
      <c r="CA366" s="108" t="n">
        <v>0.9399999999999999</v>
      </c>
      <c r="CB366" s="108" t="n">
        <v>0.99</v>
      </c>
      <c r="CC366" s="108" t="n">
        <v>-0.02</v>
      </c>
      <c r="CD366" s="111" t="inlineStr">
        <is>
          <t>N/A</t>
        </is>
      </c>
      <c r="CE366" s="111" t="inlineStr">
        <is>
          <t>N/A</t>
        </is>
      </c>
      <c r="CF366" s="111" t="inlineStr">
        <is>
          <t>N/A</t>
        </is>
      </c>
      <c r="CG366" s="108" t="n">
        <v>51.33</v>
      </c>
      <c r="CH366" s="107" t="n">
        <v>0</v>
      </c>
      <c r="CI366" s="107" t="inlineStr">
        <is>
          <t>CLEAR</t>
        </is>
      </c>
    </row>
    <row r="367" ht="17" customHeight="1">
      <c r="A367" s="103" t="inlineStr">
        <is>
          <t>RBA</t>
        </is>
      </c>
      <c r="B367" s="103" t="inlineStr">
        <is>
          <t>RB Global, Inc</t>
        </is>
      </c>
      <c r="C367" s="104" t="n">
        <v>166800000</v>
      </c>
      <c r="D367" s="105" t="n">
        <v>0.16</v>
      </c>
      <c r="E367" s="105" t="n">
        <v>0.12</v>
      </c>
      <c r="F367" s="105" t="n">
        <v>0.09</v>
      </c>
      <c r="G367" s="105" t="n">
        <v>0.04</v>
      </c>
      <c r="H367" s="105" t="n">
        <v>0.03</v>
      </c>
      <c r="I367" s="105" t="n">
        <v>0.08</v>
      </c>
      <c r="J367" s="105" t="n">
        <v>0.07000000000000001</v>
      </c>
      <c r="K367" s="105" t="n">
        <v>0.12</v>
      </c>
      <c r="L367" s="105" t="n">
        <v>0.12</v>
      </c>
      <c r="M367" s="105" t="n">
        <v>0.38</v>
      </c>
      <c r="N367" s="104" t="n">
        <v>0.36</v>
      </c>
      <c r="O367" s="104" t="n">
        <v>1.1</v>
      </c>
      <c r="P367" s="104" t="n">
        <v>1.29</v>
      </c>
      <c r="Q367" s="104" t="n">
        <v>1.02</v>
      </c>
      <c r="R367" s="104" t="n">
        <v>0.33</v>
      </c>
      <c r="S367" s="104" t="n">
        <v>0.5</v>
      </c>
      <c r="T367" s="104" t="n">
        <v>0.52</v>
      </c>
      <c r="U367" s="104" t="n">
        <v>0.44</v>
      </c>
      <c r="V367" s="104" t="n">
        <v>0.35</v>
      </c>
      <c r="W367" s="104" t="n">
        <v>2.28</v>
      </c>
      <c r="X367" s="105" t="n">
        <v>0.16</v>
      </c>
      <c r="Y367" s="105" t="n">
        <v>0</v>
      </c>
      <c r="Z367" s="105" t="n">
        <v>3.34</v>
      </c>
      <c r="AA367" s="105" t="n">
        <v>0.07000000000000001</v>
      </c>
      <c r="AB367" s="105" t="n">
        <v>0.04</v>
      </c>
      <c r="AC367" s="104" t="n">
        <v>-0.05</v>
      </c>
      <c r="AD367" s="104" t="n">
        <v>-0.05</v>
      </c>
      <c r="AE367" s="104" t="n">
        <v>0.01</v>
      </c>
      <c r="AF367" s="104" t="n">
        <v>0.1</v>
      </c>
      <c r="AG367" s="104" t="n">
        <v>0.06</v>
      </c>
      <c r="AH367" s="104" t="n">
        <v>0.92</v>
      </c>
      <c r="AI367" s="104" t="n">
        <v>0.38</v>
      </c>
      <c r="AJ367" s="104" t="n">
        <v>1.28</v>
      </c>
      <c r="AK367" s="112" t="inlineStr">
        <is>
          <t>Distress</t>
        </is>
      </c>
      <c r="AL367" s="104" t="n">
        <v>0.01</v>
      </c>
      <c r="AM367" s="104" t="n">
        <v>0.1</v>
      </c>
      <c r="AN367" s="104" t="n">
        <v>0.06</v>
      </c>
      <c r="AO367" s="104" t="n">
        <v>0.92</v>
      </c>
      <c r="AP367" s="104" t="n">
        <v>0.38</v>
      </c>
      <c r="AQ367" s="103" t="n">
        <v>1.04</v>
      </c>
      <c r="AR367" s="103" t="inlineStr">
        <is>
          <t>Distress</t>
        </is>
      </c>
      <c r="AS367" s="104" t="n">
        <v>0.01</v>
      </c>
      <c r="AT367" s="104" t="n">
        <v>0.1</v>
      </c>
      <c r="AU367" s="104" t="n">
        <v>0.06</v>
      </c>
      <c r="AV367" s="104" t="n">
        <v>0.92</v>
      </c>
      <c r="AW367" s="103" t="n">
        <v>1.78</v>
      </c>
      <c r="AX367" s="103" t="inlineStr">
        <is>
          <t>Grey</t>
        </is>
      </c>
      <c r="AY367" s="104" t="n">
        <v>0.01</v>
      </c>
      <c r="AZ367" s="104" t="n">
        <v>0.06</v>
      </c>
      <c r="BA367" s="104" t="n">
        <v>0.33</v>
      </c>
      <c r="BB367" s="104" t="n">
        <v>0.38</v>
      </c>
      <c r="BC367" s="103" t="n">
        <v>0.5600000000000001</v>
      </c>
      <c r="BD367" s="103" t="inlineStr">
        <is>
          <t>Distress</t>
        </is>
      </c>
      <c r="BE367" s="104" t="n">
        <v>0.04</v>
      </c>
      <c r="BF367" s="104" t="n">
        <v>0.5</v>
      </c>
      <c r="BG367" s="104" t="n">
        <v>1.1</v>
      </c>
      <c r="BH367" s="104" t="n">
        <v>-1.65</v>
      </c>
      <c r="BI367" s="103" t="n">
        <v>0.16</v>
      </c>
      <c r="BJ367" s="103" t="inlineStr">
        <is>
          <t>Healthy</t>
        </is>
      </c>
      <c r="BK367" s="103" t="n">
        <v>1</v>
      </c>
      <c r="BL367" s="103" t="n">
        <v>1</v>
      </c>
      <c r="BM367" s="103" t="n">
        <v>1</v>
      </c>
      <c r="BN367" s="103" t="n">
        <v>1</v>
      </c>
      <c r="BO367" s="103" t="n">
        <v>1</v>
      </c>
      <c r="BP367" s="103" t="n">
        <v>0</v>
      </c>
      <c r="BQ367" s="103" t="n">
        <v>0</v>
      </c>
      <c r="BR367" s="103" t="n">
        <v>0</v>
      </c>
      <c r="BS367" s="103" t="n">
        <v>1</v>
      </c>
      <c r="BT367" s="103" t="n">
        <v>6</v>
      </c>
      <c r="BU367" s="103" t="inlineStr">
        <is>
          <t>Mixed</t>
        </is>
      </c>
      <c r="BV367" s="104" t="n">
        <v>0.93</v>
      </c>
      <c r="BW367" s="104" t="n">
        <v>1.01</v>
      </c>
      <c r="BX367" s="104" t="n">
        <v>0.97</v>
      </c>
      <c r="BY367" s="104" t="n">
        <v>1.07</v>
      </c>
      <c r="BZ367" s="104" t="n">
        <v>1.07</v>
      </c>
      <c r="CA367" s="104" t="n">
        <v>1.09</v>
      </c>
      <c r="CB367" s="104" t="n">
        <v>0.97</v>
      </c>
      <c r="CC367" s="104" t="n">
        <v>-0.05</v>
      </c>
      <c r="CD367" s="103" t="n">
        <v>-2.7</v>
      </c>
      <c r="CE367" s="103" t="inlineStr">
        <is>
          <t>Lower Risk</t>
        </is>
      </c>
      <c r="CF367" s="104" t="n">
        <v>1.62</v>
      </c>
      <c r="CG367" s="104" t="n">
        <v>51.48</v>
      </c>
      <c r="CH367" s="103" t="n">
        <v>0</v>
      </c>
      <c r="CI367" s="103" t="inlineStr">
        <is>
          <t>CLEAR</t>
        </is>
      </c>
    </row>
    <row r="368" ht="17" customHeight="1">
      <c r="A368" s="107" t="inlineStr">
        <is>
          <t>EA</t>
        </is>
      </c>
      <c r="B368" s="107" t="inlineStr">
        <is>
          <t>ELECTRONIC ARTS INC.</t>
        </is>
      </c>
      <c r="C368" s="108" t="n">
        <v>176000000</v>
      </c>
      <c r="D368" s="109" t="n">
        <v>0.15</v>
      </c>
      <c r="E368" s="109" t="n">
        <v>0.16</v>
      </c>
      <c r="F368" s="109" t="n">
        <v>0.12</v>
      </c>
      <c r="G368" s="109" t="n">
        <v>0.07000000000000001</v>
      </c>
      <c r="H368" s="109" t="n">
        <v>0.09</v>
      </c>
      <c r="I368" s="109" t="n">
        <v>0.13</v>
      </c>
      <c r="J368" s="109" t="n">
        <v>0.12</v>
      </c>
      <c r="K368" s="109" t="n">
        <v>0.79</v>
      </c>
      <c r="L368" s="109" t="n">
        <v>0.79</v>
      </c>
      <c r="M368" s="109" t="n">
        <v>0.57</v>
      </c>
      <c r="N368" s="108" t="n">
        <v>0.6</v>
      </c>
      <c r="O368" s="108" t="n">
        <v>1.05</v>
      </c>
      <c r="P368" s="108" t="n">
        <v>0.95</v>
      </c>
      <c r="Q368" s="108" t="n">
        <v>1.04</v>
      </c>
      <c r="R368" s="108" t="n">
        <v>0.72</v>
      </c>
      <c r="S368" s="108" t="n">
        <v>0.48</v>
      </c>
      <c r="T368" s="108" t="n">
        <v>0.48</v>
      </c>
      <c r="U368" s="111" t="inlineStr">
        <is>
          <t>N/A</t>
        </is>
      </c>
      <c r="V368" s="111" t="inlineStr">
        <is>
          <t>N/A</t>
        </is>
      </c>
      <c r="W368" s="108" t="n">
        <v>2.88</v>
      </c>
      <c r="X368" s="111" t="inlineStr">
        <is>
          <t>N/A</t>
        </is>
      </c>
      <c r="Y368" s="111" t="inlineStr">
        <is>
          <t>N/A</t>
        </is>
      </c>
      <c r="Z368" s="109" t="n">
        <v>21.92</v>
      </c>
      <c r="AA368" s="109" t="n">
        <v>0.01</v>
      </c>
      <c r="AB368" s="109" t="n">
        <v>-0.21</v>
      </c>
      <c r="AC368" s="108" t="n">
        <v>-0.13</v>
      </c>
      <c r="AD368" s="108" t="n">
        <v>-0.13</v>
      </c>
      <c r="AE368" s="108" t="n">
        <v>0.01</v>
      </c>
      <c r="AF368" s="108" t="n">
        <v>0.5</v>
      </c>
      <c r="AG368" s="108" t="n">
        <v>0.09</v>
      </c>
      <c r="AH368" s="108" t="n">
        <v>1.06</v>
      </c>
      <c r="AI368" s="108" t="n">
        <v>0.57</v>
      </c>
      <c r="AJ368" s="108" t="n">
        <v>2.22</v>
      </c>
      <c r="AK368" s="106" t="inlineStr">
        <is>
          <t>Grey</t>
        </is>
      </c>
      <c r="AL368" s="108" t="n">
        <v>0.01</v>
      </c>
      <c r="AM368" s="108" t="n">
        <v>0.5</v>
      </c>
      <c r="AN368" s="108" t="n">
        <v>0.09</v>
      </c>
      <c r="AO368" s="108" t="n">
        <v>1.06</v>
      </c>
      <c r="AP368" s="108" t="n">
        <v>0.57</v>
      </c>
      <c r="AQ368" s="107" t="n">
        <v>1.73</v>
      </c>
      <c r="AR368" s="107" t="inlineStr">
        <is>
          <t>Grey</t>
        </is>
      </c>
      <c r="AS368" s="108" t="n">
        <v>0.01</v>
      </c>
      <c r="AT368" s="108" t="n">
        <v>0.5</v>
      </c>
      <c r="AU368" s="108" t="n">
        <v>0.09</v>
      </c>
      <c r="AV368" s="108" t="n">
        <v>1.06</v>
      </c>
      <c r="AW368" s="107" t="n">
        <v>3.44</v>
      </c>
      <c r="AX368" s="107" t="inlineStr">
        <is>
          <t>Safe</t>
        </is>
      </c>
      <c r="AY368" s="108" t="n">
        <v>0.01</v>
      </c>
      <c r="AZ368" s="108" t="n">
        <v>0.09</v>
      </c>
      <c r="BA368" s="108" t="n">
        <v>0.31</v>
      </c>
      <c r="BB368" s="108" t="n">
        <v>0.57</v>
      </c>
      <c r="BC368" s="107" t="n">
        <v>0.72</v>
      </c>
      <c r="BD368" s="107" t="inlineStr">
        <is>
          <t>Distress</t>
        </is>
      </c>
      <c r="BE368" s="108" t="n">
        <v>0.07000000000000001</v>
      </c>
      <c r="BF368" s="108" t="n">
        <v>0.48</v>
      </c>
      <c r="BG368" s="108" t="n">
        <v>1.05</v>
      </c>
      <c r="BH368" s="108" t="n">
        <v>-1.88</v>
      </c>
      <c r="BI368" s="107" t="n">
        <v>0.13</v>
      </c>
      <c r="BJ368" s="107" t="inlineStr">
        <is>
          <t>Healthy</t>
        </is>
      </c>
      <c r="BK368" s="107" t="n">
        <v>1</v>
      </c>
      <c r="BL368" s="107" t="n">
        <v>1</v>
      </c>
      <c r="BM368" s="107" t="n">
        <v>0</v>
      </c>
      <c r="BN368" s="107" t="n">
        <v>1</v>
      </c>
      <c r="BO368" s="107" t="n">
        <v>0</v>
      </c>
      <c r="BP368" s="107" t="n">
        <v>1</v>
      </c>
      <c r="BQ368" s="107" t="n">
        <v>1</v>
      </c>
      <c r="BR368" s="107" t="n">
        <v>0</v>
      </c>
      <c r="BS368" s="107" t="n">
        <v>0</v>
      </c>
      <c r="BT368" s="107" t="n">
        <v>5</v>
      </c>
      <c r="BU368" s="107" t="inlineStr">
        <is>
          <t>Mixed</t>
        </is>
      </c>
      <c r="BV368" s="108" t="n">
        <v>0.92</v>
      </c>
      <c r="BW368" s="108" t="n">
        <v>1</v>
      </c>
      <c r="BX368" s="108" t="n">
        <v>0.95</v>
      </c>
      <c r="BY368" s="108" t="n">
        <v>1.01</v>
      </c>
      <c r="BZ368" s="108" t="n">
        <v>0.99</v>
      </c>
      <c r="CA368" s="108" t="n">
        <v>1.01</v>
      </c>
      <c r="CB368" s="108" t="n">
        <v>1</v>
      </c>
      <c r="CC368" s="108" t="n">
        <v>-0.13</v>
      </c>
      <c r="CD368" s="107" t="n">
        <v>-3.16</v>
      </c>
      <c r="CE368" s="107" t="inlineStr">
        <is>
          <t>Lower Risk</t>
        </is>
      </c>
      <c r="CF368" s="111" t="inlineStr">
        <is>
          <t>N/A</t>
        </is>
      </c>
      <c r="CG368" s="108" t="n">
        <v>50.09</v>
      </c>
      <c r="CH368" s="107" t="n">
        <v>20</v>
      </c>
      <c r="CI368" s="107" t="inlineStr">
        <is>
          <t>CLEAR</t>
        </is>
      </c>
    </row>
    <row r="369" ht="17" customHeight="1">
      <c r="A369" s="103" t="inlineStr">
        <is>
          <t>UMBF</t>
        </is>
      </c>
      <c r="B369" s="103" t="inlineStr">
        <is>
          <t>UMB FINANCIAL CORP</t>
        </is>
      </c>
      <c r="C369" s="113" t="inlineStr">
        <is>
          <t>N/A</t>
        </is>
      </c>
      <c r="D369" s="113" t="inlineStr">
        <is>
          <t>N/A</t>
        </is>
      </c>
      <c r="E369" s="113" t="inlineStr">
        <is>
          <t>N/A</t>
        </is>
      </c>
      <c r="F369" s="113" t="inlineStr">
        <is>
          <t>N/A</t>
        </is>
      </c>
      <c r="G369" s="105" t="n">
        <v>0.01</v>
      </c>
      <c r="H369" s="105" t="n">
        <v>0.01</v>
      </c>
      <c r="I369" s="105" t="n">
        <v>0.09</v>
      </c>
      <c r="J369" s="113" t="inlineStr">
        <is>
          <t>N/A</t>
        </is>
      </c>
      <c r="K369" s="113" t="inlineStr">
        <is>
          <t>N/A</t>
        </is>
      </c>
      <c r="L369" s="113" t="inlineStr">
        <is>
          <t>N/A</t>
        </is>
      </c>
      <c r="M369" s="113" t="inlineStr">
        <is>
          <t>N/A</t>
        </is>
      </c>
      <c r="N369" s="113" t="inlineStr">
        <is>
          <t>N/A</t>
        </is>
      </c>
      <c r="O369" s="113" t="inlineStr">
        <is>
          <t>N/A</t>
        </is>
      </c>
      <c r="P369" s="113" t="inlineStr">
        <is>
          <t>N/A</t>
        </is>
      </c>
      <c r="Q369" s="113" t="inlineStr">
        <is>
          <t>N/A</t>
        </is>
      </c>
      <c r="R369" s="113" t="inlineStr">
        <is>
          <t>N/A</t>
        </is>
      </c>
      <c r="S369" s="104" t="n">
        <v>0.89</v>
      </c>
      <c r="T369" s="104" t="n">
        <v>0.93</v>
      </c>
      <c r="U369" s="104" t="n">
        <v>0.3</v>
      </c>
      <c r="V369" s="104" t="n">
        <v>-0.71</v>
      </c>
      <c r="W369" s="104" t="n">
        <v>1.46</v>
      </c>
      <c r="X369" s="113" t="inlineStr">
        <is>
          <t>N/A</t>
        </is>
      </c>
      <c r="Y369" s="105" t="n">
        <v>0</v>
      </c>
      <c r="Z369" s="105" t="n">
        <v>0.95</v>
      </c>
      <c r="AA369" s="113" t="inlineStr">
        <is>
          <t>N/A</t>
        </is>
      </c>
      <c r="AB369" s="105" t="n">
        <v>0.59</v>
      </c>
      <c r="AC369" s="104" t="n">
        <v>-0</v>
      </c>
      <c r="AD369" s="104" t="n">
        <v>-0</v>
      </c>
      <c r="AE369" s="113" t="inlineStr">
        <is>
          <t>N/A</t>
        </is>
      </c>
      <c r="AF369" s="104" t="n">
        <v>0.05</v>
      </c>
      <c r="AG369" s="104" t="n">
        <v>0.01</v>
      </c>
      <c r="AH369" s="104" t="n">
        <v>0.12</v>
      </c>
      <c r="AI369" s="113" t="inlineStr">
        <is>
          <t>N/A</t>
        </is>
      </c>
      <c r="AJ369" s="113" t="inlineStr">
        <is>
          <t>N/A</t>
        </is>
      </c>
      <c r="AK369" s="113" t="inlineStr">
        <is>
          <t>N/A</t>
        </is>
      </c>
      <c r="AL369" s="113" t="inlineStr">
        <is>
          <t>N/A</t>
        </is>
      </c>
      <c r="AM369" s="104" t="n">
        <v>0.05</v>
      </c>
      <c r="AN369" s="104" t="n">
        <v>0.01</v>
      </c>
      <c r="AO369" s="104" t="n">
        <v>0.12</v>
      </c>
      <c r="AP369" s="113" t="inlineStr">
        <is>
          <t>N/A</t>
        </is>
      </c>
      <c r="AQ369" s="113" t="inlineStr">
        <is>
          <t>N/A</t>
        </is>
      </c>
      <c r="AR369" s="113" t="inlineStr">
        <is>
          <t>N/A</t>
        </is>
      </c>
      <c r="AS369" s="113" t="inlineStr">
        <is>
          <t>N/A</t>
        </is>
      </c>
      <c r="AT369" s="104" t="n">
        <v>0.05</v>
      </c>
      <c r="AU369" s="104" t="n">
        <v>0.01</v>
      </c>
      <c r="AV369" s="104" t="n">
        <v>0.12</v>
      </c>
      <c r="AW369" s="113" t="inlineStr">
        <is>
          <t>N/A</t>
        </is>
      </c>
      <c r="AX369" s="113" t="inlineStr">
        <is>
          <t>N/A</t>
        </is>
      </c>
      <c r="AY369" s="113" t="inlineStr">
        <is>
          <t>N/A</t>
        </is>
      </c>
      <c r="AZ369" s="104" t="n">
        <v>0.01</v>
      </c>
      <c r="BA369" s="113" t="inlineStr">
        <is>
          <t>N/A</t>
        </is>
      </c>
      <c r="BB369" s="113" t="inlineStr">
        <is>
          <t>N/A</t>
        </is>
      </c>
      <c r="BC369" s="113" t="inlineStr">
        <is>
          <t>N/A</t>
        </is>
      </c>
      <c r="BD369" s="113" t="inlineStr">
        <is>
          <t>N/A</t>
        </is>
      </c>
      <c r="BE369" s="104" t="n">
        <v>0.01</v>
      </c>
      <c r="BF369" s="104" t="n">
        <v>0.89</v>
      </c>
      <c r="BG369" s="113" t="inlineStr">
        <is>
          <t>N/A</t>
        </is>
      </c>
      <c r="BH369" s="113" t="inlineStr">
        <is>
          <t>N/A</t>
        </is>
      </c>
      <c r="BI369" s="113" t="inlineStr">
        <is>
          <t>N/A</t>
        </is>
      </c>
      <c r="BJ369" s="113" t="inlineStr">
        <is>
          <t>N/A</t>
        </is>
      </c>
      <c r="BK369" s="103" t="n">
        <v>1</v>
      </c>
      <c r="BL369" s="103" t="n">
        <v>1</v>
      </c>
      <c r="BM369" s="103" t="n">
        <v>1</v>
      </c>
      <c r="BN369" s="103" t="n">
        <v>1</v>
      </c>
      <c r="BO369" s="103" t="n">
        <v>1</v>
      </c>
      <c r="BP369" s="103" t="n">
        <v>0</v>
      </c>
      <c r="BQ369" s="103" t="n">
        <v>0</v>
      </c>
      <c r="BR369" s="103" t="n">
        <v>0</v>
      </c>
      <c r="BS369" s="103" t="n">
        <v>0</v>
      </c>
      <c r="BT369" s="103" t="n">
        <v>5</v>
      </c>
      <c r="BU369" s="103" t="inlineStr">
        <is>
          <t>Mixed</t>
        </is>
      </c>
      <c r="BV369" s="113" t="inlineStr">
        <is>
          <t>N/A</t>
        </is>
      </c>
      <c r="BW369" s="113" t="inlineStr">
        <is>
          <t>N/A</t>
        </is>
      </c>
      <c r="BX369" s="104" t="n">
        <v>1</v>
      </c>
      <c r="BY369" s="113" t="inlineStr">
        <is>
          <t>N/A</t>
        </is>
      </c>
      <c r="BZ369" s="104" t="n">
        <v>0.73</v>
      </c>
      <c r="CA369" s="113" t="inlineStr">
        <is>
          <t>N/A</t>
        </is>
      </c>
      <c r="CB369" s="104" t="n">
        <v>0.96</v>
      </c>
      <c r="CC369" s="104" t="n">
        <v>-0</v>
      </c>
      <c r="CD369" s="113" t="inlineStr">
        <is>
          <t>N/A</t>
        </is>
      </c>
      <c r="CE369" s="113" t="inlineStr">
        <is>
          <t>N/A</t>
        </is>
      </c>
      <c r="CF369" s="104" t="n">
        <v>-5.41</v>
      </c>
      <c r="CG369" s="104" t="n">
        <v>42.94</v>
      </c>
      <c r="CH369" s="103" t="n">
        <v>0</v>
      </c>
      <c r="CI369" s="103" t="inlineStr">
        <is>
          <t>CLEAR</t>
        </is>
      </c>
    </row>
    <row r="370" ht="17" customHeight="1">
      <c r="A370" s="107" t="inlineStr">
        <is>
          <t>ISRG</t>
        </is>
      </c>
      <c r="B370" s="107" t="inlineStr">
        <is>
          <t>Intuitive Surgical, Inc.</t>
        </is>
      </c>
      <c r="C370" s="108" t="n">
        <v>7773300000</v>
      </c>
      <c r="D370" s="109" t="n">
        <v>0.29</v>
      </c>
      <c r="E370" s="109" t="n">
        <v>0.33</v>
      </c>
      <c r="F370" s="109" t="n">
        <v>0.28</v>
      </c>
      <c r="G370" s="109" t="n">
        <v>0.14</v>
      </c>
      <c r="H370" s="109" t="n">
        <v>0.12</v>
      </c>
      <c r="I370" s="109" t="n">
        <v>0.16</v>
      </c>
      <c r="J370" s="109" t="n">
        <v>0.16</v>
      </c>
      <c r="K370" s="109" t="n">
        <v>0.66</v>
      </c>
      <c r="L370" s="109" t="n">
        <v>0.67</v>
      </c>
      <c r="M370" s="109" t="n">
        <v>0.49</v>
      </c>
      <c r="N370" s="108" t="n">
        <v>0.45</v>
      </c>
      <c r="O370" s="108" t="n">
        <v>4.87</v>
      </c>
      <c r="P370" s="108" t="n">
        <v>4.07</v>
      </c>
      <c r="Q370" s="108" t="n">
        <v>3.96</v>
      </c>
      <c r="R370" s="108" t="n">
        <v>1.68</v>
      </c>
      <c r="S370" s="108" t="n">
        <v>0.12</v>
      </c>
      <c r="T370" s="108" t="n">
        <v>0.12</v>
      </c>
      <c r="U370" s="111" t="inlineStr">
        <is>
          <t>N/A</t>
        </is>
      </c>
      <c r="V370" s="111" t="inlineStr">
        <is>
          <t>N/A</t>
        </is>
      </c>
      <c r="W370" s="108" t="n">
        <v>1.06</v>
      </c>
      <c r="X370" s="109" t="n">
        <v>0.25</v>
      </c>
      <c r="Y370" s="109" t="n">
        <v>0.13</v>
      </c>
      <c r="Z370" s="111" t="inlineStr">
        <is>
          <t>N/A</t>
        </is>
      </c>
      <c r="AA370" s="109" t="n">
        <v>0.21</v>
      </c>
      <c r="AB370" s="109" t="n">
        <v>0.23</v>
      </c>
      <c r="AC370" s="108" t="n">
        <v>-0.01</v>
      </c>
      <c r="AD370" s="108" t="n">
        <v>-0.01</v>
      </c>
      <c r="AE370" s="108" t="n">
        <v>0.38</v>
      </c>
      <c r="AF370" s="108" t="n">
        <v>0.34</v>
      </c>
      <c r="AG370" s="108" t="n">
        <v>0.14</v>
      </c>
      <c r="AH370" s="108" t="n">
        <v>7.08</v>
      </c>
      <c r="AI370" s="108" t="n">
        <v>0.49</v>
      </c>
      <c r="AJ370" s="108" t="n">
        <v>6.15</v>
      </c>
      <c r="AK370" s="110" t="inlineStr">
        <is>
          <t>Safe</t>
        </is>
      </c>
      <c r="AL370" s="108" t="n">
        <v>0.38</v>
      </c>
      <c r="AM370" s="108" t="n">
        <v>0.34</v>
      </c>
      <c r="AN370" s="108" t="n">
        <v>0.14</v>
      </c>
      <c r="AO370" s="108" t="n">
        <v>7.08</v>
      </c>
      <c r="AP370" s="108" t="n">
        <v>0.49</v>
      </c>
      <c r="AQ370" s="107" t="n">
        <v>4.48</v>
      </c>
      <c r="AR370" s="107" t="inlineStr">
        <is>
          <t>Safe</t>
        </is>
      </c>
      <c r="AS370" s="108" t="n">
        <v>0.38</v>
      </c>
      <c r="AT370" s="108" t="n">
        <v>0.34</v>
      </c>
      <c r="AU370" s="108" t="n">
        <v>0.14</v>
      </c>
      <c r="AV370" s="108" t="n">
        <v>7.08</v>
      </c>
      <c r="AW370" s="107" t="n">
        <v>12.01</v>
      </c>
      <c r="AX370" s="107" t="inlineStr">
        <is>
          <t>Safe</t>
        </is>
      </c>
      <c r="AY370" s="108" t="n">
        <v>0.38</v>
      </c>
      <c r="AZ370" s="108" t="n">
        <v>0.14</v>
      </c>
      <c r="BA370" s="108" t="n">
        <v>1.65</v>
      </c>
      <c r="BB370" s="108" t="n">
        <v>0.49</v>
      </c>
      <c r="BC370" s="107" t="n">
        <v>2.12</v>
      </c>
      <c r="BD370" s="107" t="inlineStr">
        <is>
          <t>Healthy</t>
        </is>
      </c>
      <c r="BE370" s="108" t="n">
        <v>0.14</v>
      </c>
      <c r="BF370" s="108" t="n">
        <v>0.12</v>
      </c>
      <c r="BG370" s="108" t="n">
        <v>4.87</v>
      </c>
      <c r="BH370" s="108" t="n">
        <v>-4.25</v>
      </c>
      <c r="BI370" s="107" t="n">
        <v>0.01</v>
      </c>
      <c r="BJ370" s="107" t="inlineStr">
        <is>
          <t>Healthy</t>
        </is>
      </c>
      <c r="BK370" s="107" t="n">
        <v>1</v>
      </c>
      <c r="BL370" s="107" t="n">
        <v>1</v>
      </c>
      <c r="BM370" s="107" t="n">
        <v>1</v>
      </c>
      <c r="BN370" s="107" t="n">
        <v>1</v>
      </c>
      <c r="BO370" s="107" t="n">
        <v>0</v>
      </c>
      <c r="BP370" s="107" t="n">
        <v>1</v>
      </c>
      <c r="BQ370" s="107" t="n">
        <v>1</v>
      </c>
      <c r="BR370" s="107" t="n">
        <v>0</v>
      </c>
      <c r="BS370" s="107" t="n">
        <v>1</v>
      </c>
      <c r="BT370" s="107" t="n">
        <v>7</v>
      </c>
      <c r="BU370" s="107" t="inlineStr">
        <is>
          <t>Strong</t>
        </is>
      </c>
      <c r="BV370" s="108" t="n">
        <v>1.03</v>
      </c>
      <c r="BW370" s="108" t="n">
        <v>1.02</v>
      </c>
      <c r="BX370" s="108" t="n">
        <v>0.7</v>
      </c>
      <c r="BY370" s="108" t="n">
        <v>1.21</v>
      </c>
      <c r="BZ370" s="108" t="n">
        <v>0.85</v>
      </c>
      <c r="CA370" s="108" t="n">
        <v>0.92</v>
      </c>
      <c r="CB370" s="108" t="n">
        <v>1.04</v>
      </c>
      <c r="CC370" s="108" t="n">
        <v>-0.01</v>
      </c>
      <c r="CD370" s="107" t="n">
        <v>-2.43</v>
      </c>
      <c r="CE370" s="107" t="inlineStr">
        <is>
          <t>Lower Risk</t>
        </is>
      </c>
      <c r="CF370" s="111" t="inlineStr">
        <is>
          <t>N/A</t>
        </is>
      </c>
      <c r="CG370" s="108" t="n">
        <v>69.65000000000001</v>
      </c>
      <c r="CH370" s="107" t="n">
        <v>0</v>
      </c>
      <c r="CI370" s="107" t="inlineStr">
        <is>
          <t>CLEAR</t>
        </is>
      </c>
    </row>
    <row r="371" ht="17" customHeight="1">
      <c r="A371" s="103" t="inlineStr">
        <is>
          <t>SWKS</t>
        </is>
      </c>
      <c r="B371" s="103" t="inlineStr">
        <is>
          <t>SKYWORKS SOLUTIONS, INC.</t>
        </is>
      </c>
      <c r="C371" s="104" t="n">
        <v>1753800000</v>
      </c>
      <c r="D371" s="105" t="n">
        <v>0.12</v>
      </c>
      <c r="E371" s="105" t="n">
        <v>0.13</v>
      </c>
      <c r="F371" s="105" t="n">
        <v>0.12</v>
      </c>
      <c r="G371" s="105" t="n">
        <v>0.06</v>
      </c>
      <c r="H371" s="105" t="n">
        <v>0.07000000000000001</v>
      </c>
      <c r="I371" s="105" t="n">
        <v>0.08</v>
      </c>
      <c r="J371" s="105" t="n">
        <v>0.08</v>
      </c>
      <c r="K371" s="105" t="n">
        <v>0.41</v>
      </c>
      <c r="L371" s="105" t="n">
        <v>0.41</v>
      </c>
      <c r="M371" s="105" t="n">
        <v>0.52</v>
      </c>
      <c r="N371" s="104" t="n">
        <v>0.5</v>
      </c>
      <c r="O371" s="104" t="n">
        <v>2.33</v>
      </c>
      <c r="P371" s="104" t="n">
        <v>5.54</v>
      </c>
      <c r="Q371" s="104" t="n">
        <v>1.76</v>
      </c>
      <c r="R371" s="104" t="n">
        <v>0.88</v>
      </c>
      <c r="S371" s="104" t="n">
        <v>0.27</v>
      </c>
      <c r="T371" s="104" t="n">
        <v>0.24</v>
      </c>
      <c r="U371" s="104" t="n">
        <v>0.17</v>
      </c>
      <c r="V371" s="104" t="n">
        <v>-0.03</v>
      </c>
      <c r="W371" s="104" t="n">
        <v>2.73</v>
      </c>
      <c r="X371" s="105" t="n">
        <v>0.27</v>
      </c>
      <c r="Y371" s="105" t="n">
        <v>0.19</v>
      </c>
      <c r="Z371" s="105" t="n">
        <v>18.45</v>
      </c>
      <c r="AA371" s="105" t="n">
        <v>-0.02</v>
      </c>
      <c r="AB371" s="105" t="n">
        <v>-0.2</v>
      </c>
      <c r="AC371" s="104" t="n">
        <v>-0.1</v>
      </c>
      <c r="AD371" s="104" t="n">
        <v>-0.1</v>
      </c>
      <c r="AE371" s="104" t="n">
        <v>0.22</v>
      </c>
      <c r="AF371" s="104" t="n">
        <v>0.71</v>
      </c>
      <c r="AG371" s="104" t="n">
        <v>0.06</v>
      </c>
      <c r="AH371" s="104" t="n">
        <v>2.67</v>
      </c>
      <c r="AI371" s="104" t="n">
        <v>0.52</v>
      </c>
      <c r="AJ371" s="104" t="n">
        <v>3.59</v>
      </c>
      <c r="AK371" s="110" t="inlineStr">
        <is>
          <t>Safe</t>
        </is>
      </c>
      <c r="AL371" s="104" t="n">
        <v>0.22</v>
      </c>
      <c r="AM371" s="104" t="n">
        <v>0.71</v>
      </c>
      <c r="AN371" s="104" t="n">
        <v>0.06</v>
      </c>
      <c r="AO371" s="104" t="n">
        <v>2.67</v>
      </c>
      <c r="AP371" s="104" t="n">
        <v>0.52</v>
      </c>
      <c r="AQ371" s="103" t="n">
        <v>2.59</v>
      </c>
      <c r="AR371" s="103" t="inlineStr">
        <is>
          <t>Grey</t>
        </is>
      </c>
      <c r="AS371" s="104" t="n">
        <v>0.22</v>
      </c>
      <c r="AT371" s="104" t="n">
        <v>0.71</v>
      </c>
      <c r="AU371" s="104" t="n">
        <v>0.06</v>
      </c>
      <c r="AV371" s="104" t="n">
        <v>2.67</v>
      </c>
      <c r="AW371" s="103" t="n">
        <v>7.01</v>
      </c>
      <c r="AX371" s="103" t="inlineStr">
        <is>
          <t>Safe</t>
        </is>
      </c>
      <c r="AY371" s="104" t="n">
        <v>0.22</v>
      </c>
      <c r="AZ371" s="104" t="n">
        <v>0.06</v>
      </c>
      <c r="BA371" s="104" t="n">
        <v>0.4</v>
      </c>
      <c r="BB371" s="104" t="n">
        <v>0.52</v>
      </c>
      <c r="BC371" s="103" t="n">
        <v>0.89</v>
      </c>
      <c r="BD371" s="103" t="inlineStr">
        <is>
          <t>Healthy</t>
        </is>
      </c>
      <c r="BE371" s="104" t="n">
        <v>0.06</v>
      </c>
      <c r="BF371" s="104" t="n">
        <v>0.27</v>
      </c>
      <c r="BG371" s="104" t="n">
        <v>2.33</v>
      </c>
      <c r="BH371" s="104" t="n">
        <v>-3.05</v>
      </c>
      <c r="BI371" s="103" t="n">
        <v>0.05</v>
      </c>
      <c r="BJ371" s="103" t="inlineStr">
        <is>
          <t>Healthy</t>
        </is>
      </c>
      <c r="BK371" s="103" t="n">
        <v>1</v>
      </c>
      <c r="BL371" s="103" t="n">
        <v>1</v>
      </c>
      <c r="BM371" s="103" t="n">
        <v>0</v>
      </c>
      <c r="BN371" s="103" t="n">
        <v>1</v>
      </c>
      <c r="BO371" s="103" t="n">
        <v>1</v>
      </c>
      <c r="BP371" s="103" t="n">
        <v>0</v>
      </c>
      <c r="BQ371" s="103" t="n">
        <v>1</v>
      </c>
      <c r="BR371" s="103" t="n">
        <v>0</v>
      </c>
      <c r="BS371" s="103" t="n">
        <v>1</v>
      </c>
      <c r="BT371" s="103" t="n">
        <v>6</v>
      </c>
      <c r="BU371" s="103" t="inlineStr">
        <is>
          <t>Mixed</t>
        </is>
      </c>
      <c r="BV371" s="104" t="n">
        <v>1.2</v>
      </c>
      <c r="BW371" s="104" t="n">
        <v>1</v>
      </c>
      <c r="BX371" s="104" t="n">
        <v>1.04</v>
      </c>
      <c r="BY371" s="104" t="n">
        <v>0.98</v>
      </c>
      <c r="BZ371" s="104" t="n">
        <v>0.91</v>
      </c>
      <c r="CA371" s="104" t="n">
        <v>1.26</v>
      </c>
      <c r="CB371" s="104" t="n">
        <v>1.16</v>
      </c>
      <c r="CC371" s="104" t="n">
        <v>-0.1</v>
      </c>
      <c r="CD371" s="103" t="n">
        <v>-2.89</v>
      </c>
      <c r="CE371" s="103" t="inlineStr">
        <is>
          <t>Lower Risk</t>
        </is>
      </c>
      <c r="CF371" s="104" t="n">
        <v>-0.21</v>
      </c>
      <c r="CG371" s="104" t="n">
        <v>58.28</v>
      </c>
      <c r="CH371" s="103" t="n">
        <v>20</v>
      </c>
      <c r="CI371" s="103" t="inlineStr">
        <is>
          <t>CLEAR</t>
        </is>
      </c>
    </row>
    <row r="372" ht="17" customHeight="1">
      <c r="A372" s="107" t="inlineStr">
        <is>
          <t>LDOS</t>
        </is>
      </c>
      <c r="B372" s="107" t="inlineStr">
        <is>
          <t>Leidos Holdings, Inc.</t>
        </is>
      </c>
      <c r="C372" s="108" t="n">
        <v>1987000000</v>
      </c>
      <c r="D372" s="109" t="n">
        <v>0.12</v>
      </c>
      <c r="E372" s="109" t="n">
        <v>0.11</v>
      </c>
      <c r="F372" s="109" t="n">
        <v>0.08</v>
      </c>
      <c r="G372" s="109" t="n">
        <v>0.11</v>
      </c>
      <c r="H372" s="109" t="n">
        <v>0.1</v>
      </c>
      <c r="I372" s="109" t="n">
        <v>0.29</v>
      </c>
      <c r="J372" s="109" t="n">
        <v>0.2</v>
      </c>
      <c r="K372" s="109" t="n">
        <v>0.18</v>
      </c>
      <c r="L372" s="109" t="n">
        <v>0.17</v>
      </c>
      <c r="M372" s="109" t="n">
        <v>1.27</v>
      </c>
      <c r="N372" s="108" t="n">
        <v>1.27</v>
      </c>
      <c r="O372" s="108" t="n">
        <v>1.7</v>
      </c>
      <c r="P372" s="108" t="n">
        <v>1.21</v>
      </c>
      <c r="Q372" s="108" t="n">
        <v>1.58</v>
      </c>
      <c r="R372" s="108" t="n">
        <v>0.39</v>
      </c>
      <c r="S372" s="108" t="n">
        <v>0.63</v>
      </c>
      <c r="T372" s="108" t="n">
        <v>0.66</v>
      </c>
      <c r="U372" s="108" t="n">
        <v>0.27</v>
      </c>
      <c r="V372" s="108" t="n">
        <v>0.05</v>
      </c>
      <c r="W372" s="108" t="n">
        <v>1.21</v>
      </c>
      <c r="X372" s="109" t="n">
        <v>0.09</v>
      </c>
      <c r="Y372" s="109" t="n">
        <v>0.01</v>
      </c>
      <c r="Z372" s="109" t="n">
        <v>11.4</v>
      </c>
      <c r="AA372" s="109" t="n">
        <v>0.03</v>
      </c>
      <c r="AB372" s="109" t="n">
        <v>0.15</v>
      </c>
      <c r="AC372" s="108" t="n">
        <v>-0.02</v>
      </c>
      <c r="AD372" s="108" t="n">
        <v>-0.02</v>
      </c>
      <c r="AE372" s="108" t="n">
        <v>0.15</v>
      </c>
      <c r="AF372" s="108" t="n">
        <v>0.34</v>
      </c>
      <c r="AG372" s="108" t="n">
        <v>0.16</v>
      </c>
      <c r="AH372" s="108" t="n">
        <v>0.58</v>
      </c>
      <c r="AI372" s="108" t="n">
        <v>1.27</v>
      </c>
      <c r="AJ372" s="108" t="n">
        <v>2.79</v>
      </c>
      <c r="AK372" s="106" t="inlineStr">
        <is>
          <t>Grey</t>
        </is>
      </c>
      <c r="AL372" s="108" t="n">
        <v>0.15</v>
      </c>
      <c r="AM372" s="108" t="n">
        <v>0.34</v>
      </c>
      <c r="AN372" s="108" t="n">
        <v>0.16</v>
      </c>
      <c r="AO372" s="108" t="n">
        <v>0.58</v>
      </c>
      <c r="AP372" s="108" t="n">
        <v>1.27</v>
      </c>
      <c r="AQ372" s="107" t="n">
        <v>2.4</v>
      </c>
      <c r="AR372" s="107" t="inlineStr">
        <is>
          <t>Grey</t>
        </is>
      </c>
      <c r="AS372" s="108" t="n">
        <v>0.15</v>
      </c>
      <c r="AT372" s="108" t="n">
        <v>0.34</v>
      </c>
      <c r="AU372" s="108" t="n">
        <v>0.16</v>
      </c>
      <c r="AV372" s="108" t="n">
        <v>0.58</v>
      </c>
      <c r="AW372" s="107" t="n">
        <v>3.74</v>
      </c>
      <c r="AX372" s="107" t="inlineStr">
        <is>
          <t>Safe</t>
        </is>
      </c>
      <c r="AY372" s="108" t="n">
        <v>0.15</v>
      </c>
      <c r="AZ372" s="108" t="n">
        <v>0.16</v>
      </c>
      <c r="BA372" s="108" t="n">
        <v>0.68</v>
      </c>
      <c r="BB372" s="108" t="n">
        <v>1.27</v>
      </c>
      <c r="BC372" s="107" t="n">
        <v>1.59</v>
      </c>
      <c r="BD372" s="107" t="inlineStr">
        <is>
          <t>Healthy</t>
        </is>
      </c>
      <c r="BE372" s="108" t="n">
        <v>0.11</v>
      </c>
      <c r="BF372" s="108" t="n">
        <v>0.63</v>
      </c>
      <c r="BG372" s="108" t="n">
        <v>1.7</v>
      </c>
      <c r="BH372" s="108" t="n">
        <v>-1.22</v>
      </c>
      <c r="BI372" s="107" t="n">
        <v>0.23</v>
      </c>
      <c r="BJ372" s="107" t="inlineStr">
        <is>
          <t>Healthy</t>
        </is>
      </c>
      <c r="BK372" s="107" t="n">
        <v>1</v>
      </c>
      <c r="BL372" s="107" t="n">
        <v>1</v>
      </c>
      <c r="BM372" s="107" t="n">
        <v>1</v>
      </c>
      <c r="BN372" s="107" t="n">
        <v>1</v>
      </c>
      <c r="BO372" s="107" t="n">
        <v>1</v>
      </c>
      <c r="BP372" s="107" t="n">
        <v>1</v>
      </c>
      <c r="BQ372" s="107" t="n">
        <v>1</v>
      </c>
      <c r="BR372" s="107" t="n">
        <v>1</v>
      </c>
      <c r="BS372" s="107" t="n">
        <v>1</v>
      </c>
      <c r="BT372" s="107" t="n">
        <v>9</v>
      </c>
      <c r="BU372" s="107" t="inlineStr">
        <is>
          <t>Strong</t>
        </is>
      </c>
      <c r="BV372" s="108" t="n">
        <v>0.99</v>
      </c>
      <c r="BW372" s="108" t="n">
        <v>0.93</v>
      </c>
      <c r="BX372" s="108" t="n">
        <v>0.97</v>
      </c>
      <c r="BY372" s="108" t="n">
        <v>1.03</v>
      </c>
      <c r="BZ372" s="108" t="n">
        <v>1</v>
      </c>
      <c r="CA372" s="108" t="n">
        <v>0.99</v>
      </c>
      <c r="CB372" s="108" t="n">
        <v>0.96</v>
      </c>
      <c r="CC372" s="108" t="n">
        <v>-0.02</v>
      </c>
      <c r="CD372" s="107" t="n">
        <v>-2.6</v>
      </c>
      <c r="CE372" s="107" t="inlineStr">
        <is>
          <t>Lower Risk</t>
        </is>
      </c>
      <c r="CF372" s="108" t="n">
        <v>0.1</v>
      </c>
      <c r="CG372" s="108" t="n">
        <v>67.09</v>
      </c>
      <c r="CH372" s="107" t="n">
        <v>0</v>
      </c>
      <c r="CI372" s="107" t="inlineStr">
        <is>
          <t>CLEAR</t>
        </is>
      </c>
    </row>
    <row r="373" ht="17" customHeight="1">
      <c r="A373" s="103" t="inlineStr">
        <is>
          <t>PG</t>
        </is>
      </c>
      <c r="B373" s="103" t="inlineStr">
        <is>
          <t>PROCTER &amp; GAMBLE CO</t>
        </is>
      </c>
      <c r="C373" s="104" t="n">
        <v>-10666000000</v>
      </c>
      <c r="D373" s="105" t="n">
        <v>0.24</v>
      </c>
      <c r="E373" s="105" t="n">
        <v>0.24</v>
      </c>
      <c r="F373" s="105" t="n">
        <v>0.19</v>
      </c>
      <c r="G373" s="105" t="n">
        <v>0.13</v>
      </c>
      <c r="H373" s="105" t="n">
        <v>0.12</v>
      </c>
      <c r="I373" s="105" t="n">
        <v>0.31</v>
      </c>
      <c r="J373" s="105" t="n">
        <v>0.23</v>
      </c>
      <c r="K373" s="105" t="n">
        <v>0.51</v>
      </c>
      <c r="L373" s="105" t="n">
        <v>0.51</v>
      </c>
      <c r="M373" s="105" t="n">
        <v>0.67</v>
      </c>
      <c r="N373" s="104" t="n">
        <v>0.6899999999999999</v>
      </c>
      <c r="O373" s="104" t="n">
        <v>0.7</v>
      </c>
      <c r="P373" s="104" t="n">
        <v>0.73</v>
      </c>
      <c r="Q373" s="104" t="n">
        <v>0.49</v>
      </c>
      <c r="R373" s="104" t="n">
        <v>0.12</v>
      </c>
      <c r="S373" s="104" t="n">
        <v>0.58</v>
      </c>
      <c r="T373" s="104" t="n">
        <v>0.59</v>
      </c>
      <c r="U373" s="104" t="n">
        <v>0.62</v>
      </c>
      <c r="V373" s="104" t="n">
        <v>0.54</v>
      </c>
      <c r="W373" s="104" t="n">
        <v>1.12</v>
      </c>
      <c r="X373" s="105" t="n">
        <v>0.17</v>
      </c>
      <c r="Y373" s="105" t="n">
        <v>0.02</v>
      </c>
      <c r="Z373" s="105" t="n">
        <v>27.05</v>
      </c>
      <c r="AA373" s="105" t="n">
        <v>0</v>
      </c>
      <c r="AB373" s="105" t="n">
        <v>0.07000000000000001</v>
      </c>
      <c r="AC373" s="104" t="n">
        <v>-0.01</v>
      </c>
      <c r="AD373" s="104" t="n">
        <v>-0.01</v>
      </c>
      <c r="AE373" s="104" t="n">
        <v>-0.09</v>
      </c>
      <c r="AF373" s="104" t="n">
        <v>1.04</v>
      </c>
      <c r="AG373" s="104" t="n">
        <v>0.16</v>
      </c>
      <c r="AH373" s="104" t="n">
        <v>0.72</v>
      </c>
      <c r="AI373" s="104" t="n">
        <v>0.67</v>
      </c>
      <c r="AJ373" s="104" t="n">
        <v>2.99</v>
      </c>
      <c r="AK373" s="110" t="inlineStr">
        <is>
          <t>Safe</t>
        </is>
      </c>
      <c r="AL373" s="104" t="n">
        <v>-0.09</v>
      </c>
      <c r="AM373" s="104" t="n">
        <v>1.04</v>
      </c>
      <c r="AN373" s="104" t="n">
        <v>0.16</v>
      </c>
      <c r="AO373" s="104" t="n">
        <v>0.72</v>
      </c>
      <c r="AP373" s="104" t="n">
        <v>0.67</v>
      </c>
      <c r="AQ373" s="103" t="n">
        <v>2.3</v>
      </c>
      <c r="AR373" s="103" t="inlineStr">
        <is>
          <t>Grey</t>
        </is>
      </c>
      <c r="AS373" s="104" t="n">
        <v>-0.09</v>
      </c>
      <c r="AT373" s="104" t="n">
        <v>1.04</v>
      </c>
      <c r="AU373" s="104" t="n">
        <v>0.16</v>
      </c>
      <c r="AV373" s="104" t="n">
        <v>0.72</v>
      </c>
      <c r="AW373" s="103" t="n">
        <v>4.67</v>
      </c>
      <c r="AX373" s="103" t="inlineStr">
        <is>
          <t>Safe</t>
        </is>
      </c>
      <c r="AY373" s="104" t="n">
        <v>-0.09</v>
      </c>
      <c r="AZ373" s="104" t="n">
        <v>0.16</v>
      </c>
      <c r="BA373" s="104" t="n">
        <v>0.5600000000000001</v>
      </c>
      <c r="BB373" s="104" t="n">
        <v>0.67</v>
      </c>
      <c r="BC373" s="103" t="n">
        <v>1.05</v>
      </c>
      <c r="BD373" s="103" t="inlineStr">
        <is>
          <t>Healthy</t>
        </is>
      </c>
      <c r="BE373" s="104" t="n">
        <v>0.13</v>
      </c>
      <c r="BF373" s="104" t="n">
        <v>0.58</v>
      </c>
      <c r="BG373" s="104" t="n">
        <v>0.7</v>
      </c>
      <c r="BH373" s="104" t="n">
        <v>-1.6</v>
      </c>
      <c r="BI373" s="103" t="n">
        <v>0.17</v>
      </c>
      <c r="BJ373" s="103" t="inlineStr">
        <is>
          <t>Healthy</t>
        </is>
      </c>
      <c r="BK373" s="103" t="n">
        <v>1</v>
      </c>
      <c r="BL373" s="103" t="n">
        <v>1</v>
      </c>
      <c r="BM373" s="103" t="n">
        <v>1</v>
      </c>
      <c r="BN373" s="103" t="n">
        <v>1</v>
      </c>
      <c r="BO373" s="103" t="n">
        <v>1</v>
      </c>
      <c r="BP373" s="103" t="n">
        <v>0</v>
      </c>
      <c r="BQ373" s="103" t="n">
        <v>1</v>
      </c>
      <c r="BR373" s="103" t="n">
        <v>0</v>
      </c>
      <c r="BS373" s="103" t="n">
        <v>0</v>
      </c>
      <c r="BT373" s="103" t="n">
        <v>6</v>
      </c>
      <c r="BU373" s="103" t="inlineStr">
        <is>
          <t>Mixed</t>
        </is>
      </c>
      <c r="BV373" s="104" t="n">
        <v>1.01</v>
      </c>
      <c r="BW373" s="104" t="n">
        <v>1</v>
      </c>
      <c r="BX373" s="104" t="n">
        <v>0.98</v>
      </c>
      <c r="BY373" s="104" t="n">
        <v>1</v>
      </c>
      <c r="BZ373" s="104" t="n">
        <v>1.06</v>
      </c>
      <c r="CA373" s="104" t="n">
        <v>0.97</v>
      </c>
      <c r="CB373" s="104" t="n">
        <v>0.99</v>
      </c>
      <c r="CC373" s="104" t="n">
        <v>-0.01</v>
      </c>
      <c r="CD373" s="103" t="n">
        <v>-2.53</v>
      </c>
      <c r="CE373" s="103" t="inlineStr">
        <is>
          <t>Lower Risk</t>
        </is>
      </c>
      <c r="CF373" s="104" t="n">
        <v>1.21</v>
      </c>
      <c r="CG373" s="104" t="n">
        <v>55.38</v>
      </c>
      <c r="CH373" s="103" t="n">
        <v>0</v>
      </c>
      <c r="CI373" s="103" t="inlineStr">
        <is>
          <t>CLEAR</t>
        </is>
      </c>
    </row>
    <row r="374" ht="17" customHeight="1">
      <c r="A374" s="107" t="inlineStr">
        <is>
          <t>BSX</t>
        </is>
      </c>
      <c r="B374" s="107" t="inlineStr">
        <is>
          <t>BOSTON SCIENTIFIC CORP</t>
        </is>
      </c>
      <c r="C374" s="108" t="n">
        <v>3355000000</v>
      </c>
      <c r="D374" s="109" t="n">
        <v>0.4</v>
      </c>
      <c r="E374" s="109" t="n">
        <v>0.37</v>
      </c>
      <c r="F374" s="109" t="n">
        <v>0.32</v>
      </c>
      <c r="G374" s="109" t="n">
        <v>0.07000000000000001</v>
      </c>
      <c r="H374" s="109" t="n">
        <v>0.05</v>
      </c>
      <c r="I374" s="109" t="n">
        <v>0.12</v>
      </c>
      <c r="J374" s="109" t="n">
        <v>0.09</v>
      </c>
      <c r="K374" s="109" t="n">
        <v>1.53</v>
      </c>
      <c r="L374" s="109" t="n">
        <v>1.42</v>
      </c>
      <c r="M374" s="109" t="n">
        <v>0.21</v>
      </c>
      <c r="N374" s="108" t="n">
        <v>0.2</v>
      </c>
      <c r="O374" s="108" t="n">
        <v>1.62</v>
      </c>
      <c r="P374" s="108" t="n">
        <v>1.08</v>
      </c>
      <c r="Q374" s="108" t="n">
        <v>1.08</v>
      </c>
      <c r="R374" s="108" t="n">
        <v>0.36</v>
      </c>
      <c r="S374" s="108" t="n">
        <v>1</v>
      </c>
      <c r="T374" s="108" t="n">
        <v>1</v>
      </c>
      <c r="U374" s="108" t="n">
        <v>0.17</v>
      </c>
      <c r="V374" s="108" t="n">
        <v>0.09</v>
      </c>
      <c r="W374" s="108" t="n">
        <v>1.57</v>
      </c>
      <c r="X374" s="109" t="n">
        <v>0.4</v>
      </c>
      <c r="Y374" s="109" t="n">
        <v>0.23</v>
      </c>
      <c r="Z374" s="109" t="n">
        <v>10.35</v>
      </c>
      <c r="AA374" s="109" t="n">
        <v>0.12</v>
      </c>
      <c r="AB374" s="109" t="n">
        <v>0.57</v>
      </c>
      <c r="AC374" s="108" t="n">
        <v>-0.04</v>
      </c>
      <c r="AD374" s="108" t="n">
        <v>-0.04</v>
      </c>
      <c r="AE374" s="108" t="n">
        <v>0.08</v>
      </c>
      <c r="AF374" s="108" t="n">
        <v>0.13</v>
      </c>
      <c r="AG374" s="108" t="n">
        <v>0.08</v>
      </c>
      <c r="AH374" s="108" t="n">
        <v>0.55</v>
      </c>
      <c r="AI374" s="108" t="n">
        <v>0.21</v>
      </c>
      <c r="AJ374" s="108" t="n">
        <v>1.08</v>
      </c>
      <c r="AK374" s="112" t="inlineStr">
        <is>
          <t>Distress</t>
        </is>
      </c>
      <c r="AL374" s="108" t="n">
        <v>0.08</v>
      </c>
      <c r="AM374" s="108" t="n">
        <v>0.13</v>
      </c>
      <c r="AN374" s="108" t="n">
        <v>0.08</v>
      </c>
      <c r="AO374" s="108" t="n">
        <v>0.55</v>
      </c>
      <c r="AP374" s="108" t="n">
        <v>0.21</v>
      </c>
      <c r="AQ374" s="107" t="n">
        <v>0.86</v>
      </c>
      <c r="AR374" s="107" t="inlineStr">
        <is>
          <t>Distress</t>
        </is>
      </c>
      <c r="AS374" s="108" t="n">
        <v>0.08</v>
      </c>
      <c r="AT374" s="108" t="n">
        <v>0.13</v>
      </c>
      <c r="AU374" s="108" t="n">
        <v>0.08</v>
      </c>
      <c r="AV374" s="108" t="n">
        <v>0.55</v>
      </c>
      <c r="AW374" s="107" t="n">
        <v>2.06</v>
      </c>
      <c r="AX374" s="107" t="inlineStr">
        <is>
          <t>Grey</t>
        </is>
      </c>
      <c r="AY374" s="108" t="n">
        <v>0.08</v>
      </c>
      <c r="AZ374" s="108" t="n">
        <v>0.08</v>
      </c>
      <c r="BA374" s="108" t="n">
        <v>0.62</v>
      </c>
      <c r="BB374" s="108" t="n">
        <v>0.21</v>
      </c>
      <c r="BC374" s="107" t="n">
        <v>0.83</v>
      </c>
      <c r="BD374" s="107" t="inlineStr">
        <is>
          <t>Distress</t>
        </is>
      </c>
      <c r="BE374" s="108" t="n">
        <v>0.07000000000000001</v>
      </c>
      <c r="BF374" s="108" t="n">
        <v>1</v>
      </c>
      <c r="BG374" s="108" t="n">
        <v>1.62</v>
      </c>
      <c r="BH374" s="108" t="n">
        <v>1.05</v>
      </c>
      <c r="BI374" s="107" t="n">
        <v>0.74</v>
      </c>
      <c r="BJ374" s="107" t="inlineStr">
        <is>
          <t>Distress</t>
        </is>
      </c>
      <c r="BK374" s="107" t="n">
        <v>1</v>
      </c>
      <c r="BL374" s="107" t="n">
        <v>1</v>
      </c>
      <c r="BM374" s="107" t="n">
        <v>1</v>
      </c>
      <c r="BN374" s="107" t="n">
        <v>1</v>
      </c>
      <c r="BO374" s="107" t="n">
        <v>1</v>
      </c>
      <c r="BP374" s="107" t="n">
        <v>1</v>
      </c>
      <c r="BQ374" s="107" t="n">
        <v>0</v>
      </c>
      <c r="BR374" s="107" t="n">
        <v>1</v>
      </c>
      <c r="BS374" s="107" t="n">
        <v>1</v>
      </c>
      <c r="BT374" s="107" t="n">
        <v>8</v>
      </c>
      <c r="BU374" s="107" t="inlineStr">
        <is>
          <t>Strong</t>
        </is>
      </c>
      <c r="BV374" s="111" t="inlineStr">
        <is>
          <t>N/A</t>
        </is>
      </c>
      <c r="BW374" s="108" t="n">
        <v>0.93</v>
      </c>
      <c r="BX374" s="108" t="n">
        <v>0.95</v>
      </c>
      <c r="BY374" s="108" t="n">
        <v>1.12</v>
      </c>
      <c r="BZ374" s="108" t="n">
        <v>1.2</v>
      </c>
      <c r="CA374" s="108" t="n">
        <v>1.02</v>
      </c>
      <c r="CB374" s="108" t="n">
        <v>1</v>
      </c>
      <c r="CC374" s="108" t="n">
        <v>-0.04</v>
      </c>
      <c r="CD374" s="111" t="inlineStr">
        <is>
          <t>N/A</t>
        </is>
      </c>
      <c r="CE374" s="111" t="inlineStr">
        <is>
          <t>N/A</t>
        </is>
      </c>
      <c r="CF374" s="108" t="n">
        <v>0.49</v>
      </c>
      <c r="CG374" s="108" t="n">
        <v>57.62</v>
      </c>
      <c r="CH374" s="107" t="n">
        <v>0</v>
      </c>
      <c r="CI374" s="107" t="inlineStr">
        <is>
          <t>CLEAR</t>
        </is>
      </c>
    </row>
    <row r="375" ht="17" customHeight="1">
      <c r="A375" s="103" t="inlineStr">
        <is>
          <t>EPRT</t>
        </is>
      </c>
      <c r="B375" s="103" t="inlineStr">
        <is>
          <t>Essential Properties Realty Trust, Inc.</t>
        </is>
      </c>
      <c r="C375" s="113" t="inlineStr">
        <is>
          <t>N/A</t>
        </is>
      </c>
      <c r="D375" s="105" t="n">
        <v>0.64</v>
      </c>
      <c r="E375" s="105" t="n">
        <v>0.45</v>
      </c>
      <c r="F375" s="105" t="n">
        <v>0.45</v>
      </c>
      <c r="G375" s="105" t="n">
        <v>0.04</v>
      </c>
      <c r="H375" s="105" t="n">
        <v>0.04</v>
      </c>
      <c r="I375" s="105" t="n">
        <v>0.06</v>
      </c>
      <c r="J375" s="113" t="inlineStr">
        <is>
          <t>N/A</t>
        </is>
      </c>
      <c r="K375" s="113" t="inlineStr">
        <is>
          <t>N/A</t>
        </is>
      </c>
      <c r="L375" s="113" t="inlineStr">
        <is>
          <t>N/A</t>
        </is>
      </c>
      <c r="M375" s="105" t="n">
        <v>0.08</v>
      </c>
      <c r="N375" s="104" t="n">
        <v>0.08</v>
      </c>
      <c r="O375" s="113" t="inlineStr">
        <is>
          <t>N/A</t>
        </is>
      </c>
      <c r="P375" s="113" t="inlineStr">
        <is>
          <t>N/A</t>
        </is>
      </c>
      <c r="Q375" s="113" t="inlineStr">
        <is>
          <t>N/A</t>
        </is>
      </c>
      <c r="R375" s="113" t="inlineStr">
        <is>
          <t>N/A</t>
        </is>
      </c>
      <c r="S375" s="104" t="n">
        <v>0.39</v>
      </c>
      <c r="T375" s="104" t="n">
        <v>0.38</v>
      </c>
      <c r="U375" s="104" t="n">
        <v>0.6</v>
      </c>
      <c r="V375" s="104" t="n">
        <v>0.59</v>
      </c>
      <c r="W375" s="104" t="n">
        <v>1.51</v>
      </c>
      <c r="X375" s="105" t="n">
        <v>0.68</v>
      </c>
      <c r="Y375" s="105" t="n">
        <v>0</v>
      </c>
      <c r="Z375" s="105" t="n">
        <v>6.84</v>
      </c>
      <c r="AA375" s="105" t="n">
        <v>0.25</v>
      </c>
      <c r="AB375" s="105" t="n">
        <v>0.25</v>
      </c>
      <c r="AC375" s="104" t="n">
        <v>-0.02</v>
      </c>
      <c r="AD375" s="104" t="n">
        <v>-0.02</v>
      </c>
      <c r="AE375" s="113" t="inlineStr">
        <is>
          <t>N/A</t>
        </is>
      </c>
      <c r="AF375" s="104" t="n">
        <v>-0.02</v>
      </c>
      <c r="AG375" s="104" t="n">
        <v>0.05</v>
      </c>
      <c r="AH375" s="104" t="n">
        <v>1.58</v>
      </c>
      <c r="AI375" s="104" t="n">
        <v>0.08</v>
      </c>
      <c r="AJ375" s="113" t="inlineStr">
        <is>
          <t>N/A</t>
        </is>
      </c>
      <c r="AK375" s="113" t="inlineStr">
        <is>
          <t>N/A</t>
        </is>
      </c>
      <c r="AL375" s="113" t="inlineStr">
        <is>
          <t>N/A</t>
        </is>
      </c>
      <c r="AM375" s="104" t="n">
        <v>-0.02</v>
      </c>
      <c r="AN375" s="104" t="n">
        <v>0.05</v>
      </c>
      <c r="AO375" s="104" t="n">
        <v>1.58</v>
      </c>
      <c r="AP375" s="104" t="n">
        <v>0.08</v>
      </c>
      <c r="AQ375" s="113" t="inlineStr">
        <is>
          <t>N/A</t>
        </is>
      </c>
      <c r="AR375" s="113" t="inlineStr">
        <is>
          <t>N/A</t>
        </is>
      </c>
      <c r="AS375" s="113" t="inlineStr">
        <is>
          <t>N/A</t>
        </is>
      </c>
      <c r="AT375" s="104" t="n">
        <v>-0.02</v>
      </c>
      <c r="AU375" s="104" t="n">
        <v>0.05</v>
      </c>
      <c r="AV375" s="104" t="n">
        <v>1.58</v>
      </c>
      <c r="AW375" s="113" t="inlineStr">
        <is>
          <t>N/A</t>
        </is>
      </c>
      <c r="AX375" s="113" t="inlineStr">
        <is>
          <t>N/A</t>
        </is>
      </c>
      <c r="AY375" s="113" t="inlineStr">
        <is>
          <t>N/A</t>
        </is>
      </c>
      <c r="AZ375" s="104" t="n">
        <v>0.05</v>
      </c>
      <c r="BA375" s="113" t="inlineStr">
        <is>
          <t>N/A</t>
        </is>
      </c>
      <c r="BB375" s="104" t="n">
        <v>0.08</v>
      </c>
      <c r="BC375" s="113" t="inlineStr">
        <is>
          <t>N/A</t>
        </is>
      </c>
      <c r="BD375" s="113" t="inlineStr">
        <is>
          <t>N/A</t>
        </is>
      </c>
      <c r="BE375" s="104" t="n">
        <v>0.04</v>
      </c>
      <c r="BF375" s="104" t="n">
        <v>0.39</v>
      </c>
      <c r="BG375" s="113" t="inlineStr">
        <is>
          <t>N/A</t>
        </is>
      </c>
      <c r="BH375" s="113" t="inlineStr">
        <is>
          <t>N/A</t>
        </is>
      </c>
      <c r="BI375" s="113" t="inlineStr">
        <is>
          <t>N/A</t>
        </is>
      </c>
      <c r="BJ375" s="113" t="inlineStr">
        <is>
          <t>N/A</t>
        </is>
      </c>
      <c r="BK375" s="103" t="n">
        <v>1</v>
      </c>
      <c r="BL375" s="103" t="n">
        <v>1</v>
      </c>
      <c r="BM375" s="103" t="n">
        <v>1</v>
      </c>
      <c r="BN375" s="103" t="n">
        <v>1</v>
      </c>
      <c r="BO375" s="103" t="n">
        <v>0</v>
      </c>
      <c r="BP375" s="103" t="n">
        <v>0</v>
      </c>
      <c r="BQ375" s="103" t="n">
        <v>0</v>
      </c>
      <c r="BR375" s="103" t="n">
        <v>0</v>
      </c>
      <c r="BS375" s="103" t="n">
        <v>1</v>
      </c>
      <c r="BT375" s="103" t="n">
        <v>5</v>
      </c>
      <c r="BU375" s="103" t="inlineStr">
        <is>
          <t>Mixed</t>
        </is>
      </c>
      <c r="BV375" s="113" t="inlineStr">
        <is>
          <t>N/A</t>
        </is>
      </c>
      <c r="BW375" s="113" t="inlineStr">
        <is>
          <t>N/A</t>
        </is>
      </c>
      <c r="BX375" s="113" t="inlineStr">
        <is>
          <t>N/A</t>
        </is>
      </c>
      <c r="BY375" s="104" t="n">
        <v>1.25</v>
      </c>
      <c r="BZ375" s="113" t="inlineStr">
        <is>
          <t>N/A</t>
        </is>
      </c>
      <c r="CA375" s="104" t="n">
        <v>0.93</v>
      </c>
      <c r="CB375" s="104" t="n">
        <v>1.01</v>
      </c>
      <c r="CC375" s="104" t="n">
        <v>-0.02</v>
      </c>
      <c r="CD375" s="113" t="inlineStr">
        <is>
          <t>N/A</t>
        </is>
      </c>
      <c r="CE375" s="113" t="inlineStr">
        <is>
          <t>N/A</t>
        </is>
      </c>
      <c r="CF375" s="104" t="n">
        <v>4.81</v>
      </c>
      <c r="CG375" s="104" t="n">
        <v>44.62</v>
      </c>
      <c r="CH375" s="103" t="n">
        <v>0</v>
      </c>
      <c r="CI375" s="103" t="inlineStr">
        <is>
          <t>CLEAR</t>
        </is>
      </c>
    </row>
    <row r="376" ht="17" customHeight="1">
      <c r="A376" s="107" t="inlineStr">
        <is>
          <t>NEOG</t>
        </is>
      </c>
      <c r="B376" s="107" t="inlineStr">
        <is>
          <t>Neogen Corporation</t>
        </is>
      </c>
      <c r="C376" s="108" t="n">
        <v>402926000</v>
      </c>
      <c r="D376" s="109" t="n">
        <v>-1.19</v>
      </c>
      <c r="E376" s="109" t="n">
        <v>-1.27</v>
      </c>
      <c r="F376" s="109" t="n">
        <v>-1.22</v>
      </c>
      <c r="G376" s="109" t="n">
        <v>-0.32</v>
      </c>
      <c r="H376" s="109" t="n">
        <v>-0</v>
      </c>
      <c r="I376" s="109" t="n">
        <v>-0.53</v>
      </c>
      <c r="J376" s="109" t="n">
        <v>-0.32</v>
      </c>
      <c r="K376" s="109" t="n">
        <v>0.47</v>
      </c>
      <c r="L376" s="109" t="n">
        <v>0.5</v>
      </c>
      <c r="M376" s="109" t="n">
        <v>0.26</v>
      </c>
      <c r="N376" s="108" t="n">
        <v>0.2</v>
      </c>
      <c r="O376" s="108" t="n">
        <v>3.32</v>
      </c>
      <c r="P376" s="108" t="n">
        <v>3.82</v>
      </c>
      <c r="Q376" s="108" t="n">
        <v>2.22</v>
      </c>
      <c r="R376" s="108" t="n">
        <v>0.74</v>
      </c>
      <c r="S376" s="108" t="n">
        <v>0.4</v>
      </c>
      <c r="T376" s="108" t="n">
        <v>0.31</v>
      </c>
      <c r="U376" s="108" t="n">
        <v>0.43</v>
      </c>
      <c r="V376" s="108" t="n">
        <v>0.37</v>
      </c>
      <c r="W376" s="108" t="n">
        <v>-0.05</v>
      </c>
      <c r="X376" s="109" t="n">
        <v>0.06</v>
      </c>
      <c r="Y376" s="109" t="n">
        <v>0.02</v>
      </c>
      <c r="Z376" s="109" t="n">
        <v>-27.83</v>
      </c>
      <c r="AA376" s="109" t="n">
        <v>-0.03</v>
      </c>
      <c r="AB376" s="109" t="n">
        <v>114.92</v>
      </c>
      <c r="AC376" s="108" t="n">
        <v>-0.33</v>
      </c>
      <c r="AD376" s="108" t="n">
        <v>-0.33</v>
      </c>
      <c r="AE376" s="108" t="n">
        <v>0.12</v>
      </c>
      <c r="AF376" s="108" t="n">
        <v>-0.16</v>
      </c>
      <c r="AG376" s="108" t="n">
        <v>-0.31</v>
      </c>
      <c r="AH376" s="108" t="n">
        <v>1.51</v>
      </c>
      <c r="AI376" s="108" t="n">
        <v>0.26</v>
      </c>
      <c r="AJ376" s="108" t="n">
        <v>0.07000000000000001</v>
      </c>
      <c r="AK376" s="112" t="inlineStr">
        <is>
          <t>Distress</t>
        </is>
      </c>
      <c r="AL376" s="108" t="n">
        <v>0.12</v>
      </c>
      <c r="AM376" s="108" t="n">
        <v>-0.16</v>
      </c>
      <c r="AN376" s="108" t="n">
        <v>-0.31</v>
      </c>
      <c r="AO376" s="108" t="n">
        <v>1.51</v>
      </c>
      <c r="AP376" s="108" t="n">
        <v>0.26</v>
      </c>
      <c r="AQ376" s="107" t="n">
        <v>-0.11</v>
      </c>
      <c r="AR376" s="107" t="inlineStr">
        <is>
          <t>Distress</t>
        </is>
      </c>
      <c r="AS376" s="108" t="n">
        <v>0.12</v>
      </c>
      <c r="AT376" s="108" t="n">
        <v>-0.16</v>
      </c>
      <c r="AU376" s="108" t="n">
        <v>-0.31</v>
      </c>
      <c r="AV376" s="108" t="n">
        <v>1.51</v>
      </c>
      <c r="AW376" s="107" t="n">
        <v>-0.23</v>
      </c>
      <c r="AX376" s="107" t="inlineStr">
        <is>
          <t>Distress</t>
        </is>
      </c>
      <c r="AY376" s="108" t="n">
        <v>0.12</v>
      </c>
      <c r="AZ376" s="108" t="n">
        <v>-0.31</v>
      </c>
      <c r="BA376" s="108" t="n">
        <v>-6.51</v>
      </c>
      <c r="BB376" s="108" t="n">
        <v>0.26</v>
      </c>
      <c r="BC376" s="107" t="n">
        <v>-5.02</v>
      </c>
      <c r="BD376" s="107" t="inlineStr">
        <is>
          <t>Distress</t>
        </is>
      </c>
      <c r="BE376" s="108" t="n">
        <v>-0.32</v>
      </c>
      <c r="BF376" s="108" t="n">
        <v>0.4</v>
      </c>
      <c r="BG376" s="108" t="n">
        <v>3.32</v>
      </c>
      <c r="BH376" s="108" t="n">
        <v>-0.63</v>
      </c>
      <c r="BI376" s="107" t="n">
        <v>0.35</v>
      </c>
      <c r="BJ376" s="107" t="inlineStr">
        <is>
          <t>Healthy</t>
        </is>
      </c>
      <c r="BK376" s="107" t="n">
        <v>0</v>
      </c>
      <c r="BL376" s="107" t="n">
        <v>1</v>
      </c>
      <c r="BM376" s="107" t="n">
        <v>0</v>
      </c>
      <c r="BN376" s="107" t="n">
        <v>1</v>
      </c>
      <c r="BO376" s="107" t="n">
        <v>0</v>
      </c>
      <c r="BP376" s="107" t="n">
        <v>0</v>
      </c>
      <c r="BQ376" s="107" t="n">
        <v>1</v>
      </c>
      <c r="BR376" s="107" t="n">
        <v>0</v>
      </c>
      <c r="BS376" s="107" t="n">
        <v>1</v>
      </c>
      <c r="BT376" s="107" t="n">
        <v>4</v>
      </c>
      <c r="BU376" s="107" t="inlineStr">
        <is>
          <t>Mixed</t>
        </is>
      </c>
      <c r="BV376" s="108" t="n">
        <v>0.92</v>
      </c>
      <c r="BW376" s="108" t="n">
        <v>1.07</v>
      </c>
      <c r="BX376" s="108" t="n">
        <v>0.91</v>
      </c>
      <c r="BY376" s="108" t="n">
        <v>0.97</v>
      </c>
      <c r="BZ376" s="108" t="n">
        <v>1.14</v>
      </c>
      <c r="CA376" s="108" t="n">
        <v>1.13</v>
      </c>
      <c r="CB376" s="108" t="n">
        <v>1.29</v>
      </c>
      <c r="CC376" s="108" t="n">
        <v>-0.33</v>
      </c>
      <c r="CD376" s="107" t="n">
        <v>-4.25</v>
      </c>
      <c r="CE376" s="107" t="inlineStr">
        <is>
          <t>Lower Risk</t>
        </is>
      </c>
      <c r="CF376" s="108" t="n">
        <v>-0.8100000000000001</v>
      </c>
      <c r="CG376" s="108" t="n">
        <v>40.66</v>
      </c>
      <c r="CH376" s="106" t="n">
        <v>40</v>
      </c>
      <c r="CI376" s="107" t="inlineStr">
        <is>
          <t>WATCH</t>
        </is>
      </c>
    </row>
    <row r="377" ht="17" customHeight="1">
      <c r="A377" s="103" t="inlineStr">
        <is>
          <t>APP</t>
        </is>
      </c>
      <c r="B377" s="103" t="inlineStr">
        <is>
          <t>AppLovin Corp</t>
        </is>
      </c>
      <c r="C377" s="104" t="n">
        <v>3097004000</v>
      </c>
      <c r="D377" s="105" t="n">
        <v>0.76</v>
      </c>
      <c r="E377" s="105" t="n">
        <v>0.72</v>
      </c>
      <c r="F377" s="105" t="n">
        <v>0.61</v>
      </c>
      <c r="G377" s="105" t="n">
        <v>0.46</v>
      </c>
      <c r="H377" s="105" t="n">
        <v>0.27</v>
      </c>
      <c r="I377" s="105" t="n">
        <v>1.56</v>
      </c>
      <c r="J377" s="105" t="n">
        <v>0.7</v>
      </c>
      <c r="K377" s="105" t="n">
        <v>0.88</v>
      </c>
      <c r="L377" s="105" t="n">
        <v>0.75</v>
      </c>
      <c r="M377" s="105" t="n">
        <v>0.75</v>
      </c>
      <c r="N377" s="104" t="n">
        <v>0.8</v>
      </c>
      <c r="O377" s="104" t="n">
        <v>3.32</v>
      </c>
      <c r="P377" s="104" t="n">
        <v>2.19</v>
      </c>
      <c r="Q377" s="104" t="n">
        <v>3.32</v>
      </c>
      <c r="R377" s="104" t="n">
        <v>1.86</v>
      </c>
      <c r="S377" s="104" t="n">
        <v>0.71</v>
      </c>
      <c r="T377" s="104" t="n">
        <v>0.8100000000000001</v>
      </c>
      <c r="U377" s="104" t="n">
        <v>1.65</v>
      </c>
      <c r="V377" s="104" t="n">
        <v>0.48</v>
      </c>
      <c r="W377" s="104" t="n">
        <v>1.19</v>
      </c>
      <c r="X377" s="105" t="n">
        <v>0.72</v>
      </c>
      <c r="Y377" s="105" t="n">
        <v>0.04</v>
      </c>
      <c r="Z377" s="105" t="n">
        <v>20.7</v>
      </c>
      <c r="AA377" s="105" t="n">
        <v>0.16</v>
      </c>
      <c r="AB377" s="105" t="n">
        <v>1.11</v>
      </c>
      <c r="AC377" s="104" t="n">
        <v>-0.09</v>
      </c>
      <c r="AD377" s="104" t="n">
        <v>-0.09</v>
      </c>
      <c r="AE377" s="104" t="n">
        <v>0.43</v>
      </c>
      <c r="AF377" s="104" t="n">
        <v>0.24</v>
      </c>
      <c r="AG377" s="104" t="n">
        <v>0.57</v>
      </c>
      <c r="AH377" s="104" t="n">
        <v>0.42</v>
      </c>
      <c r="AI377" s="104" t="n">
        <v>0.75</v>
      </c>
      <c r="AJ377" s="104" t="n">
        <v>3.74</v>
      </c>
      <c r="AK377" s="110" t="inlineStr">
        <is>
          <t>Safe</t>
        </is>
      </c>
      <c r="AL377" s="104" t="n">
        <v>0.43</v>
      </c>
      <c r="AM377" s="104" t="n">
        <v>0.24</v>
      </c>
      <c r="AN377" s="104" t="n">
        <v>0.57</v>
      </c>
      <c r="AO377" s="104" t="n">
        <v>0.42</v>
      </c>
      <c r="AP377" s="104" t="n">
        <v>0.75</v>
      </c>
      <c r="AQ377" s="103" t="n">
        <v>3.21</v>
      </c>
      <c r="AR377" s="103" t="inlineStr">
        <is>
          <t>Safe</t>
        </is>
      </c>
      <c r="AS377" s="104" t="n">
        <v>0.43</v>
      </c>
      <c r="AT377" s="104" t="n">
        <v>0.24</v>
      </c>
      <c r="AU377" s="104" t="n">
        <v>0.57</v>
      </c>
      <c r="AV377" s="104" t="n">
        <v>0.42</v>
      </c>
      <c r="AW377" s="103" t="n">
        <v>7.86</v>
      </c>
      <c r="AX377" s="103" t="inlineStr">
        <is>
          <t>Safe</t>
        </is>
      </c>
      <c r="AY377" s="104" t="n">
        <v>0.43</v>
      </c>
      <c r="AZ377" s="104" t="n">
        <v>0.57</v>
      </c>
      <c r="BA377" s="104" t="n">
        <v>2.96</v>
      </c>
      <c r="BB377" s="104" t="n">
        <v>0.75</v>
      </c>
      <c r="BC377" s="103" t="n">
        <v>4.45</v>
      </c>
      <c r="BD377" s="103" t="inlineStr">
        <is>
          <t>Healthy</t>
        </is>
      </c>
      <c r="BE377" s="104" t="n">
        <v>0.46</v>
      </c>
      <c r="BF377" s="104" t="n">
        <v>0.71</v>
      </c>
      <c r="BG377" s="104" t="n">
        <v>3.32</v>
      </c>
      <c r="BH377" s="104" t="n">
        <v>-2.39</v>
      </c>
      <c r="BI377" s="103" t="n">
        <v>0.08</v>
      </c>
      <c r="BJ377" s="103" t="inlineStr">
        <is>
          <t>Healthy</t>
        </is>
      </c>
      <c r="BK377" s="103" t="n">
        <v>1</v>
      </c>
      <c r="BL377" s="103" t="n">
        <v>1</v>
      </c>
      <c r="BM377" s="103" t="n">
        <v>1</v>
      </c>
      <c r="BN377" s="103" t="n">
        <v>1</v>
      </c>
      <c r="BO377" s="103" t="n">
        <v>1</v>
      </c>
      <c r="BP377" s="103" t="n">
        <v>1</v>
      </c>
      <c r="BQ377" s="103" t="n">
        <v>1</v>
      </c>
      <c r="BR377" s="103" t="n">
        <v>1</v>
      </c>
      <c r="BS377" s="103" t="n">
        <v>0</v>
      </c>
      <c r="BT377" s="103" t="n">
        <v>8</v>
      </c>
      <c r="BU377" s="103" t="inlineStr">
        <is>
          <t>Strong</t>
        </is>
      </c>
      <c r="BV377" s="104" t="n">
        <v>1.11</v>
      </c>
      <c r="BW377" s="104" t="n">
        <v>0.86</v>
      </c>
      <c r="BX377" s="113" t="inlineStr">
        <is>
          <t>N/A</t>
        </is>
      </c>
      <c r="BY377" s="104" t="n">
        <v>1.16</v>
      </c>
      <c r="BZ377" s="113" t="inlineStr">
        <is>
          <t>N/A</t>
        </is>
      </c>
      <c r="CA377" s="104" t="n">
        <v>1.11</v>
      </c>
      <c r="CB377" s="104" t="n">
        <v>0.87</v>
      </c>
      <c r="CC377" s="104" t="n">
        <v>-0.09</v>
      </c>
      <c r="CD377" s="113" t="inlineStr">
        <is>
          <t>N/A</t>
        </is>
      </c>
      <c r="CE377" s="113" t="inlineStr">
        <is>
          <t>N/A</t>
        </is>
      </c>
      <c r="CF377" s="104" t="n">
        <v>0.24</v>
      </c>
      <c r="CG377" s="104" t="n">
        <v>65.86</v>
      </c>
      <c r="CH377" s="103" t="n">
        <v>0</v>
      </c>
      <c r="CI377" s="103" t="inlineStr">
        <is>
          <t>CLEAR</t>
        </is>
      </c>
    </row>
    <row r="378" ht="17" customHeight="1">
      <c r="A378" s="107" t="inlineStr">
        <is>
          <t>CRWD</t>
        </is>
      </c>
      <c r="B378" s="107" t="inlineStr">
        <is>
          <t>CROWDSTRIKE HOLDINGS, INC.</t>
        </is>
      </c>
      <c r="C378" s="108" t="n">
        <v>3234927000</v>
      </c>
      <c r="D378" s="109" t="n">
        <v>-0.06</v>
      </c>
      <c r="E378" s="109" t="n">
        <v>-0.03</v>
      </c>
      <c r="F378" s="109" t="n">
        <v>-0.03</v>
      </c>
      <c r="G378" s="109" t="n">
        <v>-0.01</v>
      </c>
      <c r="H378" s="109" t="n">
        <v>-0</v>
      </c>
      <c r="I378" s="109" t="n">
        <v>-0.04</v>
      </c>
      <c r="J378" s="109" t="n">
        <v>-0.04</v>
      </c>
      <c r="K378" s="109" t="n">
        <v>0.75</v>
      </c>
      <c r="L378" s="109" t="n">
        <v>0.75</v>
      </c>
      <c r="M378" s="109" t="n">
        <v>0.43</v>
      </c>
      <c r="N378" s="108" t="n">
        <v>0.45</v>
      </c>
      <c r="O378" s="108" t="n">
        <v>1.77</v>
      </c>
      <c r="P378" s="108" t="n">
        <v>1.77</v>
      </c>
      <c r="Q378" s="108" t="n">
        <v>1.77</v>
      </c>
      <c r="R378" s="108" t="n">
        <v>1.25</v>
      </c>
      <c r="S378" s="108" t="n">
        <v>0.6</v>
      </c>
      <c r="T378" s="108" t="n">
        <v>0.62</v>
      </c>
      <c r="U378" s="108" t="n">
        <v>0.17</v>
      </c>
      <c r="V378" s="108" t="n">
        <v>-1.01</v>
      </c>
      <c r="W378" s="108" t="n">
        <v>-9.92</v>
      </c>
      <c r="X378" s="109" t="n">
        <v>0.27</v>
      </c>
      <c r="Y378" s="109" t="n">
        <v>0.29</v>
      </c>
      <c r="Z378" s="109" t="n">
        <v>-11.39</v>
      </c>
      <c r="AA378" s="109" t="n">
        <v>0.22</v>
      </c>
      <c r="AB378" s="109" t="n">
        <v>7.43</v>
      </c>
      <c r="AC378" s="108" t="n">
        <v>-0.16</v>
      </c>
      <c r="AD378" s="108" t="n">
        <v>-0.16</v>
      </c>
      <c r="AE378" s="108" t="n">
        <v>0.29</v>
      </c>
      <c r="AF378" s="108" t="n">
        <v>-0.12</v>
      </c>
      <c r="AG378" s="108" t="n">
        <v>-0.03</v>
      </c>
      <c r="AH378" s="108" t="n">
        <v>0.67</v>
      </c>
      <c r="AI378" s="108" t="n">
        <v>0.43</v>
      </c>
      <c r="AJ378" s="108" t="n">
        <v>0.9399999999999999</v>
      </c>
      <c r="AK378" s="112" t="inlineStr">
        <is>
          <t>Distress</t>
        </is>
      </c>
      <c r="AL378" s="108" t="n">
        <v>0.29</v>
      </c>
      <c r="AM378" s="108" t="n">
        <v>-0.12</v>
      </c>
      <c r="AN378" s="108" t="n">
        <v>-0.03</v>
      </c>
      <c r="AO378" s="108" t="n">
        <v>0.67</v>
      </c>
      <c r="AP378" s="108" t="n">
        <v>0.43</v>
      </c>
      <c r="AQ378" s="107" t="n">
        <v>0.74</v>
      </c>
      <c r="AR378" s="107" t="inlineStr">
        <is>
          <t>Distress</t>
        </is>
      </c>
      <c r="AS378" s="108" t="n">
        <v>0.29</v>
      </c>
      <c r="AT378" s="108" t="n">
        <v>-0.12</v>
      </c>
      <c r="AU378" s="108" t="n">
        <v>-0.03</v>
      </c>
      <c r="AV378" s="108" t="n">
        <v>0.67</v>
      </c>
      <c r="AW378" s="107" t="n">
        <v>2.06</v>
      </c>
      <c r="AX378" s="107" t="inlineStr">
        <is>
          <t>Grey</t>
        </is>
      </c>
      <c r="AY378" s="108" t="n">
        <v>0.29</v>
      </c>
      <c r="AZ378" s="108" t="n">
        <v>-0.03</v>
      </c>
      <c r="BA378" s="108" t="n">
        <v>-0.03</v>
      </c>
      <c r="BB378" s="108" t="n">
        <v>0.43</v>
      </c>
      <c r="BC378" s="107" t="n">
        <v>0.37</v>
      </c>
      <c r="BD378" s="107" t="inlineStr">
        <is>
          <t>Distress</t>
        </is>
      </c>
      <c r="BE378" s="108" t="n">
        <v>-0.01</v>
      </c>
      <c r="BF378" s="108" t="n">
        <v>0.6</v>
      </c>
      <c r="BG378" s="108" t="n">
        <v>1.77</v>
      </c>
      <c r="BH378" s="108" t="n">
        <v>-0.87</v>
      </c>
      <c r="BI378" s="107" t="n">
        <v>0.29</v>
      </c>
      <c r="BJ378" s="107" t="inlineStr">
        <is>
          <t>Healthy</t>
        </is>
      </c>
      <c r="BK378" s="107" t="n">
        <v>0</v>
      </c>
      <c r="BL378" s="107" t="n">
        <v>1</v>
      </c>
      <c r="BM378" s="107" t="n">
        <v>0</v>
      </c>
      <c r="BN378" s="107" t="n">
        <v>1</v>
      </c>
      <c r="BO378" s="107" t="n">
        <v>1</v>
      </c>
      <c r="BP378" s="107" t="n">
        <v>1</v>
      </c>
      <c r="BQ378" s="107" t="n">
        <v>0</v>
      </c>
      <c r="BR378" s="107" t="n">
        <v>0</v>
      </c>
      <c r="BS378" s="107" t="n">
        <v>0</v>
      </c>
      <c r="BT378" s="107" t="n">
        <v>4</v>
      </c>
      <c r="BU378" s="107" t="inlineStr">
        <is>
          <t>Mixed</t>
        </is>
      </c>
      <c r="BV378" s="108" t="n">
        <v>0.99</v>
      </c>
      <c r="BW378" s="108" t="n">
        <v>1</v>
      </c>
      <c r="BX378" s="108" t="n">
        <v>1.17</v>
      </c>
      <c r="BY378" s="108" t="n">
        <v>1.22</v>
      </c>
      <c r="BZ378" s="108" t="n">
        <v>1.03</v>
      </c>
      <c r="CA378" s="108" t="n">
        <v>1.14</v>
      </c>
      <c r="CB378" s="108" t="n">
        <v>0.96</v>
      </c>
      <c r="CC378" s="108" t="n">
        <v>-0.16</v>
      </c>
      <c r="CD378" s="107" t="n">
        <v>-2.98</v>
      </c>
      <c r="CE378" s="107" t="inlineStr">
        <is>
          <t>Lower Risk</t>
        </is>
      </c>
      <c r="CF378" s="108" t="n">
        <v>17.11</v>
      </c>
      <c r="CG378" s="108" t="n">
        <v>42.08</v>
      </c>
      <c r="CH378" s="106" t="n">
        <v>40</v>
      </c>
      <c r="CI378" s="107" t="inlineStr">
        <is>
          <t>WATCH</t>
        </is>
      </c>
    </row>
    <row r="379" ht="17" customHeight="1">
      <c r="A379" s="103" t="inlineStr">
        <is>
          <t>CAT</t>
        </is>
      </c>
      <c r="B379" s="103" t="inlineStr">
        <is>
          <t>CATERPILLAR INC</t>
        </is>
      </c>
      <c r="C379" s="104" t="n">
        <v>15927000000</v>
      </c>
      <c r="D379" s="105" t="n">
        <v>0.16</v>
      </c>
      <c r="E379" s="105" t="n">
        <v>0.08</v>
      </c>
      <c r="F379" s="105" t="n">
        <v>0.04</v>
      </c>
      <c r="G379" s="105" t="n">
        <v>0.03</v>
      </c>
      <c r="H379" s="105" t="n">
        <v>0.01</v>
      </c>
      <c r="I379" s="105" t="n">
        <v>0.13</v>
      </c>
      <c r="J379" s="105" t="n">
        <v>0.18</v>
      </c>
      <c r="K379" s="105" t="n">
        <v>0.04</v>
      </c>
      <c r="L379" s="105" t="n">
        <v>0.04</v>
      </c>
      <c r="M379" s="105" t="n">
        <v>0.6899999999999999</v>
      </c>
      <c r="N379" s="104" t="n">
        <v>0.74</v>
      </c>
      <c r="O379" s="104" t="n">
        <v>1.44</v>
      </c>
      <c r="P379" s="104" t="n">
        <v>1.42</v>
      </c>
      <c r="Q379" s="104" t="n">
        <v>0.9399999999999999</v>
      </c>
      <c r="R379" s="104" t="n">
        <v>0.27</v>
      </c>
      <c r="S379" s="104" t="n">
        <v>0.78</v>
      </c>
      <c r="T379" s="104" t="n">
        <v>0.78</v>
      </c>
      <c r="U379" s="104" t="n">
        <v>1.7</v>
      </c>
      <c r="V379" s="104" t="n">
        <v>1.23</v>
      </c>
      <c r="W379" s="104" t="n">
        <v>4.35</v>
      </c>
      <c r="X379" s="105" t="n">
        <v>0.13</v>
      </c>
      <c r="Y379" s="105" t="n">
        <v>0.03</v>
      </c>
      <c r="Z379" s="113" t="inlineStr">
        <is>
          <t>N/A</t>
        </is>
      </c>
      <c r="AA379" s="105" t="n">
        <v>0.04</v>
      </c>
      <c r="AB379" s="105" t="n">
        <v>1.79</v>
      </c>
      <c r="AC379" s="104" t="n">
        <v>-0.09</v>
      </c>
      <c r="AD379" s="104" t="n">
        <v>-0.09</v>
      </c>
      <c r="AE379" s="104" t="n">
        <v>0.16</v>
      </c>
      <c r="AF379" s="104" t="n">
        <v>0.66</v>
      </c>
      <c r="AG379" s="104" t="n">
        <v>0.11</v>
      </c>
      <c r="AH379" s="104" t="n">
        <v>0.28</v>
      </c>
      <c r="AI379" s="104" t="n">
        <v>0.6899999999999999</v>
      </c>
      <c r="AJ379" s="104" t="n">
        <v>2.35</v>
      </c>
      <c r="AK379" s="106" t="inlineStr">
        <is>
          <t>Grey</t>
        </is>
      </c>
      <c r="AL379" s="104" t="n">
        <v>0.16</v>
      </c>
      <c r="AM379" s="104" t="n">
        <v>0.66</v>
      </c>
      <c r="AN379" s="104" t="n">
        <v>0.11</v>
      </c>
      <c r="AO379" s="104" t="n">
        <v>0.28</v>
      </c>
      <c r="AP379" s="104" t="n">
        <v>0.6899999999999999</v>
      </c>
      <c r="AQ379" s="103" t="n">
        <v>1.83</v>
      </c>
      <c r="AR379" s="103" t="inlineStr">
        <is>
          <t>Grey</t>
        </is>
      </c>
      <c r="AS379" s="104" t="n">
        <v>0.16</v>
      </c>
      <c r="AT379" s="104" t="n">
        <v>0.66</v>
      </c>
      <c r="AU379" s="104" t="n">
        <v>0.11</v>
      </c>
      <c r="AV379" s="104" t="n">
        <v>0.28</v>
      </c>
      <c r="AW379" s="103" t="n">
        <v>4.27</v>
      </c>
      <c r="AX379" s="103" t="inlineStr">
        <is>
          <t>Safe</t>
        </is>
      </c>
      <c r="AY379" s="104" t="n">
        <v>0.16</v>
      </c>
      <c r="AZ379" s="104" t="n">
        <v>0.11</v>
      </c>
      <c r="BA379" s="104" t="n">
        <v>0.15</v>
      </c>
      <c r="BB379" s="104" t="n">
        <v>0.6899999999999999</v>
      </c>
      <c r="BC379" s="103" t="n">
        <v>0.89</v>
      </c>
      <c r="BD379" s="103" t="inlineStr">
        <is>
          <t>Healthy</t>
        </is>
      </c>
      <c r="BE379" s="104" t="n">
        <v>0.03</v>
      </c>
      <c r="BF379" s="104" t="n">
        <v>0.78</v>
      </c>
      <c r="BG379" s="104" t="n">
        <v>1.44</v>
      </c>
      <c r="BH379" s="104" t="n">
        <v>-0</v>
      </c>
      <c r="BI379" s="103" t="n">
        <v>0.5</v>
      </c>
      <c r="BJ379" s="103" t="inlineStr">
        <is>
          <t>Healthy</t>
        </is>
      </c>
      <c r="BK379" s="103" t="n">
        <v>1</v>
      </c>
      <c r="BL379" s="103" t="n">
        <v>1</v>
      </c>
      <c r="BM379" s="103" t="n">
        <v>1</v>
      </c>
      <c r="BN379" s="103" t="n">
        <v>1</v>
      </c>
      <c r="BO379" s="103" t="n">
        <v>1</v>
      </c>
      <c r="BP379" s="103" t="n">
        <v>1</v>
      </c>
      <c r="BQ379" s="103" t="n">
        <v>1</v>
      </c>
      <c r="BR379" s="103" t="n">
        <v>1</v>
      </c>
      <c r="BS379" s="103" t="n">
        <v>0</v>
      </c>
      <c r="BT379" s="103" t="n">
        <v>8</v>
      </c>
      <c r="BU379" s="103" t="inlineStr">
        <is>
          <t>Strong</t>
        </is>
      </c>
      <c r="BV379" s="104" t="n">
        <v>1.13</v>
      </c>
      <c r="BW379" s="104" t="n">
        <v>0.86</v>
      </c>
      <c r="BX379" s="104" t="n">
        <v>0.96</v>
      </c>
      <c r="BY379" s="104" t="n">
        <v>1.04</v>
      </c>
      <c r="BZ379" s="104" t="n">
        <v>1.07</v>
      </c>
      <c r="CA379" s="104" t="n">
        <v>1</v>
      </c>
      <c r="CB379" s="104" t="n">
        <v>1.01</v>
      </c>
      <c r="CC379" s="104" t="n">
        <v>-0.09</v>
      </c>
      <c r="CD379" s="103" t="n">
        <v>-2.84</v>
      </c>
      <c r="CE379" s="103" t="inlineStr">
        <is>
          <t>Lower Risk</t>
        </is>
      </c>
      <c r="CF379" s="104" t="n">
        <v>1.96</v>
      </c>
      <c r="CG379" s="104" t="n">
        <v>61.01</v>
      </c>
      <c r="CH379" s="103" t="n">
        <v>0</v>
      </c>
      <c r="CI379" s="103" t="inlineStr">
        <is>
          <t>CLEAR</t>
        </is>
      </c>
    </row>
    <row r="380" ht="17" customHeight="1">
      <c r="A380" s="107" t="inlineStr">
        <is>
          <t>KHC</t>
        </is>
      </c>
      <c r="B380" s="107" t="inlineStr">
        <is>
          <t>Kraft Heinz Co</t>
        </is>
      </c>
      <c r="C380" s="108" t="n">
        <v>1349000000</v>
      </c>
      <c r="D380" s="109" t="n">
        <v>-0.19</v>
      </c>
      <c r="E380" s="109" t="n">
        <v>-0.22</v>
      </c>
      <c r="F380" s="109" t="n">
        <v>-0.23</v>
      </c>
      <c r="G380" s="109" t="n">
        <v>-0.07000000000000001</v>
      </c>
      <c r="H380" s="109" t="n">
        <v>0.03</v>
      </c>
      <c r="I380" s="109" t="n">
        <v>-0.14</v>
      </c>
      <c r="J380" s="109" t="n">
        <v>-0.06</v>
      </c>
      <c r="K380" s="109" t="n">
        <v>0.33</v>
      </c>
      <c r="L380" s="109" t="n">
        <v>0.35</v>
      </c>
      <c r="M380" s="109" t="n">
        <v>0.3</v>
      </c>
      <c r="N380" s="108" t="n">
        <v>0.29</v>
      </c>
      <c r="O380" s="108" t="n">
        <v>1.15</v>
      </c>
      <c r="P380" s="108" t="n">
        <v>1.06</v>
      </c>
      <c r="Q380" s="108" t="n">
        <v>0.79</v>
      </c>
      <c r="R380" s="108" t="n">
        <v>0.3</v>
      </c>
      <c r="S380" s="108" t="n">
        <v>0.49</v>
      </c>
      <c r="T380" s="108" t="n">
        <v>0.44</v>
      </c>
      <c r="U380" s="108" t="n">
        <v>0</v>
      </c>
      <c r="V380" s="108" t="n">
        <v>-0.06</v>
      </c>
      <c r="W380" s="108" t="n">
        <v>-0.76</v>
      </c>
      <c r="X380" s="109" t="n">
        <v>0.15</v>
      </c>
      <c r="Y380" s="109" t="n">
        <v>0.01</v>
      </c>
      <c r="Z380" s="109" t="n">
        <v>-4.93</v>
      </c>
      <c r="AA380" s="109" t="n">
        <v>-0.03</v>
      </c>
      <c r="AB380" s="109" t="n">
        <v>-3.13</v>
      </c>
      <c r="AC380" s="108" t="n">
        <v>-0.13</v>
      </c>
      <c r="AD380" s="108" t="n">
        <v>-0.13</v>
      </c>
      <c r="AE380" s="108" t="n">
        <v>0.02</v>
      </c>
      <c r="AF380" s="108" t="n">
        <v>-0.06</v>
      </c>
      <c r="AG380" s="108" t="n">
        <v>-0.06</v>
      </c>
      <c r="AH380" s="108" t="n">
        <v>1.04</v>
      </c>
      <c r="AI380" s="108" t="n">
        <v>0.3</v>
      </c>
      <c r="AJ380" s="108" t="n">
        <v>0.68</v>
      </c>
      <c r="AK380" s="112" t="inlineStr">
        <is>
          <t>Distress</t>
        </is>
      </c>
      <c r="AL380" s="108" t="n">
        <v>0.02</v>
      </c>
      <c r="AM380" s="108" t="n">
        <v>-0.06</v>
      </c>
      <c r="AN380" s="108" t="n">
        <v>-0.06</v>
      </c>
      <c r="AO380" s="108" t="n">
        <v>1.04</v>
      </c>
      <c r="AP380" s="108" t="n">
        <v>0.3</v>
      </c>
      <c r="AQ380" s="107" t="n">
        <v>0.53</v>
      </c>
      <c r="AR380" s="107" t="inlineStr">
        <is>
          <t>Distress</t>
        </is>
      </c>
      <c r="AS380" s="108" t="n">
        <v>0.02</v>
      </c>
      <c r="AT380" s="108" t="n">
        <v>-0.06</v>
      </c>
      <c r="AU380" s="108" t="n">
        <v>-0.06</v>
      </c>
      <c r="AV380" s="108" t="n">
        <v>1.04</v>
      </c>
      <c r="AW380" s="107" t="n">
        <v>0.63</v>
      </c>
      <c r="AX380" s="107" t="inlineStr">
        <is>
          <t>Distress</t>
        </is>
      </c>
      <c r="AY380" s="108" t="n">
        <v>0.02</v>
      </c>
      <c r="AZ380" s="108" t="n">
        <v>-0.06</v>
      </c>
      <c r="BA380" s="108" t="n">
        <v>-0.62</v>
      </c>
      <c r="BB380" s="108" t="n">
        <v>0.3</v>
      </c>
      <c r="BC380" s="107" t="n">
        <v>-0.45</v>
      </c>
      <c r="BD380" s="107" t="inlineStr">
        <is>
          <t>Distress</t>
        </is>
      </c>
      <c r="BE380" s="108" t="n">
        <v>-0.07000000000000001</v>
      </c>
      <c r="BF380" s="108" t="n">
        <v>0.49</v>
      </c>
      <c r="BG380" s="108" t="n">
        <v>1.15</v>
      </c>
      <c r="BH380" s="108" t="n">
        <v>-1.23</v>
      </c>
      <c r="BI380" s="107" t="n">
        <v>0.23</v>
      </c>
      <c r="BJ380" s="107" t="inlineStr">
        <is>
          <t>Healthy</t>
        </is>
      </c>
      <c r="BK380" s="107" t="n">
        <v>0</v>
      </c>
      <c r="BL380" s="107" t="n">
        <v>1</v>
      </c>
      <c r="BM380" s="107" t="n">
        <v>0</v>
      </c>
      <c r="BN380" s="107" t="n">
        <v>1</v>
      </c>
      <c r="BO380" s="107" t="n">
        <v>0</v>
      </c>
      <c r="BP380" s="107" t="n">
        <v>1</v>
      </c>
      <c r="BQ380" s="107" t="n">
        <v>1</v>
      </c>
      <c r="BR380" s="107" t="n">
        <v>0</v>
      </c>
      <c r="BS380" s="107" t="n">
        <v>1</v>
      </c>
      <c r="BT380" s="107" t="n">
        <v>5</v>
      </c>
      <c r="BU380" s="107" t="inlineStr">
        <is>
          <t>Mixed</t>
        </is>
      </c>
      <c r="BV380" s="108" t="n">
        <v>1.09</v>
      </c>
      <c r="BW380" s="108" t="n">
        <v>1.04</v>
      </c>
      <c r="BX380" s="108" t="n">
        <v>0.95</v>
      </c>
      <c r="BY380" s="108" t="n">
        <v>0.97</v>
      </c>
      <c r="BZ380" s="108" t="n">
        <v>0.98</v>
      </c>
      <c r="CA380" s="108" t="n">
        <v>1.85</v>
      </c>
      <c r="CB380" s="108" t="n">
        <v>1.11</v>
      </c>
      <c r="CC380" s="108" t="n">
        <v>-0.13</v>
      </c>
      <c r="CD380" s="107" t="n">
        <v>-3.2</v>
      </c>
      <c r="CE380" s="107" t="inlineStr">
        <is>
          <t>Lower Risk</t>
        </is>
      </c>
      <c r="CF380" s="108" t="n">
        <v>0.71</v>
      </c>
      <c r="CG380" s="108" t="n">
        <v>45.86</v>
      </c>
      <c r="CH380" s="106" t="n">
        <v>40</v>
      </c>
      <c r="CI380" s="107" t="inlineStr">
        <is>
          <t>WATCH</t>
        </is>
      </c>
    </row>
    <row r="381" ht="17" customHeight="1">
      <c r="A381" s="103" t="inlineStr">
        <is>
          <t>RL</t>
        </is>
      </c>
      <c r="B381" s="103" t="inlineStr">
        <is>
          <t>RALPH LAUREN CORPORATION</t>
        </is>
      </c>
      <c r="C381" s="104" t="n">
        <v>2060700000</v>
      </c>
      <c r="D381" s="105" t="n">
        <v>0.15</v>
      </c>
      <c r="E381" s="105" t="n">
        <v>0.15</v>
      </c>
      <c r="F381" s="105" t="n">
        <v>0.12</v>
      </c>
      <c r="G381" s="105" t="n">
        <v>0.12</v>
      </c>
      <c r="H381" s="105" t="n">
        <v>0.11</v>
      </c>
      <c r="I381" s="105" t="n">
        <v>0.33</v>
      </c>
      <c r="J381" s="105" t="n">
        <v>0.2</v>
      </c>
      <c r="K381" s="105" t="n">
        <v>0.7</v>
      </c>
      <c r="L381" s="105" t="n">
        <v>0.6899999999999999</v>
      </c>
      <c r="M381" s="105" t="n">
        <v>1.05</v>
      </c>
      <c r="N381" s="104" t="n">
        <v>1</v>
      </c>
      <c r="O381" s="104" t="n">
        <v>2.13</v>
      </c>
      <c r="P381" s="104" t="n">
        <v>1.78</v>
      </c>
      <c r="Q381" s="104" t="n">
        <v>1.57</v>
      </c>
      <c r="R381" s="104" t="n">
        <v>1.09</v>
      </c>
      <c r="S381" s="104" t="n">
        <v>0.63</v>
      </c>
      <c r="T381" s="104" t="n">
        <v>0.63</v>
      </c>
      <c r="U381" s="104" t="n">
        <v>0.11</v>
      </c>
      <c r="V381" s="104" t="n">
        <v>-0.59</v>
      </c>
      <c r="W381" s="104" t="n">
        <v>1.23</v>
      </c>
      <c r="X381" s="105" t="n">
        <v>0.12</v>
      </c>
      <c r="Y381" s="113" t="inlineStr">
        <is>
          <t>N/A</t>
        </is>
      </c>
      <c r="Z381" s="105" t="n">
        <v>21.76</v>
      </c>
      <c r="AA381" s="105" t="n">
        <v>0.15</v>
      </c>
      <c r="AB381" s="105" t="n">
        <v>0.27</v>
      </c>
      <c r="AC381" s="104" t="n">
        <v>-0.03</v>
      </c>
      <c r="AD381" s="104" t="n">
        <v>-0.03</v>
      </c>
      <c r="AE381" s="104" t="n">
        <v>0.27</v>
      </c>
      <c r="AF381" s="104" t="n">
        <v>1.07</v>
      </c>
      <c r="AG381" s="104" t="n">
        <v>0.15</v>
      </c>
      <c r="AH381" s="104" t="n">
        <v>0.58</v>
      </c>
      <c r="AI381" s="104" t="n">
        <v>1.05</v>
      </c>
      <c r="AJ381" s="104" t="n">
        <v>3.72</v>
      </c>
      <c r="AK381" s="110" t="inlineStr">
        <is>
          <t>Safe</t>
        </is>
      </c>
      <c r="AL381" s="104" t="n">
        <v>0.27</v>
      </c>
      <c r="AM381" s="104" t="n">
        <v>1.07</v>
      </c>
      <c r="AN381" s="104" t="n">
        <v>0.15</v>
      </c>
      <c r="AO381" s="104" t="n">
        <v>0.58</v>
      </c>
      <c r="AP381" s="104" t="n">
        <v>1.05</v>
      </c>
      <c r="AQ381" s="103" t="n">
        <v>2.86</v>
      </c>
      <c r="AR381" s="103" t="inlineStr">
        <is>
          <t>Grey</t>
        </is>
      </c>
      <c r="AS381" s="104" t="n">
        <v>0.27</v>
      </c>
      <c r="AT381" s="104" t="n">
        <v>1.07</v>
      </c>
      <c r="AU381" s="104" t="n">
        <v>0.15</v>
      </c>
      <c r="AV381" s="104" t="n">
        <v>0.58</v>
      </c>
      <c r="AW381" s="103" t="n">
        <v>6.88</v>
      </c>
      <c r="AX381" s="103" t="inlineStr">
        <is>
          <t>Safe</t>
        </is>
      </c>
      <c r="AY381" s="104" t="n">
        <v>0.27</v>
      </c>
      <c r="AZ381" s="104" t="n">
        <v>0.15</v>
      </c>
      <c r="BA381" s="104" t="n">
        <v>0.64</v>
      </c>
      <c r="BB381" s="104" t="n">
        <v>1.05</v>
      </c>
      <c r="BC381" s="103" t="n">
        <v>1.59</v>
      </c>
      <c r="BD381" s="103" t="inlineStr">
        <is>
          <t>Healthy</t>
        </is>
      </c>
      <c r="BE381" s="104" t="n">
        <v>0.12</v>
      </c>
      <c r="BF381" s="104" t="n">
        <v>0.63</v>
      </c>
      <c r="BG381" s="104" t="n">
        <v>2.13</v>
      </c>
      <c r="BH381" s="104" t="n">
        <v>-1.28</v>
      </c>
      <c r="BI381" s="103" t="n">
        <v>0.22</v>
      </c>
      <c r="BJ381" s="103" t="inlineStr">
        <is>
          <t>Healthy</t>
        </is>
      </c>
      <c r="BK381" s="103" t="n">
        <v>1</v>
      </c>
      <c r="BL381" s="103" t="n">
        <v>1</v>
      </c>
      <c r="BM381" s="103" t="n">
        <v>1</v>
      </c>
      <c r="BN381" s="103" t="n">
        <v>1</v>
      </c>
      <c r="BO381" s="103" t="n">
        <v>0</v>
      </c>
      <c r="BP381" s="103" t="n">
        <v>1</v>
      </c>
      <c r="BQ381" s="103" t="n">
        <v>0</v>
      </c>
      <c r="BR381" s="103" t="n">
        <v>1</v>
      </c>
      <c r="BS381" s="103" t="n">
        <v>1</v>
      </c>
      <c r="BT381" s="103" t="n">
        <v>7</v>
      </c>
      <c r="BU381" s="103" t="inlineStr">
        <is>
          <t>Strong</t>
        </is>
      </c>
      <c r="BV381" s="104" t="n">
        <v>0.93</v>
      </c>
      <c r="BW381" s="104" t="n">
        <v>0.98</v>
      </c>
      <c r="BX381" s="104" t="n">
        <v>1.05</v>
      </c>
      <c r="BY381" s="104" t="n">
        <v>1.15</v>
      </c>
      <c r="BZ381" s="104" t="n">
        <v>1.15</v>
      </c>
      <c r="CA381" s="104" t="n">
        <v>0.99</v>
      </c>
      <c r="CB381" s="104" t="n">
        <v>1</v>
      </c>
      <c r="CC381" s="104" t="n">
        <v>-0.03</v>
      </c>
      <c r="CD381" s="103" t="n">
        <v>-2.51</v>
      </c>
      <c r="CE381" s="103" t="inlineStr">
        <is>
          <t>Lower Risk</t>
        </is>
      </c>
      <c r="CF381" s="104" t="n">
        <v>-1.2</v>
      </c>
      <c r="CG381" s="104" t="n">
        <v>60.95</v>
      </c>
      <c r="CH381" s="103" t="n">
        <v>0</v>
      </c>
      <c r="CI381" s="103" t="inlineStr">
        <is>
          <t>CLEAR</t>
        </is>
      </c>
    </row>
    <row r="382" ht="17" customHeight="1">
      <c r="A382" s="107" t="inlineStr">
        <is>
          <t>SAIC</t>
        </is>
      </c>
      <c r="B382" s="107" t="inlineStr">
        <is>
          <t>Science Applications International Corporation</t>
        </is>
      </c>
      <c r="C382" s="108" t="n">
        <v>197000000</v>
      </c>
      <c r="D382" s="109" t="n">
        <v>0.07000000000000001</v>
      </c>
      <c r="E382" s="109" t="n">
        <v>0.05</v>
      </c>
      <c r="F382" s="109" t="n">
        <v>0.05</v>
      </c>
      <c r="G382" s="109" t="n">
        <v>0.07000000000000001</v>
      </c>
      <c r="H382" s="109" t="n">
        <v>0.09</v>
      </c>
      <c r="I382" s="109" t="n">
        <v>0.24</v>
      </c>
      <c r="J382" s="109" t="n">
        <v>0.12</v>
      </c>
      <c r="K382" s="109" t="n">
        <v>0.12</v>
      </c>
      <c r="L382" s="109" t="n">
        <v>0.12</v>
      </c>
      <c r="M382" s="109" t="n">
        <v>1.36</v>
      </c>
      <c r="N382" s="108" t="n">
        <v>1.43</v>
      </c>
      <c r="O382" s="108" t="n">
        <v>1.2</v>
      </c>
      <c r="P382" s="108" t="n">
        <v>0.83</v>
      </c>
      <c r="Q382" s="108" t="n">
        <v>1.2</v>
      </c>
      <c r="R382" s="108" t="n">
        <v>0.19</v>
      </c>
      <c r="S382" s="108" t="n">
        <v>1</v>
      </c>
      <c r="T382" s="108" t="n">
        <v>1</v>
      </c>
      <c r="U382" s="108" t="n">
        <v>1.67</v>
      </c>
      <c r="V382" s="108" t="n">
        <v>1.55</v>
      </c>
      <c r="W382" s="108" t="n">
        <v>1.68</v>
      </c>
      <c r="X382" s="109" t="n">
        <v>0.08</v>
      </c>
      <c r="Y382" s="109" t="n">
        <v>0</v>
      </c>
      <c r="Z382" s="109" t="n">
        <v>4.34</v>
      </c>
      <c r="AA382" s="109" t="n">
        <v>-0.03</v>
      </c>
      <c r="AB382" s="109" t="n">
        <v>-0.24</v>
      </c>
      <c r="AC382" s="108" t="n">
        <v>-0.05</v>
      </c>
      <c r="AD382" s="108" t="n">
        <v>-0.05</v>
      </c>
      <c r="AE382" s="108" t="n">
        <v>0.04</v>
      </c>
      <c r="AF382" s="108" t="n">
        <v>0.28</v>
      </c>
      <c r="AG382" s="108" t="n">
        <v>0.1</v>
      </c>
      <c r="AH382" s="108" t="n">
        <v>0.28</v>
      </c>
      <c r="AI382" s="108" t="n">
        <v>1.36</v>
      </c>
      <c r="AJ382" s="108" t="n">
        <v>2.28</v>
      </c>
      <c r="AK382" s="106" t="inlineStr">
        <is>
          <t>Grey</t>
        </is>
      </c>
      <c r="AL382" s="108" t="n">
        <v>0.04</v>
      </c>
      <c r="AM382" s="108" t="n">
        <v>0.28</v>
      </c>
      <c r="AN382" s="108" t="n">
        <v>0.1</v>
      </c>
      <c r="AO382" s="108" t="n">
        <v>0.28</v>
      </c>
      <c r="AP382" s="108" t="n">
        <v>1.36</v>
      </c>
      <c r="AQ382" s="107" t="n">
        <v>2.04</v>
      </c>
      <c r="AR382" s="107" t="inlineStr">
        <is>
          <t>Grey</t>
        </is>
      </c>
      <c r="AS382" s="108" t="n">
        <v>0.04</v>
      </c>
      <c r="AT382" s="108" t="n">
        <v>0.28</v>
      </c>
      <c r="AU382" s="108" t="n">
        <v>0.1</v>
      </c>
      <c r="AV382" s="108" t="n">
        <v>0.28</v>
      </c>
      <c r="AW382" s="107" t="n">
        <v>2.1</v>
      </c>
      <c r="AX382" s="107" t="inlineStr">
        <is>
          <t>Grey</t>
        </is>
      </c>
      <c r="AY382" s="108" t="n">
        <v>0.04</v>
      </c>
      <c r="AZ382" s="108" t="n">
        <v>0.1</v>
      </c>
      <c r="BA382" s="108" t="n">
        <v>0.39</v>
      </c>
      <c r="BB382" s="108" t="n">
        <v>1.36</v>
      </c>
      <c r="BC382" s="107" t="n">
        <v>1.14</v>
      </c>
      <c r="BD382" s="107" t="inlineStr">
        <is>
          <t>Healthy</t>
        </is>
      </c>
      <c r="BE382" s="108" t="n">
        <v>0.07000000000000001</v>
      </c>
      <c r="BF382" s="108" t="n">
        <v>1</v>
      </c>
      <c r="BG382" s="108" t="n">
        <v>1.2</v>
      </c>
      <c r="BH382" s="108" t="n">
        <v>1.04</v>
      </c>
      <c r="BI382" s="107" t="n">
        <v>0.74</v>
      </c>
      <c r="BJ382" s="107" t="inlineStr">
        <is>
          <t>Distress</t>
        </is>
      </c>
      <c r="BK382" s="107" t="n">
        <v>1</v>
      </c>
      <c r="BL382" s="107" t="n">
        <v>1</v>
      </c>
      <c r="BM382" s="107" t="n">
        <v>0</v>
      </c>
      <c r="BN382" s="107" t="n">
        <v>1</v>
      </c>
      <c r="BO382" s="107" t="n">
        <v>0</v>
      </c>
      <c r="BP382" s="107" t="n">
        <v>1</v>
      </c>
      <c r="BQ382" s="107" t="n">
        <v>1</v>
      </c>
      <c r="BR382" s="107" t="n">
        <v>1</v>
      </c>
      <c r="BS382" s="107" t="n">
        <v>0</v>
      </c>
      <c r="BT382" s="107" t="n">
        <v>6</v>
      </c>
      <c r="BU382" s="107" t="inlineStr">
        <is>
          <t>Mixed</t>
        </is>
      </c>
      <c r="BV382" s="108" t="n">
        <v>0.88</v>
      </c>
      <c r="BW382" s="108" t="n">
        <v>0.99</v>
      </c>
      <c r="BX382" s="108" t="n">
        <v>1</v>
      </c>
      <c r="BY382" s="108" t="n">
        <v>0.97</v>
      </c>
      <c r="BZ382" s="108" t="n">
        <v>1</v>
      </c>
      <c r="CA382" s="108" t="n">
        <v>1.06</v>
      </c>
      <c r="CB382" s="108" t="n">
        <v>1</v>
      </c>
      <c r="CC382" s="108" t="n">
        <v>-0.05</v>
      </c>
      <c r="CD382" s="107" t="n">
        <v>-2.85</v>
      </c>
      <c r="CE382" s="107" t="inlineStr">
        <is>
          <t>Lower Risk</t>
        </is>
      </c>
      <c r="CF382" s="108" t="n">
        <v>3.47</v>
      </c>
      <c r="CG382" s="108" t="n">
        <v>53.96</v>
      </c>
      <c r="CH382" s="107" t="n">
        <v>0</v>
      </c>
      <c r="CI382" s="107" t="inlineStr">
        <is>
          <t>CLEAR</t>
        </is>
      </c>
    </row>
    <row r="383" ht="17" customHeight="1">
      <c r="A383" s="103" t="inlineStr">
        <is>
          <t>MA</t>
        </is>
      </c>
      <c r="B383" s="103" t="inlineStr">
        <is>
          <t>Mastercard Inc</t>
        </is>
      </c>
      <c r="C383" s="104" t="n">
        <v>796000000</v>
      </c>
      <c r="D383" s="105" t="n">
        <v>0.58</v>
      </c>
      <c r="E383" s="105" t="n">
        <v>0.57</v>
      </c>
      <c r="F383" s="105" t="n">
        <v>0.1</v>
      </c>
      <c r="G383" s="105" t="n">
        <v>0.06</v>
      </c>
      <c r="H383" s="105" t="n">
        <v>0.01</v>
      </c>
      <c r="I383" s="105" t="n">
        <v>0.4</v>
      </c>
      <c r="J383" s="105" t="n">
        <v>0.6</v>
      </c>
      <c r="K383" s="105" t="n">
        <v>0.58</v>
      </c>
      <c r="L383" s="105" t="n">
        <v>0.55</v>
      </c>
      <c r="M383" s="105" t="n">
        <v>0.61</v>
      </c>
      <c r="N383" s="104" t="n">
        <v>0.59</v>
      </c>
      <c r="O383" s="104" t="n">
        <v>1.03</v>
      </c>
      <c r="P383" s="104" t="n">
        <v>1.03</v>
      </c>
      <c r="Q383" s="104" t="n">
        <v>1.03</v>
      </c>
      <c r="R383" s="104" t="n">
        <v>0.46</v>
      </c>
      <c r="S383" s="104" t="n">
        <v>0.86</v>
      </c>
      <c r="T383" s="104" t="n">
        <v>0.86</v>
      </c>
      <c r="U383" s="104" t="n">
        <v>0.1</v>
      </c>
      <c r="V383" s="104" t="n">
        <v>-1.27</v>
      </c>
      <c r="W383" s="104" t="n">
        <v>5.66</v>
      </c>
      <c r="X383" s="105" t="n">
        <v>0.52</v>
      </c>
      <c r="Y383" s="105" t="n">
        <v>0</v>
      </c>
      <c r="Z383" s="105" t="n">
        <v>32.86</v>
      </c>
      <c r="AA383" s="105" t="n">
        <v>0.16</v>
      </c>
      <c r="AB383" s="105" t="n">
        <v>4</v>
      </c>
      <c r="AC383" s="104" t="n">
        <v>-0.27</v>
      </c>
      <c r="AD383" s="104" t="n">
        <v>-0.27</v>
      </c>
      <c r="AE383" s="104" t="n">
        <v>0.01</v>
      </c>
      <c r="AF383" s="104" t="n">
        <v>1.57</v>
      </c>
      <c r="AG383" s="104" t="n">
        <v>0.35</v>
      </c>
      <c r="AH383" s="104" t="n">
        <v>0.17</v>
      </c>
      <c r="AI383" s="104" t="n">
        <v>0.61</v>
      </c>
      <c r="AJ383" s="104" t="n">
        <v>4.07</v>
      </c>
      <c r="AK383" s="110" t="inlineStr">
        <is>
          <t>Safe</t>
        </is>
      </c>
      <c r="AL383" s="104" t="n">
        <v>0.01</v>
      </c>
      <c r="AM383" s="104" t="n">
        <v>1.57</v>
      </c>
      <c r="AN383" s="104" t="n">
        <v>0.35</v>
      </c>
      <c r="AO383" s="104" t="n">
        <v>0.17</v>
      </c>
      <c r="AP383" s="104" t="n">
        <v>0.61</v>
      </c>
      <c r="AQ383" s="103" t="n">
        <v>3.1</v>
      </c>
      <c r="AR383" s="103" t="inlineStr">
        <is>
          <t>Safe</t>
        </is>
      </c>
      <c r="AS383" s="104" t="n">
        <v>0.01</v>
      </c>
      <c r="AT383" s="104" t="n">
        <v>1.57</v>
      </c>
      <c r="AU383" s="104" t="n">
        <v>0.35</v>
      </c>
      <c r="AV383" s="104" t="n">
        <v>0.17</v>
      </c>
      <c r="AW383" s="103" t="n">
        <v>7.73</v>
      </c>
      <c r="AX383" s="103" t="inlineStr">
        <is>
          <t>Safe</t>
        </is>
      </c>
      <c r="AY383" s="104" t="n">
        <v>0.01</v>
      </c>
      <c r="AZ383" s="104" t="n">
        <v>0.35</v>
      </c>
      <c r="BA383" s="104" t="n">
        <v>0.82</v>
      </c>
      <c r="BB383" s="104" t="n">
        <v>0.61</v>
      </c>
      <c r="BC383" s="103" t="n">
        <v>1.87</v>
      </c>
      <c r="BD383" s="103" t="inlineStr">
        <is>
          <t>Healthy</t>
        </is>
      </c>
      <c r="BE383" s="104" t="n">
        <v>0.06</v>
      </c>
      <c r="BF383" s="104" t="n">
        <v>0.86</v>
      </c>
      <c r="BG383" s="104" t="n">
        <v>1.03</v>
      </c>
      <c r="BH383" s="104" t="n">
        <v>0.28</v>
      </c>
      <c r="BI383" s="103" t="n">
        <v>0.57</v>
      </c>
      <c r="BJ383" s="103" t="inlineStr">
        <is>
          <t>Distress</t>
        </is>
      </c>
      <c r="BK383" s="103" t="n">
        <v>1</v>
      </c>
      <c r="BL383" s="103" t="n">
        <v>1</v>
      </c>
      <c r="BM383" s="103" t="n">
        <v>1</v>
      </c>
      <c r="BN383" s="103" t="n">
        <v>1</v>
      </c>
      <c r="BO383" s="103" t="n">
        <v>1</v>
      </c>
      <c r="BP383" s="103" t="n">
        <v>1</v>
      </c>
      <c r="BQ383" s="103" t="n">
        <v>0</v>
      </c>
      <c r="BR383" s="103" t="n">
        <v>1</v>
      </c>
      <c r="BS383" s="103" t="n">
        <v>1</v>
      </c>
      <c r="BT383" s="103" t="n">
        <v>8</v>
      </c>
      <c r="BU383" s="103" t="inlineStr">
        <is>
          <t>Strong</t>
        </is>
      </c>
      <c r="BV383" s="104" t="n">
        <v>1.05</v>
      </c>
      <c r="BW383" s="104" t="n">
        <v>0.96</v>
      </c>
      <c r="BX383" s="104" t="n">
        <v>0.96</v>
      </c>
      <c r="BY383" s="104" t="n">
        <v>1.16</v>
      </c>
      <c r="BZ383" s="104" t="n">
        <v>0.89</v>
      </c>
      <c r="CA383" s="104" t="n">
        <v>0.95</v>
      </c>
      <c r="CB383" s="104" t="n">
        <v>0.99</v>
      </c>
      <c r="CC383" s="104" t="n">
        <v>-0.27</v>
      </c>
      <c r="CD383" s="103" t="n">
        <v>-3.58</v>
      </c>
      <c r="CE383" s="103" t="inlineStr">
        <is>
          <t>Lower Risk</t>
        </is>
      </c>
      <c r="CF383" s="104" t="n">
        <v>-0.49</v>
      </c>
      <c r="CG383" s="104" t="n">
        <v>65.45999999999999</v>
      </c>
      <c r="CH383" s="103" t="n">
        <v>20</v>
      </c>
      <c r="CI383" s="103" t="inlineStr">
        <is>
          <t>CLEAR</t>
        </is>
      </c>
    </row>
    <row r="384" ht="17" customHeight="1">
      <c r="A384" s="107" t="inlineStr">
        <is>
          <t>FAST</t>
        </is>
      </c>
      <c r="B384" s="107" t="inlineStr">
        <is>
          <t>FASTENAL CO</t>
        </is>
      </c>
      <c r="C384" s="108" t="n">
        <v>2756500000</v>
      </c>
      <c r="D384" s="109" t="n">
        <v>0.2</v>
      </c>
      <c r="E384" s="109" t="n">
        <v>0.2</v>
      </c>
      <c r="F384" s="109" t="n">
        <v>0.15</v>
      </c>
      <c r="G384" s="109" t="n">
        <v>0.25</v>
      </c>
      <c r="H384" s="109" t="n">
        <v>0.24</v>
      </c>
      <c r="I384" s="109" t="n">
        <v>0.32</v>
      </c>
      <c r="J384" s="109" t="n">
        <v>0.38</v>
      </c>
      <c r="K384" s="109" t="n">
        <v>0.45</v>
      </c>
      <c r="L384" s="109" t="n">
        <v>0.45</v>
      </c>
      <c r="M384" s="109" t="n">
        <v>1.62</v>
      </c>
      <c r="N384" s="108" t="n">
        <v>1.61</v>
      </c>
      <c r="O384" s="108" t="n">
        <v>4.85</v>
      </c>
      <c r="P384" s="108" t="n">
        <v>4.67</v>
      </c>
      <c r="Q384" s="108" t="n">
        <v>2.41</v>
      </c>
      <c r="R384" s="108" t="n">
        <v>0.39</v>
      </c>
      <c r="S384" s="108" t="n">
        <v>1</v>
      </c>
      <c r="T384" s="108" t="n">
        <v>1</v>
      </c>
      <c r="U384" s="108" t="n">
        <v>0.04</v>
      </c>
      <c r="V384" s="108" t="n">
        <v>-0.03</v>
      </c>
      <c r="W384" s="108" t="n">
        <v>1.03</v>
      </c>
      <c r="X384" s="109" t="n">
        <v>0.13</v>
      </c>
      <c r="Y384" s="109" t="n">
        <v>0</v>
      </c>
      <c r="Z384" s="109" t="n">
        <v>153.31</v>
      </c>
      <c r="AA384" s="109" t="n">
        <v>0.09</v>
      </c>
      <c r="AB384" s="109" t="n">
        <v>0.09</v>
      </c>
      <c r="AC384" s="108" t="n">
        <v>-0.01</v>
      </c>
      <c r="AD384" s="108" t="n">
        <v>-0.01</v>
      </c>
      <c r="AE384" s="108" t="n">
        <v>0.55</v>
      </c>
      <c r="AF384" s="108" t="n">
        <v>0.77</v>
      </c>
      <c r="AG384" s="108" t="n">
        <v>0.33</v>
      </c>
      <c r="AH384" s="108" t="n">
        <v>0.78</v>
      </c>
      <c r="AI384" s="108" t="n">
        <v>1.62</v>
      </c>
      <c r="AJ384" s="108" t="n">
        <v>4.9</v>
      </c>
      <c r="AK384" s="110" t="inlineStr">
        <is>
          <t>Safe</t>
        </is>
      </c>
      <c r="AL384" s="108" t="n">
        <v>0.55</v>
      </c>
      <c r="AM384" s="108" t="n">
        <v>0.77</v>
      </c>
      <c r="AN384" s="108" t="n">
        <v>0.33</v>
      </c>
      <c r="AO384" s="108" t="n">
        <v>0.78</v>
      </c>
      <c r="AP384" s="108" t="n">
        <v>1.62</v>
      </c>
      <c r="AQ384" s="107" t="n">
        <v>4.01</v>
      </c>
      <c r="AR384" s="107" t="inlineStr">
        <is>
          <t>Safe</t>
        </is>
      </c>
      <c r="AS384" s="108" t="n">
        <v>0.55</v>
      </c>
      <c r="AT384" s="108" t="n">
        <v>0.77</v>
      </c>
      <c r="AU384" s="108" t="n">
        <v>0.33</v>
      </c>
      <c r="AV384" s="108" t="n">
        <v>0.78</v>
      </c>
      <c r="AW384" s="107" t="n">
        <v>9.1</v>
      </c>
      <c r="AX384" s="107" t="inlineStr">
        <is>
          <t>Safe</t>
        </is>
      </c>
      <c r="AY384" s="108" t="n">
        <v>0.55</v>
      </c>
      <c r="AZ384" s="108" t="n">
        <v>0.33</v>
      </c>
      <c r="BA384" s="108" t="n">
        <v>2.31</v>
      </c>
      <c r="BB384" s="108" t="n">
        <v>1.62</v>
      </c>
      <c r="BC384" s="107" t="n">
        <v>3.74</v>
      </c>
      <c r="BD384" s="107" t="inlineStr">
        <is>
          <t>Healthy</t>
        </is>
      </c>
      <c r="BE384" s="108" t="n">
        <v>0.25</v>
      </c>
      <c r="BF384" s="108" t="n">
        <v>1</v>
      </c>
      <c r="BG384" s="108" t="n">
        <v>4.85</v>
      </c>
      <c r="BH384" s="108" t="n">
        <v>0.24</v>
      </c>
      <c r="BI384" s="107" t="n">
        <v>0.5600000000000001</v>
      </c>
      <c r="BJ384" s="107" t="inlineStr">
        <is>
          <t>Distress</t>
        </is>
      </c>
      <c r="BK384" s="107" t="n">
        <v>1</v>
      </c>
      <c r="BL384" s="107" t="n">
        <v>1</v>
      </c>
      <c r="BM384" s="107" t="n">
        <v>1</v>
      </c>
      <c r="BN384" s="107" t="n">
        <v>1</v>
      </c>
      <c r="BO384" s="107" t="n">
        <v>1</v>
      </c>
      <c r="BP384" s="107" t="n">
        <v>1</v>
      </c>
      <c r="BQ384" s="107" t="n">
        <v>0</v>
      </c>
      <c r="BR384" s="107" t="n">
        <v>0</v>
      </c>
      <c r="BS384" s="107" t="n">
        <v>1</v>
      </c>
      <c r="BT384" s="107" t="n">
        <v>7</v>
      </c>
      <c r="BU384" s="107" t="inlineStr">
        <is>
          <t>Strong</t>
        </is>
      </c>
      <c r="BV384" s="108" t="n">
        <v>1.03</v>
      </c>
      <c r="BW384" s="108" t="n">
        <v>1</v>
      </c>
      <c r="BX384" s="108" t="n">
        <v>0.97</v>
      </c>
      <c r="BY384" s="108" t="n">
        <v>1.09</v>
      </c>
      <c r="BZ384" s="108" t="n">
        <v>1.04</v>
      </c>
      <c r="CA384" s="108" t="n">
        <v>0.99</v>
      </c>
      <c r="CB384" s="108" t="n">
        <v>1</v>
      </c>
      <c r="CC384" s="108" t="n">
        <v>-0.01</v>
      </c>
      <c r="CD384" s="107" t="n">
        <v>-2.41</v>
      </c>
      <c r="CE384" s="107" t="inlineStr">
        <is>
          <t>Lower Risk</t>
        </is>
      </c>
      <c r="CF384" s="108" t="n">
        <v>-0.07000000000000001</v>
      </c>
      <c r="CG384" s="108" t="n">
        <v>64.73999999999999</v>
      </c>
      <c r="CH384" s="107" t="n">
        <v>0</v>
      </c>
      <c r="CI384" s="107" t="inlineStr">
        <is>
          <t>CLEAR</t>
        </is>
      </c>
    </row>
    <row r="385" ht="17" customHeight="1">
      <c r="A385" s="103" t="inlineStr">
        <is>
          <t>DRI</t>
        </is>
      </c>
      <c r="B385" s="103" t="inlineStr">
        <is>
          <t>DARDEN RESTAURANTS, INC.</t>
        </is>
      </c>
      <c r="C385" s="104" t="n">
        <v>-1309800000</v>
      </c>
      <c r="D385" s="105" t="n">
        <v>0.11</v>
      </c>
      <c r="E385" s="105" t="n">
        <v>0.1</v>
      </c>
      <c r="F385" s="105" t="n">
        <v>0.09</v>
      </c>
      <c r="G385" s="105" t="n">
        <v>0.08</v>
      </c>
      <c r="H385" s="105" t="n">
        <v>0.09</v>
      </c>
      <c r="I385" s="105" t="n">
        <v>0.45</v>
      </c>
      <c r="J385" s="105" t="n">
        <v>0.13</v>
      </c>
      <c r="K385" s="105" t="n">
        <v>0.2</v>
      </c>
      <c r="L385" s="105" t="n">
        <v>0.2</v>
      </c>
      <c r="M385" s="105" t="n">
        <v>0.96</v>
      </c>
      <c r="N385" s="104" t="n">
        <v>1.01</v>
      </c>
      <c r="O385" s="104" t="n">
        <v>0.42</v>
      </c>
      <c r="P385" s="104" t="n">
        <v>0.38</v>
      </c>
      <c r="Q385" s="104" t="n">
        <v>0.28</v>
      </c>
      <c r="R385" s="104" t="n">
        <v>0.11</v>
      </c>
      <c r="S385" s="104" t="n">
        <v>0.82</v>
      </c>
      <c r="T385" s="104" t="n">
        <v>0.8</v>
      </c>
      <c r="U385" s="104" t="n">
        <v>0.92</v>
      </c>
      <c r="V385" s="104" t="n">
        <v>0.82</v>
      </c>
      <c r="W385" s="113" t="inlineStr">
        <is>
          <t>N/A</t>
        </is>
      </c>
      <c r="X385" s="113" t="inlineStr">
        <is>
          <t>N/A</t>
        </is>
      </c>
      <c r="Y385" s="113" t="inlineStr">
        <is>
          <t>N/A</t>
        </is>
      </c>
      <c r="Z385" s="105" t="n">
        <v>27.14</v>
      </c>
      <c r="AA385" s="105" t="n">
        <v>0.06</v>
      </c>
      <c r="AB385" s="105" t="n">
        <v>0.02</v>
      </c>
      <c r="AC385" s="113" t="inlineStr">
        <is>
          <t>N/A</t>
        </is>
      </c>
      <c r="AD385" s="113" t="inlineStr">
        <is>
          <t>N/A</t>
        </is>
      </c>
      <c r="AE385" s="104" t="n">
        <v>-0.1</v>
      </c>
      <c r="AF385" s="104" t="n">
        <v>-0</v>
      </c>
      <c r="AG385" s="104" t="n">
        <v>0.11</v>
      </c>
      <c r="AH385" s="104" t="n">
        <v>0.22</v>
      </c>
      <c r="AI385" s="104" t="n">
        <v>0.96</v>
      </c>
      <c r="AJ385" s="104" t="n">
        <v>1.32</v>
      </c>
      <c r="AK385" s="112" t="inlineStr">
        <is>
          <t>Distress</t>
        </is>
      </c>
      <c r="AL385" s="104" t="n">
        <v>-0.1</v>
      </c>
      <c r="AM385" s="104" t="n">
        <v>-0</v>
      </c>
      <c r="AN385" s="104" t="n">
        <v>0.11</v>
      </c>
      <c r="AO385" s="104" t="n">
        <v>0.22</v>
      </c>
      <c r="AP385" s="104" t="n">
        <v>0.96</v>
      </c>
      <c r="AQ385" s="103" t="n">
        <v>1.31</v>
      </c>
      <c r="AR385" s="103" t="inlineStr">
        <is>
          <t>Grey</t>
        </is>
      </c>
      <c r="AS385" s="104" t="n">
        <v>-0.1</v>
      </c>
      <c r="AT385" s="104" t="n">
        <v>-0</v>
      </c>
      <c r="AU385" s="104" t="n">
        <v>0.11</v>
      </c>
      <c r="AV385" s="104" t="n">
        <v>0.22</v>
      </c>
      <c r="AW385" s="103" t="n">
        <v>0.28</v>
      </c>
      <c r="AX385" s="103" t="inlineStr">
        <is>
          <t>Distress</t>
        </is>
      </c>
      <c r="AY385" s="104" t="n">
        <v>-0.1</v>
      </c>
      <c r="AZ385" s="104" t="n">
        <v>0.11</v>
      </c>
      <c r="BA385" s="104" t="n">
        <v>0.53</v>
      </c>
      <c r="BB385" s="104" t="n">
        <v>0.96</v>
      </c>
      <c r="BC385" s="103" t="n">
        <v>0.96</v>
      </c>
      <c r="BD385" s="103" t="inlineStr">
        <is>
          <t>Healthy</t>
        </is>
      </c>
      <c r="BE385" s="104" t="n">
        <v>0.08</v>
      </c>
      <c r="BF385" s="104" t="n">
        <v>0.82</v>
      </c>
      <c r="BG385" s="104" t="n">
        <v>0.42</v>
      </c>
      <c r="BH385" s="104" t="n">
        <v>-0.07000000000000001</v>
      </c>
      <c r="BI385" s="103" t="n">
        <v>0.48</v>
      </c>
      <c r="BJ385" s="103" t="inlineStr">
        <is>
          <t>Healthy</t>
        </is>
      </c>
      <c r="BK385" s="103" t="n">
        <v>1</v>
      </c>
      <c r="BL385" s="103" t="n">
        <v>0</v>
      </c>
      <c r="BM385" s="103" t="n">
        <v>0</v>
      </c>
      <c r="BN385" s="103" t="n">
        <v>0</v>
      </c>
      <c r="BO385" s="103" t="n">
        <v>0</v>
      </c>
      <c r="BP385" s="103" t="n">
        <v>1</v>
      </c>
      <c r="BQ385" s="103" t="n">
        <v>1</v>
      </c>
      <c r="BR385" s="103" t="n">
        <v>1</v>
      </c>
      <c r="BS385" s="103" t="n">
        <v>0</v>
      </c>
      <c r="BT385" s="103" t="n">
        <v>4</v>
      </c>
      <c r="BU385" s="103" t="inlineStr">
        <is>
          <t>Mixed</t>
        </is>
      </c>
      <c r="BV385" s="104" t="n">
        <v>1.12</v>
      </c>
      <c r="BW385" s="104" t="n">
        <v>0.97</v>
      </c>
      <c r="BX385" s="104" t="n">
        <v>1.01</v>
      </c>
      <c r="BY385" s="104" t="n">
        <v>1.06</v>
      </c>
      <c r="BZ385" s="104" t="n">
        <v>0.97</v>
      </c>
      <c r="CA385" s="104" t="n">
        <v>0.74</v>
      </c>
      <c r="CB385" s="104" t="n">
        <v>1.02</v>
      </c>
      <c r="CC385" s="113" t="inlineStr">
        <is>
          <t>N/A</t>
        </is>
      </c>
      <c r="CD385" s="113" t="inlineStr">
        <is>
          <t>N/A</t>
        </is>
      </c>
      <c r="CE385" s="113" t="inlineStr">
        <is>
          <t>N/A</t>
        </is>
      </c>
      <c r="CF385" s="104" t="n">
        <v>1.01</v>
      </c>
      <c r="CG385" s="104" t="n">
        <v>43.65</v>
      </c>
      <c r="CH385" s="103" t="n">
        <v>0</v>
      </c>
      <c r="CI385" s="103" t="inlineStr">
        <is>
          <t>CLEAR</t>
        </is>
      </c>
    </row>
    <row r="386" ht="17" customHeight="1">
      <c r="A386" s="107" t="inlineStr">
        <is>
          <t>DOCN</t>
        </is>
      </c>
      <c r="B386" s="107" t="inlineStr">
        <is>
          <t>DigitalOcean Holdings, Inc.</t>
        </is>
      </c>
      <c r="C386" s="108" t="n">
        <v>-192483000</v>
      </c>
      <c r="D386" s="109" t="n">
        <v>0.17</v>
      </c>
      <c r="E386" s="109" t="n">
        <v>0.23</v>
      </c>
      <c r="F386" s="109" t="n">
        <v>0.29</v>
      </c>
      <c r="G386" s="109" t="n">
        <v>0.14</v>
      </c>
      <c r="H386" s="109" t="n">
        <v>0.05</v>
      </c>
      <c r="I386" s="109" t="n">
        <v>-9.039999999999999</v>
      </c>
      <c r="J386" s="109" t="n">
        <v>0.13</v>
      </c>
      <c r="K386" s="109" t="n">
        <v>0.6</v>
      </c>
      <c r="L386" s="109" t="n">
        <v>0.6</v>
      </c>
      <c r="M386" s="109" t="n">
        <v>0.49</v>
      </c>
      <c r="N386" s="108" t="n">
        <v>0.48</v>
      </c>
      <c r="O386" s="108" t="n">
        <v>0.6899999999999999</v>
      </c>
      <c r="P386" s="108" t="n">
        <v>2.45</v>
      </c>
      <c r="Q386" s="108" t="n">
        <v>0.6899999999999999</v>
      </c>
      <c r="R386" s="108" t="n">
        <v>0.41</v>
      </c>
      <c r="S386" s="108" t="n">
        <v>1.02</v>
      </c>
      <c r="T386" s="108" t="n">
        <v>1.12</v>
      </c>
      <c r="U386" s="108" t="n">
        <v>-56.5</v>
      </c>
      <c r="V386" s="108" t="n">
        <v>-47.63</v>
      </c>
      <c r="W386" s="108" t="n">
        <v>1.19</v>
      </c>
      <c r="X386" s="109" t="n">
        <v>0.2</v>
      </c>
      <c r="Y386" s="109" t="n">
        <v>0.18</v>
      </c>
      <c r="Z386" s="109" t="n">
        <v>17.55</v>
      </c>
      <c r="AA386" s="109" t="n">
        <v>0.15</v>
      </c>
      <c r="AB386" s="109" t="n">
        <v>2.07</v>
      </c>
      <c r="AC386" s="108" t="n">
        <v>-0.03</v>
      </c>
      <c r="AD386" s="108" t="n">
        <v>-0.03</v>
      </c>
      <c r="AE386" s="108" t="n">
        <v>-0.1</v>
      </c>
      <c r="AF386" s="108" t="n">
        <v>-0.02</v>
      </c>
      <c r="AG386" s="108" t="n">
        <v>0.09</v>
      </c>
      <c r="AH386" s="108" t="n">
        <v>-0.02</v>
      </c>
      <c r="AI386" s="108" t="n">
        <v>0.49</v>
      </c>
      <c r="AJ386" s="108" t="n">
        <v>0.6</v>
      </c>
      <c r="AK386" s="112" t="inlineStr">
        <is>
          <t>Distress</t>
        </is>
      </c>
      <c r="AL386" s="108" t="n">
        <v>-0.1</v>
      </c>
      <c r="AM386" s="108" t="n">
        <v>-0.02</v>
      </c>
      <c r="AN386" s="108" t="n">
        <v>0.09</v>
      </c>
      <c r="AO386" s="108" t="n">
        <v>-0.02</v>
      </c>
      <c r="AP386" s="108" t="n">
        <v>0.49</v>
      </c>
      <c r="AQ386" s="107" t="n">
        <v>0.65</v>
      </c>
      <c r="AR386" s="107" t="inlineStr">
        <is>
          <t>Distress</t>
        </is>
      </c>
      <c r="AS386" s="108" t="n">
        <v>-0.1</v>
      </c>
      <c r="AT386" s="108" t="n">
        <v>-0.02</v>
      </c>
      <c r="AU386" s="108" t="n">
        <v>0.09</v>
      </c>
      <c r="AV386" s="108" t="n">
        <v>-0.02</v>
      </c>
      <c r="AW386" s="107" t="n">
        <v>-0.21</v>
      </c>
      <c r="AX386" s="107" t="inlineStr">
        <is>
          <t>Distress</t>
        </is>
      </c>
      <c r="AY386" s="108" t="n">
        <v>-0.1</v>
      </c>
      <c r="AZ386" s="108" t="n">
        <v>0.09</v>
      </c>
      <c r="BA386" s="108" t="n">
        <v>0.33</v>
      </c>
      <c r="BB386" s="108" t="n">
        <v>0.49</v>
      </c>
      <c r="BC386" s="107" t="n">
        <v>0.57</v>
      </c>
      <c r="BD386" s="107" t="inlineStr">
        <is>
          <t>Distress</t>
        </is>
      </c>
      <c r="BE386" s="108" t="n">
        <v>0.14</v>
      </c>
      <c r="BF386" s="108" t="n">
        <v>1.02</v>
      </c>
      <c r="BG386" s="108" t="n">
        <v>0.6899999999999999</v>
      </c>
      <c r="BH386" s="108" t="n">
        <v>0.8</v>
      </c>
      <c r="BI386" s="107" t="n">
        <v>0.6899999999999999</v>
      </c>
      <c r="BJ386" s="107" t="inlineStr">
        <is>
          <t>Distress</t>
        </is>
      </c>
      <c r="BK386" s="107" t="n">
        <v>1</v>
      </c>
      <c r="BL386" s="107" t="n">
        <v>1</v>
      </c>
      <c r="BM386" s="107" t="n">
        <v>1</v>
      </c>
      <c r="BN386" s="107" t="n">
        <v>1</v>
      </c>
      <c r="BO386" s="107" t="n">
        <v>1</v>
      </c>
      <c r="BP386" s="107" t="n">
        <v>0</v>
      </c>
      <c r="BQ386" s="107" t="n">
        <v>1</v>
      </c>
      <c r="BR386" s="107" t="n">
        <v>1</v>
      </c>
      <c r="BS386" s="107" t="n">
        <v>1</v>
      </c>
      <c r="BT386" s="107" t="n">
        <v>8</v>
      </c>
      <c r="BU386" s="107" t="inlineStr">
        <is>
          <t>Strong</t>
        </is>
      </c>
      <c r="BV386" s="108" t="n">
        <v>1.09</v>
      </c>
      <c r="BW386" s="108" t="n">
        <v>1</v>
      </c>
      <c r="BX386" s="108" t="n">
        <v>1.1</v>
      </c>
      <c r="BY386" s="108" t="n">
        <v>1.15</v>
      </c>
      <c r="BZ386" s="108" t="n">
        <v>1.22</v>
      </c>
      <c r="CA386" s="108" t="n">
        <v>0.75</v>
      </c>
      <c r="CB386" s="108" t="n">
        <v>0.9</v>
      </c>
      <c r="CC386" s="108" t="n">
        <v>-0.03</v>
      </c>
      <c r="CD386" s="107" t="n">
        <v>-2.25</v>
      </c>
      <c r="CE386" s="107" t="inlineStr">
        <is>
          <t>Lower Risk</t>
        </is>
      </c>
      <c r="CF386" s="108" t="n">
        <v>4.64</v>
      </c>
      <c r="CG386" s="108" t="n">
        <v>56.9</v>
      </c>
      <c r="CH386" s="107" t="n">
        <v>0</v>
      </c>
      <c r="CI386" s="107" t="inlineStr">
        <is>
          <t>CLEAR</t>
        </is>
      </c>
    </row>
    <row r="387" ht="17" customHeight="1">
      <c r="A387" s="103" t="inlineStr">
        <is>
          <t>UNH</t>
        </is>
      </c>
      <c r="B387" s="103" t="inlineStr">
        <is>
          <t>UnitedHealth Group Incorporated</t>
        </is>
      </c>
      <c r="C387" s="104" t="n">
        <v>-24315000000</v>
      </c>
      <c r="D387" s="105" t="n">
        <v>0.04</v>
      </c>
      <c r="E387" s="105" t="n">
        <v>0.03</v>
      </c>
      <c r="F387" s="105" t="n">
        <v>0.03</v>
      </c>
      <c r="G387" s="105" t="n">
        <v>0.04</v>
      </c>
      <c r="H387" s="105" t="n">
        <v>0.05</v>
      </c>
      <c r="I387" s="105" t="n">
        <v>0.37</v>
      </c>
      <c r="J387" s="105" t="n">
        <v>0.1</v>
      </c>
      <c r="K387" s="105" t="n">
        <v>0.89</v>
      </c>
      <c r="L387" s="105" t="n">
        <v>0.88</v>
      </c>
      <c r="M387" s="105" t="n">
        <v>1.45</v>
      </c>
      <c r="N387" s="104" t="n">
        <v>1.34</v>
      </c>
      <c r="O387" s="104" t="n">
        <v>0.79</v>
      </c>
      <c r="P387" s="104" t="n">
        <v>0.83</v>
      </c>
      <c r="Q387" s="104" t="n">
        <v>0.76</v>
      </c>
      <c r="R387" s="104" t="n">
        <v>0.21</v>
      </c>
      <c r="S387" s="104" t="n">
        <v>0.67</v>
      </c>
      <c r="T387" s="104" t="n">
        <v>0.66</v>
      </c>
      <c r="U387" s="104" t="n">
        <v>2.42</v>
      </c>
      <c r="V387" s="104" t="n">
        <v>1.66</v>
      </c>
      <c r="W387" s="104" t="n">
        <v>1.63</v>
      </c>
      <c r="X387" s="105" t="n">
        <v>0.04</v>
      </c>
      <c r="Y387" s="113" t="inlineStr">
        <is>
          <t>N/A</t>
        </is>
      </c>
      <c r="Z387" s="105" t="n">
        <v>4.74</v>
      </c>
      <c r="AA387" s="105" t="n">
        <v>0.12</v>
      </c>
      <c r="AB387" s="105" t="n">
        <v>-0.16</v>
      </c>
      <c r="AC387" s="104" t="n">
        <v>-0.02</v>
      </c>
      <c r="AD387" s="104" t="n">
        <v>-0.02</v>
      </c>
      <c r="AE387" s="104" t="n">
        <v>-0.08</v>
      </c>
      <c r="AF387" s="104" t="n">
        <v>0.31</v>
      </c>
      <c r="AG387" s="104" t="n">
        <v>0.06</v>
      </c>
      <c r="AH387" s="104" t="n">
        <v>0.16</v>
      </c>
      <c r="AI387" s="104" t="n">
        <v>1.45</v>
      </c>
      <c r="AJ387" s="104" t="n">
        <v>2.08</v>
      </c>
      <c r="AK387" s="106" t="inlineStr">
        <is>
          <t>Grey</t>
        </is>
      </c>
      <c r="AL387" s="104" t="n">
        <v>-0.08</v>
      </c>
      <c r="AM387" s="104" t="n">
        <v>0.31</v>
      </c>
      <c r="AN387" s="104" t="n">
        <v>0.06</v>
      </c>
      <c r="AO387" s="104" t="n">
        <v>0.16</v>
      </c>
      <c r="AP387" s="104" t="n">
        <v>1.45</v>
      </c>
      <c r="AQ387" s="103" t="n">
        <v>1.9</v>
      </c>
      <c r="AR387" s="103" t="inlineStr">
        <is>
          <t>Grey</t>
        </is>
      </c>
      <c r="AS387" s="104" t="n">
        <v>-0.08</v>
      </c>
      <c r="AT387" s="104" t="n">
        <v>0.31</v>
      </c>
      <c r="AU387" s="104" t="n">
        <v>0.06</v>
      </c>
      <c r="AV387" s="104" t="n">
        <v>0.16</v>
      </c>
      <c r="AW387" s="103" t="n">
        <v>1.07</v>
      </c>
      <c r="AX387" s="103" t="inlineStr">
        <is>
          <t>Distress</t>
        </is>
      </c>
      <c r="AY387" s="104" t="n">
        <v>-0.08</v>
      </c>
      <c r="AZ387" s="104" t="n">
        <v>0.06</v>
      </c>
      <c r="BA387" s="104" t="n">
        <v>0.13</v>
      </c>
      <c r="BB387" s="104" t="n">
        <v>1.45</v>
      </c>
      <c r="BC387" s="103" t="n">
        <v>0.77</v>
      </c>
      <c r="BD387" s="103" t="inlineStr">
        <is>
          <t>Distress</t>
        </is>
      </c>
      <c r="BE387" s="104" t="n">
        <v>0.04</v>
      </c>
      <c r="BF387" s="104" t="n">
        <v>0.67</v>
      </c>
      <c r="BG387" s="104" t="n">
        <v>0.79</v>
      </c>
      <c r="BH387" s="104" t="n">
        <v>-0.7</v>
      </c>
      <c r="BI387" s="103" t="n">
        <v>0.33</v>
      </c>
      <c r="BJ387" s="103" t="inlineStr">
        <is>
          <t>Healthy</t>
        </is>
      </c>
      <c r="BK387" s="103" t="n">
        <v>1</v>
      </c>
      <c r="BL387" s="103" t="n">
        <v>1</v>
      </c>
      <c r="BM387" s="103" t="n">
        <v>0</v>
      </c>
      <c r="BN387" s="103" t="n">
        <v>1</v>
      </c>
      <c r="BO387" s="103" t="n">
        <v>1</v>
      </c>
      <c r="BP387" s="103" t="n">
        <v>0</v>
      </c>
      <c r="BQ387" s="103" t="n">
        <v>1</v>
      </c>
      <c r="BR387" s="103" t="n">
        <v>1</v>
      </c>
      <c r="BS387" s="103" t="n">
        <v>1</v>
      </c>
      <c r="BT387" s="103" t="n">
        <v>7</v>
      </c>
      <c r="BU387" s="103" t="inlineStr">
        <is>
          <t>Strong</t>
        </is>
      </c>
      <c r="BV387" s="104" t="n">
        <v>0.92</v>
      </c>
      <c r="BW387" s="104" t="n">
        <v>1</v>
      </c>
      <c r="BX387" s="104" t="n">
        <v>0.99</v>
      </c>
      <c r="BY387" s="104" t="n">
        <v>1.12</v>
      </c>
      <c r="BZ387" s="104" t="n">
        <v>0.97</v>
      </c>
      <c r="CA387" s="104" t="n">
        <v>1.01</v>
      </c>
      <c r="CB387" s="104" t="n">
        <v>1.02</v>
      </c>
      <c r="CC387" s="104" t="n">
        <v>-0.02</v>
      </c>
      <c r="CD387" s="103" t="n">
        <v>-2.58</v>
      </c>
      <c r="CE387" s="103" t="inlineStr">
        <is>
          <t>Lower Risk</t>
        </is>
      </c>
      <c r="CF387" s="104" t="n">
        <v>2.32</v>
      </c>
      <c r="CG387" s="104" t="n">
        <v>57.39</v>
      </c>
      <c r="CH387" s="103" t="n">
        <v>0</v>
      </c>
      <c r="CI387" s="103" t="inlineStr">
        <is>
          <t>CLEAR</t>
        </is>
      </c>
    </row>
    <row r="388" ht="17" customHeight="1">
      <c r="A388" s="107" t="inlineStr">
        <is>
          <t>CRM</t>
        </is>
      </c>
      <c r="B388" s="107" t="inlineStr">
        <is>
          <t>Salesforce, Inc.</t>
        </is>
      </c>
      <c r="C388" s="108" t="n">
        <v>-8896000000</v>
      </c>
      <c r="D388" s="109" t="n">
        <v>0.99</v>
      </c>
      <c r="E388" s="109" t="n">
        <v>1.13</v>
      </c>
      <c r="F388" s="109" t="n">
        <v>0.89</v>
      </c>
      <c r="G388" s="109" t="n">
        <v>0.07000000000000001</v>
      </c>
      <c r="H388" s="109" t="n">
        <v>0.06</v>
      </c>
      <c r="I388" s="109" t="n">
        <v>0.13</v>
      </c>
      <c r="J388" s="109" t="n">
        <v>0.11</v>
      </c>
      <c r="K388" s="109" t="n">
        <v>3.84</v>
      </c>
      <c r="L388" s="109" t="n">
        <v>12.75</v>
      </c>
      <c r="M388" s="109" t="n">
        <v>0.07000000000000001</v>
      </c>
      <c r="N388" s="108" t="n">
        <v>0.02</v>
      </c>
      <c r="O388" s="108" t="n">
        <v>0.76</v>
      </c>
      <c r="P388" s="108" t="n">
        <v>1.06</v>
      </c>
      <c r="Q388" s="108" t="n">
        <v>0.76</v>
      </c>
      <c r="R388" s="108" t="n">
        <v>0.2</v>
      </c>
      <c r="S388" s="108" t="n">
        <v>0.47</v>
      </c>
      <c r="T388" s="108" t="n">
        <v>0.41</v>
      </c>
      <c r="U388" s="108" t="n">
        <v>0.31</v>
      </c>
      <c r="V388" s="108" t="n">
        <v>0.19</v>
      </c>
      <c r="W388" s="108" t="n">
        <v>2.01</v>
      </c>
      <c r="X388" s="109" t="n">
        <v>1.72</v>
      </c>
      <c r="Y388" s="109" t="n">
        <v>0.71</v>
      </c>
      <c r="Z388" s="109" t="n">
        <v>54.1</v>
      </c>
      <c r="AA388" s="109" t="n">
        <v>2.66</v>
      </c>
      <c r="AB388" s="109" t="n">
        <v>0.2</v>
      </c>
      <c r="AC388" s="108" t="n">
        <v>-0.07000000000000001</v>
      </c>
      <c r="AD388" s="108" t="n">
        <v>-0.07000000000000001</v>
      </c>
      <c r="AE388" s="108" t="n">
        <v>-0.08</v>
      </c>
      <c r="AF388" s="108" t="n">
        <v>0.2</v>
      </c>
      <c r="AG388" s="108" t="n">
        <v>0.07000000000000001</v>
      </c>
      <c r="AH388" s="108" t="n">
        <v>1.11</v>
      </c>
      <c r="AI388" s="108" t="n">
        <v>0.07000000000000001</v>
      </c>
      <c r="AJ388" s="108" t="n">
        <v>1.17</v>
      </c>
      <c r="AK388" s="112" t="inlineStr">
        <is>
          <t>Distress</t>
        </is>
      </c>
      <c r="AL388" s="108" t="n">
        <v>-0.08</v>
      </c>
      <c r="AM388" s="108" t="n">
        <v>0.2</v>
      </c>
      <c r="AN388" s="108" t="n">
        <v>0.07000000000000001</v>
      </c>
      <c r="AO388" s="108" t="n">
        <v>1.11</v>
      </c>
      <c r="AP388" s="108" t="n">
        <v>0.07000000000000001</v>
      </c>
      <c r="AQ388" s="107" t="n">
        <v>0.88</v>
      </c>
      <c r="AR388" s="107" t="inlineStr">
        <is>
          <t>Distress</t>
        </is>
      </c>
      <c r="AS388" s="108" t="n">
        <v>-0.08</v>
      </c>
      <c r="AT388" s="108" t="n">
        <v>0.2</v>
      </c>
      <c r="AU388" s="108" t="n">
        <v>0.07000000000000001</v>
      </c>
      <c r="AV388" s="108" t="n">
        <v>1.11</v>
      </c>
      <c r="AW388" s="107" t="n">
        <v>1.79</v>
      </c>
      <c r="AX388" s="107" t="inlineStr">
        <is>
          <t>Grey</t>
        </is>
      </c>
      <c r="AY388" s="108" t="n">
        <v>-0.08</v>
      </c>
      <c r="AZ388" s="108" t="n">
        <v>0.07000000000000001</v>
      </c>
      <c r="BA388" s="108" t="n">
        <v>0.26</v>
      </c>
      <c r="BB388" s="108" t="n">
        <v>0.07000000000000001</v>
      </c>
      <c r="BC388" s="107" t="n">
        <v>0.35</v>
      </c>
      <c r="BD388" s="107" t="inlineStr">
        <is>
          <t>Distress</t>
        </is>
      </c>
      <c r="BE388" s="108" t="n">
        <v>0.07000000000000001</v>
      </c>
      <c r="BF388" s="108" t="n">
        <v>0.47</v>
      </c>
      <c r="BG388" s="108" t="n">
        <v>0.76</v>
      </c>
      <c r="BH388" s="108" t="n">
        <v>-1.94</v>
      </c>
      <c r="BI388" s="107" t="n">
        <v>0.13</v>
      </c>
      <c r="BJ388" s="107" t="inlineStr">
        <is>
          <t>Healthy</t>
        </is>
      </c>
      <c r="BK388" s="107" t="n">
        <v>1</v>
      </c>
      <c r="BL388" s="107" t="n">
        <v>1</v>
      </c>
      <c r="BM388" s="107" t="n">
        <v>1</v>
      </c>
      <c r="BN388" s="107" t="n">
        <v>1</v>
      </c>
      <c r="BO388" s="107" t="n">
        <v>0</v>
      </c>
      <c r="BP388" s="107" t="n">
        <v>0</v>
      </c>
      <c r="BQ388" s="107" t="n">
        <v>1</v>
      </c>
      <c r="BR388" s="107" t="n">
        <v>0</v>
      </c>
      <c r="BS388" s="107" t="n">
        <v>1</v>
      </c>
      <c r="BT388" s="107" t="n">
        <v>6</v>
      </c>
      <c r="BU388" s="107" t="inlineStr">
        <is>
          <t>Mixed</t>
        </is>
      </c>
      <c r="BV388" s="108" t="n">
        <v>0.33</v>
      </c>
      <c r="BW388" s="108" t="n">
        <v>3.32</v>
      </c>
      <c r="BX388" s="108" t="n">
        <v>1.06</v>
      </c>
      <c r="BY388" s="108" t="n">
        <v>3.66</v>
      </c>
      <c r="BZ388" s="108" t="n">
        <v>0.98</v>
      </c>
      <c r="CA388" s="108" t="n">
        <v>0.29</v>
      </c>
      <c r="CB388" s="108" t="n">
        <v>1.17</v>
      </c>
      <c r="CC388" s="108" t="n">
        <v>-0.07000000000000001</v>
      </c>
      <c r="CD388" s="107" t="n">
        <v>0.27</v>
      </c>
      <c r="CE388" s="107" t="inlineStr">
        <is>
          <t>Higher Risk</t>
        </is>
      </c>
      <c r="CF388" s="108" t="n">
        <v>0.93</v>
      </c>
      <c r="CG388" s="108" t="n">
        <v>46.08</v>
      </c>
      <c r="CH388" s="107" t="n">
        <v>20</v>
      </c>
      <c r="CI388" s="107" t="inlineStr">
        <is>
          <t>CLEAR</t>
        </is>
      </c>
    </row>
    <row r="389" ht="17" customHeight="1">
      <c r="A389" s="103" t="inlineStr">
        <is>
          <t>EQT</t>
        </is>
      </c>
      <c r="B389" s="103" t="inlineStr">
        <is>
          <t>EQT Corporation</t>
        </is>
      </c>
      <c r="C389" s="104" t="n">
        <v>-589690000</v>
      </c>
      <c r="D389" s="105" t="n">
        <v>0.38</v>
      </c>
      <c r="E389" s="105" t="n">
        <v>0.34</v>
      </c>
      <c r="F389" s="105" t="n">
        <v>0.24</v>
      </c>
      <c r="G389" s="105" t="n">
        <v>0.05</v>
      </c>
      <c r="H389" s="105" t="n">
        <v>0.01</v>
      </c>
      <c r="I389" s="105" t="n">
        <v>0.09</v>
      </c>
      <c r="J389" s="105" t="n">
        <v>0.08</v>
      </c>
      <c r="K389" s="105" t="n">
        <v>0.82</v>
      </c>
      <c r="L389" s="105" t="n">
        <v>0.64</v>
      </c>
      <c r="M389" s="105" t="n">
        <v>0.21</v>
      </c>
      <c r="N389" s="104" t="n">
        <v>0.13</v>
      </c>
      <c r="O389" s="104" t="n">
        <v>0.76</v>
      </c>
      <c r="P389" s="104" t="n">
        <v>0.7</v>
      </c>
      <c r="Q389" s="104" t="n">
        <v>0.76</v>
      </c>
      <c r="R389" s="104" t="n">
        <v>0.04</v>
      </c>
      <c r="S389" s="104" t="n">
        <v>0.35</v>
      </c>
      <c r="T389" s="104" t="n">
        <v>0.39</v>
      </c>
      <c r="U389" s="104" t="n">
        <v>0.33</v>
      </c>
      <c r="V389" s="104" t="n">
        <v>0.33</v>
      </c>
      <c r="W389" s="104" t="n">
        <v>2.51</v>
      </c>
      <c r="X389" s="105" t="n">
        <v>0.33</v>
      </c>
      <c r="Y389" s="105" t="n">
        <v>0</v>
      </c>
      <c r="Z389" s="105" t="n">
        <v>14.79</v>
      </c>
      <c r="AA389" s="105" t="n">
        <v>0.64</v>
      </c>
      <c r="AB389" s="105" t="n">
        <v>7.84</v>
      </c>
      <c r="AC389" s="104" t="n">
        <v>-0.07000000000000001</v>
      </c>
      <c r="AD389" s="104" t="n">
        <v>-0.07000000000000001</v>
      </c>
      <c r="AE389" s="104" t="n">
        <v>-0.01</v>
      </c>
      <c r="AF389" s="104" t="n">
        <v>0.1</v>
      </c>
      <c r="AG389" s="104" t="n">
        <v>0.08</v>
      </c>
      <c r="AH389" s="104" t="n">
        <v>1.65</v>
      </c>
      <c r="AI389" s="104" t="n">
        <v>0.21</v>
      </c>
      <c r="AJ389" s="104" t="n">
        <v>1.58</v>
      </c>
      <c r="AK389" s="112" t="inlineStr">
        <is>
          <t>Distress</t>
        </is>
      </c>
      <c r="AL389" s="104" t="n">
        <v>-0.01</v>
      </c>
      <c r="AM389" s="104" t="n">
        <v>0.1</v>
      </c>
      <c r="AN389" s="104" t="n">
        <v>0.08</v>
      </c>
      <c r="AO389" s="104" t="n">
        <v>1.65</v>
      </c>
      <c r="AP389" s="104" t="n">
        <v>0.21</v>
      </c>
      <c r="AQ389" s="103" t="n">
        <v>1.21</v>
      </c>
      <c r="AR389" s="103" t="inlineStr">
        <is>
          <t>Distress</t>
        </is>
      </c>
      <c r="AS389" s="104" t="n">
        <v>-0.01</v>
      </c>
      <c r="AT389" s="104" t="n">
        <v>0.1</v>
      </c>
      <c r="AU389" s="104" t="n">
        <v>0.08</v>
      </c>
      <c r="AV389" s="104" t="n">
        <v>1.65</v>
      </c>
      <c r="AW389" s="103" t="n">
        <v>2.49</v>
      </c>
      <c r="AX389" s="103" t="inlineStr">
        <is>
          <t>Grey</t>
        </is>
      </c>
      <c r="AY389" s="104" t="n">
        <v>-0.01</v>
      </c>
      <c r="AZ389" s="104" t="n">
        <v>0.08</v>
      </c>
      <c r="BA389" s="104" t="n">
        <v>1.2</v>
      </c>
      <c r="BB389" s="104" t="n">
        <v>0.21</v>
      </c>
      <c r="BC389" s="103" t="n">
        <v>1.1</v>
      </c>
      <c r="BD389" s="103" t="inlineStr">
        <is>
          <t>Healthy</t>
        </is>
      </c>
      <c r="BE389" s="104" t="n">
        <v>0.05</v>
      </c>
      <c r="BF389" s="104" t="n">
        <v>0.35</v>
      </c>
      <c r="BG389" s="104" t="n">
        <v>0.76</v>
      </c>
      <c r="BH389" s="104" t="n">
        <v>-2.59</v>
      </c>
      <c r="BI389" s="103" t="n">
        <v>0.07000000000000001</v>
      </c>
      <c r="BJ389" s="103" t="inlineStr">
        <is>
          <t>Healthy</t>
        </is>
      </c>
      <c r="BK389" s="103" t="n">
        <v>1</v>
      </c>
      <c r="BL389" s="103" t="n">
        <v>1</v>
      </c>
      <c r="BM389" s="103" t="n">
        <v>1</v>
      </c>
      <c r="BN389" s="103" t="n">
        <v>1</v>
      </c>
      <c r="BO389" s="103" t="n">
        <v>1</v>
      </c>
      <c r="BP389" s="103" t="n">
        <v>1</v>
      </c>
      <c r="BQ389" s="103" t="n">
        <v>0</v>
      </c>
      <c r="BR389" s="103" t="n">
        <v>1</v>
      </c>
      <c r="BS389" s="103" t="n">
        <v>1</v>
      </c>
      <c r="BT389" s="103" t="n">
        <v>8</v>
      </c>
      <c r="BU389" s="103" t="inlineStr">
        <is>
          <t>Strong</t>
        </is>
      </c>
      <c r="BV389" s="104" t="n">
        <v>0.79</v>
      </c>
      <c r="BW389" s="104" t="n">
        <v>0.77</v>
      </c>
      <c r="BX389" s="104" t="n">
        <v>0.95</v>
      </c>
      <c r="BY389" s="104" t="n">
        <v>1.64</v>
      </c>
      <c r="BZ389" s="104" t="n">
        <v>0.89</v>
      </c>
      <c r="CA389" s="104" t="n">
        <v>0.6899999999999999</v>
      </c>
      <c r="CB389" s="104" t="n">
        <v>0.88</v>
      </c>
      <c r="CC389" s="104" t="n">
        <v>-0.07000000000000001</v>
      </c>
      <c r="CD389" s="103" t="n">
        <v>-2.51</v>
      </c>
      <c r="CE389" s="103" t="inlineStr">
        <is>
          <t>Lower Risk</t>
        </is>
      </c>
      <c r="CF389" s="104" t="n">
        <v>1.32</v>
      </c>
      <c r="CG389" s="104" t="n">
        <v>60.79</v>
      </c>
      <c r="CH389" s="103" t="n">
        <v>0</v>
      </c>
      <c r="CI389" s="103" t="inlineStr">
        <is>
          <t>CLEAR</t>
        </is>
      </c>
    </row>
    <row r="390" ht="17" customHeight="1">
      <c r="A390" s="107" t="inlineStr">
        <is>
          <t>SOFI</t>
        </is>
      </c>
      <c r="B390" s="107" t="inlineStr">
        <is>
          <t>SoFi Technologies, Inc.</t>
        </is>
      </c>
      <c r="C390" s="108" t="n">
        <v>877327</v>
      </c>
      <c r="D390" s="109" t="n">
        <v>-0</v>
      </c>
      <c r="E390" s="109" t="n">
        <v>0.85</v>
      </c>
      <c r="F390" s="109" t="n">
        <v>0.78</v>
      </c>
      <c r="G390" s="109" t="n">
        <v>0.01</v>
      </c>
      <c r="H390" s="109" t="n">
        <v>0.01</v>
      </c>
      <c r="I390" s="109" t="n">
        <v>0.05</v>
      </c>
      <c r="J390" s="109" t="n">
        <v>-0</v>
      </c>
      <c r="K390" s="109" t="n">
        <v>0.02</v>
      </c>
      <c r="L390" s="109" t="n">
        <v>0.08</v>
      </c>
      <c r="M390" s="109" t="n">
        <v>0.01</v>
      </c>
      <c r="N390" s="108" t="n">
        <v>0.01</v>
      </c>
      <c r="O390" s="108" t="n">
        <v>5.78</v>
      </c>
      <c r="P390" s="108" t="n">
        <v>5.78</v>
      </c>
      <c r="Q390" s="108" t="n">
        <v>5.78</v>
      </c>
      <c r="R390" s="108" t="n">
        <v>26870.82</v>
      </c>
      <c r="S390" s="108" t="n">
        <v>0.79</v>
      </c>
      <c r="T390" s="108" t="n">
        <v>0.82</v>
      </c>
      <c r="U390" s="108" t="n">
        <v>0.52</v>
      </c>
      <c r="V390" s="108" t="n">
        <v>0.05</v>
      </c>
      <c r="W390" s="108" t="n">
        <v>-7.78</v>
      </c>
      <c r="X390" s="109" t="n">
        <v>-6.43</v>
      </c>
      <c r="Y390" s="109" t="n">
        <v>1.05</v>
      </c>
      <c r="Z390" s="109" t="n">
        <v>-0</v>
      </c>
      <c r="AA390" s="109" t="n">
        <v>0.23</v>
      </c>
      <c r="AB390" s="109" t="n">
        <v>-0.03</v>
      </c>
      <c r="AC390" s="108" t="n">
        <v>0.08</v>
      </c>
      <c r="AD390" s="108" t="n">
        <v>0.08</v>
      </c>
      <c r="AE390" s="108" t="n">
        <v>0</v>
      </c>
      <c r="AF390" s="108" t="n">
        <v>-0.02</v>
      </c>
      <c r="AG390" s="108" t="n">
        <v>-0</v>
      </c>
      <c r="AH390" s="108" t="n">
        <v>0.26</v>
      </c>
      <c r="AI390" s="108" t="n">
        <v>0.01</v>
      </c>
      <c r="AJ390" s="108" t="n">
        <v>0.15</v>
      </c>
      <c r="AK390" s="112" t="inlineStr">
        <is>
          <t>Distress</t>
        </is>
      </c>
      <c r="AL390" s="108" t="n">
        <v>0</v>
      </c>
      <c r="AM390" s="108" t="n">
        <v>-0.02</v>
      </c>
      <c r="AN390" s="108" t="n">
        <v>-0</v>
      </c>
      <c r="AO390" s="108" t="n">
        <v>0.26</v>
      </c>
      <c r="AP390" s="108" t="n">
        <v>0.01</v>
      </c>
      <c r="AQ390" s="107" t="n">
        <v>0.11</v>
      </c>
      <c r="AR390" s="107" t="inlineStr">
        <is>
          <t>Distress</t>
        </is>
      </c>
      <c r="AS390" s="108" t="n">
        <v>0</v>
      </c>
      <c r="AT390" s="108" t="n">
        <v>-0.02</v>
      </c>
      <c r="AU390" s="108" t="n">
        <v>-0</v>
      </c>
      <c r="AV390" s="108" t="n">
        <v>0.26</v>
      </c>
      <c r="AW390" s="107" t="n">
        <v>0.22</v>
      </c>
      <c r="AX390" s="107" t="inlineStr">
        <is>
          <t>Distress</t>
        </is>
      </c>
      <c r="AY390" s="108" t="n">
        <v>0</v>
      </c>
      <c r="AZ390" s="108" t="n">
        <v>-0</v>
      </c>
      <c r="BA390" s="108" t="n">
        <v>2866.49</v>
      </c>
      <c r="BB390" s="108" t="n">
        <v>0.01</v>
      </c>
      <c r="BC390" s="107" t="n">
        <v>1891.89</v>
      </c>
      <c r="BD390" s="107" t="inlineStr">
        <is>
          <t>Healthy</t>
        </is>
      </c>
      <c r="BE390" s="108" t="n">
        <v>0.01</v>
      </c>
      <c r="BF390" s="108" t="n">
        <v>0.79</v>
      </c>
      <c r="BG390" s="108" t="n">
        <v>5.78</v>
      </c>
      <c r="BH390" s="108" t="n">
        <v>0.15</v>
      </c>
      <c r="BI390" s="107" t="n">
        <v>0.54</v>
      </c>
      <c r="BJ390" s="107" t="inlineStr">
        <is>
          <t>Distress</t>
        </is>
      </c>
      <c r="BK390" s="107" t="n">
        <v>1</v>
      </c>
      <c r="BL390" s="107" t="n">
        <v>0</v>
      </c>
      <c r="BM390" s="107" t="n">
        <v>0</v>
      </c>
      <c r="BN390" s="107" t="n">
        <v>0</v>
      </c>
      <c r="BO390" s="107" t="n">
        <v>1</v>
      </c>
      <c r="BP390" s="107" t="n">
        <v>0</v>
      </c>
      <c r="BQ390" s="107" t="n">
        <v>0</v>
      </c>
      <c r="BR390" s="107" t="n">
        <v>0</v>
      </c>
      <c r="BS390" s="107" t="n">
        <v>0</v>
      </c>
      <c r="BT390" s="107" t="n">
        <v>2</v>
      </c>
      <c r="BU390" s="107" t="inlineStr">
        <is>
          <t>Weak</t>
        </is>
      </c>
      <c r="BV390" s="108" t="n">
        <v>1.24</v>
      </c>
      <c r="BW390" s="108" t="n">
        <v>4.93</v>
      </c>
      <c r="BX390" s="111" t="inlineStr">
        <is>
          <t>N/A</t>
        </is>
      </c>
      <c r="BY390" s="108" t="n">
        <v>1.23</v>
      </c>
      <c r="BZ390" s="111" t="inlineStr">
        <is>
          <t>N/A</t>
        </is>
      </c>
      <c r="CA390" s="108" t="n">
        <v>0.95</v>
      </c>
      <c r="CB390" s="108" t="n">
        <v>0.97</v>
      </c>
      <c r="CC390" s="108" t="n">
        <v>0.08</v>
      </c>
      <c r="CD390" s="111" t="inlineStr">
        <is>
          <t>N/A</t>
        </is>
      </c>
      <c r="CE390" s="111" t="inlineStr">
        <is>
          <t>N/A</t>
        </is>
      </c>
      <c r="CF390" s="108" t="n">
        <v>2.38</v>
      </c>
      <c r="CG390" s="108" t="n">
        <v>31.66</v>
      </c>
      <c r="CH390" s="107" t="n">
        <v>20</v>
      </c>
      <c r="CI390" s="107" t="inlineStr">
        <is>
          <t>CLEAR</t>
        </is>
      </c>
    </row>
    <row r="391" ht="17" customHeight="1">
      <c r="A391" s="103" t="inlineStr">
        <is>
          <t>COST</t>
        </is>
      </c>
      <c r="B391" s="103" t="inlineStr">
        <is>
          <t>COSTCO WHOLESALE CORP /NEW</t>
        </is>
      </c>
      <c r="C391" s="104" t="n">
        <v>1272000000</v>
      </c>
      <c r="D391" s="105" t="n">
        <v>0.04</v>
      </c>
      <c r="E391" s="105" t="n">
        <v>0.04</v>
      </c>
      <c r="F391" s="105" t="n">
        <v>0.03</v>
      </c>
      <c r="G391" s="105" t="n">
        <v>0.11</v>
      </c>
      <c r="H391" s="105" t="n">
        <v>0.11</v>
      </c>
      <c r="I391" s="105" t="n">
        <v>0.28</v>
      </c>
      <c r="J391" s="105" t="n">
        <v>0.26</v>
      </c>
      <c r="K391" s="105" t="n">
        <v>0.06</v>
      </c>
      <c r="L391" s="105" t="n">
        <v>0.13</v>
      </c>
      <c r="M391" s="105" t="n">
        <v>3.57</v>
      </c>
      <c r="N391" s="104" t="n">
        <v>3.64</v>
      </c>
      <c r="O391" s="104" t="n">
        <v>1.03</v>
      </c>
      <c r="P391" s="104" t="n">
        <v>0.97</v>
      </c>
      <c r="Q391" s="104" t="n">
        <v>0.55</v>
      </c>
      <c r="R391" s="104" t="n">
        <v>0.38</v>
      </c>
      <c r="S391" s="104" t="n">
        <v>0.62</v>
      </c>
      <c r="T391" s="104" t="n">
        <v>0.66</v>
      </c>
      <c r="U391" s="104" t="n">
        <v>0.26</v>
      </c>
      <c r="V391" s="104" t="n">
        <v>-0.23</v>
      </c>
      <c r="W391" s="104" t="n">
        <v>1.65</v>
      </c>
      <c r="X391" s="105" t="n">
        <v>0.03</v>
      </c>
      <c r="Y391" s="113" t="inlineStr">
        <is>
          <t>N/A</t>
        </is>
      </c>
      <c r="Z391" s="105" t="n">
        <v>67.42</v>
      </c>
      <c r="AA391" s="105" t="n">
        <v>0.08</v>
      </c>
      <c r="AB391" s="105" t="n">
        <v>0.1</v>
      </c>
      <c r="AC391" s="104" t="n">
        <v>-0.07000000000000001</v>
      </c>
      <c r="AD391" s="104" t="n">
        <v>-0.07000000000000001</v>
      </c>
      <c r="AE391" s="104" t="n">
        <v>0.02</v>
      </c>
      <c r="AF391" s="104" t="n">
        <v>0.29</v>
      </c>
      <c r="AG391" s="104" t="n">
        <v>0.13</v>
      </c>
      <c r="AH391" s="104" t="n">
        <v>0.61</v>
      </c>
      <c r="AI391" s="104" t="n">
        <v>3.57</v>
      </c>
      <c r="AJ391" s="104" t="n">
        <v>4.81</v>
      </c>
      <c r="AK391" s="110" t="inlineStr">
        <is>
          <t>Safe</t>
        </is>
      </c>
      <c r="AL391" s="104" t="n">
        <v>0.02</v>
      </c>
      <c r="AM391" s="104" t="n">
        <v>0.29</v>
      </c>
      <c r="AN391" s="104" t="n">
        <v>0.13</v>
      </c>
      <c r="AO391" s="104" t="n">
        <v>0.61</v>
      </c>
      <c r="AP391" s="104" t="n">
        <v>3.57</v>
      </c>
      <c r="AQ391" s="103" t="n">
        <v>4.5</v>
      </c>
      <c r="AR391" s="103" t="inlineStr">
        <is>
          <t>Safe</t>
        </is>
      </c>
      <c r="AS391" s="104" t="n">
        <v>0.02</v>
      </c>
      <c r="AT391" s="104" t="n">
        <v>0.29</v>
      </c>
      <c r="AU391" s="104" t="n">
        <v>0.13</v>
      </c>
      <c r="AV391" s="104" t="n">
        <v>0.61</v>
      </c>
      <c r="AW391" s="103" t="n">
        <v>2.61</v>
      </c>
      <c r="AX391" s="103" t="inlineStr">
        <is>
          <t>Safe</t>
        </is>
      </c>
      <c r="AY391" s="104" t="n">
        <v>0.02</v>
      </c>
      <c r="AZ391" s="104" t="n">
        <v>0.13</v>
      </c>
      <c r="BA391" s="104" t="n">
        <v>0.29</v>
      </c>
      <c r="BB391" s="104" t="n">
        <v>3.57</v>
      </c>
      <c r="BC391" s="103" t="n">
        <v>2.05</v>
      </c>
      <c r="BD391" s="103" t="inlineStr">
        <is>
          <t>Healthy</t>
        </is>
      </c>
      <c r="BE391" s="104" t="n">
        <v>0.11</v>
      </c>
      <c r="BF391" s="104" t="n">
        <v>0.62</v>
      </c>
      <c r="BG391" s="104" t="n">
        <v>1.03</v>
      </c>
      <c r="BH391" s="104" t="n">
        <v>-1.28</v>
      </c>
      <c r="BI391" s="103" t="n">
        <v>0.22</v>
      </c>
      <c r="BJ391" s="103" t="inlineStr">
        <is>
          <t>Healthy</t>
        </is>
      </c>
      <c r="BK391" s="103" t="n">
        <v>1</v>
      </c>
      <c r="BL391" s="103" t="n">
        <v>1</v>
      </c>
      <c r="BM391" s="103" t="n">
        <v>0</v>
      </c>
      <c r="BN391" s="103" t="n">
        <v>1</v>
      </c>
      <c r="BO391" s="103" t="n">
        <v>1</v>
      </c>
      <c r="BP391" s="103" t="n">
        <v>1</v>
      </c>
      <c r="BQ391" s="103" t="n">
        <v>0</v>
      </c>
      <c r="BR391" s="103" t="n">
        <v>0</v>
      </c>
      <c r="BS391" s="103" t="n">
        <v>0</v>
      </c>
      <c r="BT391" s="103" t="n">
        <v>5</v>
      </c>
      <c r="BU391" s="103" t="inlineStr">
        <is>
          <t>Mixed</t>
        </is>
      </c>
      <c r="BV391" s="104" t="n">
        <v>1.09</v>
      </c>
      <c r="BW391" s="104" t="n">
        <v>2.11</v>
      </c>
      <c r="BX391" s="104" t="n">
        <v>0.9399999999999999</v>
      </c>
      <c r="BY391" s="104" t="n">
        <v>1.08</v>
      </c>
      <c r="BZ391" s="104" t="n">
        <v>1.01</v>
      </c>
      <c r="CA391" s="104" t="n">
        <v>1.01</v>
      </c>
      <c r="CB391" s="104" t="n">
        <v>0.9399999999999999</v>
      </c>
      <c r="CC391" s="104" t="n">
        <v>-0.07000000000000001</v>
      </c>
      <c r="CD391" s="103" t="n">
        <v>-2.06</v>
      </c>
      <c r="CE391" s="103" t="inlineStr">
        <is>
          <t>Higher Risk</t>
        </is>
      </c>
      <c r="CF391" s="104" t="n">
        <v>-0.51</v>
      </c>
      <c r="CG391" s="104" t="n">
        <v>53.95</v>
      </c>
      <c r="CH391" s="103" t="n">
        <v>20</v>
      </c>
      <c r="CI391" s="103" t="inlineStr">
        <is>
          <t>CLEAR</t>
        </is>
      </c>
    </row>
    <row r="392" ht="17" customHeight="1">
      <c r="A392" s="107" t="inlineStr">
        <is>
          <t>APD</t>
        </is>
      </c>
      <c r="B392" s="107" t="inlineStr">
        <is>
          <t>AIR PRODUCTS AND CHEMICALS, INC.</t>
        </is>
      </c>
      <c r="C392" s="108" t="n">
        <v>1607200000</v>
      </c>
      <c r="D392" s="109" t="n">
        <v>-0.07000000000000001</v>
      </c>
      <c r="E392" s="109" t="n">
        <v>-0.04</v>
      </c>
      <c r="F392" s="109" t="n">
        <v>-0.03</v>
      </c>
      <c r="G392" s="109" t="n">
        <v>-0.01</v>
      </c>
      <c r="H392" s="109" t="n">
        <v>0.1</v>
      </c>
      <c r="I392" s="109" t="n">
        <v>-0.03</v>
      </c>
      <c r="J392" s="109" t="n">
        <v>-0.02</v>
      </c>
      <c r="K392" s="109" t="n">
        <v>0.25</v>
      </c>
      <c r="L392" s="109" t="n">
        <v>0.06</v>
      </c>
      <c r="M392" s="109" t="n">
        <v>0.29</v>
      </c>
      <c r="N392" s="108" t="n">
        <v>0.31</v>
      </c>
      <c r="O392" s="108" t="n">
        <v>1.38</v>
      </c>
      <c r="P392" s="108" t="n">
        <v>1.52</v>
      </c>
      <c r="Q392" s="108" t="n">
        <v>1.2</v>
      </c>
      <c r="R392" s="108" t="n">
        <v>0.44</v>
      </c>
      <c r="S392" s="108" t="n">
        <v>0.58</v>
      </c>
      <c r="T392" s="108" t="n">
        <v>0.53</v>
      </c>
      <c r="U392" s="108" t="n">
        <v>0.35</v>
      </c>
      <c r="V392" s="108" t="n">
        <v>0.23</v>
      </c>
      <c r="W392" s="108" t="n">
        <v>-4.44</v>
      </c>
      <c r="X392" s="109" t="n">
        <v>-0.44</v>
      </c>
      <c r="Y392" s="109" t="n">
        <v>0.01</v>
      </c>
      <c r="Z392" s="109" t="n">
        <v>-4.94</v>
      </c>
      <c r="AA392" s="109" t="n">
        <v>-0.01</v>
      </c>
      <c r="AB392" s="109" t="n">
        <v>-1.1</v>
      </c>
      <c r="AC392" s="108" t="n">
        <v>-0.05</v>
      </c>
      <c r="AD392" s="108" t="n">
        <v>-0.05</v>
      </c>
      <c r="AE392" s="108" t="n">
        <v>0.04</v>
      </c>
      <c r="AF392" s="108" t="n">
        <v>0.43</v>
      </c>
      <c r="AG392" s="108" t="n">
        <v>-0.02</v>
      </c>
      <c r="AH392" s="108" t="n">
        <v>0.63</v>
      </c>
      <c r="AI392" s="108" t="n">
        <v>0.29</v>
      </c>
      <c r="AJ392" s="108" t="n">
        <v>1.25</v>
      </c>
      <c r="AK392" s="112" t="inlineStr">
        <is>
          <t>Distress</t>
        </is>
      </c>
      <c r="AL392" s="108" t="n">
        <v>0.04</v>
      </c>
      <c r="AM392" s="108" t="n">
        <v>0.43</v>
      </c>
      <c r="AN392" s="108" t="n">
        <v>-0.02</v>
      </c>
      <c r="AO392" s="108" t="n">
        <v>0.63</v>
      </c>
      <c r="AP392" s="108" t="n">
        <v>0.29</v>
      </c>
      <c r="AQ392" s="107" t="n">
        <v>0.88</v>
      </c>
      <c r="AR392" s="107" t="inlineStr">
        <is>
          <t>Distress</t>
        </is>
      </c>
      <c r="AS392" s="108" t="n">
        <v>0.04</v>
      </c>
      <c r="AT392" s="108" t="n">
        <v>0.43</v>
      </c>
      <c r="AU392" s="108" t="n">
        <v>-0.02</v>
      </c>
      <c r="AV392" s="108" t="n">
        <v>0.63</v>
      </c>
      <c r="AW392" s="107" t="n">
        <v>2.17</v>
      </c>
      <c r="AX392" s="107" t="inlineStr">
        <is>
          <t>Grey</t>
        </is>
      </c>
      <c r="AY392" s="108" t="n">
        <v>0.04</v>
      </c>
      <c r="AZ392" s="108" t="n">
        <v>-0.02</v>
      </c>
      <c r="BA392" s="108" t="n">
        <v>-0.1</v>
      </c>
      <c r="BB392" s="108" t="n">
        <v>0.29</v>
      </c>
      <c r="BC392" s="107" t="n">
        <v>0.02</v>
      </c>
      <c r="BD392" s="107" t="inlineStr">
        <is>
          <t>Distress</t>
        </is>
      </c>
      <c r="BE392" s="108" t="n">
        <v>-0.01</v>
      </c>
      <c r="BF392" s="108" t="n">
        <v>0.58</v>
      </c>
      <c r="BG392" s="108" t="n">
        <v>1.38</v>
      </c>
      <c r="BH392" s="108" t="n">
        <v>-1.01</v>
      </c>
      <c r="BI392" s="107" t="n">
        <v>0.27</v>
      </c>
      <c r="BJ392" s="107" t="inlineStr">
        <is>
          <t>Healthy</t>
        </is>
      </c>
      <c r="BK392" s="107" t="n">
        <v>0</v>
      </c>
      <c r="BL392" s="107" t="n">
        <v>1</v>
      </c>
      <c r="BM392" s="107" t="n">
        <v>0</v>
      </c>
      <c r="BN392" s="107" t="n">
        <v>1</v>
      </c>
      <c r="BO392" s="107" t="n">
        <v>0</v>
      </c>
      <c r="BP392" s="107" t="n">
        <v>0</v>
      </c>
      <c r="BQ392" s="107" t="n">
        <v>0</v>
      </c>
      <c r="BR392" s="107" t="n">
        <v>1</v>
      </c>
      <c r="BS392" s="107" t="n">
        <v>0</v>
      </c>
      <c r="BT392" s="107" t="n">
        <v>3</v>
      </c>
      <c r="BU392" s="107" t="inlineStr">
        <is>
          <t>Weak</t>
        </is>
      </c>
      <c r="BV392" s="108" t="n">
        <v>1.05</v>
      </c>
      <c r="BW392" s="108" t="n">
        <v>0.25</v>
      </c>
      <c r="BX392" s="108" t="n">
        <v>0.97</v>
      </c>
      <c r="BY392" s="108" t="n">
        <v>0.99</v>
      </c>
      <c r="BZ392" s="108" t="n">
        <v>1.05</v>
      </c>
      <c r="CA392" s="108" t="n">
        <v>0.97</v>
      </c>
      <c r="CB392" s="108" t="n">
        <v>1.09</v>
      </c>
      <c r="CC392" s="108" t="n">
        <v>-0.05</v>
      </c>
      <c r="CD392" s="107" t="n">
        <v>-3.11</v>
      </c>
      <c r="CE392" s="107" t="inlineStr">
        <is>
          <t>Lower Risk</t>
        </is>
      </c>
      <c r="CF392" s="108" t="n">
        <v>-255.01</v>
      </c>
      <c r="CG392" s="108" t="n">
        <v>38.79</v>
      </c>
      <c r="CH392" s="107" t="n">
        <v>20</v>
      </c>
      <c r="CI392" s="107" t="inlineStr">
        <is>
          <t>CLEAR</t>
        </is>
      </c>
    </row>
    <row r="393" ht="17" customHeight="1">
      <c r="A393" s="103" t="inlineStr">
        <is>
          <t>XEL</t>
        </is>
      </c>
      <c r="B393" s="103" t="inlineStr">
        <is>
          <t>XCEL ENERGY INC</t>
        </is>
      </c>
      <c r="C393" s="104" t="n">
        <v>-2075000000</v>
      </c>
      <c r="D393" s="105" t="n">
        <v>0.22</v>
      </c>
      <c r="E393" s="105" t="n">
        <v>0.15</v>
      </c>
      <c r="F393" s="105" t="n">
        <v>0.17</v>
      </c>
      <c r="G393" s="105" t="n">
        <v>0.02</v>
      </c>
      <c r="H393" s="105" t="n">
        <v>0.03</v>
      </c>
      <c r="I393" s="105" t="n">
        <v>0.09</v>
      </c>
      <c r="J393" s="105" t="n">
        <v>0.03</v>
      </c>
      <c r="K393" s="105" t="n">
        <v>0.67</v>
      </c>
      <c r="L393" s="105" t="n">
        <v>-0.3</v>
      </c>
      <c r="M393" s="105" t="n">
        <v>0.14</v>
      </c>
      <c r="N393" s="104" t="n">
        <v>0.04</v>
      </c>
      <c r="O393" s="104" t="n">
        <v>0.71</v>
      </c>
      <c r="P393" s="104" t="n">
        <v>0.67</v>
      </c>
      <c r="Q393" s="104" t="n">
        <v>0.62</v>
      </c>
      <c r="R393" s="104" t="n">
        <v>0.02</v>
      </c>
      <c r="S393" s="104" t="n">
        <v>1</v>
      </c>
      <c r="T393" s="104" t="n">
        <v>1</v>
      </c>
      <c r="U393" s="104" t="n">
        <v>1.41</v>
      </c>
      <c r="V393" s="104" t="n">
        <v>1.41</v>
      </c>
      <c r="W393" s="104" t="n">
        <v>2.02</v>
      </c>
      <c r="X393" s="105" t="n">
        <v>0.35</v>
      </c>
      <c r="Y393" s="105" t="n">
        <v>0</v>
      </c>
      <c r="Z393" s="105" t="n">
        <v>1.76</v>
      </c>
      <c r="AA393" s="105" t="n">
        <v>3.01</v>
      </c>
      <c r="AB393" s="105" t="n">
        <v>0.04</v>
      </c>
      <c r="AC393" s="104" t="n">
        <v>-0.03</v>
      </c>
      <c r="AD393" s="104" t="n">
        <v>-0.03</v>
      </c>
      <c r="AE393" s="104" t="n">
        <v>-0.03</v>
      </c>
      <c r="AF393" s="104" t="n">
        <v>0.11</v>
      </c>
      <c r="AG393" s="104" t="n">
        <v>0.03</v>
      </c>
      <c r="AH393" s="104" t="n">
        <v>0.29</v>
      </c>
      <c r="AI393" s="104" t="n">
        <v>0.14</v>
      </c>
      <c r="AJ393" s="104" t="n">
        <v>0.55</v>
      </c>
      <c r="AK393" s="112" t="inlineStr">
        <is>
          <t>Distress</t>
        </is>
      </c>
      <c r="AL393" s="104" t="n">
        <v>-0.03</v>
      </c>
      <c r="AM393" s="104" t="n">
        <v>0.11</v>
      </c>
      <c r="AN393" s="104" t="n">
        <v>0.03</v>
      </c>
      <c r="AO393" s="104" t="n">
        <v>0.29</v>
      </c>
      <c r="AP393" s="104" t="n">
        <v>0.14</v>
      </c>
      <c r="AQ393" s="103" t="n">
        <v>0.44</v>
      </c>
      <c r="AR393" s="103" t="inlineStr">
        <is>
          <t>Distress</t>
        </is>
      </c>
      <c r="AS393" s="104" t="n">
        <v>-0.03</v>
      </c>
      <c r="AT393" s="104" t="n">
        <v>0.11</v>
      </c>
      <c r="AU393" s="104" t="n">
        <v>0.03</v>
      </c>
      <c r="AV393" s="104" t="n">
        <v>0.29</v>
      </c>
      <c r="AW393" s="103" t="n">
        <v>0.72</v>
      </c>
      <c r="AX393" s="103" t="inlineStr">
        <is>
          <t>Distress</t>
        </is>
      </c>
      <c r="AY393" s="104" t="n">
        <v>-0.03</v>
      </c>
      <c r="AZ393" s="104" t="n">
        <v>0.03</v>
      </c>
      <c r="BA393" s="104" t="n">
        <v>0.25</v>
      </c>
      <c r="BB393" s="104" t="n">
        <v>0.14</v>
      </c>
      <c r="BC393" s="103" t="n">
        <v>0.29</v>
      </c>
      <c r="BD393" s="103" t="inlineStr">
        <is>
          <t>Distress</t>
        </is>
      </c>
      <c r="BE393" s="104" t="n">
        <v>0.02</v>
      </c>
      <c r="BF393" s="104" t="n">
        <v>1</v>
      </c>
      <c r="BG393" s="104" t="n">
        <v>0.71</v>
      </c>
      <c r="BH393" s="104" t="n">
        <v>1.23</v>
      </c>
      <c r="BI393" s="103" t="n">
        <v>0.77</v>
      </c>
      <c r="BJ393" s="103" t="inlineStr">
        <is>
          <t>Distress</t>
        </is>
      </c>
      <c r="BK393" s="103" t="n">
        <v>1</v>
      </c>
      <c r="BL393" s="103" t="n">
        <v>1</v>
      </c>
      <c r="BM393" s="103" t="n">
        <v>0</v>
      </c>
      <c r="BN393" s="103" t="n">
        <v>1</v>
      </c>
      <c r="BO393" s="103" t="n">
        <v>0</v>
      </c>
      <c r="BP393" s="103" t="n">
        <v>1</v>
      </c>
      <c r="BQ393" s="103" t="n">
        <v>0</v>
      </c>
      <c r="BR393" s="103" t="n">
        <v>1</v>
      </c>
      <c r="BS393" s="103" t="n">
        <v>1</v>
      </c>
      <c r="BT393" s="103" t="n">
        <v>6</v>
      </c>
      <c r="BU393" s="103" t="inlineStr">
        <is>
          <t>Mixed</t>
        </is>
      </c>
      <c r="BV393" s="104" t="n">
        <v>0.27</v>
      </c>
      <c r="BW393" s="104" t="n">
        <v>-0.46</v>
      </c>
      <c r="BX393" s="104" t="n">
        <v>1.08</v>
      </c>
      <c r="BY393" s="104" t="n">
        <v>4.01</v>
      </c>
      <c r="BZ393" s="104" t="n">
        <v>1.07</v>
      </c>
      <c r="CA393" s="113" t="inlineStr">
        <is>
          <t>N/A</t>
        </is>
      </c>
      <c r="CB393" s="104" t="n">
        <v>1</v>
      </c>
      <c r="CC393" s="104" t="n">
        <v>-0.03</v>
      </c>
      <c r="CD393" s="103" t="n">
        <v>-1.15</v>
      </c>
      <c r="CE393" s="103" t="inlineStr">
        <is>
          <t>Higher Risk</t>
        </is>
      </c>
      <c r="CF393" s="104" t="n">
        <v>5.99</v>
      </c>
      <c r="CG393" s="104" t="n">
        <v>43.37</v>
      </c>
      <c r="CH393" s="103" t="n">
        <v>20</v>
      </c>
      <c r="CI393" s="103" t="inlineStr">
        <is>
          <t>CLEAR</t>
        </is>
      </c>
    </row>
    <row r="394" ht="17" customHeight="1">
      <c r="A394" s="107" t="inlineStr">
        <is>
          <t>KO</t>
        </is>
      </c>
      <c r="B394" s="107" t="inlineStr">
        <is>
          <t>COCA COLA CO</t>
        </is>
      </c>
      <c r="C394" s="108" t="n">
        <v>9763000000</v>
      </c>
      <c r="D394" s="109" t="n">
        <v>0.29</v>
      </c>
      <c r="E394" s="109" t="n">
        <v>0.33</v>
      </c>
      <c r="F394" s="109" t="n">
        <v>0.27</v>
      </c>
      <c r="G394" s="109" t="n">
        <v>0.13</v>
      </c>
      <c r="H394" s="109" t="n">
        <v>0.11</v>
      </c>
      <c r="I394" s="109" t="n">
        <v>0.41</v>
      </c>
      <c r="J394" s="109" t="n">
        <v>0.16</v>
      </c>
      <c r="K394" s="109" t="n">
        <v>0.62</v>
      </c>
      <c r="L394" s="109" t="n">
        <v>0.61</v>
      </c>
      <c r="M394" s="109" t="n">
        <v>0.46</v>
      </c>
      <c r="N394" s="108" t="n">
        <v>0.47</v>
      </c>
      <c r="O394" s="108" t="n">
        <v>1.46</v>
      </c>
      <c r="P394" s="108" t="n">
        <v>1.03</v>
      </c>
      <c r="Q394" s="108" t="n">
        <v>1.25</v>
      </c>
      <c r="R394" s="108" t="n">
        <v>0.48</v>
      </c>
      <c r="S394" s="108" t="n">
        <v>1</v>
      </c>
      <c r="T394" s="108" t="n">
        <v>1</v>
      </c>
      <c r="U394" s="108" t="n">
        <v>1.24</v>
      </c>
      <c r="V394" s="108" t="n">
        <v>0.92</v>
      </c>
      <c r="W394" s="108" t="n">
        <v>0.57</v>
      </c>
      <c r="X394" s="109" t="n">
        <v>0.11</v>
      </c>
      <c r="Y394" s="109" t="n">
        <v>0</v>
      </c>
      <c r="Z394" s="109" t="n">
        <v>8.32</v>
      </c>
      <c r="AA394" s="109" t="n">
        <v>0.02</v>
      </c>
      <c r="AB394" s="109" t="n">
        <v>0.23</v>
      </c>
      <c r="AC394" s="108" t="n">
        <v>0.05</v>
      </c>
      <c r="AD394" s="108" t="n">
        <v>0.05</v>
      </c>
      <c r="AE394" s="108" t="n">
        <v>0.09</v>
      </c>
      <c r="AF394" s="108" t="n">
        <v>0.77</v>
      </c>
      <c r="AG394" s="108" t="n">
        <v>0.13</v>
      </c>
      <c r="AH394" s="108" t="n">
        <v>0.31</v>
      </c>
      <c r="AI394" s="108" t="n">
        <v>0.46</v>
      </c>
      <c r="AJ394" s="108" t="n">
        <v>2.26</v>
      </c>
      <c r="AK394" s="106" t="inlineStr">
        <is>
          <t>Grey</t>
        </is>
      </c>
      <c r="AL394" s="108" t="n">
        <v>0.09</v>
      </c>
      <c r="AM394" s="108" t="n">
        <v>0.77</v>
      </c>
      <c r="AN394" s="108" t="n">
        <v>0.13</v>
      </c>
      <c r="AO394" s="108" t="n">
        <v>0.31</v>
      </c>
      <c r="AP394" s="108" t="n">
        <v>0.46</v>
      </c>
      <c r="AQ394" s="107" t="n">
        <v>1.71</v>
      </c>
      <c r="AR394" s="107" t="inlineStr">
        <is>
          <t>Grey</t>
        </is>
      </c>
      <c r="AS394" s="108" t="n">
        <v>0.09</v>
      </c>
      <c r="AT394" s="108" t="n">
        <v>0.77</v>
      </c>
      <c r="AU394" s="108" t="n">
        <v>0.13</v>
      </c>
      <c r="AV394" s="108" t="n">
        <v>0.31</v>
      </c>
      <c r="AW394" s="107" t="n">
        <v>4.32</v>
      </c>
      <c r="AX394" s="107" t="inlineStr">
        <is>
          <t>Safe</t>
        </is>
      </c>
      <c r="AY394" s="108" t="n">
        <v>0.09</v>
      </c>
      <c r="AZ394" s="108" t="n">
        <v>0.13</v>
      </c>
      <c r="BA394" s="108" t="n">
        <v>0.75</v>
      </c>
      <c r="BB394" s="108" t="n">
        <v>0.46</v>
      </c>
      <c r="BC394" s="107" t="n">
        <v>1.18</v>
      </c>
      <c r="BD394" s="107" t="inlineStr">
        <is>
          <t>Healthy</t>
        </is>
      </c>
      <c r="BE394" s="108" t="n">
        <v>0.13</v>
      </c>
      <c r="BF394" s="108" t="n">
        <v>1</v>
      </c>
      <c r="BG394" s="108" t="n">
        <v>1.46</v>
      </c>
      <c r="BH394" s="108" t="n">
        <v>0.78</v>
      </c>
      <c r="BI394" s="107" t="n">
        <v>0.6899999999999999</v>
      </c>
      <c r="BJ394" s="107" t="inlineStr">
        <is>
          <t>Distress</t>
        </is>
      </c>
      <c r="BK394" s="107" t="n">
        <v>1</v>
      </c>
      <c r="BL394" s="107" t="n">
        <v>1</v>
      </c>
      <c r="BM394" s="107" t="n">
        <v>1</v>
      </c>
      <c r="BN394" s="107" t="n">
        <v>0</v>
      </c>
      <c r="BO394" s="107" t="n">
        <v>1</v>
      </c>
      <c r="BP394" s="107" t="n">
        <v>1</v>
      </c>
      <c r="BQ394" s="107" t="n">
        <v>1</v>
      </c>
      <c r="BR394" s="107" t="n">
        <v>1</v>
      </c>
      <c r="BS394" s="107" t="n">
        <v>0</v>
      </c>
      <c r="BT394" s="107" t="n">
        <v>7</v>
      </c>
      <c r="BU394" s="107" t="inlineStr">
        <is>
          <t>Strong</t>
        </is>
      </c>
      <c r="BV394" s="108" t="n">
        <v>0.84</v>
      </c>
      <c r="BW394" s="108" t="n">
        <v>0.99</v>
      </c>
      <c r="BX394" s="108" t="n">
        <v>0.96</v>
      </c>
      <c r="BY394" s="108" t="n">
        <v>1.02</v>
      </c>
      <c r="BZ394" s="108" t="n">
        <v>0.96</v>
      </c>
      <c r="CA394" s="108" t="n">
        <v>0.98</v>
      </c>
      <c r="CB394" s="108" t="n">
        <v>1</v>
      </c>
      <c r="CC394" s="108" t="n">
        <v>0.05</v>
      </c>
      <c r="CD394" s="107" t="n">
        <v>-2.38</v>
      </c>
      <c r="CE394" s="107" t="inlineStr">
        <is>
          <t>Lower Risk</t>
        </is>
      </c>
      <c r="CF394" s="108" t="n">
        <v>2</v>
      </c>
      <c r="CG394" s="108" t="n">
        <v>56.71</v>
      </c>
      <c r="CH394" s="107" t="n">
        <v>0</v>
      </c>
      <c r="CI394" s="107" t="inlineStr">
        <is>
          <t>CLEAR</t>
        </is>
      </c>
    </row>
    <row r="395" ht="17" customHeight="1">
      <c r="A395" s="103" t="inlineStr">
        <is>
          <t>SEIC</t>
        </is>
      </c>
      <c r="B395" s="103" t="inlineStr">
        <is>
          <t>SEI INVESTMENTS COMPANY</t>
        </is>
      </c>
      <c r="C395" s="104" t="n">
        <v>886126000</v>
      </c>
      <c r="D395" s="105" t="n">
        <v>0.27</v>
      </c>
      <c r="E395" s="105" t="n">
        <v>0.4</v>
      </c>
      <c r="F395" s="105" t="n">
        <v>0.31</v>
      </c>
      <c r="G395" s="105" t="n">
        <v>0.27</v>
      </c>
      <c r="H395" s="105" t="n">
        <v>0.23</v>
      </c>
      <c r="I395" s="105" t="n">
        <v>0.29</v>
      </c>
      <c r="J395" s="105" t="n">
        <v>0.27</v>
      </c>
      <c r="K395" s="105" t="n">
        <v>0.35</v>
      </c>
      <c r="L395" s="105" t="n">
        <v>0.33</v>
      </c>
      <c r="M395" s="105" t="n">
        <v>0.86</v>
      </c>
      <c r="N395" s="104" t="n">
        <v>0.84</v>
      </c>
      <c r="O395" s="104" t="n">
        <v>3.29</v>
      </c>
      <c r="P395" s="104" t="n">
        <v>4.08</v>
      </c>
      <c r="Q395" s="104" t="n">
        <v>3.29</v>
      </c>
      <c r="R395" s="104" t="n">
        <v>1.03</v>
      </c>
      <c r="S395" s="104" t="n">
        <v>0.16</v>
      </c>
      <c r="T395" s="104" t="n">
        <v>0.15</v>
      </c>
      <c r="U395" s="104" t="n">
        <v>0</v>
      </c>
      <c r="V395" s="104" t="n">
        <v>-0.16</v>
      </c>
      <c r="W395" s="104" t="n">
        <v>0.85</v>
      </c>
      <c r="X395" s="105" t="n">
        <v>0.25</v>
      </c>
      <c r="Y395" s="105" t="n">
        <v>0</v>
      </c>
      <c r="Z395" s="105" t="n">
        <v>1076.01</v>
      </c>
      <c r="AA395" s="105" t="n">
        <v>0.08</v>
      </c>
      <c r="AB395" s="105" t="n">
        <v>0.23</v>
      </c>
      <c r="AC395" s="104" t="n">
        <v>0.04</v>
      </c>
      <c r="AD395" s="104" t="n">
        <v>0.04</v>
      </c>
      <c r="AE395" s="104" t="n">
        <v>0.33</v>
      </c>
      <c r="AF395" s="104" t="n">
        <v>0.3</v>
      </c>
      <c r="AG395" s="104" t="n">
        <v>0.23</v>
      </c>
      <c r="AH395" s="104" t="n">
        <v>5.66</v>
      </c>
      <c r="AI395" s="104" t="n">
        <v>0.86</v>
      </c>
      <c r="AJ395" s="104" t="n">
        <v>5.83</v>
      </c>
      <c r="AK395" s="110" t="inlineStr">
        <is>
          <t>Safe</t>
        </is>
      </c>
      <c r="AL395" s="104" t="n">
        <v>0.33</v>
      </c>
      <c r="AM395" s="104" t="n">
        <v>0.3</v>
      </c>
      <c r="AN395" s="104" t="n">
        <v>0.23</v>
      </c>
      <c r="AO395" s="104" t="n">
        <v>5.66</v>
      </c>
      <c r="AP395" s="104" t="n">
        <v>0.86</v>
      </c>
      <c r="AQ395" s="103" t="n">
        <v>4.44</v>
      </c>
      <c r="AR395" s="103" t="inlineStr">
        <is>
          <t>Safe</t>
        </is>
      </c>
      <c r="AS395" s="104" t="n">
        <v>0.33</v>
      </c>
      <c r="AT395" s="104" t="n">
        <v>0.3</v>
      </c>
      <c r="AU395" s="104" t="n">
        <v>0.23</v>
      </c>
      <c r="AV395" s="104" t="n">
        <v>5.66</v>
      </c>
      <c r="AW395" s="103" t="n">
        <v>10.64</v>
      </c>
      <c r="AX395" s="103" t="inlineStr">
        <is>
          <t>Safe</t>
        </is>
      </c>
      <c r="AY395" s="104" t="n">
        <v>0.33</v>
      </c>
      <c r="AZ395" s="104" t="n">
        <v>0.23</v>
      </c>
      <c r="BA395" s="104" t="n">
        <v>2.37</v>
      </c>
      <c r="BB395" s="104" t="n">
        <v>0.86</v>
      </c>
      <c r="BC395" s="103" t="n">
        <v>2.96</v>
      </c>
      <c r="BD395" s="103" t="inlineStr">
        <is>
          <t>Healthy</t>
        </is>
      </c>
      <c r="BE395" s="104" t="n">
        <v>0.27</v>
      </c>
      <c r="BF395" s="104" t="n">
        <v>0.16</v>
      </c>
      <c r="BG395" s="104" t="n">
        <v>3.29</v>
      </c>
      <c r="BH395" s="104" t="n">
        <v>-4.61</v>
      </c>
      <c r="BI395" s="103" t="n">
        <v>0.01</v>
      </c>
      <c r="BJ395" s="103" t="inlineStr">
        <is>
          <t>Healthy</t>
        </is>
      </c>
      <c r="BK395" s="103" t="n">
        <v>1</v>
      </c>
      <c r="BL395" s="103" t="n">
        <v>1</v>
      </c>
      <c r="BM395" s="103" t="n">
        <v>1</v>
      </c>
      <c r="BN395" s="103" t="n">
        <v>0</v>
      </c>
      <c r="BO395" s="103" t="n">
        <v>0</v>
      </c>
      <c r="BP395" s="103" t="n">
        <v>0</v>
      </c>
      <c r="BQ395" s="103" t="n">
        <v>1</v>
      </c>
      <c r="BR395" s="103" t="n">
        <v>1</v>
      </c>
      <c r="BS395" s="103" t="n">
        <v>1</v>
      </c>
      <c r="BT395" s="103" t="n">
        <v>6</v>
      </c>
      <c r="BU395" s="103" t="inlineStr">
        <is>
          <t>Mixed</t>
        </is>
      </c>
      <c r="BV395" s="104" t="n">
        <v>1.16</v>
      </c>
      <c r="BW395" s="104" t="n">
        <v>0.9399999999999999</v>
      </c>
      <c r="BX395" s="104" t="n">
        <v>1.46</v>
      </c>
      <c r="BY395" s="104" t="n">
        <v>1.08</v>
      </c>
      <c r="BZ395" s="104" t="n">
        <v>0.91</v>
      </c>
      <c r="CA395" s="104" t="n">
        <v>1.13</v>
      </c>
      <c r="CB395" s="104" t="n">
        <v>1.05</v>
      </c>
      <c r="CC395" s="104" t="n">
        <v>0.04</v>
      </c>
      <c r="CD395" s="103" t="n">
        <v>-1.97</v>
      </c>
      <c r="CE395" s="103" t="inlineStr">
        <is>
          <t>Higher Risk</t>
        </is>
      </c>
      <c r="CF395" s="104" t="n">
        <v>-0.61</v>
      </c>
      <c r="CG395" s="104" t="n">
        <v>60.42</v>
      </c>
      <c r="CH395" s="103" t="n">
        <v>20</v>
      </c>
      <c r="CI395" s="103" t="inlineStr">
        <is>
          <t>CLEAR</t>
        </is>
      </c>
    </row>
    <row r="396" ht="17" customHeight="1">
      <c r="A396" s="107" t="inlineStr">
        <is>
          <t>IDXX</t>
        </is>
      </c>
      <c r="B396" s="107" t="inlineStr">
        <is>
          <t>IDEXX LABORATORIES INC /DE</t>
        </is>
      </c>
      <c r="C396" s="108" t="n">
        <v>265013000</v>
      </c>
      <c r="D396" s="109" t="n">
        <v>0.32</v>
      </c>
      <c r="E396" s="109" t="n">
        <v>0.31</v>
      </c>
      <c r="F396" s="109" t="n">
        <v>0.25</v>
      </c>
      <c r="G396" s="109" t="n">
        <v>0.32</v>
      </c>
      <c r="H396" s="109" t="n">
        <v>0.27</v>
      </c>
      <c r="I396" s="109" t="n">
        <v>0.66</v>
      </c>
      <c r="J396" s="109" t="n">
        <v>0.62</v>
      </c>
      <c r="K396" s="109" t="n">
        <v>0.62</v>
      </c>
      <c r="L396" s="109" t="n">
        <v>0.61</v>
      </c>
      <c r="M396" s="109" t="n">
        <v>1.28</v>
      </c>
      <c r="N396" s="108" t="n">
        <v>1.18</v>
      </c>
      <c r="O396" s="108" t="n">
        <v>1.23</v>
      </c>
      <c r="P396" s="108" t="n">
        <v>1.31</v>
      </c>
      <c r="Q396" s="108" t="n">
        <v>0.9</v>
      </c>
      <c r="R396" s="108" t="n">
        <v>0.16</v>
      </c>
      <c r="S396" s="108" t="n">
        <v>0.52</v>
      </c>
      <c r="T396" s="108" t="n">
        <v>0.52</v>
      </c>
      <c r="U396" s="108" t="n">
        <v>0.33</v>
      </c>
      <c r="V396" s="108" t="n">
        <v>0.21</v>
      </c>
      <c r="W396" s="108" t="n">
        <v>1.12</v>
      </c>
      <c r="X396" s="109" t="n">
        <v>0.25</v>
      </c>
      <c r="Y396" s="109" t="n">
        <v>0.06</v>
      </c>
      <c r="Z396" s="109" t="n">
        <v>32.71</v>
      </c>
      <c r="AA396" s="109" t="n">
        <v>0.1</v>
      </c>
      <c r="AB396" s="109" t="n">
        <v>0.19</v>
      </c>
      <c r="AC396" s="108" t="n">
        <v>-0.04</v>
      </c>
      <c r="AD396" s="108" t="n">
        <v>-0.04</v>
      </c>
      <c r="AE396" s="108" t="n">
        <v>0.08</v>
      </c>
      <c r="AF396" s="108" t="n">
        <v>1.91</v>
      </c>
      <c r="AG396" s="108" t="n">
        <v>0.41</v>
      </c>
      <c r="AH396" s="108" t="n">
        <v>0.92</v>
      </c>
      <c r="AI396" s="108" t="n">
        <v>1.28</v>
      </c>
      <c r="AJ396" s="108" t="n">
        <v>5.94</v>
      </c>
      <c r="AK396" s="110" t="inlineStr">
        <is>
          <t>Safe</t>
        </is>
      </c>
      <c r="AL396" s="108" t="n">
        <v>0.08</v>
      </c>
      <c r="AM396" s="108" t="n">
        <v>1.91</v>
      </c>
      <c r="AN396" s="108" t="n">
        <v>0.41</v>
      </c>
      <c r="AO396" s="108" t="n">
        <v>0.92</v>
      </c>
      <c r="AP396" s="108" t="n">
        <v>1.28</v>
      </c>
      <c r="AQ396" s="107" t="n">
        <v>4.6</v>
      </c>
      <c r="AR396" s="107" t="inlineStr">
        <is>
          <t>Safe</t>
        </is>
      </c>
      <c r="AS396" s="108" t="n">
        <v>0.08</v>
      </c>
      <c r="AT396" s="108" t="n">
        <v>1.91</v>
      </c>
      <c r="AU396" s="108" t="n">
        <v>0.41</v>
      </c>
      <c r="AV396" s="108" t="n">
        <v>0.92</v>
      </c>
      <c r="AW396" s="107" t="n">
        <v>10.43</v>
      </c>
      <c r="AX396" s="107" t="inlineStr">
        <is>
          <t>Safe</t>
        </is>
      </c>
      <c r="AY396" s="108" t="n">
        <v>0.08</v>
      </c>
      <c r="AZ396" s="108" t="n">
        <v>0.41</v>
      </c>
      <c r="BA396" s="108" t="n">
        <v>1.15</v>
      </c>
      <c r="BB396" s="108" t="n">
        <v>1.28</v>
      </c>
      <c r="BC396" s="107" t="n">
        <v>2.6</v>
      </c>
      <c r="BD396" s="107" t="inlineStr">
        <is>
          <t>Healthy</t>
        </is>
      </c>
      <c r="BE396" s="108" t="n">
        <v>0.32</v>
      </c>
      <c r="BF396" s="108" t="n">
        <v>0.52</v>
      </c>
      <c r="BG396" s="108" t="n">
        <v>1.23</v>
      </c>
      <c r="BH396" s="108" t="n">
        <v>-2.8</v>
      </c>
      <c r="BI396" s="107" t="n">
        <v>0.06</v>
      </c>
      <c r="BJ396" s="107" t="inlineStr">
        <is>
          <t>Healthy</t>
        </is>
      </c>
      <c r="BK396" s="107" t="n">
        <v>1</v>
      </c>
      <c r="BL396" s="107" t="n">
        <v>1</v>
      </c>
      <c r="BM396" s="107" t="n">
        <v>1</v>
      </c>
      <c r="BN396" s="107" t="n">
        <v>1</v>
      </c>
      <c r="BO396" s="107" t="n">
        <v>1</v>
      </c>
      <c r="BP396" s="107" t="n">
        <v>0</v>
      </c>
      <c r="BQ396" s="107" t="n">
        <v>1</v>
      </c>
      <c r="BR396" s="107" t="n">
        <v>1</v>
      </c>
      <c r="BS396" s="107" t="n">
        <v>1</v>
      </c>
      <c r="BT396" s="107" t="n">
        <v>8</v>
      </c>
      <c r="BU396" s="107" t="inlineStr">
        <is>
          <t>Strong</t>
        </is>
      </c>
      <c r="BV396" s="108" t="n">
        <v>1.06</v>
      </c>
      <c r="BW396" s="108" t="n">
        <v>0.99</v>
      </c>
      <c r="BX396" s="108" t="n">
        <v>0.99</v>
      </c>
      <c r="BY396" s="108" t="n">
        <v>1.1</v>
      </c>
      <c r="BZ396" s="108" t="n">
        <v>0.95</v>
      </c>
      <c r="CA396" s="108" t="n">
        <v>0.83</v>
      </c>
      <c r="CB396" s="108" t="n">
        <v>1.01</v>
      </c>
      <c r="CC396" s="108" t="n">
        <v>-0.04</v>
      </c>
      <c r="CD396" s="107" t="n">
        <v>-2.5</v>
      </c>
      <c r="CE396" s="107" t="inlineStr">
        <is>
          <t>Lower Risk</t>
        </is>
      </c>
      <c r="CF396" s="108" t="n">
        <v>0.23</v>
      </c>
      <c r="CG396" s="108" t="n">
        <v>71.59</v>
      </c>
      <c r="CH396" s="107" t="n">
        <v>0</v>
      </c>
      <c r="CI396" s="107" t="inlineStr">
        <is>
          <t>CLEAR</t>
        </is>
      </c>
    </row>
    <row r="397" ht="17" customHeight="1">
      <c r="A397" s="103" t="inlineStr">
        <is>
          <t>LHX</t>
        </is>
      </c>
      <c r="B397" s="103" t="inlineStr">
        <is>
          <t>L3HARRIS TECHNOLOGIES, INC.</t>
        </is>
      </c>
      <c r="C397" s="104" t="n">
        <v>1367000000</v>
      </c>
      <c r="D397" s="105" t="n">
        <v>0.34</v>
      </c>
      <c r="E397" s="105" t="n">
        <v>0.31</v>
      </c>
      <c r="F397" s="105" t="n">
        <v>0.26</v>
      </c>
      <c r="G397" s="105" t="n">
        <v>0.04</v>
      </c>
      <c r="H397" s="105" t="n">
        <v>0.04</v>
      </c>
      <c r="I397" s="105" t="n">
        <v>0.08</v>
      </c>
      <c r="J397" s="105" t="n">
        <v>0.06</v>
      </c>
      <c r="K397" s="105" t="n">
        <v>0.3</v>
      </c>
      <c r="L397" s="105" t="n">
        <v>0.09</v>
      </c>
      <c r="M397" s="105" t="n">
        <v>0.15</v>
      </c>
      <c r="N397" s="104" t="n">
        <v>0.14</v>
      </c>
      <c r="O397" s="104" t="n">
        <v>1.19</v>
      </c>
      <c r="P397" s="104" t="n">
        <v>1.08</v>
      </c>
      <c r="Q397" s="104" t="n">
        <v>1.02</v>
      </c>
      <c r="R397" s="104" t="n">
        <v>0.15</v>
      </c>
      <c r="S397" s="104" t="n">
        <v>0.52</v>
      </c>
      <c r="T397" s="104" t="n">
        <v>0.53</v>
      </c>
      <c r="U397" s="104" t="n">
        <v>0.17</v>
      </c>
      <c r="V397" s="104" t="n">
        <v>0.12</v>
      </c>
      <c r="W397" s="104" t="n">
        <v>1.93</v>
      </c>
      <c r="X397" s="105" t="n">
        <v>0.43</v>
      </c>
      <c r="Y397" s="105" t="n">
        <v>0</v>
      </c>
      <c r="Z397" s="105" t="n">
        <v>7.81</v>
      </c>
      <c r="AA397" s="105" t="n">
        <v>0.05</v>
      </c>
      <c r="AB397" s="105" t="n">
        <v>0.07000000000000001</v>
      </c>
      <c r="AC397" s="104" t="n">
        <v>-0.04</v>
      </c>
      <c r="AD397" s="104" t="n">
        <v>-0.04</v>
      </c>
      <c r="AE397" s="104" t="n">
        <v>0.03</v>
      </c>
      <c r="AF397" s="104" t="n">
        <v>0.1</v>
      </c>
      <c r="AG397" s="104" t="n">
        <v>0.05</v>
      </c>
      <c r="AH397" s="104" t="n">
        <v>0.91</v>
      </c>
      <c r="AI397" s="104" t="n">
        <v>0.15</v>
      </c>
      <c r="AJ397" s="104" t="n">
        <v>1.05</v>
      </c>
      <c r="AK397" s="112" t="inlineStr">
        <is>
          <t>Distress</t>
        </is>
      </c>
      <c r="AL397" s="104" t="n">
        <v>0.03</v>
      </c>
      <c r="AM397" s="104" t="n">
        <v>0.1</v>
      </c>
      <c r="AN397" s="104" t="n">
        <v>0.05</v>
      </c>
      <c r="AO397" s="104" t="n">
        <v>0.91</v>
      </c>
      <c r="AP397" s="104" t="n">
        <v>0.15</v>
      </c>
      <c r="AQ397" s="103" t="n">
        <v>0.8</v>
      </c>
      <c r="AR397" s="103" t="inlineStr">
        <is>
          <t>Distress</t>
        </is>
      </c>
      <c r="AS397" s="104" t="n">
        <v>0.03</v>
      </c>
      <c r="AT397" s="104" t="n">
        <v>0.1</v>
      </c>
      <c r="AU397" s="104" t="n">
        <v>0.05</v>
      </c>
      <c r="AV397" s="104" t="n">
        <v>0.91</v>
      </c>
      <c r="AW397" s="103" t="n">
        <v>1.85</v>
      </c>
      <c r="AX397" s="103" t="inlineStr">
        <is>
          <t>Grey</t>
        </is>
      </c>
      <c r="AY397" s="104" t="n">
        <v>0.03</v>
      </c>
      <c r="AZ397" s="104" t="n">
        <v>0.05</v>
      </c>
      <c r="BA397" s="104" t="n">
        <v>0.27</v>
      </c>
      <c r="BB397" s="104" t="n">
        <v>0.15</v>
      </c>
      <c r="BC397" s="103" t="n">
        <v>0.43</v>
      </c>
      <c r="BD397" s="103" t="inlineStr">
        <is>
          <t>Distress</t>
        </is>
      </c>
      <c r="BE397" s="104" t="n">
        <v>0.04</v>
      </c>
      <c r="BF397" s="104" t="n">
        <v>0.52</v>
      </c>
      <c r="BG397" s="104" t="n">
        <v>1.19</v>
      </c>
      <c r="BH397" s="104" t="n">
        <v>-1.53</v>
      </c>
      <c r="BI397" s="103" t="n">
        <v>0.18</v>
      </c>
      <c r="BJ397" s="103" t="inlineStr">
        <is>
          <t>Healthy</t>
        </is>
      </c>
      <c r="BK397" s="103" t="n">
        <v>1</v>
      </c>
      <c r="BL397" s="103" t="n">
        <v>1</v>
      </c>
      <c r="BM397" s="103" t="n">
        <v>1</v>
      </c>
      <c r="BN397" s="103" t="n">
        <v>1</v>
      </c>
      <c r="BO397" s="103" t="n">
        <v>1</v>
      </c>
      <c r="BP397" s="103" t="n">
        <v>1</v>
      </c>
      <c r="BQ397" s="103" t="n">
        <v>1</v>
      </c>
      <c r="BR397" s="103" t="n">
        <v>1</v>
      </c>
      <c r="BS397" s="103" t="n">
        <v>1</v>
      </c>
      <c r="BT397" s="103" t="n">
        <v>9</v>
      </c>
      <c r="BU397" s="103" t="inlineStr">
        <is>
          <t>Strong</t>
        </is>
      </c>
      <c r="BV397" s="104" t="n">
        <v>1.22</v>
      </c>
      <c r="BW397" s="104" t="n">
        <v>0.3</v>
      </c>
      <c r="BX397" s="104" t="n">
        <v>0.98</v>
      </c>
      <c r="BY397" s="104" t="n">
        <v>1.05</v>
      </c>
      <c r="BZ397" s="104" t="n">
        <v>0.87</v>
      </c>
      <c r="CA397" s="104" t="n">
        <v>0.92</v>
      </c>
      <c r="CB397" s="104" t="n">
        <v>0.98</v>
      </c>
      <c r="CC397" s="104" t="n">
        <v>-0.04</v>
      </c>
      <c r="CD397" s="103" t="n">
        <v>-2.78</v>
      </c>
      <c r="CE397" s="103" t="inlineStr">
        <is>
          <t>Lower Risk</t>
        </is>
      </c>
      <c r="CF397" s="104" t="n">
        <v>0.9399999999999999</v>
      </c>
      <c r="CG397" s="104" t="n">
        <v>62.17</v>
      </c>
      <c r="CH397" s="103" t="n">
        <v>0</v>
      </c>
      <c r="CI397" s="103" t="inlineStr">
        <is>
          <t>CLEAR</t>
        </is>
      </c>
    </row>
    <row r="398" ht="17" customHeight="1">
      <c r="A398" s="107" t="inlineStr">
        <is>
          <t>CBSH</t>
        </is>
      </c>
      <c r="B398" s="107" t="inlineStr">
        <is>
          <t>COMMERCE BANCSHARES, INC.</t>
        </is>
      </c>
      <c r="C398" s="111" t="inlineStr">
        <is>
          <t>N/A</t>
        </is>
      </c>
      <c r="D398" s="111" t="inlineStr">
        <is>
          <t>N/A</t>
        </is>
      </c>
      <c r="E398" s="111" t="inlineStr">
        <is>
          <t>N/A</t>
        </is>
      </c>
      <c r="F398" s="111" t="inlineStr">
        <is>
          <t>N/A</t>
        </is>
      </c>
      <c r="G398" s="109" t="n">
        <v>0.02</v>
      </c>
      <c r="H398" s="109" t="n">
        <v>0.02</v>
      </c>
      <c r="I398" s="109" t="n">
        <v>0.15</v>
      </c>
      <c r="J398" s="111" t="inlineStr">
        <is>
          <t>N/A</t>
        </is>
      </c>
      <c r="K398" s="111" t="inlineStr">
        <is>
          <t>N/A</t>
        </is>
      </c>
      <c r="L398" s="111" t="inlineStr">
        <is>
          <t>N/A</t>
        </is>
      </c>
      <c r="M398" s="111" t="inlineStr">
        <is>
          <t>N/A</t>
        </is>
      </c>
      <c r="N398" s="111" t="inlineStr">
        <is>
          <t>N/A</t>
        </is>
      </c>
      <c r="O398" s="111" t="inlineStr">
        <is>
          <t>N/A</t>
        </is>
      </c>
      <c r="P398" s="111" t="inlineStr">
        <is>
          <t>N/A</t>
        </is>
      </c>
      <c r="Q398" s="111" t="inlineStr">
        <is>
          <t>N/A</t>
        </is>
      </c>
      <c r="R398" s="111" t="inlineStr">
        <is>
          <t>N/A</t>
        </is>
      </c>
      <c r="S398" s="108" t="n">
        <v>0.88</v>
      </c>
      <c r="T398" s="108" t="n">
        <v>0.9</v>
      </c>
      <c r="U398" s="108" t="n">
        <v>0.12</v>
      </c>
      <c r="V398" s="108" t="n">
        <v>-0.01</v>
      </c>
      <c r="W398" s="108" t="n">
        <v>1.14</v>
      </c>
      <c r="X398" s="111" t="inlineStr">
        <is>
          <t>N/A</t>
        </is>
      </c>
      <c r="Y398" s="109" t="n">
        <v>0</v>
      </c>
      <c r="Z398" s="109" t="n">
        <v>1.91</v>
      </c>
      <c r="AA398" s="111" t="inlineStr">
        <is>
          <t>N/A</t>
        </is>
      </c>
      <c r="AB398" s="109" t="n">
        <v>0.08</v>
      </c>
      <c r="AC398" s="108" t="n">
        <v>-0</v>
      </c>
      <c r="AD398" s="108" t="n">
        <v>-0</v>
      </c>
      <c r="AE398" s="111" t="inlineStr">
        <is>
          <t>N/A</t>
        </is>
      </c>
      <c r="AF398" s="108" t="n">
        <v>0</v>
      </c>
      <c r="AG398" s="108" t="n">
        <v>0.02</v>
      </c>
      <c r="AH398" s="108" t="n">
        <v>0.13</v>
      </c>
      <c r="AI398" s="111" t="inlineStr">
        <is>
          <t>N/A</t>
        </is>
      </c>
      <c r="AJ398" s="111" t="inlineStr">
        <is>
          <t>N/A</t>
        </is>
      </c>
      <c r="AK398" s="111" t="inlineStr">
        <is>
          <t>N/A</t>
        </is>
      </c>
      <c r="AL398" s="111" t="inlineStr">
        <is>
          <t>N/A</t>
        </is>
      </c>
      <c r="AM398" s="108" t="n">
        <v>0</v>
      </c>
      <c r="AN398" s="108" t="n">
        <v>0.02</v>
      </c>
      <c r="AO398" s="108" t="n">
        <v>0.13</v>
      </c>
      <c r="AP398" s="111" t="inlineStr">
        <is>
          <t>N/A</t>
        </is>
      </c>
      <c r="AQ398" s="111" t="inlineStr">
        <is>
          <t>N/A</t>
        </is>
      </c>
      <c r="AR398" s="111" t="inlineStr">
        <is>
          <t>N/A</t>
        </is>
      </c>
      <c r="AS398" s="111" t="inlineStr">
        <is>
          <t>N/A</t>
        </is>
      </c>
      <c r="AT398" s="108" t="n">
        <v>0</v>
      </c>
      <c r="AU398" s="108" t="n">
        <v>0.02</v>
      </c>
      <c r="AV398" s="108" t="n">
        <v>0.13</v>
      </c>
      <c r="AW398" s="111" t="inlineStr">
        <is>
          <t>N/A</t>
        </is>
      </c>
      <c r="AX398" s="111" t="inlineStr">
        <is>
          <t>N/A</t>
        </is>
      </c>
      <c r="AY398" s="111" t="inlineStr">
        <is>
          <t>N/A</t>
        </is>
      </c>
      <c r="AZ398" s="108" t="n">
        <v>0.02</v>
      </c>
      <c r="BA398" s="111" t="inlineStr">
        <is>
          <t>N/A</t>
        </is>
      </c>
      <c r="BB398" s="111" t="inlineStr">
        <is>
          <t>N/A</t>
        </is>
      </c>
      <c r="BC398" s="111" t="inlineStr">
        <is>
          <t>N/A</t>
        </is>
      </c>
      <c r="BD398" s="111" t="inlineStr">
        <is>
          <t>N/A</t>
        </is>
      </c>
      <c r="BE398" s="108" t="n">
        <v>0.02</v>
      </c>
      <c r="BF398" s="108" t="n">
        <v>0.88</v>
      </c>
      <c r="BG398" s="111" t="inlineStr">
        <is>
          <t>N/A</t>
        </is>
      </c>
      <c r="BH398" s="111" t="inlineStr">
        <is>
          <t>N/A</t>
        </is>
      </c>
      <c r="BI398" s="111" t="inlineStr">
        <is>
          <t>N/A</t>
        </is>
      </c>
      <c r="BJ398" s="111" t="inlineStr">
        <is>
          <t>N/A</t>
        </is>
      </c>
      <c r="BK398" s="107" t="n">
        <v>1</v>
      </c>
      <c r="BL398" s="107" t="n">
        <v>1</v>
      </c>
      <c r="BM398" s="107" t="n">
        <v>1</v>
      </c>
      <c r="BN398" s="107" t="n">
        <v>1</v>
      </c>
      <c r="BO398" s="107" t="n">
        <v>1</v>
      </c>
      <c r="BP398" s="107" t="n">
        <v>0</v>
      </c>
      <c r="BQ398" s="107" t="n">
        <v>0</v>
      </c>
      <c r="BR398" s="107" t="n">
        <v>0</v>
      </c>
      <c r="BS398" s="107" t="n">
        <v>0</v>
      </c>
      <c r="BT398" s="107" t="n">
        <v>5</v>
      </c>
      <c r="BU398" s="107" t="inlineStr">
        <is>
          <t>Mixed</t>
        </is>
      </c>
      <c r="BV398" s="111" t="inlineStr">
        <is>
          <t>N/A</t>
        </is>
      </c>
      <c r="BW398" s="111" t="inlineStr">
        <is>
          <t>N/A</t>
        </is>
      </c>
      <c r="BX398" s="108" t="n">
        <v>1</v>
      </c>
      <c r="BY398" s="111" t="inlineStr">
        <is>
          <t>N/A</t>
        </is>
      </c>
      <c r="BZ398" s="108" t="n">
        <v>0.97</v>
      </c>
      <c r="CA398" s="111" t="inlineStr">
        <is>
          <t>N/A</t>
        </is>
      </c>
      <c r="CB398" s="108" t="n">
        <v>0.99</v>
      </c>
      <c r="CC398" s="108" t="n">
        <v>-0</v>
      </c>
      <c r="CD398" s="111" t="inlineStr">
        <is>
          <t>N/A</t>
        </is>
      </c>
      <c r="CE398" s="111" t="inlineStr">
        <is>
          <t>N/A</t>
        </is>
      </c>
      <c r="CF398" s="108" t="n">
        <v>-0.07000000000000001</v>
      </c>
      <c r="CG398" s="108" t="n">
        <v>42.94</v>
      </c>
      <c r="CH398" s="107" t="n">
        <v>0</v>
      </c>
      <c r="CI398" s="107" t="inlineStr">
        <is>
          <t>CLEAR</t>
        </is>
      </c>
    </row>
    <row r="399" ht="17" customHeight="1">
      <c r="A399" s="103" t="inlineStr">
        <is>
          <t>MGM</t>
        </is>
      </c>
      <c r="B399" s="103" t="inlineStr">
        <is>
          <t>MGM Resorts International</t>
        </is>
      </c>
      <c r="C399" s="104" t="n">
        <v>820317000</v>
      </c>
      <c r="D399" s="105" t="n">
        <v>0.1</v>
      </c>
      <c r="E399" s="105" t="n">
        <v>0.03</v>
      </c>
      <c r="F399" s="105" t="n">
        <v>0.02</v>
      </c>
      <c r="G399" s="105" t="n">
        <v>0</v>
      </c>
      <c r="H399" s="105" t="n">
        <v>0.02</v>
      </c>
      <c r="I399" s="105" t="n">
        <v>0.08</v>
      </c>
      <c r="J399" s="105" t="n">
        <v>0.03</v>
      </c>
      <c r="K399" s="113" t="inlineStr">
        <is>
          <t>N/A</t>
        </is>
      </c>
      <c r="L399" s="113" t="inlineStr">
        <is>
          <t>N/A</t>
        </is>
      </c>
      <c r="M399" s="105" t="n">
        <v>0.24</v>
      </c>
      <c r="N399" s="104" t="n">
        <v>0.06</v>
      </c>
      <c r="O399" s="104" t="n">
        <v>1.23</v>
      </c>
      <c r="P399" s="104" t="n">
        <v>1.3</v>
      </c>
      <c r="Q399" s="104" t="n">
        <v>1.2</v>
      </c>
      <c r="R399" s="104" t="n">
        <v>0.59</v>
      </c>
      <c r="S399" s="104" t="n">
        <v>0.92</v>
      </c>
      <c r="T399" s="104" t="n">
        <v>0.91</v>
      </c>
      <c r="U399" s="104" t="n">
        <v>2.56</v>
      </c>
      <c r="V399" s="104" t="n">
        <v>1.71</v>
      </c>
      <c r="W399" s="104" t="n">
        <v>12.29</v>
      </c>
      <c r="X399" s="105" t="n">
        <v>0.15</v>
      </c>
      <c r="Y399" s="113" t="inlineStr">
        <is>
          <t>N/A</t>
        </is>
      </c>
      <c r="Z399" s="105" t="n">
        <v>2.18</v>
      </c>
      <c r="AA399" s="105" t="n">
        <v>2.9</v>
      </c>
      <c r="AB399" s="105" t="n">
        <v>-0.72</v>
      </c>
      <c r="AC399" s="104" t="n">
        <v>-0.06</v>
      </c>
      <c r="AD399" s="104" t="n">
        <v>-0.06</v>
      </c>
      <c r="AE399" s="104" t="n">
        <v>0.02</v>
      </c>
      <c r="AF399" s="104" t="n">
        <v>0.05</v>
      </c>
      <c r="AG399" s="104" t="n">
        <v>0.02</v>
      </c>
      <c r="AH399" s="104" t="n">
        <v>0.06</v>
      </c>
      <c r="AI399" s="104" t="n">
        <v>0.24</v>
      </c>
      <c r="AJ399" s="104" t="n">
        <v>0.45</v>
      </c>
      <c r="AK399" s="112" t="inlineStr">
        <is>
          <t>Distress</t>
        </is>
      </c>
      <c r="AL399" s="104" t="n">
        <v>0.02</v>
      </c>
      <c r="AM399" s="104" t="n">
        <v>0.05</v>
      </c>
      <c r="AN399" s="104" t="n">
        <v>0.02</v>
      </c>
      <c r="AO399" s="104" t="n">
        <v>0.06</v>
      </c>
      <c r="AP399" s="104" t="n">
        <v>0.24</v>
      </c>
      <c r="AQ399" s="103" t="n">
        <v>0.4</v>
      </c>
      <c r="AR399" s="103" t="inlineStr">
        <is>
          <t>Distress</t>
        </is>
      </c>
      <c r="AS399" s="104" t="n">
        <v>0.02</v>
      </c>
      <c r="AT399" s="104" t="n">
        <v>0.05</v>
      </c>
      <c r="AU399" s="104" t="n">
        <v>0.02</v>
      </c>
      <c r="AV399" s="104" t="n">
        <v>0.06</v>
      </c>
      <c r="AW399" s="103" t="n">
        <v>0.53</v>
      </c>
      <c r="AX399" s="103" t="inlineStr">
        <is>
          <t>Distress</t>
        </is>
      </c>
      <c r="AY399" s="104" t="n">
        <v>0.02</v>
      </c>
      <c r="AZ399" s="104" t="n">
        <v>0.02</v>
      </c>
      <c r="BA399" s="104" t="n">
        <v>0.08</v>
      </c>
      <c r="BB399" s="104" t="n">
        <v>0.24</v>
      </c>
      <c r="BC399" s="103" t="n">
        <v>0.24</v>
      </c>
      <c r="BD399" s="103" t="inlineStr">
        <is>
          <t>Distress</t>
        </is>
      </c>
      <c r="BE399" s="104" t="n">
        <v>0</v>
      </c>
      <c r="BF399" s="104" t="n">
        <v>0.92</v>
      </c>
      <c r="BG399" s="104" t="n">
        <v>1.23</v>
      </c>
      <c r="BH399" s="104" t="n">
        <v>0.88</v>
      </c>
      <c r="BI399" s="103" t="n">
        <v>0.71</v>
      </c>
      <c r="BJ399" s="103" t="inlineStr">
        <is>
          <t>Distress</t>
        </is>
      </c>
      <c r="BK399" s="103" t="n">
        <v>1</v>
      </c>
      <c r="BL399" s="103" t="n">
        <v>1</v>
      </c>
      <c r="BM399" s="103" t="n">
        <v>0</v>
      </c>
      <c r="BN399" s="103" t="n">
        <v>1</v>
      </c>
      <c r="BO399" s="103" t="n">
        <v>1</v>
      </c>
      <c r="BP399" s="103" t="n">
        <v>0</v>
      </c>
      <c r="BQ399" s="103" t="n">
        <v>1</v>
      </c>
      <c r="BR399" s="103" t="n">
        <v>0</v>
      </c>
      <c r="BS399" s="103" t="n">
        <v>1</v>
      </c>
      <c r="BT399" s="103" t="n">
        <v>6</v>
      </c>
      <c r="BU399" s="103" t="inlineStr">
        <is>
          <t>Mixed</t>
        </is>
      </c>
      <c r="BV399" s="104" t="n">
        <v>0.27</v>
      </c>
      <c r="BW399" s="113" t="inlineStr">
        <is>
          <t>N/A</t>
        </is>
      </c>
      <c r="BX399" s="104" t="n">
        <v>0.99</v>
      </c>
      <c r="BY399" s="104" t="n">
        <v>3.9</v>
      </c>
      <c r="BZ399" s="104" t="n">
        <v>0.87</v>
      </c>
      <c r="CA399" s="104" t="n">
        <v>0.26</v>
      </c>
      <c r="CB399" s="104" t="n">
        <v>1.01</v>
      </c>
      <c r="CC399" s="104" t="n">
        <v>-0.06</v>
      </c>
      <c r="CD399" s="113" t="inlineStr">
        <is>
          <t>N/A</t>
        </is>
      </c>
      <c r="CE399" s="113" t="inlineStr">
        <is>
          <t>N/A</t>
        </is>
      </c>
      <c r="CF399" s="104" t="n">
        <v>2.06</v>
      </c>
      <c r="CG399" s="104" t="n">
        <v>48.22</v>
      </c>
      <c r="CH399" s="103" t="n">
        <v>0</v>
      </c>
      <c r="CI399" s="103" t="inlineStr">
        <is>
          <t>CLEAR</t>
        </is>
      </c>
    </row>
    <row r="400" ht="17" customHeight="1">
      <c r="A400" s="107" t="inlineStr">
        <is>
          <t>VMC</t>
        </is>
      </c>
      <c r="B400" s="107" t="inlineStr">
        <is>
          <t>VULCAN MATERIALS COMPANY</t>
        </is>
      </c>
      <c r="C400" s="108" t="n">
        <v>1611800000</v>
      </c>
      <c r="D400" s="109" t="n">
        <v>0.21</v>
      </c>
      <c r="E400" s="109" t="n">
        <v>0.18</v>
      </c>
      <c r="F400" s="109" t="n">
        <v>0.14</v>
      </c>
      <c r="G400" s="109" t="n">
        <v>0.06</v>
      </c>
      <c r="H400" s="109" t="n">
        <v>0.05</v>
      </c>
      <c r="I400" s="109" t="n">
        <v>0.13</v>
      </c>
      <c r="J400" s="109" t="n">
        <v>0.1</v>
      </c>
      <c r="K400" s="109" t="n">
        <v>0.28</v>
      </c>
      <c r="L400" s="109" t="n">
        <v>0.27</v>
      </c>
      <c r="M400" s="109" t="n">
        <v>0.47</v>
      </c>
      <c r="N400" s="108" t="n">
        <v>0.43</v>
      </c>
      <c r="O400" s="108" t="n">
        <v>2.69</v>
      </c>
      <c r="P400" s="108" t="n">
        <v>1.83</v>
      </c>
      <c r="Q400" s="108" t="n">
        <v>1.97</v>
      </c>
      <c r="R400" s="108" t="n">
        <v>0.19</v>
      </c>
      <c r="S400" s="108" t="n">
        <v>0.49</v>
      </c>
      <c r="T400" s="108" t="n">
        <v>0.52</v>
      </c>
      <c r="U400" s="108" t="n">
        <v>0.51</v>
      </c>
      <c r="V400" s="108" t="n">
        <v>0.49</v>
      </c>
      <c r="W400" s="108" t="n">
        <v>1.68</v>
      </c>
      <c r="X400" s="109" t="n">
        <v>0.15</v>
      </c>
      <c r="Y400" s="109" t="n">
        <v>0</v>
      </c>
      <c r="Z400" s="109" t="n">
        <v>8.26</v>
      </c>
      <c r="AA400" s="109" t="n">
        <v>0.06</v>
      </c>
      <c r="AB400" s="109" t="n">
        <v>0.18</v>
      </c>
      <c r="AC400" s="108" t="n">
        <v>-0.04</v>
      </c>
      <c r="AD400" s="108" t="n">
        <v>-0.04</v>
      </c>
      <c r="AE400" s="108" t="n">
        <v>0.1</v>
      </c>
      <c r="AF400" s="108" t="n">
        <v>0.33</v>
      </c>
      <c r="AG400" s="108" t="n">
        <v>0.1</v>
      </c>
      <c r="AH400" s="108" t="n">
        <v>1.05</v>
      </c>
      <c r="AI400" s="108" t="n">
        <v>0.47</v>
      </c>
      <c r="AJ400" s="108" t="n">
        <v>2</v>
      </c>
      <c r="AK400" s="106" t="inlineStr">
        <is>
          <t>Grey</t>
        </is>
      </c>
      <c r="AL400" s="108" t="n">
        <v>0.1</v>
      </c>
      <c r="AM400" s="108" t="n">
        <v>0.33</v>
      </c>
      <c r="AN400" s="108" t="n">
        <v>0.1</v>
      </c>
      <c r="AO400" s="108" t="n">
        <v>1.05</v>
      </c>
      <c r="AP400" s="108" t="n">
        <v>0.47</v>
      </c>
      <c r="AQ400" s="107" t="n">
        <v>1.56</v>
      </c>
      <c r="AR400" s="107" t="inlineStr">
        <is>
          <t>Grey</t>
        </is>
      </c>
      <c r="AS400" s="108" t="n">
        <v>0.1</v>
      </c>
      <c r="AT400" s="108" t="n">
        <v>0.33</v>
      </c>
      <c r="AU400" s="108" t="n">
        <v>0.1</v>
      </c>
      <c r="AV400" s="108" t="n">
        <v>1.05</v>
      </c>
      <c r="AW400" s="107" t="n">
        <v>3.47</v>
      </c>
      <c r="AX400" s="107" t="inlineStr">
        <is>
          <t>Safe</t>
        </is>
      </c>
      <c r="AY400" s="108" t="n">
        <v>0.1</v>
      </c>
      <c r="AZ400" s="108" t="n">
        <v>0.1</v>
      </c>
      <c r="BA400" s="108" t="n">
        <v>1.45</v>
      </c>
      <c r="BB400" s="108" t="n">
        <v>0.47</v>
      </c>
      <c r="BC400" s="107" t="n">
        <v>1.54</v>
      </c>
      <c r="BD400" s="107" t="inlineStr">
        <is>
          <t>Healthy</t>
        </is>
      </c>
      <c r="BE400" s="108" t="n">
        <v>0.06</v>
      </c>
      <c r="BF400" s="108" t="n">
        <v>0.49</v>
      </c>
      <c r="BG400" s="108" t="n">
        <v>2.69</v>
      </c>
      <c r="BH400" s="108" t="n">
        <v>-1.84</v>
      </c>
      <c r="BI400" s="107" t="n">
        <v>0.14</v>
      </c>
      <c r="BJ400" s="107" t="inlineStr">
        <is>
          <t>Healthy</t>
        </is>
      </c>
      <c r="BK400" s="107" t="n">
        <v>1</v>
      </c>
      <c r="BL400" s="107" t="n">
        <v>1</v>
      </c>
      <c r="BM400" s="107" t="n">
        <v>1</v>
      </c>
      <c r="BN400" s="107" t="n">
        <v>1</v>
      </c>
      <c r="BO400" s="107" t="n">
        <v>1</v>
      </c>
      <c r="BP400" s="107" t="n">
        <v>1</v>
      </c>
      <c r="BQ400" s="107" t="n">
        <v>1</v>
      </c>
      <c r="BR400" s="107" t="n">
        <v>1</v>
      </c>
      <c r="BS400" s="107" t="n">
        <v>1</v>
      </c>
      <c r="BT400" s="107" t="n">
        <v>9</v>
      </c>
      <c r="BU400" s="107" t="inlineStr">
        <is>
          <t>Strong</t>
        </is>
      </c>
      <c r="BV400" s="108" t="n">
        <v>1.01</v>
      </c>
      <c r="BW400" s="108" t="n">
        <v>0.98</v>
      </c>
      <c r="BX400" s="108" t="n">
        <v>0.92</v>
      </c>
      <c r="BY400" s="108" t="n">
        <v>1.06</v>
      </c>
      <c r="BZ400" s="108" t="n">
        <v>0.88</v>
      </c>
      <c r="CA400" s="108" t="n">
        <v>1</v>
      </c>
      <c r="CB400" s="108" t="n">
        <v>0.93</v>
      </c>
      <c r="CC400" s="108" t="n">
        <v>-0.04</v>
      </c>
      <c r="CD400" s="107" t="n">
        <v>-2.65</v>
      </c>
      <c r="CE400" s="107" t="inlineStr">
        <is>
          <t>Lower Risk</t>
        </is>
      </c>
      <c r="CF400" s="108" t="n">
        <v>1.76</v>
      </c>
      <c r="CG400" s="108" t="n">
        <v>65.03</v>
      </c>
      <c r="CH400" s="107" t="n">
        <v>0</v>
      </c>
      <c r="CI400" s="107" t="inlineStr">
        <is>
          <t>CLEAR</t>
        </is>
      </c>
    </row>
    <row r="401" ht="17" customHeight="1">
      <c r="A401" s="103" t="inlineStr">
        <is>
          <t>CNX</t>
        </is>
      </c>
      <c r="B401" s="103" t="inlineStr">
        <is>
          <t>CNX Resources Corporation</t>
        </is>
      </c>
      <c r="C401" s="104" t="n">
        <v>-634038000</v>
      </c>
      <c r="D401" s="113" t="inlineStr">
        <is>
          <t>N/A</t>
        </is>
      </c>
      <c r="E401" s="105" t="n">
        <v>0.36</v>
      </c>
      <c r="F401" s="105" t="n">
        <v>0.28</v>
      </c>
      <c r="G401" s="105" t="n">
        <v>0.07000000000000001</v>
      </c>
      <c r="H401" s="105" t="n">
        <v>-0.01</v>
      </c>
      <c r="I401" s="105" t="n">
        <v>0.15</v>
      </c>
      <c r="J401" s="113" t="inlineStr">
        <is>
          <t>N/A</t>
        </is>
      </c>
      <c r="K401" s="105" t="n">
        <v>0.4</v>
      </c>
      <c r="L401" s="105" t="n">
        <v>0.01</v>
      </c>
      <c r="M401" s="105" t="n">
        <v>0.25</v>
      </c>
      <c r="N401" s="104" t="n">
        <v>0.15</v>
      </c>
      <c r="O401" s="104" t="n">
        <v>0.44</v>
      </c>
      <c r="P401" s="104" t="n">
        <v>0.33</v>
      </c>
      <c r="Q401" s="104" t="n">
        <v>0.41</v>
      </c>
      <c r="R401" s="104" t="n">
        <v>0</v>
      </c>
      <c r="S401" s="104" t="n">
        <v>0.52</v>
      </c>
      <c r="T401" s="104" t="n">
        <v>0.52</v>
      </c>
      <c r="U401" s="104" t="n">
        <v>0.5600000000000001</v>
      </c>
      <c r="V401" s="104" t="n">
        <v>0.5600000000000001</v>
      </c>
      <c r="W401" s="104" t="n">
        <v>1.63</v>
      </c>
      <c r="X401" s="105" t="n">
        <v>0.24</v>
      </c>
      <c r="Y401" s="105" t="n">
        <v>0</v>
      </c>
      <c r="Z401" s="113" t="inlineStr">
        <is>
          <t>N/A</t>
        </is>
      </c>
      <c r="AA401" s="105" t="n">
        <v>0.77</v>
      </c>
      <c r="AB401" s="105" t="n">
        <v>-8</v>
      </c>
      <c r="AC401" s="104" t="n">
        <v>-0.04</v>
      </c>
      <c r="AD401" s="104" t="n">
        <v>-0.04</v>
      </c>
      <c r="AE401" s="104" t="n">
        <v>-0.07000000000000001</v>
      </c>
      <c r="AF401" s="104" t="n">
        <v>0.22</v>
      </c>
      <c r="AG401" s="113" t="inlineStr">
        <is>
          <t>N/A</t>
        </is>
      </c>
      <c r="AH401" s="104" t="n">
        <v>0.91</v>
      </c>
      <c r="AI401" s="104" t="n">
        <v>0.25</v>
      </c>
      <c r="AJ401" s="113" t="inlineStr">
        <is>
          <t>N/A</t>
        </is>
      </c>
      <c r="AK401" s="113" t="inlineStr">
        <is>
          <t>N/A</t>
        </is>
      </c>
      <c r="AL401" s="104" t="n">
        <v>-0.07000000000000001</v>
      </c>
      <c r="AM401" s="104" t="n">
        <v>0.22</v>
      </c>
      <c r="AN401" s="113" t="inlineStr">
        <is>
          <t>N/A</t>
        </is>
      </c>
      <c r="AO401" s="104" t="n">
        <v>0.91</v>
      </c>
      <c r="AP401" s="104" t="n">
        <v>0.25</v>
      </c>
      <c r="AQ401" s="113" t="inlineStr">
        <is>
          <t>N/A</t>
        </is>
      </c>
      <c r="AR401" s="113" t="inlineStr">
        <is>
          <t>N/A</t>
        </is>
      </c>
      <c r="AS401" s="104" t="n">
        <v>-0.07000000000000001</v>
      </c>
      <c r="AT401" s="104" t="n">
        <v>0.22</v>
      </c>
      <c r="AU401" s="113" t="inlineStr">
        <is>
          <t>N/A</t>
        </is>
      </c>
      <c r="AV401" s="104" t="n">
        <v>0.91</v>
      </c>
      <c r="AW401" s="113" t="inlineStr">
        <is>
          <t>N/A</t>
        </is>
      </c>
      <c r="AX401" s="113" t="inlineStr">
        <is>
          <t>N/A</t>
        </is>
      </c>
      <c r="AY401" s="104" t="n">
        <v>-0.07000000000000001</v>
      </c>
      <c r="AZ401" s="113" t="inlineStr">
        <is>
          <t>N/A</t>
        </is>
      </c>
      <c r="BA401" s="104" t="n">
        <v>0.71</v>
      </c>
      <c r="BB401" s="104" t="n">
        <v>0.25</v>
      </c>
      <c r="BC401" s="113" t="inlineStr">
        <is>
          <t>N/A</t>
        </is>
      </c>
      <c r="BD401" s="113" t="inlineStr">
        <is>
          <t>N/A</t>
        </is>
      </c>
      <c r="BE401" s="104" t="n">
        <v>0.07000000000000001</v>
      </c>
      <c r="BF401" s="104" t="n">
        <v>0.52</v>
      </c>
      <c r="BG401" s="104" t="n">
        <v>0.44</v>
      </c>
      <c r="BH401" s="104" t="n">
        <v>-1.68</v>
      </c>
      <c r="BI401" s="103" t="n">
        <v>0.16</v>
      </c>
      <c r="BJ401" s="103" t="inlineStr">
        <is>
          <t>Healthy</t>
        </is>
      </c>
      <c r="BK401" s="103" t="n">
        <v>1</v>
      </c>
      <c r="BL401" s="103" t="n">
        <v>1</v>
      </c>
      <c r="BM401" s="103" t="n">
        <v>1</v>
      </c>
      <c r="BN401" s="103" t="n">
        <v>1</v>
      </c>
      <c r="BO401" s="103" t="n">
        <v>0</v>
      </c>
      <c r="BP401" s="103" t="n">
        <v>1</v>
      </c>
      <c r="BQ401" s="103" t="n">
        <v>1</v>
      </c>
      <c r="BR401" s="103" t="n">
        <v>1</v>
      </c>
      <c r="BS401" s="103" t="n">
        <v>1</v>
      </c>
      <c r="BT401" s="103" t="n">
        <v>8</v>
      </c>
      <c r="BU401" s="103" t="inlineStr">
        <is>
          <t>Strong</t>
        </is>
      </c>
      <c r="BV401" s="104" t="n">
        <v>0.83</v>
      </c>
      <c r="BW401" s="104" t="n">
        <v>0.01</v>
      </c>
      <c r="BX401" s="104" t="n">
        <v>0.92</v>
      </c>
      <c r="BY401" s="104" t="n">
        <v>1.77</v>
      </c>
      <c r="BZ401" s="104" t="n">
        <v>0</v>
      </c>
      <c r="CA401" s="104" t="n">
        <v>0.5600000000000001</v>
      </c>
      <c r="CB401" s="104" t="n">
        <v>1.01</v>
      </c>
      <c r="CC401" s="104" t="n">
        <v>-0.04</v>
      </c>
      <c r="CD401" s="103" t="n">
        <v>-2.75</v>
      </c>
      <c r="CE401" s="103" t="inlineStr">
        <is>
          <t>Lower Risk</t>
        </is>
      </c>
      <c r="CF401" s="113" t="inlineStr">
        <is>
          <t>N/A</t>
        </is>
      </c>
      <c r="CG401" s="104" t="n">
        <v>55.47</v>
      </c>
      <c r="CH401" s="103" t="n">
        <v>0</v>
      </c>
      <c r="CI401" s="103" t="inlineStr">
        <is>
          <t>CLEAR</t>
        </is>
      </c>
    </row>
    <row r="402" ht="17" customHeight="1">
      <c r="A402" s="107" t="inlineStr">
        <is>
          <t>DHI</t>
        </is>
      </c>
      <c r="B402" s="107" t="inlineStr">
        <is>
          <t>D.R. Horton, Inc.</t>
        </is>
      </c>
      <c r="C402" s="111" t="inlineStr">
        <is>
          <t>N/A</t>
        </is>
      </c>
      <c r="D402" s="109" t="n">
        <v>0.14</v>
      </c>
      <c r="E402" s="109" t="n">
        <v>0.14</v>
      </c>
      <c r="F402" s="109" t="n">
        <v>0.1</v>
      </c>
      <c r="G402" s="109" t="n">
        <v>0.1</v>
      </c>
      <c r="H402" s="109" t="n">
        <v>0.13</v>
      </c>
      <c r="I402" s="109" t="n">
        <v>0.15</v>
      </c>
      <c r="J402" s="111" t="inlineStr">
        <is>
          <t>N/A</t>
        </is>
      </c>
      <c r="K402" s="109" t="n">
        <v>0</v>
      </c>
      <c r="L402" s="109" t="n">
        <v>0</v>
      </c>
      <c r="M402" s="109" t="n">
        <v>0.97</v>
      </c>
      <c r="N402" s="108" t="n">
        <v>1.02</v>
      </c>
      <c r="O402" s="111" t="inlineStr">
        <is>
          <t>N/A</t>
        </is>
      </c>
      <c r="P402" s="111" t="inlineStr">
        <is>
          <t>N/A</t>
        </is>
      </c>
      <c r="Q402" s="111" t="inlineStr">
        <is>
          <t>N/A</t>
        </is>
      </c>
      <c r="R402" s="111" t="inlineStr">
        <is>
          <t>N/A</t>
        </is>
      </c>
      <c r="S402" s="108" t="n">
        <v>0.3</v>
      </c>
      <c r="T402" s="108" t="n">
        <v>0.28</v>
      </c>
      <c r="U402" s="111" t="inlineStr">
        <is>
          <t>N/A</t>
        </is>
      </c>
      <c r="V402" s="111" t="inlineStr">
        <is>
          <t>N/A</t>
        </is>
      </c>
      <c r="W402" s="108" t="n">
        <v>0.95</v>
      </c>
      <c r="X402" s="109" t="n">
        <v>0.1</v>
      </c>
      <c r="Y402" s="111" t="inlineStr">
        <is>
          <t>N/A</t>
        </is>
      </c>
      <c r="Z402" s="111" t="inlineStr">
        <is>
          <t>N/A</t>
        </is>
      </c>
      <c r="AA402" s="109" t="n">
        <v>-0.07000000000000001</v>
      </c>
      <c r="AB402" s="109" t="n">
        <v>-0.25</v>
      </c>
      <c r="AC402" s="108" t="n">
        <v>0</v>
      </c>
      <c r="AD402" s="108" t="n">
        <v>0</v>
      </c>
      <c r="AE402" s="111" t="inlineStr">
        <is>
          <t>N/A</t>
        </is>
      </c>
      <c r="AF402" s="108" t="n">
        <v>0.88</v>
      </c>
      <c r="AG402" s="108" t="n">
        <v>0.13</v>
      </c>
      <c r="AH402" s="108" t="n">
        <v>2.25</v>
      </c>
      <c r="AI402" s="108" t="n">
        <v>0.97</v>
      </c>
      <c r="AJ402" s="111" t="inlineStr">
        <is>
          <t>N/A</t>
        </is>
      </c>
      <c r="AK402" s="111" t="inlineStr">
        <is>
          <t>N/A</t>
        </is>
      </c>
      <c r="AL402" s="111" t="inlineStr">
        <is>
          <t>N/A</t>
        </is>
      </c>
      <c r="AM402" s="108" t="n">
        <v>0.88</v>
      </c>
      <c r="AN402" s="108" t="n">
        <v>0.13</v>
      </c>
      <c r="AO402" s="108" t="n">
        <v>2.25</v>
      </c>
      <c r="AP402" s="108" t="n">
        <v>0.97</v>
      </c>
      <c r="AQ402" s="111" t="inlineStr">
        <is>
          <t>N/A</t>
        </is>
      </c>
      <c r="AR402" s="111" t="inlineStr">
        <is>
          <t>N/A</t>
        </is>
      </c>
      <c r="AS402" s="111" t="inlineStr">
        <is>
          <t>N/A</t>
        </is>
      </c>
      <c r="AT402" s="108" t="n">
        <v>0.88</v>
      </c>
      <c r="AU402" s="108" t="n">
        <v>0.13</v>
      </c>
      <c r="AV402" s="108" t="n">
        <v>2.25</v>
      </c>
      <c r="AW402" s="111" t="inlineStr">
        <is>
          <t>N/A</t>
        </is>
      </c>
      <c r="AX402" s="111" t="inlineStr">
        <is>
          <t>N/A</t>
        </is>
      </c>
      <c r="AY402" s="111" t="inlineStr">
        <is>
          <t>N/A</t>
        </is>
      </c>
      <c r="AZ402" s="108" t="n">
        <v>0.13</v>
      </c>
      <c r="BA402" s="111" t="inlineStr">
        <is>
          <t>N/A</t>
        </is>
      </c>
      <c r="BB402" s="108" t="n">
        <v>0.97</v>
      </c>
      <c r="BC402" s="111" t="inlineStr">
        <is>
          <t>N/A</t>
        </is>
      </c>
      <c r="BD402" s="111" t="inlineStr">
        <is>
          <t>N/A</t>
        </is>
      </c>
      <c r="BE402" s="108" t="n">
        <v>0.1</v>
      </c>
      <c r="BF402" s="108" t="n">
        <v>0.3</v>
      </c>
      <c r="BG402" s="111" t="inlineStr">
        <is>
          <t>N/A</t>
        </is>
      </c>
      <c r="BH402" s="111" t="inlineStr">
        <is>
          <t>N/A</t>
        </is>
      </c>
      <c r="BI402" s="111" t="inlineStr">
        <is>
          <t>N/A</t>
        </is>
      </c>
      <c r="BJ402" s="111" t="inlineStr">
        <is>
          <t>N/A</t>
        </is>
      </c>
      <c r="BK402" s="107" t="n">
        <v>1</v>
      </c>
      <c r="BL402" s="107" t="n">
        <v>1</v>
      </c>
      <c r="BM402" s="107" t="n">
        <v>0</v>
      </c>
      <c r="BN402" s="107" t="n">
        <v>0</v>
      </c>
      <c r="BO402" s="107" t="n">
        <v>0</v>
      </c>
      <c r="BP402" s="107" t="n">
        <v>0</v>
      </c>
      <c r="BQ402" s="107" t="n">
        <v>1</v>
      </c>
      <c r="BR402" s="107" t="n">
        <v>1</v>
      </c>
      <c r="BS402" s="107" t="n">
        <v>0</v>
      </c>
      <c r="BT402" s="107" t="n">
        <v>4</v>
      </c>
      <c r="BU402" s="107" t="inlineStr">
        <is>
          <t>Mixed</t>
        </is>
      </c>
      <c r="BV402" s="111" t="inlineStr">
        <is>
          <t>N/A</t>
        </is>
      </c>
      <c r="BW402" s="108" t="n">
        <v>0.88</v>
      </c>
      <c r="BX402" s="108" t="n">
        <v>1</v>
      </c>
      <c r="BY402" s="108" t="n">
        <v>0.93</v>
      </c>
      <c r="BZ402" s="108" t="n">
        <v>0.95</v>
      </c>
      <c r="CA402" s="108" t="n">
        <v>1.1</v>
      </c>
      <c r="CB402" s="108" t="n">
        <v>1.06</v>
      </c>
      <c r="CC402" s="108" t="n">
        <v>0</v>
      </c>
      <c r="CD402" s="111" t="inlineStr">
        <is>
          <t>N/A</t>
        </is>
      </c>
      <c r="CE402" s="111" t="inlineStr">
        <is>
          <t>N/A</t>
        </is>
      </c>
      <c r="CF402" s="111" t="inlineStr">
        <is>
          <t>N/A</t>
        </is>
      </c>
      <c r="CG402" s="108" t="n">
        <v>41.24</v>
      </c>
      <c r="CH402" s="107" t="n">
        <v>0</v>
      </c>
      <c r="CI402" s="107" t="inlineStr">
        <is>
          <t>CLEAR</t>
        </is>
      </c>
    </row>
    <row r="403" ht="17" customHeight="1">
      <c r="A403" s="103" t="inlineStr">
        <is>
          <t>QRVO</t>
        </is>
      </c>
      <c r="B403" s="103" t="inlineStr">
        <is>
          <t>Qorvo, Inc.</t>
        </is>
      </c>
      <c r="C403" s="104" t="n">
        <v>1593557000</v>
      </c>
      <c r="D403" s="105" t="n">
        <v>0.11</v>
      </c>
      <c r="E403" s="105" t="n">
        <v>0.11</v>
      </c>
      <c r="F403" s="105" t="n">
        <v>0.09</v>
      </c>
      <c r="G403" s="105" t="n">
        <v>0.06</v>
      </c>
      <c r="H403" s="105" t="n">
        <v>0.01</v>
      </c>
      <c r="I403" s="105" t="n">
        <v>0.1</v>
      </c>
      <c r="J403" s="105" t="n">
        <v>0.08</v>
      </c>
      <c r="K403" s="105" t="n">
        <v>0.46</v>
      </c>
      <c r="L403" s="105" t="n">
        <v>0.41</v>
      </c>
      <c r="M403" s="105" t="n">
        <v>0.63</v>
      </c>
      <c r="N403" s="104" t="n">
        <v>0.63</v>
      </c>
      <c r="O403" s="104" t="n">
        <v>3.24</v>
      </c>
      <c r="P403" s="104" t="n">
        <v>2.77</v>
      </c>
      <c r="Q403" s="104" t="n">
        <v>2.46</v>
      </c>
      <c r="R403" s="104" t="n">
        <v>1.71</v>
      </c>
      <c r="S403" s="104" t="n">
        <v>0.43</v>
      </c>
      <c r="T403" s="104" t="n">
        <v>0.43</v>
      </c>
      <c r="U403" s="104" t="n">
        <v>0.46</v>
      </c>
      <c r="V403" s="104" t="n">
        <v>0.1</v>
      </c>
      <c r="W403" s="104" t="n">
        <v>2.39</v>
      </c>
      <c r="X403" s="105" t="n">
        <v>0.18</v>
      </c>
      <c r="Y403" s="105" t="n">
        <v>0.2</v>
      </c>
      <c r="Z403" s="105" t="n">
        <v>5.63</v>
      </c>
      <c r="AA403" s="105" t="n">
        <v>-0.01</v>
      </c>
      <c r="AB403" s="105" t="n">
        <v>5.1</v>
      </c>
      <c r="AC403" s="104" t="n">
        <v>-0.08</v>
      </c>
      <c r="AD403" s="104" t="n">
        <v>-0.08</v>
      </c>
      <c r="AE403" s="104" t="n">
        <v>0.27</v>
      </c>
      <c r="AF403" s="104" t="n">
        <v>0.01</v>
      </c>
      <c r="AG403" s="104" t="n">
        <v>0.07000000000000001</v>
      </c>
      <c r="AH403" s="104" t="n">
        <v>1.35</v>
      </c>
      <c r="AI403" s="104" t="n">
        <v>0.63</v>
      </c>
      <c r="AJ403" s="104" t="n">
        <v>2.01</v>
      </c>
      <c r="AK403" s="106" t="inlineStr">
        <is>
          <t>Grey</t>
        </is>
      </c>
      <c r="AL403" s="104" t="n">
        <v>0.27</v>
      </c>
      <c r="AM403" s="104" t="n">
        <v>0.01</v>
      </c>
      <c r="AN403" s="104" t="n">
        <v>0.07000000000000001</v>
      </c>
      <c r="AO403" s="104" t="n">
        <v>1.35</v>
      </c>
      <c r="AP403" s="104" t="n">
        <v>0.63</v>
      </c>
      <c r="AQ403" s="103" t="n">
        <v>1.62</v>
      </c>
      <c r="AR403" s="103" t="inlineStr">
        <is>
          <t>Grey</t>
        </is>
      </c>
      <c r="AS403" s="104" t="n">
        <v>0.27</v>
      </c>
      <c r="AT403" s="104" t="n">
        <v>0.01</v>
      </c>
      <c r="AU403" s="104" t="n">
        <v>0.07000000000000001</v>
      </c>
      <c r="AV403" s="104" t="n">
        <v>1.35</v>
      </c>
      <c r="AW403" s="103" t="n">
        <v>3.71</v>
      </c>
      <c r="AX403" s="103" t="inlineStr">
        <is>
          <t>Safe</t>
        </is>
      </c>
      <c r="AY403" s="104" t="n">
        <v>0.27</v>
      </c>
      <c r="AZ403" s="104" t="n">
        <v>0.07000000000000001</v>
      </c>
      <c r="BA403" s="104" t="n">
        <v>0.5600000000000001</v>
      </c>
      <c r="BB403" s="104" t="n">
        <v>0.63</v>
      </c>
      <c r="BC403" s="103" t="n">
        <v>1.12</v>
      </c>
      <c r="BD403" s="103" t="inlineStr">
        <is>
          <t>Healthy</t>
        </is>
      </c>
      <c r="BE403" s="104" t="n">
        <v>0.06</v>
      </c>
      <c r="BF403" s="104" t="n">
        <v>0.43</v>
      </c>
      <c r="BG403" s="104" t="n">
        <v>3.24</v>
      </c>
      <c r="BH403" s="104" t="n">
        <v>-2.17</v>
      </c>
      <c r="BI403" s="103" t="n">
        <v>0.1</v>
      </c>
      <c r="BJ403" s="103" t="inlineStr">
        <is>
          <t>Healthy</t>
        </is>
      </c>
      <c r="BK403" s="103" t="n">
        <v>1</v>
      </c>
      <c r="BL403" s="103" t="n">
        <v>1</v>
      </c>
      <c r="BM403" s="103" t="n">
        <v>1</v>
      </c>
      <c r="BN403" s="103" t="n">
        <v>1</v>
      </c>
      <c r="BO403" s="103" t="n">
        <v>0</v>
      </c>
      <c r="BP403" s="103" t="n">
        <v>1</v>
      </c>
      <c r="BQ403" s="103" t="n">
        <v>1</v>
      </c>
      <c r="BR403" s="103" t="n">
        <v>1</v>
      </c>
      <c r="BS403" s="103" t="n">
        <v>1</v>
      </c>
      <c r="BT403" s="103" t="n">
        <v>8</v>
      </c>
      <c r="BU403" s="103" t="inlineStr">
        <is>
          <t>Strong</t>
        </is>
      </c>
      <c r="BV403" s="104" t="n">
        <v>1</v>
      </c>
      <c r="BW403" s="104" t="n">
        <v>0.9</v>
      </c>
      <c r="BX403" s="104" t="n">
        <v>0.97</v>
      </c>
      <c r="BY403" s="104" t="n">
        <v>0.99</v>
      </c>
      <c r="BZ403" s="104" t="n">
        <v>0.96</v>
      </c>
      <c r="CA403" s="104" t="n">
        <v>1.1</v>
      </c>
      <c r="CB403" s="104" t="n">
        <v>0.99</v>
      </c>
      <c r="CC403" s="104" t="n">
        <v>-0.08</v>
      </c>
      <c r="CD403" s="103" t="n">
        <v>-2.95</v>
      </c>
      <c r="CE403" s="103" t="inlineStr">
        <is>
          <t>Lower Risk</t>
        </is>
      </c>
      <c r="CF403" s="104" t="n">
        <v>0.59</v>
      </c>
      <c r="CG403" s="104" t="n">
        <v>61.72</v>
      </c>
      <c r="CH403" s="103" t="n">
        <v>0</v>
      </c>
      <c r="CI403" s="103" t="inlineStr">
        <is>
          <t>CLEAR</t>
        </is>
      </c>
    </row>
    <row r="404" ht="17" customHeight="1">
      <c r="A404" s="107" t="inlineStr">
        <is>
          <t>STLD</t>
        </is>
      </c>
      <c r="B404" s="107" t="inlineStr">
        <is>
          <t>Steel Dynamics, Inc.</t>
        </is>
      </c>
      <c r="C404" s="108" t="n">
        <v>4361917000</v>
      </c>
      <c r="D404" s="109" t="n">
        <v>0.07000000000000001</v>
      </c>
      <c r="E404" s="109" t="n">
        <v>0.07000000000000001</v>
      </c>
      <c r="F404" s="109" t="n">
        <v>0.05</v>
      </c>
      <c r="G404" s="109" t="n">
        <v>0.07000000000000001</v>
      </c>
      <c r="H404" s="109" t="n">
        <v>0.1</v>
      </c>
      <c r="I404" s="109" t="n">
        <v>0.13</v>
      </c>
      <c r="J404" s="109" t="n">
        <v>0.1</v>
      </c>
      <c r="K404" s="109" t="n">
        <v>0.11</v>
      </c>
      <c r="L404" s="109" t="n">
        <v>0.15</v>
      </c>
      <c r="M404" s="109" t="n">
        <v>1.36</v>
      </c>
      <c r="N404" s="108" t="n">
        <v>1.23</v>
      </c>
      <c r="O404" s="108" t="n">
        <v>3.06</v>
      </c>
      <c r="P404" s="108" t="n">
        <v>2.53</v>
      </c>
      <c r="Q404" s="108" t="n">
        <v>1.29</v>
      </c>
      <c r="R404" s="108" t="n">
        <v>0.36</v>
      </c>
      <c r="S404" s="108" t="n">
        <v>0.46</v>
      </c>
      <c r="T404" s="108" t="n">
        <v>0.4</v>
      </c>
      <c r="U404" s="108" t="n">
        <v>0.47</v>
      </c>
      <c r="V404" s="108" t="n">
        <v>0.39</v>
      </c>
      <c r="W404" s="108" t="n">
        <v>1.22</v>
      </c>
      <c r="X404" s="109" t="n">
        <v>0.02</v>
      </c>
      <c r="Y404" s="109" t="n">
        <v>0</v>
      </c>
      <c r="Z404" s="109" t="n">
        <v>19.3</v>
      </c>
      <c r="AA404" s="109" t="n">
        <v>0.21</v>
      </c>
      <c r="AB404" s="109" t="n">
        <v>-0.23</v>
      </c>
      <c r="AC404" s="108" t="n">
        <v>-0.02</v>
      </c>
      <c r="AD404" s="108" t="n">
        <v>-0.02</v>
      </c>
      <c r="AE404" s="108" t="n">
        <v>0.27</v>
      </c>
      <c r="AF404" s="108" t="n">
        <v>0.96</v>
      </c>
      <c r="AG404" s="108" t="n">
        <v>0.09</v>
      </c>
      <c r="AH404" s="108" t="n">
        <v>1.2</v>
      </c>
      <c r="AI404" s="108" t="n">
        <v>1.36</v>
      </c>
      <c r="AJ404" s="108" t="n">
        <v>4.03</v>
      </c>
      <c r="AK404" s="110" t="inlineStr">
        <is>
          <t>Safe</t>
        </is>
      </c>
      <c r="AL404" s="108" t="n">
        <v>0.27</v>
      </c>
      <c r="AM404" s="108" t="n">
        <v>0.96</v>
      </c>
      <c r="AN404" s="108" t="n">
        <v>0.09</v>
      </c>
      <c r="AO404" s="108" t="n">
        <v>1.2</v>
      </c>
      <c r="AP404" s="108" t="n">
        <v>1.36</v>
      </c>
      <c r="AQ404" s="107" t="n">
        <v>3.13</v>
      </c>
      <c r="AR404" s="107" t="inlineStr">
        <is>
          <t>Safe</t>
        </is>
      </c>
      <c r="AS404" s="108" t="n">
        <v>0.27</v>
      </c>
      <c r="AT404" s="108" t="n">
        <v>0.96</v>
      </c>
      <c r="AU404" s="108" t="n">
        <v>0.09</v>
      </c>
      <c r="AV404" s="108" t="n">
        <v>1.2</v>
      </c>
      <c r="AW404" s="107" t="n">
        <v>6.72</v>
      </c>
      <c r="AX404" s="107" t="inlineStr">
        <is>
          <t>Safe</t>
        </is>
      </c>
      <c r="AY404" s="108" t="n">
        <v>0.27</v>
      </c>
      <c r="AZ404" s="108" t="n">
        <v>0.09</v>
      </c>
      <c r="BA404" s="108" t="n">
        <v>0.7</v>
      </c>
      <c r="BB404" s="108" t="n">
        <v>1.36</v>
      </c>
      <c r="BC404" s="107" t="n">
        <v>1.56</v>
      </c>
      <c r="BD404" s="107" t="inlineStr">
        <is>
          <t>Healthy</t>
        </is>
      </c>
      <c r="BE404" s="108" t="n">
        <v>0.07000000000000001</v>
      </c>
      <c r="BF404" s="108" t="n">
        <v>0.46</v>
      </c>
      <c r="BG404" s="108" t="n">
        <v>3.06</v>
      </c>
      <c r="BH404" s="108" t="n">
        <v>-2.06</v>
      </c>
      <c r="BI404" s="107" t="n">
        <v>0.11</v>
      </c>
      <c r="BJ404" s="107" t="inlineStr">
        <is>
          <t>Healthy</t>
        </is>
      </c>
      <c r="BK404" s="107" t="n">
        <v>1</v>
      </c>
      <c r="BL404" s="107" t="n">
        <v>1</v>
      </c>
      <c r="BM404" s="107" t="n">
        <v>0</v>
      </c>
      <c r="BN404" s="107" t="n">
        <v>1</v>
      </c>
      <c r="BO404" s="107" t="n">
        <v>0</v>
      </c>
      <c r="BP404" s="107" t="n">
        <v>1</v>
      </c>
      <c r="BQ404" s="107" t="n">
        <v>1</v>
      </c>
      <c r="BR404" s="107" t="n">
        <v>0</v>
      </c>
      <c r="BS404" s="107" t="n">
        <v>1</v>
      </c>
      <c r="BT404" s="107" t="n">
        <v>6</v>
      </c>
      <c r="BU404" s="107" t="inlineStr">
        <is>
          <t>Mixed</t>
        </is>
      </c>
      <c r="BV404" s="108" t="n">
        <v>0.86</v>
      </c>
      <c r="BW404" s="108" t="n">
        <v>1.42</v>
      </c>
      <c r="BX404" s="108" t="n">
        <v>0.9</v>
      </c>
      <c r="BY404" s="108" t="n">
        <v>1.21</v>
      </c>
      <c r="BZ404" s="108" t="n">
        <v>1</v>
      </c>
      <c r="CA404" s="108" t="n">
        <v>0.95</v>
      </c>
      <c r="CB404" s="108" t="n">
        <v>1.14</v>
      </c>
      <c r="CC404" s="108" t="n">
        <v>-0.02</v>
      </c>
      <c r="CD404" s="107" t="n">
        <v>-2.36</v>
      </c>
      <c r="CE404" s="107" t="inlineStr">
        <is>
          <t>Lower Risk</t>
        </is>
      </c>
      <c r="CF404" s="108" t="n">
        <v>2.05</v>
      </c>
      <c r="CG404" s="108" t="n">
        <v>59.07</v>
      </c>
      <c r="CH404" s="107" t="n">
        <v>0</v>
      </c>
      <c r="CI404" s="107" t="inlineStr">
        <is>
          <t>CLEAR</t>
        </is>
      </c>
    </row>
    <row r="405" ht="17" customHeight="1">
      <c r="A405" s="103" t="inlineStr">
        <is>
          <t>LMT</t>
        </is>
      </c>
      <c r="B405" s="103" t="inlineStr">
        <is>
          <t>LOCKHEED MARTIN CORPORATION</t>
        </is>
      </c>
      <c r="C405" s="104" t="n">
        <v>2027000000</v>
      </c>
      <c r="D405" s="105" t="n">
        <v>0.1</v>
      </c>
      <c r="E405" s="105" t="n">
        <v>0.08</v>
      </c>
      <c r="F405" s="105" t="n">
        <v>0.07000000000000001</v>
      </c>
      <c r="G405" s="105" t="n">
        <v>0.08</v>
      </c>
      <c r="H405" s="105" t="n">
        <v>0.1</v>
      </c>
      <c r="I405" s="105" t="n">
        <v>0.75</v>
      </c>
      <c r="J405" s="105" t="n">
        <v>0.21</v>
      </c>
      <c r="K405" s="105" t="n">
        <v>0.1</v>
      </c>
      <c r="L405" s="105" t="n">
        <v>0.1</v>
      </c>
      <c r="M405" s="105" t="n">
        <v>1.25</v>
      </c>
      <c r="N405" s="104" t="n">
        <v>1.28</v>
      </c>
      <c r="O405" s="104" t="n">
        <v>1.09</v>
      </c>
      <c r="P405" s="104" t="n">
        <v>1.13</v>
      </c>
      <c r="Q405" s="104" t="n">
        <v>0.9399999999999999</v>
      </c>
      <c r="R405" s="104" t="n">
        <v>0.18</v>
      </c>
      <c r="S405" s="104" t="n">
        <v>0.89</v>
      </c>
      <c r="T405" s="104" t="n">
        <v>0.89</v>
      </c>
      <c r="U405" s="104" t="n">
        <v>3.23</v>
      </c>
      <c r="V405" s="104" t="n">
        <v>2.62</v>
      </c>
      <c r="W405" s="104" t="n">
        <v>1.71</v>
      </c>
      <c r="X405" s="105" t="n">
        <v>0.1</v>
      </c>
      <c r="Y405" s="105" t="n">
        <v>0.03</v>
      </c>
      <c r="Z405" s="105" t="n">
        <v>8.44</v>
      </c>
      <c r="AA405" s="105" t="n">
        <v>0.06</v>
      </c>
      <c r="AB405" s="105" t="n">
        <v>-0.06</v>
      </c>
      <c r="AC405" s="104" t="n">
        <v>-0.06</v>
      </c>
      <c r="AD405" s="104" t="n">
        <v>-0.06</v>
      </c>
      <c r="AE405" s="104" t="n">
        <v>0.03</v>
      </c>
      <c r="AF405" s="104" t="n">
        <v>0.23</v>
      </c>
      <c r="AG405" s="104" t="n">
        <v>0.13</v>
      </c>
      <c r="AH405" s="104" t="n">
        <v>0.13</v>
      </c>
      <c r="AI405" s="104" t="n">
        <v>1.25</v>
      </c>
      <c r="AJ405" s="104" t="n">
        <v>2.13</v>
      </c>
      <c r="AK405" s="106" t="inlineStr">
        <is>
          <t>Grey</t>
        </is>
      </c>
      <c r="AL405" s="104" t="n">
        <v>0.03</v>
      </c>
      <c r="AM405" s="104" t="n">
        <v>0.23</v>
      </c>
      <c r="AN405" s="104" t="n">
        <v>0.13</v>
      </c>
      <c r="AO405" s="104" t="n">
        <v>0.13</v>
      </c>
      <c r="AP405" s="104" t="n">
        <v>1.25</v>
      </c>
      <c r="AQ405" s="103" t="n">
        <v>1.93</v>
      </c>
      <c r="AR405" s="103" t="inlineStr">
        <is>
          <t>Grey</t>
        </is>
      </c>
      <c r="AS405" s="104" t="n">
        <v>0.03</v>
      </c>
      <c r="AT405" s="104" t="n">
        <v>0.23</v>
      </c>
      <c r="AU405" s="104" t="n">
        <v>0.13</v>
      </c>
      <c r="AV405" s="104" t="n">
        <v>0.13</v>
      </c>
      <c r="AW405" s="103" t="n">
        <v>1.99</v>
      </c>
      <c r="AX405" s="103" t="inlineStr">
        <is>
          <t>Grey</t>
        </is>
      </c>
      <c r="AY405" s="104" t="n">
        <v>0.03</v>
      </c>
      <c r="AZ405" s="104" t="n">
        <v>0.13</v>
      </c>
      <c r="BA405" s="104" t="n">
        <v>0.25</v>
      </c>
      <c r="BB405" s="104" t="n">
        <v>1.25</v>
      </c>
      <c r="BC405" s="103" t="n">
        <v>1.1</v>
      </c>
      <c r="BD405" s="103" t="inlineStr">
        <is>
          <t>Healthy</t>
        </is>
      </c>
      <c r="BE405" s="104" t="n">
        <v>0.08</v>
      </c>
      <c r="BF405" s="104" t="n">
        <v>0.89</v>
      </c>
      <c r="BG405" s="104" t="n">
        <v>1.09</v>
      </c>
      <c r="BH405" s="104" t="n">
        <v>0.33</v>
      </c>
      <c r="BI405" s="103" t="n">
        <v>0.58</v>
      </c>
      <c r="BJ405" s="103" t="inlineStr">
        <is>
          <t>Distress</t>
        </is>
      </c>
      <c r="BK405" s="103" t="n">
        <v>1</v>
      </c>
      <c r="BL405" s="103" t="n">
        <v>1</v>
      </c>
      <c r="BM405" s="103" t="n">
        <v>0</v>
      </c>
      <c r="BN405" s="103" t="n">
        <v>1</v>
      </c>
      <c r="BO405" s="103" t="n">
        <v>1</v>
      </c>
      <c r="BP405" s="103" t="n">
        <v>0</v>
      </c>
      <c r="BQ405" s="103" t="n">
        <v>1</v>
      </c>
      <c r="BR405" s="103" t="n">
        <v>1</v>
      </c>
      <c r="BS405" s="103" t="n">
        <v>0</v>
      </c>
      <c r="BT405" s="103" t="n">
        <v>6</v>
      </c>
      <c r="BU405" s="103" t="inlineStr">
        <is>
          <t>Mixed</t>
        </is>
      </c>
      <c r="BV405" s="104" t="n">
        <v>1.57</v>
      </c>
      <c r="BW405" s="104" t="n">
        <v>0.96</v>
      </c>
      <c r="BX405" s="104" t="n">
        <v>0.95</v>
      </c>
      <c r="BY405" s="104" t="n">
        <v>1.06</v>
      </c>
      <c r="BZ405" s="104" t="n">
        <v>0.95</v>
      </c>
      <c r="CA405" s="113" t="inlineStr">
        <is>
          <t>N/A</t>
        </is>
      </c>
      <c r="CB405" s="104" t="n">
        <v>1</v>
      </c>
      <c r="CC405" s="104" t="n">
        <v>-0.06</v>
      </c>
      <c r="CD405" s="103" t="n">
        <v>-2.06</v>
      </c>
      <c r="CE405" s="103" t="inlineStr">
        <is>
          <t>Higher Risk</t>
        </is>
      </c>
      <c r="CF405" s="104" t="n">
        <v>1.87</v>
      </c>
      <c r="CG405" s="104" t="n">
        <v>48.59</v>
      </c>
      <c r="CH405" s="103" t="n">
        <v>20</v>
      </c>
      <c r="CI405" s="103" t="inlineStr">
        <is>
          <t>CLEAR</t>
        </is>
      </c>
    </row>
    <row r="406" ht="17" customHeight="1">
      <c r="A406" s="107" t="inlineStr">
        <is>
          <t>FN</t>
        </is>
      </c>
      <c r="B406" s="107" t="inlineStr">
        <is>
          <t>FABRINET</t>
        </is>
      </c>
      <c r="C406" s="108" t="n">
        <v>1618997000</v>
      </c>
      <c r="D406" s="109" t="n">
        <v>0.09</v>
      </c>
      <c r="E406" s="109" t="n">
        <v>0.1</v>
      </c>
      <c r="F406" s="109" t="n">
        <v>0.1</v>
      </c>
      <c r="G406" s="109" t="n">
        <v>0.12</v>
      </c>
      <c r="H406" s="109" t="n">
        <v>0.13</v>
      </c>
      <c r="I406" s="109" t="n">
        <v>0.17</v>
      </c>
      <c r="J406" s="109" t="n">
        <v>0.16</v>
      </c>
      <c r="K406" s="109" t="n">
        <v>0.12</v>
      </c>
      <c r="L406" s="109" t="n">
        <v>0.12</v>
      </c>
      <c r="M406" s="109" t="n">
        <v>1.21</v>
      </c>
      <c r="N406" s="108" t="n">
        <v>1.23</v>
      </c>
      <c r="O406" s="108" t="n">
        <v>3</v>
      </c>
      <c r="P406" s="108" t="n">
        <v>3.61</v>
      </c>
      <c r="Q406" s="108" t="n">
        <v>2.28</v>
      </c>
      <c r="R406" s="108" t="n">
        <v>0.38</v>
      </c>
      <c r="S406" s="108" t="n">
        <v>0.3</v>
      </c>
      <c r="T406" s="108" t="n">
        <v>0.25</v>
      </c>
      <c r="U406" s="108" t="n">
        <v>0.02</v>
      </c>
      <c r="V406" s="108" t="n">
        <v>-0.14</v>
      </c>
      <c r="W406" s="108" t="n">
        <v>0.99</v>
      </c>
      <c r="X406" s="109" t="n">
        <v>0.06</v>
      </c>
      <c r="Y406" s="111" t="inlineStr">
        <is>
          <t>N/A</t>
        </is>
      </c>
      <c r="Z406" s="109" t="n">
        <v>220.41</v>
      </c>
      <c r="AA406" s="109" t="n">
        <v>0.19</v>
      </c>
      <c r="AB406" s="109" t="n">
        <v>0.12</v>
      </c>
      <c r="AC406" s="108" t="n">
        <v>0</v>
      </c>
      <c r="AD406" s="108" t="n">
        <v>0</v>
      </c>
      <c r="AE406" s="108" t="n">
        <v>0.57</v>
      </c>
      <c r="AF406" s="108" t="n">
        <v>0.74</v>
      </c>
      <c r="AG406" s="108" t="n">
        <v>0.11</v>
      </c>
      <c r="AH406" s="108" t="n">
        <v>2.33</v>
      </c>
      <c r="AI406" s="108" t="n">
        <v>1.21</v>
      </c>
      <c r="AJ406" s="108" t="n">
        <v>4.71</v>
      </c>
      <c r="AK406" s="110" t="inlineStr">
        <is>
          <t>Safe</t>
        </is>
      </c>
      <c r="AL406" s="108" t="n">
        <v>0.57</v>
      </c>
      <c r="AM406" s="108" t="n">
        <v>0.74</v>
      </c>
      <c r="AN406" s="108" t="n">
        <v>0.11</v>
      </c>
      <c r="AO406" s="108" t="n">
        <v>2.33</v>
      </c>
      <c r="AP406" s="108" t="n">
        <v>1.21</v>
      </c>
      <c r="AQ406" s="107" t="n">
        <v>3.58</v>
      </c>
      <c r="AR406" s="107" t="inlineStr">
        <is>
          <t>Safe</t>
        </is>
      </c>
      <c r="AS406" s="108" t="n">
        <v>0.57</v>
      </c>
      <c r="AT406" s="108" t="n">
        <v>0.74</v>
      </c>
      <c r="AU406" s="108" t="n">
        <v>0.11</v>
      </c>
      <c r="AV406" s="108" t="n">
        <v>2.33</v>
      </c>
      <c r="AW406" s="107" t="n">
        <v>9.380000000000001</v>
      </c>
      <c r="AX406" s="107" t="inlineStr">
        <is>
          <t>Safe</t>
        </is>
      </c>
      <c r="AY406" s="108" t="n">
        <v>0.57</v>
      </c>
      <c r="AZ406" s="108" t="n">
        <v>0.11</v>
      </c>
      <c r="BA406" s="108" t="n">
        <v>0.44</v>
      </c>
      <c r="BB406" s="108" t="n">
        <v>1.21</v>
      </c>
      <c r="BC406" s="107" t="n">
        <v>1.71</v>
      </c>
      <c r="BD406" s="107" t="inlineStr">
        <is>
          <t>Healthy</t>
        </is>
      </c>
      <c r="BE406" s="108" t="n">
        <v>0.12</v>
      </c>
      <c r="BF406" s="108" t="n">
        <v>0.3</v>
      </c>
      <c r="BG406" s="108" t="n">
        <v>3</v>
      </c>
      <c r="BH406" s="108" t="n">
        <v>-3.15</v>
      </c>
      <c r="BI406" s="107" t="n">
        <v>0.04</v>
      </c>
      <c r="BJ406" s="107" t="inlineStr">
        <is>
          <t>Healthy</t>
        </is>
      </c>
      <c r="BK406" s="107" t="n">
        <v>1</v>
      </c>
      <c r="BL406" s="107" t="n">
        <v>1</v>
      </c>
      <c r="BM406" s="107" t="n">
        <v>0</v>
      </c>
      <c r="BN406" s="107" t="n">
        <v>0</v>
      </c>
      <c r="BO406" s="107" t="n">
        <v>1</v>
      </c>
      <c r="BP406" s="107" t="n">
        <v>0</v>
      </c>
      <c r="BQ406" s="107" t="n">
        <v>1</v>
      </c>
      <c r="BR406" s="107" t="n">
        <v>0</v>
      </c>
      <c r="BS406" s="107" t="n">
        <v>0</v>
      </c>
      <c r="BT406" s="107" t="n">
        <v>4</v>
      </c>
      <c r="BU406" s="107" t="inlineStr">
        <is>
          <t>Mixed</t>
        </is>
      </c>
      <c r="BV406" s="108" t="n">
        <v>1.08</v>
      </c>
      <c r="BW406" s="108" t="n">
        <v>1.02</v>
      </c>
      <c r="BX406" s="108" t="n">
        <v>0.98</v>
      </c>
      <c r="BY406" s="108" t="n">
        <v>1.19</v>
      </c>
      <c r="BZ406" s="108" t="n">
        <v>1.12</v>
      </c>
      <c r="CA406" s="108" t="n">
        <v>0.9399999999999999</v>
      </c>
      <c r="CB406" s="108" t="n">
        <v>1.18</v>
      </c>
      <c r="CC406" s="108" t="n">
        <v>0</v>
      </c>
      <c r="CD406" s="107" t="n">
        <v>-2.27</v>
      </c>
      <c r="CE406" s="107" t="inlineStr">
        <is>
          <t>Lower Risk</t>
        </is>
      </c>
      <c r="CF406" s="108" t="n">
        <v>-0.73</v>
      </c>
      <c r="CG406" s="108" t="n">
        <v>53.77</v>
      </c>
      <c r="CH406" s="107" t="n">
        <v>0</v>
      </c>
      <c r="CI406" s="107" t="inlineStr">
        <is>
          <t>CLEAR</t>
        </is>
      </c>
    </row>
    <row r="407" ht="17" customHeight="1">
      <c r="A407" s="103" t="inlineStr">
        <is>
          <t>DD</t>
        </is>
      </c>
      <c r="B407" s="103" t="inlineStr">
        <is>
          <t>DUPONT DE NEMOURS, INC.</t>
        </is>
      </c>
      <c r="C407" s="104" t="n">
        <v>3270000000</v>
      </c>
      <c r="D407" s="105" t="n">
        <v>0.01</v>
      </c>
      <c r="E407" s="105" t="n">
        <v>0.01</v>
      </c>
      <c r="F407" s="105" t="n">
        <v>-0.04</v>
      </c>
      <c r="G407" s="105" t="n">
        <v>-0.04</v>
      </c>
      <c r="H407" s="105" t="n">
        <v>-0</v>
      </c>
      <c r="I407" s="105" t="n">
        <v>-0.06</v>
      </c>
      <c r="J407" s="105" t="n">
        <v>0.01</v>
      </c>
      <c r="K407" s="105" t="n">
        <v>1.01</v>
      </c>
      <c r="L407" s="105" t="n">
        <v>0.86</v>
      </c>
      <c r="M407" s="105" t="n">
        <v>0.95</v>
      </c>
      <c r="N407" s="104" t="n">
        <v>0.14</v>
      </c>
      <c r="O407" s="104" t="n">
        <v>2.42</v>
      </c>
      <c r="P407" s="104" t="n">
        <v>1.33</v>
      </c>
      <c r="Q407" s="104" t="n">
        <v>1.91</v>
      </c>
      <c r="R407" s="104" t="n">
        <v>0.31</v>
      </c>
      <c r="S407" s="104" t="n">
        <v>0.35</v>
      </c>
      <c r="T407" s="104" t="n">
        <v>0.35</v>
      </c>
      <c r="U407" s="104" t="n">
        <v>0.57</v>
      </c>
      <c r="V407" s="104" t="n">
        <v>0.52</v>
      </c>
      <c r="W407" s="104" t="n">
        <v>-0.75</v>
      </c>
      <c r="X407" s="105" t="n">
        <v>0.01</v>
      </c>
      <c r="Y407" s="105" t="n">
        <v>0.01</v>
      </c>
      <c r="Z407" s="113" t="inlineStr">
        <is>
          <t>N/A</t>
        </is>
      </c>
      <c r="AA407" s="105" t="n">
        <v>2.88</v>
      </c>
      <c r="AB407" s="105" t="n">
        <v>5.18</v>
      </c>
      <c r="AC407" s="104" t="n">
        <v>-0.06</v>
      </c>
      <c r="AD407" s="104" t="n">
        <v>-0.06</v>
      </c>
      <c r="AE407" s="104" t="n">
        <v>0.15</v>
      </c>
      <c r="AF407" s="104" t="n">
        <v>-1.13</v>
      </c>
      <c r="AG407" s="104" t="n">
        <v>0.01</v>
      </c>
      <c r="AH407" s="104" t="n">
        <v>1.86</v>
      </c>
      <c r="AI407" s="104" t="n">
        <v>0.95</v>
      </c>
      <c r="AJ407" s="104" t="n">
        <v>0.7</v>
      </c>
      <c r="AK407" s="112" t="inlineStr">
        <is>
          <t>Distress</t>
        </is>
      </c>
      <c r="AL407" s="104" t="n">
        <v>0.15</v>
      </c>
      <c r="AM407" s="104" t="n">
        <v>-1.13</v>
      </c>
      <c r="AN407" s="104" t="n">
        <v>0.01</v>
      </c>
      <c r="AO407" s="104" t="n">
        <v>1.86</v>
      </c>
      <c r="AP407" s="104" t="n">
        <v>0.95</v>
      </c>
      <c r="AQ407" s="103" t="n">
        <v>0.91</v>
      </c>
      <c r="AR407" s="103" t="inlineStr">
        <is>
          <t>Distress</t>
        </is>
      </c>
      <c r="AS407" s="104" t="n">
        <v>0.15</v>
      </c>
      <c r="AT407" s="104" t="n">
        <v>-1.13</v>
      </c>
      <c r="AU407" s="104" t="n">
        <v>0.01</v>
      </c>
      <c r="AV407" s="104" t="n">
        <v>1.86</v>
      </c>
      <c r="AW407" s="103" t="n">
        <v>-0.66</v>
      </c>
      <c r="AX407" s="103" t="inlineStr">
        <is>
          <t>Distress</t>
        </is>
      </c>
      <c r="AY407" s="104" t="n">
        <v>0.15</v>
      </c>
      <c r="AZ407" s="104" t="n">
        <v>0.01</v>
      </c>
      <c r="BA407" s="104" t="n">
        <v>0.09</v>
      </c>
      <c r="BB407" s="104" t="n">
        <v>0.95</v>
      </c>
      <c r="BC407" s="103" t="n">
        <v>0.62</v>
      </c>
      <c r="BD407" s="103" t="inlineStr">
        <is>
          <t>Distress</t>
        </is>
      </c>
      <c r="BE407" s="104" t="n">
        <v>-0.04</v>
      </c>
      <c r="BF407" s="104" t="n">
        <v>0.35</v>
      </c>
      <c r="BG407" s="104" t="n">
        <v>2.42</v>
      </c>
      <c r="BH407" s="104" t="n">
        <v>-2.2</v>
      </c>
      <c r="BI407" s="103" t="n">
        <v>0.1</v>
      </c>
      <c r="BJ407" s="103" t="inlineStr">
        <is>
          <t>Healthy</t>
        </is>
      </c>
      <c r="BK407" s="103" t="n">
        <v>0</v>
      </c>
      <c r="BL407" s="103" t="n">
        <v>1</v>
      </c>
      <c r="BM407" s="103" t="n">
        <v>0</v>
      </c>
      <c r="BN407" s="103" t="n">
        <v>1</v>
      </c>
      <c r="BO407" s="103" t="n">
        <v>0</v>
      </c>
      <c r="BP407" s="103" t="n">
        <v>1</v>
      </c>
      <c r="BQ407" s="103" t="n">
        <v>1</v>
      </c>
      <c r="BR407" s="103" t="n">
        <v>1</v>
      </c>
      <c r="BS407" s="103" t="n">
        <v>1</v>
      </c>
      <c r="BT407" s="103" t="n">
        <v>6</v>
      </c>
      <c r="BU407" s="103" t="inlineStr">
        <is>
          <t>Mixed</t>
        </is>
      </c>
      <c r="BV407" s="104" t="n">
        <v>0.15</v>
      </c>
      <c r="BW407" s="104" t="n">
        <v>0.85</v>
      </c>
      <c r="BX407" s="104" t="n">
        <v>0.51</v>
      </c>
      <c r="BY407" s="104" t="n">
        <v>3.88</v>
      </c>
      <c r="BZ407" s="104" t="n">
        <v>1.73</v>
      </c>
      <c r="CA407" s="104" t="n">
        <v>0.17</v>
      </c>
      <c r="CB407" s="104" t="n">
        <v>0.99</v>
      </c>
      <c r="CC407" s="104" t="n">
        <v>-0.06</v>
      </c>
      <c r="CD407" s="103" t="n">
        <v>-1.03</v>
      </c>
      <c r="CE407" s="103" t="inlineStr">
        <is>
          <t>Higher Risk</t>
        </is>
      </c>
      <c r="CF407" s="104" t="n">
        <v>8.51</v>
      </c>
      <c r="CG407" s="104" t="n">
        <v>46.94</v>
      </c>
      <c r="CH407" s="112" t="n">
        <v>60</v>
      </c>
      <c r="CI407" s="103" t="inlineStr">
        <is>
          <t>RED FLAG</t>
        </is>
      </c>
    </row>
    <row r="408" ht="17" customHeight="1">
      <c r="A408" s="107" t="inlineStr">
        <is>
          <t>DE</t>
        </is>
      </c>
      <c r="B408" s="107" t="inlineStr">
        <is>
          <t>DEERE &amp; CO</t>
        </is>
      </c>
      <c r="C408" s="111" t="inlineStr">
        <is>
          <t>N/A</t>
        </is>
      </c>
      <c r="D408" s="109" t="n">
        <v>0.2</v>
      </c>
      <c r="E408" s="109" t="n">
        <v>0.06</v>
      </c>
      <c r="F408" s="109" t="n">
        <v>0.11</v>
      </c>
      <c r="G408" s="109" t="n">
        <v>0.05</v>
      </c>
      <c r="H408" s="109" t="n">
        <v>0.07000000000000001</v>
      </c>
      <c r="I408" s="109" t="n">
        <v>0.19</v>
      </c>
      <c r="J408" s="111" t="inlineStr">
        <is>
          <t>N/A</t>
        </is>
      </c>
      <c r="K408" s="109" t="n">
        <v>0.05</v>
      </c>
      <c r="L408" s="109" t="n">
        <v>0.04</v>
      </c>
      <c r="M408" s="109" t="n">
        <v>0.43</v>
      </c>
      <c r="N408" s="108" t="n">
        <v>0.48</v>
      </c>
      <c r="O408" s="111" t="inlineStr">
        <is>
          <t>N/A</t>
        </is>
      </c>
      <c r="P408" s="111" t="inlineStr">
        <is>
          <t>N/A</t>
        </is>
      </c>
      <c r="Q408" s="111" t="inlineStr">
        <is>
          <t>N/A</t>
        </is>
      </c>
      <c r="R408" s="111" t="inlineStr">
        <is>
          <t>N/A</t>
        </is>
      </c>
      <c r="S408" s="108" t="n">
        <v>0.75</v>
      </c>
      <c r="T408" s="108" t="n">
        <v>0.79</v>
      </c>
      <c r="U408" s="108" t="n">
        <v>1.8</v>
      </c>
      <c r="V408" s="108" t="n">
        <v>1.48</v>
      </c>
      <c r="W408" s="108" t="n">
        <v>1.48</v>
      </c>
      <c r="X408" s="109" t="n">
        <v>0.13</v>
      </c>
      <c r="Y408" s="109" t="n">
        <v>0.05</v>
      </c>
      <c r="Z408" s="109" t="n">
        <v>2.85</v>
      </c>
      <c r="AA408" s="109" t="n">
        <v>-0.12</v>
      </c>
      <c r="AB408" s="109" t="n">
        <v>-0.29</v>
      </c>
      <c r="AC408" s="108" t="n">
        <v>-0.02</v>
      </c>
      <c r="AD408" s="108" t="n">
        <v>-0.02</v>
      </c>
      <c r="AE408" s="111" t="inlineStr">
        <is>
          <t>N/A</t>
        </is>
      </c>
      <c r="AF408" s="108" t="n">
        <v>0.5600000000000001</v>
      </c>
      <c r="AG408" s="108" t="n">
        <v>0.09</v>
      </c>
      <c r="AH408" s="108" t="n">
        <v>0.32</v>
      </c>
      <c r="AI408" s="108" t="n">
        <v>0.43</v>
      </c>
      <c r="AJ408" s="111" t="inlineStr">
        <is>
          <t>N/A</t>
        </is>
      </c>
      <c r="AK408" s="111" t="inlineStr">
        <is>
          <t>N/A</t>
        </is>
      </c>
      <c r="AL408" s="111" t="inlineStr">
        <is>
          <t>N/A</t>
        </is>
      </c>
      <c r="AM408" s="108" t="n">
        <v>0.5600000000000001</v>
      </c>
      <c r="AN408" s="108" t="n">
        <v>0.09</v>
      </c>
      <c r="AO408" s="108" t="n">
        <v>0.32</v>
      </c>
      <c r="AP408" s="108" t="n">
        <v>0.43</v>
      </c>
      <c r="AQ408" s="111" t="inlineStr">
        <is>
          <t>N/A</t>
        </is>
      </c>
      <c r="AR408" s="111" t="inlineStr">
        <is>
          <t>N/A</t>
        </is>
      </c>
      <c r="AS408" s="111" t="inlineStr">
        <is>
          <t>N/A</t>
        </is>
      </c>
      <c r="AT408" s="108" t="n">
        <v>0.5600000000000001</v>
      </c>
      <c r="AU408" s="108" t="n">
        <v>0.09</v>
      </c>
      <c r="AV408" s="108" t="n">
        <v>0.32</v>
      </c>
      <c r="AW408" s="111" t="inlineStr">
        <is>
          <t>N/A</t>
        </is>
      </c>
      <c r="AX408" s="111" t="inlineStr">
        <is>
          <t>N/A</t>
        </is>
      </c>
      <c r="AY408" s="111" t="inlineStr">
        <is>
          <t>N/A</t>
        </is>
      </c>
      <c r="AZ408" s="108" t="n">
        <v>0.09</v>
      </c>
      <c r="BA408" s="111" t="inlineStr">
        <is>
          <t>N/A</t>
        </is>
      </c>
      <c r="BB408" s="108" t="n">
        <v>0.43</v>
      </c>
      <c r="BC408" s="111" t="inlineStr">
        <is>
          <t>N/A</t>
        </is>
      </c>
      <c r="BD408" s="111" t="inlineStr">
        <is>
          <t>N/A</t>
        </is>
      </c>
      <c r="BE408" s="108" t="n">
        <v>0.05</v>
      </c>
      <c r="BF408" s="108" t="n">
        <v>0.75</v>
      </c>
      <c r="BG408" s="111" t="inlineStr">
        <is>
          <t>N/A</t>
        </is>
      </c>
      <c r="BH408" s="111" t="inlineStr">
        <is>
          <t>N/A</t>
        </is>
      </c>
      <c r="BI408" s="111" t="inlineStr">
        <is>
          <t>N/A</t>
        </is>
      </c>
      <c r="BJ408" s="111" t="inlineStr">
        <is>
          <t>N/A</t>
        </is>
      </c>
      <c r="BK408" s="107" t="n">
        <v>1</v>
      </c>
      <c r="BL408" s="107" t="n">
        <v>1</v>
      </c>
      <c r="BM408" s="107" t="n">
        <v>0</v>
      </c>
      <c r="BN408" s="107" t="n">
        <v>1</v>
      </c>
      <c r="BO408" s="107" t="n">
        <v>0</v>
      </c>
      <c r="BP408" s="107" t="n">
        <v>0</v>
      </c>
      <c r="BQ408" s="107" t="n">
        <v>1</v>
      </c>
      <c r="BR408" s="107" t="n">
        <v>1</v>
      </c>
      <c r="BS408" s="107" t="n">
        <v>0</v>
      </c>
      <c r="BT408" s="107" t="n">
        <v>5</v>
      </c>
      <c r="BU408" s="107" t="inlineStr">
        <is>
          <t>Mixed</t>
        </is>
      </c>
      <c r="BV408" s="108" t="n">
        <v>1.13</v>
      </c>
      <c r="BW408" s="108" t="n">
        <v>0.82</v>
      </c>
      <c r="BX408" s="108" t="n">
        <v>1</v>
      </c>
      <c r="BY408" s="108" t="n">
        <v>0.88</v>
      </c>
      <c r="BZ408" s="108" t="n">
        <v>0.98</v>
      </c>
      <c r="CA408" s="108" t="n">
        <v>1.09</v>
      </c>
      <c r="CB408" s="108" t="n">
        <v>0.96</v>
      </c>
      <c r="CC408" s="108" t="n">
        <v>-0.02</v>
      </c>
      <c r="CD408" s="107" t="n">
        <v>-2.67</v>
      </c>
      <c r="CE408" s="107" t="inlineStr">
        <is>
          <t>Lower Risk</t>
        </is>
      </c>
      <c r="CF408" s="108" t="n">
        <v>3.41</v>
      </c>
      <c r="CG408" s="108" t="n">
        <v>42.94</v>
      </c>
      <c r="CH408" s="107" t="n">
        <v>0</v>
      </c>
      <c r="CI408" s="107" t="inlineStr">
        <is>
          <t>CLEAR</t>
        </is>
      </c>
    </row>
    <row r="409" ht="17" customHeight="1">
      <c r="A409" s="103" t="inlineStr">
        <is>
          <t>AJG</t>
        </is>
      </c>
      <c r="B409" s="103" t="inlineStr">
        <is>
          <t>ARTHUR J. GALLAGHER &amp; CO.</t>
        </is>
      </c>
      <c r="C409" s="104" t="n">
        <v>1837000000</v>
      </c>
      <c r="D409" s="105" t="n">
        <v>1.09</v>
      </c>
      <c r="E409" s="105" t="n">
        <v>1.09</v>
      </c>
      <c r="F409" s="105" t="n">
        <v>0.87</v>
      </c>
      <c r="G409" s="105" t="n">
        <v>0.02</v>
      </c>
      <c r="H409" s="105" t="n">
        <v>0.02</v>
      </c>
      <c r="I409" s="105" t="n">
        <v>0.06</v>
      </c>
      <c r="J409" s="105" t="n">
        <v>0.05</v>
      </c>
      <c r="K409" s="105" t="n">
        <v>0.99</v>
      </c>
      <c r="L409" s="105" t="n">
        <v>0.99</v>
      </c>
      <c r="M409" s="105" t="n">
        <v>0.02</v>
      </c>
      <c r="N409" s="104" t="n">
        <v>0.03</v>
      </c>
      <c r="O409" s="104" t="n">
        <v>1.06</v>
      </c>
      <c r="P409" s="104" t="n">
        <v>1.51</v>
      </c>
      <c r="Q409" s="104" t="n">
        <v>1.06</v>
      </c>
      <c r="R409" s="104" t="n">
        <v>0.01</v>
      </c>
      <c r="S409" s="104" t="n">
        <v>0.67</v>
      </c>
      <c r="T409" s="104" t="n">
        <v>0.6899999999999999</v>
      </c>
      <c r="U409" s="104" t="n">
        <v>0.58</v>
      </c>
      <c r="V409" s="104" t="n">
        <v>0.5600000000000001</v>
      </c>
      <c r="W409" s="104" t="n">
        <v>1.29</v>
      </c>
      <c r="X409" s="105" t="n">
        <v>0.99</v>
      </c>
      <c r="Y409" s="105" t="n">
        <v>0</v>
      </c>
      <c r="Z409" s="105" t="n">
        <v>2.93</v>
      </c>
      <c r="AA409" s="105" t="n">
        <v>-0.06</v>
      </c>
      <c r="AB409" s="105" t="n">
        <v>0.02</v>
      </c>
      <c r="AC409" s="104" t="n">
        <v>-0.01</v>
      </c>
      <c r="AD409" s="104" t="n">
        <v>-0.01</v>
      </c>
      <c r="AE409" s="104" t="n">
        <v>0.03</v>
      </c>
      <c r="AF409" s="104" t="n">
        <v>0.08</v>
      </c>
      <c r="AG409" s="104" t="n">
        <v>0.03</v>
      </c>
      <c r="AH409" s="104" t="n">
        <v>0.49</v>
      </c>
      <c r="AI409" s="104" t="n">
        <v>0.02</v>
      </c>
      <c r="AJ409" s="104" t="n">
        <v>0.55</v>
      </c>
      <c r="AK409" s="112" t="inlineStr">
        <is>
          <t>Distress</t>
        </is>
      </c>
      <c r="AL409" s="104" t="n">
        <v>0.03</v>
      </c>
      <c r="AM409" s="104" t="n">
        <v>0.08</v>
      </c>
      <c r="AN409" s="104" t="n">
        <v>0.03</v>
      </c>
      <c r="AO409" s="104" t="n">
        <v>0.49</v>
      </c>
      <c r="AP409" s="104" t="n">
        <v>0.02</v>
      </c>
      <c r="AQ409" s="103" t="n">
        <v>0.4</v>
      </c>
      <c r="AR409" s="103" t="inlineStr">
        <is>
          <t>Distress</t>
        </is>
      </c>
      <c r="AS409" s="104" t="n">
        <v>0.03</v>
      </c>
      <c r="AT409" s="104" t="n">
        <v>0.08</v>
      </c>
      <c r="AU409" s="104" t="n">
        <v>0.03</v>
      </c>
      <c r="AV409" s="104" t="n">
        <v>0.49</v>
      </c>
      <c r="AW409" s="103" t="n">
        <v>1.13</v>
      </c>
      <c r="AX409" s="103" t="inlineStr">
        <is>
          <t>Grey</t>
        </is>
      </c>
      <c r="AY409" s="104" t="n">
        <v>0.03</v>
      </c>
      <c r="AZ409" s="104" t="n">
        <v>0.03</v>
      </c>
      <c r="BA409" s="104" t="n">
        <v>0.06</v>
      </c>
      <c r="BB409" s="104" t="n">
        <v>0.02</v>
      </c>
      <c r="BC409" s="103" t="n">
        <v>0.16</v>
      </c>
      <c r="BD409" s="103" t="inlineStr">
        <is>
          <t>Distress</t>
        </is>
      </c>
      <c r="BE409" s="104" t="n">
        <v>0.02</v>
      </c>
      <c r="BF409" s="104" t="n">
        <v>0.67</v>
      </c>
      <c r="BG409" s="104" t="n">
        <v>1.06</v>
      </c>
      <c r="BH409" s="104" t="n">
        <v>-0.62</v>
      </c>
      <c r="BI409" s="103" t="n">
        <v>0.35</v>
      </c>
      <c r="BJ409" s="103" t="inlineStr">
        <is>
          <t>Healthy</t>
        </is>
      </c>
      <c r="BK409" s="103" t="n">
        <v>1</v>
      </c>
      <c r="BL409" s="103" t="n">
        <v>1</v>
      </c>
      <c r="BM409" s="103" t="n">
        <v>0</v>
      </c>
      <c r="BN409" s="103" t="n">
        <v>1</v>
      </c>
      <c r="BO409" s="103" t="n">
        <v>0</v>
      </c>
      <c r="BP409" s="103" t="n">
        <v>0</v>
      </c>
      <c r="BQ409" s="103" t="n">
        <v>0</v>
      </c>
      <c r="BR409" s="103" t="n">
        <v>0</v>
      </c>
      <c r="BS409" s="103" t="n">
        <v>0</v>
      </c>
      <c r="BT409" s="103" t="n">
        <v>3</v>
      </c>
      <c r="BU409" s="103" t="inlineStr">
        <is>
          <t>Weak</t>
        </is>
      </c>
      <c r="BV409" s="104" t="n">
        <v>1.41</v>
      </c>
      <c r="BW409" s="104" t="n">
        <v>1</v>
      </c>
      <c r="BX409" s="104" t="n">
        <v>1.66</v>
      </c>
      <c r="BY409" s="104" t="n">
        <v>0.9399999999999999</v>
      </c>
      <c r="BZ409" s="104" t="n">
        <v>1.04</v>
      </c>
      <c r="CA409" s="113" t="inlineStr">
        <is>
          <t>N/A</t>
        </is>
      </c>
      <c r="CB409" s="104" t="n">
        <v>0.98</v>
      </c>
      <c r="CC409" s="104" t="n">
        <v>-0.01</v>
      </c>
      <c r="CD409" s="103" t="n">
        <v>-1.73</v>
      </c>
      <c r="CE409" s="103" t="inlineStr">
        <is>
          <t>Higher Risk</t>
        </is>
      </c>
      <c r="CF409" s="104" t="n">
        <v>6.34</v>
      </c>
      <c r="CG409" s="104" t="n">
        <v>31.57</v>
      </c>
      <c r="CH409" s="103" t="n">
        <v>20</v>
      </c>
      <c r="CI409" s="103" t="inlineStr">
        <is>
          <t>CLEAR</t>
        </is>
      </c>
    </row>
    <row r="410" ht="17" customHeight="1">
      <c r="A410" s="107" t="inlineStr">
        <is>
          <t>ATI</t>
        </is>
      </c>
      <c r="B410" s="107" t="inlineStr">
        <is>
          <t>ATI INC</t>
        </is>
      </c>
      <c r="C410" s="108" t="n">
        <v>1673700000</v>
      </c>
      <c r="D410" s="109" t="n">
        <v>0.16</v>
      </c>
      <c r="E410" s="109" t="n">
        <v>0.13</v>
      </c>
      <c r="F410" s="109" t="n">
        <v>0.1</v>
      </c>
      <c r="G410" s="109" t="n">
        <v>0.08</v>
      </c>
      <c r="H410" s="109" t="n">
        <v>0.07000000000000001</v>
      </c>
      <c r="I410" s="109" t="n">
        <v>0.22</v>
      </c>
      <c r="J410" s="109" t="n">
        <v>0.16</v>
      </c>
      <c r="K410" s="109" t="n">
        <v>0.25</v>
      </c>
      <c r="L410" s="109" t="n">
        <v>0.19</v>
      </c>
      <c r="M410" s="109" t="n">
        <v>0.79</v>
      </c>
      <c r="N410" s="108" t="n">
        <v>0.89</v>
      </c>
      <c r="O410" s="108" t="n">
        <v>2.66</v>
      </c>
      <c r="P410" s="108" t="n">
        <v>2.44</v>
      </c>
      <c r="Q410" s="108" t="n">
        <v>1.27</v>
      </c>
      <c r="R410" s="108" t="n">
        <v>0.41</v>
      </c>
      <c r="S410" s="108" t="n">
        <v>0.62</v>
      </c>
      <c r="T410" s="108" t="n">
        <v>0.63</v>
      </c>
      <c r="U410" s="108" t="n">
        <v>0.02</v>
      </c>
      <c r="V410" s="108" t="n">
        <v>-0.21</v>
      </c>
      <c r="W410" s="108" t="n">
        <v>1.52</v>
      </c>
      <c r="X410" s="109" t="n">
        <v>0.08</v>
      </c>
      <c r="Y410" s="109" t="n">
        <v>0.01</v>
      </c>
      <c r="Z410" s="109" t="n">
        <v>5.79</v>
      </c>
      <c r="AA410" s="109" t="n">
        <v>-0.13</v>
      </c>
      <c r="AB410" s="109" t="n">
        <v>0.1</v>
      </c>
      <c r="AC410" s="108" t="n">
        <v>-0.04</v>
      </c>
      <c r="AD410" s="108" t="n">
        <v>-0.04</v>
      </c>
      <c r="AE410" s="108" t="n">
        <v>0.33</v>
      </c>
      <c r="AF410" s="108" t="n">
        <v>0.09</v>
      </c>
      <c r="AG410" s="108" t="n">
        <v>0.13</v>
      </c>
      <c r="AH410" s="108" t="n">
        <v>0.57</v>
      </c>
      <c r="AI410" s="108" t="n">
        <v>0.79</v>
      </c>
      <c r="AJ410" s="108" t="n">
        <v>2.07</v>
      </c>
      <c r="AK410" s="106" t="inlineStr">
        <is>
          <t>Grey</t>
        </is>
      </c>
      <c r="AL410" s="108" t="n">
        <v>0.33</v>
      </c>
      <c r="AM410" s="108" t="n">
        <v>0.09</v>
      </c>
      <c r="AN410" s="108" t="n">
        <v>0.13</v>
      </c>
      <c r="AO410" s="108" t="n">
        <v>0.57</v>
      </c>
      <c r="AP410" s="108" t="n">
        <v>0.79</v>
      </c>
      <c r="AQ410" s="107" t="n">
        <v>1.73</v>
      </c>
      <c r="AR410" s="107" t="inlineStr">
        <is>
          <t>Grey</t>
        </is>
      </c>
      <c r="AS410" s="108" t="n">
        <v>0.33</v>
      </c>
      <c r="AT410" s="108" t="n">
        <v>0.09</v>
      </c>
      <c r="AU410" s="108" t="n">
        <v>0.13</v>
      </c>
      <c r="AV410" s="108" t="n">
        <v>0.57</v>
      </c>
      <c r="AW410" s="107" t="n">
        <v>3.89</v>
      </c>
      <c r="AX410" s="107" t="inlineStr">
        <is>
          <t>Safe</t>
        </is>
      </c>
      <c r="AY410" s="108" t="n">
        <v>0.33</v>
      </c>
      <c r="AZ410" s="108" t="n">
        <v>0.13</v>
      </c>
      <c r="BA410" s="108" t="n">
        <v>0.52</v>
      </c>
      <c r="BB410" s="108" t="n">
        <v>0.79</v>
      </c>
      <c r="BC410" s="107" t="n">
        <v>1.38</v>
      </c>
      <c r="BD410" s="107" t="inlineStr">
        <is>
          <t>Healthy</t>
        </is>
      </c>
      <c r="BE410" s="108" t="n">
        <v>0.08</v>
      </c>
      <c r="BF410" s="108" t="n">
        <v>0.62</v>
      </c>
      <c r="BG410" s="108" t="n">
        <v>2.66</v>
      </c>
      <c r="BH410" s="108" t="n">
        <v>-1.14</v>
      </c>
      <c r="BI410" s="107" t="n">
        <v>0.24</v>
      </c>
      <c r="BJ410" s="107" t="inlineStr">
        <is>
          <t>Healthy</t>
        </is>
      </c>
      <c r="BK410" s="107" t="n">
        <v>1</v>
      </c>
      <c r="BL410" s="107" t="n">
        <v>1</v>
      </c>
      <c r="BM410" s="107" t="n">
        <v>1</v>
      </c>
      <c r="BN410" s="107" t="n">
        <v>1</v>
      </c>
      <c r="BO410" s="107" t="n">
        <v>0</v>
      </c>
      <c r="BP410" s="107" t="n">
        <v>1</v>
      </c>
      <c r="BQ410" s="107" t="n">
        <v>1</v>
      </c>
      <c r="BR410" s="107" t="n">
        <v>1</v>
      </c>
      <c r="BS410" s="107" t="n">
        <v>0</v>
      </c>
      <c r="BT410" s="107" t="n">
        <v>7</v>
      </c>
      <c r="BU410" s="107" t="inlineStr">
        <is>
          <t>Strong</t>
        </is>
      </c>
      <c r="BV410" s="108" t="n">
        <v>1.12</v>
      </c>
      <c r="BW410" s="108" t="n">
        <v>0.77</v>
      </c>
      <c r="BX410" s="108" t="n">
        <v>0.97</v>
      </c>
      <c r="BY410" s="108" t="n">
        <v>0.87</v>
      </c>
      <c r="BZ410" s="108" t="n">
        <v>0.99</v>
      </c>
      <c r="CA410" s="108" t="n">
        <v>1.23</v>
      </c>
      <c r="CB410" s="108" t="n">
        <v>1</v>
      </c>
      <c r="CC410" s="108" t="n">
        <v>-0.04</v>
      </c>
      <c r="CD410" s="107" t="n">
        <v>-2.86</v>
      </c>
      <c r="CE410" s="107" t="inlineStr">
        <is>
          <t>Lower Risk</t>
        </is>
      </c>
      <c r="CF410" s="108" t="n">
        <v>-0.48</v>
      </c>
      <c r="CG410" s="108" t="n">
        <v>57.04</v>
      </c>
      <c r="CH410" s="107" t="n">
        <v>0</v>
      </c>
      <c r="CI410" s="107" t="inlineStr">
        <is>
          <t>CLEAR</t>
        </is>
      </c>
    </row>
    <row r="411" ht="17" customHeight="1">
      <c r="A411" s="103" t="inlineStr">
        <is>
          <t>MCD</t>
        </is>
      </c>
      <c r="B411" s="103" t="inlineStr">
        <is>
          <t>McDONALD’S CORPORATION</t>
        </is>
      </c>
      <c r="C411" s="104" t="n">
        <v>-198000000</v>
      </c>
      <c r="D411" s="105" t="n">
        <v>0.46</v>
      </c>
      <c r="E411" s="105" t="n">
        <v>0.12</v>
      </c>
      <c r="F411" s="105" t="n">
        <v>0.32</v>
      </c>
      <c r="G411" s="105" t="n">
        <v>0.14</v>
      </c>
      <c r="H411" s="105" t="n">
        <v>0.15</v>
      </c>
      <c r="I411" s="105" t="n">
        <v>-4.78</v>
      </c>
      <c r="J411" s="105" t="n">
        <v>0.22</v>
      </c>
      <c r="K411" s="113" t="inlineStr">
        <is>
          <t>N/A</t>
        </is>
      </c>
      <c r="L411" s="113" t="inlineStr">
        <is>
          <t>N/A</t>
        </is>
      </c>
      <c r="M411" s="105" t="n">
        <v>0.45</v>
      </c>
      <c r="N411" s="104" t="n">
        <v>0.47</v>
      </c>
      <c r="O411" s="104" t="n">
        <v>0.95</v>
      </c>
      <c r="P411" s="104" t="n">
        <v>1.19</v>
      </c>
      <c r="Q411" s="104" t="n">
        <v>0.9399999999999999</v>
      </c>
      <c r="R411" s="104" t="n">
        <v>0.18</v>
      </c>
      <c r="S411" s="104" t="n">
        <v>1</v>
      </c>
      <c r="T411" s="104" t="n">
        <v>1</v>
      </c>
      <c r="U411" s="104" t="n">
        <v>-22.32</v>
      </c>
      <c r="V411" s="104" t="n">
        <v>-21.89</v>
      </c>
      <c r="W411" s="104" t="n">
        <v>1.23</v>
      </c>
      <c r="X411" s="105" t="n">
        <v>0.27</v>
      </c>
      <c r="Y411" s="113" t="inlineStr">
        <is>
          <t>N/A</t>
        </is>
      </c>
      <c r="Z411" s="105" t="n">
        <v>7.83</v>
      </c>
      <c r="AA411" s="105" t="n">
        <v>0.04</v>
      </c>
      <c r="AB411" s="105" t="n">
        <v>0.04</v>
      </c>
      <c r="AC411" s="104" t="n">
        <v>-0.03</v>
      </c>
      <c r="AD411" s="104" t="n">
        <v>-0.03</v>
      </c>
      <c r="AE411" s="104" t="n">
        <v>-0</v>
      </c>
      <c r="AF411" s="104" t="n">
        <v>1.18</v>
      </c>
      <c r="AG411" s="104" t="n">
        <v>0.21</v>
      </c>
      <c r="AH411" s="104" t="n">
        <v>-0.03</v>
      </c>
      <c r="AI411" s="104" t="n">
        <v>0.45</v>
      </c>
      <c r="AJ411" s="104" t="n">
        <v>2.77</v>
      </c>
      <c r="AK411" s="106" t="inlineStr">
        <is>
          <t>Grey</t>
        </is>
      </c>
      <c r="AL411" s="104" t="n">
        <v>-0</v>
      </c>
      <c r="AM411" s="104" t="n">
        <v>1.18</v>
      </c>
      <c r="AN411" s="104" t="n">
        <v>0.21</v>
      </c>
      <c r="AO411" s="104" t="n">
        <v>-0.03</v>
      </c>
      <c r="AP411" s="104" t="n">
        <v>0.45</v>
      </c>
      <c r="AQ411" s="103" t="n">
        <v>2.08</v>
      </c>
      <c r="AR411" s="103" t="inlineStr">
        <is>
          <t>Grey</t>
        </is>
      </c>
      <c r="AS411" s="104" t="n">
        <v>-0</v>
      </c>
      <c r="AT411" s="104" t="n">
        <v>1.18</v>
      </c>
      <c r="AU411" s="104" t="n">
        <v>0.21</v>
      </c>
      <c r="AV411" s="104" t="n">
        <v>-0.03</v>
      </c>
      <c r="AW411" s="103" t="n">
        <v>5.2</v>
      </c>
      <c r="AX411" s="103" t="inlineStr">
        <is>
          <t>Safe</t>
        </is>
      </c>
      <c r="AY411" s="104" t="n">
        <v>-0</v>
      </c>
      <c r="AZ411" s="104" t="n">
        <v>0.21</v>
      </c>
      <c r="BA411" s="104" t="n">
        <v>0.75</v>
      </c>
      <c r="BB411" s="104" t="n">
        <v>0.45</v>
      </c>
      <c r="BC411" s="103" t="n">
        <v>1.31</v>
      </c>
      <c r="BD411" s="103" t="inlineStr">
        <is>
          <t>Healthy</t>
        </is>
      </c>
      <c r="BE411" s="104" t="n">
        <v>0.14</v>
      </c>
      <c r="BF411" s="104" t="n">
        <v>1</v>
      </c>
      <c r="BG411" s="104" t="n">
        <v>0.95</v>
      </c>
      <c r="BH411" s="104" t="n">
        <v>0.7</v>
      </c>
      <c r="BI411" s="103" t="n">
        <v>0.67</v>
      </c>
      <c r="BJ411" s="103" t="inlineStr">
        <is>
          <t>Distress</t>
        </is>
      </c>
      <c r="BK411" s="103" t="n">
        <v>1</v>
      </c>
      <c r="BL411" s="103" t="n">
        <v>1</v>
      </c>
      <c r="BM411" s="103" t="n">
        <v>0</v>
      </c>
      <c r="BN411" s="103" t="n">
        <v>1</v>
      </c>
      <c r="BO411" s="103" t="n">
        <v>1</v>
      </c>
      <c r="BP411" s="103" t="n">
        <v>0</v>
      </c>
      <c r="BQ411" s="103" t="n">
        <v>1</v>
      </c>
      <c r="BR411" s="103" t="n">
        <v>0</v>
      </c>
      <c r="BS411" s="103" t="n">
        <v>0</v>
      </c>
      <c r="BT411" s="103" t="n">
        <v>5</v>
      </c>
      <c r="BU411" s="103" t="inlineStr">
        <is>
          <t>Mixed</t>
        </is>
      </c>
      <c r="BV411" s="113" t="inlineStr">
        <is>
          <t>N/A</t>
        </is>
      </c>
      <c r="BW411" s="113" t="inlineStr">
        <is>
          <t>N/A</t>
        </is>
      </c>
      <c r="BX411" s="104" t="n">
        <v>0.99</v>
      </c>
      <c r="BY411" s="104" t="n">
        <v>1.04</v>
      </c>
      <c r="BZ411" s="104" t="n">
        <v>1.06</v>
      </c>
      <c r="CA411" s="104" t="n">
        <v>1.03</v>
      </c>
      <c r="CB411" s="104" t="n">
        <v>1</v>
      </c>
      <c r="CC411" s="104" t="n">
        <v>-0.03</v>
      </c>
      <c r="CD411" s="113" t="inlineStr">
        <is>
          <t>N/A</t>
        </is>
      </c>
      <c r="CE411" s="113" t="inlineStr">
        <is>
          <t>N/A</t>
        </is>
      </c>
      <c r="CF411" s="104" t="n">
        <v>2.69</v>
      </c>
      <c r="CG411" s="104" t="n">
        <v>50.24</v>
      </c>
      <c r="CH411" s="103" t="n">
        <v>0</v>
      </c>
      <c r="CI411" s="103" t="inlineStr">
        <is>
          <t>CLEAR</t>
        </is>
      </c>
    </row>
    <row r="412" ht="17" customHeight="1">
      <c r="A412" s="107" t="inlineStr">
        <is>
          <t>GNTX</t>
        </is>
      </c>
      <c r="B412" s="107" t="inlineStr">
        <is>
          <t>GENTEX CORPORATION</t>
        </is>
      </c>
      <c r="C412" s="108" t="n">
        <v>740891499</v>
      </c>
      <c r="D412" s="109" t="n">
        <v>0.19</v>
      </c>
      <c r="E412" s="109" t="n">
        <v>0.18</v>
      </c>
      <c r="F412" s="109" t="n">
        <v>0.15</v>
      </c>
      <c r="G412" s="109" t="n">
        <v>0.13</v>
      </c>
      <c r="H412" s="109" t="n">
        <v>0.15</v>
      </c>
      <c r="I412" s="109" t="n">
        <v>0.15</v>
      </c>
      <c r="J412" s="109" t="n">
        <v>0.19</v>
      </c>
      <c r="K412" s="109" t="n">
        <v>0.34</v>
      </c>
      <c r="L412" s="109" t="n">
        <v>0.33</v>
      </c>
      <c r="M412" s="109" t="n">
        <v>0.87</v>
      </c>
      <c r="N412" s="108" t="n">
        <v>0.84</v>
      </c>
      <c r="O412" s="108" t="n">
        <v>2.91</v>
      </c>
      <c r="P412" s="108" t="n">
        <v>4.11</v>
      </c>
      <c r="Q412" s="108" t="n">
        <v>1.58</v>
      </c>
      <c r="R412" s="108" t="n">
        <v>0.38</v>
      </c>
      <c r="S412" s="108" t="n">
        <v>0.15</v>
      </c>
      <c r="T412" s="108" t="n">
        <v>0.1</v>
      </c>
      <c r="U412" s="108" t="n">
        <v>0</v>
      </c>
      <c r="V412" s="108" t="n">
        <v>-0.06</v>
      </c>
      <c r="W412" s="108" t="n">
        <v>1.53</v>
      </c>
      <c r="X412" s="109" t="n">
        <v>0.18</v>
      </c>
      <c r="Y412" s="109" t="n">
        <v>0.08</v>
      </c>
      <c r="Z412" s="109" t="n">
        <v>592.42</v>
      </c>
      <c r="AA412" s="109" t="n">
        <v>0.1</v>
      </c>
      <c r="AB412" s="109" t="n">
        <v>-0.05</v>
      </c>
      <c r="AC412" s="108" t="n">
        <v>-0.07000000000000001</v>
      </c>
      <c r="AD412" s="108" t="n">
        <v>-0.07000000000000001</v>
      </c>
      <c r="AE412" s="108" t="n">
        <v>0.25</v>
      </c>
      <c r="AF412" s="108" t="n">
        <v>0.5</v>
      </c>
      <c r="AG412" s="108" t="n">
        <v>0.16</v>
      </c>
      <c r="AH412" s="108" t="n">
        <v>5.68</v>
      </c>
      <c r="AI412" s="108" t="n">
        <v>0.87</v>
      </c>
      <c r="AJ412" s="108" t="n">
        <v>5.81</v>
      </c>
      <c r="AK412" s="110" t="inlineStr">
        <is>
          <t>Safe</t>
        </is>
      </c>
      <c r="AL412" s="108" t="n">
        <v>0.25</v>
      </c>
      <c r="AM412" s="108" t="n">
        <v>0.5</v>
      </c>
      <c r="AN412" s="108" t="n">
        <v>0.16</v>
      </c>
      <c r="AO412" s="108" t="n">
        <v>5.68</v>
      </c>
      <c r="AP412" s="108" t="n">
        <v>0.87</v>
      </c>
      <c r="AQ412" s="107" t="n">
        <v>4.36</v>
      </c>
      <c r="AR412" s="107" t="inlineStr">
        <is>
          <t>Safe</t>
        </is>
      </c>
      <c r="AS412" s="108" t="n">
        <v>0.25</v>
      </c>
      <c r="AT412" s="108" t="n">
        <v>0.5</v>
      </c>
      <c r="AU412" s="108" t="n">
        <v>0.16</v>
      </c>
      <c r="AV412" s="108" t="n">
        <v>5.68</v>
      </c>
      <c r="AW412" s="107" t="n">
        <v>10.35</v>
      </c>
      <c r="AX412" s="107" t="inlineStr">
        <is>
          <t>Safe</t>
        </is>
      </c>
      <c r="AY412" s="108" t="n">
        <v>0.25</v>
      </c>
      <c r="AZ412" s="108" t="n">
        <v>0.16</v>
      </c>
      <c r="BA412" s="108" t="n">
        <v>1.19</v>
      </c>
      <c r="BB412" s="108" t="n">
        <v>0.87</v>
      </c>
      <c r="BC412" s="107" t="n">
        <v>1.89</v>
      </c>
      <c r="BD412" s="107" t="inlineStr">
        <is>
          <t>Healthy</t>
        </is>
      </c>
      <c r="BE412" s="108" t="n">
        <v>0.13</v>
      </c>
      <c r="BF412" s="108" t="n">
        <v>0.15</v>
      </c>
      <c r="BG412" s="108" t="n">
        <v>2.91</v>
      </c>
      <c r="BH412" s="108" t="n">
        <v>-4.07</v>
      </c>
      <c r="BI412" s="107" t="n">
        <v>0.02</v>
      </c>
      <c r="BJ412" s="107" t="inlineStr">
        <is>
          <t>Healthy</t>
        </is>
      </c>
      <c r="BK412" s="107" t="n">
        <v>1</v>
      </c>
      <c r="BL412" s="107" t="n">
        <v>1</v>
      </c>
      <c r="BM412" s="107" t="n">
        <v>0</v>
      </c>
      <c r="BN412" s="107" t="n">
        <v>1</v>
      </c>
      <c r="BO412" s="107" t="n">
        <v>0</v>
      </c>
      <c r="BP412" s="107" t="n">
        <v>0</v>
      </c>
      <c r="BQ412" s="107" t="n">
        <v>1</v>
      </c>
      <c r="BR412" s="107" t="n">
        <v>1</v>
      </c>
      <c r="BS412" s="107" t="n">
        <v>1</v>
      </c>
      <c r="BT412" s="107" t="n">
        <v>6</v>
      </c>
      <c r="BU412" s="107" t="inlineStr">
        <is>
          <t>Mixed</t>
        </is>
      </c>
      <c r="BV412" s="108" t="n">
        <v>1.14</v>
      </c>
      <c r="BW412" s="108" t="n">
        <v>0.97</v>
      </c>
      <c r="BX412" s="108" t="n">
        <v>0.96</v>
      </c>
      <c r="BY412" s="108" t="n">
        <v>1.1</v>
      </c>
      <c r="BZ412" s="108" t="n">
        <v>0.99</v>
      </c>
      <c r="CA412" s="108" t="n">
        <v>1.34</v>
      </c>
      <c r="CB412" s="108" t="n">
        <v>1.43</v>
      </c>
      <c r="CC412" s="108" t="n">
        <v>-0.07000000000000001</v>
      </c>
      <c r="CD412" s="107" t="n">
        <v>-2.82</v>
      </c>
      <c r="CE412" s="107" t="inlineStr">
        <is>
          <t>Lower Risk</t>
        </is>
      </c>
      <c r="CF412" s="108" t="n">
        <v>-0.25</v>
      </c>
      <c r="CG412" s="108" t="n">
        <v>65.19</v>
      </c>
      <c r="CH412" s="107" t="n">
        <v>0</v>
      </c>
      <c r="CI412" s="107" t="inlineStr">
        <is>
          <t>CLEAR</t>
        </is>
      </c>
    </row>
    <row r="413" ht="17" customHeight="1">
      <c r="A413" s="103" t="inlineStr">
        <is>
          <t>PM</t>
        </is>
      </c>
      <c r="B413" s="103" t="inlineStr">
        <is>
          <t>Philip Morris International Inc.</t>
        </is>
      </c>
      <c r="C413" s="104" t="n">
        <v>-1064000000</v>
      </c>
      <c r="D413" s="105" t="n">
        <v>0.37</v>
      </c>
      <c r="E413" s="105" t="n">
        <v>0.02</v>
      </c>
      <c r="F413" s="105" t="n">
        <v>0.28</v>
      </c>
      <c r="G413" s="105" t="n">
        <v>0.16</v>
      </c>
      <c r="H413" s="105" t="n">
        <v>0.11</v>
      </c>
      <c r="I413" s="105" t="n">
        <v>-1.14</v>
      </c>
      <c r="J413" s="105" t="n">
        <v>0.34</v>
      </c>
      <c r="K413" s="105" t="n">
        <v>0.67</v>
      </c>
      <c r="L413" s="105" t="n">
        <v>0.65</v>
      </c>
      <c r="M413" s="105" t="n">
        <v>0.59</v>
      </c>
      <c r="N413" s="104" t="n">
        <v>0.61</v>
      </c>
      <c r="O413" s="104" t="n">
        <v>0.96</v>
      </c>
      <c r="P413" s="104" t="n">
        <v>0.88</v>
      </c>
      <c r="Q413" s="104" t="n">
        <v>0.51</v>
      </c>
      <c r="R413" s="104" t="n">
        <v>0.19</v>
      </c>
      <c r="S413" s="104" t="n">
        <v>1.12</v>
      </c>
      <c r="T413" s="104" t="n">
        <v>1.16</v>
      </c>
      <c r="U413" s="104" t="n">
        <v>-1.72</v>
      </c>
      <c r="V413" s="104" t="n">
        <v>-1.23</v>
      </c>
      <c r="W413" s="104" t="n">
        <v>1.08</v>
      </c>
      <c r="X413" s="105" t="n">
        <v>0.26</v>
      </c>
      <c r="Y413" s="105" t="n">
        <v>0.02</v>
      </c>
      <c r="Z413" s="105" t="n">
        <v>9.76</v>
      </c>
      <c r="AA413" s="105" t="n">
        <v>0.07000000000000001</v>
      </c>
      <c r="AB413" s="105" t="n">
        <v>0.61</v>
      </c>
      <c r="AC413" s="104" t="n">
        <v>-0.01</v>
      </c>
      <c r="AD413" s="104" t="n">
        <v>-0.01</v>
      </c>
      <c r="AE413" s="104" t="n">
        <v>-0.02</v>
      </c>
      <c r="AF413" s="104" t="n">
        <v>0.51</v>
      </c>
      <c r="AG413" s="104" t="n">
        <v>0.22</v>
      </c>
      <c r="AH413" s="104" t="n">
        <v>-0.13</v>
      </c>
      <c r="AI413" s="104" t="n">
        <v>0.59</v>
      </c>
      <c r="AJ413" s="104" t="n">
        <v>1.92</v>
      </c>
      <c r="AK413" s="106" t="inlineStr">
        <is>
          <t>Grey</t>
        </is>
      </c>
      <c r="AL413" s="104" t="n">
        <v>-0.02</v>
      </c>
      <c r="AM413" s="104" t="n">
        <v>0.51</v>
      </c>
      <c r="AN413" s="104" t="n">
        <v>0.22</v>
      </c>
      <c r="AO413" s="104" t="n">
        <v>-0.13</v>
      </c>
      <c r="AP413" s="104" t="n">
        <v>0.59</v>
      </c>
      <c r="AQ413" s="103" t="n">
        <v>1.62</v>
      </c>
      <c r="AR413" s="103" t="inlineStr">
        <is>
          <t>Grey</t>
        </is>
      </c>
      <c r="AS413" s="104" t="n">
        <v>-0.02</v>
      </c>
      <c r="AT413" s="104" t="n">
        <v>0.51</v>
      </c>
      <c r="AU413" s="104" t="n">
        <v>0.22</v>
      </c>
      <c r="AV413" s="104" t="n">
        <v>-0.13</v>
      </c>
      <c r="AW413" s="103" t="n">
        <v>2.88</v>
      </c>
      <c r="AX413" s="103" t="inlineStr">
        <is>
          <t>Safe</t>
        </is>
      </c>
      <c r="AY413" s="104" t="n">
        <v>-0.02</v>
      </c>
      <c r="AZ413" s="104" t="n">
        <v>0.22</v>
      </c>
      <c r="BA413" s="104" t="n">
        <v>0.03</v>
      </c>
      <c r="BB413" s="104" t="n">
        <v>0.59</v>
      </c>
      <c r="BC413" s="103" t="n">
        <v>0.9</v>
      </c>
      <c r="BD413" s="103" t="inlineStr">
        <is>
          <t>Healthy</t>
        </is>
      </c>
      <c r="BE413" s="104" t="n">
        <v>0.16</v>
      </c>
      <c r="BF413" s="104" t="n">
        <v>1.12</v>
      </c>
      <c r="BG413" s="104" t="n">
        <v>0.96</v>
      </c>
      <c r="BH413" s="104" t="n">
        <v>1.27</v>
      </c>
      <c r="BI413" s="103" t="n">
        <v>0.78</v>
      </c>
      <c r="BJ413" s="103" t="inlineStr">
        <is>
          <t>Distress</t>
        </is>
      </c>
      <c r="BK413" s="103" t="n">
        <v>1</v>
      </c>
      <c r="BL413" s="103" t="n">
        <v>1</v>
      </c>
      <c r="BM413" s="103" t="n">
        <v>1</v>
      </c>
      <c r="BN413" s="103" t="n">
        <v>1</v>
      </c>
      <c r="BO413" s="103" t="n">
        <v>0</v>
      </c>
      <c r="BP413" s="103" t="n">
        <v>1</v>
      </c>
      <c r="BQ413" s="103" t="n">
        <v>1</v>
      </c>
      <c r="BR413" s="103" t="n">
        <v>1</v>
      </c>
      <c r="BS413" s="103" t="n">
        <v>0</v>
      </c>
      <c r="BT413" s="103" t="n">
        <v>7</v>
      </c>
      <c r="BU413" s="103" t="inlineStr">
        <is>
          <t>Strong</t>
        </is>
      </c>
      <c r="BV413" s="104" t="n">
        <v>1.12</v>
      </c>
      <c r="BW413" s="104" t="n">
        <v>0.97</v>
      </c>
      <c r="BX413" s="104" t="n">
        <v>0.98</v>
      </c>
      <c r="BY413" s="104" t="n">
        <v>1.07</v>
      </c>
      <c r="BZ413" s="104" t="n">
        <v>0.95</v>
      </c>
      <c r="CA413" s="104" t="n">
        <v>0.95</v>
      </c>
      <c r="CB413" s="104" t="n">
        <v>0.96</v>
      </c>
      <c r="CC413" s="104" t="n">
        <v>-0.01</v>
      </c>
      <c r="CD413" s="103" t="n">
        <v>-2.37</v>
      </c>
      <c r="CE413" s="103" t="inlineStr">
        <is>
          <t>Lower Risk</t>
        </is>
      </c>
      <c r="CF413" s="104" t="n">
        <v>0.78</v>
      </c>
      <c r="CG413" s="104" t="n">
        <v>56.4</v>
      </c>
      <c r="CH413" s="103" t="n">
        <v>0</v>
      </c>
      <c r="CI413" s="103" t="inlineStr">
        <is>
          <t>CLEAR</t>
        </is>
      </c>
    </row>
    <row r="414" ht="17" customHeight="1">
      <c r="A414" s="107" t="inlineStr">
        <is>
          <t>AMD</t>
        </is>
      </c>
      <c r="B414" s="107" t="inlineStr">
        <is>
          <t>ADVANCED MICRO DEVICES INC</t>
        </is>
      </c>
      <c r="C414" s="108" t="n">
        <v>17492000000</v>
      </c>
      <c r="D414" s="109" t="n">
        <v>0.11</v>
      </c>
      <c r="E414" s="109" t="n">
        <v>0.12</v>
      </c>
      <c r="F414" s="109" t="n">
        <v>0.13</v>
      </c>
      <c r="G414" s="109" t="n">
        <v>0.06</v>
      </c>
      <c r="H414" s="109" t="n">
        <v>0.02</v>
      </c>
      <c r="I414" s="109" t="n">
        <v>0.07000000000000001</v>
      </c>
      <c r="J414" s="109" t="n">
        <v>0.05</v>
      </c>
      <c r="K414" s="109" t="n">
        <v>0.5</v>
      </c>
      <c r="L414" s="109" t="n">
        <v>0.49</v>
      </c>
      <c r="M414" s="109" t="n">
        <v>0.45</v>
      </c>
      <c r="N414" s="108" t="n">
        <v>0.37</v>
      </c>
      <c r="O414" s="108" t="n">
        <v>2.85</v>
      </c>
      <c r="P414" s="108" t="n">
        <v>2.62</v>
      </c>
      <c r="Q414" s="108" t="n">
        <v>2.01</v>
      </c>
      <c r="R414" s="108" t="n">
        <v>0.59</v>
      </c>
      <c r="S414" s="108" t="n">
        <v>1</v>
      </c>
      <c r="T414" s="108" t="n">
        <v>1</v>
      </c>
      <c r="U414" s="108" t="n">
        <v>0.01</v>
      </c>
      <c r="V414" s="108" t="n">
        <v>-0.07000000000000001</v>
      </c>
      <c r="W414" s="108" t="n">
        <v>1.78</v>
      </c>
      <c r="X414" s="109" t="n">
        <v>0.19</v>
      </c>
      <c r="Y414" s="109" t="n">
        <v>0.23</v>
      </c>
      <c r="Z414" s="109" t="n">
        <v>28.2</v>
      </c>
      <c r="AA414" s="109" t="n">
        <v>0.34</v>
      </c>
      <c r="AB414" s="109" t="n">
        <v>1.64</v>
      </c>
      <c r="AC414" s="108" t="n">
        <v>-0.04</v>
      </c>
      <c r="AD414" s="108" t="n">
        <v>-0.04</v>
      </c>
      <c r="AE414" s="108" t="n">
        <v>0.23</v>
      </c>
      <c r="AF414" s="108" t="n">
        <v>0.09</v>
      </c>
      <c r="AG414" s="108" t="n">
        <v>0.05</v>
      </c>
      <c r="AH414" s="108" t="n">
        <v>0.82</v>
      </c>
      <c r="AI414" s="108" t="n">
        <v>0.45</v>
      </c>
      <c r="AJ414" s="108" t="n">
        <v>1.49</v>
      </c>
      <c r="AK414" s="112" t="inlineStr">
        <is>
          <t>Distress</t>
        </is>
      </c>
      <c r="AL414" s="108" t="n">
        <v>0.23</v>
      </c>
      <c r="AM414" s="108" t="n">
        <v>0.09</v>
      </c>
      <c r="AN414" s="108" t="n">
        <v>0.05</v>
      </c>
      <c r="AO414" s="108" t="n">
        <v>0.82</v>
      </c>
      <c r="AP414" s="108" t="n">
        <v>0.45</v>
      </c>
      <c r="AQ414" s="107" t="n">
        <v>1.18</v>
      </c>
      <c r="AR414" s="107" t="inlineStr">
        <is>
          <t>Distress</t>
        </is>
      </c>
      <c r="AS414" s="108" t="n">
        <v>0.23</v>
      </c>
      <c r="AT414" s="108" t="n">
        <v>0.09</v>
      </c>
      <c r="AU414" s="108" t="n">
        <v>0.05</v>
      </c>
      <c r="AV414" s="108" t="n">
        <v>0.82</v>
      </c>
      <c r="AW414" s="107" t="n">
        <v>2.96</v>
      </c>
      <c r="AX414" s="107" t="inlineStr">
        <is>
          <t>Safe</t>
        </is>
      </c>
      <c r="AY414" s="108" t="n">
        <v>0.23</v>
      </c>
      <c r="AZ414" s="108" t="n">
        <v>0.05</v>
      </c>
      <c r="BA414" s="108" t="n">
        <v>0.44</v>
      </c>
      <c r="BB414" s="108" t="n">
        <v>0.45</v>
      </c>
      <c r="BC414" s="107" t="n">
        <v>0.85</v>
      </c>
      <c r="BD414" s="107" t="inlineStr">
        <is>
          <t>Distress</t>
        </is>
      </c>
      <c r="BE414" s="108" t="n">
        <v>0.06</v>
      </c>
      <c r="BF414" s="108" t="n">
        <v>1</v>
      </c>
      <c r="BG414" s="108" t="n">
        <v>2.85</v>
      </c>
      <c r="BH414" s="108" t="n">
        <v>1.1</v>
      </c>
      <c r="BI414" s="107" t="n">
        <v>0.75</v>
      </c>
      <c r="BJ414" s="107" t="inlineStr">
        <is>
          <t>Distress</t>
        </is>
      </c>
      <c r="BK414" s="107" t="n">
        <v>1</v>
      </c>
      <c r="BL414" s="107" t="n">
        <v>1</v>
      </c>
      <c r="BM414" s="107" t="n">
        <v>1</v>
      </c>
      <c r="BN414" s="107" t="n">
        <v>1</v>
      </c>
      <c r="BO414" s="107" t="n">
        <v>1</v>
      </c>
      <c r="BP414" s="107" t="n">
        <v>1</v>
      </c>
      <c r="BQ414" s="107" t="n">
        <v>0</v>
      </c>
      <c r="BR414" s="107" t="n">
        <v>1</v>
      </c>
      <c r="BS414" s="107" t="n">
        <v>1</v>
      </c>
      <c r="BT414" s="107" t="n">
        <v>8</v>
      </c>
      <c r="BU414" s="107" t="inlineStr">
        <is>
          <t>Strong</t>
        </is>
      </c>
      <c r="BV414" s="108" t="n">
        <v>0.76</v>
      </c>
      <c r="BW414" s="108" t="n">
        <v>1</v>
      </c>
      <c r="BX414" s="108" t="n">
        <v>0.89</v>
      </c>
      <c r="BY414" s="108" t="n">
        <v>1.34</v>
      </c>
      <c r="BZ414" s="108" t="n">
        <v>1.43</v>
      </c>
      <c r="CA414" s="108" t="n">
        <v>1.11</v>
      </c>
      <c r="CB414" s="108" t="n">
        <v>1</v>
      </c>
      <c r="CC414" s="108" t="n">
        <v>-0.04</v>
      </c>
      <c r="CD414" s="107" t="n">
        <v>-2.62</v>
      </c>
      <c r="CE414" s="107" t="inlineStr">
        <is>
          <t>Lower Risk</t>
        </is>
      </c>
      <c r="CF414" s="108" t="n">
        <v>-1.2</v>
      </c>
      <c r="CG414" s="108" t="n">
        <v>58.74</v>
      </c>
      <c r="CH414" s="107" t="n">
        <v>0</v>
      </c>
      <c r="CI414" s="107" t="inlineStr">
        <is>
          <t>CLEAR</t>
        </is>
      </c>
    </row>
    <row r="415" ht="17" customHeight="1">
      <c r="A415" s="103" t="inlineStr">
        <is>
          <t>HQY</t>
        </is>
      </c>
      <c r="B415" s="103" t="inlineStr">
        <is>
          <t>HEALTHEQUITY, INC.</t>
        </is>
      </c>
      <c r="C415" s="104" t="n">
        <v>355431000</v>
      </c>
      <c r="D415" s="105" t="n">
        <v>1.4</v>
      </c>
      <c r="E415" s="105" t="n">
        <v>1.21</v>
      </c>
      <c r="F415" s="105" t="n">
        <v>0.9399999999999999</v>
      </c>
      <c r="G415" s="105" t="n">
        <v>0.06</v>
      </c>
      <c r="H415" s="105" t="n">
        <v>0.03</v>
      </c>
      <c r="I415" s="105" t="n">
        <v>0.1</v>
      </c>
      <c r="J415" s="105" t="n">
        <v>0.1</v>
      </c>
      <c r="K415" s="105" t="n">
        <v>3.98</v>
      </c>
      <c r="L415" s="105" t="n">
        <v>12.86</v>
      </c>
      <c r="M415" s="105" t="n">
        <v>0.07000000000000001</v>
      </c>
      <c r="N415" s="104" t="n">
        <v>0.02</v>
      </c>
      <c r="O415" s="104" t="n">
        <v>3.27</v>
      </c>
      <c r="P415" s="104" t="n">
        <v>3.06</v>
      </c>
      <c r="Q415" s="104" t="n">
        <v>3.26</v>
      </c>
      <c r="R415" s="104" t="n">
        <v>2.03</v>
      </c>
      <c r="S415" s="104" t="n">
        <v>0.38</v>
      </c>
      <c r="T415" s="104" t="n">
        <v>0.39</v>
      </c>
      <c r="U415" s="104" t="n">
        <v>0.45</v>
      </c>
      <c r="V415" s="104" t="n">
        <v>0.3</v>
      </c>
      <c r="W415" s="104" t="n">
        <v>2.12</v>
      </c>
      <c r="X415" s="105" t="n">
        <v>1.98</v>
      </c>
      <c r="Y415" s="105" t="n">
        <v>1.14</v>
      </c>
      <c r="Z415" s="105" t="n">
        <v>5.81</v>
      </c>
      <c r="AA415" s="105" t="n">
        <v>2.8</v>
      </c>
      <c r="AB415" s="105" t="n">
        <v>1.23</v>
      </c>
      <c r="AC415" s="104" t="n">
        <v>-0.07000000000000001</v>
      </c>
      <c r="AD415" s="104" t="n">
        <v>-0.07000000000000001</v>
      </c>
      <c r="AE415" s="104" t="n">
        <v>0.11</v>
      </c>
      <c r="AF415" s="104" t="n">
        <v>0.06</v>
      </c>
      <c r="AG415" s="104" t="n">
        <v>0.1</v>
      </c>
      <c r="AH415" s="104" t="n">
        <v>1.66</v>
      </c>
      <c r="AI415" s="104" t="n">
        <v>0.07000000000000001</v>
      </c>
      <c r="AJ415" s="104" t="n">
        <v>1.58</v>
      </c>
      <c r="AK415" s="112" t="inlineStr">
        <is>
          <t>Distress</t>
        </is>
      </c>
      <c r="AL415" s="104" t="n">
        <v>0.11</v>
      </c>
      <c r="AM415" s="104" t="n">
        <v>0.06</v>
      </c>
      <c r="AN415" s="104" t="n">
        <v>0.1</v>
      </c>
      <c r="AO415" s="104" t="n">
        <v>1.66</v>
      </c>
      <c r="AP415" s="104" t="n">
        <v>0.07000000000000001</v>
      </c>
      <c r="AQ415" s="103" t="n">
        <v>1.18</v>
      </c>
      <c r="AR415" s="103" t="inlineStr">
        <is>
          <t>Distress</t>
        </is>
      </c>
      <c r="AS415" s="104" t="n">
        <v>0.11</v>
      </c>
      <c r="AT415" s="104" t="n">
        <v>0.06</v>
      </c>
      <c r="AU415" s="104" t="n">
        <v>0.1</v>
      </c>
      <c r="AV415" s="104" t="n">
        <v>1.66</v>
      </c>
      <c r="AW415" s="103" t="n">
        <v>3.26</v>
      </c>
      <c r="AX415" s="103" t="inlineStr">
        <is>
          <t>Safe</t>
        </is>
      </c>
      <c r="AY415" s="104" t="n">
        <v>0.11</v>
      </c>
      <c r="AZ415" s="104" t="n">
        <v>0.1</v>
      </c>
      <c r="BA415" s="104" t="n">
        <v>1.77</v>
      </c>
      <c r="BB415" s="104" t="n">
        <v>0.07000000000000001</v>
      </c>
      <c r="BC415" s="103" t="n">
        <v>1.6</v>
      </c>
      <c r="BD415" s="103" t="inlineStr">
        <is>
          <t>Healthy</t>
        </is>
      </c>
      <c r="BE415" s="104" t="n">
        <v>0.06</v>
      </c>
      <c r="BF415" s="104" t="n">
        <v>0.38</v>
      </c>
      <c r="BG415" s="104" t="n">
        <v>3.27</v>
      </c>
      <c r="BH415" s="104" t="n">
        <v>-2.47</v>
      </c>
      <c r="BI415" s="103" t="n">
        <v>0.08</v>
      </c>
      <c r="BJ415" s="103" t="inlineStr">
        <is>
          <t>Healthy</t>
        </is>
      </c>
      <c r="BK415" s="103" t="n">
        <v>1</v>
      </c>
      <c r="BL415" s="103" t="n">
        <v>1</v>
      </c>
      <c r="BM415" s="103" t="n">
        <v>1</v>
      </c>
      <c r="BN415" s="103" t="n">
        <v>1</v>
      </c>
      <c r="BO415" s="103" t="n">
        <v>1</v>
      </c>
      <c r="BP415" s="103" t="n">
        <v>1</v>
      </c>
      <c r="BQ415" s="103" t="n">
        <v>1</v>
      </c>
      <c r="BR415" s="103" t="n">
        <v>0</v>
      </c>
      <c r="BS415" s="103" t="n">
        <v>1</v>
      </c>
      <c r="BT415" s="103" t="n">
        <v>8</v>
      </c>
      <c r="BU415" s="103" t="inlineStr">
        <is>
          <t>Strong</t>
        </is>
      </c>
      <c r="BV415" s="104" t="n">
        <v>0.28</v>
      </c>
      <c r="BW415" s="104" t="n">
        <v>3.23</v>
      </c>
      <c r="BX415" s="104" t="n">
        <v>0.98</v>
      </c>
      <c r="BY415" s="104" t="n">
        <v>3.8</v>
      </c>
      <c r="BZ415" s="104" t="n">
        <v>1</v>
      </c>
      <c r="CA415" s="104" t="n">
        <v>0.24</v>
      </c>
      <c r="CB415" s="104" t="n">
        <v>0.97</v>
      </c>
      <c r="CC415" s="104" t="n">
        <v>-0.07000000000000001</v>
      </c>
      <c r="CD415" s="103" t="n">
        <v>0.33</v>
      </c>
      <c r="CE415" s="103" t="inlineStr">
        <is>
          <t>Higher Risk</t>
        </is>
      </c>
      <c r="CF415" s="104" t="n">
        <v>1.34</v>
      </c>
      <c r="CG415" s="104" t="n">
        <v>55.49</v>
      </c>
      <c r="CH415" s="103" t="n">
        <v>20</v>
      </c>
      <c r="CI415" s="103" t="inlineStr">
        <is>
          <t>CLEAR</t>
        </is>
      </c>
    </row>
    <row r="416" ht="17" customHeight="1">
      <c r="A416" s="107" t="inlineStr">
        <is>
          <t>ENTG</t>
        </is>
      </c>
      <c r="B416" s="107" t="inlineStr">
        <is>
          <t>Entegris, Inc.</t>
        </is>
      </c>
      <c r="C416" s="108" t="n">
        <v>1149600000</v>
      </c>
      <c r="D416" s="109" t="n">
        <v>0.14</v>
      </c>
      <c r="E416" s="109" t="n">
        <v>0.08</v>
      </c>
      <c r="F416" s="109" t="n">
        <v>0.07000000000000001</v>
      </c>
      <c r="G416" s="109" t="n">
        <v>0.03</v>
      </c>
      <c r="H416" s="109" t="n">
        <v>0.03</v>
      </c>
      <c r="I416" s="109" t="n">
        <v>0.39</v>
      </c>
      <c r="J416" s="109" t="n">
        <v>0.06</v>
      </c>
      <c r="K416" s="109" t="n">
        <v>0.44</v>
      </c>
      <c r="L416" s="109" t="n">
        <v>0.46</v>
      </c>
      <c r="M416" s="109" t="n">
        <v>0.38</v>
      </c>
      <c r="N416" s="108" t="n">
        <v>0.39</v>
      </c>
      <c r="O416" s="108" t="n">
        <v>3.35</v>
      </c>
      <c r="P416" s="108" t="n">
        <v>3.08</v>
      </c>
      <c r="Q416" s="108" t="n">
        <v>2.04</v>
      </c>
      <c r="R416" s="108" t="n">
        <v>0.74</v>
      </c>
      <c r="S416" s="108" t="n">
        <v>1</v>
      </c>
      <c r="T416" s="108" t="n">
        <v>1</v>
      </c>
      <c r="U416" s="108" t="n">
        <v>6.08</v>
      </c>
      <c r="V416" s="108" t="n">
        <v>5.49</v>
      </c>
      <c r="W416" s="108" t="n">
        <v>2.95</v>
      </c>
      <c r="X416" s="109" t="n">
        <v>0.12</v>
      </c>
      <c r="Y416" s="109" t="n">
        <v>0.1</v>
      </c>
      <c r="Z416" s="109" t="n">
        <v>2.12</v>
      </c>
      <c r="AA416" s="109" t="n">
        <v>-0.01</v>
      </c>
      <c r="AB416" s="109" t="n">
        <v>-0.2</v>
      </c>
      <c r="AC416" s="108" t="n">
        <v>-0.06</v>
      </c>
      <c r="AD416" s="108" t="n">
        <v>-0.06</v>
      </c>
      <c r="AE416" s="108" t="n">
        <v>0.14</v>
      </c>
      <c r="AF416" s="108" t="n">
        <v>0.19</v>
      </c>
      <c r="AG416" s="108" t="n">
        <v>0.05</v>
      </c>
      <c r="AH416" s="108" t="n">
        <v>0.07000000000000001</v>
      </c>
      <c r="AI416" s="108" t="n">
        <v>0.38</v>
      </c>
      <c r="AJ416" s="108" t="n">
        <v>1.03</v>
      </c>
      <c r="AK416" s="112" t="inlineStr">
        <is>
          <t>Distress</t>
        </is>
      </c>
      <c r="AL416" s="108" t="n">
        <v>0.14</v>
      </c>
      <c r="AM416" s="108" t="n">
        <v>0.19</v>
      </c>
      <c r="AN416" s="108" t="n">
        <v>0.05</v>
      </c>
      <c r="AO416" s="108" t="n">
        <v>0.07000000000000001</v>
      </c>
      <c r="AP416" s="108" t="n">
        <v>0.38</v>
      </c>
      <c r="AQ416" s="107" t="n">
        <v>0.84</v>
      </c>
      <c r="AR416" s="107" t="inlineStr">
        <is>
          <t>Distress</t>
        </is>
      </c>
      <c r="AS416" s="108" t="n">
        <v>0.14</v>
      </c>
      <c r="AT416" s="108" t="n">
        <v>0.19</v>
      </c>
      <c r="AU416" s="108" t="n">
        <v>0.05</v>
      </c>
      <c r="AV416" s="108" t="n">
        <v>0.07000000000000001</v>
      </c>
      <c r="AW416" s="107" t="n">
        <v>1.95</v>
      </c>
      <c r="AX416" s="107" t="inlineStr">
        <is>
          <t>Grey</t>
        </is>
      </c>
      <c r="AY416" s="108" t="n">
        <v>0.14</v>
      </c>
      <c r="AZ416" s="108" t="n">
        <v>0.05</v>
      </c>
      <c r="BA416" s="108" t="n">
        <v>0.52</v>
      </c>
      <c r="BB416" s="108" t="n">
        <v>0.38</v>
      </c>
      <c r="BC416" s="107" t="n">
        <v>0.8100000000000001</v>
      </c>
      <c r="BD416" s="107" t="inlineStr">
        <is>
          <t>Distress</t>
        </is>
      </c>
      <c r="BE416" s="108" t="n">
        <v>0.03</v>
      </c>
      <c r="BF416" s="108" t="n">
        <v>1</v>
      </c>
      <c r="BG416" s="108" t="n">
        <v>3.35</v>
      </c>
      <c r="BH416" s="108" t="n">
        <v>1.23</v>
      </c>
      <c r="BI416" s="107" t="n">
        <v>0.77</v>
      </c>
      <c r="BJ416" s="107" t="inlineStr">
        <is>
          <t>Distress</t>
        </is>
      </c>
      <c r="BK416" s="107" t="n">
        <v>1</v>
      </c>
      <c r="BL416" s="107" t="n">
        <v>1</v>
      </c>
      <c r="BM416" s="107" t="n">
        <v>0</v>
      </c>
      <c r="BN416" s="107" t="n">
        <v>1</v>
      </c>
      <c r="BO416" s="107" t="n">
        <v>1</v>
      </c>
      <c r="BP416" s="107" t="n">
        <v>1</v>
      </c>
      <c r="BQ416" s="107" t="n">
        <v>0</v>
      </c>
      <c r="BR416" s="107" t="n">
        <v>0</v>
      </c>
      <c r="BS416" s="107" t="n">
        <v>0</v>
      </c>
      <c r="BT416" s="107" t="n">
        <v>5</v>
      </c>
      <c r="BU416" s="107" t="inlineStr">
        <is>
          <t>Mixed</t>
        </is>
      </c>
      <c r="BV416" s="111" t="inlineStr">
        <is>
          <t>N/A</t>
        </is>
      </c>
      <c r="BW416" s="108" t="n">
        <v>1.03</v>
      </c>
      <c r="BX416" s="108" t="n">
        <v>0.99</v>
      </c>
      <c r="BY416" s="108" t="n">
        <v>0.99</v>
      </c>
      <c r="BZ416" s="108" t="n">
        <v>1.12</v>
      </c>
      <c r="CA416" s="108" t="n">
        <v>1.02</v>
      </c>
      <c r="CB416" s="108" t="n">
        <v>1</v>
      </c>
      <c r="CC416" s="108" t="n">
        <v>-0.06</v>
      </c>
      <c r="CD416" s="111" t="inlineStr">
        <is>
          <t>N/A</t>
        </is>
      </c>
      <c r="CE416" s="111" t="inlineStr">
        <is>
          <t>N/A</t>
        </is>
      </c>
      <c r="CF416" s="108" t="n">
        <v>6.77</v>
      </c>
      <c r="CG416" s="108" t="n">
        <v>45.88</v>
      </c>
      <c r="CH416" s="107" t="n">
        <v>0</v>
      </c>
      <c r="CI416" s="107" t="inlineStr">
        <is>
          <t>CLEAR</t>
        </is>
      </c>
    </row>
    <row r="417" ht="17" customHeight="1">
      <c r="A417" s="103" t="inlineStr">
        <is>
          <t>VICR</t>
        </is>
      </c>
      <c r="B417" s="103" t="inlineStr">
        <is>
          <t>VICOR CORPORATION</t>
        </is>
      </c>
      <c r="C417" s="104" t="n">
        <v>522042000</v>
      </c>
      <c r="D417" s="105" t="n">
        <v>0.18</v>
      </c>
      <c r="E417" s="105" t="n">
        <v>0.21</v>
      </c>
      <c r="F417" s="105" t="n">
        <v>0.26</v>
      </c>
      <c r="G417" s="105" t="n">
        <v>0.15</v>
      </c>
      <c r="H417" s="105" t="n">
        <v>0.01</v>
      </c>
      <c r="I417" s="105" t="n">
        <v>0.17</v>
      </c>
      <c r="J417" s="105" t="n">
        <v>0.11</v>
      </c>
      <c r="K417" s="105" t="n">
        <v>0.57</v>
      </c>
      <c r="L417" s="105" t="n">
        <v>0.51</v>
      </c>
      <c r="M417" s="105" t="n">
        <v>0.58</v>
      </c>
      <c r="N417" s="104" t="n">
        <v>0.5600000000000001</v>
      </c>
      <c r="O417" s="104" t="n">
        <v>8.99</v>
      </c>
      <c r="P417" s="104" t="n">
        <v>7.49</v>
      </c>
      <c r="Q417" s="104" t="n">
        <v>7.59</v>
      </c>
      <c r="R417" s="104" t="n">
        <v>6.17</v>
      </c>
      <c r="S417" s="104" t="n">
        <v>0.09</v>
      </c>
      <c r="T417" s="104" t="n">
        <v>0.11</v>
      </c>
      <c r="U417" s="113" t="inlineStr">
        <is>
          <t>N/A</t>
        </is>
      </c>
      <c r="V417" s="113" t="inlineStr">
        <is>
          <t>N/A</t>
        </is>
      </c>
      <c r="W417" s="104" t="n">
        <v>1.18</v>
      </c>
      <c r="X417" s="105" t="n">
        <v>0.26</v>
      </c>
      <c r="Y417" s="105" t="n">
        <v>0.17</v>
      </c>
      <c r="Z417" s="113" t="inlineStr">
        <is>
          <t>N/A</t>
        </is>
      </c>
      <c r="AA417" s="105" t="n">
        <v>0.26</v>
      </c>
      <c r="AB417" s="105" t="n">
        <v>18.34</v>
      </c>
      <c r="AC417" s="104" t="n">
        <v>-0.03</v>
      </c>
      <c r="AD417" s="104" t="n">
        <v>-0.03</v>
      </c>
      <c r="AE417" s="104" t="n">
        <v>0.66</v>
      </c>
      <c r="AF417" s="104" t="n">
        <v>0.54</v>
      </c>
      <c r="AG417" s="104" t="n">
        <v>0.1</v>
      </c>
      <c r="AH417" s="104" t="n">
        <v>9.609999999999999</v>
      </c>
      <c r="AI417" s="104" t="n">
        <v>0.58</v>
      </c>
      <c r="AJ417" s="104" t="n">
        <v>8.24</v>
      </c>
      <c r="AK417" s="110" t="inlineStr">
        <is>
          <t>Safe</t>
        </is>
      </c>
      <c r="AL417" s="104" t="n">
        <v>0.66</v>
      </c>
      <c r="AM417" s="104" t="n">
        <v>0.54</v>
      </c>
      <c r="AN417" s="104" t="n">
        <v>0.1</v>
      </c>
      <c r="AO417" s="104" t="n">
        <v>9.609999999999999</v>
      </c>
      <c r="AP417" s="104" t="n">
        <v>0.58</v>
      </c>
      <c r="AQ417" s="103" t="n">
        <v>5.87</v>
      </c>
      <c r="AR417" s="103" t="inlineStr">
        <is>
          <t>Safe</t>
        </is>
      </c>
      <c r="AS417" s="104" t="n">
        <v>0.66</v>
      </c>
      <c r="AT417" s="104" t="n">
        <v>0.54</v>
      </c>
      <c r="AU417" s="104" t="n">
        <v>0.1</v>
      </c>
      <c r="AV417" s="104" t="n">
        <v>9.609999999999999</v>
      </c>
      <c r="AW417" s="103" t="n">
        <v>16.9</v>
      </c>
      <c r="AX417" s="103" t="inlineStr">
        <is>
          <t>Safe</t>
        </is>
      </c>
      <c r="AY417" s="104" t="n">
        <v>0.66</v>
      </c>
      <c r="AZ417" s="104" t="n">
        <v>0.1</v>
      </c>
      <c r="BA417" s="104" t="n">
        <v>1.45</v>
      </c>
      <c r="BB417" s="104" t="n">
        <v>0.58</v>
      </c>
      <c r="BC417" s="103" t="n">
        <v>2.19</v>
      </c>
      <c r="BD417" s="103" t="inlineStr">
        <is>
          <t>Healthy</t>
        </is>
      </c>
      <c r="BE417" s="104" t="n">
        <v>0.15</v>
      </c>
      <c r="BF417" s="104" t="n">
        <v>0.09</v>
      </c>
      <c r="BG417" s="104" t="n">
        <v>8.99</v>
      </c>
      <c r="BH417" s="104" t="n">
        <v>-4.45</v>
      </c>
      <c r="BI417" s="103" t="n">
        <v>0.01</v>
      </c>
      <c r="BJ417" s="103" t="inlineStr">
        <is>
          <t>Healthy</t>
        </is>
      </c>
      <c r="BK417" s="103" t="n">
        <v>1</v>
      </c>
      <c r="BL417" s="103" t="n">
        <v>1</v>
      </c>
      <c r="BM417" s="103" t="n">
        <v>1</v>
      </c>
      <c r="BN417" s="103" t="n">
        <v>1</v>
      </c>
      <c r="BO417" s="103" t="n">
        <v>0</v>
      </c>
      <c r="BP417" s="103" t="n">
        <v>1</v>
      </c>
      <c r="BQ417" s="103" t="n">
        <v>1</v>
      </c>
      <c r="BR417" s="103" t="n">
        <v>1</v>
      </c>
      <c r="BS417" s="103" t="n">
        <v>1</v>
      </c>
      <c r="BT417" s="103" t="n">
        <v>8</v>
      </c>
      <c r="BU417" s="103" t="inlineStr">
        <is>
          <t>Strong</t>
        </is>
      </c>
      <c r="BV417" s="104" t="n">
        <v>0.91</v>
      </c>
      <c r="BW417" s="104" t="n">
        <v>0.89</v>
      </c>
      <c r="BX417" s="104" t="n">
        <v>1.63</v>
      </c>
      <c r="BY417" s="104" t="n">
        <v>1.26</v>
      </c>
      <c r="BZ417" s="104" t="n">
        <v>0.88</v>
      </c>
      <c r="CA417" s="104" t="n">
        <v>0.8100000000000001</v>
      </c>
      <c r="CB417" s="104" t="n">
        <v>0.85</v>
      </c>
      <c r="CC417" s="104" t="n">
        <v>-0.03</v>
      </c>
      <c r="CD417" s="103" t="n">
        <v>-2.19</v>
      </c>
      <c r="CE417" s="103" t="inlineStr">
        <is>
          <t>Higher Risk</t>
        </is>
      </c>
      <c r="CF417" s="113" t="inlineStr">
        <is>
          <t>N/A</t>
        </is>
      </c>
      <c r="CG417" s="104" t="n">
        <v>73.58</v>
      </c>
      <c r="CH417" s="103" t="n">
        <v>20</v>
      </c>
      <c r="CI417" s="103" t="inlineStr">
        <is>
          <t>CLEAR</t>
        </is>
      </c>
    </row>
    <row r="418" ht="17" customHeight="1">
      <c r="A418" s="107" t="inlineStr">
        <is>
          <t>CVNA</t>
        </is>
      </c>
      <c r="B418" s="107" t="inlineStr">
        <is>
          <t>CARVANA CO.</t>
        </is>
      </c>
      <c r="C418" s="108" t="n">
        <v>5030000000</v>
      </c>
      <c r="D418" s="109" t="n">
        <v>0.09</v>
      </c>
      <c r="E418" s="111" t="inlineStr">
        <is>
          <t>N/A</t>
        </is>
      </c>
      <c r="F418" s="109" t="n">
        <v>0.07000000000000001</v>
      </c>
      <c r="G418" s="109" t="n">
        <v>0.11</v>
      </c>
      <c r="H418" s="109" t="n">
        <v>0.02</v>
      </c>
      <c r="I418" s="109" t="n">
        <v>0.41</v>
      </c>
      <c r="J418" s="109" t="n">
        <v>0.16</v>
      </c>
      <c r="K418" s="109" t="n">
        <v>0.21</v>
      </c>
      <c r="L418" s="109" t="n">
        <v>0.21</v>
      </c>
      <c r="M418" s="109" t="n">
        <v>1.54</v>
      </c>
      <c r="N418" s="108" t="n">
        <v>1.61</v>
      </c>
      <c r="O418" s="108" t="n">
        <v>4.31</v>
      </c>
      <c r="P418" s="108" t="n">
        <v>3.64</v>
      </c>
      <c r="Q418" s="108" t="n">
        <v>2.73</v>
      </c>
      <c r="R418" s="108" t="n">
        <v>1.53</v>
      </c>
      <c r="S418" s="108" t="n">
        <v>0.68</v>
      </c>
      <c r="T418" s="108" t="n">
        <v>0.84</v>
      </c>
      <c r="U418" s="108" t="n">
        <v>1.5</v>
      </c>
      <c r="V418" s="108" t="n">
        <v>0.82</v>
      </c>
      <c r="W418" s="108" t="n">
        <v>0.74</v>
      </c>
      <c r="X418" s="109" t="n">
        <v>0.04</v>
      </c>
      <c r="Y418" s="111" t="inlineStr">
        <is>
          <t>N/A</t>
        </is>
      </c>
      <c r="Z418" s="109" t="n">
        <v>2.98</v>
      </c>
      <c r="AA418" s="109" t="n">
        <v>0.49</v>
      </c>
      <c r="AB418" s="109" t="n">
        <v>5.7</v>
      </c>
      <c r="AC418" s="108" t="n">
        <v>0.03</v>
      </c>
      <c r="AD418" s="108" t="n">
        <v>0.03</v>
      </c>
      <c r="AE418" s="108" t="n">
        <v>0.38</v>
      </c>
      <c r="AF418" s="108" t="n">
        <v>-0</v>
      </c>
      <c r="AG418" s="108" t="n">
        <v>0.14</v>
      </c>
      <c r="AH418" s="108" t="n">
        <v>0.38</v>
      </c>
      <c r="AI418" s="108" t="n">
        <v>1.54</v>
      </c>
      <c r="AJ418" s="108" t="n">
        <v>2.7</v>
      </c>
      <c r="AK418" s="106" t="inlineStr">
        <is>
          <t>Grey</t>
        </is>
      </c>
      <c r="AL418" s="108" t="n">
        <v>0.38</v>
      </c>
      <c r="AM418" s="108" t="n">
        <v>-0</v>
      </c>
      <c r="AN418" s="108" t="n">
        <v>0.14</v>
      </c>
      <c r="AO418" s="108" t="n">
        <v>0.38</v>
      </c>
      <c r="AP418" s="108" t="n">
        <v>1.54</v>
      </c>
      <c r="AQ418" s="107" t="n">
        <v>2.41</v>
      </c>
      <c r="AR418" s="107" t="inlineStr">
        <is>
          <t>Grey</t>
        </is>
      </c>
      <c r="AS418" s="108" t="n">
        <v>0.38</v>
      </c>
      <c r="AT418" s="108" t="n">
        <v>-0</v>
      </c>
      <c r="AU418" s="108" t="n">
        <v>0.14</v>
      </c>
      <c r="AV418" s="108" t="n">
        <v>0.38</v>
      </c>
      <c r="AW418" s="107" t="n">
        <v>3.86</v>
      </c>
      <c r="AX418" s="107" t="inlineStr">
        <is>
          <t>Safe</t>
        </is>
      </c>
      <c r="AY418" s="108" t="n">
        <v>0.38</v>
      </c>
      <c r="AZ418" s="108" t="n">
        <v>0.14</v>
      </c>
      <c r="BA418" s="111" t="inlineStr">
        <is>
          <t>N/A</t>
        </is>
      </c>
      <c r="BB418" s="108" t="n">
        <v>1.54</v>
      </c>
      <c r="BC418" s="111" t="inlineStr">
        <is>
          <t>N/A</t>
        </is>
      </c>
      <c r="BD418" s="111" t="inlineStr">
        <is>
          <t>N/A</t>
        </is>
      </c>
      <c r="BE418" s="108" t="n">
        <v>0.11</v>
      </c>
      <c r="BF418" s="108" t="n">
        <v>0.68</v>
      </c>
      <c r="BG418" s="108" t="n">
        <v>4.31</v>
      </c>
      <c r="BH418" s="108" t="n">
        <v>-0.93</v>
      </c>
      <c r="BI418" s="107" t="n">
        <v>0.28</v>
      </c>
      <c r="BJ418" s="107" t="inlineStr">
        <is>
          <t>Healthy</t>
        </is>
      </c>
      <c r="BK418" s="107" t="n">
        <v>1</v>
      </c>
      <c r="BL418" s="107" t="n">
        <v>1</v>
      </c>
      <c r="BM418" s="107" t="n">
        <v>1</v>
      </c>
      <c r="BN418" s="107" t="n">
        <v>0</v>
      </c>
      <c r="BO418" s="107" t="n">
        <v>1</v>
      </c>
      <c r="BP418" s="107" t="n">
        <v>1</v>
      </c>
      <c r="BQ418" s="107" t="n">
        <v>0</v>
      </c>
      <c r="BR418" s="107" t="n">
        <v>0</v>
      </c>
      <c r="BS418" s="107" t="n">
        <v>0</v>
      </c>
      <c r="BT418" s="107" t="n">
        <v>5</v>
      </c>
      <c r="BU418" s="107" t="inlineStr">
        <is>
          <t>Mixed</t>
        </is>
      </c>
      <c r="BV418" s="108" t="n">
        <v>0.54</v>
      </c>
      <c r="BW418" s="108" t="n">
        <v>1.02</v>
      </c>
      <c r="BX418" s="108" t="n">
        <v>1.23</v>
      </c>
      <c r="BY418" s="108" t="n">
        <v>1.49</v>
      </c>
      <c r="BZ418" s="108" t="n">
        <v>1.27</v>
      </c>
      <c r="CA418" s="108" t="n">
        <v>0.83</v>
      </c>
      <c r="CB418" s="108" t="n">
        <v>0.8100000000000001</v>
      </c>
      <c r="CC418" s="108" t="n">
        <v>0.03</v>
      </c>
      <c r="CD418" s="107" t="n">
        <v>-2.11</v>
      </c>
      <c r="CE418" s="107" t="inlineStr">
        <is>
          <t>Higher Risk</t>
        </is>
      </c>
      <c r="CF418" s="108" t="n">
        <v>1.49</v>
      </c>
      <c r="CG418" s="108" t="n">
        <v>46.39</v>
      </c>
      <c r="CH418" s="107" t="n">
        <v>20</v>
      </c>
      <c r="CI418" s="107" t="inlineStr">
        <is>
          <t>CLEAR</t>
        </is>
      </c>
    </row>
    <row r="419" ht="17" customHeight="1">
      <c r="A419" s="103" t="inlineStr">
        <is>
          <t>RMBS</t>
        </is>
      </c>
      <c r="B419" s="103" t="inlineStr">
        <is>
          <t>RAMBUS INC</t>
        </is>
      </c>
      <c r="C419" s="104" t="n">
        <v>868242000</v>
      </c>
      <c r="D419" s="105" t="n">
        <v>0.66</v>
      </c>
      <c r="E419" s="105" t="n">
        <v>0.72</v>
      </c>
      <c r="F419" s="105" t="n">
        <v>0.59</v>
      </c>
      <c r="G419" s="105" t="n">
        <v>0.15</v>
      </c>
      <c r="H419" s="105" t="n">
        <v>0.13</v>
      </c>
      <c r="I419" s="105" t="n">
        <v>0.17</v>
      </c>
      <c r="J419" s="105" t="n">
        <v>0.18</v>
      </c>
      <c r="K419" s="105" t="n">
        <v>1.43</v>
      </c>
      <c r="L419" s="105" t="n">
        <v>4.38</v>
      </c>
      <c r="M419" s="105" t="n">
        <v>0.26</v>
      </c>
      <c r="N419" s="104" t="n">
        <v>0.08</v>
      </c>
      <c r="O419" s="104" t="n">
        <v>8.199999999999999</v>
      </c>
      <c r="P419" s="104" t="n">
        <v>8.44</v>
      </c>
      <c r="Q419" s="104" t="n">
        <v>7.84</v>
      </c>
      <c r="R419" s="104" t="n">
        <v>1.52</v>
      </c>
      <c r="S419" s="104" t="n">
        <v>0.11</v>
      </c>
      <c r="T419" s="104" t="n">
        <v>0.17</v>
      </c>
      <c r="U419" s="113" t="inlineStr">
        <is>
          <t>N/A</t>
        </is>
      </c>
      <c r="V419" s="113" t="inlineStr">
        <is>
          <t>N/A</t>
        </is>
      </c>
      <c r="W419" s="104" t="n">
        <v>1.56</v>
      </c>
      <c r="X419" s="105" t="n">
        <v>0.85</v>
      </c>
      <c r="Y419" s="105" t="n">
        <v>0.48</v>
      </c>
      <c r="Z419" s="105" t="n">
        <v>174.64</v>
      </c>
      <c r="AA419" s="105" t="n">
        <v>2.86</v>
      </c>
      <c r="AB419" s="105" t="n">
        <v>0.28</v>
      </c>
      <c r="AC419" s="104" t="n">
        <v>-0.08</v>
      </c>
      <c r="AD419" s="104" t="n">
        <v>-0.08</v>
      </c>
      <c r="AE419" s="104" t="n">
        <v>0.57</v>
      </c>
      <c r="AF419" s="104" t="n">
        <v>0.05</v>
      </c>
      <c r="AG419" s="104" t="n">
        <v>0.17</v>
      </c>
      <c r="AH419" s="104" t="n">
        <v>8.26</v>
      </c>
      <c r="AI419" s="104" t="n">
        <v>0.26</v>
      </c>
      <c r="AJ419" s="104" t="n">
        <v>6.53</v>
      </c>
      <c r="AK419" s="110" t="inlineStr">
        <is>
          <t>Safe</t>
        </is>
      </c>
      <c r="AL419" s="104" t="n">
        <v>0.57</v>
      </c>
      <c r="AM419" s="104" t="n">
        <v>0.05</v>
      </c>
      <c r="AN419" s="104" t="n">
        <v>0.17</v>
      </c>
      <c r="AO419" s="104" t="n">
        <v>8.26</v>
      </c>
      <c r="AP419" s="104" t="n">
        <v>0.26</v>
      </c>
      <c r="AQ419" s="103" t="n">
        <v>4.71</v>
      </c>
      <c r="AR419" s="103" t="inlineStr">
        <is>
          <t>Safe</t>
        </is>
      </c>
      <c r="AS419" s="104" t="n">
        <v>0.57</v>
      </c>
      <c r="AT419" s="104" t="n">
        <v>0.05</v>
      </c>
      <c r="AU419" s="104" t="n">
        <v>0.17</v>
      </c>
      <c r="AV419" s="104" t="n">
        <v>8.26</v>
      </c>
      <c r="AW419" s="103" t="n">
        <v>13.71</v>
      </c>
      <c r="AX419" s="103" t="inlineStr">
        <is>
          <t>Safe</t>
        </is>
      </c>
      <c r="AY419" s="104" t="n">
        <v>0.57</v>
      </c>
      <c r="AZ419" s="104" t="n">
        <v>0.17</v>
      </c>
      <c r="BA419" s="104" t="n">
        <v>2.34</v>
      </c>
      <c r="BB419" s="104" t="n">
        <v>0.26</v>
      </c>
      <c r="BC419" s="103" t="n">
        <v>2.75</v>
      </c>
      <c r="BD419" s="103" t="inlineStr">
        <is>
          <t>Healthy</t>
        </is>
      </c>
      <c r="BE419" s="104" t="n">
        <v>0.15</v>
      </c>
      <c r="BF419" s="104" t="n">
        <v>0.11</v>
      </c>
      <c r="BG419" s="104" t="n">
        <v>8.199999999999999</v>
      </c>
      <c r="BH419" s="104" t="n">
        <v>-4.37</v>
      </c>
      <c r="BI419" s="103" t="n">
        <v>0.01</v>
      </c>
      <c r="BJ419" s="103" t="inlineStr">
        <is>
          <t>Healthy</t>
        </is>
      </c>
      <c r="BK419" s="103" t="n">
        <v>1</v>
      </c>
      <c r="BL419" s="103" t="n">
        <v>1</v>
      </c>
      <c r="BM419" s="103" t="n">
        <v>1</v>
      </c>
      <c r="BN419" s="103" t="n">
        <v>1</v>
      </c>
      <c r="BO419" s="103" t="n">
        <v>0</v>
      </c>
      <c r="BP419" s="103" t="n">
        <v>0</v>
      </c>
      <c r="BQ419" s="103" t="n">
        <v>0</v>
      </c>
      <c r="BR419" s="103" t="n">
        <v>0</v>
      </c>
      <c r="BS419" s="103" t="n">
        <v>1</v>
      </c>
      <c r="BT419" s="103" t="n">
        <v>5</v>
      </c>
      <c r="BU419" s="103" t="inlineStr">
        <is>
          <t>Mixed</t>
        </is>
      </c>
      <c r="BV419" s="104" t="n">
        <v>0.29</v>
      </c>
      <c r="BW419" s="104" t="n">
        <v>3.06</v>
      </c>
      <c r="BX419" s="104" t="n">
        <v>0.65</v>
      </c>
      <c r="BY419" s="104" t="n">
        <v>3.86</v>
      </c>
      <c r="BZ419" s="104" t="n">
        <v>1.23</v>
      </c>
      <c r="CA419" s="104" t="n">
        <v>0.29</v>
      </c>
      <c r="CB419" s="104" t="n">
        <v>0.65</v>
      </c>
      <c r="CC419" s="104" t="n">
        <v>-0.08</v>
      </c>
      <c r="CD419" s="103" t="n">
        <v>0.23</v>
      </c>
      <c r="CE419" s="103" t="inlineStr">
        <is>
          <t>Higher Risk</t>
        </is>
      </c>
      <c r="CF419" s="113" t="inlineStr">
        <is>
          <t>N/A</t>
        </is>
      </c>
      <c r="CG419" s="104" t="n">
        <v>57.76</v>
      </c>
      <c r="CH419" s="103" t="n">
        <v>20</v>
      </c>
      <c r="CI419" s="103" t="inlineStr">
        <is>
          <t>CLEAR</t>
        </is>
      </c>
    </row>
    <row r="420" ht="17" customHeight="1">
      <c r="A420" s="107" t="inlineStr">
        <is>
          <t>WDAY</t>
        </is>
      </c>
      <c r="B420" s="107" t="inlineStr">
        <is>
          <t>WORKDAY, INC.</t>
        </is>
      </c>
      <c r="C420" s="108" t="n">
        <v>2051000000</v>
      </c>
      <c r="D420" s="109" t="n">
        <v>0.34</v>
      </c>
      <c r="E420" s="109" t="n">
        <v>0.47</v>
      </c>
      <c r="F420" s="109" t="n">
        <v>0.32</v>
      </c>
      <c r="G420" s="109" t="n">
        <v>0.04</v>
      </c>
      <c r="H420" s="109" t="n">
        <v>0.03</v>
      </c>
      <c r="I420" s="109" t="n">
        <v>0.09</v>
      </c>
      <c r="J420" s="109" t="n">
        <v>0.06</v>
      </c>
      <c r="K420" s="109" t="n">
        <v>0.95</v>
      </c>
      <c r="L420" s="109" t="n">
        <v>0.89</v>
      </c>
      <c r="M420" s="109" t="n">
        <v>0.12</v>
      </c>
      <c r="N420" s="108" t="n">
        <v>0.03</v>
      </c>
      <c r="O420" s="108" t="n">
        <v>1.32</v>
      </c>
      <c r="P420" s="108" t="n">
        <v>1.9</v>
      </c>
      <c r="Q420" s="108" t="n">
        <v>1.32</v>
      </c>
      <c r="R420" s="108" t="n">
        <v>0.24</v>
      </c>
      <c r="S420" s="108" t="n">
        <v>0.57</v>
      </c>
      <c r="T420" s="108" t="n">
        <v>0.5</v>
      </c>
      <c r="U420" s="108" t="n">
        <v>0.38</v>
      </c>
      <c r="V420" s="108" t="n">
        <v>0.19</v>
      </c>
      <c r="W420" s="108" t="n">
        <v>4.24</v>
      </c>
      <c r="X420" s="109" t="n">
        <v>1.3</v>
      </c>
      <c r="Y420" s="109" t="n">
        <v>1.25</v>
      </c>
      <c r="Z420" s="109" t="n">
        <v>6.32</v>
      </c>
      <c r="AA420" s="109" t="n">
        <v>2.68</v>
      </c>
      <c r="AB420" s="109" t="n">
        <v>0.32</v>
      </c>
      <c r="AC420" s="108" t="n">
        <v>-0.12</v>
      </c>
      <c r="AD420" s="108" t="n">
        <v>-0.12</v>
      </c>
      <c r="AE420" s="108" t="n">
        <v>0.11</v>
      </c>
      <c r="AF420" s="108" t="n">
        <v>-0.03</v>
      </c>
      <c r="AG420" s="108" t="n">
        <v>0.04</v>
      </c>
      <c r="AH420" s="108" t="n">
        <v>0.76</v>
      </c>
      <c r="AI420" s="108" t="n">
        <v>0.12</v>
      </c>
      <c r="AJ420" s="108" t="n">
        <v>0.8</v>
      </c>
      <c r="AK420" s="112" t="inlineStr">
        <is>
          <t>Distress</t>
        </is>
      </c>
      <c r="AL420" s="108" t="n">
        <v>0.11</v>
      </c>
      <c r="AM420" s="108" t="n">
        <v>-0.03</v>
      </c>
      <c r="AN420" s="108" t="n">
        <v>0.04</v>
      </c>
      <c r="AO420" s="108" t="n">
        <v>0.76</v>
      </c>
      <c r="AP420" s="108" t="n">
        <v>0.12</v>
      </c>
      <c r="AQ420" s="107" t="n">
        <v>0.62</v>
      </c>
      <c r="AR420" s="107" t="inlineStr">
        <is>
          <t>Distress</t>
        </is>
      </c>
      <c r="AS420" s="108" t="n">
        <v>0.11</v>
      </c>
      <c r="AT420" s="108" t="n">
        <v>-0.03</v>
      </c>
      <c r="AU420" s="108" t="n">
        <v>0.04</v>
      </c>
      <c r="AV420" s="108" t="n">
        <v>0.76</v>
      </c>
      <c r="AW420" s="107" t="n">
        <v>1.72</v>
      </c>
      <c r="AX420" s="107" t="inlineStr">
        <is>
          <t>Grey</t>
        </is>
      </c>
      <c r="AY420" s="108" t="n">
        <v>0.11</v>
      </c>
      <c r="AZ420" s="108" t="n">
        <v>0.04</v>
      </c>
      <c r="BA420" s="108" t="n">
        <v>0.16</v>
      </c>
      <c r="BB420" s="108" t="n">
        <v>0.12</v>
      </c>
      <c r="BC420" s="107" t="n">
        <v>0.39</v>
      </c>
      <c r="BD420" s="107" t="inlineStr">
        <is>
          <t>Distress</t>
        </is>
      </c>
      <c r="BE420" s="108" t="n">
        <v>0.04</v>
      </c>
      <c r="BF420" s="108" t="n">
        <v>0.57</v>
      </c>
      <c r="BG420" s="108" t="n">
        <v>1.32</v>
      </c>
      <c r="BH420" s="108" t="n">
        <v>-1.28</v>
      </c>
      <c r="BI420" s="107" t="n">
        <v>0.22</v>
      </c>
      <c r="BJ420" s="107" t="inlineStr">
        <is>
          <t>Healthy</t>
        </is>
      </c>
      <c r="BK420" s="107" t="n">
        <v>1</v>
      </c>
      <c r="BL420" s="107" t="n">
        <v>1</v>
      </c>
      <c r="BM420" s="107" t="n">
        <v>1</v>
      </c>
      <c r="BN420" s="107" t="n">
        <v>1</v>
      </c>
      <c r="BO420" s="107" t="n">
        <v>1</v>
      </c>
      <c r="BP420" s="107" t="n">
        <v>0</v>
      </c>
      <c r="BQ420" s="107" t="n">
        <v>0</v>
      </c>
      <c r="BR420" s="107" t="n">
        <v>1</v>
      </c>
      <c r="BS420" s="107" t="n">
        <v>1</v>
      </c>
      <c r="BT420" s="107" t="n">
        <v>7</v>
      </c>
      <c r="BU420" s="107" t="inlineStr">
        <is>
          <t>Strong</t>
        </is>
      </c>
      <c r="BV420" s="108" t="n">
        <v>0.33</v>
      </c>
      <c r="BW420" s="108" t="n">
        <v>0.9399999999999999</v>
      </c>
      <c r="BX420" s="108" t="n">
        <v>1.37</v>
      </c>
      <c r="BY420" s="108" t="n">
        <v>3.68</v>
      </c>
      <c r="BZ420" s="108" t="n">
        <v>0.65</v>
      </c>
      <c r="CA420" s="108" t="n">
        <v>0.3</v>
      </c>
      <c r="CB420" s="108" t="n">
        <v>1.14</v>
      </c>
      <c r="CC420" s="108" t="n">
        <v>-0.12</v>
      </c>
      <c r="CD420" s="107" t="n">
        <v>-1.14</v>
      </c>
      <c r="CE420" s="107" t="inlineStr">
        <is>
          <t>Higher Risk</t>
        </is>
      </c>
      <c r="CF420" s="108" t="n">
        <v>1.61</v>
      </c>
      <c r="CG420" s="108" t="n">
        <v>48.48</v>
      </c>
      <c r="CH420" s="106" t="n">
        <v>40</v>
      </c>
      <c r="CI420" s="107" t="inlineStr">
        <is>
          <t>WATCH</t>
        </is>
      </c>
    </row>
    <row r="421" ht="17" customHeight="1">
      <c r="A421" s="103" t="inlineStr">
        <is>
          <t>RIVN</t>
        </is>
      </c>
      <c r="B421" s="103" t="inlineStr">
        <is>
          <t>Rivian Automotive, Inc. / DE</t>
        </is>
      </c>
      <c r="C421" s="104" t="n">
        <v>4899000000</v>
      </c>
      <c r="D421" s="105" t="n">
        <v>-0.67</v>
      </c>
      <c r="E421" s="105" t="n">
        <v>-0.67</v>
      </c>
      <c r="F421" s="105" t="n">
        <v>-0.68</v>
      </c>
      <c r="G421" s="105" t="n">
        <v>-0.25</v>
      </c>
      <c r="H421" s="105" t="n">
        <v>-0.31</v>
      </c>
      <c r="I421" s="105" t="n">
        <v>-0.4</v>
      </c>
      <c r="J421" s="105" t="n">
        <v>-0.32</v>
      </c>
      <c r="K421" s="105" t="n">
        <v>0.03</v>
      </c>
      <c r="L421" s="105" t="n">
        <v>-0.24</v>
      </c>
      <c r="M421" s="105" t="n">
        <v>0.36</v>
      </c>
      <c r="N421" s="104" t="n">
        <v>0.32</v>
      </c>
      <c r="O421" s="104" t="n">
        <v>2.33</v>
      </c>
      <c r="P421" s="104" t="n">
        <v>4.7</v>
      </c>
      <c r="Q421" s="104" t="n">
        <v>1.89</v>
      </c>
      <c r="R421" s="104" t="n">
        <v>0.97</v>
      </c>
      <c r="S421" s="104" t="n">
        <v>0.6899999999999999</v>
      </c>
      <c r="T421" s="104" t="n">
        <v>0.57</v>
      </c>
      <c r="U421" s="104" t="n">
        <v>0.48</v>
      </c>
      <c r="V421" s="104" t="n">
        <v>0.09</v>
      </c>
      <c r="W421" s="104" t="n">
        <v>0.21</v>
      </c>
      <c r="X421" s="105" t="n">
        <v>-0.46</v>
      </c>
      <c r="Y421" s="105" t="n">
        <v>0.31</v>
      </c>
      <c r="Z421" s="105" t="n">
        <v>-16.3</v>
      </c>
      <c r="AA421" s="105" t="n">
        <v>0.08</v>
      </c>
      <c r="AB421" s="105" t="n">
        <v>-0.23</v>
      </c>
      <c r="AC421" s="104" t="n">
        <v>-0.19</v>
      </c>
      <c r="AD421" s="104" t="n">
        <v>-0.19</v>
      </c>
      <c r="AE421" s="104" t="n">
        <v>0.33</v>
      </c>
      <c r="AF421" s="104" t="n">
        <v>-1.81</v>
      </c>
      <c r="AG421" s="104" t="n">
        <v>-0.24</v>
      </c>
      <c r="AH421" s="104" t="n">
        <v>0.89</v>
      </c>
      <c r="AI421" s="104" t="n">
        <v>0.36</v>
      </c>
      <c r="AJ421" s="104" t="n">
        <v>-2.04</v>
      </c>
      <c r="AK421" s="112" t="inlineStr">
        <is>
          <t>Distress</t>
        </is>
      </c>
      <c r="AL421" s="104" t="n">
        <v>0.33</v>
      </c>
      <c r="AM421" s="104" t="n">
        <v>-1.81</v>
      </c>
      <c r="AN421" s="104" t="n">
        <v>-0.24</v>
      </c>
      <c r="AO421" s="104" t="n">
        <v>0.89</v>
      </c>
      <c r="AP421" s="104" t="n">
        <v>0.36</v>
      </c>
      <c r="AQ421" s="103" t="n">
        <v>-1.31</v>
      </c>
      <c r="AR421" s="103" t="inlineStr">
        <is>
          <t>Distress</t>
        </is>
      </c>
      <c r="AS421" s="104" t="n">
        <v>0.33</v>
      </c>
      <c r="AT421" s="104" t="n">
        <v>-1.81</v>
      </c>
      <c r="AU421" s="104" t="n">
        <v>-0.24</v>
      </c>
      <c r="AV421" s="104" t="n">
        <v>0.89</v>
      </c>
      <c r="AW421" s="103" t="n">
        <v>-4.44</v>
      </c>
      <c r="AX421" s="103" t="inlineStr">
        <is>
          <t>Distress</t>
        </is>
      </c>
      <c r="AY421" s="104" t="n">
        <v>0.33</v>
      </c>
      <c r="AZ421" s="104" t="n">
        <v>-0.24</v>
      </c>
      <c r="BA421" s="104" t="n">
        <v>-0.98</v>
      </c>
      <c r="BB421" s="104" t="n">
        <v>0.36</v>
      </c>
      <c r="BC421" s="103" t="n">
        <v>-0.9</v>
      </c>
      <c r="BD421" s="103" t="inlineStr">
        <is>
          <t>Distress</t>
        </is>
      </c>
      <c r="BE421" s="104" t="n">
        <v>-0.25</v>
      </c>
      <c r="BF421" s="104" t="n">
        <v>0.6899999999999999</v>
      </c>
      <c r="BG421" s="104" t="n">
        <v>2.33</v>
      </c>
      <c r="BH421" s="104" t="n">
        <v>0.7</v>
      </c>
      <c r="BI421" s="103" t="n">
        <v>0.67</v>
      </c>
      <c r="BJ421" s="103" t="inlineStr">
        <is>
          <t>Distress</t>
        </is>
      </c>
      <c r="BK421" s="103" t="n">
        <v>0</v>
      </c>
      <c r="BL421" s="103" t="n">
        <v>0</v>
      </c>
      <c r="BM421" s="103" t="n">
        <v>1</v>
      </c>
      <c r="BN421" s="103" t="n">
        <v>1</v>
      </c>
      <c r="BO421" s="103" t="n">
        <v>0</v>
      </c>
      <c r="BP421" s="103" t="n">
        <v>0</v>
      </c>
      <c r="BQ421" s="103" t="n">
        <v>0</v>
      </c>
      <c r="BR421" s="103" t="n">
        <v>1</v>
      </c>
      <c r="BS421" s="103" t="n">
        <v>1</v>
      </c>
      <c r="BT421" s="103" t="n">
        <v>4</v>
      </c>
      <c r="BU421" s="103" t="inlineStr">
        <is>
          <t>Mixed</t>
        </is>
      </c>
      <c r="BV421" s="104" t="n">
        <v>1.16</v>
      </c>
      <c r="BW421" s="104" t="n">
        <v>-9.029999999999999</v>
      </c>
      <c r="BX421" s="104" t="n">
        <v>1.59</v>
      </c>
      <c r="BY421" s="104" t="n">
        <v>1.08</v>
      </c>
      <c r="BZ421" s="104" t="n">
        <v>1.42</v>
      </c>
      <c r="CA421" s="104" t="n">
        <v>1.01</v>
      </c>
      <c r="CB421" s="104" t="n">
        <v>1.2</v>
      </c>
      <c r="CC421" s="104" t="n">
        <v>-0.19</v>
      </c>
      <c r="CD421" s="103" t="n">
        <v>-8.25</v>
      </c>
      <c r="CE421" s="103" t="inlineStr">
        <is>
          <t>Lower Risk</t>
        </is>
      </c>
      <c r="CF421" s="104" t="n">
        <v>-0.3</v>
      </c>
      <c r="CG421" s="104" t="n">
        <v>39.06</v>
      </c>
      <c r="CH421" s="106" t="n">
        <v>40</v>
      </c>
      <c r="CI421" s="103" t="inlineStr">
        <is>
          <t>WATCH</t>
        </is>
      </c>
    </row>
    <row r="422" ht="17" customHeight="1">
      <c r="A422" s="107" t="inlineStr">
        <is>
          <t>MSCI</t>
        </is>
      </c>
      <c r="B422" s="107" t="inlineStr">
        <is>
          <t>MSCI INC.</t>
        </is>
      </c>
      <c r="C422" s="108" t="n">
        <v>-184944000</v>
      </c>
      <c r="D422" s="109" t="n">
        <v>1.34</v>
      </c>
      <c r="E422" s="109" t="n">
        <v>1.17</v>
      </c>
      <c r="F422" s="109" t="n">
        <v>0.9399999999999999</v>
      </c>
      <c r="G422" s="109" t="n">
        <v>0.21</v>
      </c>
      <c r="H422" s="109" t="n">
        <v>0.2</v>
      </c>
      <c r="I422" s="109" t="n">
        <v>-0.45</v>
      </c>
      <c r="J422" s="109" t="n">
        <v>0.44</v>
      </c>
      <c r="K422" s="109" t="n">
        <v>0.92</v>
      </c>
      <c r="L422" s="109" t="n">
        <v>0.73</v>
      </c>
      <c r="M422" s="109" t="n">
        <v>0.22</v>
      </c>
      <c r="N422" s="108" t="n">
        <v>0.06</v>
      </c>
      <c r="O422" s="108" t="n">
        <v>0.9</v>
      </c>
      <c r="P422" s="108" t="n">
        <v>0.85</v>
      </c>
      <c r="Q422" s="108" t="n">
        <v>0.9</v>
      </c>
      <c r="R422" s="108" t="n">
        <v>0.28</v>
      </c>
      <c r="S422" s="108" t="n">
        <v>1.47</v>
      </c>
      <c r="T422" s="108" t="n">
        <v>1.17</v>
      </c>
      <c r="U422" s="108" t="n">
        <v>-2.34</v>
      </c>
      <c r="V422" s="108" t="n">
        <v>-2.14</v>
      </c>
      <c r="W422" s="108" t="n">
        <v>1.32</v>
      </c>
      <c r="X422" s="109" t="n">
        <v>1.22</v>
      </c>
      <c r="Y422" s="109" t="n">
        <v>0.14</v>
      </c>
      <c r="Z422" s="109" t="n">
        <v>9.18</v>
      </c>
      <c r="AA422" s="109" t="n">
        <v>2.81</v>
      </c>
      <c r="AB422" s="109" t="n">
        <v>0.08</v>
      </c>
      <c r="AC422" s="108" t="n">
        <v>-0.07000000000000001</v>
      </c>
      <c r="AD422" s="108" t="n">
        <v>-0.07000000000000001</v>
      </c>
      <c r="AE422" s="108" t="n">
        <v>-0.03</v>
      </c>
      <c r="AF422" s="108" t="n">
        <v>0.95</v>
      </c>
      <c r="AG422" s="108" t="n">
        <v>0.3</v>
      </c>
      <c r="AH422" s="108" t="n">
        <v>-0.32</v>
      </c>
      <c r="AI422" s="108" t="n">
        <v>0.22</v>
      </c>
      <c r="AJ422" s="108" t="n">
        <v>2.32</v>
      </c>
      <c r="AK422" s="106" t="inlineStr">
        <is>
          <t>Grey</t>
        </is>
      </c>
      <c r="AL422" s="108" t="n">
        <v>-0.03</v>
      </c>
      <c r="AM422" s="108" t="n">
        <v>0.95</v>
      </c>
      <c r="AN422" s="108" t="n">
        <v>0.3</v>
      </c>
      <c r="AO422" s="108" t="n">
        <v>-0.32</v>
      </c>
      <c r="AP422" s="108" t="n">
        <v>0.22</v>
      </c>
      <c r="AQ422" s="107" t="n">
        <v>1.81</v>
      </c>
      <c r="AR422" s="107" t="inlineStr">
        <is>
          <t>Grey</t>
        </is>
      </c>
      <c r="AS422" s="108" t="n">
        <v>-0.03</v>
      </c>
      <c r="AT422" s="108" t="n">
        <v>0.95</v>
      </c>
      <c r="AU422" s="108" t="n">
        <v>0.3</v>
      </c>
      <c r="AV422" s="108" t="n">
        <v>-0.32</v>
      </c>
      <c r="AW422" s="107" t="n">
        <v>4.58</v>
      </c>
      <c r="AX422" s="107" t="inlineStr">
        <is>
          <t>Safe</t>
        </is>
      </c>
      <c r="AY422" s="108" t="n">
        <v>-0.03</v>
      </c>
      <c r="AZ422" s="108" t="n">
        <v>0.3</v>
      </c>
      <c r="BA422" s="108" t="n">
        <v>0.82</v>
      </c>
      <c r="BB422" s="108" t="n">
        <v>0.22</v>
      </c>
      <c r="BC422" s="107" t="n">
        <v>1.52</v>
      </c>
      <c r="BD422" s="107" t="inlineStr">
        <is>
          <t>Healthy</t>
        </is>
      </c>
      <c r="BE422" s="108" t="n">
        <v>0.21</v>
      </c>
      <c r="BF422" s="108" t="n">
        <v>1.47</v>
      </c>
      <c r="BG422" s="108" t="n">
        <v>0.9</v>
      </c>
      <c r="BH422" s="108" t="n">
        <v>3.04</v>
      </c>
      <c r="BI422" s="107" t="n">
        <v>0.95</v>
      </c>
      <c r="BJ422" s="107" t="inlineStr">
        <is>
          <t>Distress</t>
        </is>
      </c>
      <c r="BK422" s="107" t="n">
        <v>1</v>
      </c>
      <c r="BL422" s="107" t="n">
        <v>1</v>
      </c>
      <c r="BM422" s="107" t="n">
        <v>1</v>
      </c>
      <c r="BN422" s="107" t="n">
        <v>1</v>
      </c>
      <c r="BO422" s="107" t="n">
        <v>0</v>
      </c>
      <c r="BP422" s="107" t="n">
        <v>1</v>
      </c>
      <c r="BQ422" s="107" t="n">
        <v>1</v>
      </c>
      <c r="BR422" s="107" t="n">
        <v>1</v>
      </c>
      <c r="BS422" s="107" t="n">
        <v>1</v>
      </c>
      <c r="BT422" s="107" t="n">
        <v>8</v>
      </c>
      <c r="BU422" s="107" t="inlineStr">
        <is>
          <t>Strong</t>
        </is>
      </c>
      <c r="BV422" s="108" t="n">
        <v>0.26</v>
      </c>
      <c r="BW422" s="108" t="n">
        <v>0.79</v>
      </c>
      <c r="BX422" s="108" t="n">
        <v>0.9399999999999999</v>
      </c>
      <c r="BY422" s="108" t="n">
        <v>3.81</v>
      </c>
      <c r="BZ422" s="108" t="n">
        <v>1.17</v>
      </c>
      <c r="CA422" s="108" t="n">
        <v>0.26</v>
      </c>
      <c r="CB422" s="108" t="n">
        <v>1.25</v>
      </c>
      <c r="CC422" s="108" t="n">
        <v>-0.07000000000000001</v>
      </c>
      <c r="CD422" s="107" t="n">
        <v>-1.04</v>
      </c>
      <c r="CE422" s="107" t="inlineStr">
        <is>
          <t>Higher Risk</t>
        </is>
      </c>
      <c r="CF422" s="108" t="n">
        <v>3.27</v>
      </c>
      <c r="CG422" s="108" t="n">
        <v>55.93</v>
      </c>
      <c r="CH422" s="107" t="n">
        <v>20</v>
      </c>
      <c r="CI422" s="107" t="inlineStr">
        <is>
          <t>CLEAR</t>
        </is>
      </c>
    </row>
    <row r="423" ht="17" customHeight="1">
      <c r="A423" s="103" t="inlineStr">
        <is>
          <t>ODFL</t>
        </is>
      </c>
      <c r="B423" s="103" t="inlineStr">
        <is>
          <t>OLD DOMINION FREIGHT LINE, INC.</t>
        </is>
      </c>
      <c r="C423" s="104" t="n">
        <v>210927000</v>
      </c>
      <c r="D423" s="105" t="n">
        <v>0.25</v>
      </c>
      <c r="E423" s="105" t="n">
        <v>0.25</v>
      </c>
      <c r="F423" s="105" t="n">
        <v>0.19</v>
      </c>
      <c r="G423" s="105" t="n">
        <v>0.19</v>
      </c>
      <c r="H423" s="105" t="n">
        <v>0.22</v>
      </c>
      <c r="I423" s="105" t="n">
        <v>0.24</v>
      </c>
      <c r="J423" s="105" t="n">
        <v>0.27</v>
      </c>
      <c r="K423" s="113" t="inlineStr">
        <is>
          <t>N/A</t>
        </is>
      </c>
      <c r="L423" s="113" t="inlineStr">
        <is>
          <t>N/A</t>
        </is>
      </c>
      <c r="M423" s="105" t="n">
        <v>1</v>
      </c>
      <c r="N423" s="104" t="n">
        <v>1.06</v>
      </c>
      <c r="O423" s="104" t="n">
        <v>1.44</v>
      </c>
      <c r="P423" s="104" t="n">
        <v>1.33</v>
      </c>
      <c r="Q423" s="104" t="n">
        <v>1.44</v>
      </c>
      <c r="R423" s="104" t="n">
        <v>0.25</v>
      </c>
      <c r="S423" s="104" t="n">
        <v>0.21</v>
      </c>
      <c r="T423" s="104" t="n">
        <v>0.23</v>
      </c>
      <c r="U423" s="104" t="n">
        <v>0.02</v>
      </c>
      <c r="V423" s="104" t="n">
        <v>-0.01</v>
      </c>
      <c r="W423" s="104" t="n">
        <v>1.34</v>
      </c>
      <c r="X423" s="105" t="n">
        <v>0.17</v>
      </c>
      <c r="Y423" s="105" t="n">
        <v>0</v>
      </c>
      <c r="Z423" s="105" t="n">
        <v>250.1</v>
      </c>
      <c r="AA423" s="105" t="n">
        <v>-0.05</v>
      </c>
      <c r="AB423" s="105" t="n">
        <v>-0.14</v>
      </c>
      <c r="AC423" s="104" t="n">
        <v>-0.06</v>
      </c>
      <c r="AD423" s="104" t="n">
        <v>-0.06</v>
      </c>
      <c r="AE423" s="104" t="n">
        <v>0.04</v>
      </c>
      <c r="AF423" s="104" t="n">
        <v>0.74</v>
      </c>
      <c r="AG423" s="104" t="n">
        <v>0.25</v>
      </c>
      <c r="AH423" s="104" t="n">
        <v>3.72</v>
      </c>
      <c r="AI423" s="104" t="n">
        <v>1</v>
      </c>
      <c r="AJ423" s="104" t="n">
        <v>5.14</v>
      </c>
      <c r="AK423" s="110" t="inlineStr">
        <is>
          <t>Safe</t>
        </is>
      </c>
      <c r="AL423" s="104" t="n">
        <v>0.04</v>
      </c>
      <c r="AM423" s="104" t="n">
        <v>0.74</v>
      </c>
      <c r="AN423" s="104" t="n">
        <v>0.25</v>
      </c>
      <c r="AO423" s="104" t="n">
        <v>3.72</v>
      </c>
      <c r="AP423" s="104" t="n">
        <v>1</v>
      </c>
      <c r="AQ423" s="103" t="n">
        <v>3.99</v>
      </c>
      <c r="AR423" s="103" t="inlineStr">
        <is>
          <t>Safe</t>
        </is>
      </c>
      <c r="AS423" s="104" t="n">
        <v>0.04</v>
      </c>
      <c r="AT423" s="104" t="n">
        <v>0.74</v>
      </c>
      <c r="AU423" s="104" t="n">
        <v>0.25</v>
      </c>
      <c r="AV423" s="104" t="n">
        <v>3.72</v>
      </c>
      <c r="AW423" s="103" t="n">
        <v>8.25</v>
      </c>
      <c r="AX423" s="103" t="inlineStr">
        <is>
          <t>Safe</t>
        </is>
      </c>
      <c r="AY423" s="104" t="n">
        <v>0.04</v>
      </c>
      <c r="AZ423" s="104" t="n">
        <v>0.25</v>
      </c>
      <c r="BA423" s="104" t="n">
        <v>2.81</v>
      </c>
      <c r="BB423" s="104" t="n">
        <v>1</v>
      </c>
      <c r="BC423" s="103" t="n">
        <v>3.06</v>
      </c>
      <c r="BD423" s="103" t="inlineStr">
        <is>
          <t>Healthy</t>
        </is>
      </c>
      <c r="BE423" s="104" t="n">
        <v>0.19</v>
      </c>
      <c r="BF423" s="104" t="n">
        <v>0.21</v>
      </c>
      <c r="BG423" s="104" t="n">
        <v>1.44</v>
      </c>
      <c r="BH423" s="104" t="n">
        <v>-3.97</v>
      </c>
      <c r="BI423" s="103" t="n">
        <v>0.02</v>
      </c>
      <c r="BJ423" s="103" t="inlineStr">
        <is>
          <t>Healthy</t>
        </is>
      </c>
      <c r="BK423" s="103" t="n">
        <v>1</v>
      </c>
      <c r="BL423" s="103" t="n">
        <v>1</v>
      </c>
      <c r="BM423" s="103" t="n">
        <v>0</v>
      </c>
      <c r="BN423" s="103" t="n">
        <v>1</v>
      </c>
      <c r="BO423" s="103" t="n">
        <v>1</v>
      </c>
      <c r="BP423" s="103" t="n">
        <v>1</v>
      </c>
      <c r="BQ423" s="103" t="n">
        <v>1</v>
      </c>
      <c r="BR423" s="103" t="n">
        <v>0</v>
      </c>
      <c r="BS423" s="103" t="n">
        <v>0</v>
      </c>
      <c r="BT423" s="103" t="n">
        <v>6</v>
      </c>
      <c r="BU423" s="103" t="inlineStr">
        <is>
          <t>Mixed</t>
        </is>
      </c>
      <c r="BV423" s="104" t="n">
        <v>1</v>
      </c>
      <c r="BW423" s="113" t="inlineStr">
        <is>
          <t>N/A</t>
        </is>
      </c>
      <c r="BX423" s="104" t="n">
        <v>1.03</v>
      </c>
      <c r="BY423" s="104" t="n">
        <v>0.95</v>
      </c>
      <c r="BZ423" s="104" t="n">
        <v>0.95</v>
      </c>
      <c r="CA423" s="113" t="inlineStr">
        <is>
          <t>N/A</t>
        </is>
      </c>
      <c r="CB423" s="104" t="n">
        <v>0.93</v>
      </c>
      <c r="CC423" s="104" t="n">
        <v>-0.06</v>
      </c>
      <c r="CD423" s="113" t="inlineStr">
        <is>
          <t>N/A</t>
        </is>
      </c>
      <c r="CE423" s="113" t="inlineStr">
        <is>
          <t>N/A</t>
        </is>
      </c>
      <c r="CF423" s="104" t="n">
        <v>-0.03</v>
      </c>
      <c r="CG423" s="104" t="n">
        <v>63.54</v>
      </c>
      <c r="CH423" s="103" t="n">
        <v>0</v>
      </c>
      <c r="CI423" s="103" t="inlineStr">
        <is>
          <t>CLEAR</t>
        </is>
      </c>
    </row>
    <row r="424" ht="17" customHeight="1">
      <c r="A424" s="107" t="inlineStr">
        <is>
          <t>AXP</t>
        </is>
      </c>
      <c r="B424" s="107" t="inlineStr">
        <is>
          <t>AMERICAN EXPRESS CO</t>
        </is>
      </c>
      <c r="C424" s="111" t="inlineStr">
        <is>
          <t>N/A</t>
        </is>
      </c>
      <c r="D424" s="109" t="n">
        <v>0.1</v>
      </c>
      <c r="E424" s="109" t="n">
        <v>0.5</v>
      </c>
      <c r="F424" s="109" t="n">
        <v>0.39</v>
      </c>
      <c r="G424" s="109" t="n">
        <v>0.04</v>
      </c>
      <c r="H424" s="109" t="n">
        <v>0.04</v>
      </c>
      <c r="I424" s="109" t="n">
        <v>0.32</v>
      </c>
      <c r="J424" s="111" t="inlineStr">
        <is>
          <t>N/A</t>
        </is>
      </c>
      <c r="K424" s="109" t="n">
        <v>0.07000000000000001</v>
      </c>
      <c r="L424" s="109" t="n">
        <v>0.07000000000000001</v>
      </c>
      <c r="M424" s="109" t="n">
        <v>0.09</v>
      </c>
      <c r="N424" s="108" t="n">
        <v>0.09</v>
      </c>
      <c r="O424" s="111" t="inlineStr">
        <is>
          <t>N/A</t>
        </is>
      </c>
      <c r="P424" s="111" t="inlineStr">
        <is>
          <t>N/A</t>
        </is>
      </c>
      <c r="Q424" s="111" t="inlineStr">
        <is>
          <t>N/A</t>
        </is>
      </c>
      <c r="R424" s="111" t="inlineStr">
        <is>
          <t>N/A</t>
        </is>
      </c>
      <c r="S424" s="108" t="n">
        <v>0.89</v>
      </c>
      <c r="T424" s="108" t="n">
        <v>0.89</v>
      </c>
      <c r="U424" s="108" t="n">
        <v>1.73</v>
      </c>
      <c r="V424" s="108" t="n">
        <v>1.71</v>
      </c>
      <c r="W424" s="108" t="n">
        <v>1.7</v>
      </c>
      <c r="X424" s="109" t="n">
        <v>0.58</v>
      </c>
      <c r="Y424" s="109" t="n">
        <v>0</v>
      </c>
      <c r="Z424" s="109" t="n">
        <v>0.41</v>
      </c>
      <c r="AA424" s="109" t="n">
        <v>0.13</v>
      </c>
      <c r="AB424" s="109" t="n">
        <v>0.07000000000000001</v>
      </c>
      <c r="AC424" s="108" t="n">
        <v>-0.03</v>
      </c>
      <c r="AD424" s="108" t="n">
        <v>-0.03</v>
      </c>
      <c r="AE424" s="111" t="inlineStr">
        <is>
          <t>N/A</t>
        </is>
      </c>
      <c r="AF424" s="108" t="n">
        <v>0.08</v>
      </c>
      <c r="AG424" s="108" t="n">
        <v>0.01</v>
      </c>
      <c r="AH424" s="108" t="n">
        <v>0.13</v>
      </c>
      <c r="AI424" s="108" t="n">
        <v>0.09</v>
      </c>
      <c r="AJ424" s="111" t="inlineStr">
        <is>
          <t>N/A</t>
        </is>
      </c>
      <c r="AK424" s="111" t="inlineStr">
        <is>
          <t>N/A</t>
        </is>
      </c>
      <c r="AL424" s="111" t="inlineStr">
        <is>
          <t>N/A</t>
        </is>
      </c>
      <c r="AM424" s="108" t="n">
        <v>0.08</v>
      </c>
      <c r="AN424" s="108" t="n">
        <v>0.01</v>
      </c>
      <c r="AO424" s="108" t="n">
        <v>0.13</v>
      </c>
      <c r="AP424" s="108" t="n">
        <v>0.09</v>
      </c>
      <c r="AQ424" s="111" t="inlineStr">
        <is>
          <t>N/A</t>
        </is>
      </c>
      <c r="AR424" s="111" t="inlineStr">
        <is>
          <t>N/A</t>
        </is>
      </c>
      <c r="AS424" s="111" t="inlineStr">
        <is>
          <t>N/A</t>
        </is>
      </c>
      <c r="AT424" s="108" t="n">
        <v>0.08</v>
      </c>
      <c r="AU424" s="108" t="n">
        <v>0.01</v>
      </c>
      <c r="AV424" s="108" t="n">
        <v>0.13</v>
      </c>
      <c r="AW424" s="111" t="inlineStr">
        <is>
          <t>N/A</t>
        </is>
      </c>
      <c r="AX424" s="111" t="inlineStr">
        <is>
          <t>N/A</t>
        </is>
      </c>
      <c r="AY424" s="111" t="inlineStr">
        <is>
          <t>N/A</t>
        </is>
      </c>
      <c r="AZ424" s="108" t="n">
        <v>0.01</v>
      </c>
      <c r="BA424" s="111" t="inlineStr">
        <is>
          <t>N/A</t>
        </is>
      </c>
      <c r="BB424" s="108" t="n">
        <v>0.09</v>
      </c>
      <c r="BC424" s="111" t="inlineStr">
        <is>
          <t>N/A</t>
        </is>
      </c>
      <c r="BD424" s="111" t="inlineStr">
        <is>
          <t>N/A</t>
        </is>
      </c>
      <c r="BE424" s="108" t="n">
        <v>0.04</v>
      </c>
      <c r="BF424" s="108" t="n">
        <v>0.89</v>
      </c>
      <c r="BG424" s="111" t="inlineStr">
        <is>
          <t>N/A</t>
        </is>
      </c>
      <c r="BH424" s="111" t="inlineStr">
        <is>
          <t>N/A</t>
        </is>
      </c>
      <c r="BI424" s="111" t="inlineStr">
        <is>
          <t>N/A</t>
        </is>
      </c>
      <c r="BJ424" s="111" t="inlineStr">
        <is>
          <t>N/A</t>
        </is>
      </c>
      <c r="BK424" s="107" t="n">
        <v>1</v>
      </c>
      <c r="BL424" s="107" t="n">
        <v>1</v>
      </c>
      <c r="BM424" s="107" t="n">
        <v>0</v>
      </c>
      <c r="BN424" s="107" t="n">
        <v>1</v>
      </c>
      <c r="BO424" s="107" t="n">
        <v>0</v>
      </c>
      <c r="BP424" s="107" t="n">
        <v>0</v>
      </c>
      <c r="BQ424" s="107" t="n">
        <v>1</v>
      </c>
      <c r="BR424" s="107" t="n">
        <v>1</v>
      </c>
      <c r="BS424" s="107" t="n">
        <v>1</v>
      </c>
      <c r="BT424" s="107" t="n">
        <v>6</v>
      </c>
      <c r="BU424" s="107" t="inlineStr">
        <is>
          <t>Mixed</t>
        </is>
      </c>
      <c r="BV424" s="108" t="n">
        <v>0.91</v>
      </c>
      <c r="BW424" s="111" t="inlineStr">
        <is>
          <t>N/A</t>
        </is>
      </c>
      <c r="BX424" s="108" t="n">
        <v>1</v>
      </c>
      <c r="BY424" s="108" t="n">
        <v>1.13</v>
      </c>
      <c r="BZ424" s="108" t="n">
        <v>1.45</v>
      </c>
      <c r="CA424" s="111" t="inlineStr">
        <is>
          <t>N/A</t>
        </is>
      </c>
      <c r="CB424" s="108" t="n">
        <v>1</v>
      </c>
      <c r="CC424" s="108" t="n">
        <v>-0.03</v>
      </c>
      <c r="CD424" s="111" t="inlineStr">
        <is>
          <t>N/A</t>
        </is>
      </c>
      <c r="CE424" s="111" t="inlineStr">
        <is>
          <t>N/A</t>
        </is>
      </c>
      <c r="CF424" s="108" t="n">
        <v>19.85</v>
      </c>
      <c r="CG424" s="108" t="n">
        <v>46.83</v>
      </c>
      <c r="CH424" s="107" t="n">
        <v>0</v>
      </c>
      <c r="CI424" s="107" t="inlineStr">
        <is>
          <t>CLEAR</t>
        </is>
      </c>
    </row>
    <row r="425" ht="17" customHeight="1">
      <c r="A425" s="103" t="inlineStr">
        <is>
          <t>SYK</t>
        </is>
      </c>
      <c r="B425" s="103" t="inlineStr">
        <is>
          <t>STRYKER CORP</t>
        </is>
      </c>
      <c r="C425" s="104" t="n">
        <v>6961000000</v>
      </c>
      <c r="D425" s="105" t="n">
        <v>0.19</v>
      </c>
      <c r="E425" s="105" t="n">
        <v>0.18</v>
      </c>
      <c r="F425" s="105" t="n">
        <v>0.13</v>
      </c>
      <c r="G425" s="105" t="n">
        <v>0.07000000000000001</v>
      </c>
      <c r="H425" s="105" t="n">
        <v>0.02</v>
      </c>
      <c r="I425" s="105" t="n">
        <v>0.28</v>
      </c>
      <c r="J425" s="105" t="n">
        <v>0.12</v>
      </c>
      <c r="K425" s="105" t="n">
        <v>0.64</v>
      </c>
      <c r="L425" s="105" t="n">
        <v>0.65</v>
      </c>
      <c r="M425" s="105" t="n">
        <v>0.52</v>
      </c>
      <c r="N425" s="104" t="n">
        <v>0.17</v>
      </c>
      <c r="O425" s="104" t="n">
        <v>1.89</v>
      </c>
      <c r="P425" s="104" t="n">
        <v>1.95</v>
      </c>
      <c r="Q425" s="104" t="n">
        <v>1.21</v>
      </c>
      <c r="R425" s="104" t="n">
        <v>0.51</v>
      </c>
      <c r="S425" s="104" t="n">
        <v>0.53</v>
      </c>
      <c r="T425" s="104" t="n">
        <v>0.52</v>
      </c>
      <c r="U425" s="104" t="n">
        <v>0.24</v>
      </c>
      <c r="V425" s="104" t="n">
        <v>-0.11</v>
      </c>
      <c r="W425" s="104" t="n">
        <v>1.55</v>
      </c>
      <c r="X425" s="105" t="n">
        <v>0.17</v>
      </c>
      <c r="Y425" s="105" t="n">
        <v>0.06</v>
      </c>
      <c r="Z425" s="105" t="n">
        <v>8.4</v>
      </c>
      <c r="AA425" s="105" t="n">
        <v>2.5</v>
      </c>
      <c r="AB425" s="105" t="n">
        <v>2.82</v>
      </c>
      <c r="AC425" s="104" t="n">
        <v>-0.04</v>
      </c>
      <c r="AD425" s="104" t="n">
        <v>-0.04</v>
      </c>
      <c r="AE425" s="104" t="n">
        <v>0.15</v>
      </c>
      <c r="AF425" s="104" t="n">
        <v>0.43</v>
      </c>
      <c r="AG425" s="104" t="n">
        <v>0.1</v>
      </c>
      <c r="AH425" s="104" t="n">
        <v>0.46</v>
      </c>
      <c r="AI425" s="104" t="n">
        <v>0.52</v>
      </c>
      <c r="AJ425" s="104" t="n">
        <v>1.91</v>
      </c>
      <c r="AK425" s="106" t="inlineStr">
        <is>
          <t>Grey</t>
        </is>
      </c>
      <c r="AL425" s="104" t="n">
        <v>0.15</v>
      </c>
      <c r="AM425" s="104" t="n">
        <v>0.43</v>
      </c>
      <c r="AN425" s="104" t="n">
        <v>0.1</v>
      </c>
      <c r="AO425" s="104" t="n">
        <v>0.46</v>
      </c>
      <c r="AP425" s="104" t="n">
        <v>0.52</v>
      </c>
      <c r="AQ425" s="103" t="n">
        <v>1.5</v>
      </c>
      <c r="AR425" s="103" t="inlineStr">
        <is>
          <t>Grey</t>
        </is>
      </c>
      <c r="AS425" s="104" t="n">
        <v>0.15</v>
      </c>
      <c r="AT425" s="104" t="n">
        <v>0.43</v>
      </c>
      <c r="AU425" s="104" t="n">
        <v>0.1</v>
      </c>
      <c r="AV425" s="104" t="n">
        <v>0.46</v>
      </c>
      <c r="AW425" s="103" t="n">
        <v>3.52</v>
      </c>
      <c r="AX425" s="103" t="inlineStr">
        <is>
          <t>Safe</t>
        </is>
      </c>
      <c r="AY425" s="104" t="n">
        <v>0.15</v>
      </c>
      <c r="AZ425" s="104" t="n">
        <v>0.1</v>
      </c>
      <c r="BA425" s="104" t="n">
        <v>0.58</v>
      </c>
      <c r="BB425" s="104" t="n">
        <v>0.52</v>
      </c>
      <c r="BC425" s="103" t="n">
        <v>1.06</v>
      </c>
      <c r="BD425" s="103" t="inlineStr">
        <is>
          <t>Healthy</t>
        </is>
      </c>
      <c r="BE425" s="104" t="n">
        <v>0.07000000000000001</v>
      </c>
      <c r="BF425" s="104" t="n">
        <v>0.53</v>
      </c>
      <c r="BG425" s="104" t="n">
        <v>1.89</v>
      </c>
      <c r="BH425" s="104" t="n">
        <v>-1.62</v>
      </c>
      <c r="BI425" s="103" t="n">
        <v>0.17</v>
      </c>
      <c r="BJ425" s="103" t="inlineStr">
        <is>
          <t>Healthy</t>
        </is>
      </c>
      <c r="BK425" s="103" t="n">
        <v>1</v>
      </c>
      <c r="BL425" s="103" t="n">
        <v>1</v>
      </c>
      <c r="BM425" s="103" t="n">
        <v>1</v>
      </c>
      <c r="BN425" s="103" t="n">
        <v>1</v>
      </c>
      <c r="BO425" s="103" t="n">
        <v>0</v>
      </c>
      <c r="BP425" s="103" t="n">
        <v>0</v>
      </c>
      <c r="BQ425" s="103" t="n">
        <v>1</v>
      </c>
      <c r="BR425" s="103" t="n">
        <v>0</v>
      </c>
      <c r="BS425" s="103" t="n">
        <v>1</v>
      </c>
      <c r="BT425" s="103" t="n">
        <v>6</v>
      </c>
      <c r="BU425" s="103" t="inlineStr">
        <is>
          <t>Mixed</t>
        </is>
      </c>
      <c r="BV425" s="104" t="n">
        <v>0.29</v>
      </c>
      <c r="BW425" s="104" t="n">
        <v>1.01</v>
      </c>
      <c r="BX425" s="104" t="n">
        <v>1.06</v>
      </c>
      <c r="BY425" s="104" t="n">
        <v>3.5</v>
      </c>
      <c r="BZ425" s="104" t="n">
        <v>1.01</v>
      </c>
      <c r="CA425" s="104" t="n">
        <v>0.32</v>
      </c>
      <c r="CB425" s="104" t="n">
        <v>1.02</v>
      </c>
      <c r="CC425" s="104" t="n">
        <v>-0.04</v>
      </c>
      <c r="CD425" s="103" t="n">
        <v>-0.9399999999999999</v>
      </c>
      <c r="CE425" s="103" t="inlineStr">
        <is>
          <t>Higher Risk</t>
        </is>
      </c>
      <c r="CF425" s="104" t="n">
        <v>-0.19</v>
      </c>
      <c r="CG425" s="104" t="n">
        <v>47.9</v>
      </c>
      <c r="CH425" s="103" t="n">
        <v>20</v>
      </c>
      <c r="CI425" s="103" t="inlineStr">
        <is>
          <t>CLEAR</t>
        </is>
      </c>
    </row>
    <row r="426" ht="17" customHeight="1">
      <c r="A426" s="107" t="inlineStr">
        <is>
          <t>KEYS</t>
        </is>
      </c>
      <c r="B426" s="107" t="inlineStr">
        <is>
          <t>KEYSIGHT TECHNOLOGIES, INC.</t>
        </is>
      </c>
      <c r="C426" s="108" t="n">
        <v>2498000000</v>
      </c>
      <c r="D426" s="109" t="n">
        <v>0.16</v>
      </c>
      <c r="E426" s="109" t="n">
        <v>0.2</v>
      </c>
      <c r="F426" s="109" t="n">
        <v>0.16</v>
      </c>
      <c r="G426" s="109" t="n">
        <v>0.08</v>
      </c>
      <c r="H426" s="109" t="n">
        <v>0.07000000000000001</v>
      </c>
      <c r="I426" s="109" t="n">
        <v>0.14</v>
      </c>
      <c r="J426" s="109" t="n">
        <v>0.09</v>
      </c>
      <c r="K426" s="109" t="n">
        <v>0.62</v>
      </c>
      <c r="L426" s="109" t="n">
        <v>0.63</v>
      </c>
      <c r="M426" s="109" t="n">
        <v>0.48</v>
      </c>
      <c r="N426" s="108" t="n">
        <v>0.54</v>
      </c>
      <c r="O426" s="108" t="n">
        <v>2.35</v>
      </c>
      <c r="P426" s="108" t="n">
        <v>2.98</v>
      </c>
      <c r="Q426" s="108" t="n">
        <v>1.78</v>
      </c>
      <c r="R426" s="108" t="n">
        <v>1.01</v>
      </c>
      <c r="S426" s="108" t="n">
        <v>0.48</v>
      </c>
      <c r="T426" s="108" t="n">
        <v>0.45</v>
      </c>
      <c r="U426" s="108" t="n">
        <v>0.43</v>
      </c>
      <c r="V426" s="108" t="n">
        <v>0.11</v>
      </c>
      <c r="W426" s="108" t="n">
        <v>1.66</v>
      </c>
      <c r="X426" s="109" t="n">
        <v>0.24</v>
      </c>
      <c r="Y426" s="109" t="n">
        <v>0.19</v>
      </c>
      <c r="Z426" s="109" t="n">
        <v>9.119999999999999</v>
      </c>
      <c r="AA426" s="109" t="n">
        <v>0.08</v>
      </c>
      <c r="AB426" s="109" t="n">
        <v>0.38</v>
      </c>
      <c r="AC426" s="108" t="n">
        <v>-0.05</v>
      </c>
      <c r="AD426" s="108" t="n">
        <v>-0.05</v>
      </c>
      <c r="AE426" s="108" t="n">
        <v>0.22</v>
      </c>
      <c r="AF426" s="108" t="n">
        <v>0.63</v>
      </c>
      <c r="AG426" s="108" t="n">
        <v>0.08</v>
      </c>
      <c r="AH426" s="108" t="n">
        <v>1.09</v>
      </c>
      <c r="AI426" s="108" t="n">
        <v>0.48</v>
      </c>
      <c r="AJ426" s="108" t="n">
        <v>2.52</v>
      </c>
      <c r="AK426" s="106" t="inlineStr">
        <is>
          <t>Grey</t>
        </is>
      </c>
      <c r="AL426" s="108" t="n">
        <v>0.22</v>
      </c>
      <c r="AM426" s="108" t="n">
        <v>0.63</v>
      </c>
      <c r="AN426" s="108" t="n">
        <v>0.08</v>
      </c>
      <c r="AO426" s="108" t="n">
        <v>1.09</v>
      </c>
      <c r="AP426" s="108" t="n">
        <v>0.48</v>
      </c>
      <c r="AQ426" s="107" t="n">
        <v>1.86</v>
      </c>
      <c r="AR426" s="107" t="inlineStr">
        <is>
          <t>Grey</t>
        </is>
      </c>
      <c r="AS426" s="108" t="n">
        <v>0.22</v>
      </c>
      <c r="AT426" s="108" t="n">
        <v>0.63</v>
      </c>
      <c r="AU426" s="108" t="n">
        <v>0.08</v>
      </c>
      <c r="AV426" s="108" t="n">
        <v>1.09</v>
      </c>
      <c r="AW426" s="107" t="n">
        <v>5.15</v>
      </c>
      <c r="AX426" s="107" t="inlineStr">
        <is>
          <t>Safe</t>
        </is>
      </c>
      <c r="AY426" s="108" t="n">
        <v>0.22</v>
      </c>
      <c r="AZ426" s="108" t="n">
        <v>0.08</v>
      </c>
      <c r="BA426" s="108" t="n">
        <v>0.58</v>
      </c>
      <c r="BB426" s="108" t="n">
        <v>0.48</v>
      </c>
      <c r="BC426" s="107" t="n">
        <v>1.04</v>
      </c>
      <c r="BD426" s="107" t="inlineStr">
        <is>
          <t>Healthy</t>
        </is>
      </c>
      <c r="BE426" s="108" t="n">
        <v>0.08</v>
      </c>
      <c r="BF426" s="108" t="n">
        <v>0.48</v>
      </c>
      <c r="BG426" s="108" t="n">
        <v>2.35</v>
      </c>
      <c r="BH426" s="108" t="n">
        <v>-1.94</v>
      </c>
      <c r="BI426" s="107" t="n">
        <v>0.13</v>
      </c>
      <c r="BJ426" s="107" t="inlineStr">
        <is>
          <t>Healthy</t>
        </is>
      </c>
      <c r="BK426" s="107" t="n">
        <v>1</v>
      </c>
      <c r="BL426" s="107" t="n">
        <v>1</v>
      </c>
      <c r="BM426" s="107" t="n">
        <v>1</v>
      </c>
      <c r="BN426" s="107" t="n">
        <v>1</v>
      </c>
      <c r="BO426" s="107" t="n">
        <v>0</v>
      </c>
      <c r="BP426" s="107" t="n">
        <v>0</v>
      </c>
      <c r="BQ426" s="107" t="n">
        <v>0</v>
      </c>
      <c r="BR426" s="107" t="n">
        <v>0</v>
      </c>
      <c r="BS426" s="107" t="n">
        <v>0</v>
      </c>
      <c r="BT426" s="107" t="n">
        <v>4</v>
      </c>
      <c r="BU426" s="107" t="inlineStr">
        <is>
          <t>Mixed</t>
        </is>
      </c>
      <c r="BV426" s="108" t="n">
        <v>1.01</v>
      </c>
      <c r="BW426" s="108" t="n">
        <v>1.01</v>
      </c>
      <c r="BX426" s="108" t="n">
        <v>1.19</v>
      </c>
      <c r="BY426" s="108" t="n">
        <v>1.08</v>
      </c>
      <c r="BZ426" s="108" t="n">
        <v>0.67</v>
      </c>
      <c r="CA426" s="108" t="n">
        <v>0.98</v>
      </c>
      <c r="CB426" s="108" t="n">
        <v>1.07</v>
      </c>
      <c r="CC426" s="108" t="n">
        <v>-0.05</v>
      </c>
      <c r="CD426" s="107" t="n">
        <v>-2.6</v>
      </c>
      <c r="CE426" s="107" t="inlineStr">
        <is>
          <t>Lower Risk</t>
        </is>
      </c>
      <c r="CF426" s="108" t="n">
        <v>0.6</v>
      </c>
      <c r="CG426" s="108" t="n">
        <v>46.69</v>
      </c>
      <c r="CH426" s="107" t="n">
        <v>0</v>
      </c>
      <c r="CI426" s="107" t="inlineStr">
        <is>
          <t>CLEAR</t>
        </is>
      </c>
    </row>
    <row r="427" ht="17" customHeight="1">
      <c r="A427" s="103" t="inlineStr">
        <is>
          <t>FLO</t>
        </is>
      </c>
      <c r="B427" s="103" t="inlineStr">
        <is>
          <t>FLOWERS FOODS, INC</t>
        </is>
      </c>
      <c r="C427" s="104" t="n">
        <v>-247063000</v>
      </c>
      <c r="D427" s="105" t="n">
        <v>0.03</v>
      </c>
      <c r="E427" s="105" t="n">
        <v>0.02</v>
      </c>
      <c r="F427" s="105" t="n">
        <v>0.02</v>
      </c>
      <c r="G427" s="105" t="n">
        <v>0.02</v>
      </c>
      <c r="H427" s="105" t="n">
        <v>0.07000000000000001</v>
      </c>
      <c r="I427" s="105" t="n">
        <v>0.06</v>
      </c>
      <c r="J427" s="105" t="n">
        <v>0.05</v>
      </c>
      <c r="K427" s="105" t="n">
        <v>0.74</v>
      </c>
      <c r="L427" s="105" t="n">
        <v>0.73</v>
      </c>
      <c r="M427" s="105" t="n">
        <v>1.26</v>
      </c>
      <c r="N427" s="104" t="n">
        <v>1.5</v>
      </c>
      <c r="O427" s="104" t="n">
        <v>0.75</v>
      </c>
      <c r="P427" s="104" t="n">
        <v>1.2</v>
      </c>
      <c r="Q427" s="104" t="n">
        <v>0.54</v>
      </c>
      <c r="R427" s="104" t="n">
        <v>0.01</v>
      </c>
      <c r="S427" s="104" t="n">
        <v>1</v>
      </c>
      <c r="T427" s="104" t="n">
        <v>1</v>
      </c>
      <c r="U427" s="104" t="n">
        <v>1.65</v>
      </c>
      <c r="V427" s="104" t="n">
        <v>1.64</v>
      </c>
      <c r="W427" s="104" t="n">
        <v>5.32</v>
      </c>
      <c r="X427" s="105" t="n">
        <v>0.06</v>
      </c>
      <c r="Y427" s="105" t="n">
        <v>0</v>
      </c>
      <c r="Z427" s="105" t="n">
        <v>2.27</v>
      </c>
      <c r="AA427" s="105" t="n">
        <v>0.03</v>
      </c>
      <c r="AB427" s="105" t="n">
        <v>-0.66</v>
      </c>
      <c r="AC427" s="104" t="n">
        <v>-0.09</v>
      </c>
      <c r="AD427" s="104" t="n">
        <v>-0.09</v>
      </c>
      <c r="AE427" s="104" t="n">
        <v>-0.06</v>
      </c>
      <c r="AF427" s="104" t="n">
        <v>0.2</v>
      </c>
      <c r="AG427" s="104" t="n">
        <v>0.04</v>
      </c>
      <c r="AH427" s="104" t="n">
        <v>0.31</v>
      </c>
      <c r="AI427" s="104" t="n">
        <v>1.26</v>
      </c>
      <c r="AJ427" s="104" t="n">
        <v>1.79</v>
      </c>
      <c r="AK427" s="112" t="inlineStr">
        <is>
          <t>Distress</t>
        </is>
      </c>
      <c r="AL427" s="104" t="n">
        <v>-0.06</v>
      </c>
      <c r="AM427" s="104" t="n">
        <v>0.2</v>
      </c>
      <c r="AN427" s="104" t="n">
        <v>0.04</v>
      </c>
      <c r="AO427" s="104" t="n">
        <v>0.31</v>
      </c>
      <c r="AP427" s="104" t="n">
        <v>1.26</v>
      </c>
      <c r="AQ427" s="103" t="n">
        <v>1.64</v>
      </c>
      <c r="AR427" s="103" t="inlineStr">
        <is>
          <t>Grey</t>
        </is>
      </c>
      <c r="AS427" s="104" t="n">
        <v>-0.06</v>
      </c>
      <c r="AT427" s="104" t="n">
        <v>0.2</v>
      </c>
      <c r="AU427" s="104" t="n">
        <v>0.04</v>
      </c>
      <c r="AV427" s="104" t="n">
        <v>0.31</v>
      </c>
      <c r="AW427" s="103" t="n">
        <v>0.88</v>
      </c>
      <c r="AX427" s="103" t="inlineStr">
        <is>
          <t>Distress</t>
        </is>
      </c>
      <c r="AY427" s="104" t="n">
        <v>-0.06</v>
      </c>
      <c r="AZ427" s="104" t="n">
        <v>0.04</v>
      </c>
      <c r="BA427" s="104" t="n">
        <v>0.12</v>
      </c>
      <c r="BB427" s="104" t="n">
        <v>1.26</v>
      </c>
      <c r="BC427" s="103" t="n">
        <v>0.65</v>
      </c>
      <c r="BD427" s="103" t="inlineStr">
        <is>
          <t>Distress</t>
        </is>
      </c>
      <c r="BE427" s="104" t="n">
        <v>0.02</v>
      </c>
      <c r="BF427" s="104" t="n">
        <v>1</v>
      </c>
      <c r="BG427" s="104" t="n">
        <v>0.75</v>
      </c>
      <c r="BH427" s="104" t="n">
        <v>1.26</v>
      </c>
      <c r="BI427" s="103" t="n">
        <v>0.78</v>
      </c>
      <c r="BJ427" s="103" t="inlineStr">
        <is>
          <t>Distress</t>
        </is>
      </c>
      <c r="BK427" s="103" t="n">
        <v>1</v>
      </c>
      <c r="BL427" s="103" t="n">
        <v>1</v>
      </c>
      <c r="BM427" s="103" t="n">
        <v>0</v>
      </c>
      <c r="BN427" s="103" t="n">
        <v>1</v>
      </c>
      <c r="BO427" s="103" t="n">
        <v>0</v>
      </c>
      <c r="BP427" s="103" t="n">
        <v>0</v>
      </c>
      <c r="BQ427" s="103" t="n">
        <v>1</v>
      </c>
      <c r="BR427" s="103" t="n">
        <v>1</v>
      </c>
      <c r="BS427" s="103" t="n">
        <v>0</v>
      </c>
      <c r="BT427" s="103" t="n">
        <v>5</v>
      </c>
      <c r="BU427" s="103" t="inlineStr">
        <is>
          <t>Mixed</t>
        </is>
      </c>
      <c r="BV427" s="113" t="inlineStr">
        <is>
          <t>N/A</t>
        </is>
      </c>
      <c r="BW427" s="104" t="n">
        <v>0.98</v>
      </c>
      <c r="BX427" s="104" t="n">
        <v>1.14</v>
      </c>
      <c r="BY427" s="104" t="n">
        <v>1.03</v>
      </c>
      <c r="BZ427" s="104" t="n">
        <v>0.9399999999999999</v>
      </c>
      <c r="CA427" s="104" t="n">
        <v>1.01</v>
      </c>
      <c r="CB427" s="104" t="n">
        <v>1</v>
      </c>
      <c r="CC427" s="104" t="n">
        <v>-0.09</v>
      </c>
      <c r="CD427" s="113" t="inlineStr">
        <is>
          <t>N/A</t>
        </is>
      </c>
      <c r="CE427" s="113" t="inlineStr">
        <is>
          <t>N/A</t>
        </is>
      </c>
      <c r="CF427" s="104" t="n">
        <v>8.27</v>
      </c>
      <c r="CG427" s="104" t="n">
        <v>48.7</v>
      </c>
      <c r="CH427" s="103" t="n">
        <v>0</v>
      </c>
      <c r="CI427" s="103" t="inlineStr">
        <is>
          <t>CLEAR</t>
        </is>
      </c>
    </row>
    <row r="428" ht="17" customHeight="1">
      <c r="A428" s="107" t="inlineStr">
        <is>
          <t>AON</t>
        </is>
      </c>
      <c r="B428" s="107" t="inlineStr">
        <is>
          <t>Aon plc</t>
        </is>
      </c>
      <c r="C428" s="108" t="n">
        <v>2548000000</v>
      </c>
      <c r="D428" s="109" t="n">
        <v>0.4</v>
      </c>
      <c r="E428" s="109" t="n">
        <v>0.44</v>
      </c>
      <c r="F428" s="109" t="n">
        <v>0.34</v>
      </c>
      <c r="G428" s="109" t="n">
        <v>0.07000000000000001</v>
      </c>
      <c r="H428" s="109" t="n">
        <v>0.05</v>
      </c>
      <c r="I428" s="109" t="n">
        <v>0.4</v>
      </c>
      <c r="J428" s="109" t="n">
        <v>0.16</v>
      </c>
      <c r="K428" s="109" t="n">
        <v>0.2</v>
      </c>
      <c r="L428" s="109" t="n">
        <v>0.05</v>
      </c>
      <c r="M428" s="109" t="n">
        <v>0.21</v>
      </c>
      <c r="N428" s="108" t="n">
        <v>0.06</v>
      </c>
      <c r="O428" s="108" t="n">
        <v>1.11</v>
      </c>
      <c r="P428" s="108" t="n">
        <v>1.02</v>
      </c>
      <c r="Q428" s="108" t="n">
        <v>1.11</v>
      </c>
      <c r="R428" s="108" t="n">
        <v>0.05</v>
      </c>
      <c r="S428" s="108" t="n">
        <v>0.8100000000000001</v>
      </c>
      <c r="T428" s="108" t="n">
        <v>0.87</v>
      </c>
      <c r="U428" s="108" t="n">
        <v>1.69</v>
      </c>
      <c r="V428" s="108" t="n">
        <v>1.57</v>
      </c>
      <c r="W428" s="108" t="n">
        <v>0.9399999999999999</v>
      </c>
      <c r="X428" s="109" t="n">
        <v>0.3</v>
      </c>
      <c r="Y428" s="109" t="n">
        <v>0</v>
      </c>
      <c r="Z428" s="109" t="n">
        <v>8.98</v>
      </c>
      <c r="AA428" s="109" t="n">
        <v>2.89</v>
      </c>
      <c r="AB428" s="109" t="n">
        <v>0.39</v>
      </c>
      <c r="AC428" s="108" t="n">
        <v>0</v>
      </c>
      <c r="AD428" s="108" t="n">
        <v>0</v>
      </c>
      <c r="AE428" s="108" t="n">
        <v>0.05</v>
      </c>
      <c r="AF428" s="108" t="n">
        <v>-0</v>
      </c>
      <c r="AG428" s="108" t="n">
        <v>0.09</v>
      </c>
      <c r="AH428" s="108" t="n">
        <v>0.23</v>
      </c>
      <c r="AI428" s="108" t="n">
        <v>0.21</v>
      </c>
      <c r="AJ428" s="108" t="n">
        <v>0.68</v>
      </c>
      <c r="AK428" s="112" t="inlineStr">
        <is>
          <t>Distress</t>
        </is>
      </c>
      <c r="AL428" s="108" t="n">
        <v>0.05</v>
      </c>
      <c r="AM428" s="108" t="n">
        <v>-0</v>
      </c>
      <c r="AN428" s="108" t="n">
        <v>0.09</v>
      </c>
      <c r="AO428" s="108" t="n">
        <v>0.23</v>
      </c>
      <c r="AP428" s="108" t="n">
        <v>0.21</v>
      </c>
      <c r="AQ428" s="107" t="n">
        <v>0.6</v>
      </c>
      <c r="AR428" s="107" t="inlineStr">
        <is>
          <t>Distress</t>
        </is>
      </c>
      <c r="AS428" s="108" t="n">
        <v>0.05</v>
      </c>
      <c r="AT428" s="108" t="n">
        <v>-0</v>
      </c>
      <c r="AU428" s="108" t="n">
        <v>0.09</v>
      </c>
      <c r="AV428" s="108" t="n">
        <v>0.23</v>
      </c>
      <c r="AW428" s="107" t="n">
        <v>1.13</v>
      </c>
      <c r="AX428" s="107" t="inlineStr">
        <is>
          <t>Grey</t>
        </is>
      </c>
      <c r="AY428" s="108" t="n">
        <v>0.05</v>
      </c>
      <c r="AZ428" s="108" t="n">
        <v>0.09</v>
      </c>
      <c r="BA428" s="108" t="n">
        <v>0.2</v>
      </c>
      <c r="BB428" s="108" t="n">
        <v>0.21</v>
      </c>
      <c r="BC428" s="107" t="n">
        <v>0.53</v>
      </c>
      <c r="BD428" s="107" t="inlineStr">
        <is>
          <t>Distress</t>
        </is>
      </c>
      <c r="BE428" s="108" t="n">
        <v>0.07000000000000001</v>
      </c>
      <c r="BF428" s="108" t="n">
        <v>0.8100000000000001</v>
      </c>
      <c r="BG428" s="108" t="n">
        <v>1.11</v>
      </c>
      <c r="BH428" s="108" t="n">
        <v>-0.05</v>
      </c>
      <c r="BI428" s="107" t="n">
        <v>0.49</v>
      </c>
      <c r="BJ428" s="107" t="inlineStr">
        <is>
          <t>Healthy</t>
        </is>
      </c>
      <c r="BK428" s="107" t="n">
        <v>1</v>
      </c>
      <c r="BL428" s="107" t="n">
        <v>1</v>
      </c>
      <c r="BM428" s="107" t="n">
        <v>1</v>
      </c>
      <c r="BN428" s="107" t="n">
        <v>0</v>
      </c>
      <c r="BO428" s="107" t="n">
        <v>1</v>
      </c>
      <c r="BP428" s="107" t="n">
        <v>1</v>
      </c>
      <c r="BQ428" s="107" t="n">
        <v>1</v>
      </c>
      <c r="BR428" s="107" t="n">
        <v>1</v>
      </c>
      <c r="BS428" s="107" t="n">
        <v>1</v>
      </c>
      <c r="BT428" s="107" t="n">
        <v>8</v>
      </c>
      <c r="BU428" s="107" t="inlineStr">
        <is>
          <t>Strong</t>
        </is>
      </c>
      <c r="BV428" s="108" t="n">
        <v>0.28</v>
      </c>
      <c r="BW428" s="111" t="inlineStr">
        <is>
          <t>N/A</t>
        </is>
      </c>
      <c r="BX428" s="108" t="n">
        <v>0.9399999999999999</v>
      </c>
      <c r="BY428" s="108" t="n">
        <v>3.89</v>
      </c>
      <c r="BZ428" s="108" t="n">
        <v>1.13</v>
      </c>
      <c r="CA428" s="111" t="inlineStr">
        <is>
          <t>N/A</t>
        </is>
      </c>
      <c r="CB428" s="108" t="n">
        <v>0.93</v>
      </c>
      <c r="CC428" s="108" t="n">
        <v>0</v>
      </c>
      <c r="CD428" s="111" t="inlineStr">
        <is>
          <t>N/A</t>
        </is>
      </c>
      <c r="CE428" s="111" t="inlineStr">
        <is>
          <t>N/A</t>
        </is>
      </c>
      <c r="CF428" s="108" t="n">
        <v>3.24</v>
      </c>
      <c r="CG428" s="108" t="n">
        <v>56.73</v>
      </c>
      <c r="CH428" s="107" t="n">
        <v>0</v>
      </c>
      <c r="CI428" s="107" t="inlineStr">
        <is>
          <t>CLEAR</t>
        </is>
      </c>
    </row>
    <row r="429" ht="17" customHeight="1">
      <c r="A429" s="103" t="inlineStr">
        <is>
          <t>O</t>
        </is>
      </c>
      <c r="B429" s="103" t="inlineStr">
        <is>
          <t>REALTY INCOME CORP</t>
        </is>
      </c>
      <c r="C429" s="113" t="inlineStr">
        <is>
          <t>N/A</t>
        </is>
      </c>
      <c r="D429" s="105" t="n">
        <v>0.2</v>
      </c>
      <c r="E429" s="105" t="n">
        <v>0.2</v>
      </c>
      <c r="F429" s="105" t="n">
        <v>0.18</v>
      </c>
      <c r="G429" s="105" t="n">
        <v>0.01</v>
      </c>
      <c r="H429" s="105" t="n">
        <v>0.01</v>
      </c>
      <c r="I429" s="105" t="n">
        <v>0.03</v>
      </c>
      <c r="J429" s="113" t="inlineStr">
        <is>
          <t>N/A</t>
        </is>
      </c>
      <c r="K429" s="113" t="inlineStr">
        <is>
          <t>N/A</t>
        </is>
      </c>
      <c r="L429" s="113" t="inlineStr">
        <is>
          <t>N/A</t>
        </is>
      </c>
      <c r="M429" s="105" t="n">
        <v>0.08</v>
      </c>
      <c r="N429" s="104" t="n">
        <v>0.08</v>
      </c>
      <c r="O429" s="113" t="inlineStr">
        <is>
          <t>N/A</t>
        </is>
      </c>
      <c r="P429" s="113" t="inlineStr">
        <is>
          <t>N/A</t>
        </is>
      </c>
      <c r="Q429" s="113" t="inlineStr">
        <is>
          <t>N/A</t>
        </is>
      </c>
      <c r="R429" s="113" t="inlineStr">
        <is>
          <t>N/A</t>
        </is>
      </c>
      <c r="S429" s="104" t="n">
        <v>0.45</v>
      </c>
      <c r="T429" s="104" t="n">
        <v>0.43</v>
      </c>
      <c r="U429" s="104" t="n">
        <v>0.1</v>
      </c>
      <c r="V429" s="104" t="n">
        <v>0.09</v>
      </c>
      <c r="W429" s="104" t="n">
        <v>3.77</v>
      </c>
      <c r="X429" s="105" t="n">
        <v>0.67</v>
      </c>
      <c r="Y429" s="105" t="n">
        <v>0</v>
      </c>
      <c r="Z429" s="105" t="n">
        <v>1.58</v>
      </c>
      <c r="AA429" s="105" t="n">
        <v>0.09</v>
      </c>
      <c r="AB429" s="105" t="n">
        <v>0.23</v>
      </c>
      <c r="AC429" s="104" t="n">
        <v>-0.04</v>
      </c>
      <c r="AD429" s="104" t="n">
        <v>-0.04</v>
      </c>
      <c r="AE429" s="113" t="inlineStr">
        <is>
          <t>N/A</t>
        </is>
      </c>
      <c r="AF429" s="113" t="inlineStr">
        <is>
          <t>N/A</t>
        </is>
      </c>
      <c r="AG429" s="104" t="n">
        <v>0.02</v>
      </c>
      <c r="AH429" s="104" t="n">
        <v>1.21</v>
      </c>
      <c r="AI429" s="104" t="n">
        <v>0.08</v>
      </c>
      <c r="AJ429" s="113" t="inlineStr">
        <is>
          <t>N/A</t>
        </is>
      </c>
      <c r="AK429" s="113" t="inlineStr">
        <is>
          <t>N/A</t>
        </is>
      </c>
      <c r="AL429" s="113" t="inlineStr">
        <is>
          <t>N/A</t>
        </is>
      </c>
      <c r="AM429" s="113" t="inlineStr">
        <is>
          <t>N/A</t>
        </is>
      </c>
      <c r="AN429" s="104" t="n">
        <v>0.02</v>
      </c>
      <c r="AO429" s="104" t="n">
        <v>1.21</v>
      </c>
      <c r="AP429" s="104" t="n">
        <v>0.08</v>
      </c>
      <c r="AQ429" s="113" t="inlineStr">
        <is>
          <t>N/A</t>
        </is>
      </c>
      <c r="AR429" s="113" t="inlineStr">
        <is>
          <t>N/A</t>
        </is>
      </c>
      <c r="AS429" s="113" t="inlineStr">
        <is>
          <t>N/A</t>
        </is>
      </c>
      <c r="AT429" s="113" t="inlineStr">
        <is>
          <t>N/A</t>
        </is>
      </c>
      <c r="AU429" s="104" t="n">
        <v>0.02</v>
      </c>
      <c r="AV429" s="104" t="n">
        <v>1.21</v>
      </c>
      <c r="AW429" s="113" t="inlineStr">
        <is>
          <t>N/A</t>
        </is>
      </c>
      <c r="AX429" s="113" t="inlineStr">
        <is>
          <t>N/A</t>
        </is>
      </c>
      <c r="AY429" s="113" t="inlineStr">
        <is>
          <t>N/A</t>
        </is>
      </c>
      <c r="AZ429" s="104" t="n">
        <v>0.02</v>
      </c>
      <c r="BA429" s="113" t="inlineStr">
        <is>
          <t>N/A</t>
        </is>
      </c>
      <c r="BB429" s="104" t="n">
        <v>0.08</v>
      </c>
      <c r="BC429" s="113" t="inlineStr">
        <is>
          <t>N/A</t>
        </is>
      </c>
      <c r="BD429" s="113" t="inlineStr">
        <is>
          <t>N/A</t>
        </is>
      </c>
      <c r="BE429" s="104" t="n">
        <v>0.01</v>
      </c>
      <c r="BF429" s="104" t="n">
        <v>0.45</v>
      </c>
      <c r="BG429" s="113" t="inlineStr">
        <is>
          <t>N/A</t>
        </is>
      </c>
      <c r="BH429" s="113" t="inlineStr">
        <is>
          <t>N/A</t>
        </is>
      </c>
      <c r="BI429" s="113" t="inlineStr">
        <is>
          <t>N/A</t>
        </is>
      </c>
      <c r="BJ429" s="113" t="inlineStr">
        <is>
          <t>N/A</t>
        </is>
      </c>
      <c r="BK429" s="103" t="n">
        <v>1</v>
      </c>
      <c r="BL429" s="103" t="n">
        <v>1</v>
      </c>
      <c r="BM429" s="103" t="n">
        <v>1</v>
      </c>
      <c r="BN429" s="103" t="n">
        <v>1</v>
      </c>
      <c r="BO429" s="103" t="n">
        <v>0</v>
      </c>
      <c r="BP429" s="103" t="n">
        <v>0</v>
      </c>
      <c r="BQ429" s="103" t="n">
        <v>0</v>
      </c>
      <c r="BR429" s="103" t="n">
        <v>0</v>
      </c>
      <c r="BS429" s="103" t="n">
        <v>1</v>
      </c>
      <c r="BT429" s="103" t="n">
        <v>5</v>
      </c>
      <c r="BU429" s="103" t="inlineStr">
        <is>
          <t>Mixed</t>
        </is>
      </c>
      <c r="BV429" s="104" t="n">
        <v>1.1</v>
      </c>
      <c r="BW429" s="113" t="inlineStr">
        <is>
          <t>N/A</t>
        </is>
      </c>
      <c r="BX429" s="113" t="inlineStr">
        <is>
          <t>N/A</t>
        </is>
      </c>
      <c r="BY429" s="104" t="n">
        <v>1.09</v>
      </c>
      <c r="BZ429" s="113" t="inlineStr">
        <is>
          <t>N/A</t>
        </is>
      </c>
      <c r="CA429" s="104" t="n">
        <v>1.05</v>
      </c>
      <c r="CB429" s="104" t="n">
        <v>1.04</v>
      </c>
      <c r="CC429" s="104" t="n">
        <v>-0.04</v>
      </c>
      <c r="CD429" s="113" t="inlineStr">
        <is>
          <t>N/A</t>
        </is>
      </c>
      <c r="CE429" s="113" t="inlineStr">
        <is>
          <t>N/A</t>
        </is>
      </c>
      <c r="CF429" s="104" t="n">
        <v>0.96</v>
      </c>
      <c r="CG429" s="104" t="n">
        <v>44.25</v>
      </c>
      <c r="CH429" s="103" t="n">
        <v>0</v>
      </c>
      <c r="CI429" s="103" t="inlineStr">
        <is>
          <t>CLEAR</t>
        </is>
      </c>
    </row>
    <row r="430" ht="17" customHeight="1">
      <c r="A430" s="107" t="inlineStr">
        <is>
          <t>NOV</t>
        </is>
      </c>
      <c r="B430" s="107" t="inlineStr">
        <is>
          <t>NOV INC.</t>
        </is>
      </c>
      <c r="C430" s="108" t="n">
        <v>3414000000</v>
      </c>
      <c r="D430" s="109" t="n">
        <v>0.06</v>
      </c>
      <c r="E430" s="109" t="n">
        <v>0.04</v>
      </c>
      <c r="F430" s="109" t="n">
        <v>0.02</v>
      </c>
      <c r="G430" s="109" t="n">
        <v>0.01</v>
      </c>
      <c r="H430" s="109" t="n">
        <v>0.06</v>
      </c>
      <c r="I430" s="109" t="n">
        <v>0.02</v>
      </c>
      <c r="J430" s="109" t="n">
        <v>0.06</v>
      </c>
      <c r="K430" s="109" t="n">
        <v>0.2</v>
      </c>
      <c r="L430" s="109" t="n">
        <v>0.23</v>
      </c>
      <c r="M430" s="109" t="n">
        <v>0.77</v>
      </c>
      <c r="N430" s="108" t="n">
        <v>0.78</v>
      </c>
      <c r="O430" s="108" t="n">
        <v>2.42</v>
      </c>
      <c r="P430" s="108" t="n">
        <v>2.46</v>
      </c>
      <c r="Q430" s="108" t="n">
        <v>1.67</v>
      </c>
      <c r="R430" s="108" t="n">
        <v>0.65</v>
      </c>
      <c r="S430" s="108" t="n">
        <v>0.44</v>
      </c>
      <c r="T430" s="108" t="n">
        <v>0.43</v>
      </c>
      <c r="U430" s="108" t="n">
        <v>0.28</v>
      </c>
      <c r="V430" s="108" t="n">
        <v>0.03</v>
      </c>
      <c r="W430" s="108" t="n">
        <v>8.630000000000001</v>
      </c>
      <c r="X430" s="109" t="n">
        <v>0.1</v>
      </c>
      <c r="Y430" s="109" t="n">
        <v>0</v>
      </c>
      <c r="Z430" s="109" t="n">
        <v>5.61</v>
      </c>
      <c r="AA430" s="109" t="n">
        <v>-0.01</v>
      </c>
      <c r="AB430" s="109" t="n">
        <v>-0.77</v>
      </c>
      <c r="AC430" s="108" t="n">
        <v>-0.1</v>
      </c>
      <c r="AD430" s="108" t="n">
        <v>-0.1</v>
      </c>
      <c r="AE430" s="108" t="n">
        <v>0.3</v>
      </c>
      <c r="AF430" s="108" t="n">
        <v>-0.06</v>
      </c>
      <c r="AG430" s="108" t="n">
        <v>0.04</v>
      </c>
      <c r="AH430" s="108" t="n">
        <v>1.26</v>
      </c>
      <c r="AI430" s="108" t="n">
        <v>0.77</v>
      </c>
      <c r="AJ430" s="108" t="n">
        <v>1.96</v>
      </c>
      <c r="AK430" s="106" t="inlineStr">
        <is>
          <t>Grey</t>
        </is>
      </c>
      <c r="AL430" s="108" t="n">
        <v>0.3</v>
      </c>
      <c r="AM430" s="108" t="n">
        <v>-0.06</v>
      </c>
      <c r="AN430" s="108" t="n">
        <v>0.04</v>
      </c>
      <c r="AO430" s="108" t="n">
        <v>1.26</v>
      </c>
      <c r="AP430" s="108" t="n">
        <v>0.77</v>
      </c>
      <c r="AQ430" s="107" t="n">
        <v>1.6</v>
      </c>
      <c r="AR430" s="107" t="inlineStr">
        <is>
          <t>Grey</t>
        </is>
      </c>
      <c r="AS430" s="108" t="n">
        <v>0.3</v>
      </c>
      <c r="AT430" s="108" t="n">
        <v>-0.06</v>
      </c>
      <c r="AU430" s="108" t="n">
        <v>0.04</v>
      </c>
      <c r="AV430" s="108" t="n">
        <v>1.26</v>
      </c>
      <c r="AW430" s="107" t="n">
        <v>3.41</v>
      </c>
      <c r="AX430" s="107" t="inlineStr">
        <is>
          <t>Safe</t>
        </is>
      </c>
      <c r="AY430" s="108" t="n">
        <v>0.3</v>
      </c>
      <c r="AZ430" s="108" t="n">
        <v>0.04</v>
      </c>
      <c r="BA430" s="108" t="n">
        <v>0.16</v>
      </c>
      <c r="BB430" s="108" t="n">
        <v>0.77</v>
      </c>
      <c r="BC430" s="107" t="n">
        <v>0.86</v>
      </c>
      <c r="BD430" s="107" t="inlineStr">
        <is>
          <t>Distress</t>
        </is>
      </c>
      <c r="BE430" s="108" t="n">
        <v>0.01</v>
      </c>
      <c r="BF430" s="108" t="n">
        <v>0.44</v>
      </c>
      <c r="BG430" s="108" t="n">
        <v>2.42</v>
      </c>
      <c r="BH430" s="108" t="n">
        <v>-1.89</v>
      </c>
      <c r="BI430" s="107" t="n">
        <v>0.13</v>
      </c>
      <c r="BJ430" s="107" t="inlineStr">
        <is>
          <t>Healthy</t>
        </is>
      </c>
      <c r="BK430" s="107" t="n">
        <v>1</v>
      </c>
      <c r="BL430" s="107" t="n">
        <v>1</v>
      </c>
      <c r="BM430" s="107" t="n">
        <v>0</v>
      </c>
      <c r="BN430" s="107" t="n">
        <v>1</v>
      </c>
      <c r="BO430" s="107" t="n">
        <v>1</v>
      </c>
      <c r="BP430" s="107" t="n">
        <v>0</v>
      </c>
      <c r="BQ430" s="107" t="n">
        <v>1</v>
      </c>
      <c r="BR430" s="107" t="n">
        <v>0</v>
      </c>
      <c r="BS430" s="107" t="n">
        <v>0</v>
      </c>
      <c r="BT430" s="107" t="n">
        <v>5</v>
      </c>
      <c r="BU430" s="107" t="inlineStr">
        <is>
          <t>Mixed</t>
        </is>
      </c>
      <c r="BV430" s="108" t="n">
        <v>0.95</v>
      </c>
      <c r="BW430" s="108" t="n">
        <v>1.12</v>
      </c>
      <c r="BX430" s="108" t="n">
        <v>0.9399999999999999</v>
      </c>
      <c r="BY430" s="108" t="n">
        <v>0.99</v>
      </c>
      <c r="BZ430" s="108" t="n">
        <v>1.03</v>
      </c>
      <c r="CA430" s="108" t="n">
        <v>1.08</v>
      </c>
      <c r="CB430" s="108" t="n">
        <v>1.01</v>
      </c>
      <c r="CC430" s="108" t="n">
        <v>-0.1</v>
      </c>
      <c r="CD430" s="107" t="n">
        <v>-2.97</v>
      </c>
      <c r="CE430" s="107" t="inlineStr">
        <is>
          <t>Lower Risk</t>
        </is>
      </c>
      <c r="CF430" s="108" t="n">
        <v>0.2</v>
      </c>
      <c r="CG430" s="108" t="n">
        <v>49.92</v>
      </c>
      <c r="CH430" s="107" t="n">
        <v>0</v>
      </c>
      <c r="CI430" s="107" t="inlineStr">
        <is>
          <t>CLEAR</t>
        </is>
      </c>
    </row>
    <row r="431" ht="17" customHeight="1">
      <c r="A431" s="103" t="inlineStr">
        <is>
          <t>ACN</t>
        </is>
      </c>
      <c r="B431" s="103" t="inlineStr">
        <is>
          <t>Accenture plc</t>
        </is>
      </c>
      <c r="C431" s="104" t="n">
        <v>8548592000</v>
      </c>
      <c r="D431" s="105" t="n">
        <v>0.15</v>
      </c>
      <c r="E431" s="105" t="n">
        <v>0.15</v>
      </c>
      <c r="F431" s="105" t="n">
        <v>0.11</v>
      </c>
      <c r="G431" s="105" t="n">
        <v>0.12</v>
      </c>
      <c r="H431" s="105" t="n">
        <v>0.03</v>
      </c>
      <c r="I431" s="105" t="n">
        <v>0.25</v>
      </c>
      <c r="J431" s="105" t="n">
        <v>0.23</v>
      </c>
      <c r="K431" s="105" t="n">
        <v>0.32</v>
      </c>
      <c r="L431" s="105" t="n">
        <v>0.32</v>
      </c>
      <c r="M431" s="105" t="n">
        <v>1.07</v>
      </c>
      <c r="N431" s="104" t="n">
        <v>0.31</v>
      </c>
      <c r="O431" s="104" t="n">
        <v>1.42</v>
      </c>
      <c r="P431" s="104" t="n">
        <v>1.1</v>
      </c>
      <c r="Q431" s="104" t="n">
        <v>1.42</v>
      </c>
      <c r="R431" s="104" t="n">
        <v>0.5600000000000001</v>
      </c>
      <c r="S431" s="104" t="n">
        <v>1</v>
      </c>
      <c r="T431" s="104" t="n">
        <v>1</v>
      </c>
      <c r="U431" s="104" t="n">
        <v>0</v>
      </c>
      <c r="V431" s="104" t="n">
        <v>-0.36</v>
      </c>
      <c r="W431" s="104" t="n">
        <v>1.49</v>
      </c>
      <c r="X431" s="105" t="n">
        <v>0.16</v>
      </c>
      <c r="Y431" s="105" t="n">
        <v>0.01</v>
      </c>
      <c r="Z431" s="105" t="n">
        <v>44.74</v>
      </c>
      <c r="AA431" s="105" t="n">
        <v>2.96</v>
      </c>
      <c r="AB431" s="105" t="n">
        <v>4.43</v>
      </c>
      <c r="AC431" s="104" t="n">
        <v>-0.06</v>
      </c>
      <c r="AD431" s="104" t="n">
        <v>-0.06</v>
      </c>
      <c r="AE431" s="104" t="n">
        <v>0.13</v>
      </c>
      <c r="AF431" s="104" t="n">
        <v>0.32</v>
      </c>
      <c r="AG431" s="104" t="n">
        <v>0.16</v>
      </c>
      <c r="AH431" s="104" t="n">
        <v>0.48</v>
      </c>
      <c r="AI431" s="104" t="n">
        <v>1.07</v>
      </c>
      <c r="AJ431" s="104" t="n">
        <v>2.47</v>
      </c>
      <c r="AK431" s="106" t="inlineStr">
        <is>
          <t>Grey</t>
        </is>
      </c>
      <c r="AL431" s="104" t="n">
        <v>0.13</v>
      </c>
      <c r="AM431" s="104" t="n">
        <v>0.32</v>
      </c>
      <c r="AN431" s="104" t="n">
        <v>0.16</v>
      </c>
      <c r="AO431" s="104" t="n">
        <v>0.48</v>
      </c>
      <c r="AP431" s="104" t="n">
        <v>1.07</v>
      </c>
      <c r="AQ431" s="103" t="n">
        <v>2.12</v>
      </c>
      <c r="AR431" s="103" t="inlineStr">
        <is>
          <t>Grey</t>
        </is>
      </c>
      <c r="AS431" s="104" t="n">
        <v>0.13</v>
      </c>
      <c r="AT431" s="104" t="n">
        <v>0.32</v>
      </c>
      <c r="AU431" s="104" t="n">
        <v>0.16</v>
      </c>
      <c r="AV431" s="104" t="n">
        <v>0.48</v>
      </c>
      <c r="AW431" s="103" t="n">
        <v>3.46</v>
      </c>
      <c r="AX431" s="103" t="inlineStr">
        <is>
          <t>Safe</t>
        </is>
      </c>
      <c r="AY431" s="104" t="n">
        <v>0.13</v>
      </c>
      <c r="AZ431" s="104" t="n">
        <v>0.16</v>
      </c>
      <c r="BA431" s="104" t="n">
        <v>0.5</v>
      </c>
      <c r="BB431" s="104" t="n">
        <v>1.07</v>
      </c>
      <c r="BC431" s="103" t="n">
        <v>1.37</v>
      </c>
      <c r="BD431" s="103" t="inlineStr">
        <is>
          <t>Healthy</t>
        </is>
      </c>
      <c r="BE431" s="104" t="n">
        <v>0.12</v>
      </c>
      <c r="BF431" s="104" t="n">
        <v>1</v>
      </c>
      <c r="BG431" s="104" t="n">
        <v>1.42</v>
      </c>
      <c r="BH431" s="104" t="n">
        <v>0.82</v>
      </c>
      <c r="BI431" s="103" t="n">
        <v>0.6899999999999999</v>
      </c>
      <c r="BJ431" s="103" t="inlineStr">
        <is>
          <t>Distress</t>
        </is>
      </c>
      <c r="BK431" s="103" t="n">
        <v>1</v>
      </c>
      <c r="BL431" s="103" t="n">
        <v>1</v>
      </c>
      <c r="BM431" s="103" t="n">
        <v>1</v>
      </c>
      <c r="BN431" s="103" t="n">
        <v>1</v>
      </c>
      <c r="BO431" s="103" t="n">
        <v>0</v>
      </c>
      <c r="BP431" s="103" t="n">
        <v>1</v>
      </c>
      <c r="BQ431" s="103" t="n">
        <v>0</v>
      </c>
      <c r="BR431" s="103" t="n">
        <v>1</v>
      </c>
      <c r="BS431" s="103" t="n">
        <v>1</v>
      </c>
      <c r="BT431" s="103" t="n">
        <v>7</v>
      </c>
      <c r="BU431" s="103" t="inlineStr">
        <is>
          <t>Strong</t>
        </is>
      </c>
      <c r="BV431" s="104" t="n">
        <v>0.28</v>
      </c>
      <c r="BW431" s="104" t="n">
        <v>1</v>
      </c>
      <c r="BX431" s="104" t="n">
        <v>0.89</v>
      </c>
      <c r="BY431" s="104" t="n">
        <v>3.96</v>
      </c>
      <c r="BZ431" s="104" t="n">
        <v>1</v>
      </c>
      <c r="CA431" s="104" t="n">
        <v>0.26</v>
      </c>
      <c r="CB431" s="104" t="n">
        <v>1</v>
      </c>
      <c r="CC431" s="104" t="n">
        <v>-0.06</v>
      </c>
      <c r="CD431" s="103" t="n">
        <v>-0.6899999999999999</v>
      </c>
      <c r="CE431" s="103" t="inlineStr">
        <is>
          <t>Higher Risk</t>
        </is>
      </c>
      <c r="CF431" s="104" t="n">
        <v>-0.97</v>
      </c>
      <c r="CG431" s="104" t="n">
        <v>53.13</v>
      </c>
      <c r="CH431" s="103" t="n">
        <v>20</v>
      </c>
      <c r="CI431" s="103" t="inlineStr">
        <is>
          <t>CLEAR</t>
        </is>
      </c>
    </row>
    <row r="432" ht="17" customHeight="1">
      <c r="A432" s="107" t="inlineStr">
        <is>
          <t>HIW</t>
        </is>
      </c>
      <c r="B432" s="107" t="inlineStr">
        <is>
          <t>HIGHWOODS PROPERTIES, INC.</t>
        </is>
      </c>
      <c r="C432" s="111" t="inlineStr">
        <is>
          <t>N/A</t>
        </is>
      </c>
      <c r="D432" s="109" t="n">
        <v>0.68</v>
      </c>
      <c r="E432" s="111" t="inlineStr">
        <is>
          <t>N/A</t>
        </is>
      </c>
      <c r="F432" s="109" t="n">
        <v>0.2</v>
      </c>
      <c r="G432" s="109" t="n">
        <v>0.03</v>
      </c>
      <c r="H432" s="109" t="n">
        <v>0.02</v>
      </c>
      <c r="I432" s="109" t="n">
        <v>0.07000000000000001</v>
      </c>
      <c r="J432" s="111" t="inlineStr">
        <is>
          <t>N/A</t>
        </is>
      </c>
      <c r="K432" s="109" t="n">
        <v>0.25</v>
      </c>
      <c r="L432" s="109" t="n">
        <v>0.23</v>
      </c>
      <c r="M432" s="109" t="n">
        <v>0.13</v>
      </c>
      <c r="N432" s="108" t="n">
        <v>0.14</v>
      </c>
      <c r="O432" s="111" t="inlineStr">
        <is>
          <t>N/A</t>
        </is>
      </c>
      <c r="P432" s="111" t="inlineStr">
        <is>
          <t>N/A</t>
        </is>
      </c>
      <c r="Q432" s="111" t="inlineStr">
        <is>
          <t>N/A</t>
        </is>
      </c>
      <c r="R432" s="111" t="inlineStr">
        <is>
          <t>N/A</t>
        </is>
      </c>
      <c r="S432" s="108" t="n">
        <v>0.61</v>
      </c>
      <c r="T432" s="108" t="n">
        <v>0.6</v>
      </c>
      <c r="U432" s="111" t="inlineStr">
        <is>
          <t>N/A</t>
        </is>
      </c>
      <c r="V432" s="111" t="inlineStr">
        <is>
          <t>N/A</t>
        </is>
      </c>
      <c r="W432" s="108" t="n">
        <v>2.21</v>
      </c>
      <c r="X432" s="111" t="inlineStr">
        <is>
          <t>N/A</t>
        </is>
      </c>
      <c r="Y432" s="109" t="n">
        <v>0</v>
      </c>
      <c r="Z432" s="109" t="n">
        <v>3.57</v>
      </c>
      <c r="AA432" s="109" t="n">
        <v>-0.02</v>
      </c>
      <c r="AB432" s="109" t="n">
        <v>0.5600000000000001</v>
      </c>
      <c r="AC432" s="108" t="n">
        <v>-0.03</v>
      </c>
      <c r="AD432" s="108" t="n">
        <v>-0.03</v>
      </c>
      <c r="AE432" s="111" t="inlineStr">
        <is>
          <t>N/A</t>
        </is>
      </c>
      <c r="AF432" s="108" t="n">
        <v>-0.14</v>
      </c>
      <c r="AG432" s="108" t="n">
        <v>0.09</v>
      </c>
      <c r="AH432" s="108" t="n">
        <v>0.62</v>
      </c>
      <c r="AI432" s="108" t="n">
        <v>0.13</v>
      </c>
      <c r="AJ432" s="111" t="inlineStr">
        <is>
          <t>N/A</t>
        </is>
      </c>
      <c r="AK432" s="111" t="inlineStr">
        <is>
          <t>N/A</t>
        </is>
      </c>
      <c r="AL432" s="111" t="inlineStr">
        <is>
          <t>N/A</t>
        </is>
      </c>
      <c r="AM432" s="108" t="n">
        <v>-0.14</v>
      </c>
      <c r="AN432" s="108" t="n">
        <v>0.09</v>
      </c>
      <c r="AO432" s="108" t="n">
        <v>0.62</v>
      </c>
      <c r="AP432" s="108" t="n">
        <v>0.13</v>
      </c>
      <c r="AQ432" s="111" t="inlineStr">
        <is>
          <t>N/A</t>
        </is>
      </c>
      <c r="AR432" s="111" t="inlineStr">
        <is>
          <t>N/A</t>
        </is>
      </c>
      <c r="AS432" s="111" t="inlineStr">
        <is>
          <t>N/A</t>
        </is>
      </c>
      <c r="AT432" s="108" t="n">
        <v>-0.14</v>
      </c>
      <c r="AU432" s="108" t="n">
        <v>0.09</v>
      </c>
      <c r="AV432" s="108" t="n">
        <v>0.62</v>
      </c>
      <c r="AW432" s="111" t="inlineStr">
        <is>
          <t>N/A</t>
        </is>
      </c>
      <c r="AX432" s="111" t="inlineStr">
        <is>
          <t>N/A</t>
        </is>
      </c>
      <c r="AY432" s="111" t="inlineStr">
        <is>
          <t>N/A</t>
        </is>
      </c>
      <c r="AZ432" s="108" t="n">
        <v>0.09</v>
      </c>
      <c r="BA432" s="111" t="inlineStr">
        <is>
          <t>N/A</t>
        </is>
      </c>
      <c r="BB432" s="108" t="n">
        <v>0.13</v>
      </c>
      <c r="BC432" s="111" t="inlineStr">
        <is>
          <t>N/A</t>
        </is>
      </c>
      <c r="BD432" s="111" t="inlineStr">
        <is>
          <t>N/A</t>
        </is>
      </c>
      <c r="BE432" s="108" t="n">
        <v>0.03</v>
      </c>
      <c r="BF432" s="108" t="n">
        <v>0.61</v>
      </c>
      <c r="BG432" s="111" t="inlineStr">
        <is>
          <t>N/A</t>
        </is>
      </c>
      <c r="BH432" s="111" t="inlineStr">
        <is>
          <t>N/A</t>
        </is>
      </c>
      <c r="BI432" s="111" t="inlineStr">
        <is>
          <t>N/A</t>
        </is>
      </c>
      <c r="BJ432" s="111" t="inlineStr">
        <is>
          <t>N/A</t>
        </is>
      </c>
      <c r="BK432" s="107" t="n">
        <v>1</v>
      </c>
      <c r="BL432" s="107" t="n">
        <v>1</v>
      </c>
      <c r="BM432" s="107" t="n">
        <v>1</v>
      </c>
      <c r="BN432" s="107" t="n">
        <v>1</v>
      </c>
      <c r="BO432" s="107" t="n">
        <v>0</v>
      </c>
      <c r="BP432" s="107" t="n">
        <v>0</v>
      </c>
      <c r="BQ432" s="107" t="n">
        <v>0</v>
      </c>
      <c r="BR432" s="107" t="n">
        <v>1</v>
      </c>
      <c r="BS432" s="107" t="n">
        <v>0</v>
      </c>
      <c r="BT432" s="107" t="n">
        <v>5</v>
      </c>
      <c r="BU432" s="107" t="inlineStr">
        <is>
          <t>Mixed</t>
        </is>
      </c>
      <c r="BV432" s="108" t="n">
        <v>1.02</v>
      </c>
      <c r="BW432" s="108" t="n">
        <v>0.92</v>
      </c>
      <c r="BX432" s="111" t="inlineStr">
        <is>
          <t>N/A</t>
        </is>
      </c>
      <c r="BY432" s="108" t="n">
        <v>0.98</v>
      </c>
      <c r="BZ432" s="111" t="inlineStr">
        <is>
          <t>N/A</t>
        </is>
      </c>
      <c r="CA432" s="108" t="n">
        <v>0.99</v>
      </c>
      <c r="CB432" s="108" t="n">
        <v>1.03</v>
      </c>
      <c r="CC432" s="108" t="n">
        <v>-0.03</v>
      </c>
      <c r="CD432" s="111" t="inlineStr">
        <is>
          <t>N/A</t>
        </is>
      </c>
      <c r="CE432" s="111" t="inlineStr">
        <is>
          <t>N/A</t>
        </is>
      </c>
      <c r="CF432" s="111" t="inlineStr">
        <is>
          <t>N/A</t>
        </is>
      </c>
      <c r="CG432" s="108" t="n">
        <v>43.27</v>
      </c>
      <c r="CH432" s="107" t="n">
        <v>0</v>
      </c>
      <c r="CI432" s="107" t="inlineStr">
        <is>
          <t>CLEAR</t>
        </is>
      </c>
    </row>
    <row r="433" ht="17" customHeight="1">
      <c r="A433" s="103" t="inlineStr">
        <is>
          <t>CDNS</t>
        </is>
      </c>
      <c r="B433" s="103" t="inlineStr">
        <is>
          <t>CADENCE DESIGN SYSTEMS, INC.</t>
        </is>
      </c>
      <c r="C433" s="104" t="n">
        <v>3034382000</v>
      </c>
      <c r="D433" s="105" t="n">
        <v>0.28</v>
      </c>
      <c r="E433" s="105" t="n">
        <v>0.29</v>
      </c>
      <c r="F433" s="105" t="n">
        <v>0.21</v>
      </c>
      <c r="G433" s="105" t="n">
        <v>0.11</v>
      </c>
      <c r="H433" s="105" t="n">
        <v>0.12</v>
      </c>
      <c r="I433" s="105" t="n">
        <v>0.2</v>
      </c>
      <c r="J433" s="105" t="n">
        <v>0.18</v>
      </c>
      <c r="K433" s="105" t="n">
        <v>0.99</v>
      </c>
      <c r="L433" s="105" t="n">
        <v>0.98</v>
      </c>
      <c r="M433" s="105" t="n">
        <v>0.52</v>
      </c>
      <c r="N433" s="104" t="n">
        <v>0.52</v>
      </c>
      <c r="O433" s="104" t="n">
        <v>2.86</v>
      </c>
      <c r="P433" s="104" t="n">
        <v>2.93</v>
      </c>
      <c r="Q433" s="104" t="n">
        <v>2.67</v>
      </c>
      <c r="R433" s="104" t="n">
        <v>1.84</v>
      </c>
      <c r="S433" s="104" t="n">
        <v>1</v>
      </c>
      <c r="T433" s="104" t="n">
        <v>1</v>
      </c>
      <c r="U433" s="113" t="inlineStr">
        <is>
          <t>N/A</t>
        </is>
      </c>
      <c r="V433" s="113" t="inlineStr">
        <is>
          <t>N/A</t>
        </is>
      </c>
      <c r="W433" s="104" t="n">
        <v>1.56</v>
      </c>
      <c r="X433" s="105" t="n">
        <v>0.3</v>
      </c>
      <c r="Y433" s="113" t="inlineStr">
        <is>
          <t>N/A</t>
        </is>
      </c>
      <c r="Z433" s="105" t="n">
        <v>12.8</v>
      </c>
      <c r="AA433" s="105" t="n">
        <v>0.14</v>
      </c>
      <c r="AB433" s="105" t="n">
        <v>0.05</v>
      </c>
      <c r="AC433" s="104" t="n">
        <v>-0.06</v>
      </c>
      <c r="AD433" s="104" t="n">
        <v>-0.06</v>
      </c>
      <c r="AE433" s="104" t="n">
        <v>0.3</v>
      </c>
      <c r="AF433" s="104" t="n">
        <v>0.7</v>
      </c>
      <c r="AG433" s="104" t="n">
        <v>0.15</v>
      </c>
      <c r="AH433" s="104" t="n">
        <v>0.54</v>
      </c>
      <c r="AI433" s="104" t="n">
        <v>0.52</v>
      </c>
      <c r="AJ433" s="104" t="n">
        <v>2.67</v>
      </c>
      <c r="AK433" s="106" t="inlineStr">
        <is>
          <t>Grey</t>
        </is>
      </c>
      <c r="AL433" s="104" t="n">
        <v>0.3</v>
      </c>
      <c r="AM433" s="104" t="n">
        <v>0.7</v>
      </c>
      <c r="AN433" s="104" t="n">
        <v>0.15</v>
      </c>
      <c r="AO433" s="104" t="n">
        <v>0.54</v>
      </c>
      <c r="AP433" s="104" t="n">
        <v>0.52</v>
      </c>
      <c r="AQ433" s="103" t="n">
        <v>2.01</v>
      </c>
      <c r="AR433" s="103" t="inlineStr">
        <is>
          <t>Grey</t>
        </is>
      </c>
      <c r="AS433" s="104" t="n">
        <v>0.3</v>
      </c>
      <c r="AT433" s="104" t="n">
        <v>0.7</v>
      </c>
      <c r="AU433" s="104" t="n">
        <v>0.15</v>
      </c>
      <c r="AV433" s="104" t="n">
        <v>0.54</v>
      </c>
      <c r="AW433" s="103" t="n">
        <v>5.79</v>
      </c>
      <c r="AX433" s="103" t="inlineStr">
        <is>
          <t>Safe</t>
        </is>
      </c>
      <c r="AY433" s="104" t="n">
        <v>0.3</v>
      </c>
      <c r="AZ433" s="104" t="n">
        <v>0.15</v>
      </c>
      <c r="BA433" s="104" t="n">
        <v>0.93</v>
      </c>
      <c r="BB433" s="104" t="n">
        <v>0.52</v>
      </c>
      <c r="BC433" s="103" t="n">
        <v>1.58</v>
      </c>
      <c r="BD433" s="103" t="inlineStr">
        <is>
          <t>Healthy</t>
        </is>
      </c>
      <c r="BE433" s="104" t="n">
        <v>0.11</v>
      </c>
      <c r="BF433" s="104" t="n">
        <v>1</v>
      </c>
      <c r="BG433" s="104" t="n">
        <v>2.86</v>
      </c>
      <c r="BH433" s="104" t="n">
        <v>0.86</v>
      </c>
      <c r="BI433" s="103" t="n">
        <v>0.7</v>
      </c>
      <c r="BJ433" s="103" t="inlineStr">
        <is>
          <t>Distress</t>
        </is>
      </c>
      <c r="BK433" s="103" t="n">
        <v>1</v>
      </c>
      <c r="BL433" s="103" t="n">
        <v>1</v>
      </c>
      <c r="BM433" s="103" t="n">
        <v>0</v>
      </c>
      <c r="BN433" s="103" t="n">
        <v>1</v>
      </c>
      <c r="BO433" s="103" t="n">
        <v>0</v>
      </c>
      <c r="BP433" s="103" t="n">
        <v>0</v>
      </c>
      <c r="BQ433" s="103" t="n">
        <v>1</v>
      </c>
      <c r="BR433" s="103" t="n">
        <v>1</v>
      </c>
      <c r="BS433" s="103" t="n">
        <v>1</v>
      </c>
      <c r="BT433" s="103" t="n">
        <v>6</v>
      </c>
      <c r="BU433" s="103" t="inlineStr">
        <is>
          <t>Mixed</t>
        </is>
      </c>
      <c r="BV433" s="104" t="n">
        <v>1.22</v>
      </c>
      <c r="BW433" s="104" t="n">
        <v>1</v>
      </c>
      <c r="BX433" s="104" t="n">
        <v>0.98</v>
      </c>
      <c r="BY433" s="104" t="n">
        <v>1.14</v>
      </c>
      <c r="BZ433" s="104" t="n">
        <v>1.07</v>
      </c>
      <c r="CA433" s="104" t="n">
        <v>0.97</v>
      </c>
      <c r="CB433" s="104" t="n">
        <v>1</v>
      </c>
      <c r="CC433" s="104" t="n">
        <v>-0.06</v>
      </c>
      <c r="CD433" s="103" t="n">
        <v>-2.44</v>
      </c>
      <c r="CE433" s="103" t="inlineStr">
        <is>
          <t>Lower Risk</t>
        </is>
      </c>
      <c r="CF433" s="113" t="inlineStr">
        <is>
          <t>N/A</t>
        </is>
      </c>
      <c r="CG433" s="104" t="n">
        <v>53.87</v>
      </c>
      <c r="CH433" s="103" t="n">
        <v>0</v>
      </c>
      <c r="CI433" s="103" t="inlineStr">
        <is>
          <t>CLEAR</t>
        </is>
      </c>
    </row>
    <row r="434" ht="17" customHeight="1">
      <c r="A434" s="107" t="inlineStr">
        <is>
          <t>ALGN</t>
        </is>
      </c>
      <c r="B434" s="107" t="inlineStr">
        <is>
          <t>ALIGN TECHNOLOGY, INC.</t>
        </is>
      </c>
      <c r="C434" s="108" t="n">
        <v>696547000</v>
      </c>
      <c r="D434" s="109" t="n">
        <v>1.41</v>
      </c>
      <c r="E434" s="109" t="n">
        <v>1.51</v>
      </c>
      <c r="F434" s="109" t="n">
        <v>1.06</v>
      </c>
      <c r="G434" s="109" t="n">
        <v>0.07000000000000001</v>
      </c>
      <c r="H434" s="109" t="n">
        <v>0.07000000000000001</v>
      </c>
      <c r="I434" s="109" t="n">
        <v>0.1</v>
      </c>
      <c r="J434" s="109" t="n">
        <v>0.13</v>
      </c>
      <c r="K434" s="109" t="n">
        <v>7</v>
      </c>
      <c r="L434" s="109" t="n">
        <v>8.960000000000001</v>
      </c>
      <c r="M434" s="109" t="n">
        <v>0.06</v>
      </c>
      <c r="N434" s="108" t="n">
        <v>0.05</v>
      </c>
      <c r="O434" s="108" t="n">
        <v>1.36</v>
      </c>
      <c r="P434" s="108" t="n">
        <v>1.22</v>
      </c>
      <c r="Q434" s="108" t="n">
        <v>1.24</v>
      </c>
      <c r="R434" s="108" t="n">
        <v>0.57</v>
      </c>
      <c r="S434" s="108" t="n">
        <v>0.35</v>
      </c>
      <c r="T434" s="108" t="n">
        <v>0.38</v>
      </c>
      <c r="U434" s="111" t="inlineStr">
        <is>
          <t>N/A</t>
        </is>
      </c>
      <c r="V434" s="111" t="inlineStr">
        <is>
          <t>N/A</t>
        </is>
      </c>
      <c r="W434" s="108" t="n">
        <v>1.45</v>
      </c>
      <c r="X434" s="109" t="n">
        <v>1.27</v>
      </c>
      <c r="Y434" s="109" t="n">
        <v>0.96</v>
      </c>
      <c r="Z434" s="109" t="n">
        <v>10701.08</v>
      </c>
      <c r="AA434" s="109" t="n">
        <v>0.24</v>
      </c>
      <c r="AB434" s="109" t="n">
        <v>-0.03</v>
      </c>
      <c r="AC434" s="108" t="n">
        <v>-0.03</v>
      </c>
      <c r="AD434" s="108" t="n">
        <v>-0.03</v>
      </c>
      <c r="AE434" s="108" t="n">
        <v>0.11</v>
      </c>
      <c r="AF434" s="108" t="n">
        <v>0.4</v>
      </c>
      <c r="AG434" s="108" t="n">
        <v>0.09</v>
      </c>
      <c r="AH434" s="108" t="n">
        <v>1.85</v>
      </c>
      <c r="AI434" s="108" t="n">
        <v>0.06</v>
      </c>
      <c r="AJ434" s="108" t="n">
        <v>2.15</v>
      </c>
      <c r="AK434" s="106" t="inlineStr">
        <is>
          <t>Grey</t>
        </is>
      </c>
      <c r="AL434" s="108" t="n">
        <v>0.11</v>
      </c>
      <c r="AM434" s="108" t="n">
        <v>0.4</v>
      </c>
      <c r="AN434" s="108" t="n">
        <v>0.09</v>
      </c>
      <c r="AO434" s="108" t="n">
        <v>1.85</v>
      </c>
      <c r="AP434" s="108" t="n">
        <v>0.06</v>
      </c>
      <c r="AQ434" s="107" t="n">
        <v>1.53</v>
      </c>
      <c r="AR434" s="107" t="inlineStr">
        <is>
          <t>Grey</t>
        </is>
      </c>
      <c r="AS434" s="108" t="n">
        <v>0.11</v>
      </c>
      <c r="AT434" s="108" t="n">
        <v>0.4</v>
      </c>
      <c r="AU434" s="108" t="n">
        <v>0.09</v>
      </c>
      <c r="AV434" s="108" t="n">
        <v>1.85</v>
      </c>
      <c r="AW434" s="107" t="n">
        <v>4.56</v>
      </c>
      <c r="AX434" s="107" t="inlineStr">
        <is>
          <t>Safe</t>
        </is>
      </c>
      <c r="AY434" s="108" t="n">
        <v>0.11</v>
      </c>
      <c r="AZ434" s="108" t="n">
        <v>0.09</v>
      </c>
      <c r="BA434" s="108" t="n">
        <v>0.3</v>
      </c>
      <c r="BB434" s="108" t="n">
        <v>0.06</v>
      </c>
      <c r="BC434" s="107" t="n">
        <v>0.61</v>
      </c>
      <c r="BD434" s="107" t="inlineStr">
        <is>
          <t>Distress</t>
        </is>
      </c>
      <c r="BE434" s="108" t="n">
        <v>0.07000000000000001</v>
      </c>
      <c r="BF434" s="108" t="n">
        <v>0.35</v>
      </c>
      <c r="BG434" s="108" t="n">
        <v>1.36</v>
      </c>
      <c r="BH434" s="108" t="n">
        <v>-2.64</v>
      </c>
      <c r="BI434" s="107" t="n">
        <v>0.07000000000000001</v>
      </c>
      <c r="BJ434" s="107" t="inlineStr">
        <is>
          <t>Healthy</t>
        </is>
      </c>
      <c r="BK434" s="107" t="n">
        <v>1</v>
      </c>
      <c r="BL434" s="107" t="n">
        <v>1</v>
      </c>
      <c r="BM434" s="107" t="n">
        <v>0</v>
      </c>
      <c r="BN434" s="107" t="n">
        <v>1</v>
      </c>
      <c r="BO434" s="107" t="n">
        <v>0</v>
      </c>
      <c r="BP434" s="107" t="n">
        <v>1</v>
      </c>
      <c r="BQ434" s="107" t="n">
        <v>1</v>
      </c>
      <c r="BR434" s="107" t="n">
        <v>0</v>
      </c>
      <c r="BS434" s="107" t="n">
        <v>1</v>
      </c>
      <c r="BT434" s="107" t="n">
        <v>6</v>
      </c>
      <c r="BU434" s="107" t="inlineStr">
        <is>
          <t>Mixed</t>
        </is>
      </c>
      <c r="BV434" s="108" t="n">
        <v>0.89</v>
      </c>
      <c r="BW434" s="108" t="n">
        <v>1.28</v>
      </c>
      <c r="BX434" s="108" t="n">
        <v>1.01</v>
      </c>
      <c r="BY434" s="108" t="n">
        <v>1.24</v>
      </c>
      <c r="BZ434" s="108" t="n">
        <v>0.89</v>
      </c>
      <c r="CA434" s="108" t="n">
        <v>0.8</v>
      </c>
      <c r="CB434" s="108" t="n">
        <v>0.92</v>
      </c>
      <c r="CC434" s="108" t="n">
        <v>-0.03</v>
      </c>
      <c r="CD434" s="107" t="n">
        <v>-2.3</v>
      </c>
      <c r="CE434" s="107" t="inlineStr">
        <is>
          <t>Lower Risk</t>
        </is>
      </c>
      <c r="CF434" s="111" t="inlineStr">
        <is>
          <t>N/A</t>
        </is>
      </c>
      <c r="CG434" s="108" t="n">
        <v>54.08</v>
      </c>
      <c r="CH434" s="107" t="n">
        <v>0</v>
      </c>
      <c r="CI434" s="107" t="inlineStr">
        <is>
          <t>CLEAR</t>
        </is>
      </c>
    </row>
    <row r="435" ht="17" customHeight="1">
      <c r="A435" s="103" t="inlineStr">
        <is>
          <t>ADSK</t>
        </is>
      </c>
      <c r="B435" s="103" t="inlineStr">
        <is>
          <t>AUTODESK, INC.</t>
        </is>
      </c>
      <c r="C435" s="104" t="n">
        <v>-866000000</v>
      </c>
      <c r="D435" s="105" t="n">
        <v>0.22</v>
      </c>
      <c r="E435" s="105" t="n">
        <v>0.22</v>
      </c>
      <c r="F435" s="105" t="n">
        <v>0.16</v>
      </c>
      <c r="G435" s="105" t="n">
        <v>0.09</v>
      </c>
      <c r="H435" s="105" t="n">
        <v>0.1</v>
      </c>
      <c r="I435" s="105" t="n">
        <v>0.37</v>
      </c>
      <c r="J435" s="105" t="n">
        <v>0.24</v>
      </c>
      <c r="K435" s="105" t="n">
        <v>0.91</v>
      </c>
      <c r="L435" s="105" t="n">
        <v>0.91</v>
      </c>
      <c r="M435" s="105" t="n">
        <v>0.58</v>
      </c>
      <c r="N435" s="104" t="n">
        <v>0.57</v>
      </c>
      <c r="O435" s="104" t="n">
        <v>0.85</v>
      </c>
      <c r="P435" s="104" t="n">
        <v>0.68</v>
      </c>
      <c r="Q435" s="104" t="n">
        <v>0.85</v>
      </c>
      <c r="R435" s="104" t="n">
        <v>0.39</v>
      </c>
      <c r="S435" s="104" t="n">
        <v>1</v>
      </c>
      <c r="T435" s="104" t="n">
        <v>1</v>
      </c>
      <c r="U435" s="104" t="n">
        <v>0.82</v>
      </c>
      <c r="V435" s="104" t="n">
        <v>0.08</v>
      </c>
      <c r="W435" s="104" t="n">
        <v>2.18</v>
      </c>
      <c r="X435" s="105" t="n">
        <v>0.33</v>
      </c>
      <c r="Y435" s="105" t="n">
        <v>0.23</v>
      </c>
      <c r="Z435" s="105" t="n">
        <v>19.73</v>
      </c>
      <c r="AA435" s="105" t="n">
        <v>0.18</v>
      </c>
      <c r="AB435" s="105" t="n">
        <v>0.01</v>
      </c>
      <c r="AC435" s="104" t="n">
        <v>-0.11</v>
      </c>
      <c r="AD435" s="104" t="n">
        <v>-0.11</v>
      </c>
      <c r="AE435" s="104" t="n">
        <v>-0.07000000000000001</v>
      </c>
      <c r="AF435" s="104" t="n">
        <v>-0.11</v>
      </c>
      <c r="AG435" s="104" t="n">
        <v>0.13</v>
      </c>
      <c r="AH435" s="104" t="n">
        <v>0.24</v>
      </c>
      <c r="AI435" s="104" t="n">
        <v>0.58</v>
      </c>
      <c r="AJ435" s="104" t="n">
        <v>0.9</v>
      </c>
      <c r="AK435" s="112" t="inlineStr">
        <is>
          <t>Distress</t>
        </is>
      </c>
      <c r="AL435" s="104" t="n">
        <v>-0.07000000000000001</v>
      </c>
      <c r="AM435" s="104" t="n">
        <v>-0.11</v>
      </c>
      <c r="AN435" s="104" t="n">
        <v>0.13</v>
      </c>
      <c r="AO435" s="104" t="n">
        <v>0.24</v>
      </c>
      <c r="AP435" s="104" t="n">
        <v>0.58</v>
      </c>
      <c r="AQ435" s="103" t="n">
        <v>0.93</v>
      </c>
      <c r="AR435" s="103" t="inlineStr">
        <is>
          <t>Distress</t>
        </is>
      </c>
      <c r="AS435" s="104" t="n">
        <v>-0.07000000000000001</v>
      </c>
      <c r="AT435" s="104" t="n">
        <v>-0.11</v>
      </c>
      <c r="AU435" s="104" t="n">
        <v>0.13</v>
      </c>
      <c r="AV435" s="104" t="n">
        <v>0.24</v>
      </c>
      <c r="AW435" s="103" t="n">
        <v>0.28</v>
      </c>
      <c r="AX435" s="103" t="inlineStr">
        <is>
          <t>Distress</t>
        </is>
      </c>
      <c r="AY435" s="104" t="n">
        <v>-0.07000000000000001</v>
      </c>
      <c r="AZ435" s="104" t="n">
        <v>0.13</v>
      </c>
      <c r="BA435" s="104" t="n">
        <v>0.28</v>
      </c>
      <c r="BB435" s="104" t="n">
        <v>0.58</v>
      </c>
      <c r="BC435" s="103" t="n">
        <v>0.73</v>
      </c>
      <c r="BD435" s="103" t="inlineStr">
        <is>
          <t>Distress</t>
        </is>
      </c>
      <c r="BE435" s="104" t="n">
        <v>0.09</v>
      </c>
      <c r="BF435" s="104" t="n">
        <v>1</v>
      </c>
      <c r="BG435" s="104" t="n">
        <v>0.85</v>
      </c>
      <c r="BH435" s="104" t="n">
        <v>0.9399999999999999</v>
      </c>
      <c r="BI435" s="103" t="n">
        <v>0.72</v>
      </c>
      <c r="BJ435" s="103" t="inlineStr">
        <is>
          <t>Distress</t>
        </is>
      </c>
      <c r="BK435" s="103" t="n">
        <v>1</v>
      </c>
      <c r="BL435" s="103" t="n">
        <v>1</v>
      </c>
      <c r="BM435" s="103" t="n">
        <v>0</v>
      </c>
      <c r="BN435" s="103" t="n">
        <v>1</v>
      </c>
      <c r="BO435" s="103" t="n">
        <v>1</v>
      </c>
      <c r="BP435" s="103" t="n">
        <v>1</v>
      </c>
      <c r="BQ435" s="103" t="n">
        <v>1</v>
      </c>
      <c r="BR435" s="103" t="n">
        <v>1</v>
      </c>
      <c r="BS435" s="103" t="n">
        <v>1</v>
      </c>
      <c r="BT435" s="103" t="n">
        <v>8</v>
      </c>
      <c r="BU435" s="103" t="inlineStr">
        <is>
          <t>Strong</t>
        </is>
      </c>
      <c r="BV435" s="104" t="n">
        <v>1.21</v>
      </c>
      <c r="BW435" s="104" t="n">
        <v>1</v>
      </c>
      <c r="BX435" s="104" t="n">
        <v>0.89</v>
      </c>
      <c r="BY435" s="104" t="n">
        <v>1.18</v>
      </c>
      <c r="BZ435" s="104" t="n">
        <v>0.98</v>
      </c>
      <c r="CA435" s="104" t="n">
        <v>0.91</v>
      </c>
      <c r="CB435" s="104" t="n">
        <v>1</v>
      </c>
      <c r="CC435" s="104" t="n">
        <v>-0.11</v>
      </c>
      <c r="CD435" s="103" t="n">
        <v>-2.66</v>
      </c>
      <c r="CE435" s="103" t="inlineStr">
        <is>
          <t>Lower Risk</t>
        </is>
      </c>
      <c r="CF435" s="104" t="n">
        <v>0.14</v>
      </c>
      <c r="CG435" s="104" t="n">
        <v>57.85</v>
      </c>
      <c r="CH435" s="103" t="n">
        <v>20</v>
      </c>
      <c r="CI435" s="103" t="inlineStr">
        <is>
          <t>CLEAR</t>
        </is>
      </c>
    </row>
    <row r="436" ht="17" customHeight="1">
      <c r="A436" s="107" t="inlineStr">
        <is>
          <t>ROK</t>
        </is>
      </c>
      <c r="B436" s="107" t="inlineStr">
        <is>
          <t>Rockwell Automation, Inc.</t>
        </is>
      </c>
      <c r="C436" s="108" t="n">
        <v>466000000</v>
      </c>
      <c r="D436" s="109" t="n">
        <v>0.26</v>
      </c>
      <c r="E436" s="109" t="n">
        <v>0.14</v>
      </c>
      <c r="F436" s="109" t="n">
        <v>0.13</v>
      </c>
      <c r="G436" s="109" t="n">
        <v>0.08</v>
      </c>
      <c r="H436" s="109" t="n">
        <v>0.08</v>
      </c>
      <c r="I436" s="109" t="n">
        <v>0.24</v>
      </c>
      <c r="J436" s="109" t="n">
        <v>0.22</v>
      </c>
      <c r="K436" s="109" t="n">
        <v>0.6</v>
      </c>
      <c r="L436" s="109" t="n">
        <v>1.85</v>
      </c>
      <c r="M436" s="109" t="n">
        <v>0.59</v>
      </c>
      <c r="N436" s="108" t="n">
        <v>0.15</v>
      </c>
      <c r="O436" s="108" t="n">
        <v>1.14</v>
      </c>
      <c r="P436" s="108" t="n">
        <v>1.08</v>
      </c>
      <c r="Q436" s="108" t="n">
        <v>0.77</v>
      </c>
      <c r="R436" s="108" t="n">
        <v>0.14</v>
      </c>
      <c r="S436" s="108" t="n">
        <v>1</v>
      </c>
      <c r="T436" s="108" t="n">
        <v>1</v>
      </c>
      <c r="U436" s="108" t="n">
        <v>0.71</v>
      </c>
      <c r="V436" s="108" t="n">
        <v>0.58</v>
      </c>
      <c r="W436" s="108" t="n">
        <v>1.78</v>
      </c>
      <c r="X436" s="109" t="n">
        <v>0.21</v>
      </c>
      <c r="Y436" s="109" t="n">
        <v>0.1</v>
      </c>
      <c r="Z436" s="109" t="n">
        <v>12.59</v>
      </c>
      <c r="AA436" s="109" t="n">
        <v>2.85</v>
      </c>
      <c r="AB436" s="109" t="n">
        <v>-0.09</v>
      </c>
      <c r="AC436" s="108" t="n">
        <v>-0.06</v>
      </c>
      <c r="AD436" s="108" t="n">
        <v>-0.06</v>
      </c>
      <c r="AE436" s="108" t="n">
        <v>0.04</v>
      </c>
      <c r="AF436" s="108" t="n">
        <v>0.48</v>
      </c>
      <c r="AG436" s="108" t="n">
        <v>0.15</v>
      </c>
      <c r="AH436" s="108" t="n">
        <v>0.33</v>
      </c>
      <c r="AI436" s="108" t="n">
        <v>0.59</v>
      </c>
      <c r="AJ436" s="108" t="n">
        <v>2.02</v>
      </c>
      <c r="AK436" s="106" t="inlineStr">
        <is>
          <t>Grey</t>
        </is>
      </c>
      <c r="AL436" s="108" t="n">
        <v>0.04</v>
      </c>
      <c r="AM436" s="108" t="n">
        <v>0.48</v>
      </c>
      <c r="AN436" s="108" t="n">
        <v>0.15</v>
      </c>
      <c r="AO436" s="108" t="n">
        <v>0.33</v>
      </c>
      <c r="AP436" s="108" t="n">
        <v>0.59</v>
      </c>
      <c r="AQ436" s="107" t="n">
        <v>1.64</v>
      </c>
      <c r="AR436" s="107" t="inlineStr">
        <is>
          <t>Grey</t>
        </is>
      </c>
      <c r="AS436" s="108" t="n">
        <v>0.04</v>
      </c>
      <c r="AT436" s="108" t="n">
        <v>0.48</v>
      </c>
      <c r="AU436" s="108" t="n">
        <v>0.15</v>
      </c>
      <c r="AV436" s="108" t="n">
        <v>0.33</v>
      </c>
      <c r="AW436" s="107" t="n">
        <v>3.21</v>
      </c>
      <c r="AX436" s="107" t="inlineStr">
        <is>
          <t>Safe</t>
        </is>
      </c>
      <c r="AY436" s="108" t="n">
        <v>0.04</v>
      </c>
      <c r="AZ436" s="108" t="n">
        <v>0.15</v>
      </c>
      <c r="BA436" s="108" t="n">
        <v>0.27</v>
      </c>
      <c r="BB436" s="108" t="n">
        <v>0.59</v>
      </c>
      <c r="BC436" s="107" t="n">
        <v>0.92</v>
      </c>
      <c r="BD436" s="107" t="inlineStr">
        <is>
          <t>Healthy</t>
        </is>
      </c>
      <c r="BE436" s="108" t="n">
        <v>0.08</v>
      </c>
      <c r="BF436" s="108" t="n">
        <v>1</v>
      </c>
      <c r="BG436" s="108" t="n">
        <v>1.14</v>
      </c>
      <c r="BH436" s="108" t="n">
        <v>1</v>
      </c>
      <c r="BI436" s="107" t="n">
        <v>0.73</v>
      </c>
      <c r="BJ436" s="107" t="inlineStr">
        <is>
          <t>Distress</t>
        </is>
      </c>
      <c r="BK436" s="107" t="n">
        <v>1</v>
      </c>
      <c r="BL436" s="107" t="n">
        <v>1</v>
      </c>
      <c r="BM436" s="107" t="n">
        <v>0</v>
      </c>
      <c r="BN436" s="107" t="n">
        <v>1</v>
      </c>
      <c r="BO436" s="107" t="n">
        <v>1</v>
      </c>
      <c r="BP436" s="107" t="n">
        <v>1</v>
      </c>
      <c r="BQ436" s="107" t="n">
        <v>1</v>
      </c>
      <c r="BR436" s="107" t="n">
        <v>0</v>
      </c>
      <c r="BS436" s="107" t="n">
        <v>1</v>
      </c>
      <c r="BT436" s="107" t="n">
        <v>7</v>
      </c>
      <c r="BU436" s="107" t="inlineStr">
        <is>
          <t>Strong</t>
        </is>
      </c>
      <c r="BV436" s="108" t="n">
        <v>0.28</v>
      </c>
      <c r="BW436" s="108" t="n">
        <v>3.06</v>
      </c>
      <c r="BX436" s="108" t="n">
        <v>0.99</v>
      </c>
      <c r="BY436" s="108" t="n">
        <v>3.85</v>
      </c>
      <c r="BZ436" s="108" t="n">
        <v>1</v>
      </c>
      <c r="CA436" s="108" t="n">
        <v>0.25</v>
      </c>
      <c r="CB436" s="108" t="n">
        <v>1</v>
      </c>
      <c r="CC436" s="108" t="n">
        <v>-0.06</v>
      </c>
      <c r="CD436" s="107" t="n">
        <v>0.34</v>
      </c>
      <c r="CE436" s="107" t="inlineStr">
        <is>
          <t>Higher Risk</t>
        </is>
      </c>
      <c r="CF436" s="108" t="n">
        <v>1.04</v>
      </c>
      <c r="CG436" s="108" t="n">
        <v>51.46</v>
      </c>
      <c r="CH436" s="107" t="n">
        <v>20</v>
      </c>
      <c r="CI436" s="107" t="inlineStr">
        <is>
          <t>CLEAR</t>
        </is>
      </c>
    </row>
    <row r="437" ht="17" customHeight="1">
      <c r="A437" s="103" t="inlineStr">
        <is>
          <t>NVR</t>
        </is>
      </c>
      <c r="B437" s="103" t="inlineStr">
        <is>
          <t>NVR, Inc.</t>
        </is>
      </c>
      <c r="C437" s="113" t="inlineStr">
        <is>
          <t>N/A</t>
        </is>
      </c>
      <c r="D437" s="113" t="inlineStr">
        <is>
          <t>N/A</t>
        </is>
      </c>
      <c r="E437" s="105" t="n">
        <v>0.17</v>
      </c>
      <c r="F437" s="105" t="n">
        <v>0.13</v>
      </c>
      <c r="G437" s="105" t="n">
        <v>0.23</v>
      </c>
      <c r="H437" s="105" t="n">
        <v>0.26</v>
      </c>
      <c r="I437" s="105" t="n">
        <v>0.35</v>
      </c>
      <c r="J437" s="113" t="inlineStr">
        <is>
          <t>N/A</t>
        </is>
      </c>
      <c r="K437" s="113" t="inlineStr">
        <is>
          <t>N/A</t>
        </is>
      </c>
      <c r="L437" s="113" t="inlineStr">
        <is>
          <t>N/A</t>
        </is>
      </c>
      <c r="M437" s="105" t="n">
        <v>1.76</v>
      </c>
      <c r="N437" s="104" t="n">
        <v>1.65</v>
      </c>
      <c r="O437" s="113" t="inlineStr">
        <is>
          <t>N/A</t>
        </is>
      </c>
      <c r="P437" s="113" t="inlineStr">
        <is>
          <t>N/A</t>
        </is>
      </c>
      <c r="Q437" s="113" t="inlineStr">
        <is>
          <t>N/A</t>
        </is>
      </c>
      <c r="R437" s="113" t="inlineStr">
        <is>
          <t>N/A</t>
        </is>
      </c>
      <c r="S437" s="104" t="n">
        <v>0.34</v>
      </c>
      <c r="T437" s="104" t="n">
        <v>0.34</v>
      </c>
      <c r="U437" s="104" t="n">
        <v>0.16</v>
      </c>
      <c r="V437" s="104" t="n">
        <v>-0.57</v>
      </c>
      <c r="W437" s="104" t="n">
        <v>0.84</v>
      </c>
      <c r="X437" s="105" t="n">
        <v>0.11</v>
      </c>
      <c r="Y437" s="113" t="inlineStr">
        <is>
          <t>N/A</t>
        </is>
      </c>
      <c r="Z437" s="113" t="inlineStr">
        <is>
          <t>N/A</t>
        </is>
      </c>
      <c r="AA437" s="105" t="n">
        <v>-0.02</v>
      </c>
      <c r="AB437" s="105" t="n">
        <v>-0.2</v>
      </c>
      <c r="AC437" s="104" t="n">
        <v>0.04</v>
      </c>
      <c r="AD437" s="104" t="n">
        <v>0.04</v>
      </c>
      <c r="AE437" s="113" t="inlineStr">
        <is>
          <t>N/A</t>
        </is>
      </c>
      <c r="AF437" s="104" t="n">
        <v>2.8</v>
      </c>
      <c r="AG437" s="113" t="inlineStr">
        <is>
          <t>N/A</t>
        </is>
      </c>
      <c r="AH437" s="104" t="n">
        <v>1.94</v>
      </c>
      <c r="AI437" s="104" t="n">
        <v>1.76</v>
      </c>
      <c r="AJ437" s="113" t="inlineStr">
        <is>
          <t>N/A</t>
        </is>
      </c>
      <c r="AK437" s="113" t="inlineStr">
        <is>
          <t>N/A</t>
        </is>
      </c>
      <c r="AL437" s="113" t="inlineStr">
        <is>
          <t>N/A</t>
        </is>
      </c>
      <c r="AM437" s="104" t="n">
        <v>2.8</v>
      </c>
      <c r="AN437" s="113" t="inlineStr">
        <is>
          <t>N/A</t>
        </is>
      </c>
      <c r="AO437" s="104" t="n">
        <v>1.94</v>
      </c>
      <c r="AP437" s="104" t="n">
        <v>1.76</v>
      </c>
      <c r="AQ437" s="113" t="inlineStr">
        <is>
          <t>N/A</t>
        </is>
      </c>
      <c r="AR437" s="113" t="inlineStr">
        <is>
          <t>N/A</t>
        </is>
      </c>
      <c r="AS437" s="113" t="inlineStr">
        <is>
          <t>N/A</t>
        </is>
      </c>
      <c r="AT437" s="104" t="n">
        <v>2.8</v>
      </c>
      <c r="AU437" s="113" t="inlineStr">
        <is>
          <t>N/A</t>
        </is>
      </c>
      <c r="AV437" s="104" t="n">
        <v>1.94</v>
      </c>
      <c r="AW437" s="113" t="inlineStr">
        <is>
          <t>N/A</t>
        </is>
      </c>
      <c r="AX437" s="113" t="inlineStr">
        <is>
          <t>N/A</t>
        </is>
      </c>
      <c r="AY437" s="113" t="inlineStr">
        <is>
          <t>N/A</t>
        </is>
      </c>
      <c r="AZ437" s="113" t="inlineStr">
        <is>
          <t>N/A</t>
        </is>
      </c>
      <c r="BA437" s="113" t="inlineStr">
        <is>
          <t>N/A</t>
        </is>
      </c>
      <c r="BB437" s="104" t="n">
        <v>1.76</v>
      </c>
      <c r="BC437" s="113" t="inlineStr">
        <is>
          <t>N/A</t>
        </is>
      </c>
      <c r="BD437" s="113" t="inlineStr">
        <is>
          <t>N/A</t>
        </is>
      </c>
      <c r="BE437" s="104" t="n">
        <v>0.23</v>
      </c>
      <c r="BF437" s="104" t="n">
        <v>0.34</v>
      </c>
      <c r="BG437" s="113" t="inlineStr">
        <is>
          <t>N/A</t>
        </is>
      </c>
      <c r="BH437" s="113" t="inlineStr">
        <is>
          <t>N/A</t>
        </is>
      </c>
      <c r="BI437" s="113" t="inlineStr">
        <is>
          <t>N/A</t>
        </is>
      </c>
      <c r="BJ437" s="113" t="inlineStr">
        <is>
          <t>N/A</t>
        </is>
      </c>
      <c r="BK437" s="103" t="n">
        <v>1</v>
      </c>
      <c r="BL437" s="103" t="n">
        <v>1</v>
      </c>
      <c r="BM437" s="103" t="n">
        <v>0</v>
      </c>
      <c r="BN437" s="103" t="n">
        <v>0</v>
      </c>
      <c r="BO437" s="103" t="n">
        <v>0</v>
      </c>
      <c r="BP437" s="103" t="n">
        <v>0</v>
      </c>
      <c r="BQ437" s="103" t="n">
        <v>1</v>
      </c>
      <c r="BR437" s="103" t="n">
        <v>0</v>
      </c>
      <c r="BS437" s="103" t="n">
        <v>1</v>
      </c>
      <c r="BT437" s="103" t="n">
        <v>4</v>
      </c>
      <c r="BU437" s="103" t="inlineStr">
        <is>
          <t>Mixed</t>
        </is>
      </c>
      <c r="BV437" s="113" t="inlineStr">
        <is>
          <t>N/A</t>
        </is>
      </c>
      <c r="BW437" s="113" t="inlineStr">
        <is>
          <t>N/A</t>
        </is>
      </c>
      <c r="BX437" s="113" t="inlineStr">
        <is>
          <t>N/A</t>
        </is>
      </c>
      <c r="BY437" s="104" t="n">
        <v>0.98</v>
      </c>
      <c r="BZ437" s="113" t="inlineStr">
        <is>
          <t>N/A</t>
        </is>
      </c>
      <c r="CA437" s="113" t="inlineStr">
        <is>
          <t>N/A</t>
        </is>
      </c>
      <c r="CB437" s="104" t="n">
        <v>1</v>
      </c>
      <c r="CC437" s="104" t="n">
        <v>0.04</v>
      </c>
      <c r="CD437" s="113" t="inlineStr">
        <is>
          <t>N/A</t>
        </is>
      </c>
      <c r="CE437" s="113" t="inlineStr">
        <is>
          <t>N/A</t>
        </is>
      </c>
      <c r="CF437" s="113" t="inlineStr">
        <is>
          <t>N/A</t>
        </is>
      </c>
      <c r="CG437" s="104" t="n">
        <v>41.01</v>
      </c>
      <c r="CH437" s="103" t="n">
        <v>0</v>
      </c>
      <c r="CI437" s="103" t="inlineStr">
        <is>
          <t>CLEAR</t>
        </is>
      </c>
    </row>
    <row r="438" ht="17" customHeight="1">
      <c r="A438" s="107" t="inlineStr">
        <is>
          <t>LVS</t>
        </is>
      </c>
      <c r="B438" s="107" t="inlineStr">
        <is>
          <t>LAS VEGAS SANDS CORP</t>
        </is>
      </c>
      <c r="C438" s="108" t="n">
        <v>610000000</v>
      </c>
      <c r="D438" s="109" t="n">
        <v>0.22</v>
      </c>
      <c r="E438" s="109" t="n">
        <v>0.17</v>
      </c>
      <c r="F438" s="109" t="n">
        <v>0.12</v>
      </c>
      <c r="G438" s="109" t="n">
        <v>0.07000000000000001</v>
      </c>
      <c r="H438" s="109" t="n">
        <v>0.02</v>
      </c>
      <c r="I438" s="109" t="n">
        <v>1.02</v>
      </c>
      <c r="J438" s="109" t="n">
        <v>0.16</v>
      </c>
      <c r="K438" s="111" t="inlineStr">
        <is>
          <t>N/A</t>
        </is>
      </c>
      <c r="L438" s="111" t="inlineStr">
        <is>
          <t>N/A</t>
        </is>
      </c>
      <c r="M438" s="109" t="n">
        <v>0.59</v>
      </c>
      <c r="N438" s="108" t="n">
        <v>0.18</v>
      </c>
      <c r="O438" s="108" t="n">
        <v>1.14</v>
      </c>
      <c r="P438" s="108" t="n">
        <v>0.74</v>
      </c>
      <c r="Q438" s="108" t="n">
        <v>1.13</v>
      </c>
      <c r="R438" s="108" t="n">
        <v>0.91</v>
      </c>
      <c r="S438" s="108" t="n">
        <v>0.91</v>
      </c>
      <c r="T438" s="108" t="n">
        <v>0.85</v>
      </c>
      <c r="U438" s="111" t="inlineStr">
        <is>
          <t>N/A</t>
        </is>
      </c>
      <c r="V438" s="111" t="inlineStr">
        <is>
          <t>N/A</t>
        </is>
      </c>
      <c r="W438" s="108" t="n">
        <v>1.86</v>
      </c>
      <c r="X438" s="109" t="n">
        <v>0.14</v>
      </c>
      <c r="Y438" s="109" t="n">
        <v>0.02</v>
      </c>
      <c r="Z438" s="109" t="n">
        <v>3.78</v>
      </c>
      <c r="AA438" s="109" t="n">
        <v>2.57</v>
      </c>
      <c r="AB438" s="109" t="n">
        <v>3.12</v>
      </c>
      <c r="AC438" s="108" t="n">
        <v>-0.06</v>
      </c>
      <c r="AD438" s="108" t="n">
        <v>-0.06</v>
      </c>
      <c r="AE438" s="108" t="n">
        <v>0.03</v>
      </c>
      <c r="AF438" s="108" t="n">
        <v>0.2</v>
      </c>
      <c r="AG438" s="108" t="n">
        <v>0.13</v>
      </c>
      <c r="AH438" s="108" t="n">
        <v>0.08</v>
      </c>
      <c r="AI438" s="108" t="n">
        <v>0.59</v>
      </c>
      <c r="AJ438" s="108" t="n">
        <v>1.38</v>
      </c>
      <c r="AK438" s="112" t="inlineStr">
        <is>
          <t>Distress</t>
        </is>
      </c>
      <c r="AL438" s="108" t="n">
        <v>0.03</v>
      </c>
      <c r="AM438" s="108" t="n">
        <v>0.2</v>
      </c>
      <c r="AN438" s="108" t="n">
        <v>0.13</v>
      </c>
      <c r="AO438" s="108" t="n">
        <v>0.08</v>
      </c>
      <c r="AP438" s="108" t="n">
        <v>0.59</v>
      </c>
      <c r="AQ438" s="107" t="n">
        <v>1.21</v>
      </c>
      <c r="AR438" s="107" t="inlineStr">
        <is>
          <t>Distress</t>
        </is>
      </c>
      <c r="AS438" s="108" t="n">
        <v>0.03</v>
      </c>
      <c r="AT438" s="108" t="n">
        <v>0.2</v>
      </c>
      <c r="AU438" s="108" t="n">
        <v>0.13</v>
      </c>
      <c r="AV438" s="108" t="n">
        <v>0.08</v>
      </c>
      <c r="AW438" s="107" t="n">
        <v>1.78</v>
      </c>
      <c r="AX438" s="107" t="inlineStr">
        <is>
          <t>Grey</t>
        </is>
      </c>
      <c r="AY438" s="108" t="n">
        <v>0.03</v>
      </c>
      <c r="AZ438" s="108" t="n">
        <v>0.13</v>
      </c>
      <c r="BA438" s="108" t="n">
        <v>0.52</v>
      </c>
      <c r="BB438" s="108" t="n">
        <v>0.59</v>
      </c>
      <c r="BC438" s="107" t="n">
        <v>1.01</v>
      </c>
      <c r="BD438" s="107" t="inlineStr">
        <is>
          <t>Healthy</t>
        </is>
      </c>
      <c r="BE438" s="108" t="n">
        <v>0.07000000000000001</v>
      </c>
      <c r="BF438" s="108" t="n">
        <v>0.91</v>
      </c>
      <c r="BG438" s="108" t="n">
        <v>1.14</v>
      </c>
      <c r="BH438" s="108" t="n">
        <v>0.51</v>
      </c>
      <c r="BI438" s="107" t="n">
        <v>0.63</v>
      </c>
      <c r="BJ438" s="107" t="inlineStr">
        <is>
          <t>Distress</t>
        </is>
      </c>
      <c r="BK438" s="107" t="n">
        <v>1</v>
      </c>
      <c r="BL438" s="107" t="n">
        <v>1</v>
      </c>
      <c r="BM438" s="107" t="n">
        <v>1</v>
      </c>
      <c r="BN438" s="107" t="n">
        <v>1</v>
      </c>
      <c r="BO438" s="107" t="n">
        <v>0</v>
      </c>
      <c r="BP438" s="107" t="n">
        <v>1</v>
      </c>
      <c r="BQ438" s="107" t="n">
        <v>1</v>
      </c>
      <c r="BR438" s="107" t="n">
        <v>0</v>
      </c>
      <c r="BS438" s="107" t="n">
        <v>1</v>
      </c>
      <c r="BT438" s="107" t="n">
        <v>7</v>
      </c>
      <c r="BU438" s="107" t="inlineStr">
        <is>
          <t>Strong</t>
        </is>
      </c>
      <c r="BV438" s="108" t="n">
        <v>0.5</v>
      </c>
      <c r="BW438" s="111" t="inlineStr">
        <is>
          <t>N/A</t>
        </is>
      </c>
      <c r="BX438" s="108" t="n">
        <v>1.16</v>
      </c>
      <c r="BY438" s="108" t="n">
        <v>3.57</v>
      </c>
      <c r="BZ438" s="108" t="n">
        <v>0.88</v>
      </c>
      <c r="CA438" s="108" t="n">
        <v>0.29</v>
      </c>
      <c r="CB438" s="108" t="n">
        <v>1.08</v>
      </c>
      <c r="CC438" s="108" t="n">
        <v>-0.06</v>
      </c>
      <c r="CD438" s="111" t="inlineStr">
        <is>
          <t>N/A</t>
        </is>
      </c>
      <c r="CE438" s="111" t="inlineStr">
        <is>
          <t>N/A</t>
        </is>
      </c>
      <c r="CF438" s="111" t="inlineStr">
        <is>
          <t>N/A</t>
        </is>
      </c>
      <c r="CG438" s="108" t="n">
        <v>54.97</v>
      </c>
      <c r="CH438" s="107" t="n">
        <v>0</v>
      </c>
      <c r="CI438" s="107" t="inlineStr">
        <is>
          <t>CLEAR</t>
        </is>
      </c>
    </row>
    <row r="439" ht="17" customHeight="1">
      <c r="A439" s="103" t="inlineStr">
        <is>
          <t>WBS</t>
        </is>
      </c>
      <c r="B439" s="103" t="inlineStr">
        <is>
          <t>WEBSTER FINANCIAL CORPORATION</t>
        </is>
      </c>
      <c r="C439" s="113" t="inlineStr">
        <is>
          <t>N/A</t>
        </is>
      </c>
      <c r="D439" s="105" t="n">
        <v>0.51</v>
      </c>
      <c r="E439" s="105" t="n">
        <v>0.43</v>
      </c>
      <c r="F439" s="105" t="n">
        <v>0.35</v>
      </c>
      <c r="G439" s="105" t="n">
        <v>0.01</v>
      </c>
      <c r="H439" s="105" t="n">
        <v>0.01</v>
      </c>
      <c r="I439" s="105" t="n">
        <v>0.11</v>
      </c>
      <c r="J439" s="113" t="inlineStr">
        <is>
          <t>N/A</t>
        </is>
      </c>
      <c r="K439" s="105" t="n">
        <v>0.02</v>
      </c>
      <c r="L439" s="105" t="n">
        <v>0.01</v>
      </c>
      <c r="M439" s="105" t="n">
        <v>0.03</v>
      </c>
      <c r="N439" s="104" t="n">
        <v>0.03</v>
      </c>
      <c r="O439" s="113" t="inlineStr">
        <is>
          <t>N/A</t>
        </is>
      </c>
      <c r="P439" s="113" t="inlineStr">
        <is>
          <t>N/A</t>
        </is>
      </c>
      <c r="Q439" s="113" t="inlineStr">
        <is>
          <t>N/A</t>
        </is>
      </c>
      <c r="R439" s="113" t="inlineStr">
        <is>
          <t>N/A</t>
        </is>
      </c>
      <c r="S439" s="104" t="n">
        <v>0.89</v>
      </c>
      <c r="T439" s="104" t="n">
        <v>0.88</v>
      </c>
      <c r="U439" s="104" t="n">
        <v>0.08</v>
      </c>
      <c r="V439" s="104" t="n">
        <v>0.08</v>
      </c>
      <c r="W439" s="104" t="n">
        <v>1.06</v>
      </c>
      <c r="X439" s="105" t="n">
        <v>0.35</v>
      </c>
      <c r="Y439" s="105" t="n">
        <v>0</v>
      </c>
      <c r="Z439" s="105" t="n">
        <v>0.96</v>
      </c>
      <c r="AA439" s="105" t="n">
        <v>0.12</v>
      </c>
      <c r="AB439" s="105" t="n">
        <v>0.3</v>
      </c>
      <c r="AC439" s="104" t="n">
        <v>-0</v>
      </c>
      <c r="AD439" s="104" t="n">
        <v>-0</v>
      </c>
      <c r="AE439" s="113" t="inlineStr">
        <is>
          <t>N/A</t>
        </is>
      </c>
      <c r="AF439" s="104" t="n">
        <v>0.05</v>
      </c>
      <c r="AG439" s="104" t="n">
        <v>0.02</v>
      </c>
      <c r="AH439" s="104" t="n">
        <v>0.13</v>
      </c>
      <c r="AI439" s="104" t="n">
        <v>0.03</v>
      </c>
      <c r="AJ439" s="113" t="inlineStr">
        <is>
          <t>N/A</t>
        </is>
      </c>
      <c r="AK439" s="113" t="inlineStr">
        <is>
          <t>N/A</t>
        </is>
      </c>
      <c r="AL439" s="113" t="inlineStr">
        <is>
          <t>N/A</t>
        </is>
      </c>
      <c r="AM439" s="104" t="n">
        <v>0.05</v>
      </c>
      <c r="AN439" s="104" t="n">
        <v>0.02</v>
      </c>
      <c r="AO439" s="104" t="n">
        <v>0.13</v>
      </c>
      <c r="AP439" s="104" t="n">
        <v>0.03</v>
      </c>
      <c r="AQ439" s="113" t="inlineStr">
        <is>
          <t>N/A</t>
        </is>
      </c>
      <c r="AR439" s="113" t="inlineStr">
        <is>
          <t>N/A</t>
        </is>
      </c>
      <c r="AS439" s="113" t="inlineStr">
        <is>
          <t>N/A</t>
        </is>
      </c>
      <c r="AT439" s="104" t="n">
        <v>0.05</v>
      </c>
      <c r="AU439" s="104" t="n">
        <v>0.02</v>
      </c>
      <c r="AV439" s="104" t="n">
        <v>0.13</v>
      </c>
      <c r="AW439" s="113" t="inlineStr">
        <is>
          <t>N/A</t>
        </is>
      </c>
      <c r="AX439" s="113" t="inlineStr">
        <is>
          <t>N/A</t>
        </is>
      </c>
      <c r="AY439" s="113" t="inlineStr">
        <is>
          <t>N/A</t>
        </is>
      </c>
      <c r="AZ439" s="104" t="n">
        <v>0.02</v>
      </c>
      <c r="BA439" s="113" t="inlineStr">
        <is>
          <t>N/A</t>
        </is>
      </c>
      <c r="BB439" s="104" t="n">
        <v>0.03</v>
      </c>
      <c r="BC439" s="113" t="inlineStr">
        <is>
          <t>N/A</t>
        </is>
      </c>
      <c r="BD439" s="113" t="inlineStr">
        <is>
          <t>N/A</t>
        </is>
      </c>
      <c r="BE439" s="104" t="n">
        <v>0.01</v>
      </c>
      <c r="BF439" s="104" t="n">
        <v>0.89</v>
      </c>
      <c r="BG439" s="113" t="inlineStr">
        <is>
          <t>N/A</t>
        </is>
      </c>
      <c r="BH439" s="113" t="inlineStr">
        <is>
          <t>N/A</t>
        </is>
      </c>
      <c r="BI439" s="113" t="inlineStr">
        <is>
          <t>N/A</t>
        </is>
      </c>
      <c r="BJ439" s="113" t="inlineStr">
        <is>
          <t>N/A</t>
        </is>
      </c>
      <c r="BK439" s="103" t="n">
        <v>1</v>
      </c>
      <c r="BL439" s="103" t="n">
        <v>1</v>
      </c>
      <c r="BM439" s="103" t="n">
        <v>1</v>
      </c>
      <c r="BN439" s="103" t="n">
        <v>1</v>
      </c>
      <c r="BO439" s="103" t="n">
        <v>1</v>
      </c>
      <c r="BP439" s="103" t="n">
        <v>0</v>
      </c>
      <c r="BQ439" s="103" t="n">
        <v>1</v>
      </c>
      <c r="BR439" s="103" t="n">
        <v>1</v>
      </c>
      <c r="BS439" s="103" t="n">
        <v>1</v>
      </c>
      <c r="BT439" s="103" t="n">
        <v>8</v>
      </c>
      <c r="BU439" s="103" t="inlineStr">
        <is>
          <t>Strong</t>
        </is>
      </c>
      <c r="BV439" s="113" t="inlineStr">
        <is>
          <t>N/A</t>
        </is>
      </c>
      <c r="BW439" s="113" t="inlineStr">
        <is>
          <t>N/A</t>
        </is>
      </c>
      <c r="BX439" s="104" t="n">
        <v>1</v>
      </c>
      <c r="BY439" s="104" t="n">
        <v>1.12</v>
      </c>
      <c r="BZ439" s="104" t="n">
        <v>2.92</v>
      </c>
      <c r="CA439" s="113" t="inlineStr">
        <is>
          <t>N/A</t>
        </is>
      </c>
      <c r="CB439" s="104" t="n">
        <v>1</v>
      </c>
      <c r="CC439" s="104" t="n">
        <v>-0</v>
      </c>
      <c r="CD439" s="113" t="inlineStr">
        <is>
          <t>N/A</t>
        </is>
      </c>
      <c r="CE439" s="113" t="inlineStr">
        <is>
          <t>N/A</t>
        </is>
      </c>
      <c r="CF439" s="104" t="n">
        <v>0.49</v>
      </c>
      <c r="CG439" s="104" t="n">
        <v>54.61</v>
      </c>
      <c r="CH439" s="103" t="n">
        <v>0</v>
      </c>
      <c r="CI439" s="103" t="inlineStr">
        <is>
          <t>CLEAR</t>
        </is>
      </c>
    </row>
    <row r="440" ht="17" customHeight="1">
      <c r="A440" s="107" t="inlineStr">
        <is>
          <t>GOOG</t>
        </is>
      </c>
      <c r="B440" s="107" t="inlineStr">
        <is>
          <t>ALPHABET INC.</t>
        </is>
      </c>
      <c r="C440" s="108" t="n">
        <v>103293000000</v>
      </c>
      <c r="D440" s="109" t="n">
        <v>0.32</v>
      </c>
      <c r="E440" s="109" t="n">
        <v>0.39</v>
      </c>
      <c r="F440" s="109" t="n">
        <v>0.33</v>
      </c>
      <c r="G440" s="109" t="n">
        <v>0.22</v>
      </c>
      <c r="H440" s="109" t="n">
        <v>0.22</v>
      </c>
      <c r="I440" s="109" t="n">
        <v>0.32</v>
      </c>
      <c r="J440" s="109" t="n">
        <v>0.26</v>
      </c>
      <c r="K440" s="109" t="n">
        <v>0.6</v>
      </c>
      <c r="L440" s="109" t="n">
        <v>0.58</v>
      </c>
      <c r="M440" s="109" t="n">
        <v>0.68</v>
      </c>
      <c r="N440" s="108" t="n">
        <v>0.78</v>
      </c>
      <c r="O440" s="108" t="n">
        <v>2.01</v>
      </c>
      <c r="P440" s="108" t="n">
        <v>1.84</v>
      </c>
      <c r="Q440" s="108" t="n">
        <v>1.98</v>
      </c>
      <c r="R440" s="108" t="n">
        <v>0.3</v>
      </c>
      <c r="S440" s="108" t="n">
        <v>0.3</v>
      </c>
      <c r="T440" s="108" t="n">
        <v>0.28</v>
      </c>
      <c r="U440" s="108" t="n">
        <v>0.12</v>
      </c>
      <c r="V440" s="108" t="n">
        <v>0.04</v>
      </c>
      <c r="W440" s="108" t="n">
        <v>1.25</v>
      </c>
      <c r="X440" s="109" t="n">
        <v>0.18</v>
      </c>
      <c r="Y440" s="109" t="n">
        <v>0.15</v>
      </c>
      <c r="Z440" s="109" t="n">
        <v>418.96</v>
      </c>
      <c r="AA440" s="109" t="n">
        <v>0.15</v>
      </c>
      <c r="AB440" s="109" t="n">
        <v>0.32</v>
      </c>
      <c r="AC440" s="108" t="n">
        <v>-0.05</v>
      </c>
      <c r="AD440" s="108" t="n">
        <v>-0.05</v>
      </c>
      <c r="AE440" s="108" t="n">
        <v>0.17</v>
      </c>
      <c r="AF440" s="108" t="n">
        <v>0.54</v>
      </c>
      <c r="AG440" s="108" t="n">
        <v>0.22</v>
      </c>
      <c r="AH440" s="108" t="n">
        <v>2.31</v>
      </c>
      <c r="AI440" s="108" t="n">
        <v>0.68</v>
      </c>
      <c r="AJ440" s="108" t="n">
        <v>3.75</v>
      </c>
      <c r="AK440" s="110" t="inlineStr">
        <is>
          <t>Safe</t>
        </is>
      </c>
      <c r="AL440" s="108" t="n">
        <v>0.17</v>
      </c>
      <c r="AM440" s="108" t="n">
        <v>0.54</v>
      </c>
      <c r="AN440" s="108" t="n">
        <v>0.22</v>
      </c>
      <c r="AO440" s="108" t="n">
        <v>2.31</v>
      </c>
      <c r="AP440" s="108" t="n">
        <v>0.68</v>
      </c>
      <c r="AQ440" s="107" t="n">
        <v>2.9</v>
      </c>
      <c r="AR440" s="107" t="inlineStr">
        <is>
          <t>Safe</t>
        </is>
      </c>
      <c r="AS440" s="108" t="n">
        <v>0.17</v>
      </c>
      <c r="AT440" s="108" t="n">
        <v>0.54</v>
      </c>
      <c r="AU440" s="108" t="n">
        <v>0.22</v>
      </c>
      <c r="AV440" s="108" t="n">
        <v>2.31</v>
      </c>
      <c r="AW440" s="107" t="n">
        <v>6.79</v>
      </c>
      <c r="AX440" s="107" t="inlineStr">
        <is>
          <t>Safe</t>
        </is>
      </c>
      <c r="AY440" s="108" t="n">
        <v>0.17</v>
      </c>
      <c r="AZ440" s="108" t="n">
        <v>0.22</v>
      </c>
      <c r="BA440" s="108" t="n">
        <v>1.55</v>
      </c>
      <c r="BB440" s="108" t="n">
        <v>0.68</v>
      </c>
      <c r="BC440" s="107" t="n">
        <v>2.14</v>
      </c>
      <c r="BD440" s="107" t="inlineStr">
        <is>
          <t>Healthy</t>
        </is>
      </c>
      <c r="BE440" s="108" t="n">
        <v>0.22</v>
      </c>
      <c r="BF440" s="108" t="n">
        <v>0.3</v>
      </c>
      <c r="BG440" s="108" t="n">
        <v>2.01</v>
      </c>
      <c r="BH440" s="108" t="n">
        <v>-3.61</v>
      </c>
      <c r="BI440" s="107" t="n">
        <v>0.03</v>
      </c>
      <c r="BJ440" s="107" t="inlineStr">
        <is>
          <t>Healthy</t>
        </is>
      </c>
      <c r="BK440" s="107" t="n">
        <v>1</v>
      </c>
      <c r="BL440" s="107" t="n">
        <v>1</v>
      </c>
      <c r="BM440" s="107" t="n">
        <v>0</v>
      </c>
      <c r="BN440" s="107" t="n">
        <v>1</v>
      </c>
      <c r="BO440" s="107" t="n">
        <v>0</v>
      </c>
      <c r="BP440" s="107" t="n">
        <v>1</v>
      </c>
      <c r="BQ440" s="107" t="n">
        <v>1</v>
      </c>
      <c r="BR440" s="107" t="n">
        <v>1</v>
      </c>
      <c r="BS440" s="107" t="n">
        <v>0</v>
      </c>
      <c r="BT440" s="107" t="n">
        <v>6</v>
      </c>
      <c r="BU440" s="107" t="inlineStr">
        <is>
          <t>Mixed</t>
        </is>
      </c>
      <c r="BV440" s="108" t="n">
        <v>1.04</v>
      </c>
      <c r="BW440" s="108" t="n">
        <v>0.98</v>
      </c>
      <c r="BX440" s="108" t="n">
        <v>1.08</v>
      </c>
      <c r="BY440" s="108" t="n">
        <v>1.15</v>
      </c>
      <c r="BZ440" s="108" t="n">
        <v>0.93</v>
      </c>
      <c r="CA440" s="108" t="n">
        <v>1.32</v>
      </c>
      <c r="CB440" s="108" t="n">
        <v>1.09</v>
      </c>
      <c r="CC440" s="108" t="n">
        <v>-0.05</v>
      </c>
      <c r="CD440" s="107" t="n">
        <v>-2.63</v>
      </c>
      <c r="CE440" s="107" t="inlineStr">
        <is>
          <t>Lower Risk</t>
        </is>
      </c>
      <c r="CF440" s="108" t="n">
        <v>0.12</v>
      </c>
      <c r="CG440" s="108" t="n">
        <v>59.18</v>
      </c>
      <c r="CH440" s="107" t="n">
        <v>0</v>
      </c>
      <c r="CI440" s="107" t="inlineStr">
        <is>
          <t>CLEAR</t>
        </is>
      </c>
    </row>
    <row r="441" ht="17" customHeight="1">
      <c r="A441" s="103" t="inlineStr">
        <is>
          <t>AMT</t>
        </is>
      </c>
      <c r="B441" s="103" t="inlineStr">
        <is>
          <t>AMERICAN TOWER CORP /MA/</t>
        </is>
      </c>
      <c r="C441" s="104" t="n">
        <v>-4172000000</v>
      </c>
      <c r="D441" s="105" t="n">
        <v>0.46</v>
      </c>
      <c r="E441" s="105" t="n">
        <v>0.29</v>
      </c>
      <c r="F441" s="105" t="n">
        <v>0.16</v>
      </c>
      <c r="G441" s="105" t="n">
        <v>0.03</v>
      </c>
      <c r="H441" s="105" t="n">
        <v>0.03</v>
      </c>
      <c r="I441" s="105" t="n">
        <v>0.46</v>
      </c>
      <c r="J441" s="105" t="n">
        <v>0.09</v>
      </c>
      <c r="K441" s="105" t="n">
        <v>1</v>
      </c>
      <c r="L441" s="105" t="n">
        <v>1</v>
      </c>
      <c r="M441" s="105" t="n">
        <v>0.17</v>
      </c>
      <c r="N441" s="104" t="n">
        <v>0.17</v>
      </c>
      <c r="O441" s="104" t="n">
        <v>0.4</v>
      </c>
      <c r="P441" s="104" t="n">
        <v>0.45</v>
      </c>
      <c r="Q441" s="104" t="n">
        <v>0.4</v>
      </c>
      <c r="R441" s="104" t="n">
        <v>0.21</v>
      </c>
      <c r="S441" s="104" t="n">
        <v>0.84</v>
      </c>
      <c r="T441" s="104" t="n">
        <v>0.84</v>
      </c>
      <c r="U441" s="104" t="n">
        <v>10.67</v>
      </c>
      <c r="V441" s="104" t="n">
        <v>10.27</v>
      </c>
      <c r="W441" s="104" t="n">
        <v>3.23</v>
      </c>
      <c r="X441" s="105" t="n">
        <v>0.36</v>
      </c>
      <c r="Y441" s="105" t="n">
        <v>0</v>
      </c>
      <c r="Z441" s="105" t="n">
        <v>3.47</v>
      </c>
      <c r="AA441" s="105" t="n">
        <v>0.05</v>
      </c>
      <c r="AB441" s="105" t="n">
        <v>-0.1</v>
      </c>
      <c r="AC441" s="104" t="n">
        <v>-0.06</v>
      </c>
      <c r="AD441" s="104" t="n">
        <v>-0.06</v>
      </c>
      <c r="AE441" s="104" t="n">
        <v>-0.07000000000000001</v>
      </c>
      <c r="AF441" s="104" t="n">
        <v>-0.08</v>
      </c>
      <c r="AG441" s="104" t="n">
        <v>0.08</v>
      </c>
      <c r="AH441" s="104" t="n">
        <v>0.07000000000000001</v>
      </c>
      <c r="AI441" s="104" t="n">
        <v>0.17</v>
      </c>
      <c r="AJ441" s="104" t="n">
        <v>0.27</v>
      </c>
      <c r="AK441" s="112" t="inlineStr">
        <is>
          <t>Distress</t>
        </is>
      </c>
      <c r="AL441" s="104" t="n">
        <v>-0.07000000000000001</v>
      </c>
      <c r="AM441" s="104" t="n">
        <v>-0.08</v>
      </c>
      <c r="AN441" s="104" t="n">
        <v>0.08</v>
      </c>
      <c r="AO441" s="104" t="n">
        <v>0.07000000000000001</v>
      </c>
      <c r="AP441" s="104" t="n">
        <v>0.17</v>
      </c>
      <c r="AQ441" s="103" t="n">
        <v>0.32</v>
      </c>
      <c r="AR441" s="103" t="inlineStr">
        <is>
          <t>Distress</t>
        </is>
      </c>
      <c r="AS441" s="104" t="n">
        <v>-0.07000000000000001</v>
      </c>
      <c r="AT441" s="104" t="n">
        <v>-0.08</v>
      </c>
      <c r="AU441" s="104" t="n">
        <v>0.08</v>
      </c>
      <c r="AV441" s="104" t="n">
        <v>0.07000000000000001</v>
      </c>
      <c r="AW441" s="103" t="n">
        <v>-0.11</v>
      </c>
      <c r="AX441" s="103" t="inlineStr">
        <is>
          <t>Distress</t>
        </is>
      </c>
      <c r="AY441" s="104" t="n">
        <v>-0.07000000000000001</v>
      </c>
      <c r="AZ441" s="104" t="n">
        <v>0.08</v>
      </c>
      <c r="BA441" s="104" t="n">
        <v>0.44</v>
      </c>
      <c r="BB441" s="104" t="n">
        <v>0.17</v>
      </c>
      <c r="BC441" s="103" t="n">
        <v>0.53</v>
      </c>
      <c r="BD441" s="103" t="inlineStr">
        <is>
          <t>Distress</t>
        </is>
      </c>
      <c r="BE441" s="104" t="n">
        <v>0.03</v>
      </c>
      <c r="BF441" s="104" t="n">
        <v>0.84</v>
      </c>
      <c r="BG441" s="104" t="n">
        <v>0.4</v>
      </c>
      <c r="BH441" s="104" t="n">
        <v>0.29</v>
      </c>
      <c r="BI441" s="103" t="n">
        <v>0.57</v>
      </c>
      <c r="BJ441" s="103" t="inlineStr">
        <is>
          <t>Distress</t>
        </is>
      </c>
      <c r="BK441" s="103" t="n">
        <v>1</v>
      </c>
      <c r="BL441" s="103" t="n">
        <v>1</v>
      </c>
      <c r="BM441" s="103" t="n">
        <v>0</v>
      </c>
      <c r="BN441" s="103" t="n">
        <v>1</v>
      </c>
      <c r="BO441" s="103" t="n">
        <v>1</v>
      </c>
      <c r="BP441" s="103" t="n">
        <v>0</v>
      </c>
      <c r="BQ441" s="103" t="n">
        <v>1</v>
      </c>
      <c r="BR441" s="103" t="n">
        <v>1</v>
      </c>
      <c r="BS441" s="103" t="n">
        <v>1</v>
      </c>
      <c r="BT441" s="103" t="n">
        <v>7</v>
      </c>
      <c r="BU441" s="103" t="inlineStr">
        <is>
          <t>Strong</t>
        </is>
      </c>
      <c r="BV441" s="104" t="n">
        <v>1.15</v>
      </c>
      <c r="BW441" s="104" t="n">
        <v>1</v>
      </c>
      <c r="BX441" s="104" t="n">
        <v>1.02</v>
      </c>
      <c r="BY441" s="104" t="n">
        <v>1.05</v>
      </c>
      <c r="BZ441" s="104" t="n">
        <v>1</v>
      </c>
      <c r="CA441" s="104" t="n">
        <v>0.96</v>
      </c>
      <c r="CB441" s="104" t="n">
        <v>0.99</v>
      </c>
      <c r="CC441" s="104" t="n">
        <v>-0.06</v>
      </c>
      <c r="CD441" s="103" t="n">
        <v>-2.56</v>
      </c>
      <c r="CE441" s="103" t="inlineStr">
        <is>
          <t>Lower Risk</t>
        </is>
      </c>
      <c r="CF441" s="104" t="n">
        <v>6.31</v>
      </c>
      <c r="CG441" s="104" t="n">
        <v>51.84</v>
      </c>
      <c r="CH441" s="103" t="n">
        <v>0</v>
      </c>
      <c r="CI441" s="103" t="inlineStr">
        <is>
          <t>CLEAR</t>
        </is>
      </c>
    </row>
    <row r="442" ht="17" customHeight="1">
      <c r="A442" s="107" t="inlineStr">
        <is>
          <t>PWR</t>
        </is>
      </c>
      <c r="B442" s="107" t="inlineStr">
        <is>
          <t>Quanta Services, Inc.</t>
        </is>
      </c>
      <c r="C442" s="108" t="n">
        <v>1187219000</v>
      </c>
      <c r="D442" s="109" t="n">
        <v>0.06</v>
      </c>
      <c r="E442" s="109" t="n">
        <v>0.05</v>
      </c>
      <c r="F442" s="109" t="n">
        <v>0.04</v>
      </c>
      <c r="G442" s="109" t="n">
        <v>0.04</v>
      </c>
      <c r="H442" s="109" t="n">
        <v>0.05</v>
      </c>
      <c r="I442" s="109" t="n">
        <v>0.12</v>
      </c>
      <c r="J442" s="109" t="n">
        <v>0.1</v>
      </c>
      <c r="K442" s="109" t="n">
        <v>0.15</v>
      </c>
      <c r="L442" s="109" t="n">
        <v>0.15</v>
      </c>
      <c r="M442" s="109" t="n">
        <v>1.14</v>
      </c>
      <c r="N442" s="108" t="n">
        <v>1.27</v>
      </c>
      <c r="O442" s="108" t="n">
        <v>1.14</v>
      </c>
      <c r="P442" s="108" t="n">
        <v>1.3</v>
      </c>
      <c r="Q442" s="108" t="n">
        <v>1.09</v>
      </c>
      <c r="R442" s="108" t="n">
        <v>0.05</v>
      </c>
      <c r="S442" s="108" t="n">
        <v>0.64</v>
      </c>
      <c r="T442" s="108" t="n">
        <v>0.61</v>
      </c>
      <c r="U442" s="108" t="n">
        <v>0.12</v>
      </c>
      <c r="V442" s="108" t="n">
        <v>0.07000000000000001</v>
      </c>
      <c r="W442" s="108" t="n">
        <v>2.17</v>
      </c>
      <c r="X442" s="109" t="n">
        <v>0.06</v>
      </c>
      <c r="Y442" s="109" t="n">
        <v>0</v>
      </c>
      <c r="Z442" s="109" t="n">
        <v>8.619999999999999</v>
      </c>
      <c r="AA442" s="109" t="n">
        <v>0.2</v>
      </c>
      <c r="AB442" s="109" t="n">
        <v>0.14</v>
      </c>
      <c r="AC442" s="108" t="n">
        <v>-0.05</v>
      </c>
      <c r="AD442" s="108" t="n">
        <v>-0.05</v>
      </c>
      <c r="AE442" s="108" t="n">
        <v>0.05</v>
      </c>
      <c r="AF442" s="108" t="n">
        <v>0.27</v>
      </c>
      <c r="AG442" s="108" t="n">
        <v>0.06</v>
      </c>
      <c r="AH442" s="108" t="n">
        <v>0.5600000000000001</v>
      </c>
      <c r="AI442" s="108" t="n">
        <v>1.14</v>
      </c>
      <c r="AJ442" s="108" t="n">
        <v>2.13</v>
      </c>
      <c r="AK442" s="106" t="inlineStr">
        <is>
          <t>Grey</t>
        </is>
      </c>
      <c r="AL442" s="108" t="n">
        <v>0.05</v>
      </c>
      <c r="AM442" s="108" t="n">
        <v>0.27</v>
      </c>
      <c r="AN442" s="108" t="n">
        <v>0.06</v>
      </c>
      <c r="AO442" s="108" t="n">
        <v>0.5600000000000001</v>
      </c>
      <c r="AP442" s="108" t="n">
        <v>1.14</v>
      </c>
      <c r="AQ442" s="107" t="n">
        <v>1.84</v>
      </c>
      <c r="AR442" s="107" t="inlineStr">
        <is>
          <t>Grey</t>
        </is>
      </c>
      <c r="AS442" s="108" t="n">
        <v>0.05</v>
      </c>
      <c r="AT442" s="108" t="n">
        <v>0.27</v>
      </c>
      <c r="AU442" s="108" t="n">
        <v>0.06</v>
      </c>
      <c r="AV442" s="108" t="n">
        <v>0.5600000000000001</v>
      </c>
      <c r="AW442" s="107" t="n">
        <v>2.21</v>
      </c>
      <c r="AX442" s="107" t="inlineStr">
        <is>
          <t>Grey</t>
        </is>
      </c>
      <c r="AY442" s="108" t="n">
        <v>0.05</v>
      </c>
      <c r="AZ442" s="108" t="n">
        <v>0.06</v>
      </c>
      <c r="BA442" s="108" t="n">
        <v>0.16</v>
      </c>
      <c r="BB442" s="108" t="n">
        <v>1.14</v>
      </c>
      <c r="BC442" s="107" t="n">
        <v>0.8100000000000001</v>
      </c>
      <c r="BD442" s="107" t="inlineStr">
        <is>
          <t>Distress</t>
        </is>
      </c>
      <c r="BE442" s="108" t="n">
        <v>0.04</v>
      </c>
      <c r="BF442" s="108" t="n">
        <v>0.64</v>
      </c>
      <c r="BG442" s="108" t="n">
        <v>1.14</v>
      </c>
      <c r="BH442" s="108" t="n">
        <v>-0.9</v>
      </c>
      <c r="BI442" s="107" t="n">
        <v>0.29</v>
      </c>
      <c r="BJ442" s="107" t="inlineStr">
        <is>
          <t>Healthy</t>
        </is>
      </c>
      <c r="BK442" s="107" t="n">
        <v>1</v>
      </c>
      <c r="BL442" s="107" t="n">
        <v>1</v>
      </c>
      <c r="BM442" s="107" t="n">
        <v>0</v>
      </c>
      <c r="BN442" s="107" t="n">
        <v>1</v>
      </c>
      <c r="BO442" s="107" t="n">
        <v>0</v>
      </c>
      <c r="BP442" s="107" t="n">
        <v>0</v>
      </c>
      <c r="BQ442" s="107" t="n">
        <v>0</v>
      </c>
      <c r="BR442" s="107" t="n">
        <v>1</v>
      </c>
      <c r="BS442" s="107" t="n">
        <v>0</v>
      </c>
      <c r="BT442" s="107" t="n">
        <v>4</v>
      </c>
      <c r="BU442" s="107" t="inlineStr">
        <is>
          <t>Mixed</t>
        </is>
      </c>
      <c r="BV442" s="108" t="n">
        <v>1.1</v>
      </c>
      <c r="BW442" s="108" t="n">
        <v>0.99</v>
      </c>
      <c r="BX442" s="108" t="n">
        <v>1.08</v>
      </c>
      <c r="BY442" s="108" t="n">
        <v>1.2</v>
      </c>
      <c r="BZ442" s="108" t="n">
        <v>0.9</v>
      </c>
      <c r="CA442" s="108" t="n">
        <v>1</v>
      </c>
      <c r="CB442" s="108" t="n">
        <v>1.05</v>
      </c>
      <c r="CC442" s="108" t="n">
        <v>-0.05</v>
      </c>
      <c r="CD442" s="107" t="n">
        <v>-2.43</v>
      </c>
      <c r="CE442" s="107" t="inlineStr">
        <is>
          <t>Lower Risk</t>
        </is>
      </c>
      <c r="CF442" s="108" t="n">
        <v>0.31</v>
      </c>
      <c r="CG442" s="108" t="n">
        <v>45.66</v>
      </c>
      <c r="CH442" s="107" t="n">
        <v>0</v>
      </c>
      <c r="CI442" s="107" t="inlineStr">
        <is>
          <t>CLEAR</t>
        </is>
      </c>
    </row>
    <row r="443" ht="17" customHeight="1">
      <c r="A443" s="103" t="inlineStr">
        <is>
          <t>ABBV</t>
        </is>
      </c>
      <c r="B443" s="103" t="inlineStr">
        <is>
          <t>AbbVie Inc.</t>
        </is>
      </c>
      <c r="C443" s="104" t="n">
        <v>-14227000000</v>
      </c>
      <c r="D443" s="105" t="n">
        <v>0.25</v>
      </c>
      <c r="E443" s="105" t="n">
        <v>0.11</v>
      </c>
      <c r="F443" s="105" t="n">
        <v>0.07000000000000001</v>
      </c>
      <c r="G443" s="105" t="n">
        <v>0.03</v>
      </c>
      <c r="H443" s="105" t="n">
        <v>0.01</v>
      </c>
      <c r="I443" s="105" t="n">
        <v>-1.29</v>
      </c>
      <c r="J443" s="105" t="n">
        <v>0.17</v>
      </c>
      <c r="K443" s="105" t="n">
        <v>0.2</v>
      </c>
      <c r="L443" s="105" t="n">
        <v>0.64</v>
      </c>
      <c r="M443" s="105" t="n">
        <v>0.46</v>
      </c>
      <c r="N443" s="104" t="n">
        <v>0.12</v>
      </c>
      <c r="O443" s="104" t="n">
        <v>0.67</v>
      </c>
      <c r="P443" s="104" t="n">
        <v>0.66</v>
      </c>
      <c r="Q443" s="104" t="n">
        <v>0.5600000000000001</v>
      </c>
      <c r="R443" s="104" t="n">
        <v>0.12</v>
      </c>
      <c r="S443" s="104" t="n">
        <v>1</v>
      </c>
      <c r="T443" s="104" t="n">
        <v>1</v>
      </c>
      <c r="U443" s="104" t="n">
        <v>-20.49</v>
      </c>
      <c r="V443" s="104" t="n">
        <v>-18.89</v>
      </c>
      <c r="W443" s="104" t="n">
        <v>4.5</v>
      </c>
      <c r="X443" s="105" t="n">
        <v>0.29</v>
      </c>
      <c r="Y443" s="105" t="n">
        <v>0.15</v>
      </c>
      <c r="Z443" s="105" t="n">
        <v>5.21</v>
      </c>
      <c r="AA443" s="105" t="n">
        <v>2.68</v>
      </c>
      <c r="AB443" s="105" t="n">
        <v>1.33</v>
      </c>
      <c r="AC443" s="104" t="n">
        <v>-0.11</v>
      </c>
      <c r="AD443" s="104" t="n">
        <v>-0.11</v>
      </c>
      <c r="AE443" s="104" t="n">
        <v>-0.11</v>
      </c>
      <c r="AF443" s="104" t="n">
        <v>-0.12</v>
      </c>
      <c r="AG443" s="104" t="n">
        <v>0.11</v>
      </c>
      <c r="AH443" s="104" t="n">
        <v>-0.02</v>
      </c>
      <c r="AI443" s="104" t="n">
        <v>0.46</v>
      </c>
      <c r="AJ443" s="104" t="n">
        <v>0.52</v>
      </c>
      <c r="AK443" s="112" t="inlineStr">
        <is>
          <t>Distress</t>
        </is>
      </c>
      <c r="AL443" s="104" t="n">
        <v>-0.11</v>
      </c>
      <c r="AM443" s="104" t="n">
        <v>-0.12</v>
      </c>
      <c r="AN443" s="104" t="n">
        <v>0.11</v>
      </c>
      <c r="AO443" s="104" t="n">
        <v>-0.02</v>
      </c>
      <c r="AP443" s="104" t="n">
        <v>0.46</v>
      </c>
      <c r="AQ443" s="103" t="n">
        <v>0.62</v>
      </c>
      <c r="AR443" s="103" t="inlineStr">
        <is>
          <t>Distress</t>
        </is>
      </c>
      <c r="AS443" s="104" t="n">
        <v>-0.11</v>
      </c>
      <c r="AT443" s="104" t="n">
        <v>-0.12</v>
      </c>
      <c r="AU443" s="104" t="n">
        <v>0.11</v>
      </c>
      <c r="AV443" s="104" t="n">
        <v>-0.02</v>
      </c>
      <c r="AW443" s="103" t="n">
        <v>-0.34</v>
      </c>
      <c r="AX443" s="103" t="inlineStr">
        <is>
          <t>Distress</t>
        </is>
      </c>
      <c r="AY443" s="104" t="n">
        <v>-0.11</v>
      </c>
      <c r="AZ443" s="104" t="n">
        <v>0.11</v>
      </c>
      <c r="BA443" s="104" t="n">
        <v>0.15</v>
      </c>
      <c r="BB443" s="104" t="n">
        <v>0.46</v>
      </c>
      <c r="BC443" s="103" t="n">
        <v>0.52</v>
      </c>
      <c r="BD443" s="103" t="inlineStr">
        <is>
          <t>Distress</t>
        </is>
      </c>
      <c r="BE443" s="104" t="n">
        <v>0.03</v>
      </c>
      <c r="BF443" s="104" t="n">
        <v>1</v>
      </c>
      <c r="BG443" s="104" t="n">
        <v>0.67</v>
      </c>
      <c r="BH443" s="104" t="n">
        <v>1.2</v>
      </c>
      <c r="BI443" s="103" t="n">
        <v>0.77</v>
      </c>
      <c r="BJ443" s="103" t="inlineStr">
        <is>
          <t>Distress</t>
        </is>
      </c>
      <c r="BK443" s="103" t="n">
        <v>1</v>
      </c>
      <c r="BL443" s="103" t="n">
        <v>1</v>
      </c>
      <c r="BM443" s="103" t="n">
        <v>1</v>
      </c>
      <c r="BN443" s="103" t="n">
        <v>1</v>
      </c>
      <c r="BO443" s="103" t="n">
        <v>1</v>
      </c>
      <c r="BP443" s="103" t="n">
        <v>1</v>
      </c>
      <c r="BQ443" s="103" t="n">
        <v>0</v>
      </c>
      <c r="BR443" s="103" t="n">
        <v>0</v>
      </c>
      <c r="BS443" s="103" t="n">
        <v>1</v>
      </c>
      <c r="BT443" s="103" t="n">
        <v>7</v>
      </c>
      <c r="BU443" s="103" t="inlineStr">
        <is>
          <t>Strong</t>
        </is>
      </c>
      <c r="BV443" s="104" t="n">
        <v>0.31</v>
      </c>
      <c r="BW443" s="104" t="n">
        <v>3.27</v>
      </c>
      <c r="BX443" s="104" t="n">
        <v>0.96</v>
      </c>
      <c r="BY443" s="104" t="n">
        <v>3.68</v>
      </c>
      <c r="BZ443" s="104" t="n">
        <v>1.09</v>
      </c>
      <c r="CA443" s="104" t="n">
        <v>0.26</v>
      </c>
      <c r="CB443" s="104" t="n">
        <v>1</v>
      </c>
      <c r="CC443" s="104" t="n">
        <v>-0.11</v>
      </c>
      <c r="CD443" s="103" t="n">
        <v>0.08</v>
      </c>
      <c r="CE443" s="103" t="inlineStr">
        <is>
          <t>Higher Risk</t>
        </is>
      </c>
      <c r="CF443" s="104" t="n">
        <v>3.9</v>
      </c>
      <c r="CG443" s="104" t="n">
        <v>47.9</v>
      </c>
      <c r="CH443" s="106" t="n">
        <v>40</v>
      </c>
      <c r="CI443" s="103" t="inlineStr">
        <is>
          <t>WATCH</t>
        </is>
      </c>
    </row>
    <row r="444" ht="17" customHeight="1">
      <c r="A444" s="107" t="inlineStr">
        <is>
          <t>HSIC</t>
        </is>
      </c>
      <c r="B444" s="107" t="inlineStr">
        <is>
          <t>HENRY SCHEIN, INC.</t>
        </is>
      </c>
      <c r="C444" s="108" t="n">
        <v>1236000000</v>
      </c>
      <c r="D444" s="109" t="n">
        <v>0.05</v>
      </c>
      <c r="E444" s="109" t="n">
        <v>0.03</v>
      </c>
      <c r="F444" s="109" t="n">
        <v>0.03</v>
      </c>
      <c r="G444" s="109" t="n">
        <v>0.04</v>
      </c>
      <c r="H444" s="109" t="n">
        <v>0.04</v>
      </c>
      <c r="I444" s="109" t="n">
        <v>0.12</v>
      </c>
      <c r="J444" s="109" t="n">
        <v>0.08</v>
      </c>
      <c r="K444" s="109" t="n">
        <v>0.31</v>
      </c>
      <c r="L444" s="109" t="n">
        <v>1.19</v>
      </c>
      <c r="M444" s="109" t="n">
        <v>1.18</v>
      </c>
      <c r="N444" s="108" t="n">
        <v>0.33</v>
      </c>
      <c r="O444" s="108" t="n">
        <v>1.38</v>
      </c>
      <c r="P444" s="108" t="n">
        <v>1.42</v>
      </c>
      <c r="Q444" s="108" t="n">
        <v>0.76</v>
      </c>
      <c r="R444" s="108" t="n">
        <v>0.02</v>
      </c>
      <c r="S444" s="108" t="n">
        <v>0.57</v>
      </c>
      <c r="T444" s="108" t="n">
        <v>0.53</v>
      </c>
      <c r="U444" s="108" t="n">
        <v>0.5600000000000001</v>
      </c>
      <c r="V444" s="108" t="n">
        <v>0.53</v>
      </c>
      <c r="W444" s="108" t="n">
        <v>1.79</v>
      </c>
      <c r="X444" s="109" t="n">
        <v>0.04</v>
      </c>
      <c r="Y444" s="111" t="inlineStr">
        <is>
          <t>N/A</t>
        </is>
      </c>
      <c r="Z444" s="109" t="n">
        <v>4.35</v>
      </c>
      <c r="AA444" s="109" t="n">
        <v>2.91</v>
      </c>
      <c r="AB444" s="109" t="n">
        <v>0.02</v>
      </c>
      <c r="AC444" s="108" t="n">
        <v>-0.03</v>
      </c>
      <c r="AD444" s="108" t="n">
        <v>-0.03</v>
      </c>
      <c r="AE444" s="108" t="n">
        <v>0.11</v>
      </c>
      <c r="AF444" s="108" t="n">
        <v>0.29</v>
      </c>
      <c r="AG444" s="108" t="n">
        <v>0.06</v>
      </c>
      <c r="AH444" s="108" t="n">
        <v>0.51</v>
      </c>
      <c r="AI444" s="108" t="n">
        <v>1.18</v>
      </c>
      <c r="AJ444" s="108" t="n">
        <v>2.22</v>
      </c>
      <c r="AK444" s="106" t="inlineStr">
        <is>
          <t>Grey</t>
        </is>
      </c>
      <c r="AL444" s="108" t="n">
        <v>0.11</v>
      </c>
      <c r="AM444" s="108" t="n">
        <v>0.29</v>
      </c>
      <c r="AN444" s="108" t="n">
        <v>0.06</v>
      </c>
      <c r="AO444" s="108" t="n">
        <v>0.51</v>
      </c>
      <c r="AP444" s="108" t="n">
        <v>1.18</v>
      </c>
      <c r="AQ444" s="107" t="n">
        <v>1.9</v>
      </c>
      <c r="AR444" s="107" t="inlineStr">
        <is>
          <t>Grey</t>
        </is>
      </c>
      <c r="AS444" s="108" t="n">
        <v>0.11</v>
      </c>
      <c r="AT444" s="108" t="n">
        <v>0.29</v>
      </c>
      <c r="AU444" s="108" t="n">
        <v>0.06</v>
      </c>
      <c r="AV444" s="108" t="n">
        <v>0.51</v>
      </c>
      <c r="AW444" s="107" t="n">
        <v>2.6</v>
      </c>
      <c r="AX444" s="107" t="inlineStr">
        <is>
          <t>Safe</t>
        </is>
      </c>
      <c r="AY444" s="108" t="n">
        <v>0.11</v>
      </c>
      <c r="AZ444" s="108" t="n">
        <v>0.06</v>
      </c>
      <c r="BA444" s="108" t="n">
        <v>0.12</v>
      </c>
      <c r="BB444" s="108" t="n">
        <v>1.18</v>
      </c>
      <c r="BC444" s="107" t="n">
        <v>0.84</v>
      </c>
      <c r="BD444" s="107" t="inlineStr">
        <is>
          <t>Distress</t>
        </is>
      </c>
      <c r="BE444" s="108" t="n">
        <v>0.04</v>
      </c>
      <c r="BF444" s="108" t="n">
        <v>0.57</v>
      </c>
      <c r="BG444" s="108" t="n">
        <v>1.38</v>
      </c>
      <c r="BH444" s="108" t="n">
        <v>-1.24</v>
      </c>
      <c r="BI444" s="107" t="n">
        <v>0.22</v>
      </c>
      <c r="BJ444" s="107" t="inlineStr">
        <is>
          <t>Healthy</t>
        </is>
      </c>
      <c r="BK444" s="107" t="n">
        <v>1</v>
      </c>
      <c r="BL444" s="107" t="n">
        <v>1</v>
      </c>
      <c r="BM444" s="107" t="n">
        <v>0</v>
      </c>
      <c r="BN444" s="107" t="n">
        <v>1</v>
      </c>
      <c r="BO444" s="107" t="n">
        <v>0</v>
      </c>
      <c r="BP444" s="107" t="n">
        <v>0</v>
      </c>
      <c r="BQ444" s="107" t="n">
        <v>1</v>
      </c>
      <c r="BR444" s="107" t="n">
        <v>0</v>
      </c>
      <c r="BS444" s="107" t="n">
        <v>1</v>
      </c>
      <c r="BT444" s="107" t="n">
        <v>5</v>
      </c>
      <c r="BU444" s="107" t="inlineStr">
        <is>
          <t>Mixed</t>
        </is>
      </c>
      <c r="BV444" s="108" t="n">
        <v>0.28</v>
      </c>
      <c r="BW444" s="108" t="n">
        <v>3.83</v>
      </c>
      <c r="BX444" s="108" t="n">
        <v>0.99</v>
      </c>
      <c r="BY444" s="108" t="n">
        <v>3.91</v>
      </c>
      <c r="BZ444" s="108" t="n">
        <v>1.01</v>
      </c>
      <c r="CA444" s="108" t="n">
        <v>0.26</v>
      </c>
      <c r="CB444" s="108" t="n">
        <v>1.09</v>
      </c>
      <c r="CC444" s="108" t="n">
        <v>-0.03</v>
      </c>
      <c r="CD444" s="107" t="n">
        <v>0.92</v>
      </c>
      <c r="CE444" s="107" t="inlineStr">
        <is>
          <t>Higher Risk</t>
        </is>
      </c>
      <c r="CF444" s="108" t="n">
        <v>1.89</v>
      </c>
      <c r="CG444" s="108" t="n">
        <v>45.14</v>
      </c>
      <c r="CH444" s="107" t="n">
        <v>20</v>
      </c>
      <c r="CI444" s="107" t="inlineStr">
        <is>
          <t>CLEAR</t>
        </is>
      </c>
    </row>
    <row r="445" ht="17" customHeight="1">
      <c r="A445" s="103" t="inlineStr">
        <is>
          <t>CPRT</t>
        </is>
      </c>
      <c r="B445" s="103" t="inlineStr">
        <is>
          <t>COPART, INC.</t>
        </is>
      </c>
      <c r="C445" s="104" t="n">
        <v>5071347000</v>
      </c>
      <c r="D445" s="105" t="n">
        <v>3.23</v>
      </c>
      <c r="E445" s="105" t="n">
        <v>3.61</v>
      </c>
      <c r="F445" s="105" t="n">
        <v>2.95</v>
      </c>
      <c r="G445" s="105" t="n">
        <v>0.15</v>
      </c>
      <c r="H445" s="105" t="n">
        <v>0.16</v>
      </c>
      <c r="I445" s="105" t="n">
        <v>0.26</v>
      </c>
      <c r="J445" s="105" t="n">
        <v>0.18</v>
      </c>
      <c r="K445" s="105" t="n">
        <v>0.48</v>
      </c>
      <c r="L445" s="105" t="n">
        <v>0.44</v>
      </c>
      <c r="M445" s="105" t="n">
        <v>0.05</v>
      </c>
      <c r="N445" s="104" t="n">
        <v>0.07000000000000001</v>
      </c>
      <c r="O445" s="104" t="n">
        <v>8.42</v>
      </c>
      <c r="P445" s="104" t="n">
        <v>7.03</v>
      </c>
      <c r="Q445" s="104" t="n">
        <v>8.359999999999999</v>
      </c>
      <c r="R445" s="104" t="n">
        <v>0.27</v>
      </c>
      <c r="S445" s="104" t="n">
        <v>0.09</v>
      </c>
      <c r="T445" s="104" t="n">
        <v>0.1</v>
      </c>
      <c r="U445" s="104" t="n">
        <v>0.01</v>
      </c>
      <c r="V445" s="104" t="n">
        <v>-0.02</v>
      </c>
      <c r="W445" s="104" t="n">
        <v>1.16</v>
      </c>
      <c r="X445" s="105" t="n">
        <v>2.34</v>
      </c>
      <c r="Y445" s="105" t="n">
        <v>0</v>
      </c>
      <c r="Z445" s="105" t="n">
        <v>83.87</v>
      </c>
      <c r="AA445" s="105" t="n">
        <v>-0.04</v>
      </c>
      <c r="AB445" s="105" t="n">
        <v>0.14</v>
      </c>
      <c r="AC445" s="104" t="n">
        <v>-0.02</v>
      </c>
      <c r="AD445" s="104" t="n">
        <v>-0.02</v>
      </c>
      <c r="AE445" s="104" t="n">
        <v>0.5</v>
      </c>
      <c r="AF445" s="104" t="n">
        <v>0.8</v>
      </c>
      <c r="AG445" s="104" t="n">
        <v>0.17</v>
      </c>
      <c r="AH445" s="104" t="n">
        <v>6.78</v>
      </c>
      <c r="AI445" s="104" t="n">
        <v>0.05</v>
      </c>
      <c r="AJ445" s="104" t="n">
        <v>6.4</v>
      </c>
      <c r="AK445" s="110" t="inlineStr">
        <is>
          <t>Safe</t>
        </is>
      </c>
      <c r="AL445" s="104" t="n">
        <v>0.5</v>
      </c>
      <c r="AM445" s="104" t="n">
        <v>0.8</v>
      </c>
      <c r="AN445" s="104" t="n">
        <v>0.17</v>
      </c>
      <c r="AO445" s="104" t="n">
        <v>6.78</v>
      </c>
      <c r="AP445" s="104" t="n">
        <v>0.05</v>
      </c>
      <c r="AQ445" s="103" t="n">
        <v>4.46</v>
      </c>
      <c r="AR445" s="103" t="inlineStr">
        <is>
          <t>Safe</t>
        </is>
      </c>
      <c r="AS445" s="104" t="n">
        <v>0.5</v>
      </c>
      <c r="AT445" s="104" t="n">
        <v>0.8</v>
      </c>
      <c r="AU445" s="104" t="n">
        <v>0.17</v>
      </c>
      <c r="AV445" s="104" t="n">
        <v>6.78</v>
      </c>
      <c r="AW445" s="103" t="n">
        <v>14.16</v>
      </c>
      <c r="AX445" s="103" t="inlineStr">
        <is>
          <t>Safe</t>
        </is>
      </c>
      <c r="AY445" s="104" t="n">
        <v>0.5</v>
      </c>
      <c r="AZ445" s="104" t="n">
        <v>0.17</v>
      </c>
      <c r="BA445" s="104" t="n">
        <v>2.77</v>
      </c>
      <c r="BB445" s="104" t="n">
        <v>0.05</v>
      </c>
      <c r="BC445" s="103" t="n">
        <v>2.89</v>
      </c>
      <c r="BD445" s="103" t="inlineStr">
        <is>
          <t>Healthy</t>
        </is>
      </c>
      <c r="BE445" s="104" t="n">
        <v>0.15</v>
      </c>
      <c r="BF445" s="104" t="n">
        <v>0.09</v>
      </c>
      <c r="BG445" s="104" t="n">
        <v>8.42</v>
      </c>
      <c r="BH445" s="104" t="n">
        <v>-4.5</v>
      </c>
      <c r="BI445" s="103" t="n">
        <v>0.01</v>
      </c>
      <c r="BJ445" s="103" t="inlineStr">
        <is>
          <t>Healthy</t>
        </is>
      </c>
      <c r="BK445" s="103" t="n">
        <v>1</v>
      </c>
      <c r="BL445" s="103" t="n">
        <v>1</v>
      </c>
      <c r="BM445" s="103" t="n">
        <v>0</v>
      </c>
      <c r="BN445" s="103" t="n">
        <v>1</v>
      </c>
      <c r="BO445" s="103" t="n">
        <v>0</v>
      </c>
      <c r="BP445" s="103" t="n">
        <v>1</v>
      </c>
      <c r="BQ445" s="103" t="n">
        <v>0</v>
      </c>
      <c r="BR445" s="103" t="n">
        <v>1</v>
      </c>
      <c r="BS445" s="103" t="n">
        <v>0</v>
      </c>
      <c r="BT445" s="103" t="n">
        <v>5</v>
      </c>
      <c r="BU445" s="103" t="inlineStr">
        <is>
          <t>Mixed</t>
        </is>
      </c>
      <c r="BV445" s="104" t="n">
        <v>1.02</v>
      </c>
      <c r="BW445" s="104" t="n">
        <v>0.93</v>
      </c>
      <c r="BX445" s="104" t="n">
        <v>0.74</v>
      </c>
      <c r="BY445" s="104" t="n">
        <v>0.96</v>
      </c>
      <c r="BZ445" s="104" t="n">
        <v>1</v>
      </c>
      <c r="CA445" s="104" t="n">
        <v>1.26</v>
      </c>
      <c r="CB445" s="104" t="n">
        <v>0.84</v>
      </c>
      <c r="CC445" s="104" t="n">
        <v>-0.02</v>
      </c>
      <c r="CD445" s="103" t="n">
        <v>-2.76</v>
      </c>
      <c r="CE445" s="103" t="inlineStr">
        <is>
          <t>Lower Risk</t>
        </is>
      </c>
      <c r="CF445" s="104" t="n">
        <v>-0.07000000000000001</v>
      </c>
      <c r="CG445" s="104" t="n">
        <v>62.03</v>
      </c>
      <c r="CH445" s="103" t="n">
        <v>0</v>
      </c>
      <c r="CI445" s="103" t="inlineStr">
        <is>
          <t>CLEAR</t>
        </is>
      </c>
    </row>
    <row r="446" ht="17" customHeight="1">
      <c r="A446" s="107" t="inlineStr">
        <is>
          <t>GOOGL</t>
        </is>
      </c>
      <c r="B446" s="107" t="inlineStr">
        <is>
          <t>ALPHABET INC.</t>
        </is>
      </c>
      <c r="C446" s="108" t="n">
        <v>103293000000</v>
      </c>
      <c r="D446" s="109" t="n">
        <v>0.32</v>
      </c>
      <c r="E446" s="109" t="n">
        <v>0.39</v>
      </c>
      <c r="F446" s="109" t="n">
        <v>0.33</v>
      </c>
      <c r="G446" s="109" t="n">
        <v>0.22</v>
      </c>
      <c r="H446" s="109" t="n">
        <v>0.22</v>
      </c>
      <c r="I446" s="109" t="n">
        <v>0.32</v>
      </c>
      <c r="J446" s="109" t="n">
        <v>0.26</v>
      </c>
      <c r="K446" s="109" t="n">
        <v>0.6</v>
      </c>
      <c r="L446" s="109" t="n">
        <v>0.58</v>
      </c>
      <c r="M446" s="109" t="n">
        <v>0.68</v>
      </c>
      <c r="N446" s="108" t="n">
        <v>0.78</v>
      </c>
      <c r="O446" s="108" t="n">
        <v>2.01</v>
      </c>
      <c r="P446" s="108" t="n">
        <v>1.84</v>
      </c>
      <c r="Q446" s="108" t="n">
        <v>1.98</v>
      </c>
      <c r="R446" s="108" t="n">
        <v>0.3</v>
      </c>
      <c r="S446" s="108" t="n">
        <v>0.3</v>
      </c>
      <c r="T446" s="108" t="n">
        <v>0.28</v>
      </c>
      <c r="U446" s="108" t="n">
        <v>0.12</v>
      </c>
      <c r="V446" s="108" t="n">
        <v>0.04</v>
      </c>
      <c r="W446" s="108" t="n">
        <v>1.25</v>
      </c>
      <c r="X446" s="109" t="n">
        <v>0.18</v>
      </c>
      <c r="Y446" s="109" t="n">
        <v>0.15</v>
      </c>
      <c r="Z446" s="109" t="n">
        <v>418.96</v>
      </c>
      <c r="AA446" s="109" t="n">
        <v>0.15</v>
      </c>
      <c r="AB446" s="109" t="n">
        <v>0.32</v>
      </c>
      <c r="AC446" s="108" t="n">
        <v>-0.05</v>
      </c>
      <c r="AD446" s="108" t="n">
        <v>-0.05</v>
      </c>
      <c r="AE446" s="108" t="n">
        <v>0.17</v>
      </c>
      <c r="AF446" s="108" t="n">
        <v>0.54</v>
      </c>
      <c r="AG446" s="108" t="n">
        <v>0.22</v>
      </c>
      <c r="AH446" s="108" t="n">
        <v>2.31</v>
      </c>
      <c r="AI446" s="108" t="n">
        <v>0.68</v>
      </c>
      <c r="AJ446" s="108" t="n">
        <v>3.75</v>
      </c>
      <c r="AK446" s="110" t="inlineStr">
        <is>
          <t>Safe</t>
        </is>
      </c>
      <c r="AL446" s="108" t="n">
        <v>0.17</v>
      </c>
      <c r="AM446" s="108" t="n">
        <v>0.54</v>
      </c>
      <c r="AN446" s="108" t="n">
        <v>0.22</v>
      </c>
      <c r="AO446" s="108" t="n">
        <v>2.31</v>
      </c>
      <c r="AP446" s="108" t="n">
        <v>0.68</v>
      </c>
      <c r="AQ446" s="107" t="n">
        <v>2.9</v>
      </c>
      <c r="AR446" s="107" t="inlineStr">
        <is>
          <t>Safe</t>
        </is>
      </c>
      <c r="AS446" s="108" t="n">
        <v>0.17</v>
      </c>
      <c r="AT446" s="108" t="n">
        <v>0.54</v>
      </c>
      <c r="AU446" s="108" t="n">
        <v>0.22</v>
      </c>
      <c r="AV446" s="108" t="n">
        <v>2.31</v>
      </c>
      <c r="AW446" s="107" t="n">
        <v>6.79</v>
      </c>
      <c r="AX446" s="107" t="inlineStr">
        <is>
          <t>Safe</t>
        </is>
      </c>
      <c r="AY446" s="108" t="n">
        <v>0.17</v>
      </c>
      <c r="AZ446" s="108" t="n">
        <v>0.22</v>
      </c>
      <c r="BA446" s="108" t="n">
        <v>1.55</v>
      </c>
      <c r="BB446" s="108" t="n">
        <v>0.68</v>
      </c>
      <c r="BC446" s="107" t="n">
        <v>2.14</v>
      </c>
      <c r="BD446" s="107" t="inlineStr">
        <is>
          <t>Healthy</t>
        </is>
      </c>
      <c r="BE446" s="108" t="n">
        <v>0.22</v>
      </c>
      <c r="BF446" s="108" t="n">
        <v>0.3</v>
      </c>
      <c r="BG446" s="108" t="n">
        <v>2.01</v>
      </c>
      <c r="BH446" s="108" t="n">
        <v>-3.61</v>
      </c>
      <c r="BI446" s="107" t="n">
        <v>0.03</v>
      </c>
      <c r="BJ446" s="107" t="inlineStr">
        <is>
          <t>Healthy</t>
        </is>
      </c>
      <c r="BK446" s="107" t="n">
        <v>1</v>
      </c>
      <c r="BL446" s="107" t="n">
        <v>1</v>
      </c>
      <c r="BM446" s="107" t="n">
        <v>0</v>
      </c>
      <c r="BN446" s="107" t="n">
        <v>1</v>
      </c>
      <c r="BO446" s="107" t="n">
        <v>0</v>
      </c>
      <c r="BP446" s="107" t="n">
        <v>1</v>
      </c>
      <c r="BQ446" s="107" t="n">
        <v>1</v>
      </c>
      <c r="BR446" s="107" t="n">
        <v>1</v>
      </c>
      <c r="BS446" s="107" t="n">
        <v>0</v>
      </c>
      <c r="BT446" s="107" t="n">
        <v>6</v>
      </c>
      <c r="BU446" s="107" t="inlineStr">
        <is>
          <t>Mixed</t>
        </is>
      </c>
      <c r="BV446" s="108" t="n">
        <v>1.04</v>
      </c>
      <c r="BW446" s="108" t="n">
        <v>0.98</v>
      </c>
      <c r="BX446" s="108" t="n">
        <v>1.08</v>
      </c>
      <c r="BY446" s="108" t="n">
        <v>1.15</v>
      </c>
      <c r="BZ446" s="108" t="n">
        <v>0.93</v>
      </c>
      <c r="CA446" s="108" t="n">
        <v>1.32</v>
      </c>
      <c r="CB446" s="108" t="n">
        <v>1.09</v>
      </c>
      <c r="CC446" s="108" t="n">
        <v>-0.05</v>
      </c>
      <c r="CD446" s="107" t="n">
        <v>-2.63</v>
      </c>
      <c r="CE446" s="107" t="inlineStr">
        <is>
          <t>Lower Risk</t>
        </is>
      </c>
      <c r="CF446" s="108" t="n">
        <v>0.12</v>
      </c>
      <c r="CG446" s="108" t="n">
        <v>59.18</v>
      </c>
      <c r="CH446" s="107" t="n">
        <v>0</v>
      </c>
      <c r="CI446" s="107" t="inlineStr">
        <is>
          <t>CLEAR</t>
        </is>
      </c>
    </row>
    <row r="447" ht="17" customHeight="1">
      <c r="A447" s="103" t="inlineStr">
        <is>
          <t>GPC</t>
        </is>
      </c>
      <c r="B447" s="103" t="inlineStr">
        <is>
          <t>GENUINE PARTS CO</t>
        </is>
      </c>
      <c r="C447" s="104" t="n">
        <v>777029000</v>
      </c>
      <c r="D447" s="105" t="n">
        <v>0.06</v>
      </c>
      <c r="E447" s="105" t="n">
        <v>0</v>
      </c>
      <c r="F447" s="105" t="n">
        <v>0</v>
      </c>
      <c r="G447" s="105" t="n">
        <v>0</v>
      </c>
      <c r="H447" s="105" t="n">
        <v>0.05</v>
      </c>
      <c r="I447" s="105" t="n">
        <v>0.01</v>
      </c>
      <c r="J447" s="105" t="n">
        <v>0.13</v>
      </c>
      <c r="K447" s="105" t="n">
        <v>0.37</v>
      </c>
      <c r="L447" s="105" t="n">
        <v>0.36</v>
      </c>
      <c r="M447" s="105" t="n">
        <v>1.17</v>
      </c>
      <c r="N447" s="104" t="n">
        <v>1.22</v>
      </c>
      <c r="O447" s="104" t="n">
        <v>1.08</v>
      </c>
      <c r="P447" s="104" t="n">
        <v>1.16</v>
      </c>
      <c r="Q447" s="104" t="n">
        <v>0.46</v>
      </c>
      <c r="R447" s="104" t="n">
        <v>0.03</v>
      </c>
      <c r="S447" s="104" t="n">
        <v>1</v>
      </c>
      <c r="T447" s="104" t="n">
        <v>1</v>
      </c>
      <c r="U447" s="104" t="n">
        <v>1.3</v>
      </c>
      <c r="V447" s="104" t="n">
        <v>1.22</v>
      </c>
      <c r="W447" s="104" t="n">
        <v>13.51</v>
      </c>
      <c r="X447" s="105" t="n">
        <v>0.02</v>
      </c>
      <c r="Y447" s="113" t="inlineStr">
        <is>
          <t>N/A</t>
        </is>
      </c>
      <c r="Z447" s="105" t="n">
        <v>22.19</v>
      </c>
      <c r="AA447" s="105" t="n">
        <v>0.03</v>
      </c>
      <c r="AB447" s="105" t="n">
        <v>-0.93</v>
      </c>
      <c r="AC447" s="104" t="n">
        <v>-0.04</v>
      </c>
      <c r="AD447" s="104" t="n">
        <v>-0.04</v>
      </c>
      <c r="AE447" s="104" t="n">
        <v>0.04</v>
      </c>
      <c r="AF447" s="104" t="n">
        <v>0.22</v>
      </c>
      <c r="AG447" s="104" t="n">
        <v>0.07000000000000001</v>
      </c>
      <c r="AH447" s="104" t="n">
        <v>0.21</v>
      </c>
      <c r="AI447" s="104" t="n">
        <v>1.17</v>
      </c>
      <c r="AJ447" s="104" t="n">
        <v>1.88</v>
      </c>
      <c r="AK447" s="106" t="inlineStr">
        <is>
          <t>Grey</t>
        </is>
      </c>
      <c r="AL447" s="104" t="n">
        <v>0.04</v>
      </c>
      <c r="AM447" s="104" t="n">
        <v>0.22</v>
      </c>
      <c r="AN447" s="104" t="n">
        <v>0.07000000000000001</v>
      </c>
      <c r="AO447" s="104" t="n">
        <v>0.21</v>
      </c>
      <c r="AP447" s="104" t="n">
        <v>1.17</v>
      </c>
      <c r="AQ447" s="103" t="n">
        <v>1.68</v>
      </c>
      <c r="AR447" s="103" t="inlineStr">
        <is>
          <t>Grey</t>
        </is>
      </c>
      <c r="AS447" s="104" t="n">
        <v>0.04</v>
      </c>
      <c r="AT447" s="104" t="n">
        <v>0.22</v>
      </c>
      <c r="AU447" s="104" t="n">
        <v>0.07000000000000001</v>
      </c>
      <c r="AV447" s="104" t="n">
        <v>0.21</v>
      </c>
      <c r="AW447" s="103" t="n">
        <v>1.65</v>
      </c>
      <c r="AX447" s="103" t="inlineStr">
        <is>
          <t>Grey</t>
        </is>
      </c>
      <c r="AY447" s="104" t="n">
        <v>0.04</v>
      </c>
      <c r="AZ447" s="104" t="n">
        <v>0.07000000000000001</v>
      </c>
      <c r="BA447" s="104" t="n">
        <v>0.01</v>
      </c>
      <c r="BB447" s="104" t="n">
        <v>1.17</v>
      </c>
      <c r="BC447" s="103" t="n">
        <v>0.72</v>
      </c>
      <c r="BD447" s="103" t="inlineStr">
        <is>
          <t>Distress</t>
        </is>
      </c>
      <c r="BE447" s="104" t="n">
        <v>0</v>
      </c>
      <c r="BF447" s="104" t="n">
        <v>1</v>
      </c>
      <c r="BG447" s="104" t="n">
        <v>1.08</v>
      </c>
      <c r="BH447" s="104" t="n">
        <v>1.33</v>
      </c>
      <c r="BI447" s="103" t="n">
        <v>0.79</v>
      </c>
      <c r="BJ447" s="103" t="inlineStr">
        <is>
          <t>Distress</t>
        </is>
      </c>
      <c r="BK447" s="103" t="n">
        <v>1</v>
      </c>
      <c r="BL447" s="103" t="n">
        <v>1</v>
      </c>
      <c r="BM447" s="103" t="n">
        <v>0</v>
      </c>
      <c r="BN447" s="103" t="n">
        <v>1</v>
      </c>
      <c r="BO447" s="103" t="n">
        <v>0</v>
      </c>
      <c r="BP447" s="103" t="n">
        <v>0</v>
      </c>
      <c r="BQ447" s="103" t="n">
        <v>1</v>
      </c>
      <c r="BR447" s="103" t="n">
        <v>1</v>
      </c>
      <c r="BS447" s="103" t="n">
        <v>0</v>
      </c>
      <c r="BT447" s="103" t="n">
        <v>5</v>
      </c>
      <c r="BU447" s="103" t="inlineStr">
        <is>
          <t>Mixed</t>
        </is>
      </c>
      <c r="BV447" s="113" t="inlineStr">
        <is>
          <t>N/A</t>
        </is>
      </c>
      <c r="BW447" s="104" t="n">
        <v>0.99</v>
      </c>
      <c r="BX447" s="104" t="n">
        <v>1</v>
      </c>
      <c r="BY447" s="104" t="n">
        <v>1.03</v>
      </c>
      <c r="BZ447" s="104" t="n">
        <v>0.87</v>
      </c>
      <c r="CA447" s="104" t="n">
        <v>1.04</v>
      </c>
      <c r="CB447" s="104" t="n">
        <v>1</v>
      </c>
      <c r="CC447" s="104" t="n">
        <v>-0.04</v>
      </c>
      <c r="CD447" s="113" t="inlineStr">
        <is>
          <t>N/A</t>
        </is>
      </c>
      <c r="CE447" s="113" t="inlineStr">
        <is>
          <t>N/A</t>
        </is>
      </c>
      <c r="CF447" s="104" t="n">
        <v>2.75</v>
      </c>
      <c r="CG447" s="104" t="n">
        <v>48.83</v>
      </c>
      <c r="CH447" s="103" t="n">
        <v>0</v>
      </c>
      <c r="CI447" s="103" t="inlineStr">
        <is>
          <t>CLEAR</t>
        </is>
      </c>
    </row>
    <row r="448" ht="17" customHeight="1">
      <c r="A448" s="107" t="inlineStr">
        <is>
          <t>REGN</t>
        </is>
      </c>
      <c r="B448" s="107" t="inlineStr">
        <is>
          <t>REGENERON PHARMACEUTICALS, INC.</t>
        </is>
      </c>
      <c r="C448" s="108" t="n">
        <v>13653500000</v>
      </c>
      <c r="D448" s="109" t="n">
        <v>0.61</v>
      </c>
      <c r="E448" s="109" t="n">
        <v>0.89</v>
      </c>
      <c r="F448" s="109" t="n">
        <v>0.77</v>
      </c>
      <c r="G448" s="109" t="n">
        <v>0.11</v>
      </c>
      <c r="H448" s="109" t="n">
        <v>0.12</v>
      </c>
      <c r="I448" s="109" t="n">
        <v>0.14</v>
      </c>
      <c r="J448" s="109" t="n">
        <v>0.1</v>
      </c>
      <c r="K448" s="109" t="n">
        <v>0.93</v>
      </c>
      <c r="L448" s="109" t="n">
        <v>0.85</v>
      </c>
      <c r="M448" s="109" t="n">
        <v>0.14</v>
      </c>
      <c r="N448" s="108" t="n">
        <v>0.04</v>
      </c>
      <c r="O448" s="108" t="n">
        <v>4.13</v>
      </c>
      <c r="P448" s="108" t="n">
        <v>4.73</v>
      </c>
      <c r="Q448" s="108" t="n">
        <v>3.39</v>
      </c>
      <c r="R448" s="108" t="n">
        <v>0.71</v>
      </c>
      <c r="S448" s="108" t="n">
        <v>0.23</v>
      </c>
      <c r="T448" s="108" t="n">
        <v>0.22</v>
      </c>
      <c r="U448" s="108" t="n">
        <v>0.06</v>
      </c>
      <c r="V448" s="108" t="n">
        <v>-0.04</v>
      </c>
      <c r="W448" s="108" t="n">
        <v>1.11</v>
      </c>
      <c r="X448" s="109" t="n">
        <v>0.6899999999999999</v>
      </c>
      <c r="Y448" s="109" t="n">
        <v>1</v>
      </c>
      <c r="Z448" s="109" t="n">
        <v>49.01</v>
      </c>
      <c r="AA448" s="109" t="n">
        <v>2.71</v>
      </c>
      <c r="AB448" s="109" t="n">
        <v>0.02</v>
      </c>
      <c r="AC448" s="108" t="n">
        <v>-0.01</v>
      </c>
      <c r="AD448" s="108" t="n">
        <v>-0.01</v>
      </c>
      <c r="AE448" s="108" t="n">
        <v>0.34</v>
      </c>
      <c r="AF448" s="108" t="n">
        <v>0.88</v>
      </c>
      <c r="AG448" s="108" t="n">
        <v>0.09</v>
      </c>
      <c r="AH448" s="108" t="n">
        <v>3.36</v>
      </c>
      <c r="AI448" s="108" t="n">
        <v>0.14</v>
      </c>
      <c r="AJ448" s="108" t="n">
        <v>4.09</v>
      </c>
      <c r="AK448" s="110" t="inlineStr">
        <is>
          <t>Safe</t>
        </is>
      </c>
      <c r="AL448" s="108" t="n">
        <v>0.34</v>
      </c>
      <c r="AM448" s="108" t="n">
        <v>0.88</v>
      </c>
      <c r="AN448" s="108" t="n">
        <v>0.09</v>
      </c>
      <c r="AO448" s="108" t="n">
        <v>3.36</v>
      </c>
      <c r="AP448" s="108" t="n">
        <v>0.14</v>
      </c>
      <c r="AQ448" s="107" t="n">
        <v>2.82</v>
      </c>
      <c r="AR448" s="107" t="inlineStr">
        <is>
          <t>Grey</t>
        </is>
      </c>
      <c r="AS448" s="108" t="n">
        <v>0.34</v>
      </c>
      <c r="AT448" s="108" t="n">
        <v>0.88</v>
      </c>
      <c r="AU448" s="108" t="n">
        <v>0.09</v>
      </c>
      <c r="AV448" s="108" t="n">
        <v>3.36</v>
      </c>
      <c r="AW448" s="107" t="n">
        <v>9.210000000000001</v>
      </c>
      <c r="AX448" s="107" t="inlineStr">
        <is>
          <t>Safe</t>
        </is>
      </c>
      <c r="AY448" s="108" t="n">
        <v>0.34</v>
      </c>
      <c r="AZ448" s="108" t="n">
        <v>0.09</v>
      </c>
      <c r="BA448" s="108" t="n">
        <v>1.2</v>
      </c>
      <c r="BB448" s="108" t="n">
        <v>0.14</v>
      </c>
      <c r="BC448" s="107" t="n">
        <v>1.47</v>
      </c>
      <c r="BD448" s="107" t="inlineStr">
        <is>
          <t>Healthy</t>
        </is>
      </c>
      <c r="BE448" s="108" t="n">
        <v>0.11</v>
      </c>
      <c r="BF448" s="108" t="n">
        <v>0.23</v>
      </c>
      <c r="BG448" s="108" t="n">
        <v>4.13</v>
      </c>
      <c r="BH448" s="108" t="n">
        <v>-3.52</v>
      </c>
      <c r="BI448" s="107" t="n">
        <v>0.03</v>
      </c>
      <c r="BJ448" s="107" t="inlineStr">
        <is>
          <t>Healthy</t>
        </is>
      </c>
      <c r="BK448" s="107" t="n">
        <v>1</v>
      </c>
      <c r="BL448" s="107" t="n">
        <v>1</v>
      </c>
      <c r="BM448" s="107" t="n">
        <v>0</v>
      </c>
      <c r="BN448" s="107" t="n">
        <v>1</v>
      </c>
      <c r="BO448" s="107" t="n">
        <v>1</v>
      </c>
      <c r="BP448" s="107" t="n">
        <v>0</v>
      </c>
      <c r="BQ448" s="107" t="n">
        <v>0</v>
      </c>
      <c r="BR448" s="107" t="n">
        <v>1</v>
      </c>
      <c r="BS448" s="107" t="n">
        <v>1</v>
      </c>
      <c r="BT448" s="107" t="n">
        <v>6</v>
      </c>
      <c r="BU448" s="107" t="inlineStr">
        <is>
          <t>Mixed</t>
        </is>
      </c>
      <c r="BV448" s="108" t="n">
        <v>0.25</v>
      </c>
      <c r="BW448" s="108" t="n">
        <v>0.91</v>
      </c>
      <c r="BX448" s="108" t="n">
        <v>1.12</v>
      </c>
      <c r="BY448" s="108" t="n">
        <v>3.71</v>
      </c>
      <c r="BZ448" s="108" t="n">
        <v>0.91</v>
      </c>
      <c r="CA448" s="108" t="n">
        <v>0.25</v>
      </c>
      <c r="CB448" s="108" t="n">
        <v>1.03</v>
      </c>
      <c r="CC448" s="108" t="n">
        <v>-0.01</v>
      </c>
      <c r="CD448" s="107" t="n">
        <v>-0.6899999999999999</v>
      </c>
      <c r="CE448" s="107" t="inlineStr">
        <is>
          <t>Higher Risk</t>
        </is>
      </c>
      <c r="CF448" s="108" t="n">
        <v>-0.27</v>
      </c>
      <c r="CG448" s="108" t="n">
        <v>54.32</v>
      </c>
      <c r="CH448" s="107" t="n">
        <v>20</v>
      </c>
      <c r="CI448" s="107" t="inlineStr">
        <is>
          <t>CLEAR</t>
        </is>
      </c>
    </row>
    <row r="449" ht="17" customHeight="1">
      <c r="A449" s="103" t="inlineStr">
        <is>
          <t>YUM</t>
        </is>
      </c>
      <c r="B449" s="103" t="inlineStr">
        <is>
          <t>YUM! BRANDS, INC.</t>
        </is>
      </c>
      <c r="C449" s="104" t="n">
        <v>524000000</v>
      </c>
      <c r="D449" s="105" t="n">
        <v>0.31</v>
      </c>
      <c r="E449" s="105" t="n">
        <v>0.25</v>
      </c>
      <c r="F449" s="105" t="n">
        <v>0.19</v>
      </c>
      <c r="G449" s="105" t="n">
        <v>0.19</v>
      </c>
      <c r="H449" s="105" t="n">
        <v>0.22</v>
      </c>
      <c r="I449" s="105" t="n">
        <v>-0.2</v>
      </c>
      <c r="J449" s="105" t="n">
        <v>0.39</v>
      </c>
      <c r="K449" s="105" t="n">
        <v>0.7</v>
      </c>
      <c r="L449" s="105" t="n">
        <v>0.72</v>
      </c>
      <c r="M449" s="105" t="n">
        <v>1</v>
      </c>
      <c r="N449" s="104" t="n">
        <v>1.12</v>
      </c>
      <c r="O449" s="104" t="n">
        <v>1.35</v>
      </c>
      <c r="P449" s="104" t="n">
        <v>1.47</v>
      </c>
      <c r="Q449" s="104" t="n">
        <v>1.19</v>
      </c>
      <c r="R449" s="104" t="n">
        <v>0.47</v>
      </c>
      <c r="S449" s="104" t="n">
        <v>1.89</v>
      </c>
      <c r="T449" s="104" t="n">
        <v>2.14</v>
      </c>
      <c r="U449" s="104" t="n">
        <v>-0.48</v>
      </c>
      <c r="V449" s="104" t="n">
        <v>-0.39</v>
      </c>
      <c r="W449" s="104" t="n">
        <v>1.29</v>
      </c>
      <c r="X449" s="105" t="n">
        <v>0.2</v>
      </c>
      <c r="Y449" s="105" t="n">
        <v>0</v>
      </c>
      <c r="Z449" s="105" t="n">
        <v>21.81</v>
      </c>
      <c r="AA449" s="105" t="n">
        <v>0.09</v>
      </c>
      <c r="AB449" s="105" t="n">
        <v>0.05</v>
      </c>
      <c r="AC449" s="104" t="n">
        <v>-0.06</v>
      </c>
      <c r="AD449" s="104" t="n">
        <v>-0.06</v>
      </c>
      <c r="AE449" s="104" t="n">
        <v>0.06</v>
      </c>
      <c r="AF449" s="104" t="n">
        <v>-0.86</v>
      </c>
      <c r="AG449" s="104" t="n">
        <v>0.31</v>
      </c>
      <c r="AH449" s="104" t="n">
        <v>-0.51</v>
      </c>
      <c r="AI449" s="104" t="n">
        <v>1</v>
      </c>
      <c r="AJ449" s="104" t="n">
        <v>0.61</v>
      </c>
      <c r="AK449" s="112" t="inlineStr">
        <is>
          <t>Distress</t>
        </is>
      </c>
      <c r="AL449" s="104" t="n">
        <v>0.06</v>
      </c>
      <c r="AM449" s="104" t="n">
        <v>-0.86</v>
      </c>
      <c r="AN449" s="104" t="n">
        <v>0.31</v>
      </c>
      <c r="AO449" s="104" t="n">
        <v>-0.51</v>
      </c>
      <c r="AP449" s="104" t="n">
        <v>1</v>
      </c>
      <c r="AQ449" s="103" t="n">
        <v>1.08</v>
      </c>
      <c r="AR449" s="103" t="inlineStr">
        <is>
          <t>Distress</t>
        </is>
      </c>
      <c r="AS449" s="104" t="n">
        <v>0.06</v>
      </c>
      <c r="AT449" s="104" t="n">
        <v>-0.86</v>
      </c>
      <c r="AU449" s="104" t="n">
        <v>0.31</v>
      </c>
      <c r="AV449" s="104" t="n">
        <v>-0.51</v>
      </c>
      <c r="AW449" s="103" t="n">
        <v>-0.8</v>
      </c>
      <c r="AX449" s="103" t="inlineStr">
        <is>
          <t>Distress</t>
        </is>
      </c>
      <c r="AY449" s="104" t="n">
        <v>0.06</v>
      </c>
      <c r="AZ449" s="104" t="n">
        <v>0.31</v>
      </c>
      <c r="BA449" s="104" t="n">
        <v>1.37</v>
      </c>
      <c r="BB449" s="104" t="n">
        <v>1</v>
      </c>
      <c r="BC449" s="103" t="n">
        <v>2.33</v>
      </c>
      <c r="BD449" s="103" t="inlineStr">
        <is>
          <t>Healthy</t>
        </is>
      </c>
      <c r="BE449" s="104" t="n">
        <v>0.19</v>
      </c>
      <c r="BF449" s="104" t="n">
        <v>1.89</v>
      </c>
      <c r="BG449" s="104" t="n">
        <v>1.35</v>
      </c>
      <c r="BH449" s="104" t="n">
        <v>5.56</v>
      </c>
      <c r="BI449" s="103" t="n">
        <v>1</v>
      </c>
      <c r="BJ449" s="103" t="inlineStr">
        <is>
          <t>Distress</t>
        </is>
      </c>
      <c r="BK449" s="103" t="n">
        <v>1</v>
      </c>
      <c r="BL449" s="103" t="n">
        <v>1</v>
      </c>
      <c r="BM449" s="103" t="n">
        <v>0</v>
      </c>
      <c r="BN449" s="103" t="n">
        <v>1</v>
      </c>
      <c r="BO449" s="103" t="n">
        <v>1</v>
      </c>
      <c r="BP449" s="103" t="n">
        <v>0</v>
      </c>
      <c r="BQ449" s="103" t="n">
        <v>1</v>
      </c>
      <c r="BR449" s="103" t="n">
        <v>0</v>
      </c>
      <c r="BS449" s="103" t="n">
        <v>0</v>
      </c>
      <c r="BT449" s="103" t="n">
        <v>5</v>
      </c>
      <c r="BU449" s="103" t="inlineStr">
        <is>
          <t>Mixed</t>
        </is>
      </c>
      <c r="BV449" s="113" t="inlineStr">
        <is>
          <t>N/A</t>
        </is>
      </c>
      <c r="BW449" s="104" t="n">
        <v>1.03</v>
      </c>
      <c r="BX449" s="104" t="n">
        <v>1.05</v>
      </c>
      <c r="BY449" s="104" t="n">
        <v>1.09</v>
      </c>
      <c r="BZ449" s="104" t="n">
        <v>1.14</v>
      </c>
      <c r="CA449" s="104" t="n">
        <v>0.98</v>
      </c>
      <c r="CB449" s="104" t="n">
        <v>0.89</v>
      </c>
      <c r="CC449" s="104" t="n">
        <v>-0.06</v>
      </c>
      <c r="CD449" s="113" t="inlineStr">
        <is>
          <t>N/A</t>
        </is>
      </c>
      <c r="CE449" s="113" t="inlineStr">
        <is>
          <t>N/A</t>
        </is>
      </c>
      <c r="CF449" s="104" t="n">
        <v>1</v>
      </c>
      <c r="CG449" s="104" t="n">
        <v>46.73</v>
      </c>
      <c r="CH449" s="103" t="n">
        <v>0</v>
      </c>
      <c r="CI449" s="103" t="inlineStr">
        <is>
          <t>CLEAR</t>
        </is>
      </c>
    </row>
    <row r="450" ht="17" customHeight="1">
      <c r="A450" s="107" t="inlineStr">
        <is>
          <t>PHM</t>
        </is>
      </c>
      <c r="B450" s="107" t="inlineStr">
        <is>
          <t>PULTEGROUP, INC.</t>
        </is>
      </c>
      <c r="C450" s="111" t="inlineStr">
        <is>
          <t>N/A</t>
        </is>
      </c>
      <c r="D450" s="111" t="inlineStr">
        <is>
          <t>N/A</t>
        </is>
      </c>
      <c r="E450" s="109" t="n">
        <v>0.91</v>
      </c>
      <c r="F450" s="109" t="n">
        <v>0.7</v>
      </c>
      <c r="G450" s="109" t="n">
        <v>0.12</v>
      </c>
      <c r="H450" s="109" t="n">
        <v>0.18</v>
      </c>
      <c r="I450" s="109" t="n">
        <v>0.17</v>
      </c>
      <c r="J450" s="111" t="inlineStr">
        <is>
          <t>N/A</t>
        </is>
      </c>
      <c r="K450" s="111" t="inlineStr">
        <is>
          <t>N/A</t>
        </is>
      </c>
      <c r="L450" s="111" t="inlineStr">
        <is>
          <t>N/A</t>
        </is>
      </c>
      <c r="M450" s="109" t="n">
        <v>0.18</v>
      </c>
      <c r="N450" s="108" t="n">
        <v>0.17</v>
      </c>
      <c r="O450" s="111" t="inlineStr">
        <is>
          <t>N/A</t>
        </is>
      </c>
      <c r="P450" s="111" t="inlineStr">
        <is>
          <t>N/A</t>
        </is>
      </c>
      <c r="Q450" s="111" t="inlineStr">
        <is>
          <t>N/A</t>
        </is>
      </c>
      <c r="R450" s="111" t="inlineStr">
        <is>
          <t>N/A</t>
        </is>
      </c>
      <c r="S450" s="108" t="n">
        <v>0.28</v>
      </c>
      <c r="T450" s="108" t="n">
        <v>0.3</v>
      </c>
      <c r="U450" s="108" t="n">
        <v>0</v>
      </c>
      <c r="V450" s="108" t="n">
        <v>-0.15</v>
      </c>
      <c r="W450" s="108" t="n">
        <v>0.84</v>
      </c>
      <c r="X450" s="109" t="n">
        <v>0.55</v>
      </c>
      <c r="Y450" s="111" t="inlineStr">
        <is>
          <t>N/A</t>
        </is>
      </c>
      <c r="Z450" s="111" t="inlineStr">
        <is>
          <t>N/A</t>
        </is>
      </c>
      <c r="AA450" s="109" t="n">
        <v>0.08</v>
      </c>
      <c r="AB450" s="109" t="n">
        <v>-0.28</v>
      </c>
      <c r="AC450" s="108" t="n">
        <v>0.02</v>
      </c>
      <c r="AD450" s="108" t="n">
        <v>0.02</v>
      </c>
      <c r="AE450" s="111" t="inlineStr">
        <is>
          <t>N/A</t>
        </is>
      </c>
      <c r="AF450" s="108" t="n">
        <v>0.53</v>
      </c>
      <c r="AG450" s="111" t="inlineStr">
        <is>
          <t>N/A</t>
        </is>
      </c>
      <c r="AH450" s="108" t="n">
        <v>2.56</v>
      </c>
      <c r="AI450" s="108" t="n">
        <v>0.18</v>
      </c>
      <c r="AJ450" s="111" t="inlineStr">
        <is>
          <t>N/A</t>
        </is>
      </c>
      <c r="AK450" s="111" t="inlineStr">
        <is>
          <t>N/A</t>
        </is>
      </c>
      <c r="AL450" s="111" t="inlineStr">
        <is>
          <t>N/A</t>
        </is>
      </c>
      <c r="AM450" s="108" t="n">
        <v>0.53</v>
      </c>
      <c r="AN450" s="111" t="inlineStr">
        <is>
          <t>N/A</t>
        </is>
      </c>
      <c r="AO450" s="108" t="n">
        <v>2.56</v>
      </c>
      <c r="AP450" s="108" t="n">
        <v>0.18</v>
      </c>
      <c r="AQ450" s="111" t="inlineStr">
        <is>
          <t>N/A</t>
        </is>
      </c>
      <c r="AR450" s="111" t="inlineStr">
        <is>
          <t>N/A</t>
        </is>
      </c>
      <c r="AS450" s="111" t="inlineStr">
        <is>
          <t>N/A</t>
        </is>
      </c>
      <c r="AT450" s="108" t="n">
        <v>0.53</v>
      </c>
      <c r="AU450" s="111" t="inlineStr">
        <is>
          <t>N/A</t>
        </is>
      </c>
      <c r="AV450" s="108" t="n">
        <v>2.56</v>
      </c>
      <c r="AW450" s="111" t="inlineStr">
        <is>
          <t>N/A</t>
        </is>
      </c>
      <c r="AX450" s="111" t="inlineStr">
        <is>
          <t>N/A</t>
        </is>
      </c>
      <c r="AY450" s="111" t="inlineStr">
        <is>
          <t>N/A</t>
        </is>
      </c>
      <c r="AZ450" s="111" t="inlineStr">
        <is>
          <t>N/A</t>
        </is>
      </c>
      <c r="BA450" s="111" t="inlineStr">
        <is>
          <t>N/A</t>
        </is>
      </c>
      <c r="BB450" s="108" t="n">
        <v>0.18</v>
      </c>
      <c r="BC450" s="111" t="inlineStr">
        <is>
          <t>N/A</t>
        </is>
      </c>
      <c r="BD450" s="111" t="inlineStr">
        <is>
          <t>N/A</t>
        </is>
      </c>
      <c r="BE450" s="108" t="n">
        <v>0.12</v>
      </c>
      <c r="BF450" s="108" t="n">
        <v>0.28</v>
      </c>
      <c r="BG450" s="111" t="inlineStr">
        <is>
          <t>N/A</t>
        </is>
      </c>
      <c r="BH450" s="111" t="inlineStr">
        <is>
          <t>N/A</t>
        </is>
      </c>
      <c r="BI450" s="111" t="inlineStr">
        <is>
          <t>N/A</t>
        </is>
      </c>
      <c r="BJ450" s="111" t="inlineStr">
        <is>
          <t>N/A</t>
        </is>
      </c>
      <c r="BK450" s="107" t="n">
        <v>1</v>
      </c>
      <c r="BL450" s="107" t="n">
        <v>1</v>
      </c>
      <c r="BM450" s="107" t="n">
        <v>0</v>
      </c>
      <c r="BN450" s="107" t="n">
        <v>0</v>
      </c>
      <c r="BO450" s="107" t="n">
        <v>0</v>
      </c>
      <c r="BP450" s="107" t="n">
        <v>0</v>
      </c>
      <c r="BQ450" s="107" t="n">
        <v>1</v>
      </c>
      <c r="BR450" s="107" t="n">
        <v>0</v>
      </c>
      <c r="BS450" s="107" t="n">
        <v>1</v>
      </c>
      <c r="BT450" s="107" t="n">
        <v>4</v>
      </c>
      <c r="BU450" s="107" t="inlineStr">
        <is>
          <t>Mixed</t>
        </is>
      </c>
      <c r="BV450" s="108" t="n">
        <v>0.14</v>
      </c>
      <c r="BW450" s="111" t="inlineStr">
        <is>
          <t>N/A</t>
        </is>
      </c>
      <c r="BX450" s="108" t="n">
        <v>1</v>
      </c>
      <c r="BY450" s="108" t="n">
        <v>1.08</v>
      </c>
      <c r="BZ450" s="108" t="n">
        <v>0.8100000000000001</v>
      </c>
      <c r="CA450" s="108" t="n">
        <v>1.1</v>
      </c>
      <c r="CB450" s="108" t="n">
        <v>0.93</v>
      </c>
      <c r="CC450" s="108" t="n">
        <v>0.02</v>
      </c>
      <c r="CD450" s="111" t="inlineStr">
        <is>
          <t>N/A</t>
        </is>
      </c>
      <c r="CE450" s="111" t="inlineStr">
        <is>
          <t>N/A</t>
        </is>
      </c>
      <c r="CF450" s="111" t="inlineStr">
        <is>
          <t>N/A</t>
        </is>
      </c>
      <c r="CG450" s="108" t="n">
        <v>41.37</v>
      </c>
      <c r="CH450" s="107" t="n">
        <v>0</v>
      </c>
      <c r="CI450" s="107" t="inlineStr">
        <is>
          <t>CLEAR</t>
        </is>
      </c>
    </row>
    <row r="451" ht="17" customHeight="1">
      <c r="A451" s="103" t="inlineStr">
        <is>
          <t>LYFT</t>
        </is>
      </c>
      <c r="B451" s="103" t="inlineStr">
        <is>
          <t>Lyft, Inc.</t>
        </is>
      </c>
      <c r="C451" s="104" t="n">
        <v>-1606306000</v>
      </c>
      <c r="D451" s="105" t="n">
        <v>-0.03</v>
      </c>
      <c r="E451" s="105" t="n">
        <v>-0.01</v>
      </c>
      <c r="F451" s="105" t="n">
        <v>0.45</v>
      </c>
      <c r="G451" s="105" t="n">
        <v>0.31</v>
      </c>
      <c r="H451" s="105" t="n">
        <v>0</v>
      </c>
      <c r="I451" s="105" t="n">
        <v>0.87</v>
      </c>
      <c r="J451" s="105" t="n">
        <v>-0.04</v>
      </c>
      <c r="K451" s="105" t="n">
        <v>0.41</v>
      </c>
      <c r="L451" s="105" t="n">
        <v>0.42</v>
      </c>
      <c r="M451" s="105" t="n">
        <v>0.7</v>
      </c>
      <c r="N451" s="104" t="n">
        <v>1.06</v>
      </c>
      <c r="O451" s="104" t="n">
        <v>0.65</v>
      </c>
      <c r="P451" s="104" t="n">
        <v>0.76</v>
      </c>
      <c r="Q451" s="104" t="n">
        <v>0.65</v>
      </c>
      <c r="R451" s="104" t="n">
        <v>0.25</v>
      </c>
      <c r="S451" s="104" t="n">
        <v>0.64</v>
      </c>
      <c r="T451" s="104" t="n">
        <v>0.86</v>
      </c>
      <c r="U451" s="104" t="n">
        <v>0.34</v>
      </c>
      <c r="V451" s="104" t="n">
        <v>-0.01</v>
      </c>
      <c r="W451" s="104" t="n">
        <v>0.41</v>
      </c>
      <c r="X451" s="113" t="inlineStr">
        <is>
          <t>N/A</t>
        </is>
      </c>
      <c r="Y451" s="105" t="n">
        <v>0.07000000000000001</v>
      </c>
      <c r="Z451" s="105" t="n">
        <v>-7.18</v>
      </c>
      <c r="AA451" s="105" t="n">
        <v>0.09</v>
      </c>
      <c r="AB451" s="105" t="n">
        <v>123.82</v>
      </c>
      <c r="AC451" s="104" t="n">
        <v>0.19</v>
      </c>
      <c r="AD451" s="104" t="n">
        <v>0.19</v>
      </c>
      <c r="AE451" s="104" t="n">
        <v>-0.18</v>
      </c>
      <c r="AF451" s="104" t="n">
        <v>-0.82</v>
      </c>
      <c r="AG451" s="104" t="n">
        <v>-0.02</v>
      </c>
      <c r="AH451" s="104" t="n">
        <v>0.57</v>
      </c>
      <c r="AI451" s="104" t="n">
        <v>0.7</v>
      </c>
      <c r="AJ451" s="104" t="n">
        <v>-0.39</v>
      </c>
      <c r="AK451" s="112" t="inlineStr">
        <is>
          <t>Distress</t>
        </is>
      </c>
      <c r="AL451" s="104" t="n">
        <v>-0.18</v>
      </c>
      <c r="AM451" s="104" t="n">
        <v>-0.82</v>
      </c>
      <c r="AN451" s="104" t="n">
        <v>-0.02</v>
      </c>
      <c r="AO451" s="104" t="n">
        <v>0.57</v>
      </c>
      <c r="AP451" s="104" t="n">
        <v>0.7</v>
      </c>
      <c r="AQ451" s="103" t="n">
        <v>0.05</v>
      </c>
      <c r="AR451" s="103" t="inlineStr">
        <is>
          <t>Distress</t>
        </is>
      </c>
      <c r="AS451" s="104" t="n">
        <v>-0.18</v>
      </c>
      <c r="AT451" s="104" t="n">
        <v>-0.82</v>
      </c>
      <c r="AU451" s="104" t="n">
        <v>-0.02</v>
      </c>
      <c r="AV451" s="104" t="n">
        <v>0.57</v>
      </c>
      <c r="AW451" s="103" t="n">
        <v>-3.39</v>
      </c>
      <c r="AX451" s="103" t="inlineStr">
        <is>
          <t>Distress</t>
        </is>
      </c>
      <c r="AY451" s="104" t="n">
        <v>-0.18</v>
      </c>
      <c r="AZ451" s="104" t="n">
        <v>-0.02</v>
      </c>
      <c r="BA451" s="104" t="n">
        <v>-0.01</v>
      </c>
      <c r="BB451" s="104" t="n">
        <v>0.7</v>
      </c>
      <c r="BC451" s="103" t="n">
        <v>0.02</v>
      </c>
      <c r="BD451" s="103" t="inlineStr">
        <is>
          <t>Distress</t>
        </is>
      </c>
      <c r="BE451" s="104" t="n">
        <v>0.31</v>
      </c>
      <c r="BF451" s="104" t="n">
        <v>0.64</v>
      </c>
      <c r="BG451" s="104" t="n">
        <v>0.65</v>
      </c>
      <c r="BH451" s="104" t="n">
        <v>-2.13</v>
      </c>
      <c r="BI451" s="103" t="n">
        <v>0.11</v>
      </c>
      <c r="BJ451" s="103" t="inlineStr">
        <is>
          <t>Healthy</t>
        </is>
      </c>
      <c r="BK451" s="103" t="n">
        <v>1</v>
      </c>
      <c r="BL451" s="103" t="n">
        <v>1</v>
      </c>
      <c r="BM451" s="103" t="n">
        <v>1</v>
      </c>
      <c r="BN451" s="103" t="n">
        <v>0</v>
      </c>
      <c r="BO451" s="103" t="n">
        <v>1</v>
      </c>
      <c r="BP451" s="103" t="n">
        <v>0</v>
      </c>
      <c r="BQ451" s="103" t="n">
        <v>0</v>
      </c>
      <c r="BR451" s="103" t="n">
        <v>0</v>
      </c>
      <c r="BS451" s="103" t="n">
        <v>0</v>
      </c>
      <c r="BT451" s="103" t="n">
        <v>4</v>
      </c>
      <c r="BU451" s="103" t="inlineStr">
        <is>
          <t>Mixed</t>
        </is>
      </c>
      <c r="BV451" s="113" t="inlineStr">
        <is>
          <t>N/A</t>
        </is>
      </c>
      <c r="BW451" s="104" t="n">
        <v>1.02</v>
      </c>
      <c r="BX451" s="104" t="n">
        <v>1.5</v>
      </c>
      <c r="BY451" s="104" t="n">
        <v>1.09</v>
      </c>
      <c r="BZ451" s="104" t="n">
        <v>1.38</v>
      </c>
      <c r="CA451" s="104" t="n">
        <v>0.98</v>
      </c>
      <c r="CB451" s="104" t="n">
        <v>0.74</v>
      </c>
      <c r="CC451" s="104" t="n">
        <v>0.19</v>
      </c>
      <c r="CD451" s="113" t="inlineStr">
        <is>
          <t>N/A</t>
        </is>
      </c>
      <c r="CE451" s="113" t="inlineStr">
        <is>
          <t>N/A</t>
        </is>
      </c>
      <c r="CF451" s="104" t="n">
        <v>0.53</v>
      </c>
      <c r="CG451" s="104" t="n">
        <v>39.4</v>
      </c>
      <c r="CH451" s="106" t="n">
        <v>40</v>
      </c>
      <c r="CI451" s="103" t="inlineStr">
        <is>
          <t>WATCH</t>
        </is>
      </c>
    </row>
    <row r="452" ht="17" customHeight="1">
      <c r="A452" s="107" t="inlineStr">
        <is>
          <t>CNP</t>
        </is>
      </c>
      <c r="B452" s="107" t="inlineStr">
        <is>
          <t>CENTERPOINT ENERGY INC</t>
        </is>
      </c>
      <c r="C452" s="108" t="n">
        <v>-559000000</v>
      </c>
      <c r="D452" s="109" t="n">
        <v>0.23</v>
      </c>
      <c r="E452" s="109" t="n">
        <v>0.13</v>
      </c>
      <c r="F452" s="109" t="n">
        <v>0.11</v>
      </c>
      <c r="G452" s="109" t="n">
        <v>0.02</v>
      </c>
      <c r="H452" s="109" t="n">
        <v>0.02</v>
      </c>
      <c r="I452" s="109" t="n">
        <v>0.09</v>
      </c>
      <c r="J452" s="109" t="n">
        <v>0.05</v>
      </c>
      <c r="K452" s="109" t="n">
        <v>1</v>
      </c>
      <c r="L452" s="109" t="n">
        <v>1</v>
      </c>
      <c r="M452" s="109" t="n">
        <v>0.2</v>
      </c>
      <c r="N452" s="108" t="n">
        <v>0.2</v>
      </c>
      <c r="O452" s="108" t="n">
        <v>0.91</v>
      </c>
      <c r="P452" s="108" t="n">
        <v>1.08</v>
      </c>
      <c r="Q452" s="108" t="n">
        <v>0.87</v>
      </c>
      <c r="R452" s="108" t="n">
        <v>0.01</v>
      </c>
      <c r="S452" s="108" t="n">
        <v>1</v>
      </c>
      <c r="T452" s="108" t="n">
        <v>1</v>
      </c>
      <c r="U452" s="108" t="n">
        <v>1.89</v>
      </c>
      <c r="V452" s="108" t="n">
        <v>1.89</v>
      </c>
      <c r="W452" s="108" t="n">
        <v>2.36</v>
      </c>
      <c r="X452" s="109" t="n">
        <v>-0.25</v>
      </c>
      <c r="Y452" s="109" t="n">
        <v>0</v>
      </c>
      <c r="Z452" s="111" t="inlineStr">
        <is>
          <t>N/A</t>
        </is>
      </c>
      <c r="AA452" s="109" t="n">
        <v>0.08</v>
      </c>
      <c r="AB452" s="109" t="n">
        <v>0.03</v>
      </c>
      <c r="AC452" s="108" t="n">
        <v>-0.03</v>
      </c>
      <c r="AD452" s="108" t="n">
        <v>-0.03</v>
      </c>
      <c r="AE452" s="108" t="n">
        <v>-0.01</v>
      </c>
      <c r="AF452" s="108" t="n">
        <v>0.04</v>
      </c>
      <c r="AG452" s="108" t="n">
        <v>0.05</v>
      </c>
      <c r="AH452" s="108" t="n">
        <v>0.24</v>
      </c>
      <c r="AI452" s="108" t="n">
        <v>0.2</v>
      </c>
      <c r="AJ452" s="108" t="n">
        <v>0.54</v>
      </c>
      <c r="AK452" s="112" t="inlineStr">
        <is>
          <t>Distress</t>
        </is>
      </c>
      <c r="AL452" s="108" t="n">
        <v>-0.01</v>
      </c>
      <c r="AM452" s="108" t="n">
        <v>0.04</v>
      </c>
      <c r="AN452" s="108" t="n">
        <v>0.05</v>
      </c>
      <c r="AO452" s="108" t="n">
        <v>0.24</v>
      </c>
      <c r="AP452" s="108" t="n">
        <v>0.2</v>
      </c>
      <c r="AQ452" s="107" t="n">
        <v>0.47</v>
      </c>
      <c r="AR452" s="107" t="inlineStr">
        <is>
          <t>Distress</t>
        </is>
      </c>
      <c r="AS452" s="108" t="n">
        <v>-0.01</v>
      </c>
      <c r="AT452" s="108" t="n">
        <v>0.04</v>
      </c>
      <c r="AU452" s="108" t="n">
        <v>0.05</v>
      </c>
      <c r="AV452" s="108" t="n">
        <v>0.24</v>
      </c>
      <c r="AW452" s="107" t="n">
        <v>0.62</v>
      </c>
      <c r="AX452" s="107" t="inlineStr">
        <is>
          <t>Distress</t>
        </is>
      </c>
      <c r="AY452" s="108" t="n">
        <v>-0.01</v>
      </c>
      <c r="AZ452" s="108" t="n">
        <v>0.05</v>
      </c>
      <c r="BA452" s="108" t="n">
        <v>0.2</v>
      </c>
      <c r="BB452" s="108" t="n">
        <v>0.2</v>
      </c>
      <c r="BC452" s="107" t="n">
        <v>0.34</v>
      </c>
      <c r="BD452" s="107" t="inlineStr">
        <is>
          <t>Distress</t>
        </is>
      </c>
      <c r="BE452" s="108" t="n">
        <v>0.02</v>
      </c>
      <c r="BF452" s="108" t="n">
        <v>1</v>
      </c>
      <c r="BG452" s="108" t="n">
        <v>0.91</v>
      </c>
      <c r="BH452" s="108" t="n">
        <v>1.24</v>
      </c>
      <c r="BI452" s="107" t="n">
        <v>0.78</v>
      </c>
      <c r="BJ452" s="107" t="inlineStr">
        <is>
          <t>Distress</t>
        </is>
      </c>
      <c r="BK452" s="107" t="n">
        <v>1</v>
      </c>
      <c r="BL452" s="107" t="n">
        <v>1</v>
      </c>
      <c r="BM452" s="107" t="n">
        <v>0</v>
      </c>
      <c r="BN452" s="107" t="n">
        <v>1</v>
      </c>
      <c r="BO452" s="107" t="n">
        <v>1</v>
      </c>
      <c r="BP452" s="107" t="n">
        <v>0</v>
      </c>
      <c r="BQ452" s="107" t="n">
        <v>0</v>
      </c>
      <c r="BR452" s="107" t="n">
        <v>0</v>
      </c>
      <c r="BS452" s="107" t="n">
        <v>1</v>
      </c>
      <c r="BT452" s="107" t="n">
        <v>5</v>
      </c>
      <c r="BU452" s="107" t="inlineStr">
        <is>
          <t>Mixed</t>
        </is>
      </c>
      <c r="BV452" s="108" t="n">
        <v>1.04</v>
      </c>
      <c r="BW452" s="108" t="n">
        <v>1</v>
      </c>
      <c r="BX452" s="108" t="n">
        <v>0.87</v>
      </c>
      <c r="BY452" s="108" t="n">
        <v>1.08</v>
      </c>
      <c r="BZ452" s="108" t="n">
        <v>1.03</v>
      </c>
      <c r="CA452" s="111" t="inlineStr">
        <is>
          <t>N/A</t>
        </is>
      </c>
      <c r="CB452" s="108" t="n">
        <v>1</v>
      </c>
      <c r="CC452" s="108" t="n">
        <v>-0.03</v>
      </c>
      <c r="CD452" s="107" t="n">
        <v>-2.39</v>
      </c>
      <c r="CE452" s="107" t="inlineStr">
        <is>
          <t>Lower Risk</t>
        </is>
      </c>
      <c r="CF452" s="108" t="n">
        <v>7.02</v>
      </c>
      <c r="CG452" s="108" t="n">
        <v>44.59</v>
      </c>
      <c r="CH452" s="107" t="n">
        <v>0</v>
      </c>
      <c r="CI452" s="107" t="inlineStr">
        <is>
          <t>CLEAR</t>
        </is>
      </c>
    </row>
    <row r="453" ht="17" customHeight="1">
      <c r="A453" s="103" t="inlineStr">
        <is>
          <t>WEX</t>
        </is>
      </c>
      <c r="B453" s="103" t="inlineStr">
        <is>
          <t>WEX Inc.</t>
        </is>
      </c>
      <c r="C453" s="104" t="n">
        <v>426400000</v>
      </c>
      <c r="D453" s="105" t="n">
        <v>0.25</v>
      </c>
      <c r="E453" s="105" t="n">
        <v>0.16</v>
      </c>
      <c r="F453" s="105" t="n">
        <v>0.11</v>
      </c>
      <c r="G453" s="105" t="n">
        <v>0.02</v>
      </c>
      <c r="H453" s="105" t="n">
        <v>0.02</v>
      </c>
      <c r="I453" s="105" t="n">
        <v>0.25</v>
      </c>
      <c r="J453" s="105" t="n">
        <v>0.13</v>
      </c>
      <c r="K453" s="105" t="n">
        <v>0.79</v>
      </c>
      <c r="L453" s="105" t="n">
        <v>0.8</v>
      </c>
      <c r="M453" s="105" t="n">
        <v>0.18</v>
      </c>
      <c r="N453" s="104" t="n">
        <v>0.2</v>
      </c>
      <c r="O453" s="104" t="n">
        <v>1.05</v>
      </c>
      <c r="P453" s="104" t="n">
        <v>1.02</v>
      </c>
      <c r="Q453" s="104" t="n">
        <v>1.05</v>
      </c>
      <c r="R453" s="104" t="n">
        <v>0.1</v>
      </c>
      <c r="S453" s="104" t="n">
        <v>0.91</v>
      </c>
      <c r="T453" s="104" t="n">
        <v>0.89</v>
      </c>
      <c r="U453" s="104" t="n">
        <v>3.4</v>
      </c>
      <c r="V453" s="104" t="n">
        <v>2.67</v>
      </c>
      <c r="W453" s="104" t="n">
        <v>1.49</v>
      </c>
      <c r="X453" s="105" t="n">
        <v>0.12</v>
      </c>
      <c r="Y453" s="105" t="n">
        <v>0</v>
      </c>
      <c r="Z453" s="105" t="n">
        <v>5.08</v>
      </c>
      <c r="AA453" s="105" t="n">
        <v>0.01</v>
      </c>
      <c r="AB453" s="105" t="n">
        <v>-0.02</v>
      </c>
      <c r="AC453" s="104" t="n">
        <v>-0.01</v>
      </c>
      <c r="AD453" s="104" t="n">
        <v>-0.01</v>
      </c>
      <c r="AE453" s="104" t="n">
        <v>0.03</v>
      </c>
      <c r="AF453" s="104" t="n">
        <v>0.16</v>
      </c>
      <c r="AG453" s="104" t="n">
        <v>0.05</v>
      </c>
      <c r="AH453" s="104" t="n">
        <v>0.09</v>
      </c>
      <c r="AI453" s="104" t="n">
        <v>0.18</v>
      </c>
      <c r="AJ453" s="104" t="n">
        <v>0.66</v>
      </c>
      <c r="AK453" s="112" t="inlineStr">
        <is>
          <t>Distress</t>
        </is>
      </c>
      <c r="AL453" s="104" t="n">
        <v>0.03</v>
      </c>
      <c r="AM453" s="104" t="n">
        <v>0.16</v>
      </c>
      <c r="AN453" s="104" t="n">
        <v>0.05</v>
      </c>
      <c r="AO453" s="104" t="n">
        <v>0.09</v>
      </c>
      <c r="AP453" s="104" t="n">
        <v>0.18</v>
      </c>
      <c r="AQ453" s="103" t="n">
        <v>0.53</v>
      </c>
      <c r="AR453" s="103" t="inlineStr">
        <is>
          <t>Distress</t>
        </is>
      </c>
      <c r="AS453" s="104" t="n">
        <v>0.03</v>
      </c>
      <c r="AT453" s="104" t="n">
        <v>0.16</v>
      </c>
      <c r="AU453" s="104" t="n">
        <v>0.05</v>
      </c>
      <c r="AV453" s="104" t="n">
        <v>0.09</v>
      </c>
      <c r="AW453" s="103" t="n">
        <v>1.14</v>
      </c>
      <c r="AX453" s="103" t="inlineStr">
        <is>
          <t>Grey</t>
        </is>
      </c>
      <c r="AY453" s="104" t="n">
        <v>0.03</v>
      </c>
      <c r="AZ453" s="104" t="n">
        <v>0.05</v>
      </c>
      <c r="BA453" s="104" t="n">
        <v>0.05</v>
      </c>
      <c r="BB453" s="104" t="n">
        <v>0.18</v>
      </c>
      <c r="BC453" s="103" t="n">
        <v>0.28</v>
      </c>
      <c r="BD453" s="103" t="inlineStr">
        <is>
          <t>Distress</t>
        </is>
      </c>
      <c r="BE453" s="104" t="n">
        <v>0.02</v>
      </c>
      <c r="BF453" s="104" t="n">
        <v>0.91</v>
      </c>
      <c r="BG453" s="104" t="n">
        <v>1.05</v>
      </c>
      <c r="BH453" s="104" t="n">
        <v>0.77</v>
      </c>
      <c r="BI453" s="103" t="n">
        <v>0.68</v>
      </c>
      <c r="BJ453" s="103" t="inlineStr">
        <is>
          <t>Distress</t>
        </is>
      </c>
      <c r="BK453" s="103" t="n">
        <v>1</v>
      </c>
      <c r="BL453" s="103" t="n">
        <v>1</v>
      </c>
      <c r="BM453" s="103" t="n">
        <v>0</v>
      </c>
      <c r="BN453" s="103" t="n">
        <v>1</v>
      </c>
      <c r="BO453" s="103" t="n">
        <v>1</v>
      </c>
      <c r="BP453" s="103" t="n">
        <v>1</v>
      </c>
      <c r="BQ453" s="103" t="n">
        <v>1</v>
      </c>
      <c r="BR453" s="103" t="n">
        <v>0</v>
      </c>
      <c r="BS453" s="103" t="n">
        <v>0</v>
      </c>
      <c r="BT453" s="103" t="n">
        <v>6</v>
      </c>
      <c r="BU453" s="103" t="inlineStr">
        <is>
          <t>Mixed</t>
        </is>
      </c>
      <c r="BV453" s="104" t="n">
        <v>1.01</v>
      </c>
      <c r="BW453" s="104" t="n">
        <v>1.01</v>
      </c>
      <c r="BX453" s="104" t="n">
        <v>0.9</v>
      </c>
      <c r="BY453" s="104" t="n">
        <v>1.01</v>
      </c>
      <c r="BZ453" s="104" t="n">
        <v>1.01</v>
      </c>
      <c r="CA453" s="104" t="n">
        <v>0.87</v>
      </c>
      <c r="CB453" s="104" t="n">
        <v>1.03</v>
      </c>
      <c r="CC453" s="104" t="n">
        <v>-0.01</v>
      </c>
      <c r="CD453" s="103" t="n">
        <v>-2.53</v>
      </c>
      <c r="CE453" s="103" t="inlineStr">
        <is>
          <t>Lower Risk</t>
        </is>
      </c>
      <c r="CF453" s="104" t="n">
        <v>3.91</v>
      </c>
      <c r="CG453" s="104" t="n">
        <v>48.68</v>
      </c>
      <c r="CH453" s="103" t="n">
        <v>0</v>
      </c>
      <c r="CI453" s="103" t="inlineStr">
        <is>
          <t>CLEAR</t>
        </is>
      </c>
    </row>
    <row r="454" ht="17" customHeight="1">
      <c r="A454" s="107" t="inlineStr">
        <is>
          <t>PYPL</t>
        </is>
      </c>
      <c r="B454" s="107" t="inlineStr">
        <is>
          <t>PayPal Holdings, Inc.</t>
        </is>
      </c>
      <c r="C454" s="108" t="n">
        <v>13316000000</v>
      </c>
      <c r="D454" s="109" t="n">
        <v>0.18</v>
      </c>
      <c r="E454" s="109" t="n">
        <v>0.1</v>
      </c>
      <c r="F454" s="109" t="n">
        <v>0.16</v>
      </c>
      <c r="G454" s="109" t="n">
        <v>0.07000000000000001</v>
      </c>
      <c r="H454" s="109" t="n">
        <v>0.05</v>
      </c>
      <c r="I454" s="109" t="n">
        <v>0.26</v>
      </c>
      <c r="J454" s="109" t="n">
        <v>0.18</v>
      </c>
      <c r="K454" s="109" t="n">
        <v>0.18</v>
      </c>
      <c r="L454" s="109" t="n">
        <v>0.17</v>
      </c>
      <c r="M454" s="109" t="n">
        <v>0.41</v>
      </c>
      <c r="N454" s="108" t="n">
        <v>0.39</v>
      </c>
      <c r="O454" s="108" t="n">
        <v>1.29</v>
      </c>
      <c r="P454" s="108" t="n">
        <v>1.26</v>
      </c>
      <c r="Q454" s="108" t="n">
        <v>1.29</v>
      </c>
      <c r="R454" s="108" t="n">
        <v>0.17</v>
      </c>
      <c r="S454" s="108" t="n">
        <v>0.75</v>
      </c>
      <c r="T454" s="108" t="n">
        <v>0.75</v>
      </c>
      <c r="U454" s="108" t="n">
        <v>0.59</v>
      </c>
      <c r="V454" s="108" t="n">
        <v>0.19</v>
      </c>
      <c r="W454" s="108" t="n">
        <v>1.23</v>
      </c>
      <c r="X454" s="109" t="n">
        <v>0.17</v>
      </c>
      <c r="Y454" s="109" t="n">
        <v>0.03</v>
      </c>
      <c r="Z454" s="109" t="n">
        <v>17.48</v>
      </c>
      <c r="AA454" s="109" t="n">
        <v>0.04</v>
      </c>
      <c r="AB454" s="109" t="n">
        <v>0.26</v>
      </c>
      <c r="AC454" s="108" t="n">
        <v>-0.01</v>
      </c>
      <c r="AD454" s="108" t="n">
        <v>-0.01</v>
      </c>
      <c r="AE454" s="108" t="n">
        <v>0.17</v>
      </c>
      <c r="AF454" s="108" t="n">
        <v>0.4</v>
      </c>
      <c r="AG454" s="108" t="n">
        <v>0.08</v>
      </c>
      <c r="AH454" s="108" t="n">
        <v>0.34</v>
      </c>
      <c r="AI454" s="108" t="n">
        <v>0.41</v>
      </c>
      <c r="AJ454" s="108" t="n">
        <v>1.63</v>
      </c>
      <c r="AK454" s="112" t="inlineStr">
        <is>
          <t>Distress</t>
        </is>
      </c>
      <c r="AL454" s="108" t="n">
        <v>0.17</v>
      </c>
      <c r="AM454" s="108" t="n">
        <v>0.4</v>
      </c>
      <c r="AN454" s="108" t="n">
        <v>0.08</v>
      </c>
      <c r="AO454" s="108" t="n">
        <v>0.34</v>
      </c>
      <c r="AP454" s="108" t="n">
        <v>0.41</v>
      </c>
      <c r="AQ454" s="107" t="n">
        <v>1.25</v>
      </c>
      <c r="AR454" s="107" t="inlineStr">
        <is>
          <t>Grey</t>
        </is>
      </c>
      <c r="AS454" s="108" t="n">
        <v>0.17</v>
      </c>
      <c r="AT454" s="108" t="n">
        <v>0.4</v>
      </c>
      <c r="AU454" s="108" t="n">
        <v>0.08</v>
      </c>
      <c r="AV454" s="108" t="n">
        <v>0.34</v>
      </c>
      <c r="AW454" s="107" t="n">
        <v>3.27</v>
      </c>
      <c r="AX454" s="107" t="inlineStr">
        <is>
          <t>Safe</t>
        </is>
      </c>
      <c r="AY454" s="108" t="n">
        <v>0.17</v>
      </c>
      <c r="AZ454" s="108" t="n">
        <v>0.08</v>
      </c>
      <c r="BA454" s="108" t="n">
        <v>0.07000000000000001</v>
      </c>
      <c r="BB454" s="108" t="n">
        <v>0.41</v>
      </c>
      <c r="BC454" s="107" t="n">
        <v>0.62</v>
      </c>
      <c r="BD454" s="107" t="inlineStr">
        <is>
          <t>Distress</t>
        </is>
      </c>
      <c r="BE454" s="108" t="n">
        <v>0.07000000000000001</v>
      </c>
      <c r="BF454" s="108" t="n">
        <v>0.75</v>
      </c>
      <c r="BG454" s="108" t="n">
        <v>1.29</v>
      </c>
      <c r="BH454" s="108" t="n">
        <v>-0.38</v>
      </c>
      <c r="BI454" s="107" t="n">
        <v>0.41</v>
      </c>
      <c r="BJ454" s="107" t="inlineStr">
        <is>
          <t>Healthy</t>
        </is>
      </c>
      <c r="BK454" s="107" t="n">
        <v>1</v>
      </c>
      <c r="BL454" s="107" t="n">
        <v>1</v>
      </c>
      <c r="BM454" s="107" t="n">
        <v>1</v>
      </c>
      <c r="BN454" s="107" t="n">
        <v>1</v>
      </c>
      <c r="BO454" s="107" t="n">
        <v>0</v>
      </c>
      <c r="BP454" s="107" t="n">
        <v>1</v>
      </c>
      <c r="BQ454" s="107" t="n">
        <v>1</v>
      </c>
      <c r="BR454" s="107" t="n">
        <v>1</v>
      </c>
      <c r="BS454" s="107" t="n">
        <v>1</v>
      </c>
      <c r="BT454" s="107" t="n">
        <v>8</v>
      </c>
      <c r="BU454" s="107" t="inlineStr">
        <is>
          <t>Strong</t>
        </is>
      </c>
      <c r="BV454" s="108" t="n">
        <v>0.82</v>
      </c>
      <c r="BW454" s="108" t="n">
        <v>0.92</v>
      </c>
      <c r="BX454" s="108" t="n">
        <v>1</v>
      </c>
      <c r="BY454" s="108" t="n">
        <v>1.04</v>
      </c>
      <c r="BZ454" s="111" t="inlineStr">
        <is>
          <t>N/A</t>
        </is>
      </c>
      <c r="CA454" s="108" t="n">
        <v>0.88</v>
      </c>
      <c r="CB454" s="108" t="n">
        <v>1</v>
      </c>
      <c r="CC454" s="108" t="n">
        <v>-0.01</v>
      </c>
      <c r="CD454" s="107" t="n">
        <v>-2.82</v>
      </c>
      <c r="CE454" s="107" t="inlineStr">
        <is>
          <t>Lower Risk</t>
        </is>
      </c>
      <c r="CF454" s="108" t="n">
        <v>0.58</v>
      </c>
      <c r="CG454" s="108" t="n">
        <v>58.99</v>
      </c>
      <c r="CH454" s="107" t="n">
        <v>0</v>
      </c>
      <c r="CI454" s="107" t="inlineStr">
        <is>
          <t>CLEAR</t>
        </is>
      </c>
    </row>
    <row r="455" ht="17" customHeight="1">
      <c r="A455" s="103" t="inlineStr">
        <is>
          <t>MRNA</t>
        </is>
      </c>
      <c r="B455" s="103" t="inlineStr">
        <is>
          <t>Moderna, Inc.</t>
        </is>
      </c>
      <c r="C455" s="104" t="n">
        <v>4557000000</v>
      </c>
      <c r="D455" s="105" t="n">
        <v>-0.16</v>
      </c>
      <c r="E455" s="105" t="n">
        <v>-0.14</v>
      </c>
      <c r="F455" s="105" t="n">
        <v>-0.15</v>
      </c>
      <c r="G455" s="105" t="n">
        <v>-0.23</v>
      </c>
      <c r="H455" s="105" t="n">
        <v>-0.25</v>
      </c>
      <c r="I455" s="105" t="n">
        <v>-0.33</v>
      </c>
      <c r="J455" s="105" t="n">
        <v>-0.3</v>
      </c>
      <c r="K455" s="105" t="n">
        <v>0.95</v>
      </c>
      <c r="L455" s="105" t="n">
        <v>0.92</v>
      </c>
      <c r="M455" s="105" t="n">
        <v>1.56</v>
      </c>
      <c r="N455" s="104" t="n">
        <v>1.31</v>
      </c>
      <c r="O455" s="104" t="n">
        <v>3.29</v>
      </c>
      <c r="P455" s="104" t="n">
        <v>3.67</v>
      </c>
      <c r="Q455" s="104" t="n">
        <v>3.22</v>
      </c>
      <c r="R455" s="104" t="n">
        <v>1.31</v>
      </c>
      <c r="S455" s="104" t="n">
        <v>0.3</v>
      </c>
      <c r="T455" s="104" t="n">
        <v>0.23</v>
      </c>
      <c r="U455" s="104" t="n">
        <v>0.07000000000000001</v>
      </c>
      <c r="V455" s="104" t="n">
        <v>-0.23</v>
      </c>
      <c r="W455" s="104" t="n">
        <v>0.66</v>
      </c>
      <c r="X455" s="105" t="n">
        <v>-0.11</v>
      </c>
      <c r="Y455" s="105" t="n">
        <v>0.16</v>
      </c>
      <c r="Z455" s="113" t="inlineStr">
        <is>
          <t>N/A</t>
        </is>
      </c>
      <c r="AA455" s="105" t="n">
        <v>0.04</v>
      </c>
      <c r="AB455" s="105" t="n">
        <v>-0.21</v>
      </c>
      <c r="AC455" s="104" t="n">
        <v>-0.08</v>
      </c>
      <c r="AD455" s="104" t="n">
        <v>-0.08</v>
      </c>
      <c r="AE455" s="104" t="n">
        <v>0.37</v>
      </c>
      <c r="AF455" s="104" t="n">
        <v>0.59</v>
      </c>
      <c r="AG455" s="104" t="n">
        <v>-0.25</v>
      </c>
      <c r="AH455" s="104" t="n">
        <v>2.35</v>
      </c>
      <c r="AI455" s="104" t="n">
        <v>1.56</v>
      </c>
      <c r="AJ455" s="104" t="n">
        <v>3.41</v>
      </c>
      <c r="AK455" s="110" t="inlineStr">
        <is>
          <t>Safe</t>
        </is>
      </c>
      <c r="AL455" s="104" t="n">
        <v>0.37</v>
      </c>
      <c r="AM455" s="104" t="n">
        <v>0.59</v>
      </c>
      <c r="AN455" s="104" t="n">
        <v>-0.25</v>
      </c>
      <c r="AO455" s="104" t="n">
        <v>2.35</v>
      </c>
      <c r="AP455" s="104" t="n">
        <v>1.56</v>
      </c>
      <c r="AQ455" s="103" t="n">
        <v>2.53</v>
      </c>
      <c r="AR455" s="103" t="inlineStr">
        <is>
          <t>Grey</t>
        </is>
      </c>
      <c r="AS455" s="104" t="n">
        <v>0.37</v>
      </c>
      <c r="AT455" s="104" t="n">
        <v>0.59</v>
      </c>
      <c r="AU455" s="104" t="n">
        <v>-0.25</v>
      </c>
      <c r="AV455" s="104" t="n">
        <v>2.35</v>
      </c>
      <c r="AW455" s="103" t="n">
        <v>5.12</v>
      </c>
      <c r="AX455" s="103" t="inlineStr">
        <is>
          <t>Safe</t>
        </is>
      </c>
      <c r="AY455" s="104" t="n">
        <v>0.37</v>
      </c>
      <c r="AZ455" s="104" t="n">
        <v>-0.25</v>
      </c>
      <c r="BA455" s="104" t="n">
        <v>-1.39</v>
      </c>
      <c r="BB455" s="104" t="n">
        <v>1.56</v>
      </c>
      <c r="BC455" s="103" t="n">
        <v>-0.68</v>
      </c>
      <c r="BD455" s="103" t="inlineStr">
        <is>
          <t>Distress</t>
        </is>
      </c>
      <c r="BE455" s="104" t="n">
        <v>-0.23</v>
      </c>
      <c r="BF455" s="104" t="n">
        <v>0.3</v>
      </c>
      <c r="BG455" s="104" t="n">
        <v>3.29</v>
      </c>
      <c r="BH455" s="104" t="n">
        <v>-1.59</v>
      </c>
      <c r="BI455" s="103" t="n">
        <v>0.17</v>
      </c>
      <c r="BJ455" s="103" t="inlineStr">
        <is>
          <t>Healthy</t>
        </is>
      </c>
      <c r="BK455" s="103" t="n">
        <v>0</v>
      </c>
      <c r="BL455" s="103" t="n">
        <v>0</v>
      </c>
      <c r="BM455" s="103" t="n">
        <v>1</v>
      </c>
      <c r="BN455" s="103" t="n">
        <v>1</v>
      </c>
      <c r="BO455" s="103" t="n">
        <v>0</v>
      </c>
      <c r="BP455" s="103" t="n">
        <v>0</v>
      </c>
      <c r="BQ455" s="103" t="n">
        <v>0</v>
      </c>
      <c r="BR455" s="103" t="n">
        <v>1</v>
      </c>
      <c r="BS455" s="103" t="n">
        <v>1</v>
      </c>
      <c r="BT455" s="103" t="n">
        <v>4</v>
      </c>
      <c r="BU455" s="103" t="inlineStr">
        <is>
          <t>Mixed</t>
        </is>
      </c>
      <c r="BV455" s="104" t="n">
        <v>0.49</v>
      </c>
      <c r="BW455" s="104" t="n">
        <v>0.96</v>
      </c>
      <c r="BX455" s="104" t="n">
        <v>1.1</v>
      </c>
      <c r="BY455" s="104" t="n">
        <v>1.04</v>
      </c>
      <c r="BZ455" s="104" t="n">
        <v>0.93</v>
      </c>
      <c r="CA455" s="104" t="n">
        <v>0.83</v>
      </c>
      <c r="CB455" s="104" t="n">
        <v>1.3</v>
      </c>
      <c r="CC455" s="104" t="n">
        <v>-0.08</v>
      </c>
      <c r="CD455" s="103" t="n">
        <v>-3.33</v>
      </c>
      <c r="CE455" s="103" t="inlineStr">
        <is>
          <t>Lower Risk</t>
        </is>
      </c>
      <c r="CF455" s="104" t="n">
        <v>0.7</v>
      </c>
      <c r="CG455" s="104" t="n">
        <v>50.12</v>
      </c>
      <c r="CH455" s="103" t="n">
        <v>0</v>
      </c>
      <c r="CI455" s="103" t="inlineStr">
        <is>
          <t>CLEAR</t>
        </is>
      </c>
    </row>
    <row r="456" ht="17" customHeight="1">
      <c r="A456" s="107" t="inlineStr">
        <is>
          <t>FHB</t>
        </is>
      </c>
      <c r="B456" s="107" t="inlineStr">
        <is>
          <t>FIRST HAWAIIAN, INC.</t>
        </is>
      </c>
      <c r="C456" s="111" t="inlineStr">
        <is>
          <t>N/A</t>
        </is>
      </c>
      <c r="D456" s="109" t="n">
        <v>0.4</v>
      </c>
      <c r="E456" s="109" t="n">
        <v>0.4</v>
      </c>
      <c r="F456" s="109" t="n">
        <v>0.31</v>
      </c>
      <c r="G456" s="109" t="n">
        <v>0.01</v>
      </c>
      <c r="H456" s="109" t="n">
        <v>0.01</v>
      </c>
      <c r="I456" s="109" t="n">
        <v>0.1</v>
      </c>
      <c r="J456" s="111" t="inlineStr">
        <is>
          <t>N/A</t>
        </is>
      </c>
      <c r="K456" s="109" t="n">
        <v>0.02</v>
      </c>
      <c r="L456" s="109" t="n">
        <v>0.02</v>
      </c>
      <c r="M456" s="109" t="n">
        <v>0.04</v>
      </c>
      <c r="N456" s="108" t="n">
        <v>0.03</v>
      </c>
      <c r="O456" s="111" t="inlineStr">
        <is>
          <t>N/A</t>
        </is>
      </c>
      <c r="P456" s="111" t="inlineStr">
        <is>
          <t>N/A</t>
        </is>
      </c>
      <c r="Q456" s="111" t="inlineStr">
        <is>
          <t>N/A</t>
        </is>
      </c>
      <c r="R456" s="111" t="inlineStr">
        <is>
          <t>N/A</t>
        </is>
      </c>
      <c r="S456" s="108" t="n">
        <v>0.88</v>
      </c>
      <c r="T456" s="108" t="n">
        <v>0.89</v>
      </c>
      <c r="U456" s="108" t="n">
        <v>0</v>
      </c>
      <c r="V456" s="108" t="n">
        <v>-0.38</v>
      </c>
      <c r="W456" s="108" t="n">
        <v>1.21</v>
      </c>
      <c r="X456" s="109" t="n">
        <v>0.34</v>
      </c>
      <c r="Y456" s="109" t="n">
        <v>0</v>
      </c>
      <c r="Z456" s="109" t="n">
        <v>1.23</v>
      </c>
      <c r="AA456" s="109" t="n">
        <v>0.09</v>
      </c>
      <c r="AB456" s="109" t="n">
        <v>0.2</v>
      </c>
      <c r="AC456" s="108" t="n">
        <v>-0</v>
      </c>
      <c r="AD456" s="108" t="n">
        <v>-0</v>
      </c>
      <c r="AE456" s="111" t="inlineStr">
        <is>
          <t>N/A</t>
        </is>
      </c>
      <c r="AF456" s="108" t="n">
        <v>0.05</v>
      </c>
      <c r="AG456" s="108" t="n">
        <v>0.01</v>
      </c>
      <c r="AH456" s="108" t="n">
        <v>0.13</v>
      </c>
      <c r="AI456" s="108" t="n">
        <v>0.04</v>
      </c>
      <c r="AJ456" s="111" t="inlineStr">
        <is>
          <t>N/A</t>
        </is>
      </c>
      <c r="AK456" s="111" t="inlineStr">
        <is>
          <t>N/A</t>
        </is>
      </c>
      <c r="AL456" s="111" t="inlineStr">
        <is>
          <t>N/A</t>
        </is>
      </c>
      <c r="AM456" s="108" t="n">
        <v>0.05</v>
      </c>
      <c r="AN456" s="108" t="n">
        <v>0.01</v>
      </c>
      <c r="AO456" s="108" t="n">
        <v>0.13</v>
      </c>
      <c r="AP456" s="108" t="n">
        <v>0.04</v>
      </c>
      <c r="AQ456" s="111" t="inlineStr">
        <is>
          <t>N/A</t>
        </is>
      </c>
      <c r="AR456" s="111" t="inlineStr">
        <is>
          <t>N/A</t>
        </is>
      </c>
      <c r="AS456" s="111" t="inlineStr">
        <is>
          <t>N/A</t>
        </is>
      </c>
      <c r="AT456" s="108" t="n">
        <v>0.05</v>
      </c>
      <c r="AU456" s="108" t="n">
        <v>0.01</v>
      </c>
      <c r="AV456" s="108" t="n">
        <v>0.13</v>
      </c>
      <c r="AW456" s="111" t="inlineStr">
        <is>
          <t>N/A</t>
        </is>
      </c>
      <c r="AX456" s="111" t="inlineStr">
        <is>
          <t>N/A</t>
        </is>
      </c>
      <c r="AY456" s="111" t="inlineStr">
        <is>
          <t>N/A</t>
        </is>
      </c>
      <c r="AZ456" s="108" t="n">
        <v>0.01</v>
      </c>
      <c r="BA456" s="111" t="inlineStr">
        <is>
          <t>N/A</t>
        </is>
      </c>
      <c r="BB456" s="108" t="n">
        <v>0.04</v>
      </c>
      <c r="BC456" s="111" t="inlineStr">
        <is>
          <t>N/A</t>
        </is>
      </c>
      <c r="BD456" s="111" t="inlineStr">
        <is>
          <t>N/A</t>
        </is>
      </c>
      <c r="BE456" s="108" t="n">
        <v>0.01</v>
      </c>
      <c r="BF456" s="108" t="n">
        <v>0.88</v>
      </c>
      <c r="BG456" s="111" t="inlineStr">
        <is>
          <t>N/A</t>
        </is>
      </c>
      <c r="BH456" s="111" t="inlineStr">
        <is>
          <t>N/A</t>
        </is>
      </c>
      <c r="BI456" s="111" t="inlineStr">
        <is>
          <t>N/A</t>
        </is>
      </c>
      <c r="BJ456" s="111" t="inlineStr">
        <is>
          <t>N/A</t>
        </is>
      </c>
      <c r="BK456" s="107" t="n">
        <v>1</v>
      </c>
      <c r="BL456" s="107" t="n">
        <v>1</v>
      </c>
      <c r="BM456" s="107" t="n">
        <v>1</v>
      </c>
      <c r="BN456" s="107" t="n">
        <v>1</v>
      </c>
      <c r="BO456" s="107" t="n">
        <v>0</v>
      </c>
      <c r="BP456" s="107" t="n">
        <v>0</v>
      </c>
      <c r="BQ456" s="107" t="n">
        <v>1</v>
      </c>
      <c r="BR456" s="107" t="n">
        <v>1</v>
      </c>
      <c r="BS456" s="107" t="n">
        <v>1</v>
      </c>
      <c r="BT456" s="107" t="n">
        <v>7</v>
      </c>
      <c r="BU456" s="107" t="inlineStr">
        <is>
          <t>Strong</t>
        </is>
      </c>
      <c r="BV456" s="111" t="inlineStr">
        <is>
          <t>N/A</t>
        </is>
      </c>
      <c r="BW456" s="111" t="inlineStr">
        <is>
          <t>N/A</t>
        </is>
      </c>
      <c r="BX456" s="108" t="n">
        <v>1</v>
      </c>
      <c r="BY456" s="108" t="n">
        <v>1.09</v>
      </c>
      <c r="BZ456" s="108" t="n">
        <v>0.91</v>
      </c>
      <c r="CA456" s="111" t="inlineStr">
        <is>
          <t>N/A</t>
        </is>
      </c>
      <c r="CB456" s="108" t="n">
        <v>0.99</v>
      </c>
      <c r="CC456" s="108" t="n">
        <v>-0</v>
      </c>
      <c r="CD456" s="111" t="inlineStr">
        <is>
          <t>N/A</t>
        </is>
      </c>
      <c r="CE456" s="111" t="inlineStr">
        <is>
          <t>N/A</t>
        </is>
      </c>
      <c r="CF456" s="108" t="n">
        <v>-2.81</v>
      </c>
      <c r="CG456" s="108" t="n">
        <v>50.72</v>
      </c>
      <c r="CH456" s="107" t="n">
        <v>0</v>
      </c>
      <c r="CI456" s="107" t="inlineStr">
        <is>
          <t>CLEAR</t>
        </is>
      </c>
    </row>
    <row r="457" ht="17" customHeight="1">
      <c r="A457" s="103" t="inlineStr">
        <is>
          <t>GKOS</t>
        </is>
      </c>
      <c r="B457" s="103" t="inlineStr">
        <is>
          <t>GLAUKOS Corp</t>
        </is>
      </c>
      <c r="C457" s="104" t="n">
        <v>373709000</v>
      </c>
      <c r="D457" s="105" t="n">
        <v>-0.39</v>
      </c>
      <c r="E457" s="105" t="n">
        <v>-0.38</v>
      </c>
      <c r="F457" s="105" t="n">
        <v>-0.37</v>
      </c>
      <c r="G457" s="105" t="n">
        <v>-0.21</v>
      </c>
      <c r="H457" s="105" t="n">
        <v>-0.15</v>
      </c>
      <c r="I457" s="105" t="n">
        <v>-0.29</v>
      </c>
      <c r="J457" s="105" t="n">
        <v>-0.25</v>
      </c>
      <c r="K457" s="105" t="n">
        <v>0.5600000000000001</v>
      </c>
      <c r="L457" s="105" t="n">
        <v>0.75</v>
      </c>
      <c r="M457" s="105" t="n">
        <v>0.57</v>
      </c>
      <c r="N457" s="104" t="n">
        <v>0.39</v>
      </c>
      <c r="O457" s="104" t="n">
        <v>4.69</v>
      </c>
      <c r="P457" s="104" t="n">
        <v>5.99</v>
      </c>
      <c r="Q457" s="104" t="n">
        <v>4.06</v>
      </c>
      <c r="R457" s="104" t="n">
        <v>0.9</v>
      </c>
      <c r="S457" s="104" t="n">
        <v>0.27</v>
      </c>
      <c r="T457" s="104" t="n">
        <v>0.21</v>
      </c>
      <c r="U457" s="104" t="n">
        <v>0.03</v>
      </c>
      <c r="V457" s="104" t="n">
        <v>-0.11</v>
      </c>
      <c r="W457" s="104" t="n">
        <v>0.08</v>
      </c>
      <c r="X457" s="105" t="n">
        <v>-0.04</v>
      </c>
      <c r="Y457" s="105" t="n">
        <v>0.1</v>
      </c>
      <c r="Z457" s="105" t="n">
        <v>-14.64</v>
      </c>
      <c r="AA457" s="105" t="n">
        <v>0.32</v>
      </c>
      <c r="AB457" s="105" t="n">
        <v>0.28</v>
      </c>
      <c r="AC457" s="104" t="n">
        <v>-0.19</v>
      </c>
      <c r="AD457" s="104" t="n">
        <v>-0.19</v>
      </c>
      <c r="AE457" s="104" t="n">
        <v>0.42</v>
      </c>
      <c r="AF457" s="104" t="n">
        <v>-1.04</v>
      </c>
      <c r="AG457" s="104" t="n">
        <v>-0.22</v>
      </c>
      <c r="AH457" s="104" t="n">
        <v>2.76</v>
      </c>
      <c r="AI457" s="104" t="n">
        <v>0.57</v>
      </c>
      <c r="AJ457" s="104" t="n">
        <v>0.53</v>
      </c>
      <c r="AK457" s="112" t="inlineStr">
        <is>
          <t>Distress</t>
        </is>
      </c>
      <c r="AL457" s="104" t="n">
        <v>0.42</v>
      </c>
      <c r="AM457" s="104" t="n">
        <v>-1.04</v>
      </c>
      <c r="AN457" s="104" t="n">
        <v>-0.22</v>
      </c>
      <c r="AO457" s="104" t="n">
        <v>2.76</v>
      </c>
      <c r="AP457" s="104" t="n">
        <v>0.57</v>
      </c>
      <c r="AQ457" s="103" t="n">
        <v>0.45</v>
      </c>
      <c r="AR457" s="103" t="inlineStr">
        <is>
          <t>Distress</t>
        </is>
      </c>
      <c r="AS457" s="104" t="n">
        <v>0.42</v>
      </c>
      <c r="AT457" s="104" t="n">
        <v>-1.04</v>
      </c>
      <c r="AU457" s="104" t="n">
        <v>-0.22</v>
      </c>
      <c r="AV457" s="104" t="n">
        <v>2.76</v>
      </c>
      <c r="AW457" s="103" t="n">
        <v>0.74</v>
      </c>
      <c r="AX457" s="103" t="inlineStr">
        <is>
          <t>Distress</t>
        </is>
      </c>
      <c r="AY457" s="104" t="n">
        <v>0.42</v>
      </c>
      <c r="AZ457" s="104" t="n">
        <v>-0.22</v>
      </c>
      <c r="BA457" s="104" t="n">
        <v>-1.91</v>
      </c>
      <c r="BB457" s="104" t="n">
        <v>0.57</v>
      </c>
      <c r="BC457" s="103" t="n">
        <v>-1.29</v>
      </c>
      <c r="BD457" s="103" t="inlineStr">
        <is>
          <t>Distress</t>
        </is>
      </c>
      <c r="BE457" s="104" t="n">
        <v>-0.21</v>
      </c>
      <c r="BF457" s="104" t="n">
        <v>0.27</v>
      </c>
      <c r="BG457" s="104" t="n">
        <v>4.69</v>
      </c>
      <c r="BH457" s="104" t="n">
        <v>-1.86</v>
      </c>
      <c r="BI457" s="103" t="n">
        <v>0.13</v>
      </c>
      <c r="BJ457" s="103" t="inlineStr">
        <is>
          <t>Healthy</t>
        </is>
      </c>
      <c r="BK457" s="103" t="n">
        <v>0</v>
      </c>
      <c r="BL457" s="103" t="n">
        <v>0</v>
      </c>
      <c r="BM457" s="103" t="n">
        <v>0</v>
      </c>
      <c r="BN457" s="103" t="n">
        <v>1</v>
      </c>
      <c r="BO457" s="103" t="n">
        <v>0</v>
      </c>
      <c r="BP457" s="103" t="n">
        <v>0</v>
      </c>
      <c r="BQ457" s="103" t="n">
        <v>0</v>
      </c>
      <c r="BR457" s="103" t="n">
        <v>0</v>
      </c>
      <c r="BS457" s="103" t="n">
        <v>1</v>
      </c>
      <c r="BT457" s="103" t="n">
        <v>2</v>
      </c>
      <c r="BU457" s="103" t="inlineStr">
        <is>
          <t>Weak</t>
        </is>
      </c>
      <c r="BV457" s="104" t="n">
        <v>1.35</v>
      </c>
      <c r="BW457" s="104" t="n">
        <v>1.35</v>
      </c>
      <c r="BX457" s="104" t="n">
        <v>0.78</v>
      </c>
      <c r="BY457" s="104" t="n">
        <v>1.32</v>
      </c>
      <c r="BZ457" s="104" t="n">
        <v>1.06</v>
      </c>
      <c r="CA457" s="104" t="n">
        <v>0.96</v>
      </c>
      <c r="CB457" s="104" t="n">
        <v>1.25</v>
      </c>
      <c r="CC457" s="104" t="n">
        <v>-0.19</v>
      </c>
      <c r="CD457" s="103" t="n">
        <v>-2.74</v>
      </c>
      <c r="CE457" s="103" t="inlineStr">
        <is>
          <t>Lower Risk</t>
        </is>
      </c>
      <c r="CF457" s="104" t="n">
        <v>0.45</v>
      </c>
      <c r="CG457" s="104" t="n">
        <v>35.26</v>
      </c>
      <c r="CH457" s="106" t="n">
        <v>40</v>
      </c>
      <c r="CI457" s="103" t="inlineStr">
        <is>
          <t>WATCH</t>
        </is>
      </c>
    </row>
    <row r="458" ht="17" customHeight="1">
      <c r="A458" s="107" t="inlineStr">
        <is>
          <t>TAP</t>
        </is>
      </c>
      <c r="B458" s="107" t="inlineStr">
        <is>
          <t>MOLSON COORS BEVERAGE CO</t>
        </is>
      </c>
      <c r="C458" s="108" t="n">
        <v>-2375300000</v>
      </c>
      <c r="D458" s="109" t="n">
        <v>-0.2</v>
      </c>
      <c r="E458" s="109" t="n">
        <v>-0.21</v>
      </c>
      <c r="F458" s="109" t="n">
        <v>-0.18</v>
      </c>
      <c r="G458" s="109" t="n">
        <v>-0.09</v>
      </c>
      <c r="H458" s="109" t="n">
        <v>0.04</v>
      </c>
      <c r="I458" s="109" t="n">
        <v>-0.21</v>
      </c>
      <c r="J458" s="109" t="n">
        <v>-0.13</v>
      </c>
      <c r="K458" s="109" t="n">
        <v>0.36</v>
      </c>
      <c r="L458" s="109" t="n">
        <v>0.35</v>
      </c>
      <c r="M458" s="109" t="n">
        <v>0.52</v>
      </c>
      <c r="N458" s="108" t="n">
        <v>0.5</v>
      </c>
      <c r="O458" s="108" t="n">
        <v>0.55</v>
      </c>
      <c r="P458" s="108" t="n">
        <v>0.9399999999999999</v>
      </c>
      <c r="Q458" s="108" t="n">
        <v>0.42</v>
      </c>
      <c r="R458" s="108" t="n">
        <v>0.17</v>
      </c>
      <c r="S458" s="108" t="n">
        <v>0.54</v>
      </c>
      <c r="T458" s="108" t="n">
        <v>0.48</v>
      </c>
      <c r="U458" s="108" t="n">
        <v>0.61</v>
      </c>
      <c r="V458" s="108" t="n">
        <v>0.52</v>
      </c>
      <c r="W458" s="108" t="n">
        <v>-0.83</v>
      </c>
      <c r="X458" s="109" t="n">
        <v>0.09</v>
      </c>
      <c r="Y458" s="109" t="n">
        <v>0</v>
      </c>
      <c r="Z458" s="109" t="n">
        <v>-9.99</v>
      </c>
      <c r="AA458" s="109" t="n">
        <v>-0.1</v>
      </c>
      <c r="AB458" s="109" t="n">
        <v>-2.91</v>
      </c>
      <c r="AC458" s="108" t="n">
        <v>-0.17</v>
      </c>
      <c r="AD458" s="108" t="n">
        <v>-0.17</v>
      </c>
      <c r="AE458" s="108" t="n">
        <v>-0.1</v>
      </c>
      <c r="AF458" s="108" t="n">
        <v>0.25</v>
      </c>
      <c r="AG458" s="108" t="n">
        <v>-0.1</v>
      </c>
      <c r="AH458" s="108" t="n">
        <v>0.84</v>
      </c>
      <c r="AI458" s="108" t="n">
        <v>0.52</v>
      </c>
      <c r="AJ458" s="108" t="n">
        <v>0.91</v>
      </c>
      <c r="AK458" s="112" t="inlineStr">
        <is>
          <t>Distress</t>
        </is>
      </c>
      <c r="AL458" s="108" t="n">
        <v>-0.1</v>
      </c>
      <c r="AM458" s="108" t="n">
        <v>0.25</v>
      </c>
      <c r="AN458" s="108" t="n">
        <v>-0.1</v>
      </c>
      <c r="AO458" s="108" t="n">
        <v>0.84</v>
      </c>
      <c r="AP458" s="108" t="n">
        <v>0.52</v>
      </c>
      <c r="AQ458" s="107" t="n">
        <v>0.6899999999999999</v>
      </c>
      <c r="AR458" s="107" t="inlineStr">
        <is>
          <t>Distress</t>
        </is>
      </c>
      <c r="AS458" s="108" t="n">
        <v>-0.1</v>
      </c>
      <c r="AT458" s="108" t="n">
        <v>0.25</v>
      </c>
      <c r="AU458" s="108" t="n">
        <v>-0.1</v>
      </c>
      <c r="AV458" s="108" t="n">
        <v>0.84</v>
      </c>
      <c r="AW458" s="107" t="n">
        <v>0.33</v>
      </c>
      <c r="AX458" s="107" t="inlineStr">
        <is>
          <t>Distress</t>
        </is>
      </c>
      <c r="AY458" s="108" t="n">
        <v>-0.1</v>
      </c>
      <c r="AZ458" s="108" t="n">
        <v>-0.1</v>
      </c>
      <c r="BA458" s="108" t="n">
        <v>-0.47</v>
      </c>
      <c r="BB458" s="108" t="n">
        <v>0.52</v>
      </c>
      <c r="BC458" s="107" t="n">
        <v>-0.53</v>
      </c>
      <c r="BD458" s="107" t="inlineStr">
        <is>
          <t>Distress</t>
        </is>
      </c>
      <c r="BE458" s="108" t="n">
        <v>-0.09</v>
      </c>
      <c r="BF458" s="108" t="n">
        <v>0.54</v>
      </c>
      <c r="BG458" s="108" t="n">
        <v>0.55</v>
      </c>
      <c r="BH458" s="108" t="n">
        <v>-0.86</v>
      </c>
      <c r="BI458" s="107" t="n">
        <v>0.3</v>
      </c>
      <c r="BJ458" s="107" t="inlineStr">
        <is>
          <t>Healthy</t>
        </is>
      </c>
      <c r="BK458" s="107" t="n">
        <v>0</v>
      </c>
      <c r="BL458" s="107" t="n">
        <v>1</v>
      </c>
      <c r="BM458" s="107" t="n">
        <v>0</v>
      </c>
      <c r="BN458" s="107" t="n">
        <v>1</v>
      </c>
      <c r="BO458" s="107" t="n">
        <v>0</v>
      </c>
      <c r="BP458" s="107" t="n">
        <v>0</v>
      </c>
      <c r="BQ458" s="107" t="n">
        <v>0</v>
      </c>
      <c r="BR458" s="107" t="n">
        <v>1</v>
      </c>
      <c r="BS458" s="107" t="n">
        <v>1</v>
      </c>
      <c r="BT458" s="107" t="n">
        <v>4</v>
      </c>
      <c r="BU458" s="107" t="inlineStr">
        <is>
          <t>Mixed</t>
        </is>
      </c>
      <c r="BV458" s="108" t="n">
        <v>1.13</v>
      </c>
      <c r="BW458" s="108" t="n">
        <v>0.96</v>
      </c>
      <c r="BX458" s="108" t="n">
        <v>0.95</v>
      </c>
      <c r="BY458" s="108" t="n">
        <v>0.9</v>
      </c>
      <c r="BZ458" s="108" t="n">
        <v>1</v>
      </c>
      <c r="CA458" s="108" t="n">
        <v>1.08</v>
      </c>
      <c r="CB458" s="108" t="n">
        <v>1.11</v>
      </c>
      <c r="CC458" s="108" t="n">
        <v>-0.17</v>
      </c>
      <c r="CD458" s="107" t="n">
        <v>-3.35</v>
      </c>
      <c r="CE458" s="107" t="inlineStr">
        <is>
          <t>Lower Risk</t>
        </is>
      </c>
      <c r="CF458" s="108" t="n">
        <v>-3.3</v>
      </c>
      <c r="CG458" s="108" t="n">
        <v>42.24</v>
      </c>
      <c r="CH458" s="106" t="n">
        <v>40</v>
      </c>
      <c r="CI458" s="107" t="inlineStr">
        <is>
          <t>WATCH</t>
        </is>
      </c>
    </row>
    <row r="459" ht="17" customHeight="1">
      <c r="A459" s="103" t="inlineStr">
        <is>
          <t>MTD</t>
        </is>
      </c>
      <c r="B459" s="103" t="inlineStr">
        <is>
          <t>Mettler-Toledo International Inc.</t>
        </is>
      </c>
      <c r="C459" s="104" t="n">
        <v>164551000</v>
      </c>
      <c r="D459" s="105" t="n">
        <v>0.26</v>
      </c>
      <c r="E459" s="105" t="n">
        <v>0.26</v>
      </c>
      <c r="F459" s="105" t="n">
        <v>0.22</v>
      </c>
      <c r="G459" s="105" t="n">
        <v>0.23</v>
      </c>
      <c r="H459" s="105" t="n">
        <v>0.27</v>
      </c>
      <c r="I459" s="105" t="n">
        <v>-36.77</v>
      </c>
      <c r="J459" s="105" t="n">
        <v>0.42</v>
      </c>
      <c r="K459" s="105" t="n">
        <v>0.59</v>
      </c>
      <c r="L459" s="105" t="n">
        <v>0.6</v>
      </c>
      <c r="M459" s="105" t="n">
        <v>1.08</v>
      </c>
      <c r="N459" s="104" t="n">
        <v>1.2</v>
      </c>
      <c r="O459" s="104" t="n">
        <v>1.14</v>
      </c>
      <c r="P459" s="104" t="n">
        <v>1.02</v>
      </c>
      <c r="Q459" s="104" t="n">
        <v>0.8100000000000001</v>
      </c>
      <c r="R459" s="104" t="n">
        <v>0.06</v>
      </c>
      <c r="S459" s="104" t="n">
        <v>1.01</v>
      </c>
      <c r="T459" s="104" t="n">
        <v>1.04</v>
      </c>
      <c r="U459" s="104" t="n">
        <v>-91.05</v>
      </c>
      <c r="V459" s="104" t="n">
        <v>-88.09999999999999</v>
      </c>
      <c r="W459" s="104" t="n">
        <v>1.1</v>
      </c>
      <c r="X459" s="105" t="n">
        <v>0.21</v>
      </c>
      <c r="Y459" s="105" t="n">
        <v>0.05</v>
      </c>
      <c r="Z459" s="105" t="n">
        <v>15.31</v>
      </c>
      <c r="AA459" s="105" t="n">
        <v>0.04</v>
      </c>
      <c r="AB459" s="105" t="n">
        <v>0.01</v>
      </c>
      <c r="AC459" s="104" t="n">
        <v>-0.02</v>
      </c>
      <c r="AD459" s="104" t="n">
        <v>-0.02</v>
      </c>
      <c r="AE459" s="104" t="n">
        <v>0.04</v>
      </c>
      <c r="AF459" s="104" t="n">
        <v>2.49</v>
      </c>
      <c r="AG459" s="104" t="n">
        <v>0.28</v>
      </c>
      <c r="AH459" s="104" t="n">
        <v>-0.01</v>
      </c>
      <c r="AI459" s="104" t="n">
        <v>1.08</v>
      </c>
      <c r="AJ459" s="104" t="n">
        <v>5.55</v>
      </c>
      <c r="AK459" s="110" t="inlineStr">
        <is>
          <t>Safe</t>
        </is>
      </c>
      <c r="AL459" s="104" t="n">
        <v>0.04</v>
      </c>
      <c r="AM459" s="104" t="n">
        <v>2.49</v>
      </c>
      <c r="AN459" s="104" t="n">
        <v>0.28</v>
      </c>
      <c r="AO459" s="104" t="n">
        <v>-0.01</v>
      </c>
      <c r="AP459" s="104" t="n">
        <v>1.08</v>
      </c>
      <c r="AQ459" s="103" t="n">
        <v>4.1</v>
      </c>
      <c r="AR459" s="103" t="inlineStr">
        <is>
          <t>Safe</t>
        </is>
      </c>
      <c r="AS459" s="104" t="n">
        <v>0.04</v>
      </c>
      <c r="AT459" s="104" t="n">
        <v>2.49</v>
      </c>
      <c r="AU459" s="104" t="n">
        <v>0.28</v>
      </c>
      <c r="AV459" s="104" t="n">
        <v>-0.01</v>
      </c>
      <c r="AW459" s="103" t="n">
        <v>10.29</v>
      </c>
      <c r="AX459" s="103" t="inlineStr">
        <is>
          <t>Safe</t>
        </is>
      </c>
      <c r="AY459" s="104" t="n">
        <v>0.04</v>
      </c>
      <c r="AZ459" s="104" t="n">
        <v>0.28</v>
      </c>
      <c r="BA459" s="104" t="n">
        <v>0.88</v>
      </c>
      <c r="BB459" s="104" t="n">
        <v>1.08</v>
      </c>
      <c r="BC459" s="103" t="n">
        <v>1.92</v>
      </c>
      <c r="BD459" s="103" t="inlineStr">
        <is>
          <t>Healthy</t>
        </is>
      </c>
      <c r="BE459" s="104" t="n">
        <v>0.23</v>
      </c>
      <c r="BF459" s="104" t="n">
        <v>1.01</v>
      </c>
      <c r="BG459" s="104" t="n">
        <v>1.14</v>
      </c>
      <c r="BH459" s="104" t="n">
        <v>0.33</v>
      </c>
      <c r="BI459" s="103" t="n">
        <v>0.58</v>
      </c>
      <c r="BJ459" s="103" t="inlineStr">
        <is>
          <t>Distress</t>
        </is>
      </c>
      <c r="BK459" s="103" t="n">
        <v>1</v>
      </c>
      <c r="BL459" s="103" t="n">
        <v>1</v>
      </c>
      <c r="BM459" s="103" t="n">
        <v>0</v>
      </c>
      <c r="BN459" s="103" t="n">
        <v>1</v>
      </c>
      <c r="BO459" s="103" t="n">
        <v>1</v>
      </c>
      <c r="BP459" s="103" t="n">
        <v>1</v>
      </c>
      <c r="BQ459" s="103" t="n">
        <v>1</v>
      </c>
      <c r="BR459" s="103" t="n">
        <v>0</v>
      </c>
      <c r="BS459" s="103" t="n">
        <v>0</v>
      </c>
      <c r="BT459" s="103" t="n">
        <v>6</v>
      </c>
      <c r="BU459" s="103" t="inlineStr">
        <is>
          <t>Mixed</t>
        </is>
      </c>
      <c r="BV459" s="104" t="n">
        <v>1.09</v>
      </c>
      <c r="BW459" s="104" t="n">
        <v>1.01</v>
      </c>
      <c r="BX459" s="104" t="n">
        <v>1.03</v>
      </c>
      <c r="BY459" s="104" t="n">
        <v>1.04</v>
      </c>
      <c r="BZ459" s="104" t="n">
        <v>1.08</v>
      </c>
      <c r="CA459" s="104" t="n">
        <v>1.03</v>
      </c>
      <c r="CB459" s="104" t="n">
        <v>0.97</v>
      </c>
      <c r="CC459" s="104" t="n">
        <v>-0.02</v>
      </c>
      <c r="CD459" s="103" t="n">
        <v>-2.44</v>
      </c>
      <c r="CE459" s="103" t="inlineStr">
        <is>
          <t>Lower Risk</t>
        </is>
      </c>
      <c r="CF459" s="104" t="n">
        <v>1.89</v>
      </c>
      <c r="CG459" s="104" t="n">
        <v>61.17</v>
      </c>
      <c r="CH459" s="103" t="n">
        <v>0</v>
      </c>
      <c r="CI459" s="103" t="inlineStr">
        <is>
          <t>CLEAR</t>
        </is>
      </c>
    </row>
    <row r="460" ht="17" customHeight="1">
      <c r="A460" s="107" t="inlineStr">
        <is>
          <t>CASY</t>
        </is>
      </c>
      <c r="B460" s="107" t="inlineStr">
        <is>
          <t>CASEY’S GENERAL STORES, INC.</t>
        </is>
      </c>
      <c r="C460" s="108" t="n">
        <v>13406000</v>
      </c>
      <c r="D460" s="111" t="inlineStr">
        <is>
          <t>N/A</t>
        </is>
      </c>
      <c r="E460" s="111" t="inlineStr">
        <is>
          <t>N/A</t>
        </is>
      </c>
      <c r="F460" s="109" t="n">
        <v>0.04</v>
      </c>
      <c r="G460" s="109" t="n">
        <v>0.08</v>
      </c>
      <c r="H460" s="109" t="n">
        <v>0.07000000000000001</v>
      </c>
      <c r="I460" s="109" t="n">
        <v>0.18</v>
      </c>
      <c r="J460" s="111" t="inlineStr">
        <is>
          <t>N/A</t>
        </is>
      </c>
      <c r="K460" s="109" t="n">
        <v>0.12</v>
      </c>
      <c r="L460" s="109" t="n">
        <v>0.03</v>
      </c>
      <c r="M460" s="109" t="n">
        <v>1.97</v>
      </c>
      <c r="N460" s="108" t="n">
        <v>1.94</v>
      </c>
      <c r="O460" s="108" t="n">
        <v>1.01</v>
      </c>
      <c r="P460" s="108" t="n">
        <v>0.92</v>
      </c>
      <c r="Q460" s="108" t="n">
        <v>0.6</v>
      </c>
      <c r="R460" s="108" t="n">
        <v>0.39</v>
      </c>
      <c r="S460" s="108" t="n">
        <v>0.5600000000000001</v>
      </c>
      <c r="T460" s="108" t="n">
        <v>0.57</v>
      </c>
      <c r="U460" s="108" t="n">
        <v>0.61</v>
      </c>
      <c r="V460" s="108" t="n">
        <v>0.48</v>
      </c>
      <c r="W460" s="108" t="n">
        <v>1.93</v>
      </c>
      <c r="X460" s="109" t="n">
        <v>0.04</v>
      </c>
      <c r="Y460" s="109" t="n">
        <v>0</v>
      </c>
      <c r="Z460" s="111" t="inlineStr">
        <is>
          <t>N/A</t>
        </is>
      </c>
      <c r="AA460" s="109" t="n">
        <v>0.1</v>
      </c>
      <c r="AB460" s="109" t="n">
        <v>0.31</v>
      </c>
      <c r="AC460" s="108" t="n">
        <v>-0.07000000000000001</v>
      </c>
      <c r="AD460" s="108" t="n">
        <v>-0.07000000000000001</v>
      </c>
      <c r="AE460" s="108" t="n">
        <v>0</v>
      </c>
      <c r="AF460" s="108" t="n">
        <v>0.44</v>
      </c>
      <c r="AG460" s="111" t="inlineStr">
        <is>
          <t>N/A</t>
        </is>
      </c>
      <c r="AH460" s="108" t="n">
        <v>0.79</v>
      </c>
      <c r="AI460" s="108" t="n">
        <v>1.97</v>
      </c>
      <c r="AJ460" s="111" t="inlineStr">
        <is>
          <t>N/A</t>
        </is>
      </c>
      <c r="AK460" s="111" t="inlineStr">
        <is>
          <t>N/A</t>
        </is>
      </c>
      <c r="AL460" s="108" t="n">
        <v>0</v>
      </c>
      <c r="AM460" s="108" t="n">
        <v>0.44</v>
      </c>
      <c r="AN460" s="111" t="inlineStr">
        <is>
          <t>N/A</t>
        </is>
      </c>
      <c r="AO460" s="108" t="n">
        <v>0.79</v>
      </c>
      <c r="AP460" s="108" t="n">
        <v>1.97</v>
      </c>
      <c r="AQ460" s="111" t="inlineStr">
        <is>
          <t>N/A</t>
        </is>
      </c>
      <c r="AR460" s="111" t="inlineStr">
        <is>
          <t>N/A</t>
        </is>
      </c>
      <c r="AS460" s="108" t="n">
        <v>0</v>
      </c>
      <c r="AT460" s="108" t="n">
        <v>0.44</v>
      </c>
      <c r="AU460" s="111" t="inlineStr">
        <is>
          <t>N/A</t>
        </is>
      </c>
      <c r="AV460" s="108" t="n">
        <v>0.79</v>
      </c>
      <c r="AW460" s="111" t="inlineStr">
        <is>
          <t>N/A</t>
        </is>
      </c>
      <c r="AX460" s="111" t="inlineStr">
        <is>
          <t>N/A</t>
        </is>
      </c>
      <c r="AY460" s="108" t="n">
        <v>0</v>
      </c>
      <c r="AZ460" s="111" t="inlineStr">
        <is>
          <t>N/A</t>
        </is>
      </c>
      <c r="BA460" s="111" t="inlineStr">
        <is>
          <t>N/A</t>
        </is>
      </c>
      <c r="BB460" s="108" t="n">
        <v>1.97</v>
      </c>
      <c r="BC460" s="111" t="inlineStr">
        <is>
          <t>N/A</t>
        </is>
      </c>
      <c r="BD460" s="111" t="inlineStr">
        <is>
          <t>N/A</t>
        </is>
      </c>
      <c r="BE460" s="108" t="n">
        <v>0.08</v>
      </c>
      <c r="BF460" s="108" t="n">
        <v>0.5600000000000001</v>
      </c>
      <c r="BG460" s="108" t="n">
        <v>1.01</v>
      </c>
      <c r="BH460" s="108" t="n">
        <v>-1.53</v>
      </c>
      <c r="BI460" s="107" t="n">
        <v>0.18</v>
      </c>
      <c r="BJ460" s="107" t="inlineStr">
        <is>
          <t>Healthy</t>
        </is>
      </c>
      <c r="BK460" s="107" t="n">
        <v>1</v>
      </c>
      <c r="BL460" s="107" t="n">
        <v>1</v>
      </c>
      <c r="BM460" s="107" t="n">
        <v>1</v>
      </c>
      <c r="BN460" s="107" t="n">
        <v>1</v>
      </c>
      <c r="BO460" s="107" t="n">
        <v>1</v>
      </c>
      <c r="BP460" s="107" t="n">
        <v>1</v>
      </c>
      <c r="BQ460" s="107" t="n">
        <v>1</v>
      </c>
      <c r="BR460" s="107" t="n">
        <v>1</v>
      </c>
      <c r="BS460" s="107" t="n">
        <v>1</v>
      </c>
      <c r="BT460" s="107" t="n">
        <v>9</v>
      </c>
      <c r="BU460" s="107" t="inlineStr">
        <is>
          <t>Strong</t>
        </is>
      </c>
      <c r="BV460" s="108" t="n">
        <v>0.76</v>
      </c>
      <c r="BW460" s="108" t="n">
        <v>0.27</v>
      </c>
      <c r="BX460" s="108" t="n">
        <v>0.89</v>
      </c>
      <c r="BY460" s="108" t="n">
        <v>1.1</v>
      </c>
      <c r="BZ460" s="108" t="n">
        <v>1.02</v>
      </c>
      <c r="CA460" s="111" t="inlineStr">
        <is>
          <t>N/A</t>
        </is>
      </c>
      <c r="CB460" s="108" t="n">
        <v>0.97</v>
      </c>
      <c r="CC460" s="108" t="n">
        <v>-0.07000000000000001</v>
      </c>
      <c r="CD460" s="107" t="n">
        <v>-3.2</v>
      </c>
      <c r="CE460" s="107" t="inlineStr">
        <is>
          <t>Lower Risk</t>
        </is>
      </c>
      <c r="CF460" s="111" t="inlineStr">
        <is>
          <t>N/A</t>
        </is>
      </c>
      <c r="CG460" s="108" t="n">
        <v>59.15</v>
      </c>
      <c r="CH460" s="107" t="n">
        <v>0</v>
      </c>
      <c r="CI460" s="107" t="inlineStr">
        <is>
          <t>CLEAR</t>
        </is>
      </c>
    </row>
    <row r="461" ht="17" customHeight="1">
      <c r="A461" s="103" t="inlineStr">
        <is>
          <t>ICHR</t>
        </is>
      </c>
      <c r="B461" s="103" t="inlineStr">
        <is>
          <t>Ichor Holdings, Ltd.</t>
        </is>
      </c>
      <c r="C461" s="104" t="n">
        <v>280541000</v>
      </c>
      <c r="D461" s="105" t="n">
        <v>-0.04</v>
      </c>
      <c r="E461" s="105" t="n">
        <v>-0.05</v>
      </c>
      <c r="F461" s="105" t="n">
        <v>-0.06</v>
      </c>
      <c r="G461" s="105" t="n">
        <v>-0.06</v>
      </c>
      <c r="H461" s="105" t="n">
        <v>-0.02</v>
      </c>
      <c r="I461" s="105" t="n">
        <v>-0.08</v>
      </c>
      <c r="J461" s="105" t="n">
        <v>-0.05</v>
      </c>
      <c r="K461" s="105" t="n">
        <v>0.09</v>
      </c>
      <c r="L461" s="105" t="n">
        <v>0.12</v>
      </c>
      <c r="M461" s="105" t="n">
        <v>1.01</v>
      </c>
      <c r="N461" s="104" t="n">
        <v>0.85</v>
      </c>
      <c r="O461" s="104" t="n">
        <v>3.16</v>
      </c>
      <c r="P461" s="104" t="n">
        <v>3.34</v>
      </c>
      <c r="Q461" s="104" t="n">
        <v>1.38</v>
      </c>
      <c r="R461" s="104" t="n">
        <v>0.76</v>
      </c>
      <c r="S461" s="104" t="n">
        <v>0.3</v>
      </c>
      <c r="T461" s="104" t="n">
        <v>0.3</v>
      </c>
      <c r="U461" s="104" t="n">
        <v>0.2</v>
      </c>
      <c r="V461" s="104" t="n">
        <v>0.05</v>
      </c>
      <c r="W461" s="104" t="n">
        <v>-0.57</v>
      </c>
      <c r="X461" s="105" t="n">
        <v>-0.01</v>
      </c>
      <c r="Y461" s="105" t="n">
        <v>0.02</v>
      </c>
      <c r="Z461" s="105" t="n">
        <v>-2.03</v>
      </c>
      <c r="AA461" s="105" t="n">
        <v>0.12</v>
      </c>
      <c r="AB461" s="105" t="n">
        <v>1.54</v>
      </c>
      <c r="AC461" s="104" t="n">
        <v>-0.09</v>
      </c>
      <c r="AD461" s="104" t="n">
        <v>-0.09</v>
      </c>
      <c r="AE461" s="104" t="n">
        <v>0.3</v>
      </c>
      <c r="AF461" s="104" t="n">
        <v>0.14</v>
      </c>
      <c r="AG461" s="104" t="n">
        <v>-0.04</v>
      </c>
      <c r="AH461" s="104" t="n">
        <v>2.38</v>
      </c>
      <c r="AI461" s="104" t="n">
        <v>1.01</v>
      </c>
      <c r="AJ461" s="104" t="n">
        <v>2.85</v>
      </c>
      <c r="AK461" s="106" t="inlineStr">
        <is>
          <t>Grey</t>
        </is>
      </c>
      <c r="AL461" s="104" t="n">
        <v>0.3</v>
      </c>
      <c r="AM461" s="104" t="n">
        <v>0.14</v>
      </c>
      <c r="AN461" s="104" t="n">
        <v>-0.04</v>
      </c>
      <c r="AO461" s="104" t="n">
        <v>2.38</v>
      </c>
      <c r="AP461" s="104" t="n">
        <v>1.01</v>
      </c>
      <c r="AQ461" s="103" t="n">
        <v>2.2</v>
      </c>
      <c r="AR461" s="103" t="inlineStr">
        <is>
          <t>Grey</t>
        </is>
      </c>
      <c r="AS461" s="104" t="n">
        <v>0.3</v>
      </c>
      <c r="AT461" s="104" t="n">
        <v>0.14</v>
      </c>
      <c r="AU461" s="104" t="n">
        <v>-0.04</v>
      </c>
      <c r="AV461" s="104" t="n">
        <v>2.38</v>
      </c>
      <c r="AW461" s="103" t="n">
        <v>4.62</v>
      </c>
      <c r="AX461" s="103" t="inlineStr">
        <is>
          <t>Safe</t>
        </is>
      </c>
      <c r="AY461" s="104" t="n">
        <v>0.3</v>
      </c>
      <c r="AZ461" s="104" t="n">
        <v>-0.04</v>
      </c>
      <c r="BA461" s="104" t="n">
        <v>-0.37</v>
      </c>
      <c r="BB461" s="104" t="n">
        <v>1.01</v>
      </c>
      <c r="BC461" s="103" t="n">
        <v>0.34</v>
      </c>
      <c r="BD461" s="103" t="inlineStr">
        <is>
          <t>Distress</t>
        </is>
      </c>
      <c r="BE461" s="104" t="n">
        <v>-0.06</v>
      </c>
      <c r="BF461" s="104" t="n">
        <v>0.3</v>
      </c>
      <c r="BG461" s="104" t="n">
        <v>3.16</v>
      </c>
      <c r="BH461" s="104" t="n">
        <v>-2.39</v>
      </c>
      <c r="BI461" s="103" t="n">
        <v>0.08</v>
      </c>
      <c r="BJ461" s="103" t="inlineStr">
        <is>
          <t>Healthy</t>
        </is>
      </c>
      <c r="BK461" s="103" t="n">
        <v>0</v>
      </c>
      <c r="BL461" s="103" t="n">
        <v>1</v>
      </c>
      <c r="BM461" s="103" t="n">
        <v>0</v>
      </c>
      <c r="BN461" s="103" t="n">
        <v>1</v>
      </c>
      <c r="BO461" s="103" t="n">
        <v>0</v>
      </c>
      <c r="BP461" s="103" t="n">
        <v>0</v>
      </c>
      <c r="BQ461" s="103" t="n">
        <v>0</v>
      </c>
      <c r="BR461" s="103" t="n">
        <v>0</v>
      </c>
      <c r="BS461" s="103" t="n">
        <v>1</v>
      </c>
      <c r="BT461" s="103" t="n">
        <v>3</v>
      </c>
      <c r="BU461" s="103" t="inlineStr">
        <is>
          <t>Weak</t>
        </is>
      </c>
      <c r="BV461" s="104" t="n">
        <v>0.73</v>
      </c>
      <c r="BW461" s="104" t="n">
        <v>1.31</v>
      </c>
      <c r="BX461" s="104" t="n">
        <v>1.01</v>
      </c>
      <c r="BY461" s="104" t="n">
        <v>1.12</v>
      </c>
      <c r="BZ461" s="104" t="n">
        <v>1</v>
      </c>
      <c r="CA461" s="104" t="n">
        <v>1.08</v>
      </c>
      <c r="CB461" s="104" t="n">
        <v>0.99</v>
      </c>
      <c r="CC461" s="104" t="n">
        <v>-0.09</v>
      </c>
      <c r="CD461" s="103" t="n">
        <v>-2.88</v>
      </c>
      <c r="CE461" s="103" t="inlineStr">
        <is>
          <t>Lower Risk</t>
        </is>
      </c>
      <c r="CF461" s="104" t="n">
        <v>-5.46</v>
      </c>
      <c r="CG461" s="104" t="n">
        <v>45.11</v>
      </c>
      <c r="CH461" s="103" t="n">
        <v>20</v>
      </c>
      <c r="CI461" s="103" t="inlineStr">
        <is>
          <t>CLEAR</t>
        </is>
      </c>
    </row>
    <row r="462" ht="17" customHeight="1">
      <c r="A462" s="107" t="inlineStr">
        <is>
          <t>FMC</t>
        </is>
      </c>
      <c r="B462" s="107" t="inlineStr">
        <is>
          <t>FMC CORPORATION</t>
        </is>
      </c>
      <c r="C462" s="108" t="n">
        <v>1203700000</v>
      </c>
      <c r="D462" s="109" t="n">
        <v>-0.34</v>
      </c>
      <c r="E462" s="109" t="n">
        <v>-0.4</v>
      </c>
      <c r="F462" s="109" t="n">
        <v>-0.47</v>
      </c>
      <c r="G462" s="109" t="n">
        <v>-0.23</v>
      </c>
      <c r="H462" s="109" t="n">
        <v>-0.15</v>
      </c>
      <c r="I462" s="109" t="n">
        <v>-1.08</v>
      </c>
      <c r="J462" s="109" t="n">
        <v>-0.27</v>
      </c>
      <c r="K462" s="109" t="n">
        <v>0.27</v>
      </c>
      <c r="L462" s="109" t="n">
        <v>0.15</v>
      </c>
      <c r="M462" s="109" t="n">
        <v>0.49</v>
      </c>
      <c r="N462" s="108" t="n">
        <v>0.25</v>
      </c>
      <c r="O462" s="108" t="n">
        <v>1.32</v>
      </c>
      <c r="P462" s="108" t="n">
        <v>1.64</v>
      </c>
      <c r="Q462" s="108" t="n">
        <v>1</v>
      </c>
      <c r="R462" s="108" t="n">
        <v>0.16</v>
      </c>
      <c r="S462" s="108" t="n">
        <v>1</v>
      </c>
      <c r="T462" s="108" t="n">
        <v>1</v>
      </c>
      <c r="U462" s="108" t="n">
        <v>1.97</v>
      </c>
      <c r="V462" s="108" t="n">
        <v>1.68</v>
      </c>
      <c r="W462" s="111" t="inlineStr">
        <is>
          <t>N/A</t>
        </is>
      </c>
      <c r="X462" s="111" t="inlineStr">
        <is>
          <t>N/A</t>
        </is>
      </c>
      <c r="Y462" s="109" t="n">
        <v>0.06</v>
      </c>
      <c r="Z462" s="109" t="n">
        <v>-6.86</v>
      </c>
      <c r="AA462" s="109" t="n">
        <v>0.64</v>
      </c>
      <c r="AB462" s="109" t="n">
        <v>0.3</v>
      </c>
      <c r="AC462" s="111" t="inlineStr">
        <is>
          <t>N/A</t>
        </is>
      </c>
      <c r="AD462" s="111" t="inlineStr">
        <is>
          <t>N/A</t>
        </is>
      </c>
      <c r="AE462" s="108" t="n">
        <v>0.12</v>
      </c>
      <c r="AF462" s="108" t="n">
        <v>0.43</v>
      </c>
      <c r="AG462" s="108" t="n">
        <v>-0.17</v>
      </c>
      <c r="AH462" s="108" t="n">
        <v>0.21</v>
      </c>
      <c r="AI462" s="108" t="n">
        <v>0.49</v>
      </c>
      <c r="AJ462" s="108" t="n">
        <v>0.8100000000000001</v>
      </c>
      <c r="AK462" s="112" t="inlineStr">
        <is>
          <t>Distress</t>
        </is>
      </c>
      <c r="AL462" s="108" t="n">
        <v>0.12</v>
      </c>
      <c r="AM462" s="108" t="n">
        <v>0.43</v>
      </c>
      <c r="AN462" s="108" t="n">
        <v>-0.17</v>
      </c>
      <c r="AO462" s="108" t="n">
        <v>0.21</v>
      </c>
      <c r="AP462" s="108" t="n">
        <v>0.49</v>
      </c>
      <c r="AQ462" s="107" t="n">
        <v>0.51</v>
      </c>
      <c r="AR462" s="107" t="inlineStr">
        <is>
          <t>Distress</t>
        </is>
      </c>
      <c r="AS462" s="108" t="n">
        <v>0.12</v>
      </c>
      <c r="AT462" s="108" t="n">
        <v>0.43</v>
      </c>
      <c r="AU462" s="108" t="n">
        <v>-0.17</v>
      </c>
      <c r="AV462" s="108" t="n">
        <v>0.21</v>
      </c>
      <c r="AW462" s="107" t="n">
        <v>1.31</v>
      </c>
      <c r="AX462" s="107" t="inlineStr">
        <is>
          <t>Grey</t>
        </is>
      </c>
      <c r="AY462" s="108" t="n">
        <v>0.12</v>
      </c>
      <c r="AZ462" s="108" t="n">
        <v>-0.17</v>
      </c>
      <c r="BA462" s="108" t="n">
        <v>-0.5</v>
      </c>
      <c r="BB462" s="108" t="n">
        <v>0.49</v>
      </c>
      <c r="BC462" s="107" t="n">
        <v>-0.52</v>
      </c>
      <c r="BD462" s="107" t="inlineStr">
        <is>
          <t>Distress</t>
        </is>
      </c>
      <c r="BE462" s="108" t="n">
        <v>-0.23</v>
      </c>
      <c r="BF462" s="108" t="n">
        <v>1</v>
      </c>
      <c r="BG462" s="108" t="n">
        <v>1.32</v>
      </c>
      <c r="BH462" s="108" t="n">
        <v>2.39</v>
      </c>
      <c r="BI462" s="107" t="n">
        <v>0.92</v>
      </c>
      <c r="BJ462" s="107" t="inlineStr">
        <is>
          <t>Distress</t>
        </is>
      </c>
      <c r="BK462" s="107" t="n">
        <v>0</v>
      </c>
      <c r="BL462" s="107" t="n">
        <v>0</v>
      </c>
      <c r="BM462" s="107" t="n">
        <v>0</v>
      </c>
      <c r="BN462" s="107" t="n">
        <v>0</v>
      </c>
      <c r="BO462" s="107" t="n">
        <v>0</v>
      </c>
      <c r="BP462" s="107" t="n">
        <v>0</v>
      </c>
      <c r="BQ462" s="107" t="n">
        <v>1</v>
      </c>
      <c r="BR462" s="107" t="n">
        <v>1</v>
      </c>
      <c r="BS462" s="107" t="n">
        <v>1</v>
      </c>
      <c r="BT462" s="107" t="n">
        <v>3</v>
      </c>
      <c r="BU462" s="107" t="inlineStr">
        <is>
          <t>Weak</t>
        </is>
      </c>
      <c r="BV462" s="108" t="n">
        <v>0.43</v>
      </c>
      <c r="BW462" s="108" t="n">
        <v>0.55</v>
      </c>
      <c r="BX462" s="108" t="n">
        <v>0.83</v>
      </c>
      <c r="BY462" s="108" t="n">
        <v>1.64</v>
      </c>
      <c r="BZ462" s="108" t="n">
        <v>0.87</v>
      </c>
      <c r="CA462" s="108" t="n">
        <v>0.65</v>
      </c>
      <c r="CB462" s="108" t="n">
        <v>1</v>
      </c>
      <c r="CC462" s="111" t="inlineStr">
        <is>
          <t>N/A</t>
        </is>
      </c>
      <c r="CD462" s="111" t="inlineStr">
        <is>
          <t>N/A</t>
        </is>
      </c>
      <c r="CE462" s="111" t="inlineStr">
        <is>
          <t>N/A</t>
        </is>
      </c>
      <c r="CF462" s="108" t="n">
        <v>-2.4</v>
      </c>
      <c r="CG462" s="108" t="n">
        <v>36.95</v>
      </c>
      <c r="CH462" s="107" t="n">
        <v>0</v>
      </c>
      <c r="CI462" s="107" t="inlineStr">
        <is>
          <t>CLEAR</t>
        </is>
      </c>
    </row>
    <row r="463" ht="17" customHeight="1">
      <c r="A463" s="103" t="inlineStr">
        <is>
          <t>BURL</t>
        </is>
      </c>
      <c r="B463" s="103" t="inlineStr">
        <is>
          <t>BURLINGTON STORES, INC.</t>
        </is>
      </c>
      <c r="C463" s="104" t="n">
        <v>522321000</v>
      </c>
      <c r="D463" s="105" t="n">
        <v>0.07000000000000001</v>
      </c>
      <c r="E463" s="105" t="n">
        <v>0.07000000000000001</v>
      </c>
      <c r="F463" s="105" t="n">
        <v>0.05</v>
      </c>
      <c r="G463" s="105" t="n">
        <v>0.06</v>
      </c>
      <c r="H463" s="105" t="n">
        <v>0.06</v>
      </c>
      <c r="I463" s="105" t="n">
        <v>0.34</v>
      </c>
      <c r="J463" s="105" t="n">
        <v>0.11</v>
      </c>
      <c r="K463" s="105" t="n">
        <v>0.08</v>
      </c>
      <c r="L463" s="105" t="n">
        <v>0.07000000000000001</v>
      </c>
      <c r="M463" s="105" t="n">
        <v>1.17</v>
      </c>
      <c r="N463" s="104" t="n">
        <v>1.21</v>
      </c>
      <c r="O463" s="104" t="n">
        <v>1.23</v>
      </c>
      <c r="P463" s="104" t="n">
        <v>1.16</v>
      </c>
      <c r="Q463" s="104" t="n">
        <v>0.65</v>
      </c>
      <c r="R463" s="104" t="n">
        <v>0.55</v>
      </c>
      <c r="S463" s="104" t="n">
        <v>1</v>
      </c>
      <c r="T463" s="104" t="n">
        <v>1</v>
      </c>
      <c r="U463" s="104" t="n">
        <v>1.15</v>
      </c>
      <c r="V463" s="104" t="n">
        <v>0.47</v>
      </c>
      <c r="W463" s="104" t="n">
        <v>2.02</v>
      </c>
      <c r="X463" s="105" t="n">
        <v>0.01</v>
      </c>
      <c r="Y463" s="113" t="inlineStr">
        <is>
          <t>N/A</t>
        </is>
      </c>
      <c r="Z463" s="105" t="n">
        <v>16.62</v>
      </c>
      <c r="AA463" s="105" t="n">
        <v>0.09</v>
      </c>
      <c r="AB463" s="105" t="n">
        <v>0.21</v>
      </c>
      <c r="AC463" s="104" t="n">
        <v>-0.06</v>
      </c>
      <c r="AD463" s="104" t="n">
        <v>-0.06</v>
      </c>
      <c r="AE463" s="104" t="n">
        <v>0.05</v>
      </c>
      <c r="AF463" s="104" t="n">
        <v>0.21</v>
      </c>
      <c r="AG463" s="104" t="n">
        <v>0.08</v>
      </c>
      <c r="AH463" s="104" t="n">
        <v>0.18</v>
      </c>
      <c r="AI463" s="104" t="n">
        <v>1.17</v>
      </c>
      <c r="AJ463" s="104" t="n">
        <v>1.91</v>
      </c>
      <c r="AK463" s="106" t="inlineStr">
        <is>
          <t>Grey</t>
        </is>
      </c>
      <c r="AL463" s="104" t="n">
        <v>0.05</v>
      </c>
      <c r="AM463" s="104" t="n">
        <v>0.21</v>
      </c>
      <c r="AN463" s="104" t="n">
        <v>0.08</v>
      </c>
      <c r="AO463" s="104" t="n">
        <v>0.18</v>
      </c>
      <c r="AP463" s="104" t="n">
        <v>1.17</v>
      </c>
      <c r="AQ463" s="103" t="n">
        <v>1.71</v>
      </c>
      <c r="AR463" s="103" t="inlineStr">
        <is>
          <t>Grey</t>
        </is>
      </c>
      <c r="AS463" s="104" t="n">
        <v>0.05</v>
      </c>
      <c r="AT463" s="104" t="n">
        <v>0.21</v>
      </c>
      <c r="AU463" s="104" t="n">
        <v>0.08</v>
      </c>
      <c r="AV463" s="104" t="n">
        <v>0.18</v>
      </c>
      <c r="AW463" s="103" t="n">
        <v>1.78</v>
      </c>
      <c r="AX463" s="103" t="inlineStr">
        <is>
          <t>Grey</t>
        </is>
      </c>
      <c r="AY463" s="104" t="n">
        <v>0.05</v>
      </c>
      <c r="AZ463" s="104" t="n">
        <v>0.08</v>
      </c>
      <c r="BA463" s="104" t="n">
        <v>0.36</v>
      </c>
      <c r="BB463" s="104" t="n">
        <v>1.17</v>
      </c>
      <c r="BC463" s="103" t="n">
        <v>1.01</v>
      </c>
      <c r="BD463" s="103" t="inlineStr">
        <is>
          <t>Healthy</t>
        </is>
      </c>
      <c r="BE463" s="104" t="n">
        <v>0.06</v>
      </c>
      <c r="BF463" s="104" t="n">
        <v>1</v>
      </c>
      <c r="BG463" s="104" t="n">
        <v>1.23</v>
      </c>
      <c r="BH463" s="104" t="n">
        <v>1.07</v>
      </c>
      <c r="BI463" s="103" t="n">
        <v>0.74</v>
      </c>
      <c r="BJ463" s="103" t="inlineStr">
        <is>
          <t>Distress</t>
        </is>
      </c>
      <c r="BK463" s="103" t="n">
        <v>1</v>
      </c>
      <c r="BL463" s="103" t="n">
        <v>1</v>
      </c>
      <c r="BM463" s="103" t="n">
        <v>1</v>
      </c>
      <c r="BN463" s="103" t="n">
        <v>1</v>
      </c>
      <c r="BO463" s="103" t="n">
        <v>0</v>
      </c>
      <c r="BP463" s="103" t="n">
        <v>1</v>
      </c>
      <c r="BQ463" s="103" t="n">
        <v>1</v>
      </c>
      <c r="BR463" s="103" t="n">
        <v>1</v>
      </c>
      <c r="BS463" s="103" t="n">
        <v>0</v>
      </c>
      <c r="BT463" s="103" t="n">
        <v>7</v>
      </c>
      <c r="BU463" s="103" t="inlineStr">
        <is>
          <t>Strong</t>
        </is>
      </c>
      <c r="BV463" s="104" t="n">
        <v>1.1</v>
      </c>
      <c r="BW463" s="104" t="n">
        <v>0.84</v>
      </c>
      <c r="BX463" s="104" t="n">
        <v>0.93</v>
      </c>
      <c r="BY463" s="104" t="n">
        <v>1.09</v>
      </c>
      <c r="BZ463" s="104" t="n">
        <v>1.1</v>
      </c>
      <c r="CA463" s="104" t="n">
        <v>0.99</v>
      </c>
      <c r="CB463" s="104" t="n">
        <v>1</v>
      </c>
      <c r="CC463" s="104" t="n">
        <v>-0.06</v>
      </c>
      <c r="CD463" s="103" t="n">
        <v>-2.7</v>
      </c>
      <c r="CE463" s="103" t="inlineStr">
        <is>
          <t>Lower Risk</t>
        </is>
      </c>
      <c r="CF463" s="104" t="n">
        <v>0.6899999999999999</v>
      </c>
      <c r="CG463" s="104" t="n">
        <v>56.72</v>
      </c>
      <c r="CH463" s="103" t="n">
        <v>0</v>
      </c>
      <c r="CI463" s="103" t="inlineStr">
        <is>
          <t>CLEAR</t>
        </is>
      </c>
    </row>
    <row r="464" ht="17" customHeight="1">
      <c r="A464" s="107" t="inlineStr">
        <is>
          <t>SLAB</t>
        </is>
      </c>
      <c r="B464" s="107" t="inlineStr">
        <is>
          <t>SILICON LABORATORIES INC.</t>
        </is>
      </c>
      <c r="C464" s="108" t="n">
        <v>530230000</v>
      </c>
      <c r="D464" s="109" t="n">
        <v>-0.14</v>
      </c>
      <c r="E464" s="109" t="n">
        <v>-0.12</v>
      </c>
      <c r="F464" s="109" t="n">
        <v>-0.13</v>
      </c>
      <c r="G464" s="109" t="n">
        <v>-0.05</v>
      </c>
      <c r="H464" s="109" t="n">
        <v>-0.16</v>
      </c>
      <c r="I464" s="109" t="n">
        <v>-0.06</v>
      </c>
      <c r="J464" s="109" t="n">
        <v>-0.06</v>
      </c>
      <c r="K464" s="109" t="n">
        <v>0.93</v>
      </c>
      <c r="L464" s="109" t="n">
        <v>0.63</v>
      </c>
      <c r="M464" s="109" t="n">
        <v>0.39</v>
      </c>
      <c r="N464" s="108" t="n">
        <v>0.4</v>
      </c>
      <c r="O464" s="108" t="n">
        <v>4.69</v>
      </c>
      <c r="P464" s="108" t="n">
        <v>6.15</v>
      </c>
      <c r="Q464" s="108" t="n">
        <v>4.02</v>
      </c>
      <c r="R464" s="108" t="n">
        <v>2.53</v>
      </c>
      <c r="S464" s="108" t="n">
        <v>0.14</v>
      </c>
      <c r="T464" s="108" t="n">
        <v>0.12</v>
      </c>
      <c r="U464" s="108" t="n">
        <v>0.08</v>
      </c>
      <c r="V464" s="108" t="n">
        <v>-0.26</v>
      </c>
      <c r="W464" s="108" t="n">
        <v>-1.47</v>
      </c>
      <c r="X464" s="109" t="n">
        <v>0.13</v>
      </c>
      <c r="Y464" s="109" t="n">
        <v>0.72</v>
      </c>
      <c r="Z464" s="109" t="n">
        <v>-12.7</v>
      </c>
      <c r="AA464" s="109" t="n">
        <v>-0</v>
      </c>
      <c r="AB464" s="109" t="n">
        <v>-0.66</v>
      </c>
      <c r="AC464" s="108" t="n">
        <v>-0.13</v>
      </c>
      <c r="AD464" s="108" t="n">
        <v>-0.13</v>
      </c>
      <c r="AE464" s="108" t="n">
        <v>0.42</v>
      </c>
      <c r="AF464" s="108" t="n">
        <v>0.74</v>
      </c>
      <c r="AG464" s="108" t="n">
        <v>-0.06</v>
      </c>
      <c r="AH464" s="108" t="n">
        <v>6.26</v>
      </c>
      <c r="AI464" s="108" t="n">
        <v>0.39</v>
      </c>
      <c r="AJ464" s="108" t="n">
        <v>5.49</v>
      </c>
      <c r="AK464" s="110" t="inlineStr">
        <is>
          <t>Safe</t>
        </is>
      </c>
      <c r="AL464" s="108" t="n">
        <v>0.42</v>
      </c>
      <c r="AM464" s="108" t="n">
        <v>0.74</v>
      </c>
      <c r="AN464" s="108" t="n">
        <v>-0.06</v>
      </c>
      <c r="AO464" s="108" t="n">
        <v>6.26</v>
      </c>
      <c r="AP464" s="108" t="n">
        <v>0.39</v>
      </c>
      <c r="AQ464" s="107" t="n">
        <v>3.77</v>
      </c>
      <c r="AR464" s="107" t="inlineStr">
        <is>
          <t>Safe</t>
        </is>
      </c>
      <c r="AS464" s="108" t="n">
        <v>0.42</v>
      </c>
      <c r="AT464" s="108" t="n">
        <v>0.74</v>
      </c>
      <c r="AU464" s="108" t="n">
        <v>-0.06</v>
      </c>
      <c r="AV464" s="108" t="n">
        <v>6.26</v>
      </c>
      <c r="AW464" s="107" t="n">
        <v>11.34</v>
      </c>
      <c r="AX464" s="107" t="inlineStr">
        <is>
          <t>Safe</t>
        </is>
      </c>
      <c r="AY464" s="108" t="n">
        <v>0.42</v>
      </c>
      <c r="AZ464" s="108" t="n">
        <v>-0.06</v>
      </c>
      <c r="BA464" s="108" t="n">
        <v>-0.4</v>
      </c>
      <c r="BB464" s="108" t="n">
        <v>0.39</v>
      </c>
      <c r="BC464" s="107" t="n">
        <v>0.15</v>
      </c>
      <c r="BD464" s="107" t="inlineStr">
        <is>
          <t>Distress</t>
        </is>
      </c>
      <c r="BE464" s="108" t="n">
        <v>-0.05</v>
      </c>
      <c r="BF464" s="108" t="n">
        <v>0.14</v>
      </c>
      <c r="BG464" s="108" t="n">
        <v>4.69</v>
      </c>
      <c r="BH464" s="108" t="n">
        <v>-3.3</v>
      </c>
      <c r="BI464" s="107" t="n">
        <v>0.04</v>
      </c>
      <c r="BJ464" s="107" t="inlineStr">
        <is>
          <t>Healthy</t>
        </is>
      </c>
      <c r="BK464" s="107" t="n">
        <v>0</v>
      </c>
      <c r="BL464" s="107" t="n">
        <v>1</v>
      </c>
      <c r="BM464" s="107" t="n">
        <v>1</v>
      </c>
      <c r="BN464" s="107" t="n">
        <v>1</v>
      </c>
      <c r="BO464" s="107" t="n">
        <v>1</v>
      </c>
      <c r="BP464" s="107" t="n">
        <v>0</v>
      </c>
      <c r="BQ464" s="107" t="n">
        <v>0</v>
      </c>
      <c r="BR464" s="107" t="n">
        <v>1</v>
      </c>
      <c r="BS464" s="107" t="n">
        <v>0</v>
      </c>
      <c r="BT464" s="107" t="n">
        <v>5</v>
      </c>
      <c r="BU464" s="107" t="inlineStr">
        <is>
          <t>Mixed</t>
        </is>
      </c>
      <c r="BV464" s="108" t="n">
        <v>1.19</v>
      </c>
      <c r="BW464" s="108" t="n">
        <v>0.68</v>
      </c>
      <c r="BX464" s="108" t="n">
        <v>0.92</v>
      </c>
      <c r="BY464" s="108" t="n">
        <v>1</v>
      </c>
      <c r="BZ464" s="108" t="n">
        <v>1.01</v>
      </c>
      <c r="CA464" s="108" t="n">
        <v>1.2</v>
      </c>
      <c r="CB464" s="108" t="n">
        <v>1.18</v>
      </c>
      <c r="CC464" s="108" t="n">
        <v>-0.13</v>
      </c>
      <c r="CD464" s="107" t="n">
        <v>-3.2</v>
      </c>
      <c r="CE464" s="107" t="inlineStr">
        <is>
          <t>Lower Risk</t>
        </is>
      </c>
      <c r="CF464" s="108" t="n">
        <v>6.15</v>
      </c>
      <c r="CG464" s="108" t="n">
        <v>59.3</v>
      </c>
      <c r="CH464" s="106" t="n">
        <v>40</v>
      </c>
      <c r="CI464" s="107" t="inlineStr">
        <is>
          <t>WATCH</t>
        </is>
      </c>
    </row>
    <row r="465" ht="17" customHeight="1">
      <c r="A465" s="103" t="inlineStr">
        <is>
          <t>KDP</t>
        </is>
      </c>
      <c r="B465" s="103" t="inlineStr">
        <is>
          <t>Keurig Dr Pepper Inc.</t>
        </is>
      </c>
      <c r="C465" s="104" t="n">
        <v>-3024000000</v>
      </c>
      <c r="D465" s="105" t="n">
        <v>0.22</v>
      </c>
      <c r="E465" s="105" t="n">
        <v>0.16</v>
      </c>
      <c r="F465" s="105" t="n">
        <v>0.13</v>
      </c>
      <c r="G465" s="105" t="n">
        <v>0.04</v>
      </c>
      <c r="H465" s="105" t="n">
        <v>0.03</v>
      </c>
      <c r="I465" s="105" t="n">
        <v>0.08</v>
      </c>
      <c r="J465" s="105" t="n">
        <v>0.08</v>
      </c>
      <c r="K465" s="105" t="n">
        <v>0.54</v>
      </c>
      <c r="L465" s="105" t="n">
        <v>0.5600000000000001</v>
      </c>
      <c r="M465" s="105" t="n">
        <v>0.3</v>
      </c>
      <c r="N465" s="104" t="n">
        <v>0.29</v>
      </c>
      <c r="O465" s="104" t="n">
        <v>0.64</v>
      </c>
      <c r="P465" s="104" t="n">
        <v>0.49</v>
      </c>
      <c r="Q465" s="104" t="n">
        <v>0.43</v>
      </c>
      <c r="R465" s="104" t="n">
        <v>0.12</v>
      </c>
      <c r="S465" s="104" t="n">
        <v>0.54</v>
      </c>
      <c r="T465" s="104" t="n">
        <v>0.55</v>
      </c>
      <c r="U465" s="104" t="n">
        <v>0.58</v>
      </c>
      <c r="V465" s="104" t="n">
        <v>0.53</v>
      </c>
      <c r="W465" s="104" t="n">
        <v>0.96</v>
      </c>
      <c r="X465" s="105" t="n">
        <v>0.09</v>
      </c>
      <c r="Y465" s="105" t="n">
        <v>0</v>
      </c>
      <c r="Z465" s="105" t="n">
        <v>7.21</v>
      </c>
      <c r="AA465" s="105" t="n">
        <v>0.08</v>
      </c>
      <c r="AB465" s="105" t="n">
        <v>0.44</v>
      </c>
      <c r="AC465" s="104" t="n">
        <v>0</v>
      </c>
      <c r="AD465" s="104" t="n">
        <v>0</v>
      </c>
      <c r="AE465" s="104" t="n">
        <v>-0.05</v>
      </c>
      <c r="AF465" s="104" t="n">
        <v>0.1</v>
      </c>
      <c r="AG465" s="104" t="n">
        <v>0.06</v>
      </c>
      <c r="AH465" s="104" t="n">
        <v>0.85</v>
      </c>
      <c r="AI465" s="104" t="n">
        <v>0.3</v>
      </c>
      <c r="AJ465" s="104" t="n">
        <v>1.1</v>
      </c>
      <c r="AK465" s="112" t="inlineStr">
        <is>
          <t>Distress</t>
        </is>
      </c>
      <c r="AL465" s="104" t="n">
        <v>-0.05</v>
      </c>
      <c r="AM465" s="104" t="n">
        <v>0.1</v>
      </c>
      <c r="AN465" s="104" t="n">
        <v>0.06</v>
      </c>
      <c r="AO465" s="104" t="n">
        <v>0.85</v>
      </c>
      <c r="AP465" s="104" t="n">
        <v>0.3</v>
      </c>
      <c r="AQ465" s="103" t="n">
        <v>0.9</v>
      </c>
      <c r="AR465" s="103" t="inlineStr">
        <is>
          <t>Distress</t>
        </is>
      </c>
      <c r="AS465" s="104" t="n">
        <v>-0.05</v>
      </c>
      <c r="AT465" s="104" t="n">
        <v>0.1</v>
      </c>
      <c r="AU465" s="104" t="n">
        <v>0.06</v>
      </c>
      <c r="AV465" s="104" t="n">
        <v>0.85</v>
      </c>
      <c r="AW465" s="103" t="n">
        <v>1.3</v>
      </c>
      <c r="AX465" s="103" t="inlineStr">
        <is>
          <t>Grey</t>
        </is>
      </c>
      <c r="AY465" s="104" t="n">
        <v>-0.05</v>
      </c>
      <c r="AZ465" s="104" t="n">
        <v>0.06</v>
      </c>
      <c r="BA465" s="104" t="n">
        <v>0.32</v>
      </c>
      <c r="BB465" s="104" t="n">
        <v>0.3</v>
      </c>
      <c r="BC465" s="103" t="n">
        <v>0.48</v>
      </c>
      <c r="BD465" s="103" t="inlineStr">
        <is>
          <t>Distress</t>
        </is>
      </c>
      <c r="BE465" s="104" t="n">
        <v>0.04</v>
      </c>
      <c r="BF465" s="104" t="n">
        <v>0.54</v>
      </c>
      <c r="BG465" s="104" t="n">
        <v>0.64</v>
      </c>
      <c r="BH465" s="104" t="n">
        <v>-1.44</v>
      </c>
      <c r="BI465" s="103" t="n">
        <v>0.19</v>
      </c>
      <c r="BJ465" s="103" t="inlineStr">
        <is>
          <t>Healthy</t>
        </is>
      </c>
      <c r="BK465" s="103" t="n">
        <v>1</v>
      </c>
      <c r="BL465" s="103" t="n">
        <v>1</v>
      </c>
      <c r="BM465" s="103" t="n">
        <v>1</v>
      </c>
      <c r="BN465" s="103" t="n">
        <v>0</v>
      </c>
      <c r="BO465" s="103" t="n">
        <v>1</v>
      </c>
      <c r="BP465" s="103" t="n">
        <v>1</v>
      </c>
      <c r="BQ465" s="103" t="n">
        <v>0</v>
      </c>
      <c r="BR465" s="103" t="n">
        <v>0</v>
      </c>
      <c r="BS465" s="103" t="n">
        <v>1</v>
      </c>
      <c r="BT465" s="103" t="n">
        <v>6</v>
      </c>
      <c r="BU465" s="103" t="inlineStr">
        <is>
          <t>Mixed</t>
        </is>
      </c>
      <c r="BV465" s="104" t="n">
        <v>1.03</v>
      </c>
      <c r="BW465" s="104" t="n">
        <v>1.03</v>
      </c>
      <c r="BX465" s="104" t="n">
        <v>0.97</v>
      </c>
      <c r="BY465" s="104" t="n">
        <v>1.08</v>
      </c>
      <c r="BZ465" s="104" t="n">
        <v>1.06</v>
      </c>
      <c r="CA465" s="104" t="n">
        <v>0.99</v>
      </c>
      <c r="CB465" s="104" t="n">
        <v>0.99</v>
      </c>
      <c r="CC465" s="104" t="n">
        <v>0</v>
      </c>
      <c r="CD465" s="103" t="n">
        <v>-2.36</v>
      </c>
      <c r="CE465" s="103" t="inlineStr">
        <is>
          <t>Lower Risk</t>
        </is>
      </c>
      <c r="CF465" s="104" t="n">
        <v>3.71</v>
      </c>
      <c r="CG465" s="104" t="n">
        <v>50.76</v>
      </c>
      <c r="CH465" s="103" t="n">
        <v>0</v>
      </c>
      <c r="CI465" s="103" t="inlineStr">
        <is>
          <t>CLEAR</t>
        </is>
      </c>
    </row>
    <row r="466" ht="17" customHeight="1">
      <c r="A466" s="107" t="inlineStr">
        <is>
          <t>CMG</t>
        </is>
      </c>
      <c r="B466" s="107" t="inlineStr">
        <is>
          <t>CHIPOTLE MEXICAN GRILL, INC.</t>
        </is>
      </c>
      <c r="C466" s="108" t="n">
        <v>278811000</v>
      </c>
      <c r="D466" s="109" t="n">
        <v>0.16</v>
      </c>
      <c r="E466" s="109" t="n">
        <v>0.17</v>
      </c>
      <c r="F466" s="109" t="n">
        <v>0.13</v>
      </c>
      <c r="G466" s="109" t="n">
        <v>0.17</v>
      </c>
      <c r="H466" s="109" t="n">
        <v>0.17</v>
      </c>
      <c r="I466" s="109" t="n">
        <v>0.54</v>
      </c>
      <c r="J466" s="109" t="n">
        <v>0.25</v>
      </c>
      <c r="K466" s="111" t="inlineStr">
        <is>
          <t>N/A</t>
        </is>
      </c>
      <c r="L466" s="111" t="inlineStr">
        <is>
          <t>N/A</t>
        </is>
      </c>
      <c r="M466" s="109" t="n">
        <v>1.33</v>
      </c>
      <c r="N466" s="108" t="n">
        <v>1.23</v>
      </c>
      <c r="O466" s="108" t="n">
        <v>1.23</v>
      </c>
      <c r="P466" s="108" t="n">
        <v>1.52</v>
      </c>
      <c r="Q466" s="108" t="n">
        <v>1.19</v>
      </c>
      <c r="R466" s="108" t="n">
        <v>0.3</v>
      </c>
      <c r="S466" s="108" t="n">
        <v>0.6899999999999999</v>
      </c>
      <c r="T466" s="108" t="n">
        <v>0.6</v>
      </c>
      <c r="U466" s="108" t="n">
        <v>0</v>
      </c>
      <c r="V466" s="108" t="n">
        <v>-0.12</v>
      </c>
      <c r="W466" s="108" t="n">
        <v>1.38</v>
      </c>
      <c r="X466" s="109" t="n">
        <v>0.12</v>
      </c>
      <c r="Y466" s="111" t="inlineStr">
        <is>
          <t>N/A</t>
        </is>
      </c>
      <c r="Z466" s="111" t="inlineStr">
        <is>
          <t>N/A</t>
        </is>
      </c>
      <c r="AA466" s="109" t="n">
        <v>0.05</v>
      </c>
      <c r="AB466" s="109" t="n">
        <v>0</v>
      </c>
      <c r="AC466" s="108" t="n">
        <v>-0.06</v>
      </c>
      <c r="AD466" s="108" t="n">
        <v>-0.06</v>
      </c>
      <c r="AE466" s="108" t="n">
        <v>0.03</v>
      </c>
      <c r="AF466" s="108" t="n">
        <v>0.07000000000000001</v>
      </c>
      <c r="AG466" s="108" t="n">
        <v>0.22</v>
      </c>
      <c r="AH466" s="108" t="n">
        <v>0.46</v>
      </c>
      <c r="AI466" s="108" t="n">
        <v>1.33</v>
      </c>
      <c r="AJ466" s="108" t="n">
        <v>2.45</v>
      </c>
      <c r="AK466" s="106" t="inlineStr">
        <is>
          <t>Grey</t>
        </is>
      </c>
      <c r="AL466" s="108" t="n">
        <v>0.03</v>
      </c>
      <c r="AM466" s="108" t="n">
        <v>0.07000000000000001</v>
      </c>
      <c r="AN466" s="108" t="n">
        <v>0.22</v>
      </c>
      <c r="AO466" s="108" t="n">
        <v>0.46</v>
      </c>
      <c r="AP466" s="108" t="n">
        <v>1.33</v>
      </c>
      <c r="AQ466" s="107" t="n">
        <v>2.27</v>
      </c>
      <c r="AR466" s="107" t="inlineStr">
        <is>
          <t>Grey</t>
        </is>
      </c>
      <c r="AS466" s="108" t="n">
        <v>0.03</v>
      </c>
      <c r="AT466" s="108" t="n">
        <v>0.07000000000000001</v>
      </c>
      <c r="AU466" s="108" t="n">
        <v>0.22</v>
      </c>
      <c r="AV466" s="108" t="n">
        <v>0.46</v>
      </c>
      <c r="AW466" s="107" t="n">
        <v>2.36</v>
      </c>
      <c r="AX466" s="107" t="inlineStr">
        <is>
          <t>Grey</t>
        </is>
      </c>
      <c r="AY466" s="108" t="n">
        <v>0.03</v>
      </c>
      <c r="AZ466" s="108" t="n">
        <v>0.22</v>
      </c>
      <c r="BA466" s="108" t="n">
        <v>1.69</v>
      </c>
      <c r="BB466" s="108" t="n">
        <v>1.33</v>
      </c>
      <c r="BC466" s="107" t="n">
        <v>2.34</v>
      </c>
      <c r="BD466" s="107" t="inlineStr">
        <is>
          <t>Healthy</t>
        </is>
      </c>
      <c r="BE466" s="108" t="n">
        <v>0.17</v>
      </c>
      <c r="BF466" s="108" t="n">
        <v>0.6899999999999999</v>
      </c>
      <c r="BG466" s="108" t="n">
        <v>1.23</v>
      </c>
      <c r="BH466" s="108" t="n">
        <v>-1.21</v>
      </c>
      <c r="BI466" s="107" t="n">
        <v>0.23</v>
      </c>
      <c r="BJ466" s="107" t="inlineStr">
        <is>
          <t>Healthy</t>
        </is>
      </c>
      <c r="BK466" s="107" t="n">
        <v>1</v>
      </c>
      <c r="BL466" s="107" t="n">
        <v>1</v>
      </c>
      <c r="BM466" s="107" t="n">
        <v>1</v>
      </c>
      <c r="BN466" s="107" t="n">
        <v>1</v>
      </c>
      <c r="BO466" s="107" t="n">
        <v>0</v>
      </c>
      <c r="BP466" s="107" t="n">
        <v>0</v>
      </c>
      <c r="BQ466" s="107" t="n">
        <v>1</v>
      </c>
      <c r="BR466" s="107" t="n">
        <v>0</v>
      </c>
      <c r="BS466" s="107" t="n">
        <v>1</v>
      </c>
      <c r="BT466" s="107" t="n">
        <v>6</v>
      </c>
      <c r="BU466" s="107" t="inlineStr">
        <is>
          <t>Mixed</t>
        </is>
      </c>
      <c r="BV466" s="108" t="n">
        <v>1.03</v>
      </c>
      <c r="BW466" s="111" t="inlineStr">
        <is>
          <t>N/A</t>
        </is>
      </c>
      <c r="BX466" s="108" t="n">
        <v>0.99</v>
      </c>
      <c r="BY466" s="108" t="n">
        <v>1.05</v>
      </c>
      <c r="BZ466" s="108" t="n">
        <v>1.03</v>
      </c>
      <c r="CA466" s="108" t="n">
        <v>0.89</v>
      </c>
      <c r="CB466" s="108" t="n">
        <v>1.14</v>
      </c>
      <c r="CC466" s="108" t="n">
        <v>-0.06</v>
      </c>
      <c r="CD466" s="111" t="inlineStr">
        <is>
          <t>N/A</t>
        </is>
      </c>
      <c r="CE466" s="111" t="inlineStr">
        <is>
          <t>N/A</t>
        </is>
      </c>
      <c r="CF466" s="108" t="n">
        <v>-0.15</v>
      </c>
      <c r="CG466" s="108" t="n">
        <v>54.76</v>
      </c>
      <c r="CH466" s="107" t="n">
        <v>0</v>
      </c>
      <c r="CI466" s="107" t="inlineStr">
        <is>
          <t>CLEAR</t>
        </is>
      </c>
    </row>
    <row r="467" ht="17" customHeight="1">
      <c r="A467" s="103" t="inlineStr">
        <is>
          <t>TMUS</t>
        </is>
      </c>
      <c r="B467" s="103" t="inlineStr">
        <is>
          <t>T-Mobile US, Inc.</t>
        </is>
      </c>
      <c r="C467" s="104" t="n">
        <v>-39000000</v>
      </c>
      <c r="D467" s="105" t="n">
        <v>0.45</v>
      </c>
      <c r="E467" s="105" t="n">
        <v>0.35</v>
      </c>
      <c r="F467" s="105" t="n">
        <v>0.27</v>
      </c>
      <c r="G467" s="105" t="n">
        <v>0.05</v>
      </c>
      <c r="H467" s="105" t="n">
        <v>0.05</v>
      </c>
      <c r="I467" s="105" t="n">
        <v>0.19</v>
      </c>
      <c r="J467" s="105" t="n">
        <v>0.09</v>
      </c>
      <c r="K467" s="105" t="n">
        <v>0.93</v>
      </c>
      <c r="L467" s="105" t="n">
        <v>0.73</v>
      </c>
      <c r="M467" s="105" t="n">
        <v>0.19</v>
      </c>
      <c r="N467" s="104" t="n">
        <v>0.05</v>
      </c>
      <c r="O467" s="104" t="n">
        <v>1</v>
      </c>
      <c r="P467" s="104" t="n">
        <v>0.91</v>
      </c>
      <c r="Q467" s="104" t="n">
        <v>0.9</v>
      </c>
      <c r="R467" s="104" t="n">
        <v>0.23</v>
      </c>
      <c r="S467" s="104" t="n">
        <v>0.03</v>
      </c>
      <c r="T467" s="104" t="n">
        <v>0.03</v>
      </c>
      <c r="U467" s="104" t="n">
        <v>1.54</v>
      </c>
      <c r="V467" s="104" t="n">
        <v>1.45</v>
      </c>
      <c r="W467" s="104" t="n">
        <v>2.54</v>
      </c>
      <c r="X467" s="105" t="n">
        <v>0.44</v>
      </c>
      <c r="Y467" s="113" t="inlineStr">
        <is>
          <t>N/A</t>
        </is>
      </c>
      <c r="Z467" s="105" t="n">
        <v>21.89</v>
      </c>
      <c r="AA467" s="105" t="n">
        <v>2.77</v>
      </c>
      <c r="AB467" s="105" t="n">
        <v>-0.03</v>
      </c>
      <c r="AC467" s="104" t="n">
        <v>-0.08</v>
      </c>
      <c r="AD467" s="104" t="n">
        <v>-0.08</v>
      </c>
      <c r="AE467" s="104" t="n">
        <v>-0</v>
      </c>
      <c r="AF467" s="104" t="n">
        <v>0.1</v>
      </c>
      <c r="AG467" s="104" t="n">
        <v>0.08</v>
      </c>
      <c r="AH467" s="104" t="n">
        <v>8.67</v>
      </c>
      <c r="AI467" s="104" t="n">
        <v>0.19</v>
      </c>
      <c r="AJ467" s="104" t="n">
        <v>5.8</v>
      </c>
      <c r="AK467" s="110" t="inlineStr">
        <is>
          <t>Safe</t>
        </is>
      </c>
      <c r="AL467" s="104" t="n">
        <v>-0</v>
      </c>
      <c r="AM467" s="104" t="n">
        <v>0.1</v>
      </c>
      <c r="AN467" s="104" t="n">
        <v>0.08</v>
      </c>
      <c r="AO467" s="104" t="n">
        <v>8.67</v>
      </c>
      <c r="AP467" s="104" t="n">
        <v>0.19</v>
      </c>
      <c r="AQ467" s="103" t="n">
        <v>4.17</v>
      </c>
      <c r="AR467" s="103" t="inlineStr">
        <is>
          <t>Safe</t>
        </is>
      </c>
      <c r="AS467" s="104" t="n">
        <v>-0</v>
      </c>
      <c r="AT467" s="104" t="n">
        <v>0.1</v>
      </c>
      <c r="AU467" s="104" t="n">
        <v>0.08</v>
      </c>
      <c r="AV467" s="104" t="n">
        <v>8.67</v>
      </c>
      <c r="AW467" s="103" t="n">
        <v>9.970000000000001</v>
      </c>
      <c r="AX467" s="103" t="inlineStr">
        <is>
          <t>Safe</t>
        </is>
      </c>
      <c r="AY467" s="104" t="n">
        <v>-0</v>
      </c>
      <c r="AZ467" s="104" t="n">
        <v>0.08</v>
      </c>
      <c r="BA467" s="104" t="n">
        <v>0.58</v>
      </c>
      <c r="BB467" s="104" t="n">
        <v>0.19</v>
      </c>
      <c r="BC467" s="103" t="n">
        <v>0.71</v>
      </c>
      <c r="BD467" s="103" t="inlineStr">
        <is>
          <t>Distress</t>
        </is>
      </c>
      <c r="BE467" s="104" t="n">
        <v>0.05</v>
      </c>
      <c r="BF467" s="104" t="n">
        <v>0.03</v>
      </c>
      <c r="BG467" s="104" t="n">
        <v>1</v>
      </c>
      <c r="BH467" s="104" t="n">
        <v>-4.38</v>
      </c>
      <c r="BI467" s="103" t="n">
        <v>0.01</v>
      </c>
      <c r="BJ467" s="103" t="inlineStr">
        <is>
          <t>Healthy</t>
        </is>
      </c>
      <c r="BK467" s="103" t="n">
        <v>1</v>
      </c>
      <c r="BL467" s="103" t="n">
        <v>1</v>
      </c>
      <c r="BM467" s="103" t="n">
        <v>0</v>
      </c>
      <c r="BN467" s="103" t="n">
        <v>1</v>
      </c>
      <c r="BO467" s="103" t="n">
        <v>0</v>
      </c>
      <c r="BP467" s="103" t="n">
        <v>1</v>
      </c>
      <c r="BQ467" s="103" t="n">
        <v>1</v>
      </c>
      <c r="BR467" s="103" t="n">
        <v>1</v>
      </c>
      <c r="BS467" s="103" t="n">
        <v>1</v>
      </c>
      <c r="BT467" s="103" t="n">
        <v>7</v>
      </c>
      <c r="BU467" s="103" t="inlineStr">
        <is>
          <t>Strong</t>
        </is>
      </c>
      <c r="BV467" s="104" t="n">
        <v>0.3</v>
      </c>
      <c r="BW467" s="104" t="n">
        <v>0.79</v>
      </c>
      <c r="BX467" s="104" t="n">
        <v>0.98</v>
      </c>
      <c r="BY467" s="104" t="n">
        <v>3.77</v>
      </c>
      <c r="BZ467" s="104" t="n">
        <v>0.96</v>
      </c>
      <c r="CA467" s="104" t="n">
        <v>0.3</v>
      </c>
      <c r="CB467" s="104" t="n">
        <v>0.99</v>
      </c>
      <c r="CC467" s="104" t="n">
        <v>-0.08</v>
      </c>
      <c r="CD467" s="103" t="n">
        <v>-1.01</v>
      </c>
      <c r="CE467" s="103" t="inlineStr">
        <is>
          <t>Higher Risk</t>
        </is>
      </c>
      <c r="CF467" s="104" t="n">
        <v>2.7</v>
      </c>
      <c r="CG467" s="104" t="n">
        <v>64.12</v>
      </c>
      <c r="CH467" s="103" t="n">
        <v>20</v>
      </c>
      <c r="CI467" s="103" t="inlineStr">
        <is>
          <t>CLEAR</t>
        </is>
      </c>
    </row>
    <row r="468" ht="17" customHeight="1">
      <c r="A468" s="107" t="inlineStr">
        <is>
          <t>FLR</t>
        </is>
      </c>
      <c r="B468" s="107" t="inlineStr">
        <is>
          <t>FLUOR CORPORATION</t>
        </is>
      </c>
      <c r="C468" s="108" t="n">
        <v>3064000000</v>
      </c>
      <c r="D468" s="109" t="n">
        <v>-0.02</v>
      </c>
      <c r="E468" s="109" t="n">
        <v>-0.01</v>
      </c>
      <c r="F468" s="109" t="n">
        <v>-0</v>
      </c>
      <c r="G468" s="109" t="n">
        <v>-0.01</v>
      </c>
      <c r="H468" s="109" t="n">
        <v>0.23</v>
      </c>
      <c r="I468" s="109" t="n">
        <v>-0.02</v>
      </c>
      <c r="J468" s="109" t="n">
        <v>-0.08</v>
      </c>
      <c r="K468" s="109" t="n">
        <v>-0.01</v>
      </c>
      <c r="L468" s="109" t="n">
        <v>0.04</v>
      </c>
      <c r="M468" s="109" t="n">
        <v>1.88</v>
      </c>
      <c r="N468" s="108" t="n">
        <v>1.78</v>
      </c>
      <c r="O468" s="108" t="n">
        <v>1.91</v>
      </c>
      <c r="P468" s="108" t="n">
        <v>1.69</v>
      </c>
      <c r="Q468" s="108" t="n">
        <v>1.91</v>
      </c>
      <c r="R468" s="108" t="n">
        <v>0.63</v>
      </c>
      <c r="S468" s="108" t="n">
        <v>1</v>
      </c>
      <c r="T468" s="108" t="n">
        <v>1</v>
      </c>
      <c r="U468" s="108" t="n">
        <v>0.33</v>
      </c>
      <c r="V468" s="108" t="n">
        <v>-0.33</v>
      </c>
      <c r="W468" s="108" t="n">
        <v>7.59</v>
      </c>
      <c r="X468" s="109" t="n">
        <v>-0.03</v>
      </c>
      <c r="Y468" s="109" t="n">
        <v>0</v>
      </c>
      <c r="Z468" s="109" t="n">
        <v>-6.3</v>
      </c>
      <c r="AA468" s="109" t="n">
        <v>-0.05</v>
      </c>
      <c r="AB468" s="109" t="n">
        <v>-1.02</v>
      </c>
      <c r="AC468" s="108" t="n">
        <v>0.04</v>
      </c>
      <c r="AD468" s="108" t="n">
        <v>0.04</v>
      </c>
      <c r="AE468" s="108" t="n">
        <v>0.37</v>
      </c>
      <c r="AF468" s="108" t="n">
        <v>0.37</v>
      </c>
      <c r="AG468" s="108" t="n">
        <v>-0.05</v>
      </c>
      <c r="AH468" s="108" t="n">
        <v>0.39</v>
      </c>
      <c r="AI468" s="108" t="n">
        <v>1.88</v>
      </c>
      <c r="AJ468" s="108" t="n">
        <v>2.93</v>
      </c>
      <c r="AK468" s="106" t="inlineStr">
        <is>
          <t>Grey</t>
        </is>
      </c>
      <c r="AL468" s="108" t="n">
        <v>0.37</v>
      </c>
      <c r="AM468" s="108" t="n">
        <v>0.37</v>
      </c>
      <c r="AN468" s="108" t="n">
        <v>-0.05</v>
      </c>
      <c r="AO468" s="108" t="n">
        <v>0.39</v>
      </c>
      <c r="AP468" s="108" t="n">
        <v>1.88</v>
      </c>
      <c r="AQ468" s="107" t="n">
        <v>2.48</v>
      </c>
      <c r="AR468" s="107" t="inlineStr">
        <is>
          <t>Grey</t>
        </is>
      </c>
      <c r="AS468" s="108" t="n">
        <v>0.37</v>
      </c>
      <c r="AT468" s="108" t="n">
        <v>0.37</v>
      </c>
      <c r="AU468" s="108" t="n">
        <v>-0.05</v>
      </c>
      <c r="AV468" s="108" t="n">
        <v>0.39</v>
      </c>
      <c r="AW468" s="107" t="n">
        <v>3.76</v>
      </c>
      <c r="AX468" s="107" t="inlineStr">
        <is>
          <t>Safe</t>
        </is>
      </c>
      <c r="AY468" s="108" t="n">
        <v>0.37</v>
      </c>
      <c r="AZ468" s="108" t="n">
        <v>-0.05</v>
      </c>
      <c r="BA468" s="108" t="n">
        <v>-0.03</v>
      </c>
      <c r="BB468" s="108" t="n">
        <v>1.88</v>
      </c>
      <c r="BC468" s="107" t="n">
        <v>0.98</v>
      </c>
      <c r="BD468" s="107" t="inlineStr">
        <is>
          <t>Healthy</t>
        </is>
      </c>
      <c r="BE468" s="108" t="n">
        <v>-0.01</v>
      </c>
      <c r="BF468" s="108" t="n">
        <v>1</v>
      </c>
      <c r="BG468" s="108" t="n">
        <v>1.91</v>
      </c>
      <c r="BH468" s="108" t="n">
        <v>1.38</v>
      </c>
      <c r="BI468" s="107" t="n">
        <v>0.8</v>
      </c>
      <c r="BJ468" s="107" t="inlineStr">
        <is>
          <t>Distress</t>
        </is>
      </c>
      <c r="BK468" s="107" t="n">
        <v>0</v>
      </c>
      <c r="BL468" s="107" t="n">
        <v>0</v>
      </c>
      <c r="BM468" s="107" t="n">
        <v>0</v>
      </c>
      <c r="BN468" s="107" t="n">
        <v>0</v>
      </c>
      <c r="BO468" s="107" t="n">
        <v>0</v>
      </c>
      <c r="BP468" s="107" t="n">
        <v>1</v>
      </c>
      <c r="BQ468" s="107" t="n">
        <v>1</v>
      </c>
      <c r="BR468" s="107" t="n">
        <v>0</v>
      </c>
      <c r="BS468" s="107" t="n">
        <v>1</v>
      </c>
      <c r="BT468" s="107" t="n">
        <v>3</v>
      </c>
      <c r="BU468" s="107" t="inlineStr">
        <is>
          <t>Weak</t>
        </is>
      </c>
      <c r="BV468" s="111" t="inlineStr">
        <is>
          <t>N/A</t>
        </is>
      </c>
      <c r="BW468" s="108" t="n">
        <v>-4.55</v>
      </c>
      <c r="BX468" s="108" t="n">
        <v>0.43</v>
      </c>
      <c r="BY468" s="108" t="n">
        <v>0.95</v>
      </c>
      <c r="BZ468" s="108" t="n">
        <v>1.01</v>
      </c>
      <c r="CA468" s="108" t="n">
        <v>1.02</v>
      </c>
      <c r="CB468" s="108" t="n">
        <v>1</v>
      </c>
      <c r="CC468" s="108" t="n">
        <v>0.04</v>
      </c>
      <c r="CD468" s="111" t="inlineStr">
        <is>
          <t>N/A</t>
        </is>
      </c>
      <c r="CE468" s="111" t="inlineStr">
        <is>
          <t>N/A</t>
        </is>
      </c>
      <c r="CF468" s="108" t="n">
        <v>3.44</v>
      </c>
      <c r="CG468" s="108" t="n">
        <v>43.86</v>
      </c>
      <c r="CH468" s="107" t="n">
        <v>0</v>
      </c>
      <c r="CI468" s="107" t="inlineStr">
        <is>
          <t>CLEAR</t>
        </is>
      </c>
    </row>
    <row r="469" ht="17" customHeight="1">
      <c r="A469" s="103" t="inlineStr">
        <is>
          <t>CAG</t>
        </is>
      </c>
      <c r="B469" s="103" t="inlineStr">
        <is>
          <t>CONAGRA BRANDS, INC.</t>
        </is>
      </c>
      <c r="C469" s="104" t="n">
        <v>-1246000000</v>
      </c>
      <c r="D469" s="105" t="n">
        <v>0.91</v>
      </c>
      <c r="E469" s="105" t="n">
        <v>0.77</v>
      </c>
      <c r="F469" s="105" t="n">
        <v>0.77</v>
      </c>
      <c r="G469" s="105" t="n">
        <v>0.06</v>
      </c>
      <c r="H469" s="105" t="n">
        <v>0.02</v>
      </c>
      <c r="I469" s="105" t="n">
        <v>0.13</v>
      </c>
      <c r="J469" s="105" t="n">
        <v>0.08</v>
      </c>
      <c r="K469" s="105" t="n">
        <v>2</v>
      </c>
      <c r="L469" s="105" t="n">
        <v>2.08</v>
      </c>
      <c r="M469" s="105" t="n">
        <v>0.07000000000000001</v>
      </c>
      <c r="N469" s="104" t="n">
        <v>0.08</v>
      </c>
      <c r="O469" s="104" t="n">
        <v>0.71</v>
      </c>
      <c r="P469" s="104" t="n">
        <v>0.97</v>
      </c>
      <c r="Q469" s="104" t="n">
        <v>0.24</v>
      </c>
      <c r="R469" s="104" t="n">
        <v>0.02</v>
      </c>
      <c r="S469" s="104" t="n">
        <v>0.57</v>
      </c>
      <c r="T469" s="104" t="n">
        <v>0.59</v>
      </c>
      <c r="U469" s="104" t="n">
        <v>0.9</v>
      </c>
      <c r="V469" s="104" t="n">
        <v>0.9</v>
      </c>
      <c r="W469" s="104" t="n">
        <v>1.47</v>
      </c>
      <c r="X469" s="105" t="n">
        <v>0.87</v>
      </c>
      <c r="Y469" s="105" t="n">
        <v>0.04</v>
      </c>
      <c r="Z469" s="105" t="n">
        <v>4.58</v>
      </c>
      <c r="AA469" s="105" t="n">
        <v>-0.06</v>
      </c>
      <c r="AB469" s="105" t="n">
        <v>2.32</v>
      </c>
      <c r="AC469" s="104" t="n">
        <v>-0.03</v>
      </c>
      <c r="AD469" s="104" t="n">
        <v>-0.03</v>
      </c>
      <c r="AE469" s="104" t="n">
        <v>-0.06</v>
      </c>
      <c r="AF469" s="104" t="n">
        <v>0.32</v>
      </c>
      <c r="AG469" s="104" t="n">
        <v>0.07000000000000001</v>
      </c>
      <c r="AH469" s="104" t="n">
        <v>0.74</v>
      </c>
      <c r="AI469" s="104" t="n">
        <v>0.07000000000000001</v>
      </c>
      <c r="AJ469" s="104" t="n">
        <v>1.11</v>
      </c>
      <c r="AK469" s="112" t="inlineStr">
        <is>
          <t>Distress</t>
        </is>
      </c>
      <c r="AL469" s="104" t="n">
        <v>-0.06</v>
      </c>
      <c r="AM469" s="104" t="n">
        <v>0.32</v>
      </c>
      <c r="AN469" s="104" t="n">
        <v>0.07000000000000001</v>
      </c>
      <c r="AO469" s="104" t="n">
        <v>0.74</v>
      </c>
      <c r="AP469" s="104" t="n">
        <v>0.07000000000000001</v>
      </c>
      <c r="AQ469" s="103" t="n">
        <v>0.82</v>
      </c>
      <c r="AR469" s="103" t="inlineStr">
        <is>
          <t>Distress</t>
        </is>
      </c>
      <c r="AS469" s="104" t="n">
        <v>-0.06</v>
      </c>
      <c r="AT469" s="104" t="n">
        <v>0.32</v>
      </c>
      <c r="AU469" s="104" t="n">
        <v>0.07000000000000001</v>
      </c>
      <c r="AV469" s="104" t="n">
        <v>0.74</v>
      </c>
      <c r="AW469" s="103" t="n">
        <v>1.88</v>
      </c>
      <c r="AX469" s="103" t="inlineStr">
        <is>
          <t>Grey</t>
        </is>
      </c>
      <c r="AY469" s="104" t="n">
        <v>-0.06</v>
      </c>
      <c r="AZ469" s="104" t="n">
        <v>0.07000000000000001</v>
      </c>
      <c r="BA469" s="104" t="n">
        <v>0.27</v>
      </c>
      <c r="BB469" s="104" t="n">
        <v>0.07000000000000001</v>
      </c>
      <c r="BC469" s="103" t="n">
        <v>0.34</v>
      </c>
      <c r="BD469" s="103" t="inlineStr">
        <is>
          <t>Distress</t>
        </is>
      </c>
      <c r="BE469" s="104" t="n">
        <v>0.06</v>
      </c>
      <c r="BF469" s="104" t="n">
        <v>0.57</v>
      </c>
      <c r="BG469" s="104" t="n">
        <v>0.71</v>
      </c>
      <c r="BH469" s="104" t="n">
        <v>-1.33</v>
      </c>
      <c r="BI469" s="103" t="n">
        <v>0.21</v>
      </c>
      <c r="BJ469" s="103" t="inlineStr">
        <is>
          <t>Healthy</t>
        </is>
      </c>
      <c r="BK469" s="103" t="n">
        <v>1</v>
      </c>
      <c r="BL469" s="103" t="n">
        <v>1</v>
      </c>
      <c r="BM469" s="103" t="n">
        <v>1</v>
      </c>
      <c r="BN469" s="103" t="n">
        <v>1</v>
      </c>
      <c r="BO469" s="103" t="n">
        <v>1</v>
      </c>
      <c r="BP469" s="103" t="n">
        <v>0</v>
      </c>
      <c r="BQ469" s="103" t="n">
        <v>1</v>
      </c>
      <c r="BR469" s="103" t="n">
        <v>0</v>
      </c>
      <c r="BS469" s="103" t="n">
        <v>0</v>
      </c>
      <c r="BT469" s="103" t="n">
        <v>6</v>
      </c>
      <c r="BU469" s="103" t="inlineStr">
        <is>
          <t>Mixed</t>
        </is>
      </c>
      <c r="BV469" s="104" t="n">
        <v>0.9399999999999999</v>
      </c>
      <c r="BW469" s="104" t="n">
        <v>1.04</v>
      </c>
      <c r="BX469" s="104" t="n">
        <v>1.01</v>
      </c>
      <c r="BY469" s="104" t="n">
        <v>0.9399999999999999</v>
      </c>
      <c r="BZ469" s="104" t="n">
        <v>0.98</v>
      </c>
      <c r="CA469" s="104" t="n">
        <v>0.66</v>
      </c>
      <c r="CB469" s="104" t="n">
        <v>0.97</v>
      </c>
      <c r="CC469" s="104" t="n">
        <v>-0.03</v>
      </c>
      <c r="CD469" s="103" t="n">
        <v>-2.62</v>
      </c>
      <c r="CE469" s="103" t="inlineStr">
        <is>
          <t>Lower Risk</t>
        </is>
      </c>
      <c r="CF469" s="104" t="n">
        <v>4.56</v>
      </c>
      <c r="CG469" s="104" t="n">
        <v>50.25</v>
      </c>
      <c r="CH469" s="103" t="n">
        <v>0</v>
      </c>
      <c r="CI469" s="103" t="inlineStr">
        <is>
          <t>CLEAR</t>
        </is>
      </c>
    </row>
    <row r="470" ht="17" customHeight="1">
      <c r="A470" s="107" t="inlineStr">
        <is>
          <t>EGP</t>
        </is>
      </c>
      <c r="B470" s="107" t="inlineStr">
        <is>
          <t>EASTGROUP PROPERTIES, INC.</t>
        </is>
      </c>
      <c r="C470" s="111" t="inlineStr">
        <is>
          <t>N/A</t>
        </is>
      </c>
      <c r="D470" s="109" t="n">
        <v>0.15</v>
      </c>
      <c r="E470" s="111" t="inlineStr">
        <is>
          <t>N/A</t>
        </is>
      </c>
      <c r="F470" s="109" t="n">
        <v>0.03</v>
      </c>
      <c r="G470" s="109" t="n">
        <v>0</v>
      </c>
      <c r="H470" s="109" t="n">
        <v>0.01</v>
      </c>
      <c r="I470" s="109" t="n">
        <v>0.01</v>
      </c>
      <c r="J470" s="111" t="inlineStr">
        <is>
          <t>N/A</t>
        </is>
      </c>
      <c r="K470" s="111" t="inlineStr">
        <is>
          <t>N/A</t>
        </is>
      </c>
      <c r="L470" s="111" t="inlineStr">
        <is>
          <t>N/A</t>
        </is>
      </c>
      <c r="M470" s="109" t="n">
        <v>0.13</v>
      </c>
      <c r="N470" s="108" t="n">
        <v>0.13</v>
      </c>
      <c r="O470" s="111" t="inlineStr">
        <is>
          <t>N/A</t>
        </is>
      </c>
      <c r="P470" s="111" t="inlineStr">
        <is>
          <t>N/A</t>
        </is>
      </c>
      <c r="Q470" s="111" t="inlineStr">
        <is>
          <t>N/A</t>
        </is>
      </c>
      <c r="R470" s="111" t="inlineStr">
        <is>
          <t>N/A</t>
        </is>
      </c>
      <c r="S470" s="108" t="n">
        <v>0.36</v>
      </c>
      <c r="T470" s="108" t="n">
        <v>0.35</v>
      </c>
      <c r="U470" s="111" t="inlineStr">
        <is>
          <t>N/A</t>
        </is>
      </c>
      <c r="V470" s="111" t="inlineStr">
        <is>
          <t>N/A</t>
        </is>
      </c>
      <c r="W470" s="108" t="n">
        <v>26.23</v>
      </c>
      <c r="X470" s="109" t="n">
        <v>0.5600000000000001</v>
      </c>
      <c r="Y470" s="109" t="n">
        <v>0</v>
      </c>
      <c r="Z470" s="109" t="n">
        <v>3.38</v>
      </c>
      <c r="AA470" s="109" t="n">
        <v>0.13</v>
      </c>
      <c r="AB470" s="109" t="n">
        <v>-0.31</v>
      </c>
      <c r="AC470" s="108" t="n">
        <v>-0.09</v>
      </c>
      <c r="AD470" s="108" t="n">
        <v>-0.09</v>
      </c>
      <c r="AE470" s="111" t="inlineStr">
        <is>
          <t>N/A</t>
        </is>
      </c>
      <c r="AF470" s="111" t="inlineStr">
        <is>
          <t>N/A</t>
        </is>
      </c>
      <c r="AG470" s="108" t="n">
        <v>0.02</v>
      </c>
      <c r="AH470" s="108" t="n">
        <v>1.81</v>
      </c>
      <c r="AI470" s="108" t="n">
        <v>0.13</v>
      </c>
      <c r="AJ470" s="111" t="inlineStr">
        <is>
          <t>N/A</t>
        </is>
      </c>
      <c r="AK470" s="111" t="inlineStr">
        <is>
          <t>N/A</t>
        </is>
      </c>
      <c r="AL470" s="111" t="inlineStr">
        <is>
          <t>N/A</t>
        </is>
      </c>
      <c r="AM470" s="111" t="inlineStr">
        <is>
          <t>N/A</t>
        </is>
      </c>
      <c r="AN470" s="108" t="n">
        <v>0.02</v>
      </c>
      <c r="AO470" s="108" t="n">
        <v>1.81</v>
      </c>
      <c r="AP470" s="108" t="n">
        <v>0.13</v>
      </c>
      <c r="AQ470" s="111" t="inlineStr">
        <is>
          <t>N/A</t>
        </is>
      </c>
      <c r="AR470" s="111" t="inlineStr">
        <is>
          <t>N/A</t>
        </is>
      </c>
      <c r="AS470" s="111" t="inlineStr">
        <is>
          <t>N/A</t>
        </is>
      </c>
      <c r="AT470" s="111" t="inlineStr">
        <is>
          <t>N/A</t>
        </is>
      </c>
      <c r="AU470" s="108" t="n">
        <v>0.02</v>
      </c>
      <c r="AV470" s="108" t="n">
        <v>1.81</v>
      </c>
      <c r="AW470" s="111" t="inlineStr">
        <is>
          <t>N/A</t>
        </is>
      </c>
      <c r="AX470" s="111" t="inlineStr">
        <is>
          <t>N/A</t>
        </is>
      </c>
      <c r="AY470" s="111" t="inlineStr">
        <is>
          <t>N/A</t>
        </is>
      </c>
      <c r="AZ470" s="108" t="n">
        <v>0.02</v>
      </c>
      <c r="BA470" s="111" t="inlineStr">
        <is>
          <t>N/A</t>
        </is>
      </c>
      <c r="BB470" s="108" t="n">
        <v>0.13</v>
      </c>
      <c r="BC470" s="111" t="inlineStr">
        <is>
          <t>N/A</t>
        </is>
      </c>
      <c r="BD470" s="111" t="inlineStr">
        <is>
          <t>N/A</t>
        </is>
      </c>
      <c r="BE470" s="108" t="n">
        <v>0</v>
      </c>
      <c r="BF470" s="108" t="n">
        <v>0.36</v>
      </c>
      <c r="BG470" s="111" t="inlineStr">
        <is>
          <t>N/A</t>
        </is>
      </c>
      <c r="BH470" s="111" t="inlineStr">
        <is>
          <t>N/A</t>
        </is>
      </c>
      <c r="BI470" s="111" t="inlineStr">
        <is>
          <t>N/A</t>
        </is>
      </c>
      <c r="BJ470" s="111" t="inlineStr">
        <is>
          <t>N/A</t>
        </is>
      </c>
      <c r="BK470" s="107" t="n">
        <v>1</v>
      </c>
      <c r="BL470" s="107" t="n">
        <v>1</v>
      </c>
      <c r="BM470" s="107" t="n">
        <v>0</v>
      </c>
      <c r="BN470" s="107" t="n">
        <v>1</v>
      </c>
      <c r="BO470" s="107" t="n">
        <v>0</v>
      </c>
      <c r="BP470" s="107" t="n">
        <v>0</v>
      </c>
      <c r="BQ470" s="107" t="n">
        <v>0</v>
      </c>
      <c r="BR470" s="107" t="n">
        <v>0</v>
      </c>
      <c r="BS470" s="107" t="n">
        <v>1</v>
      </c>
      <c r="BT470" s="107" t="n">
        <v>4</v>
      </c>
      <c r="BU470" s="107" t="inlineStr">
        <is>
          <t>Mixed</t>
        </is>
      </c>
      <c r="BV470" s="108" t="n">
        <v>0.89</v>
      </c>
      <c r="BW470" s="111" t="inlineStr">
        <is>
          <t>N/A</t>
        </is>
      </c>
      <c r="BX470" s="111" t="inlineStr">
        <is>
          <t>N/A</t>
        </is>
      </c>
      <c r="BY470" s="108" t="n">
        <v>1.13</v>
      </c>
      <c r="BZ470" s="111" t="inlineStr">
        <is>
          <t>N/A</t>
        </is>
      </c>
      <c r="CA470" s="108" t="n">
        <v>1.03</v>
      </c>
      <c r="CB470" s="108" t="n">
        <v>1.01</v>
      </c>
      <c r="CC470" s="108" t="n">
        <v>-0.09</v>
      </c>
      <c r="CD470" s="111" t="inlineStr">
        <is>
          <t>N/A</t>
        </is>
      </c>
      <c r="CE470" s="111" t="inlineStr">
        <is>
          <t>N/A</t>
        </is>
      </c>
      <c r="CF470" s="111" t="inlineStr">
        <is>
          <t>N/A</t>
        </is>
      </c>
      <c r="CG470" s="108" t="n">
        <v>40.92</v>
      </c>
      <c r="CH470" s="107" t="n">
        <v>0</v>
      </c>
      <c r="CI470" s="107" t="inlineStr">
        <is>
          <t>CLEAR</t>
        </is>
      </c>
    </row>
    <row r="471" ht="17" customHeight="1">
      <c r="A471" s="103" t="inlineStr">
        <is>
          <t>CHTR</t>
        </is>
      </c>
      <c r="B471" s="103" t="inlineStr">
        <is>
          <t>Charter Communications, Inc.</t>
        </is>
      </c>
      <c r="C471" s="104" t="n">
        <v>-8162000000</v>
      </c>
      <c r="D471" s="105" t="n">
        <v>0.24</v>
      </c>
      <c r="E471" s="105" t="n">
        <v>0.14</v>
      </c>
      <c r="F471" s="105" t="n">
        <v>0.09</v>
      </c>
      <c r="G471" s="105" t="n">
        <v>0.03</v>
      </c>
      <c r="H471" s="105" t="n">
        <v>0.03</v>
      </c>
      <c r="I471" s="105" t="n">
        <v>0.31</v>
      </c>
      <c r="J471" s="105" t="n">
        <v>0.09</v>
      </c>
      <c r="K471" s="105" t="n">
        <v>0.4</v>
      </c>
      <c r="L471" s="105" t="n">
        <v>0.4</v>
      </c>
      <c r="M471" s="105" t="n">
        <v>0.36</v>
      </c>
      <c r="N471" s="104" t="n">
        <v>0.37</v>
      </c>
      <c r="O471" s="104" t="n">
        <v>0.39</v>
      </c>
      <c r="P471" s="104" t="n">
        <v>0.31</v>
      </c>
      <c r="Q471" s="104" t="n">
        <v>0.39</v>
      </c>
      <c r="R471" s="104" t="n">
        <v>0.04</v>
      </c>
      <c r="S471" s="104" t="n">
        <v>1</v>
      </c>
      <c r="T471" s="104" t="n">
        <v>1</v>
      </c>
      <c r="U471" s="104" t="n">
        <v>5.95</v>
      </c>
      <c r="V471" s="104" t="n">
        <v>5.92</v>
      </c>
      <c r="W471" s="104" t="n">
        <v>3.22</v>
      </c>
      <c r="X471" s="105" t="n">
        <v>0.08</v>
      </c>
      <c r="Y471" s="113" t="inlineStr">
        <is>
          <t>N/A</t>
        </is>
      </c>
      <c r="Z471" s="105" t="n">
        <v>15.26</v>
      </c>
      <c r="AA471" s="105" t="n">
        <v>-0.01</v>
      </c>
      <c r="AB471" s="105" t="n">
        <v>-0.02</v>
      </c>
      <c r="AC471" s="104" t="n">
        <v>-0.07000000000000001</v>
      </c>
      <c r="AD471" s="104" t="n">
        <v>-0.07000000000000001</v>
      </c>
      <c r="AE471" s="104" t="n">
        <v>-0.05</v>
      </c>
      <c r="AF471" s="104" t="n">
        <v>-0.03</v>
      </c>
      <c r="AG471" s="104" t="n">
        <v>0.08</v>
      </c>
      <c r="AH471" s="104" t="n">
        <v>0.1</v>
      </c>
      <c r="AI471" s="104" t="n">
        <v>0.36</v>
      </c>
      <c r="AJ471" s="104" t="n">
        <v>0.58</v>
      </c>
      <c r="AK471" s="112" t="inlineStr">
        <is>
          <t>Distress</t>
        </is>
      </c>
      <c r="AL471" s="104" t="n">
        <v>-0.05</v>
      </c>
      <c r="AM471" s="104" t="n">
        <v>-0.03</v>
      </c>
      <c r="AN471" s="104" t="n">
        <v>0.08</v>
      </c>
      <c r="AO471" s="104" t="n">
        <v>0.1</v>
      </c>
      <c r="AP471" s="104" t="n">
        <v>0.36</v>
      </c>
      <c r="AQ471" s="103" t="n">
        <v>0.59</v>
      </c>
      <c r="AR471" s="103" t="inlineStr">
        <is>
          <t>Distress</t>
        </is>
      </c>
      <c r="AS471" s="104" t="n">
        <v>-0.05</v>
      </c>
      <c r="AT471" s="104" t="n">
        <v>-0.03</v>
      </c>
      <c r="AU471" s="104" t="n">
        <v>0.08</v>
      </c>
      <c r="AV471" s="104" t="n">
        <v>0.1</v>
      </c>
      <c r="AW471" s="103" t="n">
        <v>0.21</v>
      </c>
      <c r="AX471" s="103" t="inlineStr">
        <is>
          <t>Distress</t>
        </is>
      </c>
      <c r="AY471" s="104" t="n">
        <v>-0.05</v>
      </c>
      <c r="AZ471" s="104" t="n">
        <v>0.08</v>
      </c>
      <c r="BA471" s="104" t="n">
        <v>0.5600000000000001</v>
      </c>
      <c r="BB471" s="104" t="n">
        <v>0.36</v>
      </c>
      <c r="BC471" s="103" t="n">
        <v>0.71</v>
      </c>
      <c r="BD471" s="103" t="inlineStr">
        <is>
          <t>Distress</t>
        </is>
      </c>
      <c r="BE471" s="104" t="n">
        <v>0.03</v>
      </c>
      <c r="BF471" s="104" t="n">
        <v>1</v>
      </c>
      <c r="BG471" s="104" t="n">
        <v>0.39</v>
      </c>
      <c r="BH471" s="104" t="n">
        <v>1.2</v>
      </c>
      <c r="BI471" s="103" t="n">
        <v>0.77</v>
      </c>
      <c r="BJ471" s="103" t="inlineStr">
        <is>
          <t>Distress</t>
        </is>
      </c>
      <c r="BK471" s="103" t="n">
        <v>1</v>
      </c>
      <c r="BL471" s="103" t="n">
        <v>1</v>
      </c>
      <c r="BM471" s="103" t="n">
        <v>0</v>
      </c>
      <c r="BN471" s="103" t="n">
        <v>1</v>
      </c>
      <c r="BO471" s="103" t="n">
        <v>1</v>
      </c>
      <c r="BP471" s="103" t="n">
        <v>1</v>
      </c>
      <c r="BQ471" s="103" t="n">
        <v>0</v>
      </c>
      <c r="BR471" s="103" t="n">
        <v>1</v>
      </c>
      <c r="BS471" s="103" t="n">
        <v>0</v>
      </c>
      <c r="BT471" s="103" t="n">
        <v>6</v>
      </c>
      <c r="BU471" s="103" t="inlineStr">
        <is>
          <t>Mixed</t>
        </is>
      </c>
      <c r="BV471" s="104" t="n">
        <v>1.19</v>
      </c>
      <c r="BW471" s="104" t="n">
        <v>0.99</v>
      </c>
      <c r="BX471" s="104" t="n">
        <v>0.97</v>
      </c>
      <c r="BY471" s="104" t="n">
        <v>0.99</v>
      </c>
      <c r="BZ471" s="104" t="n">
        <v>1.04</v>
      </c>
      <c r="CA471" s="104" t="n">
        <v>1.06</v>
      </c>
      <c r="CB471" s="104" t="n">
        <v>1</v>
      </c>
      <c r="CC471" s="104" t="n">
        <v>-0.07000000000000001</v>
      </c>
      <c r="CD471" s="103" t="n">
        <v>-2.67</v>
      </c>
      <c r="CE471" s="103" t="inlineStr">
        <is>
          <t>Lower Risk</t>
        </is>
      </c>
      <c r="CF471" s="104" t="n">
        <v>4.52</v>
      </c>
      <c r="CG471" s="104" t="n">
        <v>48.9</v>
      </c>
      <c r="CH471" s="103" t="n">
        <v>0</v>
      </c>
      <c r="CI471" s="103" t="inlineStr">
        <is>
          <t>CLEAR</t>
        </is>
      </c>
    </row>
    <row r="472" ht="17" customHeight="1">
      <c r="A472" s="107" t="inlineStr">
        <is>
          <t>RVTY</t>
        </is>
      </c>
      <c r="B472" s="107" t="inlineStr">
        <is>
          <t>REVVITY, INC</t>
        </is>
      </c>
      <c r="C472" s="108" t="n">
        <v>908501000</v>
      </c>
      <c r="D472" s="109" t="n">
        <v>0.11</v>
      </c>
      <c r="E472" s="109" t="n">
        <v>0.08</v>
      </c>
      <c r="F472" s="109" t="n">
        <v>0.07000000000000001</v>
      </c>
      <c r="G472" s="109" t="n">
        <v>0.02</v>
      </c>
      <c r="H472" s="109" t="n">
        <v>0.02</v>
      </c>
      <c r="I472" s="109" t="n">
        <v>0.03</v>
      </c>
      <c r="J472" s="109" t="n">
        <v>0.03</v>
      </c>
      <c r="K472" s="109" t="n">
        <v>0.6</v>
      </c>
      <c r="L472" s="109" t="n">
        <v>0.59</v>
      </c>
      <c r="M472" s="109" t="n">
        <v>0.27</v>
      </c>
      <c r="N472" s="108" t="n">
        <v>0.06</v>
      </c>
      <c r="O472" s="108" t="n">
        <v>1.68</v>
      </c>
      <c r="P472" s="108" t="n">
        <v>3.6</v>
      </c>
      <c r="Q472" s="108" t="n">
        <v>1.4</v>
      </c>
      <c r="R472" s="108" t="n">
        <v>0.6899999999999999</v>
      </c>
      <c r="S472" s="108" t="n">
        <v>0.4</v>
      </c>
      <c r="T472" s="108" t="n">
        <v>0.38</v>
      </c>
      <c r="U472" s="108" t="n">
        <v>0.59</v>
      </c>
      <c r="V472" s="108" t="n">
        <v>0.46</v>
      </c>
      <c r="W472" s="108" t="n">
        <v>2.42</v>
      </c>
      <c r="X472" s="109" t="n">
        <v>0.15</v>
      </c>
      <c r="Y472" s="109" t="n">
        <v>0.07000000000000001</v>
      </c>
      <c r="Z472" s="109" t="n">
        <v>7.17</v>
      </c>
      <c r="AA472" s="109" t="n">
        <v>3.47</v>
      </c>
      <c r="AB472" s="109" t="n">
        <v>-0.11</v>
      </c>
      <c r="AC472" s="108" t="n">
        <v>-0.03</v>
      </c>
      <c r="AD472" s="108" t="n">
        <v>-0.03</v>
      </c>
      <c r="AE472" s="108" t="n">
        <v>0.07000000000000001</v>
      </c>
      <c r="AF472" s="108" t="n">
        <v>0.5</v>
      </c>
      <c r="AG472" s="108" t="n">
        <v>0.03</v>
      </c>
      <c r="AH472" s="108" t="n">
        <v>1.47</v>
      </c>
      <c r="AI472" s="108" t="n">
        <v>0.27</v>
      </c>
      <c r="AJ472" s="108" t="n">
        <v>2.04</v>
      </c>
      <c r="AK472" s="106" t="inlineStr">
        <is>
          <t>Grey</t>
        </is>
      </c>
      <c r="AL472" s="108" t="n">
        <v>0.07000000000000001</v>
      </c>
      <c r="AM472" s="108" t="n">
        <v>0.5</v>
      </c>
      <c r="AN472" s="108" t="n">
        <v>0.03</v>
      </c>
      <c r="AO472" s="108" t="n">
        <v>1.47</v>
      </c>
      <c r="AP472" s="108" t="n">
        <v>0.27</v>
      </c>
      <c r="AQ472" s="107" t="n">
        <v>1.46</v>
      </c>
      <c r="AR472" s="107" t="inlineStr">
        <is>
          <t>Grey</t>
        </is>
      </c>
      <c r="AS472" s="108" t="n">
        <v>0.07000000000000001</v>
      </c>
      <c r="AT472" s="108" t="n">
        <v>0.5</v>
      </c>
      <c r="AU472" s="108" t="n">
        <v>0.03</v>
      </c>
      <c r="AV472" s="108" t="n">
        <v>1.47</v>
      </c>
      <c r="AW472" s="107" t="n">
        <v>3.86</v>
      </c>
      <c r="AX472" s="107" t="inlineStr">
        <is>
          <t>Safe</t>
        </is>
      </c>
      <c r="AY472" s="108" t="n">
        <v>0.07000000000000001</v>
      </c>
      <c r="AZ472" s="108" t="n">
        <v>0.03</v>
      </c>
      <c r="BA472" s="108" t="n">
        <v>0.2</v>
      </c>
      <c r="BB472" s="108" t="n">
        <v>0.27</v>
      </c>
      <c r="BC472" s="107" t="n">
        <v>0.41</v>
      </c>
      <c r="BD472" s="107" t="inlineStr">
        <is>
          <t>Distress</t>
        </is>
      </c>
      <c r="BE472" s="108" t="n">
        <v>0.02</v>
      </c>
      <c r="BF472" s="108" t="n">
        <v>0.4</v>
      </c>
      <c r="BG472" s="108" t="n">
        <v>1.68</v>
      </c>
      <c r="BH472" s="108" t="n">
        <v>-2.12</v>
      </c>
      <c r="BI472" s="107" t="n">
        <v>0.11</v>
      </c>
      <c r="BJ472" s="107" t="inlineStr">
        <is>
          <t>Healthy</t>
        </is>
      </c>
      <c r="BK472" s="107" t="n">
        <v>1</v>
      </c>
      <c r="BL472" s="107" t="n">
        <v>1</v>
      </c>
      <c r="BM472" s="107" t="n">
        <v>0</v>
      </c>
      <c r="BN472" s="107" t="n">
        <v>1</v>
      </c>
      <c r="BO472" s="107" t="n">
        <v>1</v>
      </c>
      <c r="BP472" s="107" t="n">
        <v>0</v>
      </c>
      <c r="BQ472" s="107" t="n">
        <v>1</v>
      </c>
      <c r="BR472" s="107" t="n">
        <v>1</v>
      </c>
      <c r="BS472" s="107" t="n">
        <v>1</v>
      </c>
      <c r="BT472" s="107" t="n">
        <v>7</v>
      </c>
      <c r="BU472" s="107" t="inlineStr">
        <is>
          <t>Strong</t>
        </is>
      </c>
      <c r="BV472" s="108" t="n">
        <v>0.26</v>
      </c>
      <c r="BW472" s="108" t="n">
        <v>0.98</v>
      </c>
      <c r="BX472" s="108" t="n">
        <v>1.01</v>
      </c>
      <c r="BY472" s="108" t="n">
        <v>4.47</v>
      </c>
      <c r="BZ472" s="108" t="n">
        <v>1.03</v>
      </c>
      <c r="CA472" s="108" t="n">
        <v>0.22</v>
      </c>
      <c r="CB472" s="108" t="n">
        <v>1.06</v>
      </c>
      <c r="CC472" s="108" t="n">
        <v>-0.03</v>
      </c>
      <c r="CD472" s="107" t="n">
        <v>-0.09</v>
      </c>
      <c r="CE472" s="107" t="inlineStr">
        <is>
          <t>Higher Risk</t>
        </is>
      </c>
      <c r="CF472" s="108" t="n">
        <v>4.41</v>
      </c>
      <c r="CG472" s="108" t="n">
        <v>52.4</v>
      </c>
      <c r="CH472" s="107" t="n">
        <v>20</v>
      </c>
      <c r="CI472" s="107" t="inlineStr">
        <is>
          <t>CLEAR</t>
        </is>
      </c>
    </row>
    <row r="473" ht="17" customHeight="1">
      <c r="A473" s="103" t="inlineStr">
        <is>
          <t>URI</t>
        </is>
      </c>
      <c r="B473" s="103" t="inlineStr">
        <is>
          <t>United Rentals, Inc.</t>
        </is>
      </c>
      <c r="C473" s="104" t="n">
        <v>-211000000</v>
      </c>
      <c r="D473" s="105" t="n">
        <v>0.25</v>
      </c>
      <c r="E473" s="105" t="n">
        <v>0.21</v>
      </c>
      <c r="F473" s="105" t="n">
        <v>0.15</v>
      </c>
      <c r="G473" s="105" t="n">
        <v>0.08</v>
      </c>
      <c r="H473" s="105" t="n">
        <v>0.02</v>
      </c>
      <c r="I473" s="105" t="n">
        <v>0.28</v>
      </c>
      <c r="J473" s="105" t="n">
        <v>0.15</v>
      </c>
      <c r="K473" s="105" t="n">
        <v>0.38</v>
      </c>
      <c r="L473" s="105" t="n">
        <v>0.38</v>
      </c>
      <c r="M473" s="105" t="n">
        <v>0.54</v>
      </c>
      <c r="N473" s="104" t="n">
        <v>0.15</v>
      </c>
      <c r="O473" s="104" t="n">
        <v>0.9399999999999999</v>
      </c>
      <c r="P473" s="104" t="n">
        <v>0.98</v>
      </c>
      <c r="Q473" s="104" t="n">
        <v>0.88</v>
      </c>
      <c r="R473" s="104" t="n">
        <v>0.12</v>
      </c>
      <c r="S473" s="104" t="n">
        <v>0.7</v>
      </c>
      <c r="T473" s="104" t="n">
        <v>0.6899999999999999</v>
      </c>
      <c r="U473" s="104" t="n">
        <v>1.77</v>
      </c>
      <c r="V473" s="104" t="n">
        <v>1.72</v>
      </c>
      <c r="W473" s="104" t="n">
        <v>2.08</v>
      </c>
      <c r="X473" s="105" t="n">
        <v>0.31</v>
      </c>
      <c r="Y473" s="105" t="n">
        <v>0</v>
      </c>
      <c r="Z473" s="105" t="n">
        <v>11.13</v>
      </c>
      <c r="AA473" s="105" t="n">
        <v>2.83</v>
      </c>
      <c r="AB473" s="105" t="n">
        <v>2.82</v>
      </c>
      <c r="AC473" s="104" t="n">
        <v>-0.09</v>
      </c>
      <c r="AD473" s="104" t="n">
        <v>-0.09</v>
      </c>
      <c r="AE473" s="104" t="n">
        <v>-0.01</v>
      </c>
      <c r="AF473" s="104" t="n">
        <v>0.53</v>
      </c>
      <c r="AG473" s="104" t="n">
        <v>0.13</v>
      </c>
      <c r="AH473" s="104" t="n">
        <v>0.43</v>
      </c>
      <c r="AI473" s="104" t="n">
        <v>0.54</v>
      </c>
      <c r="AJ473" s="104" t="n">
        <v>1.97</v>
      </c>
      <c r="AK473" s="106" t="inlineStr">
        <is>
          <t>Grey</t>
        </is>
      </c>
      <c r="AL473" s="104" t="n">
        <v>-0.01</v>
      </c>
      <c r="AM473" s="104" t="n">
        <v>0.53</v>
      </c>
      <c r="AN473" s="104" t="n">
        <v>0.13</v>
      </c>
      <c r="AO473" s="104" t="n">
        <v>0.43</v>
      </c>
      <c r="AP473" s="104" t="n">
        <v>0.54</v>
      </c>
      <c r="AQ473" s="103" t="n">
        <v>1.58</v>
      </c>
      <c r="AR473" s="103" t="inlineStr">
        <is>
          <t>Grey</t>
        </is>
      </c>
      <c r="AS473" s="104" t="n">
        <v>-0.01</v>
      </c>
      <c r="AT473" s="104" t="n">
        <v>0.53</v>
      </c>
      <c r="AU473" s="104" t="n">
        <v>0.13</v>
      </c>
      <c r="AV473" s="104" t="n">
        <v>0.43</v>
      </c>
      <c r="AW473" s="103" t="n">
        <v>3.03</v>
      </c>
      <c r="AX473" s="103" t="inlineStr">
        <is>
          <t>Safe</t>
        </is>
      </c>
      <c r="AY473" s="104" t="n">
        <v>-0.01</v>
      </c>
      <c r="AZ473" s="104" t="n">
        <v>0.13</v>
      </c>
      <c r="BA473" s="104" t="n">
        <v>0.87</v>
      </c>
      <c r="BB473" s="104" t="n">
        <v>0.54</v>
      </c>
      <c r="BC473" s="103" t="n">
        <v>1.19</v>
      </c>
      <c r="BD473" s="103" t="inlineStr">
        <is>
          <t>Healthy</t>
        </is>
      </c>
      <c r="BE473" s="104" t="n">
        <v>0.08</v>
      </c>
      <c r="BF473" s="104" t="n">
        <v>0.7</v>
      </c>
      <c r="BG473" s="104" t="n">
        <v>0.9399999999999999</v>
      </c>
      <c r="BH473" s="104" t="n">
        <v>-0.74</v>
      </c>
      <c r="BI473" s="103" t="n">
        <v>0.32</v>
      </c>
      <c r="BJ473" s="103" t="inlineStr">
        <is>
          <t>Healthy</t>
        </is>
      </c>
      <c r="BK473" s="103" t="n">
        <v>1</v>
      </c>
      <c r="BL473" s="103" t="n">
        <v>1</v>
      </c>
      <c r="BM473" s="103" t="n">
        <v>1</v>
      </c>
      <c r="BN473" s="103" t="n">
        <v>1</v>
      </c>
      <c r="BO473" s="103" t="n">
        <v>0</v>
      </c>
      <c r="BP473" s="103" t="n">
        <v>0</v>
      </c>
      <c r="BQ473" s="103" t="n">
        <v>1</v>
      </c>
      <c r="BR473" s="103" t="n">
        <v>1</v>
      </c>
      <c r="BS473" s="103" t="n">
        <v>1</v>
      </c>
      <c r="BT473" s="103" t="n">
        <v>7</v>
      </c>
      <c r="BU473" s="103" t="inlineStr">
        <is>
          <t>Strong</t>
        </is>
      </c>
      <c r="BV473" s="104" t="n">
        <v>0.28</v>
      </c>
      <c r="BW473" s="104" t="n">
        <v>0.99</v>
      </c>
      <c r="BX473" s="104" t="n">
        <v>1</v>
      </c>
      <c r="BY473" s="104" t="n">
        <v>3.83</v>
      </c>
      <c r="BZ473" s="104" t="n">
        <v>0.99</v>
      </c>
      <c r="CA473" s="104" t="n">
        <v>0.28</v>
      </c>
      <c r="CB473" s="104" t="n">
        <v>1.01</v>
      </c>
      <c r="CC473" s="104" t="n">
        <v>-0.09</v>
      </c>
      <c r="CD473" s="103" t="n">
        <v>-0.93</v>
      </c>
      <c r="CE473" s="103" t="inlineStr">
        <is>
          <t>Higher Risk</t>
        </is>
      </c>
      <c r="CF473" s="104" t="n">
        <v>3.5</v>
      </c>
      <c r="CG473" s="104" t="n">
        <v>51.24</v>
      </c>
      <c r="CH473" s="103" t="n">
        <v>20</v>
      </c>
      <c r="CI473" s="103" t="inlineStr">
        <is>
          <t>CLEAR</t>
        </is>
      </c>
    </row>
    <row r="474" ht="17" customHeight="1">
      <c r="A474" s="107" t="inlineStr">
        <is>
          <t>CSCO</t>
        </is>
      </c>
      <c r="B474" s="107" t="inlineStr">
        <is>
          <t>CISCO SYSTEMS, INC.</t>
        </is>
      </c>
      <c r="C474" s="108" t="n">
        <v>-78000000</v>
      </c>
      <c r="D474" s="109" t="n">
        <v>0.24</v>
      </c>
      <c r="E474" s="109" t="n">
        <v>0.23</v>
      </c>
      <c r="F474" s="109" t="n">
        <v>0.21</v>
      </c>
      <c r="G474" s="109" t="n">
        <v>0.08</v>
      </c>
      <c r="H474" s="109" t="n">
        <v>0.08</v>
      </c>
      <c r="I474" s="109" t="n">
        <v>0.22</v>
      </c>
      <c r="J474" s="109" t="n">
        <v>0.13</v>
      </c>
      <c r="K474" s="109" t="n">
        <v>0.75</v>
      </c>
      <c r="L474" s="109" t="n">
        <v>2.71</v>
      </c>
      <c r="M474" s="109" t="n">
        <v>0.4</v>
      </c>
      <c r="N474" s="108" t="n">
        <v>0.1</v>
      </c>
      <c r="O474" s="108" t="n">
        <v>1</v>
      </c>
      <c r="P474" s="108" t="n">
        <v>0.91</v>
      </c>
      <c r="Q474" s="108" t="n">
        <v>0.91</v>
      </c>
      <c r="R474" s="108" t="n">
        <v>0.24</v>
      </c>
      <c r="S474" s="108" t="n">
        <v>0.62</v>
      </c>
      <c r="T474" s="108" t="n">
        <v>0.63</v>
      </c>
      <c r="U474" s="108" t="n">
        <v>0.53</v>
      </c>
      <c r="V474" s="108" t="n">
        <v>0.35</v>
      </c>
      <c r="W474" s="108" t="n">
        <v>1.39</v>
      </c>
      <c r="X474" s="109" t="n">
        <v>0.27</v>
      </c>
      <c r="Y474" s="109" t="n">
        <v>0.19</v>
      </c>
      <c r="Z474" s="109" t="n">
        <v>27.54</v>
      </c>
      <c r="AA474" s="109" t="n">
        <v>2.84</v>
      </c>
      <c r="AB474" s="109" t="n">
        <v>-0.01</v>
      </c>
      <c r="AC474" s="108" t="n">
        <v>-0.03</v>
      </c>
      <c r="AD474" s="108" t="n">
        <v>-0.03</v>
      </c>
      <c r="AE474" s="108" t="n">
        <v>-0</v>
      </c>
      <c r="AF474" s="108" t="n">
        <v>0</v>
      </c>
      <c r="AG474" s="108" t="n">
        <v>0.1</v>
      </c>
      <c r="AH474" s="108" t="n">
        <v>0.62</v>
      </c>
      <c r="AI474" s="108" t="n">
        <v>0.4</v>
      </c>
      <c r="AJ474" s="108" t="n">
        <v>1.09</v>
      </c>
      <c r="AK474" s="112" t="inlineStr">
        <is>
          <t>Distress</t>
        </is>
      </c>
      <c r="AL474" s="108" t="n">
        <v>-0</v>
      </c>
      <c r="AM474" s="108" t="n">
        <v>0</v>
      </c>
      <c r="AN474" s="108" t="n">
        <v>0.1</v>
      </c>
      <c r="AO474" s="108" t="n">
        <v>0.62</v>
      </c>
      <c r="AP474" s="108" t="n">
        <v>0.4</v>
      </c>
      <c r="AQ474" s="107" t="n">
        <v>0.96</v>
      </c>
      <c r="AR474" s="107" t="inlineStr">
        <is>
          <t>Distress</t>
        </is>
      </c>
      <c r="AS474" s="108" t="n">
        <v>-0</v>
      </c>
      <c r="AT474" s="108" t="n">
        <v>0</v>
      </c>
      <c r="AU474" s="108" t="n">
        <v>0.1</v>
      </c>
      <c r="AV474" s="108" t="n">
        <v>0.62</v>
      </c>
      <c r="AW474" s="107" t="n">
        <v>1.3</v>
      </c>
      <c r="AX474" s="107" t="inlineStr">
        <is>
          <t>Grey</t>
        </is>
      </c>
      <c r="AY474" s="108" t="n">
        <v>-0</v>
      </c>
      <c r="AZ474" s="108" t="n">
        <v>0.1</v>
      </c>
      <c r="BA474" s="108" t="n">
        <v>0.32</v>
      </c>
      <c r="BB474" s="108" t="n">
        <v>0.4</v>
      </c>
      <c r="BC474" s="107" t="n">
        <v>0.66</v>
      </c>
      <c r="BD474" s="107" t="inlineStr">
        <is>
          <t>Distress</t>
        </is>
      </c>
      <c r="BE474" s="108" t="n">
        <v>0.08</v>
      </c>
      <c r="BF474" s="108" t="n">
        <v>0.62</v>
      </c>
      <c r="BG474" s="108" t="n">
        <v>1</v>
      </c>
      <c r="BH474" s="108" t="n">
        <v>-1.2</v>
      </c>
      <c r="BI474" s="107" t="n">
        <v>0.23</v>
      </c>
      <c r="BJ474" s="107" t="inlineStr">
        <is>
          <t>Healthy</t>
        </is>
      </c>
      <c r="BK474" s="107" t="n">
        <v>1</v>
      </c>
      <c r="BL474" s="107" t="n">
        <v>1</v>
      </c>
      <c r="BM474" s="107" t="n">
        <v>1</v>
      </c>
      <c r="BN474" s="107" t="n">
        <v>1</v>
      </c>
      <c r="BO474" s="107" t="n">
        <v>0</v>
      </c>
      <c r="BP474" s="107" t="n">
        <v>1</v>
      </c>
      <c r="BQ474" s="107" t="n">
        <v>1</v>
      </c>
      <c r="BR474" s="107" t="n">
        <v>0</v>
      </c>
      <c r="BS474" s="107" t="n">
        <v>1</v>
      </c>
      <c r="BT474" s="107" t="n">
        <v>7</v>
      </c>
      <c r="BU474" s="107" t="inlineStr">
        <is>
          <t>Strong</t>
        </is>
      </c>
      <c r="BV474" s="108" t="n">
        <v>0.26</v>
      </c>
      <c r="BW474" s="108" t="n">
        <v>3.64</v>
      </c>
      <c r="BX474" s="108" t="n">
        <v>1.01</v>
      </c>
      <c r="BY474" s="108" t="n">
        <v>3.84</v>
      </c>
      <c r="BZ474" s="108" t="n">
        <v>1.01</v>
      </c>
      <c r="CA474" s="108" t="n">
        <v>0.28</v>
      </c>
      <c r="CB474" s="108" t="n">
        <v>0.97</v>
      </c>
      <c r="CC474" s="108" t="n">
        <v>-0.03</v>
      </c>
      <c r="CD474" s="107" t="n">
        <v>0.75</v>
      </c>
      <c r="CE474" s="107" t="inlineStr">
        <is>
          <t>Higher Risk</t>
        </is>
      </c>
      <c r="CF474" s="108" t="n">
        <v>1.31</v>
      </c>
      <c r="CG474" s="108" t="n">
        <v>49.39</v>
      </c>
      <c r="CH474" s="107" t="n">
        <v>20</v>
      </c>
      <c r="CI474" s="107" t="inlineStr">
        <is>
          <t>CLEAR</t>
        </is>
      </c>
    </row>
    <row r="475" ht="17" customHeight="1">
      <c r="A475" s="103" t="inlineStr">
        <is>
          <t>HAL</t>
        </is>
      </c>
      <c r="B475" s="103" t="inlineStr">
        <is>
          <t>HALLIBURTON COMPANY</t>
        </is>
      </c>
      <c r="C475" s="104" t="n">
        <v>5810000000</v>
      </c>
      <c r="D475" s="105" t="n">
        <v>0.13</v>
      </c>
      <c r="E475" s="105" t="n">
        <v>0.1</v>
      </c>
      <c r="F475" s="105" t="n">
        <v>0.07000000000000001</v>
      </c>
      <c r="G475" s="105" t="n">
        <v>0.05</v>
      </c>
      <c r="H475" s="105" t="n">
        <v>0.1</v>
      </c>
      <c r="I475" s="105" t="n">
        <v>0.12</v>
      </c>
      <c r="J475" s="105" t="n">
        <v>0.12</v>
      </c>
      <c r="K475" s="105" t="n">
        <v>0.77</v>
      </c>
      <c r="L475" s="105" t="n">
        <v>0.74</v>
      </c>
      <c r="M475" s="105" t="n">
        <v>0.72</v>
      </c>
      <c r="N475" s="104" t="n">
        <v>0.57</v>
      </c>
      <c r="O475" s="104" t="n">
        <v>2.04</v>
      </c>
      <c r="P475" s="104" t="n">
        <v>2.05</v>
      </c>
      <c r="Q475" s="104" t="n">
        <v>1.51</v>
      </c>
      <c r="R475" s="104" t="n">
        <v>0.39</v>
      </c>
      <c r="S475" s="104" t="n">
        <v>0.58</v>
      </c>
      <c r="T475" s="104" t="n">
        <v>0.59</v>
      </c>
      <c r="U475" s="104" t="n">
        <v>0.68</v>
      </c>
      <c r="V475" s="104" t="n">
        <v>0.47</v>
      </c>
      <c r="W475" s="104" t="n">
        <v>2.28</v>
      </c>
      <c r="X475" s="105" t="n">
        <v>0.09</v>
      </c>
      <c r="Y475" s="105" t="n">
        <v>0.02</v>
      </c>
      <c r="Z475" s="105" t="n">
        <v>-7.61</v>
      </c>
      <c r="AA475" s="105" t="n">
        <v>0.22</v>
      </c>
      <c r="AB475" s="105" t="n">
        <v>-0.49</v>
      </c>
      <c r="AC475" s="104" t="n">
        <v>-0.07000000000000001</v>
      </c>
      <c r="AD475" s="104" t="n">
        <v>-0.07000000000000001</v>
      </c>
      <c r="AE475" s="104" t="n">
        <v>0.23</v>
      </c>
      <c r="AF475" s="104" t="n">
        <v>0.6</v>
      </c>
      <c r="AG475" s="104" t="n">
        <v>0.09</v>
      </c>
      <c r="AH475" s="104" t="n">
        <v>0.72</v>
      </c>
      <c r="AI475" s="104" t="n">
        <v>0.72</v>
      </c>
      <c r="AJ475" s="104" t="n">
        <v>2.57</v>
      </c>
      <c r="AK475" s="106" t="inlineStr">
        <is>
          <t>Grey</t>
        </is>
      </c>
      <c r="AL475" s="104" t="n">
        <v>0.23</v>
      </c>
      <c r="AM475" s="104" t="n">
        <v>0.6</v>
      </c>
      <c r="AN475" s="104" t="n">
        <v>0.09</v>
      </c>
      <c r="AO475" s="104" t="n">
        <v>0.72</v>
      </c>
      <c r="AP475" s="104" t="n">
        <v>0.72</v>
      </c>
      <c r="AQ475" s="103" t="n">
        <v>1.98</v>
      </c>
      <c r="AR475" s="103" t="inlineStr">
        <is>
          <t>Grey</t>
        </is>
      </c>
      <c r="AS475" s="104" t="n">
        <v>0.23</v>
      </c>
      <c r="AT475" s="104" t="n">
        <v>0.6</v>
      </c>
      <c r="AU475" s="104" t="n">
        <v>0.09</v>
      </c>
      <c r="AV475" s="104" t="n">
        <v>0.72</v>
      </c>
      <c r="AW475" s="103" t="n">
        <v>4.85</v>
      </c>
      <c r="AX475" s="103" t="inlineStr">
        <is>
          <t>Safe</t>
        </is>
      </c>
      <c r="AY475" s="104" t="n">
        <v>0.23</v>
      </c>
      <c r="AZ475" s="104" t="n">
        <v>0.09</v>
      </c>
      <c r="BA475" s="104" t="n">
        <v>0.32</v>
      </c>
      <c r="BB475" s="104" t="n">
        <v>0.72</v>
      </c>
      <c r="BC475" s="103" t="n">
        <v>1.01</v>
      </c>
      <c r="BD475" s="103" t="inlineStr">
        <is>
          <t>Healthy</t>
        </is>
      </c>
      <c r="BE475" s="104" t="n">
        <v>0.05</v>
      </c>
      <c r="BF475" s="104" t="n">
        <v>0.58</v>
      </c>
      <c r="BG475" s="104" t="n">
        <v>2.04</v>
      </c>
      <c r="BH475" s="104" t="n">
        <v>-1.27</v>
      </c>
      <c r="BI475" s="103" t="n">
        <v>0.22</v>
      </c>
      <c r="BJ475" s="103" t="inlineStr">
        <is>
          <t>Healthy</t>
        </is>
      </c>
      <c r="BK475" s="103" t="n">
        <v>1</v>
      </c>
      <c r="BL475" s="103" t="n">
        <v>1</v>
      </c>
      <c r="BM475" s="103" t="n">
        <v>0</v>
      </c>
      <c r="BN475" s="103" t="n">
        <v>1</v>
      </c>
      <c r="BO475" s="103" t="n">
        <v>0</v>
      </c>
      <c r="BP475" s="103" t="n">
        <v>0</v>
      </c>
      <c r="BQ475" s="103" t="n">
        <v>1</v>
      </c>
      <c r="BR475" s="103" t="n">
        <v>1</v>
      </c>
      <c r="BS475" s="103" t="n">
        <v>1</v>
      </c>
      <c r="BT475" s="103" t="n">
        <v>6</v>
      </c>
      <c r="BU475" s="103" t="inlineStr">
        <is>
          <t>Mixed</t>
        </is>
      </c>
      <c r="BV475" s="104" t="n">
        <v>0.79</v>
      </c>
      <c r="BW475" s="104" t="n">
        <v>0.97</v>
      </c>
      <c r="BX475" s="104" t="n">
        <v>1.06</v>
      </c>
      <c r="BY475" s="104" t="n">
        <v>1.22</v>
      </c>
      <c r="BZ475" s="104" t="n">
        <v>0.88</v>
      </c>
      <c r="CA475" s="104" t="n">
        <v>0.82</v>
      </c>
      <c r="CB475" s="104" t="n">
        <v>0.99</v>
      </c>
      <c r="CC475" s="104" t="n">
        <v>-0.07000000000000001</v>
      </c>
      <c r="CD475" s="103" t="n">
        <v>-2.76</v>
      </c>
      <c r="CE475" s="103" t="inlineStr">
        <is>
          <t>Lower Risk</t>
        </is>
      </c>
      <c r="CF475" s="104" t="n">
        <v>1.47</v>
      </c>
      <c r="CG475" s="104" t="n">
        <v>54.27</v>
      </c>
      <c r="CH475" s="103" t="n">
        <v>0</v>
      </c>
      <c r="CI475" s="103" t="inlineStr">
        <is>
          <t>CLEAR</t>
        </is>
      </c>
    </row>
    <row r="476" ht="17" customHeight="1">
      <c r="A476" s="107" t="inlineStr">
        <is>
          <t>FIS</t>
        </is>
      </c>
      <c r="B476" s="107" t="inlineStr">
        <is>
          <t>Fidelity National Information Services, Inc.</t>
        </is>
      </c>
      <c r="C476" s="108" t="n">
        <v>-3128000000</v>
      </c>
      <c r="D476" s="109" t="n">
        <v>0.16</v>
      </c>
      <c r="E476" s="109" t="n">
        <v>-1.53</v>
      </c>
      <c r="F476" s="109" t="n">
        <v>0.04</v>
      </c>
      <c r="G476" s="109" t="n">
        <v>0.01</v>
      </c>
      <c r="H476" s="109" t="n">
        <v>0.02</v>
      </c>
      <c r="I476" s="109" t="n">
        <v>0.03</v>
      </c>
      <c r="J476" s="109" t="n">
        <v>0.07000000000000001</v>
      </c>
      <c r="K476" s="109" t="n">
        <v>0.37</v>
      </c>
      <c r="L476" s="109" t="n">
        <v>0.38</v>
      </c>
      <c r="M476" s="109" t="n">
        <v>0.32</v>
      </c>
      <c r="N476" s="108" t="n">
        <v>0.08</v>
      </c>
      <c r="O476" s="108" t="n">
        <v>0.59</v>
      </c>
      <c r="P476" s="108" t="n">
        <v>0.85</v>
      </c>
      <c r="Q476" s="108" t="n">
        <v>0.59</v>
      </c>
      <c r="R476" s="108" t="n">
        <v>0.08</v>
      </c>
      <c r="S476" s="108" t="n">
        <v>0.58</v>
      </c>
      <c r="T476" s="108" t="n">
        <v>0.54</v>
      </c>
      <c r="U476" s="108" t="n">
        <v>0.9399999999999999</v>
      </c>
      <c r="V476" s="108" t="n">
        <v>0.9</v>
      </c>
      <c r="W476" s="108" t="n">
        <v>11.35</v>
      </c>
      <c r="X476" s="109" t="n">
        <v>0.39</v>
      </c>
      <c r="Y476" s="109" t="n">
        <v>0</v>
      </c>
      <c r="Z476" s="109" t="n">
        <v>2.44</v>
      </c>
      <c r="AA476" s="109" t="n">
        <v>2.8</v>
      </c>
      <c r="AB476" s="109" t="n">
        <v>-0.25</v>
      </c>
      <c r="AC476" s="108" t="n">
        <v>-0.12</v>
      </c>
      <c r="AD476" s="108" t="n">
        <v>-0.12</v>
      </c>
      <c r="AE476" s="108" t="n">
        <v>-0.09</v>
      </c>
      <c r="AF476" s="108" t="n">
        <v>-0.68</v>
      </c>
      <c r="AG476" s="108" t="n">
        <v>0.05</v>
      </c>
      <c r="AH476" s="108" t="n">
        <v>0.71</v>
      </c>
      <c r="AI476" s="108" t="n">
        <v>0.32</v>
      </c>
      <c r="AJ476" s="108" t="n">
        <v>-0.15</v>
      </c>
      <c r="AK476" s="112" t="inlineStr">
        <is>
          <t>Distress</t>
        </is>
      </c>
      <c r="AL476" s="108" t="n">
        <v>-0.09</v>
      </c>
      <c r="AM476" s="108" t="n">
        <v>-0.68</v>
      </c>
      <c r="AN476" s="108" t="n">
        <v>0.05</v>
      </c>
      <c r="AO476" s="108" t="n">
        <v>0.71</v>
      </c>
      <c r="AP476" s="108" t="n">
        <v>0.32</v>
      </c>
      <c r="AQ476" s="107" t="n">
        <v>0.14</v>
      </c>
      <c r="AR476" s="107" t="inlineStr">
        <is>
          <t>Distress</t>
        </is>
      </c>
      <c r="AS476" s="108" t="n">
        <v>-0.09</v>
      </c>
      <c r="AT476" s="108" t="n">
        <v>-0.68</v>
      </c>
      <c r="AU476" s="108" t="n">
        <v>0.05</v>
      </c>
      <c r="AV476" s="108" t="n">
        <v>0.71</v>
      </c>
      <c r="AW476" s="107" t="n">
        <v>-1.73</v>
      </c>
      <c r="AX476" s="107" t="inlineStr">
        <is>
          <t>Distress</t>
        </is>
      </c>
      <c r="AY476" s="108" t="n">
        <v>-0.09</v>
      </c>
      <c r="AZ476" s="108" t="n">
        <v>0.05</v>
      </c>
      <c r="BA476" s="108" t="n">
        <v>-2.14</v>
      </c>
      <c r="BB476" s="108" t="n">
        <v>0.32</v>
      </c>
      <c r="BC476" s="107" t="n">
        <v>-1.22</v>
      </c>
      <c r="BD476" s="107" t="inlineStr">
        <is>
          <t>Distress</t>
        </is>
      </c>
      <c r="BE476" s="108" t="n">
        <v>0.01</v>
      </c>
      <c r="BF476" s="108" t="n">
        <v>0.58</v>
      </c>
      <c r="BG476" s="108" t="n">
        <v>0.59</v>
      </c>
      <c r="BH476" s="108" t="n">
        <v>-1.06</v>
      </c>
      <c r="BI476" s="107" t="n">
        <v>0.26</v>
      </c>
      <c r="BJ476" s="107" t="inlineStr">
        <is>
          <t>Healthy</t>
        </is>
      </c>
      <c r="BK476" s="107" t="n">
        <v>1</v>
      </c>
      <c r="BL476" s="107" t="n">
        <v>1</v>
      </c>
      <c r="BM476" s="107" t="n">
        <v>0</v>
      </c>
      <c r="BN476" s="107" t="n">
        <v>1</v>
      </c>
      <c r="BO476" s="107" t="n">
        <v>1</v>
      </c>
      <c r="BP476" s="107" t="n">
        <v>0</v>
      </c>
      <c r="BQ476" s="107" t="n">
        <v>0</v>
      </c>
      <c r="BR476" s="107" t="n">
        <v>0</v>
      </c>
      <c r="BS476" s="107" t="n">
        <v>1</v>
      </c>
      <c r="BT476" s="107" t="n">
        <v>5</v>
      </c>
      <c r="BU476" s="107" t="inlineStr">
        <is>
          <t>Mixed</t>
        </is>
      </c>
      <c r="BV476" s="108" t="n">
        <v>0.26</v>
      </c>
      <c r="BW476" s="108" t="n">
        <v>1.04</v>
      </c>
      <c r="BX476" s="108" t="n">
        <v>1.02</v>
      </c>
      <c r="BY476" s="108" t="n">
        <v>3.8</v>
      </c>
      <c r="BZ476" s="108" t="n">
        <v>0.85</v>
      </c>
      <c r="CA476" s="108" t="n">
        <v>0.27</v>
      </c>
      <c r="CB476" s="108" t="n">
        <v>1.09</v>
      </c>
      <c r="CC476" s="108" t="n">
        <v>-0.12</v>
      </c>
      <c r="CD476" s="107" t="n">
        <v>-1.11</v>
      </c>
      <c r="CE476" s="107" t="inlineStr">
        <is>
          <t>Higher Risk</t>
        </is>
      </c>
      <c r="CF476" s="108" t="n">
        <v>5.29</v>
      </c>
      <c r="CG476" s="108" t="n">
        <v>38.91</v>
      </c>
      <c r="CH476" s="106" t="n">
        <v>40</v>
      </c>
      <c r="CI476" s="107" t="inlineStr">
        <is>
          <t>WATCH</t>
        </is>
      </c>
    </row>
    <row r="477" ht="17" customHeight="1">
      <c r="A477" s="103" t="inlineStr">
        <is>
          <t>EL</t>
        </is>
      </c>
      <c r="B477" s="103" t="inlineStr">
        <is>
          <t>Estee Lauder Companies Inc</t>
        </is>
      </c>
      <c r="C477" s="104" t="n">
        <v>1634000000</v>
      </c>
      <c r="D477" s="105" t="n">
        <v>-0.05</v>
      </c>
      <c r="E477" s="105" t="n">
        <v>-0.07000000000000001</v>
      </c>
      <c r="F477" s="105" t="n">
        <v>0.05</v>
      </c>
      <c r="G477" s="105" t="n">
        <v>0.03</v>
      </c>
      <c r="H477" s="105" t="n">
        <v>-0.02</v>
      </c>
      <c r="I477" s="105" t="n">
        <v>0.12</v>
      </c>
      <c r="J477" s="105" t="n">
        <v>-0.05</v>
      </c>
      <c r="K477" s="105" t="n">
        <v>0.74</v>
      </c>
      <c r="L477" s="105" t="n">
        <v>0.72</v>
      </c>
      <c r="M477" s="105" t="n">
        <v>0.72</v>
      </c>
      <c r="N477" s="104" t="n">
        <v>0.72</v>
      </c>
      <c r="O477" s="104" t="n">
        <v>1.3</v>
      </c>
      <c r="P477" s="104" t="n">
        <v>1.39</v>
      </c>
      <c r="Q477" s="104" t="n">
        <v>0.92</v>
      </c>
      <c r="R477" s="104" t="n">
        <v>0.4</v>
      </c>
      <c r="S477" s="104" t="n">
        <v>0.44</v>
      </c>
      <c r="T477" s="104" t="n">
        <v>0.4</v>
      </c>
      <c r="U477" s="104" t="n">
        <v>0.19</v>
      </c>
      <c r="V477" s="104" t="n">
        <v>-0.2</v>
      </c>
      <c r="W477" s="104" t="n">
        <v>1.86</v>
      </c>
      <c r="X477" s="105" t="n">
        <v>0.05</v>
      </c>
      <c r="Y477" s="105" t="n">
        <v>0.01</v>
      </c>
      <c r="Z477" s="105" t="n">
        <v>-2.08</v>
      </c>
      <c r="AA477" s="105" t="n">
        <v>-0.08</v>
      </c>
      <c r="AB477" s="105" t="n">
        <v>-2.48</v>
      </c>
      <c r="AC477" s="104" t="n">
        <v>-0.03</v>
      </c>
      <c r="AD477" s="104" t="n">
        <v>-0.03</v>
      </c>
      <c r="AE477" s="104" t="n">
        <v>0.08</v>
      </c>
      <c r="AF477" s="104" t="n">
        <v>0.59</v>
      </c>
      <c r="AG477" s="104" t="n">
        <v>-0.04</v>
      </c>
      <c r="AH477" s="104" t="n">
        <v>0.64</v>
      </c>
      <c r="AI477" s="104" t="n">
        <v>0.72</v>
      </c>
      <c r="AJ477" s="104" t="n">
        <v>1.89</v>
      </c>
      <c r="AK477" s="106" t="inlineStr">
        <is>
          <t>Grey</t>
        </is>
      </c>
      <c r="AL477" s="104" t="n">
        <v>0.08</v>
      </c>
      <c r="AM477" s="104" t="n">
        <v>0.59</v>
      </c>
      <c r="AN477" s="104" t="n">
        <v>-0.04</v>
      </c>
      <c r="AO477" s="104" t="n">
        <v>0.64</v>
      </c>
      <c r="AP477" s="104" t="n">
        <v>0.72</v>
      </c>
      <c r="AQ477" s="103" t="n">
        <v>1.42</v>
      </c>
      <c r="AR477" s="103" t="inlineStr">
        <is>
          <t>Grey</t>
        </is>
      </c>
      <c r="AS477" s="104" t="n">
        <v>0.08</v>
      </c>
      <c r="AT477" s="104" t="n">
        <v>0.59</v>
      </c>
      <c r="AU477" s="104" t="n">
        <v>-0.04</v>
      </c>
      <c r="AV477" s="104" t="n">
        <v>0.64</v>
      </c>
      <c r="AW477" s="103" t="n">
        <v>2.86</v>
      </c>
      <c r="AX477" s="103" t="inlineStr">
        <is>
          <t>Safe</t>
        </is>
      </c>
      <c r="AY477" s="104" t="n">
        <v>0.08</v>
      </c>
      <c r="AZ477" s="104" t="n">
        <v>-0.04</v>
      </c>
      <c r="BA477" s="104" t="n">
        <v>-0.19</v>
      </c>
      <c r="BB477" s="104" t="n">
        <v>0.72</v>
      </c>
      <c r="BC477" s="103" t="n">
        <v>0.13</v>
      </c>
      <c r="BD477" s="103" t="inlineStr">
        <is>
          <t>Distress</t>
        </is>
      </c>
      <c r="BE477" s="104" t="n">
        <v>0.03</v>
      </c>
      <c r="BF477" s="104" t="n">
        <v>0.44</v>
      </c>
      <c r="BG477" s="104" t="n">
        <v>1.3</v>
      </c>
      <c r="BH477" s="104" t="n">
        <v>-1.99</v>
      </c>
      <c r="BI477" s="103" t="n">
        <v>0.12</v>
      </c>
      <c r="BJ477" s="103" t="inlineStr">
        <is>
          <t>Healthy</t>
        </is>
      </c>
      <c r="BK477" s="103" t="n">
        <v>1</v>
      </c>
      <c r="BL477" s="103" t="n">
        <v>1</v>
      </c>
      <c r="BM477" s="103" t="n">
        <v>1</v>
      </c>
      <c r="BN477" s="103" t="n">
        <v>1</v>
      </c>
      <c r="BO477" s="103" t="n">
        <v>1</v>
      </c>
      <c r="BP477" s="103" t="n">
        <v>0</v>
      </c>
      <c r="BQ477" s="103" t="n">
        <v>0</v>
      </c>
      <c r="BR477" s="103" t="n">
        <v>1</v>
      </c>
      <c r="BS477" s="103" t="n">
        <v>1</v>
      </c>
      <c r="BT477" s="103" t="n">
        <v>7</v>
      </c>
      <c r="BU477" s="103" t="inlineStr">
        <is>
          <t>Strong</t>
        </is>
      </c>
      <c r="BV477" s="104" t="n">
        <v>0.97</v>
      </c>
      <c r="BW477" s="104" t="n">
        <v>0.97</v>
      </c>
      <c r="BX477" s="104" t="n">
        <v>0.99</v>
      </c>
      <c r="BY477" s="104" t="n">
        <v>0.92</v>
      </c>
      <c r="BZ477" s="104" t="n">
        <v>1.01</v>
      </c>
      <c r="CA477" s="104" t="n">
        <v>1.07</v>
      </c>
      <c r="CB477" s="104" t="n">
        <v>1.09</v>
      </c>
      <c r="CC477" s="104" t="n">
        <v>-0.03</v>
      </c>
      <c r="CD477" s="103" t="n">
        <v>-2.78</v>
      </c>
      <c r="CE477" s="103" t="inlineStr">
        <is>
          <t>Lower Risk</t>
        </is>
      </c>
      <c r="CF477" s="104" t="n">
        <v>-24.95</v>
      </c>
      <c r="CG477" s="104" t="n">
        <v>57.06</v>
      </c>
      <c r="CH477" s="103" t="n">
        <v>0</v>
      </c>
      <c r="CI477" s="103" t="inlineStr">
        <is>
          <t>CLEAR</t>
        </is>
      </c>
    </row>
    <row r="478" ht="17" customHeight="1">
      <c r="A478" s="107" t="inlineStr">
        <is>
          <t>EME</t>
        </is>
      </c>
      <c r="B478" s="107" t="inlineStr">
        <is>
          <t>EMCOR Group, Inc.</t>
        </is>
      </c>
      <c r="C478" s="108" t="n">
        <v>1072405000</v>
      </c>
      <c r="D478" s="109" t="n">
        <v>0.1</v>
      </c>
      <c r="E478" s="109" t="n">
        <v>0.1</v>
      </c>
      <c r="F478" s="109" t="n">
        <v>0.07000000000000001</v>
      </c>
      <c r="G478" s="109" t="n">
        <v>0.14</v>
      </c>
      <c r="H478" s="109" t="n">
        <v>0.13</v>
      </c>
      <c r="I478" s="109" t="n">
        <v>0.35</v>
      </c>
      <c r="J478" s="109" t="n">
        <v>0.39</v>
      </c>
      <c r="K478" s="109" t="n">
        <v>0.19</v>
      </c>
      <c r="L478" s="109" t="n">
        <v>0.19</v>
      </c>
      <c r="M478" s="109" t="n">
        <v>1.83</v>
      </c>
      <c r="N478" s="108" t="n">
        <v>1.89</v>
      </c>
      <c r="O478" s="108" t="n">
        <v>1.22</v>
      </c>
      <c r="P478" s="108" t="n">
        <v>1.3</v>
      </c>
      <c r="Q478" s="108" t="n">
        <v>1.22</v>
      </c>
      <c r="R478" s="108" t="n">
        <v>0.23</v>
      </c>
      <c r="S478" s="108" t="n">
        <v>0.6</v>
      </c>
      <c r="T478" s="108" t="n">
        <v>0.62</v>
      </c>
      <c r="U478" s="108" t="n">
        <v>0</v>
      </c>
      <c r="V478" s="108" t="n">
        <v>-0.3</v>
      </c>
      <c r="W478" s="108" t="n">
        <v>1.02</v>
      </c>
      <c r="X478" s="109" t="n">
        <v>0.07000000000000001</v>
      </c>
      <c r="Y478" s="109" t="n">
        <v>0</v>
      </c>
      <c r="Z478" s="109" t="n">
        <v>142.55</v>
      </c>
      <c r="AA478" s="109" t="n">
        <v>0.17</v>
      </c>
      <c r="AB478" s="109" t="n">
        <v>0.26</v>
      </c>
      <c r="AC478" s="108" t="n">
        <v>-0</v>
      </c>
      <c r="AD478" s="108" t="n">
        <v>-0</v>
      </c>
      <c r="AE478" s="108" t="n">
        <v>0.12</v>
      </c>
      <c r="AF478" s="108" t="n">
        <v>0.65</v>
      </c>
      <c r="AG478" s="108" t="n">
        <v>0.18</v>
      </c>
      <c r="AH478" s="108" t="n">
        <v>0.65</v>
      </c>
      <c r="AI478" s="108" t="n">
        <v>1.83</v>
      </c>
      <c r="AJ478" s="108" t="n">
        <v>3.87</v>
      </c>
      <c r="AK478" s="110" t="inlineStr">
        <is>
          <t>Safe</t>
        </is>
      </c>
      <c r="AL478" s="108" t="n">
        <v>0.12</v>
      </c>
      <c r="AM478" s="108" t="n">
        <v>0.65</v>
      </c>
      <c r="AN478" s="108" t="n">
        <v>0.18</v>
      </c>
      <c r="AO478" s="108" t="n">
        <v>0.65</v>
      </c>
      <c r="AP478" s="108" t="n">
        <v>1.83</v>
      </c>
      <c r="AQ478" s="107" t="n">
        <v>3.3</v>
      </c>
      <c r="AR478" s="107" t="inlineStr">
        <is>
          <t>Safe</t>
        </is>
      </c>
      <c r="AS478" s="108" t="n">
        <v>0.12</v>
      </c>
      <c r="AT478" s="108" t="n">
        <v>0.65</v>
      </c>
      <c r="AU478" s="108" t="n">
        <v>0.18</v>
      </c>
      <c r="AV478" s="108" t="n">
        <v>0.65</v>
      </c>
      <c r="AW478" s="107" t="n">
        <v>4.79</v>
      </c>
      <c r="AX478" s="107" t="inlineStr">
        <is>
          <t>Safe</t>
        </is>
      </c>
      <c r="AY478" s="108" t="n">
        <v>0.12</v>
      </c>
      <c r="AZ478" s="108" t="n">
        <v>0.18</v>
      </c>
      <c r="BA478" s="108" t="n">
        <v>0.35</v>
      </c>
      <c r="BB478" s="108" t="n">
        <v>1.83</v>
      </c>
      <c r="BC478" s="107" t="n">
        <v>1.65</v>
      </c>
      <c r="BD478" s="107" t="inlineStr">
        <is>
          <t>Healthy</t>
        </is>
      </c>
      <c r="BE478" s="108" t="n">
        <v>0.14</v>
      </c>
      <c r="BF478" s="108" t="n">
        <v>0.6</v>
      </c>
      <c r="BG478" s="108" t="n">
        <v>1.22</v>
      </c>
      <c r="BH478" s="108" t="n">
        <v>-1.52</v>
      </c>
      <c r="BI478" s="107" t="n">
        <v>0.18</v>
      </c>
      <c r="BJ478" s="107" t="inlineStr">
        <is>
          <t>Healthy</t>
        </is>
      </c>
      <c r="BK478" s="107" t="n">
        <v>1</v>
      </c>
      <c r="BL478" s="107" t="n">
        <v>1</v>
      </c>
      <c r="BM478" s="107" t="n">
        <v>1</v>
      </c>
      <c r="BN478" s="107" t="n">
        <v>1</v>
      </c>
      <c r="BO478" s="107" t="n">
        <v>0</v>
      </c>
      <c r="BP478" s="107" t="n">
        <v>0</v>
      </c>
      <c r="BQ478" s="107" t="n">
        <v>1</v>
      </c>
      <c r="BR478" s="107" t="n">
        <v>1</v>
      </c>
      <c r="BS478" s="107" t="n">
        <v>0</v>
      </c>
      <c r="BT478" s="107" t="n">
        <v>6</v>
      </c>
      <c r="BU478" s="107" t="inlineStr">
        <is>
          <t>Mixed</t>
        </is>
      </c>
      <c r="BV478" s="108" t="n">
        <v>1.02</v>
      </c>
      <c r="BW478" s="108" t="n">
        <v>0.98</v>
      </c>
      <c r="BX478" s="108" t="n">
        <v>1.21</v>
      </c>
      <c r="BY478" s="108" t="n">
        <v>1.17</v>
      </c>
      <c r="BZ478" s="108" t="n">
        <v>1.09</v>
      </c>
      <c r="CA478" s="108" t="n">
        <v>1.04</v>
      </c>
      <c r="CB478" s="108" t="n">
        <v>0.98</v>
      </c>
      <c r="CC478" s="108" t="n">
        <v>-0</v>
      </c>
      <c r="CD478" s="107" t="n">
        <v>-2.24</v>
      </c>
      <c r="CE478" s="107" t="inlineStr">
        <is>
          <t>Lower Risk</t>
        </is>
      </c>
      <c r="CF478" s="108" t="n">
        <v>-0.63</v>
      </c>
      <c r="CG478" s="108" t="n">
        <v>58.77</v>
      </c>
      <c r="CH478" s="107" t="n">
        <v>0</v>
      </c>
      <c r="CI478" s="107" t="inlineStr">
        <is>
          <t>CLEAR</t>
        </is>
      </c>
    </row>
    <row r="479" ht="17" customHeight="1">
      <c r="A479" s="103" t="inlineStr">
        <is>
          <t>VRSK</t>
        </is>
      </c>
      <c r="B479" s="103" t="inlineStr">
        <is>
          <t>Verisk Analytics, Inc.</t>
        </is>
      </c>
      <c r="C479" s="104" t="n">
        <v>465100000</v>
      </c>
      <c r="D479" s="105" t="n">
        <v>0.44</v>
      </c>
      <c r="E479" s="105" t="n">
        <v>0.38</v>
      </c>
      <c r="F479" s="105" t="n">
        <v>0.3</v>
      </c>
      <c r="G479" s="105" t="n">
        <v>0.15</v>
      </c>
      <c r="H479" s="105" t="n">
        <v>0.22</v>
      </c>
      <c r="I479" s="105" t="n">
        <v>2.94</v>
      </c>
      <c r="J479" s="105" t="n">
        <v>0.35</v>
      </c>
      <c r="K479" s="105" t="n">
        <v>0.7</v>
      </c>
      <c r="L479" s="105" t="n">
        <v>0.6899999999999999</v>
      </c>
      <c r="M479" s="105" t="n">
        <v>0.5</v>
      </c>
      <c r="N479" s="104" t="n">
        <v>0.68</v>
      </c>
      <c r="O479" s="104" t="n">
        <v>1.2</v>
      </c>
      <c r="P479" s="104" t="n">
        <v>0.74</v>
      </c>
      <c r="Q479" s="104" t="n">
        <v>1.2</v>
      </c>
      <c r="R479" s="104" t="n">
        <v>0.95</v>
      </c>
      <c r="S479" s="104" t="n">
        <v>0.95</v>
      </c>
      <c r="T479" s="104" t="n">
        <v>0.98</v>
      </c>
      <c r="U479" s="104" t="n">
        <v>16.08</v>
      </c>
      <c r="V479" s="104" t="n">
        <v>9.029999999999999</v>
      </c>
      <c r="W479" s="104" t="n">
        <v>1.58</v>
      </c>
      <c r="X479" s="105" t="n">
        <v>0.39</v>
      </c>
      <c r="Y479" s="105" t="n">
        <v>0.01</v>
      </c>
      <c r="Z479" s="105" t="n">
        <v>11.64</v>
      </c>
      <c r="AA479" s="105" t="n">
        <v>0.07000000000000001</v>
      </c>
      <c r="AB479" s="105" t="n">
        <v>-0.05</v>
      </c>
      <c r="AC479" s="104" t="n">
        <v>-0.09</v>
      </c>
      <c r="AD479" s="104" t="n">
        <v>-0.09</v>
      </c>
      <c r="AE479" s="104" t="n">
        <v>0.08</v>
      </c>
      <c r="AF479" s="104" t="n">
        <v>1.26</v>
      </c>
      <c r="AG479" s="104" t="n">
        <v>0.22</v>
      </c>
      <c r="AH479" s="104" t="n">
        <v>0.05</v>
      </c>
      <c r="AI479" s="104" t="n">
        <v>0.5</v>
      </c>
      <c r="AJ479" s="104" t="n">
        <v>3.1</v>
      </c>
      <c r="AK479" s="110" t="inlineStr">
        <is>
          <t>Safe</t>
        </is>
      </c>
      <c r="AL479" s="104" t="n">
        <v>0.08</v>
      </c>
      <c r="AM479" s="104" t="n">
        <v>1.26</v>
      </c>
      <c r="AN479" s="104" t="n">
        <v>0.22</v>
      </c>
      <c r="AO479" s="104" t="n">
        <v>0.05</v>
      </c>
      <c r="AP479" s="104" t="n">
        <v>0.5</v>
      </c>
      <c r="AQ479" s="103" t="n">
        <v>2.31</v>
      </c>
      <c r="AR479" s="103" t="inlineStr">
        <is>
          <t>Grey</t>
        </is>
      </c>
      <c r="AS479" s="104" t="n">
        <v>0.08</v>
      </c>
      <c r="AT479" s="104" t="n">
        <v>1.26</v>
      </c>
      <c r="AU479" s="104" t="n">
        <v>0.22</v>
      </c>
      <c r="AV479" s="104" t="n">
        <v>0.05</v>
      </c>
      <c r="AW479" s="103" t="n">
        <v>6.12</v>
      </c>
      <c r="AX479" s="103" t="inlineStr">
        <is>
          <t>Safe</t>
        </is>
      </c>
      <c r="AY479" s="104" t="n">
        <v>0.08</v>
      </c>
      <c r="AZ479" s="104" t="n">
        <v>0.22</v>
      </c>
      <c r="BA479" s="104" t="n">
        <v>0.51</v>
      </c>
      <c r="BB479" s="104" t="n">
        <v>0.5</v>
      </c>
      <c r="BC479" s="103" t="n">
        <v>1.28</v>
      </c>
      <c r="BD479" s="103" t="inlineStr">
        <is>
          <t>Healthy</t>
        </is>
      </c>
      <c r="BE479" s="104" t="n">
        <v>0.15</v>
      </c>
      <c r="BF479" s="104" t="n">
        <v>0.95</v>
      </c>
      <c r="BG479" s="104" t="n">
        <v>1.2</v>
      </c>
      <c r="BH479" s="104" t="n">
        <v>0.4</v>
      </c>
      <c r="BI479" s="103" t="n">
        <v>0.6</v>
      </c>
      <c r="BJ479" s="103" t="inlineStr">
        <is>
          <t>Distress</t>
        </is>
      </c>
      <c r="BK479" s="103" t="n">
        <v>1</v>
      </c>
      <c r="BL479" s="103" t="n">
        <v>1</v>
      </c>
      <c r="BM479" s="103" t="n">
        <v>0</v>
      </c>
      <c r="BN479" s="103" t="n">
        <v>1</v>
      </c>
      <c r="BO479" s="103" t="n">
        <v>0</v>
      </c>
      <c r="BP479" s="103" t="n">
        <v>1</v>
      </c>
      <c r="BQ479" s="103" t="n">
        <v>1</v>
      </c>
      <c r="BR479" s="103" t="n">
        <v>1</v>
      </c>
      <c r="BS479" s="103" t="n">
        <v>0</v>
      </c>
      <c r="BT479" s="103" t="n">
        <v>6</v>
      </c>
      <c r="BU479" s="103" t="inlineStr">
        <is>
          <t>Mixed</t>
        </is>
      </c>
      <c r="BV479" s="104" t="n">
        <v>0.91</v>
      </c>
      <c r="BW479" s="104" t="n">
        <v>0.98</v>
      </c>
      <c r="BX479" s="104" t="n">
        <v>0.6899999999999999</v>
      </c>
      <c r="BY479" s="104" t="n">
        <v>1.07</v>
      </c>
      <c r="BZ479" s="104" t="n">
        <v>1</v>
      </c>
      <c r="CA479" s="104" t="n">
        <v>1.05</v>
      </c>
      <c r="CB479" s="104" t="n">
        <v>0.97</v>
      </c>
      <c r="CC479" s="104" t="n">
        <v>-0.09</v>
      </c>
      <c r="CD479" s="103" t="n">
        <v>-3.03</v>
      </c>
      <c r="CE479" s="103" t="inlineStr">
        <is>
          <t>Lower Risk</t>
        </is>
      </c>
      <c r="CF479" s="104" t="n">
        <v>1.74</v>
      </c>
      <c r="CG479" s="104" t="n">
        <v>54.93</v>
      </c>
      <c r="CH479" s="103" t="n">
        <v>0</v>
      </c>
      <c r="CI479" s="103" t="inlineStr">
        <is>
          <t>CLEAR</t>
        </is>
      </c>
    </row>
    <row r="480" ht="17" customHeight="1">
      <c r="A480" s="107" t="inlineStr">
        <is>
          <t>LNT</t>
        </is>
      </c>
      <c r="B480" s="107" t="inlineStr">
        <is>
          <t>ALLIANT ENERGY CORP</t>
        </is>
      </c>
      <c r="C480" s="108" t="n">
        <v>-426000000</v>
      </c>
      <c r="D480" s="109" t="n">
        <v>0.23</v>
      </c>
      <c r="E480" s="109" t="n">
        <v>0.15</v>
      </c>
      <c r="F480" s="109" t="n">
        <v>0.19</v>
      </c>
      <c r="G480" s="109" t="n">
        <v>0.03</v>
      </c>
      <c r="H480" s="109" t="n">
        <v>0.03</v>
      </c>
      <c r="I480" s="109" t="n">
        <v>0.11</v>
      </c>
      <c r="J480" s="109" t="n">
        <v>0.04</v>
      </c>
      <c r="K480" s="109" t="n">
        <v>0.86</v>
      </c>
      <c r="L480" s="109" t="n">
        <v>0.85</v>
      </c>
      <c r="M480" s="109" t="n">
        <v>0.17</v>
      </c>
      <c r="N480" s="108" t="n">
        <v>0.18</v>
      </c>
      <c r="O480" s="108" t="n">
        <v>0.8</v>
      </c>
      <c r="P480" s="108" t="n">
        <v>0.44</v>
      </c>
      <c r="Q480" s="108" t="n">
        <v>0.8</v>
      </c>
      <c r="R480" s="108" t="n">
        <v>0.26</v>
      </c>
      <c r="S480" s="108" t="n">
        <v>1</v>
      </c>
      <c r="T480" s="108" t="n">
        <v>1</v>
      </c>
      <c r="U480" s="108" t="n">
        <v>0.67</v>
      </c>
      <c r="V480" s="108" t="n">
        <v>0.6</v>
      </c>
      <c r="W480" s="108" t="n">
        <v>1.44</v>
      </c>
      <c r="X480" s="109" t="n">
        <v>-0.07000000000000001</v>
      </c>
      <c r="Y480" s="109" t="n">
        <v>0</v>
      </c>
      <c r="Z480" s="109" t="n">
        <v>2</v>
      </c>
      <c r="AA480" s="109" t="n">
        <v>0.1</v>
      </c>
      <c r="AB480" s="109" t="n">
        <v>0.17</v>
      </c>
      <c r="AC480" s="108" t="n">
        <v>-0.01</v>
      </c>
      <c r="AD480" s="108" t="n">
        <v>-0.01</v>
      </c>
      <c r="AE480" s="108" t="n">
        <v>-0.02</v>
      </c>
      <c r="AF480" s="108" t="n">
        <v>0.17</v>
      </c>
      <c r="AG480" s="108" t="n">
        <v>0.04</v>
      </c>
      <c r="AH480" s="108" t="n">
        <v>0.29</v>
      </c>
      <c r="AI480" s="108" t="n">
        <v>0.17</v>
      </c>
      <c r="AJ480" s="108" t="n">
        <v>0.7</v>
      </c>
      <c r="AK480" s="112" t="inlineStr">
        <is>
          <t>Distress</t>
        </is>
      </c>
      <c r="AL480" s="108" t="n">
        <v>-0.02</v>
      </c>
      <c r="AM480" s="108" t="n">
        <v>0.17</v>
      </c>
      <c r="AN480" s="108" t="n">
        <v>0.04</v>
      </c>
      <c r="AO480" s="108" t="n">
        <v>0.29</v>
      </c>
      <c r="AP480" s="108" t="n">
        <v>0.17</v>
      </c>
      <c r="AQ480" s="107" t="n">
        <v>0.5600000000000001</v>
      </c>
      <c r="AR480" s="107" t="inlineStr">
        <is>
          <t>Distress</t>
        </is>
      </c>
      <c r="AS480" s="108" t="n">
        <v>-0.02</v>
      </c>
      <c r="AT480" s="108" t="n">
        <v>0.17</v>
      </c>
      <c r="AU480" s="108" t="n">
        <v>0.04</v>
      </c>
      <c r="AV480" s="108" t="n">
        <v>0.29</v>
      </c>
      <c r="AW480" s="107" t="n">
        <v>1.03</v>
      </c>
      <c r="AX480" s="107" t="inlineStr">
        <is>
          <t>Distress</t>
        </is>
      </c>
      <c r="AY480" s="108" t="n">
        <v>-0.02</v>
      </c>
      <c r="AZ480" s="108" t="n">
        <v>0.04</v>
      </c>
      <c r="BA480" s="108" t="n">
        <v>0.31</v>
      </c>
      <c r="BB480" s="108" t="n">
        <v>0.17</v>
      </c>
      <c r="BC480" s="107" t="n">
        <v>0.38</v>
      </c>
      <c r="BD480" s="107" t="inlineStr">
        <is>
          <t>Distress</t>
        </is>
      </c>
      <c r="BE480" s="108" t="n">
        <v>0.03</v>
      </c>
      <c r="BF480" s="108" t="n">
        <v>1</v>
      </c>
      <c r="BG480" s="108" t="n">
        <v>0.8</v>
      </c>
      <c r="BH480" s="108" t="n">
        <v>1.2</v>
      </c>
      <c r="BI480" s="107" t="n">
        <v>0.77</v>
      </c>
      <c r="BJ480" s="107" t="inlineStr">
        <is>
          <t>Distress</t>
        </is>
      </c>
      <c r="BK480" s="107" t="n">
        <v>1</v>
      </c>
      <c r="BL480" s="107" t="n">
        <v>1</v>
      </c>
      <c r="BM480" s="107" t="n">
        <v>1</v>
      </c>
      <c r="BN480" s="107" t="n">
        <v>1</v>
      </c>
      <c r="BO480" s="107" t="n">
        <v>1</v>
      </c>
      <c r="BP480" s="107" t="n">
        <v>1</v>
      </c>
      <c r="BQ480" s="107" t="n">
        <v>0</v>
      </c>
      <c r="BR480" s="107" t="n">
        <v>1</v>
      </c>
      <c r="BS480" s="107" t="n">
        <v>0</v>
      </c>
      <c r="BT480" s="107" t="n">
        <v>7</v>
      </c>
      <c r="BU480" s="107" t="inlineStr">
        <is>
          <t>Strong</t>
        </is>
      </c>
      <c r="BV480" s="108" t="n">
        <v>1.02</v>
      </c>
      <c r="BW480" s="108" t="n">
        <v>0.99</v>
      </c>
      <c r="BX480" s="108" t="n">
        <v>0.95</v>
      </c>
      <c r="BY480" s="108" t="n">
        <v>1.1</v>
      </c>
      <c r="BZ480" s="108" t="n">
        <v>1.08</v>
      </c>
      <c r="CA480" s="111" t="inlineStr">
        <is>
          <t>N/A</t>
        </is>
      </c>
      <c r="CB480" s="108" t="n">
        <v>1</v>
      </c>
      <c r="CC480" s="108" t="n">
        <v>-0.01</v>
      </c>
      <c r="CD480" s="107" t="n">
        <v>-2.29</v>
      </c>
      <c r="CE480" s="107" t="inlineStr">
        <is>
          <t>Lower Risk</t>
        </is>
      </c>
      <c r="CF480" s="108" t="n">
        <v>2.58</v>
      </c>
      <c r="CG480" s="108" t="n">
        <v>52.67</v>
      </c>
      <c r="CH480" s="107" t="n">
        <v>0</v>
      </c>
      <c r="CI480" s="107" t="inlineStr">
        <is>
          <t>CLEAR</t>
        </is>
      </c>
    </row>
    <row r="481" ht="17" customHeight="1">
      <c r="A481" s="103" t="inlineStr">
        <is>
          <t>D</t>
        </is>
      </c>
      <c r="B481" s="103" t="inlineStr">
        <is>
          <t>DOMINION ENERGY, INC</t>
        </is>
      </c>
      <c r="C481" s="104" t="n">
        <v>-2373000000</v>
      </c>
      <c r="D481" s="105" t="n">
        <v>0.27</v>
      </c>
      <c r="E481" s="105" t="n">
        <v>0.22</v>
      </c>
      <c r="F481" s="105" t="n">
        <v>0.18</v>
      </c>
      <c r="G481" s="105" t="n">
        <v>0.03</v>
      </c>
      <c r="H481" s="105" t="n">
        <v>0.01</v>
      </c>
      <c r="I481" s="105" t="n">
        <v>0.1</v>
      </c>
      <c r="J481" s="105" t="n">
        <v>0.04</v>
      </c>
      <c r="K481" s="113" t="inlineStr">
        <is>
          <t>N/A</t>
        </is>
      </c>
      <c r="L481" s="113" t="inlineStr">
        <is>
          <t>N/A</t>
        </is>
      </c>
      <c r="M481" s="105" t="n">
        <v>0.14</v>
      </c>
      <c r="N481" s="104" t="n">
        <v>0.04</v>
      </c>
      <c r="O481" s="104" t="n">
        <v>0.77</v>
      </c>
      <c r="P481" s="104" t="n">
        <v>0.71</v>
      </c>
      <c r="Q481" s="104" t="n">
        <v>0.77</v>
      </c>
      <c r="R481" s="104" t="n">
        <v>0.02</v>
      </c>
      <c r="S481" s="104" t="n">
        <v>0.71</v>
      </c>
      <c r="T481" s="104" t="n">
        <v>0.71</v>
      </c>
      <c r="U481" s="104" t="n">
        <v>1.68</v>
      </c>
      <c r="V481" s="104" t="n">
        <v>1.67</v>
      </c>
      <c r="W481" s="104" t="n">
        <v>1.79</v>
      </c>
      <c r="X481" s="105" t="n">
        <v>0.02</v>
      </c>
      <c r="Y481" s="105" t="n">
        <v>0</v>
      </c>
      <c r="Z481" s="113" t="inlineStr">
        <is>
          <t>N/A</t>
        </is>
      </c>
      <c r="AA481" s="105" t="n">
        <v>3.03</v>
      </c>
      <c r="AB481" s="105" t="n">
        <v>4.29</v>
      </c>
      <c r="AC481" s="104" t="n">
        <v>-0.02</v>
      </c>
      <c r="AD481" s="104" t="n">
        <v>-0.02</v>
      </c>
      <c r="AE481" s="104" t="n">
        <v>-0.02</v>
      </c>
      <c r="AF481" s="104" t="n">
        <v>0.02</v>
      </c>
      <c r="AG481" s="104" t="n">
        <v>0.04</v>
      </c>
      <c r="AH481" s="104" t="n">
        <v>0.35</v>
      </c>
      <c r="AI481" s="104" t="n">
        <v>0.14</v>
      </c>
      <c r="AJ481" s="104" t="n">
        <v>0.48</v>
      </c>
      <c r="AK481" s="112" t="inlineStr">
        <is>
          <t>Distress</t>
        </is>
      </c>
      <c r="AL481" s="104" t="n">
        <v>-0.02</v>
      </c>
      <c r="AM481" s="104" t="n">
        <v>0.02</v>
      </c>
      <c r="AN481" s="104" t="n">
        <v>0.04</v>
      </c>
      <c r="AO481" s="104" t="n">
        <v>0.35</v>
      </c>
      <c r="AP481" s="104" t="n">
        <v>0.14</v>
      </c>
      <c r="AQ481" s="103" t="n">
        <v>0.41</v>
      </c>
      <c r="AR481" s="103" t="inlineStr">
        <is>
          <t>Distress</t>
        </is>
      </c>
      <c r="AS481" s="104" t="n">
        <v>-0.02</v>
      </c>
      <c r="AT481" s="104" t="n">
        <v>0.02</v>
      </c>
      <c r="AU481" s="104" t="n">
        <v>0.04</v>
      </c>
      <c r="AV481" s="104" t="n">
        <v>0.35</v>
      </c>
      <c r="AW481" s="103" t="n">
        <v>0.5600000000000001</v>
      </c>
      <c r="AX481" s="103" t="inlineStr">
        <is>
          <t>Distress</t>
        </is>
      </c>
      <c r="AY481" s="104" t="n">
        <v>-0.02</v>
      </c>
      <c r="AZ481" s="104" t="n">
        <v>0.04</v>
      </c>
      <c r="BA481" s="104" t="n">
        <v>0.35</v>
      </c>
      <c r="BB481" s="104" t="n">
        <v>0.14</v>
      </c>
      <c r="BC481" s="103" t="n">
        <v>0.38</v>
      </c>
      <c r="BD481" s="103" t="inlineStr">
        <is>
          <t>Distress</t>
        </is>
      </c>
      <c r="BE481" s="104" t="n">
        <v>0.03</v>
      </c>
      <c r="BF481" s="104" t="n">
        <v>0.71</v>
      </c>
      <c r="BG481" s="104" t="n">
        <v>0.77</v>
      </c>
      <c r="BH481" s="104" t="n">
        <v>-0.41</v>
      </c>
      <c r="BI481" s="103" t="n">
        <v>0.4</v>
      </c>
      <c r="BJ481" s="103" t="inlineStr">
        <is>
          <t>Healthy</t>
        </is>
      </c>
      <c r="BK481" s="103" t="n">
        <v>1</v>
      </c>
      <c r="BL481" s="103" t="n">
        <v>1</v>
      </c>
      <c r="BM481" s="103" t="n">
        <v>1</v>
      </c>
      <c r="BN481" s="103" t="n">
        <v>1</v>
      </c>
      <c r="BO481" s="103" t="n">
        <v>0</v>
      </c>
      <c r="BP481" s="103" t="n">
        <v>1</v>
      </c>
      <c r="BQ481" s="103" t="n">
        <v>0</v>
      </c>
      <c r="BR481" s="103" t="n">
        <v>0</v>
      </c>
      <c r="BS481" s="103" t="n">
        <v>1</v>
      </c>
      <c r="BT481" s="103" t="n">
        <v>6</v>
      </c>
      <c r="BU481" s="103" t="inlineStr">
        <is>
          <t>Mixed</t>
        </is>
      </c>
      <c r="BV481" s="104" t="n">
        <v>0.29</v>
      </c>
      <c r="BW481" s="113" t="inlineStr">
        <is>
          <t>N/A</t>
        </is>
      </c>
      <c r="BX481" s="104" t="n">
        <v>0.95</v>
      </c>
      <c r="BY481" s="104" t="n">
        <v>4.03</v>
      </c>
      <c r="BZ481" s="104" t="n">
        <v>1.12</v>
      </c>
      <c r="CA481" s="113" t="inlineStr">
        <is>
          <t>N/A</t>
        </is>
      </c>
      <c r="CB481" s="104" t="n">
        <v>1.01</v>
      </c>
      <c r="CC481" s="104" t="n">
        <v>-0.02</v>
      </c>
      <c r="CD481" s="113" t="inlineStr">
        <is>
          <t>N/A</t>
        </is>
      </c>
      <c r="CE481" s="113" t="inlineStr">
        <is>
          <t>N/A</t>
        </is>
      </c>
      <c r="CF481" s="104" t="n">
        <v>7.14</v>
      </c>
      <c r="CG481" s="104" t="n">
        <v>48.27</v>
      </c>
      <c r="CH481" s="103" t="n">
        <v>0</v>
      </c>
      <c r="CI481" s="103" t="inlineStr">
        <is>
          <t>CLEAR</t>
        </is>
      </c>
    </row>
    <row r="482" ht="17" customHeight="1">
      <c r="A482" s="107" t="inlineStr">
        <is>
          <t>GM</t>
        </is>
      </c>
      <c r="B482" s="107" t="inlineStr">
        <is>
          <t>GENERAL MOTORS COMPANY</t>
        </is>
      </c>
      <c r="C482" s="108" t="n">
        <v>15425000000</v>
      </c>
      <c r="D482" s="109" t="n">
        <v>0.02</v>
      </c>
      <c r="E482" s="109" t="n">
        <v>0.02</v>
      </c>
      <c r="F482" s="109" t="n">
        <v>0.01</v>
      </c>
      <c r="G482" s="109" t="n">
        <v>0.01</v>
      </c>
      <c r="H482" s="109" t="n">
        <v>0.02</v>
      </c>
      <c r="I482" s="109" t="n">
        <v>0.04</v>
      </c>
      <c r="J482" s="109" t="n">
        <v>0.02</v>
      </c>
      <c r="K482" s="109" t="n">
        <v>-0.02</v>
      </c>
      <c r="L482" s="109" t="n">
        <v>0.02</v>
      </c>
      <c r="M482" s="109" t="n">
        <v>0.66</v>
      </c>
      <c r="N482" s="108" t="n">
        <v>0.67</v>
      </c>
      <c r="O482" s="108" t="n">
        <v>1.17</v>
      </c>
      <c r="P482" s="108" t="n">
        <v>1.13</v>
      </c>
      <c r="Q482" s="108" t="n">
        <v>1.01</v>
      </c>
      <c r="R482" s="108" t="n">
        <v>0.22</v>
      </c>
      <c r="S482" s="108" t="n">
        <v>0.78</v>
      </c>
      <c r="T482" s="108" t="n">
        <v>0.77</v>
      </c>
      <c r="U482" s="111" t="inlineStr">
        <is>
          <t>N/A</t>
        </is>
      </c>
      <c r="V482" s="111" t="inlineStr">
        <is>
          <t>N/A</t>
        </is>
      </c>
      <c r="W482" s="108" t="n">
        <v>9.960000000000001</v>
      </c>
      <c r="X482" s="109" t="n">
        <v>0.09</v>
      </c>
      <c r="Y482" s="109" t="n">
        <v>0.04</v>
      </c>
      <c r="Z482" s="109" t="n">
        <v>0.71</v>
      </c>
      <c r="AA482" s="109" t="n">
        <v>-0.01</v>
      </c>
      <c r="AB482" s="109" t="n">
        <v>-0.55</v>
      </c>
      <c r="AC482" s="108" t="n">
        <v>-0.09</v>
      </c>
      <c r="AD482" s="108" t="n">
        <v>-0.09</v>
      </c>
      <c r="AE482" s="108" t="n">
        <v>0.05</v>
      </c>
      <c r="AF482" s="108" t="n">
        <v>0.18</v>
      </c>
      <c r="AG482" s="108" t="n">
        <v>0.01</v>
      </c>
      <c r="AH482" s="108" t="n">
        <v>0.28</v>
      </c>
      <c r="AI482" s="108" t="n">
        <v>0.66</v>
      </c>
      <c r="AJ482" s="108" t="n">
        <v>1.18</v>
      </c>
      <c r="AK482" s="112" t="inlineStr">
        <is>
          <t>Distress</t>
        </is>
      </c>
      <c r="AL482" s="108" t="n">
        <v>0.05</v>
      </c>
      <c r="AM482" s="108" t="n">
        <v>0.18</v>
      </c>
      <c r="AN482" s="108" t="n">
        <v>0.01</v>
      </c>
      <c r="AO482" s="108" t="n">
        <v>0.28</v>
      </c>
      <c r="AP482" s="108" t="n">
        <v>0.66</v>
      </c>
      <c r="AQ482" s="107" t="n">
        <v>1</v>
      </c>
      <c r="AR482" s="107" t="inlineStr">
        <is>
          <t>Distress</t>
        </is>
      </c>
      <c r="AS482" s="108" t="n">
        <v>0.05</v>
      </c>
      <c r="AT482" s="108" t="n">
        <v>0.18</v>
      </c>
      <c r="AU482" s="108" t="n">
        <v>0.01</v>
      </c>
      <c r="AV482" s="108" t="n">
        <v>0.28</v>
      </c>
      <c r="AW482" s="107" t="n">
        <v>1.32</v>
      </c>
      <c r="AX482" s="107" t="inlineStr">
        <is>
          <t>Grey</t>
        </is>
      </c>
      <c r="AY482" s="108" t="n">
        <v>0.05</v>
      </c>
      <c r="AZ482" s="108" t="n">
        <v>0.01</v>
      </c>
      <c r="BA482" s="108" t="n">
        <v>0.03</v>
      </c>
      <c r="BB482" s="108" t="n">
        <v>0.66</v>
      </c>
      <c r="BC482" s="107" t="n">
        <v>0.37</v>
      </c>
      <c r="BD482" s="107" t="inlineStr">
        <is>
          <t>Distress</t>
        </is>
      </c>
      <c r="BE482" s="108" t="n">
        <v>0.01</v>
      </c>
      <c r="BF482" s="108" t="n">
        <v>0.78</v>
      </c>
      <c r="BG482" s="108" t="n">
        <v>1.17</v>
      </c>
      <c r="BH482" s="108" t="n">
        <v>0.03</v>
      </c>
      <c r="BI482" s="107" t="n">
        <v>0.51</v>
      </c>
      <c r="BJ482" s="107" t="inlineStr">
        <is>
          <t>Distress</t>
        </is>
      </c>
      <c r="BK482" s="107" t="n">
        <v>1</v>
      </c>
      <c r="BL482" s="107" t="n">
        <v>1</v>
      </c>
      <c r="BM482" s="107" t="n">
        <v>0</v>
      </c>
      <c r="BN482" s="107" t="n">
        <v>1</v>
      </c>
      <c r="BO482" s="107" t="n">
        <v>0</v>
      </c>
      <c r="BP482" s="107" t="n">
        <v>1</v>
      </c>
      <c r="BQ482" s="107" t="n">
        <v>1</v>
      </c>
      <c r="BR482" s="107" t="n">
        <v>0</v>
      </c>
      <c r="BS482" s="107" t="n">
        <v>0</v>
      </c>
      <c r="BT482" s="107" t="n">
        <v>5</v>
      </c>
      <c r="BU482" s="107" t="inlineStr">
        <is>
          <t>Mixed</t>
        </is>
      </c>
      <c r="BV482" s="108" t="n">
        <v>1.03</v>
      </c>
      <c r="BW482" s="108" t="n">
        <v>-1.36</v>
      </c>
      <c r="BX482" s="108" t="n">
        <v>0.97</v>
      </c>
      <c r="BY482" s="108" t="n">
        <v>0.99</v>
      </c>
      <c r="BZ482" s="108" t="n">
        <v>1.04</v>
      </c>
      <c r="CA482" s="108" t="n">
        <v>1.23</v>
      </c>
      <c r="CB482" s="108" t="n">
        <v>1.01</v>
      </c>
      <c r="CC482" s="108" t="n">
        <v>-0.09</v>
      </c>
      <c r="CD482" s="107" t="n">
        <v>-4.16</v>
      </c>
      <c r="CE482" s="107" t="inlineStr">
        <is>
          <t>Lower Risk</t>
        </is>
      </c>
      <c r="CF482" s="111" t="inlineStr">
        <is>
          <t>N/A</t>
        </is>
      </c>
      <c r="CG482" s="108" t="n">
        <v>46.45</v>
      </c>
      <c r="CH482" s="107" t="n">
        <v>0</v>
      </c>
      <c r="CI482" s="107" t="inlineStr">
        <is>
          <t>CLEAR</t>
        </is>
      </c>
    </row>
    <row r="483" ht="17" customHeight="1">
      <c r="A483" s="103" t="inlineStr">
        <is>
          <t>AMBA</t>
        </is>
      </c>
      <c r="B483" s="103" t="inlineStr">
        <is>
          <t>AMBARELLA, INC.</t>
        </is>
      </c>
      <c r="C483" s="104" t="n">
        <v>232331000</v>
      </c>
      <c r="D483" s="105" t="n">
        <v>-0.28</v>
      </c>
      <c r="E483" s="105" t="n">
        <v>-0.25</v>
      </c>
      <c r="F483" s="105" t="n">
        <v>-0.26</v>
      </c>
      <c r="G483" s="105" t="n">
        <v>-0.09</v>
      </c>
      <c r="H483" s="105" t="n">
        <v>-0.17</v>
      </c>
      <c r="I483" s="105" t="n">
        <v>-0.13</v>
      </c>
      <c r="J483" s="105" t="n">
        <v>-0.13</v>
      </c>
      <c r="K483" s="105" t="n">
        <v>0.78</v>
      </c>
      <c r="L483" s="105" t="n">
        <v>0.5600000000000001</v>
      </c>
      <c r="M483" s="105" t="n">
        <v>0.37</v>
      </c>
      <c r="N483" s="104" t="n">
        <v>0.45</v>
      </c>
      <c r="O483" s="104" t="n">
        <v>2.31</v>
      </c>
      <c r="P483" s="104" t="n">
        <v>2.65</v>
      </c>
      <c r="Q483" s="104" t="n">
        <v>2.01</v>
      </c>
      <c r="R483" s="104" t="n">
        <v>1.07</v>
      </c>
      <c r="S483" s="104" t="n">
        <v>0.26</v>
      </c>
      <c r="T483" s="104" t="n">
        <v>0.19</v>
      </c>
      <c r="U483" s="113" t="inlineStr">
        <is>
          <t>N/A</t>
        </is>
      </c>
      <c r="V483" s="113" t="inlineStr">
        <is>
          <t>N/A</t>
        </is>
      </c>
      <c r="W483" s="104" t="n">
        <v>-0.97</v>
      </c>
      <c r="X483" s="105" t="n">
        <v>0.24</v>
      </c>
      <c r="Y483" s="105" t="n">
        <v>0.8100000000000001</v>
      </c>
      <c r="Z483" s="113" t="inlineStr">
        <is>
          <t>N/A</t>
        </is>
      </c>
      <c r="AA483" s="105" t="n">
        <v>-0.05</v>
      </c>
      <c r="AB483" s="105" t="n">
        <v>-0.35</v>
      </c>
      <c r="AC483" s="104" t="n">
        <v>-0.19</v>
      </c>
      <c r="AD483" s="104" t="n">
        <v>-0.19</v>
      </c>
      <c r="AE483" s="104" t="n">
        <v>0.29</v>
      </c>
      <c r="AF483" s="104" t="n">
        <v>-0.41</v>
      </c>
      <c r="AG483" s="104" t="n">
        <v>-0.1</v>
      </c>
      <c r="AH483" s="104" t="n">
        <v>2.92</v>
      </c>
      <c r="AI483" s="104" t="n">
        <v>0.37</v>
      </c>
      <c r="AJ483" s="104" t="n">
        <v>1.55</v>
      </c>
      <c r="AK483" s="112" t="inlineStr">
        <is>
          <t>Distress</t>
        </is>
      </c>
      <c r="AL483" s="104" t="n">
        <v>0.29</v>
      </c>
      <c r="AM483" s="104" t="n">
        <v>-0.41</v>
      </c>
      <c r="AN483" s="104" t="n">
        <v>-0.1</v>
      </c>
      <c r="AO483" s="104" t="n">
        <v>2.92</v>
      </c>
      <c r="AP483" s="104" t="n">
        <v>0.37</v>
      </c>
      <c r="AQ483" s="103" t="n">
        <v>1.13</v>
      </c>
      <c r="AR483" s="103" t="inlineStr">
        <is>
          <t>Distress</t>
        </is>
      </c>
      <c r="AS483" s="104" t="n">
        <v>0.29</v>
      </c>
      <c r="AT483" s="104" t="n">
        <v>-0.41</v>
      </c>
      <c r="AU483" s="104" t="n">
        <v>-0.1</v>
      </c>
      <c r="AV483" s="104" t="n">
        <v>2.92</v>
      </c>
      <c r="AW483" s="103" t="n">
        <v>2.94</v>
      </c>
      <c r="AX483" s="103" t="inlineStr">
        <is>
          <t>Safe</t>
        </is>
      </c>
      <c r="AY483" s="104" t="n">
        <v>0.29</v>
      </c>
      <c r="AZ483" s="104" t="n">
        <v>-0.1</v>
      </c>
      <c r="BA483" s="104" t="n">
        <v>-0.41</v>
      </c>
      <c r="BB483" s="104" t="n">
        <v>0.37</v>
      </c>
      <c r="BC483" s="103" t="n">
        <v>-0.14</v>
      </c>
      <c r="BD483" s="103" t="inlineStr">
        <is>
          <t>Distress</t>
        </is>
      </c>
      <c r="BE483" s="104" t="n">
        <v>-0.09</v>
      </c>
      <c r="BF483" s="104" t="n">
        <v>0.26</v>
      </c>
      <c r="BG483" s="104" t="n">
        <v>2.31</v>
      </c>
      <c r="BH483" s="104" t="n">
        <v>-2.45</v>
      </c>
      <c r="BI483" s="103" t="n">
        <v>0.08</v>
      </c>
      <c r="BJ483" s="103" t="inlineStr">
        <is>
          <t>Healthy</t>
        </is>
      </c>
      <c r="BK483" s="103" t="n">
        <v>0</v>
      </c>
      <c r="BL483" s="103" t="n">
        <v>1</v>
      </c>
      <c r="BM483" s="103" t="n">
        <v>1</v>
      </c>
      <c r="BN483" s="103" t="n">
        <v>1</v>
      </c>
      <c r="BO483" s="103" t="n">
        <v>0</v>
      </c>
      <c r="BP483" s="103" t="n">
        <v>0</v>
      </c>
      <c r="BQ483" s="103" t="n">
        <v>0</v>
      </c>
      <c r="BR483" s="103" t="n">
        <v>1</v>
      </c>
      <c r="BS483" s="103" t="n">
        <v>0</v>
      </c>
      <c r="BT483" s="103" t="n">
        <v>4</v>
      </c>
      <c r="BU483" s="103" t="inlineStr">
        <is>
          <t>Mixed</t>
        </is>
      </c>
      <c r="BV483" s="104" t="n">
        <v>1.38</v>
      </c>
      <c r="BW483" s="104" t="n">
        <v>0.71</v>
      </c>
      <c r="BX483" s="104" t="n">
        <v>0.9</v>
      </c>
      <c r="BY483" s="104" t="n">
        <v>0.95</v>
      </c>
      <c r="BZ483" s="104" t="n">
        <v>1.01</v>
      </c>
      <c r="CA483" s="104" t="n">
        <v>1.09</v>
      </c>
      <c r="CB483" s="104" t="n">
        <v>1.38</v>
      </c>
      <c r="CC483" s="104" t="n">
        <v>-0.19</v>
      </c>
      <c r="CD483" s="103" t="n">
        <v>-3.38</v>
      </c>
      <c r="CE483" s="103" t="inlineStr">
        <is>
          <t>Lower Risk</t>
        </is>
      </c>
      <c r="CF483" s="113" t="inlineStr">
        <is>
          <t>N/A</t>
        </is>
      </c>
      <c r="CG483" s="104" t="n">
        <v>45.5</v>
      </c>
      <c r="CH483" s="106" t="n">
        <v>40</v>
      </c>
      <c r="CI483" s="103" t="inlineStr">
        <is>
          <t>WATCH</t>
        </is>
      </c>
    </row>
    <row r="484" ht="17" customHeight="1">
      <c r="A484" s="107" t="inlineStr">
        <is>
          <t>PCAR</t>
        </is>
      </c>
      <c r="B484" s="107" t="inlineStr">
        <is>
          <t>PACCAR Inc</t>
        </is>
      </c>
      <c r="C484" s="111" t="inlineStr">
        <is>
          <t>N/A</t>
        </is>
      </c>
      <c r="D484" s="109" t="n">
        <v>0.11</v>
      </c>
      <c r="E484" s="109" t="n">
        <v>0.11</v>
      </c>
      <c r="F484" s="109" t="n">
        <v>0.08</v>
      </c>
      <c r="G484" s="109" t="n">
        <v>0.05</v>
      </c>
      <c r="H484" s="109" t="n">
        <v>0.1</v>
      </c>
      <c r="I484" s="109" t="n">
        <v>0.12</v>
      </c>
      <c r="J484" s="111" t="inlineStr">
        <is>
          <t>N/A</t>
        </is>
      </c>
      <c r="K484" s="109" t="n">
        <v>0.2</v>
      </c>
      <c r="L484" s="109" t="n">
        <v>0.23</v>
      </c>
      <c r="M484" s="109" t="n">
        <v>0.64</v>
      </c>
      <c r="N484" s="108" t="n">
        <v>0.78</v>
      </c>
      <c r="O484" s="111" t="inlineStr">
        <is>
          <t>N/A</t>
        </is>
      </c>
      <c r="P484" s="111" t="inlineStr">
        <is>
          <t>N/A</t>
        </is>
      </c>
      <c r="Q484" s="111" t="inlineStr">
        <is>
          <t>N/A</t>
        </is>
      </c>
      <c r="R484" s="111" t="inlineStr">
        <is>
          <t>N/A</t>
        </is>
      </c>
      <c r="S484" s="108" t="n">
        <v>1</v>
      </c>
      <c r="T484" s="108" t="n">
        <v>1</v>
      </c>
      <c r="U484" s="111" t="inlineStr">
        <is>
          <t>N/A</t>
        </is>
      </c>
      <c r="V484" s="111" t="inlineStr">
        <is>
          <t>N/A</t>
        </is>
      </c>
      <c r="W484" s="108" t="n">
        <v>1.86</v>
      </c>
      <c r="X484" s="109" t="n">
        <v>0.13</v>
      </c>
      <c r="Y484" s="109" t="n">
        <v>0.02</v>
      </c>
      <c r="Z484" s="109" t="n">
        <v>15.74</v>
      </c>
      <c r="AA484" s="109" t="n">
        <v>-0.16</v>
      </c>
      <c r="AB484" s="109" t="n">
        <v>-0.43</v>
      </c>
      <c r="AC484" s="108" t="n">
        <v>-0.05</v>
      </c>
      <c r="AD484" s="108" t="n">
        <v>-0.05</v>
      </c>
      <c r="AE484" s="111" t="inlineStr">
        <is>
          <t>N/A</t>
        </is>
      </c>
      <c r="AF484" s="108" t="n">
        <v>0.42</v>
      </c>
      <c r="AG484" s="108" t="n">
        <v>0.07000000000000001</v>
      </c>
      <c r="AH484" s="108" t="n">
        <v>0.43</v>
      </c>
      <c r="AI484" s="108" t="n">
        <v>0.64</v>
      </c>
      <c r="AJ484" s="111" t="inlineStr">
        <is>
          <t>N/A</t>
        </is>
      </c>
      <c r="AK484" s="111" t="inlineStr">
        <is>
          <t>N/A</t>
        </is>
      </c>
      <c r="AL484" s="111" t="inlineStr">
        <is>
          <t>N/A</t>
        </is>
      </c>
      <c r="AM484" s="108" t="n">
        <v>0.42</v>
      </c>
      <c r="AN484" s="108" t="n">
        <v>0.07000000000000001</v>
      </c>
      <c r="AO484" s="108" t="n">
        <v>0.43</v>
      </c>
      <c r="AP484" s="108" t="n">
        <v>0.64</v>
      </c>
      <c r="AQ484" s="111" t="inlineStr">
        <is>
          <t>N/A</t>
        </is>
      </c>
      <c r="AR484" s="111" t="inlineStr">
        <is>
          <t>N/A</t>
        </is>
      </c>
      <c r="AS484" s="111" t="inlineStr">
        <is>
          <t>N/A</t>
        </is>
      </c>
      <c r="AT484" s="108" t="n">
        <v>0.42</v>
      </c>
      <c r="AU484" s="108" t="n">
        <v>0.07000000000000001</v>
      </c>
      <c r="AV484" s="108" t="n">
        <v>0.43</v>
      </c>
      <c r="AW484" s="111" t="inlineStr">
        <is>
          <t>N/A</t>
        </is>
      </c>
      <c r="AX484" s="111" t="inlineStr">
        <is>
          <t>N/A</t>
        </is>
      </c>
      <c r="AY484" s="111" t="inlineStr">
        <is>
          <t>N/A</t>
        </is>
      </c>
      <c r="AZ484" s="108" t="n">
        <v>0.07000000000000001</v>
      </c>
      <c r="BA484" s="111" t="inlineStr">
        <is>
          <t>N/A</t>
        </is>
      </c>
      <c r="BB484" s="108" t="n">
        <v>0.64</v>
      </c>
      <c r="BC484" s="111" t="inlineStr">
        <is>
          <t>N/A</t>
        </is>
      </c>
      <c r="BD484" s="111" t="inlineStr">
        <is>
          <t>N/A</t>
        </is>
      </c>
      <c r="BE484" s="108" t="n">
        <v>0.05</v>
      </c>
      <c r="BF484" s="108" t="n">
        <v>1</v>
      </c>
      <c r="BG484" s="111" t="inlineStr">
        <is>
          <t>N/A</t>
        </is>
      </c>
      <c r="BH484" s="111" t="inlineStr">
        <is>
          <t>N/A</t>
        </is>
      </c>
      <c r="BI484" s="111" t="inlineStr">
        <is>
          <t>N/A</t>
        </is>
      </c>
      <c r="BJ484" s="111" t="inlineStr">
        <is>
          <t>N/A</t>
        </is>
      </c>
      <c r="BK484" s="107" t="n">
        <v>1</v>
      </c>
      <c r="BL484" s="107" t="n">
        <v>1</v>
      </c>
      <c r="BM484" s="107" t="n">
        <v>0</v>
      </c>
      <c r="BN484" s="107" t="n">
        <v>1</v>
      </c>
      <c r="BO484" s="107" t="n">
        <v>0</v>
      </c>
      <c r="BP484" s="107" t="n">
        <v>0</v>
      </c>
      <c r="BQ484" s="107" t="n">
        <v>0</v>
      </c>
      <c r="BR484" s="107" t="n">
        <v>0</v>
      </c>
      <c r="BS484" s="107" t="n">
        <v>0</v>
      </c>
      <c r="BT484" s="107" t="n">
        <v>3</v>
      </c>
      <c r="BU484" s="107" t="inlineStr">
        <is>
          <t>Weak</t>
        </is>
      </c>
      <c r="BV484" s="111" t="inlineStr">
        <is>
          <t>N/A</t>
        </is>
      </c>
      <c r="BW484" s="108" t="n">
        <v>1.12</v>
      </c>
      <c r="BX484" s="108" t="n">
        <v>0.99</v>
      </c>
      <c r="BY484" s="108" t="n">
        <v>0.84</v>
      </c>
      <c r="BZ484" s="108" t="n">
        <v>1.21</v>
      </c>
      <c r="CA484" s="108" t="n">
        <v>1.17</v>
      </c>
      <c r="CB484" s="108" t="n">
        <v>1</v>
      </c>
      <c r="CC484" s="108" t="n">
        <v>-0.05</v>
      </c>
      <c r="CD484" s="111" t="inlineStr">
        <is>
          <t>N/A</t>
        </is>
      </c>
      <c r="CE484" s="111" t="inlineStr">
        <is>
          <t>N/A</t>
        </is>
      </c>
      <c r="CF484" s="111" t="inlineStr">
        <is>
          <t>N/A</t>
        </is>
      </c>
      <c r="CG484" s="108" t="n">
        <v>35.17</v>
      </c>
      <c r="CH484" s="107" t="n">
        <v>0</v>
      </c>
      <c r="CI484" s="107" t="inlineStr">
        <is>
          <t>CLEAR</t>
        </is>
      </c>
    </row>
    <row r="485" ht="17" customHeight="1">
      <c r="A485" s="103" t="inlineStr">
        <is>
          <t>DVN</t>
        </is>
      </c>
      <c r="B485" s="103" t="inlineStr">
        <is>
          <t>DEVON ENERGY CORP/DE</t>
        </is>
      </c>
      <c r="C485" s="104" t="n">
        <v>-80000000</v>
      </c>
      <c r="D485" s="105" t="n">
        <v>-0.17</v>
      </c>
      <c r="E485" s="105" t="n">
        <v>0.2</v>
      </c>
      <c r="F485" s="105" t="n">
        <v>0.15</v>
      </c>
      <c r="G485" s="105" t="n">
        <v>0.08</v>
      </c>
      <c r="H485" s="105" t="n">
        <v>0.09</v>
      </c>
      <c r="I485" s="105" t="n">
        <v>0.17</v>
      </c>
      <c r="J485" s="105" t="n">
        <v>-0.11</v>
      </c>
      <c r="K485" s="105" t="n">
        <v>0.84</v>
      </c>
      <c r="L485" s="105" t="n">
        <v>0.73</v>
      </c>
      <c r="M485" s="105" t="n">
        <v>0.54</v>
      </c>
      <c r="N485" s="104" t="n">
        <v>0.52</v>
      </c>
      <c r="O485" s="104" t="n">
        <v>0.98</v>
      </c>
      <c r="P485" s="104" t="n">
        <v>1.04</v>
      </c>
      <c r="Q485" s="104" t="n">
        <v>0.9</v>
      </c>
      <c r="R485" s="104" t="n">
        <v>0.34</v>
      </c>
      <c r="S485" s="104" t="n">
        <v>1</v>
      </c>
      <c r="T485" s="104" t="n">
        <v>1</v>
      </c>
      <c r="U485" s="104" t="n">
        <v>0.6</v>
      </c>
      <c r="V485" s="104" t="n">
        <v>0.52</v>
      </c>
      <c r="W485" s="104" t="n">
        <v>2.54</v>
      </c>
      <c r="X485" s="105" t="n">
        <v>0.39</v>
      </c>
      <c r="Y485" s="105" t="n">
        <v>0</v>
      </c>
      <c r="Z485" s="105" t="n">
        <v>-5.4</v>
      </c>
      <c r="AA485" s="105" t="n">
        <v>0.08</v>
      </c>
      <c r="AB485" s="105" t="n">
        <v>-0.09</v>
      </c>
      <c r="AC485" s="104" t="n">
        <v>-0.13</v>
      </c>
      <c r="AD485" s="104" t="n">
        <v>-0.13</v>
      </c>
      <c r="AE485" s="104" t="n">
        <v>-0</v>
      </c>
      <c r="AF485" s="104" t="n">
        <v>0.32</v>
      </c>
      <c r="AG485" s="104" t="n">
        <v>-0.09</v>
      </c>
      <c r="AH485" s="104" t="n">
        <v>0.49</v>
      </c>
      <c r="AI485" s="104" t="n">
        <v>0.54</v>
      </c>
      <c r="AJ485" s="104" t="n">
        <v>0.99</v>
      </c>
      <c r="AK485" s="112" t="inlineStr">
        <is>
          <t>Distress</t>
        </is>
      </c>
      <c r="AL485" s="104" t="n">
        <v>-0</v>
      </c>
      <c r="AM485" s="104" t="n">
        <v>0.32</v>
      </c>
      <c r="AN485" s="104" t="n">
        <v>-0.09</v>
      </c>
      <c r="AO485" s="104" t="n">
        <v>0.49</v>
      </c>
      <c r="AP485" s="104" t="n">
        <v>0.54</v>
      </c>
      <c r="AQ485" s="103" t="n">
        <v>0.74</v>
      </c>
      <c r="AR485" s="103" t="inlineStr">
        <is>
          <t>Distress</t>
        </is>
      </c>
      <c r="AS485" s="104" t="n">
        <v>-0</v>
      </c>
      <c r="AT485" s="104" t="n">
        <v>0.32</v>
      </c>
      <c r="AU485" s="104" t="n">
        <v>-0.09</v>
      </c>
      <c r="AV485" s="104" t="n">
        <v>0.49</v>
      </c>
      <c r="AW485" s="103" t="n">
        <v>0.9399999999999999</v>
      </c>
      <c r="AX485" s="103" t="inlineStr">
        <is>
          <t>Distress</t>
        </is>
      </c>
      <c r="AY485" s="104" t="n">
        <v>-0</v>
      </c>
      <c r="AZ485" s="104" t="n">
        <v>-0.09</v>
      </c>
      <c r="BA485" s="104" t="n">
        <v>0.85</v>
      </c>
      <c r="BB485" s="104" t="n">
        <v>0.54</v>
      </c>
      <c r="BC485" s="103" t="n">
        <v>0.49</v>
      </c>
      <c r="BD485" s="103" t="inlineStr">
        <is>
          <t>Distress</t>
        </is>
      </c>
      <c r="BE485" s="104" t="n">
        <v>0.08</v>
      </c>
      <c r="BF485" s="104" t="n">
        <v>1</v>
      </c>
      <c r="BG485" s="104" t="n">
        <v>0.98</v>
      </c>
      <c r="BH485" s="104" t="n">
        <v>0.97</v>
      </c>
      <c r="BI485" s="103" t="n">
        <v>0.73</v>
      </c>
      <c r="BJ485" s="103" t="inlineStr">
        <is>
          <t>Distress</t>
        </is>
      </c>
      <c r="BK485" s="103" t="n">
        <v>1</v>
      </c>
      <c r="BL485" s="103" t="n">
        <v>1</v>
      </c>
      <c r="BM485" s="103" t="n">
        <v>0</v>
      </c>
      <c r="BN485" s="103" t="n">
        <v>1</v>
      </c>
      <c r="BO485" s="103" t="n">
        <v>1</v>
      </c>
      <c r="BP485" s="103" t="n">
        <v>0</v>
      </c>
      <c r="BQ485" s="103" t="n">
        <v>1</v>
      </c>
      <c r="BR485" s="103" t="n">
        <v>1</v>
      </c>
      <c r="BS485" s="103" t="n">
        <v>1</v>
      </c>
      <c r="BT485" s="103" t="n">
        <v>7</v>
      </c>
      <c r="BU485" s="103" t="inlineStr">
        <is>
          <t>Strong</t>
        </is>
      </c>
      <c r="BV485" s="104" t="n">
        <v>0.84</v>
      </c>
      <c r="BW485" s="104" t="n">
        <v>0.87</v>
      </c>
      <c r="BX485" s="104" t="n">
        <v>1.02</v>
      </c>
      <c r="BY485" s="104" t="n">
        <v>1.08</v>
      </c>
      <c r="BZ485" s="104" t="n">
        <v>0.93</v>
      </c>
      <c r="CA485" s="104" t="n">
        <v>0.91</v>
      </c>
      <c r="CB485" s="104" t="n">
        <v>1</v>
      </c>
      <c r="CC485" s="104" t="n">
        <v>-0.13</v>
      </c>
      <c r="CD485" s="103" t="n">
        <v>-3.21</v>
      </c>
      <c r="CE485" s="103" t="inlineStr">
        <is>
          <t>Lower Risk</t>
        </is>
      </c>
      <c r="CF485" s="104" t="n">
        <v>11.43</v>
      </c>
      <c r="CG485" s="104" t="n">
        <v>53.3</v>
      </c>
      <c r="CH485" s="103" t="n">
        <v>20</v>
      </c>
      <c r="CI485" s="103" t="inlineStr">
        <is>
          <t>CLEAR</t>
        </is>
      </c>
    </row>
    <row r="486" ht="17" customHeight="1">
      <c r="A486" s="107" t="inlineStr">
        <is>
          <t>SM</t>
        </is>
      </c>
      <c r="B486" s="107" t="inlineStr">
        <is>
          <t>SM ENERGY CO</t>
        </is>
      </c>
      <c r="C486" s="108" t="n">
        <v>-358000000</v>
      </c>
      <c r="D486" s="109" t="n">
        <v>0.32</v>
      </c>
      <c r="E486" s="109" t="n">
        <v>0.26</v>
      </c>
      <c r="F486" s="109" t="n">
        <v>0.21</v>
      </c>
      <c r="G486" s="109" t="n">
        <v>0.07000000000000001</v>
      </c>
      <c r="H486" s="109" t="n">
        <v>0.09</v>
      </c>
      <c r="I486" s="109" t="n">
        <v>0.13</v>
      </c>
      <c r="J486" s="109" t="n">
        <v>0.12</v>
      </c>
      <c r="K486" s="109" t="n">
        <v>0.84</v>
      </c>
      <c r="L486" s="109" t="n">
        <v>0.82</v>
      </c>
      <c r="M486" s="109" t="n">
        <v>0.34</v>
      </c>
      <c r="N486" s="108" t="n">
        <v>0.31</v>
      </c>
      <c r="O486" s="108" t="n">
        <v>0.6899999999999999</v>
      </c>
      <c r="P486" s="108" t="n">
        <v>0.55</v>
      </c>
      <c r="Q486" s="108" t="n">
        <v>0.6899999999999999</v>
      </c>
      <c r="R486" s="108" t="n">
        <v>0.31</v>
      </c>
      <c r="S486" s="108" t="n">
        <v>1</v>
      </c>
      <c r="T486" s="108" t="n">
        <v>1</v>
      </c>
      <c r="U486" s="108" t="n">
        <v>0.43</v>
      </c>
      <c r="V486" s="108" t="n">
        <v>0.36</v>
      </c>
      <c r="W486" s="108" t="n">
        <v>3.1</v>
      </c>
      <c r="X486" s="111" t="inlineStr">
        <is>
          <t>N/A</t>
        </is>
      </c>
      <c r="Y486" s="109" t="n">
        <v>0</v>
      </c>
      <c r="Z486" s="109" t="n">
        <v>5.78</v>
      </c>
      <c r="AA486" s="109" t="n">
        <v>0.17</v>
      </c>
      <c r="AB486" s="109" t="n">
        <v>-0.16</v>
      </c>
      <c r="AC486" s="108" t="n">
        <v>-0.15</v>
      </c>
      <c r="AD486" s="108" t="n">
        <v>-0.15</v>
      </c>
      <c r="AE486" s="108" t="n">
        <v>-0.04</v>
      </c>
      <c r="AF486" s="108" t="n">
        <v>0.36</v>
      </c>
      <c r="AG486" s="108" t="n">
        <v>0.11</v>
      </c>
      <c r="AH486" s="108" t="n">
        <v>0.52</v>
      </c>
      <c r="AI486" s="108" t="n">
        <v>0.34</v>
      </c>
      <c r="AJ486" s="108" t="n">
        <v>1.46</v>
      </c>
      <c r="AK486" s="112" t="inlineStr">
        <is>
          <t>Distress</t>
        </is>
      </c>
      <c r="AL486" s="108" t="n">
        <v>-0.04</v>
      </c>
      <c r="AM486" s="108" t="n">
        <v>0.36</v>
      </c>
      <c r="AN486" s="108" t="n">
        <v>0.11</v>
      </c>
      <c r="AO486" s="108" t="n">
        <v>0.52</v>
      </c>
      <c r="AP486" s="108" t="n">
        <v>0.34</v>
      </c>
      <c r="AQ486" s="107" t="n">
        <v>1.17</v>
      </c>
      <c r="AR486" s="107" t="inlineStr">
        <is>
          <t>Distress</t>
        </is>
      </c>
      <c r="AS486" s="108" t="n">
        <v>-0.04</v>
      </c>
      <c r="AT486" s="108" t="n">
        <v>0.36</v>
      </c>
      <c r="AU486" s="108" t="n">
        <v>0.11</v>
      </c>
      <c r="AV486" s="108" t="n">
        <v>0.52</v>
      </c>
      <c r="AW486" s="107" t="n">
        <v>2.18</v>
      </c>
      <c r="AX486" s="107" t="inlineStr">
        <is>
          <t>Grey</t>
        </is>
      </c>
      <c r="AY486" s="108" t="n">
        <v>-0.04</v>
      </c>
      <c r="AZ486" s="108" t="n">
        <v>0.11</v>
      </c>
      <c r="BA486" s="108" t="n">
        <v>0.71</v>
      </c>
      <c r="BB486" s="108" t="n">
        <v>0.34</v>
      </c>
      <c r="BC486" s="107" t="n">
        <v>0.9</v>
      </c>
      <c r="BD486" s="107" t="inlineStr">
        <is>
          <t>Healthy</t>
        </is>
      </c>
      <c r="BE486" s="108" t="n">
        <v>0.07000000000000001</v>
      </c>
      <c r="BF486" s="108" t="n">
        <v>1</v>
      </c>
      <c r="BG486" s="108" t="n">
        <v>0.6899999999999999</v>
      </c>
      <c r="BH486" s="108" t="n">
        <v>1.03</v>
      </c>
      <c r="BI486" s="107" t="n">
        <v>0.74</v>
      </c>
      <c r="BJ486" s="107" t="inlineStr">
        <is>
          <t>Distress</t>
        </is>
      </c>
      <c r="BK486" s="107" t="n">
        <v>1</v>
      </c>
      <c r="BL486" s="107" t="n">
        <v>1</v>
      </c>
      <c r="BM486" s="107" t="n">
        <v>0</v>
      </c>
      <c r="BN486" s="107" t="n">
        <v>1</v>
      </c>
      <c r="BO486" s="107" t="n">
        <v>1</v>
      </c>
      <c r="BP486" s="107" t="n">
        <v>1</v>
      </c>
      <c r="BQ486" s="107" t="n">
        <v>0</v>
      </c>
      <c r="BR486" s="107" t="n">
        <v>1</v>
      </c>
      <c r="BS486" s="107" t="n">
        <v>1</v>
      </c>
      <c r="BT486" s="107" t="n">
        <v>7</v>
      </c>
      <c r="BU486" s="107" t="inlineStr">
        <is>
          <t>Strong</t>
        </is>
      </c>
      <c r="BV486" s="108" t="n">
        <v>0.78</v>
      </c>
      <c r="BW486" s="108" t="n">
        <v>0.97</v>
      </c>
      <c r="BX486" s="108" t="n">
        <v>1.49</v>
      </c>
      <c r="BY486" s="108" t="n">
        <v>1.17</v>
      </c>
      <c r="BZ486" s="108" t="n">
        <v>0.89</v>
      </c>
      <c r="CA486" s="108" t="n">
        <v>0.99</v>
      </c>
      <c r="CB486" s="108" t="n">
        <v>1</v>
      </c>
      <c r="CC486" s="108" t="n">
        <v>-0.15</v>
      </c>
      <c r="CD486" s="107" t="n">
        <v>-3.04</v>
      </c>
      <c r="CE486" s="107" t="inlineStr">
        <is>
          <t>Lower Risk</t>
        </is>
      </c>
      <c r="CF486" s="108" t="n">
        <v>1.66</v>
      </c>
      <c r="CG486" s="108" t="n">
        <v>54.81</v>
      </c>
      <c r="CH486" s="107" t="n">
        <v>20</v>
      </c>
      <c r="CI486" s="107" t="inlineStr">
        <is>
          <t>CLEAR</t>
        </is>
      </c>
    </row>
    <row r="487" ht="17" customHeight="1">
      <c r="A487" s="103" t="inlineStr">
        <is>
          <t>EG</t>
        </is>
      </c>
      <c r="B487" s="103" t="inlineStr">
        <is>
          <t>EVEREST GROUP, LTD.</t>
        </is>
      </c>
      <c r="C487" s="113" t="inlineStr">
        <is>
          <t>N/A</t>
        </is>
      </c>
      <c r="D487" s="105" t="n">
        <v>0.11</v>
      </c>
      <c r="E487" s="105" t="n">
        <v>0.11</v>
      </c>
      <c r="F487" s="105" t="n">
        <v>0.09</v>
      </c>
      <c r="G487" s="105" t="n">
        <v>0.03</v>
      </c>
      <c r="H487" s="105" t="n">
        <v>0.02</v>
      </c>
      <c r="I487" s="105" t="n">
        <v>0.1</v>
      </c>
      <c r="J487" s="113" t="inlineStr">
        <is>
          <t>N/A</t>
        </is>
      </c>
      <c r="K487" s="105" t="n">
        <v>0.11</v>
      </c>
      <c r="L487" s="105" t="n">
        <v>0.09</v>
      </c>
      <c r="M487" s="105" t="n">
        <v>0.28</v>
      </c>
      <c r="N487" s="104" t="n">
        <v>0.31</v>
      </c>
      <c r="O487" s="113" t="inlineStr">
        <is>
          <t>N/A</t>
        </is>
      </c>
      <c r="P487" s="113" t="inlineStr">
        <is>
          <t>N/A</t>
        </is>
      </c>
      <c r="Q487" s="113" t="inlineStr">
        <is>
          <t>N/A</t>
        </is>
      </c>
      <c r="R487" s="113" t="inlineStr">
        <is>
          <t>N/A</t>
        </is>
      </c>
      <c r="S487" s="104" t="n">
        <v>0.75</v>
      </c>
      <c r="T487" s="104" t="n">
        <v>0.75</v>
      </c>
      <c r="U487" s="104" t="n">
        <v>0.02</v>
      </c>
      <c r="V487" s="104" t="n">
        <v>-0.02</v>
      </c>
      <c r="W487" s="104" t="n">
        <v>1.93</v>
      </c>
      <c r="X487" s="113" t="inlineStr">
        <is>
          <t>N/A</t>
        </is>
      </c>
      <c r="Y487" s="105" t="n">
        <v>0</v>
      </c>
      <c r="Z487" s="105" t="n">
        <v>59.54</v>
      </c>
      <c r="AA487" s="105" t="n">
        <v>0.01</v>
      </c>
      <c r="AB487" s="105" t="n">
        <v>0.16</v>
      </c>
      <c r="AC487" s="104" t="n">
        <v>-0.02</v>
      </c>
      <c r="AD487" s="104" t="n">
        <v>-0.02</v>
      </c>
      <c r="AE487" s="113" t="inlineStr">
        <is>
          <t>N/A</t>
        </is>
      </c>
      <c r="AF487" s="104" t="n">
        <v>0.26</v>
      </c>
      <c r="AG487" s="104" t="n">
        <v>0.03</v>
      </c>
      <c r="AH487" s="104" t="n">
        <v>0.33</v>
      </c>
      <c r="AI487" s="104" t="n">
        <v>0.28</v>
      </c>
      <c r="AJ487" s="113" t="inlineStr">
        <is>
          <t>N/A</t>
        </is>
      </c>
      <c r="AK487" s="113" t="inlineStr">
        <is>
          <t>N/A</t>
        </is>
      </c>
      <c r="AL487" s="113" t="inlineStr">
        <is>
          <t>N/A</t>
        </is>
      </c>
      <c r="AM487" s="104" t="n">
        <v>0.26</v>
      </c>
      <c r="AN487" s="104" t="n">
        <v>0.03</v>
      </c>
      <c r="AO487" s="104" t="n">
        <v>0.33</v>
      </c>
      <c r="AP487" s="104" t="n">
        <v>0.28</v>
      </c>
      <c r="AQ487" s="113" t="inlineStr">
        <is>
          <t>N/A</t>
        </is>
      </c>
      <c r="AR487" s="113" t="inlineStr">
        <is>
          <t>N/A</t>
        </is>
      </c>
      <c r="AS487" s="113" t="inlineStr">
        <is>
          <t>N/A</t>
        </is>
      </c>
      <c r="AT487" s="104" t="n">
        <v>0.26</v>
      </c>
      <c r="AU487" s="104" t="n">
        <v>0.03</v>
      </c>
      <c r="AV487" s="104" t="n">
        <v>0.33</v>
      </c>
      <c r="AW487" s="113" t="inlineStr">
        <is>
          <t>N/A</t>
        </is>
      </c>
      <c r="AX487" s="113" t="inlineStr">
        <is>
          <t>N/A</t>
        </is>
      </c>
      <c r="AY487" s="113" t="inlineStr">
        <is>
          <t>N/A</t>
        </is>
      </c>
      <c r="AZ487" s="104" t="n">
        <v>0.03</v>
      </c>
      <c r="BA487" s="113" t="inlineStr">
        <is>
          <t>N/A</t>
        </is>
      </c>
      <c r="BB487" s="104" t="n">
        <v>0.28</v>
      </c>
      <c r="BC487" s="113" t="inlineStr">
        <is>
          <t>N/A</t>
        </is>
      </c>
      <c r="BD487" s="113" t="inlineStr">
        <is>
          <t>N/A</t>
        </is>
      </c>
      <c r="BE487" s="104" t="n">
        <v>0.03</v>
      </c>
      <c r="BF487" s="104" t="n">
        <v>0.75</v>
      </c>
      <c r="BG487" s="113" t="inlineStr">
        <is>
          <t>N/A</t>
        </is>
      </c>
      <c r="BH487" s="113" t="inlineStr">
        <is>
          <t>N/A</t>
        </is>
      </c>
      <c r="BI487" s="113" t="inlineStr">
        <is>
          <t>N/A</t>
        </is>
      </c>
      <c r="BJ487" s="113" t="inlineStr">
        <is>
          <t>N/A</t>
        </is>
      </c>
      <c r="BK487" s="103" t="n">
        <v>1</v>
      </c>
      <c r="BL487" s="103" t="n">
        <v>1</v>
      </c>
      <c r="BM487" s="103" t="n">
        <v>1</v>
      </c>
      <c r="BN487" s="103" t="n">
        <v>1</v>
      </c>
      <c r="BO487" s="103" t="n">
        <v>1</v>
      </c>
      <c r="BP487" s="103" t="n">
        <v>0</v>
      </c>
      <c r="BQ487" s="103" t="n">
        <v>0</v>
      </c>
      <c r="BR487" s="103" t="n">
        <v>1</v>
      </c>
      <c r="BS487" s="103" t="n">
        <v>0</v>
      </c>
      <c r="BT487" s="103" t="n">
        <v>6</v>
      </c>
      <c r="BU487" s="103" t="inlineStr">
        <is>
          <t>Mixed</t>
        </is>
      </c>
      <c r="BV487" s="113" t="inlineStr">
        <is>
          <t>N/A</t>
        </is>
      </c>
      <c r="BW487" s="104" t="n">
        <v>0.8</v>
      </c>
      <c r="BX487" s="113" t="inlineStr">
        <is>
          <t>N/A</t>
        </is>
      </c>
      <c r="BY487" s="104" t="n">
        <v>1.01</v>
      </c>
      <c r="BZ487" s="113" t="inlineStr">
        <is>
          <t>N/A</t>
        </is>
      </c>
      <c r="CA487" s="104" t="n">
        <v>0.98</v>
      </c>
      <c r="CB487" s="104" t="n">
        <v>1</v>
      </c>
      <c r="CC487" s="104" t="n">
        <v>-0.02</v>
      </c>
      <c r="CD487" s="113" t="inlineStr">
        <is>
          <t>N/A</t>
        </is>
      </c>
      <c r="CE487" s="113" t="inlineStr">
        <is>
          <t>N/A</t>
        </is>
      </c>
      <c r="CF487" s="104" t="n">
        <v>-0.19</v>
      </c>
      <c r="CG487" s="104" t="n">
        <v>46.83</v>
      </c>
      <c r="CH487" s="103" t="n">
        <v>0</v>
      </c>
      <c r="CI487" s="103" t="inlineStr">
        <is>
          <t>CLEAR</t>
        </is>
      </c>
    </row>
    <row r="488" ht="17" customHeight="1">
      <c r="A488" s="107" t="inlineStr">
        <is>
          <t>EOG</t>
        </is>
      </c>
      <c r="B488" s="107" t="inlineStr">
        <is>
          <t>EOG RESOURCES, INC.</t>
        </is>
      </c>
      <c r="C488" s="108" t="n">
        <v>2965000000</v>
      </c>
      <c r="D488" s="109" t="n">
        <v>0.28</v>
      </c>
      <c r="E488" s="109" t="n">
        <v>0.28</v>
      </c>
      <c r="F488" s="109" t="n">
        <v>0.22</v>
      </c>
      <c r="G488" s="109" t="n">
        <v>0.1</v>
      </c>
      <c r="H488" s="109" t="n">
        <v>0.14</v>
      </c>
      <c r="I488" s="109" t="n">
        <v>0.17</v>
      </c>
      <c r="J488" s="109" t="n">
        <v>0.14</v>
      </c>
      <c r="K488" s="111" t="inlineStr">
        <is>
          <t>N/A</t>
        </is>
      </c>
      <c r="L488" s="111" t="inlineStr">
        <is>
          <t>N/A</t>
        </is>
      </c>
      <c r="M488" s="109" t="n">
        <v>0.44</v>
      </c>
      <c r="N488" s="108" t="n">
        <v>0.5</v>
      </c>
      <c r="O488" s="108" t="n">
        <v>1.63</v>
      </c>
      <c r="P488" s="108" t="n">
        <v>2.1</v>
      </c>
      <c r="Q488" s="108" t="n">
        <v>1.42</v>
      </c>
      <c r="R488" s="108" t="n">
        <v>0.72</v>
      </c>
      <c r="S488" s="108" t="n">
        <v>1</v>
      </c>
      <c r="T488" s="108" t="n">
        <v>1</v>
      </c>
      <c r="U488" s="108" t="n">
        <v>0.27</v>
      </c>
      <c r="V488" s="108" t="n">
        <v>0.15</v>
      </c>
      <c r="W488" s="108" t="n">
        <v>2.02</v>
      </c>
      <c r="X488" s="111" t="inlineStr">
        <is>
          <t>N/A</t>
        </is>
      </c>
      <c r="Y488" s="109" t="n">
        <v>0</v>
      </c>
      <c r="Z488" s="109" t="n">
        <v>27.17</v>
      </c>
      <c r="AA488" s="109" t="n">
        <v>-0.04</v>
      </c>
      <c r="AB488" s="109" t="n">
        <v>-0.22</v>
      </c>
      <c r="AC488" s="108" t="n">
        <v>-0.1</v>
      </c>
      <c r="AD488" s="108" t="n">
        <v>-0.1</v>
      </c>
      <c r="AE488" s="108" t="n">
        <v>0.06</v>
      </c>
      <c r="AF488" s="108" t="n">
        <v>0.57</v>
      </c>
      <c r="AG488" s="108" t="n">
        <v>0.12</v>
      </c>
      <c r="AH488" s="108" t="n">
        <v>0.58</v>
      </c>
      <c r="AI488" s="108" t="n">
        <v>0.44</v>
      </c>
      <c r="AJ488" s="108" t="n">
        <v>2.06</v>
      </c>
      <c r="AK488" s="106" t="inlineStr">
        <is>
          <t>Grey</t>
        </is>
      </c>
      <c r="AL488" s="108" t="n">
        <v>0.06</v>
      </c>
      <c r="AM488" s="108" t="n">
        <v>0.57</v>
      </c>
      <c r="AN488" s="108" t="n">
        <v>0.12</v>
      </c>
      <c r="AO488" s="108" t="n">
        <v>0.58</v>
      </c>
      <c r="AP488" s="108" t="n">
        <v>0.44</v>
      </c>
      <c r="AQ488" s="107" t="n">
        <v>1.59</v>
      </c>
      <c r="AR488" s="107" t="inlineStr">
        <is>
          <t>Grey</t>
        </is>
      </c>
      <c r="AS488" s="108" t="n">
        <v>0.06</v>
      </c>
      <c r="AT488" s="108" t="n">
        <v>0.57</v>
      </c>
      <c r="AU488" s="108" t="n">
        <v>0.12</v>
      </c>
      <c r="AV488" s="108" t="n">
        <v>0.58</v>
      </c>
      <c r="AW488" s="107" t="n">
        <v>3.68</v>
      </c>
      <c r="AX488" s="107" t="inlineStr">
        <is>
          <t>Safe</t>
        </is>
      </c>
      <c r="AY488" s="108" t="n">
        <v>0.06</v>
      </c>
      <c r="AZ488" s="108" t="n">
        <v>0.12</v>
      </c>
      <c r="BA488" s="108" t="n">
        <v>1.36</v>
      </c>
      <c r="BB488" s="108" t="n">
        <v>0.44</v>
      </c>
      <c r="BC488" s="107" t="n">
        <v>1.51</v>
      </c>
      <c r="BD488" s="107" t="inlineStr">
        <is>
          <t>Healthy</t>
        </is>
      </c>
      <c r="BE488" s="108" t="n">
        <v>0.1</v>
      </c>
      <c r="BF488" s="108" t="n">
        <v>1</v>
      </c>
      <c r="BG488" s="108" t="n">
        <v>1.63</v>
      </c>
      <c r="BH488" s="108" t="n">
        <v>0.92</v>
      </c>
      <c r="BI488" s="107" t="n">
        <v>0.71</v>
      </c>
      <c r="BJ488" s="107" t="inlineStr">
        <is>
          <t>Distress</t>
        </is>
      </c>
      <c r="BK488" s="107" t="n">
        <v>1</v>
      </c>
      <c r="BL488" s="107" t="n">
        <v>1</v>
      </c>
      <c r="BM488" s="107" t="n">
        <v>0</v>
      </c>
      <c r="BN488" s="107" t="n">
        <v>1</v>
      </c>
      <c r="BO488" s="107" t="n">
        <v>0</v>
      </c>
      <c r="BP488" s="107" t="n">
        <v>0</v>
      </c>
      <c r="BQ488" s="107" t="n">
        <v>0</v>
      </c>
      <c r="BR488" s="107" t="n">
        <v>0</v>
      </c>
      <c r="BS488" s="107" t="n">
        <v>0</v>
      </c>
      <c r="BT488" s="107" t="n">
        <v>3</v>
      </c>
      <c r="BU488" s="107" t="inlineStr">
        <is>
          <t>Weak</t>
        </is>
      </c>
      <c r="BV488" s="108" t="n">
        <v>1.06</v>
      </c>
      <c r="BW488" s="111" t="inlineStr">
        <is>
          <t>N/A</t>
        </is>
      </c>
      <c r="BX488" s="108" t="n">
        <v>0.9399999999999999</v>
      </c>
      <c r="BY488" s="108" t="n">
        <v>0.96</v>
      </c>
      <c r="BZ488" s="108" t="n">
        <v>1.12</v>
      </c>
      <c r="CA488" s="108" t="n">
        <v>1.28</v>
      </c>
      <c r="CB488" s="108" t="n">
        <v>1</v>
      </c>
      <c r="CC488" s="108" t="n">
        <v>-0.1</v>
      </c>
      <c r="CD488" s="111" t="inlineStr">
        <is>
          <t>N/A</t>
        </is>
      </c>
      <c r="CE488" s="111" t="inlineStr">
        <is>
          <t>N/A</t>
        </is>
      </c>
      <c r="CF488" s="108" t="n">
        <v>0.42</v>
      </c>
      <c r="CG488" s="108" t="n">
        <v>40.73</v>
      </c>
      <c r="CH488" s="107" t="n">
        <v>0</v>
      </c>
      <c r="CI488" s="107" t="inlineStr">
        <is>
          <t>CLEAR</t>
        </is>
      </c>
    </row>
    <row r="489" ht="17" customHeight="1">
      <c r="A489" s="103" t="inlineStr">
        <is>
          <t>IQV</t>
        </is>
      </c>
      <c r="B489" s="103" t="inlineStr">
        <is>
          <t>IQVIA HOLDINGS INC.</t>
        </is>
      </c>
      <c r="C489" s="104" t="n">
        <v>-2089000000</v>
      </c>
      <c r="D489" s="105" t="n">
        <v>0.22</v>
      </c>
      <c r="E489" s="113" t="inlineStr">
        <is>
          <t>N/A</t>
        </is>
      </c>
      <c r="F489" s="105" t="n">
        <v>0.14</v>
      </c>
      <c r="G489" s="105" t="n">
        <v>0.05</v>
      </c>
      <c r="H489" s="105" t="n">
        <v>0.05</v>
      </c>
      <c r="I489" s="105" t="n">
        <v>0.21</v>
      </c>
      <c r="J489" s="105" t="n">
        <v>0.1</v>
      </c>
      <c r="K489" s="105" t="n">
        <v>0.53</v>
      </c>
      <c r="L489" s="105" t="n">
        <v>0.53</v>
      </c>
      <c r="M489" s="105" t="n">
        <v>0.33</v>
      </c>
      <c r="N489" s="104" t="n">
        <v>0.26</v>
      </c>
      <c r="O489" s="104" t="n">
        <v>0.75</v>
      </c>
      <c r="P489" s="104" t="n">
        <v>0.84</v>
      </c>
      <c r="Q489" s="104" t="n">
        <v>0.75</v>
      </c>
      <c r="R489" s="104" t="n">
        <v>0.24</v>
      </c>
      <c r="S489" s="104" t="n">
        <v>0.78</v>
      </c>
      <c r="T489" s="104" t="n">
        <v>0.77</v>
      </c>
      <c r="U489" s="104" t="n">
        <v>1.86</v>
      </c>
      <c r="V489" s="104" t="n">
        <v>1.56</v>
      </c>
      <c r="W489" s="104" t="n">
        <v>1.95</v>
      </c>
      <c r="X489" s="105" t="n">
        <v>0.21</v>
      </c>
      <c r="Y489" s="105" t="n">
        <v>0</v>
      </c>
      <c r="Z489" s="105" t="n">
        <v>2.99</v>
      </c>
      <c r="AA489" s="105" t="n">
        <v>0.42</v>
      </c>
      <c r="AB489" s="105" t="n">
        <v>-0.01</v>
      </c>
      <c r="AC489" s="104" t="n">
        <v>-0.04</v>
      </c>
      <c r="AD489" s="104" t="n">
        <v>-0.04</v>
      </c>
      <c r="AE489" s="104" t="n">
        <v>-0.07000000000000001</v>
      </c>
      <c r="AF489" s="104" t="n">
        <v>0.25</v>
      </c>
      <c r="AG489" s="104" t="n">
        <v>0.07000000000000001</v>
      </c>
      <c r="AH489" s="104" t="n">
        <v>0.28</v>
      </c>
      <c r="AI489" s="104" t="n">
        <v>0.33</v>
      </c>
      <c r="AJ489" s="104" t="n">
        <v>1</v>
      </c>
      <c r="AK489" s="112" t="inlineStr">
        <is>
          <t>Distress</t>
        </is>
      </c>
      <c r="AL489" s="104" t="n">
        <v>-0.07000000000000001</v>
      </c>
      <c r="AM489" s="104" t="n">
        <v>0.25</v>
      </c>
      <c r="AN489" s="104" t="n">
        <v>0.07000000000000001</v>
      </c>
      <c r="AO489" s="104" t="n">
        <v>0.28</v>
      </c>
      <c r="AP489" s="104" t="n">
        <v>0.33</v>
      </c>
      <c r="AQ489" s="103" t="n">
        <v>0.83</v>
      </c>
      <c r="AR489" s="103" t="inlineStr">
        <is>
          <t>Distress</t>
        </is>
      </c>
      <c r="AS489" s="104" t="n">
        <v>-0.07000000000000001</v>
      </c>
      <c r="AT489" s="104" t="n">
        <v>0.25</v>
      </c>
      <c r="AU489" s="104" t="n">
        <v>0.07000000000000001</v>
      </c>
      <c r="AV489" s="104" t="n">
        <v>0.28</v>
      </c>
      <c r="AW489" s="103" t="n">
        <v>1.13</v>
      </c>
      <c r="AX489" s="103" t="inlineStr">
        <is>
          <t>Grey</t>
        </is>
      </c>
      <c r="AY489" s="104" t="n">
        <v>-0.07000000000000001</v>
      </c>
      <c r="AZ489" s="104" t="n">
        <v>0.07000000000000001</v>
      </c>
      <c r="BA489" s="113" t="inlineStr">
        <is>
          <t>N/A</t>
        </is>
      </c>
      <c r="BB489" s="104" t="n">
        <v>0.33</v>
      </c>
      <c r="BC489" s="113" t="inlineStr">
        <is>
          <t>N/A</t>
        </is>
      </c>
      <c r="BD489" s="113" t="inlineStr">
        <is>
          <t>N/A</t>
        </is>
      </c>
      <c r="BE489" s="104" t="n">
        <v>0.05</v>
      </c>
      <c r="BF489" s="104" t="n">
        <v>0.78</v>
      </c>
      <c r="BG489" s="104" t="n">
        <v>0.75</v>
      </c>
      <c r="BH489" s="104" t="n">
        <v>-0.12</v>
      </c>
      <c r="BI489" s="103" t="n">
        <v>0.47</v>
      </c>
      <c r="BJ489" s="103" t="inlineStr">
        <is>
          <t>Healthy</t>
        </is>
      </c>
      <c r="BK489" s="103" t="n">
        <v>1</v>
      </c>
      <c r="BL489" s="103" t="n">
        <v>1</v>
      </c>
      <c r="BM489" s="103" t="n">
        <v>0</v>
      </c>
      <c r="BN489" s="103" t="n">
        <v>1</v>
      </c>
      <c r="BO489" s="103" t="n">
        <v>0</v>
      </c>
      <c r="BP489" s="103" t="n">
        <v>0</v>
      </c>
      <c r="BQ489" s="103" t="n">
        <v>1</v>
      </c>
      <c r="BR489" s="103" t="n">
        <v>0</v>
      </c>
      <c r="BS489" s="103" t="n">
        <v>1</v>
      </c>
      <c r="BT489" s="103" t="n">
        <v>5</v>
      </c>
      <c r="BU489" s="103" t="inlineStr">
        <is>
          <t>Mixed</t>
        </is>
      </c>
      <c r="BV489" s="104" t="n">
        <v>0.75</v>
      </c>
      <c r="BW489" s="104" t="n">
        <v>1.01</v>
      </c>
      <c r="BX489" s="104" t="n">
        <v>1.01</v>
      </c>
      <c r="BY489" s="104" t="n">
        <v>1.42</v>
      </c>
      <c r="BZ489" s="104" t="n">
        <v>0.99</v>
      </c>
      <c r="CA489" s="104" t="n">
        <v>0.71</v>
      </c>
      <c r="CB489" s="104" t="n">
        <v>1.01</v>
      </c>
      <c r="CC489" s="104" t="n">
        <v>-0.04</v>
      </c>
      <c r="CD489" s="103" t="n">
        <v>-2.48</v>
      </c>
      <c r="CE489" s="103" t="inlineStr">
        <is>
          <t>Lower Risk</t>
        </is>
      </c>
      <c r="CF489" s="104" t="n">
        <v>3.05</v>
      </c>
      <c r="CG489" s="104" t="n">
        <v>45.84</v>
      </c>
      <c r="CH489" s="103" t="n">
        <v>0</v>
      </c>
      <c r="CI489" s="103" t="inlineStr">
        <is>
          <t>CLEAR</t>
        </is>
      </c>
    </row>
    <row r="490" ht="17" customHeight="1">
      <c r="A490" s="107" t="inlineStr">
        <is>
          <t>USFD</t>
        </is>
      </c>
      <c r="B490" s="107" t="inlineStr">
        <is>
          <t>US FOODS HOLDING CORP.</t>
        </is>
      </c>
      <c r="C490" s="108" t="n">
        <v>573000000</v>
      </c>
      <c r="D490" s="109" t="n">
        <v>0.03</v>
      </c>
      <c r="E490" s="109" t="n">
        <v>0.02</v>
      </c>
      <c r="F490" s="109" t="n">
        <v>0.02</v>
      </c>
      <c r="G490" s="109" t="n">
        <v>0.05</v>
      </c>
      <c r="H490" s="109" t="n">
        <v>0.04</v>
      </c>
      <c r="I490" s="109" t="n">
        <v>0.16</v>
      </c>
      <c r="J490" s="109" t="n">
        <v>0.12</v>
      </c>
      <c r="K490" s="109" t="n">
        <v>0.17</v>
      </c>
      <c r="L490" s="109" t="n">
        <v>0.17</v>
      </c>
      <c r="M490" s="109" t="n">
        <v>2.83</v>
      </c>
      <c r="N490" s="108" t="n">
        <v>2.82</v>
      </c>
      <c r="O490" s="108" t="n">
        <v>1.16</v>
      </c>
      <c r="P490" s="108" t="n">
        <v>1.21</v>
      </c>
      <c r="Q490" s="108" t="n">
        <v>0.68</v>
      </c>
      <c r="R490" s="108" t="n">
        <v>0.01</v>
      </c>
      <c r="S490" s="108" t="n">
        <v>0.6899999999999999</v>
      </c>
      <c r="T490" s="108" t="n">
        <v>0.66</v>
      </c>
      <c r="U490" s="108" t="n">
        <v>0.9</v>
      </c>
      <c r="V490" s="108" t="n">
        <v>0.89</v>
      </c>
      <c r="W490" s="108" t="n">
        <v>2.03</v>
      </c>
      <c r="X490" s="109" t="n">
        <v>0.02</v>
      </c>
      <c r="Y490" s="109" t="n">
        <v>0</v>
      </c>
      <c r="Z490" s="109" t="n">
        <v>3.7</v>
      </c>
      <c r="AA490" s="109" t="n">
        <v>0.04</v>
      </c>
      <c r="AB490" s="109" t="n">
        <v>0.37</v>
      </c>
      <c r="AC490" s="108" t="n">
        <v>-0.05</v>
      </c>
      <c r="AD490" s="108" t="n">
        <v>-0.05</v>
      </c>
      <c r="AE490" s="108" t="n">
        <v>0.04</v>
      </c>
      <c r="AF490" s="108" t="n">
        <v>0.19</v>
      </c>
      <c r="AG490" s="108" t="n">
        <v>0.09</v>
      </c>
      <c r="AH490" s="108" t="n">
        <v>0.45</v>
      </c>
      <c r="AI490" s="108" t="n">
        <v>2.83</v>
      </c>
      <c r="AJ490" s="108" t="n">
        <v>3.7</v>
      </c>
      <c r="AK490" s="110" t="inlineStr">
        <is>
          <t>Safe</t>
        </is>
      </c>
      <c r="AL490" s="108" t="n">
        <v>0.04</v>
      </c>
      <c r="AM490" s="108" t="n">
        <v>0.19</v>
      </c>
      <c r="AN490" s="108" t="n">
        <v>0.09</v>
      </c>
      <c r="AO490" s="108" t="n">
        <v>0.45</v>
      </c>
      <c r="AP490" s="108" t="n">
        <v>2.83</v>
      </c>
      <c r="AQ490" s="107" t="n">
        <v>3.47</v>
      </c>
      <c r="AR490" s="107" t="inlineStr">
        <is>
          <t>Safe</t>
        </is>
      </c>
      <c r="AS490" s="108" t="n">
        <v>0.04</v>
      </c>
      <c r="AT490" s="108" t="n">
        <v>0.19</v>
      </c>
      <c r="AU490" s="108" t="n">
        <v>0.09</v>
      </c>
      <c r="AV490" s="108" t="n">
        <v>0.45</v>
      </c>
      <c r="AW490" s="107" t="n">
        <v>1.94</v>
      </c>
      <c r="AX490" s="107" t="inlineStr">
        <is>
          <t>Grey</t>
        </is>
      </c>
      <c r="AY490" s="108" t="n">
        <v>0.04</v>
      </c>
      <c r="AZ490" s="108" t="n">
        <v>0.09</v>
      </c>
      <c r="BA490" s="108" t="n">
        <v>0.25</v>
      </c>
      <c r="BB490" s="108" t="n">
        <v>2.83</v>
      </c>
      <c r="BC490" s="107" t="n">
        <v>1.6</v>
      </c>
      <c r="BD490" s="107" t="inlineStr">
        <is>
          <t>Healthy</t>
        </is>
      </c>
      <c r="BE490" s="108" t="n">
        <v>0.05</v>
      </c>
      <c r="BF490" s="108" t="n">
        <v>0.6899999999999999</v>
      </c>
      <c r="BG490" s="108" t="n">
        <v>1.16</v>
      </c>
      <c r="BH490" s="108" t="n">
        <v>-0.63</v>
      </c>
      <c r="BI490" s="107" t="n">
        <v>0.35</v>
      </c>
      <c r="BJ490" s="107" t="inlineStr">
        <is>
          <t>Healthy</t>
        </is>
      </c>
      <c r="BK490" s="107" t="n">
        <v>1</v>
      </c>
      <c r="BL490" s="107" t="n">
        <v>1</v>
      </c>
      <c r="BM490" s="107" t="n">
        <v>1</v>
      </c>
      <c r="BN490" s="107" t="n">
        <v>1</v>
      </c>
      <c r="BO490" s="107" t="n">
        <v>1</v>
      </c>
      <c r="BP490" s="107" t="n">
        <v>0</v>
      </c>
      <c r="BQ490" s="107" t="n">
        <v>1</v>
      </c>
      <c r="BR490" s="107" t="n">
        <v>1</v>
      </c>
      <c r="BS490" s="107" t="n">
        <v>1</v>
      </c>
      <c r="BT490" s="107" t="n">
        <v>8</v>
      </c>
      <c r="BU490" s="107" t="inlineStr">
        <is>
          <t>Strong</t>
        </is>
      </c>
      <c r="BV490" s="108" t="n">
        <v>0.99</v>
      </c>
      <c r="BW490" s="108" t="n">
        <v>0.99</v>
      </c>
      <c r="BX490" s="108" t="n">
        <v>0.97</v>
      </c>
      <c r="BY490" s="108" t="n">
        <v>1.04</v>
      </c>
      <c r="BZ490" s="108" t="n">
        <v>1.05</v>
      </c>
      <c r="CA490" s="108" t="n">
        <v>1</v>
      </c>
      <c r="CB490" s="108" t="n">
        <v>1.04</v>
      </c>
      <c r="CC490" s="108" t="n">
        <v>-0.05</v>
      </c>
      <c r="CD490" s="107" t="n">
        <v>-2.71</v>
      </c>
      <c r="CE490" s="107" t="inlineStr">
        <is>
          <t>Lower Risk</t>
        </is>
      </c>
      <c r="CF490" s="108" t="n">
        <v>2.39</v>
      </c>
      <c r="CG490" s="108" t="n">
        <v>66.75</v>
      </c>
      <c r="CH490" s="107" t="n">
        <v>0</v>
      </c>
      <c r="CI490" s="107" t="inlineStr">
        <is>
          <t>CLEAR</t>
        </is>
      </c>
    </row>
    <row r="491" ht="17" customHeight="1">
      <c r="A491" s="103" t="inlineStr">
        <is>
          <t>RMD</t>
        </is>
      </c>
      <c r="B491" s="103" t="inlineStr">
        <is>
          <t>ResMed Inc.</t>
        </is>
      </c>
      <c r="C491" s="104" t="n">
        <v>2486485000</v>
      </c>
      <c r="D491" s="105" t="n">
        <v>0.57</v>
      </c>
      <c r="E491" s="105" t="n">
        <v>0.57</v>
      </c>
      <c r="F491" s="105" t="n">
        <v>0.47</v>
      </c>
      <c r="G491" s="105" t="n">
        <v>0.17</v>
      </c>
      <c r="H491" s="105" t="n">
        <v>0.15</v>
      </c>
      <c r="I491" s="105" t="n">
        <v>0.23</v>
      </c>
      <c r="J491" s="105" t="n">
        <v>0.24</v>
      </c>
      <c r="K491" s="105" t="n">
        <v>1.03</v>
      </c>
      <c r="L491" s="105" t="n">
        <v>1.02</v>
      </c>
      <c r="M491" s="105" t="n">
        <v>0.36</v>
      </c>
      <c r="N491" s="104" t="n">
        <v>0.38</v>
      </c>
      <c r="O491" s="104" t="n">
        <v>3.44</v>
      </c>
      <c r="P491" s="104" t="n">
        <v>2.59</v>
      </c>
      <c r="Q491" s="104" t="n">
        <v>2.53</v>
      </c>
      <c r="R491" s="104" t="n">
        <v>1.19</v>
      </c>
      <c r="S491" s="104" t="n">
        <v>0.27</v>
      </c>
      <c r="T491" s="104" t="n">
        <v>0.29</v>
      </c>
      <c r="U491" s="104" t="n">
        <v>0.11</v>
      </c>
      <c r="V491" s="104" t="n">
        <v>-0.09</v>
      </c>
      <c r="W491" s="104" t="n">
        <v>1.25</v>
      </c>
      <c r="X491" s="105" t="n">
        <v>0.5600000000000001</v>
      </c>
      <c r="Y491" s="105" t="n">
        <v>0.11</v>
      </c>
      <c r="Z491" s="105" t="n">
        <v>70.26000000000001</v>
      </c>
      <c r="AA491" s="105" t="n">
        <v>0.13</v>
      </c>
      <c r="AB491" s="105" t="n">
        <v>0.37</v>
      </c>
      <c r="AC491" s="104" t="n">
        <v>-0.04</v>
      </c>
      <c r="AD491" s="104" t="n">
        <v>-0.04</v>
      </c>
      <c r="AE491" s="104" t="n">
        <v>0.3</v>
      </c>
      <c r="AF491" s="104" t="n">
        <v>0.74</v>
      </c>
      <c r="AG491" s="104" t="n">
        <v>0.21</v>
      </c>
      <c r="AH491" s="104" t="n">
        <v>2.7</v>
      </c>
      <c r="AI491" s="104" t="n">
        <v>0.36</v>
      </c>
      <c r="AJ491" s="104" t="n">
        <v>4.07</v>
      </c>
      <c r="AK491" s="110" t="inlineStr">
        <is>
          <t>Safe</t>
        </is>
      </c>
      <c r="AL491" s="104" t="n">
        <v>0.3</v>
      </c>
      <c r="AM491" s="104" t="n">
        <v>0.74</v>
      </c>
      <c r="AN491" s="104" t="n">
        <v>0.21</v>
      </c>
      <c r="AO491" s="104" t="n">
        <v>2.7</v>
      </c>
      <c r="AP491" s="104" t="n">
        <v>0.36</v>
      </c>
      <c r="AQ491" s="103" t="n">
        <v>2.99</v>
      </c>
      <c r="AR491" s="103" t="inlineStr">
        <is>
          <t>Safe</t>
        </is>
      </c>
      <c r="AS491" s="104" t="n">
        <v>0.3</v>
      </c>
      <c r="AT491" s="104" t="n">
        <v>0.74</v>
      </c>
      <c r="AU491" s="104" t="n">
        <v>0.21</v>
      </c>
      <c r="AV491" s="104" t="n">
        <v>2.7</v>
      </c>
      <c r="AW491" s="103" t="n">
        <v>8.65</v>
      </c>
      <c r="AX491" s="103" t="inlineStr">
        <is>
          <t>Safe</t>
        </is>
      </c>
      <c r="AY491" s="104" t="n">
        <v>0.3</v>
      </c>
      <c r="AZ491" s="104" t="n">
        <v>0.21</v>
      </c>
      <c r="BA491" s="104" t="n">
        <v>1.65</v>
      </c>
      <c r="BB491" s="104" t="n">
        <v>0.36</v>
      </c>
      <c r="BC491" s="103" t="n">
        <v>2.18</v>
      </c>
      <c r="BD491" s="103" t="inlineStr">
        <is>
          <t>Healthy</t>
        </is>
      </c>
      <c r="BE491" s="104" t="n">
        <v>0.17</v>
      </c>
      <c r="BF491" s="104" t="n">
        <v>0.27</v>
      </c>
      <c r="BG491" s="104" t="n">
        <v>3.44</v>
      </c>
      <c r="BH491" s="104" t="n">
        <v>-3.56</v>
      </c>
      <c r="BI491" s="103" t="n">
        <v>0.03</v>
      </c>
      <c r="BJ491" s="103" t="inlineStr">
        <is>
          <t>Healthy</t>
        </is>
      </c>
      <c r="BK491" s="103" t="n">
        <v>1</v>
      </c>
      <c r="BL491" s="103" t="n">
        <v>1</v>
      </c>
      <c r="BM491" s="103" t="n">
        <v>1</v>
      </c>
      <c r="BN491" s="103" t="n">
        <v>1</v>
      </c>
      <c r="BO491" s="103" t="n">
        <v>1</v>
      </c>
      <c r="BP491" s="103" t="n">
        <v>1</v>
      </c>
      <c r="BQ491" s="103" t="n">
        <v>1</v>
      </c>
      <c r="BR491" s="103" t="n">
        <v>1</v>
      </c>
      <c r="BS491" s="103" t="n">
        <v>0</v>
      </c>
      <c r="BT491" s="103" t="n">
        <v>8</v>
      </c>
      <c r="BU491" s="103" t="inlineStr">
        <is>
          <t>Strong</t>
        </is>
      </c>
      <c r="BV491" s="104" t="n">
        <v>0.99</v>
      </c>
      <c r="BW491" s="104" t="n">
        <v>0.99</v>
      </c>
      <c r="BX491" s="104" t="n">
        <v>0.87</v>
      </c>
      <c r="BY491" s="104" t="n">
        <v>1.13</v>
      </c>
      <c r="BZ491" s="104" t="n">
        <v>0.92</v>
      </c>
      <c r="CA491" s="104" t="n">
        <v>0.95</v>
      </c>
      <c r="CB491" s="104" t="n">
        <v>0.92</v>
      </c>
      <c r="CC491" s="104" t="n">
        <v>-0.04</v>
      </c>
      <c r="CD491" s="103" t="n">
        <v>-2.61</v>
      </c>
      <c r="CE491" s="103" t="inlineStr">
        <is>
          <t>Lower Risk</t>
        </is>
      </c>
      <c r="CF491" s="104" t="n">
        <v>-0.29</v>
      </c>
      <c r="CG491" s="104" t="n">
        <v>67.44</v>
      </c>
      <c r="CH491" s="103" t="n">
        <v>0</v>
      </c>
      <c r="CI491" s="103" t="inlineStr">
        <is>
          <t>CLEAR</t>
        </is>
      </c>
    </row>
    <row r="492" ht="17" customHeight="1">
      <c r="A492" s="107" t="inlineStr">
        <is>
          <t>EPR</t>
        </is>
      </c>
      <c r="B492" s="107" t="inlineStr">
        <is>
          <t>EPR PROPERTIES</t>
        </is>
      </c>
      <c r="C492" s="111" t="inlineStr">
        <is>
          <t>N/A</t>
        </is>
      </c>
      <c r="D492" s="109" t="n">
        <v>0.58</v>
      </c>
      <c r="E492" s="109" t="n">
        <v>0.39</v>
      </c>
      <c r="F492" s="109" t="n">
        <v>0.38</v>
      </c>
      <c r="G492" s="109" t="n">
        <v>0.05</v>
      </c>
      <c r="H492" s="109" t="n">
        <v>0.03</v>
      </c>
      <c r="I492" s="109" t="n">
        <v>0.13</v>
      </c>
      <c r="J492" s="111" t="inlineStr">
        <is>
          <t>N/A</t>
        </is>
      </c>
      <c r="K492" s="111" t="inlineStr">
        <is>
          <t>N/A</t>
        </is>
      </c>
      <c r="L492" s="111" t="inlineStr">
        <is>
          <t>N/A</t>
        </is>
      </c>
      <c r="M492" s="109" t="n">
        <v>0.13</v>
      </c>
      <c r="N492" s="108" t="n">
        <v>0.12</v>
      </c>
      <c r="O492" s="111" t="inlineStr">
        <is>
          <t>N/A</t>
        </is>
      </c>
      <c r="P492" s="111" t="inlineStr">
        <is>
          <t>N/A</t>
        </is>
      </c>
      <c r="Q492" s="111" t="inlineStr">
        <is>
          <t>N/A</t>
        </is>
      </c>
      <c r="R492" s="111" t="inlineStr">
        <is>
          <t>N/A</t>
        </is>
      </c>
      <c r="S492" s="108" t="n">
        <v>0.59</v>
      </c>
      <c r="T492" s="108" t="n">
        <v>0.59</v>
      </c>
      <c r="U492" s="108" t="n">
        <v>1.41</v>
      </c>
      <c r="V492" s="108" t="n">
        <v>1.37</v>
      </c>
      <c r="W492" s="108" t="n">
        <v>1.53</v>
      </c>
      <c r="X492" s="109" t="n">
        <v>0.22</v>
      </c>
      <c r="Y492" s="109" t="n">
        <v>0</v>
      </c>
      <c r="Z492" s="109" t="n">
        <v>3.11</v>
      </c>
      <c r="AA492" s="109" t="n">
        <v>0.03</v>
      </c>
      <c r="AB492" s="109" t="n">
        <v>0.88</v>
      </c>
      <c r="AC492" s="108" t="n">
        <v>-0.03</v>
      </c>
      <c r="AD492" s="108" t="n">
        <v>-0.03</v>
      </c>
      <c r="AE492" s="111" t="inlineStr">
        <is>
          <t>N/A</t>
        </is>
      </c>
      <c r="AF492" s="111" t="inlineStr">
        <is>
          <t>N/A</t>
        </is>
      </c>
      <c r="AG492" s="108" t="n">
        <v>0.07000000000000001</v>
      </c>
      <c r="AH492" s="108" t="n">
        <v>0.62</v>
      </c>
      <c r="AI492" s="108" t="n">
        <v>0.13</v>
      </c>
      <c r="AJ492" s="111" t="inlineStr">
        <is>
          <t>N/A</t>
        </is>
      </c>
      <c r="AK492" s="111" t="inlineStr">
        <is>
          <t>N/A</t>
        </is>
      </c>
      <c r="AL492" s="111" t="inlineStr">
        <is>
          <t>N/A</t>
        </is>
      </c>
      <c r="AM492" s="111" t="inlineStr">
        <is>
          <t>N/A</t>
        </is>
      </c>
      <c r="AN492" s="108" t="n">
        <v>0.07000000000000001</v>
      </c>
      <c r="AO492" s="108" t="n">
        <v>0.62</v>
      </c>
      <c r="AP492" s="108" t="n">
        <v>0.13</v>
      </c>
      <c r="AQ492" s="111" t="inlineStr">
        <is>
          <t>N/A</t>
        </is>
      </c>
      <c r="AR492" s="111" t="inlineStr">
        <is>
          <t>N/A</t>
        </is>
      </c>
      <c r="AS492" s="111" t="inlineStr">
        <is>
          <t>N/A</t>
        </is>
      </c>
      <c r="AT492" s="111" t="inlineStr">
        <is>
          <t>N/A</t>
        </is>
      </c>
      <c r="AU492" s="108" t="n">
        <v>0.07000000000000001</v>
      </c>
      <c r="AV492" s="108" t="n">
        <v>0.62</v>
      </c>
      <c r="AW492" s="111" t="inlineStr">
        <is>
          <t>N/A</t>
        </is>
      </c>
      <c r="AX492" s="111" t="inlineStr">
        <is>
          <t>N/A</t>
        </is>
      </c>
      <c r="AY492" s="111" t="inlineStr">
        <is>
          <t>N/A</t>
        </is>
      </c>
      <c r="AZ492" s="108" t="n">
        <v>0.07000000000000001</v>
      </c>
      <c r="BA492" s="111" t="inlineStr">
        <is>
          <t>N/A</t>
        </is>
      </c>
      <c r="BB492" s="108" t="n">
        <v>0.13</v>
      </c>
      <c r="BC492" s="111" t="inlineStr">
        <is>
          <t>N/A</t>
        </is>
      </c>
      <c r="BD492" s="111" t="inlineStr">
        <is>
          <t>N/A</t>
        </is>
      </c>
      <c r="BE492" s="108" t="n">
        <v>0.05</v>
      </c>
      <c r="BF492" s="108" t="n">
        <v>0.59</v>
      </c>
      <c r="BG492" s="111" t="inlineStr">
        <is>
          <t>N/A</t>
        </is>
      </c>
      <c r="BH492" s="111" t="inlineStr">
        <is>
          <t>N/A</t>
        </is>
      </c>
      <c r="BI492" s="111" t="inlineStr">
        <is>
          <t>N/A</t>
        </is>
      </c>
      <c r="BJ492" s="111" t="inlineStr">
        <is>
          <t>N/A</t>
        </is>
      </c>
      <c r="BK492" s="107" t="n">
        <v>1</v>
      </c>
      <c r="BL492" s="107" t="n">
        <v>1</v>
      </c>
      <c r="BM492" s="107" t="n">
        <v>1</v>
      </c>
      <c r="BN492" s="107" t="n">
        <v>1</v>
      </c>
      <c r="BO492" s="107" t="n">
        <v>0</v>
      </c>
      <c r="BP492" s="107" t="n">
        <v>0</v>
      </c>
      <c r="BQ492" s="107" t="n">
        <v>0</v>
      </c>
      <c r="BR492" s="107" t="n">
        <v>0</v>
      </c>
      <c r="BS492" s="107" t="n">
        <v>1</v>
      </c>
      <c r="BT492" s="107" t="n">
        <v>5</v>
      </c>
      <c r="BU492" s="107" t="inlineStr">
        <is>
          <t>Mixed</t>
        </is>
      </c>
      <c r="BV492" s="108" t="n">
        <v>1.12</v>
      </c>
      <c r="BW492" s="111" t="inlineStr">
        <is>
          <t>N/A</t>
        </is>
      </c>
      <c r="BX492" s="111" t="inlineStr">
        <is>
          <t>N/A</t>
        </is>
      </c>
      <c r="BY492" s="108" t="n">
        <v>1.03</v>
      </c>
      <c r="BZ492" s="111" t="inlineStr">
        <is>
          <t>N/A</t>
        </is>
      </c>
      <c r="CA492" s="108" t="n">
        <v>1.08</v>
      </c>
      <c r="CB492" s="108" t="n">
        <v>1.01</v>
      </c>
      <c r="CC492" s="108" t="n">
        <v>-0.03</v>
      </c>
      <c r="CD492" s="111" t="inlineStr">
        <is>
          <t>N/A</t>
        </is>
      </c>
      <c r="CE492" s="111" t="inlineStr">
        <is>
          <t>N/A</t>
        </is>
      </c>
      <c r="CF492" s="108" t="n">
        <v>4.87</v>
      </c>
      <c r="CG492" s="108" t="n">
        <v>43.4</v>
      </c>
      <c r="CH492" s="107" t="n">
        <v>0</v>
      </c>
      <c r="CI492" s="107" t="inlineStr">
        <is>
          <t>CLEAR</t>
        </is>
      </c>
    </row>
    <row r="493" ht="17" customHeight="1">
      <c r="A493" s="103" t="inlineStr">
        <is>
          <t>FTNT</t>
        </is>
      </c>
      <c r="B493" s="103" t="inlineStr">
        <is>
          <t>FORTINET, INC.</t>
        </is>
      </c>
      <c r="C493" s="104" t="n">
        <v>866200000</v>
      </c>
      <c r="D493" s="105" t="n">
        <v>0.31</v>
      </c>
      <c r="E493" s="105" t="n">
        <v>0.31</v>
      </c>
      <c r="F493" s="105" t="n">
        <v>0.27</v>
      </c>
      <c r="G493" s="105" t="n">
        <v>0.18</v>
      </c>
      <c r="H493" s="105" t="n">
        <v>0.18</v>
      </c>
      <c r="I493" s="105" t="n">
        <v>1.5</v>
      </c>
      <c r="J493" s="105" t="n">
        <v>0.39</v>
      </c>
      <c r="K493" s="105" t="n">
        <v>0.8</v>
      </c>
      <c r="L493" s="105" t="n">
        <v>0.8100000000000001</v>
      </c>
      <c r="M493" s="105" t="n">
        <v>0.65</v>
      </c>
      <c r="N493" s="104" t="n">
        <v>0.61</v>
      </c>
      <c r="O493" s="104" t="n">
        <v>1.17</v>
      </c>
      <c r="P493" s="104" t="n">
        <v>1.47</v>
      </c>
      <c r="Q493" s="104" t="n">
        <v>1.09</v>
      </c>
      <c r="R493" s="104" t="n">
        <v>0.5</v>
      </c>
      <c r="S493" s="104" t="n">
        <v>0.88</v>
      </c>
      <c r="T493" s="104" t="n">
        <v>0.85</v>
      </c>
      <c r="U493" s="104" t="n">
        <v>0.8100000000000001</v>
      </c>
      <c r="V493" s="104" t="n">
        <v>-1.21</v>
      </c>
      <c r="W493" s="104" t="n">
        <v>1.4</v>
      </c>
      <c r="X493" s="105" t="n">
        <v>0.33</v>
      </c>
      <c r="Y493" s="105" t="n">
        <v>0.12</v>
      </c>
      <c r="Z493" s="105" t="n">
        <v>103.72</v>
      </c>
      <c r="AA493" s="105" t="n">
        <v>0.14</v>
      </c>
      <c r="AB493" s="105" t="n">
        <v>0.06</v>
      </c>
      <c r="AC493" s="104" t="n">
        <v>-0.07000000000000001</v>
      </c>
      <c r="AD493" s="104" t="n">
        <v>-0.07000000000000001</v>
      </c>
      <c r="AE493" s="104" t="n">
        <v>0.08</v>
      </c>
      <c r="AF493" s="104" t="n">
        <v>-0.05</v>
      </c>
      <c r="AG493" s="104" t="n">
        <v>0.2</v>
      </c>
      <c r="AH493" s="104" t="n">
        <v>0.14</v>
      </c>
      <c r="AI493" s="104" t="n">
        <v>0.65</v>
      </c>
      <c r="AJ493" s="104" t="n">
        <v>1.43</v>
      </c>
      <c r="AK493" s="112" t="inlineStr">
        <is>
          <t>Distress</t>
        </is>
      </c>
      <c r="AL493" s="104" t="n">
        <v>0.08</v>
      </c>
      <c r="AM493" s="104" t="n">
        <v>-0.05</v>
      </c>
      <c r="AN493" s="104" t="n">
        <v>0.2</v>
      </c>
      <c r="AO493" s="104" t="n">
        <v>0.14</v>
      </c>
      <c r="AP493" s="104" t="n">
        <v>0.65</v>
      </c>
      <c r="AQ493" s="103" t="n">
        <v>1.35</v>
      </c>
      <c r="AR493" s="103" t="inlineStr">
        <is>
          <t>Grey</t>
        </is>
      </c>
      <c r="AS493" s="104" t="n">
        <v>0.08</v>
      </c>
      <c r="AT493" s="104" t="n">
        <v>-0.05</v>
      </c>
      <c r="AU493" s="104" t="n">
        <v>0.2</v>
      </c>
      <c r="AV493" s="104" t="n">
        <v>0.14</v>
      </c>
      <c r="AW493" s="103" t="n">
        <v>1.88</v>
      </c>
      <c r="AX493" s="103" t="inlineStr">
        <is>
          <t>Grey</t>
        </is>
      </c>
      <c r="AY493" s="104" t="n">
        <v>0.08</v>
      </c>
      <c r="AZ493" s="104" t="n">
        <v>0.2</v>
      </c>
      <c r="BA493" s="104" t="n">
        <v>0.42</v>
      </c>
      <c r="BB493" s="104" t="n">
        <v>0.65</v>
      </c>
      <c r="BC493" s="103" t="n">
        <v>1.24</v>
      </c>
      <c r="BD493" s="103" t="inlineStr">
        <is>
          <t>Healthy</t>
        </is>
      </c>
      <c r="BE493" s="104" t="n">
        <v>0.18</v>
      </c>
      <c r="BF493" s="104" t="n">
        <v>0.88</v>
      </c>
      <c r="BG493" s="104" t="n">
        <v>1.17</v>
      </c>
      <c r="BH493" s="104" t="n">
        <v>-0.13</v>
      </c>
      <c r="BI493" s="103" t="n">
        <v>0.47</v>
      </c>
      <c r="BJ493" s="103" t="inlineStr">
        <is>
          <t>Healthy</t>
        </is>
      </c>
      <c r="BK493" s="103" t="n">
        <v>1</v>
      </c>
      <c r="BL493" s="103" t="n">
        <v>1</v>
      </c>
      <c r="BM493" s="103" t="n">
        <v>0</v>
      </c>
      <c r="BN493" s="103" t="n">
        <v>1</v>
      </c>
      <c r="BO493" s="103" t="n">
        <v>1</v>
      </c>
      <c r="BP493" s="103" t="n">
        <v>0</v>
      </c>
      <c r="BQ493" s="103" t="n">
        <v>1</v>
      </c>
      <c r="BR493" s="103" t="n">
        <v>0</v>
      </c>
      <c r="BS493" s="103" t="n">
        <v>1</v>
      </c>
      <c r="BT493" s="103" t="n">
        <v>6</v>
      </c>
      <c r="BU493" s="103" t="inlineStr">
        <is>
          <t>Mixed</t>
        </is>
      </c>
      <c r="BV493" s="104" t="n">
        <v>1.01</v>
      </c>
      <c r="BW493" s="104" t="n">
        <v>1</v>
      </c>
      <c r="BX493" s="104" t="n">
        <v>1.1</v>
      </c>
      <c r="BY493" s="104" t="n">
        <v>1.14</v>
      </c>
      <c r="BZ493" s="104" t="n">
        <v>0.97</v>
      </c>
      <c r="CA493" s="104" t="n">
        <v>0.86</v>
      </c>
      <c r="CB493" s="104" t="n">
        <v>1.04</v>
      </c>
      <c r="CC493" s="104" t="n">
        <v>-0.07000000000000001</v>
      </c>
      <c r="CD493" s="103" t="n">
        <v>-2.62</v>
      </c>
      <c r="CE493" s="103" t="inlineStr">
        <is>
          <t>Lower Risk</t>
        </is>
      </c>
      <c r="CF493" s="104" t="n">
        <v>-0.67</v>
      </c>
      <c r="CG493" s="104" t="n">
        <v>51.56</v>
      </c>
      <c r="CH493" s="103" t="n">
        <v>0</v>
      </c>
      <c r="CI493" s="103" t="inlineStr">
        <is>
          <t>CLEAR</t>
        </is>
      </c>
    </row>
    <row r="494" ht="17" customHeight="1">
      <c r="A494" s="107" t="inlineStr">
        <is>
          <t>LCID</t>
        </is>
      </c>
      <c r="B494" s="107" t="inlineStr">
        <is>
          <t>Lucid Group, Inc.</t>
        </is>
      </c>
      <c r="C494" s="108" t="n">
        <v>663521000</v>
      </c>
      <c r="D494" s="109" t="n">
        <v>-5.88</v>
      </c>
      <c r="E494" s="109" t="n">
        <v>-4.54</v>
      </c>
      <c r="F494" s="109" t="n">
        <v>-4.53</v>
      </c>
      <c r="G494" s="109" t="n">
        <v>-0.32</v>
      </c>
      <c r="H494" s="109" t="n">
        <v>-0.28</v>
      </c>
      <c r="I494" s="109" t="n">
        <v>-3.76</v>
      </c>
      <c r="J494" s="109" t="n">
        <v>-0.61</v>
      </c>
      <c r="K494" s="109" t="n">
        <v>-3.38</v>
      </c>
      <c r="L494" s="109" t="n">
        <v>-1.85</v>
      </c>
      <c r="M494" s="109" t="n">
        <v>0.07000000000000001</v>
      </c>
      <c r="N494" s="108" t="n">
        <v>0.06</v>
      </c>
      <c r="O494" s="108" t="n">
        <v>1.25</v>
      </c>
      <c r="P494" s="108" t="n">
        <v>4.18</v>
      </c>
      <c r="Q494" s="108" t="n">
        <v>0.83</v>
      </c>
      <c r="R494" s="108" t="n">
        <v>0.38</v>
      </c>
      <c r="S494" s="108" t="n">
        <v>0.64</v>
      </c>
      <c r="T494" s="108" t="n">
        <v>0.46</v>
      </c>
      <c r="U494" s="108" t="n">
        <v>3.03</v>
      </c>
      <c r="V494" s="108" t="n">
        <v>1.64</v>
      </c>
      <c r="W494" s="108" t="n">
        <v>1.09</v>
      </c>
      <c r="X494" s="109" t="n">
        <v>-6.38</v>
      </c>
      <c r="Y494" s="109" t="n">
        <v>2.04</v>
      </c>
      <c r="Z494" s="109" t="n">
        <v>-140.55</v>
      </c>
      <c r="AA494" s="109" t="n">
        <v>-0.02</v>
      </c>
      <c r="AB494" s="109" t="n">
        <v>-0.01</v>
      </c>
      <c r="AC494" s="108" t="n">
        <v>0.03</v>
      </c>
      <c r="AD494" s="108" t="n">
        <v>0.03</v>
      </c>
      <c r="AE494" s="108" t="n">
        <v>0.08</v>
      </c>
      <c r="AF494" s="108" t="n">
        <v>-1.86</v>
      </c>
      <c r="AG494" s="108" t="n">
        <v>-0.42</v>
      </c>
      <c r="AH494" s="108" t="n">
        <v>0.13</v>
      </c>
      <c r="AI494" s="108" t="n">
        <v>0.07000000000000001</v>
      </c>
      <c r="AJ494" s="108" t="n">
        <v>-3.74</v>
      </c>
      <c r="AK494" s="112" t="inlineStr">
        <is>
          <t>Distress</t>
        </is>
      </c>
      <c r="AL494" s="108" t="n">
        <v>0.08</v>
      </c>
      <c r="AM494" s="108" t="n">
        <v>-1.86</v>
      </c>
      <c r="AN494" s="108" t="n">
        <v>-0.42</v>
      </c>
      <c r="AO494" s="108" t="n">
        <v>0.13</v>
      </c>
      <c r="AP494" s="108" t="n">
        <v>0.07000000000000001</v>
      </c>
      <c r="AQ494" s="107" t="n">
        <v>-2.69</v>
      </c>
      <c r="AR494" s="107" t="inlineStr">
        <is>
          <t>Distress</t>
        </is>
      </c>
      <c r="AS494" s="108" t="n">
        <v>0.08</v>
      </c>
      <c r="AT494" s="108" t="n">
        <v>-1.86</v>
      </c>
      <c r="AU494" s="108" t="n">
        <v>-0.42</v>
      </c>
      <c r="AV494" s="108" t="n">
        <v>0.13</v>
      </c>
      <c r="AW494" s="107" t="n">
        <v>-8.210000000000001</v>
      </c>
      <c r="AX494" s="107" t="inlineStr">
        <is>
          <t>Distress</t>
        </is>
      </c>
      <c r="AY494" s="108" t="n">
        <v>0.08</v>
      </c>
      <c r="AZ494" s="108" t="n">
        <v>-0.42</v>
      </c>
      <c r="BA494" s="108" t="n">
        <v>-1.02</v>
      </c>
      <c r="BB494" s="108" t="n">
        <v>0.07000000000000001</v>
      </c>
      <c r="BC494" s="107" t="n">
        <v>-1.85</v>
      </c>
      <c r="BD494" s="107" t="inlineStr">
        <is>
          <t>Distress</t>
        </is>
      </c>
      <c r="BE494" s="108" t="n">
        <v>-0.32</v>
      </c>
      <c r="BF494" s="108" t="n">
        <v>0.64</v>
      </c>
      <c r="BG494" s="108" t="n">
        <v>1.25</v>
      </c>
      <c r="BH494" s="108" t="n">
        <v>0.77</v>
      </c>
      <c r="BI494" s="107" t="n">
        <v>0.68</v>
      </c>
      <c r="BJ494" s="107" t="inlineStr">
        <is>
          <t>Distress</t>
        </is>
      </c>
      <c r="BK494" s="107" t="n">
        <v>0</v>
      </c>
      <c r="BL494" s="107" t="n">
        <v>0</v>
      </c>
      <c r="BM494" s="107" t="n">
        <v>0</v>
      </c>
      <c r="BN494" s="107" t="n">
        <v>0</v>
      </c>
      <c r="BO494" s="107" t="n">
        <v>0</v>
      </c>
      <c r="BP494" s="107" t="n">
        <v>0</v>
      </c>
      <c r="BQ494" s="107" t="n">
        <v>1</v>
      </c>
      <c r="BR494" s="107" t="n">
        <v>0</v>
      </c>
      <c r="BS494" s="107" t="n">
        <v>1</v>
      </c>
      <c r="BT494" s="107" t="n">
        <v>2</v>
      </c>
      <c r="BU494" s="107" t="inlineStr">
        <is>
          <t>Weak</t>
        </is>
      </c>
      <c r="BV494" s="108" t="n">
        <v>1.62</v>
      </c>
      <c r="BW494" s="108" t="n">
        <v>0.55</v>
      </c>
      <c r="BX494" s="111" t="inlineStr">
        <is>
          <t>N/A</t>
        </is>
      </c>
      <c r="BY494" s="108" t="n">
        <v>0.98</v>
      </c>
      <c r="BZ494" s="111" t="inlineStr">
        <is>
          <t>N/A</t>
        </is>
      </c>
      <c r="CA494" s="108" t="n">
        <v>1.17</v>
      </c>
      <c r="CB494" s="108" t="n">
        <v>1.38</v>
      </c>
      <c r="CC494" s="108" t="n">
        <v>0.03</v>
      </c>
      <c r="CD494" s="111" t="inlineStr">
        <is>
          <t>N/A</t>
        </is>
      </c>
      <c r="CE494" s="111" t="inlineStr">
        <is>
          <t>N/A</t>
        </is>
      </c>
      <c r="CF494" s="108" t="n">
        <v>-0.39</v>
      </c>
      <c r="CG494" s="108" t="n">
        <v>31.42</v>
      </c>
      <c r="CH494" s="107" t="n">
        <v>0</v>
      </c>
      <c r="CI494" s="107" t="inlineStr">
        <is>
          <t>CLEAR</t>
        </is>
      </c>
    </row>
    <row r="495" ht="17" customHeight="1">
      <c r="A495" s="103" t="inlineStr">
        <is>
          <t>WAB</t>
        </is>
      </c>
      <c r="B495" s="103" t="inlineStr">
        <is>
          <t>WESTINGHOUSE AIR BRAKE TECHNOLOGIES CORPORATION</t>
        </is>
      </c>
      <c r="C495" s="104" t="n">
        <v>544000000</v>
      </c>
      <c r="D495" s="105" t="n">
        <v>0.75</v>
      </c>
      <c r="E495" s="105" t="n">
        <v>0.67</v>
      </c>
      <c r="F495" s="105" t="n">
        <v>0.49</v>
      </c>
      <c r="G495" s="105" t="n">
        <v>0.05</v>
      </c>
      <c r="H495" s="105" t="n">
        <v>0.06</v>
      </c>
      <c r="I495" s="105" t="n">
        <v>0.11</v>
      </c>
      <c r="J495" s="105" t="n">
        <v>0.11</v>
      </c>
      <c r="K495" s="105" t="n">
        <v>1.59</v>
      </c>
      <c r="L495" s="105" t="n">
        <v>1.71</v>
      </c>
      <c r="M495" s="105" t="n">
        <v>0.11</v>
      </c>
      <c r="N495" s="104" t="n">
        <v>0.11</v>
      </c>
      <c r="O495" s="104" t="n">
        <v>1.11</v>
      </c>
      <c r="P495" s="104" t="n">
        <v>1.3</v>
      </c>
      <c r="Q495" s="104" t="n">
        <v>0.57</v>
      </c>
      <c r="R495" s="104" t="n">
        <v>0.09</v>
      </c>
      <c r="S495" s="104" t="n">
        <v>0.49</v>
      </c>
      <c r="T495" s="104" t="n">
        <v>0.46</v>
      </c>
      <c r="U495" s="104" t="n">
        <v>0.61</v>
      </c>
      <c r="V495" s="104" t="n">
        <v>0.57</v>
      </c>
      <c r="W495" s="104" t="n">
        <v>1.5</v>
      </c>
      <c r="X495" s="105" t="n">
        <v>0.63</v>
      </c>
      <c r="Y495" s="105" t="n">
        <v>0.09</v>
      </c>
      <c r="Z495" s="105" t="n">
        <v>120.17</v>
      </c>
      <c r="AA495" s="105" t="n">
        <v>0.22</v>
      </c>
      <c r="AB495" s="105" t="n">
        <v>0.11</v>
      </c>
      <c r="AC495" s="104" t="n">
        <v>-0.03</v>
      </c>
      <c r="AD495" s="104" t="n">
        <v>-0.03</v>
      </c>
      <c r="AE495" s="104" t="n">
        <v>0.02</v>
      </c>
      <c r="AF495" s="104" t="n">
        <v>0.18</v>
      </c>
      <c r="AG495" s="104" t="n">
        <v>0.08</v>
      </c>
      <c r="AH495" s="104" t="n">
        <v>1.02</v>
      </c>
      <c r="AI495" s="104" t="n">
        <v>0.11</v>
      </c>
      <c r="AJ495" s="104" t="n">
        <v>1.27</v>
      </c>
      <c r="AK495" s="112" t="inlineStr">
        <is>
          <t>Distress</t>
        </is>
      </c>
      <c r="AL495" s="104" t="n">
        <v>0.02</v>
      </c>
      <c r="AM495" s="104" t="n">
        <v>0.18</v>
      </c>
      <c r="AN495" s="104" t="n">
        <v>0.08</v>
      </c>
      <c r="AO495" s="104" t="n">
        <v>1.02</v>
      </c>
      <c r="AP495" s="104" t="n">
        <v>0.11</v>
      </c>
      <c r="AQ495" s="103" t="n">
        <v>0.96</v>
      </c>
      <c r="AR495" s="103" t="inlineStr">
        <is>
          <t>Distress</t>
        </is>
      </c>
      <c r="AS495" s="104" t="n">
        <v>0.02</v>
      </c>
      <c r="AT495" s="104" t="n">
        <v>0.18</v>
      </c>
      <c r="AU495" s="104" t="n">
        <v>0.08</v>
      </c>
      <c r="AV495" s="104" t="n">
        <v>1.02</v>
      </c>
      <c r="AW495" s="103" t="n">
        <v>2.36</v>
      </c>
      <c r="AX495" s="103" t="inlineStr">
        <is>
          <t>Grey</t>
        </is>
      </c>
      <c r="AY495" s="104" t="n">
        <v>0.02</v>
      </c>
      <c r="AZ495" s="104" t="n">
        <v>0.08</v>
      </c>
      <c r="BA495" s="104" t="n">
        <v>0.31</v>
      </c>
      <c r="BB495" s="104" t="n">
        <v>0.11</v>
      </c>
      <c r="BC495" s="103" t="n">
        <v>0.52</v>
      </c>
      <c r="BD495" s="103" t="inlineStr">
        <is>
          <t>Distress</t>
        </is>
      </c>
      <c r="BE495" s="104" t="n">
        <v>0.05</v>
      </c>
      <c r="BF495" s="104" t="n">
        <v>0.49</v>
      </c>
      <c r="BG495" s="104" t="n">
        <v>1.11</v>
      </c>
      <c r="BH495" s="104" t="n">
        <v>-1.77</v>
      </c>
      <c r="BI495" s="103" t="n">
        <v>0.15</v>
      </c>
      <c r="BJ495" s="103" t="inlineStr">
        <is>
          <t>Healthy</t>
        </is>
      </c>
      <c r="BK495" s="103" t="n">
        <v>1</v>
      </c>
      <c r="BL495" s="103" t="n">
        <v>1</v>
      </c>
      <c r="BM495" s="103" t="n">
        <v>0</v>
      </c>
      <c r="BN495" s="103" t="n">
        <v>1</v>
      </c>
      <c r="BO495" s="103" t="n">
        <v>0</v>
      </c>
      <c r="BP495" s="103" t="n">
        <v>0</v>
      </c>
      <c r="BQ495" s="103" t="n">
        <v>1</v>
      </c>
      <c r="BR495" s="103" t="n">
        <v>0</v>
      </c>
      <c r="BS495" s="103" t="n">
        <v>1</v>
      </c>
      <c r="BT495" s="103" t="n">
        <v>5</v>
      </c>
      <c r="BU495" s="103" t="inlineStr">
        <is>
          <t>Mixed</t>
        </is>
      </c>
      <c r="BV495" s="104" t="n">
        <v>1.01</v>
      </c>
      <c r="BW495" s="104" t="n">
        <v>1.07</v>
      </c>
      <c r="BX495" s="104" t="n">
        <v>1.02</v>
      </c>
      <c r="BY495" s="104" t="n">
        <v>1.22</v>
      </c>
      <c r="BZ495" s="104" t="n">
        <v>1.09</v>
      </c>
      <c r="CA495" s="104" t="n">
        <v>0.98</v>
      </c>
      <c r="CB495" s="104" t="n">
        <v>1.08</v>
      </c>
      <c r="CC495" s="104" t="n">
        <v>-0.03</v>
      </c>
      <c r="CD495" s="103" t="n">
        <v>-2.37</v>
      </c>
      <c r="CE495" s="103" t="inlineStr">
        <is>
          <t>Lower Risk</t>
        </is>
      </c>
      <c r="CF495" s="104" t="n">
        <v>2.75</v>
      </c>
      <c r="CG495" s="104" t="n">
        <v>47.34</v>
      </c>
      <c r="CH495" s="103" t="n">
        <v>0</v>
      </c>
      <c r="CI495" s="103" t="inlineStr">
        <is>
          <t>CLEAR</t>
        </is>
      </c>
    </row>
    <row r="496" ht="17" customHeight="1">
      <c r="A496" s="107" t="inlineStr">
        <is>
          <t>AIG</t>
        </is>
      </c>
      <c r="B496" s="107" t="inlineStr">
        <is>
          <t>American International Group, Inc.</t>
        </is>
      </c>
      <c r="C496" s="111" t="inlineStr">
        <is>
          <t>N/A</t>
        </is>
      </c>
      <c r="D496" s="109" t="n">
        <v>0.14</v>
      </c>
      <c r="E496" s="109" t="n">
        <v>0.14</v>
      </c>
      <c r="F496" s="109" t="n">
        <v>0.12</v>
      </c>
      <c r="G496" s="109" t="n">
        <v>0.02</v>
      </c>
      <c r="H496" s="109" t="n">
        <v>-0.01</v>
      </c>
      <c r="I496" s="109" t="n">
        <v>0.08</v>
      </c>
      <c r="J496" s="111" t="inlineStr">
        <is>
          <t>N/A</t>
        </is>
      </c>
      <c r="K496" s="109" t="n">
        <v>0.14</v>
      </c>
      <c r="L496" s="109" t="n">
        <v>0.14</v>
      </c>
      <c r="M496" s="109" t="n">
        <v>0.17</v>
      </c>
      <c r="N496" s="108" t="n">
        <v>0.17</v>
      </c>
      <c r="O496" s="111" t="inlineStr">
        <is>
          <t>N/A</t>
        </is>
      </c>
      <c r="P496" s="111" t="inlineStr">
        <is>
          <t>N/A</t>
        </is>
      </c>
      <c r="Q496" s="111" t="inlineStr">
        <is>
          <t>N/A</t>
        </is>
      </c>
      <c r="R496" s="111" t="inlineStr">
        <is>
          <t>N/A</t>
        </is>
      </c>
      <c r="S496" s="108" t="n">
        <v>0.74</v>
      </c>
      <c r="T496" s="108" t="n">
        <v>0.74</v>
      </c>
      <c r="U496" s="108" t="n">
        <v>0.23</v>
      </c>
      <c r="V496" s="108" t="n">
        <v>0.23</v>
      </c>
      <c r="W496" s="108" t="n">
        <v>1.07</v>
      </c>
      <c r="X496" s="109" t="n">
        <v>0.11</v>
      </c>
      <c r="Y496" s="109" t="n">
        <v>0</v>
      </c>
      <c r="Z496" s="109" t="n">
        <v>9.800000000000001</v>
      </c>
      <c r="AA496" s="109" t="n">
        <v>-0.02</v>
      </c>
      <c r="AB496" s="109" t="n">
        <v>-3.21</v>
      </c>
      <c r="AC496" s="108" t="n">
        <v>-0</v>
      </c>
      <c r="AD496" s="108" t="n">
        <v>-0</v>
      </c>
      <c r="AE496" s="111" t="inlineStr">
        <is>
          <t>N/A</t>
        </is>
      </c>
      <c r="AF496" s="108" t="n">
        <v>0.23</v>
      </c>
      <c r="AG496" s="108" t="n">
        <v>0.02</v>
      </c>
      <c r="AH496" s="108" t="n">
        <v>0.34</v>
      </c>
      <c r="AI496" s="108" t="n">
        <v>0.17</v>
      </c>
      <c r="AJ496" s="111" t="inlineStr">
        <is>
          <t>N/A</t>
        </is>
      </c>
      <c r="AK496" s="111" t="inlineStr">
        <is>
          <t>N/A</t>
        </is>
      </c>
      <c r="AL496" s="111" t="inlineStr">
        <is>
          <t>N/A</t>
        </is>
      </c>
      <c r="AM496" s="108" t="n">
        <v>0.23</v>
      </c>
      <c r="AN496" s="108" t="n">
        <v>0.02</v>
      </c>
      <c r="AO496" s="108" t="n">
        <v>0.34</v>
      </c>
      <c r="AP496" s="108" t="n">
        <v>0.17</v>
      </c>
      <c r="AQ496" s="111" t="inlineStr">
        <is>
          <t>N/A</t>
        </is>
      </c>
      <c r="AR496" s="111" t="inlineStr">
        <is>
          <t>N/A</t>
        </is>
      </c>
      <c r="AS496" s="111" t="inlineStr">
        <is>
          <t>N/A</t>
        </is>
      </c>
      <c r="AT496" s="108" t="n">
        <v>0.23</v>
      </c>
      <c r="AU496" s="108" t="n">
        <v>0.02</v>
      </c>
      <c r="AV496" s="108" t="n">
        <v>0.34</v>
      </c>
      <c r="AW496" s="111" t="inlineStr">
        <is>
          <t>N/A</t>
        </is>
      </c>
      <c r="AX496" s="111" t="inlineStr">
        <is>
          <t>N/A</t>
        </is>
      </c>
      <c r="AY496" s="111" t="inlineStr">
        <is>
          <t>N/A</t>
        </is>
      </c>
      <c r="AZ496" s="108" t="n">
        <v>0.02</v>
      </c>
      <c r="BA496" s="111" t="inlineStr">
        <is>
          <t>N/A</t>
        </is>
      </c>
      <c r="BB496" s="108" t="n">
        <v>0.17</v>
      </c>
      <c r="BC496" s="111" t="inlineStr">
        <is>
          <t>N/A</t>
        </is>
      </c>
      <c r="BD496" s="111" t="inlineStr">
        <is>
          <t>N/A</t>
        </is>
      </c>
      <c r="BE496" s="108" t="n">
        <v>0.02</v>
      </c>
      <c r="BF496" s="108" t="n">
        <v>0.74</v>
      </c>
      <c r="BG496" s="111" t="inlineStr">
        <is>
          <t>N/A</t>
        </is>
      </c>
      <c r="BH496" s="111" t="inlineStr">
        <is>
          <t>N/A</t>
        </is>
      </c>
      <c r="BI496" s="111" t="inlineStr">
        <is>
          <t>N/A</t>
        </is>
      </c>
      <c r="BJ496" s="111" t="inlineStr">
        <is>
          <t>N/A</t>
        </is>
      </c>
      <c r="BK496" s="107" t="n">
        <v>1</v>
      </c>
      <c r="BL496" s="107" t="n">
        <v>1</v>
      </c>
      <c r="BM496" s="107" t="n">
        <v>1</v>
      </c>
      <c r="BN496" s="107" t="n">
        <v>1</v>
      </c>
      <c r="BO496" s="107" t="n">
        <v>0</v>
      </c>
      <c r="BP496" s="107" t="n">
        <v>0</v>
      </c>
      <c r="BQ496" s="107" t="n">
        <v>1</v>
      </c>
      <c r="BR496" s="107" t="n">
        <v>1</v>
      </c>
      <c r="BS496" s="107" t="n">
        <v>0</v>
      </c>
      <c r="BT496" s="107" t="n">
        <v>6</v>
      </c>
      <c r="BU496" s="107" t="inlineStr">
        <is>
          <t>Mixed</t>
        </is>
      </c>
      <c r="BV496" s="111" t="inlineStr">
        <is>
          <t>N/A</t>
        </is>
      </c>
      <c r="BW496" s="108" t="n">
        <v>0.98</v>
      </c>
      <c r="BX496" s="108" t="n">
        <v>1</v>
      </c>
      <c r="BY496" s="108" t="n">
        <v>0.98</v>
      </c>
      <c r="BZ496" s="108" t="n">
        <v>1.38</v>
      </c>
      <c r="CA496" s="108" t="n">
        <v>0.93</v>
      </c>
      <c r="CB496" s="108" t="n">
        <v>1.01</v>
      </c>
      <c r="CC496" s="108" t="n">
        <v>-0</v>
      </c>
      <c r="CD496" s="111" t="inlineStr">
        <is>
          <t>N/A</t>
        </is>
      </c>
      <c r="CE496" s="111" t="inlineStr">
        <is>
          <t>N/A</t>
        </is>
      </c>
      <c r="CF496" s="108" t="n">
        <v>2.43</v>
      </c>
      <c r="CG496" s="108" t="n">
        <v>46.83</v>
      </c>
      <c r="CH496" s="107" t="n">
        <v>0</v>
      </c>
      <c r="CI496" s="107" t="inlineStr">
        <is>
          <t>CLEAR</t>
        </is>
      </c>
    </row>
    <row r="497" ht="17" customHeight="1">
      <c r="A497" s="103" t="inlineStr">
        <is>
          <t>ABNB</t>
        </is>
      </c>
      <c r="B497" s="103" t="inlineStr">
        <is>
          <t>Airbnb, Inc.</t>
        </is>
      </c>
      <c r="C497" s="104" t="n">
        <v>5148000000</v>
      </c>
      <c r="D497" s="105" t="n">
        <v>0.21</v>
      </c>
      <c r="E497" s="105" t="n">
        <v>0.26</v>
      </c>
      <c r="F497" s="105" t="n">
        <v>0.21</v>
      </c>
      <c r="G497" s="105" t="n">
        <v>0.11</v>
      </c>
      <c r="H497" s="105" t="n">
        <v>0.13</v>
      </c>
      <c r="I497" s="105" t="n">
        <v>0.31</v>
      </c>
      <c r="J497" s="105" t="n">
        <v>0.3</v>
      </c>
      <c r="K497" s="105" t="n">
        <v>0.83</v>
      </c>
      <c r="L497" s="105" t="n">
        <v>0.83</v>
      </c>
      <c r="M497" s="105" t="n">
        <v>0.55</v>
      </c>
      <c r="N497" s="104" t="n">
        <v>0.53</v>
      </c>
      <c r="O497" s="104" t="n">
        <v>1.38</v>
      </c>
      <c r="P497" s="104" t="n">
        <v>1.69</v>
      </c>
      <c r="Q497" s="104" t="n">
        <v>1.38</v>
      </c>
      <c r="R497" s="104" t="n">
        <v>0.48</v>
      </c>
      <c r="S497" s="104" t="n">
        <v>0.63</v>
      </c>
      <c r="T497" s="104" t="n">
        <v>0.6</v>
      </c>
      <c r="U497" s="104" t="n">
        <v>0.49</v>
      </c>
      <c r="V497" s="104" t="n">
        <v>-0.31</v>
      </c>
      <c r="W497" s="104" t="n">
        <v>1.85</v>
      </c>
      <c r="X497" s="105" t="n">
        <v>0.38</v>
      </c>
      <c r="Y497" s="105" t="n">
        <v>0.19</v>
      </c>
      <c r="Z497" s="113" t="inlineStr">
        <is>
          <t>N/A</t>
        </is>
      </c>
      <c r="AA497" s="105" t="n">
        <v>0.1</v>
      </c>
      <c r="AB497" s="105" t="n">
        <v>-0.05</v>
      </c>
      <c r="AC497" s="104" t="n">
        <v>-0.1</v>
      </c>
      <c r="AD497" s="104" t="n">
        <v>-0.1</v>
      </c>
      <c r="AE497" s="104" t="n">
        <v>0.23</v>
      </c>
      <c r="AF497" s="104" t="n">
        <v>-0.25</v>
      </c>
      <c r="AG497" s="104" t="n">
        <v>0.11</v>
      </c>
      <c r="AH497" s="104" t="n">
        <v>0.59</v>
      </c>
      <c r="AI497" s="104" t="n">
        <v>0.55</v>
      </c>
      <c r="AJ497" s="104" t="n">
        <v>1.21</v>
      </c>
      <c r="AK497" s="112" t="inlineStr">
        <is>
          <t>Distress</t>
        </is>
      </c>
      <c r="AL497" s="104" t="n">
        <v>0.23</v>
      </c>
      <c r="AM497" s="104" t="n">
        <v>-0.25</v>
      </c>
      <c r="AN497" s="104" t="n">
        <v>0.11</v>
      </c>
      <c r="AO497" s="104" t="n">
        <v>0.59</v>
      </c>
      <c r="AP497" s="104" t="n">
        <v>0.55</v>
      </c>
      <c r="AQ497" s="103" t="n">
        <v>1.11</v>
      </c>
      <c r="AR497" s="103" t="inlineStr">
        <is>
          <t>Distress</t>
        </is>
      </c>
      <c r="AS497" s="104" t="n">
        <v>0.23</v>
      </c>
      <c r="AT497" s="104" t="n">
        <v>-0.25</v>
      </c>
      <c r="AU497" s="104" t="n">
        <v>0.11</v>
      </c>
      <c r="AV497" s="104" t="n">
        <v>0.59</v>
      </c>
      <c r="AW497" s="103" t="n">
        <v>2.1</v>
      </c>
      <c r="AX497" s="103" t="inlineStr">
        <is>
          <t>Grey</t>
        </is>
      </c>
      <c r="AY497" s="104" t="n">
        <v>0.23</v>
      </c>
      <c r="AZ497" s="104" t="n">
        <v>0.11</v>
      </c>
      <c r="BA497" s="104" t="n">
        <v>0.23</v>
      </c>
      <c r="BB497" s="104" t="n">
        <v>0.55</v>
      </c>
      <c r="BC497" s="103" t="n">
        <v>0.96</v>
      </c>
      <c r="BD497" s="103" t="inlineStr">
        <is>
          <t>Healthy</t>
        </is>
      </c>
      <c r="BE497" s="104" t="n">
        <v>0.11</v>
      </c>
      <c r="BF497" s="104" t="n">
        <v>0.63</v>
      </c>
      <c r="BG497" s="104" t="n">
        <v>1.38</v>
      </c>
      <c r="BH497" s="104" t="n">
        <v>-1.26</v>
      </c>
      <c r="BI497" s="103" t="n">
        <v>0.22</v>
      </c>
      <c r="BJ497" s="103" t="inlineStr">
        <is>
          <t>Healthy</t>
        </is>
      </c>
      <c r="BK497" s="103" t="n">
        <v>1</v>
      </c>
      <c r="BL497" s="103" t="n">
        <v>1</v>
      </c>
      <c r="BM497" s="103" t="n">
        <v>0</v>
      </c>
      <c r="BN497" s="103" t="n">
        <v>1</v>
      </c>
      <c r="BO497" s="103" t="n">
        <v>1</v>
      </c>
      <c r="BP497" s="103" t="n">
        <v>0</v>
      </c>
      <c r="BQ497" s="103" t="n">
        <v>0</v>
      </c>
      <c r="BR497" s="103" t="n">
        <v>0</v>
      </c>
      <c r="BS497" s="103" t="n">
        <v>1</v>
      </c>
      <c r="BT497" s="103" t="n">
        <v>5</v>
      </c>
      <c r="BU497" s="103" t="inlineStr">
        <is>
          <t>Mixed</t>
        </is>
      </c>
      <c r="BV497" s="113" t="inlineStr">
        <is>
          <t>N/A</t>
        </is>
      </c>
      <c r="BW497" s="104" t="n">
        <v>1</v>
      </c>
      <c r="BX497" s="104" t="n">
        <v>0.86</v>
      </c>
      <c r="BY497" s="104" t="n">
        <v>1.1</v>
      </c>
      <c r="BZ497" s="104" t="n">
        <v>1.29</v>
      </c>
      <c r="CA497" s="104" t="n">
        <v>1.03</v>
      </c>
      <c r="CB497" s="104" t="n">
        <v>1.05</v>
      </c>
      <c r="CC497" s="104" t="n">
        <v>-0.1</v>
      </c>
      <c r="CD497" s="113" t="inlineStr">
        <is>
          <t>N/A</t>
        </is>
      </c>
      <c r="CE497" s="113" t="inlineStr">
        <is>
          <t>N/A</t>
        </is>
      </c>
      <c r="CF497" s="104" t="n">
        <v>-0.99</v>
      </c>
      <c r="CG497" s="104" t="n">
        <v>47.04</v>
      </c>
      <c r="CH497" s="103" t="n">
        <v>0</v>
      </c>
      <c r="CI497" s="103" t="inlineStr">
        <is>
          <t>CLEAR</t>
        </is>
      </c>
    </row>
    <row r="498" ht="17" customHeight="1">
      <c r="A498" s="107" t="inlineStr">
        <is>
          <t>JNJ</t>
        </is>
      </c>
      <c r="B498" s="107" t="inlineStr">
        <is>
          <t>Johnson &amp; Johnson</t>
        </is>
      </c>
      <c r="C498" s="108" t="n">
        <v>1498000000</v>
      </c>
      <c r="D498" s="109" t="n">
        <v>0.23</v>
      </c>
      <c r="E498" s="109" t="n">
        <v>0.35</v>
      </c>
      <c r="F498" s="109" t="n">
        <v>0.28</v>
      </c>
      <c r="G498" s="109" t="n">
        <v>0.13</v>
      </c>
      <c r="H498" s="109" t="n">
        <v>0.08</v>
      </c>
      <c r="I498" s="109" t="n">
        <v>0.33</v>
      </c>
      <c r="J498" s="109" t="n">
        <v>0.15</v>
      </c>
      <c r="K498" s="109" t="n">
        <v>0.68</v>
      </c>
      <c r="L498" s="109" t="n">
        <v>0.6899999999999999</v>
      </c>
      <c r="M498" s="109" t="n">
        <v>0.47</v>
      </c>
      <c r="N498" s="108" t="n">
        <v>0.49</v>
      </c>
      <c r="O498" s="108" t="n">
        <v>1.03</v>
      </c>
      <c r="P498" s="108" t="n">
        <v>1.11</v>
      </c>
      <c r="Q498" s="108" t="n">
        <v>0.77</v>
      </c>
      <c r="R498" s="108" t="n">
        <v>0.36</v>
      </c>
      <c r="S498" s="108" t="n">
        <v>0.59</v>
      </c>
      <c r="T498" s="108" t="n">
        <v>0.6</v>
      </c>
      <c r="U498" s="108" t="n">
        <v>0.61</v>
      </c>
      <c r="V498" s="108" t="n">
        <v>0.37</v>
      </c>
      <c r="W498" s="108" t="n">
        <v>0.92</v>
      </c>
      <c r="X498" s="109" t="n">
        <v>0.21</v>
      </c>
      <c r="Y498" s="109" t="n">
        <v>0</v>
      </c>
      <c r="Z498" s="109" t="n">
        <v>27.97</v>
      </c>
      <c r="AA498" s="109" t="n">
        <v>0.06</v>
      </c>
      <c r="AB498" s="109" t="n">
        <v>0.91</v>
      </c>
      <c r="AC498" s="108" t="n">
        <v>0.01</v>
      </c>
      <c r="AD498" s="108" t="n">
        <v>0.01</v>
      </c>
      <c r="AE498" s="108" t="n">
        <v>0.01</v>
      </c>
      <c r="AF498" s="108" t="n">
        <v>0.85</v>
      </c>
      <c r="AG498" s="108" t="n">
        <v>0.11</v>
      </c>
      <c r="AH498" s="108" t="n">
        <v>0.6899999999999999</v>
      </c>
      <c r="AI498" s="108" t="n">
        <v>0.47</v>
      </c>
      <c r="AJ498" s="108" t="n">
        <v>2.44</v>
      </c>
      <c r="AK498" s="106" t="inlineStr">
        <is>
          <t>Grey</t>
        </is>
      </c>
      <c r="AL498" s="108" t="n">
        <v>0.01</v>
      </c>
      <c r="AM498" s="108" t="n">
        <v>0.85</v>
      </c>
      <c r="AN498" s="108" t="n">
        <v>0.11</v>
      </c>
      <c r="AO498" s="108" t="n">
        <v>0.6899999999999999</v>
      </c>
      <c r="AP498" s="108" t="n">
        <v>0.47</v>
      </c>
      <c r="AQ498" s="107" t="n">
        <v>1.82</v>
      </c>
      <c r="AR498" s="107" t="inlineStr">
        <is>
          <t>Grey</t>
        </is>
      </c>
      <c r="AS498" s="108" t="n">
        <v>0.01</v>
      </c>
      <c r="AT498" s="108" t="n">
        <v>0.85</v>
      </c>
      <c r="AU498" s="108" t="n">
        <v>0.11</v>
      </c>
      <c r="AV498" s="108" t="n">
        <v>0.6899999999999999</v>
      </c>
      <c r="AW498" s="107" t="n">
        <v>4.27</v>
      </c>
      <c r="AX498" s="107" t="inlineStr">
        <is>
          <t>Safe</t>
        </is>
      </c>
      <c r="AY498" s="108" t="n">
        <v>0.01</v>
      </c>
      <c r="AZ498" s="108" t="n">
        <v>0.11</v>
      </c>
      <c r="BA498" s="108" t="n">
        <v>0.6</v>
      </c>
      <c r="BB498" s="108" t="n">
        <v>0.47</v>
      </c>
      <c r="BC498" s="107" t="n">
        <v>0.93</v>
      </c>
      <c r="BD498" s="107" t="inlineStr">
        <is>
          <t>Healthy</t>
        </is>
      </c>
      <c r="BE498" s="108" t="n">
        <v>0.13</v>
      </c>
      <c r="BF498" s="108" t="n">
        <v>0.59</v>
      </c>
      <c r="BG498" s="108" t="n">
        <v>1.03</v>
      </c>
      <c r="BH498" s="108" t="n">
        <v>-1.58</v>
      </c>
      <c r="BI498" s="107" t="n">
        <v>0.17</v>
      </c>
      <c r="BJ498" s="107" t="inlineStr">
        <is>
          <t>Healthy</t>
        </is>
      </c>
      <c r="BK498" s="107" t="n">
        <v>1</v>
      </c>
      <c r="BL498" s="107" t="n">
        <v>1</v>
      </c>
      <c r="BM498" s="107" t="n">
        <v>1</v>
      </c>
      <c r="BN498" s="107" t="n">
        <v>0</v>
      </c>
      <c r="BO498" s="107" t="n">
        <v>0</v>
      </c>
      <c r="BP498" s="107" t="n">
        <v>0</v>
      </c>
      <c r="BQ498" s="107" t="n">
        <v>1</v>
      </c>
      <c r="BR498" s="107" t="n">
        <v>0</v>
      </c>
      <c r="BS498" s="107" t="n">
        <v>0</v>
      </c>
      <c r="BT498" s="107" t="n">
        <v>4</v>
      </c>
      <c r="BU498" s="107" t="inlineStr">
        <is>
          <t>Mixed</t>
        </is>
      </c>
      <c r="BV498" s="108" t="n">
        <v>1.09</v>
      </c>
      <c r="BW498" s="108" t="n">
        <v>1.02</v>
      </c>
      <c r="BX498" s="108" t="n">
        <v>1.05</v>
      </c>
      <c r="BY498" s="108" t="n">
        <v>1.06</v>
      </c>
      <c r="BZ498" s="108" t="n">
        <v>1.08</v>
      </c>
      <c r="CA498" s="108" t="n">
        <v>0.98</v>
      </c>
      <c r="CB498" s="108" t="n">
        <v>0.98</v>
      </c>
      <c r="CC498" s="108" t="n">
        <v>0.01</v>
      </c>
      <c r="CD498" s="107" t="n">
        <v>-2.24</v>
      </c>
      <c r="CE498" s="107" t="inlineStr">
        <is>
          <t>Lower Risk</t>
        </is>
      </c>
      <c r="CF498" s="108" t="n">
        <v>1.04</v>
      </c>
      <c r="CG498" s="108" t="n">
        <v>45.89</v>
      </c>
      <c r="CH498" s="107" t="n">
        <v>0</v>
      </c>
      <c r="CI498" s="107" t="inlineStr">
        <is>
          <t>CLEAR</t>
        </is>
      </c>
    </row>
    <row r="499" ht="17" customHeight="1">
      <c r="A499" s="103" t="inlineStr">
        <is>
          <t>OLLI</t>
        </is>
      </c>
      <c r="B499" s="103" t="inlineStr">
        <is>
          <t>Ollie’s Bargain Outlet Holdings, Inc.</t>
        </is>
      </c>
      <c r="C499" s="104" t="n">
        <v>563617000</v>
      </c>
      <c r="D499" s="105" t="n">
        <v>0.11</v>
      </c>
      <c r="E499" s="105" t="n">
        <v>0.12</v>
      </c>
      <c r="F499" s="105" t="n">
        <v>0.09</v>
      </c>
      <c r="G499" s="105" t="n">
        <v>0.08</v>
      </c>
      <c r="H499" s="105" t="n">
        <v>0.08</v>
      </c>
      <c r="I499" s="105" t="n">
        <v>0.13</v>
      </c>
      <c r="J499" s="105" t="n">
        <v>0.12</v>
      </c>
      <c r="K499" s="105" t="n">
        <v>0.41</v>
      </c>
      <c r="L499" s="105" t="n">
        <v>0.4</v>
      </c>
      <c r="M499" s="105" t="n">
        <v>0.9</v>
      </c>
      <c r="N499" s="104" t="n">
        <v>0.89</v>
      </c>
      <c r="O499" s="104" t="n">
        <v>2.41</v>
      </c>
      <c r="P499" s="104" t="n">
        <v>3.27</v>
      </c>
      <c r="Q499" s="104" t="n">
        <v>0.78</v>
      </c>
      <c r="R499" s="104" t="n">
        <v>0.65</v>
      </c>
      <c r="S499" s="104" t="n">
        <v>0.36</v>
      </c>
      <c r="T499" s="104" t="n">
        <v>0.34</v>
      </c>
      <c r="U499" s="104" t="n">
        <v>0.11</v>
      </c>
      <c r="V499" s="104" t="n">
        <v>-0.03</v>
      </c>
      <c r="W499" s="104" t="n">
        <v>1.23</v>
      </c>
      <c r="X499" s="105" t="n">
        <v>0.07000000000000001</v>
      </c>
      <c r="Y499" s="113" t="inlineStr">
        <is>
          <t>N/A</t>
        </is>
      </c>
      <c r="Z499" s="105" t="n">
        <v>19.31</v>
      </c>
      <c r="AA499" s="105" t="n">
        <v>0.17</v>
      </c>
      <c r="AB499" s="105" t="n">
        <v>0.2</v>
      </c>
      <c r="AC499" s="104" t="n">
        <v>-0.02</v>
      </c>
      <c r="AD499" s="104" t="n">
        <v>-0.02</v>
      </c>
      <c r="AE499" s="104" t="n">
        <v>0.19</v>
      </c>
      <c r="AF499" s="104" t="n">
        <v>0.54</v>
      </c>
      <c r="AG499" s="104" t="n">
        <v>0.1</v>
      </c>
      <c r="AH499" s="104" t="n">
        <v>1.77</v>
      </c>
      <c r="AI499" s="104" t="n">
        <v>0.9</v>
      </c>
      <c r="AJ499" s="104" t="n">
        <v>3.28</v>
      </c>
      <c r="AK499" s="110" t="inlineStr">
        <is>
          <t>Safe</t>
        </is>
      </c>
      <c r="AL499" s="104" t="n">
        <v>0.19</v>
      </c>
      <c r="AM499" s="104" t="n">
        <v>0.54</v>
      </c>
      <c r="AN499" s="104" t="n">
        <v>0.1</v>
      </c>
      <c r="AO499" s="104" t="n">
        <v>1.77</v>
      </c>
      <c r="AP499" s="104" t="n">
        <v>0.9</v>
      </c>
      <c r="AQ499" s="103" t="n">
        <v>2.55</v>
      </c>
      <c r="AR499" s="103" t="inlineStr">
        <is>
          <t>Grey</t>
        </is>
      </c>
      <c r="AS499" s="104" t="n">
        <v>0.19</v>
      </c>
      <c r="AT499" s="104" t="n">
        <v>0.54</v>
      </c>
      <c r="AU499" s="104" t="n">
        <v>0.1</v>
      </c>
      <c r="AV499" s="104" t="n">
        <v>1.77</v>
      </c>
      <c r="AW499" s="103" t="n">
        <v>5.56</v>
      </c>
      <c r="AX499" s="103" t="inlineStr">
        <is>
          <t>Safe</t>
        </is>
      </c>
      <c r="AY499" s="104" t="n">
        <v>0.19</v>
      </c>
      <c r="AZ499" s="104" t="n">
        <v>0.1</v>
      </c>
      <c r="BA499" s="104" t="n">
        <v>0.79</v>
      </c>
      <c r="BB499" s="104" t="n">
        <v>0.9</v>
      </c>
      <c r="BC499" s="103" t="n">
        <v>1.39</v>
      </c>
      <c r="BD499" s="103" t="inlineStr">
        <is>
          <t>Healthy</t>
        </is>
      </c>
      <c r="BE499" s="104" t="n">
        <v>0.08</v>
      </c>
      <c r="BF499" s="104" t="n">
        <v>0.36</v>
      </c>
      <c r="BG499" s="104" t="n">
        <v>2.41</v>
      </c>
      <c r="BH499" s="104" t="n">
        <v>-2.64</v>
      </c>
      <c r="BI499" s="103" t="n">
        <v>0.07000000000000001</v>
      </c>
      <c r="BJ499" s="103" t="inlineStr">
        <is>
          <t>Healthy</t>
        </is>
      </c>
      <c r="BK499" s="103" t="n">
        <v>1</v>
      </c>
      <c r="BL499" s="103" t="n">
        <v>1</v>
      </c>
      <c r="BM499" s="103" t="n">
        <v>1</v>
      </c>
      <c r="BN499" s="103" t="n">
        <v>1</v>
      </c>
      <c r="BO499" s="103" t="n">
        <v>1</v>
      </c>
      <c r="BP499" s="103" t="n">
        <v>0</v>
      </c>
      <c r="BQ499" s="103" t="n">
        <v>0</v>
      </c>
      <c r="BR499" s="103" t="n">
        <v>1</v>
      </c>
      <c r="BS499" s="103" t="n">
        <v>1</v>
      </c>
      <c r="BT499" s="103" t="n">
        <v>7</v>
      </c>
      <c r="BU499" s="103" t="inlineStr">
        <is>
          <t>Strong</t>
        </is>
      </c>
      <c r="BV499" s="104" t="n">
        <v>1.39</v>
      </c>
      <c r="BW499" s="104" t="n">
        <v>0.99</v>
      </c>
      <c r="BX499" s="104" t="n">
        <v>1.13</v>
      </c>
      <c r="BY499" s="104" t="n">
        <v>1.17</v>
      </c>
      <c r="BZ499" s="104" t="n">
        <v>0.93</v>
      </c>
      <c r="CA499" s="104" t="n">
        <v>0.99</v>
      </c>
      <c r="CB499" s="104" t="n">
        <v>1.07</v>
      </c>
      <c r="CC499" s="104" t="n">
        <v>-0.02</v>
      </c>
      <c r="CD499" s="103" t="n">
        <v>-2.04</v>
      </c>
      <c r="CE499" s="103" t="inlineStr">
        <is>
          <t>Higher Risk</t>
        </is>
      </c>
      <c r="CF499" s="104" t="n">
        <v>-0.16</v>
      </c>
      <c r="CG499" s="104" t="n">
        <v>56.48</v>
      </c>
      <c r="CH499" s="103" t="n">
        <v>20</v>
      </c>
      <c r="CI499" s="103" t="inlineStr">
        <is>
          <t>CLEAR</t>
        </is>
      </c>
    </row>
    <row r="500" ht="17" customHeight="1">
      <c r="A500" s="107" t="inlineStr">
        <is>
          <t>CB</t>
        </is>
      </c>
      <c r="B500" s="107" t="inlineStr">
        <is>
          <t>Chubb Limited</t>
        </is>
      </c>
      <c r="C500" s="111" t="inlineStr">
        <is>
          <t>N/A</t>
        </is>
      </c>
      <c r="D500" s="109" t="n">
        <v>0.22</v>
      </c>
      <c r="E500" s="109" t="n">
        <v>0.22</v>
      </c>
      <c r="F500" s="109" t="n">
        <v>0.17</v>
      </c>
      <c r="G500" s="109" t="n">
        <v>0.04</v>
      </c>
      <c r="H500" s="109" t="n">
        <v>0.04</v>
      </c>
      <c r="I500" s="109" t="n">
        <v>0.14</v>
      </c>
      <c r="J500" s="111" t="inlineStr">
        <is>
          <t>N/A</t>
        </is>
      </c>
      <c r="K500" s="109" t="n">
        <v>0.22</v>
      </c>
      <c r="L500" s="109" t="n">
        <v>0.21</v>
      </c>
      <c r="M500" s="109" t="n">
        <v>0.22</v>
      </c>
      <c r="N500" s="108" t="n">
        <v>0.23</v>
      </c>
      <c r="O500" s="111" t="inlineStr">
        <is>
          <t>N/A</t>
        </is>
      </c>
      <c r="P500" s="111" t="inlineStr">
        <is>
          <t>N/A</t>
        </is>
      </c>
      <c r="Q500" s="111" t="inlineStr">
        <is>
          <t>N/A</t>
        </is>
      </c>
      <c r="R500" s="111" t="inlineStr">
        <is>
          <t>N/A</t>
        </is>
      </c>
      <c r="S500" s="108" t="n">
        <v>0.71</v>
      </c>
      <c r="T500" s="108" t="n">
        <v>0.72</v>
      </c>
      <c r="U500" s="108" t="n">
        <v>0.23</v>
      </c>
      <c r="V500" s="108" t="n">
        <v>0.21</v>
      </c>
      <c r="W500" s="108" t="n">
        <v>1.24</v>
      </c>
      <c r="X500" s="111" t="inlineStr">
        <is>
          <t>N/A</t>
        </is>
      </c>
      <c r="Y500" s="109" t="n">
        <v>0</v>
      </c>
      <c r="Z500" s="109" t="n">
        <v>17.07</v>
      </c>
      <c r="AA500" s="109" t="n">
        <v>0.07000000000000001</v>
      </c>
      <c r="AB500" s="109" t="n">
        <v>0.11</v>
      </c>
      <c r="AC500" s="108" t="n">
        <v>-0.01</v>
      </c>
      <c r="AD500" s="108" t="n">
        <v>-0.01</v>
      </c>
      <c r="AE500" s="111" t="inlineStr">
        <is>
          <t>N/A</t>
        </is>
      </c>
      <c r="AF500" s="108" t="n">
        <v>0.26</v>
      </c>
      <c r="AG500" s="108" t="n">
        <v>0.05</v>
      </c>
      <c r="AH500" s="108" t="n">
        <v>0.38</v>
      </c>
      <c r="AI500" s="108" t="n">
        <v>0.22</v>
      </c>
      <c r="AJ500" s="111" t="inlineStr">
        <is>
          <t>N/A</t>
        </is>
      </c>
      <c r="AK500" s="111" t="inlineStr">
        <is>
          <t>N/A</t>
        </is>
      </c>
      <c r="AL500" s="111" t="inlineStr">
        <is>
          <t>N/A</t>
        </is>
      </c>
      <c r="AM500" s="108" t="n">
        <v>0.26</v>
      </c>
      <c r="AN500" s="108" t="n">
        <v>0.05</v>
      </c>
      <c r="AO500" s="108" t="n">
        <v>0.38</v>
      </c>
      <c r="AP500" s="108" t="n">
        <v>0.22</v>
      </c>
      <c r="AQ500" s="111" t="inlineStr">
        <is>
          <t>N/A</t>
        </is>
      </c>
      <c r="AR500" s="111" t="inlineStr">
        <is>
          <t>N/A</t>
        </is>
      </c>
      <c r="AS500" s="111" t="inlineStr">
        <is>
          <t>N/A</t>
        </is>
      </c>
      <c r="AT500" s="108" t="n">
        <v>0.26</v>
      </c>
      <c r="AU500" s="108" t="n">
        <v>0.05</v>
      </c>
      <c r="AV500" s="108" t="n">
        <v>0.38</v>
      </c>
      <c r="AW500" s="111" t="inlineStr">
        <is>
          <t>N/A</t>
        </is>
      </c>
      <c r="AX500" s="111" t="inlineStr">
        <is>
          <t>N/A</t>
        </is>
      </c>
      <c r="AY500" s="111" t="inlineStr">
        <is>
          <t>N/A</t>
        </is>
      </c>
      <c r="AZ500" s="108" t="n">
        <v>0.05</v>
      </c>
      <c r="BA500" s="111" t="inlineStr">
        <is>
          <t>N/A</t>
        </is>
      </c>
      <c r="BB500" s="108" t="n">
        <v>0.22</v>
      </c>
      <c r="BC500" s="111" t="inlineStr">
        <is>
          <t>N/A</t>
        </is>
      </c>
      <c r="BD500" s="111" t="inlineStr">
        <is>
          <t>N/A</t>
        </is>
      </c>
      <c r="BE500" s="108" t="n">
        <v>0.04</v>
      </c>
      <c r="BF500" s="108" t="n">
        <v>0.71</v>
      </c>
      <c r="BG500" s="111" t="inlineStr">
        <is>
          <t>N/A</t>
        </is>
      </c>
      <c r="BH500" s="111" t="inlineStr">
        <is>
          <t>N/A</t>
        </is>
      </c>
      <c r="BI500" s="111" t="inlineStr">
        <is>
          <t>N/A</t>
        </is>
      </c>
      <c r="BJ500" s="111" t="inlineStr">
        <is>
          <t>N/A</t>
        </is>
      </c>
      <c r="BK500" s="107" t="n">
        <v>1</v>
      </c>
      <c r="BL500" s="107" t="n">
        <v>1</v>
      </c>
      <c r="BM500" s="107" t="n">
        <v>1</v>
      </c>
      <c r="BN500" s="107" t="n">
        <v>1</v>
      </c>
      <c r="BO500" s="107" t="n">
        <v>1</v>
      </c>
      <c r="BP500" s="107" t="n">
        <v>0</v>
      </c>
      <c r="BQ500" s="107" t="n">
        <v>1</v>
      </c>
      <c r="BR500" s="107" t="n">
        <v>1</v>
      </c>
      <c r="BS500" s="107" t="n">
        <v>0</v>
      </c>
      <c r="BT500" s="107" t="n">
        <v>7</v>
      </c>
      <c r="BU500" s="107" t="inlineStr">
        <is>
          <t>Strong</t>
        </is>
      </c>
      <c r="BV500" s="111" t="inlineStr">
        <is>
          <t>N/A</t>
        </is>
      </c>
      <c r="BW500" s="108" t="n">
        <v>0.9399999999999999</v>
      </c>
      <c r="BX500" s="108" t="n">
        <v>1</v>
      </c>
      <c r="BY500" s="108" t="n">
        <v>1.07</v>
      </c>
      <c r="BZ500" s="108" t="n">
        <v>1.19</v>
      </c>
      <c r="CA500" s="108" t="n">
        <v>0.97</v>
      </c>
      <c r="CB500" s="108" t="n">
        <v>0.98</v>
      </c>
      <c r="CC500" s="108" t="n">
        <v>-0.01</v>
      </c>
      <c r="CD500" s="111" t="inlineStr">
        <is>
          <t>N/A</t>
        </is>
      </c>
      <c r="CE500" s="111" t="inlineStr">
        <is>
          <t>N/A</t>
        </is>
      </c>
      <c r="CF500" s="108" t="n">
        <v>1.14</v>
      </c>
      <c r="CG500" s="108" t="n">
        <v>50.72</v>
      </c>
      <c r="CH500" s="107" t="n">
        <v>0</v>
      </c>
      <c r="CI500" s="107" t="inlineStr">
        <is>
          <t>CLEAR</t>
        </is>
      </c>
    </row>
    <row r="501" ht="17" customHeight="1">
      <c r="A501" s="103" t="inlineStr">
        <is>
          <t>INSP</t>
        </is>
      </c>
      <c r="B501" s="103" t="inlineStr">
        <is>
          <t>Inspire Medical Systems, Inc.</t>
        </is>
      </c>
      <c r="C501" s="104" t="n">
        <v>487597000</v>
      </c>
      <c r="D501" s="105" t="n">
        <v>0.62</v>
      </c>
      <c r="E501" s="105" t="n">
        <v>0.8</v>
      </c>
      <c r="F501" s="105" t="n">
        <v>1.77</v>
      </c>
      <c r="G501" s="105" t="n">
        <v>0.16</v>
      </c>
      <c r="H501" s="105" t="n">
        <v>0.07000000000000001</v>
      </c>
      <c r="I501" s="105" t="n">
        <v>0.19</v>
      </c>
      <c r="J501" s="105" t="n">
        <v>0.06</v>
      </c>
      <c r="K501" s="105" t="n">
        <v>9.49</v>
      </c>
      <c r="L501" s="105" t="n">
        <v>25.27</v>
      </c>
      <c r="M501" s="105" t="n">
        <v>0.09</v>
      </c>
      <c r="N501" s="104" t="n">
        <v>0.03</v>
      </c>
      <c r="O501" s="104" t="n">
        <v>6.08</v>
      </c>
      <c r="P501" s="104" t="n">
        <v>7.13</v>
      </c>
      <c r="Q501" s="104" t="n">
        <v>4.56</v>
      </c>
      <c r="R501" s="104" t="n">
        <v>1.09</v>
      </c>
      <c r="S501" s="104" t="n">
        <v>0.14</v>
      </c>
      <c r="T501" s="104" t="n">
        <v>0.15</v>
      </c>
      <c r="U501" s="104" t="n">
        <v>0.03</v>
      </c>
      <c r="V501" s="104" t="n">
        <v>-0.1</v>
      </c>
      <c r="W501" s="104" t="n">
        <v>0.8</v>
      </c>
      <c r="X501" s="105" t="n">
        <v>0.96</v>
      </c>
      <c r="Y501" s="105" t="n">
        <v>1.26</v>
      </c>
      <c r="Z501" s="113" t="inlineStr">
        <is>
          <t>N/A</t>
        </is>
      </c>
      <c r="AA501" s="105" t="n">
        <v>2.05</v>
      </c>
      <c r="AB501" s="105" t="n">
        <v>1.72</v>
      </c>
      <c r="AC501" s="104" t="n">
        <v>0.03</v>
      </c>
      <c r="AD501" s="104" t="n">
        <v>0.03</v>
      </c>
      <c r="AE501" s="104" t="n">
        <v>0.54</v>
      </c>
      <c r="AF501" s="104" t="n">
        <v>-0.16</v>
      </c>
      <c r="AG501" s="104" t="n">
        <v>0.06</v>
      </c>
      <c r="AH501" s="104" t="n">
        <v>6.19</v>
      </c>
      <c r="AI501" s="104" t="n">
        <v>0.09</v>
      </c>
      <c r="AJ501" s="104" t="n">
        <v>4.41</v>
      </c>
      <c r="AK501" s="110" t="inlineStr">
        <is>
          <t>Safe</t>
        </is>
      </c>
      <c r="AL501" s="104" t="n">
        <v>0.54</v>
      </c>
      <c r="AM501" s="104" t="n">
        <v>-0.16</v>
      </c>
      <c r="AN501" s="104" t="n">
        <v>0.06</v>
      </c>
      <c r="AO501" s="104" t="n">
        <v>6.19</v>
      </c>
      <c r="AP501" s="104" t="n">
        <v>0.09</v>
      </c>
      <c r="AQ501" s="103" t="n">
        <v>3.11</v>
      </c>
      <c r="AR501" s="103" t="inlineStr">
        <is>
          <t>Safe</t>
        </is>
      </c>
      <c r="AS501" s="104" t="n">
        <v>0.54</v>
      </c>
      <c r="AT501" s="104" t="n">
        <v>-0.16</v>
      </c>
      <c r="AU501" s="104" t="n">
        <v>0.06</v>
      </c>
      <c r="AV501" s="104" t="n">
        <v>6.19</v>
      </c>
      <c r="AW501" s="103" t="n">
        <v>9.880000000000001</v>
      </c>
      <c r="AX501" s="103" t="inlineStr">
        <is>
          <t>Safe</t>
        </is>
      </c>
      <c r="AY501" s="104" t="n">
        <v>0.54</v>
      </c>
      <c r="AZ501" s="104" t="n">
        <v>0.06</v>
      </c>
      <c r="BA501" s="104" t="n">
        <v>0.68</v>
      </c>
      <c r="BB501" s="104" t="n">
        <v>0.09</v>
      </c>
      <c r="BC501" s="103" t="n">
        <v>1.21</v>
      </c>
      <c r="BD501" s="103" t="inlineStr">
        <is>
          <t>Healthy</t>
        </is>
      </c>
      <c r="BE501" s="104" t="n">
        <v>0.16</v>
      </c>
      <c r="BF501" s="104" t="n">
        <v>0.14</v>
      </c>
      <c r="BG501" s="104" t="n">
        <v>6.08</v>
      </c>
      <c r="BH501" s="104" t="n">
        <v>-4.25</v>
      </c>
      <c r="BI501" s="103" t="n">
        <v>0.01</v>
      </c>
      <c r="BJ501" s="103" t="inlineStr">
        <is>
          <t>Healthy</t>
        </is>
      </c>
      <c r="BK501" s="103" t="n">
        <v>1</v>
      </c>
      <c r="BL501" s="103" t="n">
        <v>1</v>
      </c>
      <c r="BM501" s="103" t="n">
        <v>1</v>
      </c>
      <c r="BN501" s="103" t="n">
        <v>0</v>
      </c>
      <c r="BO501" s="103" t="n">
        <v>1</v>
      </c>
      <c r="BP501" s="103" t="n">
        <v>0</v>
      </c>
      <c r="BQ501" s="103" t="n">
        <v>1</v>
      </c>
      <c r="BR501" s="103" t="n">
        <v>0</v>
      </c>
      <c r="BS501" s="103" t="n">
        <v>1</v>
      </c>
      <c r="BT501" s="103" t="n">
        <v>6</v>
      </c>
      <c r="BU501" s="103" t="inlineStr">
        <is>
          <t>Mixed</t>
        </is>
      </c>
      <c r="BV501" s="104" t="n">
        <v>0.42</v>
      </c>
      <c r="BW501" s="104" t="n">
        <v>2.66</v>
      </c>
      <c r="BX501" s="104" t="n">
        <v>1.9</v>
      </c>
      <c r="BY501" s="104" t="n">
        <v>3.05</v>
      </c>
      <c r="BZ501" s="104" t="n">
        <v>0.67</v>
      </c>
      <c r="CA501" s="104" t="n">
        <v>0.39</v>
      </c>
      <c r="CB501" s="104" t="n">
        <v>0.95</v>
      </c>
      <c r="CC501" s="104" t="n">
        <v>0.03</v>
      </c>
      <c r="CD501" s="103" t="n">
        <v>0.29</v>
      </c>
      <c r="CE501" s="103" t="inlineStr">
        <is>
          <t>Higher Risk</t>
        </is>
      </c>
      <c r="CF501" s="104" t="n">
        <v>-1.24</v>
      </c>
      <c r="CG501" s="104" t="n">
        <v>55.9</v>
      </c>
      <c r="CH501" s="103" t="n">
        <v>20</v>
      </c>
      <c r="CI501" s="103" t="inlineStr">
        <is>
          <t>CLEAR</t>
        </is>
      </c>
    </row>
    <row r="502" ht="17" customHeight="1">
      <c r="A502" s="107" t="inlineStr">
        <is>
          <t>UBER</t>
        </is>
      </c>
      <c r="B502" s="107" t="inlineStr">
        <is>
          <t>UBER TECHNOLOGIES, INC.</t>
        </is>
      </c>
      <c r="C502" s="108" t="n">
        <v>1673000000</v>
      </c>
      <c r="D502" s="109" t="n">
        <v>0.11</v>
      </c>
      <c r="E502" s="109" t="n">
        <v>0.09</v>
      </c>
      <c r="F502" s="109" t="n">
        <v>0.19</v>
      </c>
      <c r="G502" s="109" t="n">
        <v>0.16</v>
      </c>
      <c r="H502" s="109" t="n">
        <v>0.19</v>
      </c>
      <c r="I502" s="109" t="n">
        <v>0.37</v>
      </c>
      <c r="J502" s="109" t="n">
        <v>0.11</v>
      </c>
      <c r="K502" s="111" t="inlineStr">
        <is>
          <t>N/A</t>
        </is>
      </c>
      <c r="L502" s="111" t="inlineStr">
        <is>
          <t>N/A</t>
        </is>
      </c>
      <c r="M502" s="109" t="n">
        <v>0.84</v>
      </c>
      <c r="N502" s="108" t="n">
        <v>0.86</v>
      </c>
      <c r="O502" s="108" t="n">
        <v>1.14</v>
      </c>
      <c r="P502" s="108" t="n">
        <v>1.07</v>
      </c>
      <c r="Q502" s="108" t="n">
        <v>1.14</v>
      </c>
      <c r="R502" s="108" t="n">
        <v>0.58</v>
      </c>
      <c r="S502" s="108" t="n">
        <v>0.55</v>
      </c>
      <c r="T502" s="108" t="n">
        <v>0.5600000000000001</v>
      </c>
      <c r="U502" s="108" t="n">
        <v>0.39</v>
      </c>
      <c r="V502" s="108" t="n">
        <v>0.13</v>
      </c>
      <c r="W502" s="108" t="n">
        <v>1</v>
      </c>
      <c r="X502" s="109" t="n">
        <v>0.19</v>
      </c>
      <c r="Y502" s="109" t="n">
        <v>0.07000000000000001</v>
      </c>
      <c r="Z502" s="109" t="n">
        <v>8.789999999999999</v>
      </c>
      <c r="AA502" s="109" t="n">
        <v>0.18</v>
      </c>
      <c r="AB502" s="109" t="n">
        <v>0.02</v>
      </c>
      <c r="AC502" s="108" t="n">
        <v>-0</v>
      </c>
      <c r="AD502" s="108" t="n">
        <v>-0</v>
      </c>
      <c r="AE502" s="108" t="n">
        <v>0.03</v>
      </c>
      <c r="AF502" s="108" t="n">
        <v>-0.17</v>
      </c>
      <c r="AG502" s="108" t="n">
        <v>0.09</v>
      </c>
      <c r="AH502" s="108" t="n">
        <v>0.8</v>
      </c>
      <c r="AI502" s="108" t="n">
        <v>0.84</v>
      </c>
      <c r="AJ502" s="108" t="n">
        <v>1.41</v>
      </c>
      <c r="AK502" s="112" t="inlineStr">
        <is>
          <t>Distress</t>
        </is>
      </c>
      <c r="AL502" s="108" t="n">
        <v>0.03</v>
      </c>
      <c r="AM502" s="108" t="n">
        <v>-0.17</v>
      </c>
      <c r="AN502" s="108" t="n">
        <v>0.09</v>
      </c>
      <c r="AO502" s="108" t="n">
        <v>0.8</v>
      </c>
      <c r="AP502" s="108" t="n">
        <v>0.84</v>
      </c>
      <c r="AQ502" s="107" t="n">
        <v>1.33</v>
      </c>
      <c r="AR502" s="107" t="inlineStr">
        <is>
          <t>Grey</t>
        </is>
      </c>
      <c r="AS502" s="108" t="n">
        <v>0.03</v>
      </c>
      <c r="AT502" s="108" t="n">
        <v>-0.17</v>
      </c>
      <c r="AU502" s="108" t="n">
        <v>0.09</v>
      </c>
      <c r="AV502" s="108" t="n">
        <v>0.8</v>
      </c>
      <c r="AW502" s="107" t="n">
        <v>1.06</v>
      </c>
      <c r="AX502" s="107" t="inlineStr">
        <is>
          <t>Distress</t>
        </is>
      </c>
      <c r="AY502" s="108" t="n">
        <v>0.03</v>
      </c>
      <c r="AZ502" s="108" t="n">
        <v>0.09</v>
      </c>
      <c r="BA502" s="108" t="n">
        <v>0.38</v>
      </c>
      <c r="BB502" s="108" t="n">
        <v>0.84</v>
      </c>
      <c r="BC502" s="107" t="n">
        <v>0.89</v>
      </c>
      <c r="BD502" s="107" t="inlineStr">
        <is>
          <t>Healthy</t>
        </is>
      </c>
      <c r="BE502" s="108" t="n">
        <v>0.16</v>
      </c>
      <c r="BF502" s="108" t="n">
        <v>0.55</v>
      </c>
      <c r="BG502" s="108" t="n">
        <v>1.14</v>
      </c>
      <c r="BH502" s="108" t="n">
        <v>-1.97</v>
      </c>
      <c r="BI502" s="107" t="n">
        <v>0.12</v>
      </c>
      <c r="BJ502" s="107" t="inlineStr">
        <is>
          <t>Healthy</t>
        </is>
      </c>
      <c r="BK502" s="107" t="n">
        <v>1</v>
      </c>
      <c r="BL502" s="107" t="n">
        <v>1</v>
      </c>
      <c r="BM502" s="107" t="n">
        <v>0</v>
      </c>
      <c r="BN502" s="107" t="n">
        <v>1</v>
      </c>
      <c r="BO502" s="107" t="n">
        <v>1</v>
      </c>
      <c r="BP502" s="107" t="n">
        <v>1</v>
      </c>
      <c r="BQ502" s="107" t="n">
        <v>1</v>
      </c>
      <c r="BR502" s="107" t="n">
        <v>0</v>
      </c>
      <c r="BS502" s="107" t="n">
        <v>0</v>
      </c>
      <c r="BT502" s="107" t="n">
        <v>6</v>
      </c>
      <c r="BU502" s="107" t="inlineStr">
        <is>
          <t>Mixed</t>
        </is>
      </c>
      <c r="BV502" s="108" t="n">
        <v>0.97</v>
      </c>
      <c r="BW502" s="111" t="inlineStr">
        <is>
          <t>N/A</t>
        </is>
      </c>
      <c r="BX502" s="108" t="n">
        <v>1.03</v>
      </c>
      <c r="BY502" s="108" t="n">
        <v>1.18</v>
      </c>
      <c r="BZ502" s="108" t="n">
        <v>0.99</v>
      </c>
      <c r="CA502" s="108" t="n">
        <v>0.75</v>
      </c>
      <c r="CB502" s="108" t="n">
        <v>0.97</v>
      </c>
      <c r="CC502" s="108" t="n">
        <v>-0</v>
      </c>
      <c r="CD502" s="111" t="inlineStr">
        <is>
          <t>N/A</t>
        </is>
      </c>
      <c r="CE502" s="111" t="inlineStr">
        <is>
          <t>N/A</t>
        </is>
      </c>
      <c r="CF502" s="108" t="n">
        <v>0.5600000000000001</v>
      </c>
      <c r="CG502" s="108" t="n">
        <v>52.22</v>
      </c>
      <c r="CH502" s="107" t="n">
        <v>0</v>
      </c>
      <c r="CI502" s="107" t="inlineStr">
        <is>
          <t>CLEAR</t>
        </is>
      </c>
    </row>
    <row r="503" ht="17" customHeight="1">
      <c r="A503" s="103" t="inlineStr">
        <is>
          <t>NRG</t>
        </is>
      </c>
      <c r="B503" s="103" t="inlineStr">
        <is>
          <t>NRG Energy, Inc</t>
        </is>
      </c>
      <c r="C503" s="104" t="n">
        <v>5118000000</v>
      </c>
      <c r="D503" s="105" t="n">
        <v>0.06</v>
      </c>
      <c r="E503" s="105" t="n">
        <v>0.04</v>
      </c>
      <c r="F503" s="105" t="n">
        <v>0.03</v>
      </c>
      <c r="G503" s="105" t="n">
        <v>0.03</v>
      </c>
      <c r="H503" s="105" t="n">
        <v>0.05</v>
      </c>
      <c r="I503" s="105" t="n">
        <v>0.51</v>
      </c>
      <c r="J503" s="105" t="n">
        <v>0.09</v>
      </c>
      <c r="K503" s="105" t="n">
        <v>0.79</v>
      </c>
      <c r="L503" s="105" t="n">
        <v>0.74</v>
      </c>
      <c r="M503" s="105" t="n">
        <v>1.05</v>
      </c>
      <c r="N503" s="104" t="n">
        <v>1.17</v>
      </c>
      <c r="O503" s="104" t="n">
        <v>1.64</v>
      </c>
      <c r="P503" s="104" t="n">
        <v>1.02</v>
      </c>
      <c r="Q503" s="104" t="n">
        <v>1.58</v>
      </c>
      <c r="R503" s="104" t="n">
        <v>0.59</v>
      </c>
      <c r="S503" s="104" t="n">
        <v>0.9399999999999999</v>
      </c>
      <c r="T503" s="104" t="n">
        <v>0.9</v>
      </c>
      <c r="U503" s="104" t="n">
        <v>6.48</v>
      </c>
      <c r="V503" s="104" t="n">
        <v>3.68</v>
      </c>
      <c r="W503" s="104" t="n">
        <v>2.21</v>
      </c>
      <c r="X503" s="105" t="n">
        <v>0.02</v>
      </c>
      <c r="Y503" s="105" t="n">
        <v>0</v>
      </c>
      <c r="Z503" s="105" t="n">
        <v>2.77</v>
      </c>
      <c r="AA503" s="105" t="n">
        <v>0.09</v>
      </c>
      <c r="AB503" s="105" t="n">
        <v>-0.23</v>
      </c>
      <c r="AC503" s="104" t="n">
        <v>-0.04</v>
      </c>
      <c r="AD503" s="104" t="n">
        <v>-0.04</v>
      </c>
      <c r="AE503" s="104" t="n">
        <v>0.18</v>
      </c>
      <c r="AF503" s="104" t="n">
        <v>0.07000000000000001</v>
      </c>
      <c r="AG503" s="104" t="n">
        <v>0.06</v>
      </c>
      <c r="AH503" s="104" t="n">
        <v>0.06</v>
      </c>
      <c r="AI503" s="104" t="n">
        <v>1.05</v>
      </c>
      <c r="AJ503" s="104" t="n">
        <v>1.61</v>
      </c>
      <c r="AK503" s="112" t="inlineStr">
        <is>
          <t>Distress</t>
        </is>
      </c>
      <c r="AL503" s="104" t="n">
        <v>0.18</v>
      </c>
      <c r="AM503" s="104" t="n">
        <v>0.07000000000000001</v>
      </c>
      <c r="AN503" s="104" t="n">
        <v>0.06</v>
      </c>
      <c r="AO503" s="104" t="n">
        <v>0.06</v>
      </c>
      <c r="AP503" s="104" t="n">
        <v>1.05</v>
      </c>
      <c r="AQ503" s="103" t="n">
        <v>1.46</v>
      </c>
      <c r="AR503" s="103" t="inlineStr">
        <is>
          <t>Grey</t>
        </is>
      </c>
      <c r="AS503" s="104" t="n">
        <v>0.18</v>
      </c>
      <c r="AT503" s="104" t="n">
        <v>0.07000000000000001</v>
      </c>
      <c r="AU503" s="104" t="n">
        <v>0.06</v>
      </c>
      <c r="AV503" s="104" t="n">
        <v>0.06</v>
      </c>
      <c r="AW503" s="103" t="n">
        <v>1.86</v>
      </c>
      <c r="AX503" s="103" t="inlineStr">
        <is>
          <t>Grey</t>
        </is>
      </c>
      <c r="AY503" s="104" t="n">
        <v>0.18</v>
      </c>
      <c r="AZ503" s="104" t="n">
        <v>0.06</v>
      </c>
      <c r="BA503" s="104" t="n">
        <v>0.14</v>
      </c>
      <c r="BB503" s="104" t="n">
        <v>1.05</v>
      </c>
      <c r="BC503" s="103" t="n">
        <v>0.89</v>
      </c>
      <c r="BD503" s="103" t="inlineStr">
        <is>
          <t>Healthy</t>
        </is>
      </c>
      <c r="BE503" s="104" t="n">
        <v>0.03</v>
      </c>
      <c r="BF503" s="104" t="n">
        <v>0.9399999999999999</v>
      </c>
      <c r="BG503" s="104" t="n">
        <v>1.64</v>
      </c>
      <c r="BH503" s="104" t="n">
        <v>0.89</v>
      </c>
      <c r="BI503" s="103" t="n">
        <v>0.71</v>
      </c>
      <c r="BJ503" s="103" t="inlineStr">
        <is>
          <t>Distress</t>
        </is>
      </c>
      <c r="BK503" s="103" t="n">
        <v>1</v>
      </c>
      <c r="BL503" s="103" t="n">
        <v>1</v>
      </c>
      <c r="BM503" s="103" t="n">
        <v>0</v>
      </c>
      <c r="BN503" s="103" t="n">
        <v>1</v>
      </c>
      <c r="BO503" s="103" t="n">
        <v>1</v>
      </c>
      <c r="BP503" s="103" t="n">
        <v>1</v>
      </c>
      <c r="BQ503" s="103" t="n">
        <v>1</v>
      </c>
      <c r="BR503" s="103" t="n">
        <v>1</v>
      </c>
      <c r="BS503" s="103" t="n">
        <v>0</v>
      </c>
      <c r="BT503" s="103" t="n">
        <v>7</v>
      </c>
      <c r="BU503" s="103" t="inlineStr">
        <is>
          <t>Strong</t>
        </is>
      </c>
      <c r="BV503" s="104" t="n">
        <v>1.07</v>
      </c>
      <c r="BW503" s="104" t="n">
        <v>0.9399999999999999</v>
      </c>
      <c r="BX503" s="104" t="n">
        <v>9.279999999999999</v>
      </c>
      <c r="BY503" s="104" t="n">
        <v>1.09</v>
      </c>
      <c r="BZ503" s="104" t="n">
        <v>0.29</v>
      </c>
      <c r="CA503" s="104" t="n">
        <v>1.17</v>
      </c>
      <c r="CB503" s="104" t="n">
        <v>1.05</v>
      </c>
      <c r="CC503" s="104" t="n">
        <v>-0.04</v>
      </c>
      <c r="CD503" s="103" t="n">
        <v>0.68</v>
      </c>
      <c r="CE503" s="103" t="inlineStr">
        <is>
          <t>Higher Risk</t>
        </is>
      </c>
      <c r="CF503" s="104" t="n">
        <v>1.9</v>
      </c>
      <c r="CG503" s="104" t="n">
        <v>50.82</v>
      </c>
      <c r="CH503" s="103" t="n">
        <v>20</v>
      </c>
      <c r="CI503" s="103" t="inlineStr">
        <is>
          <t>CLEAR</t>
        </is>
      </c>
    </row>
    <row r="504" ht="17" customHeight="1">
      <c r="A504" s="107" t="inlineStr">
        <is>
          <t>DELL</t>
        </is>
      </c>
      <c r="B504" s="107" t="inlineStr">
        <is>
          <t>Dell Technologies Inc.</t>
        </is>
      </c>
      <c r="C504" s="108" t="n">
        <v>-5667000000</v>
      </c>
      <c r="D504" s="109" t="n">
        <v>0.07000000000000001</v>
      </c>
      <c r="E504" s="109" t="n">
        <v>0.06</v>
      </c>
      <c r="F504" s="109" t="n">
        <v>0.05</v>
      </c>
      <c r="G504" s="109" t="n">
        <v>0.06</v>
      </c>
      <c r="H504" s="109" t="n">
        <v>0.06</v>
      </c>
      <c r="I504" s="109" t="n">
        <v>-2.4</v>
      </c>
      <c r="J504" s="109" t="n">
        <v>0.21</v>
      </c>
      <c r="K504" s="109" t="n">
        <v>0.2</v>
      </c>
      <c r="L504" s="109" t="n">
        <v>0.22</v>
      </c>
      <c r="M504" s="109" t="n">
        <v>1.12</v>
      </c>
      <c r="N504" s="108" t="n">
        <v>1.2</v>
      </c>
      <c r="O504" s="108" t="n">
        <v>0.91</v>
      </c>
      <c r="P504" s="108" t="n">
        <v>0.78</v>
      </c>
      <c r="Q504" s="108" t="n">
        <v>0.75</v>
      </c>
      <c r="R504" s="108" t="n">
        <v>0.18</v>
      </c>
      <c r="S504" s="108" t="n">
        <v>1.02</v>
      </c>
      <c r="T504" s="108" t="n">
        <v>1.02</v>
      </c>
      <c r="U504" s="108" t="n">
        <v>-15.99</v>
      </c>
      <c r="V504" s="108" t="n">
        <v>-11.32</v>
      </c>
      <c r="W504" s="108" t="n">
        <v>1.88</v>
      </c>
      <c r="X504" s="109" t="n">
        <v>0.08</v>
      </c>
      <c r="Y504" s="109" t="n">
        <v>0.03</v>
      </c>
      <c r="Z504" s="109" t="n">
        <v>5.43</v>
      </c>
      <c r="AA504" s="109" t="n">
        <v>0.19</v>
      </c>
      <c r="AB504" s="109" t="n">
        <v>0.29</v>
      </c>
      <c r="AC504" s="108" t="n">
        <v>-0.05</v>
      </c>
      <c r="AD504" s="108" t="n">
        <v>-0.05</v>
      </c>
      <c r="AE504" s="108" t="n">
        <v>-0.06</v>
      </c>
      <c r="AF504" s="108" t="n">
        <v>0.03</v>
      </c>
      <c r="AG504" s="108" t="n">
        <v>0.08</v>
      </c>
      <c r="AH504" s="108" t="n">
        <v>-0.02</v>
      </c>
      <c r="AI504" s="108" t="n">
        <v>1.12</v>
      </c>
      <c r="AJ504" s="108" t="n">
        <v>1.35</v>
      </c>
      <c r="AK504" s="112" t="inlineStr">
        <is>
          <t>Distress</t>
        </is>
      </c>
      <c r="AL504" s="108" t="n">
        <v>-0.06</v>
      </c>
      <c r="AM504" s="108" t="n">
        <v>0.03</v>
      </c>
      <c r="AN504" s="108" t="n">
        <v>0.08</v>
      </c>
      <c r="AO504" s="108" t="n">
        <v>-0.02</v>
      </c>
      <c r="AP504" s="108" t="n">
        <v>1.12</v>
      </c>
      <c r="AQ504" s="107" t="n">
        <v>1.35</v>
      </c>
      <c r="AR504" s="107" t="inlineStr">
        <is>
          <t>Grey</t>
        </is>
      </c>
      <c r="AS504" s="108" t="n">
        <v>-0.06</v>
      </c>
      <c r="AT504" s="108" t="n">
        <v>0.03</v>
      </c>
      <c r="AU504" s="108" t="n">
        <v>0.08</v>
      </c>
      <c r="AV504" s="108" t="n">
        <v>-0.02</v>
      </c>
      <c r="AW504" s="107" t="n">
        <v>0.26</v>
      </c>
      <c r="AX504" s="107" t="inlineStr">
        <is>
          <t>Distress</t>
        </is>
      </c>
      <c r="AY504" s="108" t="n">
        <v>-0.06</v>
      </c>
      <c r="AZ504" s="108" t="n">
        <v>0.08</v>
      </c>
      <c r="BA504" s="108" t="n">
        <v>0.11</v>
      </c>
      <c r="BB504" s="108" t="n">
        <v>1.12</v>
      </c>
      <c r="BC504" s="107" t="n">
        <v>0.71</v>
      </c>
      <c r="BD504" s="107" t="inlineStr">
        <is>
          <t>Distress</t>
        </is>
      </c>
      <c r="BE504" s="108" t="n">
        <v>0.06</v>
      </c>
      <c r="BF504" s="108" t="n">
        <v>1.02</v>
      </c>
      <c r="BG504" s="108" t="n">
        <v>0.91</v>
      </c>
      <c r="BH504" s="108" t="n">
        <v>1.22</v>
      </c>
      <c r="BI504" s="107" t="n">
        <v>0.77</v>
      </c>
      <c r="BJ504" s="107" t="inlineStr">
        <is>
          <t>Distress</t>
        </is>
      </c>
      <c r="BK504" s="107" t="n">
        <v>1</v>
      </c>
      <c r="BL504" s="107" t="n">
        <v>1</v>
      </c>
      <c r="BM504" s="107" t="n">
        <v>1</v>
      </c>
      <c r="BN504" s="107" t="n">
        <v>1</v>
      </c>
      <c r="BO504" s="107" t="n">
        <v>0</v>
      </c>
      <c r="BP504" s="107" t="n">
        <v>1</v>
      </c>
      <c r="BQ504" s="107" t="n">
        <v>1</v>
      </c>
      <c r="BR504" s="107" t="n">
        <v>0</v>
      </c>
      <c r="BS504" s="107" t="n">
        <v>0</v>
      </c>
      <c r="BT504" s="107" t="n">
        <v>6</v>
      </c>
      <c r="BU504" s="107" t="inlineStr">
        <is>
          <t>Mixed</t>
        </is>
      </c>
      <c r="BV504" s="108" t="n">
        <v>1.44</v>
      </c>
      <c r="BW504" s="108" t="n">
        <v>1.11</v>
      </c>
      <c r="BX504" s="108" t="n">
        <v>0.78</v>
      </c>
      <c r="BY504" s="108" t="n">
        <v>1.19</v>
      </c>
      <c r="BZ504" s="108" t="n">
        <v>1.06</v>
      </c>
      <c r="CA504" s="108" t="n">
        <v>0.8</v>
      </c>
      <c r="CB504" s="108" t="n">
        <v>1.01</v>
      </c>
      <c r="CC504" s="108" t="n">
        <v>-0.05</v>
      </c>
      <c r="CD504" s="107" t="n">
        <v>-2.14</v>
      </c>
      <c r="CE504" s="107" t="inlineStr">
        <is>
          <t>Higher Risk</t>
        </is>
      </c>
      <c r="CF504" s="108" t="n">
        <v>2.5</v>
      </c>
      <c r="CG504" s="108" t="n">
        <v>46.55</v>
      </c>
      <c r="CH504" s="107" t="n">
        <v>20</v>
      </c>
      <c r="CI504" s="107" t="inlineStr">
        <is>
          <t>CLEAR</t>
        </is>
      </c>
    </row>
    <row r="505" ht="17" customHeight="1">
      <c r="A505" s="103" t="inlineStr">
        <is>
          <t>MANH</t>
        </is>
      </c>
      <c r="B505" s="103" t="inlineStr">
        <is>
          <t>MANHATTAN ASSOCIATES, INC.</t>
        </is>
      </c>
      <c r="C505" s="104" t="n">
        <v>127425000</v>
      </c>
      <c r="D505" s="105" t="n">
        <v>2.13</v>
      </c>
      <c r="E505" s="105" t="n">
        <v>2.18</v>
      </c>
      <c r="F505" s="105" t="n">
        <v>1.68</v>
      </c>
      <c r="G505" s="105" t="n">
        <v>0.26</v>
      </c>
      <c r="H505" s="105" t="n">
        <v>0.29</v>
      </c>
      <c r="I505" s="105" t="n">
        <v>0.7</v>
      </c>
      <c r="J505" s="105" t="n">
        <v>0.73</v>
      </c>
      <c r="K505" s="105" t="n">
        <v>-2.6</v>
      </c>
      <c r="L505" s="105" t="n">
        <v>-2.5</v>
      </c>
      <c r="M505" s="105" t="n">
        <v>0.16</v>
      </c>
      <c r="N505" s="104" t="n">
        <v>0.18</v>
      </c>
      <c r="O505" s="104" t="n">
        <v>1.28</v>
      </c>
      <c r="P505" s="104" t="n">
        <v>1.26</v>
      </c>
      <c r="Q505" s="104" t="n">
        <v>1.28</v>
      </c>
      <c r="R505" s="104" t="n">
        <v>0.72</v>
      </c>
      <c r="S505" s="104" t="n">
        <v>1</v>
      </c>
      <c r="T505" s="104" t="n">
        <v>1</v>
      </c>
      <c r="U505" s="113" t="inlineStr">
        <is>
          <t>N/A</t>
        </is>
      </c>
      <c r="V505" s="113" t="inlineStr">
        <is>
          <t>N/A</t>
        </is>
      </c>
      <c r="W505" s="104" t="n">
        <v>1.77</v>
      </c>
      <c r="X505" s="105" t="n">
        <v>2.85</v>
      </c>
      <c r="Y505" s="105" t="n">
        <v>1.1</v>
      </c>
      <c r="Z505" s="113" t="inlineStr">
        <is>
          <t>N/A</t>
        </is>
      </c>
      <c r="AA505" s="105" t="n">
        <v>-0.02</v>
      </c>
      <c r="AB505" s="105" t="n">
        <v>0.01</v>
      </c>
      <c r="AC505" s="104" t="n">
        <v>-0.2</v>
      </c>
      <c r="AD505" s="104" t="n">
        <v>-0.2</v>
      </c>
      <c r="AE505" s="104" t="n">
        <v>0.15</v>
      </c>
      <c r="AF505" s="104" t="n">
        <v>0.41</v>
      </c>
      <c r="AG505" s="104" t="n">
        <v>0.33</v>
      </c>
      <c r="AH505" s="104" t="n">
        <v>0.37</v>
      </c>
      <c r="AI505" s="104" t="n">
        <v>0.16</v>
      </c>
      <c r="AJ505" s="104" t="n">
        <v>2.24</v>
      </c>
      <c r="AK505" s="106" t="inlineStr">
        <is>
          <t>Grey</t>
        </is>
      </c>
      <c r="AL505" s="104" t="n">
        <v>0.15</v>
      </c>
      <c r="AM505" s="104" t="n">
        <v>0.41</v>
      </c>
      <c r="AN505" s="104" t="n">
        <v>0.33</v>
      </c>
      <c r="AO505" s="104" t="n">
        <v>0.37</v>
      </c>
      <c r="AP505" s="104" t="n">
        <v>0.16</v>
      </c>
      <c r="AQ505" s="103" t="n">
        <v>1.81</v>
      </c>
      <c r="AR505" s="103" t="inlineStr">
        <is>
          <t>Grey</t>
        </is>
      </c>
      <c r="AS505" s="104" t="n">
        <v>0.15</v>
      </c>
      <c r="AT505" s="104" t="n">
        <v>0.41</v>
      </c>
      <c r="AU505" s="104" t="n">
        <v>0.33</v>
      </c>
      <c r="AV505" s="104" t="n">
        <v>0.37</v>
      </c>
      <c r="AW505" s="103" t="n">
        <v>4.97</v>
      </c>
      <c r="AX505" s="103" t="inlineStr">
        <is>
          <t>Safe</t>
        </is>
      </c>
      <c r="AY505" s="104" t="n">
        <v>0.15</v>
      </c>
      <c r="AZ505" s="104" t="n">
        <v>0.33</v>
      </c>
      <c r="BA505" s="104" t="n">
        <v>0.63</v>
      </c>
      <c r="BB505" s="104" t="n">
        <v>0.16</v>
      </c>
      <c r="BC505" s="103" t="n">
        <v>1.66</v>
      </c>
      <c r="BD505" s="103" t="inlineStr">
        <is>
          <t>Healthy</t>
        </is>
      </c>
      <c r="BE505" s="104" t="n">
        <v>0.26</v>
      </c>
      <c r="BF505" s="104" t="n">
        <v>1</v>
      </c>
      <c r="BG505" s="104" t="n">
        <v>1.28</v>
      </c>
      <c r="BH505" s="104" t="n">
        <v>0.17</v>
      </c>
      <c r="BI505" s="103" t="n">
        <v>0.54</v>
      </c>
      <c r="BJ505" s="103" t="inlineStr">
        <is>
          <t>Distress</t>
        </is>
      </c>
      <c r="BK505" s="103" t="n">
        <v>1</v>
      </c>
      <c r="BL505" s="103" t="n">
        <v>1</v>
      </c>
      <c r="BM505" s="103" t="n">
        <v>0</v>
      </c>
      <c r="BN505" s="103" t="n">
        <v>1</v>
      </c>
      <c r="BO505" s="103" t="n">
        <v>0</v>
      </c>
      <c r="BP505" s="103" t="n">
        <v>1</v>
      </c>
      <c r="BQ505" s="103" t="n">
        <v>1</v>
      </c>
      <c r="BR505" s="103" t="n">
        <v>0</v>
      </c>
      <c r="BS505" s="103" t="n">
        <v>0</v>
      </c>
      <c r="BT505" s="103" t="n">
        <v>5</v>
      </c>
      <c r="BU505" s="103" t="inlineStr">
        <is>
          <t>Mixed</t>
        </is>
      </c>
      <c r="BV505" s="104" t="n">
        <v>1.07</v>
      </c>
      <c r="BW505" s="104" t="n">
        <v>0.96</v>
      </c>
      <c r="BX505" s="104" t="n">
        <v>0.87</v>
      </c>
      <c r="BY505" s="104" t="n">
        <v>0.98</v>
      </c>
      <c r="BZ505" s="104" t="n">
        <v>1.45</v>
      </c>
      <c r="CA505" s="104" t="n">
        <v>1.07</v>
      </c>
      <c r="CB505" s="104" t="n">
        <v>1</v>
      </c>
      <c r="CC505" s="104" t="n">
        <v>-0.2</v>
      </c>
      <c r="CD505" s="103" t="n">
        <v>-3.41</v>
      </c>
      <c r="CE505" s="103" t="inlineStr">
        <is>
          <t>Lower Risk</t>
        </is>
      </c>
      <c r="CF505" s="113" t="inlineStr">
        <is>
          <t>N/A</t>
        </is>
      </c>
      <c r="CG505" s="104" t="n">
        <v>49.27</v>
      </c>
      <c r="CH505" s="103" t="n">
        <v>20</v>
      </c>
      <c r="CI505" s="103" t="inlineStr">
        <is>
          <t>CLEAR</t>
        </is>
      </c>
    </row>
    <row r="506" ht="17" customHeight="1">
      <c r="A506" s="107" t="inlineStr">
        <is>
          <t>NOW</t>
        </is>
      </c>
      <c r="B506" s="107" t="inlineStr">
        <is>
          <t>ServiceNow, Inc.</t>
        </is>
      </c>
      <c r="C506" s="108" t="n">
        <v>28000000</v>
      </c>
      <c r="D506" s="109" t="n">
        <v>0.9399999999999999</v>
      </c>
      <c r="E506" s="109" t="n">
        <v>1.17</v>
      </c>
      <c r="F506" s="109" t="n">
        <v>0.9</v>
      </c>
      <c r="G506" s="109" t="n">
        <v>0.07000000000000001</v>
      </c>
      <c r="H506" s="109" t="n">
        <v>0.07000000000000001</v>
      </c>
      <c r="I506" s="109" t="n">
        <v>0.13</v>
      </c>
      <c r="J506" s="109" t="n">
        <v>0.12</v>
      </c>
      <c r="K506" s="109" t="n">
        <v>5.33</v>
      </c>
      <c r="L506" s="109" t="n">
        <v>6.25</v>
      </c>
      <c r="M506" s="109" t="n">
        <v>0.07000000000000001</v>
      </c>
      <c r="N506" s="108" t="n">
        <v>0.07000000000000001</v>
      </c>
      <c r="O506" s="108" t="n">
        <v>1</v>
      </c>
      <c r="P506" s="108" t="n">
        <v>1.1</v>
      </c>
      <c r="Q506" s="108" t="n">
        <v>1</v>
      </c>
      <c r="R506" s="108" t="n">
        <v>0.36</v>
      </c>
      <c r="S506" s="108" t="n">
        <v>0.5</v>
      </c>
      <c r="T506" s="108" t="n">
        <v>0.53</v>
      </c>
      <c r="U506" s="108" t="n">
        <v>0</v>
      </c>
      <c r="V506" s="108" t="n">
        <v>-0.29</v>
      </c>
      <c r="W506" s="108" t="n">
        <v>3.11</v>
      </c>
      <c r="X506" s="109" t="n">
        <v>2.37</v>
      </c>
      <c r="Y506" s="109" t="n">
        <v>1.53</v>
      </c>
      <c r="Z506" s="109" t="n">
        <v>67.56</v>
      </c>
      <c r="AA506" s="109" t="n">
        <v>0.39</v>
      </c>
      <c r="AB506" s="109" t="n">
        <v>0.23</v>
      </c>
      <c r="AC506" s="108" t="n">
        <v>-0.14</v>
      </c>
      <c r="AD506" s="108" t="n">
        <v>-0.14</v>
      </c>
      <c r="AE506" s="108" t="n">
        <v>0</v>
      </c>
      <c r="AF506" s="108" t="n">
        <v>0.2</v>
      </c>
      <c r="AG506" s="108" t="n">
        <v>0.07000000000000001</v>
      </c>
      <c r="AH506" s="108" t="n">
        <v>0.99</v>
      </c>
      <c r="AI506" s="108" t="n">
        <v>0.07000000000000001</v>
      </c>
      <c r="AJ506" s="108" t="n">
        <v>1.18</v>
      </c>
      <c r="AK506" s="112" t="inlineStr">
        <is>
          <t>Distress</t>
        </is>
      </c>
      <c r="AL506" s="108" t="n">
        <v>0</v>
      </c>
      <c r="AM506" s="108" t="n">
        <v>0.2</v>
      </c>
      <c r="AN506" s="108" t="n">
        <v>0.07000000000000001</v>
      </c>
      <c r="AO506" s="108" t="n">
        <v>0.99</v>
      </c>
      <c r="AP506" s="108" t="n">
        <v>0.07000000000000001</v>
      </c>
      <c r="AQ506" s="107" t="n">
        <v>0.88</v>
      </c>
      <c r="AR506" s="107" t="inlineStr">
        <is>
          <t>Distress</t>
        </is>
      </c>
      <c r="AS506" s="108" t="n">
        <v>0</v>
      </c>
      <c r="AT506" s="108" t="n">
        <v>0.2</v>
      </c>
      <c r="AU506" s="108" t="n">
        <v>0.07000000000000001</v>
      </c>
      <c r="AV506" s="108" t="n">
        <v>0.99</v>
      </c>
      <c r="AW506" s="107" t="n">
        <v>2.18</v>
      </c>
      <c r="AX506" s="107" t="inlineStr">
        <is>
          <t>Grey</t>
        </is>
      </c>
      <c r="AY506" s="108" t="n">
        <v>0</v>
      </c>
      <c r="AZ506" s="108" t="n">
        <v>0.07000000000000001</v>
      </c>
      <c r="BA506" s="108" t="n">
        <v>0.22</v>
      </c>
      <c r="BB506" s="108" t="n">
        <v>0.07000000000000001</v>
      </c>
      <c r="BC506" s="107" t="n">
        <v>0.39</v>
      </c>
      <c r="BD506" s="107" t="inlineStr">
        <is>
          <t>Distress</t>
        </is>
      </c>
      <c r="BE506" s="108" t="n">
        <v>0.07000000000000001</v>
      </c>
      <c r="BF506" s="108" t="n">
        <v>0.5</v>
      </c>
      <c r="BG506" s="108" t="n">
        <v>1</v>
      </c>
      <c r="BH506" s="108" t="n">
        <v>-1.78</v>
      </c>
      <c r="BI506" s="107" t="n">
        <v>0.14</v>
      </c>
      <c r="BJ506" s="107" t="inlineStr">
        <is>
          <t>Healthy</t>
        </is>
      </c>
      <c r="BK506" s="107" t="n">
        <v>1</v>
      </c>
      <c r="BL506" s="107" t="n">
        <v>1</v>
      </c>
      <c r="BM506" s="107" t="n">
        <v>0</v>
      </c>
      <c r="BN506" s="107" t="n">
        <v>1</v>
      </c>
      <c r="BO506" s="107" t="n">
        <v>0</v>
      </c>
      <c r="BP506" s="107" t="n">
        <v>0</v>
      </c>
      <c r="BQ506" s="107" t="n">
        <v>0</v>
      </c>
      <c r="BR506" s="107" t="n">
        <v>0</v>
      </c>
      <c r="BS506" s="107" t="n">
        <v>1</v>
      </c>
      <c r="BT506" s="107" t="n">
        <v>4</v>
      </c>
      <c r="BU506" s="107" t="inlineStr">
        <is>
          <t>Mixed</t>
        </is>
      </c>
      <c r="BV506" s="108" t="n">
        <v>0.84</v>
      </c>
      <c r="BW506" s="108" t="n">
        <v>1.17</v>
      </c>
      <c r="BX506" s="108" t="n">
        <v>1.1</v>
      </c>
      <c r="BY506" s="108" t="n">
        <v>1.39</v>
      </c>
      <c r="BZ506" s="108" t="n">
        <v>0.99</v>
      </c>
      <c r="CA506" s="108" t="n">
        <v>0.86</v>
      </c>
      <c r="CB506" s="108" t="n">
        <v>0.95</v>
      </c>
      <c r="CC506" s="108" t="n">
        <v>-0.14</v>
      </c>
      <c r="CD506" s="107" t="n">
        <v>-2.77</v>
      </c>
      <c r="CE506" s="107" t="inlineStr">
        <is>
          <t>Lower Risk</t>
        </is>
      </c>
      <c r="CF506" s="108" t="n">
        <v>-1.45</v>
      </c>
      <c r="CG506" s="108" t="n">
        <v>43.12</v>
      </c>
      <c r="CH506" s="107" t="n">
        <v>20</v>
      </c>
      <c r="CI506" s="107" t="inlineStr">
        <is>
          <t>CLEAR</t>
        </is>
      </c>
    </row>
    <row r="507" ht="17" customHeight="1">
      <c r="A507" s="103" t="inlineStr">
        <is>
          <t>FISV</t>
        </is>
      </c>
      <c r="B507" s="103" t="inlineStr">
        <is>
          <t>FISERV INC</t>
        </is>
      </c>
      <c r="C507" s="104" t="n">
        <v>764000000</v>
      </c>
      <c r="D507" s="105" t="n">
        <v>0.27</v>
      </c>
      <c r="E507" s="105" t="n">
        <v>0.17</v>
      </c>
      <c r="F507" s="105" t="n">
        <v>0.16</v>
      </c>
      <c r="G507" s="105" t="n">
        <v>0.04</v>
      </c>
      <c r="H507" s="105" t="n">
        <v>0.04</v>
      </c>
      <c r="I507" s="105" t="n">
        <v>0.13</v>
      </c>
      <c r="J507" s="105" t="n">
        <v>0.1</v>
      </c>
      <c r="K507" s="105" t="n">
        <v>0.96</v>
      </c>
      <c r="L507" s="105" t="n">
        <v>0.99</v>
      </c>
      <c r="M507" s="105" t="n">
        <v>0.26</v>
      </c>
      <c r="N507" s="104" t="n">
        <v>0.27</v>
      </c>
      <c r="O507" s="104" t="n">
        <v>1.03</v>
      </c>
      <c r="P507" s="104" t="n">
        <v>1.06</v>
      </c>
      <c r="Q507" s="104" t="n">
        <v>1.03</v>
      </c>
      <c r="R507" s="104" t="n">
        <v>0.03</v>
      </c>
      <c r="S507" s="104" t="n">
        <v>0.68</v>
      </c>
      <c r="T507" s="104" t="n">
        <v>0.64</v>
      </c>
      <c r="U507" s="104" t="n">
        <v>0.17</v>
      </c>
      <c r="V507" s="104" t="n">
        <v>0.14</v>
      </c>
      <c r="W507" s="104" t="n">
        <v>1.74</v>
      </c>
      <c r="X507" s="105" t="n">
        <v>0.2</v>
      </c>
      <c r="Y507" s="105" t="n">
        <v>0</v>
      </c>
      <c r="Z507" s="105" t="n">
        <v>5.79</v>
      </c>
      <c r="AA507" s="105" t="n">
        <v>0.04</v>
      </c>
      <c r="AB507" s="105" t="n">
        <v>0.11</v>
      </c>
      <c r="AC507" s="104" t="n">
        <v>-0.03</v>
      </c>
      <c r="AD507" s="104" t="n">
        <v>-0.03</v>
      </c>
      <c r="AE507" s="104" t="n">
        <v>0.01</v>
      </c>
      <c r="AF507" s="104" t="n">
        <v>0.34</v>
      </c>
      <c r="AG507" s="104" t="n">
        <v>0.07000000000000001</v>
      </c>
      <c r="AH507" s="104" t="n">
        <v>0.47</v>
      </c>
      <c r="AI507" s="104" t="n">
        <v>0.26</v>
      </c>
      <c r="AJ507" s="104" t="n">
        <v>1.27</v>
      </c>
      <c r="AK507" s="112" t="inlineStr">
        <is>
          <t>Distress</t>
        </is>
      </c>
      <c r="AL507" s="104" t="n">
        <v>0.01</v>
      </c>
      <c r="AM507" s="104" t="n">
        <v>0.34</v>
      </c>
      <c r="AN507" s="104" t="n">
        <v>0.07000000000000001</v>
      </c>
      <c r="AO507" s="104" t="n">
        <v>0.47</v>
      </c>
      <c r="AP507" s="104" t="n">
        <v>0.26</v>
      </c>
      <c r="AQ507" s="103" t="n">
        <v>0.98</v>
      </c>
      <c r="AR507" s="103" t="inlineStr">
        <is>
          <t>Distress</t>
        </is>
      </c>
      <c r="AS507" s="104" t="n">
        <v>0.01</v>
      </c>
      <c r="AT507" s="104" t="n">
        <v>0.34</v>
      </c>
      <c r="AU507" s="104" t="n">
        <v>0.07000000000000001</v>
      </c>
      <c r="AV507" s="104" t="n">
        <v>0.47</v>
      </c>
      <c r="AW507" s="103" t="n">
        <v>2.15</v>
      </c>
      <c r="AX507" s="103" t="inlineStr">
        <is>
          <t>Grey</t>
        </is>
      </c>
      <c r="AY507" s="104" t="n">
        <v>0.01</v>
      </c>
      <c r="AZ507" s="104" t="n">
        <v>0.07000000000000001</v>
      </c>
      <c r="BA507" s="104" t="n">
        <v>0.15</v>
      </c>
      <c r="BB507" s="104" t="n">
        <v>0.26</v>
      </c>
      <c r="BC507" s="103" t="n">
        <v>0.44</v>
      </c>
      <c r="BD507" s="103" t="inlineStr">
        <is>
          <t>Distress</t>
        </is>
      </c>
      <c r="BE507" s="104" t="n">
        <v>0.04</v>
      </c>
      <c r="BF507" s="104" t="n">
        <v>0.68</v>
      </c>
      <c r="BG507" s="104" t="n">
        <v>1.03</v>
      </c>
      <c r="BH507" s="104" t="n">
        <v>-0.68</v>
      </c>
      <c r="BI507" s="103" t="n">
        <v>0.34</v>
      </c>
      <c r="BJ507" s="103" t="inlineStr">
        <is>
          <t>Healthy</t>
        </is>
      </c>
      <c r="BK507" s="103" t="n">
        <v>1</v>
      </c>
      <c r="BL507" s="103" t="n">
        <v>1</v>
      </c>
      <c r="BM507" s="103" t="n">
        <v>1</v>
      </c>
      <c r="BN507" s="103" t="n">
        <v>1</v>
      </c>
      <c r="BO507" s="103" t="n">
        <v>1</v>
      </c>
      <c r="BP507" s="103" t="n">
        <v>0</v>
      </c>
      <c r="BQ507" s="103" t="n">
        <v>1</v>
      </c>
      <c r="BR507" s="103" t="n">
        <v>0</v>
      </c>
      <c r="BS507" s="103" t="n">
        <v>0</v>
      </c>
      <c r="BT507" s="103" t="n">
        <v>6</v>
      </c>
      <c r="BU507" s="103" t="inlineStr">
        <is>
          <t>Mixed</t>
        </is>
      </c>
      <c r="BV507" s="104" t="n">
        <v>1.03</v>
      </c>
      <c r="BW507" s="104" t="n">
        <v>1.03</v>
      </c>
      <c r="BX507" s="104" t="n">
        <v>0.98</v>
      </c>
      <c r="BY507" s="104" t="n">
        <v>1.04</v>
      </c>
      <c r="BZ507" s="104" t="n">
        <v>1.14</v>
      </c>
      <c r="CA507" s="104" t="n">
        <v>1.01</v>
      </c>
      <c r="CB507" s="104" t="n">
        <v>1.06</v>
      </c>
      <c r="CC507" s="104" t="n">
        <v>-0.03</v>
      </c>
      <c r="CD507" s="103" t="n">
        <v>-2.57</v>
      </c>
      <c r="CE507" s="103" t="inlineStr">
        <is>
          <t>Lower Risk</t>
        </is>
      </c>
      <c r="CF507" s="104" t="n">
        <v>0.41</v>
      </c>
      <c r="CG507" s="104" t="n">
        <v>50.27</v>
      </c>
      <c r="CH507" s="103" t="n">
        <v>0</v>
      </c>
      <c r="CI507" s="103" t="inlineStr">
        <is>
          <t>CLEAR</t>
        </is>
      </c>
    </row>
    <row r="508" ht="17" customHeight="1">
      <c r="A508" s="107" t="inlineStr">
        <is>
          <t>DOW</t>
        </is>
      </c>
      <c r="B508" s="107" t="inlineStr">
        <is>
          <t>Dow Inc.</t>
        </is>
      </c>
      <c r="C508" s="108" t="n">
        <v>8879000000</v>
      </c>
      <c r="D508" s="109" t="n">
        <v>-0.06</v>
      </c>
      <c r="E508" s="109" t="n">
        <v>-0.06</v>
      </c>
      <c r="F508" s="109" t="n">
        <v>-0.06</v>
      </c>
      <c r="G508" s="109" t="n">
        <v>-0.04</v>
      </c>
      <c r="H508" s="109" t="n">
        <v>0.02</v>
      </c>
      <c r="I508" s="109" t="n">
        <v>-0.15</v>
      </c>
      <c r="J508" s="109" t="n">
        <v>-0.05</v>
      </c>
      <c r="K508" s="109" t="n">
        <v>0.13</v>
      </c>
      <c r="L508" s="109" t="n">
        <v>0.04</v>
      </c>
      <c r="M508" s="109" t="n">
        <v>0.68</v>
      </c>
      <c r="N508" s="108" t="n">
        <v>0.75</v>
      </c>
      <c r="O508" s="108" t="n">
        <v>1.97</v>
      </c>
      <c r="P508" s="108" t="n">
        <v>1.61</v>
      </c>
      <c r="Q508" s="108" t="n">
        <v>1.25</v>
      </c>
      <c r="R508" s="108" t="n">
        <v>0.42</v>
      </c>
      <c r="S508" s="108" t="n">
        <v>1</v>
      </c>
      <c r="T508" s="108" t="n">
        <v>1</v>
      </c>
      <c r="U508" s="108" t="n">
        <v>0.9399999999999999</v>
      </c>
      <c r="V508" s="108" t="n">
        <v>0.71</v>
      </c>
      <c r="W508" s="108" t="n">
        <v>-0.42</v>
      </c>
      <c r="X508" s="109" t="n">
        <v>-0.04</v>
      </c>
      <c r="Y508" s="109" t="n">
        <v>0.02</v>
      </c>
      <c r="Z508" s="109" t="n">
        <v>-2.9</v>
      </c>
      <c r="AA508" s="109" t="n">
        <v>-0.07000000000000001</v>
      </c>
      <c r="AB508" s="109" t="n">
        <v>-3.03</v>
      </c>
      <c r="AC508" s="108" t="n">
        <v>-0.06</v>
      </c>
      <c r="AD508" s="108" t="n">
        <v>-0.06</v>
      </c>
      <c r="AE508" s="108" t="n">
        <v>0.15</v>
      </c>
      <c r="AF508" s="108" t="n">
        <v>0.29</v>
      </c>
      <c r="AG508" s="108" t="n">
        <v>-0.04</v>
      </c>
      <c r="AH508" s="108" t="n">
        <v>0.27</v>
      </c>
      <c r="AI508" s="108" t="n">
        <v>0.68</v>
      </c>
      <c r="AJ508" s="108" t="n">
        <v>1.29</v>
      </c>
      <c r="AK508" s="112" t="inlineStr">
        <is>
          <t>Distress</t>
        </is>
      </c>
      <c r="AL508" s="108" t="n">
        <v>0.15</v>
      </c>
      <c r="AM508" s="108" t="n">
        <v>0.29</v>
      </c>
      <c r="AN508" s="108" t="n">
        <v>-0.04</v>
      </c>
      <c r="AO508" s="108" t="n">
        <v>0.27</v>
      </c>
      <c r="AP508" s="108" t="n">
        <v>0.68</v>
      </c>
      <c r="AQ508" s="107" t="n">
        <v>1.01</v>
      </c>
      <c r="AR508" s="107" t="inlineStr">
        <is>
          <t>Distress</t>
        </is>
      </c>
      <c r="AS508" s="108" t="n">
        <v>0.15</v>
      </c>
      <c r="AT508" s="108" t="n">
        <v>0.29</v>
      </c>
      <c r="AU508" s="108" t="n">
        <v>-0.04</v>
      </c>
      <c r="AV508" s="108" t="n">
        <v>0.27</v>
      </c>
      <c r="AW508" s="107" t="n">
        <v>1.93</v>
      </c>
      <c r="AX508" s="107" t="inlineStr">
        <is>
          <t>Grey</t>
        </is>
      </c>
      <c r="AY508" s="108" t="n">
        <v>0.15</v>
      </c>
      <c r="AZ508" s="108" t="n">
        <v>-0.04</v>
      </c>
      <c r="BA508" s="108" t="n">
        <v>-0.27</v>
      </c>
      <c r="BB508" s="108" t="n">
        <v>0.68</v>
      </c>
      <c r="BC508" s="107" t="n">
        <v>0.12</v>
      </c>
      <c r="BD508" s="107" t="inlineStr">
        <is>
          <t>Distress</t>
        </is>
      </c>
      <c r="BE508" s="108" t="n">
        <v>-0.04</v>
      </c>
      <c r="BF508" s="108" t="n">
        <v>1</v>
      </c>
      <c r="BG508" s="108" t="n">
        <v>1.97</v>
      </c>
      <c r="BH508" s="108" t="n">
        <v>1.54</v>
      </c>
      <c r="BI508" s="107" t="n">
        <v>0.82</v>
      </c>
      <c r="BJ508" s="107" t="inlineStr">
        <is>
          <t>Distress</t>
        </is>
      </c>
      <c r="BK508" s="107" t="n">
        <v>0</v>
      </c>
      <c r="BL508" s="107" t="n">
        <v>1</v>
      </c>
      <c r="BM508" s="107" t="n">
        <v>0</v>
      </c>
      <c r="BN508" s="107" t="n">
        <v>1</v>
      </c>
      <c r="BO508" s="107" t="n">
        <v>0</v>
      </c>
      <c r="BP508" s="107" t="n">
        <v>1</v>
      </c>
      <c r="BQ508" s="107" t="n">
        <v>0</v>
      </c>
      <c r="BR508" s="107" t="n">
        <v>1</v>
      </c>
      <c r="BS508" s="107" t="n">
        <v>0</v>
      </c>
      <c r="BT508" s="107" t="n">
        <v>4</v>
      </c>
      <c r="BU508" s="107" t="inlineStr">
        <is>
          <t>Mixed</t>
        </is>
      </c>
      <c r="BV508" s="108" t="n">
        <v>1.08</v>
      </c>
      <c r="BW508" s="108" t="n">
        <v>0.28</v>
      </c>
      <c r="BX508" s="108" t="n">
        <v>0.95</v>
      </c>
      <c r="BY508" s="108" t="n">
        <v>0.93</v>
      </c>
      <c r="BZ508" s="108" t="n">
        <v>1.03</v>
      </c>
      <c r="CA508" s="108" t="n">
        <v>0.95</v>
      </c>
      <c r="CB508" s="108" t="n">
        <v>1</v>
      </c>
      <c r="CC508" s="108" t="n">
        <v>-0.06</v>
      </c>
      <c r="CD508" s="107" t="n">
        <v>-3.14</v>
      </c>
      <c r="CE508" s="107" t="inlineStr">
        <is>
          <t>Lower Risk</t>
        </is>
      </c>
      <c r="CF508" s="108" t="n">
        <v>35</v>
      </c>
      <c r="CG508" s="108" t="n">
        <v>42.61</v>
      </c>
      <c r="CH508" s="107" t="n">
        <v>20</v>
      </c>
      <c r="CI508" s="107" t="inlineStr">
        <is>
          <t>CLEAR</t>
        </is>
      </c>
    </row>
    <row r="509" ht="17" customHeight="1">
      <c r="A509" s="103" t="inlineStr">
        <is>
          <t>COF</t>
        </is>
      </c>
      <c r="B509" s="103" t="inlineStr">
        <is>
          <t>CAPITAL ONE FINANCIAL CORP</t>
        </is>
      </c>
      <c r="C509" s="113" t="inlineStr">
        <is>
          <t>N/A</t>
        </is>
      </c>
      <c r="D509" s="105" t="n">
        <v>0.04</v>
      </c>
      <c r="E509" s="105" t="n">
        <v>0.04</v>
      </c>
      <c r="F509" s="105" t="n">
        <v>0.05</v>
      </c>
      <c r="G509" s="105" t="n">
        <v>0</v>
      </c>
      <c r="H509" s="105" t="n">
        <v>0.01</v>
      </c>
      <c r="I509" s="105" t="n">
        <v>0.02</v>
      </c>
      <c r="J509" s="113" t="inlineStr">
        <is>
          <t>N/A</t>
        </is>
      </c>
      <c r="K509" s="105" t="n">
        <v>0.06</v>
      </c>
      <c r="L509" s="105" t="n">
        <v>0.05</v>
      </c>
      <c r="M509" s="105" t="n">
        <v>0.08</v>
      </c>
      <c r="N509" s="104" t="n">
        <v>0.08</v>
      </c>
      <c r="O509" s="113" t="inlineStr">
        <is>
          <t>N/A</t>
        </is>
      </c>
      <c r="P509" s="113" t="inlineStr">
        <is>
          <t>N/A</t>
        </is>
      </c>
      <c r="Q509" s="113" t="inlineStr">
        <is>
          <t>N/A</t>
        </is>
      </c>
      <c r="R509" s="113" t="inlineStr">
        <is>
          <t>N/A</t>
        </is>
      </c>
      <c r="S509" s="104" t="n">
        <v>0.83</v>
      </c>
      <c r="T509" s="104" t="n">
        <v>0.88</v>
      </c>
      <c r="U509" s="104" t="n">
        <v>0.29</v>
      </c>
      <c r="V509" s="104" t="n">
        <v>0.29</v>
      </c>
      <c r="W509" s="104" t="n">
        <v>11.3</v>
      </c>
      <c r="X509" s="105" t="n">
        <v>0.49</v>
      </c>
      <c r="Y509" s="105" t="n">
        <v>0</v>
      </c>
      <c r="Z509" s="105" t="n">
        <v>0.18</v>
      </c>
      <c r="AA509" s="105" t="n">
        <v>0.37</v>
      </c>
      <c r="AB509" s="105" t="n">
        <v>-0.48</v>
      </c>
      <c r="AC509" s="104" t="n">
        <v>-0.04</v>
      </c>
      <c r="AD509" s="104" t="n">
        <v>-0.04</v>
      </c>
      <c r="AE509" s="113" t="inlineStr">
        <is>
          <t>N/A</t>
        </is>
      </c>
      <c r="AF509" s="104" t="n">
        <v>0.1</v>
      </c>
      <c r="AG509" s="104" t="n">
        <v>0</v>
      </c>
      <c r="AH509" s="104" t="n">
        <v>0.2</v>
      </c>
      <c r="AI509" s="104" t="n">
        <v>0.08</v>
      </c>
      <c r="AJ509" s="113" t="inlineStr">
        <is>
          <t>N/A</t>
        </is>
      </c>
      <c r="AK509" s="113" t="inlineStr">
        <is>
          <t>N/A</t>
        </is>
      </c>
      <c r="AL509" s="113" t="inlineStr">
        <is>
          <t>N/A</t>
        </is>
      </c>
      <c r="AM509" s="104" t="n">
        <v>0.1</v>
      </c>
      <c r="AN509" s="104" t="n">
        <v>0</v>
      </c>
      <c r="AO509" s="104" t="n">
        <v>0.2</v>
      </c>
      <c r="AP509" s="104" t="n">
        <v>0.08</v>
      </c>
      <c r="AQ509" s="113" t="inlineStr">
        <is>
          <t>N/A</t>
        </is>
      </c>
      <c r="AR509" s="113" t="inlineStr">
        <is>
          <t>N/A</t>
        </is>
      </c>
      <c r="AS509" s="113" t="inlineStr">
        <is>
          <t>N/A</t>
        </is>
      </c>
      <c r="AT509" s="104" t="n">
        <v>0.1</v>
      </c>
      <c r="AU509" s="104" t="n">
        <v>0</v>
      </c>
      <c r="AV509" s="104" t="n">
        <v>0.2</v>
      </c>
      <c r="AW509" s="113" t="inlineStr">
        <is>
          <t>N/A</t>
        </is>
      </c>
      <c r="AX509" s="113" t="inlineStr">
        <is>
          <t>N/A</t>
        </is>
      </c>
      <c r="AY509" s="113" t="inlineStr">
        <is>
          <t>N/A</t>
        </is>
      </c>
      <c r="AZ509" s="104" t="n">
        <v>0</v>
      </c>
      <c r="BA509" s="113" t="inlineStr">
        <is>
          <t>N/A</t>
        </is>
      </c>
      <c r="BB509" s="104" t="n">
        <v>0.08</v>
      </c>
      <c r="BC509" s="113" t="inlineStr">
        <is>
          <t>N/A</t>
        </is>
      </c>
      <c r="BD509" s="113" t="inlineStr">
        <is>
          <t>N/A</t>
        </is>
      </c>
      <c r="BE509" s="104" t="n">
        <v>0</v>
      </c>
      <c r="BF509" s="104" t="n">
        <v>0.83</v>
      </c>
      <c r="BG509" s="113" t="inlineStr">
        <is>
          <t>N/A</t>
        </is>
      </c>
      <c r="BH509" s="113" t="inlineStr">
        <is>
          <t>N/A</t>
        </is>
      </c>
      <c r="BI509" s="113" t="inlineStr">
        <is>
          <t>N/A</t>
        </is>
      </c>
      <c r="BJ509" s="113" t="inlineStr">
        <is>
          <t>N/A</t>
        </is>
      </c>
      <c r="BK509" s="103" t="n">
        <v>1</v>
      </c>
      <c r="BL509" s="103" t="n">
        <v>1</v>
      </c>
      <c r="BM509" s="103" t="n">
        <v>0</v>
      </c>
      <c r="BN509" s="103" t="n">
        <v>1</v>
      </c>
      <c r="BO509" s="103" t="n">
        <v>1</v>
      </c>
      <c r="BP509" s="103" t="n">
        <v>0</v>
      </c>
      <c r="BQ509" s="103" t="n">
        <v>0</v>
      </c>
      <c r="BR509" s="103" t="n">
        <v>1</v>
      </c>
      <c r="BS509" s="103" t="n">
        <v>1</v>
      </c>
      <c r="BT509" s="103" t="n">
        <v>6</v>
      </c>
      <c r="BU509" s="103" t="inlineStr">
        <is>
          <t>Mixed</t>
        </is>
      </c>
      <c r="BV509" s="113" t="inlineStr">
        <is>
          <t>N/A</t>
        </is>
      </c>
      <c r="BW509" s="113" t="inlineStr">
        <is>
          <t>N/A</t>
        </is>
      </c>
      <c r="BX509" s="104" t="n">
        <v>1</v>
      </c>
      <c r="BY509" s="104" t="n">
        <v>1.37</v>
      </c>
      <c r="BZ509" s="104" t="n">
        <v>0.86</v>
      </c>
      <c r="CA509" s="113" t="inlineStr">
        <is>
          <t>N/A</t>
        </is>
      </c>
      <c r="CB509" s="104" t="n">
        <v>0.95</v>
      </c>
      <c r="CC509" s="104" t="n">
        <v>-0.04</v>
      </c>
      <c r="CD509" s="113" t="inlineStr">
        <is>
          <t>N/A</t>
        </is>
      </c>
      <c r="CE509" s="113" t="inlineStr">
        <is>
          <t>N/A</t>
        </is>
      </c>
      <c r="CF509" s="104" t="n">
        <v>4.3</v>
      </c>
      <c r="CG509" s="104" t="n">
        <v>46.83</v>
      </c>
      <c r="CH509" s="103" t="n">
        <v>0</v>
      </c>
      <c r="CI509" s="103" t="inlineStr">
        <is>
          <t>CLEAR</t>
        </is>
      </c>
    </row>
    <row r="510" ht="17" customHeight="1">
      <c r="A510" s="107" t="inlineStr">
        <is>
          <t>JOBY</t>
        </is>
      </c>
      <c r="B510" s="107" t="inlineStr">
        <is>
          <t>Joby Aviation, Inc.</t>
        </is>
      </c>
      <c r="C510" s="108" t="n">
        <v>1385728000</v>
      </c>
      <c r="D510" s="109" t="n">
        <v>-13.47</v>
      </c>
      <c r="E510" s="109" t="n">
        <v>-17.38</v>
      </c>
      <c r="F510" s="109" t="n">
        <v>-17.4</v>
      </c>
      <c r="G510" s="109" t="n">
        <v>-0.52</v>
      </c>
      <c r="H510" s="109" t="n">
        <v>-0.51</v>
      </c>
      <c r="I510" s="109" t="n">
        <v>-0.66</v>
      </c>
      <c r="J510" s="109" t="n">
        <v>-0.41</v>
      </c>
      <c r="K510" s="109" t="n">
        <v>-13.47</v>
      </c>
      <c r="L510" s="109" t="n">
        <v>-4387.9</v>
      </c>
      <c r="M510" s="109" t="n">
        <v>0.03</v>
      </c>
      <c r="N510" s="108" t="n">
        <v>0</v>
      </c>
      <c r="O510" s="108" t="n">
        <v>24.09</v>
      </c>
      <c r="P510" s="108" t="n">
        <v>20.14</v>
      </c>
      <c r="Q510" s="108" t="n">
        <v>24.09</v>
      </c>
      <c r="R510" s="108" t="n">
        <v>4.01</v>
      </c>
      <c r="S510" s="108" t="n">
        <v>0.21</v>
      </c>
      <c r="T510" s="108" t="n">
        <v>0.24</v>
      </c>
      <c r="U510" s="111" t="inlineStr">
        <is>
          <t>N/A</t>
        </is>
      </c>
      <c r="V510" s="111" t="inlineStr">
        <is>
          <t>N/A</t>
        </is>
      </c>
      <c r="W510" s="108" t="n">
        <v>0.55</v>
      </c>
      <c r="X510" s="109" t="n">
        <v>-10.55</v>
      </c>
      <c r="Y510" s="109" t="n">
        <v>10.88</v>
      </c>
      <c r="Z510" s="109" t="n">
        <v>-6098.23</v>
      </c>
      <c r="AA510" s="109" t="n">
        <v>391.83</v>
      </c>
      <c r="AB510" s="109" t="n">
        <v>0.53</v>
      </c>
      <c r="AC510" s="108" t="n">
        <v>-0.23</v>
      </c>
      <c r="AD510" s="108" t="n">
        <v>-0.23</v>
      </c>
      <c r="AE510" s="108" t="n">
        <v>0.77</v>
      </c>
      <c r="AF510" s="108" t="n">
        <v>-1.55</v>
      </c>
      <c r="AG510" s="108" t="n">
        <v>-0.4</v>
      </c>
      <c r="AH510" s="108" t="n">
        <v>3.66</v>
      </c>
      <c r="AI510" s="108" t="n">
        <v>0.03</v>
      </c>
      <c r="AJ510" s="108" t="n">
        <v>-0.34</v>
      </c>
      <c r="AK510" s="112" t="inlineStr">
        <is>
          <t>Distress</t>
        </is>
      </c>
      <c r="AL510" s="108" t="n">
        <v>0.77</v>
      </c>
      <c r="AM510" s="108" t="n">
        <v>-1.55</v>
      </c>
      <c r="AN510" s="108" t="n">
        <v>-0.4</v>
      </c>
      <c r="AO510" s="108" t="n">
        <v>3.66</v>
      </c>
      <c r="AP510" s="108" t="n">
        <v>0.03</v>
      </c>
      <c r="AQ510" s="107" t="n">
        <v>-0.44</v>
      </c>
      <c r="AR510" s="107" t="inlineStr">
        <is>
          <t>Distress</t>
        </is>
      </c>
      <c r="AS510" s="108" t="n">
        <v>0.77</v>
      </c>
      <c r="AT510" s="108" t="n">
        <v>-1.55</v>
      </c>
      <c r="AU510" s="108" t="n">
        <v>-0.4</v>
      </c>
      <c r="AV510" s="108" t="n">
        <v>3.66</v>
      </c>
      <c r="AW510" s="107" t="n">
        <v>1.15</v>
      </c>
      <c r="AX510" s="107" t="inlineStr">
        <is>
          <t>Grey</t>
        </is>
      </c>
      <c r="AY510" s="108" t="n">
        <v>0.77</v>
      </c>
      <c r="AZ510" s="108" t="n">
        <v>-0.4</v>
      </c>
      <c r="BA510" s="108" t="n">
        <v>-15.47</v>
      </c>
      <c r="BB510" s="108" t="n">
        <v>0.03</v>
      </c>
      <c r="BC510" s="107" t="n">
        <v>-10.63</v>
      </c>
      <c r="BD510" s="107" t="inlineStr">
        <is>
          <t>Distress</t>
        </is>
      </c>
      <c r="BE510" s="108" t="n">
        <v>-0.52</v>
      </c>
      <c r="BF510" s="108" t="n">
        <v>0.21</v>
      </c>
      <c r="BG510" s="108" t="n">
        <v>24.09</v>
      </c>
      <c r="BH510" s="108" t="n">
        <v>-0.68</v>
      </c>
      <c r="BI510" s="107" t="n">
        <v>0.34</v>
      </c>
      <c r="BJ510" s="107" t="inlineStr">
        <is>
          <t>Healthy</t>
        </is>
      </c>
      <c r="BK510" s="107" t="n">
        <v>0</v>
      </c>
      <c r="BL510" s="107" t="n">
        <v>0</v>
      </c>
      <c r="BM510" s="107" t="n">
        <v>0</v>
      </c>
      <c r="BN510" s="107" t="n">
        <v>1</v>
      </c>
      <c r="BO510" s="107" t="n">
        <v>0</v>
      </c>
      <c r="BP510" s="107" t="n">
        <v>1</v>
      </c>
      <c r="BQ510" s="107" t="n">
        <v>0</v>
      </c>
      <c r="BR510" s="107" t="n">
        <v>1</v>
      </c>
      <c r="BS510" s="107" t="n">
        <v>1</v>
      </c>
      <c r="BT510" s="107" t="n">
        <v>4</v>
      </c>
      <c r="BU510" s="107" t="inlineStr">
        <is>
          <t>Mixed</t>
        </is>
      </c>
      <c r="BV510" s="111" t="inlineStr">
        <is>
          <t>N/A</t>
        </is>
      </c>
      <c r="BW510" s="108" t="n">
        <v>325.77</v>
      </c>
      <c r="BX510" s="108" t="n">
        <v>0.95</v>
      </c>
      <c r="BY510" s="108" t="n">
        <v>392.83</v>
      </c>
      <c r="BZ510" s="108" t="n">
        <v>1.34</v>
      </c>
      <c r="CA510" s="108" t="n">
        <v>0</v>
      </c>
      <c r="CB510" s="108" t="n">
        <v>0.89</v>
      </c>
      <c r="CC510" s="108" t="n">
        <v>-0.23</v>
      </c>
      <c r="CD510" s="111" t="inlineStr">
        <is>
          <t>N/A</t>
        </is>
      </c>
      <c r="CE510" s="111" t="inlineStr">
        <is>
          <t>N/A</t>
        </is>
      </c>
      <c r="CF510" s="111" t="inlineStr">
        <is>
          <t>N/A</t>
        </is>
      </c>
      <c r="CG510" s="108" t="n">
        <v>41.77</v>
      </c>
      <c r="CH510" s="107" t="n">
        <v>20</v>
      </c>
      <c r="CI510" s="107" t="inlineStr">
        <is>
          <t>CLEAR</t>
        </is>
      </c>
    </row>
    <row r="511" ht="17" customHeight="1">
      <c r="A511" s="103" t="inlineStr">
        <is>
          <t>ALB</t>
        </is>
      </c>
      <c r="B511" s="103" t="inlineStr">
        <is>
          <t>Albemarle Corporation</t>
        </is>
      </c>
      <c r="C511" s="104" t="n">
        <v>2210095000</v>
      </c>
      <c r="D511" s="105" t="n">
        <v>-0.07000000000000001</v>
      </c>
      <c r="E511" s="105" t="n">
        <v>0.1</v>
      </c>
      <c r="F511" s="105" t="n">
        <v>-0.1</v>
      </c>
      <c r="G511" s="105" t="n">
        <v>-0.03</v>
      </c>
      <c r="H511" s="105" t="n">
        <v>-0.07000000000000001</v>
      </c>
      <c r="I511" s="105" t="n">
        <v>-0.05</v>
      </c>
      <c r="J511" s="105" t="n">
        <v>-0.03</v>
      </c>
      <c r="K511" s="105" t="n">
        <v>0.13</v>
      </c>
      <c r="L511" s="105" t="n">
        <v>0.01</v>
      </c>
      <c r="M511" s="105" t="n">
        <v>0.31</v>
      </c>
      <c r="N511" s="104" t="n">
        <v>0.32</v>
      </c>
      <c r="O511" s="104" t="n">
        <v>2.23</v>
      </c>
      <c r="P511" s="104" t="n">
        <v>1.95</v>
      </c>
      <c r="Q511" s="104" t="n">
        <v>1.57</v>
      </c>
      <c r="R511" s="104" t="n">
        <v>0.34</v>
      </c>
      <c r="S511" s="104" t="n">
        <v>1</v>
      </c>
      <c r="T511" s="104" t="n">
        <v>1</v>
      </c>
      <c r="U511" s="104" t="n">
        <v>0.34</v>
      </c>
      <c r="V511" s="104" t="n">
        <v>0.28</v>
      </c>
      <c r="W511" s="104" t="n">
        <v>-2.51</v>
      </c>
      <c r="X511" s="105" t="n">
        <v>0.13</v>
      </c>
      <c r="Y511" s="105" t="n">
        <v>0.01</v>
      </c>
      <c r="Z511" s="113" t="inlineStr">
        <is>
          <t>N/A</t>
        </is>
      </c>
      <c r="AA511" s="105" t="n">
        <v>-0.04</v>
      </c>
      <c r="AB511" s="105" t="n">
        <v>-0.57</v>
      </c>
      <c r="AC511" s="104" t="n">
        <v>-0.11</v>
      </c>
      <c r="AD511" s="104" t="n">
        <v>-0.11</v>
      </c>
      <c r="AE511" s="104" t="n">
        <v>0.13</v>
      </c>
      <c r="AF511" s="104" t="n">
        <v>0.28</v>
      </c>
      <c r="AG511" s="104" t="n">
        <v>-0.02</v>
      </c>
      <c r="AH511" s="104" t="n">
        <v>0.58</v>
      </c>
      <c r="AI511" s="104" t="n">
        <v>0.31</v>
      </c>
      <c r="AJ511" s="104" t="n">
        <v>1.15</v>
      </c>
      <c r="AK511" s="112" t="inlineStr">
        <is>
          <t>Distress</t>
        </is>
      </c>
      <c r="AL511" s="104" t="n">
        <v>0.13</v>
      </c>
      <c r="AM511" s="104" t="n">
        <v>0.28</v>
      </c>
      <c r="AN511" s="104" t="n">
        <v>-0.02</v>
      </c>
      <c r="AO511" s="104" t="n">
        <v>0.58</v>
      </c>
      <c r="AP511" s="104" t="n">
        <v>0.31</v>
      </c>
      <c r="AQ511" s="103" t="n">
        <v>0.82</v>
      </c>
      <c r="AR511" s="103" t="inlineStr">
        <is>
          <t>Distress</t>
        </is>
      </c>
      <c r="AS511" s="104" t="n">
        <v>0.13</v>
      </c>
      <c r="AT511" s="104" t="n">
        <v>0.28</v>
      </c>
      <c r="AU511" s="104" t="n">
        <v>-0.02</v>
      </c>
      <c r="AV511" s="104" t="n">
        <v>0.58</v>
      </c>
      <c r="AW511" s="103" t="n">
        <v>2.26</v>
      </c>
      <c r="AX511" s="103" t="inlineStr">
        <is>
          <t>Grey</t>
        </is>
      </c>
      <c r="AY511" s="104" t="n">
        <v>0.13</v>
      </c>
      <c r="AZ511" s="104" t="n">
        <v>-0.02</v>
      </c>
      <c r="BA511" s="104" t="n">
        <v>0.3</v>
      </c>
      <c r="BB511" s="104" t="n">
        <v>0.31</v>
      </c>
      <c r="BC511" s="103" t="n">
        <v>0.39</v>
      </c>
      <c r="BD511" s="103" t="inlineStr">
        <is>
          <t>Distress</t>
        </is>
      </c>
      <c r="BE511" s="104" t="n">
        <v>-0.03</v>
      </c>
      <c r="BF511" s="104" t="n">
        <v>1</v>
      </c>
      <c r="BG511" s="104" t="n">
        <v>2.23</v>
      </c>
      <c r="BH511" s="104" t="n">
        <v>1.49</v>
      </c>
      <c r="BI511" s="103" t="n">
        <v>0.82</v>
      </c>
      <c r="BJ511" s="103" t="inlineStr">
        <is>
          <t>Distress</t>
        </is>
      </c>
      <c r="BK511" s="103" t="n">
        <v>0</v>
      </c>
      <c r="BL511" s="103" t="n">
        <v>1</v>
      </c>
      <c r="BM511" s="103" t="n">
        <v>1</v>
      </c>
      <c r="BN511" s="103" t="n">
        <v>1</v>
      </c>
      <c r="BO511" s="103" t="n">
        <v>1</v>
      </c>
      <c r="BP511" s="103" t="n">
        <v>1</v>
      </c>
      <c r="BQ511" s="103" t="n">
        <v>0</v>
      </c>
      <c r="BR511" s="103" t="n">
        <v>1</v>
      </c>
      <c r="BS511" s="103" t="n">
        <v>0</v>
      </c>
      <c r="BT511" s="103" t="n">
        <v>6</v>
      </c>
      <c r="BU511" s="103" t="inlineStr">
        <is>
          <t>Mixed</t>
        </is>
      </c>
      <c r="BV511" s="104" t="n">
        <v>0.84</v>
      </c>
      <c r="BW511" s="104" t="n">
        <v>0.09</v>
      </c>
      <c r="BX511" s="104" t="n">
        <v>0.88</v>
      </c>
      <c r="BY511" s="104" t="n">
        <v>0.96</v>
      </c>
      <c r="BZ511" s="104" t="n">
        <v>1.14</v>
      </c>
      <c r="CA511" s="104" t="n">
        <v>0.93</v>
      </c>
      <c r="CB511" s="104" t="n">
        <v>1</v>
      </c>
      <c r="CC511" s="104" t="n">
        <v>-0.11</v>
      </c>
      <c r="CD511" s="103" t="n">
        <v>-3.68</v>
      </c>
      <c r="CE511" s="103" t="inlineStr">
        <is>
          <t>Lower Risk</t>
        </is>
      </c>
      <c r="CF511" s="104" t="n">
        <v>-10.07</v>
      </c>
      <c r="CG511" s="104" t="n">
        <v>49.72</v>
      </c>
      <c r="CH511" s="106" t="n">
        <v>40</v>
      </c>
      <c r="CI511" s="103" t="inlineStr">
        <is>
          <t>WATCH</t>
        </is>
      </c>
    </row>
    <row r="512" ht="17" customHeight="1">
      <c r="A512" s="107" t="inlineStr">
        <is>
          <t>SLB</t>
        </is>
      </c>
      <c r="B512" s="107" t="inlineStr">
        <is>
          <t>SLB LIMITED/NV</t>
        </is>
      </c>
      <c r="C512" s="108" t="n">
        <v>4792000000</v>
      </c>
      <c r="D512" s="109" t="n">
        <v>0.21</v>
      </c>
      <c r="E512" s="109" t="n">
        <v>0.14</v>
      </c>
      <c r="F512" s="109" t="n">
        <v>0.11</v>
      </c>
      <c r="G512" s="109" t="n">
        <v>0.06</v>
      </c>
      <c r="H512" s="109" t="n">
        <v>0.09</v>
      </c>
      <c r="I512" s="109" t="n">
        <v>0.13</v>
      </c>
      <c r="J512" s="109" t="n">
        <v>0.16</v>
      </c>
      <c r="K512" s="109" t="n">
        <v>0.07000000000000001</v>
      </c>
      <c r="L512" s="109" t="n">
        <v>-0.34</v>
      </c>
      <c r="M512" s="109" t="n">
        <v>0.55</v>
      </c>
      <c r="N512" s="108" t="n">
        <v>0.57</v>
      </c>
      <c r="O512" s="108" t="n">
        <v>1.33</v>
      </c>
      <c r="P512" s="108" t="n">
        <v>1.45</v>
      </c>
      <c r="Q512" s="108" t="n">
        <v>0.98</v>
      </c>
      <c r="R512" s="108" t="n">
        <v>0.21</v>
      </c>
      <c r="S512" s="108" t="n">
        <v>0.5</v>
      </c>
      <c r="T512" s="108" t="n">
        <v>0.54</v>
      </c>
      <c r="U512" s="108" t="n">
        <v>0.42</v>
      </c>
      <c r="V512" s="108" t="n">
        <v>0.3</v>
      </c>
      <c r="W512" s="108" t="n">
        <v>1.92</v>
      </c>
      <c r="X512" s="109" t="n">
        <v>0.16</v>
      </c>
      <c r="Y512" s="109" t="n">
        <v>0.02</v>
      </c>
      <c r="Z512" s="109" t="n">
        <v>11.69</v>
      </c>
      <c r="AA512" s="109" t="n">
        <v>0.09</v>
      </c>
      <c r="AB512" s="109" t="n">
        <v>-0.24</v>
      </c>
      <c r="AC512" s="108" t="n">
        <v>-0.06</v>
      </c>
      <c r="AD512" s="108" t="n">
        <v>-0.06</v>
      </c>
      <c r="AE512" s="108" t="n">
        <v>0.09</v>
      </c>
      <c r="AF512" s="108" t="n">
        <v>0.33</v>
      </c>
      <c r="AG512" s="108" t="n">
        <v>0.12</v>
      </c>
      <c r="AH512" s="108" t="n">
        <v>0.95</v>
      </c>
      <c r="AI512" s="108" t="n">
        <v>0.55</v>
      </c>
      <c r="AJ512" s="108" t="n">
        <v>2.08</v>
      </c>
      <c r="AK512" s="106" t="inlineStr">
        <is>
          <t>Grey</t>
        </is>
      </c>
      <c r="AL512" s="108" t="n">
        <v>0.09</v>
      </c>
      <c r="AM512" s="108" t="n">
        <v>0.33</v>
      </c>
      <c r="AN512" s="108" t="n">
        <v>0.12</v>
      </c>
      <c r="AO512" s="108" t="n">
        <v>0.95</v>
      </c>
      <c r="AP512" s="108" t="n">
        <v>0.55</v>
      </c>
      <c r="AQ512" s="107" t="n">
        <v>1.66</v>
      </c>
      <c r="AR512" s="107" t="inlineStr">
        <is>
          <t>Grey</t>
        </is>
      </c>
      <c r="AS512" s="108" t="n">
        <v>0.09</v>
      </c>
      <c r="AT512" s="108" t="n">
        <v>0.33</v>
      </c>
      <c r="AU512" s="108" t="n">
        <v>0.12</v>
      </c>
      <c r="AV512" s="108" t="n">
        <v>0.95</v>
      </c>
      <c r="AW512" s="107" t="n">
        <v>3.44</v>
      </c>
      <c r="AX512" s="107" t="inlineStr">
        <is>
          <t>Safe</t>
        </is>
      </c>
      <c r="AY512" s="108" t="n">
        <v>0.09</v>
      </c>
      <c r="AZ512" s="108" t="n">
        <v>0.12</v>
      </c>
      <c r="BA512" s="108" t="n">
        <v>0.29</v>
      </c>
      <c r="BB512" s="108" t="n">
        <v>0.55</v>
      </c>
      <c r="BC512" s="107" t="n">
        <v>0.87</v>
      </c>
      <c r="BD512" s="107" t="inlineStr">
        <is>
          <t>Healthy</t>
        </is>
      </c>
      <c r="BE512" s="108" t="n">
        <v>0.06</v>
      </c>
      <c r="BF512" s="108" t="n">
        <v>0.5</v>
      </c>
      <c r="BG512" s="108" t="n">
        <v>1.33</v>
      </c>
      <c r="BH512" s="108" t="n">
        <v>-1.75</v>
      </c>
      <c r="BI512" s="107" t="n">
        <v>0.15</v>
      </c>
      <c r="BJ512" s="107" t="inlineStr">
        <is>
          <t>Healthy</t>
        </is>
      </c>
      <c r="BK512" s="107" t="n">
        <v>1</v>
      </c>
      <c r="BL512" s="107" t="n">
        <v>1</v>
      </c>
      <c r="BM512" s="107" t="n">
        <v>0</v>
      </c>
      <c r="BN512" s="107" t="n">
        <v>1</v>
      </c>
      <c r="BO512" s="107" t="n">
        <v>1</v>
      </c>
      <c r="BP512" s="107" t="n">
        <v>0</v>
      </c>
      <c r="BQ512" s="107" t="n">
        <v>0</v>
      </c>
      <c r="BR512" s="107" t="n">
        <v>1</v>
      </c>
      <c r="BS512" s="107" t="n">
        <v>0</v>
      </c>
      <c r="BT512" s="107" t="n">
        <v>5</v>
      </c>
      <c r="BU512" s="107" t="inlineStr">
        <is>
          <t>Mixed</t>
        </is>
      </c>
      <c r="BV512" s="108" t="n">
        <v>0.99</v>
      </c>
      <c r="BW512" s="108" t="n">
        <v>-4.95</v>
      </c>
      <c r="BX512" s="108" t="n">
        <v>1.06</v>
      </c>
      <c r="BY512" s="108" t="n">
        <v>1.09</v>
      </c>
      <c r="BZ512" s="108" t="n">
        <v>1.02</v>
      </c>
      <c r="CA512" s="108" t="n">
        <v>0.8100000000000001</v>
      </c>
      <c r="CB512" s="108" t="n">
        <v>0.93</v>
      </c>
      <c r="CC512" s="108" t="n">
        <v>-0.06</v>
      </c>
      <c r="CD512" s="107" t="n">
        <v>-5.73</v>
      </c>
      <c r="CE512" s="107" t="inlineStr">
        <is>
          <t>Lower Risk</t>
        </is>
      </c>
      <c r="CF512" s="108" t="n">
        <v>0.85</v>
      </c>
      <c r="CG512" s="108" t="n">
        <v>49.75</v>
      </c>
      <c r="CH512" s="107" t="n">
        <v>0</v>
      </c>
      <c r="CI512" s="107" t="inlineStr">
        <is>
          <t>CLEAR</t>
        </is>
      </c>
    </row>
    <row r="513" ht="17" customHeight="1">
      <c r="A513" s="103" t="inlineStr">
        <is>
          <t>STZ</t>
        </is>
      </c>
      <c r="B513" s="103" t="inlineStr">
        <is>
          <t>CONSTELLATION BRANDS, INC.</t>
        </is>
      </c>
      <c r="C513" s="104" t="n">
        <v>216500000</v>
      </c>
      <c r="D513" s="105" t="n">
        <v>0.3</v>
      </c>
      <c r="E513" s="105" t="n">
        <v>0.26</v>
      </c>
      <c r="F513" s="105" t="n">
        <v>0.18</v>
      </c>
      <c r="G513" s="105" t="n">
        <v>0.08</v>
      </c>
      <c r="H513" s="105" t="n">
        <v>0.01</v>
      </c>
      <c r="I513" s="105" t="n">
        <v>0.21</v>
      </c>
      <c r="J513" s="105" t="n">
        <v>0.14</v>
      </c>
      <c r="K513" s="105" t="n">
        <v>0.52</v>
      </c>
      <c r="L513" s="105" t="n">
        <v>0.5</v>
      </c>
      <c r="M513" s="105" t="n">
        <v>0.42</v>
      </c>
      <c r="N513" s="104" t="n">
        <v>0.09</v>
      </c>
      <c r="O513" s="104" t="n">
        <v>1.08</v>
      </c>
      <c r="P513" s="104" t="n">
        <v>0.92</v>
      </c>
      <c r="Q513" s="104" t="n">
        <v>0.55</v>
      </c>
      <c r="R513" s="104" t="n">
        <v>0.04</v>
      </c>
      <c r="S513" s="104" t="n">
        <v>0.62</v>
      </c>
      <c r="T513" s="104" t="n">
        <v>0.67</v>
      </c>
      <c r="U513" s="104" t="n">
        <v>1.31</v>
      </c>
      <c r="V513" s="104" t="n">
        <v>1.29</v>
      </c>
      <c r="W513" s="104" t="n">
        <v>1.58</v>
      </c>
      <c r="X513" s="105" t="n">
        <v>0.2</v>
      </c>
      <c r="Y513" s="105" t="n">
        <v>0</v>
      </c>
      <c r="Z513" s="105" t="n">
        <v>7.18</v>
      </c>
      <c r="AA513" s="105" t="n">
        <v>3.76</v>
      </c>
      <c r="AB513" s="105" t="n">
        <v>7.36</v>
      </c>
      <c r="AC513" s="104" t="n">
        <v>-0.04</v>
      </c>
      <c r="AD513" s="104" t="n">
        <v>-0.04</v>
      </c>
      <c r="AE513" s="104" t="n">
        <v>0.01</v>
      </c>
      <c r="AF513" s="104" t="n">
        <v>0.62</v>
      </c>
      <c r="AG513" s="104" t="n">
        <v>0.12</v>
      </c>
      <c r="AH513" s="104" t="n">
        <v>0.6</v>
      </c>
      <c r="AI513" s="104" t="n">
        <v>0.42</v>
      </c>
      <c r="AJ513" s="104" t="n">
        <v>2.07</v>
      </c>
      <c r="AK513" s="106" t="inlineStr">
        <is>
          <t>Grey</t>
        </is>
      </c>
      <c r="AL513" s="104" t="n">
        <v>0.01</v>
      </c>
      <c r="AM513" s="104" t="n">
        <v>0.62</v>
      </c>
      <c r="AN513" s="104" t="n">
        <v>0.12</v>
      </c>
      <c r="AO513" s="104" t="n">
        <v>0.6</v>
      </c>
      <c r="AP513" s="104" t="n">
        <v>0.42</v>
      </c>
      <c r="AQ513" s="103" t="n">
        <v>1.59</v>
      </c>
      <c r="AR513" s="103" t="inlineStr">
        <is>
          <t>Grey</t>
        </is>
      </c>
      <c r="AS513" s="104" t="n">
        <v>0.01</v>
      </c>
      <c r="AT513" s="104" t="n">
        <v>0.62</v>
      </c>
      <c r="AU513" s="104" t="n">
        <v>0.12</v>
      </c>
      <c r="AV513" s="104" t="n">
        <v>0.6</v>
      </c>
      <c r="AW513" s="103" t="n">
        <v>3.55</v>
      </c>
      <c r="AX513" s="103" t="inlineStr">
        <is>
          <t>Safe</t>
        </is>
      </c>
      <c r="AY513" s="104" t="n">
        <v>0.01</v>
      </c>
      <c r="AZ513" s="104" t="n">
        <v>0.12</v>
      </c>
      <c r="BA513" s="104" t="n">
        <v>0.88</v>
      </c>
      <c r="BB513" s="104" t="n">
        <v>0.42</v>
      </c>
      <c r="BC513" s="103" t="n">
        <v>1.14</v>
      </c>
      <c r="BD513" s="103" t="inlineStr">
        <is>
          <t>Healthy</t>
        </is>
      </c>
      <c r="BE513" s="104" t="n">
        <v>0.08</v>
      </c>
      <c r="BF513" s="104" t="n">
        <v>0.62</v>
      </c>
      <c r="BG513" s="104" t="n">
        <v>1.08</v>
      </c>
      <c r="BH513" s="104" t="n">
        <v>-1.18</v>
      </c>
      <c r="BI513" s="103" t="n">
        <v>0.24</v>
      </c>
      <c r="BJ513" s="103" t="inlineStr">
        <is>
          <t>Healthy</t>
        </is>
      </c>
      <c r="BK513" s="103" t="n">
        <v>1</v>
      </c>
      <c r="BL513" s="103" t="n">
        <v>1</v>
      </c>
      <c r="BM513" s="103" t="n">
        <v>1</v>
      </c>
      <c r="BN513" s="103" t="n">
        <v>1</v>
      </c>
      <c r="BO513" s="103" t="n">
        <v>1</v>
      </c>
      <c r="BP513" s="103" t="n">
        <v>1</v>
      </c>
      <c r="BQ513" s="103" t="n">
        <v>0</v>
      </c>
      <c r="BR513" s="103" t="n">
        <v>1</v>
      </c>
      <c r="BS513" s="103" t="n">
        <v>1</v>
      </c>
      <c r="BT513" s="103" t="n">
        <v>8</v>
      </c>
      <c r="BU513" s="103" t="inlineStr">
        <is>
          <t>Strong</t>
        </is>
      </c>
      <c r="BV513" s="104" t="n">
        <v>0.23</v>
      </c>
      <c r="BW513" s="104" t="n">
        <v>0.96</v>
      </c>
      <c r="BX513" s="104" t="n">
        <v>1.03</v>
      </c>
      <c r="BY513" s="104" t="n">
        <v>4.76</v>
      </c>
      <c r="BZ513" s="104" t="n">
        <v>1.15</v>
      </c>
      <c r="CA513" s="104" t="n">
        <v>0.2</v>
      </c>
      <c r="CB513" s="104" t="n">
        <v>0.92</v>
      </c>
      <c r="CC513" s="104" t="n">
        <v>-0.04</v>
      </c>
      <c r="CD513" s="103" t="n">
        <v>0.13</v>
      </c>
      <c r="CE513" s="103" t="inlineStr">
        <is>
          <t>Higher Risk</t>
        </is>
      </c>
      <c r="CF513" s="104" t="n">
        <v>3.33</v>
      </c>
      <c r="CG513" s="104" t="n">
        <v>55.46</v>
      </c>
      <c r="CH513" s="103" t="n">
        <v>20</v>
      </c>
      <c r="CI513" s="103" t="inlineStr">
        <is>
          <t>CLEAR</t>
        </is>
      </c>
    </row>
    <row r="514" ht="17" customHeight="1">
      <c r="A514" s="107" t="inlineStr">
        <is>
          <t>TECH</t>
        </is>
      </c>
      <c r="B514" s="107" t="inlineStr">
        <is>
          <t>BIO-TECHNE Corp</t>
        </is>
      </c>
      <c r="C514" s="108" t="n">
        <v>432451000</v>
      </c>
      <c r="D514" s="109" t="n">
        <v>0.08</v>
      </c>
      <c r="E514" s="109" t="n">
        <v>0.08</v>
      </c>
      <c r="F514" s="109" t="n">
        <v>0.06</v>
      </c>
      <c r="G514" s="109" t="n">
        <v>0.03</v>
      </c>
      <c r="H514" s="109" t="n">
        <v>0.06</v>
      </c>
      <c r="I514" s="109" t="n">
        <v>0.04</v>
      </c>
      <c r="J514" s="109" t="n">
        <v>0.04</v>
      </c>
      <c r="K514" s="109" t="n">
        <v>0.65</v>
      </c>
      <c r="L514" s="109" t="n">
        <v>0.66</v>
      </c>
      <c r="M514" s="109" t="n">
        <v>0.48</v>
      </c>
      <c r="N514" s="108" t="n">
        <v>0.43</v>
      </c>
      <c r="O514" s="108" t="n">
        <v>3.46</v>
      </c>
      <c r="P514" s="108" t="n">
        <v>3.87</v>
      </c>
      <c r="Q514" s="108" t="n">
        <v>2.38</v>
      </c>
      <c r="R514" s="108" t="n">
        <v>0.92</v>
      </c>
      <c r="S514" s="108" t="n">
        <v>1</v>
      </c>
      <c r="T514" s="108" t="n">
        <v>1</v>
      </c>
      <c r="U514" s="108" t="n">
        <v>0.01</v>
      </c>
      <c r="V514" s="108" t="n">
        <v>-0.07000000000000001</v>
      </c>
      <c r="W514" s="108" t="n">
        <v>3.92</v>
      </c>
      <c r="X514" s="109" t="n">
        <v>0.21</v>
      </c>
      <c r="Y514" s="109" t="n">
        <v>0.08</v>
      </c>
      <c r="Z514" s="109" t="n">
        <v>9.119999999999999</v>
      </c>
      <c r="AA514" s="109" t="n">
        <v>0.05</v>
      </c>
      <c r="AB514" s="109" t="n">
        <v>-0.5600000000000001</v>
      </c>
      <c r="AC514" s="108" t="n">
        <v>-0.08</v>
      </c>
      <c r="AD514" s="108" t="n">
        <v>-0.08</v>
      </c>
      <c r="AE514" s="108" t="n">
        <v>0.17</v>
      </c>
      <c r="AF514" s="108" t="n">
        <v>0.42</v>
      </c>
      <c r="AG514" s="108" t="n">
        <v>0.04</v>
      </c>
      <c r="AH514" s="108" t="n">
        <v>0.8100000000000001</v>
      </c>
      <c r="AI514" s="108" t="n">
        <v>0.48</v>
      </c>
      <c r="AJ514" s="108" t="n">
        <v>1.88</v>
      </c>
      <c r="AK514" s="106" t="inlineStr">
        <is>
          <t>Grey</t>
        </is>
      </c>
      <c r="AL514" s="108" t="n">
        <v>0.17</v>
      </c>
      <c r="AM514" s="108" t="n">
        <v>0.42</v>
      </c>
      <c r="AN514" s="108" t="n">
        <v>0.04</v>
      </c>
      <c r="AO514" s="108" t="n">
        <v>0.8100000000000001</v>
      </c>
      <c r="AP514" s="108" t="n">
        <v>0.48</v>
      </c>
      <c r="AQ514" s="107" t="n">
        <v>1.41</v>
      </c>
      <c r="AR514" s="107" t="inlineStr">
        <is>
          <t>Grey</t>
        </is>
      </c>
      <c r="AS514" s="108" t="n">
        <v>0.17</v>
      </c>
      <c r="AT514" s="108" t="n">
        <v>0.42</v>
      </c>
      <c r="AU514" s="108" t="n">
        <v>0.04</v>
      </c>
      <c r="AV514" s="108" t="n">
        <v>0.8100000000000001</v>
      </c>
      <c r="AW514" s="107" t="n">
        <v>3.59</v>
      </c>
      <c r="AX514" s="107" t="inlineStr">
        <is>
          <t>Safe</t>
        </is>
      </c>
      <c r="AY514" s="108" t="n">
        <v>0.17</v>
      </c>
      <c r="AZ514" s="108" t="n">
        <v>0.04</v>
      </c>
      <c r="BA514" s="108" t="n">
        <v>0.5600000000000001</v>
      </c>
      <c r="BB514" s="108" t="n">
        <v>0.48</v>
      </c>
      <c r="BC514" s="107" t="n">
        <v>0.86</v>
      </c>
      <c r="BD514" s="107" t="inlineStr">
        <is>
          <t>Distress</t>
        </is>
      </c>
      <c r="BE514" s="108" t="n">
        <v>0.03</v>
      </c>
      <c r="BF514" s="108" t="n">
        <v>1</v>
      </c>
      <c r="BG514" s="108" t="n">
        <v>3.46</v>
      </c>
      <c r="BH514" s="108" t="n">
        <v>1.23</v>
      </c>
      <c r="BI514" s="107" t="n">
        <v>0.77</v>
      </c>
      <c r="BJ514" s="107" t="inlineStr">
        <is>
          <t>Distress</t>
        </is>
      </c>
      <c r="BK514" s="107" t="n">
        <v>1</v>
      </c>
      <c r="BL514" s="107" t="n">
        <v>1</v>
      </c>
      <c r="BM514" s="107" t="n">
        <v>0</v>
      </c>
      <c r="BN514" s="107" t="n">
        <v>1</v>
      </c>
      <c r="BO514" s="107" t="n">
        <v>0</v>
      </c>
      <c r="BP514" s="107" t="n">
        <v>0</v>
      </c>
      <c r="BQ514" s="107" t="n">
        <v>1</v>
      </c>
      <c r="BR514" s="107" t="n">
        <v>0</v>
      </c>
      <c r="BS514" s="107" t="n">
        <v>1</v>
      </c>
      <c r="BT514" s="107" t="n">
        <v>5</v>
      </c>
      <c r="BU514" s="107" t="inlineStr">
        <is>
          <t>Mixed</t>
        </is>
      </c>
      <c r="BV514" s="108" t="n">
        <v>0.8100000000000001</v>
      </c>
      <c r="BW514" s="108" t="n">
        <v>1.02</v>
      </c>
      <c r="BX514" s="108" t="n">
        <v>0.98</v>
      </c>
      <c r="BY514" s="108" t="n">
        <v>1.05</v>
      </c>
      <c r="BZ514" s="108" t="n">
        <v>1</v>
      </c>
      <c r="CA514" s="108" t="n">
        <v>1.2</v>
      </c>
      <c r="CB514" s="108" t="n">
        <v>1</v>
      </c>
      <c r="CC514" s="108" t="n">
        <v>-0.08</v>
      </c>
      <c r="CD514" s="107" t="n">
        <v>-3.02</v>
      </c>
      <c r="CE514" s="107" t="inlineStr">
        <is>
          <t>Lower Risk</t>
        </is>
      </c>
      <c r="CF514" s="108" t="n">
        <v>-0.71</v>
      </c>
      <c r="CG514" s="108" t="n">
        <v>47.89</v>
      </c>
      <c r="CH514" s="107" t="n">
        <v>0</v>
      </c>
      <c r="CI514" s="107" t="inlineStr">
        <is>
          <t>CLEAR</t>
        </is>
      </c>
    </row>
    <row r="515" ht="17" customHeight="1">
      <c r="A515" s="103" t="inlineStr">
        <is>
          <t>WSFS</t>
        </is>
      </c>
      <c r="B515" s="103" t="inlineStr">
        <is>
          <t>WSFS FINANCIAL CORPORATION</t>
        </is>
      </c>
      <c r="C515" s="113" t="inlineStr">
        <is>
          <t>N/A</t>
        </is>
      </c>
      <c r="D515" s="105" t="n">
        <v>0.39</v>
      </c>
      <c r="E515" s="105" t="n">
        <v>0.39</v>
      </c>
      <c r="F515" s="105" t="n">
        <v>0.3</v>
      </c>
      <c r="G515" s="105" t="n">
        <v>0.01</v>
      </c>
      <c r="H515" s="105" t="n">
        <v>0.01</v>
      </c>
      <c r="I515" s="105" t="n">
        <v>0.1</v>
      </c>
      <c r="J515" s="113" t="inlineStr">
        <is>
          <t>N/A</t>
        </is>
      </c>
      <c r="K515" s="105" t="n">
        <v>0.31</v>
      </c>
      <c r="L515" s="105" t="n">
        <v>0.5600000000000001</v>
      </c>
      <c r="M515" s="105" t="n">
        <v>0.05</v>
      </c>
      <c r="N515" s="104" t="n">
        <v>0.03</v>
      </c>
      <c r="O515" s="113" t="inlineStr">
        <is>
          <t>N/A</t>
        </is>
      </c>
      <c r="P515" s="113" t="inlineStr">
        <is>
          <t>N/A</t>
        </is>
      </c>
      <c r="Q515" s="113" t="inlineStr">
        <is>
          <t>N/A</t>
        </is>
      </c>
      <c r="R515" s="113" t="inlineStr">
        <is>
          <t>N/A</t>
        </is>
      </c>
      <c r="S515" s="104" t="n">
        <v>0.87</v>
      </c>
      <c r="T515" s="104" t="n">
        <v>0.88</v>
      </c>
      <c r="U515" s="104" t="n">
        <v>0.01</v>
      </c>
      <c r="V515" s="104" t="n">
        <v>-0.61</v>
      </c>
      <c r="W515" s="104" t="n">
        <v>0.77</v>
      </c>
      <c r="X515" s="105" t="n">
        <v>0.22</v>
      </c>
      <c r="Y515" s="105" t="n">
        <v>0</v>
      </c>
      <c r="Z515" s="105" t="n">
        <v>1.51</v>
      </c>
      <c r="AA515" s="105" t="n">
        <v>0.5</v>
      </c>
      <c r="AB515" s="105" t="n">
        <v>0.09</v>
      </c>
      <c r="AC515" s="104" t="n">
        <v>0</v>
      </c>
      <c r="AD515" s="104" t="n">
        <v>0</v>
      </c>
      <c r="AE515" s="113" t="inlineStr">
        <is>
          <t>N/A</t>
        </is>
      </c>
      <c r="AF515" s="104" t="n">
        <v>0.1</v>
      </c>
      <c r="AG515" s="104" t="n">
        <v>0.02</v>
      </c>
      <c r="AH515" s="104" t="n">
        <v>0.15</v>
      </c>
      <c r="AI515" s="104" t="n">
        <v>0.05</v>
      </c>
      <c r="AJ515" s="113" t="inlineStr">
        <is>
          <t>N/A</t>
        </is>
      </c>
      <c r="AK515" s="113" t="inlineStr">
        <is>
          <t>N/A</t>
        </is>
      </c>
      <c r="AL515" s="113" t="inlineStr">
        <is>
          <t>N/A</t>
        </is>
      </c>
      <c r="AM515" s="104" t="n">
        <v>0.1</v>
      </c>
      <c r="AN515" s="104" t="n">
        <v>0.02</v>
      </c>
      <c r="AO515" s="104" t="n">
        <v>0.15</v>
      </c>
      <c r="AP515" s="104" t="n">
        <v>0.05</v>
      </c>
      <c r="AQ515" s="113" t="inlineStr">
        <is>
          <t>N/A</t>
        </is>
      </c>
      <c r="AR515" s="113" t="inlineStr">
        <is>
          <t>N/A</t>
        </is>
      </c>
      <c r="AS515" s="113" t="inlineStr">
        <is>
          <t>N/A</t>
        </is>
      </c>
      <c r="AT515" s="104" t="n">
        <v>0.1</v>
      </c>
      <c r="AU515" s="104" t="n">
        <v>0.02</v>
      </c>
      <c r="AV515" s="104" t="n">
        <v>0.15</v>
      </c>
      <c r="AW515" s="113" t="inlineStr">
        <is>
          <t>N/A</t>
        </is>
      </c>
      <c r="AX515" s="113" t="inlineStr">
        <is>
          <t>N/A</t>
        </is>
      </c>
      <c r="AY515" s="113" t="inlineStr">
        <is>
          <t>N/A</t>
        </is>
      </c>
      <c r="AZ515" s="104" t="n">
        <v>0.02</v>
      </c>
      <c r="BA515" s="113" t="inlineStr">
        <is>
          <t>N/A</t>
        </is>
      </c>
      <c r="BB515" s="104" t="n">
        <v>0.05</v>
      </c>
      <c r="BC515" s="113" t="inlineStr">
        <is>
          <t>N/A</t>
        </is>
      </c>
      <c r="BD515" s="113" t="inlineStr">
        <is>
          <t>N/A</t>
        </is>
      </c>
      <c r="BE515" s="104" t="n">
        <v>0.01</v>
      </c>
      <c r="BF515" s="104" t="n">
        <v>0.87</v>
      </c>
      <c r="BG515" s="113" t="inlineStr">
        <is>
          <t>N/A</t>
        </is>
      </c>
      <c r="BH515" s="113" t="inlineStr">
        <is>
          <t>N/A</t>
        </is>
      </c>
      <c r="BI515" s="113" t="inlineStr">
        <is>
          <t>N/A</t>
        </is>
      </c>
      <c r="BJ515" s="113" t="inlineStr">
        <is>
          <t>N/A</t>
        </is>
      </c>
      <c r="BK515" s="103" t="n">
        <v>1</v>
      </c>
      <c r="BL515" s="103" t="n">
        <v>1</v>
      </c>
      <c r="BM515" s="103" t="n">
        <v>1</v>
      </c>
      <c r="BN515" s="103" t="n">
        <v>0</v>
      </c>
      <c r="BO515" s="103" t="n">
        <v>1</v>
      </c>
      <c r="BP515" s="103" t="n">
        <v>0</v>
      </c>
      <c r="BQ515" s="103" t="n">
        <v>0</v>
      </c>
      <c r="BR515" s="103" t="n">
        <v>0</v>
      </c>
      <c r="BS515" s="103" t="n">
        <v>1</v>
      </c>
      <c r="BT515" s="103" t="n">
        <v>5</v>
      </c>
      <c r="BU515" s="103" t="inlineStr">
        <is>
          <t>Mixed</t>
        </is>
      </c>
      <c r="BV515" s="113" t="inlineStr">
        <is>
          <t>N/A</t>
        </is>
      </c>
      <c r="BW515" s="104" t="n">
        <v>1.79</v>
      </c>
      <c r="BX515" s="104" t="n">
        <v>1</v>
      </c>
      <c r="BY515" s="104" t="n">
        <v>1.5</v>
      </c>
      <c r="BZ515" s="104" t="n">
        <v>0.96</v>
      </c>
      <c r="CA515" s="113" t="inlineStr">
        <is>
          <t>N/A</t>
        </is>
      </c>
      <c r="CB515" s="104" t="n">
        <v>1</v>
      </c>
      <c r="CC515" s="104" t="n">
        <v>0</v>
      </c>
      <c r="CD515" s="113" t="inlineStr">
        <is>
          <t>N/A</t>
        </is>
      </c>
      <c r="CE515" s="113" t="inlineStr">
        <is>
          <t>N/A</t>
        </is>
      </c>
      <c r="CF515" s="104" t="n">
        <v>-4.24</v>
      </c>
      <c r="CG515" s="104" t="n">
        <v>42.94</v>
      </c>
      <c r="CH515" s="103" t="n">
        <v>0</v>
      </c>
      <c r="CI515" s="103" t="inlineStr">
        <is>
          <t>CLEAR</t>
        </is>
      </c>
    </row>
    <row r="516" ht="17" customHeight="1">
      <c r="A516" s="107" t="inlineStr">
        <is>
          <t>DKNG</t>
        </is>
      </c>
      <c r="B516" s="107" t="inlineStr">
        <is>
          <t>DRAFTKINGS INC.</t>
        </is>
      </c>
      <c r="C516" s="108" t="n">
        <v>59538000</v>
      </c>
      <c r="D516" s="109" t="n">
        <v>-0</v>
      </c>
      <c r="E516" s="109" t="n">
        <v>-0</v>
      </c>
      <c r="F516" s="109" t="n">
        <v>0</v>
      </c>
      <c r="G516" s="109" t="n">
        <v>0</v>
      </c>
      <c r="H516" s="109" t="n">
        <v>-0.12</v>
      </c>
      <c r="I516" s="109" t="n">
        <v>0.01</v>
      </c>
      <c r="J516" s="109" t="n">
        <v>-0.01</v>
      </c>
      <c r="K516" s="109" t="n">
        <v>0.41</v>
      </c>
      <c r="L516" s="109" t="n">
        <v>0.38</v>
      </c>
      <c r="M516" s="109" t="n">
        <v>1.34</v>
      </c>
      <c r="N516" s="108" t="n">
        <v>1.11</v>
      </c>
      <c r="O516" s="108" t="n">
        <v>1.03</v>
      </c>
      <c r="P516" s="108" t="n">
        <v>0.93</v>
      </c>
      <c r="Q516" s="108" t="n">
        <v>1.03</v>
      </c>
      <c r="R516" s="108" t="n">
        <v>0.64</v>
      </c>
      <c r="S516" s="108" t="n">
        <v>0.86</v>
      </c>
      <c r="T516" s="108" t="n">
        <v>0.76</v>
      </c>
      <c r="U516" s="111" t="inlineStr">
        <is>
          <t>N/A</t>
        </is>
      </c>
      <c r="V516" s="111" t="inlineStr">
        <is>
          <t>N/A</t>
        </is>
      </c>
      <c r="W516" s="108" t="n">
        <v>178.67</v>
      </c>
      <c r="X516" s="109" t="n">
        <v>0.11</v>
      </c>
      <c r="Y516" s="109" t="n">
        <v>0</v>
      </c>
      <c r="Z516" s="109" t="n">
        <v>-5.9</v>
      </c>
      <c r="AA516" s="109" t="n">
        <v>0.27</v>
      </c>
      <c r="AB516" s="109" t="n">
        <v>-1.01</v>
      </c>
      <c r="AC516" s="108" t="n">
        <v>-0.15</v>
      </c>
      <c r="AD516" s="108" t="n">
        <v>-0.15</v>
      </c>
      <c r="AE516" s="108" t="n">
        <v>0.01</v>
      </c>
      <c r="AF516" s="108" t="n">
        <v>-1.42</v>
      </c>
      <c r="AG516" s="108" t="n">
        <v>-0</v>
      </c>
      <c r="AH516" s="108" t="n">
        <v>0.16</v>
      </c>
      <c r="AI516" s="108" t="n">
        <v>1.34</v>
      </c>
      <c r="AJ516" s="108" t="n">
        <v>-0.55</v>
      </c>
      <c r="AK516" s="112" t="inlineStr">
        <is>
          <t>Distress</t>
        </is>
      </c>
      <c r="AL516" s="108" t="n">
        <v>0.01</v>
      </c>
      <c r="AM516" s="108" t="n">
        <v>-1.42</v>
      </c>
      <c r="AN516" s="108" t="n">
        <v>-0</v>
      </c>
      <c r="AO516" s="108" t="n">
        <v>0.16</v>
      </c>
      <c r="AP516" s="108" t="n">
        <v>1.34</v>
      </c>
      <c r="AQ516" s="107" t="n">
        <v>0.2</v>
      </c>
      <c r="AR516" s="107" t="inlineStr">
        <is>
          <t>Distress</t>
        </is>
      </c>
      <c r="AS516" s="108" t="n">
        <v>0.01</v>
      </c>
      <c r="AT516" s="108" t="n">
        <v>-1.42</v>
      </c>
      <c r="AU516" s="108" t="n">
        <v>-0</v>
      </c>
      <c r="AV516" s="108" t="n">
        <v>0.16</v>
      </c>
      <c r="AW516" s="107" t="n">
        <v>-4.4</v>
      </c>
      <c r="AX516" s="107" t="inlineStr">
        <is>
          <t>Distress</t>
        </is>
      </c>
      <c r="AY516" s="108" t="n">
        <v>0.01</v>
      </c>
      <c r="AZ516" s="108" t="n">
        <v>-0</v>
      </c>
      <c r="BA516" s="108" t="n">
        <v>-0.02</v>
      </c>
      <c r="BB516" s="108" t="n">
        <v>1.34</v>
      </c>
      <c r="BC516" s="107" t="n">
        <v>0.53</v>
      </c>
      <c r="BD516" s="107" t="inlineStr">
        <is>
          <t>Distress</t>
        </is>
      </c>
      <c r="BE516" s="108" t="n">
        <v>0</v>
      </c>
      <c r="BF516" s="108" t="n">
        <v>0.86</v>
      </c>
      <c r="BG516" s="108" t="n">
        <v>1.03</v>
      </c>
      <c r="BH516" s="108" t="n">
        <v>0.55</v>
      </c>
      <c r="BI516" s="107" t="n">
        <v>0.63</v>
      </c>
      <c r="BJ516" s="107" t="inlineStr">
        <is>
          <t>Distress</t>
        </is>
      </c>
      <c r="BK516" s="107" t="n">
        <v>1</v>
      </c>
      <c r="BL516" s="107" t="n">
        <v>1</v>
      </c>
      <c r="BM516" s="107" t="n">
        <v>1</v>
      </c>
      <c r="BN516" s="107" t="n">
        <v>1</v>
      </c>
      <c r="BO516" s="107" t="n">
        <v>0</v>
      </c>
      <c r="BP516" s="107" t="n">
        <v>1</v>
      </c>
      <c r="BQ516" s="107" t="n">
        <v>0</v>
      </c>
      <c r="BR516" s="107" t="n">
        <v>1</v>
      </c>
      <c r="BS516" s="107" t="n">
        <v>1</v>
      </c>
      <c r="BT516" s="107" t="n">
        <v>7</v>
      </c>
      <c r="BU516" s="107" t="inlineStr">
        <is>
          <t>Strong</t>
        </is>
      </c>
      <c r="BV516" s="108" t="n">
        <v>1.44</v>
      </c>
      <c r="BW516" s="108" t="n">
        <v>0.92</v>
      </c>
      <c r="BX516" s="108" t="n">
        <v>0.93</v>
      </c>
      <c r="BY516" s="108" t="n">
        <v>1.27</v>
      </c>
      <c r="BZ516" s="108" t="n">
        <v>1.08</v>
      </c>
      <c r="CA516" s="108" t="n">
        <v>0.6899999999999999</v>
      </c>
      <c r="CB516" s="108" t="n">
        <v>1.13</v>
      </c>
      <c r="CC516" s="108" t="n">
        <v>-0.15</v>
      </c>
      <c r="CD516" s="107" t="n">
        <v>-2.56</v>
      </c>
      <c r="CE516" s="107" t="inlineStr">
        <is>
          <t>Lower Risk</t>
        </is>
      </c>
      <c r="CF516" s="111" t="inlineStr">
        <is>
          <t>N/A</t>
        </is>
      </c>
      <c r="CG516" s="108" t="n">
        <v>51.41</v>
      </c>
      <c r="CH516" s="107" t="n">
        <v>20</v>
      </c>
      <c r="CI516" s="107" t="inlineStr">
        <is>
          <t>CLEAR</t>
        </is>
      </c>
    </row>
    <row r="517" ht="17" customHeight="1">
      <c r="A517" s="103" t="inlineStr">
        <is>
          <t>BOKF</t>
        </is>
      </c>
      <c r="B517" s="103" t="inlineStr">
        <is>
          <t>BOK FINANCIAL CORP</t>
        </is>
      </c>
      <c r="C517" s="113" t="inlineStr">
        <is>
          <t>N/A</t>
        </is>
      </c>
      <c r="D517" s="113" t="inlineStr">
        <is>
          <t>N/A</t>
        </is>
      </c>
      <c r="E517" s="113" t="inlineStr">
        <is>
          <t>N/A</t>
        </is>
      </c>
      <c r="F517" s="113" t="inlineStr">
        <is>
          <t>N/A</t>
        </is>
      </c>
      <c r="G517" s="105" t="n">
        <v>0.01</v>
      </c>
      <c r="H517" s="105" t="n">
        <v>0.01</v>
      </c>
      <c r="I517" s="105" t="n">
        <v>0.1</v>
      </c>
      <c r="J517" s="113" t="inlineStr">
        <is>
          <t>N/A</t>
        </is>
      </c>
      <c r="K517" s="113" t="inlineStr">
        <is>
          <t>N/A</t>
        </is>
      </c>
      <c r="L517" s="113" t="inlineStr">
        <is>
          <t>N/A</t>
        </is>
      </c>
      <c r="M517" s="113" t="inlineStr">
        <is>
          <t>N/A</t>
        </is>
      </c>
      <c r="N517" s="113" t="inlineStr">
        <is>
          <t>N/A</t>
        </is>
      </c>
      <c r="O517" s="113" t="inlineStr">
        <is>
          <t>N/A</t>
        </is>
      </c>
      <c r="P517" s="113" t="inlineStr">
        <is>
          <t>N/A</t>
        </is>
      </c>
      <c r="Q517" s="113" t="inlineStr">
        <is>
          <t>N/A</t>
        </is>
      </c>
      <c r="R517" s="113" t="inlineStr">
        <is>
          <t>N/A</t>
        </is>
      </c>
      <c r="S517" s="104" t="n">
        <v>0.89</v>
      </c>
      <c r="T517" s="104" t="n">
        <v>0.89</v>
      </c>
      <c r="U517" s="104" t="n">
        <v>0.78</v>
      </c>
      <c r="V517" s="104" t="n">
        <v>0.3</v>
      </c>
      <c r="W517" s="104" t="n">
        <v>1.28</v>
      </c>
      <c r="X517" s="113" t="inlineStr">
        <is>
          <t>N/A</t>
        </is>
      </c>
      <c r="Y517" s="105" t="n">
        <v>0</v>
      </c>
      <c r="Z517" s="105" t="n">
        <v>0.6899999999999999</v>
      </c>
      <c r="AA517" s="113" t="inlineStr">
        <is>
          <t>N/A</t>
        </is>
      </c>
      <c r="AB517" s="105" t="n">
        <v>0.1</v>
      </c>
      <c r="AC517" s="104" t="n">
        <v>-0</v>
      </c>
      <c r="AD517" s="104" t="n">
        <v>-0</v>
      </c>
      <c r="AE517" s="113" t="inlineStr">
        <is>
          <t>N/A</t>
        </is>
      </c>
      <c r="AF517" s="104" t="n">
        <v>0.12</v>
      </c>
      <c r="AG517" s="104" t="n">
        <v>0.01</v>
      </c>
      <c r="AH517" s="104" t="n">
        <v>0.13</v>
      </c>
      <c r="AI517" s="113" t="inlineStr">
        <is>
          <t>N/A</t>
        </is>
      </c>
      <c r="AJ517" s="113" t="inlineStr">
        <is>
          <t>N/A</t>
        </is>
      </c>
      <c r="AK517" s="113" t="inlineStr">
        <is>
          <t>N/A</t>
        </is>
      </c>
      <c r="AL517" s="113" t="inlineStr">
        <is>
          <t>N/A</t>
        </is>
      </c>
      <c r="AM517" s="104" t="n">
        <v>0.12</v>
      </c>
      <c r="AN517" s="104" t="n">
        <v>0.01</v>
      </c>
      <c r="AO517" s="104" t="n">
        <v>0.13</v>
      </c>
      <c r="AP517" s="113" t="inlineStr">
        <is>
          <t>N/A</t>
        </is>
      </c>
      <c r="AQ517" s="113" t="inlineStr">
        <is>
          <t>N/A</t>
        </is>
      </c>
      <c r="AR517" s="113" t="inlineStr">
        <is>
          <t>N/A</t>
        </is>
      </c>
      <c r="AS517" s="113" t="inlineStr">
        <is>
          <t>N/A</t>
        </is>
      </c>
      <c r="AT517" s="104" t="n">
        <v>0.12</v>
      </c>
      <c r="AU517" s="104" t="n">
        <v>0.01</v>
      </c>
      <c r="AV517" s="104" t="n">
        <v>0.13</v>
      </c>
      <c r="AW517" s="113" t="inlineStr">
        <is>
          <t>N/A</t>
        </is>
      </c>
      <c r="AX517" s="113" t="inlineStr">
        <is>
          <t>N/A</t>
        </is>
      </c>
      <c r="AY517" s="113" t="inlineStr">
        <is>
          <t>N/A</t>
        </is>
      </c>
      <c r="AZ517" s="104" t="n">
        <v>0.01</v>
      </c>
      <c r="BA517" s="113" t="inlineStr">
        <is>
          <t>N/A</t>
        </is>
      </c>
      <c r="BB517" s="113" t="inlineStr">
        <is>
          <t>N/A</t>
        </is>
      </c>
      <c r="BC517" s="113" t="inlineStr">
        <is>
          <t>N/A</t>
        </is>
      </c>
      <c r="BD517" s="113" t="inlineStr">
        <is>
          <t>N/A</t>
        </is>
      </c>
      <c r="BE517" s="104" t="n">
        <v>0.01</v>
      </c>
      <c r="BF517" s="104" t="n">
        <v>0.89</v>
      </c>
      <c r="BG517" s="113" t="inlineStr">
        <is>
          <t>N/A</t>
        </is>
      </c>
      <c r="BH517" s="113" t="inlineStr">
        <is>
          <t>N/A</t>
        </is>
      </c>
      <c r="BI517" s="113" t="inlineStr">
        <is>
          <t>N/A</t>
        </is>
      </c>
      <c r="BJ517" s="113" t="inlineStr">
        <is>
          <t>N/A</t>
        </is>
      </c>
      <c r="BK517" s="103" t="n">
        <v>1</v>
      </c>
      <c r="BL517" s="103" t="n">
        <v>1</v>
      </c>
      <c r="BM517" s="103" t="n">
        <v>1</v>
      </c>
      <c r="BN517" s="103" t="n">
        <v>1</v>
      </c>
      <c r="BO517" s="103" t="n">
        <v>1</v>
      </c>
      <c r="BP517" s="103" t="n">
        <v>0</v>
      </c>
      <c r="BQ517" s="103" t="n">
        <v>1</v>
      </c>
      <c r="BR517" s="103" t="n">
        <v>0</v>
      </c>
      <c r="BS517" s="103" t="n">
        <v>0</v>
      </c>
      <c r="BT517" s="103" t="n">
        <v>6</v>
      </c>
      <c r="BU517" s="103" t="inlineStr">
        <is>
          <t>Mixed</t>
        </is>
      </c>
      <c r="BV517" s="113" t="inlineStr">
        <is>
          <t>N/A</t>
        </is>
      </c>
      <c r="BW517" s="113" t="inlineStr">
        <is>
          <t>N/A</t>
        </is>
      </c>
      <c r="BX517" s="104" t="n">
        <v>1</v>
      </c>
      <c r="BY517" s="113" t="inlineStr">
        <is>
          <t>N/A</t>
        </is>
      </c>
      <c r="BZ517" s="104" t="n">
        <v>0.93</v>
      </c>
      <c r="CA517" s="113" t="inlineStr">
        <is>
          <t>N/A</t>
        </is>
      </c>
      <c r="CB517" s="104" t="n">
        <v>1</v>
      </c>
      <c r="CC517" s="104" t="n">
        <v>-0</v>
      </c>
      <c r="CD517" s="113" t="inlineStr">
        <is>
          <t>N/A</t>
        </is>
      </c>
      <c r="CE517" s="113" t="inlineStr">
        <is>
          <t>N/A</t>
        </is>
      </c>
      <c r="CF517" s="104" t="n">
        <v>2.2</v>
      </c>
      <c r="CG517" s="104" t="n">
        <v>46.83</v>
      </c>
      <c r="CH517" s="103" t="n">
        <v>0</v>
      </c>
      <c r="CI517" s="103" t="inlineStr">
        <is>
          <t>CLEAR</t>
        </is>
      </c>
    </row>
    <row r="518" ht="17" customHeight="1">
      <c r="A518" s="107" t="inlineStr">
        <is>
          <t>GRMN</t>
        </is>
      </c>
      <c r="B518" s="107" t="inlineStr">
        <is>
          <t>GARMIN LTD</t>
        </is>
      </c>
      <c r="C518" s="108" t="n">
        <v>4528145000</v>
      </c>
      <c r="D518" s="109" t="n">
        <v>0.26</v>
      </c>
      <c r="E518" s="109" t="n">
        <v>0.28</v>
      </c>
      <c r="F518" s="109" t="n">
        <v>0.23</v>
      </c>
      <c r="G518" s="109" t="n">
        <v>0.15</v>
      </c>
      <c r="H518" s="109" t="n">
        <v>0.15</v>
      </c>
      <c r="I518" s="109" t="n">
        <v>0.19</v>
      </c>
      <c r="J518" s="109" t="n">
        <v>0.2</v>
      </c>
      <c r="K518" s="109" t="n">
        <v>0.59</v>
      </c>
      <c r="L518" s="109" t="n">
        <v>0.59</v>
      </c>
      <c r="M518" s="109" t="n">
        <v>0.66</v>
      </c>
      <c r="N518" s="108" t="n">
        <v>0.65</v>
      </c>
      <c r="O518" s="108" t="n">
        <v>3.63</v>
      </c>
      <c r="P518" s="108" t="n">
        <v>3.54</v>
      </c>
      <c r="Q518" s="108" t="n">
        <v>2.6</v>
      </c>
      <c r="R518" s="108" t="n">
        <v>1.32</v>
      </c>
      <c r="S518" s="108" t="n">
        <v>1</v>
      </c>
      <c r="T518" s="108" t="n">
        <v>1</v>
      </c>
      <c r="U518" s="111" t="inlineStr">
        <is>
          <t>N/A</t>
        </is>
      </c>
      <c r="V518" s="111" t="inlineStr">
        <is>
          <t>N/A</t>
        </is>
      </c>
      <c r="W518" s="108" t="n">
        <v>0.98</v>
      </c>
      <c r="X518" s="109" t="n">
        <v>0.19</v>
      </c>
      <c r="Y518" s="109" t="n">
        <v>0.16</v>
      </c>
      <c r="Z518" s="109" t="n">
        <v>1505.68</v>
      </c>
      <c r="AA518" s="109" t="n">
        <v>0.15</v>
      </c>
      <c r="AB518" s="109" t="n">
        <v>0.18</v>
      </c>
      <c r="AC518" s="108" t="n">
        <v>0</v>
      </c>
      <c r="AD518" s="108" t="n">
        <v>0</v>
      </c>
      <c r="AE518" s="108" t="n">
        <v>0.41</v>
      </c>
      <c r="AF518" s="108" t="n">
        <v>0.63</v>
      </c>
      <c r="AG518" s="108" t="n">
        <v>0.17</v>
      </c>
      <c r="AH518" s="108" t="n">
        <v>0.82</v>
      </c>
      <c r="AI518" s="108" t="n">
        <v>0.66</v>
      </c>
      <c r="AJ518" s="108" t="n">
        <v>3.09</v>
      </c>
      <c r="AK518" s="110" t="inlineStr">
        <is>
          <t>Safe</t>
        </is>
      </c>
      <c r="AL518" s="108" t="n">
        <v>0.41</v>
      </c>
      <c r="AM518" s="108" t="n">
        <v>0.63</v>
      </c>
      <c r="AN518" s="108" t="n">
        <v>0.17</v>
      </c>
      <c r="AO518" s="108" t="n">
        <v>0.82</v>
      </c>
      <c r="AP518" s="108" t="n">
        <v>0.66</v>
      </c>
      <c r="AQ518" s="107" t="n">
        <v>2.36</v>
      </c>
      <c r="AR518" s="107" t="inlineStr">
        <is>
          <t>Grey</t>
        </is>
      </c>
      <c r="AS518" s="108" t="n">
        <v>0.41</v>
      </c>
      <c r="AT518" s="108" t="n">
        <v>0.63</v>
      </c>
      <c r="AU518" s="108" t="n">
        <v>0.17</v>
      </c>
      <c r="AV518" s="108" t="n">
        <v>0.82</v>
      </c>
      <c r="AW518" s="107" t="n">
        <v>6.77</v>
      </c>
      <c r="AX518" s="107" t="inlineStr">
        <is>
          <t>Safe</t>
        </is>
      </c>
      <c r="AY518" s="108" t="n">
        <v>0.41</v>
      </c>
      <c r="AZ518" s="108" t="n">
        <v>0.17</v>
      </c>
      <c r="BA518" s="108" t="n">
        <v>1.17</v>
      </c>
      <c r="BB518" s="108" t="n">
        <v>0.66</v>
      </c>
      <c r="BC518" s="107" t="n">
        <v>1.98</v>
      </c>
      <c r="BD518" s="107" t="inlineStr">
        <is>
          <t>Healthy</t>
        </is>
      </c>
      <c r="BE518" s="108" t="n">
        <v>0.15</v>
      </c>
      <c r="BF518" s="108" t="n">
        <v>1</v>
      </c>
      <c r="BG518" s="108" t="n">
        <v>3.63</v>
      </c>
      <c r="BH518" s="108" t="n">
        <v>0.67</v>
      </c>
      <c r="BI518" s="107" t="n">
        <v>0.66</v>
      </c>
      <c r="BJ518" s="107" t="inlineStr">
        <is>
          <t>Distress</t>
        </is>
      </c>
      <c r="BK518" s="107" t="n">
        <v>1</v>
      </c>
      <c r="BL518" s="107" t="n">
        <v>1</v>
      </c>
      <c r="BM518" s="107" t="n">
        <v>1</v>
      </c>
      <c r="BN518" s="107" t="n">
        <v>0</v>
      </c>
      <c r="BO518" s="107" t="n">
        <v>0</v>
      </c>
      <c r="BP518" s="107" t="n">
        <v>1</v>
      </c>
      <c r="BQ518" s="107" t="n">
        <v>0</v>
      </c>
      <c r="BR518" s="107" t="n">
        <v>1</v>
      </c>
      <c r="BS518" s="107" t="n">
        <v>1</v>
      </c>
      <c r="BT518" s="107" t="n">
        <v>6</v>
      </c>
      <c r="BU518" s="107" t="inlineStr">
        <is>
          <t>Mixed</t>
        </is>
      </c>
      <c r="BV518" s="108" t="n">
        <v>1.11</v>
      </c>
      <c r="BW518" s="108" t="n">
        <v>1</v>
      </c>
      <c r="BX518" s="108" t="n">
        <v>0.97</v>
      </c>
      <c r="BY518" s="108" t="n">
        <v>1.15</v>
      </c>
      <c r="BZ518" s="108" t="n">
        <v>1.02</v>
      </c>
      <c r="CA518" s="108" t="n">
        <v>0.98</v>
      </c>
      <c r="CB518" s="108" t="n">
        <v>1</v>
      </c>
      <c r="CC518" s="108" t="n">
        <v>0</v>
      </c>
      <c r="CD518" s="107" t="n">
        <v>-2.24</v>
      </c>
      <c r="CE518" s="107" t="inlineStr">
        <is>
          <t>Lower Risk</t>
        </is>
      </c>
      <c r="CF518" s="111" t="inlineStr">
        <is>
          <t>N/A</t>
        </is>
      </c>
      <c r="CG518" s="108" t="n">
        <v>55.1</v>
      </c>
      <c r="CH518" s="107" t="n">
        <v>0</v>
      </c>
      <c r="CI518" s="107" t="inlineStr">
        <is>
          <t>CLEAR</t>
        </is>
      </c>
    </row>
    <row r="519" ht="17" customHeight="1">
      <c r="A519" s="103" t="inlineStr">
        <is>
          <t>PLTR</t>
        </is>
      </c>
      <c r="B519" s="103" t="inlineStr">
        <is>
          <t>Palantir Technologies Inc.</t>
        </is>
      </c>
      <c r="C519" s="104" t="n">
        <v>7182593000</v>
      </c>
      <c r="D519" s="105" t="n">
        <v>0.32</v>
      </c>
      <c r="E519" s="105" t="n">
        <v>0.37</v>
      </c>
      <c r="F519" s="105" t="n">
        <v>0.36</v>
      </c>
      <c r="G519" s="105" t="n">
        <v>0.18</v>
      </c>
      <c r="H519" s="105" t="n">
        <v>0.07000000000000001</v>
      </c>
      <c r="I519" s="105" t="n">
        <v>0.22</v>
      </c>
      <c r="J519" s="105" t="n">
        <v>0.18</v>
      </c>
      <c r="K519" s="105" t="n">
        <v>0.82</v>
      </c>
      <c r="L519" s="105" t="n">
        <v>0.8</v>
      </c>
      <c r="M519" s="105" t="n">
        <v>0.5</v>
      </c>
      <c r="N519" s="104" t="n">
        <v>0.45</v>
      </c>
      <c r="O519" s="104" t="n">
        <v>7.11</v>
      </c>
      <c r="P519" s="104" t="n">
        <v>5.96</v>
      </c>
      <c r="Q519" s="104" t="n">
        <v>7.11</v>
      </c>
      <c r="R519" s="104" t="n">
        <v>1.21</v>
      </c>
      <c r="S519" s="104" t="n">
        <v>0.16</v>
      </c>
      <c r="T519" s="104" t="n">
        <v>0.2</v>
      </c>
      <c r="U519" s="104" t="n">
        <v>0</v>
      </c>
      <c r="V519" s="104" t="n">
        <v>-0.19</v>
      </c>
      <c r="W519" s="104" t="n">
        <v>1.31</v>
      </c>
      <c r="X519" s="105" t="n">
        <v>0.47</v>
      </c>
      <c r="Y519" s="105" t="n">
        <v>0.12</v>
      </c>
      <c r="Z519" s="105" t="n">
        <v>407.5</v>
      </c>
      <c r="AA519" s="105" t="n">
        <v>0.5600000000000001</v>
      </c>
      <c r="AB519" s="105" t="n">
        <v>2.52</v>
      </c>
      <c r="AC519" s="104" t="n">
        <v>-0.06</v>
      </c>
      <c r="AD519" s="104" t="n">
        <v>-0.06</v>
      </c>
      <c r="AE519" s="104" t="n">
        <v>0.8100000000000001</v>
      </c>
      <c r="AF519" s="104" t="n">
        <v>-0.4</v>
      </c>
      <c r="AG519" s="104" t="n">
        <v>0.16</v>
      </c>
      <c r="AH519" s="104" t="n">
        <v>5.23</v>
      </c>
      <c r="AI519" s="104" t="n">
        <v>0.5</v>
      </c>
      <c r="AJ519" s="104" t="n">
        <v>4.57</v>
      </c>
      <c r="AK519" s="110" t="inlineStr">
        <is>
          <t>Safe</t>
        </is>
      </c>
      <c r="AL519" s="104" t="n">
        <v>0.8100000000000001</v>
      </c>
      <c r="AM519" s="104" t="n">
        <v>-0.4</v>
      </c>
      <c r="AN519" s="104" t="n">
        <v>0.16</v>
      </c>
      <c r="AO519" s="104" t="n">
        <v>5.23</v>
      </c>
      <c r="AP519" s="104" t="n">
        <v>0.5</v>
      </c>
      <c r="AQ519" s="103" t="n">
        <v>3.43</v>
      </c>
      <c r="AR519" s="103" t="inlineStr">
        <is>
          <t>Safe</t>
        </is>
      </c>
      <c r="AS519" s="104" t="n">
        <v>0.8100000000000001</v>
      </c>
      <c r="AT519" s="104" t="n">
        <v>-0.4</v>
      </c>
      <c r="AU519" s="104" t="n">
        <v>0.16</v>
      </c>
      <c r="AV519" s="104" t="n">
        <v>5.23</v>
      </c>
      <c r="AW519" s="103" t="n">
        <v>10.55</v>
      </c>
      <c r="AX519" s="103" t="inlineStr">
        <is>
          <t>Safe</t>
        </is>
      </c>
      <c r="AY519" s="104" t="n">
        <v>0.8100000000000001</v>
      </c>
      <c r="AZ519" s="104" t="n">
        <v>0.16</v>
      </c>
      <c r="BA519" s="104" t="n">
        <v>1.41</v>
      </c>
      <c r="BB519" s="104" t="n">
        <v>0.5</v>
      </c>
      <c r="BC519" s="103" t="n">
        <v>2.45</v>
      </c>
      <c r="BD519" s="103" t="inlineStr">
        <is>
          <t>Healthy</t>
        </is>
      </c>
      <c r="BE519" s="104" t="n">
        <v>0.18</v>
      </c>
      <c r="BF519" s="104" t="n">
        <v>0.16</v>
      </c>
      <c r="BG519" s="104" t="n">
        <v>7.11</v>
      </c>
      <c r="BH519" s="104" t="n">
        <v>-4.23</v>
      </c>
      <c r="BI519" s="103" t="n">
        <v>0.01</v>
      </c>
      <c r="BJ519" s="103" t="inlineStr">
        <is>
          <t>Healthy</t>
        </is>
      </c>
      <c r="BK519" s="103" t="n">
        <v>1</v>
      </c>
      <c r="BL519" s="103" t="n">
        <v>1</v>
      </c>
      <c r="BM519" s="103" t="n">
        <v>1</v>
      </c>
      <c r="BN519" s="103" t="n">
        <v>1</v>
      </c>
      <c r="BO519" s="103" t="n">
        <v>0</v>
      </c>
      <c r="BP519" s="103" t="n">
        <v>1</v>
      </c>
      <c r="BQ519" s="103" t="n">
        <v>0</v>
      </c>
      <c r="BR519" s="103" t="n">
        <v>1</v>
      </c>
      <c r="BS519" s="103" t="n">
        <v>1</v>
      </c>
      <c r="BT519" s="103" t="n">
        <v>7</v>
      </c>
      <c r="BU519" s="103" t="inlineStr">
        <is>
          <t>Strong</t>
        </is>
      </c>
      <c r="BV519" s="104" t="n">
        <v>1.16</v>
      </c>
      <c r="BW519" s="104" t="n">
        <v>0.97</v>
      </c>
      <c r="BX519" s="104" t="n">
        <v>0.95</v>
      </c>
      <c r="BY519" s="104" t="n">
        <v>1.56</v>
      </c>
      <c r="BZ519" s="104" t="n">
        <v>1.32</v>
      </c>
      <c r="CA519" s="104" t="n">
        <v>0.71</v>
      </c>
      <c r="CB519" s="104" t="n">
        <v>0.8100000000000001</v>
      </c>
      <c r="CC519" s="104" t="n">
        <v>-0.06</v>
      </c>
      <c r="CD519" s="103" t="n">
        <v>-1.98</v>
      </c>
      <c r="CE519" s="103" t="inlineStr">
        <is>
          <t>Higher Risk</t>
        </is>
      </c>
      <c r="CF519" s="104" t="n">
        <v>-0.99</v>
      </c>
      <c r="CG519" s="104" t="n">
        <v>60.78</v>
      </c>
      <c r="CH519" s="103" t="n">
        <v>20</v>
      </c>
      <c r="CI519" s="103" t="inlineStr">
        <is>
          <t>CLEAR</t>
        </is>
      </c>
    </row>
    <row r="520" ht="17" customHeight="1">
      <c r="A520" s="107" t="inlineStr">
        <is>
          <t>NDAQ</t>
        </is>
      </c>
      <c r="B520" s="107" t="inlineStr">
        <is>
          <t>Nasdaq, Inc.</t>
        </is>
      </c>
      <c r="C520" s="108" t="n">
        <v>42000000</v>
      </c>
      <c r="D520" s="109" t="n">
        <v>0.55</v>
      </c>
      <c r="E520" s="109" t="n">
        <v>0.5</v>
      </c>
      <c r="F520" s="109" t="n">
        <v>0.42</v>
      </c>
      <c r="G520" s="109" t="n">
        <v>0.06</v>
      </c>
      <c r="H520" s="109" t="n">
        <v>0.04</v>
      </c>
      <c r="I520" s="109" t="n">
        <v>0.15</v>
      </c>
      <c r="J520" s="109" t="n">
        <v>0.1</v>
      </c>
      <c r="K520" s="109" t="n">
        <v>1.23</v>
      </c>
      <c r="L520" s="109" t="n">
        <v>1.17</v>
      </c>
      <c r="M520" s="109" t="n">
        <v>0.14</v>
      </c>
      <c r="N520" s="108" t="n">
        <v>0.13</v>
      </c>
      <c r="O520" s="108" t="n">
        <v>1.01</v>
      </c>
      <c r="P520" s="108" t="n">
        <v>0.99</v>
      </c>
      <c r="Q520" s="108" t="n">
        <v>1.01</v>
      </c>
      <c r="R520" s="108" t="n">
        <v>0.08</v>
      </c>
      <c r="S520" s="108" t="n">
        <v>0.61</v>
      </c>
      <c r="T520" s="108" t="n">
        <v>0.63</v>
      </c>
      <c r="U520" s="108" t="n">
        <v>0.74</v>
      </c>
      <c r="V520" s="108" t="n">
        <v>0.6899999999999999</v>
      </c>
      <c r="W520" s="108" t="n">
        <v>1.26</v>
      </c>
      <c r="X520" s="109" t="n">
        <v>0.47</v>
      </c>
      <c r="Y520" s="109" t="n">
        <v>0</v>
      </c>
      <c r="Z520" s="109" t="n">
        <v>8.210000000000001</v>
      </c>
      <c r="AA520" s="109" t="n">
        <v>0.08</v>
      </c>
      <c r="AB520" s="109" t="n">
        <v>0.6</v>
      </c>
      <c r="AC520" s="108" t="n">
        <v>-0.02</v>
      </c>
      <c r="AD520" s="108" t="n">
        <v>-0.02</v>
      </c>
      <c r="AE520" s="108" t="n">
        <v>0</v>
      </c>
      <c r="AF520" s="108" t="n">
        <v>0.31</v>
      </c>
      <c r="AG520" s="108" t="n">
        <v>0.08</v>
      </c>
      <c r="AH520" s="108" t="n">
        <v>0.65</v>
      </c>
      <c r="AI520" s="108" t="n">
        <v>0.14</v>
      </c>
      <c r="AJ520" s="108" t="n">
        <v>1.21</v>
      </c>
      <c r="AK520" s="112" t="inlineStr">
        <is>
          <t>Distress</t>
        </is>
      </c>
      <c r="AL520" s="108" t="n">
        <v>0</v>
      </c>
      <c r="AM520" s="108" t="n">
        <v>0.31</v>
      </c>
      <c r="AN520" s="108" t="n">
        <v>0.08</v>
      </c>
      <c r="AO520" s="108" t="n">
        <v>0.65</v>
      </c>
      <c r="AP520" s="108" t="n">
        <v>0.14</v>
      </c>
      <c r="AQ520" s="107" t="n">
        <v>0.91</v>
      </c>
      <c r="AR520" s="107" t="inlineStr">
        <is>
          <t>Distress</t>
        </is>
      </c>
      <c r="AS520" s="108" t="n">
        <v>0</v>
      </c>
      <c r="AT520" s="108" t="n">
        <v>0.31</v>
      </c>
      <c r="AU520" s="108" t="n">
        <v>0.08</v>
      </c>
      <c r="AV520" s="108" t="n">
        <v>0.65</v>
      </c>
      <c r="AW520" s="107" t="n">
        <v>2.2</v>
      </c>
      <c r="AX520" s="107" t="inlineStr">
        <is>
          <t>Grey</t>
        </is>
      </c>
      <c r="AY520" s="108" t="n">
        <v>0</v>
      </c>
      <c r="AZ520" s="108" t="n">
        <v>0.08</v>
      </c>
      <c r="BA520" s="108" t="n">
        <v>0.27</v>
      </c>
      <c r="BB520" s="108" t="n">
        <v>0.14</v>
      </c>
      <c r="BC520" s="107" t="n">
        <v>0.46</v>
      </c>
      <c r="BD520" s="107" t="inlineStr">
        <is>
          <t>Distress</t>
        </is>
      </c>
      <c r="BE520" s="108" t="n">
        <v>0.06</v>
      </c>
      <c r="BF520" s="108" t="n">
        <v>0.61</v>
      </c>
      <c r="BG520" s="108" t="n">
        <v>1.01</v>
      </c>
      <c r="BH520" s="108" t="n">
        <v>-1.15</v>
      </c>
      <c r="BI520" s="107" t="n">
        <v>0.24</v>
      </c>
      <c r="BJ520" s="107" t="inlineStr">
        <is>
          <t>Healthy</t>
        </is>
      </c>
      <c r="BK520" s="107" t="n">
        <v>1</v>
      </c>
      <c r="BL520" s="107" t="n">
        <v>1</v>
      </c>
      <c r="BM520" s="107" t="n">
        <v>1</v>
      </c>
      <c r="BN520" s="107" t="n">
        <v>1</v>
      </c>
      <c r="BO520" s="107" t="n">
        <v>1</v>
      </c>
      <c r="BP520" s="107" t="n">
        <v>1</v>
      </c>
      <c r="BQ520" s="107" t="n">
        <v>1</v>
      </c>
      <c r="BR520" s="107" t="n">
        <v>1</v>
      </c>
      <c r="BS520" s="107" t="n">
        <v>1</v>
      </c>
      <c r="BT520" s="107" t="n">
        <v>9</v>
      </c>
      <c r="BU520" s="107" t="inlineStr">
        <is>
          <t>Strong</t>
        </is>
      </c>
      <c r="BV520" s="108" t="n">
        <v>0.86</v>
      </c>
      <c r="BW520" s="108" t="n">
        <v>0.96</v>
      </c>
      <c r="BX520" s="108" t="n">
        <v>0.99</v>
      </c>
      <c r="BY520" s="108" t="n">
        <v>1.08</v>
      </c>
      <c r="BZ520" s="108" t="n">
        <v>1.09</v>
      </c>
      <c r="CA520" s="108" t="n">
        <v>0.64</v>
      </c>
      <c r="CB520" s="108" t="n">
        <v>0.96</v>
      </c>
      <c r="CC520" s="108" t="n">
        <v>-0.02</v>
      </c>
      <c r="CD520" s="107" t="n">
        <v>-2.55</v>
      </c>
      <c r="CE520" s="107" t="inlineStr">
        <is>
          <t>Lower Risk</t>
        </is>
      </c>
      <c r="CF520" s="108" t="n">
        <v>2.83</v>
      </c>
      <c r="CG520" s="108" t="n">
        <v>62.03</v>
      </c>
      <c r="CH520" s="107" t="n">
        <v>0</v>
      </c>
      <c r="CI520" s="107" t="inlineStr">
        <is>
          <t>CLEAR</t>
        </is>
      </c>
    </row>
    <row r="521" ht="17" customHeight="1">
      <c r="A521" s="103" t="inlineStr">
        <is>
          <t>SPG</t>
        </is>
      </c>
      <c r="B521" s="103" t="inlineStr">
        <is>
          <t>SIMON PROPERTY GROUP, INC.</t>
        </is>
      </c>
      <c r="C521" s="113" t="inlineStr">
        <is>
          <t>N/A</t>
        </is>
      </c>
      <c r="D521" s="105" t="n">
        <v>0.5</v>
      </c>
      <c r="E521" s="113" t="inlineStr">
        <is>
          <t>N/A</t>
        </is>
      </c>
      <c r="F521" s="105" t="n">
        <v>0.84</v>
      </c>
      <c r="G521" s="105" t="n">
        <v>0.13</v>
      </c>
      <c r="H521" s="105" t="n">
        <v>0.11</v>
      </c>
      <c r="I521" s="105" t="n">
        <v>1.03</v>
      </c>
      <c r="J521" s="113" t="inlineStr">
        <is>
          <t>N/A</t>
        </is>
      </c>
      <c r="K521" s="113" t="inlineStr">
        <is>
          <t>N/A</t>
        </is>
      </c>
      <c r="L521" s="113" t="inlineStr">
        <is>
          <t>N/A</t>
        </is>
      </c>
      <c r="M521" s="105" t="n">
        <v>0.16</v>
      </c>
      <c r="N521" s="104" t="n">
        <v>0.06</v>
      </c>
      <c r="O521" s="113" t="inlineStr">
        <is>
          <t>N/A</t>
        </is>
      </c>
      <c r="P521" s="113" t="inlineStr">
        <is>
          <t>N/A</t>
        </is>
      </c>
      <c r="Q521" s="113" t="inlineStr">
        <is>
          <t>N/A</t>
        </is>
      </c>
      <c r="R521" s="113" t="inlineStr">
        <is>
          <t>N/A</t>
        </is>
      </c>
      <c r="S521" s="104" t="n">
        <v>0.83</v>
      </c>
      <c r="T521" s="104" t="n">
        <v>0.89</v>
      </c>
      <c r="U521" s="104" t="n">
        <v>5.46</v>
      </c>
      <c r="V521" s="104" t="n">
        <v>5.3</v>
      </c>
      <c r="W521" s="104" t="n">
        <v>0.77</v>
      </c>
      <c r="X521" s="105" t="n">
        <v>0.5</v>
      </c>
      <c r="Y521" s="105" t="n">
        <v>0</v>
      </c>
      <c r="Z521" s="105" t="n">
        <v>3.26</v>
      </c>
      <c r="AA521" s="105" t="n">
        <v>2.55</v>
      </c>
      <c r="AB521" s="105" t="n">
        <v>0.52</v>
      </c>
      <c r="AC521" s="104" t="n">
        <v>0.03</v>
      </c>
      <c r="AD521" s="104" t="n">
        <v>0.03</v>
      </c>
      <c r="AE521" s="113" t="inlineStr">
        <is>
          <t>N/A</t>
        </is>
      </c>
      <c r="AF521" s="104" t="n">
        <v>-0.11</v>
      </c>
      <c r="AG521" s="104" t="n">
        <v>0.08</v>
      </c>
      <c r="AH521" s="104" t="n">
        <v>0.15</v>
      </c>
      <c r="AI521" s="104" t="n">
        <v>0.16</v>
      </c>
      <c r="AJ521" s="113" t="inlineStr">
        <is>
          <t>N/A</t>
        </is>
      </c>
      <c r="AK521" s="113" t="inlineStr">
        <is>
          <t>N/A</t>
        </is>
      </c>
      <c r="AL521" s="113" t="inlineStr">
        <is>
          <t>N/A</t>
        </is>
      </c>
      <c r="AM521" s="104" t="n">
        <v>-0.11</v>
      </c>
      <c r="AN521" s="104" t="n">
        <v>0.08</v>
      </c>
      <c r="AO521" s="104" t="n">
        <v>0.15</v>
      </c>
      <c r="AP521" s="104" t="n">
        <v>0.16</v>
      </c>
      <c r="AQ521" s="113" t="inlineStr">
        <is>
          <t>N/A</t>
        </is>
      </c>
      <c r="AR521" s="113" t="inlineStr">
        <is>
          <t>N/A</t>
        </is>
      </c>
      <c r="AS521" s="113" t="inlineStr">
        <is>
          <t>N/A</t>
        </is>
      </c>
      <c r="AT521" s="104" t="n">
        <v>-0.11</v>
      </c>
      <c r="AU521" s="104" t="n">
        <v>0.08</v>
      </c>
      <c r="AV521" s="104" t="n">
        <v>0.15</v>
      </c>
      <c r="AW521" s="113" t="inlineStr">
        <is>
          <t>N/A</t>
        </is>
      </c>
      <c r="AX521" s="113" t="inlineStr">
        <is>
          <t>N/A</t>
        </is>
      </c>
      <c r="AY521" s="113" t="inlineStr">
        <is>
          <t>N/A</t>
        </is>
      </c>
      <c r="AZ521" s="104" t="n">
        <v>0.08</v>
      </c>
      <c r="BA521" s="113" t="inlineStr">
        <is>
          <t>N/A</t>
        </is>
      </c>
      <c r="BB521" s="104" t="n">
        <v>0.16</v>
      </c>
      <c r="BC521" s="113" t="inlineStr">
        <is>
          <t>N/A</t>
        </is>
      </c>
      <c r="BD521" s="113" t="inlineStr">
        <is>
          <t>N/A</t>
        </is>
      </c>
      <c r="BE521" s="104" t="n">
        <v>0.13</v>
      </c>
      <c r="BF521" s="104" t="n">
        <v>0.83</v>
      </c>
      <c r="BG521" s="113" t="inlineStr">
        <is>
          <t>N/A</t>
        </is>
      </c>
      <c r="BH521" s="113" t="inlineStr">
        <is>
          <t>N/A</t>
        </is>
      </c>
      <c r="BI521" s="113" t="inlineStr">
        <is>
          <t>N/A</t>
        </is>
      </c>
      <c r="BJ521" s="113" t="inlineStr">
        <is>
          <t>N/A</t>
        </is>
      </c>
      <c r="BK521" s="103" t="n">
        <v>1</v>
      </c>
      <c r="BL521" s="103" t="n">
        <v>1</v>
      </c>
      <c r="BM521" s="103" t="n">
        <v>1</v>
      </c>
      <c r="BN521" s="103" t="n">
        <v>0</v>
      </c>
      <c r="BO521" s="103" t="n">
        <v>1</v>
      </c>
      <c r="BP521" s="103" t="n">
        <v>0</v>
      </c>
      <c r="BQ521" s="103" t="n">
        <v>1</v>
      </c>
      <c r="BR521" s="103" t="n">
        <v>0</v>
      </c>
      <c r="BS521" s="103" t="n">
        <v>1</v>
      </c>
      <c r="BT521" s="103" t="n">
        <v>6</v>
      </c>
      <c r="BU521" s="103" t="inlineStr">
        <is>
          <t>Mixed</t>
        </is>
      </c>
      <c r="BV521" s="113" t="inlineStr">
        <is>
          <t>N/A</t>
        </is>
      </c>
      <c r="BW521" s="113" t="inlineStr">
        <is>
          <t>N/A</t>
        </is>
      </c>
      <c r="BX521" s="113" t="inlineStr">
        <is>
          <t>N/A</t>
        </is>
      </c>
      <c r="BY521" s="104" t="n">
        <v>3.55</v>
      </c>
      <c r="BZ521" s="113" t="inlineStr">
        <is>
          <t>N/A</t>
        </is>
      </c>
      <c r="CA521" s="104" t="n">
        <v>0.38</v>
      </c>
      <c r="CB521" s="104" t="n">
        <v>0.9399999999999999</v>
      </c>
      <c r="CC521" s="104" t="n">
        <v>0.03</v>
      </c>
      <c r="CD521" s="113" t="inlineStr">
        <is>
          <t>N/A</t>
        </is>
      </c>
      <c r="CE521" s="113" t="inlineStr">
        <is>
          <t>N/A</t>
        </is>
      </c>
      <c r="CF521" s="104" t="n">
        <v>6</v>
      </c>
      <c r="CG521" s="104" t="n">
        <v>46.83</v>
      </c>
      <c r="CH521" s="103" t="n">
        <v>0</v>
      </c>
      <c r="CI521" s="103" t="inlineStr">
        <is>
          <t>CLEAR</t>
        </is>
      </c>
    </row>
    <row r="522" ht="17" customHeight="1">
      <c r="A522" s="107" t="inlineStr">
        <is>
          <t>WING</t>
        </is>
      </c>
      <c r="B522" s="107" t="inlineStr">
        <is>
          <t>WINGSTOP INC.</t>
        </is>
      </c>
      <c r="C522" s="108" t="n">
        <v>185523000</v>
      </c>
      <c r="D522" s="109" t="n">
        <v>0.26</v>
      </c>
      <c r="E522" s="109" t="n">
        <v>0.34</v>
      </c>
      <c r="F522" s="109" t="n">
        <v>0.25</v>
      </c>
      <c r="G522" s="109" t="n">
        <v>0.25</v>
      </c>
      <c r="H522" s="109" t="n">
        <v>0.15</v>
      </c>
      <c r="I522" s="109" t="n">
        <v>-0.24</v>
      </c>
      <c r="J522" s="109" t="n">
        <v>0.29</v>
      </c>
      <c r="K522" s="109" t="n">
        <v>0.87</v>
      </c>
      <c r="L522" s="109" t="n">
        <v>0.89</v>
      </c>
      <c r="M522" s="109" t="n">
        <v>1</v>
      </c>
      <c r="N522" s="108" t="n">
        <v>0.87</v>
      </c>
      <c r="O522" s="108" t="n">
        <v>3.26</v>
      </c>
      <c r="P522" s="108" t="n">
        <v>4.52</v>
      </c>
      <c r="Q522" s="108" t="n">
        <v>3.26</v>
      </c>
      <c r="R522" s="108" t="n">
        <v>2.4</v>
      </c>
      <c r="S522" s="108" t="n">
        <v>2.06</v>
      </c>
      <c r="T522" s="108" t="n">
        <v>1.94</v>
      </c>
      <c r="U522" s="108" t="n">
        <v>-1.66</v>
      </c>
      <c r="V522" s="108" t="n">
        <v>-1.39</v>
      </c>
      <c r="W522" s="108" t="n">
        <v>0.88</v>
      </c>
      <c r="X522" s="109" t="n">
        <v>0.15</v>
      </c>
      <c r="Y522" s="111" t="inlineStr">
        <is>
          <t>N/A</t>
        </is>
      </c>
      <c r="Z522" s="109" t="n">
        <v>23.59</v>
      </c>
      <c r="AA522" s="109" t="n">
        <v>0.11</v>
      </c>
      <c r="AB522" s="109" t="n">
        <v>0.6</v>
      </c>
      <c r="AC522" s="108" t="n">
        <v>0.03</v>
      </c>
      <c r="AD522" s="108" t="n">
        <v>0.03</v>
      </c>
      <c r="AE522" s="108" t="n">
        <v>0.27</v>
      </c>
      <c r="AF522" s="108" t="n">
        <v>-1.07</v>
      </c>
      <c r="AG522" s="108" t="n">
        <v>0.26</v>
      </c>
      <c r="AH522" s="108" t="n">
        <v>-0.52</v>
      </c>
      <c r="AI522" s="108" t="n">
        <v>1</v>
      </c>
      <c r="AJ522" s="108" t="n">
        <v>0.37</v>
      </c>
      <c r="AK522" s="112" t="inlineStr">
        <is>
          <t>Distress</t>
        </is>
      </c>
      <c r="AL522" s="108" t="n">
        <v>0.27</v>
      </c>
      <c r="AM522" s="108" t="n">
        <v>-1.07</v>
      </c>
      <c r="AN522" s="108" t="n">
        <v>0.26</v>
      </c>
      <c r="AO522" s="108" t="n">
        <v>-0.52</v>
      </c>
      <c r="AP522" s="108" t="n">
        <v>1</v>
      </c>
      <c r="AQ522" s="107" t="n">
        <v>0.87</v>
      </c>
      <c r="AR522" s="107" t="inlineStr">
        <is>
          <t>Distress</t>
        </is>
      </c>
      <c r="AS522" s="108" t="n">
        <v>0.27</v>
      </c>
      <c r="AT522" s="108" t="n">
        <v>-1.07</v>
      </c>
      <c r="AU522" s="108" t="n">
        <v>0.26</v>
      </c>
      <c r="AV522" s="108" t="n">
        <v>-0.52</v>
      </c>
      <c r="AW522" s="107" t="n">
        <v>-0.55</v>
      </c>
      <c r="AX522" s="107" t="inlineStr">
        <is>
          <t>Distress</t>
        </is>
      </c>
      <c r="AY522" s="108" t="n">
        <v>0.27</v>
      </c>
      <c r="AZ522" s="108" t="n">
        <v>0.26</v>
      </c>
      <c r="BA522" s="108" t="n">
        <v>2.89</v>
      </c>
      <c r="BB522" s="108" t="n">
        <v>1</v>
      </c>
      <c r="BC522" s="107" t="n">
        <v>3.38</v>
      </c>
      <c r="BD522" s="107" t="inlineStr">
        <is>
          <t>Healthy</t>
        </is>
      </c>
      <c r="BE522" s="108" t="n">
        <v>0.25</v>
      </c>
      <c r="BF522" s="108" t="n">
        <v>2.06</v>
      </c>
      <c r="BG522" s="108" t="n">
        <v>3.26</v>
      </c>
      <c r="BH522" s="108" t="n">
        <v>6.26</v>
      </c>
      <c r="BI522" s="107" t="n">
        <v>1</v>
      </c>
      <c r="BJ522" s="107" t="inlineStr">
        <is>
          <t>Distress</t>
        </is>
      </c>
      <c r="BK522" s="107" t="n">
        <v>1</v>
      </c>
      <c r="BL522" s="107" t="n">
        <v>1</v>
      </c>
      <c r="BM522" s="107" t="n">
        <v>1</v>
      </c>
      <c r="BN522" s="107" t="n">
        <v>0</v>
      </c>
      <c r="BO522" s="107" t="n">
        <v>0</v>
      </c>
      <c r="BP522" s="107" t="n">
        <v>0</v>
      </c>
      <c r="BQ522" s="107" t="n">
        <v>1</v>
      </c>
      <c r="BR522" s="107" t="n">
        <v>0</v>
      </c>
      <c r="BS522" s="107" t="n">
        <v>1</v>
      </c>
      <c r="BT522" s="107" t="n">
        <v>5</v>
      </c>
      <c r="BU522" s="107" t="inlineStr">
        <is>
          <t>Mixed</t>
        </is>
      </c>
      <c r="BV522" s="108" t="n">
        <v>0.95</v>
      </c>
      <c r="BW522" s="108" t="n">
        <v>1.02</v>
      </c>
      <c r="BX522" s="108" t="n">
        <v>1.57</v>
      </c>
      <c r="BY522" s="108" t="n">
        <v>1.11</v>
      </c>
      <c r="BZ522" s="108" t="n">
        <v>0.93</v>
      </c>
      <c r="CA522" s="108" t="n">
        <v>0.99</v>
      </c>
      <c r="CB522" s="108" t="n">
        <v>1.06</v>
      </c>
      <c r="CC522" s="108" t="n">
        <v>0.03</v>
      </c>
      <c r="CD522" s="107" t="n">
        <v>-2.07</v>
      </c>
      <c r="CE522" s="107" t="inlineStr">
        <is>
          <t>Higher Risk</t>
        </is>
      </c>
      <c r="CF522" s="108" t="n">
        <v>5.61</v>
      </c>
      <c r="CG522" s="108" t="n">
        <v>41</v>
      </c>
      <c r="CH522" s="107" t="n">
        <v>20</v>
      </c>
      <c r="CI522" s="107" t="inlineStr">
        <is>
          <t>CLEAR</t>
        </is>
      </c>
    </row>
    <row r="523" ht="17" customHeight="1">
      <c r="A523" s="103" t="inlineStr">
        <is>
          <t>ANET</t>
        </is>
      </c>
      <c r="B523" s="103" t="inlineStr">
        <is>
          <t>Arista Networks, Inc.</t>
        </is>
      </c>
      <c r="C523" s="104" t="n">
        <v>11010500000</v>
      </c>
      <c r="D523" s="105" t="n">
        <v>0.43</v>
      </c>
      <c r="E523" s="105" t="n">
        <v>0.47</v>
      </c>
      <c r="F523" s="105" t="n">
        <v>0.39</v>
      </c>
      <c r="G523" s="105" t="n">
        <v>0.18</v>
      </c>
      <c r="H523" s="105" t="n">
        <v>0.2</v>
      </c>
      <c r="I523" s="105" t="n">
        <v>0.28</v>
      </c>
      <c r="J523" s="105" t="n">
        <v>0.27</v>
      </c>
      <c r="K523" s="105" t="n">
        <v>0.64</v>
      </c>
      <c r="L523" s="105" t="n">
        <v>0.64</v>
      </c>
      <c r="M523" s="105" t="n">
        <v>0.46</v>
      </c>
      <c r="N523" s="104" t="n">
        <v>0.5</v>
      </c>
      <c r="O523" s="104" t="n">
        <v>3.05</v>
      </c>
      <c r="P523" s="104" t="n">
        <v>4.36</v>
      </c>
      <c r="Q523" s="104" t="n">
        <v>2.63</v>
      </c>
      <c r="R523" s="104" t="n">
        <v>0.37</v>
      </c>
      <c r="S523" s="104" t="n">
        <v>0.36</v>
      </c>
      <c r="T523" s="104" t="n">
        <v>0.29</v>
      </c>
      <c r="U523" s="104" t="n">
        <v>0.01</v>
      </c>
      <c r="V523" s="104" t="n">
        <v>-0.15</v>
      </c>
      <c r="W523" s="104" t="n">
        <v>1.25</v>
      </c>
      <c r="X523" s="105" t="n">
        <v>0.48</v>
      </c>
      <c r="Y523" s="105" t="n">
        <v>0.14</v>
      </c>
      <c r="Z523" s="105" t="n">
        <v>1427.66</v>
      </c>
      <c r="AA523" s="105" t="n">
        <v>0.29</v>
      </c>
      <c r="AB523" s="105" t="n">
        <v>0.23</v>
      </c>
      <c r="AC523" s="104" t="n">
        <v>-0.04</v>
      </c>
      <c r="AD523" s="104" t="n">
        <v>-0.04</v>
      </c>
      <c r="AE523" s="104" t="n">
        <v>0.57</v>
      </c>
      <c r="AF523" s="104" t="n">
        <v>0.49</v>
      </c>
      <c r="AG523" s="104" t="n">
        <v>0.2</v>
      </c>
      <c r="AH523" s="104" t="n">
        <v>1.75</v>
      </c>
      <c r="AI523" s="104" t="n">
        <v>0.46</v>
      </c>
      <c r="AJ523" s="104" t="n">
        <v>3.53</v>
      </c>
      <c r="AK523" s="110" t="inlineStr">
        <is>
          <t>Safe</t>
        </is>
      </c>
      <c r="AL523" s="104" t="n">
        <v>0.57</v>
      </c>
      <c r="AM523" s="104" t="n">
        <v>0.49</v>
      </c>
      <c r="AN523" s="104" t="n">
        <v>0.2</v>
      </c>
      <c r="AO523" s="104" t="n">
        <v>1.75</v>
      </c>
      <c r="AP523" s="104" t="n">
        <v>0.46</v>
      </c>
      <c r="AQ523" s="103" t="n">
        <v>2.63</v>
      </c>
      <c r="AR523" s="103" t="inlineStr">
        <is>
          <t>Grey</t>
        </is>
      </c>
      <c r="AS523" s="104" t="n">
        <v>0.57</v>
      </c>
      <c r="AT523" s="104" t="n">
        <v>0.49</v>
      </c>
      <c r="AU523" s="104" t="n">
        <v>0.2</v>
      </c>
      <c r="AV523" s="104" t="n">
        <v>1.75</v>
      </c>
      <c r="AW523" s="103" t="n">
        <v>8.460000000000001</v>
      </c>
      <c r="AX523" s="103" t="inlineStr">
        <is>
          <t>Safe</t>
        </is>
      </c>
      <c r="AY523" s="104" t="n">
        <v>0.57</v>
      </c>
      <c r="AZ523" s="104" t="n">
        <v>0.2</v>
      </c>
      <c r="BA523" s="104" t="n">
        <v>0.79</v>
      </c>
      <c r="BB523" s="104" t="n">
        <v>0.46</v>
      </c>
      <c r="BC523" s="103" t="n">
        <v>1.9</v>
      </c>
      <c r="BD523" s="103" t="inlineStr">
        <is>
          <t>Healthy</t>
        </is>
      </c>
      <c r="BE523" s="104" t="n">
        <v>0.18</v>
      </c>
      <c r="BF523" s="104" t="n">
        <v>0.36</v>
      </c>
      <c r="BG523" s="104" t="n">
        <v>3.05</v>
      </c>
      <c r="BH523" s="104" t="n">
        <v>-3.07</v>
      </c>
      <c r="BI523" s="103" t="n">
        <v>0.04</v>
      </c>
      <c r="BJ523" s="103" t="inlineStr">
        <is>
          <t>Healthy</t>
        </is>
      </c>
      <c r="BK523" s="103" t="n">
        <v>1</v>
      </c>
      <c r="BL523" s="103" t="n">
        <v>1</v>
      </c>
      <c r="BM523" s="103" t="n">
        <v>0</v>
      </c>
      <c r="BN523" s="103" t="n">
        <v>1</v>
      </c>
      <c r="BO523" s="103" t="n">
        <v>0</v>
      </c>
      <c r="BP523" s="103" t="n">
        <v>0</v>
      </c>
      <c r="BQ523" s="103" t="n">
        <v>1</v>
      </c>
      <c r="BR523" s="103" t="n">
        <v>0</v>
      </c>
      <c r="BS523" s="103" t="n">
        <v>0</v>
      </c>
      <c r="BT523" s="103" t="n">
        <v>4</v>
      </c>
      <c r="BU523" s="103" t="inlineStr">
        <is>
          <t>Mixed</t>
        </is>
      </c>
      <c r="BV523" s="104" t="n">
        <v>1.29</v>
      </c>
      <c r="BW523" s="104" t="n">
        <v>1</v>
      </c>
      <c r="BX523" s="104" t="n">
        <v>1.01</v>
      </c>
      <c r="BY523" s="104" t="n">
        <v>1.29</v>
      </c>
      <c r="BZ523" s="104" t="n">
        <v>1.46</v>
      </c>
      <c r="CA523" s="104" t="n">
        <v>0.9</v>
      </c>
      <c r="CB523" s="104" t="n">
        <v>1.26</v>
      </c>
      <c r="CC523" s="104" t="n">
        <v>-0.04</v>
      </c>
      <c r="CD523" s="103" t="n">
        <v>-2.18</v>
      </c>
      <c r="CE523" s="103" t="inlineStr">
        <is>
          <t>Higher Risk</t>
        </is>
      </c>
      <c r="CF523" s="104" t="n">
        <v>-0.47</v>
      </c>
      <c r="CG523" s="104" t="n">
        <v>45.08</v>
      </c>
      <c r="CH523" s="103" t="n">
        <v>20</v>
      </c>
      <c r="CI523" s="103" t="inlineStr">
        <is>
          <t>CLEAR</t>
        </is>
      </c>
    </row>
    <row r="524" ht="17" customHeight="1">
      <c r="A524" s="107" t="inlineStr">
        <is>
          <t>UHS</t>
        </is>
      </c>
      <c r="B524" s="107" t="inlineStr">
        <is>
          <t>UNIVERSAL HEALTH SERVICES, INC.</t>
        </is>
      </c>
      <c r="C524" s="108" t="n">
        <v>168314000</v>
      </c>
      <c r="D524" s="109" t="n">
        <v>0.11</v>
      </c>
      <c r="E524" s="109" t="n">
        <v>0.11</v>
      </c>
      <c r="F524" s="109" t="n">
        <v>0.09</v>
      </c>
      <c r="G524" s="109" t="n">
        <v>0.1</v>
      </c>
      <c r="H524" s="109" t="n">
        <v>0.08</v>
      </c>
      <c r="I524" s="109" t="n">
        <v>0.2</v>
      </c>
      <c r="J524" s="109" t="n">
        <v>0.16</v>
      </c>
      <c r="K524" s="109" t="n">
        <v>0.11</v>
      </c>
      <c r="L524" s="109" t="n">
        <v>0.11</v>
      </c>
      <c r="M524" s="109" t="n">
        <v>1.12</v>
      </c>
      <c r="N524" s="108" t="n">
        <v>1.09</v>
      </c>
      <c r="O524" s="108" t="n">
        <v>1.05</v>
      </c>
      <c r="P524" s="108" t="n">
        <v>1.27</v>
      </c>
      <c r="Q524" s="108" t="n">
        <v>1.05</v>
      </c>
      <c r="R524" s="108" t="n">
        <v>0.04</v>
      </c>
      <c r="S524" s="108" t="n">
        <v>1</v>
      </c>
      <c r="T524" s="108" t="n">
        <v>1</v>
      </c>
      <c r="U524" s="108" t="n">
        <v>0.76</v>
      </c>
      <c r="V524" s="108" t="n">
        <v>0.74</v>
      </c>
      <c r="W524" s="108" t="n">
        <v>1.25</v>
      </c>
      <c r="X524" s="109" t="n">
        <v>0.05</v>
      </c>
      <c r="Y524" s="111" t="inlineStr">
        <is>
          <t>N/A</t>
        </is>
      </c>
      <c r="Z524" s="109" t="n">
        <v>12.78</v>
      </c>
      <c r="AA524" s="109" t="n">
        <v>0.1</v>
      </c>
      <c r="AB524" s="109" t="n">
        <v>0.3</v>
      </c>
      <c r="AC524" s="108" t="n">
        <v>-0.02</v>
      </c>
      <c r="AD524" s="108" t="n">
        <v>-0.02</v>
      </c>
      <c r="AE524" s="108" t="n">
        <v>0.01</v>
      </c>
      <c r="AF524" s="108" t="n">
        <v>0.51</v>
      </c>
      <c r="AG524" s="108" t="n">
        <v>0.13</v>
      </c>
      <c r="AH524" s="108" t="n">
        <v>0.47</v>
      </c>
      <c r="AI524" s="108" t="n">
        <v>1.12</v>
      </c>
      <c r="AJ524" s="108" t="n">
        <v>2.56</v>
      </c>
      <c r="AK524" s="106" t="inlineStr">
        <is>
          <t>Grey</t>
        </is>
      </c>
      <c r="AL524" s="108" t="n">
        <v>0.01</v>
      </c>
      <c r="AM524" s="108" t="n">
        <v>0.51</v>
      </c>
      <c r="AN524" s="108" t="n">
        <v>0.13</v>
      </c>
      <c r="AO524" s="108" t="n">
        <v>0.47</v>
      </c>
      <c r="AP524" s="108" t="n">
        <v>1.12</v>
      </c>
      <c r="AQ524" s="107" t="n">
        <v>2.16</v>
      </c>
      <c r="AR524" s="107" t="inlineStr">
        <is>
          <t>Grey</t>
        </is>
      </c>
      <c r="AS524" s="108" t="n">
        <v>0.01</v>
      </c>
      <c r="AT524" s="108" t="n">
        <v>0.51</v>
      </c>
      <c r="AU524" s="108" t="n">
        <v>0.13</v>
      </c>
      <c r="AV524" s="108" t="n">
        <v>0.47</v>
      </c>
      <c r="AW524" s="107" t="n">
        <v>3.1</v>
      </c>
      <c r="AX524" s="107" t="inlineStr">
        <is>
          <t>Safe</t>
        </is>
      </c>
      <c r="AY524" s="108" t="n">
        <v>0.01</v>
      </c>
      <c r="AZ524" s="108" t="n">
        <v>0.13</v>
      </c>
      <c r="BA524" s="108" t="n">
        <v>0.61</v>
      </c>
      <c r="BB524" s="108" t="n">
        <v>1.12</v>
      </c>
      <c r="BC524" s="107" t="n">
        <v>1.25</v>
      </c>
      <c r="BD524" s="107" t="inlineStr">
        <is>
          <t>Healthy</t>
        </is>
      </c>
      <c r="BE524" s="108" t="n">
        <v>0.1</v>
      </c>
      <c r="BF524" s="108" t="n">
        <v>1</v>
      </c>
      <c r="BG524" s="108" t="n">
        <v>1.05</v>
      </c>
      <c r="BH524" s="108" t="n">
        <v>0.91</v>
      </c>
      <c r="BI524" s="107" t="n">
        <v>0.71</v>
      </c>
      <c r="BJ524" s="107" t="inlineStr">
        <is>
          <t>Distress</t>
        </is>
      </c>
      <c r="BK524" s="107" t="n">
        <v>1</v>
      </c>
      <c r="BL524" s="107" t="n">
        <v>1</v>
      </c>
      <c r="BM524" s="107" t="n">
        <v>1</v>
      </c>
      <c r="BN524" s="107" t="n">
        <v>1</v>
      </c>
      <c r="BO524" s="107" t="n">
        <v>1</v>
      </c>
      <c r="BP524" s="107" t="n">
        <v>0</v>
      </c>
      <c r="BQ524" s="107" t="n">
        <v>0</v>
      </c>
      <c r="BR524" s="107" t="n">
        <v>1</v>
      </c>
      <c r="BS524" s="107" t="n">
        <v>1</v>
      </c>
      <c r="BT524" s="107" t="n">
        <v>7</v>
      </c>
      <c r="BU524" s="107" t="inlineStr">
        <is>
          <t>Strong</t>
        </is>
      </c>
      <c r="BV524" s="108" t="n">
        <v>1.09</v>
      </c>
      <c r="BW524" s="108" t="n">
        <v>0.93</v>
      </c>
      <c r="BX524" s="108" t="n">
        <v>0.9399999999999999</v>
      </c>
      <c r="BY524" s="108" t="n">
        <v>1.1</v>
      </c>
      <c r="BZ524" s="108" t="n">
        <v>1.01</v>
      </c>
      <c r="CA524" s="111" t="inlineStr">
        <is>
          <t>N/A</t>
        </is>
      </c>
      <c r="CB524" s="108" t="n">
        <v>1</v>
      </c>
      <c r="CC524" s="108" t="n">
        <v>-0.02</v>
      </c>
      <c r="CD524" s="107" t="n">
        <v>-2.32</v>
      </c>
      <c r="CE524" s="107" t="inlineStr">
        <is>
          <t>Lower Risk</t>
        </is>
      </c>
      <c r="CF524" s="108" t="n">
        <v>2.05</v>
      </c>
      <c r="CG524" s="108" t="n">
        <v>58.27</v>
      </c>
      <c r="CH524" s="107" t="n">
        <v>0</v>
      </c>
      <c r="CI524" s="107" t="inlineStr">
        <is>
          <t>CLEAR</t>
        </is>
      </c>
    </row>
    <row r="525" ht="17" customHeight="1">
      <c r="A525" s="103" t="inlineStr">
        <is>
          <t>ALLY</t>
        </is>
      </c>
      <c r="B525" s="103" t="inlineStr">
        <is>
          <t>Ally Financial Inc.</t>
        </is>
      </c>
      <c r="C525" s="113" t="inlineStr">
        <is>
          <t>N/A</t>
        </is>
      </c>
      <c r="D525" s="105" t="n">
        <v>0.13</v>
      </c>
      <c r="E525" s="105" t="n">
        <v>0.13</v>
      </c>
      <c r="F525" s="105" t="n">
        <v>0.11</v>
      </c>
      <c r="G525" s="105" t="n">
        <v>0</v>
      </c>
      <c r="H525" s="105" t="n">
        <v>0</v>
      </c>
      <c r="I525" s="105" t="n">
        <v>0.05</v>
      </c>
      <c r="J525" s="113" t="inlineStr">
        <is>
          <t>N/A</t>
        </is>
      </c>
      <c r="K525" s="105" t="n">
        <v>0.01</v>
      </c>
      <c r="L525" s="105" t="n">
        <v>0.01</v>
      </c>
      <c r="M525" s="105" t="n">
        <v>0.04</v>
      </c>
      <c r="N525" s="104" t="n">
        <v>0.04</v>
      </c>
      <c r="O525" s="113" t="inlineStr">
        <is>
          <t>N/A</t>
        </is>
      </c>
      <c r="P525" s="113" t="inlineStr">
        <is>
          <t>N/A</t>
        </is>
      </c>
      <c r="Q525" s="113" t="inlineStr">
        <is>
          <t>N/A</t>
        </is>
      </c>
      <c r="R525" s="113" t="inlineStr">
        <is>
          <t>N/A</t>
        </is>
      </c>
      <c r="S525" s="104" t="n">
        <v>0.92</v>
      </c>
      <c r="T525" s="104" t="n">
        <v>0.93</v>
      </c>
      <c r="U525" s="104" t="n">
        <v>1.4</v>
      </c>
      <c r="V525" s="104" t="n">
        <v>0.76</v>
      </c>
      <c r="W525" s="104" t="n">
        <v>4.38</v>
      </c>
      <c r="X525" s="113" t="inlineStr">
        <is>
          <t>N/A</t>
        </is>
      </c>
      <c r="Y525" s="105" t="n">
        <v>0</v>
      </c>
      <c r="Z525" s="105" t="n">
        <v>0.15</v>
      </c>
      <c r="AA525" s="105" t="n">
        <v>-0.03</v>
      </c>
      <c r="AB525" s="105" t="n">
        <v>0.28</v>
      </c>
      <c r="AC525" s="104" t="n">
        <v>-0.01</v>
      </c>
      <c r="AD525" s="104" t="n">
        <v>-0.01</v>
      </c>
      <c r="AE525" s="113" t="inlineStr">
        <is>
          <t>N/A</t>
        </is>
      </c>
      <c r="AF525" s="104" t="n">
        <v>0</v>
      </c>
      <c r="AG525" s="104" t="n">
        <v>0.01</v>
      </c>
      <c r="AH525" s="104" t="n">
        <v>0.09</v>
      </c>
      <c r="AI525" s="104" t="n">
        <v>0.04</v>
      </c>
      <c r="AJ525" s="113" t="inlineStr">
        <is>
          <t>N/A</t>
        </is>
      </c>
      <c r="AK525" s="113" t="inlineStr">
        <is>
          <t>N/A</t>
        </is>
      </c>
      <c r="AL525" s="113" t="inlineStr">
        <is>
          <t>N/A</t>
        </is>
      </c>
      <c r="AM525" s="104" t="n">
        <v>0</v>
      </c>
      <c r="AN525" s="104" t="n">
        <v>0.01</v>
      </c>
      <c r="AO525" s="104" t="n">
        <v>0.09</v>
      </c>
      <c r="AP525" s="104" t="n">
        <v>0.04</v>
      </c>
      <c r="AQ525" s="113" t="inlineStr">
        <is>
          <t>N/A</t>
        </is>
      </c>
      <c r="AR525" s="113" t="inlineStr">
        <is>
          <t>N/A</t>
        </is>
      </c>
      <c r="AS525" s="113" t="inlineStr">
        <is>
          <t>N/A</t>
        </is>
      </c>
      <c r="AT525" s="104" t="n">
        <v>0</v>
      </c>
      <c r="AU525" s="104" t="n">
        <v>0.01</v>
      </c>
      <c r="AV525" s="104" t="n">
        <v>0.09</v>
      </c>
      <c r="AW525" s="113" t="inlineStr">
        <is>
          <t>N/A</t>
        </is>
      </c>
      <c r="AX525" s="113" t="inlineStr">
        <is>
          <t>N/A</t>
        </is>
      </c>
      <c r="AY525" s="113" t="inlineStr">
        <is>
          <t>N/A</t>
        </is>
      </c>
      <c r="AZ525" s="104" t="n">
        <v>0.01</v>
      </c>
      <c r="BA525" s="113" t="inlineStr">
        <is>
          <t>N/A</t>
        </is>
      </c>
      <c r="BB525" s="104" t="n">
        <v>0.04</v>
      </c>
      <c r="BC525" s="113" t="inlineStr">
        <is>
          <t>N/A</t>
        </is>
      </c>
      <c r="BD525" s="113" t="inlineStr">
        <is>
          <t>N/A</t>
        </is>
      </c>
      <c r="BE525" s="104" t="n">
        <v>0</v>
      </c>
      <c r="BF525" s="104" t="n">
        <v>0.92</v>
      </c>
      <c r="BG525" s="113" t="inlineStr">
        <is>
          <t>N/A</t>
        </is>
      </c>
      <c r="BH525" s="113" t="inlineStr">
        <is>
          <t>N/A</t>
        </is>
      </c>
      <c r="BI525" s="113" t="inlineStr">
        <is>
          <t>N/A</t>
        </is>
      </c>
      <c r="BJ525" s="113" t="inlineStr">
        <is>
          <t>N/A</t>
        </is>
      </c>
      <c r="BK525" s="103" t="n">
        <v>1</v>
      </c>
      <c r="BL525" s="103" t="n">
        <v>1</v>
      </c>
      <c r="BM525" s="103" t="n">
        <v>1</v>
      </c>
      <c r="BN525" s="103" t="n">
        <v>1</v>
      </c>
      <c r="BO525" s="103" t="n">
        <v>1</v>
      </c>
      <c r="BP525" s="103" t="n">
        <v>0</v>
      </c>
      <c r="BQ525" s="103" t="n">
        <v>0</v>
      </c>
      <c r="BR525" s="103" t="n">
        <v>0</v>
      </c>
      <c r="BS525" s="103" t="n">
        <v>0</v>
      </c>
      <c r="BT525" s="103" t="n">
        <v>5</v>
      </c>
      <c r="BU525" s="103" t="inlineStr">
        <is>
          <t>Mixed</t>
        </is>
      </c>
      <c r="BV525" s="113" t="inlineStr">
        <is>
          <t>N/A</t>
        </is>
      </c>
      <c r="BW525" s="113" t="inlineStr">
        <is>
          <t>N/A</t>
        </is>
      </c>
      <c r="BX525" s="104" t="n">
        <v>1</v>
      </c>
      <c r="BY525" s="104" t="n">
        <v>0.97</v>
      </c>
      <c r="BZ525" s="104" t="n">
        <v>5.74</v>
      </c>
      <c r="CA525" s="113" t="inlineStr">
        <is>
          <t>N/A</t>
        </is>
      </c>
      <c r="CB525" s="104" t="n">
        <v>0.99</v>
      </c>
      <c r="CC525" s="104" t="n">
        <v>-0.01</v>
      </c>
      <c r="CD525" s="113" t="inlineStr">
        <is>
          <t>N/A</t>
        </is>
      </c>
      <c r="CE525" s="113" t="inlineStr">
        <is>
          <t>N/A</t>
        </is>
      </c>
      <c r="CF525" s="104" t="n">
        <v>11.13</v>
      </c>
      <c r="CG525" s="104" t="n">
        <v>42.94</v>
      </c>
      <c r="CH525" s="103" t="n">
        <v>0</v>
      </c>
      <c r="CI525" s="103" t="inlineStr">
        <is>
          <t>CLEAR</t>
        </is>
      </c>
    </row>
    <row r="526" ht="17" customHeight="1">
      <c r="A526" s="107" t="inlineStr">
        <is>
          <t>SJM</t>
        </is>
      </c>
      <c r="B526" s="107" t="inlineStr">
        <is>
          <t>THE J. M. SMUCKER COMPANY</t>
        </is>
      </c>
      <c r="C526" s="108" t="n">
        <v>-565100000</v>
      </c>
      <c r="D526" s="109" t="n">
        <v>0.04</v>
      </c>
      <c r="E526" s="109" t="n">
        <v>-0.01</v>
      </c>
      <c r="F526" s="109" t="n">
        <v>-0.02</v>
      </c>
      <c r="G526" s="109" t="n">
        <v>-0.01</v>
      </c>
      <c r="H526" s="109" t="n">
        <v>-0.07000000000000001</v>
      </c>
      <c r="I526" s="109" t="n">
        <v>-0.03</v>
      </c>
      <c r="J526" s="109" t="n">
        <v>0.03</v>
      </c>
      <c r="K526" s="109" t="n">
        <v>0.34</v>
      </c>
      <c r="L526" s="109" t="n">
        <v>0.39</v>
      </c>
      <c r="M526" s="109" t="n">
        <v>0.5600000000000001</v>
      </c>
      <c r="N526" s="108" t="n">
        <v>0.5</v>
      </c>
      <c r="O526" s="108" t="n">
        <v>0.78</v>
      </c>
      <c r="P526" s="108" t="n">
        <v>0.8100000000000001</v>
      </c>
      <c r="Q526" s="108" t="n">
        <v>0.33</v>
      </c>
      <c r="R526" s="108" t="n">
        <v>0.04</v>
      </c>
      <c r="S526" s="108" t="n">
        <v>0.66</v>
      </c>
      <c r="T526" s="108" t="n">
        <v>0.65</v>
      </c>
      <c r="U526" s="108" t="n">
        <v>1.26</v>
      </c>
      <c r="V526" s="108" t="n">
        <v>1.24</v>
      </c>
      <c r="W526" s="108" t="n">
        <v>-10.62</v>
      </c>
      <c r="X526" s="109" t="n">
        <v>0.13</v>
      </c>
      <c r="Y526" s="109" t="n">
        <v>0.01</v>
      </c>
      <c r="Z526" s="109" t="n">
        <v>4.43</v>
      </c>
      <c r="AA526" s="109" t="n">
        <v>0.04</v>
      </c>
      <c r="AB526" s="109" t="n">
        <v>-0.89</v>
      </c>
      <c r="AC526" s="108" t="n">
        <v>-0.1</v>
      </c>
      <c r="AD526" s="108" t="n">
        <v>-0.1</v>
      </c>
      <c r="AE526" s="108" t="n">
        <v>-0.03</v>
      </c>
      <c r="AF526" s="108" t="n">
        <v>-0.01</v>
      </c>
      <c r="AG526" s="108" t="n">
        <v>0.02</v>
      </c>
      <c r="AH526" s="108" t="n">
        <v>0.52</v>
      </c>
      <c r="AI526" s="108" t="n">
        <v>0.5600000000000001</v>
      </c>
      <c r="AJ526" s="108" t="n">
        <v>0.89</v>
      </c>
      <c r="AK526" s="112" t="inlineStr">
        <is>
          <t>Distress</t>
        </is>
      </c>
      <c r="AL526" s="108" t="n">
        <v>-0.03</v>
      </c>
      <c r="AM526" s="108" t="n">
        <v>-0.01</v>
      </c>
      <c r="AN526" s="108" t="n">
        <v>0.02</v>
      </c>
      <c r="AO526" s="108" t="n">
        <v>0.52</v>
      </c>
      <c r="AP526" s="108" t="n">
        <v>0.5600000000000001</v>
      </c>
      <c r="AQ526" s="107" t="n">
        <v>0.8100000000000001</v>
      </c>
      <c r="AR526" s="107" t="inlineStr">
        <is>
          <t>Distress</t>
        </is>
      </c>
      <c r="AS526" s="108" t="n">
        <v>-0.03</v>
      </c>
      <c r="AT526" s="108" t="n">
        <v>-0.01</v>
      </c>
      <c r="AU526" s="108" t="n">
        <v>0.02</v>
      </c>
      <c r="AV526" s="108" t="n">
        <v>0.52</v>
      </c>
      <c r="AW526" s="107" t="n">
        <v>0.45</v>
      </c>
      <c r="AX526" s="107" t="inlineStr">
        <is>
          <t>Distress</t>
        </is>
      </c>
      <c r="AY526" s="108" t="n">
        <v>-0.03</v>
      </c>
      <c r="AZ526" s="108" t="n">
        <v>0.02</v>
      </c>
      <c r="BA526" s="108" t="n">
        <v>-0.02</v>
      </c>
      <c r="BB526" s="108" t="n">
        <v>0.5600000000000001</v>
      </c>
      <c r="BC526" s="107" t="n">
        <v>0.24</v>
      </c>
      <c r="BD526" s="107" t="inlineStr">
        <is>
          <t>Distress</t>
        </is>
      </c>
      <c r="BE526" s="108" t="n">
        <v>-0.01</v>
      </c>
      <c r="BF526" s="108" t="n">
        <v>0.66</v>
      </c>
      <c r="BG526" s="108" t="n">
        <v>0.78</v>
      </c>
      <c r="BH526" s="108" t="n">
        <v>-0.5600000000000001</v>
      </c>
      <c r="BI526" s="107" t="n">
        <v>0.36</v>
      </c>
      <c r="BJ526" s="107" t="inlineStr">
        <is>
          <t>Healthy</t>
        </is>
      </c>
      <c r="BK526" s="107" t="n">
        <v>0</v>
      </c>
      <c r="BL526" s="107" t="n">
        <v>1</v>
      </c>
      <c r="BM526" s="107" t="n">
        <v>1</v>
      </c>
      <c r="BN526" s="107" t="n">
        <v>1</v>
      </c>
      <c r="BO526" s="107" t="n">
        <v>0</v>
      </c>
      <c r="BP526" s="107" t="n">
        <v>0</v>
      </c>
      <c r="BQ526" s="107" t="n">
        <v>0</v>
      </c>
      <c r="BR526" s="107" t="n">
        <v>0</v>
      </c>
      <c r="BS526" s="107" t="n">
        <v>1</v>
      </c>
      <c r="BT526" s="107" t="n">
        <v>4</v>
      </c>
      <c r="BU526" s="107" t="inlineStr">
        <is>
          <t>Mixed</t>
        </is>
      </c>
      <c r="BV526" s="108" t="n">
        <v>1.02</v>
      </c>
      <c r="BW526" s="108" t="n">
        <v>1.16</v>
      </c>
      <c r="BX526" s="108" t="n">
        <v>0.98</v>
      </c>
      <c r="BY526" s="108" t="n">
        <v>1.04</v>
      </c>
      <c r="BZ526" s="108" t="n">
        <v>0.82</v>
      </c>
      <c r="CA526" s="108" t="n">
        <v>0.9399999999999999</v>
      </c>
      <c r="CB526" s="108" t="n">
        <v>1.01</v>
      </c>
      <c r="CC526" s="108" t="n">
        <v>-0.1</v>
      </c>
      <c r="CD526" s="107" t="n">
        <v>-2.83</v>
      </c>
      <c r="CE526" s="107" t="inlineStr">
        <is>
          <t>Lower Risk</t>
        </is>
      </c>
      <c r="CF526" s="108" t="n">
        <v>9.710000000000001</v>
      </c>
      <c r="CG526" s="108" t="n">
        <v>41.95</v>
      </c>
      <c r="CH526" s="107" t="n">
        <v>20</v>
      </c>
      <c r="CI526" s="107" t="inlineStr">
        <is>
          <t>CLEAR</t>
        </is>
      </c>
    </row>
    <row r="527" ht="17" customHeight="1">
      <c r="A527" s="103" t="inlineStr">
        <is>
          <t>POWI</t>
        </is>
      </c>
      <c r="B527" s="103" t="inlineStr">
        <is>
          <t>POWER INTEGRATIONS, INC.</t>
        </is>
      </c>
      <c r="C527" s="104" t="n">
        <v>387968000</v>
      </c>
      <c r="D527" s="105" t="n">
        <v>0.02</v>
      </c>
      <c r="E527" s="105" t="n">
        <v>0.05</v>
      </c>
      <c r="F527" s="105" t="n">
        <v>0.05</v>
      </c>
      <c r="G527" s="105" t="n">
        <v>0.03</v>
      </c>
      <c r="H527" s="105" t="n">
        <v>0.04</v>
      </c>
      <c r="I527" s="105" t="n">
        <v>0.03</v>
      </c>
      <c r="J527" s="105" t="n">
        <v>0.01</v>
      </c>
      <c r="K527" s="105" t="n">
        <v>0.54</v>
      </c>
      <c r="L527" s="105" t="n">
        <v>0.54</v>
      </c>
      <c r="M527" s="105" t="n">
        <v>0.57</v>
      </c>
      <c r="N527" s="104" t="n">
        <v>0.51</v>
      </c>
      <c r="O527" s="104" t="n">
        <v>6.51</v>
      </c>
      <c r="P527" s="104" t="n">
        <v>9.289999999999999</v>
      </c>
      <c r="Q527" s="104" t="n">
        <v>4.14</v>
      </c>
      <c r="R527" s="104" t="n">
        <v>0.84</v>
      </c>
      <c r="S527" s="104" t="n">
        <v>0.13</v>
      </c>
      <c r="T527" s="104" t="n">
        <v>0.1</v>
      </c>
      <c r="U527" s="113" t="inlineStr">
        <is>
          <t>N/A</t>
        </is>
      </c>
      <c r="V527" s="113" t="inlineStr">
        <is>
          <t>N/A</t>
        </is>
      </c>
      <c r="W527" s="104" t="n">
        <v>5.05</v>
      </c>
      <c r="X527" s="105" t="n">
        <v>0.2</v>
      </c>
      <c r="Y527" s="105" t="n">
        <v>0.23</v>
      </c>
      <c r="Z527" s="113" t="inlineStr">
        <is>
          <t>N/A</t>
        </is>
      </c>
      <c r="AA527" s="105" t="n">
        <v>0.06</v>
      </c>
      <c r="AB527" s="105" t="n">
        <v>-0.31</v>
      </c>
      <c r="AC527" s="104" t="n">
        <v>-0.12</v>
      </c>
      <c r="AD527" s="104" t="n">
        <v>-0.12</v>
      </c>
      <c r="AE527" s="104" t="n">
        <v>0.5</v>
      </c>
      <c r="AF527" s="104" t="n">
        <v>0.87</v>
      </c>
      <c r="AG527" s="104" t="n">
        <v>0.01</v>
      </c>
      <c r="AH527" s="104" t="n">
        <v>6.77</v>
      </c>
      <c r="AI527" s="104" t="n">
        <v>0.57</v>
      </c>
      <c r="AJ527" s="104" t="n">
        <v>6.51</v>
      </c>
      <c r="AK527" s="110" t="inlineStr">
        <is>
          <t>Safe</t>
        </is>
      </c>
      <c r="AL527" s="104" t="n">
        <v>0.5</v>
      </c>
      <c r="AM527" s="104" t="n">
        <v>0.87</v>
      </c>
      <c r="AN527" s="104" t="n">
        <v>0.01</v>
      </c>
      <c r="AO527" s="104" t="n">
        <v>6.77</v>
      </c>
      <c r="AP527" s="104" t="n">
        <v>0.57</v>
      </c>
      <c r="AQ527" s="103" t="n">
        <v>4.56</v>
      </c>
      <c r="AR527" s="103" t="inlineStr">
        <is>
          <t>Safe</t>
        </is>
      </c>
      <c r="AS527" s="104" t="n">
        <v>0.5</v>
      </c>
      <c r="AT527" s="104" t="n">
        <v>0.87</v>
      </c>
      <c r="AU527" s="104" t="n">
        <v>0.01</v>
      </c>
      <c r="AV527" s="104" t="n">
        <v>6.77</v>
      </c>
      <c r="AW527" s="103" t="n">
        <v>13.34</v>
      </c>
      <c r="AX527" s="103" t="inlineStr">
        <is>
          <t>Safe</t>
        </is>
      </c>
      <c r="AY527" s="104" t="n">
        <v>0.5</v>
      </c>
      <c r="AZ527" s="104" t="n">
        <v>0.01</v>
      </c>
      <c r="BA527" s="104" t="n">
        <v>0.3</v>
      </c>
      <c r="BB527" s="104" t="n">
        <v>0.57</v>
      </c>
      <c r="BC527" s="103" t="n">
        <v>0.98</v>
      </c>
      <c r="BD527" s="103" t="inlineStr">
        <is>
          <t>Healthy</t>
        </is>
      </c>
      <c r="BE527" s="104" t="n">
        <v>0.03</v>
      </c>
      <c r="BF527" s="104" t="n">
        <v>0.13</v>
      </c>
      <c r="BG527" s="104" t="n">
        <v>6.51</v>
      </c>
      <c r="BH527" s="104" t="n">
        <v>-3.71</v>
      </c>
      <c r="BI527" s="103" t="n">
        <v>0.02</v>
      </c>
      <c r="BJ527" s="103" t="inlineStr">
        <is>
          <t>Healthy</t>
        </is>
      </c>
      <c r="BK527" s="103" t="n">
        <v>1</v>
      </c>
      <c r="BL527" s="103" t="n">
        <v>1</v>
      </c>
      <c r="BM527" s="103" t="n">
        <v>0</v>
      </c>
      <c r="BN527" s="103" t="n">
        <v>1</v>
      </c>
      <c r="BO527" s="103" t="n">
        <v>0</v>
      </c>
      <c r="BP527" s="103" t="n">
        <v>0</v>
      </c>
      <c r="BQ527" s="103" t="n">
        <v>1</v>
      </c>
      <c r="BR527" s="103" t="n">
        <v>1</v>
      </c>
      <c r="BS527" s="103" t="n">
        <v>1</v>
      </c>
      <c r="BT527" s="103" t="n">
        <v>6</v>
      </c>
      <c r="BU527" s="103" t="inlineStr">
        <is>
          <t>Mixed</t>
        </is>
      </c>
      <c r="BV527" s="104" t="n">
        <v>1.4</v>
      </c>
      <c r="BW527" s="104" t="n">
        <v>0.98</v>
      </c>
      <c r="BX527" s="104" t="n">
        <v>1.09</v>
      </c>
      <c r="BY527" s="104" t="n">
        <v>1.06</v>
      </c>
      <c r="BZ527" s="104" t="n">
        <v>1.16</v>
      </c>
      <c r="CA527" s="104" t="n">
        <v>1.06</v>
      </c>
      <c r="CB527" s="104" t="n">
        <v>1.35</v>
      </c>
      <c r="CC527" s="104" t="n">
        <v>-0.12</v>
      </c>
      <c r="CD527" s="103" t="n">
        <v>-2.68</v>
      </c>
      <c r="CE527" s="103" t="inlineStr">
        <is>
          <t>Lower Risk</t>
        </is>
      </c>
      <c r="CF527" s="113" t="inlineStr">
        <is>
          <t>N/A</t>
        </is>
      </c>
      <c r="CG527" s="104" t="n">
        <v>66.01000000000001</v>
      </c>
      <c r="CH527" s="103" t="n">
        <v>20</v>
      </c>
      <c r="CI527" s="103" t="inlineStr">
        <is>
          <t>CLEAR</t>
        </is>
      </c>
    </row>
    <row r="528" ht="17" customHeight="1">
      <c r="A528" s="107" t="inlineStr">
        <is>
          <t>FIVE</t>
        </is>
      </c>
      <c r="B528" s="107" t="inlineStr">
        <is>
          <t>Five Below, Inc.</t>
        </is>
      </c>
      <c r="C528" s="108" t="n">
        <v>962717000</v>
      </c>
      <c r="D528" s="109" t="n">
        <v>0.1</v>
      </c>
      <c r="E528" s="109" t="n">
        <v>0.1</v>
      </c>
      <c r="F528" s="109" t="n">
        <v>0.08</v>
      </c>
      <c r="G528" s="109" t="n">
        <v>0.07000000000000001</v>
      </c>
      <c r="H528" s="109" t="n">
        <v>0.06</v>
      </c>
      <c r="I528" s="109" t="n">
        <v>0.16</v>
      </c>
      <c r="J528" s="109" t="n">
        <v>0.11</v>
      </c>
      <c r="K528" s="109" t="n">
        <v>0.23</v>
      </c>
      <c r="L528" s="109" t="n">
        <v>0.12</v>
      </c>
      <c r="M528" s="109" t="n">
        <v>0.96</v>
      </c>
      <c r="N528" s="108" t="n">
        <v>0.89</v>
      </c>
      <c r="O528" s="108" t="n">
        <v>2.01</v>
      </c>
      <c r="P528" s="108" t="n">
        <v>1.79</v>
      </c>
      <c r="Q528" s="108" t="n">
        <v>1.12</v>
      </c>
      <c r="R528" s="108" t="n">
        <v>0.21</v>
      </c>
      <c r="S528" s="108" t="n">
        <v>0.5600000000000001</v>
      </c>
      <c r="T528" s="108" t="n">
        <v>0.58</v>
      </c>
      <c r="U528" s="108" t="n">
        <v>0</v>
      </c>
      <c r="V528" s="108" t="n">
        <v>-0.09</v>
      </c>
      <c r="W528" s="108" t="n">
        <v>1.64</v>
      </c>
      <c r="X528" s="109" t="n">
        <v>0.09</v>
      </c>
      <c r="Y528" s="111" t="inlineStr">
        <is>
          <t>N/A</t>
        </is>
      </c>
      <c r="Z528" s="109" t="n">
        <v>653.4299999999999</v>
      </c>
      <c r="AA528" s="109" t="n">
        <v>0.23</v>
      </c>
      <c r="AB528" s="109" t="n">
        <v>0.41</v>
      </c>
      <c r="AC528" s="108" t="n">
        <v>-0.05</v>
      </c>
      <c r="AD528" s="108" t="n">
        <v>-0.05</v>
      </c>
      <c r="AE528" s="108" t="n">
        <v>0.19</v>
      </c>
      <c r="AF528" s="108" t="n">
        <v>0.41</v>
      </c>
      <c r="AG528" s="108" t="n">
        <v>0.09</v>
      </c>
      <c r="AH528" s="108" t="n">
        <v>0.8</v>
      </c>
      <c r="AI528" s="108" t="n">
        <v>0.96</v>
      </c>
      <c r="AJ528" s="108" t="n">
        <v>2.56</v>
      </c>
      <c r="AK528" s="106" t="inlineStr">
        <is>
          <t>Grey</t>
        </is>
      </c>
      <c r="AL528" s="108" t="n">
        <v>0.19</v>
      </c>
      <c r="AM528" s="108" t="n">
        <v>0.41</v>
      </c>
      <c r="AN528" s="108" t="n">
        <v>0.09</v>
      </c>
      <c r="AO528" s="108" t="n">
        <v>0.8</v>
      </c>
      <c r="AP528" s="108" t="n">
        <v>0.96</v>
      </c>
      <c r="AQ528" s="107" t="n">
        <v>2.07</v>
      </c>
      <c r="AR528" s="107" t="inlineStr">
        <is>
          <t>Grey</t>
        </is>
      </c>
      <c r="AS528" s="108" t="n">
        <v>0.19</v>
      </c>
      <c r="AT528" s="108" t="n">
        <v>0.41</v>
      </c>
      <c r="AU528" s="108" t="n">
        <v>0.09</v>
      </c>
      <c r="AV528" s="108" t="n">
        <v>0.8</v>
      </c>
      <c r="AW528" s="107" t="n">
        <v>4.07</v>
      </c>
      <c r="AX528" s="107" t="inlineStr">
        <is>
          <t>Safe</t>
        </is>
      </c>
      <c r="AY528" s="108" t="n">
        <v>0.19</v>
      </c>
      <c r="AZ528" s="108" t="n">
        <v>0.09</v>
      </c>
      <c r="BA528" s="108" t="n">
        <v>0.5</v>
      </c>
      <c r="BB528" s="108" t="n">
        <v>0.96</v>
      </c>
      <c r="BC528" s="107" t="n">
        <v>1.2</v>
      </c>
      <c r="BD528" s="107" t="inlineStr">
        <is>
          <t>Healthy</t>
        </is>
      </c>
      <c r="BE528" s="108" t="n">
        <v>0.07000000000000001</v>
      </c>
      <c r="BF528" s="108" t="n">
        <v>0.5600000000000001</v>
      </c>
      <c r="BG528" s="108" t="n">
        <v>2.01</v>
      </c>
      <c r="BH528" s="108" t="n">
        <v>-1.5</v>
      </c>
      <c r="BI528" s="107" t="n">
        <v>0.18</v>
      </c>
      <c r="BJ528" s="107" t="inlineStr">
        <is>
          <t>Healthy</t>
        </is>
      </c>
      <c r="BK528" s="107" t="n">
        <v>1</v>
      </c>
      <c r="BL528" s="107" t="n">
        <v>1</v>
      </c>
      <c r="BM528" s="107" t="n">
        <v>1</v>
      </c>
      <c r="BN528" s="107" t="n">
        <v>1</v>
      </c>
      <c r="BO528" s="107" t="n">
        <v>1</v>
      </c>
      <c r="BP528" s="107" t="n">
        <v>1</v>
      </c>
      <c r="BQ528" s="107" t="n">
        <v>0</v>
      </c>
      <c r="BR528" s="107" t="n">
        <v>1</v>
      </c>
      <c r="BS528" s="107" t="n">
        <v>1</v>
      </c>
      <c r="BT528" s="107" t="n">
        <v>8</v>
      </c>
      <c r="BU528" s="107" t="inlineStr">
        <is>
          <t>Strong</t>
        </is>
      </c>
      <c r="BV528" s="111" t="inlineStr">
        <is>
          <t>N/A</t>
        </is>
      </c>
      <c r="BW528" s="108" t="n">
        <v>0.51</v>
      </c>
      <c r="BX528" s="108" t="n">
        <v>0.91</v>
      </c>
      <c r="BY528" s="108" t="n">
        <v>1.23</v>
      </c>
      <c r="BZ528" s="108" t="n">
        <v>0.87</v>
      </c>
      <c r="CA528" s="108" t="n">
        <v>1.01</v>
      </c>
      <c r="CB528" s="108" t="n">
        <v>0.95</v>
      </c>
      <c r="CC528" s="108" t="n">
        <v>-0.05</v>
      </c>
      <c r="CD528" s="111" t="inlineStr">
        <is>
          <t>N/A</t>
        </is>
      </c>
      <c r="CE528" s="111" t="inlineStr">
        <is>
          <t>N/A</t>
        </is>
      </c>
      <c r="CF528" s="108" t="n">
        <v>-0.31</v>
      </c>
      <c r="CG528" s="108" t="n">
        <v>62.53</v>
      </c>
      <c r="CH528" s="107" t="n">
        <v>0</v>
      </c>
      <c r="CI528" s="107" t="inlineStr">
        <is>
          <t>CLEAR</t>
        </is>
      </c>
    </row>
    <row r="529" ht="17" customHeight="1">
      <c r="A529" s="103" t="inlineStr">
        <is>
          <t>DAL</t>
        </is>
      </c>
      <c r="B529" s="103" t="inlineStr">
        <is>
          <t>Delta Air Lines, Inc.</t>
        </is>
      </c>
      <c r="C529" s="104" t="n">
        <v>-16656000000</v>
      </c>
      <c r="D529" s="105" t="n">
        <v>0.54</v>
      </c>
      <c r="E529" s="105" t="n">
        <v>0.58</v>
      </c>
      <c r="F529" s="105" t="n">
        <v>0.47</v>
      </c>
      <c r="G529" s="105" t="n">
        <v>0.06</v>
      </c>
      <c r="H529" s="105" t="n">
        <v>0.05</v>
      </c>
      <c r="I529" s="105" t="n">
        <v>0.24</v>
      </c>
      <c r="J529" s="105" t="n">
        <v>0.11</v>
      </c>
      <c r="K529" s="105" t="n">
        <v>-2.65</v>
      </c>
      <c r="L529" s="105" t="n">
        <v>-1.94</v>
      </c>
      <c r="M529" s="105" t="n">
        <v>0.13</v>
      </c>
      <c r="N529" s="104" t="n">
        <v>0.16</v>
      </c>
      <c r="O529" s="104" t="n">
        <v>0.4</v>
      </c>
      <c r="P529" s="104" t="n">
        <v>0.37</v>
      </c>
      <c r="Q529" s="104" t="n">
        <v>0.4</v>
      </c>
      <c r="R529" s="104" t="n">
        <v>0.16</v>
      </c>
      <c r="S529" s="104" t="n">
        <v>1</v>
      </c>
      <c r="T529" s="104" t="n">
        <v>1</v>
      </c>
      <c r="U529" s="104" t="n">
        <v>0.7</v>
      </c>
      <c r="V529" s="104" t="n">
        <v>0.5</v>
      </c>
      <c r="W529" s="104" t="n">
        <v>1.67</v>
      </c>
      <c r="X529" s="105" t="n">
        <v>0.36</v>
      </c>
      <c r="Y529" s="113" t="inlineStr">
        <is>
          <t>N/A</t>
        </is>
      </c>
      <c r="Z529" s="105" t="n">
        <v>14.7</v>
      </c>
      <c r="AA529" s="105" t="n">
        <v>-0.1</v>
      </c>
      <c r="AB529" s="105" t="n">
        <v>0.45</v>
      </c>
      <c r="AC529" s="104" t="n">
        <v>-0.04</v>
      </c>
      <c r="AD529" s="104" t="n">
        <v>-0.04</v>
      </c>
      <c r="AE529" s="104" t="n">
        <v>-0.2</v>
      </c>
      <c r="AF529" s="104" t="n">
        <v>0.16</v>
      </c>
      <c r="AG529" s="104" t="n">
        <v>0.07000000000000001</v>
      </c>
      <c r="AH529" s="104" t="n">
        <v>0.26</v>
      </c>
      <c r="AI529" s="104" t="n">
        <v>0.13</v>
      </c>
      <c r="AJ529" s="104" t="n">
        <v>0.51</v>
      </c>
      <c r="AK529" s="112" t="inlineStr">
        <is>
          <t>Distress</t>
        </is>
      </c>
      <c r="AL529" s="104" t="n">
        <v>-0.2</v>
      </c>
      <c r="AM529" s="104" t="n">
        <v>0.16</v>
      </c>
      <c r="AN529" s="104" t="n">
        <v>0.07000000000000001</v>
      </c>
      <c r="AO529" s="104" t="n">
        <v>0.26</v>
      </c>
      <c r="AP529" s="104" t="n">
        <v>0.13</v>
      </c>
      <c r="AQ529" s="103" t="n">
        <v>0.45</v>
      </c>
      <c r="AR529" s="103" t="inlineStr">
        <is>
          <t>Distress</t>
        </is>
      </c>
      <c r="AS529" s="104" t="n">
        <v>-0.2</v>
      </c>
      <c r="AT529" s="104" t="n">
        <v>0.16</v>
      </c>
      <c r="AU529" s="104" t="n">
        <v>0.07000000000000001</v>
      </c>
      <c r="AV529" s="104" t="n">
        <v>0.26</v>
      </c>
      <c r="AW529" s="103" t="n">
        <v>-0.06</v>
      </c>
      <c r="AX529" s="103" t="inlineStr">
        <is>
          <t>Distress</t>
        </is>
      </c>
      <c r="AY529" s="104" t="n">
        <v>-0.2</v>
      </c>
      <c r="AZ529" s="104" t="n">
        <v>0.07000000000000001</v>
      </c>
      <c r="BA529" s="104" t="n">
        <v>0.22</v>
      </c>
      <c r="BB529" s="104" t="n">
        <v>0.13</v>
      </c>
      <c r="BC529" s="103" t="n">
        <v>0.21</v>
      </c>
      <c r="BD529" s="103" t="inlineStr">
        <is>
          <t>Distress</t>
        </is>
      </c>
      <c r="BE529" s="104" t="n">
        <v>0.06</v>
      </c>
      <c r="BF529" s="104" t="n">
        <v>1</v>
      </c>
      <c r="BG529" s="104" t="n">
        <v>0.4</v>
      </c>
      <c r="BH529" s="104" t="n">
        <v>1.07</v>
      </c>
      <c r="BI529" s="103" t="n">
        <v>0.74</v>
      </c>
      <c r="BJ529" s="103" t="inlineStr">
        <is>
          <t>Distress</t>
        </is>
      </c>
      <c r="BK529" s="103" t="n">
        <v>1</v>
      </c>
      <c r="BL529" s="103" t="n">
        <v>1</v>
      </c>
      <c r="BM529" s="103" t="n">
        <v>1</v>
      </c>
      <c r="BN529" s="103" t="n">
        <v>1</v>
      </c>
      <c r="BO529" s="103" t="n">
        <v>1</v>
      </c>
      <c r="BP529" s="103" t="n">
        <v>1</v>
      </c>
      <c r="BQ529" s="103" t="n">
        <v>0</v>
      </c>
      <c r="BR529" s="103" t="n">
        <v>0</v>
      </c>
      <c r="BS529" s="103" t="n">
        <v>0</v>
      </c>
      <c r="BT529" s="103" t="n">
        <v>6</v>
      </c>
      <c r="BU529" s="103" t="inlineStr">
        <is>
          <t>Mixed</t>
        </is>
      </c>
      <c r="BV529" s="104" t="n">
        <v>0.98</v>
      </c>
      <c r="BW529" s="104" t="n">
        <v>0.73</v>
      </c>
      <c r="BX529" s="104" t="n">
        <v>1</v>
      </c>
      <c r="BY529" s="104" t="n">
        <v>0.9</v>
      </c>
      <c r="BZ529" s="104" t="n">
        <v>1.02</v>
      </c>
      <c r="CA529" s="104" t="n">
        <v>1.11</v>
      </c>
      <c r="CB529" s="104" t="n">
        <v>1</v>
      </c>
      <c r="CC529" s="104" t="n">
        <v>-0.04</v>
      </c>
      <c r="CD529" s="103" t="n">
        <v>-2.94</v>
      </c>
      <c r="CE529" s="103" t="inlineStr">
        <is>
          <t>Lower Risk</t>
        </is>
      </c>
      <c r="CF529" s="104" t="n">
        <v>1.27</v>
      </c>
      <c r="CG529" s="104" t="n">
        <v>48.42</v>
      </c>
      <c r="CH529" s="103" t="n">
        <v>0</v>
      </c>
      <c r="CI529" s="103" t="inlineStr">
        <is>
          <t>CLEAR</t>
        </is>
      </c>
    </row>
    <row r="530" ht="17" customHeight="1">
      <c r="A530" s="107" t="inlineStr">
        <is>
          <t>ACM</t>
        </is>
      </c>
      <c r="B530" s="107" t="inlineStr">
        <is>
          <t>AECOM</t>
        </is>
      </c>
      <c r="C530" s="108" t="n">
        <v>801411000</v>
      </c>
      <c r="D530" s="109" t="n">
        <v>0.06</v>
      </c>
      <c r="E530" s="109" t="n">
        <v>0.06</v>
      </c>
      <c r="F530" s="109" t="n">
        <v>0.03</v>
      </c>
      <c r="G530" s="109" t="n">
        <v>0.05</v>
      </c>
      <c r="H530" s="109" t="n">
        <v>0.03</v>
      </c>
      <c r="I530" s="109" t="n">
        <v>0.23</v>
      </c>
      <c r="J530" s="109" t="n">
        <v>0.16</v>
      </c>
      <c r="K530" s="109" t="n">
        <v>0.08</v>
      </c>
      <c r="L530" s="109" t="n">
        <v>0.07000000000000001</v>
      </c>
      <c r="M530" s="109" t="n">
        <v>1.32</v>
      </c>
      <c r="N530" s="108" t="n">
        <v>1.34</v>
      </c>
      <c r="O530" s="108" t="n">
        <v>1.14</v>
      </c>
      <c r="P530" s="108" t="n">
        <v>1.13</v>
      </c>
      <c r="Q530" s="108" t="n">
        <v>1.14</v>
      </c>
      <c r="R530" s="108" t="n">
        <v>0.27</v>
      </c>
      <c r="S530" s="108" t="n">
        <v>0.78</v>
      </c>
      <c r="T530" s="108" t="n">
        <v>0.8</v>
      </c>
      <c r="U530" s="108" t="n">
        <v>0.37</v>
      </c>
      <c r="V530" s="108" t="n">
        <v>-0.27</v>
      </c>
      <c r="W530" s="108" t="n">
        <v>1.46</v>
      </c>
      <c r="X530" s="109" t="n">
        <v>0.04</v>
      </c>
      <c r="Y530" s="109" t="n">
        <v>0</v>
      </c>
      <c r="Z530" s="109" t="n">
        <v>3.43</v>
      </c>
      <c r="AA530" s="109" t="n">
        <v>0</v>
      </c>
      <c r="AB530" s="109" t="n">
        <v>0.4</v>
      </c>
      <c r="AC530" s="108" t="n">
        <v>-0.02</v>
      </c>
      <c r="AD530" s="108" t="n">
        <v>-0.02</v>
      </c>
      <c r="AE530" s="108" t="n">
        <v>0.07000000000000001</v>
      </c>
      <c r="AF530" s="108" t="n">
        <v>-0.1</v>
      </c>
      <c r="AG530" s="108" t="n">
        <v>0.08</v>
      </c>
      <c r="AH530" s="108" t="n">
        <v>0.26</v>
      </c>
      <c r="AI530" s="108" t="n">
        <v>1.32</v>
      </c>
      <c r="AJ530" s="108" t="n">
        <v>1.7</v>
      </c>
      <c r="AK530" s="112" t="inlineStr">
        <is>
          <t>Distress</t>
        </is>
      </c>
      <c r="AL530" s="108" t="n">
        <v>0.07000000000000001</v>
      </c>
      <c r="AM530" s="108" t="n">
        <v>-0.1</v>
      </c>
      <c r="AN530" s="108" t="n">
        <v>0.08</v>
      </c>
      <c r="AO530" s="108" t="n">
        <v>0.26</v>
      </c>
      <c r="AP530" s="108" t="n">
        <v>1.32</v>
      </c>
      <c r="AQ530" s="107" t="n">
        <v>1.65</v>
      </c>
      <c r="AR530" s="107" t="inlineStr">
        <is>
          <t>Grey</t>
        </is>
      </c>
      <c r="AS530" s="108" t="n">
        <v>0.07000000000000001</v>
      </c>
      <c r="AT530" s="108" t="n">
        <v>-0.1</v>
      </c>
      <c r="AU530" s="108" t="n">
        <v>0.08</v>
      </c>
      <c r="AV530" s="108" t="n">
        <v>0.26</v>
      </c>
      <c r="AW530" s="107" t="n">
        <v>0.9399999999999999</v>
      </c>
      <c r="AX530" s="107" t="inlineStr">
        <is>
          <t>Distress</t>
        </is>
      </c>
      <c r="AY530" s="108" t="n">
        <v>0.07000000000000001</v>
      </c>
      <c r="AZ530" s="108" t="n">
        <v>0.08</v>
      </c>
      <c r="BA530" s="108" t="n">
        <v>0.15</v>
      </c>
      <c r="BB530" s="108" t="n">
        <v>1.32</v>
      </c>
      <c r="BC530" s="107" t="n">
        <v>0.96</v>
      </c>
      <c r="BD530" s="107" t="inlineStr">
        <is>
          <t>Healthy</t>
        </is>
      </c>
      <c r="BE530" s="108" t="n">
        <v>0.05</v>
      </c>
      <c r="BF530" s="108" t="n">
        <v>0.78</v>
      </c>
      <c r="BG530" s="108" t="n">
        <v>1.14</v>
      </c>
      <c r="BH530" s="108" t="n">
        <v>-0.12</v>
      </c>
      <c r="BI530" s="107" t="n">
        <v>0.47</v>
      </c>
      <c r="BJ530" s="107" t="inlineStr">
        <is>
          <t>Healthy</t>
        </is>
      </c>
      <c r="BK530" s="107" t="n">
        <v>1</v>
      </c>
      <c r="BL530" s="107" t="n">
        <v>1</v>
      </c>
      <c r="BM530" s="107" t="n">
        <v>1</v>
      </c>
      <c r="BN530" s="107" t="n">
        <v>1</v>
      </c>
      <c r="BO530" s="107" t="n">
        <v>0</v>
      </c>
      <c r="BP530" s="107" t="n">
        <v>1</v>
      </c>
      <c r="BQ530" s="107" t="n">
        <v>1</v>
      </c>
      <c r="BR530" s="107" t="n">
        <v>1</v>
      </c>
      <c r="BS530" s="107" t="n">
        <v>0</v>
      </c>
      <c r="BT530" s="107" t="n">
        <v>7</v>
      </c>
      <c r="BU530" s="107" t="inlineStr">
        <is>
          <t>Strong</t>
        </is>
      </c>
      <c r="BV530" s="108" t="n">
        <v>0.89</v>
      </c>
      <c r="BW530" s="108" t="n">
        <v>0.89</v>
      </c>
      <c r="BX530" s="108" t="n">
        <v>1.1</v>
      </c>
      <c r="BY530" s="108" t="n">
        <v>1</v>
      </c>
      <c r="BZ530" s="108" t="n">
        <v>9.58</v>
      </c>
      <c r="CA530" s="108" t="n">
        <v>0.98</v>
      </c>
      <c r="CB530" s="108" t="n">
        <v>0.97</v>
      </c>
      <c r="CC530" s="108" t="n">
        <v>-0.02</v>
      </c>
      <c r="CD530" s="107" t="n">
        <v>-1.69</v>
      </c>
      <c r="CE530" s="107" t="inlineStr">
        <is>
          <t>Higher Risk</t>
        </is>
      </c>
      <c r="CF530" s="108" t="n">
        <v>-0.65</v>
      </c>
      <c r="CG530" s="108" t="n">
        <v>51.51</v>
      </c>
      <c r="CH530" s="107" t="n">
        <v>20</v>
      </c>
      <c r="CI530" s="107" t="inlineStr">
        <is>
          <t>CLEAR</t>
        </is>
      </c>
    </row>
    <row r="531" ht="17" customHeight="1">
      <c r="A531" s="103" t="inlineStr">
        <is>
          <t>KKR</t>
        </is>
      </c>
      <c r="B531" s="103" t="inlineStr">
        <is>
          <t>KKR &amp; Co. Inc.</t>
        </is>
      </c>
      <c r="C531" s="113" t="inlineStr">
        <is>
          <t>N/A</t>
        </is>
      </c>
      <c r="D531" s="105" t="n">
        <v>0.36</v>
      </c>
      <c r="E531" s="105" t="n">
        <v>0.36</v>
      </c>
      <c r="F531" s="105" t="n">
        <v>0.12</v>
      </c>
      <c r="G531" s="105" t="n">
        <v>0.01</v>
      </c>
      <c r="H531" s="105" t="n">
        <v>0.01</v>
      </c>
      <c r="I531" s="105" t="n">
        <v>0.08</v>
      </c>
      <c r="J531" s="113" t="inlineStr">
        <is>
          <t>N/A</t>
        </is>
      </c>
      <c r="K531" s="105" t="n">
        <v>0.04</v>
      </c>
      <c r="L531" s="105" t="n">
        <v>0.05</v>
      </c>
      <c r="M531" s="105" t="n">
        <v>0.05</v>
      </c>
      <c r="N531" s="104" t="n">
        <v>0.06</v>
      </c>
      <c r="O531" s="113" t="inlineStr">
        <is>
          <t>N/A</t>
        </is>
      </c>
      <c r="P531" s="113" t="inlineStr">
        <is>
          <t>N/A</t>
        </is>
      </c>
      <c r="Q531" s="113" t="inlineStr">
        <is>
          <t>N/A</t>
        </is>
      </c>
      <c r="R531" s="113" t="inlineStr">
        <is>
          <t>N/A</t>
        </is>
      </c>
      <c r="S531" s="104" t="n">
        <v>0.8</v>
      </c>
      <c r="T531" s="104" t="n">
        <v>0.83</v>
      </c>
      <c r="U531" s="104" t="n">
        <v>1.19</v>
      </c>
      <c r="V531" s="104" t="n">
        <v>1.02</v>
      </c>
      <c r="W531" s="104" t="n">
        <v>0.2</v>
      </c>
      <c r="X531" s="105" t="n">
        <v>0.01</v>
      </c>
      <c r="Y531" s="105" t="n">
        <v>0</v>
      </c>
      <c r="Z531" s="105" t="n">
        <v>2.56</v>
      </c>
      <c r="AA531" s="105" t="n">
        <v>-0.11</v>
      </c>
      <c r="AB531" s="105" t="n">
        <v>-0.23</v>
      </c>
      <c r="AC531" s="104" t="n">
        <v>0</v>
      </c>
      <c r="AD531" s="104" t="n">
        <v>0</v>
      </c>
      <c r="AE531" s="113" t="inlineStr">
        <is>
          <t>N/A</t>
        </is>
      </c>
      <c r="AF531" s="104" t="n">
        <v>0.03</v>
      </c>
      <c r="AG531" s="104" t="n">
        <v>0.02</v>
      </c>
      <c r="AH531" s="104" t="n">
        <v>0.09</v>
      </c>
      <c r="AI531" s="104" t="n">
        <v>0.05</v>
      </c>
      <c r="AJ531" s="113" t="inlineStr">
        <is>
          <t>N/A</t>
        </is>
      </c>
      <c r="AK531" s="113" t="inlineStr">
        <is>
          <t>N/A</t>
        </is>
      </c>
      <c r="AL531" s="113" t="inlineStr">
        <is>
          <t>N/A</t>
        </is>
      </c>
      <c r="AM531" s="104" t="n">
        <v>0.03</v>
      </c>
      <c r="AN531" s="104" t="n">
        <v>0.02</v>
      </c>
      <c r="AO531" s="104" t="n">
        <v>0.09</v>
      </c>
      <c r="AP531" s="104" t="n">
        <v>0.05</v>
      </c>
      <c r="AQ531" s="113" t="inlineStr">
        <is>
          <t>N/A</t>
        </is>
      </c>
      <c r="AR531" s="113" t="inlineStr">
        <is>
          <t>N/A</t>
        </is>
      </c>
      <c r="AS531" s="113" t="inlineStr">
        <is>
          <t>N/A</t>
        </is>
      </c>
      <c r="AT531" s="104" t="n">
        <v>0.03</v>
      </c>
      <c r="AU531" s="104" t="n">
        <v>0.02</v>
      </c>
      <c r="AV531" s="104" t="n">
        <v>0.09</v>
      </c>
      <c r="AW531" s="113" t="inlineStr">
        <is>
          <t>N/A</t>
        </is>
      </c>
      <c r="AX531" s="113" t="inlineStr">
        <is>
          <t>N/A</t>
        </is>
      </c>
      <c r="AY531" s="113" t="inlineStr">
        <is>
          <t>N/A</t>
        </is>
      </c>
      <c r="AZ531" s="104" t="n">
        <v>0.02</v>
      </c>
      <c r="BA531" s="113" t="inlineStr">
        <is>
          <t>N/A</t>
        </is>
      </c>
      <c r="BB531" s="104" t="n">
        <v>0.05</v>
      </c>
      <c r="BC531" s="113" t="inlineStr">
        <is>
          <t>N/A</t>
        </is>
      </c>
      <c r="BD531" s="113" t="inlineStr">
        <is>
          <t>N/A</t>
        </is>
      </c>
      <c r="BE531" s="104" t="n">
        <v>0.01</v>
      </c>
      <c r="BF531" s="104" t="n">
        <v>0.8</v>
      </c>
      <c r="BG531" s="113" t="inlineStr">
        <is>
          <t>N/A</t>
        </is>
      </c>
      <c r="BH531" s="113" t="inlineStr">
        <is>
          <t>N/A</t>
        </is>
      </c>
      <c r="BI531" s="113" t="inlineStr">
        <is>
          <t>N/A</t>
        </is>
      </c>
      <c r="BJ531" s="113" t="inlineStr">
        <is>
          <t>N/A</t>
        </is>
      </c>
      <c r="BK531" s="103" t="n">
        <v>1</v>
      </c>
      <c r="BL531" s="103" t="n">
        <v>1</v>
      </c>
      <c r="BM531" s="103" t="n">
        <v>0</v>
      </c>
      <c r="BN531" s="103" t="n">
        <v>0</v>
      </c>
      <c r="BO531" s="103" t="n">
        <v>1</v>
      </c>
      <c r="BP531" s="103" t="n">
        <v>0</v>
      </c>
      <c r="BQ531" s="103" t="n">
        <v>0</v>
      </c>
      <c r="BR531" s="103" t="n">
        <v>0</v>
      </c>
      <c r="BS531" s="103" t="n">
        <v>0</v>
      </c>
      <c r="BT531" s="103" t="n">
        <v>3</v>
      </c>
      <c r="BU531" s="103" t="inlineStr">
        <is>
          <t>Weak</t>
        </is>
      </c>
      <c r="BV531" s="113" t="inlineStr">
        <is>
          <t>N/A</t>
        </is>
      </c>
      <c r="BW531" s="113" t="inlineStr">
        <is>
          <t>N/A</t>
        </is>
      </c>
      <c r="BX531" s="104" t="n">
        <v>1</v>
      </c>
      <c r="BY531" s="104" t="n">
        <v>0.89</v>
      </c>
      <c r="BZ531" s="104" t="n">
        <v>1.14</v>
      </c>
      <c r="CA531" s="113" t="inlineStr">
        <is>
          <t>N/A</t>
        </is>
      </c>
      <c r="CB531" s="104" t="n">
        <v>0.97</v>
      </c>
      <c r="CC531" s="104" t="n">
        <v>0</v>
      </c>
      <c r="CD531" s="113" t="inlineStr">
        <is>
          <t>N/A</t>
        </is>
      </c>
      <c r="CE531" s="113" t="inlineStr">
        <is>
          <t>N/A</t>
        </is>
      </c>
      <c r="CF531" s="104" t="n">
        <v>4.43</v>
      </c>
      <c r="CG531" s="104" t="n">
        <v>35.17</v>
      </c>
      <c r="CH531" s="103" t="n">
        <v>20</v>
      </c>
      <c r="CI531" s="103" t="inlineStr">
        <is>
          <t>CLEAR</t>
        </is>
      </c>
    </row>
    <row r="532" ht="17" customHeight="1">
      <c r="A532" s="107" t="inlineStr">
        <is>
          <t>EAT</t>
        </is>
      </c>
      <c r="B532" s="107" t="inlineStr">
        <is>
          <t>BRINKER INTERNATIONAL, INC.</t>
        </is>
      </c>
      <c r="C532" s="108" t="n">
        <v>-468600000</v>
      </c>
      <c r="D532" s="109" t="n">
        <v>0.1</v>
      </c>
      <c r="E532" s="109" t="n">
        <v>0.09</v>
      </c>
      <c r="F532" s="109" t="n">
        <v>0.07000000000000001</v>
      </c>
      <c r="G532" s="109" t="n">
        <v>0.14</v>
      </c>
      <c r="H532" s="109" t="n">
        <v>0.06</v>
      </c>
      <c r="I532" s="109" t="n">
        <v>1.03</v>
      </c>
      <c r="J532" s="109" t="n">
        <v>0.26</v>
      </c>
      <c r="K532" s="109" t="n">
        <v>0.84</v>
      </c>
      <c r="L532" s="109" t="n">
        <v>0.82</v>
      </c>
      <c r="M532" s="109" t="n">
        <v>2.01</v>
      </c>
      <c r="N532" s="108" t="n">
        <v>1.7</v>
      </c>
      <c r="O532" s="108" t="n">
        <v>0.31</v>
      </c>
      <c r="P532" s="108" t="n">
        <v>0.38</v>
      </c>
      <c r="Q532" s="108" t="n">
        <v>0.25</v>
      </c>
      <c r="R532" s="108" t="n">
        <v>0.03</v>
      </c>
      <c r="S532" s="108" t="n">
        <v>1</v>
      </c>
      <c r="T532" s="108" t="n">
        <v>1</v>
      </c>
      <c r="U532" s="108" t="n">
        <v>3.48</v>
      </c>
      <c r="V532" s="108" t="n">
        <v>3.43</v>
      </c>
      <c r="W532" s="108" t="n">
        <v>1.77</v>
      </c>
      <c r="X532" s="109" t="n">
        <v>0.08</v>
      </c>
      <c r="Y532" s="111" t="inlineStr">
        <is>
          <t>N/A</t>
        </is>
      </c>
      <c r="Z532" s="109" t="n">
        <v>9.640000000000001</v>
      </c>
      <c r="AA532" s="109" t="n">
        <v>0.22</v>
      </c>
      <c r="AB532" s="109" t="n">
        <v>1.47</v>
      </c>
      <c r="AC532" s="108" t="n">
        <v>-0.11</v>
      </c>
      <c r="AD532" s="108" t="n">
        <v>-0.11</v>
      </c>
      <c r="AE532" s="108" t="n">
        <v>-0.17</v>
      </c>
      <c r="AF532" s="108" t="n">
        <v>0.07000000000000001</v>
      </c>
      <c r="AG532" s="108" t="n">
        <v>0.19</v>
      </c>
      <c r="AH532" s="108" t="n">
        <v>0.14</v>
      </c>
      <c r="AI532" s="108" t="n">
        <v>2.01</v>
      </c>
      <c r="AJ532" s="108" t="n">
        <v>2.61</v>
      </c>
      <c r="AK532" s="106" t="inlineStr">
        <is>
          <t>Grey</t>
        </is>
      </c>
      <c r="AL532" s="108" t="n">
        <v>-0.17</v>
      </c>
      <c r="AM532" s="108" t="n">
        <v>0.07000000000000001</v>
      </c>
      <c r="AN532" s="108" t="n">
        <v>0.19</v>
      </c>
      <c r="AO532" s="108" t="n">
        <v>0.14</v>
      </c>
      <c r="AP532" s="108" t="n">
        <v>2.01</v>
      </c>
      <c r="AQ532" s="107" t="n">
        <v>2.59</v>
      </c>
      <c r="AR532" s="107" t="inlineStr">
        <is>
          <t>Grey</t>
        </is>
      </c>
      <c r="AS532" s="108" t="n">
        <v>-0.17</v>
      </c>
      <c r="AT532" s="108" t="n">
        <v>0.07000000000000001</v>
      </c>
      <c r="AU532" s="108" t="n">
        <v>0.19</v>
      </c>
      <c r="AV532" s="108" t="n">
        <v>0.14</v>
      </c>
      <c r="AW532" s="107" t="n">
        <v>0.51</v>
      </c>
      <c r="AX532" s="107" t="inlineStr">
        <is>
          <t>Distress</t>
        </is>
      </c>
      <c r="AY532" s="108" t="n">
        <v>-0.17</v>
      </c>
      <c r="AZ532" s="108" t="n">
        <v>0.19</v>
      </c>
      <c r="BA532" s="108" t="n">
        <v>0.68</v>
      </c>
      <c r="BB532" s="108" t="n">
        <v>2.01</v>
      </c>
      <c r="BC532" s="107" t="n">
        <v>1.66</v>
      </c>
      <c r="BD532" s="107" t="inlineStr">
        <is>
          <t>Healthy</t>
        </is>
      </c>
      <c r="BE532" s="108" t="n">
        <v>0.14</v>
      </c>
      <c r="BF532" s="108" t="n">
        <v>1</v>
      </c>
      <c r="BG532" s="108" t="n">
        <v>0.31</v>
      </c>
      <c r="BH532" s="108" t="n">
        <v>0.7</v>
      </c>
      <c r="BI532" s="107" t="n">
        <v>0.67</v>
      </c>
      <c r="BJ532" s="107" t="inlineStr">
        <is>
          <t>Distress</t>
        </is>
      </c>
      <c r="BK532" s="107" t="n">
        <v>1</v>
      </c>
      <c r="BL532" s="107" t="n">
        <v>1</v>
      </c>
      <c r="BM532" s="107" t="n">
        <v>1</v>
      </c>
      <c r="BN532" s="107" t="n">
        <v>1</v>
      </c>
      <c r="BO532" s="107" t="n">
        <v>0</v>
      </c>
      <c r="BP532" s="107" t="n">
        <v>0</v>
      </c>
      <c r="BQ532" s="107" t="n">
        <v>1</v>
      </c>
      <c r="BR532" s="107" t="n">
        <v>1</v>
      </c>
      <c r="BS532" s="107" t="n">
        <v>1</v>
      </c>
      <c r="BT532" s="107" t="n">
        <v>7</v>
      </c>
      <c r="BU532" s="107" t="inlineStr">
        <is>
          <t>Strong</t>
        </is>
      </c>
      <c r="BV532" s="108" t="n">
        <v>0.99</v>
      </c>
      <c r="BW532" s="108" t="n">
        <v>0.98</v>
      </c>
      <c r="BX532" s="108" t="n">
        <v>0.99</v>
      </c>
      <c r="BY532" s="108" t="n">
        <v>1.22</v>
      </c>
      <c r="BZ532" s="108" t="n">
        <v>1.14</v>
      </c>
      <c r="CA532" s="108" t="n">
        <v>0.99</v>
      </c>
      <c r="CB532" s="108" t="n">
        <v>1</v>
      </c>
      <c r="CC532" s="108" t="n">
        <v>-0.11</v>
      </c>
      <c r="CD532" s="107" t="n">
        <v>-2.8</v>
      </c>
      <c r="CE532" s="107" t="inlineStr">
        <is>
          <t>Lower Risk</t>
        </is>
      </c>
      <c r="CF532" s="108" t="n">
        <v>1.92</v>
      </c>
      <c r="CG532" s="108" t="n">
        <v>59.79</v>
      </c>
      <c r="CH532" s="107" t="n">
        <v>20</v>
      </c>
      <c r="CI532" s="107" t="inlineStr">
        <is>
          <t>CLEAR</t>
        </is>
      </c>
    </row>
    <row r="533" ht="17" customHeight="1">
      <c r="A533" s="103" t="inlineStr">
        <is>
          <t>CTAS</t>
        </is>
      </c>
      <c r="B533" s="103" t="inlineStr">
        <is>
          <t>Cintas Corporation</t>
        </is>
      </c>
      <c r="C533" s="104" t="n">
        <v>1791667000</v>
      </c>
      <c r="D533" s="105" t="n">
        <v>1.46</v>
      </c>
      <c r="E533" s="105" t="n">
        <v>1.4</v>
      </c>
      <c r="F533" s="105" t="n">
        <v>1.12</v>
      </c>
      <c r="G533" s="105" t="n">
        <v>0.18</v>
      </c>
      <c r="H533" s="105" t="n">
        <v>0.17</v>
      </c>
      <c r="I533" s="105" t="n">
        <v>0.39</v>
      </c>
      <c r="J533" s="105" t="n">
        <v>0.29</v>
      </c>
      <c r="K533" s="105" t="n">
        <v>3.19</v>
      </c>
      <c r="L533" s="105" t="n">
        <v>2.59</v>
      </c>
      <c r="M533" s="105" t="n">
        <v>0.16</v>
      </c>
      <c r="N533" s="104" t="n">
        <v>0.2</v>
      </c>
      <c r="O533" s="104" t="n">
        <v>2.09</v>
      </c>
      <c r="P533" s="104" t="n">
        <v>1.74</v>
      </c>
      <c r="Q533" s="104" t="n">
        <v>1.82</v>
      </c>
      <c r="R533" s="104" t="n">
        <v>0.16</v>
      </c>
      <c r="S533" s="104" t="n">
        <v>1</v>
      </c>
      <c r="T533" s="104" t="n">
        <v>1</v>
      </c>
      <c r="U533" s="104" t="n">
        <v>0.52</v>
      </c>
      <c r="V533" s="104" t="n">
        <v>0.46</v>
      </c>
      <c r="W533" s="104" t="n">
        <v>1.2</v>
      </c>
      <c r="X533" s="105" t="n">
        <v>1.08</v>
      </c>
      <c r="Y533" s="105" t="n">
        <v>0</v>
      </c>
      <c r="Z533" s="105" t="n">
        <v>21.21</v>
      </c>
      <c r="AA533" s="105" t="n">
        <v>-0.11</v>
      </c>
      <c r="AB533" s="105" t="n">
        <v>0.15</v>
      </c>
      <c r="AC533" s="104" t="n">
        <v>-0.04</v>
      </c>
      <c r="AD533" s="104" t="n">
        <v>-0.04</v>
      </c>
      <c r="AE533" s="104" t="n">
        <v>0.18</v>
      </c>
      <c r="AF533" s="104" t="n">
        <v>1.2</v>
      </c>
      <c r="AG533" s="104" t="n">
        <v>0.24</v>
      </c>
      <c r="AH533" s="104" t="n">
        <v>0.48</v>
      </c>
      <c r="AI533" s="104" t="n">
        <v>0.16</v>
      </c>
      <c r="AJ533" s="104" t="n">
        <v>3.14</v>
      </c>
      <c r="AK533" s="110" t="inlineStr">
        <is>
          <t>Safe</t>
        </is>
      </c>
      <c r="AL533" s="104" t="n">
        <v>0.18</v>
      </c>
      <c r="AM533" s="104" t="n">
        <v>1.2</v>
      </c>
      <c r="AN533" s="104" t="n">
        <v>0.24</v>
      </c>
      <c r="AO533" s="104" t="n">
        <v>0.48</v>
      </c>
      <c r="AP533" s="104" t="n">
        <v>0.16</v>
      </c>
      <c r="AQ533" s="103" t="n">
        <v>2.26</v>
      </c>
      <c r="AR533" s="103" t="inlineStr">
        <is>
          <t>Grey</t>
        </is>
      </c>
      <c r="AS533" s="104" t="n">
        <v>0.18</v>
      </c>
      <c r="AT533" s="104" t="n">
        <v>1.2</v>
      </c>
      <c r="AU533" s="104" t="n">
        <v>0.24</v>
      </c>
      <c r="AV533" s="104" t="n">
        <v>0.48</v>
      </c>
      <c r="AW533" s="103" t="n">
        <v>7.23</v>
      </c>
      <c r="AX533" s="103" t="inlineStr">
        <is>
          <t>Safe</t>
        </is>
      </c>
      <c r="AY533" s="104" t="n">
        <v>0.18</v>
      </c>
      <c r="AZ533" s="104" t="n">
        <v>0.24</v>
      </c>
      <c r="BA533" s="104" t="n">
        <v>1.38</v>
      </c>
      <c r="BB533" s="104" t="n">
        <v>0.16</v>
      </c>
      <c r="BC533" s="103" t="n">
        <v>1.9</v>
      </c>
      <c r="BD533" s="103" t="inlineStr">
        <is>
          <t>Healthy</t>
        </is>
      </c>
      <c r="BE533" s="104" t="n">
        <v>0.18</v>
      </c>
      <c r="BF533" s="104" t="n">
        <v>1</v>
      </c>
      <c r="BG533" s="104" t="n">
        <v>2.09</v>
      </c>
      <c r="BH533" s="104" t="n">
        <v>0.52</v>
      </c>
      <c r="BI533" s="103" t="n">
        <v>0.63</v>
      </c>
      <c r="BJ533" s="103" t="inlineStr">
        <is>
          <t>Distress</t>
        </is>
      </c>
      <c r="BK533" s="103" t="n">
        <v>1</v>
      </c>
      <c r="BL533" s="103" t="n">
        <v>1</v>
      </c>
      <c r="BM533" s="103" t="n">
        <v>1</v>
      </c>
      <c r="BN533" s="103" t="n">
        <v>1</v>
      </c>
      <c r="BO533" s="103" t="n">
        <v>0</v>
      </c>
      <c r="BP533" s="103" t="n">
        <v>1</v>
      </c>
      <c r="BQ533" s="103" t="n">
        <v>0</v>
      </c>
      <c r="BR533" s="103" t="n">
        <v>1</v>
      </c>
      <c r="BS533" s="103" t="n">
        <v>0</v>
      </c>
      <c r="BT533" s="103" t="n">
        <v>6</v>
      </c>
      <c r="BU533" s="103" t="inlineStr">
        <is>
          <t>Mixed</t>
        </is>
      </c>
      <c r="BV533" s="104" t="n">
        <v>1.27</v>
      </c>
      <c r="BW533" s="104" t="n">
        <v>0.8100000000000001</v>
      </c>
      <c r="BX533" s="104" t="n">
        <v>0.99</v>
      </c>
      <c r="BY533" s="104" t="n">
        <v>0.89</v>
      </c>
      <c r="BZ533" s="104" t="n">
        <v>0.97</v>
      </c>
      <c r="CA533" s="104" t="n">
        <v>1.2</v>
      </c>
      <c r="CB533" s="104" t="n">
        <v>1</v>
      </c>
      <c r="CC533" s="104" t="n">
        <v>-0.04</v>
      </c>
      <c r="CD533" s="103" t="n">
        <v>-2.63</v>
      </c>
      <c r="CE533" s="103" t="inlineStr">
        <is>
          <t>Lower Risk</t>
        </is>
      </c>
      <c r="CF533" s="104" t="n">
        <v>0.76</v>
      </c>
      <c r="CG533" s="104" t="n">
        <v>54.74</v>
      </c>
      <c r="CH533" s="103" t="n">
        <v>0</v>
      </c>
      <c r="CI533" s="103" t="inlineStr">
        <is>
          <t>CLEAR</t>
        </is>
      </c>
    </row>
    <row r="534" ht="17" customHeight="1">
      <c r="A534" s="107" t="inlineStr">
        <is>
          <t>ROST</t>
        </is>
      </c>
      <c r="B534" s="107" t="inlineStr">
        <is>
          <t>Ross Stores, Inc.</t>
        </is>
      </c>
      <c r="C534" s="108" t="n">
        <v>2812917000</v>
      </c>
      <c r="D534" s="109" t="n">
        <v>0.12</v>
      </c>
      <c r="E534" s="109" t="n">
        <v>0.12</v>
      </c>
      <c r="F534" s="109" t="n">
        <v>0.09</v>
      </c>
      <c r="G534" s="109" t="n">
        <v>0.14</v>
      </c>
      <c r="H534" s="109" t="n">
        <v>0.14</v>
      </c>
      <c r="I534" s="109" t="n">
        <v>0.35</v>
      </c>
      <c r="J534" s="109" t="n">
        <v>0.25</v>
      </c>
      <c r="K534" s="109" t="n">
        <v>0.28</v>
      </c>
      <c r="L534" s="109" t="n">
        <v>0.28</v>
      </c>
      <c r="M534" s="109" t="n">
        <v>1.46</v>
      </c>
      <c r="N534" s="108" t="n">
        <v>1.42</v>
      </c>
      <c r="O534" s="108" t="n">
        <v>1.58</v>
      </c>
      <c r="P534" s="108" t="n">
        <v>1.62</v>
      </c>
      <c r="Q534" s="108" t="n">
        <v>1.04</v>
      </c>
      <c r="R534" s="108" t="n">
        <v>0.95</v>
      </c>
      <c r="S534" s="108" t="n">
        <v>1</v>
      </c>
      <c r="T534" s="108" t="n">
        <v>1</v>
      </c>
      <c r="U534" s="108" t="n">
        <v>0.33</v>
      </c>
      <c r="V534" s="108" t="n">
        <v>-0.42</v>
      </c>
      <c r="W534" s="108" t="n">
        <v>1.41</v>
      </c>
      <c r="X534" s="109" t="n">
        <v>0.1</v>
      </c>
      <c r="Y534" s="111" t="inlineStr">
        <is>
          <t>N/A</t>
        </is>
      </c>
      <c r="Z534" s="109" t="n">
        <v>206.06</v>
      </c>
      <c r="AA534" s="109" t="n">
        <v>0.08</v>
      </c>
      <c r="AB534" s="109" t="n">
        <v>0.03</v>
      </c>
      <c r="AC534" s="108" t="n">
        <v>-0.06</v>
      </c>
      <c r="AD534" s="108" t="n">
        <v>-0.06</v>
      </c>
      <c r="AE534" s="108" t="n">
        <v>0.18</v>
      </c>
      <c r="AF534" s="108" t="n">
        <v>0.3</v>
      </c>
      <c r="AG534" s="108" t="n">
        <v>0.17</v>
      </c>
      <c r="AH534" s="108" t="n">
        <v>0.4</v>
      </c>
      <c r="AI534" s="108" t="n">
        <v>1.46</v>
      </c>
      <c r="AJ534" s="108" t="n">
        <v>2.92</v>
      </c>
      <c r="AK534" s="106" t="inlineStr">
        <is>
          <t>Grey</t>
        </is>
      </c>
      <c r="AL534" s="108" t="n">
        <v>0.18</v>
      </c>
      <c r="AM534" s="108" t="n">
        <v>0.3</v>
      </c>
      <c r="AN534" s="108" t="n">
        <v>0.17</v>
      </c>
      <c r="AO534" s="108" t="n">
        <v>0.4</v>
      </c>
      <c r="AP534" s="108" t="n">
        <v>1.46</v>
      </c>
      <c r="AQ534" s="107" t="n">
        <v>2.56</v>
      </c>
      <c r="AR534" s="107" t="inlineStr">
        <is>
          <t>Grey</t>
        </is>
      </c>
      <c r="AS534" s="108" t="n">
        <v>0.18</v>
      </c>
      <c r="AT534" s="108" t="n">
        <v>0.3</v>
      </c>
      <c r="AU534" s="108" t="n">
        <v>0.17</v>
      </c>
      <c r="AV534" s="108" t="n">
        <v>0.4</v>
      </c>
      <c r="AW534" s="107" t="n">
        <v>3.77</v>
      </c>
      <c r="AX534" s="107" t="inlineStr">
        <is>
          <t>Safe</t>
        </is>
      </c>
      <c r="AY534" s="108" t="n">
        <v>0.18</v>
      </c>
      <c r="AZ534" s="108" t="n">
        <v>0.17</v>
      </c>
      <c r="BA534" s="108" t="n">
        <v>0.59</v>
      </c>
      <c r="BB534" s="108" t="n">
        <v>1.46</v>
      </c>
      <c r="BC534" s="107" t="n">
        <v>1.69</v>
      </c>
      <c r="BD534" s="107" t="inlineStr">
        <is>
          <t>Healthy</t>
        </is>
      </c>
      <c r="BE534" s="108" t="n">
        <v>0.14</v>
      </c>
      <c r="BF534" s="108" t="n">
        <v>1</v>
      </c>
      <c r="BG534" s="108" t="n">
        <v>1.58</v>
      </c>
      <c r="BH534" s="108" t="n">
        <v>0.73</v>
      </c>
      <c r="BI534" s="107" t="n">
        <v>0.67</v>
      </c>
      <c r="BJ534" s="107" t="inlineStr">
        <is>
          <t>Distress</t>
        </is>
      </c>
      <c r="BK534" s="107" t="n">
        <v>1</v>
      </c>
      <c r="BL534" s="107" t="n">
        <v>1</v>
      </c>
      <c r="BM534" s="107" t="n">
        <v>0</v>
      </c>
      <c r="BN534" s="107" t="n">
        <v>1</v>
      </c>
      <c r="BO534" s="107" t="n">
        <v>1</v>
      </c>
      <c r="BP534" s="107" t="n">
        <v>0</v>
      </c>
      <c r="BQ534" s="107" t="n">
        <v>1</v>
      </c>
      <c r="BR534" s="107" t="n">
        <v>0</v>
      </c>
      <c r="BS534" s="107" t="n">
        <v>1</v>
      </c>
      <c r="BT534" s="107" t="n">
        <v>6</v>
      </c>
      <c r="BU534" s="107" t="inlineStr">
        <is>
          <t>Mixed</t>
        </is>
      </c>
      <c r="BV534" s="108" t="n">
        <v>1.17</v>
      </c>
      <c r="BW534" s="108" t="n">
        <v>1</v>
      </c>
      <c r="BX534" s="108" t="n">
        <v>1.02</v>
      </c>
      <c r="BY534" s="108" t="n">
        <v>1.08</v>
      </c>
      <c r="BZ534" s="108" t="n">
        <v>0.95</v>
      </c>
      <c r="CA534" s="108" t="n">
        <v>1.02</v>
      </c>
      <c r="CB534" s="108" t="n">
        <v>1</v>
      </c>
      <c r="CC534" s="108" t="n">
        <v>-0.06</v>
      </c>
      <c r="CD534" s="107" t="n">
        <v>-2.52</v>
      </c>
      <c r="CE534" s="107" t="inlineStr">
        <is>
          <t>Lower Risk</t>
        </is>
      </c>
      <c r="CF534" s="108" t="n">
        <v>-0.8</v>
      </c>
      <c r="CG534" s="108" t="n">
        <v>55.78</v>
      </c>
      <c r="CH534" s="107" t="n">
        <v>0</v>
      </c>
      <c r="CI534" s="107" t="inlineStr">
        <is>
          <t>CLEAR</t>
        </is>
      </c>
    </row>
    <row r="535" ht="17" customHeight="1">
      <c r="A535" s="103" t="inlineStr">
        <is>
          <t>JBHT</t>
        </is>
      </c>
      <c r="B535" s="103" t="inlineStr">
        <is>
          <t>J.B. HUNT TRANSPORT SERVICES, INC.</t>
        </is>
      </c>
      <c r="C535" s="104" t="n">
        <v>-331153000</v>
      </c>
      <c r="D535" s="105" t="n">
        <v>0.12</v>
      </c>
      <c r="E535" s="105" t="n">
        <v>0.11</v>
      </c>
      <c r="F535" s="105" t="n">
        <v>0.08</v>
      </c>
      <c r="G535" s="105" t="n">
        <v>0.08</v>
      </c>
      <c r="H535" s="105" t="n">
        <v>0.07000000000000001</v>
      </c>
      <c r="I535" s="105" t="n">
        <v>0.17</v>
      </c>
      <c r="J535" s="105" t="n">
        <v>0.14</v>
      </c>
      <c r="K535" s="113" t="inlineStr">
        <is>
          <t>N/A</t>
        </is>
      </c>
      <c r="L535" s="113" t="inlineStr">
        <is>
          <t>N/A</t>
        </is>
      </c>
      <c r="M535" s="105" t="n">
        <v>0.91</v>
      </c>
      <c r="N535" s="104" t="n">
        <v>0.24</v>
      </c>
      <c r="O535" s="104" t="n">
        <v>0.83</v>
      </c>
      <c r="P535" s="104" t="n">
        <v>1.06</v>
      </c>
      <c r="Q535" s="104" t="n">
        <v>0.8100000000000001</v>
      </c>
      <c r="R535" s="104" t="n">
        <v>0.01</v>
      </c>
      <c r="S535" s="104" t="n">
        <v>0.55</v>
      </c>
      <c r="T535" s="104" t="n">
        <v>0.52</v>
      </c>
      <c r="U535" s="104" t="n">
        <v>0.34</v>
      </c>
      <c r="V535" s="104" t="n">
        <v>0.34</v>
      </c>
      <c r="W535" s="104" t="n">
        <v>2.81</v>
      </c>
      <c r="X535" s="105" t="n">
        <v>0.13</v>
      </c>
      <c r="Y535" s="105" t="n">
        <v>0</v>
      </c>
      <c r="Z535" s="105" t="n">
        <v>10.95</v>
      </c>
      <c r="AA535" s="105" t="n">
        <v>2.61</v>
      </c>
      <c r="AB535" s="105" t="n">
        <v>0.05</v>
      </c>
      <c r="AC535" s="104" t="n">
        <v>-0.14</v>
      </c>
      <c r="AD535" s="104" t="n">
        <v>-0.14</v>
      </c>
      <c r="AE535" s="104" t="n">
        <v>-0.04</v>
      </c>
      <c r="AF535" s="104" t="n">
        <v>0.98</v>
      </c>
      <c r="AG535" s="104" t="n">
        <v>0.11</v>
      </c>
      <c r="AH535" s="104" t="n">
        <v>0.82</v>
      </c>
      <c r="AI535" s="104" t="n">
        <v>0.91</v>
      </c>
      <c r="AJ535" s="104" t="n">
        <v>3.08</v>
      </c>
      <c r="AK535" s="110" t="inlineStr">
        <is>
          <t>Safe</t>
        </is>
      </c>
      <c r="AL535" s="104" t="n">
        <v>-0.04</v>
      </c>
      <c r="AM535" s="104" t="n">
        <v>0.98</v>
      </c>
      <c r="AN535" s="104" t="n">
        <v>0.11</v>
      </c>
      <c r="AO535" s="104" t="n">
        <v>0.82</v>
      </c>
      <c r="AP535" s="104" t="n">
        <v>0.91</v>
      </c>
      <c r="AQ535" s="103" t="n">
        <v>2.39</v>
      </c>
      <c r="AR535" s="103" t="inlineStr">
        <is>
          <t>Grey</t>
        </is>
      </c>
      <c r="AS535" s="104" t="n">
        <v>-0.04</v>
      </c>
      <c r="AT535" s="104" t="n">
        <v>0.98</v>
      </c>
      <c r="AU535" s="104" t="n">
        <v>0.11</v>
      </c>
      <c r="AV535" s="104" t="n">
        <v>0.82</v>
      </c>
      <c r="AW535" s="103" t="n">
        <v>4.53</v>
      </c>
      <c r="AX535" s="103" t="inlineStr">
        <is>
          <t>Safe</t>
        </is>
      </c>
      <c r="AY535" s="104" t="n">
        <v>-0.04</v>
      </c>
      <c r="AZ535" s="104" t="n">
        <v>0.11</v>
      </c>
      <c r="BA535" s="104" t="n">
        <v>0.41</v>
      </c>
      <c r="BB535" s="104" t="n">
        <v>0.91</v>
      </c>
      <c r="BC535" s="103" t="n">
        <v>0.93</v>
      </c>
      <c r="BD535" s="103" t="inlineStr">
        <is>
          <t>Healthy</t>
        </is>
      </c>
      <c r="BE535" s="104" t="n">
        <v>0.08</v>
      </c>
      <c r="BF535" s="104" t="n">
        <v>0.55</v>
      </c>
      <c r="BG535" s="104" t="n">
        <v>0.83</v>
      </c>
      <c r="BH535" s="104" t="n">
        <v>-1.55</v>
      </c>
      <c r="BI535" s="103" t="n">
        <v>0.18</v>
      </c>
      <c r="BJ535" s="103" t="inlineStr">
        <is>
          <t>Healthy</t>
        </is>
      </c>
      <c r="BK535" s="103" t="n">
        <v>1</v>
      </c>
      <c r="BL535" s="103" t="n">
        <v>1</v>
      </c>
      <c r="BM535" s="103" t="n">
        <v>1</v>
      </c>
      <c r="BN535" s="103" t="n">
        <v>1</v>
      </c>
      <c r="BO535" s="103" t="n">
        <v>1</v>
      </c>
      <c r="BP535" s="103" t="n">
        <v>0</v>
      </c>
      <c r="BQ535" s="103" t="n">
        <v>1</v>
      </c>
      <c r="BR535" s="103" t="n">
        <v>0</v>
      </c>
      <c r="BS535" s="103" t="n">
        <v>1</v>
      </c>
      <c r="BT535" s="103" t="n">
        <v>7</v>
      </c>
      <c r="BU535" s="103" t="inlineStr">
        <is>
          <t>Strong</t>
        </is>
      </c>
      <c r="BV535" s="104" t="n">
        <v>0.26</v>
      </c>
      <c r="BW535" s="113" t="inlineStr">
        <is>
          <t>N/A</t>
        </is>
      </c>
      <c r="BX535" s="104" t="n">
        <v>1.01</v>
      </c>
      <c r="BY535" s="104" t="n">
        <v>3.61</v>
      </c>
      <c r="BZ535" s="104" t="n">
        <v>1.03</v>
      </c>
      <c r="CA535" s="104" t="n">
        <v>0.25</v>
      </c>
      <c r="CB535" s="104" t="n">
        <v>1.06</v>
      </c>
      <c r="CC535" s="104" t="n">
        <v>-0.14</v>
      </c>
      <c r="CD535" s="113" t="inlineStr">
        <is>
          <t>N/A</t>
        </is>
      </c>
      <c r="CE535" s="113" t="inlineStr">
        <is>
          <t>N/A</t>
        </is>
      </c>
      <c r="CF535" s="104" t="n">
        <v>0.77</v>
      </c>
      <c r="CG535" s="104" t="n">
        <v>59.79</v>
      </c>
      <c r="CH535" s="103" t="n">
        <v>20</v>
      </c>
      <c r="CI535" s="103" t="inlineStr">
        <is>
          <t>CLEAR</t>
        </is>
      </c>
    </row>
    <row r="536" ht="17" customHeight="1">
      <c r="A536" s="107" t="inlineStr">
        <is>
          <t>CE</t>
        </is>
      </c>
      <c r="B536" s="107" t="inlineStr">
        <is>
          <t>CELANESE CORPORATION</t>
        </is>
      </c>
      <c r="C536" s="108" t="n">
        <v>2010000000</v>
      </c>
      <c r="D536" s="109" t="n">
        <v>-0.08</v>
      </c>
      <c r="E536" s="109" t="n">
        <v>-0.13</v>
      </c>
      <c r="F536" s="109" t="n">
        <v>-0.12</v>
      </c>
      <c r="G536" s="109" t="n">
        <v>-0.05</v>
      </c>
      <c r="H536" s="109" t="n">
        <v>-0.07000000000000001</v>
      </c>
      <c r="I536" s="109" t="n">
        <v>-0.29</v>
      </c>
      <c r="J536" s="109" t="n">
        <v>-0.04</v>
      </c>
      <c r="K536" s="109" t="n">
        <v>0.2</v>
      </c>
      <c r="L536" s="109" t="n">
        <v>0.23</v>
      </c>
      <c r="M536" s="109" t="n">
        <v>0.44</v>
      </c>
      <c r="N536" s="108" t="n">
        <v>0.45</v>
      </c>
      <c r="O536" s="108" t="n">
        <v>1.55</v>
      </c>
      <c r="P536" s="108" t="n">
        <v>1.34</v>
      </c>
      <c r="Q536" s="108" t="n">
        <v>0.9399999999999999</v>
      </c>
      <c r="R536" s="108" t="n">
        <v>0.41</v>
      </c>
      <c r="S536" s="108" t="n">
        <v>1</v>
      </c>
      <c r="T536" s="108" t="n">
        <v>1</v>
      </c>
      <c r="U536" s="108" t="n">
        <v>3.41</v>
      </c>
      <c r="V536" s="108" t="n">
        <v>3.04</v>
      </c>
      <c r="W536" s="108" t="n">
        <v>-0.98</v>
      </c>
      <c r="X536" s="109" t="n">
        <v>0.08</v>
      </c>
      <c r="Y536" s="109" t="n">
        <v>0.01</v>
      </c>
      <c r="Z536" s="109" t="n">
        <v>-1.12</v>
      </c>
      <c r="AA536" s="109" t="n">
        <v>-0.07000000000000001</v>
      </c>
      <c r="AB536" s="109" t="n">
        <v>-0.23</v>
      </c>
      <c r="AC536" s="108" t="n">
        <v>-0.11</v>
      </c>
      <c r="AD536" s="108" t="n">
        <v>-0.11</v>
      </c>
      <c r="AE536" s="108" t="n">
        <v>0.09</v>
      </c>
      <c r="AF536" s="108" t="n">
        <v>0.46</v>
      </c>
      <c r="AG536" s="108" t="n">
        <v>-0.04</v>
      </c>
      <c r="AH536" s="108" t="n">
        <v>0.19</v>
      </c>
      <c r="AI536" s="108" t="n">
        <v>0.44</v>
      </c>
      <c r="AJ536" s="108" t="n">
        <v>1.18</v>
      </c>
      <c r="AK536" s="112" t="inlineStr">
        <is>
          <t>Distress</t>
        </is>
      </c>
      <c r="AL536" s="108" t="n">
        <v>0.09</v>
      </c>
      <c r="AM536" s="108" t="n">
        <v>0.46</v>
      </c>
      <c r="AN536" s="108" t="n">
        <v>-0.04</v>
      </c>
      <c r="AO536" s="108" t="n">
        <v>0.19</v>
      </c>
      <c r="AP536" s="108" t="n">
        <v>0.44</v>
      </c>
      <c r="AQ536" s="107" t="n">
        <v>0.86</v>
      </c>
      <c r="AR536" s="107" t="inlineStr">
        <is>
          <t>Distress</t>
        </is>
      </c>
      <c r="AS536" s="108" t="n">
        <v>0.09</v>
      </c>
      <c r="AT536" s="108" t="n">
        <v>0.46</v>
      </c>
      <c r="AU536" s="108" t="n">
        <v>-0.04</v>
      </c>
      <c r="AV536" s="108" t="n">
        <v>0.19</v>
      </c>
      <c r="AW536" s="107" t="n">
        <v>2.04</v>
      </c>
      <c r="AX536" s="107" t="inlineStr">
        <is>
          <t>Grey</t>
        </is>
      </c>
      <c r="AY536" s="108" t="n">
        <v>0.09</v>
      </c>
      <c r="AZ536" s="108" t="n">
        <v>-0.04</v>
      </c>
      <c r="BA536" s="108" t="n">
        <v>-0.33</v>
      </c>
      <c r="BB536" s="108" t="n">
        <v>0.44</v>
      </c>
      <c r="BC536" s="107" t="n">
        <v>-0.06</v>
      </c>
      <c r="BD536" s="107" t="inlineStr">
        <is>
          <t>Distress</t>
        </is>
      </c>
      <c r="BE536" s="108" t="n">
        <v>-0.05</v>
      </c>
      <c r="BF536" s="108" t="n">
        <v>1</v>
      </c>
      <c r="BG536" s="108" t="n">
        <v>1.55</v>
      </c>
      <c r="BH536" s="108" t="n">
        <v>1.59</v>
      </c>
      <c r="BI536" s="107" t="n">
        <v>0.83</v>
      </c>
      <c r="BJ536" s="107" t="inlineStr">
        <is>
          <t>Distress</t>
        </is>
      </c>
      <c r="BK536" s="107" t="n">
        <v>0</v>
      </c>
      <c r="BL536" s="107" t="n">
        <v>1</v>
      </c>
      <c r="BM536" s="107" t="n">
        <v>1</v>
      </c>
      <c r="BN536" s="107" t="n">
        <v>1</v>
      </c>
      <c r="BO536" s="107" t="n">
        <v>0</v>
      </c>
      <c r="BP536" s="107" t="n">
        <v>1</v>
      </c>
      <c r="BQ536" s="107" t="n">
        <v>0</v>
      </c>
      <c r="BR536" s="107" t="n">
        <v>0</v>
      </c>
      <c r="BS536" s="107" t="n">
        <v>0</v>
      </c>
      <c r="BT536" s="107" t="n">
        <v>4</v>
      </c>
      <c r="BU536" s="107" t="inlineStr">
        <is>
          <t>Mixed</t>
        </is>
      </c>
      <c r="BV536" s="108" t="n">
        <v>0.89</v>
      </c>
      <c r="BW536" s="108" t="n">
        <v>1.12</v>
      </c>
      <c r="BX536" s="108" t="n">
        <v>0.93</v>
      </c>
      <c r="BY536" s="108" t="n">
        <v>0.93</v>
      </c>
      <c r="BZ536" s="108" t="n">
        <v>1.01</v>
      </c>
      <c r="CA536" s="108" t="n">
        <v>0.9399999999999999</v>
      </c>
      <c r="CB536" s="108" t="n">
        <v>1</v>
      </c>
      <c r="CC536" s="108" t="n">
        <v>-0.11</v>
      </c>
      <c r="CD536" s="107" t="n">
        <v>-3.1</v>
      </c>
      <c r="CE536" s="107" t="inlineStr">
        <is>
          <t>Lower Risk</t>
        </is>
      </c>
      <c r="CF536" s="108" t="n">
        <v>-473.46</v>
      </c>
      <c r="CG536" s="108" t="n">
        <v>42.05</v>
      </c>
      <c r="CH536" s="106" t="n">
        <v>40</v>
      </c>
      <c r="CI536" s="107" t="inlineStr">
        <is>
          <t>WATCH</t>
        </is>
      </c>
    </row>
    <row r="537" ht="17" customHeight="1">
      <c r="A537" s="103" t="inlineStr">
        <is>
          <t>ILMN</t>
        </is>
      </c>
      <c r="B537" s="103" t="inlineStr">
        <is>
          <t>Illumina, Inc.</t>
        </is>
      </c>
      <c r="C537" s="104" t="n">
        <v>1704000000</v>
      </c>
      <c r="D537" s="105" t="n">
        <v>0.19</v>
      </c>
      <c r="E537" s="105" t="n">
        <v>0.25</v>
      </c>
      <c r="F537" s="105" t="n">
        <v>0.2</v>
      </c>
      <c r="G537" s="105" t="n">
        <v>0.13</v>
      </c>
      <c r="H537" s="105" t="n">
        <v>-0.19</v>
      </c>
      <c r="I537" s="105" t="n">
        <v>0.31</v>
      </c>
      <c r="J537" s="105" t="n">
        <v>0.16</v>
      </c>
      <c r="K537" s="105" t="n">
        <v>0.66</v>
      </c>
      <c r="L537" s="105" t="n">
        <v>0.65</v>
      </c>
      <c r="M537" s="105" t="n">
        <v>0.65</v>
      </c>
      <c r="N537" s="104" t="n">
        <v>0.6899999999999999</v>
      </c>
      <c r="O537" s="104" t="n">
        <v>2.08</v>
      </c>
      <c r="P537" s="104" t="n">
        <v>1.78</v>
      </c>
      <c r="Q537" s="104" t="n">
        <v>1.72</v>
      </c>
      <c r="R537" s="104" t="n">
        <v>0.72</v>
      </c>
      <c r="S537" s="104" t="n">
        <v>1</v>
      </c>
      <c r="T537" s="104" t="n">
        <v>1</v>
      </c>
      <c r="U537" s="104" t="n">
        <v>0.43</v>
      </c>
      <c r="V537" s="104" t="n">
        <v>0.01</v>
      </c>
      <c r="W537" s="104" t="n">
        <v>1.27</v>
      </c>
      <c r="X537" s="105" t="n">
        <v>0.21</v>
      </c>
      <c r="Y537" s="105" t="n">
        <v>0.22</v>
      </c>
      <c r="Z537" s="105" t="n">
        <v>10.48</v>
      </c>
      <c r="AA537" s="105" t="n">
        <v>-0.01</v>
      </c>
      <c r="AB537" s="105" t="n">
        <v>-1.7</v>
      </c>
      <c r="AC537" s="104" t="n">
        <v>-0.03</v>
      </c>
      <c r="AD537" s="104" t="n">
        <v>-0.03</v>
      </c>
      <c r="AE537" s="104" t="n">
        <v>0.26</v>
      </c>
      <c r="AF537" s="104" t="n">
        <v>-0.06</v>
      </c>
      <c r="AG537" s="104" t="n">
        <v>0.12</v>
      </c>
      <c r="AH537" s="104" t="n">
        <v>0.41</v>
      </c>
      <c r="AI537" s="104" t="n">
        <v>0.65</v>
      </c>
      <c r="AJ537" s="104" t="n">
        <v>1.53</v>
      </c>
      <c r="AK537" s="112" t="inlineStr">
        <is>
          <t>Distress</t>
        </is>
      </c>
      <c r="AL537" s="104" t="n">
        <v>0.26</v>
      </c>
      <c r="AM537" s="104" t="n">
        <v>-0.06</v>
      </c>
      <c r="AN537" s="104" t="n">
        <v>0.12</v>
      </c>
      <c r="AO537" s="104" t="n">
        <v>0.41</v>
      </c>
      <c r="AP537" s="104" t="n">
        <v>0.65</v>
      </c>
      <c r="AQ537" s="103" t="n">
        <v>1.34</v>
      </c>
      <c r="AR537" s="103" t="inlineStr">
        <is>
          <t>Grey</t>
        </is>
      </c>
      <c r="AS537" s="104" t="n">
        <v>0.26</v>
      </c>
      <c r="AT537" s="104" t="n">
        <v>-0.06</v>
      </c>
      <c r="AU537" s="104" t="n">
        <v>0.12</v>
      </c>
      <c r="AV537" s="104" t="n">
        <v>0.41</v>
      </c>
      <c r="AW537" s="103" t="n">
        <v>2.74</v>
      </c>
      <c r="AX537" s="103" t="inlineStr">
        <is>
          <t>Safe</t>
        </is>
      </c>
      <c r="AY537" s="104" t="n">
        <v>0.26</v>
      </c>
      <c r="AZ537" s="104" t="n">
        <v>0.12</v>
      </c>
      <c r="BA537" s="104" t="n">
        <v>0.6899999999999999</v>
      </c>
      <c r="BB537" s="104" t="n">
        <v>0.65</v>
      </c>
      <c r="BC537" s="103" t="n">
        <v>1.35</v>
      </c>
      <c r="BD537" s="103" t="inlineStr">
        <is>
          <t>Healthy</t>
        </is>
      </c>
      <c r="BE537" s="104" t="n">
        <v>0.13</v>
      </c>
      <c r="BF537" s="104" t="n">
        <v>1</v>
      </c>
      <c r="BG537" s="104" t="n">
        <v>2.08</v>
      </c>
      <c r="BH537" s="104" t="n">
        <v>0.77</v>
      </c>
      <c r="BI537" s="103" t="n">
        <v>0.68</v>
      </c>
      <c r="BJ537" s="103" t="inlineStr">
        <is>
          <t>Distress</t>
        </is>
      </c>
      <c r="BK537" s="103" t="n">
        <v>1</v>
      </c>
      <c r="BL537" s="103" t="n">
        <v>1</v>
      </c>
      <c r="BM537" s="103" t="n">
        <v>1</v>
      </c>
      <c r="BN537" s="103" t="n">
        <v>1</v>
      </c>
      <c r="BO537" s="103" t="n">
        <v>1</v>
      </c>
      <c r="BP537" s="103" t="n">
        <v>1</v>
      </c>
      <c r="BQ537" s="103" t="n">
        <v>1</v>
      </c>
      <c r="BR537" s="103" t="n">
        <v>1</v>
      </c>
      <c r="BS537" s="103" t="n">
        <v>0</v>
      </c>
      <c r="BT537" s="103" t="n">
        <v>8</v>
      </c>
      <c r="BU537" s="103" t="inlineStr">
        <is>
          <t>Strong</t>
        </is>
      </c>
      <c r="BV537" s="104" t="n">
        <v>1.17</v>
      </c>
      <c r="BW537" s="104" t="n">
        <v>0.99</v>
      </c>
      <c r="BX537" s="104" t="n">
        <v>0.9</v>
      </c>
      <c r="BY537" s="104" t="n">
        <v>0.99</v>
      </c>
      <c r="BZ537" s="104" t="n">
        <v>1.15</v>
      </c>
      <c r="CA537" s="104" t="n">
        <v>1</v>
      </c>
      <c r="CB537" s="104" t="n">
        <v>1</v>
      </c>
      <c r="CC537" s="104" t="n">
        <v>-0.03</v>
      </c>
      <c r="CD537" s="103" t="n">
        <v>-2.52</v>
      </c>
      <c r="CE537" s="103" t="inlineStr">
        <is>
          <t>Lower Risk</t>
        </is>
      </c>
      <c r="CF537" s="104" t="n">
        <v>0.03</v>
      </c>
      <c r="CG537" s="104" t="n">
        <v>59.29</v>
      </c>
      <c r="CH537" s="103" t="n">
        <v>0</v>
      </c>
      <c r="CI537" s="103" t="inlineStr">
        <is>
          <t>CLEAR</t>
        </is>
      </c>
    </row>
    <row r="538" ht="17" customHeight="1">
      <c r="A538" s="107" t="inlineStr">
        <is>
          <t>SBUX</t>
        </is>
      </c>
      <c r="B538" s="107" t="inlineStr">
        <is>
          <t>Starbucks Corporation</t>
        </is>
      </c>
      <c r="C538" s="108" t="n">
        <v>-2828100000</v>
      </c>
      <c r="D538" s="109" t="n">
        <v>0.08</v>
      </c>
      <c r="E538" s="109" t="n">
        <v>0.07000000000000001</v>
      </c>
      <c r="F538" s="109" t="n">
        <v>0.05</v>
      </c>
      <c r="G538" s="109" t="n">
        <v>0.06</v>
      </c>
      <c r="H538" s="109" t="n">
        <v>0.12</v>
      </c>
      <c r="I538" s="109" t="n">
        <v>-0.23</v>
      </c>
      <c r="J538" s="109" t="n">
        <v>0.13</v>
      </c>
      <c r="K538" s="109" t="n">
        <v>0.77</v>
      </c>
      <c r="L538" s="109" t="n">
        <v>0.72</v>
      </c>
      <c r="M538" s="109" t="n">
        <v>1.16</v>
      </c>
      <c r="N538" s="108" t="n">
        <v>1.15</v>
      </c>
      <c r="O538" s="108" t="n">
        <v>0.72</v>
      </c>
      <c r="P538" s="108" t="n">
        <v>0.75</v>
      </c>
      <c r="Q538" s="108" t="n">
        <v>0.51</v>
      </c>
      <c r="R538" s="108" t="n">
        <v>0.63</v>
      </c>
      <c r="S538" s="108" t="n">
        <v>1.25</v>
      </c>
      <c r="T538" s="108" t="n">
        <v>1.24</v>
      </c>
      <c r="U538" s="108" t="n">
        <v>-1.99</v>
      </c>
      <c r="V538" s="108" t="n">
        <v>-1.19</v>
      </c>
      <c r="W538" s="108" t="n">
        <v>2.56</v>
      </c>
      <c r="X538" s="109" t="n">
        <v>0.07000000000000001</v>
      </c>
      <c r="Y538" s="111" t="inlineStr">
        <is>
          <t>N/A</t>
        </is>
      </c>
      <c r="Z538" s="109" t="n">
        <v>5.41</v>
      </c>
      <c r="AA538" s="109" t="n">
        <v>0.03</v>
      </c>
      <c r="AB538" s="109" t="n">
        <v>-0.51</v>
      </c>
      <c r="AC538" s="108" t="n">
        <v>-0.09</v>
      </c>
      <c r="AD538" s="108" t="n">
        <v>-0.09</v>
      </c>
      <c r="AE538" s="108" t="n">
        <v>-0.09</v>
      </c>
      <c r="AF538" s="108" t="n">
        <v>-0.26</v>
      </c>
      <c r="AG538" s="108" t="n">
        <v>0.09</v>
      </c>
      <c r="AH538" s="108" t="n">
        <v>-0.2</v>
      </c>
      <c r="AI538" s="108" t="n">
        <v>1.16</v>
      </c>
      <c r="AJ538" s="108" t="n">
        <v>0.88</v>
      </c>
      <c r="AK538" s="112" t="inlineStr">
        <is>
          <t>Distress</t>
        </is>
      </c>
      <c r="AL538" s="108" t="n">
        <v>-0.09</v>
      </c>
      <c r="AM538" s="108" t="n">
        <v>-0.26</v>
      </c>
      <c r="AN538" s="108" t="n">
        <v>0.09</v>
      </c>
      <c r="AO538" s="108" t="n">
        <v>-0.2</v>
      </c>
      <c r="AP538" s="108" t="n">
        <v>1.16</v>
      </c>
      <c r="AQ538" s="107" t="n">
        <v>1.08</v>
      </c>
      <c r="AR538" s="107" t="inlineStr">
        <is>
          <t>Distress</t>
        </is>
      </c>
      <c r="AS538" s="108" t="n">
        <v>-0.09</v>
      </c>
      <c r="AT538" s="108" t="n">
        <v>-0.26</v>
      </c>
      <c r="AU538" s="108" t="n">
        <v>0.09</v>
      </c>
      <c r="AV538" s="108" t="n">
        <v>-0.2</v>
      </c>
      <c r="AW538" s="107" t="n">
        <v>-1.02</v>
      </c>
      <c r="AX538" s="107" t="inlineStr">
        <is>
          <t>Distress</t>
        </is>
      </c>
      <c r="AY538" s="108" t="n">
        <v>-0.09</v>
      </c>
      <c r="AZ538" s="108" t="n">
        <v>0.09</v>
      </c>
      <c r="BA538" s="108" t="n">
        <v>0.25</v>
      </c>
      <c r="BB538" s="108" t="n">
        <v>1.16</v>
      </c>
      <c r="BC538" s="107" t="n">
        <v>0.82</v>
      </c>
      <c r="BD538" s="107" t="inlineStr">
        <is>
          <t>Distress</t>
        </is>
      </c>
      <c r="BE538" s="108" t="n">
        <v>0.06</v>
      </c>
      <c r="BF538" s="108" t="n">
        <v>1.25</v>
      </c>
      <c r="BG538" s="108" t="n">
        <v>0.72</v>
      </c>
      <c r="BH538" s="108" t="n">
        <v>2.52</v>
      </c>
      <c r="BI538" s="107" t="n">
        <v>0.93</v>
      </c>
      <c r="BJ538" s="107" t="inlineStr">
        <is>
          <t>Distress</t>
        </is>
      </c>
      <c r="BK538" s="107" t="n">
        <v>1</v>
      </c>
      <c r="BL538" s="107" t="n">
        <v>1</v>
      </c>
      <c r="BM538" s="107" t="n">
        <v>0</v>
      </c>
      <c r="BN538" s="107" t="n">
        <v>1</v>
      </c>
      <c r="BO538" s="107" t="n">
        <v>0</v>
      </c>
      <c r="BP538" s="107" t="n">
        <v>0</v>
      </c>
      <c r="BQ538" s="107" t="n">
        <v>0</v>
      </c>
      <c r="BR538" s="107" t="n">
        <v>1</v>
      </c>
      <c r="BS538" s="107" t="n">
        <v>1</v>
      </c>
      <c r="BT538" s="107" t="n">
        <v>5</v>
      </c>
      <c r="BU538" s="107" t="inlineStr">
        <is>
          <t>Mixed</t>
        </is>
      </c>
      <c r="BV538" s="108" t="n">
        <v>1.02</v>
      </c>
      <c r="BW538" s="108" t="n">
        <v>0.93</v>
      </c>
      <c r="BX538" s="108" t="n">
        <v>1</v>
      </c>
      <c r="BY538" s="108" t="n">
        <v>1.03</v>
      </c>
      <c r="BZ538" s="108" t="n">
        <v>0.9</v>
      </c>
      <c r="CA538" s="108" t="n">
        <v>1.01</v>
      </c>
      <c r="CB538" s="108" t="n">
        <v>1.01</v>
      </c>
      <c r="CC538" s="108" t="n">
        <v>-0.09</v>
      </c>
      <c r="CD538" s="107" t="n">
        <v>-2.91</v>
      </c>
      <c r="CE538" s="107" t="inlineStr">
        <is>
          <t>Lower Risk</t>
        </is>
      </c>
      <c r="CF538" s="108" t="n">
        <v>2.08</v>
      </c>
      <c r="CG538" s="108" t="n">
        <v>46.71</v>
      </c>
      <c r="CH538" s="107" t="n">
        <v>0</v>
      </c>
      <c r="CI538" s="107" t="inlineStr">
        <is>
          <t>CLEAR</t>
        </is>
      </c>
    </row>
    <row r="539" ht="17" customHeight="1">
      <c r="A539" s="103" t="inlineStr">
        <is>
          <t>CMCSA</t>
        </is>
      </c>
      <c r="B539" s="103" t="inlineStr">
        <is>
          <t>Comcast Corporation</t>
        </is>
      </c>
      <c r="C539" s="104" t="n">
        <v>-3957000000</v>
      </c>
      <c r="D539" s="105" t="n">
        <v>0.17</v>
      </c>
      <c r="E539" s="105" t="n">
        <v>0.21</v>
      </c>
      <c r="F539" s="105" t="n">
        <v>0.16</v>
      </c>
      <c r="G539" s="105" t="n">
        <v>0.07000000000000001</v>
      </c>
      <c r="H539" s="105" t="n">
        <v>0.06</v>
      </c>
      <c r="I539" s="105" t="n">
        <v>0.21</v>
      </c>
      <c r="J539" s="105" t="n">
        <v>0.09</v>
      </c>
      <c r="K539" s="113" t="inlineStr">
        <is>
          <t>N/A</t>
        </is>
      </c>
      <c r="L539" s="113" t="inlineStr">
        <is>
          <t>N/A</t>
        </is>
      </c>
      <c r="M539" s="105" t="n">
        <v>0.45</v>
      </c>
      <c r="N539" s="104" t="n">
        <v>0.46</v>
      </c>
      <c r="O539" s="104" t="n">
        <v>0.88</v>
      </c>
      <c r="P539" s="104" t="n">
        <v>0.68</v>
      </c>
      <c r="Q539" s="104" t="n">
        <v>0.88</v>
      </c>
      <c r="R539" s="104" t="n">
        <v>0.28</v>
      </c>
      <c r="S539" s="104" t="n">
        <v>1</v>
      </c>
      <c r="T539" s="104" t="n">
        <v>1</v>
      </c>
      <c r="U539" s="104" t="n">
        <v>0.06</v>
      </c>
      <c r="V539" s="104" t="n">
        <v>-0.04</v>
      </c>
      <c r="W539" s="104" t="n">
        <v>1.68</v>
      </c>
      <c r="X539" s="105" t="n">
        <v>0.18</v>
      </c>
      <c r="Y539" s="113" t="inlineStr">
        <is>
          <t>N/A</t>
        </is>
      </c>
      <c r="Z539" s="105" t="n">
        <v>5.06</v>
      </c>
      <c r="AA539" s="105" t="n">
        <v>0</v>
      </c>
      <c r="AB539" s="105" t="n">
        <v>0.24</v>
      </c>
      <c r="AC539" s="104" t="n">
        <v>-0.05</v>
      </c>
      <c r="AD539" s="104" t="n">
        <v>-0.05</v>
      </c>
      <c r="AE539" s="104" t="n">
        <v>-0.01</v>
      </c>
      <c r="AF539" s="104" t="n">
        <v>0.24</v>
      </c>
      <c r="AG539" s="104" t="n">
        <v>0.08</v>
      </c>
      <c r="AH539" s="104" t="n">
        <v>0.36</v>
      </c>
      <c r="AI539" s="104" t="n">
        <v>0.45</v>
      </c>
      <c r="AJ539" s="104" t="n">
        <v>1.23</v>
      </c>
      <c r="AK539" s="112" t="inlineStr">
        <is>
          <t>Distress</t>
        </is>
      </c>
      <c r="AL539" s="104" t="n">
        <v>-0.01</v>
      </c>
      <c r="AM539" s="104" t="n">
        <v>0.24</v>
      </c>
      <c r="AN539" s="104" t="n">
        <v>0.08</v>
      </c>
      <c r="AO539" s="104" t="n">
        <v>0.36</v>
      </c>
      <c r="AP539" s="104" t="n">
        <v>0.45</v>
      </c>
      <c r="AQ539" s="103" t="n">
        <v>1.03</v>
      </c>
      <c r="AR539" s="103" t="inlineStr">
        <is>
          <t>Distress</t>
        </is>
      </c>
      <c r="AS539" s="104" t="n">
        <v>-0.01</v>
      </c>
      <c r="AT539" s="104" t="n">
        <v>0.24</v>
      </c>
      <c r="AU539" s="104" t="n">
        <v>0.08</v>
      </c>
      <c r="AV539" s="104" t="n">
        <v>0.36</v>
      </c>
      <c r="AW539" s="103" t="n">
        <v>1.58</v>
      </c>
      <c r="AX539" s="103" t="inlineStr">
        <is>
          <t>Grey</t>
        </is>
      </c>
      <c r="AY539" s="104" t="n">
        <v>-0.01</v>
      </c>
      <c r="AZ539" s="104" t="n">
        <v>0.08</v>
      </c>
      <c r="BA539" s="104" t="n">
        <v>0.77</v>
      </c>
      <c r="BB539" s="104" t="n">
        <v>0.45</v>
      </c>
      <c r="BC539" s="103" t="n">
        <v>0.9</v>
      </c>
      <c r="BD539" s="103" t="inlineStr">
        <is>
          <t>Healthy</t>
        </is>
      </c>
      <c r="BE539" s="104" t="n">
        <v>0.07000000000000001</v>
      </c>
      <c r="BF539" s="104" t="n">
        <v>1</v>
      </c>
      <c r="BG539" s="104" t="n">
        <v>0.88</v>
      </c>
      <c r="BH539" s="104" t="n">
        <v>1.02</v>
      </c>
      <c r="BI539" s="103" t="n">
        <v>0.73</v>
      </c>
      <c r="BJ539" s="103" t="inlineStr">
        <is>
          <t>Distress</t>
        </is>
      </c>
      <c r="BK539" s="103" t="n">
        <v>1</v>
      </c>
      <c r="BL539" s="103" t="n">
        <v>1</v>
      </c>
      <c r="BM539" s="103" t="n">
        <v>1</v>
      </c>
      <c r="BN539" s="103" t="n">
        <v>1</v>
      </c>
      <c r="BO539" s="103" t="n">
        <v>0</v>
      </c>
      <c r="BP539" s="103" t="n">
        <v>1</v>
      </c>
      <c r="BQ539" s="103" t="n">
        <v>0</v>
      </c>
      <c r="BR539" s="103" t="n">
        <v>0</v>
      </c>
      <c r="BS539" s="103" t="n">
        <v>0</v>
      </c>
      <c r="BT539" s="103" t="n">
        <v>5</v>
      </c>
      <c r="BU539" s="103" t="inlineStr">
        <is>
          <t>Mixed</t>
        </is>
      </c>
      <c r="BV539" s="104" t="n">
        <v>1.01</v>
      </c>
      <c r="BW539" s="113" t="inlineStr">
        <is>
          <t>N/A</t>
        </is>
      </c>
      <c r="BX539" s="104" t="n">
        <v>0.98</v>
      </c>
      <c r="BY539" s="104" t="n">
        <v>1</v>
      </c>
      <c r="BZ539" s="104" t="n">
        <v>1</v>
      </c>
      <c r="CA539" s="104" t="n">
        <v>1.05</v>
      </c>
      <c r="CB539" s="104" t="n">
        <v>1</v>
      </c>
      <c r="CC539" s="104" t="n">
        <v>-0.05</v>
      </c>
      <c r="CD539" s="113" t="inlineStr">
        <is>
          <t>N/A</t>
        </is>
      </c>
      <c r="CE539" s="113" t="inlineStr">
        <is>
          <t>N/A</t>
        </is>
      </c>
      <c r="CF539" s="104" t="n">
        <v>-0.1</v>
      </c>
      <c r="CG539" s="104" t="n">
        <v>46.54</v>
      </c>
      <c r="CH539" s="103" t="n">
        <v>0</v>
      </c>
      <c r="CI539" s="103" t="inlineStr">
        <is>
          <t>CLEAR</t>
        </is>
      </c>
    </row>
    <row r="540" ht="17" customHeight="1">
      <c r="A540" s="107" t="inlineStr">
        <is>
          <t>ZTS</t>
        </is>
      </c>
      <c r="B540" s="107" t="inlineStr">
        <is>
          <t>Zoetis Inc.</t>
        </is>
      </c>
      <c r="C540" s="108" t="n">
        <v>4533000000</v>
      </c>
      <c r="D540" s="109" t="n">
        <v>0.35</v>
      </c>
      <c r="E540" s="109" t="n">
        <v>0.35</v>
      </c>
      <c r="F540" s="109" t="n">
        <v>0.28</v>
      </c>
      <c r="G540" s="109" t="n">
        <v>0.17</v>
      </c>
      <c r="H540" s="109" t="n">
        <v>0.17</v>
      </c>
      <c r="I540" s="109" t="n">
        <v>0.8</v>
      </c>
      <c r="J540" s="109" t="n">
        <v>0.25</v>
      </c>
      <c r="K540" s="109" t="n">
        <v>0.72</v>
      </c>
      <c r="L540" s="109" t="n">
        <v>0.71</v>
      </c>
      <c r="M540" s="109" t="n">
        <v>0.61</v>
      </c>
      <c r="N540" s="108" t="n">
        <v>0.65</v>
      </c>
      <c r="O540" s="108" t="n">
        <v>3.03</v>
      </c>
      <c r="P540" s="108" t="n">
        <v>1.75</v>
      </c>
      <c r="Q540" s="108" t="n">
        <v>1.94</v>
      </c>
      <c r="R540" s="108" t="n">
        <v>0.7</v>
      </c>
      <c r="S540" s="108" t="n">
        <v>0.78</v>
      </c>
      <c r="T540" s="108" t="n">
        <v>0.66</v>
      </c>
      <c r="U540" s="108" t="n">
        <v>2.71</v>
      </c>
      <c r="V540" s="108" t="n">
        <v>2.24</v>
      </c>
      <c r="W540" s="108" t="n">
        <v>1.09</v>
      </c>
      <c r="X540" s="109" t="n">
        <v>0.24</v>
      </c>
      <c r="Y540" s="109" t="n">
        <v>0.07000000000000001</v>
      </c>
      <c r="Z540" s="109" t="n">
        <v>15.14</v>
      </c>
      <c r="AA540" s="109" t="n">
        <v>0.02</v>
      </c>
      <c r="AB540" s="109" t="n">
        <v>0.08</v>
      </c>
      <c r="AC540" s="108" t="n">
        <v>-0.01</v>
      </c>
      <c r="AD540" s="108" t="n">
        <v>-0.01</v>
      </c>
      <c r="AE540" s="108" t="n">
        <v>0.29</v>
      </c>
      <c r="AF540" s="108" t="n">
        <v>0.89</v>
      </c>
      <c r="AG540" s="108" t="n">
        <v>0.22</v>
      </c>
      <c r="AH540" s="108" t="n">
        <v>0.27</v>
      </c>
      <c r="AI540" s="108" t="n">
        <v>0.61</v>
      </c>
      <c r="AJ540" s="108" t="n">
        <v>3.09</v>
      </c>
      <c r="AK540" s="110" t="inlineStr">
        <is>
          <t>Safe</t>
        </is>
      </c>
      <c r="AL540" s="108" t="n">
        <v>0.29</v>
      </c>
      <c r="AM540" s="108" t="n">
        <v>0.89</v>
      </c>
      <c r="AN540" s="108" t="n">
        <v>0.22</v>
      </c>
      <c r="AO540" s="108" t="n">
        <v>0.27</v>
      </c>
      <c r="AP540" s="108" t="n">
        <v>0.61</v>
      </c>
      <c r="AQ540" s="107" t="n">
        <v>2.36</v>
      </c>
      <c r="AR540" s="107" t="inlineStr">
        <is>
          <t>Grey</t>
        </is>
      </c>
      <c r="AS540" s="108" t="n">
        <v>0.29</v>
      </c>
      <c r="AT540" s="108" t="n">
        <v>0.89</v>
      </c>
      <c r="AU540" s="108" t="n">
        <v>0.22</v>
      </c>
      <c r="AV540" s="108" t="n">
        <v>0.27</v>
      </c>
      <c r="AW540" s="107" t="n">
        <v>6.57</v>
      </c>
      <c r="AX540" s="107" t="inlineStr">
        <is>
          <t>Safe</t>
        </is>
      </c>
      <c r="AY540" s="108" t="n">
        <v>0.29</v>
      </c>
      <c r="AZ540" s="108" t="n">
        <v>0.22</v>
      </c>
      <c r="BA540" s="108" t="n">
        <v>1.5</v>
      </c>
      <c r="BB540" s="108" t="n">
        <v>0.61</v>
      </c>
      <c r="BC540" s="107" t="n">
        <v>2.21</v>
      </c>
      <c r="BD540" s="107" t="inlineStr">
        <is>
          <t>Healthy</t>
        </is>
      </c>
      <c r="BE540" s="108" t="n">
        <v>0.17</v>
      </c>
      <c r="BF540" s="108" t="n">
        <v>0.78</v>
      </c>
      <c r="BG540" s="108" t="n">
        <v>3.03</v>
      </c>
      <c r="BH540" s="108" t="n">
        <v>-0.65</v>
      </c>
      <c r="BI540" s="107" t="n">
        <v>0.34</v>
      </c>
      <c r="BJ540" s="107" t="inlineStr">
        <is>
          <t>Healthy</t>
        </is>
      </c>
      <c r="BK540" s="107" t="n">
        <v>1</v>
      </c>
      <c r="BL540" s="107" t="n">
        <v>1</v>
      </c>
      <c r="BM540" s="107" t="n">
        <v>0</v>
      </c>
      <c r="BN540" s="107" t="n">
        <v>1</v>
      </c>
      <c r="BO540" s="107" t="n">
        <v>0</v>
      </c>
      <c r="BP540" s="107" t="n">
        <v>1</v>
      </c>
      <c r="BQ540" s="107" t="n">
        <v>1</v>
      </c>
      <c r="BR540" s="107" t="n">
        <v>1</v>
      </c>
      <c r="BS540" s="107" t="n">
        <v>0</v>
      </c>
      <c r="BT540" s="107" t="n">
        <v>6</v>
      </c>
      <c r="BU540" s="107" t="inlineStr">
        <is>
          <t>Mixed</t>
        </is>
      </c>
      <c r="BV540" s="108" t="n">
        <v>1.18</v>
      </c>
      <c r="BW540" s="108" t="n">
        <v>0.98</v>
      </c>
      <c r="BX540" s="108" t="n">
        <v>0.95</v>
      </c>
      <c r="BY540" s="108" t="n">
        <v>1.02</v>
      </c>
      <c r="BZ540" s="108" t="n">
        <v>1.09</v>
      </c>
      <c r="CA540" s="108" t="n">
        <v>1</v>
      </c>
      <c r="CB540" s="108" t="n">
        <v>1.18</v>
      </c>
      <c r="CC540" s="108" t="n">
        <v>-0.01</v>
      </c>
      <c r="CD540" s="107" t="n">
        <v>-2.44</v>
      </c>
      <c r="CE540" s="107" t="inlineStr">
        <is>
          <t>Lower Risk</t>
        </is>
      </c>
      <c r="CF540" s="108" t="n">
        <v>1.94</v>
      </c>
      <c r="CG540" s="108" t="n">
        <v>55.11</v>
      </c>
      <c r="CH540" s="107" t="n">
        <v>0</v>
      </c>
      <c r="CI540" s="107" t="inlineStr">
        <is>
          <t>CLEAR</t>
        </is>
      </c>
    </row>
    <row r="541" ht="17" customHeight="1">
      <c r="A541" s="103" t="inlineStr">
        <is>
          <t>MPC</t>
        </is>
      </c>
      <c r="B541" s="103" t="inlineStr">
        <is>
          <t>MARATHON PETROLEUM CORPORATION</t>
        </is>
      </c>
      <c r="C541" s="104" t="n">
        <v>5102000000</v>
      </c>
      <c r="D541" s="105" t="n">
        <v>0.27</v>
      </c>
      <c r="E541" s="105" t="n">
        <v>0.23</v>
      </c>
      <c r="F541" s="105" t="n">
        <v>0.13</v>
      </c>
      <c r="G541" s="105" t="n">
        <v>0.05</v>
      </c>
      <c r="H541" s="105" t="n">
        <v>0.04</v>
      </c>
      <c r="I541" s="105" t="n">
        <v>0.23</v>
      </c>
      <c r="J541" s="105" t="n">
        <v>0.13</v>
      </c>
      <c r="K541" s="105" t="n">
        <v>-2.84</v>
      </c>
      <c r="L541" s="105" t="n">
        <v>-3.07</v>
      </c>
      <c r="M541" s="105" t="n">
        <v>0.37</v>
      </c>
      <c r="N541" s="104" t="n">
        <v>0.39</v>
      </c>
      <c r="O541" s="104" t="n">
        <v>1.26</v>
      </c>
      <c r="P541" s="104" t="n">
        <v>1.17</v>
      </c>
      <c r="Q541" s="104" t="n">
        <v>0.74</v>
      </c>
      <c r="R541" s="104" t="n">
        <v>0.19</v>
      </c>
      <c r="S541" s="104" t="n">
        <v>0.71</v>
      </c>
      <c r="T541" s="104" t="n">
        <v>0.6899999999999999</v>
      </c>
      <c r="U541" s="104" t="n">
        <v>0.33</v>
      </c>
      <c r="V541" s="104" t="n">
        <v>0.12</v>
      </c>
      <c r="W541" s="104" t="n">
        <v>2.04</v>
      </c>
      <c r="X541" s="105" t="n">
        <v>0.15</v>
      </c>
      <c r="Y541" s="105" t="n">
        <v>0</v>
      </c>
      <c r="Z541" s="105" t="n">
        <v>5.57</v>
      </c>
      <c r="AA541" s="105" t="n">
        <v>0</v>
      </c>
      <c r="AB541" s="105" t="n">
        <v>0.17</v>
      </c>
      <c r="AC541" s="104" t="n">
        <v>-0.05</v>
      </c>
      <c r="AD541" s="104" t="n">
        <v>-0.05</v>
      </c>
      <c r="AE541" s="104" t="n">
        <v>0.06</v>
      </c>
      <c r="AF541" s="104" t="n">
        <v>0.47</v>
      </c>
      <c r="AG541" s="104" t="n">
        <v>0.1</v>
      </c>
      <c r="AH541" s="104" t="n">
        <v>0.29</v>
      </c>
      <c r="AI541" s="104" t="n">
        <v>0.37</v>
      </c>
      <c r="AJ541" s="104" t="n">
        <v>1.61</v>
      </c>
      <c r="AK541" s="112" t="inlineStr">
        <is>
          <t>Distress</t>
        </is>
      </c>
      <c r="AL541" s="104" t="n">
        <v>0.06</v>
      </c>
      <c r="AM541" s="104" t="n">
        <v>0.47</v>
      </c>
      <c r="AN541" s="104" t="n">
        <v>0.1</v>
      </c>
      <c r="AO541" s="104" t="n">
        <v>0.29</v>
      </c>
      <c r="AP541" s="104" t="n">
        <v>0.37</v>
      </c>
      <c r="AQ541" s="103" t="n">
        <v>1.24</v>
      </c>
      <c r="AR541" s="103" t="inlineStr">
        <is>
          <t>Grey</t>
        </is>
      </c>
      <c r="AS541" s="104" t="n">
        <v>0.06</v>
      </c>
      <c r="AT541" s="104" t="n">
        <v>0.47</v>
      </c>
      <c r="AU541" s="104" t="n">
        <v>0.1</v>
      </c>
      <c r="AV541" s="104" t="n">
        <v>0.29</v>
      </c>
      <c r="AW541" s="103" t="n">
        <v>2.91</v>
      </c>
      <c r="AX541" s="103" t="inlineStr">
        <is>
          <t>Safe</t>
        </is>
      </c>
      <c r="AY541" s="104" t="n">
        <v>0.06</v>
      </c>
      <c r="AZ541" s="104" t="n">
        <v>0.1</v>
      </c>
      <c r="BA541" s="104" t="n">
        <v>0.36</v>
      </c>
      <c r="BB541" s="104" t="n">
        <v>0.37</v>
      </c>
      <c r="BC541" s="103" t="n">
        <v>0.75</v>
      </c>
      <c r="BD541" s="103" t="inlineStr">
        <is>
          <t>Distress</t>
        </is>
      </c>
      <c r="BE541" s="104" t="n">
        <v>0.05</v>
      </c>
      <c r="BF541" s="104" t="n">
        <v>0.71</v>
      </c>
      <c r="BG541" s="104" t="n">
        <v>1.26</v>
      </c>
      <c r="BH541" s="104" t="n">
        <v>-0.5</v>
      </c>
      <c r="BI541" s="103" t="n">
        <v>0.38</v>
      </c>
      <c r="BJ541" s="103" t="inlineStr">
        <is>
          <t>Healthy</t>
        </is>
      </c>
      <c r="BK541" s="103" t="n">
        <v>1</v>
      </c>
      <c r="BL541" s="103" t="n">
        <v>1</v>
      </c>
      <c r="BM541" s="103" t="n">
        <v>1</v>
      </c>
      <c r="BN541" s="103" t="n">
        <v>1</v>
      </c>
      <c r="BO541" s="103" t="n">
        <v>0</v>
      </c>
      <c r="BP541" s="103" t="n">
        <v>1</v>
      </c>
      <c r="BQ541" s="103" t="n">
        <v>1</v>
      </c>
      <c r="BR541" s="103" t="n">
        <v>1</v>
      </c>
      <c r="BS541" s="103" t="n">
        <v>0</v>
      </c>
      <c r="BT541" s="103" t="n">
        <v>7</v>
      </c>
      <c r="BU541" s="103" t="inlineStr">
        <is>
          <t>Strong</t>
        </is>
      </c>
      <c r="BV541" s="104" t="n">
        <v>0.92</v>
      </c>
      <c r="BW541" s="104" t="n">
        <v>1.08</v>
      </c>
      <c r="BX541" s="104" t="n">
        <v>2.15</v>
      </c>
      <c r="BY541" s="104" t="n">
        <v>1</v>
      </c>
      <c r="BZ541" s="104" t="n">
        <v>0.89</v>
      </c>
      <c r="CA541" s="104" t="n">
        <v>1.04</v>
      </c>
      <c r="CB541" s="104" t="n">
        <v>1.03</v>
      </c>
      <c r="CC541" s="104" t="n">
        <v>-0.05</v>
      </c>
      <c r="CD541" s="103" t="n">
        <v>-2.31</v>
      </c>
      <c r="CE541" s="103" t="inlineStr">
        <is>
          <t>Lower Risk</t>
        </is>
      </c>
      <c r="CF541" s="104" t="n">
        <v>0.17</v>
      </c>
      <c r="CG541" s="104" t="n">
        <v>55.07</v>
      </c>
      <c r="CH541" s="103" t="n">
        <v>0</v>
      </c>
      <c r="CI541" s="103" t="inlineStr">
        <is>
          <t>CLEAR</t>
        </is>
      </c>
    </row>
    <row r="542" ht="17" customHeight="1">
      <c r="A542" s="107" t="inlineStr">
        <is>
          <t>XOM</t>
        </is>
      </c>
      <c r="B542" s="107" t="inlineStr">
        <is>
          <t>Exxon Mobil Corporation</t>
        </is>
      </c>
      <c r="C542" s="108" t="n">
        <v>11052000000</v>
      </c>
      <c r="D542" s="109" t="n">
        <v>0.12</v>
      </c>
      <c r="E542" s="109" t="n">
        <v>0.12</v>
      </c>
      <c r="F542" s="109" t="n">
        <v>0.09</v>
      </c>
      <c r="G542" s="109" t="n">
        <v>0.06</v>
      </c>
      <c r="H542" s="109" t="n">
        <v>0.07000000000000001</v>
      </c>
      <c r="I542" s="109" t="n">
        <v>0.11</v>
      </c>
      <c r="J542" s="109" t="n">
        <v>0.11</v>
      </c>
      <c r="K542" s="111" t="inlineStr">
        <is>
          <t>N/A</t>
        </is>
      </c>
      <c r="L542" s="111" t="inlineStr">
        <is>
          <t>N/A</t>
        </is>
      </c>
      <c r="M542" s="109" t="n">
        <v>0.74</v>
      </c>
      <c r="N542" s="108" t="n">
        <v>0.77</v>
      </c>
      <c r="O542" s="108" t="n">
        <v>1.15</v>
      </c>
      <c r="P542" s="108" t="n">
        <v>1.31</v>
      </c>
      <c r="Q542" s="108" t="n">
        <v>0.95</v>
      </c>
      <c r="R542" s="108" t="n">
        <v>0.15</v>
      </c>
      <c r="S542" s="108" t="n">
        <v>0.41</v>
      </c>
      <c r="T542" s="108" t="n">
        <v>0.4</v>
      </c>
      <c r="U542" s="108" t="n">
        <v>0.12</v>
      </c>
      <c r="V542" s="108" t="n">
        <v>0.08</v>
      </c>
      <c r="W542" s="108" t="n">
        <v>1.8</v>
      </c>
      <c r="X542" s="109" t="n">
        <v>0.07000000000000001</v>
      </c>
      <c r="Y542" s="109" t="n">
        <v>0</v>
      </c>
      <c r="Z542" s="109" t="n">
        <v>68.44</v>
      </c>
      <c r="AA542" s="109" t="n">
        <v>-0.05</v>
      </c>
      <c r="AB542" s="109" t="n">
        <v>-0.14</v>
      </c>
      <c r="AC542" s="108" t="n">
        <v>-0.05</v>
      </c>
      <c r="AD542" s="108" t="n">
        <v>-0.05</v>
      </c>
      <c r="AE542" s="108" t="n">
        <v>0.02</v>
      </c>
      <c r="AF542" s="108" t="n">
        <v>1.07</v>
      </c>
      <c r="AG542" s="108" t="n">
        <v>0.09</v>
      </c>
      <c r="AH542" s="108" t="n">
        <v>1.42</v>
      </c>
      <c r="AI542" s="108" t="n">
        <v>0.74</v>
      </c>
      <c r="AJ542" s="108" t="n">
        <v>3.43</v>
      </c>
      <c r="AK542" s="110" t="inlineStr">
        <is>
          <t>Safe</t>
        </is>
      </c>
      <c r="AL542" s="108" t="n">
        <v>0.02</v>
      </c>
      <c r="AM542" s="108" t="n">
        <v>1.07</v>
      </c>
      <c r="AN542" s="108" t="n">
        <v>0.09</v>
      </c>
      <c r="AO542" s="108" t="n">
        <v>1.42</v>
      </c>
      <c r="AP542" s="108" t="n">
        <v>0.74</v>
      </c>
      <c r="AQ542" s="107" t="n">
        <v>2.55</v>
      </c>
      <c r="AR542" s="107" t="inlineStr">
        <is>
          <t>Grey</t>
        </is>
      </c>
      <c r="AS542" s="108" t="n">
        <v>0.02</v>
      </c>
      <c r="AT542" s="108" t="n">
        <v>1.07</v>
      </c>
      <c r="AU542" s="108" t="n">
        <v>0.09</v>
      </c>
      <c r="AV542" s="108" t="n">
        <v>1.42</v>
      </c>
      <c r="AW542" s="107" t="n">
        <v>5.78</v>
      </c>
      <c r="AX542" s="107" t="inlineStr">
        <is>
          <t>Safe</t>
        </is>
      </c>
      <c r="AY542" s="108" t="n">
        <v>0.02</v>
      </c>
      <c r="AZ542" s="108" t="n">
        <v>0.09</v>
      </c>
      <c r="BA542" s="108" t="n">
        <v>0.57</v>
      </c>
      <c r="BB542" s="108" t="n">
        <v>0.74</v>
      </c>
      <c r="BC542" s="107" t="n">
        <v>0.98</v>
      </c>
      <c r="BD542" s="107" t="inlineStr">
        <is>
          <t>Healthy</t>
        </is>
      </c>
      <c r="BE542" s="108" t="n">
        <v>0.06</v>
      </c>
      <c r="BF542" s="108" t="n">
        <v>0.41</v>
      </c>
      <c r="BG542" s="108" t="n">
        <v>1.15</v>
      </c>
      <c r="BH542" s="108" t="n">
        <v>-2.31</v>
      </c>
      <c r="BI542" s="107" t="n">
        <v>0.09</v>
      </c>
      <c r="BJ542" s="107" t="inlineStr">
        <is>
          <t>Healthy</t>
        </is>
      </c>
      <c r="BK542" s="107" t="n">
        <v>1</v>
      </c>
      <c r="BL542" s="107" t="n">
        <v>1</v>
      </c>
      <c r="BM542" s="107" t="n">
        <v>0</v>
      </c>
      <c r="BN542" s="107" t="n">
        <v>1</v>
      </c>
      <c r="BO542" s="107" t="n">
        <v>0</v>
      </c>
      <c r="BP542" s="107" t="n">
        <v>0</v>
      </c>
      <c r="BQ542" s="107" t="n">
        <v>1</v>
      </c>
      <c r="BR542" s="107" t="n">
        <v>0</v>
      </c>
      <c r="BS542" s="107" t="n">
        <v>0</v>
      </c>
      <c r="BT542" s="107" t="n">
        <v>4</v>
      </c>
      <c r="BU542" s="107" t="inlineStr">
        <is>
          <t>Mixed</t>
        </is>
      </c>
      <c r="BV542" s="108" t="n">
        <v>1.07</v>
      </c>
      <c r="BW542" s="111" t="inlineStr">
        <is>
          <t>N/A</t>
        </is>
      </c>
      <c r="BX542" s="108" t="n">
        <v>1</v>
      </c>
      <c r="BY542" s="108" t="n">
        <v>0.95</v>
      </c>
      <c r="BZ542" s="108" t="n">
        <v>0.92</v>
      </c>
      <c r="CA542" s="108" t="n">
        <v>1.17</v>
      </c>
      <c r="CB542" s="108" t="n">
        <v>1.01</v>
      </c>
      <c r="CC542" s="108" t="n">
        <v>-0.05</v>
      </c>
      <c r="CD542" s="111" t="inlineStr">
        <is>
          <t>N/A</t>
        </is>
      </c>
      <c r="CE542" s="111" t="inlineStr">
        <is>
          <t>N/A</t>
        </is>
      </c>
      <c r="CF542" s="108" t="n">
        <v>0.32</v>
      </c>
      <c r="CG542" s="108" t="n">
        <v>49.54</v>
      </c>
      <c r="CH542" s="107" t="n">
        <v>0</v>
      </c>
      <c r="CI542" s="107" t="inlineStr">
        <is>
          <t>CLEAR</t>
        </is>
      </c>
    </row>
    <row r="543" ht="17" customHeight="1">
      <c r="A543" s="103" t="inlineStr">
        <is>
          <t>KLIC</t>
        </is>
      </c>
      <c r="B543" s="103" t="inlineStr">
        <is>
          <t>KULICKE AND SOFFA INDUSTRIES, INC.</t>
        </is>
      </c>
      <c r="C543" s="104" t="n">
        <v>713364000</v>
      </c>
      <c r="D543" s="105" t="n">
        <v>-0</v>
      </c>
      <c r="E543" s="105" t="n">
        <v>0.03</v>
      </c>
      <c r="F543" s="105" t="n">
        <v>0</v>
      </c>
      <c r="G543" s="105" t="n">
        <v>0</v>
      </c>
      <c r="H543" s="105" t="n">
        <v>-0.06</v>
      </c>
      <c r="I543" s="105" t="n">
        <v>0</v>
      </c>
      <c r="J543" s="105" t="n">
        <v>-0</v>
      </c>
      <c r="K543" s="105" t="n">
        <v>0.42</v>
      </c>
      <c r="L543" s="105" t="n">
        <v>0.38</v>
      </c>
      <c r="M543" s="105" t="n">
        <v>0.59</v>
      </c>
      <c r="N543" s="104" t="n">
        <v>0.57</v>
      </c>
      <c r="O543" s="104" t="n">
        <v>4.79</v>
      </c>
      <c r="P543" s="104" t="n">
        <v>5.41</v>
      </c>
      <c r="Q543" s="104" t="n">
        <v>3.94</v>
      </c>
      <c r="R543" s="104" t="n">
        <v>1.15</v>
      </c>
      <c r="S543" s="104" t="n">
        <v>0.26</v>
      </c>
      <c r="T543" s="104" t="n">
        <v>0.24</v>
      </c>
      <c r="U543" s="104" t="n">
        <v>0.12</v>
      </c>
      <c r="V543" s="104" t="n">
        <v>-0.14</v>
      </c>
      <c r="W543" s="104" t="n">
        <v>533.17</v>
      </c>
      <c r="X543" s="105" t="n">
        <v>0.15</v>
      </c>
      <c r="Y543" s="105" t="n">
        <v>0.23</v>
      </c>
      <c r="Z543" s="105" t="n">
        <v>-22.7</v>
      </c>
      <c r="AA543" s="105" t="n">
        <v>-0.07000000000000001</v>
      </c>
      <c r="AB543" s="105" t="n">
        <v>-1</v>
      </c>
      <c r="AC543" s="104" t="n">
        <v>-0.1</v>
      </c>
      <c r="AD543" s="104" t="n">
        <v>-0.1</v>
      </c>
      <c r="AE543" s="104" t="n">
        <v>0.65</v>
      </c>
      <c r="AF543" s="104" t="n">
        <v>1.09</v>
      </c>
      <c r="AG543" s="104" t="n">
        <v>-0</v>
      </c>
      <c r="AH543" s="104" t="n">
        <v>2.9</v>
      </c>
      <c r="AI543" s="104" t="n">
        <v>0.59</v>
      </c>
      <c r="AJ543" s="104" t="n">
        <v>4.62</v>
      </c>
      <c r="AK543" s="110" t="inlineStr">
        <is>
          <t>Safe</t>
        </is>
      </c>
      <c r="AL543" s="104" t="n">
        <v>0.65</v>
      </c>
      <c r="AM543" s="104" t="n">
        <v>1.09</v>
      </c>
      <c r="AN543" s="104" t="n">
        <v>-0</v>
      </c>
      <c r="AO543" s="104" t="n">
        <v>2.9</v>
      </c>
      <c r="AP543" s="104" t="n">
        <v>0.59</v>
      </c>
      <c r="AQ543" s="103" t="n">
        <v>3.18</v>
      </c>
      <c r="AR543" s="103" t="inlineStr">
        <is>
          <t>Safe</t>
        </is>
      </c>
      <c r="AS543" s="104" t="n">
        <v>0.65</v>
      </c>
      <c r="AT543" s="104" t="n">
        <v>1.09</v>
      </c>
      <c r="AU543" s="104" t="n">
        <v>-0</v>
      </c>
      <c r="AV543" s="104" t="n">
        <v>2.9</v>
      </c>
      <c r="AW543" s="103" t="n">
        <v>10.81</v>
      </c>
      <c r="AX543" s="103" t="inlineStr">
        <is>
          <t>Safe</t>
        </is>
      </c>
      <c r="AY543" s="104" t="n">
        <v>0.65</v>
      </c>
      <c r="AZ543" s="104" t="n">
        <v>-0</v>
      </c>
      <c r="BA543" s="104" t="n">
        <v>0.11</v>
      </c>
      <c r="BB543" s="104" t="n">
        <v>0.59</v>
      </c>
      <c r="BC543" s="103" t="n">
        <v>0.97</v>
      </c>
      <c r="BD543" s="103" t="inlineStr">
        <is>
          <t>Healthy</t>
        </is>
      </c>
      <c r="BE543" s="104" t="n">
        <v>0</v>
      </c>
      <c r="BF543" s="104" t="n">
        <v>0.26</v>
      </c>
      <c r="BG543" s="104" t="n">
        <v>4.79</v>
      </c>
      <c r="BH543" s="104" t="n">
        <v>-2.86</v>
      </c>
      <c r="BI543" s="103" t="n">
        <v>0.05</v>
      </c>
      <c r="BJ543" s="103" t="inlineStr">
        <is>
          <t>Healthy</t>
        </is>
      </c>
      <c r="BK543" s="103" t="n">
        <v>1</v>
      </c>
      <c r="BL543" s="103" t="n">
        <v>1</v>
      </c>
      <c r="BM543" s="103" t="n">
        <v>1</v>
      </c>
      <c r="BN543" s="103" t="n">
        <v>1</v>
      </c>
      <c r="BO543" s="103" t="n">
        <v>0</v>
      </c>
      <c r="BP543" s="103" t="n">
        <v>0</v>
      </c>
      <c r="BQ543" s="103" t="n">
        <v>1</v>
      </c>
      <c r="BR543" s="103" t="n">
        <v>1</v>
      </c>
      <c r="BS543" s="103" t="n">
        <v>1</v>
      </c>
      <c r="BT543" s="103" t="n">
        <v>7</v>
      </c>
      <c r="BU543" s="103" t="inlineStr">
        <is>
          <t>Strong</t>
        </is>
      </c>
      <c r="BV543" s="113" t="inlineStr">
        <is>
          <t>N/A</t>
        </is>
      </c>
      <c r="BW543" s="104" t="n">
        <v>0.9</v>
      </c>
      <c r="BX543" s="104" t="n">
        <v>0.9</v>
      </c>
      <c r="BY543" s="104" t="n">
        <v>0.93</v>
      </c>
      <c r="BZ543" s="104" t="n">
        <v>0.92</v>
      </c>
      <c r="CA543" s="104" t="n">
        <v>1.09</v>
      </c>
      <c r="CB543" s="104" t="n">
        <v>1.07</v>
      </c>
      <c r="CC543" s="104" t="n">
        <v>-0.1</v>
      </c>
      <c r="CD543" s="113" t="inlineStr">
        <is>
          <t>N/A</t>
        </is>
      </c>
      <c r="CE543" s="113" t="inlineStr">
        <is>
          <t>N/A</t>
        </is>
      </c>
      <c r="CF543" s="104" t="n">
        <v>-8.06</v>
      </c>
      <c r="CG543" s="104" t="n">
        <v>64.33</v>
      </c>
      <c r="CH543" s="103" t="n">
        <v>20</v>
      </c>
      <c r="CI543" s="103" t="inlineStr">
        <is>
          <t>CLEAR</t>
        </is>
      </c>
    </row>
    <row r="544" ht="17" customHeight="1">
      <c r="A544" s="107" t="inlineStr">
        <is>
          <t>META</t>
        </is>
      </c>
      <c r="B544" s="107" t="inlineStr">
        <is>
          <t>Meta Platforms, Inc.</t>
        </is>
      </c>
      <c r="C544" s="108" t="n">
        <v>66886000000</v>
      </c>
      <c r="D544" s="109" t="n">
        <v>2.05</v>
      </c>
      <c r="E544" s="109" t="n">
        <v>2.11</v>
      </c>
      <c r="F544" s="109" t="n">
        <v>1.49</v>
      </c>
      <c r="G544" s="109" t="n">
        <v>0.17</v>
      </c>
      <c r="H544" s="109" t="n">
        <v>0.23</v>
      </c>
      <c r="I544" s="109" t="n">
        <v>0.28</v>
      </c>
      <c r="J544" s="109" t="n">
        <v>0.26</v>
      </c>
      <c r="K544" s="109" t="n">
        <v>0.11</v>
      </c>
      <c r="L544" s="109" t="n">
        <v>-0.09</v>
      </c>
      <c r="M544" s="109" t="n">
        <v>0.11</v>
      </c>
      <c r="N544" s="108" t="n">
        <v>0.1</v>
      </c>
      <c r="O544" s="108" t="n">
        <v>2.6</v>
      </c>
      <c r="P544" s="108" t="n">
        <v>2.98</v>
      </c>
      <c r="Q544" s="108" t="n">
        <v>2.6</v>
      </c>
      <c r="R544" s="108" t="n">
        <v>0.86</v>
      </c>
      <c r="S544" s="108" t="n">
        <v>0.41</v>
      </c>
      <c r="T544" s="108" t="n">
        <v>0.34</v>
      </c>
      <c r="U544" s="108" t="n">
        <v>0.27</v>
      </c>
      <c r="V544" s="108" t="n">
        <v>0.11</v>
      </c>
      <c r="W544" s="108" t="n">
        <v>1.92</v>
      </c>
      <c r="X544" s="109" t="n">
        <v>1.13</v>
      </c>
      <c r="Y544" s="109" t="n">
        <v>1.41</v>
      </c>
      <c r="Z544" s="109" t="n">
        <v>186.72</v>
      </c>
      <c r="AA544" s="109" t="n">
        <v>0.47</v>
      </c>
      <c r="AB544" s="109" t="n">
        <v>-0.03</v>
      </c>
      <c r="AC544" s="108" t="n">
        <v>-0.15</v>
      </c>
      <c r="AD544" s="108" t="n">
        <v>-0.15</v>
      </c>
      <c r="AE544" s="108" t="n">
        <v>0.18</v>
      </c>
      <c r="AF544" s="108" t="n">
        <v>0.33</v>
      </c>
      <c r="AG544" s="108" t="n">
        <v>0.23</v>
      </c>
      <c r="AH544" s="108" t="n">
        <v>1.46</v>
      </c>
      <c r="AI544" s="108" t="n">
        <v>0.11</v>
      </c>
      <c r="AJ544" s="108" t="n">
        <v>2.42</v>
      </c>
      <c r="AK544" s="106" t="inlineStr">
        <is>
          <t>Grey</t>
        </is>
      </c>
      <c r="AL544" s="108" t="n">
        <v>0.18</v>
      </c>
      <c r="AM544" s="108" t="n">
        <v>0.33</v>
      </c>
      <c r="AN544" s="108" t="n">
        <v>0.23</v>
      </c>
      <c r="AO544" s="108" t="n">
        <v>1.46</v>
      </c>
      <c r="AP544" s="108" t="n">
        <v>0.11</v>
      </c>
      <c r="AQ544" s="107" t="n">
        <v>1.84</v>
      </c>
      <c r="AR544" s="107" t="inlineStr">
        <is>
          <t>Grey</t>
        </is>
      </c>
      <c r="AS544" s="108" t="n">
        <v>0.18</v>
      </c>
      <c r="AT544" s="108" t="n">
        <v>0.33</v>
      </c>
      <c r="AU544" s="108" t="n">
        <v>0.23</v>
      </c>
      <c r="AV544" s="108" t="n">
        <v>1.46</v>
      </c>
      <c r="AW544" s="107" t="n">
        <v>5.34</v>
      </c>
      <c r="AX544" s="107" t="inlineStr">
        <is>
          <t>Safe</t>
        </is>
      </c>
      <c r="AY544" s="108" t="n">
        <v>0.18</v>
      </c>
      <c r="AZ544" s="108" t="n">
        <v>0.23</v>
      </c>
      <c r="BA544" s="108" t="n">
        <v>2.05</v>
      </c>
      <c r="BB544" s="108" t="n">
        <v>0.11</v>
      </c>
      <c r="BC544" s="107" t="n">
        <v>2.29</v>
      </c>
      <c r="BD544" s="107" t="inlineStr">
        <is>
          <t>Healthy</t>
        </is>
      </c>
      <c r="BE544" s="108" t="n">
        <v>0.17</v>
      </c>
      <c r="BF544" s="108" t="n">
        <v>0.41</v>
      </c>
      <c r="BG544" s="108" t="n">
        <v>2.6</v>
      </c>
      <c r="BH544" s="108" t="n">
        <v>-2.76</v>
      </c>
      <c r="BI544" s="107" t="n">
        <v>0.06</v>
      </c>
      <c r="BJ544" s="107" t="inlineStr">
        <is>
          <t>Healthy</t>
        </is>
      </c>
      <c r="BK544" s="107" t="n">
        <v>1</v>
      </c>
      <c r="BL544" s="107" t="n">
        <v>1</v>
      </c>
      <c r="BM544" s="107" t="n">
        <v>0</v>
      </c>
      <c r="BN544" s="107" t="n">
        <v>1</v>
      </c>
      <c r="BO544" s="107" t="n">
        <v>0</v>
      </c>
      <c r="BP544" s="107" t="n">
        <v>0</v>
      </c>
      <c r="BQ544" s="107" t="n">
        <v>0</v>
      </c>
      <c r="BR544" s="107" t="n">
        <v>1</v>
      </c>
      <c r="BS544" s="107" t="n">
        <v>1</v>
      </c>
      <c r="BT544" s="107" t="n">
        <v>5</v>
      </c>
      <c r="BU544" s="107" t="inlineStr">
        <is>
          <t>Mixed</t>
        </is>
      </c>
      <c r="BV544" s="108" t="n">
        <v>0.79</v>
      </c>
      <c r="BW544" s="108" t="n">
        <v>-0.83</v>
      </c>
      <c r="BX544" s="108" t="n">
        <v>1.16</v>
      </c>
      <c r="BY544" s="108" t="n">
        <v>1.47</v>
      </c>
      <c r="BZ544" s="108" t="n">
        <v>0.9</v>
      </c>
      <c r="CA544" s="108" t="n">
        <v>0.85</v>
      </c>
      <c r="CB544" s="108" t="n">
        <v>1.2</v>
      </c>
      <c r="CC544" s="108" t="n">
        <v>-0.15</v>
      </c>
      <c r="CD544" s="107" t="n">
        <v>-3.91</v>
      </c>
      <c r="CE544" s="107" t="inlineStr">
        <is>
          <t>Lower Risk</t>
        </is>
      </c>
      <c r="CF544" s="108" t="n">
        <v>0.22</v>
      </c>
      <c r="CG544" s="108" t="n">
        <v>50.95</v>
      </c>
      <c r="CH544" s="107" t="n">
        <v>20</v>
      </c>
      <c r="CI544" s="107" t="inlineStr">
        <is>
          <t>CLEAR</t>
        </is>
      </c>
    </row>
    <row r="545" ht="17" customHeight="1">
      <c r="A545" s="103" t="inlineStr">
        <is>
          <t>MLM</t>
        </is>
      </c>
      <c r="B545" s="103" t="inlineStr">
        <is>
          <t>MARTIN MARIETTA MATERIALS INC</t>
        </is>
      </c>
      <c r="C545" s="104" t="n">
        <v>2298000000</v>
      </c>
      <c r="D545" s="105" t="n">
        <v>0.23</v>
      </c>
      <c r="E545" s="105" t="n">
        <v>0.2</v>
      </c>
      <c r="F545" s="105" t="n">
        <v>0.18</v>
      </c>
      <c r="G545" s="105" t="n">
        <v>0.06</v>
      </c>
      <c r="H545" s="105" t="n">
        <v>0.02</v>
      </c>
      <c r="I545" s="105" t="n">
        <v>0.11</v>
      </c>
      <c r="J545" s="105" t="n">
        <v>0.08</v>
      </c>
      <c r="K545" s="105" t="n">
        <v>0.31</v>
      </c>
      <c r="L545" s="105" t="n">
        <v>0.31</v>
      </c>
      <c r="M545" s="105" t="n">
        <v>0.33</v>
      </c>
      <c r="N545" s="104" t="n">
        <v>0.08</v>
      </c>
      <c r="O545" s="104" t="n">
        <v>3.57</v>
      </c>
      <c r="P545" s="104" t="n">
        <v>2.5</v>
      </c>
      <c r="Q545" s="104" t="n">
        <v>2.36</v>
      </c>
      <c r="R545" s="104" t="n">
        <v>0.07000000000000001</v>
      </c>
      <c r="S545" s="104" t="n">
        <v>0.46</v>
      </c>
      <c r="T545" s="104" t="n">
        <v>0.48</v>
      </c>
      <c r="U545" s="104" t="n">
        <v>0.53</v>
      </c>
      <c r="V545" s="104" t="n">
        <v>0.53</v>
      </c>
      <c r="W545" s="104" t="n">
        <v>1.57</v>
      </c>
      <c r="X545" s="105" t="n">
        <v>0.16</v>
      </c>
      <c r="Y545" s="105" t="n">
        <v>0</v>
      </c>
      <c r="Z545" s="105" t="n">
        <v>6.25</v>
      </c>
      <c r="AA545" s="105" t="n">
        <v>3.01</v>
      </c>
      <c r="AB545" s="105" t="n">
        <v>3.08</v>
      </c>
      <c r="AC545" s="104" t="n">
        <v>-0.03</v>
      </c>
      <c r="AD545" s="104" t="n">
        <v>-0.03</v>
      </c>
      <c r="AE545" s="104" t="n">
        <v>0.12</v>
      </c>
      <c r="AF545" s="104" t="n">
        <v>0.34</v>
      </c>
      <c r="AG545" s="104" t="n">
        <v>0.08</v>
      </c>
      <c r="AH545" s="104" t="n">
        <v>1.16</v>
      </c>
      <c r="AI545" s="104" t="n">
        <v>0.33</v>
      </c>
      <c r="AJ545" s="104" t="n">
        <v>1.9</v>
      </c>
      <c r="AK545" s="106" t="inlineStr">
        <is>
          <t>Grey</t>
        </is>
      </c>
      <c r="AL545" s="104" t="n">
        <v>0.12</v>
      </c>
      <c r="AM545" s="104" t="n">
        <v>0.34</v>
      </c>
      <c r="AN545" s="104" t="n">
        <v>0.08</v>
      </c>
      <c r="AO545" s="104" t="n">
        <v>1.16</v>
      </c>
      <c r="AP545" s="104" t="n">
        <v>0.33</v>
      </c>
      <c r="AQ545" s="103" t="n">
        <v>1.43</v>
      </c>
      <c r="AR545" s="103" t="inlineStr">
        <is>
          <t>Grey</t>
        </is>
      </c>
      <c r="AS545" s="104" t="n">
        <v>0.12</v>
      </c>
      <c r="AT545" s="104" t="n">
        <v>0.34</v>
      </c>
      <c r="AU545" s="104" t="n">
        <v>0.08</v>
      </c>
      <c r="AV545" s="104" t="n">
        <v>1.16</v>
      </c>
      <c r="AW545" s="103" t="n">
        <v>3.65</v>
      </c>
      <c r="AX545" s="103" t="inlineStr">
        <is>
          <t>Safe</t>
        </is>
      </c>
      <c r="AY545" s="104" t="n">
        <v>0.12</v>
      </c>
      <c r="AZ545" s="104" t="n">
        <v>0.08</v>
      </c>
      <c r="BA545" s="104" t="n">
        <v>1.37</v>
      </c>
      <c r="BB545" s="104" t="n">
        <v>0.33</v>
      </c>
      <c r="BC545" s="103" t="n">
        <v>1.4</v>
      </c>
      <c r="BD545" s="103" t="inlineStr">
        <is>
          <t>Healthy</t>
        </is>
      </c>
      <c r="BE545" s="104" t="n">
        <v>0.06</v>
      </c>
      <c r="BF545" s="104" t="n">
        <v>0.46</v>
      </c>
      <c r="BG545" s="104" t="n">
        <v>3.57</v>
      </c>
      <c r="BH545" s="104" t="n">
        <v>-1.96</v>
      </c>
      <c r="BI545" s="103" t="n">
        <v>0.12</v>
      </c>
      <c r="BJ545" s="103" t="inlineStr">
        <is>
          <t>Healthy</t>
        </is>
      </c>
      <c r="BK545" s="103" t="n">
        <v>1</v>
      </c>
      <c r="BL545" s="103" t="n">
        <v>1</v>
      </c>
      <c r="BM545" s="103" t="n">
        <v>1</v>
      </c>
      <c r="BN545" s="103" t="n">
        <v>1</v>
      </c>
      <c r="BO545" s="103" t="n">
        <v>1</v>
      </c>
      <c r="BP545" s="103" t="n">
        <v>1</v>
      </c>
      <c r="BQ545" s="103" t="n">
        <v>1</v>
      </c>
      <c r="BR545" s="103" t="n">
        <v>1</v>
      </c>
      <c r="BS545" s="103" t="n">
        <v>1</v>
      </c>
      <c r="BT545" s="103" t="n">
        <v>9</v>
      </c>
      <c r="BU545" s="103" t="inlineStr">
        <is>
          <t>Strong</t>
        </is>
      </c>
      <c r="BV545" s="104" t="n">
        <v>0.27</v>
      </c>
      <c r="BW545" s="104" t="n">
        <v>0.99</v>
      </c>
      <c r="BX545" s="104" t="n">
        <v>0.92</v>
      </c>
      <c r="BY545" s="104" t="n">
        <v>4.01</v>
      </c>
      <c r="BZ545" s="104" t="n">
        <v>0.92</v>
      </c>
      <c r="CA545" s="104" t="n">
        <v>0.25</v>
      </c>
      <c r="CB545" s="104" t="n">
        <v>0.97</v>
      </c>
      <c r="CC545" s="104" t="n">
        <v>-0.03</v>
      </c>
      <c r="CD545" s="103" t="n">
        <v>-0.54</v>
      </c>
      <c r="CE545" s="103" t="inlineStr">
        <is>
          <t>Higher Risk</t>
        </is>
      </c>
      <c r="CF545" s="104" t="n">
        <v>2.54</v>
      </c>
      <c r="CG545" s="104" t="n">
        <v>59.72</v>
      </c>
      <c r="CH545" s="103" t="n">
        <v>20</v>
      </c>
      <c r="CI545" s="103" t="inlineStr">
        <is>
          <t>CLEAR</t>
        </is>
      </c>
    </row>
    <row r="546" ht="17" customHeight="1">
      <c r="A546" s="107" t="inlineStr">
        <is>
          <t>HWM</t>
        </is>
      </c>
      <c r="B546" s="107" t="inlineStr">
        <is>
          <t>HOWMET AEROSPACE INC.</t>
        </is>
      </c>
      <c r="C546" s="108" t="n">
        <v>2008000000</v>
      </c>
      <c r="D546" s="109" t="n">
        <v>0.25</v>
      </c>
      <c r="E546" s="109" t="n">
        <v>0.22</v>
      </c>
      <c r="F546" s="109" t="n">
        <v>0.18</v>
      </c>
      <c r="G546" s="109" t="n">
        <v>0.13</v>
      </c>
      <c r="H546" s="109" t="n">
        <v>0.11</v>
      </c>
      <c r="I546" s="109" t="n">
        <v>0.28</v>
      </c>
      <c r="J546" s="109" t="n">
        <v>0.22</v>
      </c>
      <c r="K546" s="109" t="n">
        <v>-1.32</v>
      </c>
      <c r="L546" s="109" t="n">
        <v>-1.6</v>
      </c>
      <c r="M546" s="109" t="n">
        <v>0.74</v>
      </c>
      <c r="N546" s="108" t="n">
        <v>0.71</v>
      </c>
      <c r="O546" s="108" t="n">
        <v>2.13</v>
      </c>
      <c r="P546" s="108" t="n">
        <v>2.17</v>
      </c>
      <c r="Q546" s="108" t="n">
        <v>1.09</v>
      </c>
      <c r="R546" s="108" t="n">
        <v>0.42</v>
      </c>
      <c r="S546" s="108" t="n">
        <v>0.52</v>
      </c>
      <c r="T546" s="108" t="n">
        <v>0.57</v>
      </c>
      <c r="U546" s="108" t="n">
        <v>0.57</v>
      </c>
      <c r="V546" s="108" t="n">
        <v>0.43</v>
      </c>
      <c r="W546" s="108" t="n">
        <v>1.25</v>
      </c>
      <c r="X546" s="109" t="n">
        <v>0.17</v>
      </c>
      <c r="Y546" s="109" t="n">
        <v>0</v>
      </c>
      <c r="Z546" s="109" t="n">
        <v>9.390000000000001</v>
      </c>
      <c r="AA546" s="109" t="n">
        <v>0.11</v>
      </c>
      <c r="AB546" s="109" t="n">
        <v>0.31</v>
      </c>
      <c r="AC546" s="108" t="n">
        <v>-0.03</v>
      </c>
      <c r="AD546" s="108" t="n">
        <v>-0.03</v>
      </c>
      <c r="AE546" s="108" t="n">
        <v>0.18</v>
      </c>
      <c r="AF546" s="108" t="n">
        <v>0.37</v>
      </c>
      <c r="AG546" s="108" t="n">
        <v>0.18</v>
      </c>
      <c r="AH546" s="108" t="n">
        <v>0.92</v>
      </c>
      <c r="AI546" s="108" t="n">
        <v>0.74</v>
      </c>
      <c r="AJ546" s="108" t="n">
        <v>2.62</v>
      </c>
      <c r="AK546" s="106" t="inlineStr">
        <is>
          <t>Grey</t>
        </is>
      </c>
      <c r="AL546" s="108" t="n">
        <v>0.18</v>
      </c>
      <c r="AM546" s="108" t="n">
        <v>0.37</v>
      </c>
      <c r="AN546" s="108" t="n">
        <v>0.18</v>
      </c>
      <c r="AO546" s="108" t="n">
        <v>0.92</v>
      </c>
      <c r="AP546" s="108" t="n">
        <v>0.74</v>
      </c>
      <c r="AQ546" s="107" t="n">
        <v>2.13</v>
      </c>
      <c r="AR546" s="107" t="inlineStr">
        <is>
          <t>Grey</t>
        </is>
      </c>
      <c r="AS546" s="108" t="n">
        <v>0.18</v>
      </c>
      <c r="AT546" s="108" t="n">
        <v>0.37</v>
      </c>
      <c r="AU546" s="108" t="n">
        <v>0.18</v>
      </c>
      <c r="AV546" s="108" t="n">
        <v>0.92</v>
      </c>
      <c r="AW546" s="107" t="n">
        <v>4.57</v>
      </c>
      <c r="AX546" s="107" t="inlineStr">
        <is>
          <t>Safe</t>
        </is>
      </c>
      <c r="AY546" s="108" t="n">
        <v>0.18</v>
      </c>
      <c r="AZ546" s="108" t="n">
        <v>0.18</v>
      </c>
      <c r="BA546" s="108" t="n">
        <v>1.04</v>
      </c>
      <c r="BB546" s="108" t="n">
        <v>0.74</v>
      </c>
      <c r="BC546" s="107" t="n">
        <v>1.73</v>
      </c>
      <c r="BD546" s="107" t="inlineStr">
        <is>
          <t>Healthy</t>
        </is>
      </c>
      <c r="BE546" s="108" t="n">
        <v>0.13</v>
      </c>
      <c r="BF546" s="108" t="n">
        <v>0.52</v>
      </c>
      <c r="BG546" s="108" t="n">
        <v>2.13</v>
      </c>
      <c r="BH546" s="108" t="n">
        <v>-1.98</v>
      </c>
      <c r="BI546" s="107" t="n">
        <v>0.12</v>
      </c>
      <c r="BJ546" s="107" t="inlineStr">
        <is>
          <t>Healthy</t>
        </is>
      </c>
      <c r="BK546" s="107" t="n">
        <v>1</v>
      </c>
      <c r="BL546" s="107" t="n">
        <v>1</v>
      </c>
      <c r="BM546" s="107" t="n">
        <v>1</v>
      </c>
      <c r="BN546" s="107" t="n">
        <v>1</v>
      </c>
      <c r="BO546" s="107" t="n">
        <v>1</v>
      </c>
      <c r="BP546" s="107" t="n">
        <v>0</v>
      </c>
      <c r="BQ546" s="107" t="n">
        <v>1</v>
      </c>
      <c r="BR546" s="107" t="n">
        <v>1</v>
      </c>
      <c r="BS546" s="107" t="n">
        <v>1</v>
      </c>
      <c r="BT546" s="107" t="n">
        <v>8</v>
      </c>
      <c r="BU546" s="107" t="inlineStr">
        <is>
          <t>Strong</t>
        </is>
      </c>
      <c r="BV546" s="108" t="n">
        <v>1.02</v>
      </c>
      <c r="BW546" s="108" t="n">
        <v>1.21</v>
      </c>
      <c r="BX546" s="108" t="n">
        <v>0.95</v>
      </c>
      <c r="BY546" s="108" t="n">
        <v>1.11</v>
      </c>
      <c r="BZ546" s="108" t="n">
        <v>1.06</v>
      </c>
      <c r="CA546" s="108" t="n">
        <v>0.96</v>
      </c>
      <c r="CB546" s="108" t="n">
        <v>0.92</v>
      </c>
      <c r="CC546" s="108" t="n">
        <v>-0.03</v>
      </c>
      <c r="CD546" s="107" t="n">
        <v>-2.39</v>
      </c>
      <c r="CE546" s="107" t="inlineStr">
        <is>
          <t>Lower Risk</t>
        </is>
      </c>
      <c r="CF546" s="108" t="n">
        <v>0.99</v>
      </c>
      <c r="CG546" s="108" t="n">
        <v>62.94</v>
      </c>
      <c r="CH546" s="107" t="n">
        <v>0</v>
      </c>
      <c r="CI546" s="107" t="inlineStr">
        <is>
          <t>CLEAR</t>
        </is>
      </c>
    </row>
    <row r="547" ht="17" customHeight="1">
      <c r="A547" s="103" t="inlineStr">
        <is>
          <t>CAKE</t>
        </is>
      </c>
      <c r="B547" s="103" t="inlineStr">
        <is>
          <t>THE CHEESECAKE FACTORY INCORPORATED</t>
        </is>
      </c>
      <c r="C547" s="104" t="n">
        <v>-322183000</v>
      </c>
      <c r="D547" s="105" t="n">
        <v>0.05</v>
      </c>
      <c r="E547" s="105" t="n">
        <v>0.04</v>
      </c>
      <c r="F547" s="105" t="n">
        <v>0.04</v>
      </c>
      <c r="G547" s="105" t="n">
        <v>0.05</v>
      </c>
      <c r="H547" s="105" t="n">
        <v>0.05</v>
      </c>
      <c r="I547" s="105" t="n">
        <v>0.34</v>
      </c>
      <c r="J547" s="105" t="n">
        <v>0.08</v>
      </c>
      <c r="K547" s="105" t="n">
        <v>0.83</v>
      </c>
      <c r="L547" s="105" t="n">
        <v>0.87</v>
      </c>
      <c r="M547" s="105" t="n">
        <v>1.15</v>
      </c>
      <c r="N547" s="104" t="n">
        <v>1.18</v>
      </c>
      <c r="O547" s="104" t="n">
        <v>0.59</v>
      </c>
      <c r="P547" s="104" t="n">
        <v>0.47</v>
      </c>
      <c r="Q547" s="104" t="n">
        <v>0.52</v>
      </c>
      <c r="R547" s="104" t="n">
        <v>0.28</v>
      </c>
      <c r="S547" s="104" t="n">
        <v>0.87</v>
      </c>
      <c r="T547" s="104" t="n">
        <v>0.85</v>
      </c>
      <c r="U547" s="104" t="n">
        <v>1.44</v>
      </c>
      <c r="V547" s="104" t="n">
        <v>0.95</v>
      </c>
      <c r="W547" s="104" t="n">
        <v>2.03</v>
      </c>
      <c r="X547" s="105" t="n">
        <v>0.04</v>
      </c>
      <c r="Y547" s="113" t="inlineStr">
        <is>
          <t>N/A</t>
        </is>
      </c>
      <c r="Z547" s="105" t="n">
        <v>38.08</v>
      </c>
      <c r="AA547" s="105" t="n">
        <v>0.05</v>
      </c>
      <c r="AB547" s="105" t="n">
        <v>-0.05</v>
      </c>
      <c r="AC547" s="104" t="n">
        <v>-0.05</v>
      </c>
      <c r="AD547" s="104" t="n">
        <v>-0.05</v>
      </c>
      <c r="AE547" s="104" t="n">
        <v>-0.1</v>
      </c>
      <c r="AF547" s="104" t="n">
        <v>0.43</v>
      </c>
      <c r="AG547" s="104" t="n">
        <v>0.06</v>
      </c>
      <c r="AH547" s="104" t="n">
        <v>0.15</v>
      </c>
      <c r="AI547" s="104" t="n">
        <v>1.15</v>
      </c>
      <c r="AJ547" s="104" t="n">
        <v>1.92</v>
      </c>
      <c r="AK547" s="106" t="inlineStr">
        <is>
          <t>Grey</t>
        </is>
      </c>
      <c r="AL547" s="104" t="n">
        <v>-0.1</v>
      </c>
      <c r="AM547" s="104" t="n">
        <v>0.43</v>
      </c>
      <c r="AN547" s="104" t="n">
        <v>0.06</v>
      </c>
      <c r="AO547" s="104" t="n">
        <v>0.15</v>
      </c>
      <c r="AP547" s="104" t="n">
        <v>1.15</v>
      </c>
      <c r="AQ547" s="103" t="n">
        <v>1.69</v>
      </c>
      <c r="AR547" s="103" t="inlineStr">
        <is>
          <t>Grey</t>
        </is>
      </c>
      <c r="AS547" s="104" t="n">
        <v>-0.1</v>
      </c>
      <c r="AT547" s="104" t="n">
        <v>0.43</v>
      </c>
      <c r="AU547" s="104" t="n">
        <v>0.06</v>
      </c>
      <c r="AV547" s="104" t="n">
        <v>0.15</v>
      </c>
      <c r="AW547" s="103" t="n">
        <v>1.31</v>
      </c>
      <c r="AX547" s="103" t="inlineStr">
        <is>
          <t>Grey</t>
        </is>
      </c>
      <c r="AY547" s="104" t="n">
        <v>-0.1</v>
      </c>
      <c r="AZ547" s="104" t="n">
        <v>0.06</v>
      </c>
      <c r="BA547" s="104" t="n">
        <v>0.21</v>
      </c>
      <c r="BB547" s="104" t="n">
        <v>1.15</v>
      </c>
      <c r="BC547" s="103" t="n">
        <v>0.67</v>
      </c>
      <c r="BD547" s="103" t="inlineStr">
        <is>
          <t>Distress</t>
        </is>
      </c>
      <c r="BE547" s="104" t="n">
        <v>0.05</v>
      </c>
      <c r="BF547" s="104" t="n">
        <v>0.87</v>
      </c>
      <c r="BG547" s="104" t="n">
        <v>0.59</v>
      </c>
      <c r="BH547" s="104" t="n">
        <v>0.38</v>
      </c>
      <c r="BI547" s="103" t="n">
        <v>0.59</v>
      </c>
      <c r="BJ547" s="103" t="inlineStr">
        <is>
          <t>Distress</t>
        </is>
      </c>
      <c r="BK547" s="103" t="n">
        <v>1</v>
      </c>
      <c r="BL547" s="103" t="n">
        <v>1</v>
      </c>
      <c r="BM547" s="103" t="n">
        <v>0</v>
      </c>
      <c r="BN547" s="103" t="n">
        <v>1</v>
      </c>
      <c r="BO547" s="103" t="n">
        <v>0</v>
      </c>
      <c r="BP547" s="103" t="n">
        <v>1</v>
      </c>
      <c r="BQ547" s="103" t="n">
        <v>1</v>
      </c>
      <c r="BR547" s="103" t="n">
        <v>0</v>
      </c>
      <c r="BS547" s="103" t="n">
        <v>0</v>
      </c>
      <c r="BT547" s="103" t="n">
        <v>5</v>
      </c>
      <c r="BU547" s="103" t="inlineStr">
        <is>
          <t>Mixed</t>
        </is>
      </c>
      <c r="BV547" s="104" t="n">
        <v>0.95</v>
      </c>
      <c r="BW547" s="104" t="n">
        <v>1.06</v>
      </c>
      <c r="BX547" s="104" t="n">
        <v>0.97</v>
      </c>
      <c r="BY547" s="104" t="n">
        <v>1.05</v>
      </c>
      <c r="BZ547" s="104" t="n">
        <v>0.97</v>
      </c>
      <c r="CA547" s="104" t="n">
        <v>1.02</v>
      </c>
      <c r="CB547" s="104" t="n">
        <v>1.01</v>
      </c>
      <c r="CC547" s="104" t="n">
        <v>-0.05</v>
      </c>
      <c r="CD547" s="103" t="n">
        <v>-2.69</v>
      </c>
      <c r="CE547" s="103" t="inlineStr">
        <is>
          <t>Lower Risk</t>
        </is>
      </c>
      <c r="CF547" s="104" t="n">
        <v>1.4</v>
      </c>
      <c r="CG547" s="104" t="n">
        <v>48.85</v>
      </c>
      <c r="CH547" s="103" t="n">
        <v>0</v>
      </c>
      <c r="CI547" s="103" t="inlineStr">
        <is>
          <t>CLEAR</t>
        </is>
      </c>
    </row>
    <row r="548" ht="17" customHeight="1">
      <c r="A548" s="107" t="inlineStr">
        <is>
          <t>STAG</t>
        </is>
      </c>
      <c r="B548" s="107" t="inlineStr">
        <is>
          <t>STAG Industrial, Inc.</t>
        </is>
      </c>
      <c r="C548" s="111" t="inlineStr">
        <is>
          <t>N/A</t>
        </is>
      </c>
      <c r="D548" s="111" t="inlineStr">
        <is>
          <t>N/A</t>
        </is>
      </c>
      <c r="E548" s="111" t="inlineStr">
        <is>
          <t>N/A</t>
        </is>
      </c>
      <c r="F548" s="109" t="n">
        <v>0.32</v>
      </c>
      <c r="G548" s="109" t="n">
        <v>0.04</v>
      </c>
      <c r="H548" s="109" t="n">
        <v>0.03</v>
      </c>
      <c r="I548" s="109" t="n">
        <v>0.08</v>
      </c>
      <c r="J548" s="111" t="inlineStr">
        <is>
          <t>N/A</t>
        </is>
      </c>
      <c r="K548" s="111" t="inlineStr">
        <is>
          <t>N/A</t>
        </is>
      </c>
      <c r="L548" s="111" t="inlineStr">
        <is>
          <t>N/A</t>
        </is>
      </c>
      <c r="M548" s="109" t="n">
        <v>0.12</v>
      </c>
      <c r="N548" s="108" t="n">
        <v>0.11</v>
      </c>
      <c r="O548" s="111" t="inlineStr">
        <is>
          <t>N/A</t>
        </is>
      </c>
      <c r="P548" s="111" t="inlineStr">
        <is>
          <t>N/A</t>
        </is>
      </c>
      <c r="Q548" s="111" t="inlineStr">
        <is>
          <t>N/A</t>
        </is>
      </c>
      <c r="R548" s="111" t="inlineStr">
        <is>
          <t>N/A</t>
        </is>
      </c>
      <c r="S548" s="108" t="n">
        <v>0.49</v>
      </c>
      <c r="T548" s="108" t="n">
        <v>0.48</v>
      </c>
      <c r="U548" s="108" t="n">
        <v>0.91</v>
      </c>
      <c r="V548" s="108" t="n">
        <v>0.9</v>
      </c>
      <c r="W548" s="108" t="n">
        <v>1.69</v>
      </c>
      <c r="X548" s="109" t="n">
        <v>0.31</v>
      </c>
      <c r="Y548" s="109" t="n">
        <v>0</v>
      </c>
      <c r="Z548" s="111" t="inlineStr">
        <is>
          <t>N/A</t>
        </is>
      </c>
      <c r="AA548" s="109" t="n">
        <v>0.1</v>
      </c>
      <c r="AB548" s="109" t="n">
        <v>0.45</v>
      </c>
      <c r="AC548" s="108" t="n">
        <v>-0.03</v>
      </c>
      <c r="AD548" s="108" t="n">
        <v>-0.03</v>
      </c>
      <c r="AE548" s="111" t="inlineStr">
        <is>
          <t>N/A</t>
        </is>
      </c>
      <c r="AF548" s="108" t="n">
        <v>-0.14</v>
      </c>
      <c r="AG548" s="111" t="inlineStr">
        <is>
          <t>N/A</t>
        </is>
      </c>
      <c r="AH548" s="108" t="n">
        <v>1.02</v>
      </c>
      <c r="AI548" s="108" t="n">
        <v>0.12</v>
      </c>
      <c r="AJ548" s="111" t="inlineStr">
        <is>
          <t>N/A</t>
        </is>
      </c>
      <c r="AK548" s="111" t="inlineStr">
        <is>
          <t>N/A</t>
        </is>
      </c>
      <c r="AL548" s="111" t="inlineStr">
        <is>
          <t>N/A</t>
        </is>
      </c>
      <c r="AM548" s="108" t="n">
        <v>-0.14</v>
      </c>
      <c r="AN548" s="111" t="inlineStr">
        <is>
          <t>N/A</t>
        </is>
      </c>
      <c r="AO548" s="108" t="n">
        <v>1.02</v>
      </c>
      <c r="AP548" s="108" t="n">
        <v>0.12</v>
      </c>
      <c r="AQ548" s="111" t="inlineStr">
        <is>
          <t>N/A</t>
        </is>
      </c>
      <c r="AR548" s="111" t="inlineStr">
        <is>
          <t>N/A</t>
        </is>
      </c>
      <c r="AS548" s="111" t="inlineStr">
        <is>
          <t>N/A</t>
        </is>
      </c>
      <c r="AT548" s="108" t="n">
        <v>-0.14</v>
      </c>
      <c r="AU548" s="111" t="inlineStr">
        <is>
          <t>N/A</t>
        </is>
      </c>
      <c r="AV548" s="108" t="n">
        <v>1.02</v>
      </c>
      <c r="AW548" s="111" t="inlineStr">
        <is>
          <t>N/A</t>
        </is>
      </c>
      <c r="AX548" s="111" t="inlineStr">
        <is>
          <t>N/A</t>
        </is>
      </c>
      <c r="AY548" s="111" t="inlineStr">
        <is>
          <t>N/A</t>
        </is>
      </c>
      <c r="AZ548" s="111" t="inlineStr">
        <is>
          <t>N/A</t>
        </is>
      </c>
      <c r="BA548" s="111" t="inlineStr">
        <is>
          <t>N/A</t>
        </is>
      </c>
      <c r="BB548" s="108" t="n">
        <v>0.12</v>
      </c>
      <c r="BC548" s="111" t="inlineStr">
        <is>
          <t>N/A</t>
        </is>
      </c>
      <c r="BD548" s="111" t="inlineStr">
        <is>
          <t>N/A</t>
        </is>
      </c>
      <c r="BE548" s="108" t="n">
        <v>0.04</v>
      </c>
      <c r="BF548" s="108" t="n">
        <v>0.49</v>
      </c>
      <c r="BG548" s="111" t="inlineStr">
        <is>
          <t>N/A</t>
        </is>
      </c>
      <c r="BH548" s="111" t="inlineStr">
        <is>
          <t>N/A</t>
        </is>
      </c>
      <c r="BI548" s="111" t="inlineStr">
        <is>
          <t>N/A</t>
        </is>
      </c>
      <c r="BJ548" s="111" t="inlineStr">
        <is>
          <t>N/A</t>
        </is>
      </c>
      <c r="BK548" s="107" t="n">
        <v>1</v>
      </c>
      <c r="BL548" s="107" t="n">
        <v>1</v>
      </c>
      <c r="BM548" s="107" t="n">
        <v>1</v>
      </c>
      <c r="BN548" s="107" t="n">
        <v>1</v>
      </c>
      <c r="BO548" s="107" t="n">
        <v>0</v>
      </c>
      <c r="BP548" s="107" t="n">
        <v>0</v>
      </c>
      <c r="BQ548" s="107" t="n">
        <v>0</v>
      </c>
      <c r="BR548" s="107" t="n">
        <v>0</v>
      </c>
      <c r="BS548" s="107" t="n">
        <v>1</v>
      </c>
      <c r="BT548" s="107" t="n">
        <v>5</v>
      </c>
      <c r="BU548" s="107" t="inlineStr">
        <is>
          <t>Mixed</t>
        </is>
      </c>
      <c r="BV548" s="108" t="n">
        <v>1.04</v>
      </c>
      <c r="BW548" s="111" t="inlineStr">
        <is>
          <t>N/A</t>
        </is>
      </c>
      <c r="BX548" s="111" t="inlineStr">
        <is>
          <t>N/A</t>
        </is>
      </c>
      <c r="BY548" s="108" t="n">
        <v>1.1</v>
      </c>
      <c r="BZ548" s="111" t="inlineStr">
        <is>
          <t>N/A</t>
        </is>
      </c>
      <c r="CA548" s="108" t="n">
        <v>0.96</v>
      </c>
      <c r="CB548" s="108" t="n">
        <v>1.01</v>
      </c>
      <c r="CC548" s="108" t="n">
        <v>-0.03</v>
      </c>
      <c r="CD548" s="111" t="inlineStr">
        <is>
          <t>N/A</t>
        </is>
      </c>
      <c r="CE548" s="111" t="inlineStr">
        <is>
          <t>N/A</t>
        </is>
      </c>
      <c r="CF548" s="111" t="inlineStr">
        <is>
          <t>N/A</t>
        </is>
      </c>
      <c r="CG548" s="108" t="n">
        <v>44</v>
      </c>
      <c r="CH548" s="107" t="n">
        <v>0</v>
      </c>
      <c r="CI548" s="107" t="inlineStr">
        <is>
          <t>CLEAR</t>
        </is>
      </c>
    </row>
    <row r="549" ht="17" customHeight="1">
      <c r="A549" s="103" t="inlineStr">
        <is>
          <t>SAIA</t>
        </is>
      </c>
      <c r="B549" s="103" t="inlineStr">
        <is>
          <t>Saia, Inc.</t>
        </is>
      </c>
      <c r="C549" s="104" t="n">
        <v>169172000</v>
      </c>
      <c r="D549" s="105" t="n">
        <v>0.11</v>
      </c>
      <c r="E549" s="105" t="n">
        <v>0.1</v>
      </c>
      <c r="F549" s="105" t="n">
        <v>0.08</v>
      </c>
      <c r="G549" s="105" t="n">
        <v>0.07000000000000001</v>
      </c>
      <c r="H549" s="105" t="n">
        <v>0.11</v>
      </c>
      <c r="I549" s="105" t="n">
        <v>0.1</v>
      </c>
      <c r="J549" s="105" t="n">
        <v>0.11</v>
      </c>
      <c r="K549" s="113" t="inlineStr">
        <is>
          <t>N/A</t>
        </is>
      </c>
      <c r="L549" s="113" t="inlineStr">
        <is>
          <t>N/A</t>
        </is>
      </c>
      <c r="M549" s="105" t="n">
        <v>0.93</v>
      </c>
      <c r="N549" s="104" t="n">
        <v>1.01</v>
      </c>
      <c r="O549" s="104" t="n">
        <v>1.64</v>
      </c>
      <c r="P549" s="104" t="n">
        <v>1.57</v>
      </c>
      <c r="Q549" s="104" t="n">
        <v>1.64</v>
      </c>
      <c r="R549" s="104" t="n">
        <v>0.07000000000000001</v>
      </c>
      <c r="S549" s="104" t="n">
        <v>1</v>
      </c>
      <c r="T549" s="104" t="n">
        <v>1</v>
      </c>
      <c r="U549" s="104" t="n">
        <v>0.07000000000000001</v>
      </c>
      <c r="V549" s="104" t="n">
        <v>0.06</v>
      </c>
      <c r="W549" s="104" t="n">
        <v>2.33</v>
      </c>
      <c r="X549" s="105" t="n">
        <v>0.01</v>
      </c>
      <c r="Y549" s="105" t="n">
        <v>0</v>
      </c>
      <c r="Z549" s="105" t="n">
        <v>21.42</v>
      </c>
      <c r="AA549" s="105" t="n">
        <v>0.01</v>
      </c>
      <c r="AB549" s="105" t="n">
        <v>-0.3</v>
      </c>
      <c r="AC549" s="104" t="n">
        <v>-0.1</v>
      </c>
      <c r="AD549" s="104" t="n">
        <v>-0.1</v>
      </c>
      <c r="AE549" s="104" t="n">
        <v>0.05</v>
      </c>
      <c r="AF549" s="104" t="n">
        <v>0.65</v>
      </c>
      <c r="AG549" s="104" t="n">
        <v>0.1</v>
      </c>
      <c r="AH549" s="104" t="n">
        <v>0.74</v>
      </c>
      <c r="AI549" s="104" t="n">
        <v>0.93</v>
      </c>
      <c r="AJ549" s="104" t="n">
        <v>2.68</v>
      </c>
      <c r="AK549" s="106" t="inlineStr">
        <is>
          <t>Grey</t>
        </is>
      </c>
      <c r="AL549" s="104" t="n">
        <v>0.05</v>
      </c>
      <c r="AM549" s="104" t="n">
        <v>0.65</v>
      </c>
      <c r="AN549" s="104" t="n">
        <v>0.1</v>
      </c>
      <c r="AO549" s="104" t="n">
        <v>0.74</v>
      </c>
      <c r="AP549" s="104" t="n">
        <v>0.93</v>
      </c>
      <c r="AQ549" s="103" t="n">
        <v>2.14</v>
      </c>
      <c r="AR549" s="103" t="inlineStr">
        <is>
          <t>Grey</t>
        </is>
      </c>
      <c r="AS549" s="104" t="n">
        <v>0.05</v>
      </c>
      <c r="AT549" s="104" t="n">
        <v>0.65</v>
      </c>
      <c r="AU549" s="104" t="n">
        <v>0.1</v>
      </c>
      <c r="AV549" s="104" t="n">
        <v>0.74</v>
      </c>
      <c r="AW549" s="103" t="n">
        <v>3.91</v>
      </c>
      <c r="AX549" s="103" t="inlineStr">
        <is>
          <t>Safe</t>
        </is>
      </c>
      <c r="AY549" s="104" t="n">
        <v>0.05</v>
      </c>
      <c r="AZ549" s="104" t="n">
        <v>0.1</v>
      </c>
      <c r="BA549" s="104" t="n">
        <v>1.27</v>
      </c>
      <c r="BB549" s="104" t="n">
        <v>0.93</v>
      </c>
      <c r="BC549" s="103" t="n">
        <v>1.57</v>
      </c>
      <c r="BD549" s="103" t="inlineStr">
        <is>
          <t>Healthy</t>
        </is>
      </c>
      <c r="BE549" s="104" t="n">
        <v>0.07000000000000001</v>
      </c>
      <c r="BF549" s="104" t="n">
        <v>1</v>
      </c>
      <c r="BG549" s="104" t="n">
        <v>1.64</v>
      </c>
      <c r="BH549" s="104" t="n">
        <v>1.02</v>
      </c>
      <c r="BI549" s="103" t="n">
        <v>0.73</v>
      </c>
      <c r="BJ549" s="103" t="inlineStr">
        <is>
          <t>Distress</t>
        </is>
      </c>
      <c r="BK549" s="103" t="n">
        <v>1</v>
      </c>
      <c r="BL549" s="103" t="n">
        <v>1</v>
      </c>
      <c r="BM549" s="103" t="n">
        <v>0</v>
      </c>
      <c r="BN549" s="103" t="n">
        <v>1</v>
      </c>
      <c r="BO549" s="103" t="n">
        <v>1</v>
      </c>
      <c r="BP549" s="103" t="n">
        <v>1</v>
      </c>
      <c r="BQ549" s="103" t="n">
        <v>0</v>
      </c>
      <c r="BR549" s="103" t="n">
        <v>0</v>
      </c>
      <c r="BS549" s="103" t="n">
        <v>0</v>
      </c>
      <c r="BT549" s="103" t="n">
        <v>5</v>
      </c>
      <c r="BU549" s="103" t="inlineStr">
        <is>
          <t>Mixed</t>
        </is>
      </c>
      <c r="BV549" s="104" t="n">
        <v>1.02</v>
      </c>
      <c r="BW549" s="113" t="inlineStr">
        <is>
          <t>N/A</t>
        </is>
      </c>
      <c r="BX549" s="104" t="n">
        <v>1.06</v>
      </c>
      <c r="BY549" s="104" t="n">
        <v>1.01</v>
      </c>
      <c r="BZ549" s="104" t="n">
        <v>0.9399999999999999</v>
      </c>
      <c r="CA549" s="113" t="inlineStr">
        <is>
          <t>N/A</t>
        </is>
      </c>
      <c r="CB549" s="104" t="n">
        <v>1</v>
      </c>
      <c r="CC549" s="104" t="n">
        <v>-0.1</v>
      </c>
      <c r="CD549" s="113" t="inlineStr">
        <is>
          <t>N/A</t>
        </is>
      </c>
      <c r="CE549" s="113" t="inlineStr">
        <is>
          <t>N/A</t>
        </is>
      </c>
      <c r="CF549" s="104" t="n">
        <v>0.25</v>
      </c>
      <c r="CG549" s="104" t="n">
        <v>50.44</v>
      </c>
      <c r="CH549" s="103" t="n">
        <v>0</v>
      </c>
      <c r="CI549" s="103" t="inlineStr">
        <is>
          <t>CLEAR</t>
        </is>
      </c>
    </row>
    <row r="550" ht="17" customHeight="1">
      <c r="A550" s="107" t="inlineStr">
        <is>
          <t>CSX</t>
        </is>
      </c>
      <c r="B550" s="107" t="inlineStr">
        <is>
          <t>CSX CORPORATION</t>
        </is>
      </c>
      <c r="C550" s="108" t="n">
        <v>-583000000</v>
      </c>
      <c r="D550" s="109" t="n">
        <v>0.43</v>
      </c>
      <c r="E550" s="109" t="n">
        <v>0.35</v>
      </c>
      <c r="F550" s="109" t="n">
        <v>0.27</v>
      </c>
      <c r="G550" s="109" t="n">
        <v>0.07000000000000001</v>
      </c>
      <c r="H550" s="109" t="n">
        <v>0.08</v>
      </c>
      <c r="I550" s="109" t="n">
        <v>0.22</v>
      </c>
      <c r="J550" s="109" t="n">
        <v>0.11</v>
      </c>
      <c r="K550" s="109" t="n">
        <v>0.31</v>
      </c>
      <c r="L550" s="109" t="n">
        <v>-1.75</v>
      </c>
      <c r="M550" s="109" t="n">
        <v>0.24</v>
      </c>
      <c r="N550" s="108" t="n">
        <v>0.07000000000000001</v>
      </c>
      <c r="O550" s="108" t="n">
        <v>0.8100000000000001</v>
      </c>
      <c r="P550" s="108" t="n">
        <v>0.86</v>
      </c>
      <c r="Q550" s="108" t="n">
        <v>0.8100000000000001</v>
      </c>
      <c r="R550" s="108" t="n">
        <v>0.62</v>
      </c>
      <c r="S550" s="108" t="n">
        <v>0.7</v>
      </c>
      <c r="T550" s="108" t="n">
        <v>0.71</v>
      </c>
      <c r="U550" s="108" t="n">
        <v>0.75</v>
      </c>
      <c r="V550" s="108" t="n">
        <v>0.6</v>
      </c>
      <c r="W550" s="108" t="n">
        <v>1.6</v>
      </c>
      <c r="X550" s="109" t="n">
        <v>0.16</v>
      </c>
      <c r="Y550" s="109" t="n">
        <v>0</v>
      </c>
      <c r="Z550" s="109" t="n">
        <v>8.279999999999999</v>
      </c>
      <c r="AA550" s="109" t="n">
        <v>2.78</v>
      </c>
      <c r="AB550" s="109" t="n">
        <v>-0.17</v>
      </c>
      <c r="AC550" s="108" t="n">
        <v>-0.04</v>
      </c>
      <c r="AD550" s="108" t="n">
        <v>-0.04</v>
      </c>
      <c r="AE550" s="108" t="n">
        <v>-0.01</v>
      </c>
      <c r="AF550" s="108" t="n">
        <v>0.24</v>
      </c>
      <c r="AG550" s="108" t="n">
        <v>0.1</v>
      </c>
      <c r="AH550" s="108" t="n">
        <v>0.43</v>
      </c>
      <c r="AI550" s="108" t="n">
        <v>0.24</v>
      </c>
      <c r="AJ550" s="108" t="n">
        <v>1.17</v>
      </c>
      <c r="AK550" s="112" t="inlineStr">
        <is>
          <t>Distress</t>
        </is>
      </c>
      <c r="AL550" s="108" t="n">
        <v>-0.01</v>
      </c>
      <c r="AM550" s="108" t="n">
        <v>0.24</v>
      </c>
      <c r="AN550" s="108" t="n">
        <v>0.1</v>
      </c>
      <c r="AO550" s="108" t="n">
        <v>0.43</v>
      </c>
      <c r="AP550" s="108" t="n">
        <v>0.24</v>
      </c>
      <c r="AQ550" s="107" t="n">
        <v>0.9399999999999999</v>
      </c>
      <c r="AR550" s="107" t="inlineStr">
        <is>
          <t>Distress</t>
        </is>
      </c>
      <c r="AS550" s="108" t="n">
        <v>-0.01</v>
      </c>
      <c r="AT550" s="108" t="n">
        <v>0.24</v>
      </c>
      <c r="AU550" s="108" t="n">
        <v>0.1</v>
      </c>
      <c r="AV550" s="108" t="n">
        <v>0.43</v>
      </c>
      <c r="AW550" s="107" t="n">
        <v>1.85</v>
      </c>
      <c r="AX550" s="107" t="inlineStr">
        <is>
          <t>Grey</t>
        </is>
      </c>
      <c r="AY550" s="108" t="n">
        <v>-0.01</v>
      </c>
      <c r="AZ550" s="108" t="n">
        <v>0.1</v>
      </c>
      <c r="BA550" s="108" t="n">
        <v>1.2</v>
      </c>
      <c r="BB550" s="108" t="n">
        <v>0.24</v>
      </c>
      <c r="BC550" s="107" t="n">
        <v>1.2</v>
      </c>
      <c r="BD550" s="107" t="inlineStr">
        <is>
          <t>Healthy</t>
        </is>
      </c>
      <c r="BE550" s="108" t="n">
        <v>0.07000000000000001</v>
      </c>
      <c r="BF550" s="108" t="n">
        <v>0.7</v>
      </c>
      <c r="BG550" s="108" t="n">
        <v>0.8100000000000001</v>
      </c>
      <c r="BH550" s="108" t="n">
        <v>-0.66</v>
      </c>
      <c r="BI550" s="107" t="n">
        <v>0.34</v>
      </c>
      <c r="BJ550" s="107" t="inlineStr">
        <is>
          <t>Healthy</t>
        </is>
      </c>
      <c r="BK550" s="107" t="n">
        <v>1</v>
      </c>
      <c r="BL550" s="107" t="n">
        <v>1</v>
      </c>
      <c r="BM550" s="107" t="n">
        <v>0</v>
      </c>
      <c r="BN550" s="107" t="n">
        <v>1</v>
      </c>
      <c r="BO550" s="107" t="n">
        <v>0</v>
      </c>
      <c r="BP550" s="107" t="n">
        <v>0</v>
      </c>
      <c r="BQ550" s="107" t="n">
        <v>1</v>
      </c>
      <c r="BR550" s="107" t="n">
        <v>1</v>
      </c>
      <c r="BS550" s="107" t="n">
        <v>1</v>
      </c>
      <c r="BT550" s="107" t="n">
        <v>6</v>
      </c>
      <c r="BU550" s="107" t="inlineStr">
        <is>
          <t>Mixed</t>
        </is>
      </c>
      <c r="BV550" s="108" t="n">
        <v>0.26</v>
      </c>
      <c r="BW550" s="108" t="n">
        <v>-5.71</v>
      </c>
      <c r="BX550" s="108" t="n">
        <v>0.99</v>
      </c>
      <c r="BY550" s="108" t="n">
        <v>3.78</v>
      </c>
      <c r="BZ550" s="108" t="n">
        <v>1.02</v>
      </c>
      <c r="CA550" s="111" t="inlineStr">
        <is>
          <t>N/A</t>
        </is>
      </c>
      <c r="CB550" s="108" t="n">
        <v>0.99</v>
      </c>
      <c r="CC550" s="108" t="n">
        <v>-0.04</v>
      </c>
      <c r="CD550" s="107" t="n">
        <v>-4.24</v>
      </c>
      <c r="CE550" s="107" t="inlineStr">
        <is>
          <t>Lower Risk</t>
        </is>
      </c>
      <c r="CF550" s="108" t="n">
        <v>1.27</v>
      </c>
      <c r="CG550" s="108" t="n">
        <v>50.13</v>
      </c>
      <c r="CH550" s="107" t="n">
        <v>0</v>
      </c>
      <c r="CI550" s="107" t="inlineStr">
        <is>
          <t>CLEAR</t>
        </is>
      </c>
    </row>
    <row r="551" ht="17" customHeight="1">
      <c r="A551" s="103" t="inlineStr">
        <is>
          <t>GD</t>
        </is>
      </c>
      <c r="B551" s="103" t="inlineStr">
        <is>
          <t>GENERAL DYNAMICS CORP</t>
        </is>
      </c>
      <c r="C551" s="104" t="n">
        <v>7452000000</v>
      </c>
      <c r="D551" s="105" t="n">
        <v>0.1</v>
      </c>
      <c r="E551" s="105" t="n">
        <v>0.1</v>
      </c>
      <c r="F551" s="105" t="n">
        <v>0.08</v>
      </c>
      <c r="G551" s="105" t="n">
        <v>0.07000000000000001</v>
      </c>
      <c r="H551" s="105" t="n">
        <v>0.07000000000000001</v>
      </c>
      <c r="I551" s="105" t="n">
        <v>0.16</v>
      </c>
      <c r="J551" s="105" t="n">
        <v>0.13</v>
      </c>
      <c r="K551" s="105" t="n">
        <v>0.39</v>
      </c>
      <c r="L551" s="105" t="n">
        <v>0.38</v>
      </c>
      <c r="M551" s="105" t="n">
        <v>0.92</v>
      </c>
      <c r="N551" s="104" t="n">
        <v>0.85</v>
      </c>
      <c r="O551" s="104" t="n">
        <v>1.44</v>
      </c>
      <c r="P551" s="104" t="n">
        <v>1.37</v>
      </c>
      <c r="Q551" s="104" t="n">
        <v>0.89</v>
      </c>
      <c r="R551" s="104" t="n">
        <v>0.14</v>
      </c>
      <c r="S551" s="104" t="n">
        <v>1</v>
      </c>
      <c r="T551" s="104" t="n">
        <v>1</v>
      </c>
      <c r="U551" s="104" t="n">
        <v>0.35</v>
      </c>
      <c r="V551" s="104" t="n">
        <v>0.26</v>
      </c>
      <c r="W551" s="104" t="n">
        <v>1.22</v>
      </c>
      <c r="X551" s="105" t="n">
        <v>0.08</v>
      </c>
      <c r="Y551" s="105" t="n">
        <v>0.03</v>
      </c>
      <c r="Z551" s="105" t="n">
        <v>13.42</v>
      </c>
      <c r="AA551" s="105" t="n">
        <v>0.1</v>
      </c>
      <c r="AB551" s="105" t="n">
        <v>0.11</v>
      </c>
      <c r="AC551" s="104" t="n">
        <v>-0.02</v>
      </c>
      <c r="AD551" s="104" t="n">
        <v>-0.02</v>
      </c>
      <c r="AE551" s="104" t="n">
        <v>0.13</v>
      </c>
      <c r="AF551" s="104" t="n">
        <v>0.77</v>
      </c>
      <c r="AG551" s="104" t="n">
        <v>0.09</v>
      </c>
      <c r="AH551" s="104" t="n">
        <v>0.45</v>
      </c>
      <c r="AI551" s="104" t="n">
        <v>0.92</v>
      </c>
      <c r="AJ551" s="104" t="n">
        <v>2.73</v>
      </c>
      <c r="AK551" s="106" t="inlineStr">
        <is>
          <t>Grey</t>
        </is>
      </c>
      <c r="AL551" s="104" t="n">
        <v>0.13</v>
      </c>
      <c r="AM551" s="104" t="n">
        <v>0.77</v>
      </c>
      <c r="AN551" s="104" t="n">
        <v>0.09</v>
      </c>
      <c r="AO551" s="104" t="n">
        <v>0.45</v>
      </c>
      <c r="AP551" s="104" t="n">
        <v>0.92</v>
      </c>
      <c r="AQ551" s="103" t="n">
        <v>2.14</v>
      </c>
      <c r="AR551" s="103" t="inlineStr">
        <is>
          <t>Grey</t>
        </is>
      </c>
      <c r="AS551" s="104" t="n">
        <v>0.13</v>
      </c>
      <c r="AT551" s="104" t="n">
        <v>0.77</v>
      </c>
      <c r="AU551" s="104" t="n">
        <v>0.09</v>
      </c>
      <c r="AV551" s="104" t="n">
        <v>0.45</v>
      </c>
      <c r="AW551" s="103" t="n">
        <v>4.46</v>
      </c>
      <c r="AX551" s="103" t="inlineStr">
        <is>
          <t>Safe</t>
        </is>
      </c>
      <c r="AY551" s="104" t="n">
        <v>0.13</v>
      </c>
      <c r="AZ551" s="104" t="n">
        <v>0.09</v>
      </c>
      <c r="BA551" s="104" t="n">
        <v>0.3</v>
      </c>
      <c r="BB551" s="104" t="n">
        <v>0.92</v>
      </c>
      <c r="BC551" s="103" t="n">
        <v>0.99</v>
      </c>
      <c r="BD551" s="103" t="inlineStr">
        <is>
          <t>Healthy</t>
        </is>
      </c>
      <c r="BE551" s="104" t="n">
        <v>0.07000000000000001</v>
      </c>
      <c r="BF551" s="104" t="n">
        <v>1</v>
      </c>
      <c r="BG551" s="104" t="n">
        <v>1.44</v>
      </c>
      <c r="BH551" s="104" t="n">
        <v>1.02</v>
      </c>
      <c r="BI551" s="103" t="n">
        <v>0.73</v>
      </c>
      <c r="BJ551" s="103" t="inlineStr">
        <is>
          <t>Distress</t>
        </is>
      </c>
      <c r="BK551" s="103" t="n">
        <v>1</v>
      </c>
      <c r="BL551" s="103" t="n">
        <v>1</v>
      </c>
      <c r="BM551" s="103" t="n">
        <v>1</v>
      </c>
      <c r="BN551" s="103" t="n">
        <v>1</v>
      </c>
      <c r="BO551" s="103" t="n">
        <v>1</v>
      </c>
      <c r="BP551" s="103" t="n">
        <v>1</v>
      </c>
      <c r="BQ551" s="103" t="n">
        <v>0</v>
      </c>
      <c r="BR551" s="103" t="n">
        <v>1</v>
      </c>
      <c r="BS551" s="103" t="n">
        <v>1</v>
      </c>
      <c r="BT551" s="103" t="n">
        <v>8</v>
      </c>
      <c r="BU551" s="103" t="inlineStr">
        <is>
          <t>Strong</t>
        </is>
      </c>
      <c r="BV551" s="104" t="n">
        <v>0.73</v>
      </c>
      <c r="BW551" s="104" t="n">
        <v>0.99</v>
      </c>
      <c r="BX551" s="104" t="n">
        <v>0.99</v>
      </c>
      <c r="BY551" s="104" t="n">
        <v>1.1</v>
      </c>
      <c r="BZ551" s="104" t="n">
        <v>1.1</v>
      </c>
      <c r="CA551" s="104" t="n">
        <v>0.92</v>
      </c>
      <c r="CB551" s="104" t="n">
        <v>1</v>
      </c>
      <c r="CC551" s="104" t="n">
        <v>-0.02</v>
      </c>
      <c r="CD551" s="103" t="n">
        <v>-2.69</v>
      </c>
      <c r="CE551" s="103" t="inlineStr">
        <is>
          <t>Lower Risk</t>
        </is>
      </c>
      <c r="CF551" s="104" t="n">
        <v>1.07</v>
      </c>
      <c r="CG551" s="104" t="n">
        <v>62.1</v>
      </c>
      <c r="CH551" s="103" t="n">
        <v>0</v>
      </c>
      <c r="CI551" s="103" t="inlineStr">
        <is>
          <t>CLEAR</t>
        </is>
      </c>
    </row>
    <row r="552" ht="17" customHeight="1">
      <c r="A552" s="107" t="inlineStr">
        <is>
          <t>TMO</t>
        </is>
      </c>
      <c r="B552" s="107" t="inlineStr">
        <is>
          <t>THERMO FISHER SCIENTIFIC INC.</t>
        </is>
      </c>
      <c r="C552" s="108" t="n">
        <v>13518000000</v>
      </c>
      <c r="D552" s="109" t="n">
        <v>0.37</v>
      </c>
      <c r="E552" s="109" t="n">
        <v>0.35</v>
      </c>
      <c r="F552" s="109" t="n">
        <v>0.32</v>
      </c>
      <c r="G552" s="109" t="n">
        <v>0.06</v>
      </c>
      <c r="H552" s="109" t="n">
        <v>0.07000000000000001</v>
      </c>
      <c r="I552" s="109" t="n">
        <v>0.13</v>
      </c>
      <c r="J552" s="109" t="n">
        <v>0.08</v>
      </c>
      <c r="K552" s="109" t="n">
        <v>0.15</v>
      </c>
      <c r="L552" s="109" t="n">
        <v>0.46</v>
      </c>
      <c r="M552" s="109" t="n">
        <v>0.19</v>
      </c>
      <c r="N552" s="108" t="n">
        <v>0.06</v>
      </c>
      <c r="O552" s="108" t="n">
        <v>1.89</v>
      </c>
      <c r="P552" s="108" t="n">
        <v>1.66</v>
      </c>
      <c r="Q552" s="108" t="n">
        <v>1.53</v>
      </c>
      <c r="R552" s="108" t="n">
        <v>0.65</v>
      </c>
      <c r="S552" s="108" t="n">
        <v>1</v>
      </c>
      <c r="T552" s="108" t="n">
        <v>1</v>
      </c>
      <c r="U552" s="108" t="n">
        <v>0.75</v>
      </c>
      <c r="V552" s="108" t="n">
        <v>0.5600000000000001</v>
      </c>
      <c r="W552" s="108" t="n">
        <v>1.17</v>
      </c>
      <c r="X552" s="109" t="n">
        <v>0.3</v>
      </c>
      <c r="Y552" s="109" t="n">
        <v>0.07000000000000001</v>
      </c>
      <c r="Z552" s="109" t="n">
        <v>5.63</v>
      </c>
      <c r="AA552" s="109" t="n">
        <v>2.46</v>
      </c>
      <c r="AB552" s="109" t="n">
        <v>0.06</v>
      </c>
      <c r="AC552" s="108" t="n">
        <v>-0.01</v>
      </c>
      <c r="AD552" s="108" t="n">
        <v>-0.01</v>
      </c>
      <c r="AE552" s="108" t="n">
        <v>0.12</v>
      </c>
      <c r="AF552" s="108" t="n">
        <v>0.54</v>
      </c>
      <c r="AG552" s="108" t="n">
        <v>0.07000000000000001</v>
      </c>
      <c r="AH552" s="108" t="n">
        <v>0.48</v>
      </c>
      <c r="AI552" s="108" t="n">
        <v>0.19</v>
      </c>
      <c r="AJ552" s="108" t="n">
        <v>1.61</v>
      </c>
      <c r="AK552" s="112" t="inlineStr">
        <is>
          <t>Distress</t>
        </is>
      </c>
      <c r="AL552" s="108" t="n">
        <v>0.12</v>
      </c>
      <c r="AM552" s="108" t="n">
        <v>0.54</v>
      </c>
      <c r="AN552" s="108" t="n">
        <v>0.07000000000000001</v>
      </c>
      <c r="AO552" s="108" t="n">
        <v>0.48</v>
      </c>
      <c r="AP552" s="108" t="n">
        <v>0.19</v>
      </c>
      <c r="AQ552" s="107" t="n">
        <v>1.15</v>
      </c>
      <c r="AR552" s="107" t="inlineStr">
        <is>
          <t>Distress</t>
        </is>
      </c>
      <c r="AS552" s="108" t="n">
        <v>0.12</v>
      </c>
      <c r="AT552" s="108" t="n">
        <v>0.54</v>
      </c>
      <c r="AU552" s="108" t="n">
        <v>0.07000000000000001</v>
      </c>
      <c r="AV552" s="108" t="n">
        <v>0.48</v>
      </c>
      <c r="AW552" s="107" t="n">
        <v>3.53</v>
      </c>
      <c r="AX552" s="107" t="inlineStr">
        <is>
          <t>Safe</t>
        </is>
      </c>
      <c r="AY552" s="108" t="n">
        <v>0.12</v>
      </c>
      <c r="AZ552" s="108" t="n">
        <v>0.07000000000000001</v>
      </c>
      <c r="BA552" s="108" t="n">
        <v>0.48</v>
      </c>
      <c r="BB552" s="108" t="n">
        <v>0.19</v>
      </c>
      <c r="BC552" s="107" t="n">
        <v>0.73</v>
      </c>
      <c r="BD552" s="107" t="inlineStr">
        <is>
          <t>Distress</t>
        </is>
      </c>
      <c r="BE552" s="108" t="n">
        <v>0.06</v>
      </c>
      <c r="BF552" s="108" t="n">
        <v>1</v>
      </c>
      <c r="BG552" s="108" t="n">
        <v>1.89</v>
      </c>
      <c r="BH552" s="108" t="n">
        <v>1.08</v>
      </c>
      <c r="BI552" s="107" t="n">
        <v>0.75</v>
      </c>
      <c r="BJ552" s="107" t="inlineStr">
        <is>
          <t>Distress</t>
        </is>
      </c>
      <c r="BK552" s="107" t="n">
        <v>1</v>
      </c>
      <c r="BL552" s="107" t="n">
        <v>1</v>
      </c>
      <c r="BM552" s="107" t="n">
        <v>0</v>
      </c>
      <c r="BN552" s="107" t="n">
        <v>1</v>
      </c>
      <c r="BO552" s="107" t="n">
        <v>0</v>
      </c>
      <c r="BP552" s="107" t="n">
        <v>1</v>
      </c>
      <c r="BQ552" s="107" t="n">
        <v>0</v>
      </c>
      <c r="BR552" s="107" t="n">
        <v>0</v>
      </c>
      <c r="BS552" s="107" t="n">
        <v>1</v>
      </c>
      <c r="BT552" s="107" t="n">
        <v>5</v>
      </c>
      <c r="BU552" s="107" t="inlineStr">
        <is>
          <t>Mixed</t>
        </is>
      </c>
      <c r="BV552" s="108" t="n">
        <v>0.31</v>
      </c>
      <c r="BW552" s="108" t="n">
        <v>3.15</v>
      </c>
      <c r="BX552" s="108" t="n">
        <v>0.95</v>
      </c>
      <c r="BY552" s="108" t="n">
        <v>3.46</v>
      </c>
      <c r="BZ552" s="108" t="n">
        <v>1.01</v>
      </c>
      <c r="CA552" s="108" t="n">
        <v>0.29</v>
      </c>
      <c r="CB552" s="108" t="n">
        <v>1</v>
      </c>
      <c r="CC552" s="108" t="n">
        <v>-0.01</v>
      </c>
      <c r="CD552" s="107" t="n">
        <v>0.27</v>
      </c>
      <c r="CE552" s="107" t="inlineStr">
        <is>
          <t>Higher Risk</t>
        </is>
      </c>
      <c r="CF552" s="108" t="n">
        <v>3</v>
      </c>
      <c r="CG552" s="108" t="n">
        <v>41.98</v>
      </c>
      <c r="CH552" s="107" t="n">
        <v>20</v>
      </c>
      <c r="CI552" s="107" t="inlineStr">
        <is>
          <t>CLEAR</t>
        </is>
      </c>
    </row>
    <row r="553" ht="17" customHeight="1">
      <c r="A553" s="103" t="inlineStr">
        <is>
          <t>DAWN</t>
        </is>
      </c>
      <c r="B553" s="103" t="inlineStr">
        <is>
          <t>DAY ONE BIOPHARMACEUTICALS, INC.</t>
        </is>
      </c>
      <c r="C553" s="104" t="n">
        <v>424577000</v>
      </c>
      <c r="D553" s="105" t="n">
        <v>-0.8100000000000001</v>
      </c>
      <c r="E553" s="113" t="inlineStr">
        <is>
          <t>N/A</t>
        </is>
      </c>
      <c r="F553" s="105" t="n">
        <v>-0.68</v>
      </c>
      <c r="G553" s="105" t="n">
        <v>-0.21</v>
      </c>
      <c r="H553" s="105" t="n">
        <v>-184.15</v>
      </c>
      <c r="I553" s="105" t="n">
        <v>-0.24</v>
      </c>
      <c r="J553" s="105" t="n">
        <v>-0.29</v>
      </c>
      <c r="K553" s="105" t="n">
        <v>-0.8100000000000001</v>
      </c>
      <c r="L553" s="105" t="n">
        <v>-1.66</v>
      </c>
      <c r="M553" s="105" t="n">
        <v>0.31</v>
      </c>
      <c r="N553" s="104" t="n">
        <v>0.23</v>
      </c>
      <c r="O553" s="104" t="n">
        <v>8.02</v>
      </c>
      <c r="P553" s="104" t="n">
        <v>7.66</v>
      </c>
      <c r="Q553" s="104" t="n">
        <v>7.91</v>
      </c>
      <c r="R553" s="104" t="n">
        <v>3.26</v>
      </c>
      <c r="S553" s="104" t="n">
        <v>0.13</v>
      </c>
      <c r="T553" s="104" t="n">
        <v>0.14</v>
      </c>
      <c r="U553" s="113" t="inlineStr">
        <is>
          <t>N/A</t>
        </is>
      </c>
      <c r="V553" s="113" t="inlineStr">
        <is>
          <t>N/A</t>
        </is>
      </c>
      <c r="W553" s="104" t="n">
        <v>0.97</v>
      </c>
      <c r="X553" s="105" t="n">
        <v>-0.66</v>
      </c>
      <c r="Y553" s="105" t="n">
        <v>0.9399999999999999</v>
      </c>
      <c r="Z553" s="113" t="inlineStr">
        <is>
          <t>N/A</t>
        </is>
      </c>
      <c r="AA553" s="105" t="n">
        <v>0.21</v>
      </c>
      <c r="AB553" s="105" t="n">
        <v>-1</v>
      </c>
      <c r="AC553" s="104" t="n">
        <v>-0.01</v>
      </c>
      <c r="AD553" s="104" t="n">
        <v>-0.01</v>
      </c>
      <c r="AE553" s="104" t="n">
        <v>0.84</v>
      </c>
      <c r="AF553" s="104" t="n">
        <v>-1.3</v>
      </c>
      <c r="AG553" s="104" t="n">
        <v>-0.25</v>
      </c>
      <c r="AH553" s="104" t="n">
        <v>6.62</v>
      </c>
      <c r="AI553" s="104" t="n">
        <v>0.31</v>
      </c>
      <c r="AJ553" s="104" t="n">
        <v>2.63</v>
      </c>
      <c r="AK553" s="106" t="inlineStr">
        <is>
          <t>Grey</t>
        </is>
      </c>
      <c r="AL553" s="104" t="n">
        <v>0.84</v>
      </c>
      <c r="AM553" s="104" t="n">
        <v>-1.3</v>
      </c>
      <c r="AN553" s="104" t="n">
        <v>-0.25</v>
      </c>
      <c r="AO553" s="104" t="n">
        <v>6.62</v>
      </c>
      <c r="AP553" s="104" t="n">
        <v>0.31</v>
      </c>
      <c r="AQ553" s="103" t="n">
        <v>1.8</v>
      </c>
      <c r="AR553" s="103" t="inlineStr">
        <is>
          <t>Grey</t>
        </is>
      </c>
      <c r="AS553" s="104" t="n">
        <v>0.84</v>
      </c>
      <c r="AT553" s="104" t="n">
        <v>-1.3</v>
      </c>
      <c r="AU553" s="104" t="n">
        <v>-0.25</v>
      </c>
      <c r="AV553" s="104" t="n">
        <v>6.62</v>
      </c>
      <c r="AW553" s="103" t="n">
        <v>6.5</v>
      </c>
      <c r="AX553" s="103" t="inlineStr">
        <is>
          <t>Safe</t>
        </is>
      </c>
      <c r="AY553" s="104" t="n">
        <v>0.84</v>
      </c>
      <c r="AZ553" s="104" t="n">
        <v>-0.25</v>
      </c>
      <c r="BA553" s="113" t="inlineStr">
        <is>
          <t>N/A</t>
        </is>
      </c>
      <c r="BB553" s="104" t="n">
        <v>0.31</v>
      </c>
      <c r="BC553" s="113" t="inlineStr">
        <is>
          <t>N/A</t>
        </is>
      </c>
      <c r="BD553" s="113" t="inlineStr">
        <is>
          <t>N/A</t>
        </is>
      </c>
      <c r="BE553" s="104" t="n">
        <v>-0.21</v>
      </c>
      <c r="BF553" s="104" t="n">
        <v>0.13</v>
      </c>
      <c r="BG553" s="104" t="n">
        <v>8.02</v>
      </c>
      <c r="BH553" s="104" t="n">
        <v>-2.6</v>
      </c>
      <c r="BI553" s="103" t="n">
        <v>0.07000000000000001</v>
      </c>
      <c r="BJ553" s="103" t="inlineStr">
        <is>
          <t>Healthy</t>
        </is>
      </c>
      <c r="BK553" s="103" t="n">
        <v>0</v>
      </c>
      <c r="BL553" s="103" t="n">
        <v>0</v>
      </c>
      <c r="BM553" s="103" t="n">
        <v>1</v>
      </c>
      <c r="BN553" s="103" t="n">
        <v>1</v>
      </c>
      <c r="BO553" s="103" t="n">
        <v>0</v>
      </c>
      <c r="BP553" s="103" t="n">
        <v>1</v>
      </c>
      <c r="BQ553" s="103" t="n">
        <v>0</v>
      </c>
      <c r="BR553" s="103" t="n">
        <v>1</v>
      </c>
      <c r="BS553" s="103" t="n">
        <v>1</v>
      </c>
      <c r="BT553" s="103" t="n">
        <v>5</v>
      </c>
      <c r="BU553" s="103" t="inlineStr">
        <is>
          <t>Mixed</t>
        </is>
      </c>
      <c r="BV553" s="104" t="n">
        <v>1.6</v>
      </c>
      <c r="BW553" s="104" t="n">
        <v>2.05</v>
      </c>
      <c r="BX553" s="104" t="n">
        <v>1.3</v>
      </c>
      <c r="BY553" s="104" t="n">
        <v>1.21</v>
      </c>
      <c r="BZ553" s="104" t="n">
        <v>0.26</v>
      </c>
      <c r="CA553" s="104" t="n">
        <v>0.87</v>
      </c>
      <c r="CB553" s="104" t="n">
        <v>0.96</v>
      </c>
      <c r="CC553" s="104" t="n">
        <v>-0.01</v>
      </c>
      <c r="CD553" s="103" t="n">
        <v>-1.15</v>
      </c>
      <c r="CE553" s="103" t="inlineStr">
        <is>
          <t>Higher Risk</t>
        </is>
      </c>
      <c r="CF553" s="113" t="inlineStr">
        <is>
          <t>N/A</t>
        </is>
      </c>
      <c r="CG553" s="104" t="n">
        <v>47.47</v>
      </c>
      <c r="CH553" s="103" t="n">
        <v>20</v>
      </c>
      <c r="CI553" s="103" t="inlineStr">
        <is>
          <t>CLEAR</t>
        </is>
      </c>
    </row>
    <row r="554" ht="17" customHeight="1">
      <c r="A554" s="107" t="inlineStr">
        <is>
          <t>ELV</t>
        </is>
      </c>
      <c r="B554" s="107" t="inlineStr">
        <is>
          <t>ELEVANCE HEALTH, INC.</t>
        </is>
      </c>
      <c r="C554" s="108" t="n">
        <v>21966000000</v>
      </c>
      <c r="D554" s="109" t="n">
        <v>0.04</v>
      </c>
      <c r="E554" s="109" t="n">
        <v>0.03</v>
      </c>
      <c r="F554" s="109" t="n">
        <v>0.03</v>
      </c>
      <c r="G554" s="109" t="n">
        <v>0.05</v>
      </c>
      <c r="H554" s="109" t="n">
        <v>0.05</v>
      </c>
      <c r="I554" s="109" t="n">
        <v>0.13</v>
      </c>
      <c r="J554" s="109" t="n">
        <v>0.09</v>
      </c>
      <c r="K554" s="109" t="n">
        <v>0.89</v>
      </c>
      <c r="L554" s="109" t="n">
        <v>0.89</v>
      </c>
      <c r="M554" s="109" t="n">
        <v>1.64</v>
      </c>
      <c r="N554" s="108" t="n">
        <v>1.51</v>
      </c>
      <c r="O554" s="108" t="n">
        <v>1.54</v>
      </c>
      <c r="P554" s="108" t="n">
        <v>1.45</v>
      </c>
      <c r="Q554" s="108" t="n">
        <v>1.54</v>
      </c>
      <c r="R554" s="108" t="n">
        <v>0.23</v>
      </c>
      <c r="S554" s="108" t="n">
        <v>0.64</v>
      </c>
      <c r="T554" s="108" t="n">
        <v>0.65</v>
      </c>
      <c r="U554" s="108" t="n">
        <v>0.73</v>
      </c>
      <c r="V554" s="108" t="n">
        <v>0.51</v>
      </c>
      <c r="W554" s="108" t="n">
        <v>0.76</v>
      </c>
      <c r="X554" s="109" t="n">
        <v>0.02</v>
      </c>
      <c r="Y554" s="111" t="inlineStr">
        <is>
          <t>N/A</t>
        </is>
      </c>
      <c r="Z554" s="109" t="n">
        <v>6.99</v>
      </c>
      <c r="AA554" s="109" t="n">
        <v>0.12</v>
      </c>
      <c r="AB554" s="109" t="n">
        <v>-0.05</v>
      </c>
      <c r="AC554" s="108" t="n">
        <v>0.01</v>
      </c>
      <c r="AD554" s="108" t="n">
        <v>0.01</v>
      </c>
      <c r="AE554" s="108" t="n">
        <v>0.18</v>
      </c>
      <c r="AF554" s="108" t="n">
        <v>0.29</v>
      </c>
      <c r="AG554" s="108" t="n">
        <v>0.06</v>
      </c>
      <c r="AH554" s="108" t="n">
        <v>0.57</v>
      </c>
      <c r="AI554" s="108" t="n">
        <v>1.64</v>
      </c>
      <c r="AJ554" s="108" t="n">
        <v>2.8</v>
      </c>
      <c r="AK554" s="106" t="inlineStr">
        <is>
          <t>Grey</t>
        </is>
      </c>
      <c r="AL554" s="108" t="n">
        <v>0.18</v>
      </c>
      <c r="AM554" s="108" t="n">
        <v>0.29</v>
      </c>
      <c r="AN554" s="108" t="n">
        <v>0.06</v>
      </c>
      <c r="AO554" s="108" t="n">
        <v>0.57</v>
      </c>
      <c r="AP554" s="108" t="n">
        <v>1.64</v>
      </c>
      <c r="AQ554" s="107" t="n">
        <v>2.43</v>
      </c>
      <c r="AR554" s="107" t="inlineStr">
        <is>
          <t>Grey</t>
        </is>
      </c>
      <c r="AS554" s="108" t="n">
        <v>0.18</v>
      </c>
      <c r="AT554" s="108" t="n">
        <v>0.29</v>
      </c>
      <c r="AU554" s="108" t="n">
        <v>0.06</v>
      </c>
      <c r="AV554" s="108" t="n">
        <v>0.57</v>
      </c>
      <c r="AW554" s="107" t="n">
        <v>3.13</v>
      </c>
      <c r="AX554" s="107" t="inlineStr">
        <is>
          <t>Safe</t>
        </is>
      </c>
      <c r="AY554" s="108" t="n">
        <v>0.18</v>
      </c>
      <c r="AZ554" s="108" t="n">
        <v>0.06</v>
      </c>
      <c r="BA554" s="108" t="n">
        <v>0.16</v>
      </c>
      <c r="BB554" s="108" t="n">
        <v>1.64</v>
      </c>
      <c r="BC554" s="107" t="n">
        <v>1.13</v>
      </c>
      <c r="BD554" s="107" t="inlineStr">
        <is>
          <t>Healthy</t>
        </is>
      </c>
      <c r="BE554" s="108" t="n">
        <v>0.05</v>
      </c>
      <c r="BF554" s="108" t="n">
        <v>0.64</v>
      </c>
      <c r="BG554" s="108" t="n">
        <v>1.54</v>
      </c>
      <c r="BH554" s="108" t="n">
        <v>-0.92</v>
      </c>
      <c r="BI554" s="107" t="n">
        <v>0.29</v>
      </c>
      <c r="BJ554" s="107" t="inlineStr">
        <is>
          <t>Healthy</t>
        </is>
      </c>
      <c r="BK554" s="107" t="n">
        <v>1</v>
      </c>
      <c r="BL554" s="107" t="n">
        <v>1</v>
      </c>
      <c r="BM554" s="107" t="n">
        <v>0</v>
      </c>
      <c r="BN554" s="107" t="n">
        <v>0</v>
      </c>
      <c r="BO554" s="107" t="n">
        <v>1</v>
      </c>
      <c r="BP554" s="107" t="n">
        <v>1</v>
      </c>
      <c r="BQ554" s="107" t="n">
        <v>1</v>
      </c>
      <c r="BR554" s="107" t="n">
        <v>1</v>
      </c>
      <c r="BS554" s="107" t="n">
        <v>1</v>
      </c>
      <c r="BT554" s="107" t="n">
        <v>7</v>
      </c>
      <c r="BU554" s="107" t="inlineStr">
        <is>
          <t>Strong</t>
        </is>
      </c>
      <c r="BV554" s="111" t="inlineStr">
        <is>
          <t>N/A</t>
        </is>
      </c>
      <c r="BW554" s="108" t="n">
        <v>0.99</v>
      </c>
      <c r="BX554" s="108" t="n">
        <v>0.97</v>
      </c>
      <c r="BY554" s="108" t="n">
        <v>1.12</v>
      </c>
      <c r="BZ554" s="108" t="n">
        <v>1.12</v>
      </c>
      <c r="CA554" s="108" t="n">
        <v>0.93</v>
      </c>
      <c r="CB554" s="108" t="n">
        <v>0.99</v>
      </c>
      <c r="CC554" s="108" t="n">
        <v>0.01</v>
      </c>
      <c r="CD554" s="111" t="inlineStr">
        <is>
          <t>N/A</t>
        </is>
      </c>
      <c r="CE554" s="111" t="inlineStr">
        <is>
          <t>N/A</t>
        </is>
      </c>
      <c r="CF554" s="108" t="n">
        <v>3.09</v>
      </c>
      <c r="CG554" s="108" t="n">
        <v>59.42</v>
      </c>
      <c r="CH554" s="107" t="n">
        <v>0</v>
      </c>
      <c r="CI554" s="107" t="inlineStr">
        <is>
          <t>CLEAR</t>
        </is>
      </c>
    </row>
    <row r="555" ht="17" customHeight="1">
      <c r="A555" s="103" t="inlineStr">
        <is>
          <t>BIIB</t>
        </is>
      </c>
      <c r="B555" s="103" t="inlineStr">
        <is>
          <t>BIOGEN INC.</t>
        </is>
      </c>
      <c r="C555" s="104" t="n">
        <v>5624700000</v>
      </c>
      <c r="D555" s="105" t="n">
        <v>0.29</v>
      </c>
      <c r="E555" s="105" t="n">
        <v>0.16</v>
      </c>
      <c r="F555" s="105" t="n">
        <v>0.13</v>
      </c>
      <c r="G555" s="105" t="n">
        <v>0.04</v>
      </c>
      <c r="H555" s="105" t="n">
        <v>0.06</v>
      </c>
      <c r="I555" s="105" t="n">
        <v>0.09</v>
      </c>
      <c r="J555" s="105" t="n">
        <v>0.11</v>
      </c>
      <c r="K555" s="105" t="n">
        <v>1.18</v>
      </c>
      <c r="L555" s="105" t="n">
        <v>0.24</v>
      </c>
      <c r="M555" s="105" t="n">
        <v>0.34</v>
      </c>
      <c r="N555" s="104" t="n">
        <v>0.34</v>
      </c>
      <c r="O555" s="104" t="n">
        <v>2.68</v>
      </c>
      <c r="P555" s="104" t="n">
        <v>1.35</v>
      </c>
      <c r="Q555" s="104" t="n">
        <v>2.03</v>
      </c>
      <c r="R555" s="104" t="n">
        <v>0.87</v>
      </c>
      <c r="S555" s="104" t="n">
        <v>0.38</v>
      </c>
      <c r="T555" s="104" t="n">
        <v>0.4</v>
      </c>
      <c r="U555" s="104" t="n">
        <v>0.46</v>
      </c>
      <c r="V555" s="104" t="n">
        <v>0.26</v>
      </c>
      <c r="W555" s="104" t="n">
        <v>1.71</v>
      </c>
      <c r="X555" s="105" t="n">
        <v>0.21</v>
      </c>
      <c r="Y555" s="105" t="n">
        <v>0.13</v>
      </c>
      <c r="Z555" s="105" t="n">
        <v>10.62</v>
      </c>
      <c r="AA555" s="105" t="n">
        <v>0.02</v>
      </c>
      <c r="AB555" s="105" t="n">
        <v>-0.21</v>
      </c>
      <c r="AC555" s="104" t="n">
        <v>-0.03</v>
      </c>
      <c r="AD555" s="104" t="n">
        <v>-0.03</v>
      </c>
      <c r="AE555" s="104" t="n">
        <v>0.19</v>
      </c>
      <c r="AF555" s="104" t="n">
        <v>0.7</v>
      </c>
      <c r="AG555" s="104" t="n">
        <v>0.1</v>
      </c>
      <c r="AH555" s="104" t="n">
        <v>1.32</v>
      </c>
      <c r="AI555" s="104" t="n">
        <v>0.34</v>
      </c>
      <c r="AJ555" s="104" t="n">
        <v>2.66</v>
      </c>
      <c r="AK555" s="106" t="inlineStr">
        <is>
          <t>Grey</t>
        </is>
      </c>
      <c r="AL555" s="104" t="n">
        <v>0.19</v>
      </c>
      <c r="AM555" s="104" t="n">
        <v>0.7</v>
      </c>
      <c r="AN555" s="104" t="n">
        <v>0.1</v>
      </c>
      <c r="AO555" s="104" t="n">
        <v>1.32</v>
      </c>
      <c r="AP555" s="104" t="n">
        <v>0.34</v>
      </c>
      <c r="AQ555" s="103" t="n">
        <v>1.92</v>
      </c>
      <c r="AR555" s="103" t="inlineStr">
        <is>
          <t>Grey</t>
        </is>
      </c>
      <c r="AS555" s="104" t="n">
        <v>0.19</v>
      </c>
      <c r="AT555" s="104" t="n">
        <v>0.7</v>
      </c>
      <c r="AU555" s="104" t="n">
        <v>0.1</v>
      </c>
      <c r="AV555" s="104" t="n">
        <v>1.32</v>
      </c>
      <c r="AW555" s="103" t="n">
        <v>5.57</v>
      </c>
      <c r="AX555" s="103" t="inlineStr">
        <is>
          <t>Safe</t>
        </is>
      </c>
      <c r="AY555" s="104" t="n">
        <v>0.19</v>
      </c>
      <c r="AZ555" s="104" t="n">
        <v>0.1</v>
      </c>
      <c r="BA555" s="104" t="n">
        <v>0.46</v>
      </c>
      <c r="BB555" s="104" t="n">
        <v>0.34</v>
      </c>
      <c r="BC555" s="103" t="n">
        <v>0.93</v>
      </c>
      <c r="BD555" s="103" t="inlineStr">
        <is>
          <t>Healthy</t>
        </is>
      </c>
      <c r="BE555" s="104" t="n">
        <v>0.04</v>
      </c>
      <c r="BF555" s="104" t="n">
        <v>0.38</v>
      </c>
      <c r="BG555" s="104" t="n">
        <v>2.68</v>
      </c>
      <c r="BH555" s="104" t="n">
        <v>-2.37</v>
      </c>
      <c r="BI555" s="103" t="n">
        <v>0.09</v>
      </c>
      <c r="BJ555" s="103" t="inlineStr">
        <is>
          <t>Healthy</t>
        </is>
      </c>
      <c r="BK555" s="103" t="n">
        <v>1</v>
      </c>
      <c r="BL555" s="103" t="n">
        <v>1</v>
      </c>
      <c r="BM555" s="103" t="n">
        <v>0</v>
      </c>
      <c r="BN555" s="103" t="n">
        <v>1</v>
      </c>
      <c r="BO555" s="103" t="n">
        <v>1</v>
      </c>
      <c r="BP555" s="103" t="n">
        <v>1</v>
      </c>
      <c r="BQ555" s="103" t="n">
        <v>0</v>
      </c>
      <c r="BR555" s="103" t="n">
        <v>1</v>
      </c>
      <c r="BS555" s="103" t="n">
        <v>0</v>
      </c>
      <c r="BT555" s="103" t="n">
        <v>6</v>
      </c>
      <c r="BU555" s="103" t="inlineStr">
        <is>
          <t>Mixed</t>
        </is>
      </c>
      <c r="BV555" s="104" t="n">
        <v>0.93</v>
      </c>
      <c r="BW555" s="104" t="n">
        <v>0.21</v>
      </c>
      <c r="BX555" s="104" t="n">
        <v>0.95</v>
      </c>
      <c r="BY555" s="104" t="n">
        <v>1.02</v>
      </c>
      <c r="BZ555" s="104" t="n">
        <v>0.95</v>
      </c>
      <c r="CA555" s="104" t="n">
        <v>0.99</v>
      </c>
      <c r="CB555" s="104" t="n">
        <v>0.9399999999999999</v>
      </c>
      <c r="CC555" s="104" t="n">
        <v>-0.03</v>
      </c>
      <c r="CD555" s="103" t="n">
        <v>-3.09</v>
      </c>
      <c r="CE555" s="103" t="inlineStr">
        <is>
          <t>Lower Risk</t>
        </is>
      </c>
      <c r="CF555" s="104" t="n">
        <v>1.19</v>
      </c>
      <c r="CG555" s="104" t="n">
        <v>55.27</v>
      </c>
      <c r="CH555" s="103" t="n">
        <v>0</v>
      </c>
      <c r="CI555" s="103" t="inlineStr">
        <is>
          <t>CLEAR</t>
        </is>
      </c>
    </row>
    <row r="556" ht="17" customHeight="1">
      <c r="A556" s="107" t="inlineStr">
        <is>
          <t>FAF</t>
        </is>
      </c>
      <c r="B556" s="107" t="inlineStr">
        <is>
          <t>FIRST AMERICAN FINANCIAL CORPORATION</t>
        </is>
      </c>
      <c r="C556" s="111" t="inlineStr">
        <is>
          <t>N/A</t>
        </is>
      </c>
      <c r="D556" s="109" t="n">
        <v>0.11</v>
      </c>
      <c r="E556" s="109" t="n">
        <v>0.11</v>
      </c>
      <c r="F556" s="109" t="n">
        <v>0.08</v>
      </c>
      <c r="G556" s="109" t="n">
        <v>0.04</v>
      </c>
      <c r="H556" s="109" t="n">
        <v>0.01</v>
      </c>
      <c r="I556" s="109" t="n">
        <v>0.11</v>
      </c>
      <c r="J556" s="111" t="inlineStr">
        <is>
          <t>N/A</t>
        </is>
      </c>
      <c r="K556" s="109" t="n">
        <v>1</v>
      </c>
      <c r="L556" s="109" t="n">
        <v>1</v>
      </c>
      <c r="M556" s="109" t="n">
        <v>0.46</v>
      </c>
      <c r="N556" s="108" t="n">
        <v>0.41</v>
      </c>
      <c r="O556" s="111" t="inlineStr">
        <is>
          <t>N/A</t>
        </is>
      </c>
      <c r="P556" s="111" t="inlineStr">
        <is>
          <t>N/A</t>
        </is>
      </c>
      <c r="Q556" s="111" t="inlineStr">
        <is>
          <t>N/A</t>
        </is>
      </c>
      <c r="R556" s="111" t="inlineStr">
        <is>
          <t>N/A</t>
        </is>
      </c>
      <c r="S556" s="108" t="n">
        <v>0.66</v>
      </c>
      <c r="T556" s="108" t="n">
        <v>0.67</v>
      </c>
      <c r="U556" s="111" t="inlineStr">
        <is>
          <t>N/A</t>
        </is>
      </c>
      <c r="V556" s="111" t="inlineStr">
        <is>
          <t>N/A</t>
        </is>
      </c>
      <c r="W556" s="108" t="n">
        <v>1.53</v>
      </c>
      <c r="X556" s="109" t="n">
        <v>0.1</v>
      </c>
      <c r="Y556" s="109" t="n">
        <v>0</v>
      </c>
      <c r="Z556" s="109" t="n">
        <v>5.26</v>
      </c>
      <c r="AA556" s="109" t="n">
        <v>0.22</v>
      </c>
      <c r="AB556" s="109" t="n">
        <v>3.74</v>
      </c>
      <c r="AC556" s="108" t="n">
        <v>-0.02</v>
      </c>
      <c r="AD556" s="108" t="n">
        <v>-0.02</v>
      </c>
      <c r="AE556" s="111" t="inlineStr">
        <is>
          <t>N/A</t>
        </is>
      </c>
      <c r="AF556" s="108" t="n">
        <v>0.25</v>
      </c>
      <c r="AG556" s="108" t="n">
        <v>0.05</v>
      </c>
      <c r="AH556" s="108" t="n">
        <v>0.51</v>
      </c>
      <c r="AI556" s="108" t="n">
        <v>0.46</v>
      </c>
      <c r="AJ556" s="111" t="inlineStr">
        <is>
          <t>N/A</t>
        </is>
      </c>
      <c r="AK556" s="111" t="inlineStr">
        <is>
          <t>N/A</t>
        </is>
      </c>
      <c r="AL556" s="111" t="inlineStr">
        <is>
          <t>N/A</t>
        </is>
      </c>
      <c r="AM556" s="108" t="n">
        <v>0.25</v>
      </c>
      <c r="AN556" s="108" t="n">
        <v>0.05</v>
      </c>
      <c r="AO556" s="108" t="n">
        <v>0.51</v>
      </c>
      <c r="AP556" s="108" t="n">
        <v>0.46</v>
      </c>
      <c r="AQ556" s="111" t="inlineStr">
        <is>
          <t>N/A</t>
        </is>
      </c>
      <c r="AR556" s="111" t="inlineStr">
        <is>
          <t>N/A</t>
        </is>
      </c>
      <c r="AS556" s="111" t="inlineStr">
        <is>
          <t>N/A</t>
        </is>
      </c>
      <c r="AT556" s="108" t="n">
        <v>0.25</v>
      </c>
      <c r="AU556" s="108" t="n">
        <v>0.05</v>
      </c>
      <c r="AV556" s="108" t="n">
        <v>0.51</v>
      </c>
      <c r="AW556" s="111" t="inlineStr">
        <is>
          <t>N/A</t>
        </is>
      </c>
      <c r="AX556" s="111" t="inlineStr">
        <is>
          <t>N/A</t>
        </is>
      </c>
      <c r="AY556" s="111" t="inlineStr">
        <is>
          <t>N/A</t>
        </is>
      </c>
      <c r="AZ556" s="108" t="n">
        <v>0.05</v>
      </c>
      <c r="BA556" s="111" t="inlineStr">
        <is>
          <t>N/A</t>
        </is>
      </c>
      <c r="BB556" s="108" t="n">
        <v>0.46</v>
      </c>
      <c r="BC556" s="111" t="inlineStr">
        <is>
          <t>N/A</t>
        </is>
      </c>
      <c r="BD556" s="111" t="inlineStr">
        <is>
          <t>N/A</t>
        </is>
      </c>
      <c r="BE556" s="108" t="n">
        <v>0.04</v>
      </c>
      <c r="BF556" s="108" t="n">
        <v>0.66</v>
      </c>
      <c r="BG556" s="111" t="inlineStr">
        <is>
          <t>N/A</t>
        </is>
      </c>
      <c r="BH556" s="111" t="inlineStr">
        <is>
          <t>N/A</t>
        </is>
      </c>
      <c r="BI556" s="111" t="inlineStr">
        <is>
          <t>N/A</t>
        </is>
      </c>
      <c r="BJ556" s="111" t="inlineStr">
        <is>
          <t>N/A</t>
        </is>
      </c>
      <c r="BK556" s="107" t="n">
        <v>1</v>
      </c>
      <c r="BL556" s="107" t="n">
        <v>1</v>
      </c>
      <c r="BM556" s="107" t="n">
        <v>1</v>
      </c>
      <c r="BN556" s="107" t="n">
        <v>1</v>
      </c>
      <c r="BO556" s="107" t="n">
        <v>0</v>
      </c>
      <c r="BP556" s="107" t="n">
        <v>0</v>
      </c>
      <c r="BQ556" s="107" t="n">
        <v>1</v>
      </c>
      <c r="BR556" s="107" t="n">
        <v>0</v>
      </c>
      <c r="BS556" s="107" t="n">
        <v>1</v>
      </c>
      <c r="BT556" s="107" t="n">
        <v>6</v>
      </c>
      <c r="BU556" s="107" t="inlineStr">
        <is>
          <t>Mixed</t>
        </is>
      </c>
      <c r="BV556" s="111" t="inlineStr">
        <is>
          <t>N/A</t>
        </is>
      </c>
      <c r="BW556" s="108" t="n">
        <v>1</v>
      </c>
      <c r="BX556" s="108" t="n">
        <v>1.01</v>
      </c>
      <c r="BY556" s="108" t="n">
        <v>1.22</v>
      </c>
      <c r="BZ556" s="108" t="n">
        <v>0.9</v>
      </c>
      <c r="CA556" s="111" t="inlineStr">
        <is>
          <t>N/A</t>
        </is>
      </c>
      <c r="CB556" s="108" t="n">
        <v>0.99</v>
      </c>
      <c r="CC556" s="108" t="n">
        <v>-0.02</v>
      </c>
      <c r="CD556" s="111" t="inlineStr">
        <is>
          <t>N/A</t>
        </is>
      </c>
      <c r="CE556" s="111" t="inlineStr">
        <is>
          <t>N/A</t>
        </is>
      </c>
      <c r="CF556" s="111" t="inlineStr">
        <is>
          <t>N/A</t>
        </is>
      </c>
      <c r="CG556" s="108" t="n">
        <v>46.88</v>
      </c>
      <c r="CH556" s="107" t="n">
        <v>0</v>
      </c>
      <c r="CI556" s="107" t="inlineStr">
        <is>
          <t>CLEAR</t>
        </is>
      </c>
    </row>
    <row r="557" ht="17" customHeight="1">
      <c r="A557" s="103" t="inlineStr">
        <is>
          <t>AVGO</t>
        </is>
      </c>
      <c r="B557" s="103" t="inlineStr">
        <is>
          <t>Broadcom Inc.</t>
        </is>
      </c>
      <c r="C557" s="104" t="n">
        <v>13059000000</v>
      </c>
      <c r="D557" s="105" t="n">
        <v>1.22</v>
      </c>
      <c r="E557" s="105" t="n">
        <v>1.09</v>
      </c>
      <c r="F557" s="105" t="n">
        <v>0.28</v>
      </c>
      <c r="G557" s="105" t="n">
        <v>0.03</v>
      </c>
      <c r="H557" s="105" t="n">
        <v>0.09</v>
      </c>
      <c r="I557" s="105" t="n">
        <v>0.24</v>
      </c>
      <c r="J557" s="105" t="n">
        <v>0.17</v>
      </c>
      <c r="K557" s="105" t="n">
        <v>2.08</v>
      </c>
      <c r="L557" s="105" t="n">
        <v>5.97</v>
      </c>
      <c r="M557" s="105" t="n">
        <v>0.12</v>
      </c>
      <c r="N557" s="104" t="n">
        <v>0.03</v>
      </c>
      <c r="O557" s="104" t="n">
        <v>1.71</v>
      </c>
      <c r="P557" s="104" t="n">
        <v>1.17</v>
      </c>
      <c r="Q557" s="104" t="n">
        <v>1.58</v>
      </c>
      <c r="R557" s="104" t="n">
        <v>0.87</v>
      </c>
      <c r="S557" s="104" t="n">
        <v>0.52</v>
      </c>
      <c r="T557" s="104" t="n">
        <v>0.59</v>
      </c>
      <c r="U557" s="104" t="n">
        <v>1.72</v>
      </c>
      <c r="V557" s="104" t="n">
        <v>1.07</v>
      </c>
      <c r="W557" s="104" t="n">
        <v>4.67</v>
      </c>
      <c r="X557" s="105" t="n">
        <v>1.29</v>
      </c>
      <c r="Y557" s="105" t="n">
        <v>0.53</v>
      </c>
      <c r="Z557" s="105" t="n">
        <v>6.45</v>
      </c>
      <c r="AA557" s="105" t="n">
        <v>2.83</v>
      </c>
      <c r="AB557" s="105" t="n">
        <v>-0.58</v>
      </c>
      <c r="AC557" s="104" t="n">
        <v>-0.13</v>
      </c>
      <c r="AD557" s="104" t="n">
        <v>-0.13</v>
      </c>
      <c r="AE557" s="104" t="n">
        <v>0.08</v>
      </c>
      <c r="AF557" s="104" t="n">
        <v>0.06</v>
      </c>
      <c r="AG557" s="104" t="n">
        <v>0.15</v>
      </c>
      <c r="AH557" s="104" t="n">
        <v>0.28</v>
      </c>
      <c r="AI557" s="104" t="n">
        <v>0.12</v>
      </c>
      <c r="AJ557" s="104" t="n">
        <v>0.95</v>
      </c>
      <c r="AK557" s="112" t="inlineStr">
        <is>
          <t>Distress</t>
        </is>
      </c>
      <c r="AL557" s="104" t="n">
        <v>0.08</v>
      </c>
      <c r="AM557" s="104" t="n">
        <v>0.06</v>
      </c>
      <c r="AN557" s="104" t="n">
        <v>0.15</v>
      </c>
      <c r="AO557" s="104" t="n">
        <v>0.28</v>
      </c>
      <c r="AP557" s="104" t="n">
        <v>0.12</v>
      </c>
      <c r="AQ557" s="103" t="n">
        <v>0.8</v>
      </c>
      <c r="AR557" s="103" t="inlineStr">
        <is>
          <t>Distress</t>
        </is>
      </c>
      <c r="AS557" s="104" t="n">
        <v>0.08</v>
      </c>
      <c r="AT557" s="104" t="n">
        <v>0.06</v>
      </c>
      <c r="AU557" s="104" t="n">
        <v>0.15</v>
      </c>
      <c r="AV557" s="104" t="n">
        <v>0.28</v>
      </c>
      <c r="AW557" s="103" t="n">
        <v>1.98</v>
      </c>
      <c r="AX557" s="103" t="inlineStr">
        <is>
          <t>Grey</t>
        </is>
      </c>
      <c r="AY557" s="104" t="n">
        <v>0.08</v>
      </c>
      <c r="AZ557" s="104" t="n">
        <v>0.15</v>
      </c>
      <c r="BA557" s="104" t="n">
        <v>1.23</v>
      </c>
      <c r="BB557" s="104" t="n">
        <v>0.12</v>
      </c>
      <c r="BC557" s="103" t="n">
        <v>1.39</v>
      </c>
      <c r="BD557" s="103" t="inlineStr">
        <is>
          <t>Healthy</t>
        </is>
      </c>
      <c r="BE557" s="104" t="n">
        <v>0.03</v>
      </c>
      <c r="BF557" s="104" t="n">
        <v>0.52</v>
      </c>
      <c r="BG557" s="104" t="n">
        <v>1.71</v>
      </c>
      <c r="BH557" s="104" t="n">
        <v>-1.5</v>
      </c>
      <c r="BI557" s="103" t="n">
        <v>0.18</v>
      </c>
      <c r="BJ557" s="103" t="inlineStr">
        <is>
          <t>Healthy</t>
        </is>
      </c>
      <c r="BK557" s="103" t="n">
        <v>1</v>
      </c>
      <c r="BL557" s="103" t="n">
        <v>1</v>
      </c>
      <c r="BM557" s="103" t="n">
        <v>0</v>
      </c>
      <c r="BN557" s="103" t="n">
        <v>1</v>
      </c>
      <c r="BO557" s="103" t="n">
        <v>1</v>
      </c>
      <c r="BP557" s="103" t="n">
        <v>1</v>
      </c>
      <c r="BQ557" s="103" t="n">
        <v>0</v>
      </c>
      <c r="BR557" s="103" t="n">
        <v>0</v>
      </c>
      <c r="BS557" s="103" t="n">
        <v>1</v>
      </c>
      <c r="BT557" s="103" t="n">
        <v>6</v>
      </c>
      <c r="BU557" s="103" t="inlineStr">
        <is>
          <t>Mixed</t>
        </is>
      </c>
      <c r="BV557" s="104" t="n">
        <v>0.42</v>
      </c>
      <c r="BW557" s="104" t="n">
        <v>2.88</v>
      </c>
      <c r="BX557" s="104" t="n">
        <v>0.92</v>
      </c>
      <c r="BY557" s="104" t="n">
        <v>3.83</v>
      </c>
      <c r="BZ557" s="104" t="n">
        <v>1.03</v>
      </c>
      <c r="CA557" s="104" t="n">
        <v>0.22</v>
      </c>
      <c r="CB557" s="104" t="n">
        <v>0.89</v>
      </c>
      <c r="CC557" s="104" t="n">
        <v>-0.13</v>
      </c>
      <c r="CD557" s="103" t="n">
        <v>0.05</v>
      </c>
      <c r="CE557" s="103" t="inlineStr">
        <is>
          <t>Higher Risk</t>
        </is>
      </c>
      <c r="CF557" s="104" t="n">
        <v>1.02</v>
      </c>
      <c r="CG557" s="104" t="n">
        <v>45.5</v>
      </c>
      <c r="CH557" s="106" t="n">
        <v>40</v>
      </c>
      <c r="CI557" s="103" t="inlineStr">
        <is>
          <t>WATCH</t>
        </is>
      </c>
    </row>
    <row r="558" ht="17" customHeight="1">
      <c r="A558" s="107" t="inlineStr">
        <is>
          <t>FITB</t>
        </is>
      </c>
      <c r="B558" s="107" t="inlineStr">
        <is>
          <t>Fifth Third Bancorp</t>
        </is>
      </c>
      <c r="C558" s="111" t="inlineStr">
        <is>
          <t>N/A</t>
        </is>
      </c>
      <c r="D558" s="109" t="n">
        <v>5.56</v>
      </c>
      <c r="E558" s="109" t="n">
        <v>5.56</v>
      </c>
      <c r="F558" s="109" t="n">
        <v>4.37</v>
      </c>
      <c r="G558" s="109" t="n">
        <v>0.01</v>
      </c>
      <c r="H558" s="109" t="n">
        <v>0.01</v>
      </c>
      <c r="I558" s="109" t="n">
        <v>0.12</v>
      </c>
      <c r="J558" s="111" t="inlineStr">
        <is>
          <t>N/A</t>
        </is>
      </c>
      <c r="K558" s="109" t="n">
        <v>-0.02</v>
      </c>
      <c r="L558" s="109" t="n">
        <v>-0.02</v>
      </c>
      <c r="M558" s="109" t="n">
        <v>0</v>
      </c>
      <c r="N558" s="108" t="n">
        <v>0</v>
      </c>
      <c r="O558" s="111" t="inlineStr">
        <is>
          <t>N/A</t>
        </is>
      </c>
      <c r="P558" s="111" t="inlineStr">
        <is>
          <t>N/A</t>
        </is>
      </c>
      <c r="Q558" s="111" t="inlineStr">
        <is>
          <t>N/A</t>
        </is>
      </c>
      <c r="R558" s="111" t="inlineStr">
        <is>
          <t>N/A</t>
        </is>
      </c>
      <c r="S558" s="108" t="n">
        <v>0.9</v>
      </c>
      <c r="T558" s="108" t="n">
        <v>0.91</v>
      </c>
      <c r="U558" s="108" t="n">
        <v>0.67</v>
      </c>
      <c r="V558" s="108" t="n">
        <v>0.67</v>
      </c>
      <c r="W558" s="108" t="n">
        <v>1.79</v>
      </c>
      <c r="X558" s="109" t="n">
        <v>6.81</v>
      </c>
      <c r="Y558" s="109" t="n">
        <v>0</v>
      </c>
      <c r="Z558" s="109" t="n">
        <v>0.82</v>
      </c>
      <c r="AA558" s="109" t="n">
        <v>-0.02</v>
      </c>
      <c r="AB558" s="109" t="n">
        <v>0.09</v>
      </c>
      <c r="AC558" s="108" t="n">
        <v>-0.01</v>
      </c>
      <c r="AD558" s="108" t="n">
        <v>-0.01</v>
      </c>
      <c r="AE558" s="111" t="inlineStr">
        <is>
          <t>N/A</t>
        </is>
      </c>
      <c r="AF558" s="108" t="n">
        <v>0.12</v>
      </c>
      <c r="AG558" s="108" t="n">
        <v>0.01</v>
      </c>
      <c r="AH558" s="108" t="n">
        <v>0.11</v>
      </c>
      <c r="AI558" s="108" t="n">
        <v>0</v>
      </c>
      <c r="AJ558" s="111" t="inlineStr">
        <is>
          <t>N/A</t>
        </is>
      </c>
      <c r="AK558" s="111" t="inlineStr">
        <is>
          <t>N/A</t>
        </is>
      </c>
      <c r="AL558" s="111" t="inlineStr">
        <is>
          <t>N/A</t>
        </is>
      </c>
      <c r="AM558" s="108" t="n">
        <v>0.12</v>
      </c>
      <c r="AN558" s="108" t="n">
        <v>0.01</v>
      </c>
      <c r="AO558" s="108" t="n">
        <v>0.11</v>
      </c>
      <c r="AP558" s="108" t="n">
        <v>0</v>
      </c>
      <c r="AQ558" s="111" t="inlineStr">
        <is>
          <t>N/A</t>
        </is>
      </c>
      <c r="AR558" s="111" t="inlineStr">
        <is>
          <t>N/A</t>
        </is>
      </c>
      <c r="AS558" s="111" t="inlineStr">
        <is>
          <t>N/A</t>
        </is>
      </c>
      <c r="AT558" s="108" t="n">
        <v>0.12</v>
      </c>
      <c r="AU558" s="108" t="n">
        <v>0.01</v>
      </c>
      <c r="AV558" s="108" t="n">
        <v>0.11</v>
      </c>
      <c r="AW558" s="111" t="inlineStr">
        <is>
          <t>N/A</t>
        </is>
      </c>
      <c r="AX558" s="111" t="inlineStr">
        <is>
          <t>N/A</t>
        </is>
      </c>
      <c r="AY558" s="111" t="inlineStr">
        <is>
          <t>N/A</t>
        </is>
      </c>
      <c r="AZ558" s="108" t="n">
        <v>0.01</v>
      </c>
      <c r="BA558" s="111" t="inlineStr">
        <is>
          <t>N/A</t>
        </is>
      </c>
      <c r="BB558" s="108" t="n">
        <v>0</v>
      </c>
      <c r="BC558" s="111" t="inlineStr">
        <is>
          <t>N/A</t>
        </is>
      </c>
      <c r="BD558" s="111" t="inlineStr">
        <is>
          <t>N/A</t>
        </is>
      </c>
      <c r="BE558" s="108" t="n">
        <v>0.01</v>
      </c>
      <c r="BF558" s="108" t="n">
        <v>0.9</v>
      </c>
      <c r="BG558" s="111" t="inlineStr">
        <is>
          <t>N/A</t>
        </is>
      </c>
      <c r="BH558" s="111" t="inlineStr">
        <is>
          <t>N/A</t>
        </is>
      </c>
      <c r="BI558" s="111" t="inlineStr">
        <is>
          <t>N/A</t>
        </is>
      </c>
      <c r="BJ558" s="111" t="inlineStr">
        <is>
          <t>N/A</t>
        </is>
      </c>
      <c r="BK558" s="107" t="n">
        <v>1</v>
      </c>
      <c r="BL558" s="107" t="n">
        <v>1</v>
      </c>
      <c r="BM558" s="107" t="n">
        <v>1</v>
      </c>
      <c r="BN558" s="107" t="n">
        <v>1</v>
      </c>
      <c r="BO558" s="107" t="n">
        <v>1</v>
      </c>
      <c r="BP558" s="107" t="n">
        <v>0</v>
      </c>
      <c r="BQ558" s="107" t="n">
        <v>1</v>
      </c>
      <c r="BR558" s="107" t="n">
        <v>1</v>
      </c>
      <c r="BS558" s="107" t="n">
        <v>0</v>
      </c>
      <c r="BT558" s="107" t="n">
        <v>7</v>
      </c>
      <c r="BU558" s="107" t="inlineStr">
        <is>
          <t>Strong</t>
        </is>
      </c>
      <c r="BV558" s="111" t="inlineStr">
        <is>
          <t>N/A</t>
        </is>
      </c>
      <c r="BW558" s="111" t="inlineStr">
        <is>
          <t>N/A</t>
        </is>
      </c>
      <c r="BX558" s="108" t="n">
        <v>1</v>
      </c>
      <c r="BY558" s="108" t="n">
        <v>0.98</v>
      </c>
      <c r="BZ558" s="108" t="n">
        <v>1.36</v>
      </c>
      <c r="CA558" s="111" t="inlineStr">
        <is>
          <t>N/A</t>
        </is>
      </c>
      <c r="CB558" s="108" t="n">
        <v>0.99</v>
      </c>
      <c r="CC558" s="108" t="n">
        <v>-0.01</v>
      </c>
      <c r="CD558" s="111" t="inlineStr">
        <is>
          <t>N/A</t>
        </is>
      </c>
      <c r="CE558" s="111" t="inlineStr">
        <is>
          <t>N/A</t>
        </is>
      </c>
      <c r="CF558" s="108" t="n">
        <v>4.43</v>
      </c>
      <c r="CG558" s="108" t="n">
        <v>50.72</v>
      </c>
      <c r="CH558" s="107" t="n">
        <v>0</v>
      </c>
      <c r="CI558" s="107" t="inlineStr">
        <is>
          <t>CLEAR</t>
        </is>
      </c>
    </row>
    <row r="559" ht="17" customHeight="1">
      <c r="A559" s="103" t="inlineStr">
        <is>
          <t>FOLD</t>
        </is>
      </c>
      <c r="B559" s="103" t="inlineStr">
        <is>
          <t>AMICUS THERAPEUTICS, INC.</t>
        </is>
      </c>
      <c r="C559" s="104" t="n">
        <v>438345000</v>
      </c>
      <c r="D559" s="105" t="n">
        <v>0.05</v>
      </c>
      <c r="E559" s="105" t="n">
        <v>0</v>
      </c>
      <c r="F559" s="105" t="n">
        <v>-0.04</v>
      </c>
      <c r="G559" s="105" t="n">
        <v>-0.03</v>
      </c>
      <c r="H559" s="105" t="n">
        <v>-0.07000000000000001</v>
      </c>
      <c r="I559" s="105" t="n">
        <v>-0.1</v>
      </c>
      <c r="J559" s="105" t="n">
        <v>0.05</v>
      </c>
      <c r="K559" s="105" t="n">
        <v>0.89</v>
      </c>
      <c r="L559" s="105" t="n">
        <v>0.9</v>
      </c>
      <c r="M559" s="105" t="n">
        <v>0.67</v>
      </c>
      <c r="N559" s="104" t="n">
        <v>0.67</v>
      </c>
      <c r="O559" s="104" t="n">
        <v>2.84</v>
      </c>
      <c r="P559" s="104" t="n">
        <v>3.39</v>
      </c>
      <c r="Q559" s="104" t="n">
        <v>1.88</v>
      </c>
      <c r="R559" s="104" t="n">
        <v>0.9</v>
      </c>
      <c r="S559" s="104" t="n">
        <v>0.71</v>
      </c>
      <c r="T559" s="104" t="n">
        <v>0.75</v>
      </c>
      <c r="U559" s="104" t="n">
        <v>1.43</v>
      </c>
      <c r="V559" s="104" t="n">
        <v>0.65</v>
      </c>
      <c r="W559" s="104" t="n">
        <v>-1.22</v>
      </c>
      <c r="X559" s="105" t="n">
        <v>0.05</v>
      </c>
      <c r="Y559" s="105" t="n">
        <v>0.21</v>
      </c>
      <c r="Z559" s="105" t="n">
        <v>0.65</v>
      </c>
      <c r="AA559" s="105" t="n">
        <v>0.2</v>
      </c>
      <c r="AB559" s="105" t="n">
        <v>-0.52</v>
      </c>
      <c r="AC559" s="104" t="n">
        <v>-0.06</v>
      </c>
      <c r="AD559" s="104" t="n">
        <v>-0.06</v>
      </c>
      <c r="AE559" s="104" t="n">
        <v>0.46</v>
      </c>
      <c r="AF559" s="104" t="n">
        <v>-2.91</v>
      </c>
      <c r="AG559" s="104" t="n">
        <v>0.03</v>
      </c>
      <c r="AH559" s="104" t="n">
        <v>0.41</v>
      </c>
      <c r="AI559" s="104" t="n">
        <v>0.67</v>
      </c>
      <c r="AJ559" s="104" t="n">
        <v>-2.5</v>
      </c>
      <c r="AK559" s="112" t="inlineStr">
        <is>
          <t>Distress</t>
        </is>
      </c>
      <c r="AL559" s="104" t="n">
        <v>0.46</v>
      </c>
      <c r="AM559" s="104" t="n">
        <v>-2.91</v>
      </c>
      <c r="AN559" s="104" t="n">
        <v>0.03</v>
      </c>
      <c r="AO559" s="104" t="n">
        <v>0.41</v>
      </c>
      <c r="AP559" s="104" t="n">
        <v>0.67</v>
      </c>
      <c r="AQ559" s="103" t="n">
        <v>-1.19</v>
      </c>
      <c r="AR559" s="103" t="inlineStr">
        <is>
          <t>Distress</t>
        </is>
      </c>
      <c r="AS559" s="104" t="n">
        <v>0.46</v>
      </c>
      <c r="AT559" s="104" t="n">
        <v>-2.91</v>
      </c>
      <c r="AU559" s="104" t="n">
        <v>0.03</v>
      </c>
      <c r="AV559" s="104" t="n">
        <v>0.41</v>
      </c>
      <c r="AW559" s="103" t="n">
        <v>-5.81</v>
      </c>
      <c r="AX559" s="103" t="inlineStr">
        <is>
          <t>Distress</t>
        </is>
      </c>
      <c r="AY559" s="104" t="n">
        <v>0.46</v>
      </c>
      <c r="AZ559" s="104" t="n">
        <v>0.03</v>
      </c>
      <c r="BA559" s="104" t="n">
        <v>0</v>
      </c>
      <c r="BB559" s="104" t="n">
        <v>0.67</v>
      </c>
      <c r="BC559" s="103" t="n">
        <v>0.85</v>
      </c>
      <c r="BD559" s="103" t="inlineStr">
        <is>
          <t>Distress</t>
        </is>
      </c>
      <c r="BE559" s="104" t="n">
        <v>-0.03</v>
      </c>
      <c r="BF559" s="104" t="n">
        <v>0.71</v>
      </c>
      <c r="BG559" s="104" t="n">
        <v>2.84</v>
      </c>
      <c r="BH559" s="104" t="n">
        <v>-0.16</v>
      </c>
      <c r="BI559" s="103" t="n">
        <v>0.46</v>
      </c>
      <c r="BJ559" s="103" t="inlineStr">
        <is>
          <t>Healthy</t>
        </is>
      </c>
      <c r="BK559" s="103" t="n">
        <v>0</v>
      </c>
      <c r="BL559" s="103" t="n">
        <v>1</v>
      </c>
      <c r="BM559" s="103" t="n">
        <v>1</v>
      </c>
      <c r="BN559" s="103" t="n">
        <v>1</v>
      </c>
      <c r="BO559" s="103" t="n">
        <v>1</v>
      </c>
      <c r="BP559" s="103" t="n">
        <v>0</v>
      </c>
      <c r="BQ559" s="103" t="n">
        <v>0</v>
      </c>
      <c r="BR559" s="103" t="n">
        <v>0</v>
      </c>
      <c r="BS559" s="103" t="n">
        <v>0</v>
      </c>
      <c r="BT559" s="103" t="n">
        <v>4</v>
      </c>
      <c r="BU559" s="103" t="inlineStr">
        <is>
          <t>Mixed</t>
        </is>
      </c>
      <c r="BV559" s="104" t="n">
        <v>0.95</v>
      </c>
      <c r="BW559" s="104" t="n">
        <v>1.02</v>
      </c>
      <c r="BX559" s="104" t="n">
        <v>0.8100000000000001</v>
      </c>
      <c r="BY559" s="104" t="n">
        <v>1.2</v>
      </c>
      <c r="BZ559" s="104" t="n">
        <v>1.24</v>
      </c>
      <c r="CA559" s="104" t="n">
        <v>0.99</v>
      </c>
      <c r="CB559" s="104" t="n">
        <v>0.9399999999999999</v>
      </c>
      <c r="CC559" s="104" t="n">
        <v>-0.06</v>
      </c>
      <c r="CD559" s="103" t="n">
        <v>-2.66</v>
      </c>
      <c r="CE559" s="103" t="inlineStr">
        <is>
          <t>Lower Risk</t>
        </is>
      </c>
      <c r="CF559" s="104" t="n">
        <v>4.58</v>
      </c>
      <c r="CG559" s="104" t="n">
        <v>39.06</v>
      </c>
      <c r="CH559" s="103" t="n">
        <v>20</v>
      </c>
      <c r="CI559" s="103" t="inlineStr">
        <is>
          <t>CLEAR</t>
        </is>
      </c>
    </row>
    <row r="560" ht="17" customHeight="1">
      <c r="A560" s="107" t="inlineStr">
        <is>
          <t>TSN</t>
        </is>
      </c>
      <c r="B560" s="107" t="inlineStr">
        <is>
          <t>TYSON FOODS, INC.</t>
        </is>
      </c>
      <c r="C560" s="108" t="n">
        <v>3527000000</v>
      </c>
      <c r="D560" s="109" t="n">
        <v>0.02</v>
      </c>
      <c r="E560" s="109" t="n">
        <v>0.01</v>
      </c>
      <c r="F560" s="109" t="n">
        <v>0.01</v>
      </c>
      <c r="G560" s="109" t="n">
        <v>0.01</v>
      </c>
      <c r="H560" s="109" t="n">
        <v>0.02</v>
      </c>
      <c r="I560" s="109" t="n">
        <v>0.03</v>
      </c>
      <c r="J560" s="109" t="n">
        <v>0.04</v>
      </c>
      <c r="K560" s="109" t="n">
        <v>0.07000000000000001</v>
      </c>
      <c r="L560" s="109" t="n">
        <v>0.07000000000000001</v>
      </c>
      <c r="M560" s="109" t="n">
        <v>1.49</v>
      </c>
      <c r="N560" s="108" t="n">
        <v>1.44</v>
      </c>
      <c r="O560" s="108" t="n">
        <v>1.55</v>
      </c>
      <c r="P560" s="108" t="n">
        <v>2.04</v>
      </c>
      <c r="Q560" s="108" t="n">
        <v>0.66</v>
      </c>
      <c r="R560" s="108" t="n">
        <v>0.19</v>
      </c>
      <c r="S560" s="108" t="n">
        <v>1</v>
      </c>
      <c r="T560" s="108" t="n">
        <v>1</v>
      </c>
      <c r="U560" s="108" t="n">
        <v>0.05</v>
      </c>
      <c r="V560" s="108" t="n">
        <v>-0.02</v>
      </c>
      <c r="W560" s="108" t="n">
        <v>4.55</v>
      </c>
      <c r="X560" s="109" t="n">
        <v>0.02</v>
      </c>
      <c r="Y560" s="109" t="n">
        <v>0</v>
      </c>
      <c r="Z560" s="111" t="inlineStr">
        <is>
          <t>N/A</t>
        </is>
      </c>
      <c r="AA560" s="109" t="n">
        <v>0.02</v>
      </c>
      <c r="AB560" s="109" t="n">
        <v>-0.41</v>
      </c>
      <c r="AC560" s="108" t="n">
        <v>-0.05</v>
      </c>
      <c r="AD560" s="108" t="n">
        <v>-0.05</v>
      </c>
      <c r="AE560" s="108" t="n">
        <v>0.1</v>
      </c>
      <c r="AF560" s="108" t="n">
        <v>0.51</v>
      </c>
      <c r="AG560" s="108" t="n">
        <v>0.03</v>
      </c>
      <c r="AH560" s="108" t="n">
        <v>0.49</v>
      </c>
      <c r="AI560" s="108" t="n">
        <v>1.49</v>
      </c>
      <c r="AJ560" s="108" t="n">
        <v>2.71</v>
      </c>
      <c r="AK560" s="106" t="inlineStr">
        <is>
          <t>Grey</t>
        </is>
      </c>
      <c r="AL560" s="108" t="n">
        <v>0.1</v>
      </c>
      <c r="AM560" s="108" t="n">
        <v>0.51</v>
      </c>
      <c r="AN560" s="108" t="n">
        <v>0.03</v>
      </c>
      <c r="AO560" s="108" t="n">
        <v>0.49</v>
      </c>
      <c r="AP560" s="108" t="n">
        <v>1.49</v>
      </c>
      <c r="AQ560" s="107" t="n">
        <v>2.28</v>
      </c>
      <c r="AR560" s="107" t="inlineStr">
        <is>
          <t>Grey</t>
        </is>
      </c>
      <c r="AS560" s="108" t="n">
        <v>0.1</v>
      </c>
      <c r="AT560" s="108" t="n">
        <v>0.51</v>
      </c>
      <c r="AU560" s="108" t="n">
        <v>0.03</v>
      </c>
      <c r="AV560" s="108" t="n">
        <v>0.49</v>
      </c>
      <c r="AW560" s="107" t="n">
        <v>3.01</v>
      </c>
      <c r="AX560" s="107" t="inlineStr">
        <is>
          <t>Safe</t>
        </is>
      </c>
      <c r="AY560" s="108" t="n">
        <v>0.1</v>
      </c>
      <c r="AZ560" s="108" t="n">
        <v>0.03</v>
      </c>
      <c r="BA560" s="108" t="n">
        <v>0.12</v>
      </c>
      <c r="BB560" s="108" t="n">
        <v>1.49</v>
      </c>
      <c r="BC560" s="107" t="n">
        <v>0.86</v>
      </c>
      <c r="BD560" s="107" t="inlineStr">
        <is>
          <t>Healthy</t>
        </is>
      </c>
      <c r="BE560" s="108" t="n">
        <v>0.01</v>
      </c>
      <c r="BF560" s="108" t="n">
        <v>1</v>
      </c>
      <c r="BG560" s="108" t="n">
        <v>1.55</v>
      </c>
      <c r="BH560" s="108" t="n">
        <v>1.29</v>
      </c>
      <c r="BI560" s="107" t="n">
        <v>0.78</v>
      </c>
      <c r="BJ560" s="107" t="inlineStr">
        <is>
          <t>Distress</t>
        </is>
      </c>
      <c r="BK560" s="107" t="n">
        <v>1</v>
      </c>
      <c r="BL560" s="107" t="n">
        <v>1</v>
      </c>
      <c r="BM560" s="107" t="n">
        <v>0</v>
      </c>
      <c r="BN560" s="107" t="n">
        <v>1</v>
      </c>
      <c r="BO560" s="107" t="n">
        <v>0</v>
      </c>
      <c r="BP560" s="107" t="n">
        <v>0</v>
      </c>
      <c r="BQ560" s="107" t="n">
        <v>0</v>
      </c>
      <c r="BR560" s="107" t="n">
        <v>0</v>
      </c>
      <c r="BS560" s="107" t="n">
        <v>1</v>
      </c>
      <c r="BT560" s="107" t="n">
        <v>4</v>
      </c>
      <c r="BU560" s="107" t="inlineStr">
        <is>
          <t>Mixed</t>
        </is>
      </c>
      <c r="BV560" s="108" t="n">
        <v>1.03</v>
      </c>
      <c r="BW560" s="108" t="n">
        <v>1.04</v>
      </c>
      <c r="BX560" s="108" t="n">
        <v>0.99</v>
      </c>
      <c r="BY560" s="108" t="n">
        <v>1.02</v>
      </c>
      <c r="BZ560" s="108" t="n">
        <v>1</v>
      </c>
      <c r="CA560" s="108" t="n">
        <v>0.9399999999999999</v>
      </c>
      <c r="CB560" s="108" t="n">
        <v>1</v>
      </c>
      <c r="CC560" s="108" t="n">
        <v>-0.05</v>
      </c>
      <c r="CD560" s="107" t="n">
        <v>-2.62</v>
      </c>
      <c r="CE560" s="107" t="inlineStr">
        <is>
          <t>Lower Risk</t>
        </is>
      </c>
      <c r="CF560" s="108" t="n">
        <v>-0.13</v>
      </c>
      <c r="CG560" s="108" t="n">
        <v>47.04</v>
      </c>
      <c r="CH560" s="107" t="n">
        <v>0</v>
      </c>
      <c r="CI560" s="107" t="inlineStr">
        <is>
          <t>CLEAR</t>
        </is>
      </c>
    </row>
    <row r="561" ht="17" customHeight="1">
      <c r="A561" s="103" t="inlineStr">
        <is>
          <t>CRDO</t>
        </is>
      </c>
      <c r="B561" s="103" t="inlineStr">
        <is>
          <t>CREDO TECHNOLOGY GROUP HOLDING LTD</t>
        </is>
      </c>
      <c r="C561" s="104" t="n">
        <v>1803979000</v>
      </c>
      <c r="D561" s="105" t="n">
        <v>0.33</v>
      </c>
      <c r="E561" s="105" t="n">
        <v>0.36</v>
      </c>
      <c r="F561" s="105" t="n">
        <v>0.35</v>
      </c>
      <c r="G561" s="105" t="n">
        <v>0.21</v>
      </c>
      <c r="H561" s="105" t="n">
        <v>0.06</v>
      </c>
      <c r="I561" s="105" t="n">
        <v>0.23</v>
      </c>
      <c r="J561" s="105" t="n">
        <v>0.21</v>
      </c>
      <c r="K561" s="105" t="n">
        <v>0.68</v>
      </c>
      <c r="L561" s="105" t="n">
        <v>0.65</v>
      </c>
      <c r="M561" s="105" t="n">
        <v>0.58</v>
      </c>
      <c r="N561" s="104" t="n">
        <v>0.54</v>
      </c>
      <c r="O561" s="104" t="n">
        <v>10.15</v>
      </c>
      <c r="P561" s="104" t="n">
        <v>6.62</v>
      </c>
      <c r="Q561" s="104" t="n">
        <v>8.880000000000001</v>
      </c>
      <c r="R561" s="104" t="n">
        <v>5.91</v>
      </c>
      <c r="S561" s="104" t="n">
        <v>0.1</v>
      </c>
      <c r="T561" s="104" t="n">
        <v>0.16</v>
      </c>
      <c r="U561" s="113" t="inlineStr">
        <is>
          <t>N/A</t>
        </is>
      </c>
      <c r="V561" s="113" t="inlineStr">
        <is>
          <t>N/A</t>
        </is>
      </c>
      <c r="W561" s="104" t="n">
        <v>0.98</v>
      </c>
      <c r="X561" s="105" t="n">
        <v>0.3</v>
      </c>
      <c r="Y561" s="105" t="n">
        <v>0.21</v>
      </c>
      <c r="Z561" s="113" t="inlineStr">
        <is>
          <t>N/A</t>
        </is>
      </c>
      <c r="AA561" s="105" t="n">
        <v>2.06</v>
      </c>
      <c r="AB561" s="105" t="n">
        <v>8.050000000000001</v>
      </c>
      <c r="AC561" s="104" t="n">
        <v>0</v>
      </c>
      <c r="AD561" s="104" t="n">
        <v>0</v>
      </c>
      <c r="AE561" s="104" t="n">
        <v>0.79</v>
      </c>
      <c r="AF561" s="104" t="n">
        <v>0.17</v>
      </c>
      <c r="AG561" s="104" t="n">
        <v>0.19</v>
      </c>
      <c r="AH561" s="104" t="n">
        <v>8.890000000000001</v>
      </c>
      <c r="AI561" s="104" t="n">
        <v>0.58</v>
      </c>
      <c r="AJ561" s="104" t="n">
        <v>7.74</v>
      </c>
      <c r="AK561" s="110" t="inlineStr">
        <is>
          <t>Safe</t>
        </is>
      </c>
      <c r="AL561" s="104" t="n">
        <v>0.79</v>
      </c>
      <c r="AM561" s="104" t="n">
        <v>0.17</v>
      </c>
      <c r="AN561" s="104" t="n">
        <v>0.19</v>
      </c>
      <c r="AO561" s="104" t="n">
        <v>8.890000000000001</v>
      </c>
      <c r="AP561" s="104" t="n">
        <v>0.58</v>
      </c>
      <c r="AQ561" s="103" t="n">
        <v>5.63</v>
      </c>
      <c r="AR561" s="103" t="inlineStr">
        <is>
          <t>Safe</t>
        </is>
      </c>
      <c r="AS561" s="104" t="n">
        <v>0.79</v>
      </c>
      <c r="AT561" s="104" t="n">
        <v>0.17</v>
      </c>
      <c r="AU561" s="104" t="n">
        <v>0.19</v>
      </c>
      <c r="AV561" s="104" t="n">
        <v>8.890000000000001</v>
      </c>
      <c r="AW561" s="103" t="n">
        <v>16.35</v>
      </c>
      <c r="AX561" s="103" t="inlineStr">
        <is>
          <t>Safe</t>
        </is>
      </c>
      <c r="AY561" s="104" t="n">
        <v>0.79</v>
      </c>
      <c r="AZ561" s="104" t="n">
        <v>0.19</v>
      </c>
      <c r="BA561" s="104" t="n">
        <v>2.41</v>
      </c>
      <c r="BB561" s="104" t="n">
        <v>0.58</v>
      </c>
      <c r="BC561" s="103" t="n">
        <v>3.23</v>
      </c>
      <c r="BD561" s="103" t="inlineStr">
        <is>
          <t>Healthy</t>
        </is>
      </c>
      <c r="BE561" s="104" t="n">
        <v>0.21</v>
      </c>
      <c r="BF561" s="104" t="n">
        <v>0.1</v>
      </c>
      <c r="BG561" s="104" t="n">
        <v>10.15</v>
      </c>
      <c r="BH561" s="104" t="n">
        <v>-4.65</v>
      </c>
      <c r="BI561" s="103" t="n">
        <v>0.01</v>
      </c>
      <c r="BJ561" s="103" t="inlineStr">
        <is>
          <t>Healthy</t>
        </is>
      </c>
      <c r="BK561" s="103" t="n">
        <v>1</v>
      </c>
      <c r="BL561" s="103" t="n">
        <v>1</v>
      </c>
      <c r="BM561" s="103" t="n">
        <v>1</v>
      </c>
      <c r="BN561" s="103" t="n">
        <v>0</v>
      </c>
      <c r="BO561" s="103" t="n">
        <v>0</v>
      </c>
      <c r="BP561" s="103" t="n">
        <v>1</v>
      </c>
      <c r="BQ561" s="103" t="n">
        <v>0</v>
      </c>
      <c r="BR561" s="103" t="n">
        <v>1</v>
      </c>
      <c r="BS561" s="103" t="n">
        <v>1</v>
      </c>
      <c r="BT561" s="103" t="n">
        <v>6</v>
      </c>
      <c r="BU561" s="103" t="inlineStr">
        <is>
          <t>Mixed</t>
        </is>
      </c>
      <c r="BV561" s="104" t="n">
        <v>0.47</v>
      </c>
      <c r="BW561" s="104" t="n">
        <v>0.95</v>
      </c>
      <c r="BX561" s="104" t="n">
        <v>2.12</v>
      </c>
      <c r="BY561" s="104" t="n">
        <v>3.06</v>
      </c>
      <c r="BZ561" s="104" t="n">
        <v>1.01</v>
      </c>
      <c r="CA561" s="104" t="n">
        <v>0.61</v>
      </c>
      <c r="CB561" s="104" t="n">
        <v>0.64</v>
      </c>
      <c r="CC561" s="104" t="n">
        <v>0</v>
      </c>
      <c r="CD561" s="103" t="n">
        <v>-0.5</v>
      </c>
      <c r="CE561" s="103" t="inlineStr">
        <is>
          <t>Higher Risk</t>
        </is>
      </c>
      <c r="CF561" s="113" t="inlineStr">
        <is>
          <t>N/A</t>
        </is>
      </c>
      <c r="CG561" s="104" t="n">
        <v>64.92</v>
      </c>
      <c r="CH561" s="103" t="n">
        <v>20</v>
      </c>
      <c r="CI561" s="103" t="inlineStr">
        <is>
          <t>CLEAR</t>
        </is>
      </c>
    </row>
    <row r="562" ht="17" customHeight="1">
      <c r="A562" s="107" t="inlineStr">
        <is>
          <t>LSCC</t>
        </is>
      </c>
      <c r="B562" s="107" t="inlineStr">
        <is>
          <t>Lattice Semiconductor Corp</t>
        </is>
      </c>
      <c r="C562" s="108" t="n">
        <v>246201000</v>
      </c>
      <c r="D562" s="109" t="n">
        <v>0.03</v>
      </c>
      <c r="E562" s="109" t="n">
        <v>0.03</v>
      </c>
      <c r="F562" s="109" t="n">
        <v>0.01</v>
      </c>
      <c r="G562" s="109" t="n">
        <v>0</v>
      </c>
      <c r="H562" s="109" t="n">
        <v>0.07000000000000001</v>
      </c>
      <c r="I562" s="109" t="n">
        <v>0</v>
      </c>
      <c r="J562" s="109" t="n">
        <v>0.01</v>
      </c>
      <c r="K562" s="109" t="n">
        <v>0.92</v>
      </c>
      <c r="L562" s="109" t="n">
        <v>0.8</v>
      </c>
      <c r="M562" s="109" t="n">
        <v>0.44</v>
      </c>
      <c r="N562" s="108" t="n">
        <v>0.51</v>
      </c>
      <c r="O562" s="108" t="n">
        <v>3.09</v>
      </c>
      <c r="P562" s="108" t="n">
        <v>3.66</v>
      </c>
      <c r="Q562" s="108" t="n">
        <v>2.33</v>
      </c>
      <c r="R562" s="108" t="n">
        <v>1.14</v>
      </c>
      <c r="S562" s="108" t="n">
        <v>0.19</v>
      </c>
      <c r="T562" s="108" t="n">
        <v>0.16</v>
      </c>
      <c r="U562" s="108" t="n">
        <v>0.22</v>
      </c>
      <c r="V562" s="108" t="n">
        <v>0.03</v>
      </c>
      <c r="W562" s="108" t="n">
        <v>56.78</v>
      </c>
      <c r="X562" s="109" t="n">
        <v>0.34</v>
      </c>
      <c r="Y562" s="109" t="n">
        <v>0.49</v>
      </c>
      <c r="Z562" s="109" t="n">
        <v>2.71</v>
      </c>
      <c r="AA562" s="109" t="n">
        <v>-0.1</v>
      </c>
      <c r="AB562" s="109" t="n">
        <v>-0.95</v>
      </c>
      <c r="AC562" s="108" t="n">
        <v>-0.19</v>
      </c>
      <c r="AD562" s="108" t="n">
        <v>-0.19</v>
      </c>
      <c r="AE562" s="108" t="n">
        <v>0.28</v>
      </c>
      <c r="AF562" s="108" t="n">
        <v>0.24</v>
      </c>
      <c r="AG562" s="108" t="n">
        <v>0.01</v>
      </c>
      <c r="AH562" s="108" t="n">
        <v>4.22</v>
      </c>
      <c r="AI562" s="108" t="n">
        <v>0.44</v>
      </c>
      <c r="AJ562" s="108" t="n">
        <v>3.68</v>
      </c>
      <c r="AK562" s="110" t="inlineStr">
        <is>
          <t>Safe</t>
        </is>
      </c>
      <c r="AL562" s="108" t="n">
        <v>0.28</v>
      </c>
      <c r="AM562" s="108" t="n">
        <v>0.24</v>
      </c>
      <c r="AN562" s="108" t="n">
        <v>0.01</v>
      </c>
      <c r="AO562" s="108" t="n">
        <v>4.22</v>
      </c>
      <c r="AP562" s="108" t="n">
        <v>0.44</v>
      </c>
      <c r="AQ562" s="107" t="n">
        <v>2.65</v>
      </c>
      <c r="AR562" s="107" t="inlineStr">
        <is>
          <t>Grey</t>
        </is>
      </c>
      <c r="AS562" s="108" t="n">
        <v>0.28</v>
      </c>
      <c r="AT562" s="108" t="n">
        <v>0.24</v>
      </c>
      <c r="AU562" s="108" t="n">
        <v>0.01</v>
      </c>
      <c r="AV562" s="108" t="n">
        <v>4.22</v>
      </c>
      <c r="AW562" s="107" t="n">
        <v>7.13</v>
      </c>
      <c r="AX562" s="107" t="inlineStr">
        <is>
          <t>Safe</t>
        </is>
      </c>
      <c r="AY562" s="108" t="n">
        <v>0.28</v>
      </c>
      <c r="AZ562" s="108" t="n">
        <v>0.01</v>
      </c>
      <c r="BA562" s="108" t="n">
        <v>0.11</v>
      </c>
      <c r="BB562" s="108" t="n">
        <v>0.44</v>
      </c>
      <c r="BC562" s="107" t="n">
        <v>0.58</v>
      </c>
      <c r="BD562" s="107" t="inlineStr">
        <is>
          <t>Distress</t>
        </is>
      </c>
      <c r="BE562" s="108" t="n">
        <v>0</v>
      </c>
      <c r="BF562" s="108" t="n">
        <v>0.19</v>
      </c>
      <c r="BG562" s="108" t="n">
        <v>3.09</v>
      </c>
      <c r="BH562" s="108" t="n">
        <v>-3.25</v>
      </c>
      <c r="BI562" s="107" t="n">
        <v>0.04</v>
      </c>
      <c r="BJ562" s="107" t="inlineStr">
        <is>
          <t>Healthy</t>
        </is>
      </c>
      <c r="BK562" s="107" t="n">
        <v>1</v>
      </c>
      <c r="BL562" s="107" t="n">
        <v>1</v>
      </c>
      <c r="BM562" s="107" t="n">
        <v>0</v>
      </c>
      <c r="BN562" s="107" t="n">
        <v>1</v>
      </c>
      <c r="BO562" s="107" t="n">
        <v>1</v>
      </c>
      <c r="BP562" s="107" t="n">
        <v>0</v>
      </c>
      <c r="BQ562" s="107" t="n">
        <v>1</v>
      </c>
      <c r="BR562" s="107" t="n">
        <v>1</v>
      </c>
      <c r="BS562" s="107" t="n">
        <v>0</v>
      </c>
      <c r="BT562" s="107" t="n">
        <v>6</v>
      </c>
      <c r="BU562" s="107" t="inlineStr">
        <is>
          <t>Mixed</t>
        </is>
      </c>
      <c r="BV562" s="108" t="n">
        <v>1.4</v>
      </c>
      <c r="BW562" s="108" t="n">
        <v>0.86</v>
      </c>
      <c r="BX562" s="108" t="n">
        <v>0.99</v>
      </c>
      <c r="BY562" s="108" t="n">
        <v>0.9</v>
      </c>
      <c r="BZ562" s="108" t="n">
        <v>1.42</v>
      </c>
      <c r="CA562" s="108" t="n">
        <v>1.45</v>
      </c>
      <c r="CB562" s="108" t="n">
        <v>1.21</v>
      </c>
      <c r="CC562" s="108" t="n">
        <v>-0.19</v>
      </c>
      <c r="CD562" s="107" t="n">
        <v>-3.29</v>
      </c>
      <c r="CE562" s="107" t="inlineStr">
        <is>
          <t>Lower Risk</t>
        </is>
      </c>
      <c r="CF562" s="108" t="n">
        <v>0.5600000000000001</v>
      </c>
      <c r="CG562" s="108" t="n">
        <v>58.97</v>
      </c>
      <c r="CH562" s="107" t="n">
        <v>20</v>
      </c>
      <c r="CI562" s="107" t="inlineStr">
        <is>
          <t>CLEAR</t>
        </is>
      </c>
    </row>
    <row r="563" ht="17" customHeight="1">
      <c r="A563" s="103" t="inlineStr">
        <is>
          <t>COHR</t>
        </is>
      </c>
      <c r="B563" s="103" t="inlineStr">
        <is>
          <t>COHERENT CORP.</t>
        </is>
      </c>
      <c r="C563" s="104" t="n">
        <v>2132313000</v>
      </c>
      <c r="D563" s="105" t="n">
        <v>0.08</v>
      </c>
      <c r="E563" s="105" t="n">
        <v>0.08</v>
      </c>
      <c r="F563" s="105" t="n">
        <v>0.04</v>
      </c>
      <c r="G563" s="105" t="n">
        <v>0</v>
      </c>
      <c r="H563" s="105" t="n">
        <v>-0.01</v>
      </c>
      <c r="I563" s="105" t="n">
        <v>0.01</v>
      </c>
      <c r="J563" s="105" t="n">
        <v>0.01</v>
      </c>
      <c r="K563" s="105" t="n">
        <v>-2.25</v>
      </c>
      <c r="L563" s="105" t="n">
        <v>-9.130000000000001</v>
      </c>
      <c r="M563" s="105" t="n">
        <v>0.08</v>
      </c>
      <c r="N563" s="104" t="n">
        <v>0.02</v>
      </c>
      <c r="O563" s="104" t="n">
        <v>2.19</v>
      </c>
      <c r="P563" s="104" t="n">
        <v>2.72</v>
      </c>
      <c r="Q563" s="104" t="n">
        <v>1.39</v>
      </c>
      <c r="R563" s="104" t="n">
        <v>0.51</v>
      </c>
      <c r="S563" s="104" t="n">
        <v>0.43</v>
      </c>
      <c r="T563" s="104" t="n">
        <v>0.45</v>
      </c>
      <c r="U563" s="104" t="n">
        <v>0.6899999999999999</v>
      </c>
      <c r="V563" s="104" t="n">
        <v>0.53</v>
      </c>
      <c r="W563" s="104" t="n">
        <v>12.84</v>
      </c>
      <c r="X563" s="105" t="n">
        <v>0.17</v>
      </c>
      <c r="Y563" s="105" t="n">
        <v>0.5</v>
      </c>
      <c r="Z563" s="105" t="n">
        <v>0.34</v>
      </c>
      <c r="AA563" s="105" t="n">
        <v>2.61</v>
      </c>
      <c r="AB563" s="105" t="n">
        <v>-1.32</v>
      </c>
      <c r="AC563" s="104" t="n">
        <v>-0.04</v>
      </c>
      <c r="AD563" s="104" t="n">
        <v>-0.04</v>
      </c>
      <c r="AE563" s="104" t="n">
        <v>0.14</v>
      </c>
      <c r="AF563" s="104" t="n">
        <v>0.04</v>
      </c>
      <c r="AG563" s="104" t="n">
        <v>0.01</v>
      </c>
      <c r="AH563" s="104" t="n">
        <v>0.88</v>
      </c>
      <c r="AI563" s="104" t="n">
        <v>0.08</v>
      </c>
      <c r="AJ563" s="104" t="n">
        <v>0.85</v>
      </c>
      <c r="AK563" s="112" t="inlineStr">
        <is>
          <t>Distress</t>
        </is>
      </c>
      <c r="AL563" s="104" t="n">
        <v>0.14</v>
      </c>
      <c r="AM563" s="104" t="n">
        <v>0.04</v>
      </c>
      <c r="AN563" s="104" t="n">
        <v>0.01</v>
      </c>
      <c r="AO563" s="104" t="n">
        <v>0.88</v>
      </c>
      <c r="AP563" s="104" t="n">
        <v>0.08</v>
      </c>
      <c r="AQ563" s="103" t="n">
        <v>0.6</v>
      </c>
      <c r="AR563" s="103" t="inlineStr">
        <is>
          <t>Distress</t>
        </is>
      </c>
      <c r="AS563" s="104" t="n">
        <v>0.14</v>
      </c>
      <c r="AT563" s="104" t="n">
        <v>0.04</v>
      </c>
      <c r="AU563" s="104" t="n">
        <v>0.01</v>
      </c>
      <c r="AV563" s="104" t="n">
        <v>0.88</v>
      </c>
      <c r="AW563" s="103" t="n">
        <v>2.03</v>
      </c>
      <c r="AX563" s="103" t="inlineStr">
        <is>
          <t>Grey</t>
        </is>
      </c>
      <c r="AY563" s="104" t="n">
        <v>0.14</v>
      </c>
      <c r="AZ563" s="104" t="n">
        <v>0.01</v>
      </c>
      <c r="BA563" s="104" t="n">
        <v>0.05</v>
      </c>
      <c r="BB563" s="104" t="n">
        <v>0.08</v>
      </c>
      <c r="BC563" s="103" t="n">
        <v>0.23</v>
      </c>
      <c r="BD563" s="103" t="inlineStr">
        <is>
          <t>Distress</t>
        </is>
      </c>
      <c r="BE563" s="104" t="n">
        <v>0</v>
      </c>
      <c r="BF563" s="104" t="n">
        <v>0.43</v>
      </c>
      <c r="BG563" s="104" t="n">
        <v>2.19</v>
      </c>
      <c r="BH563" s="104" t="n">
        <v>-1.89</v>
      </c>
      <c r="BI563" s="103" t="n">
        <v>0.13</v>
      </c>
      <c r="BJ563" s="103" t="inlineStr">
        <is>
          <t>Healthy</t>
        </is>
      </c>
      <c r="BK563" s="103" t="n">
        <v>1</v>
      </c>
      <c r="BL563" s="103" t="n">
        <v>1</v>
      </c>
      <c r="BM563" s="103" t="n">
        <v>1</v>
      </c>
      <c r="BN563" s="103" t="n">
        <v>1</v>
      </c>
      <c r="BO563" s="103" t="n">
        <v>1</v>
      </c>
      <c r="BP563" s="103" t="n">
        <v>0</v>
      </c>
      <c r="BQ563" s="103" t="n">
        <v>0</v>
      </c>
      <c r="BR563" s="103" t="n">
        <v>1</v>
      </c>
      <c r="BS563" s="103" t="n">
        <v>1</v>
      </c>
      <c r="BT563" s="103" t="n">
        <v>7</v>
      </c>
      <c r="BU563" s="103" t="inlineStr">
        <is>
          <t>Strong</t>
        </is>
      </c>
      <c r="BV563" s="104" t="n">
        <v>0.31</v>
      </c>
      <c r="BW563" s="104" t="n">
        <v>4.06</v>
      </c>
      <c r="BX563" s="104" t="n">
        <v>0.99</v>
      </c>
      <c r="BY563" s="104" t="n">
        <v>3.61</v>
      </c>
      <c r="BZ563" s="104" t="n">
        <v>1.01</v>
      </c>
      <c r="CA563" s="104" t="n">
        <v>0.3</v>
      </c>
      <c r="CB563" s="104" t="n">
        <v>0.95</v>
      </c>
      <c r="CC563" s="104" t="n">
        <v>-0.04</v>
      </c>
      <c r="CD563" s="103" t="n">
        <v>0.78</v>
      </c>
      <c r="CE563" s="103" t="inlineStr">
        <is>
          <t>Higher Risk</t>
        </is>
      </c>
      <c r="CF563" s="104" t="n">
        <v>4.57</v>
      </c>
      <c r="CG563" s="104" t="n">
        <v>49.24</v>
      </c>
      <c r="CH563" s="103" t="n">
        <v>20</v>
      </c>
      <c r="CI563" s="103" t="inlineStr">
        <is>
          <t>CLEAR</t>
        </is>
      </c>
    </row>
    <row r="564" ht="17" customHeight="1">
      <c r="A564" s="107" t="inlineStr">
        <is>
          <t>ORI</t>
        </is>
      </c>
      <c r="B564" s="107" t="inlineStr">
        <is>
          <t>OLD REPUBLIC INTERNATIONAL CORP</t>
        </is>
      </c>
      <c r="C564" s="111" t="inlineStr">
        <is>
          <t>N/A</t>
        </is>
      </c>
      <c r="D564" s="111" t="inlineStr">
        <is>
          <t>N/A</t>
        </is>
      </c>
      <c r="E564" s="109" t="n">
        <v>0.13</v>
      </c>
      <c r="F564" s="109" t="n">
        <v>0.1</v>
      </c>
      <c r="G564" s="109" t="n">
        <v>0.03</v>
      </c>
      <c r="H564" s="109" t="n">
        <v>0.01</v>
      </c>
      <c r="I564" s="109" t="n">
        <v>0.16</v>
      </c>
      <c r="J564" s="111" t="inlineStr">
        <is>
          <t>N/A</t>
        </is>
      </c>
      <c r="K564" s="109" t="n">
        <v>0.13</v>
      </c>
      <c r="L564" s="109" t="n">
        <v>0.11</v>
      </c>
      <c r="M564" s="109" t="n">
        <v>0.31</v>
      </c>
      <c r="N564" s="108" t="n">
        <v>0.09</v>
      </c>
      <c r="O564" s="111" t="inlineStr">
        <is>
          <t>N/A</t>
        </is>
      </c>
      <c r="P564" s="111" t="inlineStr">
        <is>
          <t>N/A</t>
        </is>
      </c>
      <c r="Q564" s="111" t="inlineStr">
        <is>
          <t>N/A</t>
        </is>
      </c>
      <c r="R564" s="111" t="inlineStr">
        <is>
          <t>N/A</t>
        </is>
      </c>
      <c r="S564" s="108" t="n">
        <v>0.8</v>
      </c>
      <c r="T564" s="108" t="n">
        <v>0.8</v>
      </c>
      <c r="U564" s="111" t="inlineStr">
        <is>
          <t>N/A</t>
        </is>
      </c>
      <c r="V564" s="111" t="inlineStr">
        <is>
          <t>N/A</t>
        </is>
      </c>
      <c r="W564" s="108" t="n">
        <v>1.24</v>
      </c>
      <c r="X564" s="111" t="inlineStr">
        <is>
          <t>N/A</t>
        </is>
      </c>
      <c r="Y564" s="109" t="n">
        <v>0</v>
      </c>
      <c r="Z564" s="111" t="inlineStr">
        <is>
          <t>N/A</t>
        </is>
      </c>
      <c r="AA564" s="109" t="n">
        <v>2.82</v>
      </c>
      <c r="AB564" s="109" t="n">
        <v>3.53</v>
      </c>
      <c r="AC564" s="108" t="n">
        <v>-0.01</v>
      </c>
      <c r="AD564" s="108" t="n">
        <v>-0.01</v>
      </c>
      <c r="AE564" s="111" t="inlineStr">
        <is>
          <t>N/A</t>
        </is>
      </c>
      <c r="AF564" s="108" t="n">
        <v>0.18</v>
      </c>
      <c r="AG564" s="111" t="inlineStr">
        <is>
          <t>N/A</t>
        </is>
      </c>
      <c r="AH564" s="108" t="n">
        <v>0.25</v>
      </c>
      <c r="AI564" s="108" t="n">
        <v>0.31</v>
      </c>
      <c r="AJ564" s="111" t="inlineStr">
        <is>
          <t>N/A</t>
        </is>
      </c>
      <c r="AK564" s="111" t="inlineStr">
        <is>
          <t>N/A</t>
        </is>
      </c>
      <c r="AL564" s="111" t="inlineStr">
        <is>
          <t>N/A</t>
        </is>
      </c>
      <c r="AM564" s="108" t="n">
        <v>0.18</v>
      </c>
      <c r="AN564" s="111" t="inlineStr">
        <is>
          <t>N/A</t>
        </is>
      </c>
      <c r="AO564" s="108" t="n">
        <v>0.25</v>
      </c>
      <c r="AP564" s="108" t="n">
        <v>0.31</v>
      </c>
      <c r="AQ564" s="111" t="inlineStr">
        <is>
          <t>N/A</t>
        </is>
      </c>
      <c r="AR564" s="111" t="inlineStr">
        <is>
          <t>N/A</t>
        </is>
      </c>
      <c r="AS564" s="111" t="inlineStr">
        <is>
          <t>N/A</t>
        </is>
      </c>
      <c r="AT564" s="108" t="n">
        <v>0.18</v>
      </c>
      <c r="AU564" s="111" t="inlineStr">
        <is>
          <t>N/A</t>
        </is>
      </c>
      <c r="AV564" s="108" t="n">
        <v>0.25</v>
      </c>
      <c r="AW564" s="111" t="inlineStr">
        <is>
          <t>N/A</t>
        </is>
      </c>
      <c r="AX564" s="111" t="inlineStr">
        <is>
          <t>N/A</t>
        </is>
      </c>
      <c r="AY564" s="111" t="inlineStr">
        <is>
          <t>N/A</t>
        </is>
      </c>
      <c r="AZ564" s="111" t="inlineStr">
        <is>
          <t>N/A</t>
        </is>
      </c>
      <c r="BA564" s="111" t="inlineStr">
        <is>
          <t>N/A</t>
        </is>
      </c>
      <c r="BB564" s="108" t="n">
        <v>0.31</v>
      </c>
      <c r="BC564" s="111" t="inlineStr">
        <is>
          <t>N/A</t>
        </is>
      </c>
      <c r="BD564" s="111" t="inlineStr">
        <is>
          <t>N/A</t>
        </is>
      </c>
      <c r="BE564" s="108" t="n">
        <v>0.03</v>
      </c>
      <c r="BF564" s="108" t="n">
        <v>0.8</v>
      </c>
      <c r="BG564" s="111" t="inlineStr">
        <is>
          <t>N/A</t>
        </is>
      </c>
      <c r="BH564" s="111" t="inlineStr">
        <is>
          <t>N/A</t>
        </is>
      </c>
      <c r="BI564" s="111" t="inlineStr">
        <is>
          <t>N/A</t>
        </is>
      </c>
      <c r="BJ564" s="111" t="inlineStr">
        <is>
          <t>N/A</t>
        </is>
      </c>
      <c r="BK564" s="107" t="n">
        <v>1</v>
      </c>
      <c r="BL564" s="107" t="n">
        <v>1</v>
      </c>
      <c r="BM564" s="107" t="n">
        <v>1</v>
      </c>
      <c r="BN564" s="107" t="n">
        <v>1</v>
      </c>
      <c r="BO564" s="107" t="n">
        <v>0</v>
      </c>
      <c r="BP564" s="107" t="n">
        <v>0</v>
      </c>
      <c r="BQ564" s="107" t="n">
        <v>1</v>
      </c>
      <c r="BR564" s="107" t="n">
        <v>1</v>
      </c>
      <c r="BS564" s="107" t="n">
        <v>1</v>
      </c>
      <c r="BT564" s="107" t="n">
        <v>7</v>
      </c>
      <c r="BU564" s="107" t="inlineStr">
        <is>
          <t>Strong</t>
        </is>
      </c>
      <c r="BV564" s="111" t="inlineStr">
        <is>
          <t>N/A</t>
        </is>
      </c>
      <c r="BW564" s="108" t="n">
        <v>0.85</v>
      </c>
      <c r="BX564" s="111" t="inlineStr">
        <is>
          <t>N/A</t>
        </is>
      </c>
      <c r="BY564" s="108" t="n">
        <v>3.82</v>
      </c>
      <c r="BZ564" s="111" t="inlineStr">
        <is>
          <t>N/A</t>
        </is>
      </c>
      <c r="CA564" s="108" t="n">
        <v>0.29</v>
      </c>
      <c r="CB564" s="108" t="n">
        <v>1</v>
      </c>
      <c r="CC564" s="108" t="n">
        <v>-0.01</v>
      </c>
      <c r="CD564" s="111" t="inlineStr">
        <is>
          <t>N/A</t>
        </is>
      </c>
      <c r="CE564" s="111" t="inlineStr">
        <is>
          <t>N/A</t>
        </is>
      </c>
      <c r="CF564" s="111" t="inlineStr">
        <is>
          <t>N/A</t>
        </is>
      </c>
      <c r="CG564" s="108" t="n">
        <v>50.72</v>
      </c>
      <c r="CH564" s="107" t="n">
        <v>0</v>
      </c>
      <c r="CI564" s="107" t="inlineStr">
        <is>
          <t>CLEAR</t>
        </is>
      </c>
    </row>
    <row r="565" ht="17" customHeight="1">
      <c r="A565" s="103" t="inlineStr">
        <is>
          <t>IFF</t>
        </is>
      </c>
      <c r="B565" s="103" t="inlineStr">
        <is>
          <t>INTERNATIONAL FLAVORS &amp; FRAGRANCES INC</t>
        </is>
      </c>
      <c r="C565" s="104" t="n">
        <v>1661000000</v>
      </c>
      <c r="D565" s="105" t="n">
        <v>-0.04</v>
      </c>
      <c r="E565" s="105" t="n">
        <v>-0.04</v>
      </c>
      <c r="F565" s="105" t="n">
        <v>0.03</v>
      </c>
      <c r="G565" s="105" t="n">
        <v>0.01</v>
      </c>
      <c r="H565" s="105" t="n">
        <v>0.01</v>
      </c>
      <c r="I565" s="105" t="n">
        <v>0.02</v>
      </c>
      <c r="J565" s="105" t="n">
        <v>-0.02</v>
      </c>
      <c r="K565" s="105" t="n">
        <v>0.36</v>
      </c>
      <c r="L565" s="105" t="n">
        <v>0.37</v>
      </c>
      <c r="M565" s="105" t="n">
        <v>0.43</v>
      </c>
      <c r="N565" s="104" t="n">
        <v>0.2</v>
      </c>
      <c r="O565" s="104" t="n">
        <v>1.42</v>
      </c>
      <c r="P565" s="104" t="n">
        <v>1.84</v>
      </c>
      <c r="Q565" s="104" t="n">
        <v>0.85</v>
      </c>
      <c r="R565" s="104" t="n">
        <v>0.15</v>
      </c>
      <c r="S565" s="104" t="n">
        <v>1</v>
      </c>
      <c r="T565" s="104" t="n">
        <v>1</v>
      </c>
      <c r="U565" s="104" t="n">
        <v>0.49</v>
      </c>
      <c r="V565" s="104" t="n">
        <v>0.45</v>
      </c>
      <c r="W565" s="104" t="n">
        <v>2.5</v>
      </c>
      <c r="X565" s="105" t="n">
        <v>0.02</v>
      </c>
      <c r="Y565" s="105" t="n">
        <v>0.06</v>
      </c>
      <c r="Z565" s="105" t="n">
        <v>-1.01</v>
      </c>
      <c r="AA565" s="105" t="n">
        <v>0.9399999999999999</v>
      </c>
      <c r="AB565" s="105" t="n">
        <v>0.15</v>
      </c>
      <c r="AC565" s="104" t="n">
        <v>-0.02</v>
      </c>
      <c r="AD565" s="104" t="n">
        <v>-0.02</v>
      </c>
      <c r="AE565" s="104" t="n">
        <v>0.07000000000000001</v>
      </c>
      <c r="AF565" s="104" t="n">
        <v>-0.13</v>
      </c>
      <c r="AG565" s="104" t="n">
        <v>-0.01</v>
      </c>
      <c r="AH565" s="104" t="n">
        <v>0.55</v>
      </c>
      <c r="AI565" s="104" t="n">
        <v>0.43</v>
      </c>
      <c r="AJ565" s="104" t="n">
        <v>0.6</v>
      </c>
      <c r="AK565" s="112" t="inlineStr">
        <is>
          <t>Distress</t>
        </is>
      </c>
      <c r="AL565" s="104" t="n">
        <v>0.07000000000000001</v>
      </c>
      <c r="AM565" s="104" t="n">
        <v>-0.13</v>
      </c>
      <c r="AN565" s="104" t="n">
        <v>-0.01</v>
      </c>
      <c r="AO565" s="104" t="n">
        <v>0.55</v>
      </c>
      <c r="AP565" s="104" t="n">
        <v>0.43</v>
      </c>
      <c r="AQ565" s="103" t="n">
        <v>0.55</v>
      </c>
      <c r="AR565" s="103" t="inlineStr">
        <is>
          <t>Distress</t>
        </is>
      </c>
      <c r="AS565" s="104" t="n">
        <v>0.07000000000000001</v>
      </c>
      <c r="AT565" s="104" t="n">
        <v>-0.13</v>
      </c>
      <c r="AU565" s="104" t="n">
        <v>-0.01</v>
      </c>
      <c r="AV565" s="104" t="n">
        <v>0.55</v>
      </c>
      <c r="AW565" s="103" t="n">
        <v>0.47</v>
      </c>
      <c r="AX565" s="103" t="inlineStr">
        <is>
          <t>Distress</t>
        </is>
      </c>
      <c r="AY565" s="104" t="n">
        <v>0.07000000000000001</v>
      </c>
      <c r="AZ565" s="104" t="n">
        <v>-0.01</v>
      </c>
      <c r="BA565" s="104" t="n">
        <v>-0.1</v>
      </c>
      <c r="BB565" s="104" t="n">
        <v>0.43</v>
      </c>
      <c r="BC565" s="103" t="n">
        <v>0.12</v>
      </c>
      <c r="BD565" s="103" t="inlineStr">
        <is>
          <t>Distress</t>
        </is>
      </c>
      <c r="BE565" s="104" t="n">
        <v>0.01</v>
      </c>
      <c r="BF565" s="104" t="n">
        <v>1</v>
      </c>
      <c r="BG565" s="104" t="n">
        <v>1.42</v>
      </c>
      <c r="BH565" s="104" t="n">
        <v>1.29</v>
      </c>
      <c r="BI565" s="103" t="n">
        <v>0.78</v>
      </c>
      <c r="BJ565" s="103" t="inlineStr">
        <is>
          <t>Distress</t>
        </is>
      </c>
      <c r="BK565" s="103" t="n">
        <v>1</v>
      </c>
      <c r="BL565" s="103" t="n">
        <v>1</v>
      </c>
      <c r="BM565" s="103" t="n">
        <v>1</v>
      </c>
      <c r="BN565" s="103" t="n">
        <v>1</v>
      </c>
      <c r="BO565" s="103" t="n">
        <v>1</v>
      </c>
      <c r="BP565" s="103" t="n">
        <v>0</v>
      </c>
      <c r="BQ565" s="103" t="n">
        <v>1</v>
      </c>
      <c r="BR565" s="103" t="n">
        <v>0</v>
      </c>
      <c r="BS565" s="103" t="n">
        <v>1</v>
      </c>
      <c r="BT565" s="103" t="n">
        <v>7</v>
      </c>
      <c r="BU565" s="103" t="inlineStr">
        <is>
          <t>Strong</t>
        </is>
      </c>
      <c r="BV565" s="104" t="n">
        <v>0.55</v>
      </c>
      <c r="BW565" s="104" t="n">
        <v>1.02</v>
      </c>
      <c r="BX565" s="104" t="n">
        <v>1.05</v>
      </c>
      <c r="BY565" s="104" t="n">
        <v>1.94</v>
      </c>
      <c r="BZ565" s="104" t="n">
        <v>1.11</v>
      </c>
      <c r="CA565" s="104" t="n">
        <v>0.47</v>
      </c>
      <c r="CB565" s="104" t="n">
        <v>1</v>
      </c>
      <c r="CC565" s="104" t="n">
        <v>-0.02</v>
      </c>
      <c r="CD565" s="103" t="n">
        <v>-2.01</v>
      </c>
      <c r="CE565" s="103" t="inlineStr">
        <is>
          <t>Higher Risk</t>
        </is>
      </c>
      <c r="CF565" s="104" t="n">
        <v>10.86</v>
      </c>
      <c r="CG565" s="104" t="n">
        <v>47.63</v>
      </c>
      <c r="CH565" s="103" t="n">
        <v>20</v>
      </c>
      <c r="CI565" s="103" t="inlineStr">
        <is>
          <t>CLEAR</t>
        </is>
      </c>
    </row>
    <row r="566" ht="17" customHeight="1">
      <c r="A566" s="107" t="inlineStr">
        <is>
          <t>ES</t>
        </is>
      </c>
      <c r="B566" s="107" t="inlineStr">
        <is>
          <t>EVERSOURCE ENERGY</t>
        </is>
      </c>
      <c r="C566" s="108" t="n">
        <v>-2731326000</v>
      </c>
      <c r="D566" s="109" t="n">
        <v>0.22</v>
      </c>
      <c r="E566" s="109" t="n">
        <v>0.14</v>
      </c>
      <c r="F566" s="109" t="n">
        <v>-0.03</v>
      </c>
      <c r="G566" s="109" t="n">
        <v>-0.01</v>
      </c>
      <c r="H566" s="109" t="n">
        <v>0.02</v>
      </c>
      <c r="I566" s="109" t="n">
        <v>-0.03</v>
      </c>
      <c r="J566" s="109" t="n">
        <v>0.05</v>
      </c>
      <c r="K566" s="109" t="n">
        <v>0.22</v>
      </c>
      <c r="L566" s="109" t="n">
        <v>0.2</v>
      </c>
      <c r="M566" s="109" t="n">
        <v>0.21</v>
      </c>
      <c r="N566" s="108" t="n">
        <v>0.2</v>
      </c>
      <c r="O566" s="108" t="n">
        <v>0.65</v>
      </c>
      <c r="P566" s="108" t="n">
        <v>0.76</v>
      </c>
      <c r="Q566" s="108" t="n">
        <v>0.59</v>
      </c>
      <c r="R566" s="108" t="n">
        <v>0.02</v>
      </c>
      <c r="S566" s="108" t="n">
        <v>1</v>
      </c>
      <c r="T566" s="108" t="n">
        <v>1</v>
      </c>
      <c r="U566" s="108" t="n">
        <v>1.75</v>
      </c>
      <c r="V566" s="108" t="n">
        <v>1.74</v>
      </c>
      <c r="W566" s="108" t="n">
        <v>-9.460000000000001</v>
      </c>
      <c r="X566" s="109" t="n">
        <v>-0</v>
      </c>
      <c r="Y566" s="109" t="n">
        <v>0</v>
      </c>
      <c r="Z566" s="109" t="n">
        <v>3.49</v>
      </c>
      <c r="AA566" s="109" t="n">
        <v>0.14</v>
      </c>
      <c r="AB566" s="109" t="n">
        <v>-1.31</v>
      </c>
      <c r="AC566" s="108" t="n">
        <v>-0.07000000000000001</v>
      </c>
      <c r="AD566" s="108" t="n">
        <v>-0.07000000000000001</v>
      </c>
      <c r="AE566" s="108" t="n">
        <v>-0.04</v>
      </c>
      <c r="AF566" s="108" t="n">
        <v>0.07000000000000001</v>
      </c>
      <c r="AG566" s="108" t="n">
        <v>0.05</v>
      </c>
      <c r="AH566" s="108" t="n">
        <v>0.25</v>
      </c>
      <c r="AI566" s="108" t="n">
        <v>0.21</v>
      </c>
      <c r="AJ566" s="108" t="n">
        <v>0.57</v>
      </c>
      <c r="AK566" s="112" t="inlineStr">
        <is>
          <t>Distress</t>
        </is>
      </c>
      <c r="AL566" s="108" t="n">
        <v>-0.04</v>
      </c>
      <c r="AM566" s="108" t="n">
        <v>0.07000000000000001</v>
      </c>
      <c r="AN566" s="108" t="n">
        <v>0.05</v>
      </c>
      <c r="AO566" s="108" t="n">
        <v>0.25</v>
      </c>
      <c r="AP566" s="108" t="n">
        <v>0.21</v>
      </c>
      <c r="AQ566" s="107" t="n">
        <v>0.49</v>
      </c>
      <c r="AR566" s="107" t="inlineStr">
        <is>
          <t>Distress</t>
        </is>
      </c>
      <c r="AS566" s="108" t="n">
        <v>-0.04</v>
      </c>
      <c r="AT566" s="108" t="n">
        <v>0.07000000000000001</v>
      </c>
      <c r="AU566" s="108" t="n">
        <v>0.05</v>
      </c>
      <c r="AV566" s="108" t="n">
        <v>0.25</v>
      </c>
      <c r="AW566" s="107" t="n">
        <v>0.53</v>
      </c>
      <c r="AX566" s="107" t="inlineStr">
        <is>
          <t>Distress</t>
        </is>
      </c>
      <c r="AY566" s="108" t="n">
        <v>-0.04</v>
      </c>
      <c r="AZ566" s="108" t="n">
        <v>0.05</v>
      </c>
      <c r="BA566" s="108" t="n">
        <v>0.24</v>
      </c>
      <c r="BB566" s="108" t="n">
        <v>0.21</v>
      </c>
      <c r="BC566" s="107" t="n">
        <v>0.34</v>
      </c>
      <c r="BD566" s="107" t="inlineStr">
        <is>
          <t>Distress</t>
        </is>
      </c>
      <c r="BE566" s="108" t="n">
        <v>-0.01</v>
      </c>
      <c r="BF566" s="108" t="n">
        <v>1</v>
      </c>
      <c r="BG566" s="108" t="n">
        <v>0.65</v>
      </c>
      <c r="BH566" s="108" t="n">
        <v>1.38</v>
      </c>
      <c r="BI566" s="107" t="n">
        <v>0.8</v>
      </c>
      <c r="BJ566" s="107" t="inlineStr">
        <is>
          <t>Distress</t>
        </is>
      </c>
      <c r="BK566" s="107" t="n">
        <v>0</v>
      </c>
      <c r="BL566" s="107" t="n">
        <v>1</v>
      </c>
      <c r="BM566" s="107" t="n">
        <v>0</v>
      </c>
      <c r="BN566" s="107" t="n">
        <v>1</v>
      </c>
      <c r="BO566" s="107" t="n">
        <v>1</v>
      </c>
      <c r="BP566" s="107" t="n">
        <v>0</v>
      </c>
      <c r="BQ566" s="107" t="n">
        <v>0</v>
      </c>
      <c r="BR566" s="107" t="n">
        <v>1</v>
      </c>
      <c r="BS566" s="107" t="n">
        <v>1</v>
      </c>
      <c r="BT566" s="107" t="n">
        <v>5</v>
      </c>
      <c r="BU566" s="107" t="inlineStr">
        <is>
          <t>Mixed</t>
        </is>
      </c>
      <c r="BV566" s="108" t="n">
        <v>0.98</v>
      </c>
      <c r="BW566" s="108" t="n">
        <v>0.92</v>
      </c>
      <c r="BX566" s="111" t="inlineStr">
        <is>
          <t>N/A</t>
        </is>
      </c>
      <c r="BY566" s="108" t="n">
        <v>1.14</v>
      </c>
      <c r="BZ566" s="111" t="inlineStr">
        <is>
          <t>N/A</t>
        </is>
      </c>
      <c r="CA566" s="111" t="inlineStr">
        <is>
          <t>N/A</t>
        </is>
      </c>
      <c r="CB566" s="108" t="n">
        <v>1</v>
      </c>
      <c r="CC566" s="108" t="n">
        <v>-0.07000000000000001</v>
      </c>
      <c r="CD566" s="111" t="inlineStr">
        <is>
          <t>N/A</t>
        </is>
      </c>
      <c r="CE566" s="111" t="inlineStr">
        <is>
          <t>N/A</t>
        </is>
      </c>
      <c r="CF566" s="108" t="n">
        <v>5.22</v>
      </c>
      <c r="CG566" s="108" t="n">
        <v>44.67</v>
      </c>
      <c r="CH566" s="107" t="n">
        <v>20</v>
      </c>
      <c r="CI566" s="107" t="inlineStr">
        <is>
          <t>CLEAR</t>
        </is>
      </c>
    </row>
    <row r="567" ht="17" customHeight="1">
      <c r="A567" s="103" t="inlineStr">
        <is>
          <t>DOC</t>
        </is>
      </c>
      <c r="B567" s="103" t="inlineStr">
        <is>
          <t>Healthpeak Properties, Inc.</t>
        </is>
      </c>
      <c r="C567" s="113" t="inlineStr">
        <is>
          <t>N/A</t>
        </is>
      </c>
      <c r="D567" s="105" t="n">
        <v>0</v>
      </c>
      <c r="E567" s="105" t="n">
        <v>0</v>
      </c>
      <c r="F567" s="105" t="n">
        <v>0.03</v>
      </c>
      <c r="G567" s="105" t="n">
        <v>0</v>
      </c>
      <c r="H567" s="105" t="n">
        <v>0.01</v>
      </c>
      <c r="I567" s="105" t="n">
        <v>0.01</v>
      </c>
      <c r="J567" s="113" t="inlineStr">
        <is>
          <t>N/A</t>
        </is>
      </c>
      <c r="K567" s="105" t="n">
        <v>0.62</v>
      </c>
      <c r="L567" s="105" t="n">
        <v>0.67</v>
      </c>
      <c r="M567" s="105" t="n">
        <v>0.14</v>
      </c>
      <c r="N567" s="104" t="n">
        <v>0.14</v>
      </c>
      <c r="O567" s="113" t="inlineStr">
        <is>
          <t>N/A</t>
        </is>
      </c>
      <c r="P567" s="113" t="inlineStr">
        <is>
          <t>N/A</t>
        </is>
      </c>
      <c r="Q567" s="113" t="inlineStr">
        <is>
          <t>N/A</t>
        </is>
      </c>
      <c r="R567" s="113" t="inlineStr">
        <is>
          <t>N/A</t>
        </is>
      </c>
      <c r="S567" s="104" t="n">
        <v>0.59</v>
      </c>
      <c r="T567" s="104" t="n">
        <v>0.55</v>
      </c>
      <c r="U567" s="104" t="n">
        <v>1.31</v>
      </c>
      <c r="V567" s="104" t="n">
        <v>1.25</v>
      </c>
      <c r="W567" s="104" t="n">
        <v>17.55</v>
      </c>
      <c r="X567" s="105" t="n">
        <v>0.13</v>
      </c>
      <c r="Y567" s="105" t="n">
        <v>0</v>
      </c>
      <c r="Z567" s="105" t="n">
        <v>0.03</v>
      </c>
      <c r="AA567" s="105" t="n">
        <v>0.05</v>
      </c>
      <c r="AB567" s="105" t="n">
        <v>-0.71</v>
      </c>
      <c r="AC567" s="104" t="n">
        <v>-0.06</v>
      </c>
      <c r="AD567" s="104" t="n">
        <v>-0.06</v>
      </c>
      <c r="AE567" s="113" t="inlineStr">
        <is>
          <t>N/A</t>
        </is>
      </c>
      <c r="AF567" s="113" t="inlineStr">
        <is>
          <t>N/A</t>
        </is>
      </c>
      <c r="AG567" s="104" t="n">
        <v>0</v>
      </c>
      <c r="AH567" s="104" t="n">
        <v>0.62</v>
      </c>
      <c r="AI567" s="104" t="n">
        <v>0.14</v>
      </c>
      <c r="AJ567" s="113" t="inlineStr">
        <is>
          <t>N/A</t>
        </is>
      </c>
      <c r="AK567" s="113" t="inlineStr">
        <is>
          <t>N/A</t>
        </is>
      </c>
      <c r="AL567" s="113" t="inlineStr">
        <is>
          <t>N/A</t>
        </is>
      </c>
      <c r="AM567" s="113" t="inlineStr">
        <is>
          <t>N/A</t>
        </is>
      </c>
      <c r="AN567" s="104" t="n">
        <v>0</v>
      </c>
      <c r="AO567" s="104" t="n">
        <v>0.62</v>
      </c>
      <c r="AP567" s="104" t="n">
        <v>0.14</v>
      </c>
      <c r="AQ567" s="113" t="inlineStr">
        <is>
          <t>N/A</t>
        </is>
      </c>
      <c r="AR567" s="113" t="inlineStr">
        <is>
          <t>N/A</t>
        </is>
      </c>
      <c r="AS567" s="113" t="inlineStr">
        <is>
          <t>N/A</t>
        </is>
      </c>
      <c r="AT567" s="113" t="inlineStr">
        <is>
          <t>N/A</t>
        </is>
      </c>
      <c r="AU567" s="104" t="n">
        <v>0</v>
      </c>
      <c r="AV567" s="104" t="n">
        <v>0.62</v>
      </c>
      <c r="AW567" s="113" t="inlineStr">
        <is>
          <t>N/A</t>
        </is>
      </c>
      <c r="AX567" s="113" t="inlineStr">
        <is>
          <t>N/A</t>
        </is>
      </c>
      <c r="AY567" s="113" t="inlineStr">
        <is>
          <t>N/A</t>
        </is>
      </c>
      <c r="AZ567" s="104" t="n">
        <v>0</v>
      </c>
      <c r="BA567" s="113" t="inlineStr">
        <is>
          <t>N/A</t>
        </is>
      </c>
      <c r="BB567" s="104" t="n">
        <v>0.14</v>
      </c>
      <c r="BC567" s="113" t="inlineStr">
        <is>
          <t>N/A</t>
        </is>
      </c>
      <c r="BD567" s="113" t="inlineStr">
        <is>
          <t>N/A</t>
        </is>
      </c>
      <c r="BE567" s="104" t="n">
        <v>0</v>
      </c>
      <c r="BF567" s="104" t="n">
        <v>0.59</v>
      </c>
      <c r="BG567" s="113" t="inlineStr">
        <is>
          <t>N/A</t>
        </is>
      </c>
      <c r="BH567" s="113" t="inlineStr">
        <is>
          <t>N/A</t>
        </is>
      </c>
      <c r="BI567" s="113" t="inlineStr">
        <is>
          <t>N/A</t>
        </is>
      </c>
      <c r="BJ567" s="113" t="inlineStr">
        <is>
          <t>N/A</t>
        </is>
      </c>
      <c r="BK567" s="103" t="n">
        <v>1</v>
      </c>
      <c r="BL567" s="103" t="n">
        <v>1</v>
      </c>
      <c r="BM567" s="103" t="n">
        <v>0</v>
      </c>
      <c r="BN567" s="103" t="n">
        <v>1</v>
      </c>
      <c r="BO567" s="103" t="n">
        <v>0</v>
      </c>
      <c r="BP567" s="103" t="n">
        <v>0</v>
      </c>
      <c r="BQ567" s="103" t="n">
        <v>1</v>
      </c>
      <c r="BR567" s="103" t="n">
        <v>0</v>
      </c>
      <c r="BS567" s="103" t="n">
        <v>1</v>
      </c>
      <c r="BT567" s="103" t="n">
        <v>5</v>
      </c>
      <c r="BU567" s="103" t="inlineStr">
        <is>
          <t>Mixed</t>
        </is>
      </c>
      <c r="BV567" s="104" t="n">
        <v>0.98</v>
      </c>
      <c r="BW567" s="104" t="n">
        <v>1.08</v>
      </c>
      <c r="BX567" s="104" t="n">
        <v>1</v>
      </c>
      <c r="BY567" s="104" t="n">
        <v>1.05</v>
      </c>
      <c r="BZ567" s="104" t="n">
        <v>1.01</v>
      </c>
      <c r="CA567" s="104" t="n">
        <v>0.89</v>
      </c>
      <c r="CB567" s="104" t="n">
        <v>1.08</v>
      </c>
      <c r="CC567" s="104" t="n">
        <v>-0.06</v>
      </c>
      <c r="CD567" s="103" t="n">
        <v>-2.7</v>
      </c>
      <c r="CE567" s="103" t="inlineStr">
        <is>
          <t>Lower Risk</t>
        </is>
      </c>
      <c r="CF567" s="104" t="n">
        <v>8.779999999999999</v>
      </c>
      <c r="CG567" s="104" t="n">
        <v>43.39</v>
      </c>
      <c r="CH567" s="103" t="n">
        <v>0</v>
      </c>
      <c r="CI567" s="103" t="inlineStr">
        <is>
          <t>CLEAR</t>
        </is>
      </c>
    </row>
    <row r="568" ht="17" customHeight="1">
      <c r="A568" s="107" t="inlineStr">
        <is>
          <t>ATO</t>
        </is>
      </c>
      <c r="B568" s="107" t="inlineStr">
        <is>
          <t>ATMOS ENERGY CORP</t>
        </is>
      </c>
      <c r="C568" s="108" t="n">
        <v>-309920000</v>
      </c>
      <c r="D568" s="109" t="n">
        <v>0.33</v>
      </c>
      <c r="E568" s="109" t="n">
        <v>0.31</v>
      </c>
      <c r="F568" s="109" t="n">
        <v>0.25</v>
      </c>
      <c r="G568" s="109" t="n">
        <v>0.04</v>
      </c>
      <c r="H568" s="109" t="n">
        <v>0.04</v>
      </c>
      <c r="I568" s="109" t="n">
        <v>0.09</v>
      </c>
      <c r="J568" s="109" t="n">
        <v>0.06</v>
      </c>
      <c r="K568" s="109" t="n">
        <v>0.37</v>
      </c>
      <c r="L568" s="109" t="n">
        <v>0.09</v>
      </c>
      <c r="M568" s="109" t="n">
        <v>0.17</v>
      </c>
      <c r="N568" s="108" t="n">
        <v>0.17</v>
      </c>
      <c r="O568" s="108" t="n">
        <v>0.77</v>
      </c>
      <c r="P568" s="108" t="n">
        <v>0.9399999999999999</v>
      </c>
      <c r="Q568" s="108" t="n">
        <v>0.77</v>
      </c>
      <c r="R568" s="108" t="n">
        <v>0.15</v>
      </c>
      <c r="S568" s="108" t="n">
        <v>1</v>
      </c>
      <c r="T568" s="108" t="n">
        <v>1</v>
      </c>
      <c r="U568" s="108" t="n">
        <v>0.26</v>
      </c>
      <c r="V568" s="108" t="n">
        <v>0.25</v>
      </c>
      <c r="W568" s="108" t="n">
        <v>1.71</v>
      </c>
      <c r="X568" s="109" t="n">
        <v>-0.32</v>
      </c>
      <c r="Y568" s="109" t="n">
        <v>0</v>
      </c>
      <c r="Z568" s="109" t="n">
        <v>11.36</v>
      </c>
      <c r="AA568" s="109" t="n">
        <v>0.13</v>
      </c>
      <c r="AB568" s="109" t="n">
        <v>0.15</v>
      </c>
      <c r="AC568" s="108" t="n">
        <v>-0.03</v>
      </c>
      <c r="AD568" s="108" t="n">
        <v>-0.03</v>
      </c>
      <c r="AE568" s="108" t="n">
        <v>-0.01</v>
      </c>
      <c r="AF568" s="108" t="n">
        <v>0.17</v>
      </c>
      <c r="AG568" s="108" t="n">
        <v>0.06</v>
      </c>
      <c r="AH568" s="108" t="n">
        <v>0.48</v>
      </c>
      <c r="AI568" s="108" t="n">
        <v>0.17</v>
      </c>
      <c r="AJ568" s="108" t="n">
        <v>0.86</v>
      </c>
      <c r="AK568" s="112" t="inlineStr">
        <is>
          <t>Distress</t>
        </is>
      </c>
      <c r="AL568" s="108" t="n">
        <v>-0.01</v>
      </c>
      <c r="AM568" s="108" t="n">
        <v>0.17</v>
      </c>
      <c r="AN568" s="108" t="n">
        <v>0.06</v>
      </c>
      <c r="AO568" s="108" t="n">
        <v>0.48</v>
      </c>
      <c r="AP568" s="108" t="n">
        <v>0.17</v>
      </c>
      <c r="AQ568" s="107" t="n">
        <v>0.68</v>
      </c>
      <c r="AR568" s="107" t="inlineStr">
        <is>
          <t>Distress</t>
        </is>
      </c>
      <c r="AS568" s="108" t="n">
        <v>-0.01</v>
      </c>
      <c r="AT568" s="108" t="n">
        <v>0.17</v>
      </c>
      <c r="AU568" s="108" t="n">
        <v>0.06</v>
      </c>
      <c r="AV568" s="108" t="n">
        <v>0.48</v>
      </c>
      <c r="AW568" s="107" t="n">
        <v>1.36</v>
      </c>
      <c r="AX568" s="107" t="inlineStr">
        <is>
          <t>Grey</t>
        </is>
      </c>
      <c r="AY568" s="108" t="n">
        <v>-0.01</v>
      </c>
      <c r="AZ568" s="108" t="n">
        <v>0.06</v>
      </c>
      <c r="BA568" s="108" t="n">
        <v>1.08</v>
      </c>
      <c r="BB568" s="108" t="n">
        <v>0.17</v>
      </c>
      <c r="BC568" s="107" t="n">
        <v>0.9399999999999999</v>
      </c>
      <c r="BD568" s="107" t="inlineStr">
        <is>
          <t>Healthy</t>
        </is>
      </c>
      <c r="BE568" s="108" t="n">
        <v>0.04</v>
      </c>
      <c r="BF568" s="108" t="n">
        <v>1</v>
      </c>
      <c r="BG568" s="108" t="n">
        <v>0.77</v>
      </c>
      <c r="BH568" s="108" t="n">
        <v>1.15</v>
      </c>
      <c r="BI568" s="107" t="n">
        <v>0.76</v>
      </c>
      <c r="BJ568" s="107" t="inlineStr">
        <is>
          <t>Distress</t>
        </is>
      </c>
      <c r="BK568" s="107" t="n">
        <v>1</v>
      </c>
      <c r="BL568" s="107" t="n">
        <v>1</v>
      </c>
      <c r="BM568" s="107" t="n">
        <v>1</v>
      </c>
      <c r="BN568" s="107" t="n">
        <v>1</v>
      </c>
      <c r="BO568" s="107" t="n">
        <v>0</v>
      </c>
      <c r="BP568" s="107" t="n">
        <v>0</v>
      </c>
      <c r="BQ568" s="107" t="n">
        <v>0</v>
      </c>
      <c r="BR568" s="107" t="n">
        <v>1</v>
      </c>
      <c r="BS568" s="107" t="n">
        <v>1</v>
      </c>
      <c r="BT568" s="107" t="n">
        <v>6</v>
      </c>
      <c r="BU568" s="107" t="inlineStr">
        <is>
          <t>Mixed</t>
        </is>
      </c>
      <c r="BV568" s="108" t="n">
        <v>0.91</v>
      </c>
      <c r="BW568" s="108" t="n">
        <v>0.24</v>
      </c>
      <c r="BX568" s="108" t="n">
        <v>1.01</v>
      </c>
      <c r="BY568" s="108" t="n">
        <v>1.13</v>
      </c>
      <c r="BZ568" s="108" t="n">
        <v>1.02</v>
      </c>
      <c r="CA568" s="111" t="inlineStr">
        <is>
          <t>N/A</t>
        </is>
      </c>
      <c r="CB568" s="108" t="n">
        <v>1</v>
      </c>
      <c r="CC568" s="108" t="n">
        <v>-0.03</v>
      </c>
      <c r="CD568" s="107" t="n">
        <v>-2.81</v>
      </c>
      <c r="CE568" s="107" t="inlineStr">
        <is>
          <t>Lower Risk</t>
        </is>
      </c>
      <c r="CF568" s="108" t="n">
        <v>1.45</v>
      </c>
      <c r="CG568" s="108" t="n">
        <v>49.2</v>
      </c>
      <c r="CH568" s="107" t="n">
        <v>0</v>
      </c>
      <c r="CI568" s="107" t="inlineStr">
        <is>
          <t>CLEAR</t>
        </is>
      </c>
    </row>
    <row r="569" ht="17" customHeight="1">
      <c r="A569" s="103" t="inlineStr">
        <is>
          <t>C</t>
        </is>
      </c>
      <c r="B569" s="103" t="inlineStr">
        <is>
          <t>Citigroup Inc</t>
        </is>
      </c>
      <c r="C569" s="113" t="inlineStr">
        <is>
          <t>N/A</t>
        </is>
      </c>
      <c r="D569" s="105" t="n">
        <v>0.23</v>
      </c>
      <c r="E569" s="105" t="n">
        <v>0.23</v>
      </c>
      <c r="F569" s="105" t="n">
        <v>0.17</v>
      </c>
      <c r="G569" s="105" t="n">
        <v>0.01</v>
      </c>
      <c r="H569" s="105" t="n">
        <v>0.01</v>
      </c>
      <c r="I569" s="105" t="n">
        <v>0.07000000000000001</v>
      </c>
      <c r="J569" s="113" t="inlineStr">
        <is>
          <t>N/A</t>
        </is>
      </c>
      <c r="K569" s="105" t="n">
        <v>0.79</v>
      </c>
      <c r="L569" s="105" t="n">
        <v>1</v>
      </c>
      <c r="M569" s="105" t="n">
        <v>0.03</v>
      </c>
      <c r="N569" s="104" t="n">
        <v>0.03</v>
      </c>
      <c r="O569" s="113" t="inlineStr">
        <is>
          <t>N/A</t>
        </is>
      </c>
      <c r="P569" s="113" t="inlineStr">
        <is>
          <t>N/A</t>
        </is>
      </c>
      <c r="Q569" s="113" t="inlineStr">
        <is>
          <t>N/A</t>
        </is>
      </c>
      <c r="R569" s="113" t="inlineStr">
        <is>
          <t>N/A</t>
        </is>
      </c>
      <c r="S569" s="104" t="n">
        <v>0.92</v>
      </c>
      <c r="T569" s="104" t="n">
        <v>0.91</v>
      </c>
      <c r="U569" s="104" t="n">
        <v>1.73</v>
      </c>
      <c r="V569" s="104" t="n">
        <v>0.85</v>
      </c>
      <c r="W569" s="104" t="n">
        <v>-4.73</v>
      </c>
      <c r="X569" s="105" t="n">
        <v>-0.87</v>
      </c>
      <c r="Y569" s="105" t="n">
        <v>0</v>
      </c>
      <c r="Z569" s="105" t="n">
        <v>0.25</v>
      </c>
      <c r="AA569" s="105" t="n">
        <v>0.05</v>
      </c>
      <c r="AB569" s="105" t="n">
        <v>0.13</v>
      </c>
      <c r="AC569" s="104" t="n">
        <v>0.03</v>
      </c>
      <c r="AD569" s="104" t="n">
        <v>0.03</v>
      </c>
      <c r="AE569" s="113" t="inlineStr">
        <is>
          <t>N/A</t>
        </is>
      </c>
      <c r="AF569" s="104" t="n">
        <v>0.08</v>
      </c>
      <c r="AG569" s="104" t="n">
        <v>0.01</v>
      </c>
      <c r="AH569" s="104" t="n">
        <v>0.09</v>
      </c>
      <c r="AI569" s="104" t="n">
        <v>0.03</v>
      </c>
      <c r="AJ569" s="113" t="inlineStr">
        <is>
          <t>N/A</t>
        </is>
      </c>
      <c r="AK569" s="113" t="inlineStr">
        <is>
          <t>N/A</t>
        </is>
      </c>
      <c r="AL569" s="113" t="inlineStr">
        <is>
          <t>N/A</t>
        </is>
      </c>
      <c r="AM569" s="104" t="n">
        <v>0.08</v>
      </c>
      <c r="AN569" s="104" t="n">
        <v>0.01</v>
      </c>
      <c r="AO569" s="104" t="n">
        <v>0.09</v>
      </c>
      <c r="AP569" s="104" t="n">
        <v>0.03</v>
      </c>
      <c r="AQ569" s="113" t="inlineStr">
        <is>
          <t>N/A</t>
        </is>
      </c>
      <c r="AR569" s="113" t="inlineStr">
        <is>
          <t>N/A</t>
        </is>
      </c>
      <c r="AS569" s="113" t="inlineStr">
        <is>
          <t>N/A</t>
        </is>
      </c>
      <c r="AT569" s="104" t="n">
        <v>0.08</v>
      </c>
      <c r="AU569" s="104" t="n">
        <v>0.01</v>
      </c>
      <c r="AV569" s="104" t="n">
        <v>0.09</v>
      </c>
      <c r="AW569" s="113" t="inlineStr">
        <is>
          <t>N/A</t>
        </is>
      </c>
      <c r="AX569" s="113" t="inlineStr">
        <is>
          <t>N/A</t>
        </is>
      </c>
      <c r="AY569" s="113" t="inlineStr">
        <is>
          <t>N/A</t>
        </is>
      </c>
      <c r="AZ569" s="104" t="n">
        <v>0.01</v>
      </c>
      <c r="BA569" s="113" t="inlineStr">
        <is>
          <t>N/A</t>
        </is>
      </c>
      <c r="BB569" s="104" t="n">
        <v>0.03</v>
      </c>
      <c r="BC569" s="113" t="inlineStr">
        <is>
          <t>N/A</t>
        </is>
      </c>
      <c r="BD569" s="113" t="inlineStr">
        <is>
          <t>N/A</t>
        </is>
      </c>
      <c r="BE569" s="104" t="n">
        <v>0.01</v>
      </c>
      <c r="BF569" s="104" t="n">
        <v>0.92</v>
      </c>
      <c r="BG569" s="113" t="inlineStr">
        <is>
          <t>N/A</t>
        </is>
      </c>
      <c r="BH569" s="113" t="inlineStr">
        <is>
          <t>N/A</t>
        </is>
      </c>
      <c r="BI569" s="113" t="inlineStr">
        <is>
          <t>N/A</t>
        </is>
      </c>
      <c r="BJ569" s="113" t="inlineStr">
        <is>
          <t>N/A</t>
        </is>
      </c>
      <c r="BK569" s="103" t="n">
        <v>1</v>
      </c>
      <c r="BL569" s="103" t="n">
        <v>0</v>
      </c>
      <c r="BM569" s="103" t="n">
        <v>0</v>
      </c>
      <c r="BN569" s="103" t="n">
        <v>0</v>
      </c>
      <c r="BO569" s="103" t="n">
        <v>1</v>
      </c>
      <c r="BP569" s="103" t="n">
        <v>0</v>
      </c>
      <c r="BQ569" s="103" t="n">
        <v>0</v>
      </c>
      <c r="BR569" s="103" t="n">
        <v>0</v>
      </c>
      <c r="BS569" s="103" t="n">
        <v>0</v>
      </c>
      <c r="BT569" s="103" t="n">
        <v>2</v>
      </c>
      <c r="BU569" s="103" t="inlineStr">
        <is>
          <t>Weak</t>
        </is>
      </c>
      <c r="BV569" s="113" t="inlineStr">
        <is>
          <t>N/A</t>
        </is>
      </c>
      <c r="BW569" s="104" t="n">
        <v>1.26</v>
      </c>
      <c r="BX569" s="113" t="inlineStr">
        <is>
          <t>N/A</t>
        </is>
      </c>
      <c r="BY569" s="104" t="n">
        <v>1.05</v>
      </c>
      <c r="BZ569" s="113" t="inlineStr">
        <is>
          <t>N/A</t>
        </is>
      </c>
      <c r="CA569" s="113" t="inlineStr">
        <is>
          <t>N/A</t>
        </is>
      </c>
      <c r="CB569" s="104" t="n">
        <v>1.01</v>
      </c>
      <c r="CC569" s="104" t="n">
        <v>0.03</v>
      </c>
      <c r="CD569" s="113" t="inlineStr">
        <is>
          <t>N/A</t>
        </is>
      </c>
      <c r="CE569" s="113" t="inlineStr">
        <is>
          <t>N/A</t>
        </is>
      </c>
      <c r="CF569" s="104" t="n">
        <v>8.949999999999999</v>
      </c>
      <c r="CG569" s="104" t="n">
        <v>31.28</v>
      </c>
      <c r="CH569" s="103" t="n">
        <v>20</v>
      </c>
      <c r="CI569" s="103" t="inlineStr">
        <is>
          <t>CLEAR</t>
        </is>
      </c>
    </row>
    <row r="570" ht="17" customHeight="1">
      <c r="A570" s="107" t="inlineStr">
        <is>
          <t>SHW</t>
        </is>
      </c>
      <c r="B570" s="107" t="inlineStr">
        <is>
          <t>THE SHERWIN-WILLIAMS COMPANY</t>
        </is>
      </c>
      <c r="C570" s="108" t="n">
        <v>-912900000</v>
      </c>
      <c r="D570" s="109" t="n">
        <v>0.23</v>
      </c>
      <c r="E570" s="109" t="n">
        <v>0.19</v>
      </c>
      <c r="F570" s="109" t="n">
        <v>0.14</v>
      </c>
      <c r="G570" s="109" t="n">
        <v>0.1</v>
      </c>
      <c r="H570" s="109" t="n">
        <v>0.11</v>
      </c>
      <c r="I570" s="109" t="n">
        <v>0.5600000000000001</v>
      </c>
      <c r="J570" s="109" t="n">
        <v>0.22</v>
      </c>
      <c r="K570" s="109" t="n">
        <v>0.64</v>
      </c>
      <c r="L570" s="109" t="n">
        <v>2.72</v>
      </c>
      <c r="M570" s="109" t="n">
        <v>0.6899999999999999</v>
      </c>
      <c r="N570" s="108" t="n">
        <v>0.17</v>
      </c>
      <c r="O570" s="108" t="n">
        <v>0.87</v>
      </c>
      <c r="P570" s="108" t="n">
        <v>0.79</v>
      </c>
      <c r="Q570" s="108" t="n">
        <v>0.53</v>
      </c>
      <c r="R570" s="108" t="n">
        <v>0.03</v>
      </c>
      <c r="S570" s="108" t="n">
        <v>1</v>
      </c>
      <c r="T570" s="108" t="n">
        <v>1</v>
      </c>
      <c r="U570" s="108" t="n">
        <v>2.36</v>
      </c>
      <c r="V570" s="108" t="n">
        <v>2.32</v>
      </c>
      <c r="W570" s="108" t="n">
        <v>1.34</v>
      </c>
      <c r="X570" s="109" t="n">
        <v>0.19</v>
      </c>
      <c r="Y570" s="109" t="n">
        <v>0</v>
      </c>
      <c r="Z570" s="109" t="n">
        <v>9.970000000000001</v>
      </c>
      <c r="AA570" s="109" t="n">
        <v>3.35</v>
      </c>
      <c r="AB570" s="109" t="n">
        <v>-0.04</v>
      </c>
      <c r="AC570" s="108" t="n">
        <v>-0.03</v>
      </c>
      <c r="AD570" s="108" t="n">
        <v>-0.03</v>
      </c>
      <c r="AE570" s="108" t="n">
        <v>-0.04</v>
      </c>
      <c r="AF570" s="108" t="n">
        <v>0.04</v>
      </c>
      <c r="AG570" s="108" t="n">
        <v>0.16</v>
      </c>
      <c r="AH570" s="108" t="n">
        <v>0.18</v>
      </c>
      <c r="AI570" s="108" t="n">
        <v>0.6899999999999999</v>
      </c>
      <c r="AJ570" s="108" t="n">
        <v>1.34</v>
      </c>
      <c r="AK570" s="112" t="inlineStr">
        <is>
          <t>Distress</t>
        </is>
      </c>
      <c r="AL570" s="108" t="n">
        <v>-0.04</v>
      </c>
      <c r="AM570" s="108" t="n">
        <v>0.04</v>
      </c>
      <c r="AN570" s="108" t="n">
        <v>0.16</v>
      </c>
      <c r="AO570" s="108" t="n">
        <v>0.18</v>
      </c>
      <c r="AP570" s="108" t="n">
        <v>0.6899999999999999</v>
      </c>
      <c r="AQ570" s="107" t="n">
        <v>1.27</v>
      </c>
      <c r="AR570" s="107" t="inlineStr">
        <is>
          <t>Grey</t>
        </is>
      </c>
      <c r="AS570" s="108" t="n">
        <v>-0.04</v>
      </c>
      <c r="AT570" s="108" t="n">
        <v>0.04</v>
      </c>
      <c r="AU570" s="108" t="n">
        <v>0.16</v>
      </c>
      <c r="AV570" s="108" t="n">
        <v>0.18</v>
      </c>
      <c r="AW570" s="107" t="n">
        <v>1.16</v>
      </c>
      <c r="AX570" s="107" t="inlineStr">
        <is>
          <t>Grey</t>
        </is>
      </c>
      <c r="AY570" s="108" t="n">
        <v>-0.04</v>
      </c>
      <c r="AZ570" s="108" t="n">
        <v>0.16</v>
      </c>
      <c r="BA570" s="108" t="n">
        <v>0.48</v>
      </c>
      <c r="BB570" s="108" t="n">
        <v>0.6899999999999999</v>
      </c>
      <c r="BC570" s="107" t="n">
        <v>1.05</v>
      </c>
      <c r="BD570" s="107" t="inlineStr">
        <is>
          <t>Healthy</t>
        </is>
      </c>
      <c r="BE570" s="108" t="n">
        <v>0.1</v>
      </c>
      <c r="BF570" s="108" t="n">
        <v>1</v>
      </c>
      <c r="BG570" s="108" t="n">
        <v>0.87</v>
      </c>
      <c r="BH570" s="108" t="n">
        <v>0.9</v>
      </c>
      <c r="BI570" s="107" t="n">
        <v>0.71</v>
      </c>
      <c r="BJ570" s="107" t="inlineStr">
        <is>
          <t>Distress</t>
        </is>
      </c>
      <c r="BK570" s="107" t="n">
        <v>1</v>
      </c>
      <c r="BL570" s="107" t="n">
        <v>1</v>
      </c>
      <c r="BM570" s="107" t="n">
        <v>0</v>
      </c>
      <c r="BN570" s="107" t="n">
        <v>1</v>
      </c>
      <c r="BO570" s="107" t="n">
        <v>1</v>
      </c>
      <c r="BP570" s="107" t="n">
        <v>1</v>
      </c>
      <c r="BQ570" s="107" t="n">
        <v>1</v>
      </c>
      <c r="BR570" s="107" t="n">
        <v>0</v>
      </c>
      <c r="BS570" s="107" t="n">
        <v>1</v>
      </c>
      <c r="BT570" s="107" t="n">
        <v>7</v>
      </c>
      <c r="BU570" s="107" t="inlineStr">
        <is>
          <t>Strong</t>
        </is>
      </c>
      <c r="BV570" s="108" t="n">
        <v>0.27</v>
      </c>
      <c r="BW570" s="108" t="n">
        <v>4.23</v>
      </c>
      <c r="BX570" s="108" t="n">
        <v>0.98</v>
      </c>
      <c r="BY570" s="108" t="n">
        <v>4.35</v>
      </c>
      <c r="BZ570" s="108" t="n">
        <v>1.02</v>
      </c>
      <c r="CA570" s="108" t="n">
        <v>0.24</v>
      </c>
      <c r="CB570" s="108" t="n">
        <v>1</v>
      </c>
      <c r="CC570" s="108" t="n">
        <v>-0.03</v>
      </c>
      <c r="CD570" s="107" t="n">
        <v>1.51</v>
      </c>
      <c r="CE570" s="107" t="inlineStr">
        <is>
          <t>Higher Risk</t>
        </is>
      </c>
      <c r="CF570" s="108" t="n">
        <v>2.37</v>
      </c>
      <c r="CG570" s="108" t="n">
        <v>50.17</v>
      </c>
      <c r="CH570" s="107" t="n">
        <v>20</v>
      </c>
      <c r="CI570" s="107" t="inlineStr">
        <is>
          <t>CLEAR</t>
        </is>
      </c>
    </row>
    <row r="571" ht="17" customHeight="1">
      <c r="A571" s="103" t="inlineStr">
        <is>
          <t>AES</t>
        </is>
      </c>
      <c r="B571" s="103" t="inlineStr">
        <is>
          <t>AES CORP</t>
        </is>
      </c>
      <c r="C571" s="104" t="n">
        <v>-1990000000</v>
      </c>
      <c r="D571" s="105" t="n">
        <v>0.01</v>
      </c>
      <c r="E571" s="105" t="n">
        <v>0.01</v>
      </c>
      <c r="F571" s="105" t="n">
        <v>0.07000000000000001</v>
      </c>
      <c r="G571" s="105" t="n">
        <v>0.02</v>
      </c>
      <c r="H571" s="105" t="n">
        <v>0.04</v>
      </c>
      <c r="I571" s="105" t="n">
        <v>0.22</v>
      </c>
      <c r="J571" s="105" t="n">
        <v>0</v>
      </c>
      <c r="K571" s="105" t="n">
        <v>0.18</v>
      </c>
      <c r="L571" s="105" t="n">
        <v>0.19</v>
      </c>
      <c r="M571" s="105" t="n">
        <v>0.24</v>
      </c>
      <c r="N571" s="104" t="n">
        <v>0.26</v>
      </c>
      <c r="O571" s="104" t="n">
        <v>0.77</v>
      </c>
      <c r="P571" s="104" t="n">
        <v>0.8</v>
      </c>
      <c r="Q571" s="104" t="n">
        <v>0.6899999999999999</v>
      </c>
      <c r="R571" s="104" t="n">
        <v>0.16</v>
      </c>
      <c r="S571" s="104" t="n">
        <v>1</v>
      </c>
      <c r="T571" s="104" t="n">
        <v>1</v>
      </c>
      <c r="U571" s="113" t="inlineStr">
        <is>
          <t>N/A</t>
        </is>
      </c>
      <c r="V571" s="113" t="inlineStr">
        <is>
          <t>N/A</t>
        </is>
      </c>
      <c r="W571" s="104" t="n">
        <v>4.73</v>
      </c>
      <c r="X571" s="105" t="n">
        <v>-0.13</v>
      </c>
      <c r="Y571" s="105" t="n">
        <v>0</v>
      </c>
      <c r="Z571" s="105" t="n">
        <v>0.07000000000000001</v>
      </c>
      <c r="AA571" s="105" t="n">
        <v>-0</v>
      </c>
      <c r="AB571" s="105" t="n">
        <v>-0.46</v>
      </c>
      <c r="AC571" s="104" t="n">
        <v>-0.07000000000000001</v>
      </c>
      <c r="AD571" s="104" t="n">
        <v>-0.07000000000000001</v>
      </c>
      <c r="AE571" s="104" t="n">
        <v>-0.04</v>
      </c>
      <c r="AF571" s="104" t="n">
        <v>0.01</v>
      </c>
      <c r="AG571" s="104" t="n">
        <v>0</v>
      </c>
      <c r="AH571" s="104" t="n">
        <v>0.08</v>
      </c>
      <c r="AI571" s="104" t="n">
        <v>0.24</v>
      </c>
      <c r="AJ571" s="104" t="n">
        <v>0.26</v>
      </c>
      <c r="AK571" s="112" t="inlineStr">
        <is>
          <t>Distress</t>
        </is>
      </c>
      <c r="AL571" s="104" t="n">
        <v>-0.04</v>
      </c>
      <c r="AM571" s="104" t="n">
        <v>0.01</v>
      </c>
      <c r="AN571" s="104" t="n">
        <v>0</v>
      </c>
      <c r="AO571" s="104" t="n">
        <v>0.08</v>
      </c>
      <c r="AP571" s="104" t="n">
        <v>0.24</v>
      </c>
      <c r="AQ571" s="103" t="n">
        <v>0.26</v>
      </c>
      <c r="AR571" s="103" t="inlineStr">
        <is>
          <t>Distress</t>
        </is>
      </c>
      <c r="AS571" s="104" t="n">
        <v>-0.04</v>
      </c>
      <c r="AT571" s="104" t="n">
        <v>0.01</v>
      </c>
      <c r="AU571" s="104" t="n">
        <v>0</v>
      </c>
      <c r="AV571" s="104" t="n">
        <v>0.08</v>
      </c>
      <c r="AW571" s="103" t="n">
        <v>-0.12</v>
      </c>
      <c r="AX571" s="103" t="inlineStr">
        <is>
          <t>Distress</t>
        </is>
      </c>
      <c r="AY571" s="104" t="n">
        <v>-0.04</v>
      </c>
      <c r="AZ571" s="104" t="n">
        <v>0</v>
      </c>
      <c r="BA571" s="104" t="n">
        <v>0.01</v>
      </c>
      <c r="BB571" s="104" t="n">
        <v>0.24</v>
      </c>
      <c r="BC571" s="103" t="n">
        <v>0.07000000000000001</v>
      </c>
      <c r="BD571" s="103" t="inlineStr">
        <is>
          <t>Distress</t>
        </is>
      </c>
      <c r="BE571" s="104" t="n">
        <v>0.02</v>
      </c>
      <c r="BF571" s="104" t="n">
        <v>1</v>
      </c>
      <c r="BG571" s="104" t="n">
        <v>0.77</v>
      </c>
      <c r="BH571" s="104" t="n">
        <v>1.27</v>
      </c>
      <c r="BI571" s="103" t="n">
        <v>0.78</v>
      </c>
      <c r="BJ571" s="103" t="inlineStr">
        <is>
          <t>Distress</t>
        </is>
      </c>
      <c r="BK571" s="103" t="n">
        <v>1</v>
      </c>
      <c r="BL571" s="103" t="n">
        <v>1</v>
      </c>
      <c r="BM571" s="103" t="n">
        <v>0</v>
      </c>
      <c r="BN571" s="103" t="n">
        <v>1</v>
      </c>
      <c r="BO571" s="103" t="n">
        <v>0</v>
      </c>
      <c r="BP571" s="103" t="n">
        <v>0</v>
      </c>
      <c r="BQ571" s="103" t="n">
        <v>0</v>
      </c>
      <c r="BR571" s="103" t="n">
        <v>0</v>
      </c>
      <c r="BS571" s="103" t="n">
        <v>0</v>
      </c>
      <c r="BT571" s="103" t="n">
        <v>3</v>
      </c>
      <c r="BU571" s="103" t="inlineStr">
        <is>
          <t>Weak</t>
        </is>
      </c>
      <c r="BV571" s="104" t="n">
        <v>153.56</v>
      </c>
      <c r="BW571" s="104" t="n">
        <v>1.04</v>
      </c>
      <c r="BX571" s="104" t="n">
        <v>0.92</v>
      </c>
      <c r="BY571" s="104" t="n">
        <v>1</v>
      </c>
      <c r="BZ571" s="104" t="n">
        <v>0.99</v>
      </c>
      <c r="CA571" s="104" t="n">
        <v>0.84</v>
      </c>
      <c r="CB571" s="104" t="n">
        <v>1</v>
      </c>
      <c r="CC571" s="104" t="n">
        <v>-0.07000000000000001</v>
      </c>
      <c r="CD571" s="103" t="n">
        <v>137.58</v>
      </c>
      <c r="CE571" s="103" t="inlineStr">
        <is>
          <t>Higher Risk</t>
        </is>
      </c>
      <c r="CF571" s="113" t="inlineStr">
        <is>
          <t>N/A</t>
        </is>
      </c>
      <c r="CG571" s="104" t="n">
        <v>31.07</v>
      </c>
      <c r="CH571" s="103" t="n">
        <v>20</v>
      </c>
      <c r="CI571" s="103" t="inlineStr">
        <is>
          <t>CLEAR</t>
        </is>
      </c>
    </row>
    <row r="572" ht="17" customHeight="1">
      <c r="A572" s="107" t="inlineStr">
        <is>
          <t>ZS</t>
        </is>
      </c>
      <c r="B572" s="107" t="inlineStr">
        <is>
          <t>ZSCALER, INC.</t>
        </is>
      </c>
      <c r="C572" s="108" t="n">
        <v>2464679000</v>
      </c>
      <c r="D572" s="109" t="n">
        <v>-0.05</v>
      </c>
      <c r="E572" s="109" t="n">
        <v>-0.01</v>
      </c>
      <c r="F572" s="109" t="n">
        <v>-0.02</v>
      </c>
      <c r="G572" s="109" t="n">
        <v>-0.01</v>
      </c>
      <c r="H572" s="109" t="n">
        <v>-0.01</v>
      </c>
      <c r="I572" s="109" t="n">
        <v>-0.02</v>
      </c>
      <c r="J572" s="109" t="n">
        <v>-0.03</v>
      </c>
      <c r="K572" s="109" t="n">
        <v>0.77</v>
      </c>
      <c r="L572" s="109" t="n">
        <v>0.78</v>
      </c>
      <c r="M572" s="109" t="n">
        <v>0.42</v>
      </c>
      <c r="N572" s="108" t="n">
        <v>0.46</v>
      </c>
      <c r="O572" s="108" t="n">
        <v>2.01</v>
      </c>
      <c r="P572" s="108" t="n">
        <v>1.09</v>
      </c>
      <c r="Q572" s="108" t="n">
        <v>2.01</v>
      </c>
      <c r="R572" s="108" t="n">
        <v>0.98</v>
      </c>
      <c r="S572" s="108" t="n">
        <v>0.72</v>
      </c>
      <c r="T572" s="108" t="n">
        <v>0.73</v>
      </c>
      <c r="U572" s="108" t="n">
        <v>0.63</v>
      </c>
      <c r="V572" s="108" t="n">
        <v>-0.6899999999999999</v>
      </c>
      <c r="W572" s="108" t="n">
        <v>-23.45</v>
      </c>
      <c r="X572" s="109" t="n">
        <v>0.3</v>
      </c>
      <c r="Y572" s="109" t="n">
        <v>0.25</v>
      </c>
      <c r="Z572" s="109" t="n">
        <v>-19.64</v>
      </c>
      <c r="AA572" s="109" t="n">
        <v>0.23</v>
      </c>
      <c r="AB572" s="109" t="n">
        <v>-0.28</v>
      </c>
      <c r="AC572" s="108" t="n">
        <v>-0.16</v>
      </c>
      <c r="AD572" s="108" t="n">
        <v>-0.16</v>
      </c>
      <c r="AE572" s="108" t="n">
        <v>0.38</v>
      </c>
      <c r="AF572" s="108" t="n">
        <v>-0.19</v>
      </c>
      <c r="AG572" s="108" t="n">
        <v>-0.02</v>
      </c>
      <c r="AH572" s="108" t="n">
        <v>0.39</v>
      </c>
      <c r="AI572" s="108" t="n">
        <v>0.42</v>
      </c>
      <c r="AJ572" s="108" t="n">
        <v>0.79</v>
      </c>
      <c r="AK572" s="112" t="inlineStr">
        <is>
          <t>Distress</t>
        </is>
      </c>
      <c r="AL572" s="108" t="n">
        <v>0.38</v>
      </c>
      <c r="AM572" s="108" t="n">
        <v>-0.19</v>
      </c>
      <c r="AN572" s="108" t="n">
        <v>-0.02</v>
      </c>
      <c r="AO572" s="108" t="n">
        <v>0.39</v>
      </c>
      <c r="AP572" s="108" t="n">
        <v>0.42</v>
      </c>
      <c r="AQ572" s="107" t="n">
        <v>0.64</v>
      </c>
      <c r="AR572" s="107" t="inlineStr">
        <is>
          <t>Distress</t>
        </is>
      </c>
      <c r="AS572" s="108" t="n">
        <v>0.38</v>
      </c>
      <c r="AT572" s="108" t="n">
        <v>-0.19</v>
      </c>
      <c r="AU572" s="108" t="n">
        <v>-0.02</v>
      </c>
      <c r="AV572" s="108" t="n">
        <v>0.39</v>
      </c>
      <c r="AW572" s="107" t="n">
        <v>2.19</v>
      </c>
      <c r="AX572" s="107" t="inlineStr">
        <is>
          <t>Grey</t>
        </is>
      </c>
      <c r="AY572" s="108" t="n">
        <v>0.38</v>
      </c>
      <c r="AZ572" s="108" t="n">
        <v>-0.02</v>
      </c>
      <c r="BA572" s="108" t="n">
        <v>-0.01</v>
      </c>
      <c r="BB572" s="108" t="n">
        <v>0.42</v>
      </c>
      <c r="BC572" s="107" t="n">
        <v>0.5</v>
      </c>
      <c r="BD572" s="107" t="inlineStr">
        <is>
          <t>Distress</t>
        </is>
      </c>
      <c r="BE572" s="108" t="n">
        <v>-0.01</v>
      </c>
      <c r="BF572" s="108" t="n">
        <v>0.72</v>
      </c>
      <c r="BG572" s="108" t="n">
        <v>2.01</v>
      </c>
      <c r="BH572" s="108" t="n">
        <v>-0.21</v>
      </c>
      <c r="BI572" s="107" t="n">
        <v>0.45</v>
      </c>
      <c r="BJ572" s="107" t="inlineStr">
        <is>
          <t>Healthy</t>
        </is>
      </c>
      <c r="BK572" s="107" t="n">
        <v>0</v>
      </c>
      <c r="BL572" s="107" t="n">
        <v>1</v>
      </c>
      <c r="BM572" s="107" t="n">
        <v>1</v>
      </c>
      <c r="BN572" s="107" t="n">
        <v>1</v>
      </c>
      <c r="BO572" s="107" t="n">
        <v>1</v>
      </c>
      <c r="BP572" s="107" t="n">
        <v>1</v>
      </c>
      <c r="BQ572" s="107" t="n">
        <v>0</v>
      </c>
      <c r="BR572" s="107" t="n">
        <v>0</v>
      </c>
      <c r="BS572" s="107" t="n">
        <v>0</v>
      </c>
      <c r="BT572" s="107" t="n">
        <v>5</v>
      </c>
      <c r="BU572" s="107" t="inlineStr">
        <is>
          <t>Mixed</t>
        </is>
      </c>
      <c r="BV572" s="108" t="n">
        <v>1.09</v>
      </c>
      <c r="BW572" s="108" t="n">
        <v>1.01</v>
      </c>
      <c r="BX572" s="108" t="n">
        <v>0.78</v>
      </c>
      <c r="BY572" s="108" t="n">
        <v>1.23</v>
      </c>
      <c r="BZ572" s="108" t="n">
        <v>1.22</v>
      </c>
      <c r="CA572" s="108" t="n">
        <v>0.96</v>
      </c>
      <c r="CB572" s="108" t="n">
        <v>0.99</v>
      </c>
      <c r="CC572" s="108" t="n">
        <v>-0.16</v>
      </c>
      <c r="CD572" s="107" t="n">
        <v>-2.97</v>
      </c>
      <c r="CE572" s="107" t="inlineStr">
        <is>
          <t>Lower Risk</t>
        </is>
      </c>
      <c r="CF572" s="108" t="n">
        <v>11.17</v>
      </c>
      <c r="CG572" s="108" t="n">
        <v>45.17</v>
      </c>
      <c r="CH572" s="106" t="n">
        <v>40</v>
      </c>
      <c r="CI572" s="107" t="inlineStr">
        <is>
          <t>WATCH</t>
        </is>
      </c>
    </row>
    <row r="573" ht="17" customHeight="1">
      <c r="A573" s="103" t="inlineStr">
        <is>
          <t>NWL</t>
        </is>
      </c>
      <c r="B573" s="103" t="inlineStr">
        <is>
          <t>NEWELL BRANDS INC.</t>
        </is>
      </c>
      <c r="C573" s="104" t="n">
        <v>183000000</v>
      </c>
      <c r="D573" s="105" t="n">
        <v>0</v>
      </c>
      <c r="E573" s="105" t="n">
        <v>-0.02</v>
      </c>
      <c r="F573" s="105" t="n">
        <v>-0.02</v>
      </c>
      <c r="G573" s="105" t="n">
        <v>-0.03</v>
      </c>
      <c r="H573" s="105" t="n">
        <v>-0.02</v>
      </c>
      <c r="I573" s="105" t="n">
        <v>-0.12</v>
      </c>
      <c r="J573" s="105" t="n">
        <v>0</v>
      </c>
      <c r="K573" s="105" t="n">
        <v>0.16</v>
      </c>
      <c r="L573" s="105" t="n">
        <v>0.19</v>
      </c>
      <c r="M573" s="105" t="n">
        <v>1.38</v>
      </c>
      <c r="N573" s="104" t="n">
        <v>1.21</v>
      </c>
      <c r="O573" s="104" t="n">
        <v>1.07</v>
      </c>
      <c r="P573" s="104" t="n">
        <v>1.14</v>
      </c>
      <c r="Q573" s="104" t="n">
        <v>0.57</v>
      </c>
      <c r="R573" s="104" t="n">
        <v>0.08</v>
      </c>
      <c r="S573" s="104" t="n">
        <v>0.78</v>
      </c>
      <c r="T573" s="104" t="n">
        <v>0.75</v>
      </c>
      <c r="U573" s="104" t="n">
        <v>5.25</v>
      </c>
      <c r="V573" s="104" t="n">
        <v>5.17</v>
      </c>
      <c r="W573" s="104" t="n">
        <v>-0.93</v>
      </c>
      <c r="X573" s="105" t="n">
        <v>0.02</v>
      </c>
      <c r="Y573" s="105" t="n">
        <v>0.01</v>
      </c>
      <c r="Z573" s="105" t="n">
        <v>0.14</v>
      </c>
      <c r="AA573" s="105" t="n">
        <v>0.11</v>
      </c>
      <c r="AB573" s="105" t="n">
        <v>0.32</v>
      </c>
      <c r="AC573" s="104" t="n">
        <v>-0.05</v>
      </c>
      <c r="AD573" s="104" t="n">
        <v>-0.05</v>
      </c>
      <c r="AE573" s="104" t="n">
        <v>0.02</v>
      </c>
      <c r="AF573" s="104" t="n">
        <v>-0.3</v>
      </c>
      <c r="AG573" s="104" t="n">
        <v>0</v>
      </c>
      <c r="AH573" s="104" t="n">
        <v>0.29</v>
      </c>
      <c r="AI573" s="104" t="n">
        <v>1.38</v>
      </c>
      <c r="AJ573" s="104" t="n">
        <v>1.16</v>
      </c>
      <c r="AK573" s="112" t="inlineStr">
        <is>
          <t>Distress</t>
        </is>
      </c>
      <c r="AL573" s="104" t="n">
        <v>0.02</v>
      </c>
      <c r="AM573" s="104" t="n">
        <v>-0.3</v>
      </c>
      <c r="AN573" s="104" t="n">
        <v>0</v>
      </c>
      <c r="AO573" s="104" t="n">
        <v>0.29</v>
      </c>
      <c r="AP573" s="104" t="n">
        <v>1.38</v>
      </c>
      <c r="AQ573" s="103" t="n">
        <v>1.26</v>
      </c>
      <c r="AR573" s="103" t="inlineStr">
        <is>
          <t>Grey</t>
        </is>
      </c>
      <c r="AS573" s="104" t="n">
        <v>0.02</v>
      </c>
      <c r="AT573" s="104" t="n">
        <v>-0.3</v>
      </c>
      <c r="AU573" s="104" t="n">
        <v>0</v>
      </c>
      <c r="AV573" s="104" t="n">
        <v>0.29</v>
      </c>
      <c r="AW573" s="103" t="n">
        <v>-0.54</v>
      </c>
      <c r="AX573" s="103" t="inlineStr">
        <is>
          <t>Distress</t>
        </is>
      </c>
      <c r="AY573" s="104" t="n">
        <v>0.02</v>
      </c>
      <c r="AZ573" s="104" t="n">
        <v>0</v>
      </c>
      <c r="BA573" s="104" t="n">
        <v>-0.12</v>
      </c>
      <c r="BB573" s="104" t="n">
        <v>1.38</v>
      </c>
      <c r="BC573" s="103" t="n">
        <v>0.5</v>
      </c>
      <c r="BD573" s="103" t="inlineStr">
        <is>
          <t>Distress</t>
        </is>
      </c>
      <c r="BE573" s="104" t="n">
        <v>-0.03</v>
      </c>
      <c r="BF573" s="104" t="n">
        <v>0.78</v>
      </c>
      <c r="BG573" s="104" t="n">
        <v>1.07</v>
      </c>
      <c r="BH573" s="104" t="n">
        <v>0.2</v>
      </c>
      <c r="BI573" s="103" t="n">
        <v>0.55</v>
      </c>
      <c r="BJ573" s="103" t="inlineStr">
        <is>
          <t>Distress</t>
        </is>
      </c>
      <c r="BK573" s="103" t="n">
        <v>0</v>
      </c>
      <c r="BL573" s="103" t="n">
        <v>1</v>
      </c>
      <c r="BM573" s="103" t="n">
        <v>0</v>
      </c>
      <c r="BN573" s="103" t="n">
        <v>1</v>
      </c>
      <c r="BO573" s="103" t="n">
        <v>0</v>
      </c>
      <c r="BP573" s="103" t="n">
        <v>0</v>
      </c>
      <c r="BQ573" s="103" t="n">
        <v>0</v>
      </c>
      <c r="BR573" s="103" t="n">
        <v>0</v>
      </c>
      <c r="BS573" s="103" t="n">
        <v>1</v>
      </c>
      <c r="BT573" s="103" t="n">
        <v>3</v>
      </c>
      <c r="BU573" s="103" t="inlineStr">
        <is>
          <t>Weak</t>
        </is>
      </c>
      <c r="BV573" s="104" t="n">
        <v>1.01</v>
      </c>
      <c r="BW573" s="104" t="n">
        <v>1.16</v>
      </c>
      <c r="BX573" s="104" t="n">
        <v>0.99</v>
      </c>
      <c r="BY573" s="104" t="n">
        <v>1.11</v>
      </c>
      <c r="BZ573" s="104" t="n">
        <v>1.03</v>
      </c>
      <c r="CA573" s="104" t="n">
        <v>0.86</v>
      </c>
      <c r="CB573" s="104" t="n">
        <v>1.04</v>
      </c>
      <c r="CC573" s="104" t="n">
        <v>-0.05</v>
      </c>
      <c r="CD573" s="103" t="n">
        <v>-2.51</v>
      </c>
      <c r="CE573" s="103" t="inlineStr">
        <is>
          <t>Lower Risk</t>
        </is>
      </c>
      <c r="CF573" s="104" t="n">
        <v>58.46</v>
      </c>
      <c r="CG573" s="104" t="n">
        <v>39.58</v>
      </c>
      <c r="CH573" s="103" t="n">
        <v>20</v>
      </c>
      <c r="CI573" s="103" t="inlineStr">
        <is>
          <t>CLEAR</t>
        </is>
      </c>
    </row>
    <row r="574" ht="17" customHeight="1">
      <c r="A574" s="107" t="inlineStr">
        <is>
          <t>TEAM</t>
        </is>
      </c>
      <c r="B574" s="107" t="inlineStr">
        <is>
          <t>Atlassian Corporation</t>
        </is>
      </c>
      <c r="C574" s="108" t="n">
        <v>710378000</v>
      </c>
      <c r="D574" s="109" t="n">
        <v>-0.03</v>
      </c>
      <c r="E574" s="109" t="n">
        <v>-0.02</v>
      </c>
      <c r="F574" s="109" t="n">
        <v>-0.05</v>
      </c>
      <c r="G574" s="109" t="n">
        <v>-0.04</v>
      </c>
      <c r="H574" s="109" t="n">
        <v>-0.06</v>
      </c>
      <c r="I574" s="109" t="n">
        <v>-0.19</v>
      </c>
      <c r="J574" s="109" t="n">
        <v>-0.05</v>
      </c>
      <c r="K574" s="109" t="n">
        <v>0.83</v>
      </c>
      <c r="L574" s="109" t="n">
        <v>0.82</v>
      </c>
      <c r="M574" s="109" t="n">
        <v>0.86</v>
      </c>
      <c r="N574" s="108" t="n">
        <v>0.84</v>
      </c>
      <c r="O574" s="108" t="n">
        <v>1.22</v>
      </c>
      <c r="P574" s="108" t="n">
        <v>1.18</v>
      </c>
      <c r="Q574" s="108" t="n">
        <v>1.22</v>
      </c>
      <c r="R574" s="108" t="n">
        <v>0.79</v>
      </c>
      <c r="S574" s="108" t="n">
        <v>0.78</v>
      </c>
      <c r="T574" s="108" t="n">
        <v>0.8</v>
      </c>
      <c r="U574" s="108" t="n">
        <v>0.73</v>
      </c>
      <c r="V574" s="108" t="n">
        <v>-1.13</v>
      </c>
      <c r="W574" s="108" t="n">
        <v>-5.69</v>
      </c>
      <c r="X574" s="109" t="n">
        <v>0.27</v>
      </c>
      <c r="Y574" s="109" t="n">
        <v>0.51</v>
      </c>
      <c r="Z574" s="109" t="n">
        <v>-4.33</v>
      </c>
      <c r="AA574" s="109" t="n">
        <v>0.2</v>
      </c>
      <c r="AB574" s="109" t="n">
        <v>-0.15</v>
      </c>
      <c r="AC574" s="108" t="n">
        <v>-0.28</v>
      </c>
      <c r="AD574" s="108" t="n">
        <v>-0.28</v>
      </c>
      <c r="AE574" s="108" t="n">
        <v>0.12</v>
      </c>
      <c r="AF574" s="108" t="n">
        <v>-0.7</v>
      </c>
      <c r="AG574" s="108" t="n">
        <v>-0.02</v>
      </c>
      <c r="AH574" s="108" t="n">
        <v>0.29</v>
      </c>
      <c r="AI574" s="108" t="n">
        <v>0.86</v>
      </c>
      <c r="AJ574" s="108" t="n">
        <v>0.12</v>
      </c>
      <c r="AK574" s="112" t="inlineStr">
        <is>
          <t>Distress</t>
        </is>
      </c>
      <c r="AL574" s="108" t="n">
        <v>0.12</v>
      </c>
      <c r="AM574" s="108" t="n">
        <v>-0.7</v>
      </c>
      <c r="AN574" s="108" t="n">
        <v>-0.02</v>
      </c>
      <c r="AO574" s="108" t="n">
        <v>0.29</v>
      </c>
      <c r="AP574" s="108" t="n">
        <v>0.86</v>
      </c>
      <c r="AQ574" s="107" t="n">
        <v>0.4</v>
      </c>
      <c r="AR574" s="107" t="inlineStr">
        <is>
          <t>Distress</t>
        </is>
      </c>
      <c r="AS574" s="108" t="n">
        <v>0.12</v>
      </c>
      <c r="AT574" s="108" t="n">
        <v>-0.7</v>
      </c>
      <c r="AU574" s="108" t="n">
        <v>-0.02</v>
      </c>
      <c r="AV574" s="108" t="n">
        <v>0.29</v>
      </c>
      <c r="AW574" s="107" t="n">
        <v>-1.36</v>
      </c>
      <c r="AX574" s="107" t="inlineStr">
        <is>
          <t>Distress</t>
        </is>
      </c>
      <c r="AY574" s="108" t="n">
        <v>0.12</v>
      </c>
      <c r="AZ574" s="108" t="n">
        <v>-0.02</v>
      </c>
      <c r="BA574" s="108" t="n">
        <v>-0.03</v>
      </c>
      <c r="BB574" s="108" t="n">
        <v>0.86</v>
      </c>
      <c r="BC574" s="107" t="n">
        <v>0.38</v>
      </c>
      <c r="BD574" s="107" t="inlineStr">
        <is>
          <t>Distress</t>
        </is>
      </c>
      <c r="BE574" s="108" t="n">
        <v>-0.04</v>
      </c>
      <c r="BF574" s="108" t="n">
        <v>0.78</v>
      </c>
      <c r="BG574" s="108" t="n">
        <v>1.22</v>
      </c>
      <c r="BH574" s="108" t="n">
        <v>0.27</v>
      </c>
      <c r="BI574" s="107" t="n">
        <v>0.57</v>
      </c>
      <c r="BJ574" s="107" t="inlineStr">
        <is>
          <t>Distress</t>
        </is>
      </c>
      <c r="BK574" s="107" t="n">
        <v>0</v>
      </c>
      <c r="BL574" s="107" t="n">
        <v>1</v>
      </c>
      <c r="BM574" s="107" t="n">
        <v>1</v>
      </c>
      <c r="BN574" s="107" t="n">
        <v>1</v>
      </c>
      <c r="BO574" s="107" t="n">
        <v>1</v>
      </c>
      <c r="BP574" s="107" t="n">
        <v>1</v>
      </c>
      <c r="BQ574" s="107" t="n">
        <v>0</v>
      </c>
      <c r="BR574" s="107" t="n">
        <v>1</v>
      </c>
      <c r="BS574" s="107" t="n">
        <v>1</v>
      </c>
      <c r="BT574" s="107" t="n">
        <v>7</v>
      </c>
      <c r="BU574" s="107" t="inlineStr">
        <is>
          <t>Strong</t>
        </is>
      </c>
      <c r="BV574" s="108" t="n">
        <v>1.04</v>
      </c>
      <c r="BW574" s="108" t="n">
        <v>0.98</v>
      </c>
      <c r="BX574" s="108" t="n">
        <v>0.86</v>
      </c>
      <c r="BY574" s="108" t="n">
        <v>1.2</v>
      </c>
      <c r="BZ574" s="108" t="n">
        <v>1.02</v>
      </c>
      <c r="CA574" s="108" t="n">
        <v>0.89</v>
      </c>
      <c r="CB574" s="108" t="n">
        <v>0.97</v>
      </c>
      <c r="CC574" s="108" t="n">
        <v>-0.28</v>
      </c>
      <c r="CD574" s="107" t="n">
        <v>-3.63</v>
      </c>
      <c r="CE574" s="107" t="inlineStr">
        <is>
          <t>Lower Risk</t>
        </is>
      </c>
      <c r="CF574" s="108" t="n">
        <v>40.12</v>
      </c>
      <c r="CG574" s="108" t="n">
        <v>52.14</v>
      </c>
      <c r="CH574" s="106" t="n">
        <v>40</v>
      </c>
      <c r="CI574" s="107" t="inlineStr">
        <is>
          <t>WATCH</t>
        </is>
      </c>
    </row>
    <row r="575" ht="17" customHeight="1">
      <c r="A575" s="103" t="inlineStr">
        <is>
          <t>PCTY</t>
        </is>
      </c>
      <c r="B575" s="103" t="inlineStr">
        <is>
          <t>PAYLOCITY HOLDING CORPORATION</t>
        </is>
      </c>
      <c r="C575" s="104" t="n">
        <v>406699000</v>
      </c>
      <c r="D575" s="105" t="n">
        <v>0.19</v>
      </c>
      <c r="E575" s="105" t="n">
        <v>0.19</v>
      </c>
      <c r="F575" s="105" t="n">
        <v>0.14</v>
      </c>
      <c r="G575" s="105" t="n">
        <v>0.05</v>
      </c>
      <c r="H575" s="105" t="n">
        <v>0.05</v>
      </c>
      <c r="I575" s="105" t="n">
        <v>0.18</v>
      </c>
      <c r="J575" s="105" t="n">
        <v>0.2</v>
      </c>
      <c r="K575" s="105" t="n">
        <v>0.6899999999999999</v>
      </c>
      <c r="L575" s="105" t="n">
        <v>0.6899999999999999</v>
      </c>
      <c r="M575" s="105" t="n">
        <v>0.36</v>
      </c>
      <c r="N575" s="104" t="n">
        <v>0.33</v>
      </c>
      <c r="O575" s="104" t="n">
        <v>1.14</v>
      </c>
      <c r="P575" s="104" t="n">
        <v>1.13</v>
      </c>
      <c r="Q575" s="104" t="n">
        <v>1.14</v>
      </c>
      <c r="R575" s="104" t="n">
        <v>0.14</v>
      </c>
      <c r="S575" s="104" t="n">
        <v>0.72</v>
      </c>
      <c r="T575" s="104" t="n">
        <v>0.76</v>
      </c>
      <c r="U575" s="104" t="n">
        <v>0.13</v>
      </c>
      <c r="V575" s="104" t="n">
        <v>-0.19</v>
      </c>
      <c r="W575" s="104" t="n">
        <v>1.84</v>
      </c>
      <c r="X575" s="105" t="n">
        <v>0.25</v>
      </c>
      <c r="Y575" s="105" t="n">
        <v>0.13</v>
      </c>
      <c r="Z575" s="105" t="n">
        <v>4343.2</v>
      </c>
      <c r="AA575" s="105" t="n">
        <v>0.14</v>
      </c>
      <c r="AB575" s="105" t="n">
        <v>0.1</v>
      </c>
      <c r="AC575" s="104" t="n">
        <v>-0.04</v>
      </c>
      <c r="AD575" s="104" t="n">
        <v>-0.04</v>
      </c>
      <c r="AE575" s="104" t="n">
        <v>0.09</v>
      </c>
      <c r="AF575" s="104" t="n">
        <v>0.21</v>
      </c>
      <c r="AG575" s="104" t="n">
        <v>0.07000000000000001</v>
      </c>
      <c r="AH575" s="104" t="n">
        <v>0.39</v>
      </c>
      <c r="AI575" s="104" t="n">
        <v>0.36</v>
      </c>
      <c r="AJ575" s="104" t="n">
        <v>1.22</v>
      </c>
      <c r="AK575" s="112" t="inlineStr">
        <is>
          <t>Distress</t>
        </is>
      </c>
      <c r="AL575" s="104" t="n">
        <v>0.09</v>
      </c>
      <c r="AM575" s="104" t="n">
        <v>0.21</v>
      </c>
      <c r="AN575" s="104" t="n">
        <v>0.07000000000000001</v>
      </c>
      <c r="AO575" s="104" t="n">
        <v>0.39</v>
      </c>
      <c r="AP575" s="104" t="n">
        <v>0.36</v>
      </c>
      <c r="AQ575" s="103" t="n">
        <v>0.98</v>
      </c>
      <c r="AR575" s="103" t="inlineStr">
        <is>
          <t>Distress</t>
        </is>
      </c>
      <c r="AS575" s="104" t="n">
        <v>0.09</v>
      </c>
      <c r="AT575" s="104" t="n">
        <v>0.21</v>
      </c>
      <c r="AU575" s="104" t="n">
        <v>0.07000000000000001</v>
      </c>
      <c r="AV575" s="104" t="n">
        <v>0.39</v>
      </c>
      <c r="AW575" s="103" t="n">
        <v>2.15</v>
      </c>
      <c r="AX575" s="103" t="inlineStr">
        <is>
          <t>Grey</t>
        </is>
      </c>
      <c r="AY575" s="104" t="n">
        <v>0.09</v>
      </c>
      <c r="AZ575" s="104" t="n">
        <v>0.07000000000000001</v>
      </c>
      <c r="BA575" s="104" t="n">
        <v>0.11</v>
      </c>
      <c r="BB575" s="104" t="n">
        <v>0.36</v>
      </c>
      <c r="BC575" s="103" t="n">
        <v>0.52</v>
      </c>
      <c r="BD575" s="103" t="inlineStr">
        <is>
          <t>Distress</t>
        </is>
      </c>
      <c r="BE575" s="104" t="n">
        <v>0.05</v>
      </c>
      <c r="BF575" s="104" t="n">
        <v>0.72</v>
      </c>
      <c r="BG575" s="104" t="n">
        <v>1.14</v>
      </c>
      <c r="BH575" s="104" t="n">
        <v>-0.48</v>
      </c>
      <c r="BI575" s="103" t="n">
        <v>0.38</v>
      </c>
      <c r="BJ575" s="103" t="inlineStr">
        <is>
          <t>Healthy</t>
        </is>
      </c>
      <c r="BK575" s="103" t="n">
        <v>1</v>
      </c>
      <c r="BL575" s="103" t="n">
        <v>1</v>
      </c>
      <c r="BM575" s="103" t="n">
        <v>1</v>
      </c>
      <c r="BN575" s="103" t="n">
        <v>1</v>
      </c>
      <c r="BO575" s="103" t="n">
        <v>0</v>
      </c>
      <c r="BP575" s="103" t="n">
        <v>1</v>
      </c>
      <c r="BQ575" s="103" t="n">
        <v>1</v>
      </c>
      <c r="BR575" s="103" t="n">
        <v>1</v>
      </c>
      <c r="BS575" s="103" t="n">
        <v>1</v>
      </c>
      <c r="BT575" s="103" t="n">
        <v>8</v>
      </c>
      <c r="BU575" s="103" t="inlineStr">
        <is>
          <t>Strong</t>
        </is>
      </c>
      <c r="BV575" s="104" t="n">
        <v>1.11</v>
      </c>
      <c r="BW575" s="104" t="n">
        <v>1</v>
      </c>
      <c r="BX575" s="104" t="n">
        <v>1.5</v>
      </c>
      <c r="BY575" s="104" t="n">
        <v>1.14</v>
      </c>
      <c r="BZ575" s="104" t="n">
        <v>0.86</v>
      </c>
      <c r="CA575" s="104" t="n">
        <v>1</v>
      </c>
      <c r="CB575" s="104" t="n">
        <v>0.95</v>
      </c>
      <c r="CC575" s="104" t="n">
        <v>-0.04</v>
      </c>
      <c r="CD575" s="103" t="n">
        <v>-2.26</v>
      </c>
      <c r="CE575" s="103" t="inlineStr">
        <is>
          <t>Lower Risk</t>
        </is>
      </c>
      <c r="CF575" s="104" t="n">
        <v>-0.58</v>
      </c>
      <c r="CG575" s="104" t="n">
        <v>58.05</v>
      </c>
      <c r="CH575" s="103" t="n">
        <v>0</v>
      </c>
      <c r="CI575" s="103" t="inlineStr">
        <is>
          <t>CLEAR</t>
        </is>
      </c>
    </row>
    <row r="576" ht="17" customHeight="1">
      <c r="A576" s="107" t="inlineStr">
        <is>
          <t>NOG</t>
        </is>
      </c>
      <c r="B576" s="107" t="inlineStr">
        <is>
          <t>NORTHERN OIL &amp; GAS, INC.</t>
        </is>
      </c>
      <c r="C576" s="108" t="n">
        <v>46738000</v>
      </c>
      <c r="D576" s="109" t="n">
        <v>0.1</v>
      </c>
      <c r="E576" s="109" t="n">
        <v>0.03</v>
      </c>
      <c r="F576" s="109" t="n">
        <v>0.02</v>
      </c>
      <c r="G576" s="109" t="n">
        <v>0.01</v>
      </c>
      <c r="H576" s="109" t="n">
        <v>0.09</v>
      </c>
      <c r="I576" s="109" t="n">
        <v>0.02</v>
      </c>
      <c r="J576" s="109" t="n">
        <v>0.05</v>
      </c>
      <c r="K576" s="109" t="n">
        <v>0.8100000000000001</v>
      </c>
      <c r="L576" s="109" t="n">
        <v>0.8100000000000001</v>
      </c>
      <c r="M576" s="109" t="n">
        <v>0.46</v>
      </c>
      <c r="N576" s="108" t="n">
        <v>0.4</v>
      </c>
      <c r="O576" s="108" t="n">
        <v>1.09</v>
      </c>
      <c r="P576" s="108" t="n">
        <v>0.92</v>
      </c>
      <c r="Q576" s="108" t="n">
        <v>1.09</v>
      </c>
      <c r="R576" s="108" t="n">
        <v>0.03</v>
      </c>
      <c r="S576" s="108" t="n">
        <v>0.61</v>
      </c>
      <c r="T576" s="108" t="n">
        <v>0.59</v>
      </c>
      <c r="U576" s="108" t="n">
        <v>1.13</v>
      </c>
      <c r="V576" s="108" t="n">
        <v>1.12</v>
      </c>
      <c r="W576" s="108" t="n">
        <v>38.84</v>
      </c>
      <c r="X576" s="109" t="n">
        <v>0.61</v>
      </c>
      <c r="Y576" s="109" t="n">
        <v>0</v>
      </c>
      <c r="Z576" s="109" t="n">
        <v>1.81</v>
      </c>
      <c r="AA576" s="109" t="n">
        <v>0.11</v>
      </c>
      <c r="AB576" s="109" t="n">
        <v>-0.93</v>
      </c>
      <c r="AC576" s="108" t="n">
        <v>-0.27</v>
      </c>
      <c r="AD576" s="108" t="n">
        <v>-0.27</v>
      </c>
      <c r="AE576" s="108" t="n">
        <v>0.01</v>
      </c>
      <c r="AF576" s="108" t="n">
        <v>0.09</v>
      </c>
      <c r="AG576" s="108" t="n">
        <v>0.05</v>
      </c>
      <c r="AH576" s="108" t="n">
        <v>0.65</v>
      </c>
      <c r="AI576" s="108" t="n">
        <v>0.46</v>
      </c>
      <c r="AJ576" s="108" t="n">
        <v>1.13</v>
      </c>
      <c r="AK576" s="112" t="inlineStr">
        <is>
          <t>Distress</t>
        </is>
      </c>
      <c r="AL576" s="108" t="n">
        <v>0.01</v>
      </c>
      <c r="AM576" s="108" t="n">
        <v>0.09</v>
      </c>
      <c r="AN576" s="108" t="n">
        <v>0.05</v>
      </c>
      <c r="AO576" s="108" t="n">
        <v>0.65</v>
      </c>
      <c r="AP576" s="108" t="n">
        <v>0.46</v>
      </c>
      <c r="AQ576" s="107" t="n">
        <v>0.95</v>
      </c>
      <c r="AR576" s="107" t="inlineStr">
        <is>
          <t>Distress</t>
        </is>
      </c>
      <c r="AS576" s="108" t="n">
        <v>0.01</v>
      </c>
      <c r="AT576" s="108" t="n">
        <v>0.09</v>
      </c>
      <c r="AU576" s="108" t="n">
        <v>0.05</v>
      </c>
      <c r="AV576" s="108" t="n">
        <v>0.65</v>
      </c>
      <c r="AW576" s="107" t="n">
        <v>1.33</v>
      </c>
      <c r="AX576" s="107" t="inlineStr">
        <is>
          <t>Grey</t>
        </is>
      </c>
      <c r="AY576" s="108" t="n">
        <v>0.01</v>
      </c>
      <c r="AZ576" s="108" t="n">
        <v>0.05</v>
      </c>
      <c r="BA576" s="108" t="n">
        <v>0.12</v>
      </c>
      <c r="BB576" s="108" t="n">
        <v>0.46</v>
      </c>
      <c r="BC576" s="107" t="n">
        <v>0.41</v>
      </c>
      <c r="BD576" s="107" t="inlineStr">
        <is>
          <t>Distress</t>
        </is>
      </c>
      <c r="BE576" s="108" t="n">
        <v>0.01</v>
      </c>
      <c r="BF576" s="108" t="n">
        <v>0.61</v>
      </c>
      <c r="BG576" s="108" t="n">
        <v>1.09</v>
      </c>
      <c r="BH576" s="108" t="n">
        <v>-0.92</v>
      </c>
      <c r="BI576" s="107" t="n">
        <v>0.29</v>
      </c>
      <c r="BJ576" s="107" t="inlineStr">
        <is>
          <t>Healthy</t>
        </is>
      </c>
      <c r="BK576" s="107" t="n">
        <v>1</v>
      </c>
      <c r="BL576" s="107" t="n">
        <v>1</v>
      </c>
      <c r="BM576" s="107" t="n">
        <v>0</v>
      </c>
      <c r="BN576" s="107" t="n">
        <v>1</v>
      </c>
      <c r="BO576" s="107" t="n">
        <v>0</v>
      </c>
      <c r="BP576" s="107" t="n">
        <v>1</v>
      </c>
      <c r="BQ576" s="107" t="n">
        <v>1</v>
      </c>
      <c r="BR576" s="107" t="n">
        <v>1</v>
      </c>
      <c r="BS576" s="107" t="n">
        <v>1</v>
      </c>
      <c r="BT576" s="107" t="n">
        <v>7</v>
      </c>
      <c r="BU576" s="107" t="inlineStr">
        <is>
          <t>Strong</t>
        </is>
      </c>
      <c r="BV576" s="108" t="n">
        <v>0.8100000000000001</v>
      </c>
      <c r="BW576" s="108" t="n">
        <v>1</v>
      </c>
      <c r="BX576" s="108" t="n">
        <v>3.81</v>
      </c>
      <c r="BY576" s="108" t="n">
        <v>1.11</v>
      </c>
      <c r="BZ576" s="108" t="n">
        <v>1.87</v>
      </c>
      <c r="CA576" s="108" t="n">
        <v>1.09</v>
      </c>
      <c r="CB576" s="108" t="n">
        <v>1.04</v>
      </c>
      <c r="CC576" s="108" t="n">
        <v>-0.27</v>
      </c>
      <c r="CD576" s="107" t="n">
        <v>-2.62</v>
      </c>
      <c r="CE576" s="107" t="inlineStr">
        <is>
          <t>Lower Risk</t>
        </is>
      </c>
      <c r="CF576" s="108" t="n">
        <v>9.68</v>
      </c>
      <c r="CG576" s="108" t="n">
        <v>54.41</v>
      </c>
      <c r="CH576" s="107" t="n">
        <v>20</v>
      </c>
      <c r="CI576" s="107" t="inlineStr">
        <is>
          <t>CLEAR</t>
        </is>
      </c>
    </row>
    <row r="577" ht="17" customHeight="1">
      <c r="A577" s="103" t="inlineStr">
        <is>
          <t>AME</t>
        </is>
      </c>
      <c r="B577" s="103" t="inlineStr">
        <is>
          <t>AMETEK, Inc.</t>
        </is>
      </c>
      <c r="C577" s="104" t="n">
        <v>177090000</v>
      </c>
      <c r="D577" s="105" t="n">
        <v>0.26</v>
      </c>
      <c r="E577" s="105" t="n">
        <v>0.24</v>
      </c>
      <c r="F577" s="105" t="n">
        <v>0.2</v>
      </c>
      <c r="G577" s="105" t="n">
        <v>0.09</v>
      </c>
      <c r="H577" s="105" t="n">
        <v>0.09</v>
      </c>
      <c r="I577" s="105" t="n">
        <v>0.14</v>
      </c>
      <c r="J577" s="105" t="n">
        <v>0.14</v>
      </c>
      <c r="K577" s="105" t="n">
        <v>0.36</v>
      </c>
      <c r="L577" s="105" t="n">
        <v>0.36</v>
      </c>
      <c r="M577" s="105" t="n">
        <v>0.46</v>
      </c>
      <c r="N577" s="104" t="n">
        <v>0.47</v>
      </c>
      <c r="O577" s="104" t="n">
        <v>1.06</v>
      </c>
      <c r="P577" s="104" t="n">
        <v>1.24</v>
      </c>
      <c r="Q577" s="104" t="n">
        <v>0.67</v>
      </c>
      <c r="R577" s="104" t="n">
        <v>0.16</v>
      </c>
      <c r="S577" s="104" t="n">
        <v>0.34</v>
      </c>
      <c r="T577" s="104" t="n">
        <v>0.34</v>
      </c>
      <c r="U577" s="104" t="n">
        <v>0.33</v>
      </c>
      <c r="V577" s="104" t="n">
        <v>0.29</v>
      </c>
      <c r="W577" s="104" t="n">
        <v>1.22</v>
      </c>
      <c r="X577" s="105" t="n">
        <v>0.23</v>
      </c>
      <c r="Y577" s="105" t="n">
        <v>0.03</v>
      </c>
      <c r="Z577" s="105" t="n">
        <v>23.35</v>
      </c>
      <c r="AA577" s="105" t="n">
        <v>0.07000000000000001</v>
      </c>
      <c r="AB577" s="105" t="n">
        <v>0.08</v>
      </c>
      <c r="AC577" s="104" t="n">
        <v>-0.02</v>
      </c>
      <c r="AD577" s="104" t="n">
        <v>-0.02</v>
      </c>
      <c r="AE577" s="104" t="n">
        <v>0.01</v>
      </c>
      <c r="AF577" s="104" t="n">
        <v>0.76</v>
      </c>
      <c r="AG577" s="104" t="n">
        <v>0.12</v>
      </c>
      <c r="AH577" s="104" t="n">
        <v>1.95</v>
      </c>
      <c r="AI577" s="104" t="n">
        <v>0.46</v>
      </c>
      <c r="AJ577" s="104" t="n">
        <v>3.11</v>
      </c>
      <c r="AK577" s="110" t="inlineStr">
        <is>
          <t>Safe</t>
        </is>
      </c>
      <c r="AL577" s="104" t="n">
        <v>0.01</v>
      </c>
      <c r="AM577" s="104" t="n">
        <v>0.76</v>
      </c>
      <c r="AN577" s="104" t="n">
        <v>0.12</v>
      </c>
      <c r="AO577" s="104" t="n">
        <v>1.95</v>
      </c>
      <c r="AP577" s="104" t="n">
        <v>0.46</v>
      </c>
      <c r="AQ577" s="103" t="n">
        <v>2.3</v>
      </c>
      <c r="AR577" s="103" t="inlineStr">
        <is>
          <t>Grey</t>
        </is>
      </c>
      <c r="AS577" s="104" t="n">
        <v>0.01</v>
      </c>
      <c r="AT577" s="104" t="n">
        <v>0.76</v>
      </c>
      <c r="AU577" s="104" t="n">
        <v>0.12</v>
      </c>
      <c r="AV577" s="104" t="n">
        <v>1.95</v>
      </c>
      <c r="AW577" s="103" t="n">
        <v>5.41</v>
      </c>
      <c r="AX577" s="103" t="inlineStr">
        <is>
          <t>Safe</t>
        </is>
      </c>
      <c r="AY577" s="104" t="n">
        <v>0.01</v>
      </c>
      <c r="AZ577" s="104" t="n">
        <v>0.12</v>
      </c>
      <c r="BA577" s="104" t="n">
        <v>0.63</v>
      </c>
      <c r="BB577" s="104" t="n">
        <v>0.46</v>
      </c>
      <c r="BC577" s="103" t="n">
        <v>0.98</v>
      </c>
      <c r="BD577" s="103" t="inlineStr">
        <is>
          <t>Healthy</t>
        </is>
      </c>
      <c r="BE577" s="104" t="n">
        <v>0.09</v>
      </c>
      <c r="BF577" s="104" t="n">
        <v>0.34</v>
      </c>
      <c r="BG577" s="104" t="n">
        <v>1.06</v>
      </c>
      <c r="BH577" s="104" t="n">
        <v>-2.83</v>
      </c>
      <c r="BI577" s="103" t="n">
        <v>0.06</v>
      </c>
      <c r="BJ577" s="103" t="inlineStr">
        <is>
          <t>Healthy</t>
        </is>
      </c>
      <c r="BK577" s="103" t="n">
        <v>1</v>
      </c>
      <c r="BL577" s="103" t="n">
        <v>1</v>
      </c>
      <c r="BM577" s="103" t="n">
        <v>0</v>
      </c>
      <c r="BN577" s="103" t="n">
        <v>1</v>
      </c>
      <c r="BO577" s="103" t="n">
        <v>1</v>
      </c>
      <c r="BP577" s="103" t="n">
        <v>0</v>
      </c>
      <c r="BQ577" s="103" t="n">
        <v>1</v>
      </c>
      <c r="BR577" s="103" t="n">
        <v>1</v>
      </c>
      <c r="BS577" s="103" t="n">
        <v>0</v>
      </c>
      <c r="BT577" s="103" t="n">
        <v>6</v>
      </c>
      <c r="BU577" s="103" t="inlineStr">
        <is>
          <t>Mixed</t>
        </is>
      </c>
      <c r="BV577" s="104" t="n">
        <v>1.11</v>
      </c>
      <c r="BW577" s="104" t="n">
        <v>0.99</v>
      </c>
      <c r="BX577" s="104" t="n">
        <v>0.99</v>
      </c>
      <c r="BY577" s="104" t="n">
        <v>1.07</v>
      </c>
      <c r="BZ577" s="104" t="n">
        <v>0.96</v>
      </c>
      <c r="CA577" s="104" t="n">
        <v>1.02</v>
      </c>
      <c r="CB577" s="104" t="n">
        <v>1</v>
      </c>
      <c r="CC577" s="104" t="n">
        <v>-0.02</v>
      </c>
      <c r="CD577" s="103" t="n">
        <v>-2.43</v>
      </c>
      <c r="CE577" s="103" t="inlineStr">
        <is>
          <t>Lower Risk</t>
        </is>
      </c>
      <c r="CF577" s="104" t="n">
        <v>1.3</v>
      </c>
      <c r="CG577" s="104" t="n">
        <v>56.87</v>
      </c>
      <c r="CH577" s="103" t="n">
        <v>0</v>
      </c>
      <c r="CI577" s="103" t="inlineStr">
        <is>
          <t>CLEAR</t>
        </is>
      </c>
    </row>
    <row r="578" ht="17" customHeight="1">
      <c r="A578" s="107" t="inlineStr">
        <is>
          <t>CPRI</t>
        </is>
      </c>
      <c r="B578" s="107" t="inlineStr">
        <is>
          <t>Capri Holdings Ltd</t>
        </is>
      </c>
      <c r="C578" s="108" t="n">
        <v>199000000</v>
      </c>
      <c r="D578" s="109" t="n">
        <v>0.01</v>
      </c>
      <c r="E578" s="109" t="n">
        <v>0.03</v>
      </c>
      <c r="F578" s="109" t="n">
        <v>0.04</v>
      </c>
      <c r="G578" s="109" t="n">
        <v>0.04</v>
      </c>
      <c r="H578" s="109" t="n">
        <v>-0.23</v>
      </c>
      <c r="I578" s="109" t="n">
        <v>1.71</v>
      </c>
      <c r="J578" s="109" t="n">
        <v>0.01</v>
      </c>
      <c r="K578" s="109" t="n">
        <v>0.62</v>
      </c>
      <c r="L578" s="109" t="n">
        <v>0.64</v>
      </c>
      <c r="M578" s="109" t="n">
        <v>1.07</v>
      </c>
      <c r="N578" s="108" t="n">
        <v>0.85</v>
      </c>
      <c r="O578" s="108" t="n">
        <v>1.21</v>
      </c>
      <c r="P578" s="108" t="n">
        <v>1.14</v>
      </c>
      <c r="Q578" s="108" t="n">
        <v>0.6</v>
      </c>
      <c r="R578" s="108" t="n">
        <v>0.14</v>
      </c>
      <c r="S578" s="108" t="n">
        <v>0.97</v>
      </c>
      <c r="T578" s="108" t="n">
        <v>0.93</v>
      </c>
      <c r="U578" s="108" t="n">
        <v>4.64</v>
      </c>
      <c r="V578" s="108" t="n">
        <v>2.95</v>
      </c>
      <c r="W578" s="108" t="n">
        <v>0.5600000000000001</v>
      </c>
      <c r="X578" s="109" t="n">
        <v>0</v>
      </c>
      <c r="Y578" s="111" t="inlineStr">
        <is>
          <t>N/A</t>
        </is>
      </c>
      <c r="Z578" s="109" t="n">
        <v>58.52</v>
      </c>
      <c r="AA578" s="109" t="n">
        <v>-0.22</v>
      </c>
      <c r="AB578" s="109" t="n">
        <v>-1.12</v>
      </c>
      <c r="AC578" s="108" t="n">
        <v>0.02</v>
      </c>
      <c r="AD578" s="108" t="n">
        <v>0.02</v>
      </c>
      <c r="AE578" s="108" t="n">
        <v>0.06</v>
      </c>
      <c r="AF578" s="108" t="n">
        <v>1.37</v>
      </c>
      <c r="AG578" s="108" t="n">
        <v>0.01</v>
      </c>
      <c r="AH578" s="108" t="n">
        <v>0.03</v>
      </c>
      <c r="AI578" s="108" t="n">
        <v>1.07</v>
      </c>
      <c r="AJ578" s="108" t="n">
        <v>3.11</v>
      </c>
      <c r="AK578" s="110" t="inlineStr">
        <is>
          <t>Safe</t>
        </is>
      </c>
      <c r="AL578" s="108" t="n">
        <v>0.06</v>
      </c>
      <c r="AM578" s="108" t="n">
        <v>1.37</v>
      </c>
      <c r="AN578" s="108" t="n">
        <v>0.01</v>
      </c>
      <c r="AO578" s="108" t="n">
        <v>0.03</v>
      </c>
      <c r="AP578" s="108" t="n">
        <v>1.07</v>
      </c>
      <c r="AQ578" s="107" t="n">
        <v>2.31</v>
      </c>
      <c r="AR578" s="107" t="inlineStr">
        <is>
          <t>Grey</t>
        </is>
      </c>
      <c r="AS578" s="108" t="n">
        <v>0.06</v>
      </c>
      <c r="AT578" s="108" t="n">
        <v>1.37</v>
      </c>
      <c r="AU578" s="108" t="n">
        <v>0.01</v>
      </c>
      <c r="AV578" s="108" t="n">
        <v>0.03</v>
      </c>
      <c r="AW578" s="107" t="n">
        <v>4.95</v>
      </c>
      <c r="AX578" s="107" t="inlineStr">
        <is>
          <t>Safe</t>
        </is>
      </c>
      <c r="AY578" s="108" t="n">
        <v>0.06</v>
      </c>
      <c r="AZ578" s="108" t="n">
        <v>0.01</v>
      </c>
      <c r="BA578" s="108" t="n">
        <v>0.11</v>
      </c>
      <c r="BB578" s="108" t="n">
        <v>1.07</v>
      </c>
      <c r="BC578" s="107" t="n">
        <v>0.59</v>
      </c>
      <c r="BD578" s="107" t="inlineStr">
        <is>
          <t>Distress</t>
        </is>
      </c>
      <c r="BE578" s="108" t="n">
        <v>0.04</v>
      </c>
      <c r="BF578" s="108" t="n">
        <v>0.97</v>
      </c>
      <c r="BG578" s="108" t="n">
        <v>1.21</v>
      </c>
      <c r="BH578" s="108" t="n">
        <v>1.01</v>
      </c>
      <c r="BI578" s="107" t="n">
        <v>0.73</v>
      </c>
      <c r="BJ578" s="107" t="inlineStr">
        <is>
          <t>Distress</t>
        </is>
      </c>
      <c r="BK578" s="107" t="n">
        <v>1</v>
      </c>
      <c r="BL578" s="107" t="n">
        <v>1</v>
      </c>
      <c r="BM578" s="107" t="n">
        <v>1</v>
      </c>
      <c r="BN578" s="107" t="n">
        <v>0</v>
      </c>
      <c r="BO578" s="107" t="n">
        <v>1</v>
      </c>
      <c r="BP578" s="107" t="n">
        <v>1</v>
      </c>
      <c r="BQ578" s="107" t="n">
        <v>1</v>
      </c>
      <c r="BR578" s="107" t="n">
        <v>0</v>
      </c>
      <c r="BS578" s="107" t="n">
        <v>1</v>
      </c>
      <c r="BT578" s="107" t="n">
        <v>7</v>
      </c>
      <c r="BU578" s="107" t="inlineStr">
        <is>
          <t>Strong</t>
        </is>
      </c>
      <c r="BV578" s="108" t="n">
        <v>0.97</v>
      </c>
      <c r="BW578" s="108" t="n">
        <v>1.02</v>
      </c>
      <c r="BX578" s="108" t="n">
        <v>0.87</v>
      </c>
      <c r="BY578" s="108" t="n">
        <v>0.78</v>
      </c>
      <c r="BZ578" s="108" t="n">
        <v>1.11</v>
      </c>
      <c r="CA578" s="108" t="n">
        <v>0.97</v>
      </c>
      <c r="CB578" s="108" t="n">
        <v>1.05</v>
      </c>
      <c r="CC578" s="108" t="n">
        <v>0.02</v>
      </c>
      <c r="CD578" s="107" t="n">
        <v>-2.65</v>
      </c>
      <c r="CE578" s="107" t="inlineStr">
        <is>
          <t>Lower Risk</t>
        </is>
      </c>
      <c r="CF578" s="108" t="n">
        <v>1.64</v>
      </c>
      <c r="CG578" s="108" t="n">
        <v>58.81</v>
      </c>
      <c r="CH578" s="107" t="n">
        <v>0</v>
      </c>
      <c r="CI578" s="107" t="inlineStr">
        <is>
          <t>CLEAR</t>
        </is>
      </c>
    </row>
    <row r="579" ht="17" customHeight="1">
      <c r="A579" s="103" t="inlineStr">
        <is>
          <t>TRU</t>
        </is>
      </c>
      <c r="B579" s="103" t="inlineStr">
        <is>
          <t>TransUnion</t>
        </is>
      </c>
      <c r="C579" s="104" t="n">
        <v>861900000</v>
      </c>
      <c r="D579" s="105" t="n">
        <v>0.19</v>
      </c>
      <c r="E579" s="105" t="n">
        <v>0.14</v>
      </c>
      <c r="F579" s="105" t="n">
        <v>0.1</v>
      </c>
      <c r="G579" s="105" t="n">
        <v>0.04</v>
      </c>
      <c r="H579" s="105" t="n">
        <v>0.03</v>
      </c>
      <c r="I579" s="105" t="n">
        <v>0.1</v>
      </c>
      <c r="J579" s="105" t="n">
        <v>0.09</v>
      </c>
      <c r="K579" s="105" t="n">
        <v>0.8100000000000001</v>
      </c>
      <c r="L579" s="105" t="n">
        <v>0.8100000000000001</v>
      </c>
      <c r="M579" s="105" t="n">
        <v>0.41</v>
      </c>
      <c r="N579" s="104" t="n">
        <v>0.38</v>
      </c>
      <c r="O579" s="104" t="n">
        <v>1.75</v>
      </c>
      <c r="P579" s="104" t="n">
        <v>1.7</v>
      </c>
      <c r="Q579" s="104" t="n">
        <v>1.75</v>
      </c>
      <c r="R579" s="104" t="n">
        <v>0.74</v>
      </c>
      <c r="S579" s="104" t="n">
        <v>0.59</v>
      </c>
      <c r="T579" s="104" t="n">
        <v>0.61</v>
      </c>
      <c r="U579" s="104" t="n">
        <v>1.19</v>
      </c>
      <c r="V579" s="104" t="n">
        <v>1</v>
      </c>
      <c r="W579" s="104" t="n">
        <v>2.17</v>
      </c>
      <c r="X579" s="105" t="n">
        <v>0.14</v>
      </c>
      <c r="Y579" s="105" t="n">
        <v>0</v>
      </c>
      <c r="Z579" s="105" t="n">
        <v>2.98</v>
      </c>
      <c r="AA579" s="105" t="n">
        <v>0.09</v>
      </c>
      <c r="AB579" s="105" t="n">
        <v>0.6</v>
      </c>
      <c r="AC579" s="104" t="n">
        <v>-0.05</v>
      </c>
      <c r="AD579" s="104" t="n">
        <v>-0.05</v>
      </c>
      <c r="AE579" s="104" t="n">
        <v>0.08</v>
      </c>
      <c r="AF579" s="104" t="n">
        <v>0.25</v>
      </c>
      <c r="AG579" s="104" t="n">
        <v>0.08</v>
      </c>
      <c r="AH579" s="104" t="n">
        <v>0.68</v>
      </c>
      <c r="AI579" s="104" t="n">
        <v>0.41</v>
      </c>
      <c r="AJ579" s="104" t="n">
        <v>1.51</v>
      </c>
      <c r="AK579" s="112" t="inlineStr">
        <is>
          <t>Distress</t>
        </is>
      </c>
      <c r="AL579" s="104" t="n">
        <v>0.08</v>
      </c>
      <c r="AM579" s="104" t="n">
        <v>0.25</v>
      </c>
      <c r="AN579" s="104" t="n">
        <v>0.08</v>
      </c>
      <c r="AO579" s="104" t="n">
        <v>0.68</v>
      </c>
      <c r="AP579" s="104" t="n">
        <v>0.41</v>
      </c>
      <c r="AQ579" s="103" t="n">
        <v>1.2</v>
      </c>
      <c r="AR579" s="103" t="inlineStr">
        <is>
          <t>Distress</t>
        </is>
      </c>
      <c r="AS579" s="104" t="n">
        <v>0.08</v>
      </c>
      <c r="AT579" s="104" t="n">
        <v>0.25</v>
      </c>
      <c r="AU579" s="104" t="n">
        <v>0.08</v>
      </c>
      <c r="AV579" s="104" t="n">
        <v>0.68</v>
      </c>
      <c r="AW579" s="103" t="n">
        <v>2.54</v>
      </c>
      <c r="AX579" s="103" t="inlineStr">
        <is>
          <t>Grey</t>
        </is>
      </c>
      <c r="AY579" s="104" t="n">
        <v>0.08</v>
      </c>
      <c r="AZ579" s="104" t="n">
        <v>0.08</v>
      </c>
      <c r="BA579" s="104" t="n">
        <v>0.5600000000000001</v>
      </c>
      <c r="BB579" s="104" t="n">
        <v>0.41</v>
      </c>
      <c r="BC579" s="103" t="n">
        <v>0.85</v>
      </c>
      <c r="BD579" s="103" t="inlineStr">
        <is>
          <t>Distress</t>
        </is>
      </c>
      <c r="BE579" s="104" t="n">
        <v>0.04</v>
      </c>
      <c r="BF579" s="104" t="n">
        <v>0.59</v>
      </c>
      <c r="BG579" s="104" t="n">
        <v>1.75</v>
      </c>
      <c r="BH579" s="104" t="n">
        <v>-1.16</v>
      </c>
      <c r="BI579" s="103" t="n">
        <v>0.24</v>
      </c>
      <c r="BJ579" s="103" t="inlineStr">
        <is>
          <t>Healthy</t>
        </is>
      </c>
      <c r="BK579" s="103" t="n">
        <v>1</v>
      </c>
      <c r="BL579" s="103" t="n">
        <v>1</v>
      </c>
      <c r="BM579" s="103" t="n">
        <v>1</v>
      </c>
      <c r="BN579" s="103" t="n">
        <v>1</v>
      </c>
      <c r="BO579" s="103" t="n">
        <v>1</v>
      </c>
      <c r="BP579" s="103" t="n">
        <v>1</v>
      </c>
      <c r="BQ579" s="103" t="n">
        <v>1</v>
      </c>
      <c r="BR579" s="103" t="n">
        <v>0</v>
      </c>
      <c r="BS579" s="103" t="n">
        <v>1</v>
      </c>
      <c r="BT579" s="103" t="n">
        <v>8</v>
      </c>
      <c r="BU579" s="103" t="inlineStr">
        <is>
          <t>Strong</t>
        </is>
      </c>
      <c r="BV579" s="104" t="n">
        <v>1.04</v>
      </c>
      <c r="BW579" s="104" t="n">
        <v>1</v>
      </c>
      <c r="BX579" s="104" t="n">
        <v>0.97</v>
      </c>
      <c r="BY579" s="104" t="n">
        <v>1.09</v>
      </c>
      <c r="BZ579" s="104" t="n">
        <v>1.05</v>
      </c>
      <c r="CA579" s="104" t="n">
        <v>0.93</v>
      </c>
      <c r="CB579" s="104" t="n">
        <v>0.97</v>
      </c>
      <c r="CC579" s="104" t="n">
        <v>-0.05</v>
      </c>
      <c r="CD579" s="103" t="n">
        <v>-2.57</v>
      </c>
      <c r="CE579" s="103" t="inlineStr">
        <is>
          <t>Lower Risk</t>
        </is>
      </c>
      <c r="CF579" s="104" t="n">
        <v>3.1</v>
      </c>
      <c r="CG579" s="104" t="n">
        <v>59.26</v>
      </c>
      <c r="CH579" s="103" t="n">
        <v>0</v>
      </c>
      <c r="CI579" s="103" t="inlineStr">
        <is>
          <t>CLEAR</t>
        </is>
      </c>
    </row>
    <row r="580" ht="17" customHeight="1">
      <c r="A580" s="107" t="inlineStr">
        <is>
          <t>GPN</t>
        </is>
      </c>
      <c r="B580" s="107" t="inlineStr">
        <is>
          <t>GLOBAL PAYMENTS INC.</t>
        </is>
      </c>
      <c r="C580" s="108" t="n">
        <v>5145827000</v>
      </c>
      <c r="D580" s="109" t="n">
        <v>0.44</v>
      </c>
      <c r="E580" s="109" t="n">
        <v>0.14</v>
      </c>
      <c r="F580" s="109" t="n">
        <v>0.35</v>
      </c>
      <c r="G580" s="109" t="n">
        <v>0.03</v>
      </c>
      <c r="H580" s="109" t="n">
        <v>0.03</v>
      </c>
      <c r="I580" s="109" t="n">
        <v>0.06</v>
      </c>
      <c r="J580" s="109" t="n">
        <v>0.04</v>
      </c>
      <c r="K580" s="109" t="n">
        <v>0.47</v>
      </c>
      <c r="L580" s="109" t="n">
        <v>-2.57</v>
      </c>
      <c r="M580" s="109" t="n">
        <v>0.07000000000000001</v>
      </c>
      <c r="N580" s="108" t="n">
        <v>0.02</v>
      </c>
      <c r="O580" s="108" t="n">
        <v>1.69</v>
      </c>
      <c r="P580" s="108" t="n">
        <v>0.97</v>
      </c>
      <c r="Q580" s="108" t="n">
        <v>1.69</v>
      </c>
      <c r="R580" s="108" t="n">
        <v>1.12</v>
      </c>
      <c r="S580" s="108" t="n">
        <v>0.55</v>
      </c>
      <c r="T580" s="108" t="n">
        <v>0.51</v>
      </c>
      <c r="U580" s="108" t="n">
        <v>0.9399999999999999</v>
      </c>
      <c r="V580" s="108" t="n">
        <v>0.58</v>
      </c>
      <c r="W580" s="108" t="n">
        <v>1.9</v>
      </c>
      <c r="X580" s="109" t="n">
        <v>0.64</v>
      </c>
      <c r="Y580" s="109" t="n">
        <v>0</v>
      </c>
      <c r="Z580" s="109" t="n">
        <v>2.77</v>
      </c>
      <c r="AA580" s="109" t="n">
        <v>2.77</v>
      </c>
      <c r="AB580" s="109" t="n">
        <v>-0.11</v>
      </c>
      <c r="AC580" s="108" t="n">
        <v>-0.02</v>
      </c>
      <c r="AD580" s="108" t="n">
        <v>-0.02</v>
      </c>
      <c r="AE580" s="108" t="n">
        <v>0.1</v>
      </c>
      <c r="AF580" s="108" t="n">
        <v>0.11</v>
      </c>
      <c r="AG580" s="108" t="n">
        <v>0.03</v>
      </c>
      <c r="AH580" s="108" t="n">
        <v>0.77</v>
      </c>
      <c r="AI580" s="108" t="n">
        <v>0.07000000000000001</v>
      </c>
      <c r="AJ580" s="108" t="n">
        <v>0.92</v>
      </c>
      <c r="AK580" s="112" t="inlineStr">
        <is>
          <t>Distress</t>
        </is>
      </c>
      <c r="AL580" s="108" t="n">
        <v>0.1</v>
      </c>
      <c r="AM580" s="108" t="n">
        <v>0.11</v>
      </c>
      <c r="AN580" s="108" t="n">
        <v>0.03</v>
      </c>
      <c r="AO580" s="108" t="n">
        <v>0.77</v>
      </c>
      <c r="AP580" s="108" t="n">
        <v>0.07000000000000001</v>
      </c>
      <c r="AQ580" s="107" t="n">
        <v>0.67</v>
      </c>
      <c r="AR580" s="107" t="inlineStr">
        <is>
          <t>Distress</t>
        </is>
      </c>
      <c r="AS580" s="108" t="n">
        <v>0.1</v>
      </c>
      <c r="AT580" s="108" t="n">
        <v>0.11</v>
      </c>
      <c r="AU580" s="108" t="n">
        <v>0.03</v>
      </c>
      <c r="AV580" s="108" t="n">
        <v>0.77</v>
      </c>
      <c r="AW580" s="107" t="n">
        <v>2.03</v>
      </c>
      <c r="AX580" s="107" t="inlineStr">
        <is>
          <t>Grey</t>
        </is>
      </c>
      <c r="AY580" s="108" t="n">
        <v>0.1</v>
      </c>
      <c r="AZ580" s="108" t="n">
        <v>0.03</v>
      </c>
      <c r="BA580" s="108" t="n">
        <v>0.08</v>
      </c>
      <c r="BB580" s="108" t="n">
        <v>0.07000000000000001</v>
      </c>
      <c r="BC580" s="107" t="n">
        <v>0.28</v>
      </c>
      <c r="BD580" s="107" t="inlineStr">
        <is>
          <t>Distress</t>
        </is>
      </c>
      <c r="BE580" s="108" t="n">
        <v>0.03</v>
      </c>
      <c r="BF580" s="108" t="n">
        <v>0.55</v>
      </c>
      <c r="BG580" s="108" t="n">
        <v>1.69</v>
      </c>
      <c r="BH580" s="108" t="n">
        <v>-1.3</v>
      </c>
      <c r="BI580" s="107" t="n">
        <v>0.21</v>
      </c>
      <c r="BJ580" s="107" t="inlineStr">
        <is>
          <t>Healthy</t>
        </is>
      </c>
      <c r="BK580" s="107" t="n">
        <v>1</v>
      </c>
      <c r="BL580" s="107" t="n">
        <v>1</v>
      </c>
      <c r="BM580" s="107" t="n">
        <v>0</v>
      </c>
      <c r="BN580" s="107" t="n">
        <v>1</v>
      </c>
      <c r="BO580" s="107" t="n">
        <v>0</v>
      </c>
      <c r="BP580" s="107" t="n">
        <v>1</v>
      </c>
      <c r="BQ580" s="107" t="n">
        <v>1</v>
      </c>
      <c r="BR580" s="107" t="n">
        <v>1</v>
      </c>
      <c r="BS580" s="107" t="n">
        <v>1</v>
      </c>
      <c r="BT580" s="107" t="n">
        <v>7</v>
      </c>
      <c r="BU580" s="107" t="inlineStr">
        <is>
          <t>Strong</t>
        </is>
      </c>
      <c r="BV580" s="108" t="n">
        <v>0.19</v>
      </c>
      <c r="BW580" s="108" t="n">
        <v>-5.48</v>
      </c>
      <c r="BX580" s="108" t="n">
        <v>0.87</v>
      </c>
      <c r="BY580" s="108" t="n">
        <v>3.77</v>
      </c>
      <c r="BZ580" s="108" t="n">
        <v>1.31</v>
      </c>
      <c r="CA580" s="108" t="n">
        <v>0.26</v>
      </c>
      <c r="CB580" s="108" t="n">
        <v>1.09</v>
      </c>
      <c r="CC580" s="108" t="n">
        <v>-0.02</v>
      </c>
      <c r="CD580" s="107" t="n">
        <v>-4.2</v>
      </c>
      <c r="CE580" s="107" t="inlineStr">
        <is>
          <t>Lower Risk</t>
        </is>
      </c>
      <c r="CF580" s="108" t="n">
        <v>4.44</v>
      </c>
      <c r="CG580" s="108" t="n">
        <v>53.73</v>
      </c>
      <c r="CH580" s="107" t="n">
        <v>0</v>
      </c>
      <c r="CI580" s="107" t="inlineStr">
        <is>
          <t>CLEAR</t>
        </is>
      </c>
    </row>
    <row r="581" ht="17" customHeight="1">
      <c r="A581" s="103" t="inlineStr">
        <is>
          <t>SIMO</t>
        </is>
      </c>
      <c r="B581" s="103" t="inlineStr">
        <is>
          <t>Silicon Motion Technology Corporation</t>
        </is>
      </c>
      <c r="C581" s="104" t="n">
        <v>603845000</v>
      </c>
      <c r="D581" s="105" t="n">
        <v>0.11</v>
      </c>
      <c r="E581" s="105" t="n">
        <v>0.16</v>
      </c>
      <c r="F581" s="105" t="n">
        <v>0.14</v>
      </c>
      <c r="G581" s="105" t="n">
        <v>0.1</v>
      </c>
      <c r="H581" s="105" t="n">
        <v>0.09</v>
      </c>
      <c r="I581" s="105" t="n">
        <v>0.15</v>
      </c>
      <c r="J581" s="105" t="n">
        <v>0.11</v>
      </c>
      <c r="K581" s="105" t="n">
        <v>0.48</v>
      </c>
      <c r="L581" s="105" t="n">
        <v>0.46</v>
      </c>
      <c r="M581" s="105" t="n">
        <v>0.72</v>
      </c>
      <c r="N581" s="104" t="n">
        <v>0.78</v>
      </c>
      <c r="O581" s="104" t="n">
        <v>2.78</v>
      </c>
      <c r="P581" s="104" t="n">
        <v>3.98</v>
      </c>
      <c r="Q581" s="104" t="n">
        <v>2.68</v>
      </c>
      <c r="R581" s="104" t="n">
        <v>0.59</v>
      </c>
      <c r="S581" s="104" t="n">
        <v>0.32</v>
      </c>
      <c r="T581" s="104" t="n">
        <v>0.25</v>
      </c>
      <c r="U581" s="104" t="n">
        <v>0</v>
      </c>
      <c r="V581" s="104" t="n">
        <v>-0.24</v>
      </c>
      <c r="W581" s="104" t="n">
        <v>0.5</v>
      </c>
      <c r="X581" s="105" t="n">
        <v>0.01</v>
      </c>
      <c r="Y581" s="105" t="n">
        <v>0.3</v>
      </c>
      <c r="Z581" s="113" t="inlineStr">
        <is>
          <t>N/A</t>
        </is>
      </c>
      <c r="AA581" s="105" t="n">
        <v>0.1</v>
      </c>
      <c r="AB581" s="105" t="n">
        <v>0.37</v>
      </c>
      <c r="AC581" s="104" t="n">
        <v>0.05</v>
      </c>
      <c r="AD581" s="104" t="n">
        <v>0.05</v>
      </c>
      <c r="AE581" s="104" t="n">
        <v>0.49</v>
      </c>
      <c r="AF581" s="104" t="n">
        <v>0.38</v>
      </c>
      <c r="AG581" s="104" t="n">
        <v>0.08</v>
      </c>
      <c r="AH581" s="104" t="n">
        <v>2.12</v>
      </c>
      <c r="AI581" s="104" t="n">
        <v>0.72</v>
      </c>
      <c r="AJ581" s="104" t="n">
        <v>3.38</v>
      </c>
      <c r="AK581" s="110" t="inlineStr">
        <is>
          <t>Safe</t>
        </is>
      </c>
      <c r="AL581" s="104" t="n">
        <v>0.49</v>
      </c>
      <c r="AM581" s="104" t="n">
        <v>0.38</v>
      </c>
      <c r="AN581" s="104" t="n">
        <v>0.08</v>
      </c>
      <c r="AO581" s="104" t="n">
        <v>2.12</v>
      </c>
      <c r="AP581" s="104" t="n">
        <v>0.72</v>
      </c>
      <c r="AQ581" s="103" t="n">
        <v>2.53</v>
      </c>
      <c r="AR581" s="103" t="inlineStr">
        <is>
          <t>Grey</t>
        </is>
      </c>
      <c r="AS581" s="104" t="n">
        <v>0.49</v>
      </c>
      <c r="AT581" s="104" t="n">
        <v>0.38</v>
      </c>
      <c r="AU581" s="104" t="n">
        <v>0.08</v>
      </c>
      <c r="AV581" s="104" t="n">
        <v>2.12</v>
      </c>
      <c r="AW581" s="103" t="n">
        <v>7.22</v>
      </c>
      <c r="AX581" s="103" t="inlineStr">
        <is>
          <t>Safe</t>
        </is>
      </c>
      <c r="AY581" s="104" t="n">
        <v>0.49</v>
      </c>
      <c r="AZ581" s="104" t="n">
        <v>0.08</v>
      </c>
      <c r="BA581" s="104" t="n">
        <v>0.41</v>
      </c>
      <c r="BB581" s="104" t="n">
        <v>0.72</v>
      </c>
      <c r="BC581" s="103" t="n">
        <v>1.3</v>
      </c>
      <c r="BD581" s="103" t="inlineStr">
        <is>
          <t>Healthy</t>
        </is>
      </c>
      <c r="BE581" s="104" t="n">
        <v>0.1</v>
      </c>
      <c r="BF581" s="104" t="n">
        <v>0.32</v>
      </c>
      <c r="BG581" s="104" t="n">
        <v>2.78</v>
      </c>
      <c r="BH581" s="104" t="n">
        <v>-2.96</v>
      </c>
      <c r="BI581" s="103" t="n">
        <v>0.05</v>
      </c>
      <c r="BJ581" s="103" t="inlineStr">
        <is>
          <t>Healthy</t>
        </is>
      </c>
      <c r="BK581" s="103" t="n">
        <v>1</v>
      </c>
      <c r="BL581" s="103" t="n">
        <v>1</v>
      </c>
      <c r="BM581" s="103" t="n">
        <v>1</v>
      </c>
      <c r="BN581" s="103" t="n">
        <v>0</v>
      </c>
      <c r="BO581" s="103" t="n">
        <v>1</v>
      </c>
      <c r="BP581" s="103" t="n">
        <v>0</v>
      </c>
      <c r="BQ581" s="103" t="n">
        <v>1</v>
      </c>
      <c r="BR581" s="103" t="n">
        <v>1</v>
      </c>
      <c r="BS581" s="103" t="n">
        <v>0</v>
      </c>
      <c r="BT581" s="103" t="n">
        <v>6</v>
      </c>
      <c r="BU581" s="103" t="inlineStr">
        <is>
          <t>Mixed</t>
        </is>
      </c>
      <c r="BV581" s="113" t="inlineStr">
        <is>
          <t>N/A</t>
        </is>
      </c>
      <c r="BW581" s="104" t="n">
        <v>0.95</v>
      </c>
      <c r="BX581" s="104" t="n">
        <v>1.06</v>
      </c>
      <c r="BY581" s="104" t="n">
        <v>1.1</v>
      </c>
      <c r="BZ581" s="104" t="n">
        <v>0.98</v>
      </c>
      <c r="CA581" s="104" t="n">
        <v>1.08</v>
      </c>
      <c r="CB581" s="104" t="n">
        <v>1.28</v>
      </c>
      <c r="CC581" s="104" t="n">
        <v>0.05</v>
      </c>
      <c r="CD581" s="113" t="inlineStr">
        <is>
          <t>N/A</t>
        </is>
      </c>
      <c r="CE581" s="113" t="inlineStr">
        <is>
          <t>N/A</t>
        </is>
      </c>
      <c r="CF581" s="104" t="n">
        <v>-1.64</v>
      </c>
      <c r="CG581" s="104" t="n">
        <v>57.76</v>
      </c>
      <c r="CH581" s="103" t="n">
        <v>0</v>
      </c>
      <c r="CI581" s="103" t="inlineStr">
        <is>
          <t>CLEAR</t>
        </is>
      </c>
    </row>
    <row r="582" ht="17" customHeight="1">
      <c r="A582" s="107" t="inlineStr">
        <is>
          <t>COLM</t>
        </is>
      </c>
      <c r="B582" s="107" t="inlineStr">
        <is>
          <t>COLUMBIA SPORTSWEAR COMPANY</t>
        </is>
      </c>
      <c r="C582" s="108" t="n">
        <v>1211684000</v>
      </c>
      <c r="D582" s="109" t="n">
        <v>0.23</v>
      </c>
      <c r="E582" s="109" t="n">
        <v>0.25</v>
      </c>
      <c r="F582" s="109" t="n">
        <v>0.19</v>
      </c>
      <c r="G582" s="109" t="n">
        <v>0.06</v>
      </c>
      <c r="H582" s="109" t="n">
        <v>0.08</v>
      </c>
      <c r="I582" s="109" t="n">
        <v>0.1</v>
      </c>
      <c r="J582" s="109" t="n">
        <v>0.1</v>
      </c>
      <c r="K582" s="109" t="n">
        <v>1.87</v>
      </c>
      <c r="L582" s="109" t="n">
        <v>2.41</v>
      </c>
      <c r="M582" s="109" t="n">
        <v>0.31</v>
      </c>
      <c r="N582" s="108" t="n">
        <v>0.24</v>
      </c>
      <c r="O582" s="108" t="n">
        <v>2.59</v>
      </c>
      <c r="P582" s="108" t="n">
        <v>2.62</v>
      </c>
      <c r="Q582" s="108" t="n">
        <v>1.69</v>
      </c>
      <c r="R582" s="108" t="n">
        <v>0.58</v>
      </c>
      <c r="S582" s="108" t="n">
        <v>0.42</v>
      </c>
      <c r="T582" s="108" t="n">
        <v>0.4</v>
      </c>
      <c r="U582" s="111" t="inlineStr">
        <is>
          <t>N/A</t>
        </is>
      </c>
      <c r="V582" s="111" t="inlineStr">
        <is>
          <t>N/A</t>
        </is>
      </c>
      <c r="W582" s="108" t="n">
        <v>1.6</v>
      </c>
      <c r="X582" s="109" t="n">
        <v>0.28</v>
      </c>
      <c r="Y582" s="111" t="inlineStr">
        <is>
          <t>N/A</t>
        </is>
      </c>
      <c r="Z582" s="111" t="inlineStr">
        <is>
          <t>N/A</t>
        </is>
      </c>
      <c r="AA582" s="109" t="n">
        <v>0.31</v>
      </c>
      <c r="AB582" s="109" t="n">
        <v>-0.21</v>
      </c>
      <c r="AC582" s="108" t="n">
        <v>-0.04</v>
      </c>
      <c r="AD582" s="108" t="n">
        <v>-0.04</v>
      </c>
      <c r="AE582" s="108" t="n">
        <v>0.41</v>
      </c>
      <c r="AF582" s="108" t="n">
        <v>0.61</v>
      </c>
      <c r="AG582" s="108" t="n">
        <v>0.07000000000000001</v>
      </c>
      <c r="AH582" s="108" t="n">
        <v>1.4</v>
      </c>
      <c r="AI582" s="108" t="n">
        <v>0.31</v>
      </c>
      <c r="AJ582" s="108" t="n">
        <v>2.73</v>
      </c>
      <c r="AK582" s="106" t="inlineStr">
        <is>
          <t>Grey</t>
        </is>
      </c>
      <c r="AL582" s="108" t="n">
        <v>0.41</v>
      </c>
      <c r="AM582" s="108" t="n">
        <v>0.61</v>
      </c>
      <c r="AN582" s="108" t="n">
        <v>0.07000000000000001</v>
      </c>
      <c r="AO582" s="108" t="n">
        <v>1.4</v>
      </c>
      <c r="AP582" s="108" t="n">
        <v>0.31</v>
      </c>
      <c r="AQ582" s="107" t="n">
        <v>1.93</v>
      </c>
      <c r="AR582" s="107" t="inlineStr">
        <is>
          <t>Grey</t>
        </is>
      </c>
      <c r="AS582" s="108" t="n">
        <v>0.41</v>
      </c>
      <c r="AT582" s="108" t="n">
        <v>0.61</v>
      </c>
      <c r="AU582" s="108" t="n">
        <v>0.07000000000000001</v>
      </c>
      <c r="AV582" s="108" t="n">
        <v>1.4</v>
      </c>
      <c r="AW582" s="107" t="n">
        <v>6.64</v>
      </c>
      <c r="AX582" s="107" t="inlineStr">
        <is>
          <t>Safe</t>
        </is>
      </c>
      <c r="AY582" s="108" t="n">
        <v>0.41</v>
      </c>
      <c r="AZ582" s="108" t="n">
        <v>0.07000000000000001</v>
      </c>
      <c r="BA582" s="108" t="n">
        <v>0.3</v>
      </c>
      <c r="BB582" s="108" t="n">
        <v>0.31</v>
      </c>
      <c r="BC582" s="107" t="n">
        <v>0.97</v>
      </c>
      <c r="BD582" s="107" t="inlineStr">
        <is>
          <t>Healthy</t>
        </is>
      </c>
      <c r="BE582" s="108" t="n">
        <v>0.06</v>
      </c>
      <c r="BF582" s="108" t="n">
        <v>0.42</v>
      </c>
      <c r="BG582" s="108" t="n">
        <v>2.59</v>
      </c>
      <c r="BH582" s="108" t="n">
        <v>-2.24</v>
      </c>
      <c r="BI582" s="107" t="n">
        <v>0.1</v>
      </c>
      <c r="BJ582" s="107" t="inlineStr">
        <is>
          <t>Healthy</t>
        </is>
      </c>
      <c r="BK582" s="107" t="n">
        <v>1</v>
      </c>
      <c r="BL582" s="107" t="n">
        <v>1</v>
      </c>
      <c r="BM582" s="107" t="n">
        <v>0</v>
      </c>
      <c r="BN582" s="107" t="n">
        <v>1</v>
      </c>
      <c r="BO582" s="107" t="n">
        <v>0</v>
      </c>
      <c r="BP582" s="107" t="n">
        <v>0</v>
      </c>
      <c r="BQ582" s="107" t="n">
        <v>0</v>
      </c>
      <c r="BR582" s="107" t="n">
        <v>0</v>
      </c>
      <c r="BS582" s="107" t="n">
        <v>1</v>
      </c>
      <c r="BT582" s="107" t="n">
        <v>4</v>
      </c>
      <c r="BU582" s="107" t="inlineStr">
        <is>
          <t>Mixed</t>
        </is>
      </c>
      <c r="BV582" s="108" t="n">
        <v>0.74</v>
      </c>
      <c r="BW582" s="108" t="n">
        <v>1.29</v>
      </c>
      <c r="BX582" s="108" t="n">
        <v>1.01</v>
      </c>
      <c r="BY582" s="108" t="n">
        <v>1.31</v>
      </c>
      <c r="BZ582" s="108" t="n">
        <v>0.98</v>
      </c>
      <c r="CA582" s="108" t="n">
        <v>0.8</v>
      </c>
      <c r="CB582" s="108" t="n">
        <v>1.04</v>
      </c>
      <c r="CC582" s="108" t="n">
        <v>-0.04</v>
      </c>
      <c r="CD582" s="107" t="n">
        <v>-2.44</v>
      </c>
      <c r="CE582" s="107" t="inlineStr">
        <is>
          <t>Lower Risk</t>
        </is>
      </c>
      <c r="CF582" s="111" t="inlineStr">
        <is>
          <t>N/A</t>
        </is>
      </c>
      <c r="CG582" s="108" t="n">
        <v>47.32</v>
      </c>
      <c r="CH582" s="107" t="n">
        <v>0</v>
      </c>
      <c r="CI582" s="107" t="inlineStr">
        <is>
          <t>CLEAR</t>
        </is>
      </c>
    </row>
    <row r="583" ht="17" customHeight="1">
      <c r="A583" s="103" t="inlineStr">
        <is>
          <t>MOH</t>
        </is>
      </c>
      <c r="B583" s="103" t="inlineStr">
        <is>
          <t>MOLINA HEALTHCARE, INC.</t>
        </is>
      </c>
      <c r="C583" s="104" t="n">
        <v>5072000000</v>
      </c>
      <c r="D583" s="105" t="n">
        <v>0.02</v>
      </c>
      <c r="E583" s="105" t="n">
        <v>0.01</v>
      </c>
      <c r="F583" s="105" t="n">
        <v>0.01</v>
      </c>
      <c r="G583" s="105" t="n">
        <v>0.03</v>
      </c>
      <c r="H583" s="105" t="n">
        <v>0.08</v>
      </c>
      <c r="I583" s="105" t="n">
        <v>0.12</v>
      </c>
      <c r="J583" s="105" t="n">
        <v>0.1</v>
      </c>
      <c r="K583" s="105" t="n">
        <v>0.05</v>
      </c>
      <c r="L583" s="105" t="n">
        <v>0.06</v>
      </c>
      <c r="M583" s="105" t="n">
        <v>2.92</v>
      </c>
      <c r="N583" s="104" t="n">
        <v>2.6</v>
      </c>
      <c r="O583" s="104" t="n">
        <v>1.69</v>
      </c>
      <c r="P583" s="104" t="n">
        <v>1.62</v>
      </c>
      <c r="Q583" s="104" t="n">
        <v>1.69</v>
      </c>
      <c r="R583" s="104" t="n">
        <v>0.58</v>
      </c>
      <c r="S583" s="104" t="n">
        <v>0.74</v>
      </c>
      <c r="T583" s="104" t="n">
        <v>0.71</v>
      </c>
      <c r="U583" s="104" t="n">
        <v>0.36</v>
      </c>
      <c r="V583" s="104" t="n">
        <v>-0.6899999999999999</v>
      </c>
      <c r="W583" s="104" t="n">
        <v>-1.13</v>
      </c>
      <c r="X583" s="105" t="n">
        <v>-0.01</v>
      </c>
      <c r="Y583" s="113" t="inlineStr">
        <is>
          <t>N/A</t>
        </is>
      </c>
      <c r="Z583" s="105" t="n">
        <v>7.17</v>
      </c>
      <c r="AA583" s="105" t="n">
        <v>0.12</v>
      </c>
      <c r="AB583" s="105" t="n">
        <v>-0.6</v>
      </c>
      <c r="AC583" s="104" t="n">
        <v>0.06</v>
      </c>
      <c r="AD583" s="104" t="n">
        <v>0.06</v>
      </c>
      <c r="AE583" s="104" t="n">
        <v>0.33</v>
      </c>
      <c r="AF583" s="104" t="n">
        <v>0.23</v>
      </c>
      <c r="AG583" s="104" t="n">
        <v>0.05</v>
      </c>
      <c r="AH583" s="104" t="n">
        <v>0.35</v>
      </c>
      <c r="AI583" s="104" t="n">
        <v>2.92</v>
      </c>
      <c r="AJ583" s="104" t="n">
        <v>4.01</v>
      </c>
      <c r="AK583" s="110" t="inlineStr">
        <is>
          <t>Safe</t>
        </is>
      </c>
      <c r="AL583" s="104" t="n">
        <v>0.33</v>
      </c>
      <c r="AM583" s="104" t="n">
        <v>0.23</v>
      </c>
      <c r="AN583" s="104" t="n">
        <v>0.05</v>
      </c>
      <c r="AO583" s="104" t="n">
        <v>0.35</v>
      </c>
      <c r="AP583" s="104" t="n">
        <v>2.92</v>
      </c>
      <c r="AQ583" s="103" t="n">
        <v>3.65</v>
      </c>
      <c r="AR583" s="103" t="inlineStr">
        <is>
          <t>Safe</t>
        </is>
      </c>
      <c r="AS583" s="104" t="n">
        <v>0.33</v>
      </c>
      <c r="AT583" s="104" t="n">
        <v>0.23</v>
      </c>
      <c r="AU583" s="104" t="n">
        <v>0.05</v>
      </c>
      <c r="AV583" s="104" t="n">
        <v>0.35</v>
      </c>
      <c r="AW583" s="103" t="n">
        <v>3.6</v>
      </c>
      <c r="AX583" s="103" t="inlineStr">
        <is>
          <t>Safe</t>
        </is>
      </c>
      <c r="AY583" s="104" t="n">
        <v>0.33</v>
      </c>
      <c r="AZ583" s="104" t="n">
        <v>0.05</v>
      </c>
      <c r="BA583" s="104" t="n">
        <v>0.08</v>
      </c>
      <c r="BB583" s="104" t="n">
        <v>2.92</v>
      </c>
      <c r="BC583" s="103" t="n">
        <v>1.71</v>
      </c>
      <c r="BD583" s="103" t="inlineStr">
        <is>
          <t>Healthy</t>
        </is>
      </c>
      <c r="BE583" s="104" t="n">
        <v>0.03</v>
      </c>
      <c r="BF583" s="104" t="n">
        <v>0.74</v>
      </c>
      <c r="BG583" s="104" t="n">
        <v>1.69</v>
      </c>
      <c r="BH583" s="104" t="n">
        <v>-0.27</v>
      </c>
      <c r="BI583" s="103" t="n">
        <v>0.43</v>
      </c>
      <c r="BJ583" s="103" t="inlineStr">
        <is>
          <t>Healthy</t>
        </is>
      </c>
      <c r="BK583" s="103" t="n">
        <v>1</v>
      </c>
      <c r="BL583" s="103" t="n">
        <v>0</v>
      </c>
      <c r="BM583" s="103" t="n">
        <v>0</v>
      </c>
      <c r="BN583" s="103" t="n">
        <v>0</v>
      </c>
      <c r="BO583" s="103" t="n">
        <v>0</v>
      </c>
      <c r="BP583" s="103" t="n">
        <v>1</v>
      </c>
      <c r="BQ583" s="103" t="n">
        <v>1</v>
      </c>
      <c r="BR583" s="103" t="n">
        <v>0</v>
      </c>
      <c r="BS583" s="103" t="n">
        <v>1</v>
      </c>
      <c r="BT583" s="103" t="n">
        <v>4</v>
      </c>
      <c r="BU583" s="103" t="inlineStr">
        <is>
          <t>Mixed</t>
        </is>
      </c>
      <c r="BV583" s="104" t="n">
        <v>0.96</v>
      </c>
      <c r="BW583" s="104" t="n">
        <v>1.04</v>
      </c>
      <c r="BX583" s="104" t="n">
        <v>1.11</v>
      </c>
      <c r="BY583" s="104" t="n">
        <v>1.12</v>
      </c>
      <c r="BZ583" s="104" t="n">
        <v>0.97</v>
      </c>
      <c r="CA583" s="104" t="n">
        <v>0.98</v>
      </c>
      <c r="CB583" s="104" t="n">
        <v>1.04</v>
      </c>
      <c r="CC583" s="104" t="n">
        <v>0.06</v>
      </c>
      <c r="CD583" s="103" t="n">
        <v>-2.06</v>
      </c>
      <c r="CE583" s="103" t="inlineStr">
        <is>
          <t>Higher Risk</t>
        </is>
      </c>
      <c r="CF583" s="104" t="n">
        <v>-2.87</v>
      </c>
      <c r="CG583" s="104" t="n">
        <v>46.82</v>
      </c>
      <c r="CH583" s="106" t="n">
        <v>40</v>
      </c>
      <c r="CI583" s="103" t="inlineStr">
        <is>
          <t>WATCH</t>
        </is>
      </c>
    </row>
    <row r="584" ht="17" customHeight="1">
      <c r="A584" s="107" t="inlineStr">
        <is>
          <t>RRC</t>
        </is>
      </c>
      <c r="B584" s="107" t="inlineStr">
        <is>
          <t>RANGE RESOURCES CORPORATION</t>
        </is>
      </c>
      <c r="C584" s="108" t="n">
        <v>-216672000</v>
      </c>
      <c r="D584" s="111" t="inlineStr">
        <is>
          <t>N/A</t>
        </is>
      </c>
      <c r="E584" s="111" t="inlineStr">
        <is>
          <t>N/A</t>
        </is>
      </c>
      <c r="F584" s="109" t="n">
        <v>0.21</v>
      </c>
      <c r="G584" s="109" t="n">
        <v>0.09</v>
      </c>
      <c r="H584" s="109" t="n">
        <v>0.04</v>
      </c>
      <c r="I584" s="109" t="n">
        <v>0.15</v>
      </c>
      <c r="J584" s="111" t="inlineStr">
        <is>
          <t>N/A</t>
        </is>
      </c>
      <c r="K584" s="109" t="n">
        <v>0.9399999999999999</v>
      </c>
      <c r="L584" s="109" t="n">
        <v>0.9399999999999999</v>
      </c>
      <c r="M584" s="109" t="n">
        <v>0.42</v>
      </c>
      <c r="N584" s="108" t="n">
        <v>0.33</v>
      </c>
      <c r="O584" s="108" t="n">
        <v>0.67</v>
      </c>
      <c r="P584" s="108" t="n">
        <v>0.57</v>
      </c>
      <c r="Q584" s="108" t="n">
        <v>0.64</v>
      </c>
      <c r="R584" s="108" t="n">
        <v>0</v>
      </c>
      <c r="S584" s="108" t="n">
        <v>0.42</v>
      </c>
      <c r="T584" s="108" t="n">
        <v>0.46</v>
      </c>
      <c r="U584" s="108" t="n">
        <v>0.28</v>
      </c>
      <c r="V584" s="108" t="n">
        <v>0.28</v>
      </c>
      <c r="W584" s="108" t="n">
        <v>1.78</v>
      </c>
      <c r="X584" s="109" t="n">
        <v>0.38</v>
      </c>
      <c r="Y584" s="109" t="n">
        <v>0</v>
      </c>
      <c r="Z584" s="111" t="inlineStr">
        <is>
          <t>N/A</t>
        </is>
      </c>
      <c r="AA584" s="109" t="n">
        <v>0.29</v>
      </c>
      <c r="AB584" s="109" t="n">
        <v>1.47</v>
      </c>
      <c r="AC584" s="108" t="n">
        <v>-0.07000000000000001</v>
      </c>
      <c r="AD584" s="108" t="n">
        <v>-0.07000000000000001</v>
      </c>
      <c r="AE584" s="108" t="n">
        <v>-0.03</v>
      </c>
      <c r="AF584" s="108" t="n">
        <v>-0.12</v>
      </c>
      <c r="AG584" s="111" t="inlineStr">
        <is>
          <t>N/A</t>
        </is>
      </c>
      <c r="AH584" s="108" t="n">
        <v>1.39</v>
      </c>
      <c r="AI584" s="108" t="n">
        <v>0.42</v>
      </c>
      <c r="AJ584" s="111" t="inlineStr">
        <is>
          <t>N/A</t>
        </is>
      </c>
      <c r="AK584" s="111" t="inlineStr">
        <is>
          <t>N/A</t>
        </is>
      </c>
      <c r="AL584" s="108" t="n">
        <v>-0.03</v>
      </c>
      <c r="AM584" s="108" t="n">
        <v>-0.12</v>
      </c>
      <c r="AN584" s="111" t="inlineStr">
        <is>
          <t>N/A</t>
        </is>
      </c>
      <c r="AO584" s="108" t="n">
        <v>1.39</v>
      </c>
      <c r="AP584" s="108" t="n">
        <v>0.42</v>
      </c>
      <c r="AQ584" s="111" t="inlineStr">
        <is>
          <t>N/A</t>
        </is>
      </c>
      <c r="AR584" s="111" t="inlineStr">
        <is>
          <t>N/A</t>
        </is>
      </c>
      <c r="AS584" s="108" t="n">
        <v>-0.03</v>
      </c>
      <c r="AT584" s="108" t="n">
        <v>-0.12</v>
      </c>
      <c r="AU584" s="111" t="inlineStr">
        <is>
          <t>N/A</t>
        </is>
      </c>
      <c r="AV584" s="108" t="n">
        <v>1.39</v>
      </c>
      <c r="AW584" s="111" t="inlineStr">
        <is>
          <t>N/A</t>
        </is>
      </c>
      <c r="AX584" s="111" t="inlineStr">
        <is>
          <t>N/A</t>
        </is>
      </c>
      <c r="AY584" s="108" t="n">
        <v>-0.03</v>
      </c>
      <c r="AZ584" s="111" t="inlineStr">
        <is>
          <t>N/A</t>
        </is>
      </c>
      <c r="BA584" s="111" t="inlineStr">
        <is>
          <t>N/A</t>
        </is>
      </c>
      <c r="BB584" s="108" t="n">
        <v>0.42</v>
      </c>
      <c r="BC584" s="111" t="inlineStr">
        <is>
          <t>N/A</t>
        </is>
      </c>
      <c r="BD584" s="111" t="inlineStr">
        <is>
          <t>N/A</t>
        </is>
      </c>
      <c r="BE584" s="108" t="n">
        <v>0.09</v>
      </c>
      <c r="BF584" s="108" t="n">
        <v>0.42</v>
      </c>
      <c r="BG584" s="108" t="n">
        <v>0.67</v>
      </c>
      <c r="BH584" s="108" t="n">
        <v>-2.36</v>
      </c>
      <c r="BI584" s="107" t="n">
        <v>0.09</v>
      </c>
      <c r="BJ584" s="107" t="inlineStr">
        <is>
          <t>Healthy</t>
        </is>
      </c>
      <c r="BK584" s="107" t="n">
        <v>1</v>
      </c>
      <c r="BL584" s="107" t="n">
        <v>1</v>
      </c>
      <c r="BM584" s="107" t="n">
        <v>1</v>
      </c>
      <c r="BN584" s="107" t="n">
        <v>1</v>
      </c>
      <c r="BO584" s="107" t="n">
        <v>1</v>
      </c>
      <c r="BP584" s="107" t="n">
        <v>1</v>
      </c>
      <c r="BQ584" s="107" t="n">
        <v>1</v>
      </c>
      <c r="BR584" s="107" t="n">
        <v>0</v>
      </c>
      <c r="BS584" s="107" t="n">
        <v>1</v>
      </c>
      <c r="BT584" s="107" t="n">
        <v>8</v>
      </c>
      <c r="BU584" s="107" t="inlineStr">
        <is>
          <t>Strong</t>
        </is>
      </c>
      <c r="BV584" s="108" t="n">
        <v>0.92</v>
      </c>
      <c r="BW584" s="108" t="n">
        <v>1</v>
      </c>
      <c r="BX584" s="108" t="n">
        <v>1.04</v>
      </c>
      <c r="BY584" s="108" t="n">
        <v>1.29</v>
      </c>
      <c r="BZ584" s="108" t="n">
        <v>1.01</v>
      </c>
      <c r="CA584" s="108" t="n">
        <v>0.8</v>
      </c>
      <c r="CB584" s="108" t="n">
        <v>0.9</v>
      </c>
      <c r="CC584" s="108" t="n">
        <v>-0.07000000000000001</v>
      </c>
      <c r="CD584" s="107" t="n">
        <v>-2.53</v>
      </c>
      <c r="CE584" s="107" t="inlineStr">
        <is>
          <t>Lower Risk</t>
        </is>
      </c>
      <c r="CF584" s="111" t="inlineStr">
        <is>
          <t>N/A</t>
        </is>
      </c>
      <c r="CG584" s="108" t="n">
        <v>56.1</v>
      </c>
      <c r="CH584" s="107" t="n">
        <v>0</v>
      </c>
      <c r="CI584" s="107" t="inlineStr">
        <is>
          <t>CLEAR</t>
        </is>
      </c>
    </row>
    <row r="585" ht="17" customHeight="1">
      <c r="A585" s="103" t="inlineStr">
        <is>
          <t>MTB</t>
        </is>
      </c>
      <c r="B585" s="103" t="inlineStr">
        <is>
          <t>M&amp;T BANK CORPORATION</t>
        </is>
      </c>
      <c r="C585" s="113" t="inlineStr">
        <is>
          <t>N/A</t>
        </is>
      </c>
      <c r="D585" s="105" t="n">
        <v>0.38</v>
      </c>
      <c r="E585" s="105" t="n">
        <v>0.38</v>
      </c>
      <c r="F585" s="105" t="n">
        <v>0.3</v>
      </c>
      <c r="G585" s="105" t="n">
        <v>0.01</v>
      </c>
      <c r="H585" s="105" t="n">
        <v>0.01</v>
      </c>
      <c r="I585" s="105" t="n">
        <v>0.1</v>
      </c>
      <c r="J585" s="113" t="inlineStr">
        <is>
          <t>N/A</t>
        </is>
      </c>
      <c r="K585" s="105" t="n">
        <v>0.03</v>
      </c>
      <c r="L585" s="105" t="n">
        <v>0.02</v>
      </c>
      <c r="M585" s="105" t="n">
        <v>0.05</v>
      </c>
      <c r="N585" s="104" t="n">
        <v>0.04</v>
      </c>
      <c r="O585" s="113" t="inlineStr">
        <is>
          <t>N/A</t>
        </is>
      </c>
      <c r="P585" s="113" t="inlineStr">
        <is>
          <t>N/A</t>
        </is>
      </c>
      <c r="Q585" s="113" t="inlineStr">
        <is>
          <t>N/A</t>
        </is>
      </c>
      <c r="R585" s="113" t="inlineStr">
        <is>
          <t>N/A</t>
        </is>
      </c>
      <c r="S585" s="104" t="n">
        <v>0.86</v>
      </c>
      <c r="T585" s="104" t="n">
        <v>0.86</v>
      </c>
      <c r="U585" s="104" t="n">
        <v>0.45</v>
      </c>
      <c r="V585" s="104" t="n">
        <v>0.4</v>
      </c>
      <c r="W585" s="104" t="n">
        <v>1.05</v>
      </c>
      <c r="X585" s="105" t="n">
        <v>0.28</v>
      </c>
      <c r="Y585" s="105" t="n">
        <v>0</v>
      </c>
      <c r="Z585" s="105" t="n">
        <v>1.19</v>
      </c>
      <c r="AA585" s="105" t="n">
        <v>0.18</v>
      </c>
      <c r="AB585" s="105" t="n">
        <v>0.1</v>
      </c>
      <c r="AC585" s="104" t="n">
        <v>-0</v>
      </c>
      <c r="AD585" s="104" t="n">
        <v>-0</v>
      </c>
      <c r="AE585" s="113" t="inlineStr">
        <is>
          <t>N/A</t>
        </is>
      </c>
      <c r="AF585" s="104" t="n">
        <v>0.1</v>
      </c>
      <c r="AG585" s="104" t="n">
        <v>0.02</v>
      </c>
      <c r="AH585" s="104" t="n">
        <v>0.16</v>
      </c>
      <c r="AI585" s="104" t="n">
        <v>0.05</v>
      </c>
      <c r="AJ585" s="113" t="inlineStr">
        <is>
          <t>N/A</t>
        </is>
      </c>
      <c r="AK585" s="113" t="inlineStr">
        <is>
          <t>N/A</t>
        </is>
      </c>
      <c r="AL585" s="113" t="inlineStr">
        <is>
          <t>N/A</t>
        </is>
      </c>
      <c r="AM585" s="104" t="n">
        <v>0.1</v>
      </c>
      <c r="AN585" s="104" t="n">
        <v>0.02</v>
      </c>
      <c r="AO585" s="104" t="n">
        <v>0.16</v>
      </c>
      <c r="AP585" s="104" t="n">
        <v>0.05</v>
      </c>
      <c r="AQ585" s="113" t="inlineStr">
        <is>
          <t>N/A</t>
        </is>
      </c>
      <c r="AR585" s="113" t="inlineStr">
        <is>
          <t>N/A</t>
        </is>
      </c>
      <c r="AS585" s="113" t="inlineStr">
        <is>
          <t>N/A</t>
        </is>
      </c>
      <c r="AT585" s="104" t="n">
        <v>0.1</v>
      </c>
      <c r="AU585" s="104" t="n">
        <v>0.02</v>
      </c>
      <c r="AV585" s="104" t="n">
        <v>0.16</v>
      </c>
      <c r="AW585" s="113" t="inlineStr">
        <is>
          <t>N/A</t>
        </is>
      </c>
      <c r="AX585" s="113" t="inlineStr">
        <is>
          <t>N/A</t>
        </is>
      </c>
      <c r="AY585" s="113" t="inlineStr">
        <is>
          <t>N/A</t>
        </is>
      </c>
      <c r="AZ585" s="104" t="n">
        <v>0.02</v>
      </c>
      <c r="BA585" s="113" t="inlineStr">
        <is>
          <t>N/A</t>
        </is>
      </c>
      <c r="BB585" s="104" t="n">
        <v>0.05</v>
      </c>
      <c r="BC585" s="113" t="inlineStr">
        <is>
          <t>N/A</t>
        </is>
      </c>
      <c r="BD585" s="113" t="inlineStr">
        <is>
          <t>N/A</t>
        </is>
      </c>
      <c r="BE585" s="104" t="n">
        <v>0.01</v>
      </c>
      <c r="BF585" s="104" t="n">
        <v>0.86</v>
      </c>
      <c r="BG585" s="113" t="inlineStr">
        <is>
          <t>N/A</t>
        </is>
      </c>
      <c r="BH585" s="113" t="inlineStr">
        <is>
          <t>N/A</t>
        </is>
      </c>
      <c r="BI585" s="113" t="inlineStr">
        <is>
          <t>N/A</t>
        </is>
      </c>
      <c r="BJ585" s="113" t="inlineStr">
        <is>
          <t>N/A</t>
        </is>
      </c>
      <c r="BK585" s="103" t="n">
        <v>1</v>
      </c>
      <c r="BL585" s="103" t="n">
        <v>1</v>
      </c>
      <c r="BM585" s="103" t="n">
        <v>1</v>
      </c>
      <c r="BN585" s="103" t="n">
        <v>1</v>
      </c>
      <c r="BO585" s="103" t="n">
        <v>1</v>
      </c>
      <c r="BP585" s="103" t="n">
        <v>0</v>
      </c>
      <c r="BQ585" s="103" t="n">
        <v>1</v>
      </c>
      <c r="BR585" s="103" t="n">
        <v>1</v>
      </c>
      <c r="BS585" s="103" t="n">
        <v>1</v>
      </c>
      <c r="BT585" s="103" t="n">
        <v>8</v>
      </c>
      <c r="BU585" s="103" t="inlineStr">
        <is>
          <t>Strong</t>
        </is>
      </c>
      <c r="BV585" s="113" t="inlineStr">
        <is>
          <t>N/A</t>
        </is>
      </c>
      <c r="BW585" s="113" t="inlineStr">
        <is>
          <t>N/A</t>
        </is>
      </c>
      <c r="BX585" s="104" t="n">
        <v>1</v>
      </c>
      <c r="BY585" s="104" t="n">
        <v>1.18</v>
      </c>
      <c r="BZ585" s="104" t="n">
        <v>1</v>
      </c>
      <c r="CA585" s="113" t="inlineStr">
        <is>
          <t>N/A</t>
        </is>
      </c>
      <c r="CB585" s="104" t="n">
        <v>1</v>
      </c>
      <c r="CC585" s="104" t="n">
        <v>-0</v>
      </c>
      <c r="CD585" s="113" t="inlineStr">
        <is>
          <t>N/A</t>
        </is>
      </c>
      <c r="CE585" s="113" t="inlineStr">
        <is>
          <t>N/A</t>
        </is>
      </c>
      <c r="CF585" s="104" t="n">
        <v>3.07</v>
      </c>
      <c r="CG585" s="104" t="n">
        <v>54.61</v>
      </c>
      <c r="CH585" s="103" t="n">
        <v>0</v>
      </c>
      <c r="CI585" s="103" t="inlineStr">
        <is>
          <t>CLEAR</t>
        </is>
      </c>
    </row>
    <row r="586" ht="17" customHeight="1">
      <c r="A586" s="107" t="inlineStr">
        <is>
          <t>PRAX</t>
        </is>
      </c>
      <c r="B586" s="107" t="inlineStr">
        <is>
          <t>PRAXIS PRECISION MEDICINES, INC.</t>
        </is>
      </c>
      <c r="C586" s="108" t="n">
        <v>551140000</v>
      </c>
      <c r="D586" s="111" t="inlineStr">
        <is>
          <t>N/A</t>
        </is>
      </c>
      <c r="E586" s="111" t="inlineStr">
        <is>
          <t>N/A</t>
        </is>
      </c>
      <c r="F586" s="111" t="inlineStr">
        <is>
          <t>N/A</t>
        </is>
      </c>
      <c r="G586" s="109" t="n">
        <v>-0.32</v>
      </c>
      <c r="H586" s="109" t="n">
        <v>-0.38</v>
      </c>
      <c r="I586" s="109" t="n">
        <v>-0.35</v>
      </c>
      <c r="J586" s="109" t="n">
        <v>-0.37</v>
      </c>
      <c r="K586" s="111" t="inlineStr">
        <is>
          <t>N/A</t>
        </is>
      </c>
      <c r="L586" s="109" t="n">
        <v>-23.4</v>
      </c>
      <c r="M586" s="109" t="n">
        <v>0</v>
      </c>
      <c r="N586" s="108" t="n">
        <v>0.02</v>
      </c>
      <c r="O586" s="108" t="n">
        <v>10.22</v>
      </c>
      <c r="P586" s="108" t="n">
        <v>10.77</v>
      </c>
      <c r="Q586" s="108" t="n">
        <v>10.22</v>
      </c>
      <c r="R586" s="108" t="n">
        <v>5.98</v>
      </c>
      <c r="S586" s="108" t="n">
        <v>0.06</v>
      </c>
      <c r="T586" s="108" t="n">
        <v>0.08</v>
      </c>
      <c r="U586" s="111" t="inlineStr">
        <is>
          <t>N/A</t>
        </is>
      </c>
      <c r="V586" s="111" t="inlineStr">
        <is>
          <t>N/A</t>
        </is>
      </c>
      <c r="W586" s="108" t="n">
        <v>0.82</v>
      </c>
      <c r="X586" s="111" t="inlineStr">
        <is>
          <t>N/A</t>
        </is>
      </c>
      <c r="Y586" s="111" t="inlineStr">
        <is>
          <t>N/A</t>
        </is>
      </c>
      <c r="Z586" s="111" t="inlineStr">
        <is>
          <t>N/A</t>
        </is>
      </c>
      <c r="AA586" s="111" t="inlineStr">
        <is>
          <t>N/A</t>
        </is>
      </c>
      <c r="AB586" s="109" t="n">
        <v>0.66</v>
      </c>
      <c r="AC586" s="108" t="n">
        <v>-0.06</v>
      </c>
      <c r="AD586" s="108" t="n">
        <v>-0.06</v>
      </c>
      <c r="AE586" s="108" t="n">
        <v>0.59</v>
      </c>
      <c r="AF586" s="108" t="n">
        <v>-1.22</v>
      </c>
      <c r="AG586" s="108" t="n">
        <v>-0.35</v>
      </c>
      <c r="AH586" s="108" t="n">
        <v>14.69</v>
      </c>
      <c r="AI586" s="108" t="n">
        <v>0</v>
      </c>
      <c r="AJ586" s="108" t="n">
        <v>6.67</v>
      </c>
      <c r="AK586" s="110" t="inlineStr">
        <is>
          <t>Safe</t>
        </is>
      </c>
      <c r="AL586" s="108" t="n">
        <v>0.59</v>
      </c>
      <c r="AM586" s="108" t="n">
        <v>-1.22</v>
      </c>
      <c r="AN586" s="108" t="n">
        <v>-0.35</v>
      </c>
      <c r="AO586" s="108" t="n">
        <v>14.69</v>
      </c>
      <c r="AP586" s="108" t="n">
        <v>0</v>
      </c>
      <c r="AQ586" s="107" t="n">
        <v>4.48</v>
      </c>
      <c r="AR586" s="107" t="inlineStr">
        <is>
          <t>Safe</t>
        </is>
      </c>
      <c r="AS586" s="108" t="n">
        <v>0.59</v>
      </c>
      <c r="AT586" s="108" t="n">
        <v>-1.22</v>
      </c>
      <c r="AU586" s="108" t="n">
        <v>-0.35</v>
      </c>
      <c r="AV586" s="108" t="n">
        <v>14.69</v>
      </c>
      <c r="AW586" s="107" t="n">
        <v>12.98</v>
      </c>
      <c r="AX586" s="107" t="inlineStr">
        <is>
          <t>Safe</t>
        </is>
      </c>
      <c r="AY586" s="108" t="n">
        <v>0.59</v>
      </c>
      <c r="AZ586" s="108" t="n">
        <v>-0.35</v>
      </c>
      <c r="BA586" s="108" t="n">
        <v>-5.07</v>
      </c>
      <c r="BB586" s="108" t="n">
        <v>0</v>
      </c>
      <c r="BC586" s="107" t="n">
        <v>-3.81</v>
      </c>
      <c r="BD586" s="107" t="inlineStr">
        <is>
          <t>Distress</t>
        </is>
      </c>
      <c r="BE586" s="108" t="n">
        <v>-0.32</v>
      </c>
      <c r="BF586" s="108" t="n">
        <v>0.06</v>
      </c>
      <c r="BG586" s="108" t="n">
        <v>10.22</v>
      </c>
      <c r="BH586" s="108" t="n">
        <v>-2.47</v>
      </c>
      <c r="BI586" s="107" t="n">
        <v>0.08</v>
      </c>
      <c r="BJ586" s="107" t="inlineStr">
        <is>
          <t>Healthy</t>
        </is>
      </c>
      <c r="BK586" s="107" t="n">
        <v>0</v>
      </c>
      <c r="BL586" s="107" t="n">
        <v>0</v>
      </c>
      <c r="BM586" s="107" t="n">
        <v>1</v>
      </c>
      <c r="BN586" s="107" t="n">
        <v>1</v>
      </c>
      <c r="BO586" s="107" t="n">
        <v>0</v>
      </c>
      <c r="BP586" s="107" t="n">
        <v>0</v>
      </c>
      <c r="BQ586" s="107" t="n">
        <v>0</v>
      </c>
      <c r="BR586" s="107" t="n">
        <v>0</v>
      </c>
      <c r="BS586" s="107" t="n">
        <v>0</v>
      </c>
      <c r="BT586" s="107" t="n">
        <v>2</v>
      </c>
      <c r="BU586" s="107" t="inlineStr">
        <is>
          <t>Weak</t>
        </is>
      </c>
      <c r="BV586" s="111" t="inlineStr">
        <is>
          <t>N/A</t>
        </is>
      </c>
      <c r="BW586" s="111" t="inlineStr">
        <is>
          <t>N/A</t>
        </is>
      </c>
      <c r="BX586" s="108" t="n">
        <v>2.14</v>
      </c>
      <c r="BY586" s="108" t="n">
        <v>0</v>
      </c>
      <c r="BZ586" s="108" t="n">
        <v>1.25</v>
      </c>
      <c r="CA586" s="111" t="inlineStr">
        <is>
          <t>N/A</t>
        </is>
      </c>
      <c r="CB586" s="108" t="n">
        <v>0.82</v>
      </c>
      <c r="CC586" s="108" t="n">
        <v>-0.06</v>
      </c>
      <c r="CD586" s="111" t="inlineStr">
        <is>
          <t>N/A</t>
        </is>
      </c>
      <c r="CE586" s="111" t="inlineStr">
        <is>
          <t>N/A</t>
        </is>
      </c>
      <c r="CF586" s="111" t="inlineStr">
        <is>
          <t>N/A</t>
        </is>
      </c>
      <c r="CG586" s="108" t="n">
        <v>50.58</v>
      </c>
      <c r="CH586" s="107" t="n">
        <v>0</v>
      </c>
      <c r="CI586" s="107" t="inlineStr">
        <is>
          <t>CLEAR</t>
        </is>
      </c>
    </row>
    <row r="587" ht="17" customHeight="1">
      <c r="A587" s="103" t="inlineStr">
        <is>
          <t>CSGP</t>
        </is>
      </c>
      <c r="B587" s="103" t="inlineStr">
        <is>
          <t>COSTAR GROUP, INC.</t>
        </is>
      </c>
      <c r="C587" s="104" t="n">
        <v>1373000000</v>
      </c>
      <c r="D587" s="105" t="n">
        <v>-0.07000000000000001</v>
      </c>
      <c r="E587" s="105" t="n">
        <v>0.03</v>
      </c>
      <c r="F587" s="105" t="n">
        <v>0.01</v>
      </c>
      <c r="G587" s="105" t="n">
        <v>0</v>
      </c>
      <c r="H587" s="105" t="n">
        <v>0.01</v>
      </c>
      <c r="I587" s="105" t="n">
        <v>0</v>
      </c>
      <c r="J587" s="105" t="n">
        <v>-0.01</v>
      </c>
      <c r="K587" s="105" t="n">
        <v>2.65</v>
      </c>
      <c r="L587" s="105" t="n">
        <v>8.57</v>
      </c>
      <c r="M587" s="105" t="n">
        <v>0.09</v>
      </c>
      <c r="N587" s="104" t="n">
        <v>0.03</v>
      </c>
      <c r="O587" s="104" t="n">
        <v>2.84</v>
      </c>
      <c r="P587" s="104" t="n">
        <v>8.960000000000001</v>
      </c>
      <c r="Q587" s="104" t="n">
        <v>2.83</v>
      </c>
      <c r="R587" s="104" t="n">
        <v>2.19</v>
      </c>
      <c r="S587" s="104" t="n">
        <v>0.21</v>
      </c>
      <c r="T587" s="104" t="n">
        <v>0.18</v>
      </c>
      <c r="U587" s="104" t="n">
        <v>0.02</v>
      </c>
      <c r="V587" s="104" t="n">
        <v>-0.18</v>
      </c>
      <c r="W587" s="104" t="n">
        <v>61.43</v>
      </c>
      <c r="X587" s="105" t="n">
        <v>0.13</v>
      </c>
      <c r="Y587" s="105" t="n">
        <v>0</v>
      </c>
      <c r="Z587" s="105" t="n">
        <v>-27.53</v>
      </c>
      <c r="AA587" s="105" t="n">
        <v>2.8</v>
      </c>
      <c r="AB587" s="105" t="n">
        <v>-0.95</v>
      </c>
      <c r="AC587" s="104" t="n">
        <v>-0.04</v>
      </c>
      <c r="AD587" s="104" t="n">
        <v>-0.04</v>
      </c>
      <c r="AE587" s="104" t="n">
        <v>0.13</v>
      </c>
      <c r="AF587" s="104" t="n">
        <v>0.22</v>
      </c>
      <c r="AG587" s="104" t="n">
        <v>-0.01</v>
      </c>
      <c r="AH587" s="104" t="n">
        <v>3.85</v>
      </c>
      <c r="AI587" s="104" t="n">
        <v>0.09</v>
      </c>
      <c r="AJ587" s="104" t="n">
        <v>2.85</v>
      </c>
      <c r="AK587" s="106" t="inlineStr">
        <is>
          <t>Grey</t>
        </is>
      </c>
      <c r="AL587" s="104" t="n">
        <v>0.13</v>
      </c>
      <c r="AM587" s="104" t="n">
        <v>0.22</v>
      </c>
      <c r="AN587" s="104" t="n">
        <v>-0.01</v>
      </c>
      <c r="AO587" s="104" t="n">
        <v>3.85</v>
      </c>
      <c r="AP587" s="104" t="n">
        <v>0.09</v>
      </c>
      <c r="AQ587" s="103" t="n">
        <v>1.97</v>
      </c>
      <c r="AR587" s="103" t="inlineStr">
        <is>
          <t>Grey</t>
        </is>
      </c>
      <c r="AS587" s="104" t="n">
        <v>0.13</v>
      </c>
      <c r="AT587" s="104" t="n">
        <v>0.22</v>
      </c>
      <c r="AU587" s="104" t="n">
        <v>-0.01</v>
      </c>
      <c r="AV587" s="104" t="n">
        <v>3.85</v>
      </c>
      <c r="AW587" s="103" t="n">
        <v>5.57</v>
      </c>
      <c r="AX587" s="103" t="inlineStr">
        <is>
          <t>Safe</t>
        </is>
      </c>
      <c r="AY587" s="104" t="n">
        <v>0.13</v>
      </c>
      <c r="AZ587" s="104" t="n">
        <v>-0.01</v>
      </c>
      <c r="BA587" s="104" t="n">
        <v>0.04</v>
      </c>
      <c r="BB587" s="104" t="n">
        <v>0.09</v>
      </c>
      <c r="BC587" s="103" t="n">
        <v>0.18</v>
      </c>
      <c r="BD587" s="103" t="inlineStr">
        <is>
          <t>Distress</t>
        </is>
      </c>
      <c r="BE587" s="104" t="n">
        <v>0</v>
      </c>
      <c r="BF587" s="104" t="n">
        <v>0.21</v>
      </c>
      <c r="BG587" s="104" t="n">
        <v>2.84</v>
      </c>
      <c r="BH587" s="104" t="n">
        <v>-3.16</v>
      </c>
      <c r="BI587" s="103" t="n">
        <v>0.04</v>
      </c>
      <c r="BJ587" s="103" t="inlineStr">
        <is>
          <t>Healthy</t>
        </is>
      </c>
      <c r="BK587" s="103" t="n">
        <v>1</v>
      </c>
      <c r="BL587" s="103" t="n">
        <v>1</v>
      </c>
      <c r="BM587" s="103" t="n">
        <v>0</v>
      </c>
      <c r="BN587" s="103" t="n">
        <v>1</v>
      </c>
      <c r="BO587" s="103" t="n">
        <v>1</v>
      </c>
      <c r="BP587" s="103" t="n">
        <v>0</v>
      </c>
      <c r="BQ587" s="103" t="n">
        <v>0</v>
      </c>
      <c r="BR587" s="103" t="n">
        <v>0</v>
      </c>
      <c r="BS587" s="103" t="n">
        <v>1</v>
      </c>
      <c r="BT587" s="103" t="n">
        <v>5</v>
      </c>
      <c r="BU587" s="103" t="inlineStr">
        <is>
          <t>Mixed</t>
        </is>
      </c>
      <c r="BV587" s="104" t="n">
        <v>0.33</v>
      </c>
      <c r="BW587" s="104" t="n">
        <v>3.23</v>
      </c>
      <c r="BX587" s="104" t="n">
        <v>1.89</v>
      </c>
      <c r="BY587" s="104" t="n">
        <v>3.8</v>
      </c>
      <c r="BZ587" s="104" t="n">
        <v>0.76</v>
      </c>
      <c r="CA587" s="104" t="n">
        <v>0.33</v>
      </c>
      <c r="CB587" s="104" t="n">
        <v>1.12</v>
      </c>
      <c r="CC587" s="104" t="n">
        <v>-0.04</v>
      </c>
      <c r="CD587" s="103" t="n">
        <v>0.8</v>
      </c>
      <c r="CE587" s="103" t="inlineStr">
        <is>
          <t>Higher Risk</t>
        </is>
      </c>
      <c r="CF587" s="104" t="n">
        <v>-7.82</v>
      </c>
      <c r="CG587" s="104" t="n">
        <v>47.6</v>
      </c>
      <c r="CH587" s="103" t="n">
        <v>20</v>
      </c>
      <c r="CI587" s="103" t="inlineStr">
        <is>
          <t>CLEAR</t>
        </is>
      </c>
    </row>
    <row r="588" ht="17" customHeight="1">
      <c r="A588" s="107" t="inlineStr">
        <is>
          <t>AMKR</t>
        </is>
      </c>
      <c r="B588" s="107" t="inlineStr">
        <is>
          <t>AMKOR TECHNOLOGY, INC.</t>
        </is>
      </c>
      <c r="C588" s="108" t="n">
        <v>2172789000</v>
      </c>
      <c r="D588" s="109" t="n">
        <v>0.12</v>
      </c>
      <c r="E588" s="109" t="n">
        <v>0.11</v>
      </c>
      <c r="F588" s="109" t="n">
        <v>0.09</v>
      </c>
      <c r="G588" s="109" t="n">
        <v>0.05</v>
      </c>
      <c r="H588" s="109" t="n">
        <v>0.05</v>
      </c>
      <c r="I588" s="109" t="n">
        <v>0.08</v>
      </c>
      <c r="J588" s="109" t="n">
        <v>0.07000000000000001</v>
      </c>
      <c r="K588" s="109" t="n">
        <v>0.23</v>
      </c>
      <c r="L588" s="109" t="n">
        <v>0.79</v>
      </c>
      <c r="M588" s="109" t="n">
        <v>0.5</v>
      </c>
      <c r="N588" s="108" t="n">
        <v>0.17</v>
      </c>
      <c r="O588" s="108" t="n">
        <v>2.27</v>
      </c>
      <c r="P588" s="108" t="n">
        <v>2.11</v>
      </c>
      <c r="Q588" s="108" t="n">
        <v>2.01</v>
      </c>
      <c r="R588" s="108" t="n">
        <v>0.8100000000000001</v>
      </c>
      <c r="S588" s="108" t="n">
        <v>0.45</v>
      </c>
      <c r="T588" s="108" t="n">
        <v>0.4</v>
      </c>
      <c r="U588" s="108" t="n">
        <v>0.32</v>
      </c>
      <c r="V588" s="108" t="n">
        <v>0.01</v>
      </c>
      <c r="W588" s="108" t="n">
        <v>2.93</v>
      </c>
      <c r="X588" s="109" t="n">
        <v>0.05</v>
      </c>
      <c r="Y588" s="109" t="n">
        <v>0.04</v>
      </c>
      <c r="Z588" s="109" t="n">
        <v>7.92</v>
      </c>
      <c r="AA588" s="109" t="n">
        <v>2.44</v>
      </c>
      <c r="AB588" s="109" t="n">
        <v>0.06</v>
      </c>
      <c r="AC588" s="108" t="n">
        <v>-0.09</v>
      </c>
      <c r="AD588" s="108" t="n">
        <v>-0.09</v>
      </c>
      <c r="AE588" s="108" t="n">
        <v>0.27</v>
      </c>
      <c r="AF588" s="108" t="n">
        <v>0.32</v>
      </c>
      <c r="AG588" s="108" t="n">
        <v>0.06</v>
      </c>
      <c r="AH588" s="108" t="n">
        <v>1.23</v>
      </c>
      <c r="AI588" s="108" t="n">
        <v>0.5</v>
      </c>
      <c r="AJ588" s="108" t="n">
        <v>2.2</v>
      </c>
      <c r="AK588" s="106" t="inlineStr">
        <is>
          <t>Grey</t>
        </is>
      </c>
      <c r="AL588" s="108" t="n">
        <v>0.27</v>
      </c>
      <c r="AM588" s="108" t="n">
        <v>0.32</v>
      </c>
      <c r="AN588" s="108" t="n">
        <v>0.06</v>
      </c>
      <c r="AO588" s="108" t="n">
        <v>1.23</v>
      </c>
      <c r="AP588" s="108" t="n">
        <v>0.5</v>
      </c>
      <c r="AQ588" s="107" t="n">
        <v>1.66</v>
      </c>
      <c r="AR588" s="107" t="inlineStr">
        <is>
          <t>Grey</t>
        </is>
      </c>
      <c r="AS588" s="108" t="n">
        <v>0.27</v>
      </c>
      <c r="AT588" s="108" t="n">
        <v>0.32</v>
      </c>
      <c r="AU588" s="108" t="n">
        <v>0.06</v>
      </c>
      <c r="AV588" s="108" t="n">
        <v>1.23</v>
      </c>
      <c r="AW588" s="107" t="n">
        <v>4.48</v>
      </c>
      <c r="AX588" s="107" t="inlineStr">
        <is>
          <t>Safe</t>
        </is>
      </c>
      <c r="AY588" s="108" t="n">
        <v>0.27</v>
      </c>
      <c r="AZ588" s="108" t="n">
        <v>0.06</v>
      </c>
      <c r="BA588" s="108" t="n">
        <v>0.26</v>
      </c>
      <c r="BB588" s="108" t="n">
        <v>0.5</v>
      </c>
      <c r="BC588" s="107" t="n">
        <v>0.82</v>
      </c>
      <c r="BD588" s="107" t="inlineStr">
        <is>
          <t>Distress</t>
        </is>
      </c>
      <c r="BE588" s="108" t="n">
        <v>0.05</v>
      </c>
      <c r="BF588" s="108" t="n">
        <v>0.45</v>
      </c>
      <c r="BG588" s="108" t="n">
        <v>2.27</v>
      </c>
      <c r="BH588" s="108" t="n">
        <v>-2</v>
      </c>
      <c r="BI588" s="107" t="n">
        <v>0.12</v>
      </c>
      <c r="BJ588" s="107" t="inlineStr">
        <is>
          <t>Healthy</t>
        </is>
      </c>
      <c r="BK588" s="107" t="n">
        <v>1</v>
      </c>
      <c r="BL588" s="107" t="n">
        <v>1</v>
      </c>
      <c r="BM588" s="107" t="n">
        <v>0</v>
      </c>
      <c r="BN588" s="107" t="n">
        <v>1</v>
      </c>
      <c r="BO588" s="107" t="n">
        <v>0</v>
      </c>
      <c r="BP588" s="107" t="n">
        <v>1</v>
      </c>
      <c r="BQ588" s="107" t="n">
        <v>0</v>
      </c>
      <c r="BR588" s="107" t="n">
        <v>0</v>
      </c>
      <c r="BS588" s="107" t="n">
        <v>1</v>
      </c>
      <c r="BT588" s="107" t="n">
        <v>5</v>
      </c>
      <c r="BU588" s="107" t="inlineStr">
        <is>
          <t>Mixed</t>
        </is>
      </c>
      <c r="BV588" s="108" t="n">
        <v>0.37</v>
      </c>
      <c r="BW588" s="108" t="n">
        <v>3.42</v>
      </c>
      <c r="BX588" s="108" t="n">
        <v>0.98</v>
      </c>
      <c r="BY588" s="108" t="n">
        <v>3.44</v>
      </c>
      <c r="BZ588" s="108" t="n">
        <v>0.99</v>
      </c>
      <c r="CA588" s="108" t="n">
        <v>0.27</v>
      </c>
      <c r="CB588" s="108" t="n">
        <v>1.12</v>
      </c>
      <c r="CC588" s="108" t="n">
        <v>-0.09</v>
      </c>
      <c r="CD588" s="107" t="n">
        <v>0.06</v>
      </c>
      <c r="CE588" s="107" t="inlineStr">
        <is>
          <t>Higher Risk</t>
        </is>
      </c>
      <c r="CF588" s="108" t="n">
        <v>0.06</v>
      </c>
      <c r="CG588" s="108" t="n">
        <v>45.07</v>
      </c>
      <c r="CH588" s="107" t="n">
        <v>20</v>
      </c>
      <c r="CI588" s="107" t="inlineStr">
        <is>
          <t>CLEAR</t>
        </is>
      </c>
    </row>
    <row r="589" ht="17" customHeight="1">
      <c r="A589" s="103" t="inlineStr">
        <is>
          <t>IPGP</t>
        </is>
      </c>
      <c r="B589" s="103" t="inlineStr">
        <is>
          <t>IPG PHOTONICS CORP</t>
        </is>
      </c>
      <c r="C589" s="104" t="n">
        <v>1189403000</v>
      </c>
      <c r="D589" s="105" t="n">
        <v>0.01</v>
      </c>
      <c r="E589" s="105" t="n">
        <v>0.04</v>
      </c>
      <c r="F589" s="105" t="n">
        <v>0.03</v>
      </c>
      <c r="G589" s="105" t="n">
        <v>0.01</v>
      </c>
      <c r="H589" s="105" t="n">
        <v>-0.08</v>
      </c>
      <c r="I589" s="105" t="n">
        <v>0.01</v>
      </c>
      <c r="J589" s="105" t="n">
        <v>0.01</v>
      </c>
      <c r="K589" s="105" t="n">
        <v>0.38</v>
      </c>
      <c r="L589" s="105" t="n">
        <v>0.35</v>
      </c>
      <c r="M589" s="105" t="n">
        <v>0.41</v>
      </c>
      <c r="N589" s="104" t="n">
        <v>0.43</v>
      </c>
      <c r="O589" s="104" t="n">
        <v>6.08</v>
      </c>
      <c r="P589" s="104" t="n">
        <v>6.98</v>
      </c>
      <c r="Q589" s="104" t="n">
        <v>4.74</v>
      </c>
      <c r="R589" s="104" t="n">
        <v>1.73</v>
      </c>
      <c r="S589" s="104" t="n">
        <v>0.12</v>
      </c>
      <c r="T589" s="104" t="n">
        <v>0.12</v>
      </c>
      <c r="U589" s="104" t="n">
        <v>0.01</v>
      </c>
      <c r="V589" s="104" t="n">
        <v>-0.18</v>
      </c>
      <c r="W589" s="104" t="n">
        <v>2.42</v>
      </c>
      <c r="X589" s="105" t="n">
        <v>-0</v>
      </c>
      <c r="Y589" s="105" t="n">
        <v>0.12</v>
      </c>
      <c r="Z589" s="105" t="n">
        <v>19.24</v>
      </c>
      <c r="AA589" s="105" t="n">
        <v>0.03</v>
      </c>
      <c r="AB589" s="105" t="n">
        <v>-1.17</v>
      </c>
      <c r="AC589" s="104" t="n">
        <v>-0.02</v>
      </c>
      <c r="AD589" s="104" t="n">
        <v>-0.02</v>
      </c>
      <c r="AE589" s="104" t="n">
        <v>0.49</v>
      </c>
      <c r="AF589" s="104" t="n">
        <v>1.09</v>
      </c>
      <c r="AG589" s="104" t="n">
        <v>0.01</v>
      </c>
      <c r="AH589" s="104" t="n">
        <v>7.19</v>
      </c>
      <c r="AI589" s="104" t="n">
        <v>0.41</v>
      </c>
      <c r="AJ589" s="104" t="n">
        <v>6.86</v>
      </c>
      <c r="AK589" s="110" t="inlineStr">
        <is>
          <t>Safe</t>
        </is>
      </c>
      <c r="AL589" s="104" t="n">
        <v>0.49</v>
      </c>
      <c r="AM589" s="104" t="n">
        <v>1.09</v>
      </c>
      <c r="AN589" s="104" t="n">
        <v>0.01</v>
      </c>
      <c r="AO589" s="104" t="n">
        <v>7.19</v>
      </c>
      <c r="AP589" s="104" t="n">
        <v>0.41</v>
      </c>
      <c r="AQ589" s="103" t="n">
        <v>4.72</v>
      </c>
      <c r="AR589" s="103" t="inlineStr">
        <is>
          <t>Safe</t>
        </is>
      </c>
      <c r="AS589" s="104" t="n">
        <v>0.49</v>
      </c>
      <c r="AT589" s="104" t="n">
        <v>1.09</v>
      </c>
      <c r="AU589" s="104" t="n">
        <v>0.01</v>
      </c>
      <c r="AV589" s="104" t="n">
        <v>7.19</v>
      </c>
      <c r="AW589" s="103" t="n">
        <v>14.36</v>
      </c>
      <c r="AX589" s="103" t="inlineStr">
        <is>
          <t>Safe</t>
        </is>
      </c>
      <c r="AY589" s="104" t="n">
        <v>0.49</v>
      </c>
      <c r="AZ589" s="104" t="n">
        <v>0.01</v>
      </c>
      <c r="BA589" s="104" t="n">
        <v>0.19</v>
      </c>
      <c r="BB589" s="104" t="n">
        <v>0.41</v>
      </c>
      <c r="BC589" s="103" t="n">
        <v>0.8100000000000001</v>
      </c>
      <c r="BD589" s="103" t="inlineStr">
        <is>
          <t>Distress</t>
        </is>
      </c>
      <c r="BE589" s="104" t="n">
        <v>0.01</v>
      </c>
      <c r="BF589" s="104" t="n">
        <v>0.12</v>
      </c>
      <c r="BG589" s="104" t="n">
        <v>6.08</v>
      </c>
      <c r="BH589" s="104" t="n">
        <v>-3.68</v>
      </c>
      <c r="BI589" s="103" t="n">
        <v>0.02</v>
      </c>
      <c r="BJ589" s="103" t="inlineStr">
        <is>
          <t>Healthy</t>
        </is>
      </c>
      <c r="BK589" s="103" t="n">
        <v>1</v>
      </c>
      <c r="BL589" s="103" t="n">
        <v>1</v>
      </c>
      <c r="BM589" s="103" t="n">
        <v>1</v>
      </c>
      <c r="BN589" s="103" t="n">
        <v>1</v>
      </c>
      <c r="BO589" s="103" t="n">
        <v>1</v>
      </c>
      <c r="BP589" s="103" t="n">
        <v>0</v>
      </c>
      <c r="BQ589" s="103" t="n">
        <v>1</v>
      </c>
      <c r="BR589" s="103" t="n">
        <v>1</v>
      </c>
      <c r="BS589" s="103" t="n">
        <v>0</v>
      </c>
      <c r="BT589" s="103" t="n">
        <v>7</v>
      </c>
      <c r="BU589" s="103" t="inlineStr">
        <is>
          <t>Strong</t>
        </is>
      </c>
      <c r="BV589" s="104" t="n">
        <v>1.03</v>
      </c>
      <c r="BW589" s="104" t="n">
        <v>0.91</v>
      </c>
      <c r="BX589" s="104" t="n">
        <v>1.27</v>
      </c>
      <c r="BY589" s="104" t="n">
        <v>1.03</v>
      </c>
      <c r="BZ589" s="104" t="n">
        <v>1</v>
      </c>
      <c r="CA589" s="104" t="n">
        <v>1.12</v>
      </c>
      <c r="CB589" s="104" t="n">
        <v>1.06</v>
      </c>
      <c r="CC589" s="104" t="n">
        <v>-0.02</v>
      </c>
      <c r="CD589" s="103" t="n">
        <v>-2.49</v>
      </c>
      <c r="CE589" s="103" t="inlineStr">
        <is>
          <t>Lower Risk</t>
        </is>
      </c>
      <c r="CF589" s="104" t="n">
        <v>-4.85</v>
      </c>
      <c r="CG589" s="104" t="n">
        <v>70.52</v>
      </c>
      <c r="CH589" s="103" t="n">
        <v>0</v>
      </c>
      <c r="CI589" s="103" t="inlineStr">
        <is>
          <t>CLEAR</t>
        </is>
      </c>
    </row>
    <row r="590" ht="17" customHeight="1">
      <c r="A590" s="107" t="inlineStr">
        <is>
          <t>PGR</t>
        </is>
      </c>
      <c r="B590" s="107" t="inlineStr">
        <is>
          <t>PROGRESSIVE CORP/OH/</t>
        </is>
      </c>
      <c r="C590" s="111" t="inlineStr">
        <is>
          <t>N/A</t>
        </is>
      </c>
      <c r="D590" s="109" t="n">
        <v>0.16</v>
      </c>
      <c r="E590" s="109" t="n">
        <v>0.16</v>
      </c>
      <c r="F590" s="109" t="n">
        <v>0.13</v>
      </c>
      <c r="G590" s="109" t="n">
        <v>0.09</v>
      </c>
      <c r="H590" s="109" t="n">
        <v>0.08</v>
      </c>
      <c r="I590" s="109" t="n">
        <v>0.37</v>
      </c>
      <c r="J590" s="111" t="inlineStr">
        <is>
          <t>N/A</t>
        </is>
      </c>
      <c r="K590" s="109" t="n">
        <v>0.16</v>
      </c>
      <c r="L590" s="109" t="n">
        <v>0.14</v>
      </c>
      <c r="M590" s="109" t="n">
        <v>0.71</v>
      </c>
      <c r="N590" s="108" t="n">
        <v>0.71</v>
      </c>
      <c r="O590" s="111" t="inlineStr">
        <is>
          <t>N/A</t>
        </is>
      </c>
      <c r="P590" s="111" t="inlineStr">
        <is>
          <t>N/A</t>
        </is>
      </c>
      <c r="Q590" s="111" t="inlineStr">
        <is>
          <t>N/A</t>
        </is>
      </c>
      <c r="R590" s="111" t="inlineStr">
        <is>
          <t>N/A</t>
        </is>
      </c>
      <c r="S590" s="108" t="n">
        <v>0.75</v>
      </c>
      <c r="T590" s="108" t="n">
        <v>0.76</v>
      </c>
      <c r="U590" s="108" t="n">
        <v>0.09</v>
      </c>
      <c r="V590" s="108" t="n">
        <v>0.09</v>
      </c>
      <c r="W590" s="108" t="n">
        <v>1.55</v>
      </c>
      <c r="X590" s="109" t="n">
        <v>0.2</v>
      </c>
      <c r="Y590" s="109" t="n">
        <v>0</v>
      </c>
      <c r="Z590" s="109" t="n">
        <v>51.16</v>
      </c>
      <c r="AA590" s="109" t="n">
        <v>0.16</v>
      </c>
      <c r="AB590" s="109" t="n">
        <v>0.33</v>
      </c>
      <c r="AC590" s="108" t="n">
        <v>-0.05</v>
      </c>
      <c r="AD590" s="108" t="n">
        <v>-0.05</v>
      </c>
      <c r="AE590" s="111" t="inlineStr">
        <is>
          <t>N/A</t>
        </is>
      </c>
      <c r="AF590" s="108" t="n">
        <v>0.22</v>
      </c>
      <c r="AG590" s="108" t="n">
        <v>0.12</v>
      </c>
      <c r="AH590" s="108" t="n">
        <v>0.33</v>
      </c>
      <c r="AI590" s="108" t="n">
        <v>0.71</v>
      </c>
      <c r="AJ590" s="111" t="inlineStr">
        <is>
          <t>N/A</t>
        </is>
      </c>
      <c r="AK590" s="111" t="inlineStr">
        <is>
          <t>N/A</t>
        </is>
      </c>
      <c r="AL590" s="111" t="inlineStr">
        <is>
          <t>N/A</t>
        </is>
      </c>
      <c r="AM590" s="108" t="n">
        <v>0.22</v>
      </c>
      <c r="AN590" s="108" t="n">
        <v>0.12</v>
      </c>
      <c r="AO590" s="108" t="n">
        <v>0.33</v>
      </c>
      <c r="AP590" s="108" t="n">
        <v>0.71</v>
      </c>
      <c r="AQ590" s="111" t="inlineStr">
        <is>
          <t>N/A</t>
        </is>
      </c>
      <c r="AR590" s="111" t="inlineStr">
        <is>
          <t>N/A</t>
        </is>
      </c>
      <c r="AS590" s="111" t="inlineStr">
        <is>
          <t>N/A</t>
        </is>
      </c>
      <c r="AT590" s="108" t="n">
        <v>0.22</v>
      </c>
      <c r="AU590" s="108" t="n">
        <v>0.12</v>
      </c>
      <c r="AV590" s="108" t="n">
        <v>0.33</v>
      </c>
      <c r="AW590" s="111" t="inlineStr">
        <is>
          <t>N/A</t>
        </is>
      </c>
      <c r="AX590" s="111" t="inlineStr">
        <is>
          <t>N/A</t>
        </is>
      </c>
      <c r="AY590" s="111" t="inlineStr">
        <is>
          <t>N/A</t>
        </is>
      </c>
      <c r="AZ590" s="108" t="n">
        <v>0.12</v>
      </c>
      <c r="BA590" s="111" t="inlineStr">
        <is>
          <t>N/A</t>
        </is>
      </c>
      <c r="BB590" s="108" t="n">
        <v>0.71</v>
      </c>
      <c r="BC590" s="111" t="inlineStr">
        <is>
          <t>N/A</t>
        </is>
      </c>
      <c r="BD590" s="111" t="inlineStr">
        <is>
          <t>N/A</t>
        </is>
      </c>
      <c r="BE590" s="108" t="n">
        <v>0.09</v>
      </c>
      <c r="BF590" s="108" t="n">
        <v>0.75</v>
      </c>
      <c r="BG590" s="111" t="inlineStr">
        <is>
          <t>N/A</t>
        </is>
      </c>
      <c r="BH590" s="111" t="inlineStr">
        <is>
          <t>N/A</t>
        </is>
      </c>
      <c r="BI590" s="111" t="inlineStr">
        <is>
          <t>N/A</t>
        </is>
      </c>
      <c r="BJ590" s="111" t="inlineStr">
        <is>
          <t>N/A</t>
        </is>
      </c>
      <c r="BK590" s="107" t="n">
        <v>1</v>
      </c>
      <c r="BL590" s="107" t="n">
        <v>1</v>
      </c>
      <c r="BM590" s="107" t="n">
        <v>1</v>
      </c>
      <c r="BN590" s="107" t="n">
        <v>1</v>
      </c>
      <c r="BO590" s="107" t="n">
        <v>0</v>
      </c>
      <c r="BP590" s="107" t="n">
        <v>0</v>
      </c>
      <c r="BQ590" s="107" t="n">
        <v>1</v>
      </c>
      <c r="BR590" s="107" t="n">
        <v>1</v>
      </c>
      <c r="BS590" s="107" t="n">
        <v>0</v>
      </c>
      <c r="BT590" s="107" t="n">
        <v>6</v>
      </c>
      <c r="BU590" s="107" t="inlineStr">
        <is>
          <t>Mixed</t>
        </is>
      </c>
      <c r="BV590" s="111" t="inlineStr">
        <is>
          <t>N/A</t>
        </is>
      </c>
      <c r="BW590" s="108" t="n">
        <v>0.88</v>
      </c>
      <c r="BX590" s="108" t="n">
        <v>1</v>
      </c>
      <c r="BY590" s="108" t="n">
        <v>1.16</v>
      </c>
      <c r="BZ590" s="108" t="n">
        <v>0.93</v>
      </c>
      <c r="CA590" s="111" t="inlineStr">
        <is>
          <t>N/A</t>
        </is>
      </c>
      <c r="CB590" s="108" t="n">
        <v>0.99</v>
      </c>
      <c r="CC590" s="108" t="n">
        <v>-0.05</v>
      </c>
      <c r="CD590" s="111" t="inlineStr">
        <is>
          <t>N/A</t>
        </is>
      </c>
      <c r="CE590" s="111" t="inlineStr">
        <is>
          <t>N/A</t>
        </is>
      </c>
      <c r="CF590" s="108" t="n">
        <v>0.19</v>
      </c>
      <c r="CG590" s="108" t="n">
        <v>46.83</v>
      </c>
      <c r="CH590" s="107" t="n">
        <v>0</v>
      </c>
      <c r="CI590" s="107" t="inlineStr">
        <is>
          <t>CLEAR</t>
        </is>
      </c>
    </row>
    <row r="591" ht="17" customHeight="1">
      <c r="A591" s="103" t="inlineStr">
        <is>
          <t>FE</t>
        </is>
      </c>
      <c r="B591" s="103" t="inlineStr">
        <is>
          <t>FIRSTENERGY CORP</t>
        </is>
      </c>
      <c r="C591" s="104" t="n">
        <v>-2292000000</v>
      </c>
      <c r="D591" s="105" t="n">
        <v>0.15</v>
      </c>
      <c r="E591" s="105" t="n">
        <v>0.1</v>
      </c>
      <c r="F591" s="105" t="n">
        <v>0.07000000000000001</v>
      </c>
      <c r="G591" s="105" t="n">
        <v>0.02</v>
      </c>
      <c r="H591" s="105" t="n">
        <v>0.02</v>
      </c>
      <c r="I591" s="105" t="n">
        <v>0.08</v>
      </c>
      <c r="J591" s="105" t="n">
        <v>0.04</v>
      </c>
      <c r="K591" s="105" t="n">
        <v>0.82</v>
      </c>
      <c r="L591" s="105" t="n">
        <v>0.77</v>
      </c>
      <c r="M591" s="105" t="n">
        <v>0.27</v>
      </c>
      <c r="N591" s="104" t="n">
        <v>0.26</v>
      </c>
      <c r="O591" s="104" t="n">
        <v>0.57</v>
      </c>
      <c r="P591" s="104" t="n">
        <v>0.5600000000000001</v>
      </c>
      <c r="Q591" s="104" t="n">
        <v>0.46</v>
      </c>
      <c r="R591" s="104" t="n">
        <v>0.01</v>
      </c>
      <c r="S591" s="104" t="n">
        <v>0.75</v>
      </c>
      <c r="T591" s="104" t="n">
        <v>0.74</v>
      </c>
      <c r="U591" s="104" t="n">
        <v>0.03</v>
      </c>
      <c r="V591" s="104" t="n">
        <v>0.02</v>
      </c>
      <c r="W591" s="104" t="n">
        <v>3.63</v>
      </c>
      <c r="X591" s="105" t="n">
        <v>-0.07000000000000001</v>
      </c>
      <c r="Y591" s="105" t="n">
        <v>0</v>
      </c>
      <c r="Z591" s="105" t="n">
        <v>1.96</v>
      </c>
      <c r="AA591" s="105" t="n">
        <v>0.12</v>
      </c>
      <c r="AB591" s="105" t="n">
        <v>0.04</v>
      </c>
      <c r="AC591" s="104" t="n">
        <v>-0.05</v>
      </c>
      <c r="AD591" s="104" t="n">
        <v>-0.05</v>
      </c>
      <c r="AE591" s="104" t="n">
        <v>-0.04</v>
      </c>
      <c r="AF591" s="104" t="n">
        <v>0</v>
      </c>
      <c r="AG591" s="104" t="n">
        <v>0.04</v>
      </c>
      <c r="AH591" s="104" t="n">
        <v>0.3</v>
      </c>
      <c r="AI591" s="104" t="n">
        <v>0.27</v>
      </c>
      <c r="AJ591" s="104" t="n">
        <v>0.53</v>
      </c>
      <c r="AK591" s="112" t="inlineStr">
        <is>
          <t>Distress</t>
        </is>
      </c>
      <c r="AL591" s="104" t="n">
        <v>-0.04</v>
      </c>
      <c r="AM591" s="104" t="n">
        <v>0</v>
      </c>
      <c r="AN591" s="104" t="n">
        <v>0.04</v>
      </c>
      <c r="AO591" s="104" t="n">
        <v>0.3</v>
      </c>
      <c r="AP591" s="104" t="n">
        <v>0.27</v>
      </c>
      <c r="AQ591" s="103" t="n">
        <v>0.49</v>
      </c>
      <c r="AR591" s="103" t="inlineStr">
        <is>
          <t>Distress</t>
        </is>
      </c>
      <c r="AS591" s="104" t="n">
        <v>-0.04</v>
      </c>
      <c r="AT591" s="104" t="n">
        <v>0</v>
      </c>
      <c r="AU591" s="104" t="n">
        <v>0.04</v>
      </c>
      <c r="AV591" s="104" t="n">
        <v>0.3</v>
      </c>
      <c r="AW591" s="103" t="n">
        <v>0.31</v>
      </c>
      <c r="AX591" s="103" t="inlineStr">
        <is>
          <t>Distress</t>
        </is>
      </c>
      <c r="AY591" s="104" t="n">
        <v>-0.04</v>
      </c>
      <c r="AZ591" s="104" t="n">
        <v>0.04</v>
      </c>
      <c r="BA591" s="104" t="n">
        <v>0.3</v>
      </c>
      <c r="BB591" s="104" t="n">
        <v>0.27</v>
      </c>
      <c r="BC591" s="103" t="n">
        <v>0.38</v>
      </c>
      <c r="BD591" s="103" t="inlineStr">
        <is>
          <t>Distress</t>
        </is>
      </c>
      <c r="BE591" s="104" t="n">
        <v>0.02</v>
      </c>
      <c r="BF591" s="104" t="n">
        <v>0.75</v>
      </c>
      <c r="BG591" s="104" t="n">
        <v>0.57</v>
      </c>
      <c r="BH591" s="104" t="n">
        <v>-0.15</v>
      </c>
      <c r="BI591" s="103" t="n">
        <v>0.46</v>
      </c>
      <c r="BJ591" s="103" t="inlineStr">
        <is>
          <t>Healthy</t>
        </is>
      </c>
      <c r="BK591" s="103" t="n">
        <v>1</v>
      </c>
      <c r="BL591" s="103" t="n">
        <v>1</v>
      </c>
      <c r="BM591" s="103" t="n">
        <v>0</v>
      </c>
      <c r="BN591" s="103" t="n">
        <v>1</v>
      </c>
      <c r="BO591" s="103" t="n">
        <v>0</v>
      </c>
      <c r="BP591" s="103" t="n">
        <v>1</v>
      </c>
      <c r="BQ591" s="103" t="n">
        <v>0</v>
      </c>
      <c r="BR591" s="103" t="n">
        <v>1</v>
      </c>
      <c r="BS591" s="103" t="n">
        <v>1</v>
      </c>
      <c r="BT591" s="103" t="n">
        <v>6</v>
      </c>
      <c r="BU591" s="103" t="inlineStr">
        <is>
          <t>Mixed</t>
        </is>
      </c>
      <c r="BV591" s="104" t="n">
        <v>1.01</v>
      </c>
      <c r="BW591" s="104" t="n">
        <v>0.9399999999999999</v>
      </c>
      <c r="BX591" s="104" t="n">
        <v>1.04</v>
      </c>
      <c r="BY591" s="104" t="n">
        <v>1.12</v>
      </c>
      <c r="BZ591" s="104" t="n">
        <v>1.38</v>
      </c>
      <c r="CA591" s="113" t="inlineStr">
        <is>
          <t>N/A</t>
        </is>
      </c>
      <c r="CB591" s="104" t="n">
        <v>1.02</v>
      </c>
      <c r="CC591" s="104" t="n">
        <v>-0.05</v>
      </c>
      <c r="CD591" s="103" t="n">
        <v>-2.39</v>
      </c>
      <c r="CE591" s="103" t="inlineStr">
        <is>
          <t>Lower Risk</t>
        </is>
      </c>
      <c r="CF591" s="104" t="n">
        <v>0.08</v>
      </c>
      <c r="CG591" s="104" t="n">
        <v>48.54</v>
      </c>
      <c r="CH591" s="103" t="n">
        <v>0</v>
      </c>
      <c r="CI591" s="103" t="inlineStr">
        <is>
          <t>CLEAR</t>
        </is>
      </c>
    </row>
    <row r="592" ht="17" customHeight="1">
      <c r="A592" s="107" t="inlineStr">
        <is>
          <t>MDLZ</t>
        </is>
      </c>
      <c r="B592" s="107" t="inlineStr">
        <is>
          <t>Mondelez International, Inc.</t>
        </is>
      </c>
      <c r="C592" s="108" t="n">
        <v>-8913000000</v>
      </c>
      <c r="D592" s="109" t="n">
        <v>0.09</v>
      </c>
      <c r="E592" s="109" t="n">
        <v>0.02</v>
      </c>
      <c r="F592" s="109" t="n">
        <v>0.06</v>
      </c>
      <c r="G592" s="109" t="n">
        <v>0.03</v>
      </c>
      <c r="H592" s="109" t="n">
        <v>0.07000000000000001</v>
      </c>
      <c r="I592" s="109" t="n">
        <v>0.09</v>
      </c>
      <c r="J592" s="109" t="n">
        <v>0.07000000000000001</v>
      </c>
      <c r="K592" s="109" t="n">
        <v>0.28</v>
      </c>
      <c r="L592" s="109" t="n">
        <v>0.39</v>
      </c>
      <c r="M592" s="109" t="n">
        <v>0.54</v>
      </c>
      <c r="N592" s="108" t="n">
        <v>0.53</v>
      </c>
      <c r="O592" s="108" t="n">
        <v>0.59</v>
      </c>
      <c r="P592" s="108" t="n">
        <v>0.68</v>
      </c>
      <c r="Q592" s="108" t="n">
        <v>0.39</v>
      </c>
      <c r="R592" s="108" t="n">
        <v>0.2</v>
      </c>
      <c r="S592" s="108" t="n">
        <v>0.64</v>
      </c>
      <c r="T592" s="108" t="n">
        <v>0.61</v>
      </c>
      <c r="U592" s="108" t="n">
        <v>0.72</v>
      </c>
      <c r="V592" s="108" t="n">
        <v>0.55</v>
      </c>
      <c r="W592" s="108" t="n">
        <v>1.84</v>
      </c>
      <c r="X592" s="109" t="n">
        <v>0.08</v>
      </c>
      <c r="Y592" s="109" t="n">
        <v>0.01</v>
      </c>
      <c r="Z592" s="109" t="n">
        <v>5.92</v>
      </c>
      <c r="AA592" s="109" t="n">
        <v>0.06</v>
      </c>
      <c r="AB592" s="109" t="n">
        <v>-0.47</v>
      </c>
      <c r="AC592" s="108" t="n">
        <v>-0.03</v>
      </c>
      <c r="AD592" s="108" t="n">
        <v>-0.03</v>
      </c>
      <c r="AE592" s="108" t="n">
        <v>-0.12</v>
      </c>
      <c r="AF592" s="108" t="n">
        <v>0.51</v>
      </c>
      <c r="AG592" s="108" t="n">
        <v>0.05</v>
      </c>
      <c r="AH592" s="108" t="n">
        <v>0.57</v>
      </c>
      <c r="AI592" s="108" t="n">
        <v>0.54</v>
      </c>
      <c r="AJ592" s="108" t="n">
        <v>1.61</v>
      </c>
      <c r="AK592" s="112" t="inlineStr">
        <is>
          <t>Distress</t>
        </is>
      </c>
      <c r="AL592" s="108" t="n">
        <v>-0.12</v>
      </c>
      <c r="AM592" s="108" t="n">
        <v>0.51</v>
      </c>
      <c r="AN592" s="108" t="n">
        <v>0.05</v>
      </c>
      <c r="AO592" s="108" t="n">
        <v>0.57</v>
      </c>
      <c r="AP592" s="108" t="n">
        <v>0.54</v>
      </c>
      <c r="AQ592" s="107" t="n">
        <v>1.27</v>
      </c>
      <c r="AR592" s="107" t="inlineStr">
        <is>
          <t>Grey</t>
        </is>
      </c>
      <c r="AS592" s="108" t="n">
        <v>-0.12</v>
      </c>
      <c r="AT592" s="108" t="n">
        <v>0.51</v>
      </c>
      <c r="AU592" s="108" t="n">
        <v>0.05</v>
      </c>
      <c r="AV592" s="108" t="n">
        <v>0.57</v>
      </c>
      <c r="AW592" s="107" t="n">
        <v>1.77</v>
      </c>
      <c r="AX592" s="107" t="inlineStr">
        <is>
          <t>Grey</t>
        </is>
      </c>
      <c r="AY592" s="108" t="n">
        <v>-0.12</v>
      </c>
      <c r="AZ592" s="108" t="n">
        <v>0.05</v>
      </c>
      <c r="BA592" s="108" t="n">
        <v>0.03</v>
      </c>
      <c r="BB592" s="108" t="n">
        <v>0.54</v>
      </c>
      <c r="BC592" s="107" t="n">
        <v>0.26</v>
      </c>
      <c r="BD592" s="107" t="inlineStr">
        <is>
          <t>Distress</t>
        </is>
      </c>
      <c r="BE592" s="108" t="n">
        <v>0.03</v>
      </c>
      <c r="BF592" s="108" t="n">
        <v>0.64</v>
      </c>
      <c r="BG592" s="108" t="n">
        <v>0.59</v>
      </c>
      <c r="BH592" s="108" t="n">
        <v>-0.87</v>
      </c>
      <c r="BI592" s="107" t="n">
        <v>0.3</v>
      </c>
      <c r="BJ592" s="107" t="inlineStr">
        <is>
          <t>Healthy</t>
        </is>
      </c>
      <c r="BK592" s="107" t="n">
        <v>1</v>
      </c>
      <c r="BL592" s="107" t="n">
        <v>1</v>
      </c>
      <c r="BM592" s="107" t="n">
        <v>0</v>
      </c>
      <c r="BN592" s="107" t="n">
        <v>1</v>
      </c>
      <c r="BO592" s="107" t="n">
        <v>1</v>
      </c>
      <c r="BP592" s="107" t="n">
        <v>0</v>
      </c>
      <c r="BQ592" s="107" t="n">
        <v>1</v>
      </c>
      <c r="BR592" s="107" t="n">
        <v>0</v>
      </c>
      <c r="BS592" s="107" t="n">
        <v>1</v>
      </c>
      <c r="BT592" s="107" t="n">
        <v>6</v>
      </c>
      <c r="BU592" s="107" t="inlineStr">
        <is>
          <t>Mixed</t>
        </is>
      </c>
      <c r="BV592" s="108" t="n">
        <v>0.95</v>
      </c>
      <c r="BW592" s="108" t="n">
        <v>1.38</v>
      </c>
      <c r="BX592" s="108" t="n">
        <v>1.03</v>
      </c>
      <c r="BY592" s="108" t="n">
        <v>1.06</v>
      </c>
      <c r="BZ592" s="108" t="n">
        <v>0.96</v>
      </c>
      <c r="CA592" s="108" t="n">
        <v>0.91</v>
      </c>
      <c r="CB592" s="108" t="n">
        <v>1.05</v>
      </c>
      <c r="CC592" s="108" t="n">
        <v>-0.03</v>
      </c>
      <c r="CD592" s="107" t="n">
        <v>-2.4</v>
      </c>
      <c r="CE592" s="107" t="inlineStr">
        <is>
          <t>Lower Risk</t>
        </is>
      </c>
      <c r="CF592" s="108" t="n">
        <v>2.87</v>
      </c>
      <c r="CG592" s="108" t="n">
        <v>51.46</v>
      </c>
      <c r="CH592" s="107" t="n">
        <v>0</v>
      </c>
      <c r="CI592" s="107" t="inlineStr">
        <is>
          <t>CLEAR</t>
        </is>
      </c>
    </row>
    <row r="593" ht="17" customHeight="1">
      <c r="A593" s="103" t="inlineStr">
        <is>
          <t>HBAN</t>
        </is>
      </c>
      <c r="B593" s="103" t="inlineStr">
        <is>
          <t>Huntington Bancshares Incorporated</t>
        </is>
      </c>
      <c r="C593" s="113" t="inlineStr">
        <is>
          <t>N/A</t>
        </is>
      </c>
      <c r="D593" s="105" t="n">
        <v>1.72</v>
      </c>
      <c r="E593" s="105" t="n">
        <v>1.72</v>
      </c>
      <c r="F593" s="105" t="n">
        <v>1.42</v>
      </c>
      <c r="G593" s="105" t="n">
        <v>0.01</v>
      </c>
      <c r="H593" s="105" t="n">
        <v>0.01</v>
      </c>
      <c r="I593" s="105" t="n">
        <v>0.09</v>
      </c>
      <c r="J593" s="113" t="inlineStr">
        <is>
          <t>N/A</t>
        </is>
      </c>
      <c r="K593" s="105" t="n">
        <v>-0.01</v>
      </c>
      <c r="L593" s="105" t="n">
        <v>-0.01</v>
      </c>
      <c r="M593" s="105" t="n">
        <v>0.01</v>
      </c>
      <c r="N593" s="104" t="n">
        <v>0.01</v>
      </c>
      <c r="O593" s="113" t="inlineStr">
        <is>
          <t>N/A</t>
        </is>
      </c>
      <c r="P593" s="113" t="inlineStr">
        <is>
          <t>N/A</t>
        </is>
      </c>
      <c r="Q593" s="113" t="inlineStr">
        <is>
          <t>N/A</t>
        </is>
      </c>
      <c r="R593" s="113" t="inlineStr">
        <is>
          <t>N/A</t>
        </is>
      </c>
      <c r="S593" s="104" t="n">
        <v>0.89</v>
      </c>
      <c r="T593" s="104" t="n">
        <v>0.9</v>
      </c>
      <c r="U593" s="104" t="n">
        <v>0.76</v>
      </c>
      <c r="V593" s="104" t="n">
        <v>0.65</v>
      </c>
      <c r="W593" s="104" t="n">
        <v>1.12</v>
      </c>
      <c r="X593" s="105" t="n">
        <v>1.42</v>
      </c>
      <c r="Y593" s="105" t="n">
        <v>0</v>
      </c>
      <c r="Z593" s="105" t="n">
        <v>0.77</v>
      </c>
      <c r="AA593" s="105" t="n">
        <v>0.06</v>
      </c>
      <c r="AB593" s="105" t="n">
        <v>0.14</v>
      </c>
      <c r="AC593" s="104" t="n">
        <v>-0</v>
      </c>
      <c r="AD593" s="104" t="n">
        <v>-0</v>
      </c>
      <c r="AE593" s="113" t="inlineStr">
        <is>
          <t>N/A</t>
        </is>
      </c>
      <c r="AF593" s="104" t="n">
        <v>0.03</v>
      </c>
      <c r="AG593" s="104" t="n">
        <v>0.01</v>
      </c>
      <c r="AH593" s="104" t="n">
        <v>0.12</v>
      </c>
      <c r="AI593" s="104" t="n">
        <v>0.01</v>
      </c>
      <c r="AJ593" s="113" t="inlineStr">
        <is>
          <t>N/A</t>
        </is>
      </c>
      <c r="AK593" s="113" t="inlineStr">
        <is>
          <t>N/A</t>
        </is>
      </c>
      <c r="AL593" s="113" t="inlineStr">
        <is>
          <t>N/A</t>
        </is>
      </c>
      <c r="AM593" s="104" t="n">
        <v>0.03</v>
      </c>
      <c r="AN593" s="104" t="n">
        <v>0.01</v>
      </c>
      <c r="AO593" s="104" t="n">
        <v>0.12</v>
      </c>
      <c r="AP593" s="104" t="n">
        <v>0.01</v>
      </c>
      <c r="AQ593" s="113" t="inlineStr">
        <is>
          <t>N/A</t>
        </is>
      </c>
      <c r="AR593" s="113" t="inlineStr">
        <is>
          <t>N/A</t>
        </is>
      </c>
      <c r="AS593" s="113" t="inlineStr">
        <is>
          <t>N/A</t>
        </is>
      </c>
      <c r="AT593" s="104" t="n">
        <v>0.03</v>
      </c>
      <c r="AU593" s="104" t="n">
        <v>0.01</v>
      </c>
      <c r="AV593" s="104" t="n">
        <v>0.12</v>
      </c>
      <c r="AW593" s="113" t="inlineStr">
        <is>
          <t>N/A</t>
        </is>
      </c>
      <c r="AX593" s="113" t="inlineStr">
        <is>
          <t>N/A</t>
        </is>
      </c>
      <c r="AY593" s="113" t="inlineStr">
        <is>
          <t>N/A</t>
        </is>
      </c>
      <c r="AZ593" s="104" t="n">
        <v>0.01</v>
      </c>
      <c r="BA593" s="113" t="inlineStr">
        <is>
          <t>N/A</t>
        </is>
      </c>
      <c r="BB593" s="104" t="n">
        <v>0.01</v>
      </c>
      <c r="BC593" s="113" t="inlineStr">
        <is>
          <t>N/A</t>
        </is>
      </c>
      <c r="BD593" s="113" t="inlineStr">
        <is>
          <t>N/A</t>
        </is>
      </c>
      <c r="BE593" s="104" t="n">
        <v>0.01</v>
      </c>
      <c r="BF593" s="104" t="n">
        <v>0.89</v>
      </c>
      <c r="BG593" s="113" t="inlineStr">
        <is>
          <t>N/A</t>
        </is>
      </c>
      <c r="BH593" s="113" t="inlineStr">
        <is>
          <t>N/A</t>
        </is>
      </c>
      <c r="BI593" s="113" t="inlineStr">
        <is>
          <t>N/A</t>
        </is>
      </c>
      <c r="BJ593" s="113" t="inlineStr">
        <is>
          <t>N/A</t>
        </is>
      </c>
      <c r="BK593" s="103" t="n">
        <v>1</v>
      </c>
      <c r="BL593" s="103" t="n">
        <v>1</v>
      </c>
      <c r="BM593" s="103" t="n">
        <v>1</v>
      </c>
      <c r="BN593" s="103" t="n">
        <v>1</v>
      </c>
      <c r="BO593" s="103" t="n">
        <v>1</v>
      </c>
      <c r="BP593" s="103" t="n">
        <v>0</v>
      </c>
      <c r="BQ593" s="103" t="n">
        <v>0</v>
      </c>
      <c r="BR593" s="103" t="n">
        <v>1</v>
      </c>
      <c r="BS593" s="103" t="n">
        <v>0</v>
      </c>
      <c r="BT593" s="103" t="n">
        <v>6</v>
      </c>
      <c r="BU593" s="103" t="inlineStr">
        <is>
          <t>Mixed</t>
        </is>
      </c>
      <c r="BV593" s="113" t="inlineStr">
        <is>
          <t>N/A</t>
        </is>
      </c>
      <c r="BW593" s="113" t="inlineStr">
        <is>
          <t>N/A</t>
        </is>
      </c>
      <c r="BX593" s="104" t="n">
        <v>1</v>
      </c>
      <c r="BY593" s="104" t="n">
        <v>1.06</v>
      </c>
      <c r="BZ593" s="104" t="n">
        <v>1.34</v>
      </c>
      <c r="CA593" s="113" t="inlineStr">
        <is>
          <t>N/A</t>
        </is>
      </c>
      <c r="CB593" s="104" t="n">
        <v>0.99</v>
      </c>
      <c r="CC593" s="104" t="n">
        <v>-0</v>
      </c>
      <c r="CD593" s="113" t="inlineStr">
        <is>
          <t>N/A</t>
        </is>
      </c>
      <c r="CE593" s="113" t="inlineStr">
        <is>
          <t>N/A</t>
        </is>
      </c>
      <c r="CF593" s="104" t="n">
        <v>4.78</v>
      </c>
      <c r="CG593" s="104" t="n">
        <v>46.83</v>
      </c>
      <c r="CH593" s="103" t="n">
        <v>0</v>
      </c>
      <c r="CI593" s="103" t="inlineStr">
        <is>
          <t>CLEAR</t>
        </is>
      </c>
    </row>
    <row r="594" ht="17" customHeight="1">
      <c r="A594" s="107" t="inlineStr">
        <is>
          <t>MTDR</t>
        </is>
      </c>
      <c r="B594" s="107" t="inlineStr">
        <is>
          <t>Matador Resources Company</t>
        </is>
      </c>
      <c r="C594" s="108" t="n">
        <v>-214941000</v>
      </c>
      <c r="D594" s="109" t="n">
        <v>0.33</v>
      </c>
      <c r="E594" s="109" t="n">
        <v>0.28</v>
      </c>
      <c r="F594" s="109" t="n">
        <v>0.21</v>
      </c>
      <c r="G594" s="109" t="n">
        <v>0.06</v>
      </c>
      <c r="H594" s="109" t="n">
        <v>0.08</v>
      </c>
      <c r="I594" s="109" t="n">
        <v>0.13</v>
      </c>
      <c r="J594" s="109" t="n">
        <v>0.11</v>
      </c>
      <c r="K594" s="109" t="n">
        <v>0.9399999999999999</v>
      </c>
      <c r="L594" s="109" t="n">
        <v>0.95</v>
      </c>
      <c r="M594" s="109" t="n">
        <v>0.32</v>
      </c>
      <c r="N594" s="108" t="n">
        <v>0.32</v>
      </c>
      <c r="O594" s="108" t="n">
        <v>0.79</v>
      </c>
      <c r="P594" s="108" t="n">
        <v>0.93</v>
      </c>
      <c r="Q594" s="108" t="n">
        <v>0.79</v>
      </c>
      <c r="R594" s="108" t="n">
        <v>0.01</v>
      </c>
      <c r="S594" s="108" t="n">
        <v>1</v>
      </c>
      <c r="T594" s="108" t="n">
        <v>1</v>
      </c>
      <c r="U594" s="108" t="n">
        <v>0.6</v>
      </c>
      <c r="V594" s="108" t="n">
        <v>0.6</v>
      </c>
      <c r="W594" s="108" t="n">
        <v>3.19</v>
      </c>
      <c r="X594" s="109" t="n">
        <v>0.07000000000000001</v>
      </c>
      <c r="Y594" s="109" t="n">
        <v>0</v>
      </c>
      <c r="Z594" s="109" t="n">
        <v>10.09</v>
      </c>
      <c r="AA594" s="109" t="n">
        <v>0.05</v>
      </c>
      <c r="AB594" s="109" t="n">
        <v>-0.14</v>
      </c>
      <c r="AC594" s="108" t="n">
        <v>-0.14</v>
      </c>
      <c r="AD594" s="108" t="n">
        <v>-0.14</v>
      </c>
      <c r="AE594" s="108" t="n">
        <v>-0.02</v>
      </c>
      <c r="AF594" s="108" t="n">
        <v>0.27</v>
      </c>
      <c r="AG594" s="108" t="n">
        <v>0.1</v>
      </c>
      <c r="AH594" s="108" t="n">
        <v>0.48</v>
      </c>
      <c r="AI594" s="108" t="n">
        <v>0.32</v>
      </c>
      <c r="AJ594" s="108" t="n">
        <v>1.31</v>
      </c>
      <c r="AK594" s="112" t="inlineStr">
        <is>
          <t>Distress</t>
        </is>
      </c>
      <c r="AL594" s="108" t="n">
        <v>-0.02</v>
      </c>
      <c r="AM594" s="108" t="n">
        <v>0.27</v>
      </c>
      <c r="AN594" s="108" t="n">
        <v>0.1</v>
      </c>
      <c r="AO594" s="108" t="n">
        <v>0.48</v>
      </c>
      <c r="AP594" s="108" t="n">
        <v>0.32</v>
      </c>
      <c r="AQ594" s="107" t="n">
        <v>1.06</v>
      </c>
      <c r="AR594" s="107" t="inlineStr">
        <is>
          <t>Distress</t>
        </is>
      </c>
      <c r="AS594" s="108" t="n">
        <v>-0.02</v>
      </c>
      <c r="AT594" s="108" t="n">
        <v>0.27</v>
      </c>
      <c r="AU594" s="108" t="n">
        <v>0.1</v>
      </c>
      <c r="AV594" s="108" t="n">
        <v>0.48</v>
      </c>
      <c r="AW594" s="107" t="n">
        <v>1.97</v>
      </c>
      <c r="AX594" s="107" t="inlineStr">
        <is>
          <t>Grey</t>
        </is>
      </c>
      <c r="AY594" s="108" t="n">
        <v>-0.02</v>
      </c>
      <c r="AZ594" s="108" t="n">
        <v>0.1</v>
      </c>
      <c r="BA594" s="108" t="n">
        <v>1</v>
      </c>
      <c r="BB594" s="108" t="n">
        <v>0.32</v>
      </c>
      <c r="BC594" s="107" t="n">
        <v>1.09</v>
      </c>
      <c r="BD594" s="107" t="inlineStr">
        <is>
          <t>Healthy</t>
        </is>
      </c>
      <c r="BE594" s="108" t="n">
        <v>0.06</v>
      </c>
      <c r="BF594" s="108" t="n">
        <v>1</v>
      </c>
      <c r="BG594" s="108" t="n">
        <v>0.79</v>
      </c>
      <c r="BH594" s="108" t="n">
        <v>1.05</v>
      </c>
      <c r="BI594" s="107" t="n">
        <v>0.74</v>
      </c>
      <c r="BJ594" s="107" t="inlineStr">
        <is>
          <t>Distress</t>
        </is>
      </c>
      <c r="BK594" s="107" t="n">
        <v>1</v>
      </c>
      <c r="BL594" s="107" t="n">
        <v>1</v>
      </c>
      <c r="BM594" s="107" t="n">
        <v>0</v>
      </c>
      <c r="BN594" s="107" t="n">
        <v>1</v>
      </c>
      <c r="BO594" s="107" t="n">
        <v>1</v>
      </c>
      <c r="BP594" s="107" t="n">
        <v>0</v>
      </c>
      <c r="BQ594" s="107" t="n">
        <v>1</v>
      </c>
      <c r="BR594" s="107" t="n">
        <v>0</v>
      </c>
      <c r="BS594" s="107" t="n">
        <v>0</v>
      </c>
      <c r="BT594" s="107" t="n">
        <v>5</v>
      </c>
      <c r="BU594" s="107" t="inlineStr">
        <is>
          <t>Mixed</t>
        </is>
      </c>
      <c r="BV594" s="108" t="n">
        <v>0.82</v>
      </c>
      <c r="BW594" s="108" t="n">
        <v>1.01</v>
      </c>
      <c r="BX594" s="108" t="n">
        <v>0.66</v>
      </c>
      <c r="BY594" s="108" t="n">
        <v>1.05</v>
      </c>
      <c r="BZ594" s="108" t="n">
        <v>1.23</v>
      </c>
      <c r="CA594" s="108" t="n">
        <v>1.02</v>
      </c>
      <c r="CB594" s="108" t="n">
        <v>1</v>
      </c>
      <c r="CC594" s="108" t="n">
        <v>-0.14</v>
      </c>
      <c r="CD594" s="107" t="n">
        <v>-3.37</v>
      </c>
      <c r="CE594" s="107" t="inlineStr">
        <is>
          <t>Lower Risk</t>
        </is>
      </c>
      <c r="CF594" s="108" t="n">
        <v>1.4</v>
      </c>
      <c r="CG594" s="108" t="n">
        <v>46.65</v>
      </c>
      <c r="CH594" s="107" t="n">
        <v>20</v>
      </c>
      <c r="CI594" s="107" t="inlineStr">
        <is>
          <t>CLEAR</t>
        </is>
      </c>
    </row>
    <row r="595" ht="17" customHeight="1">
      <c r="A595" s="103" t="inlineStr">
        <is>
          <t>BOOT</t>
        </is>
      </c>
      <c r="B595" s="103" t="inlineStr">
        <is>
          <t>BOOT BARN HOLDINGS, INC.</t>
        </is>
      </c>
      <c r="C595" s="104" t="n">
        <v>643427000</v>
      </c>
      <c r="D595" s="105" t="n">
        <v>0.39</v>
      </c>
      <c r="E595" s="105" t="n">
        <v>0.39</v>
      </c>
      <c r="F595" s="105" t="n">
        <v>0.29</v>
      </c>
      <c r="G595" s="105" t="n">
        <v>0.09</v>
      </c>
      <c r="H595" s="105" t="n">
        <v>0.09</v>
      </c>
      <c r="I595" s="105" t="n">
        <v>0.17</v>
      </c>
      <c r="J595" s="105" t="n">
        <v>0.15</v>
      </c>
      <c r="K595" s="105" t="n">
        <v>1.1</v>
      </c>
      <c r="L595" s="105" t="n">
        <v>3.72</v>
      </c>
      <c r="M595" s="105" t="n">
        <v>0.32</v>
      </c>
      <c r="N595" s="104" t="n">
        <v>0.1</v>
      </c>
      <c r="O595" s="104" t="n">
        <v>2.65</v>
      </c>
      <c r="P595" s="104" t="n">
        <v>2.45</v>
      </c>
      <c r="Q595" s="104" t="n">
        <v>0.49</v>
      </c>
      <c r="R595" s="104" t="n">
        <v>0.36</v>
      </c>
      <c r="S595" s="104" t="n">
        <v>0.46</v>
      </c>
      <c r="T595" s="104" t="n">
        <v>0.44</v>
      </c>
      <c r="U595" s="104" t="n">
        <v>0.19</v>
      </c>
      <c r="V595" s="104" t="n">
        <v>0.08</v>
      </c>
      <c r="W595" s="104" t="n">
        <v>1.35</v>
      </c>
      <c r="X595" s="105" t="n">
        <v>0.16</v>
      </c>
      <c r="Y595" s="113" t="inlineStr">
        <is>
          <t>N/A</t>
        </is>
      </c>
      <c r="Z595" s="105" t="n">
        <v>21.92</v>
      </c>
      <c r="AA595" s="105" t="n">
        <v>3.03</v>
      </c>
      <c r="AB595" s="105" t="n">
        <v>0.25</v>
      </c>
      <c r="AC595" s="104" t="n">
        <v>-0.03</v>
      </c>
      <c r="AD595" s="104" t="n">
        <v>-0.03</v>
      </c>
      <c r="AE595" s="104" t="n">
        <v>0.26</v>
      </c>
      <c r="AF595" s="104" t="n">
        <v>0.46</v>
      </c>
      <c r="AG595" s="104" t="n">
        <v>0.12</v>
      </c>
      <c r="AH595" s="104" t="n">
        <v>1.17</v>
      </c>
      <c r="AI595" s="104" t="n">
        <v>0.32</v>
      </c>
      <c r="AJ595" s="104" t="n">
        <v>2.38</v>
      </c>
      <c r="AK595" s="106" t="inlineStr">
        <is>
          <t>Grey</t>
        </is>
      </c>
      <c r="AL595" s="104" t="n">
        <v>0.26</v>
      </c>
      <c r="AM595" s="104" t="n">
        <v>0.46</v>
      </c>
      <c r="AN595" s="104" t="n">
        <v>0.12</v>
      </c>
      <c r="AO595" s="104" t="n">
        <v>1.17</v>
      </c>
      <c r="AP595" s="104" t="n">
        <v>0.32</v>
      </c>
      <c r="AQ595" s="103" t="n">
        <v>1.76</v>
      </c>
      <c r="AR595" s="103" t="inlineStr">
        <is>
          <t>Grey</t>
        </is>
      </c>
      <c r="AS595" s="104" t="n">
        <v>0.26</v>
      </c>
      <c r="AT595" s="104" t="n">
        <v>0.46</v>
      </c>
      <c r="AU595" s="104" t="n">
        <v>0.12</v>
      </c>
      <c r="AV595" s="104" t="n">
        <v>1.17</v>
      </c>
      <c r="AW595" s="103" t="n">
        <v>5.27</v>
      </c>
      <c r="AX595" s="103" t="inlineStr">
        <is>
          <t>Safe</t>
        </is>
      </c>
      <c r="AY595" s="104" t="n">
        <v>0.26</v>
      </c>
      <c r="AZ595" s="104" t="n">
        <v>0.12</v>
      </c>
      <c r="BA595" s="104" t="n">
        <v>0.77</v>
      </c>
      <c r="BB595" s="104" t="n">
        <v>0.32</v>
      </c>
      <c r="BC595" s="103" t="n">
        <v>1.28</v>
      </c>
      <c r="BD595" s="103" t="inlineStr">
        <is>
          <t>Healthy</t>
        </is>
      </c>
      <c r="BE595" s="104" t="n">
        <v>0.09</v>
      </c>
      <c r="BF595" s="104" t="n">
        <v>0.46</v>
      </c>
      <c r="BG595" s="104" t="n">
        <v>2.65</v>
      </c>
      <c r="BH595" s="104" t="n">
        <v>-2.12</v>
      </c>
      <c r="BI595" s="103" t="n">
        <v>0.11</v>
      </c>
      <c r="BJ595" s="103" t="inlineStr">
        <is>
          <t>Healthy</t>
        </is>
      </c>
      <c r="BK595" s="103" t="n">
        <v>1</v>
      </c>
      <c r="BL595" s="103" t="n">
        <v>1</v>
      </c>
      <c r="BM595" s="103" t="n">
        <v>1</v>
      </c>
      <c r="BN595" s="103" t="n">
        <v>1</v>
      </c>
      <c r="BO595" s="103" t="n">
        <v>0</v>
      </c>
      <c r="BP595" s="103" t="n">
        <v>1</v>
      </c>
      <c r="BQ595" s="103" t="n">
        <v>1</v>
      </c>
      <c r="BR595" s="103" t="n">
        <v>0</v>
      </c>
      <c r="BS595" s="103" t="n">
        <v>1</v>
      </c>
      <c r="BT595" s="103" t="n">
        <v>7</v>
      </c>
      <c r="BU595" s="103" t="inlineStr">
        <is>
          <t>Strong</t>
        </is>
      </c>
      <c r="BV595" s="104" t="n">
        <v>0.37</v>
      </c>
      <c r="BW595" s="104" t="n">
        <v>3.37</v>
      </c>
      <c r="BX595" s="104" t="n">
        <v>1.01</v>
      </c>
      <c r="BY595" s="104" t="n">
        <v>4.03</v>
      </c>
      <c r="BZ595" s="104" t="n">
        <v>0.97</v>
      </c>
      <c r="CA595" s="104" t="n">
        <v>0.29</v>
      </c>
      <c r="CB595" s="104" t="n">
        <v>1.05</v>
      </c>
      <c r="CC595" s="104" t="n">
        <v>-0.03</v>
      </c>
      <c r="CD595" s="103" t="n">
        <v>0.85</v>
      </c>
      <c r="CE595" s="103" t="inlineStr">
        <is>
          <t>Higher Risk</t>
        </is>
      </c>
      <c r="CF595" s="104" t="n">
        <v>0.28</v>
      </c>
      <c r="CG595" s="104" t="n">
        <v>53.13</v>
      </c>
      <c r="CH595" s="103" t="n">
        <v>20</v>
      </c>
      <c r="CI595" s="103" t="inlineStr">
        <is>
          <t>CLEAR</t>
        </is>
      </c>
    </row>
    <row r="596" ht="17" customHeight="1">
      <c r="A596" s="107" t="inlineStr">
        <is>
          <t>WELL</t>
        </is>
      </c>
      <c r="B596" s="107" t="inlineStr">
        <is>
          <t>WELLTOWER INC.</t>
        </is>
      </c>
      <c r="C596" s="111" t="inlineStr">
        <is>
          <t>N/A</t>
        </is>
      </c>
      <c r="D596" s="111" t="inlineStr">
        <is>
          <t>N/A</t>
        </is>
      </c>
      <c r="E596" s="111" t="inlineStr">
        <is>
          <t>N/A</t>
        </is>
      </c>
      <c r="F596" s="109" t="n">
        <v>0.02</v>
      </c>
      <c r="G596" s="109" t="n">
        <v>0</v>
      </c>
      <c r="H596" s="109" t="n">
        <v>0</v>
      </c>
      <c r="I596" s="109" t="n">
        <v>0.01</v>
      </c>
      <c r="J596" s="111" t="inlineStr">
        <is>
          <t>N/A</t>
        </is>
      </c>
      <c r="K596" s="109" t="n">
        <v>0.4</v>
      </c>
      <c r="L596" s="109" t="n">
        <v>0.4</v>
      </c>
      <c r="M596" s="109" t="n">
        <v>0.16</v>
      </c>
      <c r="N596" s="108" t="n">
        <v>0.16</v>
      </c>
      <c r="O596" s="111" t="inlineStr">
        <is>
          <t>N/A</t>
        </is>
      </c>
      <c r="P596" s="111" t="inlineStr">
        <is>
          <t>N/A</t>
        </is>
      </c>
      <c r="Q596" s="111" t="inlineStr">
        <is>
          <t>N/A</t>
        </is>
      </c>
      <c r="R596" s="111" t="inlineStr">
        <is>
          <t>N/A</t>
        </is>
      </c>
      <c r="S596" s="108" t="n">
        <v>0.36</v>
      </c>
      <c r="T596" s="108" t="n">
        <v>0.36</v>
      </c>
      <c r="U596" s="108" t="n">
        <v>0.46</v>
      </c>
      <c r="V596" s="108" t="n">
        <v>0.34</v>
      </c>
      <c r="W596" s="108" t="n">
        <v>13.24</v>
      </c>
      <c r="X596" s="109" t="n">
        <v>0.17</v>
      </c>
      <c r="Y596" s="109" t="n">
        <v>0</v>
      </c>
      <c r="Z596" s="111" t="inlineStr">
        <is>
          <t>N/A</t>
        </is>
      </c>
      <c r="AA596" s="109" t="n">
        <v>0.36</v>
      </c>
      <c r="AB596" s="109" t="n">
        <v>0.6899999999999999</v>
      </c>
      <c r="AC596" s="108" t="n">
        <v>-0.04</v>
      </c>
      <c r="AD596" s="108" t="n">
        <v>-0.04</v>
      </c>
      <c r="AE596" s="111" t="inlineStr">
        <is>
          <t>N/A</t>
        </is>
      </c>
      <c r="AF596" s="108" t="n">
        <v>0.16</v>
      </c>
      <c r="AG596" s="111" t="inlineStr">
        <is>
          <t>N/A</t>
        </is>
      </c>
      <c r="AH596" s="108" t="n">
        <v>1.75</v>
      </c>
      <c r="AI596" s="108" t="n">
        <v>0.16</v>
      </c>
      <c r="AJ596" s="111" t="inlineStr">
        <is>
          <t>N/A</t>
        </is>
      </c>
      <c r="AK596" s="111" t="inlineStr">
        <is>
          <t>N/A</t>
        </is>
      </c>
      <c r="AL596" s="111" t="inlineStr">
        <is>
          <t>N/A</t>
        </is>
      </c>
      <c r="AM596" s="108" t="n">
        <v>0.16</v>
      </c>
      <c r="AN596" s="111" t="inlineStr">
        <is>
          <t>N/A</t>
        </is>
      </c>
      <c r="AO596" s="108" t="n">
        <v>1.75</v>
      </c>
      <c r="AP596" s="108" t="n">
        <v>0.16</v>
      </c>
      <c r="AQ596" s="111" t="inlineStr">
        <is>
          <t>N/A</t>
        </is>
      </c>
      <c r="AR596" s="111" t="inlineStr">
        <is>
          <t>N/A</t>
        </is>
      </c>
      <c r="AS596" s="111" t="inlineStr">
        <is>
          <t>N/A</t>
        </is>
      </c>
      <c r="AT596" s="108" t="n">
        <v>0.16</v>
      </c>
      <c r="AU596" s="111" t="inlineStr">
        <is>
          <t>N/A</t>
        </is>
      </c>
      <c r="AV596" s="108" t="n">
        <v>1.75</v>
      </c>
      <c r="AW596" s="111" t="inlineStr">
        <is>
          <t>N/A</t>
        </is>
      </c>
      <c r="AX596" s="111" t="inlineStr">
        <is>
          <t>N/A</t>
        </is>
      </c>
      <c r="AY596" s="111" t="inlineStr">
        <is>
          <t>N/A</t>
        </is>
      </c>
      <c r="AZ596" s="111" t="inlineStr">
        <is>
          <t>N/A</t>
        </is>
      </c>
      <c r="BA596" s="111" t="inlineStr">
        <is>
          <t>N/A</t>
        </is>
      </c>
      <c r="BB596" s="108" t="n">
        <v>0.16</v>
      </c>
      <c r="BC596" s="111" t="inlineStr">
        <is>
          <t>N/A</t>
        </is>
      </c>
      <c r="BD596" s="111" t="inlineStr">
        <is>
          <t>N/A</t>
        </is>
      </c>
      <c r="BE596" s="108" t="n">
        <v>0</v>
      </c>
      <c r="BF596" s="108" t="n">
        <v>0.36</v>
      </c>
      <c r="BG596" s="111" t="inlineStr">
        <is>
          <t>N/A</t>
        </is>
      </c>
      <c r="BH596" s="111" t="inlineStr">
        <is>
          <t>N/A</t>
        </is>
      </c>
      <c r="BI596" s="111" t="inlineStr">
        <is>
          <t>N/A</t>
        </is>
      </c>
      <c r="BJ596" s="111" t="inlineStr">
        <is>
          <t>N/A</t>
        </is>
      </c>
      <c r="BK596" s="107" t="n">
        <v>1</v>
      </c>
      <c r="BL596" s="107" t="n">
        <v>1</v>
      </c>
      <c r="BM596" s="107" t="n">
        <v>1</v>
      </c>
      <c r="BN596" s="107" t="n">
        <v>1</v>
      </c>
      <c r="BO596" s="107" t="n">
        <v>1</v>
      </c>
      <c r="BP596" s="107" t="n">
        <v>0</v>
      </c>
      <c r="BQ596" s="107" t="n">
        <v>0</v>
      </c>
      <c r="BR596" s="107" t="n">
        <v>1</v>
      </c>
      <c r="BS596" s="107" t="n">
        <v>1</v>
      </c>
      <c r="BT596" s="107" t="n">
        <v>7</v>
      </c>
      <c r="BU596" s="107" t="inlineStr">
        <is>
          <t>Strong</t>
        </is>
      </c>
      <c r="BV596" s="108" t="n">
        <v>0.83</v>
      </c>
      <c r="BW596" s="108" t="n">
        <v>0.99</v>
      </c>
      <c r="BX596" s="111" t="inlineStr">
        <is>
          <t>N/A</t>
        </is>
      </c>
      <c r="BY596" s="108" t="n">
        <v>1.36</v>
      </c>
      <c r="BZ596" s="111" t="inlineStr">
        <is>
          <t>N/A</t>
        </is>
      </c>
      <c r="CA596" s="108" t="n">
        <v>5.47</v>
      </c>
      <c r="CB596" s="108" t="n">
        <v>0.99</v>
      </c>
      <c r="CC596" s="108" t="n">
        <v>-0.04</v>
      </c>
      <c r="CD596" s="111" t="inlineStr">
        <is>
          <t>N/A</t>
        </is>
      </c>
      <c r="CE596" s="111" t="inlineStr">
        <is>
          <t>N/A</t>
        </is>
      </c>
      <c r="CF596" s="111" t="inlineStr">
        <is>
          <t>N/A</t>
        </is>
      </c>
      <c r="CG596" s="108" t="n">
        <v>52.57</v>
      </c>
      <c r="CH596" s="107" t="n">
        <v>0</v>
      </c>
      <c r="CI596" s="107" t="inlineStr">
        <is>
          <t>CLEAR</t>
        </is>
      </c>
    </row>
    <row r="597" ht="17" customHeight="1">
      <c r="A597" s="103" t="inlineStr">
        <is>
          <t>NI</t>
        </is>
      </c>
      <c r="B597" s="103" t="inlineStr">
        <is>
          <t>NISOURCE INC.</t>
        </is>
      </c>
      <c r="C597" s="104" t="n">
        <v>-1080200000</v>
      </c>
      <c r="D597" s="105" t="n">
        <v>0.38</v>
      </c>
      <c r="E597" s="105" t="n">
        <v>0.25</v>
      </c>
      <c r="F597" s="105" t="n">
        <v>0.19</v>
      </c>
      <c r="G597" s="105" t="n">
        <v>0.03</v>
      </c>
      <c r="H597" s="105" t="n">
        <v>0.02</v>
      </c>
      <c r="I597" s="105" t="n">
        <v>0.1</v>
      </c>
      <c r="J597" s="105" t="n">
        <v>0.06</v>
      </c>
      <c r="K597" s="105" t="n">
        <v>0.25</v>
      </c>
      <c r="L597" s="105" t="n">
        <v>0.2</v>
      </c>
      <c r="M597" s="105" t="n">
        <v>0.14</v>
      </c>
      <c r="N597" s="104" t="n">
        <v>0.14</v>
      </c>
      <c r="O597" s="104" t="n">
        <v>0.6899999999999999</v>
      </c>
      <c r="P597" s="104" t="n">
        <v>0.51</v>
      </c>
      <c r="Q597" s="104" t="n">
        <v>0.6899999999999999</v>
      </c>
      <c r="R597" s="104" t="n">
        <v>0.03</v>
      </c>
      <c r="S597" s="104" t="n">
        <v>1</v>
      </c>
      <c r="T597" s="104" t="n">
        <v>1</v>
      </c>
      <c r="U597" s="104" t="n">
        <v>0.76</v>
      </c>
      <c r="V597" s="104" t="n">
        <v>0.75</v>
      </c>
      <c r="W597" s="104" t="n">
        <v>2.54</v>
      </c>
      <c r="X597" s="105" t="n">
        <v>-0.09</v>
      </c>
      <c r="Y597" s="105" t="n">
        <v>0</v>
      </c>
      <c r="Z597" s="105" t="n">
        <v>3.75</v>
      </c>
      <c r="AA597" s="105" t="n">
        <v>0.09</v>
      </c>
      <c r="AB597" s="105" t="n">
        <v>0.22</v>
      </c>
      <c r="AC597" s="104" t="n">
        <v>-0.04</v>
      </c>
      <c r="AD597" s="104" t="n">
        <v>-0.04</v>
      </c>
      <c r="AE597" s="104" t="n">
        <v>-0.03</v>
      </c>
      <c r="AF597" s="104" t="n">
        <v>-0.01</v>
      </c>
      <c r="AG597" s="104" t="n">
        <v>0.05</v>
      </c>
      <c r="AH597" s="104" t="n">
        <v>0.26</v>
      </c>
      <c r="AI597" s="104" t="n">
        <v>0.14</v>
      </c>
      <c r="AJ597" s="104" t="n">
        <v>0.41</v>
      </c>
      <c r="AK597" s="112" t="inlineStr">
        <is>
          <t>Distress</t>
        </is>
      </c>
      <c r="AL597" s="104" t="n">
        <v>-0.03</v>
      </c>
      <c r="AM597" s="104" t="n">
        <v>-0.01</v>
      </c>
      <c r="AN597" s="104" t="n">
        <v>0.05</v>
      </c>
      <c r="AO597" s="104" t="n">
        <v>0.26</v>
      </c>
      <c r="AP597" s="104" t="n">
        <v>0.14</v>
      </c>
      <c r="AQ597" s="103" t="n">
        <v>0.38</v>
      </c>
      <c r="AR597" s="103" t="inlineStr">
        <is>
          <t>Distress</t>
        </is>
      </c>
      <c r="AS597" s="104" t="n">
        <v>-0.03</v>
      </c>
      <c r="AT597" s="104" t="n">
        <v>-0.01</v>
      </c>
      <c r="AU597" s="104" t="n">
        <v>0.05</v>
      </c>
      <c r="AV597" s="104" t="n">
        <v>0.26</v>
      </c>
      <c r="AW597" s="103" t="n">
        <v>0.39</v>
      </c>
      <c r="AX597" s="103" t="inlineStr">
        <is>
          <t>Distress</t>
        </is>
      </c>
      <c r="AY597" s="104" t="n">
        <v>-0.03</v>
      </c>
      <c r="AZ597" s="104" t="n">
        <v>0.05</v>
      </c>
      <c r="BA597" s="104" t="n">
        <v>0.35</v>
      </c>
      <c r="BB597" s="104" t="n">
        <v>0.14</v>
      </c>
      <c r="BC597" s="103" t="n">
        <v>0.41</v>
      </c>
      <c r="BD597" s="103" t="inlineStr">
        <is>
          <t>Distress</t>
        </is>
      </c>
      <c r="BE597" s="104" t="n">
        <v>0.03</v>
      </c>
      <c r="BF597" s="104" t="n">
        <v>1</v>
      </c>
      <c r="BG597" s="104" t="n">
        <v>0.6899999999999999</v>
      </c>
      <c r="BH597" s="104" t="n">
        <v>1.23</v>
      </c>
      <c r="BI597" s="103" t="n">
        <v>0.77</v>
      </c>
      <c r="BJ597" s="103" t="inlineStr">
        <is>
          <t>Distress</t>
        </is>
      </c>
      <c r="BK597" s="103" t="n">
        <v>1</v>
      </c>
      <c r="BL597" s="103" t="n">
        <v>1</v>
      </c>
      <c r="BM597" s="103" t="n">
        <v>1</v>
      </c>
      <c r="BN597" s="103" t="n">
        <v>1</v>
      </c>
      <c r="BO597" s="103" t="n">
        <v>1</v>
      </c>
      <c r="BP597" s="103" t="n">
        <v>1</v>
      </c>
      <c r="BQ597" s="103" t="n">
        <v>0</v>
      </c>
      <c r="BR597" s="103" t="n">
        <v>1</v>
      </c>
      <c r="BS597" s="103" t="n">
        <v>0</v>
      </c>
      <c r="BT597" s="103" t="n">
        <v>7</v>
      </c>
      <c r="BU597" s="103" t="inlineStr">
        <is>
          <t>Strong</t>
        </is>
      </c>
      <c r="BV597" s="104" t="n">
        <v>1.14</v>
      </c>
      <c r="BW597" s="104" t="n">
        <v>0.8100000000000001</v>
      </c>
      <c r="BX597" s="104" t="n">
        <v>1</v>
      </c>
      <c r="BY597" s="104" t="n">
        <v>1.09</v>
      </c>
      <c r="BZ597" s="104" t="n">
        <v>1.01</v>
      </c>
      <c r="CA597" s="113" t="inlineStr">
        <is>
          <t>N/A</t>
        </is>
      </c>
      <c r="CB597" s="104" t="n">
        <v>1</v>
      </c>
      <c r="CC597" s="104" t="n">
        <v>-0.04</v>
      </c>
      <c r="CD597" s="103" t="n">
        <v>-2.39</v>
      </c>
      <c r="CE597" s="103" t="inlineStr">
        <is>
          <t>Lower Risk</t>
        </is>
      </c>
      <c r="CF597" s="104" t="n">
        <v>2.35</v>
      </c>
      <c r="CG597" s="104" t="n">
        <v>52.04</v>
      </c>
      <c r="CH597" s="103" t="n">
        <v>0</v>
      </c>
      <c r="CI597" s="103" t="inlineStr">
        <is>
          <t>CLEAR</t>
        </is>
      </c>
    </row>
    <row r="598" ht="17" customHeight="1">
      <c r="A598" s="107" t="inlineStr">
        <is>
          <t>DASH</t>
        </is>
      </c>
      <c r="B598" s="107" t="inlineStr">
        <is>
          <t>DOORDASH, INC.</t>
        </is>
      </c>
      <c r="C598" s="108" t="n">
        <v>2496000000</v>
      </c>
      <c r="D598" s="109" t="n">
        <v>0.05</v>
      </c>
      <c r="E598" s="109" t="n">
        <v>0.07000000000000001</v>
      </c>
      <c r="F598" s="109" t="n">
        <v>0.07000000000000001</v>
      </c>
      <c r="G598" s="109" t="n">
        <v>0.05</v>
      </c>
      <c r="H598" s="109" t="n">
        <v>0.05</v>
      </c>
      <c r="I598" s="109" t="n">
        <v>0.09</v>
      </c>
      <c r="J598" s="109" t="n">
        <v>0.05</v>
      </c>
      <c r="K598" s="111" t="inlineStr">
        <is>
          <t>N/A</t>
        </is>
      </c>
      <c r="L598" s="111" t="inlineStr">
        <is>
          <t>N/A</t>
        </is>
      </c>
      <c r="M598" s="109" t="n">
        <v>0.7</v>
      </c>
      <c r="N598" s="108" t="n">
        <v>0.7</v>
      </c>
      <c r="O598" s="108" t="n">
        <v>1.41</v>
      </c>
      <c r="P598" s="108" t="n">
        <v>1.41</v>
      </c>
      <c r="Q598" s="108" t="n">
        <v>1.41</v>
      </c>
      <c r="R598" s="108" t="n">
        <v>0.71</v>
      </c>
      <c r="S598" s="108" t="n">
        <v>0.49</v>
      </c>
      <c r="T598" s="108" t="n">
        <v>0.49</v>
      </c>
      <c r="U598" s="111" t="inlineStr">
        <is>
          <t>N/A</t>
        </is>
      </c>
      <c r="V598" s="111" t="inlineStr">
        <is>
          <t>N/A</t>
        </is>
      </c>
      <c r="W598" s="108" t="n">
        <v>2.6</v>
      </c>
      <c r="X598" s="109" t="n">
        <v>0.16</v>
      </c>
      <c r="Y598" s="109" t="n">
        <v>0.1</v>
      </c>
      <c r="Z598" s="109" t="n">
        <v>361.5</v>
      </c>
      <c r="AA598" s="109" t="n">
        <v>0</v>
      </c>
      <c r="AB598" s="109" t="n">
        <v>0</v>
      </c>
      <c r="AC598" s="108" t="n">
        <v>-0.08</v>
      </c>
      <c r="AD598" s="108" t="n">
        <v>-0.08</v>
      </c>
      <c r="AE598" s="108" t="n">
        <v>0.13</v>
      </c>
      <c r="AF598" s="108" t="n">
        <v>-0.22</v>
      </c>
      <c r="AG598" s="108" t="n">
        <v>0.04</v>
      </c>
      <c r="AH598" s="108" t="n">
        <v>1.04</v>
      </c>
      <c r="AI598" s="108" t="n">
        <v>0.7</v>
      </c>
      <c r="AJ598" s="108" t="n">
        <v>1.29</v>
      </c>
      <c r="AK598" s="112" t="inlineStr">
        <is>
          <t>Distress</t>
        </is>
      </c>
      <c r="AL598" s="108" t="n">
        <v>0.13</v>
      </c>
      <c r="AM598" s="108" t="n">
        <v>-0.22</v>
      </c>
      <c r="AN598" s="108" t="n">
        <v>0.04</v>
      </c>
      <c r="AO598" s="108" t="n">
        <v>1.04</v>
      </c>
      <c r="AP598" s="108" t="n">
        <v>0.7</v>
      </c>
      <c r="AQ598" s="107" t="n">
        <v>1.15</v>
      </c>
      <c r="AR598" s="107" t="inlineStr">
        <is>
          <t>Distress</t>
        </is>
      </c>
      <c r="AS598" s="108" t="n">
        <v>0.13</v>
      </c>
      <c r="AT598" s="108" t="n">
        <v>-0.22</v>
      </c>
      <c r="AU598" s="108" t="n">
        <v>0.04</v>
      </c>
      <c r="AV598" s="108" t="n">
        <v>1.04</v>
      </c>
      <c r="AW598" s="107" t="n">
        <v>1.46</v>
      </c>
      <c r="AX598" s="107" t="inlineStr">
        <is>
          <t>Grey</t>
        </is>
      </c>
      <c r="AY598" s="108" t="n">
        <v>0.13</v>
      </c>
      <c r="AZ598" s="108" t="n">
        <v>0.04</v>
      </c>
      <c r="BA598" s="108" t="n">
        <v>0.15</v>
      </c>
      <c r="BB598" s="108" t="n">
        <v>0.7</v>
      </c>
      <c r="BC598" s="107" t="n">
        <v>0.62</v>
      </c>
      <c r="BD598" s="107" t="inlineStr">
        <is>
          <t>Distress</t>
        </is>
      </c>
      <c r="BE598" s="108" t="n">
        <v>0.05</v>
      </c>
      <c r="BF598" s="108" t="n">
        <v>0.49</v>
      </c>
      <c r="BG598" s="108" t="n">
        <v>1.41</v>
      </c>
      <c r="BH598" s="108" t="n">
        <v>-1.77</v>
      </c>
      <c r="BI598" s="107" t="n">
        <v>0.15</v>
      </c>
      <c r="BJ598" s="107" t="inlineStr">
        <is>
          <t>Healthy</t>
        </is>
      </c>
      <c r="BK598" s="107" t="n">
        <v>1</v>
      </c>
      <c r="BL598" s="107" t="n">
        <v>1</v>
      </c>
      <c r="BM598" s="107" t="n">
        <v>0</v>
      </c>
      <c r="BN598" s="107" t="n">
        <v>1</v>
      </c>
      <c r="BO598" s="107" t="n">
        <v>0</v>
      </c>
      <c r="BP598" s="107" t="n">
        <v>0</v>
      </c>
      <c r="BQ598" s="107" t="n">
        <v>0</v>
      </c>
      <c r="BR598" s="107" t="n">
        <v>0</v>
      </c>
      <c r="BS598" s="107" t="n">
        <v>0</v>
      </c>
      <c r="BT598" s="107" t="n">
        <v>3</v>
      </c>
      <c r="BU598" s="107" t="inlineStr">
        <is>
          <t>Weak</t>
        </is>
      </c>
      <c r="BV598" s="108" t="n">
        <v>1</v>
      </c>
      <c r="BW598" s="111" t="inlineStr">
        <is>
          <t>N/A</t>
        </is>
      </c>
      <c r="BX598" s="111" t="inlineStr">
        <is>
          <t>N/A</t>
        </is>
      </c>
      <c r="BY598" s="108" t="n">
        <v>1</v>
      </c>
      <c r="BZ598" s="111" t="inlineStr">
        <is>
          <t>N/A</t>
        </is>
      </c>
      <c r="CA598" s="108" t="n">
        <v>1</v>
      </c>
      <c r="CB598" s="108" t="n">
        <v>1</v>
      </c>
      <c r="CC598" s="108" t="n">
        <v>-0.08</v>
      </c>
      <c r="CD598" s="111" t="inlineStr">
        <is>
          <t>N/A</t>
        </is>
      </c>
      <c r="CE598" s="111" t="inlineStr">
        <is>
          <t>N/A</t>
        </is>
      </c>
      <c r="CF598" s="111" t="inlineStr">
        <is>
          <t>N/A</t>
        </is>
      </c>
      <c r="CG598" s="108" t="n">
        <v>40.27</v>
      </c>
      <c r="CH598" s="107" t="n">
        <v>0</v>
      </c>
      <c r="CI598" s="107" t="inlineStr">
        <is>
          <t>CLEAR</t>
        </is>
      </c>
    </row>
    <row r="599" ht="17" customHeight="1">
      <c r="A599" s="103" t="inlineStr">
        <is>
          <t>IRDM</t>
        </is>
      </c>
      <c r="B599" s="103" t="inlineStr">
        <is>
          <t>Iridium Communications Inc.</t>
        </is>
      </c>
      <c r="C599" s="104" t="n">
        <v>164833000</v>
      </c>
      <c r="D599" s="105" t="n">
        <v>0.27</v>
      </c>
      <c r="E599" s="105" t="n">
        <v>0.17</v>
      </c>
      <c r="F599" s="105" t="n">
        <v>0.13</v>
      </c>
      <c r="G599" s="105" t="n">
        <v>0.05</v>
      </c>
      <c r="H599" s="105" t="n">
        <v>0.04</v>
      </c>
      <c r="I599" s="105" t="n">
        <v>0.25</v>
      </c>
      <c r="J599" s="105" t="n">
        <v>0.1</v>
      </c>
      <c r="K599" s="105" t="n">
        <v>0.95</v>
      </c>
      <c r="L599" s="105" t="n">
        <v>0.95</v>
      </c>
      <c r="M599" s="105" t="n">
        <v>0.34</v>
      </c>
      <c r="N599" s="104" t="n">
        <v>0.31</v>
      </c>
      <c r="O599" s="104" t="n">
        <v>2.48</v>
      </c>
      <c r="P599" s="104" t="n">
        <v>1.73</v>
      </c>
      <c r="Q599" s="104" t="n">
        <v>1.82</v>
      </c>
      <c r="R599" s="104" t="n">
        <v>0.86</v>
      </c>
      <c r="S599" s="104" t="n">
        <v>0.82</v>
      </c>
      <c r="T599" s="104" t="n">
        <v>0.78</v>
      </c>
      <c r="U599" s="104" t="n">
        <v>3.81</v>
      </c>
      <c r="V599" s="104" t="n">
        <v>3.6</v>
      </c>
      <c r="W599" s="104" t="n">
        <v>3.5</v>
      </c>
      <c r="X599" s="105" t="n">
        <v>0.34</v>
      </c>
      <c r="Y599" s="105" t="n">
        <v>0.02</v>
      </c>
      <c r="Z599" s="105" t="n">
        <v>16.05</v>
      </c>
      <c r="AA599" s="105" t="n">
        <v>0.05</v>
      </c>
      <c r="AB599" s="105" t="n">
        <v>0.01</v>
      </c>
      <c r="AC599" s="104" t="n">
        <v>-0.11</v>
      </c>
      <c r="AD599" s="104" t="n">
        <v>-0.11</v>
      </c>
      <c r="AE599" s="104" t="n">
        <v>0.07000000000000001</v>
      </c>
      <c r="AF599" s="104" t="n">
        <v>-0.17</v>
      </c>
      <c r="AG599" s="104" t="n">
        <v>0.09</v>
      </c>
      <c r="AH599" s="104" t="n">
        <v>0.22</v>
      </c>
      <c r="AI599" s="104" t="n">
        <v>0.34</v>
      </c>
      <c r="AJ599" s="104" t="n">
        <v>0.63</v>
      </c>
      <c r="AK599" s="112" t="inlineStr">
        <is>
          <t>Distress</t>
        </is>
      </c>
      <c r="AL599" s="104" t="n">
        <v>0.07000000000000001</v>
      </c>
      <c r="AM599" s="104" t="n">
        <v>-0.17</v>
      </c>
      <c r="AN599" s="104" t="n">
        <v>0.09</v>
      </c>
      <c r="AO599" s="104" t="n">
        <v>0.22</v>
      </c>
      <c r="AP599" s="104" t="n">
        <v>0.34</v>
      </c>
      <c r="AQ599" s="103" t="n">
        <v>0.63</v>
      </c>
      <c r="AR599" s="103" t="inlineStr">
        <is>
          <t>Distress</t>
        </is>
      </c>
      <c r="AS599" s="104" t="n">
        <v>0.07000000000000001</v>
      </c>
      <c r="AT599" s="104" t="n">
        <v>-0.17</v>
      </c>
      <c r="AU599" s="104" t="n">
        <v>0.09</v>
      </c>
      <c r="AV599" s="104" t="n">
        <v>0.22</v>
      </c>
      <c r="AW599" s="103" t="n">
        <v>0.75</v>
      </c>
      <c r="AX599" s="103" t="inlineStr">
        <is>
          <t>Distress</t>
        </is>
      </c>
      <c r="AY599" s="104" t="n">
        <v>0.07000000000000001</v>
      </c>
      <c r="AZ599" s="104" t="n">
        <v>0.09</v>
      </c>
      <c r="BA599" s="104" t="n">
        <v>1.3</v>
      </c>
      <c r="BB599" s="104" t="n">
        <v>0.34</v>
      </c>
      <c r="BC599" s="103" t="n">
        <v>1.35</v>
      </c>
      <c r="BD599" s="103" t="inlineStr">
        <is>
          <t>Healthy</t>
        </is>
      </c>
      <c r="BE599" s="104" t="n">
        <v>0.05</v>
      </c>
      <c r="BF599" s="104" t="n">
        <v>0.82</v>
      </c>
      <c r="BG599" s="104" t="n">
        <v>2.48</v>
      </c>
      <c r="BH599" s="104" t="n">
        <v>0.11</v>
      </c>
      <c r="BI599" s="103" t="n">
        <v>0.53</v>
      </c>
      <c r="BJ599" s="103" t="inlineStr">
        <is>
          <t>Distress</t>
        </is>
      </c>
      <c r="BK599" s="103" t="n">
        <v>1</v>
      </c>
      <c r="BL599" s="103" t="n">
        <v>1</v>
      </c>
      <c r="BM599" s="103" t="n">
        <v>1</v>
      </c>
      <c r="BN599" s="103" t="n">
        <v>1</v>
      </c>
      <c r="BO599" s="103" t="n">
        <v>0</v>
      </c>
      <c r="BP599" s="103" t="n">
        <v>1</v>
      </c>
      <c r="BQ599" s="103" t="n">
        <v>1</v>
      </c>
      <c r="BR599" s="103" t="n">
        <v>1</v>
      </c>
      <c r="BS599" s="103" t="n">
        <v>1</v>
      </c>
      <c r="BT599" s="103" t="n">
        <v>8</v>
      </c>
      <c r="BU599" s="103" t="inlineStr">
        <is>
          <t>Strong</t>
        </is>
      </c>
      <c r="BV599" s="104" t="n">
        <v>0.9</v>
      </c>
      <c r="BW599" s="104" t="n">
        <v>1</v>
      </c>
      <c r="BX599" s="104" t="n">
        <v>0.98</v>
      </c>
      <c r="BY599" s="104" t="n">
        <v>1.05</v>
      </c>
      <c r="BZ599" s="104" t="n">
        <v>0.93</v>
      </c>
      <c r="CA599" s="104" t="n">
        <v>0.89</v>
      </c>
      <c r="CB599" s="104" t="n">
        <v>1.04</v>
      </c>
      <c r="CC599" s="104" t="n">
        <v>-0.11</v>
      </c>
      <c r="CD599" s="103" t="n">
        <v>-3.07</v>
      </c>
      <c r="CE599" s="103" t="inlineStr">
        <is>
          <t>Lower Risk</t>
        </is>
      </c>
      <c r="CF599" s="104" t="n">
        <v>3.73</v>
      </c>
      <c r="CG599" s="104" t="n">
        <v>56.83</v>
      </c>
      <c r="CH599" s="103" t="n">
        <v>20</v>
      </c>
      <c r="CI599" s="103" t="inlineStr">
        <is>
          <t>CLEAR</t>
        </is>
      </c>
    </row>
    <row r="600" ht="17" customHeight="1">
      <c r="A600" s="107" t="inlineStr">
        <is>
          <t>APO</t>
        </is>
      </c>
      <c r="B600" s="107" t="inlineStr">
        <is>
          <t>APOLLO GLOBAL MANAGEMENT, INC.</t>
        </is>
      </c>
      <c r="C600" s="111" t="inlineStr">
        <is>
          <t>N/A</t>
        </is>
      </c>
      <c r="D600" s="109" t="n">
        <v>0.21</v>
      </c>
      <c r="E600" s="109" t="n">
        <v>0.21</v>
      </c>
      <c r="F600" s="109" t="n">
        <v>0.11</v>
      </c>
      <c r="G600" s="109" t="n">
        <v>0.01</v>
      </c>
      <c r="H600" s="109" t="n">
        <v>0.01</v>
      </c>
      <c r="I600" s="109" t="n">
        <v>0.15</v>
      </c>
      <c r="J600" s="111" t="inlineStr">
        <is>
          <t>N/A</t>
        </is>
      </c>
      <c r="K600" s="109" t="n">
        <v>0.21</v>
      </c>
      <c r="L600" s="109" t="n">
        <v>0.27</v>
      </c>
      <c r="M600" s="109" t="n">
        <v>0.07000000000000001</v>
      </c>
      <c r="N600" s="108" t="n">
        <v>0.07000000000000001</v>
      </c>
      <c r="O600" s="111" t="inlineStr">
        <is>
          <t>N/A</t>
        </is>
      </c>
      <c r="P600" s="111" t="inlineStr">
        <is>
          <t>N/A</t>
        </is>
      </c>
      <c r="Q600" s="111" t="inlineStr">
        <is>
          <t>N/A</t>
        </is>
      </c>
      <c r="R600" s="111" t="inlineStr">
        <is>
          <t>N/A</t>
        </is>
      </c>
      <c r="S600" s="108" t="n">
        <v>0.91</v>
      </c>
      <c r="T600" s="108" t="n">
        <v>0.92</v>
      </c>
      <c r="U600" s="108" t="n">
        <v>0.57</v>
      </c>
      <c r="V600" s="108" t="n">
        <v>0.19</v>
      </c>
      <c r="W600" s="108" t="n">
        <v>2.08</v>
      </c>
      <c r="X600" s="111" t="inlineStr">
        <is>
          <t>N/A</t>
        </is>
      </c>
      <c r="Y600" s="109" t="n">
        <v>0</v>
      </c>
      <c r="Z600" s="109" t="n">
        <v>10.8</v>
      </c>
      <c r="AA600" s="109" t="n">
        <v>0.23</v>
      </c>
      <c r="AB600" s="109" t="n">
        <v>-0.24</v>
      </c>
      <c r="AC600" s="108" t="n">
        <v>-0.01</v>
      </c>
      <c r="AD600" s="108" t="n">
        <v>-0.01</v>
      </c>
      <c r="AE600" s="111" t="inlineStr">
        <is>
          <t>N/A</t>
        </is>
      </c>
      <c r="AF600" s="108" t="n">
        <v>0.02</v>
      </c>
      <c r="AG600" s="108" t="n">
        <v>0.01</v>
      </c>
      <c r="AH600" s="108" t="n">
        <v>0.06</v>
      </c>
      <c r="AI600" s="108" t="n">
        <v>0.07000000000000001</v>
      </c>
      <c r="AJ600" s="111" t="inlineStr">
        <is>
          <t>N/A</t>
        </is>
      </c>
      <c r="AK600" s="111" t="inlineStr">
        <is>
          <t>N/A</t>
        </is>
      </c>
      <c r="AL600" s="111" t="inlineStr">
        <is>
          <t>N/A</t>
        </is>
      </c>
      <c r="AM600" s="108" t="n">
        <v>0.02</v>
      </c>
      <c r="AN600" s="108" t="n">
        <v>0.01</v>
      </c>
      <c r="AO600" s="108" t="n">
        <v>0.06</v>
      </c>
      <c r="AP600" s="108" t="n">
        <v>0.07000000000000001</v>
      </c>
      <c r="AQ600" s="111" t="inlineStr">
        <is>
          <t>N/A</t>
        </is>
      </c>
      <c r="AR600" s="111" t="inlineStr">
        <is>
          <t>N/A</t>
        </is>
      </c>
      <c r="AS600" s="111" t="inlineStr">
        <is>
          <t>N/A</t>
        </is>
      </c>
      <c r="AT600" s="108" t="n">
        <v>0.02</v>
      </c>
      <c r="AU600" s="108" t="n">
        <v>0.01</v>
      </c>
      <c r="AV600" s="108" t="n">
        <v>0.06</v>
      </c>
      <c r="AW600" s="111" t="inlineStr">
        <is>
          <t>N/A</t>
        </is>
      </c>
      <c r="AX600" s="111" t="inlineStr">
        <is>
          <t>N/A</t>
        </is>
      </c>
      <c r="AY600" s="111" t="inlineStr">
        <is>
          <t>N/A</t>
        </is>
      </c>
      <c r="AZ600" s="108" t="n">
        <v>0.01</v>
      </c>
      <c r="BA600" s="111" t="inlineStr">
        <is>
          <t>N/A</t>
        </is>
      </c>
      <c r="BB600" s="108" t="n">
        <v>0.07000000000000001</v>
      </c>
      <c r="BC600" s="111" t="inlineStr">
        <is>
          <t>N/A</t>
        </is>
      </c>
      <c r="BD600" s="111" t="inlineStr">
        <is>
          <t>N/A</t>
        </is>
      </c>
      <c r="BE600" s="108" t="n">
        <v>0.01</v>
      </c>
      <c r="BF600" s="108" t="n">
        <v>0.91</v>
      </c>
      <c r="BG600" s="111" t="inlineStr">
        <is>
          <t>N/A</t>
        </is>
      </c>
      <c r="BH600" s="111" t="inlineStr">
        <is>
          <t>N/A</t>
        </is>
      </c>
      <c r="BI600" s="111" t="inlineStr">
        <is>
          <t>N/A</t>
        </is>
      </c>
      <c r="BJ600" s="111" t="inlineStr">
        <is>
          <t>N/A</t>
        </is>
      </c>
      <c r="BK600" s="107" t="n">
        <v>1</v>
      </c>
      <c r="BL600" s="107" t="n">
        <v>1</v>
      </c>
      <c r="BM600" s="107" t="n">
        <v>0</v>
      </c>
      <c r="BN600" s="107" t="n">
        <v>1</v>
      </c>
      <c r="BO600" s="107" t="n">
        <v>0</v>
      </c>
      <c r="BP600" s="107" t="n">
        <v>0</v>
      </c>
      <c r="BQ600" s="107" t="n">
        <v>0</v>
      </c>
      <c r="BR600" s="107" t="n">
        <v>0</v>
      </c>
      <c r="BS600" s="107" t="n">
        <v>1</v>
      </c>
      <c r="BT600" s="107" t="n">
        <v>4</v>
      </c>
      <c r="BU600" s="107" t="inlineStr">
        <is>
          <t>Mixed</t>
        </is>
      </c>
      <c r="BV600" s="111" t="inlineStr">
        <is>
          <t>N/A</t>
        </is>
      </c>
      <c r="BW600" s="108" t="n">
        <v>1.29</v>
      </c>
      <c r="BX600" s="111" t="inlineStr">
        <is>
          <t>N/A</t>
        </is>
      </c>
      <c r="BY600" s="108" t="n">
        <v>1.23</v>
      </c>
      <c r="BZ600" s="111" t="inlineStr">
        <is>
          <t>N/A</t>
        </is>
      </c>
      <c r="CA600" s="111" t="inlineStr">
        <is>
          <t>N/A</t>
        </is>
      </c>
      <c r="CB600" s="108" t="n">
        <v>0.99</v>
      </c>
      <c r="CC600" s="108" t="n">
        <v>-0.01</v>
      </c>
      <c r="CD600" s="111" t="inlineStr">
        <is>
          <t>N/A</t>
        </is>
      </c>
      <c r="CE600" s="111" t="inlineStr">
        <is>
          <t>N/A</t>
        </is>
      </c>
      <c r="CF600" s="108" t="n">
        <v>0.54</v>
      </c>
      <c r="CG600" s="108" t="n">
        <v>39.06</v>
      </c>
      <c r="CH600" s="107" t="n">
        <v>0</v>
      </c>
      <c r="CI600" s="107" t="inlineStr">
        <is>
          <t>CLEAR</t>
        </is>
      </c>
    </row>
    <row r="601" ht="17" customHeight="1">
      <c r="A601" s="103" t="inlineStr">
        <is>
          <t>ALGM</t>
        </is>
      </c>
      <c r="B601" s="103" t="inlineStr">
        <is>
          <t>Allegro MicroSystems, Inc.</t>
        </is>
      </c>
      <c r="C601" s="104" t="n">
        <v>357681000</v>
      </c>
      <c r="D601" s="105" t="n">
        <v>0.02</v>
      </c>
      <c r="E601" s="105" t="n">
        <v>-0.02</v>
      </c>
      <c r="F601" s="105" t="n">
        <v>-0.02</v>
      </c>
      <c r="G601" s="105" t="n">
        <v>-0.01</v>
      </c>
      <c r="H601" s="105" t="n">
        <v>-0.05</v>
      </c>
      <c r="I601" s="105" t="n">
        <v>-0.02</v>
      </c>
      <c r="J601" s="105" t="n">
        <v>0.01</v>
      </c>
      <c r="K601" s="105" t="n">
        <v>0.46</v>
      </c>
      <c r="L601" s="105" t="n">
        <v>0.44</v>
      </c>
      <c r="M601" s="105" t="n">
        <v>0.63</v>
      </c>
      <c r="N601" s="104" t="n">
        <v>0.51</v>
      </c>
      <c r="O601" s="104" t="n">
        <v>3.45</v>
      </c>
      <c r="P601" s="104" t="n">
        <v>4.3</v>
      </c>
      <c r="Q601" s="104" t="n">
        <v>2.21</v>
      </c>
      <c r="R601" s="104" t="n">
        <v>1.16</v>
      </c>
      <c r="S601" s="104" t="n">
        <v>0.32</v>
      </c>
      <c r="T601" s="104" t="n">
        <v>0.34</v>
      </c>
      <c r="U601" s="104" t="n">
        <v>0.3</v>
      </c>
      <c r="V601" s="104" t="n">
        <v>0.12</v>
      </c>
      <c r="W601" s="104" t="n">
        <v>-10.95</v>
      </c>
      <c r="X601" s="105" t="n">
        <v>0.14</v>
      </c>
      <c r="Y601" s="105" t="n">
        <v>0.23</v>
      </c>
      <c r="Z601" s="105" t="n">
        <v>0.84</v>
      </c>
      <c r="AA601" s="105" t="n">
        <v>0.23</v>
      </c>
      <c r="AB601" s="105" t="n">
        <v>-0.8</v>
      </c>
      <c r="AC601" s="104" t="n">
        <v>-0.13</v>
      </c>
      <c r="AD601" s="104" t="n">
        <v>-0.13</v>
      </c>
      <c r="AE601" s="104" t="n">
        <v>0.25</v>
      </c>
      <c r="AF601" s="104" t="n">
        <v>-0.05</v>
      </c>
      <c r="AG601" s="104" t="n">
        <v>0.01</v>
      </c>
      <c r="AH601" s="104" t="n">
        <v>2.08</v>
      </c>
      <c r="AI601" s="104" t="n">
        <v>0.63</v>
      </c>
      <c r="AJ601" s="104" t="n">
        <v>2.15</v>
      </c>
      <c r="AK601" s="106" t="inlineStr">
        <is>
          <t>Grey</t>
        </is>
      </c>
      <c r="AL601" s="104" t="n">
        <v>0.25</v>
      </c>
      <c r="AM601" s="104" t="n">
        <v>-0.05</v>
      </c>
      <c r="AN601" s="104" t="n">
        <v>0.01</v>
      </c>
      <c r="AO601" s="104" t="n">
        <v>2.08</v>
      </c>
      <c r="AP601" s="104" t="n">
        <v>0.63</v>
      </c>
      <c r="AQ601" s="103" t="n">
        <v>1.68</v>
      </c>
      <c r="AR601" s="103" t="inlineStr">
        <is>
          <t>Grey</t>
        </is>
      </c>
      <c r="AS601" s="104" t="n">
        <v>0.25</v>
      </c>
      <c r="AT601" s="104" t="n">
        <v>-0.05</v>
      </c>
      <c r="AU601" s="104" t="n">
        <v>0.01</v>
      </c>
      <c r="AV601" s="104" t="n">
        <v>2.08</v>
      </c>
      <c r="AW601" s="103" t="n">
        <v>3.77</v>
      </c>
      <c r="AX601" s="103" t="inlineStr">
        <is>
          <t>Safe</t>
        </is>
      </c>
      <c r="AY601" s="104" t="n">
        <v>0.25</v>
      </c>
      <c r="AZ601" s="104" t="n">
        <v>0.01</v>
      </c>
      <c r="BA601" s="104" t="n">
        <v>-0.1</v>
      </c>
      <c r="BB601" s="104" t="n">
        <v>0.63</v>
      </c>
      <c r="BC601" s="103" t="n">
        <v>0.48</v>
      </c>
      <c r="BD601" s="103" t="inlineStr">
        <is>
          <t>Distress</t>
        </is>
      </c>
      <c r="BE601" s="104" t="n">
        <v>-0.01</v>
      </c>
      <c r="BF601" s="104" t="n">
        <v>0.32</v>
      </c>
      <c r="BG601" s="104" t="n">
        <v>3.45</v>
      </c>
      <c r="BH601" s="104" t="n">
        <v>-2.43</v>
      </c>
      <c r="BI601" s="103" t="n">
        <v>0.08</v>
      </c>
      <c r="BJ601" s="103" t="inlineStr">
        <is>
          <t>Healthy</t>
        </is>
      </c>
      <c r="BK601" s="103" t="n">
        <v>0</v>
      </c>
      <c r="BL601" s="103" t="n">
        <v>1</v>
      </c>
      <c r="BM601" s="103" t="n">
        <v>1</v>
      </c>
      <c r="BN601" s="103" t="n">
        <v>1</v>
      </c>
      <c r="BO601" s="103" t="n">
        <v>1</v>
      </c>
      <c r="BP601" s="103" t="n">
        <v>0</v>
      </c>
      <c r="BQ601" s="103" t="n">
        <v>0</v>
      </c>
      <c r="BR601" s="103" t="n">
        <v>1</v>
      </c>
      <c r="BS601" s="103" t="n">
        <v>1</v>
      </c>
      <c r="BT601" s="103" t="n">
        <v>6</v>
      </c>
      <c r="BU601" s="103" t="inlineStr">
        <is>
          <t>Mixed</t>
        </is>
      </c>
      <c r="BV601" s="104" t="n">
        <v>0.9</v>
      </c>
      <c r="BW601" s="104" t="n">
        <v>0.96</v>
      </c>
      <c r="BX601" s="104" t="n">
        <v>0.95</v>
      </c>
      <c r="BY601" s="104" t="n">
        <v>1.23</v>
      </c>
      <c r="BZ601" s="104" t="n">
        <v>0.98</v>
      </c>
      <c r="CA601" s="104" t="n">
        <v>0.91</v>
      </c>
      <c r="CB601" s="104" t="n">
        <v>0.9399999999999999</v>
      </c>
      <c r="CC601" s="104" t="n">
        <v>-0.13</v>
      </c>
      <c r="CD601" s="103" t="n">
        <v>-2.97</v>
      </c>
      <c r="CE601" s="103" t="inlineStr">
        <is>
          <t>Lower Risk</t>
        </is>
      </c>
      <c r="CF601" s="104" t="n">
        <v>1.32</v>
      </c>
      <c r="CG601" s="104" t="n">
        <v>54.77</v>
      </c>
      <c r="CH601" s="106" t="n">
        <v>40</v>
      </c>
      <c r="CI601" s="103" t="inlineStr">
        <is>
          <t>WATCH</t>
        </is>
      </c>
    </row>
    <row r="602" ht="17" customHeight="1">
      <c r="A602" s="107" t="inlineStr">
        <is>
          <t>LRCX</t>
        </is>
      </c>
      <c r="B602" s="107" t="inlineStr">
        <is>
          <t>LAM RESEARCH CORPORATION</t>
        </is>
      </c>
      <c r="C602" s="108" t="n">
        <v>7948570000</v>
      </c>
      <c r="D602" s="109" t="n">
        <v>1.82</v>
      </c>
      <c r="E602" s="109" t="n">
        <v>1.84</v>
      </c>
      <c r="F602" s="109" t="n">
        <v>1.65</v>
      </c>
      <c r="G602" s="109" t="n">
        <v>0.25</v>
      </c>
      <c r="H602" s="109" t="n">
        <v>0.2</v>
      </c>
      <c r="I602" s="109" t="n">
        <v>0.54</v>
      </c>
      <c r="J602" s="109" t="n">
        <v>0.4</v>
      </c>
      <c r="K602" s="109" t="n">
        <v>2.77</v>
      </c>
      <c r="L602" s="109" t="n">
        <v>3.31</v>
      </c>
      <c r="M602" s="109" t="n">
        <v>0.15</v>
      </c>
      <c r="N602" s="108" t="n">
        <v>0.11</v>
      </c>
      <c r="O602" s="108" t="n">
        <v>2.21</v>
      </c>
      <c r="P602" s="108" t="n">
        <v>2.97</v>
      </c>
      <c r="Q602" s="108" t="n">
        <v>1.55</v>
      </c>
      <c r="R602" s="108" t="n">
        <v>0.97</v>
      </c>
      <c r="S602" s="108" t="n">
        <v>0.54</v>
      </c>
      <c r="T602" s="108" t="n">
        <v>0.54</v>
      </c>
      <c r="U602" s="108" t="n">
        <v>0.54</v>
      </c>
      <c r="V602" s="108" t="n">
        <v>-0.11</v>
      </c>
      <c r="W602" s="108" t="n">
        <v>1.15</v>
      </c>
      <c r="X602" s="109" t="n">
        <v>1.67</v>
      </c>
      <c r="Y602" s="109" t="n">
        <v>0.65</v>
      </c>
      <c r="Z602" s="109" t="n">
        <v>31.65</v>
      </c>
      <c r="AA602" s="109" t="n">
        <v>0.52</v>
      </c>
      <c r="AB602" s="109" t="n">
        <v>0.4</v>
      </c>
      <c r="AC602" s="108" t="n">
        <v>-0.04</v>
      </c>
      <c r="AD602" s="108" t="n">
        <v>-0.04</v>
      </c>
      <c r="AE602" s="108" t="n">
        <v>0.37</v>
      </c>
      <c r="AF602" s="108" t="n">
        <v>1.36</v>
      </c>
      <c r="AG602" s="108" t="n">
        <v>0.28</v>
      </c>
      <c r="AH602" s="108" t="n">
        <v>0.86</v>
      </c>
      <c r="AI602" s="108" t="n">
        <v>0.15</v>
      </c>
      <c r="AJ602" s="108" t="n">
        <v>3.93</v>
      </c>
      <c r="AK602" s="110" t="inlineStr">
        <is>
          <t>Safe</t>
        </is>
      </c>
      <c r="AL602" s="108" t="n">
        <v>0.37</v>
      </c>
      <c r="AM602" s="108" t="n">
        <v>1.36</v>
      </c>
      <c r="AN602" s="108" t="n">
        <v>0.28</v>
      </c>
      <c r="AO602" s="108" t="n">
        <v>0.86</v>
      </c>
      <c r="AP602" s="108" t="n">
        <v>0.15</v>
      </c>
      <c r="AQ602" s="107" t="n">
        <v>2.79</v>
      </c>
      <c r="AR602" s="107" t="inlineStr">
        <is>
          <t>Grey</t>
        </is>
      </c>
      <c r="AS602" s="108" t="n">
        <v>0.37</v>
      </c>
      <c r="AT602" s="108" t="n">
        <v>1.36</v>
      </c>
      <c r="AU602" s="108" t="n">
        <v>0.28</v>
      </c>
      <c r="AV602" s="108" t="n">
        <v>0.86</v>
      </c>
      <c r="AW602" s="107" t="n">
        <v>9.630000000000001</v>
      </c>
      <c r="AX602" s="107" t="inlineStr">
        <is>
          <t>Safe</t>
        </is>
      </c>
      <c r="AY602" s="108" t="n">
        <v>0.37</v>
      </c>
      <c r="AZ602" s="108" t="n">
        <v>0.28</v>
      </c>
      <c r="BA602" s="108" t="n">
        <v>0.91</v>
      </c>
      <c r="BB602" s="108" t="n">
        <v>0.15</v>
      </c>
      <c r="BC602" s="107" t="n">
        <v>1.89</v>
      </c>
      <c r="BD602" s="107" t="inlineStr">
        <is>
          <t>Healthy</t>
        </is>
      </c>
      <c r="BE602" s="108" t="n">
        <v>0.25</v>
      </c>
      <c r="BF602" s="108" t="n">
        <v>0.54</v>
      </c>
      <c r="BG602" s="108" t="n">
        <v>2.21</v>
      </c>
      <c r="BH602" s="108" t="n">
        <v>-2.4</v>
      </c>
      <c r="BI602" s="107" t="n">
        <v>0.08</v>
      </c>
      <c r="BJ602" s="107" t="inlineStr">
        <is>
          <t>Healthy</t>
        </is>
      </c>
      <c r="BK602" s="107" t="n">
        <v>1</v>
      </c>
      <c r="BL602" s="107" t="n">
        <v>1</v>
      </c>
      <c r="BM602" s="107" t="n">
        <v>1</v>
      </c>
      <c r="BN602" s="107" t="n">
        <v>1</v>
      </c>
      <c r="BO602" s="107" t="n">
        <v>1</v>
      </c>
      <c r="BP602" s="107" t="n">
        <v>0</v>
      </c>
      <c r="BQ602" s="107" t="n">
        <v>0</v>
      </c>
      <c r="BR602" s="107" t="n">
        <v>0</v>
      </c>
      <c r="BS602" s="107" t="n">
        <v>1</v>
      </c>
      <c r="BT602" s="107" t="n">
        <v>6</v>
      </c>
      <c r="BU602" s="107" t="inlineStr">
        <is>
          <t>Mixed</t>
        </is>
      </c>
      <c r="BV602" s="108" t="n">
        <v>0.88</v>
      </c>
      <c r="BW602" s="108" t="n">
        <v>1.19</v>
      </c>
      <c r="BX602" s="108" t="n">
        <v>1.04</v>
      </c>
      <c r="BY602" s="108" t="n">
        <v>1.52</v>
      </c>
      <c r="BZ602" s="108" t="n">
        <v>1.04</v>
      </c>
      <c r="CA602" s="108" t="n">
        <v>0.75</v>
      </c>
      <c r="CB602" s="108" t="n">
        <v>0.99</v>
      </c>
      <c r="CC602" s="108" t="n">
        <v>-0.04</v>
      </c>
      <c r="CD602" s="107" t="n">
        <v>-2.13</v>
      </c>
      <c r="CE602" s="107" t="inlineStr">
        <is>
          <t>Higher Risk</t>
        </is>
      </c>
      <c r="CF602" s="108" t="n">
        <v>-0.17</v>
      </c>
      <c r="CG602" s="108" t="n">
        <v>52.36</v>
      </c>
      <c r="CH602" s="107" t="n">
        <v>20</v>
      </c>
      <c r="CI602" s="107" t="inlineStr">
        <is>
          <t>CLEAR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602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0.05" customWidth="1" min="3" max="3"/>
    <col width="10.05" customWidth="1" min="4" max="4"/>
    <col width="9" customWidth="1" min="5" max="5"/>
    <col width="10.05" customWidth="1" min="6" max="6"/>
    <col width="10.05" customWidth="1" min="7" max="7"/>
    <col width="10.05" customWidth="1" min="8" max="8"/>
    <col width="10.05" customWidth="1" min="9" max="9"/>
    <col width="10.05" customWidth="1" min="10" max="10"/>
    <col width="10.05" customWidth="1" min="11" max="11"/>
    <col width="22" customWidth="1" min="12" max="12"/>
    <col width="18.1" customWidth="1" min="13" max="13"/>
    <col width="19.25" customWidth="1" min="14" max="14"/>
    <col width="19.25" customWidth="1" min="15" max="15"/>
    <col width="20.4" customWidth="1" min="16" max="16"/>
    <col width="10.05" customWidth="1" min="17" max="17"/>
    <col width="20.4" customWidth="1" min="18" max="18"/>
    <col width="16" customWidth="1" min="19" max="19"/>
    <col width="21.55" customWidth="1" min="20" max="20"/>
    <col width="19.25" customWidth="1" min="21" max="21"/>
    <col width="18.1" customWidth="1" min="22" max="22"/>
    <col width="18.1" customWidth="1" min="23" max="23"/>
    <col width="18.1" customWidth="1" min="24" max="24"/>
    <col width="19.25" customWidth="1" min="25" max="25"/>
    <col width="19.25" customWidth="1" min="26" max="26"/>
    <col width="19.25" customWidth="1" min="27" max="27"/>
    <col width="21.55" customWidth="1" min="28" max="28"/>
    <col width="22" customWidth="1" min="29" max="29"/>
    <col width="19.25" customWidth="1" min="30" max="30"/>
    <col width="19.25" customWidth="1" min="31" max="31"/>
    <col width="18.1" customWidth="1" min="32" max="32"/>
    <col width="25" customWidth="1" min="33" max="33"/>
    <col width="22" customWidth="1" min="34" max="34"/>
    <col width="20.4" customWidth="1" min="35" max="35"/>
    <col width="19.25" customWidth="1" min="36" max="36"/>
    <col width="23.85" customWidth="1" min="37" max="37"/>
    <col width="25" customWidth="1" min="38" max="38"/>
    <col width="22.7" customWidth="1" min="39" max="39"/>
    <col width="21.55" customWidth="1" min="40" max="40"/>
    <col width="16.95" customWidth="1" min="41" max="41"/>
    <col width="19.25" customWidth="1" min="42" max="42"/>
    <col width="18.1" customWidth="1" min="43" max="43"/>
    <col width="18.1" customWidth="1" min="44" max="44"/>
    <col width="19.25" customWidth="1" min="45" max="45"/>
    <col width="19.25" customWidth="1" min="46" max="46"/>
    <col width="19.25" customWidth="1" min="47" max="47"/>
    <col width="18.1" customWidth="1" min="48" max="48"/>
    <col width="24" customWidth="1" min="49" max="49"/>
    <col width="20.4" customWidth="1" min="50" max="50"/>
    <col width="22" customWidth="1" min="51" max="51"/>
    <col width="16.95" customWidth="1" min="52" max="52"/>
    <col width="16.95" customWidth="1" min="53" max="53"/>
    <col width="16.95" customWidth="1" min="54" max="54"/>
    <col width="16.95" customWidth="1" min="55" max="55"/>
    <col width="16.95" customWidth="1" min="56" max="56"/>
    <col width="16.95" customWidth="1" min="57" max="57"/>
    <col width="22.7" customWidth="1" min="58" max="58"/>
    <col width="16.95" customWidth="1" min="59" max="59"/>
    <col width="14" customWidth="1" min="60" max="60"/>
    <col width="18" customWidth="1" min="61" max="61"/>
  </cols>
  <sheetData>
    <row r="1">
      <c r="A1" s="114" t="inlineStr">
        <is>
          <t>FRAUD &amp; EARNINGS QUALITY DETECTION — 6 Models</t>
        </is>
      </c>
    </row>
    <row r="2" ht="42" customHeight="1">
      <c r="A2" s="93" t="inlineStr">
        <is>
          <t>Ticker</t>
        </is>
      </c>
      <c r="B2" s="93" t="inlineStr">
        <is>
          <t>Company Name</t>
        </is>
      </c>
      <c r="C2" s="101" t="inlineStr">
        <is>
          <t>M: DSRI</t>
        </is>
      </c>
      <c r="D2" s="101" t="inlineStr">
        <is>
          <t>M: GMI</t>
        </is>
      </c>
      <c r="E2" s="101" t="inlineStr">
        <is>
          <t>M: AQI</t>
        </is>
      </c>
      <c r="F2" s="101" t="inlineStr">
        <is>
          <t>M: SGI</t>
        </is>
      </c>
      <c r="G2" s="101" t="inlineStr">
        <is>
          <t>M: DEPI</t>
        </is>
      </c>
      <c r="H2" s="101" t="inlineStr">
        <is>
          <t>M: SGAI</t>
        </is>
      </c>
      <c r="I2" s="101" t="inlineStr">
        <is>
          <t>M: LVGI</t>
        </is>
      </c>
      <c r="J2" s="101" t="inlineStr">
        <is>
          <t>M: TATA</t>
        </is>
      </c>
      <c r="K2" s="101" t="inlineStr">
        <is>
          <t>M-Score</t>
        </is>
      </c>
      <c r="L2" s="93" t="inlineStr">
        <is>
          <t>M-Flag</t>
        </is>
      </c>
      <c r="M2" s="95" t="inlineStr">
        <is>
          <t>D: Op Accruals</t>
        </is>
      </c>
      <c r="N2" s="95" t="inlineStr">
        <is>
          <t>D: ΔRecv/ΔRev</t>
        </is>
      </c>
      <c r="O2" s="95" t="inlineStr">
        <is>
          <t>D: ΔInv/ΔRev</t>
        </is>
      </c>
      <c r="P2" s="95" t="inlineStr">
        <is>
          <t>D: Soft Assets %</t>
        </is>
      </c>
      <c r="Q2" s="95" t="inlineStr">
        <is>
          <t>D: ΔROA</t>
        </is>
      </c>
      <c r="R2" s="95" t="inlineStr">
        <is>
          <t>D: Issuance Flag</t>
        </is>
      </c>
      <c r="S2" s="95" t="inlineStr">
        <is>
          <t>F-Score (Dechow)</t>
        </is>
      </c>
      <c r="T2" s="95" t="inlineStr">
        <is>
          <t>F-Prob % (Dechow)</t>
        </is>
      </c>
      <c r="U2" s="93" t="inlineStr">
        <is>
          <t>F-Flag (Dechow)</t>
        </is>
      </c>
      <c r="V2" s="100" t="inlineStr">
        <is>
          <t>C1: NI&gt;CFO Gap</t>
        </is>
      </c>
      <c r="W2" s="100" t="inlineStr">
        <is>
          <t>C2: DSO Rising</t>
        </is>
      </c>
      <c r="X2" s="100" t="inlineStr">
        <is>
          <t>C3: DIO Rising</t>
        </is>
      </c>
      <c r="Y2" s="100" t="inlineStr">
        <is>
          <t>C4: DPO Falling</t>
        </is>
      </c>
      <c r="Z2" s="100" t="inlineStr">
        <is>
          <t>C5: D&amp;A/TA Fall</t>
        </is>
      </c>
      <c r="AA2" s="100" t="inlineStr">
        <is>
          <t>C6: Asset Bloat</t>
        </is>
      </c>
      <c r="AB2" s="100" t="inlineStr">
        <is>
          <t>C-Score (Montier)</t>
        </is>
      </c>
      <c r="AC2" s="93" t="inlineStr">
        <is>
          <t>C-Flag (Montier)</t>
        </is>
      </c>
      <c r="AD2" s="94" t="inlineStr">
        <is>
          <t>Sloan: CFO ($M)</t>
        </is>
      </c>
      <c r="AE2" s="94" t="inlineStr">
        <is>
          <t>Sloan: CFI ($M)</t>
        </is>
      </c>
      <c r="AF2" s="94" t="inlineStr">
        <is>
          <t>Sloan: NI ($M)</t>
        </is>
      </c>
      <c r="AG2" s="94" t="inlineStr">
        <is>
          <t>Sloan Accrual (Full)</t>
        </is>
      </c>
      <c r="AH2" s="93" t="inlineStr">
        <is>
          <t>Sloan Band</t>
        </is>
      </c>
      <c r="AI2" s="98" t="inlineStr">
        <is>
          <t>RQI: Recv Growth</t>
        </is>
      </c>
      <c r="AJ2" s="98" t="inlineStr">
        <is>
          <t>RQI: Rev Growth</t>
        </is>
      </c>
      <c r="AK2" s="98" t="inlineStr">
        <is>
          <t>RQI: Recv/Rev Ratio</t>
        </is>
      </c>
      <c r="AL2" s="98" t="inlineStr">
        <is>
          <t>RQI: Cash Collection</t>
        </is>
      </c>
      <c r="AM2" s="98" t="inlineStr">
        <is>
          <t>RQI: Defrev Change</t>
        </is>
      </c>
      <c r="AN2" s="98" t="inlineStr">
        <is>
          <t>Rev Quality Score</t>
        </is>
      </c>
      <c r="AO2" s="93" t="inlineStr">
        <is>
          <t>RQI Flag</t>
        </is>
      </c>
      <c r="AP2" s="99" t="inlineStr">
        <is>
          <t>LT1: Inv Signal</t>
        </is>
      </c>
      <c r="AQ2" s="99" t="inlineStr">
        <is>
          <t>LT2: AR Signal</t>
        </is>
      </c>
      <c r="AR2" s="99" t="inlineStr">
        <is>
          <t>LT3: GM Signal</t>
        </is>
      </c>
      <c r="AS2" s="99" t="inlineStr">
        <is>
          <t>LT4: SGA Signal</t>
        </is>
      </c>
      <c r="AT2" s="99" t="inlineStr">
        <is>
          <t>LT5: R&amp;D Signal</t>
        </is>
      </c>
      <c r="AU2" s="99" t="inlineStr">
        <is>
          <t>LT6: ETR Signal</t>
        </is>
      </c>
      <c r="AV2" s="99" t="inlineStr">
        <is>
          <t>LT Score (0-6)</t>
        </is>
      </c>
      <c r="AW2" s="93" t="inlineStr">
        <is>
          <t>LT Flag</t>
        </is>
      </c>
      <c r="AX2" s="115" t="inlineStr">
        <is>
          <t>Fraud Risk Score</t>
        </is>
      </c>
      <c r="AY2" s="93" t="inlineStr">
        <is>
          <t>Fraud Risk Band</t>
        </is>
      </c>
      <c r="AZ2" s="116" t="inlineStr">
        <is>
          <t>DSO Y0 (days)</t>
        </is>
      </c>
      <c r="BA2" s="116" t="inlineStr">
        <is>
          <t>DSO Y1 (days)</t>
        </is>
      </c>
      <c r="BB2" s="116" t="inlineStr">
        <is>
          <t>DIO Y0 (days)</t>
        </is>
      </c>
      <c r="BC2" s="116" t="inlineStr">
        <is>
          <t>DIO Y1 (days)</t>
        </is>
      </c>
      <c r="BD2" s="116" t="inlineStr">
        <is>
          <t>DPO Y0 (days)</t>
        </is>
      </c>
      <c r="BE2" s="116" t="inlineStr">
        <is>
          <t>DPO Y1 (days)</t>
        </is>
      </c>
      <c r="BF2" s="116" t="inlineStr">
        <is>
          <t>Effective Tax Rate</t>
        </is>
      </c>
      <c r="BG2" s="93" t="inlineStr">
        <is>
          <t>Soft Assets %</t>
        </is>
      </c>
      <c r="BH2" s="93" t="inlineStr">
        <is>
          <t>Total Flags</t>
        </is>
      </c>
      <c r="BI2" s="93" t="inlineStr">
        <is>
          <t>Model Coverage %</t>
        </is>
      </c>
    </row>
    <row r="3" ht="17" customHeight="1">
      <c r="A3" s="117" t="inlineStr">
        <is>
          <t>AVY</t>
        </is>
      </c>
      <c r="B3" s="117" t="inlineStr">
        <is>
          <t>AVERY DENNISON CORPORATION</t>
        </is>
      </c>
      <c r="C3" s="118" t="n">
        <v>1.014</v>
      </c>
      <c r="D3" s="118" t="n">
        <v>1.005</v>
      </c>
      <c r="E3" s="118" t="n">
        <v>1.06</v>
      </c>
      <c r="F3" s="118" t="n">
        <v>1.011</v>
      </c>
      <c r="G3" s="118" t="n">
        <v>0.993</v>
      </c>
      <c r="H3" s="118" t="n">
        <v>0.994</v>
      </c>
      <c r="I3" s="118" t="n">
        <v>1</v>
      </c>
      <c r="J3" s="118" t="n">
        <v>-0.022</v>
      </c>
      <c r="K3" s="118" t="n">
        <v>-2.532</v>
      </c>
      <c r="L3" s="119" t="inlineStr">
        <is>
          <t>✓ Lower Risk</t>
        </is>
      </c>
      <c r="M3" s="120" t="n">
        <v>-0.008999999999999999</v>
      </c>
      <c r="N3" s="120" t="n">
        <v>0.378</v>
      </c>
      <c r="O3" s="120" t="n">
        <v>-0.023</v>
      </c>
      <c r="P3" s="120" t="n">
        <v>0.802</v>
      </c>
      <c r="Q3" s="120" t="n">
        <v>-0.006</v>
      </c>
      <c r="R3" s="117" t="n">
        <v>0</v>
      </c>
      <c r="S3" s="118" t="n">
        <v>-5.387</v>
      </c>
      <c r="T3" s="118" t="n">
        <v>0.005</v>
      </c>
      <c r="U3" s="119" t="inlineStr">
        <is>
          <t>✓ Normal</t>
        </is>
      </c>
      <c r="V3" s="117" t="n">
        <v>1</v>
      </c>
      <c r="W3" s="117" t="n">
        <v>1</v>
      </c>
      <c r="X3" s="117" t="n">
        <v>0</v>
      </c>
      <c r="Y3" s="117" t="n">
        <v>1</v>
      </c>
      <c r="Z3" s="117" t="n">
        <v>0</v>
      </c>
      <c r="AA3" s="117" t="n">
        <v>0</v>
      </c>
      <c r="AB3" s="117" t="n">
        <v>3</v>
      </c>
      <c r="AC3" s="121" t="inlineStr">
        <is>
          <t>⚠ WATCH</t>
        </is>
      </c>
      <c r="AD3" s="118" t="n">
        <v>881400000</v>
      </c>
      <c r="AE3" s="118" t="n">
        <v>-596000000</v>
      </c>
      <c r="AF3" s="118" t="n">
        <v>688000000</v>
      </c>
      <c r="AG3" s="118" t="n">
        <v>0.047</v>
      </c>
      <c r="AH3" s="119" t="inlineStr">
        <is>
          <t>✓ Medium Quality</t>
        </is>
      </c>
      <c r="AI3" s="118" t="n">
        <v>0.026</v>
      </c>
      <c r="AJ3" s="120" t="n">
        <v>0.011</v>
      </c>
      <c r="AK3" s="120" t="n">
        <v>2.256</v>
      </c>
      <c r="AL3" s="120" t="n">
        <v>0.1</v>
      </c>
      <c r="AM3" s="120" t="n">
        <v>0</v>
      </c>
      <c r="AN3" s="118" t="n">
        <v>59.9</v>
      </c>
      <c r="AO3" s="121" t="inlineStr">
        <is>
          <t>⚠ WATCH</t>
        </is>
      </c>
      <c r="AP3" s="117" t="n">
        <v>0</v>
      </c>
      <c r="AQ3" s="117" t="n">
        <v>0</v>
      </c>
      <c r="AR3" s="117" t="n">
        <v>1</v>
      </c>
      <c r="AS3" s="117" t="n">
        <v>0</v>
      </c>
      <c r="AT3" s="117" t="n">
        <v>1</v>
      </c>
      <c r="AU3" s="117" t="n">
        <v>1</v>
      </c>
      <c r="AV3" s="117" t="n">
        <v>3</v>
      </c>
      <c r="AW3" s="121" t="inlineStr">
        <is>
          <t>⚠ WATCH</t>
        </is>
      </c>
      <c r="AX3" s="118" t="n">
        <v>23</v>
      </c>
      <c r="AY3" s="119" t="inlineStr">
        <is>
          <t>🟢 LOW RISK</t>
        </is>
      </c>
      <c r="AZ3" s="118" t="n">
        <v>62</v>
      </c>
      <c r="BA3" s="118" t="n">
        <v>61.1</v>
      </c>
      <c r="BB3" s="118" t="n">
        <v>56.5</v>
      </c>
      <c r="BC3" s="118" t="n">
        <v>57.4</v>
      </c>
      <c r="BD3" s="118" t="n">
        <v>73</v>
      </c>
      <c r="BE3" s="118" t="n">
        <v>78.59999999999999</v>
      </c>
      <c r="BF3" s="120" t="n">
        <v>0.256</v>
      </c>
      <c r="BG3" s="117" t="n">
        <v>0.802</v>
      </c>
      <c r="BH3" s="122" t="n">
        <v>6</v>
      </c>
      <c r="BI3" s="123" t="n">
        <v>1</v>
      </c>
    </row>
    <row r="4" ht="17" customHeight="1">
      <c r="A4" s="117" t="inlineStr">
        <is>
          <t>CHD</t>
        </is>
      </c>
      <c r="B4" s="117" t="inlineStr">
        <is>
          <t>CHURCH &amp; DWIGHT CO., INC.</t>
        </is>
      </c>
      <c r="C4" s="118" t="n">
        <v>0.972</v>
      </c>
      <c r="D4" s="118" t="n">
        <v>1.021</v>
      </c>
      <c r="E4" s="118" t="n">
        <v>1.133</v>
      </c>
      <c r="F4" s="118" t="n">
        <v>1.016</v>
      </c>
      <c r="G4" s="118" t="n">
        <v>0.883</v>
      </c>
      <c r="H4" s="118" t="n">
        <v>1.049</v>
      </c>
      <c r="I4" s="118" t="n">
        <v>1.082</v>
      </c>
      <c r="J4" s="118" t="n">
        <v>-0.054</v>
      </c>
      <c r="K4" s="118" t="n">
        <v>-2.726</v>
      </c>
      <c r="L4" s="119" t="inlineStr">
        <is>
          <t>✓ Lower Risk</t>
        </is>
      </c>
      <c r="M4" s="120" t="n">
        <v>-0.058</v>
      </c>
      <c r="N4" s="120" t="n">
        <v>-0.077</v>
      </c>
      <c r="O4" s="120" t="n">
        <v>-0.8169999999999999</v>
      </c>
      <c r="P4" s="120" t="n">
        <v>0.862</v>
      </c>
      <c r="Q4" s="120" t="n">
        <v>0.017</v>
      </c>
      <c r="R4" s="117" t="n">
        <v>0</v>
      </c>
      <c r="S4" s="118" t="n">
        <v>-7.408</v>
      </c>
      <c r="T4" s="118" t="n">
        <v>0.001</v>
      </c>
      <c r="U4" s="119" t="inlineStr">
        <is>
          <t>✓ Normal</t>
        </is>
      </c>
      <c r="V4" s="117" t="n">
        <v>1</v>
      </c>
      <c r="W4" s="117" t="n">
        <v>0</v>
      </c>
      <c r="X4" s="117" t="n">
        <v>0</v>
      </c>
      <c r="Y4" s="117" t="n">
        <v>0</v>
      </c>
      <c r="Z4" s="117" t="n">
        <v>0</v>
      </c>
      <c r="AA4" s="117" t="n">
        <v>0</v>
      </c>
      <c r="AB4" s="117" t="n">
        <v>1</v>
      </c>
      <c r="AC4" s="119" t="inlineStr">
        <is>
          <t>✓ Clean</t>
        </is>
      </c>
      <c r="AD4" s="118" t="n">
        <v>1215400000</v>
      </c>
      <c r="AE4" s="118" t="n">
        <v>-616900000</v>
      </c>
      <c r="AF4" s="118" t="n">
        <v>736800000</v>
      </c>
      <c r="AG4" s="118" t="n">
        <v>0.016</v>
      </c>
      <c r="AH4" s="119" t="inlineStr">
        <is>
          <t>✓ Medium Quality</t>
        </is>
      </c>
      <c r="AI4" s="118" t="n">
        <v>-0.012</v>
      </c>
      <c r="AJ4" s="120" t="n">
        <v>0.016</v>
      </c>
      <c r="AK4" s="120" t="n">
        <v>-0.783</v>
      </c>
      <c r="AL4" s="120" t="n">
        <v>0.196</v>
      </c>
      <c r="AM4" s="124" t="inlineStr">
        <is>
          <t>N/A</t>
        </is>
      </c>
      <c r="AN4" s="117" t="n">
        <v>100</v>
      </c>
      <c r="AO4" s="119" t="inlineStr">
        <is>
          <t>✓ Good</t>
        </is>
      </c>
      <c r="AP4" s="117" t="n">
        <v>0</v>
      </c>
      <c r="AQ4" s="117" t="n">
        <v>0</v>
      </c>
      <c r="AR4" s="117" t="n">
        <v>1</v>
      </c>
      <c r="AS4" s="117" t="n">
        <v>1</v>
      </c>
      <c r="AT4" s="117" t="n">
        <v>1</v>
      </c>
      <c r="AU4" s="117" t="n">
        <v>0</v>
      </c>
      <c r="AV4" s="117" t="n">
        <v>3</v>
      </c>
      <c r="AW4" s="121" t="inlineStr">
        <is>
          <t>⚠ WATCH</t>
        </is>
      </c>
      <c r="AX4" s="118" t="n">
        <v>12.6</v>
      </c>
      <c r="AY4" s="119" t="inlineStr">
        <is>
          <t>🟢 VERY LOW RISK</t>
        </is>
      </c>
      <c r="AZ4" s="118" t="n">
        <v>34.9</v>
      </c>
      <c r="BA4" s="118" t="n">
        <v>35.9</v>
      </c>
      <c r="BB4" s="118" t="n">
        <v>56.9</v>
      </c>
      <c r="BC4" s="118" t="n">
        <v>67.5</v>
      </c>
      <c r="BD4" s="118" t="n">
        <v>78</v>
      </c>
      <c r="BE4" s="118" t="n">
        <v>77.59999999999999</v>
      </c>
      <c r="BF4" s="120" t="n">
        <v>0.23</v>
      </c>
      <c r="BG4" s="117" t="n">
        <v>0.862</v>
      </c>
      <c r="BH4" s="122" t="n">
        <v>4</v>
      </c>
      <c r="BI4" s="123" t="n">
        <v>1</v>
      </c>
    </row>
    <row r="5" ht="17" customHeight="1">
      <c r="A5" s="117" t="inlineStr">
        <is>
          <t>GWW</t>
        </is>
      </c>
      <c r="B5" s="117" t="inlineStr">
        <is>
          <t>W.W. GRAINGER, INC.</t>
        </is>
      </c>
      <c r="C5" s="118" t="n">
        <v>0.998</v>
      </c>
      <c r="D5" s="118" t="n">
        <v>1.008</v>
      </c>
      <c r="E5" s="118" t="n">
        <v>1.023</v>
      </c>
      <c r="F5" s="118" t="n">
        <v>1.045</v>
      </c>
      <c r="G5" s="118" t="n">
        <v>1.087</v>
      </c>
      <c r="H5" s="118" t="n">
        <v>1.048</v>
      </c>
      <c r="I5" s="118" t="n">
        <v>1</v>
      </c>
      <c r="J5" s="118" t="n">
        <v>-0.034</v>
      </c>
      <c r="K5" s="118" t="n">
        <v>-2.587</v>
      </c>
      <c r="L5" s="119" t="inlineStr">
        <is>
          <t>✓ Lower Risk</t>
        </is>
      </c>
      <c r="M5" s="120" t="n">
        <v>0.034</v>
      </c>
      <c r="N5" s="120" t="n">
        <v>0.125</v>
      </c>
      <c r="O5" s="120" t="n">
        <v>0.114</v>
      </c>
      <c r="P5" s="120" t="n">
        <v>0.6820000000000001</v>
      </c>
      <c r="Q5" s="120" t="n">
        <v>-0.026</v>
      </c>
      <c r="R5" s="117" t="n">
        <v>0</v>
      </c>
      <c r="S5" s="118" t="n">
        <v>-6.054</v>
      </c>
      <c r="T5" s="118" t="n">
        <v>0.002</v>
      </c>
      <c r="U5" s="119" t="inlineStr">
        <is>
          <t>✓ Normal</t>
        </is>
      </c>
      <c r="V5" s="117" t="n">
        <v>0</v>
      </c>
      <c r="W5" s="117" t="n">
        <v>0</v>
      </c>
      <c r="X5" s="117" t="n">
        <v>0</v>
      </c>
      <c r="Y5" s="117" t="n">
        <v>0</v>
      </c>
      <c r="Z5" s="117" t="n">
        <v>0</v>
      </c>
      <c r="AA5" s="117" t="n">
        <v>0</v>
      </c>
      <c r="AB5" s="117" t="n">
        <v>0</v>
      </c>
      <c r="AC5" s="119" t="inlineStr">
        <is>
          <t>✓ Clean</t>
        </is>
      </c>
      <c r="AD5" s="118" t="n">
        <v>2015000000</v>
      </c>
      <c r="AE5" s="118" t="n">
        <v>-645000000</v>
      </c>
      <c r="AF5" s="118" t="n">
        <v>1706000000</v>
      </c>
      <c r="AG5" s="118" t="n">
        <v>0.038</v>
      </c>
      <c r="AH5" s="119" t="inlineStr">
        <is>
          <t>✓ Medium Quality</t>
        </is>
      </c>
      <c r="AI5" s="118" t="n">
        <v>0.043</v>
      </c>
      <c r="AJ5" s="120" t="n">
        <v>0.045</v>
      </c>
      <c r="AK5" s="120" t="n">
        <v>0.964</v>
      </c>
      <c r="AL5" s="120" t="n">
        <v>0.112</v>
      </c>
      <c r="AM5" s="124" t="inlineStr">
        <is>
          <t>N/A</t>
        </is>
      </c>
      <c r="AN5" s="118" t="n">
        <v>92.5</v>
      </c>
      <c r="AO5" s="119" t="inlineStr">
        <is>
          <t>✓ Good</t>
        </is>
      </c>
      <c r="AP5" s="117" t="n">
        <v>0</v>
      </c>
      <c r="AQ5" s="117" t="n">
        <v>0</v>
      </c>
      <c r="AR5" s="117" t="n">
        <v>1</v>
      </c>
      <c r="AS5" s="117" t="n">
        <v>1</v>
      </c>
      <c r="AT5" s="117" t="n">
        <v>0</v>
      </c>
      <c r="AU5" s="117" t="n">
        <v>0</v>
      </c>
      <c r="AV5" s="117" t="n">
        <v>2</v>
      </c>
      <c r="AW5" s="121" t="inlineStr">
        <is>
          <t>⚠ WATCH</t>
        </is>
      </c>
      <c r="AX5" s="118" t="n">
        <v>9.9</v>
      </c>
      <c r="AY5" s="119" t="inlineStr">
        <is>
          <t>🟢 VERY LOW RISK</t>
        </is>
      </c>
      <c r="AZ5" s="118" t="n">
        <v>47.4</v>
      </c>
      <c r="BA5" s="118" t="n">
        <v>47.5</v>
      </c>
      <c r="BB5" s="118" t="n">
        <v>79.90000000000001</v>
      </c>
      <c r="BC5" s="118" t="n">
        <v>80.90000000000001</v>
      </c>
      <c r="BD5" s="118" t="n">
        <v>19.4</v>
      </c>
      <c r="BE5" s="124" t="inlineStr">
        <is>
          <t>N/A</t>
        </is>
      </c>
      <c r="BF5" s="120" t="n">
        <v>0.256</v>
      </c>
      <c r="BG5" s="117" t="n">
        <v>0.6820000000000001</v>
      </c>
      <c r="BH5" s="122" t="n">
        <v>2</v>
      </c>
      <c r="BI5" s="123" t="n">
        <v>1</v>
      </c>
    </row>
    <row r="6" ht="17" customHeight="1">
      <c r="A6" s="117" t="inlineStr">
        <is>
          <t>SO</t>
        </is>
      </c>
      <c r="B6" s="117" t="inlineStr">
        <is>
          <t>SOUTHERN CO</t>
        </is>
      </c>
      <c r="C6" s="118" t="n">
        <v>0.931</v>
      </c>
      <c r="D6" s="124" t="inlineStr">
        <is>
          <t>N/A</t>
        </is>
      </c>
      <c r="E6" s="118" t="n">
        <v>1.05</v>
      </c>
      <c r="F6" s="118" t="n">
        <v>1.106</v>
      </c>
      <c r="G6" s="118" t="n">
        <v>1.155</v>
      </c>
      <c r="H6" s="124" t="inlineStr">
        <is>
          <t>N/A</t>
        </is>
      </c>
      <c r="I6" s="118" t="n">
        <v>1.004</v>
      </c>
      <c r="J6" s="118" t="n">
        <v>-0.035</v>
      </c>
      <c r="K6" s="124" t="inlineStr">
        <is>
          <t>N/A</t>
        </is>
      </c>
      <c r="L6" s="124" t="inlineStr">
        <is>
          <t>N/A</t>
        </is>
      </c>
      <c r="M6" s="120" t="n">
        <v>-0.008</v>
      </c>
      <c r="N6" s="120" t="n">
        <v>0.032</v>
      </c>
      <c r="O6" s="124" t="inlineStr">
        <is>
          <t>N/A</t>
        </is>
      </c>
      <c r="P6" s="120" t="n">
        <v>0.348</v>
      </c>
      <c r="Q6" s="120" t="n">
        <v>-0.002</v>
      </c>
      <c r="R6" s="117" t="n">
        <v>0</v>
      </c>
      <c r="S6" s="118" t="n">
        <v>-7.128</v>
      </c>
      <c r="T6" s="118" t="n">
        <v>0.001</v>
      </c>
      <c r="U6" s="119" t="inlineStr">
        <is>
          <t>✓ Normal</t>
        </is>
      </c>
      <c r="V6" s="117" t="n">
        <v>1</v>
      </c>
      <c r="W6" s="117" t="n">
        <v>0</v>
      </c>
      <c r="X6" s="117" t="n">
        <v>0</v>
      </c>
      <c r="Y6" s="117" t="n">
        <v>1</v>
      </c>
      <c r="Z6" s="117" t="n">
        <v>1</v>
      </c>
      <c r="AA6" s="117" t="n">
        <v>0</v>
      </c>
      <c r="AB6" s="117" t="n">
        <v>3</v>
      </c>
      <c r="AC6" s="121" t="inlineStr">
        <is>
          <t>⚠ WATCH</t>
        </is>
      </c>
      <c r="AD6" s="118" t="n">
        <v>9802000000</v>
      </c>
      <c r="AE6" s="118" t="n">
        <v>-13959000000</v>
      </c>
      <c r="AF6" s="118" t="n">
        <v>4341000000</v>
      </c>
      <c r="AG6" s="118" t="n">
        <v>0.056</v>
      </c>
      <c r="AH6" s="119" t="inlineStr">
        <is>
          <t>✓ Medium Quality</t>
        </is>
      </c>
      <c r="AI6" s="118" t="n">
        <v>0.03</v>
      </c>
      <c r="AJ6" s="120" t="n">
        <v>0.106</v>
      </c>
      <c r="AK6" s="120" t="n">
        <v>0.282</v>
      </c>
      <c r="AL6" s="120" t="n">
        <v>0.332</v>
      </c>
      <c r="AM6" s="120" t="n">
        <v>0.002</v>
      </c>
      <c r="AN6" s="117" t="n">
        <v>100</v>
      </c>
      <c r="AO6" s="119" t="inlineStr">
        <is>
          <t>✓ Good</t>
        </is>
      </c>
      <c r="AP6" s="117" t="n">
        <v>0</v>
      </c>
      <c r="AQ6" s="117" t="n">
        <v>0</v>
      </c>
      <c r="AR6" s="117" t="n">
        <v>0</v>
      </c>
      <c r="AS6" s="117" t="n">
        <v>0</v>
      </c>
      <c r="AT6" s="117" t="n">
        <v>0</v>
      </c>
      <c r="AU6" s="117" t="n">
        <v>1</v>
      </c>
      <c r="AV6" s="117" t="n">
        <v>1</v>
      </c>
      <c r="AW6" s="119" t="inlineStr">
        <is>
          <t>✓ Clean</t>
        </is>
      </c>
      <c r="AX6" s="118" t="n">
        <v>26.6</v>
      </c>
      <c r="AY6" s="119" t="inlineStr">
        <is>
          <t>🟢 LOW RISK</t>
        </is>
      </c>
      <c r="AZ6" s="118" t="n">
        <v>38.8</v>
      </c>
      <c r="BA6" s="118" t="n">
        <v>41.6</v>
      </c>
      <c r="BB6" s="124" t="inlineStr">
        <is>
          <t>N/A</t>
        </is>
      </c>
      <c r="BC6" s="124" t="inlineStr">
        <is>
          <t>N/A</t>
        </is>
      </c>
      <c r="BD6" s="124" t="inlineStr">
        <is>
          <t>N/A</t>
        </is>
      </c>
      <c r="BE6" s="124" t="inlineStr">
        <is>
          <t>N/A</t>
        </is>
      </c>
      <c r="BF6" s="120" t="n">
        <v>0.166</v>
      </c>
      <c r="BG6" s="117" t="n">
        <v>0.348</v>
      </c>
      <c r="BH6" s="122" t="n">
        <v>4</v>
      </c>
      <c r="BI6" s="123" t="n">
        <v>0.8333333333333334</v>
      </c>
    </row>
    <row r="7" ht="17" customHeight="1">
      <c r="A7" s="117" t="inlineStr">
        <is>
          <t>VICI</t>
        </is>
      </c>
      <c r="B7" s="117" t="inlineStr">
        <is>
          <t>VICI Properties Inc.</t>
        </is>
      </c>
      <c r="C7" s="124" t="inlineStr">
        <is>
          <t>N/A</t>
        </is>
      </c>
      <c r="D7" s="118" t="n">
        <v>1</v>
      </c>
      <c r="E7" s="118" t="n">
        <v>1</v>
      </c>
      <c r="F7" s="118" t="n">
        <v>1.041</v>
      </c>
      <c r="G7" s="118" t="n">
        <v>1.092</v>
      </c>
      <c r="H7" s="118" t="n">
        <v>0.905</v>
      </c>
      <c r="I7" s="118" t="n">
        <v>0.975</v>
      </c>
      <c r="J7" s="118" t="n">
        <v>0.006</v>
      </c>
      <c r="K7" s="124" t="inlineStr">
        <is>
          <t>N/A</t>
        </is>
      </c>
      <c r="L7" s="124" t="inlineStr">
        <is>
          <t>N/A</t>
        </is>
      </c>
      <c r="M7" s="124" t="inlineStr">
        <is>
          <t>N/A</t>
        </is>
      </c>
      <c r="N7" s="124" t="inlineStr">
        <is>
          <t>N/A</t>
        </is>
      </c>
      <c r="O7" s="124" t="inlineStr">
        <is>
          <t>N/A</t>
        </is>
      </c>
      <c r="P7" s="120" t="n">
        <v>0.986</v>
      </c>
      <c r="Q7" s="120" t="n">
        <v>0</v>
      </c>
      <c r="R7" s="117" t="n">
        <v>1</v>
      </c>
      <c r="S7" s="124" t="inlineStr">
        <is>
          <t>N/A</t>
        </is>
      </c>
      <c r="T7" s="124" t="inlineStr">
        <is>
          <t>N/A</t>
        </is>
      </c>
      <c r="U7" s="124" t="inlineStr">
        <is>
          <t>N/A</t>
        </is>
      </c>
      <c r="V7" s="117" t="n">
        <v>0</v>
      </c>
      <c r="W7" s="117" t="n">
        <v>0</v>
      </c>
      <c r="X7" s="117" t="n">
        <v>0</v>
      </c>
      <c r="Y7" s="117" t="n">
        <v>0</v>
      </c>
      <c r="Z7" s="117" t="n">
        <v>1</v>
      </c>
      <c r="AA7" s="117" t="n">
        <v>0</v>
      </c>
      <c r="AB7" s="117" t="n">
        <v>1</v>
      </c>
      <c r="AC7" s="119" t="inlineStr">
        <is>
          <t>✓ Clean</t>
        </is>
      </c>
      <c r="AD7" s="118" t="n">
        <v>2509991000</v>
      </c>
      <c r="AE7" s="118" t="n">
        <v>-904766000</v>
      </c>
      <c r="AF7" s="118" t="n">
        <v>2775493000</v>
      </c>
      <c r="AG7" s="118" t="n">
        <v>0.025</v>
      </c>
      <c r="AH7" s="119" t="inlineStr">
        <is>
          <t>✓ Medium Quality</t>
        </is>
      </c>
      <c r="AI7" s="124" t="inlineStr">
        <is>
          <t>N/A</t>
        </is>
      </c>
      <c r="AJ7" s="120" t="n">
        <v>0.041</v>
      </c>
      <c r="AK7" s="124" t="inlineStr">
        <is>
          <t>N/A</t>
        </is>
      </c>
      <c r="AL7" s="120" t="n">
        <v>0.627</v>
      </c>
      <c r="AM7" s="120" t="n">
        <v>0.017</v>
      </c>
      <c r="AN7" s="117" t="n">
        <v>100</v>
      </c>
      <c r="AO7" s="119" t="inlineStr">
        <is>
          <t>✓ Good</t>
        </is>
      </c>
      <c r="AP7" s="117" t="n">
        <v>0</v>
      </c>
      <c r="AQ7" s="117" t="n">
        <v>0</v>
      </c>
      <c r="AR7" s="117" t="n">
        <v>0</v>
      </c>
      <c r="AS7" s="117" t="n">
        <v>0</v>
      </c>
      <c r="AT7" s="117" t="n">
        <v>0</v>
      </c>
      <c r="AU7" s="117" t="n">
        <v>1</v>
      </c>
      <c r="AV7" s="117" t="n">
        <v>1</v>
      </c>
      <c r="AW7" s="119" t="inlineStr">
        <is>
          <t>✓ Clean</t>
        </is>
      </c>
      <c r="AX7" s="118" t="n">
        <v>26.7</v>
      </c>
      <c r="AY7" s="119" t="inlineStr">
        <is>
          <t>🟢 LOW RISK</t>
        </is>
      </c>
      <c r="AZ7" s="118" t="n">
        <v>0</v>
      </c>
      <c r="BA7" s="124" t="inlineStr">
        <is>
          <t>N/A</t>
        </is>
      </c>
      <c r="BB7" s="124" t="inlineStr">
        <is>
          <t>N/A</t>
        </is>
      </c>
      <c r="BC7" s="124" t="inlineStr">
        <is>
          <t>N/A</t>
        </is>
      </c>
      <c r="BD7" s="124" t="inlineStr">
        <is>
          <t>N/A</t>
        </is>
      </c>
      <c r="BE7" s="124" t="inlineStr">
        <is>
          <t>N/A</t>
        </is>
      </c>
      <c r="BF7" s="120" t="n">
        <v>0.001</v>
      </c>
      <c r="BG7" s="117" t="n">
        <v>0.986</v>
      </c>
      <c r="BH7" s="122" t="n">
        <v>3</v>
      </c>
      <c r="BI7" s="125" t="n">
        <v>0.6666666666666666</v>
      </c>
    </row>
    <row r="8" ht="17" customHeight="1">
      <c r="A8" s="117" t="inlineStr">
        <is>
          <t>MPWR</t>
        </is>
      </c>
      <c r="B8" s="117" t="inlineStr">
        <is>
          <t>MONOLITHIC POWER SYSTEMS INC</t>
        </is>
      </c>
      <c r="C8" s="118" t="n">
        <v>0.898</v>
      </c>
      <c r="D8" s="118" t="n">
        <v>0.862</v>
      </c>
      <c r="E8" s="118" t="n">
        <v>0.969</v>
      </c>
      <c r="F8" s="118" t="n">
        <v>1.179</v>
      </c>
      <c r="G8" s="118" t="n">
        <v>0.745</v>
      </c>
      <c r="H8" s="118" t="n">
        <v>1.173</v>
      </c>
      <c r="I8" s="118" t="n">
        <v>0.889</v>
      </c>
      <c r="J8" s="118" t="n">
        <v>-0.052</v>
      </c>
      <c r="K8" s="118" t="n">
        <v>-2.765</v>
      </c>
      <c r="L8" s="119" t="inlineStr">
        <is>
          <t>✓ Lower Risk</t>
        </is>
      </c>
      <c r="M8" s="120" t="n">
        <v>0.018</v>
      </c>
      <c r="N8" s="120" t="n">
        <v>0.278</v>
      </c>
      <c r="O8" s="120" t="n">
        <v>1.167</v>
      </c>
      <c r="P8" s="120" t="n">
        <v>0.588</v>
      </c>
      <c r="Q8" s="120" t="n">
        <v>0.039</v>
      </c>
      <c r="R8" s="117" t="n">
        <v>1</v>
      </c>
      <c r="S8" s="118" t="n">
        <v>-1.567</v>
      </c>
      <c r="T8" s="118" t="n">
        <v>0.173</v>
      </c>
      <c r="U8" s="121" t="inlineStr">
        <is>
          <t>⚠ HIGH RISK</t>
        </is>
      </c>
      <c r="V8" s="117" t="n">
        <v>1</v>
      </c>
      <c r="W8" s="117" t="n">
        <v>0</v>
      </c>
      <c r="X8" s="117" t="n">
        <v>0</v>
      </c>
      <c r="Y8" s="117" t="n">
        <v>1</v>
      </c>
      <c r="Z8" s="117" t="n">
        <v>0</v>
      </c>
      <c r="AA8" s="117" t="n">
        <v>0</v>
      </c>
      <c r="AB8" s="117" t="n">
        <v>2</v>
      </c>
      <c r="AC8" s="121" t="inlineStr">
        <is>
          <t>⚠ WATCH</t>
        </is>
      </c>
      <c r="AD8" s="118" t="n">
        <v>838202000</v>
      </c>
      <c r="AE8" s="118" t="n">
        <v>-157269000</v>
      </c>
      <c r="AF8" s="118" t="n">
        <v>621483000</v>
      </c>
      <c r="AG8" s="118" t="n">
        <v>-0.014</v>
      </c>
      <c r="AH8" s="119" t="inlineStr">
        <is>
          <t>✓ Medium Quality</t>
        </is>
      </c>
      <c r="AI8" s="118" t="n">
        <v>0.058</v>
      </c>
      <c r="AJ8" s="120" t="n">
        <v>0.179</v>
      </c>
      <c r="AK8" s="120" t="n">
        <v>0.326</v>
      </c>
      <c r="AL8" s="120" t="n">
        <v>2.517</v>
      </c>
      <c r="AM8" s="120" t="n">
        <v>0</v>
      </c>
      <c r="AN8" s="117" t="n">
        <v>100</v>
      </c>
      <c r="AO8" s="119" t="inlineStr">
        <is>
          <t>✓ Good</t>
        </is>
      </c>
      <c r="AP8" s="117" t="n">
        <v>1</v>
      </c>
      <c r="AQ8" s="117" t="n">
        <v>0</v>
      </c>
      <c r="AR8" s="117" t="n">
        <v>0</v>
      </c>
      <c r="AS8" s="117" t="n">
        <v>1</v>
      </c>
      <c r="AT8" s="117" t="n">
        <v>1</v>
      </c>
      <c r="AU8" s="117" t="n">
        <v>1</v>
      </c>
      <c r="AV8" s="117" t="n">
        <v>4</v>
      </c>
      <c r="AW8" s="117" t="inlineStr">
        <is>
          <t>⚠⚠ MULTIPLE RED FLAGS</t>
        </is>
      </c>
      <c r="AX8" s="118" t="n">
        <v>42.4</v>
      </c>
      <c r="AY8" s="121" t="inlineStr">
        <is>
          <t>🟡 ELEVATED RISK</t>
        </is>
      </c>
      <c r="AZ8" s="118" t="n">
        <v>280.1</v>
      </c>
      <c r="BA8" s="118" t="n">
        <v>312.1</v>
      </c>
      <c r="BB8" s="118" t="n">
        <v>164.8</v>
      </c>
      <c r="BC8" s="118" t="n">
        <v>202</v>
      </c>
      <c r="BD8" s="118" t="n">
        <v>40.4</v>
      </c>
      <c r="BE8" s="118" t="n">
        <v>56.6</v>
      </c>
      <c r="BF8" s="120" t="n">
        <v>0.189</v>
      </c>
      <c r="BG8" s="117" t="n">
        <v>0.588</v>
      </c>
      <c r="BH8" s="122" t="n">
        <v>7</v>
      </c>
      <c r="BI8" s="123" t="n">
        <v>1</v>
      </c>
    </row>
    <row r="9" ht="17" customHeight="1">
      <c r="A9" s="117" t="inlineStr">
        <is>
          <t>EWBC</t>
        </is>
      </c>
      <c r="B9" s="117" t="inlineStr">
        <is>
          <t>EAST WEST BANCORP INC</t>
        </is>
      </c>
      <c r="C9" s="124" t="inlineStr">
        <is>
          <t>N/A</t>
        </is>
      </c>
      <c r="D9" s="124" t="inlineStr">
        <is>
          <t>N/A</t>
        </is>
      </c>
      <c r="E9" s="118" t="n">
        <v>1</v>
      </c>
      <c r="F9" s="118" t="n">
        <v>1.031</v>
      </c>
      <c r="G9" s="118" t="n">
        <v>0.98</v>
      </c>
      <c r="H9" s="124" t="inlineStr">
        <is>
          <t>N/A</t>
        </is>
      </c>
      <c r="I9" s="118" t="n">
        <v>0.99</v>
      </c>
      <c r="J9" s="118" t="n">
        <v>-0.002</v>
      </c>
      <c r="K9" s="124" t="inlineStr">
        <is>
          <t>N/A</t>
        </is>
      </c>
      <c r="L9" s="124" t="inlineStr">
        <is>
          <t>N/A</t>
        </is>
      </c>
      <c r="M9" s="124" t="inlineStr">
        <is>
          <t>N/A</t>
        </is>
      </c>
      <c r="N9" s="124" t="inlineStr">
        <is>
          <t>N/A</t>
        </is>
      </c>
      <c r="O9" s="124" t="inlineStr">
        <is>
          <t>N/A</t>
        </is>
      </c>
      <c r="P9" s="120" t="n">
        <v>0.947</v>
      </c>
      <c r="Q9" s="120" t="n">
        <v>0.001</v>
      </c>
      <c r="R9" s="117" t="n">
        <v>1</v>
      </c>
      <c r="S9" s="124" t="inlineStr">
        <is>
          <t>N/A</t>
        </is>
      </c>
      <c r="T9" s="124" t="inlineStr">
        <is>
          <t>N/A</t>
        </is>
      </c>
      <c r="U9" s="124" t="inlineStr">
        <is>
          <t>N/A</t>
        </is>
      </c>
      <c r="V9" s="117" t="n">
        <v>1</v>
      </c>
      <c r="W9" s="117" t="n">
        <v>0</v>
      </c>
      <c r="X9" s="117" t="n">
        <v>0</v>
      </c>
      <c r="Y9" s="117" t="n">
        <v>0</v>
      </c>
      <c r="Z9" s="117" t="n">
        <v>0</v>
      </c>
      <c r="AA9" s="117" t="n">
        <v>0</v>
      </c>
      <c r="AB9" s="117" t="n">
        <v>1</v>
      </c>
      <c r="AC9" s="119" t="inlineStr">
        <is>
          <t>✓ Clean</t>
        </is>
      </c>
      <c r="AD9" s="118" t="n">
        <v>1501700000</v>
      </c>
      <c r="AE9" s="118" t="n">
        <v>-5476505000</v>
      </c>
      <c r="AF9" s="118" t="n">
        <v>1325188000</v>
      </c>
      <c r="AG9" s="118" t="n">
        <v>0.068</v>
      </c>
      <c r="AH9" s="119" t="inlineStr">
        <is>
          <t>✓ Medium Quality</t>
        </is>
      </c>
      <c r="AI9" s="124" t="inlineStr">
        <is>
          <t>N/A</t>
        </is>
      </c>
      <c r="AJ9" s="120" t="n">
        <v>0.031</v>
      </c>
      <c r="AK9" s="124" t="inlineStr">
        <is>
          <t>N/A</t>
        </is>
      </c>
      <c r="AL9" s="120" t="n">
        <v>27.148</v>
      </c>
      <c r="AM9" s="124" t="inlineStr">
        <is>
          <t>N/A</t>
        </is>
      </c>
      <c r="AN9" s="117" t="n">
        <v>100</v>
      </c>
      <c r="AO9" s="119" t="inlineStr">
        <is>
          <t>✓ Good</t>
        </is>
      </c>
      <c r="AP9" s="117" t="n">
        <v>0</v>
      </c>
      <c r="AQ9" s="117" t="n">
        <v>0</v>
      </c>
      <c r="AR9" s="117" t="n">
        <v>0</v>
      </c>
      <c r="AS9" s="117" t="n">
        <v>0</v>
      </c>
      <c r="AT9" s="117" t="n">
        <v>0</v>
      </c>
      <c r="AU9" s="117" t="n">
        <v>0</v>
      </c>
      <c r="AV9" s="117" t="n">
        <v>0</v>
      </c>
      <c r="AW9" s="119" t="inlineStr">
        <is>
          <t>✓ Clean</t>
        </is>
      </c>
      <c r="AX9" s="118" t="n">
        <v>26.7</v>
      </c>
      <c r="AY9" s="119" t="inlineStr">
        <is>
          <t>🟢 LOW RISK</t>
        </is>
      </c>
      <c r="AZ9" s="118" t="n">
        <v>0</v>
      </c>
      <c r="BA9" s="124" t="inlineStr">
        <is>
          <t>N/A</t>
        </is>
      </c>
      <c r="BB9" s="124" t="inlineStr">
        <is>
          <t>N/A</t>
        </is>
      </c>
      <c r="BC9" s="124" t="inlineStr">
        <is>
          <t>N/A</t>
        </is>
      </c>
      <c r="BD9" s="124" t="inlineStr">
        <is>
          <t>N/A</t>
        </is>
      </c>
      <c r="BE9" s="124" t="inlineStr">
        <is>
          <t>N/A</t>
        </is>
      </c>
      <c r="BF9" s="120" t="n">
        <v>0.232</v>
      </c>
      <c r="BG9" s="117" t="n">
        <v>0.947</v>
      </c>
      <c r="BH9" s="122" t="n">
        <v>2</v>
      </c>
      <c r="BI9" s="125" t="n">
        <v>0.6666666666666666</v>
      </c>
    </row>
    <row r="10" ht="17" customHeight="1">
      <c r="A10" s="117" t="inlineStr">
        <is>
          <t>BEN</t>
        </is>
      </c>
      <c r="B10" s="117" t="inlineStr">
        <is>
          <t>FRANKLIN RESOURCES, INC.</t>
        </is>
      </c>
      <c r="C10" s="118" t="n">
        <v>1.235</v>
      </c>
      <c r="D10" s="118" t="n">
        <v>0.669</v>
      </c>
      <c r="E10" s="118" t="n">
        <v>0.949</v>
      </c>
      <c r="F10" s="118" t="n">
        <v>0.914</v>
      </c>
      <c r="G10" s="118" t="n">
        <v>0.931</v>
      </c>
      <c r="H10" s="118" t="n">
        <v>1.205</v>
      </c>
      <c r="I10" s="118" t="n">
        <v>1.019</v>
      </c>
      <c r="J10" s="118" t="n">
        <v>-0.017</v>
      </c>
      <c r="K10" s="118" t="n">
        <v>-2.663</v>
      </c>
      <c r="L10" s="119" t="inlineStr">
        <is>
          <t>✓ Lower Risk</t>
        </is>
      </c>
      <c r="M10" s="120" t="n">
        <v>0.004</v>
      </c>
      <c r="N10" s="120" t="n">
        <v>0.162</v>
      </c>
      <c r="O10" s="124" t="inlineStr">
        <is>
          <t>N/A</t>
        </is>
      </c>
      <c r="P10" s="120" t="n">
        <v>0.827</v>
      </c>
      <c r="Q10" s="120" t="n">
        <v>0.002</v>
      </c>
      <c r="R10" s="117" t="n">
        <v>0</v>
      </c>
      <c r="S10" s="118" t="n">
        <v>-5.846</v>
      </c>
      <c r="T10" s="118" t="n">
        <v>0.003</v>
      </c>
      <c r="U10" s="119" t="inlineStr">
        <is>
          <t>✓ Normal</t>
        </is>
      </c>
      <c r="V10" s="117" t="n">
        <v>0</v>
      </c>
      <c r="W10" s="117" t="n">
        <v>1</v>
      </c>
      <c r="X10" s="117" t="n">
        <v>0</v>
      </c>
      <c r="Y10" s="117" t="n">
        <v>0</v>
      </c>
      <c r="Z10" s="117" t="n">
        <v>0</v>
      </c>
      <c r="AA10" s="117" t="n">
        <v>0</v>
      </c>
      <c r="AB10" s="117" t="n">
        <v>1</v>
      </c>
      <c r="AC10" s="119" t="inlineStr">
        <is>
          <t>✓ Clean</t>
        </is>
      </c>
      <c r="AD10" s="118" t="n">
        <v>1066100000</v>
      </c>
      <c r="AE10" s="118" t="n">
        <v>-2342700000</v>
      </c>
      <c r="AF10" s="118" t="n">
        <v>524900000</v>
      </c>
      <c r="AG10" s="118" t="n">
        <v>0.056</v>
      </c>
      <c r="AH10" s="119" t="inlineStr">
        <is>
          <t>✓ Medium Quality</t>
        </is>
      </c>
      <c r="AI10" s="118" t="n">
        <v>0.129</v>
      </c>
      <c r="AJ10" s="120" t="n">
        <v>-0.08599999999999999</v>
      </c>
      <c r="AK10" s="120" t="n">
        <v>-1.497</v>
      </c>
      <c r="AL10" s="120" t="n">
        <v>0.185</v>
      </c>
      <c r="AM10" s="124" t="inlineStr">
        <is>
          <t>N/A</t>
        </is>
      </c>
      <c r="AN10" s="117" t="n">
        <v>100</v>
      </c>
      <c r="AO10" s="119" t="inlineStr">
        <is>
          <t>✓ Good</t>
        </is>
      </c>
      <c r="AP10" s="117" t="n">
        <v>0</v>
      </c>
      <c r="AQ10" s="117" t="n">
        <v>1</v>
      </c>
      <c r="AR10" s="117" t="n">
        <v>1</v>
      </c>
      <c r="AS10" s="117" t="n">
        <v>1</v>
      </c>
      <c r="AT10" s="117" t="n">
        <v>0</v>
      </c>
      <c r="AU10" s="117" t="n">
        <v>0</v>
      </c>
      <c r="AV10" s="117" t="n">
        <v>3</v>
      </c>
      <c r="AW10" s="121" t="inlineStr">
        <is>
          <t>⚠ WATCH</t>
        </is>
      </c>
      <c r="AX10" s="118" t="n">
        <v>13.9</v>
      </c>
      <c r="AY10" s="119" t="inlineStr">
        <is>
          <t>🟢 VERY LOW RISK</t>
        </is>
      </c>
      <c r="AZ10" s="118" t="n">
        <v>48.8</v>
      </c>
      <c r="BA10" s="118" t="n">
        <v>39.5</v>
      </c>
      <c r="BB10" s="124" t="inlineStr">
        <is>
          <t>N/A</t>
        </is>
      </c>
      <c r="BC10" s="124" t="inlineStr">
        <is>
          <t>N/A</t>
        </is>
      </c>
      <c r="BD10" s="118" t="n">
        <v>14.7</v>
      </c>
      <c r="BE10" s="118" t="n">
        <v>9.4</v>
      </c>
      <c r="BF10" s="120" t="n">
        <v>0.302</v>
      </c>
      <c r="BG10" s="117" t="n">
        <v>0.827</v>
      </c>
      <c r="BH10" s="122" t="n">
        <v>4</v>
      </c>
      <c r="BI10" s="123" t="n">
        <v>1</v>
      </c>
    </row>
    <row r="11" ht="17" customHeight="1">
      <c r="A11" s="117" t="inlineStr">
        <is>
          <t>NVDA</t>
        </is>
      </c>
      <c r="B11" s="117" t="inlineStr">
        <is>
          <t>NVIDIA CORP</t>
        </is>
      </c>
      <c r="C11" s="118" t="n">
        <v>1.008</v>
      </c>
      <c r="D11" s="118" t="n">
        <v>1.055</v>
      </c>
      <c r="E11" s="118" t="n">
        <v>1.517</v>
      </c>
      <c r="F11" s="118" t="n">
        <v>1.655</v>
      </c>
      <c r="G11" s="118" t="n">
        <v>0.598</v>
      </c>
      <c r="H11" s="118" t="n">
        <v>0.793</v>
      </c>
      <c r="I11" s="118" t="n">
        <v>0.828</v>
      </c>
      <c r="J11" s="118" t="n">
        <v>0.08400000000000001</v>
      </c>
      <c r="K11" s="118" t="n">
        <v>-1.213</v>
      </c>
      <c r="L11" s="121" t="inlineStr">
        <is>
          <t>⚠ MANIPULATOR RISK</t>
        </is>
      </c>
      <c r="M11" s="120" t="n">
        <v>0.137</v>
      </c>
      <c r="N11" s="120" t="n">
        <v>0.18</v>
      </c>
      <c r="O11" s="120" t="n">
        <v>0.133</v>
      </c>
      <c r="P11" s="120" t="n">
        <v>0.899</v>
      </c>
      <c r="Q11" s="120" t="n">
        <v>-0.07199999999999999</v>
      </c>
      <c r="R11" s="117" t="n">
        <v>0</v>
      </c>
      <c r="S11" s="118" t="n">
        <v>-5.363</v>
      </c>
      <c r="T11" s="118" t="n">
        <v>0.005</v>
      </c>
      <c r="U11" s="119" t="inlineStr">
        <is>
          <t>✓ Normal</t>
        </is>
      </c>
      <c r="V11" s="117" t="n">
        <v>1</v>
      </c>
      <c r="W11" s="117" t="n">
        <v>1</v>
      </c>
      <c r="X11" s="117" t="n">
        <v>1</v>
      </c>
      <c r="Y11" s="117" t="n">
        <v>1</v>
      </c>
      <c r="Z11" s="117" t="n">
        <v>0</v>
      </c>
      <c r="AA11" s="117" t="n">
        <v>1</v>
      </c>
      <c r="AB11" s="117" t="n">
        <v>5</v>
      </c>
      <c r="AC11" s="121" t="inlineStr">
        <is>
          <t>⚠⚠ SERIOUS CONCERN</t>
        </is>
      </c>
      <c r="AD11" s="118" t="n">
        <v>102718000000</v>
      </c>
      <c r="AE11" s="118" t="n">
        <v>-52228000000</v>
      </c>
      <c r="AF11" s="118" t="n">
        <v>120067000000</v>
      </c>
      <c r="AG11" s="118" t="n">
        <v>0.437</v>
      </c>
      <c r="AH11" s="117" t="inlineStr">
        <is>
          <t>⚠ Very Low Quality</t>
        </is>
      </c>
      <c r="AI11" s="118" t="n">
        <v>0.668</v>
      </c>
      <c r="AJ11" s="120" t="n">
        <v>0.655</v>
      </c>
      <c r="AK11" s="120" t="n">
        <v>1.02</v>
      </c>
      <c r="AL11" s="120" t="n">
        <v>0.476</v>
      </c>
      <c r="AM11" s="120" t="n">
        <v>-0</v>
      </c>
      <c r="AN11" s="118" t="n">
        <v>99.40000000000001</v>
      </c>
      <c r="AO11" s="119" t="inlineStr">
        <is>
          <t>✓ Good</t>
        </is>
      </c>
      <c r="AP11" s="117" t="n">
        <v>0</v>
      </c>
      <c r="AQ11" s="117" t="n">
        <v>0</v>
      </c>
      <c r="AR11" s="117" t="n">
        <v>1</v>
      </c>
      <c r="AS11" s="117" t="n">
        <v>0</v>
      </c>
      <c r="AT11" s="117" t="n">
        <v>1</v>
      </c>
      <c r="AU11" s="117" t="n">
        <v>0</v>
      </c>
      <c r="AV11" s="117" t="n">
        <v>2</v>
      </c>
      <c r="AW11" s="121" t="inlineStr">
        <is>
          <t>⚠ WATCH</t>
        </is>
      </c>
      <c r="AX11" s="118" t="n">
        <v>38.7</v>
      </c>
      <c r="AY11" s="119" t="inlineStr">
        <is>
          <t>🟢 LOW RISK</t>
        </is>
      </c>
      <c r="AZ11" s="118" t="n">
        <v>65</v>
      </c>
      <c r="BA11" s="118" t="n">
        <v>64.5</v>
      </c>
      <c r="BB11" s="118" t="n">
        <v>1244.2</v>
      </c>
      <c r="BC11" s="118" t="n">
        <v>886.6</v>
      </c>
      <c r="BD11" s="118" t="n">
        <v>570.4</v>
      </c>
      <c r="BE11" s="118" t="n">
        <v>555</v>
      </c>
      <c r="BF11" s="120" t="n">
        <v>0.151</v>
      </c>
      <c r="BG11" s="117" t="n">
        <v>0.899</v>
      </c>
      <c r="BH11" s="122" t="n">
        <v>7</v>
      </c>
      <c r="BI11" s="123" t="n">
        <v>1</v>
      </c>
    </row>
    <row r="12" ht="17" customHeight="1">
      <c r="A12" s="117" t="inlineStr">
        <is>
          <t>KRYS</t>
        </is>
      </c>
      <c r="B12" s="117" t="inlineStr">
        <is>
          <t>Krystal Biotech, Inc.</t>
        </is>
      </c>
      <c r="C12" s="118" t="n">
        <v>0.908</v>
      </c>
      <c r="D12" s="118" t="n">
        <v>0.546</v>
      </c>
      <c r="E12" s="118" t="n">
        <v>0.791</v>
      </c>
      <c r="F12" s="118" t="n">
        <v>1.339</v>
      </c>
      <c r="G12" s="118" t="n">
        <v>0.669</v>
      </c>
      <c r="H12" s="118" t="n">
        <v>0.964</v>
      </c>
      <c r="I12" s="118" t="n">
        <v>0.826</v>
      </c>
      <c r="J12" s="118" t="n">
        <v>0.003</v>
      </c>
      <c r="K12" s="118" t="n">
        <v>-2.547</v>
      </c>
      <c r="L12" s="119" t="inlineStr">
        <is>
          <t>✓ Lower Risk</t>
        </is>
      </c>
      <c r="M12" s="120" t="n">
        <v>0.095</v>
      </c>
      <c r="N12" s="120" t="n">
        <v>0.23</v>
      </c>
      <c r="O12" s="120" t="n">
        <v>0.142</v>
      </c>
      <c r="P12" s="120" t="n">
        <v>0.515</v>
      </c>
      <c r="Q12" s="120" t="n">
        <v>0.06900000000000001</v>
      </c>
      <c r="R12" s="117" t="n">
        <v>1</v>
      </c>
      <c r="S12" s="118" t="n">
        <v>-3.008</v>
      </c>
      <c r="T12" s="118" t="n">
        <v>0.047</v>
      </c>
      <c r="U12" s="121" t="inlineStr">
        <is>
          <t>⚠ HIGH RISK</t>
        </is>
      </c>
      <c r="V12" s="117" t="n">
        <v>1</v>
      </c>
      <c r="W12" s="117" t="n">
        <v>0</v>
      </c>
      <c r="X12" s="117" t="n">
        <v>1</v>
      </c>
      <c r="Y12" s="117" t="n">
        <v>1</v>
      </c>
      <c r="Z12" s="117" t="n">
        <v>0</v>
      </c>
      <c r="AA12" s="117" t="n">
        <v>1</v>
      </c>
      <c r="AB12" s="117" t="n">
        <v>4</v>
      </c>
      <c r="AC12" s="121" t="inlineStr">
        <is>
          <t>⚠⚠ SERIOUS CONCERN</t>
        </is>
      </c>
      <c r="AD12" s="118" t="n">
        <v>200865000</v>
      </c>
      <c r="AE12" s="118" t="n">
        <v>-58417000</v>
      </c>
      <c r="AF12" s="118" t="n">
        <v>204831000</v>
      </c>
      <c r="AG12" s="118" t="n">
        <v>0.052</v>
      </c>
      <c r="AH12" s="119" t="inlineStr">
        <is>
          <t>✓ Medium Quality</t>
        </is>
      </c>
      <c r="AI12" s="118" t="n">
        <v>0.217</v>
      </c>
      <c r="AJ12" s="120" t="n">
        <v>0.339</v>
      </c>
      <c r="AK12" s="120" t="n">
        <v>0.638</v>
      </c>
      <c r="AL12" s="120" t="n">
        <v>0.516</v>
      </c>
      <c r="AM12" s="124" t="inlineStr">
        <is>
          <t>N/A</t>
        </is>
      </c>
      <c r="AN12" s="117" t="n">
        <v>100</v>
      </c>
      <c r="AO12" s="119" t="inlineStr">
        <is>
          <t>✓ Good</t>
        </is>
      </c>
      <c r="AP12" s="117" t="n">
        <v>0</v>
      </c>
      <c r="AQ12" s="117" t="n">
        <v>0</v>
      </c>
      <c r="AR12" s="117" t="n">
        <v>0</v>
      </c>
      <c r="AS12" s="117" t="n">
        <v>0</v>
      </c>
      <c r="AT12" s="117" t="n">
        <v>1</v>
      </c>
      <c r="AU12" s="117" t="n">
        <v>1</v>
      </c>
      <c r="AV12" s="117" t="n">
        <v>2</v>
      </c>
      <c r="AW12" s="121" t="inlineStr">
        <is>
          <t>⚠ WATCH</t>
        </is>
      </c>
      <c r="AX12" s="118" t="n">
        <v>30</v>
      </c>
      <c r="AY12" s="119" t="inlineStr">
        <is>
          <t>🟢 LOW RISK</t>
        </is>
      </c>
      <c r="AZ12" s="118" t="n">
        <v>119.5</v>
      </c>
      <c r="BA12" s="118" t="n">
        <v>131.6</v>
      </c>
      <c r="BB12" s="118" t="n">
        <v>64.8</v>
      </c>
      <c r="BC12" s="118" t="n">
        <v>43</v>
      </c>
      <c r="BD12" s="118" t="n">
        <v>5.2</v>
      </c>
      <c r="BE12" s="118" t="n">
        <v>8.1</v>
      </c>
      <c r="BF12" s="120" t="n">
        <v>-0.081</v>
      </c>
      <c r="BG12" s="117" t="n">
        <v>0.515</v>
      </c>
      <c r="BH12" s="122" t="n">
        <v>7</v>
      </c>
      <c r="BI12" s="123" t="n">
        <v>1</v>
      </c>
    </row>
    <row r="13" ht="17" customHeight="1">
      <c r="A13" s="117" t="inlineStr">
        <is>
          <t>APTV</t>
        </is>
      </c>
      <c r="B13" s="117" t="inlineStr">
        <is>
          <t>APTIV PLC</t>
        </is>
      </c>
      <c r="C13" s="118" t="n">
        <v>0.269</v>
      </c>
      <c r="D13" s="118" t="n">
        <v>3.954</v>
      </c>
      <c r="E13" s="118" t="n">
        <v>0.915</v>
      </c>
      <c r="F13" s="118" t="n">
        <v>3.958</v>
      </c>
      <c r="G13" s="118" t="n">
        <v>0.994</v>
      </c>
      <c r="H13" s="118" t="n">
        <v>0.288</v>
      </c>
      <c r="I13" s="118" t="n">
        <v>0.97</v>
      </c>
      <c r="J13" s="118" t="n">
        <v>-0.08599999999999999</v>
      </c>
      <c r="K13" s="118" t="n">
        <v>0.74</v>
      </c>
      <c r="L13" s="121" t="inlineStr">
        <is>
          <t>⚠ MANIPULATOR RISK</t>
        </is>
      </c>
      <c r="M13" s="120" t="n">
        <v>-0.011</v>
      </c>
      <c r="N13" s="120" t="n">
        <v>0.014</v>
      </c>
      <c r="O13" s="120" t="n">
        <v>0.016</v>
      </c>
      <c r="P13" s="120" t="n">
        <v>0.76</v>
      </c>
      <c r="Q13" s="120" t="n">
        <v>0.001</v>
      </c>
      <c r="R13" s="117" t="n">
        <v>0</v>
      </c>
      <c r="S13" s="118" t="n">
        <v>-6.344</v>
      </c>
      <c r="T13" s="118" t="n">
        <v>0.002</v>
      </c>
      <c r="U13" s="119" t="inlineStr">
        <is>
          <t>✓ Normal</t>
        </is>
      </c>
      <c r="V13" s="117" t="n">
        <v>1</v>
      </c>
      <c r="W13" s="117" t="n">
        <v>0</v>
      </c>
      <c r="X13" s="117" t="n">
        <v>0</v>
      </c>
      <c r="Y13" s="117" t="n">
        <v>1</v>
      </c>
      <c r="Z13" s="117" t="n">
        <v>0</v>
      </c>
      <c r="AA13" s="117" t="n">
        <v>0</v>
      </c>
      <c r="AB13" s="117" t="n">
        <v>2</v>
      </c>
      <c r="AC13" s="121" t="inlineStr">
        <is>
          <t>⚠ WATCH</t>
        </is>
      </c>
      <c r="AD13" s="118" t="n">
        <v>2185000000</v>
      </c>
      <c r="AE13" s="118" t="n">
        <v>-498000000</v>
      </c>
      <c r="AF13" s="118" t="n">
        <v>165000000</v>
      </c>
      <c r="AG13" s="118" t="n">
        <v>-0.065</v>
      </c>
      <c r="AH13" s="119" t="inlineStr">
        <is>
          <t>✓ Medium Quality</t>
        </is>
      </c>
      <c r="AI13" s="118" t="n">
        <v>0.066</v>
      </c>
      <c r="AJ13" s="120" t="n">
        <v>2.958</v>
      </c>
      <c r="AK13" s="120" t="n">
        <v>0.022</v>
      </c>
      <c r="AL13" s="120" t="n">
        <v>0.107</v>
      </c>
      <c r="AM13" s="120" t="n">
        <v>-0.001</v>
      </c>
      <c r="AN13" s="118" t="n">
        <v>91.40000000000001</v>
      </c>
      <c r="AO13" s="119" t="inlineStr">
        <is>
          <t>✓ Good</t>
        </is>
      </c>
      <c r="AP13" s="117" t="n">
        <v>0</v>
      </c>
      <c r="AQ13" s="117" t="n">
        <v>0</v>
      </c>
      <c r="AR13" s="117" t="n">
        <v>1</v>
      </c>
      <c r="AS13" s="117" t="n">
        <v>0</v>
      </c>
      <c r="AT13" s="117" t="n">
        <v>1</v>
      </c>
      <c r="AU13" s="117" t="n">
        <v>0</v>
      </c>
      <c r="AV13" s="117" t="n">
        <v>2</v>
      </c>
      <c r="AW13" s="121" t="inlineStr">
        <is>
          <t>⚠ WATCH</t>
        </is>
      </c>
      <c r="AX13" s="118" t="n">
        <v>27.1</v>
      </c>
      <c r="AY13" s="119" t="inlineStr">
        <is>
          <t>🟢 LOW RISK</t>
        </is>
      </c>
      <c r="AZ13" s="118" t="n">
        <v>62.2</v>
      </c>
      <c r="BA13" s="118" t="n">
        <v>231</v>
      </c>
      <c r="BB13" s="118" t="n">
        <v>56.7</v>
      </c>
      <c r="BC13" s="118" t="n">
        <v>202.1</v>
      </c>
      <c r="BD13" s="118" t="n">
        <v>69.8</v>
      </c>
      <c r="BE13" s="118" t="n">
        <v>250</v>
      </c>
      <c r="BF13" s="120" t="n">
        <v>0.762</v>
      </c>
      <c r="BG13" s="117" t="n">
        <v>0.76</v>
      </c>
      <c r="BH13" s="122" t="n">
        <v>4</v>
      </c>
      <c r="BI13" s="123" t="n">
        <v>1</v>
      </c>
    </row>
    <row r="14" ht="17" customHeight="1">
      <c r="A14" s="117" t="inlineStr">
        <is>
          <t>ZBRA</t>
        </is>
      </c>
      <c r="B14" s="117" t="inlineStr">
        <is>
          <t>ZEBRA TECHNOLOGIES CORPORATION</t>
        </is>
      </c>
      <c r="C14" s="118" t="n">
        <v>1.068</v>
      </c>
      <c r="D14" s="118" t="n">
        <v>1.008</v>
      </c>
      <c r="E14" s="118" t="n">
        <v>1.14</v>
      </c>
      <c r="F14" s="118" t="n">
        <v>1.083</v>
      </c>
      <c r="G14" s="118" t="n">
        <v>1.049</v>
      </c>
      <c r="H14" s="118" t="n">
        <v>1.049</v>
      </c>
      <c r="I14" s="118" t="n">
        <v>1.051</v>
      </c>
      <c r="J14" s="118" t="n">
        <v>-0.059</v>
      </c>
      <c r="K14" s="118" t="n">
        <v>-2.575</v>
      </c>
      <c r="L14" s="119" t="inlineStr">
        <is>
          <t>✓ Lower Risk</t>
        </is>
      </c>
      <c r="M14" s="120" t="n">
        <v>-0.024</v>
      </c>
      <c r="N14" s="120" t="n">
        <v>0.263</v>
      </c>
      <c r="O14" s="120" t="n">
        <v>0.08699999999999999</v>
      </c>
      <c r="P14" s="120" t="n">
        <v>0.944</v>
      </c>
      <c r="Q14" s="120" t="n">
        <v>-0.017</v>
      </c>
      <c r="R14" s="117" t="n">
        <v>1</v>
      </c>
      <c r="S14" s="118" t="n">
        <v>-2.198</v>
      </c>
      <c r="T14" s="118" t="n">
        <v>0.1</v>
      </c>
      <c r="U14" s="121" t="inlineStr">
        <is>
          <t>⚠ HIGH RISK</t>
        </is>
      </c>
      <c r="V14" s="117" t="n">
        <v>1</v>
      </c>
      <c r="W14" s="117" t="n">
        <v>1</v>
      </c>
      <c r="X14" s="117" t="n">
        <v>0</v>
      </c>
      <c r="Y14" s="117" t="n">
        <v>0</v>
      </c>
      <c r="Z14" s="117" t="n">
        <v>0</v>
      </c>
      <c r="AA14" s="117" t="n">
        <v>0</v>
      </c>
      <c r="AB14" s="117" t="n">
        <v>2</v>
      </c>
      <c r="AC14" s="121" t="inlineStr">
        <is>
          <t>⚠ WATCH</t>
        </is>
      </c>
      <c r="AD14" s="118" t="n">
        <v>917000000</v>
      </c>
      <c r="AE14" s="118" t="n">
        <v>-1455000000</v>
      </c>
      <c r="AF14" s="118" t="n">
        <v>419000000</v>
      </c>
      <c r="AG14" s="118" t="n">
        <v>0.116</v>
      </c>
      <c r="AH14" s="117" t="inlineStr">
        <is>
          <t>⚠ Low Quality</t>
        </is>
      </c>
      <c r="AI14" s="118" t="n">
        <v>0.158</v>
      </c>
      <c r="AJ14" s="120" t="n">
        <v>0.083</v>
      </c>
      <c r="AK14" s="120" t="n">
        <v>1.891</v>
      </c>
      <c r="AL14" s="120" t="n">
        <v>0.17</v>
      </c>
      <c r="AM14" s="120" t="n">
        <v>0.005</v>
      </c>
      <c r="AN14" s="118" t="n">
        <v>73.5</v>
      </c>
      <c r="AO14" s="119" t="inlineStr">
        <is>
          <t>✓ Good</t>
        </is>
      </c>
      <c r="AP14" s="117" t="n">
        <v>0</v>
      </c>
      <c r="AQ14" s="117" t="n">
        <v>0</v>
      </c>
      <c r="AR14" s="117" t="n">
        <v>1</v>
      </c>
      <c r="AS14" s="117" t="n">
        <v>1</v>
      </c>
      <c r="AT14" s="117" t="n">
        <v>1</v>
      </c>
      <c r="AU14" s="117" t="n">
        <v>0</v>
      </c>
      <c r="AV14" s="117" t="n">
        <v>3</v>
      </c>
      <c r="AW14" s="121" t="inlineStr">
        <is>
          <t>⚠ WATCH</t>
        </is>
      </c>
      <c r="AX14" s="118" t="n">
        <v>34.6</v>
      </c>
      <c r="AY14" s="119" t="inlineStr">
        <is>
          <t>🟢 LOW RISK</t>
        </is>
      </c>
      <c r="AZ14" s="118" t="n">
        <v>54.2</v>
      </c>
      <c r="BA14" s="118" t="n">
        <v>50.7</v>
      </c>
      <c r="BB14" s="118" t="n">
        <v>94.90000000000001</v>
      </c>
      <c r="BC14" s="118" t="n">
        <v>98.5</v>
      </c>
      <c r="BD14" s="118" t="n">
        <v>90.5</v>
      </c>
      <c r="BE14" s="118" t="n">
        <v>90</v>
      </c>
      <c r="BF14" s="120" t="n">
        <v>0.252</v>
      </c>
      <c r="BG14" s="117" t="n">
        <v>0.944</v>
      </c>
      <c r="BH14" s="122" t="n">
        <v>6</v>
      </c>
      <c r="BI14" s="123" t="n">
        <v>1</v>
      </c>
    </row>
    <row r="15" ht="17" customHeight="1">
      <c r="A15" s="117" t="inlineStr">
        <is>
          <t>WFC</t>
        </is>
      </c>
      <c r="B15" s="117" t="inlineStr">
        <is>
          <t>WELLS        FARGO &amp; COMPANY/MN</t>
        </is>
      </c>
      <c r="C15" s="118" t="n">
        <v>1.018</v>
      </c>
      <c r="D15" s="124" t="inlineStr">
        <is>
          <t>N/A</t>
        </is>
      </c>
      <c r="E15" s="118" t="n">
        <v>1</v>
      </c>
      <c r="F15" s="118" t="n">
        <v>0.984</v>
      </c>
      <c r="G15" s="118" t="n">
        <v>0.879</v>
      </c>
      <c r="H15" s="124" t="inlineStr">
        <is>
          <t>N/A</t>
        </is>
      </c>
      <c r="I15" s="118" t="n">
        <v>1.01</v>
      </c>
      <c r="J15" s="118" t="n">
        <v>0.019</v>
      </c>
      <c r="K15" s="124" t="inlineStr">
        <is>
          <t>N/A</t>
        </is>
      </c>
      <c r="L15" s="124" t="inlineStr">
        <is>
          <t>N/A</t>
        </is>
      </c>
      <c r="M15" s="124" t="inlineStr">
        <is>
          <t>N/A</t>
        </is>
      </c>
      <c r="N15" s="120" t="n">
        <v>0.032</v>
      </c>
      <c r="O15" s="124" t="inlineStr">
        <is>
          <t>N/A</t>
        </is>
      </c>
      <c r="P15" s="120" t="n">
        <v>0.996</v>
      </c>
      <c r="Q15" s="120" t="n">
        <v>-0</v>
      </c>
      <c r="R15" s="117" t="n">
        <v>0</v>
      </c>
      <c r="S15" s="124" t="inlineStr">
        <is>
          <t>N/A</t>
        </is>
      </c>
      <c r="T15" s="124" t="inlineStr">
        <is>
          <t>N/A</t>
        </is>
      </c>
      <c r="U15" s="124" t="inlineStr">
        <is>
          <t>N/A</t>
        </is>
      </c>
      <c r="V15" s="117" t="n">
        <v>1</v>
      </c>
      <c r="W15" s="117" t="n">
        <v>1</v>
      </c>
      <c r="X15" s="117" t="n">
        <v>0</v>
      </c>
      <c r="Y15" s="117" t="n">
        <v>0</v>
      </c>
      <c r="Z15" s="117" t="n">
        <v>0</v>
      </c>
      <c r="AA15" s="117" t="n">
        <v>1</v>
      </c>
      <c r="AB15" s="117" t="n">
        <v>3</v>
      </c>
      <c r="AC15" s="121" t="inlineStr">
        <is>
          <t>⚠ WATCH</t>
        </is>
      </c>
      <c r="AD15" s="118" t="n">
        <v>-19001000000</v>
      </c>
      <c r="AE15" s="118" t="n">
        <v>-187895000000</v>
      </c>
      <c r="AF15" s="118" t="n">
        <v>21338000000</v>
      </c>
      <c r="AG15" s="118" t="n">
        <v>0.112</v>
      </c>
      <c r="AH15" s="117" t="inlineStr">
        <is>
          <t>⚠ Low Quality</t>
        </is>
      </c>
      <c r="AI15" s="118" t="n">
        <v>0.002</v>
      </c>
      <c r="AJ15" s="120" t="n">
        <v>-0.016</v>
      </c>
      <c r="AK15" s="120" t="n">
        <v>-0.141</v>
      </c>
      <c r="AL15" s="120" t="n">
        <v>-0.223</v>
      </c>
      <c r="AM15" s="124" t="inlineStr">
        <is>
          <t>N/A</t>
        </is>
      </c>
      <c r="AN15" s="117" t="n">
        <v>70</v>
      </c>
      <c r="AO15" s="119" t="inlineStr">
        <is>
          <t>✓ Good</t>
        </is>
      </c>
      <c r="AP15" s="117" t="n">
        <v>0</v>
      </c>
      <c r="AQ15" s="117" t="n">
        <v>1</v>
      </c>
      <c r="AR15" s="117" t="n">
        <v>0</v>
      </c>
      <c r="AS15" s="117" t="n">
        <v>0</v>
      </c>
      <c r="AT15" s="117" t="n">
        <v>0</v>
      </c>
      <c r="AU15" s="117" t="n">
        <v>0</v>
      </c>
      <c r="AV15" s="117" t="n">
        <v>1</v>
      </c>
      <c r="AW15" s="119" t="inlineStr">
        <is>
          <t>✓ Clean</t>
        </is>
      </c>
      <c r="AX15" s="118" t="n">
        <v>36.6</v>
      </c>
      <c r="AY15" s="119" t="inlineStr">
        <is>
          <t>🟢 LOW RISK</t>
        </is>
      </c>
      <c r="AZ15" s="118" t="n">
        <v>84.3</v>
      </c>
      <c r="BA15" s="118" t="n">
        <v>82.8</v>
      </c>
      <c r="BB15" s="124" t="inlineStr">
        <is>
          <t>N/A</t>
        </is>
      </c>
      <c r="BC15" s="124" t="inlineStr">
        <is>
          <t>N/A</t>
        </is>
      </c>
      <c r="BD15" s="124" t="inlineStr">
        <is>
          <t>N/A</t>
        </is>
      </c>
      <c r="BE15" s="124" t="inlineStr">
        <is>
          <t>N/A</t>
        </is>
      </c>
      <c r="BF15" s="120" t="n">
        <v>0.152</v>
      </c>
      <c r="BG15" s="117" t="n">
        <v>0.996</v>
      </c>
      <c r="BH15" s="122" t="n">
        <v>4</v>
      </c>
      <c r="BI15" s="125" t="n">
        <v>0.6666666666666666</v>
      </c>
    </row>
    <row r="16" ht="17" customHeight="1">
      <c r="A16" s="117" t="inlineStr">
        <is>
          <t>EXPD</t>
        </is>
      </c>
      <c r="B16" s="117" t="inlineStr">
        <is>
          <t>EXPEDITORS INTERNATIONAL OF WASHINGTON, INC.</t>
        </is>
      </c>
      <c r="C16" s="118" t="n">
        <v>0.278</v>
      </c>
      <c r="D16" s="118" t="n">
        <v>0.915</v>
      </c>
      <c r="E16" s="118" t="n">
        <v>1.018</v>
      </c>
      <c r="F16" s="118" t="n">
        <v>3.64</v>
      </c>
      <c r="G16" s="118" t="n">
        <v>0.951</v>
      </c>
      <c r="H16" s="118" t="n">
        <v>0.331</v>
      </c>
      <c r="I16" s="118" t="n">
        <v>1</v>
      </c>
      <c r="J16" s="118" t="n">
        <v>-0.04</v>
      </c>
      <c r="K16" s="118" t="n">
        <v>-0.905</v>
      </c>
      <c r="L16" s="121" t="inlineStr">
        <is>
          <t>⚠ MANIPULATOR RISK</t>
        </is>
      </c>
      <c r="M16" s="120" t="n">
        <v>-0.024</v>
      </c>
      <c r="N16" s="120" t="n">
        <v>0.005</v>
      </c>
      <c r="O16" s="124" t="inlineStr">
        <is>
          <t>N/A</t>
        </is>
      </c>
      <c r="P16" s="120" t="n">
        <v>0.637</v>
      </c>
      <c r="Q16" s="120" t="n">
        <v>-0.005</v>
      </c>
      <c r="R16" s="117" t="n">
        <v>0</v>
      </c>
      <c r="S16" s="118" t="n">
        <v>-6.637</v>
      </c>
      <c r="T16" s="118" t="n">
        <v>0.001</v>
      </c>
      <c r="U16" s="119" t="inlineStr">
        <is>
          <t>✓ Normal</t>
        </is>
      </c>
      <c r="V16" s="117" t="n">
        <v>0</v>
      </c>
      <c r="W16" s="117" t="n">
        <v>0</v>
      </c>
      <c r="X16" s="117" t="n">
        <v>0</v>
      </c>
      <c r="Y16" s="117" t="n">
        <v>1</v>
      </c>
      <c r="Z16" s="117" t="n">
        <v>0</v>
      </c>
      <c r="AA16" s="117" t="n">
        <v>0</v>
      </c>
      <c r="AB16" s="117" t="n">
        <v>1</v>
      </c>
      <c r="AC16" s="119" t="inlineStr">
        <is>
          <t>✓ Clean</t>
        </is>
      </c>
      <c r="AD16" s="118" t="n">
        <v>1006501000</v>
      </c>
      <c r="AE16" s="118" t="n">
        <v>-44703000</v>
      </c>
      <c r="AF16" s="118" t="n">
        <v>810332000</v>
      </c>
      <c r="AG16" s="118" t="n">
        <v>-0.031</v>
      </c>
      <c r="AH16" s="119" t="inlineStr">
        <is>
          <t>✓ Medium Quality</t>
        </is>
      </c>
      <c r="AI16" s="118" t="n">
        <v>0.012</v>
      </c>
      <c r="AJ16" s="120" t="n">
        <v>2.64</v>
      </c>
      <c r="AK16" s="120" t="n">
        <v>0.005</v>
      </c>
      <c r="AL16" s="120" t="n">
        <v>0.145</v>
      </c>
      <c r="AM16" s="120" t="n">
        <v>-0.012</v>
      </c>
      <c r="AN16" s="118" t="n">
        <v>98.5</v>
      </c>
      <c r="AO16" s="119" t="inlineStr">
        <is>
          <t>✓ Good</t>
        </is>
      </c>
      <c r="AP16" s="117" t="n">
        <v>0</v>
      </c>
      <c r="AQ16" s="117" t="n">
        <v>0</v>
      </c>
      <c r="AR16" s="117" t="n">
        <v>0</v>
      </c>
      <c r="AS16" s="117" t="n">
        <v>0</v>
      </c>
      <c r="AT16" s="117" t="n">
        <v>0</v>
      </c>
      <c r="AU16" s="117" t="n">
        <v>1</v>
      </c>
      <c r="AV16" s="117" t="n">
        <v>1</v>
      </c>
      <c r="AW16" s="119" t="inlineStr">
        <is>
          <t>✓ Clean</t>
        </is>
      </c>
      <c r="AX16" s="118" t="n">
        <v>16.9</v>
      </c>
      <c r="AY16" s="119" t="inlineStr">
        <is>
          <t>🟢 VERY LOW RISK</t>
        </is>
      </c>
      <c r="AZ16" s="118" t="n">
        <v>106.6</v>
      </c>
      <c r="BA16" s="118" t="n">
        <v>383.5</v>
      </c>
      <c r="BB16" s="124" t="inlineStr">
        <is>
          <t>N/A</t>
        </is>
      </c>
      <c r="BC16" s="124" t="inlineStr">
        <is>
          <t>N/A</t>
        </is>
      </c>
      <c r="BD16" s="118" t="n">
        <v>80.5</v>
      </c>
      <c r="BE16" s="118" t="n">
        <v>262.3</v>
      </c>
      <c r="BF16" s="120" t="n">
        <v>0.258</v>
      </c>
      <c r="BG16" s="117" t="n">
        <v>0.637</v>
      </c>
      <c r="BH16" s="122" t="n">
        <v>2</v>
      </c>
      <c r="BI16" s="123" t="n">
        <v>1</v>
      </c>
    </row>
    <row r="17" ht="17" customHeight="1">
      <c r="A17" s="117" t="inlineStr">
        <is>
          <t>CELH</t>
        </is>
      </c>
      <c r="B17" s="117" t="inlineStr">
        <is>
          <t>CELSIUS HOLDINGS, INC.</t>
        </is>
      </c>
      <c r="C17" s="118" t="n">
        <v>1.386</v>
      </c>
      <c r="D17" s="118" t="n">
        <v>1.082</v>
      </c>
      <c r="E17" s="118" t="n">
        <v>2.874</v>
      </c>
      <c r="F17" s="118" t="n">
        <v>2.017</v>
      </c>
      <c r="G17" s="118" t="n">
        <v>0.461</v>
      </c>
      <c r="H17" s="118" t="n">
        <v>0.755</v>
      </c>
      <c r="I17" s="118" t="n">
        <v>1.386</v>
      </c>
      <c r="J17" s="118" t="n">
        <v>-0.049</v>
      </c>
      <c r="K17" s="118" t="n">
        <v>-0.793</v>
      </c>
      <c r="L17" s="121" t="inlineStr">
        <is>
          <t>⚠ MANIPULATOR RISK</t>
        </is>
      </c>
      <c r="M17" s="120" t="n">
        <v>0.046</v>
      </c>
      <c r="N17" s="120" t="n">
        <v>0.73</v>
      </c>
      <c r="O17" s="120" t="n">
        <v>0.311</v>
      </c>
      <c r="P17" s="120" t="n">
        <v>0.905</v>
      </c>
      <c r="Q17" s="120" t="n">
        <v>-0.061</v>
      </c>
      <c r="R17" s="117" t="n">
        <v>1</v>
      </c>
      <c r="S17" s="118" t="n">
        <v>-0.756</v>
      </c>
      <c r="T17" s="118" t="n">
        <v>0.319</v>
      </c>
      <c r="U17" s="121" t="inlineStr">
        <is>
          <t>⚠ HIGH RISK</t>
        </is>
      </c>
      <c r="V17" s="117" t="n">
        <v>0</v>
      </c>
      <c r="W17" s="117" t="n">
        <v>1</v>
      </c>
      <c r="X17" s="117" t="n">
        <v>1</v>
      </c>
      <c r="Y17" s="117" t="n">
        <v>0</v>
      </c>
      <c r="Z17" s="117" t="n">
        <v>0</v>
      </c>
      <c r="AA17" s="117" t="n">
        <v>1</v>
      </c>
      <c r="AB17" s="117" t="n">
        <v>3</v>
      </c>
      <c r="AC17" s="121" t="inlineStr">
        <is>
          <t>⚠ WATCH</t>
        </is>
      </c>
      <c r="AD17" s="118" t="n">
        <v>359442000</v>
      </c>
      <c r="AE17" s="118" t="n">
        <v>-1295680000</v>
      </c>
      <c r="AF17" s="118" t="n">
        <v>107999000</v>
      </c>
      <c r="AG17" s="118" t="n">
        <v>0.303</v>
      </c>
      <c r="AH17" s="117" t="inlineStr">
        <is>
          <t>⚠ Very Low Quality</t>
        </is>
      </c>
      <c r="AI17" s="118" t="n">
        <v>1.795</v>
      </c>
      <c r="AJ17" s="120" t="n">
        <v>1.017</v>
      </c>
      <c r="AK17" s="120" t="n">
        <v>1.765</v>
      </c>
      <c r="AL17" s="120" t="n">
        <v>0.273</v>
      </c>
      <c r="AM17" s="120" t="n">
        <v>-0</v>
      </c>
      <c r="AN17" s="118" t="n">
        <v>77</v>
      </c>
      <c r="AO17" s="119" t="inlineStr">
        <is>
          <t>✓ Good</t>
        </is>
      </c>
      <c r="AP17" s="117" t="n">
        <v>0</v>
      </c>
      <c r="AQ17" s="117" t="n">
        <v>0</v>
      </c>
      <c r="AR17" s="117" t="n">
        <v>1</v>
      </c>
      <c r="AS17" s="117" t="n">
        <v>0</v>
      </c>
      <c r="AT17" s="117" t="n">
        <v>1</v>
      </c>
      <c r="AU17" s="117" t="n">
        <v>1</v>
      </c>
      <c r="AV17" s="117" t="n">
        <v>3</v>
      </c>
      <c r="AW17" s="121" t="inlineStr">
        <is>
          <t>⚠ WATCH</t>
        </is>
      </c>
      <c r="AX17" s="118" t="n">
        <v>61.9</v>
      </c>
      <c r="AY17" s="121" t="inlineStr">
        <is>
          <t>🟡 ELEVATED RISK</t>
        </is>
      </c>
      <c r="AZ17" s="118" t="n">
        <v>209.2</v>
      </c>
      <c r="BA17" s="118" t="n">
        <v>151</v>
      </c>
      <c r="BB17" s="118" t="n">
        <v>98.8</v>
      </c>
      <c r="BC17" s="118" t="n">
        <v>70.90000000000001</v>
      </c>
      <c r="BD17" s="118" t="n">
        <v>40.3</v>
      </c>
      <c r="BE17" s="118" t="n">
        <v>22.3</v>
      </c>
      <c r="BF17" s="120" t="n">
        <v>0.136</v>
      </c>
      <c r="BG17" s="117" t="n">
        <v>0.905</v>
      </c>
      <c r="BH17" s="122" t="n">
        <v>7</v>
      </c>
      <c r="BI17" s="123" t="n">
        <v>1</v>
      </c>
    </row>
    <row r="18" ht="17" customHeight="1">
      <c r="A18" s="117" t="inlineStr">
        <is>
          <t>MKSI</t>
        </is>
      </c>
      <c r="B18" s="117" t="inlineStr">
        <is>
          <t>MKS INC</t>
        </is>
      </c>
      <c r="C18" s="118" t="n">
        <v>0.966</v>
      </c>
      <c r="D18" s="118" t="n">
        <v>1.019</v>
      </c>
      <c r="E18" s="118" t="n">
        <v>1.001</v>
      </c>
      <c r="F18" s="118" t="n">
        <v>1.096</v>
      </c>
      <c r="G18" s="118" t="n">
        <v>1.043</v>
      </c>
      <c r="H18" s="118" t="n">
        <v>0.98</v>
      </c>
      <c r="I18" s="118" t="n">
        <v>0.947</v>
      </c>
      <c r="J18" s="118" t="n">
        <v>-0.04</v>
      </c>
      <c r="K18" s="118" t="n">
        <v>-2.576</v>
      </c>
      <c r="L18" s="119" t="inlineStr">
        <is>
          <t>✓ Lower Risk</t>
        </is>
      </c>
      <c r="M18" s="120" t="n">
        <v>-0.052</v>
      </c>
      <c r="N18" s="120" t="n">
        <v>0.104</v>
      </c>
      <c r="O18" s="120" t="n">
        <v>0.081</v>
      </c>
      <c r="P18" s="120" t="n">
        <v>0.86</v>
      </c>
      <c r="Q18" s="120" t="n">
        <v>0.011</v>
      </c>
      <c r="R18" s="117" t="n">
        <v>0</v>
      </c>
      <c r="S18" s="118" t="n">
        <v>-5.877</v>
      </c>
      <c r="T18" s="118" t="n">
        <v>0.003</v>
      </c>
      <c r="U18" s="119" t="inlineStr">
        <is>
          <t>✓ Normal</t>
        </is>
      </c>
      <c r="V18" s="117" t="n">
        <v>1</v>
      </c>
      <c r="W18" s="117" t="n">
        <v>0</v>
      </c>
      <c r="X18" s="117" t="n">
        <v>0</v>
      </c>
      <c r="Y18" s="117" t="n">
        <v>0</v>
      </c>
      <c r="Z18" s="117" t="n">
        <v>1</v>
      </c>
      <c r="AA18" s="117" t="n">
        <v>0</v>
      </c>
      <c r="AB18" s="117" t="n">
        <v>2</v>
      </c>
      <c r="AC18" s="121" t="inlineStr">
        <is>
          <t>⚠ WATCH</t>
        </is>
      </c>
      <c r="AD18" s="118" t="n">
        <v>645000000</v>
      </c>
      <c r="AE18" s="118" t="n">
        <v>-145000000</v>
      </c>
      <c r="AF18" s="118" t="n">
        <v>295000000</v>
      </c>
      <c r="AG18" s="118" t="n">
        <v>-0.024</v>
      </c>
      <c r="AH18" s="119" t="inlineStr">
        <is>
          <t>✓ Medium Quality</t>
        </is>
      </c>
      <c r="AI18" s="118" t="n">
        <v>0.059</v>
      </c>
      <c r="AJ18" s="120" t="n">
        <v>0.096</v>
      </c>
      <c r="AK18" s="120" t="n">
        <v>0.608</v>
      </c>
      <c r="AL18" s="120" t="n">
        <v>0.164</v>
      </c>
      <c r="AM18" s="120" t="n">
        <v>-0</v>
      </c>
      <c r="AN18" s="117" t="n">
        <v>100</v>
      </c>
      <c r="AO18" s="119" t="inlineStr">
        <is>
          <t>✓ Good</t>
        </is>
      </c>
      <c r="AP18" s="117" t="n">
        <v>0</v>
      </c>
      <c r="AQ18" s="117" t="n">
        <v>0</v>
      </c>
      <c r="AR18" s="117" t="n">
        <v>1</v>
      </c>
      <c r="AS18" s="117" t="n">
        <v>0</v>
      </c>
      <c r="AT18" s="117" t="n">
        <v>1</v>
      </c>
      <c r="AU18" s="117" t="n">
        <v>0</v>
      </c>
      <c r="AV18" s="117" t="n">
        <v>2</v>
      </c>
      <c r="AW18" s="121" t="inlineStr">
        <is>
          <t>⚠ WATCH</t>
        </is>
      </c>
      <c r="AX18" s="118" t="n">
        <v>16</v>
      </c>
      <c r="AY18" s="119" t="inlineStr">
        <is>
          <t>🟢 VERY LOW RISK</t>
        </is>
      </c>
      <c r="AZ18" s="118" t="n">
        <v>60.4</v>
      </c>
      <c r="BA18" s="118" t="n">
        <v>62.6</v>
      </c>
      <c r="BB18" s="118" t="n">
        <v>168.1</v>
      </c>
      <c r="BC18" s="118" t="n">
        <v>207.7</v>
      </c>
      <c r="BD18" s="118" t="n">
        <v>74.3</v>
      </c>
      <c r="BE18" s="118" t="n">
        <v>79.3</v>
      </c>
      <c r="BF18" s="120" t="n">
        <v>0.03</v>
      </c>
      <c r="BG18" s="117" t="n">
        <v>0.86</v>
      </c>
      <c r="BH18" s="122" t="n">
        <v>4</v>
      </c>
      <c r="BI18" s="123" t="n">
        <v>1</v>
      </c>
    </row>
    <row r="19" ht="17" customHeight="1">
      <c r="A19" s="117" t="inlineStr">
        <is>
          <t>ACAD</t>
        </is>
      </c>
      <c r="B19" s="117" t="inlineStr">
        <is>
          <t>ACADIA PHARMACEUTICALS INC</t>
        </is>
      </c>
      <c r="C19" s="118" t="n">
        <v>0.391</v>
      </c>
      <c r="D19" s="118" t="n">
        <v>0.979</v>
      </c>
      <c r="E19" s="118" t="n">
        <v>1.531</v>
      </c>
      <c r="F19" s="118" t="n">
        <v>3.144</v>
      </c>
      <c r="G19" s="118" t="n">
        <v>0.6889999999999999</v>
      </c>
      <c r="H19" s="118" t="n">
        <v>0.357</v>
      </c>
      <c r="I19" s="118" t="n">
        <v>0.5620000000000001</v>
      </c>
      <c r="J19" s="118" t="n">
        <v>0.18</v>
      </c>
      <c r="K19" s="118" t="n">
        <v>0.135</v>
      </c>
      <c r="L19" s="121" t="inlineStr">
        <is>
          <t>⚠ MANIPULATOR RISK</t>
        </is>
      </c>
      <c r="M19" s="120" t="n">
        <v>0.245</v>
      </c>
      <c r="N19" s="120" t="n">
        <v>0.046</v>
      </c>
      <c r="O19" s="120" t="n">
        <v>0.04</v>
      </c>
      <c r="P19" s="120" t="n">
        <v>0.882</v>
      </c>
      <c r="Q19" s="120" t="n">
        <v>0.059</v>
      </c>
      <c r="R19" s="117" t="n">
        <v>1</v>
      </c>
      <c r="S19" s="118" t="n">
        <v>-2.744</v>
      </c>
      <c r="T19" s="118" t="n">
        <v>0.06</v>
      </c>
      <c r="U19" s="121" t="inlineStr">
        <is>
          <t>⚠ HIGH RISK</t>
        </is>
      </c>
      <c r="V19" s="117" t="n">
        <v>1</v>
      </c>
      <c r="W19" s="117" t="n">
        <v>0</v>
      </c>
      <c r="X19" s="117" t="n">
        <v>0</v>
      </c>
      <c r="Y19" s="117" t="n">
        <v>1</v>
      </c>
      <c r="Z19" s="117" t="n">
        <v>0</v>
      </c>
      <c r="AA19" s="117" t="n">
        <v>1</v>
      </c>
      <c r="AB19" s="117" t="n">
        <v>3</v>
      </c>
      <c r="AC19" s="121" t="inlineStr">
        <is>
          <t>⚠ WATCH</t>
        </is>
      </c>
      <c r="AD19" s="118" t="n">
        <v>109836000</v>
      </c>
      <c r="AE19" s="118" t="n">
        <v>-302564000</v>
      </c>
      <c r="AF19" s="118" t="n">
        <v>391000000</v>
      </c>
      <c r="AG19" s="118" t="n">
        <v>0.424</v>
      </c>
      <c r="AH19" s="117" t="inlineStr">
        <is>
          <t>⚠ Very Low Quality</t>
        </is>
      </c>
      <c r="AI19" s="118" t="n">
        <v>0.23</v>
      </c>
      <c r="AJ19" s="120" t="n">
        <v>2.144</v>
      </c>
      <c r="AK19" s="120" t="n">
        <v>0.107</v>
      </c>
      <c r="AL19" s="120" t="n">
        <v>0.151</v>
      </c>
      <c r="AM19" s="120" t="n">
        <v>0</v>
      </c>
      <c r="AN19" s="117" t="n">
        <v>100</v>
      </c>
      <c r="AO19" s="119" t="inlineStr">
        <is>
          <t>✓ Good</t>
        </is>
      </c>
      <c r="AP19" s="117" t="n">
        <v>0</v>
      </c>
      <c r="AQ19" s="117" t="n">
        <v>0</v>
      </c>
      <c r="AR19" s="117" t="n">
        <v>0</v>
      </c>
      <c r="AS19" s="117" t="n">
        <v>0</v>
      </c>
      <c r="AT19" s="117" t="n">
        <v>1</v>
      </c>
      <c r="AU19" s="117" t="n">
        <v>1</v>
      </c>
      <c r="AV19" s="117" t="n">
        <v>2</v>
      </c>
      <c r="AW19" s="121" t="inlineStr">
        <is>
          <t>⚠ WATCH</t>
        </is>
      </c>
      <c r="AX19" s="118" t="n">
        <v>44.1</v>
      </c>
      <c r="AY19" s="121" t="inlineStr">
        <is>
          <t>🟡 ELEVATED RISK</t>
        </is>
      </c>
      <c r="AZ19" s="118" t="n">
        <v>61</v>
      </c>
      <c r="BA19" s="118" t="n">
        <v>156</v>
      </c>
      <c r="BB19" s="118" t="n">
        <v>456.8</v>
      </c>
      <c r="BC19" s="118" t="n">
        <v>408.9</v>
      </c>
      <c r="BD19" s="118" t="n">
        <v>44.7</v>
      </c>
      <c r="BE19" s="118" t="n">
        <v>72.2</v>
      </c>
      <c r="BF19" s="120" t="n">
        <v>-1.815</v>
      </c>
      <c r="BG19" s="117" t="n">
        <v>0.882</v>
      </c>
      <c r="BH19" s="122" t="n">
        <v>6</v>
      </c>
      <c r="BI19" s="123" t="n">
        <v>1</v>
      </c>
    </row>
    <row r="20" ht="17" customHeight="1">
      <c r="A20" s="117" t="inlineStr">
        <is>
          <t>NEM</t>
        </is>
      </c>
      <c r="B20" s="117" t="inlineStr">
        <is>
          <t>NEWMONT CORPORATION</t>
        </is>
      </c>
      <c r="C20" s="118" t="n">
        <v>1.164</v>
      </c>
      <c r="D20" s="118" t="n">
        <v>0.791</v>
      </c>
      <c r="E20" s="118" t="n">
        <v>0.582</v>
      </c>
      <c r="F20" s="118" t="n">
        <v>0.868</v>
      </c>
      <c r="G20" s="118" t="n">
        <v>2.157</v>
      </c>
      <c r="H20" s="118" t="n">
        <v>0.995</v>
      </c>
      <c r="I20" s="118" t="n">
        <v>0.868</v>
      </c>
      <c r="J20" s="118" t="n">
        <v>-0.057</v>
      </c>
      <c r="K20" s="118" t="n">
        <v>-2.815</v>
      </c>
      <c r="L20" s="119" t="inlineStr">
        <is>
          <t>✓ Lower Risk</t>
        </is>
      </c>
      <c r="M20" s="120" t="n">
        <v>-0.046</v>
      </c>
      <c r="N20" s="120" t="n">
        <v>0.011</v>
      </c>
      <c r="O20" s="120" t="n">
        <v>-0.017</v>
      </c>
      <c r="P20" s="120" t="n">
        <v>0.424</v>
      </c>
      <c r="Q20" s="120" t="n">
        <v>0.065</v>
      </c>
      <c r="R20" s="117" t="n">
        <v>0</v>
      </c>
      <c r="S20" s="118" t="n">
        <v>-7.112</v>
      </c>
      <c r="T20" s="118" t="n">
        <v>0.001</v>
      </c>
      <c r="U20" s="119" t="inlineStr">
        <is>
          <t>✓ Normal</t>
        </is>
      </c>
      <c r="V20" s="117" t="n">
        <v>0</v>
      </c>
      <c r="W20" s="117" t="n">
        <v>1</v>
      </c>
      <c r="X20" s="117" t="n">
        <v>1</v>
      </c>
      <c r="Y20" s="117" t="n">
        <v>0</v>
      </c>
      <c r="Z20" s="117" t="n">
        <v>1</v>
      </c>
      <c r="AA20" s="117" t="n">
        <v>0</v>
      </c>
      <c r="AB20" s="117" t="n">
        <v>3</v>
      </c>
      <c r="AC20" s="121" t="inlineStr">
        <is>
          <t>⚠ WATCH</t>
        </is>
      </c>
      <c r="AD20" s="118" t="n">
        <v>10334000000</v>
      </c>
      <c r="AE20" s="118" t="n">
        <v>606000000</v>
      </c>
      <c r="AF20" s="118" t="n">
        <v>7085000000</v>
      </c>
      <c r="AG20" s="118" t="n">
        <v>-0.068</v>
      </c>
      <c r="AH20" s="119" t="inlineStr">
        <is>
          <t>✓ Medium Quality</t>
        </is>
      </c>
      <c r="AI20" s="118" t="n">
        <v>0.01</v>
      </c>
      <c r="AJ20" s="120" t="n">
        <v>-0.132</v>
      </c>
      <c r="AK20" s="120" t="n">
        <v>-0.079</v>
      </c>
      <c r="AL20" s="120" t="n">
        <v>1.54</v>
      </c>
      <c r="AM20" s="124" t="inlineStr">
        <is>
          <t>N/A</t>
        </is>
      </c>
      <c r="AN20" s="117" t="n">
        <v>100</v>
      </c>
      <c r="AO20" s="119" t="inlineStr">
        <is>
          <t>✓ Good</t>
        </is>
      </c>
      <c r="AP20" s="117" t="n">
        <v>1</v>
      </c>
      <c r="AQ20" s="117" t="n">
        <v>1</v>
      </c>
      <c r="AR20" s="117" t="n">
        <v>0</v>
      </c>
      <c r="AS20" s="117" t="n">
        <v>0</v>
      </c>
      <c r="AT20" s="117" t="n">
        <v>0</v>
      </c>
      <c r="AU20" s="117" t="n">
        <v>0</v>
      </c>
      <c r="AV20" s="117" t="n">
        <v>2</v>
      </c>
      <c r="AW20" s="121" t="inlineStr">
        <is>
          <t>⚠ WATCH</t>
        </is>
      </c>
      <c r="AX20" s="118" t="n">
        <v>19.2</v>
      </c>
      <c r="AY20" s="119" t="inlineStr">
        <is>
          <t>🟢 VERY LOW RISK</t>
        </is>
      </c>
      <c r="AZ20" s="118" t="n">
        <v>58</v>
      </c>
      <c r="BA20" s="118" t="n">
        <v>49.9</v>
      </c>
      <c r="BB20" s="118" t="n">
        <v>43.1</v>
      </c>
      <c r="BC20" s="118" t="n">
        <v>37.3</v>
      </c>
      <c r="BD20" s="118" t="n">
        <v>50.2</v>
      </c>
      <c r="BE20" s="118" t="n">
        <v>43.8</v>
      </c>
      <c r="BF20" s="120" t="n">
        <v>0.405</v>
      </c>
      <c r="BG20" s="117" t="n">
        <v>0.424</v>
      </c>
      <c r="BH20" s="122" t="n">
        <v>5</v>
      </c>
      <c r="BI20" s="123" t="n">
        <v>1</v>
      </c>
    </row>
    <row r="21" ht="17" customHeight="1">
      <c r="A21" s="117" t="inlineStr">
        <is>
          <t>NFLX</t>
        </is>
      </c>
      <c r="B21" s="117" t="inlineStr">
        <is>
          <t>Netflix, Inc.</t>
        </is>
      </c>
      <c r="C21" s="124" t="inlineStr">
        <is>
          <t>N/A</t>
        </is>
      </c>
      <c r="D21" s="118" t="n">
        <v>1.2</v>
      </c>
      <c r="E21" s="118" t="n">
        <v>1.005</v>
      </c>
      <c r="F21" s="118" t="n">
        <v>1.159</v>
      </c>
      <c r="G21" s="118" t="n">
        <v>1.204</v>
      </c>
      <c r="H21" s="118" t="n">
        <v>0.958</v>
      </c>
      <c r="I21" s="118" t="n">
        <v>0.968</v>
      </c>
      <c r="J21" s="118" t="n">
        <v>0.015</v>
      </c>
      <c r="K21" s="124" t="inlineStr">
        <is>
          <t>N/A</t>
        </is>
      </c>
      <c r="L21" s="124" t="inlineStr">
        <is>
          <t>N/A</t>
        </is>
      </c>
      <c r="M21" s="120" t="n">
        <v>-0.028</v>
      </c>
      <c r="N21" s="124" t="inlineStr">
        <is>
          <t>N/A</t>
        </is>
      </c>
      <c r="O21" s="124" t="inlineStr">
        <is>
          <t>N/A</t>
        </is>
      </c>
      <c r="P21" s="120" t="n">
        <v>0.801</v>
      </c>
      <c r="Q21" s="120" t="n">
        <v>0.035</v>
      </c>
      <c r="R21" s="117" t="n">
        <v>1</v>
      </c>
      <c r="S21" s="124" t="inlineStr">
        <is>
          <t>N/A</t>
        </is>
      </c>
      <c r="T21" s="124" t="inlineStr">
        <is>
          <t>N/A</t>
        </is>
      </c>
      <c r="U21" s="124" t="inlineStr">
        <is>
          <t>N/A</t>
        </is>
      </c>
      <c r="V21" s="117" t="n">
        <v>0</v>
      </c>
      <c r="W21" s="117" t="n">
        <v>0</v>
      </c>
      <c r="X21" s="117" t="n">
        <v>0</v>
      </c>
      <c r="Y21" s="117" t="n">
        <v>1</v>
      </c>
      <c r="Z21" s="117" t="n">
        <v>0</v>
      </c>
      <c r="AA21" s="117" t="n">
        <v>0</v>
      </c>
      <c r="AB21" s="117" t="n">
        <v>1</v>
      </c>
      <c r="AC21" s="119" t="inlineStr">
        <is>
          <t>✓ Clean</t>
        </is>
      </c>
      <c r="AD21" s="118" t="n">
        <v>10149273000</v>
      </c>
      <c r="AE21" s="118" t="n">
        <v>1041688000</v>
      </c>
      <c r="AF21" s="118" t="n">
        <v>10981201000</v>
      </c>
      <c r="AG21" s="118" t="n">
        <v>-0.004</v>
      </c>
      <c r="AH21" s="119" t="inlineStr">
        <is>
          <t>✓ Medium Quality</t>
        </is>
      </c>
      <c r="AI21" s="124" t="inlineStr">
        <is>
          <t>N/A</t>
        </is>
      </c>
      <c r="AJ21" s="120" t="n">
        <v>0.159</v>
      </c>
      <c r="AK21" s="124" t="inlineStr">
        <is>
          <t>N/A</t>
        </is>
      </c>
      <c r="AL21" s="120" t="n">
        <v>0.225</v>
      </c>
      <c r="AM21" s="120" t="n">
        <v>0</v>
      </c>
      <c r="AN21" s="117" t="n">
        <v>100</v>
      </c>
      <c r="AO21" s="119" t="inlineStr">
        <is>
          <t>✓ Good</t>
        </is>
      </c>
      <c r="AP21" s="117" t="n">
        <v>0</v>
      </c>
      <c r="AQ21" s="117" t="n">
        <v>0</v>
      </c>
      <c r="AR21" s="117" t="n">
        <v>1</v>
      </c>
      <c r="AS21" s="117" t="n">
        <v>0</v>
      </c>
      <c r="AT21" s="117" t="n">
        <v>1</v>
      </c>
      <c r="AU21" s="117" t="n">
        <v>0</v>
      </c>
      <c r="AV21" s="117" t="n">
        <v>2</v>
      </c>
      <c r="AW21" s="121" t="inlineStr">
        <is>
          <t>⚠ WATCH</t>
        </is>
      </c>
      <c r="AX21" s="118" t="n">
        <v>27.1</v>
      </c>
      <c r="AY21" s="119" t="inlineStr">
        <is>
          <t>🟢 LOW RISK</t>
        </is>
      </c>
      <c r="AZ21" s="118" t="n">
        <v>0</v>
      </c>
      <c r="BA21" s="124" t="inlineStr">
        <is>
          <t>N/A</t>
        </is>
      </c>
      <c r="BB21" s="124" t="inlineStr">
        <is>
          <t>N/A</t>
        </is>
      </c>
      <c r="BC21" s="124" t="inlineStr">
        <is>
          <t>N/A</t>
        </is>
      </c>
      <c r="BD21" s="118" t="n">
        <v>14.1</v>
      </c>
      <c r="BE21" s="118" t="n">
        <v>15.6</v>
      </c>
      <c r="BF21" s="120" t="n">
        <v>0.137</v>
      </c>
      <c r="BG21" s="117" t="n">
        <v>0.801</v>
      </c>
      <c r="BH21" s="122" t="n">
        <v>4</v>
      </c>
      <c r="BI21" s="125" t="n">
        <v>0.6666666666666666</v>
      </c>
    </row>
    <row r="22" ht="17" customHeight="1">
      <c r="A22" s="117" t="inlineStr">
        <is>
          <t>BWA</t>
        </is>
      </c>
      <c r="B22" s="117" t="inlineStr">
        <is>
          <t>BORGWARNER INC</t>
        </is>
      </c>
      <c r="C22" s="118" t="n">
        <v>1.025</v>
      </c>
      <c r="D22" s="118" t="n">
        <v>1.006</v>
      </c>
      <c r="E22" s="118" t="n">
        <v>0.901</v>
      </c>
      <c r="F22" s="118" t="n">
        <v>1.016</v>
      </c>
      <c r="G22" s="118" t="n">
        <v>0.8080000000000001</v>
      </c>
      <c r="H22" s="118" t="n">
        <v>0.95</v>
      </c>
      <c r="I22" s="118" t="n">
        <v>1</v>
      </c>
      <c r="J22" s="118" t="n">
        <v>-0.094</v>
      </c>
      <c r="K22" s="118" t="n">
        <v>-2.932</v>
      </c>
      <c r="L22" s="119" t="inlineStr">
        <is>
          <t>✓ Lower Risk</t>
        </is>
      </c>
      <c r="M22" s="120" t="n">
        <v>-0.008999999999999999</v>
      </c>
      <c r="N22" s="120" t="n">
        <v>0.517</v>
      </c>
      <c r="O22" s="120" t="n">
        <v>-0.191</v>
      </c>
      <c r="P22" s="120" t="n">
        <v>0.654</v>
      </c>
      <c r="Q22" s="120" t="n">
        <v>-0.004</v>
      </c>
      <c r="R22" s="117" t="n">
        <v>0</v>
      </c>
      <c r="S22" s="118" t="n">
        <v>-5.529</v>
      </c>
      <c r="T22" s="118" t="n">
        <v>0.004</v>
      </c>
      <c r="U22" s="119" t="inlineStr">
        <is>
          <t>✓ Normal</t>
        </is>
      </c>
      <c r="V22" s="117" t="n">
        <v>0</v>
      </c>
      <c r="W22" s="117" t="n">
        <v>1</v>
      </c>
      <c r="X22" s="117" t="n">
        <v>0</v>
      </c>
      <c r="Y22" s="117" t="n">
        <v>0</v>
      </c>
      <c r="Z22" s="117" t="n">
        <v>0</v>
      </c>
      <c r="AA22" s="117" t="n">
        <v>0</v>
      </c>
      <c r="AB22" s="117" t="n">
        <v>1</v>
      </c>
      <c r="AC22" s="119" t="inlineStr">
        <is>
          <t>✓ Clean</t>
        </is>
      </c>
      <c r="AD22" s="118" t="n">
        <v>1569000000</v>
      </c>
      <c r="AE22" s="118" t="n">
        <v>-1418000000</v>
      </c>
      <c r="AF22" s="118" t="n">
        <v>277000000</v>
      </c>
      <c r="AG22" s="118" t="n">
        <v>0.008999999999999999</v>
      </c>
      <c r="AH22" s="119" t="inlineStr">
        <is>
          <t>✓ Medium Quality</t>
        </is>
      </c>
      <c r="AI22" s="118" t="n">
        <v>0.042</v>
      </c>
      <c r="AJ22" s="120" t="n">
        <v>0.016</v>
      </c>
      <c r="AK22" s="120" t="n">
        <v>2.563</v>
      </c>
      <c r="AL22" s="120" t="n">
        <v>0.11</v>
      </c>
      <c r="AM22" s="120" t="n">
        <v>0</v>
      </c>
      <c r="AN22" s="118" t="n">
        <v>61.9</v>
      </c>
      <c r="AO22" s="121" t="inlineStr">
        <is>
          <t>⚠ WATCH</t>
        </is>
      </c>
      <c r="AP22" s="117" t="n">
        <v>0</v>
      </c>
      <c r="AQ22" s="117" t="n">
        <v>0</v>
      </c>
      <c r="AR22" s="117" t="n">
        <v>1</v>
      </c>
      <c r="AS22" s="117" t="n">
        <v>0</v>
      </c>
      <c r="AT22" s="117" t="n">
        <v>1</v>
      </c>
      <c r="AU22" s="117" t="n">
        <v>0</v>
      </c>
      <c r="AV22" s="117" t="n">
        <v>2</v>
      </c>
      <c r="AW22" s="121" t="inlineStr">
        <is>
          <t>⚠ WATCH</t>
        </is>
      </c>
      <c r="AX22" s="118" t="n">
        <v>13.4</v>
      </c>
      <c r="AY22" s="119" t="inlineStr">
        <is>
          <t>🟢 VERY LOW RISK</t>
        </is>
      </c>
      <c r="AZ22" s="118" t="n">
        <v>75.5</v>
      </c>
      <c r="BA22" s="118" t="n">
        <v>73.7</v>
      </c>
      <c r="BB22" s="118" t="n">
        <v>37.8</v>
      </c>
      <c r="BC22" s="118" t="n">
        <v>39.9</v>
      </c>
      <c r="BD22" s="118" t="n">
        <v>84.09999999999999</v>
      </c>
      <c r="BE22" s="118" t="n">
        <v>72.59999999999999</v>
      </c>
      <c r="BF22" s="120" t="n">
        <v>0.361</v>
      </c>
      <c r="BG22" s="117" t="n">
        <v>0.654</v>
      </c>
      <c r="BH22" s="122" t="n">
        <v>3</v>
      </c>
      <c r="BI22" s="123" t="n">
        <v>1</v>
      </c>
    </row>
    <row r="23" ht="17" customHeight="1">
      <c r="A23" s="117" t="inlineStr">
        <is>
          <t>CCL</t>
        </is>
      </c>
      <c r="B23" s="117" t="inlineStr">
        <is>
          <t>Carnival Corporation Ltd.</t>
        </is>
      </c>
      <c r="C23" s="118" t="n">
        <v>1.066</v>
      </c>
      <c r="D23" s="118" t="n">
        <v>1.062</v>
      </c>
      <c r="E23" s="118" t="n">
        <v>0.971</v>
      </c>
      <c r="F23" s="118" t="n">
        <v>1.078</v>
      </c>
      <c r="G23" s="118" t="n">
        <v>0.956</v>
      </c>
      <c r="H23" s="118" t="n">
        <v>0.97</v>
      </c>
      <c r="I23" s="118" t="n">
        <v>1</v>
      </c>
      <c r="J23" s="118" t="n">
        <v>-0.067</v>
      </c>
      <c r="K23" s="118" t="n">
        <v>-2.642</v>
      </c>
      <c r="L23" s="119" t="inlineStr">
        <is>
          <t>✓ Lower Risk</t>
        </is>
      </c>
      <c r="M23" s="120" t="n">
        <v>-0.08</v>
      </c>
      <c r="N23" s="120" t="n">
        <v>0.064</v>
      </c>
      <c r="O23" s="120" t="n">
        <v>-0.001</v>
      </c>
      <c r="P23" s="120" t="n">
        <v>0.121</v>
      </c>
      <c r="Q23" s="120" t="n">
        <v>0.014</v>
      </c>
      <c r="R23" s="117" t="n">
        <v>1</v>
      </c>
      <c r="S23" s="118" t="n">
        <v>-4.489</v>
      </c>
      <c r="T23" s="118" t="n">
        <v>0.011</v>
      </c>
      <c r="U23" s="119" t="inlineStr">
        <is>
          <t>✓ Normal</t>
        </is>
      </c>
      <c r="V23" s="117" t="n">
        <v>1</v>
      </c>
      <c r="W23" s="117" t="n">
        <v>1</v>
      </c>
      <c r="X23" s="117" t="n">
        <v>0</v>
      </c>
      <c r="Y23" s="117" t="n">
        <v>0</v>
      </c>
      <c r="Z23" s="117" t="n">
        <v>0</v>
      </c>
      <c r="AA23" s="117" t="n">
        <v>0</v>
      </c>
      <c r="AB23" s="117" t="n">
        <v>2</v>
      </c>
      <c r="AC23" s="121" t="inlineStr">
        <is>
          <t>⚠ WATCH</t>
        </is>
      </c>
      <c r="AD23" s="118" t="n">
        <v>6218000000</v>
      </c>
      <c r="AE23" s="118" t="n">
        <v>-3321000000</v>
      </c>
      <c r="AF23" s="118" t="n">
        <v>2760000000</v>
      </c>
      <c r="AG23" s="118" t="n">
        <v>-0.003</v>
      </c>
      <c r="AH23" s="119" t="inlineStr">
        <is>
          <t>✓ Medium Quality</t>
        </is>
      </c>
      <c r="AI23" s="118" t="n">
        <v>0.149</v>
      </c>
      <c r="AJ23" s="120" t="n">
        <v>0.078</v>
      </c>
      <c r="AK23" s="120" t="n">
        <v>1.905</v>
      </c>
      <c r="AL23" s="120" t="n">
        <v>0.329</v>
      </c>
      <c r="AM23" s="120" t="n">
        <v>0.022</v>
      </c>
      <c r="AN23" s="118" t="n">
        <v>73.90000000000001</v>
      </c>
      <c r="AO23" s="119" t="inlineStr">
        <is>
          <t>✓ Good</t>
        </is>
      </c>
      <c r="AP23" s="117" t="n">
        <v>0</v>
      </c>
      <c r="AQ23" s="117" t="n">
        <v>0</v>
      </c>
      <c r="AR23" s="117" t="n">
        <v>1</v>
      </c>
      <c r="AS23" s="117" t="n">
        <v>0</v>
      </c>
      <c r="AT23" s="117" t="n">
        <v>0</v>
      </c>
      <c r="AU23" s="117" t="n">
        <v>0</v>
      </c>
      <c r="AV23" s="117" t="n">
        <v>1</v>
      </c>
      <c r="AW23" s="119" t="inlineStr">
        <is>
          <t>✓ Clean</t>
        </is>
      </c>
      <c r="AX23" s="118" t="n">
        <v>17.1</v>
      </c>
      <c r="AY23" s="119" t="inlineStr">
        <is>
          <t>🟢 VERY LOW RISK</t>
        </is>
      </c>
      <c r="AZ23" s="118" t="n">
        <v>13.1</v>
      </c>
      <c r="BA23" s="118" t="n">
        <v>12.3</v>
      </c>
      <c r="BB23" s="118" t="n">
        <v>11.8</v>
      </c>
      <c r="BC23" s="118" t="n">
        <v>12.9</v>
      </c>
      <c r="BD23" s="118" t="n">
        <v>29.1</v>
      </c>
      <c r="BE23" s="118" t="n">
        <v>28.9</v>
      </c>
      <c r="BF23" s="120" t="n">
        <v>0.004</v>
      </c>
      <c r="BG23" s="117" t="n">
        <v>0.121</v>
      </c>
      <c r="BH23" s="122" t="n">
        <v>4</v>
      </c>
      <c r="BI23" s="123" t="n">
        <v>1</v>
      </c>
    </row>
    <row r="24" ht="17" customHeight="1">
      <c r="A24" s="117" t="inlineStr">
        <is>
          <t>BIO</t>
        </is>
      </c>
      <c r="B24" s="117" t="inlineStr">
        <is>
          <t>Bio-Rad Laboratories, Inc.</t>
        </is>
      </c>
      <c r="C24" s="118" t="n">
        <v>1.011</v>
      </c>
      <c r="D24" s="118" t="n">
        <v>1.036</v>
      </c>
      <c r="E24" s="118" t="n">
        <v>1.087</v>
      </c>
      <c r="F24" s="118" t="n">
        <v>1.007</v>
      </c>
      <c r="G24" s="118" t="n">
        <v>0.951</v>
      </c>
      <c r="H24" s="118" t="n">
        <v>1.031</v>
      </c>
      <c r="I24" s="118" t="n">
        <v>0.989</v>
      </c>
      <c r="J24" s="118" t="n">
        <v>0.022</v>
      </c>
      <c r="K24" s="118" t="n">
        <v>-2.316</v>
      </c>
      <c r="L24" s="119" t="inlineStr">
        <is>
          <t>✓ Lower Risk</t>
        </is>
      </c>
      <c r="M24" s="120" t="n">
        <v>-0.036</v>
      </c>
      <c r="N24" s="120" t="n">
        <v>0.485</v>
      </c>
      <c r="O24" s="120" t="n">
        <v>-1.156</v>
      </c>
      <c r="P24" s="120" t="n">
        <v>0.899</v>
      </c>
      <c r="Q24" s="120" t="n">
        <v>0.269</v>
      </c>
      <c r="R24" s="117" t="n">
        <v>0</v>
      </c>
      <c r="S24" s="118" t="n">
        <v>-6.416</v>
      </c>
      <c r="T24" s="118" t="n">
        <v>0.002</v>
      </c>
      <c r="U24" s="119" t="inlineStr">
        <is>
          <t>✓ Normal</t>
        </is>
      </c>
      <c r="V24" s="117" t="n">
        <v>1</v>
      </c>
      <c r="W24" s="117" t="n">
        <v>1</v>
      </c>
      <c r="X24" s="117" t="n">
        <v>0</v>
      </c>
      <c r="Y24" s="117" t="n">
        <v>0</v>
      </c>
      <c r="Z24" s="117" t="n">
        <v>1</v>
      </c>
      <c r="AA24" s="117" t="n">
        <v>1</v>
      </c>
      <c r="AB24" s="117" t="n">
        <v>4</v>
      </c>
      <c r="AC24" s="121" t="inlineStr">
        <is>
          <t>⚠⚠ SERIOUS CONCERN</t>
        </is>
      </c>
      <c r="AD24" s="118" t="n">
        <v>532200000</v>
      </c>
      <c r="AE24" s="118" t="n">
        <v>-189700000</v>
      </c>
      <c r="AF24" s="118" t="n">
        <v>759900000</v>
      </c>
      <c r="AG24" s="118" t="n">
        <v>0.042</v>
      </c>
      <c r="AH24" s="119" t="inlineStr">
        <is>
          <t>✓ Medium Quality</t>
        </is>
      </c>
      <c r="AI24" s="118" t="n">
        <v>0.018</v>
      </c>
      <c r="AJ24" s="120" t="n">
        <v>0.007</v>
      </c>
      <c r="AK24" s="120" t="n">
        <v>2.751</v>
      </c>
      <c r="AL24" s="120" t="n">
        <v>0.206</v>
      </c>
      <c r="AM24" s="120" t="n">
        <v>0</v>
      </c>
      <c r="AN24" s="118" t="n">
        <v>70</v>
      </c>
      <c r="AO24" s="119" t="inlineStr">
        <is>
          <t>✓ Good</t>
        </is>
      </c>
      <c r="AP24" s="117" t="n">
        <v>0</v>
      </c>
      <c r="AQ24" s="117" t="n">
        <v>0</v>
      </c>
      <c r="AR24" s="117" t="n">
        <v>1</v>
      </c>
      <c r="AS24" s="117" t="n">
        <v>1</v>
      </c>
      <c r="AT24" s="117" t="n">
        <v>1</v>
      </c>
      <c r="AU24" s="117" t="n">
        <v>0</v>
      </c>
      <c r="AV24" s="117" t="n">
        <v>3</v>
      </c>
      <c r="AW24" s="121" t="inlineStr">
        <is>
          <t>⚠ WATCH</t>
        </is>
      </c>
      <c r="AX24" s="118" t="n">
        <v>26</v>
      </c>
      <c r="AY24" s="119" t="inlineStr">
        <is>
          <t>🟢 LOW RISK</t>
        </is>
      </c>
      <c r="AZ24" s="118" t="n">
        <v>65.09999999999999</v>
      </c>
      <c r="BA24" s="118" t="n">
        <v>64.40000000000001</v>
      </c>
      <c r="BB24" s="118" t="n">
        <v>217.4</v>
      </c>
      <c r="BC24" s="118" t="n">
        <v>233.6</v>
      </c>
      <c r="BD24" s="118" t="n">
        <v>37.9</v>
      </c>
      <c r="BE24" s="118" t="n">
        <v>37.6</v>
      </c>
      <c r="BF24" s="120" t="n">
        <v>0.237</v>
      </c>
      <c r="BG24" s="117" t="n">
        <v>0.899</v>
      </c>
      <c r="BH24" s="122" t="n">
        <v>7</v>
      </c>
      <c r="BI24" s="123" t="n">
        <v>1</v>
      </c>
    </row>
    <row r="25" ht="17" customHeight="1">
      <c r="A25" s="117" t="inlineStr">
        <is>
          <t>GEHC</t>
        </is>
      </c>
      <c r="B25" s="117" t="inlineStr">
        <is>
          <t>GE HEALTHCARE TECHNOLOGIES INC.</t>
        </is>
      </c>
      <c r="C25" s="124" t="inlineStr">
        <is>
          <t>N/A</t>
        </is>
      </c>
      <c r="D25" s="118" t="n">
        <v>1.043</v>
      </c>
      <c r="E25" s="118" t="n">
        <v>0.9419999999999999</v>
      </c>
      <c r="F25" s="118" t="n">
        <v>1.048</v>
      </c>
      <c r="G25" s="118" t="n">
        <v>1</v>
      </c>
      <c r="H25" s="118" t="n">
        <v>0.944</v>
      </c>
      <c r="I25" s="118" t="n">
        <v>0.965</v>
      </c>
      <c r="J25" s="124" t="inlineStr">
        <is>
          <t>N/A</t>
        </is>
      </c>
      <c r="K25" s="124" t="inlineStr">
        <is>
          <t>N/A</t>
        </is>
      </c>
      <c r="L25" s="124" t="inlineStr">
        <is>
          <t>N/A</t>
        </is>
      </c>
      <c r="M25" s="120" t="n">
        <v>0.031</v>
      </c>
      <c r="N25" s="124" t="inlineStr">
        <is>
          <t>N/A</t>
        </is>
      </c>
      <c r="O25" s="120" t="n">
        <v>0.31</v>
      </c>
      <c r="P25" s="120" t="n">
        <v>0.82</v>
      </c>
      <c r="Q25" s="120" t="n">
        <v>-0.004</v>
      </c>
      <c r="R25" s="117" t="n">
        <v>1</v>
      </c>
      <c r="S25" s="118" t="n">
        <v>-2.801</v>
      </c>
      <c r="T25" s="118" t="n">
        <v>0.057</v>
      </c>
      <c r="U25" s="121" t="inlineStr">
        <is>
          <t>⚠ HIGH RISK</t>
        </is>
      </c>
      <c r="V25" s="117" t="n">
        <v>0</v>
      </c>
      <c r="W25" s="117" t="n">
        <v>0</v>
      </c>
      <c r="X25" s="117" t="n">
        <v>1</v>
      </c>
      <c r="Y25" s="117" t="n">
        <v>0</v>
      </c>
      <c r="Z25" s="117" t="n">
        <v>1</v>
      </c>
      <c r="AA25" s="117" t="n">
        <v>1</v>
      </c>
      <c r="AB25" s="117" t="n">
        <v>3</v>
      </c>
      <c r="AC25" s="121" t="inlineStr">
        <is>
          <t>⚠ WATCH</t>
        </is>
      </c>
      <c r="AD25" s="124" t="inlineStr">
        <is>
          <t>N/A</t>
        </is>
      </c>
      <c r="AE25" s="118" t="n">
        <v>-1047000000</v>
      </c>
      <c r="AF25" s="118" t="n">
        <v>2084000000</v>
      </c>
      <c r="AG25" s="124" t="inlineStr">
        <is>
          <t>N/A</t>
        </is>
      </c>
      <c r="AH25" s="124" t="inlineStr">
        <is>
          <t>N/A</t>
        </is>
      </c>
      <c r="AI25" s="124" t="inlineStr">
        <is>
          <t>N/A</t>
        </is>
      </c>
      <c r="AJ25" s="120" t="n">
        <v>0.048</v>
      </c>
      <c r="AK25" s="124" t="inlineStr">
        <is>
          <t>N/A</t>
        </is>
      </c>
      <c r="AL25" s="124" t="inlineStr">
        <is>
          <t>N/A</t>
        </is>
      </c>
      <c r="AM25" s="120" t="n">
        <v>0.007</v>
      </c>
      <c r="AN25" s="117" t="n">
        <v>100</v>
      </c>
      <c r="AO25" s="119" t="inlineStr">
        <is>
          <t>✓ Good</t>
        </is>
      </c>
      <c r="AP25" s="117" t="n">
        <v>0</v>
      </c>
      <c r="AQ25" s="117" t="n">
        <v>0</v>
      </c>
      <c r="AR25" s="117" t="n">
        <v>1</v>
      </c>
      <c r="AS25" s="117" t="n">
        <v>0</v>
      </c>
      <c r="AT25" s="117" t="n">
        <v>1</v>
      </c>
      <c r="AU25" s="117" t="n">
        <v>0</v>
      </c>
      <c r="AV25" s="117" t="n">
        <v>2</v>
      </c>
      <c r="AW25" s="121" t="inlineStr">
        <is>
          <t>⚠ WATCH</t>
        </is>
      </c>
      <c r="AX25" s="118" t="n">
        <v>34.8</v>
      </c>
      <c r="AY25" s="119" t="inlineStr">
        <is>
          <t>🟢 LOW RISK</t>
        </is>
      </c>
      <c r="AZ25" s="118" t="n">
        <v>0</v>
      </c>
      <c r="BA25" s="124" t="inlineStr">
        <is>
          <t>N/A</t>
        </is>
      </c>
      <c r="BB25" s="118" t="n">
        <v>148.7</v>
      </c>
      <c r="BC25" s="118" t="n">
        <v>126.8</v>
      </c>
      <c r="BD25" s="118" t="n">
        <v>216.3</v>
      </c>
      <c r="BE25" s="118" t="n">
        <v>197.7</v>
      </c>
      <c r="BF25" s="120" t="n">
        <v>0.222</v>
      </c>
      <c r="BG25" s="117" t="n">
        <v>0.82</v>
      </c>
      <c r="BH25" s="122" t="n">
        <v>6</v>
      </c>
      <c r="BI25" s="125" t="n">
        <v>0.6666666666666666</v>
      </c>
    </row>
    <row r="26" ht="17" customHeight="1">
      <c r="A26" s="126" t="inlineStr">
        <is>
          <t>BAC</t>
        </is>
      </c>
      <c r="B26" s="126" t="inlineStr">
        <is>
          <t>BofA Finance LLC</t>
        </is>
      </c>
      <c r="C26" s="124" t="inlineStr">
        <is>
          <t>N/A</t>
        </is>
      </c>
      <c r="D26" s="124" t="inlineStr">
        <is>
          <t>N/A</t>
        </is>
      </c>
      <c r="E26" s="127" t="n">
        <v>1</v>
      </c>
      <c r="F26" s="127" t="n">
        <v>1.11</v>
      </c>
      <c r="G26" s="127" t="n">
        <v>0.977</v>
      </c>
      <c r="H26" s="124" t="inlineStr">
        <is>
          <t>N/A</t>
        </is>
      </c>
      <c r="I26" s="127" t="n">
        <v>1.002</v>
      </c>
      <c r="J26" s="127" t="n">
        <v>0.005</v>
      </c>
      <c r="K26" s="124" t="inlineStr">
        <is>
          <t>N/A</t>
        </is>
      </c>
      <c r="L26" s="124" t="inlineStr">
        <is>
          <t>N/A</t>
        </is>
      </c>
      <c r="M26" s="124" t="inlineStr">
        <is>
          <t>N/A</t>
        </is>
      </c>
      <c r="N26" s="124" t="inlineStr">
        <is>
          <t>N/A</t>
        </is>
      </c>
      <c r="O26" s="124" t="inlineStr">
        <is>
          <t>N/A</t>
        </is>
      </c>
      <c r="P26" s="128" t="n">
        <v>0.949</v>
      </c>
      <c r="Q26" s="128" t="n">
        <v>0.001</v>
      </c>
      <c r="R26" s="126" t="n">
        <v>0</v>
      </c>
      <c r="S26" s="124" t="inlineStr">
        <is>
          <t>N/A</t>
        </is>
      </c>
      <c r="T26" s="124" t="inlineStr">
        <is>
          <t>N/A</t>
        </is>
      </c>
      <c r="U26" s="124" t="inlineStr">
        <is>
          <t>N/A</t>
        </is>
      </c>
      <c r="V26" s="126" t="n">
        <v>0</v>
      </c>
      <c r="W26" s="126" t="n">
        <v>0</v>
      </c>
      <c r="X26" s="126" t="n">
        <v>0</v>
      </c>
      <c r="Y26" s="126" t="n">
        <v>0</v>
      </c>
      <c r="Z26" s="126" t="n">
        <v>0</v>
      </c>
      <c r="AA26" s="126" t="n">
        <v>0</v>
      </c>
      <c r="AB26" s="126" t="n">
        <v>0</v>
      </c>
      <c r="AC26" s="119" t="inlineStr">
        <is>
          <t>✓ Clean</t>
        </is>
      </c>
      <c r="AD26" s="127" t="n">
        <v>12613000000</v>
      </c>
      <c r="AE26" s="127" t="n">
        <v>-145157000000</v>
      </c>
      <c r="AF26" s="127" t="n">
        <v>30509000000</v>
      </c>
      <c r="AG26" s="127" t="n">
        <v>0.049</v>
      </c>
      <c r="AH26" s="119" t="inlineStr">
        <is>
          <t>✓ Medium Quality</t>
        </is>
      </c>
      <c r="AI26" s="124" t="inlineStr">
        <is>
          <t>N/A</t>
        </is>
      </c>
      <c r="AJ26" s="128" t="n">
        <v>0.11</v>
      </c>
      <c r="AK26" s="124" t="inlineStr">
        <is>
          <t>N/A</t>
        </is>
      </c>
      <c r="AL26" s="128" t="n">
        <v>0.112</v>
      </c>
      <c r="AM26" s="124" t="inlineStr">
        <is>
          <t>N/A</t>
        </is>
      </c>
      <c r="AN26" s="127" t="n">
        <v>92.3</v>
      </c>
      <c r="AO26" s="119" t="inlineStr">
        <is>
          <t>✓ Good</t>
        </is>
      </c>
      <c r="AP26" s="126" t="n">
        <v>0</v>
      </c>
      <c r="AQ26" s="126" t="n">
        <v>0</v>
      </c>
      <c r="AR26" s="126" t="n">
        <v>0</v>
      </c>
      <c r="AS26" s="126" t="n">
        <v>0</v>
      </c>
      <c r="AT26" s="126" t="n">
        <v>0</v>
      </c>
      <c r="AU26" s="126" t="n">
        <v>0</v>
      </c>
      <c r="AV26" s="126" t="n">
        <v>0</v>
      </c>
      <c r="AW26" s="119" t="inlineStr">
        <is>
          <t>✓ Clean</t>
        </is>
      </c>
      <c r="AX26" s="127" t="n">
        <v>23.4</v>
      </c>
      <c r="AY26" s="119" t="inlineStr">
        <is>
          <t>🟢 LOW RISK</t>
        </is>
      </c>
      <c r="AZ26" s="127" t="n">
        <v>0</v>
      </c>
      <c r="BA26" s="124" t="inlineStr">
        <is>
          <t>N/A</t>
        </is>
      </c>
      <c r="BB26" s="124" t="inlineStr">
        <is>
          <t>N/A</t>
        </is>
      </c>
      <c r="BC26" s="124" t="inlineStr">
        <is>
          <t>N/A</t>
        </is>
      </c>
      <c r="BD26" s="124" t="inlineStr">
        <is>
          <t>N/A</t>
        </is>
      </c>
      <c r="BE26" s="124" t="inlineStr">
        <is>
          <t>N/A</t>
        </is>
      </c>
      <c r="BF26" s="128" t="n">
        <v>0.191</v>
      </c>
      <c r="BG26" s="126" t="n">
        <v>0.949</v>
      </c>
      <c r="BH26" s="126" t="n">
        <v>0</v>
      </c>
      <c r="BI26" s="125" t="n">
        <v>0.6666666666666666</v>
      </c>
    </row>
    <row r="27" ht="17" customHeight="1">
      <c r="A27" s="117" t="inlineStr">
        <is>
          <t>COR</t>
        </is>
      </c>
      <c r="B27" s="117" t="inlineStr">
        <is>
          <t>CENCORA, INC.</t>
        </is>
      </c>
      <c r="C27" s="118" t="n">
        <v>0.967</v>
      </c>
      <c r="D27" s="118" t="n">
        <v>0.944</v>
      </c>
      <c r="E27" s="118" t="n">
        <v>1.111</v>
      </c>
      <c r="F27" s="118" t="n">
        <v>1.093</v>
      </c>
      <c r="G27" s="118" t="n">
        <v>1.139</v>
      </c>
      <c r="H27" s="118" t="n">
        <v>1.049</v>
      </c>
      <c r="I27" s="118" t="n">
        <v>1</v>
      </c>
      <c r="J27" s="118" t="n">
        <v>-0.03</v>
      </c>
      <c r="K27" s="118" t="n">
        <v>-2.547</v>
      </c>
      <c r="L27" s="119" t="inlineStr">
        <is>
          <t>✓ Lower Risk</t>
        </is>
      </c>
      <c r="M27" s="120" t="n">
        <v>-0.017</v>
      </c>
      <c r="N27" s="120" t="n">
        <v>0.049</v>
      </c>
      <c r="O27" s="120" t="n">
        <v>0.055</v>
      </c>
      <c r="P27" s="120" t="n">
        <v>0.91</v>
      </c>
      <c r="Q27" s="120" t="n">
        <v>-0.002</v>
      </c>
      <c r="R27" s="117" t="n">
        <v>0</v>
      </c>
      <c r="S27" s="118" t="n">
        <v>-5.915</v>
      </c>
      <c r="T27" s="118" t="n">
        <v>0.003</v>
      </c>
      <c r="U27" s="119" t="inlineStr">
        <is>
          <t>✓ Normal</t>
        </is>
      </c>
      <c r="V27" s="117" t="n">
        <v>0</v>
      </c>
      <c r="W27" s="117" t="n">
        <v>0</v>
      </c>
      <c r="X27" s="117" t="n">
        <v>0</v>
      </c>
      <c r="Y27" s="117" t="n">
        <v>1</v>
      </c>
      <c r="Z27" s="117" t="n">
        <v>1</v>
      </c>
      <c r="AA27" s="117" t="n">
        <v>1</v>
      </c>
      <c r="AB27" s="117" t="n">
        <v>3</v>
      </c>
      <c r="AC27" s="121" t="inlineStr">
        <is>
          <t>⚠ WATCH</t>
        </is>
      </c>
      <c r="AD27" s="118" t="n">
        <v>3875120000</v>
      </c>
      <c r="AE27" s="118" t="n">
        <v>-4977293000</v>
      </c>
      <c r="AF27" s="118" t="n">
        <v>1554169000</v>
      </c>
      <c r="AG27" s="118" t="n">
        <v>0.037</v>
      </c>
      <c r="AH27" s="119" t="inlineStr">
        <is>
          <t>✓ Medium Quality</t>
        </is>
      </c>
      <c r="AI27" s="118" t="n">
        <v>0.057</v>
      </c>
      <c r="AJ27" s="120" t="n">
        <v>0.093</v>
      </c>
      <c r="AK27" s="120" t="n">
        <v>0.609</v>
      </c>
      <c r="AL27" s="120" t="n">
        <v>0.012</v>
      </c>
      <c r="AM27" s="124" t="inlineStr">
        <is>
          <t>N/A</t>
        </is>
      </c>
      <c r="AN27" s="118" t="n">
        <v>72.40000000000001</v>
      </c>
      <c r="AO27" s="119" t="inlineStr">
        <is>
          <t>✓ Good</t>
        </is>
      </c>
      <c r="AP27" s="117" t="n">
        <v>0</v>
      </c>
      <c r="AQ27" s="117" t="n">
        <v>0</v>
      </c>
      <c r="AR27" s="117" t="n">
        <v>0</v>
      </c>
      <c r="AS27" s="117" t="n">
        <v>1</v>
      </c>
      <c r="AT27" s="117" t="n">
        <v>0</v>
      </c>
      <c r="AU27" s="117" t="n">
        <v>0</v>
      </c>
      <c r="AV27" s="117" t="n">
        <v>1</v>
      </c>
      <c r="AW27" s="119" t="inlineStr">
        <is>
          <t>✓ Clean</t>
        </is>
      </c>
      <c r="AX27" s="118" t="n">
        <v>20.2</v>
      </c>
      <c r="AY27" s="119" t="inlineStr">
        <is>
          <t>🟢 LOW RISK</t>
        </is>
      </c>
      <c r="AZ27" s="118" t="n">
        <v>28.7</v>
      </c>
      <c r="BA27" s="118" t="n">
        <v>29.6</v>
      </c>
      <c r="BB27" s="118" t="n">
        <v>24.1</v>
      </c>
      <c r="BC27" s="118" t="n">
        <v>24.4</v>
      </c>
      <c r="BD27" s="118" t="n">
        <v>64.5</v>
      </c>
      <c r="BE27" s="118" t="n">
        <v>65.5</v>
      </c>
      <c r="BF27" s="120" t="n">
        <v>0.306</v>
      </c>
      <c r="BG27" s="117" t="n">
        <v>0.91</v>
      </c>
      <c r="BH27" s="122" t="n">
        <v>4</v>
      </c>
      <c r="BI27" s="123" t="n">
        <v>1</v>
      </c>
    </row>
    <row r="28" ht="17" customHeight="1">
      <c r="A28" s="117" t="inlineStr">
        <is>
          <t>NKE</t>
        </is>
      </c>
      <c r="B28" s="117" t="inlineStr">
        <is>
          <t>NIKE, Inc.</t>
        </is>
      </c>
      <c r="C28" s="118" t="n">
        <v>1.182</v>
      </c>
      <c r="D28" s="118" t="n">
        <v>1.043</v>
      </c>
      <c r="E28" s="118" t="n">
        <v>1.131</v>
      </c>
      <c r="F28" s="118" t="n">
        <v>0.902</v>
      </c>
      <c r="G28" s="118" t="n">
        <v>0.993</v>
      </c>
      <c r="H28" s="118" t="n">
        <v>1.076</v>
      </c>
      <c r="I28" s="118" t="n">
        <v>1</v>
      </c>
      <c r="J28" s="118" t="n">
        <v>-0.013</v>
      </c>
      <c r="K28" s="118" t="n">
        <v>-2.4</v>
      </c>
      <c r="L28" s="119" t="inlineStr">
        <is>
          <t>✓ Lower Risk</t>
        </is>
      </c>
      <c r="M28" s="120" t="n">
        <v>-0.01</v>
      </c>
      <c r="N28" s="120" t="n">
        <v>0.057</v>
      </c>
      <c r="O28" s="120" t="n">
        <v>0.133</v>
      </c>
      <c r="P28" s="120" t="n">
        <v>0.664</v>
      </c>
      <c r="Q28" s="120" t="n">
        <v>-0.062</v>
      </c>
      <c r="R28" s="117" t="n">
        <v>0</v>
      </c>
      <c r="S28" s="118" t="n">
        <v>-6.257</v>
      </c>
      <c r="T28" s="118" t="n">
        <v>0.002</v>
      </c>
      <c r="U28" s="119" t="inlineStr">
        <is>
          <t>✓ Normal</t>
        </is>
      </c>
      <c r="V28" s="117" t="n">
        <v>1</v>
      </c>
      <c r="W28" s="117" t="n">
        <v>1</v>
      </c>
      <c r="X28" s="117" t="n">
        <v>1</v>
      </c>
      <c r="Y28" s="117" t="n">
        <v>0</v>
      </c>
      <c r="Z28" s="117" t="n">
        <v>0</v>
      </c>
      <c r="AA28" s="117" t="n">
        <v>0</v>
      </c>
      <c r="AB28" s="117" t="n">
        <v>3</v>
      </c>
      <c r="AC28" s="121" t="inlineStr">
        <is>
          <t>⚠ WATCH</t>
        </is>
      </c>
      <c r="AD28" s="118" t="n">
        <v>3698000000</v>
      </c>
      <c r="AE28" s="118" t="n">
        <v>-275000000</v>
      </c>
      <c r="AF28" s="118" t="n">
        <v>3219000000</v>
      </c>
      <c r="AG28" s="118" t="n">
        <v>-0.005</v>
      </c>
      <c r="AH28" s="119" t="inlineStr">
        <is>
          <t>✓ Medium Quality</t>
        </is>
      </c>
      <c r="AI28" s="118" t="n">
        <v>0.066</v>
      </c>
      <c r="AJ28" s="120" t="n">
        <v>-0.098</v>
      </c>
      <c r="AK28" s="120" t="n">
        <v>-0.666</v>
      </c>
      <c r="AL28" s="120" t="n">
        <v>0.08</v>
      </c>
      <c r="AM28" s="124" t="inlineStr">
        <is>
          <t>N/A</t>
        </is>
      </c>
      <c r="AN28" s="118" t="n">
        <v>86</v>
      </c>
      <c r="AO28" s="119" t="inlineStr">
        <is>
          <t>✓ Good</t>
        </is>
      </c>
      <c r="AP28" s="117" t="n">
        <v>1</v>
      </c>
      <c r="AQ28" s="117" t="n">
        <v>1</v>
      </c>
      <c r="AR28" s="117" t="n">
        <v>1</v>
      </c>
      <c r="AS28" s="117" t="n">
        <v>1</v>
      </c>
      <c r="AT28" s="117" t="n">
        <v>0</v>
      </c>
      <c r="AU28" s="117" t="n">
        <v>0</v>
      </c>
      <c r="AV28" s="117" t="n">
        <v>4</v>
      </c>
      <c r="AW28" s="117" t="inlineStr">
        <is>
          <t>⚠⚠ MULTIPLE RED FLAGS</t>
        </is>
      </c>
      <c r="AX28" s="118" t="n">
        <v>21.7</v>
      </c>
      <c r="AY28" s="119" t="inlineStr">
        <is>
          <t>🟢 LOW RISK</t>
        </is>
      </c>
      <c r="AZ28" s="118" t="n">
        <v>37.2</v>
      </c>
      <c r="BA28" s="118" t="n">
        <v>31.5</v>
      </c>
      <c r="BB28" s="118" t="n">
        <v>37.4</v>
      </c>
      <c r="BC28" s="118" t="n">
        <v>26.2</v>
      </c>
      <c r="BD28" s="118" t="n">
        <v>47.9</v>
      </c>
      <c r="BE28" s="118" t="n">
        <v>36.5</v>
      </c>
      <c r="BF28" s="120" t="n">
        <v>0.171</v>
      </c>
      <c r="BG28" s="117" t="n">
        <v>0.664</v>
      </c>
      <c r="BH28" s="122" t="n">
        <v>7</v>
      </c>
      <c r="BI28" s="123" t="n">
        <v>1</v>
      </c>
    </row>
    <row r="29" ht="17" customHeight="1">
      <c r="A29" s="117" t="inlineStr">
        <is>
          <t>ELS</t>
        </is>
      </c>
      <c r="B29" s="117" t="inlineStr">
        <is>
          <t>EQUITY LIFESTYLE PROPERTIES, INC.</t>
        </is>
      </c>
      <c r="C29" s="118" t="n">
        <v>1.041</v>
      </c>
      <c r="D29" s="118" t="n">
        <v>1.033</v>
      </c>
      <c r="E29" s="118" t="n">
        <v>0.978</v>
      </c>
      <c r="F29" s="118" t="n">
        <v>1.003</v>
      </c>
      <c r="G29" s="118" t="n">
        <v>1.265</v>
      </c>
      <c r="H29" s="118" t="n">
        <v>0.971</v>
      </c>
      <c r="I29" s="118" t="n">
        <v>1.011</v>
      </c>
      <c r="J29" s="118" t="n">
        <v>-0.029</v>
      </c>
      <c r="K29" s="118" t="n">
        <v>-2.537</v>
      </c>
      <c r="L29" s="119" t="inlineStr">
        <is>
          <t>✓ Lower Risk</t>
        </is>
      </c>
      <c r="M29" s="124" t="inlineStr">
        <is>
          <t>N/A</t>
        </is>
      </c>
      <c r="N29" s="120" t="n">
        <v>0.01</v>
      </c>
      <c r="O29" s="124" t="inlineStr">
        <is>
          <t>N/A</t>
        </is>
      </c>
      <c r="P29" s="120" t="n">
        <v>0.929</v>
      </c>
      <c r="Q29" s="120" t="n">
        <v>0.002</v>
      </c>
      <c r="R29" s="117" t="n">
        <v>1</v>
      </c>
      <c r="S29" s="124" t="inlineStr">
        <is>
          <t>N/A</t>
        </is>
      </c>
      <c r="T29" s="124" t="inlineStr">
        <is>
          <t>N/A</t>
        </is>
      </c>
      <c r="U29" s="124" t="inlineStr">
        <is>
          <t>N/A</t>
        </is>
      </c>
      <c r="V29" s="117" t="n">
        <v>1</v>
      </c>
      <c r="W29" s="117" t="n">
        <v>1</v>
      </c>
      <c r="X29" s="117" t="n">
        <v>0</v>
      </c>
      <c r="Y29" s="117" t="n">
        <v>0</v>
      </c>
      <c r="Z29" s="117" t="n">
        <v>0</v>
      </c>
      <c r="AA29" s="117" t="n">
        <v>0</v>
      </c>
      <c r="AB29" s="117" t="n">
        <v>2</v>
      </c>
      <c r="AC29" s="121" t="inlineStr">
        <is>
          <t>⚠ WATCH</t>
        </is>
      </c>
      <c r="AD29" s="118" t="n">
        <v>571148000</v>
      </c>
      <c r="AE29" s="118" t="n">
        <v>-277083000</v>
      </c>
      <c r="AF29" s="118" t="n">
        <v>402061000</v>
      </c>
      <c r="AG29" s="118" t="n">
        <v>0.019</v>
      </c>
      <c r="AH29" s="119" t="inlineStr">
        <is>
          <t>✓ Medium Quality</t>
        </is>
      </c>
      <c r="AI29" s="118" t="n">
        <v>0.044</v>
      </c>
      <c r="AJ29" s="120" t="n">
        <v>0.003</v>
      </c>
      <c r="AK29" s="120" t="n">
        <v>12.92</v>
      </c>
      <c r="AL29" s="120" t="n">
        <v>0.373</v>
      </c>
      <c r="AM29" s="120" t="n">
        <v>0.003</v>
      </c>
      <c r="AN29" s="118" t="n">
        <v>70.09999999999999</v>
      </c>
      <c r="AO29" s="119" t="inlineStr">
        <is>
          <t>✓ Good</t>
        </is>
      </c>
      <c r="AP29" s="117" t="n">
        <v>0</v>
      </c>
      <c r="AQ29" s="117" t="n">
        <v>0</v>
      </c>
      <c r="AR29" s="117" t="n">
        <v>1</v>
      </c>
      <c r="AS29" s="117" t="n">
        <v>0</v>
      </c>
      <c r="AT29" s="117" t="n">
        <v>0</v>
      </c>
      <c r="AU29" s="117" t="n">
        <v>0</v>
      </c>
      <c r="AV29" s="117" t="n">
        <v>1</v>
      </c>
      <c r="AW29" s="119" t="inlineStr">
        <is>
          <t>✓ Clean</t>
        </is>
      </c>
      <c r="AX29" s="118" t="n">
        <v>23.8</v>
      </c>
      <c r="AY29" s="119" t="inlineStr">
        <is>
          <t>🟢 LOW RISK</t>
        </is>
      </c>
      <c r="AZ29" s="118" t="n">
        <v>0.3</v>
      </c>
      <c r="BA29" s="118" t="n">
        <v>0.3</v>
      </c>
      <c r="BB29" s="118" t="n">
        <v>0.4</v>
      </c>
      <c r="BC29" s="124" t="inlineStr">
        <is>
          <t>N/A</t>
        </is>
      </c>
      <c r="BD29" s="124" t="inlineStr">
        <is>
          <t>N/A</t>
        </is>
      </c>
      <c r="BE29" s="124" t="inlineStr">
        <is>
          <t>N/A</t>
        </is>
      </c>
      <c r="BF29" s="124" t="inlineStr">
        <is>
          <t>N/A</t>
        </is>
      </c>
      <c r="BG29" s="117" t="n">
        <v>0.929</v>
      </c>
      <c r="BH29" s="122" t="n">
        <v>4</v>
      </c>
      <c r="BI29" s="123" t="n">
        <v>0.8333333333333334</v>
      </c>
    </row>
    <row r="30" ht="17" customHeight="1">
      <c r="A30" s="117" t="inlineStr">
        <is>
          <t>IVZ</t>
        </is>
      </c>
      <c r="B30" s="117" t="inlineStr">
        <is>
          <t>Invesco Ltd.</t>
        </is>
      </c>
      <c r="C30" s="118" t="n">
        <v>1.028</v>
      </c>
      <c r="D30" s="118" t="n">
        <v>0.044</v>
      </c>
      <c r="E30" s="118" t="n">
        <v>1.002</v>
      </c>
      <c r="F30" s="118" t="n">
        <v>1.03</v>
      </c>
      <c r="G30" s="118" t="n">
        <v>0.9350000000000001</v>
      </c>
      <c r="H30" s="118" t="n">
        <v>0.9409999999999999</v>
      </c>
      <c r="I30" s="118" t="n">
        <v>1.239</v>
      </c>
      <c r="J30" s="118" t="n">
        <v>-0.036</v>
      </c>
      <c r="K30" s="118" t="n">
        <v>-3.177</v>
      </c>
      <c r="L30" s="119" t="inlineStr">
        <is>
          <t>✓ Lower Risk</t>
        </is>
      </c>
      <c r="M30" s="120" t="n">
        <v>0.005</v>
      </c>
      <c r="N30" s="120" t="n">
        <v>0.163</v>
      </c>
      <c r="O30" s="124" t="inlineStr">
        <is>
          <t>N/A</t>
        </is>
      </c>
      <c r="P30" s="120" t="n">
        <v>0.948</v>
      </c>
      <c r="Q30" s="120" t="n">
        <v>0.032</v>
      </c>
      <c r="R30" s="117" t="n">
        <v>0</v>
      </c>
      <c r="S30" s="118" t="n">
        <v>-5.619</v>
      </c>
      <c r="T30" s="118" t="n">
        <v>0.004</v>
      </c>
      <c r="U30" s="119" t="inlineStr">
        <is>
          <t>✓ Normal</t>
        </is>
      </c>
      <c r="V30" s="117" t="n">
        <v>1</v>
      </c>
      <c r="W30" s="117" t="n">
        <v>1</v>
      </c>
      <c r="X30" s="117" t="n">
        <v>0</v>
      </c>
      <c r="Y30" s="117" t="n">
        <v>0</v>
      </c>
      <c r="Z30" s="117" t="n">
        <v>1</v>
      </c>
      <c r="AA30" s="117" t="n">
        <v>0</v>
      </c>
      <c r="AB30" s="117" t="n">
        <v>3</v>
      </c>
      <c r="AC30" s="121" t="inlineStr">
        <is>
          <t>⚠ WATCH</t>
        </is>
      </c>
      <c r="AD30" s="118" t="n">
        <v>1525300000</v>
      </c>
      <c r="AE30" s="118" t="n">
        <v>-974400000</v>
      </c>
      <c r="AF30" s="118" t="n">
        <v>538000000</v>
      </c>
      <c r="AG30" s="118" t="n">
        <v>-0</v>
      </c>
      <c r="AH30" s="119" t="inlineStr">
        <is>
          <t>✓ Medium Quality</t>
        </is>
      </c>
      <c r="AI30" s="118" t="n">
        <v>0.059</v>
      </c>
      <c r="AJ30" s="120" t="n">
        <v>0.03</v>
      </c>
      <c r="AK30" s="120" t="n">
        <v>1.976</v>
      </c>
      <c r="AL30" s="120" t="n">
        <v>0.287</v>
      </c>
      <c r="AM30" s="120" t="n">
        <v>-0.005</v>
      </c>
      <c r="AN30" s="118" t="n">
        <v>70.40000000000001</v>
      </c>
      <c r="AO30" s="119" t="inlineStr">
        <is>
          <t>✓ Good</t>
        </is>
      </c>
      <c r="AP30" s="117" t="n">
        <v>0</v>
      </c>
      <c r="AQ30" s="117" t="n">
        <v>0</v>
      </c>
      <c r="AR30" s="117" t="n">
        <v>1</v>
      </c>
      <c r="AS30" s="117" t="n">
        <v>0</v>
      </c>
      <c r="AT30" s="117" t="n">
        <v>0</v>
      </c>
      <c r="AU30" s="117" t="n">
        <v>0</v>
      </c>
      <c r="AV30" s="117" t="n">
        <v>1</v>
      </c>
      <c r="AW30" s="119" t="inlineStr">
        <is>
          <t>✓ Clean</t>
        </is>
      </c>
      <c r="AX30" s="118" t="n">
        <v>17.9</v>
      </c>
      <c r="AY30" s="119" t="inlineStr">
        <is>
          <t>🟢 VERY LOW RISK</t>
        </is>
      </c>
      <c r="AZ30" s="118" t="n">
        <v>30.9</v>
      </c>
      <c r="BA30" s="118" t="n">
        <v>30</v>
      </c>
      <c r="BB30" s="124" t="inlineStr">
        <is>
          <t>N/A</t>
        </is>
      </c>
      <c r="BC30" s="124" t="inlineStr">
        <is>
          <t>N/A</t>
        </is>
      </c>
      <c r="BD30" s="118" t="n">
        <v>14.9</v>
      </c>
      <c r="BE30" s="118" t="n">
        <v>19</v>
      </c>
      <c r="BF30" s="120" t="n">
        <v>0.539</v>
      </c>
      <c r="BG30" s="117" t="n">
        <v>0.948</v>
      </c>
      <c r="BH30" s="122" t="n">
        <v>4</v>
      </c>
      <c r="BI30" s="123" t="n">
        <v>1</v>
      </c>
    </row>
    <row r="31" ht="17" customHeight="1">
      <c r="A31" s="117" t="inlineStr">
        <is>
          <t>AMP</t>
        </is>
      </c>
      <c r="B31" s="117" t="inlineStr">
        <is>
          <t>AMERIPRISE FINANCIAL INC</t>
        </is>
      </c>
      <c r="C31" s="118" t="n">
        <v>1.008</v>
      </c>
      <c r="D31" s="124" t="inlineStr">
        <is>
          <t>N/A</t>
        </is>
      </c>
      <c r="E31" s="118" t="n">
        <v>1</v>
      </c>
      <c r="F31" s="118" t="n">
        <v>1</v>
      </c>
      <c r="G31" s="118" t="n">
        <v>1</v>
      </c>
      <c r="H31" s="118" t="n">
        <v>1</v>
      </c>
      <c r="I31" s="118" t="n">
        <v>1</v>
      </c>
      <c r="J31" s="118" t="n">
        <v>-0.025</v>
      </c>
      <c r="K31" s="124" t="inlineStr">
        <is>
          <t>N/A</t>
        </is>
      </c>
      <c r="L31" s="124" t="inlineStr">
        <is>
          <t>N/A</t>
        </is>
      </c>
      <c r="M31" s="124" t="inlineStr">
        <is>
          <t>N/A</t>
        </is>
      </c>
      <c r="N31" s="120" t="n">
        <v>3000000000</v>
      </c>
      <c r="O31" s="124" t="inlineStr">
        <is>
          <t>N/A</t>
        </is>
      </c>
      <c r="P31" s="120" t="n">
        <v>0.984</v>
      </c>
      <c r="Q31" s="120" t="n">
        <v>0</v>
      </c>
      <c r="R31" s="117" t="n">
        <v>0</v>
      </c>
      <c r="S31" s="124" t="inlineStr">
        <is>
          <t>N/A</t>
        </is>
      </c>
      <c r="T31" s="124" t="inlineStr">
        <is>
          <t>N/A</t>
        </is>
      </c>
      <c r="U31" s="124" t="inlineStr">
        <is>
          <t>N/A</t>
        </is>
      </c>
      <c r="V31" s="117" t="n">
        <v>0</v>
      </c>
      <c r="W31" s="117" t="n">
        <v>1</v>
      </c>
      <c r="X31" s="117" t="n">
        <v>0</v>
      </c>
      <c r="Y31" s="117" t="n">
        <v>0</v>
      </c>
      <c r="Z31" s="117" t="n">
        <v>0</v>
      </c>
      <c r="AA31" s="117" t="n">
        <v>0</v>
      </c>
      <c r="AB31" s="117" t="n">
        <v>1</v>
      </c>
      <c r="AC31" s="119" t="inlineStr">
        <is>
          <t>✓ Clean</t>
        </is>
      </c>
      <c r="AD31" s="118" t="n">
        <v>8323000000</v>
      </c>
      <c r="AE31" s="118" t="n">
        <v>-1528000000</v>
      </c>
      <c r="AF31" s="118" t="n">
        <v>3563000000</v>
      </c>
      <c r="AG31" s="118" t="n">
        <v>-0.017</v>
      </c>
      <c r="AH31" s="119" t="inlineStr">
        <is>
          <t>✓ Medium Quality</t>
        </is>
      </c>
      <c r="AI31" s="118" t="n">
        <v>0.007</v>
      </c>
      <c r="AJ31" s="120" t="n">
        <v>0</v>
      </c>
      <c r="AK31" s="124" t="inlineStr">
        <is>
          <t>N/A</t>
        </is>
      </c>
      <c r="AL31" s="120" t="n">
        <v>0.44</v>
      </c>
      <c r="AM31" s="124" t="inlineStr">
        <is>
          <t>N/A</t>
        </is>
      </c>
      <c r="AN31" s="117" t="n">
        <v>100</v>
      </c>
      <c r="AO31" s="119" t="inlineStr">
        <is>
          <t>✓ Good</t>
        </is>
      </c>
      <c r="AP31" s="117" t="n">
        <v>0</v>
      </c>
      <c r="AQ31" s="117" t="n">
        <v>1</v>
      </c>
      <c r="AR31" s="117" t="n">
        <v>0</v>
      </c>
      <c r="AS31" s="117" t="n">
        <v>0</v>
      </c>
      <c r="AT31" s="117" t="n">
        <v>0</v>
      </c>
      <c r="AU31" s="117" t="n">
        <v>0</v>
      </c>
      <c r="AV31" s="117" t="n">
        <v>1</v>
      </c>
      <c r="AW31" s="119" t="inlineStr">
        <is>
          <t>✓ Clean</t>
        </is>
      </c>
      <c r="AX31" s="118" t="n">
        <v>26.5</v>
      </c>
      <c r="AY31" s="119" t="inlineStr">
        <is>
          <t>🟢 LOW RISK</t>
        </is>
      </c>
      <c r="AZ31" s="118" t="n">
        <v>7.8</v>
      </c>
      <c r="BA31" s="118" t="n">
        <v>7.7</v>
      </c>
      <c r="BB31" s="124" t="inlineStr">
        <is>
          <t>N/A</t>
        </is>
      </c>
      <c r="BC31" s="124" t="inlineStr">
        <is>
          <t>N/A</t>
        </is>
      </c>
      <c r="BD31" s="124" t="inlineStr">
        <is>
          <t>N/A</t>
        </is>
      </c>
      <c r="BE31" s="124" t="inlineStr">
        <is>
          <t>N/A</t>
        </is>
      </c>
      <c r="BF31" s="120" t="n">
        <v>0.209</v>
      </c>
      <c r="BG31" s="117" t="n">
        <v>0.984</v>
      </c>
      <c r="BH31" s="122" t="n">
        <v>2</v>
      </c>
      <c r="BI31" s="125" t="n">
        <v>0.6666666666666666</v>
      </c>
    </row>
    <row r="32" ht="17" customHeight="1">
      <c r="A32" s="117" t="inlineStr">
        <is>
          <t>ZBH</t>
        </is>
      </c>
      <c r="B32" s="117" t="inlineStr">
        <is>
          <t>ZIMMER BIOMET HOLDINGS, INC.</t>
        </is>
      </c>
      <c r="C32" s="118" t="n">
        <v>1.074</v>
      </c>
      <c r="D32" s="118" t="n">
        <v>1.009</v>
      </c>
      <c r="E32" s="118" t="n">
        <v>0.996</v>
      </c>
      <c r="F32" s="118" t="n">
        <v>1.072</v>
      </c>
      <c r="G32" s="118" t="n">
        <v>0.987</v>
      </c>
      <c r="H32" s="118" t="n">
        <v>1.037</v>
      </c>
      <c r="I32" s="118" t="n">
        <v>1.081</v>
      </c>
      <c r="J32" s="118" t="n">
        <v>-0.043</v>
      </c>
      <c r="K32" s="118" t="n">
        <v>-2.58</v>
      </c>
      <c r="L32" s="119" t="inlineStr">
        <is>
          <t>✓ Lower Risk</t>
        </is>
      </c>
      <c r="M32" s="120" t="n">
        <v>-0.037</v>
      </c>
      <c r="N32" s="120" t="n">
        <v>0.405</v>
      </c>
      <c r="O32" s="120" t="n">
        <v>0.092</v>
      </c>
      <c r="P32" s="120" t="n">
        <v>0.879</v>
      </c>
      <c r="Q32" s="120" t="n">
        <v>-0.012</v>
      </c>
      <c r="R32" s="117" t="n">
        <v>1</v>
      </c>
      <c r="S32" s="118" t="n">
        <v>-1.975</v>
      </c>
      <c r="T32" s="118" t="n">
        <v>0.122</v>
      </c>
      <c r="U32" s="121" t="inlineStr">
        <is>
          <t>⚠ HIGH RISK</t>
        </is>
      </c>
      <c r="V32" s="117" t="n">
        <v>0</v>
      </c>
      <c r="W32" s="117" t="n">
        <v>1</v>
      </c>
      <c r="X32" s="117" t="n">
        <v>0</v>
      </c>
      <c r="Y32" s="117" t="n">
        <v>0</v>
      </c>
      <c r="Z32" s="117" t="n">
        <v>0</v>
      </c>
      <c r="AA32" s="117" t="n">
        <v>0</v>
      </c>
      <c r="AB32" s="117" t="n">
        <v>1</v>
      </c>
      <c r="AC32" s="119" t="inlineStr">
        <is>
          <t>✓ Clean</t>
        </is>
      </c>
      <c r="AD32" s="118" t="n">
        <v>1697100000</v>
      </c>
      <c r="AE32" s="118" t="n">
        <v>-1975700000</v>
      </c>
      <c r="AF32" s="118" t="n">
        <v>705100000</v>
      </c>
      <c r="AG32" s="118" t="n">
        <v>0.044</v>
      </c>
      <c r="AH32" s="119" t="inlineStr">
        <is>
          <t>✓ Medium Quality</t>
        </is>
      </c>
      <c r="AI32" s="118" t="n">
        <v>0.151</v>
      </c>
      <c r="AJ32" s="120" t="n">
        <v>0.07199999999999999</v>
      </c>
      <c r="AK32" s="120" t="n">
        <v>2.098</v>
      </c>
      <c r="AL32" s="120" t="n">
        <v>0.206</v>
      </c>
      <c r="AM32" s="120" t="n">
        <v>0</v>
      </c>
      <c r="AN32" s="118" t="n">
        <v>70</v>
      </c>
      <c r="AO32" s="119" t="inlineStr">
        <is>
          <t>✓ Good</t>
        </is>
      </c>
      <c r="AP32" s="117" t="n">
        <v>0</v>
      </c>
      <c r="AQ32" s="117" t="n">
        <v>0</v>
      </c>
      <c r="AR32" s="117" t="n">
        <v>1</v>
      </c>
      <c r="AS32" s="117" t="n">
        <v>1</v>
      </c>
      <c r="AT32" s="117" t="n">
        <v>1</v>
      </c>
      <c r="AU32" s="117" t="n">
        <v>0</v>
      </c>
      <c r="AV32" s="117" t="n">
        <v>3</v>
      </c>
      <c r="AW32" s="121" t="inlineStr">
        <is>
          <t>⚠ WATCH</t>
        </is>
      </c>
      <c r="AX32" s="118" t="n">
        <v>33.3</v>
      </c>
      <c r="AY32" s="119" t="inlineStr">
        <is>
          <t>🟢 LOW RISK</t>
        </is>
      </c>
      <c r="AZ32" s="118" t="n">
        <v>75.59999999999999</v>
      </c>
      <c r="BA32" s="118" t="n">
        <v>70.40000000000001</v>
      </c>
      <c r="BB32" s="118" t="n">
        <v>334.7</v>
      </c>
      <c r="BC32" s="118" t="n">
        <v>372.3</v>
      </c>
      <c r="BD32" s="118" t="n">
        <v>44.3</v>
      </c>
      <c r="BE32" s="118" t="n">
        <v>32.4</v>
      </c>
      <c r="BF32" s="120" t="n">
        <v>0.151</v>
      </c>
      <c r="BG32" s="117" t="n">
        <v>0.879</v>
      </c>
      <c r="BH32" s="122" t="n">
        <v>5</v>
      </c>
      <c r="BI32" s="123" t="n">
        <v>1</v>
      </c>
    </row>
    <row r="33" ht="17" customHeight="1">
      <c r="A33" s="117" t="inlineStr">
        <is>
          <t>CEVA</t>
        </is>
      </c>
      <c r="B33" s="117" t="inlineStr">
        <is>
          <t>Ceva, Inc.</t>
        </is>
      </c>
      <c r="C33" s="118" t="n">
        <v>1.101</v>
      </c>
      <c r="D33" s="118" t="n">
        <v>1.188</v>
      </c>
      <c r="E33" s="118" t="n">
        <v>0.894</v>
      </c>
      <c r="F33" s="118" t="n">
        <v>1.204</v>
      </c>
      <c r="G33" s="118" t="n">
        <v>0.9370000000000001</v>
      </c>
      <c r="H33" s="118" t="n">
        <v>0.89</v>
      </c>
      <c r="I33" s="118" t="n">
        <v>1</v>
      </c>
      <c r="J33" s="118" t="n">
        <v>-0.019</v>
      </c>
      <c r="K33" s="118" t="n">
        <v>-2.224</v>
      </c>
      <c r="L33" s="119" t="inlineStr">
        <is>
          <t>✓ Lower Risk</t>
        </is>
      </c>
      <c r="M33" s="120" t="n">
        <v>0.115</v>
      </c>
      <c r="N33" s="120" t="n">
        <v>0.8179999999999999</v>
      </c>
      <c r="O33" s="120" t="n">
        <v>-0.001</v>
      </c>
      <c r="P33" s="120" t="n">
        <v>0.877</v>
      </c>
      <c r="Q33" s="120" t="n">
        <v>0.001</v>
      </c>
      <c r="R33" s="117" t="n">
        <v>1</v>
      </c>
      <c r="S33" s="118" t="n">
        <v>-0.9340000000000001</v>
      </c>
      <c r="T33" s="118" t="n">
        <v>0.282</v>
      </c>
      <c r="U33" s="121" t="inlineStr">
        <is>
          <t>⚠ HIGH RISK</t>
        </is>
      </c>
      <c r="V33" s="117" t="n">
        <v>1</v>
      </c>
      <c r="W33" s="117" t="n">
        <v>1</v>
      </c>
      <c r="X33" s="117" t="n">
        <v>0</v>
      </c>
      <c r="Y33" s="117" t="n">
        <v>1</v>
      </c>
      <c r="Z33" s="117" t="n">
        <v>1</v>
      </c>
      <c r="AA33" s="117" t="n">
        <v>1</v>
      </c>
      <c r="AB33" s="117" t="n">
        <v>5</v>
      </c>
      <c r="AC33" s="121" t="inlineStr">
        <is>
          <t>⚠⚠ SERIOUS CONCERN</t>
        </is>
      </c>
      <c r="AD33" s="118" t="n">
        <v>-3356000</v>
      </c>
      <c r="AE33" s="118" t="n">
        <v>-33998000</v>
      </c>
      <c r="AF33" s="118" t="n">
        <v>-10638000</v>
      </c>
      <c r="AG33" s="118" t="n">
        <v>0.077</v>
      </c>
      <c r="AH33" s="119" t="inlineStr">
        <is>
          <t>✓ Medium Quality</t>
        </is>
      </c>
      <c r="AI33" s="118" t="n">
        <v>0.326</v>
      </c>
      <c r="AJ33" s="120" t="n">
        <v>0.204</v>
      </c>
      <c r="AK33" s="120" t="n">
        <v>1.597</v>
      </c>
      <c r="AL33" s="120" t="n">
        <v>-0.038</v>
      </c>
      <c r="AM33" s="120" t="n">
        <v>-0.021</v>
      </c>
      <c r="AN33" s="118" t="n">
        <v>51</v>
      </c>
      <c r="AO33" s="121" t="inlineStr">
        <is>
          <t>⚠ WATCH</t>
        </is>
      </c>
      <c r="AP33" s="117" t="n">
        <v>0</v>
      </c>
      <c r="AQ33" s="117" t="n">
        <v>0</v>
      </c>
      <c r="AR33" s="117" t="n">
        <v>1</v>
      </c>
      <c r="AS33" s="117" t="n">
        <v>0</v>
      </c>
      <c r="AT33" s="117" t="n">
        <v>1</v>
      </c>
      <c r="AU33" s="117" t="n">
        <v>0</v>
      </c>
      <c r="AV33" s="117" t="n">
        <v>2</v>
      </c>
      <c r="AW33" s="121" t="inlineStr">
        <is>
          <t>⚠ WATCH</t>
        </is>
      </c>
      <c r="AX33" s="118" t="n">
        <v>60.2</v>
      </c>
      <c r="AY33" s="121" t="inlineStr">
        <is>
          <t>🟡 ELEVATED RISK</t>
        </is>
      </c>
      <c r="AZ33" s="118" t="n">
        <v>205.9</v>
      </c>
      <c r="BA33" s="118" t="n">
        <v>186.9</v>
      </c>
      <c r="BB33" s="118" t="n">
        <v>7</v>
      </c>
      <c r="BC33" s="118" t="n">
        <v>8.1</v>
      </c>
      <c r="BD33" s="118" t="n">
        <v>76.2</v>
      </c>
      <c r="BE33" s="118" t="n">
        <v>99</v>
      </c>
      <c r="BF33" s="120" t="n">
        <v>-1.268</v>
      </c>
      <c r="BG33" s="117" t="n">
        <v>0.877</v>
      </c>
      <c r="BH33" s="122" t="n">
        <v>8</v>
      </c>
      <c r="BI33" s="123" t="n">
        <v>1</v>
      </c>
    </row>
    <row r="34" ht="17" customHeight="1">
      <c r="A34" s="117" t="inlineStr">
        <is>
          <t>EHC</t>
        </is>
      </c>
      <c r="B34" s="117" t="inlineStr">
        <is>
          <t>Encompass Health Corporation</t>
        </is>
      </c>
      <c r="C34" s="118" t="n">
        <v>0.9360000000000001</v>
      </c>
      <c r="D34" s="124" t="inlineStr">
        <is>
          <t>N/A</t>
        </is>
      </c>
      <c r="E34" s="118" t="n">
        <v>0.97</v>
      </c>
      <c r="F34" s="118" t="n">
        <v>1.105</v>
      </c>
      <c r="G34" s="118" t="n">
        <v>1.08</v>
      </c>
      <c r="H34" s="118" t="n">
        <v>1.022</v>
      </c>
      <c r="I34" s="118" t="n">
        <v>0.954</v>
      </c>
      <c r="J34" s="118" t="n">
        <v>-0.02</v>
      </c>
      <c r="K34" s="124" t="inlineStr">
        <is>
          <t>N/A</t>
        </is>
      </c>
      <c r="L34" s="124" t="inlineStr">
        <is>
          <t>N/A</t>
        </is>
      </c>
      <c r="M34" s="120" t="n">
        <v>-0.041</v>
      </c>
      <c r="N34" s="120" t="n">
        <v>0.036</v>
      </c>
      <c r="O34" s="124" t="inlineStr">
        <is>
          <t>N/A</t>
        </is>
      </c>
      <c r="P34" s="120" t="n">
        <v>0.713</v>
      </c>
      <c r="Q34" s="120" t="n">
        <v>0.01</v>
      </c>
      <c r="R34" s="117" t="n">
        <v>0</v>
      </c>
      <c r="S34" s="118" t="n">
        <v>-6.427</v>
      </c>
      <c r="T34" s="118" t="n">
        <v>0.002</v>
      </c>
      <c r="U34" s="119" t="inlineStr">
        <is>
          <t>✓ Normal</t>
        </is>
      </c>
      <c r="V34" s="117" t="n">
        <v>1</v>
      </c>
      <c r="W34" s="117" t="n">
        <v>0</v>
      </c>
      <c r="X34" s="117" t="n">
        <v>0</v>
      </c>
      <c r="Y34" s="117" t="n">
        <v>1</v>
      </c>
      <c r="Z34" s="117" t="n">
        <v>0</v>
      </c>
      <c r="AA34" s="117" t="n">
        <v>0</v>
      </c>
      <c r="AB34" s="117" t="n">
        <v>2</v>
      </c>
      <c r="AC34" s="121" t="inlineStr">
        <is>
          <t>⚠ WATCH</t>
        </is>
      </c>
      <c r="AD34" s="118" t="n">
        <v>705800000</v>
      </c>
      <c r="AE34" s="118" t="n">
        <v>-764600000</v>
      </c>
      <c r="AF34" s="118" t="n">
        <v>566200000</v>
      </c>
      <c r="AG34" s="118" t="n">
        <v>0.092</v>
      </c>
      <c r="AH34" s="119" t="inlineStr">
        <is>
          <t>✓ Medium Quality</t>
        </is>
      </c>
      <c r="AI34" s="118" t="n">
        <v>0.034</v>
      </c>
      <c r="AJ34" s="120" t="n">
        <v>0.105</v>
      </c>
      <c r="AK34" s="120" t="n">
        <v>0.329</v>
      </c>
      <c r="AL34" s="120" t="n">
        <v>0.119</v>
      </c>
      <c r="AM34" s="124" t="inlineStr">
        <is>
          <t>N/A</t>
        </is>
      </c>
      <c r="AN34" s="118" t="n">
        <v>93.8</v>
      </c>
      <c r="AO34" s="119" t="inlineStr">
        <is>
          <t>✓ Good</t>
        </is>
      </c>
      <c r="AP34" s="117" t="n">
        <v>0</v>
      </c>
      <c r="AQ34" s="117" t="n">
        <v>0</v>
      </c>
      <c r="AR34" s="117" t="n">
        <v>0</v>
      </c>
      <c r="AS34" s="117" t="n">
        <v>1</v>
      </c>
      <c r="AT34" s="117" t="n">
        <v>0</v>
      </c>
      <c r="AU34" s="117" t="n">
        <v>0</v>
      </c>
      <c r="AV34" s="117" t="n">
        <v>1</v>
      </c>
      <c r="AW34" s="119" t="inlineStr">
        <is>
          <t>✓ Clean</t>
        </is>
      </c>
      <c r="AX34" s="118" t="n">
        <v>24.4</v>
      </c>
      <c r="AY34" s="119" t="inlineStr">
        <is>
          <t>🟢 LOW RISK</t>
        </is>
      </c>
      <c r="AZ34" s="118" t="n">
        <v>37.7</v>
      </c>
      <c r="BA34" s="118" t="n">
        <v>40.3</v>
      </c>
      <c r="BB34" s="124" t="inlineStr">
        <is>
          <t>N/A</t>
        </is>
      </c>
      <c r="BC34" s="124" t="inlineStr">
        <is>
          <t>N/A</t>
        </is>
      </c>
      <c r="BD34" s="124" t="inlineStr">
        <is>
          <t>N/A</t>
        </is>
      </c>
      <c r="BE34" s="124" t="inlineStr">
        <is>
          <t>N/A</t>
        </is>
      </c>
      <c r="BF34" s="120" t="n">
        <v>0.202</v>
      </c>
      <c r="BG34" s="117" t="n">
        <v>0.713</v>
      </c>
      <c r="BH34" s="122" t="n">
        <v>3</v>
      </c>
      <c r="BI34" s="123" t="n">
        <v>0.8333333333333334</v>
      </c>
    </row>
    <row r="35" ht="17" customHeight="1">
      <c r="A35" s="117" t="inlineStr">
        <is>
          <t>TOL</t>
        </is>
      </c>
      <c r="B35" s="117" t="inlineStr">
        <is>
          <t>Toll Brothers, Inc.</t>
        </is>
      </c>
      <c r="C35" s="124" t="inlineStr">
        <is>
          <t>N/A</t>
        </is>
      </c>
      <c r="D35" s="118" t="n">
        <v>0.659</v>
      </c>
      <c r="E35" s="118" t="n">
        <v>1.016</v>
      </c>
      <c r="F35" s="118" t="n">
        <v>0.659</v>
      </c>
      <c r="G35" s="118" t="n">
        <v>0.658</v>
      </c>
      <c r="H35" s="118" t="n">
        <v>1.598</v>
      </c>
      <c r="I35" s="118" t="n">
        <v>1.01</v>
      </c>
      <c r="J35" s="118" t="n">
        <v>0.016</v>
      </c>
      <c r="K35" s="124" t="inlineStr">
        <is>
          <t>N/A</t>
        </is>
      </c>
      <c r="L35" s="124" t="inlineStr">
        <is>
          <t>N/A</t>
        </is>
      </c>
      <c r="M35" s="124" t="inlineStr">
        <is>
          <t>N/A</t>
        </is>
      </c>
      <c r="N35" s="124" t="inlineStr">
        <is>
          <t>N/A</t>
        </is>
      </c>
      <c r="O35" s="124" t="inlineStr">
        <is>
          <t>N/A</t>
        </is>
      </c>
      <c r="P35" s="120" t="n">
        <v>0.894</v>
      </c>
      <c r="Q35" s="120" t="n">
        <v>0.059</v>
      </c>
      <c r="R35" s="117" t="n">
        <v>0</v>
      </c>
      <c r="S35" s="124" t="inlineStr">
        <is>
          <t>N/A</t>
        </is>
      </c>
      <c r="T35" s="124" t="inlineStr">
        <is>
          <t>N/A</t>
        </is>
      </c>
      <c r="U35" s="124" t="inlineStr">
        <is>
          <t>N/A</t>
        </is>
      </c>
      <c r="V35" s="117" t="n">
        <v>1</v>
      </c>
      <c r="W35" s="117" t="n">
        <v>0</v>
      </c>
      <c r="X35" s="117" t="n">
        <v>0</v>
      </c>
      <c r="Y35" s="117" t="n">
        <v>0</v>
      </c>
      <c r="Z35" s="117" t="n">
        <v>1</v>
      </c>
      <c r="AA35" s="117" t="n">
        <v>0</v>
      </c>
      <c r="AB35" s="117" t="n">
        <v>2</v>
      </c>
      <c r="AC35" s="121" t="inlineStr">
        <is>
          <t>⚠ WATCH</t>
        </is>
      </c>
      <c r="AD35" s="118" t="n">
        <v>1112411000</v>
      </c>
      <c r="AE35" s="118" t="n">
        <v>-310033000</v>
      </c>
      <c r="AF35" s="118" t="n">
        <v>1346486000</v>
      </c>
      <c r="AG35" s="118" t="n">
        <v>0.039</v>
      </c>
      <c r="AH35" s="119" t="inlineStr">
        <is>
          <t>✓ Medium Quality</t>
        </is>
      </c>
      <c r="AI35" s="124" t="inlineStr">
        <is>
          <t>N/A</t>
        </is>
      </c>
      <c r="AJ35" s="120" t="n">
        <v>-0.341</v>
      </c>
      <c r="AK35" s="124" t="inlineStr">
        <is>
          <t>N/A</t>
        </is>
      </c>
      <c r="AL35" s="120" t="n">
        <v>0.156</v>
      </c>
      <c r="AM35" s="120" t="n">
        <v>-0</v>
      </c>
      <c r="AN35" s="117" t="n">
        <v>100</v>
      </c>
      <c r="AO35" s="119" t="inlineStr">
        <is>
          <t>✓ Good</t>
        </is>
      </c>
      <c r="AP35" s="117" t="n">
        <v>0</v>
      </c>
      <c r="AQ35" s="117" t="n">
        <v>0</v>
      </c>
      <c r="AR35" s="117" t="n">
        <v>0</v>
      </c>
      <c r="AS35" s="117" t="n">
        <v>1</v>
      </c>
      <c r="AT35" s="117" t="n">
        <v>0</v>
      </c>
      <c r="AU35" s="117" t="n">
        <v>0</v>
      </c>
      <c r="AV35" s="117" t="n">
        <v>1</v>
      </c>
      <c r="AW35" s="119" t="inlineStr">
        <is>
          <t>✓ Clean</t>
        </is>
      </c>
      <c r="AX35" s="118" t="n">
        <v>30.3</v>
      </c>
      <c r="AY35" s="119" t="inlineStr">
        <is>
          <t>🟢 LOW RISK</t>
        </is>
      </c>
      <c r="AZ35" s="118" t="n">
        <v>0</v>
      </c>
      <c r="BA35" s="124" t="inlineStr">
        <is>
          <t>N/A</t>
        </is>
      </c>
      <c r="BB35" s="124" t="inlineStr">
        <is>
          <t>N/A</t>
        </is>
      </c>
      <c r="BC35" s="124" t="inlineStr">
        <is>
          <t>N/A</t>
        </is>
      </c>
      <c r="BD35" s="124" t="inlineStr">
        <is>
          <t>N/A</t>
        </is>
      </c>
      <c r="BE35" s="124" t="inlineStr">
        <is>
          <t>N/A</t>
        </is>
      </c>
      <c r="BF35" s="120" t="n">
        <v>0.248</v>
      </c>
      <c r="BG35" s="117" t="n">
        <v>0.894</v>
      </c>
      <c r="BH35" s="122" t="n">
        <v>3</v>
      </c>
      <c r="BI35" s="125" t="n">
        <v>0.6666666666666666</v>
      </c>
    </row>
    <row r="36" ht="17" customHeight="1">
      <c r="A36" s="117" t="inlineStr">
        <is>
          <t>CLX</t>
        </is>
      </c>
      <c r="B36" s="117" t="inlineStr">
        <is>
          <t>CLOROX CO /DE/</t>
        </is>
      </c>
      <c r="C36" s="118" t="n">
        <v>1.181</v>
      </c>
      <c r="D36" s="118" t="n">
        <v>0.949</v>
      </c>
      <c r="E36" s="118" t="n">
        <v>0.987</v>
      </c>
      <c r="F36" s="118" t="n">
        <v>1</v>
      </c>
      <c r="G36" s="118" t="n">
        <v>0.988</v>
      </c>
      <c r="H36" s="118" t="n">
        <v>0.963</v>
      </c>
      <c r="I36" s="118" t="n">
        <v>0.999</v>
      </c>
      <c r="J36" s="118" t="n">
        <v>-0.031</v>
      </c>
      <c r="K36" s="118" t="n">
        <v>-2.484</v>
      </c>
      <c r="L36" s="119" t="inlineStr">
        <is>
          <t>✓ Lower Risk</t>
        </is>
      </c>
      <c r="M36" s="120" t="n">
        <v>-0.08799999999999999</v>
      </c>
      <c r="N36" s="120" t="n">
        <v>126000000000</v>
      </c>
      <c r="O36" s="120" t="n">
        <v>-114000000000</v>
      </c>
      <c r="P36" s="120" t="n">
        <v>0.742</v>
      </c>
      <c r="Q36" s="120" t="n">
        <v>0.097</v>
      </c>
      <c r="R36" s="117" t="n">
        <v>0</v>
      </c>
      <c r="S36" s="118" t="n">
        <v>181493999993.464</v>
      </c>
      <c r="T36" s="118" t="n">
        <v>1</v>
      </c>
      <c r="U36" s="121" t="inlineStr">
        <is>
          <t>⚠ HIGH RISK</t>
        </is>
      </c>
      <c r="V36" s="117" t="n">
        <v>1</v>
      </c>
      <c r="W36" s="117" t="n">
        <v>1</v>
      </c>
      <c r="X36" s="117" t="n">
        <v>0</v>
      </c>
      <c r="Y36" s="117" t="n">
        <v>1</v>
      </c>
      <c r="Z36" s="117" t="n">
        <v>0</v>
      </c>
      <c r="AA36" s="117" t="n">
        <v>0</v>
      </c>
      <c r="AB36" s="117" t="n">
        <v>3</v>
      </c>
      <c r="AC36" s="121" t="inlineStr">
        <is>
          <t>⚠ WATCH</t>
        </is>
      </c>
      <c r="AD36" s="118" t="n">
        <v>981000000</v>
      </c>
      <c r="AE36" s="118" t="n">
        <v>-94000000</v>
      </c>
      <c r="AF36" s="118" t="n">
        <v>810000000</v>
      </c>
      <c r="AG36" s="118" t="n">
        <v>-0.014</v>
      </c>
      <c r="AH36" s="119" t="inlineStr">
        <is>
          <t>✓ Medium Quality</t>
        </is>
      </c>
      <c r="AI36" s="118" t="n">
        <v>0.181</v>
      </c>
      <c r="AJ36" s="120" t="n">
        <v>0</v>
      </c>
      <c r="AK36" s="124" t="inlineStr">
        <is>
          <t>N/A</t>
        </is>
      </c>
      <c r="AL36" s="120" t="n">
        <v>0.16</v>
      </c>
      <c r="AM36" s="124" t="inlineStr">
        <is>
          <t>N/A</t>
        </is>
      </c>
      <c r="AN36" s="117" t="n">
        <v>100</v>
      </c>
      <c r="AO36" s="119" t="inlineStr">
        <is>
          <t>✓ Good</t>
        </is>
      </c>
      <c r="AP36" s="117" t="n">
        <v>0</v>
      </c>
      <c r="AQ36" s="117" t="n">
        <v>1</v>
      </c>
      <c r="AR36" s="117" t="n">
        <v>0</v>
      </c>
      <c r="AS36" s="117" t="n">
        <v>0</v>
      </c>
      <c r="AT36" s="117" t="n">
        <v>0</v>
      </c>
      <c r="AU36" s="117" t="n">
        <v>1</v>
      </c>
      <c r="AV36" s="117" t="n">
        <v>2</v>
      </c>
      <c r="AW36" s="121" t="inlineStr">
        <is>
          <t>⚠ WATCH</t>
        </is>
      </c>
      <c r="AX36" s="118" t="n">
        <v>49</v>
      </c>
      <c r="AY36" s="121" t="inlineStr">
        <is>
          <t>🟡 ELEVATED RISK</t>
        </is>
      </c>
      <c r="AZ36" s="118" t="n">
        <v>48.9</v>
      </c>
      <c r="BA36" s="118" t="n">
        <v>41.4</v>
      </c>
      <c r="BB36" s="118" t="n">
        <v>49.1</v>
      </c>
      <c r="BC36" s="118" t="n">
        <v>57.5</v>
      </c>
      <c r="BD36" s="118" t="n">
        <v>78.59999999999999</v>
      </c>
      <c r="BE36" s="118" t="n">
        <v>85.7</v>
      </c>
      <c r="BF36" s="120" t="n">
        <v>0.236</v>
      </c>
      <c r="BG36" s="117" t="n">
        <v>0.742</v>
      </c>
      <c r="BH36" s="122" t="n">
        <v>5</v>
      </c>
      <c r="BI36" s="123" t="n">
        <v>1</v>
      </c>
    </row>
    <row r="37" ht="17" customHeight="1">
      <c r="A37" s="117" t="inlineStr">
        <is>
          <t>GRBK</t>
        </is>
      </c>
      <c r="B37" s="117" t="inlineStr">
        <is>
          <t>Green Brick Partners, Inc.</t>
        </is>
      </c>
      <c r="C37" s="118" t="n">
        <v>0.662</v>
      </c>
      <c r="D37" s="118" t="n">
        <v>1.029</v>
      </c>
      <c r="E37" s="118" t="n">
        <v>1.008</v>
      </c>
      <c r="F37" s="118" t="n">
        <v>1.029</v>
      </c>
      <c r="G37" s="118" t="n">
        <v>1</v>
      </c>
      <c r="H37" s="118" t="n">
        <v>0.972</v>
      </c>
      <c r="I37" s="118" t="n">
        <v>1</v>
      </c>
      <c r="J37" s="118" t="n">
        <v>0.039</v>
      </c>
      <c r="K37" s="118" t="n">
        <v>-2.557</v>
      </c>
      <c r="L37" s="119" t="inlineStr">
        <is>
          <t>✓ Lower Risk</t>
        </is>
      </c>
      <c r="M37" s="120" t="n">
        <v>0.055</v>
      </c>
      <c r="N37" s="120" t="n">
        <v>-0.074</v>
      </c>
      <c r="O37" s="120" t="n">
        <v>0</v>
      </c>
      <c r="P37" s="120" t="n">
        <v>0.984</v>
      </c>
      <c r="Q37" s="120" t="n">
        <v>0</v>
      </c>
      <c r="R37" s="117" t="n">
        <v>0</v>
      </c>
      <c r="S37" s="118" t="n">
        <v>-6.09</v>
      </c>
      <c r="T37" s="118" t="n">
        <v>0.002</v>
      </c>
      <c r="U37" s="119" t="inlineStr">
        <is>
          <t>✓ Normal</t>
        </is>
      </c>
      <c r="V37" s="117" t="n">
        <v>0</v>
      </c>
      <c r="W37" s="117" t="n">
        <v>0</v>
      </c>
      <c r="X37" s="117" t="n">
        <v>0</v>
      </c>
      <c r="Y37" s="117" t="n">
        <v>1</v>
      </c>
      <c r="Z37" s="117" t="n">
        <v>0</v>
      </c>
      <c r="AA37" s="117" t="n">
        <v>0</v>
      </c>
      <c r="AB37" s="117" t="n">
        <v>1</v>
      </c>
      <c r="AC37" s="119" t="inlineStr">
        <is>
          <t>✓ Clean</t>
        </is>
      </c>
      <c r="AD37" s="118" t="n">
        <v>213244000</v>
      </c>
      <c r="AE37" s="118" t="n">
        <v>-43554000</v>
      </c>
      <c r="AF37" s="118" t="n">
        <v>313225000</v>
      </c>
      <c r="AG37" s="118" t="n">
        <v>0.057</v>
      </c>
      <c r="AH37" s="119" t="inlineStr">
        <is>
          <t>✓ Medium Quality</t>
        </is>
      </c>
      <c r="AI37" s="118" t="n">
        <v>-0.319</v>
      </c>
      <c r="AJ37" s="120" t="n">
        <v>0.029</v>
      </c>
      <c r="AK37" s="120" t="n">
        <v>-11.127</v>
      </c>
      <c r="AL37" s="120" t="n">
        <v>0.102</v>
      </c>
      <c r="AM37" s="120" t="n">
        <v>0</v>
      </c>
      <c r="AN37" s="118" t="n">
        <v>90.3</v>
      </c>
      <c r="AO37" s="119" t="inlineStr">
        <is>
          <t>✓ Good</t>
        </is>
      </c>
      <c r="AP37" s="117" t="n">
        <v>0</v>
      </c>
      <c r="AQ37" s="117" t="n">
        <v>0</v>
      </c>
      <c r="AR37" s="117" t="n">
        <v>1</v>
      </c>
      <c r="AS37" s="117" t="n">
        <v>0</v>
      </c>
      <c r="AT37" s="117" t="n">
        <v>0</v>
      </c>
      <c r="AU37" s="117" t="n">
        <v>0</v>
      </c>
      <c r="AV37" s="117" t="n">
        <v>1</v>
      </c>
      <c r="AW37" s="119" t="inlineStr">
        <is>
          <t>✓ Clean</t>
        </is>
      </c>
      <c r="AX37" s="118" t="n">
        <v>13</v>
      </c>
      <c r="AY37" s="119" t="inlineStr">
        <is>
          <t>🟢 VERY LOW RISK</t>
        </is>
      </c>
      <c r="AZ37" s="118" t="n">
        <v>1.6</v>
      </c>
      <c r="BA37" s="118" t="n">
        <v>2.4</v>
      </c>
      <c r="BB37" s="118" t="n">
        <v>3.4</v>
      </c>
      <c r="BC37" s="118" t="n">
        <v>3.5</v>
      </c>
      <c r="BD37" s="118" t="n">
        <v>0</v>
      </c>
      <c r="BE37" s="118" t="n">
        <v>3</v>
      </c>
      <c r="BF37" s="120" t="n">
        <v>0.216</v>
      </c>
      <c r="BG37" s="117" t="n">
        <v>0.984</v>
      </c>
      <c r="BH37" s="122" t="n">
        <v>2</v>
      </c>
      <c r="BI37" s="123" t="n">
        <v>1</v>
      </c>
    </row>
    <row r="38" ht="17" customHeight="1">
      <c r="A38" s="117" t="inlineStr">
        <is>
          <t>ED</t>
        </is>
      </c>
      <c r="B38" s="117" t="inlineStr">
        <is>
          <t>CONSOLIDATED EDISON INC</t>
        </is>
      </c>
      <c r="C38" s="118" t="n">
        <v>0.955</v>
      </c>
      <c r="D38" s="118" t="n">
        <v>1.034</v>
      </c>
      <c r="E38" s="118" t="n">
        <v>1.004</v>
      </c>
      <c r="F38" s="118" t="n">
        <v>1.109</v>
      </c>
      <c r="G38" s="118" t="n">
        <v>0.987</v>
      </c>
      <c r="H38" s="124" t="inlineStr">
        <is>
          <t>N/A</t>
        </is>
      </c>
      <c r="I38" s="118" t="n">
        <v>1</v>
      </c>
      <c r="J38" s="118" t="n">
        <v>-0.037</v>
      </c>
      <c r="K38" s="118" t="n">
        <v>-2.409</v>
      </c>
      <c r="L38" s="119" t="inlineStr">
        <is>
          <t>✓ Lower Risk</t>
        </is>
      </c>
      <c r="M38" s="120" t="n">
        <v>-0.036</v>
      </c>
      <c r="N38" s="120" t="n">
        <v>0.08599999999999999</v>
      </c>
      <c r="O38" s="124" t="inlineStr">
        <is>
          <t>N/A</t>
        </is>
      </c>
      <c r="P38" s="120" t="n">
        <v>0.236</v>
      </c>
      <c r="Q38" s="120" t="n">
        <v>0.001</v>
      </c>
      <c r="R38" s="117" t="n">
        <v>1</v>
      </c>
      <c r="S38" s="118" t="n">
        <v>-4.166</v>
      </c>
      <c r="T38" s="118" t="n">
        <v>0.015</v>
      </c>
      <c r="U38" s="119" t="inlineStr">
        <is>
          <t>✓ Normal</t>
        </is>
      </c>
      <c r="V38" s="117" t="n">
        <v>0</v>
      </c>
      <c r="W38" s="117" t="n">
        <v>0</v>
      </c>
      <c r="X38" s="117" t="n">
        <v>0</v>
      </c>
      <c r="Y38" s="117" t="n">
        <v>0</v>
      </c>
      <c r="Z38" s="117" t="n">
        <v>0</v>
      </c>
      <c r="AA38" s="117" t="n">
        <v>0</v>
      </c>
      <c r="AB38" s="117" t="n">
        <v>0</v>
      </c>
      <c r="AC38" s="119" t="inlineStr">
        <is>
          <t>✓ Clean</t>
        </is>
      </c>
      <c r="AD38" s="118" t="n">
        <v>4800000000</v>
      </c>
      <c r="AE38" s="118" t="n">
        <v>-5249000000</v>
      </c>
      <c r="AF38" s="118" t="n">
        <v>2023000000</v>
      </c>
      <c r="AG38" s="118" t="n">
        <v>0.034</v>
      </c>
      <c r="AH38" s="119" t="inlineStr">
        <is>
          <t>✓ Medium Quality</t>
        </is>
      </c>
      <c r="AI38" s="118" t="n">
        <v>0.059</v>
      </c>
      <c r="AJ38" s="120" t="n">
        <v>0.109</v>
      </c>
      <c r="AK38" s="120" t="n">
        <v>0.538</v>
      </c>
      <c r="AL38" s="120" t="n">
        <v>0.284</v>
      </c>
      <c r="AM38" s="120" t="n">
        <v>-0.008999999999999999</v>
      </c>
      <c r="AN38" s="118" t="n">
        <v>99.5</v>
      </c>
      <c r="AO38" s="119" t="inlineStr">
        <is>
          <t>✓ Good</t>
        </is>
      </c>
      <c r="AP38" s="117" t="n">
        <v>0</v>
      </c>
      <c r="AQ38" s="117" t="n">
        <v>0</v>
      </c>
      <c r="AR38" s="117" t="n">
        <v>1</v>
      </c>
      <c r="AS38" s="117" t="n">
        <v>0</v>
      </c>
      <c r="AT38" s="117" t="n">
        <v>1</v>
      </c>
      <c r="AU38" s="117" t="n">
        <v>0</v>
      </c>
      <c r="AV38" s="117" t="n">
        <v>2</v>
      </c>
      <c r="AW38" s="121" t="inlineStr">
        <is>
          <t>⚠ WATCH</t>
        </is>
      </c>
      <c r="AX38" s="118" t="n">
        <v>12</v>
      </c>
      <c r="AY38" s="119" t="inlineStr">
        <is>
          <t>🟢 VERY LOW RISK</t>
        </is>
      </c>
      <c r="AZ38" s="118" t="n">
        <v>55.7</v>
      </c>
      <c r="BA38" s="118" t="n">
        <v>58.4</v>
      </c>
      <c r="BB38" s="124" t="inlineStr">
        <is>
          <t>N/A</t>
        </is>
      </c>
      <c r="BC38" s="124" t="inlineStr">
        <is>
          <t>N/A</t>
        </is>
      </c>
      <c r="BD38" s="118" t="n">
        <v>50.8</v>
      </c>
      <c r="BE38" s="118" t="n">
        <v>48.8</v>
      </c>
      <c r="BF38" s="120" t="n">
        <v>0.221</v>
      </c>
      <c r="BG38" s="117" t="n">
        <v>0.236</v>
      </c>
      <c r="BH38" s="122" t="n">
        <v>3</v>
      </c>
      <c r="BI38" s="123" t="n">
        <v>1</v>
      </c>
    </row>
    <row r="39" ht="17" customHeight="1">
      <c r="A39" s="117" t="inlineStr">
        <is>
          <t>GS</t>
        </is>
      </c>
      <c r="B39" s="117" t="inlineStr">
        <is>
          <t>The Goldman Sachs Group, Inc.</t>
        </is>
      </c>
      <c r="C39" s="124" t="inlineStr">
        <is>
          <t>N/A</t>
        </is>
      </c>
      <c r="D39" s="124" t="inlineStr">
        <is>
          <t>N/A</t>
        </is>
      </c>
      <c r="E39" s="118" t="n">
        <v>1.001</v>
      </c>
      <c r="F39" s="124" t="inlineStr">
        <is>
          <t>N/A</t>
        </is>
      </c>
      <c r="G39" s="118" t="n">
        <v>1.016</v>
      </c>
      <c r="H39" s="124" t="inlineStr">
        <is>
          <t>N/A</t>
        </is>
      </c>
      <c r="I39" s="118" t="n">
        <v>1.004</v>
      </c>
      <c r="J39" s="118" t="n">
        <v>0.034</v>
      </c>
      <c r="K39" s="124" t="inlineStr">
        <is>
          <t>N/A</t>
        </is>
      </c>
      <c r="L39" s="124" t="inlineStr">
        <is>
          <t>N/A</t>
        </is>
      </c>
      <c r="M39" s="124" t="inlineStr">
        <is>
          <t>N/A</t>
        </is>
      </c>
      <c r="N39" s="124" t="inlineStr">
        <is>
          <t>N/A</t>
        </is>
      </c>
      <c r="O39" s="124" t="inlineStr">
        <is>
          <t>N/A</t>
        </is>
      </c>
      <c r="P39" s="120" t="n">
        <v>0.905</v>
      </c>
      <c r="Q39" s="120" t="n">
        <v>0.001</v>
      </c>
      <c r="R39" s="117" t="n">
        <v>0</v>
      </c>
      <c r="S39" s="124" t="inlineStr">
        <is>
          <t>N/A</t>
        </is>
      </c>
      <c r="T39" s="124" t="inlineStr">
        <is>
          <t>N/A</t>
        </is>
      </c>
      <c r="U39" s="124" t="inlineStr">
        <is>
          <t>N/A</t>
        </is>
      </c>
      <c r="V39" s="117" t="n">
        <v>0</v>
      </c>
      <c r="W39" s="117" t="n">
        <v>0</v>
      </c>
      <c r="X39" s="117" t="n">
        <v>0</v>
      </c>
      <c r="Y39" s="117" t="n">
        <v>0</v>
      </c>
      <c r="Z39" s="117" t="n">
        <v>1</v>
      </c>
      <c r="AA39" s="117" t="n">
        <v>0</v>
      </c>
      <c r="AB39" s="117" t="n">
        <v>1</v>
      </c>
      <c r="AC39" s="119" t="inlineStr">
        <is>
          <t>✓ Clean</t>
        </is>
      </c>
      <c r="AD39" s="118" t="n">
        <v>-45154000000</v>
      </c>
      <c r="AE39" s="118" t="n">
        <v>-44227000000</v>
      </c>
      <c r="AF39" s="118" t="n">
        <v>17176000000</v>
      </c>
      <c r="AG39" s="118" t="n">
        <v>0.061</v>
      </c>
      <c r="AH39" s="119" t="inlineStr">
        <is>
          <t>✓ Medium Quality</t>
        </is>
      </c>
      <c r="AI39" s="124" t="inlineStr">
        <is>
          <t>N/A</t>
        </is>
      </c>
      <c r="AJ39" s="124" t="inlineStr">
        <is>
          <t>N/A</t>
        </is>
      </c>
      <c r="AK39" s="124" t="inlineStr">
        <is>
          <t>N/A</t>
        </is>
      </c>
      <c r="AL39" s="124" t="inlineStr">
        <is>
          <t>N/A</t>
        </is>
      </c>
      <c r="AM39" s="124" t="inlineStr">
        <is>
          <t>N/A</t>
        </is>
      </c>
      <c r="AN39" s="117" t="n">
        <v>100</v>
      </c>
      <c r="AO39" s="119" t="inlineStr">
        <is>
          <t>✓ Good</t>
        </is>
      </c>
      <c r="AP39" s="117" t="n">
        <v>0</v>
      </c>
      <c r="AQ39" s="117" t="n">
        <v>0</v>
      </c>
      <c r="AR39" s="117" t="n">
        <v>0</v>
      </c>
      <c r="AS39" s="117" t="n">
        <v>0</v>
      </c>
      <c r="AT39" s="117" t="n">
        <v>0</v>
      </c>
      <c r="AU39" s="117" t="n">
        <v>1</v>
      </c>
      <c r="AV39" s="117" t="n">
        <v>1</v>
      </c>
      <c r="AW39" s="119" t="inlineStr">
        <is>
          <t>✓ Clean</t>
        </is>
      </c>
      <c r="AX39" s="118" t="n">
        <v>27.4</v>
      </c>
      <c r="AY39" s="119" t="inlineStr">
        <is>
          <t>🟢 LOW RISK</t>
        </is>
      </c>
      <c r="AZ39" s="124" t="inlineStr">
        <is>
          <t>N/A</t>
        </is>
      </c>
      <c r="BA39" s="124" t="inlineStr">
        <is>
          <t>N/A</t>
        </is>
      </c>
      <c r="BB39" s="124" t="inlineStr">
        <is>
          <t>N/A</t>
        </is>
      </c>
      <c r="BC39" s="124" t="inlineStr">
        <is>
          <t>N/A</t>
        </is>
      </c>
      <c r="BD39" s="124" t="inlineStr">
        <is>
          <t>N/A</t>
        </is>
      </c>
      <c r="BE39" s="124" t="inlineStr">
        <is>
          <t>N/A</t>
        </is>
      </c>
      <c r="BF39" s="120" t="n">
        <v>0.214</v>
      </c>
      <c r="BG39" s="117" t="n">
        <v>0.905</v>
      </c>
      <c r="BH39" s="122" t="n">
        <v>2</v>
      </c>
      <c r="BI39" s="125" t="n">
        <v>0.6666666666666666</v>
      </c>
    </row>
    <row r="40" ht="17" customHeight="1">
      <c r="A40" s="117" t="inlineStr">
        <is>
          <t>INGR</t>
        </is>
      </c>
      <c r="B40" s="117" t="inlineStr">
        <is>
          <t>INGREDION INCORPORATED</t>
        </is>
      </c>
      <c r="C40" s="118" t="n">
        <v>0.264</v>
      </c>
      <c r="D40" s="118" t="n">
        <v>0.966</v>
      </c>
      <c r="E40" s="118" t="n">
        <v>0.964</v>
      </c>
      <c r="F40" s="118" t="n">
        <v>4.109</v>
      </c>
      <c r="G40" s="118" t="n">
        <v>1.069</v>
      </c>
      <c r="H40" s="118" t="n">
        <v>0.254</v>
      </c>
      <c r="I40" s="118" t="n">
        <v>0.9370000000000001</v>
      </c>
      <c r="J40" s="118" t="n">
        <v>-0.027</v>
      </c>
      <c r="K40" s="118" t="n">
        <v>-0.387</v>
      </c>
      <c r="L40" s="121" t="inlineStr">
        <is>
          <t>⚠ MANIPULATOR RISK</t>
        </is>
      </c>
      <c r="M40" s="120" t="n">
        <v>-0.018</v>
      </c>
      <c r="N40" s="120" t="n">
        <v>0.017</v>
      </c>
      <c r="O40" s="120" t="n">
        <v>0.007</v>
      </c>
      <c r="P40" s="120" t="n">
        <v>0.55</v>
      </c>
      <c r="Q40" s="120" t="n">
        <v>0.07000000000000001</v>
      </c>
      <c r="R40" s="117" t="n">
        <v>0</v>
      </c>
      <c r="S40" s="118" t="n">
        <v>-6.799</v>
      </c>
      <c r="T40" s="118" t="n">
        <v>0.001</v>
      </c>
      <c r="U40" s="119" t="inlineStr">
        <is>
          <t>✓ Normal</t>
        </is>
      </c>
      <c r="V40" s="117" t="n">
        <v>1</v>
      </c>
      <c r="W40" s="117" t="n">
        <v>0</v>
      </c>
      <c r="X40" s="117" t="n">
        <v>0</v>
      </c>
      <c r="Y40" s="117" t="n">
        <v>1</v>
      </c>
      <c r="Z40" s="117" t="n">
        <v>1</v>
      </c>
      <c r="AA40" s="117" t="n">
        <v>0</v>
      </c>
      <c r="AB40" s="117" t="n">
        <v>3</v>
      </c>
      <c r="AC40" s="121" t="inlineStr">
        <is>
          <t>⚠ WATCH</t>
        </is>
      </c>
      <c r="AD40" s="118" t="n">
        <v>944000000</v>
      </c>
      <c r="AE40" s="118" t="n">
        <v>-444000000</v>
      </c>
      <c r="AF40" s="118" t="n">
        <v>729000000</v>
      </c>
      <c r="AG40" s="118" t="n">
        <v>0.03</v>
      </c>
      <c r="AH40" s="119" t="inlineStr">
        <is>
          <t>✓ Medium Quality</t>
        </is>
      </c>
      <c r="AI40" s="118" t="n">
        <v>0.08400000000000001</v>
      </c>
      <c r="AJ40" s="120" t="n">
        <v>3.109</v>
      </c>
      <c r="AK40" s="120" t="n">
        <v>0.027</v>
      </c>
      <c r="AL40" s="120" t="n">
        <v>0.131</v>
      </c>
      <c r="AM40" s="124" t="inlineStr">
        <is>
          <t>N/A</t>
        </is>
      </c>
      <c r="AN40" s="118" t="n">
        <v>96.2</v>
      </c>
      <c r="AO40" s="119" t="inlineStr">
        <is>
          <t>✓ Good</t>
        </is>
      </c>
      <c r="AP40" s="117" t="n">
        <v>0</v>
      </c>
      <c r="AQ40" s="117" t="n">
        <v>0</v>
      </c>
      <c r="AR40" s="117" t="n">
        <v>0</v>
      </c>
      <c r="AS40" s="117" t="n">
        <v>0</v>
      </c>
      <c r="AT40" s="117" t="n">
        <v>1</v>
      </c>
      <c r="AU40" s="117" t="n">
        <v>1</v>
      </c>
      <c r="AV40" s="117" t="n">
        <v>2</v>
      </c>
      <c r="AW40" s="121" t="inlineStr">
        <is>
          <t>⚠ WATCH</t>
        </is>
      </c>
      <c r="AX40" s="118" t="n">
        <v>26</v>
      </c>
      <c r="AY40" s="119" t="inlineStr">
        <is>
          <t>🟢 LOW RISK</t>
        </is>
      </c>
      <c r="AZ40" s="118" t="n">
        <v>59.9</v>
      </c>
      <c r="BA40" s="118" t="n">
        <v>227.1</v>
      </c>
      <c r="BB40" s="118" t="n">
        <v>83.09999999999999</v>
      </c>
      <c r="BC40" s="118" t="n">
        <v>76.8</v>
      </c>
      <c r="BD40" s="118" t="n">
        <v>46.9</v>
      </c>
      <c r="BE40" s="118" t="n">
        <v>39.1</v>
      </c>
      <c r="BF40" s="120" t="n">
        <v>0.244</v>
      </c>
      <c r="BG40" s="117" t="n">
        <v>0.55</v>
      </c>
      <c r="BH40" s="122" t="n">
        <v>5</v>
      </c>
      <c r="BI40" s="123" t="n">
        <v>1</v>
      </c>
    </row>
    <row r="41" ht="17" customHeight="1">
      <c r="A41" s="117" t="inlineStr">
        <is>
          <t>RCL</t>
        </is>
      </c>
      <c r="B41" s="117" t="inlineStr">
        <is>
          <t>ROYAL CARIBBEAN CRUISES LTD</t>
        </is>
      </c>
      <c r="C41" s="118" t="n">
        <v>1.024</v>
      </c>
      <c r="D41" s="118" t="n">
        <v>0.724</v>
      </c>
      <c r="E41" s="118" t="n">
        <v>0.9360000000000001</v>
      </c>
      <c r="F41" s="118" t="n">
        <v>0.834</v>
      </c>
      <c r="G41" s="118" t="n">
        <v>1.042</v>
      </c>
      <c r="H41" s="118" t="n">
        <v>1.254</v>
      </c>
      <c r="I41" s="118" t="n">
        <v>0.953</v>
      </c>
      <c r="J41" s="118" t="n">
        <v>-0.053</v>
      </c>
      <c r="K41" s="118" t="n">
        <v>-3.048</v>
      </c>
      <c r="L41" s="119" t="inlineStr">
        <is>
          <t>✓ Lower Risk</t>
        </is>
      </c>
      <c r="M41" s="120" t="n">
        <v>-0.093</v>
      </c>
      <c r="N41" s="120" t="n">
        <v>-0.116</v>
      </c>
      <c r="O41" s="120" t="n">
        <v>-0.002</v>
      </c>
      <c r="P41" s="120" t="n">
        <v>0.122</v>
      </c>
      <c r="Q41" s="120" t="n">
        <v>0.025</v>
      </c>
      <c r="R41" s="117" t="n">
        <v>1</v>
      </c>
      <c r="S41" s="118" t="n">
        <v>-4.957</v>
      </c>
      <c r="T41" s="118" t="n">
        <v>0.007</v>
      </c>
      <c r="U41" s="119" t="inlineStr">
        <is>
          <t>✓ Normal</t>
        </is>
      </c>
      <c r="V41" s="117" t="n">
        <v>0</v>
      </c>
      <c r="W41" s="117" t="n">
        <v>1</v>
      </c>
      <c r="X41" s="117" t="n">
        <v>1</v>
      </c>
      <c r="Y41" s="117" t="n">
        <v>0</v>
      </c>
      <c r="Z41" s="117" t="n">
        <v>1</v>
      </c>
      <c r="AA41" s="117" t="n">
        <v>1</v>
      </c>
      <c r="AB41" s="117" t="n">
        <v>4</v>
      </c>
      <c r="AC41" s="121" t="inlineStr">
        <is>
          <t>⚠⚠ SERIOUS CONCERN</t>
        </is>
      </c>
      <c r="AD41" s="118" t="n">
        <v>6465000000</v>
      </c>
      <c r="AE41" s="118" t="n">
        <v>-5012000000</v>
      </c>
      <c r="AF41" s="118" t="n">
        <v>4268000000</v>
      </c>
      <c r="AG41" s="118" t="n">
        <v>0.07199999999999999</v>
      </c>
      <c r="AH41" s="119" t="inlineStr">
        <is>
          <t>✓ Medium Quality</t>
        </is>
      </c>
      <c r="AI41" s="118" t="n">
        <v>-0.146</v>
      </c>
      <c r="AJ41" s="120" t="n">
        <v>-0.166</v>
      </c>
      <c r="AK41" s="120" t="n">
        <v>0.877</v>
      </c>
      <c r="AL41" s="120" t="n">
        <v>2.772</v>
      </c>
      <c r="AM41" s="120" t="n">
        <v>0.104</v>
      </c>
      <c r="AN41" s="117" t="n">
        <v>100</v>
      </c>
      <c r="AO41" s="119" t="inlineStr">
        <is>
          <t>✓ Good</t>
        </is>
      </c>
      <c r="AP41" s="117" t="n">
        <v>1</v>
      </c>
      <c r="AQ41" s="117" t="n">
        <v>1</v>
      </c>
      <c r="AR41" s="117" t="n">
        <v>1</v>
      </c>
      <c r="AS41" s="117" t="n">
        <v>1</v>
      </c>
      <c r="AT41" s="117" t="n">
        <v>0</v>
      </c>
      <c r="AU41" s="117" t="n">
        <v>0</v>
      </c>
      <c r="AV41" s="117" t="n">
        <v>4</v>
      </c>
      <c r="AW41" s="117" t="inlineStr">
        <is>
          <t>⚠⚠ MULTIPLE RED FLAGS</t>
        </is>
      </c>
      <c r="AX41" s="118" t="n">
        <v>24.5</v>
      </c>
      <c r="AY41" s="119" t="inlineStr">
        <is>
          <t>🟢 LOW RISK</t>
        </is>
      </c>
      <c r="AZ41" s="118" t="n">
        <v>49.6</v>
      </c>
      <c r="BA41" s="118" t="n">
        <v>48.4</v>
      </c>
      <c r="BB41" s="118" t="n">
        <v>10.6</v>
      </c>
      <c r="BC41" s="118" t="n">
        <v>11.2</v>
      </c>
      <c r="BD41" s="118" t="n">
        <v>38.3</v>
      </c>
      <c r="BE41" s="118" t="n">
        <v>38.8</v>
      </c>
      <c r="BF41" s="120" t="n">
        <v>0.019</v>
      </c>
      <c r="BG41" s="117" t="n">
        <v>0.122</v>
      </c>
      <c r="BH41" s="122" t="n">
        <v>9</v>
      </c>
      <c r="BI41" s="123" t="n">
        <v>1</v>
      </c>
    </row>
    <row r="42" ht="17" customHeight="1">
      <c r="A42" s="117" t="inlineStr">
        <is>
          <t>CL</t>
        </is>
      </c>
      <c r="B42" s="117" t="inlineStr">
        <is>
          <t>COLGATE-PALMOLIVE COMPANY</t>
        </is>
      </c>
      <c r="C42" s="118" t="n">
        <v>1.101</v>
      </c>
      <c r="D42" s="118" t="n">
        <v>0.993</v>
      </c>
      <c r="E42" s="118" t="n">
        <v>0.929</v>
      </c>
      <c r="F42" s="118" t="n">
        <v>1</v>
      </c>
      <c r="G42" s="118" t="n">
        <v>1.011</v>
      </c>
      <c r="H42" s="118" t="n">
        <v>1.023</v>
      </c>
      <c r="I42" s="118" t="n">
        <v>1.012</v>
      </c>
      <c r="J42" s="118" t="n">
        <v>-0.127</v>
      </c>
      <c r="K42" s="118" t="n">
        <v>-3.018</v>
      </c>
      <c r="L42" s="119" t="inlineStr">
        <is>
          <t>✓ Lower Risk</t>
        </is>
      </c>
      <c r="M42" s="120" t="n">
        <v>-0.093</v>
      </c>
      <c r="N42" s="120" t="n">
        <v>154000000000</v>
      </c>
      <c r="O42" s="120" t="n">
        <v>45000000000</v>
      </c>
      <c r="P42" s="120" t="n">
        <v>0.636</v>
      </c>
      <c r="Q42" s="120" t="n">
        <v>-0.049</v>
      </c>
      <c r="R42" s="117" t="n">
        <v>0</v>
      </c>
      <c r="S42" s="118" t="n">
        <v>441366999993.313</v>
      </c>
      <c r="T42" s="118" t="n">
        <v>1</v>
      </c>
      <c r="U42" s="121" t="inlineStr">
        <is>
          <t>⚠ HIGH RISK</t>
        </is>
      </c>
      <c r="V42" s="117" t="n">
        <v>0</v>
      </c>
      <c r="W42" s="117" t="n">
        <v>1</v>
      </c>
      <c r="X42" s="117" t="n">
        <v>1</v>
      </c>
      <c r="Y42" s="117" t="n">
        <v>0</v>
      </c>
      <c r="Z42" s="117" t="n">
        <v>0</v>
      </c>
      <c r="AA42" s="117" t="n">
        <v>0</v>
      </c>
      <c r="AB42" s="117" t="n">
        <v>2</v>
      </c>
      <c r="AC42" s="121" t="inlineStr">
        <is>
          <t>⚠ WATCH</t>
        </is>
      </c>
      <c r="AD42" s="118" t="n">
        <v>4198000000</v>
      </c>
      <c r="AE42" s="118" t="n">
        <v>-817000000</v>
      </c>
      <c r="AF42" s="118" t="n">
        <v>2132000000</v>
      </c>
      <c r="AG42" s="118" t="n">
        <v>-0.077</v>
      </c>
      <c r="AH42" s="119" t="inlineStr">
        <is>
          <t>✓ Medium Quality</t>
        </is>
      </c>
      <c r="AI42" s="118" t="n">
        <v>0.101</v>
      </c>
      <c r="AJ42" s="120" t="n">
        <v>0</v>
      </c>
      <c r="AK42" s="124" t="inlineStr">
        <is>
          <t>N/A</t>
        </is>
      </c>
      <c r="AL42" s="120" t="n">
        <v>0.272</v>
      </c>
      <c r="AM42" s="124" t="inlineStr">
        <is>
          <t>N/A</t>
        </is>
      </c>
      <c r="AN42" s="117" t="n">
        <v>100</v>
      </c>
      <c r="AO42" s="119" t="inlineStr">
        <is>
          <t>✓ Good</t>
        </is>
      </c>
      <c r="AP42" s="117" t="n">
        <v>1</v>
      </c>
      <c r="AQ42" s="117" t="n">
        <v>1</v>
      </c>
      <c r="AR42" s="117" t="n">
        <v>0</v>
      </c>
      <c r="AS42" s="117" t="n">
        <v>1</v>
      </c>
      <c r="AT42" s="117" t="n">
        <v>0</v>
      </c>
      <c r="AU42" s="117" t="n">
        <v>0</v>
      </c>
      <c r="AV42" s="117" t="n">
        <v>3</v>
      </c>
      <c r="AW42" s="121" t="inlineStr">
        <is>
          <t>⚠ WATCH</t>
        </is>
      </c>
      <c r="AX42" s="118" t="n">
        <v>46.2</v>
      </c>
      <c r="AY42" s="121" t="inlineStr">
        <is>
          <t>🟡 ELEVATED RISK</t>
        </is>
      </c>
      <c r="AZ42" s="118" t="n">
        <v>39.6</v>
      </c>
      <c r="BA42" s="118" t="n">
        <v>35.9</v>
      </c>
      <c r="BB42" s="118" t="n">
        <v>91.2</v>
      </c>
      <c r="BC42" s="118" t="n">
        <v>91.3</v>
      </c>
      <c r="BD42" s="118" t="n">
        <v>93.8</v>
      </c>
      <c r="BE42" s="118" t="n">
        <v>83</v>
      </c>
      <c r="BF42" s="120" t="n">
        <v>0.261</v>
      </c>
      <c r="BG42" s="117" t="n">
        <v>0.636</v>
      </c>
      <c r="BH42" s="122" t="n">
        <v>5</v>
      </c>
      <c r="BI42" s="123" t="n">
        <v>1</v>
      </c>
    </row>
    <row r="43" ht="17" customHeight="1">
      <c r="A43" s="117" t="inlineStr">
        <is>
          <t>LKQ</t>
        </is>
      </c>
      <c r="B43" s="117" t="inlineStr">
        <is>
          <t>LKQ CORPORATION</t>
        </is>
      </c>
      <c r="C43" s="118" t="n">
        <v>1.128</v>
      </c>
      <c r="D43" s="118" t="n">
        <v>1.013</v>
      </c>
      <c r="E43" s="118" t="n">
        <v>0.977</v>
      </c>
      <c r="F43" s="118" t="n">
        <v>0.951</v>
      </c>
      <c r="G43" s="118" t="n">
        <v>0.957</v>
      </c>
      <c r="H43" s="118" t="n">
        <v>1.024</v>
      </c>
      <c r="I43" s="118" t="n">
        <v>1</v>
      </c>
      <c r="J43" s="118" t="n">
        <v>-0.03</v>
      </c>
      <c r="K43" s="118" t="n">
        <v>-2.558</v>
      </c>
      <c r="L43" s="119" t="inlineStr">
        <is>
          <t>✓ Lower Risk</t>
        </is>
      </c>
      <c r="M43" s="120" t="n">
        <v>-0.025</v>
      </c>
      <c r="N43" s="120" t="n">
        <v>0.116</v>
      </c>
      <c r="O43" s="120" t="n">
        <v>0.293</v>
      </c>
      <c r="P43" s="120" t="n">
        <v>0.883</v>
      </c>
      <c r="Q43" s="120" t="n">
        <v>-0.006</v>
      </c>
      <c r="R43" s="117" t="n">
        <v>0</v>
      </c>
      <c r="S43" s="118" t="n">
        <v>-5.521</v>
      </c>
      <c r="T43" s="118" t="n">
        <v>0.004</v>
      </c>
      <c r="U43" s="119" t="inlineStr">
        <is>
          <t>✓ Normal</t>
        </is>
      </c>
      <c r="V43" s="117" t="n">
        <v>0</v>
      </c>
      <c r="W43" s="117" t="n">
        <v>1</v>
      </c>
      <c r="X43" s="117" t="n">
        <v>1</v>
      </c>
      <c r="Y43" s="117" t="n">
        <v>0</v>
      </c>
      <c r="Z43" s="117" t="n">
        <v>1</v>
      </c>
      <c r="AA43" s="117" t="n">
        <v>0</v>
      </c>
      <c r="AB43" s="117" t="n">
        <v>3</v>
      </c>
      <c r="AC43" s="121" t="inlineStr">
        <is>
          <t>⚠ WATCH</t>
        </is>
      </c>
      <c r="AD43" s="118" t="n">
        <v>1063000000</v>
      </c>
      <c r="AE43" s="118" t="n">
        <v>185000000</v>
      </c>
      <c r="AF43" s="118" t="n">
        <v>608000000</v>
      </c>
      <c r="AG43" s="118" t="n">
        <v>-0.043</v>
      </c>
      <c r="AH43" s="119" t="inlineStr">
        <is>
          <t>✓ Medium Quality</t>
        </is>
      </c>
      <c r="AI43" s="118" t="n">
        <v>0.073</v>
      </c>
      <c r="AJ43" s="120" t="n">
        <v>-0.049</v>
      </c>
      <c r="AK43" s="120" t="n">
        <v>-1.49</v>
      </c>
      <c r="AL43" s="120" t="n">
        <v>0.078</v>
      </c>
      <c r="AM43" s="120" t="n">
        <v>-0</v>
      </c>
      <c r="AN43" s="118" t="n">
        <v>85.59999999999999</v>
      </c>
      <c r="AO43" s="119" t="inlineStr">
        <is>
          <t>✓ Good</t>
        </is>
      </c>
      <c r="AP43" s="117" t="n">
        <v>1</v>
      </c>
      <c r="AQ43" s="117" t="n">
        <v>1</v>
      </c>
      <c r="AR43" s="117" t="n">
        <v>1</v>
      </c>
      <c r="AS43" s="117" t="n">
        <v>1</v>
      </c>
      <c r="AT43" s="117" t="n">
        <v>0</v>
      </c>
      <c r="AU43" s="117" t="n">
        <v>1</v>
      </c>
      <c r="AV43" s="117" t="n">
        <v>5</v>
      </c>
      <c r="AW43" s="117" t="inlineStr">
        <is>
          <t>⚠⚠ MULTIPLE RED FLAGS</t>
        </is>
      </c>
      <c r="AX43" s="118" t="n">
        <v>23.2</v>
      </c>
      <c r="AY43" s="119" t="inlineStr">
        <is>
          <t>🟢 LOW RISK</t>
        </is>
      </c>
      <c r="AZ43" s="118" t="n">
        <v>32.2</v>
      </c>
      <c r="BA43" s="118" t="n">
        <v>28.5</v>
      </c>
      <c r="BB43" s="118" t="n">
        <v>149.1</v>
      </c>
      <c r="BC43" s="118" t="n">
        <v>134.4</v>
      </c>
      <c r="BD43" s="118" t="n">
        <v>91.8</v>
      </c>
      <c r="BE43" s="118" t="n">
        <v>75.2</v>
      </c>
      <c r="BF43" s="120" t="n">
        <v>0.146</v>
      </c>
      <c r="BG43" s="117" t="n">
        <v>0.883</v>
      </c>
      <c r="BH43" s="122" t="n">
        <v>8</v>
      </c>
      <c r="BI43" s="123" t="n">
        <v>1</v>
      </c>
    </row>
    <row r="44" ht="17" customHeight="1">
      <c r="A44" s="117" t="inlineStr">
        <is>
          <t>FFIN</t>
        </is>
      </c>
      <c r="B44" s="117" t="inlineStr">
        <is>
          <t>First Financial Bankshares, Inc.</t>
        </is>
      </c>
      <c r="C44" s="124" t="inlineStr">
        <is>
          <t>N/A</t>
        </is>
      </c>
      <c r="D44" s="124" t="inlineStr">
        <is>
          <t>N/A</t>
        </is>
      </c>
      <c r="E44" s="118" t="n">
        <v>1.001</v>
      </c>
      <c r="F44" s="124" t="inlineStr">
        <is>
          <t>N/A</t>
        </is>
      </c>
      <c r="G44" s="118" t="n">
        <v>0.987</v>
      </c>
      <c r="H44" s="124" t="inlineStr">
        <is>
          <t>N/A</t>
        </is>
      </c>
      <c r="I44" s="118" t="n">
        <v>0.99</v>
      </c>
      <c r="J44" s="118" t="n">
        <v>-0.003</v>
      </c>
      <c r="K44" s="124" t="inlineStr">
        <is>
          <t>N/A</t>
        </is>
      </c>
      <c r="L44" s="124" t="inlineStr">
        <is>
          <t>N/A</t>
        </is>
      </c>
      <c r="M44" s="124" t="inlineStr">
        <is>
          <t>N/A</t>
        </is>
      </c>
      <c r="N44" s="124" t="inlineStr">
        <is>
          <t>N/A</t>
        </is>
      </c>
      <c r="O44" s="124" t="inlineStr">
        <is>
          <t>N/A</t>
        </is>
      </c>
      <c r="P44" s="120" t="n">
        <v>0.99</v>
      </c>
      <c r="Q44" s="120" t="n">
        <v>0</v>
      </c>
      <c r="R44" s="117" t="n">
        <v>1</v>
      </c>
      <c r="S44" s="124" t="inlineStr">
        <is>
          <t>N/A</t>
        </is>
      </c>
      <c r="T44" s="124" t="inlineStr">
        <is>
          <t>N/A</t>
        </is>
      </c>
      <c r="U44" s="124" t="inlineStr">
        <is>
          <t>N/A</t>
        </is>
      </c>
      <c r="V44" s="117" t="n">
        <v>0</v>
      </c>
      <c r="W44" s="117" t="n">
        <v>0</v>
      </c>
      <c r="X44" s="117" t="n">
        <v>0</v>
      </c>
      <c r="Y44" s="117" t="n">
        <v>0</v>
      </c>
      <c r="Z44" s="117" t="n">
        <v>1</v>
      </c>
      <c r="AA44" s="117" t="n">
        <v>1</v>
      </c>
      <c r="AB44" s="117" t="n">
        <v>2</v>
      </c>
      <c r="AC44" s="121" t="inlineStr">
        <is>
          <t>⚠ WATCH</t>
        </is>
      </c>
      <c r="AD44" s="118" t="n">
        <v>299445000</v>
      </c>
      <c r="AE44" s="118" t="n">
        <v>-1016222000</v>
      </c>
      <c r="AF44" s="118" t="n">
        <v>253579000</v>
      </c>
      <c r="AG44" s="118" t="n">
        <v>0.066</v>
      </c>
      <c r="AH44" s="119" t="inlineStr">
        <is>
          <t>✓ Medium Quality</t>
        </is>
      </c>
      <c r="AI44" s="124" t="inlineStr">
        <is>
          <t>N/A</t>
        </is>
      </c>
      <c r="AJ44" s="124" t="inlineStr">
        <is>
          <t>N/A</t>
        </is>
      </c>
      <c r="AK44" s="124" t="inlineStr">
        <is>
          <t>N/A</t>
        </is>
      </c>
      <c r="AL44" s="124" t="inlineStr">
        <is>
          <t>N/A</t>
        </is>
      </c>
      <c r="AM44" s="124" t="inlineStr">
        <is>
          <t>N/A</t>
        </is>
      </c>
      <c r="AN44" s="117" t="n">
        <v>100</v>
      </c>
      <c r="AO44" s="119" t="inlineStr">
        <is>
          <t>✓ Good</t>
        </is>
      </c>
      <c r="AP44" s="117" t="n">
        <v>0</v>
      </c>
      <c r="AQ44" s="117" t="n">
        <v>0</v>
      </c>
      <c r="AR44" s="117" t="n">
        <v>0</v>
      </c>
      <c r="AS44" s="117" t="n">
        <v>0</v>
      </c>
      <c r="AT44" s="117" t="n">
        <v>0</v>
      </c>
      <c r="AU44" s="117" t="n">
        <v>0</v>
      </c>
      <c r="AV44" s="117" t="n">
        <v>0</v>
      </c>
      <c r="AW44" s="119" t="inlineStr">
        <is>
          <t>✓ Clean</t>
        </is>
      </c>
      <c r="AX44" s="118" t="n">
        <v>30</v>
      </c>
      <c r="AY44" s="119" t="inlineStr">
        <is>
          <t>🟢 LOW RISK</t>
        </is>
      </c>
      <c r="AZ44" s="124" t="inlineStr">
        <is>
          <t>N/A</t>
        </is>
      </c>
      <c r="BA44" s="124" t="inlineStr">
        <is>
          <t>N/A</t>
        </is>
      </c>
      <c r="BB44" s="124" t="inlineStr">
        <is>
          <t>N/A</t>
        </is>
      </c>
      <c r="BC44" s="124" t="inlineStr">
        <is>
          <t>N/A</t>
        </is>
      </c>
      <c r="BD44" s="124" t="inlineStr">
        <is>
          <t>N/A</t>
        </is>
      </c>
      <c r="BE44" s="124" t="inlineStr">
        <is>
          <t>N/A</t>
        </is>
      </c>
      <c r="BF44" s="120" t="n">
        <v>0.181</v>
      </c>
      <c r="BG44" s="117" t="n">
        <v>0.99</v>
      </c>
      <c r="BH44" s="122" t="n">
        <v>3</v>
      </c>
      <c r="BI44" s="125" t="n">
        <v>0.6666666666666666</v>
      </c>
    </row>
    <row r="45" ht="17" customHeight="1">
      <c r="A45" s="117" t="inlineStr">
        <is>
          <t>ONTO</t>
        </is>
      </c>
      <c r="B45" s="117" t="inlineStr">
        <is>
          <t>ONTO INNOVATION INC.</t>
        </is>
      </c>
      <c r="C45" s="118" t="n">
        <v>0.857</v>
      </c>
      <c r="D45" s="118" t="n">
        <v>1.05</v>
      </c>
      <c r="E45" s="118" t="n">
        <v>1.686</v>
      </c>
      <c r="F45" s="118" t="n">
        <v>1.018</v>
      </c>
      <c r="G45" s="118" t="n">
        <v>1.036</v>
      </c>
      <c r="H45" s="118" t="n">
        <v>1.225</v>
      </c>
      <c r="I45" s="118" t="n">
        <v>1.249</v>
      </c>
      <c r="J45" s="118" t="n">
        <v>-0.081</v>
      </c>
      <c r="K45" s="118" t="n">
        <v>-2.786</v>
      </c>
      <c r="L45" s="119" t="inlineStr">
        <is>
          <t>✓ Lower Risk</t>
        </is>
      </c>
      <c r="M45" s="120" t="n">
        <v>-0.168</v>
      </c>
      <c r="N45" s="120" t="n">
        <v>-2.185</v>
      </c>
      <c r="O45" s="120" t="n">
        <v>0.629</v>
      </c>
      <c r="P45" s="120" t="n">
        <v>0.8</v>
      </c>
      <c r="Q45" s="120" t="n">
        <v>-0.037</v>
      </c>
      <c r="R45" s="117" t="n">
        <v>1</v>
      </c>
      <c r="S45" s="118" t="n">
        <v>-8.106</v>
      </c>
      <c r="T45" s="118" t="n">
        <v>0</v>
      </c>
      <c r="U45" s="119" t="inlineStr">
        <is>
          <t>✓ Normal</t>
        </is>
      </c>
      <c r="V45" s="117" t="n">
        <v>0</v>
      </c>
      <c r="W45" s="117" t="n">
        <v>0</v>
      </c>
      <c r="X45" s="117" t="n">
        <v>1</v>
      </c>
      <c r="Y45" s="117" t="n">
        <v>0</v>
      </c>
      <c r="Z45" s="117" t="n">
        <v>1</v>
      </c>
      <c r="AA45" s="117" t="n">
        <v>1</v>
      </c>
      <c r="AB45" s="117" t="n">
        <v>3</v>
      </c>
      <c r="AC45" s="121" t="inlineStr">
        <is>
          <t>⚠ WATCH</t>
        </is>
      </c>
      <c r="AD45" s="118" t="n">
        <v>328315000</v>
      </c>
      <c r="AE45" s="118" t="n">
        <v>-121568000</v>
      </c>
      <c r="AF45" s="118" t="n">
        <v>136759000</v>
      </c>
      <c r="AG45" s="118" t="n">
        <v>-0.031</v>
      </c>
      <c r="AH45" s="119" t="inlineStr">
        <is>
          <t>✓ Medium Quality</t>
        </is>
      </c>
      <c r="AI45" s="118" t="n">
        <v>-0.127</v>
      </c>
      <c r="AJ45" s="120" t="n">
        <v>0.018</v>
      </c>
      <c r="AK45" s="120" t="n">
        <v>-7.002</v>
      </c>
      <c r="AL45" s="120" t="n">
        <v>0.327</v>
      </c>
      <c r="AM45" s="120" t="n">
        <v>-0.002</v>
      </c>
      <c r="AN45" s="118" t="n">
        <v>99.90000000000001</v>
      </c>
      <c r="AO45" s="119" t="inlineStr">
        <is>
          <t>✓ Good</t>
        </is>
      </c>
      <c r="AP45" s="117" t="n">
        <v>0</v>
      </c>
      <c r="AQ45" s="117" t="n">
        <v>0</v>
      </c>
      <c r="AR45" s="117" t="n">
        <v>1</v>
      </c>
      <c r="AS45" s="117" t="n">
        <v>1</v>
      </c>
      <c r="AT45" s="117" t="n">
        <v>1</v>
      </c>
      <c r="AU45" s="117" t="n">
        <v>0</v>
      </c>
      <c r="AV45" s="117" t="n">
        <v>3</v>
      </c>
      <c r="AW45" s="121" t="inlineStr">
        <is>
          <t>⚠ WATCH</t>
        </is>
      </c>
      <c r="AX45" s="118" t="n">
        <v>19.3</v>
      </c>
      <c r="AY45" s="119" t="inlineStr">
        <is>
          <t>🟢 VERY LOW RISK</t>
        </is>
      </c>
      <c r="AZ45" s="118" t="n">
        <v>97.59999999999999</v>
      </c>
      <c r="BA45" s="118" t="n">
        <v>113.9</v>
      </c>
      <c r="BB45" s="118" t="n">
        <v>775.2</v>
      </c>
      <c r="BC45" s="118" t="n">
        <v>859.1</v>
      </c>
      <c r="BD45" s="118" t="n">
        <v>279.9</v>
      </c>
      <c r="BE45" s="118" t="n">
        <v>168.4</v>
      </c>
      <c r="BF45" s="120" t="n">
        <v>0.16</v>
      </c>
      <c r="BG45" s="117" t="n">
        <v>0.8</v>
      </c>
      <c r="BH45" s="122" t="n">
        <v>7</v>
      </c>
      <c r="BI45" s="123" t="n">
        <v>1</v>
      </c>
    </row>
    <row r="46" ht="17" customHeight="1">
      <c r="A46" s="117" t="inlineStr">
        <is>
          <t>PKG</t>
        </is>
      </c>
      <c r="B46" s="117" t="inlineStr">
        <is>
          <t>PACKAGING CORP OF AMERICA</t>
        </is>
      </c>
      <c r="C46" s="118" t="n">
        <v>1.024</v>
      </c>
      <c r="D46" s="118" t="n">
        <v>1.012</v>
      </c>
      <c r="E46" s="118" t="n">
        <v>1.333</v>
      </c>
      <c r="F46" s="118" t="n">
        <v>1.072</v>
      </c>
      <c r="G46" s="118" t="n">
        <v>0.994</v>
      </c>
      <c r="H46" s="118" t="n">
        <v>0.969</v>
      </c>
      <c r="I46" s="118" t="n">
        <v>1</v>
      </c>
      <c r="J46" s="118" t="n">
        <v>-0.073</v>
      </c>
      <c r="K46" s="118" t="n">
        <v>-2.59</v>
      </c>
      <c r="L46" s="119" t="inlineStr">
        <is>
          <t>✓ Lower Risk</t>
        </is>
      </c>
      <c r="M46" s="120" t="n">
        <v>-0.049</v>
      </c>
      <c r="N46" s="120" t="n">
        <v>0.184</v>
      </c>
      <c r="O46" s="120" t="n">
        <v>0.195</v>
      </c>
      <c r="P46" s="120" t="n">
        <v>0.486</v>
      </c>
      <c r="Q46" s="120" t="n">
        <v>-0.019</v>
      </c>
      <c r="R46" s="117" t="n">
        <v>0</v>
      </c>
      <c r="S46" s="118" t="n">
        <v>-6.265</v>
      </c>
      <c r="T46" s="118" t="n">
        <v>0.002</v>
      </c>
      <c r="U46" s="119" t="inlineStr">
        <is>
          <t>✓ Normal</t>
        </is>
      </c>
      <c r="V46" s="117" t="n">
        <v>0</v>
      </c>
      <c r="W46" s="117" t="n">
        <v>1</v>
      </c>
      <c r="X46" s="117" t="n">
        <v>1</v>
      </c>
      <c r="Y46" s="117" t="n">
        <v>0</v>
      </c>
      <c r="Z46" s="117" t="n">
        <v>0</v>
      </c>
      <c r="AA46" s="117" t="n">
        <v>1</v>
      </c>
      <c r="AB46" s="117" t="n">
        <v>3</v>
      </c>
      <c r="AC46" s="121" t="inlineStr">
        <is>
          <t>⚠ WATCH</t>
        </is>
      </c>
      <c r="AD46" s="118" t="n">
        <v>1557500000</v>
      </c>
      <c r="AE46" s="118" t="n">
        <v>-2572900000</v>
      </c>
      <c r="AF46" s="118" t="n">
        <v>774100000</v>
      </c>
      <c r="AG46" s="118" t="n">
        <v>0.183</v>
      </c>
      <c r="AH46" s="117" t="inlineStr">
        <is>
          <t>⚠ Low Quality</t>
        </is>
      </c>
      <c r="AI46" s="118" t="n">
        <v>0.098</v>
      </c>
      <c r="AJ46" s="120" t="n">
        <v>0.07199999999999999</v>
      </c>
      <c r="AK46" s="120" t="n">
        <v>1.352</v>
      </c>
      <c r="AL46" s="120" t="n">
        <v>0.173</v>
      </c>
      <c r="AM46" s="124" t="inlineStr">
        <is>
          <t>N/A</t>
        </is>
      </c>
      <c r="AN46" s="118" t="n">
        <v>89.40000000000001</v>
      </c>
      <c r="AO46" s="119" t="inlineStr">
        <is>
          <t>✓ Good</t>
        </is>
      </c>
      <c r="AP46" s="117" t="n">
        <v>0</v>
      </c>
      <c r="AQ46" s="117" t="n">
        <v>0</v>
      </c>
      <c r="AR46" s="117" t="n">
        <v>1</v>
      </c>
      <c r="AS46" s="117" t="n">
        <v>0</v>
      </c>
      <c r="AT46" s="117" t="n">
        <v>1</v>
      </c>
      <c r="AU46" s="117" t="n">
        <v>0</v>
      </c>
      <c r="AV46" s="117" t="n">
        <v>2</v>
      </c>
      <c r="AW46" s="121" t="inlineStr">
        <is>
          <t>⚠ WATCH</t>
        </is>
      </c>
      <c r="AX46" s="118" t="n">
        <v>22.9</v>
      </c>
      <c r="AY46" s="119" t="inlineStr">
        <is>
          <t>🟢 LOW RISK</t>
        </is>
      </c>
      <c r="AZ46" s="118" t="n">
        <v>51</v>
      </c>
      <c r="BA46" s="118" t="n">
        <v>49.8</v>
      </c>
      <c r="BB46" s="118" t="n">
        <v>63.9</v>
      </c>
      <c r="BC46" s="118" t="n">
        <v>62.2</v>
      </c>
      <c r="BD46" s="118" t="n">
        <v>24.2</v>
      </c>
      <c r="BE46" s="118" t="n">
        <v>23.8</v>
      </c>
      <c r="BF46" s="120" t="n">
        <v>0.247</v>
      </c>
      <c r="BG46" s="117" t="n">
        <v>0.486</v>
      </c>
      <c r="BH46" s="122" t="n">
        <v>5</v>
      </c>
      <c r="BI46" s="123" t="n">
        <v>1</v>
      </c>
    </row>
    <row r="47" ht="17" customHeight="1">
      <c r="A47" s="117" t="inlineStr">
        <is>
          <t>MU</t>
        </is>
      </c>
      <c r="B47" s="117" t="inlineStr">
        <is>
          <t>Micron Technology, Inc.</t>
        </is>
      </c>
      <c r="C47" s="118" t="n">
        <v>0.367</v>
      </c>
      <c r="D47" s="118" t="n">
        <v>1.359</v>
      </c>
      <c r="E47" s="118" t="n">
        <v>1.009</v>
      </c>
      <c r="F47" s="118" t="n">
        <v>3.601</v>
      </c>
      <c r="G47" s="118" t="n">
        <v>1.084</v>
      </c>
      <c r="H47" s="118" t="n">
        <v>0.296</v>
      </c>
      <c r="I47" s="118" t="n">
        <v>0.988</v>
      </c>
      <c r="J47" s="118" t="n">
        <v>-0.109</v>
      </c>
      <c r="K47" s="118" t="n">
        <v>-0.923</v>
      </c>
      <c r="L47" s="121" t="inlineStr">
        <is>
          <t>⚠ MANIPULATOR RISK</t>
        </is>
      </c>
      <c r="M47" s="120" t="n">
        <v>-0.105</v>
      </c>
      <c r="N47" s="120" t="n">
        <v>0.079</v>
      </c>
      <c r="O47" s="120" t="n">
        <v>-0.024</v>
      </c>
      <c r="P47" s="120" t="n">
        <v>0.542</v>
      </c>
      <c r="Q47" s="120" t="n">
        <v>0.092</v>
      </c>
      <c r="R47" s="117" t="n">
        <v>1</v>
      </c>
      <c r="S47" s="118" t="n">
        <v>-3.697</v>
      </c>
      <c r="T47" s="118" t="n">
        <v>0.024</v>
      </c>
      <c r="U47" s="119" t="inlineStr">
        <is>
          <t>✓ Normal</t>
        </is>
      </c>
      <c r="V47" s="117" t="n">
        <v>1</v>
      </c>
      <c r="W47" s="117" t="n">
        <v>0</v>
      </c>
      <c r="X47" s="117" t="n">
        <v>0</v>
      </c>
      <c r="Y47" s="117" t="n">
        <v>1</v>
      </c>
      <c r="Z47" s="117" t="n">
        <v>1</v>
      </c>
      <c r="AA47" s="117" t="n">
        <v>1</v>
      </c>
      <c r="AB47" s="117" t="n">
        <v>4</v>
      </c>
      <c r="AC47" s="121" t="inlineStr">
        <is>
          <t>⚠⚠ SERIOUS CONCERN</t>
        </is>
      </c>
      <c r="AD47" s="118" t="n">
        <v>17525000000</v>
      </c>
      <c r="AE47" s="118" t="n">
        <v>-14087000000</v>
      </c>
      <c r="AF47" s="118" t="n">
        <v>8539000000</v>
      </c>
      <c r="AG47" s="118" t="n">
        <v>0.067</v>
      </c>
      <c r="AH47" s="119" t="inlineStr">
        <is>
          <t>✓ Medium Quality</t>
        </is>
      </c>
      <c r="AI47" s="118" t="n">
        <v>0.322</v>
      </c>
      <c r="AJ47" s="120" t="n">
        <v>2.601</v>
      </c>
      <c r="AK47" s="120" t="n">
        <v>0.124</v>
      </c>
      <c r="AL47" s="120" t="n">
        <v>0.577</v>
      </c>
      <c r="AM47" s="120" t="n">
        <v>-0.004</v>
      </c>
      <c r="AN47" s="118" t="n">
        <v>99.8</v>
      </c>
      <c r="AO47" s="119" t="inlineStr">
        <is>
          <t>✓ Good</t>
        </is>
      </c>
      <c r="AP47" s="117" t="n">
        <v>0</v>
      </c>
      <c r="AQ47" s="117" t="n">
        <v>0</v>
      </c>
      <c r="AR47" s="117" t="n">
        <v>1</v>
      </c>
      <c r="AS47" s="117" t="n">
        <v>0</v>
      </c>
      <c r="AT47" s="117" t="n">
        <v>1</v>
      </c>
      <c r="AU47" s="117" t="n">
        <v>0</v>
      </c>
      <c r="AV47" s="117" t="n">
        <v>2</v>
      </c>
      <c r="AW47" s="121" t="inlineStr">
        <is>
          <t>⚠ WATCH</t>
        </is>
      </c>
      <c r="AX47" s="118" t="n">
        <v>31.7</v>
      </c>
      <c r="AY47" s="119" t="inlineStr">
        <is>
          <t>🟢 LOW RISK</t>
        </is>
      </c>
      <c r="AZ47" s="118" t="n">
        <v>86</v>
      </c>
      <c r="BA47" s="118" t="n">
        <v>234.4</v>
      </c>
      <c r="BB47" s="118" t="n">
        <v>135.5</v>
      </c>
      <c r="BC47" s="118" t="n">
        <v>166.1</v>
      </c>
      <c r="BD47" s="118" t="n">
        <v>156.5</v>
      </c>
      <c r="BE47" s="118" t="n">
        <v>136.6</v>
      </c>
      <c r="BF47" s="120" t="n">
        <v>1.638</v>
      </c>
      <c r="BG47" s="117" t="n">
        <v>0.542</v>
      </c>
      <c r="BH47" s="122" t="n">
        <v>7</v>
      </c>
      <c r="BI47" s="123" t="n">
        <v>1</v>
      </c>
    </row>
    <row r="48" ht="17" customHeight="1">
      <c r="A48" s="117" t="inlineStr">
        <is>
          <t>JAZZ</t>
        </is>
      </c>
      <c r="B48" s="117" t="inlineStr">
        <is>
          <t>Jazz Pharmaceuticals plc</t>
        </is>
      </c>
      <c r="C48" s="118" t="n">
        <v>1.142</v>
      </c>
      <c r="D48" s="118" t="n">
        <v>0.922</v>
      </c>
      <c r="E48" s="118" t="n">
        <v>1.046</v>
      </c>
      <c r="F48" s="118" t="n">
        <v>1.015</v>
      </c>
      <c r="G48" s="118" t="n">
        <v>0.8139999999999999</v>
      </c>
      <c r="H48" s="118" t="n">
        <v>1.287</v>
      </c>
      <c r="I48" s="118" t="n">
        <v>1</v>
      </c>
      <c r="J48" s="118" t="n">
        <v>-0.147</v>
      </c>
      <c r="K48" s="118" t="n">
        <v>-3.116</v>
      </c>
      <c r="L48" s="119" t="inlineStr">
        <is>
          <t>✓ Lower Risk</t>
        </is>
      </c>
      <c r="M48" s="120" t="n">
        <v>-0.059</v>
      </c>
      <c r="N48" s="120" t="n">
        <v>16.09</v>
      </c>
      <c r="O48" s="120" t="n">
        <v>-8.961</v>
      </c>
      <c r="P48" s="120" t="n">
        <v>0.87</v>
      </c>
      <c r="Q48" s="120" t="n">
        <v>-0.077</v>
      </c>
      <c r="R48" s="117" t="n">
        <v>1</v>
      </c>
      <c r="S48" s="118" t="n">
        <v>26.731</v>
      </c>
      <c r="T48" s="118" t="n">
        <v>1</v>
      </c>
      <c r="U48" s="121" t="inlineStr">
        <is>
          <t>⚠ HIGH RISK</t>
        </is>
      </c>
      <c r="V48" s="117" t="n">
        <v>0</v>
      </c>
      <c r="W48" s="117" t="n">
        <v>1</v>
      </c>
      <c r="X48" s="117" t="n">
        <v>0</v>
      </c>
      <c r="Y48" s="117" t="n">
        <v>0</v>
      </c>
      <c r="Z48" s="117" t="n">
        <v>0</v>
      </c>
      <c r="AA48" s="117" t="n">
        <v>0</v>
      </c>
      <c r="AB48" s="117" t="n">
        <v>1</v>
      </c>
      <c r="AC48" s="119" t="inlineStr">
        <is>
          <t>✓ Clean</t>
        </is>
      </c>
      <c r="AD48" s="118" t="n">
        <v>1355773000</v>
      </c>
      <c r="AE48" s="118" t="n">
        <v>-1509913000</v>
      </c>
      <c r="AF48" s="118" t="n">
        <v>-356148000</v>
      </c>
      <c r="AG48" s="118" t="n">
        <v>-0.017</v>
      </c>
      <c r="AH48" s="119" t="inlineStr">
        <is>
          <t>✓ Medium Quality</t>
        </is>
      </c>
      <c r="AI48" s="118" t="n">
        <v>0.159</v>
      </c>
      <c r="AJ48" s="120" t="n">
        <v>0.015</v>
      </c>
      <c r="AK48" s="120" t="n">
        <v>10.537</v>
      </c>
      <c r="AL48" s="120" t="n">
        <v>2.846</v>
      </c>
      <c r="AM48" s="120" t="n">
        <v>0.016</v>
      </c>
      <c r="AN48" s="118" t="n">
        <v>70.8</v>
      </c>
      <c r="AO48" s="119" t="inlineStr">
        <is>
          <t>✓ Good</t>
        </is>
      </c>
      <c r="AP48" s="117" t="n">
        <v>0</v>
      </c>
      <c r="AQ48" s="117" t="n">
        <v>1</v>
      </c>
      <c r="AR48" s="117" t="n">
        <v>0</v>
      </c>
      <c r="AS48" s="117" t="n">
        <v>1</v>
      </c>
      <c r="AT48" s="117" t="n">
        <v>1</v>
      </c>
      <c r="AU48" s="117" t="n">
        <v>1</v>
      </c>
      <c r="AV48" s="117" t="n">
        <v>4</v>
      </c>
      <c r="AW48" s="117" t="inlineStr">
        <is>
          <t>⚠⚠ MULTIPLE RED FLAGS</t>
        </is>
      </c>
      <c r="AX48" s="118" t="n">
        <v>43.6</v>
      </c>
      <c r="AY48" s="121" t="inlineStr">
        <is>
          <t>🟡 ELEVATED RISK</t>
        </is>
      </c>
      <c r="AZ48" s="118" t="n">
        <v>636.4</v>
      </c>
      <c r="BA48" s="118" t="n">
        <v>557.4</v>
      </c>
      <c r="BB48" s="118" t="n">
        <v>119.3</v>
      </c>
      <c r="BC48" s="118" t="n">
        <v>160.9</v>
      </c>
      <c r="BD48" s="118" t="n">
        <v>34.9</v>
      </c>
      <c r="BE48" s="118" t="n">
        <v>26.1</v>
      </c>
      <c r="BF48" s="120" t="n">
        <v>-0.625</v>
      </c>
      <c r="BG48" s="117" t="n">
        <v>0.87</v>
      </c>
      <c r="BH48" s="122" t="n">
        <v>6</v>
      </c>
      <c r="BI48" s="123" t="n">
        <v>1</v>
      </c>
    </row>
    <row r="49" ht="17" customHeight="1">
      <c r="A49" s="117" t="inlineStr">
        <is>
          <t>INTC</t>
        </is>
      </c>
      <c r="B49" s="117" t="inlineStr">
        <is>
          <t>INTEL CORP</t>
        </is>
      </c>
      <c r="C49" s="118" t="n">
        <v>1.109</v>
      </c>
      <c r="D49" s="118" t="n">
        <v>0.9399999999999999</v>
      </c>
      <c r="E49" s="118" t="n">
        <v>0.723</v>
      </c>
      <c r="F49" s="118" t="n">
        <v>0.995</v>
      </c>
      <c r="G49" s="118" t="n">
        <v>1.278</v>
      </c>
      <c r="H49" s="118" t="n">
        <v>0.844</v>
      </c>
      <c r="I49" s="118" t="n">
        <v>1</v>
      </c>
      <c r="J49" s="118" t="n">
        <v>-0.047</v>
      </c>
      <c r="K49" s="118" t="n">
        <v>-2.689</v>
      </c>
      <c r="L49" s="119" t="inlineStr">
        <is>
          <t>✓ Lower Risk</t>
        </is>
      </c>
      <c r="M49" s="120" t="n">
        <v>0.067</v>
      </c>
      <c r="N49" s="120" t="n">
        <v>1.456</v>
      </c>
      <c r="O49" s="120" t="n">
        <v>-2.339</v>
      </c>
      <c r="P49" s="120" t="n">
        <v>0.55</v>
      </c>
      <c r="Q49" s="120" t="n">
        <v>0.094</v>
      </c>
      <c r="R49" s="117" t="n">
        <v>1</v>
      </c>
      <c r="S49" s="118" t="n">
        <v>-2.839</v>
      </c>
      <c r="T49" s="118" t="n">
        <v>0.055</v>
      </c>
      <c r="U49" s="121" t="inlineStr">
        <is>
          <t>⚠ HIGH RISK</t>
        </is>
      </c>
      <c r="V49" s="117" t="n">
        <v>1</v>
      </c>
      <c r="W49" s="117" t="n">
        <v>1</v>
      </c>
      <c r="X49" s="117" t="n">
        <v>0</v>
      </c>
      <c r="Y49" s="117" t="n">
        <v>1</v>
      </c>
      <c r="Z49" s="117" t="n">
        <v>1</v>
      </c>
      <c r="AA49" s="117" t="n">
        <v>0</v>
      </c>
      <c r="AB49" s="117" t="n">
        <v>4</v>
      </c>
      <c r="AC49" s="121" t="inlineStr">
        <is>
          <t>⚠⚠ SERIOUS CONCERN</t>
        </is>
      </c>
      <c r="AD49" s="118" t="n">
        <v>9697000000</v>
      </c>
      <c r="AE49" s="118" t="n">
        <v>-14821000000</v>
      </c>
      <c r="AF49" s="118" t="n">
        <v>-267000000</v>
      </c>
      <c r="AG49" s="118" t="n">
        <v>0.024</v>
      </c>
      <c r="AH49" s="119" t="inlineStr">
        <is>
          <t>✓ Medium Quality</t>
        </is>
      </c>
      <c r="AI49" s="118" t="n">
        <v>0.104</v>
      </c>
      <c r="AJ49" s="120" t="n">
        <v>-0.005</v>
      </c>
      <c r="AK49" s="120" t="n">
        <v>-22.224</v>
      </c>
      <c r="AL49" s="120" t="n">
        <v>0.183</v>
      </c>
      <c r="AM49" s="120" t="n">
        <v>-0.001</v>
      </c>
      <c r="AN49" s="118" t="n">
        <v>99.90000000000001</v>
      </c>
      <c r="AO49" s="119" t="inlineStr">
        <is>
          <t>✓ Good</t>
        </is>
      </c>
      <c r="AP49" s="117" t="n">
        <v>0</v>
      </c>
      <c r="AQ49" s="117" t="n">
        <v>1</v>
      </c>
      <c r="AR49" s="117" t="n">
        <v>0</v>
      </c>
      <c r="AS49" s="117" t="n">
        <v>0</v>
      </c>
      <c r="AT49" s="117" t="n">
        <v>0</v>
      </c>
      <c r="AU49" s="117" t="n">
        <v>0</v>
      </c>
      <c r="AV49" s="117" t="n">
        <v>1</v>
      </c>
      <c r="AW49" s="119" t="inlineStr">
        <is>
          <t>✓ Clean</t>
        </is>
      </c>
      <c r="AX49" s="118" t="n">
        <v>29.4</v>
      </c>
      <c r="AY49" s="119" t="inlineStr">
        <is>
          <t>🟢 LOW RISK</t>
        </is>
      </c>
      <c r="AZ49" s="118" t="n">
        <v>26.5</v>
      </c>
      <c r="BA49" s="118" t="n">
        <v>23.9</v>
      </c>
      <c r="BB49" s="118" t="n">
        <v>123</v>
      </c>
      <c r="BC49" s="118" t="n">
        <v>124.5</v>
      </c>
      <c r="BD49" s="118" t="n">
        <v>104.6</v>
      </c>
      <c r="BE49" s="118" t="n">
        <v>128.2</v>
      </c>
      <c r="BF49" s="120" t="n">
        <v>0.983</v>
      </c>
      <c r="BG49" s="117" t="n">
        <v>0.55</v>
      </c>
      <c r="BH49" s="122" t="n">
        <v>6</v>
      </c>
      <c r="BI49" s="123" t="n">
        <v>1</v>
      </c>
    </row>
    <row r="50" ht="17" customHeight="1">
      <c r="A50" s="117" t="inlineStr">
        <is>
          <t>STE</t>
        </is>
      </c>
      <c r="B50" s="117" t="inlineStr">
        <is>
          <t>STERIS plc</t>
        </is>
      </c>
      <c r="C50" s="118" t="n">
        <v>0.963</v>
      </c>
      <c r="D50" s="118" t="n">
        <v>0.995</v>
      </c>
      <c r="E50" s="118" t="n">
        <v>0.944</v>
      </c>
      <c r="F50" s="118" t="n">
        <v>1.087</v>
      </c>
      <c r="G50" s="118" t="n">
        <v>1.065</v>
      </c>
      <c r="H50" s="118" t="n">
        <v>0.97</v>
      </c>
      <c r="I50" s="118" t="n">
        <v>0.947</v>
      </c>
      <c r="J50" s="118" t="n">
        <v>-0.052</v>
      </c>
      <c r="K50" s="118" t="n">
        <v>-2.676</v>
      </c>
      <c r="L50" s="119" t="inlineStr">
        <is>
          <t>✓ Lower Risk</t>
        </is>
      </c>
      <c r="M50" s="120" t="n">
        <v>-0.011</v>
      </c>
      <c r="N50" s="120" t="n">
        <v>0.103</v>
      </c>
      <c r="O50" s="120" t="n">
        <v>0.106</v>
      </c>
      <c r="P50" s="120" t="n">
        <v>0.778</v>
      </c>
      <c r="Q50" s="120" t="n">
        <v>0.012</v>
      </c>
      <c r="R50" s="117" t="n">
        <v>0</v>
      </c>
      <c r="S50" s="118" t="n">
        <v>-5.983</v>
      </c>
      <c r="T50" s="118" t="n">
        <v>0.003</v>
      </c>
      <c r="U50" s="119" t="inlineStr">
        <is>
          <t>✓ Normal</t>
        </is>
      </c>
      <c r="V50" s="117" t="n">
        <v>1</v>
      </c>
      <c r="W50" s="117" t="n">
        <v>0</v>
      </c>
      <c r="X50" s="117" t="n">
        <v>0</v>
      </c>
      <c r="Y50" s="117" t="n">
        <v>0</v>
      </c>
      <c r="Z50" s="117" t="n">
        <v>1</v>
      </c>
      <c r="AA50" s="117" t="n">
        <v>0</v>
      </c>
      <c r="AB50" s="117" t="n">
        <v>2</v>
      </c>
      <c r="AC50" s="121" t="inlineStr">
        <is>
          <t>⚠ WATCH</t>
        </is>
      </c>
      <c r="AD50" s="118" t="n">
        <v>1341400000</v>
      </c>
      <c r="AE50" s="118" t="n">
        <v>-512500000</v>
      </c>
      <c r="AF50" s="118" t="n">
        <v>782300000</v>
      </c>
      <c r="AG50" s="118" t="n">
        <v>-0.004</v>
      </c>
      <c r="AH50" s="119" t="inlineStr">
        <is>
          <t>✓ Medium Quality</t>
        </is>
      </c>
      <c r="AI50" s="118" t="n">
        <v>0.047</v>
      </c>
      <c r="AJ50" s="120" t="n">
        <v>0.08699999999999999</v>
      </c>
      <c r="AK50" s="120" t="n">
        <v>0.536</v>
      </c>
      <c r="AL50" s="120" t="n">
        <v>0.226</v>
      </c>
      <c r="AM50" s="120" t="n">
        <v>0</v>
      </c>
      <c r="AN50" s="117" t="n">
        <v>100</v>
      </c>
      <c r="AO50" s="119" t="inlineStr">
        <is>
          <t>✓ Good</t>
        </is>
      </c>
      <c r="AP50" s="117" t="n">
        <v>0</v>
      </c>
      <c r="AQ50" s="117" t="n">
        <v>0</v>
      </c>
      <c r="AR50" s="117" t="n">
        <v>0</v>
      </c>
      <c r="AS50" s="117" t="n">
        <v>0</v>
      </c>
      <c r="AT50" s="117" t="n">
        <v>1</v>
      </c>
      <c r="AU50" s="117" t="n">
        <v>0</v>
      </c>
      <c r="AV50" s="117" t="n">
        <v>1</v>
      </c>
      <c r="AW50" s="119" t="inlineStr">
        <is>
          <t>✓ Clean</t>
        </is>
      </c>
      <c r="AX50" s="118" t="n">
        <v>14.5</v>
      </c>
      <c r="AY50" s="119" t="inlineStr">
        <is>
          <t>🟢 VERY LOW RISK</t>
        </is>
      </c>
      <c r="AZ50" s="118" t="n">
        <v>67.2</v>
      </c>
      <c r="BA50" s="118" t="n">
        <v>69.8</v>
      </c>
      <c r="BB50" s="118" t="n">
        <v>69.7</v>
      </c>
      <c r="BC50" s="118" t="n">
        <v>69.40000000000001</v>
      </c>
      <c r="BD50" s="118" t="n">
        <v>37.4</v>
      </c>
      <c r="BE50" s="118" t="n">
        <v>33.5</v>
      </c>
      <c r="BF50" s="120" t="n">
        <v>0.25</v>
      </c>
      <c r="BG50" s="117" t="n">
        <v>0.778</v>
      </c>
      <c r="BH50" s="122" t="n">
        <v>3</v>
      </c>
      <c r="BI50" s="123" t="n">
        <v>1</v>
      </c>
    </row>
    <row r="51" ht="17" customHeight="1">
      <c r="A51" s="117" t="inlineStr">
        <is>
          <t>BMY</t>
        </is>
      </c>
      <c r="B51" s="117" t="inlineStr">
        <is>
          <t>Bristol-Myers Squibb Company</t>
        </is>
      </c>
      <c r="C51" s="118" t="n">
        <v>1.067</v>
      </c>
      <c r="D51" s="118" t="n">
        <v>0.265</v>
      </c>
      <c r="E51" s="118" t="n">
        <v>0.981</v>
      </c>
      <c r="F51" s="118" t="n">
        <v>0.998</v>
      </c>
      <c r="G51" s="118" t="n">
        <v>1.652</v>
      </c>
      <c r="H51" s="118" t="n">
        <v>0.866</v>
      </c>
      <c r="I51" s="118" t="n">
        <v>0.965</v>
      </c>
      <c r="J51" s="118" t="n">
        <v>-0.079</v>
      </c>
      <c r="K51" s="118" t="n">
        <v>-3.076</v>
      </c>
      <c r="L51" s="119" t="inlineStr">
        <is>
          <t>✓ Lower Risk</t>
        </is>
      </c>
      <c r="M51" s="120" t="n">
        <v>-0.043</v>
      </c>
      <c r="N51" s="120" t="n">
        <v>5.472</v>
      </c>
      <c r="O51" s="120" t="n">
        <v>1.255</v>
      </c>
      <c r="P51" s="120" t="n">
        <v>0.803</v>
      </c>
      <c r="Q51" s="120" t="n">
        <v>0.175</v>
      </c>
      <c r="R51" s="117" t="n">
        <v>0</v>
      </c>
      <c r="S51" s="118" t="n">
        <v>8.856999999999999</v>
      </c>
      <c r="T51" s="118" t="n">
        <v>1</v>
      </c>
      <c r="U51" s="121" t="inlineStr">
        <is>
          <t>⚠ HIGH RISK</t>
        </is>
      </c>
      <c r="V51" s="117" t="n">
        <v>1</v>
      </c>
      <c r="W51" s="117" t="n">
        <v>1</v>
      </c>
      <c r="X51" s="117" t="n">
        <v>1</v>
      </c>
      <c r="Y51" s="117" t="n">
        <v>1</v>
      </c>
      <c r="Z51" s="117" t="n">
        <v>1</v>
      </c>
      <c r="AA51" s="117" t="n">
        <v>0</v>
      </c>
      <c r="AB51" s="117" t="n">
        <v>5</v>
      </c>
      <c r="AC51" s="121" t="inlineStr">
        <is>
          <t>⚠⚠ SERIOUS CONCERN</t>
        </is>
      </c>
      <c r="AD51" s="118" t="n">
        <v>14156000000</v>
      </c>
      <c r="AE51" s="118" t="n">
        <v>-4132000000</v>
      </c>
      <c r="AF51" s="118" t="n">
        <v>7054000000</v>
      </c>
      <c r="AG51" s="118" t="n">
        <v>-0.033</v>
      </c>
      <c r="AH51" s="119" t="inlineStr">
        <is>
          <t>✓ Medium Quality</t>
        </is>
      </c>
      <c r="AI51" s="118" t="n">
        <v>0.064</v>
      </c>
      <c r="AJ51" s="120" t="n">
        <v>-0.002</v>
      </c>
      <c r="AK51" s="120" t="n">
        <v>-29.326</v>
      </c>
      <c r="AL51" s="120" t="n">
        <v>0.294</v>
      </c>
      <c r="AM51" s="120" t="n">
        <v>-0.001</v>
      </c>
      <c r="AN51" s="117" t="n">
        <v>100</v>
      </c>
      <c r="AO51" s="119" t="inlineStr">
        <is>
          <t>✓ Good</t>
        </is>
      </c>
      <c r="AP51" s="117" t="n">
        <v>1</v>
      </c>
      <c r="AQ51" s="117" t="n">
        <v>1</v>
      </c>
      <c r="AR51" s="117" t="n">
        <v>0</v>
      </c>
      <c r="AS51" s="117" t="n">
        <v>0</v>
      </c>
      <c r="AT51" s="117" t="n">
        <v>0</v>
      </c>
      <c r="AU51" s="117" t="n">
        <v>0</v>
      </c>
      <c r="AV51" s="117" t="n">
        <v>2</v>
      </c>
      <c r="AW51" s="121" t="inlineStr">
        <is>
          <t>⚠ WATCH</t>
        </is>
      </c>
      <c r="AX51" s="118" t="n">
        <v>54.3</v>
      </c>
      <c r="AY51" s="121" t="inlineStr">
        <is>
          <t>🟡 ELEVATED RISK</t>
        </is>
      </c>
      <c r="AZ51" s="118" t="n">
        <v>72.59999999999999</v>
      </c>
      <c r="BA51" s="118" t="n">
        <v>68.09999999999999</v>
      </c>
      <c r="BB51" s="118" t="n">
        <v>70.5</v>
      </c>
      <c r="BC51" s="118" t="n">
        <v>66.8</v>
      </c>
      <c r="BD51" s="118" t="n">
        <v>93.59999999999999</v>
      </c>
      <c r="BE51" s="118" t="n">
        <v>94.09999999999999</v>
      </c>
      <c r="BF51" s="120" t="n">
        <v>0.244</v>
      </c>
      <c r="BG51" s="117" t="n">
        <v>0.803</v>
      </c>
      <c r="BH51" s="122" t="n">
        <v>7</v>
      </c>
      <c r="BI51" s="123" t="n">
        <v>1</v>
      </c>
    </row>
    <row r="52" ht="17" customHeight="1">
      <c r="A52" s="117" t="inlineStr">
        <is>
          <t>HRL</t>
        </is>
      </c>
      <c r="B52" s="117" t="inlineStr">
        <is>
          <t>HORMEL FOODS CORPORATION</t>
        </is>
      </c>
      <c r="C52" s="118" t="n">
        <v>0.261</v>
      </c>
      <c r="D52" s="118" t="n">
        <v>3.931</v>
      </c>
      <c r="E52" s="118" t="n">
        <v>0.98</v>
      </c>
      <c r="F52" s="118" t="n">
        <v>3.678</v>
      </c>
      <c r="G52" s="118" t="n">
        <v>0.98</v>
      </c>
      <c r="H52" s="118" t="n">
        <v>0.27</v>
      </c>
      <c r="I52" s="118" t="n">
        <v>1</v>
      </c>
      <c r="J52" s="118" t="n">
        <v>-0.027</v>
      </c>
      <c r="K52" s="118" t="n">
        <v>0.763</v>
      </c>
      <c r="L52" s="121" t="inlineStr">
        <is>
          <t>⚠ MANIPULATOR RISK</t>
        </is>
      </c>
      <c r="M52" s="120" t="n">
        <v>-0.001</v>
      </c>
      <c r="N52" s="120" t="n">
        <v>-0.005</v>
      </c>
      <c r="O52" s="120" t="n">
        <v>0.026</v>
      </c>
      <c r="P52" s="120" t="n">
        <v>0.828</v>
      </c>
      <c r="Q52" s="120" t="n">
        <v>-0.024</v>
      </c>
      <c r="R52" s="117" t="n">
        <v>0</v>
      </c>
      <c r="S52" s="118" t="n">
        <v>-6.226</v>
      </c>
      <c r="T52" s="118" t="n">
        <v>0.002</v>
      </c>
      <c r="U52" s="119" t="inlineStr">
        <is>
          <t>✓ Normal</t>
        </is>
      </c>
      <c r="V52" s="117" t="n">
        <v>1</v>
      </c>
      <c r="W52" s="117" t="n">
        <v>0</v>
      </c>
      <c r="X52" s="117" t="n">
        <v>0</v>
      </c>
      <c r="Y52" s="117" t="n">
        <v>1</v>
      </c>
      <c r="Z52" s="117" t="n">
        <v>0</v>
      </c>
      <c r="AA52" s="117" t="n">
        <v>0</v>
      </c>
      <c r="AB52" s="117" t="n">
        <v>2</v>
      </c>
      <c r="AC52" s="121" t="inlineStr">
        <is>
          <t>⚠ WATCH</t>
        </is>
      </c>
      <c r="AD52" s="118" t="n">
        <v>845251000</v>
      </c>
      <c r="AE52" s="118" t="n">
        <v>-298592000</v>
      </c>
      <c r="AF52" s="118" t="n">
        <v>478197000</v>
      </c>
      <c r="AG52" s="118" t="n">
        <v>-0.005</v>
      </c>
      <c r="AH52" s="119" t="inlineStr">
        <is>
          <t>✓ Medium Quality</t>
        </is>
      </c>
      <c r="AI52" s="118" t="n">
        <v>-0.04</v>
      </c>
      <c r="AJ52" s="120" t="n">
        <v>2.678</v>
      </c>
      <c r="AK52" s="120" t="n">
        <v>-0.015</v>
      </c>
      <c r="AL52" s="120" t="n">
        <v>0.092</v>
      </c>
      <c r="AM52" s="124" t="inlineStr">
        <is>
          <t>N/A</t>
        </is>
      </c>
      <c r="AN52" s="118" t="n">
        <v>88.40000000000001</v>
      </c>
      <c r="AO52" s="119" t="inlineStr">
        <is>
          <t>✓ Good</t>
        </is>
      </c>
      <c r="AP52" s="117" t="n">
        <v>0</v>
      </c>
      <c r="AQ52" s="117" t="n">
        <v>0</v>
      </c>
      <c r="AR52" s="117" t="n">
        <v>1</v>
      </c>
      <c r="AS52" s="117" t="n">
        <v>0</v>
      </c>
      <c r="AT52" s="117" t="n">
        <v>1</v>
      </c>
      <c r="AU52" s="117" t="n">
        <v>0</v>
      </c>
      <c r="AV52" s="117" t="n">
        <v>2</v>
      </c>
      <c r="AW52" s="121" t="inlineStr">
        <is>
          <t>⚠ WATCH</t>
        </is>
      </c>
      <c r="AX52" s="118" t="n">
        <v>26.1</v>
      </c>
      <c r="AY52" s="119" t="inlineStr">
        <is>
          <t>🟢 LOW RISK</t>
        </is>
      </c>
      <c r="AZ52" s="118" t="n">
        <v>31.2</v>
      </c>
      <c r="BA52" s="118" t="n">
        <v>119.8</v>
      </c>
      <c r="BB52" s="118" t="n">
        <v>62.4</v>
      </c>
      <c r="BC52" s="118" t="n">
        <v>58.1</v>
      </c>
      <c r="BD52" s="118" t="n">
        <v>26.1</v>
      </c>
      <c r="BE52" s="118" t="n">
        <v>27.1</v>
      </c>
      <c r="BF52" s="120" t="n">
        <v>0.28</v>
      </c>
      <c r="BG52" s="117" t="n">
        <v>0.828</v>
      </c>
      <c r="BH52" s="122" t="n">
        <v>4</v>
      </c>
      <c r="BI52" s="123" t="n">
        <v>1</v>
      </c>
    </row>
    <row r="53" ht="17" customHeight="1">
      <c r="A53" s="117" t="inlineStr">
        <is>
          <t>BMRN</t>
        </is>
      </c>
      <c r="B53" s="117" t="inlineStr">
        <is>
          <t>BioMarin Pharmaceutical Inc</t>
        </is>
      </c>
      <c r="C53" s="118" t="n">
        <v>1.169</v>
      </c>
      <c r="D53" s="118" t="n">
        <v>1.059</v>
      </c>
      <c r="E53" s="118" t="n">
        <v>0.912</v>
      </c>
      <c r="F53" s="118" t="n">
        <v>1.176</v>
      </c>
      <c r="G53" s="118" t="n">
        <v>0.771</v>
      </c>
      <c r="H53" s="118" t="n">
        <v>0.972</v>
      </c>
      <c r="I53" s="118" t="n">
        <v>1.042</v>
      </c>
      <c r="J53" s="118" t="n">
        <v>-0.063</v>
      </c>
      <c r="K53" s="118" t="n">
        <v>-2.502</v>
      </c>
      <c r="L53" s="119" t="inlineStr">
        <is>
          <t>✓ Lower Risk</t>
        </is>
      </c>
      <c r="M53" s="120" t="n">
        <v>0.019</v>
      </c>
      <c r="N53" s="120" t="n">
        <v>1.259</v>
      </c>
      <c r="O53" s="120" t="n">
        <v>0.337</v>
      </c>
      <c r="P53" s="120" t="n">
        <v>0.702</v>
      </c>
      <c r="Q53" s="120" t="n">
        <v>-0.015</v>
      </c>
      <c r="R53" s="117" t="n">
        <v>1</v>
      </c>
      <c r="S53" s="118" t="n">
        <v>0.161</v>
      </c>
      <c r="T53" s="118" t="n">
        <v>0.54</v>
      </c>
      <c r="U53" s="121" t="inlineStr">
        <is>
          <t>⚠ HIGH RISK</t>
        </is>
      </c>
      <c r="V53" s="117" t="n">
        <v>0</v>
      </c>
      <c r="W53" s="117" t="n">
        <v>1</v>
      </c>
      <c r="X53" s="117" t="n">
        <v>0</v>
      </c>
      <c r="Y53" s="117" t="n">
        <v>1</v>
      </c>
      <c r="Z53" s="117" t="n">
        <v>0</v>
      </c>
      <c r="AA53" s="117" t="n">
        <v>0</v>
      </c>
      <c r="AB53" s="117" t="n">
        <v>2</v>
      </c>
      <c r="AC53" s="121" t="inlineStr">
        <is>
          <t>⚠ WATCH</t>
        </is>
      </c>
      <c r="AD53" s="118" t="n">
        <v>827994000</v>
      </c>
      <c r="AE53" s="118" t="n">
        <v>-414242000</v>
      </c>
      <c r="AF53" s="118" t="n">
        <v>348901000</v>
      </c>
      <c r="AG53" s="118" t="n">
        <v>-0.008999999999999999</v>
      </c>
      <c r="AH53" s="119" t="inlineStr">
        <is>
          <t>✓ Medium Quality</t>
        </is>
      </c>
      <c r="AI53" s="118" t="n">
        <v>0.375</v>
      </c>
      <c r="AJ53" s="120" t="n">
        <v>0.176</v>
      </c>
      <c r="AK53" s="120" t="n">
        <v>2.128</v>
      </c>
      <c r="AL53" s="120" t="n">
        <v>0.63</v>
      </c>
      <c r="AM53" s="120" t="n">
        <v>0</v>
      </c>
      <c r="AN53" s="118" t="n">
        <v>70</v>
      </c>
      <c r="AO53" s="119" t="inlineStr">
        <is>
          <t>✓ Good</t>
        </is>
      </c>
      <c r="AP53" s="117" t="n">
        <v>0</v>
      </c>
      <c r="AQ53" s="117" t="n">
        <v>1</v>
      </c>
      <c r="AR53" s="117" t="n">
        <v>1</v>
      </c>
      <c r="AS53" s="117" t="n">
        <v>0</v>
      </c>
      <c r="AT53" s="117" t="n">
        <v>1</v>
      </c>
      <c r="AU53" s="117" t="n">
        <v>0</v>
      </c>
      <c r="AV53" s="117" t="n">
        <v>3</v>
      </c>
      <c r="AW53" s="121" t="inlineStr">
        <is>
          <t>⚠ WATCH</t>
        </is>
      </c>
      <c r="AX53" s="118" t="n">
        <v>47.9</v>
      </c>
      <c r="AY53" s="121" t="inlineStr">
        <is>
          <t>🟡 ELEVATED RISK</t>
        </is>
      </c>
      <c r="AZ53" s="118" t="n">
        <v>252.3</v>
      </c>
      <c r="BA53" s="118" t="n">
        <v>215.9</v>
      </c>
      <c r="BB53" s="118" t="n">
        <v>660.8</v>
      </c>
      <c r="BC53" s="118" t="n">
        <v>775.4</v>
      </c>
      <c r="BD53" s="118" t="n">
        <v>16.7</v>
      </c>
      <c r="BE53" s="118" t="n">
        <v>23.2</v>
      </c>
      <c r="BF53" s="120" t="n">
        <v>0.277</v>
      </c>
      <c r="BG53" s="117" t="n">
        <v>0.702</v>
      </c>
      <c r="BH53" s="122" t="n">
        <v>6</v>
      </c>
      <c r="BI53" s="123" t="n">
        <v>1</v>
      </c>
    </row>
    <row r="54" ht="17" customHeight="1">
      <c r="A54" s="117" t="inlineStr">
        <is>
          <t>AMAT</t>
        </is>
      </c>
      <c r="B54" s="117" t="inlineStr">
        <is>
          <t>APPLIED MATERIALS INC /DE</t>
        </is>
      </c>
      <c r="C54" s="118" t="n">
        <v>0.255</v>
      </c>
      <c r="D54" s="118" t="n">
        <v>3.635</v>
      </c>
      <c r="E54" s="118" t="n">
        <v>1.04</v>
      </c>
      <c r="F54" s="118" t="n">
        <v>3.891</v>
      </c>
      <c r="G54" s="118" t="n">
        <v>1.219</v>
      </c>
      <c r="H54" s="118" t="n">
        <v>0.253</v>
      </c>
      <c r="I54" s="118" t="n">
        <v>0.977</v>
      </c>
      <c r="J54" s="118" t="n">
        <v>-0.026</v>
      </c>
      <c r="K54" s="118" t="n">
        <v>0.858</v>
      </c>
      <c r="L54" s="121" t="inlineStr">
        <is>
          <t>⚠ MANIPULATOR RISK</t>
        </is>
      </c>
      <c r="M54" s="120" t="n">
        <v>0.013</v>
      </c>
      <c r="N54" s="120" t="n">
        <v>-0.005</v>
      </c>
      <c r="O54" s="120" t="n">
        <v>0.046</v>
      </c>
      <c r="P54" s="120" t="n">
        <v>0.674</v>
      </c>
      <c r="Q54" s="120" t="n">
        <v>-0.016</v>
      </c>
      <c r="R54" s="117" t="n">
        <v>0</v>
      </c>
      <c r="S54" s="118" t="n">
        <v>-6.5</v>
      </c>
      <c r="T54" s="118" t="n">
        <v>0.002</v>
      </c>
      <c r="U54" s="119" t="inlineStr">
        <is>
          <t>✓ Normal</t>
        </is>
      </c>
      <c r="V54" s="117" t="n">
        <v>1</v>
      </c>
      <c r="W54" s="117" t="n">
        <v>0</v>
      </c>
      <c r="X54" s="117" t="n">
        <v>0</v>
      </c>
      <c r="Y54" s="117" t="n">
        <v>1</v>
      </c>
      <c r="Z54" s="117" t="n">
        <v>0</v>
      </c>
      <c r="AA54" s="117" t="n">
        <v>0</v>
      </c>
      <c r="AB54" s="117" t="n">
        <v>2</v>
      </c>
      <c r="AC54" s="121" t="inlineStr">
        <is>
          <t>⚠ WATCH</t>
        </is>
      </c>
      <c r="AD54" s="118" t="n">
        <v>7958000000</v>
      </c>
      <c r="AE54" s="118" t="n">
        <v>-2782000000</v>
      </c>
      <c r="AF54" s="118" t="n">
        <v>6998000000</v>
      </c>
      <c r="AG54" s="118" t="n">
        <v>0.052</v>
      </c>
      <c r="AH54" s="119" t="inlineStr">
        <is>
          <t>✓ Medium Quality</t>
        </is>
      </c>
      <c r="AI54" s="118" t="n">
        <v>-0.008999999999999999</v>
      </c>
      <c r="AJ54" s="120" t="n">
        <v>2.891</v>
      </c>
      <c r="AK54" s="120" t="n">
        <v>-0.003</v>
      </c>
      <c r="AL54" s="120" t="n">
        <v>0.545</v>
      </c>
      <c r="AM54" s="120" t="n">
        <v>-0.026</v>
      </c>
      <c r="AN54" s="118" t="n">
        <v>98.7</v>
      </c>
      <c r="AO54" s="119" t="inlineStr">
        <is>
          <t>✓ Good</t>
        </is>
      </c>
      <c r="AP54" s="117" t="n">
        <v>0</v>
      </c>
      <c r="AQ54" s="117" t="n">
        <v>0</v>
      </c>
      <c r="AR54" s="117" t="n">
        <v>1</v>
      </c>
      <c r="AS54" s="117" t="n">
        <v>0</v>
      </c>
      <c r="AT54" s="117" t="n">
        <v>1</v>
      </c>
      <c r="AU54" s="117" t="n">
        <v>0</v>
      </c>
      <c r="AV54" s="117" t="n">
        <v>2</v>
      </c>
      <c r="AW54" s="121" t="inlineStr">
        <is>
          <t>⚠ WATCH</t>
        </is>
      </c>
      <c r="AX54" s="118" t="n">
        <v>26.7</v>
      </c>
      <c r="AY54" s="119" t="inlineStr">
        <is>
          <t>🟢 LOW RISK</t>
        </is>
      </c>
      <c r="AZ54" s="118" t="n">
        <v>129.6</v>
      </c>
      <c r="BA54" s="118" t="n">
        <v>508.9</v>
      </c>
      <c r="BB54" s="118" t="n">
        <v>148.3</v>
      </c>
      <c r="BC54" s="118" t="n">
        <v>138.6</v>
      </c>
      <c r="BD54" s="118" t="n">
        <v>49.6</v>
      </c>
      <c r="BE54" s="118" t="n">
        <v>40.1</v>
      </c>
      <c r="BF54" s="120" t="n">
        <v>0.245</v>
      </c>
      <c r="BG54" s="117" t="n">
        <v>0.674</v>
      </c>
      <c r="BH54" s="122" t="n">
        <v>4</v>
      </c>
      <c r="BI54" s="123" t="n">
        <v>1</v>
      </c>
    </row>
    <row r="55" ht="17" customHeight="1">
      <c r="A55" s="117" t="inlineStr">
        <is>
          <t>PCG</t>
        </is>
      </c>
      <c r="B55" s="117" t="inlineStr">
        <is>
          <t>PG&amp;E CORP</t>
        </is>
      </c>
      <c r="C55" s="118" t="n">
        <v>1</v>
      </c>
      <c r="D55" s="124" t="inlineStr">
        <is>
          <t>N/A</t>
        </is>
      </c>
      <c r="E55" s="118" t="n">
        <v>1.027</v>
      </c>
      <c r="F55" s="118" t="n">
        <v>1.021</v>
      </c>
      <c r="G55" s="118" t="n">
        <v>1.537</v>
      </c>
      <c r="H55" s="124" t="inlineStr">
        <is>
          <t>N/A</t>
        </is>
      </c>
      <c r="I55" s="118" t="n">
        <v>1</v>
      </c>
      <c r="J55" s="118" t="n">
        <v>-0.053</v>
      </c>
      <c r="K55" s="124" t="inlineStr">
        <is>
          <t>N/A</t>
        </is>
      </c>
      <c r="L55" s="124" t="inlineStr">
        <is>
          <t>N/A</t>
        </is>
      </c>
      <c r="M55" s="120" t="n">
        <v>-0.008999999999999999</v>
      </c>
      <c r="N55" s="120" t="n">
        <v>0.091</v>
      </c>
      <c r="O55" s="120" t="n">
        <v>0.045</v>
      </c>
      <c r="P55" s="120" t="n">
        <v>0.528</v>
      </c>
      <c r="Q55" s="120" t="n">
        <v>-0.001</v>
      </c>
      <c r="R55" s="117" t="n">
        <v>1</v>
      </c>
      <c r="S55" s="118" t="n">
        <v>-3.498</v>
      </c>
      <c r="T55" s="118" t="n">
        <v>0.029</v>
      </c>
      <c r="U55" s="119" t="inlineStr">
        <is>
          <t>✓ Normal</t>
        </is>
      </c>
      <c r="V55" s="117" t="n">
        <v>0</v>
      </c>
      <c r="W55" s="117" t="n">
        <v>1</v>
      </c>
      <c r="X55" s="117" t="n">
        <v>1</v>
      </c>
      <c r="Y55" s="117" t="n">
        <v>0</v>
      </c>
      <c r="Z55" s="117" t="n">
        <v>1</v>
      </c>
      <c r="AA55" s="117" t="n">
        <v>0</v>
      </c>
      <c r="AB55" s="117" t="n">
        <v>3</v>
      </c>
      <c r="AC55" s="121" t="inlineStr">
        <is>
          <t>⚠ WATCH</t>
        </is>
      </c>
      <c r="AD55" s="118" t="n">
        <v>8716000000</v>
      </c>
      <c r="AE55" s="118" t="n">
        <v>-12316000000</v>
      </c>
      <c r="AF55" s="118" t="n">
        <v>1220000000</v>
      </c>
      <c r="AG55" s="118" t="n">
        <v>0.035</v>
      </c>
      <c r="AH55" s="119" t="inlineStr">
        <is>
          <t>✓ Medium Quality</t>
        </is>
      </c>
      <c r="AI55" s="118" t="n">
        <v>0.021</v>
      </c>
      <c r="AJ55" s="120" t="n">
        <v>0.021</v>
      </c>
      <c r="AK55" s="120" t="n">
        <v>1.002</v>
      </c>
      <c r="AL55" s="120" t="n">
        <v>0.35</v>
      </c>
      <c r="AM55" s="124" t="inlineStr">
        <is>
          <t>N/A</t>
        </is>
      </c>
      <c r="AN55" s="118" t="n">
        <v>99.90000000000001</v>
      </c>
      <c r="AO55" s="119" t="inlineStr">
        <is>
          <t>✓ Good</t>
        </is>
      </c>
      <c r="AP55" s="117" t="n">
        <v>0</v>
      </c>
      <c r="AQ55" s="117" t="n">
        <v>0</v>
      </c>
      <c r="AR55" s="117" t="n">
        <v>0</v>
      </c>
      <c r="AS55" s="117" t="n">
        <v>0</v>
      </c>
      <c r="AT55" s="117" t="n">
        <v>0</v>
      </c>
      <c r="AU55" s="117" t="n">
        <v>1</v>
      </c>
      <c r="AV55" s="117" t="n">
        <v>1</v>
      </c>
      <c r="AW55" s="119" t="inlineStr">
        <is>
          <t>✓ Clean</t>
        </is>
      </c>
      <c r="AX55" s="118" t="n">
        <v>30.5</v>
      </c>
      <c r="AY55" s="119" t="inlineStr">
        <is>
          <t>🟢 LOW RISK</t>
        </is>
      </c>
      <c r="AZ55" s="118" t="n">
        <v>33.2</v>
      </c>
      <c r="BA55" s="118" t="n">
        <v>33.2</v>
      </c>
      <c r="BB55" s="124" t="inlineStr">
        <is>
          <t>N/A</t>
        </is>
      </c>
      <c r="BC55" s="124" t="inlineStr">
        <is>
          <t>N/A</t>
        </is>
      </c>
      <c r="BD55" s="124" t="inlineStr">
        <is>
          <t>N/A</t>
        </is>
      </c>
      <c r="BE55" s="124" t="inlineStr">
        <is>
          <t>N/A</t>
        </is>
      </c>
      <c r="BF55" s="120" t="n">
        <v>-0.116</v>
      </c>
      <c r="BG55" s="117" t="n">
        <v>0.528</v>
      </c>
      <c r="BH55" s="122" t="n">
        <v>5</v>
      </c>
      <c r="BI55" s="123" t="n">
        <v>0.8333333333333334</v>
      </c>
    </row>
    <row r="56" ht="17" customHeight="1">
      <c r="A56" s="117" t="inlineStr">
        <is>
          <t>RS</t>
        </is>
      </c>
      <c r="B56" s="117" t="inlineStr">
        <is>
          <t>RELIANCE, INC.</t>
        </is>
      </c>
      <c r="C56" s="118" t="n">
        <v>1.319</v>
      </c>
      <c r="D56" s="118" t="n">
        <v>0.836</v>
      </c>
      <c r="E56" s="118" t="n">
        <v>0.971</v>
      </c>
      <c r="F56" s="118" t="n">
        <v>0.87</v>
      </c>
      <c r="G56" s="118" t="n">
        <v>0.999</v>
      </c>
      <c r="H56" s="118" t="n">
        <v>1.21</v>
      </c>
      <c r="I56" s="118" t="n">
        <v>1.105</v>
      </c>
      <c r="J56" s="118" t="n">
        <v>-0.008999999999999999</v>
      </c>
      <c r="K56" s="118" t="n">
        <v>-2.513</v>
      </c>
      <c r="L56" s="119" t="inlineStr">
        <is>
          <t>✓ Lower Risk</t>
        </is>
      </c>
      <c r="M56" s="120" t="n">
        <v>0.042</v>
      </c>
      <c r="N56" s="120" t="n">
        <v>0.089</v>
      </c>
      <c r="O56" s="120" t="n">
        <v>0.073</v>
      </c>
      <c r="P56" s="120" t="n">
        <v>0.725</v>
      </c>
      <c r="Q56" s="120" t="n">
        <v>-0.016</v>
      </c>
      <c r="R56" s="117" t="n">
        <v>0</v>
      </c>
      <c r="S56" s="118" t="n">
        <v>-6.107</v>
      </c>
      <c r="T56" s="118" t="n">
        <v>0.002</v>
      </c>
      <c r="U56" s="119" t="inlineStr">
        <is>
          <t>✓ Normal</t>
        </is>
      </c>
      <c r="V56" s="117" t="n">
        <v>1</v>
      </c>
      <c r="W56" s="117" t="n">
        <v>1</v>
      </c>
      <c r="X56" s="117" t="n">
        <v>1</v>
      </c>
      <c r="Y56" s="117" t="n">
        <v>0</v>
      </c>
      <c r="Z56" s="117" t="n">
        <v>0</v>
      </c>
      <c r="AA56" s="117" t="n">
        <v>0</v>
      </c>
      <c r="AB56" s="117" t="n">
        <v>3</v>
      </c>
      <c r="AC56" s="121" t="inlineStr">
        <is>
          <t>⚠ WATCH</t>
        </is>
      </c>
      <c r="AD56" s="118" t="n">
        <v>831400000</v>
      </c>
      <c r="AE56" s="118" t="n">
        <v>-321800000</v>
      </c>
      <c r="AF56" s="118" t="n">
        <v>739400000</v>
      </c>
      <c r="AG56" s="118" t="n">
        <v>0.023</v>
      </c>
      <c r="AH56" s="119" t="inlineStr">
        <is>
          <t>✓ Medium Quality</t>
        </is>
      </c>
      <c r="AI56" s="118" t="n">
        <v>0.147</v>
      </c>
      <c r="AJ56" s="120" t="n">
        <v>-0.13</v>
      </c>
      <c r="AK56" s="120" t="n">
        <v>-1.131</v>
      </c>
      <c r="AL56" s="120" t="n">
        <v>0.056</v>
      </c>
      <c r="AM56" s="124" t="inlineStr">
        <is>
          <t>N/A</t>
        </is>
      </c>
      <c r="AN56" s="118" t="n">
        <v>81.2</v>
      </c>
      <c r="AO56" s="119" t="inlineStr">
        <is>
          <t>✓ Good</t>
        </is>
      </c>
      <c r="AP56" s="117" t="n">
        <v>1</v>
      </c>
      <c r="AQ56" s="117" t="n">
        <v>1</v>
      </c>
      <c r="AR56" s="117" t="n">
        <v>0</v>
      </c>
      <c r="AS56" s="117" t="n">
        <v>1</v>
      </c>
      <c r="AT56" s="117" t="n">
        <v>0</v>
      </c>
      <c r="AU56" s="117" t="n">
        <v>0</v>
      </c>
      <c r="AV56" s="117" t="n">
        <v>3</v>
      </c>
      <c r="AW56" s="121" t="inlineStr">
        <is>
          <t>⚠ WATCH</t>
        </is>
      </c>
      <c r="AX56" s="118" t="n">
        <v>21.2</v>
      </c>
      <c r="AY56" s="119" t="inlineStr">
        <is>
          <t>🟢 LOW RISK</t>
        </is>
      </c>
      <c r="AZ56" s="118" t="n">
        <v>38</v>
      </c>
      <c r="BA56" s="118" t="n">
        <v>28.8</v>
      </c>
      <c r="BB56" s="118" t="n">
        <v>96.8</v>
      </c>
      <c r="BC56" s="118" t="n">
        <v>351.6</v>
      </c>
      <c r="BD56" s="118" t="n">
        <v>16.6</v>
      </c>
      <c r="BE56" s="118" t="n">
        <v>62.8</v>
      </c>
      <c r="BF56" s="120" t="n">
        <v>0.235</v>
      </c>
      <c r="BG56" s="117" t="n">
        <v>0.725</v>
      </c>
      <c r="BH56" s="122" t="n">
        <v>6</v>
      </c>
      <c r="BI56" s="123" t="n">
        <v>1</v>
      </c>
    </row>
    <row r="57" ht="17" customHeight="1">
      <c r="A57" s="117" t="inlineStr">
        <is>
          <t>MKC</t>
        </is>
      </c>
      <c r="B57" s="117" t="inlineStr">
        <is>
          <t>McCORMICK &amp; COMPANY, INCORPORATED</t>
        </is>
      </c>
      <c r="C57" s="118" t="n">
        <v>1.052</v>
      </c>
      <c r="D57" s="118" t="n">
        <v>1.017</v>
      </c>
      <c r="E57" s="118" t="n">
        <v>1</v>
      </c>
      <c r="F57" s="118" t="n">
        <v>1.017</v>
      </c>
      <c r="G57" s="118" t="n">
        <v>0.982</v>
      </c>
      <c r="H57" s="118" t="n">
        <v>0.969</v>
      </c>
      <c r="I57" s="118" t="n">
        <v>0.949</v>
      </c>
      <c r="J57" s="118" t="n">
        <v>-0.013</v>
      </c>
      <c r="K57" s="118" t="n">
        <v>-2.449</v>
      </c>
      <c r="L57" s="119" t="inlineStr">
        <is>
          <t>✓ Lower Risk</t>
        </is>
      </c>
      <c r="M57" s="120" t="n">
        <v>-0.015</v>
      </c>
      <c r="N57" s="120" t="n">
        <v>0.356</v>
      </c>
      <c r="O57" s="120" t="n">
        <v>0.275</v>
      </c>
      <c r="P57" s="120" t="n">
        <v>0.883</v>
      </c>
      <c r="Q57" s="120" t="n">
        <v>-0.001</v>
      </c>
      <c r="R57" s="117" t="n">
        <v>0</v>
      </c>
      <c r="S57" s="118" t="n">
        <v>-4.933</v>
      </c>
      <c r="T57" s="118" t="n">
        <v>0.007</v>
      </c>
      <c r="U57" s="119" t="inlineStr">
        <is>
          <t>✓ Normal</t>
        </is>
      </c>
      <c r="V57" s="117" t="n">
        <v>0</v>
      </c>
      <c r="W57" s="117" t="n">
        <v>1</v>
      </c>
      <c r="X57" s="117" t="n">
        <v>1</v>
      </c>
      <c r="Y57" s="117" t="n">
        <v>0</v>
      </c>
      <c r="Z57" s="117" t="n">
        <v>0</v>
      </c>
      <c r="AA57" s="117" t="n">
        <v>0</v>
      </c>
      <c r="AB57" s="117" t="n">
        <v>2</v>
      </c>
      <c r="AC57" s="121" t="inlineStr">
        <is>
          <t>⚠ WATCH</t>
        </is>
      </c>
      <c r="AD57" s="118" t="n">
        <v>962200000</v>
      </c>
      <c r="AE57" s="118" t="n">
        <v>-255200000</v>
      </c>
      <c r="AF57" s="118" t="n">
        <v>789400000</v>
      </c>
      <c r="AG57" s="118" t="n">
        <v>0.006</v>
      </c>
      <c r="AH57" s="119" t="inlineStr">
        <is>
          <t>✓ Medium Quality</t>
        </is>
      </c>
      <c r="AI57" s="118" t="n">
        <v>0.07099999999999999</v>
      </c>
      <c r="AJ57" s="120" t="n">
        <v>0.017</v>
      </c>
      <c r="AK57" s="120" t="n">
        <v>4.074</v>
      </c>
      <c r="AL57" s="120" t="n">
        <v>0.141</v>
      </c>
      <c r="AM57" s="124" t="inlineStr">
        <is>
          <t>N/A</t>
        </is>
      </c>
      <c r="AN57" s="118" t="n">
        <v>68.09999999999999</v>
      </c>
      <c r="AO57" s="119" t="inlineStr">
        <is>
          <t>✓ Good</t>
        </is>
      </c>
      <c r="AP57" s="117" t="n">
        <v>0</v>
      </c>
      <c r="AQ57" s="117" t="n">
        <v>0</v>
      </c>
      <c r="AR57" s="117" t="n">
        <v>1</v>
      </c>
      <c r="AS57" s="117" t="n">
        <v>0</v>
      </c>
      <c r="AT57" s="117" t="n">
        <v>1</v>
      </c>
      <c r="AU57" s="117" t="n">
        <v>0</v>
      </c>
      <c r="AV57" s="117" t="n">
        <v>2</v>
      </c>
      <c r="AW57" s="121" t="inlineStr">
        <is>
          <t>⚠ WATCH</t>
        </is>
      </c>
      <c r="AX57" s="118" t="n">
        <v>18.3</v>
      </c>
      <c r="AY57" s="119" t="inlineStr">
        <is>
          <t>🟢 VERY LOW RISK</t>
        </is>
      </c>
      <c r="AZ57" s="118" t="n">
        <v>33.6</v>
      </c>
      <c r="BA57" s="118" t="n">
        <v>31.9</v>
      </c>
      <c r="BB57" s="118" t="n">
        <v>109.3</v>
      </c>
      <c r="BC57" s="118" t="n">
        <v>109.5</v>
      </c>
      <c r="BD57" s="118" t="n">
        <v>78.90000000000001</v>
      </c>
      <c r="BE57" s="124" t="inlineStr">
        <is>
          <t>N/A</t>
        </is>
      </c>
      <c r="BF57" s="120" t="n">
        <v>0.316</v>
      </c>
      <c r="BG57" s="117" t="n">
        <v>0.883</v>
      </c>
      <c r="BH57" s="122" t="n">
        <v>4</v>
      </c>
      <c r="BI57" s="123" t="n">
        <v>1</v>
      </c>
    </row>
    <row r="58" ht="17" customHeight="1">
      <c r="A58" s="117" t="inlineStr">
        <is>
          <t>JKHY</t>
        </is>
      </c>
      <c r="B58" s="117" t="inlineStr">
        <is>
          <t>JACK HENRY &amp; ASSOCIATES, INC.</t>
        </is>
      </c>
      <c r="C58" s="118" t="n">
        <v>0.259</v>
      </c>
      <c r="D58" s="118" t="n">
        <v>0.989</v>
      </c>
      <c r="E58" s="118" t="n">
        <v>0.99</v>
      </c>
      <c r="F58" s="118" t="n">
        <v>3.683</v>
      </c>
      <c r="G58" s="118" t="n">
        <v>1.074</v>
      </c>
      <c r="H58" s="118" t="n">
        <v>0.276</v>
      </c>
      <c r="I58" s="118" t="n">
        <v>0.8110000000000001</v>
      </c>
      <c r="J58" s="118" t="n">
        <v>-0.061</v>
      </c>
      <c r="K58" s="118" t="n">
        <v>-0.869</v>
      </c>
      <c r="L58" s="121" t="inlineStr">
        <is>
          <t>⚠ MANIPULATOR RISK</t>
        </is>
      </c>
      <c r="M58" s="120" t="n">
        <v>0.08699999999999999</v>
      </c>
      <c r="N58" s="120" t="n">
        <v>-0.013</v>
      </c>
      <c r="O58" s="124" t="inlineStr">
        <is>
          <t>N/A</t>
        </is>
      </c>
      <c r="P58" s="120" t="n">
        <v>0.911</v>
      </c>
      <c r="Q58" s="120" t="n">
        <v>0.019</v>
      </c>
      <c r="R58" s="117" t="n">
        <v>1</v>
      </c>
      <c r="S58" s="118" t="n">
        <v>-2.99</v>
      </c>
      <c r="T58" s="118" t="n">
        <v>0.048</v>
      </c>
      <c r="U58" s="121" t="inlineStr">
        <is>
          <t>⚠ HIGH RISK</t>
        </is>
      </c>
      <c r="V58" s="117" t="n">
        <v>1</v>
      </c>
      <c r="W58" s="117" t="n">
        <v>0</v>
      </c>
      <c r="X58" s="117" t="n">
        <v>0</v>
      </c>
      <c r="Y58" s="117" t="n">
        <v>1</v>
      </c>
      <c r="Z58" s="117" t="n">
        <v>1</v>
      </c>
      <c r="AA58" s="117" t="n">
        <v>0</v>
      </c>
      <c r="AB58" s="117" t="n">
        <v>3</v>
      </c>
      <c r="AC58" s="121" t="inlineStr">
        <is>
          <t>⚠ WATCH</t>
        </is>
      </c>
      <c r="AD58" s="118" t="n">
        <v>641504000</v>
      </c>
      <c r="AE58" s="118" t="n">
        <v>-232163000</v>
      </c>
      <c r="AF58" s="118" t="n">
        <v>455748000</v>
      </c>
      <c r="AG58" s="118" t="n">
        <v>0.016</v>
      </c>
      <c r="AH58" s="119" t="inlineStr">
        <is>
          <t>✓ Medium Quality</t>
        </is>
      </c>
      <c r="AI58" s="118" t="n">
        <v>-0.045</v>
      </c>
      <c r="AJ58" s="120" t="n">
        <v>2.683</v>
      </c>
      <c r="AK58" s="120" t="n">
        <v>-0.017</v>
      </c>
      <c r="AL58" s="120" t="n">
        <v>0.417</v>
      </c>
      <c r="AM58" s="120" t="n">
        <v>-0.018</v>
      </c>
      <c r="AN58" s="118" t="n">
        <v>99.09999999999999</v>
      </c>
      <c r="AO58" s="119" t="inlineStr">
        <is>
          <t>✓ Good</t>
        </is>
      </c>
      <c r="AP58" s="117" t="n">
        <v>0</v>
      </c>
      <c r="AQ58" s="117" t="n">
        <v>0</v>
      </c>
      <c r="AR58" s="117" t="n">
        <v>0</v>
      </c>
      <c r="AS58" s="117" t="n">
        <v>0</v>
      </c>
      <c r="AT58" s="117" t="n">
        <v>1</v>
      </c>
      <c r="AU58" s="117" t="n">
        <v>1</v>
      </c>
      <c r="AV58" s="117" t="n">
        <v>2</v>
      </c>
      <c r="AW58" s="121" t="inlineStr">
        <is>
          <t>⚠ WATCH</t>
        </is>
      </c>
      <c r="AX58" s="118" t="n">
        <v>31.1</v>
      </c>
      <c r="AY58" s="119" t="inlineStr">
        <is>
          <t>🟢 LOW RISK</t>
        </is>
      </c>
      <c r="AZ58" s="118" t="n">
        <v>75.5</v>
      </c>
      <c r="BA58" s="118" t="n">
        <v>291.3</v>
      </c>
      <c r="BB58" s="124" t="inlineStr">
        <is>
          <t>N/A</t>
        </is>
      </c>
      <c r="BC58" s="124" t="inlineStr">
        <is>
          <t>N/A</t>
        </is>
      </c>
      <c r="BD58" s="118" t="n">
        <v>7.6</v>
      </c>
      <c r="BE58" s="118" t="n">
        <v>7.1</v>
      </c>
      <c r="BF58" s="120" t="n">
        <v>0.222</v>
      </c>
      <c r="BG58" s="117" t="n">
        <v>0.911</v>
      </c>
      <c r="BH58" s="122" t="n">
        <v>6</v>
      </c>
      <c r="BI58" s="123" t="n">
        <v>1</v>
      </c>
    </row>
    <row r="59" ht="17" customHeight="1">
      <c r="A59" s="117" t="inlineStr">
        <is>
          <t>CF</t>
        </is>
      </c>
      <c r="B59" s="117" t="inlineStr">
        <is>
          <t>CF INDUSTRIES HOLDINGS, INC.</t>
        </is>
      </c>
      <c r="C59" s="118" t="n">
        <v>1.012</v>
      </c>
      <c r="D59" s="118" t="n">
        <v>0.901</v>
      </c>
      <c r="E59" s="118" t="n">
        <v>0.996</v>
      </c>
      <c r="F59" s="118" t="n">
        <v>1.193</v>
      </c>
      <c r="G59" s="118" t="n">
        <v>1.018</v>
      </c>
      <c r="H59" s="118" t="n">
        <v>0.953</v>
      </c>
      <c r="I59" s="118" t="n">
        <v>1</v>
      </c>
      <c r="J59" s="118" t="n">
        <v>-0.08599999999999999</v>
      </c>
      <c r="K59" s="118" t="n">
        <v>-2.743</v>
      </c>
      <c r="L59" s="119" t="inlineStr">
        <is>
          <t>✓ Lower Risk</t>
        </is>
      </c>
      <c r="M59" s="120" t="n">
        <v>0.027</v>
      </c>
      <c r="N59" s="120" t="n">
        <v>0.073</v>
      </c>
      <c r="O59" s="120" t="n">
        <v>0.06</v>
      </c>
      <c r="P59" s="120" t="n">
        <v>0.503</v>
      </c>
      <c r="Q59" s="120" t="n">
        <v>0.083</v>
      </c>
      <c r="R59" s="117" t="n">
        <v>0</v>
      </c>
      <c r="S59" s="118" t="n">
        <v>-6.657</v>
      </c>
      <c r="T59" s="118" t="n">
        <v>0.001</v>
      </c>
      <c r="U59" s="119" t="inlineStr">
        <is>
          <t>✓ Normal</t>
        </is>
      </c>
      <c r="V59" s="117" t="n">
        <v>1</v>
      </c>
      <c r="W59" s="117" t="n">
        <v>1</v>
      </c>
      <c r="X59" s="117" t="n">
        <v>1</v>
      </c>
      <c r="Y59" s="117" t="n">
        <v>1</v>
      </c>
      <c r="Z59" s="117" t="n">
        <v>1</v>
      </c>
      <c r="AA59" s="117" t="n">
        <v>0</v>
      </c>
      <c r="AB59" s="117" t="n">
        <v>5</v>
      </c>
      <c r="AC59" s="121" t="inlineStr">
        <is>
          <t>⚠⚠ SERIOUS CONCERN</t>
        </is>
      </c>
      <c r="AD59" s="118" t="n">
        <v>2752000000</v>
      </c>
      <c r="AE59" s="118" t="n">
        <v>-933000000</v>
      </c>
      <c r="AF59" s="118" t="n">
        <v>1539200000</v>
      </c>
      <c r="AG59" s="118" t="n">
        <v>-0.02</v>
      </c>
      <c r="AH59" s="119" t="inlineStr">
        <is>
          <t>✓ Medium Quality</t>
        </is>
      </c>
      <c r="AI59" s="118" t="n">
        <v>0.208</v>
      </c>
      <c r="AJ59" s="120" t="n">
        <v>0.193</v>
      </c>
      <c r="AK59" s="120" t="n">
        <v>1.075</v>
      </c>
      <c r="AL59" s="120" t="n">
        <v>0.388</v>
      </c>
      <c r="AM59" s="120" t="n">
        <v>-0.006</v>
      </c>
      <c r="AN59" s="118" t="n">
        <v>97.5</v>
      </c>
      <c r="AO59" s="119" t="inlineStr">
        <is>
          <t>✓ Good</t>
        </is>
      </c>
      <c r="AP59" s="117" t="n">
        <v>0</v>
      </c>
      <c r="AQ59" s="117" t="n">
        <v>0</v>
      </c>
      <c r="AR59" s="117" t="n">
        <v>0</v>
      </c>
      <c r="AS59" s="117" t="n">
        <v>0</v>
      </c>
      <c r="AT59" s="117" t="n">
        <v>0</v>
      </c>
      <c r="AU59" s="117" t="n">
        <v>0</v>
      </c>
      <c r="AV59" s="117" t="n">
        <v>0</v>
      </c>
      <c r="AW59" s="119" t="inlineStr">
        <is>
          <t>✓ Clean</t>
        </is>
      </c>
      <c r="AX59" s="118" t="n">
        <v>23.7</v>
      </c>
      <c r="AY59" s="119" t="inlineStr">
        <is>
          <t>🟢 LOW RISK</t>
        </is>
      </c>
      <c r="AZ59" s="118" t="n">
        <v>25.1</v>
      </c>
      <c r="BA59" s="118" t="n">
        <v>24.8</v>
      </c>
      <c r="BB59" s="118" t="n">
        <v>32.1</v>
      </c>
      <c r="BC59" s="118" t="n">
        <v>29.5</v>
      </c>
      <c r="BD59" s="118" t="n">
        <v>12.4</v>
      </c>
      <c r="BE59" s="118" t="n">
        <v>11.8</v>
      </c>
      <c r="BF59" s="120" t="n">
        <v>0.197</v>
      </c>
      <c r="BG59" s="117" t="n">
        <v>0.503</v>
      </c>
      <c r="BH59" s="122" t="n">
        <v>5</v>
      </c>
      <c r="BI59" s="123" t="n">
        <v>1</v>
      </c>
    </row>
    <row r="60" ht="17" customHeight="1">
      <c r="A60" s="117" t="inlineStr">
        <is>
          <t>PFE</t>
        </is>
      </c>
      <c r="B60" s="117" t="inlineStr">
        <is>
          <t>Pfizer Inc.</t>
        </is>
      </c>
      <c r="C60" s="118" t="n">
        <v>1.053</v>
      </c>
      <c r="D60" s="118" t="n">
        <v>0.968</v>
      </c>
      <c r="E60" s="118" t="n">
        <v>1.034</v>
      </c>
      <c r="F60" s="118" t="n">
        <v>0.984</v>
      </c>
      <c r="G60" s="118" t="n">
        <v>1.085</v>
      </c>
      <c r="H60" s="118" t="n">
        <v>0.952</v>
      </c>
      <c r="I60" s="118" t="n">
        <v>0.996</v>
      </c>
      <c r="J60" s="118" t="n">
        <v>-0.019</v>
      </c>
      <c r="K60" s="118" t="n">
        <v>-2.518</v>
      </c>
      <c r="L60" s="119" t="inlineStr">
        <is>
          <t>✓ Lower Risk</t>
        </is>
      </c>
      <c r="M60" s="120" t="n">
        <v>-0.039</v>
      </c>
      <c r="N60" s="120" t="n">
        <v>0.392</v>
      </c>
      <c r="O60" s="120" t="n">
        <v>-0.188</v>
      </c>
      <c r="P60" s="120" t="n">
        <v>0.902</v>
      </c>
      <c r="Q60" s="120" t="n">
        <v>-0</v>
      </c>
      <c r="R60" s="117" t="n">
        <v>1</v>
      </c>
      <c r="S60" s="118" t="n">
        <v>-2.302</v>
      </c>
      <c r="T60" s="118" t="n">
        <v>0.091</v>
      </c>
      <c r="U60" s="121" t="inlineStr">
        <is>
          <t>⚠ HIGH RISK</t>
        </is>
      </c>
      <c r="V60" s="117" t="n">
        <v>1</v>
      </c>
      <c r="W60" s="117" t="n">
        <v>1</v>
      </c>
      <c r="X60" s="117" t="n">
        <v>0</v>
      </c>
      <c r="Y60" s="117" t="n">
        <v>1</v>
      </c>
      <c r="Z60" s="117" t="n">
        <v>1</v>
      </c>
      <c r="AA60" s="117" t="n">
        <v>0</v>
      </c>
      <c r="AB60" s="117" t="n">
        <v>4</v>
      </c>
      <c r="AC60" s="121" t="inlineStr">
        <is>
          <t>⚠⚠ SERIOUS CONCERN</t>
        </is>
      </c>
      <c r="AD60" s="118" t="n">
        <v>11704000000</v>
      </c>
      <c r="AE60" s="118" t="n">
        <v>-1351000000</v>
      </c>
      <c r="AF60" s="118" t="n">
        <v>7771000000</v>
      </c>
      <c r="AG60" s="118" t="n">
        <v>-0.012</v>
      </c>
      <c r="AH60" s="119" t="inlineStr">
        <is>
          <t>✓ Medium Quality</t>
        </is>
      </c>
      <c r="AI60" s="118" t="n">
        <v>0.036</v>
      </c>
      <c r="AJ60" s="120" t="n">
        <v>-0.016</v>
      </c>
      <c r="AK60" s="120" t="n">
        <v>-2.177</v>
      </c>
      <c r="AL60" s="120" t="n">
        <v>0.187</v>
      </c>
      <c r="AM60" s="120" t="n">
        <v>-0.012</v>
      </c>
      <c r="AN60" s="118" t="n">
        <v>99.40000000000001</v>
      </c>
      <c r="AO60" s="119" t="inlineStr">
        <is>
          <t>✓ Good</t>
        </is>
      </c>
      <c r="AP60" s="117" t="n">
        <v>1</v>
      </c>
      <c r="AQ60" s="117" t="n">
        <v>1</v>
      </c>
      <c r="AR60" s="117" t="n">
        <v>0</v>
      </c>
      <c r="AS60" s="117" t="n">
        <v>0</v>
      </c>
      <c r="AT60" s="117" t="n">
        <v>0</v>
      </c>
      <c r="AU60" s="117" t="n">
        <v>1</v>
      </c>
      <c r="AV60" s="117" t="n">
        <v>3</v>
      </c>
      <c r="AW60" s="121" t="inlineStr">
        <is>
          <t>⚠ WATCH</t>
        </is>
      </c>
      <c r="AX60" s="118" t="n">
        <v>36.7</v>
      </c>
      <c r="AY60" s="119" t="inlineStr">
        <is>
          <t>🟢 LOW RISK</t>
        </is>
      </c>
      <c r="AZ60" s="118" t="n">
        <v>69.3</v>
      </c>
      <c r="BA60" s="118" t="n">
        <v>65.8</v>
      </c>
      <c r="BB60" s="118" t="n">
        <v>242</v>
      </c>
      <c r="BC60" s="118" t="n">
        <v>221.9</v>
      </c>
      <c r="BD60" s="118" t="n">
        <v>119</v>
      </c>
      <c r="BE60" s="118" t="n">
        <v>115.2</v>
      </c>
      <c r="BF60" s="120" t="n">
        <v>-0.035</v>
      </c>
      <c r="BG60" s="117" t="n">
        <v>0.902</v>
      </c>
      <c r="BH60" s="122" t="n">
        <v>8</v>
      </c>
      <c r="BI60" s="123" t="n">
        <v>1</v>
      </c>
    </row>
    <row r="61" ht="17" customHeight="1">
      <c r="A61" s="117" t="inlineStr">
        <is>
          <t>AMGN</t>
        </is>
      </c>
      <c r="B61" s="117" t="inlineStr">
        <is>
          <t>Amgen Inc.</t>
        </is>
      </c>
      <c r="C61" s="118" t="n">
        <v>1.297</v>
      </c>
      <c r="D61" s="118" t="n">
        <v>1.044</v>
      </c>
      <c r="E61" s="118" t="n">
        <v>0.966</v>
      </c>
      <c r="F61" s="118" t="n">
        <v>1.088</v>
      </c>
      <c r="G61" s="118" t="n">
        <v>1.087</v>
      </c>
      <c r="H61" s="118" t="n">
        <v>0.913</v>
      </c>
      <c r="I61" s="118" t="n">
        <v>1</v>
      </c>
      <c r="J61" s="118" t="n">
        <v>-0.025</v>
      </c>
      <c r="K61" s="118" t="n">
        <v>-2.21</v>
      </c>
      <c r="L61" s="121" t="inlineStr">
        <is>
          <t>⚠ MANIPULATOR RISK</t>
        </is>
      </c>
      <c r="M61" s="120" t="n">
        <v>-0.004</v>
      </c>
      <c r="N61" s="120" t="n">
        <v>1.352</v>
      </c>
      <c r="O61" s="120" t="n">
        <v>-0.375</v>
      </c>
      <c r="P61" s="120" t="n">
        <v>0.8120000000000001</v>
      </c>
      <c r="Q61" s="120" t="n">
        <v>0.041</v>
      </c>
      <c r="R61" s="117" t="n">
        <v>1</v>
      </c>
      <c r="S61" s="118" t="n">
        <v>-0.276</v>
      </c>
      <c r="T61" s="118" t="n">
        <v>0.432</v>
      </c>
      <c r="U61" s="121" t="inlineStr">
        <is>
          <t>⚠ HIGH RISK</t>
        </is>
      </c>
      <c r="V61" s="117" t="n">
        <v>1</v>
      </c>
      <c r="W61" s="117" t="n">
        <v>1</v>
      </c>
      <c r="X61" s="117" t="n">
        <v>0</v>
      </c>
      <c r="Y61" s="117" t="n">
        <v>0</v>
      </c>
      <c r="Z61" s="117" t="n">
        <v>0</v>
      </c>
      <c r="AA61" s="117" t="n">
        <v>0</v>
      </c>
      <c r="AB61" s="117" t="n">
        <v>2</v>
      </c>
      <c r="AC61" s="121" t="inlineStr">
        <is>
          <t>⚠ WATCH</t>
        </is>
      </c>
      <c r="AD61" s="118" t="n">
        <v>9958000000</v>
      </c>
      <c r="AE61" s="118" t="n">
        <v>-1943000000</v>
      </c>
      <c r="AF61" s="118" t="n">
        <v>7711000000</v>
      </c>
      <c r="AG61" s="118" t="n">
        <v>-0.003</v>
      </c>
      <c r="AH61" s="119" t="inlineStr">
        <is>
          <t>✓ Medium Quality</t>
        </is>
      </c>
      <c r="AI61" s="118" t="n">
        <v>0.411</v>
      </c>
      <c r="AJ61" s="120" t="n">
        <v>0.08799999999999999</v>
      </c>
      <c r="AK61" s="120" t="n">
        <v>4.658</v>
      </c>
      <c r="AL61" s="120" t="n">
        <v>0.392</v>
      </c>
      <c r="AM61" s="124" t="inlineStr">
        <is>
          <t>N/A</t>
        </is>
      </c>
      <c r="AN61" s="117" t="n">
        <v>70</v>
      </c>
      <c r="AO61" s="119" t="inlineStr">
        <is>
          <t>✓ Good</t>
        </is>
      </c>
      <c r="AP61" s="117" t="n">
        <v>0</v>
      </c>
      <c r="AQ61" s="117" t="n">
        <v>1</v>
      </c>
      <c r="AR61" s="117" t="n">
        <v>1</v>
      </c>
      <c r="AS61" s="117" t="n">
        <v>0</v>
      </c>
      <c r="AT61" s="117" t="n">
        <v>1</v>
      </c>
      <c r="AU61" s="117" t="n">
        <v>0</v>
      </c>
      <c r="AV61" s="117" t="n">
        <v>3</v>
      </c>
      <c r="AW61" s="121" t="inlineStr">
        <is>
          <t>⚠ WATCH</t>
        </is>
      </c>
      <c r="AX61" s="118" t="n">
        <v>48.6</v>
      </c>
      <c r="AY61" s="121" t="inlineStr">
        <is>
          <t>🟡 ELEVATED RISK</t>
        </is>
      </c>
      <c r="AZ61" s="118" t="n">
        <v>137.4</v>
      </c>
      <c r="BA61" s="118" t="n">
        <v>106</v>
      </c>
      <c r="BB61" s="118" t="n">
        <v>188.8</v>
      </c>
      <c r="BC61" s="118" t="n">
        <v>198.7</v>
      </c>
      <c r="BD61" s="118" t="n">
        <v>71.8</v>
      </c>
      <c r="BE61" s="118" t="n">
        <v>54.2</v>
      </c>
      <c r="BF61" s="120" t="n">
        <v>0.141</v>
      </c>
      <c r="BG61" s="117" t="n">
        <v>0.8120000000000001</v>
      </c>
      <c r="BH61" s="122" t="n">
        <v>6</v>
      </c>
      <c r="BI61" s="123" t="n">
        <v>1</v>
      </c>
    </row>
    <row r="62" ht="17" customHeight="1">
      <c r="A62" s="117" t="inlineStr">
        <is>
          <t>TDG</t>
        </is>
      </c>
      <c r="B62" s="117" t="inlineStr">
        <is>
          <t>TransDigm Group Incorporated</t>
        </is>
      </c>
      <c r="C62" s="118" t="n">
        <v>1.053</v>
      </c>
      <c r="D62" s="118" t="n">
        <v>0.978</v>
      </c>
      <c r="E62" s="118" t="n">
        <v>1.137</v>
      </c>
      <c r="F62" s="118" t="n">
        <v>1.112</v>
      </c>
      <c r="G62" s="118" t="n">
        <v>0.919</v>
      </c>
      <c r="H62" s="118" t="n">
        <v>0.867</v>
      </c>
      <c r="I62" s="118" t="n">
        <v>1.142</v>
      </c>
      <c r="J62" s="118" t="n">
        <v>0.002</v>
      </c>
      <c r="K62" s="118" t="n">
        <v>-2.313</v>
      </c>
      <c r="L62" s="119" t="inlineStr">
        <is>
          <t>✓ Lower Risk</t>
        </is>
      </c>
      <c r="M62" s="120" t="n">
        <v>0.184</v>
      </c>
      <c r="N62" s="120" t="n">
        <v>0.265</v>
      </c>
      <c r="O62" s="120" t="n">
        <v>0.246</v>
      </c>
      <c r="P62" s="120" t="n">
        <v>0.8090000000000001</v>
      </c>
      <c r="Q62" s="120" t="n">
        <v>0.024</v>
      </c>
      <c r="R62" s="117" t="n">
        <v>1</v>
      </c>
      <c r="S62" s="118" t="n">
        <v>-2.124</v>
      </c>
      <c r="T62" s="118" t="n">
        <v>0.107</v>
      </c>
      <c r="U62" s="121" t="inlineStr">
        <is>
          <t>⚠ HIGH RISK</t>
        </is>
      </c>
      <c r="V62" s="117" t="n">
        <v>1</v>
      </c>
      <c r="W62" s="117" t="n">
        <v>1</v>
      </c>
      <c r="X62" s="117" t="n">
        <v>1</v>
      </c>
      <c r="Y62" s="117" t="n">
        <v>0</v>
      </c>
      <c r="Z62" s="117" t="n">
        <v>0</v>
      </c>
      <c r="AA62" s="117" t="n">
        <v>0</v>
      </c>
      <c r="AB62" s="117" t="n">
        <v>3</v>
      </c>
      <c r="AC62" s="121" t="inlineStr">
        <is>
          <t>⚠ WATCH</t>
        </is>
      </c>
      <c r="AD62" s="118" t="n">
        <v>2038000000</v>
      </c>
      <c r="AE62" s="118" t="n">
        <v>-595000000</v>
      </c>
      <c r="AF62" s="118" t="n">
        <v>2074000000</v>
      </c>
      <c r="AG62" s="118" t="n">
        <v>0.026</v>
      </c>
      <c r="AH62" s="119" t="inlineStr">
        <is>
          <t>✓ Medium Quality</t>
        </is>
      </c>
      <c r="AI62" s="118" t="n">
        <v>0.171</v>
      </c>
      <c r="AJ62" s="120" t="n">
        <v>0.112</v>
      </c>
      <c r="AK62" s="120" t="n">
        <v>1.523</v>
      </c>
      <c r="AL62" s="120" t="n">
        <v>0.231</v>
      </c>
      <c r="AM62" s="120" t="n">
        <v>-0.003</v>
      </c>
      <c r="AN62" s="118" t="n">
        <v>84.2</v>
      </c>
      <c r="AO62" s="119" t="inlineStr">
        <is>
          <t>✓ Good</t>
        </is>
      </c>
      <c r="AP62" s="117" t="n">
        <v>0</v>
      </c>
      <c r="AQ62" s="117" t="n">
        <v>0</v>
      </c>
      <c r="AR62" s="117" t="n">
        <v>0</v>
      </c>
      <c r="AS62" s="117" t="n">
        <v>0</v>
      </c>
      <c r="AT62" s="117" t="n">
        <v>1</v>
      </c>
      <c r="AU62" s="117" t="n">
        <v>1</v>
      </c>
      <c r="AV62" s="117" t="n">
        <v>2</v>
      </c>
      <c r="AW62" s="121" t="inlineStr">
        <is>
          <t>⚠ WATCH</t>
        </is>
      </c>
      <c r="AX62" s="118" t="n">
        <v>36.6</v>
      </c>
      <c r="AY62" s="119" t="inlineStr">
        <is>
          <t>🟢 LOW RISK</t>
        </is>
      </c>
      <c r="AZ62" s="118" t="n">
        <v>66.8</v>
      </c>
      <c r="BA62" s="118" t="n">
        <v>63.5</v>
      </c>
      <c r="BB62" s="118" t="n">
        <v>217.2</v>
      </c>
      <c r="BC62" s="118" t="n">
        <v>209.5</v>
      </c>
      <c r="BD62" s="118" t="n">
        <v>38.2</v>
      </c>
      <c r="BE62" s="118" t="n">
        <v>36.1</v>
      </c>
      <c r="BF62" s="120" t="n">
        <v>0.211</v>
      </c>
      <c r="BG62" s="117" t="n">
        <v>0.8090000000000001</v>
      </c>
      <c r="BH62" s="122" t="n">
        <v>6</v>
      </c>
      <c r="BI62" s="123" t="n">
        <v>1</v>
      </c>
    </row>
    <row r="63" ht="17" customHeight="1">
      <c r="A63" s="129" t="inlineStr">
        <is>
          <t>ETN</t>
        </is>
      </c>
      <c r="B63" s="129" t="inlineStr">
        <is>
          <t>EATON CORPORATION plc</t>
        </is>
      </c>
      <c r="C63" s="124" t="inlineStr">
        <is>
          <t>N/A</t>
        </is>
      </c>
      <c r="D63" s="124" t="inlineStr">
        <is>
          <t>N/A</t>
        </is>
      </c>
      <c r="E63" s="130" t="n">
        <v>1.001</v>
      </c>
      <c r="F63" s="124" t="inlineStr">
        <is>
          <t>N/A</t>
        </is>
      </c>
      <c r="G63" s="130" t="n">
        <v>1.048</v>
      </c>
      <c r="H63" s="124" t="inlineStr">
        <is>
          <t>N/A</t>
        </is>
      </c>
      <c r="I63" s="130" t="n">
        <v>1</v>
      </c>
      <c r="J63" s="130" t="n">
        <v>-0.008999999999999999</v>
      </c>
      <c r="K63" s="124" t="inlineStr">
        <is>
          <t>N/A</t>
        </is>
      </c>
      <c r="L63" s="124" t="inlineStr">
        <is>
          <t>N/A</t>
        </is>
      </c>
      <c r="M63" s="131" t="n">
        <v>-0.049</v>
      </c>
      <c r="N63" s="131" t="n">
        <v>768000000000</v>
      </c>
      <c r="O63" s="131" t="n">
        <v>494000000000</v>
      </c>
      <c r="P63" s="131" t="n">
        <v>0.88</v>
      </c>
      <c r="Q63" s="131" t="n">
        <v>0</v>
      </c>
      <c r="R63" s="129" t="n">
        <v>0</v>
      </c>
      <c r="S63" s="130" t="n">
        <v>2522177999993.81</v>
      </c>
      <c r="T63" s="130" t="n">
        <v>1</v>
      </c>
      <c r="U63" s="121" t="inlineStr">
        <is>
          <t>⚠ HIGH RISK</t>
        </is>
      </c>
      <c r="V63" s="129" t="n">
        <v>0</v>
      </c>
      <c r="W63" s="129" t="n">
        <v>0</v>
      </c>
      <c r="X63" s="129" t="n">
        <v>0</v>
      </c>
      <c r="Y63" s="129" t="n">
        <v>0</v>
      </c>
      <c r="Z63" s="129" t="n">
        <v>0</v>
      </c>
      <c r="AA63" s="129" t="n">
        <v>0</v>
      </c>
      <c r="AB63" s="129" t="n">
        <v>0</v>
      </c>
      <c r="AC63" s="119" t="inlineStr">
        <is>
          <t>✓ Clean</t>
        </is>
      </c>
      <c r="AD63" s="130" t="n">
        <v>4472000000</v>
      </c>
      <c r="AE63" s="130" t="n">
        <v>-1101000000</v>
      </c>
      <c r="AF63" s="130" t="n">
        <v>4087000000</v>
      </c>
      <c r="AG63" s="130" t="n">
        <v>0.018</v>
      </c>
      <c r="AH63" s="119" t="inlineStr">
        <is>
          <t>✓ Medium Quality</t>
        </is>
      </c>
      <c r="AI63" s="130" t="n">
        <v>0.166</v>
      </c>
      <c r="AJ63" s="124" t="inlineStr">
        <is>
          <t>N/A</t>
        </is>
      </c>
      <c r="AK63" s="124" t="inlineStr">
        <is>
          <t>N/A</t>
        </is>
      </c>
      <c r="AL63" s="124" t="inlineStr">
        <is>
          <t>N/A</t>
        </is>
      </c>
      <c r="AM63" s="124" t="inlineStr">
        <is>
          <t>N/A</t>
        </is>
      </c>
      <c r="AN63" s="129" t="n">
        <v>100</v>
      </c>
      <c r="AO63" s="119" t="inlineStr">
        <is>
          <t>✓ Good</t>
        </is>
      </c>
      <c r="AP63" s="129" t="n">
        <v>0</v>
      </c>
      <c r="AQ63" s="129" t="n">
        <v>0</v>
      </c>
      <c r="AR63" s="129" t="n">
        <v>0</v>
      </c>
      <c r="AS63" s="129" t="n">
        <v>0</v>
      </c>
      <c r="AT63" s="129" t="n">
        <v>0</v>
      </c>
      <c r="AU63" s="129" t="n">
        <v>0</v>
      </c>
      <c r="AV63" s="129" t="n">
        <v>0</v>
      </c>
      <c r="AW63" s="119" t="inlineStr">
        <is>
          <t>✓ Clean</t>
        </is>
      </c>
      <c r="AX63" s="130" t="n">
        <v>44.9</v>
      </c>
      <c r="AY63" s="121" t="inlineStr">
        <is>
          <t>🟡 ELEVATED RISK</t>
        </is>
      </c>
      <c r="AZ63" s="124" t="inlineStr">
        <is>
          <t>N/A</t>
        </is>
      </c>
      <c r="BA63" s="124" t="inlineStr">
        <is>
          <t>N/A</t>
        </is>
      </c>
      <c r="BB63" s="130" t="n">
        <v>100.6</v>
      </c>
      <c r="BC63" s="130" t="n">
        <v>100.3</v>
      </c>
      <c r="BD63" s="130" t="n">
        <v>88.8</v>
      </c>
      <c r="BE63" s="130" t="n">
        <v>87.3</v>
      </c>
      <c r="BF63" s="131" t="n">
        <v>0.171</v>
      </c>
      <c r="BG63" s="129" t="n">
        <v>0.88</v>
      </c>
      <c r="BH63" s="129" t="n">
        <v>0</v>
      </c>
      <c r="BI63" s="123" t="n">
        <v>0.8333333333333334</v>
      </c>
    </row>
    <row r="64" ht="17" customHeight="1">
      <c r="A64" s="117" t="inlineStr">
        <is>
          <t>GILD</t>
        </is>
      </c>
      <c r="B64" s="117" t="inlineStr">
        <is>
          <t>GILEAD SCIENCES, INC.</t>
        </is>
      </c>
      <c r="C64" s="118" t="n">
        <v>0.334</v>
      </c>
      <c r="D64" s="118" t="n">
        <v>3.003</v>
      </c>
      <c r="E64" s="118" t="n">
        <v>1.019</v>
      </c>
      <c r="F64" s="118" t="n">
        <v>3.327</v>
      </c>
      <c r="G64" s="118" t="n">
        <v>1.062</v>
      </c>
      <c r="H64" s="118" t="n">
        <v>0.285</v>
      </c>
      <c r="I64" s="118" t="n">
        <v>1</v>
      </c>
      <c r="J64" s="118" t="n">
        <v>-0.026</v>
      </c>
      <c r="K64" s="118" t="n">
        <v>0.058</v>
      </c>
      <c r="L64" s="121" t="inlineStr">
        <is>
          <t>⚠ MANIPULATOR RISK</t>
        </is>
      </c>
      <c r="M64" s="120" t="n">
        <v>-0.018</v>
      </c>
      <c r="N64" s="120" t="n">
        <v>0.029</v>
      </c>
      <c r="O64" s="120" t="n">
        <v>0.004</v>
      </c>
      <c r="P64" s="120" t="n">
        <v>0.8129999999999999</v>
      </c>
      <c r="Q64" s="120" t="n">
        <v>0.136</v>
      </c>
      <c r="R64" s="117" t="n">
        <v>0</v>
      </c>
      <c r="S64" s="118" t="n">
        <v>-6.281</v>
      </c>
      <c r="T64" s="118" t="n">
        <v>0.002</v>
      </c>
      <c r="U64" s="119" t="inlineStr">
        <is>
          <t>✓ Normal</t>
        </is>
      </c>
      <c r="V64" s="117" t="n">
        <v>1</v>
      </c>
      <c r="W64" s="117" t="n">
        <v>0</v>
      </c>
      <c r="X64" s="117" t="n">
        <v>0</v>
      </c>
      <c r="Y64" s="117" t="n">
        <v>1</v>
      </c>
      <c r="Z64" s="117" t="n">
        <v>1</v>
      </c>
      <c r="AA64" s="117" t="n">
        <v>0</v>
      </c>
      <c r="AB64" s="117" t="n">
        <v>3</v>
      </c>
      <c r="AC64" s="121" t="inlineStr">
        <is>
          <t>⚠ WATCH</t>
        </is>
      </c>
      <c r="AD64" s="118" t="n">
        <v>10019000000</v>
      </c>
      <c r="AE64" s="118" t="n">
        <v>-4793000000</v>
      </c>
      <c r="AF64" s="118" t="n">
        <v>8510000000</v>
      </c>
      <c r="AG64" s="118" t="n">
        <v>0.056</v>
      </c>
      <c r="AH64" s="119" t="inlineStr">
        <is>
          <t>✓ Medium Quality</t>
        </is>
      </c>
      <c r="AI64" s="118" t="n">
        <v>0.112</v>
      </c>
      <c r="AJ64" s="120" t="n">
        <v>2.327</v>
      </c>
      <c r="AK64" s="120" t="n">
        <v>0.048</v>
      </c>
      <c r="AL64" s="120" t="n">
        <v>0.406</v>
      </c>
      <c r="AM64" s="120" t="n">
        <v>-0.01</v>
      </c>
      <c r="AN64" s="118" t="n">
        <v>99.5</v>
      </c>
      <c r="AO64" s="119" t="inlineStr">
        <is>
          <t>✓ Good</t>
        </is>
      </c>
      <c r="AP64" s="117" t="n">
        <v>0</v>
      </c>
      <c r="AQ64" s="117" t="n">
        <v>0</v>
      </c>
      <c r="AR64" s="117" t="n">
        <v>1</v>
      </c>
      <c r="AS64" s="117" t="n">
        <v>0</v>
      </c>
      <c r="AT64" s="117" t="n">
        <v>1</v>
      </c>
      <c r="AU64" s="117" t="n">
        <v>1</v>
      </c>
      <c r="AV64" s="117" t="n">
        <v>3</v>
      </c>
      <c r="AW64" s="121" t="inlineStr">
        <is>
          <t>⚠ WATCH</t>
        </is>
      </c>
      <c r="AX64" s="118" t="n">
        <v>28.6</v>
      </c>
      <c r="AY64" s="119" t="inlineStr">
        <is>
          <t>🟢 LOW RISK</t>
        </is>
      </c>
      <c r="AZ64" s="118" t="n">
        <v>72.59999999999999</v>
      </c>
      <c r="BA64" s="118" t="n">
        <v>217.4</v>
      </c>
      <c r="BB64" s="118" t="n">
        <v>103.9</v>
      </c>
      <c r="BC64" s="118" t="n">
        <v>99.8</v>
      </c>
      <c r="BD64" s="118" t="n">
        <v>41.9</v>
      </c>
      <c r="BE64" s="118" t="n">
        <v>48.6</v>
      </c>
      <c r="BF64" s="120" t="n">
        <v>0.131</v>
      </c>
      <c r="BG64" s="117" t="n">
        <v>0.8129999999999999</v>
      </c>
      <c r="BH64" s="122" t="n">
        <v>6</v>
      </c>
      <c r="BI64" s="123" t="n">
        <v>1</v>
      </c>
    </row>
    <row r="65" ht="17" customHeight="1">
      <c r="A65" s="117" t="inlineStr">
        <is>
          <t>CARR</t>
        </is>
      </c>
      <c r="B65" s="117" t="inlineStr">
        <is>
          <t>CARRIER GLOBAL CORPORATION</t>
        </is>
      </c>
      <c r="C65" s="118" t="n">
        <v>1.029</v>
      </c>
      <c r="D65" s="118" t="n">
        <v>1.605</v>
      </c>
      <c r="E65" s="118" t="n">
        <v>1.046</v>
      </c>
      <c r="F65" s="118" t="n">
        <v>0.967</v>
      </c>
      <c r="G65" s="118" t="n">
        <v>1.015</v>
      </c>
      <c r="H65" s="118" t="n">
        <v>1</v>
      </c>
      <c r="I65" s="118" t="n">
        <v>1.008</v>
      </c>
      <c r="J65" s="118" t="n">
        <v>-0.028</v>
      </c>
      <c r="K65" s="118" t="n">
        <v>-2.275</v>
      </c>
      <c r="L65" s="119" t="inlineStr">
        <is>
          <t>✓ Lower Risk</t>
        </is>
      </c>
      <c r="M65" s="120" t="n">
        <v>0.015</v>
      </c>
      <c r="N65" s="120" t="n">
        <v>-0.016</v>
      </c>
      <c r="O65" s="120" t="n">
        <v>0.249</v>
      </c>
      <c r="P65" s="120" t="n">
        <v>0.873</v>
      </c>
      <c r="Q65" s="120" t="n">
        <v>-0.11</v>
      </c>
      <c r="R65" s="117" t="n">
        <v>0</v>
      </c>
      <c r="S65" s="118" t="n">
        <v>-5.849</v>
      </c>
      <c r="T65" s="118" t="n">
        <v>0.003</v>
      </c>
      <c r="U65" s="119" t="inlineStr">
        <is>
          <t>✓ Normal</t>
        </is>
      </c>
      <c r="V65" s="117" t="n">
        <v>0</v>
      </c>
      <c r="W65" s="117" t="n">
        <v>1</v>
      </c>
      <c r="X65" s="117" t="n">
        <v>1</v>
      </c>
      <c r="Y65" s="117" t="n">
        <v>0</v>
      </c>
      <c r="Z65" s="117" t="n">
        <v>0</v>
      </c>
      <c r="AA65" s="117" t="n">
        <v>0</v>
      </c>
      <c r="AB65" s="117" t="n">
        <v>2</v>
      </c>
      <c r="AC65" s="121" t="inlineStr">
        <is>
          <t>⚠ WATCH</t>
        </is>
      </c>
      <c r="AD65" s="118" t="n">
        <v>2513000000</v>
      </c>
      <c r="AE65" s="118" t="n">
        <v>-307000000</v>
      </c>
      <c r="AF65" s="118" t="n">
        <v>1484000000</v>
      </c>
      <c r="AG65" s="118" t="n">
        <v>-0.019</v>
      </c>
      <c r="AH65" s="119" t="inlineStr">
        <is>
          <t>✓ Medium Quality</t>
        </is>
      </c>
      <c r="AI65" s="118" t="n">
        <v>-0.005</v>
      </c>
      <c r="AJ65" s="120" t="n">
        <v>-0.033</v>
      </c>
      <c r="AK65" s="120" t="n">
        <v>0.138</v>
      </c>
      <c r="AL65" s="120" t="n">
        <v>0.116</v>
      </c>
      <c r="AM65" s="120" t="n">
        <v>0.006</v>
      </c>
      <c r="AN65" s="118" t="n">
        <v>93.40000000000001</v>
      </c>
      <c r="AO65" s="119" t="inlineStr">
        <is>
          <t>✓ Good</t>
        </is>
      </c>
      <c r="AP65" s="117" t="n">
        <v>1</v>
      </c>
      <c r="AQ65" s="117" t="n">
        <v>1</v>
      </c>
      <c r="AR65" s="117" t="n">
        <v>1</v>
      </c>
      <c r="AS65" s="117" t="n">
        <v>1</v>
      </c>
      <c r="AT65" s="117" t="n">
        <v>0</v>
      </c>
      <c r="AU65" s="117" t="n">
        <v>1</v>
      </c>
      <c r="AV65" s="117" t="n">
        <v>5</v>
      </c>
      <c r="AW65" s="117" t="inlineStr">
        <is>
          <t>⚠⚠ MULTIPLE RED FLAGS</t>
        </is>
      </c>
      <c r="AX65" s="118" t="n">
        <v>19.7</v>
      </c>
      <c r="AY65" s="119" t="inlineStr">
        <is>
          <t>🟢 VERY LOW RISK</t>
        </is>
      </c>
      <c r="AZ65" s="118" t="n">
        <v>44.3</v>
      </c>
      <c r="BA65" s="118" t="n">
        <v>43</v>
      </c>
      <c r="BB65" s="118" t="n">
        <v>54.9</v>
      </c>
      <c r="BC65" s="118" t="n">
        <v>60.9</v>
      </c>
      <c r="BD65" s="118" t="n">
        <v>59.8</v>
      </c>
      <c r="BE65" s="118" t="n">
        <v>65.09999999999999</v>
      </c>
      <c r="BF65" s="120" t="n">
        <v>0.133</v>
      </c>
      <c r="BG65" s="117" t="n">
        <v>0.873</v>
      </c>
      <c r="BH65" s="122" t="n">
        <v>7</v>
      </c>
      <c r="BI65" s="123" t="n">
        <v>1</v>
      </c>
    </row>
    <row r="66" ht="17" customHeight="1">
      <c r="A66" s="117" t="inlineStr">
        <is>
          <t>T</t>
        </is>
      </c>
      <c r="B66" s="117" t="inlineStr">
        <is>
          <t>AT&amp;T INC.</t>
        </is>
      </c>
      <c r="C66" s="118" t="n">
        <v>0.893</v>
      </c>
      <c r="D66" s="118" t="n">
        <v>1.119</v>
      </c>
      <c r="E66" s="118" t="n">
        <v>0.977</v>
      </c>
      <c r="F66" s="118" t="n">
        <v>1.027</v>
      </c>
      <c r="G66" s="118" t="n">
        <v>0.979</v>
      </c>
      <c r="H66" s="118" t="n">
        <v>0.992</v>
      </c>
      <c r="I66" s="118" t="n">
        <v>1.269</v>
      </c>
      <c r="J66" s="118" t="n">
        <v>-0.044</v>
      </c>
      <c r="K66" s="118" t="n">
        <v>-2.794</v>
      </c>
      <c r="L66" s="119" t="inlineStr">
        <is>
          <t>✓ Lower Risk</t>
        </is>
      </c>
      <c r="M66" s="120" t="n">
        <v>-0.06</v>
      </c>
      <c r="N66" s="120" t="n">
        <v>-0.24</v>
      </c>
      <c r="O66" s="120" t="n">
        <v>0.22</v>
      </c>
      <c r="P66" s="120" t="n">
        <v>0.647</v>
      </c>
      <c r="Q66" s="120" t="n">
        <v>0.025</v>
      </c>
      <c r="R66" s="117" t="n">
        <v>0</v>
      </c>
      <c r="S66" s="118" t="n">
        <v>-7.013</v>
      </c>
      <c r="T66" s="118" t="n">
        <v>0.001</v>
      </c>
      <c r="U66" s="119" t="inlineStr">
        <is>
          <t>✓ Normal</t>
        </is>
      </c>
      <c r="V66" s="117" t="n">
        <v>1</v>
      </c>
      <c r="W66" s="117" t="n">
        <v>0</v>
      </c>
      <c r="X66" s="117" t="n">
        <v>1</v>
      </c>
      <c r="Y66" s="117" t="n">
        <v>0</v>
      </c>
      <c r="Z66" s="117" t="n">
        <v>1</v>
      </c>
      <c r="AA66" s="117" t="n">
        <v>0</v>
      </c>
      <c r="AB66" s="117" t="n">
        <v>3</v>
      </c>
      <c r="AC66" s="121" t="inlineStr">
        <is>
          <t>⚠ WATCH</t>
        </is>
      </c>
      <c r="AD66" s="118" t="n">
        <v>40284000000</v>
      </c>
      <c r="AE66" s="118" t="n">
        <v>-18777000000</v>
      </c>
      <c r="AF66" s="118" t="n">
        <v>21953000000</v>
      </c>
      <c r="AG66" s="118" t="n">
        <v>0.001</v>
      </c>
      <c r="AH66" s="119" t="inlineStr">
        <is>
          <t>✓ Medium Quality</t>
        </is>
      </c>
      <c r="AI66" s="118" t="n">
        <v>-0.082</v>
      </c>
      <c r="AJ66" s="120" t="n">
        <v>0.027</v>
      </c>
      <c r="AK66" s="120" t="n">
        <v>-3.047</v>
      </c>
      <c r="AL66" s="120" t="n">
        <v>0.321</v>
      </c>
      <c r="AM66" s="120" t="n">
        <v>-0.003</v>
      </c>
      <c r="AN66" s="118" t="n">
        <v>99.90000000000001</v>
      </c>
      <c r="AO66" s="119" t="inlineStr">
        <is>
          <t>✓ Good</t>
        </is>
      </c>
      <c r="AP66" s="117" t="n">
        <v>0</v>
      </c>
      <c r="AQ66" s="117" t="n">
        <v>0</v>
      </c>
      <c r="AR66" s="117" t="n">
        <v>1</v>
      </c>
      <c r="AS66" s="117" t="n">
        <v>0</v>
      </c>
      <c r="AT66" s="117" t="n">
        <v>0</v>
      </c>
      <c r="AU66" s="117" t="n">
        <v>1</v>
      </c>
      <c r="AV66" s="117" t="n">
        <v>2</v>
      </c>
      <c r="AW66" s="121" t="inlineStr">
        <is>
          <t>⚠ WATCH</t>
        </is>
      </c>
      <c r="AX66" s="118" t="n">
        <v>18</v>
      </c>
      <c r="AY66" s="119" t="inlineStr">
        <is>
          <t>🟢 VERY LOW RISK</t>
        </is>
      </c>
      <c r="AZ66" s="118" t="n">
        <v>25.7</v>
      </c>
      <c r="BA66" s="118" t="n">
        <v>28.8</v>
      </c>
      <c r="BB66" s="118" t="n">
        <v>21.6</v>
      </c>
      <c r="BC66" s="118" t="n">
        <v>20.3</v>
      </c>
      <c r="BD66" s="118" t="n">
        <v>180.1</v>
      </c>
      <c r="BE66" s="118" t="n">
        <v>194.6</v>
      </c>
      <c r="BF66" s="120" t="n">
        <v>0.134</v>
      </c>
      <c r="BG66" s="117" t="n">
        <v>0.647</v>
      </c>
      <c r="BH66" s="122" t="n">
        <v>5</v>
      </c>
      <c r="BI66" s="123" t="n">
        <v>1</v>
      </c>
    </row>
    <row r="67" ht="17" customHeight="1">
      <c r="A67" s="117" t="inlineStr">
        <is>
          <t>ADI</t>
        </is>
      </c>
      <c r="B67" s="117" t="inlineStr">
        <is>
          <t>Analog Devices, Inc.</t>
        </is>
      </c>
      <c r="C67" s="118" t="n">
        <v>0.277</v>
      </c>
      <c r="D67" s="118" t="n">
        <v>3.086</v>
      </c>
      <c r="E67" s="118" t="n">
        <v>0.96</v>
      </c>
      <c r="F67" s="118" t="n">
        <v>3.884</v>
      </c>
      <c r="G67" s="118" t="n">
        <v>0.879</v>
      </c>
      <c r="H67" s="118" t="n">
        <v>0.302</v>
      </c>
      <c r="I67" s="118" t="n">
        <v>1</v>
      </c>
      <c r="J67" s="118" t="n">
        <v>-0.053</v>
      </c>
      <c r="K67" s="118" t="n">
        <v>0.37</v>
      </c>
      <c r="L67" s="121" t="inlineStr">
        <is>
          <t>⚠ MANIPULATOR RISK</t>
        </is>
      </c>
      <c r="M67" s="120" t="n">
        <v>0.008999999999999999</v>
      </c>
      <c r="N67" s="120" t="n">
        <v>0.022</v>
      </c>
      <c r="O67" s="120" t="n">
        <v>0.045</v>
      </c>
      <c r="P67" s="120" t="n">
        <v>0.879</v>
      </c>
      <c r="Q67" s="120" t="n">
        <v>0.013</v>
      </c>
      <c r="R67" s="117" t="n">
        <v>0</v>
      </c>
      <c r="S67" s="118" t="n">
        <v>-6.044</v>
      </c>
      <c r="T67" s="118" t="n">
        <v>0.002</v>
      </c>
      <c r="U67" s="119" t="inlineStr">
        <is>
          <t>✓ Normal</t>
        </is>
      </c>
      <c r="V67" s="117" t="n">
        <v>1</v>
      </c>
      <c r="W67" s="117" t="n">
        <v>0</v>
      </c>
      <c r="X67" s="117" t="n">
        <v>0</v>
      </c>
      <c r="Y67" s="117" t="n">
        <v>1</v>
      </c>
      <c r="Z67" s="117" t="n">
        <v>0</v>
      </c>
      <c r="AA67" s="117" t="n">
        <v>0</v>
      </c>
      <c r="AB67" s="117" t="n">
        <v>2</v>
      </c>
      <c r="AC67" s="121" t="inlineStr">
        <is>
          <t>⚠ WATCH</t>
        </is>
      </c>
      <c r="AD67" s="118" t="n">
        <v>4812202000</v>
      </c>
      <c r="AE67" s="118" t="n">
        <v>-1321521000</v>
      </c>
      <c r="AF67" s="118" t="n">
        <v>2267342000</v>
      </c>
      <c r="AG67" s="118" t="n">
        <v>-0.025</v>
      </c>
      <c r="AH67" s="119" t="inlineStr">
        <is>
          <t>✓ Medium Quality</t>
        </is>
      </c>
      <c r="AI67" s="118" t="n">
        <v>0.075</v>
      </c>
      <c r="AJ67" s="120" t="n">
        <v>2.884</v>
      </c>
      <c r="AK67" s="120" t="n">
        <v>0.026</v>
      </c>
      <c r="AL67" s="120" t="n">
        <v>0.776</v>
      </c>
      <c r="AM67" s="124" t="inlineStr">
        <is>
          <t>N/A</t>
        </is>
      </c>
      <c r="AN67" s="117" t="n">
        <v>100</v>
      </c>
      <c r="AO67" s="119" t="inlineStr">
        <is>
          <t>✓ Good</t>
        </is>
      </c>
      <c r="AP67" s="117" t="n">
        <v>0</v>
      </c>
      <c r="AQ67" s="117" t="n">
        <v>0</v>
      </c>
      <c r="AR67" s="117" t="n">
        <v>1</v>
      </c>
      <c r="AS67" s="117" t="n">
        <v>0</v>
      </c>
      <c r="AT67" s="117" t="n">
        <v>1</v>
      </c>
      <c r="AU67" s="117" t="n">
        <v>0</v>
      </c>
      <c r="AV67" s="117" t="n">
        <v>2</v>
      </c>
      <c r="AW67" s="121" t="inlineStr">
        <is>
          <t>⚠ WATCH</t>
        </is>
      </c>
      <c r="AX67" s="118" t="n">
        <v>24.8</v>
      </c>
      <c r="AY67" s="119" t="inlineStr">
        <is>
          <t>🟢 LOW RISK</t>
        </is>
      </c>
      <c r="AZ67" s="118" t="n">
        <v>84.5</v>
      </c>
      <c r="BA67" s="118" t="n">
        <v>305.5</v>
      </c>
      <c r="BB67" s="118" t="n">
        <v>142.4</v>
      </c>
      <c r="BC67" s="118" t="n">
        <v>130.6</v>
      </c>
      <c r="BD67" s="118" t="n">
        <v>46.7</v>
      </c>
      <c r="BE67" s="118" t="n">
        <v>44</v>
      </c>
      <c r="BF67" s="120" t="n">
        <v>0.164</v>
      </c>
      <c r="BG67" s="117" t="n">
        <v>0.879</v>
      </c>
      <c r="BH67" s="122" t="n">
        <v>4</v>
      </c>
      <c r="BI67" s="123" t="n">
        <v>1</v>
      </c>
    </row>
    <row r="68" ht="17" customHeight="1">
      <c r="A68" s="117" t="inlineStr">
        <is>
          <t>CPB</t>
        </is>
      </c>
      <c r="B68" s="117" t="inlineStr">
        <is>
          <t>THE CAMPBELL'S COMPANY</t>
        </is>
      </c>
      <c r="C68" s="118" t="n">
        <v>0.866</v>
      </c>
      <c r="D68" s="118" t="n">
        <v>1.1</v>
      </c>
      <c r="E68" s="118" t="n">
        <v>0.978</v>
      </c>
      <c r="F68" s="118" t="n">
        <v>1.064</v>
      </c>
      <c r="G68" s="118" t="n">
        <v>0.975</v>
      </c>
      <c r="H68" s="118" t="n">
        <v>0.859</v>
      </c>
      <c r="I68" s="118" t="n">
        <v>0.983</v>
      </c>
      <c r="J68" s="118" t="n">
        <v>-0.036</v>
      </c>
      <c r="K68" s="118" t="n">
        <v>-2.641</v>
      </c>
      <c r="L68" s="119" t="inlineStr">
        <is>
          <t>✓ Lower Risk</t>
        </is>
      </c>
      <c r="M68" s="120" t="n">
        <v>0.017</v>
      </c>
      <c r="N68" s="120" t="n">
        <v>-0.075</v>
      </c>
      <c r="O68" s="120" t="n">
        <v>0.062</v>
      </c>
      <c r="P68" s="120" t="n">
        <v>0.805</v>
      </c>
      <c r="Q68" s="120" t="n">
        <v>0.003</v>
      </c>
      <c r="R68" s="117" t="n">
        <v>0</v>
      </c>
      <c r="S68" s="118" t="n">
        <v>-6.401</v>
      </c>
      <c r="T68" s="118" t="n">
        <v>0.002</v>
      </c>
      <c r="U68" s="119" t="inlineStr">
        <is>
          <t>✓ Normal</t>
        </is>
      </c>
      <c r="V68" s="117" t="n">
        <v>1</v>
      </c>
      <c r="W68" s="117" t="n">
        <v>0</v>
      </c>
      <c r="X68" s="117" t="n">
        <v>0</v>
      </c>
      <c r="Y68" s="117" t="n">
        <v>1</v>
      </c>
      <c r="Z68" s="117" t="n">
        <v>0</v>
      </c>
      <c r="AA68" s="117" t="n">
        <v>0</v>
      </c>
      <c r="AB68" s="117" t="n">
        <v>2</v>
      </c>
      <c r="AC68" s="121" t="inlineStr">
        <is>
          <t>⚠ WATCH</t>
        </is>
      </c>
      <c r="AD68" s="118" t="n">
        <v>1131000000</v>
      </c>
      <c r="AE68" s="118" t="n">
        <v>-187000000</v>
      </c>
      <c r="AF68" s="118" t="n">
        <v>602000000</v>
      </c>
      <c r="AG68" s="118" t="n">
        <v>-0.023</v>
      </c>
      <c r="AH68" s="119" t="inlineStr">
        <is>
          <t>✓ Medium Quality</t>
        </is>
      </c>
      <c r="AI68" s="118" t="n">
        <v>-0.078</v>
      </c>
      <c r="AJ68" s="120" t="n">
        <v>0.064</v>
      </c>
      <c r="AK68" s="120" t="n">
        <v>-1.224</v>
      </c>
      <c r="AL68" s="120" t="n">
        <v>0.11</v>
      </c>
      <c r="AM68" s="124" t="inlineStr">
        <is>
          <t>N/A</t>
        </is>
      </c>
      <c r="AN68" s="118" t="n">
        <v>92.09999999999999</v>
      </c>
      <c r="AO68" s="119" t="inlineStr">
        <is>
          <t>✓ Good</t>
        </is>
      </c>
      <c r="AP68" s="117" t="n">
        <v>0</v>
      </c>
      <c r="AQ68" s="117" t="n">
        <v>0</v>
      </c>
      <c r="AR68" s="117" t="n">
        <v>1</v>
      </c>
      <c r="AS68" s="117" t="n">
        <v>0</v>
      </c>
      <c r="AT68" s="117" t="n">
        <v>1</v>
      </c>
      <c r="AU68" s="117" t="n">
        <v>1</v>
      </c>
      <c r="AV68" s="117" t="n">
        <v>3</v>
      </c>
      <c r="AW68" s="121" t="inlineStr">
        <is>
          <t>⚠ WATCH</t>
        </is>
      </c>
      <c r="AX68" s="118" t="n">
        <v>16.9</v>
      </c>
      <c r="AY68" s="119" t="inlineStr">
        <is>
          <t>🟢 VERY LOW RISK</t>
        </is>
      </c>
      <c r="AZ68" s="118" t="n">
        <v>19.3</v>
      </c>
      <c r="BA68" s="118" t="n">
        <v>22.2</v>
      </c>
      <c r="BB68" s="118" t="n">
        <v>72.90000000000001</v>
      </c>
      <c r="BC68" s="118" t="n">
        <v>75.90000000000001</v>
      </c>
      <c r="BD68" s="118" t="n">
        <v>68.09999999999999</v>
      </c>
      <c r="BE68" s="118" t="n">
        <v>71.8</v>
      </c>
      <c r="BF68" s="120" t="n">
        <v>0.244</v>
      </c>
      <c r="BG68" s="117" t="n">
        <v>0.805</v>
      </c>
      <c r="BH68" s="122" t="n">
        <v>5</v>
      </c>
      <c r="BI68" s="123" t="n">
        <v>1</v>
      </c>
    </row>
    <row r="69" ht="17" customHeight="1">
      <c r="A69" s="117" t="inlineStr">
        <is>
          <t>FIX</t>
        </is>
      </c>
      <c r="B69" s="117" t="inlineStr">
        <is>
          <t>COMFORT SYSTEMS USA, INC.</t>
        </is>
      </c>
      <c r="C69" s="118" t="n">
        <v>0.927</v>
      </c>
      <c r="D69" s="118" t="n">
        <v>0.871</v>
      </c>
      <c r="E69" s="118" t="n">
        <v>0.864</v>
      </c>
      <c r="F69" s="118" t="n">
        <v>1.295</v>
      </c>
      <c r="G69" s="118" t="n">
        <v>1.069</v>
      </c>
      <c r="H69" s="118" t="n">
        <v>0.9340000000000001</v>
      </c>
      <c r="I69" s="118" t="n">
        <v>0.971</v>
      </c>
      <c r="J69" s="118" t="n">
        <v>-0.025</v>
      </c>
      <c r="K69" s="118" t="n">
        <v>-2.497</v>
      </c>
      <c r="L69" s="119" t="inlineStr">
        <is>
          <t>✓ Lower Risk</t>
        </is>
      </c>
      <c r="M69" s="120" t="n">
        <v>0.002</v>
      </c>
      <c r="N69" s="120" t="n">
        <v>0.031</v>
      </c>
      <c r="O69" s="120" t="n">
        <v>0.012</v>
      </c>
      <c r="P69" s="120" t="n">
        <v>0.787</v>
      </c>
      <c r="Q69" s="120" t="n">
        <v>0.048</v>
      </c>
      <c r="R69" s="117" t="n">
        <v>0</v>
      </c>
      <c r="S69" s="118" t="n">
        <v>-6.262</v>
      </c>
      <c r="T69" s="118" t="n">
        <v>0.002</v>
      </c>
      <c r="U69" s="119" t="inlineStr">
        <is>
          <t>✓ Normal</t>
        </is>
      </c>
      <c r="V69" s="117" t="n">
        <v>1</v>
      </c>
      <c r="W69" s="117" t="n">
        <v>0</v>
      </c>
      <c r="X69" s="117" t="n">
        <v>1</v>
      </c>
      <c r="Y69" s="117" t="n">
        <v>1</v>
      </c>
      <c r="Z69" s="117" t="n">
        <v>1</v>
      </c>
      <c r="AA69" s="117" t="n">
        <v>1</v>
      </c>
      <c r="AB69" s="117" t="n">
        <v>5</v>
      </c>
      <c r="AC69" s="121" t="inlineStr">
        <is>
          <t>⚠⚠ SERIOUS CONCERN</t>
        </is>
      </c>
      <c r="AD69" s="118" t="n">
        <v>1186356000</v>
      </c>
      <c r="AE69" s="118" t="n">
        <v>-467272000</v>
      </c>
      <c r="AF69" s="118" t="n">
        <v>1022558000</v>
      </c>
      <c r="AG69" s="118" t="n">
        <v>0.054</v>
      </c>
      <c r="AH69" s="119" t="inlineStr">
        <is>
          <t>✓ Medium Quality</t>
        </is>
      </c>
      <c r="AI69" s="118" t="n">
        <v>0.201</v>
      </c>
      <c r="AJ69" s="120" t="n">
        <v>0.295</v>
      </c>
      <c r="AK69" s="120" t="n">
        <v>0.68</v>
      </c>
      <c r="AL69" s="120" t="n">
        <v>0.13</v>
      </c>
      <c r="AM69" s="120" t="n">
        <v>0.001</v>
      </c>
      <c r="AN69" s="118" t="n">
        <v>96.09999999999999</v>
      </c>
      <c r="AO69" s="119" t="inlineStr">
        <is>
          <t>✓ Good</t>
        </is>
      </c>
      <c r="AP69" s="117" t="n">
        <v>0</v>
      </c>
      <c r="AQ69" s="117" t="n">
        <v>0</v>
      </c>
      <c r="AR69" s="117" t="n">
        <v>0</v>
      </c>
      <c r="AS69" s="117" t="n">
        <v>0</v>
      </c>
      <c r="AT69" s="117" t="n">
        <v>0</v>
      </c>
      <c r="AU69" s="117" t="n">
        <v>1</v>
      </c>
      <c r="AV69" s="117" t="n">
        <v>1</v>
      </c>
      <c r="AW69" s="119" t="inlineStr">
        <is>
          <t>✓ Clean</t>
        </is>
      </c>
      <c r="AX69" s="118" t="n">
        <v>26.1</v>
      </c>
      <c r="AY69" s="119" t="inlineStr">
        <is>
          <t>🟢 LOW RISK</t>
        </is>
      </c>
      <c r="AZ69" s="118" t="n">
        <v>15.4</v>
      </c>
      <c r="BA69" s="118" t="n">
        <v>16.6</v>
      </c>
      <c r="BB69" s="118" t="n">
        <v>21.6</v>
      </c>
      <c r="BC69" s="118" t="n">
        <v>16.8</v>
      </c>
      <c r="BD69" s="118" t="n">
        <v>178.8</v>
      </c>
      <c r="BE69" s="118" t="n">
        <v>185.3</v>
      </c>
      <c r="BF69" s="120" t="n">
        <v>0.209</v>
      </c>
      <c r="BG69" s="117" t="n">
        <v>0.787</v>
      </c>
      <c r="BH69" s="122" t="n">
        <v>6</v>
      </c>
      <c r="BI69" s="123" t="n">
        <v>1</v>
      </c>
    </row>
    <row r="70" ht="17" customHeight="1">
      <c r="A70" s="117" t="inlineStr">
        <is>
          <t>MSFT</t>
        </is>
      </c>
      <c r="B70" s="117" t="inlineStr">
        <is>
          <t>MICROSOFT CORPORATION</t>
        </is>
      </c>
      <c r="C70" s="118" t="n">
        <v>0.315</v>
      </c>
      <c r="D70" s="118" t="n">
        <v>3.436</v>
      </c>
      <c r="E70" s="118" t="n">
        <v>0.851</v>
      </c>
      <c r="F70" s="118" t="n">
        <v>3.896</v>
      </c>
      <c r="G70" s="118" t="n">
        <v>1.04</v>
      </c>
      <c r="H70" s="118" t="n">
        <v>0.244</v>
      </c>
      <c r="I70" s="118" t="n">
        <v>0.9360000000000001</v>
      </c>
      <c r="J70" s="118" t="n">
        <v>-0.055</v>
      </c>
      <c r="K70" s="118" t="n">
        <v>0.595</v>
      </c>
      <c r="L70" s="121" t="inlineStr">
        <is>
          <t>⚠ MANIPULATOR RISK</t>
        </is>
      </c>
      <c r="M70" s="120" t="n">
        <v>-0.03</v>
      </c>
      <c r="N70" s="120" t="n">
        <v>0.279</v>
      </c>
      <c r="O70" s="120" t="n">
        <v>-0.007</v>
      </c>
      <c r="P70" s="120" t="n">
        <v>0.62</v>
      </c>
      <c r="Q70" s="120" t="n">
        <v>-0.008</v>
      </c>
      <c r="R70" s="117" t="n">
        <v>0</v>
      </c>
      <c r="S70" s="118" t="n">
        <v>-5.99</v>
      </c>
      <c r="T70" s="118" t="n">
        <v>0.002</v>
      </c>
      <c r="U70" s="119" t="inlineStr">
        <is>
          <t>✓ Normal</t>
        </is>
      </c>
      <c r="V70" s="117" t="n">
        <v>1</v>
      </c>
      <c r="W70" s="117" t="n">
        <v>0</v>
      </c>
      <c r="X70" s="117" t="n">
        <v>0</v>
      </c>
      <c r="Y70" s="117" t="n">
        <v>1</v>
      </c>
      <c r="Z70" s="117" t="n">
        <v>0</v>
      </c>
      <c r="AA70" s="117" t="n">
        <v>1</v>
      </c>
      <c r="AB70" s="117" t="n">
        <v>3</v>
      </c>
      <c r="AC70" s="121" t="inlineStr">
        <is>
          <t>⚠ WATCH</t>
        </is>
      </c>
      <c r="AD70" s="118" t="n">
        <v>136162000000</v>
      </c>
      <c r="AE70" s="118" t="n">
        <v>-72599000000</v>
      </c>
      <c r="AF70" s="118" t="n">
        <v>101832000000</v>
      </c>
      <c r="AG70" s="118" t="n">
        <v>0.068</v>
      </c>
      <c r="AH70" s="119" t="inlineStr">
        <is>
          <t>✓ Medium Quality</t>
        </is>
      </c>
      <c r="AI70" s="118" t="n">
        <v>0.228</v>
      </c>
      <c r="AJ70" s="120" t="n">
        <v>2.896</v>
      </c>
      <c r="AK70" s="120" t="n">
        <v>0.079</v>
      </c>
      <c r="AL70" s="120" t="n">
        <v>2.179</v>
      </c>
      <c r="AM70" s="120" t="n">
        <v>0.106</v>
      </c>
      <c r="AN70" s="117" t="n">
        <v>100</v>
      </c>
      <c r="AO70" s="119" t="inlineStr">
        <is>
          <t>✓ Good</t>
        </is>
      </c>
      <c r="AP70" s="117" t="n">
        <v>0</v>
      </c>
      <c r="AQ70" s="117" t="n">
        <v>0</v>
      </c>
      <c r="AR70" s="117" t="n">
        <v>1</v>
      </c>
      <c r="AS70" s="117" t="n">
        <v>0</v>
      </c>
      <c r="AT70" s="117" t="n">
        <v>1</v>
      </c>
      <c r="AU70" s="117" t="n">
        <v>1</v>
      </c>
      <c r="AV70" s="117" t="n">
        <v>3</v>
      </c>
      <c r="AW70" s="121" t="inlineStr">
        <is>
          <t>⚠ WATCH</t>
        </is>
      </c>
      <c r="AX70" s="118" t="n">
        <v>30.5</v>
      </c>
      <c r="AY70" s="119" t="inlineStr">
        <is>
          <t>🟢 LOW RISK</t>
        </is>
      </c>
      <c r="AZ70" s="118" t="n">
        <v>408.3</v>
      </c>
      <c r="BA70" s="118" t="n">
        <v>1295.4</v>
      </c>
      <c r="BB70" s="118" t="n">
        <v>3.9</v>
      </c>
      <c r="BC70" s="118" t="n">
        <v>6.1</v>
      </c>
      <c r="BD70" s="118" t="n">
        <v>115.2</v>
      </c>
      <c r="BE70" s="118" t="n">
        <v>108.3</v>
      </c>
      <c r="BF70" s="120" t="n">
        <v>0.176</v>
      </c>
      <c r="BG70" s="117" t="n">
        <v>0.62</v>
      </c>
      <c r="BH70" s="122" t="n">
        <v>6</v>
      </c>
      <c r="BI70" s="123" t="n">
        <v>1</v>
      </c>
    </row>
    <row r="71" ht="17" customHeight="1">
      <c r="A71" s="117" t="inlineStr">
        <is>
          <t>FIVN</t>
        </is>
      </c>
      <c r="B71" s="117" t="inlineStr">
        <is>
          <t>FIVE9, INC.</t>
        </is>
      </c>
      <c r="C71" s="118" t="n">
        <v>0.297</v>
      </c>
      <c r="D71" s="118" t="n">
        <v>1.006</v>
      </c>
      <c r="E71" s="118" t="n">
        <v>1.16</v>
      </c>
      <c r="F71" s="118" t="n">
        <v>3.827</v>
      </c>
      <c r="G71" s="118" t="n">
        <v>0.382</v>
      </c>
      <c r="H71" s="118" t="n">
        <v>1.078</v>
      </c>
      <c r="I71" s="118" t="n">
        <v>0.805</v>
      </c>
      <c r="J71" s="118" t="n">
        <v>-0.104</v>
      </c>
      <c r="K71" s="118" t="n">
        <v>-1.046</v>
      </c>
      <c r="L71" s="121" t="inlineStr">
        <is>
          <t>⚠ MANIPULATOR RISK</t>
        </is>
      </c>
      <c r="M71" s="120" t="n">
        <v>0.116</v>
      </c>
      <c r="N71" s="120" t="n">
        <v>0.019</v>
      </c>
      <c r="O71" s="124" t="inlineStr">
        <is>
          <t>N/A</t>
        </is>
      </c>
      <c r="P71" s="120" t="n">
        <v>0.778</v>
      </c>
      <c r="Q71" s="120" t="n">
        <v>0.012</v>
      </c>
      <c r="R71" s="117" t="n">
        <v>1</v>
      </c>
      <c r="S71" s="118" t="n">
        <v>-3.145</v>
      </c>
      <c r="T71" s="118" t="n">
        <v>0.041</v>
      </c>
      <c r="U71" s="121" t="inlineStr">
        <is>
          <t>⚠ HIGH RISK</t>
        </is>
      </c>
      <c r="V71" s="117" t="n">
        <v>1</v>
      </c>
      <c r="W71" s="117" t="n">
        <v>0</v>
      </c>
      <c r="X71" s="117" t="n">
        <v>0</v>
      </c>
      <c r="Y71" s="117" t="n">
        <v>1</v>
      </c>
      <c r="Z71" s="117" t="n">
        <v>0</v>
      </c>
      <c r="AA71" s="117" t="n">
        <v>0</v>
      </c>
      <c r="AB71" s="117" t="n">
        <v>2</v>
      </c>
      <c r="AC71" s="121" t="inlineStr">
        <is>
          <t>⚠ WATCH</t>
        </is>
      </c>
      <c r="AD71" s="118" t="n">
        <v>226207000</v>
      </c>
      <c r="AE71" s="118" t="n">
        <v>122305000</v>
      </c>
      <c r="AF71" s="118" t="n">
        <v>39416000</v>
      </c>
      <c r="AG71" s="118" t="n">
        <v>-0.161</v>
      </c>
      <c r="AH71" s="119" t="inlineStr">
        <is>
          <t>✓ High Quality</t>
        </is>
      </c>
      <c r="AI71" s="118" t="n">
        <v>0.137</v>
      </c>
      <c r="AJ71" s="120" t="n">
        <v>2.827</v>
      </c>
      <c r="AK71" s="120" t="n">
        <v>0.049</v>
      </c>
      <c r="AL71" s="120" t="n">
        <v>0.197</v>
      </c>
      <c r="AM71" s="120" t="n">
        <v>0.003</v>
      </c>
      <c r="AN71" s="117" t="n">
        <v>100</v>
      </c>
      <c r="AO71" s="119" t="inlineStr">
        <is>
          <t>✓ Good</t>
        </is>
      </c>
      <c r="AP71" s="117" t="n">
        <v>0</v>
      </c>
      <c r="AQ71" s="117" t="n">
        <v>0</v>
      </c>
      <c r="AR71" s="117" t="n">
        <v>1</v>
      </c>
      <c r="AS71" s="117" t="n">
        <v>1</v>
      </c>
      <c r="AT71" s="117" t="n">
        <v>1</v>
      </c>
      <c r="AU71" s="117" t="n">
        <v>1</v>
      </c>
      <c r="AV71" s="117" t="n">
        <v>4</v>
      </c>
      <c r="AW71" s="117" t="inlineStr">
        <is>
          <t>⚠⚠ MULTIPLE RED FLAGS</t>
        </is>
      </c>
      <c r="AX71" s="118" t="n">
        <v>30.8</v>
      </c>
      <c r="AY71" s="119" t="inlineStr">
        <is>
          <t>🟢 LOW RISK</t>
        </is>
      </c>
      <c r="AZ71" s="118" t="n">
        <v>41.6</v>
      </c>
      <c r="BA71" s="118" t="n">
        <v>140</v>
      </c>
      <c r="BB71" s="124" t="inlineStr">
        <is>
          <t>N/A</t>
        </is>
      </c>
      <c r="BC71" s="124" t="inlineStr">
        <is>
          <t>N/A</t>
        </is>
      </c>
      <c r="BD71" s="118" t="n">
        <v>21.2</v>
      </c>
      <c r="BE71" s="118" t="n">
        <v>71.7</v>
      </c>
      <c r="BF71" s="120" t="n">
        <v>0.123</v>
      </c>
      <c r="BG71" s="117" t="n">
        <v>0.778</v>
      </c>
      <c r="BH71" s="122" t="n">
        <v>7</v>
      </c>
      <c r="BI71" s="123" t="n">
        <v>1</v>
      </c>
    </row>
    <row r="72" ht="17" customHeight="1">
      <c r="A72" s="117" t="inlineStr">
        <is>
          <t>WWD</t>
        </is>
      </c>
      <c r="B72" s="117" t="inlineStr">
        <is>
          <t>WOODWARD, INC.</t>
        </is>
      </c>
      <c r="C72" s="118" t="n">
        <v>0.973</v>
      </c>
      <c r="D72" s="118" t="n">
        <v>0.983</v>
      </c>
      <c r="E72" s="118" t="n">
        <v>0.985</v>
      </c>
      <c r="F72" s="118" t="n">
        <v>1.073</v>
      </c>
      <c r="G72" s="118" t="n">
        <v>1.067</v>
      </c>
      <c r="H72" s="118" t="n">
        <v>1</v>
      </c>
      <c r="I72" s="118" t="n">
        <v>0.888</v>
      </c>
      <c r="J72" s="118" t="n">
        <v>-0.006</v>
      </c>
      <c r="K72" s="118" t="n">
        <v>-2.44</v>
      </c>
      <c r="L72" s="119" t="inlineStr">
        <is>
          <t>✓ Lower Risk</t>
        </is>
      </c>
      <c r="M72" s="120" t="n">
        <v>-0</v>
      </c>
      <c r="N72" s="120" t="n">
        <v>0.083</v>
      </c>
      <c r="O72" s="120" t="n">
        <v>0.187</v>
      </c>
      <c r="P72" s="120" t="n">
        <v>0.716</v>
      </c>
      <c r="Q72" s="120" t="n">
        <v>0.01</v>
      </c>
      <c r="R72" s="117" t="n">
        <v>0</v>
      </c>
      <c r="S72" s="118" t="n">
        <v>-6.049</v>
      </c>
      <c r="T72" s="118" t="n">
        <v>0.002</v>
      </c>
      <c r="U72" s="119" t="inlineStr">
        <is>
          <t>✓ Normal</t>
        </is>
      </c>
      <c r="V72" s="117" t="n">
        <v>1</v>
      </c>
      <c r="W72" s="117" t="n">
        <v>0</v>
      </c>
      <c r="X72" s="117" t="n">
        <v>1</v>
      </c>
      <c r="Y72" s="117" t="n">
        <v>1</v>
      </c>
      <c r="Z72" s="117" t="n">
        <v>1</v>
      </c>
      <c r="AA72" s="117" t="n">
        <v>0</v>
      </c>
      <c r="AB72" s="117" t="n">
        <v>4</v>
      </c>
      <c r="AC72" s="121" t="inlineStr">
        <is>
          <t>⚠⚠ SERIOUS CONCERN</t>
        </is>
      </c>
      <c r="AD72" s="118" t="n">
        <v>471294000</v>
      </c>
      <c r="AE72" s="118" t="n">
        <v>-119553000</v>
      </c>
      <c r="AF72" s="118" t="n">
        <v>442111000</v>
      </c>
      <c r="AG72" s="118" t="n">
        <v>0.02</v>
      </c>
      <c r="AH72" s="119" t="inlineStr">
        <is>
          <t>✓ Medium Quality</t>
        </is>
      </c>
      <c r="AI72" s="118" t="n">
        <v>0.044</v>
      </c>
      <c r="AJ72" s="120" t="n">
        <v>0.073</v>
      </c>
      <c r="AK72" s="120" t="n">
        <v>0.601</v>
      </c>
      <c r="AL72" s="120" t="n">
        <v>0.132</v>
      </c>
      <c r="AM72" s="120" t="n">
        <v>-0.001</v>
      </c>
      <c r="AN72" s="118" t="n">
        <v>96.40000000000001</v>
      </c>
      <c r="AO72" s="119" t="inlineStr">
        <is>
          <t>✓ Good</t>
        </is>
      </c>
      <c r="AP72" s="117" t="n">
        <v>0</v>
      </c>
      <c r="AQ72" s="117" t="n">
        <v>0</v>
      </c>
      <c r="AR72" s="117" t="n">
        <v>0</v>
      </c>
      <c r="AS72" s="117" t="n">
        <v>0</v>
      </c>
      <c r="AT72" s="117" t="n">
        <v>1</v>
      </c>
      <c r="AU72" s="117" t="n">
        <v>1</v>
      </c>
      <c r="AV72" s="117" t="n">
        <v>2</v>
      </c>
      <c r="AW72" s="121" t="inlineStr">
        <is>
          <t>⚠ WATCH</t>
        </is>
      </c>
      <c r="AX72" s="118" t="n">
        <v>23.1</v>
      </c>
      <c r="AY72" s="119" t="inlineStr">
        <is>
          <t>🟢 LOW RISK</t>
        </is>
      </c>
      <c r="AZ72" s="118" t="n">
        <v>48.8</v>
      </c>
      <c r="BA72" s="118" t="n">
        <v>50.2</v>
      </c>
      <c r="BB72" s="118" t="n">
        <v>91.5</v>
      </c>
      <c r="BC72" s="118" t="n">
        <v>90.8</v>
      </c>
      <c r="BD72" s="118" t="n">
        <v>40.5</v>
      </c>
      <c r="BE72" s="118" t="n">
        <v>42.9</v>
      </c>
      <c r="BF72" s="120" t="n">
        <v>0.152</v>
      </c>
      <c r="BG72" s="117" t="n">
        <v>0.716</v>
      </c>
      <c r="BH72" s="122" t="n">
        <v>6</v>
      </c>
      <c r="BI72" s="123" t="n">
        <v>1</v>
      </c>
    </row>
    <row r="73" ht="17" customHeight="1">
      <c r="A73" s="117" t="inlineStr">
        <is>
          <t>CBRE</t>
        </is>
      </c>
      <c r="B73" s="117" t="inlineStr">
        <is>
          <t>CBRE GROUP, INC.</t>
        </is>
      </c>
      <c r="C73" s="118" t="n">
        <v>1.043</v>
      </c>
      <c r="D73" s="118" t="n">
        <v>1.01</v>
      </c>
      <c r="E73" s="118" t="n">
        <v>0.956</v>
      </c>
      <c r="F73" s="118" t="n">
        <v>1.134</v>
      </c>
      <c r="G73" s="118" t="n">
        <v>1.035</v>
      </c>
      <c r="H73" s="124" t="inlineStr">
        <is>
          <t>N/A</t>
        </is>
      </c>
      <c r="I73" s="118" t="n">
        <v>1.105</v>
      </c>
      <c r="J73" s="118" t="n">
        <v>-0.013</v>
      </c>
      <c r="K73" s="118" t="n">
        <v>-2.253</v>
      </c>
      <c r="L73" s="119" t="inlineStr">
        <is>
          <t>✓ Lower Risk</t>
        </is>
      </c>
      <c r="M73" s="120" t="n">
        <v>-0.032</v>
      </c>
      <c r="N73" s="120" t="n">
        <v>0.267</v>
      </c>
      <c r="O73" s="124" t="inlineStr">
        <is>
          <t>N/A</t>
        </is>
      </c>
      <c r="P73" s="120" t="n">
        <v>0.906</v>
      </c>
      <c r="Q73" s="120" t="n">
        <v>-0.002</v>
      </c>
      <c r="R73" s="117" t="n">
        <v>0</v>
      </c>
      <c r="S73" s="118" t="n">
        <v>-5.452</v>
      </c>
      <c r="T73" s="118" t="n">
        <v>0.004</v>
      </c>
      <c r="U73" s="119" t="inlineStr">
        <is>
          <t>✓ Normal</t>
        </is>
      </c>
      <c r="V73" s="117" t="n">
        <v>1</v>
      </c>
      <c r="W73" s="117" t="n">
        <v>1</v>
      </c>
      <c r="X73" s="117" t="n">
        <v>0</v>
      </c>
      <c r="Y73" s="117" t="n">
        <v>0</v>
      </c>
      <c r="Z73" s="117" t="n">
        <v>1</v>
      </c>
      <c r="AA73" s="117" t="n">
        <v>1</v>
      </c>
      <c r="AB73" s="117" t="n">
        <v>4</v>
      </c>
      <c r="AC73" s="121" t="inlineStr">
        <is>
          <t>⚠⚠ SERIOUS CONCERN</t>
        </is>
      </c>
      <c r="AD73" s="118" t="n">
        <v>1559000000</v>
      </c>
      <c r="AE73" s="118" t="n">
        <v>-1627000000</v>
      </c>
      <c r="AF73" s="118" t="n">
        <v>1157000000</v>
      </c>
      <c r="AG73" s="118" t="n">
        <v>0.044</v>
      </c>
      <c r="AH73" s="119" t="inlineStr">
        <is>
          <t>✓ Medium Quality</t>
        </is>
      </c>
      <c r="AI73" s="118" t="n">
        <v>0.183</v>
      </c>
      <c r="AJ73" s="120" t="n">
        <v>0.134</v>
      </c>
      <c r="AK73" s="120" t="n">
        <v>1.365</v>
      </c>
      <c r="AL73" s="120" t="n">
        <v>0.038</v>
      </c>
      <c r="AM73" s="120" t="n">
        <v>0.002</v>
      </c>
      <c r="AN73" s="118" t="n">
        <v>66.8</v>
      </c>
      <c r="AO73" s="119" t="inlineStr">
        <is>
          <t>✓ Good</t>
        </is>
      </c>
      <c r="AP73" s="117" t="n">
        <v>0</v>
      </c>
      <c r="AQ73" s="117" t="n">
        <v>0</v>
      </c>
      <c r="AR73" s="117" t="n">
        <v>1</v>
      </c>
      <c r="AS73" s="117" t="n">
        <v>0</v>
      </c>
      <c r="AT73" s="117" t="n">
        <v>0</v>
      </c>
      <c r="AU73" s="117" t="n">
        <v>0</v>
      </c>
      <c r="AV73" s="117" t="n">
        <v>1</v>
      </c>
      <c r="AW73" s="119" t="inlineStr">
        <is>
          <t>✓ Clean</t>
        </is>
      </c>
      <c r="AX73" s="118" t="n">
        <v>25.1</v>
      </c>
      <c r="AY73" s="119" t="inlineStr">
        <is>
          <t>🟢 LOW RISK</t>
        </is>
      </c>
      <c r="AZ73" s="118" t="n">
        <v>74.59999999999999</v>
      </c>
      <c r="BA73" s="118" t="n">
        <v>71.5</v>
      </c>
      <c r="BB73" s="124" t="inlineStr">
        <is>
          <t>N/A</t>
        </is>
      </c>
      <c r="BC73" s="124" t="inlineStr">
        <is>
          <t>N/A</t>
        </is>
      </c>
      <c r="BD73" s="118" t="n">
        <v>18.1</v>
      </c>
      <c r="BE73" s="118" t="n">
        <v>14.9</v>
      </c>
      <c r="BF73" s="120" t="n">
        <v>0.199</v>
      </c>
      <c r="BG73" s="117" t="n">
        <v>0.906</v>
      </c>
      <c r="BH73" s="122" t="n">
        <v>5</v>
      </c>
      <c r="BI73" s="123" t="n">
        <v>1</v>
      </c>
    </row>
    <row r="74" ht="17" customHeight="1">
      <c r="A74" s="117" t="inlineStr">
        <is>
          <t>WTW</t>
        </is>
      </c>
      <c r="B74" s="117" t="inlineStr">
        <is>
          <t>WILLIS TOWERS WATSON PLC</t>
        </is>
      </c>
      <c r="C74" s="118" t="n">
        <v>1.108</v>
      </c>
      <c r="D74" s="118" t="n">
        <v>3.916</v>
      </c>
      <c r="E74" s="118" t="n">
        <v>0.9409999999999999</v>
      </c>
      <c r="F74" s="118" t="n">
        <v>0.978</v>
      </c>
      <c r="G74" s="118" t="n">
        <v>0.916</v>
      </c>
      <c r="H74" s="124" t="inlineStr">
        <is>
          <t>N/A</t>
        </is>
      </c>
      <c r="I74" s="118" t="n">
        <v>1.024</v>
      </c>
      <c r="J74" s="118" t="n">
        <v>-0.006</v>
      </c>
      <c r="K74" s="118" t="n">
        <v>-0.757</v>
      </c>
      <c r="L74" s="121" t="inlineStr">
        <is>
          <t>⚠ MANIPULATOR RISK</t>
        </is>
      </c>
      <c r="M74" s="120" t="n">
        <v>-0.036</v>
      </c>
      <c r="N74" s="120" t="n">
        <v>0.9370000000000001</v>
      </c>
      <c r="O74" s="124" t="inlineStr">
        <is>
          <t>N/A</t>
        </is>
      </c>
      <c r="P74" s="120" t="n">
        <v>0.87</v>
      </c>
      <c r="Q74" s="120" t="n">
        <v>0.058</v>
      </c>
      <c r="R74" s="117" t="n">
        <v>0</v>
      </c>
      <c r="S74" s="118" t="n">
        <v>-3.865</v>
      </c>
      <c r="T74" s="118" t="n">
        <v>0.021</v>
      </c>
      <c r="U74" s="119" t="inlineStr">
        <is>
          <t>✓ Normal</t>
        </is>
      </c>
      <c r="V74" s="117" t="n">
        <v>1</v>
      </c>
      <c r="W74" s="117" t="n">
        <v>1</v>
      </c>
      <c r="X74" s="117" t="n">
        <v>0</v>
      </c>
      <c r="Y74" s="117" t="n">
        <v>0</v>
      </c>
      <c r="Z74" s="117" t="n">
        <v>0</v>
      </c>
      <c r="AA74" s="117" t="n">
        <v>0</v>
      </c>
      <c r="AB74" s="117" t="n">
        <v>2</v>
      </c>
      <c r="AC74" s="121" t="inlineStr">
        <is>
          <t>⚠ WATCH</t>
        </is>
      </c>
      <c r="AD74" s="118" t="n">
        <v>1775000000</v>
      </c>
      <c r="AE74" s="118" t="n">
        <v>447000000</v>
      </c>
      <c r="AF74" s="118" t="n">
        <v>1605000000</v>
      </c>
      <c r="AG74" s="118" t="n">
        <v>-0.022</v>
      </c>
      <c r="AH74" s="119" t="inlineStr">
        <is>
          <t>✓ Medium Quality</t>
        </is>
      </c>
      <c r="AI74" s="118" t="n">
        <v>0.083</v>
      </c>
      <c r="AJ74" s="120" t="n">
        <v>-0.022</v>
      </c>
      <c r="AK74" s="120" t="n">
        <v>-3.73</v>
      </c>
      <c r="AL74" s="120" t="n">
        <v>0.183</v>
      </c>
      <c r="AM74" s="120" t="n">
        <v>-0.003</v>
      </c>
      <c r="AN74" s="118" t="n">
        <v>99.8</v>
      </c>
      <c r="AO74" s="119" t="inlineStr">
        <is>
          <t>✓ Good</t>
        </is>
      </c>
      <c r="AP74" s="117" t="n">
        <v>0</v>
      </c>
      <c r="AQ74" s="117" t="n">
        <v>1</v>
      </c>
      <c r="AR74" s="117" t="n">
        <v>1</v>
      </c>
      <c r="AS74" s="117" t="n">
        <v>0</v>
      </c>
      <c r="AT74" s="117" t="n">
        <v>0</v>
      </c>
      <c r="AU74" s="117" t="n">
        <v>1</v>
      </c>
      <c r="AV74" s="117" t="n">
        <v>3</v>
      </c>
      <c r="AW74" s="121" t="inlineStr">
        <is>
          <t>⚠ WATCH</t>
        </is>
      </c>
      <c r="AX74" s="118" t="n">
        <v>24.9</v>
      </c>
      <c r="AY74" s="119" t="inlineStr">
        <is>
          <t>🟢 LOW RISK</t>
        </is>
      </c>
      <c r="AZ74" s="118" t="n">
        <v>101.6</v>
      </c>
      <c r="BA74" s="118" t="n">
        <v>91.7</v>
      </c>
      <c r="BB74" s="124" t="inlineStr">
        <is>
          <t>N/A</t>
        </is>
      </c>
      <c r="BC74" s="124" t="inlineStr">
        <is>
          <t>N/A</t>
        </is>
      </c>
      <c r="BD74" s="118" t="n">
        <v>7.7</v>
      </c>
      <c r="BE74" s="118" t="n">
        <v>26.1</v>
      </c>
      <c r="BF74" s="120" t="n">
        <v>0.163</v>
      </c>
      <c r="BG74" s="117" t="n">
        <v>0.87</v>
      </c>
      <c r="BH74" s="122" t="n">
        <v>5</v>
      </c>
      <c r="BI74" s="123" t="n">
        <v>1</v>
      </c>
    </row>
    <row r="75" ht="17" customHeight="1">
      <c r="A75" s="117" t="inlineStr">
        <is>
          <t>ITW</t>
        </is>
      </c>
      <c r="B75" s="117" t="inlineStr">
        <is>
          <t>ILLINOIS TOOL WORKS INC</t>
        </is>
      </c>
      <c r="C75" s="118" t="n">
        <v>0.262</v>
      </c>
      <c r="D75" s="118" t="n">
        <v>-3.755</v>
      </c>
      <c r="E75" s="118" t="n">
        <v>1.004</v>
      </c>
      <c r="F75" s="118" t="n">
        <v>4.125</v>
      </c>
      <c r="G75" s="118" t="n">
        <v>1.035</v>
      </c>
      <c r="H75" s="124" t="inlineStr">
        <is>
          <t>N/A</t>
        </is>
      </c>
      <c r="I75" s="118" t="n">
        <v>1</v>
      </c>
      <c r="J75" s="118" t="n">
        <v>-0.004</v>
      </c>
      <c r="K75" s="118" t="n">
        <v>-2.722</v>
      </c>
      <c r="L75" s="119" t="inlineStr">
        <is>
          <t>✓ Lower Risk</t>
        </is>
      </c>
      <c r="M75" s="120" t="n">
        <v>-0.043</v>
      </c>
      <c r="N75" s="120" t="n">
        <v>0.021</v>
      </c>
      <c r="O75" s="120" t="n">
        <v>0.005</v>
      </c>
      <c r="P75" s="120" t="n">
        <v>0.8090000000000001</v>
      </c>
      <c r="Q75" s="120" t="n">
        <v>-0.042</v>
      </c>
      <c r="R75" s="117" t="n">
        <v>0</v>
      </c>
      <c r="S75" s="118" t="n">
        <v>-6.248</v>
      </c>
      <c r="T75" s="118" t="n">
        <v>0.002</v>
      </c>
      <c r="U75" s="119" t="inlineStr">
        <is>
          <t>✓ Normal</t>
        </is>
      </c>
      <c r="V75" s="117" t="n">
        <v>0</v>
      </c>
      <c r="W75" s="117" t="n">
        <v>0</v>
      </c>
      <c r="X75" s="117" t="n">
        <v>0</v>
      </c>
      <c r="Y75" s="117" t="n">
        <v>1</v>
      </c>
      <c r="Z75" s="117" t="n">
        <v>1</v>
      </c>
      <c r="AA75" s="117" t="n">
        <v>0</v>
      </c>
      <c r="AB75" s="117" t="n">
        <v>2</v>
      </c>
      <c r="AC75" s="121" t="inlineStr">
        <is>
          <t>⚠ WATCH</t>
        </is>
      </c>
      <c r="AD75" s="118" t="n">
        <v>3126000000</v>
      </c>
      <c r="AE75" s="118" t="n">
        <v>-521000000</v>
      </c>
      <c r="AF75" s="118" t="n">
        <v>3066000000</v>
      </c>
      <c r="AG75" s="118" t="n">
        <v>0.03</v>
      </c>
      <c r="AH75" s="119" t="inlineStr">
        <is>
          <t>✓ Medium Quality</t>
        </is>
      </c>
      <c r="AI75" s="118" t="n">
        <v>0.079</v>
      </c>
      <c r="AJ75" s="120" t="n">
        <v>3.125</v>
      </c>
      <c r="AK75" s="120" t="n">
        <v>0.025</v>
      </c>
      <c r="AL75" s="120" t="n">
        <v>0.212</v>
      </c>
      <c r="AM75" s="120" t="n">
        <v>-0.001</v>
      </c>
      <c r="AN75" s="118" t="n">
        <v>99.90000000000001</v>
      </c>
      <c r="AO75" s="119" t="inlineStr">
        <is>
          <t>✓ Good</t>
        </is>
      </c>
      <c r="AP75" s="117" t="n">
        <v>0</v>
      </c>
      <c r="AQ75" s="117" t="n">
        <v>0</v>
      </c>
      <c r="AR75" s="117" t="n">
        <v>0</v>
      </c>
      <c r="AS75" s="117" t="n">
        <v>0</v>
      </c>
      <c r="AT75" s="117" t="n">
        <v>1</v>
      </c>
      <c r="AU75" s="117" t="n">
        <v>0</v>
      </c>
      <c r="AV75" s="117" t="n">
        <v>1</v>
      </c>
      <c r="AW75" s="119" t="inlineStr">
        <is>
          <t>✓ Clean</t>
        </is>
      </c>
      <c r="AX75" s="118" t="n">
        <v>14.7</v>
      </c>
      <c r="AY75" s="119" t="inlineStr">
        <is>
          <t>🟢 VERY LOW RISK</t>
        </is>
      </c>
      <c r="AZ75" s="118" t="n">
        <v>79.8</v>
      </c>
      <c r="BA75" s="118" t="n">
        <v>304.9</v>
      </c>
      <c r="BB75" s="118" t="n">
        <v>67.5</v>
      </c>
      <c r="BC75" s="118" t="n">
        <v>66.09999999999999</v>
      </c>
      <c r="BD75" s="118" t="n">
        <v>21.2</v>
      </c>
      <c r="BE75" s="118" t="n">
        <v>21.4</v>
      </c>
      <c r="BF75" s="120" t="n">
        <v>0.378</v>
      </c>
      <c r="BG75" s="117" t="n">
        <v>0.8090000000000001</v>
      </c>
      <c r="BH75" s="122" t="n">
        <v>3</v>
      </c>
      <c r="BI75" s="123" t="n">
        <v>1</v>
      </c>
    </row>
    <row r="76" ht="17" customHeight="1">
      <c r="A76" s="117" t="inlineStr">
        <is>
          <t>KTOS</t>
        </is>
      </c>
      <c r="B76" s="117" t="inlineStr">
        <is>
          <t>Kratos Defense &amp; Security Solutions, Inc.</t>
        </is>
      </c>
      <c r="C76" s="118" t="n">
        <v>1.249</v>
      </c>
      <c r="D76" s="118" t="n">
        <v>1.049</v>
      </c>
      <c r="E76" s="118" t="n">
        <v>0.85</v>
      </c>
      <c r="F76" s="118" t="n">
        <v>1.124</v>
      </c>
      <c r="G76" s="118" t="n">
        <v>1.307</v>
      </c>
      <c r="H76" s="118" t="n">
        <v>0.998</v>
      </c>
      <c r="I76" s="118" t="n">
        <v>0.623</v>
      </c>
      <c r="J76" s="118" t="n">
        <v>0.026</v>
      </c>
      <c r="K76" s="118" t="n">
        <v>-1.895</v>
      </c>
      <c r="L76" s="121" t="inlineStr">
        <is>
          <t>⚠ MANIPULATOR RISK</t>
        </is>
      </c>
      <c r="M76" s="120" t="n">
        <v>0.04</v>
      </c>
      <c r="N76" s="120" t="n">
        <v>0.571</v>
      </c>
      <c r="O76" s="120" t="n">
        <v>-0.05</v>
      </c>
      <c r="P76" s="120" t="n">
        <v>0.725</v>
      </c>
      <c r="Q76" s="120" t="n">
        <v>0.001</v>
      </c>
      <c r="R76" s="117" t="n">
        <v>1</v>
      </c>
      <c r="S76" s="118" t="n">
        <v>-1.975</v>
      </c>
      <c r="T76" s="118" t="n">
        <v>0.122</v>
      </c>
      <c r="U76" s="121" t="inlineStr">
        <is>
          <t>⚠ HIGH RISK</t>
        </is>
      </c>
      <c r="V76" s="117" t="n">
        <v>1</v>
      </c>
      <c r="W76" s="117" t="n">
        <v>1</v>
      </c>
      <c r="X76" s="117" t="n">
        <v>0</v>
      </c>
      <c r="Y76" s="117" t="n">
        <v>1</v>
      </c>
      <c r="Z76" s="117" t="n">
        <v>1</v>
      </c>
      <c r="AA76" s="117" t="n">
        <v>1</v>
      </c>
      <c r="AB76" s="117" t="n">
        <v>5</v>
      </c>
      <c r="AC76" s="121" t="inlineStr">
        <is>
          <t>⚠⚠ SERIOUS CONCERN</t>
        </is>
      </c>
      <c r="AD76" s="118" t="n">
        <v>-42100000</v>
      </c>
      <c r="AE76" s="118" t="n">
        <v>-88300000</v>
      </c>
      <c r="AF76" s="118" t="n">
        <v>22000000</v>
      </c>
      <c r="AG76" s="118" t="n">
        <v>0.06900000000000001</v>
      </c>
      <c r="AH76" s="119" t="inlineStr">
        <is>
          <t>✓ Medium Quality</t>
        </is>
      </c>
      <c r="AI76" s="118" t="n">
        <v>0.404</v>
      </c>
      <c r="AJ76" s="120" t="n">
        <v>0.124</v>
      </c>
      <c r="AK76" s="120" t="n">
        <v>3.249</v>
      </c>
      <c r="AL76" s="120" t="n">
        <v>-0.056</v>
      </c>
      <c r="AM76" s="120" t="n">
        <v>-0.004</v>
      </c>
      <c r="AN76" s="118" t="n">
        <v>39.8</v>
      </c>
      <c r="AO76" s="117" t="inlineStr">
        <is>
          <t>⚠ LOW QUALITY</t>
        </is>
      </c>
      <c r="AP76" s="117" t="n">
        <v>0</v>
      </c>
      <c r="AQ76" s="117" t="n">
        <v>0</v>
      </c>
      <c r="AR76" s="117" t="n">
        <v>1</v>
      </c>
      <c r="AS76" s="117" t="n">
        <v>0</v>
      </c>
      <c r="AT76" s="117" t="n">
        <v>1</v>
      </c>
      <c r="AU76" s="117" t="n">
        <v>1</v>
      </c>
      <c r="AV76" s="117" t="n">
        <v>3</v>
      </c>
      <c r="AW76" s="121" t="inlineStr">
        <is>
          <t>⚠ WATCH</t>
        </is>
      </c>
      <c r="AX76" s="118" t="n">
        <v>50.7</v>
      </c>
      <c r="AY76" s="121" t="inlineStr">
        <is>
          <t>🟡 ELEVATED RISK</t>
        </is>
      </c>
      <c r="AZ76" s="118" t="n">
        <v>80.09999999999999</v>
      </c>
      <c r="BA76" s="118" t="n">
        <v>64.09999999999999</v>
      </c>
      <c r="BB76" s="118" t="n">
        <v>16.4</v>
      </c>
      <c r="BC76" s="118" t="n">
        <v>21.9</v>
      </c>
      <c r="BD76" s="118" t="n">
        <v>24.5</v>
      </c>
      <c r="BE76" s="118" t="n">
        <v>35.2</v>
      </c>
      <c r="BF76" s="120" t="n">
        <v>0.353</v>
      </c>
      <c r="BG76" s="117" t="n">
        <v>0.725</v>
      </c>
      <c r="BH76" s="122" t="n">
        <v>9</v>
      </c>
      <c r="BI76" s="123" t="n">
        <v>1</v>
      </c>
    </row>
    <row r="77" ht="17" customHeight="1">
      <c r="A77" s="117" t="inlineStr">
        <is>
          <t>CTVA</t>
        </is>
      </c>
      <c r="B77" s="117" t="inlineStr">
        <is>
          <t>Corteva, Inc.</t>
        </is>
      </c>
      <c r="C77" s="118" t="n">
        <v>1.066</v>
      </c>
      <c r="D77" s="118" t="n">
        <v>0.923</v>
      </c>
      <c r="E77" s="118" t="n">
        <v>0.9379999999999999</v>
      </c>
      <c r="F77" s="118" t="n">
        <v>1.029</v>
      </c>
      <c r="G77" s="118" t="n">
        <v>1.039</v>
      </c>
      <c r="H77" s="118" t="n">
        <v>1.062</v>
      </c>
      <c r="I77" s="118" t="n">
        <v>1</v>
      </c>
      <c r="J77" s="118" t="n">
        <v>-0.054</v>
      </c>
      <c r="K77" s="118" t="n">
        <v>-2.718</v>
      </c>
      <c r="L77" s="119" t="inlineStr">
        <is>
          <t>✓ Lower Risk</t>
        </is>
      </c>
      <c r="M77" s="120" t="n">
        <v>-0.049</v>
      </c>
      <c r="N77" s="120" t="n">
        <v>0.878</v>
      </c>
      <c r="O77" s="120" t="n">
        <v>0.477</v>
      </c>
      <c r="P77" s="120" t="n">
        <v>0.796</v>
      </c>
      <c r="Q77" s="120" t="n">
        <v>0.003</v>
      </c>
      <c r="R77" s="117" t="n">
        <v>0</v>
      </c>
      <c r="S77" s="118" t="n">
        <v>-3.579</v>
      </c>
      <c r="T77" s="118" t="n">
        <v>0.027</v>
      </c>
      <c r="U77" s="119" t="inlineStr">
        <is>
          <t>✓ Normal</t>
        </is>
      </c>
      <c r="V77" s="117" t="n">
        <v>0</v>
      </c>
      <c r="W77" s="117" t="n">
        <v>1</v>
      </c>
      <c r="X77" s="117" t="n">
        <v>1</v>
      </c>
      <c r="Y77" s="117" t="n">
        <v>0</v>
      </c>
      <c r="Z77" s="117" t="n">
        <v>1</v>
      </c>
      <c r="AA77" s="117" t="n">
        <v>0</v>
      </c>
      <c r="AB77" s="117" t="n">
        <v>3</v>
      </c>
      <c r="AC77" s="121" t="inlineStr">
        <is>
          <t>⚠ WATCH</t>
        </is>
      </c>
      <c r="AD77" s="118" t="n">
        <v>3406000000</v>
      </c>
      <c r="AE77" s="118" t="n">
        <v>-543000000</v>
      </c>
      <c r="AF77" s="118" t="n">
        <v>1094000000</v>
      </c>
      <c r="AG77" s="118" t="n">
        <v>-0.042</v>
      </c>
      <c r="AH77" s="119" t="inlineStr">
        <is>
          <t>✓ Medium Quality</t>
        </is>
      </c>
      <c r="AI77" s="118" t="n">
        <v>0.097</v>
      </c>
      <c r="AJ77" s="120" t="n">
        <v>0.029</v>
      </c>
      <c r="AK77" s="120" t="n">
        <v>3.339</v>
      </c>
      <c r="AL77" s="120" t="n">
        <v>0.196</v>
      </c>
      <c r="AM77" s="120" t="n">
        <v>0.017</v>
      </c>
      <c r="AN77" s="118" t="n">
        <v>70.8</v>
      </c>
      <c r="AO77" s="119" t="inlineStr">
        <is>
          <t>✓ Good</t>
        </is>
      </c>
      <c r="AP77" s="117" t="n">
        <v>0</v>
      </c>
      <c r="AQ77" s="117" t="n">
        <v>0</v>
      </c>
      <c r="AR77" s="117" t="n">
        <v>0</v>
      </c>
      <c r="AS77" s="117" t="n">
        <v>1</v>
      </c>
      <c r="AT77" s="117" t="n">
        <v>1</v>
      </c>
      <c r="AU77" s="117" t="n">
        <v>1</v>
      </c>
      <c r="AV77" s="117" t="n">
        <v>3</v>
      </c>
      <c r="AW77" s="121" t="inlineStr">
        <is>
          <t>⚠ WATCH</t>
        </is>
      </c>
      <c r="AX77" s="118" t="n">
        <v>25.2</v>
      </c>
      <c r="AY77" s="119" t="inlineStr">
        <is>
          <t>🟢 LOW RISK</t>
        </is>
      </c>
      <c r="AZ77" s="118" t="n">
        <v>102.4</v>
      </c>
      <c r="BA77" s="118" t="n">
        <v>96</v>
      </c>
      <c r="BB77" s="118" t="n">
        <v>225.5</v>
      </c>
      <c r="BC77" s="118" t="n">
        <v>208.1</v>
      </c>
      <c r="BD77" s="118" t="n">
        <v>175</v>
      </c>
      <c r="BE77" s="118" t="n">
        <v>154.7</v>
      </c>
      <c r="BF77" s="120" t="n">
        <v>0.287</v>
      </c>
      <c r="BG77" s="117" t="n">
        <v>0.796</v>
      </c>
      <c r="BH77" s="122" t="n">
        <v>6</v>
      </c>
      <c r="BI77" s="123" t="n">
        <v>1</v>
      </c>
    </row>
    <row r="78" ht="17" customHeight="1">
      <c r="A78" s="117" t="inlineStr">
        <is>
          <t>ABM</t>
        </is>
      </c>
      <c r="B78" s="117" t="inlineStr">
        <is>
          <t>ABM INDUSTRIES INCORPORATED</t>
        </is>
      </c>
      <c r="C78" s="118" t="n">
        <v>0.9340000000000001</v>
      </c>
      <c r="D78" s="118" t="n">
        <v>0.946</v>
      </c>
      <c r="E78" s="118" t="n">
        <v>0.966</v>
      </c>
      <c r="F78" s="118" t="n">
        <v>1.046</v>
      </c>
      <c r="G78" s="118" t="n">
        <v>1.133</v>
      </c>
      <c r="H78" s="118" t="n">
        <v>0.871</v>
      </c>
      <c r="I78" s="118" t="n">
        <v>1.016</v>
      </c>
      <c r="J78" s="118" t="n">
        <v>-0.014</v>
      </c>
      <c r="K78" s="118" t="n">
        <v>-2.574</v>
      </c>
      <c r="L78" s="119" t="inlineStr">
        <is>
          <t>✓ Lower Risk</t>
        </is>
      </c>
      <c r="M78" s="120" t="n">
        <v>0.008999999999999999</v>
      </c>
      <c r="N78" s="120" t="n">
        <v>-0.062</v>
      </c>
      <c r="O78" s="124" t="inlineStr">
        <is>
          <t>N/A</t>
        </is>
      </c>
      <c r="P78" s="120" t="n">
        <v>0.947</v>
      </c>
      <c r="Q78" s="120" t="n">
        <v>0.015</v>
      </c>
      <c r="R78" s="117" t="n">
        <v>0</v>
      </c>
      <c r="S78" s="118" t="n">
        <v>-6.176</v>
      </c>
      <c r="T78" s="118" t="n">
        <v>0.002</v>
      </c>
      <c r="U78" s="119" t="inlineStr">
        <is>
          <t>✓ Normal</t>
        </is>
      </c>
      <c r="V78" s="117" t="n">
        <v>1</v>
      </c>
      <c r="W78" s="117" t="n">
        <v>0</v>
      </c>
      <c r="X78" s="117" t="n">
        <v>0</v>
      </c>
      <c r="Y78" s="117" t="n">
        <v>0</v>
      </c>
      <c r="Z78" s="117" t="n">
        <v>1</v>
      </c>
      <c r="AA78" s="117" t="n">
        <v>0</v>
      </c>
      <c r="AB78" s="117" t="n">
        <v>2</v>
      </c>
      <c r="AC78" s="121" t="inlineStr">
        <is>
          <t>⚠ WATCH</t>
        </is>
      </c>
      <c r="AD78" s="118" t="n">
        <v>234400000</v>
      </c>
      <c r="AE78" s="118" t="n">
        <v>-115600000</v>
      </c>
      <c r="AF78" s="118" t="n">
        <v>162400000</v>
      </c>
      <c r="AG78" s="118" t="n">
        <v>0.008</v>
      </c>
      <c r="AH78" s="119" t="inlineStr">
        <is>
          <t>✓ Medium Quality</t>
        </is>
      </c>
      <c r="AI78" s="118" t="n">
        <v>-0.023</v>
      </c>
      <c r="AJ78" s="120" t="n">
        <v>0.046</v>
      </c>
      <c r="AK78" s="120" t="n">
        <v>-0.5</v>
      </c>
      <c r="AL78" s="120" t="n">
        <v>0.027</v>
      </c>
      <c r="AM78" s="120" t="n">
        <v>0.001</v>
      </c>
      <c r="AN78" s="118" t="n">
        <v>75.40000000000001</v>
      </c>
      <c r="AO78" s="119" t="inlineStr">
        <is>
          <t>✓ Good</t>
        </is>
      </c>
      <c r="AP78" s="117" t="n">
        <v>0</v>
      </c>
      <c r="AQ78" s="117" t="n">
        <v>0</v>
      </c>
      <c r="AR78" s="117" t="n">
        <v>0</v>
      </c>
      <c r="AS78" s="117" t="n">
        <v>0</v>
      </c>
      <c r="AT78" s="117" t="n">
        <v>0</v>
      </c>
      <c r="AU78" s="117" t="n">
        <v>1</v>
      </c>
      <c r="AV78" s="117" t="n">
        <v>1</v>
      </c>
      <c r="AW78" s="119" t="inlineStr">
        <is>
          <t>✓ Clean</t>
        </is>
      </c>
      <c r="AX78" s="118" t="n">
        <v>16</v>
      </c>
      <c r="AY78" s="119" t="inlineStr">
        <is>
          <t>🟢 VERY LOW RISK</t>
        </is>
      </c>
      <c r="AZ78" s="118" t="n">
        <v>42.3</v>
      </c>
      <c r="BA78" s="118" t="n">
        <v>45.3</v>
      </c>
      <c r="BB78" s="124" t="inlineStr">
        <is>
          <t>N/A</t>
        </is>
      </c>
      <c r="BC78" s="124" t="inlineStr">
        <is>
          <t>N/A</t>
        </is>
      </c>
      <c r="BD78" s="118" t="n">
        <v>19.1</v>
      </c>
      <c r="BE78" s="118" t="n">
        <v>16.2</v>
      </c>
      <c r="BF78" s="120" t="n">
        <v>0.262</v>
      </c>
      <c r="BG78" s="117" t="n">
        <v>0.947</v>
      </c>
      <c r="BH78" s="122" t="n">
        <v>3</v>
      </c>
      <c r="BI78" s="123" t="n">
        <v>1</v>
      </c>
    </row>
    <row r="79" ht="17" customHeight="1">
      <c r="A79" s="117" t="inlineStr">
        <is>
          <t>ACLS</t>
        </is>
      </c>
      <c r="B79" s="117" t="inlineStr">
        <is>
          <t>AXCELIS TECHNOLOGIES INC</t>
        </is>
      </c>
      <c r="C79" s="118" t="n">
        <v>1.006</v>
      </c>
      <c r="D79" s="118" t="n">
        <v>0.995</v>
      </c>
      <c r="E79" s="118" t="n">
        <v>2.093</v>
      </c>
      <c r="F79" s="118" t="n">
        <v>0.824</v>
      </c>
      <c r="G79" s="118" t="n">
        <v>0.951</v>
      </c>
      <c r="H79" s="118" t="n">
        <v>1.435</v>
      </c>
      <c r="I79" s="118" t="n">
        <v>0.963</v>
      </c>
      <c r="J79" s="118" t="n">
        <v>0.001</v>
      </c>
      <c r="K79" s="118" t="n">
        <v>-2.254</v>
      </c>
      <c r="L79" s="119" t="inlineStr">
        <is>
          <t>✓ Lower Risk</t>
        </is>
      </c>
      <c r="M79" s="120" t="n">
        <v>-0.154</v>
      </c>
      <c r="N79" s="120" t="n">
        <v>-0.194</v>
      </c>
      <c r="O79" s="120" t="n">
        <v>0.262</v>
      </c>
      <c r="P79" s="120" t="n">
        <v>0.852</v>
      </c>
      <c r="Q79" s="120" t="n">
        <v>-0.061</v>
      </c>
      <c r="R79" s="117" t="n">
        <v>0</v>
      </c>
      <c r="S79" s="118" t="n">
        <v>-6.479</v>
      </c>
      <c r="T79" s="118" t="n">
        <v>0.002</v>
      </c>
      <c r="U79" s="119" t="inlineStr">
        <is>
          <t>✓ Normal</t>
        </is>
      </c>
      <c r="V79" s="117" t="n">
        <v>0</v>
      </c>
      <c r="W79" s="117" t="n">
        <v>1</v>
      </c>
      <c r="X79" s="117" t="n">
        <v>1</v>
      </c>
      <c r="Y79" s="117" t="n">
        <v>0</v>
      </c>
      <c r="Z79" s="117" t="n">
        <v>0</v>
      </c>
      <c r="AA79" s="117" t="n">
        <v>0</v>
      </c>
      <c r="AB79" s="117" t="n">
        <v>2</v>
      </c>
      <c r="AC79" s="121" t="inlineStr">
        <is>
          <t>⚠ WATCH</t>
        </is>
      </c>
      <c r="AD79" s="118" t="n">
        <v>118305000</v>
      </c>
      <c r="AE79" s="118" t="n">
        <v>29927000</v>
      </c>
      <c r="AF79" s="118" t="n">
        <v>120238000</v>
      </c>
      <c r="AG79" s="118" t="n">
        <v>-0.021</v>
      </c>
      <c r="AH79" s="119" t="inlineStr">
        <is>
          <t>✓ Medium Quality</t>
        </is>
      </c>
      <c r="AI79" s="118" t="n">
        <v>-0.171</v>
      </c>
      <c r="AJ79" s="120" t="n">
        <v>-0.176</v>
      </c>
      <c r="AK79" s="120" t="n">
        <v>0.971</v>
      </c>
      <c r="AL79" s="120" t="n">
        <v>0.141</v>
      </c>
      <c r="AM79" s="120" t="n">
        <v>0.007</v>
      </c>
      <c r="AN79" s="118" t="n">
        <v>98.5</v>
      </c>
      <c r="AO79" s="119" t="inlineStr">
        <is>
          <t>✓ Good</t>
        </is>
      </c>
      <c r="AP79" s="117" t="n">
        <v>1</v>
      </c>
      <c r="AQ79" s="117" t="n">
        <v>1</v>
      </c>
      <c r="AR79" s="117" t="n">
        <v>0</v>
      </c>
      <c r="AS79" s="117" t="n">
        <v>1</v>
      </c>
      <c r="AT79" s="117" t="n">
        <v>0</v>
      </c>
      <c r="AU79" s="117" t="n">
        <v>0</v>
      </c>
      <c r="AV79" s="117" t="n">
        <v>3</v>
      </c>
      <c r="AW79" s="121" t="inlineStr">
        <is>
          <t>⚠ WATCH</t>
        </is>
      </c>
      <c r="AX79" s="118" t="n">
        <v>17.6</v>
      </c>
      <c r="AY79" s="119" t="inlineStr">
        <is>
          <t>🟢 VERY LOW RISK</t>
        </is>
      </c>
      <c r="AZ79" s="118" t="n">
        <v>73.3</v>
      </c>
      <c r="BA79" s="118" t="n">
        <v>72.8</v>
      </c>
      <c r="BB79" s="118" t="n">
        <v>259.8</v>
      </c>
      <c r="BC79" s="118" t="n">
        <v>182.9</v>
      </c>
      <c r="BD79" s="118" t="n">
        <v>33.4</v>
      </c>
      <c r="BE79" s="118" t="n">
        <v>30.4</v>
      </c>
      <c r="BF79" s="120" t="n">
        <v>0.13</v>
      </c>
      <c r="BG79" s="117" t="n">
        <v>0.852</v>
      </c>
      <c r="BH79" s="122" t="n">
        <v>5</v>
      </c>
      <c r="BI79" s="123" t="n">
        <v>1</v>
      </c>
    </row>
    <row r="80" ht="17" customHeight="1">
      <c r="A80" s="117" t="inlineStr">
        <is>
          <t>RTX</t>
        </is>
      </c>
      <c r="B80" s="117" t="inlineStr">
        <is>
          <t>RTX CORPORATION</t>
        </is>
      </c>
      <c r="C80" s="118" t="n">
        <v>1.143</v>
      </c>
      <c r="D80" s="118" t="n">
        <v>0.948</v>
      </c>
      <c r="E80" s="118" t="n">
        <v>0.9340000000000001</v>
      </c>
      <c r="F80" s="118" t="n">
        <v>1.171</v>
      </c>
      <c r="G80" s="118" t="n">
        <v>1.035</v>
      </c>
      <c r="H80" s="118" t="n">
        <v>0.896</v>
      </c>
      <c r="I80" s="118" t="n">
        <v>0.981</v>
      </c>
      <c r="J80" s="118" t="n">
        <v>-0.022</v>
      </c>
      <c r="K80" s="118" t="n">
        <v>-2.326</v>
      </c>
      <c r="L80" s="119" t="inlineStr">
        <is>
          <t>✓ Lower Risk</t>
        </is>
      </c>
      <c r="M80" s="120" t="n">
        <v>-0.025</v>
      </c>
      <c r="N80" s="120" t="n">
        <v>0.315</v>
      </c>
      <c r="O80" s="120" t="n">
        <v>0.05</v>
      </c>
      <c r="P80" s="120" t="n">
        <v>0.858</v>
      </c>
      <c r="Q80" s="120" t="n">
        <v>0.01</v>
      </c>
      <c r="R80" s="117" t="n">
        <v>1</v>
      </c>
      <c r="S80" s="118" t="n">
        <v>-2.292</v>
      </c>
      <c r="T80" s="118" t="n">
        <v>0.092</v>
      </c>
      <c r="U80" s="121" t="inlineStr">
        <is>
          <t>⚠ HIGH RISK</t>
        </is>
      </c>
      <c r="V80" s="117" t="n">
        <v>0</v>
      </c>
      <c r="W80" s="117" t="n">
        <v>1</v>
      </c>
      <c r="X80" s="117" t="n">
        <v>0</v>
      </c>
      <c r="Y80" s="117" t="n">
        <v>0</v>
      </c>
      <c r="Z80" s="117" t="n">
        <v>1</v>
      </c>
      <c r="AA80" s="117" t="n">
        <v>0</v>
      </c>
      <c r="AB80" s="117" t="n">
        <v>2</v>
      </c>
      <c r="AC80" s="121" t="inlineStr">
        <is>
          <t>⚠ WATCH</t>
        </is>
      </c>
      <c r="AD80" s="118" t="n">
        <v>10567000000</v>
      </c>
      <c r="AE80" s="118" t="n">
        <v>-1265000000</v>
      </c>
      <c r="AF80" s="118" t="n">
        <v>6732000000</v>
      </c>
      <c r="AG80" s="118" t="n">
        <v>-0.015</v>
      </c>
      <c r="AH80" s="119" t="inlineStr">
        <is>
          <t>✓ Medium Quality</t>
        </is>
      </c>
      <c r="AI80" s="118" t="n">
        <v>0.339</v>
      </c>
      <c r="AJ80" s="120" t="n">
        <v>0.171</v>
      </c>
      <c r="AK80" s="120" t="n">
        <v>1.979</v>
      </c>
      <c r="AL80" s="120" t="n">
        <v>0.131</v>
      </c>
      <c r="AM80" s="120" t="n">
        <v>0.037</v>
      </c>
      <c r="AN80" s="118" t="n">
        <v>68.7</v>
      </c>
      <c r="AO80" s="119" t="inlineStr">
        <is>
          <t>✓ Good</t>
        </is>
      </c>
      <c r="AP80" s="117" t="n">
        <v>0</v>
      </c>
      <c r="AQ80" s="117" t="n">
        <v>0</v>
      </c>
      <c r="AR80" s="117" t="n">
        <v>0</v>
      </c>
      <c r="AS80" s="117" t="n">
        <v>0</v>
      </c>
      <c r="AT80" s="117" t="n">
        <v>1</v>
      </c>
      <c r="AU80" s="117" t="n">
        <v>1</v>
      </c>
      <c r="AV80" s="117" t="n">
        <v>2</v>
      </c>
      <c r="AW80" s="121" t="inlineStr">
        <is>
          <t>⚠ WATCH</t>
        </is>
      </c>
      <c r="AX80" s="118" t="n">
        <v>31.5</v>
      </c>
      <c r="AY80" s="119" t="inlineStr">
        <is>
          <t>🟢 LOW RISK</t>
        </is>
      </c>
      <c r="AZ80" s="118" t="n">
        <v>66.5</v>
      </c>
      <c r="BA80" s="118" t="n">
        <v>58.1</v>
      </c>
      <c r="BB80" s="118" t="n">
        <v>157.2</v>
      </c>
      <c r="BC80" s="118" t="n">
        <v>153.7</v>
      </c>
      <c r="BD80" s="118" t="n">
        <v>187</v>
      </c>
      <c r="BE80" s="118" t="n">
        <v>155.2</v>
      </c>
      <c r="BF80" s="120" t="n">
        <v>0.191</v>
      </c>
      <c r="BG80" s="117" t="n">
        <v>0.858</v>
      </c>
      <c r="BH80" s="122" t="n">
        <v>5</v>
      </c>
      <c r="BI80" s="123" t="n">
        <v>1</v>
      </c>
    </row>
    <row r="81" ht="17" customHeight="1">
      <c r="A81" s="129" t="inlineStr">
        <is>
          <t>RF</t>
        </is>
      </c>
      <c r="B81" s="129" t="inlineStr">
        <is>
          <t>Regions Financial Corporation</t>
        </is>
      </c>
      <c r="C81" s="124" t="inlineStr">
        <is>
          <t>N/A</t>
        </is>
      </c>
      <c r="D81" s="124" t="inlineStr">
        <is>
          <t>N/A</t>
        </is>
      </c>
      <c r="E81" s="130" t="n">
        <v>1</v>
      </c>
      <c r="F81" s="130" t="n">
        <v>1.238</v>
      </c>
      <c r="G81" s="130" t="n">
        <v>1.029</v>
      </c>
      <c r="H81" s="124" t="inlineStr">
        <is>
          <t>N/A</t>
        </is>
      </c>
      <c r="I81" s="130" t="n">
        <v>0.993</v>
      </c>
      <c r="J81" s="130" t="n">
        <v>-0</v>
      </c>
      <c r="K81" s="124" t="inlineStr">
        <is>
          <t>N/A</t>
        </is>
      </c>
      <c r="L81" s="124" t="inlineStr">
        <is>
          <t>N/A</t>
        </is>
      </c>
      <c r="M81" s="124" t="inlineStr">
        <is>
          <t>N/A</t>
        </is>
      </c>
      <c r="N81" s="124" t="inlineStr">
        <is>
          <t>N/A</t>
        </is>
      </c>
      <c r="O81" s="124" t="inlineStr">
        <is>
          <t>N/A</t>
        </is>
      </c>
      <c r="P81" s="131" t="n">
        <v>0.967</v>
      </c>
      <c r="Q81" s="131" t="n">
        <v>0.002</v>
      </c>
      <c r="R81" s="129" t="n">
        <v>0</v>
      </c>
      <c r="S81" s="124" t="inlineStr">
        <is>
          <t>N/A</t>
        </is>
      </c>
      <c r="T81" s="124" t="inlineStr">
        <is>
          <t>N/A</t>
        </is>
      </c>
      <c r="U81" s="124" t="inlineStr">
        <is>
          <t>N/A</t>
        </is>
      </c>
      <c r="V81" s="129" t="n">
        <v>0</v>
      </c>
      <c r="W81" s="129" t="n">
        <v>0</v>
      </c>
      <c r="X81" s="129" t="n">
        <v>0</v>
      </c>
      <c r="Y81" s="129" t="n">
        <v>0</v>
      </c>
      <c r="Z81" s="129" t="n">
        <v>1</v>
      </c>
      <c r="AA81" s="129" t="n">
        <v>0</v>
      </c>
      <c r="AB81" s="129" t="n">
        <v>1</v>
      </c>
      <c r="AC81" s="119" t="inlineStr">
        <is>
          <t>✓ Clean</t>
        </is>
      </c>
      <c r="AD81" s="130" t="n">
        <v>2181000000</v>
      </c>
      <c r="AE81" s="130" t="n">
        <v>-1418000000</v>
      </c>
      <c r="AF81" s="130" t="n">
        <v>2156000000</v>
      </c>
      <c r="AG81" s="130" t="n">
        <v>0.008999999999999999</v>
      </c>
      <c r="AH81" s="119" t="inlineStr">
        <is>
          <t>✓ Medium Quality</t>
        </is>
      </c>
      <c r="AI81" s="124" t="inlineStr">
        <is>
          <t>N/A</t>
        </is>
      </c>
      <c r="AJ81" s="131" t="n">
        <v>0.238</v>
      </c>
      <c r="AK81" s="124" t="inlineStr">
        <is>
          <t>N/A</t>
        </is>
      </c>
      <c r="AL81" s="131" t="n">
        <v>20.971</v>
      </c>
      <c r="AM81" s="124" t="inlineStr">
        <is>
          <t>N/A</t>
        </is>
      </c>
      <c r="AN81" s="129" t="n">
        <v>100</v>
      </c>
      <c r="AO81" s="119" t="inlineStr">
        <is>
          <t>✓ Good</t>
        </is>
      </c>
      <c r="AP81" s="129" t="n">
        <v>0</v>
      </c>
      <c r="AQ81" s="129" t="n">
        <v>0</v>
      </c>
      <c r="AR81" s="129" t="n">
        <v>0</v>
      </c>
      <c r="AS81" s="129" t="n">
        <v>0</v>
      </c>
      <c r="AT81" s="129" t="n">
        <v>0</v>
      </c>
      <c r="AU81" s="129" t="n">
        <v>0</v>
      </c>
      <c r="AV81" s="129" t="n">
        <v>0</v>
      </c>
      <c r="AW81" s="119" t="inlineStr">
        <is>
          <t>✓ Clean</t>
        </is>
      </c>
      <c r="AX81" s="130" t="n">
        <v>25.5</v>
      </c>
      <c r="AY81" s="119" t="inlineStr">
        <is>
          <t>🟢 LOW RISK</t>
        </is>
      </c>
      <c r="AZ81" s="130" t="n">
        <v>0</v>
      </c>
      <c r="BA81" s="124" t="inlineStr">
        <is>
          <t>N/A</t>
        </is>
      </c>
      <c r="BB81" s="124" t="inlineStr">
        <is>
          <t>N/A</t>
        </is>
      </c>
      <c r="BC81" s="124" t="inlineStr">
        <is>
          <t>N/A</t>
        </is>
      </c>
      <c r="BD81" s="124" t="inlineStr">
        <is>
          <t>N/A</t>
        </is>
      </c>
      <c r="BE81" s="124" t="inlineStr">
        <is>
          <t>N/A</t>
        </is>
      </c>
      <c r="BF81" s="131" t="n">
        <v>0.214</v>
      </c>
      <c r="BG81" s="129" t="n">
        <v>0.967</v>
      </c>
      <c r="BH81" s="129" t="n">
        <v>1</v>
      </c>
      <c r="BI81" s="125" t="n">
        <v>0.6666666666666666</v>
      </c>
    </row>
    <row r="82" ht="17" customHeight="1">
      <c r="A82" s="117" t="inlineStr">
        <is>
          <t>WPC</t>
        </is>
      </c>
      <c r="B82" s="117" t="inlineStr">
        <is>
          <t>W. P. Carey Inc.</t>
        </is>
      </c>
      <c r="C82" s="124" t="inlineStr">
        <is>
          <t>N/A</t>
        </is>
      </c>
      <c r="D82" s="118" t="n">
        <v>0.999</v>
      </c>
      <c r="E82" s="124" t="inlineStr">
        <is>
          <t>N/A</t>
        </is>
      </c>
      <c r="F82" s="118" t="n">
        <v>1.084</v>
      </c>
      <c r="G82" s="124" t="inlineStr">
        <is>
          <t>N/A</t>
        </is>
      </c>
      <c r="H82" s="118" t="n">
        <v>0.9379999999999999</v>
      </c>
      <c r="I82" s="118" t="n">
        <v>1.056</v>
      </c>
      <c r="J82" s="118" t="n">
        <v>-0.045</v>
      </c>
      <c r="K82" s="124" t="inlineStr">
        <is>
          <t>N/A</t>
        </is>
      </c>
      <c r="L82" s="124" t="inlineStr">
        <is>
          <t>N/A</t>
        </is>
      </c>
      <c r="M82" s="124" t="inlineStr">
        <is>
          <t>N/A</t>
        </is>
      </c>
      <c r="N82" s="124" t="inlineStr">
        <is>
          <t>N/A</t>
        </is>
      </c>
      <c r="O82" s="124" t="inlineStr">
        <is>
          <t>N/A</t>
        </is>
      </c>
      <c r="P82" s="120" t="n">
        <v>0.991</v>
      </c>
      <c r="Q82" s="120" t="n">
        <v>-0</v>
      </c>
      <c r="R82" s="117" t="n">
        <v>1</v>
      </c>
      <c r="S82" s="124" t="inlineStr">
        <is>
          <t>N/A</t>
        </is>
      </c>
      <c r="T82" s="124" t="inlineStr">
        <is>
          <t>N/A</t>
        </is>
      </c>
      <c r="U82" s="124" t="inlineStr">
        <is>
          <t>N/A</t>
        </is>
      </c>
      <c r="V82" s="117" t="n">
        <v>1</v>
      </c>
      <c r="W82" s="117" t="n">
        <v>0</v>
      </c>
      <c r="X82" s="117" t="n">
        <v>0</v>
      </c>
      <c r="Y82" s="117" t="n">
        <v>0</v>
      </c>
      <c r="Z82" s="117" t="n">
        <v>0</v>
      </c>
      <c r="AA82" s="117" t="n">
        <v>0</v>
      </c>
      <c r="AB82" s="117" t="n">
        <v>1</v>
      </c>
      <c r="AC82" s="119" t="inlineStr">
        <is>
          <t>✓ Clean</t>
        </is>
      </c>
      <c r="AD82" s="118" t="n">
        <v>1282319000</v>
      </c>
      <c r="AE82" s="118" t="n">
        <v>-960140000</v>
      </c>
      <c r="AF82" s="118" t="n">
        <v>466359000</v>
      </c>
      <c r="AG82" s="118" t="n">
        <v>0.008</v>
      </c>
      <c r="AH82" s="119" t="inlineStr">
        <is>
          <t>✓ Medium Quality</t>
        </is>
      </c>
      <c r="AI82" s="124" t="inlineStr">
        <is>
          <t>N/A</t>
        </is>
      </c>
      <c r="AJ82" s="120" t="n">
        <v>0.08400000000000001</v>
      </c>
      <c r="AK82" s="124" t="inlineStr">
        <is>
          <t>N/A</t>
        </is>
      </c>
      <c r="AL82" s="120" t="n">
        <v>0.747</v>
      </c>
      <c r="AM82" s="120" t="n">
        <v>-0.006</v>
      </c>
      <c r="AN82" s="118" t="n">
        <v>99.7</v>
      </c>
      <c r="AO82" s="119" t="inlineStr">
        <is>
          <t>✓ Good</t>
        </is>
      </c>
      <c r="AP82" s="117" t="n">
        <v>0</v>
      </c>
      <c r="AQ82" s="117" t="n">
        <v>0</v>
      </c>
      <c r="AR82" s="117" t="n">
        <v>0</v>
      </c>
      <c r="AS82" s="117" t="n">
        <v>0</v>
      </c>
      <c r="AT82" s="117" t="n">
        <v>0</v>
      </c>
      <c r="AU82" s="117" t="n">
        <v>1</v>
      </c>
      <c r="AV82" s="117" t="n">
        <v>1</v>
      </c>
      <c r="AW82" s="119" t="inlineStr">
        <is>
          <t>✓ Clean</t>
        </is>
      </c>
      <c r="AX82" s="118" t="n">
        <v>26.4</v>
      </c>
      <c r="AY82" s="119" t="inlineStr">
        <is>
          <t>🟢 LOW RISK</t>
        </is>
      </c>
      <c r="AZ82" s="118" t="n">
        <v>0</v>
      </c>
      <c r="BA82" s="124" t="inlineStr">
        <is>
          <t>N/A</t>
        </is>
      </c>
      <c r="BB82" s="124" t="inlineStr">
        <is>
          <t>N/A</t>
        </is>
      </c>
      <c r="BC82" s="124" t="inlineStr">
        <is>
          <t>N/A</t>
        </is>
      </c>
      <c r="BD82" s="124" t="inlineStr">
        <is>
          <t>N/A</t>
        </is>
      </c>
      <c r="BE82" s="124" t="inlineStr">
        <is>
          <t>N/A</t>
        </is>
      </c>
      <c r="BF82" s="120" t="n">
        <v>0.063</v>
      </c>
      <c r="BG82" s="117" t="n">
        <v>0.991</v>
      </c>
      <c r="BH82" s="122" t="n">
        <v>3</v>
      </c>
      <c r="BI82" s="125" t="n">
        <v>0.6666666666666666</v>
      </c>
    </row>
    <row r="83" ht="17" customHeight="1">
      <c r="A83" s="117" t="inlineStr">
        <is>
          <t>NMIH</t>
        </is>
      </c>
      <c r="B83" s="117" t="inlineStr">
        <is>
          <t>NMI Holdings, Inc.</t>
        </is>
      </c>
      <c r="C83" s="124" t="inlineStr">
        <is>
          <t>N/A</t>
        </is>
      </c>
      <c r="D83" s="124" t="inlineStr">
        <is>
          <t>N/A</t>
        </is>
      </c>
      <c r="E83" s="118" t="n">
        <v>1.002</v>
      </c>
      <c r="F83" s="118" t="n">
        <v>1.085</v>
      </c>
      <c r="G83" s="118" t="n">
        <v>0.925</v>
      </c>
      <c r="H83" s="124" t="inlineStr">
        <is>
          <t>N/A</t>
        </is>
      </c>
      <c r="I83" s="118" t="n">
        <v>0.962</v>
      </c>
      <c r="J83" s="118" t="n">
        <v>-0.008</v>
      </c>
      <c r="K83" s="124" t="inlineStr">
        <is>
          <t>N/A</t>
        </is>
      </c>
      <c r="L83" s="124" t="inlineStr">
        <is>
          <t>N/A</t>
        </is>
      </c>
      <c r="M83" s="124" t="inlineStr">
        <is>
          <t>N/A</t>
        </is>
      </c>
      <c r="N83" s="124" t="inlineStr">
        <is>
          <t>N/A</t>
        </is>
      </c>
      <c r="O83" s="124" t="inlineStr">
        <is>
          <t>N/A</t>
        </is>
      </c>
      <c r="P83" s="120" t="n">
        <v>0.989</v>
      </c>
      <c r="Q83" s="120" t="n">
        <v>-0.006</v>
      </c>
      <c r="R83" s="117" t="n">
        <v>0</v>
      </c>
      <c r="S83" s="124" t="inlineStr">
        <is>
          <t>N/A</t>
        </is>
      </c>
      <c r="T83" s="124" t="inlineStr">
        <is>
          <t>N/A</t>
        </is>
      </c>
      <c r="U83" s="124" t="inlineStr">
        <is>
          <t>N/A</t>
        </is>
      </c>
      <c r="V83" s="117" t="n">
        <v>1</v>
      </c>
      <c r="W83" s="117" t="n">
        <v>0</v>
      </c>
      <c r="X83" s="117" t="n">
        <v>0</v>
      </c>
      <c r="Y83" s="117" t="n">
        <v>0</v>
      </c>
      <c r="Z83" s="117" t="n">
        <v>1</v>
      </c>
      <c r="AA83" s="117" t="n">
        <v>1</v>
      </c>
      <c r="AB83" s="117" t="n">
        <v>3</v>
      </c>
      <c r="AC83" s="121" t="inlineStr">
        <is>
          <t>⚠ WATCH</t>
        </is>
      </c>
      <c r="AD83" s="118" t="n">
        <v>419299000</v>
      </c>
      <c r="AE83" s="118" t="n">
        <v>-316466000</v>
      </c>
      <c r="AF83" s="118" t="n">
        <v>388926000</v>
      </c>
      <c r="AG83" s="118" t="n">
        <v>0.08</v>
      </c>
      <c r="AH83" s="119" t="inlineStr">
        <is>
          <t>✓ Medium Quality</t>
        </is>
      </c>
      <c r="AI83" s="124" t="inlineStr">
        <is>
          <t>N/A</t>
        </is>
      </c>
      <c r="AJ83" s="120" t="n">
        <v>0.08500000000000001</v>
      </c>
      <c r="AK83" s="124" t="inlineStr">
        <is>
          <t>N/A</t>
        </is>
      </c>
      <c r="AL83" s="120" t="n">
        <v>0.594</v>
      </c>
      <c r="AM83" s="120" t="n">
        <v>0</v>
      </c>
      <c r="AN83" s="117" t="n">
        <v>100</v>
      </c>
      <c r="AO83" s="119" t="inlineStr">
        <is>
          <t>✓ Good</t>
        </is>
      </c>
      <c r="AP83" s="117" t="n">
        <v>0</v>
      </c>
      <c r="AQ83" s="117" t="n">
        <v>0</v>
      </c>
      <c r="AR83" s="117" t="n">
        <v>0</v>
      </c>
      <c r="AS83" s="117" t="n">
        <v>0</v>
      </c>
      <c r="AT83" s="117" t="n">
        <v>0</v>
      </c>
      <c r="AU83" s="117" t="n">
        <v>1</v>
      </c>
      <c r="AV83" s="117" t="n">
        <v>1</v>
      </c>
      <c r="AW83" s="119" t="inlineStr">
        <is>
          <t>✓ Clean</t>
        </is>
      </c>
      <c r="AX83" s="118" t="n">
        <v>34.4</v>
      </c>
      <c r="AY83" s="119" t="inlineStr">
        <is>
          <t>🟢 LOW RISK</t>
        </is>
      </c>
      <c r="AZ83" s="118" t="n">
        <v>0</v>
      </c>
      <c r="BA83" s="124" t="inlineStr">
        <is>
          <t>N/A</t>
        </is>
      </c>
      <c r="BB83" s="124" t="inlineStr">
        <is>
          <t>N/A</t>
        </is>
      </c>
      <c r="BC83" s="124" t="inlineStr">
        <is>
          <t>N/A</t>
        </is>
      </c>
      <c r="BD83" s="124" t="inlineStr">
        <is>
          <t>N/A</t>
        </is>
      </c>
      <c r="BE83" s="124" t="inlineStr">
        <is>
          <t>N/A</t>
        </is>
      </c>
      <c r="BF83" s="120" t="n">
        <v>0.222</v>
      </c>
      <c r="BG83" s="117" t="n">
        <v>0.989</v>
      </c>
      <c r="BH83" s="122" t="n">
        <v>4</v>
      </c>
      <c r="BI83" s="125" t="n">
        <v>0.6666666666666666</v>
      </c>
    </row>
    <row r="84" ht="17" customHeight="1">
      <c r="A84" s="117" t="inlineStr">
        <is>
          <t>RPM</t>
        </is>
      </c>
      <c r="B84" s="117" t="inlineStr">
        <is>
          <t>RPM International Inc.</t>
        </is>
      </c>
      <c r="C84" s="118" t="n">
        <v>0.311</v>
      </c>
      <c r="D84" s="118" t="n">
        <v>3.375</v>
      </c>
      <c r="E84" s="118" t="n">
        <v>1.124</v>
      </c>
      <c r="F84" s="118" t="n">
        <v>3.415</v>
      </c>
      <c r="G84" s="118" t="n">
        <v>1.001</v>
      </c>
      <c r="H84" s="118" t="n">
        <v>0.298</v>
      </c>
      <c r="I84" s="118" t="n">
        <v>1</v>
      </c>
      <c r="J84" s="118" t="n">
        <v>-0.01</v>
      </c>
      <c r="K84" s="118" t="n">
        <v>0.418</v>
      </c>
      <c r="L84" s="121" t="inlineStr">
        <is>
          <t>⚠ MANIPULATOR RISK</t>
        </is>
      </c>
      <c r="M84" s="120" t="n">
        <v>0.005</v>
      </c>
      <c r="N84" s="120" t="n">
        <v>0.024</v>
      </c>
      <c r="O84" s="120" t="n">
        <v>0.021</v>
      </c>
      <c r="P84" s="120" t="n">
        <v>0.772</v>
      </c>
      <c r="Q84" s="120" t="n">
        <v>-0.001</v>
      </c>
      <c r="R84" s="117" t="n">
        <v>0</v>
      </c>
      <c r="S84" s="118" t="n">
        <v>-6.276</v>
      </c>
      <c r="T84" s="118" t="n">
        <v>0.002</v>
      </c>
      <c r="U84" s="119" t="inlineStr">
        <is>
          <t>✓ Normal</t>
        </is>
      </c>
      <c r="V84" s="117" t="n">
        <v>1</v>
      </c>
      <c r="W84" s="117" t="n">
        <v>0</v>
      </c>
      <c r="X84" s="117" t="n">
        <v>0</v>
      </c>
      <c r="Y84" s="117" t="n">
        <v>1</v>
      </c>
      <c r="Z84" s="117" t="n">
        <v>1</v>
      </c>
      <c r="AA84" s="117" t="n">
        <v>1</v>
      </c>
      <c r="AB84" s="117" t="n">
        <v>4</v>
      </c>
      <c r="AC84" s="121" t="inlineStr">
        <is>
          <t>⚠⚠ SERIOUS CONCERN</t>
        </is>
      </c>
      <c r="AD84" s="118" t="n">
        <v>768190000</v>
      </c>
      <c r="AE84" s="118" t="n">
        <v>-825534000</v>
      </c>
      <c r="AF84" s="118" t="n">
        <v>688688000</v>
      </c>
      <c r="AG84" s="118" t="n">
        <v>0.104</v>
      </c>
      <c r="AH84" s="117" t="inlineStr">
        <is>
          <t>⚠ Low Quality</t>
        </is>
      </c>
      <c r="AI84" s="118" t="n">
        <v>0.063</v>
      </c>
      <c r="AJ84" s="120" t="n">
        <v>2.415</v>
      </c>
      <c r="AK84" s="120" t="n">
        <v>0.026</v>
      </c>
      <c r="AL84" s="120" t="n">
        <v>0.144</v>
      </c>
      <c r="AM84" s="120" t="n">
        <v>0.002</v>
      </c>
      <c r="AN84" s="118" t="n">
        <v>99</v>
      </c>
      <c r="AO84" s="119" t="inlineStr">
        <is>
          <t>✓ Good</t>
        </is>
      </c>
      <c r="AP84" s="117" t="n">
        <v>0</v>
      </c>
      <c r="AQ84" s="117" t="n">
        <v>0</v>
      </c>
      <c r="AR84" s="117" t="n">
        <v>1</v>
      </c>
      <c r="AS84" s="117" t="n">
        <v>0</v>
      </c>
      <c r="AT84" s="117" t="n">
        <v>1</v>
      </c>
      <c r="AU84" s="117" t="n">
        <v>1</v>
      </c>
      <c r="AV84" s="117" t="n">
        <v>3</v>
      </c>
      <c r="AW84" s="121" t="inlineStr">
        <is>
          <t>⚠ WATCH</t>
        </is>
      </c>
      <c r="AX84" s="118" t="n">
        <v>34</v>
      </c>
      <c r="AY84" s="119" t="inlineStr">
        <is>
          <t>🟢 LOW RISK</t>
        </is>
      </c>
      <c r="AZ84" s="118" t="n">
        <v>103.5</v>
      </c>
      <c r="BA84" s="118" t="n">
        <v>332.5</v>
      </c>
      <c r="BB84" s="118" t="n">
        <v>87.5</v>
      </c>
      <c r="BC84" s="118" t="n">
        <v>80.8</v>
      </c>
      <c r="BD84" s="118" t="n">
        <v>63.8</v>
      </c>
      <c r="BE84" s="118" t="n">
        <v>54.9</v>
      </c>
      <c r="BF84" s="120" t="n">
        <v>0.129</v>
      </c>
      <c r="BG84" s="117" t="n">
        <v>0.772</v>
      </c>
      <c r="BH84" s="122" t="n">
        <v>7</v>
      </c>
      <c r="BI84" s="123" t="n">
        <v>1</v>
      </c>
    </row>
    <row r="85" ht="17" customHeight="1">
      <c r="A85" s="129" t="inlineStr">
        <is>
          <t>WMB</t>
        </is>
      </c>
      <c r="B85" s="129" t="inlineStr">
        <is>
          <t>WILLIAMS COMPANIES, INC.</t>
        </is>
      </c>
      <c r="C85" s="130" t="n">
        <v>0.983</v>
      </c>
      <c r="D85" s="130" t="n">
        <v>0.884</v>
      </c>
      <c r="E85" s="130" t="n">
        <v>0.9419999999999999</v>
      </c>
      <c r="F85" s="130" t="n">
        <v>1.138</v>
      </c>
      <c r="G85" s="130" t="n">
        <v>0.95</v>
      </c>
      <c r="H85" s="130" t="n">
        <v>0.9360000000000001</v>
      </c>
      <c r="I85" s="130" t="n">
        <v>1</v>
      </c>
      <c r="J85" s="130" t="n">
        <v>-0.056</v>
      </c>
      <c r="K85" s="130" t="n">
        <v>-2.714</v>
      </c>
      <c r="L85" s="119" t="inlineStr">
        <is>
          <t>✓ Lower Risk</t>
        </is>
      </c>
      <c r="M85" s="131" t="n">
        <v>0.01</v>
      </c>
      <c r="N85" s="131" t="n">
        <v>0.153</v>
      </c>
      <c r="O85" s="131" t="n">
        <v>0.024</v>
      </c>
      <c r="P85" s="131" t="n">
        <v>0.28</v>
      </c>
      <c r="Q85" s="131" t="n">
        <v>0.004</v>
      </c>
      <c r="R85" s="129" t="n">
        <v>1</v>
      </c>
      <c r="S85" s="130" t="n">
        <v>-3.845</v>
      </c>
      <c r="T85" s="130" t="n">
        <v>0.021</v>
      </c>
      <c r="U85" s="119" t="inlineStr">
        <is>
          <t>✓ Normal</t>
        </is>
      </c>
      <c r="V85" s="129" t="n">
        <v>0</v>
      </c>
      <c r="W85" s="129" t="n">
        <v>0</v>
      </c>
      <c r="X85" s="129" t="n">
        <v>0</v>
      </c>
      <c r="Y85" s="129" t="n">
        <v>0</v>
      </c>
      <c r="Z85" s="129" t="n">
        <v>0</v>
      </c>
      <c r="AA85" s="129" t="n">
        <v>0</v>
      </c>
      <c r="AB85" s="129" t="n">
        <v>0</v>
      </c>
      <c r="AC85" s="119" t="inlineStr">
        <is>
          <t>✓ Clean</t>
        </is>
      </c>
      <c r="AD85" s="130" t="n">
        <v>5898000000</v>
      </c>
      <c r="AE85" s="130" t="n">
        <v>-5489000000</v>
      </c>
      <c r="AF85" s="130" t="n">
        <v>2618000000</v>
      </c>
      <c r="AG85" s="130" t="n">
        <v>0.039</v>
      </c>
      <c r="AH85" s="119" t="inlineStr">
        <is>
          <t>✓ Medium Quality</t>
        </is>
      </c>
      <c r="AI85" s="130" t="n">
        <v>0.119</v>
      </c>
      <c r="AJ85" s="131" t="n">
        <v>0.138</v>
      </c>
      <c r="AK85" s="131" t="n">
        <v>0.861</v>
      </c>
      <c r="AL85" s="131" t="n">
        <v>0.494</v>
      </c>
      <c r="AM85" s="131" t="n">
        <v>0.001</v>
      </c>
      <c r="AN85" s="129" t="n">
        <v>100</v>
      </c>
      <c r="AO85" s="119" t="inlineStr">
        <is>
          <t>✓ Good</t>
        </is>
      </c>
      <c r="AP85" s="129" t="n">
        <v>0</v>
      </c>
      <c r="AQ85" s="129" t="n">
        <v>0</v>
      </c>
      <c r="AR85" s="129" t="n">
        <v>0</v>
      </c>
      <c r="AS85" s="129" t="n">
        <v>0</v>
      </c>
      <c r="AT85" s="129" t="n">
        <v>0</v>
      </c>
      <c r="AU85" s="129" t="n">
        <v>0</v>
      </c>
      <c r="AV85" s="129" t="n">
        <v>0</v>
      </c>
      <c r="AW85" s="119" t="inlineStr">
        <is>
          <t>✓ Clean</t>
        </is>
      </c>
      <c r="AX85" s="130" t="n">
        <v>10.3</v>
      </c>
      <c r="AY85" s="119" t="inlineStr">
        <is>
          <t>🟢 VERY LOW RISK</t>
        </is>
      </c>
      <c r="AZ85" s="130" t="n">
        <v>63.7</v>
      </c>
      <c r="BA85" s="130" t="n">
        <v>64.7</v>
      </c>
      <c r="BB85" s="130" t="n">
        <v>32.8</v>
      </c>
      <c r="BC85" s="130" t="n">
        <v>25.9</v>
      </c>
      <c r="BD85" s="130" t="n">
        <v>232.2</v>
      </c>
      <c r="BE85" s="130" t="n">
        <v>149.7</v>
      </c>
      <c r="BF85" s="131" t="n">
        <v>0.236</v>
      </c>
      <c r="BG85" s="129" t="n">
        <v>0.28</v>
      </c>
      <c r="BH85" s="129" t="n">
        <v>1</v>
      </c>
      <c r="BI85" s="123" t="n">
        <v>1</v>
      </c>
    </row>
    <row r="86" ht="17" customHeight="1">
      <c r="A86" s="117" t="inlineStr">
        <is>
          <t>PCOR</t>
        </is>
      </c>
      <c r="B86" s="117" t="inlineStr">
        <is>
          <t>Procore Technologies, Inc.</t>
        </is>
      </c>
      <c r="C86" s="118" t="n">
        <v>1.017</v>
      </c>
      <c r="D86" s="118" t="n">
        <v>1.033</v>
      </c>
      <c r="E86" s="118" t="n">
        <v>1.003</v>
      </c>
      <c r="F86" s="118" t="n">
        <v>1.148</v>
      </c>
      <c r="G86" s="118" t="n">
        <v>0.969</v>
      </c>
      <c r="H86" s="118" t="n">
        <v>0.9330000000000001</v>
      </c>
      <c r="I86" s="118" t="n">
        <v>1.128</v>
      </c>
      <c r="J86" s="118" t="n">
        <v>-0.179</v>
      </c>
      <c r="K86" s="118" t="n">
        <v>-3.185</v>
      </c>
      <c r="L86" s="119" t="inlineStr">
        <is>
          <t>✓ Lower Risk</t>
        </is>
      </c>
      <c r="M86" s="120" t="n">
        <v>-0.109</v>
      </c>
      <c r="N86" s="120" t="n">
        <v>0.242</v>
      </c>
      <c r="O86" s="124" t="inlineStr">
        <is>
          <t>N/A</t>
        </is>
      </c>
      <c r="P86" s="120" t="n">
        <v>0.764</v>
      </c>
      <c r="Q86" s="120" t="n">
        <v>0.005</v>
      </c>
      <c r="R86" s="117" t="n">
        <v>1</v>
      </c>
      <c r="S86" s="118" t="n">
        <v>-2.787</v>
      </c>
      <c r="T86" s="118" t="n">
        <v>0.058</v>
      </c>
      <c r="U86" s="121" t="inlineStr">
        <is>
          <t>⚠ HIGH RISK</t>
        </is>
      </c>
      <c r="V86" s="117" t="n">
        <v>0</v>
      </c>
      <c r="W86" s="117" t="n">
        <v>1</v>
      </c>
      <c r="X86" s="117" t="n">
        <v>0</v>
      </c>
      <c r="Y86" s="117" t="n">
        <v>1</v>
      </c>
      <c r="Z86" s="117" t="n">
        <v>0</v>
      </c>
      <c r="AA86" s="117" t="n">
        <v>0</v>
      </c>
      <c r="AB86" s="117" t="n">
        <v>2</v>
      </c>
      <c r="AC86" s="121" t="inlineStr">
        <is>
          <t>⚠ WATCH</t>
        </is>
      </c>
      <c r="AD86" s="118" t="n">
        <v>300270000</v>
      </c>
      <c r="AE86" s="118" t="n">
        <v>-70499000</v>
      </c>
      <c r="AF86" s="118" t="n">
        <v>-100783000</v>
      </c>
      <c r="AG86" s="118" t="n">
        <v>-0.152</v>
      </c>
      <c r="AH86" s="119" t="inlineStr">
        <is>
          <t>✓ High Quality</t>
        </is>
      </c>
      <c r="AI86" s="118" t="n">
        <v>0.168</v>
      </c>
      <c r="AJ86" s="120" t="n">
        <v>0.148</v>
      </c>
      <c r="AK86" s="120" t="n">
        <v>1.131</v>
      </c>
      <c r="AL86" s="120" t="n">
        <v>0.227</v>
      </c>
      <c r="AM86" s="120" t="n">
        <v>0.077</v>
      </c>
      <c r="AN86" s="118" t="n">
        <v>99.90000000000001</v>
      </c>
      <c r="AO86" s="119" t="inlineStr">
        <is>
          <t>✓ Good</t>
        </is>
      </c>
      <c r="AP86" s="117" t="n">
        <v>0</v>
      </c>
      <c r="AQ86" s="117" t="n">
        <v>0</v>
      </c>
      <c r="AR86" s="117" t="n">
        <v>1</v>
      </c>
      <c r="AS86" s="117" t="n">
        <v>0</v>
      </c>
      <c r="AT86" s="117" t="n">
        <v>1</v>
      </c>
      <c r="AU86" s="117" t="n">
        <v>1</v>
      </c>
      <c r="AV86" s="117" t="n">
        <v>3</v>
      </c>
      <c r="AW86" s="121" t="inlineStr">
        <is>
          <t>⚠ WATCH</t>
        </is>
      </c>
      <c r="AX86" s="118" t="n">
        <v>25.9</v>
      </c>
      <c r="AY86" s="119" t="inlineStr">
        <is>
          <t>🟢 LOW RISK</t>
        </is>
      </c>
      <c r="AZ86" s="118" t="n">
        <v>79.40000000000001</v>
      </c>
      <c r="BA86" s="118" t="n">
        <v>78.09999999999999</v>
      </c>
      <c r="BB86" s="124" t="inlineStr">
        <is>
          <t>N/A</t>
        </is>
      </c>
      <c r="BC86" s="124" t="inlineStr">
        <is>
          <t>N/A</t>
        </is>
      </c>
      <c r="BD86" s="118" t="n">
        <v>33.9</v>
      </c>
      <c r="BE86" s="118" t="n">
        <v>58.8</v>
      </c>
      <c r="BF86" s="120" t="n">
        <v>-0.07199999999999999</v>
      </c>
      <c r="BG86" s="117" t="n">
        <v>0.764</v>
      </c>
      <c r="BH86" s="122" t="n">
        <v>6</v>
      </c>
      <c r="BI86" s="123" t="n">
        <v>1</v>
      </c>
    </row>
    <row r="87" ht="17" customHeight="1">
      <c r="A87" s="129" t="inlineStr">
        <is>
          <t>DGX</t>
        </is>
      </c>
      <c r="B87" s="129" t="inlineStr">
        <is>
          <t>QUEST DIAGNOSTICS INC</t>
        </is>
      </c>
      <c r="C87" s="130" t="n">
        <v>0.966</v>
      </c>
      <c r="D87" s="130" t="n">
        <v>0.39</v>
      </c>
      <c r="E87" s="130" t="n">
        <v>0.995</v>
      </c>
      <c r="F87" s="130" t="n">
        <v>1.118</v>
      </c>
      <c r="G87" s="130" t="n">
        <v>0.92</v>
      </c>
      <c r="H87" s="130" t="n">
        <v>0.994</v>
      </c>
      <c r="I87" s="130" t="n">
        <v>1</v>
      </c>
      <c r="J87" s="130" t="n">
        <v>-0.055</v>
      </c>
      <c r="K87" s="130" t="n">
        <v>-2.996</v>
      </c>
      <c r="L87" s="119" t="inlineStr">
        <is>
          <t>✓ Lower Risk</t>
        </is>
      </c>
      <c r="M87" s="131" t="n">
        <v>-0.035</v>
      </c>
      <c r="N87" s="131" t="n">
        <v>0.089</v>
      </c>
      <c r="O87" s="131" t="n">
        <v>0.001</v>
      </c>
      <c r="P87" s="131" t="n">
        <v>0.838</v>
      </c>
      <c r="Q87" s="131" t="n">
        <v>0.007</v>
      </c>
      <c r="R87" s="129" t="n">
        <v>0</v>
      </c>
      <c r="S87" s="130" t="n">
        <v>-6.038</v>
      </c>
      <c r="T87" s="130" t="n">
        <v>0.002</v>
      </c>
      <c r="U87" s="119" t="inlineStr">
        <is>
          <t>✓ Normal</t>
        </is>
      </c>
      <c r="V87" s="129" t="n">
        <v>0</v>
      </c>
      <c r="W87" s="129" t="n">
        <v>0</v>
      </c>
      <c r="X87" s="129" t="n">
        <v>0</v>
      </c>
      <c r="Y87" s="129" t="n">
        <v>0</v>
      </c>
      <c r="Z87" s="129" t="n">
        <v>0</v>
      </c>
      <c r="AA87" s="129" t="n">
        <v>0</v>
      </c>
      <c r="AB87" s="129" t="n">
        <v>0</v>
      </c>
      <c r="AC87" s="119" t="inlineStr">
        <is>
          <t>✓ Clean</t>
        </is>
      </c>
      <c r="AD87" s="130" t="n">
        <v>1886000000</v>
      </c>
      <c r="AE87" s="130" t="n">
        <v>-631000000</v>
      </c>
      <c r="AF87" s="130" t="n">
        <v>992000000</v>
      </c>
      <c r="AG87" s="130" t="n">
        <v>-0.016</v>
      </c>
      <c r="AH87" s="119" t="inlineStr">
        <is>
          <t>✓ Medium Quality</t>
        </is>
      </c>
      <c r="AI87" s="130" t="n">
        <v>0.08</v>
      </c>
      <c r="AJ87" s="131" t="n">
        <v>0.118</v>
      </c>
      <c r="AK87" s="131" t="n">
        <v>0.677</v>
      </c>
      <c r="AL87" s="131" t="n">
        <v>0.171</v>
      </c>
      <c r="AM87" s="124" t="inlineStr">
        <is>
          <t>N/A</t>
        </is>
      </c>
      <c r="AN87" s="129" t="n">
        <v>100</v>
      </c>
      <c r="AO87" s="119" t="inlineStr">
        <is>
          <t>✓ Good</t>
        </is>
      </c>
      <c r="AP87" s="129" t="n">
        <v>0</v>
      </c>
      <c r="AQ87" s="129" t="n">
        <v>0</v>
      </c>
      <c r="AR87" s="129" t="n">
        <v>0</v>
      </c>
      <c r="AS87" s="129" t="n">
        <v>0</v>
      </c>
      <c r="AT87" s="129" t="n">
        <v>0</v>
      </c>
      <c r="AU87" s="129" t="n">
        <v>0</v>
      </c>
      <c r="AV87" s="129" t="n">
        <v>0</v>
      </c>
      <c r="AW87" s="119" t="inlineStr">
        <is>
          <t>✓ Clean</t>
        </is>
      </c>
      <c r="AX87" s="130" t="n">
        <v>6.2</v>
      </c>
      <c r="AY87" s="119" t="inlineStr">
        <is>
          <t>🟢 VERY LOW RISK</t>
        </is>
      </c>
      <c r="AZ87" s="130" t="n">
        <v>46.6</v>
      </c>
      <c r="BA87" s="130" t="n">
        <v>48.2</v>
      </c>
      <c r="BB87" s="130" t="n">
        <v>9.4</v>
      </c>
      <c r="BC87" s="130" t="n">
        <v>10.4</v>
      </c>
      <c r="BD87" s="130" t="n">
        <v>79.2</v>
      </c>
      <c r="BE87" s="130" t="n">
        <v>76.8</v>
      </c>
      <c r="BF87" s="131" t="n">
        <v>0.262</v>
      </c>
      <c r="BG87" s="129" t="n">
        <v>0.838</v>
      </c>
      <c r="BH87" s="129" t="n">
        <v>0</v>
      </c>
      <c r="BI87" s="123" t="n">
        <v>1</v>
      </c>
    </row>
    <row r="88" ht="17" customHeight="1">
      <c r="A88" s="117" t="inlineStr">
        <is>
          <t>DLR</t>
        </is>
      </c>
      <c r="B88" s="117" t="inlineStr">
        <is>
          <t>DIGITAL REALTY TRUST, INC.</t>
        </is>
      </c>
      <c r="C88" s="118" t="n">
        <v>1.162</v>
      </c>
      <c r="D88" s="118" t="n">
        <v>0.789</v>
      </c>
      <c r="E88" s="124" t="inlineStr">
        <is>
          <t>N/A</t>
        </is>
      </c>
      <c r="F88" s="118" t="n">
        <v>1.1</v>
      </c>
      <c r="G88" s="124" t="inlineStr">
        <is>
          <t>N/A</t>
        </is>
      </c>
      <c r="H88" s="118" t="n">
        <v>1.071</v>
      </c>
      <c r="I88" s="118" t="n">
        <v>1.018</v>
      </c>
      <c r="J88" s="118" t="n">
        <v>-0.022</v>
      </c>
      <c r="K88" s="124" t="inlineStr">
        <is>
          <t>N/A</t>
        </is>
      </c>
      <c r="L88" s="124" t="inlineStr">
        <is>
          <t>N/A</t>
        </is>
      </c>
      <c r="M88" s="124" t="inlineStr">
        <is>
          <t>N/A</t>
        </is>
      </c>
      <c r="N88" s="120" t="n">
        <v>0.285</v>
      </c>
      <c r="O88" s="124" t="inlineStr">
        <is>
          <t>N/A</t>
        </is>
      </c>
      <c r="P88" s="120" t="n">
        <v>0.93</v>
      </c>
      <c r="Q88" s="120" t="n">
        <v>0.013</v>
      </c>
      <c r="R88" s="117" t="n">
        <v>1</v>
      </c>
      <c r="S88" s="124" t="inlineStr">
        <is>
          <t>N/A</t>
        </is>
      </c>
      <c r="T88" s="124" t="inlineStr">
        <is>
          <t>N/A</t>
        </is>
      </c>
      <c r="U88" s="124" t="inlineStr">
        <is>
          <t>N/A</t>
        </is>
      </c>
      <c r="V88" s="117" t="n">
        <v>1</v>
      </c>
      <c r="W88" s="117" t="n">
        <v>1</v>
      </c>
      <c r="X88" s="117" t="n">
        <v>0</v>
      </c>
      <c r="Y88" s="117" t="n">
        <v>0</v>
      </c>
      <c r="Z88" s="117" t="n">
        <v>1</v>
      </c>
      <c r="AA88" s="117" t="n">
        <v>0</v>
      </c>
      <c r="AB88" s="117" t="n">
        <v>3</v>
      </c>
      <c r="AC88" s="121" t="inlineStr">
        <is>
          <t>⚠ WATCH</t>
        </is>
      </c>
      <c r="AD88" s="118" t="n">
        <v>2412136000</v>
      </c>
      <c r="AE88" s="118" t="n">
        <v>-2230472000</v>
      </c>
      <c r="AF88" s="118" t="n">
        <v>1308589000</v>
      </c>
      <c r="AG88" s="118" t="n">
        <v>0.024</v>
      </c>
      <c r="AH88" s="119" t="inlineStr">
        <is>
          <t>✓ Medium Quality</t>
        </is>
      </c>
      <c r="AI88" s="118" t="n">
        <v>0.279</v>
      </c>
      <c r="AJ88" s="120" t="n">
        <v>0.1</v>
      </c>
      <c r="AK88" s="120" t="n">
        <v>2.774</v>
      </c>
      <c r="AL88" s="120" t="n">
        <v>0.395</v>
      </c>
      <c r="AM88" s="124" t="inlineStr">
        <is>
          <t>N/A</t>
        </is>
      </c>
      <c r="AN88" s="117" t="n">
        <v>70</v>
      </c>
      <c r="AO88" s="119" t="inlineStr">
        <is>
          <t>✓ Good</t>
        </is>
      </c>
      <c r="AP88" s="117" t="n">
        <v>0</v>
      </c>
      <c r="AQ88" s="117" t="n">
        <v>0</v>
      </c>
      <c r="AR88" s="117" t="n">
        <v>0</v>
      </c>
      <c r="AS88" s="117" t="n">
        <v>1</v>
      </c>
      <c r="AT88" s="117" t="n">
        <v>0</v>
      </c>
      <c r="AU88" s="117" t="n">
        <v>0</v>
      </c>
      <c r="AV88" s="117" t="n">
        <v>1</v>
      </c>
      <c r="AW88" s="119" t="inlineStr">
        <is>
          <t>✓ Clean</t>
        </is>
      </c>
      <c r="AX88" s="118" t="n">
        <v>34.8</v>
      </c>
      <c r="AY88" s="119" t="inlineStr">
        <is>
          <t>🟢 LOW RISK</t>
        </is>
      </c>
      <c r="AZ88" s="118" t="n">
        <v>43.5</v>
      </c>
      <c r="BA88" s="118" t="n">
        <v>37.5</v>
      </c>
      <c r="BB88" s="124" t="inlineStr">
        <is>
          <t>N/A</t>
        </is>
      </c>
      <c r="BC88" s="124" t="inlineStr">
        <is>
          <t>N/A</t>
        </is>
      </c>
      <c r="BD88" s="124" t="inlineStr">
        <is>
          <t>N/A</t>
        </is>
      </c>
      <c r="BE88" s="124" t="inlineStr">
        <is>
          <t>N/A</t>
        </is>
      </c>
      <c r="BF88" s="120" t="n">
        <v>0.024</v>
      </c>
      <c r="BG88" s="117" t="n">
        <v>0.93</v>
      </c>
      <c r="BH88" s="122" t="n">
        <v>5</v>
      </c>
      <c r="BI88" s="125" t="n">
        <v>0.6666666666666666</v>
      </c>
    </row>
    <row r="89" ht="17" customHeight="1">
      <c r="A89" s="117" t="inlineStr">
        <is>
          <t>KLAC</t>
        </is>
      </c>
      <c r="B89" s="117" t="inlineStr">
        <is>
          <t>KLA CORPORATION</t>
        </is>
      </c>
      <c r="C89" s="118" t="n">
        <v>0.997</v>
      </c>
      <c r="D89" s="118" t="n">
        <v>1.175</v>
      </c>
      <c r="E89" s="118" t="n">
        <v>0.921</v>
      </c>
      <c r="F89" s="118" t="n">
        <v>1.239</v>
      </c>
      <c r="G89" s="118" t="n">
        <v>1.111</v>
      </c>
      <c r="H89" s="118" t="n">
        <v>0.857</v>
      </c>
      <c r="I89" s="118" t="n">
        <v>0.906</v>
      </c>
      <c r="J89" s="118" t="n">
        <v>-0.001</v>
      </c>
      <c r="K89" s="118" t="n">
        <v>-2.147</v>
      </c>
      <c r="L89" s="121" t="inlineStr">
        <is>
          <t>⚠ MANIPULATOR RISK</t>
        </is>
      </c>
      <c r="M89" s="120" t="n">
        <v>0.046</v>
      </c>
      <c r="N89" s="120" t="n">
        <v>0.184</v>
      </c>
      <c r="O89" s="120" t="n">
        <v>0.076</v>
      </c>
      <c r="P89" s="120" t="n">
        <v>0.793</v>
      </c>
      <c r="Q89" s="120" t="n">
        <v>0.074</v>
      </c>
      <c r="R89" s="117" t="n">
        <v>0</v>
      </c>
      <c r="S89" s="118" t="n">
        <v>-5.767</v>
      </c>
      <c r="T89" s="118" t="n">
        <v>0.003</v>
      </c>
      <c r="U89" s="119" t="inlineStr">
        <is>
          <t>✓ Normal</t>
        </is>
      </c>
      <c r="V89" s="117" t="n">
        <v>1</v>
      </c>
      <c r="W89" s="117" t="n">
        <v>0</v>
      </c>
      <c r="X89" s="117" t="n">
        <v>0</v>
      </c>
      <c r="Y89" s="117" t="n">
        <v>0</v>
      </c>
      <c r="Z89" s="117" t="n">
        <v>1</v>
      </c>
      <c r="AA89" s="117" t="n">
        <v>0</v>
      </c>
      <c r="AB89" s="117" t="n">
        <v>2</v>
      </c>
      <c r="AC89" s="121" t="inlineStr">
        <is>
          <t>⚠ WATCH</t>
        </is>
      </c>
      <c r="AD89" s="118" t="n">
        <v>4081903000</v>
      </c>
      <c r="AE89" s="118" t="n">
        <v>-202481000</v>
      </c>
      <c r="AF89" s="118" t="n">
        <v>4061643000</v>
      </c>
      <c r="AG89" s="118" t="n">
        <v>0.012</v>
      </c>
      <c r="AH89" s="119" t="inlineStr">
        <is>
          <t>✓ Medium Quality</t>
        </is>
      </c>
      <c r="AI89" s="118" t="n">
        <v>0.235</v>
      </c>
      <c r="AJ89" s="120" t="n">
        <v>0.239</v>
      </c>
      <c r="AK89" s="120" t="n">
        <v>0.984</v>
      </c>
      <c r="AL89" s="120" t="n">
        <v>0.336</v>
      </c>
      <c r="AM89" s="120" t="n">
        <v>-0.006</v>
      </c>
      <c r="AN89" s="118" t="n">
        <v>99.7</v>
      </c>
      <c r="AO89" s="119" t="inlineStr">
        <is>
          <t>✓ Good</t>
        </is>
      </c>
      <c r="AP89" s="117" t="n">
        <v>0</v>
      </c>
      <c r="AQ89" s="117" t="n">
        <v>0</v>
      </c>
      <c r="AR89" s="117" t="n">
        <v>1</v>
      </c>
      <c r="AS89" s="117" t="n">
        <v>0</v>
      </c>
      <c r="AT89" s="117" t="n">
        <v>1</v>
      </c>
      <c r="AU89" s="117" t="n">
        <v>1</v>
      </c>
      <c r="AV89" s="117" t="n">
        <v>3</v>
      </c>
      <c r="AW89" s="121" t="inlineStr">
        <is>
          <t>⚠ WATCH</t>
        </is>
      </c>
      <c r="AX89" s="118" t="n">
        <v>18</v>
      </c>
      <c r="AY89" s="119" t="inlineStr">
        <is>
          <t>🟢 VERY LOW RISK</t>
        </is>
      </c>
      <c r="AZ89" s="118" t="n">
        <v>68</v>
      </c>
      <c r="BA89" s="118" t="n">
        <v>68.2</v>
      </c>
      <c r="BB89" s="118" t="n">
        <v>246.7</v>
      </c>
      <c r="BC89" s="118" t="n">
        <v>282</v>
      </c>
      <c r="BD89" s="118" t="n">
        <v>35.2</v>
      </c>
      <c r="BE89" s="118" t="n">
        <v>33.4</v>
      </c>
      <c r="BF89" s="120" t="n">
        <v>0.125</v>
      </c>
      <c r="BG89" s="117" t="n">
        <v>0.793</v>
      </c>
      <c r="BH89" s="122" t="n">
        <v>5</v>
      </c>
      <c r="BI89" s="123" t="n">
        <v>1</v>
      </c>
    </row>
    <row r="90" ht="17" customHeight="1">
      <c r="A90" s="117" t="inlineStr">
        <is>
          <t>IONS</t>
        </is>
      </c>
      <c r="B90" s="117" t="inlineStr">
        <is>
          <t>IONIS PHARMACEUTICALS, INC.</t>
        </is>
      </c>
      <c r="C90" s="124" t="inlineStr">
        <is>
          <t>N/A</t>
        </is>
      </c>
      <c r="D90" s="118" t="n">
        <v>1.031</v>
      </c>
      <c r="E90" s="118" t="n">
        <v>1.209</v>
      </c>
      <c r="F90" s="118" t="n">
        <v>0.897</v>
      </c>
      <c r="G90" s="118" t="n">
        <v>1.231</v>
      </c>
      <c r="H90" s="118" t="n">
        <v>1.641</v>
      </c>
      <c r="I90" s="118" t="n">
        <v>1.071</v>
      </c>
      <c r="J90" s="118" t="n">
        <v>-0.032</v>
      </c>
      <c r="K90" s="124" t="inlineStr">
        <is>
          <t>N/A</t>
        </is>
      </c>
      <c r="L90" s="124" t="inlineStr">
        <is>
          <t>N/A</t>
        </is>
      </c>
      <c r="M90" s="120" t="n">
        <v>-0.06900000000000001</v>
      </c>
      <c r="N90" s="124" t="inlineStr">
        <is>
          <t>N/A</t>
        </is>
      </c>
      <c r="O90" s="120" t="n">
        <v>-0.106</v>
      </c>
      <c r="P90" s="120" t="n">
        <v>0.859</v>
      </c>
      <c r="Q90" s="120" t="n">
        <v>-0.032</v>
      </c>
      <c r="R90" s="117" t="n">
        <v>1</v>
      </c>
      <c r="S90" s="118" t="n">
        <v>-3.285</v>
      </c>
      <c r="T90" s="118" t="n">
        <v>0.036</v>
      </c>
      <c r="U90" s="119" t="inlineStr">
        <is>
          <t>✓ Normal</t>
        </is>
      </c>
      <c r="V90" s="117" t="n">
        <v>0</v>
      </c>
      <c r="W90" s="117" t="n">
        <v>0</v>
      </c>
      <c r="X90" s="117" t="n">
        <v>0</v>
      </c>
      <c r="Y90" s="117" t="n">
        <v>1</v>
      </c>
      <c r="Z90" s="117" t="n">
        <v>1</v>
      </c>
      <c r="AA90" s="117" t="n">
        <v>1</v>
      </c>
      <c r="AB90" s="117" t="n">
        <v>3</v>
      </c>
      <c r="AC90" s="121" t="inlineStr">
        <is>
          <t>⚠ WATCH</t>
        </is>
      </c>
      <c r="AD90" s="118" t="n">
        <v>-268583000</v>
      </c>
      <c r="AE90" s="118" t="n">
        <v>-277776000</v>
      </c>
      <c r="AF90" s="118" t="n">
        <v>-381387000</v>
      </c>
      <c r="AG90" s="118" t="n">
        <v>0.051</v>
      </c>
      <c r="AH90" s="119" t="inlineStr">
        <is>
          <t>✓ Medium Quality</t>
        </is>
      </c>
      <c r="AI90" s="124" t="inlineStr">
        <is>
          <t>N/A</t>
        </is>
      </c>
      <c r="AJ90" s="120" t="n">
        <v>-0.103</v>
      </c>
      <c r="AK90" s="124" t="inlineStr">
        <is>
          <t>N/A</t>
        </is>
      </c>
      <c r="AL90" s="120" t="n">
        <v>-1.321</v>
      </c>
      <c r="AM90" s="120" t="n">
        <v>0.271</v>
      </c>
      <c r="AN90" s="117" t="n">
        <v>80</v>
      </c>
      <c r="AO90" s="119" t="inlineStr">
        <is>
          <t>✓ Good</t>
        </is>
      </c>
      <c r="AP90" s="117" t="n">
        <v>1</v>
      </c>
      <c r="AQ90" s="117" t="n">
        <v>0</v>
      </c>
      <c r="AR90" s="117" t="n">
        <v>1</v>
      </c>
      <c r="AS90" s="117" t="n">
        <v>1</v>
      </c>
      <c r="AT90" s="117" t="n">
        <v>0</v>
      </c>
      <c r="AU90" s="117" t="n">
        <v>1</v>
      </c>
      <c r="AV90" s="117" t="n">
        <v>4</v>
      </c>
      <c r="AW90" s="117" t="inlineStr">
        <is>
          <t>⚠⚠ MULTIPLE RED FLAGS</t>
        </is>
      </c>
      <c r="AX90" s="118" t="n">
        <v>35.3</v>
      </c>
      <c r="AY90" s="119" t="inlineStr">
        <is>
          <t>🟢 LOW RISK</t>
        </is>
      </c>
      <c r="AZ90" s="118" t="n">
        <v>0</v>
      </c>
      <c r="BA90" s="124" t="inlineStr">
        <is>
          <t>N/A</t>
        </is>
      </c>
      <c r="BB90" s="118" t="n">
        <v>230.5</v>
      </c>
      <c r="BC90" s="118" t="n">
        <v>407.2</v>
      </c>
      <c r="BD90" s="118" t="n">
        <v>644.3</v>
      </c>
      <c r="BE90" s="118" t="n">
        <v>1398.3</v>
      </c>
      <c r="BF90" s="120" t="n">
        <v>-0.005</v>
      </c>
      <c r="BG90" s="117" t="n">
        <v>0.859</v>
      </c>
      <c r="BH90" s="122" t="n">
        <v>8</v>
      </c>
      <c r="BI90" s="123" t="n">
        <v>0.8333333333333334</v>
      </c>
    </row>
    <row r="91" ht="17" customHeight="1">
      <c r="A91" s="117" t="inlineStr">
        <is>
          <t>F</t>
        </is>
      </c>
      <c r="B91" s="117" t="inlineStr">
        <is>
          <t>Ford Motor Co</t>
        </is>
      </c>
      <c r="C91" s="118" t="n">
        <v>0.996</v>
      </c>
      <c r="D91" s="118" t="n">
        <v>1.771</v>
      </c>
      <c r="E91" s="118" t="n">
        <v>1.018</v>
      </c>
      <c r="F91" s="118" t="n">
        <v>1.05</v>
      </c>
      <c r="G91" s="118" t="n">
        <v>0.5669999999999999</v>
      </c>
      <c r="H91" s="118" t="n">
        <v>1.004</v>
      </c>
      <c r="I91" s="118" t="n">
        <v>1.039</v>
      </c>
      <c r="J91" s="118" t="n">
        <v>-0.053</v>
      </c>
      <c r="K91" s="118" t="n">
        <v>-2.337</v>
      </c>
      <c r="L91" s="119" t="inlineStr">
        <is>
          <t>✓ Lower Risk</t>
        </is>
      </c>
      <c r="M91" s="120" t="n">
        <v>-0.08799999999999999</v>
      </c>
      <c r="N91" s="120" t="n">
        <v>0.077</v>
      </c>
      <c r="O91" s="120" t="n">
        <v>0.038</v>
      </c>
      <c r="P91" s="120" t="n">
        <v>0.774</v>
      </c>
      <c r="Q91" s="120" t="n">
        <v>0.005</v>
      </c>
      <c r="R91" s="117" t="n">
        <v>0</v>
      </c>
      <c r="S91" s="118" t="n">
        <v>-6.194</v>
      </c>
      <c r="T91" s="118" t="n">
        <v>0.002</v>
      </c>
      <c r="U91" s="119" t="inlineStr">
        <is>
          <t>✓ Normal</t>
        </is>
      </c>
      <c r="V91" s="117" t="n">
        <v>0</v>
      </c>
      <c r="W91" s="117" t="n">
        <v>0</v>
      </c>
      <c r="X91" s="117" t="n">
        <v>0</v>
      </c>
      <c r="Y91" s="117" t="n">
        <v>0</v>
      </c>
      <c r="Z91" s="117" t="n">
        <v>0</v>
      </c>
      <c r="AA91" s="117" t="n">
        <v>0</v>
      </c>
      <c r="AB91" s="117" t="n">
        <v>0</v>
      </c>
      <c r="AC91" s="119" t="inlineStr">
        <is>
          <t>✓ Clean</t>
        </is>
      </c>
      <c r="AD91" s="118" t="n">
        <v>21282000000</v>
      </c>
      <c r="AE91" s="118" t="n">
        <v>-18049000000</v>
      </c>
      <c r="AF91" s="118" t="n">
        <v>5879000000</v>
      </c>
      <c r="AG91" s="118" t="n">
        <v>0.008999999999999999</v>
      </c>
      <c r="AH91" s="119" t="inlineStr">
        <is>
          <t>✓ Medium Quality</t>
        </is>
      </c>
      <c r="AI91" s="118" t="n">
        <v>0.046</v>
      </c>
      <c r="AJ91" s="120" t="n">
        <v>0.05</v>
      </c>
      <c r="AK91" s="120" t="n">
        <v>0.918</v>
      </c>
      <c r="AL91" s="120" t="n">
        <v>0.115</v>
      </c>
      <c r="AM91" s="120" t="n">
        <v>0</v>
      </c>
      <c r="AN91" s="118" t="n">
        <v>93</v>
      </c>
      <c r="AO91" s="119" t="inlineStr">
        <is>
          <t>✓ Good</t>
        </is>
      </c>
      <c r="AP91" s="117" t="n">
        <v>0</v>
      </c>
      <c r="AQ91" s="117" t="n">
        <v>0</v>
      </c>
      <c r="AR91" s="117" t="n">
        <v>1</v>
      </c>
      <c r="AS91" s="117" t="n">
        <v>1</v>
      </c>
      <c r="AT91" s="117" t="n">
        <v>1</v>
      </c>
      <c r="AU91" s="117" t="n">
        <v>0</v>
      </c>
      <c r="AV91" s="117" t="n">
        <v>3</v>
      </c>
      <c r="AW91" s="121" t="inlineStr">
        <is>
          <t>⚠ WATCH</t>
        </is>
      </c>
      <c r="AX91" s="118" t="n">
        <v>10.8</v>
      </c>
      <c r="AY91" s="119" t="inlineStr">
        <is>
          <t>🟢 VERY LOW RISK</t>
        </is>
      </c>
      <c r="AZ91" s="118" t="n">
        <v>30.4</v>
      </c>
      <c r="BA91" s="118" t="n">
        <v>30.5</v>
      </c>
      <c r="BB91" s="118" t="n">
        <v>32</v>
      </c>
      <c r="BC91" s="118" t="n">
        <v>34.4</v>
      </c>
      <c r="BD91" s="118" t="n">
        <v>54</v>
      </c>
      <c r="BE91" s="118" t="n">
        <v>55.6</v>
      </c>
      <c r="BF91" s="120" t="n">
        <v>0.31</v>
      </c>
      <c r="BG91" s="117" t="n">
        <v>0.774</v>
      </c>
      <c r="BH91" s="122" t="n">
        <v>3</v>
      </c>
      <c r="BI91" s="123" t="n">
        <v>1</v>
      </c>
    </row>
    <row r="92" ht="17" customHeight="1">
      <c r="A92" s="117" t="inlineStr">
        <is>
          <t>NTRS</t>
        </is>
      </c>
      <c r="B92" s="117" t="inlineStr">
        <is>
          <t>NORTHERN TRUST CORP</t>
        </is>
      </c>
      <c r="C92" s="124" t="inlineStr">
        <is>
          <t>N/A</t>
        </is>
      </c>
      <c r="D92" s="124" t="inlineStr">
        <is>
          <t>N/A</t>
        </is>
      </c>
      <c r="E92" s="118" t="n">
        <v>1.001</v>
      </c>
      <c r="F92" s="118" t="n">
        <v>0.975</v>
      </c>
      <c r="G92" s="118" t="n">
        <v>1.493</v>
      </c>
      <c r="H92" s="124" t="inlineStr">
        <is>
          <t>N/A</t>
        </is>
      </c>
      <c r="I92" s="118" t="n">
        <v>1.01</v>
      </c>
      <c r="J92" s="118" t="n">
        <v>-0.021</v>
      </c>
      <c r="K92" s="124" t="inlineStr">
        <is>
          <t>N/A</t>
        </is>
      </c>
      <c r="L92" s="124" t="inlineStr">
        <is>
          <t>N/A</t>
        </is>
      </c>
      <c r="M92" s="124" t="inlineStr">
        <is>
          <t>N/A</t>
        </is>
      </c>
      <c r="N92" s="124" t="inlineStr">
        <is>
          <t>N/A</t>
        </is>
      </c>
      <c r="O92" s="124" t="inlineStr">
        <is>
          <t>N/A</t>
        </is>
      </c>
      <c r="P92" s="120" t="n">
        <v>0.997</v>
      </c>
      <c r="Q92" s="120" t="n">
        <v>-0.003</v>
      </c>
      <c r="R92" s="117" t="n">
        <v>0</v>
      </c>
      <c r="S92" s="124" t="inlineStr">
        <is>
          <t>N/A</t>
        </is>
      </c>
      <c r="T92" s="124" t="inlineStr">
        <is>
          <t>N/A</t>
        </is>
      </c>
      <c r="U92" s="124" t="inlineStr">
        <is>
          <t>N/A</t>
        </is>
      </c>
      <c r="V92" s="117" t="n">
        <v>0</v>
      </c>
      <c r="W92" s="117" t="n">
        <v>0</v>
      </c>
      <c r="X92" s="117" t="n">
        <v>0</v>
      </c>
      <c r="Y92" s="117" t="n">
        <v>0</v>
      </c>
      <c r="Z92" s="117" t="n">
        <v>1</v>
      </c>
      <c r="AA92" s="117" t="n">
        <v>1</v>
      </c>
      <c r="AB92" s="117" t="n">
        <v>2</v>
      </c>
      <c r="AC92" s="121" t="inlineStr">
        <is>
          <t>⚠ WATCH</t>
        </is>
      </c>
      <c r="AD92" s="118" t="n">
        <v>5533500000</v>
      </c>
      <c r="AE92" s="118" t="n">
        <v>-20169900000</v>
      </c>
      <c r="AF92" s="118" t="n">
        <v>1736900000</v>
      </c>
      <c r="AG92" s="118" t="n">
        <v>0.098</v>
      </c>
      <c r="AH92" s="119" t="inlineStr">
        <is>
          <t>✓ Medium Quality</t>
        </is>
      </c>
      <c r="AI92" s="124" t="inlineStr">
        <is>
          <t>N/A</t>
        </is>
      </c>
      <c r="AJ92" s="120" t="n">
        <v>-0.025</v>
      </c>
      <c r="AK92" s="124" t="inlineStr">
        <is>
          <t>N/A</t>
        </is>
      </c>
      <c r="AL92" s="120" t="n">
        <v>0.6840000000000001</v>
      </c>
      <c r="AM92" s="124" t="inlineStr">
        <is>
          <t>N/A</t>
        </is>
      </c>
      <c r="AN92" s="117" t="n">
        <v>100</v>
      </c>
      <c r="AO92" s="119" t="inlineStr">
        <is>
          <t>✓ Good</t>
        </is>
      </c>
      <c r="AP92" s="117" t="n">
        <v>0</v>
      </c>
      <c r="AQ92" s="117" t="n">
        <v>0</v>
      </c>
      <c r="AR92" s="117" t="n">
        <v>0</v>
      </c>
      <c r="AS92" s="117" t="n">
        <v>0</v>
      </c>
      <c r="AT92" s="117" t="n">
        <v>0</v>
      </c>
      <c r="AU92" s="117" t="n">
        <v>0</v>
      </c>
      <c r="AV92" s="117" t="n">
        <v>0</v>
      </c>
      <c r="AW92" s="119" t="inlineStr">
        <is>
          <t>✓ Clean</t>
        </is>
      </c>
      <c r="AX92" s="118" t="n">
        <v>30.7</v>
      </c>
      <c r="AY92" s="119" t="inlineStr">
        <is>
          <t>🟢 LOW RISK</t>
        </is>
      </c>
      <c r="AZ92" s="118" t="n">
        <v>0</v>
      </c>
      <c r="BA92" s="124" t="inlineStr">
        <is>
          <t>N/A</t>
        </is>
      </c>
      <c r="BB92" s="124" t="inlineStr">
        <is>
          <t>N/A</t>
        </is>
      </c>
      <c r="BC92" s="124" t="inlineStr">
        <is>
          <t>N/A</t>
        </is>
      </c>
      <c r="BD92" s="124" t="inlineStr">
        <is>
          <t>N/A</t>
        </is>
      </c>
      <c r="BE92" s="124" t="inlineStr">
        <is>
          <t>N/A</t>
        </is>
      </c>
      <c r="BF92" s="120" t="n">
        <v>0.258</v>
      </c>
      <c r="BG92" s="117" t="n">
        <v>0.997</v>
      </c>
      <c r="BH92" s="122" t="n">
        <v>2</v>
      </c>
      <c r="BI92" s="125" t="n">
        <v>0.6666666666666666</v>
      </c>
    </row>
    <row r="93" ht="17" customHeight="1">
      <c r="A93" s="117" t="inlineStr">
        <is>
          <t>MNST</t>
        </is>
      </c>
      <c r="B93" s="117" t="inlineStr">
        <is>
          <t>Monster Beverage Corp</t>
        </is>
      </c>
      <c r="C93" s="118" t="n">
        <v>1.196</v>
      </c>
      <c r="D93" s="118" t="n">
        <v>0.968</v>
      </c>
      <c r="E93" s="118" t="n">
        <v>0.904</v>
      </c>
      <c r="F93" s="118" t="n">
        <v>1.107</v>
      </c>
      <c r="G93" s="118" t="n">
        <v>0.746</v>
      </c>
      <c r="H93" s="124" t="inlineStr">
        <is>
          <t>N/A</t>
        </is>
      </c>
      <c r="I93" s="118" t="n">
        <v>1</v>
      </c>
      <c r="J93" s="118" t="n">
        <v>-0.019</v>
      </c>
      <c r="K93" s="118" t="n">
        <v>-2.207</v>
      </c>
      <c r="L93" s="121" t="inlineStr">
        <is>
          <t>⚠ MANIPULATOR RISK</t>
        </is>
      </c>
      <c r="M93" s="120" t="n">
        <v>0.07000000000000001</v>
      </c>
      <c r="N93" s="120" t="n">
        <v>0.495</v>
      </c>
      <c r="O93" s="120" t="n">
        <v>0.078</v>
      </c>
      <c r="P93" s="120" t="n">
        <v>0.6830000000000001</v>
      </c>
      <c r="Q93" s="120" t="n">
        <v>-0.005</v>
      </c>
      <c r="R93" s="117" t="n">
        <v>1</v>
      </c>
      <c r="S93" s="118" t="n">
        <v>-2.072</v>
      </c>
      <c r="T93" s="118" t="n">
        <v>0.112</v>
      </c>
      <c r="U93" s="121" t="inlineStr">
        <is>
          <t>⚠ HIGH RISK</t>
        </is>
      </c>
      <c r="V93" s="117" t="n">
        <v>1</v>
      </c>
      <c r="W93" s="117" t="n">
        <v>1</v>
      </c>
      <c r="X93" s="117" t="n">
        <v>0</v>
      </c>
      <c r="Y93" s="117" t="n">
        <v>0</v>
      </c>
      <c r="Z93" s="117" t="n">
        <v>0</v>
      </c>
      <c r="AA93" s="117" t="n">
        <v>1</v>
      </c>
      <c r="AB93" s="117" t="n">
        <v>3</v>
      </c>
      <c r="AC93" s="121" t="inlineStr">
        <is>
          <t>⚠ WATCH</t>
        </is>
      </c>
      <c r="AD93" s="118" t="n">
        <v>2098177000</v>
      </c>
      <c r="AE93" s="118" t="n">
        <v>-1316778000</v>
      </c>
      <c r="AF93" s="118" t="n">
        <v>1905432000</v>
      </c>
      <c r="AG93" s="118" t="n">
        <v>0.127</v>
      </c>
      <c r="AH93" s="117" t="inlineStr">
        <is>
          <t>⚠ Low Quality</t>
        </is>
      </c>
      <c r="AI93" s="118" t="n">
        <v>0.325</v>
      </c>
      <c r="AJ93" s="120" t="n">
        <v>0.107</v>
      </c>
      <c r="AK93" s="120" t="n">
        <v>3.033</v>
      </c>
      <c r="AL93" s="120" t="n">
        <v>0.253</v>
      </c>
      <c r="AM93" s="120" t="n">
        <v>0</v>
      </c>
      <c r="AN93" s="118" t="n">
        <v>70</v>
      </c>
      <c r="AO93" s="119" t="inlineStr">
        <is>
          <t>✓ Good</t>
        </is>
      </c>
      <c r="AP93" s="117" t="n">
        <v>0</v>
      </c>
      <c r="AQ93" s="117" t="n">
        <v>0</v>
      </c>
      <c r="AR93" s="117" t="n">
        <v>0</v>
      </c>
      <c r="AS93" s="117" t="n">
        <v>0</v>
      </c>
      <c r="AT93" s="117" t="n">
        <v>0</v>
      </c>
      <c r="AU93" s="117" t="n">
        <v>1</v>
      </c>
      <c r="AV93" s="117" t="n">
        <v>1</v>
      </c>
      <c r="AW93" s="119" t="inlineStr">
        <is>
          <t>✓ Clean</t>
        </is>
      </c>
      <c r="AX93" s="118" t="n">
        <v>39.5</v>
      </c>
      <c r="AY93" s="119" t="inlineStr">
        <is>
          <t>🟢 LOW RISK</t>
        </is>
      </c>
      <c r="AZ93" s="118" t="n">
        <v>71.2</v>
      </c>
      <c r="BA93" s="118" t="n">
        <v>59.5</v>
      </c>
      <c r="BB93" s="118" t="n">
        <v>79.7</v>
      </c>
      <c r="BC93" s="118" t="n">
        <v>78.09999999999999</v>
      </c>
      <c r="BD93" s="118" t="n">
        <v>56.4</v>
      </c>
      <c r="BE93" s="118" t="n">
        <v>49.5</v>
      </c>
      <c r="BF93" s="120" t="n">
        <v>0.232</v>
      </c>
      <c r="BG93" s="117" t="n">
        <v>0.6830000000000001</v>
      </c>
      <c r="BH93" s="122" t="n">
        <v>5</v>
      </c>
      <c r="BI93" s="123" t="n">
        <v>1</v>
      </c>
    </row>
    <row r="94" ht="17" customHeight="1">
      <c r="A94" s="117" t="inlineStr">
        <is>
          <t>PNW</t>
        </is>
      </c>
      <c r="B94" s="117" t="inlineStr">
        <is>
          <t>PINNACLE WEST CAPITAL CORP</t>
        </is>
      </c>
      <c r="C94" s="124" t="inlineStr">
        <is>
          <t>N/A</t>
        </is>
      </c>
      <c r="D94" s="118" t="n">
        <v>1.013</v>
      </c>
      <c r="E94" s="118" t="n">
        <v>1.143</v>
      </c>
      <c r="F94" s="118" t="n">
        <v>1.042</v>
      </c>
      <c r="G94" s="118" t="n">
        <v>1.071</v>
      </c>
      <c r="H94" s="124" t="inlineStr">
        <is>
          <t>N/A</t>
        </is>
      </c>
      <c r="I94" s="118" t="n">
        <v>1</v>
      </c>
      <c r="J94" s="118" t="n">
        <v>-0.048</v>
      </c>
      <c r="K94" s="124" t="inlineStr">
        <is>
          <t>N/A</t>
        </is>
      </c>
      <c r="L94" s="124" t="inlineStr">
        <is>
          <t>N/A</t>
        </is>
      </c>
      <c r="M94" s="120" t="n">
        <v>-0.042</v>
      </c>
      <c r="N94" s="124" t="inlineStr">
        <is>
          <t>N/A</t>
        </is>
      </c>
      <c r="O94" s="124" t="inlineStr">
        <is>
          <t>N/A</t>
        </is>
      </c>
      <c r="P94" s="120" t="n">
        <v>0.388</v>
      </c>
      <c r="Q94" s="120" t="n">
        <v>0.008999999999999999</v>
      </c>
      <c r="R94" s="117" t="n">
        <v>1</v>
      </c>
      <c r="S94" s="124" t="inlineStr">
        <is>
          <t>N/A</t>
        </is>
      </c>
      <c r="T94" s="124" t="inlineStr">
        <is>
          <t>N/A</t>
        </is>
      </c>
      <c r="U94" s="124" t="inlineStr">
        <is>
          <t>N/A</t>
        </is>
      </c>
      <c r="V94" s="117" t="n">
        <v>1</v>
      </c>
      <c r="W94" s="117" t="n">
        <v>0</v>
      </c>
      <c r="X94" s="117" t="n">
        <v>0</v>
      </c>
      <c r="Y94" s="117" t="n">
        <v>0</v>
      </c>
      <c r="Z94" s="117" t="n">
        <v>1</v>
      </c>
      <c r="AA94" s="117" t="n">
        <v>1</v>
      </c>
      <c r="AB94" s="117" t="n">
        <v>3</v>
      </c>
      <c r="AC94" s="121" t="inlineStr">
        <is>
          <t>⚠ WATCH</t>
        </is>
      </c>
      <c r="AD94" s="118" t="n">
        <v>1805095000</v>
      </c>
      <c r="AE94" s="118" t="n">
        <v>-2378674000</v>
      </c>
      <c r="AF94" s="118" t="n">
        <v>350053000</v>
      </c>
      <c r="AG94" s="118" t="n">
        <v>0.033</v>
      </c>
      <c r="AH94" s="119" t="inlineStr">
        <is>
          <t>✓ Medium Quality</t>
        </is>
      </c>
      <c r="AI94" s="124" t="inlineStr">
        <is>
          <t>N/A</t>
        </is>
      </c>
      <c r="AJ94" s="120" t="n">
        <v>0.042</v>
      </c>
      <c r="AK94" s="124" t="inlineStr">
        <is>
          <t>N/A</t>
        </is>
      </c>
      <c r="AL94" s="120" t="n">
        <v>0.338</v>
      </c>
      <c r="AM94" s="120" t="n">
        <v>0.004</v>
      </c>
      <c r="AN94" s="117" t="n">
        <v>100</v>
      </c>
      <c r="AO94" s="119" t="inlineStr">
        <is>
          <t>✓ Good</t>
        </is>
      </c>
      <c r="AP94" s="117" t="n">
        <v>0</v>
      </c>
      <c r="AQ94" s="117" t="n">
        <v>0</v>
      </c>
      <c r="AR94" s="117" t="n">
        <v>1</v>
      </c>
      <c r="AS94" s="117" t="n">
        <v>0</v>
      </c>
      <c r="AT94" s="117" t="n">
        <v>0</v>
      </c>
      <c r="AU94" s="117" t="n">
        <v>1</v>
      </c>
      <c r="AV94" s="117" t="n">
        <v>2</v>
      </c>
      <c r="AW94" s="121" t="inlineStr">
        <is>
          <t>⚠ WATCH</t>
        </is>
      </c>
      <c r="AX94" s="118" t="n">
        <v>34.3</v>
      </c>
      <c r="AY94" s="119" t="inlineStr">
        <is>
          <t>🟢 LOW RISK</t>
        </is>
      </c>
      <c r="AZ94" s="118" t="n">
        <v>0</v>
      </c>
      <c r="BA94" s="124" t="inlineStr">
        <is>
          <t>N/A</t>
        </is>
      </c>
      <c r="BB94" s="124" t="inlineStr">
        <is>
          <t>N/A</t>
        </is>
      </c>
      <c r="BC94" s="124" t="inlineStr">
        <is>
          <t>N/A</t>
        </is>
      </c>
      <c r="BD94" s="118" t="n">
        <v>230.7</v>
      </c>
      <c r="BE94" s="118" t="n">
        <v>180.6</v>
      </c>
      <c r="BF94" s="120" t="n">
        <v>0.145</v>
      </c>
      <c r="BG94" s="117" t="n">
        <v>0.388</v>
      </c>
      <c r="BH94" s="122" t="n">
        <v>6</v>
      </c>
      <c r="BI94" s="125" t="n">
        <v>0.6666666666666666</v>
      </c>
    </row>
    <row r="95" ht="17" customHeight="1">
      <c r="A95" s="117" t="inlineStr">
        <is>
          <t>CI</t>
        </is>
      </c>
      <c r="B95" s="117" t="inlineStr">
        <is>
          <t>The Cigna Group</t>
        </is>
      </c>
      <c r="C95" s="118" t="n">
        <v>1.067</v>
      </c>
      <c r="D95" s="118" t="n">
        <v>1.2</v>
      </c>
      <c r="E95" s="118" t="n">
        <v>1.018</v>
      </c>
      <c r="F95" s="118" t="n">
        <v>1.112</v>
      </c>
      <c r="G95" s="118" t="n">
        <v>0.981</v>
      </c>
      <c r="H95" s="118" t="n">
        <v>0.885</v>
      </c>
      <c r="I95" s="118" t="n">
        <v>0.999</v>
      </c>
      <c r="J95" s="118" t="n">
        <v>-0.023</v>
      </c>
      <c r="K95" s="118" t="n">
        <v>-2.295</v>
      </c>
      <c r="L95" s="119" t="inlineStr">
        <is>
          <t>✓ Lower Risk</t>
        </is>
      </c>
      <c r="M95" s="120" t="n">
        <v>-0.015</v>
      </c>
      <c r="N95" s="120" t="n">
        <v>0.163</v>
      </c>
      <c r="O95" s="120" t="n">
        <v>0.023</v>
      </c>
      <c r="P95" s="120" t="n">
        <v>0.928</v>
      </c>
      <c r="Q95" s="120" t="n">
        <v>0.016</v>
      </c>
      <c r="R95" s="117" t="n">
        <v>0</v>
      </c>
      <c r="S95" s="118" t="n">
        <v>-5.635</v>
      </c>
      <c r="T95" s="118" t="n">
        <v>0.004</v>
      </c>
      <c r="U95" s="119" t="inlineStr">
        <is>
          <t>✓ Normal</t>
        </is>
      </c>
      <c r="V95" s="117" t="n">
        <v>1</v>
      </c>
      <c r="W95" s="117" t="n">
        <v>1</v>
      </c>
      <c r="X95" s="117" t="n">
        <v>0</v>
      </c>
      <c r="Y95" s="117" t="n">
        <v>0</v>
      </c>
      <c r="Z95" s="117" t="n">
        <v>1</v>
      </c>
      <c r="AA95" s="117" t="n">
        <v>0</v>
      </c>
      <c r="AB95" s="117" t="n">
        <v>3</v>
      </c>
      <c r="AC95" s="121" t="inlineStr">
        <is>
          <t>⚠ WATCH</t>
        </is>
      </c>
      <c r="AD95" s="118" t="n">
        <v>9601000000</v>
      </c>
      <c r="AE95" s="118" t="n">
        <v>-4407000000</v>
      </c>
      <c r="AF95" s="118" t="n">
        <v>5957000000</v>
      </c>
      <c r="AG95" s="118" t="n">
        <v>0.005</v>
      </c>
      <c r="AH95" s="119" t="inlineStr">
        <is>
          <t>✓ Medium Quality</t>
        </is>
      </c>
      <c r="AI95" s="118" t="n">
        <v>0.187</v>
      </c>
      <c r="AJ95" s="120" t="n">
        <v>0.112</v>
      </c>
      <c r="AK95" s="120" t="n">
        <v>1.667</v>
      </c>
      <c r="AL95" s="120" t="n">
        <v>0.035</v>
      </c>
      <c r="AM95" s="124" t="inlineStr">
        <is>
          <t>N/A</t>
        </is>
      </c>
      <c r="AN95" s="118" t="n">
        <v>57</v>
      </c>
      <c r="AO95" s="121" t="inlineStr">
        <is>
          <t>⚠ WATCH</t>
        </is>
      </c>
      <c r="AP95" s="117" t="n">
        <v>0</v>
      </c>
      <c r="AQ95" s="117" t="n">
        <v>0</v>
      </c>
      <c r="AR95" s="117" t="n">
        <v>1</v>
      </c>
      <c r="AS95" s="117" t="n">
        <v>0</v>
      </c>
      <c r="AT95" s="117" t="n">
        <v>0</v>
      </c>
      <c r="AU95" s="117" t="n">
        <v>1</v>
      </c>
      <c r="AV95" s="117" t="n">
        <v>2</v>
      </c>
      <c r="AW95" s="121" t="inlineStr">
        <is>
          <t>⚠ WATCH</t>
        </is>
      </c>
      <c r="AX95" s="118" t="n">
        <v>22.1</v>
      </c>
      <c r="AY95" s="119" t="inlineStr">
        <is>
          <t>🟢 LOW RISK</t>
        </is>
      </c>
      <c r="AZ95" s="118" t="n">
        <v>38.2</v>
      </c>
      <c r="BA95" s="118" t="n">
        <v>35.8</v>
      </c>
      <c r="BB95" s="118" t="n">
        <v>12.5</v>
      </c>
      <c r="BC95" s="118" t="n">
        <v>13.4</v>
      </c>
      <c r="BD95" s="118" t="n">
        <v>18.1</v>
      </c>
      <c r="BE95" s="118" t="n">
        <v>18.6</v>
      </c>
      <c r="BF95" s="120" t="n">
        <v>0.192</v>
      </c>
      <c r="BG95" s="117" t="n">
        <v>0.928</v>
      </c>
      <c r="BH95" s="122" t="n">
        <v>5</v>
      </c>
      <c r="BI95" s="123" t="n">
        <v>1</v>
      </c>
    </row>
    <row r="96" ht="17" customHeight="1">
      <c r="A96" s="117" t="inlineStr">
        <is>
          <t>TREX</t>
        </is>
      </c>
      <c r="B96" s="117" t="inlineStr">
        <is>
          <t>Trex Company, Inc.</t>
        </is>
      </c>
      <c r="C96" s="118" t="n">
        <v>0.534</v>
      </c>
      <c r="D96" s="118" t="n">
        <v>1.077</v>
      </c>
      <c r="E96" s="118" t="n">
        <v>1.03</v>
      </c>
      <c r="F96" s="118" t="n">
        <v>1.02</v>
      </c>
      <c r="G96" s="118" t="n">
        <v>0.988</v>
      </c>
      <c r="H96" s="118" t="n">
        <v>1.1</v>
      </c>
      <c r="I96" s="118" t="n">
        <v>0.805</v>
      </c>
      <c r="J96" s="118" t="n">
        <v>-0.115</v>
      </c>
      <c r="K96" s="118" t="n">
        <v>-3.333</v>
      </c>
      <c r="L96" s="119" t="inlineStr">
        <is>
          <t>✓ Lower Risk</t>
        </is>
      </c>
      <c r="M96" s="120" t="n">
        <v>0.012</v>
      </c>
      <c r="N96" s="120" t="n">
        <v>-1.765</v>
      </c>
      <c r="O96" s="120" t="n">
        <v>1.375</v>
      </c>
      <c r="P96" s="120" t="n">
        <v>0.275</v>
      </c>
      <c r="Q96" s="120" t="n">
        <v>-0.04</v>
      </c>
      <c r="R96" s="117" t="n">
        <v>0</v>
      </c>
      <c r="S96" s="118" t="n">
        <v>-10.127</v>
      </c>
      <c r="T96" s="118" t="n">
        <v>0</v>
      </c>
      <c r="U96" s="119" t="inlineStr">
        <is>
          <t>✓ Normal</t>
        </is>
      </c>
      <c r="V96" s="117" t="n">
        <v>0</v>
      </c>
      <c r="W96" s="117" t="n">
        <v>0</v>
      </c>
      <c r="X96" s="117" t="n">
        <v>1</v>
      </c>
      <c r="Y96" s="117" t="n">
        <v>1</v>
      </c>
      <c r="Z96" s="117" t="n">
        <v>0</v>
      </c>
      <c r="AA96" s="117" t="n">
        <v>0</v>
      </c>
      <c r="AB96" s="117" t="n">
        <v>2</v>
      </c>
      <c r="AC96" s="121" t="inlineStr">
        <is>
          <t>⚠ WATCH</t>
        </is>
      </c>
      <c r="AD96" s="118" t="n">
        <v>358113000</v>
      </c>
      <c r="AE96" s="118" t="n">
        <v>-233217000</v>
      </c>
      <c r="AF96" s="118" t="n">
        <v>190415000</v>
      </c>
      <c r="AG96" s="118" t="n">
        <v>0.047</v>
      </c>
      <c r="AH96" s="119" t="inlineStr">
        <is>
          <t>✓ Medium Quality</t>
        </is>
      </c>
      <c r="AI96" s="118" t="n">
        <v>-0.456</v>
      </c>
      <c r="AJ96" s="120" t="n">
        <v>0.02</v>
      </c>
      <c r="AK96" s="120" t="n">
        <v>-22.996</v>
      </c>
      <c r="AL96" s="120" t="n">
        <v>0.305</v>
      </c>
      <c r="AM96" s="120" t="n">
        <v>-0</v>
      </c>
      <c r="AN96" s="117" t="n">
        <v>100</v>
      </c>
      <c r="AO96" s="119" t="inlineStr">
        <is>
          <t>✓ Good</t>
        </is>
      </c>
      <c r="AP96" s="117" t="n">
        <v>1</v>
      </c>
      <c r="AQ96" s="117" t="n">
        <v>0</v>
      </c>
      <c r="AR96" s="117" t="n">
        <v>1</v>
      </c>
      <c r="AS96" s="117" t="n">
        <v>1</v>
      </c>
      <c r="AT96" s="117" t="n">
        <v>1</v>
      </c>
      <c r="AU96" s="117" t="n">
        <v>0</v>
      </c>
      <c r="AV96" s="117" t="n">
        <v>4</v>
      </c>
      <c r="AW96" s="117" t="inlineStr">
        <is>
          <t>⚠⚠ MULTIPLE RED FLAGS</t>
        </is>
      </c>
      <c r="AX96" s="118" t="n">
        <v>15.5</v>
      </c>
      <c r="AY96" s="119" t="inlineStr">
        <is>
          <t>🟢 VERY LOW RISK</t>
        </is>
      </c>
      <c r="AZ96" s="118" t="n">
        <v>14.9</v>
      </c>
      <c r="BA96" s="118" t="n">
        <v>28</v>
      </c>
      <c r="BB96" s="118" t="n">
        <v>122</v>
      </c>
      <c r="BC96" s="118" t="n">
        <v>113.6</v>
      </c>
      <c r="BD96" s="118" t="n">
        <v>17.8</v>
      </c>
      <c r="BE96" s="118" t="n">
        <v>33.6</v>
      </c>
      <c r="BF96" s="120" t="n">
        <v>0.262</v>
      </c>
      <c r="BG96" s="117" t="n">
        <v>0.275</v>
      </c>
      <c r="BH96" s="122" t="n">
        <v>6</v>
      </c>
      <c r="BI96" s="123" t="n">
        <v>1</v>
      </c>
    </row>
    <row r="97" ht="17" customHeight="1">
      <c r="A97" s="129" t="inlineStr">
        <is>
          <t>APA</t>
        </is>
      </c>
      <c r="B97" s="129" t="inlineStr">
        <is>
          <t>APA CORPORATION</t>
        </is>
      </c>
      <c r="C97" s="124" t="inlineStr">
        <is>
          <t>N/A</t>
        </is>
      </c>
      <c r="D97" s="124" t="inlineStr">
        <is>
          <t>N/A</t>
        </is>
      </c>
      <c r="E97" s="124" t="inlineStr">
        <is>
          <t>N/A</t>
        </is>
      </c>
      <c r="F97" s="124" t="inlineStr">
        <is>
          <t>N/A</t>
        </is>
      </c>
      <c r="G97" s="124" t="inlineStr">
        <is>
          <t>N/A</t>
        </is>
      </c>
      <c r="H97" s="124" t="inlineStr">
        <is>
          <t>N/A</t>
        </is>
      </c>
      <c r="I97" s="130" t="n">
        <v>1</v>
      </c>
      <c r="J97" s="130" t="n">
        <v>-0.175</v>
      </c>
      <c r="K97" s="124" t="inlineStr">
        <is>
          <t>N/A</t>
        </is>
      </c>
      <c r="L97" s="124" t="inlineStr">
        <is>
          <t>N/A</t>
        </is>
      </c>
      <c r="M97" s="131" t="n">
        <v>-0.174</v>
      </c>
      <c r="N97" s="131" t="n">
        <v>-897000000000</v>
      </c>
      <c r="O97" s="131" t="n">
        <v>-74000000000</v>
      </c>
      <c r="P97" s="131" t="n">
        <v>0.971</v>
      </c>
      <c r="Q97" s="131" t="n">
        <v>0.039</v>
      </c>
      <c r="R97" s="129" t="n">
        <v>0</v>
      </c>
      <c r="S97" s="130" t="n">
        <v>-2346780000006.126</v>
      </c>
      <c r="T97" s="130" t="n">
        <v>0</v>
      </c>
      <c r="U97" s="119" t="inlineStr">
        <is>
          <t>✓ Normal</t>
        </is>
      </c>
      <c r="V97" s="129" t="n">
        <v>0</v>
      </c>
      <c r="W97" s="129" t="n">
        <v>0</v>
      </c>
      <c r="X97" s="129" t="n">
        <v>0</v>
      </c>
      <c r="Y97" s="129" t="n">
        <v>0</v>
      </c>
      <c r="Z97" s="129" t="n">
        <v>0</v>
      </c>
      <c r="AA97" s="129" t="n">
        <v>0</v>
      </c>
      <c r="AB97" s="129" t="n">
        <v>0</v>
      </c>
      <c r="AC97" s="119" t="inlineStr">
        <is>
          <t>✓ Clean</t>
        </is>
      </c>
      <c r="AD97" s="130" t="n">
        <v>4545000000</v>
      </c>
      <c r="AE97" s="130" t="n">
        <v>-2153000000</v>
      </c>
      <c r="AF97" s="130" t="n">
        <v>1434000000</v>
      </c>
      <c r="AG97" s="130" t="n">
        <v>-0.052</v>
      </c>
      <c r="AH97" s="119" t="inlineStr">
        <is>
          <t>✓ Medium Quality</t>
        </is>
      </c>
      <c r="AI97" s="130" t="n">
        <v>-0.458</v>
      </c>
      <c r="AJ97" s="124" t="inlineStr">
        <is>
          <t>N/A</t>
        </is>
      </c>
      <c r="AK97" s="124" t="inlineStr">
        <is>
          <t>N/A</t>
        </is>
      </c>
      <c r="AL97" s="124" t="inlineStr">
        <is>
          <t>N/A</t>
        </is>
      </c>
      <c r="AM97" s="124" t="inlineStr">
        <is>
          <t>N/A</t>
        </is>
      </c>
      <c r="AN97" s="129" t="n">
        <v>100</v>
      </c>
      <c r="AO97" s="119" t="inlineStr">
        <is>
          <t>✓ Good</t>
        </is>
      </c>
      <c r="AP97" s="129" t="n">
        <v>0</v>
      </c>
      <c r="AQ97" s="129" t="n">
        <v>0</v>
      </c>
      <c r="AR97" s="129" t="n">
        <v>0</v>
      </c>
      <c r="AS97" s="129" t="n">
        <v>0</v>
      </c>
      <c r="AT97" s="129" t="n">
        <v>0</v>
      </c>
      <c r="AU97" s="129" t="n">
        <v>0</v>
      </c>
      <c r="AV97" s="129" t="n">
        <v>0</v>
      </c>
      <c r="AW97" s="119" t="inlineStr">
        <is>
          <t>✓ Clean</t>
        </is>
      </c>
      <c r="AX97" s="130" t="n">
        <v>15.6</v>
      </c>
      <c r="AY97" s="119" t="inlineStr">
        <is>
          <t>🟢 VERY LOW RISK</t>
        </is>
      </c>
      <c r="AZ97" s="124" t="inlineStr">
        <is>
          <t>N/A</t>
        </is>
      </c>
      <c r="BA97" s="124" t="inlineStr">
        <is>
          <t>N/A</t>
        </is>
      </c>
      <c r="BB97" s="130" t="n">
        <v>21.8</v>
      </c>
      <c r="BC97" s="130" t="n">
        <v>21.3</v>
      </c>
      <c r="BD97" s="130" t="n">
        <v>54.2</v>
      </c>
      <c r="BE97" s="130" t="n">
        <v>61.2</v>
      </c>
      <c r="BF97" s="131" t="n">
        <v>0.394</v>
      </c>
      <c r="BG97" s="129" t="n">
        <v>0.971</v>
      </c>
      <c r="BH97" s="129" t="n">
        <v>0</v>
      </c>
      <c r="BI97" s="123" t="n">
        <v>0.8333333333333334</v>
      </c>
    </row>
    <row r="98" ht="17" customHeight="1">
      <c r="A98" s="117" t="inlineStr">
        <is>
          <t>MCHP</t>
        </is>
      </c>
      <c r="B98" s="117" t="inlineStr">
        <is>
          <t>Microchip Technology Incorporated</t>
        </is>
      </c>
      <c r="C98" s="118" t="n">
        <v>0.322</v>
      </c>
      <c r="D98" s="118" t="n">
        <v>3.648</v>
      </c>
      <c r="E98" s="118" t="n">
        <v>1.04</v>
      </c>
      <c r="F98" s="118" t="n">
        <v>4.023</v>
      </c>
      <c r="G98" s="118" t="n">
        <v>1.011</v>
      </c>
      <c r="H98" s="118" t="n">
        <v>0.271</v>
      </c>
      <c r="I98" s="118" t="n">
        <v>1</v>
      </c>
      <c r="J98" s="118" t="n">
        <v>-0.051</v>
      </c>
      <c r="K98" s="118" t="n">
        <v>0.896</v>
      </c>
      <c r="L98" s="121" t="inlineStr">
        <is>
          <t>⚠ MANIPULATOR RISK</t>
        </is>
      </c>
      <c r="M98" s="120" t="n">
        <v>-0.052</v>
      </c>
      <c r="N98" s="120" t="n">
        <v>0.051</v>
      </c>
      <c r="O98" s="120" t="n">
        <v>-0.064</v>
      </c>
      <c r="P98" s="120" t="n">
        <v>0.906</v>
      </c>
      <c r="Q98" s="120" t="n">
        <v>0.016</v>
      </c>
      <c r="R98" s="117" t="n">
        <v>1</v>
      </c>
      <c r="S98" s="118" t="n">
        <v>-3.022</v>
      </c>
      <c r="T98" s="118" t="n">
        <v>0.046</v>
      </c>
      <c r="U98" s="121" t="inlineStr">
        <is>
          <t>⚠ HIGH RISK</t>
        </is>
      </c>
      <c r="V98" s="117" t="n">
        <v>1</v>
      </c>
      <c r="W98" s="117" t="n">
        <v>0</v>
      </c>
      <c r="X98" s="117" t="n">
        <v>0</v>
      </c>
      <c r="Y98" s="117" t="n">
        <v>1</v>
      </c>
      <c r="Z98" s="117" t="n">
        <v>1</v>
      </c>
      <c r="AA98" s="117" t="n">
        <v>0</v>
      </c>
      <c r="AB98" s="117" t="n">
        <v>3</v>
      </c>
      <c r="AC98" s="121" t="inlineStr">
        <is>
          <t>⚠ WATCH</t>
        </is>
      </c>
      <c r="AD98" s="118" t="n">
        <v>962100000</v>
      </c>
      <c r="AE98" s="118" t="n">
        <v>-195500000</v>
      </c>
      <c r="AF98" s="118" t="n">
        <v>230000000</v>
      </c>
      <c r="AG98" s="118" t="n">
        <v>-0.036</v>
      </c>
      <c r="AH98" s="119" t="inlineStr">
        <is>
          <t>✓ Medium Quality</t>
        </is>
      </c>
      <c r="AI98" s="118" t="n">
        <v>0.297</v>
      </c>
      <c r="AJ98" s="120" t="n">
        <v>3.023</v>
      </c>
      <c r="AK98" s="120" t="n">
        <v>0.098</v>
      </c>
      <c r="AL98" s="120" t="n">
        <v>0.18</v>
      </c>
      <c r="AM98" s="120" t="n">
        <v>-0.006</v>
      </c>
      <c r="AN98" s="118" t="n">
        <v>99.7</v>
      </c>
      <c r="AO98" s="119" t="inlineStr">
        <is>
          <t>✓ Good</t>
        </is>
      </c>
      <c r="AP98" s="117" t="n">
        <v>0</v>
      </c>
      <c r="AQ98" s="117" t="n">
        <v>0</v>
      </c>
      <c r="AR98" s="117" t="n">
        <v>1</v>
      </c>
      <c r="AS98" s="117" t="n">
        <v>0</v>
      </c>
      <c r="AT98" s="117" t="n">
        <v>1</v>
      </c>
      <c r="AU98" s="117" t="n">
        <v>1</v>
      </c>
      <c r="AV98" s="117" t="n">
        <v>3</v>
      </c>
      <c r="AW98" s="121" t="inlineStr">
        <is>
          <t>⚠ WATCH</t>
        </is>
      </c>
      <c r="AX98" s="118" t="n">
        <v>37.4</v>
      </c>
      <c r="AY98" s="119" t="inlineStr">
        <is>
          <t>🟢 LOW RISK</t>
        </is>
      </c>
      <c r="AZ98" s="118" t="n">
        <v>61</v>
      </c>
      <c r="BA98" s="118" t="n">
        <v>189.3</v>
      </c>
      <c r="BB98" s="118" t="n">
        <v>189.7</v>
      </c>
      <c r="BC98" s="118" t="n">
        <v>244.2</v>
      </c>
      <c r="BD98" s="118" t="n">
        <v>37.7</v>
      </c>
      <c r="BE98" s="118" t="n">
        <v>30.3</v>
      </c>
      <c r="BF98" s="120" t="n">
        <v>0.159</v>
      </c>
      <c r="BG98" s="117" t="n">
        <v>0.906</v>
      </c>
      <c r="BH98" s="122" t="n">
        <v>7</v>
      </c>
      <c r="BI98" s="123" t="n">
        <v>1</v>
      </c>
    </row>
    <row r="99" ht="17" customHeight="1">
      <c r="A99" s="117" t="inlineStr">
        <is>
          <t>FORM</t>
        </is>
      </c>
      <c r="B99" s="117" t="inlineStr">
        <is>
          <t>FormFactor, Inc.</t>
        </is>
      </c>
      <c r="C99" s="118" t="n">
        <v>1.17</v>
      </c>
      <c r="D99" s="118" t="n">
        <v>1.025</v>
      </c>
      <c r="E99" s="118" t="n">
        <v>1.155</v>
      </c>
      <c r="F99" s="118" t="n">
        <v>1.028</v>
      </c>
      <c r="G99" s="118" t="n">
        <v>0.664</v>
      </c>
      <c r="H99" s="118" t="n">
        <v>0.913</v>
      </c>
      <c r="I99" s="118" t="n">
        <v>0.891</v>
      </c>
      <c r="J99" s="118" t="n">
        <v>-0.05</v>
      </c>
      <c r="K99" s="118" t="n">
        <v>-2.444</v>
      </c>
      <c r="L99" s="119" t="inlineStr">
        <is>
          <t>✓ Lower Risk</t>
        </is>
      </c>
      <c r="M99" s="120" t="n">
        <v>0</v>
      </c>
      <c r="N99" s="120" t="n">
        <v>0.987</v>
      </c>
      <c r="O99" s="120" t="n">
        <v>0.43</v>
      </c>
      <c r="P99" s="120" t="n">
        <v>0.704</v>
      </c>
      <c r="Q99" s="120" t="n">
        <v>-0.016</v>
      </c>
      <c r="R99" s="117" t="n">
        <v>1</v>
      </c>
      <c r="S99" s="118" t="n">
        <v>-0.42</v>
      </c>
      <c r="T99" s="118" t="n">
        <v>0.397</v>
      </c>
      <c r="U99" s="121" t="inlineStr">
        <is>
          <t>⚠ HIGH RISK</t>
        </is>
      </c>
      <c r="V99" s="117" t="n">
        <v>0</v>
      </c>
      <c r="W99" s="117" t="n">
        <v>1</v>
      </c>
      <c r="X99" s="117" t="n">
        <v>1</v>
      </c>
      <c r="Y99" s="117" t="n">
        <v>1</v>
      </c>
      <c r="Z99" s="117" t="n">
        <v>0</v>
      </c>
      <c r="AA99" s="117" t="n">
        <v>0</v>
      </c>
      <c r="AB99" s="117" t="n">
        <v>3</v>
      </c>
      <c r="AC99" s="121" t="inlineStr">
        <is>
          <t>⚠ WATCH</t>
        </is>
      </c>
      <c r="AD99" s="118" t="n">
        <v>115398000</v>
      </c>
      <c r="AE99" s="118" t="n">
        <v>-191468000</v>
      </c>
      <c r="AF99" s="118" t="n">
        <v>54361000</v>
      </c>
      <c r="AG99" s="118" t="n">
        <v>0.11</v>
      </c>
      <c r="AH99" s="117" t="inlineStr">
        <is>
          <t>⚠ Low Quality</t>
        </is>
      </c>
      <c r="AI99" s="118" t="n">
        <v>0.203</v>
      </c>
      <c r="AJ99" s="120" t="n">
        <v>0.028</v>
      </c>
      <c r="AK99" s="120" t="n">
        <v>7.229</v>
      </c>
      <c r="AL99" s="120" t="n">
        <v>0.147</v>
      </c>
      <c r="AM99" s="120" t="n">
        <v>-0</v>
      </c>
      <c r="AN99" s="118" t="n">
        <v>69.40000000000001</v>
      </c>
      <c r="AO99" s="119" t="inlineStr">
        <is>
          <t>✓ Good</t>
        </is>
      </c>
      <c r="AP99" s="117" t="n">
        <v>0</v>
      </c>
      <c r="AQ99" s="117" t="n">
        <v>0</v>
      </c>
      <c r="AR99" s="117" t="n">
        <v>1</v>
      </c>
      <c r="AS99" s="117" t="n">
        <v>0</v>
      </c>
      <c r="AT99" s="117" t="n">
        <v>1</v>
      </c>
      <c r="AU99" s="117" t="n">
        <v>0</v>
      </c>
      <c r="AV99" s="117" t="n">
        <v>2</v>
      </c>
      <c r="AW99" s="121" t="inlineStr">
        <is>
          <t>⚠ WATCH</t>
        </is>
      </c>
      <c r="AX99" s="118" t="n">
        <v>52.6</v>
      </c>
      <c r="AY99" s="121" t="inlineStr">
        <is>
          <t>🟡 ELEVATED RISK</t>
        </is>
      </c>
      <c r="AZ99" s="118" t="n">
        <v>58.3</v>
      </c>
      <c r="BA99" s="118" t="n">
        <v>49.9</v>
      </c>
      <c r="BB99" s="118" t="n">
        <v>85</v>
      </c>
      <c r="BC99" s="118" t="n">
        <v>81.40000000000001</v>
      </c>
      <c r="BD99" s="118" t="n">
        <v>36.4</v>
      </c>
      <c r="BE99" s="118" t="n">
        <v>49.9</v>
      </c>
      <c r="BF99" s="120" t="n">
        <v>0.187</v>
      </c>
      <c r="BG99" s="117" t="n">
        <v>0.704</v>
      </c>
      <c r="BH99" s="122" t="n">
        <v>6</v>
      </c>
      <c r="BI99" s="123" t="n">
        <v>1</v>
      </c>
    </row>
    <row r="100" ht="17" customHeight="1">
      <c r="A100" s="117" t="inlineStr">
        <is>
          <t>WSM</t>
        </is>
      </c>
      <c r="B100" s="117" t="inlineStr">
        <is>
          <t>WILLIAMS-SONOMA, INC.</t>
        </is>
      </c>
      <c r="C100" s="118" t="n">
        <v>1.065</v>
      </c>
      <c r="D100" s="118" t="n">
        <v>1.007</v>
      </c>
      <c r="E100" s="118" t="n">
        <v>1.038</v>
      </c>
      <c r="F100" s="118" t="n">
        <v>1.012</v>
      </c>
      <c r="G100" s="118" t="n">
        <v>1.042</v>
      </c>
      <c r="H100" s="118" t="n">
        <v>1.004</v>
      </c>
      <c r="I100" s="118" t="n">
        <v>1.032</v>
      </c>
      <c r="J100" s="118" t="n">
        <v>-0.042</v>
      </c>
      <c r="K100" s="118" t="n">
        <v>-2.593</v>
      </c>
      <c r="L100" s="119" t="inlineStr">
        <is>
          <t>✓ Lower Risk</t>
        </is>
      </c>
      <c r="M100" s="120" t="n">
        <v>-0.023</v>
      </c>
      <c r="N100" s="120" t="n">
        <v>0.096</v>
      </c>
      <c r="O100" s="120" t="n">
        <v>1.369</v>
      </c>
      <c r="P100" s="120" t="n">
        <v>0.609</v>
      </c>
      <c r="Q100" s="120" t="n">
        <v>-0.011</v>
      </c>
      <c r="R100" s="117" t="n">
        <v>0</v>
      </c>
      <c r="S100" s="118" t="n">
        <v>-4.828</v>
      </c>
      <c r="T100" s="118" t="n">
        <v>0.008</v>
      </c>
      <c r="U100" s="119" t="inlineStr">
        <is>
          <t>✓ Normal</t>
        </is>
      </c>
      <c r="V100" s="117" t="n">
        <v>1</v>
      </c>
      <c r="W100" s="117" t="n">
        <v>1</v>
      </c>
      <c r="X100" s="117" t="n">
        <v>1</v>
      </c>
      <c r="Y100" s="117" t="n">
        <v>1</v>
      </c>
      <c r="Z100" s="117" t="n">
        <v>1</v>
      </c>
      <c r="AA100" s="117" t="n">
        <v>0</v>
      </c>
      <c r="AB100" s="117" t="n">
        <v>5</v>
      </c>
      <c r="AC100" s="121" t="inlineStr">
        <is>
          <t>⚠⚠ SERIOUS CONCERN</t>
        </is>
      </c>
      <c r="AD100" s="118" t="n">
        <v>1314889000</v>
      </c>
      <c r="AE100" s="118" t="n">
        <v>-260576000</v>
      </c>
      <c r="AF100" s="118" t="n">
        <v>1088437000</v>
      </c>
      <c r="AG100" s="118" t="n">
        <v>0.006</v>
      </c>
      <c r="AH100" s="119" t="inlineStr">
        <is>
          <t>✓ Medium Quality</t>
        </is>
      </c>
      <c r="AI100" s="118" t="n">
        <v>0.078</v>
      </c>
      <c r="AJ100" s="120" t="n">
        <v>0.012</v>
      </c>
      <c r="AK100" s="120" t="n">
        <v>6.289</v>
      </c>
      <c r="AL100" s="120" t="n">
        <v>0.168</v>
      </c>
      <c r="AM100" s="120" t="n">
        <v>0.002</v>
      </c>
      <c r="AN100" s="118" t="n">
        <v>70.09999999999999</v>
      </c>
      <c r="AO100" s="119" t="inlineStr">
        <is>
          <t>✓ Good</t>
        </is>
      </c>
      <c r="AP100" s="117" t="n">
        <v>1</v>
      </c>
      <c r="AQ100" s="117" t="n">
        <v>0</v>
      </c>
      <c r="AR100" s="117" t="n">
        <v>1</v>
      </c>
      <c r="AS100" s="117" t="n">
        <v>1</v>
      </c>
      <c r="AT100" s="117" t="n">
        <v>0</v>
      </c>
      <c r="AU100" s="117" t="n">
        <v>0</v>
      </c>
      <c r="AV100" s="117" t="n">
        <v>3</v>
      </c>
      <c r="AW100" s="121" t="inlineStr">
        <is>
          <t>⚠ WATCH</t>
        </is>
      </c>
      <c r="AX100" s="118" t="n">
        <v>28.7</v>
      </c>
      <c r="AY100" s="119" t="inlineStr">
        <is>
          <t>🟢 LOW RISK</t>
        </is>
      </c>
      <c r="AZ100" s="118" t="n">
        <v>5.9</v>
      </c>
      <c r="BA100" s="118" t="n">
        <v>5.6</v>
      </c>
      <c r="BB100" s="118" t="n">
        <v>127</v>
      </c>
      <c r="BC100" s="118" t="n">
        <v>117.8</v>
      </c>
      <c r="BD100" s="118" t="n">
        <v>55.4</v>
      </c>
      <c r="BE100" s="118" t="n">
        <v>57.1</v>
      </c>
      <c r="BF100" s="120" t="n">
        <v>0.251</v>
      </c>
      <c r="BG100" s="117" t="n">
        <v>0.609</v>
      </c>
      <c r="BH100" s="122" t="n">
        <v>8</v>
      </c>
      <c r="BI100" s="123" t="n">
        <v>1</v>
      </c>
    </row>
    <row r="101" ht="17" customHeight="1">
      <c r="A101" s="117" t="inlineStr">
        <is>
          <t>EFX</t>
        </is>
      </c>
      <c r="B101" s="117" t="inlineStr">
        <is>
          <t>EQUIFAX INC</t>
        </is>
      </c>
      <c r="C101" s="118" t="n">
        <v>0.989</v>
      </c>
      <c r="D101" s="118" t="n">
        <v>1.004</v>
      </c>
      <c r="E101" s="118" t="n">
        <v>0.993</v>
      </c>
      <c r="F101" s="118" t="n">
        <v>1.069</v>
      </c>
      <c r="G101" s="118" t="n">
        <v>0.964</v>
      </c>
      <c r="H101" s="118" t="n">
        <v>1.041</v>
      </c>
      <c r="I101" s="118" t="n">
        <v>1.033</v>
      </c>
      <c r="J101" s="118" t="n">
        <v>-0.081</v>
      </c>
      <c r="K101" s="118" t="n">
        <v>-2.828</v>
      </c>
      <c r="L101" s="119" t="inlineStr">
        <is>
          <t>✓ Lower Risk</t>
        </is>
      </c>
      <c r="M101" s="120" t="n">
        <v>-0.101</v>
      </c>
      <c r="N101" s="120" t="n">
        <v>0.14</v>
      </c>
      <c r="O101" s="124" t="inlineStr">
        <is>
          <t>N/A</t>
        </is>
      </c>
      <c r="P101" s="120" t="n">
        <v>0.822</v>
      </c>
      <c r="Q101" s="120" t="n">
        <v>0.004</v>
      </c>
      <c r="R101" s="117" t="n">
        <v>0</v>
      </c>
      <c r="S101" s="118" t="n">
        <v>-5.996</v>
      </c>
      <c r="T101" s="118" t="n">
        <v>0.002</v>
      </c>
      <c r="U101" s="119" t="inlineStr">
        <is>
          <t>✓ Normal</t>
        </is>
      </c>
      <c r="V101" s="117" t="n">
        <v>0</v>
      </c>
      <c r="W101" s="117" t="n">
        <v>0</v>
      </c>
      <c r="X101" s="117" t="n">
        <v>0</v>
      </c>
      <c r="Y101" s="117" t="n">
        <v>0</v>
      </c>
      <c r="Z101" s="117" t="n">
        <v>0</v>
      </c>
      <c r="AA101" s="117" t="n">
        <v>0</v>
      </c>
      <c r="AB101" s="117" t="n">
        <v>0</v>
      </c>
      <c r="AC101" s="119" t="inlineStr">
        <is>
          <t>✓ Clean</t>
        </is>
      </c>
      <c r="AD101" s="118" t="n">
        <v>1615700000</v>
      </c>
      <c r="AE101" s="118" t="n">
        <v>-554300000</v>
      </c>
      <c r="AF101" s="118" t="n">
        <v>660300000</v>
      </c>
      <c r="AG101" s="118" t="n">
        <v>-0.034</v>
      </c>
      <c r="AH101" s="119" t="inlineStr">
        <is>
          <t>✓ Medium Quality</t>
        </is>
      </c>
      <c r="AI101" s="118" t="n">
        <v>0.058</v>
      </c>
      <c r="AJ101" s="120" t="n">
        <v>0.06900000000000001</v>
      </c>
      <c r="AK101" s="120" t="n">
        <v>0.831</v>
      </c>
      <c r="AL101" s="120" t="n">
        <v>0.266</v>
      </c>
      <c r="AM101" s="120" t="n">
        <v>-0</v>
      </c>
      <c r="AN101" s="117" t="n">
        <v>100</v>
      </c>
      <c r="AO101" s="119" t="inlineStr">
        <is>
          <t>✓ Good</t>
        </is>
      </c>
      <c r="AP101" s="117" t="n">
        <v>0</v>
      </c>
      <c r="AQ101" s="117" t="n">
        <v>0</v>
      </c>
      <c r="AR101" s="117" t="n">
        <v>1</v>
      </c>
      <c r="AS101" s="117" t="n">
        <v>1</v>
      </c>
      <c r="AT101" s="117" t="n">
        <v>0</v>
      </c>
      <c r="AU101" s="117" t="n">
        <v>0</v>
      </c>
      <c r="AV101" s="117" t="n">
        <v>2</v>
      </c>
      <c r="AW101" s="121" t="inlineStr">
        <is>
          <t>⚠ WATCH</t>
        </is>
      </c>
      <c r="AX101" s="118" t="n">
        <v>8.800000000000001</v>
      </c>
      <c r="AY101" s="119" t="inlineStr">
        <is>
          <t>🟢 VERY LOW RISK</t>
        </is>
      </c>
      <c r="AZ101" s="118" t="n">
        <v>60.9</v>
      </c>
      <c r="BA101" s="118" t="n">
        <v>61.5</v>
      </c>
      <c r="BB101" s="124" t="inlineStr">
        <is>
          <t>N/A</t>
        </is>
      </c>
      <c r="BC101" s="124" t="inlineStr">
        <is>
          <t>N/A</t>
        </is>
      </c>
      <c r="BD101" s="118" t="n">
        <v>62.2</v>
      </c>
      <c r="BE101" s="118" t="n">
        <v>45.3</v>
      </c>
      <c r="BF101" s="120" t="n">
        <v>0.258</v>
      </c>
      <c r="BG101" s="117" t="n">
        <v>0.822</v>
      </c>
      <c r="BH101" s="122" t="n">
        <v>2</v>
      </c>
      <c r="BI101" s="123" t="n">
        <v>1</v>
      </c>
    </row>
    <row r="102" ht="17" customHeight="1">
      <c r="A102" s="117" t="inlineStr">
        <is>
          <t>AEP</t>
        </is>
      </c>
      <c r="B102" s="117" t="inlineStr">
        <is>
          <t>American Electric Power Company, Inc.</t>
        </is>
      </c>
      <c r="C102" s="118" t="n">
        <v>0.982</v>
      </c>
      <c r="D102" s="118" t="n">
        <v>0.613</v>
      </c>
      <c r="E102" s="118" t="n">
        <v>1.004</v>
      </c>
      <c r="F102" s="118" t="n">
        <v>1.109</v>
      </c>
      <c r="G102" s="118" t="n">
        <v>1.001</v>
      </c>
      <c r="H102" s="124" t="inlineStr">
        <is>
          <t>N/A</t>
        </is>
      </c>
      <c r="I102" s="118" t="n">
        <v>0.973</v>
      </c>
      <c r="J102" s="118" t="n">
        <v>-0.048</v>
      </c>
      <c r="K102" s="118" t="n">
        <v>-2.644</v>
      </c>
      <c r="L102" s="119" t="inlineStr">
        <is>
          <t>✓ Lower Risk</t>
        </is>
      </c>
      <c r="M102" s="120" t="n">
        <v>-0.015</v>
      </c>
      <c r="N102" s="120" t="n">
        <v>0.109</v>
      </c>
      <c r="O102" s="124" t="inlineStr">
        <is>
          <t>N/A</t>
        </is>
      </c>
      <c r="P102" s="120" t="n">
        <v>0.992</v>
      </c>
      <c r="Q102" s="120" t="n">
        <v>0.001</v>
      </c>
      <c r="R102" s="117" t="n">
        <v>1</v>
      </c>
      <c r="S102" s="118" t="n">
        <v>-2.593</v>
      </c>
      <c r="T102" s="118" t="n">
        <v>0.07000000000000001</v>
      </c>
      <c r="U102" s="121" t="inlineStr">
        <is>
          <t>⚠ HIGH RISK</t>
        </is>
      </c>
      <c r="V102" s="117" t="n">
        <v>1</v>
      </c>
      <c r="W102" s="117" t="n">
        <v>0</v>
      </c>
      <c r="X102" s="117" t="n">
        <v>0</v>
      </c>
      <c r="Y102" s="117" t="n">
        <v>0</v>
      </c>
      <c r="Z102" s="117" t="n">
        <v>1</v>
      </c>
      <c r="AA102" s="117" t="n">
        <v>1</v>
      </c>
      <c r="AB102" s="117" t="n">
        <v>3</v>
      </c>
      <c r="AC102" s="121" t="inlineStr">
        <is>
          <t>⚠ WATCH</t>
        </is>
      </c>
      <c r="AD102" s="118" t="n">
        <v>6944000000</v>
      </c>
      <c r="AE102" s="118" t="n">
        <v>-11939000000</v>
      </c>
      <c r="AF102" s="118" t="n">
        <v>1480000000</v>
      </c>
      <c r="AG102" s="118" t="n">
        <v>0.06</v>
      </c>
      <c r="AH102" s="119" t="inlineStr">
        <is>
          <t>✓ Medium Quality</t>
        </is>
      </c>
      <c r="AI102" s="118" t="n">
        <v>0.089</v>
      </c>
      <c r="AJ102" s="120" t="n">
        <v>0.109</v>
      </c>
      <c r="AK102" s="120" t="n">
        <v>0.8179999999999999</v>
      </c>
      <c r="AL102" s="120" t="n">
        <v>0.317</v>
      </c>
      <c r="AM102" s="120" t="n">
        <v>-0.02</v>
      </c>
      <c r="AN102" s="118" t="n">
        <v>99</v>
      </c>
      <c r="AO102" s="119" t="inlineStr">
        <is>
          <t>✓ Good</t>
        </is>
      </c>
      <c r="AP102" s="117" t="n">
        <v>0</v>
      </c>
      <c r="AQ102" s="117" t="n">
        <v>0</v>
      </c>
      <c r="AR102" s="117" t="n">
        <v>0</v>
      </c>
      <c r="AS102" s="117" t="n">
        <v>0</v>
      </c>
      <c r="AT102" s="117" t="n">
        <v>0</v>
      </c>
      <c r="AU102" s="117" t="n">
        <v>0</v>
      </c>
      <c r="AV102" s="117" t="n">
        <v>0</v>
      </c>
      <c r="AW102" s="119" t="inlineStr">
        <is>
          <t>✓ Clean</t>
        </is>
      </c>
      <c r="AX102" s="118" t="n">
        <v>28.3</v>
      </c>
      <c r="AY102" s="119" t="inlineStr">
        <is>
          <t>🟢 LOW RISK</t>
        </is>
      </c>
      <c r="AZ102" s="118" t="n">
        <v>47.8</v>
      </c>
      <c r="BA102" s="118" t="n">
        <v>48.7</v>
      </c>
      <c r="BB102" s="124" t="inlineStr">
        <is>
          <t>N/A</t>
        </is>
      </c>
      <c r="BC102" s="124" t="inlineStr">
        <is>
          <t>N/A</t>
        </is>
      </c>
      <c r="BD102" s="118" t="n">
        <v>81.09999999999999</v>
      </c>
      <c r="BE102" s="118" t="n">
        <v>59.6</v>
      </c>
      <c r="BF102" s="120" t="n">
        <v>0.034</v>
      </c>
      <c r="BG102" s="117" t="n">
        <v>0.992</v>
      </c>
      <c r="BH102" s="122" t="n">
        <v>4</v>
      </c>
      <c r="BI102" s="123" t="n">
        <v>1</v>
      </c>
    </row>
    <row r="103" ht="17" customHeight="1">
      <c r="A103" s="117" t="inlineStr">
        <is>
          <t>NET</t>
        </is>
      </c>
      <c r="B103" s="117" t="inlineStr">
        <is>
          <t>CLOUDFLARE, INC.</t>
        </is>
      </c>
      <c r="C103" s="118" t="n">
        <v>0.93</v>
      </c>
      <c r="D103" s="118" t="n">
        <v>1.038</v>
      </c>
      <c r="E103" s="118" t="n">
        <v>0.748</v>
      </c>
      <c r="F103" s="118" t="n">
        <v>1.298</v>
      </c>
      <c r="G103" s="118" t="n">
        <v>0.914</v>
      </c>
      <c r="H103" s="118" t="n">
        <v>1.076</v>
      </c>
      <c r="I103" s="118" t="n">
        <v>1.11</v>
      </c>
      <c r="J103" s="118" t="n">
        <v>-0.117</v>
      </c>
      <c r="K103" s="118" t="n">
        <v>-2.966</v>
      </c>
      <c r="L103" s="119" t="inlineStr">
        <is>
          <t>✓ Lower Risk</t>
        </is>
      </c>
      <c r="M103" s="120" t="n">
        <v>-0.028</v>
      </c>
      <c r="N103" s="120" t="n">
        <v>0.132</v>
      </c>
      <c r="O103" s="124" t="inlineStr">
        <is>
          <t>N/A</t>
        </is>
      </c>
      <c r="P103" s="120" t="n">
        <v>0.741</v>
      </c>
      <c r="Q103" s="120" t="n">
        <v>0.007</v>
      </c>
      <c r="R103" s="117" t="n">
        <v>0</v>
      </c>
      <c r="S103" s="118" t="n">
        <v>-6.119</v>
      </c>
      <c r="T103" s="118" t="n">
        <v>0.002</v>
      </c>
      <c r="U103" s="119" t="inlineStr">
        <is>
          <t>✓ Normal</t>
        </is>
      </c>
      <c r="V103" s="117" t="n">
        <v>0</v>
      </c>
      <c r="W103" s="117" t="n">
        <v>0</v>
      </c>
      <c r="X103" s="117" t="n">
        <v>0</v>
      </c>
      <c r="Y103" s="117" t="n">
        <v>1</v>
      </c>
      <c r="Z103" s="117" t="n">
        <v>1</v>
      </c>
      <c r="AA103" s="117" t="n">
        <v>1</v>
      </c>
      <c r="AB103" s="117" t="n">
        <v>3</v>
      </c>
      <c r="AC103" s="121" t="inlineStr">
        <is>
          <t>⚠ WATCH</t>
        </is>
      </c>
      <c r="AD103" s="118" t="n">
        <v>603114000</v>
      </c>
      <c r="AE103" s="118" t="n">
        <v>-1806700000</v>
      </c>
      <c r="AF103" s="118" t="n">
        <v>-102267000</v>
      </c>
      <c r="AG103" s="118" t="n">
        <v>0.236</v>
      </c>
      <c r="AH103" s="117" t="inlineStr">
        <is>
          <t>⚠ Low Quality</t>
        </is>
      </c>
      <c r="AI103" s="118" t="n">
        <v>0.208</v>
      </c>
      <c r="AJ103" s="120" t="n">
        <v>0.298</v>
      </c>
      <c r="AK103" s="120" t="n">
        <v>0.695</v>
      </c>
      <c r="AL103" s="120" t="n">
        <v>0.278</v>
      </c>
      <c r="AM103" s="120" t="n">
        <v>0.095</v>
      </c>
      <c r="AN103" s="117" t="n">
        <v>100</v>
      </c>
      <c r="AO103" s="119" t="inlineStr">
        <is>
          <t>✓ Good</t>
        </is>
      </c>
      <c r="AP103" s="117" t="n">
        <v>0</v>
      </c>
      <c r="AQ103" s="117" t="n">
        <v>0</v>
      </c>
      <c r="AR103" s="117" t="n">
        <v>1</v>
      </c>
      <c r="AS103" s="117" t="n">
        <v>1</v>
      </c>
      <c r="AT103" s="117" t="n">
        <v>1</v>
      </c>
      <c r="AU103" s="117" t="n">
        <v>0</v>
      </c>
      <c r="AV103" s="117" t="n">
        <v>3</v>
      </c>
      <c r="AW103" s="121" t="inlineStr">
        <is>
          <t>⚠ WATCH</t>
        </is>
      </c>
      <c r="AX103" s="118" t="n">
        <v>23.2</v>
      </c>
      <c r="AY103" s="119" t="inlineStr">
        <is>
          <t>🟢 LOW RISK</t>
        </is>
      </c>
      <c r="AZ103" s="118" t="n">
        <v>64.40000000000001</v>
      </c>
      <c r="BA103" s="118" t="n">
        <v>69.2</v>
      </c>
      <c r="BB103" s="124" t="inlineStr">
        <is>
          <t>N/A</t>
        </is>
      </c>
      <c r="BC103" s="124" t="inlineStr">
        <is>
          <t>N/A</t>
        </is>
      </c>
      <c r="BD103" s="118" t="n">
        <v>55.6</v>
      </c>
      <c r="BE103" s="118" t="n">
        <v>102</v>
      </c>
      <c r="BF103" s="120" t="n">
        <v>-0.103</v>
      </c>
      <c r="BG103" s="117" t="n">
        <v>0.741</v>
      </c>
      <c r="BH103" s="122" t="n">
        <v>6</v>
      </c>
      <c r="BI103" s="123" t="n">
        <v>1</v>
      </c>
    </row>
    <row r="104" ht="17" customHeight="1">
      <c r="A104" s="117" t="inlineStr">
        <is>
          <t>MO</t>
        </is>
      </c>
      <c r="B104" s="117" t="inlineStr">
        <is>
          <t>ALTRIA GROUP, INC.</t>
        </is>
      </c>
      <c r="C104" s="118" t="n">
        <v>1.533</v>
      </c>
      <c r="D104" s="118" t="n">
        <v>0.958</v>
      </c>
      <c r="E104" s="118" t="n">
        <v>0.947</v>
      </c>
      <c r="F104" s="118" t="n">
        <v>0.969</v>
      </c>
      <c r="G104" s="118" t="n">
        <v>1.116</v>
      </c>
      <c r="H104" s="124" t="inlineStr">
        <is>
          <t>N/A</t>
        </is>
      </c>
      <c r="I104" s="118" t="n">
        <v>1.034</v>
      </c>
      <c r="J104" s="118" t="n">
        <v>-0.067</v>
      </c>
      <c r="K104" s="118" t="n">
        <v>-2.2</v>
      </c>
      <c r="L104" s="121" t="inlineStr">
        <is>
          <t>⚠ MANIPULATOR RISK</t>
        </is>
      </c>
      <c r="M104" s="120" t="n">
        <v>-0.016</v>
      </c>
      <c r="N104" s="120" t="n">
        <v>0.116</v>
      </c>
      <c r="O104" s="120" t="n">
        <v>-0.014</v>
      </c>
      <c r="P104" s="120" t="n">
        <v>0.823</v>
      </c>
      <c r="Q104" s="120" t="n">
        <v>-0.122</v>
      </c>
      <c r="R104" s="117" t="n">
        <v>0</v>
      </c>
      <c r="S104" s="118" t="n">
        <v>-5.946</v>
      </c>
      <c r="T104" s="118" t="n">
        <v>0.003</v>
      </c>
      <c r="U104" s="119" t="inlineStr">
        <is>
          <t>✓ Normal</t>
        </is>
      </c>
      <c r="V104" s="117" t="n">
        <v>0</v>
      </c>
      <c r="W104" s="117" t="n">
        <v>1</v>
      </c>
      <c r="X104" s="117" t="n">
        <v>1</v>
      </c>
      <c r="Y104" s="117" t="n">
        <v>0</v>
      </c>
      <c r="Z104" s="117" t="n">
        <v>1</v>
      </c>
      <c r="AA104" s="117" t="n">
        <v>0</v>
      </c>
      <c r="AB104" s="117" t="n">
        <v>3</v>
      </c>
      <c r="AC104" s="121" t="inlineStr">
        <is>
          <t>⚠ WATCH</t>
        </is>
      </c>
      <c r="AD104" s="118" t="n">
        <v>9290000000</v>
      </c>
      <c r="AE104" s="118" t="n">
        <v>-341000000</v>
      </c>
      <c r="AF104" s="118" t="n">
        <v>6947000000</v>
      </c>
      <c r="AG104" s="118" t="n">
        <v>-0.057</v>
      </c>
      <c r="AH104" s="119" t="inlineStr">
        <is>
          <t>✓ Medium Quality</t>
        </is>
      </c>
      <c r="AI104" s="118" t="n">
        <v>0.486</v>
      </c>
      <c r="AJ104" s="120" t="n">
        <v>-0.031</v>
      </c>
      <c r="AK104" s="120" t="n">
        <v>-15.791</v>
      </c>
      <c r="AL104" s="120" t="n">
        <v>0.399</v>
      </c>
      <c r="AM104" s="120" t="n">
        <v>0.001</v>
      </c>
      <c r="AN104" s="117" t="n">
        <v>100</v>
      </c>
      <c r="AO104" s="119" t="inlineStr">
        <is>
          <t>✓ Good</t>
        </is>
      </c>
      <c r="AP104" s="117" t="n">
        <v>1</v>
      </c>
      <c r="AQ104" s="117" t="n">
        <v>1</v>
      </c>
      <c r="AR104" s="117" t="n">
        <v>0</v>
      </c>
      <c r="AS104" s="117" t="n">
        <v>0</v>
      </c>
      <c r="AT104" s="117" t="n">
        <v>0</v>
      </c>
      <c r="AU104" s="117" t="n">
        <v>0</v>
      </c>
      <c r="AV104" s="117" t="n">
        <v>2</v>
      </c>
      <c r="AW104" s="121" t="inlineStr">
        <is>
          <t>⚠ WATCH</t>
        </is>
      </c>
      <c r="AX104" s="118" t="n">
        <v>21.1</v>
      </c>
      <c r="AY104" s="119" t="inlineStr">
        <is>
          <t>🟢 LOW RISK</t>
        </is>
      </c>
      <c r="AZ104" s="118" t="n">
        <v>4.1</v>
      </c>
      <c r="BA104" s="118" t="n">
        <v>2.7</v>
      </c>
      <c r="BB104" s="118" t="n">
        <v>69.8</v>
      </c>
      <c r="BC104" s="118" t="n">
        <v>64.90000000000001</v>
      </c>
      <c r="BD104" s="118" t="n">
        <v>48.9</v>
      </c>
      <c r="BE104" s="118" t="n">
        <v>42</v>
      </c>
      <c r="BF104" s="120" t="n">
        <v>0.26</v>
      </c>
      <c r="BG104" s="117" t="n">
        <v>0.823</v>
      </c>
      <c r="BH104" s="122" t="n">
        <v>5</v>
      </c>
      <c r="BI104" s="123" t="n">
        <v>1</v>
      </c>
    </row>
    <row r="105" ht="17" customHeight="1">
      <c r="A105" s="117" t="inlineStr">
        <is>
          <t>EQIX</t>
        </is>
      </c>
      <c r="B105" s="117" t="inlineStr">
        <is>
          <t>EQUINIX INC</t>
        </is>
      </c>
      <c r="C105" s="118" t="n">
        <v>0.275</v>
      </c>
      <c r="D105" s="118" t="n">
        <v>3.931</v>
      </c>
      <c r="E105" s="118" t="n">
        <v>0.962</v>
      </c>
      <c r="F105" s="118" t="n">
        <v>3.835</v>
      </c>
      <c r="G105" s="118" t="n">
        <v>1.182</v>
      </c>
      <c r="H105" s="118" t="n">
        <v>0.272</v>
      </c>
      <c r="I105" s="118" t="n">
        <v>1.054</v>
      </c>
      <c r="J105" s="118" t="n">
        <v>-0.064</v>
      </c>
      <c r="K105" s="118" t="n">
        <v>0.744</v>
      </c>
      <c r="L105" s="121" t="inlineStr">
        <is>
          <t>⚠ MANIPULATOR RISK</t>
        </is>
      </c>
      <c r="M105" s="120" t="n">
        <v>-0.039</v>
      </c>
      <c r="N105" s="120" t="n">
        <v>0.012</v>
      </c>
      <c r="O105" s="124" t="inlineStr">
        <is>
          <t>N/A</t>
        </is>
      </c>
      <c r="P105" s="120" t="n">
        <v>0.369</v>
      </c>
      <c r="Q105" s="120" t="n">
        <v>0.01</v>
      </c>
      <c r="R105" s="117" t="n">
        <v>1</v>
      </c>
      <c r="S105" s="118" t="n">
        <v>-4.094</v>
      </c>
      <c r="T105" s="118" t="n">
        <v>0.016</v>
      </c>
      <c r="U105" s="119" t="inlineStr">
        <is>
          <t>✓ Normal</t>
        </is>
      </c>
      <c r="V105" s="117" t="n">
        <v>1</v>
      </c>
      <c r="W105" s="117" t="n">
        <v>0</v>
      </c>
      <c r="X105" s="117" t="n">
        <v>0</v>
      </c>
      <c r="Y105" s="117" t="n">
        <v>1</v>
      </c>
      <c r="Z105" s="117" t="n">
        <v>1</v>
      </c>
      <c r="AA105" s="117" t="n">
        <v>1</v>
      </c>
      <c r="AB105" s="117" t="n">
        <v>4</v>
      </c>
      <c r="AC105" s="121" t="inlineStr">
        <is>
          <t>⚠⚠ SERIOUS CONCERN</t>
        </is>
      </c>
      <c r="AD105" s="118" t="n">
        <v>3911000000</v>
      </c>
      <c r="AE105" s="118" t="n">
        <v>-6484000000</v>
      </c>
      <c r="AF105" s="118" t="n">
        <v>1350000000</v>
      </c>
      <c r="AG105" s="118" t="n">
        <v>0.104</v>
      </c>
      <c r="AH105" s="117" t="inlineStr">
        <is>
          <t>⚠ Low Quality</t>
        </is>
      </c>
      <c r="AI105" s="118" t="n">
        <v>0.055</v>
      </c>
      <c r="AJ105" s="120" t="n">
        <v>2.835</v>
      </c>
      <c r="AK105" s="120" t="n">
        <v>0.019</v>
      </c>
      <c r="AL105" s="120" t="n">
        <v>0.652</v>
      </c>
      <c r="AM105" s="120" t="n">
        <v>-0.001</v>
      </c>
      <c r="AN105" s="117" t="n">
        <v>100</v>
      </c>
      <c r="AO105" s="119" t="inlineStr">
        <is>
          <t>✓ Good</t>
        </is>
      </c>
      <c r="AP105" s="117" t="n">
        <v>0</v>
      </c>
      <c r="AQ105" s="117" t="n">
        <v>0</v>
      </c>
      <c r="AR105" s="117" t="n">
        <v>1</v>
      </c>
      <c r="AS105" s="117" t="n">
        <v>0</v>
      </c>
      <c r="AT105" s="117" t="n">
        <v>0</v>
      </c>
      <c r="AU105" s="117" t="n">
        <v>1</v>
      </c>
      <c r="AV105" s="117" t="n">
        <v>2</v>
      </c>
      <c r="AW105" s="121" t="inlineStr">
        <is>
          <t>⚠ WATCH</t>
        </is>
      </c>
      <c r="AX105" s="118" t="n">
        <v>36.3</v>
      </c>
      <c r="AY105" s="119" t="inlineStr">
        <is>
          <t>🟢 LOW RISK</t>
        </is>
      </c>
      <c r="AZ105" s="118" t="n">
        <v>60.9</v>
      </c>
      <c r="BA105" s="118" t="n">
        <v>221.5</v>
      </c>
      <c r="BB105" s="124" t="inlineStr">
        <is>
          <t>N/A</t>
        </is>
      </c>
      <c r="BC105" s="124" t="inlineStr">
        <is>
          <t>N/A</t>
        </is>
      </c>
      <c r="BD105" s="118" t="n">
        <v>10.3</v>
      </c>
      <c r="BE105" s="118" t="n">
        <v>10.9</v>
      </c>
      <c r="BF105" s="120" t="n">
        <v>0.106</v>
      </c>
      <c r="BG105" s="117" t="n">
        <v>0.369</v>
      </c>
      <c r="BH105" s="122" t="n">
        <v>7</v>
      </c>
      <c r="BI105" s="123" t="n">
        <v>1</v>
      </c>
    </row>
    <row r="106" ht="17" customHeight="1">
      <c r="A106" s="117" t="inlineStr">
        <is>
          <t>ANF</t>
        </is>
      </c>
      <c r="B106" s="117" t="inlineStr">
        <is>
          <t>Abercrombie &amp; Fitch Co.</t>
        </is>
      </c>
      <c r="C106" s="118" t="n">
        <v>1.309</v>
      </c>
      <c r="D106" s="118" t="n">
        <v>0.832</v>
      </c>
      <c r="E106" s="118" t="n">
        <v>1.079</v>
      </c>
      <c r="F106" s="118" t="n">
        <v>1.064</v>
      </c>
      <c r="G106" s="118" t="n">
        <v>1.127</v>
      </c>
      <c r="H106" s="118" t="n">
        <v>0.908</v>
      </c>
      <c r="I106" s="118" t="n">
        <v>1</v>
      </c>
      <c r="J106" s="118" t="n">
        <v>-0.032</v>
      </c>
      <c r="K106" s="118" t="n">
        <v>-2.313</v>
      </c>
      <c r="L106" s="119" t="inlineStr">
        <is>
          <t>✓ Lower Risk</t>
        </is>
      </c>
      <c r="M106" s="120" t="n">
        <v>-0.041</v>
      </c>
      <c r="N106" s="120" t="n">
        <v>0.13</v>
      </c>
      <c r="O106" s="120" t="n">
        <v>0.083</v>
      </c>
      <c r="P106" s="120" t="n">
        <v>0.595</v>
      </c>
      <c r="Q106" s="120" t="n">
        <v>-0.028</v>
      </c>
      <c r="R106" s="117" t="n">
        <v>0</v>
      </c>
      <c r="S106" s="118" t="n">
        <v>-6.308</v>
      </c>
      <c r="T106" s="118" t="n">
        <v>0.002</v>
      </c>
      <c r="U106" s="119" t="inlineStr">
        <is>
          <t>✓ Normal</t>
        </is>
      </c>
      <c r="V106" s="117" t="n">
        <v>1</v>
      </c>
      <c r="W106" s="117" t="n">
        <v>1</v>
      </c>
      <c r="X106" s="117" t="n">
        <v>0</v>
      </c>
      <c r="Y106" s="117" t="n">
        <v>1</v>
      </c>
      <c r="Z106" s="117" t="n">
        <v>1</v>
      </c>
      <c r="AA106" s="117" t="n">
        <v>0</v>
      </c>
      <c r="AB106" s="117" t="n">
        <v>4</v>
      </c>
      <c r="AC106" s="121" t="inlineStr">
        <is>
          <t>⚠⚠ SERIOUS CONCERN</t>
        </is>
      </c>
      <c r="AD106" s="118" t="n">
        <v>619142000</v>
      </c>
      <c r="AE106" s="118" t="n">
        <v>-150774000</v>
      </c>
      <c r="AF106" s="118" t="n">
        <v>506921000</v>
      </c>
      <c r="AG106" s="118" t="n">
        <v>0.011</v>
      </c>
      <c r="AH106" s="119" t="inlineStr">
        <is>
          <t>✓ Medium Quality</t>
        </is>
      </c>
      <c r="AI106" s="118" t="n">
        <v>0.393</v>
      </c>
      <c r="AJ106" s="120" t="n">
        <v>0.064</v>
      </c>
      <c r="AK106" s="120" t="n">
        <v>6.127</v>
      </c>
      <c r="AL106" s="120" t="n">
        <v>0.118</v>
      </c>
      <c r="AM106" s="124" t="inlineStr">
        <is>
          <t>N/A</t>
        </is>
      </c>
      <c r="AN106" s="118" t="n">
        <v>63.5</v>
      </c>
      <c r="AO106" s="121" t="inlineStr">
        <is>
          <t>⚠ WATCH</t>
        </is>
      </c>
      <c r="AP106" s="117" t="n">
        <v>0</v>
      </c>
      <c r="AQ106" s="117" t="n">
        <v>0</v>
      </c>
      <c r="AR106" s="117" t="n">
        <v>0</v>
      </c>
      <c r="AS106" s="117" t="n">
        <v>0</v>
      </c>
      <c r="AT106" s="117" t="n">
        <v>0</v>
      </c>
      <c r="AU106" s="117" t="n">
        <v>0</v>
      </c>
      <c r="AV106" s="117" t="n">
        <v>0</v>
      </c>
      <c r="AW106" s="119" t="inlineStr">
        <is>
          <t>✓ Clean</t>
        </is>
      </c>
      <c r="AX106" s="118" t="n">
        <v>23.2</v>
      </c>
      <c r="AY106" s="119" t="inlineStr">
        <is>
          <t>🟢 LOW RISK</t>
        </is>
      </c>
      <c r="AZ106" s="118" t="n">
        <v>10.2</v>
      </c>
      <c r="BA106" s="118" t="n">
        <v>7.8</v>
      </c>
      <c r="BB106" s="118" t="n">
        <v>155.8</v>
      </c>
      <c r="BC106" s="118" t="n">
        <v>161.7</v>
      </c>
      <c r="BD106" s="118" t="n">
        <v>97.8</v>
      </c>
      <c r="BE106" s="118" t="n">
        <v>102.5</v>
      </c>
      <c r="BF106" s="120" t="n">
        <v>0.285</v>
      </c>
      <c r="BG106" s="117" t="n">
        <v>0.595</v>
      </c>
      <c r="BH106" s="122" t="n">
        <v>4</v>
      </c>
      <c r="BI106" s="123" t="n">
        <v>1</v>
      </c>
    </row>
    <row r="107" ht="17" customHeight="1">
      <c r="A107" s="117" t="inlineStr">
        <is>
          <t>CFG</t>
        </is>
      </c>
      <c r="B107" s="117" t="inlineStr">
        <is>
          <t>CITIZENS FINANCIAL GROUP INC/RI</t>
        </is>
      </c>
      <c r="C107" s="124" t="inlineStr">
        <is>
          <t>N/A</t>
        </is>
      </c>
      <c r="D107" s="124" t="inlineStr">
        <is>
          <t>N/A</t>
        </is>
      </c>
      <c r="E107" s="118" t="n">
        <v>1</v>
      </c>
      <c r="F107" s="118" t="n">
        <v>1.056</v>
      </c>
      <c r="G107" s="118" t="n">
        <v>1.054</v>
      </c>
      <c r="H107" s="124" t="inlineStr">
        <is>
          <t>N/A</t>
        </is>
      </c>
      <c r="I107" s="118" t="n">
        <v>0.995</v>
      </c>
      <c r="J107" s="118" t="n">
        <v>-0.002</v>
      </c>
      <c r="K107" s="124" t="inlineStr">
        <is>
          <t>N/A</t>
        </is>
      </c>
      <c r="L107" s="124" t="inlineStr">
        <is>
          <t>N/A</t>
        </is>
      </c>
      <c r="M107" s="124" t="inlineStr">
        <is>
          <t>N/A</t>
        </is>
      </c>
      <c r="N107" s="124" t="inlineStr">
        <is>
          <t>N/A</t>
        </is>
      </c>
      <c r="O107" s="124" t="inlineStr">
        <is>
          <t>N/A</t>
        </is>
      </c>
      <c r="P107" s="120" t="n">
        <v>0.978</v>
      </c>
      <c r="Q107" s="120" t="n">
        <v>0.001</v>
      </c>
      <c r="R107" s="117" t="n">
        <v>0</v>
      </c>
      <c r="S107" s="124" t="inlineStr">
        <is>
          <t>N/A</t>
        </is>
      </c>
      <c r="T107" s="124" t="inlineStr">
        <is>
          <t>N/A</t>
        </is>
      </c>
      <c r="U107" s="124" t="inlineStr">
        <is>
          <t>N/A</t>
        </is>
      </c>
      <c r="V107" s="117" t="n">
        <v>1</v>
      </c>
      <c r="W107" s="117" t="n">
        <v>0</v>
      </c>
      <c r="X107" s="117" t="n">
        <v>0</v>
      </c>
      <c r="Y107" s="117" t="n">
        <v>0</v>
      </c>
      <c r="Z107" s="117" t="n">
        <v>1</v>
      </c>
      <c r="AA107" s="117" t="n">
        <v>0</v>
      </c>
      <c r="AB107" s="117" t="n">
        <v>2</v>
      </c>
      <c r="AC107" s="121" t="inlineStr">
        <is>
          <t>⚠ WATCH</t>
        </is>
      </c>
      <c r="AD107" s="118" t="n">
        <v>2211000000</v>
      </c>
      <c r="AE107" s="118" t="n">
        <v>-5967000000</v>
      </c>
      <c r="AF107" s="118" t="n">
        <v>1831000000</v>
      </c>
      <c r="AG107" s="118" t="n">
        <v>0.025</v>
      </c>
      <c r="AH107" s="119" t="inlineStr">
        <is>
          <t>✓ Medium Quality</t>
        </is>
      </c>
      <c r="AI107" s="124" t="inlineStr">
        <is>
          <t>N/A</t>
        </is>
      </c>
      <c r="AJ107" s="120" t="n">
        <v>0.056</v>
      </c>
      <c r="AK107" s="124" t="inlineStr">
        <is>
          <t>N/A</t>
        </is>
      </c>
      <c r="AL107" s="120" t="n">
        <v>0.268</v>
      </c>
      <c r="AM107" s="124" t="inlineStr">
        <is>
          <t>N/A</t>
        </is>
      </c>
      <c r="AN107" s="117" t="n">
        <v>100</v>
      </c>
      <c r="AO107" s="119" t="inlineStr">
        <is>
          <t>✓ Good</t>
        </is>
      </c>
      <c r="AP107" s="117" t="n">
        <v>0</v>
      </c>
      <c r="AQ107" s="117" t="n">
        <v>0</v>
      </c>
      <c r="AR107" s="117" t="n">
        <v>0</v>
      </c>
      <c r="AS107" s="117" t="n">
        <v>0</v>
      </c>
      <c r="AT107" s="117" t="n">
        <v>0</v>
      </c>
      <c r="AU107" s="117" t="n">
        <v>0</v>
      </c>
      <c r="AV107" s="117" t="n">
        <v>0</v>
      </c>
      <c r="AW107" s="119" t="inlineStr">
        <is>
          <t>✓ Clean</t>
        </is>
      </c>
      <c r="AX107" s="118" t="n">
        <v>29.2</v>
      </c>
      <c r="AY107" s="119" t="inlineStr">
        <is>
          <t>🟢 LOW RISK</t>
        </is>
      </c>
      <c r="AZ107" s="118" t="n">
        <v>0</v>
      </c>
      <c r="BA107" s="124" t="inlineStr">
        <is>
          <t>N/A</t>
        </is>
      </c>
      <c r="BB107" s="124" t="inlineStr">
        <is>
          <t>N/A</t>
        </is>
      </c>
      <c r="BC107" s="124" t="inlineStr">
        <is>
          <t>N/A</t>
        </is>
      </c>
      <c r="BD107" s="124" t="inlineStr">
        <is>
          <t>N/A</t>
        </is>
      </c>
      <c r="BE107" s="124" t="inlineStr">
        <is>
          <t>N/A</t>
        </is>
      </c>
      <c r="BF107" s="120" t="n">
        <v>0.213</v>
      </c>
      <c r="BG107" s="117" t="n">
        <v>0.978</v>
      </c>
      <c r="BH107" s="122" t="n">
        <v>2</v>
      </c>
      <c r="BI107" s="125" t="n">
        <v>0.6666666666666666</v>
      </c>
    </row>
    <row r="108" ht="17" customHeight="1">
      <c r="A108" s="117" t="inlineStr">
        <is>
          <t>IMCR</t>
        </is>
      </c>
      <c r="B108" s="117" t="inlineStr">
        <is>
          <t>Immunocore Holdings plc</t>
        </is>
      </c>
      <c r="C108" s="118" t="n">
        <v>0.846</v>
      </c>
      <c r="D108" s="118" t="n">
        <v>1.005</v>
      </c>
      <c r="E108" s="118" t="n">
        <v>0.803</v>
      </c>
      <c r="F108" s="118" t="n">
        <v>1.431</v>
      </c>
      <c r="G108" s="118" t="n">
        <v>1.38</v>
      </c>
      <c r="H108" s="118" t="n">
        <v>0.742</v>
      </c>
      <c r="I108" s="118" t="n">
        <v>1</v>
      </c>
      <c r="J108" s="118" t="n">
        <v>-0.023</v>
      </c>
      <c r="K108" s="118" t="n">
        <v>-2.336</v>
      </c>
      <c r="L108" s="119" t="inlineStr">
        <is>
          <t>✓ Lower Risk</t>
        </is>
      </c>
      <c r="M108" s="120" t="n">
        <v>0.016</v>
      </c>
      <c r="N108" s="120" t="n">
        <v>0.145</v>
      </c>
      <c r="O108" s="120" t="n">
        <v>0.017</v>
      </c>
      <c r="P108" s="120" t="n">
        <v>0.551</v>
      </c>
      <c r="Q108" s="120" t="n">
        <v>0.017</v>
      </c>
      <c r="R108" s="117" t="n">
        <v>1</v>
      </c>
      <c r="S108" s="118" t="n">
        <v>-3.337</v>
      </c>
      <c r="T108" s="118" t="n">
        <v>0.034</v>
      </c>
      <c r="U108" s="119" t="inlineStr">
        <is>
          <t>✓ Normal</t>
        </is>
      </c>
      <c r="V108" s="117" t="n">
        <v>1</v>
      </c>
      <c r="W108" s="117" t="n">
        <v>0</v>
      </c>
      <c r="X108" s="117" t="n">
        <v>0</v>
      </c>
      <c r="Y108" s="117" t="n">
        <v>1</v>
      </c>
      <c r="Z108" s="117" t="n">
        <v>1</v>
      </c>
      <c r="AA108" s="117" t="n">
        <v>0</v>
      </c>
      <c r="AB108" s="117" t="n">
        <v>3</v>
      </c>
      <c r="AC108" s="121" t="inlineStr">
        <is>
          <t>⚠ WATCH</t>
        </is>
      </c>
      <c r="AD108" s="118" t="n">
        <v>-10712000</v>
      </c>
      <c r="AE108" s="118" t="n">
        <v>-16340000</v>
      </c>
      <c r="AF108" s="118" t="n">
        <v>-35514000</v>
      </c>
      <c r="AG108" s="118" t="n">
        <v>-0.008</v>
      </c>
      <c r="AH108" s="119" t="inlineStr">
        <is>
          <t>✓ Medium Quality</t>
        </is>
      </c>
      <c r="AI108" s="118" t="n">
        <v>0.21</v>
      </c>
      <c r="AJ108" s="120" t="n">
        <v>0.431</v>
      </c>
      <c r="AK108" s="120" t="n">
        <v>0.487</v>
      </c>
      <c r="AL108" s="120" t="n">
        <v>-0.043</v>
      </c>
      <c r="AM108" s="120" t="n">
        <v>-0.031</v>
      </c>
      <c r="AN108" s="118" t="n">
        <v>68.40000000000001</v>
      </c>
      <c r="AO108" s="119" t="inlineStr">
        <is>
          <t>✓ Good</t>
        </is>
      </c>
      <c r="AP108" s="117" t="n">
        <v>0</v>
      </c>
      <c r="AQ108" s="117" t="n">
        <v>0</v>
      </c>
      <c r="AR108" s="117" t="n">
        <v>1</v>
      </c>
      <c r="AS108" s="117" t="n">
        <v>0</v>
      </c>
      <c r="AT108" s="117" t="n">
        <v>1</v>
      </c>
      <c r="AU108" s="117" t="n">
        <v>1</v>
      </c>
      <c r="AV108" s="117" t="n">
        <v>3</v>
      </c>
      <c r="AW108" s="121" t="inlineStr">
        <is>
          <t>⚠ WATCH</t>
        </is>
      </c>
      <c r="AX108" s="118" t="n">
        <v>26.9</v>
      </c>
      <c r="AY108" s="119" t="inlineStr">
        <is>
          <t>🟢 LOW RISK</t>
        </is>
      </c>
      <c r="AZ108" s="118" t="n">
        <v>92.2</v>
      </c>
      <c r="BA108" s="118" t="n">
        <v>109</v>
      </c>
      <c r="BB108" s="118" t="n">
        <v>483.7</v>
      </c>
      <c r="BC108" s="118" t="n">
        <v>727.9</v>
      </c>
      <c r="BD108" s="118" t="n">
        <v>1748.2</v>
      </c>
      <c r="BE108" s="118" t="n">
        <v>3354.6</v>
      </c>
      <c r="BF108" s="120" t="n">
        <v>-0.859</v>
      </c>
      <c r="BG108" s="117" t="n">
        <v>0.551</v>
      </c>
      <c r="BH108" s="122" t="n">
        <v>7</v>
      </c>
      <c r="BI108" s="123" t="n">
        <v>1</v>
      </c>
    </row>
    <row r="109" ht="17" customHeight="1">
      <c r="A109" s="117" t="inlineStr">
        <is>
          <t>NHI</t>
        </is>
      </c>
      <c r="B109" s="117" t="inlineStr">
        <is>
          <t>National Health Investors, Inc.</t>
        </is>
      </c>
      <c r="C109" s="118" t="n">
        <v>1.007</v>
      </c>
      <c r="D109" s="118" t="n">
        <v>1.011</v>
      </c>
      <c r="E109" s="118" t="n">
        <v>0.749</v>
      </c>
      <c r="F109" s="118" t="n">
        <v>1.121</v>
      </c>
      <c r="G109" s="118" t="n">
        <v>0.988</v>
      </c>
      <c r="H109" s="118" t="n">
        <v>1.156</v>
      </c>
      <c r="I109" s="118" t="n">
        <v>0.956</v>
      </c>
      <c r="J109" s="118" t="n">
        <v>-0.034</v>
      </c>
      <c r="K109" s="118" t="n">
        <v>-2.634</v>
      </c>
      <c r="L109" s="119" t="inlineStr">
        <is>
          <t>✓ Lower Risk</t>
        </is>
      </c>
      <c r="M109" s="124" t="inlineStr">
        <is>
          <t>N/A</t>
        </is>
      </c>
      <c r="N109" s="120" t="n">
        <v>0.01</v>
      </c>
      <c r="O109" s="124" t="inlineStr">
        <is>
          <t>N/A</t>
        </is>
      </c>
      <c r="P109" s="120" t="n">
        <v>0.109</v>
      </c>
      <c r="Q109" s="120" t="n">
        <v>-0.002</v>
      </c>
      <c r="R109" s="117" t="n">
        <v>1</v>
      </c>
      <c r="S109" s="124" t="inlineStr">
        <is>
          <t>N/A</t>
        </is>
      </c>
      <c r="T109" s="124" t="inlineStr">
        <is>
          <t>N/A</t>
        </is>
      </c>
      <c r="U109" s="124" t="inlineStr">
        <is>
          <t>N/A</t>
        </is>
      </c>
      <c r="V109" s="117" t="n">
        <v>0</v>
      </c>
      <c r="W109" s="117" t="n">
        <v>1</v>
      </c>
      <c r="X109" s="117" t="n">
        <v>0</v>
      </c>
      <c r="Y109" s="117" t="n">
        <v>0</v>
      </c>
      <c r="Z109" s="117" t="n">
        <v>0</v>
      </c>
      <c r="AA109" s="117" t="n">
        <v>0</v>
      </c>
      <c r="AB109" s="117" t="n">
        <v>1</v>
      </c>
      <c r="AC109" s="119" t="inlineStr">
        <is>
          <t>✓ Clean</t>
        </is>
      </c>
      <c r="AD109" s="118" t="n">
        <v>236563000</v>
      </c>
      <c r="AE109" s="118" t="n">
        <v>-269149000</v>
      </c>
      <c r="AF109" s="118" t="n">
        <v>142177000</v>
      </c>
      <c r="AG109" s="118" t="n">
        <v>0.065</v>
      </c>
      <c r="AH109" s="119" t="inlineStr">
        <is>
          <t>✓ Medium Quality</t>
        </is>
      </c>
      <c r="AI109" s="118" t="n">
        <v>0.128</v>
      </c>
      <c r="AJ109" s="120" t="n">
        <v>0.121</v>
      </c>
      <c r="AK109" s="120" t="n">
        <v>1.061</v>
      </c>
      <c r="AL109" s="120" t="n">
        <v>0.63</v>
      </c>
      <c r="AM109" s="120" t="n">
        <v>0.002</v>
      </c>
      <c r="AN109" s="118" t="n">
        <v>98.3</v>
      </c>
      <c r="AO109" s="119" t="inlineStr">
        <is>
          <t>✓ Good</t>
        </is>
      </c>
      <c r="AP109" s="117" t="n">
        <v>0</v>
      </c>
      <c r="AQ109" s="117" t="n">
        <v>0</v>
      </c>
      <c r="AR109" s="117" t="n">
        <v>1</v>
      </c>
      <c r="AS109" s="117" t="n">
        <v>1</v>
      </c>
      <c r="AT109" s="117" t="n">
        <v>0</v>
      </c>
      <c r="AU109" s="117" t="n">
        <v>0</v>
      </c>
      <c r="AV109" s="117" t="n">
        <v>2</v>
      </c>
      <c r="AW109" s="121" t="inlineStr">
        <is>
          <t>⚠ WATCH</t>
        </is>
      </c>
      <c r="AX109" s="118" t="n">
        <v>20.5</v>
      </c>
      <c r="AY109" s="119" t="inlineStr">
        <is>
          <t>🟢 LOW RISK</t>
        </is>
      </c>
      <c r="AZ109" s="118" t="n">
        <v>3.5</v>
      </c>
      <c r="BA109" s="118" t="n">
        <v>3.5</v>
      </c>
      <c r="BB109" s="124" t="inlineStr">
        <is>
          <t>N/A</t>
        </is>
      </c>
      <c r="BC109" s="124" t="inlineStr">
        <is>
          <t>N/A</t>
        </is>
      </c>
      <c r="BD109" s="124" t="inlineStr">
        <is>
          <t>N/A</t>
        </is>
      </c>
      <c r="BE109" s="124" t="inlineStr">
        <is>
          <t>N/A</t>
        </is>
      </c>
      <c r="BF109" s="120" t="n">
        <v>0.001</v>
      </c>
      <c r="BG109" s="117" t="n">
        <v>0.109</v>
      </c>
      <c r="BH109" s="122" t="n">
        <v>4</v>
      </c>
      <c r="BI109" s="123" t="n">
        <v>0.8333333333333334</v>
      </c>
    </row>
    <row r="110" ht="17" customHeight="1">
      <c r="A110" s="117" t="inlineStr">
        <is>
          <t>NXPI</t>
        </is>
      </c>
      <c r="B110" s="117" t="inlineStr">
        <is>
          <t>NXP Semiconductors N.V.</t>
        </is>
      </c>
      <c r="C110" s="118" t="n">
        <v>1.051</v>
      </c>
      <c r="D110" s="118" t="n">
        <v>1.031</v>
      </c>
      <c r="E110" s="118" t="n">
        <v>1.04</v>
      </c>
      <c r="F110" s="118" t="n">
        <v>0.973</v>
      </c>
      <c r="G110" s="118" t="n">
        <v>0.9419999999999999</v>
      </c>
      <c r="H110" s="118" t="n">
        <v>1.063</v>
      </c>
      <c r="I110" s="118" t="n">
        <v>1</v>
      </c>
      <c r="J110" s="118" t="n">
        <v>-0.03</v>
      </c>
      <c r="K110" s="118" t="n">
        <v>-2.583</v>
      </c>
      <c r="L110" s="119" t="inlineStr">
        <is>
          <t>✓ Lower Risk</t>
        </is>
      </c>
      <c r="M110" s="120" t="n">
        <v>-0.052</v>
      </c>
      <c r="N110" s="120" t="n">
        <v>0.067</v>
      </c>
      <c r="O110" s="120" t="n">
        <v>0.641</v>
      </c>
      <c r="P110" s="120" t="n">
        <v>0.765</v>
      </c>
      <c r="Q110" s="120" t="n">
        <v>-0.027</v>
      </c>
      <c r="R110" s="117" t="n">
        <v>1</v>
      </c>
      <c r="S110" s="118" t="n">
        <v>-2.404</v>
      </c>
      <c r="T110" s="118" t="n">
        <v>0.083</v>
      </c>
      <c r="U110" s="121" t="inlineStr">
        <is>
          <t>⚠ HIGH RISK</t>
        </is>
      </c>
      <c r="V110" s="117" t="n">
        <v>0</v>
      </c>
      <c r="W110" s="117" t="n">
        <v>1</v>
      </c>
      <c r="X110" s="117" t="n">
        <v>1</v>
      </c>
      <c r="Y110" s="117" t="n">
        <v>0</v>
      </c>
      <c r="Z110" s="117" t="n">
        <v>1</v>
      </c>
      <c r="AA110" s="117" t="n">
        <v>0</v>
      </c>
      <c r="AB110" s="117" t="n">
        <v>3</v>
      </c>
      <c r="AC110" s="121" t="inlineStr">
        <is>
          <t>⚠ WATCH</t>
        </is>
      </c>
      <c r="AD110" s="118" t="n">
        <v>2820000000</v>
      </c>
      <c r="AE110" s="118" t="n">
        <v>-2357000000</v>
      </c>
      <c r="AF110" s="118" t="n">
        <v>2021000000</v>
      </c>
      <c r="AG110" s="118" t="n">
        <v>0.061</v>
      </c>
      <c r="AH110" s="119" t="inlineStr">
        <is>
          <t>✓ Medium Quality</t>
        </is>
      </c>
      <c r="AI110" s="118" t="n">
        <v>0.022</v>
      </c>
      <c r="AJ110" s="120" t="n">
        <v>-0.027</v>
      </c>
      <c r="AK110" s="120" t="n">
        <v>-0.8149999999999999</v>
      </c>
      <c r="AL110" s="120" t="n">
        <v>0.23</v>
      </c>
      <c r="AM110" s="120" t="n">
        <v>-0.006</v>
      </c>
      <c r="AN110" s="118" t="n">
        <v>99.7</v>
      </c>
      <c r="AO110" s="119" t="inlineStr">
        <is>
          <t>✓ Good</t>
        </is>
      </c>
      <c r="AP110" s="117" t="n">
        <v>1</v>
      </c>
      <c r="AQ110" s="117" t="n">
        <v>1</v>
      </c>
      <c r="AR110" s="117" t="n">
        <v>1</v>
      </c>
      <c r="AS110" s="117" t="n">
        <v>1</v>
      </c>
      <c r="AT110" s="117" t="n">
        <v>0</v>
      </c>
      <c r="AU110" s="117" t="n">
        <v>0</v>
      </c>
      <c r="AV110" s="117" t="n">
        <v>4</v>
      </c>
      <c r="AW110" s="117" t="inlineStr">
        <is>
          <t>⚠⚠ MULTIPLE RED FLAGS</t>
        </is>
      </c>
      <c r="AX110" s="118" t="n">
        <v>33.8</v>
      </c>
      <c r="AY110" s="119" t="inlineStr">
        <is>
          <t>🟢 LOW RISK</t>
        </is>
      </c>
      <c r="AZ110" s="118" t="n">
        <v>31.4</v>
      </c>
      <c r="BA110" s="118" t="n">
        <v>29.9</v>
      </c>
      <c r="BB110" s="118" t="n">
        <v>169.4</v>
      </c>
      <c r="BC110" s="118" t="n">
        <v>156.5</v>
      </c>
      <c r="BD110" s="118" t="n">
        <v>65.5</v>
      </c>
      <c r="BE110" s="118" t="n">
        <v>67.59999999999999</v>
      </c>
      <c r="BF110" s="120" t="n">
        <v>0.416</v>
      </c>
      <c r="BG110" s="117" t="n">
        <v>0.765</v>
      </c>
      <c r="BH110" s="122" t="n">
        <v>8</v>
      </c>
      <c r="BI110" s="123" t="n">
        <v>1</v>
      </c>
    </row>
    <row r="111" ht="17" customHeight="1">
      <c r="A111" s="117" t="inlineStr">
        <is>
          <t>RBC</t>
        </is>
      </c>
      <c r="B111" s="117" t="inlineStr">
        <is>
          <t>RBC BEARINGS INCORPORATED</t>
        </is>
      </c>
      <c r="C111" s="118" t="n">
        <v>0.968</v>
      </c>
      <c r="D111" s="118" t="n">
        <v>1</v>
      </c>
      <c r="E111" s="118" t="n">
        <v>0.974</v>
      </c>
      <c r="F111" s="118" t="n">
        <v>1.143</v>
      </c>
      <c r="G111" s="118" t="n">
        <v>1.065</v>
      </c>
      <c r="H111" s="118" t="n">
        <v>0.99</v>
      </c>
      <c r="I111" s="118" t="n">
        <v>0.974</v>
      </c>
      <c r="J111" s="118" t="n">
        <v>-0.025</v>
      </c>
      <c r="K111" s="118" t="n">
        <v>-2.491</v>
      </c>
      <c r="L111" s="119" t="inlineStr">
        <is>
          <t>✓ Lower Risk</t>
        </is>
      </c>
      <c r="M111" s="120" t="n">
        <v>-0.042</v>
      </c>
      <c r="N111" s="120" t="n">
        <v>0.141</v>
      </c>
      <c r="O111" s="120" t="n">
        <v>0.462</v>
      </c>
      <c r="P111" s="120" t="n">
        <v>0.907</v>
      </c>
      <c r="Q111" s="120" t="n">
        <v>0.004</v>
      </c>
      <c r="R111" s="117" t="n">
        <v>1</v>
      </c>
      <c r="S111" s="118" t="n">
        <v>-2.155</v>
      </c>
      <c r="T111" s="118" t="n">
        <v>0.104</v>
      </c>
      <c r="U111" s="121" t="inlineStr">
        <is>
          <t>⚠ HIGH RISK</t>
        </is>
      </c>
      <c r="V111" s="117" t="n">
        <v>0</v>
      </c>
      <c r="W111" s="117" t="n">
        <v>0</v>
      </c>
      <c r="X111" s="117" t="n">
        <v>1</v>
      </c>
      <c r="Y111" s="117" t="n">
        <v>1</v>
      </c>
      <c r="Z111" s="117" t="n">
        <v>1</v>
      </c>
      <c r="AA111" s="117" t="n">
        <v>0</v>
      </c>
      <c r="AB111" s="117" t="n">
        <v>3</v>
      </c>
      <c r="AC111" s="121" t="inlineStr">
        <is>
          <t>⚠ WATCH</t>
        </is>
      </c>
      <c r="AD111" s="118" t="n">
        <v>415700000</v>
      </c>
      <c r="AE111" s="118" t="n">
        <v>-349700000</v>
      </c>
      <c r="AF111" s="118" t="n">
        <v>287600000</v>
      </c>
      <c r="AG111" s="118" t="n">
        <v>0.045</v>
      </c>
      <c r="AH111" s="119" t="inlineStr">
        <is>
          <t>✓ Medium Quality</t>
        </is>
      </c>
      <c r="AI111" s="118" t="n">
        <v>0.107</v>
      </c>
      <c r="AJ111" s="120" t="n">
        <v>0.143</v>
      </c>
      <c r="AK111" s="120" t="n">
        <v>0.748</v>
      </c>
      <c r="AL111" s="120" t="n">
        <v>0.222</v>
      </c>
      <c r="AM111" s="120" t="n">
        <v>0.001</v>
      </c>
      <c r="AN111" s="117" t="n">
        <v>100</v>
      </c>
      <c r="AO111" s="119" t="inlineStr">
        <is>
          <t>✓ Good</t>
        </is>
      </c>
      <c r="AP111" s="117" t="n">
        <v>0</v>
      </c>
      <c r="AQ111" s="117" t="n">
        <v>0</v>
      </c>
      <c r="AR111" s="117" t="n">
        <v>1</v>
      </c>
      <c r="AS111" s="117" t="n">
        <v>0</v>
      </c>
      <c r="AT111" s="117" t="n">
        <v>1</v>
      </c>
      <c r="AU111" s="117" t="n">
        <v>0</v>
      </c>
      <c r="AV111" s="117" t="n">
        <v>2</v>
      </c>
      <c r="AW111" s="121" t="inlineStr">
        <is>
          <t>⚠ WATCH</t>
        </is>
      </c>
      <c r="AX111" s="118" t="n">
        <v>35.2</v>
      </c>
      <c r="AY111" s="119" t="inlineStr">
        <is>
          <t>🟢 LOW RISK</t>
        </is>
      </c>
      <c r="AZ111" s="118" t="n">
        <v>66.40000000000001</v>
      </c>
      <c r="BA111" s="118" t="n">
        <v>68.59999999999999</v>
      </c>
      <c r="BB111" s="118" t="n">
        <v>267.5</v>
      </c>
      <c r="BC111" s="118" t="n">
        <v>262.5</v>
      </c>
      <c r="BD111" s="118" t="n">
        <v>51.6</v>
      </c>
      <c r="BE111" s="118" t="n">
        <v>55.5</v>
      </c>
      <c r="BF111" s="120" t="n">
        <v>0.221</v>
      </c>
      <c r="BG111" s="117" t="n">
        <v>0.907</v>
      </c>
      <c r="BH111" s="122" t="n">
        <v>6</v>
      </c>
      <c r="BI111" s="123" t="n">
        <v>1</v>
      </c>
    </row>
    <row r="112" ht="17" customHeight="1">
      <c r="A112" s="117" t="inlineStr">
        <is>
          <t>IMVT</t>
        </is>
      </c>
      <c r="B112" s="117" t="inlineStr">
        <is>
          <t>IMMUNOVANT, INC.</t>
        </is>
      </c>
      <c r="C112" s="124" t="inlineStr">
        <is>
          <t>N/A</t>
        </is>
      </c>
      <c r="D112" s="124" t="inlineStr">
        <is>
          <t>N/A</t>
        </is>
      </c>
      <c r="E112" s="118" t="n">
        <v>0.8149999999999999</v>
      </c>
      <c r="F112" s="124" t="inlineStr">
        <is>
          <t>N/A</t>
        </is>
      </c>
      <c r="G112" s="118" t="n">
        <v>0.643</v>
      </c>
      <c r="H112" s="124" t="inlineStr">
        <is>
          <t>N/A</t>
        </is>
      </c>
      <c r="I112" s="118" t="n">
        <v>1.231</v>
      </c>
      <c r="J112" s="118" t="n">
        <v>-0.103</v>
      </c>
      <c r="K112" s="124" t="inlineStr">
        <is>
          <t>N/A</t>
        </is>
      </c>
      <c r="L112" s="124" t="inlineStr">
        <is>
          <t>N/A</t>
        </is>
      </c>
      <c r="M112" s="120" t="n">
        <v>-0.045</v>
      </c>
      <c r="N112" s="120" t="n">
        <v>-951000000</v>
      </c>
      <c r="O112" s="124" t="inlineStr">
        <is>
          <t>N/A</t>
        </is>
      </c>
      <c r="P112" s="120" t="n">
        <v>0.057</v>
      </c>
      <c r="Q112" s="120" t="n">
        <v>0.005</v>
      </c>
      <c r="R112" s="117" t="n">
        <v>1</v>
      </c>
      <c r="S112" s="118" t="n">
        <v>-2394618004.744</v>
      </c>
      <c r="T112" s="118" t="n">
        <v>0</v>
      </c>
      <c r="U112" s="119" t="inlineStr">
        <is>
          <t>✓ Normal</t>
        </is>
      </c>
      <c r="V112" s="117" t="n">
        <v>0</v>
      </c>
      <c r="W112" s="117" t="n">
        <v>0</v>
      </c>
      <c r="X112" s="117" t="n">
        <v>0</v>
      </c>
      <c r="Y112" s="117" t="n">
        <v>0</v>
      </c>
      <c r="Z112" s="117" t="n">
        <v>1</v>
      </c>
      <c r="AA112" s="117" t="n">
        <v>1</v>
      </c>
      <c r="AB112" s="117" t="n">
        <v>2</v>
      </c>
      <c r="AC112" s="121" t="inlineStr">
        <is>
          <t>⚠ WATCH</t>
        </is>
      </c>
      <c r="AD112" s="118" t="n">
        <v>-407310000</v>
      </c>
      <c r="AE112" s="118" t="n">
        <v>-8000</v>
      </c>
      <c r="AF112" s="118" t="n">
        <v>-505606000</v>
      </c>
      <c r="AG112" s="118" t="n">
        <v>-0.113</v>
      </c>
      <c r="AH112" s="119" t="inlineStr">
        <is>
          <t>✓ High Quality</t>
        </is>
      </c>
      <c r="AI112" s="118" t="n">
        <v>-0.456</v>
      </c>
      <c r="AJ112" s="124" t="inlineStr">
        <is>
          <t>N/A</t>
        </is>
      </c>
      <c r="AK112" s="124" t="inlineStr">
        <is>
          <t>N/A</t>
        </is>
      </c>
      <c r="AL112" s="124" t="inlineStr">
        <is>
          <t>N/A</t>
        </is>
      </c>
      <c r="AM112" s="124" t="inlineStr">
        <is>
          <t>N/A</t>
        </is>
      </c>
      <c r="AN112" s="117" t="n">
        <v>100</v>
      </c>
      <c r="AO112" s="119" t="inlineStr">
        <is>
          <t>✓ Good</t>
        </is>
      </c>
      <c r="AP112" s="117" t="n">
        <v>0</v>
      </c>
      <c r="AQ112" s="117" t="n">
        <v>0</v>
      </c>
      <c r="AR112" s="117" t="n">
        <v>0</v>
      </c>
      <c r="AS112" s="117" t="n">
        <v>0</v>
      </c>
      <c r="AT112" s="117" t="n">
        <v>0</v>
      </c>
      <c r="AU112" s="117" t="n">
        <v>0</v>
      </c>
      <c r="AV112" s="117" t="n">
        <v>0</v>
      </c>
      <c r="AW112" s="119" t="inlineStr">
        <is>
          <t>✓ Clean</t>
        </is>
      </c>
      <c r="AX112" s="118" t="n">
        <v>23.5</v>
      </c>
      <c r="AY112" s="119" t="inlineStr">
        <is>
          <t>🟢 LOW RISK</t>
        </is>
      </c>
      <c r="AZ112" s="124" t="inlineStr">
        <is>
          <t>N/A</t>
        </is>
      </c>
      <c r="BA112" s="124" t="inlineStr">
        <is>
          <t>N/A</t>
        </is>
      </c>
      <c r="BB112" s="124" t="inlineStr">
        <is>
          <t>N/A</t>
        </is>
      </c>
      <c r="BC112" s="124" t="inlineStr">
        <is>
          <t>N/A</t>
        </is>
      </c>
      <c r="BD112" s="118" t="n">
        <v>5.2</v>
      </c>
      <c r="BE112" s="118" t="n">
        <v>14.7</v>
      </c>
      <c r="BF112" s="120" t="n">
        <v>-0</v>
      </c>
      <c r="BG112" s="117" t="n">
        <v>0.057</v>
      </c>
      <c r="BH112" s="122" t="n">
        <v>3</v>
      </c>
      <c r="BI112" s="123" t="n">
        <v>0.8333333333333334</v>
      </c>
    </row>
    <row r="113" ht="17" customHeight="1">
      <c r="A113" s="117" t="inlineStr">
        <is>
          <t>MOS</t>
        </is>
      </c>
      <c r="B113" s="117" t="inlineStr">
        <is>
          <t>MOSAIC CO</t>
        </is>
      </c>
      <c r="C113" s="118" t="n">
        <v>0.894</v>
      </c>
      <c r="D113" s="118" t="n">
        <v>0.861</v>
      </c>
      <c r="E113" s="118" t="n">
        <v>0.971</v>
      </c>
      <c r="F113" s="118" t="n">
        <v>1.084</v>
      </c>
      <c r="G113" s="118" t="n">
        <v>1.021</v>
      </c>
      <c r="H113" s="118" t="n">
        <v>0.992</v>
      </c>
      <c r="I113" s="118" t="n">
        <v>1</v>
      </c>
      <c r="J113" s="118" t="n">
        <v>-0.012</v>
      </c>
      <c r="K113" s="118" t="n">
        <v>-2.638</v>
      </c>
      <c r="L113" s="119" t="inlineStr">
        <is>
          <t>✓ Lower Risk</t>
        </is>
      </c>
      <c r="M113" s="120" t="n">
        <v>-0.005</v>
      </c>
      <c r="N113" s="120" t="n">
        <v>-0.037</v>
      </c>
      <c r="O113" s="120" t="n">
        <v>0.876</v>
      </c>
      <c r="P113" s="120" t="n">
        <v>0.418</v>
      </c>
      <c r="Q113" s="120" t="n">
        <v>0.014</v>
      </c>
      <c r="R113" s="117" t="n">
        <v>1</v>
      </c>
      <c r="S113" s="118" t="n">
        <v>-3.053</v>
      </c>
      <c r="T113" s="118" t="n">
        <v>0.045</v>
      </c>
      <c r="U113" s="121" t="inlineStr">
        <is>
          <t>⚠ HIGH RISK</t>
        </is>
      </c>
      <c r="V113" s="117" t="n">
        <v>1</v>
      </c>
      <c r="W113" s="117" t="n">
        <v>0</v>
      </c>
      <c r="X113" s="117" t="n">
        <v>1</v>
      </c>
      <c r="Y113" s="117" t="n">
        <v>1</v>
      </c>
      <c r="Z113" s="117" t="n">
        <v>1</v>
      </c>
      <c r="AA113" s="117" t="n">
        <v>0</v>
      </c>
      <c r="AB113" s="117" t="n">
        <v>4</v>
      </c>
      <c r="AC113" s="121" t="inlineStr">
        <is>
          <t>⚠⚠ SERIOUS CONCERN</t>
        </is>
      </c>
      <c r="AD113" s="118" t="n">
        <v>824800000</v>
      </c>
      <c r="AE113" s="118" t="n">
        <v>-1309500000</v>
      </c>
      <c r="AF113" s="118" t="n">
        <v>540700000</v>
      </c>
      <c r="AG113" s="118" t="n">
        <v>0.043</v>
      </c>
      <c r="AH113" s="119" t="inlineStr">
        <is>
          <t>✓ Medium Quality</t>
        </is>
      </c>
      <c r="AI113" s="118" t="n">
        <v>-0.031</v>
      </c>
      <c r="AJ113" s="120" t="n">
        <v>0.08400000000000001</v>
      </c>
      <c r="AK113" s="120" t="n">
        <v>-0.373</v>
      </c>
      <c r="AL113" s="120" t="n">
        <v>0.068</v>
      </c>
      <c r="AM113" s="120" t="n">
        <v>0.002</v>
      </c>
      <c r="AN113" s="118" t="n">
        <v>83.8</v>
      </c>
      <c r="AO113" s="119" t="inlineStr">
        <is>
          <t>✓ Good</t>
        </is>
      </c>
      <c r="AP113" s="117" t="n">
        <v>0</v>
      </c>
      <c r="AQ113" s="117" t="n">
        <v>0</v>
      </c>
      <c r="AR113" s="117" t="n">
        <v>0</v>
      </c>
      <c r="AS113" s="117" t="n">
        <v>0</v>
      </c>
      <c r="AT113" s="117" t="n">
        <v>0</v>
      </c>
      <c r="AU113" s="117" t="n">
        <v>1</v>
      </c>
      <c r="AV113" s="117" t="n">
        <v>1</v>
      </c>
      <c r="AW113" s="119" t="inlineStr">
        <is>
          <t>✓ Clean</t>
        </is>
      </c>
      <c r="AX113" s="118" t="n">
        <v>29.2</v>
      </c>
      <c r="AY113" s="119" t="inlineStr">
        <is>
          <t>🟢 LOW RISK</t>
        </is>
      </c>
      <c r="AZ113" s="118" t="n">
        <v>32.7</v>
      </c>
      <c r="BA113" s="118" t="n">
        <v>36.5</v>
      </c>
      <c r="BB113" s="118" t="n">
        <v>120.9</v>
      </c>
      <c r="BC113" s="118" t="n">
        <v>96.8</v>
      </c>
      <c r="BD113" s="118" t="n">
        <v>42.1</v>
      </c>
      <c r="BE113" s="118" t="n">
        <v>43.9</v>
      </c>
      <c r="BF113" s="120" t="n">
        <v>0.527</v>
      </c>
      <c r="BG113" s="117" t="n">
        <v>0.418</v>
      </c>
      <c r="BH113" s="122" t="n">
        <v>6</v>
      </c>
      <c r="BI113" s="123" t="n">
        <v>1</v>
      </c>
    </row>
    <row r="114" ht="17" customHeight="1">
      <c r="A114" s="117" t="inlineStr">
        <is>
          <t>AWK</t>
        </is>
      </c>
      <c r="B114" s="117" t="inlineStr">
        <is>
          <t>AMERICAN WATER WORKS COMPANY, INC.</t>
        </is>
      </c>
      <c r="C114" s="118" t="n">
        <v>0.231</v>
      </c>
      <c r="D114" s="118" t="n">
        <v>36.851</v>
      </c>
      <c r="E114" s="118" t="n">
        <v>0.9370000000000001</v>
      </c>
      <c r="F114" s="118" t="n">
        <v>4.117</v>
      </c>
      <c r="G114" s="118" t="n">
        <v>0.955</v>
      </c>
      <c r="H114" s="124" t="inlineStr">
        <is>
          <t>N/A</t>
        </is>
      </c>
      <c r="I114" s="118" t="n">
        <v>1</v>
      </c>
      <c r="J114" s="118" t="n">
        <v>-0.027</v>
      </c>
      <c r="K114" s="118" t="n">
        <v>18.539</v>
      </c>
      <c r="L114" s="121" t="inlineStr">
        <is>
          <t>⚠ MANIPULATOR RISK</t>
        </is>
      </c>
      <c r="M114" s="120" t="n">
        <v>-0.043</v>
      </c>
      <c r="N114" s="120" t="n">
        <v>-0.008999999999999999</v>
      </c>
      <c r="O114" s="124" t="inlineStr">
        <is>
          <t>N/A</t>
        </is>
      </c>
      <c r="P114" s="120" t="n">
        <v>0.441</v>
      </c>
      <c r="Q114" s="120" t="n">
        <v>-0.001</v>
      </c>
      <c r="R114" s="117" t="n">
        <v>1</v>
      </c>
      <c r="S114" s="118" t="n">
        <v>-4.003</v>
      </c>
      <c r="T114" s="118" t="n">
        <v>0.018</v>
      </c>
      <c r="U114" s="119" t="inlineStr">
        <is>
          <t>✓ Normal</t>
        </is>
      </c>
      <c r="V114" s="117" t="n">
        <v>1</v>
      </c>
      <c r="W114" s="117" t="n">
        <v>0</v>
      </c>
      <c r="X114" s="117" t="n">
        <v>0</v>
      </c>
      <c r="Y114" s="117" t="n">
        <v>1</v>
      </c>
      <c r="Z114" s="117" t="n">
        <v>0</v>
      </c>
      <c r="AA114" s="117" t="n">
        <v>0</v>
      </c>
      <c r="AB114" s="117" t="n">
        <v>2</v>
      </c>
      <c r="AC114" s="121" t="inlineStr">
        <is>
          <t>⚠ WATCH</t>
        </is>
      </c>
      <c r="AD114" s="118" t="n">
        <v>2059000000</v>
      </c>
      <c r="AE114" s="118" t="n">
        <v>-3309000000</v>
      </c>
      <c r="AF114" s="118" t="n">
        <v>1111000000</v>
      </c>
      <c r="AG114" s="118" t="n">
        <v>0.06900000000000001</v>
      </c>
      <c r="AH114" s="119" t="inlineStr">
        <is>
          <t>✓ Medium Quality</t>
        </is>
      </c>
      <c r="AI114" s="118" t="n">
        <v>-0.05</v>
      </c>
      <c r="AJ114" s="120" t="n">
        <v>3.117</v>
      </c>
      <c r="AK114" s="120" t="n">
        <v>-0.016</v>
      </c>
      <c r="AL114" s="120" t="n">
        <v>0.6840000000000001</v>
      </c>
      <c r="AM114" s="120" t="n">
        <v>-0.007</v>
      </c>
      <c r="AN114" s="118" t="n">
        <v>99.7</v>
      </c>
      <c r="AO114" s="119" t="inlineStr">
        <is>
          <t>✓ Good</t>
        </is>
      </c>
      <c r="AP114" s="117" t="n">
        <v>0</v>
      </c>
      <c r="AQ114" s="117" t="n">
        <v>0</v>
      </c>
      <c r="AR114" s="117" t="n">
        <v>0</v>
      </c>
      <c r="AS114" s="117" t="n">
        <v>0</v>
      </c>
      <c r="AT114" s="117" t="n">
        <v>0</v>
      </c>
      <c r="AU114" s="117" t="n">
        <v>1</v>
      </c>
      <c r="AV114" s="117" t="n">
        <v>1</v>
      </c>
      <c r="AW114" s="119" t="inlineStr">
        <is>
          <t>✓ Clean</t>
        </is>
      </c>
      <c r="AX114" s="118" t="n">
        <v>41.6</v>
      </c>
      <c r="AY114" s="121" t="inlineStr">
        <is>
          <t>🟡 ELEVATED RISK</t>
        </is>
      </c>
      <c r="AZ114" s="118" t="n">
        <v>47.9</v>
      </c>
      <c r="BA114" s="118" t="n">
        <v>207.6</v>
      </c>
      <c r="BB114" s="124" t="inlineStr">
        <is>
          <t>N/A</t>
        </is>
      </c>
      <c r="BC114" s="124" t="inlineStr">
        <is>
          <t>N/A</t>
        </is>
      </c>
      <c r="BD114" s="118" t="n">
        <v>42.3</v>
      </c>
      <c r="BE114" s="118" t="n">
        <v>42.6</v>
      </c>
      <c r="BF114" s="120" t="n">
        <v>0.219</v>
      </c>
      <c r="BG114" s="117" t="n">
        <v>0.441</v>
      </c>
      <c r="BH114" s="122" t="n">
        <v>4</v>
      </c>
      <c r="BI114" s="123" t="n">
        <v>1</v>
      </c>
    </row>
    <row r="115" ht="17" customHeight="1">
      <c r="A115" s="117" t="inlineStr">
        <is>
          <t>ESNT</t>
        </is>
      </c>
      <c r="B115" s="117" t="inlineStr">
        <is>
          <t>ESSENT GROUP LTD.</t>
        </is>
      </c>
      <c r="C115" s="118" t="n">
        <v>0.909</v>
      </c>
      <c r="D115" s="118" t="n">
        <v>1.056</v>
      </c>
      <c r="E115" s="118" t="n">
        <v>0.997</v>
      </c>
      <c r="F115" s="118" t="n">
        <v>1.015</v>
      </c>
      <c r="G115" s="118" t="n">
        <v>2.028</v>
      </c>
      <c r="H115" s="124" t="inlineStr">
        <is>
          <t>N/A</t>
        </is>
      </c>
      <c r="I115" s="118" t="n">
        <v>1.067</v>
      </c>
      <c r="J115" s="118" t="n">
        <v>-0.022</v>
      </c>
      <c r="K115" s="118" t="n">
        <v>-2.358</v>
      </c>
      <c r="L115" s="119" t="inlineStr">
        <is>
          <t>✓ Lower Risk</t>
        </is>
      </c>
      <c r="M115" s="124" t="inlineStr">
        <is>
          <t>N/A</t>
        </is>
      </c>
      <c r="N115" s="120" t="n">
        <v>-0.238</v>
      </c>
      <c r="O115" s="124" t="inlineStr">
        <is>
          <t>N/A</t>
        </is>
      </c>
      <c r="P115" s="120" t="n">
        <v>0.986</v>
      </c>
      <c r="Q115" s="120" t="n">
        <v>-0.01</v>
      </c>
      <c r="R115" s="117" t="n">
        <v>0</v>
      </c>
      <c r="S115" s="124" t="inlineStr">
        <is>
          <t>N/A</t>
        </is>
      </c>
      <c r="T115" s="124" t="inlineStr">
        <is>
          <t>N/A</t>
        </is>
      </c>
      <c r="U115" s="124" t="inlineStr">
        <is>
          <t>N/A</t>
        </is>
      </c>
      <c r="V115" s="117" t="n">
        <v>0</v>
      </c>
      <c r="W115" s="117" t="n">
        <v>0</v>
      </c>
      <c r="X115" s="117" t="n">
        <v>0</v>
      </c>
      <c r="Y115" s="117" t="n">
        <v>0</v>
      </c>
      <c r="Z115" s="117" t="n">
        <v>1</v>
      </c>
      <c r="AA115" s="117" t="n">
        <v>0</v>
      </c>
      <c r="AB115" s="117" t="n">
        <v>1</v>
      </c>
      <c r="AC115" s="119" t="inlineStr">
        <is>
          <t>✓ Clean</t>
        </is>
      </c>
      <c r="AD115" s="118" t="n">
        <v>856053000</v>
      </c>
      <c r="AE115" s="118" t="n">
        <v>-154738000</v>
      </c>
      <c r="AF115" s="118" t="n">
        <v>689969000</v>
      </c>
      <c r="AG115" s="118" t="n">
        <v>-0.002</v>
      </c>
      <c r="AH115" s="119" t="inlineStr">
        <is>
          <t>✓ Medium Quality</t>
        </is>
      </c>
      <c r="AI115" s="118" t="n">
        <v>-0.077</v>
      </c>
      <c r="AJ115" s="120" t="n">
        <v>0.015</v>
      </c>
      <c r="AK115" s="120" t="n">
        <v>-5.331</v>
      </c>
      <c r="AL115" s="120" t="n">
        <v>0.679</v>
      </c>
      <c r="AM115" s="124" t="inlineStr">
        <is>
          <t>N/A</t>
        </is>
      </c>
      <c r="AN115" s="117" t="n">
        <v>100</v>
      </c>
      <c r="AO115" s="119" t="inlineStr">
        <is>
          <t>✓ Good</t>
        </is>
      </c>
      <c r="AP115" s="117" t="n">
        <v>0</v>
      </c>
      <c r="AQ115" s="117" t="n">
        <v>0</v>
      </c>
      <c r="AR115" s="117" t="n">
        <v>1</v>
      </c>
      <c r="AS115" s="117" t="n">
        <v>0</v>
      </c>
      <c r="AT115" s="117" t="n">
        <v>0</v>
      </c>
      <c r="AU115" s="117" t="n">
        <v>0</v>
      </c>
      <c r="AV115" s="117" t="n">
        <v>1</v>
      </c>
      <c r="AW115" s="119" t="inlineStr">
        <is>
          <t>✓ Clean</t>
        </is>
      </c>
      <c r="AX115" s="118" t="n">
        <v>19.1</v>
      </c>
      <c r="AY115" s="119" t="inlineStr">
        <is>
          <t>🟢 VERY LOW RISK</t>
        </is>
      </c>
      <c r="AZ115" s="118" t="n">
        <v>14.8</v>
      </c>
      <c r="BA115" s="118" t="n">
        <v>16.3</v>
      </c>
      <c r="BB115" s="124" t="inlineStr">
        <is>
          <t>N/A</t>
        </is>
      </c>
      <c r="BC115" s="124" t="inlineStr">
        <is>
          <t>N/A</t>
        </is>
      </c>
      <c r="BD115" s="124" t="inlineStr">
        <is>
          <t>N/A</t>
        </is>
      </c>
      <c r="BE115" s="124" t="inlineStr">
        <is>
          <t>N/A</t>
        </is>
      </c>
      <c r="BF115" s="120" t="n">
        <v>0.16</v>
      </c>
      <c r="BG115" s="117" t="n">
        <v>0.986</v>
      </c>
      <c r="BH115" s="122" t="n">
        <v>2</v>
      </c>
      <c r="BI115" s="123" t="n">
        <v>0.8333333333333334</v>
      </c>
    </row>
    <row r="116" ht="17" customHeight="1">
      <c r="A116" s="126" t="inlineStr">
        <is>
          <t>EVRG</t>
        </is>
      </c>
      <c r="B116" s="126" t="inlineStr">
        <is>
          <t>EVERGY, INC.</t>
        </is>
      </c>
      <c r="C116" s="127" t="n">
        <v>0.856</v>
      </c>
      <c r="D116" s="124" t="inlineStr">
        <is>
          <t>N/A</t>
        </is>
      </c>
      <c r="E116" s="127" t="n">
        <v>1.006</v>
      </c>
      <c r="F116" s="127" t="n">
        <v>1.02</v>
      </c>
      <c r="G116" s="127" t="n">
        <v>1.01</v>
      </c>
      <c r="H116" s="124" t="inlineStr">
        <is>
          <t>N/A</t>
        </is>
      </c>
      <c r="I116" s="127" t="n">
        <v>1</v>
      </c>
      <c r="J116" s="127" t="n">
        <v>-0.035</v>
      </c>
      <c r="K116" s="124" t="inlineStr">
        <is>
          <t>N/A</t>
        </is>
      </c>
      <c r="L116" s="124" t="inlineStr">
        <is>
          <t>N/A</t>
        </is>
      </c>
      <c r="M116" s="128" t="n">
        <v>-0.036</v>
      </c>
      <c r="N116" s="128" t="n">
        <v>-0.273</v>
      </c>
      <c r="O116" s="124" t="inlineStr">
        <is>
          <t>N/A</t>
        </is>
      </c>
      <c r="P116" s="128" t="n">
        <v>0.225</v>
      </c>
      <c r="Q116" s="128" t="n">
        <v>-0.002</v>
      </c>
      <c r="R116" s="126" t="n">
        <v>0</v>
      </c>
      <c r="S116" s="127" t="n">
        <v>-8.163</v>
      </c>
      <c r="T116" s="127" t="n">
        <v>0</v>
      </c>
      <c r="U116" s="119" t="inlineStr">
        <is>
          <t>✓ Normal</t>
        </is>
      </c>
      <c r="V116" s="126" t="n">
        <v>0</v>
      </c>
      <c r="W116" s="126" t="n">
        <v>0</v>
      </c>
      <c r="X116" s="126" t="n">
        <v>0</v>
      </c>
      <c r="Y116" s="126" t="n">
        <v>0</v>
      </c>
      <c r="Z116" s="126" t="n">
        <v>1</v>
      </c>
      <c r="AA116" s="126" t="n">
        <v>0</v>
      </c>
      <c r="AB116" s="126" t="n">
        <v>1</v>
      </c>
      <c r="AC116" s="119" t="inlineStr">
        <is>
          <t>✓ Clean</t>
        </is>
      </c>
      <c r="AD116" s="127" t="n">
        <v>2045200000</v>
      </c>
      <c r="AE116" s="127" t="n">
        <v>-2570100000</v>
      </c>
      <c r="AF116" s="127" t="n">
        <v>855600000</v>
      </c>
      <c r="AG116" s="127" t="n">
        <v>0.042</v>
      </c>
      <c r="AH116" s="119" t="inlineStr">
        <is>
          <t>✓ Medium Quality</t>
        </is>
      </c>
      <c r="AI116" s="127" t="n">
        <v>-0.127</v>
      </c>
      <c r="AJ116" s="128" t="n">
        <v>0.02</v>
      </c>
      <c r="AK116" s="128" t="n">
        <v>-6.504</v>
      </c>
      <c r="AL116" s="128" t="n">
        <v>0.343</v>
      </c>
      <c r="AM116" s="124" t="inlineStr">
        <is>
          <t>N/A</t>
        </is>
      </c>
      <c r="AN116" s="126" t="n">
        <v>100</v>
      </c>
      <c r="AO116" s="119" t="inlineStr">
        <is>
          <t>✓ Good</t>
        </is>
      </c>
      <c r="AP116" s="126" t="n">
        <v>0</v>
      </c>
      <c r="AQ116" s="126" t="n">
        <v>0</v>
      </c>
      <c r="AR116" s="126" t="n">
        <v>0</v>
      </c>
      <c r="AS116" s="126" t="n">
        <v>0</v>
      </c>
      <c r="AT116" s="126" t="n">
        <v>0</v>
      </c>
      <c r="AU116" s="126" t="n">
        <v>0</v>
      </c>
      <c r="AV116" s="126" t="n">
        <v>0</v>
      </c>
      <c r="AW116" s="119" t="inlineStr">
        <is>
          <t>✓ Clean</t>
        </is>
      </c>
      <c r="AX116" s="127" t="n">
        <v>18.7</v>
      </c>
      <c r="AY116" s="119" t="inlineStr">
        <is>
          <t>🟢 VERY LOW RISK</t>
        </is>
      </c>
      <c r="AZ116" s="127" t="n">
        <v>13.1</v>
      </c>
      <c r="BA116" s="127" t="n">
        <v>15.3</v>
      </c>
      <c r="BB116" s="124" t="inlineStr">
        <is>
          <t>N/A</t>
        </is>
      </c>
      <c r="BC116" s="124" t="inlineStr">
        <is>
          <t>N/A</t>
        </is>
      </c>
      <c r="BD116" s="124" t="inlineStr">
        <is>
          <t>N/A</t>
        </is>
      </c>
      <c r="BE116" s="124" t="inlineStr">
        <is>
          <t>N/A</t>
        </is>
      </c>
      <c r="BF116" s="124" t="inlineStr">
        <is>
          <t>N/A</t>
        </is>
      </c>
      <c r="BG116" s="126" t="n">
        <v>0.225</v>
      </c>
      <c r="BH116" s="126" t="n">
        <v>1</v>
      </c>
      <c r="BI116" s="123" t="n">
        <v>0.8333333333333334</v>
      </c>
    </row>
    <row r="117" ht="17" customHeight="1">
      <c r="A117" s="117" t="inlineStr">
        <is>
          <t>SRE</t>
        </is>
      </c>
      <c r="B117" s="117" t="inlineStr">
        <is>
          <t>SEMPRA</t>
        </is>
      </c>
      <c r="C117" s="118" t="n">
        <v>0.857</v>
      </c>
      <c r="D117" s="124" t="inlineStr">
        <is>
          <t>N/A</t>
        </is>
      </c>
      <c r="E117" s="118" t="n">
        <v>0.522</v>
      </c>
      <c r="F117" s="118" t="n">
        <v>1.039</v>
      </c>
      <c r="G117" s="118" t="n">
        <v>1.033</v>
      </c>
      <c r="H117" s="124" t="inlineStr">
        <is>
          <t>N/A</t>
        </is>
      </c>
      <c r="I117" s="118" t="n">
        <v>1</v>
      </c>
      <c r="J117" s="118" t="n">
        <v>-0.025</v>
      </c>
      <c r="K117" s="124" t="inlineStr">
        <is>
          <t>N/A</t>
        </is>
      </c>
      <c r="L117" s="124" t="inlineStr">
        <is>
          <t>N/A</t>
        </is>
      </c>
      <c r="M117" s="120" t="n">
        <v>0.147</v>
      </c>
      <c r="N117" s="120" t="n">
        <v>-0.418</v>
      </c>
      <c r="O117" s="120" t="n">
        <v>0.004</v>
      </c>
      <c r="P117" s="120" t="n">
        <v>0.569</v>
      </c>
      <c r="Q117" s="120" t="n">
        <v>-0.013</v>
      </c>
      <c r="R117" s="117" t="n">
        <v>1</v>
      </c>
      <c r="S117" s="118" t="n">
        <v>-4.619</v>
      </c>
      <c r="T117" s="118" t="n">
        <v>0.01</v>
      </c>
      <c r="U117" s="119" t="inlineStr">
        <is>
          <t>✓ Normal</t>
        </is>
      </c>
      <c r="V117" s="117" t="n">
        <v>0</v>
      </c>
      <c r="W117" s="117" t="n">
        <v>0</v>
      </c>
      <c r="X117" s="117" t="n">
        <v>0</v>
      </c>
      <c r="Y117" s="117" t="n">
        <v>0</v>
      </c>
      <c r="Z117" s="117" t="n">
        <v>1</v>
      </c>
      <c r="AA117" s="117" t="n">
        <v>1</v>
      </c>
      <c r="AB117" s="117" t="n">
        <v>2</v>
      </c>
      <c r="AC117" s="121" t="inlineStr">
        <is>
          <t>⚠ WATCH</t>
        </is>
      </c>
      <c r="AD117" s="118" t="n">
        <v>4565000000</v>
      </c>
      <c r="AE117" s="118" t="n">
        <v>-12537000000</v>
      </c>
      <c r="AF117" s="118" t="n">
        <v>1837000000</v>
      </c>
      <c r="AG117" s="118" t="n">
        <v>0.095</v>
      </c>
      <c r="AH117" s="119" t="inlineStr">
        <is>
          <t>✓ Medium Quality</t>
        </is>
      </c>
      <c r="AI117" s="118" t="n">
        <v>-0.109</v>
      </c>
      <c r="AJ117" s="120" t="n">
        <v>0.039</v>
      </c>
      <c r="AK117" s="120" t="n">
        <v>-2.778</v>
      </c>
      <c r="AL117" s="120" t="n">
        <v>0.333</v>
      </c>
      <c r="AM117" s="120" t="n">
        <v>-0.008999999999999999</v>
      </c>
      <c r="AN117" s="118" t="n">
        <v>99.5</v>
      </c>
      <c r="AO117" s="119" t="inlineStr">
        <is>
          <t>✓ Good</t>
        </is>
      </c>
      <c r="AP117" s="117" t="n">
        <v>0</v>
      </c>
      <c r="AQ117" s="117" t="n">
        <v>0</v>
      </c>
      <c r="AR117" s="117" t="n">
        <v>0</v>
      </c>
      <c r="AS117" s="117" t="n">
        <v>0</v>
      </c>
      <c r="AT117" s="117" t="n">
        <v>0</v>
      </c>
      <c r="AU117" s="117" t="n">
        <v>0</v>
      </c>
      <c r="AV117" s="117" t="n">
        <v>0</v>
      </c>
      <c r="AW117" s="119" t="inlineStr">
        <is>
          <t>✓ Clean</t>
        </is>
      </c>
      <c r="AX117" s="118" t="n">
        <v>24.6</v>
      </c>
      <c r="AY117" s="119" t="inlineStr">
        <is>
          <t>🟢 LOW RISK</t>
        </is>
      </c>
      <c r="AZ117" s="118" t="n">
        <v>47.1</v>
      </c>
      <c r="BA117" s="118" t="n">
        <v>54.9</v>
      </c>
      <c r="BB117" s="124" t="inlineStr">
        <is>
          <t>N/A</t>
        </is>
      </c>
      <c r="BC117" s="124" t="inlineStr">
        <is>
          <t>N/A</t>
        </is>
      </c>
      <c r="BD117" s="124" t="inlineStr">
        <is>
          <t>N/A</t>
        </is>
      </c>
      <c r="BE117" s="124" t="inlineStr">
        <is>
          <t>N/A</t>
        </is>
      </c>
      <c r="BF117" s="120" t="n">
        <v>0.392</v>
      </c>
      <c r="BG117" s="117" t="n">
        <v>0.569</v>
      </c>
      <c r="BH117" s="122" t="n">
        <v>3</v>
      </c>
      <c r="BI117" s="123" t="n">
        <v>0.8333333333333334</v>
      </c>
    </row>
    <row r="118" ht="17" customHeight="1">
      <c r="A118" s="126" t="inlineStr">
        <is>
          <t>RJF</t>
        </is>
      </c>
      <c r="B118" s="126" t="inlineStr">
        <is>
          <t>RAYMOND JAMES FINANCIAL INC</t>
        </is>
      </c>
      <c r="C118" s="124" t="inlineStr">
        <is>
          <t>N/A</t>
        </is>
      </c>
      <c r="D118" s="124" t="inlineStr">
        <is>
          <t>N/A</t>
        </is>
      </c>
      <c r="E118" s="127" t="n">
        <v>1</v>
      </c>
      <c r="F118" s="127" t="n">
        <v>1.066</v>
      </c>
      <c r="G118" s="127" t="n">
        <v>0.9330000000000001</v>
      </c>
      <c r="H118" s="124" t="inlineStr">
        <is>
          <t>N/A</t>
        </is>
      </c>
      <c r="I118" s="127" t="n">
        <v>0.999</v>
      </c>
      <c r="J118" s="127" t="n">
        <v>-0.003</v>
      </c>
      <c r="K118" s="124" t="inlineStr">
        <is>
          <t>N/A</t>
        </is>
      </c>
      <c r="L118" s="124" t="inlineStr">
        <is>
          <t>N/A</t>
        </is>
      </c>
      <c r="M118" s="124" t="inlineStr">
        <is>
          <t>N/A</t>
        </is>
      </c>
      <c r="N118" s="124" t="inlineStr">
        <is>
          <t>N/A</t>
        </is>
      </c>
      <c r="O118" s="124" t="inlineStr">
        <is>
          <t>N/A</t>
        </is>
      </c>
      <c r="P118" s="128" t="n">
        <v>0.863</v>
      </c>
      <c r="Q118" s="128" t="n">
        <v>-0.001</v>
      </c>
      <c r="R118" s="126" t="n">
        <v>0</v>
      </c>
      <c r="S118" s="124" t="inlineStr">
        <is>
          <t>N/A</t>
        </is>
      </c>
      <c r="T118" s="124" t="inlineStr">
        <is>
          <t>N/A</t>
        </is>
      </c>
      <c r="U118" s="124" t="inlineStr">
        <is>
          <t>N/A</t>
        </is>
      </c>
      <c r="V118" s="126" t="n">
        <v>0</v>
      </c>
      <c r="W118" s="126" t="n">
        <v>0</v>
      </c>
      <c r="X118" s="126" t="n">
        <v>0</v>
      </c>
      <c r="Y118" s="126" t="n">
        <v>0</v>
      </c>
      <c r="Z118" s="126" t="n">
        <v>0</v>
      </c>
      <c r="AA118" s="126" t="n">
        <v>0</v>
      </c>
      <c r="AB118" s="126" t="n">
        <v>0</v>
      </c>
      <c r="AC118" s="119" t="inlineStr">
        <is>
          <t>✓ Clean</t>
        </is>
      </c>
      <c r="AD118" s="127" t="n">
        <v>2434000000</v>
      </c>
      <c r="AE118" s="127" t="n">
        <v>-4321000000</v>
      </c>
      <c r="AF118" s="127" t="n">
        <v>2135000000</v>
      </c>
      <c r="AG118" s="127" t="n">
        <v>0.047</v>
      </c>
      <c r="AH118" s="119" t="inlineStr">
        <is>
          <t>✓ Medium Quality</t>
        </is>
      </c>
      <c r="AI118" s="124" t="inlineStr">
        <is>
          <t>N/A</t>
        </is>
      </c>
      <c r="AJ118" s="128" t="n">
        <v>0.066</v>
      </c>
      <c r="AK118" s="124" t="inlineStr">
        <is>
          <t>N/A</t>
        </is>
      </c>
      <c r="AL118" s="128" t="n">
        <v>0.153</v>
      </c>
      <c r="AM118" s="124" t="inlineStr">
        <is>
          <t>N/A</t>
        </is>
      </c>
      <c r="AN118" s="126" t="n">
        <v>100</v>
      </c>
      <c r="AO118" s="119" t="inlineStr">
        <is>
          <t>✓ Good</t>
        </is>
      </c>
      <c r="AP118" s="126" t="n">
        <v>0</v>
      </c>
      <c r="AQ118" s="126" t="n">
        <v>0</v>
      </c>
      <c r="AR118" s="126" t="n">
        <v>0</v>
      </c>
      <c r="AS118" s="126" t="n">
        <v>0</v>
      </c>
      <c r="AT118" s="126" t="n">
        <v>0</v>
      </c>
      <c r="AU118" s="126" t="n">
        <v>1</v>
      </c>
      <c r="AV118" s="126" t="n">
        <v>1</v>
      </c>
      <c r="AW118" s="119" t="inlineStr">
        <is>
          <t>✓ Clean</t>
        </is>
      </c>
      <c r="AX118" s="127" t="n">
        <v>23.8</v>
      </c>
      <c r="AY118" s="119" t="inlineStr">
        <is>
          <t>🟢 LOW RISK</t>
        </is>
      </c>
      <c r="AZ118" s="127" t="n">
        <v>0</v>
      </c>
      <c r="BA118" s="124" t="inlineStr">
        <is>
          <t>N/A</t>
        </is>
      </c>
      <c r="BB118" s="124" t="inlineStr">
        <is>
          <t>N/A</t>
        </is>
      </c>
      <c r="BC118" s="124" t="inlineStr">
        <is>
          <t>N/A</t>
        </is>
      </c>
      <c r="BD118" s="124" t="inlineStr">
        <is>
          <t>N/A</t>
        </is>
      </c>
      <c r="BE118" s="124" t="inlineStr">
        <is>
          <t>N/A</t>
        </is>
      </c>
      <c r="BF118" s="128" t="n">
        <v>0.254</v>
      </c>
      <c r="BG118" s="126" t="n">
        <v>0.863</v>
      </c>
      <c r="BH118" s="126" t="n">
        <v>1</v>
      </c>
      <c r="BI118" s="125" t="n">
        <v>0.6666666666666666</v>
      </c>
    </row>
    <row r="119" ht="17" customHeight="1">
      <c r="A119" s="117" t="inlineStr">
        <is>
          <t>NCLH</t>
        </is>
      </c>
      <c r="B119" s="117" t="inlineStr">
        <is>
          <t>NORWEGIAN CRUISE LINE HOLDINGS LTD.</t>
        </is>
      </c>
      <c r="C119" s="118" t="n">
        <v>0.305</v>
      </c>
      <c r="D119" s="118" t="n">
        <v>78.89400000000001</v>
      </c>
      <c r="E119" s="118" t="n">
        <v>0.962</v>
      </c>
      <c r="F119" s="118" t="n">
        <v>4.318</v>
      </c>
      <c r="G119" s="118" t="n">
        <v>0.9389999999999999</v>
      </c>
      <c r="H119" s="118" t="n">
        <v>0.25</v>
      </c>
      <c r="I119" s="118" t="n">
        <v>0.971</v>
      </c>
      <c r="J119" s="118" t="n">
        <v>-0.074</v>
      </c>
      <c r="K119" s="118" t="n">
        <v>40.739</v>
      </c>
      <c r="L119" s="121" t="inlineStr">
        <is>
          <t>⚠ MANIPULATOR RISK</t>
        </is>
      </c>
      <c r="M119" s="120" t="n">
        <v>-0.028</v>
      </c>
      <c r="N119" s="120" t="n">
        <v>0.017</v>
      </c>
      <c r="O119" s="120" t="n">
        <v>-0.003</v>
      </c>
      <c r="P119" s="120" t="n">
        <v>0.145</v>
      </c>
      <c r="Q119" s="120" t="n">
        <v>-0.027</v>
      </c>
      <c r="R119" s="117" t="n">
        <v>1</v>
      </c>
      <c r="S119" s="118" t="n">
        <v>-4.504</v>
      </c>
      <c r="T119" s="118" t="n">
        <v>0.011</v>
      </c>
      <c r="U119" s="119" t="inlineStr">
        <is>
          <t>✓ Normal</t>
        </is>
      </c>
      <c r="V119" s="117" t="n">
        <v>1</v>
      </c>
      <c r="W119" s="117" t="n">
        <v>0</v>
      </c>
      <c r="X119" s="117" t="n">
        <v>0</v>
      </c>
      <c r="Y119" s="117" t="n">
        <v>1</v>
      </c>
      <c r="Z119" s="117" t="n">
        <v>0</v>
      </c>
      <c r="AA119" s="117" t="n">
        <v>1</v>
      </c>
      <c r="AB119" s="117" t="n">
        <v>3</v>
      </c>
      <c r="AC119" s="121" t="inlineStr">
        <is>
          <t>⚠ WATCH</t>
        </is>
      </c>
      <c r="AD119" s="118" t="n">
        <v>2089746000</v>
      </c>
      <c r="AE119" s="118" t="n">
        <v>-3264691000</v>
      </c>
      <c r="AF119" s="118" t="n">
        <v>423246000</v>
      </c>
      <c r="AG119" s="118" t="n">
        <v>0.075</v>
      </c>
      <c r="AH119" s="119" t="inlineStr">
        <is>
          <t>✓ Medium Quality</t>
        </is>
      </c>
      <c r="AI119" s="118" t="n">
        <v>0.317</v>
      </c>
      <c r="AJ119" s="120" t="n">
        <v>3.318</v>
      </c>
      <c r="AK119" s="120" t="n">
        <v>0.096</v>
      </c>
      <c r="AL119" s="120" t="n">
        <v>0.387</v>
      </c>
      <c r="AM119" s="120" t="n">
        <v>0.018</v>
      </c>
      <c r="AN119" s="117" t="n">
        <v>100</v>
      </c>
      <c r="AO119" s="119" t="inlineStr">
        <is>
          <t>✓ Good</t>
        </is>
      </c>
      <c r="AP119" s="117" t="n">
        <v>0</v>
      </c>
      <c r="AQ119" s="117" t="n">
        <v>0</v>
      </c>
      <c r="AR119" s="117" t="n">
        <v>0</v>
      </c>
      <c r="AS119" s="117" t="n">
        <v>0</v>
      </c>
      <c r="AT119" s="117" t="n">
        <v>0</v>
      </c>
      <c r="AU119" s="117" t="n">
        <v>0</v>
      </c>
      <c r="AV119" s="117" t="n">
        <v>0</v>
      </c>
      <c r="AW119" s="119" t="inlineStr">
        <is>
          <t>✓ Clean</t>
        </is>
      </c>
      <c r="AX119" s="118" t="n">
        <v>43.1</v>
      </c>
      <c r="AY119" s="121" t="inlineStr">
        <is>
          <t>🟡 ELEVATED RISK</t>
        </is>
      </c>
      <c r="AZ119" s="118" t="n">
        <v>19.7</v>
      </c>
      <c r="BA119" s="118" t="n">
        <v>64.7</v>
      </c>
      <c r="BB119" s="118" t="n">
        <v>8.9</v>
      </c>
      <c r="BC119" s="118" t="n">
        <v>9.6</v>
      </c>
      <c r="BD119" s="118" t="n">
        <v>11</v>
      </c>
      <c r="BE119" s="118" t="n">
        <v>11</v>
      </c>
      <c r="BF119" s="120" t="n">
        <v>0.013</v>
      </c>
      <c r="BG119" s="117" t="n">
        <v>0.145</v>
      </c>
      <c r="BH119" s="122" t="n">
        <v>4</v>
      </c>
      <c r="BI119" s="123" t="n">
        <v>1</v>
      </c>
    </row>
    <row r="120" ht="17" customHeight="1">
      <c r="A120" s="117" t="inlineStr">
        <is>
          <t>GLW</t>
        </is>
      </c>
      <c r="B120" s="117" t="inlineStr">
        <is>
          <t>CORNING INC /NY</t>
        </is>
      </c>
      <c r="C120" s="118" t="n">
        <v>1.136</v>
      </c>
      <c r="D120" s="118" t="n">
        <v>0.906</v>
      </c>
      <c r="E120" s="118" t="n">
        <v>1.012</v>
      </c>
      <c r="F120" s="118" t="n">
        <v>1.191</v>
      </c>
      <c r="G120" s="118" t="n">
        <v>1.094</v>
      </c>
      <c r="H120" s="118" t="n">
        <v>0.922</v>
      </c>
      <c r="I120" s="118" t="n">
        <v>1.003</v>
      </c>
      <c r="J120" s="118" t="n">
        <v>-0.035</v>
      </c>
      <c r="K120" s="118" t="n">
        <v>-2.371</v>
      </c>
      <c r="L120" s="119" t="inlineStr">
        <is>
          <t>✓ Lower Risk</t>
        </is>
      </c>
      <c r="M120" s="120" t="n">
        <v>-0.025</v>
      </c>
      <c r="N120" s="120" t="n">
        <v>0.289</v>
      </c>
      <c r="O120" s="120" t="n">
        <v>0.141</v>
      </c>
      <c r="P120" s="120" t="n">
        <v>0.472</v>
      </c>
      <c r="Q120" s="120" t="n">
        <v>0.033</v>
      </c>
      <c r="R120" s="117" t="n">
        <v>0</v>
      </c>
      <c r="S120" s="118" t="n">
        <v>-6.097</v>
      </c>
      <c r="T120" s="118" t="n">
        <v>0.002</v>
      </c>
      <c r="U120" s="119" t="inlineStr">
        <is>
          <t>✓ Normal</t>
        </is>
      </c>
      <c r="V120" s="117" t="n">
        <v>1</v>
      </c>
      <c r="W120" s="117" t="n">
        <v>1</v>
      </c>
      <c r="X120" s="117" t="n">
        <v>0</v>
      </c>
      <c r="Y120" s="117" t="n">
        <v>0</v>
      </c>
      <c r="Z120" s="117" t="n">
        <v>1</v>
      </c>
      <c r="AA120" s="117" t="n">
        <v>1</v>
      </c>
      <c r="AB120" s="117" t="n">
        <v>4</v>
      </c>
      <c r="AC120" s="121" t="inlineStr">
        <is>
          <t>⚠⚠ SERIOUS CONCERN</t>
        </is>
      </c>
      <c r="AD120" s="118" t="n">
        <v>2695000000</v>
      </c>
      <c r="AE120" s="118" t="n">
        <v>-1243000000</v>
      </c>
      <c r="AF120" s="118" t="n">
        <v>1596000000</v>
      </c>
      <c r="AG120" s="118" t="n">
        <v>0.005</v>
      </c>
      <c r="AH120" s="119" t="inlineStr">
        <is>
          <t>✓ Medium Quality</t>
        </is>
      </c>
      <c r="AI120" s="118" t="n">
        <v>0.354</v>
      </c>
      <c r="AJ120" s="120" t="n">
        <v>0.191</v>
      </c>
      <c r="AK120" s="120" t="n">
        <v>1.847</v>
      </c>
      <c r="AL120" s="120" t="n">
        <v>0.172</v>
      </c>
      <c r="AM120" s="120" t="n">
        <v>0.002</v>
      </c>
      <c r="AN120" s="118" t="n">
        <v>74.7</v>
      </c>
      <c r="AO120" s="119" t="inlineStr">
        <is>
          <t>✓ Good</t>
        </is>
      </c>
      <c r="AP120" s="117" t="n">
        <v>0</v>
      </c>
      <c r="AQ120" s="117" t="n">
        <v>0</v>
      </c>
      <c r="AR120" s="117" t="n">
        <v>0</v>
      </c>
      <c r="AS120" s="117" t="n">
        <v>0</v>
      </c>
      <c r="AT120" s="117" t="n">
        <v>1</v>
      </c>
      <c r="AU120" s="117" t="n">
        <v>1</v>
      </c>
      <c r="AV120" s="117" t="n">
        <v>2</v>
      </c>
      <c r="AW120" s="121" t="inlineStr">
        <is>
          <t>⚠ WATCH</t>
        </is>
      </c>
      <c r="AX120" s="118" t="n">
        <v>24.1</v>
      </c>
      <c r="AY120" s="119" t="inlineStr">
        <is>
          <t>🟢 LOW RISK</t>
        </is>
      </c>
      <c r="AZ120" s="118" t="n">
        <v>64.90000000000001</v>
      </c>
      <c r="BA120" s="118" t="n">
        <v>57.1</v>
      </c>
      <c r="BB120" s="118" t="n">
        <v>112.2</v>
      </c>
      <c r="BC120" s="118" t="n">
        <v>112.4</v>
      </c>
      <c r="BD120" s="118" t="n">
        <v>72.2</v>
      </c>
      <c r="BE120" s="118" t="n">
        <v>60.8</v>
      </c>
      <c r="BF120" s="120" t="n">
        <v>0.151</v>
      </c>
      <c r="BG120" s="117" t="n">
        <v>0.472</v>
      </c>
      <c r="BH120" s="122" t="n">
        <v>6</v>
      </c>
      <c r="BI120" s="123" t="n">
        <v>1</v>
      </c>
    </row>
    <row r="121" ht="17" customHeight="1">
      <c r="A121" s="117" t="inlineStr">
        <is>
          <t>AMCR</t>
        </is>
      </c>
      <c r="B121" s="117" t="inlineStr">
        <is>
          <t>AMCOR PLC</t>
        </is>
      </c>
      <c r="C121" s="118" t="n">
        <v>1.217</v>
      </c>
      <c r="D121" s="118" t="n">
        <v>0.482</v>
      </c>
      <c r="E121" s="118" t="n">
        <v>1.449</v>
      </c>
      <c r="F121" s="118" t="n">
        <v>1.525</v>
      </c>
      <c r="G121" s="118" t="n">
        <v>0.847</v>
      </c>
      <c r="H121" s="118" t="n">
        <v>0.627</v>
      </c>
      <c r="I121" s="118" t="n">
        <v>0.898</v>
      </c>
      <c r="J121" s="118" t="n">
        <v>-0.024</v>
      </c>
      <c r="K121" s="118" t="n">
        <v>-1.935</v>
      </c>
      <c r="L121" s="121" t="inlineStr">
        <is>
          <t>⚠ MANIPULATOR RISK</t>
        </is>
      </c>
      <c r="M121" s="120" t="n">
        <v>-0.006</v>
      </c>
      <c r="N121" s="120" t="n">
        <v>0.903</v>
      </c>
      <c r="O121" s="120" t="n">
        <v>0.256</v>
      </c>
      <c r="P121" s="120" t="n">
        <v>0.87</v>
      </c>
      <c r="Q121" s="120" t="n">
        <v>0.016</v>
      </c>
      <c r="R121" s="117" t="n">
        <v>1</v>
      </c>
      <c r="S121" s="118" t="n">
        <v>-0.528</v>
      </c>
      <c r="T121" s="118" t="n">
        <v>0.371</v>
      </c>
      <c r="U121" s="121" t="inlineStr">
        <is>
          <t>⚠ HIGH RISK</t>
        </is>
      </c>
      <c r="V121" s="117" t="n">
        <v>1</v>
      </c>
      <c r="W121" s="117" t="n">
        <v>1</v>
      </c>
      <c r="X121" s="117" t="n">
        <v>0</v>
      </c>
      <c r="Y121" s="117" t="n">
        <v>1</v>
      </c>
      <c r="Z121" s="117" t="n">
        <v>1</v>
      </c>
      <c r="AA121" s="117" t="n">
        <v>1</v>
      </c>
      <c r="AB121" s="117" t="n">
        <v>5</v>
      </c>
      <c r="AC121" s="121" t="inlineStr">
        <is>
          <t>⚠⚠ SERIOUS CONCERN</t>
        </is>
      </c>
      <c r="AD121" s="118" t="n">
        <v>1390000000</v>
      </c>
      <c r="AE121" s="118" t="n">
        <v>-2102000000</v>
      </c>
      <c r="AF121" s="118" t="n">
        <v>511000000</v>
      </c>
      <c r="AG121" s="118" t="n">
        <v>0.046</v>
      </c>
      <c r="AH121" s="119" t="inlineStr">
        <is>
          <t>✓ Medium Quality</t>
        </is>
      </c>
      <c r="AI121" s="118" t="n">
        <v>0.856</v>
      </c>
      <c r="AJ121" s="120" t="n">
        <v>0.525</v>
      </c>
      <c r="AK121" s="120" t="n">
        <v>1.631</v>
      </c>
      <c r="AL121" s="120" t="n">
        <v>0.274</v>
      </c>
      <c r="AM121" s="124" t="inlineStr">
        <is>
          <t>N/A</t>
        </is>
      </c>
      <c r="AN121" s="118" t="n">
        <v>81.09999999999999</v>
      </c>
      <c r="AO121" s="119" t="inlineStr">
        <is>
          <t>✓ Good</t>
        </is>
      </c>
      <c r="AP121" s="117" t="n">
        <v>0</v>
      </c>
      <c r="AQ121" s="117" t="n">
        <v>0</v>
      </c>
      <c r="AR121" s="117" t="n">
        <v>0</v>
      </c>
      <c r="AS121" s="117" t="n">
        <v>0</v>
      </c>
      <c r="AT121" s="117" t="n">
        <v>1</v>
      </c>
      <c r="AU121" s="117" t="n">
        <v>0</v>
      </c>
      <c r="AV121" s="117" t="n">
        <v>1</v>
      </c>
      <c r="AW121" s="119" t="inlineStr">
        <is>
          <t>✓ Clean</t>
        </is>
      </c>
      <c r="AX121" s="118" t="n">
        <v>58.1</v>
      </c>
      <c r="AY121" s="121" t="inlineStr">
        <is>
          <t>🟡 ELEVATED RISK</t>
        </is>
      </c>
      <c r="AZ121" s="118" t="n">
        <v>246.1</v>
      </c>
      <c r="BA121" s="118" t="n">
        <v>202.2</v>
      </c>
      <c r="BB121" s="118" t="n">
        <v>73.09999999999999</v>
      </c>
      <c r="BC121" s="118" t="n">
        <v>66.5</v>
      </c>
      <c r="BD121" s="118" t="n">
        <v>104.6</v>
      </c>
      <c r="BE121" s="118" t="n">
        <v>86.2</v>
      </c>
      <c r="BF121" s="120" t="n">
        <v>0.208</v>
      </c>
      <c r="BG121" s="117" t="n">
        <v>0.87</v>
      </c>
      <c r="BH121" s="122" t="n">
        <v>7</v>
      </c>
      <c r="BI121" s="123" t="n">
        <v>1</v>
      </c>
    </row>
    <row r="122" ht="17" customHeight="1">
      <c r="A122" s="117" t="inlineStr">
        <is>
          <t>QCOM</t>
        </is>
      </c>
      <c r="B122" s="117" t="inlineStr">
        <is>
          <t>QUALCOMM INC/DE</t>
        </is>
      </c>
      <c r="C122" s="118" t="n">
        <v>1.07</v>
      </c>
      <c r="D122" s="118" t="n">
        <v>1.014</v>
      </c>
      <c r="E122" s="118" t="n">
        <v>0.858</v>
      </c>
      <c r="F122" s="118" t="n">
        <v>1.137</v>
      </c>
      <c r="G122" s="118" t="n">
        <v>0.962</v>
      </c>
      <c r="H122" s="118" t="n">
        <v>0.992</v>
      </c>
      <c r="I122" s="118" t="n">
        <v>1.102</v>
      </c>
      <c r="J122" s="118" t="n">
        <v>-0.169</v>
      </c>
      <c r="K122" s="118" t="n">
        <v>-3.17</v>
      </c>
      <c r="L122" s="119" t="inlineStr">
        <is>
          <t>✓ Lower Risk</t>
        </is>
      </c>
      <c r="M122" s="120" t="n">
        <v>0.06</v>
      </c>
      <c r="N122" s="120" t="n">
        <v>0.095</v>
      </c>
      <c r="O122" s="120" t="n">
        <v>0.019</v>
      </c>
      <c r="P122" s="120" t="n">
        <v>0.796</v>
      </c>
      <c r="Q122" s="120" t="n">
        <v>-0.073</v>
      </c>
      <c r="R122" s="117" t="n">
        <v>0</v>
      </c>
      <c r="S122" s="118" t="n">
        <v>-5.974</v>
      </c>
      <c r="T122" s="118" t="n">
        <v>0.003</v>
      </c>
      <c r="U122" s="119" t="inlineStr">
        <is>
          <t>✓ Normal</t>
        </is>
      </c>
      <c r="V122" s="117" t="n">
        <v>0</v>
      </c>
      <c r="W122" s="117" t="n">
        <v>1</v>
      </c>
      <c r="X122" s="117" t="n">
        <v>0</v>
      </c>
      <c r="Y122" s="117" t="n">
        <v>1</v>
      </c>
      <c r="Z122" s="117" t="n">
        <v>0</v>
      </c>
      <c r="AA122" s="117" t="n">
        <v>0</v>
      </c>
      <c r="AB122" s="117" t="n">
        <v>2</v>
      </c>
      <c r="AC122" s="121" t="inlineStr">
        <is>
          <t>⚠ WATCH</t>
        </is>
      </c>
      <c r="AD122" s="118" t="n">
        <v>14012000000</v>
      </c>
      <c r="AE122" s="118" t="n">
        <v>-800000000</v>
      </c>
      <c r="AF122" s="118" t="n">
        <v>5541000000</v>
      </c>
      <c r="AG122" s="118" t="n">
        <v>-0.146</v>
      </c>
      <c r="AH122" s="119" t="inlineStr">
        <is>
          <t>✓ High Quality</t>
        </is>
      </c>
      <c r="AI122" s="118" t="n">
        <v>0.216</v>
      </c>
      <c r="AJ122" s="120" t="n">
        <v>0.137</v>
      </c>
      <c r="AK122" s="120" t="n">
        <v>1.585</v>
      </c>
      <c r="AL122" s="120" t="n">
        <v>0.316</v>
      </c>
      <c r="AM122" s="120" t="n">
        <v>0.001</v>
      </c>
      <c r="AN122" s="118" t="n">
        <v>82.5</v>
      </c>
      <c r="AO122" s="119" t="inlineStr">
        <is>
          <t>✓ Good</t>
        </is>
      </c>
      <c r="AP122" s="117" t="n">
        <v>0</v>
      </c>
      <c r="AQ122" s="117" t="n">
        <v>0</v>
      </c>
      <c r="AR122" s="117" t="n">
        <v>1</v>
      </c>
      <c r="AS122" s="117" t="n">
        <v>0</v>
      </c>
      <c r="AT122" s="117" t="n">
        <v>1</v>
      </c>
      <c r="AU122" s="117" t="n">
        <v>0</v>
      </c>
      <c r="AV122" s="117" t="n">
        <v>2</v>
      </c>
      <c r="AW122" s="121" t="inlineStr">
        <is>
          <t>⚠ WATCH</t>
        </is>
      </c>
      <c r="AX122" s="118" t="n">
        <v>17.5</v>
      </c>
      <c r="AY122" s="119" t="inlineStr">
        <is>
          <t>🟢 VERY LOW RISK</t>
        </is>
      </c>
      <c r="AZ122" s="118" t="n">
        <v>23.5</v>
      </c>
      <c r="BA122" s="118" t="n">
        <v>22</v>
      </c>
      <c r="BB122" s="118" t="n">
        <v>120.7</v>
      </c>
      <c r="BC122" s="118" t="n">
        <v>137.4</v>
      </c>
      <c r="BD122" s="118" t="n">
        <v>51.6</v>
      </c>
      <c r="BE122" s="118" t="n">
        <v>55.3</v>
      </c>
      <c r="BF122" s="120" t="n">
        <v>0.5620000000000001</v>
      </c>
      <c r="BG122" s="117" t="n">
        <v>0.796</v>
      </c>
      <c r="BH122" s="122" t="n">
        <v>4</v>
      </c>
      <c r="BI122" s="123" t="n">
        <v>1</v>
      </c>
    </row>
    <row r="123" ht="17" customHeight="1">
      <c r="A123" s="117" t="inlineStr">
        <is>
          <t>AAP</t>
        </is>
      </c>
      <c r="B123" s="117" t="inlineStr">
        <is>
          <t>ADVANCE AUTO PARTS, INC.</t>
        </is>
      </c>
      <c r="C123" s="118" t="n">
        <v>0.739</v>
      </c>
      <c r="D123" s="118" t="n">
        <v>0.864</v>
      </c>
      <c r="E123" s="118" t="n">
        <v>0.898</v>
      </c>
      <c r="F123" s="118" t="n">
        <v>0.946</v>
      </c>
      <c r="G123" s="118" t="n">
        <v>1.017</v>
      </c>
      <c r="H123" s="118" t="n">
        <v>0.991</v>
      </c>
      <c r="I123" s="118" t="n">
        <v>1.019</v>
      </c>
      <c r="J123" s="118" t="n">
        <v>0.008</v>
      </c>
      <c r="K123" s="118" t="n">
        <v>-2.849</v>
      </c>
      <c r="L123" s="119" t="inlineStr">
        <is>
          <t>✓ Lower Risk</t>
        </is>
      </c>
      <c r="M123" s="120" t="n">
        <v>0.008999999999999999</v>
      </c>
      <c r="N123" s="120" t="n">
        <v>-0.333</v>
      </c>
      <c r="O123" s="120" t="n">
        <v>0.06900000000000001</v>
      </c>
      <c r="P123" s="120" t="n">
        <v>0.629</v>
      </c>
      <c r="Q123" s="120" t="n">
        <v>0.035</v>
      </c>
      <c r="R123" s="117" t="n">
        <v>1</v>
      </c>
      <c r="S123" s="118" t="n">
        <v>-4.338</v>
      </c>
      <c r="T123" s="118" t="n">
        <v>0.013</v>
      </c>
      <c r="U123" s="119" t="inlineStr">
        <is>
          <t>✓ Normal</t>
        </is>
      </c>
      <c r="V123" s="117" t="n">
        <v>1</v>
      </c>
      <c r="W123" s="117" t="n">
        <v>0</v>
      </c>
      <c r="X123" s="117" t="n">
        <v>1</v>
      </c>
      <c r="Y123" s="117" t="n">
        <v>1</v>
      </c>
      <c r="Z123" s="117" t="n">
        <v>1</v>
      </c>
      <c r="AA123" s="117" t="n">
        <v>0</v>
      </c>
      <c r="AB123" s="117" t="n">
        <v>4</v>
      </c>
      <c r="AC123" s="121" t="inlineStr">
        <is>
          <t>⚠⚠ SERIOUS CONCERN</t>
        </is>
      </c>
      <c r="AD123" s="118" t="n">
        <v>-46000000</v>
      </c>
      <c r="AE123" s="118" t="n">
        <v>-239000000</v>
      </c>
      <c r="AF123" s="118" t="n">
        <v>44000000</v>
      </c>
      <c r="AG123" s="118" t="n">
        <v>0.029</v>
      </c>
      <c r="AH123" s="119" t="inlineStr">
        <is>
          <t>✓ Medium Quality</t>
        </is>
      </c>
      <c r="AI123" s="118" t="n">
        <v>-0.302</v>
      </c>
      <c r="AJ123" s="120" t="n">
        <v>-0.054</v>
      </c>
      <c r="AK123" s="120" t="n">
        <v>5.558</v>
      </c>
      <c r="AL123" s="120" t="n">
        <v>-0.005</v>
      </c>
      <c r="AM123" s="120" t="n">
        <v>-0</v>
      </c>
      <c r="AN123" s="118" t="n">
        <v>40</v>
      </c>
      <c r="AO123" s="121" t="inlineStr">
        <is>
          <t>⚠ WATCH</t>
        </is>
      </c>
      <c r="AP123" s="117" t="n">
        <v>1</v>
      </c>
      <c r="AQ123" s="117" t="n">
        <v>1</v>
      </c>
      <c r="AR123" s="117" t="n">
        <v>0</v>
      </c>
      <c r="AS123" s="117" t="n">
        <v>0</v>
      </c>
      <c r="AT123" s="117" t="n">
        <v>0</v>
      </c>
      <c r="AU123" s="117" t="n">
        <v>0</v>
      </c>
      <c r="AV123" s="117" t="n">
        <v>2</v>
      </c>
      <c r="AW123" s="121" t="inlineStr">
        <is>
          <t>⚠ WATCH</t>
        </is>
      </c>
      <c r="AX123" s="118" t="n">
        <v>26.5</v>
      </c>
      <c r="AY123" s="119" t="inlineStr">
        <is>
          <t>🟢 LOW RISK</t>
        </is>
      </c>
      <c r="AZ123" s="118" t="n">
        <v>16.1</v>
      </c>
      <c r="BA123" s="118" t="n">
        <v>21.8</v>
      </c>
      <c r="BB123" s="118" t="n">
        <v>273.4</v>
      </c>
      <c r="BC123" s="118" t="n">
        <v>231.9</v>
      </c>
      <c r="BD123" s="118" t="n">
        <v>223.2</v>
      </c>
      <c r="BE123" s="118" t="n">
        <v>218.8</v>
      </c>
      <c r="BF123" s="120" t="n">
        <v>1.747</v>
      </c>
      <c r="BG123" s="117" t="n">
        <v>0.629</v>
      </c>
      <c r="BH123" s="122" t="n">
        <v>7</v>
      </c>
      <c r="BI123" s="123" t="n">
        <v>1</v>
      </c>
    </row>
    <row r="124" ht="17" customHeight="1">
      <c r="A124" s="117" t="inlineStr">
        <is>
          <t>LYB</t>
        </is>
      </c>
      <c r="B124" s="117" t="inlineStr">
        <is>
          <t>LYONDELLBASELL INDUSTRIES N.V.</t>
        </is>
      </c>
      <c r="C124" s="118" t="n">
        <v>0.993</v>
      </c>
      <c r="D124" s="118" t="n">
        <v>0.544</v>
      </c>
      <c r="E124" s="118" t="n">
        <v>0.912</v>
      </c>
      <c r="F124" s="118" t="n">
        <v>0.748</v>
      </c>
      <c r="G124" s="118" t="n">
        <v>1.137</v>
      </c>
      <c r="H124" s="118" t="n">
        <v>1.294</v>
      </c>
      <c r="I124" s="118" t="n">
        <v>1</v>
      </c>
      <c r="J124" s="118" t="n">
        <v>0.033</v>
      </c>
      <c r="K124" s="118" t="n">
        <v>-2.866</v>
      </c>
      <c r="L124" s="119" t="inlineStr">
        <is>
          <t>✓ Lower Risk</t>
        </is>
      </c>
      <c r="M124" s="120" t="n">
        <v>-0.067</v>
      </c>
      <c r="N124" s="120" t="n">
        <v>-0.116</v>
      </c>
      <c r="O124" s="120" t="n">
        <v>-0.111</v>
      </c>
      <c r="P124" s="120" t="n">
        <v>0.433</v>
      </c>
      <c r="Q124" s="120" t="n">
        <v>-0.031</v>
      </c>
      <c r="R124" s="117" t="n">
        <v>0</v>
      </c>
      <c r="S124" s="118" t="n">
        <v>-7.498</v>
      </c>
      <c r="T124" s="118" t="n">
        <v>0.001</v>
      </c>
      <c r="U124" s="119" t="inlineStr">
        <is>
          <t>✓ Normal</t>
        </is>
      </c>
      <c r="V124" s="117" t="n">
        <v>1</v>
      </c>
      <c r="W124" s="117" t="n">
        <v>0</v>
      </c>
      <c r="X124" s="117" t="n">
        <v>1</v>
      </c>
      <c r="Y124" s="117" t="n">
        <v>0</v>
      </c>
      <c r="Z124" s="117" t="n">
        <v>1</v>
      </c>
      <c r="AA124" s="117" t="n">
        <v>0</v>
      </c>
      <c r="AB124" s="117" t="n">
        <v>3</v>
      </c>
      <c r="AC124" s="121" t="inlineStr">
        <is>
          <t>⚠ WATCH</t>
        </is>
      </c>
      <c r="AD124" s="118" t="n">
        <v>2262000000</v>
      </c>
      <c r="AE124" s="118" t="n">
        <v>-1776000000</v>
      </c>
      <c r="AF124" s="118" t="n">
        <v>3397000000</v>
      </c>
      <c r="AG124" s="118" t="n">
        <v>0.083</v>
      </c>
      <c r="AH124" s="119" t="inlineStr">
        <is>
          <t>✓ Medium Quality</t>
        </is>
      </c>
      <c r="AI124" s="118" t="n">
        <v>-0.257</v>
      </c>
      <c r="AJ124" s="120" t="n">
        <v>-0.252</v>
      </c>
      <c r="AK124" s="120" t="n">
        <v>1.02</v>
      </c>
      <c r="AL124" s="120" t="n">
        <v>0.075</v>
      </c>
      <c r="AM124" s="120" t="n">
        <v>-0.002</v>
      </c>
      <c r="AN124" s="118" t="n">
        <v>84.3</v>
      </c>
      <c r="AO124" s="119" t="inlineStr">
        <is>
          <t>✓ Good</t>
        </is>
      </c>
      <c r="AP124" s="117" t="n">
        <v>1</v>
      </c>
      <c r="AQ124" s="117" t="n">
        <v>1</v>
      </c>
      <c r="AR124" s="117" t="n">
        <v>0</v>
      </c>
      <c r="AS124" s="117" t="n">
        <v>1</v>
      </c>
      <c r="AT124" s="117" t="n">
        <v>0</v>
      </c>
      <c r="AU124" s="117" t="n">
        <v>1</v>
      </c>
      <c r="AV124" s="117" t="n">
        <v>4</v>
      </c>
      <c r="AW124" s="117" t="inlineStr">
        <is>
          <t>⚠⚠ MULTIPLE RED FLAGS</t>
        </is>
      </c>
      <c r="AX124" s="118" t="n">
        <v>21.8</v>
      </c>
      <c r="AY124" s="119" t="inlineStr">
        <is>
          <t>🟢 LOW RISK</t>
        </is>
      </c>
      <c r="AZ124" s="118" t="n">
        <v>41.1</v>
      </c>
      <c r="BA124" s="118" t="n">
        <v>41.3</v>
      </c>
      <c r="BB124" s="118" t="n">
        <v>46.8</v>
      </c>
      <c r="BC124" s="118" t="n">
        <v>47.6</v>
      </c>
      <c r="BD124" s="118" t="n">
        <v>24.3</v>
      </c>
      <c r="BE124" s="124" t="inlineStr">
        <is>
          <t>N/A</t>
        </is>
      </c>
      <c r="BF124" s="120" t="n">
        <v>-0.098</v>
      </c>
      <c r="BG124" s="117" t="n">
        <v>0.433</v>
      </c>
      <c r="BH124" s="122" t="n">
        <v>7</v>
      </c>
      <c r="BI124" s="123" t="n">
        <v>1</v>
      </c>
    </row>
    <row r="125" ht="17" customHeight="1">
      <c r="A125" s="117" t="inlineStr">
        <is>
          <t>VZ</t>
        </is>
      </c>
      <c r="B125" s="117" t="inlineStr">
        <is>
          <t>VERIZON COMMUNICATIONS INC</t>
        </is>
      </c>
      <c r="C125" s="118" t="n">
        <v>0.972</v>
      </c>
      <c r="D125" s="118" t="n">
        <v>1.044</v>
      </c>
      <c r="E125" s="118" t="n">
        <v>0.961</v>
      </c>
      <c r="F125" s="118" t="n">
        <v>1.025</v>
      </c>
      <c r="G125" s="118" t="n">
        <v>0.986</v>
      </c>
      <c r="H125" s="118" t="n">
        <v>0.967</v>
      </c>
      <c r="I125" s="118" t="n">
        <v>1</v>
      </c>
      <c r="J125" s="118" t="n">
        <v>-0.049</v>
      </c>
      <c r="K125" s="118" t="n">
        <v>-2.702</v>
      </c>
      <c r="L125" s="119" t="inlineStr">
        <is>
          <t>✓ Lower Risk</t>
        </is>
      </c>
      <c r="M125" s="120" t="n">
        <v>-0.036</v>
      </c>
      <c r="N125" s="120" t="n">
        <v>-0.021</v>
      </c>
      <c r="O125" s="120" t="n">
        <v>0.057</v>
      </c>
      <c r="P125" s="120" t="n">
        <v>0.6820000000000001</v>
      </c>
      <c r="Q125" s="120" t="n">
        <v>-0.003</v>
      </c>
      <c r="R125" s="117" t="n">
        <v>0</v>
      </c>
      <c r="S125" s="118" t="n">
        <v>-6.555</v>
      </c>
      <c r="T125" s="118" t="n">
        <v>0.001</v>
      </c>
      <c r="U125" s="119" t="inlineStr">
        <is>
          <t>✓ Normal</t>
        </is>
      </c>
      <c r="V125" s="117" t="n">
        <v>0</v>
      </c>
      <c r="W125" s="117" t="n">
        <v>0</v>
      </c>
      <c r="X125" s="117" t="n">
        <v>1</v>
      </c>
      <c r="Y125" s="117" t="n">
        <v>0</v>
      </c>
      <c r="Z125" s="117" t="n">
        <v>1</v>
      </c>
      <c r="AA125" s="117" t="n">
        <v>0</v>
      </c>
      <c r="AB125" s="117" t="n">
        <v>2</v>
      </c>
      <c r="AC125" s="121" t="inlineStr">
        <is>
          <t>⚠ WATCH</t>
        </is>
      </c>
      <c r="AD125" s="118" t="n">
        <v>37137000000</v>
      </c>
      <c r="AE125" s="118" t="n">
        <v>-16660000000</v>
      </c>
      <c r="AF125" s="118" t="n">
        <v>17174000000</v>
      </c>
      <c r="AG125" s="118" t="n">
        <v>-0.008</v>
      </c>
      <c r="AH125" s="119" t="inlineStr">
        <is>
          <t>✓ Medium Quality</t>
        </is>
      </c>
      <c r="AI125" s="118" t="n">
        <v>-0.003</v>
      </c>
      <c r="AJ125" s="120" t="n">
        <v>0.025</v>
      </c>
      <c r="AK125" s="120" t="n">
        <v>-0.118</v>
      </c>
      <c r="AL125" s="120" t="n">
        <v>0.269</v>
      </c>
      <c r="AM125" s="120" t="n">
        <v>0.001</v>
      </c>
      <c r="AN125" s="117" t="n">
        <v>100</v>
      </c>
      <c r="AO125" s="119" t="inlineStr">
        <is>
          <t>✓ Good</t>
        </is>
      </c>
      <c r="AP125" s="117" t="n">
        <v>0</v>
      </c>
      <c r="AQ125" s="117" t="n">
        <v>0</v>
      </c>
      <c r="AR125" s="117" t="n">
        <v>1</v>
      </c>
      <c r="AS125" s="117" t="n">
        <v>0</v>
      </c>
      <c r="AT125" s="117" t="n">
        <v>0</v>
      </c>
      <c r="AU125" s="117" t="n">
        <v>0</v>
      </c>
      <c r="AV125" s="117" t="n">
        <v>1</v>
      </c>
      <c r="AW125" s="119" t="inlineStr">
        <is>
          <t>✓ Clean</t>
        </is>
      </c>
      <c r="AX125" s="118" t="n">
        <v>14.3</v>
      </c>
      <c r="AY125" s="119" t="inlineStr">
        <is>
          <t>🟢 VERY LOW RISK</t>
        </is>
      </c>
      <c r="AZ125" s="118" t="n">
        <v>63</v>
      </c>
      <c r="BA125" s="118" t="n">
        <v>64.8</v>
      </c>
      <c r="BB125" s="118" t="n">
        <v>17.8</v>
      </c>
      <c r="BC125" s="118" t="n">
        <v>18.3</v>
      </c>
      <c r="BD125" s="118" t="n">
        <v>88.8</v>
      </c>
      <c r="BE125" s="118" t="n">
        <v>84.8</v>
      </c>
      <c r="BF125" s="120" t="n">
        <v>0.223</v>
      </c>
      <c r="BG125" s="117" t="n">
        <v>0.6820000000000001</v>
      </c>
      <c r="BH125" s="122" t="n">
        <v>3</v>
      </c>
      <c r="BI125" s="123" t="n">
        <v>1</v>
      </c>
    </row>
    <row r="126" ht="17" customHeight="1">
      <c r="A126" s="117" t="inlineStr">
        <is>
          <t>PLD</t>
        </is>
      </c>
      <c r="B126" s="117" t="inlineStr">
        <is>
          <t>Prologis, Inc.</t>
        </is>
      </c>
      <c r="C126" s="118" t="n">
        <v>0.378</v>
      </c>
      <c r="D126" s="118" t="n">
        <v>1.536</v>
      </c>
      <c r="E126" s="118" t="n">
        <v>1</v>
      </c>
      <c r="F126" s="118" t="n">
        <v>3.902</v>
      </c>
      <c r="G126" s="118" t="n">
        <v>1.002</v>
      </c>
      <c r="H126" s="118" t="n">
        <v>0.287</v>
      </c>
      <c r="I126" s="118" t="n">
        <v>1.078</v>
      </c>
      <c r="J126" s="118" t="n">
        <v>-0.017</v>
      </c>
      <c r="K126" s="118" t="n">
        <v>-0.163</v>
      </c>
      <c r="L126" s="121" t="inlineStr">
        <is>
          <t>⚠ MANIPULATOR RISK</t>
        </is>
      </c>
      <c r="M126" s="124" t="inlineStr">
        <is>
          <t>N/A</t>
        </is>
      </c>
      <c r="N126" s="120" t="n">
        <v>0.03</v>
      </c>
      <c r="O126" s="124" t="inlineStr">
        <is>
          <t>N/A</t>
        </is>
      </c>
      <c r="P126" s="120" t="n">
        <v>0.986</v>
      </c>
      <c r="Q126" s="120" t="n">
        <v>-0.005</v>
      </c>
      <c r="R126" s="117" t="n">
        <v>1</v>
      </c>
      <c r="S126" s="124" t="inlineStr">
        <is>
          <t>N/A</t>
        </is>
      </c>
      <c r="T126" s="124" t="inlineStr">
        <is>
          <t>N/A</t>
        </is>
      </c>
      <c r="U126" s="124" t="inlineStr">
        <is>
          <t>N/A</t>
        </is>
      </c>
      <c r="V126" s="117" t="n">
        <v>1</v>
      </c>
      <c r="W126" s="117" t="n">
        <v>0</v>
      </c>
      <c r="X126" s="117" t="n">
        <v>0</v>
      </c>
      <c r="Y126" s="117" t="n">
        <v>0</v>
      </c>
      <c r="Z126" s="117" t="n">
        <v>1</v>
      </c>
      <c r="AA126" s="117" t="n">
        <v>0</v>
      </c>
      <c r="AB126" s="117" t="n">
        <v>2</v>
      </c>
      <c r="AC126" s="121" t="inlineStr">
        <is>
          <t>⚠ WATCH</t>
        </is>
      </c>
      <c r="AD126" s="118" t="n">
        <v>5008434000</v>
      </c>
      <c r="AE126" s="118" t="n">
        <v>-3630447000</v>
      </c>
      <c r="AF126" s="118" t="n">
        <v>3328231000</v>
      </c>
      <c r="AG126" s="118" t="n">
        <v>0.02</v>
      </c>
      <c r="AH126" s="119" t="inlineStr">
        <is>
          <t>✓ Medium Quality</t>
        </is>
      </c>
      <c r="AI126" s="118" t="n">
        <v>0.476</v>
      </c>
      <c r="AJ126" s="120" t="n">
        <v>2.902</v>
      </c>
      <c r="AK126" s="120" t="n">
        <v>0.164</v>
      </c>
      <c r="AL126" s="120" t="n">
        <v>0.57</v>
      </c>
      <c r="AM126" s="120" t="n">
        <v>0.001</v>
      </c>
      <c r="AN126" s="117" t="n">
        <v>100</v>
      </c>
      <c r="AO126" s="119" t="inlineStr">
        <is>
          <t>✓ Good</t>
        </is>
      </c>
      <c r="AP126" s="117" t="n">
        <v>0</v>
      </c>
      <c r="AQ126" s="117" t="n">
        <v>0</v>
      </c>
      <c r="AR126" s="117" t="n">
        <v>1</v>
      </c>
      <c r="AS126" s="117" t="n">
        <v>0</v>
      </c>
      <c r="AT126" s="117" t="n">
        <v>0</v>
      </c>
      <c r="AU126" s="117" t="n">
        <v>0</v>
      </c>
      <c r="AV126" s="117" t="n">
        <v>1</v>
      </c>
      <c r="AW126" s="119" t="inlineStr">
        <is>
          <t>✓ Clean</t>
        </is>
      </c>
      <c r="AX126" s="118" t="n">
        <v>29.4</v>
      </c>
      <c r="AY126" s="119" t="inlineStr">
        <is>
          <t>🟢 LOW RISK</t>
        </is>
      </c>
      <c r="AZ126" s="118" t="n">
        <v>25</v>
      </c>
      <c r="BA126" s="118" t="n">
        <v>66</v>
      </c>
      <c r="BB126" s="124" t="inlineStr">
        <is>
          <t>N/A</t>
        </is>
      </c>
      <c r="BC126" s="124" t="inlineStr">
        <is>
          <t>N/A</t>
        </is>
      </c>
      <c r="BD126" s="124" t="inlineStr">
        <is>
          <t>N/A</t>
        </is>
      </c>
      <c r="BE126" s="124" t="inlineStr">
        <is>
          <t>N/A</t>
        </is>
      </c>
      <c r="BF126" s="120" t="n">
        <v>0.054</v>
      </c>
      <c r="BG126" s="117" t="n">
        <v>0.986</v>
      </c>
      <c r="BH126" s="122" t="n">
        <v>4</v>
      </c>
      <c r="BI126" s="123" t="n">
        <v>0.8333333333333334</v>
      </c>
    </row>
    <row r="127" ht="17" customHeight="1">
      <c r="A127" s="117" t="inlineStr">
        <is>
          <t>TRGP</t>
        </is>
      </c>
      <c r="B127" s="117" t="inlineStr">
        <is>
          <t>TARGA RESOURCES CORP.</t>
        </is>
      </c>
      <c r="C127" s="118" t="n">
        <v>0.877</v>
      </c>
      <c r="D127" s="118" t="n">
        <v>0.314</v>
      </c>
      <c r="E127" s="118" t="n">
        <v>0.881</v>
      </c>
      <c r="F127" s="118" t="n">
        <v>1.039</v>
      </c>
      <c r="G127" s="118" t="n">
        <v>1.063</v>
      </c>
      <c r="H127" s="118" t="n">
        <v>1.015</v>
      </c>
      <c r="I127" s="118" t="n">
        <v>1</v>
      </c>
      <c r="J127" s="118" t="n">
        <v>-0.079</v>
      </c>
      <c r="K127" s="118" t="n">
        <v>-3.334</v>
      </c>
      <c r="L127" s="119" t="inlineStr">
        <is>
          <t>✓ Lower Risk</t>
        </is>
      </c>
      <c r="M127" s="120" t="n">
        <v>-0.073</v>
      </c>
      <c r="N127" s="120" t="n">
        <v>-0.222</v>
      </c>
      <c r="O127" s="120" t="n">
        <v>0.147</v>
      </c>
      <c r="P127" s="120" t="n">
        <v>0.179</v>
      </c>
      <c r="Q127" s="120" t="n">
        <v>0.019</v>
      </c>
      <c r="R127" s="117" t="n">
        <v>0</v>
      </c>
      <c r="S127" s="118" t="n">
        <v>-7.989</v>
      </c>
      <c r="T127" s="118" t="n">
        <v>0</v>
      </c>
      <c r="U127" s="119" t="inlineStr">
        <is>
          <t>✓ Normal</t>
        </is>
      </c>
      <c r="V127" s="117" t="n">
        <v>1</v>
      </c>
      <c r="W127" s="117" t="n">
        <v>0</v>
      </c>
      <c r="X127" s="117" t="n">
        <v>1</v>
      </c>
      <c r="Y127" s="117" t="n">
        <v>1</v>
      </c>
      <c r="Z127" s="117" t="n">
        <v>1</v>
      </c>
      <c r="AA127" s="117" t="n">
        <v>1</v>
      </c>
      <c r="AB127" s="117" t="n">
        <v>5</v>
      </c>
      <c r="AC127" s="121" t="inlineStr">
        <is>
          <t>⚠⚠ SERIOUS CONCERN</t>
        </is>
      </c>
      <c r="AD127" s="118" t="n">
        <v>3917400000</v>
      </c>
      <c r="AE127" s="118" t="n">
        <v>-3642000000</v>
      </c>
      <c r="AF127" s="118" t="n">
        <v>1923000000</v>
      </c>
      <c r="AG127" s="118" t="n">
        <v>0.06900000000000001</v>
      </c>
      <c r="AH127" s="119" t="inlineStr">
        <is>
          <t>✓ Medium Quality</t>
        </is>
      </c>
      <c r="AI127" s="118" t="n">
        <v>-0.089</v>
      </c>
      <c r="AJ127" s="120" t="n">
        <v>0.039</v>
      </c>
      <c r="AK127" s="120" t="n">
        <v>-2.249</v>
      </c>
      <c r="AL127" s="120" t="n">
        <v>0.23</v>
      </c>
      <c r="AM127" s="120" t="n">
        <v>0.004</v>
      </c>
      <c r="AN127" s="117" t="n">
        <v>100</v>
      </c>
      <c r="AO127" s="119" t="inlineStr">
        <is>
          <t>✓ Good</t>
        </is>
      </c>
      <c r="AP127" s="117" t="n">
        <v>0</v>
      </c>
      <c r="AQ127" s="117" t="n">
        <v>0</v>
      </c>
      <c r="AR127" s="117" t="n">
        <v>0</v>
      </c>
      <c r="AS127" s="117" t="n">
        <v>1</v>
      </c>
      <c r="AT127" s="117" t="n">
        <v>0</v>
      </c>
      <c r="AU127" s="117" t="n">
        <v>0</v>
      </c>
      <c r="AV127" s="117" t="n">
        <v>1</v>
      </c>
      <c r="AW127" s="119" t="inlineStr">
        <is>
          <t>✓ Clean</t>
        </is>
      </c>
      <c r="AX127" s="118" t="n">
        <v>23.4</v>
      </c>
      <c r="AY127" s="119" t="inlineStr">
        <is>
          <t>🟢 LOW RISK</t>
        </is>
      </c>
      <c r="AZ127" s="118" t="n">
        <v>31.6</v>
      </c>
      <c r="BA127" s="118" t="n">
        <v>36.1</v>
      </c>
      <c r="BB127" s="118" t="n">
        <v>14.9</v>
      </c>
      <c r="BC127" s="118" t="n">
        <v>11.4</v>
      </c>
      <c r="BD127" s="118" t="n">
        <v>65.09999999999999</v>
      </c>
      <c r="BE127" s="118" t="n">
        <v>68.59999999999999</v>
      </c>
      <c r="BF127" s="120" t="n">
        <v>0.213</v>
      </c>
      <c r="BG127" s="117" t="n">
        <v>0.179</v>
      </c>
      <c r="BH127" s="122" t="n">
        <v>6</v>
      </c>
      <c r="BI127" s="123" t="n">
        <v>1</v>
      </c>
    </row>
    <row r="128" ht="17" customHeight="1">
      <c r="A128" s="117" t="inlineStr">
        <is>
          <t>PANW</t>
        </is>
      </c>
      <c r="B128" s="117" t="inlineStr">
        <is>
          <t>PALO ALTO NETWORKS, INC</t>
        </is>
      </c>
      <c r="C128" s="118" t="n">
        <v>0.877</v>
      </c>
      <c r="D128" s="118" t="n">
        <v>1.138</v>
      </c>
      <c r="E128" s="118" t="n">
        <v>1.039</v>
      </c>
      <c r="F128" s="118" t="n">
        <v>1.29</v>
      </c>
      <c r="G128" s="118" t="n">
        <v>0.9350000000000001</v>
      </c>
      <c r="H128" s="118" t="n">
        <v>0.504</v>
      </c>
      <c r="I128" s="118" t="n">
        <v>0.901</v>
      </c>
      <c r="J128" s="118" t="n">
        <v>-0.11</v>
      </c>
      <c r="K128" s="118" t="n">
        <v>-2.647</v>
      </c>
      <c r="L128" s="119" t="inlineStr">
        <is>
          <t>✓ Lower Risk</t>
        </is>
      </c>
      <c r="M128" s="120" t="n">
        <v>-0.03</v>
      </c>
      <c r="N128" s="120" t="n">
        <v>0.677</v>
      </c>
      <c r="O128" s="120" t="n">
        <v>-0.005</v>
      </c>
      <c r="P128" s="120" t="n">
        <v>0.887</v>
      </c>
      <c r="Q128" s="120" t="n">
        <v>-0.081</v>
      </c>
      <c r="R128" s="117" t="n">
        <v>1</v>
      </c>
      <c r="S128" s="118" t="n">
        <v>-1.352</v>
      </c>
      <c r="T128" s="118" t="n">
        <v>0.206</v>
      </c>
      <c r="U128" s="121" t="inlineStr">
        <is>
          <t>⚠ HIGH RISK</t>
        </is>
      </c>
      <c r="V128" s="117" t="n">
        <v>0</v>
      </c>
      <c r="W128" s="117" t="n">
        <v>0</v>
      </c>
      <c r="X128" s="117" t="n">
        <v>0</v>
      </c>
      <c r="Y128" s="117" t="n">
        <v>0</v>
      </c>
      <c r="Z128" s="117" t="n">
        <v>0</v>
      </c>
      <c r="AA128" s="117" t="n">
        <v>1</v>
      </c>
      <c r="AB128" s="117" t="n">
        <v>1</v>
      </c>
      <c r="AC128" s="119" t="inlineStr">
        <is>
          <t>✓ Clean</t>
        </is>
      </c>
      <c r="AD128" s="118" t="n">
        <v>3716000000</v>
      </c>
      <c r="AE128" s="118" t="n">
        <v>-2204700000</v>
      </c>
      <c r="AF128" s="118" t="n">
        <v>1133900000</v>
      </c>
      <c r="AG128" s="118" t="n">
        <v>-0.017</v>
      </c>
      <c r="AH128" s="119" t="inlineStr">
        <is>
          <t>✓ Medium Quality</t>
        </is>
      </c>
      <c r="AI128" s="118" t="n">
        <v>0.132</v>
      </c>
      <c r="AJ128" s="120" t="n">
        <v>0.29</v>
      </c>
      <c r="AK128" s="120" t="n">
        <v>0.456</v>
      </c>
      <c r="AL128" s="120" t="n">
        <v>1.635</v>
      </c>
      <c r="AM128" s="120" t="n">
        <v>0.132</v>
      </c>
      <c r="AN128" s="117" t="n">
        <v>100</v>
      </c>
      <c r="AO128" s="119" t="inlineStr">
        <is>
          <t>✓ Good</t>
        </is>
      </c>
      <c r="AP128" s="117" t="n">
        <v>0</v>
      </c>
      <c r="AQ128" s="117" t="n">
        <v>0</v>
      </c>
      <c r="AR128" s="117" t="n">
        <v>1</v>
      </c>
      <c r="AS128" s="117" t="n">
        <v>0</v>
      </c>
      <c r="AT128" s="117" t="n">
        <v>1</v>
      </c>
      <c r="AU128" s="117" t="n">
        <v>0</v>
      </c>
      <c r="AV128" s="117" t="n">
        <v>2</v>
      </c>
      <c r="AW128" s="121" t="inlineStr">
        <is>
          <t>⚠ WATCH</t>
        </is>
      </c>
      <c r="AX128" s="118" t="n">
        <v>41.9</v>
      </c>
      <c r="AY128" s="121" t="inlineStr">
        <is>
          <t>🟡 ELEVATED RISK</t>
        </is>
      </c>
      <c r="AZ128" s="118" t="n">
        <v>476.1</v>
      </c>
      <c r="BA128" s="118" t="n">
        <v>542.6</v>
      </c>
      <c r="BB128" s="118" t="n">
        <v>16.9</v>
      </c>
      <c r="BC128" s="118" t="n">
        <v>20.5</v>
      </c>
      <c r="BD128" s="118" t="n">
        <v>34.6</v>
      </c>
      <c r="BE128" s="118" t="n">
        <v>20.6</v>
      </c>
      <c r="BF128" s="120" t="n">
        <v>0.289</v>
      </c>
      <c r="BG128" s="117" t="n">
        <v>0.887</v>
      </c>
      <c r="BH128" s="122" t="n">
        <v>4</v>
      </c>
      <c r="BI128" s="123" t="n">
        <v>1</v>
      </c>
    </row>
    <row r="129" ht="17" customHeight="1">
      <c r="A129" s="117" t="inlineStr">
        <is>
          <t>MEDP</t>
        </is>
      </c>
      <c r="B129" s="117" t="inlineStr">
        <is>
          <t>Medpace Holdings, Inc.</t>
        </is>
      </c>
      <c r="C129" s="118" t="n">
        <v>1.131</v>
      </c>
      <c r="D129" s="124" t="inlineStr">
        <is>
          <t>N/A</t>
        </is>
      </c>
      <c r="E129" s="118" t="n">
        <v>0.959</v>
      </c>
      <c r="F129" s="118" t="n">
        <v>1.2</v>
      </c>
      <c r="G129" s="118" t="n">
        <v>1.069</v>
      </c>
      <c r="H129" s="118" t="n">
        <v>0.914</v>
      </c>
      <c r="I129" s="118" t="n">
        <v>1.265</v>
      </c>
      <c r="J129" s="118" t="n">
        <v>-0.133</v>
      </c>
      <c r="K129" s="124" t="inlineStr">
        <is>
          <t>N/A</t>
        </is>
      </c>
      <c r="L129" s="124" t="inlineStr">
        <is>
          <t>N/A</t>
        </is>
      </c>
      <c r="M129" s="120" t="n">
        <v>-0.068</v>
      </c>
      <c r="N129" s="120" t="n">
        <v>0.251</v>
      </c>
      <c r="O129" s="124" t="inlineStr">
        <is>
          <t>N/A</t>
        </is>
      </c>
      <c r="P129" s="120" t="n">
        <v>0.6820000000000001</v>
      </c>
      <c r="Q129" s="120" t="n">
        <v>0.036</v>
      </c>
      <c r="R129" s="117" t="n">
        <v>0</v>
      </c>
      <c r="S129" s="118" t="n">
        <v>-5.981</v>
      </c>
      <c r="T129" s="118" t="n">
        <v>0.003</v>
      </c>
      <c r="U129" s="119" t="inlineStr">
        <is>
          <t>✓ Normal</t>
        </is>
      </c>
      <c r="V129" s="117" t="n">
        <v>0</v>
      </c>
      <c r="W129" s="117" t="n">
        <v>1</v>
      </c>
      <c r="X129" s="117" t="n">
        <v>0</v>
      </c>
      <c r="Y129" s="117" t="n">
        <v>1</v>
      </c>
      <c r="Z129" s="117" t="n">
        <v>0</v>
      </c>
      <c r="AA129" s="117" t="n">
        <v>0</v>
      </c>
      <c r="AB129" s="117" t="n">
        <v>2</v>
      </c>
      <c r="AC129" s="121" t="inlineStr">
        <is>
          <t>⚠ WATCH</t>
        </is>
      </c>
      <c r="AD129" s="118" t="n">
        <v>713223000</v>
      </c>
      <c r="AE129" s="118" t="n">
        <v>-31140000</v>
      </c>
      <c r="AF129" s="118" t="n">
        <v>451123000</v>
      </c>
      <c r="AG129" s="118" t="n">
        <v>-0.113</v>
      </c>
      <c r="AH129" s="119" t="inlineStr">
        <is>
          <t>✓ High Quality</t>
        </is>
      </c>
      <c r="AI129" s="118" t="n">
        <v>0.356</v>
      </c>
      <c r="AJ129" s="120" t="n">
        <v>0.2</v>
      </c>
      <c r="AK129" s="120" t="n">
        <v>1.784</v>
      </c>
      <c r="AL129" s="120" t="n">
        <v>0.282</v>
      </c>
      <c r="AM129" s="120" t="n">
        <v>0.003</v>
      </c>
      <c r="AN129" s="118" t="n">
        <v>76.59999999999999</v>
      </c>
      <c r="AO129" s="119" t="inlineStr">
        <is>
          <t>✓ Good</t>
        </is>
      </c>
      <c r="AP129" s="117" t="n">
        <v>0</v>
      </c>
      <c r="AQ129" s="117" t="n">
        <v>0</v>
      </c>
      <c r="AR129" s="117" t="n">
        <v>0</v>
      </c>
      <c r="AS129" s="117" t="n">
        <v>0</v>
      </c>
      <c r="AT129" s="117" t="n">
        <v>0</v>
      </c>
      <c r="AU129" s="117" t="n">
        <v>0</v>
      </c>
      <c r="AV129" s="117" t="n">
        <v>0</v>
      </c>
      <c r="AW129" s="119" t="inlineStr">
        <is>
          <t>✓ Clean</t>
        </is>
      </c>
      <c r="AX129" s="118" t="n">
        <v>25</v>
      </c>
      <c r="AY129" s="119" t="inlineStr">
        <is>
          <t>🟢 LOW RISK</t>
        </is>
      </c>
      <c r="AZ129" s="118" t="n">
        <v>58</v>
      </c>
      <c r="BA129" s="118" t="n">
        <v>51.3</v>
      </c>
      <c r="BB129" s="124" t="inlineStr">
        <is>
          <t>N/A</t>
        </is>
      </c>
      <c r="BC129" s="124" t="inlineStr">
        <is>
          <t>N/A</t>
        </is>
      </c>
      <c r="BD129" s="124" t="inlineStr">
        <is>
          <t>N/A</t>
        </is>
      </c>
      <c r="BE129" s="124" t="inlineStr">
        <is>
          <t>N/A</t>
        </is>
      </c>
      <c r="BF129" s="120" t="n">
        <v>0.168</v>
      </c>
      <c r="BG129" s="117" t="n">
        <v>0.6820000000000001</v>
      </c>
      <c r="BH129" s="122" t="n">
        <v>2</v>
      </c>
      <c r="BI129" s="123" t="n">
        <v>0.8333333333333334</v>
      </c>
    </row>
    <row r="130" ht="17" customHeight="1">
      <c r="A130" s="117" t="inlineStr">
        <is>
          <t>BJRI</t>
        </is>
      </c>
      <c r="B130" s="117" t="inlineStr">
        <is>
          <t>BJ’S RESTAURANTS, INC.</t>
        </is>
      </c>
      <c r="C130" s="118" t="n">
        <v>0.874</v>
      </c>
      <c r="D130" s="118" t="n">
        <v>0.992</v>
      </c>
      <c r="E130" s="118" t="n">
        <v>0.997</v>
      </c>
      <c r="F130" s="118" t="n">
        <v>1.031</v>
      </c>
      <c r="G130" s="118" t="n">
        <v>0.9419999999999999</v>
      </c>
      <c r="H130" s="118" t="n">
        <v>1</v>
      </c>
      <c r="I130" s="118" t="n">
        <v>0.992</v>
      </c>
      <c r="J130" s="118" t="n">
        <v>-0.061</v>
      </c>
      <c r="K130" s="118" t="n">
        <v>-2.862</v>
      </c>
      <c r="L130" s="119" t="inlineStr">
        <is>
          <t>✓ Lower Risk</t>
        </is>
      </c>
      <c r="M130" s="120" t="n">
        <v>-0.06900000000000001</v>
      </c>
      <c r="N130" s="120" t="n">
        <v>-0.048</v>
      </c>
      <c r="O130" s="120" t="n">
        <v>0.002</v>
      </c>
      <c r="P130" s="120" t="n">
        <v>0.482</v>
      </c>
      <c r="Q130" s="120" t="n">
        <v>0.032</v>
      </c>
      <c r="R130" s="117" t="n">
        <v>0</v>
      </c>
      <c r="S130" s="118" t="n">
        <v>-7.126</v>
      </c>
      <c r="T130" s="118" t="n">
        <v>0.001</v>
      </c>
      <c r="U130" s="119" t="inlineStr">
        <is>
          <t>✓ Normal</t>
        </is>
      </c>
      <c r="V130" s="117" t="n">
        <v>1</v>
      </c>
      <c r="W130" s="117" t="n">
        <v>0</v>
      </c>
      <c r="X130" s="117" t="n">
        <v>0</v>
      </c>
      <c r="Y130" s="117" t="n">
        <v>1</v>
      </c>
      <c r="Z130" s="117" t="n">
        <v>0</v>
      </c>
      <c r="AA130" s="117" t="n">
        <v>0</v>
      </c>
      <c r="AB130" s="117" t="n">
        <v>2</v>
      </c>
      <c r="AC130" s="121" t="inlineStr">
        <is>
          <t>⚠ WATCH</t>
        </is>
      </c>
      <c r="AD130" s="118" t="n">
        <v>110514000</v>
      </c>
      <c r="AE130" s="118" t="n">
        <v>-69569000</v>
      </c>
      <c r="AF130" s="118" t="n">
        <v>48808000</v>
      </c>
      <c r="AG130" s="118" t="n">
        <v>0.008</v>
      </c>
      <c r="AH130" s="119" t="inlineStr">
        <is>
          <t>✓ Medium Quality</t>
        </is>
      </c>
      <c r="AI130" s="118" t="n">
        <v>-0.099</v>
      </c>
      <c r="AJ130" s="120" t="n">
        <v>0.031</v>
      </c>
      <c r="AK130" s="120" t="n">
        <v>-3.199</v>
      </c>
      <c r="AL130" s="120" t="n">
        <v>0.079</v>
      </c>
      <c r="AM130" s="124" t="inlineStr">
        <is>
          <t>N/A</t>
        </is>
      </c>
      <c r="AN130" s="118" t="n">
        <v>85.8</v>
      </c>
      <c r="AO130" s="119" t="inlineStr">
        <is>
          <t>✓ Good</t>
        </is>
      </c>
      <c r="AP130" s="117" t="n">
        <v>0</v>
      </c>
      <c r="AQ130" s="117" t="n">
        <v>0</v>
      </c>
      <c r="AR130" s="117" t="n">
        <v>0</v>
      </c>
      <c r="AS130" s="117" t="n">
        <v>1</v>
      </c>
      <c r="AT130" s="117" t="n">
        <v>0</v>
      </c>
      <c r="AU130" s="117" t="n">
        <v>0</v>
      </c>
      <c r="AV130" s="117" t="n">
        <v>1</v>
      </c>
      <c r="AW130" s="119" t="inlineStr">
        <is>
          <t>✓ Clean</t>
        </is>
      </c>
      <c r="AX130" s="118" t="n">
        <v>14.4</v>
      </c>
      <c r="AY130" s="119" t="inlineStr">
        <is>
          <t>🟢 VERY LOW RISK</t>
        </is>
      </c>
      <c r="AZ130" s="118" t="n">
        <v>4.8</v>
      </c>
      <c r="BA130" s="118" t="n">
        <v>5.5</v>
      </c>
      <c r="BB130" s="118" t="n">
        <v>6.3</v>
      </c>
      <c r="BC130" s="118" t="n">
        <v>6.2</v>
      </c>
      <c r="BD130" s="118" t="n">
        <v>39.6</v>
      </c>
      <c r="BE130" s="118" t="n">
        <v>53.1</v>
      </c>
      <c r="BF130" s="120" t="n">
        <v>-0.033</v>
      </c>
      <c r="BG130" s="117" t="n">
        <v>0.482</v>
      </c>
      <c r="BH130" s="122" t="n">
        <v>3</v>
      </c>
      <c r="BI130" s="123" t="n">
        <v>1</v>
      </c>
    </row>
    <row r="131" ht="17" customHeight="1">
      <c r="A131" s="117" t="inlineStr">
        <is>
          <t>GLPI</t>
        </is>
      </c>
      <c r="B131" s="117" t="inlineStr">
        <is>
          <t>Gaming and Leisure Properties, Inc.</t>
        </is>
      </c>
      <c r="C131" s="124" t="inlineStr">
        <is>
          <t>N/A</t>
        </is>
      </c>
      <c r="D131" s="124" t="inlineStr">
        <is>
          <t>N/A</t>
        </is>
      </c>
      <c r="E131" s="118" t="n">
        <v>1.005</v>
      </c>
      <c r="F131" s="118" t="n">
        <v>1.041</v>
      </c>
      <c r="G131" s="118" t="n">
        <v>0.8080000000000001</v>
      </c>
      <c r="H131" s="118" t="n">
        <v>1.024</v>
      </c>
      <c r="I131" s="118" t="n">
        <v>0.949</v>
      </c>
      <c r="J131" s="118" t="n">
        <v>-0.024</v>
      </c>
      <c r="K131" s="124" t="inlineStr">
        <is>
          <t>N/A</t>
        </is>
      </c>
      <c r="L131" s="124" t="inlineStr">
        <is>
          <t>N/A</t>
        </is>
      </c>
      <c r="M131" s="124" t="inlineStr">
        <is>
          <t>N/A</t>
        </is>
      </c>
      <c r="N131" s="124" t="inlineStr">
        <is>
          <t>N/A</t>
        </is>
      </c>
      <c r="O131" s="124" t="inlineStr">
        <is>
          <t>N/A</t>
        </is>
      </c>
      <c r="P131" s="120" t="n">
        <v>0.997</v>
      </c>
      <c r="Q131" s="120" t="n">
        <v>0.004</v>
      </c>
      <c r="R131" s="117" t="n">
        <v>1</v>
      </c>
      <c r="S131" s="124" t="inlineStr">
        <is>
          <t>N/A</t>
        </is>
      </c>
      <c r="T131" s="124" t="inlineStr">
        <is>
          <t>N/A</t>
        </is>
      </c>
      <c r="U131" s="124" t="inlineStr">
        <is>
          <t>N/A</t>
        </is>
      </c>
      <c r="V131" s="117" t="n">
        <v>0</v>
      </c>
      <c r="W131" s="117" t="n">
        <v>0</v>
      </c>
      <c r="X131" s="117" t="n">
        <v>0</v>
      </c>
      <c r="Y131" s="117" t="n">
        <v>0</v>
      </c>
      <c r="Z131" s="117" t="n">
        <v>0</v>
      </c>
      <c r="AA131" s="117" t="n">
        <v>0</v>
      </c>
      <c r="AB131" s="117" t="n">
        <v>0</v>
      </c>
      <c r="AC131" s="119" t="inlineStr">
        <is>
          <t>✓ Clean</t>
        </is>
      </c>
      <c r="AD131" s="118" t="n">
        <v>1129417000</v>
      </c>
      <c r="AE131" s="118" t="n">
        <v>-308756000</v>
      </c>
      <c r="AF131" s="118" t="n">
        <v>825111000</v>
      </c>
      <c r="AG131" s="118" t="n">
        <v>0</v>
      </c>
      <c r="AH131" s="119" t="inlineStr">
        <is>
          <t>✓ Medium Quality</t>
        </is>
      </c>
      <c r="AI131" s="124" t="inlineStr">
        <is>
          <t>N/A</t>
        </is>
      </c>
      <c r="AJ131" s="120" t="n">
        <v>0.041</v>
      </c>
      <c r="AK131" s="124" t="inlineStr">
        <is>
          <t>N/A</t>
        </is>
      </c>
      <c r="AL131" s="120" t="n">
        <v>0.708</v>
      </c>
      <c r="AM131" s="120" t="n">
        <v>-0.014</v>
      </c>
      <c r="AN131" s="118" t="n">
        <v>99.3</v>
      </c>
      <c r="AO131" s="119" t="inlineStr">
        <is>
          <t>✓ Good</t>
        </is>
      </c>
      <c r="AP131" s="117" t="n">
        <v>0</v>
      </c>
      <c r="AQ131" s="117" t="n">
        <v>0</v>
      </c>
      <c r="AR131" s="117" t="n">
        <v>0</v>
      </c>
      <c r="AS131" s="117" t="n">
        <v>1</v>
      </c>
      <c r="AT131" s="117" t="n">
        <v>0</v>
      </c>
      <c r="AU131" s="117" t="n">
        <v>1</v>
      </c>
      <c r="AV131" s="117" t="n">
        <v>2</v>
      </c>
      <c r="AW131" s="121" t="inlineStr">
        <is>
          <t>⚠ WATCH</t>
        </is>
      </c>
      <c r="AX131" s="118" t="n">
        <v>23.7</v>
      </c>
      <c r="AY131" s="119" t="inlineStr">
        <is>
          <t>🟢 LOW RISK</t>
        </is>
      </c>
      <c r="AZ131" s="118" t="n">
        <v>0</v>
      </c>
      <c r="BA131" s="124" t="inlineStr">
        <is>
          <t>N/A</t>
        </is>
      </c>
      <c r="BB131" s="124" t="inlineStr">
        <is>
          <t>N/A</t>
        </is>
      </c>
      <c r="BC131" s="124" t="inlineStr">
        <is>
          <t>N/A</t>
        </is>
      </c>
      <c r="BD131" s="124" t="inlineStr">
        <is>
          <t>N/A</t>
        </is>
      </c>
      <c r="BE131" s="124" t="inlineStr">
        <is>
          <t>N/A</t>
        </is>
      </c>
      <c r="BF131" s="120" t="n">
        <v>0.003</v>
      </c>
      <c r="BG131" s="117" t="n">
        <v>0.997</v>
      </c>
      <c r="BH131" s="122" t="n">
        <v>3</v>
      </c>
      <c r="BI131" s="125" t="n">
        <v>0.6666666666666666</v>
      </c>
    </row>
    <row r="132" ht="17" customHeight="1">
      <c r="A132" s="117" t="inlineStr">
        <is>
          <t>EBAY</t>
        </is>
      </c>
      <c r="B132" s="117" t="inlineStr">
        <is>
          <t>eBay Inc.</t>
        </is>
      </c>
      <c r="C132" s="118" t="n">
        <v>1.12</v>
      </c>
      <c r="D132" s="118" t="n">
        <v>1.041</v>
      </c>
      <c r="E132" s="118" t="n">
        <v>1.168</v>
      </c>
      <c r="F132" s="118" t="n">
        <v>1.116</v>
      </c>
      <c r="G132" s="118" t="n">
        <v>0.875</v>
      </c>
      <c r="H132" s="118" t="n">
        <v>1.175</v>
      </c>
      <c r="I132" s="118" t="n">
        <v>1.006</v>
      </c>
      <c r="J132" s="118" t="n">
        <v>0.004</v>
      </c>
      <c r="K132" s="118" t="n">
        <v>-2.204</v>
      </c>
      <c r="L132" s="121" t="inlineStr">
        <is>
          <t>⚠ MANIPULATOR RISK</t>
        </is>
      </c>
      <c r="M132" s="120" t="n">
        <v>-0.049</v>
      </c>
      <c r="N132" s="120" t="n">
        <v>0.015</v>
      </c>
      <c r="O132" s="124" t="inlineStr">
        <is>
          <t>N/A</t>
        </is>
      </c>
      <c r="P132" s="120" t="n">
        <v>0.8179999999999999</v>
      </c>
      <c r="Q132" s="120" t="n">
        <v>0.013</v>
      </c>
      <c r="R132" s="117" t="n">
        <v>0</v>
      </c>
      <c r="S132" s="118" t="n">
        <v>-6.282</v>
      </c>
      <c r="T132" s="118" t="n">
        <v>0.002</v>
      </c>
      <c r="U132" s="119" t="inlineStr">
        <is>
          <t>✓ Normal</t>
        </is>
      </c>
      <c r="V132" s="117" t="n">
        <v>1</v>
      </c>
      <c r="W132" s="117" t="n">
        <v>1</v>
      </c>
      <c r="X132" s="117" t="n">
        <v>0</v>
      </c>
      <c r="Y132" s="117" t="n">
        <v>1</v>
      </c>
      <c r="Z132" s="117" t="n">
        <v>0</v>
      </c>
      <c r="AA132" s="117" t="n">
        <v>0</v>
      </c>
      <c r="AB132" s="117" t="n">
        <v>3</v>
      </c>
      <c r="AC132" s="121" t="inlineStr">
        <is>
          <t>⚠ WATCH</t>
        </is>
      </c>
      <c r="AD132" s="118" t="n">
        <v>1959000000</v>
      </c>
      <c r="AE132" s="118" t="n">
        <v>1420000000</v>
      </c>
      <c r="AF132" s="118" t="n">
        <v>2031000000</v>
      </c>
      <c r="AG132" s="118" t="n">
        <v>-0.073</v>
      </c>
      <c r="AH132" s="119" t="inlineStr">
        <is>
          <t>✓ Medium Quality</t>
        </is>
      </c>
      <c r="AI132" s="118" t="n">
        <v>0.25</v>
      </c>
      <c r="AJ132" s="120" t="n">
        <v>0.116</v>
      </c>
      <c r="AK132" s="120" t="n">
        <v>2.163</v>
      </c>
      <c r="AL132" s="120" t="n">
        <v>0.109</v>
      </c>
      <c r="AM132" s="120" t="n">
        <v>-0</v>
      </c>
      <c r="AN132" s="118" t="n">
        <v>61.9</v>
      </c>
      <c r="AO132" s="121" t="inlineStr">
        <is>
          <t>⚠ WATCH</t>
        </is>
      </c>
      <c r="AP132" s="117" t="n">
        <v>0</v>
      </c>
      <c r="AQ132" s="117" t="n">
        <v>0</v>
      </c>
      <c r="AR132" s="117" t="n">
        <v>1</v>
      </c>
      <c r="AS132" s="117" t="n">
        <v>1</v>
      </c>
      <c r="AT132" s="117" t="n">
        <v>1</v>
      </c>
      <c r="AU132" s="117" t="n">
        <v>0</v>
      </c>
      <c r="AV132" s="117" t="n">
        <v>3</v>
      </c>
      <c r="AW132" s="121" t="inlineStr">
        <is>
          <t>⚠ WATCH</t>
        </is>
      </c>
      <c r="AX132" s="118" t="n">
        <v>24.1</v>
      </c>
      <c r="AY132" s="119" t="inlineStr">
        <is>
          <t>🟢 LOW RISK</t>
        </is>
      </c>
      <c r="AZ132" s="118" t="n">
        <v>2.8</v>
      </c>
      <c r="BA132" s="118" t="n">
        <v>2.5</v>
      </c>
      <c r="BB132" s="124" t="inlineStr">
        <is>
          <t>N/A</t>
        </is>
      </c>
      <c r="BC132" s="124" t="inlineStr">
        <is>
          <t>N/A</t>
        </is>
      </c>
      <c r="BD132" s="118" t="n">
        <v>27.9</v>
      </c>
      <c r="BE132" s="118" t="n">
        <v>32.6</v>
      </c>
      <c r="BF132" s="120" t="n">
        <v>0.135</v>
      </c>
      <c r="BG132" s="117" t="n">
        <v>0.8179999999999999</v>
      </c>
      <c r="BH132" s="122" t="n">
        <v>6</v>
      </c>
      <c r="BI132" s="123" t="n">
        <v>1</v>
      </c>
    </row>
    <row r="133" ht="17" customHeight="1">
      <c r="A133" s="117" t="inlineStr">
        <is>
          <t>MSA</t>
        </is>
      </c>
      <c r="B133" s="119" t="inlineStr">
        <is>
          <t>MSA Safety Inc</t>
        </is>
      </c>
      <c r="C133" s="118" t="n">
        <v>1.059</v>
      </c>
      <c r="D133" s="118" t="n">
        <v>0.285</v>
      </c>
      <c r="E133" s="118" t="n">
        <v>1.017</v>
      </c>
      <c r="F133" s="118" t="n">
        <v>1.037</v>
      </c>
      <c r="G133" s="118" t="n">
        <v>1.229</v>
      </c>
      <c r="H133" s="118" t="n">
        <v>1.012</v>
      </c>
      <c r="I133" s="118" t="n">
        <v>0.965</v>
      </c>
      <c r="J133" s="118" t="n">
        <v>-0.033</v>
      </c>
      <c r="K133" s="118" t="n">
        <v>-2.884</v>
      </c>
      <c r="L133" s="119" t="inlineStr">
        <is>
          <t>✓ Lower Risk</t>
        </is>
      </c>
      <c r="M133" s="120" t="n">
        <v>0.013</v>
      </c>
      <c r="N133" s="120" t="n">
        <v>0.409</v>
      </c>
      <c r="O133" s="120" t="n">
        <v>0.694</v>
      </c>
      <c r="P133" s="120" t="n">
        <v>0.825</v>
      </c>
      <c r="Q133" s="120" t="n">
        <v>0.07000000000000001</v>
      </c>
      <c r="R133" s="117" t="n">
        <v>0</v>
      </c>
      <c r="S133" s="118" t="n">
        <v>-4.427</v>
      </c>
      <c r="T133" s="118" t="n">
        <v>0.012</v>
      </c>
      <c r="U133" s="119" t="inlineStr">
        <is>
          <t>✓ Normal</t>
        </is>
      </c>
      <c r="V133" s="117" t="n">
        <v>1</v>
      </c>
      <c r="W133" s="117" t="n">
        <v>1</v>
      </c>
      <c r="X133" s="117" t="n">
        <v>1</v>
      </c>
      <c r="Y133" s="117" t="n">
        <v>1</v>
      </c>
      <c r="Z133" s="117" t="n">
        <v>1</v>
      </c>
      <c r="AA133" s="117" t="n">
        <v>1</v>
      </c>
      <c r="AB133" s="117" t="n">
        <v>6</v>
      </c>
      <c r="AC133" s="121" t="inlineStr">
        <is>
          <t>⚠⚠ SERIOUS CONCERN</t>
        </is>
      </c>
      <c r="AD133" s="118" t="n">
        <v>363867000</v>
      </c>
      <c r="AE133" s="118" t="n">
        <v>-257634000</v>
      </c>
      <c r="AF133" s="118" t="n">
        <v>278924000</v>
      </c>
      <c r="AG133" s="118" t="n">
        <v>0.073</v>
      </c>
      <c r="AH133" s="119" t="inlineStr">
        <is>
          <t>✓ Medium Quality</t>
        </is>
      </c>
      <c r="AI133" s="118" t="n">
        <v>0.098</v>
      </c>
      <c r="AJ133" s="120" t="n">
        <v>0.037</v>
      </c>
      <c r="AK133" s="120" t="n">
        <v>2.646</v>
      </c>
      <c r="AL133" s="120" t="n">
        <v>0.194</v>
      </c>
      <c r="AM133" s="124" t="inlineStr">
        <is>
          <t>N/A</t>
        </is>
      </c>
      <c r="AN133" s="117" t="n">
        <v>70</v>
      </c>
      <c r="AO133" s="119" t="inlineStr">
        <is>
          <t>✓ Good</t>
        </is>
      </c>
      <c r="AP133" s="117" t="n">
        <v>0</v>
      </c>
      <c r="AQ133" s="117" t="n">
        <v>0</v>
      </c>
      <c r="AR133" s="117" t="n">
        <v>0</v>
      </c>
      <c r="AS133" s="117" t="n">
        <v>1</v>
      </c>
      <c r="AT133" s="117" t="n">
        <v>1</v>
      </c>
      <c r="AU133" s="117" t="n">
        <v>1</v>
      </c>
      <c r="AV133" s="117" t="n">
        <v>3</v>
      </c>
      <c r="AW133" s="121" t="inlineStr">
        <is>
          <t>⚠ WATCH</t>
        </is>
      </c>
      <c r="AX133" s="118" t="n">
        <v>33.1</v>
      </c>
      <c r="AY133" s="119" t="inlineStr">
        <is>
          <t>🟢 LOW RISK</t>
        </is>
      </c>
      <c r="AZ133" s="118" t="n">
        <v>59.7</v>
      </c>
      <c r="BA133" s="118" t="n">
        <v>56.4</v>
      </c>
      <c r="BB133" s="118" t="n">
        <v>124.7</v>
      </c>
      <c r="BC133" s="118" t="n">
        <v>114.3</v>
      </c>
      <c r="BD133" s="118" t="n">
        <v>40.3</v>
      </c>
      <c r="BE133" s="118" t="n">
        <v>41.7</v>
      </c>
      <c r="BF133" s="120" t="n">
        <v>0.239</v>
      </c>
      <c r="BG133" s="117" t="n">
        <v>0.825</v>
      </c>
      <c r="BH133" s="122" t="n">
        <v>9</v>
      </c>
      <c r="BI133" s="123" t="n">
        <v>1</v>
      </c>
    </row>
    <row r="134" ht="17" customHeight="1">
      <c r="A134" s="117" t="inlineStr">
        <is>
          <t>NOC</t>
        </is>
      </c>
      <c r="B134" s="117" t="inlineStr">
        <is>
          <t>NORTHROP GRUMMAN CORP /DE/</t>
        </is>
      </c>
      <c r="C134" s="118" t="n">
        <v>1.057</v>
      </c>
      <c r="D134" s="118" t="n">
        <v>1.034</v>
      </c>
      <c r="E134" s="118" t="n">
        <v>0.983</v>
      </c>
      <c r="F134" s="118" t="n">
        <v>1.022</v>
      </c>
      <c r="G134" s="118" t="n">
        <v>0.973</v>
      </c>
      <c r="H134" s="118" t="n">
        <v>0.988</v>
      </c>
      <c r="I134" s="118" t="n">
        <v>0.979</v>
      </c>
      <c r="J134" s="118" t="n">
        <v>-0.011</v>
      </c>
      <c r="K134" s="118" t="n">
        <v>-2.442</v>
      </c>
      <c r="L134" s="119" t="inlineStr">
        <is>
          <t>✓ Lower Risk</t>
        </is>
      </c>
      <c r="M134" s="120" t="n">
        <v>-0.005</v>
      </c>
      <c r="N134" s="120" t="n">
        <v>0.112</v>
      </c>
      <c r="O134" s="120" t="n">
        <v>-0.159</v>
      </c>
      <c r="P134" s="120" t="n">
        <v>0.701</v>
      </c>
      <c r="Q134" s="120" t="n">
        <v>-0.003</v>
      </c>
      <c r="R134" s="117" t="n">
        <v>0</v>
      </c>
      <c r="S134" s="118" t="n">
        <v>-6.416</v>
      </c>
      <c r="T134" s="118" t="n">
        <v>0.002</v>
      </c>
      <c r="U134" s="119" t="inlineStr">
        <is>
          <t>✓ Normal</t>
        </is>
      </c>
      <c r="V134" s="117" t="n">
        <v>0</v>
      </c>
      <c r="W134" s="117" t="n">
        <v>1</v>
      </c>
      <c r="X134" s="117" t="n">
        <v>0</v>
      </c>
      <c r="Y134" s="117" t="n">
        <v>0</v>
      </c>
      <c r="Z134" s="117" t="n">
        <v>0</v>
      </c>
      <c r="AA134" s="117" t="n">
        <v>0</v>
      </c>
      <c r="AB134" s="117" t="n">
        <v>1</v>
      </c>
      <c r="AC134" s="119" t="inlineStr">
        <is>
          <t>✓ Clean</t>
        </is>
      </c>
      <c r="AD134" s="118" t="n">
        <v>4757000000</v>
      </c>
      <c r="AE134" s="118" t="n">
        <v>-1155000000</v>
      </c>
      <c r="AF134" s="118" t="n">
        <v>4182000000</v>
      </c>
      <c r="AG134" s="118" t="n">
        <v>0.012</v>
      </c>
      <c r="AH134" s="119" t="inlineStr">
        <is>
          <t>✓ Medium Quality</t>
        </is>
      </c>
      <c r="AI134" s="118" t="n">
        <v>0.081</v>
      </c>
      <c r="AJ134" s="120" t="n">
        <v>0.022</v>
      </c>
      <c r="AK134" s="120" t="n">
        <v>3.608</v>
      </c>
      <c r="AL134" s="120" t="n">
        <v>0.113</v>
      </c>
      <c r="AM134" s="120" t="n">
        <v>0</v>
      </c>
      <c r="AN134" s="118" t="n">
        <v>62.7</v>
      </c>
      <c r="AO134" s="121" t="inlineStr">
        <is>
          <t>⚠ WATCH</t>
        </is>
      </c>
      <c r="AP134" s="117" t="n">
        <v>0</v>
      </c>
      <c r="AQ134" s="117" t="n">
        <v>0</v>
      </c>
      <c r="AR134" s="117" t="n">
        <v>1</v>
      </c>
      <c r="AS134" s="117" t="n">
        <v>0</v>
      </c>
      <c r="AT134" s="117" t="n">
        <v>1</v>
      </c>
      <c r="AU134" s="117" t="n">
        <v>0</v>
      </c>
      <c r="AV134" s="117" t="n">
        <v>2</v>
      </c>
      <c r="AW134" s="121" t="inlineStr">
        <is>
          <t>⚠ WATCH</t>
        </is>
      </c>
      <c r="AX134" s="118" t="n">
        <v>14.5</v>
      </c>
      <c r="AY134" s="119" t="inlineStr">
        <is>
          <t>🟢 VERY LOW RISK</t>
        </is>
      </c>
      <c r="AZ134" s="118" t="n">
        <v>12</v>
      </c>
      <c r="BA134" s="118" t="n">
        <v>11.3</v>
      </c>
      <c r="BB134" s="118" t="n">
        <v>38.9</v>
      </c>
      <c r="BC134" s="118" t="n">
        <v>48.3</v>
      </c>
      <c r="BD134" s="118" t="n">
        <v>96.40000000000001</v>
      </c>
      <c r="BE134" s="118" t="n">
        <v>86.2</v>
      </c>
      <c r="BF134" s="120" t="n">
        <v>0.175</v>
      </c>
      <c r="BG134" s="117" t="n">
        <v>0.701</v>
      </c>
      <c r="BH134" s="122" t="n">
        <v>3</v>
      </c>
      <c r="BI134" s="123" t="n">
        <v>1</v>
      </c>
    </row>
    <row r="135" ht="17" customHeight="1">
      <c r="A135" s="117" t="inlineStr">
        <is>
          <t>V</t>
        </is>
      </c>
      <c r="B135" s="117" t="inlineStr">
        <is>
          <t>VISA INC.</t>
        </is>
      </c>
      <c r="C135" s="118" t="n">
        <v>1.284</v>
      </c>
      <c r="D135" s="124" t="inlineStr">
        <is>
          <t>N/A</t>
        </is>
      </c>
      <c r="E135" s="118" t="n">
        <v>0.965</v>
      </c>
      <c r="F135" s="118" t="n">
        <v>0.951</v>
      </c>
      <c r="G135" s="118" t="n">
        <v>0.952</v>
      </c>
      <c r="H135" s="118" t="n">
        <v>1.268</v>
      </c>
      <c r="I135" s="118" t="n">
        <v>1.057</v>
      </c>
      <c r="J135" s="118" t="n">
        <v>-0.03</v>
      </c>
      <c r="K135" s="124" t="inlineStr">
        <is>
          <t>N/A</t>
        </is>
      </c>
      <c r="L135" s="124" t="inlineStr">
        <is>
          <t>N/A</t>
        </is>
      </c>
      <c r="M135" s="120" t="n">
        <v>-0.112</v>
      </c>
      <c r="N135" s="120" t="n">
        <v>0.5</v>
      </c>
      <c r="O135" s="124" t="inlineStr">
        <is>
          <t>N/A</t>
        </is>
      </c>
      <c r="P135" s="120" t="n">
        <v>0.785</v>
      </c>
      <c r="Q135" s="120" t="n">
        <v>-0.008</v>
      </c>
      <c r="R135" s="117" t="n">
        <v>0</v>
      </c>
      <c r="S135" s="118" t="n">
        <v>-5.167</v>
      </c>
      <c r="T135" s="118" t="n">
        <v>0.006</v>
      </c>
      <c r="U135" s="119" t="inlineStr">
        <is>
          <t>✓ Normal</t>
        </is>
      </c>
      <c r="V135" s="117" t="n">
        <v>0</v>
      </c>
      <c r="W135" s="117" t="n">
        <v>1</v>
      </c>
      <c r="X135" s="117" t="n">
        <v>0</v>
      </c>
      <c r="Y135" s="117" t="n">
        <v>0</v>
      </c>
      <c r="Z135" s="117" t="n">
        <v>0</v>
      </c>
      <c r="AA135" s="117" t="n">
        <v>0</v>
      </c>
      <c r="AB135" s="117" t="n">
        <v>1</v>
      </c>
      <c r="AC135" s="119" t="inlineStr">
        <is>
          <t>✓ Clean</t>
        </is>
      </c>
      <c r="AD135" s="118" t="n">
        <v>23059000000</v>
      </c>
      <c r="AE135" s="118" t="n">
        <v>708000000</v>
      </c>
      <c r="AF135" s="118" t="n">
        <v>20058000000</v>
      </c>
      <c r="AG135" s="118" t="n">
        <v>-0.038</v>
      </c>
      <c r="AH135" s="119" t="inlineStr">
        <is>
          <t>✓ Medium Quality</t>
        </is>
      </c>
      <c r="AI135" s="118" t="n">
        <v>0.221</v>
      </c>
      <c r="AJ135" s="120" t="n">
        <v>-0.049</v>
      </c>
      <c r="AK135" s="120" t="n">
        <v>-4.482</v>
      </c>
      <c r="AL135" s="120" t="n">
        <v>1.056</v>
      </c>
      <c r="AM135" s="120" t="n">
        <v>-0</v>
      </c>
      <c r="AN135" s="117" t="n">
        <v>100</v>
      </c>
      <c r="AO135" s="119" t="inlineStr">
        <is>
          <t>✓ Good</t>
        </is>
      </c>
      <c r="AP135" s="117" t="n">
        <v>0</v>
      </c>
      <c r="AQ135" s="117" t="n">
        <v>1</v>
      </c>
      <c r="AR135" s="117" t="n">
        <v>0</v>
      </c>
      <c r="AS135" s="117" t="n">
        <v>1</v>
      </c>
      <c r="AT135" s="117" t="n">
        <v>0</v>
      </c>
      <c r="AU135" s="117" t="n">
        <v>1</v>
      </c>
      <c r="AV135" s="117" t="n">
        <v>3</v>
      </c>
      <c r="AW135" s="121" t="inlineStr">
        <is>
          <t>⚠ WATCH</t>
        </is>
      </c>
      <c r="AX135" s="118" t="n">
        <v>22</v>
      </c>
      <c r="AY135" s="119" t="inlineStr">
        <is>
          <t>🟢 LOW RISK</t>
        </is>
      </c>
      <c r="AZ135" s="118" t="n">
        <v>52.2</v>
      </c>
      <c r="BA135" s="118" t="n">
        <v>40.7</v>
      </c>
      <c r="BB135" s="124" t="inlineStr">
        <is>
          <t>N/A</t>
        </is>
      </c>
      <c r="BC135" s="124" t="inlineStr">
        <is>
          <t>N/A</t>
        </is>
      </c>
      <c r="BD135" s="124" t="inlineStr">
        <is>
          <t>N/A</t>
        </is>
      </c>
      <c r="BE135" s="124" t="inlineStr">
        <is>
          <t>N/A</t>
        </is>
      </c>
      <c r="BF135" s="120" t="n">
        <v>0.171</v>
      </c>
      <c r="BG135" s="117" t="n">
        <v>0.785</v>
      </c>
      <c r="BH135" s="122" t="n">
        <v>4</v>
      </c>
      <c r="BI135" s="123" t="n">
        <v>0.8333333333333334</v>
      </c>
    </row>
    <row r="136" ht="17" customHeight="1">
      <c r="A136" s="117" t="inlineStr">
        <is>
          <t>MDT</t>
        </is>
      </c>
      <c r="B136" s="117" t="inlineStr">
        <is>
          <t>Medtronic plc</t>
        </is>
      </c>
      <c r="C136" s="118" t="n">
        <v>0.9399999999999999</v>
      </c>
      <c r="D136" s="118" t="n">
        <v>1.544</v>
      </c>
      <c r="E136" s="118" t="n">
        <v>0.982</v>
      </c>
      <c r="F136" s="118" t="n">
        <v>1.084</v>
      </c>
      <c r="G136" s="118" t="n">
        <v>1.035</v>
      </c>
      <c r="H136" s="118" t="n">
        <v>1.002</v>
      </c>
      <c r="I136" s="118" t="n">
        <v>0.975</v>
      </c>
      <c r="J136" s="118" t="n">
        <v>-0.027</v>
      </c>
      <c r="K136" s="118" t="n">
        <v>-2.295</v>
      </c>
      <c r="L136" s="119" t="inlineStr">
        <is>
          <t>✓ Lower Risk</t>
        </is>
      </c>
      <c r="M136" s="120" t="n">
        <v>-0.005</v>
      </c>
      <c r="N136" s="120" t="n">
        <v>0.045</v>
      </c>
      <c r="O136" s="120" t="n">
        <v>0.168</v>
      </c>
      <c r="P136" s="120" t="n">
        <v>0.899</v>
      </c>
      <c r="Q136" s="120" t="n">
        <v>0.001</v>
      </c>
      <c r="R136" s="117" t="n">
        <v>0</v>
      </c>
      <c r="S136" s="118" t="n">
        <v>-5.804</v>
      </c>
      <c r="T136" s="118" t="n">
        <v>0.003</v>
      </c>
      <c r="U136" s="119" t="inlineStr">
        <is>
          <t>✓ Normal</t>
        </is>
      </c>
      <c r="V136" s="117" t="n">
        <v>1</v>
      </c>
      <c r="W136" s="117" t="n">
        <v>0</v>
      </c>
      <c r="X136" s="117" t="n">
        <v>1</v>
      </c>
      <c r="Y136" s="117" t="n">
        <v>1</v>
      </c>
      <c r="Z136" s="117" t="n">
        <v>0</v>
      </c>
      <c r="AA136" s="117" t="n">
        <v>0</v>
      </c>
      <c r="AB136" s="117" t="n">
        <v>3</v>
      </c>
      <c r="AC136" s="121" t="inlineStr">
        <is>
          <t>⚠ WATCH</t>
        </is>
      </c>
      <c r="AD136" s="118" t="n">
        <v>7330000000</v>
      </c>
      <c r="AE136" s="118" t="n">
        <v>-2934000000</v>
      </c>
      <c r="AF136" s="118" t="n">
        <v>4801000000</v>
      </c>
      <c r="AG136" s="118" t="n">
        <v>0.004</v>
      </c>
      <c r="AH136" s="119" t="inlineStr">
        <is>
          <t>✓ Medium Quality</t>
        </is>
      </c>
      <c r="AI136" s="118" t="n">
        <v>0.02</v>
      </c>
      <c r="AJ136" s="120" t="n">
        <v>0.08400000000000001</v>
      </c>
      <c r="AK136" s="120" t="n">
        <v>0.233</v>
      </c>
      <c r="AL136" s="120" t="n">
        <v>0.202</v>
      </c>
      <c r="AM136" s="120" t="n">
        <v>0.001</v>
      </c>
      <c r="AN136" s="117" t="n">
        <v>100</v>
      </c>
      <c r="AO136" s="119" t="inlineStr">
        <is>
          <t>✓ Good</t>
        </is>
      </c>
      <c r="AP136" s="117" t="n">
        <v>0</v>
      </c>
      <c r="AQ136" s="117" t="n">
        <v>0</v>
      </c>
      <c r="AR136" s="117" t="n">
        <v>1</v>
      </c>
      <c r="AS136" s="117" t="n">
        <v>1</v>
      </c>
      <c r="AT136" s="117" t="n">
        <v>1</v>
      </c>
      <c r="AU136" s="117" t="n">
        <v>0</v>
      </c>
      <c r="AV136" s="117" t="n">
        <v>3</v>
      </c>
      <c r="AW136" s="121" t="inlineStr">
        <is>
          <t>⚠ WATCH</t>
        </is>
      </c>
      <c r="AX136" s="118" t="n">
        <v>20.7</v>
      </c>
      <c r="AY136" s="119" t="inlineStr">
        <is>
          <t>🟢 LOW RISK</t>
        </is>
      </c>
      <c r="AZ136" s="118" t="n">
        <v>66.7</v>
      </c>
      <c r="BA136" s="118" t="n">
        <v>70.90000000000001</v>
      </c>
      <c r="BB136" s="118" t="n">
        <v>170.8</v>
      </c>
      <c r="BC136" s="118" t="n">
        <v>171.8</v>
      </c>
      <c r="BD136" s="118" t="n">
        <v>75.90000000000001</v>
      </c>
      <c r="BE136" s="118" t="n">
        <v>76.8</v>
      </c>
      <c r="BF136" s="120" t="n">
        <v>0.212</v>
      </c>
      <c r="BG136" s="117" t="n">
        <v>0.899</v>
      </c>
      <c r="BH136" s="122" t="n">
        <v>6</v>
      </c>
      <c r="BI136" s="123" t="n">
        <v>1</v>
      </c>
    </row>
    <row r="137" ht="17" customHeight="1">
      <c r="A137" s="117" t="inlineStr">
        <is>
          <t>WDC</t>
        </is>
      </c>
      <c r="B137" s="117" t="inlineStr">
        <is>
          <t>WESTERN DIGITAL CORPORATION</t>
        </is>
      </c>
      <c r="C137" s="118" t="n">
        <v>0.188</v>
      </c>
      <c r="D137" s="118" t="n">
        <v>1.056</v>
      </c>
      <c r="E137" s="118" t="n">
        <v>0.773</v>
      </c>
      <c r="F137" s="118" t="n">
        <v>3.655</v>
      </c>
      <c r="G137" s="118" t="n">
        <v>0.9419999999999999</v>
      </c>
      <c r="H137" s="118" t="n">
        <v>0.188</v>
      </c>
      <c r="I137" s="118" t="n">
        <v>1.112</v>
      </c>
      <c r="J137" s="118" t="n">
        <v>0.014</v>
      </c>
      <c r="K137" s="118" t="n">
        <v>-0.759</v>
      </c>
      <c r="L137" s="121" t="inlineStr">
        <is>
          <t>⚠ MANIPULATOR RISK</t>
        </is>
      </c>
      <c r="M137" s="120" t="n">
        <v>-0.159</v>
      </c>
      <c r="N137" s="120" t="n">
        <v>-0.098</v>
      </c>
      <c r="O137" s="120" t="n">
        <v>-0.297</v>
      </c>
      <c r="P137" s="120" t="n">
        <v>0.6820000000000001</v>
      </c>
      <c r="Q137" s="120" t="n">
        <v>0.123</v>
      </c>
      <c r="R137" s="117" t="n">
        <v>1</v>
      </c>
      <c r="S137" s="118" t="n">
        <v>-4.25</v>
      </c>
      <c r="T137" s="118" t="n">
        <v>0.014</v>
      </c>
      <c r="U137" s="119" t="inlineStr">
        <is>
          <t>✓ Normal</t>
        </is>
      </c>
      <c r="V137" s="117" t="n">
        <v>0</v>
      </c>
      <c r="W137" s="117" t="n">
        <v>0</v>
      </c>
      <c r="X137" s="117" t="n">
        <v>0</v>
      </c>
      <c r="Y137" s="117" t="n">
        <v>1</v>
      </c>
      <c r="Z137" s="117" t="n">
        <v>0</v>
      </c>
      <c r="AA137" s="117" t="n">
        <v>0</v>
      </c>
      <c r="AB137" s="117" t="n">
        <v>1</v>
      </c>
      <c r="AC137" s="119" t="inlineStr">
        <is>
          <t>✓ Clean</t>
        </is>
      </c>
      <c r="AD137" s="118" t="n">
        <v>1691000000</v>
      </c>
      <c r="AE137" s="118" t="n">
        <v>150000000</v>
      </c>
      <c r="AF137" s="118" t="n">
        <v>1889000000</v>
      </c>
      <c r="AG137" s="118" t="n">
        <v>0.003</v>
      </c>
      <c r="AH137" s="119" t="inlineStr">
        <is>
          <t>✓ Medium Quality</t>
        </is>
      </c>
      <c r="AI137" s="118" t="n">
        <v>-0.314</v>
      </c>
      <c r="AJ137" s="120" t="n">
        <v>2.655</v>
      </c>
      <c r="AK137" s="120" t="n">
        <v>-0.118</v>
      </c>
      <c r="AL137" s="120" t="n">
        <v>0.178</v>
      </c>
      <c r="AM137" s="120" t="n">
        <v>-0.004</v>
      </c>
      <c r="AN137" s="118" t="n">
        <v>99.8</v>
      </c>
      <c r="AO137" s="119" t="inlineStr">
        <is>
          <t>✓ Good</t>
        </is>
      </c>
      <c r="AP137" s="117" t="n">
        <v>0</v>
      </c>
      <c r="AQ137" s="117" t="n">
        <v>0</v>
      </c>
      <c r="AR137" s="117" t="n">
        <v>1</v>
      </c>
      <c r="AS137" s="117" t="n">
        <v>0</v>
      </c>
      <c r="AT137" s="117" t="n">
        <v>1</v>
      </c>
      <c r="AU137" s="117" t="n">
        <v>1</v>
      </c>
      <c r="AV137" s="117" t="n">
        <v>3</v>
      </c>
      <c r="AW137" s="121" t="inlineStr">
        <is>
          <t>⚠ WATCH</t>
        </is>
      </c>
      <c r="AX137" s="118" t="n">
        <v>20.2</v>
      </c>
      <c r="AY137" s="119" t="inlineStr">
        <is>
          <t>🟢 LOW RISK</t>
        </is>
      </c>
      <c r="AZ137" s="118" t="n">
        <v>57</v>
      </c>
      <c r="BA137" s="118" t="n">
        <v>303.5</v>
      </c>
      <c r="BB137" s="118" t="n">
        <v>80.90000000000001</v>
      </c>
      <c r="BC137" s="118" t="n">
        <v>121.3</v>
      </c>
      <c r="BD137" s="118" t="n">
        <v>79.3</v>
      </c>
      <c r="BE137" s="118" t="n">
        <v>38.2</v>
      </c>
      <c r="BF137" s="120" t="n">
        <v>-0.454</v>
      </c>
      <c r="BG137" s="117" t="n">
        <v>0.6820000000000001</v>
      </c>
      <c r="BH137" s="122" t="n">
        <v>5</v>
      </c>
      <c r="BI137" s="123" t="n">
        <v>1</v>
      </c>
    </row>
    <row r="138" ht="17" customHeight="1">
      <c r="A138" s="117" t="inlineStr">
        <is>
          <t>OPEN</t>
        </is>
      </c>
      <c r="B138" s="117" t="inlineStr">
        <is>
          <t>Opendoor Technologies Inc.</t>
        </is>
      </c>
      <c r="C138" s="124" t="inlineStr">
        <is>
          <t>N/A</t>
        </is>
      </c>
      <c r="D138" s="118" t="n">
        <v>1.049</v>
      </c>
      <c r="E138" s="118" t="n">
        <v>1.299</v>
      </c>
      <c r="F138" s="118" t="n">
        <v>0.848</v>
      </c>
      <c r="G138" s="118" t="n">
        <v>0.762</v>
      </c>
      <c r="H138" s="118" t="n">
        <v>1.542</v>
      </c>
      <c r="I138" s="118" t="n">
        <v>0.755</v>
      </c>
      <c r="J138" s="118" t="n">
        <v>-0.976</v>
      </c>
      <c r="K138" s="124" t="inlineStr">
        <is>
          <t>N/A</t>
        </is>
      </c>
      <c r="L138" s="124" t="inlineStr">
        <is>
          <t>N/A</t>
        </is>
      </c>
      <c r="M138" s="120" t="n">
        <v>-0.34</v>
      </c>
      <c r="N138" s="124" t="inlineStr">
        <is>
          <t>N/A</t>
        </is>
      </c>
      <c r="O138" s="124" t="inlineStr">
        <is>
          <t>N/A</t>
        </is>
      </c>
      <c r="P138" s="120" t="n">
        <v>0.589</v>
      </c>
      <c r="Q138" s="120" t="n">
        <v>-0.415</v>
      </c>
      <c r="R138" s="117" t="n">
        <v>1</v>
      </c>
      <c r="S138" s="124" t="inlineStr">
        <is>
          <t>N/A</t>
        </is>
      </c>
      <c r="T138" s="124" t="inlineStr">
        <is>
          <t>N/A</t>
        </is>
      </c>
      <c r="U138" s="124" t="inlineStr">
        <is>
          <t>N/A</t>
        </is>
      </c>
      <c r="V138" s="117" t="n">
        <v>0</v>
      </c>
      <c r="W138" s="117" t="n">
        <v>0</v>
      </c>
      <c r="X138" s="117" t="n">
        <v>0</v>
      </c>
      <c r="Y138" s="117" t="n">
        <v>0</v>
      </c>
      <c r="Z138" s="117" t="n">
        <v>0</v>
      </c>
      <c r="AA138" s="117" t="n">
        <v>0</v>
      </c>
      <c r="AB138" s="117" t="n">
        <v>0</v>
      </c>
      <c r="AC138" s="119" t="inlineStr">
        <is>
          <t>✓ Clean</t>
        </is>
      </c>
      <c r="AD138" s="118" t="n">
        <v>1049000000</v>
      </c>
      <c r="AE138" s="118" t="n">
        <v>-12000000</v>
      </c>
      <c r="AF138" s="118" t="n">
        <v>-1300000000</v>
      </c>
      <c r="AG138" s="118" t="n">
        <v>-0.845</v>
      </c>
      <c r="AH138" s="119" t="inlineStr">
        <is>
          <t>✓ High Quality</t>
        </is>
      </c>
      <c r="AI138" s="124" t="inlineStr">
        <is>
          <t>N/A</t>
        </is>
      </c>
      <c r="AJ138" s="120" t="n">
        <v>-0.152</v>
      </c>
      <c r="AK138" s="124" t="inlineStr">
        <is>
          <t>N/A</t>
        </is>
      </c>
      <c r="AL138" s="120" t="n">
        <v>0.24</v>
      </c>
      <c r="AM138" s="124" t="inlineStr">
        <is>
          <t>N/A</t>
        </is>
      </c>
      <c r="AN138" s="117" t="n">
        <v>100</v>
      </c>
      <c r="AO138" s="119" t="inlineStr">
        <is>
          <t>✓ Good</t>
        </is>
      </c>
      <c r="AP138" s="117" t="n">
        <v>0</v>
      </c>
      <c r="AQ138" s="117" t="n">
        <v>0</v>
      </c>
      <c r="AR138" s="117" t="n">
        <v>1</v>
      </c>
      <c r="AS138" s="117" t="n">
        <v>1</v>
      </c>
      <c r="AT138" s="117" t="n">
        <v>0</v>
      </c>
      <c r="AU138" s="117" t="n">
        <v>0</v>
      </c>
      <c r="AV138" s="117" t="n">
        <v>2</v>
      </c>
      <c r="AW138" s="121" t="inlineStr">
        <is>
          <t>⚠ WATCH</t>
        </is>
      </c>
      <c r="AX138" s="118" t="n">
        <v>33.7</v>
      </c>
      <c r="AY138" s="119" t="inlineStr">
        <is>
          <t>🟢 LOW RISK</t>
        </is>
      </c>
      <c r="AZ138" s="118" t="n">
        <v>0</v>
      </c>
      <c r="BA138" s="124" t="inlineStr">
        <is>
          <t>N/A</t>
        </is>
      </c>
      <c r="BB138" s="124" t="inlineStr">
        <is>
          <t>N/A</t>
        </is>
      </c>
      <c r="BC138" s="124" t="inlineStr">
        <is>
          <t>N/A</t>
        </is>
      </c>
      <c r="BD138" s="118" t="n">
        <v>7.3</v>
      </c>
      <c r="BE138" s="118" t="n">
        <v>7.1</v>
      </c>
      <c r="BF138" s="120" t="n">
        <v>-0</v>
      </c>
      <c r="BG138" s="117" t="n">
        <v>0.589</v>
      </c>
      <c r="BH138" s="122" t="n">
        <v>3</v>
      </c>
      <c r="BI138" s="125" t="n">
        <v>0.6666666666666666</v>
      </c>
    </row>
    <row r="139" ht="17" customHeight="1">
      <c r="A139" s="117" t="inlineStr">
        <is>
          <t>RHI</t>
        </is>
      </c>
      <c r="B139" s="117" t="inlineStr">
        <is>
          <t>Robert Half Inc.</t>
        </is>
      </c>
      <c r="C139" s="118" t="n">
        <v>1.044</v>
      </c>
      <c r="D139" s="118" t="n">
        <v>1.042</v>
      </c>
      <c r="E139" s="118" t="n">
        <v>1.004</v>
      </c>
      <c r="F139" s="118" t="n">
        <v>0.928</v>
      </c>
      <c r="G139" s="118" t="n">
        <v>1.084</v>
      </c>
      <c r="H139" s="118" t="n">
        <v>1.035</v>
      </c>
      <c r="I139" s="118" t="n">
        <v>1.07</v>
      </c>
      <c r="J139" s="118" t="n">
        <v>-0.065</v>
      </c>
      <c r="K139" s="118" t="n">
        <v>-2.805</v>
      </c>
      <c r="L139" s="119" t="inlineStr">
        <is>
          <t>✓ Lower Risk</t>
        </is>
      </c>
      <c r="M139" s="120" t="n">
        <v>-0.03</v>
      </c>
      <c r="N139" s="120" t="n">
        <v>-0.057</v>
      </c>
      <c r="O139" s="124" t="inlineStr">
        <is>
          <t>N/A</t>
        </is>
      </c>
      <c r="P139" s="120" t="n">
        <v>0.792</v>
      </c>
      <c r="Q139" s="120" t="n">
        <v>-0.042</v>
      </c>
      <c r="R139" s="117" t="n">
        <v>0</v>
      </c>
      <c r="S139" s="118" t="n">
        <v>-6.474</v>
      </c>
      <c r="T139" s="118" t="n">
        <v>0.002</v>
      </c>
      <c r="U139" s="119" t="inlineStr">
        <is>
          <t>✓ Normal</t>
        </is>
      </c>
      <c r="V139" s="117" t="n">
        <v>0</v>
      </c>
      <c r="W139" s="117" t="n">
        <v>1</v>
      </c>
      <c r="X139" s="117" t="n">
        <v>0</v>
      </c>
      <c r="Y139" s="117" t="n">
        <v>0</v>
      </c>
      <c r="Z139" s="117" t="n">
        <v>1</v>
      </c>
      <c r="AA139" s="117" t="n">
        <v>0</v>
      </c>
      <c r="AB139" s="117" t="n">
        <v>2</v>
      </c>
      <c r="AC139" s="121" t="inlineStr">
        <is>
          <t>⚠ WATCH</t>
        </is>
      </c>
      <c r="AD139" s="118" t="n">
        <v>319965000</v>
      </c>
      <c r="AE139" s="118" t="n">
        <v>-85704000</v>
      </c>
      <c r="AF139" s="118" t="n">
        <v>132990000</v>
      </c>
      <c r="AG139" s="118" t="n">
        <v>-0.035</v>
      </c>
      <c r="AH139" s="119" t="inlineStr">
        <is>
          <t>✓ Medium Quality</t>
        </is>
      </c>
      <c r="AI139" s="118" t="n">
        <v>-0.031</v>
      </c>
      <c r="AJ139" s="120" t="n">
        <v>-0.07199999999999999</v>
      </c>
      <c r="AK139" s="120" t="n">
        <v>0.428</v>
      </c>
      <c r="AL139" s="120" t="n">
        <v>0.059</v>
      </c>
      <c r="AM139" s="120" t="n">
        <v>-0</v>
      </c>
      <c r="AN139" s="118" t="n">
        <v>81.90000000000001</v>
      </c>
      <c r="AO139" s="119" t="inlineStr">
        <is>
          <t>✓ Good</t>
        </is>
      </c>
      <c r="AP139" s="117" t="n">
        <v>0</v>
      </c>
      <c r="AQ139" s="117" t="n">
        <v>1</v>
      </c>
      <c r="AR139" s="117" t="n">
        <v>1</v>
      </c>
      <c r="AS139" s="117" t="n">
        <v>1</v>
      </c>
      <c r="AT139" s="117" t="n">
        <v>0</v>
      </c>
      <c r="AU139" s="117" t="n">
        <v>0</v>
      </c>
      <c r="AV139" s="117" t="n">
        <v>3</v>
      </c>
      <c r="AW139" s="121" t="inlineStr">
        <is>
          <t>⚠ WATCH</t>
        </is>
      </c>
      <c r="AX139" s="118" t="n">
        <v>17.1</v>
      </c>
      <c r="AY139" s="119" t="inlineStr">
        <is>
          <t>🟢 VERY LOW RISK</t>
        </is>
      </c>
      <c r="AZ139" s="118" t="n">
        <v>50.8</v>
      </c>
      <c r="BA139" s="118" t="n">
        <v>48.6</v>
      </c>
      <c r="BB139" s="124" t="inlineStr">
        <is>
          <t>N/A</t>
        </is>
      </c>
      <c r="BC139" s="124" t="inlineStr">
        <is>
          <t>N/A</t>
        </is>
      </c>
      <c r="BD139" s="118" t="n">
        <v>17.2</v>
      </c>
      <c r="BE139" s="118" t="n">
        <v>17.2</v>
      </c>
      <c r="BF139" s="120" t="n">
        <v>0.316</v>
      </c>
      <c r="BG139" s="117" t="n">
        <v>0.792</v>
      </c>
      <c r="BH139" s="122" t="n">
        <v>5</v>
      </c>
      <c r="BI139" s="123" t="n">
        <v>1</v>
      </c>
    </row>
    <row r="140" ht="17" customHeight="1">
      <c r="A140" s="126" t="inlineStr">
        <is>
          <t>RCKT</t>
        </is>
      </c>
      <c r="B140" s="126" t="inlineStr">
        <is>
          <t>Rocket Pharmaceuticals, Inc.</t>
        </is>
      </c>
      <c r="C140" s="124" t="inlineStr">
        <is>
          <t>N/A</t>
        </is>
      </c>
      <c r="D140" s="124" t="inlineStr">
        <is>
          <t>N/A</t>
        </is>
      </c>
      <c r="E140" s="127" t="n">
        <v>1.552</v>
      </c>
      <c r="F140" s="124" t="inlineStr">
        <is>
          <t>N/A</t>
        </is>
      </c>
      <c r="G140" s="127" t="n">
        <v>0.6820000000000001</v>
      </c>
      <c r="H140" s="124" t="inlineStr">
        <is>
          <t>N/A</t>
        </is>
      </c>
      <c r="I140" s="127" t="n">
        <v>1.319</v>
      </c>
      <c r="J140" s="127" t="n">
        <v>-0.1</v>
      </c>
      <c r="K140" s="124" t="inlineStr">
        <is>
          <t>N/A</t>
        </is>
      </c>
      <c r="L140" s="124" t="inlineStr">
        <is>
          <t>N/A</t>
        </is>
      </c>
      <c r="M140" s="128" t="n">
        <v>-0.296</v>
      </c>
      <c r="N140" s="124" t="inlineStr">
        <is>
          <t>N/A</t>
        </is>
      </c>
      <c r="O140" s="124" t="inlineStr">
        <is>
          <t>N/A</t>
        </is>
      </c>
      <c r="P140" s="128" t="n">
        <v>0.68</v>
      </c>
      <c r="Q140" s="128" t="n">
        <v>-0.185</v>
      </c>
      <c r="R140" s="126" t="n">
        <v>1</v>
      </c>
      <c r="S140" s="124" t="inlineStr">
        <is>
          <t>N/A</t>
        </is>
      </c>
      <c r="T140" s="124" t="inlineStr">
        <is>
          <t>N/A</t>
        </is>
      </c>
      <c r="U140" s="124" t="inlineStr">
        <is>
          <t>N/A</t>
        </is>
      </c>
      <c r="V140" s="126" t="n">
        <v>0</v>
      </c>
      <c r="W140" s="126" t="n">
        <v>0</v>
      </c>
      <c r="X140" s="126" t="n">
        <v>0</v>
      </c>
      <c r="Y140" s="126" t="n">
        <v>0</v>
      </c>
      <c r="Z140" s="126" t="n">
        <v>0</v>
      </c>
      <c r="AA140" s="126" t="n">
        <v>0</v>
      </c>
      <c r="AB140" s="126" t="n">
        <v>0</v>
      </c>
      <c r="AC140" s="119" t="inlineStr">
        <is>
          <t>✓ Clean</t>
        </is>
      </c>
      <c r="AD140" s="127" t="n">
        <v>-190014000</v>
      </c>
      <c r="AE140" s="127" t="n">
        <v>103767000</v>
      </c>
      <c r="AF140" s="127" t="n">
        <v>-223123000</v>
      </c>
      <c r="AG140" s="127" t="n">
        <v>-0.319</v>
      </c>
      <c r="AH140" s="119" t="inlineStr">
        <is>
          <t>✓ High Quality</t>
        </is>
      </c>
      <c r="AI140" s="124" t="inlineStr">
        <is>
          <t>N/A</t>
        </is>
      </c>
      <c r="AJ140" s="124" t="inlineStr">
        <is>
          <t>N/A</t>
        </is>
      </c>
      <c r="AK140" s="124" t="inlineStr">
        <is>
          <t>N/A</t>
        </is>
      </c>
      <c r="AL140" s="124" t="inlineStr">
        <is>
          <t>N/A</t>
        </is>
      </c>
      <c r="AM140" s="124" t="inlineStr">
        <is>
          <t>N/A</t>
        </is>
      </c>
      <c r="AN140" s="126" t="n">
        <v>100</v>
      </c>
      <c r="AO140" s="119" t="inlineStr">
        <is>
          <t>✓ Good</t>
        </is>
      </c>
      <c r="AP140" s="126" t="n">
        <v>0</v>
      </c>
      <c r="AQ140" s="126" t="n">
        <v>0</v>
      </c>
      <c r="AR140" s="126" t="n">
        <v>0</v>
      </c>
      <c r="AS140" s="126" t="n">
        <v>0</v>
      </c>
      <c r="AT140" s="126" t="n">
        <v>0</v>
      </c>
      <c r="AU140" s="126" t="n">
        <v>0</v>
      </c>
      <c r="AV140" s="126" t="n">
        <v>0</v>
      </c>
      <c r="AW140" s="119" t="inlineStr">
        <is>
          <t>✓ Clean</t>
        </is>
      </c>
      <c r="AX140" s="127" t="n">
        <v>28.4</v>
      </c>
      <c r="AY140" s="119" t="inlineStr">
        <is>
          <t>🟢 LOW RISK</t>
        </is>
      </c>
      <c r="AZ140" s="124" t="inlineStr">
        <is>
          <t>N/A</t>
        </is>
      </c>
      <c r="BA140" s="124" t="inlineStr">
        <is>
          <t>N/A</t>
        </is>
      </c>
      <c r="BB140" s="124" t="inlineStr">
        <is>
          <t>N/A</t>
        </is>
      </c>
      <c r="BC140" s="124" t="inlineStr">
        <is>
          <t>N/A</t>
        </is>
      </c>
      <c r="BD140" s="127" t="n">
        <v>0.7</v>
      </c>
      <c r="BE140" s="127" t="n">
        <v>2.1</v>
      </c>
      <c r="BF140" s="128" t="n">
        <v>-0</v>
      </c>
      <c r="BG140" s="126" t="n">
        <v>0.68</v>
      </c>
      <c r="BH140" s="126" t="n">
        <v>1</v>
      </c>
      <c r="BI140" s="125" t="n">
        <v>0.6666666666666666</v>
      </c>
    </row>
    <row r="141" ht="17" customHeight="1">
      <c r="A141" s="117" t="inlineStr">
        <is>
          <t>PSA</t>
        </is>
      </c>
      <c r="B141" s="117" t="inlineStr">
        <is>
          <t>Public Storage</t>
        </is>
      </c>
      <c r="C141" s="124" t="inlineStr">
        <is>
          <t>N/A</t>
        </is>
      </c>
      <c r="D141" s="118" t="n">
        <v>1</v>
      </c>
      <c r="E141" s="124" t="inlineStr">
        <is>
          <t>N/A</t>
        </is>
      </c>
      <c r="F141" s="118" t="n">
        <v>1.027</v>
      </c>
      <c r="G141" s="124" t="inlineStr">
        <is>
          <t>N/A</t>
        </is>
      </c>
      <c r="H141" s="118" t="n">
        <v>0.973</v>
      </c>
      <c r="I141" s="118" t="n">
        <v>1.069</v>
      </c>
      <c r="J141" s="118" t="n">
        <v>-0.06900000000000001</v>
      </c>
      <c r="K141" s="124" t="inlineStr">
        <is>
          <t>N/A</t>
        </is>
      </c>
      <c r="L141" s="124" t="inlineStr">
        <is>
          <t>N/A</t>
        </is>
      </c>
      <c r="M141" s="124" t="inlineStr">
        <is>
          <t>N/A</t>
        </is>
      </c>
      <c r="N141" s="124" t="inlineStr">
        <is>
          <t>N/A</t>
        </is>
      </c>
      <c r="O141" s="124" t="inlineStr">
        <is>
          <t>N/A</t>
        </is>
      </c>
      <c r="P141" s="120" t="n">
        <v>0.984</v>
      </c>
      <c r="Q141" s="120" t="n">
        <v>-0.017</v>
      </c>
      <c r="R141" s="117" t="n">
        <v>1</v>
      </c>
      <c r="S141" s="124" t="inlineStr">
        <is>
          <t>N/A</t>
        </is>
      </c>
      <c r="T141" s="124" t="inlineStr">
        <is>
          <t>N/A</t>
        </is>
      </c>
      <c r="U141" s="124" t="inlineStr">
        <is>
          <t>N/A</t>
        </is>
      </c>
      <c r="V141" s="117" t="n">
        <v>0</v>
      </c>
      <c r="W141" s="117" t="n">
        <v>0</v>
      </c>
      <c r="X141" s="117" t="n">
        <v>0</v>
      </c>
      <c r="Y141" s="117" t="n">
        <v>0</v>
      </c>
      <c r="Z141" s="117" t="n">
        <v>0</v>
      </c>
      <c r="AA141" s="117" t="n">
        <v>0</v>
      </c>
      <c r="AB141" s="117" t="n">
        <v>0</v>
      </c>
      <c r="AC141" s="119" t="inlineStr">
        <is>
          <t>✓ Clean</t>
        </is>
      </c>
      <c r="AD141" s="118" t="n">
        <v>3186449000</v>
      </c>
      <c r="AE141" s="118" t="n">
        <v>-1685089000</v>
      </c>
      <c r="AF141" s="118" t="n">
        <v>1784348000</v>
      </c>
      <c r="AG141" s="118" t="n">
        <v>0.014</v>
      </c>
      <c r="AH141" s="119" t="inlineStr">
        <is>
          <t>✓ Medium Quality</t>
        </is>
      </c>
      <c r="AI141" s="124" t="inlineStr">
        <is>
          <t>N/A</t>
        </is>
      </c>
      <c r="AJ141" s="120" t="n">
        <v>0.027</v>
      </c>
      <c r="AK141" s="124" t="inlineStr">
        <is>
          <t>N/A</t>
        </is>
      </c>
      <c r="AL141" s="120" t="n">
        <v>0.661</v>
      </c>
      <c r="AM141" s="124" t="inlineStr">
        <is>
          <t>N/A</t>
        </is>
      </c>
      <c r="AN141" s="117" t="n">
        <v>100</v>
      </c>
      <c r="AO141" s="119" t="inlineStr">
        <is>
          <t>✓ Good</t>
        </is>
      </c>
      <c r="AP141" s="117" t="n">
        <v>0</v>
      </c>
      <c r="AQ141" s="117" t="n">
        <v>0</v>
      </c>
      <c r="AR141" s="117" t="n">
        <v>0</v>
      </c>
      <c r="AS141" s="117" t="n">
        <v>0</v>
      </c>
      <c r="AT141" s="117" t="n">
        <v>0</v>
      </c>
      <c r="AU141" s="117" t="n">
        <v>1</v>
      </c>
      <c r="AV141" s="117" t="n">
        <v>1</v>
      </c>
      <c r="AW141" s="119" t="inlineStr">
        <is>
          <t>✓ Clean</t>
        </is>
      </c>
      <c r="AX141" s="118" t="n">
        <v>23.1</v>
      </c>
      <c r="AY141" s="119" t="inlineStr">
        <is>
          <t>🟢 LOW RISK</t>
        </is>
      </c>
      <c r="AZ141" s="118" t="n">
        <v>0</v>
      </c>
      <c r="BA141" s="124" t="inlineStr">
        <is>
          <t>N/A</t>
        </is>
      </c>
      <c r="BB141" s="124" t="inlineStr">
        <is>
          <t>N/A</t>
        </is>
      </c>
      <c r="BC141" s="124" t="inlineStr">
        <is>
          <t>N/A</t>
        </is>
      </c>
      <c r="BD141" s="124" t="inlineStr">
        <is>
          <t>N/A</t>
        </is>
      </c>
      <c r="BE141" s="124" t="inlineStr">
        <is>
          <t>N/A</t>
        </is>
      </c>
      <c r="BF141" s="120" t="n">
        <v>-0.004</v>
      </c>
      <c r="BG141" s="117" t="n">
        <v>0.984</v>
      </c>
      <c r="BH141" s="122" t="n">
        <v>2</v>
      </c>
      <c r="BI141" s="125" t="n">
        <v>0.6666666666666666</v>
      </c>
    </row>
    <row r="142" ht="17" customHeight="1">
      <c r="A142" s="117" t="inlineStr">
        <is>
          <t>ONB</t>
        </is>
      </c>
      <c r="B142" s="117" t="inlineStr">
        <is>
          <t>OLD NATIONAL BANCORP /IN/</t>
        </is>
      </c>
      <c r="C142" s="124" t="inlineStr">
        <is>
          <t>N/A</t>
        </is>
      </c>
      <c r="D142" s="124" t="inlineStr">
        <is>
          <t>N/A</t>
        </is>
      </c>
      <c r="E142" s="118" t="n">
        <v>1.002</v>
      </c>
      <c r="F142" s="118" t="n">
        <v>1.061</v>
      </c>
      <c r="G142" s="118" t="n">
        <v>0.872</v>
      </c>
      <c r="H142" s="124" t="inlineStr">
        <is>
          <t>N/A</t>
        </is>
      </c>
      <c r="I142" s="118" t="n">
        <v>1.001</v>
      </c>
      <c r="J142" s="118" t="n">
        <v>-0</v>
      </c>
      <c r="K142" s="124" t="inlineStr">
        <is>
          <t>N/A</t>
        </is>
      </c>
      <c r="L142" s="124" t="inlineStr">
        <is>
          <t>N/A</t>
        </is>
      </c>
      <c r="M142" s="124" t="inlineStr">
        <is>
          <t>N/A</t>
        </is>
      </c>
      <c r="N142" s="124" t="inlineStr">
        <is>
          <t>N/A</t>
        </is>
      </c>
      <c r="O142" s="124" t="inlineStr">
        <is>
          <t>N/A</t>
        </is>
      </c>
      <c r="P142" s="120" t="n">
        <v>0.968</v>
      </c>
      <c r="Q142" s="120" t="n">
        <v>-0.001</v>
      </c>
      <c r="R142" s="117" t="n">
        <v>1</v>
      </c>
      <c r="S142" s="124" t="inlineStr">
        <is>
          <t>N/A</t>
        </is>
      </c>
      <c r="T142" s="124" t="inlineStr">
        <is>
          <t>N/A</t>
        </is>
      </c>
      <c r="U142" s="124" t="inlineStr">
        <is>
          <t>N/A</t>
        </is>
      </c>
      <c r="V142" s="117" t="n">
        <v>1</v>
      </c>
      <c r="W142" s="117" t="n">
        <v>0</v>
      </c>
      <c r="X142" s="117" t="n">
        <v>0</v>
      </c>
      <c r="Y142" s="117" t="n">
        <v>0</v>
      </c>
      <c r="Z142" s="117" t="n">
        <v>1</v>
      </c>
      <c r="AA142" s="117" t="n">
        <v>1</v>
      </c>
      <c r="AB142" s="117" t="n">
        <v>3</v>
      </c>
      <c r="AC142" s="121" t="inlineStr">
        <is>
          <t>⚠ WATCH</t>
        </is>
      </c>
      <c r="AD142" s="118" t="n">
        <v>681472000</v>
      </c>
      <c r="AE142" s="118" t="n">
        <v>-1834806000</v>
      </c>
      <c r="AF142" s="118" t="n">
        <v>669257000</v>
      </c>
      <c r="AG142" s="118" t="n">
        <v>0.029</v>
      </c>
      <c r="AH142" s="119" t="inlineStr">
        <is>
          <t>✓ Medium Quality</t>
        </is>
      </c>
      <c r="AI142" s="124" t="inlineStr">
        <is>
          <t>N/A</t>
        </is>
      </c>
      <c r="AJ142" s="120" t="n">
        <v>0.061</v>
      </c>
      <c r="AK142" s="124" t="inlineStr">
        <is>
          <t>N/A</t>
        </is>
      </c>
      <c r="AL142" s="120" t="n">
        <v>5.425</v>
      </c>
      <c r="AM142" s="124" t="inlineStr">
        <is>
          <t>N/A</t>
        </is>
      </c>
      <c r="AN142" s="117" t="n">
        <v>100</v>
      </c>
      <c r="AO142" s="119" t="inlineStr">
        <is>
          <t>✓ Good</t>
        </is>
      </c>
      <c r="AP142" s="117" t="n">
        <v>0</v>
      </c>
      <c r="AQ142" s="117" t="n">
        <v>0</v>
      </c>
      <c r="AR142" s="117" t="n">
        <v>0</v>
      </c>
      <c r="AS142" s="117" t="n">
        <v>0</v>
      </c>
      <c r="AT142" s="117" t="n">
        <v>0</v>
      </c>
      <c r="AU142" s="117" t="n">
        <v>1</v>
      </c>
      <c r="AV142" s="117" t="n">
        <v>1</v>
      </c>
      <c r="AW142" s="119" t="inlineStr">
        <is>
          <t>✓ Clean</t>
        </is>
      </c>
      <c r="AX142" s="118" t="n">
        <v>33.4</v>
      </c>
      <c r="AY142" s="119" t="inlineStr">
        <is>
          <t>🟢 LOW RISK</t>
        </is>
      </c>
      <c r="AZ142" s="118" t="n">
        <v>0</v>
      </c>
      <c r="BA142" s="124" t="inlineStr">
        <is>
          <t>N/A</t>
        </is>
      </c>
      <c r="BB142" s="124" t="inlineStr">
        <is>
          <t>N/A</t>
        </is>
      </c>
      <c r="BC142" s="124" t="inlineStr">
        <is>
          <t>N/A</t>
        </is>
      </c>
      <c r="BD142" s="124" t="inlineStr">
        <is>
          <t>N/A</t>
        </is>
      </c>
      <c r="BE142" s="124" t="inlineStr">
        <is>
          <t>N/A</t>
        </is>
      </c>
      <c r="BF142" s="120" t="n">
        <v>0.205</v>
      </c>
      <c r="BG142" s="117" t="n">
        <v>0.968</v>
      </c>
      <c r="BH142" s="122" t="n">
        <v>5</v>
      </c>
      <c r="BI142" s="125" t="n">
        <v>0.6666666666666666</v>
      </c>
    </row>
    <row r="143" ht="17" customHeight="1">
      <c r="A143" s="117" t="inlineStr">
        <is>
          <t>CMI</t>
        </is>
      </c>
      <c r="B143" s="117" t="inlineStr">
        <is>
          <t>CUMMINS INC</t>
        </is>
      </c>
      <c r="C143" s="118" t="n">
        <v>1.137</v>
      </c>
      <c r="D143" s="118" t="n">
        <v>0.978</v>
      </c>
      <c r="E143" s="118" t="n">
        <v>0.899</v>
      </c>
      <c r="F143" s="118" t="n">
        <v>0.987</v>
      </c>
      <c r="G143" s="118" t="n">
        <v>1.11</v>
      </c>
      <c r="H143" s="118" t="n">
        <v>0.966</v>
      </c>
      <c r="I143" s="118" t="n">
        <v>0.944</v>
      </c>
      <c r="J143" s="118" t="n">
        <v>-0.076</v>
      </c>
      <c r="K143" s="118" t="n">
        <v>-2.736</v>
      </c>
      <c r="L143" s="119" t="inlineStr">
        <is>
          <t>✓ Lower Risk</t>
        </is>
      </c>
      <c r="M143" s="120" t="n">
        <v>0.117</v>
      </c>
      <c r="N143" s="120" t="n">
        <v>1.475</v>
      </c>
      <c r="O143" s="120" t="n">
        <v>0.185</v>
      </c>
      <c r="P143" s="120" t="n">
        <v>0.733</v>
      </c>
      <c r="Q143" s="120" t="n">
        <v>0.017</v>
      </c>
      <c r="R143" s="117" t="n">
        <v>0</v>
      </c>
      <c r="S143" s="118" t="n">
        <v>-2.423</v>
      </c>
      <c r="T143" s="118" t="n">
        <v>0.081</v>
      </c>
      <c r="U143" s="121" t="inlineStr">
        <is>
          <t>⚠ HIGH RISK</t>
        </is>
      </c>
      <c r="V143" s="117" t="n">
        <v>0</v>
      </c>
      <c r="W143" s="117" t="n">
        <v>1</v>
      </c>
      <c r="X143" s="117" t="n">
        <v>1</v>
      </c>
      <c r="Y143" s="117" t="n">
        <v>1</v>
      </c>
      <c r="Z143" s="117" t="n">
        <v>1</v>
      </c>
      <c r="AA143" s="117" t="n">
        <v>0</v>
      </c>
      <c r="AB143" s="117" t="n">
        <v>4</v>
      </c>
      <c r="AC143" s="121" t="inlineStr">
        <is>
          <t>⚠⚠ SERIOUS CONCERN</t>
        </is>
      </c>
      <c r="AD143" s="118" t="n">
        <v>3621000000</v>
      </c>
      <c r="AE143" s="118" t="n">
        <v>-1731000000</v>
      </c>
      <c r="AF143" s="118" t="n">
        <v>1040000000</v>
      </c>
      <c r="AG143" s="118" t="n">
        <v>-0.026</v>
      </c>
      <c r="AH143" s="119" t="inlineStr">
        <is>
          <t>✓ Medium Quality</t>
        </is>
      </c>
      <c r="AI143" s="118" t="n">
        <v>0.123</v>
      </c>
      <c r="AJ143" s="120" t="n">
        <v>-0.013</v>
      </c>
      <c r="AK143" s="120" t="n">
        <v>-9.706</v>
      </c>
      <c r="AL143" s="120" t="n">
        <v>0.108</v>
      </c>
      <c r="AM143" s="120" t="n">
        <v>-0</v>
      </c>
      <c r="AN143" s="118" t="n">
        <v>91.5</v>
      </c>
      <c r="AO143" s="119" t="inlineStr">
        <is>
          <t>✓ Good</t>
        </is>
      </c>
      <c r="AP143" s="117" t="n">
        <v>1</v>
      </c>
      <c r="AQ143" s="117" t="n">
        <v>1</v>
      </c>
      <c r="AR143" s="117" t="n">
        <v>0</v>
      </c>
      <c r="AS143" s="117" t="n">
        <v>0</v>
      </c>
      <c r="AT143" s="117" t="n">
        <v>0</v>
      </c>
      <c r="AU143" s="117" t="n">
        <v>0</v>
      </c>
      <c r="AV143" s="117" t="n">
        <v>2</v>
      </c>
      <c r="AW143" s="121" t="inlineStr">
        <is>
          <t>⚠ WATCH</t>
        </is>
      </c>
      <c r="AX143" s="118" t="n">
        <v>34.5</v>
      </c>
      <c r="AY143" s="119" t="inlineStr">
        <is>
          <t>🟢 LOW RISK</t>
        </is>
      </c>
      <c r="AZ143" s="118" t="n">
        <v>63.1</v>
      </c>
      <c r="BA143" s="118" t="n">
        <v>55.5</v>
      </c>
      <c r="BB143" s="118" t="n">
        <v>84.5</v>
      </c>
      <c r="BC143" s="118" t="n">
        <v>81.7</v>
      </c>
      <c r="BD143" s="118" t="n">
        <v>55.1</v>
      </c>
      <c r="BE143" s="118" t="n">
        <v>56.2</v>
      </c>
      <c r="BF143" s="120" t="n">
        <v>0.254</v>
      </c>
      <c r="BG143" s="117" t="n">
        <v>0.733</v>
      </c>
      <c r="BH143" s="122" t="n">
        <v>6</v>
      </c>
      <c r="BI143" s="123" t="n">
        <v>1</v>
      </c>
    </row>
    <row r="144" ht="17" customHeight="1">
      <c r="A144" s="117" t="inlineStr">
        <is>
          <t>WTFC</t>
        </is>
      </c>
      <c r="B144" s="117" t="inlineStr">
        <is>
          <t>WINTRUST FINANCIAL CORP</t>
        </is>
      </c>
      <c r="C144" s="118" t="n">
        <v>1.02</v>
      </c>
      <c r="D144" s="124" t="inlineStr">
        <is>
          <t>N/A</t>
        </is>
      </c>
      <c r="E144" s="118" t="n">
        <v>1.001</v>
      </c>
      <c r="F144" s="118" t="n">
        <v>1.059</v>
      </c>
      <c r="G144" s="118" t="n">
        <v>0.927</v>
      </c>
      <c r="H144" s="124" t="inlineStr">
        <is>
          <t>N/A</t>
        </is>
      </c>
      <c r="I144" s="118" t="n">
        <v>0.995</v>
      </c>
      <c r="J144" s="118" t="n">
        <v>-0.001</v>
      </c>
      <c r="K144" s="124" t="inlineStr">
        <is>
          <t>N/A</t>
        </is>
      </c>
      <c r="L144" s="124" t="inlineStr">
        <is>
          <t>N/A</t>
        </is>
      </c>
      <c r="M144" s="124" t="inlineStr">
        <is>
          <t>N/A</t>
        </is>
      </c>
      <c r="N144" s="120" t="n">
        <v>0.073</v>
      </c>
      <c r="O144" s="124" t="inlineStr">
        <is>
          <t>N/A</t>
        </is>
      </c>
      <c r="P144" s="120" t="n">
        <v>0.984</v>
      </c>
      <c r="Q144" s="120" t="n">
        <v>0.001</v>
      </c>
      <c r="R144" s="117" t="n">
        <v>1</v>
      </c>
      <c r="S144" s="124" t="inlineStr">
        <is>
          <t>N/A</t>
        </is>
      </c>
      <c r="T144" s="124" t="inlineStr">
        <is>
          <t>N/A</t>
        </is>
      </c>
      <c r="U144" s="124" t="inlineStr">
        <is>
          <t>N/A</t>
        </is>
      </c>
      <c r="V144" s="117" t="n">
        <v>0</v>
      </c>
      <c r="W144" s="117" t="n">
        <v>1</v>
      </c>
      <c r="X144" s="117" t="n">
        <v>0</v>
      </c>
      <c r="Y144" s="117" t="n">
        <v>0</v>
      </c>
      <c r="Z144" s="117" t="n">
        <v>1</v>
      </c>
      <c r="AA144" s="117" t="n">
        <v>0</v>
      </c>
      <c r="AB144" s="117" t="n">
        <v>2</v>
      </c>
      <c r="AC144" s="121" t="inlineStr">
        <is>
          <t>⚠ WATCH</t>
        </is>
      </c>
      <c r="AD144" s="118" t="n">
        <v>910348000</v>
      </c>
      <c r="AE144" s="118" t="n">
        <v>-6168623000</v>
      </c>
      <c r="AF144" s="118" t="n">
        <v>823844000</v>
      </c>
      <c r="AG144" s="118" t="n">
        <v>0.089</v>
      </c>
      <c r="AH144" s="119" t="inlineStr">
        <is>
          <t>✓ Medium Quality</t>
        </is>
      </c>
      <c r="AI144" s="118" t="n">
        <v>0.08</v>
      </c>
      <c r="AJ144" s="120" t="n">
        <v>0.059</v>
      </c>
      <c r="AK144" s="120" t="n">
        <v>1.35</v>
      </c>
      <c r="AL144" s="120" t="n">
        <v>3.427</v>
      </c>
      <c r="AM144" s="120" t="n">
        <v>0.005</v>
      </c>
      <c r="AN144" s="118" t="n">
        <v>89.7</v>
      </c>
      <c r="AO144" s="119" t="inlineStr">
        <is>
          <t>✓ Good</t>
        </is>
      </c>
      <c r="AP144" s="117" t="n">
        <v>0</v>
      </c>
      <c r="AQ144" s="117" t="n">
        <v>0</v>
      </c>
      <c r="AR144" s="117" t="n">
        <v>0</v>
      </c>
      <c r="AS144" s="117" t="n">
        <v>0</v>
      </c>
      <c r="AT144" s="117" t="n">
        <v>0</v>
      </c>
      <c r="AU144" s="117" t="n">
        <v>1</v>
      </c>
      <c r="AV144" s="117" t="n">
        <v>1</v>
      </c>
      <c r="AW144" s="119" t="inlineStr">
        <is>
          <t>✓ Clean</t>
        </is>
      </c>
      <c r="AX144" s="118" t="n">
        <v>31.8</v>
      </c>
      <c r="AY144" s="119" t="inlineStr">
        <is>
          <t>🟢 LOW RISK</t>
        </is>
      </c>
      <c r="AZ144" s="118" t="n">
        <v>20</v>
      </c>
      <c r="BA144" s="118" t="n">
        <v>19.6</v>
      </c>
      <c r="BB144" s="124" t="inlineStr">
        <is>
          <t>N/A</t>
        </is>
      </c>
      <c r="BC144" s="124" t="inlineStr">
        <is>
          <t>N/A</t>
        </is>
      </c>
      <c r="BD144" s="124" t="inlineStr">
        <is>
          <t>N/A</t>
        </is>
      </c>
      <c r="BE144" s="124" t="inlineStr">
        <is>
          <t>N/A</t>
        </is>
      </c>
      <c r="BF144" s="120" t="n">
        <v>0.263</v>
      </c>
      <c r="BG144" s="117" t="n">
        <v>0.984</v>
      </c>
      <c r="BH144" s="122" t="n">
        <v>4</v>
      </c>
      <c r="BI144" s="125" t="n">
        <v>0.6666666666666666</v>
      </c>
    </row>
    <row r="145" ht="17" customHeight="1">
      <c r="A145" s="117" t="inlineStr">
        <is>
          <t>MSTR</t>
        </is>
      </c>
      <c r="B145" s="117" t="inlineStr">
        <is>
          <t>STRATEGY INC</t>
        </is>
      </c>
      <c r="C145" s="118" t="n">
        <v>1.216</v>
      </c>
      <c r="D145" s="118" t="n">
        <v>0.951</v>
      </c>
      <c r="E145" s="118" t="n">
        <v>0.968</v>
      </c>
      <c r="F145" s="118" t="n">
        <v>0.9340000000000001</v>
      </c>
      <c r="G145" s="118" t="n">
        <v>1.048</v>
      </c>
      <c r="H145" s="118" t="n">
        <v>1.157</v>
      </c>
      <c r="I145" s="118" t="n">
        <v>0.584</v>
      </c>
      <c r="J145" s="118" t="n">
        <v>-0.061</v>
      </c>
      <c r="K145" s="118" t="n">
        <v>-2.551</v>
      </c>
      <c r="L145" s="119" t="inlineStr">
        <is>
          <t>✓ Lower Risk</t>
        </is>
      </c>
      <c r="M145" s="120" t="n">
        <v>-0.001</v>
      </c>
      <c r="N145" s="120" t="n">
        <v>0.748</v>
      </c>
      <c r="O145" s="124" t="inlineStr">
        <is>
          <t>N/A</t>
        </is>
      </c>
      <c r="P145" s="120" t="n">
        <v>0.962</v>
      </c>
      <c r="Q145" s="120" t="n">
        <v>-0.017</v>
      </c>
      <c r="R145" s="117" t="n">
        <v>0</v>
      </c>
      <c r="S145" s="118" t="n">
        <v>-4.098</v>
      </c>
      <c r="T145" s="118" t="n">
        <v>0.016</v>
      </c>
      <c r="U145" s="119" t="inlineStr">
        <is>
          <t>✓ Normal</t>
        </is>
      </c>
      <c r="V145" s="117" t="n">
        <v>0</v>
      </c>
      <c r="W145" s="117" t="n">
        <v>1</v>
      </c>
      <c r="X145" s="117" t="n">
        <v>0</v>
      </c>
      <c r="Y145" s="117" t="n">
        <v>0</v>
      </c>
      <c r="Z145" s="117" t="n">
        <v>1</v>
      </c>
      <c r="AA145" s="117" t="n">
        <v>1</v>
      </c>
      <c r="AB145" s="117" t="n">
        <v>3</v>
      </c>
      <c r="AC145" s="121" t="inlineStr">
        <is>
          <t>⚠ WATCH</t>
        </is>
      </c>
      <c r="AD145" s="118" t="n">
        <v>-67241000</v>
      </c>
      <c r="AE145" s="118" t="n">
        <v>-22512295000</v>
      </c>
      <c r="AF145" s="118" t="n">
        <v>-3848152000</v>
      </c>
      <c r="AG145" s="118" t="n">
        <v>0.428</v>
      </c>
      <c r="AH145" s="117" t="inlineStr">
        <is>
          <t>⚠ Very Low Quality</t>
        </is>
      </c>
      <c r="AI145" s="118" t="n">
        <v>0.135</v>
      </c>
      <c r="AJ145" s="120" t="n">
        <v>-0.066</v>
      </c>
      <c r="AK145" s="120" t="n">
        <v>-2.049</v>
      </c>
      <c r="AL145" s="120" t="n">
        <v>-0.145</v>
      </c>
      <c r="AM145" s="120" t="n">
        <v>0.015</v>
      </c>
      <c r="AN145" s="118" t="n">
        <v>70.8</v>
      </c>
      <c r="AO145" s="119" t="inlineStr">
        <is>
          <t>✓ Good</t>
        </is>
      </c>
      <c r="AP145" s="117" t="n">
        <v>0</v>
      </c>
      <c r="AQ145" s="117" t="n">
        <v>1</v>
      </c>
      <c r="AR145" s="117" t="n">
        <v>0</v>
      </c>
      <c r="AS145" s="117" t="n">
        <v>1</v>
      </c>
      <c r="AT145" s="117" t="n">
        <v>0</v>
      </c>
      <c r="AU145" s="117" t="n">
        <v>1</v>
      </c>
      <c r="AV145" s="117" t="n">
        <v>3</v>
      </c>
      <c r="AW145" s="121" t="inlineStr">
        <is>
          <t>⚠ WATCH</t>
        </is>
      </c>
      <c r="AX145" s="118" t="n">
        <v>31.8</v>
      </c>
      <c r="AY145" s="119" t="inlineStr">
        <is>
          <t>🟢 LOW RISK</t>
        </is>
      </c>
      <c r="AZ145" s="118" t="n">
        <v>162</v>
      </c>
      <c r="BA145" s="118" t="n">
        <v>133.3</v>
      </c>
      <c r="BB145" s="124" t="inlineStr">
        <is>
          <t>N/A</t>
        </is>
      </c>
      <c r="BC145" s="124" t="inlineStr">
        <is>
          <t>N/A</t>
        </is>
      </c>
      <c r="BD145" s="118" t="n">
        <v>82.3</v>
      </c>
      <c r="BE145" s="118" t="n">
        <v>86.59999999999999</v>
      </c>
      <c r="BF145" s="120" t="n">
        <v>0.304</v>
      </c>
      <c r="BG145" s="117" t="n">
        <v>0.962</v>
      </c>
      <c r="BH145" s="122" t="n">
        <v>6</v>
      </c>
      <c r="BI145" s="123" t="n">
        <v>1</v>
      </c>
    </row>
    <row r="146" ht="17" customHeight="1">
      <c r="A146" s="117" t="inlineStr">
        <is>
          <t>IP</t>
        </is>
      </c>
      <c r="B146" s="117" t="inlineStr">
        <is>
          <t>INTERNATIONAL PAPER COMPANY</t>
        </is>
      </c>
      <c r="C146" s="124" t="inlineStr">
        <is>
          <t>N/A</t>
        </is>
      </c>
      <c r="D146" s="118" t="n">
        <v>0.957</v>
      </c>
      <c r="E146" s="118" t="n">
        <v>1.199</v>
      </c>
      <c r="F146" s="118" t="n">
        <v>3.935</v>
      </c>
      <c r="G146" s="118" t="n">
        <v>0.745</v>
      </c>
      <c r="H146" s="118" t="n">
        <v>0.283</v>
      </c>
      <c r="I146" s="118" t="n">
        <v>1</v>
      </c>
      <c r="J146" s="118" t="n">
        <v>-0.137</v>
      </c>
      <c r="K146" s="124" t="inlineStr">
        <is>
          <t>N/A</t>
        </is>
      </c>
      <c r="L146" s="124" t="inlineStr">
        <is>
          <t>N/A</t>
        </is>
      </c>
      <c r="M146" s="120" t="n">
        <v>-0.073</v>
      </c>
      <c r="N146" s="124" t="inlineStr">
        <is>
          <t>N/A</t>
        </is>
      </c>
      <c r="O146" s="120" t="n">
        <v>0.013</v>
      </c>
      <c r="P146" s="120" t="n">
        <v>0.589</v>
      </c>
      <c r="Q146" s="120" t="n">
        <v>0.012</v>
      </c>
      <c r="R146" s="117" t="n">
        <v>1</v>
      </c>
      <c r="S146" s="118" t="n">
        <v>-3.7</v>
      </c>
      <c r="T146" s="118" t="n">
        <v>0.024</v>
      </c>
      <c r="U146" s="119" t="inlineStr">
        <is>
          <t>✓ Normal</t>
        </is>
      </c>
      <c r="V146" s="117" t="n">
        <v>1</v>
      </c>
      <c r="W146" s="117" t="n">
        <v>0</v>
      </c>
      <c r="X146" s="117" t="n">
        <v>0</v>
      </c>
      <c r="Y146" s="117" t="n">
        <v>1</v>
      </c>
      <c r="Z146" s="117" t="n">
        <v>0</v>
      </c>
      <c r="AA146" s="117" t="n">
        <v>1</v>
      </c>
      <c r="AB146" s="117" t="n">
        <v>3</v>
      </c>
      <c r="AC146" s="121" t="inlineStr">
        <is>
          <t>⚠ WATCH</t>
        </is>
      </c>
      <c r="AD146" s="118" t="n">
        <v>1698000000</v>
      </c>
      <c r="AE146" s="118" t="n">
        <v>-1024000000</v>
      </c>
      <c r="AF146" s="118" t="n">
        <v>-3516000000</v>
      </c>
      <c r="AG146" s="118" t="n">
        <v>-0.138</v>
      </c>
      <c r="AH146" s="119" t="inlineStr">
        <is>
          <t>✓ High Quality</t>
        </is>
      </c>
      <c r="AI146" s="124" t="inlineStr">
        <is>
          <t>N/A</t>
        </is>
      </c>
      <c r="AJ146" s="120" t="n">
        <v>2.935</v>
      </c>
      <c r="AK146" s="124" t="inlineStr">
        <is>
          <t>N/A</t>
        </is>
      </c>
      <c r="AL146" s="120" t="n">
        <v>0.07199999999999999</v>
      </c>
      <c r="AM146" s="120" t="n">
        <v>-0.001</v>
      </c>
      <c r="AN146" s="118" t="n">
        <v>84.3</v>
      </c>
      <c r="AO146" s="119" t="inlineStr">
        <is>
          <t>✓ Good</t>
        </is>
      </c>
      <c r="AP146" s="117" t="n">
        <v>0</v>
      </c>
      <c r="AQ146" s="117" t="n">
        <v>0</v>
      </c>
      <c r="AR146" s="117" t="n">
        <v>0</v>
      </c>
      <c r="AS146" s="117" t="n">
        <v>0</v>
      </c>
      <c r="AT146" s="117" t="n">
        <v>0</v>
      </c>
      <c r="AU146" s="117" t="n">
        <v>0</v>
      </c>
      <c r="AV146" s="117" t="n">
        <v>0</v>
      </c>
      <c r="AW146" s="119" t="inlineStr">
        <is>
          <t>✓ Clean</t>
        </is>
      </c>
      <c r="AX146" s="118" t="n">
        <v>31.7</v>
      </c>
      <c r="AY146" s="119" t="inlineStr">
        <is>
          <t>🟢 LOW RISK</t>
        </is>
      </c>
      <c r="AZ146" s="118" t="n">
        <v>0</v>
      </c>
      <c r="BA146" s="124" t="inlineStr">
        <is>
          <t>N/A</t>
        </is>
      </c>
      <c r="BB146" s="118" t="n">
        <v>44.1</v>
      </c>
      <c r="BC146" s="118" t="n">
        <v>48.7</v>
      </c>
      <c r="BD146" s="118" t="n">
        <v>85.59999999999999</v>
      </c>
      <c r="BE146" s="118" t="n">
        <v>63.2</v>
      </c>
      <c r="BF146" s="120" t="n">
        <v>2.379</v>
      </c>
      <c r="BG146" s="117" t="n">
        <v>0.589</v>
      </c>
      <c r="BH146" s="122" t="n">
        <v>4</v>
      </c>
      <c r="BI146" s="123" t="n">
        <v>0.8333333333333334</v>
      </c>
    </row>
    <row r="147" ht="17" customHeight="1">
      <c r="A147" s="117" t="inlineStr">
        <is>
          <t>ALL</t>
        </is>
      </c>
      <c r="B147" s="117" t="inlineStr">
        <is>
          <t>ALLSTATE CORP</t>
        </is>
      </c>
      <c r="C147" s="124" t="inlineStr">
        <is>
          <t>N/A</t>
        </is>
      </c>
      <c r="D147" s="118" t="n">
        <v>-13.849</v>
      </c>
      <c r="E147" s="118" t="n">
        <v>1.001</v>
      </c>
      <c r="F147" s="118" t="n">
        <v>3.902</v>
      </c>
      <c r="G147" s="118" t="n">
        <v>1.097</v>
      </c>
      <c r="H147" s="124" t="inlineStr">
        <is>
          <t>N/A</t>
        </is>
      </c>
      <c r="I147" s="118" t="n">
        <v>0.921</v>
      </c>
      <c r="J147" s="118" t="n">
        <v>0.001</v>
      </c>
      <c r="K147" s="124" t="inlineStr">
        <is>
          <t>N/A</t>
        </is>
      </c>
      <c r="L147" s="124" t="inlineStr">
        <is>
          <t>N/A</t>
        </is>
      </c>
      <c r="M147" s="124" t="inlineStr">
        <is>
          <t>N/A</t>
        </is>
      </c>
      <c r="N147" s="124" t="inlineStr">
        <is>
          <t>N/A</t>
        </is>
      </c>
      <c r="O147" s="124" t="inlineStr">
        <is>
          <t>N/A</t>
        </is>
      </c>
      <c r="P147" s="120" t="n">
        <v>0.995</v>
      </c>
      <c r="Q147" s="120" t="n">
        <v>0.044</v>
      </c>
      <c r="R147" s="117" t="n">
        <v>0</v>
      </c>
      <c r="S147" s="124" t="inlineStr">
        <is>
          <t>N/A</t>
        </is>
      </c>
      <c r="T147" s="124" t="inlineStr">
        <is>
          <t>N/A</t>
        </is>
      </c>
      <c r="U147" s="124" t="inlineStr">
        <is>
          <t>N/A</t>
        </is>
      </c>
      <c r="V147" s="117" t="n">
        <v>1</v>
      </c>
      <c r="W147" s="117" t="n">
        <v>0</v>
      </c>
      <c r="X147" s="117" t="n">
        <v>0</v>
      </c>
      <c r="Y147" s="117" t="n">
        <v>0</v>
      </c>
      <c r="Z147" s="117" t="n">
        <v>1</v>
      </c>
      <c r="AA147" s="117" t="n">
        <v>0</v>
      </c>
      <c r="AB147" s="117" t="n">
        <v>2</v>
      </c>
      <c r="AC147" s="121" t="inlineStr">
        <is>
          <t>⚠ WATCH</t>
        </is>
      </c>
      <c r="AD147" s="118" t="n">
        <v>10110000000</v>
      </c>
      <c r="AE147" s="118" t="n">
        <v>-7255000000</v>
      </c>
      <c r="AF147" s="118" t="n">
        <v>10282000000</v>
      </c>
      <c r="AG147" s="118" t="n">
        <v>0.064</v>
      </c>
      <c r="AH147" s="119" t="inlineStr">
        <is>
          <t>✓ Medium Quality</t>
        </is>
      </c>
      <c r="AI147" s="124" t="inlineStr">
        <is>
          <t>N/A</t>
        </is>
      </c>
      <c r="AJ147" s="120" t="n">
        <v>2.902</v>
      </c>
      <c r="AK147" s="124" t="inlineStr">
        <is>
          <t>N/A</t>
        </is>
      </c>
      <c r="AL147" s="120" t="n">
        <v>0.149</v>
      </c>
      <c r="AM147" s="124" t="inlineStr">
        <is>
          <t>N/A</t>
        </is>
      </c>
      <c r="AN147" s="118" t="n">
        <v>99.90000000000001</v>
      </c>
      <c r="AO147" s="119" t="inlineStr">
        <is>
          <t>✓ Good</t>
        </is>
      </c>
      <c r="AP147" s="117" t="n">
        <v>0</v>
      </c>
      <c r="AQ147" s="117" t="n">
        <v>0</v>
      </c>
      <c r="AR147" s="117" t="n">
        <v>0</v>
      </c>
      <c r="AS147" s="117" t="n">
        <v>0</v>
      </c>
      <c r="AT147" s="117" t="n">
        <v>0</v>
      </c>
      <c r="AU147" s="117" t="n">
        <v>0</v>
      </c>
      <c r="AV147" s="117" t="n">
        <v>0</v>
      </c>
      <c r="AW147" s="119" t="inlineStr">
        <is>
          <t>✓ Clean</t>
        </is>
      </c>
      <c r="AX147" s="118" t="n">
        <v>30</v>
      </c>
      <c r="AY147" s="119" t="inlineStr">
        <is>
          <t>🟢 LOW RISK</t>
        </is>
      </c>
      <c r="AZ147" s="118" t="n">
        <v>0</v>
      </c>
      <c r="BA147" s="124" t="inlineStr">
        <is>
          <t>N/A</t>
        </is>
      </c>
      <c r="BB147" s="124" t="inlineStr">
        <is>
          <t>N/A</t>
        </is>
      </c>
      <c r="BC147" s="124" t="inlineStr">
        <is>
          <t>N/A</t>
        </is>
      </c>
      <c r="BD147" s="124" t="inlineStr">
        <is>
          <t>N/A</t>
        </is>
      </c>
      <c r="BE147" s="124" t="inlineStr">
        <is>
          <t>N/A</t>
        </is>
      </c>
      <c r="BF147" s="120" t="n">
        <v>0.22</v>
      </c>
      <c r="BG147" s="117" t="n">
        <v>0.995</v>
      </c>
      <c r="BH147" s="122" t="n">
        <v>2</v>
      </c>
      <c r="BI147" s="125" t="n">
        <v>0.6666666666666666</v>
      </c>
    </row>
    <row r="148" ht="17" customHeight="1">
      <c r="A148" s="117" t="inlineStr">
        <is>
          <t>WAT</t>
        </is>
      </c>
      <c r="B148" s="117" t="inlineStr">
        <is>
          <t>Waters Corporation</t>
        </is>
      </c>
      <c r="C148" s="118" t="n">
        <v>0.333</v>
      </c>
      <c r="D148" s="118" t="n">
        <v>0.987</v>
      </c>
      <c r="E148" s="118" t="n">
        <v>0.918</v>
      </c>
      <c r="F148" s="118" t="n">
        <v>3.395</v>
      </c>
      <c r="G148" s="118" t="n">
        <v>0.976</v>
      </c>
      <c r="H148" s="118" t="n">
        <v>1.019</v>
      </c>
      <c r="I148" s="118" t="n">
        <v>0.828</v>
      </c>
      <c r="J148" s="118" t="n">
        <v>-0.002</v>
      </c>
      <c r="K148" s="118" t="n">
        <v>-0.956</v>
      </c>
      <c r="L148" s="121" t="inlineStr">
        <is>
          <t>⚠ MANIPULATOR RISK</t>
        </is>
      </c>
      <c r="M148" s="120" t="n">
        <v>-0.064</v>
      </c>
      <c r="N148" s="120" t="n">
        <v>0.043</v>
      </c>
      <c r="O148" s="120" t="n">
        <v>0.043</v>
      </c>
      <c r="P148" s="120" t="n">
        <v>0.758</v>
      </c>
      <c r="Q148" s="120" t="n">
        <v>-0.013</v>
      </c>
      <c r="R148" s="117" t="n">
        <v>1</v>
      </c>
      <c r="S148" s="118" t="n">
        <v>-3.205</v>
      </c>
      <c r="T148" s="118" t="n">
        <v>0.039</v>
      </c>
      <c r="U148" s="121" t="inlineStr">
        <is>
          <t>⚠ HIGH RISK</t>
        </is>
      </c>
      <c r="V148" s="117" t="n">
        <v>1</v>
      </c>
      <c r="W148" s="117" t="n">
        <v>0</v>
      </c>
      <c r="X148" s="117" t="n">
        <v>0</v>
      </c>
      <c r="Y148" s="117" t="n">
        <v>1</v>
      </c>
      <c r="Z148" s="117" t="n">
        <v>1</v>
      </c>
      <c r="AA148" s="117" t="n">
        <v>1</v>
      </c>
      <c r="AB148" s="117" t="n">
        <v>4</v>
      </c>
      <c r="AC148" s="121" t="inlineStr">
        <is>
          <t>⚠⚠ SERIOUS CONCERN</t>
        </is>
      </c>
      <c r="AD148" s="118" t="n">
        <v>652555000</v>
      </c>
      <c r="AE148" s="118" t="n">
        <v>-152253000</v>
      </c>
      <c r="AF148" s="118" t="n">
        <v>642629000</v>
      </c>
      <c r="AG148" s="118" t="n">
        <v>0.03</v>
      </c>
      <c r="AH148" s="119" t="inlineStr">
        <is>
          <t>✓ Medium Quality</t>
        </is>
      </c>
      <c r="AI148" s="118" t="n">
        <v>0.13</v>
      </c>
      <c r="AJ148" s="120" t="n">
        <v>2.395</v>
      </c>
      <c r="AK148" s="120" t="n">
        <v>0.054</v>
      </c>
      <c r="AL148" s="120" t="n">
        <v>0.206</v>
      </c>
      <c r="AM148" s="120" t="n">
        <v>0.008</v>
      </c>
      <c r="AN148" s="117" t="n">
        <v>100</v>
      </c>
      <c r="AO148" s="119" t="inlineStr">
        <is>
          <t>✓ Good</t>
        </is>
      </c>
      <c r="AP148" s="117" t="n">
        <v>0</v>
      </c>
      <c r="AQ148" s="117" t="n">
        <v>0</v>
      </c>
      <c r="AR148" s="117" t="n">
        <v>0</v>
      </c>
      <c r="AS148" s="117" t="n">
        <v>1</v>
      </c>
      <c r="AT148" s="117" t="n">
        <v>1</v>
      </c>
      <c r="AU148" s="117" t="n">
        <v>0</v>
      </c>
      <c r="AV148" s="117" t="n">
        <v>2</v>
      </c>
      <c r="AW148" s="121" t="inlineStr">
        <is>
          <t>⚠ WATCH</t>
        </is>
      </c>
      <c r="AX148" s="118" t="n">
        <v>33.1</v>
      </c>
      <c r="AY148" s="119" t="inlineStr">
        <is>
          <t>🟢 LOW RISK</t>
        </is>
      </c>
      <c r="AZ148" s="118" t="n">
        <v>95.59999999999999</v>
      </c>
      <c r="BA148" s="118" t="n">
        <v>287.1</v>
      </c>
      <c r="BB148" s="118" t="n">
        <v>162.1</v>
      </c>
      <c r="BC148" s="118" t="n">
        <v>480.1</v>
      </c>
      <c r="BD148" s="118" t="n">
        <v>29.4</v>
      </c>
      <c r="BE148" s="118" t="n">
        <v>100.5</v>
      </c>
      <c r="BF148" s="120" t="n">
        <v>0.149</v>
      </c>
      <c r="BG148" s="117" t="n">
        <v>0.758</v>
      </c>
      <c r="BH148" s="122" t="n">
        <v>7</v>
      </c>
      <c r="BI148" s="123" t="n">
        <v>1</v>
      </c>
    </row>
    <row r="149" ht="17" customHeight="1">
      <c r="A149" s="117" t="inlineStr">
        <is>
          <t>NEE</t>
        </is>
      </c>
      <c r="B149" s="117" t="inlineStr">
        <is>
          <t>NEXTERA ENERGY, INC.</t>
        </is>
      </c>
      <c r="C149" s="118" t="n">
        <v>0.285</v>
      </c>
      <c r="D149" s="118" t="n">
        <v>11.72</v>
      </c>
      <c r="E149" s="118" t="n">
        <v>0.976</v>
      </c>
      <c r="F149" s="118" t="n">
        <v>4.224</v>
      </c>
      <c r="G149" s="118" t="n">
        <v>0.9360000000000001</v>
      </c>
      <c r="H149" s="124" t="inlineStr">
        <is>
          <t>N/A</t>
        </is>
      </c>
      <c r="I149" s="118" t="n">
        <v>1.011</v>
      </c>
      <c r="J149" s="118" t="n">
        <v>-0.027</v>
      </c>
      <c r="K149" s="118" t="n">
        <v>5.425</v>
      </c>
      <c r="L149" s="121" t="inlineStr">
        <is>
          <t>⚠ MANIPULATOR RISK</t>
        </is>
      </c>
      <c r="M149" s="120" t="n">
        <v>-0.018</v>
      </c>
      <c r="N149" s="120" t="n">
        <v>0.063</v>
      </c>
      <c r="O149" s="120" t="n">
        <v>0.019</v>
      </c>
      <c r="P149" s="120" t="n">
        <v>0.252</v>
      </c>
      <c r="Q149" s="120" t="n">
        <v>-0.004</v>
      </c>
      <c r="R149" s="117" t="n">
        <v>1</v>
      </c>
      <c r="S149" s="118" t="n">
        <v>-4.151</v>
      </c>
      <c r="T149" s="118" t="n">
        <v>0.016</v>
      </c>
      <c r="U149" s="119" t="inlineStr">
        <is>
          <t>✓ Normal</t>
        </is>
      </c>
      <c r="V149" s="117" t="n">
        <v>1</v>
      </c>
      <c r="W149" s="117" t="n">
        <v>0</v>
      </c>
      <c r="X149" s="117" t="n">
        <v>0</v>
      </c>
      <c r="Y149" s="117" t="n">
        <v>0</v>
      </c>
      <c r="Z149" s="117" t="n">
        <v>0</v>
      </c>
      <c r="AA149" s="117" t="n">
        <v>1</v>
      </c>
      <c r="AB149" s="117" t="n">
        <v>2</v>
      </c>
      <c r="AC149" s="121" t="inlineStr">
        <is>
          <t>⚠ WATCH</t>
        </is>
      </c>
      <c r="AD149" s="118" t="n">
        <v>12485000000</v>
      </c>
      <c r="AE149" s="118" t="n">
        <v>-23865000000</v>
      </c>
      <c r="AF149" s="118" t="n">
        <v>6835000000</v>
      </c>
      <c r="AG149" s="118" t="n">
        <v>0.09</v>
      </c>
      <c r="AH149" s="119" t="inlineStr">
        <is>
          <t>✓ Medium Quality</t>
        </is>
      </c>
      <c r="AI149" s="118" t="n">
        <v>0.204</v>
      </c>
      <c r="AJ149" s="120" t="n">
        <v>3.224</v>
      </c>
      <c r="AK149" s="120" t="n">
        <v>0.063</v>
      </c>
      <c r="AL149" s="120" t="n">
        <v>0.876</v>
      </c>
      <c r="AM149" s="120" t="n">
        <v>0.001</v>
      </c>
      <c r="AN149" s="117" t="n">
        <v>100</v>
      </c>
      <c r="AO149" s="119" t="inlineStr">
        <is>
          <t>✓ Good</t>
        </is>
      </c>
      <c r="AP149" s="117" t="n">
        <v>0</v>
      </c>
      <c r="AQ149" s="117" t="n">
        <v>0</v>
      </c>
      <c r="AR149" s="117" t="n">
        <v>0</v>
      </c>
      <c r="AS149" s="117" t="n">
        <v>0</v>
      </c>
      <c r="AT149" s="117" t="n">
        <v>0</v>
      </c>
      <c r="AU149" s="117" t="n">
        <v>1</v>
      </c>
      <c r="AV149" s="117" t="n">
        <v>1</v>
      </c>
      <c r="AW149" s="119" t="inlineStr">
        <is>
          <t>✓ Clean</t>
        </is>
      </c>
      <c r="AX149" s="118" t="n">
        <v>41.6</v>
      </c>
      <c r="AY149" s="121" t="inlineStr">
        <is>
          <t>🟡 ELEVATED RISK</t>
        </is>
      </c>
      <c r="AZ149" s="118" t="n">
        <v>102.9</v>
      </c>
      <c r="BA149" s="118" t="n">
        <v>360.8</v>
      </c>
      <c r="BB149" s="118" t="n">
        <v>45.5</v>
      </c>
      <c r="BC149" s="118" t="n">
        <v>45.8</v>
      </c>
      <c r="BD149" s="118" t="n">
        <v>128.8</v>
      </c>
      <c r="BE149" s="124" t="inlineStr">
        <is>
          <t>N/A</t>
        </is>
      </c>
      <c r="BF149" s="120" t="n">
        <v>-0.177</v>
      </c>
      <c r="BG149" s="117" t="n">
        <v>0.252</v>
      </c>
      <c r="BH149" s="122" t="n">
        <v>4</v>
      </c>
      <c r="BI149" s="123" t="n">
        <v>1</v>
      </c>
    </row>
    <row r="150" ht="17" customHeight="1">
      <c r="A150" s="117" t="inlineStr">
        <is>
          <t>PAYX</t>
        </is>
      </c>
      <c r="B150" s="117" t="inlineStr">
        <is>
          <t>Paychex, Inc.</t>
        </is>
      </c>
      <c r="C150" s="118" t="n">
        <v>1.12</v>
      </c>
      <c r="D150" s="118" t="n">
        <v>0.995</v>
      </c>
      <c r="E150" s="118" t="n">
        <v>1.645</v>
      </c>
      <c r="F150" s="118" t="n">
        <v>1.056</v>
      </c>
      <c r="G150" s="118" t="n">
        <v>1.175</v>
      </c>
      <c r="H150" s="118" t="n">
        <v>1.063</v>
      </c>
      <c r="I150" s="118" t="n">
        <v>1.184</v>
      </c>
      <c r="J150" s="118" t="n">
        <v>-0.074</v>
      </c>
      <c r="K150" s="118" t="n">
        <v>-2.46</v>
      </c>
      <c r="L150" s="119" t="inlineStr">
        <is>
          <t>✓ Lower Risk</t>
        </is>
      </c>
      <c r="M150" s="120" t="n">
        <v>-0.014</v>
      </c>
      <c r="N150" s="120" t="n">
        <v>0.093</v>
      </c>
      <c r="O150" s="124" t="inlineStr">
        <is>
          <t>N/A</t>
        </is>
      </c>
      <c r="P150" s="120" t="n">
        <v>0.871</v>
      </c>
      <c r="Q150" s="120" t="n">
        <v>0.025</v>
      </c>
      <c r="R150" s="117" t="n">
        <v>1</v>
      </c>
      <c r="S150" s="118" t="n">
        <v>-2.884</v>
      </c>
      <c r="T150" s="118" t="n">
        <v>0.053</v>
      </c>
      <c r="U150" s="121" t="inlineStr">
        <is>
          <t>⚠ HIGH RISK</t>
        </is>
      </c>
      <c r="V150" s="117" t="n">
        <v>1</v>
      </c>
      <c r="W150" s="117" t="n">
        <v>1</v>
      </c>
      <c r="X150" s="117" t="n">
        <v>0</v>
      </c>
      <c r="Y150" s="117" t="n">
        <v>0</v>
      </c>
      <c r="Z150" s="117" t="n">
        <v>1</v>
      </c>
      <c r="AA150" s="117" t="n">
        <v>1</v>
      </c>
      <c r="AB150" s="117" t="n">
        <v>4</v>
      </c>
      <c r="AC150" s="121" t="inlineStr">
        <is>
          <t>⚠⚠ SERIOUS CONCERN</t>
        </is>
      </c>
      <c r="AD150" s="118" t="n">
        <v>1900900000</v>
      </c>
      <c r="AE150" s="118" t="n">
        <v>-3356800000</v>
      </c>
      <c r="AF150" s="118" t="n">
        <v>674900000</v>
      </c>
      <c r="AG150" s="118" t="n">
        <v>0.158</v>
      </c>
      <c r="AH150" s="117" t="inlineStr">
        <is>
          <t>⚠ Low Quality</t>
        </is>
      </c>
      <c r="AI150" s="118" t="n">
        <v>0.182</v>
      </c>
      <c r="AJ150" s="120" t="n">
        <v>0.056</v>
      </c>
      <c r="AK150" s="120" t="n">
        <v>3.275</v>
      </c>
      <c r="AL150" s="120" t="n">
        <v>0.341</v>
      </c>
      <c r="AM150" s="120" t="n">
        <v>0</v>
      </c>
      <c r="AN150" s="118" t="n">
        <v>70</v>
      </c>
      <c r="AO150" s="119" t="inlineStr">
        <is>
          <t>✓ Good</t>
        </is>
      </c>
      <c r="AP150" s="117" t="n">
        <v>0</v>
      </c>
      <c r="AQ150" s="117" t="n">
        <v>0</v>
      </c>
      <c r="AR150" s="117" t="n">
        <v>0</v>
      </c>
      <c r="AS150" s="117" t="n">
        <v>1</v>
      </c>
      <c r="AT150" s="117" t="n">
        <v>0</v>
      </c>
      <c r="AU150" s="117" t="n">
        <v>0</v>
      </c>
      <c r="AV150" s="117" t="n">
        <v>1</v>
      </c>
      <c r="AW150" s="119" t="inlineStr">
        <is>
          <t>✓ Clean</t>
        </is>
      </c>
      <c r="AX150" s="118" t="n">
        <v>33.9</v>
      </c>
      <c r="AY150" s="119" t="inlineStr">
        <is>
          <t>🟢 LOW RISK</t>
        </is>
      </c>
      <c r="AZ150" s="118" t="n">
        <v>11.6</v>
      </c>
      <c r="BA150" s="118" t="n">
        <v>10.3</v>
      </c>
      <c r="BB150" s="124" t="inlineStr">
        <is>
          <t>N/A</t>
        </is>
      </c>
      <c r="BC150" s="124" t="inlineStr">
        <is>
          <t>N/A</t>
        </is>
      </c>
      <c r="BD150" s="118" t="n">
        <v>30.8</v>
      </c>
      <c r="BE150" s="118" t="n">
        <v>25.7</v>
      </c>
      <c r="BF150" s="120" t="n">
        <v>0.238</v>
      </c>
      <c r="BG150" s="117" t="n">
        <v>0.871</v>
      </c>
      <c r="BH150" s="122" t="n">
        <v>6</v>
      </c>
      <c r="BI150" s="123" t="n">
        <v>1</v>
      </c>
    </row>
    <row r="151" ht="17" customHeight="1">
      <c r="A151" s="117" t="inlineStr">
        <is>
          <t>AFL</t>
        </is>
      </c>
      <c r="B151" s="117" t="inlineStr">
        <is>
          <t>AFLAC INC</t>
        </is>
      </c>
      <c r="C151" s="124" t="inlineStr">
        <is>
          <t>N/A</t>
        </is>
      </c>
      <c r="D151" s="118" t="n">
        <v>1.284</v>
      </c>
      <c r="E151" s="118" t="n">
        <v>1</v>
      </c>
      <c r="F151" s="118" t="n">
        <v>0.907</v>
      </c>
      <c r="G151" s="118" t="n">
        <v>1.007</v>
      </c>
      <c r="H151" s="118" t="n">
        <v>1.19</v>
      </c>
      <c r="I151" s="118" t="n">
        <v>0.96</v>
      </c>
      <c r="J151" s="118" t="n">
        <v>0.008999999999999999</v>
      </c>
      <c r="K151" s="124" t="inlineStr">
        <is>
          <t>N/A</t>
        </is>
      </c>
      <c r="L151" s="124" t="inlineStr">
        <is>
          <t>N/A</t>
        </is>
      </c>
      <c r="M151" s="124" t="inlineStr">
        <is>
          <t>N/A</t>
        </is>
      </c>
      <c r="N151" s="124" t="inlineStr">
        <is>
          <t>N/A</t>
        </is>
      </c>
      <c r="O151" s="124" t="inlineStr">
        <is>
          <t>N/A</t>
        </is>
      </c>
      <c r="P151" s="120" t="n">
        <v>0.9429999999999999</v>
      </c>
      <c r="Q151" s="120" t="n">
        <v>-0.015</v>
      </c>
      <c r="R151" s="117" t="n">
        <v>0</v>
      </c>
      <c r="S151" s="124" t="inlineStr">
        <is>
          <t>N/A</t>
        </is>
      </c>
      <c r="T151" s="124" t="inlineStr">
        <is>
          <t>N/A</t>
        </is>
      </c>
      <c r="U151" s="124" t="inlineStr">
        <is>
          <t>N/A</t>
        </is>
      </c>
      <c r="V151" s="117" t="n">
        <v>0</v>
      </c>
      <c r="W151" s="117" t="n">
        <v>0</v>
      </c>
      <c r="X151" s="117" t="n">
        <v>0</v>
      </c>
      <c r="Y151" s="117" t="n">
        <v>0</v>
      </c>
      <c r="Z151" s="117" t="n">
        <v>1</v>
      </c>
      <c r="AA151" s="117" t="n">
        <v>0</v>
      </c>
      <c r="AB151" s="117" t="n">
        <v>1</v>
      </c>
      <c r="AC151" s="119" t="inlineStr">
        <is>
          <t>✓ Clean</t>
        </is>
      </c>
      <c r="AD151" s="118" t="n">
        <v>2555000000</v>
      </c>
      <c r="AE151" s="118" t="n">
        <v>1561000000</v>
      </c>
      <c r="AF151" s="118" t="n">
        <v>3646000000</v>
      </c>
      <c r="AG151" s="118" t="n">
        <v>-0.004</v>
      </c>
      <c r="AH151" s="119" t="inlineStr">
        <is>
          <t>✓ Medium Quality</t>
        </is>
      </c>
      <c r="AI151" s="124" t="inlineStr">
        <is>
          <t>N/A</t>
        </is>
      </c>
      <c r="AJ151" s="120" t="n">
        <v>-0.093</v>
      </c>
      <c r="AK151" s="124" t="inlineStr">
        <is>
          <t>N/A</t>
        </is>
      </c>
      <c r="AL151" s="120" t="n">
        <v>0.149</v>
      </c>
      <c r="AM151" s="124" t="inlineStr">
        <is>
          <t>N/A</t>
        </is>
      </c>
      <c r="AN151" s="118" t="n">
        <v>99.8</v>
      </c>
      <c r="AO151" s="119" t="inlineStr">
        <is>
          <t>✓ Good</t>
        </is>
      </c>
      <c r="AP151" s="117" t="n">
        <v>0</v>
      </c>
      <c r="AQ151" s="117" t="n">
        <v>0</v>
      </c>
      <c r="AR151" s="117" t="n">
        <v>1</v>
      </c>
      <c r="AS151" s="117" t="n">
        <v>1</v>
      </c>
      <c r="AT151" s="117" t="n">
        <v>0</v>
      </c>
      <c r="AU151" s="117" t="n">
        <v>0</v>
      </c>
      <c r="AV151" s="117" t="n">
        <v>2</v>
      </c>
      <c r="AW151" s="121" t="inlineStr">
        <is>
          <t>⚠ WATCH</t>
        </is>
      </c>
      <c r="AX151" s="118" t="n">
        <v>27.1</v>
      </c>
      <c r="AY151" s="119" t="inlineStr">
        <is>
          <t>🟢 LOW RISK</t>
        </is>
      </c>
      <c r="AZ151" s="118" t="n">
        <v>0</v>
      </c>
      <c r="BA151" s="124" t="inlineStr">
        <is>
          <t>N/A</t>
        </is>
      </c>
      <c r="BB151" s="124" t="inlineStr">
        <is>
          <t>N/A</t>
        </is>
      </c>
      <c r="BC151" s="124" t="inlineStr">
        <is>
          <t>N/A</t>
        </is>
      </c>
      <c r="BD151" s="124" t="inlineStr">
        <is>
          <t>N/A</t>
        </is>
      </c>
      <c r="BE151" s="124" t="inlineStr">
        <is>
          <t>N/A</t>
        </is>
      </c>
      <c r="BF151" s="120" t="n">
        <v>0.196</v>
      </c>
      <c r="BG151" s="117" t="n">
        <v>0.9429999999999999</v>
      </c>
      <c r="BH151" s="122" t="n">
        <v>3</v>
      </c>
      <c r="BI151" s="125" t="n">
        <v>0.6666666666666666</v>
      </c>
    </row>
    <row r="152" ht="17" customHeight="1">
      <c r="A152" s="117" t="inlineStr">
        <is>
          <t>SMCI</t>
        </is>
      </c>
      <c r="B152" s="117" t="inlineStr">
        <is>
          <t>SUPER MICRO COMPUTER, INC.</t>
        </is>
      </c>
      <c r="C152" s="118" t="n">
        <v>0.22</v>
      </c>
      <c r="D152" s="118" t="n">
        <v>3.108</v>
      </c>
      <c r="E152" s="118" t="n">
        <v>1.77</v>
      </c>
      <c r="F152" s="118" t="n">
        <v>3.664</v>
      </c>
      <c r="G152" s="118" t="n">
        <v>0.902</v>
      </c>
      <c r="H152" s="118" t="n">
        <v>0.37</v>
      </c>
      <c r="I152" s="118" t="n">
        <v>1.227</v>
      </c>
      <c r="J152" s="118" t="n">
        <v>-0.044</v>
      </c>
      <c r="K152" s="118" t="n">
        <v>0.422</v>
      </c>
      <c r="L152" s="121" t="inlineStr">
        <is>
          <t>⚠ MANIPULATOR RISK</t>
        </is>
      </c>
      <c r="M152" s="120" t="n">
        <v>-0.012</v>
      </c>
      <c r="N152" s="120" t="n">
        <v>-0.295</v>
      </c>
      <c r="O152" s="120" t="n">
        <v>0.192</v>
      </c>
      <c r="P152" s="120" t="n">
        <v>0.595</v>
      </c>
      <c r="Q152" s="120" t="n">
        <v>-0.042</v>
      </c>
      <c r="R152" s="117" t="n">
        <v>1</v>
      </c>
      <c r="S152" s="118" t="n">
        <v>-4.146</v>
      </c>
      <c r="T152" s="118" t="n">
        <v>0.016</v>
      </c>
      <c r="U152" s="119" t="inlineStr">
        <is>
          <t>✓ Normal</t>
        </is>
      </c>
      <c r="V152" s="117" t="n">
        <v>0</v>
      </c>
      <c r="W152" s="117" t="n">
        <v>0</v>
      </c>
      <c r="X152" s="117" t="n">
        <v>0</v>
      </c>
      <c r="Y152" s="117" t="n">
        <v>1</v>
      </c>
      <c r="Z152" s="117" t="n">
        <v>1</v>
      </c>
      <c r="AA152" s="117" t="n">
        <v>1</v>
      </c>
      <c r="AB152" s="117" t="n">
        <v>3</v>
      </c>
      <c r="AC152" s="121" t="inlineStr">
        <is>
          <t>⚠ WATCH</t>
        </is>
      </c>
      <c r="AD152" s="118" t="n">
        <v>1659524000</v>
      </c>
      <c r="AE152" s="118" t="n">
        <v>-183214000</v>
      </c>
      <c r="AF152" s="118" t="n">
        <v>1048854000</v>
      </c>
      <c r="AG152" s="118" t="n">
        <v>-0.036</v>
      </c>
      <c r="AH152" s="119" t="inlineStr">
        <is>
          <t>✓ Medium Quality</t>
        </is>
      </c>
      <c r="AI152" s="118" t="n">
        <v>-0.195</v>
      </c>
      <c r="AJ152" s="120" t="n">
        <v>2.664</v>
      </c>
      <c r="AK152" s="120" t="n">
        <v>-0.073</v>
      </c>
      <c r="AL152" s="120" t="n">
        <v>0.668</v>
      </c>
      <c r="AM152" s="120" t="n">
        <v>0.01</v>
      </c>
      <c r="AN152" s="117" t="n">
        <v>100</v>
      </c>
      <c r="AO152" s="119" t="inlineStr">
        <is>
          <t>✓ Good</t>
        </is>
      </c>
      <c r="AP152" s="117" t="n">
        <v>0</v>
      </c>
      <c r="AQ152" s="117" t="n">
        <v>0</v>
      </c>
      <c r="AR152" s="117" t="n">
        <v>1</v>
      </c>
      <c r="AS152" s="117" t="n">
        <v>0</v>
      </c>
      <c r="AT152" s="117" t="n">
        <v>1</v>
      </c>
      <c r="AU152" s="117" t="n">
        <v>0</v>
      </c>
      <c r="AV152" s="117" t="n">
        <v>2</v>
      </c>
      <c r="AW152" s="121" t="inlineStr">
        <is>
          <t>⚠ WATCH</t>
        </is>
      </c>
      <c r="AX152" s="118" t="n">
        <v>30.5</v>
      </c>
      <c r="AY152" s="119" t="inlineStr">
        <is>
          <t>🟢 LOW RISK</t>
        </is>
      </c>
      <c r="AZ152" s="118" t="n">
        <v>323.7</v>
      </c>
      <c r="BA152" s="118" t="n">
        <v>1473.3</v>
      </c>
      <c r="BB152" s="118" t="n">
        <v>87.40000000000001</v>
      </c>
      <c r="BC152" s="118" t="n">
        <v>122.3</v>
      </c>
      <c r="BD152" s="118" t="n">
        <v>23.9</v>
      </c>
      <c r="BE152" s="118" t="n">
        <v>41.6</v>
      </c>
      <c r="BF152" s="120" t="n">
        <v>0.147</v>
      </c>
      <c r="BG152" s="117" t="n">
        <v>0.595</v>
      </c>
      <c r="BH152" s="122" t="n">
        <v>6</v>
      </c>
      <c r="BI152" s="123" t="n">
        <v>1</v>
      </c>
    </row>
    <row r="153" ht="17" customHeight="1">
      <c r="A153" s="117" t="inlineStr">
        <is>
          <t>EW</t>
        </is>
      </c>
      <c r="B153" s="117" t="inlineStr">
        <is>
          <t>EDWARDS LIFESCIENCES CORPORATION</t>
        </is>
      </c>
      <c r="C153" s="118" t="n">
        <v>0.971</v>
      </c>
      <c r="D153" s="118" t="n">
        <v>1.019</v>
      </c>
      <c r="E153" s="118" t="n">
        <v>0.965</v>
      </c>
      <c r="F153" s="118" t="n">
        <v>1.115</v>
      </c>
      <c r="G153" s="118" t="n">
        <v>1.06</v>
      </c>
      <c r="H153" s="118" t="n">
        <v>1.045</v>
      </c>
      <c r="I153" s="118" t="n">
        <v>1.07</v>
      </c>
      <c r="J153" s="118" t="n">
        <v>-0.038</v>
      </c>
      <c r="K153" s="118" t="n">
        <v>-2.61</v>
      </c>
      <c r="L153" s="119" t="inlineStr">
        <is>
          <t>✓ Lower Risk</t>
        </is>
      </c>
      <c r="M153" s="120" t="n">
        <v>0.007</v>
      </c>
      <c r="N153" s="120" t="n">
        <v>0.08</v>
      </c>
      <c r="O153" s="120" t="n">
        <v>0.063</v>
      </c>
      <c r="P153" s="120" t="n">
        <v>0.653</v>
      </c>
      <c r="Q153" s="120" t="n">
        <v>-0.241</v>
      </c>
      <c r="R153" s="117" t="n">
        <v>0</v>
      </c>
      <c r="S153" s="118" t="n">
        <v>-6.211</v>
      </c>
      <c r="T153" s="118" t="n">
        <v>0.002</v>
      </c>
      <c r="U153" s="119" t="inlineStr">
        <is>
          <t>✓ Normal</t>
        </is>
      </c>
      <c r="V153" s="117" t="n">
        <v>0</v>
      </c>
      <c r="W153" s="117" t="n">
        <v>0</v>
      </c>
      <c r="X153" s="117" t="n">
        <v>0</v>
      </c>
      <c r="Y153" s="117" t="n">
        <v>0</v>
      </c>
      <c r="Z153" s="117" t="n">
        <v>1</v>
      </c>
      <c r="AA153" s="117" t="n">
        <v>0</v>
      </c>
      <c r="AB153" s="117" t="n">
        <v>1</v>
      </c>
      <c r="AC153" s="119" t="inlineStr">
        <is>
          <t>✓ Clean</t>
        </is>
      </c>
      <c r="AD153" s="118" t="n">
        <v>1595200000</v>
      </c>
      <c r="AE153" s="118" t="n">
        <v>-712900000</v>
      </c>
      <c r="AF153" s="118" t="n">
        <v>1073500000</v>
      </c>
      <c r="AG153" s="118" t="n">
        <v>0.014</v>
      </c>
      <c r="AH153" s="119" t="inlineStr">
        <is>
          <t>✓ Medium Quality</t>
        </is>
      </c>
      <c r="AI153" s="118" t="n">
        <v>0.083</v>
      </c>
      <c r="AJ153" s="120" t="n">
        <v>0.115</v>
      </c>
      <c r="AK153" s="120" t="n">
        <v>0.718</v>
      </c>
      <c r="AL153" s="120" t="n">
        <v>0.263</v>
      </c>
      <c r="AM153" s="120" t="n">
        <v>0</v>
      </c>
      <c r="AN153" s="117" t="n">
        <v>100</v>
      </c>
      <c r="AO153" s="119" t="inlineStr">
        <is>
          <t>✓ Good</t>
        </is>
      </c>
      <c r="AP153" s="117" t="n">
        <v>0</v>
      </c>
      <c r="AQ153" s="117" t="n">
        <v>0</v>
      </c>
      <c r="AR153" s="117" t="n">
        <v>1</v>
      </c>
      <c r="AS153" s="117" t="n">
        <v>1</v>
      </c>
      <c r="AT153" s="117" t="n">
        <v>1</v>
      </c>
      <c r="AU153" s="117" t="n">
        <v>0</v>
      </c>
      <c r="AV153" s="117" t="n">
        <v>3</v>
      </c>
      <c r="AW153" s="121" t="inlineStr">
        <is>
          <t>⚠ WATCH</t>
        </is>
      </c>
      <c r="AX153" s="118" t="n">
        <v>13.1</v>
      </c>
      <c r="AY153" s="119" t="inlineStr">
        <is>
          <t>🟢 VERY LOW RISK</t>
        </is>
      </c>
      <c r="AZ153" s="118" t="n">
        <v>39.7</v>
      </c>
      <c r="BA153" s="118" t="n">
        <v>40.9</v>
      </c>
      <c r="BB153" s="118" t="n">
        <v>308.1</v>
      </c>
      <c r="BC153" s="118" t="n">
        <v>354.9</v>
      </c>
      <c r="BD153" s="118" t="n">
        <v>62.2</v>
      </c>
      <c r="BE153" s="118" t="n">
        <v>64.5</v>
      </c>
      <c r="BF153" s="120" t="n">
        <v>0.17</v>
      </c>
      <c r="BG153" s="117" t="n">
        <v>0.653</v>
      </c>
      <c r="BH153" s="122" t="n">
        <v>4</v>
      </c>
      <c r="BI153" s="123" t="n">
        <v>1</v>
      </c>
    </row>
    <row r="154" ht="17" customHeight="1">
      <c r="A154" s="117" t="inlineStr">
        <is>
          <t>CACI</t>
        </is>
      </c>
      <c r="B154" s="117" t="inlineStr">
        <is>
          <t>CACI International Inc</t>
        </is>
      </c>
      <c r="C154" s="118" t="n">
        <v>0.357</v>
      </c>
      <c r="D154" s="118" t="n">
        <v>80.3</v>
      </c>
      <c r="E154" s="118" t="n">
        <v>1.001</v>
      </c>
      <c r="F154" s="118" t="n">
        <v>3.818</v>
      </c>
      <c r="G154" s="118" t="n">
        <v>0.879</v>
      </c>
      <c r="H154" s="118" t="n">
        <v>0.279</v>
      </c>
      <c r="I154" s="118" t="n">
        <v>1.14</v>
      </c>
      <c r="J154" s="118" t="n">
        <v>-0.005</v>
      </c>
      <c r="K154" s="118" t="n">
        <v>41.352</v>
      </c>
      <c r="L154" s="121" t="inlineStr">
        <is>
          <t>⚠ MANIPULATOR RISK</t>
        </is>
      </c>
      <c r="M154" s="120" t="n">
        <v>0.013</v>
      </c>
      <c r="N154" s="120" t="n">
        <v>0.113</v>
      </c>
      <c r="O154" s="120" t="n">
        <v>0.003</v>
      </c>
      <c r="P154" s="120" t="n">
        <v>0.963</v>
      </c>
      <c r="Q154" s="120" t="n">
        <v>-0.004</v>
      </c>
      <c r="R154" s="117" t="n">
        <v>0</v>
      </c>
      <c r="S154" s="118" t="n">
        <v>-5.686</v>
      </c>
      <c r="T154" s="118" t="n">
        <v>0.003</v>
      </c>
      <c r="U154" s="119" t="inlineStr">
        <is>
          <t>✓ Normal</t>
        </is>
      </c>
      <c r="V154" s="117" t="n">
        <v>1</v>
      </c>
      <c r="W154" s="117" t="n">
        <v>0</v>
      </c>
      <c r="X154" s="117" t="n">
        <v>0</v>
      </c>
      <c r="Y154" s="117" t="n">
        <v>1</v>
      </c>
      <c r="Z154" s="117" t="n">
        <v>0</v>
      </c>
      <c r="AA154" s="117" t="n">
        <v>1</v>
      </c>
      <c r="AB154" s="117" t="n">
        <v>3</v>
      </c>
      <c r="AC154" s="121" t="inlineStr">
        <is>
          <t>⚠ WATCH</t>
        </is>
      </c>
      <c r="AD154" s="118" t="n">
        <v>547009000</v>
      </c>
      <c r="AE154" s="118" t="n">
        <v>-1758943000</v>
      </c>
      <c r="AF154" s="118" t="n">
        <v>499830000</v>
      </c>
      <c r="AG154" s="118" t="n">
        <v>0.222</v>
      </c>
      <c r="AH154" s="117" t="inlineStr">
        <is>
          <t>⚠ Low Quality</t>
        </is>
      </c>
      <c r="AI154" s="118" t="n">
        <v>0.363</v>
      </c>
      <c r="AJ154" s="120" t="n">
        <v>2.818</v>
      </c>
      <c r="AK154" s="120" t="n">
        <v>0.129</v>
      </c>
      <c r="AL154" s="120" t="n">
        <v>0.122</v>
      </c>
      <c r="AM154" s="120" t="n">
        <v>0.011</v>
      </c>
      <c r="AN154" s="118" t="n">
        <v>95.09999999999999</v>
      </c>
      <c r="AO154" s="119" t="inlineStr">
        <is>
          <t>✓ Good</t>
        </is>
      </c>
      <c r="AP154" s="117" t="n">
        <v>0</v>
      </c>
      <c r="AQ154" s="117" t="n">
        <v>0</v>
      </c>
      <c r="AR154" s="117" t="n">
        <v>0</v>
      </c>
      <c r="AS154" s="117" t="n">
        <v>0</v>
      </c>
      <c r="AT154" s="117" t="n">
        <v>0</v>
      </c>
      <c r="AU154" s="117" t="n">
        <v>1</v>
      </c>
      <c r="AV154" s="117" t="n">
        <v>1</v>
      </c>
      <c r="AW154" s="119" t="inlineStr">
        <is>
          <t>✓ Clean</t>
        </is>
      </c>
      <c r="AX154" s="118" t="n">
        <v>46</v>
      </c>
      <c r="AY154" s="121" t="inlineStr">
        <is>
          <t>🟡 ELEVATED RISK</t>
        </is>
      </c>
      <c r="AZ154" s="118" t="n">
        <v>114.8</v>
      </c>
      <c r="BA154" s="118" t="n">
        <v>321.7</v>
      </c>
      <c r="BB154" s="118" t="n">
        <v>10.2</v>
      </c>
      <c r="BC154" s="118" t="n">
        <v>10.5</v>
      </c>
      <c r="BD154" s="118" t="n">
        <v>30.2</v>
      </c>
      <c r="BE154" s="118" t="n">
        <v>25.4</v>
      </c>
      <c r="BF154" s="120" t="n">
        <v>0.174</v>
      </c>
      <c r="BG154" s="117" t="n">
        <v>0.963</v>
      </c>
      <c r="BH154" s="122" t="n">
        <v>4</v>
      </c>
      <c r="BI154" s="123" t="n">
        <v>1</v>
      </c>
    </row>
    <row r="155" ht="17" customHeight="1">
      <c r="A155" s="117" t="inlineStr">
        <is>
          <t>ROP</t>
        </is>
      </c>
      <c r="B155" s="117" t="inlineStr">
        <is>
          <t>ROPER TECHNOLOGIES INC</t>
        </is>
      </c>
      <c r="C155" s="118" t="n">
        <v>1.007</v>
      </c>
      <c r="D155" s="118" t="n">
        <v>1.001</v>
      </c>
      <c r="E155" s="118" t="n">
        <v>0.993</v>
      </c>
      <c r="F155" s="118" t="n">
        <v>1.123</v>
      </c>
      <c r="G155" s="118" t="n">
        <v>0.992</v>
      </c>
      <c r="H155" s="118" t="n">
        <v>1.001</v>
      </c>
      <c r="I155" s="118" t="n">
        <v>1.068</v>
      </c>
      <c r="J155" s="118" t="n">
        <v>-0.029</v>
      </c>
      <c r="K155" s="118" t="n">
        <v>-2.525</v>
      </c>
      <c r="L155" s="119" t="inlineStr">
        <is>
          <t>✓ Lower Risk</t>
        </is>
      </c>
      <c r="M155" s="120" t="n">
        <v>-0.015</v>
      </c>
      <c r="N155" s="120" t="n">
        <v>0.134</v>
      </c>
      <c r="O155" s="120" t="n">
        <v>0.024</v>
      </c>
      <c r="P155" s="120" t="n">
        <v>0.987</v>
      </c>
      <c r="Q155" s="120" t="n">
        <v>-0.005</v>
      </c>
      <c r="R155" s="117" t="n">
        <v>0</v>
      </c>
      <c r="S155" s="118" t="n">
        <v>-5.583</v>
      </c>
      <c r="T155" s="118" t="n">
        <v>0.004</v>
      </c>
      <c r="U155" s="119" t="inlineStr">
        <is>
          <t>✓ Normal</t>
        </is>
      </c>
      <c r="V155" s="117" t="n">
        <v>0</v>
      </c>
      <c r="W155" s="117" t="n">
        <v>1</v>
      </c>
      <c r="X155" s="117" t="n">
        <v>1</v>
      </c>
      <c r="Y155" s="117" t="n">
        <v>1</v>
      </c>
      <c r="Z155" s="117" t="n">
        <v>0</v>
      </c>
      <c r="AA155" s="117" t="n">
        <v>1</v>
      </c>
      <c r="AB155" s="117" t="n">
        <v>4</v>
      </c>
      <c r="AC155" s="121" t="inlineStr">
        <is>
          <t>⚠⚠ SERIOUS CONCERN</t>
        </is>
      </c>
      <c r="AD155" s="118" t="n">
        <v>2540300000</v>
      </c>
      <c r="AE155" s="118" t="n">
        <v>-3388000000</v>
      </c>
      <c r="AF155" s="118" t="n">
        <v>1536300000</v>
      </c>
      <c r="AG155" s="118" t="n">
        <v>0.07199999999999999</v>
      </c>
      <c r="AH155" s="119" t="inlineStr">
        <is>
          <t>✓ Medium Quality</t>
        </is>
      </c>
      <c r="AI155" s="118" t="n">
        <v>0.131</v>
      </c>
      <c r="AJ155" s="120" t="n">
        <v>0.123</v>
      </c>
      <c r="AK155" s="120" t="n">
        <v>1.068</v>
      </c>
      <c r="AL155" s="120" t="n">
        <v>0.321</v>
      </c>
      <c r="AM155" s="120" t="n">
        <v>-0.002</v>
      </c>
      <c r="AN155" s="118" t="n">
        <v>97.90000000000001</v>
      </c>
      <c r="AO155" s="119" t="inlineStr">
        <is>
          <t>✓ Good</t>
        </is>
      </c>
      <c r="AP155" s="117" t="n">
        <v>0</v>
      </c>
      <c r="AQ155" s="117" t="n">
        <v>0</v>
      </c>
      <c r="AR155" s="117" t="n">
        <v>1</v>
      </c>
      <c r="AS155" s="117" t="n">
        <v>1</v>
      </c>
      <c r="AT155" s="117" t="n">
        <v>1</v>
      </c>
      <c r="AU155" s="117" t="n">
        <v>1</v>
      </c>
      <c r="AV155" s="117" t="n">
        <v>4</v>
      </c>
      <c r="AW155" s="117" t="inlineStr">
        <is>
          <t>⚠⚠ MULTIPLE RED FLAGS</t>
        </is>
      </c>
      <c r="AX155" s="118" t="n">
        <v>25.7</v>
      </c>
      <c r="AY155" s="119" t="inlineStr">
        <is>
          <t>🟢 LOW RISK</t>
        </is>
      </c>
      <c r="AZ155" s="118" t="n">
        <v>46.2</v>
      </c>
      <c r="BA155" s="118" t="n">
        <v>45.9</v>
      </c>
      <c r="BB155" s="118" t="n">
        <v>21.3</v>
      </c>
      <c r="BC155" s="118" t="n">
        <v>20.4</v>
      </c>
      <c r="BD155" s="118" t="n">
        <v>26.7</v>
      </c>
      <c r="BE155" s="118" t="n">
        <v>27.4</v>
      </c>
      <c r="BF155" s="120" t="n">
        <v>0.206</v>
      </c>
      <c r="BG155" s="117" t="n">
        <v>0.987</v>
      </c>
      <c r="BH155" s="122" t="n">
        <v>8</v>
      </c>
      <c r="BI155" s="123" t="n">
        <v>1</v>
      </c>
    </row>
    <row r="156" ht="17" customHeight="1">
      <c r="A156" s="117" t="inlineStr">
        <is>
          <t>TXRH</t>
        </is>
      </c>
      <c r="B156" s="117" t="inlineStr">
        <is>
          <t>Texas Roadhouse, Inc.</t>
        </is>
      </c>
      <c r="C156" s="118" t="n">
        <v>1.015</v>
      </c>
      <c r="D156" s="124" t="inlineStr">
        <is>
          <t>N/A</t>
        </is>
      </c>
      <c r="E156" s="118" t="n">
        <v>1.101</v>
      </c>
      <c r="F156" s="118" t="n">
        <v>1.094</v>
      </c>
      <c r="G156" s="118" t="n">
        <v>0.965</v>
      </c>
      <c r="H156" s="118" t="n">
        <v>0.931</v>
      </c>
      <c r="I156" s="118" t="n">
        <v>1.023</v>
      </c>
      <c r="J156" s="118" t="n">
        <v>-0.13</v>
      </c>
      <c r="K156" s="124" t="inlineStr">
        <is>
          <t>N/A</t>
        </is>
      </c>
      <c r="L156" s="124" t="inlineStr">
        <is>
          <t>N/A</t>
        </is>
      </c>
      <c r="M156" s="120" t="n">
        <v>-0.068</v>
      </c>
      <c r="N156" s="120" t="n">
        <v>0.042</v>
      </c>
      <c r="O156" s="120" t="n">
        <v>0.01</v>
      </c>
      <c r="P156" s="120" t="n">
        <v>0.454</v>
      </c>
      <c r="Q156" s="120" t="n">
        <v>-0.001</v>
      </c>
      <c r="R156" s="117" t="n">
        <v>0</v>
      </c>
      <c r="S156" s="118" t="n">
        <v>-6.931</v>
      </c>
      <c r="T156" s="118" t="n">
        <v>0.001</v>
      </c>
      <c r="U156" s="119" t="inlineStr">
        <is>
          <t>✓ Normal</t>
        </is>
      </c>
      <c r="V156" s="117" t="n">
        <v>1</v>
      </c>
      <c r="W156" s="117" t="n">
        <v>1</v>
      </c>
      <c r="X156" s="117" t="n">
        <v>1</v>
      </c>
      <c r="Y156" s="117" t="n">
        <v>0</v>
      </c>
      <c r="Z156" s="117" t="n">
        <v>0</v>
      </c>
      <c r="AA156" s="117" t="n">
        <v>1</v>
      </c>
      <c r="AB156" s="117" t="n">
        <v>4</v>
      </c>
      <c r="AC156" s="121" t="inlineStr">
        <is>
          <t>⚠⚠ SERIOUS CONCERN</t>
        </is>
      </c>
      <c r="AD156" s="118" t="n">
        <v>730067000</v>
      </c>
      <c r="AE156" s="118" t="n">
        <v>-482814000</v>
      </c>
      <c r="AF156" s="118" t="n">
        <v>269818000</v>
      </c>
      <c r="AG156" s="118" t="n">
        <v>0.007</v>
      </c>
      <c r="AH156" s="119" t="inlineStr">
        <is>
          <t>✓ Medium Quality</t>
        </is>
      </c>
      <c r="AI156" s="118" t="n">
        <v>0.11</v>
      </c>
      <c r="AJ156" s="120" t="n">
        <v>0.094</v>
      </c>
      <c r="AK156" s="120" t="n">
        <v>1.176</v>
      </c>
      <c r="AL156" s="120" t="n">
        <v>0.124</v>
      </c>
      <c r="AM156" s="120" t="n">
        <v>0.005</v>
      </c>
      <c r="AN156" s="118" t="n">
        <v>89.8</v>
      </c>
      <c r="AO156" s="119" t="inlineStr">
        <is>
          <t>✓ Good</t>
        </is>
      </c>
      <c r="AP156" s="117" t="n">
        <v>0</v>
      </c>
      <c r="AQ156" s="117" t="n">
        <v>0</v>
      </c>
      <c r="AR156" s="117" t="n">
        <v>0</v>
      </c>
      <c r="AS156" s="117" t="n">
        <v>0</v>
      </c>
      <c r="AT156" s="117" t="n">
        <v>0</v>
      </c>
      <c r="AU156" s="117" t="n">
        <v>1</v>
      </c>
      <c r="AV156" s="117" t="n">
        <v>1</v>
      </c>
      <c r="AW156" s="119" t="inlineStr">
        <is>
          <t>✓ Clean</t>
        </is>
      </c>
      <c r="AX156" s="118" t="n">
        <v>29.5</v>
      </c>
      <c r="AY156" s="119" t="inlineStr">
        <is>
          <t>🟢 LOW RISK</t>
        </is>
      </c>
      <c r="AZ156" s="118" t="n">
        <v>13.3</v>
      </c>
      <c r="BA156" s="118" t="n">
        <v>13.1</v>
      </c>
      <c r="BB156" s="124" t="inlineStr">
        <is>
          <t>N/A</t>
        </is>
      </c>
      <c r="BC156" s="124" t="inlineStr">
        <is>
          <t>N/A</t>
        </is>
      </c>
      <c r="BD156" s="124" t="inlineStr">
        <is>
          <t>N/A</t>
        </is>
      </c>
      <c r="BE156" s="124" t="inlineStr">
        <is>
          <t>N/A</t>
        </is>
      </c>
      <c r="BF156" s="120" t="n">
        <v>0.138</v>
      </c>
      <c r="BG156" s="117" t="n">
        <v>0.454</v>
      </c>
      <c r="BH156" s="122" t="n">
        <v>5</v>
      </c>
      <c r="BI156" s="123" t="n">
        <v>0.8333333333333334</v>
      </c>
    </row>
    <row r="157" ht="17" customHeight="1">
      <c r="A157" s="117" t="inlineStr">
        <is>
          <t>AXON</t>
        </is>
      </c>
      <c r="B157" s="117" t="inlineStr">
        <is>
          <t>Axon Enterprise, Inc.</t>
        </is>
      </c>
      <c r="C157" s="118" t="n">
        <v>1.151</v>
      </c>
      <c r="D157" s="118" t="n">
        <v>0.999</v>
      </c>
      <c r="E157" s="118" t="n">
        <v>0.979</v>
      </c>
      <c r="F157" s="118" t="n">
        <v>1.335</v>
      </c>
      <c r="G157" s="118" t="n">
        <v>0.8149999999999999</v>
      </c>
      <c r="H157" s="118" t="n">
        <v>1.047</v>
      </c>
      <c r="I157" s="118" t="n">
        <v>1.119</v>
      </c>
      <c r="J157" s="118" t="n">
        <v>-0.012</v>
      </c>
      <c r="K157" s="118" t="n">
        <v>-2.177</v>
      </c>
      <c r="L157" s="121" t="inlineStr">
        <is>
          <t>⚠ MANIPULATOR RISK</t>
        </is>
      </c>
      <c r="M157" s="120" t="n">
        <v>0.016</v>
      </c>
      <c r="N157" s="120" t="n">
        <v>0.008999999999999999</v>
      </c>
      <c r="O157" s="120" t="n">
        <v>0.11</v>
      </c>
      <c r="P157" s="120" t="n">
        <v>0.781</v>
      </c>
      <c r="Q157" s="120" t="n">
        <v>-0.066</v>
      </c>
      <c r="R157" s="117" t="n">
        <v>1</v>
      </c>
      <c r="S157" s="118" t="n">
        <v>-3.078</v>
      </c>
      <c r="T157" s="118" t="n">
        <v>0.044</v>
      </c>
      <c r="U157" s="121" t="inlineStr">
        <is>
          <t>⚠ HIGH RISK</t>
        </is>
      </c>
      <c r="V157" s="117" t="n">
        <v>0</v>
      </c>
      <c r="W157" s="117" t="n">
        <v>1</v>
      </c>
      <c r="X157" s="117" t="n">
        <v>0</v>
      </c>
      <c r="Y157" s="117" t="n">
        <v>0</v>
      </c>
      <c r="Z157" s="117" t="n">
        <v>0</v>
      </c>
      <c r="AA157" s="117" t="n">
        <v>1</v>
      </c>
      <c r="AB157" s="117" t="n">
        <v>2</v>
      </c>
      <c r="AC157" s="121" t="inlineStr">
        <is>
          <t>⚠ WATCH</t>
        </is>
      </c>
      <c r="AD157" s="118" t="n">
        <v>211339000</v>
      </c>
      <c r="AE157" s="118" t="n">
        <v>-724930000</v>
      </c>
      <c r="AF157" s="118" t="n">
        <v>124656000</v>
      </c>
      <c r="AG157" s="118" t="n">
        <v>0.111</v>
      </c>
      <c r="AH157" s="117" t="inlineStr">
        <is>
          <t>⚠ Low Quality</t>
        </is>
      </c>
      <c r="AI157" s="118" t="n">
        <v>0.537</v>
      </c>
      <c r="AJ157" s="120" t="n">
        <v>0.335</v>
      </c>
      <c r="AK157" s="120" t="n">
        <v>1.603</v>
      </c>
      <c r="AL157" s="120" t="n">
        <v>0.076</v>
      </c>
      <c r="AM157" s="120" t="n">
        <v>0.008999999999999999</v>
      </c>
      <c r="AN157" s="118" t="n">
        <v>67.59999999999999</v>
      </c>
      <c r="AO157" s="119" t="inlineStr">
        <is>
          <t>✓ Good</t>
        </is>
      </c>
      <c r="AP157" s="117" t="n">
        <v>0</v>
      </c>
      <c r="AQ157" s="117" t="n">
        <v>0</v>
      </c>
      <c r="AR157" s="117" t="n">
        <v>0</v>
      </c>
      <c r="AS157" s="117" t="n">
        <v>1</v>
      </c>
      <c r="AT157" s="117" t="n">
        <v>1</v>
      </c>
      <c r="AU157" s="117" t="n">
        <v>1</v>
      </c>
      <c r="AV157" s="117" t="n">
        <v>3</v>
      </c>
      <c r="AW157" s="121" t="inlineStr">
        <is>
          <t>⚠ WATCH</t>
        </is>
      </c>
      <c r="AX157" s="118" t="n">
        <v>27.6</v>
      </c>
      <c r="AY157" s="119" t="inlineStr">
        <is>
          <t>🟢 LOW RISK</t>
        </is>
      </c>
      <c r="AZ157" s="118" t="n">
        <v>2.4</v>
      </c>
      <c r="BA157" s="118" t="n">
        <v>2.1</v>
      </c>
      <c r="BB157" s="118" t="n">
        <v>111.3</v>
      </c>
      <c r="BC157" s="118" t="n">
        <v>115.1</v>
      </c>
      <c r="BD157" s="118" t="n">
        <v>45.3</v>
      </c>
      <c r="BE157" s="118" t="n">
        <v>31.2</v>
      </c>
      <c r="BF157" s="120" t="n">
        <v>-5.57</v>
      </c>
      <c r="BG157" s="117" t="n">
        <v>0.781</v>
      </c>
      <c r="BH157" s="122" t="n">
        <v>6</v>
      </c>
      <c r="BI157" s="123" t="n">
        <v>1</v>
      </c>
    </row>
    <row r="158" ht="17" customHeight="1">
      <c r="A158" s="117" t="inlineStr">
        <is>
          <t>LOW</t>
        </is>
      </c>
      <c r="B158" s="117" t="inlineStr">
        <is>
          <t>LOWE’S COMPANIES, INC.</t>
        </is>
      </c>
      <c r="C158" s="118" t="n">
        <v>11.245</v>
      </c>
      <c r="D158" s="118" t="n">
        <v>0.995</v>
      </c>
      <c r="E158" s="118" t="n">
        <v>3.386</v>
      </c>
      <c r="F158" s="118" t="n">
        <v>1.031</v>
      </c>
      <c r="G158" s="118" t="n">
        <v>0.835</v>
      </c>
      <c r="H158" s="118" t="n">
        <v>1.038</v>
      </c>
      <c r="I158" s="118" t="n">
        <v>0.889</v>
      </c>
      <c r="J158" s="118" t="n">
        <v>-0.059</v>
      </c>
      <c r="K158" s="118" t="n">
        <v>7.668</v>
      </c>
      <c r="L158" s="121" t="inlineStr">
        <is>
          <t>⚠ MANIPULATOR RISK</t>
        </is>
      </c>
      <c r="M158" s="120" t="n">
        <v>-0.023</v>
      </c>
      <c r="N158" s="120" t="n">
        <v>0.381</v>
      </c>
      <c r="O158" s="120" t="n">
        <v>-0.042</v>
      </c>
      <c r="P158" s="120" t="n">
        <v>0.657</v>
      </c>
      <c r="Q158" s="120" t="n">
        <v>-0.039</v>
      </c>
      <c r="R158" s="117" t="n">
        <v>1</v>
      </c>
      <c r="S158" s="118" t="n">
        <v>-2.609</v>
      </c>
      <c r="T158" s="118" t="n">
        <v>0.06900000000000001</v>
      </c>
      <c r="U158" s="121" t="inlineStr">
        <is>
          <t>⚠ HIGH RISK</t>
        </is>
      </c>
      <c r="V158" s="117" t="n">
        <v>0</v>
      </c>
      <c r="W158" s="117" t="n">
        <v>1</v>
      </c>
      <c r="X158" s="117" t="n">
        <v>0</v>
      </c>
      <c r="Y158" s="117" t="n">
        <v>0</v>
      </c>
      <c r="Z158" s="117" t="n">
        <v>1</v>
      </c>
      <c r="AA158" s="117" t="n">
        <v>1</v>
      </c>
      <c r="AB158" s="117" t="n">
        <v>3</v>
      </c>
      <c r="AC158" s="121" t="inlineStr">
        <is>
          <t>⚠ WATCH</t>
        </is>
      </c>
      <c r="AD158" s="118" t="n">
        <v>9864000000</v>
      </c>
      <c r="AE158" s="118" t="n">
        <v>-12264000000</v>
      </c>
      <c r="AF158" s="118" t="n">
        <v>6654000000</v>
      </c>
      <c r="AG158" s="118" t="n">
        <v>0.186</v>
      </c>
      <c r="AH158" s="117" t="inlineStr">
        <is>
          <t>⚠ Low Quality</t>
        </is>
      </c>
      <c r="AI158" s="118" t="n">
        <v>10.596</v>
      </c>
      <c r="AJ158" s="120" t="n">
        <v>0.031</v>
      </c>
      <c r="AK158" s="120" t="n">
        <v>339.429</v>
      </c>
      <c r="AL158" s="120" t="n">
        <v>0.114</v>
      </c>
      <c r="AM158" s="120" t="n">
        <v>0.001</v>
      </c>
      <c r="AN158" s="118" t="n">
        <v>62.9</v>
      </c>
      <c r="AO158" s="121" t="inlineStr">
        <is>
          <t>⚠ WATCH</t>
        </is>
      </c>
      <c r="AP158" s="117" t="n">
        <v>0</v>
      </c>
      <c r="AQ158" s="117" t="n">
        <v>0</v>
      </c>
      <c r="AR158" s="117" t="n">
        <v>0</v>
      </c>
      <c r="AS158" s="117" t="n">
        <v>1</v>
      </c>
      <c r="AT158" s="117" t="n">
        <v>0</v>
      </c>
      <c r="AU158" s="117" t="n">
        <v>1</v>
      </c>
      <c r="AV158" s="117" t="n">
        <v>2</v>
      </c>
      <c r="AW158" s="121" t="inlineStr">
        <is>
          <t>⚠ WATCH</t>
        </is>
      </c>
      <c r="AX158" s="118" t="n">
        <v>57.5</v>
      </c>
      <c r="AY158" s="121" t="inlineStr">
        <is>
          <t>🟡 ELEVATED RISK</t>
        </is>
      </c>
      <c r="AZ158" s="118" t="n">
        <v>4.6</v>
      </c>
      <c r="BA158" s="118" t="n">
        <v>0.4</v>
      </c>
      <c r="BB158" s="118" t="n">
        <v>110</v>
      </c>
      <c r="BC158" s="118" t="n">
        <v>113.9</v>
      </c>
      <c r="BD158" s="118" t="n">
        <v>62.1</v>
      </c>
      <c r="BE158" s="118" t="n">
        <v>60.8</v>
      </c>
      <c r="BF158" s="120" t="n">
        <v>0.239</v>
      </c>
      <c r="BG158" s="117" t="n">
        <v>0.657</v>
      </c>
      <c r="BH158" s="122" t="n">
        <v>6</v>
      </c>
      <c r="BI158" s="123" t="n">
        <v>1</v>
      </c>
    </row>
    <row r="159" ht="17" customHeight="1">
      <c r="A159" s="117" t="inlineStr">
        <is>
          <t>ARQT</t>
        </is>
      </c>
      <c r="B159" s="117" t="inlineStr">
        <is>
          <t>ARCUTIS BIOTHERAPEUTICS, INC.</t>
        </is>
      </c>
      <c r="C159" s="118" t="n">
        <v>1.046</v>
      </c>
      <c r="D159" s="118" t="n">
        <v>1</v>
      </c>
      <c r="E159" s="118" t="n">
        <v>1.387</v>
      </c>
      <c r="F159" s="118" t="n">
        <v>1.913</v>
      </c>
      <c r="G159" s="118" t="n">
        <v>0.948</v>
      </c>
      <c r="H159" s="118" t="n">
        <v>0.626</v>
      </c>
      <c r="I159" s="118" t="n">
        <v>1.025</v>
      </c>
      <c r="J159" s="118" t="n">
        <v>-0.024</v>
      </c>
      <c r="K159" s="118" t="n">
        <v>-1.53</v>
      </c>
      <c r="L159" s="121" t="inlineStr">
        <is>
          <t>⚠ MANIPULATOR RISK</t>
        </is>
      </c>
      <c r="M159" s="120" t="n">
        <v>0.125</v>
      </c>
      <c r="N159" s="120" t="n">
        <v>0.408</v>
      </c>
      <c r="O159" s="120" t="n">
        <v>0.045</v>
      </c>
      <c r="P159" s="120" t="n">
        <v>0.898</v>
      </c>
      <c r="Q159" s="120" t="n">
        <v>0.364</v>
      </c>
      <c r="R159" s="117" t="n">
        <v>1</v>
      </c>
      <c r="S159" s="118" t="n">
        <v>-2.022</v>
      </c>
      <c r="T159" s="118" t="n">
        <v>0.117</v>
      </c>
      <c r="U159" s="121" t="inlineStr">
        <is>
          <t>⚠ HIGH RISK</t>
        </is>
      </c>
      <c r="V159" s="117" t="n">
        <v>1</v>
      </c>
      <c r="W159" s="117" t="n">
        <v>1</v>
      </c>
      <c r="X159" s="117" t="n">
        <v>0</v>
      </c>
      <c r="Y159" s="117" t="n">
        <v>1</v>
      </c>
      <c r="Z159" s="117" t="n">
        <v>1</v>
      </c>
      <c r="AA159" s="117" t="n">
        <v>1</v>
      </c>
      <c r="AB159" s="117" t="n">
        <v>5</v>
      </c>
      <c r="AC159" s="121" t="inlineStr">
        <is>
          <t>⚠⚠ SERIOUS CONCERN</t>
        </is>
      </c>
      <c r="AD159" s="118" t="n">
        <v>-5625000</v>
      </c>
      <c r="AE159" s="118" t="n">
        <v>-30253000</v>
      </c>
      <c r="AF159" s="118" t="n">
        <v>-16141000</v>
      </c>
      <c r="AG159" s="118" t="n">
        <v>0.05</v>
      </c>
      <c r="AH159" s="119" t="inlineStr">
        <is>
          <t>✓ Medium Quality</t>
        </is>
      </c>
      <c r="AI159" s="118" t="n">
        <v>1.001</v>
      </c>
      <c r="AJ159" s="120" t="n">
        <v>0.913</v>
      </c>
      <c r="AK159" s="120" t="n">
        <v>1.096</v>
      </c>
      <c r="AL159" s="120" t="n">
        <v>-0.015</v>
      </c>
      <c r="AM159" s="124" t="inlineStr">
        <is>
          <t>N/A</t>
        </is>
      </c>
      <c r="AN159" s="118" t="n">
        <v>67.09999999999999</v>
      </c>
      <c r="AO159" s="119" t="inlineStr">
        <is>
          <t>✓ Good</t>
        </is>
      </c>
      <c r="AP159" s="117" t="n">
        <v>0</v>
      </c>
      <c r="AQ159" s="117" t="n">
        <v>0</v>
      </c>
      <c r="AR159" s="117" t="n">
        <v>1</v>
      </c>
      <c r="AS159" s="117" t="n">
        <v>0</v>
      </c>
      <c r="AT159" s="117" t="n">
        <v>1</v>
      </c>
      <c r="AU159" s="117" t="n">
        <v>0</v>
      </c>
      <c r="AV159" s="117" t="n">
        <v>2</v>
      </c>
      <c r="AW159" s="121" t="inlineStr">
        <is>
          <t>⚠ WATCH</t>
        </is>
      </c>
      <c r="AX159" s="118" t="n">
        <v>48.5</v>
      </c>
      <c r="AY159" s="121" t="inlineStr">
        <is>
          <t>🟡 ELEVATED RISK</t>
        </is>
      </c>
      <c r="AZ159" s="118" t="n">
        <v>141.9</v>
      </c>
      <c r="BA159" s="118" t="n">
        <v>135.7</v>
      </c>
      <c r="BB159" s="118" t="n">
        <v>225.1</v>
      </c>
      <c r="BC159" s="118" t="n">
        <v>277.2</v>
      </c>
      <c r="BD159" s="118" t="n">
        <v>124.6</v>
      </c>
      <c r="BE159" s="118" t="n">
        <v>271.3</v>
      </c>
      <c r="BF159" s="120" t="n">
        <v>-0.142</v>
      </c>
      <c r="BG159" s="117" t="n">
        <v>0.898</v>
      </c>
      <c r="BH159" s="122" t="n">
        <v>8</v>
      </c>
      <c r="BI159" s="123" t="n">
        <v>1</v>
      </c>
    </row>
    <row r="160" ht="17" customHeight="1">
      <c r="A160" s="117" t="inlineStr">
        <is>
          <t>GVA</t>
        </is>
      </c>
      <c r="B160" s="117" t="inlineStr">
        <is>
          <t>GRANITE CONSTRUCTION INC</t>
        </is>
      </c>
      <c r="C160" s="118" t="n">
        <v>1.372</v>
      </c>
      <c r="D160" s="118" t="n">
        <v>0.723</v>
      </c>
      <c r="E160" s="118" t="n">
        <v>1.212</v>
      </c>
      <c r="F160" s="118" t="n">
        <v>0.898</v>
      </c>
      <c r="G160" s="118" t="n">
        <v>1.276</v>
      </c>
      <c r="H160" s="118" t="n">
        <v>1.358</v>
      </c>
      <c r="I160" s="118" t="n">
        <v>1</v>
      </c>
      <c r="J160" s="118" t="n">
        <v>-0.068</v>
      </c>
      <c r="K160" s="118" t="n">
        <v>-2.64</v>
      </c>
      <c r="L160" s="119" t="inlineStr">
        <is>
          <t>✓ Lower Risk</t>
        </is>
      </c>
      <c r="M160" s="120" t="n">
        <v>-0.114</v>
      </c>
      <c r="N160" s="120" t="n">
        <v>0.592</v>
      </c>
      <c r="O160" s="120" t="n">
        <v>0.174</v>
      </c>
      <c r="P160" s="120" t="n">
        <v>0.556</v>
      </c>
      <c r="Q160" s="120" t="n">
        <v>0.006</v>
      </c>
      <c r="R160" s="117" t="n">
        <v>1</v>
      </c>
      <c r="S160" s="118" t="n">
        <v>-2.114</v>
      </c>
      <c r="T160" s="118" t="n">
        <v>0.108</v>
      </c>
      <c r="U160" s="121" t="inlineStr">
        <is>
          <t>⚠ HIGH RISK</t>
        </is>
      </c>
      <c r="V160" s="117" t="n">
        <v>1</v>
      </c>
      <c r="W160" s="117" t="n">
        <v>1</v>
      </c>
      <c r="X160" s="117" t="n">
        <v>1</v>
      </c>
      <c r="Y160" s="117" t="n">
        <v>0</v>
      </c>
      <c r="Z160" s="117" t="n">
        <v>0</v>
      </c>
      <c r="AA160" s="117" t="n">
        <v>1</v>
      </c>
      <c r="AB160" s="117" t="n">
        <v>4</v>
      </c>
      <c r="AC160" s="121" t="inlineStr">
        <is>
          <t>⚠⚠ SERIOUS CONCERN</t>
        </is>
      </c>
      <c r="AD160" s="118" t="n">
        <v>468916000</v>
      </c>
      <c r="AE160" s="118" t="n">
        <v>-993721000</v>
      </c>
      <c r="AF160" s="118" t="n">
        <v>193003000</v>
      </c>
      <c r="AG160" s="118" t="n">
        <v>0.203</v>
      </c>
      <c r="AH160" s="117" t="inlineStr">
        <is>
          <t>⚠ Low Quality</t>
        </is>
      </c>
      <c r="AI160" s="118" t="n">
        <v>0.232</v>
      </c>
      <c r="AJ160" s="120" t="n">
        <v>-0.102</v>
      </c>
      <c r="AK160" s="120" t="n">
        <v>-2.27</v>
      </c>
      <c r="AL160" s="120" t="n">
        <v>0.266</v>
      </c>
      <c r="AM160" s="120" t="n">
        <v>0.016</v>
      </c>
      <c r="AN160" s="117" t="n">
        <v>100</v>
      </c>
      <c r="AO160" s="119" t="inlineStr">
        <is>
          <t>✓ Good</t>
        </is>
      </c>
      <c r="AP160" s="117" t="n">
        <v>1</v>
      </c>
      <c r="AQ160" s="117" t="n">
        <v>1</v>
      </c>
      <c r="AR160" s="117" t="n">
        <v>0</v>
      </c>
      <c r="AS160" s="117" t="n">
        <v>1</v>
      </c>
      <c r="AT160" s="117" t="n">
        <v>0</v>
      </c>
      <c r="AU160" s="117" t="n">
        <v>1</v>
      </c>
      <c r="AV160" s="117" t="n">
        <v>4</v>
      </c>
      <c r="AW160" s="117" t="inlineStr">
        <is>
          <t>⚠⚠ MULTIPLE RED FLAGS</t>
        </is>
      </c>
      <c r="AX160" s="118" t="n">
        <v>43.5</v>
      </c>
      <c r="AY160" s="121" t="inlineStr">
        <is>
          <t>🟡 ELEVATED RISK</t>
        </is>
      </c>
      <c r="AZ160" s="118" t="n">
        <v>130.5</v>
      </c>
      <c r="BA160" s="118" t="n">
        <v>95.09999999999999</v>
      </c>
      <c r="BB160" s="118" t="n">
        <v>14.1</v>
      </c>
      <c r="BC160" s="118" t="n">
        <v>11.5</v>
      </c>
      <c r="BD160" s="118" t="n">
        <v>42.3</v>
      </c>
      <c r="BE160" s="118" t="n">
        <v>43.3</v>
      </c>
      <c r="BF160" s="120" t="n">
        <v>0.237</v>
      </c>
      <c r="BG160" s="117" t="n">
        <v>0.556</v>
      </c>
      <c r="BH160" s="122" t="n">
        <v>9</v>
      </c>
      <c r="BI160" s="123" t="n">
        <v>1</v>
      </c>
    </row>
    <row r="161" ht="17" customHeight="1">
      <c r="A161" s="129" t="inlineStr">
        <is>
          <t>TRV</t>
        </is>
      </c>
      <c r="B161" s="129" t="inlineStr">
        <is>
          <t>Travelers Companies, Inc.</t>
        </is>
      </c>
      <c r="C161" s="124" t="inlineStr">
        <is>
          <t>N/A</t>
        </is>
      </c>
      <c r="D161" s="130" t="n">
        <v>0.834</v>
      </c>
      <c r="E161" s="124" t="inlineStr">
        <is>
          <t>N/A</t>
        </is>
      </c>
      <c r="F161" s="130" t="n">
        <v>1.052</v>
      </c>
      <c r="G161" s="124" t="inlineStr">
        <is>
          <t>N/A</t>
        </is>
      </c>
      <c r="H161" s="130" t="n">
        <v>1</v>
      </c>
      <c r="I161" s="130" t="n">
        <v>0.975</v>
      </c>
      <c r="J161" s="130" t="n">
        <v>-0.03</v>
      </c>
      <c r="K161" s="124" t="inlineStr">
        <is>
          <t>N/A</t>
        </is>
      </c>
      <c r="L161" s="124" t="inlineStr">
        <is>
          <t>N/A</t>
        </is>
      </c>
      <c r="M161" s="124" t="inlineStr">
        <is>
          <t>N/A</t>
        </is>
      </c>
      <c r="N161" s="124" t="inlineStr">
        <is>
          <t>N/A</t>
        </is>
      </c>
      <c r="O161" s="124" t="inlineStr">
        <is>
          <t>N/A</t>
        </is>
      </c>
      <c r="P161" s="131" t="n">
        <v>1</v>
      </c>
      <c r="Q161" s="131" t="n">
        <v>0.006</v>
      </c>
      <c r="R161" s="129" t="n">
        <v>0</v>
      </c>
      <c r="S161" s="124" t="inlineStr">
        <is>
          <t>N/A</t>
        </is>
      </c>
      <c r="T161" s="124" t="inlineStr">
        <is>
          <t>N/A</t>
        </is>
      </c>
      <c r="U161" s="124" t="inlineStr">
        <is>
          <t>N/A</t>
        </is>
      </c>
      <c r="V161" s="129" t="n">
        <v>0</v>
      </c>
      <c r="W161" s="129" t="n">
        <v>0</v>
      </c>
      <c r="X161" s="129" t="n">
        <v>0</v>
      </c>
      <c r="Y161" s="129" t="n">
        <v>0</v>
      </c>
      <c r="Z161" s="129" t="n">
        <v>1</v>
      </c>
      <c r="AA161" s="129" t="n">
        <v>0</v>
      </c>
      <c r="AB161" s="129" t="n">
        <v>1</v>
      </c>
      <c r="AC161" s="119" t="inlineStr">
        <is>
          <t>✓ Clean</t>
        </is>
      </c>
      <c r="AD161" s="130" t="n">
        <v>10606000000</v>
      </c>
      <c r="AE161" s="130" t="n">
        <v>-7652000000</v>
      </c>
      <c r="AF161" s="130" t="n">
        <v>6288000000</v>
      </c>
      <c r="AG161" s="130" t="n">
        <v>0.024</v>
      </c>
      <c r="AH161" s="119" t="inlineStr">
        <is>
          <t>✓ Medium Quality</t>
        </is>
      </c>
      <c r="AI161" s="124" t="inlineStr">
        <is>
          <t>N/A</t>
        </is>
      </c>
      <c r="AJ161" s="131" t="n">
        <v>0.052</v>
      </c>
      <c r="AK161" s="124" t="inlineStr">
        <is>
          <t>N/A</t>
        </is>
      </c>
      <c r="AL161" s="131" t="n">
        <v>0.217</v>
      </c>
      <c r="AM161" s="124" t="inlineStr">
        <is>
          <t>N/A</t>
        </is>
      </c>
      <c r="AN161" s="129" t="n">
        <v>100</v>
      </c>
      <c r="AO161" s="119" t="inlineStr">
        <is>
          <t>✓ Good</t>
        </is>
      </c>
      <c r="AP161" s="129" t="n">
        <v>0</v>
      </c>
      <c r="AQ161" s="129" t="n">
        <v>0</v>
      </c>
      <c r="AR161" s="129" t="n">
        <v>0</v>
      </c>
      <c r="AS161" s="129" t="n">
        <v>0</v>
      </c>
      <c r="AT161" s="129" t="n">
        <v>0</v>
      </c>
      <c r="AU161" s="129" t="n">
        <v>0</v>
      </c>
      <c r="AV161" s="129" t="n">
        <v>0</v>
      </c>
      <c r="AW161" s="119" t="inlineStr">
        <is>
          <t>✓ Clean</t>
        </is>
      </c>
      <c r="AX161" s="130" t="n">
        <v>25.8</v>
      </c>
      <c r="AY161" s="119" t="inlineStr">
        <is>
          <t>🟢 LOW RISK</t>
        </is>
      </c>
      <c r="AZ161" s="130" t="n">
        <v>0</v>
      </c>
      <c r="BA161" s="124" t="inlineStr">
        <is>
          <t>N/A</t>
        </is>
      </c>
      <c r="BB161" s="124" t="inlineStr">
        <is>
          <t>N/A</t>
        </is>
      </c>
      <c r="BC161" s="124" t="inlineStr">
        <is>
          <t>N/A</t>
        </is>
      </c>
      <c r="BD161" s="124" t="inlineStr">
        <is>
          <t>N/A</t>
        </is>
      </c>
      <c r="BE161" s="124" t="inlineStr">
        <is>
          <t>N/A</t>
        </is>
      </c>
      <c r="BF161" s="131" t="n">
        <v>0.193</v>
      </c>
      <c r="BG161" s="129" t="n">
        <v>1</v>
      </c>
      <c r="BH161" s="129" t="n">
        <v>1</v>
      </c>
      <c r="BI161" s="125" t="n">
        <v>0.6666666666666666</v>
      </c>
    </row>
    <row r="162" ht="17" customHeight="1">
      <c r="A162" s="117" t="inlineStr">
        <is>
          <t>USB</t>
        </is>
      </c>
      <c r="B162" s="117" t="inlineStr">
        <is>
          <t>US BANCORP \DE\</t>
        </is>
      </c>
      <c r="C162" s="124" t="inlineStr">
        <is>
          <t>N/A</t>
        </is>
      </c>
      <c r="D162" s="124" t="inlineStr">
        <is>
          <t>N/A</t>
        </is>
      </c>
      <c r="E162" s="118" t="n">
        <v>0.999</v>
      </c>
      <c r="F162" s="118" t="n">
        <v>1.044</v>
      </c>
      <c r="G162" s="118" t="n">
        <v>1.285</v>
      </c>
      <c r="H162" s="124" t="inlineStr">
        <is>
          <t>N/A</t>
        </is>
      </c>
      <c r="I162" s="118" t="n">
        <v>0.991</v>
      </c>
      <c r="J162" s="118" t="n">
        <v>-0.001</v>
      </c>
      <c r="K162" s="124" t="inlineStr">
        <is>
          <t>N/A</t>
        </is>
      </c>
      <c r="L162" s="124" t="inlineStr">
        <is>
          <t>N/A</t>
        </is>
      </c>
      <c r="M162" s="124" t="inlineStr">
        <is>
          <t>N/A</t>
        </is>
      </c>
      <c r="N162" s="124" t="inlineStr">
        <is>
          <t>N/A</t>
        </is>
      </c>
      <c r="O162" s="124" t="inlineStr">
        <is>
          <t>N/A</t>
        </is>
      </c>
      <c r="P162" s="120" t="n">
        <v>0.983</v>
      </c>
      <c r="Q162" s="120" t="n">
        <v>0.002</v>
      </c>
      <c r="R162" s="117" t="n">
        <v>0</v>
      </c>
      <c r="S162" s="124" t="inlineStr">
        <is>
          <t>N/A</t>
        </is>
      </c>
      <c r="T162" s="124" t="inlineStr">
        <is>
          <t>N/A</t>
        </is>
      </c>
      <c r="U162" s="124" t="inlineStr">
        <is>
          <t>N/A</t>
        </is>
      </c>
      <c r="V162" s="117" t="n">
        <v>1</v>
      </c>
      <c r="W162" s="117" t="n">
        <v>0</v>
      </c>
      <c r="X162" s="117" t="n">
        <v>0</v>
      </c>
      <c r="Y162" s="117" t="n">
        <v>0</v>
      </c>
      <c r="Z162" s="117" t="n">
        <v>1</v>
      </c>
      <c r="AA162" s="117" t="n">
        <v>0</v>
      </c>
      <c r="AB162" s="117" t="n">
        <v>2</v>
      </c>
      <c r="AC162" s="121" t="inlineStr">
        <is>
          <t>⚠ WATCH</t>
        </is>
      </c>
      <c r="AD162" s="118" t="n">
        <v>7970000000</v>
      </c>
      <c r="AE162" s="118" t="n">
        <v>-20538000000</v>
      </c>
      <c r="AF162" s="118" t="n">
        <v>7570000000</v>
      </c>
      <c r="AG162" s="118" t="n">
        <v>0.029</v>
      </c>
      <c r="AH162" s="119" t="inlineStr">
        <is>
          <t>✓ Medium Quality</t>
        </is>
      </c>
      <c r="AI162" s="124" t="inlineStr">
        <is>
          <t>N/A</t>
        </is>
      </c>
      <c r="AJ162" s="120" t="n">
        <v>0.044</v>
      </c>
      <c r="AK162" s="124" t="inlineStr">
        <is>
          <t>N/A</t>
        </is>
      </c>
      <c r="AL162" s="120" t="n">
        <v>0.278</v>
      </c>
      <c r="AM162" s="124" t="inlineStr">
        <is>
          <t>N/A</t>
        </is>
      </c>
      <c r="AN162" s="117" t="n">
        <v>100</v>
      </c>
      <c r="AO162" s="119" t="inlineStr">
        <is>
          <t>✓ Good</t>
        </is>
      </c>
      <c r="AP162" s="117" t="n">
        <v>0</v>
      </c>
      <c r="AQ162" s="117" t="n">
        <v>0</v>
      </c>
      <c r="AR162" s="117" t="n">
        <v>0</v>
      </c>
      <c r="AS162" s="117" t="n">
        <v>0</v>
      </c>
      <c r="AT162" s="117" t="n">
        <v>0</v>
      </c>
      <c r="AU162" s="117" t="n">
        <v>0</v>
      </c>
      <c r="AV162" s="117" t="n">
        <v>0</v>
      </c>
      <c r="AW162" s="119" t="inlineStr">
        <is>
          <t>✓ Clean</t>
        </is>
      </c>
      <c r="AX162" s="118" t="n">
        <v>29.3</v>
      </c>
      <c r="AY162" s="119" t="inlineStr">
        <is>
          <t>🟢 LOW RISK</t>
        </is>
      </c>
      <c r="AZ162" s="118" t="n">
        <v>0</v>
      </c>
      <c r="BA162" s="124" t="inlineStr">
        <is>
          <t>N/A</t>
        </is>
      </c>
      <c r="BB162" s="124" t="inlineStr">
        <is>
          <t>N/A</t>
        </is>
      </c>
      <c r="BC162" s="124" t="inlineStr">
        <is>
          <t>N/A</t>
        </is>
      </c>
      <c r="BD162" s="124" t="inlineStr">
        <is>
          <t>N/A</t>
        </is>
      </c>
      <c r="BE162" s="124" t="inlineStr">
        <is>
          <t>N/A</t>
        </is>
      </c>
      <c r="BF162" s="120" t="n">
        <v>0.202</v>
      </c>
      <c r="BG162" s="117" t="n">
        <v>0.983</v>
      </c>
      <c r="BH162" s="122" t="n">
        <v>2</v>
      </c>
      <c r="BI162" s="125" t="n">
        <v>0.6666666666666666</v>
      </c>
    </row>
    <row r="163" ht="17" customHeight="1">
      <c r="A163" s="117" t="inlineStr">
        <is>
          <t>AZO</t>
        </is>
      </c>
      <c r="B163" s="117" t="inlineStr">
        <is>
          <t>AUTOZONE INC</t>
        </is>
      </c>
      <c r="C163" s="118" t="n">
        <v>1.199</v>
      </c>
      <c r="D163" s="118" t="n">
        <v>1.009</v>
      </c>
      <c r="E163" s="118" t="n">
        <v>0.951</v>
      </c>
      <c r="F163" s="118" t="n">
        <v>1.024</v>
      </c>
      <c r="G163" s="118" t="n">
        <v>1.022</v>
      </c>
      <c r="H163" s="118" t="n">
        <v>1.029</v>
      </c>
      <c r="I163" s="118" t="n">
        <v>1</v>
      </c>
      <c r="J163" s="118" t="n">
        <v>-0.032</v>
      </c>
      <c r="K163" s="118" t="n">
        <v>-2.442</v>
      </c>
      <c r="L163" s="119" t="inlineStr">
        <is>
          <t>✓ Lower Risk</t>
        </is>
      </c>
      <c r="M163" s="120" t="n">
        <v>-0.018</v>
      </c>
      <c r="N163" s="120" t="n">
        <v>0.278</v>
      </c>
      <c r="O163" s="120" t="n">
        <v>1.941</v>
      </c>
      <c r="P163" s="120" t="n">
        <v>0.621</v>
      </c>
      <c r="Q163" s="120" t="n">
        <v>-0.026</v>
      </c>
      <c r="R163" s="117" t="n">
        <v>0</v>
      </c>
      <c r="S163" s="118" t="n">
        <v>-3.656</v>
      </c>
      <c r="T163" s="118" t="n">
        <v>0.025</v>
      </c>
      <c r="U163" s="119" t="inlineStr">
        <is>
          <t>✓ Normal</t>
        </is>
      </c>
      <c r="V163" s="117" t="n">
        <v>0</v>
      </c>
      <c r="W163" s="117" t="n">
        <v>1</v>
      </c>
      <c r="X163" s="117" t="n">
        <v>1</v>
      </c>
      <c r="Y163" s="117" t="n">
        <v>0</v>
      </c>
      <c r="Z163" s="117" t="n">
        <v>1</v>
      </c>
      <c r="AA163" s="117" t="n">
        <v>1</v>
      </c>
      <c r="AB163" s="117" t="n">
        <v>4</v>
      </c>
      <c r="AC163" s="121" t="inlineStr">
        <is>
          <t>⚠⚠ SERIOUS CONCERN</t>
        </is>
      </c>
      <c r="AD163" s="118" t="n">
        <v>3117337000</v>
      </c>
      <c r="AE163" s="118" t="n">
        <v>-1400430000</v>
      </c>
      <c r="AF163" s="118" t="n">
        <v>2498247000</v>
      </c>
      <c r="AG163" s="118" t="n">
        <v>0.043</v>
      </c>
      <c r="AH163" s="119" t="inlineStr">
        <is>
          <t>✓ Medium Quality</t>
        </is>
      </c>
      <c r="AI163" s="118" t="n">
        <v>0.228</v>
      </c>
      <c r="AJ163" s="120" t="n">
        <v>0.024</v>
      </c>
      <c r="AK163" s="120" t="n">
        <v>9.414</v>
      </c>
      <c r="AL163" s="120" t="n">
        <v>0.165</v>
      </c>
      <c r="AM163" s="124" t="inlineStr">
        <is>
          <t>N/A</t>
        </is>
      </c>
      <c r="AN163" s="117" t="n">
        <v>70</v>
      </c>
      <c r="AO163" s="119" t="inlineStr">
        <is>
          <t>✓ Good</t>
        </is>
      </c>
      <c r="AP163" s="117" t="n">
        <v>1</v>
      </c>
      <c r="AQ163" s="117" t="n">
        <v>0</v>
      </c>
      <c r="AR163" s="117" t="n">
        <v>1</v>
      </c>
      <c r="AS163" s="117" t="n">
        <v>1</v>
      </c>
      <c r="AT163" s="117" t="n">
        <v>0</v>
      </c>
      <c r="AU163" s="117" t="n">
        <v>0</v>
      </c>
      <c r="AV163" s="117" t="n">
        <v>3</v>
      </c>
      <c r="AW163" s="121" t="inlineStr">
        <is>
          <t>⚠ WATCH</t>
        </is>
      </c>
      <c r="AX163" s="118" t="n">
        <v>29.2</v>
      </c>
      <c r="AY163" s="119" t="inlineStr">
        <is>
          <t>🟢 LOW RISK</t>
        </is>
      </c>
      <c r="AZ163" s="118" t="n">
        <v>12.9</v>
      </c>
      <c r="BA163" s="118" t="n">
        <v>10.8</v>
      </c>
      <c r="BB163" s="118" t="n">
        <v>285.8</v>
      </c>
      <c r="BC163" s="118" t="n">
        <v>259</v>
      </c>
      <c r="BD163" s="118" t="n">
        <v>326.5</v>
      </c>
      <c r="BE163" s="118" t="n">
        <v>309.6</v>
      </c>
      <c r="BF163" s="120" t="n">
        <v>0.203</v>
      </c>
      <c r="BG163" s="117" t="n">
        <v>0.621</v>
      </c>
      <c r="BH163" s="122" t="n">
        <v>7</v>
      </c>
      <c r="BI163" s="123" t="n">
        <v>1</v>
      </c>
    </row>
    <row r="164" ht="17" customHeight="1">
      <c r="A164" s="117" t="inlineStr">
        <is>
          <t>PPL</t>
        </is>
      </c>
      <c r="B164" s="117" t="inlineStr">
        <is>
          <t>PPL Corp</t>
        </is>
      </c>
      <c r="C164" s="118" t="n">
        <v>1.079</v>
      </c>
      <c r="D164" s="124" t="inlineStr">
        <is>
          <t>N/A</t>
        </is>
      </c>
      <c r="E164" s="118" t="n">
        <v>0.9330000000000001</v>
      </c>
      <c r="F164" s="118" t="n">
        <v>1.069</v>
      </c>
      <c r="G164" s="118" t="n">
        <v>1.06</v>
      </c>
      <c r="H164" s="124" t="inlineStr">
        <is>
          <t>N/A</t>
        </is>
      </c>
      <c r="I164" s="118" t="n">
        <v>1</v>
      </c>
      <c r="J164" s="118" t="n">
        <v>-0.032</v>
      </c>
      <c r="K164" s="124" t="inlineStr">
        <is>
          <t>N/A</t>
        </is>
      </c>
      <c r="L164" s="124" t="inlineStr">
        <is>
          <t>N/A</t>
        </is>
      </c>
      <c r="M164" s="120" t="n">
        <v>-0.049</v>
      </c>
      <c r="N164" s="120" t="n">
        <v>0.253</v>
      </c>
      <c r="O164" s="120" t="n">
        <v>0.06900000000000001</v>
      </c>
      <c r="P164" s="120" t="n">
        <v>0.178</v>
      </c>
      <c r="Q164" s="120" t="n">
        <v>0.004</v>
      </c>
      <c r="R164" s="117" t="n">
        <v>1</v>
      </c>
      <c r="S164" s="118" t="n">
        <v>-3.788</v>
      </c>
      <c r="T164" s="118" t="n">
        <v>0.022</v>
      </c>
      <c r="U164" s="119" t="inlineStr">
        <is>
          <t>✓ Normal</t>
        </is>
      </c>
      <c r="V164" s="117" t="n">
        <v>1</v>
      </c>
      <c r="W164" s="117" t="n">
        <v>1</v>
      </c>
      <c r="X164" s="117" t="n">
        <v>1</v>
      </c>
      <c r="Y164" s="117" t="n">
        <v>0</v>
      </c>
      <c r="Z164" s="117" t="n">
        <v>1</v>
      </c>
      <c r="AA164" s="117" t="n">
        <v>1</v>
      </c>
      <c r="AB164" s="117" t="n">
        <v>5</v>
      </c>
      <c r="AC164" s="121" t="inlineStr">
        <is>
          <t>⚠⚠ SERIOUS CONCERN</t>
        </is>
      </c>
      <c r="AD164" s="118" t="n">
        <v>2629000000</v>
      </c>
      <c r="AE164" s="118" t="n">
        <v>-4004000000</v>
      </c>
      <c r="AF164" s="118" t="n">
        <v>1181000000</v>
      </c>
      <c r="AG164" s="118" t="n">
        <v>0.059</v>
      </c>
      <c r="AH164" s="119" t="inlineStr">
        <is>
          <t>✓ Medium Quality</t>
        </is>
      </c>
      <c r="AI164" s="118" t="n">
        <v>0.153</v>
      </c>
      <c r="AJ164" s="120" t="n">
        <v>0.06900000000000001</v>
      </c>
      <c r="AK164" s="120" t="n">
        <v>2.232</v>
      </c>
      <c r="AL164" s="120" t="n">
        <v>0.291</v>
      </c>
      <c r="AM164" s="120" t="n">
        <v>-0</v>
      </c>
      <c r="AN164" s="118" t="n">
        <v>70</v>
      </c>
      <c r="AO164" s="119" t="inlineStr">
        <is>
          <t>✓ Good</t>
        </is>
      </c>
      <c r="AP164" s="117" t="n">
        <v>0</v>
      </c>
      <c r="AQ164" s="117" t="n">
        <v>0</v>
      </c>
      <c r="AR164" s="117" t="n">
        <v>0</v>
      </c>
      <c r="AS164" s="117" t="n">
        <v>0</v>
      </c>
      <c r="AT164" s="117" t="n">
        <v>0</v>
      </c>
      <c r="AU164" s="117" t="n">
        <v>1</v>
      </c>
      <c r="AV164" s="117" t="n">
        <v>1</v>
      </c>
      <c r="AW164" s="119" t="inlineStr">
        <is>
          <t>✓ Clean</t>
        </is>
      </c>
      <c r="AX164" s="118" t="n">
        <v>38</v>
      </c>
      <c r="AY164" s="119" t="inlineStr">
        <is>
          <t>🟢 LOW RISK</t>
        </is>
      </c>
      <c r="AZ164" s="118" t="n">
        <v>44.7</v>
      </c>
      <c r="BA164" s="118" t="n">
        <v>41.5</v>
      </c>
      <c r="BB164" s="124" t="inlineStr">
        <is>
          <t>N/A</t>
        </is>
      </c>
      <c r="BC164" s="124" t="inlineStr">
        <is>
          <t>N/A</t>
        </is>
      </c>
      <c r="BD164" s="124" t="inlineStr">
        <is>
          <t>N/A</t>
        </is>
      </c>
      <c r="BE164" s="124" t="inlineStr">
        <is>
          <t>N/A</t>
        </is>
      </c>
      <c r="BF164" s="120" t="n">
        <v>0.198</v>
      </c>
      <c r="BG164" s="117" t="n">
        <v>0.178</v>
      </c>
      <c r="BH164" s="122" t="n">
        <v>7</v>
      </c>
      <c r="BI164" s="123" t="n">
        <v>0.8333333333333334</v>
      </c>
    </row>
    <row r="165" ht="17" customHeight="1">
      <c r="A165" s="117" t="inlineStr">
        <is>
          <t>MET</t>
        </is>
      </c>
      <c r="B165" s="117" t="inlineStr">
        <is>
          <t>MetLife, Inc.</t>
        </is>
      </c>
      <c r="C165" s="118" t="n">
        <v>1.052</v>
      </c>
      <c r="D165" s="118" t="n">
        <v>1.31</v>
      </c>
      <c r="E165" s="118" t="n">
        <v>1.001</v>
      </c>
      <c r="F165" s="118" t="n">
        <v>1.086</v>
      </c>
      <c r="G165" s="118" t="n">
        <v>0.982</v>
      </c>
      <c r="H165" s="118" t="n">
        <v>1.072</v>
      </c>
      <c r="I165" s="118" t="n">
        <v>1.002</v>
      </c>
      <c r="J165" s="118" t="n">
        <v>-0.018</v>
      </c>
      <c r="K165" s="118" t="n">
        <v>-2.293</v>
      </c>
      <c r="L165" s="119" t="inlineStr">
        <is>
          <t>✓ Lower Risk</t>
        </is>
      </c>
      <c r="M165" s="124" t="inlineStr">
        <is>
          <t>N/A</t>
        </is>
      </c>
      <c r="N165" s="120" t="n">
        <v>0.006</v>
      </c>
      <c r="O165" s="124" t="inlineStr">
        <is>
          <t>N/A</t>
        </is>
      </c>
      <c r="P165" s="120" t="n">
        <v>0.967</v>
      </c>
      <c r="Q165" s="120" t="n">
        <v>-0.002</v>
      </c>
      <c r="R165" s="117" t="n">
        <v>0</v>
      </c>
      <c r="S165" s="124" t="inlineStr">
        <is>
          <t>N/A</t>
        </is>
      </c>
      <c r="T165" s="124" t="inlineStr">
        <is>
          <t>N/A</t>
        </is>
      </c>
      <c r="U165" s="124" t="inlineStr">
        <is>
          <t>N/A</t>
        </is>
      </c>
      <c r="V165" s="117" t="n">
        <v>0</v>
      </c>
      <c r="W165" s="117" t="n">
        <v>1</v>
      </c>
      <c r="X165" s="117" t="n">
        <v>0</v>
      </c>
      <c r="Y165" s="117" t="n">
        <v>0</v>
      </c>
      <c r="Z165" s="117" t="n">
        <v>1</v>
      </c>
      <c r="AA165" s="117" t="n">
        <v>0</v>
      </c>
      <c r="AB165" s="117" t="n">
        <v>2</v>
      </c>
      <c r="AC165" s="121" t="inlineStr">
        <is>
          <t>⚠ WATCH</t>
        </is>
      </c>
      <c r="AD165" s="118" t="n">
        <v>17092000000</v>
      </c>
      <c r="AE165" s="118" t="n">
        <v>-15607000000</v>
      </c>
      <c r="AF165" s="118" t="n">
        <v>3379000000</v>
      </c>
      <c r="AG165" s="118" t="n">
        <v>0.003</v>
      </c>
      <c r="AH165" s="119" t="inlineStr">
        <is>
          <t>✓ Medium Quality</t>
        </is>
      </c>
      <c r="AI165" s="118" t="n">
        <v>0.143</v>
      </c>
      <c r="AJ165" s="120" t="n">
        <v>0.08599999999999999</v>
      </c>
      <c r="AK165" s="120" t="n">
        <v>1.663</v>
      </c>
      <c r="AL165" s="120" t="n">
        <v>0.222</v>
      </c>
      <c r="AM165" s="124" t="inlineStr">
        <is>
          <t>N/A</t>
        </is>
      </c>
      <c r="AN165" s="118" t="n">
        <v>80.09999999999999</v>
      </c>
      <c r="AO165" s="119" t="inlineStr">
        <is>
          <t>✓ Good</t>
        </is>
      </c>
      <c r="AP165" s="117" t="n">
        <v>0</v>
      </c>
      <c r="AQ165" s="117" t="n">
        <v>0</v>
      </c>
      <c r="AR165" s="117" t="n">
        <v>1</v>
      </c>
      <c r="AS165" s="117" t="n">
        <v>1</v>
      </c>
      <c r="AT165" s="117" t="n">
        <v>0</v>
      </c>
      <c r="AU165" s="117" t="n">
        <v>0</v>
      </c>
      <c r="AV165" s="117" t="n">
        <v>2</v>
      </c>
      <c r="AW165" s="121" t="inlineStr">
        <is>
          <t>⚠ WATCH</t>
        </is>
      </c>
      <c r="AX165" s="118" t="n">
        <v>24.5</v>
      </c>
      <c r="AY165" s="119" t="inlineStr">
        <is>
          <t>🟢 LOW RISK</t>
        </is>
      </c>
      <c r="AZ165" s="118" t="n">
        <v>1.3</v>
      </c>
      <c r="BA165" s="118" t="n">
        <v>1.2</v>
      </c>
      <c r="BB165" s="124" t="inlineStr">
        <is>
          <t>N/A</t>
        </is>
      </c>
      <c r="BC165" s="124" t="inlineStr">
        <is>
          <t>N/A</t>
        </is>
      </c>
      <c r="BD165" s="124" t="inlineStr">
        <is>
          <t>N/A</t>
        </is>
      </c>
      <c r="BE165" s="124" t="inlineStr">
        <is>
          <t>N/A</t>
        </is>
      </c>
      <c r="BF165" s="120" t="n">
        <v>0.27</v>
      </c>
      <c r="BG165" s="117" t="n">
        <v>0.967</v>
      </c>
      <c r="BH165" s="122" t="n">
        <v>4</v>
      </c>
      <c r="BI165" s="123" t="n">
        <v>0.8333333333333334</v>
      </c>
    </row>
    <row r="166" ht="17" customHeight="1">
      <c r="A166" s="117" t="inlineStr">
        <is>
          <t>TER</t>
        </is>
      </c>
      <c r="B166" s="117" t="inlineStr">
        <is>
          <t>TERADYNE, INC.</t>
        </is>
      </c>
      <c r="C166" s="118" t="n">
        <v>1.476</v>
      </c>
      <c r="D166" s="118" t="n">
        <v>1.004</v>
      </c>
      <c r="E166" s="118" t="n">
        <v>1.07</v>
      </c>
      <c r="F166" s="118" t="n">
        <v>1.131</v>
      </c>
      <c r="G166" s="118" t="n">
        <v>1.03</v>
      </c>
      <c r="H166" s="118" t="n">
        <v>0.93</v>
      </c>
      <c r="I166" s="118" t="n">
        <v>1.383</v>
      </c>
      <c r="J166" s="118" t="n">
        <v>-0.029</v>
      </c>
      <c r="K166" s="118" t="n">
        <v>-2.139</v>
      </c>
      <c r="L166" s="121" t="inlineStr">
        <is>
          <t>⚠ MANIPULATOR RISK</t>
        </is>
      </c>
      <c r="M166" s="120" t="n">
        <v>-0.054</v>
      </c>
      <c r="N166" s="120" t="n">
        <v>0.852</v>
      </c>
      <c r="O166" s="120" t="n">
        <v>0.219</v>
      </c>
      <c r="P166" s="120" t="n">
        <v>0.795</v>
      </c>
      <c r="Q166" s="120" t="n">
        <v>-0.014</v>
      </c>
      <c r="R166" s="117" t="n">
        <v>0</v>
      </c>
      <c r="S166" s="118" t="n">
        <v>-3.949</v>
      </c>
      <c r="T166" s="118" t="n">
        <v>0.019</v>
      </c>
      <c r="U166" s="119" t="inlineStr">
        <is>
          <t>✓ Normal</t>
        </is>
      </c>
      <c r="V166" s="117" t="n">
        <v>1</v>
      </c>
      <c r="W166" s="117" t="n">
        <v>1</v>
      </c>
      <c r="X166" s="117" t="n">
        <v>1</v>
      </c>
      <c r="Y166" s="117" t="n">
        <v>0</v>
      </c>
      <c r="Z166" s="117" t="n">
        <v>1</v>
      </c>
      <c r="AA166" s="117" t="n">
        <v>1</v>
      </c>
      <c r="AB166" s="117" t="n">
        <v>5</v>
      </c>
      <c r="AC166" s="121" t="inlineStr">
        <is>
          <t>⚠⚠ SERIOUS CONCERN</t>
        </is>
      </c>
      <c r="AD166" s="118" t="n">
        <v>674415000</v>
      </c>
      <c r="AE166" s="118" t="n">
        <v>-368617000</v>
      </c>
      <c r="AF166" s="118" t="n">
        <v>554047000</v>
      </c>
      <c r="AG166" s="118" t="n">
        <v>0.063</v>
      </c>
      <c r="AH166" s="119" t="inlineStr">
        <is>
          <t>✓ Medium Quality</t>
        </is>
      </c>
      <c r="AI166" s="118" t="n">
        <v>0.669</v>
      </c>
      <c r="AJ166" s="120" t="n">
        <v>0.131</v>
      </c>
      <c r="AK166" s="120" t="n">
        <v>5.098</v>
      </c>
      <c r="AL166" s="120" t="n">
        <v>0.211</v>
      </c>
      <c r="AM166" s="120" t="n">
        <v>0.003</v>
      </c>
      <c r="AN166" s="118" t="n">
        <v>70.2</v>
      </c>
      <c r="AO166" s="119" t="inlineStr">
        <is>
          <t>✓ Good</t>
        </is>
      </c>
      <c r="AP166" s="117" t="n">
        <v>0</v>
      </c>
      <c r="AQ166" s="117" t="n">
        <v>0</v>
      </c>
      <c r="AR166" s="117" t="n">
        <v>1</v>
      </c>
      <c r="AS166" s="117" t="n">
        <v>0</v>
      </c>
      <c r="AT166" s="117" t="n">
        <v>1</v>
      </c>
      <c r="AU166" s="117" t="n">
        <v>0</v>
      </c>
      <c r="AV166" s="117" t="n">
        <v>2</v>
      </c>
      <c r="AW166" s="121" t="inlineStr">
        <is>
          <t>⚠ WATCH</t>
        </is>
      </c>
      <c r="AX166" s="118" t="n">
        <v>32</v>
      </c>
      <c r="AY166" s="119" t="inlineStr">
        <is>
          <t>🟢 LOW RISK</t>
        </is>
      </c>
      <c r="AZ166" s="118" t="n">
        <v>90</v>
      </c>
      <c r="BA166" s="118" t="n">
        <v>61</v>
      </c>
      <c r="BB166" s="118" t="n">
        <v>104</v>
      </c>
      <c r="BC166" s="118" t="n">
        <v>93</v>
      </c>
      <c r="BD166" s="118" t="n">
        <v>73.7</v>
      </c>
      <c r="BE166" s="118" t="n">
        <v>42</v>
      </c>
      <c r="BF166" s="120" t="n">
        <v>0.121</v>
      </c>
      <c r="BG166" s="117" t="n">
        <v>0.795</v>
      </c>
      <c r="BH166" s="122" t="n">
        <v>7</v>
      </c>
      <c r="BI166" s="123" t="n">
        <v>1</v>
      </c>
    </row>
    <row r="167" ht="17" customHeight="1">
      <c r="A167" s="117" t="inlineStr">
        <is>
          <t>CAH</t>
        </is>
      </c>
      <c r="B167" s="117" t="inlineStr">
        <is>
          <t>Cardinal Health, Inc.</t>
        </is>
      </c>
      <c r="C167" s="118" t="n">
        <v>1.117</v>
      </c>
      <c r="D167" s="118" t="n">
        <v>0.891</v>
      </c>
      <c r="E167" s="118" t="n">
        <v>1.531</v>
      </c>
      <c r="F167" s="118" t="n">
        <v>0.981</v>
      </c>
      <c r="G167" s="118" t="n">
        <v>1.08</v>
      </c>
      <c r="H167" s="118" t="n">
        <v>1.097</v>
      </c>
      <c r="I167" s="118" t="n">
        <v>1</v>
      </c>
      <c r="J167" s="118" t="n">
        <v>-0.016</v>
      </c>
      <c r="K167" s="118" t="n">
        <v>-2.314</v>
      </c>
      <c r="L167" s="119" t="inlineStr">
        <is>
          <t>✓ Lower Risk</t>
        </is>
      </c>
      <c r="M167" s="120" t="n">
        <v>-0.016</v>
      </c>
      <c r="N167" s="120" t="n">
        <v>0.273</v>
      </c>
      <c r="O167" s="120" t="n">
        <v>0.441</v>
      </c>
      <c r="P167" s="120" t="n">
        <v>0.873</v>
      </c>
      <c r="Q167" s="120" t="n">
        <v>0.011</v>
      </c>
      <c r="R167" s="117" t="n">
        <v>0</v>
      </c>
      <c r="S167" s="118" t="n">
        <v>-4.97</v>
      </c>
      <c r="T167" s="118" t="n">
        <v>0.007</v>
      </c>
      <c r="U167" s="119" t="inlineStr">
        <is>
          <t>✓ Normal</t>
        </is>
      </c>
      <c r="V167" s="117" t="n">
        <v>1</v>
      </c>
      <c r="W167" s="117" t="n">
        <v>1</v>
      </c>
      <c r="X167" s="117" t="n">
        <v>1</v>
      </c>
      <c r="Y167" s="117" t="n">
        <v>0</v>
      </c>
      <c r="Z167" s="117" t="n">
        <v>1</v>
      </c>
      <c r="AA167" s="117" t="n">
        <v>1</v>
      </c>
      <c r="AB167" s="117" t="n">
        <v>5</v>
      </c>
      <c r="AC167" s="121" t="inlineStr">
        <is>
          <t>⚠⚠ SERIOUS CONCERN</t>
        </is>
      </c>
      <c r="AD167" s="118" t="n">
        <v>2397000000</v>
      </c>
      <c r="AE167" s="118" t="n">
        <v>-5593000000</v>
      </c>
      <c r="AF167" s="118" t="n">
        <v>1561000000</v>
      </c>
      <c r="AG167" s="118" t="n">
        <v>0.097</v>
      </c>
      <c r="AH167" s="119" t="inlineStr">
        <is>
          <t>✓ Medium Quality</t>
        </is>
      </c>
      <c r="AI167" s="118" t="n">
        <v>0.096</v>
      </c>
      <c r="AJ167" s="120" t="n">
        <v>-0.019</v>
      </c>
      <c r="AK167" s="120" t="n">
        <v>-5.116</v>
      </c>
      <c r="AL167" s="120" t="n">
        <v>0.011</v>
      </c>
      <c r="AM167" s="124" t="inlineStr">
        <is>
          <t>N/A</t>
        </is>
      </c>
      <c r="AN167" s="118" t="n">
        <v>72.2</v>
      </c>
      <c r="AO167" s="119" t="inlineStr">
        <is>
          <t>✓ Good</t>
        </is>
      </c>
      <c r="AP167" s="117" t="n">
        <v>1</v>
      </c>
      <c r="AQ167" s="117" t="n">
        <v>1</v>
      </c>
      <c r="AR167" s="117" t="n">
        <v>0</v>
      </c>
      <c r="AS167" s="117" t="n">
        <v>1</v>
      </c>
      <c r="AT167" s="117" t="n">
        <v>0</v>
      </c>
      <c r="AU167" s="117" t="n">
        <v>1</v>
      </c>
      <c r="AV167" s="117" t="n">
        <v>4</v>
      </c>
      <c r="AW167" s="117" t="inlineStr">
        <is>
          <t>⚠⚠ MULTIPLE RED FLAGS</t>
        </is>
      </c>
      <c r="AX167" s="118" t="n">
        <v>31.9</v>
      </c>
      <c r="AY167" s="119" t="inlineStr">
        <is>
          <t>🟢 LOW RISK</t>
        </is>
      </c>
      <c r="AZ167" s="118" t="n">
        <v>21.7</v>
      </c>
      <c r="BA167" s="118" t="n">
        <v>19.4</v>
      </c>
      <c r="BB167" s="118" t="n">
        <v>28.7</v>
      </c>
      <c r="BC167" s="118" t="n">
        <v>24.9</v>
      </c>
      <c r="BD167" s="118" t="n">
        <v>59.1</v>
      </c>
      <c r="BE167" s="118" t="n">
        <v>52.8</v>
      </c>
      <c r="BF167" s="120" t="n">
        <v>0.253</v>
      </c>
      <c r="BG167" s="117" t="n">
        <v>0.873</v>
      </c>
      <c r="BH167" s="122" t="n">
        <v>9</v>
      </c>
      <c r="BI167" s="123" t="n">
        <v>1</v>
      </c>
    </row>
    <row r="168" ht="17" customHeight="1">
      <c r="A168" s="117" t="inlineStr">
        <is>
          <t>MDB</t>
        </is>
      </c>
      <c r="B168" s="117" t="inlineStr">
        <is>
          <t>MONGODB, INC.</t>
        </is>
      </c>
      <c r="C168" s="118" t="n">
        <v>1.034</v>
      </c>
      <c r="D168" s="118" t="n">
        <v>1.022</v>
      </c>
      <c r="E168" s="118" t="n">
        <v>1.202</v>
      </c>
      <c r="F168" s="118" t="n">
        <v>1.228</v>
      </c>
      <c r="G168" s="118" t="n">
        <v>0.5570000000000001</v>
      </c>
      <c r="H168" s="118" t="n">
        <v>0.906</v>
      </c>
      <c r="I168" s="118" t="n">
        <v>1.136</v>
      </c>
      <c r="J168" s="118" t="n">
        <v>-0.153</v>
      </c>
      <c r="K168" s="118" t="n">
        <v>-2.949</v>
      </c>
      <c r="L168" s="119" t="inlineStr">
        <is>
          <t>✓ Lower Risk</t>
        </is>
      </c>
      <c r="M168" s="120" t="n">
        <v>-0.142</v>
      </c>
      <c r="N168" s="120" t="n">
        <v>0.232</v>
      </c>
      <c r="O168" s="124" t="inlineStr">
        <is>
          <t>N/A</t>
        </is>
      </c>
      <c r="P168" s="120" t="n">
        <v>0.699</v>
      </c>
      <c r="Q168" s="120" t="n">
        <v>0.019</v>
      </c>
      <c r="R168" s="117" t="n">
        <v>0</v>
      </c>
      <c r="S168" s="118" t="n">
        <v>-6.046</v>
      </c>
      <c r="T168" s="118" t="n">
        <v>0.002</v>
      </c>
      <c r="U168" s="119" t="inlineStr">
        <is>
          <t>✓ Normal</t>
        </is>
      </c>
      <c r="V168" s="117" t="n">
        <v>0</v>
      </c>
      <c r="W168" s="117" t="n">
        <v>1</v>
      </c>
      <c r="X168" s="117" t="n">
        <v>0</v>
      </c>
      <c r="Y168" s="117" t="n">
        <v>0</v>
      </c>
      <c r="Z168" s="117" t="n">
        <v>0</v>
      </c>
      <c r="AA168" s="117" t="n">
        <v>0</v>
      </c>
      <c r="AB168" s="117" t="n">
        <v>1</v>
      </c>
      <c r="AC168" s="119" t="inlineStr">
        <is>
          <t>✓ Clean</t>
        </is>
      </c>
      <c r="AD168" s="118" t="n">
        <v>505148000</v>
      </c>
      <c r="AE168" s="118" t="n">
        <v>538815000</v>
      </c>
      <c r="AF168" s="118" t="n">
        <v>-71151000</v>
      </c>
      <c r="AG168" s="118" t="n">
        <v>-0.31</v>
      </c>
      <c r="AH168" s="119" t="inlineStr">
        <is>
          <t>✓ High Quality</t>
        </is>
      </c>
      <c r="AI168" s="118" t="n">
        <v>0.269</v>
      </c>
      <c r="AJ168" s="120" t="n">
        <v>0.228</v>
      </c>
      <c r="AK168" s="120" t="n">
        <v>1.182</v>
      </c>
      <c r="AL168" s="120" t="n">
        <v>0.205</v>
      </c>
      <c r="AM168" s="120" t="n">
        <v>0.015</v>
      </c>
      <c r="AN168" s="118" t="n">
        <v>95.3</v>
      </c>
      <c r="AO168" s="119" t="inlineStr">
        <is>
          <t>✓ Good</t>
        </is>
      </c>
      <c r="AP168" s="117" t="n">
        <v>0</v>
      </c>
      <c r="AQ168" s="117" t="n">
        <v>0</v>
      </c>
      <c r="AR168" s="117" t="n">
        <v>1</v>
      </c>
      <c r="AS168" s="117" t="n">
        <v>0</v>
      </c>
      <c r="AT168" s="117" t="n">
        <v>1</v>
      </c>
      <c r="AU168" s="117" t="n">
        <v>1</v>
      </c>
      <c r="AV168" s="117" t="n">
        <v>3</v>
      </c>
      <c r="AW168" s="121" t="inlineStr">
        <is>
          <t>⚠ WATCH</t>
        </is>
      </c>
      <c r="AX168" s="118" t="n">
        <v>18.3</v>
      </c>
      <c r="AY168" s="119" t="inlineStr">
        <is>
          <t>🟢 VERY LOW RISK</t>
        </is>
      </c>
      <c r="AZ168" s="118" t="n">
        <v>73.90000000000001</v>
      </c>
      <c r="BA168" s="118" t="n">
        <v>71.5</v>
      </c>
      <c r="BB168" s="124" t="inlineStr">
        <is>
          <t>N/A</t>
        </is>
      </c>
      <c r="BC168" s="124" t="inlineStr">
        <is>
          <t>N/A</t>
        </is>
      </c>
      <c r="BD168" s="118" t="n">
        <v>10.6</v>
      </c>
      <c r="BE168" s="118" t="n">
        <v>7.1</v>
      </c>
      <c r="BF168" s="120" t="n">
        <v>-0.278</v>
      </c>
      <c r="BG168" s="117" t="n">
        <v>0.699</v>
      </c>
      <c r="BH168" s="122" t="n">
        <v>4</v>
      </c>
      <c r="BI168" s="123" t="n">
        <v>1</v>
      </c>
    </row>
    <row r="169" ht="17" customHeight="1">
      <c r="A169" s="117" t="inlineStr">
        <is>
          <t>ETR</t>
        </is>
      </c>
      <c r="B169" s="117" t="inlineStr">
        <is>
          <t>ENTERGY CORP /DE/</t>
        </is>
      </c>
      <c r="C169" s="118" t="n">
        <v>0.855</v>
      </c>
      <c r="D169" s="118" t="n">
        <v>0.052</v>
      </c>
      <c r="E169" s="118" t="n">
        <v>0.986</v>
      </c>
      <c r="F169" s="118" t="n">
        <v>1.09</v>
      </c>
      <c r="G169" s="118" t="n">
        <v>1.026</v>
      </c>
      <c r="H169" s="124" t="inlineStr">
        <is>
          <t>N/A</t>
        </is>
      </c>
      <c r="I169" s="118" t="n">
        <v>1</v>
      </c>
      <c r="J169" s="118" t="n">
        <v>-0.039</v>
      </c>
      <c r="K169" s="118" t="n">
        <v>-3.047</v>
      </c>
      <c r="L169" s="119" t="inlineStr">
        <is>
          <t>✓ Lower Risk</t>
        </is>
      </c>
      <c r="M169" s="120" t="n">
        <v>-0.038</v>
      </c>
      <c r="N169" s="120" t="n">
        <v>-0.095</v>
      </c>
      <c r="O169" s="124" t="inlineStr">
        <is>
          <t>N/A</t>
        </is>
      </c>
      <c r="P169" s="120" t="n">
        <v>0.966</v>
      </c>
      <c r="Q169" s="120" t="n">
        <v>0.016</v>
      </c>
      <c r="R169" s="117" t="n">
        <v>1</v>
      </c>
      <c r="S169" s="118" t="n">
        <v>-3.183</v>
      </c>
      <c r="T169" s="118" t="n">
        <v>0.04</v>
      </c>
      <c r="U169" s="121" t="inlineStr">
        <is>
          <t>⚠ HIGH RISK</t>
        </is>
      </c>
      <c r="V169" s="117" t="n">
        <v>1</v>
      </c>
      <c r="W169" s="117" t="n">
        <v>0</v>
      </c>
      <c r="X169" s="117" t="n">
        <v>0</v>
      </c>
      <c r="Y169" s="117" t="n">
        <v>0</v>
      </c>
      <c r="Z169" s="117" t="n">
        <v>1</v>
      </c>
      <c r="AA169" s="117" t="n">
        <v>1</v>
      </c>
      <c r="AB169" s="117" t="n">
        <v>3</v>
      </c>
      <c r="AC169" s="121" t="inlineStr">
        <is>
          <t>⚠ WATCH</t>
        </is>
      </c>
      <c r="AD169" s="118" t="n">
        <v>5150651000</v>
      </c>
      <c r="AE169" s="118" t="n">
        <v>-7109454000</v>
      </c>
      <c r="AF169" s="118" t="n">
        <v>2356536000</v>
      </c>
      <c r="AG169" s="118" t="n">
        <v>0.063</v>
      </c>
      <c r="AH169" s="119" t="inlineStr">
        <is>
          <t>✓ Medium Quality</t>
        </is>
      </c>
      <c r="AI169" s="118" t="n">
        <v>-0.068</v>
      </c>
      <c r="AJ169" s="120" t="n">
        <v>0.09</v>
      </c>
      <c r="AK169" s="120" t="n">
        <v>-0.758</v>
      </c>
      <c r="AL169" s="120" t="n">
        <v>0.398</v>
      </c>
      <c r="AM169" s="120" t="n">
        <v>0.002</v>
      </c>
      <c r="AN169" s="117" t="n">
        <v>100</v>
      </c>
      <c r="AO169" s="119" t="inlineStr">
        <is>
          <t>✓ Good</t>
        </is>
      </c>
      <c r="AP169" s="117" t="n">
        <v>0</v>
      </c>
      <c r="AQ169" s="117" t="n">
        <v>0</v>
      </c>
      <c r="AR169" s="117" t="n">
        <v>0</v>
      </c>
      <c r="AS169" s="117" t="n">
        <v>0</v>
      </c>
      <c r="AT169" s="117" t="n">
        <v>0</v>
      </c>
      <c r="AU169" s="117" t="n">
        <v>1</v>
      </c>
      <c r="AV169" s="117" t="n">
        <v>1</v>
      </c>
      <c r="AW169" s="119" t="inlineStr">
        <is>
          <t>✓ Clean</t>
        </is>
      </c>
      <c r="AX169" s="118" t="n">
        <v>23.4</v>
      </c>
      <c r="AY169" s="119" t="inlineStr">
        <is>
          <t>🟢 LOW RISK</t>
        </is>
      </c>
      <c r="AZ169" s="118" t="n">
        <v>39.3</v>
      </c>
      <c r="BA169" s="118" t="n">
        <v>45.9</v>
      </c>
      <c r="BB169" s="124" t="inlineStr">
        <is>
          <t>N/A</t>
        </is>
      </c>
      <c r="BC169" s="124" t="inlineStr">
        <is>
          <t>N/A</t>
        </is>
      </c>
      <c r="BD169" s="118" t="n">
        <v>95.3</v>
      </c>
      <c r="BE169" s="118" t="n">
        <v>60</v>
      </c>
      <c r="BF169" s="120" t="n">
        <v>0.219</v>
      </c>
      <c r="BG169" s="117" t="n">
        <v>0.966</v>
      </c>
      <c r="BH169" s="122" t="n">
        <v>5</v>
      </c>
      <c r="BI169" s="123" t="n">
        <v>1</v>
      </c>
    </row>
    <row r="170" ht="17" customHeight="1">
      <c r="A170" s="117" t="inlineStr">
        <is>
          <t>RH</t>
        </is>
      </c>
      <c r="B170" s="117" t="inlineStr">
        <is>
          <t>RH</t>
        </is>
      </c>
      <c r="C170" s="118" t="n">
        <v>0.803</v>
      </c>
      <c r="D170" s="118" t="n">
        <v>1.162</v>
      </c>
      <c r="E170" s="118" t="n">
        <v>1.071</v>
      </c>
      <c r="F170" s="118" t="n">
        <v>1.245</v>
      </c>
      <c r="G170" s="118" t="n">
        <v>1.005</v>
      </c>
      <c r="H170" s="118" t="n">
        <v>0.83</v>
      </c>
      <c r="I170" s="118" t="n">
        <v>0.953</v>
      </c>
      <c r="J170" s="118" t="n">
        <v>-0.068</v>
      </c>
      <c r="K170" s="118" t="n">
        <v>-2.6</v>
      </c>
      <c r="L170" s="119" t="inlineStr">
        <is>
          <t>✓ Lower Risk</t>
        </is>
      </c>
      <c r="M170" s="120" t="n">
        <v>-0.076</v>
      </c>
      <c r="N170" s="120" t="n">
        <v>-0</v>
      </c>
      <c r="O170" s="124" t="inlineStr">
        <is>
          <t>N/A</t>
        </is>
      </c>
      <c r="P170" s="120" t="n">
        <v>0.545</v>
      </c>
      <c r="Q170" s="120" t="n">
        <v>0.01</v>
      </c>
      <c r="R170" s="117" t="n">
        <v>1</v>
      </c>
      <c r="S170" s="118" t="n">
        <v>-3.805</v>
      </c>
      <c r="T170" s="118" t="n">
        <v>0.022</v>
      </c>
      <c r="U170" s="119" t="inlineStr">
        <is>
          <t>✓ Normal</t>
        </is>
      </c>
      <c r="V170" s="117" t="n">
        <v>0</v>
      </c>
      <c r="W170" s="117" t="n">
        <v>0</v>
      </c>
      <c r="X170" s="117" t="n">
        <v>0</v>
      </c>
      <c r="Y170" s="117" t="n">
        <v>1</v>
      </c>
      <c r="Z170" s="117" t="n">
        <v>0</v>
      </c>
      <c r="AA170" s="117" t="n">
        <v>0</v>
      </c>
      <c r="AB170" s="117" t="n">
        <v>1</v>
      </c>
      <c r="AC170" s="119" t="inlineStr">
        <is>
          <t>✓ Clean</t>
        </is>
      </c>
      <c r="AD170" s="118" t="n">
        <v>452241000</v>
      </c>
      <c r="AE170" s="118" t="n">
        <v>-223693000</v>
      </c>
      <c r="AF170" s="118" t="n">
        <v>124787000</v>
      </c>
      <c r="AG170" s="118" t="n">
        <v>-0.022</v>
      </c>
      <c r="AH170" s="119" t="inlineStr">
        <is>
          <t>✓ Medium Quality</t>
        </is>
      </c>
      <c r="AI170" s="118" t="n">
        <v>-0.001</v>
      </c>
      <c r="AJ170" s="120" t="n">
        <v>0.245</v>
      </c>
      <c r="AK170" s="120" t="n">
        <v>-0.002</v>
      </c>
      <c r="AL170" s="120" t="n">
        <v>0.379</v>
      </c>
      <c r="AM170" s="120" t="n">
        <v>0.039</v>
      </c>
      <c r="AN170" s="117" t="n">
        <v>100</v>
      </c>
      <c r="AO170" s="119" t="inlineStr">
        <is>
          <t>✓ Good</t>
        </is>
      </c>
      <c r="AP170" s="117" t="n">
        <v>0</v>
      </c>
      <c r="AQ170" s="117" t="n">
        <v>0</v>
      </c>
      <c r="AR170" s="117" t="n">
        <v>1</v>
      </c>
      <c r="AS170" s="117" t="n">
        <v>0</v>
      </c>
      <c r="AT170" s="117" t="n">
        <v>0</v>
      </c>
      <c r="AU170" s="117" t="n">
        <v>0</v>
      </c>
      <c r="AV170" s="117" t="n">
        <v>1</v>
      </c>
      <c r="AW170" s="119" t="inlineStr">
        <is>
          <t>✓ Clean</t>
        </is>
      </c>
      <c r="AX170" s="118" t="n">
        <v>14.6</v>
      </c>
      <c r="AY170" s="119" t="inlineStr">
        <is>
          <t>🟢 VERY LOW RISK</t>
        </is>
      </c>
      <c r="AZ170" s="118" t="n">
        <v>19.4</v>
      </c>
      <c r="BA170" s="118" t="n">
        <v>24.2</v>
      </c>
      <c r="BB170" s="124" t="inlineStr">
        <is>
          <t>N/A</t>
        </is>
      </c>
      <c r="BC170" s="124" t="inlineStr">
        <is>
          <t>N/A</t>
        </is>
      </c>
      <c r="BD170" s="118" t="n">
        <v>37.5</v>
      </c>
      <c r="BE170" s="118" t="n">
        <v>50.7</v>
      </c>
      <c r="BF170" s="120" t="n">
        <v>0.611</v>
      </c>
      <c r="BG170" s="117" t="n">
        <v>0.545</v>
      </c>
      <c r="BH170" s="122" t="n">
        <v>3</v>
      </c>
      <c r="BI170" s="123" t="n">
        <v>1</v>
      </c>
    </row>
    <row r="171" ht="17" customHeight="1">
      <c r="A171" s="117" t="inlineStr">
        <is>
          <t>ATR</t>
        </is>
      </c>
      <c r="B171" s="117" t="inlineStr">
        <is>
          <t>AptarGroup, Inc</t>
        </is>
      </c>
      <c r="C171" s="118" t="n">
        <v>0.921</v>
      </c>
      <c r="D171" s="118" t="n">
        <v>0.269</v>
      </c>
      <c r="E171" s="118" t="n">
        <v>0.9419999999999999</v>
      </c>
      <c r="F171" s="118" t="n">
        <v>1.054</v>
      </c>
      <c r="G171" s="118" t="n">
        <v>1.054</v>
      </c>
      <c r="H171" s="124" t="inlineStr">
        <is>
          <t>N/A</t>
        </is>
      </c>
      <c r="I171" s="118" t="n">
        <v>1</v>
      </c>
      <c r="J171" s="118" t="n">
        <v>-0.034</v>
      </c>
      <c r="K171" s="118" t="n">
        <v>-2.893</v>
      </c>
      <c r="L171" s="119" t="inlineStr">
        <is>
          <t>✓ Lower Risk</t>
        </is>
      </c>
      <c r="M171" s="120" t="n">
        <v>-0.028</v>
      </c>
      <c r="N171" s="120" t="n">
        <v>-0.101</v>
      </c>
      <c r="O171" s="120" t="n">
        <v>0.391</v>
      </c>
      <c r="P171" s="120" t="n">
        <v>0.604</v>
      </c>
      <c r="Q171" s="120" t="n">
        <v>-0.01</v>
      </c>
      <c r="R171" s="117" t="n">
        <v>1</v>
      </c>
      <c r="S171" s="118" t="n">
        <v>-3.431</v>
      </c>
      <c r="T171" s="118" t="n">
        <v>0.031</v>
      </c>
      <c r="U171" s="119" t="inlineStr">
        <is>
          <t>✓ Normal</t>
        </is>
      </c>
      <c r="V171" s="117" t="n">
        <v>1</v>
      </c>
      <c r="W171" s="117" t="n">
        <v>0</v>
      </c>
      <c r="X171" s="117" t="n">
        <v>1</v>
      </c>
      <c r="Y171" s="117" t="n">
        <v>0</v>
      </c>
      <c r="Z171" s="117" t="n">
        <v>1</v>
      </c>
      <c r="AA171" s="117" t="n">
        <v>1</v>
      </c>
      <c r="AB171" s="117" t="n">
        <v>4</v>
      </c>
      <c r="AC171" s="121" t="inlineStr">
        <is>
          <t>⚠⚠ SERIOUS CONCERN</t>
        </is>
      </c>
      <c r="AD171" s="118" t="n">
        <v>569999000</v>
      </c>
      <c r="AE171" s="118" t="n">
        <v>-331426000</v>
      </c>
      <c r="AF171" s="118" t="n">
        <v>392789000</v>
      </c>
      <c r="AG171" s="118" t="n">
        <v>0.032</v>
      </c>
      <c r="AH171" s="119" t="inlineStr">
        <is>
          <t>✓ Medium Quality</t>
        </is>
      </c>
      <c r="AI171" s="118" t="n">
        <v>-0.029</v>
      </c>
      <c r="AJ171" s="120" t="n">
        <v>0.054</v>
      </c>
      <c r="AK171" s="120" t="n">
        <v>-0.536</v>
      </c>
      <c r="AL171" s="120" t="n">
        <v>0.151</v>
      </c>
      <c r="AM171" s="120" t="n">
        <v>0.003</v>
      </c>
      <c r="AN171" s="117" t="n">
        <v>100</v>
      </c>
      <c r="AO171" s="119" t="inlineStr">
        <is>
          <t>✓ Good</t>
        </is>
      </c>
      <c r="AP171" s="117" t="n">
        <v>0</v>
      </c>
      <c r="AQ171" s="117" t="n">
        <v>0</v>
      </c>
      <c r="AR171" s="117" t="n">
        <v>0</v>
      </c>
      <c r="AS171" s="117" t="n">
        <v>0</v>
      </c>
      <c r="AT171" s="117" t="n">
        <v>1</v>
      </c>
      <c r="AU171" s="117" t="n">
        <v>1</v>
      </c>
      <c r="AV171" s="117" t="n">
        <v>2</v>
      </c>
      <c r="AW171" s="121" t="inlineStr">
        <is>
          <t>⚠ WATCH</t>
        </is>
      </c>
      <c r="AX171" s="118" t="n">
        <v>26.2</v>
      </c>
      <c r="AY171" s="119" t="inlineStr">
        <is>
          <t>🟢 LOW RISK</t>
        </is>
      </c>
      <c r="AZ171" s="118" t="n">
        <v>63.6</v>
      </c>
      <c r="BA171" s="118" t="n">
        <v>69</v>
      </c>
      <c r="BB171" s="118" t="n">
        <v>68.40000000000001</v>
      </c>
      <c r="BC171" s="118" t="n">
        <v>50.3</v>
      </c>
      <c r="BD171" s="118" t="n">
        <v>44.5</v>
      </c>
      <c r="BE171" s="124" t="inlineStr">
        <is>
          <t>N/A</t>
        </is>
      </c>
      <c r="BF171" s="120" t="n">
        <v>0.201</v>
      </c>
      <c r="BG171" s="117" t="n">
        <v>0.604</v>
      </c>
      <c r="BH171" s="122" t="n">
        <v>7</v>
      </c>
      <c r="BI171" s="123" t="n">
        <v>1</v>
      </c>
    </row>
    <row r="172" ht="17" customHeight="1">
      <c r="A172" s="117" t="inlineStr">
        <is>
          <t>VLO</t>
        </is>
      </c>
      <c r="B172" s="117" t="inlineStr">
        <is>
          <t>VALERO ENERGY CORP/TX</t>
        </is>
      </c>
      <c r="C172" s="118" t="n">
        <v>1.002</v>
      </c>
      <c r="D172" s="118" t="n">
        <v>1.635</v>
      </c>
      <c r="E172" s="118" t="n">
        <v>0.757</v>
      </c>
      <c r="F172" s="118" t="n">
        <v>0.945</v>
      </c>
      <c r="G172" s="118" t="n">
        <v>0.725</v>
      </c>
      <c r="H172" s="118" t="n">
        <v>1.148</v>
      </c>
      <c r="I172" s="118" t="n">
        <v>1</v>
      </c>
      <c r="J172" s="118" t="n">
        <v>-0.06</v>
      </c>
      <c r="K172" s="118" t="n">
        <v>-2.629</v>
      </c>
      <c r="L172" s="119" t="inlineStr">
        <is>
          <t>✓ Lower Risk</t>
        </is>
      </c>
      <c r="M172" s="120" t="n">
        <v>0.013</v>
      </c>
      <c r="N172" s="120" t="n">
        <v>-0.073</v>
      </c>
      <c r="O172" s="120" t="n">
        <v>-0.024</v>
      </c>
      <c r="P172" s="120" t="n">
        <v>0.414</v>
      </c>
      <c r="Q172" s="120" t="n">
        <v>-0.006</v>
      </c>
      <c r="R172" s="117" t="n">
        <v>0</v>
      </c>
      <c r="S172" s="118" t="n">
        <v>-7.271</v>
      </c>
      <c r="T172" s="118" t="n">
        <v>0.001</v>
      </c>
      <c r="U172" s="119" t="inlineStr">
        <is>
          <t>✓ Normal</t>
        </is>
      </c>
      <c r="V172" s="117" t="n">
        <v>1</v>
      </c>
      <c r="W172" s="117" t="n">
        <v>1</v>
      </c>
      <c r="X172" s="117" t="n">
        <v>1</v>
      </c>
      <c r="Y172" s="117" t="n">
        <v>1</v>
      </c>
      <c r="Z172" s="117" t="n">
        <v>0</v>
      </c>
      <c r="AA172" s="117" t="n">
        <v>0</v>
      </c>
      <c r="AB172" s="117" t="n">
        <v>4</v>
      </c>
      <c r="AC172" s="121" t="inlineStr">
        <is>
          <t>⚠⚠ SERIOUS CONCERN</t>
        </is>
      </c>
      <c r="AD172" s="118" t="n">
        <v>5826000000</v>
      </c>
      <c r="AE172" s="118" t="n">
        <v>-1845000000</v>
      </c>
      <c r="AF172" s="118" t="n">
        <v>2348000000</v>
      </c>
      <c r="AG172" s="118" t="n">
        <v>-0.028</v>
      </c>
      <c r="AH172" s="119" t="inlineStr">
        <is>
          <t>✓ Medium Quality</t>
        </is>
      </c>
      <c r="AI172" s="118" t="n">
        <v>-0.054</v>
      </c>
      <c r="AJ172" s="120" t="n">
        <v>-0.055</v>
      </c>
      <c r="AK172" s="120" t="n">
        <v>0.972</v>
      </c>
      <c r="AL172" s="120" t="n">
        <v>0.047</v>
      </c>
      <c r="AM172" s="120" t="n">
        <v>-0</v>
      </c>
      <c r="AN172" s="118" t="n">
        <v>79.5</v>
      </c>
      <c r="AO172" s="119" t="inlineStr">
        <is>
          <t>✓ Good</t>
        </is>
      </c>
      <c r="AP172" s="117" t="n">
        <v>1</v>
      </c>
      <c r="AQ172" s="117" t="n">
        <v>1</v>
      </c>
      <c r="AR172" s="117" t="n">
        <v>0</v>
      </c>
      <c r="AS172" s="117" t="n">
        <v>1</v>
      </c>
      <c r="AT172" s="117" t="n">
        <v>0</v>
      </c>
      <c r="AU172" s="117" t="n">
        <v>0</v>
      </c>
      <c r="AV172" s="117" t="n">
        <v>3</v>
      </c>
      <c r="AW172" s="121" t="inlineStr">
        <is>
          <t>⚠ WATCH</t>
        </is>
      </c>
      <c r="AX172" s="118" t="n">
        <v>24.1</v>
      </c>
      <c r="AY172" s="119" t="inlineStr">
        <is>
          <t>🟢 LOW RISK</t>
        </is>
      </c>
      <c r="AZ172" s="118" t="n">
        <v>27.4</v>
      </c>
      <c r="BA172" s="118" t="n">
        <v>27.3</v>
      </c>
      <c r="BB172" s="118" t="n">
        <v>23.6</v>
      </c>
      <c r="BC172" s="118" t="n">
        <v>22.6</v>
      </c>
      <c r="BD172" s="118" t="n">
        <v>31.6</v>
      </c>
      <c r="BE172" s="118" t="n">
        <v>35.3</v>
      </c>
      <c r="BF172" s="120" t="n">
        <v>0.253</v>
      </c>
      <c r="BG172" s="117" t="n">
        <v>0.414</v>
      </c>
      <c r="BH172" s="122" t="n">
        <v>7</v>
      </c>
      <c r="BI172" s="123" t="n">
        <v>1</v>
      </c>
    </row>
    <row r="173" ht="17" customHeight="1">
      <c r="A173" s="117" t="inlineStr">
        <is>
          <t>NUE</t>
        </is>
      </c>
      <c r="B173" s="117" t="inlineStr">
        <is>
          <t>NUCOR CORPORATION</t>
        </is>
      </c>
      <c r="C173" s="118" t="n">
        <v>1.423</v>
      </c>
      <c r="D173" s="118" t="n">
        <v>0.986</v>
      </c>
      <c r="E173" s="118" t="n">
        <v>0.945</v>
      </c>
      <c r="F173" s="118" t="n">
        <v>0.8159999999999999</v>
      </c>
      <c r="G173" s="118" t="n">
        <v>1.029</v>
      </c>
      <c r="H173" s="118" t="n">
        <v>1.331</v>
      </c>
      <c r="I173" s="118" t="n">
        <v>1.002</v>
      </c>
      <c r="J173" s="118" t="n">
        <v>-0.042</v>
      </c>
      <c r="K173" s="118" t="n">
        <v>-2.538</v>
      </c>
      <c r="L173" s="119" t="inlineStr">
        <is>
          <t>✓ Lower Risk</t>
        </is>
      </c>
      <c r="M173" s="120" t="n">
        <v>0.01</v>
      </c>
      <c r="N173" s="120" t="n">
        <v>0.076</v>
      </c>
      <c r="O173" s="120" t="n">
        <v>0.063</v>
      </c>
      <c r="P173" s="120" t="n">
        <v>0.5</v>
      </c>
      <c r="Q173" s="120" t="n">
        <v>-0.01</v>
      </c>
      <c r="R173" s="117" t="n">
        <v>0</v>
      </c>
      <c r="S173" s="118" t="n">
        <v>-6.626</v>
      </c>
      <c r="T173" s="118" t="n">
        <v>0.001</v>
      </c>
      <c r="U173" s="119" t="inlineStr">
        <is>
          <t>✓ Normal</t>
        </is>
      </c>
      <c r="V173" s="117" t="n">
        <v>1</v>
      </c>
      <c r="W173" s="117" t="n">
        <v>1</v>
      </c>
      <c r="X173" s="117" t="n">
        <v>1</v>
      </c>
      <c r="Y173" s="117" t="n">
        <v>0</v>
      </c>
      <c r="Z173" s="117" t="n">
        <v>0</v>
      </c>
      <c r="AA173" s="117" t="n">
        <v>0</v>
      </c>
      <c r="AB173" s="117" t="n">
        <v>3</v>
      </c>
      <c r="AC173" s="121" t="inlineStr">
        <is>
          <t>⚠ WATCH</t>
        </is>
      </c>
      <c r="AD173" s="118" t="n">
        <v>3234000000</v>
      </c>
      <c r="AE173" s="118" t="n">
        <v>-3226000000</v>
      </c>
      <c r="AF173" s="118" t="n">
        <v>1744000000</v>
      </c>
      <c r="AG173" s="118" t="n">
        <v>0.05</v>
      </c>
      <c r="AH173" s="119" t="inlineStr">
        <is>
          <t>✓ Medium Quality</t>
        </is>
      </c>
      <c r="AI173" s="118" t="n">
        <v>0.161</v>
      </c>
      <c r="AJ173" s="120" t="n">
        <v>-0.184</v>
      </c>
      <c r="AK173" s="120" t="n">
        <v>-0.872</v>
      </c>
      <c r="AL173" s="120" t="n">
        <v>0.129</v>
      </c>
      <c r="AM173" s="120" t="n">
        <v>0.002</v>
      </c>
      <c r="AN173" s="118" t="n">
        <v>95.90000000000001</v>
      </c>
      <c r="AO173" s="119" t="inlineStr">
        <is>
          <t>✓ Good</t>
        </is>
      </c>
      <c r="AP173" s="117" t="n">
        <v>1</v>
      </c>
      <c r="AQ173" s="117" t="n">
        <v>1</v>
      </c>
      <c r="AR173" s="117" t="n">
        <v>0</v>
      </c>
      <c r="AS173" s="117" t="n">
        <v>1</v>
      </c>
      <c r="AT173" s="117" t="n">
        <v>0</v>
      </c>
      <c r="AU173" s="117" t="n">
        <v>0</v>
      </c>
      <c r="AV173" s="117" t="n">
        <v>3</v>
      </c>
      <c r="AW173" s="121" t="inlineStr">
        <is>
          <t>⚠ WATCH</t>
        </is>
      </c>
      <c r="AX173" s="118" t="n">
        <v>20.8</v>
      </c>
      <c r="AY173" s="119" t="inlineStr">
        <is>
          <t>🟢 LOW RISK</t>
        </is>
      </c>
      <c r="AZ173" s="118" t="n">
        <v>45.2</v>
      </c>
      <c r="BA173" s="118" t="n">
        <v>31.8</v>
      </c>
      <c r="BB173" s="118" t="n">
        <v>69.7</v>
      </c>
      <c r="BC173" s="118" t="n">
        <v>70</v>
      </c>
      <c r="BD173" s="118" t="n">
        <v>24.1</v>
      </c>
      <c r="BE173" s="118" t="n">
        <v>25.1</v>
      </c>
      <c r="BF173" s="120" t="n">
        <v>0.206</v>
      </c>
      <c r="BG173" s="117" t="n">
        <v>0.5</v>
      </c>
      <c r="BH173" s="122" t="n">
        <v>6</v>
      </c>
      <c r="BI173" s="123" t="n">
        <v>1</v>
      </c>
    </row>
    <row r="174" ht="17" customHeight="1">
      <c r="A174" s="117" t="inlineStr">
        <is>
          <t>MCO</t>
        </is>
      </c>
      <c r="B174" s="117" t="inlineStr">
        <is>
          <t>Moody’s Corporation</t>
        </is>
      </c>
      <c r="C174" s="118" t="n">
        <v>0.312</v>
      </c>
      <c r="D174" s="118" t="n">
        <v>-1.26</v>
      </c>
      <c r="E174" s="118" t="n">
        <v>1.017</v>
      </c>
      <c r="F174" s="118" t="n">
        <v>3.607</v>
      </c>
      <c r="G174" s="118" t="n">
        <v>0.993</v>
      </c>
      <c r="H174" s="118" t="n">
        <v>0.288</v>
      </c>
      <c r="I174" s="118" t="n">
        <v>0.967</v>
      </c>
      <c r="J174" s="118" t="n">
        <v>-0.028</v>
      </c>
      <c r="K174" s="118" t="n">
        <v>-1.973</v>
      </c>
      <c r="L174" s="121" t="inlineStr">
        <is>
          <t>⚠ MANIPULATOR RISK</t>
        </is>
      </c>
      <c r="M174" s="120" t="n">
        <v>0.004</v>
      </c>
      <c r="N174" s="120" t="n">
        <v>0.073</v>
      </c>
      <c r="O174" s="124" t="inlineStr">
        <is>
          <t>N/A</t>
        </is>
      </c>
      <c r="P174" s="120" t="n">
        <v>0.804</v>
      </c>
      <c r="Q174" s="120" t="n">
        <v>0.023</v>
      </c>
      <c r="R174" s="117" t="n">
        <v>0</v>
      </c>
      <c r="S174" s="118" t="n">
        <v>-6.125</v>
      </c>
      <c r="T174" s="118" t="n">
        <v>0.002</v>
      </c>
      <c r="U174" s="119" t="inlineStr">
        <is>
          <t>✓ Normal</t>
        </is>
      </c>
      <c r="V174" s="117" t="n">
        <v>1</v>
      </c>
      <c r="W174" s="117" t="n">
        <v>0</v>
      </c>
      <c r="X174" s="117" t="n">
        <v>0</v>
      </c>
      <c r="Y174" s="117" t="n">
        <v>1</v>
      </c>
      <c r="Z174" s="117" t="n">
        <v>0</v>
      </c>
      <c r="AA174" s="117" t="n">
        <v>0</v>
      </c>
      <c r="AB174" s="117" t="n">
        <v>2</v>
      </c>
      <c r="AC174" s="121" t="inlineStr">
        <is>
          <t>⚠ WATCH</t>
        </is>
      </c>
      <c r="AD174" s="118" t="n">
        <v>2901000000</v>
      </c>
      <c r="AE174" s="118" t="n">
        <v>2000000</v>
      </c>
      <c r="AF174" s="118" t="n">
        <v>2459000000</v>
      </c>
      <c r="AG174" s="118" t="n">
        <v>-0.028</v>
      </c>
      <c r="AH174" s="119" t="inlineStr">
        <is>
          <t>✓ Medium Quality</t>
        </is>
      </c>
      <c r="AI174" s="118" t="n">
        <v>0.124</v>
      </c>
      <c r="AJ174" s="120" t="n">
        <v>2.607</v>
      </c>
      <c r="AK174" s="120" t="n">
        <v>0.047</v>
      </c>
      <c r="AL174" s="120" t="n">
        <v>0.6899999999999999</v>
      </c>
      <c r="AM174" s="120" t="n">
        <v>0.048</v>
      </c>
      <c r="AN174" s="117" t="n">
        <v>100</v>
      </c>
      <c r="AO174" s="119" t="inlineStr">
        <is>
          <t>✓ Good</t>
        </is>
      </c>
      <c r="AP174" s="117" t="n">
        <v>0</v>
      </c>
      <c r="AQ174" s="117" t="n">
        <v>0</v>
      </c>
      <c r="AR174" s="117" t="n">
        <v>0</v>
      </c>
      <c r="AS174" s="117" t="n">
        <v>0</v>
      </c>
      <c r="AT174" s="117" t="n">
        <v>1</v>
      </c>
      <c r="AU174" s="117" t="n">
        <v>1</v>
      </c>
      <c r="AV174" s="117" t="n">
        <v>2</v>
      </c>
      <c r="AW174" s="121" t="inlineStr">
        <is>
          <t>⚠ WATCH</t>
        </is>
      </c>
      <c r="AX174" s="118" t="n">
        <v>17.8</v>
      </c>
      <c r="AY174" s="119" t="inlineStr">
        <is>
          <t>🟢 VERY LOW RISK</t>
        </is>
      </c>
      <c r="AZ174" s="118" t="n">
        <v>175.7</v>
      </c>
      <c r="BA174" s="118" t="n">
        <v>564</v>
      </c>
      <c r="BB174" s="124" t="inlineStr">
        <is>
          <t>N/A</t>
        </is>
      </c>
      <c r="BC174" s="124" t="inlineStr">
        <is>
          <t>N/A</t>
        </is>
      </c>
      <c r="BD174" s="118" t="n">
        <v>11.5</v>
      </c>
      <c r="BE174" s="118" t="n">
        <v>9.9</v>
      </c>
      <c r="BF174" s="120" t="n">
        <v>0.213</v>
      </c>
      <c r="BG174" s="117" t="n">
        <v>0.804</v>
      </c>
      <c r="BH174" s="122" t="n">
        <v>4</v>
      </c>
      <c r="BI174" s="123" t="n">
        <v>1</v>
      </c>
    </row>
    <row r="175" ht="17" customHeight="1">
      <c r="A175" s="117" t="inlineStr">
        <is>
          <t>NVT</t>
        </is>
      </c>
      <c r="B175" s="117" t="inlineStr">
        <is>
          <t>nVent Electric plc</t>
        </is>
      </c>
      <c r="C175" s="124" t="inlineStr">
        <is>
          <t>N/A</t>
        </is>
      </c>
      <c r="D175" s="118" t="n">
        <v>1.066</v>
      </c>
      <c r="E175" s="118" t="n">
        <v>0.9399999999999999</v>
      </c>
      <c r="F175" s="118" t="n">
        <v>1.295</v>
      </c>
      <c r="G175" s="118" t="n">
        <v>1.048</v>
      </c>
      <c r="H175" s="118" t="n">
        <v>0.97</v>
      </c>
      <c r="I175" s="118" t="n">
        <v>0.877</v>
      </c>
      <c r="J175" s="118" t="n">
        <v>0.036</v>
      </c>
      <c r="K175" s="124" t="inlineStr">
        <is>
          <t>N/A</t>
        </is>
      </c>
      <c r="L175" s="124" t="inlineStr">
        <is>
          <t>N/A</t>
        </is>
      </c>
      <c r="M175" s="120" t="n">
        <v>0.015</v>
      </c>
      <c r="N175" s="124" t="inlineStr">
        <is>
          <t>N/A</t>
        </is>
      </c>
      <c r="O175" s="120" t="n">
        <v>0.126</v>
      </c>
      <c r="P175" s="120" t="n">
        <v>0.91</v>
      </c>
      <c r="Q175" s="120" t="n">
        <v>0.054</v>
      </c>
      <c r="R175" s="117" t="n">
        <v>0</v>
      </c>
      <c r="S175" s="118" t="n">
        <v>-5.955</v>
      </c>
      <c r="T175" s="118" t="n">
        <v>0.003</v>
      </c>
      <c r="U175" s="119" t="inlineStr">
        <is>
          <t>✓ Normal</t>
        </is>
      </c>
      <c r="V175" s="117" t="n">
        <v>1</v>
      </c>
      <c r="W175" s="117" t="n">
        <v>0</v>
      </c>
      <c r="X175" s="117" t="n">
        <v>1</v>
      </c>
      <c r="Y175" s="117" t="n">
        <v>1</v>
      </c>
      <c r="Z175" s="117" t="n">
        <v>0</v>
      </c>
      <c r="AA175" s="117" t="n">
        <v>0</v>
      </c>
      <c r="AB175" s="117" t="n">
        <v>3</v>
      </c>
      <c r="AC175" s="121" t="inlineStr">
        <is>
          <t>⚠ WATCH</t>
        </is>
      </c>
      <c r="AD175" s="118" t="n">
        <v>465200000</v>
      </c>
      <c r="AE175" s="118" t="n">
        <v>520800000</v>
      </c>
      <c r="AF175" s="118" t="n">
        <v>710200000</v>
      </c>
      <c r="AG175" s="118" t="n">
        <v>-0.041</v>
      </c>
      <c r="AH175" s="119" t="inlineStr">
        <is>
          <t>✓ Medium Quality</t>
        </is>
      </c>
      <c r="AI175" s="124" t="inlineStr">
        <is>
          <t>N/A</t>
        </is>
      </c>
      <c r="AJ175" s="120" t="n">
        <v>0.295</v>
      </c>
      <c r="AK175" s="124" t="inlineStr">
        <is>
          <t>N/A</t>
        </is>
      </c>
      <c r="AL175" s="120" t="n">
        <v>0.119</v>
      </c>
      <c r="AM175" s="120" t="n">
        <v>0.04</v>
      </c>
      <c r="AN175" s="118" t="n">
        <v>95.90000000000001</v>
      </c>
      <c r="AO175" s="119" t="inlineStr">
        <is>
          <t>✓ Good</t>
        </is>
      </c>
      <c r="AP175" s="117" t="n">
        <v>0</v>
      </c>
      <c r="AQ175" s="117" t="n">
        <v>0</v>
      </c>
      <c r="AR175" s="117" t="n">
        <v>1</v>
      </c>
      <c r="AS175" s="117" t="n">
        <v>0</v>
      </c>
      <c r="AT175" s="117" t="n">
        <v>1</v>
      </c>
      <c r="AU175" s="117" t="n">
        <v>1</v>
      </c>
      <c r="AV175" s="117" t="n">
        <v>3</v>
      </c>
      <c r="AW175" s="121" t="inlineStr">
        <is>
          <t>⚠ WATCH</t>
        </is>
      </c>
      <c r="AX175" s="118" t="n">
        <v>28.4</v>
      </c>
      <c r="AY175" s="119" t="inlineStr">
        <is>
          <t>🟢 LOW RISK</t>
        </is>
      </c>
      <c r="AZ175" s="118" t="n">
        <v>0</v>
      </c>
      <c r="BA175" s="124" t="inlineStr">
        <is>
          <t>N/A</t>
        </is>
      </c>
      <c r="BB175" s="118" t="n">
        <v>71.09999999999999</v>
      </c>
      <c r="BC175" s="118" t="n">
        <v>73.2</v>
      </c>
      <c r="BD175" s="118" t="n">
        <v>54</v>
      </c>
      <c r="BE175" s="118" t="n">
        <v>56.9</v>
      </c>
      <c r="BF175" s="120" t="n">
        <v>0.221</v>
      </c>
      <c r="BG175" s="117" t="n">
        <v>0.91</v>
      </c>
      <c r="BH175" s="122" t="n">
        <v>6</v>
      </c>
      <c r="BI175" s="123" t="n">
        <v>0.8333333333333334</v>
      </c>
    </row>
    <row r="176" ht="17" customHeight="1">
      <c r="A176" s="117" t="inlineStr">
        <is>
          <t>VRTX</t>
        </is>
      </c>
      <c r="B176" s="117" t="inlineStr">
        <is>
          <t>VERTEX PHARMACEUTICALS INC / MA</t>
        </is>
      </c>
      <c r="C176" s="118" t="n">
        <v>0.334</v>
      </c>
      <c r="D176" s="118" t="n">
        <v>-4.008</v>
      </c>
      <c r="E176" s="118" t="n">
        <v>0.992</v>
      </c>
      <c r="F176" s="118" t="n">
        <v>3.819</v>
      </c>
      <c r="G176" s="118" t="n">
        <v>0.9379999999999999</v>
      </c>
      <c r="H176" s="118" t="n">
        <v>0.313</v>
      </c>
      <c r="I176" s="118" t="n">
        <v>1.001</v>
      </c>
      <c r="J176" s="118" t="n">
        <v>0.013</v>
      </c>
      <c r="K176" s="118" t="n">
        <v>-3.057</v>
      </c>
      <c r="L176" s="119" t="inlineStr">
        <is>
          <t>✓ Lower Risk</t>
        </is>
      </c>
      <c r="M176" s="120" t="n">
        <v>0.023</v>
      </c>
      <c r="N176" s="120" t="n">
        <v>0.241</v>
      </c>
      <c r="O176" s="120" t="n">
        <v>0.262</v>
      </c>
      <c r="P176" s="120" t="n">
        <v>0.772</v>
      </c>
      <c r="Q176" s="120" t="n">
        <v>0.178</v>
      </c>
      <c r="R176" s="117" t="n">
        <v>0</v>
      </c>
      <c r="S176" s="118" t="n">
        <v>-5.505</v>
      </c>
      <c r="T176" s="118" t="n">
        <v>0.004</v>
      </c>
      <c r="U176" s="119" t="inlineStr">
        <is>
          <t>✓ Normal</t>
        </is>
      </c>
      <c r="V176" s="117" t="n">
        <v>1</v>
      </c>
      <c r="W176" s="117" t="n">
        <v>0</v>
      </c>
      <c r="X176" s="117" t="n">
        <v>0</v>
      </c>
      <c r="Y176" s="117" t="n">
        <v>1</v>
      </c>
      <c r="Z176" s="117" t="n">
        <v>1</v>
      </c>
      <c r="AA176" s="117" t="n">
        <v>1</v>
      </c>
      <c r="AB176" s="117" t="n">
        <v>4</v>
      </c>
      <c r="AC176" s="121" t="inlineStr">
        <is>
          <t>⚠⚠ SERIOUS CONCERN</t>
        </is>
      </c>
      <c r="AD176" s="118" t="n">
        <v>3631400000</v>
      </c>
      <c r="AE176" s="118" t="n">
        <v>-945400000</v>
      </c>
      <c r="AF176" s="118" t="n">
        <v>3953200000</v>
      </c>
      <c r="AG176" s="118" t="n">
        <v>0.053</v>
      </c>
      <c r="AH176" s="119" t="inlineStr">
        <is>
          <t>✓ Medium Quality</t>
        </is>
      </c>
      <c r="AI176" s="118" t="n">
        <v>0.276</v>
      </c>
      <c r="AJ176" s="120" t="n">
        <v>2.819</v>
      </c>
      <c r="AK176" s="120" t="n">
        <v>0.098</v>
      </c>
      <c r="AL176" s="120" t="n">
        <v>1.459</v>
      </c>
      <c r="AM176" s="120" t="n">
        <v>-0</v>
      </c>
      <c r="AN176" s="117" t="n">
        <v>100</v>
      </c>
      <c r="AO176" s="119" t="inlineStr">
        <is>
          <t>✓ Good</t>
        </is>
      </c>
      <c r="AP176" s="117" t="n">
        <v>0</v>
      </c>
      <c r="AQ176" s="117" t="n">
        <v>0</v>
      </c>
      <c r="AR176" s="117" t="n">
        <v>0</v>
      </c>
      <c r="AS176" s="117" t="n">
        <v>0</v>
      </c>
      <c r="AT176" s="117" t="n">
        <v>1</v>
      </c>
      <c r="AU176" s="117" t="n">
        <v>1</v>
      </c>
      <c r="AV176" s="117" t="n">
        <v>2</v>
      </c>
      <c r="AW176" s="121" t="inlineStr">
        <is>
          <t>⚠ WATCH</t>
        </is>
      </c>
      <c r="AX176" s="118" t="n">
        <v>22</v>
      </c>
      <c r="AY176" s="119" t="inlineStr">
        <is>
          <t>🟢 LOW RISK</t>
        </is>
      </c>
      <c r="AZ176" s="118" t="n">
        <v>301.1</v>
      </c>
      <c r="BA176" s="118" t="n">
        <v>901.5</v>
      </c>
      <c r="BB176" s="118" t="n">
        <v>372.8</v>
      </c>
      <c r="BC176" s="118" t="n">
        <v>287.5</v>
      </c>
      <c r="BD176" s="118" t="n">
        <v>102.1</v>
      </c>
      <c r="BE176" s="118" t="n">
        <v>98.5</v>
      </c>
      <c r="BF176" s="120" t="n">
        <v>0.149</v>
      </c>
      <c r="BG176" s="117" t="n">
        <v>0.772</v>
      </c>
      <c r="BH176" s="122" t="n">
        <v>6</v>
      </c>
      <c r="BI176" s="123" t="n">
        <v>1</v>
      </c>
    </row>
    <row r="177" ht="17" customHeight="1">
      <c r="A177" s="117" t="inlineStr">
        <is>
          <t>ECL</t>
        </is>
      </c>
      <c r="B177" s="117" t="inlineStr">
        <is>
          <t>ECOLAB INC.</t>
        </is>
      </c>
      <c r="C177" s="118" t="n">
        <v>1.11</v>
      </c>
      <c r="D177" s="118" t="n">
        <v>0.977</v>
      </c>
      <c r="E177" s="118" t="n">
        <v>1.04</v>
      </c>
      <c r="F177" s="118" t="n">
        <v>1.022</v>
      </c>
      <c r="G177" s="118" t="n">
        <v>0.666</v>
      </c>
      <c r="H177" s="118" t="n">
        <v>0.986</v>
      </c>
      <c r="I177" s="118" t="n">
        <v>0.993</v>
      </c>
      <c r="J177" s="118" t="n">
        <v>-0.036</v>
      </c>
      <c r="K177" s="118" t="n">
        <v>-2.555</v>
      </c>
      <c r="L177" s="119" t="inlineStr">
        <is>
          <t>✓ Lower Risk</t>
        </is>
      </c>
      <c r="M177" s="120" t="n">
        <v>-0.037</v>
      </c>
      <c r="N177" s="120" t="n">
        <v>1.131</v>
      </c>
      <c r="O177" s="120" t="n">
        <v>0.075</v>
      </c>
      <c r="P177" s="120" t="n">
        <v>0.801</v>
      </c>
      <c r="Q177" s="120" t="n">
        <v>-0.01</v>
      </c>
      <c r="R177" s="117" t="n">
        <v>0</v>
      </c>
      <c r="S177" s="118" t="n">
        <v>-3.395</v>
      </c>
      <c r="T177" s="118" t="n">
        <v>0.032</v>
      </c>
      <c r="U177" s="119" t="inlineStr">
        <is>
          <t>✓ Normal</t>
        </is>
      </c>
      <c r="V177" s="117" t="n">
        <v>0</v>
      </c>
      <c r="W177" s="117" t="n">
        <v>1</v>
      </c>
      <c r="X177" s="117" t="n">
        <v>0</v>
      </c>
      <c r="Y177" s="117" t="n">
        <v>0</v>
      </c>
      <c r="Z177" s="117" t="n">
        <v>0</v>
      </c>
      <c r="AA177" s="117" t="n">
        <v>1</v>
      </c>
      <c r="AB177" s="117" t="n">
        <v>2</v>
      </c>
      <c r="AC177" s="121" t="inlineStr">
        <is>
          <t>⚠ WATCH</t>
        </is>
      </c>
      <c r="AD177" s="118" t="n">
        <v>2952600000</v>
      </c>
      <c r="AE177" s="118" t="n">
        <v>-2707200000</v>
      </c>
      <c r="AF177" s="118" t="n">
        <v>2075600000</v>
      </c>
      <c r="AG177" s="118" t="n">
        <v>0.078</v>
      </c>
      <c r="AH177" s="119" t="inlineStr">
        <is>
          <t>✓ Medium Quality</t>
        </is>
      </c>
      <c r="AI177" s="118" t="n">
        <v>0.134</v>
      </c>
      <c r="AJ177" s="120" t="n">
        <v>0.022</v>
      </c>
      <c r="AK177" s="120" t="n">
        <v>6.216</v>
      </c>
      <c r="AL177" s="120" t="n">
        <v>0.184</v>
      </c>
      <c r="AM177" s="120" t="n">
        <v>0.004</v>
      </c>
      <c r="AN177" s="118" t="n">
        <v>70.2</v>
      </c>
      <c r="AO177" s="119" t="inlineStr">
        <is>
          <t>✓ Good</t>
        </is>
      </c>
      <c r="AP177" s="117" t="n">
        <v>0</v>
      </c>
      <c r="AQ177" s="117" t="n">
        <v>1</v>
      </c>
      <c r="AR177" s="117" t="n">
        <v>0</v>
      </c>
      <c r="AS177" s="117" t="n">
        <v>0</v>
      </c>
      <c r="AT177" s="117" t="n">
        <v>1</v>
      </c>
      <c r="AU177" s="117" t="n">
        <v>0</v>
      </c>
      <c r="AV177" s="117" t="n">
        <v>2</v>
      </c>
      <c r="AW177" s="121" t="inlineStr">
        <is>
          <t>⚠ WATCH</t>
        </is>
      </c>
      <c r="AX177" s="118" t="n">
        <v>23.1</v>
      </c>
      <c r="AY177" s="119" t="inlineStr">
        <is>
          <t>🟢 LOW RISK</t>
        </is>
      </c>
      <c r="AZ177" s="118" t="n">
        <v>73.8</v>
      </c>
      <c r="BA177" s="118" t="n">
        <v>66.40000000000001</v>
      </c>
      <c r="BB177" s="118" t="n">
        <v>60.9</v>
      </c>
      <c r="BC177" s="118" t="n">
        <v>60.1</v>
      </c>
      <c r="BD177" s="118" t="n">
        <v>84.59999999999999</v>
      </c>
      <c r="BE177" s="118" t="n">
        <v>74.2</v>
      </c>
      <c r="BF177" s="120" t="n">
        <v>0.178</v>
      </c>
      <c r="BG177" s="117" t="n">
        <v>0.801</v>
      </c>
      <c r="BH177" s="122" t="n">
        <v>4</v>
      </c>
      <c r="BI177" s="123" t="n">
        <v>1</v>
      </c>
    </row>
    <row r="178" ht="17" customHeight="1">
      <c r="A178" s="117" t="inlineStr">
        <is>
          <t>EMN</t>
        </is>
      </c>
      <c r="B178" s="117" t="inlineStr">
        <is>
          <t>EASTMAN CHEMICAL CO</t>
        </is>
      </c>
      <c r="C178" s="118" t="n">
        <v>0.999</v>
      </c>
      <c r="D178" s="118" t="n">
        <v>1.158</v>
      </c>
      <c r="E178" s="118" t="n">
        <v>1.021</v>
      </c>
      <c r="F178" s="118" t="n">
        <v>0.9330000000000001</v>
      </c>
      <c r="G178" s="118" t="n">
        <v>1.012</v>
      </c>
      <c r="H178" s="118" t="n">
        <v>0.958</v>
      </c>
      <c r="I178" s="118" t="n">
        <v>0.965</v>
      </c>
      <c r="J178" s="118" t="n">
        <v>-0.033</v>
      </c>
      <c r="K178" s="118" t="n">
        <v>-2.585</v>
      </c>
      <c r="L178" s="119" t="inlineStr">
        <is>
          <t>✓ Lower Risk</t>
        </is>
      </c>
      <c r="M178" s="120" t="n">
        <v>-0.043</v>
      </c>
      <c r="N178" s="120" t="n">
        <v>-0.08599999999999999</v>
      </c>
      <c r="O178" s="120" t="n">
        <v>-0.013</v>
      </c>
      <c r="P178" s="120" t="n">
        <v>0.576</v>
      </c>
      <c r="Q178" s="120" t="n">
        <v>-0.028</v>
      </c>
      <c r="R178" s="117" t="n">
        <v>1</v>
      </c>
      <c r="S178" s="118" t="n">
        <v>-3.932</v>
      </c>
      <c r="T178" s="118" t="n">
        <v>0.019</v>
      </c>
      <c r="U178" s="119" t="inlineStr">
        <is>
          <t>✓ Normal</t>
        </is>
      </c>
      <c r="V178" s="117" t="n">
        <v>0</v>
      </c>
      <c r="W178" s="117" t="n">
        <v>0</v>
      </c>
      <c r="X178" s="117" t="n">
        <v>1</v>
      </c>
      <c r="Y178" s="117" t="n">
        <v>1</v>
      </c>
      <c r="Z178" s="117" t="n">
        <v>0</v>
      </c>
      <c r="AA178" s="117" t="n">
        <v>0</v>
      </c>
      <c r="AB178" s="117" t="n">
        <v>2</v>
      </c>
      <c r="AC178" s="121" t="inlineStr">
        <is>
          <t>⚠ WATCH</t>
        </is>
      </c>
      <c r="AD178" s="118" t="n">
        <v>970000000</v>
      </c>
      <c r="AE178" s="118" t="n">
        <v>-462000000</v>
      </c>
      <c r="AF178" s="118" t="n">
        <v>474000000</v>
      </c>
      <c r="AG178" s="118" t="n">
        <v>-0.002</v>
      </c>
      <c r="AH178" s="119" t="inlineStr">
        <is>
          <t>✓ Medium Quality</t>
        </is>
      </c>
      <c r="AI178" s="118" t="n">
        <v>-0.068</v>
      </c>
      <c r="AJ178" s="120" t="n">
        <v>-0.067</v>
      </c>
      <c r="AK178" s="120" t="n">
        <v>1.017</v>
      </c>
      <c r="AL178" s="120" t="n">
        <v>0.111</v>
      </c>
      <c r="AM178" s="120" t="n">
        <v>-0.001</v>
      </c>
      <c r="AN178" s="118" t="n">
        <v>91.59999999999999</v>
      </c>
      <c r="AO178" s="119" t="inlineStr">
        <is>
          <t>✓ Good</t>
        </is>
      </c>
      <c r="AP178" s="117" t="n">
        <v>1</v>
      </c>
      <c r="AQ178" s="117" t="n">
        <v>1</v>
      </c>
      <c r="AR178" s="117" t="n">
        <v>1</v>
      </c>
      <c r="AS178" s="117" t="n">
        <v>0</v>
      </c>
      <c r="AT178" s="117" t="n">
        <v>0</v>
      </c>
      <c r="AU178" s="117" t="n">
        <v>0</v>
      </c>
      <c r="AV178" s="117" t="n">
        <v>3</v>
      </c>
      <c r="AW178" s="121" t="inlineStr">
        <is>
          <t>⚠ WATCH</t>
        </is>
      </c>
      <c r="AX178" s="118" t="n">
        <v>19.3</v>
      </c>
      <c r="AY178" s="119" t="inlineStr">
        <is>
          <t>🟢 VERY LOW RISK</t>
        </is>
      </c>
      <c r="AZ178" s="118" t="n">
        <v>30.7</v>
      </c>
      <c r="BA178" s="118" t="n">
        <v>30.8</v>
      </c>
      <c r="BB178" s="118" t="n">
        <v>104.6</v>
      </c>
      <c r="BC178" s="118" t="n">
        <v>102.3</v>
      </c>
      <c r="BD178" s="118" t="n">
        <v>109.2</v>
      </c>
      <c r="BE178" s="118" t="n">
        <v>116.2</v>
      </c>
      <c r="BF178" s="120" t="n">
        <v>0.164</v>
      </c>
      <c r="BG178" s="117" t="n">
        <v>0.576</v>
      </c>
      <c r="BH178" s="122" t="n">
        <v>6</v>
      </c>
      <c r="BI178" s="123" t="n">
        <v>1</v>
      </c>
    </row>
    <row r="179" ht="17" customHeight="1">
      <c r="A179" s="129" t="inlineStr">
        <is>
          <t>PCVX</t>
        </is>
      </c>
      <c r="B179" s="129" t="inlineStr">
        <is>
          <t>VAXCYTE, INC.</t>
        </is>
      </c>
      <c r="C179" s="124" t="inlineStr">
        <is>
          <t>N/A</t>
        </is>
      </c>
      <c r="D179" s="124" t="inlineStr">
        <is>
          <t>N/A</t>
        </is>
      </c>
      <c r="E179" s="130" t="n">
        <v>0.857</v>
      </c>
      <c r="F179" s="124" t="inlineStr">
        <is>
          <t>N/A</t>
        </is>
      </c>
      <c r="G179" s="130" t="n">
        <v>0.57</v>
      </c>
      <c r="H179" s="124" t="inlineStr">
        <is>
          <t>N/A</t>
        </is>
      </c>
      <c r="I179" s="130" t="n">
        <v>1.805</v>
      </c>
      <c r="J179" s="130" t="n">
        <v>-0.037</v>
      </c>
      <c r="K179" s="124" t="inlineStr">
        <is>
          <t>N/A</t>
        </is>
      </c>
      <c r="L179" s="124" t="inlineStr">
        <is>
          <t>N/A</t>
        </is>
      </c>
      <c r="M179" s="131" t="n">
        <v>-0.01</v>
      </c>
      <c r="N179" s="124" t="inlineStr">
        <is>
          <t>N/A</t>
        </is>
      </c>
      <c r="O179" s="124" t="inlineStr">
        <is>
          <t>N/A</t>
        </is>
      </c>
      <c r="P179" s="131" t="n">
        <v>0.856</v>
      </c>
      <c r="Q179" s="131" t="n">
        <v>-0.123</v>
      </c>
      <c r="R179" s="129" t="n">
        <v>1</v>
      </c>
      <c r="S179" s="124" t="inlineStr">
        <is>
          <t>N/A</t>
        </is>
      </c>
      <c r="T179" s="124" t="inlineStr">
        <is>
          <t>N/A</t>
        </is>
      </c>
      <c r="U179" s="124" t="inlineStr">
        <is>
          <t>N/A</t>
        </is>
      </c>
      <c r="V179" s="129" t="n">
        <v>0</v>
      </c>
      <c r="W179" s="129" t="n">
        <v>0</v>
      </c>
      <c r="X179" s="129" t="n">
        <v>0</v>
      </c>
      <c r="Y179" s="129" t="n">
        <v>0</v>
      </c>
      <c r="Z179" s="129" t="n">
        <v>0</v>
      </c>
      <c r="AA179" s="129" t="n">
        <v>0</v>
      </c>
      <c r="AB179" s="129" t="n">
        <v>0</v>
      </c>
      <c r="AC179" s="119" t="inlineStr">
        <is>
          <t>✓ Clean</t>
        </is>
      </c>
      <c r="AD179" s="130" t="n">
        <v>-655577000</v>
      </c>
      <c r="AE179" s="130" t="n">
        <v>437354000</v>
      </c>
      <c r="AF179" s="130" t="n">
        <v>-766628000</v>
      </c>
      <c r="AG179" s="130" t="n">
        <v>-0.168</v>
      </c>
      <c r="AH179" s="119" t="inlineStr">
        <is>
          <t>✓ High Quality</t>
        </is>
      </c>
      <c r="AI179" s="124" t="inlineStr">
        <is>
          <t>N/A</t>
        </is>
      </c>
      <c r="AJ179" s="124" t="inlineStr">
        <is>
          <t>N/A</t>
        </is>
      </c>
      <c r="AK179" s="124" t="inlineStr">
        <is>
          <t>N/A</t>
        </is>
      </c>
      <c r="AL179" s="124" t="inlineStr">
        <is>
          <t>N/A</t>
        </is>
      </c>
      <c r="AM179" s="124" t="inlineStr">
        <is>
          <t>N/A</t>
        </is>
      </c>
      <c r="AN179" s="129" t="n">
        <v>100</v>
      </c>
      <c r="AO179" s="119" t="inlineStr">
        <is>
          <t>✓ Good</t>
        </is>
      </c>
      <c r="AP179" s="129" t="n">
        <v>0</v>
      </c>
      <c r="AQ179" s="129" t="n">
        <v>0</v>
      </c>
      <c r="AR179" s="129" t="n">
        <v>0</v>
      </c>
      <c r="AS179" s="129" t="n">
        <v>0</v>
      </c>
      <c r="AT179" s="129" t="n">
        <v>0</v>
      </c>
      <c r="AU179" s="129" t="n">
        <v>0</v>
      </c>
      <c r="AV179" s="129" t="n">
        <v>0</v>
      </c>
      <c r="AW179" s="119" t="inlineStr">
        <is>
          <t>✓ Clean</t>
        </is>
      </c>
      <c r="AX179" s="130" t="n">
        <v>25.4</v>
      </c>
      <c r="AY179" s="119" t="inlineStr">
        <is>
          <t>🟢 LOW RISK</t>
        </is>
      </c>
      <c r="AZ179" s="124" t="inlineStr">
        <is>
          <t>N/A</t>
        </is>
      </c>
      <c r="BA179" s="124" t="inlineStr">
        <is>
          <t>N/A</t>
        </is>
      </c>
      <c r="BB179" s="124" t="inlineStr">
        <is>
          <t>N/A</t>
        </is>
      </c>
      <c r="BC179" s="124" t="inlineStr">
        <is>
          <t>N/A</t>
        </is>
      </c>
      <c r="BD179" s="130" t="n">
        <v>28</v>
      </c>
      <c r="BE179" s="130" t="n">
        <v>31.1</v>
      </c>
      <c r="BF179" s="124" t="inlineStr">
        <is>
          <t>N/A</t>
        </is>
      </c>
      <c r="BG179" s="129" t="n">
        <v>0.856</v>
      </c>
      <c r="BH179" s="129" t="n">
        <v>1</v>
      </c>
      <c r="BI179" s="125" t="n">
        <v>0.6666666666666666</v>
      </c>
    </row>
    <row r="180" ht="17" customHeight="1">
      <c r="A180" s="117" t="inlineStr">
        <is>
          <t>BLK</t>
        </is>
      </c>
      <c r="B180" s="117" t="inlineStr">
        <is>
          <t>BlackRock, Inc.</t>
        </is>
      </c>
      <c r="C180" s="118" t="n">
        <v>1.031</v>
      </c>
      <c r="D180" s="118" t="n">
        <v>0.483</v>
      </c>
      <c r="E180" s="118" t="n">
        <v>1.001</v>
      </c>
      <c r="F180" s="118" t="n">
        <v>1.162</v>
      </c>
      <c r="G180" s="118" t="n">
        <v>1.028</v>
      </c>
      <c r="H180" s="118" t="n">
        <v>1.058</v>
      </c>
      <c r="I180" s="118" t="n">
        <v>0.991</v>
      </c>
      <c r="J180" s="118" t="n">
        <v>0.01</v>
      </c>
      <c r="K180" s="118" t="n">
        <v>-2.538</v>
      </c>
      <c r="L180" s="119" t="inlineStr">
        <is>
          <t>✓ Lower Risk</t>
        </is>
      </c>
      <c r="M180" s="124" t="inlineStr">
        <is>
          <t>N/A</t>
        </is>
      </c>
      <c r="N180" s="120" t="n">
        <v>0.479</v>
      </c>
      <c r="O180" s="124" t="inlineStr">
        <is>
          <t>N/A</t>
        </is>
      </c>
      <c r="P180" s="120" t="n">
        <v>0.925</v>
      </c>
      <c r="Q180" s="120" t="n">
        <v>-0.013</v>
      </c>
      <c r="R180" s="117" t="n">
        <v>1</v>
      </c>
      <c r="S180" s="124" t="inlineStr">
        <is>
          <t>N/A</t>
        </is>
      </c>
      <c r="T180" s="124" t="inlineStr">
        <is>
          <t>N/A</t>
        </is>
      </c>
      <c r="U180" s="124" t="inlineStr">
        <is>
          <t>N/A</t>
        </is>
      </c>
      <c r="V180" s="117" t="n">
        <v>0</v>
      </c>
      <c r="W180" s="117" t="n">
        <v>1</v>
      </c>
      <c r="X180" s="117" t="n">
        <v>0</v>
      </c>
      <c r="Y180" s="117" t="n">
        <v>0</v>
      </c>
      <c r="Z180" s="117" t="n">
        <v>1</v>
      </c>
      <c r="AA180" s="117" t="n">
        <v>1</v>
      </c>
      <c r="AB180" s="117" t="n">
        <v>3</v>
      </c>
      <c r="AC180" s="121" t="inlineStr">
        <is>
          <t>⚠ WATCH</t>
        </is>
      </c>
      <c r="AD180" s="118" t="n">
        <v>3927000000</v>
      </c>
      <c r="AE180" s="118" t="n">
        <v>-4418000000</v>
      </c>
      <c r="AF180" s="118" t="n">
        <v>5553000000</v>
      </c>
      <c r="AG180" s="118" t="n">
        <v>0.039</v>
      </c>
      <c r="AH180" s="119" t="inlineStr">
        <is>
          <t>✓ Medium Quality</t>
        </is>
      </c>
      <c r="AI180" s="118" t="n">
        <v>0.198</v>
      </c>
      <c r="AJ180" s="120" t="n">
        <v>0.162</v>
      </c>
      <c r="AK180" s="120" t="n">
        <v>1.226</v>
      </c>
      <c r="AL180" s="120" t="n">
        <v>0.307</v>
      </c>
      <c r="AM180" s="124" t="inlineStr">
        <is>
          <t>N/A</t>
        </is>
      </c>
      <c r="AN180" s="118" t="n">
        <v>93.2</v>
      </c>
      <c r="AO180" s="119" t="inlineStr">
        <is>
          <t>✓ Good</t>
        </is>
      </c>
      <c r="AP180" s="117" t="n">
        <v>0</v>
      </c>
      <c r="AQ180" s="117" t="n">
        <v>0</v>
      </c>
      <c r="AR180" s="117" t="n">
        <v>1</v>
      </c>
      <c r="AS180" s="117" t="n">
        <v>1</v>
      </c>
      <c r="AT180" s="117" t="n">
        <v>0</v>
      </c>
      <c r="AU180" s="117" t="n">
        <v>0</v>
      </c>
      <c r="AV180" s="117" t="n">
        <v>2</v>
      </c>
      <c r="AW180" s="121" t="inlineStr">
        <is>
          <t>⚠ WATCH</t>
        </is>
      </c>
      <c r="AX180" s="118" t="n">
        <v>27.2</v>
      </c>
      <c r="AY180" s="119" t="inlineStr">
        <is>
          <t>🟢 LOW RISK</t>
        </is>
      </c>
      <c r="AZ180" s="118" t="n">
        <v>147.2</v>
      </c>
      <c r="BA180" s="118" t="n">
        <v>142.7</v>
      </c>
      <c r="BB180" s="124" t="inlineStr">
        <is>
          <t>N/A</t>
        </is>
      </c>
      <c r="BC180" s="124" t="inlineStr">
        <is>
          <t>N/A</t>
        </is>
      </c>
      <c r="BD180" s="124" t="inlineStr">
        <is>
          <t>N/A</t>
        </is>
      </c>
      <c r="BE180" s="124" t="inlineStr">
        <is>
          <t>N/A</t>
        </is>
      </c>
      <c r="BF180" s="120" t="n">
        <v>0.22</v>
      </c>
      <c r="BG180" s="117" t="n">
        <v>0.925</v>
      </c>
      <c r="BH180" s="122" t="n">
        <v>6</v>
      </c>
      <c r="BI180" s="123" t="n">
        <v>0.8333333333333334</v>
      </c>
    </row>
    <row r="181" ht="17" customHeight="1">
      <c r="A181" s="117" t="inlineStr">
        <is>
          <t>DTE</t>
        </is>
      </c>
      <c r="B181" s="117" t="inlineStr">
        <is>
          <t>DTE ENERGY CO</t>
        </is>
      </c>
      <c r="C181" s="118" t="n">
        <v>0.312</v>
      </c>
      <c r="D181" s="118" t="n">
        <v>-3.163</v>
      </c>
      <c r="E181" s="118" t="n">
        <v>1.012</v>
      </c>
      <c r="F181" s="118" t="n">
        <v>3.854</v>
      </c>
      <c r="G181" s="118" t="n">
        <v>1.024</v>
      </c>
      <c r="H181" s="124" t="inlineStr">
        <is>
          <t>N/A</t>
        </is>
      </c>
      <c r="I181" s="118" t="n">
        <v>1</v>
      </c>
      <c r="J181" s="118" t="n">
        <v>-0.036</v>
      </c>
      <c r="K181" s="118" t="n">
        <v>-2.755</v>
      </c>
      <c r="L181" s="119" t="inlineStr">
        <is>
          <t>✓ Lower Risk</t>
        </is>
      </c>
      <c r="M181" s="120" t="n">
        <v>-0.029</v>
      </c>
      <c r="N181" s="120" t="n">
        <v>0.037</v>
      </c>
      <c r="O181" s="124" t="inlineStr">
        <is>
          <t>N/A</t>
        </is>
      </c>
      <c r="P181" s="120" t="n">
        <v>0.374</v>
      </c>
      <c r="Q181" s="120" t="n">
        <v>-0.002</v>
      </c>
      <c r="R181" s="117" t="n">
        <v>1</v>
      </c>
      <c r="S181" s="118" t="n">
        <v>-4.01</v>
      </c>
      <c r="T181" s="118" t="n">
        <v>0.018</v>
      </c>
      <c r="U181" s="119" t="inlineStr">
        <is>
          <t>✓ Normal</t>
        </is>
      </c>
      <c r="V181" s="117" t="n">
        <v>1</v>
      </c>
      <c r="W181" s="117" t="n">
        <v>0</v>
      </c>
      <c r="X181" s="117" t="n">
        <v>0</v>
      </c>
      <c r="Y181" s="117" t="n">
        <v>1</v>
      </c>
      <c r="Z181" s="117" t="n">
        <v>1</v>
      </c>
      <c r="AA181" s="117" t="n">
        <v>1</v>
      </c>
      <c r="AB181" s="117" t="n">
        <v>4</v>
      </c>
      <c r="AC181" s="121" t="inlineStr">
        <is>
          <t>⚠⚠ SERIOUS CONCERN</t>
        </is>
      </c>
      <c r="AD181" s="118" t="n">
        <v>3409000000</v>
      </c>
      <c r="AE181" s="118" t="n">
        <v>-5304000000</v>
      </c>
      <c r="AF181" s="118" t="n">
        <v>1462000000</v>
      </c>
      <c r="AG181" s="118" t="n">
        <v>0.065</v>
      </c>
      <c r="AH181" s="119" t="inlineStr">
        <is>
          <t>✓ Medium Quality</t>
        </is>
      </c>
      <c r="AI181" s="118" t="n">
        <v>0.202</v>
      </c>
      <c r="AJ181" s="120" t="n">
        <v>2.854</v>
      </c>
      <c r="AK181" s="120" t="n">
        <v>0.07099999999999999</v>
      </c>
      <c r="AL181" s="120" t="n">
        <v>0.27</v>
      </c>
      <c r="AM181" s="120" t="n">
        <v>0.003</v>
      </c>
      <c r="AN181" s="117" t="n">
        <v>100</v>
      </c>
      <c r="AO181" s="119" t="inlineStr">
        <is>
          <t>✓ Good</t>
        </is>
      </c>
      <c r="AP181" s="117" t="n">
        <v>0</v>
      </c>
      <c r="AQ181" s="117" t="n">
        <v>0</v>
      </c>
      <c r="AR181" s="117" t="n">
        <v>0</v>
      </c>
      <c r="AS181" s="117" t="n">
        <v>0</v>
      </c>
      <c r="AT181" s="117" t="n">
        <v>0</v>
      </c>
      <c r="AU181" s="117" t="n">
        <v>0</v>
      </c>
      <c r="AV181" s="117" t="n">
        <v>0</v>
      </c>
      <c r="AW181" s="119" t="inlineStr">
        <is>
          <t>✓ Clean</t>
        </is>
      </c>
      <c r="AX181" s="118" t="n">
        <v>23.6</v>
      </c>
      <c r="AY181" s="119" t="inlineStr">
        <is>
          <t>🟢 LOW RISK</t>
        </is>
      </c>
      <c r="AZ181" s="118" t="n">
        <v>58.8</v>
      </c>
      <c r="BA181" s="118" t="n">
        <v>188.6</v>
      </c>
      <c r="BB181" s="124" t="inlineStr">
        <is>
          <t>N/A</t>
        </is>
      </c>
      <c r="BC181" s="124" t="inlineStr">
        <is>
          <t>N/A</t>
        </is>
      </c>
      <c r="BD181" s="118" t="n">
        <v>94.59999999999999</v>
      </c>
      <c r="BE181" s="118" t="n">
        <v>62.8</v>
      </c>
      <c r="BF181" s="120" t="n">
        <v>0.057</v>
      </c>
      <c r="BG181" s="117" t="n">
        <v>0.374</v>
      </c>
      <c r="BH181" s="122" t="n">
        <v>5</v>
      </c>
      <c r="BI181" s="123" t="n">
        <v>1</v>
      </c>
    </row>
    <row r="182" ht="17" customHeight="1">
      <c r="A182" s="117" t="inlineStr">
        <is>
          <t>GTLS</t>
        </is>
      </c>
      <c r="B182" s="117" t="inlineStr">
        <is>
          <t>CHART INDUSTRIES, INC.</t>
        </is>
      </c>
      <c r="C182" s="118" t="n">
        <v>0.903</v>
      </c>
      <c r="D182" s="118" t="n">
        <v>1.112</v>
      </c>
      <c r="E182" s="118" t="n">
        <v>0.965</v>
      </c>
      <c r="F182" s="118" t="n">
        <v>1.151</v>
      </c>
      <c r="G182" s="118" t="n">
        <v>0.995</v>
      </c>
      <c r="H182" s="118" t="n">
        <v>0.983</v>
      </c>
      <c r="I182" s="118" t="n">
        <v>0.976</v>
      </c>
      <c r="J182" s="118" t="n">
        <v>-0.026</v>
      </c>
      <c r="K182" s="118" t="n">
        <v>-2.499</v>
      </c>
      <c r="L182" s="119" t="inlineStr">
        <is>
          <t>✓ Lower Risk</t>
        </is>
      </c>
      <c r="M182" s="120" t="n">
        <v>-0.025</v>
      </c>
      <c r="N182" s="120" t="n">
        <v>0.23</v>
      </c>
      <c r="O182" s="120" t="n">
        <v>0.631</v>
      </c>
      <c r="P182" s="120" t="n">
        <v>0.919</v>
      </c>
      <c r="Q182" s="120" t="n">
        <v>-0.02</v>
      </c>
      <c r="R182" s="117" t="n">
        <v>1</v>
      </c>
      <c r="S182" s="118" t="n">
        <v>-1.681</v>
      </c>
      <c r="T182" s="118" t="n">
        <v>0.157</v>
      </c>
      <c r="U182" s="121" t="inlineStr">
        <is>
          <t>⚠ HIGH RISK</t>
        </is>
      </c>
      <c r="V182" s="117" t="n">
        <v>1</v>
      </c>
      <c r="W182" s="117" t="n">
        <v>0</v>
      </c>
      <c r="X182" s="117" t="n">
        <v>1</v>
      </c>
      <c r="Y182" s="117" t="n">
        <v>0</v>
      </c>
      <c r="Z182" s="117" t="n">
        <v>1</v>
      </c>
      <c r="AA182" s="117" t="n">
        <v>0</v>
      </c>
      <c r="AB182" s="117" t="n">
        <v>3</v>
      </c>
      <c r="AC182" s="121" t="inlineStr">
        <is>
          <t>⚠ WATCH</t>
        </is>
      </c>
      <c r="AD182" s="118" t="n">
        <v>292700000</v>
      </c>
      <c r="AE182" s="118" t="n">
        <v>-93600000</v>
      </c>
      <c r="AF182" s="118" t="n">
        <v>40700000</v>
      </c>
      <c r="AG182" s="118" t="n">
        <v>-0.017</v>
      </c>
      <c r="AH182" s="119" t="inlineStr">
        <is>
          <t>✓ Medium Quality</t>
        </is>
      </c>
      <c r="AI182" s="118" t="n">
        <v>0.04</v>
      </c>
      <c r="AJ182" s="120" t="n">
        <v>0.151</v>
      </c>
      <c r="AK182" s="120" t="n">
        <v>0.263</v>
      </c>
      <c r="AL182" s="120" t="n">
        <v>0.296</v>
      </c>
      <c r="AM182" s="120" t="n">
        <v>-0</v>
      </c>
      <c r="AN182" s="117" t="n">
        <v>100</v>
      </c>
      <c r="AO182" s="119" t="inlineStr">
        <is>
          <t>✓ Good</t>
        </is>
      </c>
      <c r="AP182" s="117" t="n">
        <v>0</v>
      </c>
      <c r="AQ182" s="117" t="n">
        <v>0</v>
      </c>
      <c r="AR182" s="117" t="n">
        <v>1</v>
      </c>
      <c r="AS182" s="117" t="n">
        <v>0</v>
      </c>
      <c r="AT182" s="117" t="n">
        <v>1</v>
      </c>
      <c r="AU182" s="117" t="n">
        <v>1</v>
      </c>
      <c r="AV182" s="117" t="n">
        <v>3</v>
      </c>
      <c r="AW182" s="121" t="inlineStr">
        <is>
          <t>⚠ WATCH</t>
        </is>
      </c>
      <c r="AX182" s="118" t="n">
        <v>43.4</v>
      </c>
      <c r="AY182" s="121" t="inlineStr">
        <is>
          <t>🟡 ELEVATED RISK</t>
        </is>
      </c>
      <c r="AZ182" s="118" t="n">
        <v>288.7</v>
      </c>
      <c r="BA182" s="118" t="n">
        <v>319.6</v>
      </c>
      <c r="BB182" s="118" t="n">
        <v>73.90000000000001</v>
      </c>
      <c r="BC182" s="118" t="n">
        <v>64.59999999999999</v>
      </c>
      <c r="BD182" s="118" t="n">
        <v>159.7</v>
      </c>
      <c r="BE182" s="118" t="n">
        <v>139.5</v>
      </c>
      <c r="BF182" s="120" t="n">
        <v>-0.101</v>
      </c>
      <c r="BG182" s="117" t="n">
        <v>0.919</v>
      </c>
      <c r="BH182" s="122" t="n">
        <v>7</v>
      </c>
      <c r="BI182" s="123" t="n">
        <v>1</v>
      </c>
    </row>
    <row r="183" ht="17" customHeight="1">
      <c r="A183" s="117" t="inlineStr">
        <is>
          <t>HLT</t>
        </is>
      </c>
      <c r="B183" s="117" t="inlineStr">
        <is>
          <t>Hilton Worldwide Holdings Inc.</t>
        </is>
      </c>
      <c r="C183" s="118" t="n">
        <v>0.991</v>
      </c>
      <c r="D183" s="124" t="inlineStr">
        <is>
          <t>N/A</t>
        </is>
      </c>
      <c r="E183" s="118" t="n">
        <v>1.005</v>
      </c>
      <c r="F183" s="118" t="n">
        <v>1.077</v>
      </c>
      <c r="G183" s="118" t="n">
        <v>1.275</v>
      </c>
      <c r="H183" s="118" t="n">
        <v>0.879</v>
      </c>
      <c r="I183" s="118" t="n">
        <v>1.078</v>
      </c>
      <c r="J183" s="118" t="n">
        <v>-0.04</v>
      </c>
      <c r="K183" s="124" t="inlineStr">
        <is>
          <t>N/A</t>
        </is>
      </c>
      <c r="L183" s="124" t="inlineStr">
        <is>
          <t>N/A</t>
        </is>
      </c>
      <c r="M183" s="120" t="n">
        <v>0.007</v>
      </c>
      <c r="N183" s="120" t="n">
        <v>0.124</v>
      </c>
      <c r="O183" s="120" t="n">
        <v>0.114</v>
      </c>
      <c r="P183" s="120" t="n">
        <v>0.904</v>
      </c>
      <c r="Q183" s="120" t="n">
        <v>-0.006</v>
      </c>
      <c r="R183" s="117" t="n">
        <v>0</v>
      </c>
      <c r="S183" s="118" t="n">
        <v>-5.647</v>
      </c>
      <c r="T183" s="118" t="n">
        <v>0.004</v>
      </c>
      <c r="U183" s="119" t="inlineStr">
        <is>
          <t>✓ Normal</t>
        </is>
      </c>
      <c r="V183" s="117" t="n">
        <v>0</v>
      </c>
      <c r="W183" s="117" t="n">
        <v>0</v>
      </c>
      <c r="X183" s="117" t="n">
        <v>1</v>
      </c>
      <c r="Y183" s="117" t="n">
        <v>1</v>
      </c>
      <c r="Z183" s="117" t="n">
        <v>0</v>
      </c>
      <c r="AA183" s="117" t="n">
        <v>0</v>
      </c>
      <c r="AB183" s="117" t="n">
        <v>2</v>
      </c>
      <c r="AC183" s="121" t="inlineStr">
        <is>
          <t>⚠ WATCH</t>
        </is>
      </c>
      <c r="AD183" s="118" t="n">
        <v>2129000000</v>
      </c>
      <c r="AE183" s="118" t="n">
        <v>-190000000</v>
      </c>
      <c r="AF183" s="118" t="n">
        <v>1457000000</v>
      </c>
      <c r="AG183" s="118" t="n">
        <v>-0.029</v>
      </c>
      <c r="AH183" s="119" t="inlineStr">
        <is>
          <t>✓ Medium Quality</t>
        </is>
      </c>
      <c r="AI183" s="118" t="n">
        <v>0.068</v>
      </c>
      <c r="AJ183" s="120" t="n">
        <v>0.077</v>
      </c>
      <c r="AK183" s="120" t="n">
        <v>0.873</v>
      </c>
      <c r="AL183" s="120" t="n">
        <v>0.177</v>
      </c>
      <c r="AM183" s="120" t="n">
        <v>0.016</v>
      </c>
      <c r="AN183" s="117" t="n">
        <v>100</v>
      </c>
      <c r="AO183" s="119" t="inlineStr">
        <is>
          <t>✓ Good</t>
        </is>
      </c>
      <c r="AP183" s="117" t="n">
        <v>0</v>
      </c>
      <c r="AQ183" s="117" t="n">
        <v>0</v>
      </c>
      <c r="AR183" s="117" t="n">
        <v>0</v>
      </c>
      <c r="AS183" s="117" t="n">
        <v>0</v>
      </c>
      <c r="AT183" s="117" t="n">
        <v>0</v>
      </c>
      <c r="AU183" s="117" t="n">
        <v>0</v>
      </c>
      <c r="AV183" s="117" t="n">
        <v>0</v>
      </c>
      <c r="AW183" s="119" t="inlineStr">
        <is>
          <t>✓ Clean</t>
        </is>
      </c>
      <c r="AX183" s="118" t="n">
        <v>22.3</v>
      </c>
      <c r="AY183" s="119" t="inlineStr">
        <is>
          <t>🟢 LOW RISK</t>
        </is>
      </c>
      <c r="AZ183" s="118" t="n">
        <v>51.2</v>
      </c>
      <c r="BA183" s="118" t="n">
        <v>51.7</v>
      </c>
      <c r="BB183" s="124" t="inlineStr">
        <is>
          <t>N/A</t>
        </is>
      </c>
      <c r="BC183" s="124" t="inlineStr">
        <is>
          <t>N/A</t>
        </is>
      </c>
      <c r="BD183" s="124" t="inlineStr">
        <is>
          <t>N/A</t>
        </is>
      </c>
      <c r="BE183" s="124" t="inlineStr">
        <is>
          <t>N/A</t>
        </is>
      </c>
      <c r="BF183" s="120" t="n">
        <v>0.295</v>
      </c>
      <c r="BG183" s="117" t="n">
        <v>0.904</v>
      </c>
      <c r="BH183" s="122" t="n">
        <v>2</v>
      </c>
      <c r="BI183" s="123" t="n">
        <v>0.8333333333333334</v>
      </c>
    </row>
    <row r="184" ht="17" customHeight="1">
      <c r="A184" s="117" t="inlineStr">
        <is>
          <t>WEC</t>
        </is>
      </c>
      <c r="B184" s="117" t="inlineStr">
        <is>
          <t>WEC ENERGY GROUP, INC.</t>
        </is>
      </c>
      <c r="C184" s="118" t="n">
        <v>1.084</v>
      </c>
      <c r="D184" s="118" t="n">
        <v>1.037</v>
      </c>
      <c r="E184" s="118" t="n">
        <v>0.9330000000000001</v>
      </c>
      <c r="F184" s="118" t="n">
        <v>1.14</v>
      </c>
      <c r="G184" s="118" t="n">
        <v>0.8169999999999999</v>
      </c>
      <c r="H184" s="124" t="inlineStr">
        <is>
          <t>N/A</t>
        </is>
      </c>
      <c r="I184" s="118" t="n">
        <v>1</v>
      </c>
      <c r="J184" s="118" t="n">
        <v>-0.053</v>
      </c>
      <c r="K184" s="118" t="n">
        <v>-2.383</v>
      </c>
      <c r="L184" s="119" t="inlineStr">
        <is>
          <t>✓ Lower Risk</t>
        </is>
      </c>
      <c r="M184" s="120" t="n">
        <v>-0.022</v>
      </c>
      <c r="N184" s="120" t="n">
        <v>0.328</v>
      </c>
      <c r="O184" s="124" t="inlineStr">
        <is>
          <t>N/A</t>
        </is>
      </c>
      <c r="P184" s="120" t="n">
        <v>0.256</v>
      </c>
      <c r="Q184" s="120" t="n">
        <v>0</v>
      </c>
      <c r="R184" s="117" t="n">
        <v>1</v>
      </c>
      <c r="S184" s="118" t="n">
        <v>-3.504</v>
      </c>
      <c r="T184" s="118" t="n">
        <v>0.029</v>
      </c>
      <c r="U184" s="119" t="inlineStr">
        <is>
          <t>✓ Normal</t>
        </is>
      </c>
      <c r="V184" s="117" t="n">
        <v>1</v>
      </c>
      <c r="W184" s="117" t="n">
        <v>1</v>
      </c>
      <c r="X184" s="117" t="n">
        <v>0</v>
      </c>
      <c r="Y184" s="117" t="n">
        <v>1</v>
      </c>
      <c r="Z184" s="117" t="n">
        <v>0</v>
      </c>
      <c r="AA184" s="117" t="n">
        <v>0</v>
      </c>
      <c r="AB184" s="117" t="n">
        <v>3</v>
      </c>
      <c r="AC184" s="121" t="inlineStr">
        <is>
          <t>⚠ WATCH</t>
        </is>
      </c>
      <c r="AD184" s="118" t="n">
        <v>3379400000</v>
      </c>
      <c r="AE184" s="118" t="n">
        <v>-4874700000</v>
      </c>
      <c r="AF184" s="118" t="n">
        <v>640300000</v>
      </c>
      <c r="AG184" s="118" t="n">
        <v>0.043</v>
      </c>
      <c r="AH184" s="119" t="inlineStr">
        <is>
          <t>✓ Medium Quality</t>
        </is>
      </c>
      <c r="AI184" s="118" t="n">
        <v>0.236</v>
      </c>
      <c r="AJ184" s="120" t="n">
        <v>0.14</v>
      </c>
      <c r="AK184" s="120" t="n">
        <v>1.689</v>
      </c>
      <c r="AL184" s="120" t="n">
        <v>0.345</v>
      </c>
      <c r="AM184" s="120" t="n">
        <v>-0.002</v>
      </c>
      <c r="AN184" s="118" t="n">
        <v>79.2</v>
      </c>
      <c r="AO184" s="119" t="inlineStr">
        <is>
          <t>✓ Good</t>
        </is>
      </c>
      <c r="AP184" s="117" t="n">
        <v>0</v>
      </c>
      <c r="AQ184" s="117" t="n">
        <v>0</v>
      </c>
      <c r="AR184" s="117" t="n">
        <v>1</v>
      </c>
      <c r="AS184" s="117" t="n">
        <v>0</v>
      </c>
      <c r="AT184" s="117" t="n">
        <v>0</v>
      </c>
      <c r="AU184" s="117" t="n">
        <v>1</v>
      </c>
      <c r="AV184" s="117" t="n">
        <v>2</v>
      </c>
      <c r="AW184" s="121" t="inlineStr">
        <is>
          <t>⚠ WATCH</t>
        </is>
      </c>
      <c r="AX184" s="118" t="n">
        <v>25.3</v>
      </c>
      <c r="AY184" s="119" t="inlineStr">
        <is>
          <t>🟢 LOW RISK</t>
        </is>
      </c>
      <c r="AZ184" s="118" t="n">
        <v>76.8</v>
      </c>
      <c r="BA184" s="118" t="n">
        <v>70.8</v>
      </c>
      <c r="BB184" s="124" t="inlineStr">
        <is>
          <t>N/A</t>
        </is>
      </c>
      <c r="BC184" s="124" t="inlineStr">
        <is>
          <t>N/A</t>
        </is>
      </c>
      <c r="BD184" s="118" t="n">
        <v>127.4</v>
      </c>
      <c r="BE184" s="118" t="n">
        <v>156.3</v>
      </c>
      <c r="BF184" s="120" t="n">
        <v>0.07099999999999999</v>
      </c>
      <c r="BG184" s="117" t="n">
        <v>0.256</v>
      </c>
      <c r="BH184" s="122" t="n">
        <v>6</v>
      </c>
      <c r="BI184" s="123" t="n">
        <v>1</v>
      </c>
    </row>
    <row r="185" ht="17" customHeight="1">
      <c r="A185" s="117" t="inlineStr">
        <is>
          <t>CRS</t>
        </is>
      </c>
      <c r="B185" s="117" t="inlineStr">
        <is>
          <t>CARPENTER TECHNOLOGY CORPORATION</t>
        </is>
      </c>
      <c r="C185" s="118" t="n">
        <v>0.293</v>
      </c>
      <c r="D185" s="118" t="n">
        <v>2.654</v>
      </c>
      <c r="E185" s="118" t="n">
        <v>0.9370000000000001</v>
      </c>
      <c r="F185" s="118" t="n">
        <v>3.491</v>
      </c>
      <c r="G185" s="118" t="n">
        <v>0.909</v>
      </c>
      <c r="H185" s="118" t="n">
        <v>0.303</v>
      </c>
      <c r="I185" s="118" t="n">
        <v>0.908</v>
      </c>
      <c r="J185" s="118" t="n">
        <v>-0.018</v>
      </c>
      <c r="K185" s="118" t="n">
        <v>-0.007</v>
      </c>
      <c r="L185" s="121" t="inlineStr">
        <is>
          <t>⚠ MANIPULATOR RISK</t>
        </is>
      </c>
      <c r="M185" s="120" t="n">
        <v>-0.008</v>
      </c>
      <c r="N185" s="120" t="n">
        <v>0.008</v>
      </c>
      <c r="O185" s="120" t="n">
        <v>0.038</v>
      </c>
      <c r="P185" s="120" t="n">
        <v>0.52</v>
      </c>
      <c r="Q185" s="120" t="n">
        <v>0.051</v>
      </c>
      <c r="R185" s="117" t="n">
        <v>0</v>
      </c>
      <c r="S185" s="118" t="n">
        <v>-6.827</v>
      </c>
      <c r="T185" s="118" t="n">
        <v>0.001</v>
      </c>
      <c r="U185" s="119" t="inlineStr">
        <is>
          <t>✓ Normal</t>
        </is>
      </c>
      <c r="V185" s="117" t="n">
        <v>1</v>
      </c>
      <c r="W185" s="117" t="n">
        <v>0</v>
      </c>
      <c r="X185" s="117" t="n">
        <v>0</v>
      </c>
      <c r="Y185" s="117" t="n">
        <v>1</v>
      </c>
      <c r="Z185" s="117" t="n">
        <v>0</v>
      </c>
      <c r="AA185" s="117" t="n">
        <v>0</v>
      </c>
      <c r="AB185" s="117" t="n">
        <v>2</v>
      </c>
      <c r="AC185" s="121" t="inlineStr">
        <is>
          <t>⚠ WATCH</t>
        </is>
      </c>
      <c r="AD185" s="118" t="n">
        <v>440400000</v>
      </c>
      <c r="AE185" s="118" t="n">
        <v>-152900000</v>
      </c>
      <c r="AF185" s="118" t="n">
        <v>376000000</v>
      </c>
      <c r="AG185" s="118" t="n">
        <v>0.026</v>
      </c>
      <c r="AH185" s="119" t="inlineStr">
        <is>
          <t>✓ Medium Quality</t>
        </is>
      </c>
      <c r="AI185" s="118" t="n">
        <v>0.023</v>
      </c>
      <c r="AJ185" s="120" t="n">
        <v>2.491</v>
      </c>
      <c r="AK185" s="120" t="n">
        <v>0.008999999999999999</v>
      </c>
      <c r="AL185" s="120" t="n">
        <v>0.204</v>
      </c>
      <c r="AM185" s="120" t="n">
        <v>0</v>
      </c>
      <c r="AN185" s="117" t="n">
        <v>100</v>
      </c>
      <c r="AO185" s="119" t="inlineStr">
        <is>
          <t>✓ Good</t>
        </is>
      </c>
      <c r="AP185" s="117" t="n">
        <v>0</v>
      </c>
      <c r="AQ185" s="117" t="n">
        <v>0</v>
      </c>
      <c r="AR185" s="117" t="n">
        <v>1</v>
      </c>
      <c r="AS185" s="117" t="n">
        <v>0</v>
      </c>
      <c r="AT185" s="117" t="n">
        <v>1</v>
      </c>
      <c r="AU185" s="117" t="n">
        <v>0</v>
      </c>
      <c r="AV185" s="117" t="n">
        <v>2</v>
      </c>
      <c r="AW185" s="121" t="inlineStr">
        <is>
          <t>⚠ WATCH</t>
        </is>
      </c>
      <c r="AX185" s="118" t="n">
        <v>23.5</v>
      </c>
      <c r="AY185" s="119" t="inlineStr">
        <is>
          <t>🟢 LOW RISK</t>
        </is>
      </c>
      <c r="AZ185" s="118" t="n">
        <v>97.40000000000001</v>
      </c>
      <c r="BA185" s="118" t="n">
        <v>332.3</v>
      </c>
      <c r="BB185" s="118" t="n">
        <v>149.7</v>
      </c>
      <c r="BC185" s="118" t="n">
        <v>151.2</v>
      </c>
      <c r="BD185" s="118" t="n">
        <v>50.4</v>
      </c>
      <c r="BE185" s="118" t="n">
        <v>54.3</v>
      </c>
      <c r="BF185" s="120" t="n">
        <v>0.195</v>
      </c>
      <c r="BG185" s="117" t="n">
        <v>0.52</v>
      </c>
      <c r="BH185" s="122" t="n">
        <v>4</v>
      </c>
      <c r="BI185" s="123" t="n">
        <v>1</v>
      </c>
    </row>
    <row r="186" ht="17" customHeight="1">
      <c r="A186" s="117" t="inlineStr">
        <is>
          <t>HII</t>
        </is>
      </c>
      <c r="B186" s="117" t="inlineStr">
        <is>
          <t>HUNTINGTON INGALLS INDUSTRIES, INC.</t>
        </is>
      </c>
      <c r="C186" s="118" t="n">
        <v>1.478</v>
      </c>
      <c r="D186" s="118" t="n">
        <v>0.963</v>
      </c>
      <c r="E186" s="118" t="n">
        <v>0.971</v>
      </c>
      <c r="F186" s="118" t="n">
        <v>1.082</v>
      </c>
      <c r="G186" s="118" t="n">
        <v>1.064</v>
      </c>
      <c r="H186" s="118" t="n">
        <v>0.928</v>
      </c>
      <c r="I186" s="118" t="n">
        <v>0.978</v>
      </c>
      <c r="J186" s="118" t="n">
        <v>-0.046</v>
      </c>
      <c r="K186" s="118" t="n">
        <v>-2.188</v>
      </c>
      <c r="L186" s="121" t="inlineStr">
        <is>
          <t>⚠ MANIPULATOR RISK</t>
        </is>
      </c>
      <c r="M186" s="120" t="n">
        <v>-0.022</v>
      </c>
      <c r="N186" s="120" t="n">
        <v>0.134</v>
      </c>
      <c r="O186" s="124" t="inlineStr">
        <is>
          <t>N/A</t>
        </is>
      </c>
      <c r="P186" s="120" t="n">
        <v>0.659</v>
      </c>
      <c r="Q186" s="120" t="n">
        <v>0.002</v>
      </c>
      <c r="R186" s="117" t="n">
        <v>1</v>
      </c>
      <c r="S186" s="118" t="n">
        <v>-3.197</v>
      </c>
      <c r="T186" s="118" t="n">
        <v>0.039</v>
      </c>
      <c r="U186" s="121" t="inlineStr">
        <is>
          <t>⚠ HIGH RISK</t>
        </is>
      </c>
      <c r="V186" s="117" t="n">
        <v>0</v>
      </c>
      <c r="W186" s="117" t="n">
        <v>1</v>
      </c>
      <c r="X186" s="117" t="n">
        <v>0</v>
      </c>
      <c r="Y186" s="117" t="n">
        <v>1</v>
      </c>
      <c r="Z186" s="117" t="n">
        <v>1</v>
      </c>
      <c r="AA186" s="117" t="n">
        <v>0</v>
      </c>
      <c r="AB186" s="117" t="n">
        <v>3</v>
      </c>
      <c r="AC186" s="121" t="inlineStr">
        <is>
          <t>⚠ WATCH</t>
        </is>
      </c>
      <c r="AD186" s="118" t="n">
        <v>1196000000</v>
      </c>
      <c r="AE186" s="118" t="n">
        <v>-521000000</v>
      </c>
      <c r="AF186" s="118" t="n">
        <v>605000000</v>
      </c>
      <c r="AG186" s="118" t="n">
        <v>-0.006</v>
      </c>
      <c r="AH186" s="119" t="inlineStr">
        <is>
          <t>✓ Medium Quality</t>
        </is>
      </c>
      <c r="AI186" s="118" t="n">
        <v>0.599</v>
      </c>
      <c r="AJ186" s="120" t="n">
        <v>0.082</v>
      </c>
      <c r="AK186" s="120" t="n">
        <v>7.281</v>
      </c>
      <c r="AL186" s="120" t="n">
        <v>0.096</v>
      </c>
      <c r="AM186" s="120" t="n">
        <v>0.036</v>
      </c>
      <c r="AN186" s="118" t="n">
        <v>60.9</v>
      </c>
      <c r="AO186" s="121" t="inlineStr">
        <is>
          <t>⚠ WATCH</t>
        </is>
      </c>
      <c r="AP186" s="117" t="n">
        <v>0</v>
      </c>
      <c r="AQ186" s="117" t="n">
        <v>0</v>
      </c>
      <c r="AR186" s="117" t="n">
        <v>0</v>
      </c>
      <c r="AS186" s="117" t="n">
        <v>0</v>
      </c>
      <c r="AT186" s="117" t="n">
        <v>1</v>
      </c>
      <c r="AU186" s="117" t="n">
        <v>0</v>
      </c>
      <c r="AV186" s="117" t="n">
        <v>1</v>
      </c>
      <c r="AW186" s="119" t="inlineStr">
        <is>
          <t>✓ Clean</t>
        </is>
      </c>
      <c r="AX186" s="118" t="n">
        <v>26.7</v>
      </c>
      <c r="AY186" s="119" t="inlineStr">
        <is>
          <t>🟢 LOW RISK</t>
        </is>
      </c>
      <c r="AZ186" s="118" t="n">
        <v>9.9</v>
      </c>
      <c r="BA186" s="118" t="n">
        <v>6.7</v>
      </c>
      <c r="BB186" s="124" t="inlineStr">
        <is>
          <t>N/A</t>
        </is>
      </c>
      <c r="BC186" s="124" t="inlineStr">
        <is>
          <t>N/A</t>
        </is>
      </c>
      <c r="BD186" s="118" t="n">
        <v>45.7</v>
      </c>
      <c r="BE186" s="118" t="n">
        <v>49.8</v>
      </c>
      <c r="BF186" s="120" t="n">
        <v>0.221</v>
      </c>
      <c r="BG186" s="117" t="n">
        <v>0.659</v>
      </c>
      <c r="BH186" s="122" t="n">
        <v>5</v>
      </c>
      <c r="BI186" s="123" t="n">
        <v>1</v>
      </c>
    </row>
    <row r="187" ht="17" customHeight="1">
      <c r="A187" s="117" t="inlineStr">
        <is>
          <t>TSLA</t>
        </is>
      </c>
      <c r="B187" s="117" t="inlineStr">
        <is>
          <t>Tesla, Inc.</t>
        </is>
      </c>
      <c r="C187" s="118" t="n">
        <v>1.067</v>
      </c>
      <c r="D187" s="118" t="n">
        <v>0.991</v>
      </c>
      <c r="E187" s="118" t="n">
        <v>0.869</v>
      </c>
      <c r="F187" s="118" t="n">
        <v>0.971</v>
      </c>
      <c r="G187" s="118" t="n">
        <v>0.707</v>
      </c>
      <c r="H187" s="118" t="n">
        <v>1.167</v>
      </c>
      <c r="I187" s="118" t="n">
        <v>1.006</v>
      </c>
      <c r="J187" s="118" t="n">
        <v>-0.079</v>
      </c>
      <c r="K187" s="118" t="n">
        <v>-2.938</v>
      </c>
      <c r="L187" s="119" t="inlineStr">
        <is>
          <t>✓ Lower Risk</t>
        </is>
      </c>
      <c r="M187" s="120" t="n">
        <v>0.039</v>
      </c>
      <c r="N187" s="120" t="n">
        <v>0.055</v>
      </c>
      <c r="O187" s="120" t="n">
        <v>0.131</v>
      </c>
      <c r="P187" s="120" t="n">
        <v>0.62</v>
      </c>
      <c r="Q187" s="120" t="n">
        <v>-0.031</v>
      </c>
      <c r="R187" s="117" t="n">
        <v>1</v>
      </c>
      <c r="S187" s="118" t="n">
        <v>-3.253</v>
      </c>
      <c r="T187" s="118" t="n">
        <v>0.037</v>
      </c>
      <c r="U187" s="121" t="inlineStr">
        <is>
          <t>⚠ HIGH RISK</t>
        </is>
      </c>
      <c r="V187" s="117" t="n">
        <v>0</v>
      </c>
      <c r="W187" s="117" t="n">
        <v>1</v>
      </c>
      <c r="X187" s="117" t="n">
        <v>1</v>
      </c>
      <c r="Y187" s="117" t="n">
        <v>0</v>
      </c>
      <c r="Z187" s="117" t="n">
        <v>0</v>
      </c>
      <c r="AA187" s="117" t="n">
        <v>1</v>
      </c>
      <c r="AB187" s="117" t="n">
        <v>3</v>
      </c>
      <c r="AC187" s="121" t="inlineStr">
        <is>
          <t>⚠ WATCH</t>
        </is>
      </c>
      <c r="AD187" s="118" t="n">
        <v>14747000000</v>
      </c>
      <c r="AE187" s="118" t="n">
        <v>-15478000000</v>
      </c>
      <c r="AF187" s="118" t="n">
        <v>3794000000</v>
      </c>
      <c r="AG187" s="118" t="n">
        <v>0.035</v>
      </c>
      <c r="AH187" s="119" t="inlineStr">
        <is>
          <t>✓ Medium Quality</t>
        </is>
      </c>
      <c r="AI187" s="118" t="n">
        <v>0.036</v>
      </c>
      <c r="AJ187" s="120" t="n">
        <v>-0.029</v>
      </c>
      <c r="AK187" s="120" t="n">
        <v>-1.22</v>
      </c>
      <c r="AL187" s="120" t="n">
        <v>0.156</v>
      </c>
      <c r="AM187" s="120" t="n">
        <v>0.003</v>
      </c>
      <c r="AN187" s="117" t="n">
        <v>100</v>
      </c>
      <c r="AO187" s="119" t="inlineStr">
        <is>
          <t>✓ Good</t>
        </is>
      </c>
      <c r="AP187" s="117" t="n">
        <v>1</v>
      </c>
      <c r="AQ187" s="117" t="n">
        <v>1</v>
      </c>
      <c r="AR187" s="117" t="n">
        <v>0</v>
      </c>
      <c r="AS187" s="117" t="n">
        <v>1</v>
      </c>
      <c r="AT187" s="117" t="n">
        <v>0</v>
      </c>
      <c r="AU187" s="117" t="n">
        <v>0</v>
      </c>
      <c r="AV187" s="117" t="n">
        <v>3</v>
      </c>
      <c r="AW187" s="121" t="inlineStr">
        <is>
          <t>⚠ WATCH</t>
        </is>
      </c>
      <c r="AX187" s="118" t="n">
        <v>24.5</v>
      </c>
      <c r="AY187" s="119" t="inlineStr">
        <is>
          <t>🟢 LOW RISK</t>
        </is>
      </c>
      <c r="AZ187" s="118" t="n">
        <v>17.6</v>
      </c>
      <c r="BA187" s="118" t="n">
        <v>16.5</v>
      </c>
      <c r="BB187" s="118" t="n">
        <v>58.2</v>
      </c>
      <c r="BC187" s="118" t="n">
        <v>54.7</v>
      </c>
      <c r="BD187" s="118" t="n">
        <v>62.8</v>
      </c>
      <c r="BE187" s="118" t="n">
        <v>56.7</v>
      </c>
      <c r="BF187" s="120" t="n">
        <v>0.27</v>
      </c>
      <c r="BG187" s="117" t="n">
        <v>0.62</v>
      </c>
      <c r="BH187" s="122" t="n">
        <v>7</v>
      </c>
      <c r="BI187" s="123" t="n">
        <v>1</v>
      </c>
    </row>
    <row r="188" ht="17" customHeight="1">
      <c r="A188" s="117" t="inlineStr">
        <is>
          <t>IIPR</t>
        </is>
      </c>
      <c r="B188" s="117" t="inlineStr">
        <is>
          <t>Innovative Industrial Properties, Inc.</t>
        </is>
      </c>
      <c r="C188" s="124" t="inlineStr">
        <is>
          <t>N/A</t>
        </is>
      </c>
      <c r="D188" s="118" t="n">
        <v>1.19</v>
      </c>
      <c r="E188" s="124" t="inlineStr">
        <is>
          <t>N/A</t>
        </is>
      </c>
      <c r="F188" s="118" t="n">
        <v>0.862</v>
      </c>
      <c r="G188" s="124" t="inlineStr">
        <is>
          <t>N/A</t>
        </is>
      </c>
      <c r="H188" s="118" t="n">
        <v>1.045</v>
      </c>
      <c r="I188" s="118" t="n">
        <v>1.187</v>
      </c>
      <c r="J188" s="118" t="n">
        <v>-0.034</v>
      </c>
      <c r="K188" s="124" t="inlineStr">
        <is>
          <t>N/A</t>
        </is>
      </c>
      <c r="L188" s="124" t="inlineStr">
        <is>
          <t>N/A</t>
        </is>
      </c>
      <c r="M188" s="124" t="inlineStr">
        <is>
          <t>N/A</t>
        </is>
      </c>
      <c r="N188" s="124" t="inlineStr">
        <is>
          <t>N/A</t>
        </is>
      </c>
      <c r="O188" s="124" t="inlineStr">
        <is>
          <t>N/A</t>
        </is>
      </c>
      <c r="P188" s="120" t="n">
        <v>0.98</v>
      </c>
      <c r="Q188" s="120" t="n">
        <v>-0.018</v>
      </c>
      <c r="R188" s="117" t="n">
        <v>0</v>
      </c>
      <c r="S188" s="124" t="inlineStr">
        <is>
          <t>N/A</t>
        </is>
      </c>
      <c r="T188" s="124" t="inlineStr">
        <is>
          <t>N/A</t>
        </is>
      </c>
      <c r="U188" s="124" t="inlineStr">
        <is>
          <t>N/A</t>
        </is>
      </c>
      <c r="V188" s="117" t="n">
        <v>1</v>
      </c>
      <c r="W188" s="117" t="n">
        <v>0</v>
      </c>
      <c r="X188" s="117" t="n">
        <v>0</v>
      </c>
      <c r="Y188" s="117" t="n">
        <v>0</v>
      </c>
      <c r="Z188" s="117" t="n">
        <v>0</v>
      </c>
      <c r="AA188" s="117" t="n">
        <v>0</v>
      </c>
      <c r="AB188" s="117" t="n">
        <v>1</v>
      </c>
      <c r="AC188" s="119" t="inlineStr">
        <is>
          <t>✓ Clean</t>
        </is>
      </c>
      <c r="AD188" s="118" t="n">
        <v>198189000</v>
      </c>
      <c r="AE188" s="118" t="n">
        <v>-174301000</v>
      </c>
      <c r="AF188" s="118" t="n">
        <v>118247000</v>
      </c>
      <c r="AG188" s="118" t="n">
        <v>0.04</v>
      </c>
      <c r="AH188" s="119" t="inlineStr">
        <is>
          <t>✓ Medium Quality</t>
        </is>
      </c>
      <c r="AI188" s="124" t="inlineStr">
        <is>
          <t>N/A</t>
        </is>
      </c>
      <c r="AJ188" s="120" t="n">
        <v>-0.138</v>
      </c>
      <c r="AK188" s="124" t="inlineStr">
        <is>
          <t>N/A</t>
        </is>
      </c>
      <c r="AL188" s="120" t="n">
        <v>0.745</v>
      </c>
      <c r="AM188" s="124" t="inlineStr">
        <is>
          <t>N/A</t>
        </is>
      </c>
      <c r="AN188" s="117" t="n">
        <v>100</v>
      </c>
      <c r="AO188" s="119" t="inlineStr">
        <is>
          <t>✓ Good</t>
        </is>
      </c>
      <c r="AP188" s="117" t="n">
        <v>0</v>
      </c>
      <c r="AQ188" s="117" t="n">
        <v>0</v>
      </c>
      <c r="AR188" s="117" t="n">
        <v>1</v>
      </c>
      <c r="AS188" s="117" t="n">
        <v>1</v>
      </c>
      <c r="AT188" s="117" t="n">
        <v>0</v>
      </c>
      <c r="AU188" s="117" t="n">
        <v>0</v>
      </c>
      <c r="AV188" s="117" t="n">
        <v>2</v>
      </c>
      <c r="AW188" s="121" t="inlineStr">
        <is>
          <t>⚠ WATCH</t>
        </is>
      </c>
      <c r="AX188" s="118" t="n">
        <v>27.8</v>
      </c>
      <c r="AY188" s="119" t="inlineStr">
        <is>
          <t>🟢 LOW RISK</t>
        </is>
      </c>
      <c r="AZ188" s="118" t="n">
        <v>0</v>
      </c>
      <c r="BA188" s="124" t="inlineStr">
        <is>
          <t>N/A</t>
        </is>
      </c>
      <c r="BB188" s="124" t="inlineStr">
        <is>
          <t>N/A</t>
        </is>
      </c>
      <c r="BC188" s="124" t="inlineStr">
        <is>
          <t>N/A</t>
        </is>
      </c>
      <c r="BD188" s="124" t="inlineStr">
        <is>
          <t>N/A</t>
        </is>
      </c>
      <c r="BE188" s="124" t="inlineStr">
        <is>
          <t>N/A</t>
        </is>
      </c>
      <c r="BF188" s="124" t="inlineStr">
        <is>
          <t>N/A</t>
        </is>
      </c>
      <c r="BG188" s="117" t="n">
        <v>0.98</v>
      </c>
      <c r="BH188" s="122" t="n">
        <v>3</v>
      </c>
      <c r="BI188" s="125" t="n">
        <v>0.6666666666666666</v>
      </c>
    </row>
    <row r="189" ht="17" customHeight="1">
      <c r="A189" s="117" t="inlineStr">
        <is>
          <t>MRVL</t>
        </is>
      </c>
      <c r="B189" s="117" t="inlineStr">
        <is>
          <t>MARVELL TECHNOLOGY, INC</t>
        </is>
      </c>
      <c r="C189" s="118" t="n">
        <v>1.496</v>
      </c>
      <c r="D189" s="118" t="n">
        <v>0.8100000000000001</v>
      </c>
      <c r="E189" s="118" t="n">
        <v>0.829</v>
      </c>
      <c r="F189" s="118" t="n">
        <v>1.421</v>
      </c>
      <c r="G189" s="118" t="n">
        <v>1.024</v>
      </c>
      <c r="H189" s="118" t="n">
        <v>0.676</v>
      </c>
      <c r="I189" s="118" t="n">
        <v>1.067</v>
      </c>
      <c r="J189" s="118" t="n">
        <v>0.041</v>
      </c>
      <c r="K189" s="118" t="n">
        <v>-1.588</v>
      </c>
      <c r="L189" s="121" t="inlineStr">
        <is>
          <t>⚠ MANIPULATOR RISK</t>
        </is>
      </c>
      <c r="M189" s="120" t="n">
        <v>0.007</v>
      </c>
      <c r="N189" s="120" t="n">
        <v>0.477</v>
      </c>
      <c r="O189" s="120" t="n">
        <v>0.148</v>
      </c>
      <c r="P189" s="120" t="n">
        <v>0.84</v>
      </c>
      <c r="Q189" s="120" t="n">
        <v>0.164</v>
      </c>
      <c r="R189" s="117" t="n">
        <v>0</v>
      </c>
      <c r="S189" s="118" t="n">
        <v>-4.921</v>
      </c>
      <c r="T189" s="118" t="n">
        <v>0.007</v>
      </c>
      <c r="U189" s="119" t="inlineStr">
        <is>
          <t>✓ Normal</t>
        </is>
      </c>
      <c r="V189" s="117" t="n">
        <v>1</v>
      </c>
      <c r="W189" s="117" t="n">
        <v>1</v>
      </c>
      <c r="X189" s="117" t="n">
        <v>0</v>
      </c>
      <c r="Y189" s="117" t="n">
        <v>0</v>
      </c>
      <c r="Z189" s="117" t="n">
        <v>0</v>
      </c>
      <c r="AA189" s="117" t="n">
        <v>1</v>
      </c>
      <c r="AB189" s="117" t="n">
        <v>3</v>
      </c>
      <c r="AC189" s="121" t="inlineStr">
        <is>
          <t>⚠ WATCH</t>
        </is>
      </c>
      <c r="AD189" s="118" t="n">
        <v>1750500000</v>
      </c>
      <c r="AE189" s="118" t="n">
        <v>2097800000</v>
      </c>
      <c r="AF189" s="118" t="n">
        <v>2670100000</v>
      </c>
      <c r="AG189" s="118" t="n">
        <v>-0.055</v>
      </c>
      <c r="AH189" s="119" t="inlineStr">
        <is>
          <t>✓ Medium Quality</t>
        </is>
      </c>
      <c r="AI189" s="118" t="n">
        <v>1.126</v>
      </c>
      <c r="AJ189" s="120" t="n">
        <v>0.421</v>
      </c>
      <c r="AK189" s="120" t="n">
        <v>2.676</v>
      </c>
      <c r="AL189" s="120" t="n">
        <v>0.214</v>
      </c>
      <c r="AM189" s="120" t="n">
        <v>0.002</v>
      </c>
      <c r="AN189" s="118" t="n">
        <v>70.09999999999999</v>
      </c>
      <c r="AO189" s="119" t="inlineStr">
        <is>
          <t>✓ Good</t>
        </is>
      </c>
      <c r="AP189" s="117" t="n">
        <v>0</v>
      </c>
      <c r="AQ189" s="117" t="n">
        <v>0</v>
      </c>
      <c r="AR189" s="117" t="n">
        <v>0</v>
      </c>
      <c r="AS189" s="117" t="n">
        <v>0</v>
      </c>
      <c r="AT189" s="117" t="n">
        <v>1</v>
      </c>
      <c r="AU189" s="117" t="n">
        <v>0</v>
      </c>
      <c r="AV189" s="117" t="n">
        <v>1</v>
      </c>
      <c r="AW189" s="119" t="inlineStr">
        <is>
          <t>✓ Clean</t>
        </is>
      </c>
      <c r="AX189" s="118" t="n">
        <v>24.3</v>
      </c>
      <c r="AY189" s="119" t="inlineStr">
        <is>
          <t>🟢 LOW RISK</t>
        </is>
      </c>
      <c r="AZ189" s="118" t="n">
        <v>97.40000000000001</v>
      </c>
      <c r="BA189" s="118" t="n">
        <v>65.09999999999999</v>
      </c>
      <c r="BB189" s="118" t="n">
        <v>126.2</v>
      </c>
      <c r="BC189" s="118" t="n">
        <v>111</v>
      </c>
      <c r="BD189" s="118" t="n">
        <v>97.59999999999999</v>
      </c>
      <c r="BE189" s="118" t="n">
        <v>67.09999999999999</v>
      </c>
      <c r="BF189" s="120" t="n">
        <v>0.124</v>
      </c>
      <c r="BG189" s="117" t="n">
        <v>0.84</v>
      </c>
      <c r="BH189" s="122" t="n">
        <v>4</v>
      </c>
      <c r="BI189" s="123" t="n">
        <v>1</v>
      </c>
    </row>
    <row r="190" ht="17" customHeight="1">
      <c r="A190" s="117" t="inlineStr">
        <is>
          <t>CFR</t>
        </is>
      </c>
      <c r="B190" s="117" t="inlineStr">
        <is>
          <t>Cullen/Frost Bankers, Inc.</t>
        </is>
      </c>
      <c r="C190" s="124" t="inlineStr">
        <is>
          <t>N/A</t>
        </is>
      </c>
      <c r="D190" s="124" t="inlineStr">
        <is>
          <t>N/A</t>
        </is>
      </c>
      <c r="E190" s="118" t="n">
        <v>0.999</v>
      </c>
      <c r="F190" s="118" t="n">
        <v>1.083</v>
      </c>
      <c r="G190" s="118" t="n">
        <v>0.995</v>
      </c>
      <c r="H190" s="124" t="inlineStr">
        <is>
          <t>N/A</t>
        </is>
      </c>
      <c r="I190" s="118" t="n">
        <v>0.987</v>
      </c>
      <c r="J190" s="118" t="n">
        <v>0.007</v>
      </c>
      <c r="K190" s="124" t="inlineStr">
        <is>
          <t>N/A</t>
        </is>
      </c>
      <c r="L190" s="124" t="inlineStr">
        <is>
          <t>N/A</t>
        </is>
      </c>
      <c r="M190" s="124" t="inlineStr">
        <is>
          <t>N/A</t>
        </is>
      </c>
      <c r="N190" s="124" t="inlineStr">
        <is>
          <t>N/A</t>
        </is>
      </c>
      <c r="O190" s="124" t="inlineStr">
        <is>
          <t>N/A</t>
        </is>
      </c>
      <c r="P190" s="120" t="n">
        <v>0.889</v>
      </c>
      <c r="Q190" s="120" t="n">
        <v>0.001</v>
      </c>
      <c r="R190" s="117" t="n">
        <v>0</v>
      </c>
      <c r="S190" s="124" t="inlineStr">
        <is>
          <t>N/A</t>
        </is>
      </c>
      <c r="T190" s="124" t="inlineStr">
        <is>
          <t>N/A</t>
        </is>
      </c>
      <c r="U190" s="124" t="inlineStr">
        <is>
          <t>N/A</t>
        </is>
      </c>
      <c r="V190" s="117" t="n">
        <v>1</v>
      </c>
      <c r="W190" s="117" t="n">
        <v>0</v>
      </c>
      <c r="X190" s="117" t="n">
        <v>0</v>
      </c>
      <c r="Y190" s="117" t="n">
        <v>0</v>
      </c>
      <c r="Z190" s="117" t="n">
        <v>0</v>
      </c>
      <c r="AA190" s="117" t="n">
        <v>0</v>
      </c>
      <c r="AB190" s="117" t="n">
        <v>1</v>
      </c>
      <c r="AC190" s="119" t="inlineStr">
        <is>
          <t>✓ Clean</t>
        </is>
      </c>
      <c r="AD190" s="118" t="n">
        <v>273979000</v>
      </c>
      <c r="AE190" s="118" t="n">
        <v>-1601095000</v>
      </c>
      <c r="AF190" s="118" t="n">
        <v>648557000</v>
      </c>
      <c r="AG190" s="118" t="n">
        <v>0.037</v>
      </c>
      <c r="AH190" s="119" t="inlineStr">
        <is>
          <t>✓ Medium Quality</t>
        </is>
      </c>
      <c r="AI190" s="124" t="inlineStr">
        <is>
          <t>N/A</t>
        </is>
      </c>
      <c r="AJ190" s="120" t="n">
        <v>0.083</v>
      </c>
      <c r="AK190" s="124" t="inlineStr">
        <is>
          <t>N/A</t>
        </is>
      </c>
      <c r="AL190" s="120" t="n">
        <v>0.123</v>
      </c>
      <c r="AM190" s="124" t="inlineStr">
        <is>
          <t>N/A</t>
        </is>
      </c>
      <c r="AN190" s="118" t="n">
        <v>94.5</v>
      </c>
      <c r="AO190" s="119" t="inlineStr">
        <is>
          <t>✓ Good</t>
        </is>
      </c>
      <c r="AP190" s="117" t="n">
        <v>0</v>
      </c>
      <c r="AQ190" s="117" t="n">
        <v>0</v>
      </c>
      <c r="AR190" s="117" t="n">
        <v>0</v>
      </c>
      <c r="AS190" s="117" t="n">
        <v>0</v>
      </c>
      <c r="AT190" s="117" t="n">
        <v>0</v>
      </c>
      <c r="AU190" s="117" t="n">
        <v>1</v>
      </c>
      <c r="AV190" s="117" t="n">
        <v>1</v>
      </c>
      <c r="AW190" s="119" t="inlineStr">
        <is>
          <t>✓ Clean</t>
        </is>
      </c>
      <c r="AX190" s="118" t="n">
        <v>27.2</v>
      </c>
      <c r="AY190" s="119" t="inlineStr">
        <is>
          <t>🟢 LOW RISK</t>
        </is>
      </c>
      <c r="AZ190" s="118" t="n">
        <v>0</v>
      </c>
      <c r="BA190" s="124" t="inlineStr">
        <is>
          <t>N/A</t>
        </is>
      </c>
      <c r="BB190" s="124" t="inlineStr">
        <is>
          <t>N/A</t>
        </is>
      </c>
      <c r="BC190" s="124" t="inlineStr">
        <is>
          <t>N/A</t>
        </is>
      </c>
      <c r="BD190" s="124" t="inlineStr">
        <is>
          <t>N/A</t>
        </is>
      </c>
      <c r="BE190" s="124" t="inlineStr">
        <is>
          <t>N/A</t>
        </is>
      </c>
      <c r="BF190" s="120" t="n">
        <v>0.16</v>
      </c>
      <c r="BG190" s="117" t="n">
        <v>0.889</v>
      </c>
      <c r="BH190" s="122" t="n">
        <v>2</v>
      </c>
      <c r="BI190" s="125" t="n">
        <v>0.6666666666666666</v>
      </c>
    </row>
    <row r="191" ht="17" customHeight="1">
      <c r="A191" s="117" t="inlineStr">
        <is>
          <t>OKE</t>
        </is>
      </c>
      <c r="B191" s="117" t="inlineStr">
        <is>
          <t>ONEOK INC /NEW/</t>
        </is>
      </c>
      <c r="C191" s="118" t="n">
        <v>0.956</v>
      </c>
      <c r="D191" s="118" t="n">
        <v>0.362</v>
      </c>
      <c r="E191" s="118" t="n">
        <v>0.989</v>
      </c>
      <c r="F191" s="118" t="n">
        <v>1.353</v>
      </c>
      <c r="G191" s="118" t="n">
        <v>0.786</v>
      </c>
      <c r="H191" s="124" t="inlineStr">
        <is>
          <t>N/A</t>
        </is>
      </c>
      <c r="I191" s="118" t="n">
        <v>1</v>
      </c>
      <c r="J191" s="118" t="n">
        <v>-0.033</v>
      </c>
      <c r="K191" s="118" t="n">
        <v>-2.554</v>
      </c>
      <c r="L191" s="119" t="inlineStr">
        <is>
          <t>✓ Lower Risk</t>
        </is>
      </c>
      <c r="M191" s="120" t="n">
        <v>-0.034</v>
      </c>
      <c r="N191" s="120" t="n">
        <v>0.117</v>
      </c>
      <c r="O191" s="120" t="n">
        <v>0.034</v>
      </c>
      <c r="P191" s="120" t="n">
        <v>0.281</v>
      </c>
      <c r="Q191" s="120" t="n">
        <v>0.004</v>
      </c>
      <c r="R191" s="117" t="n">
        <v>1</v>
      </c>
      <c r="S191" s="118" t="n">
        <v>-3.957</v>
      </c>
      <c r="T191" s="118" t="n">
        <v>0.019</v>
      </c>
      <c r="U191" s="119" t="inlineStr">
        <is>
          <t>✓ Normal</t>
        </is>
      </c>
      <c r="V191" s="117" t="n">
        <v>1</v>
      </c>
      <c r="W191" s="117" t="n">
        <v>0</v>
      </c>
      <c r="X191" s="117" t="n">
        <v>0</v>
      </c>
      <c r="Y191" s="117" t="n">
        <v>1</v>
      </c>
      <c r="Z191" s="117" t="n">
        <v>0</v>
      </c>
      <c r="AA191" s="117" t="n">
        <v>0</v>
      </c>
      <c r="AB191" s="117" t="n">
        <v>2</v>
      </c>
      <c r="AC191" s="121" t="inlineStr">
        <is>
          <t>⚠ WATCH</t>
        </is>
      </c>
      <c r="AD191" s="118" t="n">
        <v>5599000000</v>
      </c>
      <c r="AE191" s="118" t="n">
        <v>-3751000000</v>
      </c>
      <c r="AF191" s="118" t="n">
        <v>3393000000</v>
      </c>
      <c r="AG191" s="118" t="n">
        <v>0.024</v>
      </c>
      <c r="AH191" s="119" t="inlineStr">
        <is>
          <t>✓ Medium Quality</t>
        </is>
      </c>
      <c r="AI191" s="118" t="n">
        <v>0.294</v>
      </c>
      <c r="AJ191" s="120" t="n">
        <v>0.353</v>
      </c>
      <c r="AK191" s="120" t="n">
        <v>0.832</v>
      </c>
      <c r="AL191" s="120" t="n">
        <v>0.25</v>
      </c>
      <c r="AM191" s="120" t="n">
        <v>0.004</v>
      </c>
      <c r="AN191" s="117" t="n">
        <v>100</v>
      </c>
      <c r="AO191" s="119" t="inlineStr">
        <is>
          <t>✓ Good</t>
        </is>
      </c>
      <c r="AP191" s="117" t="n">
        <v>0</v>
      </c>
      <c r="AQ191" s="117" t="n">
        <v>0</v>
      </c>
      <c r="AR191" s="117" t="n">
        <v>0</v>
      </c>
      <c r="AS191" s="117" t="n">
        <v>0</v>
      </c>
      <c r="AT191" s="117" t="n">
        <v>0</v>
      </c>
      <c r="AU191" s="117" t="n">
        <v>1</v>
      </c>
      <c r="AV191" s="117" t="n">
        <v>1</v>
      </c>
      <c r="AW191" s="119" t="inlineStr">
        <is>
          <t>✓ Clean</t>
        </is>
      </c>
      <c r="AX191" s="118" t="n">
        <v>17.6</v>
      </c>
      <c r="AY191" s="119" t="inlineStr">
        <is>
          <t>🟢 VERY LOW RISK</t>
        </is>
      </c>
      <c r="AZ191" s="118" t="n">
        <v>49.1</v>
      </c>
      <c r="BA191" s="118" t="n">
        <v>51.3</v>
      </c>
      <c r="BB191" s="118" t="n">
        <v>14.8</v>
      </c>
      <c r="BC191" s="118" t="n">
        <v>20.5</v>
      </c>
      <c r="BD191" s="118" t="n">
        <v>44.3</v>
      </c>
      <c r="BE191" s="118" t="n">
        <v>60</v>
      </c>
      <c r="BF191" s="120" t="n">
        <v>0.229</v>
      </c>
      <c r="BG191" s="117" t="n">
        <v>0.281</v>
      </c>
      <c r="BH191" s="122" t="n">
        <v>4</v>
      </c>
      <c r="BI191" s="123" t="n">
        <v>1</v>
      </c>
    </row>
    <row r="192" ht="17" customHeight="1">
      <c r="A192" s="117" t="inlineStr">
        <is>
          <t>HUBS</t>
        </is>
      </c>
      <c r="B192" s="117" t="inlineStr">
        <is>
          <t>HUBSPOT INC</t>
        </is>
      </c>
      <c r="C192" s="118" t="n">
        <v>1.146</v>
      </c>
      <c r="D192" s="118" t="n">
        <v>0.931</v>
      </c>
      <c r="E192" s="118" t="n">
        <v>1.186</v>
      </c>
      <c r="F192" s="118" t="n">
        <v>1.093</v>
      </c>
      <c r="G192" s="118" t="n">
        <v>1.055</v>
      </c>
      <c r="H192" s="118" t="n">
        <v>0.994</v>
      </c>
      <c r="I192" s="118" t="n">
        <v>0.9330000000000001</v>
      </c>
      <c r="J192" s="118" t="n">
        <v>-0.185</v>
      </c>
      <c r="K192" s="118" t="n">
        <v>-3.063</v>
      </c>
      <c r="L192" s="119" t="inlineStr">
        <is>
          <t>✓ Lower Risk</t>
        </is>
      </c>
      <c r="M192" s="120" t="n">
        <v>-0.125</v>
      </c>
      <c r="N192" s="120" t="n">
        <v>6.913</v>
      </c>
      <c r="O192" s="124" t="inlineStr">
        <is>
          <t>N/A</t>
        </is>
      </c>
      <c r="P192" s="120" t="n">
        <v>0.734</v>
      </c>
      <c r="Q192" s="120" t="n">
        <v>0.011</v>
      </c>
      <c r="R192" s="117" t="n">
        <v>1</v>
      </c>
      <c r="S192" s="118" t="n">
        <v>13.939</v>
      </c>
      <c r="T192" s="118" t="n">
        <v>1</v>
      </c>
      <c r="U192" s="121" t="inlineStr">
        <is>
          <t>⚠ HIGH RISK</t>
        </is>
      </c>
      <c r="V192" s="117" t="n">
        <v>0</v>
      </c>
      <c r="W192" s="117" t="n">
        <v>1</v>
      </c>
      <c r="X192" s="117" t="n">
        <v>0</v>
      </c>
      <c r="Y192" s="117" t="n">
        <v>0</v>
      </c>
      <c r="Z192" s="117" t="n">
        <v>0</v>
      </c>
      <c r="AA192" s="117" t="n">
        <v>0</v>
      </c>
      <c r="AB192" s="117" t="n">
        <v>1</v>
      </c>
      <c r="AC192" s="119" t="inlineStr">
        <is>
          <t>✓ Clean</t>
        </is>
      </c>
      <c r="AD192" s="118" t="n">
        <v>760717000</v>
      </c>
      <c r="AE192" s="118" t="n">
        <v>491773000</v>
      </c>
      <c r="AF192" s="118" t="n">
        <v>45911000</v>
      </c>
      <c r="AG192" s="118" t="n">
        <v>-0.315</v>
      </c>
      <c r="AH192" s="119" t="inlineStr">
        <is>
          <t>✓ High Quality</t>
        </is>
      </c>
      <c r="AI192" s="118" t="n">
        <v>0.252</v>
      </c>
      <c r="AJ192" s="120" t="n">
        <v>0.093</v>
      </c>
      <c r="AK192" s="120" t="n">
        <v>2.722</v>
      </c>
      <c r="AL192" s="120" t="n">
        <v>5.282</v>
      </c>
      <c r="AM192" s="120" t="n">
        <v>0.288</v>
      </c>
      <c r="AN192" s="117" t="n">
        <v>80</v>
      </c>
      <c r="AO192" s="119" t="inlineStr">
        <is>
          <t>✓ Good</t>
        </is>
      </c>
      <c r="AP192" s="117" t="n">
        <v>0</v>
      </c>
      <c r="AQ192" s="117" t="n">
        <v>1</v>
      </c>
      <c r="AR192" s="117" t="n">
        <v>0</v>
      </c>
      <c r="AS192" s="117" t="n">
        <v>0</v>
      </c>
      <c r="AT192" s="117" t="n">
        <v>1</v>
      </c>
      <c r="AU192" s="117" t="n">
        <v>1</v>
      </c>
      <c r="AV192" s="117" t="n">
        <v>3</v>
      </c>
      <c r="AW192" s="121" t="inlineStr">
        <is>
          <t>⚠ WATCH</t>
        </is>
      </c>
      <c r="AX192" s="118" t="n">
        <v>48.5</v>
      </c>
      <c r="AY192" s="121" t="inlineStr">
        <is>
          <t>🟡 ELEVATED RISK</t>
        </is>
      </c>
      <c r="AZ192" s="118" t="n">
        <v>1062.3</v>
      </c>
      <c r="BA192" s="118" t="n">
        <v>927.1</v>
      </c>
      <c r="BB192" s="124" t="inlineStr">
        <is>
          <t>N/A</t>
        </is>
      </c>
      <c r="BC192" s="124" t="inlineStr">
        <is>
          <t>N/A</t>
        </is>
      </c>
      <c r="BD192" s="118" t="n">
        <v>17.8</v>
      </c>
      <c r="BE192" s="118" t="n">
        <v>3.4</v>
      </c>
      <c r="BF192" s="120" t="n">
        <v>0.339</v>
      </c>
      <c r="BG192" s="117" t="n">
        <v>0.734</v>
      </c>
      <c r="BH192" s="122" t="n">
        <v>5</v>
      </c>
      <c r="BI192" s="123" t="n">
        <v>1</v>
      </c>
    </row>
    <row r="193" ht="17" customHeight="1">
      <c r="A193" s="117" t="inlineStr">
        <is>
          <t>ZION</t>
        </is>
      </c>
      <c r="B193" s="117" t="inlineStr">
        <is>
          <t>ZIONS BANCORPORATION, NATIONAL ASSOCIATION</t>
        </is>
      </c>
      <c r="C193" s="124" t="inlineStr">
        <is>
          <t>N/A</t>
        </is>
      </c>
      <c r="D193" s="124" t="inlineStr">
        <is>
          <t>N/A</t>
        </is>
      </c>
      <c r="E193" s="118" t="n">
        <v>1</v>
      </c>
      <c r="F193" s="118" t="n">
        <v>1.036</v>
      </c>
      <c r="G193" s="118" t="n">
        <v>1.078</v>
      </c>
      <c r="H193" s="124" t="inlineStr">
        <is>
          <t>N/A</t>
        </is>
      </c>
      <c r="I193" s="118" t="n">
        <v>0.987</v>
      </c>
      <c r="J193" s="118" t="n">
        <v>-0.002</v>
      </c>
      <c r="K193" s="124" t="inlineStr">
        <is>
          <t>N/A</t>
        </is>
      </c>
      <c r="L193" s="124" t="inlineStr">
        <is>
          <t>N/A</t>
        </is>
      </c>
      <c r="M193" s="124" t="inlineStr">
        <is>
          <t>N/A</t>
        </is>
      </c>
      <c r="N193" s="124" t="inlineStr">
        <is>
          <t>N/A</t>
        </is>
      </c>
      <c r="O193" s="124" t="inlineStr">
        <is>
          <t>N/A</t>
        </is>
      </c>
      <c r="P193" s="120" t="n">
        <v>0.987</v>
      </c>
      <c r="Q193" s="120" t="n">
        <v>0.007</v>
      </c>
      <c r="R193" s="117" t="n">
        <v>0</v>
      </c>
      <c r="S193" s="124" t="inlineStr">
        <is>
          <t>N/A</t>
        </is>
      </c>
      <c r="T193" s="124" t="inlineStr">
        <is>
          <t>N/A</t>
        </is>
      </c>
      <c r="U193" s="124" t="inlineStr">
        <is>
          <t>N/A</t>
        </is>
      </c>
      <c r="V193" s="117" t="n">
        <v>1</v>
      </c>
      <c r="W193" s="117" t="n">
        <v>0</v>
      </c>
      <c r="X193" s="117" t="n">
        <v>0</v>
      </c>
      <c r="Y193" s="117" t="n">
        <v>0</v>
      </c>
      <c r="Z193" s="117" t="n">
        <v>1</v>
      </c>
      <c r="AA193" s="117" t="n">
        <v>0</v>
      </c>
      <c r="AB193" s="117" t="n">
        <v>2</v>
      </c>
      <c r="AC193" s="121" t="inlineStr">
        <is>
          <t>⚠ WATCH</t>
        </is>
      </c>
      <c r="AD193" s="118" t="n">
        <v>1073000000</v>
      </c>
      <c r="AE193" s="118" t="n">
        <v>738000000</v>
      </c>
      <c r="AF193" s="118" t="n">
        <v>899000000</v>
      </c>
      <c r="AG193" s="118" t="n">
        <v>-0.01</v>
      </c>
      <c r="AH193" s="119" t="inlineStr">
        <is>
          <t>✓ Medium Quality</t>
        </is>
      </c>
      <c r="AI193" s="124" t="inlineStr">
        <is>
          <t>N/A</t>
        </is>
      </c>
      <c r="AJ193" s="120" t="n">
        <v>0.036</v>
      </c>
      <c r="AK193" s="124" t="inlineStr">
        <is>
          <t>N/A</t>
        </is>
      </c>
      <c r="AL193" s="120" t="n">
        <v>1.621</v>
      </c>
      <c r="AM193" s="124" t="inlineStr">
        <is>
          <t>N/A</t>
        </is>
      </c>
      <c r="AN193" s="117" t="n">
        <v>100</v>
      </c>
      <c r="AO193" s="119" t="inlineStr">
        <is>
          <t>✓ Good</t>
        </is>
      </c>
      <c r="AP193" s="117" t="n">
        <v>0</v>
      </c>
      <c r="AQ193" s="117" t="n">
        <v>0</v>
      </c>
      <c r="AR193" s="117" t="n">
        <v>0</v>
      </c>
      <c r="AS193" s="117" t="n">
        <v>0</v>
      </c>
      <c r="AT193" s="117" t="n">
        <v>0</v>
      </c>
      <c r="AU193" s="117" t="n">
        <v>0</v>
      </c>
      <c r="AV193" s="117" t="n">
        <v>0</v>
      </c>
      <c r="AW193" s="119" t="inlineStr">
        <is>
          <t>✓ Clean</t>
        </is>
      </c>
      <c r="AX193" s="118" t="n">
        <v>28.9</v>
      </c>
      <c r="AY193" s="119" t="inlineStr">
        <is>
          <t>🟢 LOW RISK</t>
        </is>
      </c>
      <c r="AZ193" s="118" t="n">
        <v>0</v>
      </c>
      <c r="BA193" s="124" t="inlineStr">
        <is>
          <t>N/A</t>
        </is>
      </c>
      <c r="BB193" s="124" t="inlineStr">
        <is>
          <t>N/A</t>
        </is>
      </c>
      <c r="BC193" s="124" t="inlineStr">
        <is>
          <t>N/A</t>
        </is>
      </c>
      <c r="BD193" s="124" t="inlineStr">
        <is>
          <t>N/A</t>
        </is>
      </c>
      <c r="BE193" s="124" t="inlineStr">
        <is>
          <t>N/A</t>
        </is>
      </c>
      <c r="BF193" s="120" t="n">
        <v>0.235</v>
      </c>
      <c r="BG193" s="117" t="n">
        <v>0.987</v>
      </c>
      <c r="BH193" s="122" t="n">
        <v>2</v>
      </c>
      <c r="BI193" s="125" t="n">
        <v>0.6666666666666666</v>
      </c>
    </row>
    <row r="194" ht="17" customHeight="1">
      <c r="A194" s="117" t="inlineStr">
        <is>
          <t>CCK</t>
        </is>
      </c>
      <c r="B194" s="117" t="inlineStr">
        <is>
          <t>CROWN HOLDINGS, INC.</t>
        </is>
      </c>
      <c r="C194" s="118" t="n">
        <v>0.238</v>
      </c>
      <c r="D194" s="118" t="n">
        <v>4.637</v>
      </c>
      <c r="E194" s="118" t="n">
        <v>0.968</v>
      </c>
      <c r="F194" s="118" t="n">
        <v>4.18</v>
      </c>
      <c r="G194" s="118" t="n">
        <v>1.014</v>
      </c>
      <c r="H194" s="118" t="n">
        <v>0.253</v>
      </c>
      <c r="I194" s="118" t="n">
        <v>1</v>
      </c>
      <c r="J194" s="118" t="n">
        <v>-0.055</v>
      </c>
      <c r="K194" s="118" t="n">
        <v>1.432</v>
      </c>
      <c r="L194" s="121" t="inlineStr">
        <is>
          <t>⚠ MANIPULATOR RISK</t>
        </is>
      </c>
      <c r="M194" s="120" t="n">
        <v>-0.055</v>
      </c>
      <c r="N194" s="120" t="n">
        <v>-0.001</v>
      </c>
      <c r="O194" s="120" t="n">
        <v>0.015</v>
      </c>
      <c r="P194" s="120" t="n">
        <v>0.583</v>
      </c>
      <c r="Q194" s="120" t="n">
        <v>0.021</v>
      </c>
      <c r="R194" s="117" t="n">
        <v>0</v>
      </c>
      <c r="S194" s="118" t="n">
        <v>-6.775</v>
      </c>
      <c r="T194" s="118" t="n">
        <v>0.001</v>
      </c>
      <c r="U194" s="119" t="inlineStr">
        <is>
          <t>✓ Normal</t>
        </is>
      </c>
      <c r="V194" s="117" t="n">
        <v>1</v>
      </c>
      <c r="W194" s="117" t="n">
        <v>0</v>
      </c>
      <c r="X194" s="117" t="n">
        <v>0</v>
      </c>
      <c r="Y194" s="117" t="n">
        <v>1</v>
      </c>
      <c r="Z194" s="117" t="n">
        <v>0</v>
      </c>
      <c r="AA194" s="117" t="n">
        <v>0</v>
      </c>
      <c r="AB194" s="117" t="n">
        <v>2</v>
      </c>
      <c r="AC194" s="121" t="inlineStr">
        <is>
          <t>⚠ WATCH</t>
        </is>
      </c>
      <c r="AD194" s="118" t="n">
        <v>1530000000</v>
      </c>
      <c r="AE194" s="118" t="n">
        <v>-320000000</v>
      </c>
      <c r="AF194" s="118" t="n">
        <v>738000000</v>
      </c>
      <c r="AG194" s="118" t="n">
        <v>-0.034</v>
      </c>
      <c r="AH194" s="119" t="inlineStr">
        <is>
          <t>✓ Medium Quality</t>
        </is>
      </c>
      <c r="AI194" s="118" t="n">
        <v>-0.007</v>
      </c>
      <c r="AJ194" s="120" t="n">
        <v>3.18</v>
      </c>
      <c r="AK194" s="120" t="n">
        <v>-0.002</v>
      </c>
      <c r="AL194" s="120" t="n">
        <v>0.131</v>
      </c>
      <c r="AM194" s="120" t="n">
        <v>-0</v>
      </c>
      <c r="AN194" s="118" t="n">
        <v>96.2</v>
      </c>
      <c r="AO194" s="119" t="inlineStr">
        <is>
          <t>✓ Good</t>
        </is>
      </c>
      <c r="AP194" s="117" t="n">
        <v>0</v>
      </c>
      <c r="AQ194" s="117" t="n">
        <v>0</v>
      </c>
      <c r="AR194" s="117" t="n">
        <v>1</v>
      </c>
      <c r="AS194" s="117" t="n">
        <v>0</v>
      </c>
      <c r="AT194" s="117" t="n">
        <v>1</v>
      </c>
      <c r="AU194" s="117" t="n">
        <v>0</v>
      </c>
      <c r="AV194" s="117" t="n">
        <v>2</v>
      </c>
      <c r="AW194" s="121" t="inlineStr">
        <is>
          <t>⚠ WATCH</t>
        </is>
      </c>
      <c r="AX194" s="118" t="n">
        <v>28.2</v>
      </c>
      <c r="AY194" s="119" t="inlineStr">
        <is>
          <t>🟢 LOW RISK</t>
        </is>
      </c>
      <c r="AZ194" s="118" t="n">
        <v>32</v>
      </c>
      <c r="BA194" s="118" t="n">
        <v>134.7</v>
      </c>
      <c r="BB194" s="118" t="n">
        <v>51.6</v>
      </c>
      <c r="BC194" s="118" t="n">
        <v>236.4</v>
      </c>
      <c r="BD194" s="118" t="n">
        <v>86.5</v>
      </c>
      <c r="BE194" s="118" t="n">
        <v>398.2</v>
      </c>
      <c r="BF194" s="120" t="n">
        <v>0.479</v>
      </c>
      <c r="BG194" s="117" t="n">
        <v>0.583</v>
      </c>
      <c r="BH194" s="122" t="n">
        <v>4</v>
      </c>
      <c r="BI194" s="123" t="n">
        <v>1</v>
      </c>
    </row>
    <row r="195" ht="17" customHeight="1">
      <c r="A195" s="117" t="inlineStr">
        <is>
          <t>APH</t>
        </is>
      </c>
      <c r="B195" s="117" t="inlineStr">
        <is>
          <t>AMPHENOL CORP /DE/</t>
        </is>
      </c>
      <c r="C195" s="118" t="n">
        <v>0.946</v>
      </c>
      <c r="D195" s="118" t="n">
        <v>0.915</v>
      </c>
      <c r="E195" s="118" t="n">
        <v>0.805</v>
      </c>
      <c r="F195" s="118" t="n">
        <v>1.517</v>
      </c>
      <c r="G195" s="118" t="n">
        <v>0.877</v>
      </c>
      <c r="H195" s="118" t="n">
        <v>0.904</v>
      </c>
      <c r="I195" s="118" t="n">
        <v>1.161</v>
      </c>
      <c r="J195" s="118" t="n">
        <v>-0.03</v>
      </c>
      <c r="K195" s="118" t="n">
        <v>-2.385</v>
      </c>
      <c r="L195" s="119" t="inlineStr">
        <is>
          <t>✓ Lower Risk</t>
        </is>
      </c>
      <c r="M195" s="120" t="n">
        <v>-0.024</v>
      </c>
      <c r="N195" s="120" t="n">
        <v>0.182</v>
      </c>
      <c r="O195" s="120" t="n">
        <v>0.112</v>
      </c>
      <c r="P195" s="120" t="n">
        <v>0.629</v>
      </c>
      <c r="Q195" s="120" t="n">
        <v>0.005</v>
      </c>
      <c r="R195" s="117" t="n">
        <v>1</v>
      </c>
      <c r="S195" s="118" t="n">
        <v>-3.005</v>
      </c>
      <c r="T195" s="118" t="n">
        <v>0.047</v>
      </c>
      <c r="U195" s="121" t="inlineStr">
        <is>
          <t>⚠ HIGH RISK</t>
        </is>
      </c>
      <c r="V195" s="117" t="n">
        <v>0</v>
      </c>
      <c r="W195" s="117" t="n">
        <v>0</v>
      </c>
      <c r="X195" s="117" t="n">
        <v>0</v>
      </c>
      <c r="Y195" s="117" t="n">
        <v>1</v>
      </c>
      <c r="Z195" s="117" t="n">
        <v>1</v>
      </c>
      <c r="AA195" s="117" t="n">
        <v>1</v>
      </c>
      <c r="AB195" s="117" t="n">
        <v>3</v>
      </c>
      <c r="AC195" s="121" t="inlineStr">
        <is>
          <t>⚠ WATCH</t>
        </is>
      </c>
      <c r="AD195" s="118" t="n">
        <v>5374700000</v>
      </c>
      <c r="AE195" s="118" t="n">
        <v>-5082100000</v>
      </c>
      <c r="AF195" s="118" t="n">
        <v>4270300000</v>
      </c>
      <c r="AG195" s="118" t="n">
        <v>0.138</v>
      </c>
      <c r="AH195" s="117" t="inlineStr">
        <is>
          <t>⚠ Low Quality</t>
        </is>
      </c>
      <c r="AI195" s="118" t="n">
        <v>0.435</v>
      </c>
      <c r="AJ195" s="120" t="n">
        <v>0.517</v>
      </c>
      <c r="AK195" s="120" t="n">
        <v>0.841</v>
      </c>
      <c r="AL195" s="120" t="n">
        <v>0.233</v>
      </c>
      <c r="AM195" s="124" t="inlineStr">
        <is>
          <t>N/A</t>
        </is>
      </c>
      <c r="AN195" s="117" t="n">
        <v>100</v>
      </c>
      <c r="AO195" s="119" t="inlineStr">
        <is>
          <t>✓ Good</t>
        </is>
      </c>
      <c r="AP195" s="117" t="n">
        <v>0</v>
      </c>
      <c r="AQ195" s="117" t="n">
        <v>0</v>
      </c>
      <c r="AR195" s="117" t="n">
        <v>0</v>
      </c>
      <c r="AS195" s="117" t="n">
        <v>0</v>
      </c>
      <c r="AT195" s="117" t="n">
        <v>1</v>
      </c>
      <c r="AU195" s="117" t="n">
        <v>0</v>
      </c>
      <c r="AV195" s="117" t="n">
        <v>1</v>
      </c>
      <c r="AW195" s="119" t="inlineStr">
        <is>
          <t>✓ Clean</t>
        </is>
      </c>
      <c r="AX195" s="118" t="n">
        <v>28</v>
      </c>
      <c r="AY195" s="119" t="inlineStr">
        <is>
          <t>🟢 LOW RISK</t>
        </is>
      </c>
      <c r="AZ195" s="118" t="n">
        <v>74.59999999999999</v>
      </c>
      <c r="BA195" s="118" t="n">
        <v>78.8</v>
      </c>
      <c r="BB195" s="118" t="n">
        <v>85.8</v>
      </c>
      <c r="BC195" s="118" t="n">
        <v>92.2</v>
      </c>
      <c r="BD195" s="118" t="n">
        <v>66.7</v>
      </c>
      <c r="BE195" s="118" t="n">
        <v>65.90000000000001</v>
      </c>
      <c r="BF195" s="120" t="n">
        <v>0.231</v>
      </c>
      <c r="BG195" s="117" t="n">
        <v>0.629</v>
      </c>
      <c r="BH195" s="122" t="n">
        <v>5</v>
      </c>
      <c r="BI195" s="123" t="n">
        <v>1</v>
      </c>
    </row>
    <row r="196" ht="17" customHeight="1">
      <c r="A196" s="117" t="inlineStr">
        <is>
          <t>BAH</t>
        </is>
      </c>
      <c r="B196" s="117" t="inlineStr">
        <is>
          <t>BOOZ ALLEN HAMILTON HOLDING CORPORATION</t>
        </is>
      </c>
      <c r="C196" s="118" t="n">
        <v>0.97</v>
      </c>
      <c r="D196" s="118" t="n">
        <v>1.039</v>
      </c>
      <c r="E196" s="118" t="n">
        <v>1.071</v>
      </c>
      <c r="F196" s="118" t="n">
        <v>0.9360000000000001</v>
      </c>
      <c r="G196" s="118" t="n">
        <v>0.989</v>
      </c>
      <c r="H196" s="118" t="n">
        <v>1.085</v>
      </c>
      <c r="I196" s="118" t="n">
        <v>0.979</v>
      </c>
      <c r="J196" s="118" t="n">
        <v>-0.027</v>
      </c>
      <c r="K196" s="118" t="n">
        <v>-2.649</v>
      </c>
      <c r="L196" s="119" t="inlineStr">
        <is>
          <t>✓ Lower Risk</t>
        </is>
      </c>
      <c r="M196" s="120" t="n">
        <v>-0.025</v>
      </c>
      <c r="N196" s="120" t="n">
        <v>-0.273</v>
      </c>
      <c r="O196" s="124" t="inlineStr">
        <is>
          <t>N/A</t>
        </is>
      </c>
      <c r="P196" s="120" t="n">
        <v>0.874</v>
      </c>
      <c r="Q196" s="120" t="n">
        <v>-0.008</v>
      </c>
      <c r="R196" s="117" t="n">
        <v>0</v>
      </c>
      <c r="S196" s="118" t="n">
        <v>-6.866</v>
      </c>
      <c r="T196" s="118" t="n">
        <v>0.001</v>
      </c>
      <c r="U196" s="119" t="inlineStr">
        <is>
          <t>✓ Normal</t>
        </is>
      </c>
      <c r="V196" s="117" t="n">
        <v>0</v>
      </c>
      <c r="W196" s="117" t="n">
        <v>0</v>
      </c>
      <c r="X196" s="117" t="n">
        <v>0</v>
      </c>
      <c r="Y196" s="117" t="n">
        <v>1</v>
      </c>
      <c r="Z196" s="117" t="n">
        <v>0</v>
      </c>
      <c r="AA196" s="117" t="n">
        <v>0</v>
      </c>
      <c r="AB196" s="117" t="n">
        <v>1</v>
      </c>
      <c r="AC196" s="119" t="inlineStr">
        <is>
          <t>✓ Clean</t>
        </is>
      </c>
      <c r="AD196" s="118" t="n">
        <v>1041000000</v>
      </c>
      <c r="AE196" s="118" t="n">
        <v>-300000000</v>
      </c>
      <c r="AF196" s="118" t="n">
        <v>851000000</v>
      </c>
      <c r="AG196" s="118" t="n">
        <v>0.015</v>
      </c>
      <c r="AH196" s="119" t="inlineStr">
        <is>
          <t>✓ Medium Quality</t>
        </is>
      </c>
      <c r="AI196" s="118" t="n">
        <v>-0.092</v>
      </c>
      <c r="AJ196" s="120" t="n">
        <v>-0.064</v>
      </c>
      <c r="AK196" s="120" t="n">
        <v>1.438</v>
      </c>
      <c r="AL196" s="120" t="n">
        <v>0.093</v>
      </c>
      <c r="AM196" s="120" t="n">
        <v>0.001</v>
      </c>
      <c r="AN196" s="118" t="n">
        <v>75.5</v>
      </c>
      <c r="AO196" s="119" t="inlineStr">
        <is>
          <t>✓ Good</t>
        </is>
      </c>
      <c r="AP196" s="117" t="n">
        <v>0</v>
      </c>
      <c r="AQ196" s="117" t="n">
        <v>1</v>
      </c>
      <c r="AR196" s="117" t="n">
        <v>1</v>
      </c>
      <c r="AS196" s="117" t="n">
        <v>1</v>
      </c>
      <c r="AT196" s="117" t="n">
        <v>0</v>
      </c>
      <c r="AU196" s="117" t="n">
        <v>1</v>
      </c>
      <c r="AV196" s="117" t="n">
        <v>4</v>
      </c>
      <c r="AW196" s="117" t="inlineStr">
        <is>
          <t>⚠⚠ MULTIPLE RED FLAGS</t>
        </is>
      </c>
      <c r="AX196" s="118" t="n">
        <v>14.9</v>
      </c>
      <c r="AY196" s="119" t="inlineStr">
        <is>
          <t>🟢 VERY LOW RISK</t>
        </is>
      </c>
      <c r="AZ196" s="118" t="n">
        <v>67.09999999999999</v>
      </c>
      <c r="BA196" s="118" t="n">
        <v>69.2</v>
      </c>
      <c r="BB196" s="124" t="inlineStr">
        <is>
          <t>N/A</t>
        </is>
      </c>
      <c r="BC196" s="124" t="inlineStr">
        <is>
          <t>N/A</t>
        </is>
      </c>
      <c r="BD196" s="118" t="n">
        <v>62.5</v>
      </c>
      <c r="BE196" s="118" t="n">
        <v>66.5</v>
      </c>
      <c r="BF196" s="120" t="n">
        <v>0.013</v>
      </c>
      <c r="BG196" s="117" t="n">
        <v>0.874</v>
      </c>
      <c r="BH196" s="122" t="n">
        <v>5</v>
      </c>
      <c r="BI196" s="123" t="n">
        <v>1</v>
      </c>
    </row>
    <row r="197" ht="17" customHeight="1">
      <c r="A197" s="117" t="inlineStr">
        <is>
          <t>MS</t>
        </is>
      </c>
      <c r="B197" s="117" t="inlineStr">
        <is>
          <t>MORGAN STANLEY</t>
        </is>
      </c>
      <c r="C197" s="118" t="n">
        <v>0.308</v>
      </c>
      <c r="D197" s="124" t="inlineStr">
        <is>
          <t>N/A</t>
        </is>
      </c>
      <c r="E197" s="118" t="n">
        <v>1.001</v>
      </c>
      <c r="F197" s="118" t="n">
        <v>4.415</v>
      </c>
      <c r="G197" s="118" t="n">
        <v>1.085</v>
      </c>
      <c r="H197" s="124" t="inlineStr">
        <is>
          <t>N/A</t>
        </is>
      </c>
      <c r="I197" s="118" t="n">
        <v>1.008</v>
      </c>
      <c r="J197" s="118" t="n">
        <v>0.024</v>
      </c>
      <c r="K197" s="124" t="inlineStr">
        <is>
          <t>N/A</t>
        </is>
      </c>
      <c r="L197" s="124" t="inlineStr">
        <is>
          <t>N/A</t>
        </is>
      </c>
      <c r="M197" s="124" t="inlineStr">
        <is>
          <t>N/A</t>
        </is>
      </c>
      <c r="N197" s="120" t="n">
        <v>0.461</v>
      </c>
      <c r="O197" s="124" t="inlineStr">
        <is>
          <t>N/A</t>
        </is>
      </c>
      <c r="P197" s="120" t="n">
        <v>0.917</v>
      </c>
      <c r="Q197" s="120" t="n">
        <v>0.001</v>
      </c>
      <c r="R197" s="117" t="n">
        <v>0</v>
      </c>
      <c r="S197" s="124" t="inlineStr">
        <is>
          <t>N/A</t>
        </is>
      </c>
      <c r="T197" s="124" t="inlineStr">
        <is>
          <t>N/A</t>
        </is>
      </c>
      <c r="U197" s="124" t="inlineStr">
        <is>
          <t>N/A</t>
        </is>
      </c>
      <c r="V197" s="117" t="n">
        <v>0</v>
      </c>
      <c r="W197" s="117" t="n">
        <v>0</v>
      </c>
      <c r="X197" s="117" t="n">
        <v>0</v>
      </c>
      <c r="Y197" s="117" t="n">
        <v>0</v>
      </c>
      <c r="Z197" s="117" t="n">
        <v>1</v>
      </c>
      <c r="AA197" s="117" t="n">
        <v>1</v>
      </c>
      <c r="AB197" s="117" t="n">
        <v>2</v>
      </c>
      <c r="AC197" s="121" t="inlineStr">
        <is>
          <t>⚠ WATCH</t>
        </is>
      </c>
      <c r="AD197" s="118" t="n">
        <v>-17889000000</v>
      </c>
      <c r="AE197" s="118" t="n">
        <v>-46779000000</v>
      </c>
      <c r="AF197" s="118" t="n">
        <v>16861000000</v>
      </c>
      <c r="AG197" s="118" t="n">
        <v>0.062</v>
      </c>
      <c r="AH197" s="119" t="inlineStr">
        <is>
          <t>✓ Medium Quality</t>
        </is>
      </c>
      <c r="AI197" s="118" t="n">
        <v>0.36</v>
      </c>
      <c r="AJ197" s="120" t="n">
        <v>3.415</v>
      </c>
      <c r="AK197" s="120" t="n">
        <v>0.105</v>
      </c>
      <c r="AL197" s="120" t="n">
        <v>-0.522</v>
      </c>
      <c r="AM197" s="124" t="inlineStr">
        <is>
          <t>N/A</t>
        </is>
      </c>
      <c r="AN197" s="117" t="n">
        <v>70</v>
      </c>
      <c r="AO197" s="119" t="inlineStr">
        <is>
          <t>✓ Good</t>
        </is>
      </c>
      <c r="AP197" s="117" t="n">
        <v>0</v>
      </c>
      <c r="AQ197" s="117" t="n">
        <v>0</v>
      </c>
      <c r="AR197" s="117" t="n">
        <v>0</v>
      </c>
      <c r="AS197" s="117" t="n">
        <v>0</v>
      </c>
      <c r="AT197" s="117" t="n">
        <v>0</v>
      </c>
      <c r="AU197" s="117" t="n">
        <v>1</v>
      </c>
      <c r="AV197" s="117" t="n">
        <v>1</v>
      </c>
      <c r="AW197" s="119" t="inlineStr">
        <is>
          <t>✓ Clean</t>
        </is>
      </c>
      <c r="AX197" s="118" t="n">
        <v>32.3</v>
      </c>
      <c r="AY197" s="119" t="inlineStr">
        <is>
          <t>🟢 LOW RISK</t>
        </is>
      </c>
      <c r="AZ197" s="118" t="n">
        <v>492</v>
      </c>
      <c r="BA197" s="118" t="n">
        <v>1597.3</v>
      </c>
      <c r="BB197" s="124" t="inlineStr">
        <is>
          <t>N/A</t>
        </is>
      </c>
      <c r="BC197" s="124" t="inlineStr">
        <is>
          <t>N/A</t>
        </is>
      </c>
      <c r="BD197" s="124" t="inlineStr">
        <is>
          <t>N/A</t>
        </is>
      </c>
      <c r="BE197" s="124" t="inlineStr">
        <is>
          <t>N/A</t>
        </is>
      </c>
      <c r="BF197" s="120" t="n">
        <v>0.225</v>
      </c>
      <c r="BG197" s="117" t="n">
        <v>0.917</v>
      </c>
      <c r="BH197" s="122" t="n">
        <v>3</v>
      </c>
      <c r="BI197" s="125" t="n">
        <v>0.6666666666666666</v>
      </c>
    </row>
    <row r="198" ht="17" customHeight="1">
      <c r="A198" s="117" t="inlineStr">
        <is>
          <t>CUBE</t>
        </is>
      </c>
      <c r="B198" s="117" t="inlineStr">
        <is>
          <t>CUBESMART</t>
        </is>
      </c>
      <c r="C198" s="118" t="n">
        <v>0.888</v>
      </c>
      <c r="D198" s="118" t="n">
        <v>0.955</v>
      </c>
      <c r="E198" s="124" t="inlineStr">
        <is>
          <t>N/A</t>
        </is>
      </c>
      <c r="F198" s="118" t="n">
        <v>1.053</v>
      </c>
      <c r="G198" s="124" t="inlineStr">
        <is>
          <t>N/A</t>
        </is>
      </c>
      <c r="H198" s="118" t="n">
        <v>1.029</v>
      </c>
      <c r="I198" s="118" t="n">
        <v>1.08</v>
      </c>
      <c r="J198" s="118" t="n">
        <v>-0.08500000000000001</v>
      </c>
      <c r="K198" s="124" t="inlineStr">
        <is>
          <t>N/A</t>
        </is>
      </c>
      <c r="L198" s="124" t="inlineStr">
        <is>
          <t>N/A</t>
        </is>
      </c>
      <c r="M198" s="124" t="inlineStr">
        <is>
          <t>N/A</t>
        </is>
      </c>
      <c r="N198" s="120" t="n">
        <v>-0.012</v>
      </c>
      <c r="O198" s="124" t="inlineStr">
        <is>
          <t>N/A</t>
        </is>
      </c>
      <c r="P198" s="120" t="n">
        <v>0.999</v>
      </c>
      <c r="Q198" s="120" t="n">
        <v>-0</v>
      </c>
      <c r="R198" s="117" t="n">
        <v>0</v>
      </c>
      <c r="S198" s="124" t="inlineStr">
        <is>
          <t>N/A</t>
        </is>
      </c>
      <c r="T198" s="124" t="inlineStr">
        <is>
          <t>N/A</t>
        </is>
      </c>
      <c r="U198" s="124" t="inlineStr">
        <is>
          <t>N/A</t>
        </is>
      </c>
      <c r="V198" s="117" t="n">
        <v>1</v>
      </c>
      <c r="W198" s="117" t="n">
        <v>0</v>
      </c>
      <c r="X198" s="117" t="n">
        <v>0</v>
      </c>
      <c r="Y198" s="117" t="n">
        <v>0</v>
      </c>
      <c r="Z198" s="117" t="n">
        <v>0</v>
      </c>
      <c r="AA198" s="117" t="n">
        <v>0</v>
      </c>
      <c r="AB198" s="117" t="n">
        <v>1</v>
      </c>
      <c r="AC198" s="119" t="inlineStr">
        <is>
          <t>✓ Clean</t>
        </is>
      </c>
      <c r="AD198" s="118" t="n">
        <v>608512000</v>
      </c>
      <c r="AE198" s="118" t="n">
        <v>-571323000</v>
      </c>
      <c r="AF198" s="118" t="n">
        <v>42045000</v>
      </c>
      <c r="AG198" s="118" t="n">
        <v>0.001</v>
      </c>
      <c r="AH198" s="119" t="inlineStr">
        <is>
          <t>✓ Medium Quality</t>
        </is>
      </c>
      <c r="AI198" s="118" t="n">
        <v>-0.065</v>
      </c>
      <c r="AJ198" s="120" t="n">
        <v>0.053</v>
      </c>
      <c r="AK198" s="120" t="n">
        <v>-1.213</v>
      </c>
      <c r="AL198" s="120" t="n">
        <v>0.542</v>
      </c>
      <c r="AM198" s="120" t="n">
        <v>0.002</v>
      </c>
      <c r="AN198" s="117" t="n">
        <v>100</v>
      </c>
      <c r="AO198" s="119" t="inlineStr">
        <is>
          <t>✓ Good</t>
        </is>
      </c>
      <c r="AP198" s="117" t="n">
        <v>0</v>
      </c>
      <c r="AQ198" s="117" t="n">
        <v>0</v>
      </c>
      <c r="AR198" s="117" t="n">
        <v>0</v>
      </c>
      <c r="AS198" s="117" t="n">
        <v>1</v>
      </c>
      <c r="AT198" s="117" t="n">
        <v>0</v>
      </c>
      <c r="AU198" s="117" t="n">
        <v>0</v>
      </c>
      <c r="AV198" s="117" t="n">
        <v>1</v>
      </c>
      <c r="AW198" s="119" t="inlineStr">
        <is>
          <t>✓ Clean</t>
        </is>
      </c>
      <c r="AX198" s="118" t="n">
        <v>26.2</v>
      </c>
      <c r="AY198" s="119" t="inlineStr">
        <is>
          <t>🟢 LOW RISK</t>
        </is>
      </c>
      <c r="AZ198" s="118" t="n">
        <v>3.2</v>
      </c>
      <c r="BA198" s="118" t="n">
        <v>3.6</v>
      </c>
      <c r="BB198" s="124" t="inlineStr">
        <is>
          <t>N/A</t>
        </is>
      </c>
      <c r="BC198" s="124" t="inlineStr">
        <is>
          <t>N/A</t>
        </is>
      </c>
      <c r="BD198" s="124" t="inlineStr">
        <is>
          <t>N/A</t>
        </is>
      </c>
      <c r="BE198" s="124" t="inlineStr">
        <is>
          <t>N/A</t>
        </is>
      </c>
      <c r="BF198" s="124" t="inlineStr">
        <is>
          <t>N/A</t>
        </is>
      </c>
      <c r="BG198" s="117" t="n">
        <v>0.999</v>
      </c>
      <c r="BH198" s="122" t="n">
        <v>2</v>
      </c>
      <c r="BI198" s="125" t="n">
        <v>0.6666666666666666</v>
      </c>
    </row>
    <row r="199" ht="17" customHeight="1">
      <c r="A199" s="117" t="inlineStr">
        <is>
          <t>FTI</t>
        </is>
      </c>
      <c r="B199" s="117" t="inlineStr">
        <is>
          <t>TechnipFMC plc</t>
        </is>
      </c>
      <c r="C199" s="118" t="n">
        <v>0.847</v>
      </c>
      <c r="D199" s="118" t="n">
        <v>1.081</v>
      </c>
      <c r="E199" s="118" t="n">
        <v>0.984</v>
      </c>
      <c r="F199" s="118" t="n">
        <v>1.094</v>
      </c>
      <c r="G199" s="118" t="n">
        <v>0.959</v>
      </c>
      <c r="H199" s="118" t="n">
        <v>0.967</v>
      </c>
      <c r="I199" s="118" t="n">
        <v>0.973</v>
      </c>
      <c r="J199" s="118" t="n">
        <v>-0.079</v>
      </c>
      <c r="K199" s="118" t="n">
        <v>-2.861</v>
      </c>
      <c r="L199" s="119" t="inlineStr">
        <is>
          <t>✓ Lower Risk</t>
        </is>
      </c>
      <c r="M199" s="120" t="n">
        <v>-0.028</v>
      </c>
      <c r="N199" s="120" t="n">
        <v>-0.215</v>
      </c>
      <c r="O199" s="120" t="n">
        <v>0.09</v>
      </c>
      <c r="P199" s="120" t="n">
        <v>0.672</v>
      </c>
      <c r="Q199" s="120" t="n">
        <v>0.01</v>
      </c>
      <c r="R199" s="117" t="n">
        <v>0</v>
      </c>
      <c r="S199" s="118" t="n">
        <v>-7.024</v>
      </c>
      <c r="T199" s="118" t="n">
        <v>0.001</v>
      </c>
      <c r="U199" s="119" t="inlineStr">
        <is>
          <t>✓ Normal</t>
        </is>
      </c>
      <c r="V199" s="117" t="n">
        <v>0</v>
      </c>
      <c r="W199" s="117" t="n">
        <v>0</v>
      </c>
      <c r="X199" s="117" t="n">
        <v>0</v>
      </c>
      <c r="Y199" s="117" t="n">
        <v>1</v>
      </c>
      <c r="Z199" s="117" t="n">
        <v>0</v>
      </c>
      <c r="AA199" s="117" t="n">
        <v>0</v>
      </c>
      <c r="AB199" s="117" t="n">
        <v>1</v>
      </c>
      <c r="AC199" s="119" t="inlineStr">
        <is>
          <t>✓ Clean</t>
        </is>
      </c>
      <c r="AD199" s="118" t="n">
        <v>1764600000</v>
      </c>
      <c r="AE199" s="118" t="n">
        <v>-298300000</v>
      </c>
      <c r="AF199" s="118" t="n">
        <v>963900000</v>
      </c>
      <c r="AG199" s="118" t="n">
        <v>-0.05</v>
      </c>
      <c r="AH199" s="119" t="inlineStr">
        <is>
          <t>✓ Medium Quality</t>
        </is>
      </c>
      <c r="AI199" s="118" t="n">
        <v>-0.074</v>
      </c>
      <c r="AJ199" s="120" t="n">
        <v>0.094</v>
      </c>
      <c r="AK199" s="120" t="n">
        <v>-0.791</v>
      </c>
      <c r="AL199" s="120" t="n">
        <v>0.178</v>
      </c>
      <c r="AM199" s="120" t="n">
        <v>0.036</v>
      </c>
      <c r="AN199" s="117" t="n">
        <v>100</v>
      </c>
      <c r="AO199" s="119" t="inlineStr">
        <is>
          <t>✓ Good</t>
        </is>
      </c>
      <c r="AP199" s="117" t="n">
        <v>0</v>
      </c>
      <c r="AQ199" s="117" t="n">
        <v>0</v>
      </c>
      <c r="AR199" s="117" t="n">
        <v>1</v>
      </c>
      <c r="AS199" s="117" t="n">
        <v>0</v>
      </c>
      <c r="AT199" s="117" t="n">
        <v>1</v>
      </c>
      <c r="AU199" s="117" t="n">
        <v>0</v>
      </c>
      <c r="AV199" s="117" t="n">
        <v>2</v>
      </c>
      <c r="AW199" s="121" t="inlineStr">
        <is>
          <t>⚠ WATCH</t>
        </is>
      </c>
      <c r="AX199" s="118" t="n">
        <v>12.1</v>
      </c>
      <c r="AY199" s="119" t="inlineStr">
        <is>
          <t>🟢 VERY LOW RISK</t>
        </is>
      </c>
      <c r="AZ199" s="118" t="n">
        <v>84</v>
      </c>
      <c r="BA199" s="118" t="n">
        <v>99.2</v>
      </c>
      <c r="BB199" s="118" t="n">
        <v>57.2</v>
      </c>
      <c r="BC199" s="118" t="n">
        <v>60.1</v>
      </c>
      <c r="BD199" s="118" t="n">
        <v>58.5</v>
      </c>
      <c r="BE199" s="118" t="n">
        <v>72.7</v>
      </c>
      <c r="BF199" s="120" t="n">
        <v>0.239</v>
      </c>
      <c r="BG199" s="117" t="n">
        <v>0.672</v>
      </c>
      <c r="BH199" s="122" t="n">
        <v>3</v>
      </c>
      <c r="BI199" s="123" t="n">
        <v>1</v>
      </c>
    </row>
    <row r="200" ht="17" customHeight="1">
      <c r="A200" s="126" t="inlineStr">
        <is>
          <t>TROW</t>
        </is>
      </c>
      <c r="B200" s="126" t="inlineStr">
        <is>
          <t>PRICE T ROWE GROUP INC</t>
        </is>
      </c>
      <c r="C200" s="127" t="n">
        <v>0.838</v>
      </c>
      <c r="D200" s="127" t="n">
        <v>0.31</v>
      </c>
      <c r="E200" s="127" t="n">
        <v>1.015</v>
      </c>
      <c r="F200" s="127" t="n">
        <v>1.266</v>
      </c>
      <c r="G200" s="124" t="inlineStr">
        <is>
          <t>N/A</t>
        </is>
      </c>
      <c r="H200" s="124" t="inlineStr">
        <is>
          <t>N/A</t>
        </is>
      </c>
      <c r="I200" s="127" t="n">
        <v>1.063</v>
      </c>
      <c r="J200" s="127" t="n">
        <v>0.023</v>
      </c>
      <c r="K200" s="127" t="n">
        <v>-2.605</v>
      </c>
      <c r="L200" s="119" t="inlineStr">
        <is>
          <t>✓ Lower Risk</t>
        </is>
      </c>
      <c r="M200" s="124" t="inlineStr">
        <is>
          <t>N/A</t>
        </is>
      </c>
      <c r="N200" s="128" t="n">
        <v>0.108</v>
      </c>
      <c r="O200" s="124" t="inlineStr">
        <is>
          <t>N/A</t>
        </is>
      </c>
      <c r="P200" s="128" t="n">
        <v>0.706</v>
      </c>
      <c r="Q200" s="128" t="n">
        <v>-0.01</v>
      </c>
      <c r="R200" s="126" t="n">
        <v>0</v>
      </c>
      <c r="S200" s="124" t="inlineStr">
        <is>
          <t>N/A</t>
        </is>
      </c>
      <c r="T200" s="124" t="inlineStr">
        <is>
          <t>N/A</t>
        </is>
      </c>
      <c r="U200" s="124" t="inlineStr">
        <is>
          <t>N/A</t>
        </is>
      </c>
      <c r="V200" s="126" t="n">
        <v>0</v>
      </c>
      <c r="W200" s="126" t="n">
        <v>0</v>
      </c>
      <c r="X200" s="126" t="n">
        <v>0</v>
      </c>
      <c r="Y200" s="126" t="n">
        <v>0</v>
      </c>
      <c r="Z200" s="126" t="n">
        <v>0</v>
      </c>
      <c r="AA200" s="126" t="n">
        <v>0</v>
      </c>
      <c r="AB200" s="126" t="n">
        <v>0</v>
      </c>
      <c r="AC200" s="119" t="inlineStr">
        <is>
          <t>✓ Clean</t>
        </is>
      </c>
      <c r="AD200" s="127" t="n">
        <v>1753400000</v>
      </c>
      <c r="AE200" s="127" t="n">
        <v>230300000</v>
      </c>
      <c r="AF200" s="127" t="n">
        <v>2087100000</v>
      </c>
      <c r="AG200" s="127" t="n">
        <v>0.007</v>
      </c>
      <c r="AH200" s="119" t="inlineStr">
        <is>
          <t>✓ Medium Quality</t>
        </is>
      </c>
      <c r="AI200" s="127" t="n">
        <v>0.061</v>
      </c>
      <c r="AJ200" s="128" t="n">
        <v>0.266</v>
      </c>
      <c r="AK200" s="128" t="n">
        <v>0.23</v>
      </c>
      <c r="AL200" s="128" t="n">
        <v>0.74</v>
      </c>
      <c r="AM200" s="124" t="inlineStr">
        <is>
          <t>N/A</t>
        </is>
      </c>
      <c r="AN200" s="126" t="n">
        <v>100</v>
      </c>
      <c r="AO200" s="119" t="inlineStr">
        <is>
          <t>✓ Good</t>
        </is>
      </c>
      <c r="AP200" s="126" t="n">
        <v>0</v>
      </c>
      <c r="AQ200" s="126" t="n">
        <v>0</v>
      </c>
      <c r="AR200" s="126" t="n">
        <v>0</v>
      </c>
      <c r="AS200" s="126" t="n">
        <v>0</v>
      </c>
      <c r="AT200" s="126" t="n">
        <v>0</v>
      </c>
      <c r="AU200" s="126" t="n">
        <v>1</v>
      </c>
      <c r="AV200" s="126" t="n">
        <v>1</v>
      </c>
      <c r="AW200" s="119" t="inlineStr">
        <is>
          <t>✓ Clean</t>
        </is>
      </c>
      <c r="AX200" s="127" t="n">
        <v>15.2</v>
      </c>
      <c r="AY200" s="119" t="inlineStr">
        <is>
          <t>🟢 VERY LOW RISK</t>
        </is>
      </c>
      <c r="AZ200" s="127" t="n">
        <v>143.4</v>
      </c>
      <c r="BA200" s="127" t="n">
        <v>171.1</v>
      </c>
      <c r="BB200" s="124" t="inlineStr">
        <is>
          <t>N/A</t>
        </is>
      </c>
      <c r="BC200" s="124" t="inlineStr">
        <is>
          <t>N/A</t>
        </is>
      </c>
      <c r="BD200" s="124" t="inlineStr">
        <is>
          <t>N/A</t>
        </is>
      </c>
      <c r="BE200" s="124" t="inlineStr">
        <is>
          <t>N/A</t>
        </is>
      </c>
      <c r="BF200" s="128" t="n">
        <v>0.232</v>
      </c>
      <c r="BG200" s="126" t="n">
        <v>0.706</v>
      </c>
      <c r="BH200" s="126" t="n">
        <v>1</v>
      </c>
      <c r="BI200" s="123" t="n">
        <v>0.8333333333333334</v>
      </c>
    </row>
    <row r="201" ht="17" customHeight="1">
      <c r="A201" s="117" t="inlineStr">
        <is>
          <t>DIOD</t>
        </is>
      </c>
      <c r="B201" s="117" t="inlineStr">
        <is>
          <t>DIODES INC /DEL/</t>
        </is>
      </c>
      <c r="C201" s="118" t="n">
        <v>0.834</v>
      </c>
      <c r="D201" s="118" t="n">
        <v>1.065</v>
      </c>
      <c r="E201" s="118" t="n">
        <v>1.105</v>
      </c>
      <c r="F201" s="118" t="n">
        <v>1.13</v>
      </c>
      <c r="G201" s="118" t="n">
        <v>0.951</v>
      </c>
      <c r="H201" s="118" t="n">
        <v>0.914</v>
      </c>
      <c r="I201" s="118" t="n">
        <v>0.96</v>
      </c>
      <c r="J201" s="118" t="n">
        <v>-0.061</v>
      </c>
      <c r="K201" s="118" t="n">
        <v>-2.702</v>
      </c>
      <c r="L201" s="119" t="inlineStr">
        <is>
          <t>✓ Lower Risk</t>
        </is>
      </c>
      <c r="M201" s="120" t="n">
        <v>-0.061</v>
      </c>
      <c r="N201" s="120" t="n">
        <v>-0.108</v>
      </c>
      <c r="O201" s="120" t="n">
        <v>-0.02</v>
      </c>
      <c r="P201" s="120" t="n">
        <v>0.585</v>
      </c>
      <c r="Q201" s="120" t="n">
        <v>0.008999999999999999</v>
      </c>
      <c r="R201" s="117" t="n">
        <v>0</v>
      </c>
      <c r="S201" s="118" t="n">
        <v>-7.084</v>
      </c>
      <c r="T201" s="118" t="n">
        <v>0.001</v>
      </c>
      <c r="U201" s="119" t="inlineStr">
        <is>
          <t>✓ Normal</t>
        </is>
      </c>
      <c r="V201" s="117" t="n">
        <v>0</v>
      </c>
      <c r="W201" s="117" t="n">
        <v>0</v>
      </c>
      <c r="X201" s="117" t="n">
        <v>0</v>
      </c>
      <c r="Y201" s="117" t="n">
        <v>1</v>
      </c>
      <c r="Z201" s="117" t="n">
        <v>1</v>
      </c>
      <c r="AA201" s="117" t="n">
        <v>0</v>
      </c>
      <c r="AB201" s="117" t="n">
        <v>2</v>
      </c>
      <c r="AC201" s="121" t="inlineStr">
        <is>
          <t>⚠ WATCH</t>
        </is>
      </c>
      <c r="AD201" s="118" t="n">
        <v>215513000</v>
      </c>
      <c r="AE201" s="118" t="n">
        <v>-116178000</v>
      </c>
      <c r="AF201" s="118" t="n">
        <v>66141000</v>
      </c>
      <c r="AG201" s="118" t="n">
        <v>-0.014</v>
      </c>
      <c r="AH201" s="119" t="inlineStr">
        <is>
          <t>✓ Medium Quality</t>
        </is>
      </c>
      <c r="AI201" s="118" t="n">
        <v>-0.057</v>
      </c>
      <c r="AJ201" s="120" t="n">
        <v>0.13</v>
      </c>
      <c r="AK201" s="120" t="n">
        <v>-0.435</v>
      </c>
      <c r="AL201" s="120" t="n">
        <v>0.145</v>
      </c>
      <c r="AM201" s="124" t="inlineStr">
        <is>
          <t>N/A</t>
        </is>
      </c>
      <c r="AN201" s="118" t="n">
        <v>99.09999999999999</v>
      </c>
      <c r="AO201" s="119" t="inlineStr">
        <is>
          <t>✓ Good</t>
        </is>
      </c>
      <c r="AP201" s="117" t="n">
        <v>0</v>
      </c>
      <c r="AQ201" s="117" t="n">
        <v>0</v>
      </c>
      <c r="AR201" s="117" t="n">
        <v>1</v>
      </c>
      <c r="AS201" s="117" t="n">
        <v>0</v>
      </c>
      <c r="AT201" s="117" t="n">
        <v>1</v>
      </c>
      <c r="AU201" s="117" t="n">
        <v>1</v>
      </c>
      <c r="AV201" s="117" t="n">
        <v>3</v>
      </c>
      <c r="AW201" s="121" t="inlineStr">
        <is>
          <t>⚠ WATCH</t>
        </is>
      </c>
      <c r="AX201" s="118" t="n">
        <v>16</v>
      </c>
      <c r="AY201" s="119" t="inlineStr">
        <is>
          <t>🟢 VERY LOW RISK</t>
        </is>
      </c>
      <c r="AZ201" s="118" t="n">
        <v>75.59999999999999</v>
      </c>
      <c r="BA201" s="118" t="n">
        <v>90.59999999999999</v>
      </c>
      <c r="BB201" s="118" t="n">
        <v>168.8</v>
      </c>
      <c r="BC201" s="118" t="n">
        <v>198.1</v>
      </c>
      <c r="BD201" s="118" t="n">
        <v>53.5</v>
      </c>
      <c r="BE201" s="118" t="n">
        <v>55.8</v>
      </c>
      <c r="BF201" s="120" t="n">
        <v>0.176</v>
      </c>
      <c r="BG201" s="117" t="n">
        <v>0.585</v>
      </c>
      <c r="BH201" s="122" t="n">
        <v>5</v>
      </c>
      <c r="BI201" s="123" t="n">
        <v>1</v>
      </c>
    </row>
    <row r="202" ht="17" customHeight="1">
      <c r="A202" s="117" t="inlineStr">
        <is>
          <t>ABT</t>
        </is>
      </c>
      <c r="B202" s="117" t="inlineStr">
        <is>
          <t>ABBOTT LABORATORIES</t>
        </is>
      </c>
      <c r="C202" s="118" t="n">
        <v>1.084</v>
      </c>
      <c r="D202" s="118" t="n">
        <v>1.018</v>
      </c>
      <c r="E202" s="118" t="n">
        <v>0.975</v>
      </c>
      <c r="F202" s="118" t="n">
        <v>1.057</v>
      </c>
      <c r="G202" s="118" t="n">
        <v>1.032</v>
      </c>
      <c r="H202" s="118" t="n">
        <v>0.998</v>
      </c>
      <c r="I202" s="118" t="n">
        <v>1</v>
      </c>
      <c r="J202" s="118" t="n">
        <v>-0.035</v>
      </c>
      <c r="K202" s="118" t="n">
        <v>-2.514</v>
      </c>
      <c r="L202" s="119" t="inlineStr">
        <is>
          <t>✓ Lower Risk</t>
        </is>
      </c>
      <c r="M202" s="120" t="n">
        <v>-0.027</v>
      </c>
      <c r="N202" s="120" t="n">
        <v>0.422</v>
      </c>
      <c r="O202" s="120" t="n">
        <v>0.124</v>
      </c>
      <c r="P202" s="120" t="n">
        <v>0.765</v>
      </c>
      <c r="Q202" s="120" t="n">
        <v>-0.089</v>
      </c>
      <c r="R202" s="117" t="n">
        <v>1</v>
      </c>
      <c r="S202" s="118" t="n">
        <v>-2.076</v>
      </c>
      <c r="T202" s="118" t="n">
        <v>0.111</v>
      </c>
      <c r="U202" s="121" t="inlineStr">
        <is>
          <t>⚠ HIGH RISK</t>
        </is>
      </c>
      <c r="V202" s="117" t="n">
        <v>0</v>
      </c>
      <c r="W202" s="117" t="n">
        <v>1</v>
      </c>
      <c r="X202" s="117" t="n">
        <v>0</v>
      </c>
      <c r="Y202" s="117" t="n">
        <v>0</v>
      </c>
      <c r="Z202" s="117" t="n">
        <v>0</v>
      </c>
      <c r="AA202" s="117" t="n">
        <v>0</v>
      </c>
      <c r="AB202" s="117" t="n">
        <v>1</v>
      </c>
      <c r="AC202" s="119" t="inlineStr">
        <is>
          <t>✓ Clean</t>
        </is>
      </c>
      <c r="AD202" s="118" t="n">
        <v>9566000000</v>
      </c>
      <c r="AE202" s="118" t="n">
        <v>-2422000000</v>
      </c>
      <c r="AF202" s="118" t="n">
        <v>6524000000</v>
      </c>
      <c r="AG202" s="118" t="n">
        <v>-0.007</v>
      </c>
      <c r="AH202" s="119" t="inlineStr">
        <is>
          <t>✓ Medium Quality</t>
        </is>
      </c>
      <c r="AI202" s="118" t="n">
        <v>0.145</v>
      </c>
      <c r="AJ202" s="120" t="n">
        <v>0.057</v>
      </c>
      <c r="AK202" s="120" t="n">
        <v>2.558</v>
      </c>
      <c r="AL202" s="120" t="n">
        <v>0.216</v>
      </c>
      <c r="AM202" s="120" t="n">
        <v>0.001</v>
      </c>
      <c r="AN202" s="118" t="n">
        <v>70.09999999999999</v>
      </c>
      <c r="AO202" s="119" t="inlineStr">
        <is>
          <t>✓ Good</t>
        </is>
      </c>
      <c r="AP202" s="117" t="n">
        <v>0</v>
      </c>
      <c r="AQ202" s="117" t="n">
        <v>0</v>
      </c>
      <c r="AR202" s="117" t="n">
        <v>1</v>
      </c>
      <c r="AS202" s="117" t="n">
        <v>0</v>
      </c>
      <c r="AT202" s="117" t="n">
        <v>1</v>
      </c>
      <c r="AU202" s="117" t="n">
        <v>0</v>
      </c>
      <c r="AV202" s="117" t="n">
        <v>2</v>
      </c>
      <c r="AW202" s="121" t="inlineStr">
        <is>
          <t>⚠ WATCH</t>
        </is>
      </c>
      <c r="AX202" s="118" t="n">
        <v>30.3</v>
      </c>
      <c r="AY202" s="119" t="inlineStr">
        <is>
          <t>🟢 LOW RISK</t>
        </is>
      </c>
      <c r="AZ202" s="118" t="n">
        <v>65.3</v>
      </c>
      <c r="BA202" s="118" t="n">
        <v>60.3</v>
      </c>
      <c r="BB202" s="118" t="n">
        <v>122.6</v>
      </c>
      <c r="BC202" s="118" t="n">
        <v>120.9</v>
      </c>
      <c r="BD202" s="118" t="n">
        <v>93.5</v>
      </c>
      <c r="BE202" s="124" t="inlineStr">
        <is>
          <t>N/A</t>
        </is>
      </c>
      <c r="BF202" s="120" t="n">
        <v>0.229</v>
      </c>
      <c r="BG202" s="117" t="n">
        <v>0.765</v>
      </c>
      <c r="BH202" s="122" t="n">
        <v>4</v>
      </c>
      <c r="BI202" s="123" t="n">
        <v>1</v>
      </c>
    </row>
    <row r="203" ht="17" customHeight="1">
      <c r="A203" s="117" t="inlineStr">
        <is>
          <t>DAN</t>
        </is>
      </c>
      <c r="B203" s="117" t="inlineStr">
        <is>
          <t>Dana Incorporated</t>
        </is>
      </c>
      <c r="C203" s="118" t="n">
        <v>0.206</v>
      </c>
      <c r="D203" s="118" t="n">
        <v>4.074</v>
      </c>
      <c r="E203" s="118" t="n">
        <v>0.831</v>
      </c>
      <c r="F203" s="118" t="n">
        <v>4.017</v>
      </c>
      <c r="G203" s="118" t="n">
        <v>1.348</v>
      </c>
      <c r="H203" s="118" t="n">
        <v>0.184</v>
      </c>
      <c r="I203" s="118" t="n">
        <v>1.123</v>
      </c>
      <c r="J203" s="118" t="n">
        <v>-0.055</v>
      </c>
      <c r="K203" s="118" t="n">
        <v>0.92</v>
      </c>
      <c r="L203" s="121" t="inlineStr">
        <is>
          <t>⚠ MANIPULATOR RISK</t>
        </is>
      </c>
      <c r="M203" s="120" t="n">
        <v>-0.116</v>
      </c>
      <c r="N203" s="120" t="n">
        <v>-0.037</v>
      </c>
      <c r="O203" s="120" t="n">
        <v>-0.094</v>
      </c>
      <c r="P203" s="120" t="n">
        <v>0.65</v>
      </c>
      <c r="Q203" s="120" t="n">
        <v>0.018</v>
      </c>
      <c r="R203" s="117" t="n">
        <v>0</v>
      </c>
      <c r="S203" s="118" t="n">
        <v>-6.911</v>
      </c>
      <c r="T203" s="118" t="n">
        <v>0.001</v>
      </c>
      <c r="U203" s="119" t="inlineStr">
        <is>
          <t>✓ Normal</t>
        </is>
      </c>
      <c r="V203" s="117" t="n">
        <v>1</v>
      </c>
      <c r="W203" s="117" t="n">
        <v>0</v>
      </c>
      <c r="X203" s="117" t="n">
        <v>0</v>
      </c>
      <c r="Y203" s="117" t="n">
        <v>1</v>
      </c>
      <c r="Z203" s="117" t="n">
        <v>1</v>
      </c>
      <c r="AA203" s="117" t="n">
        <v>0</v>
      </c>
      <c r="AB203" s="117" t="n">
        <v>3</v>
      </c>
      <c r="AC203" s="121" t="inlineStr">
        <is>
          <t>⚠ WATCH</t>
        </is>
      </c>
      <c r="AD203" s="118" t="n">
        <v>512000000</v>
      </c>
      <c r="AE203" s="118" t="n">
        <v>-222000000</v>
      </c>
      <c r="AF203" s="118" t="n">
        <v>85000000</v>
      </c>
      <c r="AG203" s="118" t="n">
        <v>-0.027</v>
      </c>
      <c r="AH203" s="119" t="inlineStr">
        <is>
          <t>✓ Medium Quality</t>
        </is>
      </c>
      <c r="AI203" s="118" t="n">
        <v>-0.174</v>
      </c>
      <c r="AJ203" s="120" t="n">
        <v>3.017</v>
      </c>
      <c r="AK203" s="120" t="n">
        <v>-0.058</v>
      </c>
      <c r="AL203" s="120" t="n">
        <v>0.068</v>
      </c>
      <c r="AM203" s="120" t="n">
        <v>0</v>
      </c>
      <c r="AN203" s="118" t="n">
        <v>83.7</v>
      </c>
      <c r="AO203" s="119" t="inlineStr">
        <is>
          <t>✓ Good</t>
        </is>
      </c>
      <c r="AP203" s="117" t="n">
        <v>0</v>
      </c>
      <c r="AQ203" s="117" t="n">
        <v>0</v>
      </c>
      <c r="AR203" s="117" t="n">
        <v>1</v>
      </c>
      <c r="AS203" s="117" t="n">
        <v>0</v>
      </c>
      <c r="AT203" s="117" t="n">
        <v>1</v>
      </c>
      <c r="AU203" s="117" t="n">
        <v>0</v>
      </c>
      <c r="AV203" s="117" t="n">
        <v>2</v>
      </c>
      <c r="AW203" s="121" t="inlineStr">
        <is>
          <t>⚠ WATCH</t>
        </is>
      </c>
      <c r="AX203" s="118" t="n">
        <v>30.4</v>
      </c>
      <c r="AY203" s="119" t="inlineStr">
        <is>
          <t>🟢 LOW RISK</t>
        </is>
      </c>
      <c r="AZ203" s="118" t="n">
        <v>48</v>
      </c>
      <c r="BA203" s="118" t="n">
        <v>233.6</v>
      </c>
      <c r="BB203" s="118" t="n">
        <v>53.7</v>
      </c>
      <c r="BC203" s="118" t="n">
        <v>334.7</v>
      </c>
      <c r="BD203" s="118" t="n">
        <v>61.1</v>
      </c>
      <c r="BE203" s="118" t="n">
        <v>329.3</v>
      </c>
      <c r="BF203" s="120" t="n">
        <v>-0.31</v>
      </c>
      <c r="BG203" s="117" t="n">
        <v>0.65</v>
      </c>
      <c r="BH203" s="122" t="n">
        <v>5</v>
      </c>
      <c r="BI203" s="123" t="n">
        <v>1</v>
      </c>
    </row>
    <row r="204" ht="17" customHeight="1">
      <c r="A204" s="117" t="inlineStr">
        <is>
          <t>POOL</t>
        </is>
      </c>
      <c r="B204" s="117" t="inlineStr">
        <is>
          <t>POOL CORPORATION</t>
        </is>
      </c>
      <c r="C204" s="118" t="n">
        <v>1.179</v>
      </c>
      <c r="D204" s="118" t="n">
        <v>0.998</v>
      </c>
      <c r="E204" s="118" t="n">
        <v>0.93</v>
      </c>
      <c r="F204" s="118" t="n">
        <v>0.996</v>
      </c>
      <c r="G204" s="118" t="n">
        <v>0.927</v>
      </c>
      <c r="H204" s="118" t="n">
        <v>1.04</v>
      </c>
      <c r="I204" s="118" t="n">
        <v>1.082</v>
      </c>
      <c r="J204" s="118" t="n">
        <v>0.011</v>
      </c>
      <c r="K204" s="118" t="n">
        <v>-2.338</v>
      </c>
      <c r="L204" s="119" t="inlineStr">
        <is>
          <t>✓ Lower Risk</t>
        </is>
      </c>
      <c r="M204" s="120" t="n">
        <v>0.048</v>
      </c>
      <c r="N204" s="120" t="n">
        <v>0.9379999999999999</v>
      </c>
      <c r="O204" s="120" t="n">
        <v>7.671</v>
      </c>
      <c r="P204" s="120" t="n">
        <v>0.922</v>
      </c>
      <c r="Q204" s="120" t="n">
        <v>-0.017</v>
      </c>
      <c r="R204" s="117" t="n">
        <v>0</v>
      </c>
      <c r="S204" s="118" t="n">
        <v>5.476</v>
      </c>
      <c r="T204" s="118" t="n">
        <v>0.996</v>
      </c>
      <c r="U204" s="121" t="inlineStr">
        <is>
          <t>⚠ HIGH RISK</t>
        </is>
      </c>
      <c r="V204" s="117" t="n">
        <v>1</v>
      </c>
      <c r="W204" s="117" t="n">
        <v>1</v>
      </c>
      <c r="X204" s="117" t="n">
        <v>1</v>
      </c>
      <c r="Y204" s="117" t="n">
        <v>0</v>
      </c>
      <c r="Z204" s="117" t="n">
        <v>0</v>
      </c>
      <c r="AA204" s="117" t="n">
        <v>0</v>
      </c>
      <c r="AB204" s="117" t="n">
        <v>3</v>
      </c>
      <c r="AC204" s="121" t="inlineStr">
        <is>
          <t>⚠ WATCH</t>
        </is>
      </c>
      <c r="AD204" s="118" t="n">
        <v>365850000</v>
      </c>
      <c r="AE204" s="118" t="n">
        <v>-67792000</v>
      </c>
      <c r="AF204" s="118" t="n">
        <v>406404000</v>
      </c>
      <c r="AG204" s="118" t="n">
        <v>0.031</v>
      </c>
      <c r="AH204" s="119" t="inlineStr">
        <is>
          <t>✓ Medium Quality</t>
        </is>
      </c>
      <c r="AI204" s="118" t="n">
        <v>0.175</v>
      </c>
      <c r="AJ204" s="120" t="n">
        <v>-0.004</v>
      </c>
      <c r="AK204" s="120" t="n">
        <v>-43.023</v>
      </c>
      <c r="AL204" s="120" t="n">
        <v>0.06900000000000001</v>
      </c>
      <c r="AM204" s="124" t="inlineStr">
        <is>
          <t>N/A</t>
        </is>
      </c>
      <c r="AN204" s="118" t="n">
        <v>83.8</v>
      </c>
      <c r="AO204" s="119" t="inlineStr">
        <is>
          <t>✓ Good</t>
        </is>
      </c>
      <c r="AP204" s="117" t="n">
        <v>1</v>
      </c>
      <c r="AQ204" s="117" t="n">
        <v>1</v>
      </c>
      <c r="AR204" s="117" t="n">
        <v>0</v>
      </c>
      <c r="AS204" s="117" t="n">
        <v>1</v>
      </c>
      <c r="AT204" s="117" t="n">
        <v>0</v>
      </c>
      <c r="AU204" s="117" t="n">
        <v>0</v>
      </c>
      <c r="AV204" s="117" t="n">
        <v>3</v>
      </c>
      <c r="AW204" s="121" t="inlineStr">
        <is>
          <t>⚠ WATCH</t>
        </is>
      </c>
      <c r="AX204" s="118" t="n">
        <v>51.4</v>
      </c>
      <c r="AY204" s="121" t="inlineStr">
        <is>
          <t>🟡 ELEVATED RISK</t>
        </is>
      </c>
      <c r="AZ204" s="118" t="n">
        <v>9.4</v>
      </c>
      <c r="BA204" s="118" t="n">
        <v>8</v>
      </c>
      <c r="BB204" s="118" t="n">
        <v>142.8</v>
      </c>
      <c r="BC204" s="118" t="n">
        <v>126</v>
      </c>
      <c r="BD204" s="118" t="n">
        <v>64.09999999999999</v>
      </c>
      <c r="BE204" s="118" t="n">
        <v>51.3</v>
      </c>
      <c r="BF204" s="120" t="n">
        <v>0.244</v>
      </c>
      <c r="BG204" s="117" t="n">
        <v>0.922</v>
      </c>
      <c r="BH204" s="122" t="n">
        <v>6</v>
      </c>
      <c r="BI204" s="123" t="n">
        <v>1</v>
      </c>
    </row>
    <row r="205" ht="17" customHeight="1">
      <c r="A205" s="117" t="inlineStr">
        <is>
          <t>RGLD</t>
        </is>
      </c>
      <c r="B205" s="117" t="inlineStr">
        <is>
          <t>Royal Gold, Inc</t>
        </is>
      </c>
      <c r="C205" s="124" t="inlineStr">
        <is>
          <t>N/A</t>
        </is>
      </c>
      <c r="D205" s="118" t="n">
        <v>0.945</v>
      </c>
      <c r="E205" s="124" t="inlineStr">
        <is>
          <t>N/A</t>
        </is>
      </c>
      <c r="F205" s="118" t="n">
        <v>1.432</v>
      </c>
      <c r="G205" s="124" t="inlineStr">
        <is>
          <t>N/A</t>
        </is>
      </c>
      <c r="H205" s="118" t="n">
        <v>0.839</v>
      </c>
      <c r="I205" s="118" t="n">
        <v>3.179</v>
      </c>
      <c r="J205" s="118" t="n">
        <v>-0.025</v>
      </c>
      <c r="K205" s="124" t="inlineStr">
        <is>
          <t>N/A</t>
        </is>
      </c>
      <c r="L205" s="124" t="inlineStr">
        <is>
          <t>N/A</t>
        </is>
      </c>
      <c r="M205" s="120" t="n">
        <v>0.003</v>
      </c>
      <c r="N205" s="124" t="inlineStr">
        <is>
          <t>N/A</t>
        </is>
      </c>
      <c r="O205" s="124" t="inlineStr">
        <is>
          <t>N/A</t>
        </is>
      </c>
      <c r="P205" s="120" t="n">
        <v>0.975</v>
      </c>
      <c r="Q205" s="120" t="n">
        <v>-0.049</v>
      </c>
      <c r="R205" s="117" t="n">
        <v>0</v>
      </c>
      <c r="S205" s="124" t="inlineStr">
        <is>
          <t>N/A</t>
        </is>
      </c>
      <c r="T205" s="124" t="inlineStr">
        <is>
          <t>N/A</t>
        </is>
      </c>
      <c r="U205" s="124" t="inlineStr">
        <is>
          <t>N/A</t>
        </is>
      </c>
      <c r="V205" s="117" t="n">
        <v>1</v>
      </c>
      <c r="W205" s="117" t="n">
        <v>0</v>
      </c>
      <c r="X205" s="117" t="n">
        <v>0</v>
      </c>
      <c r="Y205" s="117" t="n">
        <v>1</v>
      </c>
      <c r="Z205" s="117" t="n">
        <v>1</v>
      </c>
      <c r="AA205" s="117" t="n">
        <v>1</v>
      </c>
      <c r="AB205" s="117" t="n">
        <v>4</v>
      </c>
      <c r="AC205" s="121" t="inlineStr">
        <is>
          <t>⚠⚠ SERIOUS CONCERN</t>
        </is>
      </c>
      <c r="AD205" s="118" t="n">
        <v>704846000</v>
      </c>
      <c r="AE205" s="118" t="n">
        <v>-1418559000</v>
      </c>
      <c r="AF205" s="118" t="n">
        <v>466281000</v>
      </c>
      <c r="AG205" s="118" t="n">
        <v>0.183</v>
      </c>
      <c r="AH205" s="117" t="inlineStr">
        <is>
          <t>⚠ Low Quality</t>
        </is>
      </c>
      <c r="AI205" s="124" t="inlineStr">
        <is>
          <t>N/A</t>
        </is>
      </c>
      <c r="AJ205" s="120" t="n">
        <v>0.432</v>
      </c>
      <c r="AK205" s="124" t="inlineStr">
        <is>
          <t>N/A</t>
        </is>
      </c>
      <c r="AL205" s="120" t="n">
        <v>0.6840000000000001</v>
      </c>
      <c r="AM205" s="124" t="inlineStr">
        <is>
          <t>N/A</t>
        </is>
      </c>
      <c r="AN205" s="117" t="n">
        <v>100</v>
      </c>
      <c r="AO205" s="119" t="inlineStr">
        <is>
          <t>✓ Good</t>
        </is>
      </c>
      <c r="AP205" s="117" t="n">
        <v>0</v>
      </c>
      <c r="AQ205" s="117" t="n">
        <v>0</v>
      </c>
      <c r="AR205" s="117" t="n">
        <v>0</v>
      </c>
      <c r="AS205" s="117" t="n">
        <v>0</v>
      </c>
      <c r="AT205" s="117" t="n">
        <v>0</v>
      </c>
      <c r="AU205" s="117" t="n">
        <v>1</v>
      </c>
      <c r="AV205" s="117" t="n">
        <v>1</v>
      </c>
      <c r="AW205" s="119" t="inlineStr">
        <is>
          <t>✓ Clean</t>
        </is>
      </c>
      <c r="AX205" s="118" t="n">
        <v>39.8</v>
      </c>
      <c r="AY205" s="119" t="inlineStr">
        <is>
          <t>🟢 LOW RISK</t>
        </is>
      </c>
      <c r="AZ205" s="118" t="n">
        <v>0</v>
      </c>
      <c r="BA205" s="124" t="inlineStr">
        <is>
          <t>N/A</t>
        </is>
      </c>
      <c r="BB205" s="118" t="n">
        <v>49.5</v>
      </c>
      <c r="BC205" s="124" t="inlineStr">
        <is>
          <t>N/A</t>
        </is>
      </c>
      <c r="BD205" s="118" t="n">
        <v>19.2</v>
      </c>
      <c r="BE205" s="118" t="n">
        <v>30.1</v>
      </c>
      <c r="BF205" s="120" t="n">
        <v>0.178</v>
      </c>
      <c r="BG205" s="117" t="n">
        <v>0.975</v>
      </c>
      <c r="BH205" s="122" t="n">
        <v>5</v>
      </c>
      <c r="BI205" s="125" t="n">
        <v>0.6666666666666666</v>
      </c>
    </row>
    <row r="206" ht="17" customHeight="1">
      <c r="A206" s="117" t="inlineStr">
        <is>
          <t>DUK</t>
        </is>
      </c>
      <c r="B206" s="117" t="inlineStr">
        <is>
          <t>DUKE ENERGY CORPORATION</t>
        </is>
      </c>
      <c r="C206" s="118" t="n">
        <v>0.002</v>
      </c>
      <c r="D206" s="118" t="n">
        <v>-0.306</v>
      </c>
      <c r="E206" s="118" t="n">
        <v>1.029</v>
      </c>
      <c r="F206" s="118" t="n">
        <v>3.446</v>
      </c>
      <c r="G206" s="118" t="n">
        <v>1.042</v>
      </c>
      <c r="H206" s="124" t="inlineStr">
        <is>
          <t>N/A</t>
        </is>
      </c>
      <c r="I206" s="118" t="n">
        <v>1</v>
      </c>
      <c r="J206" s="118" t="n">
        <v>-0.038</v>
      </c>
      <c r="K206" s="118" t="n">
        <v>-1.893</v>
      </c>
      <c r="L206" s="121" t="inlineStr">
        <is>
          <t>⚠ MANIPULATOR RISK</t>
        </is>
      </c>
      <c r="M206" s="120" t="n">
        <v>-0.024</v>
      </c>
      <c r="N206" s="120" t="n">
        <v>-0.134</v>
      </c>
      <c r="O206" s="120" t="n">
        <v>0.019</v>
      </c>
      <c r="P206" s="120" t="n">
        <v>0.335</v>
      </c>
      <c r="Q206" s="120" t="n">
        <v>0.001</v>
      </c>
      <c r="R206" s="117" t="n">
        <v>1</v>
      </c>
      <c r="S206" s="118" t="n">
        <v>-4.492</v>
      </c>
      <c r="T206" s="118" t="n">
        <v>0.011</v>
      </c>
      <c r="U206" s="119" t="inlineStr">
        <is>
          <t>✓ Normal</t>
        </is>
      </c>
      <c r="V206" s="117" t="n">
        <v>1</v>
      </c>
      <c r="W206" s="117" t="n">
        <v>0</v>
      </c>
      <c r="X206" s="117" t="n">
        <v>0</v>
      </c>
      <c r="Y206" s="117" t="n">
        <v>1</v>
      </c>
      <c r="Z206" s="117" t="n">
        <v>1</v>
      </c>
      <c r="AA206" s="117" t="n">
        <v>0</v>
      </c>
      <c r="AB206" s="117" t="n">
        <v>3</v>
      </c>
      <c r="AC206" s="121" t="inlineStr">
        <is>
          <t>⚠ WATCH</t>
        </is>
      </c>
      <c r="AD206" s="118" t="n">
        <v>12330000000</v>
      </c>
      <c r="AE206" s="118" t="n">
        <v>-14338000000</v>
      </c>
      <c r="AF206" s="118" t="n">
        <v>4968000000</v>
      </c>
      <c r="AG206" s="118" t="n">
        <v>0.037</v>
      </c>
      <c r="AH206" s="119" t="inlineStr">
        <is>
          <t>✓ Medium Quality</t>
        </is>
      </c>
      <c r="AI206" s="118" t="n">
        <v>-0.992</v>
      </c>
      <c r="AJ206" s="120" t="n">
        <v>2.446</v>
      </c>
      <c r="AK206" s="120" t="n">
        <v>-0.405</v>
      </c>
      <c r="AL206" s="120" t="n">
        <v>0.628</v>
      </c>
      <c r="AM206" s="124" t="inlineStr">
        <is>
          <t>N/A</t>
        </is>
      </c>
      <c r="AN206" s="117" t="n">
        <v>100</v>
      </c>
      <c r="AO206" s="119" t="inlineStr">
        <is>
          <t>✓ Good</t>
        </is>
      </c>
      <c r="AP206" s="117" t="n">
        <v>0</v>
      </c>
      <c r="AQ206" s="117" t="n">
        <v>0</v>
      </c>
      <c r="AR206" s="117" t="n">
        <v>0</v>
      </c>
      <c r="AS206" s="117" t="n">
        <v>0</v>
      </c>
      <c r="AT206" s="117" t="n">
        <v>0</v>
      </c>
      <c r="AU206" s="117" t="n">
        <v>1</v>
      </c>
      <c r="AV206" s="117" t="n">
        <v>1</v>
      </c>
      <c r="AW206" s="119" t="inlineStr">
        <is>
          <t>✓ Clean</t>
        </is>
      </c>
      <c r="AX206" s="118" t="n">
        <v>22.1</v>
      </c>
      <c r="AY206" s="119" t="inlineStr">
        <is>
          <t>🟢 LOW RISK</t>
        </is>
      </c>
      <c r="AZ206" s="118" t="n">
        <v>0.3</v>
      </c>
      <c r="BA206" s="118" t="n">
        <v>121.1</v>
      </c>
      <c r="BB206" s="118" t="n">
        <v>84.90000000000001</v>
      </c>
      <c r="BC206" s="118" t="n">
        <v>70.40000000000001</v>
      </c>
      <c r="BD206" s="118" t="n">
        <v>279.3</v>
      </c>
      <c r="BE206" s="118" t="n">
        <v>292.8</v>
      </c>
      <c r="BF206" s="120" t="n">
        <v>0.112</v>
      </c>
      <c r="BG206" s="117" t="n">
        <v>0.335</v>
      </c>
      <c r="BH206" s="122" t="n">
        <v>5</v>
      </c>
      <c r="BI206" s="123" t="n">
        <v>1</v>
      </c>
    </row>
    <row r="207" ht="17" customHeight="1">
      <c r="A207" s="117" t="inlineStr">
        <is>
          <t>HSY</t>
        </is>
      </c>
      <c r="B207" s="117" t="inlineStr">
        <is>
          <t>HERSHEY CO</t>
        </is>
      </c>
      <c r="C207" s="118" t="n">
        <v>0.244</v>
      </c>
      <c r="D207" s="118" t="n">
        <v>5.04</v>
      </c>
      <c r="E207" s="118" t="n">
        <v>1.054</v>
      </c>
      <c r="F207" s="118" t="n">
        <v>3.729</v>
      </c>
      <c r="G207" s="118" t="n">
        <v>0.984</v>
      </c>
      <c r="H207" s="118" t="n">
        <v>0.278</v>
      </c>
      <c r="I207" s="118" t="n">
        <v>1.042</v>
      </c>
      <c r="J207" s="118" t="n">
        <v>-0.101</v>
      </c>
      <c r="K207" s="118" t="n">
        <v>1.048</v>
      </c>
      <c r="L207" s="121" t="inlineStr">
        <is>
          <t>⚠ MANIPULATOR RISK</t>
        </is>
      </c>
      <c r="M207" s="120" t="n">
        <v>0.025</v>
      </c>
      <c r="N207" s="120" t="n">
        <v>-0.012</v>
      </c>
      <c r="O207" s="120" t="n">
        <v>0.029</v>
      </c>
      <c r="P207" s="120" t="n">
        <v>0.791</v>
      </c>
      <c r="Q207" s="120" t="n">
        <v>-0.107</v>
      </c>
      <c r="R207" s="117" t="n">
        <v>1</v>
      </c>
      <c r="S207" s="118" t="n">
        <v>-3.182</v>
      </c>
      <c r="T207" s="118" t="n">
        <v>0.04</v>
      </c>
      <c r="U207" s="121" t="inlineStr">
        <is>
          <t>⚠ HIGH RISK</t>
        </is>
      </c>
      <c r="V207" s="117" t="n">
        <v>0</v>
      </c>
      <c r="W207" s="117" t="n">
        <v>0</v>
      </c>
      <c r="X207" s="117" t="n">
        <v>0</v>
      </c>
      <c r="Y207" s="117" t="n">
        <v>1</v>
      </c>
      <c r="Z207" s="117" t="n">
        <v>0</v>
      </c>
      <c r="AA207" s="117" t="n">
        <v>0</v>
      </c>
      <c r="AB207" s="117" t="n">
        <v>1</v>
      </c>
      <c r="AC207" s="119" t="inlineStr">
        <is>
          <t>✓ Clean</t>
        </is>
      </c>
      <c r="AD207" s="118" t="n">
        <v>2277367000</v>
      </c>
      <c r="AE207" s="118" t="n">
        <v>-1278717000</v>
      </c>
      <c r="AF207" s="118" t="n">
        <v>883259000</v>
      </c>
      <c r="AG207" s="118" t="n">
        <v>-0.008999999999999999</v>
      </c>
      <c r="AH207" s="119" t="inlineStr">
        <is>
          <t>✓ Medium Quality</t>
        </is>
      </c>
      <c r="AI207" s="118" t="n">
        <v>-0.089</v>
      </c>
      <c r="AJ207" s="120" t="n">
        <v>2.729</v>
      </c>
      <c r="AK207" s="120" t="n">
        <v>-0.032</v>
      </c>
      <c r="AL207" s="120" t="n">
        <v>0.279</v>
      </c>
      <c r="AM207" s="124" t="inlineStr">
        <is>
          <t>N/A</t>
        </is>
      </c>
      <c r="AN207" s="117" t="n">
        <v>100</v>
      </c>
      <c r="AO207" s="119" t="inlineStr">
        <is>
          <t>✓ Good</t>
        </is>
      </c>
      <c r="AP207" s="117" t="n">
        <v>0</v>
      </c>
      <c r="AQ207" s="117" t="n">
        <v>0</v>
      </c>
      <c r="AR207" s="117" t="n">
        <v>1</v>
      </c>
      <c r="AS207" s="117" t="n">
        <v>0</v>
      </c>
      <c r="AT207" s="117" t="n">
        <v>1</v>
      </c>
      <c r="AU207" s="117" t="n">
        <v>0</v>
      </c>
      <c r="AV207" s="117" t="n">
        <v>2</v>
      </c>
      <c r="AW207" s="121" t="inlineStr">
        <is>
          <t>⚠ WATCH</t>
        </is>
      </c>
      <c r="AX207" s="118" t="n">
        <v>28.8</v>
      </c>
      <c r="AY207" s="119" t="inlineStr">
        <is>
          <t>🟢 LOW RISK</t>
        </is>
      </c>
      <c r="AZ207" s="118" t="n">
        <v>32.7</v>
      </c>
      <c r="BA207" s="118" t="n">
        <v>133.7</v>
      </c>
      <c r="BB207" s="118" t="n">
        <v>67.09999999999999</v>
      </c>
      <c r="BC207" s="118" t="n">
        <v>77.59999999999999</v>
      </c>
      <c r="BD207" s="118" t="n">
        <v>59</v>
      </c>
      <c r="BE207" s="118" t="n">
        <v>71.7</v>
      </c>
      <c r="BF207" s="120" t="n">
        <v>0.273</v>
      </c>
      <c r="BG207" s="117" t="n">
        <v>0.791</v>
      </c>
      <c r="BH207" s="122" t="n">
        <v>4</v>
      </c>
      <c r="BI207" s="123" t="n">
        <v>1</v>
      </c>
    </row>
    <row r="208" ht="17" customHeight="1">
      <c r="A208" s="117" t="inlineStr">
        <is>
          <t>WOLF</t>
        </is>
      </c>
      <c r="B208" s="117" t="inlineStr">
        <is>
          <t>WOLFSPEED, INC.</t>
        </is>
      </c>
      <c r="C208" s="118" t="n">
        <v>0.328</v>
      </c>
      <c r="D208" s="118" t="n">
        <v>-2.352</v>
      </c>
      <c r="E208" s="118" t="n">
        <v>0.93</v>
      </c>
      <c r="F208" s="118" t="n">
        <v>3.696</v>
      </c>
      <c r="G208" s="118" t="n">
        <v>0.965</v>
      </c>
      <c r="H208" s="118" t="n">
        <v>0.209</v>
      </c>
      <c r="I208" s="118" t="n">
        <v>1</v>
      </c>
      <c r="J208" s="118" t="n">
        <v>-0.131</v>
      </c>
      <c r="K208" s="118" t="n">
        <v>-2.972</v>
      </c>
      <c r="L208" s="119" t="inlineStr">
        <is>
          <t>✓ Lower Risk</t>
        </is>
      </c>
      <c r="M208" s="120" t="n">
        <v>-0.956</v>
      </c>
      <c r="N208" s="120" t="n">
        <v>0.031</v>
      </c>
      <c r="O208" s="120" t="n">
        <v>-0.005</v>
      </c>
      <c r="P208" s="120" t="n">
        <v>0.8110000000000001</v>
      </c>
      <c r="Q208" s="120" t="n">
        <v>-0.127</v>
      </c>
      <c r="R208" s="117" t="n">
        <v>1</v>
      </c>
      <c r="S208" s="118" t="n">
        <v>-3.843</v>
      </c>
      <c r="T208" s="118" t="n">
        <v>0.021</v>
      </c>
      <c r="U208" s="119" t="inlineStr">
        <is>
          <t>✓ Normal</t>
        </is>
      </c>
      <c r="V208" s="117" t="n">
        <v>0</v>
      </c>
      <c r="W208" s="117" t="n">
        <v>0</v>
      </c>
      <c r="X208" s="117" t="n">
        <v>0</v>
      </c>
      <c r="Y208" s="117" t="n">
        <v>1</v>
      </c>
      <c r="Z208" s="117" t="n">
        <v>0</v>
      </c>
      <c r="AA208" s="117" t="n">
        <v>0</v>
      </c>
      <c r="AB208" s="117" t="n">
        <v>1</v>
      </c>
      <c r="AC208" s="119" t="inlineStr">
        <is>
          <t>✓ Clean</t>
        </is>
      </c>
      <c r="AD208" s="118" t="n">
        <v>-711700000</v>
      </c>
      <c r="AE208" s="118" t="n">
        <v>-268100000</v>
      </c>
      <c r="AF208" s="118" t="n">
        <v>-1609200000</v>
      </c>
      <c r="AG208" s="118" t="n">
        <v>-0.08500000000000001</v>
      </c>
      <c r="AH208" s="119" t="inlineStr">
        <is>
          <t>✓ Medium Quality</t>
        </is>
      </c>
      <c r="AI208" s="118" t="n">
        <v>0.213</v>
      </c>
      <c r="AJ208" s="120" t="n">
        <v>2.696</v>
      </c>
      <c r="AK208" s="120" t="n">
        <v>0.079</v>
      </c>
      <c r="AL208" s="120" t="n">
        <v>-0.513</v>
      </c>
      <c r="AM208" s="120" t="n">
        <v>-0.008999999999999999</v>
      </c>
      <c r="AN208" s="118" t="n">
        <v>69.59999999999999</v>
      </c>
      <c r="AO208" s="119" t="inlineStr">
        <is>
          <t>✓ Good</t>
        </is>
      </c>
      <c r="AP208" s="117" t="n">
        <v>0</v>
      </c>
      <c r="AQ208" s="117" t="n">
        <v>0</v>
      </c>
      <c r="AR208" s="117" t="n">
        <v>1</v>
      </c>
      <c r="AS208" s="117" t="n">
        <v>0</v>
      </c>
      <c r="AT208" s="117" t="n">
        <v>1</v>
      </c>
      <c r="AU208" s="117" t="n">
        <v>0</v>
      </c>
      <c r="AV208" s="117" t="n">
        <v>2</v>
      </c>
      <c r="AW208" s="121" t="inlineStr">
        <is>
          <t>⚠ WATCH</t>
        </is>
      </c>
      <c r="AX208" s="118" t="n">
        <v>17</v>
      </c>
      <c r="AY208" s="119" t="inlineStr">
        <is>
          <t>🟢 VERY LOW RISK</t>
        </is>
      </c>
      <c r="AZ208" s="118" t="n">
        <v>47.1</v>
      </c>
      <c r="BA208" s="118" t="n">
        <v>143.5</v>
      </c>
      <c r="BB208" s="118" t="n">
        <v>180.8</v>
      </c>
      <c r="BC208" s="118" t="n">
        <v>220.4</v>
      </c>
      <c r="BD208" s="118" t="n">
        <v>50.4</v>
      </c>
      <c r="BE208" s="118" t="n">
        <v>39.4</v>
      </c>
      <c r="BF208" s="120" t="n">
        <v>0.006</v>
      </c>
      <c r="BG208" s="117" t="n">
        <v>0.8110000000000001</v>
      </c>
      <c r="BH208" s="122" t="n">
        <v>4</v>
      </c>
      <c r="BI208" s="123" t="n">
        <v>1</v>
      </c>
    </row>
    <row r="209" ht="17" customHeight="1">
      <c r="A209" s="117" t="inlineStr">
        <is>
          <t>NCNO</t>
        </is>
      </c>
      <c r="B209" s="117" t="inlineStr">
        <is>
          <t>nCino, Inc.</t>
        </is>
      </c>
      <c r="C209" s="118" t="n">
        <v>1.031</v>
      </c>
      <c r="D209" s="118" t="n">
        <v>0.992</v>
      </c>
      <c r="E209" s="118" t="n">
        <v>1.013</v>
      </c>
      <c r="F209" s="118" t="n">
        <v>1.1</v>
      </c>
      <c r="G209" s="118" t="n">
        <v>0.911</v>
      </c>
      <c r="H209" s="118" t="n">
        <v>0.93</v>
      </c>
      <c r="I209" s="118" t="n">
        <v>1.104</v>
      </c>
      <c r="J209" s="118" t="n">
        <v>-0.052</v>
      </c>
      <c r="K209" s="118" t="n">
        <v>-2.634</v>
      </c>
      <c r="L209" s="119" t="inlineStr">
        <is>
          <t>✓ Lower Risk</t>
        </is>
      </c>
      <c r="M209" s="120" t="n">
        <v>-0.037</v>
      </c>
      <c r="N209" s="120" t="n">
        <v>0.365</v>
      </c>
      <c r="O209" s="124" t="inlineStr">
        <is>
          <t>N/A</t>
        </is>
      </c>
      <c r="P209" s="120" t="n">
        <v>0.901</v>
      </c>
      <c r="Q209" s="120" t="n">
        <v>0.027</v>
      </c>
      <c r="R209" s="117" t="n">
        <v>0</v>
      </c>
      <c r="S209" s="118" t="n">
        <v>-5.233</v>
      </c>
      <c r="T209" s="118" t="n">
        <v>0.005</v>
      </c>
      <c r="U209" s="119" t="inlineStr">
        <is>
          <t>✓ Normal</t>
        </is>
      </c>
      <c r="V209" s="117" t="n">
        <v>1</v>
      </c>
      <c r="W209" s="117" t="n">
        <v>1</v>
      </c>
      <c r="X209" s="117" t="n">
        <v>0</v>
      </c>
      <c r="Y209" s="117" t="n">
        <v>1</v>
      </c>
      <c r="Z209" s="117" t="n">
        <v>0</v>
      </c>
      <c r="AA209" s="117" t="n">
        <v>0</v>
      </c>
      <c r="AB209" s="117" t="n">
        <v>3</v>
      </c>
      <c r="AC209" s="121" t="inlineStr">
        <is>
          <t>⚠ WATCH</t>
        </is>
      </c>
      <c r="AD209" s="118" t="n">
        <v>90065000</v>
      </c>
      <c r="AE209" s="118" t="n">
        <v>-54080000</v>
      </c>
      <c r="AF209" s="118" t="n">
        <v>5180000</v>
      </c>
      <c r="AG209" s="118" t="n">
        <v>-0.019</v>
      </c>
      <c r="AH209" s="119" t="inlineStr">
        <is>
          <t>✓ Medium Quality</t>
        </is>
      </c>
      <c r="AI209" s="118" t="n">
        <v>0.135</v>
      </c>
      <c r="AJ209" s="120" t="n">
        <v>0.1</v>
      </c>
      <c r="AK209" s="120" t="n">
        <v>1.344</v>
      </c>
      <c r="AL209" s="120" t="n">
        <v>0.151</v>
      </c>
      <c r="AM209" s="120" t="n">
        <v>0.033</v>
      </c>
      <c r="AN209" s="118" t="n">
        <v>91.3</v>
      </c>
      <c r="AO209" s="119" t="inlineStr">
        <is>
          <t>✓ Good</t>
        </is>
      </c>
      <c r="AP209" s="117" t="n">
        <v>0</v>
      </c>
      <c r="AQ209" s="117" t="n">
        <v>0</v>
      </c>
      <c r="AR209" s="117" t="n">
        <v>0</v>
      </c>
      <c r="AS209" s="117" t="n">
        <v>0</v>
      </c>
      <c r="AT209" s="117" t="n">
        <v>1</v>
      </c>
      <c r="AU209" s="117" t="n">
        <v>1</v>
      </c>
      <c r="AV209" s="117" t="n">
        <v>2</v>
      </c>
      <c r="AW209" s="121" t="inlineStr">
        <is>
          <t>⚠ WATCH</t>
        </is>
      </c>
      <c r="AX209" s="118" t="n">
        <v>19.9</v>
      </c>
      <c r="AY209" s="119" t="inlineStr">
        <is>
          <t>🟢 VERY LOW RISK</t>
        </is>
      </c>
      <c r="AZ209" s="118" t="n">
        <v>102.2</v>
      </c>
      <c r="BA209" s="118" t="n">
        <v>99.09999999999999</v>
      </c>
      <c r="BB209" s="124" t="inlineStr">
        <is>
          <t>N/A</t>
        </is>
      </c>
      <c r="BC209" s="124" t="inlineStr">
        <is>
          <t>N/A</t>
        </is>
      </c>
      <c r="BD209" s="118" t="n">
        <v>22.6</v>
      </c>
      <c r="BE209" s="118" t="n">
        <v>23.1</v>
      </c>
      <c r="BF209" s="120" t="n">
        <v>-0.447</v>
      </c>
      <c r="BG209" s="117" t="n">
        <v>0.901</v>
      </c>
      <c r="BH209" s="122" t="n">
        <v>5</v>
      </c>
      <c r="BI209" s="123" t="n">
        <v>1</v>
      </c>
    </row>
    <row r="210" ht="17" customHeight="1">
      <c r="A210" s="117" t="inlineStr">
        <is>
          <t>PVH</t>
        </is>
      </c>
      <c r="B210" s="117" t="inlineStr">
        <is>
          <t>PVH Corp.</t>
        </is>
      </c>
      <c r="C210" s="118" t="n">
        <v>1.13</v>
      </c>
      <c r="D210" s="118" t="n">
        <v>1.033</v>
      </c>
      <c r="E210" s="118" t="n">
        <v>1.028</v>
      </c>
      <c r="F210" s="118" t="n">
        <v>1.034</v>
      </c>
      <c r="G210" s="118" t="n">
        <v>0.958</v>
      </c>
      <c r="H210" s="118" t="n">
        <v>0.984</v>
      </c>
      <c r="I210" s="118" t="n">
        <v>1</v>
      </c>
      <c r="J210" s="118" t="n">
        <v>-0.056</v>
      </c>
      <c r="K210" s="118" t="n">
        <v>-2.566</v>
      </c>
      <c r="L210" s="119" t="inlineStr">
        <is>
          <t>✓ Lower Risk</t>
        </is>
      </c>
      <c r="M210" s="120" t="n">
        <v>0.022</v>
      </c>
      <c r="N210" s="120" t="n">
        <v>0.482</v>
      </c>
      <c r="O210" s="120" t="n">
        <v>0.252</v>
      </c>
      <c r="P210" s="120" t="n">
        <v>0.882</v>
      </c>
      <c r="Q210" s="120" t="n">
        <v>-0.052</v>
      </c>
      <c r="R210" s="117" t="n">
        <v>1</v>
      </c>
      <c r="S210" s="118" t="n">
        <v>-1.518</v>
      </c>
      <c r="T210" s="118" t="n">
        <v>0.18</v>
      </c>
      <c r="U210" s="121" t="inlineStr">
        <is>
          <t>⚠ HIGH RISK</t>
        </is>
      </c>
      <c r="V210" s="117" t="n">
        <v>0</v>
      </c>
      <c r="W210" s="117" t="n">
        <v>1</v>
      </c>
      <c r="X210" s="117" t="n">
        <v>1</v>
      </c>
      <c r="Y210" s="117" t="n">
        <v>1</v>
      </c>
      <c r="Z210" s="117" t="n">
        <v>1</v>
      </c>
      <c r="AA210" s="117" t="n">
        <v>0</v>
      </c>
      <c r="AB210" s="117" t="n">
        <v>4</v>
      </c>
      <c r="AC210" s="121" t="inlineStr">
        <is>
          <t>⚠⚠ SERIOUS CONCERN</t>
        </is>
      </c>
      <c r="AD210" s="118" t="n">
        <v>680400000</v>
      </c>
      <c r="AE210" s="118" t="n">
        <v>-140100000</v>
      </c>
      <c r="AF210" s="118" t="n">
        <v>25300000</v>
      </c>
      <c r="AG210" s="118" t="n">
        <v>-0.045</v>
      </c>
      <c r="AH210" s="119" t="inlineStr">
        <is>
          <t>✓ Medium Quality</t>
        </is>
      </c>
      <c r="AI210" s="118" t="n">
        <v>0.168</v>
      </c>
      <c r="AJ210" s="120" t="n">
        <v>0.034</v>
      </c>
      <c r="AK210" s="120" t="n">
        <v>4.903</v>
      </c>
      <c r="AL210" s="120" t="n">
        <v>0.076</v>
      </c>
      <c r="AM210" s="120" t="n">
        <v>-0.001</v>
      </c>
      <c r="AN210" s="118" t="n">
        <v>55.2</v>
      </c>
      <c r="AO210" s="121" t="inlineStr">
        <is>
          <t>⚠ WATCH</t>
        </is>
      </c>
      <c r="AP210" s="117" t="n">
        <v>0</v>
      </c>
      <c r="AQ210" s="117" t="n">
        <v>0</v>
      </c>
      <c r="AR210" s="117" t="n">
        <v>1</v>
      </c>
      <c r="AS210" s="117" t="n">
        <v>0</v>
      </c>
      <c r="AT210" s="117" t="n">
        <v>0</v>
      </c>
      <c r="AU210" s="117" t="n">
        <v>0</v>
      </c>
      <c r="AV210" s="117" t="n">
        <v>1</v>
      </c>
      <c r="AW210" s="119" t="inlineStr">
        <is>
          <t>✓ Clean</t>
        </is>
      </c>
      <c r="AX210" s="118" t="n">
        <v>51.1</v>
      </c>
      <c r="AY210" s="121" t="inlineStr">
        <is>
          <t>🟡 ELEVATED RISK</t>
        </is>
      </c>
      <c r="AZ210" s="118" t="n">
        <v>40.6</v>
      </c>
      <c r="BA210" s="118" t="n">
        <v>35.9</v>
      </c>
      <c r="BB210" s="118" t="n">
        <v>152</v>
      </c>
      <c r="BC210" s="118" t="n">
        <v>156.9</v>
      </c>
      <c r="BD210" s="118" t="n">
        <v>110.1</v>
      </c>
      <c r="BE210" s="118" t="n">
        <v>119.7</v>
      </c>
      <c r="BF210" s="120" t="n">
        <v>0.833</v>
      </c>
      <c r="BG210" s="117" t="n">
        <v>0.882</v>
      </c>
      <c r="BH210" s="122" t="n">
        <v>6</v>
      </c>
      <c r="BI210" s="123" t="n">
        <v>1</v>
      </c>
    </row>
    <row r="211" ht="17" customHeight="1">
      <c r="A211" s="117" t="inlineStr">
        <is>
          <t>TGT</t>
        </is>
      </c>
      <c r="B211" s="117" t="inlineStr">
        <is>
          <t>TARGET CORPORATION</t>
        </is>
      </c>
      <c r="C211" s="124" t="inlineStr">
        <is>
          <t>N/A</t>
        </is>
      </c>
      <c r="D211" s="118" t="n">
        <v>0.293</v>
      </c>
      <c r="E211" s="118" t="n">
        <v>0.764</v>
      </c>
      <c r="F211" s="118" t="n">
        <v>1.019</v>
      </c>
      <c r="G211" s="118" t="n">
        <v>1.074</v>
      </c>
      <c r="H211" s="118" t="n">
        <v>0.962</v>
      </c>
      <c r="I211" s="118" t="n">
        <v>1</v>
      </c>
      <c r="J211" s="118" t="n">
        <v>-0.048</v>
      </c>
      <c r="K211" s="124" t="inlineStr">
        <is>
          <t>N/A</t>
        </is>
      </c>
      <c r="L211" s="124" t="inlineStr">
        <is>
          <t>N/A</t>
        </is>
      </c>
      <c r="M211" s="120" t="n">
        <v>-0.054</v>
      </c>
      <c r="N211" s="124" t="inlineStr">
        <is>
          <t>N/A</t>
        </is>
      </c>
      <c r="O211" s="120" t="n">
        <v>-0.326</v>
      </c>
      <c r="P211" s="120" t="n">
        <v>0.378</v>
      </c>
      <c r="Q211" s="120" t="n">
        <v>-0.008999999999999999</v>
      </c>
      <c r="R211" s="117" t="n">
        <v>0</v>
      </c>
      <c r="S211" s="118" t="n">
        <v>-7.572</v>
      </c>
      <c r="T211" s="118" t="n">
        <v>0.001</v>
      </c>
      <c r="U211" s="119" t="inlineStr">
        <is>
          <t>✓ Normal</t>
        </is>
      </c>
      <c r="V211" s="117" t="n">
        <v>1</v>
      </c>
      <c r="W211" s="117" t="n">
        <v>0</v>
      </c>
      <c r="X211" s="117" t="n">
        <v>0</v>
      </c>
      <c r="Y211" s="117" t="n">
        <v>1</v>
      </c>
      <c r="Z211" s="117" t="n">
        <v>0</v>
      </c>
      <c r="AA211" s="117" t="n">
        <v>0</v>
      </c>
      <c r="AB211" s="117" t="n">
        <v>2</v>
      </c>
      <c r="AC211" s="121" t="inlineStr">
        <is>
          <t>⚠ WATCH</t>
        </is>
      </c>
      <c r="AD211" s="118" t="n">
        <v>6562000000</v>
      </c>
      <c r="AE211" s="118" t="n">
        <v>-3649000000</v>
      </c>
      <c r="AF211" s="118" t="n">
        <v>3705000000</v>
      </c>
      <c r="AG211" s="118" t="n">
        <v>0.014</v>
      </c>
      <c r="AH211" s="119" t="inlineStr">
        <is>
          <t>✓ Medium Quality</t>
        </is>
      </c>
      <c r="AI211" s="124" t="inlineStr">
        <is>
          <t>N/A</t>
        </is>
      </c>
      <c r="AJ211" s="120" t="n">
        <v>0.019</v>
      </c>
      <c r="AK211" s="124" t="inlineStr">
        <is>
          <t>N/A</t>
        </is>
      </c>
      <c r="AL211" s="120" t="n">
        <v>0.09</v>
      </c>
      <c r="AM211" s="120" t="n">
        <v>-0</v>
      </c>
      <c r="AN211" s="118" t="n">
        <v>88.09999999999999</v>
      </c>
      <c r="AO211" s="119" t="inlineStr">
        <is>
          <t>✓ Good</t>
        </is>
      </c>
      <c r="AP211" s="117" t="n">
        <v>0</v>
      </c>
      <c r="AQ211" s="117" t="n">
        <v>0</v>
      </c>
      <c r="AR211" s="117" t="n">
        <v>0</v>
      </c>
      <c r="AS211" s="117" t="n">
        <v>0</v>
      </c>
      <c r="AT211" s="117" t="n">
        <v>0</v>
      </c>
      <c r="AU211" s="117" t="n">
        <v>0</v>
      </c>
      <c r="AV211" s="117" t="n">
        <v>0</v>
      </c>
      <c r="AW211" s="119" t="inlineStr">
        <is>
          <t>✓ Clean</t>
        </is>
      </c>
      <c r="AX211" s="118" t="n">
        <v>22.1</v>
      </c>
      <c r="AY211" s="119" t="inlineStr">
        <is>
          <t>🟢 LOW RISK</t>
        </is>
      </c>
      <c r="AZ211" s="118" t="n">
        <v>0</v>
      </c>
      <c r="BA211" s="124" t="inlineStr">
        <is>
          <t>N/A</t>
        </is>
      </c>
      <c r="BB211" s="118" t="n">
        <v>59.5</v>
      </c>
      <c r="BC211" s="118" t="n">
        <v>60.8</v>
      </c>
      <c r="BD211" s="118" t="n">
        <v>61</v>
      </c>
      <c r="BE211" s="118" t="n">
        <v>62.3</v>
      </c>
      <c r="BF211" s="120" t="n">
        <v>0.223</v>
      </c>
      <c r="BG211" s="117" t="n">
        <v>0.378</v>
      </c>
      <c r="BH211" s="122" t="n">
        <v>2</v>
      </c>
      <c r="BI211" s="123" t="n">
        <v>0.8333333333333334</v>
      </c>
    </row>
    <row r="212" ht="17" customHeight="1">
      <c r="A212" s="117" t="inlineStr">
        <is>
          <t>J</t>
        </is>
      </c>
      <c r="B212" s="117" t="inlineStr">
        <is>
          <t>JACOBS SOLUTIONS INC.</t>
        </is>
      </c>
      <c r="C212" s="118" t="n">
        <v>0.29</v>
      </c>
      <c r="D212" s="118" t="n">
        <v>3.433</v>
      </c>
      <c r="E212" s="118" t="n">
        <v>1.05</v>
      </c>
      <c r="F212" s="118" t="n">
        <v>3.617</v>
      </c>
      <c r="G212" s="118" t="n">
        <v>1.148</v>
      </c>
      <c r="H212" s="118" t="n">
        <v>0.274</v>
      </c>
      <c r="I212" s="118" t="n">
        <v>1</v>
      </c>
      <c r="J212" s="118" t="n">
        <v>-0.035</v>
      </c>
      <c r="K212" s="118" t="n">
        <v>0.483</v>
      </c>
      <c r="L212" s="121" t="inlineStr">
        <is>
          <t>⚠ MANIPULATOR RISK</t>
        </is>
      </c>
      <c r="M212" s="120" t="n">
        <v>0.002</v>
      </c>
      <c r="N212" s="120" t="n">
        <v>0.013</v>
      </c>
      <c r="O212" s="124" t="inlineStr">
        <is>
          <t>N/A</t>
        </is>
      </c>
      <c r="P212" s="120" t="n">
        <v>0.862</v>
      </c>
      <c r="Q212" s="120" t="n">
        <v>-0.043</v>
      </c>
      <c r="R212" s="117" t="n">
        <v>0</v>
      </c>
      <c r="S212" s="118" t="n">
        <v>-6.133</v>
      </c>
      <c r="T212" s="118" t="n">
        <v>0.002</v>
      </c>
      <c r="U212" s="119" t="inlineStr">
        <is>
          <t>✓ Normal</t>
        </is>
      </c>
      <c r="V212" s="117" t="n">
        <v>1</v>
      </c>
      <c r="W212" s="117" t="n">
        <v>0</v>
      </c>
      <c r="X212" s="117" t="n">
        <v>0</v>
      </c>
      <c r="Y212" s="117" t="n">
        <v>1</v>
      </c>
      <c r="Z212" s="117" t="n">
        <v>1</v>
      </c>
      <c r="AA212" s="117" t="n">
        <v>0</v>
      </c>
      <c r="AB212" s="117" t="n">
        <v>3</v>
      </c>
      <c r="AC212" s="121" t="inlineStr">
        <is>
          <t>⚠ WATCH</t>
        </is>
      </c>
      <c r="AD212" s="118" t="n">
        <v>686704000</v>
      </c>
      <c r="AE212" s="118" t="n">
        <v>-75291000</v>
      </c>
      <c r="AF212" s="118" t="n">
        <v>289336000</v>
      </c>
      <c r="AG212" s="118" t="n">
        <v>-0.028</v>
      </c>
      <c r="AH212" s="119" t="inlineStr">
        <is>
          <t>✓ Medium Quality</t>
        </is>
      </c>
      <c r="AI212" s="118" t="n">
        <v>0.05</v>
      </c>
      <c r="AJ212" s="120" t="n">
        <v>2.617</v>
      </c>
      <c r="AK212" s="120" t="n">
        <v>0.019</v>
      </c>
      <c r="AL212" s="120" t="n">
        <v>0.046</v>
      </c>
      <c r="AM212" s="120" t="n">
        <v>-0.002</v>
      </c>
      <c r="AN212" s="118" t="n">
        <v>79.09999999999999</v>
      </c>
      <c r="AO212" s="119" t="inlineStr">
        <is>
          <t>✓ Good</t>
        </is>
      </c>
      <c r="AP212" s="117" t="n">
        <v>0</v>
      </c>
      <c r="AQ212" s="117" t="n">
        <v>0</v>
      </c>
      <c r="AR212" s="117" t="n">
        <v>1</v>
      </c>
      <c r="AS212" s="117" t="n">
        <v>0</v>
      </c>
      <c r="AT212" s="117" t="n">
        <v>0</v>
      </c>
      <c r="AU212" s="117" t="n">
        <v>0</v>
      </c>
      <c r="AV212" s="117" t="n">
        <v>1</v>
      </c>
      <c r="AW212" s="119" t="inlineStr">
        <is>
          <t>✓ Clean</t>
        </is>
      </c>
      <c r="AX212" s="118" t="n">
        <v>28.7</v>
      </c>
      <c r="AY212" s="119" t="inlineStr">
        <is>
          <t>🟢 LOW RISK</t>
        </is>
      </c>
      <c r="AZ212" s="118" t="n">
        <v>72.8</v>
      </c>
      <c r="BA212" s="118" t="n">
        <v>250.7</v>
      </c>
      <c r="BB212" s="124" t="inlineStr">
        <is>
          <t>N/A</t>
        </is>
      </c>
      <c r="BC212" s="124" t="inlineStr">
        <is>
          <t>N/A</t>
        </is>
      </c>
      <c r="BD212" s="118" t="n">
        <v>50.9</v>
      </c>
      <c r="BE212" s="118" t="n">
        <v>43.3</v>
      </c>
      <c r="BF212" s="120" t="n">
        <v>0.397</v>
      </c>
      <c r="BG212" s="117" t="n">
        <v>0.862</v>
      </c>
      <c r="BH212" s="122" t="n">
        <v>4</v>
      </c>
      <c r="BI212" s="123" t="n">
        <v>1</v>
      </c>
    </row>
    <row r="213" ht="17" customHeight="1">
      <c r="A213" s="117" t="inlineStr">
        <is>
          <t>XPO</t>
        </is>
      </c>
      <c r="B213" s="117" t="inlineStr">
        <is>
          <t>XPO, Inc.</t>
        </is>
      </c>
      <c r="C213" s="118" t="n">
        <v>1.056</v>
      </c>
      <c r="D213" s="118" t="n">
        <v>0.431</v>
      </c>
      <c r="E213" s="118" t="n">
        <v>0.973</v>
      </c>
      <c r="F213" s="118" t="n">
        <v>1.003</v>
      </c>
      <c r="G213" s="118" t="n">
        <v>1.011</v>
      </c>
      <c r="H213" s="118" t="n">
        <v>0.511</v>
      </c>
      <c r="I213" s="118" t="n">
        <v>1</v>
      </c>
      <c r="J213" s="118" t="n">
        <v>-0.041</v>
      </c>
      <c r="K213" s="118" t="n">
        <v>-2.846</v>
      </c>
      <c r="L213" s="119" t="inlineStr">
        <is>
          <t>✓ Lower Risk</t>
        </is>
      </c>
      <c r="M213" s="120" t="n">
        <v>-0.073</v>
      </c>
      <c r="N213" s="120" t="n">
        <v>2.231</v>
      </c>
      <c r="O213" s="120" t="n">
        <v>1.831</v>
      </c>
      <c r="P213" s="120" t="n">
        <v>0.515</v>
      </c>
      <c r="Q213" s="120" t="n">
        <v>-0.012</v>
      </c>
      <c r="R213" s="117" t="n">
        <v>0</v>
      </c>
      <c r="S213" s="118" t="n">
        <v>0.871</v>
      </c>
      <c r="T213" s="118" t="n">
        <v>0.705</v>
      </c>
      <c r="U213" s="121" t="inlineStr">
        <is>
          <t>⚠ HIGH RISK</t>
        </is>
      </c>
      <c r="V213" s="117" t="n">
        <v>1</v>
      </c>
      <c r="W213" s="117" t="n">
        <v>1</v>
      </c>
      <c r="X213" s="117" t="n">
        <v>1</v>
      </c>
      <c r="Y213" s="117" t="n">
        <v>1</v>
      </c>
      <c r="Z213" s="117" t="n">
        <v>0</v>
      </c>
      <c r="AA213" s="117" t="n">
        <v>0</v>
      </c>
      <c r="AB213" s="117" t="n">
        <v>4</v>
      </c>
      <c r="AC213" s="121" t="inlineStr">
        <is>
          <t>⚠⚠ SERIOUS CONCERN</t>
        </is>
      </c>
      <c r="AD213" s="118" t="n">
        <v>656000000</v>
      </c>
      <c r="AE213" s="118" t="n">
        <v>-184000000</v>
      </c>
      <c r="AF213" s="118" t="n">
        <v>316000000</v>
      </c>
      <c r="AG213" s="118" t="n">
        <v>-0.02</v>
      </c>
      <c r="AH213" s="119" t="inlineStr">
        <is>
          <t>✓ Medium Quality</t>
        </is>
      </c>
      <c r="AI213" s="118" t="n">
        <v>0.059</v>
      </c>
      <c r="AJ213" s="120" t="n">
        <v>0.003</v>
      </c>
      <c r="AK213" s="120" t="n">
        <v>17.622</v>
      </c>
      <c r="AL213" s="120" t="n">
        <v>0.08500000000000001</v>
      </c>
      <c r="AM213" s="120" t="n">
        <v>-0.002</v>
      </c>
      <c r="AN213" s="118" t="n">
        <v>56.8</v>
      </c>
      <c r="AO213" s="121" t="inlineStr">
        <is>
          <t>⚠ WATCH</t>
        </is>
      </c>
      <c r="AP213" s="117" t="n">
        <v>1</v>
      </c>
      <c r="AQ213" s="117" t="n">
        <v>1</v>
      </c>
      <c r="AR213" s="117" t="n">
        <v>0</v>
      </c>
      <c r="AS213" s="117" t="n">
        <v>0</v>
      </c>
      <c r="AT213" s="117" t="n">
        <v>0</v>
      </c>
      <c r="AU213" s="117" t="n">
        <v>0</v>
      </c>
      <c r="AV213" s="117" t="n">
        <v>2</v>
      </c>
      <c r="AW213" s="121" t="inlineStr">
        <is>
          <t>⚠ WATCH</t>
        </is>
      </c>
      <c r="AX213" s="118" t="n">
        <v>53.5</v>
      </c>
      <c r="AY213" s="121" t="inlineStr">
        <is>
          <t>🟡 ELEVATED RISK</t>
        </is>
      </c>
      <c r="AZ213" s="118" t="n">
        <v>48.8</v>
      </c>
      <c r="BA213" s="118" t="n">
        <v>46.2</v>
      </c>
      <c r="BB213" s="118" t="n">
        <v>2.3</v>
      </c>
      <c r="BC213" s="118" t="n">
        <v>0.1</v>
      </c>
      <c r="BD213" s="118" t="n">
        <v>21.2</v>
      </c>
      <c r="BE213" s="118" t="n">
        <v>21</v>
      </c>
      <c r="BF213" s="120" t="n">
        <v>0.277</v>
      </c>
      <c r="BG213" s="117" t="n">
        <v>0.515</v>
      </c>
      <c r="BH213" s="122" t="n">
        <v>6</v>
      </c>
      <c r="BI213" s="123" t="n">
        <v>1</v>
      </c>
    </row>
    <row r="214" ht="17" customHeight="1">
      <c r="A214" s="117" t="inlineStr">
        <is>
          <t>CLF</t>
        </is>
      </c>
      <c r="B214" s="117" t="inlineStr">
        <is>
          <t>CLEVELAND-CLIFFS INC.</t>
        </is>
      </c>
      <c r="C214" s="118" t="n">
        <v>0.9429999999999999</v>
      </c>
      <c r="D214" s="118" t="n">
        <v>0.214</v>
      </c>
      <c r="E214" s="118" t="n">
        <v>1.046</v>
      </c>
      <c r="F214" s="118" t="n">
        <v>0.97</v>
      </c>
      <c r="G214" s="118" t="n">
        <v>0.758</v>
      </c>
      <c r="H214" s="118" t="n">
        <v>1.152</v>
      </c>
      <c r="I214" s="118" t="n">
        <v>1.02</v>
      </c>
      <c r="J214" s="118" t="n">
        <v>-0.051</v>
      </c>
      <c r="K214" s="118" t="n">
        <v>-3.253</v>
      </c>
      <c r="L214" s="119" t="inlineStr">
        <is>
          <t>✓ Lower Risk</t>
        </is>
      </c>
      <c r="M214" s="120" t="n">
        <v>-0.08400000000000001</v>
      </c>
      <c r="N214" s="120" t="n">
        <v>-0.233</v>
      </c>
      <c r="O214" s="120" t="n">
        <v>-0.5600000000000001</v>
      </c>
      <c r="P214" s="120" t="n">
        <v>0.523</v>
      </c>
      <c r="Q214" s="120" t="n">
        <v>-0.038</v>
      </c>
      <c r="R214" s="117" t="n">
        <v>1</v>
      </c>
      <c r="S214" s="118" t="n">
        <v>-5.087</v>
      </c>
      <c r="T214" s="118" t="n">
        <v>0.006</v>
      </c>
      <c r="U214" s="119" t="inlineStr">
        <is>
          <t>✓ Normal</t>
        </is>
      </c>
      <c r="V214" s="117" t="n">
        <v>0</v>
      </c>
      <c r="W214" s="117" t="n">
        <v>0</v>
      </c>
      <c r="X214" s="117" t="n">
        <v>0</v>
      </c>
      <c r="Y214" s="117" t="n">
        <v>1</v>
      </c>
      <c r="Z214" s="117" t="n">
        <v>0</v>
      </c>
      <c r="AA214" s="117" t="n">
        <v>0</v>
      </c>
      <c r="AB214" s="117" t="n">
        <v>1</v>
      </c>
      <c r="AC214" s="119" t="inlineStr">
        <is>
          <t>✓ Clean</t>
        </is>
      </c>
      <c r="AD214" s="118" t="n">
        <v>-462000000</v>
      </c>
      <c r="AE214" s="118" t="n">
        <v>-479000000</v>
      </c>
      <c r="AF214" s="118" t="n">
        <v>-1478000000</v>
      </c>
      <c r="AG214" s="118" t="n">
        <v>-0.026</v>
      </c>
      <c r="AH214" s="119" t="inlineStr">
        <is>
          <t>✓ Medium Quality</t>
        </is>
      </c>
      <c r="AI214" s="118" t="n">
        <v>-0.08500000000000001</v>
      </c>
      <c r="AJ214" s="120" t="n">
        <v>-0.03</v>
      </c>
      <c r="AK214" s="120" t="n">
        <v>2.837</v>
      </c>
      <c r="AL214" s="120" t="n">
        <v>-0.025</v>
      </c>
      <c r="AM214" s="120" t="n">
        <v>-0.005</v>
      </c>
      <c r="AN214" s="118" t="n">
        <v>39.8</v>
      </c>
      <c r="AO214" s="117" t="inlineStr">
        <is>
          <t>⚠ LOW QUALITY</t>
        </is>
      </c>
      <c r="AP214" s="117" t="n">
        <v>1</v>
      </c>
      <c r="AQ214" s="117" t="n">
        <v>1</v>
      </c>
      <c r="AR214" s="117" t="n">
        <v>0</v>
      </c>
      <c r="AS214" s="117" t="n">
        <v>1</v>
      </c>
      <c r="AT214" s="117" t="n">
        <v>0</v>
      </c>
      <c r="AU214" s="117" t="n">
        <v>0</v>
      </c>
      <c r="AV214" s="117" t="n">
        <v>3</v>
      </c>
      <c r="AW214" s="121" t="inlineStr">
        <is>
          <t>⚠ WATCH</t>
        </is>
      </c>
      <c r="AX214" s="118" t="n">
        <v>15</v>
      </c>
      <c r="AY214" s="119" t="inlineStr">
        <is>
          <t>🟢 VERY LOW RISK</t>
        </is>
      </c>
      <c r="AZ214" s="118" t="n">
        <v>28.3</v>
      </c>
      <c r="BA214" s="118" t="n">
        <v>30</v>
      </c>
      <c r="BB214" s="118" t="n">
        <v>89.5</v>
      </c>
      <c r="BC214" s="118" t="n">
        <v>97.3</v>
      </c>
      <c r="BD214" s="118" t="n">
        <v>35.5</v>
      </c>
      <c r="BE214" s="118" t="n">
        <v>38.3</v>
      </c>
      <c r="BF214" s="120" t="n">
        <v>0.29</v>
      </c>
      <c r="BG214" s="117" t="n">
        <v>0.523</v>
      </c>
      <c r="BH214" s="122" t="n">
        <v>5</v>
      </c>
      <c r="BI214" s="123" t="n">
        <v>1</v>
      </c>
    </row>
    <row r="215" ht="17" customHeight="1">
      <c r="A215" s="117" t="inlineStr">
        <is>
          <t>DHR</t>
        </is>
      </c>
      <c r="B215" s="117" t="inlineStr">
        <is>
          <t>Danaher Corporation</t>
        </is>
      </c>
      <c r="C215" s="118" t="n">
        <v>0.298</v>
      </c>
      <c r="D215" s="118" t="n">
        <v>3.628</v>
      </c>
      <c r="E215" s="118" t="n">
        <v>0.96</v>
      </c>
      <c r="F215" s="118" t="n">
        <v>3.709</v>
      </c>
      <c r="G215" s="118" t="n">
        <v>1.095</v>
      </c>
      <c r="H215" s="118" t="n">
        <v>0.286</v>
      </c>
      <c r="I215" s="118" t="n">
        <v>0.985</v>
      </c>
      <c r="J215" s="118" t="n">
        <v>-0.034</v>
      </c>
      <c r="K215" s="118" t="n">
        <v>0.644</v>
      </c>
      <c r="L215" s="121" t="inlineStr">
        <is>
          <t>⚠ MANIPULATOR RISK</t>
        </is>
      </c>
      <c r="M215" s="120" t="n">
        <v>-0.216</v>
      </c>
      <c r="N215" s="120" t="n">
        <v>0.026</v>
      </c>
      <c r="O215" s="120" t="n">
        <v>0.011</v>
      </c>
      <c r="P215" s="120" t="n">
        <v>0.695</v>
      </c>
      <c r="Q215" s="120" t="n">
        <v>-0.007</v>
      </c>
      <c r="R215" s="117" t="n">
        <v>0</v>
      </c>
      <c r="S215" s="118" t="n">
        <v>-6.607</v>
      </c>
      <c r="T215" s="118" t="n">
        <v>0.001</v>
      </c>
      <c r="U215" s="119" t="inlineStr">
        <is>
          <t>✓ Normal</t>
        </is>
      </c>
      <c r="V215" s="117" t="n">
        <v>1</v>
      </c>
      <c r="W215" s="117" t="n">
        <v>0</v>
      </c>
      <c r="X215" s="117" t="n">
        <v>0</v>
      </c>
      <c r="Y215" s="117" t="n">
        <v>0</v>
      </c>
      <c r="Z215" s="117" t="n">
        <v>1</v>
      </c>
      <c r="AA215" s="117" t="n">
        <v>0</v>
      </c>
      <c r="AB215" s="117" t="n">
        <v>2</v>
      </c>
      <c r="AC215" s="121" t="inlineStr">
        <is>
          <t>⚠ WATCH</t>
        </is>
      </c>
      <c r="AD215" s="118" t="n">
        <v>6416000000</v>
      </c>
      <c r="AE215" s="118" t="n">
        <v>-1196000000</v>
      </c>
      <c r="AF215" s="118" t="n">
        <v>3614000000</v>
      </c>
      <c r="AG215" s="118" t="n">
        <v>-0.02</v>
      </c>
      <c r="AH215" s="119" t="inlineStr">
        <is>
          <t>✓ Medium Quality</t>
        </is>
      </c>
      <c r="AI215" s="118" t="n">
        <v>0.106</v>
      </c>
      <c r="AJ215" s="120" t="n">
        <v>2.709</v>
      </c>
      <c r="AK215" s="120" t="n">
        <v>0.039</v>
      </c>
      <c r="AL215" s="120" t="n">
        <v>0.323</v>
      </c>
      <c r="AM215" s="120" t="n">
        <v>0.002</v>
      </c>
      <c r="AN215" s="117" t="n">
        <v>100</v>
      </c>
      <c r="AO215" s="119" t="inlineStr">
        <is>
          <t>✓ Good</t>
        </is>
      </c>
      <c r="AP215" s="117" t="n">
        <v>0</v>
      </c>
      <c r="AQ215" s="117" t="n">
        <v>0</v>
      </c>
      <c r="AR215" s="117" t="n">
        <v>1</v>
      </c>
      <c r="AS215" s="117" t="n">
        <v>0</v>
      </c>
      <c r="AT215" s="117" t="n">
        <v>1</v>
      </c>
      <c r="AU215" s="117" t="n">
        <v>1</v>
      </c>
      <c r="AV215" s="117" t="n">
        <v>3</v>
      </c>
      <c r="AW215" s="121" t="inlineStr">
        <is>
          <t>⚠ WATCH</t>
        </is>
      </c>
      <c r="AX215" s="118" t="n">
        <v>26.2</v>
      </c>
      <c r="AY215" s="119" t="inlineStr">
        <is>
          <t>🟢 LOW RISK</t>
        </is>
      </c>
      <c r="AZ215" s="118" t="n">
        <v>71.8</v>
      </c>
      <c r="BA215" s="118" t="n">
        <v>240.7</v>
      </c>
      <c r="BB215" s="118" t="n">
        <v>90.40000000000001</v>
      </c>
      <c r="BC215" s="118" t="n">
        <v>88</v>
      </c>
      <c r="BD215" s="118" t="n">
        <v>74.2</v>
      </c>
      <c r="BE215" s="124" t="inlineStr">
        <is>
          <t>N/A</t>
        </is>
      </c>
      <c r="BF215" s="120" t="n">
        <v>0.15</v>
      </c>
      <c r="BG215" s="117" t="n">
        <v>0.695</v>
      </c>
      <c r="BH215" s="122" t="n">
        <v>5</v>
      </c>
      <c r="BI215" s="123" t="n">
        <v>1</v>
      </c>
    </row>
    <row r="216" ht="17" customHeight="1">
      <c r="A216" s="117" t="inlineStr">
        <is>
          <t>AGEN</t>
        </is>
      </c>
      <c r="B216" s="117" t="inlineStr">
        <is>
          <t>AGENUS INC</t>
        </is>
      </c>
      <c r="C216" s="118" t="n">
        <v>0.877</v>
      </c>
      <c r="D216" s="118" t="n">
        <v>0.965</v>
      </c>
      <c r="E216" s="118" t="n">
        <v>1.282</v>
      </c>
      <c r="F216" s="118" t="n">
        <v>5.133</v>
      </c>
      <c r="G216" s="118" t="n">
        <v>0.255</v>
      </c>
      <c r="H216" s="118" t="n">
        <v>0.147</v>
      </c>
      <c r="I216" s="118" t="n">
        <v>1</v>
      </c>
      <c r="J216" s="118" t="n">
        <v>0.174</v>
      </c>
      <c r="K216" s="118" t="n">
        <v>2.063</v>
      </c>
      <c r="L216" s="121" t="inlineStr">
        <is>
          <t>⚠ MANIPULATOR RISK</t>
        </is>
      </c>
      <c r="M216" s="120" t="n">
        <v>0.058</v>
      </c>
      <c r="N216" s="120" t="n">
        <v>0.041</v>
      </c>
      <c r="O216" s="120" t="n">
        <v>-0.002</v>
      </c>
      <c r="P216" s="120" t="n">
        <v>0.919</v>
      </c>
      <c r="Q216" s="120" t="n">
        <v>0.062</v>
      </c>
      <c r="R216" s="117" t="n">
        <v>1</v>
      </c>
      <c r="S216" s="118" t="n">
        <v>-2.88</v>
      </c>
      <c r="T216" s="118" t="n">
        <v>0.053</v>
      </c>
      <c r="U216" s="121" t="inlineStr">
        <is>
          <t>⚠ HIGH RISK</t>
        </is>
      </c>
      <c r="V216" s="117" t="n">
        <v>0</v>
      </c>
      <c r="W216" s="117" t="n">
        <v>0</v>
      </c>
      <c r="X216" s="117" t="n">
        <v>0</v>
      </c>
      <c r="Y216" s="117" t="n">
        <v>1</v>
      </c>
      <c r="Z216" s="117" t="n">
        <v>1</v>
      </c>
      <c r="AA216" s="117" t="n">
        <v>0</v>
      </c>
      <c r="AB216" s="117" t="n">
        <v>2</v>
      </c>
      <c r="AC216" s="121" t="inlineStr">
        <is>
          <t>⚠ WATCH</t>
        </is>
      </c>
      <c r="AD216" s="118" t="n">
        <v>-77195000</v>
      </c>
      <c r="AE216" s="118" t="n">
        <v>1194000</v>
      </c>
      <c r="AF216" s="118" t="n">
        <v>-37730000</v>
      </c>
      <c r="AG216" s="118" t="n">
        <v>0.169</v>
      </c>
      <c r="AH216" s="117" t="inlineStr">
        <is>
          <t>⚠ Low Quality</t>
        </is>
      </c>
      <c r="AI216" s="118" t="n">
        <v>3.499</v>
      </c>
      <c r="AJ216" s="120" t="n">
        <v>4.133</v>
      </c>
      <c r="AK216" s="120" t="n">
        <v>0.847</v>
      </c>
      <c r="AL216" s="120" t="n">
        <v>-1.8</v>
      </c>
      <c r="AM216" s="120" t="n">
        <v>0.044</v>
      </c>
      <c r="AN216" s="118" t="n">
        <v>72.2</v>
      </c>
      <c r="AO216" s="119" t="inlineStr">
        <is>
          <t>✓ Good</t>
        </is>
      </c>
      <c r="AP216" s="117" t="n">
        <v>0</v>
      </c>
      <c r="AQ216" s="117" t="n">
        <v>0</v>
      </c>
      <c r="AR216" s="117" t="n">
        <v>0</v>
      </c>
      <c r="AS216" s="117" t="n">
        <v>0</v>
      </c>
      <c r="AT216" s="117" t="n">
        <v>1</v>
      </c>
      <c r="AU216" s="117" t="n">
        <v>0</v>
      </c>
      <c r="AV216" s="117" t="n">
        <v>1</v>
      </c>
      <c r="AW216" s="119" t="inlineStr">
        <is>
          <t>✓ Clean</t>
        </is>
      </c>
      <c r="AX216" s="118" t="n">
        <v>40.9</v>
      </c>
      <c r="AY216" s="121" t="inlineStr">
        <is>
          <t>🟡 ELEVATED RISK</t>
        </is>
      </c>
      <c r="AZ216" s="118" t="n">
        <v>15.6</v>
      </c>
      <c r="BA216" s="118" t="n">
        <v>17.8</v>
      </c>
      <c r="BB216" s="124" t="inlineStr">
        <is>
          <t>N/A</t>
        </is>
      </c>
      <c r="BC216" s="118" t="n">
        <v>41.7</v>
      </c>
      <c r="BD216" s="118" t="n">
        <v>29638.2</v>
      </c>
      <c r="BE216" s="118" t="n">
        <v>46165.7</v>
      </c>
      <c r="BF216" s="120" t="n">
        <v>-0</v>
      </c>
      <c r="BG216" s="117" t="n">
        <v>0.919</v>
      </c>
      <c r="BH216" s="122" t="n">
        <v>4</v>
      </c>
      <c r="BI216" s="123" t="n">
        <v>1</v>
      </c>
    </row>
    <row r="217" ht="17" customHeight="1">
      <c r="A217" s="129" t="inlineStr">
        <is>
          <t>AIZ</t>
        </is>
      </c>
      <c r="B217" s="129" t="inlineStr">
        <is>
          <t>Assurant, Inc.</t>
        </is>
      </c>
      <c r="C217" s="124" t="inlineStr">
        <is>
          <t>N/A</t>
        </is>
      </c>
      <c r="D217" s="130" t="n">
        <v>0.92</v>
      </c>
      <c r="E217" s="130" t="n">
        <v>0.999</v>
      </c>
      <c r="F217" s="130" t="n">
        <v>1.079</v>
      </c>
      <c r="G217" s="130" t="n">
        <v>0.98</v>
      </c>
      <c r="H217" s="130" t="n">
        <v>0.925</v>
      </c>
      <c r="I217" s="130" t="n">
        <v>0.981</v>
      </c>
      <c r="J217" s="130" t="n">
        <v>-0.026</v>
      </c>
      <c r="K217" s="124" t="inlineStr">
        <is>
          <t>N/A</t>
        </is>
      </c>
      <c r="L217" s="124" t="inlineStr">
        <is>
          <t>N/A</t>
        </is>
      </c>
      <c r="M217" s="124" t="inlineStr">
        <is>
          <t>N/A</t>
        </is>
      </c>
      <c r="N217" s="124" t="inlineStr">
        <is>
          <t>N/A</t>
        </is>
      </c>
      <c r="O217" s="124" t="inlineStr">
        <is>
          <t>N/A</t>
        </is>
      </c>
      <c r="P217" s="131" t="n">
        <v>0.926</v>
      </c>
      <c r="Q217" s="131" t="n">
        <v>0.002</v>
      </c>
      <c r="R217" s="129" t="n">
        <v>0</v>
      </c>
      <c r="S217" s="124" t="inlineStr">
        <is>
          <t>N/A</t>
        </is>
      </c>
      <c r="T217" s="124" t="inlineStr">
        <is>
          <t>N/A</t>
        </is>
      </c>
      <c r="U217" s="124" t="inlineStr">
        <is>
          <t>N/A</t>
        </is>
      </c>
      <c r="V217" s="129" t="n">
        <v>0</v>
      </c>
      <c r="W217" s="129" t="n">
        <v>0</v>
      </c>
      <c r="X217" s="129" t="n">
        <v>0</v>
      </c>
      <c r="Y217" s="129" t="n">
        <v>0</v>
      </c>
      <c r="Z217" s="129" t="n">
        <v>0</v>
      </c>
      <c r="AA217" s="129" t="n">
        <v>0</v>
      </c>
      <c r="AB217" s="129" t="n">
        <v>0</v>
      </c>
      <c r="AC217" s="119" t="inlineStr">
        <is>
          <t>✓ Clean</t>
        </is>
      </c>
      <c r="AD217" s="130" t="n">
        <v>1833900000</v>
      </c>
      <c r="AE217" s="130" t="n">
        <v>-1457800000</v>
      </c>
      <c r="AF217" s="130" t="n">
        <v>872700000</v>
      </c>
      <c r="AG217" s="130" t="n">
        <v>0.014</v>
      </c>
      <c r="AH217" s="119" t="inlineStr">
        <is>
          <t>✓ Medium Quality</t>
        </is>
      </c>
      <c r="AI217" s="124" t="inlineStr">
        <is>
          <t>N/A</t>
        </is>
      </c>
      <c r="AJ217" s="131" t="n">
        <v>0.079</v>
      </c>
      <c r="AK217" s="124" t="inlineStr">
        <is>
          <t>N/A</t>
        </is>
      </c>
      <c r="AL217" s="131" t="n">
        <v>0.143</v>
      </c>
      <c r="AM217" s="131" t="n">
        <v>0.008</v>
      </c>
      <c r="AN217" s="130" t="n">
        <v>99</v>
      </c>
      <c r="AO217" s="119" t="inlineStr">
        <is>
          <t>✓ Good</t>
        </is>
      </c>
      <c r="AP217" s="129" t="n">
        <v>0</v>
      </c>
      <c r="AQ217" s="129" t="n">
        <v>0</v>
      </c>
      <c r="AR217" s="129" t="n">
        <v>0</v>
      </c>
      <c r="AS217" s="129" t="n">
        <v>0</v>
      </c>
      <c r="AT217" s="129" t="n">
        <v>0</v>
      </c>
      <c r="AU217" s="129" t="n">
        <v>0</v>
      </c>
      <c r="AV217" s="129" t="n">
        <v>0</v>
      </c>
      <c r="AW217" s="119" t="inlineStr">
        <is>
          <t>✓ Clean</t>
        </is>
      </c>
      <c r="AX217" s="130" t="n">
        <v>22.3</v>
      </c>
      <c r="AY217" s="119" t="inlineStr">
        <is>
          <t>🟢 LOW RISK</t>
        </is>
      </c>
      <c r="AZ217" s="130" t="n">
        <v>0</v>
      </c>
      <c r="BA217" s="124" t="inlineStr">
        <is>
          <t>N/A</t>
        </is>
      </c>
      <c r="BB217" s="124" t="inlineStr">
        <is>
          <t>N/A</t>
        </is>
      </c>
      <c r="BC217" s="124" t="inlineStr">
        <is>
          <t>N/A</t>
        </is>
      </c>
      <c r="BD217" s="124" t="inlineStr">
        <is>
          <t>N/A</t>
        </is>
      </c>
      <c r="BE217" s="124" t="inlineStr">
        <is>
          <t>N/A</t>
        </is>
      </c>
      <c r="BF217" s="131" t="n">
        <v>0.197</v>
      </c>
      <c r="BG217" s="129" t="n">
        <v>0.926</v>
      </c>
      <c r="BH217" s="129" t="n">
        <v>0</v>
      </c>
      <c r="BI217" s="125" t="n">
        <v>0.6666666666666666</v>
      </c>
    </row>
    <row r="218" ht="17" customHeight="1">
      <c r="A218" s="117" t="inlineStr">
        <is>
          <t>FDX</t>
        </is>
      </c>
      <c r="B218" s="117" t="inlineStr">
        <is>
          <t>FedEx Corporation</t>
        </is>
      </c>
      <c r="C218" s="118" t="n">
        <v>0.298</v>
      </c>
      <c r="D218" s="118" t="n">
        <v>0.171</v>
      </c>
      <c r="E218" s="118" t="n">
        <v>1.003</v>
      </c>
      <c r="F218" s="118" t="n">
        <v>3.78</v>
      </c>
      <c r="G218" s="118" t="n">
        <v>0.889</v>
      </c>
      <c r="H218" s="124" t="inlineStr">
        <is>
          <t>N/A</t>
        </is>
      </c>
      <c r="I218" s="118" t="n">
        <v>1</v>
      </c>
      <c r="J218" s="118" t="n">
        <v>-0.034</v>
      </c>
      <c r="K218" s="118" t="n">
        <v>-1.08</v>
      </c>
      <c r="L218" s="121" t="inlineStr">
        <is>
          <t>⚠ MANIPULATOR RISK</t>
        </is>
      </c>
      <c r="M218" s="120" t="n">
        <v>-0.044</v>
      </c>
      <c r="N218" s="120" t="n">
        <v>0.027</v>
      </c>
      <c r="O218" s="124" t="inlineStr">
        <is>
          <t>N/A</t>
        </is>
      </c>
      <c r="P218" s="120" t="n">
        <v>0.462</v>
      </c>
      <c r="Q218" s="120" t="n">
        <v>-0.003</v>
      </c>
      <c r="R218" s="117" t="n">
        <v>0</v>
      </c>
      <c r="S218" s="118" t="n">
        <v>-6.945</v>
      </c>
      <c r="T218" s="118" t="n">
        <v>0.001</v>
      </c>
      <c r="U218" s="119" t="inlineStr">
        <is>
          <t>✓ Normal</t>
        </is>
      </c>
      <c r="V218" s="117" t="n">
        <v>1</v>
      </c>
      <c r="W218" s="117" t="n">
        <v>0</v>
      </c>
      <c r="X218" s="117" t="n">
        <v>0</v>
      </c>
      <c r="Y218" s="117" t="n">
        <v>1</v>
      </c>
      <c r="Z218" s="117" t="n">
        <v>0</v>
      </c>
      <c r="AA218" s="117" t="n">
        <v>0</v>
      </c>
      <c r="AB218" s="117" t="n">
        <v>2</v>
      </c>
      <c r="AC218" s="121" t="inlineStr">
        <is>
          <t>⚠ WATCH</t>
        </is>
      </c>
      <c r="AD218" s="118" t="n">
        <v>7036000000</v>
      </c>
      <c r="AE218" s="118" t="n">
        <v>-4092000000</v>
      </c>
      <c r="AF218" s="118" t="n">
        <v>4092000000</v>
      </c>
      <c r="AG218" s="118" t="n">
        <v>0.013</v>
      </c>
      <c r="AH218" s="119" t="inlineStr">
        <is>
          <t>✓ Medium Quality</t>
        </is>
      </c>
      <c r="AI218" s="118" t="n">
        <v>0.127</v>
      </c>
      <c r="AJ218" s="120" t="n">
        <v>2.78</v>
      </c>
      <c r="AK218" s="120" t="n">
        <v>0.046</v>
      </c>
      <c r="AL218" s="120" t="n">
        <v>0.108</v>
      </c>
      <c r="AM218" s="120" t="n">
        <v>0</v>
      </c>
      <c r="AN218" s="118" t="n">
        <v>91.5</v>
      </c>
      <c r="AO218" s="119" t="inlineStr">
        <is>
          <t>✓ Good</t>
        </is>
      </c>
      <c r="AP218" s="117" t="n">
        <v>0</v>
      </c>
      <c r="AQ218" s="117" t="n">
        <v>0</v>
      </c>
      <c r="AR218" s="117" t="n">
        <v>0</v>
      </c>
      <c r="AS218" s="117" t="n">
        <v>0</v>
      </c>
      <c r="AT218" s="117" t="n">
        <v>0</v>
      </c>
      <c r="AU218" s="117" t="n">
        <v>1</v>
      </c>
      <c r="AV218" s="117" t="n">
        <v>1</v>
      </c>
      <c r="AW218" s="119" t="inlineStr">
        <is>
          <t>✓ Clean</t>
        </is>
      </c>
      <c r="AX218" s="118" t="n">
        <v>19.6</v>
      </c>
      <c r="AY218" s="119" t="inlineStr">
        <is>
          <t>🟢 VERY LOW RISK</t>
        </is>
      </c>
      <c r="AZ218" s="118" t="n">
        <v>63.4</v>
      </c>
      <c r="BA218" s="118" t="n">
        <v>212.6</v>
      </c>
      <c r="BB218" s="124" t="inlineStr">
        <is>
          <t>N/A</t>
        </is>
      </c>
      <c r="BC218" s="124" t="inlineStr">
        <is>
          <t>N/A</t>
        </is>
      </c>
      <c r="BD218" s="118" t="n">
        <v>80.90000000000001</v>
      </c>
      <c r="BE218" s="118" t="n">
        <v>77.09999999999999</v>
      </c>
      <c r="BF218" s="120" t="n">
        <v>0.248</v>
      </c>
      <c r="BG218" s="117" t="n">
        <v>0.462</v>
      </c>
      <c r="BH218" s="122" t="n">
        <v>3</v>
      </c>
      <c r="BI218" s="123" t="n">
        <v>1</v>
      </c>
    </row>
    <row r="219" ht="17" customHeight="1">
      <c r="A219" s="117" t="inlineStr">
        <is>
          <t>CVS</t>
        </is>
      </c>
      <c r="B219" s="117" t="inlineStr">
        <is>
          <t>CVS HEALTH Corp</t>
        </is>
      </c>
      <c r="C219" s="118" t="n">
        <v>1.011</v>
      </c>
      <c r="D219" s="118" t="n">
        <v>0.299</v>
      </c>
      <c r="E219" s="118" t="n">
        <v>0.965</v>
      </c>
      <c r="F219" s="118" t="n">
        <v>1.078</v>
      </c>
      <c r="G219" s="118" t="n">
        <v>0.997</v>
      </c>
      <c r="H219" s="124" t="inlineStr">
        <is>
          <t>N/A</t>
        </is>
      </c>
      <c r="I219" s="118" t="n">
        <v>1.003</v>
      </c>
      <c r="J219" s="118" t="n">
        <v>-0.035</v>
      </c>
      <c r="K219" s="118" t="n">
        <v>-2.777</v>
      </c>
      <c r="L219" s="119" t="inlineStr">
        <is>
          <t>✓ Lower Risk</t>
        </is>
      </c>
      <c r="M219" s="120" t="n">
        <v>-0.001</v>
      </c>
      <c r="N219" s="120" t="n">
        <v>0.113</v>
      </c>
      <c r="O219" s="120" t="n">
        <v>0.039</v>
      </c>
      <c r="P219" s="120" t="n">
        <v>0.916</v>
      </c>
      <c r="Q219" s="120" t="n">
        <v>-0.011</v>
      </c>
      <c r="R219" s="117" t="n">
        <v>1</v>
      </c>
      <c r="S219" s="118" t="n">
        <v>-2.671</v>
      </c>
      <c r="T219" s="118" t="n">
        <v>0.065</v>
      </c>
      <c r="U219" s="121" t="inlineStr">
        <is>
          <t>⚠ HIGH RISK</t>
        </is>
      </c>
      <c r="V219" s="117" t="n">
        <v>0</v>
      </c>
      <c r="W219" s="117" t="n">
        <v>1</v>
      </c>
      <c r="X219" s="117" t="n">
        <v>0</v>
      </c>
      <c r="Y219" s="117" t="n">
        <v>0</v>
      </c>
      <c r="Z219" s="117" t="n">
        <v>0</v>
      </c>
      <c r="AA219" s="117" t="n">
        <v>0</v>
      </c>
      <c r="AB219" s="117" t="n">
        <v>1</v>
      </c>
      <c r="AC219" s="119" t="inlineStr">
        <is>
          <t>✓ Clean</t>
        </is>
      </c>
      <c r="AD219" s="118" t="n">
        <v>10639000000</v>
      </c>
      <c r="AE219" s="118" t="n">
        <v>-5871000000</v>
      </c>
      <c r="AF219" s="118" t="n">
        <v>1768000000</v>
      </c>
      <c r="AG219" s="118" t="n">
        <v>-0.012</v>
      </c>
      <c r="AH219" s="119" t="inlineStr">
        <is>
          <t>✓ Medium Quality</t>
        </is>
      </c>
      <c r="AI219" s="118" t="n">
        <v>0.091</v>
      </c>
      <c r="AJ219" s="120" t="n">
        <v>0.078</v>
      </c>
      <c r="AK219" s="120" t="n">
        <v>1.157</v>
      </c>
      <c r="AL219" s="120" t="n">
        <v>0.026</v>
      </c>
      <c r="AM219" s="120" t="n">
        <v>-0</v>
      </c>
      <c r="AN219" s="118" t="n">
        <v>70.59999999999999</v>
      </c>
      <c r="AO219" s="119" t="inlineStr">
        <is>
          <t>✓ Good</t>
        </is>
      </c>
      <c r="AP219" s="117" t="n">
        <v>0</v>
      </c>
      <c r="AQ219" s="117" t="n">
        <v>0</v>
      </c>
      <c r="AR219" s="117" t="n">
        <v>0</v>
      </c>
      <c r="AS219" s="117" t="n">
        <v>0</v>
      </c>
      <c r="AT219" s="117" t="n">
        <v>0</v>
      </c>
      <c r="AU219" s="117" t="n">
        <v>1</v>
      </c>
      <c r="AV219" s="117" t="n">
        <v>1</v>
      </c>
      <c r="AW219" s="119" t="inlineStr">
        <is>
          <t>✓ Clean</t>
        </is>
      </c>
      <c r="AX219" s="118" t="n">
        <v>21.8</v>
      </c>
      <c r="AY219" s="119" t="inlineStr">
        <is>
          <t>🟢 LOW RISK</t>
        </is>
      </c>
      <c r="AZ219" s="118" t="n">
        <v>36.1</v>
      </c>
      <c r="BA219" s="118" t="n">
        <v>35.7</v>
      </c>
      <c r="BB219" s="118" t="n">
        <v>31.8</v>
      </c>
      <c r="BC219" s="118" t="n">
        <v>32</v>
      </c>
      <c r="BD219" s="118" t="n">
        <v>14.6</v>
      </c>
      <c r="BE219" s="118" t="n">
        <v>14.1</v>
      </c>
      <c r="BF219" s="120" t="n">
        <v>0.191</v>
      </c>
      <c r="BG219" s="117" t="n">
        <v>0.916</v>
      </c>
      <c r="BH219" s="122" t="n">
        <v>3</v>
      </c>
      <c r="BI219" s="123" t="n">
        <v>1</v>
      </c>
    </row>
    <row r="220" ht="17" customHeight="1">
      <c r="A220" s="117" t="inlineStr">
        <is>
          <t>JPM</t>
        </is>
      </c>
      <c r="B220" s="117" t="inlineStr">
        <is>
          <t>JPMORGAN CHASE &amp; CO</t>
        </is>
      </c>
      <c r="C220" s="124" t="inlineStr">
        <is>
          <t>N/A</t>
        </is>
      </c>
      <c r="D220" s="124" t="inlineStr">
        <is>
          <t>N/A</t>
        </is>
      </c>
      <c r="E220" s="118" t="n">
        <v>1</v>
      </c>
      <c r="F220" s="118" t="n">
        <v>1.028</v>
      </c>
      <c r="G220" s="118" t="n">
        <v>1.187</v>
      </c>
      <c r="H220" s="124" t="inlineStr">
        <is>
          <t>N/A</t>
        </is>
      </c>
      <c r="I220" s="118" t="n">
        <v>1.005</v>
      </c>
      <c r="J220" s="118" t="n">
        <v>0.046</v>
      </c>
      <c r="K220" s="124" t="inlineStr">
        <is>
          <t>N/A</t>
        </is>
      </c>
      <c r="L220" s="124" t="inlineStr">
        <is>
          <t>N/A</t>
        </is>
      </c>
      <c r="M220" s="124" t="inlineStr">
        <is>
          <t>N/A</t>
        </is>
      </c>
      <c r="N220" s="124" t="inlineStr">
        <is>
          <t>N/A</t>
        </is>
      </c>
      <c r="O220" s="124" t="inlineStr">
        <is>
          <t>N/A</t>
        </is>
      </c>
      <c r="P220" s="120" t="n">
        <v>0.931</v>
      </c>
      <c r="Q220" s="120" t="n">
        <v>-0.002</v>
      </c>
      <c r="R220" s="117" t="n">
        <v>0</v>
      </c>
      <c r="S220" s="124" t="inlineStr">
        <is>
          <t>N/A</t>
        </is>
      </c>
      <c r="T220" s="124" t="inlineStr">
        <is>
          <t>N/A</t>
        </is>
      </c>
      <c r="U220" s="124" t="inlineStr">
        <is>
          <t>N/A</t>
        </is>
      </c>
      <c r="V220" s="117" t="n">
        <v>1</v>
      </c>
      <c r="W220" s="117" t="n">
        <v>0</v>
      </c>
      <c r="X220" s="117" t="n">
        <v>0</v>
      </c>
      <c r="Y220" s="117" t="n">
        <v>0</v>
      </c>
      <c r="Z220" s="117" t="n">
        <v>1</v>
      </c>
      <c r="AA220" s="117" t="n">
        <v>1</v>
      </c>
      <c r="AB220" s="117" t="n">
        <v>3</v>
      </c>
      <c r="AC220" s="121" t="inlineStr">
        <is>
          <t>⚠ WATCH</t>
        </is>
      </c>
      <c r="AD220" s="118" t="n">
        <v>-147782000000</v>
      </c>
      <c r="AE220" s="118" t="n">
        <v>-265565000000</v>
      </c>
      <c r="AF220" s="118" t="n">
        <v>57048000000</v>
      </c>
      <c r="AG220" s="118" t="n">
        <v>0.112</v>
      </c>
      <c r="AH220" s="117" t="inlineStr">
        <is>
          <t>⚠ Low Quality</t>
        </is>
      </c>
      <c r="AI220" s="124" t="inlineStr">
        <is>
          <t>N/A</t>
        </is>
      </c>
      <c r="AJ220" s="120" t="n">
        <v>0.028</v>
      </c>
      <c r="AK220" s="124" t="inlineStr">
        <is>
          <t>N/A</t>
        </is>
      </c>
      <c r="AL220" s="120" t="n">
        <v>-0.8100000000000001</v>
      </c>
      <c r="AM220" s="124" t="inlineStr">
        <is>
          <t>N/A</t>
        </is>
      </c>
      <c r="AN220" s="117" t="n">
        <v>70</v>
      </c>
      <c r="AO220" s="119" t="inlineStr">
        <is>
          <t>✓ Good</t>
        </is>
      </c>
      <c r="AP220" s="117" t="n">
        <v>0</v>
      </c>
      <c r="AQ220" s="117" t="n">
        <v>0</v>
      </c>
      <c r="AR220" s="117" t="n">
        <v>0</v>
      </c>
      <c r="AS220" s="117" t="n">
        <v>0</v>
      </c>
      <c r="AT220" s="117" t="n">
        <v>0</v>
      </c>
      <c r="AU220" s="117" t="n">
        <v>1</v>
      </c>
      <c r="AV220" s="117" t="n">
        <v>1</v>
      </c>
      <c r="AW220" s="119" t="inlineStr">
        <is>
          <t>✓ Clean</t>
        </is>
      </c>
      <c r="AX220" s="118" t="n">
        <v>36.6</v>
      </c>
      <c r="AY220" s="119" t="inlineStr">
        <is>
          <t>🟢 LOW RISK</t>
        </is>
      </c>
      <c r="AZ220" s="118" t="n">
        <v>0</v>
      </c>
      <c r="BA220" s="124" t="inlineStr">
        <is>
          <t>N/A</t>
        </is>
      </c>
      <c r="BB220" s="124" t="inlineStr">
        <is>
          <t>N/A</t>
        </is>
      </c>
      <c r="BC220" s="124" t="inlineStr">
        <is>
          <t>N/A</t>
        </is>
      </c>
      <c r="BD220" s="124" t="inlineStr">
        <is>
          <t>N/A</t>
        </is>
      </c>
      <c r="BE220" s="124" t="inlineStr">
        <is>
          <t>N/A</t>
        </is>
      </c>
      <c r="BF220" s="120" t="n">
        <v>0.214</v>
      </c>
      <c r="BG220" s="117" t="n">
        <v>0.931</v>
      </c>
      <c r="BH220" s="122" t="n">
        <v>4</v>
      </c>
      <c r="BI220" s="125" t="n">
        <v>0.6666666666666666</v>
      </c>
    </row>
    <row r="221" ht="17" customHeight="1">
      <c r="A221" s="129" t="inlineStr">
        <is>
          <t>HOOD</t>
        </is>
      </c>
      <c r="B221" s="129" t="inlineStr">
        <is>
          <t>Robinhood Markets, Inc.</t>
        </is>
      </c>
      <c r="C221" s="124" t="inlineStr">
        <is>
          <t>N/A</t>
        </is>
      </c>
      <c r="D221" s="130" t="n">
        <v>1</v>
      </c>
      <c r="E221" s="130" t="n">
        <v>1</v>
      </c>
      <c r="F221" s="130" t="n">
        <v>1</v>
      </c>
      <c r="G221" s="130" t="n">
        <v>1</v>
      </c>
      <c r="H221" s="130" t="n">
        <v>1</v>
      </c>
      <c r="I221" s="130" t="n">
        <v>1</v>
      </c>
      <c r="J221" s="130" t="n">
        <v>0.006</v>
      </c>
      <c r="K221" s="124" t="inlineStr">
        <is>
          <t>N/A</t>
        </is>
      </c>
      <c r="L221" s="124" t="inlineStr">
        <is>
          <t>N/A</t>
        </is>
      </c>
      <c r="M221" s="131" t="n">
        <v>-0.002</v>
      </c>
      <c r="N221" s="124" t="inlineStr">
        <is>
          <t>N/A</t>
        </is>
      </c>
      <c r="O221" s="124" t="inlineStr">
        <is>
          <t>N/A</t>
        </is>
      </c>
      <c r="P221" s="131" t="n">
        <v>0.884</v>
      </c>
      <c r="Q221" s="131" t="n">
        <v>0</v>
      </c>
      <c r="R221" s="129" t="n">
        <v>0</v>
      </c>
      <c r="S221" s="124" t="inlineStr">
        <is>
          <t>N/A</t>
        </is>
      </c>
      <c r="T221" s="124" t="inlineStr">
        <is>
          <t>N/A</t>
        </is>
      </c>
      <c r="U221" s="124" t="inlineStr">
        <is>
          <t>N/A</t>
        </is>
      </c>
      <c r="V221" s="129" t="n">
        <v>0</v>
      </c>
      <c r="W221" s="129" t="n">
        <v>0</v>
      </c>
      <c r="X221" s="129" t="n">
        <v>0</v>
      </c>
      <c r="Y221" s="129" t="n">
        <v>0</v>
      </c>
      <c r="Z221" s="129" t="n">
        <v>0</v>
      </c>
      <c r="AA221" s="129" t="n">
        <v>0</v>
      </c>
      <c r="AB221" s="129" t="n">
        <v>0</v>
      </c>
      <c r="AC221" s="119" t="inlineStr">
        <is>
          <t>✓ Clean</t>
        </is>
      </c>
      <c r="AD221" s="130" t="n">
        <v>1638000000</v>
      </c>
      <c r="AE221" s="130" t="n">
        <v>141000000</v>
      </c>
      <c r="AF221" s="130" t="n">
        <v>1883000000</v>
      </c>
      <c r="AG221" s="130" t="n">
        <v>0.003</v>
      </c>
      <c r="AH221" s="119" t="inlineStr">
        <is>
          <t>✓ Medium Quality</t>
        </is>
      </c>
      <c r="AI221" s="124" t="inlineStr">
        <is>
          <t>N/A</t>
        </is>
      </c>
      <c r="AJ221" s="131" t="n">
        <v>0</v>
      </c>
      <c r="AK221" s="124" t="inlineStr">
        <is>
          <t>N/A</t>
        </is>
      </c>
      <c r="AL221" s="131" t="n">
        <v>0.366</v>
      </c>
      <c r="AM221" s="131" t="n">
        <v>0</v>
      </c>
      <c r="AN221" s="129" t="n">
        <v>100</v>
      </c>
      <c r="AO221" s="119" t="inlineStr">
        <is>
          <t>✓ Good</t>
        </is>
      </c>
      <c r="AP221" s="129" t="n">
        <v>0</v>
      </c>
      <c r="AQ221" s="129" t="n">
        <v>0</v>
      </c>
      <c r="AR221" s="129" t="n">
        <v>0</v>
      </c>
      <c r="AS221" s="129" t="n">
        <v>0</v>
      </c>
      <c r="AT221" s="129" t="n">
        <v>0</v>
      </c>
      <c r="AU221" s="129" t="n">
        <v>0</v>
      </c>
      <c r="AV221" s="129" t="n">
        <v>0</v>
      </c>
      <c r="AW221" s="119" t="inlineStr">
        <is>
          <t>✓ Clean</t>
        </is>
      </c>
      <c r="AX221" s="130" t="n">
        <v>22.1</v>
      </c>
      <c r="AY221" s="119" t="inlineStr">
        <is>
          <t>🟢 LOW RISK</t>
        </is>
      </c>
      <c r="AZ221" s="130" t="n">
        <v>0</v>
      </c>
      <c r="BA221" s="124" t="inlineStr">
        <is>
          <t>N/A</t>
        </is>
      </c>
      <c r="BB221" s="124" t="inlineStr">
        <is>
          <t>N/A</t>
        </is>
      </c>
      <c r="BC221" s="124" t="inlineStr">
        <is>
          <t>N/A</t>
        </is>
      </c>
      <c r="BD221" s="130" t="n">
        <v>71</v>
      </c>
      <c r="BE221" s="130" t="n">
        <v>71</v>
      </c>
      <c r="BF221" s="131" t="n">
        <v>0.107</v>
      </c>
      <c r="BG221" s="129" t="n">
        <v>0.884</v>
      </c>
      <c r="BH221" s="129" t="n">
        <v>0</v>
      </c>
      <c r="BI221" s="125" t="n">
        <v>0.6666666666666666</v>
      </c>
    </row>
    <row r="222" ht="17" customHeight="1">
      <c r="A222" s="117" t="inlineStr">
        <is>
          <t>BWXT</t>
        </is>
      </c>
      <c r="B222" s="117" t="inlineStr">
        <is>
          <t>BWX TECHNOLOGIES, INC.</t>
        </is>
      </c>
      <c r="C222" s="118" t="n">
        <v>0.5669999999999999</v>
      </c>
      <c r="D222" s="118" t="n">
        <v>8.163</v>
      </c>
      <c r="E222" s="118" t="n">
        <v>1.143</v>
      </c>
      <c r="F222" s="118" t="n">
        <v>3.924</v>
      </c>
      <c r="G222" s="118" t="n">
        <v>0.977</v>
      </c>
      <c r="H222" s="118" t="n">
        <v>0.315</v>
      </c>
      <c r="I222" s="118" t="n">
        <v>1.141</v>
      </c>
      <c r="J222" s="118" t="n">
        <v>-0.035</v>
      </c>
      <c r="K222" s="118" t="n">
        <v>3.473</v>
      </c>
      <c r="L222" s="121" t="inlineStr">
        <is>
          <t>⚠ MANIPULATOR RISK</t>
        </is>
      </c>
      <c r="M222" s="120" t="n">
        <v>-0.024</v>
      </c>
      <c r="N222" s="120" t="n">
        <v>0.096</v>
      </c>
      <c r="O222" s="120" t="n">
        <v>0.005</v>
      </c>
      <c r="P222" s="120" t="n">
        <v>0.512</v>
      </c>
      <c r="Q222" s="120" t="n">
        <v>0.045</v>
      </c>
      <c r="R222" s="117" t="n">
        <v>1</v>
      </c>
      <c r="S222" s="118" t="n">
        <v>-3.596</v>
      </c>
      <c r="T222" s="118" t="n">
        <v>0.027</v>
      </c>
      <c r="U222" s="119" t="inlineStr">
        <is>
          <t>✓ Normal</t>
        </is>
      </c>
      <c r="V222" s="117" t="n">
        <v>1</v>
      </c>
      <c r="W222" s="117" t="n">
        <v>0</v>
      </c>
      <c r="X222" s="117" t="n">
        <v>0</v>
      </c>
      <c r="Y222" s="117" t="n">
        <v>1</v>
      </c>
      <c r="Z222" s="117" t="n">
        <v>1</v>
      </c>
      <c r="AA222" s="117" t="n">
        <v>1</v>
      </c>
      <c r="AB222" s="117" t="n">
        <v>4</v>
      </c>
      <c r="AC222" s="121" t="inlineStr">
        <is>
          <t>⚠⚠ SERIOUS CONCERN</t>
        </is>
      </c>
      <c r="AD222" s="118" t="n">
        <v>479848000</v>
      </c>
      <c r="AE222" s="118" t="n">
        <v>-742109000</v>
      </c>
      <c r="AF222" s="118" t="n">
        <v>328945000</v>
      </c>
      <c r="AG222" s="118" t="n">
        <v>0.166</v>
      </c>
      <c r="AH222" s="117" t="inlineStr">
        <is>
          <t>⚠ Low Quality</t>
        </is>
      </c>
      <c r="AI222" s="118" t="n">
        <v>1.224</v>
      </c>
      <c r="AJ222" s="120" t="n">
        <v>2.924</v>
      </c>
      <c r="AK222" s="120" t="n">
        <v>0.419</v>
      </c>
      <c r="AL222" s="120" t="n">
        <v>0.284</v>
      </c>
      <c r="AM222" s="120" t="n">
        <v>0.08500000000000001</v>
      </c>
      <c r="AN222" s="117" t="n">
        <v>100</v>
      </c>
      <c r="AO222" s="119" t="inlineStr">
        <is>
          <t>✓ Good</t>
        </is>
      </c>
      <c r="AP222" s="117" t="n">
        <v>0</v>
      </c>
      <c r="AQ222" s="117" t="n">
        <v>0</v>
      </c>
      <c r="AR222" s="117" t="n">
        <v>0</v>
      </c>
      <c r="AS222" s="117" t="n">
        <v>0</v>
      </c>
      <c r="AT222" s="117" t="n">
        <v>1</v>
      </c>
      <c r="AU222" s="117" t="n">
        <v>1</v>
      </c>
      <c r="AV222" s="117" t="n">
        <v>2</v>
      </c>
      <c r="AW222" s="121" t="inlineStr">
        <is>
          <t>⚠ WATCH</t>
        </is>
      </c>
      <c r="AX222" s="118" t="n">
        <v>47.3</v>
      </c>
      <c r="AY222" s="121" t="inlineStr">
        <is>
          <t>🟡 ELEVATED RISK</t>
        </is>
      </c>
      <c r="AZ222" s="118" t="n">
        <v>47.7</v>
      </c>
      <c r="BA222" s="118" t="n">
        <v>84.09999999999999</v>
      </c>
      <c r="BB222" s="118" t="n">
        <v>6.9</v>
      </c>
      <c r="BC222" s="118" t="n">
        <v>7.2</v>
      </c>
      <c r="BD222" s="118" t="n">
        <v>20.9</v>
      </c>
      <c r="BE222" s="118" t="n">
        <v>28.2</v>
      </c>
      <c r="BF222" s="120" t="n">
        <v>0.171</v>
      </c>
      <c r="BG222" s="117" t="n">
        <v>0.512</v>
      </c>
      <c r="BH222" s="122" t="n">
        <v>7</v>
      </c>
      <c r="BI222" s="123" t="n">
        <v>1</v>
      </c>
    </row>
    <row r="223" ht="17" customHeight="1">
      <c r="A223" s="117" t="inlineStr">
        <is>
          <t>DDOG</t>
        </is>
      </c>
      <c r="B223" s="117" t="inlineStr">
        <is>
          <t>Datadog, Inc.</t>
        </is>
      </c>
      <c r="C223" s="118" t="n">
        <v>0.969</v>
      </c>
      <c r="D223" s="118" t="n">
        <v>1.01</v>
      </c>
      <c r="E223" s="118" t="n">
        <v>1.242</v>
      </c>
      <c r="F223" s="118" t="n">
        <v>1.277</v>
      </c>
      <c r="G223" s="118" t="n">
        <v>1.376</v>
      </c>
      <c r="H223" s="118" t="n">
        <v>1.068</v>
      </c>
      <c r="I223" s="118" t="n">
        <v>0.826</v>
      </c>
      <c r="J223" s="118" t="n">
        <v>-0.142</v>
      </c>
      <c r="K223" s="118" t="n">
        <v>-2.733</v>
      </c>
      <c r="L223" s="119" t="inlineStr">
        <is>
          <t>✓ Lower Risk</t>
        </is>
      </c>
      <c r="M223" s="120" t="n">
        <v>0.231</v>
      </c>
      <c r="N223" s="120" t="n">
        <v>0.192</v>
      </c>
      <c r="O223" s="124" t="inlineStr">
        <is>
          <t>N/A</t>
        </is>
      </c>
      <c r="P223" s="120" t="n">
        <v>0.889</v>
      </c>
      <c r="Q223" s="120" t="n">
        <v>-0.016</v>
      </c>
      <c r="R223" s="117" t="n">
        <v>0</v>
      </c>
      <c r="S223" s="118" t="n">
        <v>-5.463</v>
      </c>
      <c r="T223" s="118" t="n">
        <v>0.004</v>
      </c>
      <c r="U223" s="119" t="inlineStr">
        <is>
          <t>✓ Normal</t>
        </is>
      </c>
      <c r="V223" s="117" t="n">
        <v>0</v>
      </c>
      <c r="W223" s="117" t="n">
        <v>0</v>
      </c>
      <c r="X223" s="117" t="n">
        <v>0</v>
      </c>
      <c r="Y223" s="117" t="n">
        <v>0</v>
      </c>
      <c r="Z223" s="117" t="n">
        <v>1</v>
      </c>
      <c r="AA223" s="117" t="n">
        <v>1</v>
      </c>
      <c r="AB223" s="117" t="n">
        <v>2</v>
      </c>
      <c r="AC223" s="121" t="inlineStr">
        <is>
          <t>⚠ WATCH</t>
        </is>
      </c>
      <c r="AD223" s="118" t="n">
        <v>1050135000</v>
      </c>
      <c r="AE223" s="118" t="n">
        <v>-1334480000</v>
      </c>
      <c r="AF223" s="118" t="n">
        <v>107741000</v>
      </c>
      <c r="AG223" s="118" t="n">
        <v>0.063</v>
      </c>
      <c r="AH223" s="119" t="inlineStr">
        <is>
          <t>✓ Medium Quality</t>
        </is>
      </c>
      <c r="AI223" s="118" t="n">
        <v>0.238</v>
      </c>
      <c r="AJ223" s="120" t="n">
        <v>0.277</v>
      </c>
      <c r="AK223" s="120" t="n">
        <v>0.859</v>
      </c>
      <c r="AL223" s="120" t="n">
        <v>0.306</v>
      </c>
      <c r="AM223" s="120" t="n">
        <v>0.019</v>
      </c>
      <c r="AN223" s="117" t="n">
        <v>100</v>
      </c>
      <c r="AO223" s="119" t="inlineStr">
        <is>
          <t>✓ Good</t>
        </is>
      </c>
      <c r="AP223" s="117" t="n">
        <v>0</v>
      </c>
      <c r="AQ223" s="117" t="n">
        <v>0</v>
      </c>
      <c r="AR223" s="117" t="n">
        <v>1</v>
      </c>
      <c r="AS223" s="117" t="n">
        <v>1</v>
      </c>
      <c r="AT223" s="117" t="n">
        <v>1</v>
      </c>
      <c r="AU223" s="117" t="n">
        <v>0</v>
      </c>
      <c r="AV223" s="117" t="n">
        <v>3</v>
      </c>
      <c r="AW223" s="121" t="inlineStr">
        <is>
          <t>⚠ WATCH</t>
        </is>
      </c>
      <c r="AX223" s="118" t="n">
        <v>17.4</v>
      </c>
      <c r="AY223" s="119" t="inlineStr">
        <is>
          <t>🟢 VERY LOW RISK</t>
        </is>
      </c>
      <c r="AZ223" s="118" t="n">
        <v>78.90000000000001</v>
      </c>
      <c r="BA223" s="118" t="n">
        <v>81.40000000000001</v>
      </c>
      <c r="BB223" s="124" t="inlineStr">
        <is>
          <t>N/A</t>
        </is>
      </c>
      <c r="BC223" s="124" t="inlineStr">
        <is>
          <t>N/A</t>
        </is>
      </c>
      <c r="BD223" s="118" t="n">
        <v>79.09999999999999</v>
      </c>
      <c r="BE223" s="118" t="n">
        <v>76.3</v>
      </c>
      <c r="BF223" s="120" t="n">
        <v>0.152</v>
      </c>
      <c r="BG223" s="117" t="n">
        <v>0.889</v>
      </c>
      <c r="BH223" s="122" t="n">
        <v>5</v>
      </c>
      <c r="BI223" s="123" t="n">
        <v>1</v>
      </c>
    </row>
    <row r="224" ht="17" customHeight="1">
      <c r="A224" s="117" t="inlineStr">
        <is>
          <t>PLAY</t>
        </is>
      </c>
      <c r="B224" s="117" t="inlineStr">
        <is>
          <t>Dave &amp; Buster’s Entertainment, Inc.</t>
        </is>
      </c>
      <c r="C224" s="124" t="inlineStr">
        <is>
          <t>N/A</t>
        </is>
      </c>
      <c r="D224" s="118" t="n">
        <v>1.199</v>
      </c>
      <c r="E224" s="118" t="n">
        <v>0.97</v>
      </c>
      <c r="F224" s="118" t="n">
        <v>1.071</v>
      </c>
      <c r="G224" s="118" t="n">
        <v>0.91</v>
      </c>
      <c r="H224" s="118" t="n">
        <v>1.098</v>
      </c>
      <c r="I224" s="118" t="n">
        <v>1</v>
      </c>
      <c r="J224" s="118" t="n">
        <v>-0.082</v>
      </c>
      <c r="K224" s="124" t="inlineStr">
        <is>
          <t>N/A</t>
        </is>
      </c>
      <c r="L224" s="124" t="inlineStr">
        <is>
          <t>N/A</t>
        </is>
      </c>
      <c r="M224" s="120" t="n">
        <v>-0.063</v>
      </c>
      <c r="N224" s="124" t="inlineStr">
        <is>
          <t>N/A</t>
        </is>
      </c>
      <c r="O224" s="120" t="n">
        <v>0.013</v>
      </c>
      <c r="P224" s="120" t="n">
        <v>0.578</v>
      </c>
      <c r="Q224" s="120" t="n">
        <v>-0.026</v>
      </c>
      <c r="R224" s="117" t="n">
        <v>0</v>
      </c>
      <c r="S224" s="118" t="n">
        <v>-6.771</v>
      </c>
      <c r="T224" s="118" t="n">
        <v>0.001</v>
      </c>
      <c r="U224" s="119" t="inlineStr">
        <is>
          <t>✓ Normal</t>
        </is>
      </c>
      <c r="V224" s="117" t="n">
        <v>0</v>
      </c>
      <c r="W224" s="117" t="n">
        <v>0</v>
      </c>
      <c r="X224" s="117" t="n">
        <v>0</v>
      </c>
      <c r="Y224" s="117" t="n">
        <v>1</v>
      </c>
      <c r="Z224" s="117" t="n">
        <v>0</v>
      </c>
      <c r="AA224" s="117" t="n">
        <v>0</v>
      </c>
      <c r="AB224" s="117" t="n">
        <v>1</v>
      </c>
      <c r="AC224" s="119" t="inlineStr">
        <is>
          <t>✓ Clean</t>
        </is>
      </c>
      <c r="AD224" s="118" t="n">
        <v>290800000</v>
      </c>
      <c r="AE224" s="118" t="n">
        <v>-386900000</v>
      </c>
      <c r="AF224" s="118" t="n">
        <v>-48700000</v>
      </c>
      <c r="AG224" s="118" t="n">
        <v>0.012</v>
      </c>
      <c r="AH224" s="119" t="inlineStr">
        <is>
          <t>✓ Medium Quality</t>
        </is>
      </c>
      <c r="AI224" s="124" t="inlineStr">
        <is>
          <t>N/A</t>
        </is>
      </c>
      <c r="AJ224" s="120" t="n">
        <v>0.07099999999999999</v>
      </c>
      <c r="AK224" s="124" t="inlineStr">
        <is>
          <t>N/A</t>
        </is>
      </c>
      <c r="AL224" s="120" t="n">
        <v>2.489</v>
      </c>
      <c r="AM224" s="120" t="n">
        <v>0.183</v>
      </c>
      <c r="AN224" s="117" t="n">
        <v>100</v>
      </c>
      <c r="AO224" s="119" t="inlineStr">
        <is>
          <t>✓ Good</t>
        </is>
      </c>
      <c r="AP224" s="117" t="n">
        <v>0</v>
      </c>
      <c r="AQ224" s="117" t="n">
        <v>0</v>
      </c>
      <c r="AR224" s="117" t="n">
        <v>0</v>
      </c>
      <c r="AS224" s="117" t="n">
        <v>1</v>
      </c>
      <c r="AT224" s="117" t="n">
        <v>0</v>
      </c>
      <c r="AU224" s="117" t="n">
        <v>0</v>
      </c>
      <c r="AV224" s="117" t="n">
        <v>1</v>
      </c>
      <c r="AW224" s="119" t="inlineStr">
        <is>
          <t>✓ Clean</t>
        </is>
      </c>
      <c r="AX224" s="118" t="n">
        <v>19.1</v>
      </c>
      <c r="AY224" s="119" t="inlineStr">
        <is>
          <t>🟢 VERY LOW RISK</t>
        </is>
      </c>
      <c r="AZ224" s="118" t="n">
        <v>0</v>
      </c>
      <c r="BA224" s="124" t="inlineStr">
        <is>
          <t>N/A</t>
        </is>
      </c>
      <c r="BB224" s="118" t="n">
        <v>48.5</v>
      </c>
      <c r="BC224" s="118" t="n">
        <v>46.2</v>
      </c>
      <c r="BD224" s="118" t="n">
        <v>152.5</v>
      </c>
      <c r="BE224" s="118" t="n">
        <v>156</v>
      </c>
      <c r="BF224" s="120" t="n">
        <v>0.283</v>
      </c>
      <c r="BG224" s="117" t="n">
        <v>0.578</v>
      </c>
      <c r="BH224" s="122" t="n">
        <v>2</v>
      </c>
      <c r="BI224" s="123" t="n">
        <v>0.8333333333333334</v>
      </c>
    </row>
    <row r="225" ht="17" customHeight="1">
      <c r="A225" s="117" t="inlineStr">
        <is>
          <t>CMC</t>
        </is>
      </c>
      <c r="B225" s="117" t="inlineStr">
        <is>
          <t>COMMERCIAL METALS COMPANY</t>
        </is>
      </c>
      <c r="C225" s="118" t="n">
        <v>0.826</v>
      </c>
      <c r="D225" s="118" t="n">
        <v>1.074</v>
      </c>
      <c r="E225" s="118" t="n">
        <v>0.9370000000000001</v>
      </c>
      <c r="F225" s="118" t="n">
        <v>1.256</v>
      </c>
      <c r="G225" s="118" t="n">
        <v>1.039</v>
      </c>
      <c r="H225" s="118" t="n">
        <v>0.838</v>
      </c>
      <c r="I225" s="118" t="n">
        <v>1.125</v>
      </c>
      <c r="J225" s="118" t="n">
        <v>-0.08799999999999999</v>
      </c>
      <c r="K225" s="118" t="n">
        <v>-2.818</v>
      </c>
      <c r="L225" s="119" t="inlineStr">
        <is>
          <t>✓ Lower Risk</t>
        </is>
      </c>
      <c r="M225" s="120" t="n">
        <v>-0.097</v>
      </c>
      <c r="N225" s="120" t="n">
        <v>0.027</v>
      </c>
      <c r="O225" s="120" t="n">
        <v>-0.023</v>
      </c>
      <c r="P225" s="120" t="n">
        <v>0.472</v>
      </c>
      <c r="Q225" s="120" t="n">
        <v>-0.059</v>
      </c>
      <c r="R225" s="117" t="n">
        <v>0</v>
      </c>
      <c r="S225" s="118" t="n">
        <v>-6.97</v>
      </c>
      <c r="T225" s="118" t="n">
        <v>0.001</v>
      </c>
      <c r="U225" s="119" t="inlineStr">
        <is>
          <t>✓ Normal</t>
        </is>
      </c>
      <c r="V225" s="117" t="n">
        <v>0</v>
      </c>
      <c r="W225" s="117" t="n">
        <v>0</v>
      </c>
      <c r="X225" s="117" t="n">
        <v>0</v>
      </c>
      <c r="Y225" s="117" t="n">
        <v>1</v>
      </c>
      <c r="Z225" s="117" t="n">
        <v>1</v>
      </c>
      <c r="AA225" s="117" t="n">
        <v>0</v>
      </c>
      <c r="AB225" s="117" t="n">
        <v>2</v>
      </c>
      <c r="AC225" s="121" t="inlineStr">
        <is>
          <t>⚠ WATCH</t>
        </is>
      </c>
      <c r="AD225" s="118" t="n">
        <v>715070000</v>
      </c>
      <c r="AE225" s="118" t="n">
        <v>-346772000</v>
      </c>
      <c r="AF225" s="118" t="n">
        <v>84662000</v>
      </c>
      <c r="AG225" s="118" t="n">
        <v>-0.041</v>
      </c>
      <c r="AH225" s="119" t="inlineStr">
        <is>
          <t>✓ Medium Quality</t>
        </is>
      </c>
      <c r="AI225" s="118" t="n">
        <v>0.037</v>
      </c>
      <c r="AJ225" s="120" t="n">
        <v>0.256</v>
      </c>
      <c r="AK225" s="120" t="n">
        <v>0.144</v>
      </c>
      <c r="AL225" s="120" t="n">
        <v>0.09</v>
      </c>
      <c r="AM225" s="120" t="n">
        <v>-0.002</v>
      </c>
      <c r="AN225" s="118" t="n">
        <v>88</v>
      </c>
      <c r="AO225" s="119" t="inlineStr">
        <is>
          <t>✓ Good</t>
        </is>
      </c>
      <c r="AP225" s="117" t="n">
        <v>0</v>
      </c>
      <c r="AQ225" s="117" t="n">
        <v>0</v>
      </c>
      <c r="AR225" s="117" t="n">
        <v>1</v>
      </c>
      <c r="AS225" s="117" t="n">
        <v>0</v>
      </c>
      <c r="AT225" s="117" t="n">
        <v>0</v>
      </c>
      <c r="AU225" s="117" t="n">
        <v>1</v>
      </c>
      <c r="AV225" s="117" t="n">
        <v>2</v>
      </c>
      <c r="AW225" s="121" t="inlineStr">
        <is>
          <t>⚠ WATCH</t>
        </is>
      </c>
      <c r="AX225" s="118" t="n">
        <v>16</v>
      </c>
      <c r="AY225" s="119" t="inlineStr">
        <is>
          <t>🟢 VERY LOW RISK</t>
        </is>
      </c>
      <c r="AZ225" s="118" t="n">
        <v>55.4</v>
      </c>
      <c r="BA225" s="118" t="n">
        <v>67.09999999999999</v>
      </c>
      <c r="BB225" s="118" t="n">
        <v>51.8</v>
      </c>
      <c r="BC225" s="118" t="n">
        <v>54</v>
      </c>
      <c r="BD225" s="118" t="n">
        <v>30</v>
      </c>
      <c r="BE225" s="118" t="n">
        <v>26.4</v>
      </c>
      <c r="BF225" s="120" t="n">
        <v>0.213</v>
      </c>
      <c r="BG225" s="117" t="n">
        <v>0.472</v>
      </c>
      <c r="BH225" s="122" t="n">
        <v>4</v>
      </c>
      <c r="BI225" s="123" t="n">
        <v>1</v>
      </c>
    </row>
    <row r="226" ht="17" customHeight="1">
      <c r="A226" s="117" t="inlineStr">
        <is>
          <t>BK</t>
        </is>
      </c>
      <c r="B226" s="117" t="inlineStr">
        <is>
          <t>THE BANK OF NEW YORK MELLON CORPORATION</t>
        </is>
      </c>
      <c r="C226" s="118" t="n">
        <v>0.908</v>
      </c>
      <c r="D226" s="124" t="inlineStr">
        <is>
          <t>N/A</t>
        </is>
      </c>
      <c r="E226" s="118" t="n">
        <v>1</v>
      </c>
      <c r="F226" s="118" t="n">
        <v>1.078</v>
      </c>
      <c r="G226" s="118" t="n">
        <v>1.215</v>
      </c>
      <c r="H226" s="124" t="inlineStr">
        <is>
          <t>N/A</t>
        </is>
      </c>
      <c r="I226" s="118" t="n">
        <v>1.006</v>
      </c>
      <c r="J226" s="118" t="n">
        <v>-0.003</v>
      </c>
      <c r="K226" s="124" t="inlineStr">
        <is>
          <t>N/A</t>
        </is>
      </c>
      <c r="L226" s="124" t="inlineStr">
        <is>
          <t>N/A</t>
        </is>
      </c>
      <c r="M226" s="124" t="inlineStr">
        <is>
          <t>N/A</t>
        </is>
      </c>
      <c r="N226" s="120" t="n">
        <v>-0.07000000000000001</v>
      </c>
      <c r="O226" s="124" t="inlineStr">
        <is>
          <t>N/A</t>
        </is>
      </c>
      <c r="P226" s="120" t="n">
        <v>0.982</v>
      </c>
      <c r="Q226" s="120" t="n">
        <v>0.001</v>
      </c>
      <c r="R226" s="117" t="n">
        <v>0</v>
      </c>
      <c r="S226" s="124" t="inlineStr">
        <is>
          <t>N/A</t>
        </is>
      </c>
      <c r="T226" s="124" t="inlineStr">
        <is>
          <t>N/A</t>
        </is>
      </c>
      <c r="U226" s="124" t="inlineStr">
        <is>
          <t>N/A</t>
        </is>
      </c>
      <c r="V226" s="117" t="n">
        <v>0</v>
      </c>
      <c r="W226" s="117" t="n">
        <v>0</v>
      </c>
      <c r="X226" s="117" t="n">
        <v>0</v>
      </c>
      <c r="Y226" s="117" t="n">
        <v>0</v>
      </c>
      <c r="Z226" s="117" t="n">
        <v>1</v>
      </c>
      <c r="AA226" s="117" t="n">
        <v>1</v>
      </c>
      <c r="AB226" s="117" t="n">
        <v>2</v>
      </c>
      <c r="AC226" s="121" t="inlineStr">
        <is>
          <t>⚠ WATCH</t>
        </is>
      </c>
      <c r="AD226" s="118" t="n">
        <v>6730000000</v>
      </c>
      <c r="AE226" s="118" t="n">
        <v>-44283000000</v>
      </c>
      <c r="AF226" s="118" t="n">
        <v>5549000000</v>
      </c>
      <c r="AG226" s="118" t="n">
        <v>0.097</v>
      </c>
      <c r="AH226" s="119" t="inlineStr">
        <is>
          <t>✓ Medium Quality</t>
        </is>
      </c>
      <c r="AI226" s="118" t="n">
        <v>-0.021</v>
      </c>
      <c r="AJ226" s="120" t="n">
        <v>0.078</v>
      </c>
      <c r="AK226" s="120" t="n">
        <v>-0.264</v>
      </c>
      <c r="AL226" s="120" t="n">
        <v>0.335</v>
      </c>
      <c r="AM226" s="120" t="n">
        <v>-0.007</v>
      </c>
      <c r="AN226" s="118" t="n">
        <v>99.7</v>
      </c>
      <c r="AO226" s="119" t="inlineStr">
        <is>
          <t>✓ Good</t>
        </is>
      </c>
      <c r="AP226" s="117" t="n">
        <v>0</v>
      </c>
      <c r="AQ226" s="117" t="n">
        <v>0</v>
      </c>
      <c r="AR226" s="117" t="n">
        <v>0</v>
      </c>
      <c r="AS226" s="117" t="n">
        <v>0</v>
      </c>
      <c r="AT226" s="117" t="n">
        <v>0</v>
      </c>
      <c r="AU226" s="117" t="n">
        <v>1</v>
      </c>
      <c r="AV226" s="117" t="n">
        <v>1</v>
      </c>
      <c r="AW226" s="119" t="inlineStr">
        <is>
          <t>✓ Clean</t>
        </is>
      </c>
      <c r="AX226" s="118" t="n">
        <v>31.5</v>
      </c>
      <c r="AY226" s="119" t="inlineStr">
        <is>
          <t>🟢 LOW RISK</t>
        </is>
      </c>
      <c r="AZ226" s="118" t="n">
        <v>87.8</v>
      </c>
      <c r="BA226" s="118" t="n">
        <v>96.7</v>
      </c>
      <c r="BB226" s="124" t="inlineStr">
        <is>
          <t>N/A</t>
        </is>
      </c>
      <c r="BC226" s="124" t="inlineStr">
        <is>
          <t>N/A</t>
        </is>
      </c>
      <c r="BD226" s="124" t="inlineStr">
        <is>
          <t>N/A</t>
        </is>
      </c>
      <c r="BE226" s="124" t="inlineStr">
        <is>
          <t>N/A</t>
        </is>
      </c>
      <c r="BF226" s="120" t="n">
        <v>0.354</v>
      </c>
      <c r="BG226" s="117" t="n">
        <v>0.982</v>
      </c>
      <c r="BH226" s="122" t="n">
        <v>3</v>
      </c>
      <c r="BI226" s="125" t="n">
        <v>0.6666666666666666</v>
      </c>
    </row>
    <row r="227" ht="17" customHeight="1">
      <c r="A227" s="117" t="inlineStr">
        <is>
          <t>QSR</t>
        </is>
      </c>
      <c r="B227" s="117" t="inlineStr">
        <is>
          <t>RESTAURANT BRANDS INTERNATIONAL INC.</t>
        </is>
      </c>
      <c r="C227" s="124" t="inlineStr">
        <is>
          <t>N/A</t>
        </is>
      </c>
      <c r="D227" s="118" t="n">
        <v>1.009</v>
      </c>
      <c r="E227" s="118" t="n">
        <v>0.98</v>
      </c>
      <c r="F227" s="118" t="n">
        <v>1.122</v>
      </c>
      <c r="G227" s="118" t="n">
        <v>0.924</v>
      </c>
      <c r="H227" s="118" t="n">
        <v>0.891</v>
      </c>
      <c r="I227" s="118" t="n">
        <v>0.994</v>
      </c>
      <c r="J227" s="118" t="n">
        <v>-0.061</v>
      </c>
      <c r="K227" s="124" t="inlineStr">
        <is>
          <t>N/A</t>
        </is>
      </c>
      <c r="L227" s="124" t="inlineStr">
        <is>
          <t>N/A</t>
        </is>
      </c>
      <c r="M227" s="120" t="n">
        <v>-0.011</v>
      </c>
      <c r="N227" s="124" t="inlineStr">
        <is>
          <t>N/A</t>
        </is>
      </c>
      <c r="O227" s="120" t="n">
        <v>0.061</v>
      </c>
      <c r="P227" s="120" t="n">
        <v>0.917</v>
      </c>
      <c r="Q227" s="120" t="n">
        <v>-0.004</v>
      </c>
      <c r="R227" s="117" t="n">
        <v>1</v>
      </c>
      <c r="S227" s="118" t="n">
        <v>-2.939</v>
      </c>
      <c r="T227" s="118" t="n">
        <v>0.05</v>
      </c>
      <c r="U227" s="121" t="inlineStr">
        <is>
          <t>⚠ HIGH RISK</t>
        </is>
      </c>
      <c r="V227" s="117" t="n">
        <v>0</v>
      </c>
      <c r="W227" s="117" t="n">
        <v>0</v>
      </c>
      <c r="X227" s="117" t="n">
        <v>1</v>
      </c>
      <c r="Y227" s="117" t="n">
        <v>0</v>
      </c>
      <c r="Z227" s="117" t="n">
        <v>0</v>
      </c>
      <c r="AA227" s="117" t="n">
        <v>0</v>
      </c>
      <c r="AB227" s="117" t="n">
        <v>1</v>
      </c>
      <c r="AC227" s="119" t="inlineStr">
        <is>
          <t>✓ Clean</t>
        </is>
      </c>
      <c r="AD227" s="118" t="n">
        <v>1714000000</v>
      </c>
      <c r="AE227" s="118" t="n">
        <v>-318000000</v>
      </c>
      <c r="AF227" s="118" t="n">
        <v>139000000</v>
      </c>
      <c r="AG227" s="118" t="n">
        <v>-0.05</v>
      </c>
      <c r="AH227" s="119" t="inlineStr">
        <is>
          <t>✓ Medium Quality</t>
        </is>
      </c>
      <c r="AI227" s="124" t="inlineStr">
        <is>
          <t>N/A</t>
        </is>
      </c>
      <c r="AJ227" s="120" t="n">
        <v>0.122</v>
      </c>
      <c r="AK227" s="124" t="inlineStr">
        <is>
          <t>N/A</t>
        </is>
      </c>
      <c r="AL227" s="120" t="n">
        <v>0.182</v>
      </c>
      <c r="AM227" s="120" t="n">
        <v>-0.001</v>
      </c>
      <c r="AN227" s="118" t="n">
        <v>99.90000000000001</v>
      </c>
      <c r="AO227" s="119" t="inlineStr">
        <is>
          <t>✓ Good</t>
        </is>
      </c>
      <c r="AP227" s="117" t="n">
        <v>0</v>
      </c>
      <c r="AQ227" s="117" t="n">
        <v>0</v>
      </c>
      <c r="AR227" s="117" t="n">
        <v>1</v>
      </c>
      <c r="AS227" s="117" t="n">
        <v>0</v>
      </c>
      <c r="AT227" s="117" t="n">
        <v>0</v>
      </c>
      <c r="AU227" s="117" t="n">
        <v>0</v>
      </c>
      <c r="AV227" s="117" t="n">
        <v>1</v>
      </c>
      <c r="AW227" s="119" t="inlineStr">
        <is>
          <t>✓ Clean</t>
        </is>
      </c>
      <c r="AX227" s="118" t="n">
        <v>27.2</v>
      </c>
      <c r="AY227" s="119" t="inlineStr">
        <is>
          <t>🟢 LOW RISK</t>
        </is>
      </c>
      <c r="AZ227" s="118" t="n">
        <v>0</v>
      </c>
      <c r="BA227" s="124" t="inlineStr">
        <is>
          <t>N/A</t>
        </is>
      </c>
      <c r="BB227" s="118" t="n">
        <v>30.7</v>
      </c>
      <c r="BC227" s="118" t="n">
        <v>22.4</v>
      </c>
      <c r="BD227" s="118" t="n">
        <v>129.8</v>
      </c>
      <c r="BE227" s="118" t="n">
        <v>120.8</v>
      </c>
      <c r="BF227" s="120" t="n">
        <v>0.287</v>
      </c>
      <c r="BG227" s="117" t="n">
        <v>0.917</v>
      </c>
      <c r="BH227" s="122" t="n">
        <v>3</v>
      </c>
      <c r="BI227" s="123" t="n">
        <v>0.8333333333333334</v>
      </c>
    </row>
    <row r="228" ht="17" customHeight="1">
      <c r="A228" s="117" t="inlineStr">
        <is>
          <t>RSG</t>
        </is>
      </c>
      <c r="B228" s="117" t="inlineStr">
        <is>
          <t>REPUBLIC SERVICES, INC.</t>
        </is>
      </c>
      <c r="C228" s="118" t="n">
        <v>1.008</v>
      </c>
      <c r="D228" s="118" t="n">
        <v>0.997</v>
      </c>
      <c r="E228" s="118" t="n">
        <v>1.007</v>
      </c>
      <c r="F228" s="118" t="n">
        <v>1.033</v>
      </c>
      <c r="G228" s="118" t="n">
        <v>0.972</v>
      </c>
      <c r="H228" s="118" t="n">
        <v>0.989</v>
      </c>
      <c r="I228" s="118" t="n">
        <v>1</v>
      </c>
      <c r="J228" s="118" t="n">
        <v>-0.063</v>
      </c>
      <c r="K228" s="118" t="n">
        <v>-2.737</v>
      </c>
      <c r="L228" s="119" t="inlineStr">
        <is>
          <t>✓ Lower Risk</t>
        </is>
      </c>
      <c r="M228" s="120" t="n">
        <v>-0.044</v>
      </c>
      <c r="N228" s="120" t="n">
        <v>0.125</v>
      </c>
      <c r="O228" s="120" t="n">
        <v>0.013</v>
      </c>
      <c r="P228" s="120" t="n">
        <v>0.754</v>
      </c>
      <c r="Q228" s="120" t="n">
        <v>-0.001</v>
      </c>
      <c r="R228" s="117" t="n">
        <v>0</v>
      </c>
      <c r="S228" s="118" t="n">
        <v>-6.105</v>
      </c>
      <c r="T228" s="118" t="n">
        <v>0.002</v>
      </c>
      <c r="U228" s="119" t="inlineStr">
        <is>
          <t>✓ Normal</t>
        </is>
      </c>
      <c r="V228" s="117" t="n">
        <v>0</v>
      </c>
      <c r="W228" s="117" t="n">
        <v>1</v>
      </c>
      <c r="X228" s="117" t="n">
        <v>1</v>
      </c>
      <c r="Y228" s="117" t="n">
        <v>1</v>
      </c>
      <c r="Z228" s="117" t="n">
        <v>0</v>
      </c>
      <c r="AA228" s="117" t="n">
        <v>0</v>
      </c>
      <c r="AB228" s="117" t="n">
        <v>3</v>
      </c>
      <c r="AC228" s="121" t="inlineStr">
        <is>
          <t>⚠ WATCH</t>
        </is>
      </c>
      <c r="AD228" s="118" t="n">
        <v>4296000000</v>
      </c>
      <c r="AE228" s="118" t="n">
        <v>-3313000000</v>
      </c>
      <c r="AF228" s="118" t="n">
        <v>2139249000</v>
      </c>
      <c r="AG228" s="118" t="n">
        <v>0.035</v>
      </c>
      <c r="AH228" s="119" t="inlineStr">
        <is>
          <t>✓ Medium Quality</t>
        </is>
      </c>
      <c r="AI228" s="118" t="n">
        <v>0.042</v>
      </c>
      <c r="AJ228" s="120" t="n">
        <v>0.033</v>
      </c>
      <c r="AK228" s="120" t="n">
        <v>1.262</v>
      </c>
      <c r="AL228" s="120" t="n">
        <v>0.226</v>
      </c>
      <c r="AM228" s="120" t="n">
        <v>-0</v>
      </c>
      <c r="AN228" s="118" t="n">
        <v>92.09999999999999</v>
      </c>
      <c r="AO228" s="119" t="inlineStr">
        <is>
          <t>✓ Good</t>
        </is>
      </c>
      <c r="AP228" s="117" t="n">
        <v>0</v>
      </c>
      <c r="AQ228" s="117" t="n">
        <v>0</v>
      </c>
      <c r="AR228" s="117" t="n">
        <v>0</v>
      </c>
      <c r="AS228" s="117" t="n">
        <v>0</v>
      </c>
      <c r="AT228" s="117" t="n">
        <v>0</v>
      </c>
      <c r="AU228" s="117" t="n">
        <v>0</v>
      </c>
      <c r="AV228" s="117" t="n">
        <v>0</v>
      </c>
      <c r="AW228" s="119" t="inlineStr">
        <is>
          <t>✓ Clean</t>
        </is>
      </c>
      <c r="AX228" s="118" t="n">
        <v>17.7</v>
      </c>
      <c r="AY228" s="119" t="inlineStr">
        <is>
          <t>🟢 VERY LOW RISK</t>
        </is>
      </c>
      <c r="AZ228" s="118" t="n">
        <v>36.4</v>
      </c>
      <c r="BA228" s="118" t="n">
        <v>36.1</v>
      </c>
      <c r="BB228" s="118" t="n">
        <v>4</v>
      </c>
      <c r="BC228" s="118" t="n">
        <v>3.8</v>
      </c>
      <c r="BD228" s="118" t="n">
        <v>52.1</v>
      </c>
      <c r="BE228" s="118" t="n">
        <v>52.5</v>
      </c>
      <c r="BF228" s="120" t="n">
        <v>0.175</v>
      </c>
      <c r="BG228" s="117" t="n">
        <v>0.754</v>
      </c>
      <c r="BH228" s="122" t="n">
        <v>3</v>
      </c>
      <c r="BI228" s="123" t="n">
        <v>1</v>
      </c>
    </row>
    <row r="229" ht="17" customHeight="1">
      <c r="A229" s="117" t="inlineStr">
        <is>
          <t>AR</t>
        </is>
      </c>
      <c r="B229" s="117" t="inlineStr">
        <is>
          <t>ANTERO RESOURCES CORPORATION</t>
        </is>
      </c>
      <c r="C229" s="118" t="n">
        <v>0.805</v>
      </c>
      <c r="D229" s="118" t="n">
        <v>1.225</v>
      </c>
      <c r="E229" s="118" t="n">
        <v>-1.749</v>
      </c>
      <c r="F229" s="118" t="n">
        <v>1.22</v>
      </c>
      <c r="G229" s="118" t="n">
        <v>0.745</v>
      </c>
      <c r="H229" s="118" t="n">
        <v>0.831</v>
      </c>
      <c r="I229" s="118" t="n">
        <v>0.9379999999999999</v>
      </c>
      <c r="J229" s="118" t="n">
        <v>-0.07199999999999999</v>
      </c>
      <c r="K229" s="118" t="n">
        <v>-3.773</v>
      </c>
      <c r="L229" s="119" t="inlineStr">
        <is>
          <t>✓ Lower Risk</t>
        </is>
      </c>
      <c r="M229" s="120" t="n">
        <v>-0.036</v>
      </c>
      <c r="N229" s="120" t="n">
        <v>-0.001</v>
      </c>
      <c r="O229" s="124" t="inlineStr">
        <is>
          <t>N/A</t>
        </is>
      </c>
      <c r="P229" s="120" t="n">
        <v>0.244</v>
      </c>
      <c r="Q229" s="120" t="n">
        <v>0.004</v>
      </c>
      <c r="R229" s="117" t="n">
        <v>0</v>
      </c>
      <c r="S229" s="118" t="n">
        <v>-7.442</v>
      </c>
      <c r="T229" s="118" t="n">
        <v>0.001</v>
      </c>
      <c r="U229" s="119" t="inlineStr">
        <is>
          <t>✓ Normal</t>
        </is>
      </c>
      <c r="V229" s="117" t="n">
        <v>0</v>
      </c>
      <c r="W229" s="117" t="n">
        <v>0</v>
      </c>
      <c r="X229" s="117" t="n">
        <v>0</v>
      </c>
      <c r="Y229" s="117" t="n">
        <v>0</v>
      </c>
      <c r="Z229" s="117" t="n">
        <v>1</v>
      </c>
      <c r="AA229" s="117" t="n">
        <v>0</v>
      </c>
      <c r="AB229" s="117" t="n">
        <v>1</v>
      </c>
      <c r="AC229" s="119" t="inlineStr">
        <is>
          <t>✓ Clean</t>
        </is>
      </c>
      <c r="AD229" s="118" t="n">
        <v>1630930000</v>
      </c>
      <c r="AE229" s="118" t="n">
        <v>-1077813000</v>
      </c>
      <c r="AF229" s="118" t="n">
        <v>675835000</v>
      </c>
      <c r="AG229" s="118" t="n">
        <v>0.008999999999999999</v>
      </c>
      <c r="AH229" s="119" t="inlineStr">
        <is>
          <t>✓ Medium Quality</t>
        </is>
      </c>
      <c r="AI229" s="118" t="n">
        <v>-0.019</v>
      </c>
      <c r="AJ229" s="120" t="n">
        <v>0.22</v>
      </c>
      <c r="AK229" s="120" t="n">
        <v>-0.08500000000000001</v>
      </c>
      <c r="AL229" s="120" t="n">
        <v>0.309</v>
      </c>
      <c r="AM229" s="120" t="n">
        <v>-0</v>
      </c>
      <c r="AN229" s="117" t="n">
        <v>100</v>
      </c>
      <c r="AO229" s="119" t="inlineStr">
        <is>
          <t>✓ Good</t>
        </is>
      </c>
      <c r="AP229" s="117" t="n">
        <v>0</v>
      </c>
      <c r="AQ229" s="117" t="n">
        <v>0</v>
      </c>
      <c r="AR229" s="117" t="n">
        <v>1</v>
      </c>
      <c r="AS229" s="117" t="n">
        <v>0</v>
      </c>
      <c r="AT229" s="117" t="n">
        <v>0</v>
      </c>
      <c r="AU229" s="117" t="n">
        <v>1</v>
      </c>
      <c r="AV229" s="117" t="n">
        <v>2</v>
      </c>
      <c r="AW229" s="121" t="inlineStr">
        <is>
          <t>⚠ WATCH</t>
        </is>
      </c>
      <c r="AX229" s="118" t="n">
        <v>8.5</v>
      </c>
      <c r="AY229" s="119" t="inlineStr">
        <is>
          <t>🟢 VERY LOW RISK</t>
        </is>
      </c>
      <c r="AZ229" s="118" t="n">
        <v>2.3</v>
      </c>
      <c r="BA229" s="118" t="n">
        <v>2.9</v>
      </c>
      <c r="BB229" s="124" t="inlineStr">
        <is>
          <t>N/A</t>
        </is>
      </c>
      <c r="BC229" s="124" t="inlineStr">
        <is>
          <t>N/A</t>
        </is>
      </c>
      <c r="BD229" s="118" t="n">
        <v>19.9</v>
      </c>
      <c r="BE229" s="118" t="n">
        <v>19.9</v>
      </c>
      <c r="BF229" s="120" t="n">
        <v>0.242</v>
      </c>
      <c r="BG229" s="117" t="n">
        <v>0.244</v>
      </c>
      <c r="BH229" s="122" t="n">
        <v>3</v>
      </c>
      <c r="BI229" s="123" t="n">
        <v>1</v>
      </c>
    </row>
    <row r="230" ht="17" customHeight="1">
      <c r="A230" s="117" t="inlineStr">
        <is>
          <t>PI</t>
        </is>
      </c>
      <c r="B230" s="117" t="inlineStr">
        <is>
          <t>Impinj, Inc.</t>
        </is>
      </c>
      <c r="C230" s="118" t="n">
        <v>1.273</v>
      </c>
      <c r="D230" s="118" t="n">
        <v>0.974</v>
      </c>
      <c r="E230" s="118" t="n">
        <v>1.246</v>
      </c>
      <c r="F230" s="118" t="n">
        <v>0.979</v>
      </c>
      <c r="G230" s="118" t="n">
        <v>0.737</v>
      </c>
      <c r="H230" s="118" t="n">
        <v>0.97</v>
      </c>
      <c r="I230" s="118" t="n">
        <v>0.888</v>
      </c>
      <c r="J230" s="118" t="n">
        <v>-0.128</v>
      </c>
      <c r="K230" s="118" t="n">
        <v>-2.748</v>
      </c>
      <c r="L230" s="119" t="inlineStr">
        <is>
          <t>✓ Lower Risk</t>
        </is>
      </c>
      <c r="M230" s="120" t="n">
        <v>0.388</v>
      </c>
      <c r="N230" s="120" t="n">
        <v>5.243</v>
      </c>
      <c r="O230" s="120" t="n">
        <v>-5.394</v>
      </c>
      <c r="P230" s="120" t="n">
        <v>0.819</v>
      </c>
      <c r="Q230" s="120" t="n">
        <v>-0.103</v>
      </c>
      <c r="R230" s="117" t="n">
        <v>1</v>
      </c>
      <c r="S230" s="118" t="n">
        <v>3.932</v>
      </c>
      <c r="T230" s="118" t="n">
        <v>0.981</v>
      </c>
      <c r="U230" s="121" t="inlineStr">
        <is>
          <t>⚠ HIGH RISK</t>
        </is>
      </c>
      <c r="V230" s="117" t="n">
        <v>1</v>
      </c>
      <c r="W230" s="117" t="n">
        <v>1</v>
      </c>
      <c r="X230" s="117" t="n">
        <v>0</v>
      </c>
      <c r="Y230" s="117" t="n">
        <v>1</v>
      </c>
      <c r="Z230" s="117" t="n">
        <v>0</v>
      </c>
      <c r="AA230" s="117" t="n">
        <v>1</v>
      </c>
      <c r="AB230" s="117" t="n">
        <v>4</v>
      </c>
      <c r="AC230" s="121" t="inlineStr">
        <is>
          <t>⚠⚠ SERIOUS CONCERN</t>
        </is>
      </c>
      <c r="AD230" s="118" t="n">
        <v>58746000</v>
      </c>
      <c r="AE230" s="118" t="n">
        <v>-48015000</v>
      </c>
      <c r="AF230" s="118" t="n">
        <v>-10847000</v>
      </c>
      <c r="AG230" s="118" t="n">
        <v>-0.042</v>
      </c>
      <c r="AH230" s="119" t="inlineStr">
        <is>
          <t>✓ Medium Quality</t>
        </is>
      </c>
      <c r="AI230" s="118" t="n">
        <v>0.246</v>
      </c>
      <c r="AJ230" s="120" t="n">
        <v>-0.021</v>
      </c>
      <c r="AK230" s="120" t="n">
        <v>-11.566</v>
      </c>
      <c r="AL230" s="120" t="n">
        <v>0.479</v>
      </c>
      <c r="AM230" s="120" t="n">
        <v>0.002</v>
      </c>
      <c r="AN230" s="117" t="n">
        <v>100</v>
      </c>
      <c r="AO230" s="119" t="inlineStr">
        <is>
          <t>✓ Good</t>
        </is>
      </c>
      <c r="AP230" s="117" t="n">
        <v>0</v>
      </c>
      <c r="AQ230" s="117" t="n">
        <v>1</v>
      </c>
      <c r="AR230" s="117" t="n">
        <v>0</v>
      </c>
      <c r="AS230" s="117" t="n">
        <v>0</v>
      </c>
      <c r="AT230" s="117" t="n">
        <v>0</v>
      </c>
      <c r="AU230" s="117" t="n">
        <v>0</v>
      </c>
      <c r="AV230" s="117" t="n">
        <v>1</v>
      </c>
      <c r="AW230" s="119" t="inlineStr">
        <is>
          <t>✓ Clean</t>
        </is>
      </c>
      <c r="AX230" s="118" t="n">
        <v>51.3</v>
      </c>
      <c r="AY230" s="121" t="inlineStr">
        <is>
          <t>🟡 ELEVATED RISK</t>
        </is>
      </c>
      <c r="AZ230" s="118" t="n">
        <v>210.7</v>
      </c>
      <c r="BA230" s="118" t="n">
        <v>165.5</v>
      </c>
      <c r="BB230" s="118" t="n">
        <v>180.9</v>
      </c>
      <c r="BC230" s="118" t="n">
        <v>204.6</v>
      </c>
      <c r="BD230" s="118" t="n">
        <v>29</v>
      </c>
      <c r="BE230" s="118" t="n">
        <v>35.5</v>
      </c>
      <c r="BF230" s="120" t="n">
        <v>0.006</v>
      </c>
      <c r="BG230" s="117" t="n">
        <v>0.819</v>
      </c>
      <c r="BH230" s="122" t="n">
        <v>6</v>
      </c>
      <c r="BI230" s="123" t="n">
        <v>1</v>
      </c>
    </row>
    <row r="231" ht="17" customHeight="1">
      <c r="A231" s="117" t="inlineStr">
        <is>
          <t>WM</t>
        </is>
      </c>
      <c r="B231" s="117" t="inlineStr">
        <is>
          <t>Waste Management, Inc</t>
        </is>
      </c>
      <c r="C231" s="118" t="n">
        <v>0.265</v>
      </c>
      <c r="D231" s="118" t="n">
        <v>73.238</v>
      </c>
      <c r="E231" s="118" t="n">
        <v>0.979</v>
      </c>
      <c r="F231" s="118" t="n">
        <v>3.966</v>
      </c>
      <c r="G231" s="118" t="n">
        <v>0.878</v>
      </c>
      <c r="H231" s="118" t="n">
        <v>0.303</v>
      </c>
      <c r="I231" s="118" t="n">
        <v>0.96</v>
      </c>
      <c r="J231" s="118" t="n">
        <v>-0.073</v>
      </c>
      <c r="K231" s="118" t="n">
        <v>37.401</v>
      </c>
      <c r="L231" s="121" t="inlineStr">
        <is>
          <t>⚠ MANIPULATOR RISK</t>
        </is>
      </c>
      <c r="M231" s="120" t="n">
        <v>-0.039</v>
      </c>
      <c r="N231" s="120" t="n">
        <v>0.015</v>
      </c>
      <c r="O231" s="124" t="inlineStr">
        <is>
          <t>N/A</t>
        </is>
      </c>
      <c r="P231" s="120" t="n">
        <v>0.714</v>
      </c>
      <c r="Q231" s="120" t="n">
        <v>-0.003</v>
      </c>
      <c r="R231" s="117" t="n">
        <v>1</v>
      </c>
      <c r="S231" s="118" t="n">
        <v>-3.397</v>
      </c>
      <c r="T231" s="118" t="n">
        <v>0.032</v>
      </c>
      <c r="U231" s="119" t="inlineStr">
        <is>
          <t>✓ Normal</t>
        </is>
      </c>
      <c r="V231" s="117" t="n">
        <v>1</v>
      </c>
      <c r="W231" s="117" t="n">
        <v>0</v>
      </c>
      <c r="X231" s="117" t="n">
        <v>0</v>
      </c>
      <c r="Y231" s="117" t="n">
        <v>1</v>
      </c>
      <c r="Z231" s="117" t="n">
        <v>0</v>
      </c>
      <c r="AA231" s="117" t="n">
        <v>0</v>
      </c>
      <c r="AB231" s="117" t="n">
        <v>2</v>
      </c>
      <c r="AC231" s="121" t="inlineStr">
        <is>
          <t>⚠ WATCH</t>
        </is>
      </c>
      <c r="AD231" s="118" t="n">
        <v>6043000000</v>
      </c>
      <c r="AE231" s="118" t="n">
        <v>-3566000000</v>
      </c>
      <c r="AF231" s="118" t="n">
        <v>2708000000</v>
      </c>
      <c r="AG231" s="118" t="n">
        <v>0.005</v>
      </c>
      <c r="AH231" s="119" t="inlineStr">
        <is>
          <t>✓ Medium Quality</t>
        </is>
      </c>
      <c r="AI231" s="118" t="n">
        <v>0.05</v>
      </c>
      <c r="AJ231" s="120" t="n">
        <v>2.966</v>
      </c>
      <c r="AK231" s="120" t="n">
        <v>0.017</v>
      </c>
      <c r="AL231" s="120" t="n">
        <v>0.417</v>
      </c>
      <c r="AM231" s="120" t="n">
        <v>0.001</v>
      </c>
      <c r="AN231" s="117" t="n">
        <v>100</v>
      </c>
      <c r="AO231" s="119" t="inlineStr">
        <is>
          <t>✓ Good</t>
        </is>
      </c>
      <c r="AP231" s="117" t="n">
        <v>0</v>
      </c>
      <c r="AQ231" s="117" t="n">
        <v>0</v>
      </c>
      <c r="AR231" s="117" t="n">
        <v>0</v>
      </c>
      <c r="AS231" s="117" t="n">
        <v>0</v>
      </c>
      <c r="AT231" s="117" t="n">
        <v>0</v>
      </c>
      <c r="AU231" s="117" t="n">
        <v>0</v>
      </c>
      <c r="AV231" s="117" t="n">
        <v>0</v>
      </c>
      <c r="AW231" s="119" t="inlineStr">
        <is>
          <t>✓ Clean</t>
        </is>
      </c>
      <c r="AX231" s="118" t="n">
        <v>41.6</v>
      </c>
      <c r="AY231" s="121" t="inlineStr">
        <is>
          <t>🟡 ELEVATED RISK</t>
        </is>
      </c>
      <c r="AZ231" s="118" t="n">
        <v>86.59999999999999</v>
      </c>
      <c r="BA231" s="118" t="n">
        <v>327</v>
      </c>
      <c r="BB231" s="124" t="inlineStr">
        <is>
          <t>N/A</t>
        </is>
      </c>
      <c r="BC231" s="124" t="inlineStr">
        <is>
          <t>N/A</t>
        </is>
      </c>
      <c r="BD231" s="118" t="n">
        <v>45.4</v>
      </c>
      <c r="BE231" s="118" t="n">
        <v>55.8</v>
      </c>
      <c r="BF231" s="120" t="n">
        <v>0.209</v>
      </c>
      <c r="BG231" s="117" t="n">
        <v>0.714</v>
      </c>
      <c r="BH231" s="122" t="n">
        <v>3</v>
      </c>
      <c r="BI231" s="123" t="n">
        <v>1</v>
      </c>
    </row>
    <row r="232" ht="17" customHeight="1">
      <c r="A232" s="117" t="inlineStr">
        <is>
          <t>CNC</t>
        </is>
      </c>
      <c r="B232" s="117" t="inlineStr">
        <is>
          <t>CENTENE CORPORATION</t>
        </is>
      </c>
      <c r="C232" s="124" t="inlineStr">
        <is>
          <t>N/A</t>
        </is>
      </c>
      <c r="D232" s="118" t="n">
        <v>1.435</v>
      </c>
      <c r="E232" s="118" t="n">
        <v>0.87</v>
      </c>
      <c r="F232" s="118" t="n">
        <v>1.194</v>
      </c>
      <c r="G232" s="118" t="n">
        <v>0.975</v>
      </c>
      <c r="H232" s="118" t="n">
        <v>0.871</v>
      </c>
      <c r="I232" s="118" t="n">
        <v>1.089</v>
      </c>
      <c r="J232" s="118" t="n">
        <v>-0.153</v>
      </c>
      <c r="K232" s="124" t="inlineStr">
        <is>
          <t>N/A</t>
        </is>
      </c>
      <c r="L232" s="124" t="inlineStr">
        <is>
          <t>N/A</t>
        </is>
      </c>
      <c r="M232" s="120" t="n">
        <v>-0.067</v>
      </c>
      <c r="N232" s="124" t="inlineStr">
        <is>
          <t>N/A</t>
        </is>
      </c>
      <c r="O232" s="124" t="inlineStr">
        <is>
          <t>N/A</t>
        </is>
      </c>
      <c r="P232" s="120" t="n">
        <v>0.74</v>
      </c>
      <c r="Q232" s="120" t="n">
        <v>-0.127</v>
      </c>
      <c r="R232" s="117" t="n">
        <v>0</v>
      </c>
      <c r="S232" s="124" t="inlineStr">
        <is>
          <t>N/A</t>
        </is>
      </c>
      <c r="T232" s="124" t="inlineStr">
        <is>
          <t>N/A</t>
        </is>
      </c>
      <c r="U232" s="124" t="inlineStr">
        <is>
          <t>N/A</t>
        </is>
      </c>
      <c r="V232" s="117" t="n">
        <v>0</v>
      </c>
      <c r="W232" s="117" t="n">
        <v>0</v>
      </c>
      <c r="X232" s="117" t="n">
        <v>0</v>
      </c>
      <c r="Y232" s="117" t="n">
        <v>1</v>
      </c>
      <c r="Z232" s="117" t="n">
        <v>0</v>
      </c>
      <c r="AA232" s="117" t="n">
        <v>0</v>
      </c>
      <c r="AB232" s="117" t="n">
        <v>1</v>
      </c>
      <c r="AC232" s="119" t="inlineStr">
        <is>
          <t>✓ Clean</t>
        </is>
      </c>
      <c r="AD232" s="118" t="n">
        <v>5088000000</v>
      </c>
      <c r="AE232" s="118" t="n">
        <v>472000000</v>
      </c>
      <c r="AF232" s="118" t="n">
        <v>-6674000000</v>
      </c>
      <c r="AG232" s="118" t="n">
        <v>-0.154</v>
      </c>
      <c r="AH232" s="119" t="inlineStr">
        <is>
          <t>✓ High Quality</t>
        </is>
      </c>
      <c r="AI232" s="124" t="inlineStr">
        <is>
          <t>N/A</t>
        </is>
      </c>
      <c r="AJ232" s="120" t="n">
        <v>0.194</v>
      </c>
      <c r="AK232" s="124" t="inlineStr">
        <is>
          <t>N/A</t>
        </is>
      </c>
      <c r="AL232" s="120" t="n">
        <v>0.026</v>
      </c>
      <c r="AM232" s="120" t="n">
        <v>0</v>
      </c>
      <c r="AN232" s="118" t="n">
        <v>75.2</v>
      </c>
      <c r="AO232" s="119" t="inlineStr">
        <is>
          <t>✓ Good</t>
        </is>
      </c>
      <c r="AP232" s="117" t="n">
        <v>0</v>
      </c>
      <c r="AQ232" s="117" t="n">
        <v>0</v>
      </c>
      <c r="AR232" s="117" t="n">
        <v>1</v>
      </c>
      <c r="AS232" s="117" t="n">
        <v>0</v>
      </c>
      <c r="AT232" s="117" t="n">
        <v>0</v>
      </c>
      <c r="AU232" s="117" t="n">
        <v>1</v>
      </c>
      <c r="AV232" s="117" t="n">
        <v>2</v>
      </c>
      <c r="AW232" s="121" t="inlineStr">
        <is>
          <t>⚠ WATCH</t>
        </is>
      </c>
      <c r="AX232" s="118" t="n">
        <v>31.3</v>
      </c>
      <c r="AY232" s="119" t="inlineStr">
        <is>
          <t>🟢 LOW RISK</t>
        </is>
      </c>
      <c r="AZ232" s="118" t="n">
        <v>0</v>
      </c>
      <c r="BA232" s="124" t="inlineStr">
        <is>
          <t>N/A</t>
        </is>
      </c>
      <c r="BB232" s="124" t="inlineStr">
        <is>
          <t>N/A</t>
        </is>
      </c>
      <c r="BC232" s="124" t="inlineStr">
        <is>
          <t>N/A</t>
        </is>
      </c>
      <c r="BD232" s="118" t="n">
        <v>1883</v>
      </c>
      <c r="BE232" s="118" t="n">
        <v>1762</v>
      </c>
      <c r="BF232" s="120" t="n">
        <v>0.008</v>
      </c>
      <c r="BG232" s="117" t="n">
        <v>0.74</v>
      </c>
      <c r="BH232" s="122" t="n">
        <v>3</v>
      </c>
      <c r="BI232" s="125" t="n">
        <v>0.6666666666666666</v>
      </c>
    </row>
    <row r="233" ht="17" customHeight="1">
      <c r="A233" s="117" t="inlineStr">
        <is>
          <t>COP</t>
        </is>
      </c>
      <c r="B233" s="117" t="inlineStr">
        <is>
          <t>CONOCOPHILLIPS</t>
        </is>
      </c>
      <c r="C233" s="118" t="n">
        <v>0.777</v>
      </c>
      <c r="D233" s="118" t="n">
        <v>1.021</v>
      </c>
      <c r="E233" s="118" t="n">
        <v>0.621</v>
      </c>
      <c r="F233" s="118" t="n">
        <v>1.077</v>
      </c>
      <c r="G233" s="118" t="n">
        <v>1.289</v>
      </c>
      <c r="H233" s="118" t="n">
        <v>0.716</v>
      </c>
      <c r="I233" s="118" t="n">
        <v>0.998</v>
      </c>
      <c r="J233" s="118" t="n">
        <v>-0.097</v>
      </c>
      <c r="K233" s="118" t="n">
        <v>-3.129</v>
      </c>
      <c r="L233" s="119" t="inlineStr">
        <is>
          <t>✓ Lower Risk</t>
        </is>
      </c>
      <c r="M233" s="120" t="n">
        <v>-0.101</v>
      </c>
      <c r="N233" s="120" t="n">
        <v>-0.159</v>
      </c>
      <c r="O233" s="120" t="n">
        <v>0.015</v>
      </c>
      <c r="P233" s="120" t="n">
        <v>0.414</v>
      </c>
      <c r="Q233" s="120" t="n">
        <v>-0.01</v>
      </c>
      <c r="R233" s="117" t="n">
        <v>1</v>
      </c>
      <c r="S233" s="118" t="n">
        <v>-4.456</v>
      </c>
      <c r="T233" s="118" t="n">
        <v>0.011</v>
      </c>
      <c r="U233" s="119" t="inlineStr">
        <is>
          <t>✓ Normal</t>
        </is>
      </c>
      <c r="V233" s="117" t="n">
        <v>0</v>
      </c>
      <c r="W233" s="117" t="n">
        <v>0</v>
      </c>
      <c r="X233" s="117" t="n">
        <v>0</v>
      </c>
      <c r="Y233" s="117" t="n">
        <v>1</v>
      </c>
      <c r="Z233" s="117" t="n">
        <v>0</v>
      </c>
      <c r="AA233" s="117" t="n">
        <v>0</v>
      </c>
      <c r="AB233" s="117" t="n">
        <v>1</v>
      </c>
      <c r="AC233" s="119" t="inlineStr">
        <is>
          <t>✓ Clean</t>
        </is>
      </c>
      <c r="AD233" s="118" t="n">
        <v>19796000000</v>
      </c>
      <c r="AE233" s="118" t="n">
        <v>-8836000000</v>
      </c>
      <c r="AF233" s="118" t="n">
        <v>7988000000</v>
      </c>
      <c r="AG233" s="118" t="n">
        <v>-0.024</v>
      </c>
      <c r="AH233" s="119" t="inlineStr">
        <is>
          <t>✓ Medium Quality</t>
        </is>
      </c>
      <c r="AI233" s="118" t="n">
        <v>-0.164</v>
      </c>
      <c r="AJ233" s="120" t="n">
        <v>0.077</v>
      </c>
      <c r="AK233" s="120" t="n">
        <v>-2.135</v>
      </c>
      <c r="AL233" s="120" t="n">
        <v>0.336</v>
      </c>
      <c r="AM233" s="120" t="n">
        <v>-0</v>
      </c>
      <c r="AN233" s="117" t="n">
        <v>100</v>
      </c>
      <c r="AO233" s="119" t="inlineStr">
        <is>
          <t>✓ Good</t>
        </is>
      </c>
      <c r="AP233" s="117" t="n">
        <v>0</v>
      </c>
      <c r="AQ233" s="117" t="n">
        <v>0</v>
      </c>
      <c r="AR233" s="117" t="n">
        <v>1</v>
      </c>
      <c r="AS233" s="117" t="n">
        <v>0</v>
      </c>
      <c r="AT233" s="117" t="n">
        <v>1</v>
      </c>
      <c r="AU233" s="117" t="n">
        <v>0</v>
      </c>
      <c r="AV233" s="117" t="n">
        <v>2</v>
      </c>
      <c r="AW233" s="121" t="inlineStr">
        <is>
          <t>⚠ WATCH</t>
        </is>
      </c>
      <c r="AX233" s="118" t="n">
        <v>12.3</v>
      </c>
      <c r="AY233" s="119" t="inlineStr">
        <is>
          <t>🟢 VERY LOW RISK</t>
        </is>
      </c>
      <c r="AZ233" s="118" t="n">
        <v>21.1</v>
      </c>
      <c r="BA233" s="118" t="n">
        <v>27.1</v>
      </c>
      <c r="BB233" s="118" t="n">
        <v>30.6</v>
      </c>
      <c r="BC233" s="118" t="n">
        <v>33</v>
      </c>
      <c r="BD233" s="118" t="n">
        <v>101.7</v>
      </c>
      <c r="BE233" s="118" t="n">
        <v>110.2</v>
      </c>
      <c r="BF233" s="120" t="n">
        <v>0.369</v>
      </c>
      <c r="BG233" s="117" t="n">
        <v>0.414</v>
      </c>
      <c r="BH233" s="122" t="n">
        <v>4</v>
      </c>
      <c r="BI233" s="123" t="n">
        <v>1</v>
      </c>
    </row>
    <row r="234" ht="17" customHeight="1">
      <c r="A234" s="117" t="inlineStr">
        <is>
          <t>FANG</t>
        </is>
      </c>
      <c r="B234" s="117" t="inlineStr">
        <is>
          <t>Diamondback Energy, Inc.</t>
        </is>
      </c>
      <c r="C234" s="118" t="n">
        <v>0.599</v>
      </c>
      <c r="D234" s="118" t="n">
        <v>1.058</v>
      </c>
      <c r="E234" s="118" t="n">
        <v>0.698</v>
      </c>
      <c r="F234" s="118" t="n">
        <v>1.358</v>
      </c>
      <c r="G234" s="118" t="n">
        <v>0.619</v>
      </c>
      <c r="H234" s="118" t="n">
        <v>0.996</v>
      </c>
      <c r="I234" s="118" t="n">
        <v>0.97</v>
      </c>
      <c r="J234" s="118" t="n">
        <v>-0.1</v>
      </c>
      <c r="K234" s="118" t="n">
        <v>-3.122</v>
      </c>
      <c r="L234" s="119" t="inlineStr">
        <is>
          <t>✓ Lower Risk</t>
        </is>
      </c>
      <c r="M234" s="120" t="n">
        <v>-0.07000000000000001</v>
      </c>
      <c r="N234" s="120" t="n">
        <v>-0.065</v>
      </c>
      <c r="O234" s="120" t="n">
        <v>-0.008</v>
      </c>
      <c r="P234" s="120" t="n">
        <v>0.033</v>
      </c>
      <c r="Q234" s="120" t="n">
        <v>-0.026</v>
      </c>
      <c r="R234" s="117" t="n">
        <v>0</v>
      </c>
      <c r="S234" s="118" t="n">
        <v>-8.045</v>
      </c>
      <c r="T234" s="118" t="n">
        <v>0</v>
      </c>
      <c r="U234" s="119" t="inlineStr">
        <is>
          <t>✓ Normal</t>
        </is>
      </c>
      <c r="V234" s="117" t="n">
        <v>0</v>
      </c>
      <c r="W234" s="117" t="n">
        <v>0</v>
      </c>
      <c r="X234" s="117" t="n">
        <v>0</v>
      </c>
      <c r="Y234" s="117" t="n">
        <v>0</v>
      </c>
      <c r="Z234" s="117" t="n">
        <v>0</v>
      </c>
      <c r="AA234" s="117" t="n">
        <v>0</v>
      </c>
      <c r="AB234" s="117" t="n">
        <v>0</v>
      </c>
      <c r="AC234" s="119" t="inlineStr">
        <is>
          <t>✓ Clean</t>
        </is>
      </c>
      <c r="AD234" s="118" t="n">
        <v>8758000000</v>
      </c>
      <c r="AE234" s="118" t="n">
        <v>-7809000000</v>
      </c>
      <c r="AF234" s="118" t="n">
        <v>1664000000</v>
      </c>
      <c r="AG234" s="118" t="n">
        <v>0.01</v>
      </c>
      <c r="AH234" s="119" t="inlineStr">
        <is>
          <t>✓ Medium Quality</t>
        </is>
      </c>
      <c r="AI234" s="118" t="n">
        <v>-0.187</v>
      </c>
      <c r="AJ234" s="120" t="n">
        <v>0.358</v>
      </c>
      <c r="AK234" s="120" t="n">
        <v>-0.522</v>
      </c>
      <c r="AL234" s="120" t="n">
        <v>0.583</v>
      </c>
      <c r="AM234" s="120" t="n">
        <v>-0.003</v>
      </c>
      <c r="AN234" s="118" t="n">
        <v>99.90000000000001</v>
      </c>
      <c r="AO234" s="119" t="inlineStr">
        <is>
          <t>✓ Good</t>
        </is>
      </c>
      <c r="AP234" s="117" t="n">
        <v>0</v>
      </c>
      <c r="AQ234" s="117" t="n">
        <v>0</v>
      </c>
      <c r="AR234" s="117" t="n">
        <v>1</v>
      </c>
      <c r="AS234" s="117" t="n">
        <v>0</v>
      </c>
      <c r="AT234" s="117" t="n">
        <v>0</v>
      </c>
      <c r="AU234" s="117" t="n">
        <v>1</v>
      </c>
      <c r="AV234" s="117" t="n">
        <v>2</v>
      </c>
      <c r="AW234" s="121" t="inlineStr">
        <is>
          <t>⚠ WATCH</t>
        </is>
      </c>
      <c r="AX234" s="118" t="n">
        <v>7.1</v>
      </c>
      <c r="AY234" s="119" t="inlineStr">
        <is>
          <t>🟢 VERY LOW RISK</t>
        </is>
      </c>
      <c r="AZ234" s="118" t="n">
        <v>27.4</v>
      </c>
      <c r="BA234" s="118" t="n">
        <v>45.7</v>
      </c>
      <c r="BB234" s="118" t="n">
        <v>26.4</v>
      </c>
      <c r="BC234" s="118" t="n">
        <v>149.6</v>
      </c>
      <c r="BD234" s="118" t="n">
        <v>424.3</v>
      </c>
      <c r="BE234" s="124" t="inlineStr">
        <is>
          <t>N/A</t>
        </is>
      </c>
      <c r="BF234" s="120" t="n">
        <v>0.174</v>
      </c>
      <c r="BG234" s="117" t="n">
        <v>0.033</v>
      </c>
      <c r="BH234" s="122" t="n">
        <v>2</v>
      </c>
      <c r="BI234" s="123" t="n">
        <v>1</v>
      </c>
    </row>
    <row r="235" ht="17" customHeight="1">
      <c r="A235" s="117" t="inlineStr">
        <is>
          <t>LEN</t>
        </is>
      </c>
      <c r="B235" s="117" t="inlineStr">
        <is>
          <t>LENNAR CORP /NEW/</t>
        </is>
      </c>
      <c r="C235" s="118" t="n">
        <v>0.923</v>
      </c>
      <c r="D235" s="118" t="n">
        <v>0.774</v>
      </c>
      <c r="E235" s="118" t="n">
        <v>0.994</v>
      </c>
      <c r="F235" s="118" t="n">
        <v>0.965</v>
      </c>
      <c r="G235" s="118" t="n">
        <v>0.982</v>
      </c>
      <c r="H235" s="118" t="n">
        <v>1.119</v>
      </c>
      <c r="I235" s="118" t="n">
        <v>1.109</v>
      </c>
      <c r="J235" s="118" t="n">
        <v>0.054</v>
      </c>
      <c r="K235" s="118" t="n">
        <v>-2.51</v>
      </c>
      <c r="L235" s="119" t="inlineStr">
        <is>
          <t>✓ Lower Risk</t>
        </is>
      </c>
      <c r="M235" s="124" t="inlineStr">
        <is>
          <t>N/A</t>
        </is>
      </c>
      <c r="N235" s="120" t="n">
        <v>-0.145</v>
      </c>
      <c r="O235" s="124" t="inlineStr">
        <is>
          <t>N/A</t>
        </is>
      </c>
      <c r="P235" s="120" t="n">
        <v>0.872</v>
      </c>
      <c r="Q235" s="120" t="n">
        <v>-0.035</v>
      </c>
      <c r="R235" s="117" t="n">
        <v>0</v>
      </c>
      <c r="S235" s="124" t="inlineStr">
        <is>
          <t>N/A</t>
        </is>
      </c>
      <c r="T235" s="124" t="inlineStr">
        <is>
          <t>N/A</t>
        </is>
      </c>
      <c r="U235" s="124" t="inlineStr">
        <is>
          <t>N/A</t>
        </is>
      </c>
      <c r="V235" s="117" t="n">
        <v>1</v>
      </c>
      <c r="W235" s="117" t="n">
        <v>0</v>
      </c>
      <c r="X235" s="117" t="n">
        <v>0</v>
      </c>
      <c r="Y235" s="117" t="n">
        <v>0</v>
      </c>
      <c r="Z235" s="117" t="n">
        <v>0</v>
      </c>
      <c r="AA235" s="117" t="n">
        <v>0</v>
      </c>
      <c r="AB235" s="117" t="n">
        <v>1</v>
      </c>
      <c r="AC235" s="119" t="inlineStr">
        <is>
          <t>✓ Clean</t>
        </is>
      </c>
      <c r="AD235" s="118" t="n">
        <v>216812000</v>
      </c>
      <c r="AE235" s="118" t="n">
        <v>221568000</v>
      </c>
      <c r="AF235" s="118" t="n">
        <v>2078179000</v>
      </c>
      <c r="AG235" s="118" t="n">
        <v>0.043</v>
      </c>
      <c r="AH235" s="119" t="inlineStr">
        <is>
          <t>✓ Medium Quality</t>
        </is>
      </c>
      <c r="AI235" s="118" t="n">
        <v>-0.11</v>
      </c>
      <c r="AJ235" s="120" t="n">
        <v>-0.035</v>
      </c>
      <c r="AK235" s="120" t="n">
        <v>3.106</v>
      </c>
      <c r="AL235" s="120" t="n">
        <v>0.006</v>
      </c>
      <c r="AM235" s="124" t="inlineStr">
        <is>
          <t>N/A</t>
        </is>
      </c>
      <c r="AN235" s="118" t="n">
        <v>41.3</v>
      </c>
      <c r="AO235" s="121" t="inlineStr">
        <is>
          <t>⚠ WATCH</t>
        </is>
      </c>
      <c r="AP235" s="117" t="n">
        <v>0</v>
      </c>
      <c r="AQ235" s="117" t="n">
        <v>1</v>
      </c>
      <c r="AR235" s="117" t="n">
        <v>0</v>
      </c>
      <c r="AS235" s="117" t="n">
        <v>1</v>
      </c>
      <c r="AT235" s="117" t="n">
        <v>0</v>
      </c>
      <c r="AU235" s="117" t="n">
        <v>0</v>
      </c>
      <c r="AV235" s="117" t="n">
        <v>2</v>
      </c>
      <c r="AW235" s="121" t="inlineStr">
        <is>
          <t>⚠ WATCH</t>
        </is>
      </c>
      <c r="AX235" s="118" t="n">
        <v>23.3</v>
      </c>
      <c r="AY235" s="119" t="inlineStr">
        <is>
          <t>🟢 LOW RISK</t>
        </is>
      </c>
      <c r="AZ235" s="118" t="n">
        <v>15.7</v>
      </c>
      <c r="BA235" s="118" t="n">
        <v>17</v>
      </c>
      <c r="BB235" s="124" t="inlineStr">
        <is>
          <t>N/A</t>
        </is>
      </c>
      <c r="BC235" s="124" t="inlineStr">
        <is>
          <t>N/A</t>
        </is>
      </c>
      <c r="BD235" s="124" t="inlineStr">
        <is>
          <t>N/A</t>
        </is>
      </c>
      <c r="BE235" s="124" t="inlineStr">
        <is>
          <t>N/A</t>
        </is>
      </c>
      <c r="BF235" s="120" t="n">
        <v>0.251</v>
      </c>
      <c r="BG235" s="117" t="n">
        <v>0.872</v>
      </c>
      <c r="BH235" s="122" t="n">
        <v>3</v>
      </c>
      <c r="BI235" s="123" t="n">
        <v>0.8333333333333334</v>
      </c>
    </row>
    <row r="236" ht="17" customHeight="1">
      <c r="A236" s="117" t="inlineStr">
        <is>
          <t>SPGI</t>
        </is>
      </c>
      <c r="B236" s="117" t="inlineStr">
        <is>
          <t>S&amp;P Global Inc.</t>
        </is>
      </c>
      <c r="C236" s="118" t="n">
        <v>0.315</v>
      </c>
      <c r="D236" s="118" t="n">
        <v>-7.051</v>
      </c>
      <c r="E236" s="118" t="n">
        <v>0.986</v>
      </c>
      <c r="F236" s="118" t="n">
        <v>3.816</v>
      </c>
      <c r="G236" s="118" t="n">
        <v>1.008</v>
      </c>
      <c r="H236" s="118" t="n">
        <v>0.28</v>
      </c>
      <c r="I236" s="118" t="n">
        <v>1.085</v>
      </c>
      <c r="J236" s="118" t="n">
        <v>-0.019</v>
      </c>
      <c r="K236" s="118" t="n">
        <v>-4.849</v>
      </c>
      <c r="L236" s="119" t="inlineStr">
        <is>
          <t>✓ Lower Risk</t>
        </is>
      </c>
      <c r="M236" s="120" t="n">
        <v>-0.027</v>
      </c>
      <c r="N236" s="120" t="n">
        <v>0.128</v>
      </c>
      <c r="O236" s="120" t="n">
        <v>-0.003</v>
      </c>
      <c r="P236" s="120" t="n">
        <v>0.967</v>
      </c>
      <c r="Q236" s="120" t="n">
        <v>0.008999999999999999</v>
      </c>
      <c r="R236" s="117" t="n">
        <v>0</v>
      </c>
      <c r="S236" s="118" t="n">
        <v>-5.685</v>
      </c>
      <c r="T236" s="118" t="n">
        <v>0.003</v>
      </c>
      <c r="U236" s="119" t="inlineStr">
        <is>
          <t>✓ Normal</t>
        </is>
      </c>
      <c r="V236" s="117" t="n">
        <v>1</v>
      </c>
      <c r="W236" s="117" t="n">
        <v>0</v>
      </c>
      <c r="X236" s="117" t="n">
        <v>0</v>
      </c>
      <c r="Y236" s="117" t="n">
        <v>1</v>
      </c>
      <c r="Z236" s="117" t="n">
        <v>1</v>
      </c>
      <c r="AA236" s="117" t="n">
        <v>0</v>
      </c>
      <c r="AB236" s="117" t="n">
        <v>3</v>
      </c>
      <c r="AC236" s="121" t="inlineStr">
        <is>
          <t>⚠ WATCH</t>
        </is>
      </c>
      <c r="AD236" s="118" t="n">
        <v>5651000000</v>
      </c>
      <c r="AE236" s="118" t="n">
        <v>-704000000</v>
      </c>
      <c r="AF236" s="118" t="n">
        <v>4471000000</v>
      </c>
      <c r="AG236" s="118" t="n">
        <v>-0.008</v>
      </c>
      <c r="AH236" s="119" t="inlineStr">
        <is>
          <t>✓ Medium Quality</t>
        </is>
      </c>
      <c r="AI236" s="118" t="n">
        <v>0.2</v>
      </c>
      <c r="AJ236" s="120" t="n">
        <v>2.816</v>
      </c>
      <c r="AK236" s="120" t="n">
        <v>0.07099999999999999</v>
      </c>
      <c r="AL236" s="120" t="n">
        <v>0.9320000000000001</v>
      </c>
      <c r="AM236" s="120" t="n">
        <v>0.017</v>
      </c>
      <c r="AN236" s="117" t="n">
        <v>100</v>
      </c>
      <c r="AO236" s="119" t="inlineStr">
        <is>
          <t>✓ Good</t>
        </is>
      </c>
      <c r="AP236" s="117" t="n">
        <v>0</v>
      </c>
      <c r="AQ236" s="117" t="n">
        <v>0</v>
      </c>
      <c r="AR236" s="117" t="n">
        <v>0</v>
      </c>
      <c r="AS236" s="117" t="n">
        <v>0</v>
      </c>
      <c r="AT236" s="117" t="n">
        <v>0</v>
      </c>
      <c r="AU236" s="117" t="n">
        <v>0</v>
      </c>
      <c r="AV236" s="117" t="n">
        <v>0</v>
      </c>
      <c r="AW236" s="119" t="inlineStr">
        <is>
          <t>✓ Clean</t>
        </is>
      </c>
      <c r="AX236" s="118" t="n">
        <v>10.7</v>
      </c>
      <c r="AY236" s="119" t="inlineStr">
        <is>
          <t>🟢 VERY LOW RISK</t>
        </is>
      </c>
      <c r="AZ236" s="118" t="n">
        <v>207.2</v>
      </c>
      <c r="BA236" s="118" t="n">
        <v>658.6</v>
      </c>
      <c r="BB236" s="118" t="n">
        <v>21</v>
      </c>
      <c r="BC236" s="118" t="n">
        <v>23</v>
      </c>
      <c r="BD236" s="118" t="n">
        <v>48.8</v>
      </c>
      <c r="BE236" s="118" t="n">
        <v>46.3</v>
      </c>
      <c r="BF236" s="120" t="n">
        <v>0.226</v>
      </c>
      <c r="BG236" s="117" t="n">
        <v>0.967</v>
      </c>
      <c r="BH236" s="122" t="n">
        <v>3</v>
      </c>
      <c r="BI236" s="123" t="n">
        <v>1</v>
      </c>
    </row>
    <row r="237" ht="17" customHeight="1">
      <c r="A237" s="117" t="inlineStr">
        <is>
          <t>KNX</t>
        </is>
      </c>
      <c r="B237" s="117" t="inlineStr">
        <is>
          <t>Knight-Swift Transportation Holdings Inc.</t>
        </is>
      </c>
      <c r="C237" s="118" t="n">
        <v>0.377</v>
      </c>
      <c r="D237" s="118" t="n">
        <v>0.405</v>
      </c>
      <c r="E237" s="118" t="n">
        <v>1.03</v>
      </c>
      <c r="F237" s="118" t="n">
        <v>1.008</v>
      </c>
      <c r="G237" s="118" t="n">
        <v>0.909</v>
      </c>
      <c r="H237" s="124" t="inlineStr">
        <is>
          <t>N/A</t>
        </is>
      </c>
      <c r="I237" s="118" t="n">
        <v>0.925</v>
      </c>
      <c r="J237" s="118" t="n">
        <v>-0.1</v>
      </c>
      <c r="K237" s="118" t="n">
        <v>-3.632</v>
      </c>
      <c r="L237" s="119" t="inlineStr">
        <is>
          <t>✓ Lower Risk</t>
        </is>
      </c>
      <c r="M237" s="120" t="n">
        <v>-0.046</v>
      </c>
      <c r="N237" s="120" t="n">
        <v>-8.359999999999999</v>
      </c>
      <c r="O237" s="124" t="inlineStr">
        <is>
          <t>N/A</t>
        </is>
      </c>
      <c r="P237" s="120" t="n">
        <v>0.587</v>
      </c>
      <c r="Q237" s="120" t="n">
        <v>-0.004</v>
      </c>
      <c r="R237" s="117" t="n">
        <v>1</v>
      </c>
      <c r="S237" s="118" t="n">
        <v>-24.744</v>
      </c>
      <c r="T237" s="118" t="n">
        <v>0</v>
      </c>
      <c r="U237" s="119" t="inlineStr">
        <is>
          <t>✓ Normal</t>
        </is>
      </c>
      <c r="V237" s="117" t="n">
        <v>0</v>
      </c>
      <c r="W237" s="117" t="n">
        <v>0</v>
      </c>
      <c r="X237" s="117" t="n">
        <v>0</v>
      </c>
      <c r="Y237" s="117" t="n">
        <v>1</v>
      </c>
      <c r="Z237" s="117" t="n">
        <v>0</v>
      </c>
      <c r="AA237" s="117" t="n">
        <v>0</v>
      </c>
      <c r="AB237" s="117" t="n">
        <v>1</v>
      </c>
      <c r="AC237" s="119" t="inlineStr">
        <is>
          <t>✓ Clean</t>
        </is>
      </c>
      <c r="AD237" s="118" t="n">
        <v>1266647000</v>
      </c>
      <c r="AE237" s="118" t="n">
        <v>-520394000</v>
      </c>
      <c r="AF237" s="118" t="n">
        <v>65946000</v>
      </c>
      <c r="AG237" s="118" t="n">
        <v>-0.055</v>
      </c>
      <c r="AH237" s="119" t="inlineStr">
        <is>
          <t>✓ Medium Quality</t>
        </is>
      </c>
      <c r="AI237" s="118" t="n">
        <v>-0.62</v>
      </c>
      <c r="AJ237" s="120" t="n">
        <v>0.008</v>
      </c>
      <c r="AK237" s="120" t="n">
        <v>-77.083</v>
      </c>
      <c r="AL237" s="120" t="n">
        <v>0.17</v>
      </c>
      <c r="AM237" s="120" t="n">
        <v>0</v>
      </c>
      <c r="AN237" s="117" t="n">
        <v>100</v>
      </c>
      <c r="AO237" s="119" t="inlineStr">
        <is>
          <t>✓ Good</t>
        </is>
      </c>
      <c r="AP237" s="117" t="n">
        <v>0</v>
      </c>
      <c r="AQ237" s="117" t="n">
        <v>0</v>
      </c>
      <c r="AR237" s="117" t="n">
        <v>0</v>
      </c>
      <c r="AS237" s="117" t="n">
        <v>0</v>
      </c>
      <c r="AT237" s="117" t="n">
        <v>0</v>
      </c>
      <c r="AU237" s="117" t="n">
        <v>0</v>
      </c>
      <c r="AV237" s="117" t="n">
        <v>0</v>
      </c>
      <c r="AW237" s="119" t="inlineStr">
        <is>
          <t>✓ Clean</t>
        </is>
      </c>
      <c r="AX237" s="118" t="n">
        <v>8.1</v>
      </c>
      <c r="AY237" s="119" t="inlineStr">
        <is>
          <t>🟢 VERY LOW RISK</t>
        </is>
      </c>
      <c r="AZ237" s="118" t="n">
        <v>14.9</v>
      </c>
      <c r="BA237" s="118" t="n">
        <v>39.6</v>
      </c>
      <c r="BB237" s="124" t="inlineStr">
        <is>
          <t>N/A</t>
        </is>
      </c>
      <c r="BC237" s="124" t="inlineStr">
        <is>
          <t>N/A</t>
        </is>
      </c>
      <c r="BD237" s="118" t="n">
        <v>5959.7</v>
      </c>
      <c r="BE237" s="118" t="n">
        <v>27.2</v>
      </c>
      <c r="BF237" s="120" t="n">
        <v>0.312</v>
      </c>
      <c r="BG237" s="117" t="n">
        <v>0.587</v>
      </c>
      <c r="BH237" s="122" t="n">
        <v>2</v>
      </c>
      <c r="BI237" s="123" t="n">
        <v>1</v>
      </c>
    </row>
    <row r="238" ht="17" customHeight="1">
      <c r="A238" s="117" t="inlineStr">
        <is>
          <t>BA</t>
        </is>
      </c>
      <c r="B238" s="117" t="inlineStr">
        <is>
          <t>THE BOEING COMPANY</t>
        </is>
      </c>
      <c r="C238" s="118" t="n">
        <v>0.825</v>
      </c>
      <c r="D238" s="118" t="n">
        <v>-0.624</v>
      </c>
      <c r="E238" s="118" t="n">
        <v>1.339</v>
      </c>
      <c r="F238" s="118" t="n">
        <v>1.345</v>
      </c>
      <c r="G238" s="118" t="n">
        <v>1.214</v>
      </c>
      <c r="H238" s="118" t="n">
        <v>0.902</v>
      </c>
      <c r="I238" s="118" t="n">
        <v>0.944</v>
      </c>
      <c r="J238" s="118" t="n">
        <v>0.007</v>
      </c>
      <c r="K238" s="118" t="n">
        <v>-2.961</v>
      </c>
      <c r="L238" s="119" t="inlineStr">
        <is>
          <t>✓ Lower Risk</t>
        </is>
      </c>
      <c r="M238" s="120" t="n">
        <v>-0.057</v>
      </c>
      <c r="N238" s="120" t="n">
        <v>0.013</v>
      </c>
      <c r="O238" s="124" t="inlineStr">
        <is>
          <t>N/A</t>
        </is>
      </c>
      <c r="P238" s="120" t="n">
        <v>0.844</v>
      </c>
      <c r="Q238" s="120" t="n">
        <v>0.089</v>
      </c>
      <c r="R238" s="117" t="n">
        <v>0</v>
      </c>
      <c r="S238" s="118" t="n">
        <v>-6.275</v>
      </c>
      <c r="T238" s="118" t="n">
        <v>0.002</v>
      </c>
      <c r="U238" s="119" t="inlineStr">
        <is>
          <t>✓ Normal</t>
        </is>
      </c>
      <c r="V238" s="117" t="n">
        <v>1</v>
      </c>
      <c r="W238" s="117" t="n">
        <v>0</v>
      </c>
      <c r="X238" s="117" t="n">
        <v>0</v>
      </c>
      <c r="Y238" s="117" t="n">
        <v>1</v>
      </c>
      <c r="Z238" s="117" t="n">
        <v>0</v>
      </c>
      <c r="AA238" s="117" t="n">
        <v>0</v>
      </c>
      <c r="AB238" s="117" t="n">
        <v>2</v>
      </c>
      <c r="AC238" s="121" t="inlineStr">
        <is>
          <t>⚠ WATCH</t>
        </is>
      </c>
      <c r="AD238" s="118" t="n">
        <v>1065000000</v>
      </c>
      <c r="AE238" s="118" t="n">
        <v>499000000</v>
      </c>
      <c r="AF238" s="118" t="n">
        <v>2235000000</v>
      </c>
      <c r="AG238" s="118" t="n">
        <v>0.004</v>
      </c>
      <c r="AH238" s="119" t="inlineStr">
        <is>
          <t>✓ Medium Quality</t>
        </is>
      </c>
      <c r="AI238" s="118" t="n">
        <v>0.11</v>
      </c>
      <c r="AJ238" s="120" t="n">
        <v>0.345</v>
      </c>
      <c r="AK238" s="120" t="n">
        <v>0.32</v>
      </c>
      <c r="AL238" s="120" t="n">
        <v>0.012</v>
      </c>
      <c r="AM238" s="120" t="n">
        <v>-0.01</v>
      </c>
      <c r="AN238" s="118" t="n">
        <v>71.90000000000001</v>
      </c>
      <c r="AO238" s="119" t="inlineStr">
        <is>
          <t>✓ Good</t>
        </is>
      </c>
      <c r="AP238" s="117" t="n">
        <v>0</v>
      </c>
      <c r="AQ238" s="117" t="n">
        <v>0</v>
      </c>
      <c r="AR238" s="117" t="n">
        <v>0</v>
      </c>
      <c r="AS238" s="117" t="n">
        <v>0</v>
      </c>
      <c r="AT238" s="117" t="n">
        <v>1</v>
      </c>
      <c r="AU238" s="117" t="n">
        <v>0</v>
      </c>
      <c r="AV238" s="117" t="n">
        <v>1</v>
      </c>
      <c r="AW238" s="119" t="inlineStr">
        <is>
          <t>✓ Clean</t>
        </is>
      </c>
      <c r="AX238" s="118" t="n">
        <v>14.9</v>
      </c>
      <c r="AY238" s="119" t="inlineStr">
        <is>
          <t>🟢 VERY LOW RISK</t>
        </is>
      </c>
      <c r="AZ238" s="118" t="n">
        <v>11.9</v>
      </c>
      <c r="BA238" s="118" t="n">
        <v>14.4</v>
      </c>
      <c r="BB238" s="118" t="n">
        <v>310.4</v>
      </c>
      <c r="BC238" s="124" t="inlineStr">
        <is>
          <t>N/A</t>
        </is>
      </c>
      <c r="BD238" s="118" t="n">
        <v>56.2</v>
      </c>
      <c r="BE238" s="118" t="n">
        <v>60.5</v>
      </c>
      <c r="BF238" s="120" t="n">
        <v>0.151</v>
      </c>
      <c r="BG238" s="117" t="n">
        <v>0.844</v>
      </c>
      <c r="BH238" s="122" t="n">
        <v>3</v>
      </c>
      <c r="BI238" s="123" t="n">
        <v>1</v>
      </c>
    </row>
    <row r="239" ht="17" customHeight="1">
      <c r="A239" s="117" t="inlineStr">
        <is>
          <t>RRX</t>
        </is>
      </c>
      <c r="B239" s="117" t="inlineStr">
        <is>
          <t>REGAL REXNORD CORP</t>
        </is>
      </c>
      <c r="C239" s="118" t="n">
        <v>0.591</v>
      </c>
      <c r="D239" s="118" t="n">
        <v>1.039</v>
      </c>
      <c r="E239" s="118" t="n">
        <v>1.002</v>
      </c>
      <c r="F239" s="118" t="n">
        <v>1.052</v>
      </c>
      <c r="G239" s="118" t="n">
        <v>0.758</v>
      </c>
      <c r="H239" s="124" t="inlineStr">
        <is>
          <t>N/A</t>
        </is>
      </c>
      <c r="I239" s="118" t="n">
        <v>1</v>
      </c>
      <c r="J239" s="118" t="n">
        <v>-0.051</v>
      </c>
      <c r="K239" s="118" t="n">
        <v>-2.883</v>
      </c>
      <c r="L239" s="119" t="inlineStr">
        <is>
          <t>✓ Lower Risk</t>
        </is>
      </c>
      <c r="M239" s="120" t="n">
        <v>-0.023</v>
      </c>
      <c r="N239" s="120" t="n">
        <v>-1.974</v>
      </c>
      <c r="O239" s="120" t="n">
        <v>0.584</v>
      </c>
      <c r="P239" s="120" t="n">
        <v>0.919</v>
      </c>
      <c r="Q239" s="120" t="n">
        <v>0.006</v>
      </c>
      <c r="R239" s="117" t="n">
        <v>1</v>
      </c>
      <c r="S239" s="118" t="n">
        <v>-7.296</v>
      </c>
      <c r="T239" s="118" t="n">
        <v>0.001</v>
      </c>
      <c r="U239" s="119" t="inlineStr">
        <is>
          <t>✓ Normal</t>
        </is>
      </c>
      <c r="V239" s="117" t="n">
        <v>0</v>
      </c>
      <c r="W239" s="117" t="n">
        <v>0</v>
      </c>
      <c r="X239" s="117" t="n">
        <v>1</v>
      </c>
      <c r="Y239" s="117" t="n">
        <v>0</v>
      </c>
      <c r="Z239" s="117" t="n">
        <v>0</v>
      </c>
      <c r="AA239" s="117" t="n">
        <v>0</v>
      </c>
      <c r="AB239" s="117" t="n">
        <v>1</v>
      </c>
      <c r="AC239" s="119" t="inlineStr">
        <is>
          <t>✓ Clean</t>
        </is>
      </c>
      <c r="AD239" s="118" t="n">
        <v>990800000</v>
      </c>
      <c r="AE239" s="118" t="n">
        <v>-71000000</v>
      </c>
      <c r="AF239" s="118" t="n">
        <v>279500000</v>
      </c>
      <c r="AG239" s="118" t="n">
        <v>-0.046</v>
      </c>
      <c r="AH239" s="119" t="inlineStr">
        <is>
          <t>✓ Medium Quality</t>
        </is>
      </c>
      <c r="AI239" s="118" t="n">
        <v>-0.378</v>
      </c>
      <c r="AJ239" s="120" t="n">
        <v>0.052</v>
      </c>
      <c r="AK239" s="120" t="n">
        <v>-7.251</v>
      </c>
      <c r="AL239" s="120" t="n">
        <v>0.304</v>
      </c>
      <c r="AM239" s="120" t="n">
        <v>0.011</v>
      </c>
      <c r="AN239" s="117" t="n">
        <v>100</v>
      </c>
      <c r="AO239" s="119" t="inlineStr">
        <is>
          <t>✓ Good</t>
        </is>
      </c>
      <c r="AP239" s="117" t="n">
        <v>0</v>
      </c>
      <c r="AQ239" s="117" t="n">
        <v>0</v>
      </c>
      <c r="AR239" s="117" t="n">
        <v>1</v>
      </c>
      <c r="AS239" s="117" t="n">
        <v>0</v>
      </c>
      <c r="AT239" s="117" t="n">
        <v>1</v>
      </c>
      <c r="AU239" s="117" t="n">
        <v>0</v>
      </c>
      <c r="AV239" s="117" t="n">
        <v>2</v>
      </c>
      <c r="AW239" s="121" t="inlineStr">
        <is>
          <t>⚠ WATCH</t>
        </is>
      </c>
      <c r="AX239" s="118" t="n">
        <v>11.9</v>
      </c>
      <c r="AY239" s="119" t="inlineStr">
        <is>
          <t>🟢 VERY LOW RISK</t>
        </is>
      </c>
      <c r="AZ239" s="118" t="n">
        <v>58.7</v>
      </c>
      <c r="BA239" s="118" t="n">
        <v>99.40000000000001</v>
      </c>
      <c r="BB239" s="118" t="n">
        <v>129.8</v>
      </c>
      <c r="BC239" s="118" t="n">
        <v>116.6</v>
      </c>
      <c r="BD239" s="118" t="n">
        <v>59.6</v>
      </c>
      <c r="BE239" s="118" t="n">
        <v>51.6</v>
      </c>
      <c r="BF239" s="120" t="n">
        <v>0.203</v>
      </c>
      <c r="BG239" s="117" t="n">
        <v>0.919</v>
      </c>
      <c r="BH239" s="122" t="n">
        <v>4</v>
      </c>
      <c r="BI239" s="123" t="n">
        <v>1</v>
      </c>
    </row>
    <row r="240" ht="17" customHeight="1">
      <c r="A240" s="117" t="inlineStr">
        <is>
          <t>VST</t>
        </is>
      </c>
      <c r="B240" s="117" t="inlineStr">
        <is>
          <t>Vistra Corp.</t>
        </is>
      </c>
      <c r="C240" s="118" t="n">
        <v>1.138</v>
      </c>
      <c r="D240" s="124" t="inlineStr">
        <is>
          <t>N/A</t>
        </is>
      </c>
      <c r="E240" s="118" t="n">
        <v>0.992</v>
      </c>
      <c r="F240" s="118" t="n">
        <v>1.03</v>
      </c>
      <c r="G240" s="118" t="n">
        <v>1.012</v>
      </c>
      <c r="H240" s="118" t="n">
        <v>1.04</v>
      </c>
      <c r="I240" s="118" t="n">
        <v>1.029</v>
      </c>
      <c r="J240" s="118" t="n">
        <v>-0.075</v>
      </c>
      <c r="K240" s="124" t="inlineStr">
        <is>
          <t>N/A</t>
        </is>
      </c>
      <c r="L240" s="124" t="inlineStr">
        <is>
          <t>N/A</t>
        </is>
      </c>
      <c r="M240" s="120" t="n">
        <v>-0.094</v>
      </c>
      <c r="N240" s="120" t="n">
        <v>0.663</v>
      </c>
      <c r="O240" s="120" t="n">
        <v>0.447</v>
      </c>
      <c r="P240" s="120" t="n">
        <v>0.503</v>
      </c>
      <c r="Q240" s="120" t="n">
        <v>-0.048</v>
      </c>
      <c r="R240" s="117" t="n">
        <v>0</v>
      </c>
      <c r="S240" s="118" t="n">
        <v>-4.747</v>
      </c>
      <c r="T240" s="118" t="n">
        <v>0.008999999999999999</v>
      </c>
      <c r="U240" s="119" t="inlineStr">
        <is>
          <t>✓ Normal</t>
        </is>
      </c>
      <c r="V240" s="117" t="n">
        <v>0</v>
      </c>
      <c r="W240" s="117" t="n">
        <v>1</v>
      </c>
      <c r="X240" s="117" t="n">
        <v>1</v>
      </c>
      <c r="Y240" s="117" t="n">
        <v>0</v>
      </c>
      <c r="Z240" s="117" t="n">
        <v>1</v>
      </c>
      <c r="AA240" s="117" t="n">
        <v>1</v>
      </c>
      <c r="AB240" s="117" t="n">
        <v>4</v>
      </c>
      <c r="AC240" s="121" t="inlineStr">
        <is>
          <t>⚠⚠ SERIOUS CONCERN</t>
        </is>
      </c>
      <c r="AD240" s="118" t="n">
        <v>4070000000</v>
      </c>
      <c r="AE240" s="118" t="n">
        <v>-4396000000</v>
      </c>
      <c r="AF240" s="118" t="n">
        <v>944000000</v>
      </c>
      <c r="AG240" s="118" t="n">
        <v>0.032</v>
      </c>
      <c r="AH240" s="119" t="inlineStr">
        <is>
          <t>✓ Medium Quality</t>
        </is>
      </c>
      <c r="AI240" s="118" t="n">
        <v>0.172</v>
      </c>
      <c r="AJ240" s="120" t="n">
        <v>0.03</v>
      </c>
      <c r="AK240" s="120" t="n">
        <v>5.765</v>
      </c>
      <c r="AL240" s="120" t="n">
        <v>0.229</v>
      </c>
      <c r="AM240" s="124" t="inlineStr">
        <is>
          <t>N/A</t>
        </is>
      </c>
      <c r="AN240" s="117" t="n">
        <v>70</v>
      </c>
      <c r="AO240" s="119" t="inlineStr">
        <is>
          <t>✓ Good</t>
        </is>
      </c>
      <c r="AP240" s="117" t="n">
        <v>0</v>
      </c>
      <c r="AQ240" s="117" t="n">
        <v>0</v>
      </c>
      <c r="AR240" s="117" t="n">
        <v>0</v>
      </c>
      <c r="AS240" s="117" t="n">
        <v>1</v>
      </c>
      <c r="AT240" s="117" t="n">
        <v>0</v>
      </c>
      <c r="AU240" s="117" t="n">
        <v>1</v>
      </c>
      <c r="AV240" s="117" t="n">
        <v>2</v>
      </c>
      <c r="AW240" s="121" t="inlineStr">
        <is>
          <t>⚠ WATCH</t>
        </is>
      </c>
      <c r="AX240" s="118" t="n">
        <v>33</v>
      </c>
      <c r="AY240" s="119" t="inlineStr">
        <is>
          <t>🟢 LOW RISK</t>
        </is>
      </c>
      <c r="AZ240" s="118" t="n">
        <v>47.8</v>
      </c>
      <c r="BA240" s="118" t="n">
        <v>42</v>
      </c>
      <c r="BB240" s="124" t="inlineStr">
        <is>
          <t>N/A</t>
        </is>
      </c>
      <c r="BC240" s="124" t="inlineStr">
        <is>
          <t>N/A</t>
        </is>
      </c>
      <c r="BD240" s="124" t="inlineStr">
        <is>
          <t>N/A</t>
        </is>
      </c>
      <c r="BE240" s="124" t="inlineStr">
        <is>
          <t>N/A</t>
        </is>
      </c>
      <c r="BF240" s="120" t="n">
        <v>0.159</v>
      </c>
      <c r="BG240" s="117" t="n">
        <v>0.503</v>
      </c>
      <c r="BH240" s="122" t="n">
        <v>6</v>
      </c>
      <c r="BI240" s="123" t="n">
        <v>0.8333333333333334</v>
      </c>
    </row>
    <row r="241" ht="17" customHeight="1">
      <c r="A241" s="117" t="inlineStr">
        <is>
          <t>TT</t>
        </is>
      </c>
      <c r="B241" s="117" t="inlineStr">
        <is>
          <t>TRANE TECHNOLOGIES PLC</t>
        </is>
      </c>
      <c r="C241" s="118" t="n">
        <v>0.992</v>
      </c>
      <c r="D241" s="118" t="n">
        <v>0.439</v>
      </c>
      <c r="E241" s="118" t="n">
        <v>0.986</v>
      </c>
      <c r="F241" s="118" t="n">
        <v>1.056</v>
      </c>
      <c r="G241" s="118" t="n">
        <v>1.06</v>
      </c>
      <c r="H241" s="118" t="n">
        <v>0.99</v>
      </c>
      <c r="I241" s="118" t="n">
        <v>0.952</v>
      </c>
      <c r="J241" s="118" t="n">
        <v>-0.013</v>
      </c>
      <c r="K241" s="118" t="n">
        <v>-2.776</v>
      </c>
      <c r="L241" s="119" t="inlineStr">
        <is>
          <t>✓ Lower Risk</t>
        </is>
      </c>
      <c r="M241" s="120" t="n">
        <v>-0.014</v>
      </c>
      <c r="N241" s="120" t="n">
        <v>0.186</v>
      </c>
      <c r="O241" s="120" t="n">
        <v>0.169</v>
      </c>
      <c r="P241" s="120" t="n">
        <v>0.8129999999999999</v>
      </c>
      <c r="Q241" s="120" t="n">
        <v>0.008999999999999999</v>
      </c>
      <c r="R241" s="117" t="n">
        <v>0</v>
      </c>
      <c r="S241" s="118" t="n">
        <v>-5.631</v>
      </c>
      <c r="T241" s="118" t="n">
        <v>0.004</v>
      </c>
      <c r="U241" s="119" t="inlineStr">
        <is>
          <t>✓ Normal</t>
        </is>
      </c>
      <c r="V241" s="117" t="n">
        <v>1</v>
      </c>
      <c r="W241" s="117" t="n">
        <v>0</v>
      </c>
      <c r="X241" s="117" t="n">
        <v>1</v>
      </c>
      <c r="Y241" s="117" t="n">
        <v>1</v>
      </c>
      <c r="Z241" s="117" t="n">
        <v>1</v>
      </c>
      <c r="AA241" s="117" t="n">
        <v>0</v>
      </c>
      <c r="AB241" s="117" t="n">
        <v>4</v>
      </c>
      <c r="AC241" s="121" t="inlineStr">
        <is>
          <t>⚠⚠ SERIOUS CONCERN</t>
        </is>
      </c>
      <c r="AD241" s="118" t="n">
        <v>3194500000</v>
      </c>
      <c r="AE241" s="118" t="n">
        <v>-640000000</v>
      </c>
      <c r="AF241" s="118" t="n">
        <v>2918600000</v>
      </c>
      <c r="AG241" s="118" t="n">
        <v>0.018</v>
      </c>
      <c r="AH241" s="119" t="inlineStr">
        <is>
          <t>✓ Medium Quality</t>
        </is>
      </c>
      <c r="AI241" s="118" t="n">
        <v>0.047</v>
      </c>
      <c r="AJ241" s="120" t="n">
        <v>0.056</v>
      </c>
      <c r="AK241" s="120" t="n">
        <v>0.842</v>
      </c>
      <c r="AL241" s="120" t="n">
        <v>0.216</v>
      </c>
      <c r="AM241" s="120" t="n">
        <v>0.002</v>
      </c>
      <c r="AN241" s="117" t="n">
        <v>100</v>
      </c>
      <c r="AO241" s="119" t="inlineStr">
        <is>
          <t>✓ Good</t>
        </is>
      </c>
      <c r="AP241" s="117" t="n">
        <v>0</v>
      </c>
      <c r="AQ241" s="117" t="n">
        <v>0</v>
      </c>
      <c r="AR241" s="117" t="n">
        <v>0</v>
      </c>
      <c r="AS241" s="117" t="n">
        <v>0</v>
      </c>
      <c r="AT241" s="117" t="n">
        <v>1</v>
      </c>
      <c r="AU241" s="117" t="n">
        <v>1</v>
      </c>
      <c r="AV241" s="117" t="n">
        <v>2</v>
      </c>
      <c r="AW241" s="121" t="inlineStr">
        <is>
          <t>⚠ WATCH</t>
        </is>
      </c>
      <c r="AX241" s="118" t="n">
        <v>22.1</v>
      </c>
      <c r="AY241" s="119" t="inlineStr">
        <is>
          <t>🟢 LOW RISK</t>
        </is>
      </c>
      <c r="AZ241" s="118" t="n">
        <v>79.90000000000001</v>
      </c>
      <c r="BA241" s="118" t="n">
        <v>80.59999999999999</v>
      </c>
      <c r="BB241" s="118" t="n">
        <v>88.8</v>
      </c>
      <c r="BC241" s="118" t="n">
        <v>62.8</v>
      </c>
      <c r="BD241" s="118" t="n">
        <v>90.90000000000001</v>
      </c>
      <c r="BE241" s="118" t="n">
        <v>68.5</v>
      </c>
      <c r="BF241" s="120" t="n">
        <v>0.192</v>
      </c>
      <c r="BG241" s="117" t="n">
        <v>0.8129999999999999</v>
      </c>
      <c r="BH241" s="122" t="n">
        <v>6</v>
      </c>
      <c r="BI241" s="123" t="n">
        <v>1</v>
      </c>
    </row>
    <row r="242" ht="17" customHeight="1">
      <c r="A242" s="117" t="inlineStr">
        <is>
          <t>HOMB</t>
        </is>
      </c>
      <c r="B242" s="117" t="inlineStr">
        <is>
          <t>HOME BANCSHARES, INC.</t>
        </is>
      </c>
      <c r="C242" s="124" t="inlineStr">
        <is>
          <t>N/A</t>
        </is>
      </c>
      <c r="D242" s="124" t="inlineStr">
        <is>
          <t>N/A</t>
        </is>
      </c>
      <c r="E242" s="118" t="n">
        <v>1.001</v>
      </c>
      <c r="F242" s="124" t="inlineStr">
        <is>
          <t>N/A</t>
        </is>
      </c>
      <c r="G242" s="118" t="n">
        <v>0.959</v>
      </c>
      <c r="H242" s="124" t="inlineStr">
        <is>
          <t>N/A</t>
        </is>
      </c>
      <c r="I242" s="118" t="n">
        <v>0.986</v>
      </c>
      <c r="J242" s="118" t="n">
        <v>0.003</v>
      </c>
      <c r="K242" s="124" t="inlineStr">
        <is>
          <t>N/A</t>
        </is>
      </c>
      <c r="L242" s="124" t="inlineStr">
        <is>
          <t>N/A</t>
        </is>
      </c>
      <c r="M242" s="124" t="inlineStr">
        <is>
          <t>N/A</t>
        </is>
      </c>
      <c r="N242" s="124" t="inlineStr">
        <is>
          <t>N/A</t>
        </is>
      </c>
      <c r="O242" s="124" t="inlineStr">
        <is>
          <t>N/A</t>
        </is>
      </c>
      <c r="P242" s="120" t="n">
        <v>0.955</v>
      </c>
      <c r="Q242" s="120" t="n">
        <v>0.003</v>
      </c>
      <c r="R242" s="117" t="n">
        <v>0</v>
      </c>
      <c r="S242" s="124" t="inlineStr">
        <is>
          <t>N/A</t>
        </is>
      </c>
      <c r="T242" s="124" t="inlineStr">
        <is>
          <t>N/A</t>
        </is>
      </c>
      <c r="U242" s="124" t="inlineStr">
        <is>
          <t>N/A</t>
        </is>
      </c>
      <c r="V242" s="117" t="n">
        <v>0</v>
      </c>
      <c r="W242" s="117" t="n">
        <v>0</v>
      </c>
      <c r="X242" s="117" t="n">
        <v>0</v>
      </c>
      <c r="Y242" s="117" t="n">
        <v>0</v>
      </c>
      <c r="Z242" s="117" t="n">
        <v>1</v>
      </c>
      <c r="AA242" s="117" t="n">
        <v>0</v>
      </c>
      <c r="AB242" s="117" t="n">
        <v>1</v>
      </c>
      <c r="AC242" s="119" t="inlineStr">
        <is>
          <t>✓ Clean</t>
        </is>
      </c>
      <c r="AD242" s="118" t="n">
        <v>399281000</v>
      </c>
      <c r="AE242" s="118" t="n">
        <v>-470317000</v>
      </c>
      <c r="AF242" s="118" t="n">
        <v>475441000</v>
      </c>
      <c r="AG242" s="118" t="n">
        <v>0.024</v>
      </c>
      <c r="AH242" s="119" t="inlineStr">
        <is>
          <t>✓ Medium Quality</t>
        </is>
      </c>
      <c r="AI242" s="124" t="inlineStr">
        <is>
          <t>N/A</t>
        </is>
      </c>
      <c r="AJ242" s="124" t="inlineStr">
        <is>
          <t>N/A</t>
        </is>
      </c>
      <c r="AK242" s="124" t="inlineStr">
        <is>
          <t>N/A</t>
        </is>
      </c>
      <c r="AL242" s="124" t="inlineStr">
        <is>
          <t>N/A</t>
        </is>
      </c>
      <c r="AM242" s="124" t="inlineStr">
        <is>
          <t>N/A</t>
        </is>
      </c>
      <c r="AN242" s="117" t="n">
        <v>100</v>
      </c>
      <c r="AO242" s="119" t="inlineStr">
        <is>
          <t>✓ Good</t>
        </is>
      </c>
      <c r="AP242" s="117" t="n">
        <v>0</v>
      </c>
      <c r="AQ242" s="117" t="n">
        <v>0</v>
      </c>
      <c r="AR242" s="117" t="n">
        <v>0</v>
      </c>
      <c r="AS242" s="117" t="n">
        <v>0</v>
      </c>
      <c r="AT242" s="117" t="n">
        <v>0</v>
      </c>
      <c r="AU242" s="117" t="n">
        <v>1</v>
      </c>
      <c r="AV242" s="117" t="n">
        <v>1</v>
      </c>
      <c r="AW242" s="119" t="inlineStr">
        <is>
          <t>✓ Clean</t>
        </is>
      </c>
      <c r="AX242" s="118" t="n">
        <v>26.7</v>
      </c>
      <c r="AY242" s="119" t="inlineStr">
        <is>
          <t>🟢 LOW RISK</t>
        </is>
      </c>
      <c r="AZ242" s="124" t="inlineStr">
        <is>
          <t>N/A</t>
        </is>
      </c>
      <c r="BA242" s="124" t="inlineStr">
        <is>
          <t>N/A</t>
        </is>
      </c>
      <c r="BB242" s="124" t="inlineStr">
        <is>
          <t>N/A</t>
        </is>
      </c>
      <c r="BC242" s="124" t="inlineStr">
        <is>
          <t>N/A</t>
        </is>
      </c>
      <c r="BD242" s="124" t="inlineStr">
        <is>
          <t>N/A</t>
        </is>
      </c>
      <c r="BE242" s="124" t="inlineStr">
        <is>
          <t>N/A</t>
        </is>
      </c>
      <c r="BF242" s="120" t="n">
        <v>0.223</v>
      </c>
      <c r="BG242" s="117" t="n">
        <v>0.955</v>
      </c>
      <c r="BH242" s="122" t="n">
        <v>2</v>
      </c>
      <c r="BI242" s="125" t="n">
        <v>0.6666666666666666</v>
      </c>
    </row>
    <row r="243" ht="17" customHeight="1">
      <c r="A243" s="117" t="inlineStr">
        <is>
          <t>BR</t>
        </is>
      </c>
      <c r="B243" s="117" t="inlineStr">
        <is>
          <t>BROADRIDGE FINANCIAL SOLUTIONS, INC.</t>
        </is>
      </c>
      <c r="C243" s="118" t="n">
        <v>0.328</v>
      </c>
      <c r="D243" s="118" t="n">
        <v>1.114</v>
      </c>
      <c r="E243" s="118" t="n">
        <v>0.967</v>
      </c>
      <c r="F243" s="118" t="n">
        <v>3.078</v>
      </c>
      <c r="G243" s="118" t="n">
        <v>0.949</v>
      </c>
      <c r="H243" s="118" t="n">
        <v>0.336</v>
      </c>
      <c r="I243" s="118" t="n">
        <v>0.9350000000000001</v>
      </c>
      <c r="J243" s="118" t="n">
        <v>-0.039</v>
      </c>
      <c r="K243" s="118" t="n">
        <v>-1.249</v>
      </c>
      <c r="L243" s="121" t="inlineStr">
        <is>
          <t>⚠ MANIPULATOR RISK</t>
        </is>
      </c>
      <c r="M243" s="120" t="n">
        <v>-0.053</v>
      </c>
      <c r="N243" s="120" t="n">
        <v>0.004</v>
      </c>
      <c r="O243" s="120" t="n">
        <v>0.001</v>
      </c>
      <c r="P243" s="120" t="n">
        <v>0.914</v>
      </c>
      <c r="Q243" s="120" t="n">
        <v>0.014</v>
      </c>
      <c r="R243" s="117" t="n">
        <v>1</v>
      </c>
      <c r="S243" s="118" t="n">
        <v>-3.047</v>
      </c>
      <c r="T243" s="118" t="n">
        <v>0.045</v>
      </c>
      <c r="U243" s="121" t="inlineStr">
        <is>
          <t>⚠ HIGH RISK</t>
        </is>
      </c>
      <c r="V243" s="117" t="n">
        <v>1</v>
      </c>
      <c r="W243" s="117" t="n">
        <v>0</v>
      </c>
      <c r="X243" s="117" t="n">
        <v>0</v>
      </c>
      <c r="Y243" s="117" t="n">
        <v>1</v>
      </c>
      <c r="Z243" s="117" t="n">
        <v>0</v>
      </c>
      <c r="AA243" s="117" t="n">
        <v>0</v>
      </c>
      <c r="AB243" s="117" t="n">
        <v>2</v>
      </c>
      <c r="AC243" s="121" t="inlineStr">
        <is>
          <t>⚠ WATCH</t>
        </is>
      </c>
      <c r="AD243" s="118" t="n">
        <v>1171300000</v>
      </c>
      <c r="AE243" s="118" t="n">
        <v>-316200000</v>
      </c>
      <c r="AF243" s="118" t="n">
        <v>839500000</v>
      </c>
      <c r="AG243" s="118" t="n">
        <v>-0.002</v>
      </c>
      <c r="AH243" s="119" t="inlineStr">
        <is>
          <t>✓ Medium Quality</t>
        </is>
      </c>
      <c r="AI243" s="118" t="n">
        <v>0.011</v>
      </c>
      <c r="AJ243" s="120" t="n">
        <v>2.078</v>
      </c>
      <c r="AK243" s="120" t="n">
        <v>0.005</v>
      </c>
      <c r="AL243" s="120" t="n">
        <v>0.283</v>
      </c>
      <c r="AM243" s="120" t="n">
        <v>-0</v>
      </c>
      <c r="AN243" s="117" t="n">
        <v>100</v>
      </c>
      <c r="AO243" s="119" t="inlineStr">
        <is>
          <t>✓ Good</t>
        </is>
      </c>
      <c r="AP243" s="117" t="n">
        <v>0</v>
      </c>
      <c r="AQ243" s="117" t="n">
        <v>0</v>
      </c>
      <c r="AR243" s="117" t="n">
        <v>1</v>
      </c>
      <c r="AS243" s="117" t="n">
        <v>0</v>
      </c>
      <c r="AT243" s="117" t="n">
        <v>0</v>
      </c>
      <c r="AU243" s="117" t="n">
        <v>1</v>
      </c>
      <c r="AV243" s="117" t="n">
        <v>2</v>
      </c>
      <c r="AW243" s="121" t="inlineStr">
        <is>
          <t>⚠ WATCH</t>
        </is>
      </c>
      <c r="AX243" s="118" t="n">
        <v>25.9</v>
      </c>
      <c r="AY243" s="119" t="inlineStr">
        <is>
          <t>🟢 LOW RISK</t>
        </is>
      </c>
      <c r="AZ243" s="118" t="n">
        <v>94.90000000000001</v>
      </c>
      <c r="BA243" s="118" t="n">
        <v>289</v>
      </c>
      <c r="BB243" s="118" t="n">
        <v>2.5</v>
      </c>
      <c r="BC243" s="118" t="n">
        <v>2.4</v>
      </c>
      <c r="BD243" s="118" t="n">
        <v>16.9</v>
      </c>
      <c r="BE243" s="118" t="n">
        <v>25.1</v>
      </c>
      <c r="BF243" s="120" t="n">
        <v>0.361</v>
      </c>
      <c r="BG243" s="117" t="n">
        <v>0.914</v>
      </c>
      <c r="BH243" s="122" t="n">
        <v>5</v>
      </c>
      <c r="BI243" s="123" t="n">
        <v>1</v>
      </c>
    </row>
    <row r="244" ht="17" customHeight="1">
      <c r="A244" s="117" t="inlineStr">
        <is>
          <t>FNF</t>
        </is>
      </c>
      <c r="B244" s="117" t="inlineStr">
        <is>
          <t>FIDELITY NATIONAL FINANCIAL, INC.</t>
        </is>
      </c>
      <c r="C244" s="118" t="n">
        <v>0.981</v>
      </c>
      <c r="D244" s="118" t="n">
        <v>1.317</v>
      </c>
      <c r="E244" s="118" t="n">
        <v>1</v>
      </c>
      <c r="F244" s="118" t="n">
        <v>1.056</v>
      </c>
      <c r="G244" s="118" t="n">
        <v>0.992</v>
      </c>
      <c r="H244" s="124" t="inlineStr">
        <is>
          <t>N/A</t>
        </is>
      </c>
      <c r="I244" s="118" t="n">
        <v>1.008</v>
      </c>
      <c r="J244" s="118" t="n">
        <v>-0.048</v>
      </c>
      <c r="K244" s="118" t="n">
        <v>-2.336</v>
      </c>
      <c r="L244" s="119" t="inlineStr">
        <is>
          <t>✓ Lower Risk</t>
        </is>
      </c>
      <c r="M244" s="124" t="inlineStr">
        <is>
          <t>N/A</t>
        </is>
      </c>
      <c r="N244" s="120" t="n">
        <v>0.017</v>
      </c>
      <c r="O244" s="124" t="inlineStr">
        <is>
          <t>N/A</t>
        </is>
      </c>
      <c r="P244" s="120" t="n">
        <v>0.974</v>
      </c>
      <c r="Q244" s="120" t="n">
        <v>-0.008</v>
      </c>
      <c r="R244" s="117" t="n">
        <v>0</v>
      </c>
      <c r="S244" s="124" t="inlineStr">
        <is>
          <t>N/A</t>
        </is>
      </c>
      <c r="T244" s="124" t="inlineStr">
        <is>
          <t>N/A</t>
        </is>
      </c>
      <c r="U244" s="124" t="inlineStr">
        <is>
          <t>N/A</t>
        </is>
      </c>
      <c r="V244" s="117" t="n">
        <v>1</v>
      </c>
      <c r="W244" s="117" t="n">
        <v>0</v>
      </c>
      <c r="X244" s="117" t="n">
        <v>0</v>
      </c>
      <c r="Y244" s="117" t="n">
        <v>0</v>
      </c>
      <c r="Z244" s="117" t="n">
        <v>1</v>
      </c>
      <c r="AA244" s="117" t="n">
        <v>1</v>
      </c>
      <c r="AB244" s="117" t="n">
        <v>3</v>
      </c>
      <c r="AC244" s="121" t="inlineStr">
        <is>
          <t>⚠ WATCH</t>
        </is>
      </c>
      <c r="AD244" s="118" t="n">
        <v>5828000000</v>
      </c>
      <c r="AE244" s="118" t="n">
        <v>-8934000000</v>
      </c>
      <c r="AF244" s="118" t="n">
        <v>602000000</v>
      </c>
      <c r="AG244" s="118" t="n">
        <v>0.036</v>
      </c>
      <c r="AH244" s="119" t="inlineStr">
        <is>
          <t>✓ Medium Quality</t>
        </is>
      </c>
      <c r="AI244" s="118" t="n">
        <v>0.036</v>
      </c>
      <c r="AJ244" s="120" t="n">
        <v>0.056</v>
      </c>
      <c r="AK244" s="120" t="n">
        <v>0.643</v>
      </c>
      <c r="AL244" s="120" t="n">
        <v>0.403</v>
      </c>
      <c r="AM244" s="120" t="n">
        <v>-0</v>
      </c>
      <c r="AN244" s="117" t="n">
        <v>100</v>
      </c>
      <c r="AO244" s="119" t="inlineStr">
        <is>
          <t>✓ Good</t>
        </is>
      </c>
      <c r="AP244" s="117" t="n">
        <v>0</v>
      </c>
      <c r="AQ244" s="117" t="n">
        <v>0</v>
      </c>
      <c r="AR244" s="117" t="n">
        <v>1</v>
      </c>
      <c r="AS244" s="117" t="n">
        <v>0</v>
      </c>
      <c r="AT244" s="117" t="n">
        <v>0</v>
      </c>
      <c r="AU244" s="117" t="n">
        <v>0</v>
      </c>
      <c r="AV244" s="117" t="n">
        <v>1</v>
      </c>
      <c r="AW244" s="119" t="inlineStr">
        <is>
          <t>✓ Clean</t>
        </is>
      </c>
      <c r="AX244" s="118" t="n">
        <v>26.6</v>
      </c>
      <c r="AY244" s="119" t="inlineStr">
        <is>
          <t>🟢 LOW RISK</t>
        </is>
      </c>
      <c r="AZ244" s="118" t="n">
        <v>9.5</v>
      </c>
      <c r="BA244" s="118" t="n">
        <v>9.699999999999999</v>
      </c>
      <c r="BB244" s="124" t="inlineStr">
        <is>
          <t>N/A</t>
        </is>
      </c>
      <c r="BC244" s="124" t="inlineStr">
        <is>
          <t>N/A</t>
        </is>
      </c>
      <c r="BD244" s="124" t="inlineStr">
        <is>
          <t>N/A</t>
        </is>
      </c>
      <c r="BE244" s="124" t="inlineStr">
        <is>
          <t>N/A</t>
        </is>
      </c>
      <c r="BF244" s="124" t="inlineStr">
        <is>
          <t>N/A</t>
        </is>
      </c>
      <c r="BG244" s="117" t="n">
        <v>0.974</v>
      </c>
      <c r="BH244" s="122" t="n">
        <v>4</v>
      </c>
      <c r="BI244" s="123" t="n">
        <v>0.8333333333333334</v>
      </c>
    </row>
    <row r="245" ht="17" customHeight="1">
      <c r="A245" s="117" t="inlineStr">
        <is>
          <t>CTSH</t>
        </is>
      </c>
      <c r="B245" s="117" t="inlineStr">
        <is>
          <t>COGNIZANT TECHNOLOGY SOLUTIONS CORPORATION</t>
        </is>
      </c>
      <c r="C245" s="118" t="n">
        <v>1.023</v>
      </c>
      <c r="D245" s="124" t="inlineStr">
        <is>
          <t>N/A</t>
        </is>
      </c>
      <c r="E245" s="118" t="n">
        <v>1.005</v>
      </c>
      <c r="F245" s="118" t="n">
        <v>1.07</v>
      </c>
      <c r="G245" s="118" t="n">
        <v>0.9370000000000001</v>
      </c>
      <c r="H245" s="118" t="n">
        <v>0.9399999999999999</v>
      </c>
      <c r="I245" s="118" t="n">
        <v>0.986</v>
      </c>
      <c r="J245" s="118" t="n">
        <v>-0.032</v>
      </c>
      <c r="K245" s="124" t="inlineStr">
        <is>
          <t>N/A</t>
        </is>
      </c>
      <c r="L245" s="124" t="inlineStr">
        <is>
          <t>N/A</t>
        </is>
      </c>
      <c r="M245" s="120" t="n">
        <v>0.001</v>
      </c>
      <c r="N245" s="120" t="n">
        <v>0.277</v>
      </c>
      <c r="O245" s="124" t="inlineStr">
        <is>
          <t>N/A</t>
        </is>
      </c>
      <c r="P245" s="120" t="n">
        <v>0.863</v>
      </c>
      <c r="Q245" s="120" t="n">
        <v>-0.004</v>
      </c>
      <c r="R245" s="117" t="n">
        <v>0</v>
      </c>
      <c r="S245" s="118" t="n">
        <v>-5.485</v>
      </c>
      <c r="T245" s="118" t="n">
        <v>0.004</v>
      </c>
      <c r="U245" s="119" t="inlineStr">
        <is>
          <t>✓ Normal</t>
        </is>
      </c>
      <c r="V245" s="117" t="n">
        <v>0</v>
      </c>
      <c r="W245" s="117" t="n">
        <v>1</v>
      </c>
      <c r="X245" s="117" t="n">
        <v>0</v>
      </c>
      <c r="Y245" s="117" t="n">
        <v>1</v>
      </c>
      <c r="Z245" s="117" t="n">
        <v>0</v>
      </c>
      <c r="AA245" s="117" t="n">
        <v>0</v>
      </c>
      <c r="AB245" s="117" t="n">
        <v>2</v>
      </c>
      <c r="AC245" s="121" t="inlineStr">
        <is>
          <t>⚠ WATCH</t>
        </is>
      </c>
      <c r="AD245" s="118" t="n">
        <v>2883000000</v>
      </c>
      <c r="AE245" s="118" t="n">
        <v>-230000000</v>
      </c>
      <c r="AF245" s="118" t="n">
        <v>2230000000</v>
      </c>
      <c r="AG245" s="118" t="n">
        <v>-0.021</v>
      </c>
      <c r="AH245" s="119" t="inlineStr">
        <is>
          <t>✓ Medium Quality</t>
        </is>
      </c>
      <c r="AI245" s="118" t="n">
        <v>0.094</v>
      </c>
      <c r="AJ245" s="120" t="n">
        <v>0.07000000000000001</v>
      </c>
      <c r="AK245" s="120" t="n">
        <v>1.347</v>
      </c>
      <c r="AL245" s="120" t="n">
        <v>0.137</v>
      </c>
      <c r="AM245" s="120" t="n">
        <v>0.002</v>
      </c>
      <c r="AN245" s="118" t="n">
        <v>87</v>
      </c>
      <c r="AO245" s="119" t="inlineStr">
        <is>
          <t>✓ Good</t>
        </is>
      </c>
      <c r="AP245" s="117" t="n">
        <v>0</v>
      </c>
      <c r="AQ245" s="117" t="n">
        <v>0</v>
      </c>
      <c r="AR245" s="117" t="n">
        <v>0</v>
      </c>
      <c r="AS245" s="117" t="n">
        <v>0</v>
      </c>
      <c r="AT245" s="117" t="n">
        <v>0</v>
      </c>
      <c r="AU245" s="117" t="n">
        <v>0</v>
      </c>
      <c r="AV245" s="117" t="n">
        <v>0</v>
      </c>
      <c r="AW245" s="119" t="inlineStr">
        <is>
          <t>✓ Clean</t>
        </is>
      </c>
      <c r="AX245" s="118" t="n">
        <v>22.9</v>
      </c>
      <c r="AY245" s="119" t="inlineStr">
        <is>
          <t>🟢 LOW RISK</t>
        </is>
      </c>
      <c r="AZ245" s="118" t="n">
        <v>76.8</v>
      </c>
      <c r="BA245" s="118" t="n">
        <v>75.09999999999999</v>
      </c>
      <c r="BB245" s="124" t="inlineStr">
        <is>
          <t>N/A</t>
        </is>
      </c>
      <c r="BC245" s="124" t="inlineStr">
        <is>
          <t>N/A</t>
        </is>
      </c>
      <c r="BD245" s="124" t="inlineStr">
        <is>
          <t>N/A</t>
        </is>
      </c>
      <c r="BE245" s="124" t="inlineStr">
        <is>
          <t>N/A</t>
        </is>
      </c>
      <c r="BF245" s="120" t="n">
        <v>1.058</v>
      </c>
      <c r="BG245" s="117" t="n">
        <v>0.863</v>
      </c>
      <c r="BH245" s="122" t="n">
        <v>2</v>
      </c>
      <c r="BI245" s="123" t="n">
        <v>0.8333333333333334</v>
      </c>
    </row>
    <row r="246" ht="17" customHeight="1">
      <c r="A246" s="117" t="inlineStr">
        <is>
          <t>LULU</t>
        </is>
      </c>
      <c r="B246" s="117" t="inlineStr">
        <is>
          <t>lululemon athletica inc.</t>
        </is>
      </c>
      <c r="C246" s="118" t="n">
        <v>1.513</v>
      </c>
      <c r="D246" s="118" t="n">
        <v>1.046</v>
      </c>
      <c r="E246" s="118" t="n">
        <v>1.054</v>
      </c>
      <c r="F246" s="118" t="n">
        <v>1.049</v>
      </c>
      <c r="G246" s="118" t="n">
        <v>1.022</v>
      </c>
      <c r="H246" s="118" t="n">
        <v>1.031</v>
      </c>
      <c r="I246" s="118" t="n">
        <v>0.958</v>
      </c>
      <c r="J246" s="118" t="n">
        <v>-0.003</v>
      </c>
      <c r="K246" s="118" t="n">
        <v>-1.92</v>
      </c>
      <c r="L246" s="121" t="inlineStr">
        <is>
          <t>⚠ MANIPULATOR RISK</t>
        </is>
      </c>
      <c r="M246" s="120" t="n">
        <v>-0.018</v>
      </c>
      <c r="N246" s="120" t="n">
        <v>0.137</v>
      </c>
      <c r="O246" s="120" t="n">
        <v>0.503</v>
      </c>
      <c r="P246" s="120" t="n">
        <v>0.655</v>
      </c>
      <c r="Q246" s="120" t="n">
        <v>-0.052</v>
      </c>
      <c r="R246" s="117" t="n">
        <v>0</v>
      </c>
      <c r="S246" s="118" t="n">
        <v>-5.644</v>
      </c>
      <c r="T246" s="118" t="n">
        <v>0.004</v>
      </c>
      <c r="U246" s="119" t="inlineStr">
        <is>
          <t>✓ Normal</t>
        </is>
      </c>
      <c r="V246" s="117" t="n">
        <v>1</v>
      </c>
      <c r="W246" s="117" t="n">
        <v>1</v>
      </c>
      <c r="X246" s="117" t="n">
        <v>1</v>
      </c>
      <c r="Y246" s="117" t="n">
        <v>0</v>
      </c>
      <c r="Z246" s="117" t="n">
        <v>1</v>
      </c>
      <c r="AA246" s="117" t="n">
        <v>1</v>
      </c>
      <c r="AB246" s="117" t="n">
        <v>5</v>
      </c>
      <c r="AC246" s="121" t="inlineStr">
        <is>
          <t>⚠⚠ SERIOUS CONCERN</t>
        </is>
      </c>
      <c r="AD246" s="118" t="n">
        <v>1602477000</v>
      </c>
      <c r="AE246" s="118" t="n">
        <v>-662118000</v>
      </c>
      <c r="AF246" s="118" t="n">
        <v>1579183000</v>
      </c>
      <c r="AG246" s="118" t="n">
        <v>0.08</v>
      </c>
      <c r="AH246" s="119" t="inlineStr">
        <is>
          <t>✓ Medium Quality</t>
        </is>
      </c>
      <c r="AI246" s="118" t="n">
        <v>0.587</v>
      </c>
      <c r="AJ246" s="120" t="n">
        <v>0.049</v>
      </c>
      <c r="AK246" s="120" t="n">
        <v>12.071</v>
      </c>
      <c r="AL246" s="120" t="n">
        <v>0.144</v>
      </c>
      <c r="AM246" s="120" t="n">
        <v>0</v>
      </c>
      <c r="AN246" s="118" t="n">
        <v>68.90000000000001</v>
      </c>
      <c r="AO246" s="119" t="inlineStr">
        <is>
          <t>✓ Good</t>
        </is>
      </c>
      <c r="AP246" s="117" t="n">
        <v>0</v>
      </c>
      <c r="AQ246" s="117" t="n">
        <v>0</v>
      </c>
      <c r="AR246" s="117" t="n">
        <v>1</v>
      </c>
      <c r="AS246" s="117" t="n">
        <v>1</v>
      </c>
      <c r="AT246" s="117" t="n">
        <v>0</v>
      </c>
      <c r="AU246" s="117" t="n">
        <v>1</v>
      </c>
      <c r="AV246" s="117" t="n">
        <v>3</v>
      </c>
      <c r="AW246" s="121" t="inlineStr">
        <is>
          <t>⚠ WATCH</t>
        </is>
      </c>
      <c r="AX246" s="118" t="n">
        <v>31.6</v>
      </c>
      <c r="AY246" s="119" t="inlineStr">
        <is>
          <t>🟢 LOW RISK</t>
        </is>
      </c>
      <c r="AZ246" s="118" t="n">
        <v>6.3</v>
      </c>
      <c r="BA246" s="118" t="n">
        <v>4.1</v>
      </c>
      <c r="BB246" s="118" t="n">
        <v>128.8</v>
      </c>
      <c r="BC246" s="118" t="n">
        <v>121.9</v>
      </c>
      <c r="BD246" s="118" t="n">
        <v>25.1</v>
      </c>
      <c r="BE246" s="118" t="n">
        <v>22.9</v>
      </c>
      <c r="BF246" s="120" t="n">
        <v>0.295</v>
      </c>
      <c r="BG246" s="117" t="n">
        <v>0.655</v>
      </c>
      <c r="BH246" s="122" t="n">
        <v>8</v>
      </c>
      <c r="BI246" s="123" t="n">
        <v>1</v>
      </c>
    </row>
    <row r="247" ht="17" customHeight="1">
      <c r="A247" s="117" t="inlineStr">
        <is>
          <t>KMI</t>
        </is>
      </c>
      <c r="B247" s="117" t="inlineStr">
        <is>
          <t>KINDER MORGAN, INC.</t>
        </is>
      </c>
      <c r="C247" s="118" t="n">
        <v>0.8149999999999999</v>
      </c>
      <c r="D247" s="118" t="n">
        <v>1.257</v>
      </c>
      <c r="E247" s="118" t="n">
        <v>0.975</v>
      </c>
      <c r="F247" s="118" t="n">
        <v>1.122</v>
      </c>
      <c r="G247" s="118" t="n">
        <v>0.993</v>
      </c>
      <c r="H247" s="118" t="n">
        <v>0.9320000000000001</v>
      </c>
      <c r="I247" s="118" t="n">
        <v>1</v>
      </c>
      <c r="J247" s="118" t="n">
        <v>-0.039</v>
      </c>
      <c r="K247" s="118" t="n">
        <v>-2.589</v>
      </c>
      <c r="L247" s="119" t="inlineStr">
        <is>
          <t>✓ Lower Risk</t>
        </is>
      </c>
      <c r="M247" s="120" t="n">
        <v>-0.019</v>
      </c>
      <c r="N247" s="120" t="n">
        <v>-0.07000000000000001</v>
      </c>
      <c r="O247" s="120" t="n">
        <v>0.01</v>
      </c>
      <c r="P247" s="120" t="n">
        <v>0.458</v>
      </c>
      <c r="Q247" s="120" t="n">
        <v>0.005</v>
      </c>
      <c r="R247" s="117" t="n">
        <v>1</v>
      </c>
      <c r="S247" s="118" t="n">
        <v>-4.093</v>
      </c>
      <c r="T247" s="118" t="n">
        <v>0.016</v>
      </c>
      <c r="U247" s="119" t="inlineStr">
        <is>
          <t>✓ Normal</t>
        </is>
      </c>
      <c r="V247" s="117" t="n">
        <v>1</v>
      </c>
      <c r="W247" s="117" t="n">
        <v>0</v>
      </c>
      <c r="X247" s="117" t="n">
        <v>0</v>
      </c>
      <c r="Y247" s="117" t="n">
        <v>1</v>
      </c>
      <c r="Z247" s="117" t="n">
        <v>0</v>
      </c>
      <c r="AA247" s="117" t="n">
        <v>0</v>
      </c>
      <c r="AB247" s="117" t="n">
        <v>2</v>
      </c>
      <c r="AC247" s="121" t="inlineStr">
        <is>
          <t>⚠ WATCH</t>
        </is>
      </c>
      <c r="AD247" s="118" t="n">
        <v>5917000000</v>
      </c>
      <c r="AE247" s="118" t="n">
        <v>-3179000000</v>
      </c>
      <c r="AF247" s="118" t="n">
        <v>3056000000</v>
      </c>
      <c r="AG247" s="118" t="n">
        <v>0.004</v>
      </c>
      <c r="AH247" s="119" t="inlineStr">
        <is>
          <t>✓ Medium Quality</t>
        </is>
      </c>
      <c r="AI247" s="118" t="n">
        <v>-0.08500000000000001</v>
      </c>
      <c r="AJ247" s="120" t="n">
        <v>0.122</v>
      </c>
      <c r="AK247" s="120" t="n">
        <v>-0.702</v>
      </c>
      <c r="AL247" s="120" t="n">
        <v>0.349</v>
      </c>
      <c r="AM247" s="120" t="n">
        <v>0</v>
      </c>
      <c r="AN247" s="117" t="n">
        <v>100</v>
      </c>
      <c r="AO247" s="119" t="inlineStr">
        <is>
          <t>✓ Good</t>
        </is>
      </c>
      <c r="AP247" s="117" t="n">
        <v>0</v>
      </c>
      <c r="AQ247" s="117" t="n">
        <v>0</v>
      </c>
      <c r="AR247" s="117" t="n">
        <v>1</v>
      </c>
      <c r="AS247" s="117" t="n">
        <v>0</v>
      </c>
      <c r="AT247" s="117" t="n">
        <v>0</v>
      </c>
      <c r="AU247" s="117" t="n">
        <v>0</v>
      </c>
      <c r="AV247" s="117" t="n">
        <v>1</v>
      </c>
      <c r="AW247" s="119" t="inlineStr">
        <is>
          <t>✓ Clean</t>
        </is>
      </c>
      <c r="AX247" s="118" t="n">
        <v>16.8</v>
      </c>
      <c r="AY247" s="119" t="inlineStr">
        <is>
          <t>🟢 VERY LOW RISK</t>
        </is>
      </c>
      <c r="AZ247" s="118" t="n">
        <v>29.5</v>
      </c>
      <c r="BA247" s="118" t="n">
        <v>36.2</v>
      </c>
      <c r="BB247" s="118" t="n">
        <v>22.6</v>
      </c>
      <c r="BC247" s="118" t="n">
        <v>31.2</v>
      </c>
      <c r="BD247" s="118" t="n">
        <v>55.5</v>
      </c>
      <c r="BE247" s="118" t="n">
        <v>78.40000000000001</v>
      </c>
      <c r="BF247" s="120" t="n">
        <v>0.208</v>
      </c>
      <c r="BG247" s="117" t="n">
        <v>0.458</v>
      </c>
      <c r="BH247" s="122" t="n">
        <v>4</v>
      </c>
      <c r="BI247" s="123" t="n">
        <v>1</v>
      </c>
    </row>
    <row r="248" ht="17" customHeight="1">
      <c r="A248" s="117" t="inlineStr">
        <is>
          <t>PPG</t>
        </is>
      </c>
      <c r="B248" s="117" t="inlineStr">
        <is>
          <t>PPG INDUSTRIES INC</t>
        </is>
      </c>
      <c r="C248" s="118" t="n">
        <v>0.383</v>
      </c>
      <c r="D248" s="118" t="n">
        <v>-9.17</v>
      </c>
      <c r="E248" s="118" t="n">
        <v>0.947</v>
      </c>
      <c r="F248" s="118" t="n">
        <v>2.931</v>
      </c>
      <c r="G248" s="118" t="n">
        <v>1.068</v>
      </c>
      <c r="H248" s="118" t="n">
        <v>0.346</v>
      </c>
      <c r="I248" s="118" t="n">
        <v>0.987</v>
      </c>
      <c r="J248" s="118" t="n">
        <v>-0.017</v>
      </c>
      <c r="K248" s="118" t="n">
        <v>-6.669</v>
      </c>
      <c r="L248" s="119" t="inlineStr">
        <is>
          <t>✓ Lower Risk</t>
        </is>
      </c>
      <c r="M248" s="120" t="n">
        <v>0.004</v>
      </c>
      <c r="N248" s="120" t="n">
        <v>0.042</v>
      </c>
      <c r="O248" s="120" t="n">
        <v>0.021</v>
      </c>
      <c r="P248" s="120" t="n">
        <v>0.721</v>
      </c>
      <c r="Q248" s="120" t="n">
        <v>0.014</v>
      </c>
      <c r="R248" s="117" t="n">
        <v>0</v>
      </c>
      <c r="S248" s="118" t="n">
        <v>-6.339</v>
      </c>
      <c r="T248" s="118" t="n">
        <v>0.002</v>
      </c>
      <c r="U248" s="119" t="inlineStr">
        <is>
          <t>✓ Normal</t>
        </is>
      </c>
      <c r="V248" s="117" t="n">
        <v>1</v>
      </c>
      <c r="W248" s="117" t="n">
        <v>0</v>
      </c>
      <c r="X248" s="117" t="n">
        <v>0</v>
      </c>
      <c r="Y248" s="117" t="n">
        <v>1</v>
      </c>
      <c r="Z248" s="117" t="n">
        <v>1</v>
      </c>
      <c r="AA248" s="117" t="n">
        <v>1</v>
      </c>
      <c r="AB248" s="117" t="n">
        <v>4</v>
      </c>
      <c r="AC248" s="121" t="inlineStr">
        <is>
          <t>⚠⚠ SERIOUS CONCERN</t>
        </is>
      </c>
      <c r="AD248" s="118" t="n">
        <v>1941000000</v>
      </c>
      <c r="AE248" s="118" t="n">
        <v>-700000000</v>
      </c>
      <c r="AF248" s="118" t="n">
        <v>1576000000</v>
      </c>
      <c r="AG248" s="118" t="n">
        <v>0.016</v>
      </c>
      <c r="AH248" s="119" t="inlineStr">
        <is>
          <t>✓ Medium Quality</t>
        </is>
      </c>
      <c r="AI248" s="118" t="n">
        <v>0.124</v>
      </c>
      <c r="AJ248" s="120" t="n">
        <v>1.931</v>
      </c>
      <c r="AK248" s="120" t="n">
        <v>0.064</v>
      </c>
      <c r="AL248" s="120" t="n">
        <v>0.175</v>
      </c>
      <c r="AM248" s="124" t="inlineStr">
        <is>
          <t>N/A</t>
        </is>
      </c>
      <c r="AN248" s="117" t="n">
        <v>100</v>
      </c>
      <c r="AO248" s="119" t="inlineStr">
        <is>
          <t>✓ Good</t>
        </is>
      </c>
      <c r="AP248" s="117" t="n">
        <v>0</v>
      </c>
      <c r="AQ248" s="117" t="n">
        <v>0</v>
      </c>
      <c r="AR248" s="117" t="n">
        <v>0</v>
      </c>
      <c r="AS248" s="117" t="n">
        <v>0</v>
      </c>
      <c r="AT248" s="117" t="n">
        <v>1</v>
      </c>
      <c r="AU248" s="117" t="n">
        <v>1</v>
      </c>
      <c r="AV248" s="117" t="n">
        <v>2</v>
      </c>
      <c r="AW248" s="121" t="inlineStr">
        <is>
          <t>⚠ WATCH</t>
        </is>
      </c>
      <c r="AX248" s="118" t="n">
        <v>15.6</v>
      </c>
      <c r="AY248" s="119" t="inlineStr">
        <is>
          <t>🟢 VERY LOW RISK</t>
        </is>
      </c>
      <c r="AZ248" s="118" t="n">
        <v>91.8</v>
      </c>
      <c r="BA248" s="118" t="n">
        <v>239.4</v>
      </c>
      <c r="BB248" s="118" t="n">
        <v>78.2</v>
      </c>
      <c r="BC248" s="118" t="n">
        <v>72.8</v>
      </c>
      <c r="BD248" s="118" t="n">
        <v>155</v>
      </c>
      <c r="BE248" s="118" t="n">
        <v>147.2</v>
      </c>
      <c r="BF248" s="120" t="n">
        <v>0.224</v>
      </c>
      <c r="BG248" s="117" t="n">
        <v>0.721</v>
      </c>
      <c r="BH248" s="122" t="n">
        <v>6</v>
      </c>
      <c r="BI248" s="123" t="n">
        <v>1</v>
      </c>
    </row>
    <row r="249" ht="17" customHeight="1">
      <c r="A249" s="117" t="inlineStr">
        <is>
          <t>OGE</t>
        </is>
      </c>
      <c r="B249" s="117" t="inlineStr">
        <is>
          <t>OGE ENERGY CORP.</t>
        </is>
      </c>
      <c r="C249" s="118" t="n">
        <v>1.324</v>
      </c>
      <c r="D249" s="118" t="n">
        <v>1.021</v>
      </c>
      <c r="E249" s="118" t="n">
        <v>1.017</v>
      </c>
      <c r="F249" s="118" t="n">
        <v>1.092</v>
      </c>
      <c r="G249" s="118" t="n">
        <v>1.014</v>
      </c>
      <c r="H249" s="118" t="n">
        <v>0.916</v>
      </c>
      <c r="I249" s="118" t="n">
        <v>0.988</v>
      </c>
      <c r="J249" s="118" t="n">
        <v>-0.046</v>
      </c>
      <c r="K249" s="118" t="n">
        <v>-2.279</v>
      </c>
      <c r="L249" s="119" t="inlineStr">
        <is>
          <t>✓ Lower Risk</t>
        </is>
      </c>
      <c r="M249" s="120" t="n">
        <v>-0.032</v>
      </c>
      <c r="N249" s="120" t="n">
        <v>0.39</v>
      </c>
      <c r="O249" s="120" t="n">
        <v>-0.132</v>
      </c>
      <c r="P249" s="120" t="n">
        <v>0.114</v>
      </c>
      <c r="Q249" s="120" t="n">
        <v>0.001</v>
      </c>
      <c r="R249" s="117" t="n">
        <v>1</v>
      </c>
      <c r="S249" s="118" t="n">
        <v>-3.794</v>
      </c>
      <c r="T249" s="118" t="n">
        <v>0.022</v>
      </c>
      <c r="U249" s="119" t="inlineStr">
        <is>
          <t>✓ Normal</t>
        </is>
      </c>
      <c r="V249" s="117" t="n">
        <v>0</v>
      </c>
      <c r="W249" s="117" t="n">
        <v>1</v>
      </c>
      <c r="X249" s="117" t="n">
        <v>0</v>
      </c>
      <c r="Y249" s="117" t="n">
        <v>0</v>
      </c>
      <c r="Z249" s="117" t="n">
        <v>1</v>
      </c>
      <c r="AA249" s="117" t="n">
        <v>0</v>
      </c>
      <c r="AB249" s="117" t="n">
        <v>2</v>
      </c>
      <c r="AC249" s="121" t="inlineStr">
        <is>
          <t>⚠ WATCH</t>
        </is>
      </c>
      <c r="AD249" s="118" t="n">
        <v>1137100000</v>
      </c>
      <c r="AE249" s="118" t="n">
        <v>-1126600000</v>
      </c>
      <c r="AF249" s="118" t="n">
        <v>470700000</v>
      </c>
      <c r="AG249" s="118" t="n">
        <v>0.033</v>
      </c>
      <c r="AH249" s="119" t="inlineStr">
        <is>
          <t>✓ Medium Quality</t>
        </is>
      </c>
      <c r="AI249" s="118" t="n">
        <v>0.446</v>
      </c>
      <c r="AJ249" s="120" t="n">
        <v>0.092</v>
      </c>
      <c r="AK249" s="120" t="n">
        <v>4.84</v>
      </c>
      <c r="AL249" s="120" t="n">
        <v>0.349</v>
      </c>
      <c r="AM249" s="120" t="n">
        <v>-0.011</v>
      </c>
      <c r="AN249" s="118" t="n">
        <v>69.40000000000001</v>
      </c>
      <c r="AO249" s="119" t="inlineStr">
        <is>
          <t>✓ Good</t>
        </is>
      </c>
      <c r="AP249" s="117" t="n">
        <v>0</v>
      </c>
      <c r="AQ249" s="117" t="n">
        <v>0</v>
      </c>
      <c r="AR249" s="117" t="n">
        <v>1</v>
      </c>
      <c r="AS249" s="117" t="n">
        <v>0</v>
      </c>
      <c r="AT249" s="117" t="n">
        <v>0</v>
      </c>
      <c r="AU249" s="117" t="n">
        <v>0</v>
      </c>
      <c r="AV249" s="117" t="n">
        <v>1</v>
      </c>
      <c r="AW249" s="119" t="inlineStr">
        <is>
          <t>✓ Clean</t>
        </is>
      </c>
      <c r="AX249" s="118" t="n">
        <v>20.7</v>
      </c>
      <c r="AY249" s="119" t="inlineStr">
        <is>
          <t>🟢 LOW RISK</t>
        </is>
      </c>
      <c r="AZ249" s="118" t="n">
        <v>38.9</v>
      </c>
      <c r="BA249" s="118" t="n">
        <v>29.4</v>
      </c>
      <c r="BB249" s="118" t="n">
        <v>32.4</v>
      </c>
      <c r="BC249" s="118" t="n">
        <v>50.3</v>
      </c>
      <c r="BD249" s="118" t="n">
        <v>101.6</v>
      </c>
      <c r="BE249" s="118" t="n">
        <v>103.7</v>
      </c>
      <c r="BF249" s="120" t="n">
        <v>0.16</v>
      </c>
      <c r="BG249" s="117" t="n">
        <v>0.114</v>
      </c>
      <c r="BH249" s="122" t="n">
        <v>4</v>
      </c>
      <c r="BI249" s="123" t="n">
        <v>1</v>
      </c>
    </row>
    <row r="250" ht="17" customHeight="1">
      <c r="A250" s="117" t="inlineStr">
        <is>
          <t>BKNG</t>
        </is>
      </c>
      <c r="B250" s="117" t="inlineStr">
        <is>
          <t>Booking Holdings Inc.</t>
        </is>
      </c>
      <c r="C250" s="118" t="n">
        <v>0.944</v>
      </c>
      <c r="D250" s="118" t="n">
        <v>1.135</v>
      </c>
      <c r="E250" s="118" t="n">
        <v>0.918</v>
      </c>
      <c r="F250" s="118" t="n">
        <v>1.134</v>
      </c>
      <c r="G250" s="118" t="n">
        <v>0.953</v>
      </c>
      <c r="H250" s="118" t="n">
        <v>0.73</v>
      </c>
      <c r="I250" s="118" t="n">
        <v>1.04</v>
      </c>
      <c r="J250" s="118" t="n">
        <v>-0.312</v>
      </c>
      <c r="K250" s="118" t="n">
        <v>-3.804</v>
      </c>
      <c r="L250" s="119" t="inlineStr">
        <is>
          <t>✓ Lower Risk</t>
        </is>
      </c>
      <c r="M250" s="120" t="n">
        <v>-0.032</v>
      </c>
      <c r="N250" s="120" t="n">
        <v>0.031</v>
      </c>
      <c r="O250" s="124" t="inlineStr">
        <is>
          <t>N/A</t>
        </is>
      </c>
      <c r="P250" s="120" t="n">
        <v>0.385</v>
      </c>
      <c r="Q250" s="120" t="n">
        <v>-0.001</v>
      </c>
      <c r="R250" s="117" t="n">
        <v>1</v>
      </c>
      <c r="S250" s="118" t="n">
        <v>-4.004</v>
      </c>
      <c r="T250" s="118" t="n">
        <v>0.018</v>
      </c>
      <c r="U250" s="119" t="inlineStr">
        <is>
          <t>✓ Normal</t>
        </is>
      </c>
      <c r="V250" s="117" t="n">
        <v>0</v>
      </c>
      <c r="W250" s="117" t="n">
        <v>0</v>
      </c>
      <c r="X250" s="117" t="n">
        <v>0</v>
      </c>
      <c r="Y250" s="117" t="n">
        <v>0</v>
      </c>
      <c r="Z250" s="117" t="n">
        <v>1</v>
      </c>
      <c r="AA250" s="117" t="n">
        <v>0</v>
      </c>
      <c r="AB250" s="117" t="n">
        <v>1</v>
      </c>
      <c r="AC250" s="119" t="inlineStr">
        <is>
          <t>✓ Clean</t>
        </is>
      </c>
      <c r="AD250" s="118" t="n">
        <v>9409000000</v>
      </c>
      <c r="AE250" s="118" t="n">
        <v>-313000000</v>
      </c>
      <c r="AF250" s="118" t="n">
        <v>288663000</v>
      </c>
      <c r="AG250" s="118" t="n">
        <v>-0.309</v>
      </c>
      <c r="AH250" s="119" t="inlineStr">
        <is>
          <t>✓ High Quality</t>
        </is>
      </c>
      <c r="AI250" s="118" t="n">
        <v>0.07000000000000001</v>
      </c>
      <c r="AJ250" s="120" t="n">
        <v>0.134</v>
      </c>
      <c r="AK250" s="120" t="n">
        <v>0.525</v>
      </c>
      <c r="AL250" s="120" t="n">
        <v>0.35</v>
      </c>
      <c r="AM250" s="124" t="inlineStr">
        <is>
          <t>N/A</t>
        </is>
      </c>
      <c r="AN250" s="117" t="n">
        <v>100</v>
      </c>
      <c r="AO250" s="119" t="inlineStr">
        <is>
          <t>✓ Good</t>
        </is>
      </c>
      <c r="AP250" s="117" t="n">
        <v>0</v>
      </c>
      <c r="AQ250" s="117" t="n">
        <v>0</v>
      </c>
      <c r="AR250" s="117" t="n">
        <v>1</v>
      </c>
      <c r="AS250" s="117" t="n">
        <v>0</v>
      </c>
      <c r="AT250" s="117" t="n">
        <v>0</v>
      </c>
      <c r="AU250" s="117" t="n">
        <v>0</v>
      </c>
      <c r="AV250" s="117" t="n">
        <v>1</v>
      </c>
      <c r="AW250" s="119" t="inlineStr">
        <is>
          <t>✓ Clean</t>
        </is>
      </c>
      <c r="AX250" s="118" t="n">
        <v>16.1</v>
      </c>
      <c r="AY250" s="119" t="inlineStr">
        <is>
          <t>🟢 VERY LOW RISK</t>
        </is>
      </c>
      <c r="AZ250" s="118" t="n">
        <v>20.7</v>
      </c>
      <c r="BA250" s="118" t="n">
        <v>21.9</v>
      </c>
      <c r="BB250" s="124" t="inlineStr">
        <is>
          <t>N/A</t>
        </is>
      </c>
      <c r="BC250" s="124" t="inlineStr">
        <is>
          <t>N/A</t>
        </is>
      </c>
      <c r="BD250" s="118" t="n">
        <v>7421.3</v>
      </c>
      <c r="BE250" s="118" t="n">
        <v>5767.6</v>
      </c>
      <c r="BF250" s="120" t="n">
        <v>0.209</v>
      </c>
      <c r="BG250" s="117" t="n">
        <v>0.385</v>
      </c>
      <c r="BH250" s="122" t="n">
        <v>3</v>
      </c>
      <c r="BI250" s="123" t="n">
        <v>1</v>
      </c>
    </row>
    <row r="251" ht="17" customHeight="1">
      <c r="A251" s="129" t="inlineStr">
        <is>
          <t>SCHW</t>
        </is>
      </c>
      <c r="B251" s="129" t="inlineStr">
        <is>
          <t>SCHWAB CHARLES CORP</t>
        </is>
      </c>
      <c r="C251" s="130" t="n">
        <v>0.729</v>
      </c>
      <c r="D251" s="124" t="inlineStr">
        <is>
          <t>N/A</t>
        </is>
      </c>
      <c r="E251" s="130" t="n">
        <v>0.999</v>
      </c>
      <c r="F251" s="130" t="n">
        <v>1.22</v>
      </c>
      <c r="G251" s="130" t="n">
        <v>1.076</v>
      </c>
      <c r="H251" s="124" t="inlineStr">
        <is>
          <t>N/A</t>
        </is>
      </c>
      <c r="I251" s="130" t="n">
        <v>1</v>
      </c>
      <c r="J251" s="130" t="n">
        <v>-0.001</v>
      </c>
      <c r="K251" s="124" t="inlineStr">
        <is>
          <t>N/A</t>
        </is>
      </c>
      <c r="L251" s="124" t="inlineStr">
        <is>
          <t>N/A</t>
        </is>
      </c>
      <c r="M251" s="124" t="inlineStr">
        <is>
          <t>N/A</t>
        </is>
      </c>
      <c r="N251" s="131" t="n">
        <v>-0.012</v>
      </c>
      <c r="O251" s="124" t="inlineStr">
        <is>
          <t>N/A</t>
        </is>
      </c>
      <c r="P251" s="131" t="n">
        <v>0.9</v>
      </c>
      <c r="Q251" s="131" t="n">
        <v>0.006</v>
      </c>
      <c r="R251" s="129" t="n">
        <v>0</v>
      </c>
      <c r="S251" s="124" t="inlineStr">
        <is>
          <t>N/A</t>
        </is>
      </c>
      <c r="T251" s="124" t="inlineStr">
        <is>
          <t>N/A</t>
        </is>
      </c>
      <c r="U251" s="124" t="inlineStr">
        <is>
          <t>N/A</t>
        </is>
      </c>
      <c r="V251" s="129" t="n">
        <v>0</v>
      </c>
      <c r="W251" s="129" t="n">
        <v>0</v>
      </c>
      <c r="X251" s="129" t="n">
        <v>0</v>
      </c>
      <c r="Y251" s="129" t="n">
        <v>0</v>
      </c>
      <c r="Z251" s="129" t="n">
        <v>0</v>
      </c>
      <c r="AA251" s="129" t="n">
        <v>0</v>
      </c>
      <c r="AB251" s="129" t="n">
        <v>0</v>
      </c>
      <c r="AC251" s="119" t="inlineStr">
        <is>
          <t>✓ Clean</t>
        </is>
      </c>
      <c r="AD251" s="130" t="n">
        <v>9311000000</v>
      </c>
      <c r="AE251" s="130" t="n">
        <v>24538000000</v>
      </c>
      <c r="AF251" s="130" t="n">
        <v>8852000000</v>
      </c>
      <c r="AG251" s="130" t="n">
        <v>-0.051</v>
      </c>
      <c r="AH251" s="119" t="inlineStr">
        <is>
          <t>✓ Medium Quality</t>
        </is>
      </c>
      <c r="AI251" s="130" t="n">
        <v>-0.111</v>
      </c>
      <c r="AJ251" s="131" t="n">
        <v>0.22</v>
      </c>
      <c r="AK251" s="131" t="n">
        <v>-0.503</v>
      </c>
      <c r="AL251" s="131" t="n">
        <v>0.389</v>
      </c>
      <c r="AM251" s="124" t="inlineStr">
        <is>
          <t>N/A</t>
        </is>
      </c>
      <c r="AN251" s="129" t="n">
        <v>100</v>
      </c>
      <c r="AO251" s="119" t="inlineStr">
        <is>
          <t>✓ Good</t>
        </is>
      </c>
      <c r="AP251" s="129" t="n">
        <v>0</v>
      </c>
      <c r="AQ251" s="129" t="n">
        <v>0</v>
      </c>
      <c r="AR251" s="129" t="n">
        <v>0</v>
      </c>
      <c r="AS251" s="129" t="n">
        <v>0</v>
      </c>
      <c r="AT251" s="129" t="n">
        <v>0</v>
      </c>
      <c r="AU251" s="129" t="n">
        <v>1</v>
      </c>
      <c r="AV251" s="129" t="n">
        <v>1</v>
      </c>
      <c r="AW251" s="119" t="inlineStr">
        <is>
          <t>✓ Clean</t>
        </is>
      </c>
      <c r="AX251" s="130" t="n">
        <v>23.9</v>
      </c>
      <c r="AY251" s="119" t="inlineStr">
        <is>
          <t>🟢 LOW RISK</t>
        </is>
      </c>
      <c r="AZ251" s="130" t="n">
        <v>6.3</v>
      </c>
      <c r="BA251" s="130" t="n">
        <v>8.6</v>
      </c>
      <c r="BB251" s="124" t="inlineStr">
        <is>
          <t>N/A</t>
        </is>
      </c>
      <c r="BC251" s="124" t="inlineStr">
        <is>
          <t>N/A</t>
        </is>
      </c>
      <c r="BD251" s="124" t="inlineStr">
        <is>
          <t>N/A</t>
        </is>
      </c>
      <c r="BE251" s="124" t="inlineStr">
        <is>
          <t>N/A</t>
        </is>
      </c>
      <c r="BF251" s="131" t="n">
        <v>0.228</v>
      </c>
      <c r="BG251" s="129" t="n">
        <v>0.9</v>
      </c>
      <c r="BH251" s="129" t="n">
        <v>1</v>
      </c>
      <c r="BI251" s="125" t="n">
        <v>0.6666666666666666</v>
      </c>
    </row>
    <row r="252" ht="17" customHeight="1">
      <c r="A252" s="117" t="inlineStr">
        <is>
          <t>MSI</t>
        </is>
      </c>
      <c r="B252" s="117" t="inlineStr">
        <is>
          <t>MOTOROLA SOLUTIONS, INC.</t>
        </is>
      </c>
      <c r="C252" s="118" t="n">
        <v>0.346</v>
      </c>
      <c r="D252" s="118" t="n">
        <v>2.978</v>
      </c>
      <c r="E252" s="118" t="n">
        <v>1.265</v>
      </c>
      <c r="F252" s="118" t="n">
        <v>3.26</v>
      </c>
      <c r="G252" s="118" t="n">
        <v>0.926</v>
      </c>
      <c r="H252" s="118" t="n">
        <v>0.327</v>
      </c>
      <c r="I252" s="118" t="n">
        <v>1</v>
      </c>
      <c r="J252" s="118" t="n">
        <v>-0.035</v>
      </c>
      <c r="K252" s="118" t="n">
        <v>0.028</v>
      </c>
      <c r="L252" s="121" t="inlineStr">
        <is>
          <t>⚠ MANIPULATOR RISK</t>
        </is>
      </c>
      <c r="M252" s="120" t="n">
        <v>-0.036</v>
      </c>
      <c r="N252" s="120" t="n">
        <v>0.056</v>
      </c>
      <c r="O252" s="120" t="n">
        <v>0.049</v>
      </c>
      <c r="P252" s="120" t="n">
        <v>0.88</v>
      </c>
      <c r="Q252" s="120" t="n">
        <v>0.003</v>
      </c>
      <c r="R252" s="117" t="n">
        <v>0</v>
      </c>
      <c r="S252" s="118" t="n">
        <v>-5.982</v>
      </c>
      <c r="T252" s="118" t="n">
        <v>0.003</v>
      </c>
      <c r="U252" s="119" t="inlineStr">
        <is>
          <t>✓ Normal</t>
        </is>
      </c>
      <c r="V252" s="117" t="n">
        <v>1</v>
      </c>
      <c r="W252" s="117" t="n">
        <v>0</v>
      </c>
      <c r="X252" s="117" t="n">
        <v>0</v>
      </c>
      <c r="Y252" s="117" t="n">
        <v>1</v>
      </c>
      <c r="Z252" s="117" t="n">
        <v>1</v>
      </c>
      <c r="AA252" s="117" t="n">
        <v>1</v>
      </c>
      <c r="AB252" s="117" t="n">
        <v>4</v>
      </c>
      <c r="AC252" s="121" t="inlineStr">
        <is>
          <t>⚠⚠ SERIOUS CONCERN</t>
        </is>
      </c>
      <c r="AD252" s="118" t="n">
        <v>2837000000</v>
      </c>
      <c r="AE252" s="118" t="n">
        <v>-5164000000</v>
      </c>
      <c r="AF252" s="118" t="n">
        <v>2154000000</v>
      </c>
      <c r="AG252" s="118" t="n">
        <v>0.264</v>
      </c>
      <c r="AH252" s="117" t="inlineStr">
        <is>
          <t>⚠ Very Low Quality</t>
        </is>
      </c>
      <c r="AI252" s="118" t="n">
        <v>0.127</v>
      </c>
      <c r="AJ252" s="120" t="n">
        <v>2.26</v>
      </c>
      <c r="AK252" s="120" t="n">
        <v>0.056</v>
      </c>
      <c r="AL252" s="120" t="n">
        <v>0.445</v>
      </c>
      <c r="AM252" s="120" t="n">
        <v>0</v>
      </c>
      <c r="AN252" s="117" t="n">
        <v>100</v>
      </c>
      <c r="AO252" s="119" t="inlineStr">
        <is>
          <t>✓ Good</t>
        </is>
      </c>
      <c r="AP252" s="117" t="n">
        <v>0</v>
      </c>
      <c r="AQ252" s="117" t="n">
        <v>0</v>
      </c>
      <c r="AR252" s="117" t="n">
        <v>1</v>
      </c>
      <c r="AS252" s="117" t="n">
        <v>0</v>
      </c>
      <c r="AT252" s="117" t="n">
        <v>1</v>
      </c>
      <c r="AU252" s="117" t="n">
        <v>0</v>
      </c>
      <c r="AV252" s="117" t="n">
        <v>2</v>
      </c>
      <c r="AW252" s="121" t="inlineStr">
        <is>
          <t>⚠ WATCH</t>
        </is>
      </c>
      <c r="AX252" s="118" t="n">
        <v>35.3</v>
      </c>
      <c r="AY252" s="119" t="inlineStr">
        <is>
          <t>🟢 LOW RISK</t>
        </is>
      </c>
      <c r="AZ252" s="118" t="n">
        <v>125.9</v>
      </c>
      <c r="BA252" s="118" t="n">
        <v>364.1</v>
      </c>
      <c r="BB252" s="118" t="n">
        <v>63.5</v>
      </c>
      <c r="BC252" s="118" t="n">
        <v>52.7</v>
      </c>
      <c r="BD252" s="118" t="n">
        <v>73.3</v>
      </c>
      <c r="BE252" s="118" t="n">
        <v>70</v>
      </c>
      <c r="BF252" s="120" t="n">
        <v>0.232</v>
      </c>
      <c r="BG252" s="117" t="n">
        <v>0.88</v>
      </c>
      <c r="BH252" s="122" t="n">
        <v>6</v>
      </c>
      <c r="BI252" s="123" t="n">
        <v>1</v>
      </c>
    </row>
    <row r="253" ht="17" customHeight="1">
      <c r="A253" s="117" t="inlineStr">
        <is>
          <t>MAR</t>
        </is>
      </c>
      <c r="B253" s="117" t="inlineStr">
        <is>
          <t>MARRIOTT INTERNATIONAL INC /MD/</t>
        </is>
      </c>
      <c r="C253" s="124" t="inlineStr">
        <is>
          <t>N/A</t>
        </is>
      </c>
      <c r="D253" s="124" t="inlineStr">
        <is>
          <t>N/A</t>
        </is>
      </c>
      <c r="E253" s="118" t="n">
        <v>1.003</v>
      </c>
      <c r="F253" s="118" t="n">
        <v>1.043</v>
      </c>
      <c r="G253" s="118" t="n">
        <v>1.098</v>
      </c>
      <c r="H253" s="118" t="n">
        <v>0.776</v>
      </c>
      <c r="I253" s="118" t="n">
        <v>1</v>
      </c>
      <c r="J253" s="118" t="n">
        <v>-0.022</v>
      </c>
      <c r="K253" s="124" t="inlineStr">
        <is>
          <t>N/A</t>
        </is>
      </c>
      <c r="L253" s="124" t="inlineStr">
        <is>
          <t>N/A</t>
        </is>
      </c>
      <c r="M253" s="120" t="n">
        <v>0.008</v>
      </c>
      <c r="N253" s="124" t="inlineStr">
        <is>
          <t>N/A</t>
        </is>
      </c>
      <c r="O253" s="120" t="n">
        <v>-0.001</v>
      </c>
      <c r="P253" s="120" t="n">
        <v>0.916</v>
      </c>
      <c r="Q253" s="120" t="n">
        <v>0.004</v>
      </c>
      <c r="R253" s="117" t="n">
        <v>0</v>
      </c>
      <c r="S253" s="118" t="n">
        <v>-6.077</v>
      </c>
      <c r="T253" s="118" t="n">
        <v>0.002</v>
      </c>
      <c r="U253" s="119" t="inlineStr">
        <is>
          <t>✓ Normal</t>
        </is>
      </c>
      <c r="V253" s="117" t="n">
        <v>0</v>
      </c>
      <c r="W253" s="117" t="n">
        <v>0</v>
      </c>
      <c r="X253" s="117" t="n">
        <v>0</v>
      </c>
      <c r="Y253" s="117" t="n">
        <v>0</v>
      </c>
      <c r="Z253" s="117" t="n">
        <v>1</v>
      </c>
      <c r="AA253" s="117" t="n">
        <v>0</v>
      </c>
      <c r="AB253" s="117" t="n">
        <v>1</v>
      </c>
      <c r="AC253" s="119" t="inlineStr">
        <is>
          <t>✓ Clean</t>
        </is>
      </c>
      <c r="AD253" s="118" t="n">
        <v>3212000000</v>
      </c>
      <c r="AE253" s="118" t="n">
        <v>-948000000</v>
      </c>
      <c r="AF253" s="118" t="n">
        <v>2601000000</v>
      </c>
      <c r="AG253" s="118" t="n">
        <v>0.013</v>
      </c>
      <c r="AH253" s="119" t="inlineStr">
        <is>
          <t>✓ Medium Quality</t>
        </is>
      </c>
      <c r="AI253" s="124" t="inlineStr">
        <is>
          <t>N/A</t>
        </is>
      </c>
      <c r="AJ253" s="120" t="n">
        <v>0.043</v>
      </c>
      <c r="AK253" s="124" t="inlineStr">
        <is>
          <t>N/A</t>
        </is>
      </c>
      <c r="AL253" s="120" t="n">
        <v>0.123</v>
      </c>
      <c r="AM253" s="124" t="inlineStr">
        <is>
          <t>N/A</t>
        </is>
      </c>
      <c r="AN253" s="118" t="n">
        <v>94.5</v>
      </c>
      <c r="AO253" s="119" t="inlineStr">
        <is>
          <t>✓ Good</t>
        </is>
      </c>
      <c r="AP253" s="117" t="n">
        <v>0</v>
      </c>
      <c r="AQ253" s="117" t="n">
        <v>0</v>
      </c>
      <c r="AR253" s="117" t="n">
        <v>0</v>
      </c>
      <c r="AS253" s="117" t="n">
        <v>0</v>
      </c>
      <c r="AT253" s="117" t="n">
        <v>0</v>
      </c>
      <c r="AU253" s="117" t="n">
        <v>1</v>
      </c>
      <c r="AV253" s="117" t="n">
        <v>1</v>
      </c>
      <c r="AW253" s="119" t="inlineStr">
        <is>
          <t>✓ Clean</t>
        </is>
      </c>
      <c r="AX253" s="118" t="n">
        <v>19.6</v>
      </c>
      <c r="AY253" s="119" t="inlineStr">
        <is>
          <t>🟢 VERY LOW RISK</t>
        </is>
      </c>
      <c r="AZ253" s="118" t="n">
        <v>0</v>
      </c>
      <c r="BA253" s="124" t="inlineStr">
        <is>
          <t>N/A</t>
        </is>
      </c>
      <c r="BB253" s="124" t="inlineStr">
        <is>
          <t>N/A</t>
        </is>
      </c>
      <c r="BC253" s="124" t="inlineStr">
        <is>
          <t>N/A</t>
        </is>
      </c>
      <c r="BD253" s="124" t="inlineStr">
        <is>
          <t>N/A</t>
        </is>
      </c>
      <c r="BE253" s="124" t="inlineStr">
        <is>
          <t>N/A</t>
        </is>
      </c>
      <c r="BF253" s="120" t="n">
        <v>0.234</v>
      </c>
      <c r="BG253" s="117" t="n">
        <v>0.916</v>
      </c>
      <c r="BH253" s="122" t="n">
        <v>2</v>
      </c>
      <c r="BI253" s="123" t="n">
        <v>0.8333333333333334</v>
      </c>
    </row>
    <row r="254" ht="17" customHeight="1">
      <c r="A254" s="117" t="inlineStr">
        <is>
          <t>HD</t>
        </is>
      </c>
      <c r="B254" s="117" t="inlineStr">
        <is>
          <t>HOME DEPOT, INC.</t>
        </is>
      </c>
      <c r="C254" s="118" t="n">
        <v>1.23</v>
      </c>
      <c r="D254" s="118" t="n">
        <v>0.902</v>
      </c>
      <c r="E254" s="118" t="n">
        <v>1.051</v>
      </c>
      <c r="F254" s="118" t="n">
        <v>0.928</v>
      </c>
      <c r="G254" s="118" t="n">
        <v>0.952</v>
      </c>
      <c r="H254" s="118" t="n">
        <v>1.15</v>
      </c>
      <c r="I254" s="118" t="n">
        <v>0.9429999999999999</v>
      </c>
      <c r="J254" s="118" t="n">
        <v>-0.021</v>
      </c>
      <c r="K254" s="118" t="n">
        <v>-2.473</v>
      </c>
      <c r="L254" s="119" t="inlineStr">
        <is>
          <t>✓ Lower Risk</t>
        </is>
      </c>
      <c r="M254" s="120" t="n">
        <v>-0.039</v>
      </c>
      <c r="N254" s="120" t="n">
        <v>0.136</v>
      </c>
      <c r="O254" s="120" t="n">
        <v>0.463</v>
      </c>
      <c r="P254" s="120" t="n">
        <v>0.733</v>
      </c>
      <c r="Q254" s="120" t="n">
        <v>-0.019</v>
      </c>
      <c r="R254" s="117" t="n">
        <v>1</v>
      </c>
      <c r="S254" s="118" t="n">
        <v>-2.498</v>
      </c>
      <c r="T254" s="118" t="n">
        <v>0.076</v>
      </c>
      <c r="U254" s="121" t="inlineStr">
        <is>
          <t>⚠ HIGH RISK</t>
        </is>
      </c>
      <c r="V254" s="117" t="n">
        <v>1</v>
      </c>
      <c r="W254" s="117" t="n">
        <v>1</v>
      </c>
      <c r="X254" s="117" t="n">
        <v>1</v>
      </c>
      <c r="Y254" s="117" t="n">
        <v>0</v>
      </c>
      <c r="Z254" s="117" t="n">
        <v>1</v>
      </c>
      <c r="AA254" s="117" t="n">
        <v>0</v>
      </c>
      <c r="AB254" s="117" t="n">
        <v>4</v>
      </c>
      <c r="AC254" s="121" t="inlineStr">
        <is>
          <t>⚠⚠ SERIOUS CONCERN</t>
        </is>
      </c>
      <c r="AD254" s="118" t="n">
        <v>16325000000</v>
      </c>
      <c r="AE254" s="118" t="n">
        <v>-8980000000</v>
      </c>
      <c r="AF254" s="118" t="n">
        <v>14156000000</v>
      </c>
      <c r="AG254" s="118" t="n">
        <v>0.068</v>
      </c>
      <c r="AH254" s="119" t="inlineStr">
        <is>
          <t>✓ Medium Quality</t>
        </is>
      </c>
      <c r="AI254" s="118" t="n">
        <v>0.142</v>
      </c>
      <c r="AJ254" s="120" t="n">
        <v>-0.07199999999999999</v>
      </c>
      <c r="AK254" s="120" t="n">
        <v>-1.974</v>
      </c>
      <c r="AL254" s="120" t="n">
        <v>0.247</v>
      </c>
      <c r="AM254" s="120" t="n">
        <v>-0.001</v>
      </c>
      <c r="AN254" s="117" t="n">
        <v>100</v>
      </c>
      <c r="AO254" s="119" t="inlineStr">
        <is>
          <t>✓ Good</t>
        </is>
      </c>
      <c r="AP254" s="117" t="n">
        <v>1</v>
      </c>
      <c r="AQ254" s="117" t="n">
        <v>1</v>
      </c>
      <c r="AR254" s="117" t="n">
        <v>0</v>
      </c>
      <c r="AS254" s="117" t="n">
        <v>1</v>
      </c>
      <c r="AT254" s="117" t="n">
        <v>0</v>
      </c>
      <c r="AU254" s="117" t="n">
        <v>0</v>
      </c>
      <c r="AV254" s="117" t="n">
        <v>3</v>
      </c>
      <c r="AW254" s="121" t="inlineStr">
        <is>
          <t>⚠ WATCH</t>
        </is>
      </c>
      <c r="AX254" s="118" t="n">
        <v>35.7</v>
      </c>
      <c r="AY254" s="119" t="inlineStr">
        <is>
          <t>🟢 LOW RISK</t>
        </is>
      </c>
      <c r="AZ254" s="118" t="n">
        <v>30.9</v>
      </c>
      <c r="BA254" s="118" t="n">
        <v>25.1</v>
      </c>
      <c r="BB254" s="118" t="n">
        <v>85.8</v>
      </c>
      <c r="BC254" s="118" t="n">
        <v>80.59999999999999</v>
      </c>
      <c r="BD254" s="118" t="n">
        <v>38.2</v>
      </c>
      <c r="BE254" s="118" t="n">
        <v>41</v>
      </c>
      <c r="BF254" s="120" t="n">
        <v>0.239</v>
      </c>
      <c r="BG254" s="117" t="n">
        <v>0.733</v>
      </c>
      <c r="BH254" s="122" t="n">
        <v>8</v>
      </c>
      <c r="BI254" s="123" t="n">
        <v>1</v>
      </c>
    </row>
    <row r="255" ht="17" customHeight="1">
      <c r="A255" s="117" t="inlineStr">
        <is>
          <t>UPS</t>
        </is>
      </c>
      <c r="B255" s="117" t="inlineStr">
        <is>
          <t>United Parcel Service, Inc</t>
        </is>
      </c>
      <c r="C255" s="118" t="n">
        <v>0.295</v>
      </c>
      <c r="D255" s="124" t="inlineStr">
        <is>
          <t>N/A</t>
        </is>
      </c>
      <c r="E255" s="118" t="n">
        <v>1.072</v>
      </c>
      <c r="F255" s="118" t="n">
        <v>3.498</v>
      </c>
      <c r="G255" s="118" t="n">
        <v>0.999</v>
      </c>
      <c r="H255" s="124" t="inlineStr">
        <is>
          <t>N/A</t>
        </is>
      </c>
      <c r="I255" s="118" t="n">
        <v>1</v>
      </c>
      <c r="J255" s="118" t="n">
        <v>-0.039</v>
      </c>
      <c r="K255" s="124" t="inlineStr">
        <is>
          <t>N/A</t>
        </is>
      </c>
      <c r="L255" s="124" t="inlineStr">
        <is>
          <t>N/A</t>
        </is>
      </c>
      <c r="M255" s="120" t="n">
        <v>-0.041</v>
      </c>
      <c r="N255" s="120" t="n">
        <v>0.007</v>
      </c>
      <c r="O255" s="120" t="n">
        <v>-0.002</v>
      </c>
      <c r="P255" s="120" t="n">
        <v>0.444</v>
      </c>
      <c r="Q255" s="120" t="n">
        <v>-0.006</v>
      </c>
      <c r="R255" s="117" t="n">
        <v>0</v>
      </c>
      <c r="S255" s="118" t="n">
        <v>-7.027</v>
      </c>
      <c r="T255" s="118" t="n">
        <v>0.001</v>
      </c>
      <c r="U255" s="119" t="inlineStr">
        <is>
          <t>✓ Normal</t>
        </is>
      </c>
      <c r="V255" s="117" t="n">
        <v>1</v>
      </c>
      <c r="W255" s="117" t="n">
        <v>0</v>
      </c>
      <c r="X255" s="117" t="n">
        <v>0</v>
      </c>
      <c r="Y255" s="117" t="n">
        <v>1</v>
      </c>
      <c r="Z255" s="117" t="n">
        <v>1</v>
      </c>
      <c r="AA255" s="117" t="n">
        <v>0</v>
      </c>
      <c r="AB255" s="117" t="n">
        <v>3</v>
      </c>
      <c r="AC255" s="121" t="inlineStr">
        <is>
          <t>⚠ WATCH</t>
        </is>
      </c>
      <c r="AD255" s="118" t="n">
        <v>8450000000</v>
      </c>
      <c r="AE255" s="118" t="n">
        <v>-4735000000</v>
      </c>
      <c r="AF255" s="118" t="n">
        <v>5572000000</v>
      </c>
      <c r="AG255" s="118" t="n">
        <v>0.026</v>
      </c>
      <c r="AH255" s="119" t="inlineStr">
        <is>
          <t>✓ Medium Quality</t>
        </is>
      </c>
      <c r="AI255" s="118" t="n">
        <v>0.031</v>
      </c>
      <c r="AJ255" s="120" t="n">
        <v>2.498</v>
      </c>
      <c r="AK255" s="120" t="n">
        <v>0.012</v>
      </c>
      <c r="AL255" s="120" t="n">
        <v>0.128</v>
      </c>
      <c r="AM255" s="120" t="n">
        <v>0.001</v>
      </c>
      <c r="AN255" s="118" t="n">
        <v>95.7</v>
      </c>
      <c r="AO255" s="119" t="inlineStr">
        <is>
          <t>✓ Good</t>
        </is>
      </c>
      <c r="AP255" s="117" t="n">
        <v>0</v>
      </c>
      <c r="AQ255" s="117" t="n">
        <v>0</v>
      </c>
      <c r="AR255" s="117" t="n">
        <v>0</v>
      </c>
      <c r="AS255" s="117" t="n">
        <v>0</v>
      </c>
      <c r="AT255" s="117" t="n">
        <v>0</v>
      </c>
      <c r="AU255" s="117" t="n">
        <v>1</v>
      </c>
      <c r="AV255" s="117" t="n">
        <v>1</v>
      </c>
      <c r="AW255" s="119" t="inlineStr">
        <is>
          <t>✓ Clean</t>
        </is>
      </c>
      <c r="AX255" s="118" t="n">
        <v>26.2</v>
      </c>
      <c r="AY255" s="119" t="inlineStr">
        <is>
          <t>🟢 LOW RISK</t>
        </is>
      </c>
      <c r="AZ255" s="118" t="n">
        <v>62.1</v>
      </c>
      <c r="BA255" s="118" t="n">
        <v>210.7</v>
      </c>
      <c r="BB255" s="124" t="inlineStr">
        <is>
          <t>N/A</t>
        </is>
      </c>
      <c r="BC255" s="124" t="inlineStr">
        <is>
          <t>N/A</t>
        </is>
      </c>
      <c r="BD255" s="124" t="inlineStr">
        <is>
          <t>N/A</t>
        </is>
      </c>
      <c r="BE255" s="124" t="inlineStr">
        <is>
          <t>N/A</t>
        </is>
      </c>
      <c r="BF255" s="120" t="n">
        <v>0.222</v>
      </c>
      <c r="BG255" s="117" t="n">
        <v>0.444</v>
      </c>
      <c r="BH255" s="122" t="n">
        <v>4</v>
      </c>
      <c r="BI255" s="123" t="n">
        <v>0.8333333333333334</v>
      </c>
    </row>
    <row r="256" ht="17" customHeight="1">
      <c r="A256" s="117" t="inlineStr">
        <is>
          <t>HUBB</t>
        </is>
      </c>
      <c r="B256" s="117" t="inlineStr">
        <is>
          <t>HUBBELL INC</t>
        </is>
      </c>
      <c r="C256" s="118" t="n">
        <v>0.289</v>
      </c>
      <c r="D256" s="118" t="n">
        <v>0.996</v>
      </c>
      <c r="E256" s="118" t="n">
        <v>1.007</v>
      </c>
      <c r="F256" s="118" t="n">
        <v>3.915</v>
      </c>
      <c r="G256" s="118" t="n">
        <v>1.148</v>
      </c>
      <c r="H256" s="118" t="n">
        <v>1.023</v>
      </c>
      <c r="I256" s="118" t="n">
        <v>1.045</v>
      </c>
      <c r="J256" s="118" t="n">
        <v>-0.017</v>
      </c>
      <c r="K256" s="118" t="n">
        <v>-0.615</v>
      </c>
      <c r="L256" s="121" t="inlineStr">
        <is>
          <t>⚠ MANIPULATOR RISK</t>
        </is>
      </c>
      <c r="M256" s="120" t="n">
        <v>-0.011</v>
      </c>
      <c r="N256" s="120" t="n">
        <v>0.023</v>
      </c>
      <c r="O256" s="120" t="n">
        <v>0.056</v>
      </c>
      <c r="P256" s="120" t="n">
        <v>0.839</v>
      </c>
      <c r="Q256" s="120" t="n">
        <v>0.074</v>
      </c>
      <c r="R256" s="117" t="n">
        <v>0</v>
      </c>
      <c r="S256" s="118" t="n">
        <v>-6.149</v>
      </c>
      <c r="T256" s="118" t="n">
        <v>0.002</v>
      </c>
      <c r="U256" s="119" t="inlineStr">
        <is>
          <t>✓ Normal</t>
        </is>
      </c>
      <c r="V256" s="117" t="n">
        <v>1</v>
      </c>
      <c r="W256" s="117" t="n">
        <v>0</v>
      </c>
      <c r="X256" s="117" t="n">
        <v>0</v>
      </c>
      <c r="Y256" s="117" t="n">
        <v>1</v>
      </c>
      <c r="Z256" s="117" t="n">
        <v>1</v>
      </c>
      <c r="AA256" s="117" t="n">
        <v>1</v>
      </c>
      <c r="AB256" s="117" t="n">
        <v>4</v>
      </c>
      <c r="AC256" s="121" t="inlineStr">
        <is>
          <t>⚠⚠ SERIOUS CONCERN</t>
        </is>
      </c>
      <c r="AD256" s="118" t="n">
        <v>1029800000</v>
      </c>
      <c r="AE256" s="118" t="n">
        <v>-1094600000</v>
      </c>
      <c r="AF256" s="118" t="n">
        <v>887100000</v>
      </c>
      <c r="AG256" s="118" t="n">
        <v>0.128</v>
      </c>
      <c r="AH256" s="117" t="inlineStr">
        <is>
          <t>⚠ Low Quality</t>
        </is>
      </c>
      <c r="AI256" s="118" t="n">
        <v>0.133</v>
      </c>
      <c r="AJ256" s="120" t="n">
        <v>2.915</v>
      </c>
      <c r="AK256" s="120" t="n">
        <v>0.046</v>
      </c>
      <c r="AL256" s="120" t="n">
        <v>0.176</v>
      </c>
      <c r="AM256" s="120" t="n">
        <v>-0</v>
      </c>
      <c r="AN256" s="117" t="n">
        <v>100</v>
      </c>
      <c r="AO256" s="119" t="inlineStr">
        <is>
          <t>✓ Good</t>
        </is>
      </c>
      <c r="AP256" s="117" t="n">
        <v>0</v>
      </c>
      <c r="AQ256" s="117" t="n">
        <v>0</v>
      </c>
      <c r="AR256" s="117" t="n">
        <v>0</v>
      </c>
      <c r="AS256" s="117" t="n">
        <v>1</v>
      </c>
      <c r="AT256" s="117" t="n">
        <v>0</v>
      </c>
      <c r="AU256" s="117" t="n">
        <v>1</v>
      </c>
      <c r="AV256" s="117" t="n">
        <v>2</v>
      </c>
      <c r="AW256" s="121" t="inlineStr">
        <is>
          <t>⚠ WATCH</t>
        </is>
      </c>
      <c r="AX256" s="118" t="n">
        <v>30.5</v>
      </c>
      <c r="AY256" s="119" t="inlineStr">
        <is>
          <t>🟢 LOW RISK</t>
        </is>
      </c>
      <c r="AZ256" s="118" t="n">
        <v>53.5</v>
      </c>
      <c r="BA256" s="118" t="n">
        <v>184.9</v>
      </c>
      <c r="BB256" s="118" t="n">
        <v>104.6</v>
      </c>
      <c r="BC256" s="118" t="n">
        <v>317.5</v>
      </c>
      <c r="BD256" s="118" t="n">
        <v>55.1</v>
      </c>
      <c r="BE256" s="118" t="n">
        <v>204.3</v>
      </c>
      <c r="BF256" s="120" t="n">
        <v>0.203</v>
      </c>
      <c r="BG256" s="117" t="n">
        <v>0.839</v>
      </c>
      <c r="BH256" s="122" t="n">
        <v>6</v>
      </c>
      <c r="BI256" s="123" t="n">
        <v>1</v>
      </c>
    </row>
    <row r="257" ht="17" customHeight="1">
      <c r="A257" s="117" t="inlineStr">
        <is>
          <t>PODD</t>
        </is>
      </c>
      <c r="B257" s="117" t="inlineStr">
        <is>
          <t>INSULET CORPORATION</t>
        </is>
      </c>
      <c r="C257" s="118" t="n">
        <v>0.669</v>
      </c>
      <c r="D257" s="118" t="n">
        <v>0.974</v>
      </c>
      <c r="E257" s="118" t="n">
        <v>0.992</v>
      </c>
      <c r="F257" s="118" t="n">
        <v>1.307</v>
      </c>
      <c r="G257" s="118" t="n">
        <v>1</v>
      </c>
      <c r="H257" s="118" t="n">
        <v>0.972</v>
      </c>
      <c r="I257" s="118" t="n">
        <v>0.864</v>
      </c>
      <c r="J257" s="118" t="n">
        <v>-0.101</v>
      </c>
      <c r="K257" s="118" t="n">
        <v>-2.95</v>
      </c>
      <c r="L257" s="119" t="inlineStr">
        <is>
          <t>✓ Lower Risk</t>
        </is>
      </c>
      <c r="M257" s="120" t="n">
        <v>-0.286</v>
      </c>
      <c r="N257" s="120" t="n">
        <v>-0.032</v>
      </c>
      <c r="O257" s="120" t="n">
        <v>0.035</v>
      </c>
      <c r="P257" s="120" t="n">
        <v>0.528</v>
      </c>
      <c r="Q257" s="120" t="n">
        <v>-0.058</v>
      </c>
      <c r="R257" s="117" t="n">
        <v>1</v>
      </c>
      <c r="S257" s="118" t="n">
        <v>-4.013</v>
      </c>
      <c r="T257" s="118" t="n">
        <v>0.018</v>
      </c>
      <c r="U257" s="119" t="inlineStr">
        <is>
          <t>✓ Normal</t>
        </is>
      </c>
      <c r="V257" s="117" t="n">
        <v>0</v>
      </c>
      <c r="W257" s="117" t="n">
        <v>0</v>
      </c>
      <c r="X257" s="117" t="n">
        <v>0</v>
      </c>
      <c r="Y257" s="117" t="n">
        <v>0</v>
      </c>
      <c r="Z257" s="117" t="n">
        <v>0</v>
      </c>
      <c r="AA257" s="117" t="n">
        <v>0</v>
      </c>
      <c r="AB257" s="117" t="n">
        <v>0</v>
      </c>
      <c r="AC257" s="119" t="inlineStr">
        <is>
          <t>✓ Clean</t>
        </is>
      </c>
      <c r="AD257" s="118" t="n">
        <v>569300000</v>
      </c>
      <c r="AE257" s="118" t="n">
        <v>-222700000</v>
      </c>
      <c r="AF257" s="118" t="n">
        <v>247100000</v>
      </c>
      <c r="AG257" s="118" t="n">
        <v>-0.032</v>
      </c>
      <c r="AH257" s="119" t="inlineStr">
        <is>
          <t>✓ Medium Quality</t>
        </is>
      </c>
      <c r="AI257" s="118" t="n">
        <v>-0.125</v>
      </c>
      <c r="AJ257" s="120" t="n">
        <v>0.307</v>
      </c>
      <c r="AK257" s="120" t="n">
        <v>-0.406</v>
      </c>
      <c r="AL257" s="120" t="n">
        <v>0.21</v>
      </c>
      <c r="AM257" s="120" t="n">
        <v>0</v>
      </c>
      <c r="AN257" s="117" t="n">
        <v>100</v>
      </c>
      <c r="AO257" s="119" t="inlineStr">
        <is>
          <t>✓ Good</t>
        </is>
      </c>
      <c r="AP257" s="117" t="n">
        <v>0</v>
      </c>
      <c r="AQ257" s="117" t="n">
        <v>0</v>
      </c>
      <c r="AR257" s="117" t="n">
        <v>0</v>
      </c>
      <c r="AS257" s="117" t="n">
        <v>0</v>
      </c>
      <c r="AT257" s="117" t="n">
        <v>1</v>
      </c>
      <c r="AU257" s="117" t="n">
        <v>0</v>
      </c>
      <c r="AV257" s="117" t="n">
        <v>1</v>
      </c>
      <c r="AW257" s="119" t="inlineStr">
        <is>
          <t>✓ Clean</t>
        </is>
      </c>
      <c r="AX257" s="118" t="n">
        <v>9.800000000000001</v>
      </c>
      <c r="AY257" s="119" t="inlineStr">
        <is>
          <t>🟢 VERY LOW RISK</t>
        </is>
      </c>
      <c r="AZ257" s="118" t="n">
        <v>19</v>
      </c>
      <c r="BA257" s="118" t="n">
        <v>28.4</v>
      </c>
      <c r="BB257" s="118" t="n">
        <v>215</v>
      </c>
      <c r="BC257" s="118" t="n">
        <v>251</v>
      </c>
      <c r="BD257" s="118" t="n">
        <v>35.6</v>
      </c>
      <c r="BE257" s="118" t="n">
        <v>11.5</v>
      </c>
      <c r="BF257" s="120" t="n">
        <v>0.272</v>
      </c>
      <c r="BG257" s="117" t="n">
        <v>0.528</v>
      </c>
      <c r="BH257" s="122" t="n">
        <v>2</v>
      </c>
      <c r="BI257" s="123" t="n">
        <v>1</v>
      </c>
    </row>
    <row r="258" ht="17" customHeight="1">
      <c r="A258" s="117" t="inlineStr">
        <is>
          <t>CMS</t>
        </is>
      </c>
      <c r="B258" s="117" t="inlineStr">
        <is>
          <t>CMS ENERGY CORP</t>
        </is>
      </c>
      <c r="C258" s="118" t="n">
        <v>1.478</v>
      </c>
      <c r="D258" s="118" t="n">
        <v>0.946</v>
      </c>
      <c r="E258" s="118" t="n">
        <v>0.918</v>
      </c>
      <c r="F258" s="118" t="n">
        <v>1.136</v>
      </c>
      <c r="G258" s="118" t="n">
        <v>1.058</v>
      </c>
      <c r="H258" s="124" t="inlineStr">
        <is>
          <t>N/A</t>
        </is>
      </c>
      <c r="I258" s="118" t="n">
        <v>1</v>
      </c>
      <c r="J258" s="118" t="n">
        <v>-0.029</v>
      </c>
      <c r="K258" s="118" t="n">
        <v>-1.938</v>
      </c>
      <c r="L258" s="121" t="inlineStr">
        <is>
          <t>⚠ MANIPULATOR RISK</t>
        </is>
      </c>
      <c r="M258" s="120" t="n">
        <v>-0.026</v>
      </c>
      <c r="N258" s="120" t="n">
        <v>0.618</v>
      </c>
      <c r="O258" s="124" t="inlineStr">
        <is>
          <t>N/A</t>
        </is>
      </c>
      <c r="P258" s="120" t="n">
        <v>0.219</v>
      </c>
      <c r="Q258" s="120" t="n">
        <v>-0.001</v>
      </c>
      <c r="R258" s="117" t="n">
        <v>1</v>
      </c>
      <c r="S258" s="118" t="n">
        <v>-2.849</v>
      </c>
      <c r="T258" s="118" t="n">
        <v>0.055</v>
      </c>
      <c r="U258" s="121" t="inlineStr">
        <is>
          <t>⚠ HIGH RISK</t>
        </is>
      </c>
      <c r="V258" s="117" t="n">
        <v>1</v>
      </c>
      <c r="W258" s="117" t="n">
        <v>1</v>
      </c>
      <c r="X258" s="117" t="n">
        <v>0</v>
      </c>
      <c r="Y258" s="117" t="n">
        <v>1</v>
      </c>
      <c r="Z258" s="117" t="n">
        <v>1</v>
      </c>
      <c r="AA258" s="117" t="n">
        <v>1</v>
      </c>
      <c r="AB258" s="117" t="n">
        <v>5</v>
      </c>
      <c r="AC258" s="121" t="inlineStr">
        <is>
          <t>⚠⚠ SERIOUS CONCERN</t>
        </is>
      </c>
      <c r="AD258" s="118" t="n">
        <v>2235000000</v>
      </c>
      <c r="AE258" s="118" t="n">
        <v>-4038000000</v>
      </c>
      <c r="AF258" s="118" t="n">
        <v>1071000000</v>
      </c>
      <c r="AG258" s="118" t="n">
        <v>0.076</v>
      </c>
      <c r="AH258" s="119" t="inlineStr">
        <is>
          <t>✓ Medium Quality</t>
        </is>
      </c>
      <c r="AI258" s="118" t="n">
        <v>0.68</v>
      </c>
      <c r="AJ258" s="120" t="n">
        <v>0.136</v>
      </c>
      <c r="AK258" s="120" t="n">
        <v>4.99</v>
      </c>
      <c r="AL258" s="120" t="n">
        <v>0.262</v>
      </c>
      <c r="AM258" s="124" t="inlineStr">
        <is>
          <t>N/A</t>
        </is>
      </c>
      <c r="AN258" s="117" t="n">
        <v>70</v>
      </c>
      <c r="AO258" s="119" t="inlineStr">
        <is>
          <t>✓ Good</t>
        </is>
      </c>
      <c r="AP258" s="117" t="n">
        <v>0</v>
      </c>
      <c r="AQ258" s="117" t="n">
        <v>0</v>
      </c>
      <c r="AR258" s="117" t="n">
        <v>0</v>
      </c>
      <c r="AS258" s="117" t="n">
        <v>0</v>
      </c>
      <c r="AT258" s="117" t="n">
        <v>0</v>
      </c>
      <c r="AU258" s="117" t="n">
        <v>0</v>
      </c>
      <c r="AV258" s="117" t="n">
        <v>0</v>
      </c>
      <c r="AW258" s="119" t="inlineStr">
        <is>
          <t>✓ Clean</t>
        </is>
      </c>
      <c r="AX258" s="118" t="n">
        <v>36.6</v>
      </c>
      <c r="AY258" s="119" t="inlineStr">
        <is>
          <t>🟢 LOW RISK</t>
        </is>
      </c>
      <c r="AZ258" s="118" t="n">
        <v>66.90000000000001</v>
      </c>
      <c r="BA258" s="118" t="n">
        <v>45.2</v>
      </c>
      <c r="BB258" s="124" t="inlineStr">
        <is>
          <t>N/A</t>
        </is>
      </c>
      <c r="BC258" s="124" t="inlineStr">
        <is>
          <t>N/A</t>
        </is>
      </c>
      <c r="BD258" s="118" t="n">
        <v>56.2</v>
      </c>
      <c r="BE258" s="118" t="n">
        <v>58.9</v>
      </c>
      <c r="BF258" s="120" t="n">
        <v>0.197</v>
      </c>
      <c r="BG258" s="117" t="n">
        <v>0.219</v>
      </c>
      <c r="BH258" s="122" t="n">
        <v>6</v>
      </c>
      <c r="BI258" s="123" t="n">
        <v>1</v>
      </c>
    </row>
    <row r="259" ht="17" customHeight="1">
      <c r="A259" s="117" t="inlineStr">
        <is>
          <t>PRU</t>
        </is>
      </c>
      <c r="B259" s="117" t="inlineStr">
        <is>
          <t>PRUDENTIAL FINANCIAL INC</t>
        </is>
      </c>
      <c r="C259" s="124" t="inlineStr">
        <is>
          <t>N/A</t>
        </is>
      </c>
      <c r="D259" s="118" t="n">
        <v>0.595</v>
      </c>
      <c r="E259" s="124" t="inlineStr">
        <is>
          <t>N/A</t>
        </is>
      </c>
      <c r="F259" s="118" t="n">
        <v>0.863</v>
      </c>
      <c r="G259" s="124" t="inlineStr">
        <is>
          <t>N/A</t>
        </is>
      </c>
      <c r="H259" s="118" t="n">
        <v>1.123</v>
      </c>
      <c r="I259" s="118" t="n">
        <v>0.995</v>
      </c>
      <c r="J259" s="118" t="n">
        <v>-0.003</v>
      </c>
      <c r="K259" s="124" t="inlineStr">
        <is>
          <t>N/A</t>
        </is>
      </c>
      <c r="L259" s="124" t="inlineStr">
        <is>
          <t>N/A</t>
        </is>
      </c>
      <c r="M259" s="124" t="inlineStr">
        <is>
          <t>N/A</t>
        </is>
      </c>
      <c r="N259" s="124" t="inlineStr">
        <is>
          <t>N/A</t>
        </is>
      </c>
      <c r="O259" s="124" t="inlineStr">
        <is>
          <t>N/A</t>
        </is>
      </c>
      <c r="P259" s="120" t="n">
        <v>0.975</v>
      </c>
      <c r="Q259" s="120" t="n">
        <v>0.001</v>
      </c>
      <c r="R259" s="117" t="n">
        <v>0</v>
      </c>
      <c r="S259" s="124" t="inlineStr">
        <is>
          <t>N/A</t>
        </is>
      </c>
      <c r="T259" s="124" t="inlineStr">
        <is>
          <t>N/A</t>
        </is>
      </c>
      <c r="U259" s="124" t="inlineStr">
        <is>
          <t>N/A</t>
        </is>
      </c>
      <c r="V259" s="117" t="n">
        <v>1</v>
      </c>
      <c r="W259" s="117" t="n">
        <v>0</v>
      </c>
      <c r="X259" s="117" t="n">
        <v>0</v>
      </c>
      <c r="Y259" s="117" t="n">
        <v>0</v>
      </c>
      <c r="Z259" s="117" t="n">
        <v>1</v>
      </c>
      <c r="AA259" s="117" t="n">
        <v>0</v>
      </c>
      <c r="AB259" s="117" t="n">
        <v>2</v>
      </c>
      <c r="AC259" s="121" t="inlineStr">
        <is>
          <t>⚠ WATCH</t>
        </is>
      </c>
      <c r="AD259" s="118" t="n">
        <v>6271000000</v>
      </c>
      <c r="AE259" s="118" t="n">
        <v>-25892000000</v>
      </c>
      <c r="AF259" s="118" t="n">
        <v>3576000000</v>
      </c>
      <c r="AG259" s="118" t="n">
        <v>0.031</v>
      </c>
      <c r="AH259" s="119" t="inlineStr">
        <is>
          <t>✓ Medium Quality</t>
        </is>
      </c>
      <c r="AI259" s="124" t="inlineStr">
        <is>
          <t>N/A</t>
        </is>
      </c>
      <c r="AJ259" s="120" t="n">
        <v>-0.137</v>
      </c>
      <c r="AK259" s="124" t="inlineStr">
        <is>
          <t>N/A</t>
        </is>
      </c>
      <c r="AL259" s="120" t="n">
        <v>0.103</v>
      </c>
      <c r="AM259" s="124" t="inlineStr">
        <is>
          <t>N/A</t>
        </is>
      </c>
      <c r="AN259" s="118" t="n">
        <v>90.59999999999999</v>
      </c>
      <c r="AO259" s="119" t="inlineStr">
        <is>
          <t>✓ Good</t>
        </is>
      </c>
      <c r="AP259" s="117" t="n">
        <v>0</v>
      </c>
      <c r="AQ259" s="117" t="n">
        <v>0</v>
      </c>
      <c r="AR259" s="117" t="n">
        <v>0</v>
      </c>
      <c r="AS259" s="117" t="n">
        <v>1</v>
      </c>
      <c r="AT259" s="117" t="n">
        <v>0</v>
      </c>
      <c r="AU259" s="117" t="n">
        <v>0</v>
      </c>
      <c r="AV259" s="117" t="n">
        <v>1</v>
      </c>
      <c r="AW259" s="119" t="inlineStr">
        <is>
          <t>✓ Clean</t>
        </is>
      </c>
      <c r="AX259" s="118" t="n">
        <v>30.6</v>
      </c>
      <c r="AY259" s="119" t="inlineStr">
        <is>
          <t>🟢 LOW RISK</t>
        </is>
      </c>
      <c r="AZ259" s="118" t="n">
        <v>0</v>
      </c>
      <c r="BA259" s="124" t="inlineStr">
        <is>
          <t>N/A</t>
        </is>
      </c>
      <c r="BB259" s="124" t="inlineStr">
        <is>
          <t>N/A</t>
        </is>
      </c>
      <c r="BC259" s="124" t="inlineStr">
        <is>
          <t>N/A</t>
        </is>
      </c>
      <c r="BD259" s="124" t="inlineStr">
        <is>
          <t>N/A</t>
        </is>
      </c>
      <c r="BE259" s="124" t="inlineStr">
        <is>
          <t>N/A</t>
        </is>
      </c>
      <c r="BF259" s="120" t="n">
        <v>0.482</v>
      </c>
      <c r="BG259" s="117" t="n">
        <v>0.975</v>
      </c>
      <c r="BH259" s="122" t="n">
        <v>3</v>
      </c>
      <c r="BI259" s="125" t="n">
        <v>0.6666666666666666</v>
      </c>
    </row>
    <row r="260" ht="17" customHeight="1">
      <c r="A260" s="117" t="inlineStr">
        <is>
          <t>NTRA</t>
        </is>
      </c>
      <c r="B260" s="117" t="inlineStr">
        <is>
          <t>NATERA, INC.</t>
        </is>
      </c>
      <c r="C260" s="118" t="n">
        <v>0.241</v>
      </c>
      <c r="D260" s="118" t="n">
        <v>3.443</v>
      </c>
      <c r="E260" s="118" t="n">
        <v>3.721</v>
      </c>
      <c r="F260" s="118" t="n">
        <v>3.923</v>
      </c>
      <c r="G260" s="118" t="n">
        <v>1.087</v>
      </c>
      <c r="H260" s="118" t="n">
        <v>0.357</v>
      </c>
      <c r="I260" s="118" t="n">
        <v>1.021</v>
      </c>
      <c r="J260" s="118" t="n">
        <v>-0.177</v>
      </c>
      <c r="K260" s="118" t="n">
        <v>1.106</v>
      </c>
      <c r="L260" s="121" t="inlineStr">
        <is>
          <t>⚠ MANIPULATOR RISK</t>
        </is>
      </c>
      <c r="M260" s="120" t="n">
        <v>-0.167</v>
      </c>
      <c r="N260" s="120" t="n">
        <v>-0.112</v>
      </c>
      <c r="O260" s="120" t="n">
        <v>0.151</v>
      </c>
      <c r="P260" s="120" t="n">
        <v>0.705</v>
      </c>
      <c r="Q260" s="120" t="n">
        <v>0.028</v>
      </c>
      <c r="R260" s="117" t="n">
        <v>1</v>
      </c>
      <c r="S260" s="118" t="n">
        <v>-3.67</v>
      </c>
      <c r="T260" s="118" t="n">
        <v>0.025</v>
      </c>
      <c r="U260" s="119" t="inlineStr">
        <is>
          <t>✓ Normal</t>
        </is>
      </c>
      <c r="V260" s="117" t="n">
        <v>1</v>
      </c>
      <c r="W260" s="117" t="n">
        <v>0</v>
      </c>
      <c r="X260" s="117" t="n">
        <v>0</v>
      </c>
      <c r="Y260" s="117" t="n">
        <v>1</v>
      </c>
      <c r="Z260" s="117" t="n">
        <v>1</v>
      </c>
      <c r="AA260" s="117" t="n">
        <v>1</v>
      </c>
      <c r="AB260" s="117" t="n">
        <v>4</v>
      </c>
      <c r="AC260" s="121" t="inlineStr">
        <is>
          <t>⚠⚠ SERIOUS CONCERN</t>
        </is>
      </c>
      <c r="AD260" s="118" t="n">
        <v>215301000</v>
      </c>
      <c r="AE260" s="118" t="n">
        <v>-132209000</v>
      </c>
      <c r="AF260" s="118" t="n">
        <v>-208160000</v>
      </c>
      <c r="AG260" s="118" t="n">
        <v>-0.144</v>
      </c>
      <c r="AH260" s="119" t="inlineStr">
        <is>
          <t>✓ High Quality</t>
        </is>
      </c>
      <c r="AI260" s="118" t="n">
        <v>-0.056</v>
      </c>
      <c r="AJ260" s="120" t="n">
        <v>2.923</v>
      </c>
      <c r="AK260" s="120" t="n">
        <v>-0.019</v>
      </c>
      <c r="AL260" s="120" t="n">
        <v>1.021</v>
      </c>
      <c r="AM260" s="120" t="n">
        <v>0.004</v>
      </c>
      <c r="AN260" s="117" t="n">
        <v>100</v>
      </c>
      <c r="AO260" s="119" t="inlineStr">
        <is>
          <t>✓ Good</t>
        </is>
      </c>
      <c r="AP260" s="117" t="n">
        <v>0</v>
      </c>
      <c r="AQ260" s="117" t="n">
        <v>0</v>
      </c>
      <c r="AR260" s="117" t="n">
        <v>1</v>
      </c>
      <c r="AS260" s="117" t="n">
        <v>0</v>
      </c>
      <c r="AT260" s="117" t="n">
        <v>1</v>
      </c>
      <c r="AU260" s="117" t="n">
        <v>0</v>
      </c>
      <c r="AV260" s="117" t="n">
        <v>2</v>
      </c>
      <c r="AW260" s="121" t="inlineStr">
        <is>
          <t>⚠ WATCH</t>
        </is>
      </c>
      <c r="AX260" s="118" t="n">
        <v>39.4</v>
      </c>
      <c r="AY260" s="119" t="inlineStr">
        <is>
          <t>🟢 LOW RISK</t>
        </is>
      </c>
      <c r="AZ260" s="118" t="n">
        <v>513.1</v>
      </c>
      <c r="BA260" s="118" t="n">
        <v>2132.8</v>
      </c>
      <c r="BB260" s="118" t="n">
        <v>158</v>
      </c>
      <c r="BC260" s="118" t="n">
        <v>404.8</v>
      </c>
      <c r="BD260" s="118" t="n">
        <v>76.59999999999999</v>
      </c>
      <c r="BE260" s="118" t="n">
        <v>315.9</v>
      </c>
      <c r="BF260" s="120" t="n">
        <v>0.224</v>
      </c>
      <c r="BG260" s="117" t="n">
        <v>0.705</v>
      </c>
      <c r="BH260" s="122" t="n">
        <v>7</v>
      </c>
      <c r="BI260" s="123" t="n">
        <v>1</v>
      </c>
    </row>
    <row r="261" ht="17" customHeight="1">
      <c r="A261" s="117" t="inlineStr">
        <is>
          <t>LITE</t>
        </is>
      </c>
      <c r="B261" s="117" t="inlineStr">
        <is>
          <t>Lumentum Holdings Inc.</t>
        </is>
      </c>
      <c r="C261" s="118" t="n">
        <v>1.268</v>
      </c>
      <c r="D261" s="118" t="n">
        <v>0.511</v>
      </c>
      <c r="E261" s="118" t="n">
        <v>1.01</v>
      </c>
      <c r="F261" s="118" t="n">
        <v>0.9350000000000001</v>
      </c>
      <c r="G261" s="118" t="n">
        <v>1.048</v>
      </c>
      <c r="H261" s="118" t="n">
        <v>1.199</v>
      </c>
      <c r="I261" s="118" t="n">
        <v>0.966</v>
      </c>
      <c r="J261" s="118" t="n">
        <v>-0.024</v>
      </c>
      <c r="K261" s="118" t="n">
        <v>-2.675</v>
      </c>
      <c r="L261" s="119" t="inlineStr">
        <is>
          <t>✓ Lower Risk</t>
        </is>
      </c>
      <c r="M261" s="120" t="n">
        <v>-0.044</v>
      </c>
      <c r="N261" s="120" t="n">
        <v>1.088</v>
      </c>
      <c r="O261" s="120" t="n">
        <v>2.534</v>
      </c>
      <c r="P261" s="120" t="n">
        <v>0.774</v>
      </c>
      <c r="Q261" s="120" t="n">
        <v>0.145</v>
      </c>
      <c r="R261" s="117" t="n">
        <v>1</v>
      </c>
      <c r="S261" s="118" t="n">
        <v>2.372</v>
      </c>
      <c r="T261" s="118" t="n">
        <v>0.915</v>
      </c>
      <c r="U261" s="121" t="inlineStr">
        <is>
          <t>⚠ HIGH RISK</t>
        </is>
      </c>
      <c r="V261" s="117" t="n">
        <v>1</v>
      </c>
      <c r="W261" s="117" t="n">
        <v>1</v>
      </c>
      <c r="X261" s="117" t="n">
        <v>1</v>
      </c>
      <c r="Y261" s="117" t="n">
        <v>0</v>
      </c>
      <c r="Z261" s="117" t="n">
        <v>1</v>
      </c>
      <c r="AA261" s="117" t="n">
        <v>0</v>
      </c>
      <c r="AB261" s="117" t="n">
        <v>4</v>
      </c>
      <c r="AC261" s="121" t="inlineStr">
        <is>
          <t>⚠⚠ SERIOUS CONCERN</t>
        </is>
      </c>
      <c r="AD261" s="118" t="n">
        <v>126300000</v>
      </c>
      <c r="AE261" s="118" t="n">
        <v>-84100000</v>
      </c>
      <c r="AF261" s="118" t="n">
        <v>25900000</v>
      </c>
      <c r="AG261" s="118" t="n">
        <v>-0.004</v>
      </c>
      <c r="AH261" s="119" t="inlineStr">
        <is>
          <t>✓ Medium Quality</t>
        </is>
      </c>
      <c r="AI261" s="118" t="n">
        <v>0.185</v>
      </c>
      <c r="AJ261" s="120" t="n">
        <v>-0.065</v>
      </c>
      <c r="AK261" s="120" t="n">
        <v>-2.833</v>
      </c>
      <c r="AL261" s="120" t="n">
        <v>0.312</v>
      </c>
      <c r="AM261" s="120" t="n">
        <v>-0.01</v>
      </c>
      <c r="AN261" s="118" t="n">
        <v>99.5</v>
      </c>
      <c r="AO261" s="119" t="inlineStr">
        <is>
          <t>✓ Good</t>
        </is>
      </c>
      <c r="AP261" s="117" t="n">
        <v>1</v>
      </c>
      <c r="AQ261" s="117" t="n">
        <v>1</v>
      </c>
      <c r="AR261" s="117" t="n">
        <v>0</v>
      </c>
      <c r="AS261" s="117" t="n">
        <v>1</v>
      </c>
      <c r="AT261" s="117" t="n">
        <v>0</v>
      </c>
      <c r="AU261" s="117" t="n">
        <v>0</v>
      </c>
      <c r="AV261" s="117" t="n">
        <v>3</v>
      </c>
      <c r="AW261" s="121" t="inlineStr">
        <is>
          <t>⚠ WATCH</t>
        </is>
      </c>
      <c r="AX261" s="118" t="n">
        <v>52.4</v>
      </c>
      <c r="AY261" s="121" t="inlineStr">
        <is>
          <t>🟡 ELEVATED RISK</t>
        </is>
      </c>
      <c r="AZ261" s="118" t="n">
        <v>177.8</v>
      </c>
      <c r="BA261" s="118" t="n">
        <v>140.2</v>
      </c>
      <c r="BB261" s="118" t="n">
        <v>157</v>
      </c>
      <c r="BC261" s="118" t="n">
        <v>179</v>
      </c>
      <c r="BD261" s="118" t="n">
        <v>75.2</v>
      </c>
      <c r="BE261" s="118" t="n">
        <v>56.7</v>
      </c>
      <c r="BF261" s="120" t="n">
        <v>5.946</v>
      </c>
      <c r="BG261" s="117" t="n">
        <v>0.774</v>
      </c>
      <c r="BH261" s="122" t="n">
        <v>8</v>
      </c>
      <c r="BI261" s="123" t="n">
        <v>1</v>
      </c>
    </row>
    <row r="262" ht="17" customHeight="1">
      <c r="A262" s="117" t="inlineStr">
        <is>
          <t>GEV</t>
        </is>
      </c>
      <c r="B262" s="117" t="inlineStr">
        <is>
          <t>GE Vernova Inc.</t>
        </is>
      </c>
      <c r="C262" s="118" t="n">
        <v>1.1</v>
      </c>
      <c r="D262" s="118" t="n">
        <v>0.88</v>
      </c>
      <c r="E262" s="124" t="inlineStr">
        <is>
          <t>N/A</t>
        </is>
      </c>
      <c r="F262" s="118" t="n">
        <v>1.09</v>
      </c>
      <c r="G262" s="124" t="inlineStr">
        <is>
          <t>N/A</t>
        </is>
      </c>
      <c r="H262" s="118" t="n">
        <v>0.981</v>
      </c>
      <c r="I262" s="118" t="n">
        <v>1.013</v>
      </c>
      <c r="J262" s="118" t="n">
        <v>-0.002</v>
      </c>
      <c r="K262" s="124" t="inlineStr">
        <is>
          <t>N/A</t>
        </is>
      </c>
      <c r="L262" s="124" t="inlineStr">
        <is>
          <t>N/A</t>
        </is>
      </c>
      <c r="M262" s="120" t="n">
        <v>-0.061</v>
      </c>
      <c r="N262" s="120" t="n">
        <v>0.519</v>
      </c>
      <c r="O262" s="120" t="n">
        <v>0.588</v>
      </c>
      <c r="P262" s="120" t="n">
        <v>1</v>
      </c>
      <c r="Q262" s="120" t="n">
        <v>0.047</v>
      </c>
      <c r="R262" s="117" t="n">
        <v>0</v>
      </c>
      <c r="S262" s="118" t="n">
        <v>-3.976</v>
      </c>
      <c r="T262" s="118" t="n">
        <v>0.018</v>
      </c>
      <c r="U262" s="119" t="inlineStr">
        <is>
          <t>✓ Normal</t>
        </is>
      </c>
      <c r="V262" s="117" t="n">
        <v>1</v>
      </c>
      <c r="W262" s="117" t="n">
        <v>1</v>
      </c>
      <c r="X262" s="117" t="n">
        <v>1</v>
      </c>
      <c r="Y262" s="117" t="n">
        <v>0</v>
      </c>
      <c r="Z262" s="117" t="n">
        <v>1</v>
      </c>
      <c r="AA262" s="117" t="n">
        <v>1</v>
      </c>
      <c r="AB262" s="117" t="n">
        <v>5</v>
      </c>
      <c r="AC262" s="121" t="inlineStr">
        <is>
          <t>⚠⚠ SERIOUS CONCERN</t>
        </is>
      </c>
      <c r="AD262" s="118" t="n">
        <v>4987000000</v>
      </c>
      <c r="AE262" s="118" t="n">
        <v>-755000000</v>
      </c>
      <c r="AF262" s="118" t="n">
        <v>4884000000</v>
      </c>
      <c r="AG262" s="118" t="n">
        <v>0.011</v>
      </c>
      <c r="AH262" s="119" t="inlineStr">
        <is>
          <t>✓ Medium Quality</t>
        </is>
      </c>
      <c r="AI262" s="118" t="n">
        <v>0.199</v>
      </c>
      <c r="AJ262" s="120" t="n">
        <v>0.09</v>
      </c>
      <c r="AK262" s="120" t="n">
        <v>2.217</v>
      </c>
      <c r="AL262" s="120" t="n">
        <v>0.131</v>
      </c>
      <c r="AM262" s="120" t="n">
        <v>0.215</v>
      </c>
      <c r="AN262" s="118" t="n">
        <v>76.2</v>
      </c>
      <c r="AO262" s="119" t="inlineStr">
        <is>
          <t>✓ Good</t>
        </is>
      </c>
      <c r="AP262" s="117" t="n">
        <v>0</v>
      </c>
      <c r="AQ262" s="117" t="n">
        <v>0</v>
      </c>
      <c r="AR262" s="117" t="n">
        <v>0</v>
      </c>
      <c r="AS262" s="117" t="n">
        <v>0</v>
      </c>
      <c r="AT262" s="117" t="n">
        <v>1</v>
      </c>
      <c r="AU262" s="117" t="n">
        <v>1</v>
      </c>
      <c r="AV262" s="117" t="n">
        <v>2</v>
      </c>
      <c r="AW262" s="121" t="inlineStr">
        <is>
          <t>⚠ WATCH</t>
        </is>
      </c>
      <c r="AX262" s="118" t="n">
        <v>37</v>
      </c>
      <c r="AY262" s="119" t="inlineStr">
        <is>
          <t>🟢 LOW RISK</t>
        </is>
      </c>
      <c r="AZ262" s="118" t="n">
        <v>94</v>
      </c>
      <c r="BA262" s="118" t="n">
        <v>85.40000000000001</v>
      </c>
      <c r="BB262" s="118" t="n">
        <v>124.7</v>
      </c>
      <c r="BC262" s="118" t="n">
        <v>108.6</v>
      </c>
      <c r="BD262" s="118" t="n">
        <v>146.9</v>
      </c>
      <c r="BE262" s="124" t="inlineStr">
        <is>
          <t>N/A</t>
        </is>
      </c>
      <c r="BF262" s="120" t="n">
        <v>-0.725</v>
      </c>
      <c r="BG262" s="117" t="n">
        <v>1</v>
      </c>
      <c r="BH262" s="122" t="n">
        <v>7</v>
      </c>
      <c r="BI262" s="123" t="n">
        <v>0.8333333333333334</v>
      </c>
    </row>
    <row r="263" ht="17" customHeight="1">
      <c r="A263" s="117" t="inlineStr">
        <is>
          <t>IRT</t>
        </is>
      </c>
      <c r="B263" s="117" t="inlineStr">
        <is>
          <t>INDEPENDENCE REALTY TRUST, INC.</t>
        </is>
      </c>
      <c r="C263" s="124" t="inlineStr">
        <is>
          <t>N/A</t>
        </is>
      </c>
      <c r="D263" s="118" t="n">
        <v>0.97</v>
      </c>
      <c r="E263" s="124" t="inlineStr">
        <is>
          <t>N/A</t>
        </is>
      </c>
      <c r="F263" s="118" t="n">
        <v>3.935</v>
      </c>
      <c r="G263" s="124" t="inlineStr">
        <is>
          <t>N/A</t>
        </is>
      </c>
      <c r="H263" s="118" t="n">
        <v>0.251</v>
      </c>
      <c r="I263" s="118" t="n">
        <v>0.986</v>
      </c>
      <c r="J263" s="118" t="n">
        <v>-0.037</v>
      </c>
      <c r="K263" s="124" t="inlineStr">
        <is>
          <t>N/A</t>
        </is>
      </c>
      <c r="L263" s="124" t="inlineStr">
        <is>
          <t>N/A</t>
        </is>
      </c>
      <c r="M263" s="124" t="inlineStr">
        <is>
          <t>N/A</t>
        </is>
      </c>
      <c r="N263" s="124" t="inlineStr">
        <is>
          <t>N/A</t>
        </is>
      </c>
      <c r="O263" s="124" t="inlineStr">
        <is>
          <t>N/A</t>
        </is>
      </c>
      <c r="P263" s="120" t="n">
        <v>0.996</v>
      </c>
      <c r="Q263" s="120" t="n">
        <v>0.004</v>
      </c>
      <c r="R263" s="117" t="n">
        <v>1</v>
      </c>
      <c r="S263" s="124" t="inlineStr">
        <is>
          <t>N/A</t>
        </is>
      </c>
      <c r="T263" s="124" t="inlineStr">
        <is>
          <t>N/A</t>
        </is>
      </c>
      <c r="U263" s="124" t="inlineStr">
        <is>
          <t>N/A</t>
        </is>
      </c>
      <c r="V263" s="117" t="n">
        <v>1</v>
      </c>
      <c r="W263" s="117" t="n">
        <v>0</v>
      </c>
      <c r="X263" s="117" t="n">
        <v>0</v>
      </c>
      <c r="Y263" s="117" t="n">
        <v>0</v>
      </c>
      <c r="Z263" s="117" t="n">
        <v>0</v>
      </c>
      <c r="AA263" s="117" t="n">
        <v>0</v>
      </c>
      <c r="AB263" s="117" t="n">
        <v>1</v>
      </c>
      <c r="AC263" s="119" t="inlineStr">
        <is>
          <t>✓ Clean</t>
        </is>
      </c>
      <c r="AD263" s="118" t="n">
        <v>282149000</v>
      </c>
      <c r="AE263" s="118" t="n">
        <v>-142911000</v>
      </c>
      <c r="AF263" s="118" t="n">
        <v>56558000</v>
      </c>
      <c r="AG263" s="118" t="n">
        <v>-0.014</v>
      </c>
      <c r="AH263" s="119" t="inlineStr">
        <is>
          <t>✓ Medium Quality</t>
        </is>
      </c>
      <c r="AI263" s="124" t="inlineStr">
        <is>
          <t>N/A</t>
        </is>
      </c>
      <c r="AJ263" s="120" t="n">
        <v>2.935</v>
      </c>
      <c r="AK263" s="124" t="inlineStr">
        <is>
          <t>N/A</t>
        </is>
      </c>
      <c r="AL263" s="120" t="n">
        <v>0.429</v>
      </c>
      <c r="AM263" s="120" t="n">
        <v>0.001</v>
      </c>
      <c r="AN263" s="117" t="n">
        <v>100</v>
      </c>
      <c r="AO263" s="119" t="inlineStr">
        <is>
          <t>✓ Good</t>
        </is>
      </c>
      <c r="AP263" s="117" t="n">
        <v>0</v>
      </c>
      <c r="AQ263" s="117" t="n">
        <v>0</v>
      </c>
      <c r="AR263" s="117" t="n">
        <v>0</v>
      </c>
      <c r="AS263" s="117" t="n">
        <v>0</v>
      </c>
      <c r="AT263" s="117" t="n">
        <v>0</v>
      </c>
      <c r="AU263" s="117" t="n">
        <v>0</v>
      </c>
      <c r="AV263" s="117" t="n">
        <v>0</v>
      </c>
      <c r="AW263" s="119" t="inlineStr">
        <is>
          <t>✓ Clean</t>
        </is>
      </c>
      <c r="AX263" s="118" t="n">
        <v>25.6</v>
      </c>
      <c r="AY263" s="119" t="inlineStr">
        <is>
          <t>🟢 LOW RISK</t>
        </is>
      </c>
      <c r="AZ263" s="118" t="n">
        <v>0</v>
      </c>
      <c r="BA263" s="124" t="inlineStr">
        <is>
          <t>N/A</t>
        </is>
      </c>
      <c r="BB263" s="124" t="inlineStr">
        <is>
          <t>N/A</t>
        </is>
      </c>
      <c r="BC263" s="124" t="inlineStr">
        <is>
          <t>N/A</t>
        </is>
      </c>
      <c r="BD263" s="124" t="inlineStr">
        <is>
          <t>N/A</t>
        </is>
      </c>
      <c r="BE263" s="124" t="inlineStr">
        <is>
          <t>N/A</t>
        </is>
      </c>
      <c r="BF263" s="120" t="n">
        <v>0</v>
      </c>
      <c r="BG263" s="117" t="n">
        <v>0.996</v>
      </c>
      <c r="BH263" s="122" t="n">
        <v>2</v>
      </c>
      <c r="BI263" s="125" t="n">
        <v>0.6666666666666666</v>
      </c>
    </row>
    <row r="264" ht="17" customHeight="1">
      <c r="A264" s="117" t="inlineStr">
        <is>
          <t>EXPE</t>
        </is>
      </c>
      <c r="B264" s="117" t="inlineStr">
        <is>
          <t>EXPEDIA GROUP, INC.</t>
        </is>
      </c>
      <c r="C264" s="118" t="n">
        <v>1.205</v>
      </c>
      <c r="D264" s="118" t="n">
        <v>1.004</v>
      </c>
      <c r="E264" s="118" t="n">
        <v>0.884</v>
      </c>
      <c r="F264" s="118" t="n">
        <v>1.076</v>
      </c>
      <c r="G264" s="118" t="n">
        <v>0.969</v>
      </c>
      <c r="H264" s="118" t="n">
        <v>0.883</v>
      </c>
      <c r="I264" s="118" t="n">
        <v>1</v>
      </c>
      <c r="J264" s="118" t="n">
        <v>-0.106</v>
      </c>
      <c r="K264" s="118" t="n">
        <v>-2.747</v>
      </c>
      <c r="L264" s="119" t="inlineStr">
        <is>
          <t>✓ Lower Risk</t>
        </is>
      </c>
      <c r="M264" s="120" t="n">
        <v>-0.114</v>
      </c>
      <c r="N264" s="120" t="n">
        <v>0.915</v>
      </c>
      <c r="O264" s="124" t="inlineStr">
        <is>
          <t>N/A</t>
        </is>
      </c>
      <c r="P264" s="120" t="n">
        <v>0.679</v>
      </c>
      <c r="Q264" s="120" t="n">
        <v>-0.002</v>
      </c>
      <c r="R264" s="117" t="n">
        <v>0</v>
      </c>
      <c r="S264" s="118" t="n">
        <v>-4.336</v>
      </c>
      <c r="T264" s="118" t="n">
        <v>0.013</v>
      </c>
      <c r="U264" s="119" t="inlineStr">
        <is>
          <t>✓ Normal</t>
        </is>
      </c>
      <c r="V264" s="117" t="n">
        <v>0</v>
      </c>
      <c r="W264" s="117" t="n">
        <v>1</v>
      </c>
      <c r="X264" s="117" t="n">
        <v>0</v>
      </c>
      <c r="Y264" s="117" t="n">
        <v>0</v>
      </c>
      <c r="Z264" s="117" t="n">
        <v>1</v>
      </c>
      <c r="AA264" s="117" t="n">
        <v>0</v>
      </c>
      <c r="AB264" s="117" t="n">
        <v>2</v>
      </c>
      <c r="AC264" s="121" t="inlineStr">
        <is>
          <t>⚠ WATCH</t>
        </is>
      </c>
      <c r="AD264" s="118" t="n">
        <v>3880000000</v>
      </c>
      <c r="AE264" s="118" t="n">
        <v>-531000000</v>
      </c>
      <c r="AF264" s="118" t="n">
        <v>1294000000</v>
      </c>
      <c r="AG264" s="118" t="n">
        <v>-0.08799999999999999</v>
      </c>
      <c r="AH264" s="119" t="inlineStr">
        <is>
          <t>✓ Medium Quality</t>
        </is>
      </c>
      <c r="AI264" s="118" t="n">
        <v>0.297</v>
      </c>
      <c r="AJ264" s="120" t="n">
        <v>0.076</v>
      </c>
      <c r="AK264" s="120" t="n">
        <v>3.897</v>
      </c>
      <c r="AL264" s="120" t="n">
        <v>0.263</v>
      </c>
      <c r="AM264" s="120" t="n">
        <v>0.003</v>
      </c>
      <c r="AN264" s="118" t="n">
        <v>70.09999999999999</v>
      </c>
      <c r="AO264" s="119" t="inlineStr">
        <is>
          <t>✓ Good</t>
        </is>
      </c>
      <c r="AP264" s="117" t="n">
        <v>0</v>
      </c>
      <c r="AQ264" s="117" t="n">
        <v>0</v>
      </c>
      <c r="AR264" s="117" t="n">
        <v>1</v>
      </c>
      <c r="AS264" s="117" t="n">
        <v>0</v>
      </c>
      <c r="AT264" s="117" t="n">
        <v>0</v>
      </c>
      <c r="AU264" s="117" t="n">
        <v>1</v>
      </c>
      <c r="AV264" s="117" t="n">
        <v>2</v>
      </c>
      <c r="AW264" s="121" t="inlineStr">
        <is>
          <t>⚠ WATCH</t>
        </is>
      </c>
      <c r="AX264" s="118" t="n">
        <v>19.8</v>
      </c>
      <c r="AY264" s="119" t="inlineStr">
        <is>
          <t>🟢 VERY LOW RISK</t>
        </is>
      </c>
      <c r="AZ264" s="118" t="n">
        <v>103.2</v>
      </c>
      <c r="BA264" s="118" t="n">
        <v>85.7</v>
      </c>
      <c r="BB264" s="124" t="inlineStr">
        <is>
          <t>N/A</t>
        </is>
      </c>
      <c r="BC264" s="124" t="inlineStr">
        <is>
          <t>N/A</t>
        </is>
      </c>
      <c r="BD264" s="118" t="n">
        <v>47.8</v>
      </c>
      <c r="BE264" s="118" t="n">
        <v>32.3</v>
      </c>
      <c r="BF264" s="120" t="n">
        <v>0.182</v>
      </c>
      <c r="BG264" s="117" t="n">
        <v>0.679</v>
      </c>
      <c r="BH264" s="122" t="n">
        <v>4</v>
      </c>
      <c r="BI264" s="123" t="n">
        <v>1</v>
      </c>
    </row>
    <row r="265" ht="17" customHeight="1">
      <c r="A265" s="117" t="inlineStr">
        <is>
          <t>GT</t>
        </is>
      </c>
      <c r="B265" s="117" t="inlineStr">
        <is>
          <t>GOODYEAR TIRE &amp; RUBBER CO /OH/</t>
        </is>
      </c>
      <c r="C265" s="118" t="n">
        <v>0.974</v>
      </c>
      <c r="D265" s="118" t="n">
        <v>1.063</v>
      </c>
      <c r="E265" s="118" t="n">
        <v>0.71</v>
      </c>
      <c r="F265" s="118" t="n">
        <v>0.968</v>
      </c>
      <c r="G265" s="118" t="n">
        <v>1.001</v>
      </c>
      <c r="H265" s="118" t="n">
        <v>1.009</v>
      </c>
      <c r="I265" s="118" t="n">
        <v>1.062</v>
      </c>
      <c r="J265" s="118" t="n">
        <v>-0.138</v>
      </c>
      <c r="K265" s="118" t="n">
        <v>-3.284</v>
      </c>
      <c r="L265" s="119" t="inlineStr">
        <is>
          <t>✓ Lower Risk</t>
        </is>
      </c>
      <c r="M265" s="120" t="n">
        <v>-0.049</v>
      </c>
      <c r="N265" s="120" t="n">
        <v>-0.236</v>
      </c>
      <c r="O265" s="120" t="n">
        <v>-0.042</v>
      </c>
      <c r="P265" s="120" t="n">
        <v>0.5580000000000001</v>
      </c>
      <c r="Q265" s="120" t="n">
        <v>-0.098</v>
      </c>
      <c r="R265" s="117" t="n">
        <v>1</v>
      </c>
      <c r="S265" s="118" t="n">
        <v>-4.354</v>
      </c>
      <c r="T265" s="118" t="n">
        <v>0.013</v>
      </c>
      <c r="U265" s="119" t="inlineStr">
        <is>
          <t>✓ Normal</t>
        </is>
      </c>
      <c r="V265" s="117" t="n">
        <v>0</v>
      </c>
      <c r="W265" s="117" t="n">
        <v>0</v>
      </c>
      <c r="X265" s="117" t="n">
        <v>1</v>
      </c>
      <c r="Y265" s="117" t="n">
        <v>1</v>
      </c>
      <c r="Z265" s="117" t="n">
        <v>0</v>
      </c>
      <c r="AA265" s="117" t="n">
        <v>0</v>
      </c>
      <c r="AB265" s="117" t="n">
        <v>2</v>
      </c>
      <c r="AC265" s="121" t="inlineStr">
        <is>
          <t>⚠ WATCH</t>
        </is>
      </c>
      <c r="AD265" s="118" t="n">
        <v>796000000</v>
      </c>
      <c r="AE265" s="118" t="n">
        <v>997000000</v>
      </c>
      <c r="AF265" s="118" t="n">
        <v>-1721000000</v>
      </c>
      <c r="AG265" s="118" t="n">
        <v>-0.179</v>
      </c>
      <c r="AH265" s="119" t="inlineStr">
        <is>
          <t>✓ High Quality</t>
        </is>
      </c>
      <c r="AI265" s="118" t="n">
        <v>-0.057</v>
      </c>
      <c r="AJ265" s="120" t="n">
        <v>-0.032</v>
      </c>
      <c r="AK265" s="120" t="n">
        <v>1.793</v>
      </c>
      <c r="AL265" s="120" t="n">
        <v>0.044</v>
      </c>
      <c r="AM265" s="120" t="n">
        <v>0.001</v>
      </c>
      <c r="AN265" s="118" t="n">
        <v>55</v>
      </c>
      <c r="AO265" s="121" t="inlineStr">
        <is>
          <t>⚠ WATCH</t>
        </is>
      </c>
      <c r="AP265" s="117" t="n">
        <v>1</v>
      </c>
      <c r="AQ265" s="117" t="n">
        <v>1</v>
      </c>
      <c r="AR265" s="117" t="n">
        <v>1</v>
      </c>
      <c r="AS265" s="117" t="n">
        <v>1</v>
      </c>
      <c r="AT265" s="117" t="n">
        <v>0</v>
      </c>
      <c r="AU265" s="117" t="n">
        <v>1</v>
      </c>
      <c r="AV265" s="117" t="n">
        <v>5</v>
      </c>
      <c r="AW265" s="117" t="inlineStr">
        <is>
          <t>⚠⚠ MULTIPLE RED FLAGS</t>
        </is>
      </c>
      <c r="AX265" s="118" t="n">
        <v>23.2</v>
      </c>
      <c r="AY265" s="119" t="inlineStr">
        <is>
          <t>🟢 LOW RISK</t>
        </is>
      </c>
      <c r="AZ265" s="118" t="n">
        <v>46.7</v>
      </c>
      <c r="BA265" s="118" t="n">
        <v>48</v>
      </c>
      <c r="BB265" s="118" t="n">
        <v>87.40000000000001</v>
      </c>
      <c r="BC265" s="118" t="n">
        <v>86.5</v>
      </c>
      <c r="BD265" s="118" t="n">
        <v>95</v>
      </c>
      <c r="BE265" s="118" t="n">
        <v>97.5</v>
      </c>
      <c r="BF265" s="120" t="n">
        <v>-11.782</v>
      </c>
      <c r="BG265" s="117" t="n">
        <v>0.5580000000000001</v>
      </c>
      <c r="BH265" s="122" t="n">
        <v>8</v>
      </c>
      <c r="BI265" s="123" t="n">
        <v>1</v>
      </c>
    </row>
    <row r="266" ht="17" customHeight="1">
      <c r="A266" s="117" t="inlineStr">
        <is>
          <t>CLH</t>
        </is>
      </c>
      <c r="B266" s="117" t="inlineStr">
        <is>
          <t>CLEAN HARBORS, INC</t>
        </is>
      </c>
      <c r="C266" s="118" t="n">
        <v>0.261</v>
      </c>
      <c r="D266" s="118" t="n">
        <v>4.256</v>
      </c>
      <c r="E266" s="118" t="n">
        <v>0.977</v>
      </c>
      <c r="F266" s="118" t="n">
        <v>3.94</v>
      </c>
      <c r="G266" s="118" t="n">
        <v>0.629</v>
      </c>
      <c r="H266" s="118" t="n">
        <v>0.258</v>
      </c>
      <c r="I266" s="118" t="n">
        <v>0.987</v>
      </c>
      <c r="J266" s="118" t="n">
        <v>-0.062</v>
      </c>
      <c r="K266" s="118" t="n">
        <v>0.97</v>
      </c>
      <c r="L266" s="121" t="inlineStr">
        <is>
          <t>⚠ MANIPULATOR RISK</t>
        </is>
      </c>
      <c r="M266" s="120" t="n">
        <v>0.008</v>
      </c>
      <c r="N266" s="120" t="n">
        <v>0.013</v>
      </c>
      <c r="O266" s="120" t="n">
        <v>-0.006</v>
      </c>
      <c r="P266" s="120" t="n">
        <v>0.765</v>
      </c>
      <c r="Q266" s="120" t="n">
        <v>-0.003</v>
      </c>
      <c r="R266" s="117" t="n">
        <v>0</v>
      </c>
      <c r="S266" s="118" t="n">
        <v>-6.344</v>
      </c>
      <c r="T266" s="118" t="n">
        <v>0.002</v>
      </c>
      <c r="U266" s="119" t="inlineStr">
        <is>
          <t>✓ Normal</t>
        </is>
      </c>
      <c r="V266" s="117" t="n">
        <v>1</v>
      </c>
      <c r="W266" s="117" t="n">
        <v>0</v>
      </c>
      <c r="X266" s="117" t="n">
        <v>0</v>
      </c>
      <c r="Y266" s="117" t="n">
        <v>1</v>
      </c>
      <c r="Z266" s="117" t="n">
        <v>0</v>
      </c>
      <c r="AA266" s="117" t="n">
        <v>0</v>
      </c>
      <c r="AB266" s="117" t="n">
        <v>2</v>
      </c>
      <c r="AC266" s="121" t="inlineStr">
        <is>
          <t>⚠ WATCH</t>
        </is>
      </c>
      <c r="AD266" s="118" t="n">
        <v>866725000</v>
      </c>
      <c r="AE266" s="118" t="n">
        <v>-425786000</v>
      </c>
      <c r="AF266" s="118" t="n">
        <v>390974000</v>
      </c>
      <c r="AG266" s="118" t="n">
        <v>-0.007</v>
      </c>
      <c r="AH266" s="119" t="inlineStr">
        <is>
          <t>✓ Medium Quality</t>
        </is>
      </c>
      <c r="AI266" s="118" t="n">
        <v>0.028</v>
      </c>
      <c r="AJ266" s="120" t="n">
        <v>2.94</v>
      </c>
      <c r="AK266" s="120" t="n">
        <v>0.01</v>
      </c>
      <c r="AL266" s="120" t="n">
        <v>0.294</v>
      </c>
      <c r="AM266" s="120" t="n">
        <v>-0.002</v>
      </c>
      <c r="AN266" s="118" t="n">
        <v>99.90000000000001</v>
      </c>
      <c r="AO266" s="119" t="inlineStr">
        <is>
          <t>✓ Good</t>
        </is>
      </c>
      <c r="AP266" s="117" t="n">
        <v>0</v>
      </c>
      <c r="AQ266" s="117" t="n">
        <v>0</v>
      </c>
      <c r="AR266" s="117" t="n">
        <v>1</v>
      </c>
      <c r="AS266" s="117" t="n">
        <v>0</v>
      </c>
      <c r="AT266" s="117" t="n">
        <v>0</v>
      </c>
      <c r="AU266" s="117" t="n">
        <v>0</v>
      </c>
      <c r="AV266" s="117" t="n">
        <v>1</v>
      </c>
      <c r="AW266" s="119" t="inlineStr">
        <is>
          <t>✓ Clean</t>
        </is>
      </c>
      <c r="AX266" s="118" t="n">
        <v>25.3</v>
      </c>
      <c r="AY266" s="119" t="inlineStr">
        <is>
          <t>🟢 LOW RISK</t>
        </is>
      </c>
      <c r="AZ266" s="118" t="n">
        <v>129.4</v>
      </c>
      <c r="BA266" s="118" t="n">
        <v>495.9</v>
      </c>
      <c r="BB266" s="118" t="n">
        <v>32.8</v>
      </c>
      <c r="BC266" s="118" t="n">
        <v>34.5</v>
      </c>
      <c r="BD266" s="118" t="n">
        <v>44.6</v>
      </c>
      <c r="BE266" s="118" t="n">
        <v>43.7</v>
      </c>
      <c r="BF266" s="120" t="n">
        <v>0.259</v>
      </c>
      <c r="BG266" s="117" t="n">
        <v>0.765</v>
      </c>
      <c r="BH266" s="122" t="n">
        <v>3</v>
      </c>
      <c r="BI266" s="123" t="n">
        <v>1</v>
      </c>
    </row>
    <row r="267" ht="17" customHeight="1">
      <c r="A267" s="117" t="inlineStr">
        <is>
          <t>GTLB</t>
        </is>
      </c>
      <c r="B267" s="117" t="inlineStr">
        <is>
          <t>GITLAB INC.</t>
        </is>
      </c>
      <c r="C267" s="118" t="n">
        <v>0.914</v>
      </c>
      <c r="D267" s="118" t="n">
        <v>1.016</v>
      </c>
      <c r="E267" s="118" t="n">
        <v>0.76</v>
      </c>
      <c r="F267" s="118" t="n">
        <v>1.258</v>
      </c>
      <c r="G267" s="118" t="n">
        <v>1.915</v>
      </c>
      <c r="H267" s="118" t="n">
        <v>0.806</v>
      </c>
      <c r="I267" s="118" t="n">
        <v>0.965</v>
      </c>
      <c r="J267" s="118" t="n">
        <v>-0.168</v>
      </c>
      <c r="K267" s="118" t="n">
        <v>-3.051</v>
      </c>
      <c r="L267" s="119" t="inlineStr">
        <is>
          <t>✓ Lower Risk</t>
        </is>
      </c>
      <c r="M267" s="120" t="n">
        <v>0.12</v>
      </c>
      <c r="N267" s="120" t="n">
        <v>0.203</v>
      </c>
      <c r="O267" s="124" t="inlineStr">
        <is>
          <t>N/A</t>
        </is>
      </c>
      <c r="P267" s="120" t="n">
        <v>0.86</v>
      </c>
      <c r="Q267" s="120" t="n">
        <v>-0.028</v>
      </c>
      <c r="R267" s="117" t="n">
        <v>0</v>
      </c>
      <c r="S267" s="118" t="n">
        <v>-5.573</v>
      </c>
      <c r="T267" s="118" t="n">
        <v>0.004</v>
      </c>
      <c r="U267" s="119" t="inlineStr">
        <is>
          <t>✓ Normal</t>
        </is>
      </c>
      <c r="V267" s="117" t="n">
        <v>0</v>
      </c>
      <c r="W267" s="117" t="n">
        <v>0</v>
      </c>
      <c r="X267" s="117" t="n">
        <v>0</v>
      </c>
      <c r="Y267" s="117" t="n">
        <v>1</v>
      </c>
      <c r="Z267" s="117" t="n">
        <v>1</v>
      </c>
      <c r="AA267" s="117" t="n">
        <v>1</v>
      </c>
      <c r="AB267" s="117" t="n">
        <v>3</v>
      </c>
      <c r="AC267" s="121" t="inlineStr">
        <is>
          <t>⚠ WATCH</t>
        </is>
      </c>
      <c r="AD267" s="118" t="n">
        <v>232856000</v>
      </c>
      <c r="AE267" s="118" t="n">
        <v>-267286000</v>
      </c>
      <c r="AF267" s="118" t="n">
        <v>-55956000</v>
      </c>
      <c r="AG267" s="118" t="n">
        <v>-0.014</v>
      </c>
      <c r="AH267" s="119" t="inlineStr">
        <is>
          <t>✓ Medium Quality</t>
        </is>
      </c>
      <c r="AI267" s="118" t="n">
        <v>0.15</v>
      </c>
      <c r="AJ267" s="120" t="n">
        <v>0.258</v>
      </c>
      <c r="AK267" s="120" t="n">
        <v>0.582</v>
      </c>
      <c r="AL267" s="120" t="n">
        <v>0.244</v>
      </c>
      <c r="AM267" s="120" t="n">
        <v>0.107</v>
      </c>
      <c r="AN267" s="117" t="n">
        <v>100</v>
      </c>
      <c r="AO267" s="119" t="inlineStr">
        <is>
          <t>✓ Good</t>
        </is>
      </c>
      <c r="AP267" s="117" t="n">
        <v>0</v>
      </c>
      <c r="AQ267" s="117" t="n">
        <v>0</v>
      </c>
      <c r="AR267" s="117" t="n">
        <v>1</v>
      </c>
      <c r="AS267" s="117" t="n">
        <v>0</v>
      </c>
      <c r="AT267" s="117" t="n">
        <v>1</v>
      </c>
      <c r="AU267" s="117" t="n">
        <v>1</v>
      </c>
      <c r="AV267" s="117" t="n">
        <v>3</v>
      </c>
      <c r="AW267" s="121" t="inlineStr">
        <is>
          <t>⚠ WATCH</t>
        </is>
      </c>
      <c r="AX267" s="118" t="n">
        <v>18.7</v>
      </c>
      <c r="AY267" s="119" t="inlineStr">
        <is>
          <t>🟢 VERY LOW RISK</t>
        </is>
      </c>
      <c r="AZ267" s="118" t="n">
        <v>116.3</v>
      </c>
      <c r="BA267" s="118" t="n">
        <v>127.2</v>
      </c>
      <c r="BB267" s="124" t="inlineStr">
        <is>
          <t>N/A</t>
        </is>
      </c>
      <c r="BC267" s="124" t="inlineStr">
        <is>
          <t>N/A</t>
        </is>
      </c>
      <c r="BD267" s="118" t="n">
        <v>27.8</v>
      </c>
      <c r="BE267" s="118" t="n">
        <v>32.2</v>
      </c>
      <c r="BF267" s="120" t="n">
        <v>-0.218</v>
      </c>
      <c r="BG267" s="117" t="n">
        <v>0.86</v>
      </c>
      <c r="BH267" s="122" t="n">
        <v>6</v>
      </c>
      <c r="BI267" s="123" t="n">
        <v>1</v>
      </c>
    </row>
    <row r="268" ht="17" customHeight="1">
      <c r="A268" s="117" t="inlineStr">
        <is>
          <t>COLD</t>
        </is>
      </c>
      <c r="B268" s="117" t="inlineStr">
        <is>
          <t>AMERICOLD REALTY TRUST, INC.</t>
        </is>
      </c>
      <c r="C268" s="118" t="n">
        <v>0.976</v>
      </c>
      <c r="D268" s="118" t="n">
        <v>0.984</v>
      </c>
      <c r="E268" s="118" t="n">
        <v>0.974</v>
      </c>
      <c r="F268" s="118" t="n">
        <v>0.976</v>
      </c>
      <c r="G268" s="118" t="n">
        <v>1.043</v>
      </c>
      <c r="H268" s="118" t="n">
        <v>1.083</v>
      </c>
      <c r="I268" s="118" t="n">
        <v>1.118</v>
      </c>
      <c r="J268" s="118" t="n">
        <v>-0.058</v>
      </c>
      <c r="K268" s="118" t="n">
        <v>-2.864</v>
      </c>
      <c r="L268" s="119" t="inlineStr">
        <is>
          <t>✓ Lower Risk</t>
        </is>
      </c>
      <c r="M268" s="124" t="inlineStr">
        <is>
          <t>N/A</t>
        </is>
      </c>
      <c r="N268" s="120" t="n">
        <v>-0.284</v>
      </c>
      <c r="O268" s="120" t="n">
        <v>-0.008999999999999999</v>
      </c>
      <c r="P268" s="120" t="n">
        <v>0.325</v>
      </c>
      <c r="Q268" s="120" t="n">
        <v>-0.002</v>
      </c>
      <c r="R268" s="117" t="n">
        <v>1</v>
      </c>
      <c r="S268" s="118" t="n">
        <v>-4.902</v>
      </c>
      <c r="T268" s="118" t="n">
        <v>0.007</v>
      </c>
      <c r="U268" s="119" t="inlineStr">
        <is>
          <t>✓ Normal</t>
        </is>
      </c>
      <c r="V268" s="117" t="n">
        <v>1</v>
      </c>
      <c r="W268" s="117" t="n">
        <v>0</v>
      </c>
      <c r="X268" s="117" t="n">
        <v>0</v>
      </c>
      <c r="Y268" s="117" t="n">
        <v>0</v>
      </c>
      <c r="Z268" s="117" t="n">
        <v>1</v>
      </c>
      <c r="AA268" s="117" t="n">
        <v>0</v>
      </c>
      <c r="AB268" s="117" t="n">
        <v>2</v>
      </c>
      <c r="AC268" s="121" t="inlineStr">
        <is>
          <t>⚠ WATCH</t>
        </is>
      </c>
      <c r="AD268" s="118" t="n">
        <v>359641000</v>
      </c>
      <c r="AE268" s="118" t="n">
        <v>-658001000</v>
      </c>
      <c r="AF268" s="118" t="n">
        <v>-114548000</v>
      </c>
      <c r="AG268" s="118" t="n">
        <v>0.023</v>
      </c>
      <c r="AH268" s="119" t="inlineStr">
        <is>
          <t>✓ Medium Quality</t>
        </is>
      </c>
      <c r="AI268" s="118" t="n">
        <v>-0.048</v>
      </c>
      <c r="AJ268" s="120" t="n">
        <v>-0.024</v>
      </c>
      <c r="AK268" s="120" t="n">
        <v>1.96</v>
      </c>
      <c r="AL268" s="120" t="n">
        <v>0.138</v>
      </c>
      <c r="AM268" s="120" t="n">
        <v>-0.001</v>
      </c>
      <c r="AN268" s="118" t="n">
        <v>68.8</v>
      </c>
      <c r="AO268" s="119" t="inlineStr">
        <is>
          <t>✓ Good</t>
        </is>
      </c>
      <c r="AP268" s="117" t="n">
        <v>1</v>
      </c>
      <c r="AQ268" s="117" t="n">
        <v>1</v>
      </c>
      <c r="AR268" s="117" t="n">
        <v>0</v>
      </c>
      <c r="AS268" s="117" t="n">
        <v>1</v>
      </c>
      <c r="AT268" s="117" t="n">
        <v>0</v>
      </c>
      <c r="AU268" s="117" t="n">
        <v>0</v>
      </c>
      <c r="AV268" s="117" t="n">
        <v>3</v>
      </c>
      <c r="AW268" s="121" t="inlineStr">
        <is>
          <t>⚠ WATCH</t>
        </is>
      </c>
      <c r="AX268" s="118" t="n">
        <v>18.2</v>
      </c>
      <c r="AY268" s="119" t="inlineStr">
        <is>
          <t>🟢 VERY LOW RISK</t>
        </is>
      </c>
      <c r="AZ268" s="118" t="n">
        <v>51.7</v>
      </c>
      <c r="BA268" s="118" t="n">
        <v>53</v>
      </c>
      <c r="BB268" s="118" t="n">
        <v>1.4</v>
      </c>
      <c r="BC268" s="118" t="n">
        <v>1.5</v>
      </c>
      <c r="BD268" s="124" t="inlineStr">
        <is>
          <t>N/A</t>
        </is>
      </c>
      <c r="BE268" s="124" t="inlineStr">
        <is>
          <t>N/A</t>
        </is>
      </c>
      <c r="BF268" s="120" t="n">
        <v>0.151</v>
      </c>
      <c r="BG268" s="117" t="n">
        <v>0.325</v>
      </c>
      <c r="BH268" s="122" t="n">
        <v>6</v>
      </c>
      <c r="BI268" s="123" t="n">
        <v>1</v>
      </c>
    </row>
    <row r="269" ht="17" customHeight="1">
      <c r="A269" s="117" t="inlineStr">
        <is>
          <t>THC</t>
        </is>
      </c>
      <c r="B269" s="117" t="inlineStr">
        <is>
          <t>TENET HEALTHCARE CORP</t>
        </is>
      </c>
      <c r="C269" s="118" t="n">
        <v>0.263</v>
      </c>
      <c r="D269" s="124" t="inlineStr">
        <is>
          <t>N/A</t>
        </is>
      </c>
      <c r="E269" s="118" t="n">
        <v>1.014</v>
      </c>
      <c r="F269" s="118" t="n">
        <v>3.845</v>
      </c>
      <c r="G269" s="118" t="n">
        <v>1.058</v>
      </c>
      <c r="H269" s="124" t="inlineStr">
        <is>
          <t>N/A</t>
        </is>
      </c>
      <c r="I269" s="118" t="n">
        <v>0.99</v>
      </c>
      <c r="J269" s="118" t="n">
        <v>-0.082</v>
      </c>
      <c r="K269" s="124" t="inlineStr">
        <is>
          <t>N/A</t>
        </is>
      </c>
      <c r="L269" s="124" t="inlineStr">
        <is>
          <t>N/A</t>
        </is>
      </c>
      <c r="M269" s="120" t="n">
        <v>-0.022</v>
      </c>
      <c r="N269" s="120" t="n">
        <v>0.002</v>
      </c>
      <c r="O269" s="120" t="n">
        <v>0</v>
      </c>
      <c r="P269" s="120" t="n">
        <v>0.667</v>
      </c>
      <c r="Q269" s="120" t="n">
        <v>0.031</v>
      </c>
      <c r="R269" s="117" t="n">
        <v>1</v>
      </c>
      <c r="S269" s="118" t="n">
        <v>-3.524</v>
      </c>
      <c r="T269" s="118" t="n">
        <v>0.029</v>
      </c>
      <c r="U269" s="119" t="inlineStr">
        <is>
          <t>✓ Normal</t>
        </is>
      </c>
      <c r="V269" s="117" t="n">
        <v>1</v>
      </c>
      <c r="W269" s="117" t="n">
        <v>0</v>
      </c>
      <c r="X269" s="117" t="n">
        <v>0</v>
      </c>
      <c r="Y269" s="117" t="n">
        <v>1</v>
      </c>
      <c r="Z269" s="117" t="n">
        <v>1</v>
      </c>
      <c r="AA269" s="117" t="n">
        <v>0</v>
      </c>
      <c r="AB269" s="117" t="n">
        <v>3</v>
      </c>
      <c r="AC269" s="121" t="inlineStr">
        <is>
          <t>⚠ WATCH</t>
        </is>
      </c>
      <c r="AD269" s="118" t="n">
        <v>3540000000</v>
      </c>
      <c r="AE269" s="118" t="n">
        <v>-1275000000</v>
      </c>
      <c r="AF269" s="118" t="n">
        <v>1119000000</v>
      </c>
      <c r="AG269" s="118" t="n">
        <v>-0.039</v>
      </c>
      <c r="AH269" s="119" t="inlineStr">
        <is>
          <t>✓ Medium Quality</t>
        </is>
      </c>
      <c r="AI269" s="118" t="n">
        <v>0.011</v>
      </c>
      <c r="AJ269" s="120" t="n">
        <v>2.845</v>
      </c>
      <c r="AK269" s="120" t="n">
        <v>0.004</v>
      </c>
      <c r="AL269" s="120" t="n">
        <v>0.192</v>
      </c>
      <c r="AM269" s="120" t="n">
        <v>0</v>
      </c>
      <c r="AN269" s="117" t="n">
        <v>100</v>
      </c>
      <c r="AO269" s="119" t="inlineStr">
        <is>
          <t>✓ Good</t>
        </is>
      </c>
      <c r="AP269" s="117" t="n">
        <v>0</v>
      </c>
      <c r="AQ269" s="117" t="n">
        <v>0</v>
      </c>
      <c r="AR269" s="117" t="n">
        <v>0</v>
      </c>
      <c r="AS269" s="117" t="n">
        <v>0</v>
      </c>
      <c r="AT269" s="117" t="n">
        <v>0</v>
      </c>
      <c r="AU269" s="117" t="n">
        <v>1</v>
      </c>
      <c r="AV269" s="117" t="n">
        <v>1</v>
      </c>
      <c r="AW269" s="119" t="inlineStr">
        <is>
          <t>✓ Clean</t>
        </is>
      </c>
      <c r="AX269" s="118" t="n">
        <v>30.4</v>
      </c>
      <c r="AY269" s="119" t="inlineStr">
        <is>
          <t>🟢 LOW RISK</t>
        </is>
      </c>
      <c r="AZ269" s="118" t="n">
        <v>50.7</v>
      </c>
      <c r="BA269" s="118" t="n">
        <v>192.6</v>
      </c>
      <c r="BB269" s="124" t="inlineStr">
        <is>
          <t>N/A</t>
        </is>
      </c>
      <c r="BC269" s="124" t="inlineStr">
        <is>
          <t>N/A</t>
        </is>
      </c>
      <c r="BD269" s="124" t="inlineStr">
        <is>
          <t>N/A</t>
        </is>
      </c>
      <c r="BE269" s="124" t="inlineStr">
        <is>
          <t>N/A</t>
        </is>
      </c>
      <c r="BF269" s="120" t="n">
        <v>0.155</v>
      </c>
      <c r="BG269" s="117" t="n">
        <v>0.667</v>
      </c>
      <c r="BH269" s="122" t="n">
        <v>5</v>
      </c>
      <c r="BI269" s="123" t="n">
        <v>0.8333333333333334</v>
      </c>
    </row>
    <row r="270" ht="17" customHeight="1">
      <c r="A270" s="117" t="inlineStr">
        <is>
          <t>AAPL</t>
        </is>
      </c>
      <c r="B270" s="117" t="inlineStr">
        <is>
          <t>Apple Inc.</t>
        </is>
      </c>
      <c r="C270" s="118" t="n">
        <v>0.282</v>
      </c>
      <c r="D270" s="118" t="n">
        <v>3.908</v>
      </c>
      <c r="E270" s="118" t="n">
        <v>0.986</v>
      </c>
      <c r="F270" s="118" t="n">
        <v>4.222</v>
      </c>
      <c r="G270" s="118" t="n">
        <v>1.174</v>
      </c>
      <c r="H270" s="118" t="n">
        <v>0.25</v>
      </c>
      <c r="I270" s="118" t="n">
        <v>0.9419999999999999</v>
      </c>
      <c r="J270" s="118" t="n">
        <v>0.001</v>
      </c>
      <c r="K270" s="118" t="n">
        <v>1.439</v>
      </c>
      <c r="L270" s="121" t="inlineStr">
        <is>
          <t>⚠ MANIPULATOR RISK</t>
        </is>
      </c>
      <c r="M270" s="120" t="n">
        <v>-0.024</v>
      </c>
      <c r="N270" s="120" t="n">
        <v>0.031</v>
      </c>
      <c r="O270" s="120" t="n">
        <v>-0.008</v>
      </c>
      <c r="P270" s="120" t="n">
        <v>0.761</v>
      </c>
      <c r="Q270" s="120" t="n">
        <v>0.055</v>
      </c>
      <c r="R270" s="117" t="n">
        <v>0</v>
      </c>
      <c r="S270" s="118" t="n">
        <v>-6.36</v>
      </c>
      <c r="T270" s="118" t="n">
        <v>0.002</v>
      </c>
      <c r="U270" s="119" t="inlineStr">
        <is>
          <t>✓ Normal</t>
        </is>
      </c>
      <c r="V270" s="117" t="n">
        <v>1</v>
      </c>
      <c r="W270" s="117" t="n">
        <v>0</v>
      </c>
      <c r="X270" s="117" t="n">
        <v>0</v>
      </c>
      <c r="Y270" s="117" t="n">
        <v>1</v>
      </c>
      <c r="Z270" s="117" t="n">
        <v>1</v>
      </c>
      <c r="AA270" s="117" t="n">
        <v>0</v>
      </c>
      <c r="AB270" s="117" t="n">
        <v>3</v>
      </c>
      <c r="AC270" s="121" t="inlineStr">
        <is>
          <t>⚠ WATCH</t>
        </is>
      </c>
      <c r="AD270" s="118" t="n">
        <v>111482000000</v>
      </c>
      <c r="AE270" s="118" t="n">
        <v>15195000000</v>
      </c>
      <c r="AF270" s="118" t="n">
        <v>112010000000</v>
      </c>
      <c r="AG270" s="118" t="n">
        <v>-0.041</v>
      </c>
      <c r="AH270" s="119" t="inlineStr">
        <is>
          <t>✓ Medium Quality</t>
        </is>
      </c>
      <c r="AI270" s="118" t="n">
        <v>0.191</v>
      </c>
      <c r="AJ270" s="120" t="n">
        <v>3.222</v>
      </c>
      <c r="AK270" s="120" t="n">
        <v>0.059</v>
      </c>
      <c r="AL270" s="120" t="n">
        <v>0.42</v>
      </c>
      <c r="AM270" s="120" t="n">
        <v>-0</v>
      </c>
      <c r="AN270" s="117" t="n">
        <v>100</v>
      </c>
      <c r="AO270" s="119" t="inlineStr">
        <is>
          <t>✓ Good</t>
        </is>
      </c>
      <c r="AP270" s="117" t="n">
        <v>0</v>
      </c>
      <c r="AQ270" s="117" t="n">
        <v>0</v>
      </c>
      <c r="AR270" s="117" t="n">
        <v>1</v>
      </c>
      <c r="AS270" s="117" t="n">
        <v>0</v>
      </c>
      <c r="AT270" s="117" t="n">
        <v>1</v>
      </c>
      <c r="AU270" s="117" t="n">
        <v>1</v>
      </c>
      <c r="AV270" s="117" t="n">
        <v>3</v>
      </c>
      <c r="AW270" s="121" t="inlineStr">
        <is>
          <t>⚠ WATCH</t>
        </is>
      </c>
      <c r="AX270" s="118" t="n">
        <v>32.4</v>
      </c>
      <c r="AY270" s="119" t="inlineStr">
        <is>
          <t>🟢 LOW RISK</t>
        </is>
      </c>
      <c r="AZ270" s="118" t="n">
        <v>54.7</v>
      </c>
      <c r="BA270" s="118" t="n">
        <v>193.9</v>
      </c>
      <c r="BB270" s="118" t="n">
        <v>9.4</v>
      </c>
      <c r="BC270" s="118" t="n">
        <v>12.6</v>
      </c>
      <c r="BD270" s="118" t="n">
        <v>115.4</v>
      </c>
      <c r="BE270" s="118" t="n">
        <v>119.7</v>
      </c>
      <c r="BF270" s="120" t="n">
        <v>0.156</v>
      </c>
      <c r="BG270" s="117" t="n">
        <v>0.761</v>
      </c>
      <c r="BH270" s="122" t="n">
        <v>6</v>
      </c>
      <c r="BI270" s="123" t="n">
        <v>1</v>
      </c>
    </row>
    <row r="271" ht="17" customHeight="1">
      <c r="A271" s="117" t="inlineStr">
        <is>
          <t>UTHR</t>
        </is>
      </c>
      <c r="B271" s="117" t="inlineStr">
        <is>
          <t>United Therapeutics Corporation</t>
        </is>
      </c>
      <c r="C271" s="118" t="n">
        <v>1.225</v>
      </c>
      <c r="D271" s="118" t="n">
        <v>0.9389999999999999</v>
      </c>
      <c r="E271" s="118" t="n">
        <v>1.009</v>
      </c>
      <c r="F271" s="118" t="n">
        <v>1.024</v>
      </c>
      <c r="G271" s="118" t="n">
        <v>1.187</v>
      </c>
      <c r="H271" s="118" t="n">
        <v>1.04</v>
      </c>
      <c r="I271" s="118" t="n">
        <v>0.796</v>
      </c>
      <c r="J271" s="118" t="n">
        <v>-0.029</v>
      </c>
      <c r="K271" s="118" t="n">
        <v>-2.334</v>
      </c>
      <c r="L271" s="119" t="inlineStr">
        <is>
          <t>✓ Lower Risk</t>
        </is>
      </c>
      <c r="M271" s="120" t="n">
        <v>0.008</v>
      </c>
      <c r="N271" s="120" t="n">
        <v>2.055</v>
      </c>
      <c r="O271" s="120" t="n">
        <v>0.73</v>
      </c>
      <c r="P271" s="120" t="n">
        <v>0.583</v>
      </c>
      <c r="Q271" s="120" t="n">
        <v>0.007</v>
      </c>
      <c r="R271" s="117" t="n">
        <v>0</v>
      </c>
      <c r="S271" s="118" t="n">
        <v>-0.6919999999999999</v>
      </c>
      <c r="T271" s="118" t="n">
        <v>0.334</v>
      </c>
      <c r="U271" s="121" t="inlineStr">
        <is>
          <t>⚠ HIGH RISK</t>
        </is>
      </c>
      <c r="V271" s="117" t="n">
        <v>0</v>
      </c>
      <c r="W271" s="117" t="n">
        <v>1</v>
      </c>
      <c r="X271" s="117" t="n">
        <v>1</v>
      </c>
      <c r="Y271" s="117" t="n">
        <v>0</v>
      </c>
      <c r="Z271" s="117" t="n">
        <v>0</v>
      </c>
      <c r="AA271" s="117" t="n">
        <v>0</v>
      </c>
      <c r="AB271" s="117" t="n">
        <v>2</v>
      </c>
      <c r="AC271" s="121" t="inlineStr">
        <is>
          <t>⚠ WATCH</t>
        </is>
      </c>
      <c r="AD271" s="118" t="n">
        <v>1561200000</v>
      </c>
      <c r="AE271" s="118" t="n">
        <v>-551300000</v>
      </c>
      <c r="AF271" s="118" t="n">
        <v>1334700000</v>
      </c>
      <c r="AG271" s="118" t="n">
        <v>0.043</v>
      </c>
      <c r="AH271" s="119" t="inlineStr">
        <is>
          <t>✓ Medium Quality</t>
        </is>
      </c>
      <c r="AI271" s="118" t="n">
        <v>0.254</v>
      </c>
      <c r="AJ271" s="120" t="n">
        <v>0.024</v>
      </c>
      <c r="AK271" s="120" t="n">
        <v>10.66</v>
      </c>
      <c r="AL271" s="120" t="n">
        <v>1.053</v>
      </c>
      <c r="AM271" s="124" t="inlineStr">
        <is>
          <t>N/A</t>
        </is>
      </c>
      <c r="AN271" s="117" t="n">
        <v>70</v>
      </c>
      <c r="AO271" s="119" t="inlineStr">
        <is>
          <t>✓ Good</t>
        </is>
      </c>
      <c r="AP271" s="117" t="n">
        <v>0</v>
      </c>
      <c r="AQ271" s="117" t="n">
        <v>1</v>
      </c>
      <c r="AR271" s="117" t="n">
        <v>0</v>
      </c>
      <c r="AS271" s="117" t="n">
        <v>1</v>
      </c>
      <c r="AT271" s="117" t="n">
        <v>1</v>
      </c>
      <c r="AU271" s="117" t="n">
        <v>1</v>
      </c>
      <c r="AV271" s="117" t="n">
        <v>4</v>
      </c>
      <c r="AW271" s="117" t="inlineStr">
        <is>
          <t>⚠⚠ MULTIPLE RED FLAGS</t>
        </is>
      </c>
      <c r="AX271" s="118" t="n">
        <v>49.9</v>
      </c>
      <c r="AY271" s="121" t="inlineStr">
        <is>
          <t>🟡 ELEVATED RISK</t>
        </is>
      </c>
      <c r="AZ271" s="118" t="n">
        <v>86.2</v>
      </c>
      <c r="BA271" s="118" t="n">
        <v>70.40000000000001</v>
      </c>
      <c r="BB271" s="118" t="n">
        <v>173.9</v>
      </c>
      <c r="BC271" s="118" t="n">
        <v>186.1</v>
      </c>
      <c r="BD271" s="118" t="n">
        <v>6.7</v>
      </c>
      <c r="BE271" s="118" t="n">
        <v>7.1</v>
      </c>
      <c r="BF271" s="120" t="n">
        <v>0.221</v>
      </c>
      <c r="BG271" s="117" t="n">
        <v>0.583</v>
      </c>
      <c r="BH271" s="122" t="n">
        <v>6</v>
      </c>
      <c r="BI271" s="123" t="n">
        <v>1</v>
      </c>
    </row>
    <row r="272" ht="17" customHeight="1">
      <c r="A272" s="117" t="inlineStr">
        <is>
          <t>ADMA</t>
        </is>
      </c>
      <c r="B272" s="117" t="inlineStr">
        <is>
          <t>ADMA BIOLOGICS, INC.</t>
        </is>
      </c>
      <c r="C272" s="118" t="n">
        <v>2.203</v>
      </c>
      <c r="D272" s="118" t="n">
        <v>1.079</v>
      </c>
      <c r="E272" s="118" t="n">
        <v>0.707</v>
      </c>
      <c r="F272" s="118" t="n">
        <v>1.439</v>
      </c>
      <c r="G272" s="118" t="n">
        <v>1.158</v>
      </c>
      <c r="H272" s="118" t="n">
        <v>0.859</v>
      </c>
      <c r="I272" s="118" t="n">
        <v>0.824</v>
      </c>
      <c r="J272" s="118" t="n">
        <v>0.155</v>
      </c>
      <c r="K272" s="118" t="n">
        <v>-0.235</v>
      </c>
      <c r="L272" s="121" t="inlineStr">
        <is>
          <t>⚠ MANIPULATOR RISK</t>
        </is>
      </c>
      <c r="M272" s="120" t="n">
        <v>0.206</v>
      </c>
      <c r="N272" s="120" t="n">
        <v>8.425000000000001</v>
      </c>
      <c r="O272" s="120" t="n">
        <v>2.815</v>
      </c>
      <c r="P272" s="120" t="n">
        <v>0.755</v>
      </c>
      <c r="Q272" s="120" t="n">
        <v>-0.169</v>
      </c>
      <c r="R272" s="117" t="n">
        <v>1</v>
      </c>
      <c r="S272" s="118" t="n">
        <v>21.478</v>
      </c>
      <c r="T272" s="118" t="n">
        <v>1</v>
      </c>
      <c r="U272" s="121" t="inlineStr">
        <is>
          <t>⚠ HIGH RISK</t>
        </is>
      </c>
      <c r="V272" s="117" t="n">
        <v>0</v>
      </c>
      <c r="W272" s="117" t="n">
        <v>1</v>
      </c>
      <c r="X272" s="117" t="n">
        <v>0</v>
      </c>
      <c r="Y272" s="117" t="n">
        <v>1</v>
      </c>
      <c r="Z272" s="117" t="n">
        <v>1</v>
      </c>
      <c r="AA272" s="117" t="n">
        <v>1</v>
      </c>
      <c r="AB272" s="117" t="n">
        <v>4</v>
      </c>
      <c r="AC272" s="121" t="inlineStr">
        <is>
          <t>⚠⚠ SERIOUS CONCERN</t>
        </is>
      </c>
      <c r="AD272" s="118" t="n">
        <v>50396000</v>
      </c>
      <c r="AE272" s="118" t="n">
        <v>-21891000</v>
      </c>
      <c r="AF272" s="118" t="n">
        <v>146930000</v>
      </c>
      <c r="AG272" s="118" t="n">
        <v>0.213</v>
      </c>
      <c r="AH272" s="117" t="inlineStr">
        <is>
          <t>⚠ Low Quality</t>
        </is>
      </c>
      <c r="AI272" s="118" t="n">
        <v>2.169</v>
      </c>
      <c r="AJ272" s="120" t="n">
        <v>0.439</v>
      </c>
      <c r="AK272" s="120" t="n">
        <v>4.945</v>
      </c>
      <c r="AL272" s="120" t="n">
        <v>1.194</v>
      </c>
      <c r="AM272" s="120" t="n">
        <v>0</v>
      </c>
      <c r="AN272" s="118" t="n">
        <v>70</v>
      </c>
      <c r="AO272" s="119" t="inlineStr">
        <is>
          <t>✓ Good</t>
        </is>
      </c>
      <c r="AP272" s="117" t="n">
        <v>1</v>
      </c>
      <c r="AQ272" s="117" t="n">
        <v>1</v>
      </c>
      <c r="AR272" s="117" t="n">
        <v>1</v>
      </c>
      <c r="AS272" s="117" t="n">
        <v>0</v>
      </c>
      <c r="AT272" s="117" t="n">
        <v>1</v>
      </c>
      <c r="AU272" s="117" t="n">
        <v>0</v>
      </c>
      <c r="AV272" s="117" t="n">
        <v>4</v>
      </c>
      <c r="AW272" s="117" t="inlineStr">
        <is>
          <t>⚠⚠ MULTIPLE RED FLAGS</t>
        </is>
      </c>
      <c r="AX272" s="118" t="n">
        <v>66.2</v>
      </c>
      <c r="AY272" s="121" t="inlineStr">
        <is>
          <t>🟡 ELEVATED RISK</t>
        </is>
      </c>
      <c r="AZ272" s="118" t="n">
        <v>1369.7</v>
      </c>
      <c r="BA272" s="118" t="n">
        <v>621.8</v>
      </c>
      <c r="BB272" s="118" t="n">
        <v>346.6</v>
      </c>
      <c r="BC272" s="118" t="n">
        <v>300.3</v>
      </c>
      <c r="BD272" s="118" t="n">
        <v>37.8</v>
      </c>
      <c r="BE272" s="118" t="n">
        <v>35.7</v>
      </c>
      <c r="BF272" s="120" t="n">
        <v>0.196</v>
      </c>
      <c r="BG272" s="117" t="n">
        <v>0.755</v>
      </c>
      <c r="BH272" s="122" t="n">
        <v>9</v>
      </c>
      <c r="BI272" s="123" t="n">
        <v>1</v>
      </c>
    </row>
    <row r="273" ht="17" customHeight="1">
      <c r="A273" s="117" t="inlineStr">
        <is>
          <t>HUM</t>
        </is>
      </c>
      <c r="B273" s="117" t="inlineStr">
        <is>
          <t>HUMANA INC</t>
        </is>
      </c>
      <c r="C273" s="118" t="n">
        <v>1.098</v>
      </c>
      <c r="D273" s="118" t="n">
        <v>1.043</v>
      </c>
      <c r="E273" s="118" t="n">
        <v>0.9379999999999999</v>
      </c>
      <c r="F273" s="118" t="n">
        <v>1.101</v>
      </c>
      <c r="G273" s="118" t="n">
        <v>1.044</v>
      </c>
      <c r="H273" s="118" t="n">
        <v>1.025</v>
      </c>
      <c r="I273" s="118" t="n">
        <v>0.986</v>
      </c>
      <c r="J273" s="118" t="n">
        <v>0.005</v>
      </c>
      <c r="K273" s="118" t="n">
        <v>-2.271</v>
      </c>
      <c r="L273" s="119" t="inlineStr">
        <is>
          <t>✓ Lower Risk</t>
        </is>
      </c>
      <c r="M273" s="120" t="n">
        <v>0.017</v>
      </c>
      <c r="N273" s="120" t="n">
        <v>0.048</v>
      </c>
      <c r="O273" s="124" t="inlineStr">
        <is>
          <t>N/A</t>
        </is>
      </c>
      <c r="P273" s="120" t="n">
        <v>0.869</v>
      </c>
      <c r="Q273" s="120" t="n">
        <v>-0.002</v>
      </c>
      <c r="R273" s="117" t="n">
        <v>1</v>
      </c>
      <c r="S273" s="118" t="n">
        <v>-2.966</v>
      </c>
      <c r="T273" s="118" t="n">
        <v>0.049</v>
      </c>
      <c r="U273" s="121" t="inlineStr">
        <is>
          <t>⚠ HIGH RISK</t>
        </is>
      </c>
      <c r="V273" s="117" t="n">
        <v>1</v>
      </c>
      <c r="W273" s="117" t="n">
        <v>1</v>
      </c>
      <c r="X273" s="117" t="n">
        <v>0</v>
      </c>
      <c r="Y273" s="117" t="n">
        <v>1</v>
      </c>
      <c r="Z273" s="117" t="n">
        <v>1</v>
      </c>
      <c r="AA273" s="117" t="n">
        <v>0</v>
      </c>
      <c r="AB273" s="117" t="n">
        <v>4</v>
      </c>
      <c r="AC273" s="121" t="inlineStr">
        <is>
          <t>⚠⚠ SERIOUS CONCERN</t>
        </is>
      </c>
      <c r="AD273" s="118" t="n">
        <v>921000000</v>
      </c>
      <c r="AE273" s="118" t="n">
        <v>2273000000</v>
      </c>
      <c r="AF273" s="118" t="n">
        <v>1188000000</v>
      </c>
      <c r="AG273" s="118" t="n">
        <v>-0.042</v>
      </c>
      <c r="AH273" s="119" t="inlineStr">
        <is>
          <t>✓ Medium Quality</t>
        </is>
      </c>
      <c r="AI273" s="118" t="n">
        <v>0.209</v>
      </c>
      <c r="AJ273" s="120" t="n">
        <v>0.101</v>
      </c>
      <c r="AK273" s="120" t="n">
        <v>2.071</v>
      </c>
      <c r="AL273" s="120" t="n">
        <v>0.007</v>
      </c>
      <c r="AM273" s="120" t="n">
        <v>0.001</v>
      </c>
      <c r="AN273" s="118" t="n">
        <v>41.5</v>
      </c>
      <c r="AO273" s="121" t="inlineStr">
        <is>
          <t>⚠ WATCH</t>
        </is>
      </c>
      <c r="AP273" s="117" t="n">
        <v>0</v>
      </c>
      <c r="AQ273" s="117" t="n">
        <v>0</v>
      </c>
      <c r="AR273" s="117" t="n">
        <v>1</v>
      </c>
      <c r="AS273" s="117" t="n">
        <v>1</v>
      </c>
      <c r="AT273" s="117" t="n">
        <v>0</v>
      </c>
      <c r="AU273" s="117" t="n">
        <v>1</v>
      </c>
      <c r="AV273" s="117" t="n">
        <v>3</v>
      </c>
      <c r="AW273" s="121" t="inlineStr">
        <is>
          <t>⚠ WATCH</t>
        </is>
      </c>
      <c r="AX273" s="118" t="n">
        <v>34.7</v>
      </c>
      <c r="AY273" s="119" t="inlineStr">
        <is>
          <t>🟢 LOW RISK</t>
        </is>
      </c>
      <c r="AZ273" s="118" t="n">
        <v>9.199999999999999</v>
      </c>
      <c r="BA273" s="118" t="n">
        <v>8.4</v>
      </c>
      <c r="BB273" s="124" t="inlineStr">
        <is>
          <t>N/A</t>
        </is>
      </c>
      <c r="BC273" s="124" t="inlineStr">
        <is>
          <t>N/A</t>
        </is>
      </c>
      <c r="BD273" s="118" t="n">
        <v>16.4</v>
      </c>
      <c r="BE273" s="118" t="n">
        <v>16.7</v>
      </c>
      <c r="BF273" s="120" t="n">
        <v>0.174</v>
      </c>
      <c r="BG273" s="117" t="n">
        <v>0.869</v>
      </c>
      <c r="BH273" s="122" t="n">
        <v>8</v>
      </c>
      <c r="BI273" s="123" t="n">
        <v>1</v>
      </c>
    </row>
    <row r="274" ht="17" customHeight="1">
      <c r="A274" s="117" t="inlineStr">
        <is>
          <t>ICE</t>
        </is>
      </c>
      <c r="B274" s="117" t="inlineStr">
        <is>
          <t>INTERCONTINENTAL EXCHANGE, INC.</t>
        </is>
      </c>
      <c r="C274" s="118" t="n">
        <v>1.043</v>
      </c>
      <c r="D274" s="118" t="n">
        <v>1.048</v>
      </c>
      <c r="E274" s="118" t="n">
        <v>1.035</v>
      </c>
      <c r="F274" s="118" t="n">
        <v>0.998</v>
      </c>
      <c r="G274" s="118" t="n">
        <v>0.993</v>
      </c>
      <c r="H274" s="118" t="n">
        <v>0.956</v>
      </c>
      <c r="I274" s="118" t="n">
        <v>0.984</v>
      </c>
      <c r="J274" s="118" t="n">
        <v>-0.01</v>
      </c>
      <c r="K274" s="118" t="n">
        <v>-2.436</v>
      </c>
      <c r="L274" s="119" t="inlineStr">
        <is>
          <t>✓ Lower Risk</t>
        </is>
      </c>
      <c r="M274" s="120" t="n">
        <v>0.004</v>
      </c>
      <c r="N274" s="120" t="n">
        <v>6.889</v>
      </c>
      <c r="O274" s="124" t="inlineStr">
        <is>
          <t>N/A</t>
        </is>
      </c>
      <c r="P274" s="120" t="n">
        <v>0.985</v>
      </c>
      <c r="Q274" s="120" t="n">
        <v>0.004</v>
      </c>
      <c r="R274" s="117" t="n">
        <v>0</v>
      </c>
      <c r="S274" s="118" t="n">
        <v>11.403</v>
      </c>
      <c r="T274" s="118" t="n">
        <v>1</v>
      </c>
      <c r="U274" s="121" t="inlineStr">
        <is>
          <t>⚠ HIGH RISK</t>
        </is>
      </c>
      <c r="V274" s="117" t="n">
        <v>1</v>
      </c>
      <c r="W274" s="117" t="n">
        <v>1</v>
      </c>
      <c r="X274" s="117" t="n">
        <v>0</v>
      </c>
      <c r="Y274" s="117" t="n">
        <v>0</v>
      </c>
      <c r="Z274" s="117" t="n">
        <v>0</v>
      </c>
      <c r="AA274" s="117" t="n">
        <v>0</v>
      </c>
      <c r="AB274" s="117" t="n">
        <v>2</v>
      </c>
      <c r="AC274" s="121" t="inlineStr">
        <is>
          <t>⚠ WATCH</t>
        </is>
      </c>
      <c r="AD274" s="118" t="n">
        <v>4662000000</v>
      </c>
      <c r="AE274" s="118" t="n">
        <v>-4249000000</v>
      </c>
      <c r="AF274" s="118" t="n">
        <v>3315000000</v>
      </c>
      <c r="AG274" s="118" t="n">
        <v>0.021</v>
      </c>
      <c r="AH274" s="119" t="inlineStr">
        <is>
          <t>✓ Medium Quality</t>
        </is>
      </c>
      <c r="AI274" s="118" t="n">
        <v>0.042</v>
      </c>
      <c r="AJ274" s="120" t="n">
        <v>-0.002</v>
      </c>
      <c r="AK274" s="120" t="n">
        <v>-27.015</v>
      </c>
      <c r="AL274" s="120" t="n">
        <v>0.799</v>
      </c>
      <c r="AM274" s="120" t="n">
        <v>0.001</v>
      </c>
      <c r="AN274" s="117" t="n">
        <v>100</v>
      </c>
      <c r="AO274" s="119" t="inlineStr">
        <is>
          <t>✓ Good</t>
        </is>
      </c>
      <c r="AP274" s="117" t="n">
        <v>0</v>
      </c>
      <c r="AQ274" s="117" t="n">
        <v>1</v>
      </c>
      <c r="AR274" s="117" t="n">
        <v>1</v>
      </c>
      <c r="AS274" s="117" t="n">
        <v>0</v>
      </c>
      <c r="AT274" s="117" t="n">
        <v>0</v>
      </c>
      <c r="AU274" s="117" t="n">
        <v>1</v>
      </c>
      <c r="AV274" s="117" t="n">
        <v>3</v>
      </c>
      <c r="AW274" s="121" t="inlineStr">
        <is>
          <t>⚠ WATCH</t>
        </is>
      </c>
      <c r="AX274" s="118" t="n">
        <v>46.8</v>
      </c>
      <c r="AY274" s="121" t="inlineStr">
        <is>
          <t>🟡 ELEVATED RISK</t>
        </is>
      </c>
      <c r="AZ274" s="118" t="n">
        <v>97.09999999999999</v>
      </c>
      <c r="BA274" s="118" t="n">
        <v>93.09999999999999</v>
      </c>
      <c r="BB274" s="124" t="inlineStr">
        <is>
          <t>N/A</t>
        </is>
      </c>
      <c r="BC274" s="124" t="inlineStr">
        <is>
          <t>N/A</t>
        </is>
      </c>
      <c r="BD274" s="118" t="n">
        <v>78.7</v>
      </c>
      <c r="BE274" s="118" t="n">
        <v>77.2</v>
      </c>
      <c r="BF274" s="120" t="n">
        <v>0.225</v>
      </c>
      <c r="BG274" s="117" t="n">
        <v>0.985</v>
      </c>
      <c r="BH274" s="122" t="n">
        <v>5</v>
      </c>
      <c r="BI274" s="123" t="n">
        <v>1</v>
      </c>
    </row>
    <row r="275" ht="17" customHeight="1">
      <c r="A275" s="117" t="inlineStr">
        <is>
          <t>STX</t>
        </is>
      </c>
      <c r="B275" s="117" t="inlineStr">
        <is>
          <t>Seagate Technology Holdings plc</t>
        </is>
      </c>
      <c r="C275" s="118" t="n">
        <v>3.53</v>
      </c>
      <c r="D275" s="118" t="n">
        <v>2.83</v>
      </c>
      <c r="E275" s="118" t="n">
        <v>0.9370000000000001</v>
      </c>
      <c r="F275" s="118" t="n">
        <v>0.633</v>
      </c>
      <c r="G275" s="118" t="n">
        <v>1.069</v>
      </c>
      <c r="H275" s="118" t="n">
        <v>1.926</v>
      </c>
      <c r="I275" s="118" t="n">
        <v>0.886</v>
      </c>
      <c r="J275" s="118" t="n">
        <v>0.048</v>
      </c>
      <c r="K275" s="118" t="n">
        <v>0.573</v>
      </c>
      <c r="L275" s="121" t="inlineStr">
        <is>
          <t>⚠ MANIPULATOR RISK</t>
        </is>
      </c>
      <c r="M275" s="120" t="n">
        <v>0.123</v>
      </c>
      <c r="N275" s="120" t="n">
        <v>0.124</v>
      </c>
      <c r="O275" s="120" t="n">
        <v>0.047</v>
      </c>
      <c r="P275" s="120" t="n">
        <v>0.6820000000000001</v>
      </c>
      <c r="Q275" s="120" t="n">
        <v>0.14</v>
      </c>
      <c r="R275" s="117" t="n">
        <v>1</v>
      </c>
      <c r="S275" s="118" t="n">
        <v>-3.065</v>
      </c>
      <c r="T275" s="118" t="n">
        <v>0.045</v>
      </c>
      <c r="U275" s="121" t="inlineStr">
        <is>
          <t>⚠ HIGH RISK</t>
        </is>
      </c>
      <c r="V275" s="117" t="n">
        <v>1</v>
      </c>
      <c r="W275" s="117" t="n">
        <v>1</v>
      </c>
      <c r="X275" s="117" t="n">
        <v>1</v>
      </c>
      <c r="Y275" s="117" t="n">
        <v>0</v>
      </c>
      <c r="Z275" s="117" t="n">
        <v>1</v>
      </c>
      <c r="AA275" s="117" t="n">
        <v>0</v>
      </c>
      <c r="AB275" s="117" t="n">
        <v>4</v>
      </c>
      <c r="AC275" s="121" t="inlineStr">
        <is>
          <t>⚠⚠ SERIOUS CONCERN</t>
        </is>
      </c>
      <c r="AD275" s="118" t="n">
        <v>1083000000</v>
      </c>
      <c r="AE275" s="118" t="n">
        <v>-276000000</v>
      </c>
      <c r="AF275" s="118" t="n">
        <v>1469000000</v>
      </c>
      <c r="AG275" s="118" t="n">
        <v>0.08400000000000001</v>
      </c>
      <c r="AH275" s="119" t="inlineStr">
        <is>
          <t>✓ Medium Quality</t>
        </is>
      </c>
      <c r="AI275" s="118" t="n">
        <v>1.235</v>
      </c>
      <c r="AJ275" s="120" t="n">
        <v>-0.367</v>
      </c>
      <c r="AK275" s="120" t="n">
        <v>-3.368</v>
      </c>
      <c r="AL275" s="120" t="n">
        <v>0.147</v>
      </c>
      <c r="AM275" s="124" t="inlineStr">
        <is>
          <t>N/A</t>
        </is>
      </c>
      <c r="AN275" s="118" t="n">
        <v>99.3</v>
      </c>
      <c r="AO275" s="119" t="inlineStr">
        <is>
          <t>✓ Good</t>
        </is>
      </c>
      <c r="AP275" s="117" t="n">
        <v>1</v>
      </c>
      <c r="AQ275" s="117" t="n">
        <v>1</v>
      </c>
      <c r="AR275" s="117" t="n">
        <v>1</v>
      </c>
      <c r="AS275" s="117" t="n">
        <v>1</v>
      </c>
      <c r="AT275" s="117" t="n">
        <v>0</v>
      </c>
      <c r="AU275" s="117" t="n">
        <v>1</v>
      </c>
      <c r="AV275" s="117" t="n">
        <v>5</v>
      </c>
      <c r="AW275" s="117" t="inlineStr">
        <is>
          <t>⚠⚠ MULTIPLE RED FLAGS</t>
        </is>
      </c>
      <c r="AX275" s="118" t="n">
        <v>42.1</v>
      </c>
      <c r="AY275" s="121" t="inlineStr">
        <is>
          <t>🟡 ELEVATED RISK</t>
        </is>
      </c>
      <c r="AZ275" s="118" t="n">
        <v>47.4</v>
      </c>
      <c r="BA275" s="118" t="n">
        <v>13.4</v>
      </c>
      <c r="BB275" s="118" t="n">
        <v>89.09999999999999</v>
      </c>
      <c r="BC275" s="118" t="n">
        <v>90.2</v>
      </c>
      <c r="BD275" s="118" t="n">
        <v>99.3</v>
      </c>
      <c r="BE275" s="118" t="n">
        <v>130</v>
      </c>
      <c r="BF275" s="120" t="n">
        <v>0.029</v>
      </c>
      <c r="BG275" s="117" t="n">
        <v>0.6820000000000001</v>
      </c>
      <c r="BH275" s="122" t="n">
        <v>10</v>
      </c>
      <c r="BI275" s="123" t="n">
        <v>1</v>
      </c>
    </row>
    <row r="276" ht="17" customHeight="1">
      <c r="A276" s="117" t="inlineStr">
        <is>
          <t>ORCL</t>
        </is>
      </c>
      <c r="B276" s="117" t="inlineStr">
        <is>
          <t>Oracle Corporation</t>
        </is>
      </c>
      <c r="C276" s="118" t="n">
        <v>1.034</v>
      </c>
      <c r="D276" s="118" t="n">
        <v>1.112</v>
      </c>
      <c r="E276" s="118" t="n">
        <v>0.739</v>
      </c>
      <c r="F276" s="118" t="n">
        <v>1.173</v>
      </c>
      <c r="G276" s="118" t="n">
        <v>1.152</v>
      </c>
      <c r="H276" s="118" t="n">
        <v>0.861</v>
      </c>
      <c r="I276" s="118" t="n">
        <v>1</v>
      </c>
      <c r="J276" s="118" t="n">
        <v>-0.057</v>
      </c>
      <c r="K276" s="118" t="n">
        <v>-2.565</v>
      </c>
      <c r="L276" s="119" t="inlineStr">
        <is>
          <t>✓ Lower Risk</t>
        </is>
      </c>
      <c r="M276" s="120" t="n">
        <v>-0.058</v>
      </c>
      <c r="N276" s="120" t="n">
        <v>0.183</v>
      </c>
      <c r="O276" s="120" t="n">
        <v>-0.003</v>
      </c>
      <c r="P276" s="120" t="n">
        <v>0.499</v>
      </c>
      <c r="Q276" s="120" t="n">
        <v>-0.008999999999999999</v>
      </c>
      <c r="R276" s="117" t="n">
        <v>1</v>
      </c>
      <c r="S276" s="118" t="n">
        <v>-3.416</v>
      </c>
      <c r="T276" s="118" t="n">
        <v>0.032</v>
      </c>
      <c r="U276" s="119" t="inlineStr">
        <is>
          <t>✓ Normal</t>
        </is>
      </c>
      <c r="V276" s="117" t="n">
        <v>0</v>
      </c>
      <c r="W276" s="117" t="n">
        <v>1</v>
      </c>
      <c r="X276" s="117" t="n">
        <v>0</v>
      </c>
      <c r="Y276" s="117" t="n">
        <v>0</v>
      </c>
      <c r="Z276" s="117" t="n">
        <v>0</v>
      </c>
      <c r="AA276" s="117" t="n">
        <v>1</v>
      </c>
      <c r="AB276" s="117" t="n">
        <v>2</v>
      </c>
      <c r="AC276" s="121" t="inlineStr">
        <is>
          <t>⚠ WATCH</t>
        </is>
      </c>
      <c r="AD276" s="118" t="n">
        <v>31977000000</v>
      </c>
      <c r="AE276" s="118" t="n">
        <v>-51854000000</v>
      </c>
      <c r="AF276" s="118" t="n">
        <v>17087000000</v>
      </c>
      <c r="AG276" s="118" t="n">
        <v>0.172</v>
      </c>
      <c r="AH276" s="117" t="inlineStr">
        <is>
          <t>⚠ Low Quality</t>
        </is>
      </c>
      <c r="AI276" s="118" t="n">
        <v>0.213</v>
      </c>
      <c r="AJ276" s="120" t="n">
        <v>0.173</v>
      </c>
      <c r="AK276" s="120" t="n">
        <v>1.231</v>
      </c>
      <c r="AL276" s="120" t="n">
        <v>0.475</v>
      </c>
      <c r="AM276" s="120" t="n">
        <v>0.003</v>
      </c>
      <c r="AN276" s="118" t="n">
        <v>93.2</v>
      </c>
      <c r="AO276" s="119" t="inlineStr">
        <is>
          <t>✓ Good</t>
        </is>
      </c>
      <c r="AP276" s="117" t="n">
        <v>0</v>
      </c>
      <c r="AQ276" s="117" t="n">
        <v>0</v>
      </c>
      <c r="AR276" s="117" t="n">
        <v>1</v>
      </c>
      <c r="AS276" s="117" t="n">
        <v>0</v>
      </c>
      <c r="AT276" s="117" t="n">
        <v>1</v>
      </c>
      <c r="AU276" s="117" t="n">
        <v>0</v>
      </c>
      <c r="AV276" s="117" t="n">
        <v>2</v>
      </c>
      <c r="AW276" s="121" t="inlineStr">
        <is>
          <t>⚠ WATCH</t>
        </is>
      </c>
      <c r="AX276" s="118" t="n">
        <v>23.7</v>
      </c>
      <c r="AY276" s="119" t="inlineStr">
        <is>
          <t>🟢 LOW RISK</t>
        </is>
      </c>
      <c r="AZ276" s="118" t="n">
        <v>56.3</v>
      </c>
      <c r="BA276" s="118" t="n">
        <v>54.4</v>
      </c>
      <c r="BB276" s="118" t="n">
        <v>53.8</v>
      </c>
      <c r="BC276" s="118" t="n">
        <v>138.5</v>
      </c>
      <c r="BD276" s="118" t="n">
        <v>1947.8</v>
      </c>
      <c r="BE276" s="118" t="n">
        <v>2120.7</v>
      </c>
      <c r="BF276" s="120" t="n">
        <v>0.191</v>
      </c>
      <c r="BG276" s="117" t="n">
        <v>0.499</v>
      </c>
      <c r="BH276" s="122" t="n">
        <v>5</v>
      </c>
      <c r="BI276" s="123" t="n">
        <v>1</v>
      </c>
    </row>
    <row r="277" ht="17" customHeight="1">
      <c r="A277" s="117" t="inlineStr">
        <is>
          <t>KR</t>
        </is>
      </c>
      <c r="B277" s="117" t="inlineStr">
        <is>
          <t>KROGER CO</t>
        </is>
      </c>
      <c r="C277" s="118" t="n">
        <v>0.995</v>
      </c>
      <c r="D277" s="118" t="n">
        <v>1.715</v>
      </c>
      <c r="E277" s="118" t="n">
        <v>0.91</v>
      </c>
      <c r="F277" s="118" t="n">
        <v>1.004</v>
      </c>
      <c r="G277" s="118" t="n">
        <v>0.987</v>
      </c>
      <c r="H277" s="124" t="inlineStr">
        <is>
          <t>N/A</t>
        </is>
      </c>
      <c r="I277" s="118" t="n">
        <v>1.046</v>
      </c>
      <c r="J277" s="118" t="n">
        <v>-0.126</v>
      </c>
      <c r="K277" s="118" t="n">
        <v>-2.574</v>
      </c>
      <c r="L277" s="119" t="inlineStr">
        <is>
          <t>✓ Lower Risk</t>
        </is>
      </c>
      <c r="M277" s="120" t="n">
        <v>-0.113</v>
      </c>
      <c r="N277" s="120" t="n">
        <v>-0.006</v>
      </c>
      <c r="O277" s="124" t="inlineStr">
        <is>
          <t>N/A</t>
        </is>
      </c>
      <c r="P277" s="120" t="n">
        <v>0.495</v>
      </c>
      <c r="Q277" s="120" t="n">
        <v>-0.03</v>
      </c>
      <c r="R277" s="117" t="n">
        <v>0</v>
      </c>
      <c r="S277" s="118" t="n">
        <v>-7.003</v>
      </c>
      <c r="T277" s="118" t="n">
        <v>0.001</v>
      </c>
      <c r="U277" s="119" t="inlineStr">
        <is>
          <t>✓ Normal</t>
        </is>
      </c>
      <c r="V277" s="117" t="n">
        <v>0</v>
      </c>
      <c r="W277" s="117" t="n">
        <v>0</v>
      </c>
      <c r="X277" s="117" t="n">
        <v>0</v>
      </c>
      <c r="Y277" s="117" t="n">
        <v>0</v>
      </c>
      <c r="Z277" s="117" t="n">
        <v>0</v>
      </c>
      <c r="AA277" s="117" t="n">
        <v>0</v>
      </c>
      <c r="AB277" s="117" t="n">
        <v>0</v>
      </c>
      <c r="AC277" s="119" t="inlineStr">
        <is>
          <t>✓ Clean</t>
        </is>
      </c>
      <c r="AD277" s="118" t="n">
        <v>7311000000</v>
      </c>
      <c r="AE277" s="118" t="n">
        <v>-3914000000</v>
      </c>
      <c r="AF277" s="118" t="n">
        <v>1016000000</v>
      </c>
      <c r="AG277" s="118" t="n">
        <v>-0.046</v>
      </c>
      <c r="AH277" s="119" t="inlineStr">
        <is>
          <t>✓ Medium Quality</t>
        </is>
      </c>
      <c r="AI277" s="118" t="n">
        <v>-0.001</v>
      </c>
      <c r="AJ277" s="120" t="n">
        <v>0.004</v>
      </c>
      <c r="AK277" s="120" t="n">
        <v>-0.387</v>
      </c>
      <c r="AL277" s="120" t="n">
        <v>0.05</v>
      </c>
      <c r="AM277" s="120" t="n">
        <v>0</v>
      </c>
      <c r="AN277" s="118" t="n">
        <v>79.90000000000001</v>
      </c>
      <c r="AO277" s="119" t="inlineStr">
        <is>
          <t>✓ Good</t>
        </is>
      </c>
      <c r="AP277" s="117" t="n">
        <v>0</v>
      </c>
      <c r="AQ277" s="117" t="n">
        <v>0</v>
      </c>
      <c r="AR277" s="117" t="n">
        <v>1</v>
      </c>
      <c r="AS277" s="117" t="n">
        <v>0</v>
      </c>
      <c r="AT277" s="117" t="n">
        <v>0</v>
      </c>
      <c r="AU277" s="117" t="n">
        <v>1</v>
      </c>
      <c r="AV277" s="117" t="n">
        <v>2</v>
      </c>
      <c r="AW277" s="121" t="inlineStr">
        <is>
          <t>⚠ WATCH</t>
        </is>
      </c>
      <c r="AX277" s="118" t="n">
        <v>10.5</v>
      </c>
      <c r="AY277" s="119" t="inlineStr">
        <is>
          <t>🟢 VERY LOW RISK</t>
        </is>
      </c>
      <c r="AZ277" s="118" t="n">
        <v>5.4</v>
      </c>
      <c r="BA277" s="118" t="n">
        <v>5.4</v>
      </c>
      <c r="BB277" s="124" t="inlineStr">
        <is>
          <t>N/A</t>
        </is>
      </c>
      <c r="BC277" s="124" t="inlineStr">
        <is>
          <t>N/A</t>
        </is>
      </c>
      <c r="BD277" s="118" t="n">
        <v>53.5</v>
      </c>
      <c r="BE277" s="118" t="n">
        <v>217.9</v>
      </c>
      <c r="BF277" s="120" t="n">
        <v>0.147</v>
      </c>
      <c r="BG277" s="117" t="n">
        <v>0.495</v>
      </c>
      <c r="BH277" s="122" t="n">
        <v>2</v>
      </c>
      <c r="BI277" s="123" t="n">
        <v>1</v>
      </c>
    </row>
    <row r="278" ht="17" customHeight="1">
      <c r="A278" s="117" t="inlineStr">
        <is>
          <t>LLY</t>
        </is>
      </c>
      <c r="B278" s="117" t="inlineStr">
        <is>
          <t>ELI LILLY &amp; Co</t>
        </is>
      </c>
      <c r="C278" s="118" t="n">
        <v>1.115</v>
      </c>
      <c r="D278" s="118" t="n">
        <v>0.979</v>
      </c>
      <c r="E278" s="118" t="n">
        <v>0.78</v>
      </c>
      <c r="F278" s="118" t="n">
        <v>1.447</v>
      </c>
      <c r="G278" s="118" t="n">
        <v>1.25</v>
      </c>
      <c r="H278" s="118" t="n">
        <v>0.892</v>
      </c>
      <c r="I278" s="118" t="n">
        <v>1</v>
      </c>
      <c r="J278" s="118" t="n">
        <v>0.034</v>
      </c>
      <c r="K278" s="118" t="n">
        <v>-1.869</v>
      </c>
      <c r="L278" s="121" t="inlineStr">
        <is>
          <t>⚠ MANIPULATOR RISK</t>
        </is>
      </c>
      <c r="M278" s="120" t="n">
        <v>0.089</v>
      </c>
      <c r="N278" s="120" t="n">
        <v>0.335</v>
      </c>
      <c r="O278" s="120" t="n">
        <v>0.306</v>
      </c>
      <c r="P278" s="120" t="n">
        <v>0.716</v>
      </c>
      <c r="Q278" s="120" t="n">
        <v>0.049</v>
      </c>
      <c r="R278" s="117" t="n">
        <v>0</v>
      </c>
      <c r="S278" s="118" t="n">
        <v>-5.218</v>
      </c>
      <c r="T278" s="118" t="n">
        <v>0.005</v>
      </c>
      <c r="U278" s="119" t="inlineStr">
        <is>
          <t>✓ Normal</t>
        </is>
      </c>
      <c r="V278" s="117" t="n">
        <v>1</v>
      </c>
      <c r="W278" s="117" t="n">
        <v>1</v>
      </c>
      <c r="X278" s="117" t="n">
        <v>1</v>
      </c>
      <c r="Y278" s="117" t="n">
        <v>0</v>
      </c>
      <c r="Z278" s="117" t="n">
        <v>1</v>
      </c>
      <c r="AA278" s="117" t="n">
        <v>1</v>
      </c>
      <c r="AB278" s="117" t="n">
        <v>5</v>
      </c>
      <c r="AC278" s="121" t="inlineStr">
        <is>
          <t>⚠⚠ SERIOUS CONCERN</t>
        </is>
      </c>
      <c r="AD278" s="118" t="n">
        <v>16813000000</v>
      </c>
      <c r="AE278" s="118" t="n">
        <v>-10972000000</v>
      </c>
      <c r="AF278" s="118" t="n">
        <v>20640000000</v>
      </c>
      <c r="AG278" s="118" t="n">
        <v>0.155</v>
      </c>
      <c r="AH278" s="117" t="inlineStr">
        <is>
          <t>⚠ Low Quality</t>
        </is>
      </c>
      <c r="AI278" s="118" t="n">
        <v>0.614</v>
      </c>
      <c r="AJ278" s="120" t="n">
        <v>0.447</v>
      </c>
      <c r="AK278" s="120" t="n">
        <v>1.373</v>
      </c>
      <c r="AL278" s="120" t="n">
        <v>0.258</v>
      </c>
      <c r="AM278" s="120" t="n">
        <v>-0</v>
      </c>
      <c r="AN278" s="118" t="n">
        <v>88.8</v>
      </c>
      <c r="AO278" s="119" t="inlineStr">
        <is>
          <t>✓ Good</t>
        </is>
      </c>
      <c r="AP278" s="117" t="n">
        <v>0</v>
      </c>
      <c r="AQ278" s="117" t="n">
        <v>0</v>
      </c>
      <c r="AR278" s="117" t="n">
        <v>0</v>
      </c>
      <c r="AS278" s="117" t="n">
        <v>0</v>
      </c>
      <c r="AT278" s="117" t="n">
        <v>1</v>
      </c>
      <c r="AU278" s="117" t="n">
        <v>0</v>
      </c>
      <c r="AV278" s="117" t="n">
        <v>1</v>
      </c>
      <c r="AW278" s="119" t="inlineStr">
        <is>
          <t>✓ Clean</t>
        </is>
      </c>
      <c r="AX278" s="118" t="n">
        <v>30.9</v>
      </c>
      <c r="AY278" s="119" t="inlineStr">
        <is>
          <t>🟢 LOW RISK</t>
        </is>
      </c>
      <c r="AZ278" s="118" t="n">
        <v>99.5</v>
      </c>
      <c r="BA278" s="118" t="n">
        <v>89.2</v>
      </c>
      <c r="BB278" s="118" t="n">
        <v>453.9</v>
      </c>
      <c r="BC278" s="118" t="n">
        <v>329.1</v>
      </c>
      <c r="BD278" s="118" t="n">
        <v>177.6</v>
      </c>
      <c r="BE278" s="118" t="n">
        <v>140</v>
      </c>
      <c r="BF278" s="120" t="n">
        <v>0.198</v>
      </c>
      <c r="BG278" s="117" t="n">
        <v>0.716</v>
      </c>
      <c r="BH278" s="122" t="n">
        <v>6</v>
      </c>
      <c r="BI278" s="123" t="n">
        <v>1</v>
      </c>
    </row>
    <row r="279" ht="17" customHeight="1">
      <c r="A279" s="117" t="inlineStr">
        <is>
          <t>MTZ</t>
        </is>
      </c>
      <c r="B279" s="117" t="inlineStr">
        <is>
          <t>MasTec, Inc.</t>
        </is>
      </c>
      <c r="C279" s="118" t="n">
        <v>0.959</v>
      </c>
      <c r="D279" s="118" t="n">
        <v>1.03</v>
      </c>
      <c r="E279" s="118" t="n">
        <v>0.944</v>
      </c>
      <c r="F279" s="118" t="n">
        <v>1.162</v>
      </c>
      <c r="G279" s="118" t="n">
        <v>1.184</v>
      </c>
      <c r="H279" s="118" t="n">
        <v>0.896</v>
      </c>
      <c r="I279" s="118" t="n">
        <v>0.995</v>
      </c>
      <c r="J279" s="118" t="n">
        <v>-0.015</v>
      </c>
      <c r="K279" s="118" t="n">
        <v>-2.408</v>
      </c>
      <c r="L279" s="119" t="inlineStr">
        <is>
          <t>✓ Lower Risk</t>
        </is>
      </c>
      <c r="M279" s="120" t="n">
        <v>-0.002</v>
      </c>
      <c r="N279" s="120" t="n">
        <v>0.08</v>
      </c>
      <c r="O279" s="120" t="n">
        <v>0.003</v>
      </c>
      <c r="P279" s="120" t="n">
        <v>0.861</v>
      </c>
      <c r="Q279" s="120" t="n">
        <v>0.022</v>
      </c>
      <c r="R279" s="117" t="n">
        <v>1</v>
      </c>
      <c r="S279" s="118" t="n">
        <v>-2.923</v>
      </c>
      <c r="T279" s="118" t="n">
        <v>0.051</v>
      </c>
      <c r="U279" s="121" t="inlineStr">
        <is>
          <t>⚠ HIGH RISK</t>
        </is>
      </c>
      <c r="V279" s="117" t="n">
        <v>1</v>
      </c>
      <c r="W279" s="117" t="n">
        <v>0</v>
      </c>
      <c r="X279" s="117" t="n">
        <v>0</v>
      </c>
      <c r="Y279" s="117" t="n">
        <v>1</v>
      </c>
      <c r="Z279" s="117" t="n">
        <v>1</v>
      </c>
      <c r="AA279" s="117" t="n">
        <v>1</v>
      </c>
      <c r="AB279" s="117" t="n">
        <v>4</v>
      </c>
      <c r="AC279" s="121" t="inlineStr">
        <is>
          <t>⚠⚠ SERIOUS CONCERN</t>
        </is>
      </c>
      <c r="AD279" s="118" t="n">
        <v>545714000</v>
      </c>
      <c r="AE279" s="118" t="n">
        <v>-267245000</v>
      </c>
      <c r="AF279" s="118" t="n">
        <v>399042000</v>
      </c>
      <c r="AG279" s="118" t="n">
        <v>0.013</v>
      </c>
      <c r="AH279" s="119" t="inlineStr">
        <is>
          <t>✓ Medium Quality</t>
        </is>
      </c>
      <c r="AI279" s="118" t="n">
        <v>0.115</v>
      </c>
      <c r="AJ279" s="120" t="n">
        <v>0.162</v>
      </c>
      <c r="AK279" s="120" t="n">
        <v>0.709</v>
      </c>
      <c r="AL279" s="120" t="n">
        <v>0.038</v>
      </c>
      <c r="AM279" s="120" t="n">
        <v>0.001</v>
      </c>
      <c r="AN279" s="118" t="n">
        <v>77.7</v>
      </c>
      <c r="AO279" s="119" t="inlineStr">
        <is>
          <t>✓ Good</t>
        </is>
      </c>
      <c r="AP279" s="117" t="n">
        <v>0</v>
      </c>
      <c r="AQ279" s="117" t="n">
        <v>0</v>
      </c>
      <c r="AR279" s="117" t="n">
        <v>1</v>
      </c>
      <c r="AS279" s="117" t="n">
        <v>0</v>
      </c>
      <c r="AT279" s="117" t="n">
        <v>0</v>
      </c>
      <c r="AU279" s="117" t="n">
        <v>1</v>
      </c>
      <c r="AV279" s="117" t="n">
        <v>2</v>
      </c>
      <c r="AW279" s="121" t="inlineStr">
        <is>
          <t>⚠ WATCH</t>
        </is>
      </c>
      <c r="AX279" s="118" t="n">
        <v>31.3</v>
      </c>
      <c r="AY279" s="119" t="inlineStr">
        <is>
          <t>🟢 LOW RISK</t>
        </is>
      </c>
      <c r="AZ279" s="118" t="n">
        <v>39.3</v>
      </c>
      <c r="BA279" s="118" t="n">
        <v>41</v>
      </c>
      <c r="BB279" s="118" t="n">
        <v>15.8</v>
      </c>
      <c r="BC279" s="118" t="n">
        <v>20.2</v>
      </c>
      <c r="BD279" s="118" t="n">
        <v>179.4</v>
      </c>
      <c r="BE279" s="118" t="n">
        <v>208.2</v>
      </c>
      <c r="BF279" s="120" t="n">
        <v>0.181</v>
      </c>
      <c r="BG279" s="117" t="n">
        <v>0.861</v>
      </c>
      <c r="BH279" s="122" t="n">
        <v>7</v>
      </c>
      <c r="BI279" s="123" t="n">
        <v>1</v>
      </c>
    </row>
    <row r="280" ht="17" customHeight="1">
      <c r="A280" s="117" t="inlineStr">
        <is>
          <t>TPR</t>
        </is>
      </c>
      <c r="B280" s="117" t="inlineStr">
        <is>
          <t>Tapestry, Inc.</t>
        </is>
      </c>
      <c r="C280" s="118" t="n">
        <v>0.265</v>
      </c>
      <c r="D280" s="118" t="n">
        <v>3.664</v>
      </c>
      <c r="E280" s="118" t="n">
        <v>1.616</v>
      </c>
      <c r="F280" s="118" t="n">
        <v>3.963</v>
      </c>
      <c r="G280" s="118" t="n">
        <v>0.88</v>
      </c>
      <c r="H280" s="118" t="n">
        <v>0.27</v>
      </c>
      <c r="I280" s="118" t="n">
        <v>1.11</v>
      </c>
      <c r="J280" s="118" t="n">
        <v>-0.157</v>
      </c>
      <c r="K280" s="118" t="n">
        <v>0.483</v>
      </c>
      <c r="L280" s="121" t="inlineStr">
        <is>
          <t>⚠ MANIPULATOR RISK</t>
        </is>
      </c>
      <c r="M280" s="120" t="n">
        <v>-0.132</v>
      </c>
      <c r="N280" s="120" t="n">
        <v>0.003</v>
      </c>
      <c r="O280" s="120" t="n">
        <v>0.008</v>
      </c>
      <c r="P280" s="120" t="n">
        <v>0.715</v>
      </c>
      <c r="Q280" s="120" t="n">
        <v>-0.033</v>
      </c>
      <c r="R280" s="117" t="n">
        <v>0</v>
      </c>
      <c r="S280" s="118" t="n">
        <v>-6.552</v>
      </c>
      <c r="T280" s="118" t="n">
        <v>0.001</v>
      </c>
      <c r="U280" s="119" t="inlineStr">
        <is>
          <t>✓ Normal</t>
        </is>
      </c>
      <c r="V280" s="117" t="n">
        <v>1</v>
      </c>
      <c r="W280" s="117" t="n">
        <v>0</v>
      </c>
      <c r="X280" s="117" t="n">
        <v>0</v>
      </c>
      <c r="Y280" s="117" t="n">
        <v>1</v>
      </c>
      <c r="Z280" s="117" t="n">
        <v>0</v>
      </c>
      <c r="AA280" s="117" t="n">
        <v>0</v>
      </c>
      <c r="AB280" s="117" t="n">
        <v>2</v>
      </c>
      <c r="AC280" s="121" t="inlineStr">
        <is>
          <t>⚠ WATCH</t>
        </is>
      </c>
      <c r="AD280" s="118" t="n">
        <v>1216600000</v>
      </c>
      <c r="AE280" s="118" t="n">
        <v>914000000</v>
      </c>
      <c r="AF280" s="118" t="n">
        <v>183200000</v>
      </c>
      <c r="AG280" s="118" t="n">
        <v>-0.195</v>
      </c>
      <c r="AH280" s="119" t="inlineStr">
        <is>
          <t>✓ High Quality</t>
        </is>
      </c>
      <c r="AI280" s="118" t="n">
        <v>0.049</v>
      </c>
      <c r="AJ280" s="120" t="n">
        <v>2.963</v>
      </c>
      <c r="AK280" s="120" t="n">
        <v>0.016</v>
      </c>
      <c r="AL280" s="120" t="n">
        <v>0.207</v>
      </c>
      <c r="AM280" s="120" t="n">
        <v>-0.001</v>
      </c>
      <c r="AN280" s="118" t="n">
        <v>99.90000000000001</v>
      </c>
      <c r="AO280" s="119" t="inlineStr">
        <is>
          <t>✓ Good</t>
        </is>
      </c>
      <c r="AP280" s="117" t="n">
        <v>0</v>
      </c>
      <c r="AQ280" s="117" t="n">
        <v>0</v>
      </c>
      <c r="AR280" s="117" t="n">
        <v>1</v>
      </c>
      <c r="AS280" s="117" t="n">
        <v>0</v>
      </c>
      <c r="AT280" s="117" t="n">
        <v>0</v>
      </c>
      <c r="AU280" s="117" t="n">
        <v>1</v>
      </c>
      <c r="AV280" s="117" t="n">
        <v>2</v>
      </c>
      <c r="AW280" s="121" t="inlineStr">
        <is>
          <t>⚠ WATCH</t>
        </is>
      </c>
      <c r="AX280" s="118" t="n">
        <v>28.4</v>
      </c>
      <c r="AY280" s="119" t="inlineStr">
        <is>
          <t>🟢 LOW RISK</t>
        </is>
      </c>
      <c r="AZ280" s="118" t="n">
        <v>14.9</v>
      </c>
      <c r="BA280" s="118" t="n">
        <v>56.1</v>
      </c>
      <c r="BB280" s="118" t="n">
        <v>182.5</v>
      </c>
      <c r="BC280" s="118" t="n">
        <v>169</v>
      </c>
      <c r="BD280" s="118" t="n">
        <v>96.7</v>
      </c>
      <c r="BE280" s="118" t="n">
        <v>92.59999999999999</v>
      </c>
      <c r="BF280" s="120" t="n">
        <v>0.152</v>
      </c>
      <c r="BG280" s="117" t="n">
        <v>0.715</v>
      </c>
      <c r="BH280" s="122" t="n">
        <v>4</v>
      </c>
      <c r="BI280" s="123" t="n">
        <v>1</v>
      </c>
    </row>
    <row r="281" ht="17" customHeight="1">
      <c r="A281" s="117" t="inlineStr">
        <is>
          <t>CSL</t>
        </is>
      </c>
      <c r="B281" s="117" t="inlineStr">
        <is>
          <t>CARLISLE COMPANIES INCORPORATED</t>
        </is>
      </c>
      <c r="C281" s="118" t="n">
        <v>0.9389999999999999</v>
      </c>
      <c r="D281" s="118" t="n">
        <v>0.28</v>
      </c>
      <c r="E281" s="118" t="n">
        <v>0.929</v>
      </c>
      <c r="F281" s="118" t="n">
        <v>1.091</v>
      </c>
      <c r="G281" s="118" t="n">
        <v>0.997</v>
      </c>
      <c r="H281" s="118" t="n">
        <v>0.945</v>
      </c>
      <c r="I281" s="118" t="n">
        <v>1</v>
      </c>
      <c r="J281" s="118" t="n">
        <v>-0.058</v>
      </c>
      <c r="K281" s="118" t="n">
        <v>-3.125</v>
      </c>
      <c r="L281" s="119" t="inlineStr">
        <is>
          <t>✓ Lower Risk</t>
        </is>
      </c>
      <c r="M281" s="120" t="n">
        <v>-0.044</v>
      </c>
      <c r="N281" s="120" t="n">
        <v>0.034</v>
      </c>
      <c r="O281" s="120" t="n">
        <v>-0.061</v>
      </c>
      <c r="P281" s="120" t="n">
        <v>0.694</v>
      </c>
      <c r="Q281" s="120" t="n">
        <v>-0.107</v>
      </c>
      <c r="R281" s="117" t="n">
        <v>0</v>
      </c>
      <c r="S281" s="118" t="n">
        <v>-6.495</v>
      </c>
      <c r="T281" s="118" t="n">
        <v>0.002</v>
      </c>
      <c r="U281" s="119" t="inlineStr">
        <is>
          <t>✓ Normal</t>
        </is>
      </c>
      <c r="V281" s="117" t="n">
        <v>0</v>
      </c>
      <c r="W281" s="117" t="n">
        <v>0</v>
      </c>
      <c r="X281" s="117" t="n">
        <v>0</v>
      </c>
      <c r="Y281" s="117" t="n">
        <v>1</v>
      </c>
      <c r="Z281" s="117" t="n">
        <v>0</v>
      </c>
      <c r="AA281" s="117" t="n">
        <v>0</v>
      </c>
      <c r="AB281" s="117" t="n">
        <v>1</v>
      </c>
      <c r="AC281" s="119" t="inlineStr">
        <is>
          <t>✓ Clean</t>
        </is>
      </c>
      <c r="AD281" s="118" t="n">
        <v>1101800000</v>
      </c>
      <c r="AE281" s="118" t="n">
        <v>-240400000</v>
      </c>
      <c r="AF281" s="118" t="n">
        <v>740700000</v>
      </c>
      <c r="AG281" s="118" t="n">
        <v>-0.02</v>
      </c>
      <c r="AH281" s="119" t="inlineStr">
        <is>
          <t>✓ Medium Quality</t>
        </is>
      </c>
      <c r="AI281" s="118" t="n">
        <v>0.024</v>
      </c>
      <c r="AJ281" s="120" t="n">
        <v>0.091</v>
      </c>
      <c r="AK281" s="120" t="n">
        <v>0.268</v>
      </c>
      <c r="AL281" s="120" t="n">
        <v>0.22</v>
      </c>
      <c r="AM281" s="120" t="n">
        <v>0.001</v>
      </c>
      <c r="AN281" s="117" t="n">
        <v>100</v>
      </c>
      <c r="AO281" s="119" t="inlineStr">
        <is>
          <t>✓ Good</t>
        </is>
      </c>
      <c r="AP281" s="117" t="n">
        <v>0</v>
      </c>
      <c r="AQ281" s="117" t="n">
        <v>0</v>
      </c>
      <c r="AR281" s="117" t="n">
        <v>0</v>
      </c>
      <c r="AS281" s="117" t="n">
        <v>0</v>
      </c>
      <c r="AT281" s="117" t="n">
        <v>1</v>
      </c>
      <c r="AU281" s="117" t="n">
        <v>1</v>
      </c>
      <c r="AV281" s="117" t="n">
        <v>2</v>
      </c>
      <c r="AW281" s="121" t="inlineStr">
        <is>
          <t>⚠ WATCH</t>
        </is>
      </c>
      <c r="AX281" s="118" t="n">
        <v>10.8</v>
      </c>
      <c r="AY281" s="119" t="inlineStr">
        <is>
          <t>🟢 VERY LOW RISK</t>
        </is>
      </c>
      <c r="AZ281" s="118" t="n">
        <v>43.3</v>
      </c>
      <c r="BA281" s="118" t="n">
        <v>46.1</v>
      </c>
      <c r="BB281" s="118" t="n">
        <v>50.6</v>
      </c>
      <c r="BC281" s="118" t="n">
        <v>55.4</v>
      </c>
      <c r="BD281" s="118" t="n">
        <v>26.4</v>
      </c>
      <c r="BE281" s="118" t="n">
        <v>30.6</v>
      </c>
      <c r="BF281" s="120" t="n">
        <v>0.217</v>
      </c>
      <c r="BG281" s="117" t="n">
        <v>0.694</v>
      </c>
      <c r="BH281" s="122" t="n">
        <v>3</v>
      </c>
      <c r="BI281" s="123" t="n">
        <v>1</v>
      </c>
    </row>
    <row r="282" ht="17" customHeight="1">
      <c r="A282" s="117" t="inlineStr">
        <is>
          <t>FOUR</t>
        </is>
      </c>
      <c r="B282" s="117" t="inlineStr">
        <is>
          <t>SHIFT4 PAYMENTS, INC.</t>
        </is>
      </c>
      <c r="C282" s="118" t="n">
        <v>1.696</v>
      </c>
      <c r="D282" s="118" t="n">
        <v>0.802</v>
      </c>
      <c r="E282" s="118" t="n">
        <v>1.21</v>
      </c>
      <c r="F282" s="118" t="n">
        <v>1.255</v>
      </c>
      <c r="G282" s="118" t="n">
        <v>0.988</v>
      </c>
      <c r="H282" s="118" t="n">
        <v>1.183</v>
      </c>
      <c r="I282" s="118" t="n">
        <v>0.972</v>
      </c>
      <c r="J282" s="118" t="n">
        <v>-0.059</v>
      </c>
      <c r="K282" s="118" t="n">
        <v>-1.932</v>
      </c>
      <c r="L282" s="121" t="inlineStr">
        <is>
          <t>⚠ MANIPULATOR RISK</t>
        </is>
      </c>
      <c r="M282" s="120" t="n">
        <v>0.034</v>
      </c>
      <c r="N282" s="120" t="n">
        <v>0.463</v>
      </c>
      <c r="O282" s="120" t="n">
        <v>0.006</v>
      </c>
      <c r="P282" s="120" t="n">
        <v>0.886</v>
      </c>
      <c r="Q282" s="120" t="n">
        <v>-0.032</v>
      </c>
      <c r="R282" s="117" t="n">
        <v>1</v>
      </c>
      <c r="S282" s="118" t="n">
        <v>-1.851</v>
      </c>
      <c r="T282" s="118" t="n">
        <v>0.136</v>
      </c>
      <c r="U282" s="121" t="inlineStr">
        <is>
          <t>⚠ HIGH RISK</t>
        </is>
      </c>
      <c r="V282" s="117" t="n">
        <v>0</v>
      </c>
      <c r="W282" s="117" t="n">
        <v>1</v>
      </c>
      <c r="X282" s="117" t="n">
        <v>1</v>
      </c>
      <c r="Y282" s="117" t="n">
        <v>0</v>
      </c>
      <c r="Z282" s="117" t="n">
        <v>1</v>
      </c>
      <c r="AA282" s="117" t="n">
        <v>1</v>
      </c>
      <c r="AB282" s="117" t="n">
        <v>4</v>
      </c>
      <c r="AC282" s="121" t="inlineStr">
        <is>
          <t>⚠⚠ SERIOUS CONCERN</t>
        </is>
      </c>
      <c r="AD282" s="118" t="n">
        <v>634000000</v>
      </c>
      <c r="AE282" s="118" t="n">
        <v>-2998000000</v>
      </c>
      <c r="AF282" s="118" t="n">
        <v>119000000</v>
      </c>
      <c r="AG282" s="118" t="n">
        <v>0.361</v>
      </c>
      <c r="AH282" s="117" t="inlineStr">
        <is>
          <t>⚠ Very Low Quality</t>
        </is>
      </c>
      <c r="AI282" s="118" t="n">
        <v>1.128</v>
      </c>
      <c r="AJ282" s="120" t="n">
        <v>0.255</v>
      </c>
      <c r="AK282" s="120" t="n">
        <v>4.423</v>
      </c>
      <c r="AL282" s="120" t="n">
        <v>0.152</v>
      </c>
      <c r="AM282" s="120" t="n">
        <v>-0.001</v>
      </c>
      <c r="AN282" s="118" t="n">
        <v>70</v>
      </c>
      <c r="AO282" s="119" t="inlineStr">
        <is>
          <t>✓ Good</t>
        </is>
      </c>
      <c r="AP282" s="117" t="n">
        <v>0</v>
      </c>
      <c r="AQ282" s="117" t="n">
        <v>0</v>
      </c>
      <c r="AR282" s="117" t="n">
        <v>0</v>
      </c>
      <c r="AS282" s="117" t="n">
        <v>1</v>
      </c>
      <c r="AT282" s="117" t="n">
        <v>1</v>
      </c>
      <c r="AU282" s="117" t="n">
        <v>1</v>
      </c>
      <c r="AV282" s="117" t="n">
        <v>3</v>
      </c>
      <c r="AW282" s="121" t="inlineStr">
        <is>
          <t>⚠ WATCH</t>
        </is>
      </c>
      <c r="AX282" s="118" t="n">
        <v>53.6</v>
      </c>
      <c r="AY282" s="121" t="inlineStr">
        <is>
          <t>🟡 ELEVATED RISK</t>
        </is>
      </c>
      <c r="AZ282" s="118" t="n">
        <v>64.8</v>
      </c>
      <c r="BA282" s="118" t="n">
        <v>38.2</v>
      </c>
      <c r="BB282" s="118" t="n">
        <v>3</v>
      </c>
      <c r="BC282" s="118" t="n">
        <v>2.1</v>
      </c>
      <c r="BD282" s="118" t="n">
        <v>227.6</v>
      </c>
      <c r="BE282" s="118" t="n">
        <v>153.8</v>
      </c>
      <c r="BF282" s="120" t="n">
        <v>0.246</v>
      </c>
      <c r="BG282" s="117" t="n">
        <v>0.886</v>
      </c>
      <c r="BH282" s="122" t="n">
        <v>8</v>
      </c>
      <c r="BI282" s="123" t="n">
        <v>1</v>
      </c>
    </row>
    <row r="283" ht="17" customHeight="1">
      <c r="A283" s="129" t="inlineStr">
        <is>
          <t>SYF</t>
        </is>
      </c>
      <c r="B283" s="129" t="inlineStr">
        <is>
          <t>Synchrony Financial</t>
        </is>
      </c>
      <c r="C283" s="124" t="inlineStr">
        <is>
          <t>N/A</t>
        </is>
      </c>
      <c r="D283" s="124" t="inlineStr">
        <is>
          <t>N/A</t>
        </is>
      </c>
      <c r="E283" s="124" t="inlineStr">
        <is>
          <t>N/A</t>
        </is>
      </c>
      <c r="F283" s="124" t="inlineStr">
        <is>
          <t>N/A</t>
        </is>
      </c>
      <c r="G283" s="124" t="inlineStr">
        <is>
          <t>N/A</t>
        </is>
      </c>
      <c r="H283" s="124" t="inlineStr">
        <is>
          <t>N/A</t>
        </is>
      </c>
      <c r="I283" s="130" t="n">
        <v>0.998</v>
      </c>
      <c r="J283" s="130" t="n">
        <v>-0.053</v>
      </c>
      <c r="K283" s="124" t="inlineStr">
        <is>
          <t>N/A</t>
        </is>
      </c>
      <c r="L283" s="124" t="inlineStr">
        <is>
          <t>N/A</t>
        </is>
      </c>
      <c r="M283" s="124" t="inlineStr">
        <is>
          <t>N/A</t>
        </is>
      </c>
      <c r="N283" s="124" t="inlineStr">
        <is>
          <t>N/A</t>
        </is>
      </c>
      <c r="O283" s="124" t="inlineStr">
        <is>
          <t>N/A</t>
        </is>
      </c>
      <c r="P283" s="131" t="n">
        <v>0.874</v>
      </c>
      <c r="Q283" s="131" t="n">
        <v>0.001</v>
      </c>
      <c r="R283" s="129" t="n">
        <v>0</v>
      </c>
      <c r="S283" s="124" t="inlineStr">
        <is>
          <t>N/A</t>
        </is>
      </c>
      <c r="T283" s="124" t="inlineStr">
        <is>
          <t>N/A</t>
        </is>
      </c>
      <c r="U283" s="124" t="inlineStr">
        <is>
          <t>N/A</t>
        </is>
      </c>
      <c r="V283" s="129" t="n">
        <v>0</v>
      </c>
      <c r="W283" s="129" t="n">
        <v>0</v>
      </c>
      <c r="X283" s="129" t="n">
        <v>0</v>
      </c>
      <c r="Y283" s="129" t="n">
        <v>0</v>
      </c>
      <c r="Z283" s="129" t="n">
        <v>0</v>
      </c>
      <c r="AA283" s="129" t="n">
        <v>0</v>
      </c>
      <c r="AB283" s="129" t="n">
        <v>0</v>
      </c>
      <c r="AC283" s="119" t="inlineStr">
        <is>
          <t>✓ Clean</t>
        </is>
      </c>
      <c r="AD283" s="130" t="n">
        <v>9851000000</v>
      </c>
      <c r="AE283" s="130" t="n">
        <v>-4854000000</v>
      </c>
      <c r="AF283" s="130" t="n">
        <v>3552000000</v>
      </c>
      <c r="AG283" s="130" t="n">
        <v>-0.012</v>
      </c>
      <c r="AH283" s="119" t="inlineStr">
        <is>
          <t>✓ Medium Quality</t>
        </is>
      </c>
      <c r="AI283" s="124" t="inlineStr">
        <is>
          <t>N/A</t>
        </is>
      </c>
      <c r="AJ283" s="124" t="inlineStr">
        <is>
          <t>N/A</t>
        </is>
      </c>
      <c r="AK283" s="124" t="inlineStr">
        <is>
          <t>N/A</t>
        </is>
      </c>
      <c r="AL283" s="124" t="inlineStr">
        <is>
          <t>N/A</t>
        </is>
      </c>
      <c r="AM283" s="124" t="inlineStr">
        <is>
          <t>N/A</t>
        </is>
      </c>
      <c r="AN283" s="129" t="n">
        <v>100</v>
      </c>
      <c r="AO283" s="119" t="inlineStr">
        <is>
          <t>✓ Good</t>
        </is>
      </c>
      <c r="AP283" s="129" t="n">
        <v>0</v>
      </c>
      <c r="AQ283" s="129" t="n">
        <v>0</v>
      </c>
      <c r="AR283" s="129" t="n">
        <v>0</v>
      </c>
      <c r="AS283" s="129" t="n">
        <v>0</v>
      </c>
      <c r="AT283" s="129" t="n">
        <v>0</v>
      </c>
      <c r="AU283" s="129" t="n">
        <v>1</v>
      </c>
      <c r="AV283" s="129" t="n">
        <v>1</v>
      </c>
      <c r="AW283" s="119" t="inlineStr">
        <is>
          <t>✓ Clean</t>
        </is>
      </c>
      <c r="AX283" s="130" t="n">
        <v>23.1</v>
      </c>
      <c r="AY283" s="119" t="inlineStr">
        <is>
          <t>🟢 LOW RISK</t>
        </is>
      </c>
      <c r="AZ283" s="124" t="inlineStr">
        <is>
          <t>N/A</t>
        </is>
      </c>
      <c r="BA283" s="124" t="inlineStr">
        <is>
          <t>N/A</t>
        </is>
      </c>
      <c r="BB283" s="124" t="inlineStr">
        <is>
          <t>N/A</t>
        </is>
      </c>
      <c r="BC283" s="124" t="inlineStr">
        <is>
          <t>N/A</t>
        </is>
      </c>
      <c r="BD283" s="124" t="inlineStr">
        <is>
          <t>N/A</t>
        </is>
      </c>
      <c r="BE283" s="124" t="inlineStr">
        <is>
          <t>N/A</t>
        </is>
      </c>
      <c r="BF283" s="131" t="n">
        <v>0.231</v>
      </c>
      <c r="BG283" s="129" t="n">
        <v>0.874</v>
      </c>
      <c r="BH283" s="129" t="n">
        <v>1</v>
      </c>
      <c r="BI283" s="125" t="n">
        <v>0.6666666666666666</v>
      </c>
    </row>
    <row r="284" ht="17" customHeight="1">
      <c r="A284" s="117" t="inlineStr">
        <is>
          <t>TXN</t>
        </is>
      </c>
      <c r="B284" s="117" t="inlineStr">
        <is>
          <t>TEXAS INSTRUMENTS INCORPORATED</t>
        </is>
      </c>
      <c r="C284" s="118" t="n">
        <v>1.01</v>
      </c>
      <c r="D284" s="118" t="n">
        <v>1.02</v>
      </c>
      <c r="E284" s="118" t="n">
        <v>0.957</v>
      </c>
      <c r="F284" s="118" t="n">
        <v>1.13</v>
      </c>
      <c r="G284" s="118" t="n">
        <v>0.871</v>
      </c>
      <c r="H284" s="118" t="n">
        <v>0.917</v>
      </c>
      <c r="I284" s="118" t="n">
        <v>1.01</v>
      </c>
      <c r="J284" s="118" t="n">
        <v>-0.062</v>
      </c>
      <c r="K284" s="118" t="n">
        <v>-2.657</v>
      </c>
      <c r="L284" s="119" t="inlineStr">
        <is>
          <t>✓ Lower Risk</t>
        </is>
      </c>
      <c r="M284" s="120" t="n">
        <v>-0.079</v>
      </c>
      <c r="N284" s="120" t="n">
        <v>0.12</v>
      </c>
      <c r="O284" s="120" t="n">
        <v>0.136</v>
      </c>
      <c r="P284" s="120" t="n">
        <v>0.551</v>
      </c>
      <c r="Q284" s="120" t="n">
        <v>0.008999999999999999</v>
      </c>
      <c r="R284" s="117" t="n">
        <v>0</v>
      </c>
      <c r="S284" s="118" t="n">
        <v>-6.407</v>
      </c>
      <c r="T284" s="118" t="n">
        <v>0.002</v>
      </c>
      <c r="U284" s="119" t="inlineStr">
        <is>
          <t>✓ Normal</t>
        </is>
      </c>
      <c r="V284" s="117" t="n">
        <v>0</v>
      </c>
      <c r="W284" s="117" t="n">
        <v>1</v>
      </c>
      <c r="X284" s="117" t="n">
        <v>0</v>
      </c>
      <c r="Y284" s="117" t="n">
        <v>1</v>
      </c>
      <c r="Z284" s="117" t="n">
        <v>0</v>
      </c>
      <c r="AA284" s="117" t="n">
        <v>0</v>
      </c>
      <c r="AB284" s="117" t="n">
        <v>2</v>
      </c>
      <c r="AC284" s="121" t="inlineStr">
        <is>
          <t>⚠ WATCH</t>
        </is>
      </c>
      <c r="AD284" s="118" t="n">
        <v>7153000000</v>
      </c>
      <c r="AE284" s="118" t="n">
        <v>-1439000000</v>
      </c>
      <c r="AF284" s="118" t="n">
        <v>5001000000</v>
      </c>
      <c r="AG284" s="118" t="n">
        <v>-0.02</v>
      </c>
      <c r="AH284" s="119" t="inlineStr">
        <is>
          <t>✓ Medium Quality</t>
        </is>
      </c>
      <c r="AI284" s="118" t="n">
        <v>0.142</v>
      </c>
      <c r="AJ284" s="120" t="n">
        <v>0.13</v>
      </c>
      <c r="AK284" s="120" t="n">
        <v>1.088</v>
      </c>
      <c r="AL284" s="120" t="n">
        <v>0.405</v>
      </c>
      <c r="AM284" s="124" t="inlineStr">
        <is>
          <t>N/A</t>
        </is>
      </c>
      <c r="AN284" s="118" t="n">
        <v>97.40000000000001</v>
      </c>
      <c r="AO284" s="119" t="inlineStr">
        <is>
          <t>✓ Good</t>
        </is>
      </c>
      <c r="AP284" s="117" t="n">
        <v>0</v>
      </c>
      <c r="AQ284" s="117" t="n">
        <v>0</v>
      </c>
      <c r="AR284" s="117" t="n">
        <v>1</v>
      </c>
      <c r="AS284" s="117" t="n">
        <v>0</v>
      </c>
      <c r="AT284" s="117" t="n">
        <v>1</v>
      </c>
      <c r="AU284" s="117" t="n">
        <v>0</v>
      </c>
      <c r="AV284" s="117" t="n">
        <v>2</v>
      </c>
      <c r="AW284" s="121" t="inlineStr">
        <is>
          <t>⚠ WATCH</t>
        </is>
      </c>
      <c r="AX284" s="118" t="n">
        <v>15.7</v>
      </c>
      <c r="AY284" s="119" t="inlineStr">
        <is>
          <t>🟢 VERY LOW RISK</t>
        </is>
      </c>
      <c r="AZ284" s="118" t="n">
        <v>40.5</v>
      </c>
      <c r="BA284" s="118" t="n">
        <v>40.1</v>
      </c>
      <c r="BB284" s="118" t="n">
        <v>230.7</v>
      </c>
      <c r="BC284" s="118" t="n">
        <v>252.4</v>
      </c>
      <c r="BD284" s="118" t="n">
        <v>36.3</v>
      </c>
      <c r="BE284" s="118" t="n">
        <v>45.7</v>
      </c>
      <c r="BF284" s="120" t="n">
        <v>0.124</v>
      </c>
      <c r="BG284" s="117" t="n">
        <v>0.551</v>
      </c>
      <c r="BH284" s="122" t="n">
        <v>4</v>
      </c>
      <c r="BI284" s="123" t="n">
        <v>1</v>
      </c>
    </row>
    <row r="285" ht="17" customHeight="1">
      <c r="A285" s="117" t="inlineStr">
        <is>
          <t>ADBE</t>
        </is>
      </c>
      <c r="B285" s="117" t="inlineStr">
        <is>
          <t>ADOBE INC.</t>
        </is>
      </c>
      <c r="C285" s="118" t="n">
        <v>1.024</v>
      </c>
      <c r="D285" s="118" t="n">
        <v>0.997</v>
      </c>
      <c r="E285" s="118" t="n">
        <v>1.049</v>
      </c>
      <c r="F285" s="118" t="n">
        <v>1.105</v>
      </c>
      <c r="G285" s="118" t="n">
        <v>0.9419999999999999</v>
      </c>
      <c r="H285" s="118" t="n">
        <v>0.931</v>
      </c>
      <c r="I285" s="118" t="n">
        <v>1.136</v>
      </c>
      <c r="J285" s="118" t="n">
        <v>-0.098</v>
      </c>
      <c r="K285" s="118" t="n">
        <v>-2.846</v>
      </c>
      <c r="L285" s="119" t="inlineStr">
        <is>
          <t>✓ Lower Risk</t>
        </is>
      </c>
      <c r="M285" s="120" t="n">
        <v>0.039</v>
      </c>
      <c r="N285" s="120" t="n">
        <v>0.12</v>
      </c>
      <c r="O285" s="124" t="inlineStr">
        <is>
          <t>N/A</t>
        </is>
      </c>
      <c r="P285" s="120" t="n">
        <v>0.752</v>
      </c>
      <c r="Q285" s="120" t="n">
        <v>0.058</v>
      </c>
      <c r="R285" s="117" t="n">
        <v>0</v>
      </c>
      <c r="S285" s="118" t="n">
        <v>-6.096</v>
      </c>
      <c r="T285" s="118" t="n">
        <v>0.002</v>
      </c>
      <c r="U285" s="119" t="inlineStr">
        <is>
          <t>✓ Normal</t>
        </is>
      </c>
      <c r="V285" s="117" t="n">
        <v>0</v>
      </c>
      <c r="W285" s="117" t="n">
        <v>1</v>
      </c>
      <c r="X285" s="117" t="n">
        <v>0</v>
      </c>
      <c r="Y285" s="117" t="n">
        <v>0</v>
      </c>
      <c r="Z285" s="117" t="n">
        <v>0</v>
      </c>
      <c r="AA285" s="117" t="n">
        <v>0</v>
      </c>
      <c r="AB285" s="117" t="n">
        <v>1</v>
      </c>
      <c r="AC285" s="119" t="inlineStr">
        <is>
          <t>✓ Clean</t>
        </is>
      </c>
      <c r="AD285" s="118" t="n">
        <v>10031000000</v>
      </c>
      <c r="AE285" s="118" t="n">
        <v>-1187000000</v>
      </c>
      <c r="AF285" s="118" t="n">
        <v>7130000000</v>
      </c>
      <c r="AG285" s="118" t="n">
        <v>-0.057</v>
      </c>
      <c r="AH285" s="119" t="inlineStr">
        <is>
          <t>✓ Medium Quality</t>
        </is>
      </c>
      <c r="AI285" s="118" t="n">
        <v>0.131</v>
      </c>
      <c r="AJ285" s="120" t="n">
        <v>0.105</v>
      </c>
      <c r="AK285" s="120" t="n">
        <v>1.247</v>
      </c>
      <c r="AL285" s="120" t="n">
        <v>0.422</v>
      </c>
      <c r="AM285" s="120" t="n">
        <v>0.022</v>
      </c>
      <c r="AN285" s="118" t="n">
        <v>93.7</v>
      </c>
      <c r="AO285" s="119" t="inlineStr">
        <is>
          <t>✓ Good</t>
        </is>
      </c>
      <c r="AP285" s="117" t="n">
        <v>0</v>
      </c>
      <c r="AQ285" s="117" t="n">
        <v>0</v>
      </c>
      <c r="AR285" s="117" t="n">
        <v>0</v>
      </c>
      <c r="AS285" s="117" t="n">
        <v>0</v>
      </c>
      <c r="AT285" s="117" t="n">
        <v>0</v>
      </c>
      <c r="AU285" s="117" t="n">
        <v>1</v>
      </c>
      <c r="AV285" s="117" t="n">
        <v>1</v>
      </c>
      <c r="AW285" s="119" t="inlineStr">
        <is>
          <t>✓ Clean</t>
        </is>
      </c>
      <c r="AX285" s="118" t="n">
        <v>11.9</v>
      </c>
      <c r="AY285" s="119" t="inlineStr">
        <is>
          <t>🟢 VERY LOW RISK</t>
        </is>
      </c>
      <c r="AZ285" s="118" t="n">
        <v>36</v>
      </c>
      <c r="BA285" s="118" t="n">
        <v>35.2</v>
      </c>
      <c r="BB285" s="124" t="inlineStr">
        <is>
          <t>N/A</t>
        </is>
      </c>
      <c r="BC285" s="124" t="inlineStr">
        <is>
          <t>N/A</t>
        </is>
      </c>
      <c r="BD285" s="118" t="n">
        <v>59.7</v>
      </c>
      <c r="BE285" s="118" t="n">
        <v>55.9</v>
      </c>
      <c r="BF285" s="120" t="n">
        <v>0.184</v>
      </c>
      <c r="BG285" s="117" t="n">
        <v>0.752</v>
      </c>
      <c r="BH285" s="122" t="n">
        <v>2</v>
      </c>
      <c r="BI285" s="123" t="n">
        <v>1</v>
      </c>
    </row>
    <row r="286" ht="17" customHeight="1">
      <c r="A286" s="117" t="inlineStr">
        <is>
          <t>CME</t>
        </is>
      </c>
      <c r="B286" s="117" t="inlineStr">
        <is>
          <t>CME GROUP INC.</t>
        </is>
      </c>
      <c r="C286" s="118" t="n">
        <v>1.049</v>
      </c>
      <c r="D286" s="124" t="inlineStr">
        <is>
          <t>N/A</t>
        </is>
      </c>
      <c r="E286" s="118" t="n">
        <v>0.666</v>
      </c>
      <c r="F286" s="118" t="n">
        <v>1.064</v>
      </c>
      <c r="G286" s="118" t="n">
        <v>1.004</v>
      </c>
      <c r="H286" s="124" t="inlineStr">
        <is>
          <t>N/A</t>
        </is>
      </c>
      <c r="I286" s="118" t="n">
        <v>1.059</v>
      </c>
      <c r="J286" s="118" t="n">
        <v>-0.001</v>
      </c>
      <c r="K286" s="124" t="inlineStr">
        <is>
          <t>N/A</t>
        </is>
      </c>
      <c r="L286" s="124" t="inlineStr">
        <is>
          <t>N/A</t>
        </is>
      </c>
      <c r="M286" s="120" t="n">
        <v>0.014</v>
      </c>
      <c r="N286" s="120" t="n">
        <v>0.169</v>
      </c>
      <c r="O286" s="124" t="inlineStr">
        <is>
          <t>N/A</t>
        </is>
      </c>
      <c r="P286" s="120" t="n">
        <v>0.976</v>
      </c>
      <c r="Q286" s="120" t="n">
        <v>-0.005</v>
      </c>
      <c r="R286" s="117" t="n">
        <v>0</v>
      </c>
      <c r="S286" s="118" t="n">
        <v>-5.522</v>
      </c>
      <c r="T286" s="118" t="n">
        <v>0.004</v>
      </c>
      <c r="U286" s="119" t="inlineStr">
        <is>
          <t>✓ Normal</t>
        </is>
      </c>
      <c r="V286" s="117" t="n">
        <v>0</v>
      </c>
      <c r="W286" s="117" t="n">
        <v>1</v>
      </c>
      <c r="X286" s="117" t="n">
        <v>0</v>
      </c>
      <c r="Y286" s="117" t="n">
        <v>1</v>
      </c>
      <c r="Z286" s="117" t="n">
        <v>1</v>
      </c>
      <c r="AA286" s="117" t="n">
        <v>1</v>
      </c>
      <c r="AB286" s="117" t="n">
        <v>4</v>
      </c>
      <c r="AC286" s="121" t="inlineStr">
        <is>
          <t>⚠⚠ SERIOUS CONCERN</t>
        </is>
      </c>
      <c r="AD286" s="118" t="n">
        <v>4277100000</v>
      </c>
      <c r="AE286" s="118" t="n">
        <v>1498800000</v>
      </c>
      <c r="AF286" s="118" t="n">
        <v>4072200000</v>
      </c>
      <c r="AG286" s="118" t="n">
        <v>-0.01</v>
      </c>
      <c r="AH286" s="119" t="inlineStr">
        <is>
          <t>✓ Medium Quality</t>
        </is>
      </c>
      <c r="AI286" s="118" t="n">
        <v>0.115</v>
      </c>
      <c r="AJ286" s="120" t="n">
        <v>0.064</v>
      </c>
      <c r="AK286" s="120" t="n">
        <v>1.811</v>
      </c>
      <c r="AL286" s="120" t="n">
        <v>0.656</v>
      </c>
      <c r="AM286" s="120" t="n">
        <v>0.002</v>
      </c>
      <c r="AN286" s="118" t="n">
        <v>75.8</v>
      </c>
      <c r="AO286" s="119" t="inlineStr">
        <is>
          <t>✓ Good</t>
        </is>
      </c>
      <c r="AP286" s="117" t="n">
        <v>0</v>
      </c>
      <c r="AQ286" s="117" t="n">
        <v>0</v>
      </c>
      <c r="AR286" s="117" t="n">
        <v>0</v>
      </c>
      <c r="AS286" s="117" t="n">
        <v>0</v>
      </c>
      <c r="AT286" s="117" t="n">
        <v>0</v>
      </c>
      <c r="AU286" s="117" t="n">
        <v>0</v>
      </c>
      <c r="AV286" s="117" t="n">
        <v>0</v>
      </c>
      <c r="AW286" s="119" t="inlineStr">
        <is>
          <t>✓ Clean</t>
        </is>
      </c>
      <c r="AX286" s="118" t="n">
        <v>29.9</v>
      </c>
      <c r="AY286" s="119" t="inlineStr">
        <is>
          <t>🟢 LOW RISK</t>
        </is>
      </c>
      <c r="AZ286" s="118" t="n">
        <v>35.8</v>
      </c>
      <c r="BA286" s="118" t="n">
        <v>34.1</v>
      </c>
      <c r="BB286" s="124" t="inlineStr">
        <is>
          <t>N/A</t>
        </is>
      </c>
      <c r="BC286" s="124" t="inlineStr">
        <is>
          <t>N/A</t>
        </is>
      </c>
      <c r="BD286" s="124" t="inlineStr">
        <is>
          <t>N/A</t>
        </is>
      </c>
      <c r="BE286" s="124" t="inlineStr">
        <is>
          <t>N/A</t>
        </is>
      </c>
      <c r="BF286" s="120" t="n">
        <v>0.236</v>
      </c>
      <c r="BG286" s="117" t="n">
        <v>0.976</v>
      </c>
      <c r="BH286" s="122" t="n">
        <v>4</v>
      </c>
      <c r="BI286" s="123" t="n">
        <v>0.8333333333333334</v>
      </c>
    </row>
    <row r="287" ht="17" customHeight="1">
      <c r="A287" s="117" t="inlineStr">
        <is>
          <t>BDX</t>
        </is>
      </c>
      <c r="B287" s="117" t="inlineStr">
        <is>
          <t>BECTON DICKINSON &amp; CO</t>
        </is>
      </c>
      <c r="C287" s="118" t="n">
        <v>0.912</v>
      </c>
      <c r="D287" s="118" t="n">
        <v>0.315</v>
      </c>
      <c r="E287" s="118" t="n">
        <v>1.012</v>
      </c>
      <c r="F287" s="118" t="n">
        <v>1.082</v>
      </c>
      <c r="G287" s="118" t="n">
        <v>0.964</v>
      </c>
      <c r="H287" s="118" t="n">
        <v>1.004</v>
      </c>
      <c r="I287" s="118" t="n">
        <v>1</v>
      </c>
      <c r="J287" s="118" t="n">
        <v>-0.054</v>
      </c>
      <c r="K287" s="118" t="n">
        <v>-3.1</v>
      </c>
      <c r="L287" s="119" t="inlineStr">
        <is>
          <t>✓ Lower Risk</t>
        </is>
      </c>
      <c r="M287" s="120" t="n">
        <v>-0.035</v>
      </c>
      <c r="N287" s="120" t="n">
        <v>-0.023</v>
      </c>
      <c r="O287" s="120" t="n">
        <v>0.031</v>
      </c>
      <c r="P287" s="120" t="n">
        <v>0.862</v>
      </c>
      <c r="Q287" s="120" t="n">
        <v>0.001</v>
      </c>
      <c r="R287" s="117" t="n">
        <v>0</v>
      </c>
      <c r="S287" s="118" t="n">
        <v>-6.238</v>
      </c>
      <c r="T287" s="118" t="n">
        <v>0.002</v>
      </c>
      <c r="U287" s="119" t="inlineStr">
        <is>
          <t>✓ Normal</t>
        </is>
      </c>
      <c r="V287" s="117" t="n">
        <v>0</v>
      </c>
      <c r="W287" s="117" t="n">
        <v>0</v>
      </c>
      <c r="X287" s="117" t="n">
        <v>0</v>
      </c>
      <c r="Y287" s="117" t="n">
        <v>1</v>
      </c>
      <c r="Z287" s="117" t="n">
        <v>0</v>
      </c>
      <c r="AA287" s="117" t="n">
        <v>0</v>
      </c>
      <c r="AB287" s="117" t="n">
        <v>1</v>
      </c>
      <c r="AC287" s="119" t="inlineStr">
        <is>
          <t>✓ Clean</t>
        </is>
      </c>
      <c r="AD287" s="118" t="n">
        <v>4647000000</v>
      </c>
      <c r="AE287" s="118" t="n">
        <v>-818000000</v>
      </c>
      <c r="AF287" s="118" t="n">
        <v>1678000000</v>
      </c>
      <c r="AG287" s="118" t="n">
        <v>-0.038</v>
      </c>
      <c r="AH287" s="119" t="inlineStr">
        <is>
          <t>✓ Medium Quality</t>
        </is>
      </c>
      <c r="AI287" s="118" t="n">
        <v>-0.013</v>
      </c>
      <c r="AJ287" s="120" t="n">
        <v>0.082</v>
      </c>
      <c r="AK287" s="120" t="n">
        <v>-0.156</v>
      </c>
      <c r="AL287" s="120" t="n">
        <v>0.213</v>
      </c>
      <c r="AM287" s="120" t="n">
        <v>-0</v>
      </c>
      <c r="AN287" s="117" t="n">
        <v>100</v>
      </c>
      <c r="AO287" s="119" t="inlineStr">
        <is>
          <t>✓ Good</t>
        </is>
      </c>
      <c r="AP287" s="117" t="n">
        <v>0</v>
      </c>
      <c r="AQ287" s="117" t="n">
        <v>0</v>
      </c>
      <c r="AR287" s="117" t="n">
        <v>0</v>
      </c>
      <c r="AS287" s="117" t="n">
        <v>1</v>
      </c>
      <c r="AT287" s="117" t="n">
        <v>1</v>
      </c>
      <c r="AU287" s="117" t="n">
        <v>1</v>
      </c>
      <c r="AV287" s="117" t="n">
        <v>3</v>
      </c>
      <c r="AW287" s="121" t="inlineStr">
        <is>
          <t>⚠ WATCH</t>
        </is>
      </c>
      <c r="AX287" s="118" t="n">
        <v>12.1</v>
      </c>
      <c r="AY287" s="119" t="inlineStr">
        <is>
          <t>🟢 VERY LOW RISK</t>
        </is>
      </c>
      <c r="AZ287" s="118" t="n">
        <v>50</v>
      </c>
      <c r="BA287" s="118" t="n">
        <v>54.9</v>
      </c>
      <c r="BB287" s="118" t="n">
        <v>119.3</v>
      </c>
      <c r="BC287" s="118" t="n">
        <v>126.9</v>
      </c>
      <c r="BD287" s="118" t="n">
        <v>60.5</v>
      </c>
      <c r="BE287" s="118" t="n">
        <v>62.6</v>
      </c>
      <c r="BF287" s="120" t="n">
        <v>0.108</v>
      </c>
      <c r="BG287" s="117" t="n">
        <v>0.862</v>
      </c>
      <c r="BH287" s="122" t="n">
        <v>4</v>
      </c>
      <c r="BI287" s="123" t="n">
        <v>1</v>
      </c>
    </row>
    <row r="288" ht="17" customHeight="1">
      <c r="A288" s="117" t="inlineStr">
        <is>
          <t>COIN</t>
        </is>
      </c>
      <c r="B288" s="117" t="inlineStr">
        <is>
          <t>Coinbase Global, Inc.</t>
        </is>
      </c>
      <c r="C288" s="118" t="n">
        <v>1.058</v>
      </c>
      <c r="D288" s="118" t="n">
        <v>1.758</v>
      </c>
      <c r="E288" s="118" t="n">
        <v>1.62</v>
      </c>
      <c r="F288" s="118" t="n">
        <v>1.094</v>
      </c>
      <c r="G288" s="118" t="n">
        <v>0.9360000000000001</v>
      </c>
      <c r="H288" s="118" t="n">
        <v>1.139</v>
      </c>
      <c r="I288" s="118" t="n">
        <v>0.922</v>
      </c>
      <c r="J288" s="118" t="n">
        <v>-0.039</v>
      </c>
      <c r="K288" s="118" t="n">
        <v>-1.881</v>
      </c>
      <c r="L288" s="121" t="inlineStr">
        <is>
          <t>⚠ MANIPULATOR RISK</t>
        </is>
      </c>
      <c r="M288" s="120" t="n">
        <v>-0.048</v>
      </c>
      <c r="N288" s="120" t="n">
        <v>0.068</v>
      </c>
      <c r="O288" s="124" t="inlineStr">
        <is>
          <t>N/A</t>
        </is>
      </c>
      <c r="P288" s="120" t="n">
        <v>0.611</v>
      </c>
      <c r="Q288" s="120" t="n">
        <v>-0.07199999999999999</v>
      </c>
      <c r="R288" s="117" t="n">
        <v>1</v>
      </c>
      <c r="S288" s="118" t="n">
        <v>-3.446</v>
      </c>
      <c r="T288" s="118" t="n">
        <v>0.031</v>
      </c>
      <c r="U288" s="119" t="inlineStr">
        <is>
          <t>✓ Normal</t>
        </is>
      </c>
      <c r="V288" s="117" t="n">
        <v>0</v>
      </c>
      <c r="W288" s="117" t="n">
        <v>1</v>
      </c>
      <c r="X288" s="117" t="n">
        <v>0</v>
      </c>
      <c r="Y288" s="117" t="n">
        <v>0</v>
      </c>
      <c r="Z288" s="117" t="n">
        <v>0</v>
      </c>
      <c r="AA288" s="117" t="n">
        <v>1</v>
      </c>
      <c r="AB288" s="117" t="n">
        <v>2</v>
      </c>
      <c r="AC288" s="121" t="inlineStr">
        <is>
          <t>⚠ WATCH</t>
        </is>
      </c>
      <c r="AD288" s="118" t="n">
        <v>2426383000</v>
      </c>
      <c r="AE288" s="118" t="n">
        <v>-2049550000</v>
      </c>
      <c r="AF288" s="118" t="n">
        <v>1260327000</v>
      </c>
      <c r="AG288" s="118" t="n">
        <v>0.034</v>
      </c>
      <c r="AH288" s="119" t="inlineStr">
        <is>
          <t>✓ Medium Quality</t>
        </is>
      </c>
      <c r="AI288" s="118" t="n">
        <v>0.158</v>
      </c>
      <c r="AJ288" s="120" t="n">
        <v>0.094</v>
      </c>
      <c r="AK288" s="120" t="n">
        <v>1.678</v>
      </c>
      <c r="AL288" s="120" t="n">
        <v>0.338</v>
      </c>
      <c r="AM288" s="124" t="inlineStr">
        <is>
          <t>N/A</t>
        </is>
      </c>
      <c r="AN288" s="118" t="n">
        <v>79.59999999999999</v>
      </c>
      <c r="AO288" s="119" t="inlineStr">
        <is>
          <t>✓ Good</t>
        </is>
      </c>
      <c r="AP288" s="117" t="n">
        <v>0</v>
      </c>
      <c r="AQ288" s="117" t="n">
        <v>0</v>
      </c>
      <c r="AR288" s="117" t="n">
        <v>1</v>
      </c>
      <c r="AS288" s="117" t="n">
        <v>1</v>
      </c>
      <c r="AT288" s="117" t="n">
        <v>1</v>
      </c>
      <c r="AU288" s="117" t="n">
        <v>0</v>
      </c>
      <c r="AV288" s="117" t="n">
        <v>3</v>
      </c>
      <c r="AW288" s="121" t="inlineStr">
        <is>
          <t>⚠ WATCH</t>
        </is>
      </c>
      <c r="AX288" s="118" t="n">
        <v>24.4</v>
      </c>
      <c r="AY288" s="119" t="inlineStr">
        <is>
          <t>🟢 LOW RISK</t>
        </is>
      </c>
      <c r="AZ288" s="118" t="n">
        <v>15.6</v>
      </c>
      <c r="BA288" s="118" t="n">
        <v>14.7</v>
      </c>
      <c r="BB288" s="124" t="inlineStr">
        <is>
          <t>N/A</t>
        </is>
      </c>
      <c r="BC288" s="124" t="inlineStr">
        <is>
          <t>N/A</t>
        </is>
      </c>
      <c r="BD288" s="118" t="n">
        <v>7.5</v>
      </c>
      <c r="BE288" s="118" t="n">
        <v>5.4</v>
      </c>
      <c r="BF288" s="120" t="n">
        <v>0.172</v>
      </c>
      <c r="BG288" s="117" t="n">
        <v>0.611</v>
      </c>
      <c r="BH288" s="122" t="n">
        <v>6</v>
      </c>
      <c r="BI288" s="123" t="n">
        <v>1</v>
      </c>
    </row>
    <row r="289" ht="17" customHeight="1">
      <c r="A289" s="117" t="inlineStr">
        <is>
          <t>TFC</t>
        </is>
      </c>
      <c r="B289" s="117" t="inlineStr">
        <is>
          <t>TRUIST FINANCIAL CORP</t>
        </is>
      </c>
      <c r="C289" s="124" t="inlineStr">
        <is>
          <t>N/A</t>
        </is>
      </c>
      <c r="D289" s="124" t="inlineStr">
        <is>
          <t>N/A</t>
        </is>
      </c>
      <c r="E289" s="118" t="n">
        <v>1</v>
      </c>
      <c r="F289" s="124" t="inlineStr">
        <is>
          <t>N/A</t>
        </is>
      </c>
      <c r="G289" s="118" t="n">
        <v>1.154</v>
      </c>
      <c r="H289" s="124" t="inlineStr">
        <is>
          <t>N/A</t>
        </is>
      </c>
      <c r="I289" s="118" t="n">
        <v>1.001</v>
      </c>
      <c r="J289" s="118" t="n">
        <v>-0.001</v>
      </c>
      <c r="K289" s="124" t="inlineStr">
        <is>
          <t>N/A</t>
        </is>
      </c>
      <c r="L289" s="124" t="inlineStr">
        <is>
          <t>N/A</t>
        </is>
      </c>
      <c r="M289" s="124" t="inlineStr">
        <is>
          <t>N/A</t>
        </is>
      </c>
      <c r="N289" s="124" t="inlineStr">
        <is>
          <t>N/A</t>
        </is>
      </c>
      <c r="O289" s="124" t="inlineStr">
        <is>
          <t>N/A</t>
        </is>
      </c>
      <c r="P289" s="120" t="n">
        <v>0.957</v>
      </c>
      <c r="Q289" s="120" t="n">
        <v>0.001</v>
      </c>
      <c r="R289" s="117" t="n">
        <v>0</v>
      </c>
      <c r="S289" s="124" t="inlineStr">
        <is>
          <t>N/A</t>
        </is>
      </c>
      <c r="T289" s="124" t="inlineStr">
        <is>
          <t>N/A</t>
        </is>
      </c>
      <c r="U289" s="124" t="inlineStr">
        <is>
          <t>N/A</t>
        </is>
      </c>
      <c r="V289" s="117" t="n">
        <v>0</v>
      </c>
      <c r="W289" s="117" t="n">
        <v>0</v>
      </c>
      <c r="X289" s="117" t="n">
        <v>0</v>
      </c>
      <c r="Y289" s="117" t="n">
        <v>0</v>
      </c>
      <c r="Z289" s="117" t="n">
        <v>1</v>
      </c>
      <c r="AA289" s="117" t="n">
        <v>0</v>
      </c>
      <c r="AB289" s="117" t="n">
        <v>1</v>
      </c>
      <c r="AC289" s="119" t="inlineStr">
        <is>
          <t>✓ Clean</t>
        </is>
      </c>
      <c r="AD289" s="118" t="n">
        <v>5739000000</v>
      </c>
      <c r="AE289" s="118" t="n">
        <v>-17763000000</v>
      </c>
      <c r="AF289" s="118" t="n">
        <v>5307000000</v>
      </c>
      <c r="AG289" s="118" t="n">
        <v>0.032</v>
      </c>
      <c r="AH289" s="119" t="inlineStr">
        <is>
          <t>✓ Medium Quality</t>
        </is>
      </c>
      <c r="AI289" s="124" t="inlineStr">
        <is>
          <t>N/A</t>
        </is>
      </c>
      <c r="AJ289" s="124" t="inlineStr">
        <is>
          <t>N/A</t>
        </is>
      </c>
      <c r="AK289" s="124" t="inlineStr">
        <is>
          <t>N/A</t>
        </is>
      </c>
      <c r="AL289" s="124" t="inlineStr">
        <is>
          <t>N/A</t>
        </is>
      </c>
      <c r="AM289" s="124" t="inlineStr">
        <is>
          <t>N/A</t>
        </is>
      </c>
      <c r="AN289" s="117" t="n">
        <v>100</v>
      </c>
      <c r="AO289" s="119" t="inlineStr">
        <is>
          <t>✓ Good</t>
        </is>
      </c>
      <c r="AP289" s="117" t="n">
        <v>0</v>
      </c>
      <c r="AQ289" s="117" t="n">
        <v>0</v>
      </c>
      <c r="AR289" s="117" t="n">
        <v>0</v>
      </c>
      <c r="AS289" s="117" t="n">
        <v>0</v>
      </c>
      <c r="AT289" s="117" t="n">
        <v>0</v>
      </c>
      <c r="AU289" s="117" t="n">
        <v>1</v>
      </c>
      <c r="AV289" s="117" t="n">
        <v>1</v>
      </c>
      <c r="AW289" s="119" t="inlineStr">
        <is>
          <t>✓ Clean</t>
        </is>
      </c>
      <c r="AX289" s="118" t="n">
        <v>26.8</v>
      </c>
      <c r="AY289" s="119" t="inlineStr">
        <is>
          <t>🟢 LOW RISK</t>
        </is>
      </c>
      <c r="AZ289" s="124" t="inlineStr">
        <is>
          <t>N/A</t>
        </is>
      </c>
      <c r="BA289" s="124" t="inlineStr">
        <is>
          <t>N/A</t>
        </is>
      </c>
      <c r="BB289" s="124" t="inlineStr">
        <is>
          <t>N/A</t>
        </is>
      </c>
      <c r="BC289" s="124" t="inlineStr">
        <is>
          <t>N/A</t>
        </is>
      </c>
      <c r="BD289" s="124" t="inlineStr">
        <is>
          <t>N/A</t>
        </is>
      </c>
      <c r="BE289" s="124" t="inlineStr">
        <is>
          <t>N/A</t>
        </is>
      </c>
      <c r="BF289" s="120" t="n">
        <v>0.164</v>
      </c>
      <c r="BG289" s="117" t="n">
        <v>0.957</v>
      </c>
      <c r="BH289" s="122" t="n">
        <v>2</v>
      </c>
      <c r="BI289" s="125" t="n">
        <v>0.6666666666666666</v>
      </c>
    </row>
    <row r="290" ht="17" customHeight="1">
      <c r="A290" s="117" t="inlineStr">
        <is>
          <t>GE</t>
        </is>
      </c>
      <c r="B290" s="117" t="inlineStr">
        <is>
          <t>GENERAL ELECTRIC COMPANY</t>
        </is>
      </c>
      <c r="C290" s="118" t="n">
        <v>0.84</v>
      </c>
      <c r="D290" s="118" t="n">
        <v>1.077</v>
      </c>
      <c r="E290" s="118" t="n">
        <v>1.006</v>
      </c>
      <c r="F290" s="118" t="n">
        <v>1.185</v>
      </c>
      <c r="G290" s="118" t="n">
        <v>0.9419999999999999</v>
      </c>
      <c r="H290" s="118" t="n">
        <v>0.778</v>
      </c>
      <c r="I290" s="118" t="n">
        <v>1.016</v>
      </c>
      <c r="J290" s="118" t="n">
        <v>0.001</v>
      </c>
      <c r="K290" s="118" t="n">
        <v>-2.387</v>
      </c>
      <c r="L290" s="119" t="inlineStr">
        <is>
          <t>✓ Lower Risk</t>
        </is>
      </c>
      <c r="M290" s="120" t="n">
        <v>-0.039</v>
      </c>
      <c r="N290" s="120" t="n">
        <v>-0.011</v>
      </c>
      <c r="O290" s="120" t="n">
        <v>0.294</v>
      </c>
      <c r="P290" s="120" t="n">
        <v>0.324</v>
      </c>
      <c r="Q290" s="120" t="n">
        <v>0.014</v>
      </c>
      <c r="R290" s="117" t="n">
        <v>0</v>
      </c>
      <c r="S290" s="118" t="n">
        <v>-6.965</v>
      </c>
      <c r="T290" s="118" t="n">
        <v>0.001</v>
      </c>
      <c r="U290" s="119" t="inlineStr">
        <is>
          <t>✓ Normal</t>
        </is>
      </c>
      <c r="V290" s="117" t="n">
        <v>0</v>
      </c>
      <c r="W290" s="117" t="n">
        <v>0</v>
      </c>
      <c r="X290" s="117" t="n">
        <v>1</v>
      </c>
      <c r="Y290" s="117" t="n">
        <v>0</v>
      </c>
      <c r="Z290" s="117" t="n">
        <v>0</v>
      </c>
      <c r="AA290" s="117" t="n">
        <v>0</v>
      </c>
      <c r="AB290" s="117" t="n">
        <v>1</v>
      </c>
      <c r="AC290" s="119" t="inlineStr">
        <is>
          <t>✓ Clean</t>
        </is>
      </c>
      <c r="AD290" s="118" t="n">
        <v>8537000000</v>
      </c>
      <c r="AE290" s="118" t="n">
        <v>-1153000000</v>
      </c>
      <c r="AF290" s="118" t="n">
        <v>8704000000</v>
      </c>
      <c r="AG290" s="118" t="n">
        <v>0.01</v>
      </c>
      <c r="AH290" s="119" t="inlineStr">
        <is>
          <t>✓ Medium Quality</t>
        </is>
      </c>
      <c r="AI290" s="118" t="n">
        <v>-0.005</v>
      </c>
      <c r="AJ290" s="120" t="n">
        <v>0.185</v>
      </c>
      <c r="AK290" s="120" t="n">
        <v>-0.025</v>
      </c>
      <c r="AL290" s="120" t="n">
        <v>0.186</v>
      </c>
      <c r="AM290" s="120" t="n">
        <v>0.021</v>
      </c>
      <c r="AN290" s="117" t="n">
        <v>100</v>
      </c>
      <c r="AO290" s="119" t="inlineStr">
        <is>
          <t>✓ Good</t>
        </is>
      </c>
      <c r="AP290" s="117" t="n">
        <v>0</v>
      </c>
      <c r="AQ290" s="117" t="n">
        <v>0</v>
      </c>
      <c r="AR290" s="117" t="n">
        <v>1</v>
      </c>
      <c r="AS290" s="117" t="n">
        <v>0</v>
      </c>
      <c r="AT290" s="117" t="n">
        <v>1</v>
      </c>
      <c r="AU290" s="117" t="n">
        <v>0</v>
      </c>
      <c r="AV290" s="117" t="n">
        <v>2</v>
      </c>
      <c r="AW290" s="121" t="inlineStr">
        <is>
          <t>⚠ WATCH</t>
        </is>
      </c>
      <c r="AX290" s="118" t="n">
        <v>12.7</v>
      </c>
      <c r="AY290" s="119" t="inlineStr">
        <is>
          <t>🟢 VERY LOW RISK</t>
        </is>
      </c>
      <c r="AZ290" s="118" t="n">
        <v>132.9</v>
      </c>
      <c r="BA290" s="118" t="n">
        <v>158.1</v>
      </c>
      <c r="BB290" s="118" t="n">
        <v>640.7</v>
      </c>
      <c r="BC290" s="118" t="n">
        <v>572.4</v>
      </c>
      <c r="BD290" s="118" t="n">
        <v>544.1</v>
      </c>
      <c r="BE290" s="118" t="n">
        <v>463.7</v>
      </c>
      <c r="BF290" s="120" t="n">
        <v>0.141</v>
      </c>
      <c r="BG290" s="117" t="n">
        <v>0.324</v>
      </c>
      <c r="BH290" s="122" t="n">
        <v>3</v>
      </c>
      <c r="BI290" s="123" t="n">
        <v>1</v>
      </c>
    </row>
    <row r="291" ht="17" customHeight="1">
      <c r="A291" s="117" t="inlineStr">
        <is>
          <t>A</t>
        </is>
      </c>
      <c r="B291" s="117" t="inlineStr">
        <is>
          <t>AGILENT TECHNOLOGIES, INC.</t>
        </is>
      </c>
      <c r="C291" s="118" t="n">
        <v>1.055</v>
      </c>
      <c r="D291" s="118" t="n">
        <v>1.119</v>
      </c>
      <c r="E291" s="118" t="n">
        <v>0.931</v>
      </c>
      <c r="F291" s="118" t="n">
        <v>1.064</v>
      </c>
      <c r="G291" s="118" t="n">
        <v>1.013</v>
      </c>
      <c r="H291" s="118" t="n">
        <v>1.024</v>
      </c>
      <c r="I291" s="118" t="n">
        <v>0.9370000000000001</v>
      </c>
      <c r="J291" s="118" t="n">
        <v>-0.02</v>
      </c>
      <c r="K291" s="118" t="n">
        <v>-2.413</v>
      </c>
      <c r="L291" s="119" t="inlineStr">
        <is>
          <t>✓ Lower Risk</t>
        </is>
      </c>
      <c r="M291" s="120" t="n">
        <v>-0.044</v>
      </c>
      <c r="N291" s="120" t="n">
        <v>0.604</v>
      </c>
      <c r="O291" s="120" t="n">
        <v>0.196</v>
      </c>
      <c r="P291" s="120" t="n">
        <v>0.7</v>
      </c>
      <c r="Q291" s="120" t="n">
        <v>-0.006</v>
      </c>
      <c r="R291" s="117" t="n">
        <v>0</v>
      </c>
      <c r="S291" s="118" t="n">
        <v>-4.785</v>
      </c>
      <c r="T291" s="118" t="n">
        <v>0.008</v>
      </c>
      <c r="U291" s="119" t="inlineStr">
        <is>
          <t>✓ Normal</t>
        </is>
      </c>
      <c r="V291" s="117" t="n">
        <v>1</v>
      </c>
      <c r="W291" s="117" t="n">
        <v>1</v>
      </c>
      <c r="X291" s="117" t="n">
        <v>0</v>
      </c>
      <c r="Y291" s="117" t="n">
        <v>1</v>
      </c>
      <c r="Z291" s="117" t="n">
        <v>0</v>
      </c>
      <c r="AA291" s="117" t="n">
        <v>0</v>
      </c>
      <c r="AB291" s="117" t="n">
        <v>3</v>
      </c>
      <c r="AC291" s="121" t="inlineStr">
        <is>
          <t>⚠ WATCH</t>
        </is>
      </c>
      <c r="AD291" s="118" t="n">
        <v>1559000000</v>
      </c>
      <c r="AE291" s="118" t="n">
        <v>-394000000</v>
      </c>
      <c r="AF291" s="118" t="n">
        <v>1303000000</v>
      </c>
      <c r="AG291" s="118" t="n">
        <v>0.011</v>
      </c>
      <c r="AH291" s="119" t="inlineStr">
        <is>
          <t>✓ Medium Quality</t>
        </is>
      </c>
      <c r="AI291" s="118" t="n">
        <v>0.123</v>
      </c>
      <c r="AJ291" s="120" t="n">
        <v>0.064</v>
      </c>
      <c r="AK291" s="120" t="n">
        <v>1.916</v>
      </c>
      <c r="AL291" s="120" t="n">
        <v>0.349</v>
      </c>
      <c r="AM291" s="120" t="n">
        <v>0.018</v>
      </c>
      <c r="AN291" s="118" t="n">
        <v>73.40000000000001</v>
      </c>
      <c r="AO291" s="119" t="inlineStr">
        <is>
          <t>✓ Good</t>
        </is>
      </c>
      <c r="AP291" s="117" t="n">
        <v>0</v>
      </c>
      <c r="AQ291" s="117" t="n">
        <v>0</v>
      </c>
      <c r="AR291" s="117" t="n">
        <v>1</v>
      </c>
      <c r="AS291" s="117" t="n">
        <v>1</v>
      </c>
      <c r="AT291" s="117" t="n">
        <v>1</v>
      </c>
      <c r="AU291" s="117" t="n">
        <v>1</v>
      </c>
      <c r="AV291" s="117" t="n">
        <v>4</v>
      </c>
      <c r="AW291" s="117" t="inlineStr">
        <is>
          <t>⚠⚠ MULTIPLE RED FLAGS</t>
        </is>
      </c>
      <c r="AX291" s="118" t="n">
        <v>23.4</v>
      </c>
      <c r="AY291" s="119" t="inlineStr">
        <is>
          <t>🟢 LOW RISK</t>
        </is>
      </c>
      <c r="AZ291" s="118" t="n">
        <v>121.4</v>
      </c>
      <c r="BA291" s="118" t="n">
        <v>115</v>
      </c>
      <c r="BB291" s="118" t="n">
        <v>113.2</v>
      </c>
      <c r="BC291" s="118" t="n">
        <v>119.3</v>
      </c>
      <c r="BD291" s="118" t="n">
        <v>63</v>
      </c>
      <c r="BE291" s="118" t="n">
        <v>66.3</v>
      </c>
      <c r="BF291" s="120" t="n">
        <v>0.092</v>
      </c>
      <c r="BG291" s="117" t="n">
        <v>0.7</v>
      </c>
      <c r="BH291" s="122" t="n">
        <v>7</v>
      </c>
      <c r="BI291" s="123" t="n">
        <v>1</v>
      </c>
    </row>
    <row r="292" ht="17" customHeight="1">
      <c r="A292" s="117" t="inlineStr">
        <is>
          <t>PEP</t>
        </is>
      </c>
      <c r="B292" s="117" t="inlineStr">
        <is>
          <t>PepsiCo, Inc.</t>
        </is>
      </c>
      <c r="C292" s="124" t="inlineStr">
        <is>
          <t>N/A</t>
        </is>
      </c>
      <c r="D292" s="118" t="n">
        <v>1.007</v>
      </c>
      <c r="E292" s="118" t="n">
        <v>1.006</v>
      </c>
      <c r="F292" s="118" t="n">
        <v>1.023</v>
      </c>
      <c r="G292" s="118" t="n">
        <v>0.959</v>
      </c>
      <c r="H292" s="118" t="n">
        <v>0.983</v>
      </c>
      <c r="I292" s="118" t="n">
        <v>0.989</v>
      </c>
      <c r="J292" s="118" t="n">
        <v>-0.036</v>
      </c>
      <c r="K292" s="124" t="inlineStr">
        <is>
          <t>N/A</t>
        </is>
      </c>
      <c r="L292" s="124" t="inlineStr">
        <is>
          <t>N/A</t>
        </is>
      </c>
      <c r="M292" s="120" t="n">
        <v>-0.03</v>
      </c>
      <c r="N292" s="124" t="inlineStr">
        <is>
          <t>N/A</t>
        </is>
      </c>
      <c r="O292" s="120" t="n">
        <v>0.26</v>
      </c>
      <c r="P292" s="120" t="n">
        <v>0.636</v>
      </c>
      <c r="Q292" s="120" t="n">
        <v>-0.02</v>
      </c>
      <c r="R292" s="117" t="n">
        <v>0</v>
      </c>
      <c r="S292" s="118" t="n">
        <v>-6.339</v>
      </c>
      <c r="T292" s="118" t="n">
        <v>0.002</v>
      </c>
      <c r="U292" s="119" t="inlineStr">
        <is>
          <t>✓ Normal</t>
        </is>
      </c>
      <c r="V292" s="117" t="n">
        <v>0</v>
      </c>
      <c r="W292" s="117" t="n">
        <v>0</v>
      </c>
      <c r="X292" s="117" t="n">
        <v>1</v>
      </c>
      <c r="Y292" s="117" t="n">
        <v>0</v>
      </c>
      <c r="Z292" s="117" t="n">
        <v>0</v>
      </c>
      <c r="AA292" s="117" t="n">
        <v>0</v>
      </c>
      <c r="AB292" s="117" t="n">
        <v>1</v>
      </c>
      <c r="AC292" s="119" t="inlineStr">
        <is>
          <t>✓ Clean</t>
        </is>
      </c>
      <c r="AD292" s="118" t="n">
        <v>12087000000</v>
      </c>
      <c r="AE292" s="118" t="n">
        <v>-6879000000</v>
      </c>
      <c r="AF292" s="118" t="n">
        <v>8240000000</v>
      </c>
      <c r="AG292" s="118" t="n">
        <v>0.029</v>
      </c>
      <c r="AH292" s="119" t="inlineStr">
        <is>
          <t>✓ Medium Quality</t>
        </is>
      </c>
      <c r="AI292" s="124" t="inlineStr">
        <is>
          <t>N/A</t>
        </is>
      </c>
      <c r="AJ292" s="120" t="n">
        <v>0.023</v>
      </c>
      <c r="AK292" s="124" t="inlineStr">
        <is>
          <t>N/A</t>
        </is>
      </c>
      <c r="AL292" s="120" t="n">
        <v>0.129</v>
      </c>
      <c r="AM292" s="124" t="inlineStr">
        <is>
          <t>N/A</t>
        </is>
      </c>
      <c r="AN292" s="118" t="n">
        <v>95.7</v>
      </c>
      <c r="AO292" s="119" t="inlineStr">
        <is>
          <t>✓ Good</t>
        </is>
      </c>
      <c r="AP292" s="117" t="n">
        <v>0</v>
      </c>
      <c r="AQ292" s="117" t="n">
        <v>0</v>
      </c>
      <c r="AR292" s="117" t="n">
        <v>1</v>
      </c>
      <c r="AS292" s="117" t="n">
        <v>0</v>
      </c>
      <c r="AT292" s="117" t="n">
        <v>1</v>
      </c>
      <c r="AU292" s="117" t="n">
        <v>1</v>
      </c>
      <c r="AV292" s="117" t="n">
        <v>3</v>
      </c>
      <c r="AW292" s="121" t="inlineStr">
        <is>
          <t>⚠ WATCH</t>
        </is>
      </c>
      <c r="AX292" s="118" t="n">
        <v>21.4</v>
      </c>
      <c r="AY292" s="119" t="inlineStr">
        <is>
          <t>🟢 LOW RISK</t>
        </is>
      </c>
      <c r="AZ292" s="118" t="n">
        <v>0</v>
      </c>
      <c r="BA292" s="124" t="inlineStr">
        <is>
          <t>N/A</t>
        </is>
      </c>
      <c r="BB292" s="118" t="n">
        <v>49.5</v>
      </c>
      <c r="BC292" s="118" t="n">
        <v>46.4</v>
      </c>
      <c r="BD292" s="118" t="n">
        <v>99.2</v>
      </c>
      <c r="BE292" s="118" t="n">
        <v>96.2</v>
      </c>
      <c r="BF292" s="120" t="n">
        <v>0.19</v>
      </c>
      <c r="BG292" s="117" t="n">
        <v>0.636</v>
      </c>
      <c r="BH292" s="122" t="n">
        <v>4</v>
      </c>
      <c r="BI292" s="123" t="n">
        <v>0.8333333333333334</v>
      </c>
    </row>
    <row r="293" ht="17" customHeight="1">
      <c r="A293" s="117" t="inlineStr">
        <is>
          <t>STRL</t>
        </is>
      </c>
      <c r="B293" s="117" t="inlineStr">
        <is>
          <t>Sterling Infrastructure, Inc.</t>
        </is>
      </c>
      <c r="C293" s="124" t="inlineStr">
        <is>
          <t>N/A</t>
        </is>
      </c>
      <c r="D293" s="118" t="n">
        <v>2.809</v>
      </c>
      <c r="E293" s="118" t="n">
        <v>1.205</v>
      </c>
      <c r="F293" s="118" t="n">
        <v>3.773</v>
      </c>
      <c r="G293" s="118" t="n">
        <v>1.423</v>
      </c>
      <c r="H293" s="118" t="n">
        <v>0.347</v>
      </c>
      <c r="I293" s="118" t="n">
        <v>0.983</v>
      </c>
      <c r="J293" s="118" t="n">
        <v>-0.057</v>
      </c>
      <c r="K293" s="124" t="inlineStr">
        <is>
          <t>N/A</t>
        </is>
      </c>
      <c r="L293" s="124" t="inlineStr">
        <is>
          <t>N/A</t>
        </is>
      </c>
      <c r="M293" s="120" t="n">
        <v>-0.027</v>
      </c>
      <c r="N293" s="124" t="inlineStr">
        <is>
          <t>N/A</t>
        </is>
      </c>
      <c r="O293" s="120" t="n">
        <v>-0.002</v>
      </c>
      <c r="P293" s="120" t="n">
        <v>0.8080000000000001</v>
      </c>
      <c r="Q293" s="120" t="n">
        <v>-0.017</v>
      </c>
      <c r="R293" s="117" t="n">
        <v>1</v>
      </c>
      <c r="S293" s="118" t="n">
        <v>-3.237</v>
      </c>
      <c r="T293" s="118" t="n">
        <v>0.038</v>
      </c>
      <c r="U293" s="121" t="inlineStr">
        <is>
          <t>⚠ HIGH RISK</t>
        </is>
      </c>
      <c r="V293" s="117" t="n">
        <v>1</v>
      </c>
      <c r="W293" s="117" t="n">
        <v>0</v>
      </c>
      <c r="X293" s="117" t="n">
        <v>0</v>
      </c>
      <c r="Y293" s="117" t="n">
        <v>1</v>
      </c>
      <c r="Z293" s="117" t="n">
        <v>1</v>
      </c>
      <c r="AA293" s="117" t="n">
        <v>1</v>
      </c>
      <c r="AB293" s="117" t="n">
        <v>4</v>
      </c>
      <c r="AC293" s="121" t="inlineStr">
        <is>
          <t>⚠⚠ SERIOUS CONCERN</t>
        </is>
      </c>
      <c r="AD293" s="118" t="n">
        <v>439988000</v>
      </c>
      <c r="AE293" s="118" t="n">
        <v>-551923000</v>
      </c>
      <c r="AF293" s="118" t="n">
        <v>290153000</v>
      </c>
      <c r="AG293" s="118" t="n">
        <v>0.173</v>
      </c>
      <c r="AH293" s="117" t="inlineStr">
        <is>
          <t>⚠ Low Quality</t>
        </is>
      </c>
      <c r="AI293" s="124" t="inlineStr">
        <is>
          <t>N/A</t>
        </is>
      </c>
      <c r="AJ293" s="120" t="n">
        <v>2.773</v>
      </c>
      <c r="AK293" s="124" t="inlineStr">
        <is>
          <t>N/A</t>
        </is>
      </c>
      <c r="AL293" s="120" t="n">
        <v>0.459</v>
      </c>
      <c r="AM293" s="120" t="n">
        <v>0.15</v>
      </c>
      <c r="AN293" s="117" t="n">
        <v>100</v>
      </c>
      <c r="AO293" s="119" t="inlineStr">
        <is>
          <t>✓ Good</t>
        </is>
      </c>
      <c r="AP293" s="117" t="n">
        <v>0</v>
      </c>
      <c r="AQ293" s="117" t="n">
        <v>0</v>
      </c>
      <c r="AR293" s="117" t="n">
        <v>1</v>
      </c>
      <c r="AS293" s="117" t="n">
        <v>0</v>
      </c>
      <c r="AT293" s="117" t="n">
        <v>0</v>
      </c>
      <c r="AU293" s="117" t="n">
        <v>0</v>
      </c>
      <c r="AV293" s="117" t="n">
        <v>1</v>
      </c>
      <c r="AW293" s="119" t="inlineStr">
        <is>
          <t>✓ Clean</t>
        </is>
      </c>
      <c r="AX293" s="118" t="n">
        <v>37.8</v>
      </c>
      <c r="AY293" s="119" t="inlineStr">
        <is>
          <t>🟢 LOW RISK</t>
        </is>
      </c>
      <c r="AZ293" s="118" t="n">
        <v>96.2</v>
      </c>
      <c r="BA293" s="124" t="inlineStr">
        <is>
          <t>N/A</t>
        </is>
      </c>
      <c r="BB293" s="118" t="n">
        <v>0.6</v>
      </c>
      <c r="BC293" s="118" t="n">
        <v>1</v>
      </c>
      <c r="BD293" s="118" t="n">
        <v>43.2</v>
      </c>
      <c r="BE293" s="118" t="n">
        <v>28.2</v>
      </c>
      <c r="BF293" s="124" t="inlineStr">
        <is>
          <t>N/A</t>
        </is>
      </c>
      <c r="BG293" s="117" t="n">
        <v>0.8080000000000001</v>
      </c>
      <c r="BH293" s="122" t="n">
        <v>6</v>
      </c>
      <c r="BI293" s="123" t="n">
        <v>0.8333333333333334</v>
      </c>
    </row>
    <row r="294" ht="17" customHeight="1">
      <c r="A294" s="117" t="inlineStr">
        <is>
          <t>INCY</t>
        </is>
      </c>
      <c r="B294" s="117" t="inlineStr">
        <is>
          <t>INCYTE CORPORATION</t>
        </is>
      </c>
      <c r="C294" s="118" t="n">
        <v>1.056</v>
      </c>
      <c r="D294" s="118" t="n">
        <v>1.006</v>
      </c>
      <c r="E294" s="118" t="n">
        <v>0.653</v>
      </c>
      <c r="F294" s="118" t="n">
        <v>1.137</v>
      </c>
      <c r="G294" s="118" t="n">
        <v>0.925</v>
      </c>
      <c r="H294" s="118" t="n">
        <v>0.975</v>
      </c>
      <c r="I294" s="118" t="n">
        <v>0.702</v>
      </c>
      <c r="J294" s="118" t="n">
        <v>-0.018</v>
      </c>
      <c r="K294" s="118" t="n">
        <v>-2.435</v>
      </c>
      <c r="L294" s="119" t="inlineStr">
        <is>
          <t>✓ Lower Risk</t>
        </is>
      </c>
      <c r="M294" s="120" t="n">
        <v>0.059</v>
      </c>
      <c r="N294" s="120" t="n">
        <v>0.419</v>
      </c>
      <c r="O294" s="120" t="n">
        <v>0.103</v>
      </c>
      <c r="P294" s="120" t="n">
        <v>0.45</v>
      </c>
      <c r="Q294" s="120" t="n">
        <v>0.179</v>
      </c>
      <c r="R294" s="117" t="n">
        <v>1</v>
      </c>
      <c r="S294" s="118" t="n">
        <v>-2.782</v>
      </c>
      <c r="T294" s="118" t="n">
        <v>0.058</v>
      </c>
      <c r="U294" s="121" t="inlineStr">
        <is>
          <t>⚠ HIGH RISK</t>
        </is>
      </c>
      <c r="V294" s="117" t="n">
        <v>1</v>
      </c>
      <c r="W294" s="117" t="n">
        <v>1</v>
      </c>
      <c r="X294" s="117" t="n">
        <v>1</v>
      </c>
      <c r="Y294" s="117" t="n">
        <v>1</v>
      </c>
      <c r="Z294" s="117" t="n">
        <v>1</v>
      </c>
      <c r="AA294" s="117" t="n">
        <v>1</v>
      </c>
      <c r="AB294" s="117" t="n">
        <v>6</v>
      </c>
      <c r="AC294" s="121" t="inlineStr">
        <is>
          <t>⚠⚠ SERIOUS CONCERN</t>
        </is>
      </c>
      <c r="AD294" s="118" t="n">
        <v>1413498000</v>
      </c>
      <c r="AE294" s="118" t="n">
        <v>-102610000</v>
      </c>
      <c r="AF294" s="118" t="n">
        <v>1286650000</v>
      </c>
      <c r="AG294" s="118" t="n">
        <v>-0.004</v>
      </c>
      <c r="AH294" s="119" t="inlineStr">
        <is>
          <t>✓ Medium Quality</t>
        </is>
      </c>
      <c r="AI294" s="118" t="n">
        <v>0.201</v>
      </c>
      <c r="AJ294" s="120" t="n">
        <v>0.137</v>
      </c>
      <c r="AK294" s="120" t="n">
        <v>1.468</v>
      </c>
      <c r="AL294" s="120" t="n">
        <v>0.416</v>
      </c>
      <c r="AM294" s="120" t="n">
        <v>0</v>
      </c>
      <c r="AN294" s="118" t="n">
        <v>86</v>
      </c>
      <c r="AO294" s="119" t="inlineStr">
        <is>
          <t>✓ Good</t>
        </is>
      </c>
      <c r="AP294" s="117" t="n">
        <v>0</v>
      </c>
      <c r="AQ294" s="117" t="n">
        <v>0</v>
      </c>
      <c r="AR294" s="117" t="n">
        <v>1</v>
      </c>
      <c r="AS294" s="117" t="n">
        <v>0</v>
      </c>
      <c r="AT294" s="117" t="n">
        <v>1</v>
      </c>
      <c r="AU294" s="117" t="n">
        <v>1</v>
      </c>
      <c r="AV294" s="117" t="n">
        <v>3</v>
      </c>
      <c r="AW294" s="121" t="inlineStr">
        <is>
          <t>⚠ WATCH</t>
        </is>
      </c>
      <c r="AX294" s="118" t="n">
        <v>39.2</v>
      </c>
      <c r="AY294" s="119" t="inlineStr">
        <is>
          <t>🟢 LOW RISK</t>
        </is>
      </c>
      <c r="AZ294" s="118" t="n">
        <v>110.1</v>
      </c>
      <c r="BA294" s="118" t="n">
        <v>104.3</v>
      </c>
      <c r="BB294" s="118" t="n">
        <v>99.09999999999999</v>
      </c>
      <c r="BC294" s="118" t="n">
        <v>68.90000000000001</v>
      </c>
      <c r="BD294" s="118" t="n">
        <v>205.9</v>
      </c>
      <c r="BE294" s="118" t="n">
        <v>231</v>
      </c>
      <c r="BF294" s="120" t="n">
        <v>0.227</v>
      </c>
      <c r="BG294" s="117" t="n">
        <v>0.45</v>
      </c>
      <c r="BH294" s="122" t="n">
        <v>10</v>
      </c>
      <c r="BI294" s="123" t="n">
        <v>1</v>
      </c>
    </row>
    <row r="295" ht="17" customHeight="1">
      <c r="A295" s="117" t="inlineStr">
        <is>
          <t>MCK</t>
        </is>
      </c>
      <c r="B295" s="117" t="inlineStr">
        <is>
          <t>McKESSON CORPORATION</t>
        </is>
      </c>
      <c r="C295" s="118" t="n">
        <v>0.281</v>
      </c>
      <c r="D295" s="118" t="n">
        <v>3.557</v>
      </c>
      <c r="E295" s="118" t="n">
        <v>1.188</v>
      </c>
      <c r="F295" s="118" t="n">
        <v>3.885</v>
      </c>
      <c r="G295" s="118" t="n">
        <v>0.944</v>
      </c>
      <c r="H295" s="118" t="n">
        <v>0.245</v>
      </c>
      <c r="I295" s="118" t="n">
        <v>1</v>
      </c>
      <c r="J295" s="118" t="n">
        <v>-0.017</v>
      </c>
      <c r="K295" s="118" t="n">
        <v>0.902</v>
      </c>
      <c r="L295" s="121" t="inlineStr">
        <is>
          <t>⚠ MANIPULATOR RISK</t>
        </is>
      </c>
      <c r="M295" s="120" t="n">
        <v>-0.032</v>
      </c>
      <c r="N295" s="120" t="n">
        <v>0.028</v>
      </c>
      <c r="O295" s="120" t="n">
        <v>0.014</v>
      </c>
      <c r="P295" s="120" t="n">
        <v>0.919</v>
      </c>
      <c r="Q295" s="120" t="n">
        <v>0.014</v>
      </c>
      <c r="R295" s="117" t="n">
        <v>1</v>
      </c>
      <c r="S295" s="118" t="n">
        <v>-2.943</v>
      </c>
      <c r="T295" s="118" t="n">
        <v>0.05</v>
      </c>
      <c r="U295" s="121" t="inlineStr">
        <is>
          <t>⚠ HIGH RISK</t>
        </is>
      </c>
      <c r="V295" s="117" t="n">
        <v>1</v>
      </c>
      <c r="W295" s="117" t="n">
        <v>0</v>
      </c>
      <c r="X295" s="117" t="n">
        <v>0</v>
      </c>
      <c r="Y295" s="117" t="n">
        <v>1</v>
      </c>
      <c r="Z295" s="117" t="n">
        <v>0</v>
      </c>
      <c r="AA295" s="117" t="n">
        <v>0</v>
      </c>
      <c r="AB295" s="117" t="n">
        <v>2</v>
      </c>
      <c r="AC295" s="121" t="inlineStr">
        <is>
          <t>⚠ WATCH</t>
        </is>
      </c>
      <c r="AD295" s="118" t="n">
        <v>6155000000</v>
      </c>
      <c r="AE295" s="118" t="n">
        <v>-3432000000</v>
      </c>
      <c r="AF295" s="118" t="n">
        <v>4762000000</v>
      </c>
      <c r="AG295" s="118" t="n">
        <v>0.026</v>
      </c>
      <c r="AH295" s="119" t="inlineStr">
        <is>
          <t>✓ Medium Quality</t>
        </is>
      </c>
      <c r="AI295" s="118" t="n">
        <v>0.091</v>
      </c>
      <c r="AJ295" s="120" t="n">
        <v>2.885</v>
      </c>
      <c r="AK295" s="120" t="n">
        <v>0.032</v>
      </c>
      <c r="AL295" s="120" t="n">
        <v>0.055</v>
      </c>
      <c r="AM295" s="120" t="n">
        <v>-0.003</v>
      </c>
      <c r="AN295" s="118" t="n">
        <v>80.90000000000001</v>
      </c>
      <c r="AO295" s="119" t="inlineStr">
        <is>
          <t>✓ Good</t>
        </is>
      </c>
      <c r="AP295" s="117" t="n">
        <v>0</v>
      </c>
      <c r="AQ295" s="117" t="n">
        <v>0</v>
      </c>
      <c r="AR295" s="117" t="n">
        <v>1</v>
      </c>
      <c r="AS295" s="117" t="n">
        <v>0</v>
      </c>
      <c r="AT295" s="117" t="n">
        <v>1</v>
      </c>
      <c r="AU295" s="117" t="n">
        <v>1</v>
      </c>
      <c r="AV295" s="117" t="n">
        <v>3</v>
      </c>
      <c r="AW295" s="121" t="inlineStr">
        <is>
          <t>⚠ WATCH</t>
        </is>
      </c>
      <c r="AX295" s="118" t="n">
        <v>35.4</v>
      </c>
      <c r="AY295" s="119" t="inlineStr">
        <is>
          <t>🟢 LOW RISK</t>
        </is>
      </c>
      <c r="AZ295" s="118" t="n">
        <v>91.09999999999999</v>
      </c>
      <c r="BA295" s="118" t="n">
        <v>324.4</v>
      </c>
      <c r="BB295" s="118" t="n">
        <v>22.7</v>
      </c>
      <c r="BC295" s="118" t="n">
        <v>24.3</v>
      </c>
      <c r="BD295" s="118" t="n">
        <v>56.3</v>
      </c>
      <c r="BE295" s="118" t="n">
        <v>58.4</v>
      </c>
      <c r="BF295" s="120" t="n">
        <v>0.178</v>
      </c>
      <c r="BG295" s="117" t="n">
        <v>0.919</v>
      </c>
      <c r="BH295" s="122" t="n">
        <v>6</v>
      </c>
      <c r="BI295" s="123" t="n">
        <v>1</v>
      </c>
    </row>
    <row r="296" ht="17" customHeight="1">
      <c r="A296" s="117" t="inlineStr">
        <is>
          <t>JCI</t>
        </is>
      </c>
      <c r="B296" s="117" t="inlineStr">
        <is>
          <t>JOHNSON CONTROLS INTERNATIONAL PLC</t>
        </is>
      </c>
      <c r="C296" s="118" t="n">
        <v>1.082</v>
      </c>
      <c r="D296" s="118" t="n">
        <v>0.9</v>
      </c>
      <c r="E296" s="118" t="n">
        <v>0.989</v>
      </c>
      <c r="F296" s="118" t="n">
        <v>0.958</v>
      </c>
      <c r="G296" s="118" t="n">
        <v>0.952</v>
      </c>
      <c r="H296" s="118" t="n">
        <v>1.063</v>
      </c>
      <c r="I296" s="118" t="n">
        <v>1.302</v>
      </c>
      <c r="J296" s="118" t="n">
        <v>0.02</v>
      </c>
      <c r="K296" s="118" t="n">
        <v>-2.523</v>
      </c>
      <c r="L296" s="119" t="inlineStr">
        <is>
          <t>✓ Lower Risk</t>
        </is>
      </c>
      <c r="M296" s="120" t="n">
        <v>-0.024</v>
      </c>
      <c r="N296" s="120" t="n">
        <v>0.498</v>
      </c>
      <c r="O296" s="120" t="n">
        <v>0.105</v>
      </c>
      <c r="P296" s="120" t="n">
        <v>0.9320000000000001</v>
      </c>
      <c r="Q296" s="120" t="n">
        <v>0.047</v>
      </c>
      <c r="R296" s="117" t="n">
        <v>0</v>
      </c>
      <c r="S296" s="118" t="n">
        <v>-4.709</v>
      </c>
      <c r="T296" s="118" t="n">
        <v>0.008999999999999999</v>
      </c>
      <c r="U296" s="119" t="inlineStr">
        <is>
          <t>✓ Normal</t>
        </is>
      </c>
      <c r="V296" s="117" t="n">
        <v>1</v>
      </c>
      <c r="W296" s="117" t="n">
        <v>1</v>
      </c>
      <c r="X296" s="117" t="n">
        <v>1</v>
      </c>
      <c r="Y296" s="117" t="n">
        <v>0</v>
      </c>
      <c r="Z296" s="117" t="n">
        <v>0</v>
      </c>
      <c r="AA296" s="117" t="n">
        <v>0</v>
      </c>
      <c r="AB296" s="117" t="n">
        <v>3</v>
      </c>
      <c r="AC296" s="121" t="inlineStr">
        <is>
          <t>⚠ WATCH</t>
        </is>
      </c>
      <c r="AD296" s="118" t="n">
        <v>2551000000</v>
      </c>
      <c r="AE296" s="118" t="n">
        <v>-1184000000</v>
      </c>
      <c r="AF296" s="118" t="n">
        <v>3291000000</v>
      </c>
      <c r="AG296" s="118" t="n">
        <v>0.048</v>
      </c>
      <c r="AH296" s="119" t="inlineStr">
        <is>
          <t>✓ Medium Quality</t>
        </is>
      </c>
      <c r="AI296" s="118" t="n">
        <v>0.036</v>
      </c>
      <c r="AJ296" s="120" t="n">
        <v>-0.042</v>
      </c>
      <c r="AK296" s="120" t="n">
        <v>-0.851</v>
      </c>
      <c r="AL296" s="120" t="n">
        <v>0.258</v>
      </c>
      <c r="AM296" s="120" t="n">
        <v>0.005</v>
      </c>
      <c r="AN296" s="117" t="n">
        <v>100</v>
      </c>
      <c r="AO296" s="119" t="inlineStr">
        <is>
          <t>✓ Good</t>
        </is>
      </c>
      <c r="AP296" s="117" t="n">
        <v>1</v>
      </c>
      <c r="AQ296" s="117" t="n">
        <v>1</v>
      </c>
      <c r="AR296" s="117" t="n">
        <v>0</v>
      </c>
      <c r="AS296" s="117" t="n">
        <v>1</v>
      </c>
      <c r="AT296" s="117" t="n">
        <v>0</v>
      </c>
      <c r="AU296" s="117" t="n">
        <v>0</v>
      </c>
      <c r="AV296" s="117" t="n">
        <v>3</v>
      </c>
      <c r="AW296" s="121" t="inlineStr">
        <is>
          <t>⚠ WATCH</t>
        </is>
      </c>
      <c r="AX296" s="118" t="n">
        <v>21.7</v>
      </c>
      <c r="AY296" s="119" t="inlineStr">
        <is>
          <t>🟢 LOW RISK</t>
        </is>
      </c>
      <c r="AZ296" s="118" t="n">
        <v>231.1</v>
      </c>
      <c r="BA296" s="118" t="n">
        <v>213.6</v>
      </c>
      <c r="BB296" s="118" t="n">
        <v>44.3</v>
      </c>
      <c r="BC296" s="118" t="n">
        <v>43.5</v>
      </c>
      <c r="BD296" s="118" t="n">
        <v>87.90000000000001</v>
      </c>
      <c r="BE296" s="118" t="n">
        <v>83.2</v>
      </c>
      <c r="BF296" s="120" t="n">
        <v>0.124</v>
      </c>
      <c r="BG296" s="117" t="n">
        <v>0.9320000000000001</v>
      </c>
      <c r="BH296" s="122" t="n">
        <v>6</v>
      </c>
      <c r="BI296" s="123" t="n">
        <v>1</v>
      </c>
    </row>
    <row r="297" ht="17" customHeight="1">
      <c r="A297" s="117" t="inlineStr">
        <is>
          <t>SNPS</t>
        </is>
      </c>
      <c r="B297" s="117" t="inlineStr">
        <is>
          <t>SYNOPSYS INC</t>
        </is>
      </c>
      <c r="C297" s="118" t="n">
        <v>1.333</v>
      </c>
      <c r="D297" s="118" t="n">
        <v>1.087</v>
      </c>
      <c r="E297" s="118" t="n">
        <v>1.863</v>
      </c>
      <c r="F297" s="118" t="n">
        <v>1.209</v>
      </c>
      <c r="G297" s="118" t="n">
        <v>0.707</v>
      </c>
      <c r="H297" s="118" t="n">
        <v>1.12</v>
      </c>
      <c r="I297" s="118" t="n">
        <v>1.332</v>
      </c>
      <c r="J297" s="118" t="n">
        <v>-0.004</v>
      </c>
      <c r="K297" s="118" t="n">
        <v>-1.774</v>
      </c>
      <c r="L297" s="121" t="inlineStr">
        <is>
          <t>⚠ MANIPULATOR RISK</t>
        </is>
      </c>
      <c r="M297" s="120" t="n">
        <v>-0.025</v>
      </c>
      <c r="N297" s="120" t="n">
        <v>0.651</v>
      </c>
      <c r="O297" s="120" t="n">
        <v>0.004</v>
      </c>
      <c r="P297" s="120" t="n">
        <v>0.926</v>
      </c>
      <c r="Q297" s="120" t="n">
        <v>-0.146</v>
      </c>
      <c r="R297" s="117" t="n">
        <v>1</v>
      </c>
      <c r="S297" s="118" t="n">
        <v>-1.299</v>
      </c>
      <c r="T297" s="118" t="n">
        <v>0.214</v>
      </c>
      <c r="U297" s="121" t="inlineStr">
        <is>
          <t>⚠ HIGH RISK</t>
        </is>
      </c>
      <c r="V297" s="117" t="n">
        <v>0</v>
      </c>
      <c r="W297" s="117" t="n">
        <v>1</v>
      </c>
      <c r="X297" s="117" t="n">
        <v>0</v>
      </c>
      <c r="Y297" s="117" t="n">
        <v>1</v>
      </c>
      <c r="Z297" s="117" t="n">
        <v>1</v>
      </c>
      <c r="AA297" s="117" t="n">
        <v>1</v>
      </c>
      <c r="AB297" s="117" t="n">
        <v>4</v>
      </c>
      <c r="AC297" s="121" t="inlineStr">
        <is>
          <t>⚠⚠ SERIOUS CONCERN</t>
        </is>
      </c>
      <c r="AD297" s="118" t="n">
        <v>1518608000</v>
      </c>
      <c r="AE297" s="118" t="n">
        <v>-15881269000</v>
      </c>
      <c r="AF297" s="118" t="n">
        <v>1332220000</v>
      </c>
      <c r="AG297" s="118" t="n">
        <v>0.512</v>
      </c>
      <c r="AH297" s="117" t="inlineStr">
        <is>
          <t>⚠ Very Low Quality</t>
        </is>
      </c>
      <c r="AI297" s="118" t="n">
        <v>0.611</v>
      </c>
      <c r="AJ297" s="120" t="n">
        <v>0.209</v>
      </c>
      <c r="AK297" s="120" t="n">
        <v>2.928</v>
      </c>
      <c r="AL297" s="120" t="n">
        <v>0.299</v>
      </c>
      <c r="AM297" s="120" t="n">
        <v>0.017</v>
      </c>
      <c r="AN297" s="118" t="n">
        <v>70.90000000000001</v>
      </c>
      <c r="AO297" s="119" t="inlineStr">
        <is>
          <t>✓ Good</t>
        </is>
      </c>
      <c r="AP297" s="117" t="n">
        <v>0</v>
      </c>
      <c r="AQ297" s="117" t="n">
        <v>0</v>
      </c>
      <c r="AR297" s="117" t="n">
        <v>1</v>
      </c>
      <c r="AS297" s="117" t="n">
        <v>1</v>
      </c>
      <c r="AT297" s="117" t="n">
        <v>1</v>
      </c>
      <c r="AU297" s="117" t="n">
        <v>1</v>
      </c>
      <c r="AV297" s="117" t="n">
        <v>4</v>
      </c>
      <c r="AW297" s="117" t="inlineStr">
        <is>
          <t>⚠⚠ MULTIPLE RED FLAGS</t>
        </is>
      </c>
      <c r="AX297" s="118" t="n">
        <v>67.3</v>
      </c>
      <c r="AY297" s="121" t="inlineStr">
        <is>
          <t>🟡 ELEVATED RISK</t>
        </is>
      </c>
      <c r="AZ297" s="118" t="n">
        <v>108.1</v>
      </c>
      <c r="BA297" s="118" t="n">
        <v>81.09999999999999</v>
      </c>
      <c r="BB297" s="118" t="n">
        <v>82.09999999999999</v>
      </c>
      <c r="BC297" s="118" t="n">
        <v>106.1</v>
      </c>
      <c r="BD297" s="118" t="n">
        <v>37</v>
      </c>
      <c r="BE297" s="118" t="n">
        <v>60.8</v>
      </c>
      <c r="BF297" s="120" t="n">
        <v>0.04</v>
      </c>
      <c r="BG297" s="117" t="n">
        <v>0.926</v>
      </c>
      <c r="BH297" s="122" t="n">
        <v>9</v>
      </c>
      <c r="BI297" s="123" t="n">
        <v>1</v>
      </c>
    </row>
    <row r="298" ht="17" customHeight="1">
      <c r="A298" s="117" t="inlineStr">
        <is>
          <t>VIAV</t>
        </is>
      </c>
      <c r="B298" s="117" t="inlineStr">
        <is>
          <t>Viavi Solutions Inc.</t>
        </is>
      </c>
      <c r="C298" s="118" t="n">
        <v>1.13</v>
      </c>
      <c r="D298" s="118" t="n">
        <v>1.005</v>
      </c>
      <c r="E298" s="118" t="n">
        <v>1.209</v>
      </c>
      <c r="F298" s="118" t="n">
        <v>1.084</v>
      </c>
      <c r="G298" s="118" t="n">
        <v>1.018</v>
      </c>
      <c r="H298" s="118" t="n">
        <v>0.967</v>
      </c>
      <c r="I298" s="118" t="n">
        <v>1.002</v>
      </c>
      <c r="J298" s="118" t="n">
        <v>-0.028</v>
      </c>
      <c r="K298" s="118" t="n">
        <v>-2.321</v>
      </c>
      <c r="L298" s="119" t="inlineStr">
        <is>
          <t>✓ Lower Risk</t>
        </is>
      </c>
      <c r="M298" s="120" t="n">
        <v>-0.163</v>
      </c>
      <c r="N298" s="120" t="n">
        <v>0.571</v>
      </c>
      <c r="O298" s="120" t="n">
        <v>0.255</v>
      </c>
      <c r="P298" s="120" t="n">
        <v>0.671</v>
      </c>
      <c r="Q298" s="120" t="n">
        <v>0.032</v>
      </c>
      <c r="R298" s="117" t="n">
        <v>1</v>
      </c>
      <c r="S298" s="118" t="n">
        <v>-1.892</v>
      </c>
      <c r="T298" s="118" t="n">
        <v>0.131</v>
      </c>
      <c r="U298" s="121" t="inlineStr">
        <is>
          <t>⚠ HIGH RISK</t>
        </is>
      </c>
      <c r="V298" s="117" t="n">
        <v>1</v>
      </c>
      <c r="W298" s="117" t="n">
        <v>1</v>
      </c>
      <c r="X298" s="117" t="n">
        <v>1</v>
      </c>
      <c r="Y298" s="117" t="n">
        <v>0</v>
      </c>
      <c r="Z298" s="117" t="n">
        <v>1</v>
      </c>
      <c r="AA298" s="117" t="n">
        <v>1</v>
      </c>
      <c r="AB298" s="117" t="n">
        <v>5</v>
      </c>
      <c r="AC298" s="121" t="inlineStr">
        <is>
          <t>⚠⚠ SERIOUS CONCERN</t>
        </is>
      </c>
      <c r="AD298" s="118" t="n">
        <v>89800000</v>
      </c>
      <c r="AE298" s="118" t="n">
        <v>-128400000</v>
      </c>
      <c r="AF298" s="118" t="n">
        <v>34800000</v>
      </c>
      <c r="AG298" s="118" t="n">
        <v>0.039</v>
      </c>
      <c r="AH298" s="119" t="inlineStr">
        <is>
          <t>✓ Medium Quality</t>
        </is>
      </c>
      <c r="AI298" s="118" t="n">
        <v>0.225</v>
      </c>
      <c r="AJ298" s="120" t="n">
        <v>0.08400000000000001</v>
      </c>
      <c r="AK298" s="120" t="n">
        <v>2.68</v>
      </c>
      <c r="AL298" s="120" t="n">
        <v>0.083</v>
      </c>
      <c r="AM298" s="120" t="n">
        <v>-0.017</v>
      </c>
      <c r="AN298" s="118" t="n">
        <v>55.7</v>
      </c>
      <c r="AO298" s="121" t="inlineStr">
        <is>
          <t>⚠ WATCH</t>
        </is>
      </c>
      <c r="AP298" s="117" t="n">
        <v>0</v>
      </c>
      <c r="AQ298" s="117" t="n">
        <v>0</v>
      </c>
      <c r="AR298" s="117" t="n">
        <v>1</v>
      </c>
      <c r="AS298" s="117" t="n">
        <v>0</v>
      </c>
      <c r="AT298" s="117" t="n">
        <v>1</v>
      </c>
      <c r="AU298" s="117" t="n">
        <v>1</v>
      </c>
      <c r="AV298" s="117" t="n">
        <v>3</v>
      </c>
      <c r="AW298" s="121" t="inlineStr">
        <is>
          <t>⚠ WATCH</t>
        </is>
      </c>
      <c r="AX298" s="118" t="n">
        <v>49.4</v>
      </c>
      <c r="AY298" s="121" t="inlineStr">
        <is>
          <t>🟡 ELEVATED RISK</t>
        </is>
      </c>
      <c r="AZ298" s="118" t="n">
        <v>87.90000000000001</v>
      </c>
      <c r="BA298" s="118" t="n">
        <v>77.8</v>
      </c>
      <c r="BB298" s="118" t="n">
        <v>132.2</v>
      </c>
      <c r="BC298" s="118" t="n">
        <v>98.8</v>
      </c>
      <c r="BD298" s="118" t="n">
        <v>77.2</v>
      </c>
      <c r="BE298" s="118" t="n">
        <v>51.6</v>
      </c>
      <c r="BF298" s="120" t="n">
        <v>0.379</v>
      </c>
      <c r="BG298" s="117" t="n">
        <v>0.671</v>
      </c>
      <c r="BH298" s="122" t="n">
        <v>9</v>
      </c>
      <c r="BI298" s="123" t="n">
        <v>1</v>
      </c>
    </row>
    <row r="299" ht="17" customHeight="1">
      <c r="A299" s="117" t="inlineStr">
        <is>
          <t>CHRW</t>
        </is>
      </c>
      <c r="B299" s="117" t="inlineStr">
        <is>
          <t>C.H. ROBINSON WORLDWIDE, INC.</t>
        </is>
      </c>
      <c r="C299" s="118" t="n">
        <v>0.264</v>
      </c>
      <c r="D299" s="118" t="n">
        <v>1.013</v>
      </c>
      <c r="E299" s="118" t="n">
        <v>1.02</v>
      </c>
      <c r="F299" s="118" t="n">
        <v>3.755</v>
      </c>
      <c r="G299" s="118" t="n">
        <v>0.923</v>
      </c>
      <c r="H299" s="124" t="inlineStr">
        <is>
          <t>N/A</t>
        </is>
      </c>
      <c r="I299" s="118" t="n">
        <v>0.9409999999999999</v>
      </c>
      <c r="J299" s="118" t="n">
        <v>-0.065</v>
      </c>
      <c r="K299" s="118" t="n">
        <v>-0.806</v>
      </c>
      <c r="L299" s="121" t="inlineStr">
        <is>
          <t>⚠ MANIPULATOR RISK</t>
        </is>
      </c>
      <c r="M299" s="120" t="n">
        <v>0.04</v>
      </c>
      <c r="N299" s="120" t="n">
        <v>-0.002</v>
      </c>
      <c r="O299" s="124" t="inlineStr">
        <is>
          <t>N/A</t>
        </is>
      </c>
      <c r="P299" s="120" t="n">
        <v>0.945</v>
      </c>
      <c r="Q299" s="120" t="n">
        <v>0.028</v>
      </c>
      <c r="R299" s="117" t="n">
        <v>0</v>
      </c>
      <c r="S299" s="118" t="n">
        <v>-6.008</v>
      </c>
      <c r="T299" s="118" t="n">
        <v>0.002</v>
      </c>
      <c r="U299" s="119" t="inlineStr">
        <is>
          <t>✓ Normal</t>
        </is>
      </c>
      <c r="V299" s="117" t="n">
        <v>0</v>
      </c>
      <c r="W299" s="117" t="n">
        <v>0</v>
      </c>
      <c r="X299" s="117" t="n">
        <v>0</v>
      </c>
      <c r="Y299" s="117" t="n">
        <v>1</v>
      </c>
      <c r="Z299" s="117" t="n">
        <v>0</v>
      </c>
      <c r="AA299" s="117" t="n">
        <v>0</v>
      </c>
      <c r="AB299" s="117" t="n">
        <v>1</v>
      </c>
      <c r="AC299" s="119" t="inlineStr">
        <is>
          <t>✓ Clean</t>
        </is>
      </c>
      <c r="AD299" s="118" t="n">
        <v>914519000</v>
      </c>
      <c r="AE299" s="118" t="n">
        <v>-54670000</v>
      </c>
      <c r="AF299" s="118" t="n">
        <v>587081000</v>
      </c>
      <c r="AG299" s="118" t="n">
        <v>-0.053</v>
      </c>
      <c r="AH299" s="119" t="inlineStr">
        <is>
          <t>✓ Medium Quality</t>
        </is>
      </c>
      <c r="AI299" s="118" t="n">
        <v>-0.01</v>
      </c>
      <c r="AJ299" s="120" t="n">
        <v>2.755</v>
      </c>
      <c r="AK299" s="120" t="n">
        <v>-0.003</v>
      </c>
      <c r="AL299" s="120" t="n">
        <v>0.062</v>
      </c>
      <c r="AM299" s="124" t="inlineStr">
        <is>
          <t>N/A</t>
        </is>
      </c>
      <c r="AN299" s="118" t="n">
        <v>82.3</v>
      </c>
      <c r="AO299" s="119" t="inlineStr">
        <is>
          <t>✓ Good</t>
        </is>
      </c>
      <c r="AP299" s="117" t="n">
        <v>0</v>
      </c>
      <c r="AQ299" s="117" t="n">
        <v>0</v>
      </c>
      <c r="AR299" s="117" t="n">
        <v>1</v>
      </c>
      <c r="AS299" s="117" t="n">
        <v>0</v>
      </c>
      <c r="AT299" s="117" t="n">
        <v>0</v>
      </c>
      <c r="AU299" s="117" t="n">
        <v>1</v>
      </c>
      <c r="AV299" s="117" t="n">
        <v>2</v>
      </c>
      <c r="AW299" s="121" t="inlineStr">
        <is>
          <t>⚠ WATCH</t>
        </is>
      </c>
      <c r="AX299" s="118" t="n">
        <v>19.4</v>
      </c>
      <c r="AY299" s="119" t="inlineStr">
        <is>
          <t>🟢 VERY LOW RISK</t>
        </is>
      </c>
      <c r="AZ299" s="118" t="n">
        <v>58</v>
      </c>
      <c r="BA299" s="118" t="n">
        <v>219.7</v>
      </c>
      <c r="BB299" s="124" t="inlineStr">
        <is>
          <t>N/A</t>
        </is>
      </c>
      <c r="BC299" s="124" t="inlineStr">
        <is>
          <t>N/A</t>
        </is>
      </c>
      <c r="BD299" s="118" t="n">
        <v>355.1</v>
      </c>
      <c r="BE299" s="118" t="n">
        <v>1506.4</v>
      </c>
      <c r="BF299" s="120" t="n">
        <v>0.187</v>
      </c>
      <c r="BG299" s="117" t="n">
        <v>0.945</v>
      </c>
      <c r="BH299" s="122" t="n">
        <v>3</v>
      </c>
      <c r="BI299" s="123" t="n">
        <v>1</v>
      </c>
    </row>
    <row r="300" ht="17" customHeight="1">
      <c r="A300" s="117" t="inlineStr">
        <is>
          <t>HST</t>
        </is>
      </c>
      <c r="B300" s="117" t="inlineStr">
        <is>
          <t>HOST HOTELS &amp; RESORTS, INC.</t>
        </is>
      </c>
      <c r="C300" s="124" t="inlineStr">
        <is>
          <t>N/A</t>
        </is>
      </c>
      <c r="D300" s="124" t="inlineStr">
        <is>
          <t>N/A</t>
        </is>
      </c>
      <c r="E300" s="118" t="n">
        <v>1.126</v>
      </c>
      <c r="F300" s="118" t="n">
        <v>0.992</v>
      </c>
      <c r="G300" s="118" t="n">
        <v>0.9389999999999999</v>
      </c>
      <c r="H300" s="118" t="n">
        <v>1.016</v>
      </c>
      <c r="I300" s="118" t="n">
        <v>1.007</v>
      </c>
      <c r="J300" s="118" t="n">
        <v>-0.057</v>
      </c>
      <c r="K300" s="124" t="inlineStr">
        <is>
          <t>N/A</t>
        </is>
      </c>
      <c r="L300" s="124" t="inlineStr">
        <is>
          <t>N/A</t>
        </is>
      </c>
      <c r="M300" s="124" t="inlineStr">
        <is>
          <t>N/A</t>
        </is>
      </c>
      <c r="N300" s="124" t="inlineStr">
        <is>
          <t>N/A</t>
        </is>
      </c>
      <c r="O300" s="124" t="inlineStr">
        <is>
          <t>N/A</t>
        </is>
      </c>
      <c r="P300" s="120" t="n">
        <v>0.126</v>
      </c>
      <c r="Q300" s="120" t="n">
        <v>0.005</v>
      </c>
      <c r="R300" s="117" t="n">
        <v>0</v>
      </c>
      <c r="S300" s="124" t="inlineStr">
        <is>
          <t>N/A</t>
        </is>
      </c>
      <c r="T300" s="124" t="inlineStr">
        <is>
          <t>N/A</t>
        </is>
      </c>
      <c r="U300" s="124" t="inlineStr">
        <is>
          <t>N/A</t>
        </is>
      </c>
      <c r="V300" s="117" t="n">
        <v>1</v>
      </c>
      <c r="W300" s="117" t="n">
        <v>0</v>
      </c>
      <c r="X300" s="117" t="n">
        <v>0</v>
      </c>
      <c r="Y300" s="117" t="n">
        <v>0</v>
      </c>
      <c r="Z300" s="117" t="n">
        <v>0</v>
      </c>
      <c r="AA300" s="117" t="n">
        <v>0</v>
      </c>
      <c r="AB300" s="117" t="n">
        <v>1</v>
      </c>
      <c r="AC300" s="119" t="inlineStr">
        <is>
          <t>✓ Clean</t>
        </is>
      </c>
      <c r="AD300" s="118" t="n">
        <v>1510000000</v>
      </c>
      <c r="AE300" s="118" t="n">
        <v>-507000000</v>
      </c>
      <c r="AF300" s="118" t="n">
        <v>765000000</v>
      </c>
      <c r="AG300" s="118" t="n">
        <v>-0.018</v>
      </c>
      <c r="AH300" s="119" t="inlineStr">
        <is>
          <t>✓ Medium Quality</t>
        </is>
      </c>
      <c r="AI300" s="124" t="inlineStr">
        <is>
          <t>N/A</t>
        </is>
      </c>
      <c r="AJ300" s="120" t="n">
        <v>-0.008</v>
      </c>
      <c r="AK300" s="124" t="inlineStr">
        <is>
          <t>N/A</t>
        </is>
      </c>
      <c r="AL300" s="120" t="n">
        <v>0.28</v>
      </c>
      <c r="AM300" s="124" t="inlineStr">
        <is>
          <t>N/A</t>
        </is>
      </c>
      <c r="AN300" s="117" t="n">
        <v>100</v>
      </c>
      <c r="AO300" s="119" t="inlineStr">
        <is>
          <t>✓ Good</t>
        </is>
      </c>
      <c r="AP300" s="117" t="n">
        <v>0</v>
      </c>
      <c r="AQ300" s="117" t="n">
        <v>0</v>
      </c>
      <c r="AR300" s="117" t="n">
        <v>0</v>
      </c>
      <c r="AS300" s="117" t="n">
        <v>1</v>
      </c>
      <c r="AT300" s="117" t="n">
        <v>0</v>
      </c>
      <c r="AU300" s="117" t="n">
        <v>0</v>
      </c>
      <c r="AV300" s="117" t="n">
        <v>1</v>
      </c>
      <c r="AW300" s="119" t="inlineStr">
        <is>
          <t>✓ Clean</t>
        </is>
      </c>
      <c r="AX300" s="118" t="n">
        <v>26.6</v>
      </c>
      <c r="AY300" s="119" t="inlineStr">
        <is>
          <t>🟢 LOW RISK</t>
        </is>
      </c>
      <c r="AZ300" s="118" t="n">
        <v>0</v>
      </c>
      <c r="BA300" s="124" t="inlineStr">
        <is>
          <t>N/A</t>
        </is>
      </c>
      <c r="BB300" s="124" t="inlineStr">
        <is>
          <t>N/A</t>
        </is>
      </c>
      <c r="BC300" s="124" t="inlineStr">
        <is>
          <t>N/A</t>
        </is>
      </c>
      <c r="BD300" s="124" t="inlineStr">
        <is>
          <t>N/A</t>
        </is>
      </c>
      <c r="BE300" s="124" t="inlineStr">
        <is>
          <t>N/A</t>
        </is>
      </c>
      <c r="BF300" s="120" t="n">
        <v>0.051</v>
      </c>
      <c r="BG300" s="117" t="n">
        <v>0.126</v>
      </c>
      <c r="BH300" s="122" t="n">
        <v>2</v>
      </c>
      <c r="BI300" s="125" t="n">
        <v>0.6666666666666666</v>
      </c>
    </row>
    <row r="301" ht="17" customHeight="1">
      <c r="A301" s="117" t="inlineStr">
        <is>
          <t>INTU</t>
        </is>
      </c>
      <c r="B301" s="117" t="inlineStr">
        <is>
          <t>INTUIT INC.</t>
        </is>
      </c>
      <c r="C301" s="118" t="n">
        <v>1.003</v>
      </c>
      <c r="D301" s="118" t="n">
        <v>0.991</v>
      </c>
      <c r="E301" s="118" t="n">
        <v>0.887</v>
      </c>
      <c r="F301" s="118" t="n">
        <v>1.156</v>
      </c>
      <c r="G301" s="118" t="n">
        <v>0.897</v>
      </c>
      <c r="H301" s="118" t="n">
        <v>0.976</v>
      </c>
      <c r="I301" s="118" t="n">
        <v>1.095</v>
      </c>
      <c r="J301" s="118" t="n">
        <v>-0.063</v>
      </c>
      <c r="K301" s="118" t="n">
        <v>-2.723</v>
      </c>
      <c r="L301" s="119" t="inlineStr">
        <is>
          <t>✓ Lower Risk</t>
        </is>
      </c>
      <c r="M301" s="120" t="n">
        <v>0.057</v>
      </c>
      <c r="N301" s="120" t="n">
        <v>0.029</v>
      </c>
      <c r="O301" s="124" t="inlineStr">
        <is>
          <t>N/A</t>
        </is>
      </c>
      <c r="P301" s="120" t="n">
        <v>0.896</v>
      </c>
      <c r="Q301" s="120" t="n">
        <v>0.012</v>
      </c>
      <c r="R301" s="117" t="n">
        <v>0</v>
      </c>
      <c r="S301" s="118" t="n">
        <v>-6.008</v>
      </c>
      <c r="T301" s="118" t="n">
        <v>0.002</v>
      </c>
      <c r="U301" s="119" t="inlineStr">
        <is>
          <t>✓ Normal</t>
        </is>
      </c>
      <c r="V301" s="117" t="n">
        <v>0</v>
      </c>
      <c r="W301" s="117" t="n">
        <v>1</v>
      </c>
      <c r="X301" s="117" t="n">
        <v>0</v>
      </c>
      <c r="Y301" s="117" t="n">
        <v>1</v>
      </c>
      <c r="Z301" s="117" t="n">
        <v>1</v>
      </c>
      <c r="AA301" s="117" t="n">
        <v>1</v>
      </c>
      <c r="AB301" s="117" t="n">
        <v>4</v>
      </c>
      <c r="AC301" s="121" t="inlineStr">
        <is>
          <t>⚠⚠ SERIOUS CONCERN</t>
        </is>
      </c>
      <c r="AD301" s="118" t="n">
        <v>6207000000</v>
      </c>
      <c r="AE301" s="118" t="n">
        <v>-2318000000</v>
      </c>
      <c r="AF301" s="118" t="n">
        <v>3869000000</v>
      </c>
      <c r="AG301" s="118" t="n">
        <v>-0.001</v>
      </c>
      <c r="AH301" s="119" t="inlineStr">
        <is>
          <t>✓ Medium Quality</t>
        </is>
      </c>
      <c r="AI301" s="118" t="n">
        <v>0.16</v>
      </c>
      <c r="AJ301" s="120" t="n">
        <v>0.156</v>
      </c>
      <c r="AK301" s="120" t="n">
        <v>1.022</v>
      </c>
      <c r="AL301" s="120" t="n">
        <v>0.33</v>
      </c>
      <c r="AM301" s="120" t="n">
        <v>0.004</v>
      </c>
      <c r="AN301" s="118" t="n">
        <v>99.5</v>
      </c>
      <c r="AO301" s="119" t="inlineStr">
        <is>
          <t>✓ Good</t>
        </is>
      </c>
      <c r="AP301" s="117" t="n">
        <v>0</v>
      </c>
      <c r="AQ301" s="117" t="n">
        <v>0</v>
      </c>
      <c r="AR301" s="117" t="n">
        <v>0</v>
      </c>
      <c r="AS301" s="117" t="n">
        <v>0</v>
      </c>
      <c r="AT301" s="117" t="n">
        <v>1</v>
      </c>
      <c r="AU301" s="117" t="n">
        <v>0</v>
      </c>
      <c r="AV301" s="117" t="n">
        <v>1</v>
      </c>
      <c r="AW301" s="119" t="inlineStr">
        <is>
          <t>✓ Clean</t>
        </is>
      </c>
      <c r="AX301" s="118" t="n">
        <v>20.9</v>
      </c>
      <c r="AY301" s="119" t="inlineStr">
        <is>
          <t>🟢 LOW RISK</t>
        </is>
      </c>
      <c r="AZ301" s="118" t="n">
        <v>10.3</v>
      </c>
      <c r="BA301" s="118" t="n">
        <v>10.2</v>
      </c>
      <c r="BB301" s="124" t="inlineStr">
        <is>
          <t>N/A</t>
        </is>
      </c>
      <c r="BC301" s="124" t="inlineStr">
        <is>
          <t>N/A</t>
        </is>
      </c>
      <c r="BD301" s="118" t="n">
        <v>897.8</v>
      </c>
      <c r="BE301" s="118" t="n">
        <v>617.8</v>
      </c>
      <c r="BF301" s="120" t="n">
        <v>0.2</v>
      </c>
      <c r="BG301" s="117" t="n">
        <v>0.896</v>
      </c>
      <c r="BH301" s="122" t="n">
        <v>5</v>
      </c>
      <c r="BI301" s="123" t="n">
        <v>1</v>
      </c>
    </row>
    <row r="302" ht="17" customHeight="1">
      <c r="A302" s="117" t="inlineStr">
        <is>
          <t>TGTX</t>
        </is>
      </c>
      <c r="B302" s="117" t="inlineStr">
        <is>
          <t>TG THERAPEUTICS, INC.</t>
        </is>
      </c>
      <c r="C302" s="118" t="n">
        <v>5.682</v>
      </c>
      <c r="D302" s="118" t="n">
        <v>0.135</v>
      </c>
      <c r="E302" s="118" t="n">
        <v>21.311</v>
      </c>
      <c r="F302" s="118" t="n">
        <v>0.416</v>
      </c>
      <c r="G302" s="118" t="n">
        <v>0.473</v>
      </c>
      <c r="H302" s="118" t="n">
        <v>3.612</v>
      </c>
      <c r="I302" s="118" t="n">
        <v>0.635</v>
      </c>
      <c r="J302" s="118" t="n">
        <v>0.444</v>
      </c>
      <c r="K302" s="118" t="n">
        <v>10.742</v>
      </c>
      <c r="L302" s="121" t="inlineStr">
        <is>
          <t>⚠ MANIPULATOR RISK</t>
        </is>
      </c>
      <c r="M302" s="120" t="n">
        <v>0.096</v>
      </c>
      <c r="N302" s="120" t="n">
        <v>45.195</v>
      </c>
      <c r="O302" s="120" t="n">
        <v>3.875</v>
      </c>
      <c r="P302" s="120" t="n">
        <v>0.925</v>
      </c>
      <c r="Q302" s="120" t="n">
        <v>0.38</v>
      </c>
      <c r="R302" s="117" t="n">
        <v>0</v>
      </c>
      <c r="S302" s="118" t="n">
        <v>112.265</v>
      </c>
      <c r="T302" s="118" t="n">
        <v>1</v>
      </c>
      <c r="U302" s="121" t="inlineStr">
        <is>
          <t>⚠ HIGH RISK</t>
        </is>
      </c>
      <c r="V302" s="117" t="n">
        <v>1</v>
      </c>
      <c r="W302" s="117" t="n">
        <v>1</v>
      </c>
      <c r="X302" s="117" t="n">
        <v>1</v>
      </c>
      <c r="Y302" s="117" t="n">
        <v>0</v>
      </c>
      <c r="Z302" s="117" t="n">
        <v>1</v>
      </c>
      <c r="AA302" s="117" t="n">
        <v>1</v>
      </c>
      <c r="AB302" s="117" t="n">
        <v>5</v>
      </c>
      <c r="AC302" s="121" t="inlineStr">
        <is>
          <t>⚠⚠ SERIOUS CONCERN</t>
        </is>
      </c>
      <c r="AD302" s="118" t="n">
        <v>-24772000</v>
      </c>
      <c r="AE302" s="118" t="n">
        <v>13799000</v>
      </c>
      <c r="AF302" s="118" t="n">
        <v>447179000</v>
      </c>
      <c r="AG302" s="118" t="n">
        <v>0.5580000000000001</v>
      </c>
      <c r="AH302" s="117" t="inlineStr">
        <is>
          <t>⚠ Very Low Quality</t>
        </is>
      </c>
      <c r="AI302" s="118" t="n">
        <v>1.366</v>
      </c>
      <c r="AJ302" s="120" t="n">
        <v>-0.584</v>
      </c>
      <c r="AK302" s="120" t="n">
        <v>-2.34</v>
      </c>
      <c r="AL302" s="120" t="n">
        <v>-8.895</v>
      </c>
      <c r="AM302" s="120" t="n">
        <v>3.526</v>
      </c>
      <c r="AN302" s="117" t="n">
        <v>80</v>
      </c>
      <c r="AO302" s="119" t="inlineStr">
        <is>
          <t>✓ Good</t>
        </is>
      </c>
      <c r="AP302" s="117" t="n">
        <v>1</v>
      </c>
      <c r="AQ302" s="117" t="n">
        <v>1</v>
      </c>
      <c r="AR302" s="117" t="n">
        <v>1</v>
      </c>
      <c r="AS302" s="117" t="n">
        <v>1</v>
      </c>
      <c r="AT302" s="117" t="n">
        <v>0</v>
      </c>
      <c r="AU302" s="117" t="n">
        <v>1</v>
      </c>
      <c r="AV302" s="117" t="n">
        <v>5</v>
      </c>
      <c r="AW302" s="117" t="inlineStr">
        <is>
          <t>⚠⚠ MULTIPLE RED FLAGS</t>
        </is>
      </c>
      <c r="AX302" s="118" t="n">
        <v>91.8</v>
      </c>
      <c r="AY302" s="121" t="inlineStr">
        <is>
          <t>🔴 HIGH RISK</t>
        </is>
      </c>
      <c r="AZ302" s="118" t="n">
        <v>40055.4</v>
      </c>
      <c r="BA302" s="118" t="n">
        <v>7049.3</v>
      </c>
      <c r="BB302" s="118" t="n">
        <v>455.1</v>
      </c>
      <c r="BC302" s="118" t="n">
        <v>1047.6</v>
      </c>
      <c r="BD302" s="118" t="n">
        <v>389.6</v>
      </c>
      <c r="BE302" s="118" t="n">
        <v>552.9</v>
      </c>
      <c r="BF302" s="120" t="n">
        <v>-3.164</v>
      </c>
      <c r="BG302" s="117" t="n">
        <v>0.925</v>
      </c>
      <c r="BH302" s="122" t="n">
        <v>10</v>
      </c>
      <c r="BI302" s="123" t="n">
        <v>1</v>
      </c>
    </row>
    <row r="303" ht="17" customHeight="1">
      <c r="A303" s="117" t="inlineStr">
        <is>
          <t>DY</t>
        </is>
      </c>
      <c r="B303" s="117" t="inlineStr">
        <is>
          <t>DYCOM INDUSTRIES, INC.</t>
        </is>
      </c>
      <c r="C303" s="118" t="n">
        <v>1.04</v>
      </c>
      <c r="D303" s="118" t="n">
        <v>1.839</v>
      </c>
      <c r="E303" s="118" t="n">
        <v>1.84</v>
      </c>
      <c r="F303" s="118" t="n">
        <v>1.187</v>
      </c>
      <c r="G303" s="118" t="n">
        <v>0.841</v>
      </c>
      <c r="H303" s="118" t="n">
        <v>0.955</v>
      </c>
      <c r="I303" s="118" t="n">
        <v>1.189</v>
      </c>
      <c r="J303" s="118" t="n">
        <v>-0.06</v>
      </c>
      <c r="K303" s="118" t="n">
        <v>-1.849</v>
      </c>
      <c r="L303" s="121" t="inlineStr">
        <is>
          <t>⚠ MANIPULATOR RISK</t>
        </is>
      </c>
      <c r="M303" s="120" t="n">
        <v>-0.041</v>
      </c>
      <c r="N303" s="120" t="n">
        <v>2.596</v>
      </c>
      <c r="O303" s="120" t="n">
        <v>0.008999999999999999</v>
      </c>
      <c r="P303" s="120" t="n">
        <v>0.785</v>
      </c>
      <c r="Q303" s="120" t="n">
        <v>-0.032</v>
      </c>
      <c r="R303" s="117" t="n">
        <v>1</v>
      </c>
      <c r="S303" s="118" t="n">
        <v>3.264</v>
      </c>
      <c r="T303" s="118" t="n">
        <v>0.963</v>
      </c>
      <c r="U303" s="121" t="inlineStr">
        <is>
          <t>⚠ HIGH RISK</t>
        </is>
      </c>
      <c r="V303" s="117" t="n">
        <v>0</v>
      </c>
      <c r="W303" s="117" t="n">
        <v>1</v>
      </c>
      <c r="X303" s="117" t="n">
        <v>0</v>
      </c>
      <c r="Y303" s="117" t="n">
        <v>0</v>
      </c>
      <c r="Z303" s="117" t="n">
        <v>1</v>
      </c>
      <c r="AA303" s="117" t="n">
        <v>1</v>
      </c>
      <c r="AB303" s="117" t="n">
        <v>3</v>
      </c>
      <c r="AC303" s="121" t="inlineStr">
        <is>
          <t>⚠ WATCH</t>
        </is>
      </c>
      <c r="AD303" s="118" t="n">
        <v>642503000</v>
      </c>
      <c r="AE303" s="118" t="n">
        <v>-1835739000</v>
      </c>
      <c r="AF303" s="118" t="n">
        <v>281189000</v>
      </c>
      <c r="AG303" s="118" t="n">
        <v>0.33</v>
      </c>
      <c r="AH303" s="117" t="inlineStr">
        <is>
          <t>⚠ Very Low Quality</t>
        </is>
      </c>
      <c r="AI303" s="118" t="n">
        <v>0.235</v>
      </c>
      <c r="AJ303" s="120" t="n">
        <v>0.187</v>
      </c>
      <c r="AK303" s="120" t="n">
        <v>1.256</v>
      </c>
      <c r="AL303" s="120" t="n">
        <v>0.8139999999999999</v>
      </c>
      <c r="AM303" s="120" t="n">
        <v>0.108</v>
      </c>
      <c r="AN303" s="118" t="n">
        <v>97.7</v>
      </c>
      <c r="AO303" s="119" t="inlineStr">
        <is>
          <t>✓ Good</t>
        </is>
      </c>
      <c r="AP303" s="117" t="n">
        <v>0</v>
      </c>
      <c r="AQ303" s="117" t="n">
        <v>1</v>
      </c>
      <c r="AR303" s="117" t="n">
        <v>1</v>
      </c>
      <c r="AS303" s="117" t="n">
        <v>0</v>
      </c>
      <c r="AT303" s="117" t="n">
        <v>0</v>
      </c>
      <c r="AU303" s="117" t="n">
        <v>1</v>
      </c>
      <c r="AV303" s="117" t="n">
        <v>3</v>
      </c>
      <c r="AW303" s="121" t="inlineStr">
        <is>
          <t>⚠ WATCH</t>
        </is>
      </c>
      <c r="AX303" s="118" t="n">
        <v>58.2</v>
      </c>
      <c r="AY303" s="121" t="inlineStr">
        <is>
          <t>🟡 ELEVATED RISK</t>
        </is>
      </c>
      <c r="AZ303" s="118" t="n">
        <v>784.9</v>
      </c>
      <c r="BA303" s="118" t="n">
        <v>754.4</v>
      </c>
      <c r="BB303" s="118" t="n">
        <v>25.1</v>
      </c>
      <c r="BC303" s="118" t="n">
        <v>26.9</v>
      </c>
      <c r="BD303" s="118" t="n">
        <v>97.2</v>
      </c>
      <c r="BE303" s="118" t="n">
        <v>47.2</v>
      </c>
      <c r="BF303" s="120" t="n">
        <v>0.236</v>
      </c>
      <c r="BG303" s="117" t="n">
        <v>0.785</v>
      </c>
      <c r="BH303" s="122" t="n">
        <v>7</v>
      </c>
      <c r="BI303" s="123" t="n">
        <v>1</v>
      </c>
    </row>
    <row r="304" ht="17" customHeight="1">
      <c r="A304" s="117" t="inlineStr">
        <is>
          <t>EIX</t>
        </is>
      </c>
      <c r="B304" s="117" t="inlineStr">
        <is>
          <t>EDISON INTERNATIONAL</t>
        </is>
      </c>
      <c r="C304" s="118" t="n">
        <v>0.615</v>
      </c>
      <c r="D304" s="124" t="inlineStr">
        <is>
          <t>N/A</t>
        </is>
      </c>
      <c r="E304" s="118" t="n">
        <v>1.093</v>
      </c>
      <c r="F304" s="118" t="n">
        <v>1.098</v>
      </c>
      <c r="G304" s="118" t="n">
        <v>0.972</v>
      </c>
      <c r="H304" s="124" t="inlineStr">
        <is>
          <t>N/A</t>
        </is>
      </c>
      <c r="I304" s="118" t="n">
        <v>1.003</v>
      </c>
      <c r="J304" s="118" t="n">
        <v>-0.014</v>
      </c>
      <c r="K304" s="124" t="inlineStr">
        <is>
          <t>N/A</t>
        </is>
      </c>
      <c r="L304" s="124" t="inlineStr">
        <is>
          <t>N/A</t>
        </is>
      </c>
      <c r="M304" s="120" t="n">
        <v>-0.051</v>
      </c>
      <c r="N304" s="120" t="n">
        <v>-0.411</v>
      </c>
      <c r="O304" s="120" t="n">
        <v>-0.002</v>
      </c>
      <c r="P304" s="120" t="n">
        <v>0.325</v>
      </c>
      <c r="Q304" s="120" t="n">
        <v>0.032</v>
      </c>
      <c r="R304" s="117" t="n">
        <v>1</v>
      </c>
      <c r="S304" s="118" t="n">
        <v>-5.267</v>
      </c>
      <c r="T304" s="118" t="n">
        <v>0.005</v>
      </c>
      <c r="U304" s="119" t="inlineStr">
        <is>
          <t>✓ Normal</t>
        </is>
      </c>
      <c r="V304" s="117" t="n">
        <v>1</v>
      </c>
      <c r="W304" s="117" t="n">
        <v>0</v>
      </c>
      <c r="X304" s="117" t="n">
        <v>0</v>
      </c>
      <c r="Y304" s="117" t="n">
        <v>0</v>
      </c>
      <c r="Z304" s="117" t="n">
        <v>0</v>
      </c>
      <c r="AA304" s="117" t="n">
        <v>0</v>
      </c>
      <c r="AB304" s="117" t="n">
        <v>1</v>
      </c>
      <c r="AC304" s="119" t="inlineStr">
        <is>
          <t>✓ Clean</t>
        </is>
      </c>
      <c r="AD304" s="118" t="n">
        <v>5800000000</v>
      </c>
      <c r="AE304" s="118" t="n">
        <v>-6335000000</v>
      </c>
      <c r="AF304" s="118" t="n">
        <v>4459000000</v>
      </c>
      <c r="AG304" s="118" t="n">
        <v>0.056</v>
      </c>
      <c r="AH304" s="119" t="inlineStr">
        <is>
          <t>✓ Medium Quality</t>
        </is>
      </c>
      <c r="AI304" s="118" t="n">
        <v>-0.325</v>
      </c>
      <c r="AJ304" s="120" t="n">
        <v>0.098</v>
      </c>
      <c r="AK304" s="120" t="n">
        <v>-3.334</v>
      </c>
      <c r="AL304" s="120" t="n">
        <v>0.3</v>
      </c>
      <c r="AM304" s="124" t="inlineStr">
        <is>
          <t>N/A</t>
        </is>
      </c>
      <c r="AN304" s="117" t="n">
        <v>100</v>
      </c>
      <c r="AO304" s="119" t="inlineStr">
        <is>
          <t>✓ Good</t>
        </is>
      </c>
      <c r="AP304" s="117" t="n">
        <v>0</v>
      </c>
      <c r="AQ304" s="117" t="n">
        <v>0</v>
      </c>
      <c r="AR304" s="117" t="n">
        <v>0</v>
      </c>
      <c r="AS304" s="117" t="n">
        <v>0</v>
      </c>
      <c r="AT304" s="117" t="n">
        <v>0</v>
      </c>
      <c r="AU304" s="117" t="n">
        <v>0</v>
      </c>
      <c r="AV304" s="117" t="n">
        <v>0</v>
      </c>
      <c r="AW304" s="119" t="inlineStr">
        <is>
          <t>✓ Clean</t>
        </is>
      </c>
      <c r="AX304" s="118" t="n">
        <v>19.7</v>
      </c>
      <c r="AY304" s="119" t="inlineStr">
        <is>
          <t>🟢 VERY LOW RISK</t>
        </is>
      </c>
      <c r="AZ304" s="118" t="n">
        <v>27.6</v>
      </c>
      <c r="BA304" s="118" t="n">
        <v>45</v>
      </c>
      <c r="BB304" s="124" t="inlineStr">
        <is>
          <t>N/A</t>
        </is>
      </c>
      <c r="BC304" s="124" t="inlineStr">
        <is>
          <t>N/A</t>
        </is>
      </c>
      <c r="BD304" s="124" t="inlineStr">
        <is>
          <t>N/A</t>
        </is>
      </c>
      <c r="BE304" s="124" t="inlineStr">
        <is>
          <t>N/A</t>
        </is>
      </c>
      <c r="BF304" s="120" t="n">
        <v>0.215</v>
      </c>
      <c r="BG304" s="117" t="n">
        <v>0.325</v>
      </c>
      <c r="BH304" s="122" t="n">
        <v>2</v>
      </c>
      <c r="BI304" s="123" t="n">
        <v>0.8333333333333334</v>
      </c>
    </row>
    <row r="305" ht="17" customHeight="1">
      <c r="A305" s="117" t="inlineStr">
        <is>
          <t>LH</t>
        </is>
      </c>
      <c r="B305" s="117" t="inlineStr">
        <is>
          <t>LABCORP HOLDINGS INC.</t>
        </is>
      </c>
      <c r="C305" s="118" t="n">
        <v>1.009</v>
      </c>
      <c r="D305" s="118" t="n">
        <v>0.969</v>
      </c>
      <c r="E305" s="118" t="n">
        <v>1.072</v>
      </c>
      <c r="F305" s="118" t="n">
        <v>1.072</v>
      </c>
      <c r="G305" s="118" t="n">
        <v>0.964</v>
      </c>
      <c r="H305" s="118" t="n">
        <v>0.927</v>
      </c>
      <c r="I305" s="118" t="n">
        <v>0.945</v>
      </c>
      <c r="J305" s="118" t="n">
        <v>-0.042</v>
      </c>
      <c r="K305" s="118" t="n">
        <v>-2.563</v>
      </c>
      <c r="L305" s="119" t="inlineStr">
        <is>
          <t>✓ Lower Risk</t>
        </is>
      </c>
      <c r="M305" s="120" t="n">
        <v>0.001</v>
      </c>
      <c r="N305" s="120" t="n">
        <v>0.169</v>
      </c>
      <c r="O305" s="120" t="n">
        <v>0.044</v>
      </c>
      <c r="P305" s="120" t="n">
        <v>0.804</v>
      </c>
      <c r="Q305" s="120" t="n">
        <v>0.007</v>
      </c>
      <c r="R305" s="117" t="n">
        <v>0</v>
      </c>
      <c r="S305" s="118" t="n">
        <v>-5.826</v>
      </c>
      <c r="T305" s="118" t="n">
        <v>0.003</v>
      </c>
      <c r="U305" s="119" t="inlineStr">
        <is>
          <t>✓ Normal</t>
        </is>
      </c>
      <c r="V305" s="117" t="n">
        <v>1</v>
      </c>
      <c r="W305" s="117" t="n">
        <v>1</v>
      </c>
      <c r="X305" s="117" t="n">
        <v>1</v>
      </c>
      <c r="Y305" s="117" t="n">
        <v>1</v>
      </c>
      <c r="Z305" s="117" t="n">
        <v>0</v>
      </c>
      <c r="AA305" s="117" t="n">
        <v>0</v>
      </c>
      <c r="AB305" s="117" t="n">
        <v>4</v>
      </c>
      <c r="AC305" s="121" t="inlineStr">
        <is>
          <t>⚠⚠ SERIOUS CONCERN</t>
        </is>
      </c>
      <c r="AD305" s="118" t="n">
        <v>1640500000</v>
      </c>
      <c r="AE305" s="118" t="n">
        <v>-1194000000</v>
      </c>
      <c r="AF305" s="118" t="n">
        <v>876500000</v>
      </c>
      <c r="AG305" s="118" t="n">
        <v>0.023</v>
      </c>
      <c r="AH305" s="119" t="inlineStr">
        <is>
          <t>✓ Medium Quality</t>
        </is>
      </c>
      <c r="AI305" s="118" t="n">
        <v>0.082</v>
      </c>
      <c r="AJ305" s="120" t="n">
        <v>0.07199999999999999</v>
      </c>
      <c r="AK305" s="120" t="n">
        <v>1.133</v>
      </c>
      <c r="AL305" s="120" t="n">
        <v>0.118</v>
      </c>
      <c r="AM305" s="120" t="n">
        <v>0.003</v>
      </c>
      <c r="AN305" s="118" t="n">
        <v>89.7</v>
      </c>
      <c r="AO305" s="119" t="inlineStr">
        <is>
          <t>✓ Good</t>
        </is>
      </c>
      <c r="AP305" s="117" t="n">
        <v>0</v>
      </c>
      <c r="AQ305" s="117" t="n">
        <v>0</v>
      </c>
      <c r="AR305" s="117" t="n">
        <v>0</v>
      </c>
      <c r="AS305" s="117" t="n">
        <v>0</v>
      </c>
      <c r="AT305" s="117" t="n">
        <v>0</v>
      </c>
      <c r="AU305" s="117" t="n">
        <v>0</v>
      </c>
      <c r="AV305" s="117" t="n">
        <v>0</v>
      </c>
      <c r="AW305" s="119" t="inlineStr">
        <is>
          <t>✓ Clean</t>
        </is>
      </c>
      <c r="AX305" s="118" t="n">
        <v>21.6</v>
      </c>
      <c r="AY305" s="119" t="inlineStr">
        <is>
          <t>🟢 LOW RISK</t>
        </is>
      </c>
      <c r="AZ305" s="118" t="n">
        <v>55</v>
      </c>
      <c r="BA305" s="118" t="n">
        <v>54.5</v>
      </c>
      <c r="BB305" s="118" t="n">
        <v>28.9</v>
      </c>
      <c r="BC305" s="118" t="n">
        <v>28.8</v>
      </c>
      <c r="BD305" s="118" t="n">
        <v>45.5</v>
      </c>
      <c r="BE305" s="118" t="n">
        <v>51.1</v>
      </c>
      <c r="BF305" s="120" t="n">
        <v>0.315</v>
      </c>
      <c r="BG305" s="117" t="n">
        <v>0.804</v>
      </c>
      <c r="BH305" s="122" t="n">
        <v>4</v>
      </c>
      <c r="BI305" s="123" t="n">
        <v>1</v>
      </c>
    </row>
    <row r="306" ht="17" customHeight="1">
      <c r="A306" s="117" t="inlineStr">
        <is>
          <t>CW</t>
        </is>
      </c>
      <c r="B306" s="117" t="inlineStr">
        <is>
          <t>CURTISS-WRIGHT CORPORATION</t>
        </is>
      </c>
      <c r="C306" s="118" t="n">
        <v>1.162</v>
      </c>
      <c r="D306" s="118" t="n">
        <v>0.852</v>
      </c>
      <c r="E306" s="118" t="n">
        <v>0.963</v>
      </c>
      <c r="F306" s="118" t="n">
        <v>0.961</v>
      </c>
      <c r="G306" s="118" t="n">
        <v>0.979</v>
      </c>
      <c r="H306" s="118" t="n">
        <v>1.113</v>
      </c>
      <c r="I306" s="118" t="n">
        <v>1.012</v>
      </c>
      <c r="J306" s="118" t="n">
        <v>-0.03</v>
      </c>
      <c r="K306" s="118" t="n">
        <v>-2.628</v>
      </c>
      <c r="L306" s="119" t="inlineStr">
        <is>
          <t>✓ Lower Risk</t>
        </is>
      </c>
      <c r="M306" s="120" t="n">
        <v>-0.046</v>
      </c>
      <c r="N306" s="120" t="n">
        <v>1.007</v>
      </c>
      <c r="O306" s="120" t="n">
        <v>0.762</v>
      </c>
      <c r="P306" s="120" t="n">
        <v>0.894</v>
      </c>
      <c r="Q306" s="120" t="n">
        <v>0.012</v>
      </c>
      <c r="R306" s="117" t="n">
        <v>0</v>
      </c>
      <c r="S306" s="118" t="n">
        <v>-2.721</v>
      </c>
      <c r="T306" s="118" t="n">
        <v>0.062</v>
      </c>
      <c r="U306" s="121" t="inlineStr">
        <is>
          <t>⚠ HIGH RISK</t>
        </is>
      </c>
      <c r="V306" s="117" t="n">
        <v>0</v>
      </c>
      <c r="W306" s="117" t="n">
        <v>1</v>
      </c>
      <c r="X306" s="117" t="n">
        <v>1</v>
      </c>
      <c r="Y306" s="117" t="n">
        <v>0</v>
      </c>
      <c r="Z306" s="117" t="n">
        <v>0</v>
      </c>
      <c r="AA306" s="117" t="n">
        <v>0</v>
      </c>
      <c r="AB306" s="117" t="n">
        <v>2</v>
      </c>
      <c r="AC306" s="121" t="inlineStr">
        <is>
          <t>⚠ WATCH</t>
        </is>
      </c>
      <c r="AD306" s="118" t="n">
        <v>643402000</v>
      </c>
      <c r="AE306" s="118" t="n">
        <v>-90124000</v>
      </c>
      <c r="AF306" s="118" t="n">
        <v>484228000</v>
      </c>
      <c r="AG306" s="118" t="n">
        <v>-0.014</v>
      </c>
      <c r="AH306" s="119" t="inlineStr">
        <is>
          <t>✓ Medium Quality</t>
        </is>
      </c>
      <c r="AI306" s="118" t="n">
        <v>0.117</v>
      </c>
      <c r="AJ306" s="120" t="n">
        <v>-0.039</v>
      </c>
      <c r="AK306" s="120" t="n">
        <v>-3</v>
      </c>
      <c r="AL306" s="120" t="n">
        <v>0.269</v>
      </c>
      <c r="AM306" s="120" t="n">
        <v>0.043</v>
      </c>
      <c r="AN306" s="117" t="n">
        <v>100</v>
      </c>
      <c r="AO306" s="119" t="inlineStr">
        <is>
          <t>✓ Good</t>
        </is>
      </c>
      <c r="AP306" s="117" t="n">
        <v>1</v>
      </c>
      <c r="AQ306" s="117" t="n">
        <v>1</v>
      </c>
      <c r="AR306" s="117" t="n">
        <v>0</v>
      </c>
      <c r="AS306" s="117" t="n">
        <v>1</v>
      </c>
      <c r="AT306" s="117" t="n">
        <v>0</v>
      </c>
      <c r="AU306" s="117" t="n">
        <v>1</v>
      </c>
      <c r="AV306" s="117" t="n">
        <v>4</v>
      </c>
      <c r="AW306" s="117" t="inlineStr">
        <is>
          <t>⚠⚠ MULTIPLE RED FLAGS</t>
        </is>
      </c>
      <c r="AX306" s="118" t="n">
        <v>26.2</v>
      </c>
      <c r="AY306" s="119" t="inlineStr">
        <is>
          <t>🟢 LOW RISK</t>
        </is>
      </c>
      <c r="AZ306" s="118" t="n">
        <v>142.3</v>
      </c>
      <c r="BA306" s="118" t="n">
        <v>122.5</v>
      </c>
      <c r="BB306" s="118" t="n">
        <v>102.2</v>
      </c>
      <c r="BC306" s="118" t="n">
        <v>100.4</v>
      </c>
      <c r="BD306" s="118" t="n">
        <v>51.6</v>
      </c>
      <c r="BE306" s="118" t="n">
        <v>45.9</v>
      </c>
      <c r="BF306" s="120" t="n">
        <v>0.219</v>
      </c>
      <c r="BG306" s="117" t="n">
        <v>0.894</v>
      </c>
      <c r="BH306" s="122" t="n">
        <v>6</v>
      </c>
      <c r="BI306" s="123" t="n">
        <v>1</v>
      </c>
    </row>
    <row r="307" ht="17" customHeight="1">
      <c r="A307" s="117" t="inlineStr">
        <is>
          <t>HIG</t>
        </is>
      </c>
      <c r="B307" s="117" t="inlineStr">
        <is>
          <t>The Hartford Insurance Group, Inc.</t>
        </is>
      </c>
      <c r="C307" s="124" t="inlineStr">
        <is>
          <t>N/A</t>
        </is>
      </c>
      <c r="D307" s="118" t="n">
        <v>0.864</v>
      </c>
      <c r="E307" s="118" t="n">
        <v>1</v>
      </c>
      <c r="F307" s="118" t="n">
        <v>1.069</v>
      </c>
      <c r="G307" s="118" t="n">
        <v>0.994</v>
      </c>
      <c r="H307" s="118" t="n">
        <v>0.993</v>
      </c>
      <c r="I307" s="118" t="n">
        <v>0.978</v>
      </c>
      <c r="J307" s="118" t="n">
        <v>-0.024</v>
      </c>
      <c r="K307" s="124" t="inlineStr">
        <is>
          <t>N/A</t>
        </is>
      </c>
      <c r="L307" s="124" t="inlineStr">
        <is>
          <t>N/A</t>
        </is>
      </c>
      <c r="M307" s="124" t="inlineStr">
        <is>
          <t>N/A</t>
        </is>
      </c>
      <c r="N307" s="124" t="inlineStr">
        <is>
          <t>N/A</t>
        </is>
      </c>
      <c r="O307" s="124" t="inlineStr">
        <is>
          <t>N/A</t>
        </is>
      </c>
      <c r="P307" s="120" t="n">
        <v>0.989</v>
      </c>
      <c r="Q307" s="120" t="n">
        <v>0.006</v>
      </c>
      <c r="R307" s="117" t="n">
        <v>0</v>
      </c>
      <c r="S307" s="124" t="inlineStr">
        <is>
          <t>N/A</t>
        </is>
      </c>
      <c r="T307" s="124" t="inlineStr">
        <is>
          <t>N/A</t>
        </is>
      </c>
      <c r="U307" s="124" t="inlineStr">
        <is>
          <t>N/A</t>
        </is>
      </c>
      <c r="V307" s="117" t="n">
        <v>1</v>
      </c>
      <c r="W307" s="117" t="n">
        <v>0</v>
      </c>
      <c r="X307" s="117" t="n">
        <v>0</v>
      </c>
      <c r="Y307" s="117" t="n">
        <v>0</v>
      </c>
      <c r="Z307" s="117" t="n">
        <v>1</v>
      </c>
      <c r="AA307" s="117" t="n">
        <v>0</v>
      </c>
      <c r="AB307" s="117" t="n">
        <v>2</v>
      </c>
      <c r="AC307" s="121" t="inlineStr">
        <is>
          <t>⚠ WATCH</t>
        </is>
      </c>
      <c r="AD307" s="118" t="n">
        <v>5922000000</v>
      </c>
      <c r="AE307" s="118" t="n">
        <v>-3758000000</v>
      </c>
      <c r="AF307" s="118" t="n">
        <v>3836000000</v>
      </c>
      <c r="AG307" s="118" t="n">
        <v>0.02</v>
      </c>
      <c r="AH307" s="119" t="inlineStr">
        <is>
          <t>✓ Medium Quality</t>
        </is>
      </c>
      <c r="AI307" s="124" t="inlineStr">
        <is>
          <t>N/A</t>
        </is>
      </c>
      <c r="AJ307" s="120" t="n">
        <v>0.06900000000000001</v>
      </c>
      <c r="AK307" s="124" t="inlineStr">
        <is>
          <t>N/A</t>
        </is>
      </c>
      <c r="AL307" s="120" t="n">
        <v>0.209</v>
      </c>
      <c r="AM307" s="124" t="inlineStr">
        <is>
          <t>N/A</t>
        </is>
      </c>
      <c r="AN307" s="117" t="n">
        <v>100</v>
      </c>
      <c r="AO307" s="119" t="inlineStr">
        <is>
          <t>✓ Good</t>
        </is>
      </c>
      <c r="AP307" s="117" t="n">
        <v>0</v>
      </c>
      <c r="AQ307" s="117" t="n">
        <v>0</v>
      </c>
      <c r="AR307" s="117" t="n">
        <v>0</v>
      </c>
      <c r="AS307" s="117" t="n">
        <v>0</v>
      </c>
      <c r="AT307" s="117" t="n">
        <v>0</v>
      </c>
      <c r="AU307" s="117" t="n">
        <v>0</v>
      </c>
      <c r="AV307" s="117" t="n">
        <v>0</v>
      </c>
      <c r="AW307" s="119" t="inlineStr">
        <is>
          <t>✓ Clean</t>
        </is>
      </c>
      <c r="AX307" s="118" t="n">
        <v>29.1</v>
      </c>
      <c r="AY307" s="119" t="inlineStr">
        <is>
          <t>🟢 LOW RISK</t>
        </is>
      </c>
      <c r="AZ307" s="118" t="n">
        <v>0</v>
      </c>
      <c r="BA307" s="124" t="inlineStr">
        <is>
          <t>N/A</t>
        </is>
      </c>
      <c r="BB307" s="124" t="inlineStr">
        <is>
          <t>N/A</t>
        </is>
      </c>
      <c r="BC307" s="124" t="inlineStr">
        <is>
          <t>N/A</t>
        </is>
      </c>
      <c r="BD307" s="124" t="inlineStr">
        <is>
          <t>N/A</t>
        </is>
      </c>
      <c r="BE307" s="124" t="inlineStr">
        <is>
          <t>N/A</t>
        </is>
      </c>
      <c r="BF307" s="120" t="n">
        <v>0.194</v>
      </c>
      <c r="BG307" s="117" t="n">
        <v>0.989</v>
      </c>
      <c r="BH307" s="122" t="n">
        <v>2</v>
      </c>
      <c r="BI307" s="125" t="n">
        <v>0.6666666666666666</v>
      </c>
    </row>
    <row r="308" ht="17" customHeight="1">
      <c r="A308" s="117" t="inlineStr">
        <is>
          <t>BX</t>
        </is>
      </c>
      <c r="B308" s="117" t="inlineStr">
        <is>
          <t>Blackstone Inc.</t>
        </is>
      </c>
      <c r="C308" s="118" t="n">
        <v>1.123</v>
      </c>
      <c r="D308" s="118" t="n">
        <v>1.049</v>
      </c>
      <c r="E308" s="118" t="n">
        <v>1.001</v>
      </c>
      <c r="F308" s="118" t="n">
        <v>1.092</v>
      </c>
      <c r="G308" s="118" t="n">
        <v>1.032</v>
      </c>
      <c r="H308" s="118" t="n">
        <v>1.025</v>
      </c>
      <c r="I308" s="118" t="n">
        <v>0.982</v>
      </c>
      <c r="J308" s="118" t="n">
        <v>-0.034</v>
      </c>
      <c r="K308" s="118" t="n">
        <v>-2.414</v>
      </c>
      <c r="L308" s="119" t="inlineStr">
        <is>
          <t>✓ Lower Risk</t>
        </is>
      </c>
      <c r="M308" s="124" t="inlineStr">
        <is>
          <t>N/A</t>
        </is>
      </c>
      <c r="N308" s="120" t="n">
        <v>0.044</v>
      </c>
      <c r="O308" s="124" t="inlineStr">
        <is>
          <t>N/A</t>
        </is>
      </c>
      <c r="P308" s="120" t="n">
        <v>0.9340000000000001</v>
      </c>
      <c r="Q308" s="120" t="n">
        <v>-0.001</v>
      </c>
      <c r="R308" s="117" t="n">
        <v>1</v>
      </c>
      <c r="S308" s="124" t="inlineStr">
        <is>
          <t>N/A</t>
        </is>
      </c>
      <c r="T308" s="124" t="inlineStr">
        <is>
          <t>N/A</t>
        </is>
      </c>
      <c r="U308" s="124" t="inlineStr">
        <is>
          <t>N/A</t>
        </is>
      </c>
      <c r="V308" s="117" t="n">
        <v>0</v>
      </c>
      <c r="W308" s="117" t="n">
        <v>1</v>
      </c>
      <c r="X308" s="117" t="n">
        <v>0</v>
      </c>
      <c r="Y308" s="117" t="n">
        <v>0</v>
      </c>
      <c r="Z308" s="117" t="n">
        <v>1</v>
      </c>
      <c r="AA308" s="117" t="n">
        <v>0</v>
      </c>
      <c r="AB308" s="117" t="n">
        <v>2</v>
      </c>
      <c r="AC308" s="121" t="inlineStr">
        <is>
          <t>⚠ WATCH</t>
        </is>
      </c>
      <c r="AD308" s="118" t="n">
        <v>4663161000</v>
      </c>
      <c r="AE308" s="118" t="n">
        <v>-115703000</v>
      </c>
      <c r="AF308" s="118" t="n">
        <v>3019214000</v>
      </c>
      <c r="AG308" s="118" t="n">
        <v>-0.034</v>
      </c>
      <c r="AH308" s="119" t="inlineStr">
        <is>
          <t>✓ Medium Quality</t>
        </is>
      </c>
      <c r="AI308" s="118" t="n">
        <v>0.226</v>
      </c>
      <c r="AJ308" s="120" t="n">
        <v>0.092</v>
      </c>
      <c r="AK308" s="120" t="n">
        <v>2.453</v>
      </c>
      <c r="AL308" s="120" t="n">
        <v>0.323</v>
      </c>
      <c r="AM308" s="124" t="inlineStr">
        <is>
          <t>N/A</t>
        </is>
      </c>
      <c r="AN308" s="117" t="n">
        <v>70</v>
      </c>
      <c r="AO308" s="119" t="inlineStr">
        <is>
          <t>✓ Good</t>
        </is>
      </c>
      <c r="AP308" s="117" t="n">
        <v>0</v>
      </c>
      <c r="AQ308" s="117" t="n">
        <v>0</v>
      </c>
      <c r="AR308" s="117" t="n">
        <v>1</v>
      </c>
      <c r="AS308" s="117" t="n">
        <v>1</v>
      </c>
      <c r="AT308" s="117" t="n">
        <v>0</v>
      </c>
      <c r="AU308" s="117" t="n">
        <v>1</v>
      </c>
      <c r="AV308" s="117" t="n">
        <v>3</v>
      </c>
      <c r="AW308" s="121" t="inlineStr">
        <is>
          <t>⚠ WATCH</t>
        </is>
      </c>
      <c r="AX308" s="118" t="n">
        <v>26.1</v>
      </c>
      <c r="AY308" s="119" t="inlineStr">
        <is>
          <t>🟢 LOW RISK</t>
        </is>
      </c>
      <c r="AZ308" s="118" t="n">
        <v>7.4</v>
      </c>
      <c r="BA308" s="118" t="n">
        <v>6.6</v>
      </c>
      <c r="BB308" s="124" t="inlineStr">
        <is>
          <t>N/A</t>
        </is>
      </c>
      <c r="BC308" s="124" t="inlineStr">
        <is>
          <t>N/A</t>
        </is>
      </c>
      <c r="BD308" s="124" t="inlineStr">
        <is>
          <t>N/A</t>
        </is>
      </c>
      <c r="BE308" s="124" t="inlineStr">
        <is>
          <t>N/A</t>
        </is>
      </c>
      <c r="BF308" s="120" t="n">
        <v>0.157</v>
      </c>
      <c r="BG308" s="117" t="n">
        <v>0.9340000000000001</v>
      </c>
      <c r="BH308" s="122" t="n">
        <v>6</v>
      </c>
      <c r="BI308" s="123" t="n">
        <v>0.8333333333333334</v>
      </c>
    </row>
    <row r="309" ht="17" customHeight="1">
      <c r="A309" s="117" t="inlineStr">
        <is>
          <t>NSC</t>
        </is>
      </c>
      <c r="B309" s="117" t="inlineStr">
        <is>
          <t>NORFOLK SOUTHERN CORP</t>
        </is>
      </c>
      <c r="C309" s="118" t="n">
        <v>0.234</v>
      </c>
      <c r="D309" s="118" t="n">
        <v>-5.564</v>
      </c>
      <c r="E309" s="118" t="n">
        <v>1.151</v>
      </c>
      <c r="F309" s="118" t="n">
        <v>3.953</v>
      </c>
      <c r="G309" s="118" t="n">
        <v>0.989</v>
      </c>
      <c r="H309" s="124" t="inlineStr">
        <is>
          <t>N/A</t>
        </is>
      </c>
      <c r="I309" s="118" t="n">
        <v>0.976</v>
      </c>
      <c r="J309" s="118" t="n">
        <v>-0.033</v>
      </c>
      <c r="K309" s="118" t="n">
        <v>-3.931</v>
      </c>
      <c r="L309" s="119" t="inlineStr">
        <is>
          <t>✓ Lower Risk</t>
        </is>
      </c>
      <c r="M309" s="120" t="n">
        <v>-0.033</v>
      </c>
      <c r="N309" s="120" t="n">
        <v>-0.01</v>
      </c>
      <c r="O309" s="124" t="inlineStr">
        <is>
          <t>N/A</t>
        </is>
      </c>
      <c r="P309" s="120" t="n">
        <v>0.16</v>
      </c>
      <c r="Q309" s="120" t="n">
        <v>0.003</v>
      </c>
      <c r="R309" s="117" t="n">
        <v>0</v>
      </c>
      <c r="S309" s="118" t="n">
        <v>-7.63</v>
      </c>
      <c r="T309" s="118" t="n">
        <v>0</v>
      </c>
      <c r="U309" s="119" t="inlineStr">
        <is>
          <t>✓ Normal</t>
        </is>
      </c>
      <c r="V309" s="117" t="n">
        <v>1</v>
      </c>
      <c r="W309" s="117" t="n">
        <v>0</v>
      </c>
      <c r="X309" s="117" t="n">
        <v>0</v>
      </c>
      <c r="Y309" s="117" t="n">
        <v>1</v>
      </c>
      <c r="Z309" s="117" t="n">
        <v>1</v>
      </c>
      <c r="AA309" s="117" t="n">
        <v>0</v>
      </c>
      <c r="AB309" s="117" t="n">
        <v>3</v>
      </c>
      <c r="AC309" s="121" t="inlineStr">
        <is>
          <t>⚠ WATCH</t>
        </is>
      </c>
      <c r="AD309" s="118" t="n">
        <v>4361000000</v>
      </c>
      <c r="AE309" s="118" t="n">
        <v>-2562000000</v>
      </c>
      <c r="AF309" s="118" t="n">
        <v>2873000000</v>
      </c>
      <c r="AG309" s="118" t="n">
        <v>0.024</v>
      </c>
      <c r="AH309" s="119" t="inlineStr">
        <is>
          <t>✓ Medium Quality</t>
        </is>
      </c>
      <c r="AI309" s="118" t="n">
        <v>-0.076</v>
      </c>
      <c r="AJ309" s="120" t="n">
        <v>2.953</v>
      </c>
      <c r="AK309" s="120" t="n">
        <v>-0.026</v>
      </c>
      <c r="AL309" s="120" t="n">
        <v>0.413</v>
      </c>
      <c r="AM309" s="120" t="n">
        <v>0</v>
      </c>
      <c r="AN309" s="117" t="n">
        <v>100</v>
      </c>
      <c r="AO309" s="119" t="inlineStr">
        <is>
          <t>✓ Good</t>
        </is>
      </c>
      <c r="AP309" s="117" t="n">
        <v>0</v>
      </c>
      <c r="AQ309" s="117" t="n">
        <v>0</v>
      </c>
      <c r="AR309" s="117" t="n">
        <v>0</v>
      </c>
      <c r="AS309" s="117" t="n">
        <v>0</v>
      </c>
      <c r="AT309" s="117" t="n">
        <v>0</v>
      </c>
      <c r="AU309" s="117" t="n">
        <v>0</v>
      </c>
      <c r="AV309" s="117" t="n">
        <v>0</v>
      </c>
      <c r="AW309" s="119" t="inlineStr">
        <is>
          <t>✓ Clean</t>
        </is>
      </c>
      <c r="AX309" s="118" t="n">
        <v>13.3</v>
      </c>
      <c r="AY309" s="119" t="inlineStr">
        <is>
          <t>🟢 VERY LOW RISK</t>
        </is>
      </c>
      <c r="AZ309" s="118" t="n">
        <v>34.2</v>
      </c>
      <c r="BA309" s="118" t="n">
        <v>146.2</v>
      </c>
      <c r="BB309" s="124" t="inlineStr">
        <is>
          <t>N/A</t>
        </is>
      </c>
      <c r="BC309" s="124" t="inlineStr">
        <is>
          <t>N/A</t>
        </is>
      </c>
      <c r="BD309" s="118" t="n">
        <v>90.7</v>
      </c>
      <c r="BE309" s="118" t="n">
        <v>89.3</v>
      </c>
      <c r="BF309" s="120" t="n">
        <v>0.216</v>
      </c>
      <c r="BG309" s="117" t="n">
        <v>0.16</v>
      </c>
      <c r="BH309" s="122" t="n">
        <v>3</v>
      </c>
      <c r="BI309" s="123" t="n">
        <v>1</v>
      </c>
    </row>
    <row r="310" ht="17" customHeight="1">
      <c r="A310" s="117" t="inlineStr">
        <is>
          <t>CEG</t>
        </is>
      </c>
      <c r="B310" s="117" t="inlineStr">
        <is>
          <t>CONSTELLATION ENERGY CORPORATION</t>
        </is>
      </c>
      <c r="C310" s="118" t="n">
        <v>1.264</v>
      </c>
      <c r="D310" s="124" t="inlineStr">
        <is>
          <t>N/A</t>
        </is>
      </c>
      <c r="E310" s="118" t="n">
        <v>1.001</v>
      </c>
      <c r="F310" s="118" t="n">
        <v>1.083</v>
      </c>
      <c r="G310" s="118" t="n">
        <v>1.195</v>
      </c>
      <c r="H310" s="124" t="inlineStr">
        <is>
          <t>N/A</t>
        </is>
      </c>
      <c r="I310" s="118" t="n">
        <v>0.995</v>
      </c>
      <c r="J310" s="118" t="n">
        <v>-0.034</v>
      </c>
      <c r="K310" s="124" t="inlineStr">
        <is>
          <t>N/A</t>
        </is>
      </c>
      <c r="L310" s="124" t="inlineStr">
        <is>
          <t>N/A</t>
        </is>
      </c>
      <c r="M310" s="120" t="n">
        <v>-0.023</v>
      </c>
      <c r="N310" s="120" t="n">
        <v>0.585</v>
      </c>
      <c r="O310" s="120" t="n">
        <v>0.06900000000000001</v>
      </c>
      <c r="P310" s="120" t="n">
        <v>0.544</v>
      </c>
      <c r="Q310" s="120" t="n">
        <v>-0.03</v>
      </c>
      <c r="R310" s="117" t="n">
        <v>0</v>
      </c>
      <c r="S310" s="118" t="n">
        <v>-5.266</v>
      </c>
      <c r="T310" s="118" t="n">
        <v>0.005</v>
      </c>
      <c r="U310" s="119" t="inlineStr">
        <is>
          <t>✓ Normal</t>
        </is>
      </c>
      <c r="V310" s="117" t="n">
        <v>0</v>
      </c>
      <c r="W310" s="117" t="n">
        <v>1</v>
      </c>
      <c r="X310" s="117" t="n">
        <v>1</v>
      </c>
      <c r="Y310" s="117" t="n">
        <v>0</v>
      </c>
      <c r="Z310" s="117" t="n">
        <v>1</v>
      </c>
      <c r="AA310" s="117" t="n">
        <v>0</v>
      </c>
      <c r="AB310" s="117" t="n">
        <v>3</v>
      </c>
      <c r="AC310" s="121" t="inlineStr">
        <is>
          <t>⚠ WATCH</t>
        </is>
      </c>
      <c r="AD310" s="118" t="n">
        <v>4237000000</v>
      </c>
      <c r="AE310" s="118" t="n">
        <v>-3198000000</v>
      </c>
      <c r="AF310" s="118" t="n">
        <v>2319000000</v>
      </c>
      <c r="AG310" s="118" t="n">
        <v>0.023</v>
      </c>
      <c r="AH310" s="119" t="inlineStr">
        <is>
          <t>✓ Medium Quality</t>
        </is>
      </c>
      <c r="AI310" s="118" t="n">
        <v>0.369</v>
      </c>
      <c r="AJ310" s="120" t="n">
        <v>0.083</v>
      </c>
      <c r="AK310" s="120" t="n">
        <v>4.427</v>
      </c>
      <c r="AL310" s="120" t="n">
        <v>0.166</v>
      </c>
      <c r="AM310" s="120" t="n">
        <v>-0</v>
      </c>
      <c r="AN310" s="118" t="n">
        <v>70</v>
      </c>
      <c r="AO310" s="119" t="inlineStr">
        <is>
          <t>✓ Good</t>
        </is>
      </c>
      <c r="AP310" s="117" t="n">
        <v>0</v>
      </c>
      <c r="AQ310" s="117" t="n">
        <v>0</v>
      </c>
      <c r="AR310" s="117" t="n">
        <v>0</v>
      </c>
      <c r="AS310" s="117" t="n">
        <v>0</v>
      </c>
      <c r="AT310" s="117" t="n">
        <v>0</v>
      </c>
      <c r="AU310" s="117" t="n">
        <v>0</v>
      </c>
      <c r="AV310" s="117" t="n">
        <v>0</v>
      </c>
      <c r="AW310" s="119" t="inlineStr">
        <is>
          <t>✓ Clean</t>
        </is>
      </c>
      <c r="AX310" s="118" t="n">
        <v>27.3</v>
      </c>
      <c r="AY310" s="119" t="inlineStr">
        <is>
          <t>🟢 LOW RISK</t>
        </is>
      </c>
      <c r="AZ310" s="118" t="n">
        <v>61</v>
      </c>
      <c r="BA310" s="118" t="n">
        <v>48.3</v>
      </c>
      <c r="BB310" s="124" t="inlineStr">
        <is>
          <t>N/A</t>
        </is>
      </c>
      <c r="BC310" s="124" t="inlineStr">
        <is>
          <t>N/A</t>
        </is>
      </c>
      <c r="BD310" s="124" t="inlineStr">
        <is>
          <t>N/A</t>
        </is>
      </c>
      <c r="BE310" s="124" t="inlineStr">
        <is>
          <t>N/A</t>
        </is>
      </c>
      <c r="BF310" s="124" t="inlineStr">
        <is>
          <t>N/A</t>
        </is>
      </c>
      <c r="BG310" s="117" t="n">
        <v>0.544</v>
      </c>
      <c r="BH310" s="122" t="n">
        <v>3</v>
      </c>
      <c r="BI310" s="123" t="n">
        <v>0.8333333333333334</v>
      </c>
    </row>
    <row r="311" ht="17" customHeight="1">
      <c r="A311" s="117" t="inlineStr">
        <is>
          <t>CVX</t>
        </is>
      </c>
      <c r="B311" s="117" t="inlineStr">
        <is>
          <t>Chevron Corp</t>
        </is>
      </c>
      <c r="C311" s="118" t="n">
        <v>0.9350000000000001</v>
      </c>
      <c r="D311" s="118" t="n">
        <v>0.964</v>
      </c>
      <c r="E311" s="118" t="n">
        <v>1.559</v>
      </c>
      <c r="F311" s="118" t="n">
        <v>0.9320000000000001</v>
      </c>
      <c r="G311" s="118" t="n">
        <v>0.904</v>
      </c>
      <c r="H311" s="118" t="n">
        <v>1.138</v>
      </c>
      <c r="I311" s="118" t="n">
        <v>1.007</v>
      </c>
      <c r="J311" s="118" t="n">
        <v>-0.067</v>
      </c>
      <c r="K311" s="118" t="n">
        <v>-2.743</v>
      </c>
      <c r="L311" s="119" t="inlineStr">
        <is>
          <t>✓ Lower Risk</t>
        </is>
      </c>
      <c r="M311" s="120" t="n">
        <v>-0.024</v>
      </c>
      <c r="N311" s="120" t="n">
        <v>-0.171</v>
      </c>
      <c r="O311" s="120" t="n">
        <v>0.046</v>
      </c>
      <c r="P311" s="120" t="n">
        <v>0.491</v>
      </c>
      <c r="Q311" s="120" t="n">
        <v>-0.031</v>
      </c>
      <c r="R311" s="117" t="n">
        <v>0</v>
      </c>
      <c r="S311" s="118" t="n">
        <v>-7.301</v>
      </c>
      <c r="T311" s="118" t="n">
        <v>0.001</v>
      </c>
      <c r="U311" s="119" t="inlineStr">
        <is>
          <t>✓ Normal</t>
        </is>
      </c>
      <c r="V311" s="117" t="n">
        <v>0</v>
      </c>
      <c r="W311" s="117" t="n">
        <v>0</v>
      </c>
      <c r="X311" s="117" t="n">
        <v>1</v>
      </c>
      <c r="Y311" s="117" t="n">
        <v>1</v>
      </c>
      <c r="Z311" s="117" t="n">
        <v>1</v>
      </c>
      <c r="AA311" s="117" t="n">
        <v>1</v>
      </c>
      <c r="AB311" s="117" t="n">
        <v>4</v>
      </c>
      <c r="AC311" s="121" t="inlineStr">
        <is>
          <t>⚠⚠ SERIOUS CONCERN</t>
        </is>
      </c>
      <c r="AD311" s="118" t="n">
        <v>33939000000</v>
      </c>
      <c r="AE311" s="118" t="n">
        <v>-15911000000</v>
      </c>
      <c r="AF311" s="118" t="n">
        <v>12299000000</v>
      </c>
      <c r="AG311" s="118" t="n">
        <v>-0.02</v>
      </c>
      <c r="AH311" s="119" t="inlineStr">
        <is>
          <t>✓ Medium Quality</t>
        </is>
      </c>
      <c r="AI311" s="118" t="n">
        <v>-0.128</v>
      </c>
      <c r="AJ311" s="120" t="n">
        <v>-0.068</v>
      </c>
      <c r="AK311" s="120" t="n">
        <v>1.89</v>
      </c>
      <c r="AL311" s="120" t="n">
        <v>0.18</v>
      </c>
      <c r="AM311" s="124" t="inlineStr">
        <is>
          <t>N/A</t>
        </is>
      </c>
      <c r="AN311" s="118" t="n">
        <v>73.3</v>
      </c>
      <c r="AO311" s="119" t="inlineStr">
        <is>
          <t>✓ Good</t>
        </is>
      </c>
      <c r="AP311" s="117" t="n">
        <v>1</v>
      </c>
      <c r="AQ311" s="117" t="n">
        <v>1</v>
      </c>
      <c r="AR311" s="117" t="n">
        <v>0</v>
      </c>
      <c r="AS311" s="117" t="n">
        <v>1</v>
      </c>
      <c r="AT311" s="117" t="n">
        <v>0</v>
      </c>
      <c r="AU311" s="117" t="n">
        <v>0</v>
      </c>
      <c r="AV311" s="117" t="n">
        <v>3</v>
      </c>
      <c r="AW311" s="121" t="inlineStr">
        <is>
          <t>⚠ WATCH</t>
        </is>
      </c>
      <c r="AX311" s="118" t="n">
        <v>24</v>
      </c>
      <c r="AY311" s="119" t="inlineStr">
        <is>
          <t>🟢 LOW RISK</t>
        </is>
      </c>
      <c r="AZ311" s="118" t="n">
        <v>30.9</v>
      </c>
      <c r="BA311" s="118" t="n">
        <v>33</v>
      </c>
      <c r="BB311" s="118" t="n">
        <v>32.8</v>
      </c>
      <c r="BC311" s="118" t="n">
        <v>27.8</v>
      </c>
      <c r="BD311" s="118" t="n">
        <v>65</v>
      </c>
      <c r="BE311" s="118" t="n">
        <v>67.59999999999999</v>
      </c>
      <c r="BF311" s="120" t="n">
        <v>1.214</v>
      </c>
      <c r="BG311" s="117" t="n">
        <v>0.491</v>
      </c>
      <c r="BH311" s="122" t="n">
        <v>7</v>
      </c>
      <c r="BI311" s="123" t="n">
        <v>1</v>
      </c>
    </row>
    <row r="312" ht="17" customHeight="1">
      <c r="A312" s="117" t="inlineStr">
        <is>
          <t>SWK</t>
        </is>
      </c>
      <c r="B312" s="117" t="inlineStr">
        <is>
          <t>STANLEY BLACK &amp; DECKER, INC.</t>
        </is>
      </c>
      <c r="C312" s="124" t="inlineStr">
        <is>
          <t>N/A</t>
        </is>
      </c>
      <c r="D312" s="118" t="n">
        <v>0.173</v>
      </c>
      <c r="E312" s="118" t="n">
        <v>1.028</v>
      </c>
      <c r="F312" s="118" t="n">
        <v>0.985</v>
      </c>
      <c r="G312" s="118" t="n">
        <v>1.028</v>
      </c>
      <c r="H312" s="118" t="n">
        <v>1.017</v>
      </c>
      <c r="I312" s="118" t="n">
        <v>1</v>
      </c>
      <c r="J312" s="118" t="n">
        <v>-0.027</v>
      </c>
      <c r="K312" s="124" t="inlineStr">
        <is>
          <t>N/A</t>
        </is>
      </c>
      <c r="L312" s="124" t="inlineStr">
        <is>
          <t>N/A</t>
        </is>
      </c>
      <c r="M312" s="120" t="n">
        <v>-0.058</v>
      </c>
      <c r="N312" s="124" t="inlineStr">
        <is>
          <t>N/A</t>
        </is>
      </c>
      <c r="O312" s="120" t="n">
        <v>-1.612</v>
      </c>
      <c r="P312" s="120" t="n">
        <v>0.901</v>
      </c>
      <c r="Q312" s="120" t="n">
        <v>0.005</v>
      </c>
      <c r="R312" s="117" t="n">
        <v>1</v>
      </c>
      <c r="S312" s="118" t="n">
        <v>-5.005</v>
      </c>
      <c r="T312" s="118" t="n">
        <v>0.007</v>
      </c>
      <c r="U312" s="119" t="inlineStr">
        <is>
          <t>✓ Normal</t>
        </is>
      </c>
      <c r="V312" s="117" t="n">
        <v>1</v>
      </c>
      <c r="W312" s="117" t="n">
        <v>0</v>
      </c>
      <c r="X312" s="117" t="n">
        <v>0</v>
      </c>
      <c r="Y312" s="117" t="n">
        <v>1</v>
      </c>
      <c r="Z312" s="117" t="n">
        <v>1</v>
      </c>
      <c r="AA312" s="117" t="n">
        <v>0</v>
      </c>
      <c r="AB312" s="117" t="n">
        <v>3</v>
      </c>
      <c r="AC312" s="121" t="inlineStr">
        <is>
          <t>⚠ WATCH</t>
        </is>
      </c>
      <c r="AD312" s="118" t="n">
        <v>971200000</v>
      </c>
      <c r="AE312" s="118" t="n">
        <v>-261500000</v>
      </c>
      <c r="AF312" s="118" t="n">
        <v>401900000</v>
      </c>
      <c r="AG312" s="118" t="n">
        <v>-0.014</v>
      </c>
      <c r="AH312" s="119" t="inlineStr">
        <is>
          <t>✓ Medium Quality</t>
        </is>
      </c>
      <c r="AI312" s="124" t="inlineStr">
        <is>
          <t>N/A</t>
        </is>
      </c>
      <c r="AJ312" s="120" t="n">
        <v>-0.015</v>
      </c>
      <c r="AK312" s="124" t="inlineStr">
        <is>
          <t>N/A</t>
        </is>
      </c>
      <c r="AL312" s="120" t="n">
        <v>0.064</v>
      </c>
      <c r="AM312" s="120" t="n">
        <v>-0</v>
      </c>
      <c r="AN312" s="118" t="n">
        <v>82.8</v>
      </c>
      <c r="AO312" s="119" t="inlineStr">
        <is>
          <t>✓ Good</t>
        </is>
      </c>
      <c r="AP312" s="117" t="n">
        <v>0</v>
      </c>
      <c r="AQ312" s="117" t="n">
        <v>0</v>
      </c>
      <c r="AR312" s="117" t="n">
        <v>0</v>
      </c>
      <c r="AS312" s="117" t="n">
        <v>1</v>
      </c>
      <c r="AT312" s="117" t="n">
        <v>0</v>
      </c>
      <c r="AU312" s="117" t="n">
        <v>0</v>
      </c>
      <c r="AV312" s="117" t="n">
        <v>1</v>
      </c>
      <c r="AW312" s="119" t="inlineStr">
        <is>
          <t>✓ Clean</t>
        </is>
      </c>
      <c r="AX312" s="118" t="n">
        <v>27.5</v>
      </c>
      <c r="AY312" s="119" t="inlineStr">
        <is>
          <t>🟢 LOW RISK</t>
        </is>
      </c>
      <c r="AZ312" s="118" t="n">
        <v>0</v>
      </c>
      <c r="BA312" s="124" t="inlineStr">
        <is>
          <t>N/A</t>
        </is>
      </c>
      <c r="BB312" s="118" t="n">
        <v>143.9</v>
      </c>
      <c r="BC312" s="118" t="n">
        <v>152.6</v>
      </c>
      <c r="BD312" s="118" t="n">
        <v>74.90000000000001</v>
      </c>
      <c r="BE312" s="118" t="n">
        <v>82</v>
      </c>
      <c r="BF312" s="120" t="n">
        <v>0.038</v>
      </c>
      <c r="BG312" s="117" t="n">
        <v>0.901</v>
      </c>
      <c r="BH312" s="122" t="n">
        <v>5</v>
      </c>
      <c r="BI312" s="123" t="n">
        <v>0.8333333333333334</v>
      </c>
    </row>
    <row r="313" ht="17" customHeight="1">
      <c r="A313" s="117" t="inlineStr">
        <is>
          <t>FCX</t>
        </is>
      </c>
      <c r="B313" s="117" t="inlineStr">
        <is>
          <t>Freeport-McMoRan Inc.</t>
        </is>
      </c>
      <c r="C313" s="118" t="n">
        <v>1.66</v>
      </c>
      <c r="D313" s="118" t="n">
        <v>1.069</v>
      </c>
      <c r="E313" s="118" t="n">
        <v>1.13</v>
      </c>
      <c r="F313" s="118" t="n">
        <v>1.018</v>
      </c>
      <c r="G313" s="118" t="n">
        <v>1.053</v>
      </c>
      <c r="H313" s="118" t="n">
        <v>1.044</v>
      </c>
      <c r="I313" s="118" t="n">
        <v>0.991</v>
      </c>
      <c r="J313" s="118" t="n">
        <v>-0.025</v>
      </c>
      <c r="K313" s="118" t="n">
        <v>-1.883</v>
      </c>
      <c r="L313" s="121" t="inlineStr">
        <is>
          <t>⚠ MANIPULATOR RISK</t>
        </is>
      </c>
      <c r="M313" s="120" t="n">
        <v>-0.037</v>
      </c>
      <c r="N313" s="120" t="n">
        <v>0.867</v>
      </c>
      <c r="O313" s="124" t="inlineStr">
        <is>
          <t>N/A</t>
        </is>
      </c>
      <c r="P313" s="120" t="n">
        <v>0.234</v>
      </c>
      <c r="Q313" s="120" t="n">
        <v>-0.008999999999999999</v>
      </c>
      <c r="R313" s="117" t="n">
        <v>0</v>
      </c>
      <c r="S313" s="118" t="n">
        <v>-5.272</v>
      </c>
      <c r="T313" s="118" t="n">
        <v>0.005</v>
      </c>
      <c r="U313" s="119" t="inlineStr">
        <is>
          <t>✓ Normal</t>
        </is>
      </c>
      <c r="V313" s="117" t="n">
        <v>1</v>
      </c>
      <c r="W313" s="117" t="n">
        <v>1</v>
      </c>
      <c r="X313" s="117" t="n">
        <v>0</v>
      </c>
      <c r="Y313" s="117" t="n">
        <v>0</v>
      </c>
      <c r="Z313" s="117" t="n">
        <v>1</v>
      </c>
      <c r="AA313" s="117" t="n">
        <v>0</v>
      </c>
      <c r="AB313" s="117" t="n">
        <v>3</v>
      </c>
      <c r="AC313" s="121" t="inlineStr">
        <is>
          <t>⚠ WATCH</t>
        </is>
      </c>
      <c r="AD313" s="118" t="n">
        <v>5610000000</v>
      </c>
      <c r="AE313" s="118" t="n">
        <v>-4472000000</v>
      </c>
      <c r="AF313" s="118" t="n">
        <v>4152000000</v>
      </c>
      <c r="AG313" s="118" t="n">
        <v>0.053</v>
      </c>
      <c r="AH313" s="119" t="inlineStr">
        <is>
          <t>✓ Medium Quality</t>
        </is>
      </c>
      <c r="AI313" s="118" t="n">
        <v>0.6899999999999999</v>
      </c>
      <c r="AJ313" s="120" t="n">
        <v>0.018</v>
      </c>
      <c r="AK313" s="120" t="n">
        <v>38.2</v>
      </c>
      <c r="AL313" s="120" t="n">
        <v>0.216</v>
      </c>
      <c r="AM313" s="120" t="n">
        <v>-0.002</v>
      </c>
      <c r="AN313" s="118" t="n">
        <v>69.90000000000001</v>
      </c>
      <c r="AO313" s="119" t="inlineStr">
        <is>
          <t>✓ Good</t>
        </is>
      </c>
      <c r="AP313" s="117" t="n">
        <v>0</v>
      </c>
      <c r="AQ313" s="117" t="n">
        <v>0</v>
      </c>
      <c r="AR313" s="117" t="n">
        <v>1</v>
      </c>
      <c r="AS313" s="117" t="n">
        <v>1</v>
      </c>
      <c r="AT313" s="117" t="n">
        <v>0</v>
      </c>
      <c r="AU313" s="117" t="n">
        <v>0</v>
      </c>
      <c r="AV313" s="117" t="n">
        <v>2</v>
      </c>
      <c r="AW313" s="121" t="inlineStr">
        <is>
          <t>⚠ WATCH</t>
        </is>
      </c>
      <c r="AX313" s="118" t="n">
        <v>23.9</v>
      </c>
      <c r="AY313" s="119" t="inlineStr">
        <is>
          <t>🟢 LOW RISK</t>
        </is>
      </c>
      <c r="AZ313" s="118" t="n">
        <v>13.8</v>
      </c>
      <c r="BA313" s="118" t="n">
        <v>8.300000000000001</v>
      </c>
      <c r="BB313" s="118" t="n">
        <v>98.40000000000001</v>
      </c>
      <c r="BC313" s="124" t="inlineStr">
        <is>
          <t>N/A</t>
        </is>
      </c>
      <c r="BD313" s="118" t="n">
        <v>57.8</v>
      </c>
      <c r="BE313" s="118" t="n">
        <v>57.2</v>
      </c>
      <c r="BF313" s="120" t="n">
        <v>5.484</v>
      </c>
      <c r="BG313" s="117" t="n">
        <v>0.234</v>
      </c>
      <c r="BH313" s="122" t="n">
        <v>5</v>
      </c>
      <c r="BI313" s="123" t="n">
        <v>1</v>
      </c>
    </row>
    <row r="314" ht="17" customHeight="1">
      <c r="A314" s="117" t="inlineStr">
        <is>
          <t>KMPR</t>
        </is>
      </c>
      <c r="B314" s="117" t="inlineStr">
        <is>
          <t>Kemper Corporation</t>
        </is>
      </c>
      <c r="C314" s="124" t="inlineStr">
        <is>
          <t>N/A</t>
        </is>
      </c>
      <c r="D314" s="118" t="n">
        <v>2.496</v>
      </c>
      <c r="E314" s="124" t="inlineStr">
        <is>
          <t>N/A</t>
        </is>
      </c>
      <c r="F314" s="118" t="n">
        <v>1.033</v>
      </c>
      <c r="G314" s="124" t="inlineStr">
        <is>
          <t>N/A</t>
        </is>
      </c>
      <c r="H314" s="124" t="inlineStr">
        <is>
          <t>N/A</t>
        </is>
      </c>
      <c r="I314" s="118" t="n">
        <v>1.008</v>
      </c>
      <c r="J314" s="118" t="n">
        <v>-0.035</v>
      </c>
      <c r="K314" s="124" t="inlineStr">
        <is>
          <t>N/A</t>
        </is>
      </c>
      <c r="L314" s="124" t="inlineStr">
        <is>
          <t>N/A</t>
        </is>
      </c>
      <c r="M314" s="124" t="inlineStr">
        <is>
          <t>N/A</t>
        </is>
      </c>
      <c r="N314" s="124" t="inlineStr">
        <is>
          <t>N/A</t>
        </is>
      </c>
      <c r="O314" s="124" t="inlineStr">
        <is>
          <t>N/A</t>
        </is>
      </c>
      <c r="P314" s="120" t="n">
        <v>1</v>
      </c>
      <c r="Q314" s="120" t="n">
        <v>-0.014</v>
      </c>
      <c r="R314" s="117" t="n">
        <v>0</v>
      </c>
      <c r="S314" s="124" t="inlineStr">
        <is>
          <t>N/A</t>
        </is>
      </c>
      <c r="T314" s="124" t="inlineStr">
        <is>
          <t>N/A</t>
        </is>
      </c>
      <c r="U314" s="124" t="inlineStr">
        <is>
          <t>N/A</t>
        </is>
      </c>
      <c r="V314" s="117" t="n">
        <v>0</v>
      </c>
      <c r="W314" s="117" t="n">
        <v>0</v>
      </c>
      <c r="X314" s="117" t="n">
        <v>0</v>
      </c>
      <c r="Y314" s="117" t="n">
        <v>0</v>
      </c>
      <c r="Z314" s="117" t="n">
        <v>0</v>
      </c>
      <c r="AA314" s="117" t="n">
        <v>0</v>
      </c>
      <c r="AB314" s="117" t="n">
        <v>0</v>
      </c>
      <c r="AC314" s="119" t="inlineStr">
        <is>
          <t>✓ Clean</t>
        </is>
      </c>
      <c r="AD314" s="118" t="n">
        <v>584500000</v>
      </c>
      <c r="AE314" s="118" t="n">
        <v>336200000</v>
      </c>
      <c r="AF314" s="118" t="n">
        <v>143300000</v>
      </c>
      <c r="AG314" s="118" t="n">
        <v>-0.062</v>
      </c>
      <c r="AH314" s="119" t="inlineStr">
        <is>
          <t>✓ Medium Quality</t>
        </is>
      </c>
      <c r="AI314" s="124" t="inlineStr">
        <is>
          <t>N/A</t>
        </is>
      </c>
      <c r="AJ314" s="120" t="n">
        <v>0.033</v>
      </c>
      <c r="AK314" s="124" t="inlineStr">
        <is>
          <t>N/A</t>
        </is>
      </c>
      <c r="AL314" s="120" t="n">
        <v>0.122</v>
      </c>
      <c r="AM314" s="124" t="inlineStr">
        <is>
          <t>N/A</t>
        </is>
      </c>
      <c r="AN314" s="118" t="n">
        <v>94.40000000000001</v>
      </c>
      <c r="AO314" s="119" t="inlineStr">
        <is>
          <t>✓ Good</t>
        </is>
      </c>
      <c r="AP314" s="117" t="n">
        <v>0</v>
      </c>
      <c r="AQ314" s="117" t="n">
        <v>0</v>
      </c>
      <c r="AR314" s="117" t="n">
        <v>1</v>
      </c>
      <c r="AS314" s="117" t="n">
        <v>0</v>
      </c>
      <c r="AT314" s="117" t="n">
        <v>0</v>
      </c>
      <c r="AU314" s="117" t="n">
        <v>1</v>
      </c>
      <c r="AV314" s="117" t="n">
        <v>2</v>
      </c>
      <c r="AW314" s="121" t="inlineStr">
        <is>
          <t>⚠ WATCH</t>
        </is>
      </c>
      <c r="AX314" s="118" t="n">
        <v>25.2</v>
      </c>
      <c r="AY314" s="119" t="inlineStr">
        <is>
          <t>🟢 LOW RISK</t>
        </is>
      </c>
      <c r="AZ314" s="118" t="n">
        <v>0</v>
      </c>
      <c r="BA314" s="124" t="inlineStr">
        <is>
          <t>N/A</t>
        </is>
      </c>
      <c r="BB314" s="124" t="inlineStr">
        <is>
          <t>N/A</t>
        </is>
      </c>
      <c r="BC314" s="124" t="inlineStr">
        <is>
          <t>N/A</t>
        </is>
      </c>
      <c r="BD314" s="124" t="inlineStr">
        <is>
          <t>N/A</t>
        </is>
      </c>
      <c r="BE314" s="124" t="inlineStr">
        <is>
          <t>N/A</t>
        </is>
      </c>
      <c r="BF314" s="120" t="n">
        <v>0.175</v>
      </c>
      <c r="BG314" s="117" t="n">
        <v>1</v>
      </c>
      <c r="BH314" s="122" t="n">
        <v>2</v>
      </c>
      <c r="BI314" s="125" t="n">
        <v>0.6666666666666666</v>
      </c>
    </row>
    <row r="315" ht="17" customHeight="1">
      <c r="A315" s="117" t="inlineStr">
        <is>
          <t>RHP</t>
        </is>
      </c>
      <c r="B315" s="117" t="inlineStr">
        <is>
          <t>RYMAN HOSPITALITY PROPERTIES, INC.</t>
        </is>
      </c>
      <c r="C315" s="118" t="n">
        <v>0.384</v>
      </c>
      <c r="D315" s="118" t="n">
        <v>13.116</v>
      </c>
      <c r="E315" s="118" t="n">
        <v>0.889</v>
      </c>
      <c r="F315" s="118" t="n">
        <v>3.432</v>
      </c>
      <c r="G315" s="118" t="n">
        <v>1.02</v>
      </c>
      <c r="H315" s="118" t="n">
        <v>0.296</v>
      </c>
      <c r="I315" s="118" t="n">
        <v>0.979</v>
      </c>
      <c r="J315" s="118" t="n">
        <v>-0.056</v>
      </c>
      <c r="K315" s="118" t="n">
        <v>5.343</v>
      </c>
      <c r="L315" s="121" t="inlineStr">
        <is>
          <t>⚠ MANIPULATOR RISK</t>
        </is>
      </c>
      <c r="M315" s="120" t="n">
        <v>-0.062</v>
      </c>
      <c r="N315" s="120" t="n">
        <v>0.016</v>
      </c>
      <c r="O315" s="120" t="n">
        <v>0.001</v>
      </c>
      <c r="P315" s="120" t="n">
        <v>0.12</v>
      </c>
      <c r="Q315" s="120" t="n">
        <v>-0.013</v>
      </c>
      <c r="R315" s="117" t="n">
        <v>1</v>
      </c>
      <c r="S315" s="118" t="n">
        <v>-4.584</v>
      </c>
      <c r="T315" s="118" t="n">
        <v>0.01</v>
      </c>
      <c r="U315" s="119" t="inlineStr">
        <is>
          <t>✓ Normal</t>
        </is>
      </c>
      <c r="V315" s="117" t="n">
        <v>1</v>
      </c>
      <c r="W315" s="117" t="n">
        <v>0</v>
      </c>
      <c r="X315" s="117" t="n">
        <v>0</v>
      </c>
      <c r="Y315" s="117" t="n">
        <v>1</v>
      </c>
      <c r="Z315" s="117" t="n">
        <v>1</v>
      </c>
      <c r="AA315" s="117" t="n">
        <v>1</v>
      </c>
      <c r="AB315" s="117" t="n">
        <v>4</v>
      </c>
      <c r="AC315" s="121" t="inlineStr">
        <is>
          <t>⚠⚠ SERIOUS CONCERN</t>
        </is>
      </c>
      <c r="AD315" s="118" t="n">
        <v>590629000</v>
      </c>
      <c r="AE315" s="118" t="n">
        <v>-1233972000</v>
      </c>
      <c r="AF315" s="118" t="n">
        <v>243425000</v>
      </c>
      <c r="AG315" s="118" t="n">
        <v>0.156</v>
      </c>
      <c r="AH315" s="117" t="inlineStr">
        <is>
          <t>⚠ Low Quality</t>
        </is>
      </c>
      <c r="AI315" s="118" t="n">
        <v>0.32</v>
      </c>
      <c r="AJ315" s="120" t="n">
        <v>2.432</v>
      </c>
      <c r="AK315" s="120" t="n">
        <v>0.131</v>
      </c>
      <c r="AL315" s="120" t="n">
        <v>0.499</v>
      </c>
      <c r="AM315" s="120" t="n">
        <v>-0.003</v>
      </c>
      <c r="AN315" s="118" t="n">
        <v>99.8</v>
      </c>
      <c r="AO315" s="119" t="inlineStr">
        <is>
          <t>✓ Good</t>
        </is>
      </c>
      <c r="AP315" s="117" t="n">
        <v>0</v>
      </c>
      <c r="AQ315" s="117" t="n">
        <v>0</v>
      </c>
      <c r="AR315" s="117" t="n">
        <v>0</v>
      </c>
      <c r="AS315" s="117" t="n">
        <v>0</v>
      </c>
      <c r="AT315" s="117" t="n">
        <v>0</v>
      </c>
      <c r="AU315" s="117" t="n">
        <v>1</v>
      </c>
      <c r="AV315" s="117" t="n">
        <v>1</v>
      </c>
      <c r="AW315" s="119" t="inlineStr">
        <is>
          <t>✓ Clean</t>
        </is>
      </c>
      <c r="AX315" s="118" t="n">
        <v>48.8</v>
      </c>
      <c r="AY315" s="121" t="inlineStr">
        <is>
          <t>🟡 ELEVATED RISK</t>
        </is>
      </c>
      <c r="AZ315" s="118" t="n">
        <v>17.1</v>
      </c>
      <c r="BA315" s="118" t="n">
        <v>44.3</v>
      </c>
      <c r="BB315" s="118" t="n">
        <v>4.3</v>
      </c>
      <c r="BC315" s="118" t="n">
        <v>4.4</v>
      </c>
      <c r="BD315" s="118" t="n">
        <v>55.3</v>
      </c>
      <c r="BE315" s="118" t="n">
        <v>46.6</v>
      </c>
      <c r="BF315" s="120" t="n">
        <v>0.029</v>
      </c>
      <c r="BG315" s="117" t="n">
        <v>0.12</v>
      </c>
      <c r="BH315" s="122" t="n">
        <v>6</v>
      </c>
      <c r="BI315" s="123" t="n">
        <v>1</v>
      </c>
    </row>
    <row r="316" ht="17" customHeight="1">
      <c r="A316" s="117" t="inlineStr">
        <is>
          <t>SFM</t>
        </is>
      </c>
      <c r="B316" s="117" t="inlineStr">
        <is>
          <t>Sprouts Farmers Market, Inc.</t>
        </is>
      </c>
      <c r="C316" s="118" t="n">
        <v>1.85</v>
      </c>
      <c r="D316" s="118" t="n">
        <v>0.982</v>
      </c>
      <c r="E316" s="118" t="n">
        <v>0.995</v>
      </c>
      <c r="F316" s="118" t="n">
        <v>1.141</v>
      </c>
      <c r="G316" s="118" t="n">
        <v>0.982</v>
      </c>
      <c r="H316" s="118" t="n">
        <v>0.985</v>
      </c>
      <c r="I316" s="118" t="n">
        <v>1.04</v>
      </c>
      <c r="J316" s="118" t="n">
        <v>-0.046</v>
      </c>
      <c r="K316" s="118" t="n">
        <v>-1.813</v>
      </c>
      <c r="L316" s="121" t="inlineStr">
        <is>
          <t>⚠ MANIPULATOR RISK</t>
        </is>
      </c>
      <c r="M316" s="120" t="n">
        <v>-0.048</v>
      </c>
      <c r="N316" s="120" t="n">
        <v>0.032</v>
      </c>
      <c r="O316" s="120" t="n">
        <v>0.077</v>
      </c>
      <c r="P316" s="120" t="n">
        <v>0.746</v>
      </c>
      <c r="Q316" s="120" t="n">
        <v>0.021</v>
      </c>
      <c r="R316" s="117" t="n">
        <v>0</v>
      </c>
      <c r="S316" s="118" t="n">
        <v>-6.292</v>
      </c>
      <c r="T316" s="118" t="n">
        <v>0.002</v>
      </c>
      <c r="U316" s="119" t="inlineStr">
        <is>
          <t>✓ Normal</t>
        </is>
      </c>
      <c r="V316" s="117" t="n">
        <v>1</v>
      </c>
      <c r="W316" s="117" t="n">
        <v>1</v>
      </c>
      <c r="X316" s="117" t="n">
        <v>1</v>
      </c>
      <c r="Y316" s="117" t="n">
        <v>0</v>
      </c>
      <c r="Z316" s="117" t="n">
        <v>1</v>
      </c>
      <c r="AA316" s="117" t="n">
        <v>1</v>
      </c>
      <c r="AB316" s="117" t="n">
        <v>5</v>
      </c>
      <c r="AC316" s="121" t="inlineStr">
        <is>
          <t>⚠⚠ SERIOUS CONCERN</t>
        </is>
      </c>
      <c r="AD316" s="118" t="n">
        <v>715998000</v>
      </c>
      <c r="AE316" s="118" t="n">
        <v>-248267000</v>
      </c>
      <c r="AF316" s="118" t="n">
        <v>523670000</v>
      </c>
      <c r="AG316" s="118" t="n">
        <v>0.014</v>
      </c>
      <c r="AH316" s="119" t="inlineStr">
        <is>
          <t>✓ Medium Quality</t>
        </is>
      </c>
      <c r="AI316" s="118" t="n">
        <v>1.111</v>
      </c>
      <c r="AJ316" s="120" t="n">
        <v>0.141</v>
      </c>
      <c r="AK316" s="120" t="n">
        <v>7.888</v>
      </c>
      <c r="AL316" s="120" t="n">
        <v>0.081</v>
      </c>
      <c r="AM316" s="120" t="n">
        <v>0.001</v>
      </c>
      <c r="AN316" s="118" t="n">
        <v>56.3</v>
      </c>
      <c r="AO316" s="121" t="inlineStr">
        <is>
          <t>⚠ WATCH</t>
        </is>
      </c>
      <c r="AP316" s="117" t="n">
        <v>0</v>
      </c>
      <c r="AQ316" s="117" t="n">
        <v>0</v>
      </c>
      <c r="AR316" s="117" t="n">
        <v>0</v>
      </c>
      <c r="AS316" s="117" t="n">
        <v>0</v>
      </c>
      <c r="AT316" s="117" t="n">
        <v>0</v>
      </c>
      <c r="AU316" s="117" t="n">
        <v>1</v>
      </c>
      <c r="AV316" s="117" t="n">
        <v>1</v>
      </c>
      <c r="AW316" s="119" t="inlineStr">
        <is>
          <t>✓ Clean</t>
        </is>
      </c>
      <c r="AX316" s="118" t="n">
        <v>29.3</v>
      </c>
      <c r="AY316" s="119" t="inlineStr">
        <is>
          <t>🟢 LOW RISK</t>
        </is>
      </c>
      <c r="AZ316" s="118" t="n">
        <v>2.7</v>
      </c>
      <c r="BA316" s="118" t="n">
        <v>1.5</v>
      </c>
      <c r="BB316" s="118" t="n">
        <v>28.9</v>
      </c>
      <c r="BC316" s="118" t="n">
        <v>26.2</v>
      </c>
      <c r="BD316" s="118" t="n">
        <v>19.7</v>
      </c>
      <c r="BE316" s="118" t="n">
        <v>16.3</v>
      </c>
      <c r="BF316" s="120" t="n">
        <v>0.24</v>
      </c>
      <c r="BG316" s="117" t="n">
        <v>0.746</v>
      </c>
      <c r="BH316" s="122" t="n">
        <v>6</v>
      </c>
      <c r="BI316" s="123" t="n">
        <v>1</v>
      </c>
    </row>
    <row r="317" ht="17" customHeight="1">
      <c r="A317" s="117" t="inlineStr">
        <is>
          <t>BKR</t>
        </is>
      </c>
      <c r="B317" s="117" t="inlineStr">
        <is>
          <t>Baker Hughes Co</t>
        </is>
      </c>
      <c r="C317" s="118" t="n">
        <v>0.9360000000000001</v>
      </c>
      <c r="D317" s="118" t="n">
        <v>0.291</v>
      </c>
      <c r="E317" s="118" t="n">
        <v>0.98</v>
      </c>
      <c r="F317" s="118" t="n">
        <v>0.997</v>
      </c>
      <c r="G317" s="118" t="n">
        <v>0.995</v>
      </c>
      <c r="H317" s="118" t="n">
        <v>0.974</v>
      </c>
      <c r="I317" s="118" t="n">
        <v>1</v>
      </c>
      <c r="J317" s="118" t="n">
        <v>-0.03</v>
      </c>
      <c r="K317" s="118" t="n">
        <v>-3.061</v>
      </c>
      <c r="L317" s="119" t="inlineStr">
        <is>
          <t>✓ Lower Risk</t>
        </is>
      </c>
      <c r="M317" s="120" t="n">
        <v>-0.159</v>
      </c>
      <c r="N317" s="120" t="n">
        <v>-5.01</v>
      </c>
      <c r="O317" s="120" t="n">
        <v>0</v>
      </c>
      <c r="P317" s="120" t="n">
        <v>0.698</v>
      </c>
      <c r="Q317" s="120" t="n">
        <v>-0.014</v>
      </c>
      <c r="R317" s="117" t="n">
        <v>0</v>
      </c>
      <c r="S317" s="118" t="n">
        <v>-19.247</v>
      </c>
      <c r="T317" s="118" t="n">
        <v>0</v>
      </c>
      <c r="U317" s="119" t="inlineStr">
        <is>
          <t>✓ Normal</t>
        </is>
      </c>
      <c r="V317" s="117" t="n">
        <v>0</v>
      </c>
      <c r="W317" s="117" t="n">
        <v>0</v>
      </c>
      <c r="X317" s="117" t="n">
        <v>1</v>
      </c>
      <c r="Y317" s="117" t="n">
        <v>0</v>
      </c>
      <c r="Z317" s="117" t="n">
        <v>1</v>
      </c>
      <c r="AA317" s="117" t="n">
        <v>0</v>
      </c>
      <c r="AB317" s="117" t="n">
        <v>2</v>
      </c>
      <c r="AC317" s="121" t="inlineStr">
        <is>
          <t>⚠ WATCH</t>
        </is>
      </c>
      <c r="AD317" s="118" t="n">
        <v>3810000000</v>
      </c>
      <c r="AE317" s="118" t="n">
        <v>-2044000000</v>
      </c>
      <c r="AF317" s="118" t="n">
        <v>2588000000</v>
      </c>
      <c r="AG317" s="118" t="n">
        <v>0.021</v>
      </c>
      <c r="AH317" s="119" t="inlineStr">
        <is>
          <t>✓ Medium Quality</t>
        </is>
      </c>
      <c r="AI317" s="118" t="n">
        <v>-0.068</v>
      </c>
      <c r="AJ317" s="120" t="n">
        <v>-0.003</v>
      </c>
      <c r="AK317" s="120" t="n">
        <v>19.578</v>
      </c>
      <c r="AL317" s="120" t="n">
        <v>0.137</v>
      </c>
      <c r="AM317" s="120" t="n">
        <v>0.008</v>
      </c>
      <c r="AN317" s="118" t="n">
        <v>67.90000000000001</v>
      </c>
      <c r="AO317" s="119" t="inlineStr">
        <is>
          <t>✓ Good</t>
        </is>
      </c>
      <c r="AP317" s="117" t="n">
        <v>1</v>
      </c>
      <c r="AQ317" s="117" t="n">
        <v>0</v>
      </c>
      <c r="AR317" s="117" t="n">
        <v>0</v>
      </c>
      <c r="AS317" s="117" t="n">
        <v>0</v>
      </c>
      <c r="AT317" s="117" t="n">
        <v>0</v>
      </c>
      <c r="AU317" s="117" t="n">
        <v>0</v>
      </c>
      <c r="AV317" s="117" t="n">
        <v>1</v>
      </c>
      <c r="AW317" s="119" t="inlineStr">
        <is>
          <t>✓ Clean</t>
        </is>
      </c>
      <c r="AX317" s="118" t="n">
        <v>14.9</v>
      </c>
      <c r="AY317" s="119" t="inlineStr">
        <is>
          <t>🟢 VERY LOW RISK</t>
        </is>
      </c>
      <c r="AZ317" s="118" t="n">
        <v>87.40000000000001</v>
      </c>
      <c r="BA317" s="118" t="n">
        <v>93.40000000000001</v>
      </c>
      <c r="BB317" s="118" t="n">
        <v>192.3</v>
      </c>
      <c r="BC317" s="118" t="n">
        <v>231.3</v>
      </c>
      <c r="BD317" s="118" t="n">
        <v>177.8</v>
      </c>
      <c r="BE317" s="118" t="n">
        <v>212.1</v>
      </c>
      <c r="BF317" s="120" t="n">
        <v>0.08799999999999999</v>
      </c>
      <c r="BG317" s="117" t="n">
        <v>0.698</v>
      </c>
      <c r="BH317" s="122" t="n">
        <v>3</v>
      </c>
      <c r="BI317" s="123" t="n">
        <v>1</v>
      </c>
    </row>
    <row r="318" ht="17" customHeight="1">
      <c r="A318" s="117" t="inlineStr">
        <is>
          <t>PH</t>
        </is>
      </c>
      <c r="B318" s="117" t="inlineStr">
        <is>
          <t>PARKER-HANNIFIN CORPORATION</t>
        </is>
      </c>
      <c r="C318" s="118" t="n">
        <v>0.271</v>
      </c>
      <c r="D318" s="118" t="n">
        <v>1.11</v>
      </c>
      <c r="E318" s="118" t="n">
        <v>0.993</v>
      </c>
      <c r="F318" s="118" t="n">
        <v>3.747</v>
      </c>
      <c r="G318" s="118" t="n">
        <v>1.006</v>
      </c>
      <c r="H318" s="118" t="n">
        <v>0.262</v>
      </c>
      <c r="I318" s="118" t="n">
        <v>0.912</v>
      </c>
      <c r="J318" s="118" t="n">
        <v>-0.032</v>
      </c>
      <c r="K318" s="118" t="n">
        <v>-0.637</v>
      </c>
      <c r="L318" s="121" t="inlineStr">
        <is>
          <t>⚠ MANIPULATOR RISK</t>
        </is>
      </c>
      <c r="M318" s="120" t="n">
        <v>0.042</v>
      </c>
      <c r="N318" s="120" t="n">
        <v>0.004</v>
      </c>
      <c r="O318" s="120" t="n">
        <v>0.005</v>
      </c>
      <c r="P318" s="120" t="n">
        <v>0.885</v>
      </c>
      <c r="Q318" s="120" t="n">
        <v>0.025</v>
      </c>
      <c r="R318" s="117" t="n">
        <v>0</v>
      </c>
      <c r="S318" s="118" t="n">
        <v>-6.104</v>
      </c>
      <c r="T318" s="118" t="n">
        <v>0.002</v>
      </c>
      <c r="U318" s="119" t="inlineStr">
        <is>
          <t>✓ Normal</t>
        </is>
      </c>
      <c r="V318" s="117" t="n">
        <v>1</v>
      </c>
      <c r="W318" s="117" t="n">
        <v>0</v>
      </c>
      <c r="X318" s="117" t="n">
        <v>0</v>
      </c>
      <c r="Y318" s="117" t="n">
        <v>1</v>
      </c>
      <c r="Z318" s="117" t="n">
        <v>0</v>
      </c>
      <c r="AA318" s="117" t="n">
        <v>0</v>
      </c>
      <c r="AB318" s="117" t="n">
        <v>2</v>
      </c>
      <c r="AC318" s="121" t="inlineStr">
        <is>
          <t>⚠ WATCH</t>
        </is>
      </c>
      <c r="AD318" s="118" t="n">
        <v>3776000000</v>
      </c>
      <c r="AE318" s="118" t="n">
        <v>224000000</v>
      </c>
      <c r="AF318" s="118" t="n">
        <v>2844215000</v>
      </c>
      <c r="AG318" s="118" t="n">
        <v>-0.039</v>
      </c>
      <c r="AH318" s="119" t="inlineStr">
        <is>
          <t>✓ Medium Quality</t>
        </is>
      </c>
      <c r="AI318" s="118" t="n">
        <v>0.015</v>
      </c>
      <c r="AJ318" s="120" t="n">
        <v>2.747</v>
      </c>
      <c r="AK318" s="120" t="n">
        <v>0.006</v>
      </c>
      <c r="AL318" s="120" t="n">
        <v>0.264</v>
      </c>
      <c r="AM318" s="120" t="n">
        <v>0.002</v>
      </c>
      <c r="AN318" s="117" t="n">
        <v>100</v>
      </c>
      <c r="AO318" s="119" t="inlineStr">
        <is>
          <t>✓ Good</t>
        </is>
      </c>
      <c r="AP318" s="117" t="n">
        <v>0</v>
      </c>
      <c r="AQ318" s="117" t="n">
        <v>0</v>
      </c>
      <c r="AR318" s="117" t="n">
        <v>1</v>
      </c>
      <c r="AS318" s="117" t="n">
        <v>0</v>
      </c>
      <c r="AT318" s="117" t="n">
        <v>1</v>
      </c>
      <c r="AU318" s="117" t="n">
        <v>1</v>
      </c>
      <c r="AV318" s="117" t="n">
        <v>3</v>
      </c>
      <c r="AW318" s="121" t="inlineStr">
        <is>
          <t>⚠ WATCH</t>
        </is>
      </c>
      <c r="AX318" s="118" t="n">
        <v>22.9</v>
      </c>
      <c r="AY318" s="119" t="inlineStr">
        <is>
          <t>🟢 LOW RISK</t>
        </is>
      </c>
      <c r="AZ318" s="118" t="n">
        <v>74.3</v>
      </c>
      <c r="BA318" s="118" t="n">
        <v>274</v>
      </c>
      <c r="BB318" s="118" t="n">
        <v>82.7</v>
      </c>
      <c r="BC318" s="118" t="n">
        <v>79.5</v>
      </c>
      <c r="BD318" s="118" t="n">
        <v>61.9</v>
      </c>
      <c r="BE318" s="118" t="n">
        <v>56.8</v>
      </c>
      <c r="BF318" s="120" t="n">
        <v>0.14</v>
      </c>
      <c r="BG318" s="117" t="n">
        <v>0.885</v>
      </c>
      <c r="BH318" s="122" t="n">
        <v>5</v>
      </c>
      <c r="BI318" s="123" t="n">
        <v>1</v>
      </c>
    </row>
    <row r="319" ht="17" customHeight="1">
      <c r="A319" s="117" t="inlineStr">
        <is>
          <t>OXY</t>
        </is>
      </c>
      <c r="B319" s="117" t="inlineStr">
        <is>
          <t>OCCIDENTAL PETROLEUM CORPORATION</t>
        </is>
      </c>
      <c r="C319" s="118" t="n">
        <v>0.904</v>
      </c>
      <c r="D319" s="118" t="n">
        <v>1.033</v>
      </c>
      <c r="E319" s="118" t="n">
        <v>-0.115</v>
      </c>
      <c r="F319" s="118" t="n">
        <v>0.8080000000000001</v>
      </c>
      <c r="G319" s="118" t="n">
        <v>2.219</v>
      </c>
      <c r="H319" s="118" t="n">
        <v>1.149</v>
      </c>
      <c r="I319" s="118" t="n">
        <v>1</v>
      </c>
      <c r="J319" s="118" t="n">
        <v>-0.06900000000000001</v>
      </c>
      <c r="K319" s="118" t="n">
        <v>-3.383</v>
      </c>
      <c r="L319" s="119" t="inlineStr">
        <is>
          <t>✓ Lower Risk</t>
        </is>
      </c>
      <c r="M319" s="120" t="n">
        <v>-0.089</v>
      </c>
      <c r="N319" s="120" t="n">
        <v>-0.185</v>
      </c>
      <c r="O319" s="120" t="n">
        <v>-0.053</v>
      </c>
      <c r="P319" s="120" t="n">
        <v>0.021</v>
      </c>
      <c r="Q319" s="120" t="n">
        <v>-0.1</v>
      </c>
      <c r="R319" s="117" t="n">
        <v>1</v>
      </c>
      <c r="S319" s="118" t="n">
        <v>-5.334</v>
      </c>
      <c r="T319" s="118" t="n">
        <v>0.005</v>
      </c>
      <c r="U319" s="119" t="inlineStr">
        <is>
          <t>✓ Normal</t>
        </is>
      </c>
      <c r="V319" s="117" t="n">
        <v>0</v>
      </c>
      <c r="W319" s="117" t="n">
        <v>0</v>
      </c>
      <c r="X319" s="117" t="n">
        <v>1</v>
      </c>
      <c r="Y319" s="117" t="n">
        <v>0</v>
      </c>
      <c r="Z319" s="117" t="n">
        <v>0</v>
      </c>
      <c r="AA319" s="117" t="n">
        <v>0</v>
      </c>
      <c r="AB319" s="117" t="n">
        <v>1</v>
      </c>
      <c r="AC319" s="119" t="inlineStr">
        <is>
          <t>✓ Clean</t>
        </is>
      </c>
      <c r="AD319" s="118" t="n">
        <v>10532000000</v>
      </c>
      <c r="AE319" s="118" t="n">
        <v>-5799000000</v>
      </c>
      <c r="AF319" s="118" t="n">
        <v>4696000000</v>
      </c>
      <c r="AG319" s="118" t="n">
        <v>-0</v>
      </c>
      <c r="AH319" s="119" t="inlineStr">
        <is>
          <t>✓ Medium Quality</t>
        </is>
      </c>
      <c r="AI319" s="118" t="n">
        <v>-0.27</v>
      </c>
      <c r="AJ319" s="120" t="n">
        <v>-0.192</v>
      </c>
      <c r="AK319" s="120" t="n">
        <v>1.405</v>
      </c>
      <c r="AL319" s="120" t="n">
        <v>0.488</v>
      </c>
      <c r="AM319" s="124" t="inlineStr">
        <is>
          <t>N/A</t>
        </is>
      </c>
      <c r="AN319" s="118" t="n">
        <v>87.90000000000001</v>
      </c>
      <c r="AO319" s="119" t="inlineStr">
        <is>
          <t>✓ Good</t>
        </is>
      </c>
      <c r="AP319" s="117" t="n">
        <v>1</v>
      </c>
      <c r="AQ319" s="117" t="n">
        <v>1</v>
      </c>
      <c r="AR319" s="117" t="n">
        <v>1</v>
      </c>
      <c r="AS319" s="117" t="n">
        <v>1</v>
      </c>
      <c r="AT319" s="117" t="n">
        <v>0</v>
      </c>
      <c r="AU319" s="117" t="n">
        <v>0</v>
      </c>
      <c r="AV319" s="117" t="n">
        <v>4</v>
      </c>
      <c r="AW319" s="117" t="inlineStr">
        <is>
          <t>⚠⚠ MULTIPLE RED FLAGS</t>
        </is>
      </c>
      <c r="AX319" s="118" t="n">
        <v>12.4</v>
      </c>
      <c r="AY319" s="119" t="inlineStr">
        <is>
          <t>🟢 VERY LOW RISK</t>
        </is>
      </c>
      <c r="AZ319" s="118" t="n">
        <v>43.5</v>
      </c>
      <c r="BA319" s="118" t="n">
        <v>48.2</v>
      </c>
      <c r="BB319" s="118" t="n">
        <v>213.2</v>
      </c>
      <c r="BC319" s="118" t="n">
        <v>245.4</v>
      </c>
      <c r="BD319" s="118" t="n">
        <v>384.2</v>
      </c>
      <c r="BE319" s="118" t="n">
        <v>439.6</v>
      </c>
      <c r="BF319" s="120" t="n">
        <v>0.326</v>
      </c>
      <c r="BG319" s="117" t="n">
        <v>0.021</v>
      </c>
      <c r="BH319" s="122" t="n">
        <v>6</v>
      </c>
      <c r="BI319" s="123" t="n">
        <v>1</v>
      </c>
    </row>
    <row r="320" ht="17" customHeight="1">
      <c r="A320" s="117" t="inlineStr">
        <is>
          <t>KEY</t>
        </is>
      </c>
      <c r="B320" s="117" t="inlineStr">
        <is>
          <t>KEYCORP /NEW/</t>
        </is>
      </c>
      <c r="C320" s="124" t="inlineStr">
        <is>
          <t>N/A</t>
        </is>
      </c>
      <c r="D320" s="124" t="inlineStr">
        <is>
          <t>N/A</t>
        </is>
      </c>
      <c r="E320" s="118" t="n">
        <v>1</v>
      </c>
      <c r="F320" s="118" t="n">
        <v>1.627</v>
      </c>
      <c r="G320" s="118" t="n">
        <v>1.083</v>
      </c>
      <c r="H320" s="124" t="inlineStr">
        <is>
          <t>N/A</t>
        </is>
      </c>
      <c r="I320" s="118" t="n">
        <v>0.985</v>
      </c>
      <c r="J320" s="118" t="n">
        <v>-0.002</v>
      </c>
      <c r="K320" s="124" t="inlineStr">
        <is>
          <t>N/A</t>
        </is>
      </c>
      <c r="L320" s="124" t="inlineStr">
        <is>
          <t>N/A</t>
        </is>
      </c>
      <c r="M320" s="124" t="inlineStr">
        <is>
          <t>N/A</t>
        </is>
      </c>
      <c r="N320" s="124" t="inlineStr">
        <is>
          <t>N/A</t>
        </is>
      </c>
      <c r="O320" s="124" t="inlineStr">
        <is>
          <t>N/A</t>
        </is>
      </c>
      <c r="P320" s="120" t="n">
        <v>0.995</v>
      </c>
      <c r="Q320" s="120" t="n">
        <v>0.011</v>
      </c>
      <c r="R320" s="117" t="n">
        <v>0</v>
      </c>
      <c r="S320" s="124" t="inlineStr">
        <is>
          <t>N/A</t>
        </is>
      </c>
      <c r="T320" s="124" t="inlineStr">
        <is>
          <t>N/A</t>
        </is>
      </c>
      <c r="U320" s="124" t="inlineStr">
        <is>
          <t>N/A</t>
        </is>
      </c>
      <c r="V320" s="117" t="n">
        <v>1</v>
      </c>
      <c r="W320" s="117" t="n">
        <v>0</v>
      </c>
      <c r="X320" s="117" t="n">
        <v>0</v>
      </c>
      <c r="Y320" s="117" t="n">
        <v>0</v>
      </c>
      <c r="Z320" s="117" t="n">
        <v>1</v>
      </c>
      <c r="AA320" s="117" t="n">
        <v>0</v>
      </c>
      <c r="AB320" s="117" t="n">
        <v>2</v>
      </c>
      <c r="AC320" s="121" t="inlineStr">
        <is>
          <t>⚠ WATCH</t>
        </is>
      </c>
      <c r="AD320" s="118" t="n">
        <v>2208000000</v>
      </c>
      <c r="AE320" s="118" t="n">
        <v>3219000000</v>
      </c>
      <c r="AF320" s="118" t="n">
        <v>1829000000</v>
      </c>
      <c r="AG320" s="118" t="n">
        <v>-0.019</v>
      </c>
      <c r="AH320" s="119" t="inlineStr">
        <is>
          <t>✓ Medium Quality</t>
        </is>
      </c>
      <c r="AI320" s="124" t="inlineStr">
        <is>
          <t>N/A</t>
        </is>
      </c>
      <c r="AJ320" s="120" t="n">
        <v>0.627</v>
      </c>
      <c r="AK320" s="124" t="inlineStr">
        <is>
          <t>N/A</t>
        </is>
      </c>
      <c r="AL320" s="120" t="n">
        <v>0.294</v>
      </c>
      <c r="AM320" s="120" t="n">
        <v>0</v>
      </c>
      <c r="AN320" s="117" t="n">
        <v>100</v>
      </c>
      <c r="AO320" s="119" t="inlineStr">
        <is>
          <t>✓ Good</t>
        </is>
      </c>
      <c r="AP320" s="117" t="n">
        <v>0</v>
      </c>
      <c r="AQ320" s="117" t="n">
        <v>0</v>
      </c>
      <c r="AR320" s="117" t="n">
        <v>0</v>
      </c>
      <c r="AS320" s="117" t="n">
        <v>0</v>
      </c>
      <c r="AT320" s="117" t="n">
        <v>0</v>
      </c>
      <c r="AU320" s="117" t="n">
        <v>1</v>
      </c>
      <c r="AV320" s="117" t="n">
        <v>1</v>
      </c>
      <c r="AW320" s="119" t="inlineStr">
        <is>
          <t>✓ Clean</t>
        </is>
      </c>
      <c r="AX320" s="118" t="n">
        <v>29.9</v>
      </c>
      <c r="AY320" s="119" t="inlineStr">
        <is>
          <t>🟢 LOW RISK</t>
        </is>
      </c>
      <c r="AZ320" s="118" t="n">
        <v>0</v>
      </c>
      <c r="BA320" s="124" t="inlineStr">
        <is>
          <t>N/A</t>
        </is>
      </c>
      <c r="BB320" s="124" t="inlineStr">
        <is>
          <t>N/A</t>
        </is>
      </c>
      <c r="BC320" s="124" t="inlineStr">
        <is>
          <t>N/A</t>
        </is>
      </c>
      <c r="BD320" s="124" t="inlineStr">
        <is>
          <t>N/A</t>
        </is>
      </c>
      <c r="BE320" s="124" t="inlineStr">
        <is>
          <t>N/A</t>
        </is>
      </c>
      <c r="BF320" s="120" t="n">
        <v>0.207</v>
      </c>
      <c r="BG320" s="117" t="n">
        <v>0.995</v>
      </c>
      <c r="BH320" s="122" t="n">
        <v>3</v>
      </c>
      <c r="BI320" s="125" t="n">
        <v>0.6666666666666666</v>
      </c>
    </row>
    <row r="321" ht="17" customHeight="1">
      <c r="A321" s="117" t="inlineStr">
        <is>
          <t>AMZN</t>
        </is>
      </c>
      <c r="B321" s="117" t="inlineStr">
        <is>
          <t>AMAZON COM INC</t>
        </is>
      </c>
      <c r="C321" s="118" t="n">
        <v>1.087</v>
      </c>
      <c r="D321" s="118" t="n">
        <v>0.868</v>
      </c>
      <c r="E321" s="118" t="n">
        <v>0.977</v>
      </c>
      <c r="F321" s="118" t="n">
        <v>1.124</v>
      </c>
      <c r="G321" s="118" t="n">
        <v>1.091</v>
      </c>
      <c r="H321" s="118" t="n">
        <v>0.875</v>
      </c>
      <c r="I321" s="118" t="n">
        <v>1</v>
      </c>
      <c r="J321" s="118" t="n">
        <v>-0.076</v>
      </c>
      <c r="K321" s="118" t="n">
        <v>-2.691</v>
      </c>
      <c r="L321" s="119" t="inlineStr">
        <is>
          <t>✓ Lower Risk</t>
        </is>
      </c>
      <c r="M321" s="120" t="n">
        <v>-0.02</v>
      </c>
      <c r="N321" s="120" t="n">
        <v>0.155</v>
      </c>
      <c r="O321" s="120" t="n">
        <v>0.052</v>
      </c>
      <c r="P321" s="120" t="n">
        <v>0.457</v>
      </c>
      <c r="Q321" s="120" t="n">
        <v>0</v>
      </c>
      <c r="R321" s="117" t="n">
        <v>1</v>
      </c>
      <c r="S321" s="118" t="n">
        <v>-3.476</v>
      </c>
      <c r="T321" s="118" t="n">
        <v>0.03</v>
      </c>
      <c r="U321" s="119" t="inlineStr">
        <is>
          <t>✓ Normal</t>
        </is>
      </c>
      <c r="V321" s="117" t="n">
        <v>1</v>
      </c>
      <c r="W321" s="117" t="n">
        <v>1</v>
      </c>
      <c r="X321" s="117" t="n">
        <v>0</v>
      </c>
      <c r="Y321" s="117" t="n">
        <v>0</v>
      </c>
      <c r="Z321" s="117" t="n">
        <v>1</v>
      </c>
      <c r="AA321" s="117" t="n">
        <v>1</v>
      </c>
      <c r="AB321" s="117" t="n">
        <v>4</v>
      </c>
      <c r="AC321" s="121" t="inlineStr">
        <is>
          <t>⚠⚠ SERIOUS CONCERN</t>
        </is>
      </c>
      <c r="AD321" s="118" t="n">
        <v>139514000000</v>
      </c>
      <c r="AE321" s="118" t="n">
        <v>-142545000000</v>
      </c>
      <c r="AF321" s="118" t="n">
        <v>77670000000</v>
      </c>
      <c r="AG321" s="118" t="n">
        <v>0.112</v>
      </c>
      <c r="AH321" s="117" t="inlineStr">
        <is>
          <t>⚠ Low Quality</t>
        </is>
      </c>
      <c r="AI321" s="118" t="n">
        <v>0.221</v>
      </c>
      <c r="AJ321" s="120" t="n">
        <v>0.124</v>
      </c>
      <c r="AK321" s="120" t="n">
        <v>1.789</v>
      </c>
      <c r="AL321" s="120" t="n">
        <v>0.195</v>
      </c>
      <c r="AM321" s="120" t="n">
        <v>0</v>
      </c>
      <c r="AN321" s="118" t="n">
        <v>76.40000000000001</v>
      </c>
      <c r="AO321" s="119" t="inlineStr">
        <is>
          <t>✓ Good</t>
        </is>
      </c>
      <c r="AP321" s="117" t="n">
        <v>0</v>
      </c>
      <c r="AQ321" s="117" t="n">
        <v>0</v>
      </c>
      <c r="AR321" s="117" t="n">
        <v>0</v>
      </c>
      <c r="AS321" s="117" t="n">
        <v>0</v>
      </c>
      <c r="AT321" s="117" t="n">
        <v>0</v>
      </c>
      <c r="AU321" s="117" t="n">
        <v>0</v>
      </c>
      <c r="AV321" s="117" t="n">
        <v>0</v>
      </c>
      <c r="AW321" s="119" t="inlineStr">
        <is>
          <t>✓ Clean</t>
        </is>
      </c>
      <c r="AX321" s="118" t="n">
        <v>27.7</v>
      </c>
      <c r="AY321" s="119" t="inlineStr">
        <is>
          <t>🟢 LOW RISK</t>
        </is>
      </c>
      <c r="AZ321" s="118" t="n">
        <v>34.5</v>
      </c>
      <c r="BA321" s="118" t="n">
        <v>31.7</v>
      </c>
      <c r="BB321" s="118" t="n">
        <v>39.2</v>
      </c>
      <c r="BC321" s="118" t="n">
        <v>38.3</v>
      </c>
      <c r="BD321" s="118" t="n">
        <v>124.8</v>
      </c>
      <c r="BE321" s="118" t="n">
        <v>105.6</v>
      </c>
      <c r="BF321" s="120" t="n">
        <v>0.213</v>
      </c>
      <c r="BG321" s="117" t="n">
        <v>0.457</v>
      </c>
      <c r="BH321" s="122" t="n">
        <v>5</v>
      </c>
      <c r="BI321" s="123" t="n">
        <v>1</v>
      </c>
    </row>
    <row r="322" ht="17" customHeight="1">
      <c r="A322" s="117" t="inlineStr">
        <is>
          <t>HCA</t>
        </is>
      </c>
      <c r="B322" s="117" t="inlineStr">
        <is>
          <t>HCA Healthcare, Inc.</t>
        </is>
      </c>
      <c r="C322" s="118" t="n">
        <v>0.944</v>
      </c>
      <c r="D322" s="124" t="inlineStr">
        <is>
          <t>N/A</t>
        </is>
      </c>
      <c r="E322" s="118" t="n">
        <v>0.988</v>
      </c>
      <c r="F322" s="118" t="n">
        <v>1.071</v>
      </c>
      <c r="G322" s="118" t="n">
        <v>0.996</v>
      </c>
      <c r="H322" s="118" t="n">
        <v>1.216</v>
      </c>
      <c r="I322" s="118" t="n">
        <v>1.062</v>
      </c>
      <c r="J322" s="118" t="n">
        <v>-0.096</v>
      </c>
      <c r="K322" s="124" t="inlineStr">
        <is>
          <t>N/A</t>
        </is>
      </c>
      <c r="L322" s="124" t="inlineStr">
        <is>
          <t>N/A</t>
        </is>
      </c>
      <c r="M322" s="120" t="n">
        <v>-0.073</v>
      </c>
      <c r="N322" s="120" t="n">
        <v>0.023</v>
      </c>
      <c r="O322" s="120" t="n">
        <v>-0.017</v>
      </c>
      <c r="P322" s="120" t="n">
        <v>0.47</v>
      </c>
      <c r="Q322" s="120" t="n">
        <v>0.015</v>
      </c>
      <c r="R322" s="117" t="n">
        <v>0</v>
      </c>
      <c r="S322" s="118" t="n">
        <v>-6.989</v>
      </c>
      <c r="T322" s="118" t="n">
        <v>0.001</v>
      </c>
      <c r="U322" s="119" t="inlineStr">
        <is>
          <t>✓ Normal</t>
        </is>
      </c>
      <c r="V322" s="117" t="n">
        <v>0</v>
      </c>
      <c r="W322" s="117" t="n">
        <v>0</v>
      </c>
      <c r="X322" s="117" t="n">
        <v>0</v>
      </c>
      <c r="Y322" s="117" t="n">
        <v>0</v>
      </c>
      <c r="Z322" s="117" t="n">
        <v>0</v>
      </c>
      <c r="AA322" s="117" t="n">
        <v>0</v>
      </c>
      <c r="AB322" s="117" t="n">
        <v>0</v>
      </c>
      <c r="AC322" s="119" t="inlineStr">
        <is>
          <t>✓ Clean</t>
        </is>
      </c>
      <c r="AD322" s="118" t="n">
        <v>12636000000</v>
      </c>
      <c r="AE322" s="118" t="n">
        <v>-4988000000</v>
      </c>
      <c r="AF322" s="118" t="n">
        <v>6784000000</v>
      </c>
      <c r="AG322" s="118" t="n">
        <v>-0.014</v>
      </c>
      <c r="AH322" s="119" t="inlineStr">
        <is>
          <t>✓ Medium Quality</t>
        </is>
      </c>
      <c r="AI322" s="118" t="n">
        <v>0.011</v>
      </c>
      <c r="AJ322" s="120" t="n">
        <v>0.07099999999999999</v>
      </c>
      <c r="AK322" s="120" t="n">
        <v>0.152</v>
      </c>
      <c r="AL322" s="120" t="n">
        <v>0.167</v>
      </c>
      <c r="AM322" s="124" t="inlineStr">
        <is>
          <t>N/A</t>
        </is>
      </c>
      <c r="AN322" s="117" t="n">
        <v>100</v>
      </c>
      <c r="AO322" s="119" t="inlineStr">
        <is>
          <t>✓ Good</t>
        </is>
      </c>
      <c r="AP322" s="117" t="n">
        <v>0</v>
      </c>
      <c r="AQ322" s="117" t="n">
        <v>0</v>
      </c>
      <c r="AR322" s="117" t="n">
        <v>0</v>
      </c>
      <c r="AS322" s="117" t="n">
        <v>1</v>
      </c>
      <c r="AT322" s="117" t="n">
        <v>0</v>
      </c>
      <c r="AU322" s="117" t="n">
        <v>1</v>
      </c>
      <c r="AV322" s="117" t="n">
        <v>2</v>
      </c>
      <c r="AW322" s="121" t="inlineStr">
        <is>
          <t>⚠ WATCH</t>
        </is>
      </c>
      <c r="AX322" s="118" t="n">
        <v>16.6</v>
      </c>
      <c r="AY322" s="119" t="inlineStr">
        <is>
          <t>🟢 VERY LOW RISK</t>
        </is>
      </c>
      <c r="AZ322" s="118" t="n">
        <v>52.5</v>
      </c>
      <c r="BA322" s="118" t="n">
        <v>55.6</v>
      </c>
      <c r="BB322" s="124" t="inlineStr">
        <is>
          <t>N/A</t>
        </is>
      </c>
      <c r="BC322" s="124" t="inlineStr">
        <is>
          <t>N/A</t>
        </is>
      </c>
      <c r="BD322" s="124" t="inlineStr">
        <is>
          <t>N/A</t>
        </is>
      </c>
      <c r="BE322" s="124" t="inlineStr">
        <is>
          <t>N/A</t>
        </is>
      </c>
      <c r="BF322" s="120" t="n">
        <v>0.209</v>
      </c>
      <c r="BG322" s="117" t="n">
        <v>0.47</v>
      </c>
      <c r="BH322" s="122" t="n">
        <v>2</v>
      </c>
      <c r="BI322" s="123" t="n">
        <v>0.8333333333333334</v>
      </c>
    </row>
    <row r="323" ht="17" customHeight="1">
      <c r="A323" s="117" t="inlineStr">
        <is>
          <t>ADP</t>
        </is>
      </c>
      <c r="B323" s="117" t="inlineStr">
        <is>
          <t>AUTOMATIC DATA PROCESSING INC</t>
        </is>
      </c>
      <c r="C323" s="118" t="n">
        <v>0.975</v>
      </c>
      <c r="D323" s="118" t="n">
        <v>1.479</v>
      </c>
      <c r="E323" s="118" t="n">
        <v>1.185</v>
      </c>
      <c r="F323" s="118" t="n">
        <v>1.071</v>
      </c>
      <c r="G323" s="118" t="n">
        <v>0.957</v>
      </c>
      <c r="H323" s="118" t="n">
        <v>1.001</v>
      </c>
      <c r="I323" s="118" t="n">
        <v>0.965</v>
      </c>
      <c r="J323" s="118" t="n">
        <v>-0.016</v>
      </c>
      <c r="K323" s="118" t="n">
        <v>-2.181</v>
      </c>
      <c r="L323" s="121" t="inlineStr">
        <is>
          <t>⚠ MANIPULATOR RISK</t>
        </is>
      </c>
      <c r="M323" s="120" t="n">
        <v>0.008999999999999999</v>
      </c>
      <c r="N323" s="120" t="n">
        <v>0.111</v>
      </c>
      <c r="O323" s="124" t="inlineStr">
        <is>
          <t>N/A</t>
        </is>
      </c>
      <c r="P323" s="120" t="n">
        <v>0.925</v>
      </c>
      <c r="Q323" s="120" t="n">
        <v>0.007</v>
      </c>
      <c r="R323" s="117" t="n">
        <v>0</v>
      </c>
      <c r="S323" s="118" t="n">
        <v>-5.779</v>
      </c>
      <c r="T323" s="118" t="n">
        <v>0.003</v>
      </c>
      <c r="U323" s="119" t="inlineStr">
        <is>
          <t>✓ Normal</t>
        </is>
      </c>
      <c r="V323" s="117" t="n">
        <v>0</v>
      </c>
      <c r="W323" s="117" t="n">
        <v>0</v>
      </c>
      <c r="X323" s="117" t="n">
        <v>0</v>
      </c>
      <c r="Y323" s="117" t="n">
        <v>0</v>
      </c>
      <c r="Z323" s="117" t="n">
        <v>0</v>
      </c>
      <c r="AA323" s="117" t="n">
        <v>0</v>
      </c>
      <c r="AB323" s="117" t="n">
        <v>0</v>
      </c>
      <c r="AC323" s="119" t="inlineStr">
        <is>
          <t>✓ Clean</t>
        </is>
      </c>
      <c r="AD323" s="118" t="n">
        <v>4939700000</v>
      </c>
      <c r="AE323" s="118" t="n">
        <v>-3035000000</v>
      </c>
      <c r="AF323" s="118" t="n">
        <v>4079700000</v>
      </c>
      <c r="AG323" s="118" t="n">
        <v>0.04</v>
      </c>
      <c r="AH323" s="119" t="inlineStr">
        <is>
          <t>✓ Medium Quality</t>
        </is>
      </c>
      <c r="AI323" s="118" t="n">
        <v>0.044</v>
      </c>
      <c r="AJ323" s="120" t="n">
        <v>0.07099999999999999</v>
      </c>
      <c r="AK323" s="120" t="n">
        <v>0.622</v>
      </c>
      <c r="AL323" s="120" t="n">
        <v>0.24</v>
      </c>
      <c r="AM323" s="120" t="n">
        <v>-0</v>
      </c>
      <c r="AN323" s="117" t="n">
        <v>100</v>
      </c>
      <c r="AO323" s="119" t="inlineStr">
        <is>
          <t>✓ Good</t>
        </is>
      </c>
      <c r="AP323" s="117" t="n">
        <v>0</v>
      </c>
      <c r="AQ323" s="117" t="n">
        <v>0</v>
      </c>
      <c r="AR323" s="117" t="n">
        <v>1</v>
      </c>
      <c r="AS323" s="117" t="n">
        <v>1</v>
      </c>
      <c r="AT323" s="117" t="n">
        <v>1</v>
      </c>
      <c r="AU323" s="117" t="n">
        <v>0</v>
      </c>
      <c r="AV323" s="117" t="n">
        <v>3</v>
      </c>
      <c r="AW323" s="121" t="inlineStr">
        <is>
          <t>⚠ WATCH</t>
        </is>
      </c>
      <c r="AX323" s="118" t="n">
        <v>11.7</v>
      </c>
      <c r="AY323" s="119" t="inlineStr">
        <is>
          <t>🟢 VERY LOW RISK</t>
        </is>
      </c>
      <c r="AZ323" s="118" t="n">
        <v>63.5</v>
      </c>
      <c r="BA323" s="118" t="n">
        <v>65.2</v>
      </c>
      <c r="BB323" s="124" t="inlineStr">
        <is>
          <t>N/A</t>
        </is>
      </c>
      <c r="BC323" s="124" t="inlineStr">
        <is>
          <t>N/A</t>
        </is>
      </c>
      <c r="BD323" s="118" t="n">
        <v>5.6</v>
      </c>
      <c r="BE323" s="118" t="n">
        <v>3.5</v>
      </c>
      <c r="BF323" s="120" t="n">
        <v>0.232</v>
      </c>
      <c r="BG323" s="117" t="n">
        <v>0.925</v>
      </c>
      <c r="BH323" s="122" t="n">
        <v>3</v>
      </c>
      <c r="BI323" s="123" t="n">
        <v>1</v>
      </c>
    </row>
    <row r="324" ht="17" customHeight="1">
      <c r="A324" s="117" t="inlineStr">
        <is>
          <t>CYTK</t>
        </is>
      </c>
      <c r="B324" s="117" t="inlineStr">
        <is>
          <t>Cytokinetics, Incorporated</t>
        </is>
      </c>
      <c r="C324" s="118" t="n">
        <v>8.492000000000001</v>
      </c>
      <c r="D324" s="118" t="n">
        <v>0.082</v>
      </c>
      <c r="E324" s="118" t="n">
        <v>1.849</v>
      </c>
      <c r="F324" s="118" t="n">
        <v>0.126</v>
      </c>
      <c r="G324" s="118" t="n">
        <v>1.116</v>
      </c>
      <c r="H324" s="118" t="n">
        <v>10.509</v>
      </c>
      <c r="I324" s="118" t="n">
        <v>1.334</v>
      </c>
      <c r="J324" s="118" t="n">
        <v>-0.193</v>
      </c>
      <c r="K324" s="118" t="n">
        <v>0.857</v>
      </c>
      <c r="L324" s="121" t="inlineStr">
        <is>
          <t>⚠ MANIPULATOR RISK</t>
        </is>
      </c>
      <c r="M324" s="120" t="n">
        <v>-0.177</v>
      </c>
      <c r="N324" s="120" t="n">
        <v>0.012</v>
      </c>
      <c r="O324" s="124" t="inlineStr">
        <is>
          <t>N/A</t>
        </is>
      </c>
      <c r="P324" s="120" t="n">
        <v>0.858</v>
      </c>
      <c r="Q324" s="120" t="n">
        <v>-0.13</v>
      </c>
      <c r="R324" s="117" t="n">
        <v>1</v>
      </c>
      <c r="S324" s="118" t="n">
        <v>-3.172</v>
      </c>
      <c r="T324" s="118" t="n">
        <v>0.04</v>
      </c>
      <c r="U324" s="121" t="inlineStr">
        <is>
          <t>⚠ HIGH RISK</t>
        </is>
      </c>
      <c r="V324" s="117" t="n">
        <v>0</v>
      </c>
      <c r="W324" s="117" t="n">
        <v>1</v>
      </c>
      <c r="X324" s="117" t="n">
        <v>0</v>
      </c>
      <c r="Y324" s="117" t="n">
        <v>0</v>
      </c>
      <c r="Z324" s="117" t="n">
        <v>0</v>
      </c>
      <c r="AA324" s="117" t="n">
        <v>0</v>
      </c>
      <c r="AB324" s="117" t="n">
        <v>1</v>
      </c>
      <c r="AC324" s="119" t="inlineStr">
        <is>
          <t>✓ Clean</t>
        </is>
      </c>
      <c r="AD324" s="118" t="n">
        <v>-510009000</v>
      </c>
      <c r="AE324" s="118" t="n">
        <v>16666000</v>
      </c>
      <c r="AF324" s="118" t="n">
        <v>-784955000</v>
      </c>
      <c r="AG324" s="118" t="n">
        <v>-0.206</v>
      </c>
      <c r="AH324" s="119" t="inlineStr">
        <is>
          <t>✓ High Quality</t>
        </is>
      </c>
      <c r="AI324" s="118" t="n">
        <v>0.067</v>
      </c>
      <c r="AJ324" s="120" t="n">
        <v>-0.874</v>
      </c>
      <c r="AK324" s="120" t="n">
        <v>-0.077</v>
      </c>
      <c r="AL324" s="120" t="n">
        <v>-38.151</v>
      </c>
      <c r="AM324" s="120" t="n">
        <v>-3.797</v>
      </c>
      <c r="AN324" s="117" t="n">
        <v>0</v>
      </c>
      <c r="AO324" s="117" t="inlineStr">
        <is>
          <t>⚠ LOW QUALITY</t>
        </is>
      </c>
      <c r="AP324" s="117" t="n">
        <v>0</v>
      </c>
      <c r="AQ324" s="117" t="n">
        <v>1</v>
      </c>
      <c r="AR324" s="117" t="n">
        <v>1</v>
      </c>
      <c r="AS324" s="117" t="n">
        <v>1</v>
      </c>
      <c r="AT324" s="117" t="n">
        <v>0</v>
      </c>
      <c r="AU324" s="117" t="n">
        <v>0</v>
      </c>
      <c r="AV324" s="117" t="n">
        <v>3</v>
      </c>
      <c r="AW324" s="121" t="inlineStr">
        <is>
          <t>⚠ WATCH</t>
        </is>
      </c>
      <c r="AX324" s="118" t="n">
        <v>38.1</v>
      </c>
      <c r="AY324" s="119" t="inlineStr">
        <is>
          <t>🟢 LOW RISK</t>
        </is>
      </c>
      <c r="AZ324" s="118" t="n">
        <v>485</v>
      </c>
      <c r="BA324" s="118" t="n">
        <v>57.1</v>
      </c>
      <c r="BB324" s="124" t="inlineStr">
        <is>
          <t>N/A</t>
        </is>
      </c>
      <c r="BC324" s="124" t="inlineStr">
        <is>
          <t>N/A</t>
        </is>
      </c>
      <c r="BD324" s="118" t="n">
        <v>11.6</v>
      </c>
      <c r="BE324" s="118" t="n">
        <v>13.4</v>
      </c>
      <c r="BF324" s="120" t="n">
        <v>-0</v>
      </c>
      <c r="BG324" s="117" t="n">
        <v>0.858</v>
      </c>
      <c r="BH324" s="122" t="n">
        <v>5</v>
      </c>
      <c r="BI324" s="123" t="n">
        <v>1</v>
      </c>
    </row>
    <row r="325" ht="17" customHeight="1">
      <c r="A325" s="117" t="inlineStr">
        <is>
          <t>SPSC</t>
        </is>
      </c>
      <c r="B325" s="117" t="inlineStr">
        <is>
          <t>SPS COMMERCE, INC.</t>
        </is>
      </c>
      <c r="C325" s="118" t="n">
        <v>0.346</v>
      </c>
      <c r="D325" s="118" t="n">
        <v>3.113</v>
      </c>
      <c r="E325" s="118" t="n">
        <v>1.14</v>
      </c>
      <c r="F325" s="118" t="n">
        <v>3.79</v>
      </c>
      <c r="G325" s="118" t="n">
        <v>1.013</v>
      </c>
      <c r="H325" s="118" t="n">
        <v>0.325</v>
      </c>
      <c r="I325" s="118" t="n">
        <v>0.978</v>
      </c>
      <c r="J325" s="118" t="n">
        <v>-0.073</v>
      </c>
      <c r="K325" s="118" t="n">
        <v>0.362</v>
      </c>
      <c r="L325" s="121" t="inlineStr">
        <is>
          <t>⚠ MANIPULATOR RISK</t>
        </is>
      </c>
      <c r="M325" s="120" t="n">
        <v>0.012</v>
      </c>
      <c r="N325" s="120" t="n">
        <v>0.099</v>
      </c>
      <c r="O325" s="124" t="inlineStr">
        <is>
          <t>N/A</t>
        </is>
      </c>
      <c r="P325" s="120" t="n">
        <v>0.834</v>
      </c>
      <c r="Q325" s="120" t="n">
        <v>0.005</v>
      </c>
      <c r="R325" s="117" t="n">
        <v>0</v>
      </c>
      <c r="S325" s="118" t="n">
        <v>-5.985</v>
      </c>
      <c r="T325" s="118" t="n">
        <v>0.003</v>
      </c>
      <c r="U325" s="119" t="inlineStr">
        <is>
          <t>✓ Normal</t>
        </is>
      </c>
      <c r="V325" s="117" t="n">
        <v>1</v>
      </c>
      <c r="W325" s="117" t="n">
        <v>0</v>
      </c>
      <c r="X325" s="117" t="n">
        <v>0</v>
      </c>
      <c r="Y325" s="117" t="n">
        <v>1</v>
      </c>
      <c r="Z325" s="117" t="n">
        <v>1</v>
      </c>
      <c r="AA325" s="117" t="n">
        <v>1</v>
      </c>
      <c r="AB325" s="117" t="n">
        <v>4</v>
      </c>
      <c r="AC325" s="121" t="inlineStr">
        <is>
          <t>⚠⚠ SERIOUS CONCERN</t>
        </is>
      </c>
      <c r="AD325" s="118" t="n">
        <v>178790000</v>
      </c>
      <c r="AE325" s="118" t="n">
        <v>-169152000</v>
      </c>
      <c r="AF325" s="118" t="n">
        <v>93339000</v>
      </c>
      <c r="AG325" s="118" t="n">
        <v>0.076</v>
      </c>
      <c r="AH325" s="119" t="inlineStr">
        <is>
          <t>✓ Medium Quality</t>
        </is>
      </c>
      <c r="AI325" s="118" t="n">
        <v>0.31</v>
      </c>
      <c r="AJ325" s="120" t="n">
        <v>2.79</v>
      </c>
      <c r="AK325" s="120" t="n">
        <v>0.111</v>
      </c>
      <c r="AL325" s="120" t="n">
        <v>0.8110000000000001</v>
      </c>
      <c r="AM325" s="120" t="n">
        <v>0.024</v>
      </c>
      <c r="AN325" s="117" t="n">
        <v>100</v>
      </c>
      <c r="AO325" s="119" t="inlineStr">
        <is>
          <t>✓ Good</t>
        </is>
      </c>
      <c r="AP325" s="117" t="n">
        <v>0</v>
      </c>
      <c r="AQ325" s="117" t="n">
        <v>0</v>
      </c>
      <c r="AR325" s="117" t="n">
        <v>1</v>
      </c>
      <c r="AS325" s="117" t="n">
        <v>0</v>
      </c>
      <c r="AT325" s="117" t="n">
        <v>1</v>
      </c>
      <c r="AU325" s="117" t="n">
        <v>0</v>
      </c>
      <c r="AV325" s="117" t="n">
        <v>2</v>
      </c>
      <c r="AW325" s="121" t="inlineStr">
        <is>
          <t>⚠ WATCH</t>
        </is>
      </c>
      <c r="AX325" s="118" t="n">
        <v>32.5</v>
      </c>
      <c r="AY325" s="119" t="inlineStr">
        <is>
          <t>🟢 LOW RISK</t>
        </is>
      </c>
      <c r="AZ325" s="118" t="n">
        <v>112.8</v>
      </c>
      <c r="BA325" s="118" t="n">
        <v>326.3</v>
      </c>
      <c r="BB325" s="124" t="inlineStr">
        <is>
          <t>N/A</t>
        </is>
      </c>
      <c r="BC325" s="124" t="inlineStr">
        <is>
          <t>N/A</t>
        </is>
      </c>
      <c r="BD325" s="118" t="n">
        <v>21.7</v>
      </c>
      <c r="BE325" s="118" t="n">
        <v>14.9</v>
      </c>
      <c r="BF325" s="120" t="n">
        <v>0.246</v>
      </c>
      <c r="BG325" s="117" t="n">
        <v>0.834</v>
      </c>
      <c r="BH325" s="122" t="n">
        <v>6</v>
      </c>
      <c r="BI325" s="123" t="n">
        <v>1</v>
      </c>
    </row>
    <row r="326" ht="17" customHeight="1">
      <c r="A326" s="117" t="inlineStr">
        <is>
          <t>WYNN</t>
        </is>
      </c>
      <c r="B326" s="117" t="inlineStr">
        <is>
          <t>WYNN RESORTS LTD</t>
        </is>
      </c>
      <c r="C326" s="118" t="n">
        <v>1.123</v>
      </c>
      <c r="D326" s="124" t="inlineStr">
        <is>
          <t>N/A</t>
        </is>
      </c>
      <c r="E326" s="118" t="n">
        <v>1.064</v>
      </c>
      <c r="F326" s="118" t="n">
        <v>1.107</v>
      </c>
      <c r="G326" s="118" t="n">
        <v>1.071</v>
      </c>
      <c r="H326" s="118" t="n">
        <v>0.9340000000000001</v>
      </c>
      <c r="I326" s="118" t="n">
        <v>1.004</v>
      </c>
      <c r="J326" s="118" t="n">
        <v>-0.078</v>
      </c>
      <c r="K326" s="124" t="inlineStr">
        <is>
          <t>N/A</t>
        </is>
      </c>
      <c r="L326" s="124" t="inlineStr">
        <is>
          <t>N/A</t>
        </is>
      </c>
      <c r="M326" s="120" t="n">
        <v>0</v>
      </c>
      <c r="N326" s="120" t="n">
        <v>0.121</v>
      </c>
      <c r="O326" s="120" t="n">
        <v>0.02</v>
      </c>
      <c r="P326" s="120" t="n">
        <v>0.383</v>
      </c>
      <c r="Q326" s="120" t="n">
        <v>-0.014</v>
      </c>
      <c r="R326" s="117" t="n">
        <v>0</v>
      </c>
      <c r="S326" s="118" t="n">
        <v>-6.8</v>
      </c>
      <c r="T326" s="118" t="n">
        <v>0.001</v>
      </c>
      <c r="U326" s="119" t="inlineStr">
        <is>
          <t>✓ Normal</t>
        </is>
      </c>
      <c r="V326" s="117" t="n">
        <v>0</v>
      </c>
      <c r="W326" s="117" t="n">
        <v>1</v>
      </c>
      <c r="X326" s="117" t="n">
        <v>1</v>
      </c>
      <c r="Y326" s="117" t="n">
        <v>0</v>
      </c>
      <c r="Z326" s="117" t="n">
        <v>1</v>
      </c>
      <c r="AA326" s="117" t="n">
        <v>0</v>
      </c>
      <c r="AB326" s="117" t="n">
        <v>3</v>
      </c>
      <c r="AC326" s="121" t="inlineStr">
        <is>
          <t>⚠ WATCH</t>
        </is>
      </c>
      <c r="AD326" s="118" t="n">
        <v>1352653000</v>
      </c>
      <c r="AE326" s="118" t="n">
        <v>-1657161000</v>
      </c>
      <c r="AF326" s="118" t="n">
        <v>327334000</v>
      </c>
      <c r="AG326" s="118" t="n">
        <v>0.048</v>
      </c>
      <c r="AH326" s="119" t="inlineStr">
        <is>
          <t>✓ Medium Quality</t>
        </is>
      </c>
      <c r="AI326" s="118" t="n">
        <v>0.243</v>
      </c>
      <c r="AJ326" s="120" t="n">
        <v>0.107</v>
      </c>
      <c r="AK326" s="120" t="n">
        <v>2.275</v>
      </c>
      <c r="AL326" s="120" t="n">
        <v>0.201</v>
      </c>
      <c r="AM326" s="120" t="n">
        <v>0.008999999999999999</v>
      </c>
      <c r="AN326" s="118" t="n">
        <v>70.5</v>
      </c>
      <c r="AO326" s="119" t="inlineStr">
        <is>
          <t>✓ Good</t>
        </is>
      </c>
      <c r="AP326" s="117" t="n">
        <v>0</v>
      </c>
      <c r="AQ326" s="117" t="n">
        <v>0</v>
      </c>
      <c r="AR326" s="117" t="n">
        <v>0</v>
      </c>
      <c r="AS326" s="117" t="n">
        <v>0</v>
      </c>
      <c r="AT326" s="117" t="n">
        <v>0</v>
      </c>
      <c r="AU326" s="117" t="n">
        <v>0</v>
      </c>
      <c r="AV326" s="117" t="n">
        <v>0</v>
      </c>
      <c r="AW326" s="119" t="inlineStr">
        <is>
          <t>✓ Clean</t>
        </is>
      </c>
      <c r="AX326" s="118" t="n">
        <v>27.1</v>
      </c>
      <c r="AY326" s="119" t="inlineStr">
        <is>
          <t>🟢 LOW RISK</t>
        </is>
      </c>
      <c r="AZ326" s="118" t="n">
        <v>21.9</v>
      </c>
      <c r="BA326" s="118" t="n">
        <v>19.5</v>
      </c>
      <c r="BB326" s="124" t="inlineStr">
        <is>
          <t>N/A</t>
        </is>
      </c>
      <c r="BC326" s="124" t="inlineStr">
        <is>
          <t>N/A</t>
        </is>
      </c>
      <c r="BD326" s="124" t="inlineStr">
        <is>
          <t>N/A</t>
        </is>
      </c>
      <c r="BE326" s="124" t="inlineStr">
        <is>
          <t>N/A</t>
        </is>
      </c>
      <c r="BF326" s="120" t="n">
        <v>0.204</v>
      </c>
      <c r="BG326" s="117" t="n">
        <v>0.383</v>
      </c>
      <c r="BH326" s="122" t="n">
        <v>3</v>
      </c>
      <c r="BI326" s="123" t="n">
        <v>0.8333333333333334</v>
      </c>
    </row>
    <row r="327" ht="17" customHeight="1">
      <c r="A327" s="117" t="inlineStr">
        <is>
          <t>TTD</t>
        </is>
      </c>
      <c r="B327" s="117" t="inlineStr">
        <is>
          <t>TRADE DESK, INC.</t>
        </is>
      </c>
      <c r="C327" s="118" t="n">
        <v>0.956</v>
      </c>
      <c r="D327" s="118" t="n">
        <v>1.026</v>
      </c>
      <c r="E327" s="118" t="n">
        <v>0.869</v>
      </c>
      <c r="F327" s="118" t="n">
        <v>1.185</v>
      </c>
      <c r="G327" s="118" t="n">
        <v>1.245</v>
      </c>
      <c r="H327" s="118" t="n">
        <v>0.8169999999999999</v>
      </c>
      <c r="I327" s="118" t="n">
        <v>1.152</v>
      </c>
      <c r="J327" s="118" t="n">
        <v>-0.089</v>
      </c>
      <c r="K327" s="118" t="n">
        <v>-2.803</v>
      </c>
      <c r="L327" s="119" t="inlineStr">
        <is>
          <t>✓ Lower Risk</t>
        </is>
      </c>
      <c r="M327" s="120" t="n">
        <v>0.024</v>
      </c>
      <c r="N327" s="120" t="n">
        <v>0.974</v>
      </c>
      <c r="O327" s="124" t="inlineStr">
        <is>
          <t>N/A</t>
        </is>
      </c>
      <c r="P327" s="120" t="n">
        <v>0.829</v>
      </c>
      <c r="Q327" s="120" t="n">
        <v>0.008</v>
      </c>
      <c r="R327" s="117" t="n">
        <v>0</v>
      </c>
      <c r="S327" s="118" t="n">
        <v>-3.785</v>
      </c>
      <c r="T327" s="118" t="n">
        <v>0.022</v>
      </c>
      <c r="U327" s="119" t="inlineStr">
        <is>
          <t>✓ Normal</t>
        </is>
      </c>
      <c r="V327" s="117" t="n">
        <v>0</v>
      </c>
      <c r="W327" s="117" t="n">
        <v>0</v>
      </c>
      <c r="X327" s="117" t="n">
        <v>0</v>
      </c>
      <c r="Y327" s="117" t="n">
        <v>1</v>
      </c>
      <c r="Z327" s="117" t="n">
        <v>0</v>
      </c>
      <c r="AA327" s="117" t="n">
        <v>0</v>
      </c>
      <c r="AB327" s="117" t="n">
        <v>1</v>
      </c>
      <c r="AC327" s="119" t="inlineStr">
        <is>
          <t>✓ Clean</t>
        </is>
      </c>
      <c r="AD327" s="118" t="n">
        <v>992721000</v>
      </c>
      <c r="AE327" s="118" t="n">
        <v>-292632000</v>
      </c>
      <c r="AF327" s="118" t="n">
        <v>443304000</v>
      </c>
      <c r="AG327" s="118" t="n">
        <v>-0.042</v>
      </c>
      <c r="AH327" s="119" t="inlineStr">
        <is>
          <t>✓ Medium Quality</t>
        </is>
      </c>
      <c r="AI327" s="118" t="n">
        <v>0.132</v>
      </c>
      <c r="AJ327" s="120" t="n">
        <v>0.185</v>
      </c>
      <c r="AK327" s="120" t="n">
        <v>0.715</v>
      </c>
      <c r="AL327" s="120" t="n">
        <v>0.343</v>
      </c>
      <c r="AM327" s="124" t="inlineStr">
        <is>
          <t>N/A</t>
        </is>
      </c>
      <c r="AN327" s="117" t="n">
        <v>100</v>
      </c>
      <c r="AO327" s="119" t="inlineStr">
        <is>
          <t>✓ Good</t>
        </is>
      </c>
      <c r="AP327" s="117" t="n">
        <v>0</v>
      </c>
      <c r="AQ327" s="117" t="n">
        <v>0</v>
      </c>
      <c r="AR327" s="117" t="n">
        <v>1</v>
      </c>
      <c r="AS327" s="117" t="n">
        <v>0</v>
      </c>
      <c r="AT327" s="117" t="n">
        <v>1</v>
      </c>
      <c r="AU327" s="117" t="n">
        <v>0</v>
      </c>
      <c r="AV327" s="117" t="n">
        <v>2</v>
      </c>
      <c r="AW327" s="121" t="inlineStr">
        <is>
          <t>⚠ WATCH</t>
        </is>
      </c>
      <c r="AX327" s="118" t="n">
        <v>15.3</v>
      </c>
      <c r="AY327" s="119" t="inlineStr">
        <is>
          <t>🟢 VERY LOW RISK</t>
        </is>
      </c>
      <c r="AZ327" s="118" t="n">
        <v>475.1</v>
      </c>
      <c r="BA327" s="118" t="n">
        <v>497.2</v>
      </c>
      <c r="BB327" s="124" t="inlineStr">
        <is>
          <t>N/A</t>
        </is>
      </c>
      <c r="BC327" s="124" t="inlineStr">
        <is>
          <t>N/A</t>
        </is>
      </c>
      <c r="BD327" s="118" t="n">
        <v>1773.3</v>
      </c>
      <c r="BE327" s="118" t="n">
        <v>2034.7</v>
      </c>
      <c r="BF327" s="120" t="n">
        <v>0.327</v>
      </c>
      <c r="BG327" s="117" t="n">
        <v>0.829</v>
      </c>
      <c r="BH327" s="122" t="n">
        <v>3</v>
      </c>
      <c r="BI327" s="123" t="n">
        <v>1</v>
      </c>
    </row>
    <row r="328" ht="17" customHeight="1">
      <c r="A328" s="117" t="inlineStr">
        <is>
          <t>CHDN</t>
        </is>
      </c>
      <c r="B328" s="117" t="inlineStr">
        <is>
          <t>Churchill Downs Inc</t>
        </is>
      </c>
      <c r="C328" s="118" t="n">
        <v>0.836</v>
      </c>
      <c r="D328" s="118" t="n">
        <v>1.122</v>
      </c>
      <c r="E328" s="118" t="n">
        <v>1.008</v>
      </c>
      <c r="F328" s="118" t="n">
        <v>1.133</v>
      </c>
      <c r="G328" s="118" t="n">
        <v>0.872</v>
      </c>
      <c r="H328" s="118" t="n">
        <v>0.914</v>
      </c>
      <c r="I328" s="118" t="n">
        <v>1.012</v>
      </c>
      <c r="J328" s="118" t="n">
        <v>0.032</v>
      </c>
      <c r="K328" s="118" t="n">
        <v>-2.298</v>
      </c>
      <c r="L328" s="119" t="inlineStr">
        <is>
          <t>✓ Lower Risk</t>
        </is>
      </c>
      <c r="M328" s="120" t="n">
        <v>-0.031</v>
      </c>
      <c r="N328" s="120" t="n">
        <v>-0.024</v>
      </c>
      <c r="O328" s="120" t="n">
        <v>0.001</v>
      </c>
      <c r="P328" s="120" t="n">
        <v>0.588</v>
      </c>
      <c r="Q328" s="120" t="n">
        <v>-0.007</v>
      </c>
      <c r="R328" s="117" t="n">
        <v>0</v>
      </c>
      <c r="S328" s="118" t="n">
        <v>-6.81</v>
      </c>
      <c r="T328" s="118" t="n">
        <v>0.001</v>
      </c>
      <c r="U328" s="119" t="inlineStr">
        <is>
          <t>✓ Normal</t>
        </is>
      </c>
      <c r="V328" s="117" t="n">
        <v>1</v>
      </c>
      <c r="W328" s="117" t="n">
        <v>0</v>
      </c>
      <c r="X328" s="117" t="n">
        <v>0</v>
      </c>
      <c r="Y328" s="117" t="n">
        <v>1</v>
      </c>
      <c r="Z328" s="117" t="n">
        <v>0</v>
      </c>
      <c r="AA328" s="117" t="n">
        <v>0</v>
      </c>
      <c r="AB328" s="117" t="n">
        <v>2</v>
      </c>
      <c r="AC328" s="121" t="inlineStr">
        <is>
          <t>⚠ WATCH</t>
        </is>
      </c>
      <c r="AD328" s="118" t="n">
        <v>141900000</v>
      </c>
      <c r="AE328" s="118" t="n">
        <v>-471500000</v>
      </c>
      <c r="AF328" s="118" t="n">
        <v>383000000</v>
      </c>
      <c r="AG328" s="118" t="n">
        <v>0.097</v>
      </c>
      <c r="AH328" s="119" t="inlineStr">
        <is>
          <t>✓ Medium Quality</t>
        </is>
      </c>
      <c r="AI328" s="118" t="n">
        <v>-0.053</v>
      </c>
      <c r="AJ328" s="120" t="n">
        <v>0.133</v>
      </c>
      <c r="AK328" s="120" t="n">
        <v>-0.396</v>
      </c>
      <c r="AL328" s="120" t="n">
        <v>0.078</v>
      </c>
      <c r="AM328" s="120" t="n">
        <v>-0.002</v>
      </c>
      <c r="AN328" s="118" t="n">
        <v>85.59999999999999</v>
      </c>
      <c r="AO328" s="119" t="inlineStr">
        <is>
          <t>✓ Good</t>
        </is>
      </c>
      <c r="AP328" s="117" t="n">
        <v>0</v>
      </c>
      <c r="AQ328" s="117" t="n">
        <v>0</v>
      </c>
      <c r="AR328" s="117" t="n">
        <v>0</v>
      </c>
      <c r="AS328" s="117" t="n">
        <v>0</v>
      </c>
      <c r="AT328" s="117" t="n">
        <v>1</v>
      </c>
      <c r="AU328" s="117" t="n">
        <v>0</v>
      </c>
      <c r="AV328" s="117" t="n">
        <v>1</v>
      </c>
      <c r="AW328" s="119" t="inlineStr">
        <is>
          <t>✓ Clean</t>
        </is>
      </c>
      <c r="AX328" s="118" t="n">
        <v>17.9</v>
      </c>
      <c r="AY328" s="119" t="inlineStr">
        <is>
          <t>🟢 VERY LOW RISK</t>
        </is>
      </c>
      <c r="AZ328" s="118" t="n">
        <v>18.9</v>
      </c>
      <c r="BA328" s="118" t="n">
        <v>22.6</v>
      </c>
      <c r="BB328" s="118" t="n">
        <v>1.9</v>
      </c>
      <c r="BC328" s="118" t="n">
        <v>2.1</v>
      </c>
      <c r="BD328" s="118" t="n">
        <v>30</v>
      </c>
      <c r="BE328" s="118" t="n">
        <v>32.5</v>
      </c>
      <c r="BF328" s="120" t="n">
        <v>0.276</v>
      </c>
      <c r="BG328" s="117" t="n">
        <v>0.588</v>
      </c>
      <c r="BH328" s="122" t="n">
        <v>3</v>
      </c>
      <c r="BI328" s="123" t="n">
        <v>1</v>
      </c>
    </row>
    <row r="329" ht="17" customHeight="1">
      <c r="A329" s="117" t="inlineStr">
        <is>
          <t>HON</t>
        </is>
      </c>
      <c r="B329" s="117" t="inlineStr">
        <is>
          <t>Honeywell International Inc</t>
        </is>
      </c>
      <c r="C329" s="118" t="n">
        <v>0.253</v>
      </c>
      <c r="D329" s="118" t="n">
        <v>3.593</v>
      </c>
      <c r="E329" s="118" t="n">
        <v>0.925</v>
      </c>
      <c r="F329" s="118" t="n">
        <v>3.856</v>
      </c>
      <c r="G329" s="118" t="n">
        <v>0.956</v>
      </c>
      <c r="H329" s="118" t="n">
        <v>0.259</v>
      </c>
      <c r="I329" s="118" t="n">
        <v>1</v>
      </c>
      <c r="J329" s="118" t="n">
        <v>-0.023</v>
      </c>
      <c r="K329" s="118" t="n">
        <v>0.735</v>
      </c>
      <c r="L329" s="121" t="inlineStr">
        <is>
          <t>⚠ MANIPULATOR RISK</t>
        </is>
      </c>
      <c r="M329" s="120" t="n">
        <v>-0.041</v>
      </c>
      <c r="N329" s="120" t="n">
        <v>-0.007</v>
      </c>
      <c r="O329" s="120" t="n">
        <v>-0.01</v>
      </c>
      <c r="P329" s="120" t="n">
        <v>0.756</v>
      </c>
      <c r="Q329" s="120" t="n">
        <v>0.066</v>
      </c>
      <c r="R329" s="117" t="n">
        <v>0</v>
      </c>
      <c r="S329" s="118" t="n">
        <v>-6.488</v>
      </c>
      <c r="T329" s="118" t="n">
        <v>0.002</v>
      </c>
      <c r="U329" s="119" t="inlineStr">
        <is>
          <t>✓ Normal</t>
        </is>
      </c>
      <c r="V329" s="117" t="n">
        <v>1</v>
      </c>
      <c r="W329" s="117" t="n">
        <v>0</v>
      </c>
      <c r="X329" s="117" t="n">
        <v>0</v>
      </c>
      <c r="Y329" s="117" t="n">
        <v>1</v>
      </c>
      <c r="Z329" s="117" t="n">
        <v>0</v>
      </c>
      <c r="AA329" s="117" t="n">
        <v>0</v>
      </c>
      <c r="AB329" s="117" t="n">
        <v>2</v>
      </c>
      <c r="AC329" s="121" t="inlineStr">
        <is>
          <t>⚠ WATCH</t>
        </is>
      </c>
      <c r="AD329" s="118" t="n">
        <v>6408000000</v>
      </c>
      <c r="AE329" s="118" t="n">
        <v>-2711000000</v>
      </c>
      <c r="AF329" s="118" t="n">
        <v>4729000000</v>
      </c>
      <c r="AG329" s="118" t="n">
        <v>0.014</v>
      </c>
      <c r="AH329" s="119" t="inlineStr">
        <is>
          <t>✓ Medium Quality</t>
        </is>
      </c>
      <c r="AI329" s="118" t="n">
        <v>-0.025</v>
      </c>
      <c r="AJ329" s="120" t="n">
        <v>2.856</v>
      </c>
      <c r="AK329" s="120" t="n">
        <v>-0.008999999999999999</v>
      </c>
      <c r="AL329" s="120" t="n">
        <v>0.175</v>
      </c>
      <c r="AM329" s="120" t="n">
        <v>0.033</v>
      </c>
      <c r="AN329" s="117" t="n">
        <v>100</v>
      </c>
      <c r="AO329" s="119" t="inlineStr">
        <is>
          <t>✓ Good</t>
        </is>
      </c>
      <c r="AP329" s="117" t="n">
        <v>0</v>
      </c>
      <c r="AQ329" s="117" t="n">
        <v>0</v>
      </c>
      <c r="AR329" s="117" t="n">
        <v>1</v>
      </c>
      <c r="AS329" s="117" t="n">
        <v>0</v>
      </c>
      <c r="AT329" s="117" t="n">
        <v>1</v>
      </c>
      <c r="AU329" s="117" t="n">
        <v>1</v>
      </c>
      <c r="AV329" s="117" t="n">
        <v>3</v>
      </c>
      <c r="AW329" s="121" t="inlineStr">
        <is>
          <t>⚠ WATCH</t>
        </is>
      </c>
      <c r="AX329" s="118" t="n">
        <v>26.4</v>
      </c>
      <c r="AY329" s="119" t="inlineStr">
        <is>
          <t>🟢 LOW RISK</t>
        </is>
      </c>
      <c r="AZ329" s="118" t="n">
        <v>76.09999999999999</v>
      </c>
      <c r="BA329" s="118" t="n">
        <v>301.3</v>
      </c>
      <c r="BB329" s="118" t="n">
        <v>95.2</v>
      </c>
      <c r="BC329" s="118" t="n">
        <v>98.59999999999999</v>
      </c>
      <c r="BD329" s="118" t="n">
        <v>97.59999999999999</v>
      </c>
      <c r="BE329" s="118" t="n">
        <v>105.4</v>
      </c>
      <c r="BF329" s="120" t="n">
        <v>0.184</v>
      </c>
      <c r="BG329" s="117" t="n">
        <v>0.756</v>
      </c>
      <c r="BH329" s="122" t="n">
        <v>5</v>
      </c>
      <c r="BI329" s="123" t="n">
        <v>1</v>
      </c>
    </row>
    <row r="330" ht="17" customHeight="1">
      <c r="A330" s="117" t="inlineStr">
        <is>
          <t>IR</t>
        </is>
      </c>
      <c r="B330" s="117" t="inlineStr">
        <is>
          <t>Ingersoll Rand Inc.</t>
        </is>
      </c>
      <c r="C330" s="118" t="n">
        <v>0.928</v>
      </c>
      <c r="D330" s="118" t="n">
        <v>1.164</v>
      </c>
      <c r="E330" s="118" t="n">
        <v>0.993</v>
      </c>
      <c r="F330" s="118" t="n">
        <v>1.225</v>
      </c>
      <c r="G330" s="118" t="n">
        <v>1.034</v>
      </c>
      <c r="H330" s="118" t="n">
        <v>0.874</v>
      </c>
      <c r="I330" s="118" t="n">
        <v>1.032</v>
      </c>
      <c r="J330" s="118" t="n">
        <v>-0.042</v>
      </c>
      <c r="K330" s="118" t="n">
        <v>-2.445</v>
      </c>
      <c r="L330" s="119" t="inlineStr">
        <is>
          <t>✓ Lower Risk</t>
        </is>
      </c>
      <c r="M330" s="120" t="n">
        <v>-0.021</v>
      </c>
      <c r="N330" s="120" t="n">
        <v>0.419</v>
      </c>
      <c r="O330" s="120" t="n">
        <v>0.27</v>
      </c>
      <c r="P330" s="120" t="n">
        <v>0.881</v>
      </c>
      <c r="Q330" s="120" t="n">
        <v>-0.015</v>
      </c>
      <c r="R330" s="117" t="n">
        <v>0</v>
      </c>
      <c r="S330" s="118" t="n">
        <v>-4.783</v>
      </c>
      <c r="T330" s="118" t="n">
        <v>0.008</v>
      </c>
      <c r="U330" s="119" t="inlineStr">
        <is>
          <t>✓ Normal</t>
        </is>
      </c>
      <c r="V330" s="117" t="n">
        <v>0</v>
      </c>
      <c r="W330" s="117" t="n">
        <v>0</v>
      </c>
      <c r="X330" s="117" t="n">
        <v>0</v>
      </c>
      <c r="Y330" s="117" t="n">
        <v>1</v>
      </c>
      <c r="Z330" s="117" t="n">
        <v>0</v>
      </c>
      <c r="AA330" s="117" t="n">
        <v>0</v>
      </c>
      <c r="AB330" s="117" t="n">
        <v>1</v>
      </c>
      <c r="AC330" s="119" t="inlineStr">
        <is>
          <t>✓ Clean</t>
        </is>
      </c>
      <c r="AD330" s="118" t="n">
        <v>1355700000</v>
      </c>
      <c r="AE330" s="118" t="n">
        <v>-660600000</v>
      </c>
      <c r="AF330" s="118" t="n">
        <v>581400000</v>
      </c>
      <c r="AG330" s="118" t="n">
        <v>-0.006</v>
      </c>
      <c r="AH330" s="119" t="inlineStr">
        <is>
          <t>✓ Medium Quality</t>
        </is>
      </c>
      <c r="AI330" s="118" t="n">
        <v>0.137</v>
      </c>
      <c r="AJ330" s="120" t="n">
        <v>0.225</v>
      </c>
      <c r="AK330" s="120" t="n">
        <v>0.608</v>
      </c>
      <c r="AL330" s="120" t="n">
        <v>0.571</v>
      </c>
      <c r="AM330" s="120" t="n">
        <v>0.012</v>
      </c>
      <c r="AN330" s="117" t="n">
        <v>100</v>
      </c>
      <c r="AO330" s="119" t="inlineStr">
        <is>
          <t>✓ Good</t>
        </is>
      </c>
      <c r="AP330" s="117" t="n">
        <v>0</v>
      </c>
      <c r="AQ330" s="117" t="n">
        <v>0</v>
      </c>
      <c r="AR330" s="117" t="n">
        <v>1</v>
      </c>
      <c r="AS330" s="117" t="n">
        <v>0</v>
      </c>
      <c r="AT330" s="117" t="n">
        <v>1</v>
      </c>
      <c r="AU330" s="117" t="n">
        <v>0</v>
      </c>
      <c r="AV330" s="117" t="n">
        <v>2</v>
      </c>
      <c r="AW330" s="121" t="inlineStr">
        <is>
          <t>⚠ WATCH</t>
        </is>
      </c>
      <c r="AX330" s="118" t="n">
        <v>13.6</v>
      </c>
      <c r="AY330" s="119" t="inlineStr">
        <is>
          <t>🟢 VERY LOW RISK</t>
        </is>
      </c>
      <c r="AZ330" s="118" t="n">
        <v>233.3</v>
      </c>
      <c r="BA330" s="118" t="n">
        <v>251.3</v>
      </c>
      <c r="BB330" s="118" t="n">
        <v>99.2</v>
      </c>
      <c r="BC330" s="118" t="n">
        <v>94.7</v>
      </c>
      <c r="BD330" s="118" t="n">
        <v>84.3</v>
      </c>
      <c r="BE330" s="118" t="n">
        <v>75.7</v>
      </c>
      <c r="BF330" s="120" t="n">
        <v>0.428</v>
      </c>
      <c r="BG330" s="117" t="n">
        <v>0.881</v>
      </c>
      <c r="BH330" s="122" t="n">
        <v>3</v>
      </c>
      <c r="BI330" s="123" t="n">
        <v>1</v>
      </c>
    </row>
    <row r="331" ht="17" customHeight="1">
      <c r="A331" s="117" t="inlineStr">
        <is>
          <t>SCI</t>
        </is>
      </c>
      <c r="B331" s="117" t="inlineStr">
        <is>
          <t>SERVICE CORPORATION INTERNATIONAL</t>
        </is>
      </c>
      <c r="C331" s="118" t="n">
        <v>1.034</v>
      </c>
      <c r="D331" s="118" t="n">
        <v>0.985</v>
      </c>
      <c r="E331" s="118" t="n">
        <v>1.001</v>
      </c>
      <c r="F331" s="118" t="n">
        <v>1.029</v>
      </c>
      <c r="G331" s="118" t="n">
        <v>0.971</v>
      </c>
      <c r="H331" s="118" t="n">
        <v>1.161</v>
      </c>
      <c r="I331" s="118" t="n">
        <v>1</v>
      </c>
      <c r="J331" s="118" t="n">
        <v>-0.021</v>
      </c>
      <c r="K331" s="118" t="n">
        <v>-2.562</v>
      </c>
      <c r="L331" s="119" t="inlineStr">
        <is>
          <t>✓ Lower Risk</t>
        </is>
      </c>
      <c r="M331" s="120" t="n">
        <v>-0.01</v>
      </c>
      <c r="N331" s="120" t="n">
        <v>0.049</v>
      </c>
      <c r="O331" s="120" t="n">
        <v>0.016</v>
      </c>
      <c r="P331" s="120" t="n">
        <v>0.839</v>
      </c>
      <c r="Q331" s="120" t="n">
        <v>-0.001</v>
      </c>
      <c r="R331" s="117" t="n">
        <v>0</v>
      </c>
      <c r="S331" s="118" t="n">
        <v>-6.096</v>
      </c>
      <c r="T331" s="118" t="n">
        <v>0.002</v>
      </c>
      <c r="U331" s="119" t="inlineStr">
        <is>
          <t>✓ Normal</t>
        </is>
      </c>
      <c r="V331" s="117" t="n">
        <v>1</v>
      </c>
      <c r="W331" s="117" t="n">
        <v>1</v>
      </c>
      <c r="X331" s="117" t="n">
        <v>1</v>
      </c>
      <c r="Y331" s="117" t="n">
        <v>0</v>
      </c>
      <c r="Z331" s="117" t="n">
        <v>0</v>
      </c>
      <c r="AA331" s="117" t="n">
        <v>0</v>
      </c>
      <c r="AB331" s="117" t="n">
        <v>3</v>
      </c>
      <c r="AC331" s="121" t="inlineStr">
        <is>
          <t>⚠ WATCH</t>
        </is>
      </c>
      <c r="AD331" s="118" t="n">
        <v>942798000</v>
      </c>
      <c r="AE331" s="118" t="n">
        <v>-548284000</v>
      </c>
      <c r="AF331" s="118" t="n">
        <v>542614000</v>
      </c>
      <c r="AG331" s="118" t="n">
        <v>0.008</v>
      </c>
      <c r="AH331" s="119" t="inlineStr">
        <is>
          <t>✓ Medium Quality</t>
        </is>
      </c>
      <c r="AI331" s="118" t="n">
        <v>0.064</v>
      </c>
      <c r="AJ331" s="120" t="n">
        <v>0.029</v>
      </c>
      <c r="AK331" s="120" t="n">
        <v>2.194</v>
      </c>
      <c r="AL331" s="120" t="n">
        <v>0.219</v>
      </c>
      <c r="AM331" s="120" t="n">
        <v>0.006</v>
      </c>
      <c r="AN331" s="118" t="n">
        <v>70.3</v>
      </c>
      <c r="AO331" s="119" t="inlineStr">
        <is>
          <t>✓ Good</t>
        </is>
      </c>
      <c r="AP331" s="117" t="n">
        <v>0</v>
      </c>
      <c r="AQ331" s="117" t="n">
        <v>0</v>
      </c>
      <c r="AR331" s="117" t="n">
        <v>0</v>
      </c>
      <c r="AS331" s="117" t="n">
        <v>1</v>
      </c>
      <c r="AT331" s="117" t="n">
        <v>0</v>
      </c>
      <c r="AU331" s="117" t="n">
        <v>0</v>
      </c>
      <c r="AV331" s="117" t="n">
        <v>1</v>
      </c>
      <c r="AW331" s="119" t="inlineStr">
        <is>
          <t>✓ Clean</t>
        </is>
      </c>
      <c r="AX331" s="118" t="n">
        <v>19.7</v>
      </c>
      <c r="AY331" s="119" t="inlineStr">
        <is>
          <t>🟢 VERY LOW RISK</t>
        </is>
      </c>
      <c r="AZ331" s="118" t="n">
        <v>8.5</v>
      </c>
      <c r="BA331" s="118" t="n">
        <v>8.199999999999999</v>
      </c>
      <c r="BB331" s="118" t="n">
        <v>4.1</v>
      </c>
      <c r="BC331" s="118" t="n">
        <v>3.9</v>
      </c>
      <c r="BD331" s="118" t="n">
        <v>78.90000000000001</v>
      </c>
      <c r="BE331" s="118" t="n">
        <v>75.40000000000001</v>
      </c>
      <c r="BF331" s="120" t="n">
        <v>0.256</v>
      </c>
      <c r="BG331" s="117" t="n">
        <v>0.839</v>
      </c>
      <c r="BH331" s="122" t="n">
        <v>4</v>
      </c>
      <c r="BI331" s="123" t="n">
        <v>1</v>
      </c>
    </row>
    <row r="332" ht="17" customHeight="1">
      <c r="A332" s="117" t="inlineStr">
        <is>
          <t>MRK</t>
        </is>
      </c>
      <c r="B332" s="117" t="inlineStr">
        <is>
          <t>Merck &amp; Co., Inc.</t>
        </is>
      </c>
      <c r="C332" s="118" t="n">
        <v>1.131</v>
      </c>
      <c r="D332" s="118" t="n">
        <v>1.02</v>
      </c>
      <c r="E332" s="118" t="n">
        <v>1.067</v>
      </c>
      <c r="F332" s="118" t="n">
        <v>1.013</v>
      </c>
      <c r="G332" s="118" t="n">
        <v>1.267</v>
      </c>
      <c r="H332" s="118" t="n">
        <v>0.979</v>
      </c>
      <c r="I332" s="118" t="n">
        <v>1</v>
      </c>
      <c r="J332" s="118" t="n">
        <v>0.013</v>
      </c>
      <c r="K332" s="118" t="n">
        <v>-2.215</v>
      </c>
      <c r="L332" s="121" t="inlineStr">
        <is>
          <t>⚠ MANIPULATOR RISK</t>
        </is>
      </c>
      <c r="M332" s="120" t="n">
        <v>-0.001</v>
      </c>
      <c r="N332" s="120" t="n">
        <v>1.776</v>
      </c>
      <c r="O332" s="120" t="n">
        <v>0.651</v>
      </c>
      <c r="P332" s="120" t="n">
        <v>0.709</v>
      </c>
      <c r="Q332" s="120" t="n">
        <v>-0.013</v>
      </c>
      <c r="R332" s="117" t="n">
        <v>0</v>
      </c>
      <c r="S332" s="118" t="n">
        <v>-1.239</v>
      </c>
      <c r="T332" s="118" t="n">
        <v>0.225</v>
      </c>
      <c r="U332" s="121" t="inlineStr">
        <is>
          <t>⚠ HIGH RISK</t>
        </is>
      </c>
      <c r="V332" s="117" t="n">
        <v>1</v>
      </c>
      <c r="W332" s="117" t="n">
        <v>1</v>
      </c>
      <c r="X332" s="117" t="n">
        <v>1</v>
      </c>
      <c r="Y332" s="117" t="n">
        <v>0</v>
      </c>
      <c r="Z332" s="117" t="n">
        <v>1</v>
      </c>
      <c r="AA332" s="117" t="n">
        <v>1</v>
      </c>
      <c r="AB332" s="117" t="n">
        <v>5</v>
      </c>
      <c r="AC332" s="121" t="inlineStr">
        <is>
          <t>⚠⚠ SERIOUS CONCERN</t>
        </is>
      </c>
      <c r="AD332" s="118" t="n">
        <v>16472000000</v>
      </c>
      <c r="AE332" s="118" t="n">
        <v>-13741000000</v>
      </c>
      <c r="AF332" s="118" t="n">
        <v>18254000000</v>
      </c>
      <c r="AG332" s="118" t="n">
        <v>0.122</v>
      </c>
      <c r="AH332" s="117" t="inlineStr">
        <is>
          <t>⚠ Low Quality</t>
        </is>
      </c>
      <c r="AI332" s="118" t="n">
        <v>0.146</v>
      </c>
      <c r="AJ332" s="120" t="n">
        <v>0.013</v>
      </c>
      <c r="AK332" s="120" t="n">
        <v>11.087</v>
      </c>
      <c r="AL332" s="120" t="n">
        <v>0.253</v>
      </c>
      <c r="AM332" s="124" t="inlineStr">
        <is>
          <t>N/A</t>
        </is>
      </c>
      <c r="AN332" s="117" t="n">
        <v>70</v>
      </c>
      <c r="AO332" s="119" t="inlineStr">
        <is>
          <t>✓ Good</t>
        </is>
      </c>
      <c r="AP332" s="117" t="n">
        <v>0</v>
      </c>
      <c r="AQ332" s="117" t="n">
        <v>1</v>
      </c>
      <c r="AR332" s="117" t="n">
        <v>1</v>
      </c>
      <c r="AS332" s="117" t="n">
        <v>0</v>
      </c>
      <c r="AT332" s="117" t="n">
        <v>1</v>
      </c>
      <c r="AU332" s="117" t="n">
        <v>1</v>
      </c>
      <c r="AV332" s="117" t="n">
        <v>4</v>
      </c>
      <c r="AW332" s="117" t="inlineStr">
        <is>
          <t>⚠⚠ MULTIPLE RED FLAGS</t>
        </is>
      </c>
      <c r="AX332" s="118" t="n">
        <v>61.8</v>
      </c>
      <c r="AY332" s="121" t="inlineStr">
        <is>
          <t>🟡 ELEVATED RISK</t>
        </is>
      </c>
      <c r="AZ332" s="118" t="n">
        <v>66.09999999999999</v>
      </c>
      <c r="BA332" s="118" t="n">
        <v>58.5</v>
      </c>
      <c r="BB332" s="118" t="n">
        <v>148.3</v>
      </c>
      <c r="BC332" s="118" t="n">
        <v>146.8</v>
      </c>
      <c r="BD332" s="118" t="n">
        <v>98.09999999999999</v>
      </c>
      <c r="BE332" s="118" t="n">
        <v>98</v>
      </c>
      <c r="BF332" s="120" t="n">
        <v>0.133</v>
      </c>
      <c r="BG332" s="117" t="n">
        <v>0.709</v>
      </c>
      <c r="BH332" s="122" t="n">
        <v>9</v>
      </c>
      <c r="BI332" s="123" t="n">
        <v>1</v>
      </c>
    </row>
    <row r="333" ht="17" customHeight="1">
      <c r="A333" s="117" t="inlineStr">
        <is>
          <t>EMR</t>
        </is>
      </c>
      <c r="B333" s="117" t="inlineStr">
        <is>
          <t>EMERSON ELECTRIC CO.</t>
        </is>
      </c>
      <c r="C333" s="118" t="n">
        <v>1.051</v>
      </c>
      <c r="D333" s="118" t="n">
        <v>0.267</v>
      </c>
      <c r="E333" s="118" t="n">
        <v>1.03</v>
      </c>
      <c r="F333" s="118" t="n">
        <v>1.008</v>
      </c>
      <c r="G333" s="118" t="n">
        <v>1.086</v>
      </c>
      <c r="H333" s="118" t="n">
        <v>0.985</v>
      </c>
      <c r="I333" s="118" t="n">
        <v>1</v>
      </c>
      <c r="J333" s="118" t="n">
        <v>-0.019</v>
      </c>
      <c r="K333" s="118" t="n">
        <v>-2.878</v>
      </c>
      <c r="L333" s="119" t="inlineStr">
        <is>
          <t>✓ Lower Risk</t>
        </is>
      </c>
      <c r="M333" s="120" t="n">
        <v>-0.171</v>
      </c>
      <c r="N333" s="120" t="n">
        <v>0.916</v>
      </c>
      <c r="O333" s="120" t="n">
        <v>0.174</v>
      </c>
      <c r="P333" s="120" t="n">
        <v>0.875</v>
      </c>
      <c r="Q333" s="120" t="n">
        <v>0.04</v>
      </c>
      <c r="R333" s="117" t="n">
        <v>0</v>
      </c>
      <c r="S333" s="118" t="n">
        <v>-3.8</v>
      </c>
      <c r="T333" s="118" t="n">
        <v>0.022</v>
      </c>
      <c r="U333" s="119" t="inlineStr">
        <is>
          <t>✓ Normal</t>
        </is>
      </c>
      <c r="V333" s="117" t="n">
        <v>1</v>
      </c>
      <c r="W333" s="117" t="n">
        <v>1</v>
      </c>
      <c r="X333" s="117" t="n">
        <v>1</v>
      </c>
      <c r="Y333" s="117" t="n">
        <v>0</v>
      </c>
      <c r="Z333" s="117" t="n">
        <v>1</v>
      </c>
      <c r="AA333" s="117" t="n">
        <v>0</v>
      </c>
      <c r="AB333" s="117" t="n">
        <v>4</v>
      </c>
      <c r="AC333" s="121" t="inlineStr">
        <is>
          <t>⚠⚠ SERIOUS CONCERN</t>
        </is>
      </c>
      <c r="AD333" s="118" t="n">
        <v>3098000000</v>
      </c>
      <c r="AE333" s="118" t="n">
        <v>-593000000</v>
      </c>
      <c r="AF333" s="118" t="n">
        <v>2293000000</v>
      </c>
      <c r="AG333" s="118" t="n">
        <v>-0.005</v>
      </c>
      <c r="AH333" s="119" t="inlineStr">
        <is>
          <t>✓ Medium Quality</t>
        </is>
      </c>
      <c r="AI333" s="118" t="n">
        <v>0.059</v>
      </c>
      <c r="AJ333" s="120" t="n">
        <v>0.008</v>
      </c>
      <c r="AK333" s="120" t="n">
        <v>7.578</v>
      </c>
      <c r="AL333" s="120" t="n">
        <v>0.127</v>
      </c>
      <c r="AM333" s="120" t="n">
        <v>-0</v>
      </c>
      <c r="AN333" s="118" t="n">
        <v>65.40000000000001</v>
      </c>
      <c r="AO333" s="119" t="inlineStr">
        <is>
          <t>✓ Good</t>
        </is>
      </c>
      <c r="AP333" s="117" t="n">
        <v>0</v>
      </c>
      <c r="AQ333" s="117" t="n">
        <v>0</v>
      </c>
      <c r="AR333" s="117" t="n">
        <v>0</v>
      </c>
      <c r="AS333" s="117" t="n">
        <v>0</v>
      </c>
      <c r="AT333" s="117" t="n">
        <v>1</v>
      </c>
      <c r="AU333" s="117" t="n">
        <v>0</v>
      </c>
      <c r="AV333" s="117" t="n">
        <v>1</v>
      </c>
      <c r="AW333" s="119" t="inlineStr">
        <is>
          <t>✓ Clean</t>
        </is>
      </c>
      <c r="AX333" s="118" t="n">
        <v>25.2</v>
      </c>
      <c r="AY333" s="119" t="inlineStr">
        <is>
          <t>🟢 LOW RISK</t>
        </is>
      </c>
      <c r="AZ333" s="118" t="n">
        <v>46.4</v>
      </c>
      <c r="BA333" s="118" t="n">
        <v>44.1</v>
      </c>
      <c r="BB333" s="118" t="n">
        <v>95.09999999999999</v>
      </c>
      <c r="BC333" s="118" t="n">
        <v>92.40000000000001</v>
      </c>
      <c r="BD333" s="118" t="n">
        <v>59.5</v>
      </c>
      <c r="BE333" s="118" t="n">
        <v>56.6</v>
      </c>
      <c r="BF333" s="120" t="n">
        <v>0.237</v>
      </c>
      <c r="BG333" s="117" t="n">
        <v>0.875</v>
      </c>
      <c r="BH333" s="122" t="n">
        <v>5</v>
      </c>
      <c r="BI333" s="123" t="n">
        <v>1</v>
      </c>
    </row>
    <row r="334" ht="17" customHeight="1">
      <c r="A334" s="117" t="inlineStr">
        <is>
          <t>MMM</t>
        </is>
      </c>
      <c r="B334" s="117" t="inlineStr">
        <is>
          <t>3M COMPANY</t>
        </is>
      </c>
      <c r="C334" s="118" t="n">
        <v>1.09</v>
      </c>
      <c r="D334" s="118" t="n">
        <v>1.033</v>
      </c>
      <c r="E334" s="118" t="n">
        <v>0.907</v>
      </c>
      <c r="F334" s="118" t="n">
        <v>1.015</v>
      </c>
      <c r="G334" s="118" t="n">
        <v>0.964</v>
      </c>
      <c r="H334" s="118" t="n">
        <v>0.9330000000000001</v>
      </c>
      <c r="I334" s="118" t="n">
        <v>0.969</v>
      </c>
      <c r="J334" s="118" t="n">
        <v>0.025</v>
      </c>
      <c r="K334" s="118" t="n">
        <v>-2.27</v>
      </c>
      <c r="L334" s="119" t="inlineStr">
        <is>
          <t>✓ Lower Risk</t>
        </is>
      </c>
      <c r="M334" s="120" t="n">
        <v>0.011</v>
      </c>
      <c r="N334" s="120" t="n">
        <v>0.909</v>
      </c>
      <c r="O334" s="120" t="n">
        <v>-0.099</v>
      </c>
      <c r="P334" s="120" t="n">
        <v>0.748</v>
      </c>
      <c r="Q334" s="120" t="n">
        <v>-0.019</v>
      </c>
      <c r="R334" s="117" t="n">
        <v>0</v>
      </c>
      <c r="S334" s="118" t="n">
        <v>-4.225</v>
      </c>
      <c r="T334" s="118" t="n">
        <v>0.014</v>
      </c>
      <c r="U334" s="119" t="inlineStr">
        <is>
          <t>✓ Normal</t>
        </is>
      </c>
      <c r="V334" s="117" t="n">
        <v>0</v>
      </c>
      <c r="W334" s="117" t="n">
        <v>1</v>
      </c>
      <c r="X334" s="117" t="n">
        <v>0</v>
      </c>
      <c r="Y334" s="117" t="n">
        <v>0</v>
      </c>
      <c r="Z334" s="117" t="n">
        <v>0</v>
      </c>
      <c r="AA334" s="117" t="n">
        <v>0</v>
      </c>
      <c r="AB334" s="117" t="n">
        <v>1</v>
      </c>
      <c r="AC334" s="119" t="inlineStr">
        <is>
          <t>✓ Clean</t>
        </is>
      </c>
      <c r="AD334" s="118" t="n">
        <v>2306000000</v>
      </c>
      <c r="AE334" s="118" t="n">
        <v>1350000000</v>
      </c>
      <c r="AF334" s="118" t="n">
        <v>3250000000</v>
      </c>
      <c r="AG334" s="118" t="n">
        <v>-0.01</v>
      </c>
      <c r="AH334" s="119" t="inlineStr">
        <is>
          <t>✓ Medium Quality</t>
        </is>
      </c>
      <c r="AI334" s="118" t="n">
        <v>0.106</v>
      </c>
      <c r="AJ334" s="120" t="n">
        <v>0.015</v>
      </c>
      <c r="AK334" s="120" t="n">
        <v>6.993</v>
      </c>
      <c r="AL334" s="120" t="n">
        <v>0.092</v>
      </c>
      <c r="AM334" s="120" t="n">
        <v>-0.002</v>
      </c>
      <c r="AN334" s="118" t="n">
        <v>58.4</v>
      </c>
      <c r="AO334" s="121" t="inlineStr">
        <is>
          <t>⚠ WATCH</t>
        </is>
      </c>
      <c r="AP334" s="117" t="n">
        <v>0</v>
      </c>
      <c r="AQ334" s="117" t="n">
        <v>0</v>
      </c>
      <c r="AR334" s="117" t="n">
        <v>1</v>
      </c>
      <c r="AS334" s="117" t="n">
        <v>0</v>
      </c>
      <c r="AT334" s="117" t="n">
        <v>1</v>
      </c>
      <c r="AU334" s="117" t="n">
        <v>0</v>
      </c>
      <c r="AV334" s="117" t="n">
        <v>2</v>
      </c>
      <c r="AW334" s="121" t="inlineStr">
        <is>
          <t>⚠ WATCH</t>
        </is>
      </c>
      <c r="AX334" s="118" t="n">
        <v>17.2</v>
      </c>
      <c r="AY334" s="119" t="inlineStr">
        <is>
          <t>🟢 VERY LOW RISK</t>
        </is>
      </c>
      <c r="AZ334" s="118" t="n">
        <v>51.7</v>
      </c>
      <c r="BA334" s="118" t="n">
        <v>47.4</v>
      </c>
      <c r="BB334" s="118" t="n">
        <v>89.09999999999999</v>
      </c>
      <c r="BC334" s="118" t="n">
        <v>93.40000000000001</v>
      </c>
      <c r="BD334" s="118" t="n">
        <v>65.8</v>
      </c>
      <c r="BE334" s="118" t="n">
        <v>67.2</v>
      </c>
      <c r="BF334" s="120" t="n">
        <v>0.238</v>
      </c>
      <c r="BG334" s="117" t="n">
        <v>0.748</v>
      </c>
      <c r="BH334" s="122" t="n">
        <v>3</v>
      </c>
      <c r="BI334" s="123" t="n">
        <v>1</v>
      </c>
    </row>
    <row r="335" ht="17" customHeight="1">
      <c r="A335" s="117" t="inlineStr">
        <is>
          <t>FULT</t>
        </is>
      </c>
      <c r="B335" s="117" t="inlineStr">
        <is>
          <t>FULTON FINANCIAL CORP</t>
        </is>
      </c>
      <c r="C335" s="124" t="inlineStr">
        <is>
          <t>N/A</t>
        </is>
      </c>
      <c r="D335" s="124" t="inlineStr">
        <is>
          <t>N/A</t>
        </is>
      </c>
      <c r="E335" s="118" t="n">
        <v>1.001</v>
      </c>
      <c r="F335" s="118" t="n">
        <v>0.9350000000000001</v>
      </c>
      <c r="G335" s="118" t="n">
        <v>1.201</v>
      </c>
      <c r="H335" s="124" t="inlineStr">
        <is>
          <t>N/A</t>
        </is>
      </c>
      <c r="I335" s="118" t="n">
        <v>0.99</v>
      </c>
      <c r="J335" s="118" t="n">
        <v>0.003</v>
      </c>
      <c r="K335" s="124" t="inlineStr">
        <is>
          <t>N/A</t>
        </is>
      </c>
      <c r="L335" s="124" t="inlineStr">
        <is>
          <t>N/A</t>
        </is>
      </c>
      <c r="M335" s="124" t="inlineStr">
        <is>
          <t>N/A</t>
        </is>
      </c>
      <c r="N335" s="124" t="inlineStr">
        <is>
          <t>N/A</t>
        </is>
      </c>
      <c r="O335" s="124" t="inlineStr">
        <is>
          <t>N/A</t>
        </is>
      </c>
      <c r="P335" s="120" t="n">
        <v>0.995</v>
      </c>
      <c r="Q335" s="120" t="n">
        <v>0.003</v>
      </c>
      <c r="R335" s="117" t="n">
        <v>1</v>
      </c>
      <c r="S335" s="124" t="inlineStr">
        <is>
          <t>N/A</t>
        </is>
      </c>
      <c r="T335" s="124" t="inlineStr">
        <is>
          <t>N/A</t>
        </is>
      </c>
      <c r="U335" s="124" t="inlineStr">
        <is>
          <t>N/A</t>
        </is>
      </c>
      <c r="V335" s="117" t="n">
        <v>1</v>
      </c>
      <c r="W335" s="117" t="n">
        <v>0</v>
      </c>
      <c r="X335" s="117" t="n">
        <v>0</v>
      </c>
      <c r="Y335" s="117" t="n">
        <v>0</v>
      </c>
      <c r="Z335" s="117" t="n">
        <v>1</v>
      </c>
      <c r="AA335" s="117" t="n">
        <v>0</v>
      </c>
      <c r="AB335" s="117" t="n">
        <v>2</v>
      </c>
      <c r="AC335" s="121" t="inlineStr">
        <is>
          <t>⚠ WATCH</t>
        </is>
      </c>
      <c r="AD335" s="118" t="n">
        <v>304483000</v>
      </c>
      <c r="AE335" s="118" t="n">
        <v>-82179000</v>
      </c>
      <c r="AF335" s="118" t="n">
        <v>391609000</v>
      </c>
      <c r="AG335" s="118" t="n">
        <v>0.005</v>
      </c>
      <c r="AH335" s="119" t="inlineStr">
        <is>
          <t>✓ Medium Quality</t>
        </is>
      </c>
      <c r="AI335" s="124" t="inlineStr">
        <is>
          <t>N/A</t>
        </is>
      </c>
      <c r="AJ335" s="120" t="n">
        <v>-0.065</v>
      </c>
      <c r="AK335" s="124" t="inlineStr">
        <is>
          <t>N/A</t>
        </is>
      </c>
      <c r="AL335" s="120" t="n">
        <v>1.1</v>
      </c>
      <c r="AM335" s="120" t="n">
        <v>0.03</v>
      </c>
      <c r="AN335" s="117" t="n">
        <v>100</v>
      </c>
      <c r="AO335" s="119" t="inlineStr">
        <is>
          <t>✓ Good</t>
        </is>
      </c>
      <c r="AP335" s="117" t="n">
        <v>0</v>
      </c>
      <c r="AQ335" s="117" t="n">
        <v>0</v>
      </c>
      <c r="AR335" s="117" t="n">
        <v>0</v>
      </c>
      <c r="AS335" s="117" t="n">
        <v>0</v>
      </c>
      <c r="AT335" s="117" t="n">
        <v>0</v>
      </c>
      <c r="AU335" s="117" t="n">
        <v>0</v>
      </c>
      <c r="AV335" s="117" t="n">
        <v>0</v>
      </c>
      <c r="AW335" s="119" t="inlineStr">
        <is>
          <t>✓ Clean</t>
        </is>
      </c>
      <c r="AX335" s="118" t="n">
        <v>28.8</v>
      </c>
      <c r="AY335" s="119" t="inlineStr">
        <is>
          <t>🟢 LOW RISK</t>
        </is>
      </c>
      <c r="AZ335" s="118" t="n">
        <v>0</v>
      </c>
      <c r="BA335" s="124" t="inlineStr">
        <is>
          <t>N/A</t>
        </is>
      </c>
      <c r="BB335" s="124" t="inlineStr">
        <is>
          <t>N/A</t>
        </is>
      </c>
      <c r="BC335" s="124" t="inlineStr">
        <is>
          <t>N/A</t>
        </is>
      </c>
      <c r="BD335" s="124" t="inlineStr">
        <is>
          <t>N/A</t>
        </is>
      </c>
      <c r="BE335" s="124" t="inlineStr">
        <is>
          <t>N/A</t>
        </is>
      </c>
      <c r="BF335" s="120" t="n">
        <v>0.194</v>
      </c>
      <c r="BG335" s="117" t="n">
        <v>0.995</v>
      </c>
      <c r="BH335" s="122" t="n">
        <v>3</v>
      </c>
      <c r="BI335" s="125" t="n">
        <v>0.6666666666666666</v>
      </c>
    </row>
    <row r="336" ht="17" customHeight="1">
      <c r="A336" s="117" t="inlineStr">
        <is>
          <t>SNDK</t>
        </is>
      </c>
      <c r="B336" s="117" t="inlineStr">
        <is>
          <t>Sandisk Corporation</t>
        </is>
      </c>
      <c r="C336" s="118" t="n">
        <v>1.035</v>
      </c>
      <c r="D336" s="118" t="n">
        <v>0.535</v>
      </c>
      <c r="E336" s="118" t="n">
        <v>0.826</v>
      </c>
      <c r="F336" s="118" t="n">
        <v>1.104</v>
      </c>
      <c r="G336" s="118" t="n">
        <v>1.059</v>
      </c>
      <c r="H336" s="118" t="n">
        <v>1.141</v>
      </c>
      <c r="I336" s="118" t="n">
        <v>1.617</v>
      </c>
      <c r="J336" s="118" t="n">
        <v>-0.133</v>
      </c>
      <c r="K336" s="118" t="n">
        <v>-3.512</v>
      </c>
      <c r="L336" s="119" t="inlineStr">
        <is>
          <t>✓ Lower Risk</t>
        </is>
      </c>
      <c r="M336" s="120" t="n">
        <v>0.07099999999999999</v>
      </c>
      <c r="N336" s="120" t="n">
        <v>0.192</v>
      </c>
      <c r="O336" s="120" t="n">
        <v>0.179</v>
      </c>
      <c r="P336" s="120" t="n">
        <v>0.838</v>
      </c>
      <c r="Q336" s="120" t="n">
        <v>-0.077</v>
      </c>
      <c r="R336" s="117" t="n">
        <v>1</v>
      </c>
      <c r="S336" s="118" t="n">
        <v>-2.373</v>
      </c>
      <c r="T336" s="118" t="n">
        <v>0.08500000000000001</v>
      </c>
      <c r="U336" s="121" t="inlineStr">
        <is>
          <t>⚠ HIGH RISK</t>
        </is>
      </c>
      <c r="V336" s="117" t="n">
        <v>0</v>
      </c>
      <c r="W336" s="117" t="n">
        <v>1</v>
      </c>
      <c r="X336" s="117" t="n">
        <v>0</v>
      </c>
      <c r="Y336" s="117" t="n">
        <v>0</v>
      </c>
      <c r="Z336" s="117" t="n">
        <v>1</v>
      </c>
      <c r="AA336" s="117" t="n">
        <v>0</v>
      </c>
      <c r="AB336" s="117" t="n">
        <v>2</v>
      </c>
      <c r="AC336" s="121" t="inlineStr">
        <is>
          <t>⚠ WATCH</t>
        </is>
      </c>
      <c r="AD336" s="118" t="n">
        <v>84000000</v>
      </c>
      <c r="AE336" s="118" t="n">
        <v>556000000</v>
      </c>
      <c r="AF336" s="118" t="n">
        <v>-1641000000</v>
      </c>
      <c r="AG336" s="118" t="n">
        <v>-0.172</v>
      </c>
      <c r="AH336" s="119" t="inlineStr">
        <is>
          <t>✓ High Quality</t>
        </is>
      </c>
      <c r="AI336" s="118" t="n">
        <v>0.142</v>
      </c>
      <c r="AJ336" s="120" t="n">
        <v>0.104</v>
      </c>
      <c r="AK336" s="120" t="n">
        <v>1.37</v>
      </c>
      <c r="AL336" s="120" t="n">
        <v>0.011</v>
      </c>
      <c r="AM336" s="124" t="inlineStr">
        <is>
          <t>N/A</t>
        </is>
      </c>
      <c r="AN336" s="118" t="n">
        <v>61.2</v>
      </c>
      <c r="AO336" s="121" t="inlineStr">
        <is>
          <t>⚠ WATCH</t>
        </is>
      </c>
      <c r="AP336" s="117" t="n">
        <v>0</v>
      </c>
      <c r="AQ336" s="117" t="n">
        <v>0</v>
      </c>
      <c r="AR336" s="117" t="n">
        <v>0</v>
      </c>
      <c r="AS336" s="117" t="n">
        <v>1</v>
      </c>
      <c r="AT336" s="117" t="n">
        <v>1</v>
      </c>
      <c r="AU336" s="117" t="n">
        <v>0</v>
      </c>
      <c r="AV336" s="117" t="n">
        <v>2</v>
      </c>
      <c r="AW336" s="121" t="inlineStr">
        <is>
          <t>⚠ WATCH</t>
        </is>
      </c>
      <c r="AX336" s="118" t="n">
        <v>30.5</v>
      </c>
      <c r="AY336" s="119" t="inlineStr">
        <is>
          <t>🟢 LOW RISK</t>
        </is>
      </c>
      <c r="AZ336" s="118" t="n">
        <v>53</v>
      </c>
      <c r="BA336" s="118" t="n">
        <v>51.2</v>
      </c>
      <c r="BB336" s="118" t="n">
        <v>147.5</v>
      </c>
      <c r="BC336" s="118" t="n">
        <v>127.6</v>
      </c>
      <c r="BD336" s="118" t="n">
        <v>30.4</v>
      </c>
      <c r="BE336" s="124" t="inlineStr">
        <is>
          <t>N/A</t>
        </is>
      </c>
      <c r="BF336" s="120" t="n">
        <v>-0.11</v>
      </c>
      <c r="BG336" s="117" t="n">
        <v>0.838</v>
      </c>
      <c r="BH336" s="122" t="n">
        <v>5</v>
      </c>
      <c r="BI336" s="123" t="n">
        <v>1</v>
      </c>
    </row>
    <row r="337" ht="17" customHeight="1">
      <c r="A337" s="117" t="inlineStr">
        <is>
          <t>LIN</t>
        </is>
      </c>
      <c r="B337" s="117" t="inlineStr">
        <is>
          <t>LINDE PLC</t>
        </is>
      </c>
      <c r="C337" s="118" t="n">
        <v>1.043</v>
      </c>
      <c r="D337" s="124" t="inlineStr">
        <is>
          <t>N/A</t>
        </is>
      </c>
      <c r="E337" s="118" t="n">
        <v>0.984</v>
      </c>
      <c r="F337" s="118" t="n">
        <v>1.03</v>
      </c>
      <c r="G337" s="118" t="n">
        <v>1.127</v>
      </c>
      <c r="H337" s="118" t="n">
        <v>0.999</v>
      </c>
      <c r="I337" s="118" t="n">
        <v>1.069</v>
      </c>
      <c r="J337" s="118" t="n">
        <v>-0.04</v>
      </c>
      <c r="K337" s="124" t="inlineStr">
        <is>
          <t>N/A</t>
        </is>
      </c>
      <c r="L337" s="124" t="inlineStr">
        <is>
          <t>N/A</t>
        </is>
      </c>
      <c r="M337" s="120" t="n">
        <v>-0.049</v>
      </c>
      <c r="N337" s="120" t="n">
        <v>0.351</v>
      </c>
      <c r="O337" s="120" t="n">
        <v>0.111</v>
      </c>
      <c r="P337" s="120" t="n">
        <v>0.616</v>
      </c>
      <c r="Q337" s="120" t="n">
        <v>-0.002</v>
      </c>
      <c r="R337" s="117" t="n">
        <v>0</v>
      </c>
      <c r="S337" s="118" t="n">
        <v>-5.696</v>
      </c>
      <c r="T337" s="118" t="n">
        <v>0.003</v>
      </c>
      <c r="U337" s="119" t="inlineStr">
        <is>
          <t>✓ Normal</t>
        </is>
      </c>
      <c r="V337" s="117" t="n">
        <v>0</v>
      </c>
      <c r="W337" s="117" t="n">
        <v>1</v>
      </c>
      <c r="X337" s="117" t="n">
        <v>1</v>
      </c>
      <c r="Y337" s="117" t="n">
        <v>0</v>
      </c>
      <c r="Z337" s="117" t="n">
        <v>1</v>
      </c>
      <c r="AA337" s="117" t="n">
        <v>0</v>
      </c>
      <c r="AB337" s="117" t="n">
        <v>3</v>
      </c>
      <c r="AC337" s="121" t="inlineStr">
        <is>
          <t>⚠ WATCH</t>
        </is>
      </c>
      <c r="AD337" s="118" t="n">
        <v>10350000000</v>
      </c>
      <c r="AE337" s="118" t="n">
        <v>-5721000000</v>
      </c>
      <c r="AF337" s="118" t="n">
        <v>6898000000</v>
      </c>
      <c r="AG337" s="118" t="n">
        <v>0.027</v>
      </c>
      <c r="AH337" s="119" t="inlineStr">
        <is>
          <t>✓ Medium Quality</t>
        </is>
      </c>
      <c r="AI337" s="118" t="n">
        <v>0.074</v>
      </c>
      <c r="AJ337" s="120" t="n">
        <v>0.03</v>
      </c>
      <c r="AK337" s="120" t="n">
        <v>2.504</v>
      </c>
      <c r="AL337" s="120" t="n">
        <v>0.305</v>
      </c>
      <c r="AM337" s="120" t="n">
        <v>0.001</v>
      </c>
      <c r="AN337" s="118" t="n">
        <v>70.09999999999999</v>
      </c>
      <c r="AO337" s="119" t="inlineStr">
        <is>
          <t>✓ Good</t>
        </is>
      </c>
      <c r="AP337" s="117" t="n">
        <v>0</v>
      </c>
      <c r="AQ337" s="117" t="n">
        <v>0</v>
      </c>
      <c r="AR337" s="117" t="n">
        <v>0</v>
      </c>
      <c r="AS337" s="117" t="n">
        <v>0</v>
      </c>
      <c r="AT337" s="117" t="n">
        <v>1</v>
      </c>
      <c r="AU337" s="117" t="n">
        <v>0</v>
      </c>
      <c r="AV337" s="117" t="n">
        <v>1</v>
      </c>
      <c r="AW337" s="119" t="inlineStr">
        <is>
          <t>✓ Clean</t>
        </is>
      </c>
      <c r="AX337" s="118" t="n">
        <v>27.9</v>
      </c>
      <c r="AY337" s="119" t="inlineStr">
        <is>
          <t>🟢 LOW RISK</t>
        </is>
      </c>
      <c r="AZ337" s="118" t="n">
        <v>53.3</v>
      </c>
      <c r="BA337" s="118" t="n">
        <v>51.1</v>
      </c>
      <c r="BB337" s="124" t="inlineStr">
        <is>
          <t>N/A</t>
        </is>
      </c>
      <c r="BC337" s="124" t="inlineStr">
        <is>
          <t>N/A</t>
        </is>
      </c>
      <c r="BD337" s="124" t="inlineStr">
        <is>
          <t>N/A</t>
        </is>
      </c>
      <c r="BE337" s="124" t="inlineStr">
        <is>
          <t>N/A</t>
        </is>
      </c>
      <c r="BF337" s="120" t="n">
        <v>0.678</v>
      </c>
      <c r="BG337" s="117" t="n">
        <v>0.616</v>
      </c>
      <c r="BH337" s="122" t="n">
        <v>4</v>
      </c>
      <c r="BI337" s="123" t="n">
        <v>0.8333333333333334</v>
      </c>
    </row>
    <row r="338" ht="17" customHeight="1">
      <c r="A338" s="117" t="inlineStr">
        <is>
          <t>IBM</t>
        </is>
      </c>
      <c r="B338" s="117" t="inlineStr">
        <is>
          <t>INTERNATIONAL BUSINESS MACHINES CORP</t>
        </is>
      </c>
      <c r="C338" s="118" t="n">
        <v>1.108</v>
      </c>
      <c r="D338" s="118" t="n">
        <v>0.974</v>
      </c>
      <c r="E338" s="118" t="n">
        <v>1.021</v>
      </c>
      <c r="F338" s="118" t="n">
        <v>1.076</v>
      </c>
      <c r="G338" s="118" t="n">
        <v>0.92</v>
      </c>
      <c r="H338" s="118" t="n">
        <v>0.95</v>
      </c>
      <c r="I338" s="118" t="n">
        <v>0.98</v>
      </c>
      <c r="J338" s="118" t="n">
        <v>-0.017</v>
      </c>
      <c r="K338" s="118" t="n">
        <v>-2.393</v>
      </c>
      <c r="L338" s="119" t="inlineStr">
        <is>
          <t>✓ Lower Risk</t>
        </is>
      </c>
      <c r="M338" s="120" t="n">
        <v>-0.033</v>
      </c>
      <c r="N338" s="120" t="n">
        <v>0.274</v>
      </c>
      <c r="O338" s="120" t="n">
        <v>-0.014</v>
      </c>
      <c r="P338" s="120" t="n">
        <v>0.875</v>
      </c>
      <c r="Q338" s="120" t="n">
        <v>0.026</v>
      </c>
      <c r="R338" s="117" t="n">
        <v>1</v>
      </c>
      <c r="S338" s="118" t="n">
        <v>-2.452</v>
      </c>
      <c r="T338" s="118" t="n">
        <v>0.079</v>
      </c>
      <c r="U338" s="121" t="inlineStr">
        <is>
          <t>⚠ HIGH RISK</t>
        </is>
      </c>
      <c r="V338" s="117" t="n">
        <v>1</v>
      </c>
      <c r="W338" s="117" t="n">
        <v>1</v>
      </c>
      <c r="X338" s="117" t="n">
        <v>0</v>
      </c>
      <c r="Y338" s="117" t="n">
        <v>0</v>
      </c>
      <c r="Z338" s="117" t="n">
        <v>1</v>
      </c>
      <c r="AA338" s="117" t="n">
        <v>1</v>
      </c>
      <c r="AB338" s="117" t="n">
        <v>4</v>
      </c>
      <c r="AC338" s="121" t="inlineStr">
        <is>
          <t>⚠⚠ SERIOUS CONCERN</t>
        </is>
      </c>
      <c r="AD338" s="118" t="n">
        <v>13193000000</v>
      </c>
      <c r="AE338" s="118" t="n">
        <v>-10302000000</v>
      </c>
      <c r="AF338" s="118" t="n">
        <v>10593000000</v>
      </c>
      <c r="AG338" s="118" t="n">
        <v>0.053</v>
      </c>
      <c r="AH338" s="119" t="inlineStr">
        <is>
          <t>✓ Medium Quality</t>
        </is>
      </c>
      <c r="AI338" s="118" t="n">
        <v>0.192</v>
      </c>
      <c r="AJ338" s="120" t="n">
        <v>0.076</v>
      </c>
      <c r="AK338" s="120" t="n">
        <v>2.523</v>
      </c>
      <c r="AL338" s="120" t="n">
        <v>0.195</v>
      </c>
      <c r="AM338" s="120" t="n">
        <v>0.032</v>
      </c>
      <c r="AN338" s="118" t="n">
        <v>71.59999999999999</v>
      </c>
      <c r="AO338" s="119" t="inlineStr">
        <is>
          <t>✓ Good</t>
        </is>
      </c>
      <c r="AP338" s="117" t="n">
        <v>0</v>
      </c>
      <c r="AQ338" s="117" t="n">
        <v>0</v>
      </c>
      <c r="AR338" s="117" t="n">
        <v>0</v>
      </c>
      <c r="AS338" s="117" t="n">
        <v>0</v>
      </c>
      <c r="AT338" s="117" t="n">
        <v>1</v>
      </c>
      <c r="AU338" s="117" t="n">
        <v>0</v>
      </c>
      <c r="AV338" s="117" t="n">
        <v>1</v>
      </c>
      <c r="AW338" s="119" t="inlineStr">
        <is>
          <t>✓ Clean</t>
        </is>
      </c>
      <c r="AX338" s="118" t="n">
        <v>35.9</v>
      </c>
      <c r="AY338" s="119" t="inlineStr">
        <is>
          <t>🟢 LOW RISK</t>
        </is>
      </c>
      <c r="AZ338" s="118" t="n">
        <v>43.8</v>
      </c>
      <c r="BA338" s="118" t="n">
        <v>39.6</v>
      </c>
      <c r="BB338" s="118" t="n">
        <v>15.8</v>
      </c>
      <c r="BC338" s="118" t="n">
        <v>17.3</v>
      </c>
      <c r="BD338" s="118" t="n">
        <v>61.5</v>
      </c>
      <c r="BE338" s="118" t="n">
        <v>54.1</v>
      </c>
      <c r="BF338" s="120" t="n">
        <v>-0.023</v>
      </c>
      <c r="BG338" s="117" t="n">
        <v>0.875</v>
      </c>
      <c r="BH338" s="122" t="n">
        <v>6</v>
      </c>
      <c r="BI338" s="123" t="n">
        <v>1</v>
      </c>
    </row>
    <row r="339" ht="17" customHeight="1">
      <c r="A339" s="117" t="inlineStr">
        <is>
          <t>BOX</t>
        </is>
      </c>
      <c r="B339" s="117" t="inlineStr">
        <is>
          <t>Box, Inc.</t>
        </is>
      </c>
      <c r="C339" s="118" t="n">
        <v>0.875</v>
      </c>
      <c r="D339" s="118" t="n">
        <v>1.174</v>
      </c>
      <c r="E339" s="118" t="n">
        <v>1.249</v>
      </c>
      <c r="F339" s="118" t="n">
        <v>1.27</v>
      </c>
      <c r="G339" s="118" t="n">
        <v>0.8100000000000001</v>
      </c>
      <c r="H339" s="118" t="n">
        <v>0.865</v>
      </c>
      <c r="I339" s="118" t="n">
        <v>0.99</v>
      </c>
      <c r="J339" s="118" t="n">
        <v>-0.156</v>
      </c>
      <c r="K339" s="118" t="n">
        <v>-2.887</v>
      </c>
      <c r="L339" s="119" t="inlineStr">
        <is>
          <t>✓ Lower Risk</t>
        </is>
      </c>
      <c r="M339" s="120" t="n">
        <v>0.08400000000000001</v>
      </c>
      <c r="N339" s="120" t="n">
        <v>0.302</v>
      </c>
      <c r="O339" s="124" t="inlineStr">
        <is>
          <t>N/A</t>
        </is>
      </c>
      <c r="P339" s="120" t="n">
        <v>0.742</v>
      </c>
      <c r="Q339" s="120" t="n">
        <v>-0.07199999999999999</v>
      </c>
      <c r="R339" s="117" t="n">
        <v>0</v>
      </c>
      <c r="S339" s="118" t="n">
        <v>-5.568</v>
      </c>
      <c r="T339" s="118" t="n">
        <v>0.004</v>
      </c>
      <c r="U339" s="119" t="inlineStr">
        <is>
          <t>✓ Normal</t>
        </is>
      </c>
      <c r="V339" s="117" t="n">
        <v>0</v>
      </c>
      <c r="W339" s="117" t="n">
        <v>0</v>
      </c>
      <c r="X339" s="117" t="n">
        <v>0</v>
      </c>
      <c r="Y339" s="117" t="n">
        <v>1</v>
      </c>
      <c r="Z339" s="117" t="n">
        <v>0</v>
      </c>
      <c r="AA339" s="117" t="n">
        <v>0</v>
      </c>
      <c r="AB339" s="117" t="n">
        <v>1</v>
      </c>
      <c r="AC339" s="119" t="inlineStr">
        <is>
          <t>✓ Clean</t>
        </is>
      </c>
      <c r="AD339" s="118" t="n">
        <v>356450000</v>
      </c>
      <c r="AE339" s="118" t="n">
        <v>-42702000</v>
      </c>
      <c r="AF339" s="118" t="n">
        <v>115383000</v>
      </c>
      <c r="AG339" s="118" t="n">
        <v>-0.123</v>
      </c>
      <c r="AH339" s="119" t="inlineStr">
        <is>
          <t>✓ High Quality</t>
        </is>
      </c>
      <c r="AI339" s="118" t="n">
        <v>0.111</v>
      </c>
      <c r="AJ339" s="120" t="n">
        <v>0.27</v>
      </c>
      <c r="AK339" s="120" t="n">
        <v>0.411</v>
      </c>
      <c r="AL339" s="120" t="n">
        <v>0.704</v>
      </c>
      <c r="AM339" s="120" t="n">
        <v>0.125</v>
      </c>
      <c r="AN339" s="117" t="n">
        <v>100</v>
      </c>
      <c r="AO339" s="119" t="inlineStr">
        <is>
          <t>✓ Good</t>
        </is>
      </c>
      <c r="AP339" s="117" t="n">
        <v>0</v>
      </c>
      <c r="AQ339" s="117" t="n">
        <v>0</v>
      </c>
      <c r="AR339" s="117" t="n">
        <v>1</v>
      </c>
      <c r="AS339" s="117" t="n">
        <v>0</v>
      </c>
      <c r="AT339" s="117" t="n">
        <v>1</v>
      </c>
      <c r="AU339" s="117" t="n">
        <v>0</v>
      </c>
      <c r="AV339" s="117" t="n">
        <v>2</v>
      </c>
      <c r="AW339" s="121" t="inlineStr">
        <is>
          <t>⚠ WATCH</t>
        </is>
      </c>
      <c r="AX339" s="118" t="n">
        <v>13.9</v>
      </c>
      <c r="AY339" s="119" t="inlineStr">
        <is>
          <t>🟢 VERY LOW RISK</t>
        </is>
      </c>
      <c r="AZ339" s="118" t="n">
        <v>234.5</v>
      </c>
      <c r="BA339" s="118" t="n">
        <v>268</v>
      </c>
      <c r="BB339" s="124" t="inlineStr">
        <is>
          <t>N/A</t>
        </is>
      </c>
      <c r="BC339" s="124" t="inlineStr">
        <is>
          <t>N/A</t>
        </is>
      </c>
      <c r="BD339" s="118" t="n">
        <v>6.8</v>
      </c>
      <c r="BE339" s="118" t="n">
        <v>26.8</v>
      </c>
      <c r="BF339" s="120" t="n">
        <v>-0.169</v>
      </c>
      <c r="BG339" s="117" t="n">
        <v>0.742</v>
      </c>
      <c r="BH339" s="122" t="n">
        <v>3</v>
      </c>
      <c r="BI339" s="123" t="n">
        <v>1</v>
      </c>
    </row>
    <row r="340" ht="17" customHeight="1">
      <c r="A340" s="117" t="inlineStr">
        <is>
          <t>PNC</t>
        </is>
      </c>
      <c r="B340" s="117" t="inlineStr">
        <is>
          <t>PNC FINANCIAL SERVICES GROUP, INC.</t>
        </is>
      </c>
      <c r="C340" s="124" t="inlineStr">
        <is>
          <t>N/A</t>
        </is>
      </c>
      <c r="D340" s="124" t="inlineStr">
        <is>
          <t>N/A</t>
        </is>
      </c>
      <c r="E340" s="118" t="n">
        <v>1</v>
      </c>
      <c r="F340" s="118" t="n">
        <v>1.072</v>
      </c>
      <c r="G340" s="118" t="n">
        <v>0.709</v>
      </c>
      <c r="H340" s="124" t="inlineStr">
        <is>
          <t>N/A</t>
        </is>
      </c>
      <c r="I340" s="118" t="n">
        <v>0.991</v>
      </c>
      <c r="J340" s="118" t="n">
        <v>0.005</v>
      </c>
      <c r="K340" s="124" t="inlineStr">
        <is>
          <t>N/A</t>
        </is>
      </c>
      <c r="L340" s="124" t="inlineStr">
        <is>
          <t>N/A</t>
        </is>
      </c>
      <c r="M340" s="124" t="inlineStr">
        <is>
          <t>N/A</t>
        </is>
      </c>
      <c r="N340" s="124" t="inlineStr">
        <is>
          <t>N/A</t>
        </is>
      </c>
      <c r="O340" s="124" t="inlineStr">
        <is>
          <t>N/A</t>
        </is>
      </c>
      <c r="P340" s="120" t="n">
        <v>0.984</v>
      </c>
      <c r="Q340" s="120" t="n">
        <v>0.002</v>
      </c>
      <c r="R340" s="117" t="n">
        <v>0</v>
      </c>
      <c r="S340" s="124" t="inlineStr">
        <is>
          <t>N/A</t>
        </is>
      </c>
      <c r="T340" s="124" t="inlineStr">
        <is>
          <t>N/A</t>
        </is>
      </c>
      <c r="U340" s="124" t="inlineStr">
        <is>
          <t>N/A</t>
        </is>
      </c>
      <c r="V340" s="117" t="n">
        <v>1</v>
      </c>
      <c r="W340" s="117" t="n">
        <v>0</v>
      </c>
      <c r="X340" s="117" t="n">
        <v>0</v>
      </c>
      <c r="Y340" s="117" t="n">
        <v>0</v>
      </c>
      <c r="Z340" s="117" t="n">
        <v>0</v>
      </c>
      <c r="AA340" s="117" t="n">
        <v>0</v>
      </c>
      <c r="AB340" s="117" t="n">
        <v>1</v>
      </c>
      <c r="AC340" s="119" t="inlineStr">
        <is>
          <t>✓ Clean</t>
        </is>
      </c>
      <c r="AD340" s="118" t="n">
        <v>4384000000</v>
      </c>
      <c r="AE340" s="118" t="n">
        <v>-15617000000</v>
      </c>
      <c r="AF340" s="118" t="n">
        <v>6997000000</v>
      </c>
      <c r="AG340" s="118" t="n">
        <v>0.032</v>
      </c>
      <c r="AH340" s="119" t="inlineStr">
        <is>
          <t>✓ Medium Quality</t>
        </is>
      </c>
      <c r="AI340" s="124" t="inlineStr">
        <is>
          <t>N/A</t>
        </is>
      </c>
      <c r="AJ340" s="120" t="n">
        <v>0.07199999999999999</v>
      </c>
      <c r="AK340" s="124" t="inlineStr">
        <is>
          <t>N/A</t>
        </is>
      </c>
      <c r="AL340" s="120" t="n">
        <v>0.19</v>
      </c>
      <c r="AM340" s="124" t="inlineStr">
        <is>
          <t>N/A</t>
        </is>
      </c>
      <c r="AN340" s="117" t="n">
        <v>100</v>
      </c>
      <c r="AO340" s="119" t="inlineStr">
        <is>
          <t>✓ Good</t>
        </is>
      </c>
      <c r="AP340" s="117" t="n">
        <v>0</v>
      </c>
      <c r="AQ340" s="117" t="n">
        <v>0</v>
      </c>
      <c r="AR340" s="117" t="n">
        <v>0</v>
      </c>
      <c r="AS340" s="117" t="n">
        <v>0</v>
      </c>
      <c r="AT340" s="117" t="n">
        <v>0</v>
      </c>
      <c r="AU340" s="117" t="n">
        <v>1</v>
      </c>
      <c r="AV340" s="117" t="n">
        <v>1</v>
      </c>
      <c r="AW340" s="119" t="inlineStr">
        <is>
          <t>✓ Clean</t>
        </is>
      </c>
      <c r="AX340" s="118" t="n">
        <v>26.8</v>
      </c>
      <c r="AY340" s="119" t="inlineStr">
        <is>
          <t>🟢 LOW RISK</t>
        </is>
      </c>
      <c r="AZ340" s="118" t="n">
        <v>0</v>
      </c>
      <c r="BA340" s="124" t="inlineStr">
        <is>
          <t>N/A</t>
        </is>
      </c>
      <c r="BB340" s="124" t="inlineStr">
        <is>
          <t>N/A</t>
        </is>
      </c>
      <c r="BC340" s="124" t="inlineStr">
        <is>
          <t>N/A</t>
        </is>
      </c>
      <c r="BD340" s="124" t="inlineStr">
        <is>
          <t>N/A</t>
        </is>
      </c>
      <c r="BE340" s="124" t="inlineStr">
        <is>
          <t>N/A</t>
        </is>
      </c>
      <c r="BF340" s="120" t="n">
        <v>0.175</v>
      </c>
      <c r="BG340" s="117" t="n">
        <v>0.984</v>
      </c>
      <c r="BH340" s="122" t="n">
        <v>2</v>
      </c>
      <c r="BI340" s="125" t="n">
        <v>0.6666666666666666</v>
      </c>
    </row>
    <row r="341" ht="17" customHeight="1">
      <c r="A341" s="117" t="inlineStr">
        <is>
          <t>TWLO</t>
        </is>
      </c>
      <c r="B341" s="117" t="inlineStr">
        <is>
          <t>TWILIO INC.</t>
        </is>
      </c>
      <c r="C341" s="118" t="n">
        <v>0.752</v>
      </c>
      <c r="D341" s="118" t="n">
        <v>1.322</v>
      </c>
      <c r="E341" s="118" t="n">
        <v>0.962</v>
      </c>
      <c r="F341" s="118" t="n">
        <v>1.439</v>
      </c>
      <c r="G341" s="118" t="n">
        <v>1.317</v>
      </c>
      <c r="H341" s="118" t="n">
        <v>0.636</v>
      </c>
      <c r="I341" s="118" t="n">
        <v>1.029</v>
      </c>
      <c r="J341" s="118" t="n">
        <v>-0.099</v>
      </c>
      <c r="K341" s="118" t="n">
        <v>-2.537</v>
      </c>
      <c r="L341" s="119" t="inlineStr">
        <is>
          <t>✓ Lower Risk</t>
        </is>
      </c>
      <c r="M341" s="120" t="n">
        <v>-0.04</v>
      </c>
      <c r="N341" s="120" t="n">
        <v>0.396</v>
      </c>
      <c r="O341" s="124" t="inlineStr">
        <is>
          <t>N/A</t>
        </is>
      </c>
      <c r="P341" s="120" t="n">
        <v>0.916</v>
      </c>
      <c r="Q341" s="120" t="n">
        <v>0.015</v>
      </c>
      <c r="R341" s="117" t="n">
        <v>0</v>
      </c>
      <c r="S341" s="118" t="n">
        <v>-5.122</v>
      </c>
      <c r="T341" s="118" t="n">
        <v>0.006</v>
      </c>
      <c r="U341" s="119" t="inlineStr">
        <is>
          <t>✓ Normal</t>
        </is>
      </c>
      <c r="V341" s="117" t="n">
        <v>1</v>
      </c>
      <c r="W341" s="117" t="n">
        <v>0</v>
      </c>
      <c r="X341" s="117" t="n">
        <v>0</v>
      </c>
      <c r="Y341" s="117" t="n">
        <v>1</v>
      </c>
      <c r="Z341" s="117" t="n">
        <v>1</v>
      </c>
      <c r="AA341" s="117" t="n">
        <v>0</v>
      </c>
      <c r="AB341" s="117" t="n">
        <v>3</v>
      </c>
      <c r="AC341" s="121" t="inlineStr">
        <is>
          <t>⚠ WATCH</t>
        </is>
      </c>
      <c r="AD341" s="118" t="n">
        <v>1003244000</v>
      </c>
      <c r="AE341" s="118" t="n">
        <v>80948000</v>
      </c>
      <c r="AF341" s="118" t="n">
        <v>33834000</v>
      </c>
      <c r="AG341" s="118" t="n">
        <v>-0.107</v>
      </c>
      <c r="AH341" s="119" t="inlineStr">
        <is>
          <t>✓ High Quality</t>
        </is>
      </c>
      <c r="AI341" s="118" t="n">
        <v>0.082</v>
      </c>
      <c r="AJ341" s="120" t="n">
        <v>0.439</v>
      </c>
      <c r="AK341" s="120" t="n">
        <v>0.187</v>
      </c>
      <c r="AL341" s="120" t="n">
        <v>2.514</v>
      </c>
      <c r="AM341" s="120" t="n">
        <v>0.008999999999999999</v>
      </c>
      <c r="AN341" s="117" t="n">
        <v>100</v>
      </c>
      <c r="AO341" s="119" t="inlineStr">
        <is>
          <t>✓ Good</t>
        </is>
      </c>
      <c r="AP341" s="117" t="n">
        <v>0</v>
      </c>
      <c r="AQ341" s="117" t="n">
        <v>0</v>
      </c>
      <c r="AR341" s="117" t="n">
        <v>1</v>
      </c>
      <c r="AS341" s="117" t="n">
        <v>0</v>
      </c>
      <c r="AT341" s="117" t="n">
        <v>1</v>
      </c>
      <c r="AU341" s="117" t="n">
        <v>0</v>
      </c>
      <c r="AV341" s="117" t="n">
        <v>2</v>
      </c>
      <c r="AW341" s="121" t="inlineStr">
        <is>
          <t>⚠ WATCH</t>
        </is>
      </c>
      <c r="AX341" s="118" t="n">
        <v>21.6</v>
      </c>
      <c r="AY341" s="119" t="inlineStr">
        <is>
          <t>🟢 LOW RISK</t>
        </is>
      </c>
      <c r="AZ341" s="118" t="n">
        <v>582.4</v>
      </c>
      <c r="BA341" s="118" t="n">
        <v>774.6</v>
      </c>
      <c r="BB341" s="124" t="inlineStr">
        <is>
          <t>N/A</t>
        </is>
      </c>
      <c r="BC341" s="124" t="inlineStr">
        <is>
          <t>N/A</t>
        </is>
      </c>
      <c r="BD341" s="118" t="n">
        <v>12</v>
      </c>
      <c r="BE341" s="118" t="n">
        <v>16.8</v>
      </c>
      <c r="BF341" s="120" t="n">
        <v>0.386</v>
      </c>
      <c r="BG341" s="117" t="n">
        <v>0.916</v>
      </c>
      <c r="BH341" s="122" t="n">
        <v>5</v>
      </c>
      <c r="BI341" s="123" t="n">
        <v>1</v>
      </c>
    </row>
    <row r="342" ht="17" customHeight="1">
      <c r="A342" s="117" t="inlineStr">
        <is>
          <t>EXC</t>
        </is>
      </c>
      <c r="B342" s="117" t="inlineStr">
        <is>
          <t>EXELON CORPORATION</t>
        </is>
      </c>
      <c r="C342" s="118" t="n">
        <v>1.143</v>
      </c>
      <c r="D342" s="118" t="n">
        <v>-1.339</v>
      </c>
      <c r="E342" s="118" t="n">
        <v>0.989</v>
      </c>
      <c r="F342" s="118" t="n">
        <v>1.053</v>
      </c>
      <c r="G342" s="118" t="n">
        <v>1.889</v>
      </c>
      <c r="H342" s="124" t="inlineStr">
        <is>
          <t>N/A</t>
        </is>
      </c>
      <c r="I342" s="118" t="n">
        <v>1.004</v>
      </c>
      <c r="J342" s="118" t="n">
        <v>-0.044</v>
      </c>
      <c r="K342" s="118" t="n">
        <v>-3.471</v>
      </c>
      <c r="L342" s="119" t="inlineStr">
        <is>
          <t>✓ Lower Risk</t>
        </is>
      </c>
      <c r="M342" s="120" t="n">
        <v>-0.027</v>
      </c>
      <c r="N342" s="120" t="n">
        <v>0.454</v>
      </c>
      <c r="O342" s="124" t="inlineStr">
        <is>
          <t>N/A</t>
        </is>
      </c>
      <c r="P342" s="120" t="n">
        <v>0.271</v>
      </c>
      <c r="Q342" s="120" t="n">
        <v>0.007</v>
      </c>
      <c r="R342" s="117" t="n">
        <v>1</v>
      </c>
      <c r="S342" s="118" t="n">
        <v>-3.162</v>
      </c>
      <c r="T342" s="118" t="n">
        <v>0.041</v>
      </c>
      <c r="U342" s="121" t="inlineStr">
        <is>
          <t>⚠ HIGH RISK</t>
        </is>
      </c>
      <c r="V342" s="117" t="n">
        <v>1</v>
      </c>
      <c r="W342" s="117" t="n">
        <v>1</v>
      </c>
      <c r="X342" s="117" t="n">
        <v>0</v>
      </c>
      <c r="Y342" s="117" t="n">
        <v>1</v>
      </c>
      <c r="Z342" s="117" t="n">
        <v>1</v>
      </c>
      <c r="AA342" s="117" t="n">
        <v>0</v>
      </c>
      <c r="AB342" s="117" t="n">
        <v>4</v>
      </c>
      <c r="AC342" s="121" t="inlineStr">
        <is>
          <t>⚠⚠ SERIOUS CONCERN</t>
        </is>
      </c>
      <c r="AD342" s="118" t="n">
        <v>6254000000</v>
      </c>
      <c r="AE342" s="118" t="n">
        <v>-8525000000</v>
      </c>
      <c r="AF342" s="118" t="n">
        <v>1171000000</v>
      </c>
      <c r="AG342" s="118" t="n">
        <v>0.031</v>
      </c>
      <c r="AH342" s="119" t="inlineStr">
        <is>
          <t>✓ Medium Quality</t>
        </is>
      </c>
      <c r="AI342" s="118" t="n">
        <v>0.204</v>
      </c>
      <c r="AJ342" s="120" t="n">
        <v>0.053</v>
      </c>
      <c r="AK342" s="120" t="n">
        <v>3.822</v>
      </c>
      <c r="AL342" s="120" t="n">
        <v>0.258</v>
      </c>
      <c r="AM342" s="120" t="n">
        <v>-0</v>
      </c>
      <c r="AN342" s="118" t="n">
        <v>70</v>
      </c>
      <c r="AO342" s="119" t="inlineStr">
        <is>
          <t>✓ Good</t>
        </is>
      </c>
      <c r="AP342" s="117" t="n">
        <v>0</v>
      </c>
      <c r="AQ342" s="117" t="n">
        <v>0</v>
      </c>
      <c r="AR342" s="117" t="n">
        <v>0</v>
      </c>
      <c r="AS342" s="117" t="n">
        <v>0</v>
      </c>
      <c r="AT342" s="117" t="n">
        <v>0</v>
      </c>
      <c r="AU342" s="117" t="n">
        <v>0</v>
      </c>
      <c r="AV342" s="117" t="n">
        <v>0</v>
      </c>
      <c r="AW342" s="119" t="inlineStr">
        <is>
          <t>✓ Clean</t>
        </is>
      </c>
      <c r="AX342" s="118" t="n">
        <v>25.6</v>
      </c>
      <c r="AY342" s="119" t="inlineStr">
        <is>
          <t>🟢 LOW RISK</t>
        </is>
      </c>
      <c r="AZ342" s="118" t="n">
        <v>49.6</v>
      </c>
      <c r="BA342" s="118" t="n">
        <v>43.4</v>
      </c>
      <c r="BB342" s="124" t="inlineStr">
        <is>
          <t>N/A</t>
        </is>
      </c>
      <c r="BC342" s="124" t="inlineStr">
        <is>
          <t>N/A</t>
        </is>
      </c>
      <c r="BD342" s="118" t="n">
        <v>78.3</v>
      </c>
      <c r="BE342" s="118" t="n">
        <v>44.6</v>
      </c>
      <c r="BF342" s="120" t="n">
        <v>0.159</v>
      </c>
      <c r="BG342" s="117" t="n">
        <v>0.271</v>
      </c>
      <c r="BH342" s="122" t="n">
        <v>5</v>
      </c>
      <c r="BI342" s="123" t="n">
        <v>1</v>
      </c>
    </row>
    <row r="343" ht="17" customHeight="1">
      <c r="A343" s="117" t="inlineStr">
        <is>
          <t>SNA</t>
        </is>
      </c>
      <c r="B343" s="117" t="inlineStr">
        <is>
          <t>Snap-on Inc</t>
        </is>
      </c>
      <c r="C343" s="118" t="n">
        <v>1.071</v>
      </c>
      <c r="D343" s="118" t="n">
        <v>0.257</v>
      </c>
      <c r="E343" s="118" t="n">
        <v>0.967</v>
      </c>
      <c r="F343" s="118" t="n">
        <v>1.009</v>
      </c>
      <c r="G343" s="118" t="n">
        <v>0.996</v>
      </c>
      <c r="H343" s="124" t="inlineStr">
        <is>
          <t>N/A</t>
        </is>
      </c>
      <c r="I343" s="118" t="n">
        <v>0.93</v>
      </c>
      <c r="J343" s="118" t="n">
        <v>-0.008</v>
      </c>
      <c r="K343" s="118" t="n">
        <v>-2.654</v>
      </c>
      <c r="L343" s="119" t="inlineStr">
        <is>
          <t>✓ Lower Risk</t>
        </is>
      </c>
      <c r="M343" s="120" t="n">
        <v>0.011</v>
      </c>
      <c r="N343" s="120" t="n">
        <v>1.379</v>
      </c>
      <c r="O343" s="120" t="n">
        <v>1.715</v>
      </c>
      <c r="P343" s="120" t="n">
        <v>0.748</v>
      </c>
      <c r="Q343" s="120" t="n">
        <v>-0.011</v>
      </c>
      <c r="R343" s="117" t="n">
        <v>1</v>
      </c>
      <c r="S343" s="118" t="n">
        <v>2.191</v>
      </c>
      <c r="T343" s="118" t="n">
        <v>0.899</v>
      </c>
      <c r="U343" s="121" t="inlineStr">
        <is>
          <t>⚠ HIGH RISK</t>
        </is>
      </c>
      <c r="V343" s="117" t="n">
        <v>1</v>
      </c>
      <c r="W343" s="117" t="n">
        <v>1</v>
      </c>
      <c r="X343" s="117" t="n">
        <v>1</v>
      </c>
      <c r="Y343" s="117" t="n">
        <v>1</v>
      </c>
      <c r="Z343" s="117" t="n">
        <v>1</v>
      </c>
      <c r="AA343" s="117" t="n">
        <v>0</v>
      </c>
      <c r="AB343" s="117" t="n">
        <v>5</v>
      </c>
      <c r="AC343" s="121" t="inlineStr">
        <is>
          <t>⚠⚠ SERIOUS CONCERN</t>
        </is>
      </c>
      <c r="AD343" s="118" t="n">
        <v>1081700000</v>
      </c>
      <c r="AE343" s="118" t="n">
        <v>-73100000</v>
      </c>
      <c r="AF343" s="118" t="n">
        <v>1016900000</v>
      </c>
      <c r="AG343" s="118" t="n">
        <v>0.001</v>
      </c>
      <c r="AH343" s="119" t="inlineStr">
        <is>
          <t>✓ Medium Quality</t>
        </is>
      </c>
      <c r="AI343" s="118" t="n">
        <v>0.081</v>
      </c>
      <c r="AJ343" s="120" t="n">
        <v>0.008999999999999999</v>
      </c>
      <c r="AK343" s="120" t="n">
        <v>8.640000000000001</v>
      </c>
      <c r="AL343" s="120" t="n">
        <v>0.21</v>
      </c>
      <c r="AM343" s="120" t="n">
        <v>-0.001</v>
      </c>
      <c r="AN343" s="118" t="n">
        <v>70</v>
      </c>
      <c r="AO343" s="119" t="inlineStr">
        <is>
          <t>✓ Good</t>
        </is>
      </c>
      <c r="AP343" s="117" t="n">
        <v>1</v>
      </c>
      <c r="AQ343" s="117" t="n">
        <v>1</v>
      </c>
      <c r="AR343" s="117" t="n">
        <v>0</v>
      </c>
      <c r="AS343" s="117" t="n">
        <v>0</v>
      </c>
      <c r="AT343" s="117" t="n">
        <v>1</v>
      </c>
      <c r="AU343" s="117" t="n">
        <v>1</v>
      </c>
      <c r="AV343" s="117" t="n">
        <v>4</v>
      </c>
      <c r="AW343" s="117" t="inlineStr">
        <is>
          <t>⚠⚠ MULTIPLE RED FLAGS</t>
        </is>
      </c>
      <c r="AX343" s="118" t="n">
        <v>58.1</v>
      </c>
      <c r="AY343" s="121" t="inlineStr">
        <is>
          <t>🟡 ELEVATED RISK</t>
        </is>
      </c>
      <c r="AZ343" s="118" t="n">
        <v>62.4</v>
      </c>
      <c r="BA343" s="118" t="n">
        <v>58.3</v>
      </c>
      <c r="BB343" s="118" t="n">
        <v>201</v>
      </c>
      <c r="BC343" s="118" t="n">
        <v>200.1</v>
      </c>
      <c r="BD343" s="118" t="n">
        <v>44.9</v>
      </c>
      <c r="BE343" s="118" t="n">
        <v>56.4</v>
      </c>
      <c r="BF343" s="120" t="n">
        <v>0.22</v>
      </c>
      <c r="BG343" s="117" t="n">
        <v>0.748</v>
      </c>
      <c r="BH343" s="122" t="n">
        <v>10</v>
      </c>
      <c r="BI343" s="123" t="n">
        <v>1</v>
      </c>
    </row>
    <row r="344" ht="17" customHeight="1">
      <c r="A344" s="117" t="inlineStr">
        <is>
          <t>PSX</t>
        </is>
      </c>
      <c r="B344" s="117" t="inlineStr">
        <is>
          <t>Phillips 66</t>
        </is>
      </c>
      <c r="C344" s="118" t="n">
        <v>0.958</v>
      </c>
      <c r="D344" s="118" t="n">
        <v>0.749</v>
      </c>
      <c r="E344" s="118" t="n">
        <v>1.037</v>
      </c>
      <c r="F344" s="118" t="n">
        <v>0.925</v>
      </c>
      <c r="G344" s="118" t="n">
        <v>0.986</v>
      </c>
      <c r="H344" s="118" t="n">
        <v>0.9370000000000001</v>
      </c>
      <c r="I344" s="118" t="n">
        <v>0.97</v>
      </c>
      <c r="J344" s="118" t="n">
        <v>-0.008</v>
      </c>
      <c r="K344" s="118" t="n">
        <v>-2.72</v>
      </c>
      <c r="L344" s="119" t="inlineStr">
        <is>
          <t>✓ Lower Risk</t>
        </is>
      </c>
      <c r="M344" s="120" t="n">
        <v>0.002</v>
      </c>
      <c r="N344" s="120" t="n">
        <v>-0.117</v>
      </c>
      <c r="O344" s="120" t="n">
        <v>0.102</v>
      </c>
      <c r="P344" s="120" t="n">
        <v>0.6860000000000001</v>
      </c>
      <c r="Q344" s="120" t="n">
        <v>0.031</v>
      </c>
      <c r="R344" s="117" t="n">
        <v>1</v>
      </c>
      <c r="S344" s="118" t="n">
        <v>-3.647</v>
      </c>
      <c r="T344" s="118" t="n">
        <v>0.025</v>
      </c>
      <c r="U344" s="119" t="inlineStr">
        <is>
          <t>✓ Normal</t>
        </is>
      </c>
      <c r="V344" s="117" t="n">
        <v>1</v>
      </c>
      <c r="W344" s="117" t="n">
        <v>0</v>
      </c>
      <c r="X344" s="117" t="n">
        <v>1</v>
      </c>
      <c r="Y344" s="117" t="n">
        <v>0</v>
      </c>
      <c r="Z344" s="117" t="n">
        <v>1</v>
      </c>
      <c r="AA344" s="117" t="n">
        <v>0</v>
      </c>
      <c r="AB344" s="117" t="n">
        <v>3</v>
      </c>
      <c r="AC344" s="121" t="inlineStr">
        <is>
          <t>⚠ WATCH</t>
        </is>
      </c>
      <c r="AD344" s="118" t="n">
        <v>4962000000</v>
      </c>
      <c r="AE344" s="118" t="n">
        <v>-2097000000</v>
      </c>
      <c r="AF344" s="118" t="n">
        <v>4403000000</v>
      </c>
      <c r="AG344" s="118" t="n">
        <v>0.021</v>
      </c>
      <c r="AH344" s="119" t="inlineStr">
        <is>
          <t>✓ Medium Quality</t>
        </is>
      </c>
      <c r="AI344" s="118" t="n">
        <v>-0.114</v>
      </c>
      <c r="AJ344" s="120" t="n">
        <v>-0.075</v>
      </c>
      <c r="AK344" s="120" t="n">
        <v>1.519</v>
      </c>
      <c r="AL344" s="120" t="n">
        <v>0.037</v>
      </c>
      <c r="AM344" s="120" t="n">
        <v>-0</v>
      </c>
      <c r="AN344" s="118" t="n">
        <v>61.9</v>
      </c>
      <c r="AO344" s="121" t="inlineStr">
        <is>
          <t>⚠ WATCH</t>
        </is>
      </c>
      <c r="AP344" s="117" t="n">
        <v>1</v>
      </c>
      <c r="AQ344" s="117" t="n">
        <v>1</v>
      </c>
      <c r="AR344" s="117" t="n">
        <v>0</v>
      </c>
      <c r="AS344" s="117" t="n">
        <v>0</v>
      </c>
      <c r="AT344" s="117" t="n">
        <v>0</v>
      </c>
      <c r="AU344" s="117" t="n">
        <v>0</v>
      </c>
      <c r="AV344" s="117" t="n">
        <v>2</v>
      </c>
      <c r="AW344" s="121" t="inlineStr">
        <is>
          <t>⚠ WATCH</t>
        </is>
      </c>
      <c r="AX344" s="118" t="n">
        <v>24.2</v>
      </c>
      <c r="AY344" s="119" t="inlineStr">
        <is>
          <t>🟢 LOW RISK</t>
        </is>
      </c>
      <c r="AZ344" s="118" t="n">
        <v>26.9</v>
      </c>
      <c r="BA344" s="118" t="n">
        <v>28.1</v>
      </c>
      <c r="BB344" s="118" t="n">
        <v>16</v>
      </c>
      <c r="BC344" s="118" t="n">
        <v>11.2</v>
      </c>
      <c r="BD344" s="118" t="n">
        <v>33.8</v>
      </c>
      <c r="BE344" s="118" t="n">
        <v>21.4</v>
      </c>
      <c r="BF344" s="120" t="n">
        <v>-0.18</v>
      </c>
      <c r="BG344" s="117" t="n">
        <v>0.6860000000000001</v>
      </c>
      <c r="BH344" s="122" t="n">
        <v>6</v>
      </c>
      <c r="BI344" s="123" t="n">
        <v>1</v>
      </c>
    </row>
    <row r="345" ht="17" customHeight="1">
      <c r="A345" s="129" t="inlineStr">
        <is>
          <t>VKTX</t>
        </is>
      </c>
      <c r="B345" s="129" t="inlineStr">
        <is>
          <t>VIKING THERAPEUTICS, INC.</t>
        </is>
      </c>
      <c r="C345" s="124" t="inlineStr">
        <is>
          <t>N/A</t>
        </is>
      </c>
      <c r="D345" s="124" t="inlineStr">
        <is>
          <t>N/A</t>
        </is>
      </c>
      <c r="E345" s="124" t="inlineStr">
        <is>
          <t>N/A</t>
        </is>
      </c>
      <c r="F345" s="124" t="inlineStr">
        <is>
          <t>N/A</t>
        </is>
      </c>
      <c r="G345" s="124" t="inlineStr">
        <is>
          <t>N/A</t>
        </is>
      </c>
      <c r="H345" s="124" t="inlineStr">
        <is>
          <t>N/A</t>
        </is>
      </c>
      <c r="I345" s="130" t="n">
        <v>3.47</v>
      </c>
      <c r="J345" s="130" t="n">
        <v>-0.113</v>
      </c>
      <c r="K345" s="124" t="inlineStr">
        <is>
          <t>N/A</t>
        </is>
      </c>
      <c r="L345" s="124" t="inlineStr">
        <is>
          <t>N/A</t>
        </is>
      </c>
      <c r="M345" s="131" t="n">
        <v>-0.588</v>
      </c>
      <c r="N345" s="124" t="inlineStr">
        <is>
          <t>N/A</t>
        </is>
      </c>
      <c r="O345" s="124" t="inlineStr">
        <is>
          <t>N/A</t>
        </is>
      </c>
      <c r="P345" s="131" t="n">
        <v>0.768</v>
      </c>
      <c r="Q345" s="131" t="n">
        <v>-0.381</v>
      </c>
      <c r="R345" s="129" t="n">
        <v>1</v>
      </c>
      <c r="S345" s="124" t="inlineStr">
        <is>
          <t>N/A</t>
        </is>
      </c>
      <c r="T345" s="124" t="inlineStr">
        <is>
          <t>N/A</t>
        </is>
      </c>
      <c r="U345" s="124" t="inlineStr">
        <is>
          <t>N/A</t>
        </is>
      </c>
      <c r="V345" s="129" t="n">
        <v>0</v>
      </c>
      <c r="W345" s="129" t="n">
        <v>0</v>
      </c>
      <c r="X345" s="129" t="n">
        <v>0</v>
      </c>
      <c r="Y345" s="129" t="n">
        <v>0</v>
      </c>
      <c r="Z345" s="129" t="n">
        <v>0</v>
      </c>
      <c r="AA345" s="129" t="n">
        <v>0</v>
      </c>
      <c r="AB345" s="129" t="n">
        <v>0</v>
      </c>
      <c r="AC345" s="119" t="inlineStr">
        <is>
          <t>✓ Clean</t>
        </is>
      </c>
      <c r="AD345" s="130" t="n">
        <v>-278685000</v>
      </c>
      <c r="AE345" s="130" t="n">
        <v>341388000</v>
      </c>
      <c r="AF345" s="130" t="n">
        <v>-359639000</v>
      </c>
      <c r="AG345" s="130" t="n">
        <v>-0.52</v>
      </c>
      <c r="AH345" s="119" t="inlineStr">
        <is>
          <t>✓ High Quality</t>
        </is>
      </c>
      <c r="AI345" s="124" t="inlineStr">
        <is>
          <t>N/A</t>
        </is>
      </c>
      <c r="AJ345" s="124" t="inlineStr">
        <is>
          <t>N/A</t>
        </is>
      </c>
      <c r="AK345" s="124" t="inlineStr">
        <is>
          <t>N/A</t>
        </is>
      </c>
      <c r="AL345" s="124" t="inlineStr">
        <is>
          <t>N/A</t>
        </is>
      </c>
      <c r="AM345" s="124" t="inlineStr">
        <is>
          <t>N/A</t>
        </is>
      </c>
      <c r="AN345" s="129" t="n">
        <v>100</v>
      </c>
      <c r="AO345" s="119" t="inlineStr">
        <is>
          <t>✓ Good</t>
        </is>
      </c>
      <c r="AP345" s="129" t="n">
        <v>0</v>
      </c>
      <c r="AQ345" s="129" t="n">
        <v>0</v>
      </c>
      <c r="AR345" s="129" t="n">
        <v>0</v>
      </c>
      <c r="AS345" s="129" t="n">
        <v>0</v>
      </c>
      <c r="AT345" s="129" t="n">
        <v>0</v>
      </c>
      <c r="AU345" s="129" t="n">
        <v>0</v>
      </c>
      <c r="AV345" s="129" t="n">
        <v>0</v>
      </c>
      <c r="AW345" s="119" t="inlineStr">
        <is>
          <t>✓ Clean</t>
        </is>
      </c>
      <c r="AX345" s="130" t="n">
        <v>32</v>
      </c>
      <c r="AY345" s="119" t="inlineStr">
        <is>
          <t>🟢 LOW RISK</t>
        </is>
      </c>
      <c r="AZ345" s="124" t="inlineStr">
        <is>
          <t>N/A</t>
        </is>
      </c>
      <c r="BA345" s="124" t="inlineStr">
        <is>
          <t>N/A</t>
        </is>
      </c>
      <c r="BB345" s="124" t="inlineStr">
        <is>
          <t>N/A</t>
        </is>
      </c>
      <c r="BC345" s="124" t="inlineStr">
        <is>
          <t>N/A</t>
        </is>
      </c>
      <c r="BD345" s="130" t="n">
        <v>49.4</v>
      </c>
      <c r="BE345" s="130" t="n">
        <v>23.7</v>
      </c>
      <c r="BF345" s="131" t="n">
        <v>-0</v>
      </c>
      <c r="BG345" s="129" t="n">
        <v>0.768</v>
      </c>
      <c r="BH345" s="129" t="n">
        <v>1</v>
      </c>
      <c r="BI345" s="125" t="n">
        <v>0.6666666666666666</v>
      </c>
    </row>
    <row r="346" ht="17" customHeight="1">
      <c r="A346" s="117" t="inlineStr">
        <is>
          <t>DIS</t>
        </is>
      </c>
      <c r="B346" s="117" t="inlineStr">
        <is>
          <t>WALT DISNEY CO/</t>
        </is>
      </c>
      <c r="C346" s="118" t="n">
        <v>1.005</v>
      </c>
      <c r="D346" s="124" t="inlineStr">
        <is>
          <t>N/A</t>
        </is>
      </c>
      <c r="E346" s="118" t="n">
        <v>0.979</v>
      </c>
      <c r="F346" s="118" t="n">
        <v>1.034</v>
      </c>
      <c r="G346" s="118" t="n">
        <v>1.038</v>
      </c>
      <c r="H346" s="118" t="n">
        <v>1.013</v>
      </c>
      <c r="I346" s="118" t="n">
        <v>1</v>
      </c>
      <c r="J346" s="118" t="n">
        <v>-0.029</v>
      </c>
      <c r="K346" s="124" t="inlineStr">
        <is>
          <t>N/A</t>
        </is>
      </c>
      <c r="L346" s="124" t="inlineStr">
        <is>
          <t>N/A</t>
        </is>
      </c>
      <c r="M346" s="120" t="n">
        <v>-0.028</v>
      </c>
      <c r="N346" s="120" t="n">
        <v>0.159</v>
      </c>
      <c r="O346" s="120" t="n">
        <v>0.037</v>
      </c>
      <c r="P346" s="120" t="n">
        <v>0.762</v>
      </c>
      <c r="Q346" s="120" t="n">
        <v>0.037</v>
      </c>
      <c r="R346" s="117" t="n">
        <v>0</v>
      </c>
      <c r="S346" s="118" t="n">
        <v>-5.979</v>
      </c>
      <c r="T346" s="118" t="n">
        <v>0.003</v>
      </c>
      <c r="U346" s="119" t="inlineStr">
        <is>
          <t>✓ Normal</t>
        </is>
      </c>
      <c r="V346" s="117" t="n">
        <v>1</v>
      </c>
      <c r="W346" s="117" t="n">
        <v>1</v>
      </c>
      <c r="X346" s="117" t="n">
        <v>1</v>
      </c>
      <c r="Y346" s="117" t="n">
        <v>1</v>
      </c>
      <c r="Z346" s="117" t="n">
        <v>0</v>
      </c>
      <c r="AA346" s="117" t="n">
        <v>0</v>
      </c>
      <c r="AB346" s="117" t="n">
        <v>4</v>
      </c>
      <c r="AC346" s="121" t="inlineStr">
        <is>
          <t>⚠⚠ SERIOUS CONCERN</t>
        </is>
      </c>
      <c r="AD346" s="118" t="n">
        <v>18101000000</v>
      </c>
      <c r="AE346" s="118" t="n">
        <v>-8043000000</v>
      </c>
      <c r="AF346" s="118" t="n">
        <v>12404000000</v>
      </c>
      <c r="AG346" s="118" t="n">
        <v>0.012</v>
      </c>
      <c r="AH346" s="119" t="inlineStr">
        <is>
          <t>✓ Medium Quality</t>
        </is>
      </c>
      <c r="AI346" s="118" t="n">
        <v>0.038</v>
      </c>
      <c r="AJ346" s="120" t="n">
        <v>0.034</v>
      </c>
      <c r="AK346" s="120" t="n">
        <v>1.143</v>
      </c>
      <c r="AL346" s="120" t="n">
        <v>0.192</v>
      </c>
      <c r="AM346" s="120" t="n">
        <v>-0.005</v>
      </c>
      <c r="AN346" s="118" t="n">
        <v>95.5</v>
      </c>
      <c r="AO346" s="119" t="inlineStr">
        <is>
          <t>✓ Good</t>
        </is>
      </c>
      <c r="AP346" s="117" t="n">
        <v>0</v>
      </c>
      <c r="AQ346" s="117" t="n">
        <v>0</v>
      </c>
      <c r="AR346" s="117" t="n">
        <v>0</v>
      </c>
      <c r="AS346" s="117" t="n">
        <v>1</v>
      </c>
      <c r="AT346" s="117" t="n">
        <v>0</v>
      </c>
      <c r="AU346" s="117" t="n">
        <v>1</v>
      </c>
      <c r="AV346" s="117" t="n">
        <v>2</v>
      </c>
      <c r="AW346" s="121" t="inlineStr">
        <is>
          <t>⚠ WATCH</t>
        </is>
      </c>
      <c r="AX346" s="118" t="n">
        <v>30.4</v>
      </c>
      <c r="AY346" s="119" t="inlineStr">
        <is>
          <t>🟢 LOW RISK</t>
        </is>
      </c>
      <c r="AZ346" s="118" t="n">
        <v>51.1</v>
      </c>
      <c r="BA346" s="118" t="n">
        <v>50.9</v>
      </c>
      <c r="BB346" s="124" t="inlineStr">
        <is>
          <t>N/A</t>
        </is>
      </c>
      <c r="BC346" s="124" t="inlineStr">
        <is>
          <t>N/A</t>
        </is>
      </c>
      <c r="BD346" s="124" t="inlineStr">
        <is>
          <t>N/A</t>
        </is>
      </c>
      <c r="BE346" s="124" t="inlineStr">
        <is>
          <t>N/A</t>
        </is>
      </c>
      <c r="BF346" s="120" t="n">
        <v>-0.119</v>
      </c>
      <c r="BG346" s="117" t="n">
        <v>0.762</v>
      </c>
      <c r="BH346" s="122" t="n">
        <v>6</v>
      </c>
      <c r="BI346" s="123" t="n">
        <v>0.8333333333333334</v>
      </c>
    </row>
    <row r="347" ht="17" customHeight="1">
      <c r="A347" s="117" t="inlineStr">
        <is>
          <t>EXR</t>
        </is>
      </c>
      <c r="B347" s="117" t="inlineStr">
        <is>
          <t>Extra Space Storage Inc.</t>
        </is>
      </c>
      <c r="C347" s="118" t="n">
        <v>1.056</v>
      </c>
      <c r="D347" s="118" t="n">
        <v>1.023</v>
      </c>
      <c r="E347" s="118" t="n">
        <v>1</v>
      </c>
      <c r="F347" s="118" t="n">
        <v>1.037</v>
      </c>
      <c r="G347" s="118" t="n">
        <v>1.025</v>
      </c>
      <c r="H347" s="118" t="n">
        <v>1.073</v>
      </c>
      <c r="I347" s="118" t="n">
        <v>1.053</v>
      </c>
      <c r="J347" s="118" t="n">
        <v>-0.03</v>
      </c>
      <c r="K347" s="118" t="n">
        <v>-2.551</v>
      </c>
      <c r="L347" s="119" t="inlineStr">
        <is>
          <t>✓ Lower Risk</t>
        </is>
      </c>
      <c r="M347" s="124" t="inlineStr">
        <is>
          <t>N/A</t>
        </is>
      </c>
      <c r="N347" s="120" t="n">
        <v>0.103</v>
      </c>
      <c r="O347" s="124" t="inlineStr">
        <is>
          <t>N/A</t>
        </is>
      </c>
      <c r="P347" s="120" t="n">
        <v>0.993</v>
      </c>
      <c r="Q347" s="120" t="n">
        <v>0.004</v>
      </c>
      <c r="R347" s="117" t="n">
        <v>0</v>
      </c>
      <c r="S347" s="124" t="inlineStr">
        <is>
          <t>N/A</t>
        </is>
      </c>
      <c r="T347" s="124" t="inlineStr">
        <is>
          <t>N/A</t>
        </is>
      </c>
      <c r="U347" s="124" t="inlineStr">
        <is>
          <t>N/A</t>
        </is>
      </c>
      <c r="V347" s="117" t="n">
        <v>1</v>
      </c>
      <c r="W347" s="117" t="n">
        <v>1</v>
      </c>
      <c r="X347" s="117" t="n">
        <v>0</v>
      </c>
      <c r="Y347" s="117" t="n">
        <v>0</v>
      </c>
      <c r="Z347" s="117" t="n">
        <v>1</v>
      </c>
      <c r="AA347" s="117" t="n">
        <v>0</v>
      </c>
      <c r="AB347" s="117" t="n">
        <v>3</v>
      </c>
      <c r="AC347" s="121" t="inlineStr">
        <is>
          <t>⚠ WATCH</t>
        </is>
      </c>
      <c r="AD347" s="118" t="n">
        <v>1850193000</v>
      </c>
      <c r="AE347" s="118" t="n">
        <v>-814213000</v>
      </c>
      <c r="AF347" s="118" t="n">
        <v>973999000</v>
      </c>
      <c r="AG347" s="118" t="n">
        <v>-0.002</v>
      </c>
      <c r="AH347" s="119" t="inlineStr">
        <is>
          <t>✓ Medium Quality</t>
        </is>
      </c>
      <c r="AI347" s="118" t="n">
        <v>0.095</v>
      </c>
      <c r="AJ347" s="120" t="n">
        <v>0.037</v>
      </c>
      <c r="AK347" s="120" t="n">
        <v>2.574</v>
      </c>
      <c r="AL347" s="120" t="n">
        <v>0.548</v>
      </c>
      <c r="AM347" s="124" t="inlineStr">
        <is>
          <t>N/A</t>
        </is>
      </c>
      <c r="AN347" s="117" t="n">
        <v>70</v>
      </c>
      <c r="AO347" s="119" t="inlineStr">
        <is>
          <t>✓ Good</t>
        </is>
      </c>
      <c r="AP347" s="117" t="n">
        <v>0</v>
      </c>
      <c r="AQ347" s="117" t="n">
        <v>0</v>
      </c>
      <c r="AR347" s="117" t="n">
        <v>1</v>
      </c>
      <c r="AS347" s="117" t="n">
        <v>1</v>
      </c>
      <c r="AT347" s="117" t="n">
        <v>0</v>
      </c>
      <c r="AU347" s="117" t="n">
        <v>0</v>
      </c>
      <c r="AV347" s="117" t="n">
        <v>2</v>
      </c>
      <c r="AW347" s="121" t="inlineStr">
        <is>
          <t>⚠ WATCH</t>
        </is>
      </c>
      <c r="AX347" s="118" t="n">
        <v>27.6</v>
      </c>
      <c r="AY347" s="119" t="inlineStr">
        <is>
          <t>🟢 LOW RISK</t>
        </is>
      </c>
      <c r="AZ347" s="118" t="n">
        <v>15.4</v>
      </c>
      <c r="BA347" s="118" t="n">
        <v>14.5</v>
      </c>
      <c r="BB347" s="124" t="inlineStr">
        <is>
          <t>N/A</t>
        </is>
      </c>
      <c r="BC347" s="124" t="inlineStr">
        <is>
          <t>N/A</t>
        </is>
      </c>
      <c r="BD347" s="124" t="inlineStr">
        <is>
          <t>N/A</t>
        </is>
      </c>
      <c r="BE347" s="124" t="inlineStr">
        <is>
          <t>N/A</t>
        </is>
      </c>
      <c r="BF347" s="120" t="n">
        <v>0.046</v>
      </c>
      <c r="BG347" s="117" t="n">
        <v>0.993</v>
      </c>
      <c r="BH347" s="122" t="n">
        <v>5</v>
      </c>
      <c r="BI347" s="123" t="n">
        <v>0.8333333333333334</v>
      </c>
    </row>
    <row r="348" ht="17" customHeight="1">
      <c r="A348" s="117" t="inlineStr">
        <is>
          <t>RGEN</t>
        </is>
      </c>
      <c r="B348" s="117" t="inlineStr">
        <is>
          <t>REPLIGEN CORP</t>
        </is>
      </c>
      <c r="C348" s="118" t="n">
        <v>0.348</v>
      </c>
      <c r="D348" s="118" t="n">
        <v>3.055</v>
      </c>
      <c r="E348" s="118" t="n">
        <v>0.996</v>
      </c>
      <c r="F348" s="118" t="n">
        <v>3.394</v>
      </c>
      <c r="G348" s="118" t="n">
        <v>0.878</v>
      </c>
      <c r="H348" s="118" t="n">
        <v>0.325</v>
      </c>
      <c r="I348" s="118" t="n">
        <v>0.944</v>
      </c>
      <c r="J348" s="118" t="n">
        <v>-0.023</v>
      </c>
      <c r="K348" s="118" t="n">
        <v>0.151</v>
      </c>
      <c r="L348" s="121" t="inlineStr">
        <is>
          <t>⚠ MANIPULATOR RISK</t>
        </is>
      </c>
      <c r="M348" s="120" t="n">
        <v>0.059</v>
      </c>
      <c r="N348" s="120" t="n">
        <v>0.246</v>
      </c>
      <c r="O348" s="120" t="n">
        <v>0.276</v>
      </c>
      <c r="P348" s="120" t="n">
        <v>0.745</v>
      </c>
      <c r="Q348" s="120" t="n">
        <v>0.026</v>
      </c>
      <c r="R348" s="117" t="n">
        <v>1</v>
      </c>
      <c r="S348" s="118" t="n">
        <v>-2.362</v>
      </c>
      <c r="T348" s="118" t="n">
        <v>0.08599999999999999</v>
      </c>
      <c r="U348" s="121" t="inlineStr">
        <is>
          <t>⚠ HIGH RISK</t>
        </is>
      </c>
      <c r="V348" s="117" t="n">
        <v>1</v>
      </c>
      <c r="W348" s="117" t="n">
        <v>0</v>
      </c>
      <c r="X348" s="117" t="n">
        <v>0</v>
      </c>
      <c r="Y348" s="117" t="n">
        <v>1</v>
      </c>
      <c r="Z348" s="117" t="n">
        <v>0</v>
      </c>
      <c r="AA348" s="117" t="n">
        <v>0</v>
      </c>
      <c r="AB348" s="117" t="n">
        <v>2</v>
      </c>
      <c r="AC348" s="121" t="inlineStr">
        <is>
          <t>⚠ WATCH</t>
        </is>
      </c>
      <c r="AD348" s="118" t="n">
        <v>117417000</v>
      </c>
      <c r="AE348" s="118" t="n">
        <v>-298474000</v>
      </c>
      <c r="AF348" s="118" t="n">
        <v>48894000</v>
      </c>
      <c r="AG348" s="118" t="n">
        <v>0.08</v>
      </c>
      <c r="AH348" s="119" t="inlineStr">
        <is>
          <t>✓ Medium Quality</t>
        </is>
      </c>
      <c r="AI348" s="118" t="n">
        <v>0.182</v>
      </c>
      <c r="AJ348" s="120" t="n">
        <v>2.394</v>
      </c>
      <c r="AK348" s="120" t="n">
        <v>0.076</v>
      </c>
      <c r="AL348" s="120" t="n">
        <v>0.831</v>
      </c>
      <c r="AM348" s="120" t="n">
        <v>0.01</v>
      </c>
      <c r="AN348" s="117" t="n">
        <v>100</v>
      </c>
      <c r="AO348" s="119" t="inlineStr">
        <is>
          <t>✓ Good</t>
        </is>
      </c>
      <c r="AP348" s="117" t="n">
        <v>0</v>
      </c>
      <c r="AQ348" s="117" t="n">
        <v>0</v>
      </c>
      <c r="AR348" s="117" t="n">
        <v>1</v>
      </c>
      <c r="AS348" s="117" t="n">
        <v>0</v>
      </c>
      <c r="AT348" s="117" t="n">
        <v>1</v>
      </c>
      <c r="AU348" s="117" t="n">
        <v>0</v>
      </c>
      <c r="AV348" s="117" t="n">
        <v>2</v>
      </c>
      <c r="AW348" s="121" t="inlineStr">
        <is>
          <t>⚠ WATCH</t>
        </is>
      </c>
      <c r="AX348" s="118" t="n">
        <v>37.8</v>
      </c>
      <c r="AY348" s="119" t="inlineStr">
        <is>
          <t>🟢 LOW RISK</t>
        </is>
      </c>
      <c r="AZ348" s="118" t="n">
        <v>409.8</v>
      </c>
      <c r="BA348" s="118" t="n">
        <v>1176.4</v>
      </c>
      <c r="BB348" s="118" t="n">
        <v>176.7</v>
      </c>
      <c r="BC348" s="118" t="n">
        <v>145</v>
      </c>
      <c r="BD348" s="118" t="n">
        <v>31.1</v>
      </c>
      <c r="BE348" s="118" t="n">
        <v>32.6</v>
      </c>
      <c r="BF348" s="120" t="n">
        <v>0.216</v>
      </c>
      <c r="BG348" s="117" t="n">
        <v>0.745</v>
      </c>
      <c r="BH348" s="122" t="n">
        <v>5</v>
      </c>
      <c r="BI348" s="123" t="n">
        <v>1</v>
      </c>
    </row>
    <row r="349" ht="17" customHeight="1">
      <c r="A349" s="117" t="inlineStr">
        <is>
          <t>MASI</t>
        </is>
      </c>
      <c r="B349" s="117" t="inlineStr">
        <is>
          <t>MASIMO CORP</t>
        </is>
      </c>
      <c r="C349" s="118" t="n">
        <v>0.257</v>
      </c>
      <c r="D349" s="118" t="n">
        <v>4.02</v>
      </c>
      <c r="E349" s="118" t="n">
        <v>0.634</v>
      </c>
      <c r="F349" s="118" t="n">
        <v>3.783</v>
      </c>
      <c r="G349" s="118" t="n">
        <v>2.158</v>
      </c>
      <c r="H349" s="118" t="n">
        <v>0.18</v>
      </c>
      <c r="I349" s="118" t="n">
        <v>0.96</v>
      </c>
      <c r="J349" s="118" t="n">
        <v>-0.217</v>
      </c>
      <c r="K349" s="118" t="n">
        <v>0.036</v>
      </c>
      <c r="L349" s="121" t="inlineStr">
        <is>
          <t>⚠ MANIPULATOR RISK</t>
        </is>
      </c>
      <c r="M349" s="120" t="n">
        <v>-0.04</v>
      </c>
      <c r="N349" s="120" t="n">
        <v>-0.008</v>
      </c>
      <c r="O349" s="120" t="n">
        <v>-0.08699999999999999</v>
      </c>
      <c r="P349" s="120" t="n">
        <v>0.701</v>
      </c>
      <c r="Q349" s="120" t="n">
        <v>0.027</v>
      </c>
      <c r="R349" s="117" t="n">
        <v>0</v>
      </c>
      <c r="S349" s="118" t="n">
        <v>-6.672</v>
      </c>
      <c r="T349" s="118" t="n">
        <v>0.001</v>
      </c>
      <c r="U349" s="119" t="inlineStr">
        <is>
          <t>✓ Normal</t>
        </is>
      </c>
      <c r="V349" s="117" t="n">
        <v>1</v>
      </c>
      <c r="W349" s="117" t="n">
        <v>0</v>
      </c>
      <c r="X349" s="117" t="n">
        <v>0</v>
      </c>
      <c r="Y349" s="117" t="n">
        <v>1</v>
      </c>
      <c r="Z349" s="117" t="n">
        <v>1</v>
      </c>
      <c r="AA349" s="117" t="n">
        <v>0</v>
      </c>
      <c r="AB349" s="117" t="n">
        <v>3</v>
      </c>
      <c r="AC349" s="121" t="inlineStr">
        <is>
          <t>⚠ WATCH</t>
        </is>
      </c>
      <c r="AD349" s="118" t="n">
        <v>217800000</v>
      </c>
      <c r="AE349" s="118" t="n">
        <v>275100000</v>
      </c>
      <c r="AF349" s="118" t="n">
        <v>-151500000</v>
      </c>
      <c r="AG349" s="118" t="n">
        <v>-0.298</v>
      </c>
      <c r="AH349" s="119" t="inlineStr">
        <is>
          <t>✓ High Quality</t>
        </is>
      </c>
      <c r="AI349" s="118" t="n">
        <v>-0.026</v>
      </c>
      <c r="AJ349" s="120" t="n">
        <v>2.783</v>
      </c>
      <c r="AK349" s="120" t="n">
        <v>-0.008999999999999999</v>
      </c>
      <c r="AL349" s="120" t="n">
        <v>0.176</v>
      </c>
      <c r="AM349" s="120" t="n">
        <v>-0.018</v>
      </c>
      <c r="AN349" s="118" t="n">
        <v>99.09999999999999</v>
      </c>
      <c r="AO349" s="119" t="inlineStr">
        <is>
          <t>✓ Good</t>
        </is>
      </c>
      <c r="AP349" s="117" t="n">
        <v>0</v>
      </c>
      <c r="AQ349" s="117" t="n">
        <v>0</v>
      </c>
      <c r="AR349" s="117" t="n">
        <v>1</v>
      </c>
      <c r="AS349" s="117" t="n">
        <v>0</v>
      </c>
      <c r="AT349" s="117" t="n">
        <v>1</v>
      </c>
      <c r="AU349" s="117" t="n">
        <v>0</v>
      </c>
      <c r="AV349" s="117" t="n">
        <v>2</v>
      </c>
      <c r="AW349" s="121" t="inlineStr">
        <is>
          <t>⚠ WATCH</t>
        </is>
      </c>
      <c r="AX349" s="118" t="n">
        <v>32.5</v>
      </c>
      <c r="AY349" s="119" t="inlineStr">
        <is>
          <t>🟢 LOW RISK</t>
        </is>
      </c>
      <c r="AZ349" s="118" t="n">
        <v>81.2</v>
      </c>
      <c r="BA349" s="118" t="n">
        <v>315.6</v>
      </c>
      <c r="BB349" s="118" t="n">
        <v>238.6</v>
      </c>
      <c r="BC349" s="118" t="n">
        <v>153.8</v>
      </c>
      <c r="BD349" s="118" t="n">
        <v>64.59999999999999</v>
      </c>
      <c r="BE349" s="118" t="n">
        <v>84.7</v>
      </c>
      <c r="BF349" s="120" t="n">
        <v>0.238</v>
      </c>
      <c r="BG349" s="117" t="n">
        <v>0.701</v>
      </c>
      <c r="BH349" s="122" t="n">
        <v>5</v>
      </c>
      <c r="BI349" s="123" t="n">
        <v>1</v>
      </c>
    </row>
    <row r="350" ht="17" customHeight="1">
      <c r="A350" s="117" t="inlineStr">
        <is>
          <t>HRB</t>
        </is>
      </c>
      <c r="B350" s="117" t="inlineStr">
        <is>
          <t>H&amp;R Block, Inc.</t>
        </is>
      </c>
      <c r="C350" s="118" t="n">
        <v>0.697</v>
      </c>
      <c r="D350" s="118" t="n">
        <v>0.493</v>
      </c>
      <c r="E350" s="118" t="n">
        <v>1.049</v>
      </c>
      <c r="F350" s="118" t="n">
        <v>1.321</v>
      </c>
      <c r="G350" s="118" t="n">
        <v>0.95</v>
      </c>
      <c r="H350" s="118" t="n">
        <v>0.788</v>
      </c>
      <c r="I350" s="118" t="n">
        <v>1.001</v>
      </c>
      <c r="J350" s="118" t="n">
        <v>-0.023</v>
      </c>
      <c r="K350" s="118" t="n">
        <v>-2.797</v>
      </c>
      <c r="L350" s="119" t="inlineStr">
        <is>
          <t>✓ Lower Risk</t>
        </is>
      </c>
      <c r="M350" s="120" t="n">
        <v>-0.121</v>
      </c>
      <c r="N350" s="120" t="n">
        <v>-0.007</v>
      </c>
      <c r="O350" s="124" t="inlineStr">
        <is>
          <t>N/A</t>
        </is>
      </c>
      <c r="P350" s="120" t="n">
        <v>0.657</v>
      </c>
      <c r="Q350" s="120" t="n">
        <v>0.001</v>
      </c>
      <c r="R350" s="117" t="n">
        <v>0</v>
      </c>
      <c r="S350" s="118" t="n">
        <v>-6.706</v>
      </c>
      <c r="T350" s="118" t="n">
        <v>0.001</v>
      </c>
      <c r="U350" s="119" t="inlineStr">
        <is>
          <t>✓ Normal</t>
        </is>
      </c>
      <c r="V350" s="117" t="n">
        <v>1</v>
      </c>
      <c r="W350" s="117" t="n">
        <v>0</v>
      </c>
      <c r="X350" s="117" t="n">
        <v>0</v>
      </c>
      <c r="Y350" s="117" t="n">
        <v>1</v>
      </c>
      <c r="Z350" s="117" t="n">
        <v>0</v>
      </c>
      <c r="AA350" s="117" t="n">
        <v>0</v>
      </c>
      <c r="AB350" s="117" t="n">
        <v>2</v>
      </c>
      <c r="AC350" s="121" t="inlineStr">
        <is>
          <t>⚠ WATCH</t>
        </is>
      </c>
      <c r="AD350" s="118" t="n">
        <v>680883000</v>
      </c>
      <c r="AE350" s="118" t="n">
        <v>-105373000</v>
      </c>
      <c r="AF350" s="118" t="n">
        <v>605773000</v>
      </c>
      <c r="AG350" s="118" t="n">
        <v>0.008999999999999999</v>
      </c>
      <c r="AH350" s="119" t="inlineStr">
        <is>
          <t>✓ Medium Quality</t>
        </is>
      </c>
      <c r="AI350" s="118" t="n">
        <v>-0.079</v>
      </c>
      <c r="AJ350" s="120" t="n">
        <v>0.321</v>
      </c>
      <c r="AK350" s="120" t="n">
        <v>-0.246</v>
      </c>
      <c r="AL350" s="120" t="n">
        <v>0.215</v>
      </c>
      <c r="AM350" s="120" t="n">
        <v>0.002</v>
      </c>
      <c r="AN350" s="117" t="n">
        <v>100</v>
      </c>
      <c r="AO350" s="119" t="inlineStr">
        <is>
          <t>✓ Good</t>
        </is>
      </c>
      <c r="AP350" s="117" t="n">
        <v>0</v>
      </c>
      <c r="AQ350" s="117" t="n">
        <v>0</v>
      </c>
      <c r="AR350" s="117" t="n">
        <v>0</v>
      </c>
      <c r="AS350" s="117" t="n">
        <v>0</v>
      </c>
      <c r="AT350" s="117" t="n">
        <v>0</v>
      </c>
      <c r="AU350" s="117" t="n">
        <v>0</v>
      </c>
      <c r="AV350" s="117" t="n">
        <v>0</v>
      </c>
      <c r="AW350" s="119" t="inlineStr">
        <is>
          <t>✓ Clean</t>
        </is>
      </c>
      <c r="AX350" s="118" t="n">
        <v>13.2</v>
      </c>
      <c r="AY350" s="119" t="inlineStr">
        <is>
          <t>🟢 VERY LOW RISK</t>
        </is>
      </c>
      <c r="AZ350" s="118" t="n">
        <v>7.3</v>
      </c>
      <c r="BA350" s="118" t="n">
        <v>10.5</v>
      </c>
      <c r="BB350" s="124" t="inlineStr">
        <is>
          <t>N/A</t>
        </is>
      </c>
      <c r="BC350" s="124" t="inlineStr">
        <is>
          <t>N/A</t>
        </is>
      </c>
      <c r="BD350" s="118" t="n">
        <v>25.2</v>
      </c>
      <c r="BE350" s="118" t="n">
        <v>28.6</v>
      </c>
      <c r="BF350" s="120" t="n">
        <v>0.22</v>
      </c>
      <c r="BG350" s="117" t="n">
        <v>0.657</v>
      </c>
      <c r="BH350" s="122" t="n">
        <v>2</v>
      </c>
      <c r="BI350" s="123" t="n">
        <v>1</v>
      </c>
    </row>
    <row r="351" ht="17" customHeight="1">
      <c r="A351" s="117" t="inlineStr">
        <is>
          <t>MYRG</t>
        </is>
      </c>
      <c r="B351" s="117" t="inlineStr">
        <is>
          <t>MYR GROUP INC.</t>
        </is>
      </c>
      <c r="C351" s="118" t="n">
        <v>0.924</v>
      </c>
      <c r="D351" s="118" t="n">
        <v>0.6850000000000001</v>
      </c>
      <c r="E351" s="118" t="n">
        <v>0.959</v>
      </c>
      <c r="F351" s="118" t="n">
        <v>1</v>
      </c>
      <c r="G351" s="118" t="n">
        <v>1.087</v>
      </c>
      <c r="H351" s="118" t="n">
        <v>1.076</v>
      </c>
      <c r="I351" s="118" t="n">
        <v>0.967</v>
      </c>
      <c r="J351" s="118" t="n">
        <v>-0.127</v>
      </c>
      <c r="K351" s="118" t="n">
        <v>-3.317</v>
      </c>
      <c r="L351" s="119" t="inlineStr">
        <is>
          <t>✓ Lower Risk</t>
        </is>
      </c>
      <c r="M351" s="120" t="n">
        <v>-0.13</v>
      </c>
      <c r="N351" s="120" t="n">
        <v>-49334000000</v>
      </c>
      <c r="O351" s="124" t="inlineStr">
        <is>
          <t>N/A</t>
        </is>
      </c>
      <c r="P351" s="120" t="n">
        <v>0.796</v>
      </c>
      <c r="Q351" s="120" t="n">
        <v>0.053</v>
      </c>
      <c r="R351" s="117" t="n">
        <v>0</v>
      </c>
      <c r="S351" s="118" t="n">
        <v>-124223012006.444</v>
      </c>
      <c r="T351" s="118" t="n">
        <v>0</v>
      </c>
      <c r="U351" s="119" t="inlineStr">
        <is>
          <t>✓ Normal</t>
        </is>
      </c>
      <c r="V351" s="117" t="n">
        <v>0</v>
      </c>
      <c r="W351" s="117" t="n">
        <v>0</v>
      </c>
      <c r="X351" s="117" t="n">
        <v>0</v>
      </c>
      <c r="Y351" s="117" t="n">
        <v>0</v>
      </c>
      <c r="Z351" s="117" t="n">
        <v>1</v>
      </c>
      <c r="AA351" s="117" t="n">
        <v>0</v>
      </c>
      <c r="AB351" s="117" t="n">
        <v>1</v>
      </c>
      <c r="AC351" s="119" t="inlineStr">
        <is>
          <t>✓ Clean</t>
        </is>
      </c>
      <c r="AD351" s="118" t="n">
        <v>326567000</v>
      </c>
      <c r="AE351" s="118" t="n">
        <v>-86180000</v>
      </c>
      <c r="AF351" s="118" t="n">
        <v>118416000</v>
      </c>
      <c r="AG351" s="118" t="n">
        <v>-0.076</v>
      </c>
      <c r="AH351" s="119" t="inlineStr">
        <is>
          <t>✓ Medium Quality</t>
        </is>
      </c>
      <c r="AI351" s="118" t="n">
        <v>-0.076</v>
      </c>
      <c r="AJ351" s="120" t="n">
        <v>0</v>
      </c>
      <c r="AK351" s="124" t="inlineStr">
        <is>
          <t>N/A</t>
        </is>
      </c>
      <c r="AL351" s="120" t="n">
        <v>0.213</v>
      </c>
      <c r="AM351" s="120" t="n">
        <v>-0.014</v>
      </c>
      <c r="AN351" s="118" t="n">
        <v>99.3</v>
      </c>
      <c r="AO351" s="119" t="inlineStr">
        <is>
          <t>✓ Good</t>
        </is>
      </c>
      <c r="AP351" s="117" t="n">
        <v>0</v>
      </c>
      <c r="AQ351" s="117" t="n">
        <v>0</v>
      </c>
      <c r="AR351" s="117" t="n">
        <v>0</v>
      </c>
      <c r="AS351" s="117" t="n">
        <v>1</v>
      </c>
      <c r="AT351" s="117" t="n">
        <v>0</v>
      </c>
      <c r="AU351" s="117" t="n">
        <v>1</v>
      </c>
      <c r="AV351" s="117" t="n">
        <v>2</v>
      </c>
      <c r="AW351" s="121" t="inlineStr">
        <is>
          <t>⚠ WATCH</t>
        </is>
      </c>
      <c r="AX351" s="118" t="n">
        <v>11.1</v>
      </c>
      <c r="AY351" s="119" t="inlineStr">
        <is>
          <t>🟢 VERY LOW RISK</t>
        </is>
      </c>
      <c r="AZ351" s="118" t="n">
        <v>143.9</v>
      </c>
      <c r="BA351" s="118" t="n">
        <v>155.7</v>
      </c>
      <c r="BB351" s="124" t="inlineStr">
        <is>
          <t>N/A</t>
        </is>
      </c>
      <c r="BC351" s="124" t="inlineStr">
        <is>
          <t>N/A</t>
        </is>
      </c>
      <c r="BD351" s="118" t="n">
        <v>35.5</v>
      </c>
      <c r="BE351" s="118" t="n">
        <v>35.1</v>
      </c>
      <c r="BF351" s="120" t="n">
        <v>0.266</v>
      </c>
      <c r="BG351" s="117" t="n">
        <v>0.796</v>
      </c>
      <c r="BH351" s="122" t="n">
        <v>3</v>
      </c>
      <c r="BI351" s="123" t="n">
        <v>1</v>
      </c>
    </row>
    <row r="352" ht="17" customHeight="1">
      <c r="A352" s="117" t="inlineStr">
        <is>
          <t>KYMR</t>
        </is>
      </c>
      <c r="B352" s="117" t="inlineStr">
        <is>
          <t>KYMERA THERAPEUTICS, INC.</t>
        </is>
      </c>
      <c r="C352" s="118" t="n">
        <v>0</v>
      </c>
      <c r="D352" s="124" t="inlineStr">
        <is>
          <t>N/A</t>
        </is>
      </c>
      <c r="E352" s="118" t="n">
        <v>1.114</v>
      </c>
      <c r="F352" s="118" t="n">
        <v>0.833</v>
      </c>
      <c r="G352" s="118" t="n">
        <v>0.79</v>
      </c>
      <c r="H352" s="118" t="n">
        <v>1.288</v>
      </c>
      <c r="I352" s="118" t="n">
        <v>0.643</v>
      </c>
      <c r="J352" s="118" t="n">
        <v>-0.045</v>
      </c>
      <c r="K352" s="124" t="inlineStr">
        <is>
          <t>N/A</t>
        </is>
      </c>
      <c r="L352" s="124" t="inlineStr">
        <is>
          <t>N/A</t>
        </is>
      </c>
      <c r="M352" s="120" t="n">
        <v>0.058</v>
      </c>
      <c r="N352" s="120" t="n">
        <v>-1.908</v>
      </c>
      <c r="O352" s="124" t="inlineStr">
        <is>
          <t>N/A</t>
        </is>
      </c>
      <c r="P352" s="120" t="n">
        <v>0.77</v>
      </c>
      <c r="Q352" s="120" t="n">
        <v>0.05</v>
      </c>
      <c r="R352" s="117" t="n">
        <v>1</v>
      </c>
      <c r="S352" s="118" t="n">
        <v>-8.076000000000001</v>
      </c>
      <c r="T352" s="118" t="n">
        <v>0</v>
      </c>
      <c r="U352" s="119" t="inlineStr">
        <is>
          <t>✓ Normal</t>
        </is>
      </c>
      <c r="V352" s="117" t="n">
        <v>0</v>
      </c>
      <c r="W352" s="117" t="n">
        <v>0</v>
      </c>
      <c r="X352" s="117" t="n">
        <v>0</v>
      </c>
      <c r="Y352" s="117" t="n">
        <v>1</v>
      </c>
      <c r="Z352" s="117" t="n">
        <v>1</v>
      </c>
      <c r="AA352" s="117" t="n">
        <v>1</v>
      </c>
      <c r="AB352" s="117" t="n">
        <v>3</v>
      </c>
      <c r="AC352" s="121" t="inlineStr">
        <is>
          <t>⚠ WATCH</t>
        </is>
      </c>
      <c r="AD352" s="118" t="n">
        <v>-232891000</v>
      </c>
      <c r="AE352" s="118" t="n">
        <v>-521061000</v>
      </c>
      <c r="AF352" s="118" t="n">
        <v>-311351000</v>
      </c>
      <c r="AG352" s="118" t="n">
        <v>0.325</v>
      </c>
      <c r="AH352" s="117" t="inlineStr">
        <is>
          <t>⚠ Very Low Quality</t>
        </is>
      </c>
      <c r="AI352" s="118" t="n">
        <v>-1</v>
      </c>
      <c r="AJ352" s="120" t="n">
        <v>-0.167</v>
      </c>
      <c r="AK352" s="120" t="n">
        <v>5.988</v>
      </c>
      <c r="AL352" s="120" t="n">
        <v>-5.939</v>
      </c>
      <c r="AM352" s="120" t="n">
        <v>-0.254</v>
      </c>
      <c r="AN352" s="118" t="n">
        <v>27.3</v>
      </c>
      <c r="AO352" s="117" t="inlineStr">
        <is>
          <t>⚠ LOW QUALITY</t>
        </is>
      </c>
      <c r="AP352" s="117" t="n">
        <v>0</v>
      </c>
      <c r="AQ352" s="117" t="n">
        <v>0</v>
      </c>
      <c r="AR352" s="117" t="n">
        <v>0</v>
      </c>
      <c r="AS352" s="117" t="n">
        <v>1</v>
      </c>
      <c r="AT352" s="117" t="n">
        <v>0</v>
      </c>
      <c r="AU352" s="117" t="n">
        <v>0</v>
      </c>
      <c r="AV352" s="117" t="n">
        <v>1</v>
      </c>
      <c r="AW352" s="119" t="inlineStr">
        <is>
          <t>✓ Clean</t>
        </is>
      </c>
      <c r="AX352" s="118" t="n">
        <v>35.5</v>
      </c>
      <c r="AY352" s="119" t="inlineStr">
        <is>
          <t>🟢 LOW RISK</t>
        </is>
      </c>
      <c r="AZ352" s="118" t="n">
        <v>0</v>
      </c>
      <c r="BA352" s="118" t="n">
        <v>116.3</v>
      </c>
      <c r="BB352" s="124" t="inlineStr">
        <is>
          <t>N/A</t>
        </is>
      </c>
      <c r="BC352" s="124" t="inlineStr">
        <is>
          <t>N/A</t>
        </is>
      </c>
      <c r="BD352" s="118" t="n">
        <v>37.4</v>
      </c>
      <c r="BE352" s="118" t="n">
        <v>46.4</v>
      </c>
      <c r="BF352" s="120" t="n">
        <v>-0</v>
      </c>
      <c r="BG352" s="117" t="n">
        <v>0.77</v>
      </c>
      <c r="BH352" s="122" t="n">
        <v>5</v>
      </c>
      <c r="BI352" s="123" t="n">
        <v>0.8333333333333334</v>
      </c>
    </row>
    <row r="353" ht="17" customHeight="1">
      <c r="A353" s="117" t="inlineStr">
        <is>
          <t>APPF</t>
        </is>
      </c>
      <c r="B353" s="117" t="inlineStr">
        <is>
          <t>AppFolio, Inc.</t>
        </is>
      </c>
      <c r="C353" s="118" t="n">
        <v>1.265</v>
      </c>
      <c r="D353" s="118" t="n">
        <v>1.002</v>
      </c>
      <c r="E353" s="118" t="n">
        <v>1.065</v>
      </c>
      <c r="F353" s="118" t="n">
        <v>1.197</v>
      </c>
      <c r="G353" s="118" t="n">
        <v>0.852</v>
      </c>
      <c r="H353" s="118" t="n">
        <v>0.929</v>
      </c>
      <c r="I353" s="118" t="n">
        <v>1.24</v>
      </c>
      <c r="J353" s="118" t="n">
        <v>-0.147</v>
      </c>
      <c r="K353" s="118" t="n">
        <v>-2.803</v>
      </c>
      <c r="L353" s="119" t="inlineStr">
        <is>
          <t>✓ Lower Risk</t>
        </is>
      </c>
      <c r="M353" s="120" t="n">
        <v>-0.164</v>
      </c>
      <c r="N353" s="120" t="n">
        <v>0.08</v>
      </c>
      <c r="O353" s="124" t="inlineStr">
        <is>
          <t>N/A</t>
        </is>
      </c>
      <c r="P353" s="120" t="n">
        <v>0.8110000000000001</v>
      </c>
      <c r="Q353" s="120" t="n">
        <v>-0.121</v>
      </c>
      <c r="R353" s="117" t="n">
        <v>0</v>
      </c>
      <c r="S353" s="118" t="n">
        <v>-6.163</v>
      </c>
      <c r="T353" s="118" t="n">
        <v>0.002</v>
      </c>
      <c r="U353" s="119" t="inlineStr">
        <is>
          <t>✓ Normal</t>
        </is>
      </c>
      <c r="V353" s="117" t="n">
        <v>0</v>
      </c>
      <c r="W353" s="117" t="n">
        <v>1</v>
      </c>
      <c r="X353" s="117" t="n">
        <v>0</v>
      </c>
      <c r="Y353" s="117" t="n">
        <v>0</v>
      </c>
      <c r="Z353" s="117" t="n">
        <v>0</v>
      </c>
      <c r="AA353" s="117" t="n">
        <v>0</v>
      </c>
      <c r="AB353" s="117" t="n">
        <v>1</v>
      </c>
      <c r="AC353" s="119" t="inlineStr">
        <is>
          <t>✓ Clean</t>
        </is>
      </c>
      <c r="AD353" s="118" t="n">
        <v>242105000</v>
      </c>
      <c r="AE353" s="118" t="n">
        <v>10244000</v>
      </c>
      <c r="AF353" s="118" t="n">
        <v>140923000</v>
      </c>
      <c r="AG353" s="118" t="n">
        <v>-0.169</v>
      </c>
      <c r="AH353" s="119" t="inlineStr">
        <is>
          <t>✓ High Quality</t>
        </is>
      </c>
      <c r="AI353" s="118" t="n">
        <v>0.515</v>
      </c>
      <c r="AJ353" s="120" t="n">
        <v>0.197</v>
      </c>
      <c r="AK353" s="120" t="n">
        <v>2.609</v>
      </c>
      <c r="AL353" s="120" t="n">
        <v>0.255</v>
      </c>
      <c r="AM353" s="120" t="n">
        <v>-0.001</v>
      </c>
      <c r="AN353" s="118" t="n">
        <v>70</v>
      </c>
      <c r="AO353" s="119" t="inlineStr">
        <is>
          <t>✓ Good</t>
        </is>
      </c>
      <c r="AP353" s="117" t="n">
        <v>0</v>
      </c>
      <c r="AQ353" s="117" t="n">
        <v>0</v>
      </c>
      <c r="AR353" s="117" t="n">
        <v>1</v>
      </c>
      <c r="AS353" s="117" t="n">
        <v>0</v>
      </c>
      <c r="AT353" s="117" t="n">
        <v>1</v>
      </c>
      <c r="AU353" s="117" t="n">
        <v>0</v>
      </c>
      <c r="AV353" s="117" t="n">
        <v>2</v>
      </c>
      <c r="AW353" s="121" t="inlineStr">
        <is>
          <t>⚠ WATCH</t>
        </is>
      </c>
      <c r="AX353" s="118" t="n">
        <v>16.3</v>
      </c>
      <c r="AY353" s="119" t="inlineStr">
        <is>
          <t>🟢 VERY LOW RISK</t>
        </is>
      </c>
      <c r="AZ353" s="118" t="n">
        <v>14.2</v>
      </c>
      <c r="BA353" s="118" t="n">
        <v>11.2</v>
      </c>
      <c r="BB353" s="124" t="inlineStr">
        <is>
          <t>N/A</t>
        </is>
      </c>
      <c r="BC353" s="124" t="inlineStr">
        <is>
          <t>N/A</t>
        </is>
      </c>
      <c r="BD353" s="118" t="n">
        <v>10.5</v>
      </c>
      <c r="BE353" s="118" t="n">
        <v>7.3</v>
      </c>
      <c r="BF353" s="120" t="n">
        <v>0.125</v>
      </c>
      <c r="BG353" s="117" t="n">
        <v>0.8110000000000001</v>
      </c>
      <c r="BH353" s="122" t="n">
        <v>3</v>
      </c>
      <c r="BI353" s="123" t="n">
        <v>1</v>
      </c>
    </row>
    <row r="354" ht="17" customHeight="1">
      <c r="A354" s="117" t="inlineStr">
        <is>
          <t>TJX</t>
        </is>
      </c>
      <c r="B354" s="117" t="inlineStr">
        <is>
          <t>THE TJX COMPANIES, INC.</t>
        </is>
      </c>
      <c r="C354" s="118" t="n">
        <v>0.313</v>
      </c>
      <c r="D354" s="118" t="n">
        <v>3.495</v>
      </c>
      <c r="E354" s="118" t="n">
        <v>0.96</v>
      </c>
      <c r="F354" s="118" t="n">
        <v>3.502</v>
      </c>
      <c r="G354" s="118" t="n">
        <v>0.992</v>
      </c>
      <c r="H354" s="118" t="n">
        <v>0.3</v>
      </c>
      <c r="I354" s="118" t="n">
        <v>1</v>
      </c>
      <c r="J354" s="118" t="n">
        <v>-0.039</v>
      </c>
      <c r="K354" s="118" t="n">
        <v>0.36</v>
      </c>
      <c r="L354" s="121" t="inlineStr">
        <is>
          <t>⚠ MANIPULATOR RISK</t>
        </is>
      </c>
      <c r="M354" s="120" t="n">
        <v>-0.064</v>
      </c>
      <c r="N354" s="120" t="n">
        <v>0.003</v>
      </c>
      <c r="O354" s="120" t="n">
        <v>0.042</v>
      </c>
      <c r="P354" s="120" t="n">
        <v>0.596</v>
      </c>
      <c r="Q354" s="120" t="n">
        <v>0</v>
      </c>
      <c r="R354" s="117" t="n">
        <v>0</v>
      </c>
      <c r="S354" s="118" t="n">
        <v>-6.708</v>
      </c>
      <c r="T354" s="118" t="n">
        <v>0.001</v>
      </c>
      <c r="U354" s="119" t="inlineStr">
        <is>
          <t>✓ Normal</t>
        </is>
      </c>
      <c r="V354" s="117" t="n">
        <v>1</v>
      </c>
      <c r="W354" s="117" t="n">
        <v>0</v>
      </c>
      <c r="X354" s="117" t="n">
        <v>0</v>
      </c>
      <c r="Y354" s="117" t="n">
        <v>1</v>
      </c>
      <c r="Z354" s="117" t="n">
        <v>0</v>
      </c>
      <c r="AA354" s="117" t="n">
        <v>1</v>
      </c>
      <c r="AB354" s="117" t="n">
        <v>3</v>
      </c>
      <c r="AC354" s="121" t="inlineStr">
        <is>
          <t>⚠ WATCH</t>
        </is>
      </c>
      <c r="AD354" s="118" t="n">
        <v>6874000000</v>
      </c>
      <c r="AE354" s="118" t="n">
        <v>-1981000000</v>
      </c>
      <c r="AF354" s="118" t="n">
        <v>5494000000</v>
      </c>
      <c r="AG354" s="118" t="n">
        <v>0.018</v>
      </c>
      <c r="AH354" s="119" t="inlineStr">
        <is>
          <t>✓ Medium Quality</t>
        </is>
      </c>
      <c r="AI354" s="118" t="n">
        <v>0.097</v>
      </c>
      <c r="AJ354" s="120" t="n">
        <v>2.502</v>
      </c>
      <c r="AK354" s="120" t="n">
        <v>0.039</v>
      </c>
      <c r="AL354" s="120" t="n">
        <v>0.236</v>
      </c>
      <c r="AM354" s="120" t="n">
        <v>0.003</v>
      </c>
      <c r="AN354" s="117" t="n">
        <v>100</v>
      </c>
      <c r="AO354" s="119" t="inlineStr">
        <is>
          <t>✓ Good</t>
        </is>
      </c>
      <c r="AP354" s="117" t="n">
        <v>0</v>
      </c>
      <c r="AQ354" s="117" t="n">
        <v>0</v>
      </c>
      <c r="AR354" s="117" t="n">
        <v>1</v>
      </c>
      <c r="AS354" s="117" t="n">
        <v>0</v>
      </c>
      <c r="AT354" s="117" t="n">
        <v>0</v>
      </c>
      <c r="AU354" s="117" t="n">
        <v>1</v>
      </c>
      <c r="AV354" s="117" t="n">
        <v>2</v>
      </c>
      <c r="AW354" s="121" t="inlineStr">
        <is>
          <t>⚠ WATCH</t>
        </is>
      </c>
      <c r="AX354" s="118" t="n">
        <v>27.8</v>
      </c>
      <c r="AY354" s="119" t="inlineStr">
        <is>
          <t>🟢 LOW RISK</t>
        </is>
      </c>
      <c r="AZ354" s="118" t="n">
        <v>7.6</v>
      </c>
      <c r="BA354" s="118" t="n">
        <v>24.1</v>
      </c>
      <c r="BB354" s="118" t="n">
        <v>63.9</v>
      </c>
      <c r="BC354" s="118" t="n">
        <v>59.9</v>
      </c>
      <c r="BD354" s="118" t="n">
        <v>40.1</v>
      </c>
      <c r="BE354" s="118" t="n">
        <v>39.7</v>
      </c>
      <c r="BF354" s="120" t="n">
        <v>0.247</v>
      </c>
      <c r="BG354" s="117" t="n">
        <v>0.596</v>
      </c>
      <c r="BH354" s="122" t="n">
        <v>5</v>
      </c>
      <c r="BI354" s="123" t="n">
        <v>1</v>
      </c>
    </row>
    <row r="355" ht="17" customHeight="1">
      <c r="A355" s="117" t="inlineStr">
        <is>
          <t>CBOE</t>
        </is>
      </c>
      <c r="B355" s="117" t="inlineStr">
        <is>
          <t>Cboe Global Markets, Inc.</t>
        </is>
      </c>
      <c r="C355" s="118" t="n">
        <v>0.259</v>
      </c>
      <c r="D355" s="118" t="n">
        <v>2.895</v>
      </c>
      <c r="E355" s="118" t="n">
        <v>0.766</v>
      </c>
      <c r="F355" s="118" t="n">
        <v>3.393</v>
      </c>
      <c r="G355" s="118" t="n">
        <v>1.127</v>
      </c>
      <c r="H355" s="124" t="inlineStr">
        <is>
          <t>N/A</t>
        </is>
      </c>
      <c r="I355" s="118" t="n">
        <v>0.994</v>
      </c>
      <c r="J355" s="118" t="n">
        <v>-0.07000000000000001</v>
      </c>
      <c r="K355" s="118" t="n">
        <v>-0.26</v>
      </c>
      <c r="L355" s="121" t="inlineStr">
        <is>
          <t>⚠ MANIPULATOR RISK</t>
        </is>
      </c>
      <c r="M355" s="120" t="n">
        <v>-0.039</v>
      </c>
      <c r="N355" s="120" t="n">
        <v>-0.034</v>
      </c>
      <c r="O355" s="124" t="inlineStr">
        <is>
          <t>N/A</t>
        </is>
      </c>
      <c r="P355" s="120" t="n">
        <v>0.747</v>
      </c>
      <c r="Q355" s="120" t="n">
        <v>0.02</v>
      </c>
      <c r="R355" s="117" t="n">
        <v>0</v>
      </c>
      <c r="S355" s="118" t="n">
        <v>-6.539</v>
      </c>
      <c r="T355" s="118" t="n">
        <v>0.001</v>
      </c>
      <c r="U355" s="119" t="inlineStr">
        <is>
          <t>✓ Normal</t>
        </is>
      </c>
      <c r="V355" s="117" t="n">
        <v>1</v>
      </c>
      <c r="W355" s="117" t="n">
        <v>0</v>
      </c>
      <c r="X355" s="117" t="n">
        <v>0</v>
      </c>
      <c r="Y355" s="117" t="n">
        <v>1</v>
      </c>
      <c r="Z355" s="117" t="n">
        <v>1</v>
      </c>
      <c r="AA355" s="117" t="n">
        <v>1</v>
      </c>
      <c r="AB355" s="117" t="n">
        <v>4</v>
      </c>
      <c r="AC355" s="121" t="inlineStr">
        <is>
          <t>⚠⚠ SERIOUS CONCERN</t>
        </is>
      </c>
      <c r="AD355" s="118" t="n">
        <v>1752600000</v>
      </c>
      <c r="AE355" s="118" t="n">
        <v>450200000</v>
      </c>
      <c r="AF355" s="118" t="n">
        <v>1100000000</v>
      </c>
      <c r="AG355" s="118" t="n">
        <v>-0.129</v>
      </c>
      <c r="AH355" s="119" t="inlineStr">
        <is>
          <t>✓ High Quality</t>
        </is>
      </c>
      <c r="AI355" s="118" t="n">
        <v>-0.12</v>
      </c>
      <c r="AJ355" s="120" t="n">
        <v>2.393</v>
      </c>
      <c r="AK355" s="120" t="n">
        <v>-0.05</v>
      </c>
      <c r="AL355" s="120" t="n">
        <v>0.786</v>
      </c>
      <c r="AM355" s="120" t="n">
        <v>0.006</v>
      </c>
      <c r="AN355" s="117" t="n">
        <v>100</v>
      </c>
      <c r="AO355" s="119" t="inlineStr">
        <is>
          <t>✓ Good</t>
        </is>
      </c>
      <c r="AP355" s="117" t="n">
        <v>0</v>
      </c>
      <c r="AQ355" s="117" t="n">
        <v>0</v>
      </c>
      <c r="AR355" s="117" t="n">
        <v>1</v>
      </c>
      <c r="AS355" s="117" t="n">
        <v>0</v>
      </c>
      <c r="AT355" s="117" t="n">
        <v>0</v>
      </c>
      <c r="AU355" s="117" t="n">
        <v>0</v>
      </c>
      <c r="AV355" s="117" t="n">
        <v>1</v>
      </c>
      <c r="AW355" s="119" t="inlineStr">
        <is>
          <t>✓ Clean</t>
        </is>
      </c>
      <c r="AX355" s="118" t="n">
        <v>30.7</v>
      </c>
      <c r="AY355" s="119" t="inlineStr">
        <is>
          <t>🟢 LOW RISK</t>
        </is>
      </c>
      <c r="AZ355" s="118" t="n">
        <v>64.09999999999999</v>
      </c>
      <c r="BA355" s="118" t="n">
        <v>247</v>
      </c>
      <c r="BB355" s="124" t="inlineStr">
        <is>
          <t>N/A</t>
        </is>
      </c>
      <c r="BC355" s="124" t="inlineStr">
        <is>
          <t>N/A</t>
        </is>
      </c>
      <c r="BD355" s="118" t="n">
        <v>2.6</v>
      </c>
      <c r="BE355" s="118" t="n">
        <v>3.2</v>
      </c>
      <c r="BF355" s="120" t="n">
        <v>0.298</v>
      </c>
      <c r="BG355" s="117" t="n">
        <v>0.747</v>
      </c>
      <c r="BH355" s="122" t="n">
        <v>5</v>
      </c>
      <c r="BI355" s="123" t="n">
        <v>1</v>
      </c>
    </row>
    <row r="356" ht="17" customHeight="1">
      <c r="A356" s="126" t="inlineStr">
        <is>
          <t>STT</t>
        </is>
      </c>
      <c r="B356" s="126" t="inlineStr">
        <is>
          <t>STATE STREET CORPORATION</t>
        </is>
      </c>
      <c r="C356" s="127" t="n">
        <v>1.149</v>
      </c>
      <c r="D356" s="124" t="inlineStr">
        <is>
          <t>N/A</t>
        </is>
      </c>
      <c r="E356" s="127" t="n">
        <v>1</v>
      </c>
      <c r="F356" s="127" t="n">
        <v>1.073</v>
      </c>
      <c r="G356" s="127" t="n">
        <v>0.927</v>
      </c>
      <c r="H356" s="124" t="inlineStr">
        <is>
          <t>N/A</t>
        </is>
      </c>
      <c r="I356" s="127" t="n">
        <v>0.995</v>
      </c>
      <c r="J356" s="127" t="n">
        <v>-0.024</v>
      </c>
      <c r="K356" s="124" t="inlineStr">
        <is>
          <t>N/A</t>
        </is>
      </c>
      <c r="L356" s="124" t="inlineStr">
        <is>
          <t>N/A</t>
        </is>
      </c>
      <c r="M356" s="124" t="inlineStr">
        <is>
          <t>N/A</t>
        </is>
      </c>
      <c r="N356" s="128" t="n">
        <v>0.124</v>
      </c>
      <c r="O356" s="124" t="inlineStr">
        <is>
          <t>N/A</t>
        </is>
      </c>
      <c r="P356" s="128" t="n">
        <v>0.993</v>
      </c>
      <c r="Q356" s="128" t="n">
        <v>0</v>
      </c>
      <c r="R356" s="126" t="n">
        <v>0</v>
      </c>
      <c r="S356" s="124" t="inlineStr">
        <is>
          <t>N/A</t>
        </is>
      </c>
      <c r="T356" s="124" t="inlineStr">
        <is>
          <t>N/A</t>
        </is>
      </c>
      <c r="U356" s="124" t="inlineStr">
        <is>
          <t>N/A</t>
        </is>
      </c>
      <c r="V356" s="126" t="n">
        <v>0</v>
      </c>
      <c r="W356" s="126" t="n">
        <v>1</v>
      </c>
      <c r="X356" s="126" t="n">
        <v>0</v>
      </c>
      <c r="Y356" s="126" t="n">
        <v>0</v>
      </c>
      <c r="Z356" s="126" t="n">
        <v>0</v>
      </c>
      <c r="AA356" s="126" t="n">
        <v>0</v>
      </c>
      <c r="AB356" s="126" t="n">
        <v>1</v>
      </c>
      <c r="AC356" s="119" t="inlineStr">
        <is>
          <t>✓ Clean</t>
        </is>
      </c>
      <c r="AD356" s="127" t="n">
        <v>11898000000</v>
      </c>
      <c r="AE356" s="127" t="n">
        <v>-12991000000</v>
      </c>
      <c r="AF356" s="127" t="n">
        <v>2945000000</v>
      </c>
      <c r="AG356" s="127" t="n">
        <v>0.011</v>
      </c>
      <c r="AH356" s="119" t="inlineStr">
        <is>
          <t>✓ Medium Quality</t>
        </is>
      </c>
      <c r="AI356" s="127" t="n">
        <v>0.232</v>
      </c>
      <c r="AJ356" s="128" t="n">
        <v>0.073</v>
      </c>
      <c r="AK356" s="128" t="n">
        <v>3.197</v>
      </c>
      <c r="AL356" s="128" t="n">
        <v>0.853</v>
      </c>
      <c r="AM356" s="128" t="n">
        <v>-0.001</v>
      </c>
      <c r="AN356" s="127" t="n">
        <v>70</v>
      </c>
      <c r="AO356" s="119" t="inlineStr">
        <is>
          <t>✓ Good</t>
        </is>
      </c>
      <c r="AP356" s="126" t="n">
        <v>0</v>
      </c>
      <c r="AQ356" s="126" t="n">
        <v>0</v>
      </c>
      <c r="AR356" s="126" t="n">
        <v>0</v>
      </c>
      <c r="AS356" s="126" t="n">
        <v>0</v>
      </c>
      <c r="AT356" s="126" t="n">
        <v>0</v>
      </c>
      <c r="AU356" s="126" t="n">
        <v>0</v>
      </c>
      <c r="AV356" s="126" t="n">
        <v>0</v>
      </c>
      <c r="AW356" s="119" t="inlineStr">
        <is>
          <t>✓ Clean</t>
        </is>
      </c>
      <c r="AX356" s="127" t="n">
        <v>27.1</v>
      </c>
      <c r="AY356" s="119" t="inlineStr">
        <is>
          <t>🟢 LOW RISK</t>
        </is>
      </c>
      <c r="AZ356" s="127" t="n">
        <v>16.3</v>
      </c>
      <c r="BA356" s="127" t="n">
        <v>14.2</v>
      </c>
      <c r="BB356" s="124" t="inlineStr">
        <is>
          <t>N/A</t>
        </is>
      </c>
      <c r="BC356" s="124" t="inlineStr">
        <is>
          <t>N/A</t>
        </is>
      </c>
      <c r="BD356" s="124" t="inlineStr">
        <is>
          <t>N/A</t>
        </is>
      </c>
      <c r="BE356" s="124" t="inlineStr">
        <is>
          <t>N/A</t>
        </is>
      </c>
      <c r="BF356" s="128" t="n">
        <v>0.211</v>
      </c>
      <c r="BG356" s="126" t="n">
        <v>0.993</v>
      </c>
      <c r="BH356" s="126" t="n">
        <v>1</v>
      </c>
      <c r="BI356" s="125" t="n">
        <v>0.6666666666666666</v>
      </c>
    </row>
    <row r="357" ht="17" customHeight="1">
      <c r="A357" s="117" t="inlineStr">
        <is>
          <t>ORLY</t>
        </is>
      </c>
      <c r="B357" s="117" t="inlineStr">
        <is>
          <t>O Reilly Automotive Inc</t>
        </is>
      </c>
      <c r="C357" s="118" t="n">
        <v>1.026</v>
      </c>
      <c r="D357" s="118" t="n">
        <v>0.992</v>
      </c>
      <c r="E357" s="118" t="n">
        <v>0.924</v>
      </c>
      <c r="F357" s="118" t="n">
        <v>1.064</v>
      </c>
      <c r="G357" s="118" t="n">
        <v>1.008</v>
      </c>
      <c r="H357" s="118" t="n">
        <v>1.012</v>
      </c>
      <c r="I357" s="118" t="n">
        <v>1</v>
      </c>
      <c r="J357" s="118" t="n">
        <v>-0.014</v>
      </c>
      <c r="K357" s="118" t="n">
        <v>-2.498</v>
      </c>
      <c r="L357" s="119" t="inlineStr">
        <is>
          <t>✓ Lower Risk</t>
        </is>
      </c>
      <c r="M357" s="120" t="n">
        <v>-0.01</v>
      </c>
      <c r="N357" s="120" t="n">
        <v>0.031</v>
      </c>
      <c r="O357" s="120" t="n">
        <v>0.592</v>
      </c>
      <c r="P357" s="120" t="n">
        <v>0.61</v>
      </c>
      <c r="Q357" s="120" t="n">
        <v>-0.007</v>
      </c>
      <c r="R357" s="117" t="n">
        <v>1</v>
      </c>
      <c r="S357" s="118" t="n">
        <v>-2.834</v>
      </c>
      <c r="T357" s="118" t="n">
        <v>0.055</v>
      </c>
      <c r="U357" s="121" t="inlineStr">
        <is>
          <t>⚠ HIGH RISK</t>
        </is>
      </c>
      <c r="V357" s="117" t="n">
        <v>1</v>
      </c>
      <c r="W357" s="117" t="n">
        <v>1</v>
      </c>
      <c r="X357" s="117" t="n">
        <v>1</v>
      </c>
      <c r="Y357" s="117" t="n">
        <v>0</v>
      </c>
      <c r="Z357" s="117" t="n">
        <v>1</v>
      </c>
      <c r="AA357" s="117" t="n">
        <v>1</v>
      </c>
      <c r="AB357" s="117" t="n">
        <v>5</v>
      </c>
      <c r="AC357" s="121" t="inlineStr">
        <is>
          <t>⚠⚠ SERIOUS CONCERN</t>
        </is>
      </c>
      <c r="AD357" s="118" t="n">
        <v>2761993000</v>
      </c>
      <c r="AE357" s="118" t="n">
        <v>-1152356000</v>
      </c>
      <c r="AF357" s="118" t="n">
        <v>2538209000</v>
      </c>
      <c r="AG357" s="118" t="n">
        <v>0.059</v>
      </c>
      <c r="AH357" s="119" t="inlineStr">
        <is>
          <t>✓ Medium Quality</t>
        </is>
      </c>
      <c r="AI357" s="118" t="n">
        <v>0.092</v>
      </c>
      <c r="AJ357" s="120" t="n">
        <v>0.064</v>
      </c>
      <c r="AK357" s="120" t="n">
        <v>1.437</v>
      </c>
      <c r="AL357" s="120" t="n">
        <v>0.155</v>
      </c>
      <c r="AM357" s="124" t="inlineStr">
        <is>
          <t>N/A</t>
        </is>
      </c>
      <c r="AN357" s="118" t="n">
        <v>86.90000000000001</v>
      </c>
      <c r="AO357" s="119" t="inlineStr">
        <is>
          <t>✓ Good</t>
        </is>
      </c>
      <c r="AP357" s="117" t="n">
        <v>0</v>
      </c>
      <c r="AQ357" s="117" t="n">
        <v>0</v>
      </c>
      <c r="AR357" s="117" t="n">
        <v>0</v>
      </c>
      <c r="AS357" s="117" t="n">
        <v>1</v>
      </c>
      <c r="AT357" s="117" t="n">
        <v>0</v>
      </c>
      <c r="AU357" s="117" t="n">
        <v>0</v>
      </c>
      <c r="AV357" s="117" t="n">
        <v>1</v>
      </c>
      <c r="AW357" s="119" t="inlineStr">
        <is>
          <t>✓ Clean</t>
        </is>
      </c>
      <c r="AX357" s="118" t="n">
        <v>34.7</v>
      </c>
      <c r="AY357" s="119" t="inlineStr">
        <is>
          <t>🟢 LOW RISK</t>
        </is>
      </c>
      <c r="AZ357" s="118" t="n">
        <v>8</v>
      </c>
      <c r="BA357" s="118" t="n">
        <v>7.8</v>
      </c>
      <c r="BB357" s="118" t="n">
        <v>243</v>
      </c>
      <c r="BC357" s="118" t="n">
        <v>228.1</v>
      </c>
      <c r="BD357" s="118" t="n">
        <v>301.2</v>
      </c>
      <c r="BE357" s="118" t="n">
        <v>292.1</v>
      </c>
      <c r="BF357" s="120" t="n">
        <v>0.217</v>
      </c>
      <c r="BG357" s="117" t="n">
        <v>0.61</v>
      </c>
      <c r="BH357" s="122" t="n">
        <v>7</v>
      </c>
      <c r="BI357" s="123" t="n">
        <v>1</v>
      </c>
    </row>
    <row r="358" ht="17" customHeight="1">
      <c r="A358" s="117" t="inlineStr">
        <is>
          <t>ROIV</t>
        </is>
      </c>
      <c r="B358" s="117" t="inlineStr">
        <is>
          <t>ROIVANT SCIENCES LTD.</t>
        </is>
      </c>
      <c r="C358" s="118" t="n">
        <v>6.199</v>
      </c>
      <c r="D358" s="118" t="n">
        <v>0.246</v>
      </c>
      <c r="E358" s="118" t="n">
        <v>1.187</v>
      </c>
      <c r="F358" s="118" t="n">
        <v>0.284</v>
      </c>
      <c r="G358" s="118" t="n">
        <v>2.467</v>
      </c>
      <c r="H358" s="118" t="n">
        <v>4.027</v>
      </c>
      <c r="I358" s="118" t="n">
        <v>1.587</v>
      </c>
      <c r="J358" s="118" t="n">
        <v>0.079</v>
      </c>
      <c r="K358" s="118" t="n">
        <v>1.168</v>
      </c>
      <c r="L358" s="121" t="inlineStr">
        <is>
          <t>⚠ MANIPULATOR RISK</t>
        </is>
      </c>
      <c r="M358" s="120" t="n">
        <v>0.233</v>
      </c>
      <c r="N358" s="120" t="n">
        <v>1.114</v>
      </c>
      <c r="O358" s="120" t="n">
        <v>1.563</v>
      </c>
      <c r="P358" s="120" t="n">
        <v>0.749</v>
      </c>
      <c r="Q358" s="120" t="n">
        <v>-0.021</v>
      </c>
      <c r="R358" s="117" t="n">
        <v>1</v>
      </c>
      <c r="S358" s="118" t="n">
        <v>1.523</v>
      </c>
      <c r="T358" s="118" t="n">
        <v>0.821</v>
      </c>
      <c r="U358" s="121" t="inlineStr">
        <is>
          <t>⚠ HIGH RISK</t>
        </is>
      </c>
      <c r="V358" s="117" t="n">
        <v>1</v>
      </c>
      <c r="W358" s="117" t="n">
        <v>1</v>
      </c>
      <c r="X358" s="117" t="n">
        <v>1</v>
      </c>
      <c r="Y358" s="117" t="n">
        <v>0</v>
      </c>
      <c r="Z358" s="117" t="n">
        <v>1</v>
      </c>
      <c r="AA358" s="117" t="n">
        <v>0</v>
      </c>
      <c r="AB358" s="117" t="n">
        <v>4</v>
      </c>
      <c r="AC358" s="121" t="inlineStr">
        <is>
          <t>⚠⚠ SERIOUS CONCERN</t>
        </is>
      </c>
      <c r="AD358" s="118" t="n">
        <v>-750349000</v>
      </c>
      <c r="AE358" s="118" t="n">
        <v>-682333000</v>
      </c>
      <c r="AF358" s="118" t="n">
        <v>-299771000</v>
      </c>
      <c r="AG358" s="118" t="n">
        <v>0.203</v>
      </c>
      <c r="AH358" s="117" t="inlineStr">
        <is>
          <t>⚠ Low Quality</t>
        </is>
      </c>
      <c r="AI358" s="118" t="n">
        <v>0.763</v>
      </c>
      <c r="AJ358" s="120" t="n">
        <v>-0.716</v>
      </c>
      <c r="AK358" s="120" t="n">
        <v>-1.065</v>
      </c>
      <c r="AL358" s="120" t="n">
        <v>-90.84099999999999</v>
      </c>
      <c r="AM358" s="120" t="n">
        <v>-0.363</v>
      </c>
      <c r="AN358" s="118" t="n">
        <v>51.8</v>
      </c>
      <c r="AO358" s="121" t="inlineStr">
        <is>
          <t>⚠ WATCH</t>
        </is>
      </c>
      <c r="AP358" s="117" t="n">
        <v>1</v>
      </c>
      <c r="AQ358" s="117" t="n">
        <v>1</v>
      </c>
      <c r="AR358" s="117" t="n">
        <v>1</v>
      </c>
      <c r="AS358" s="117" t="n">
        <v>1</v>
      </c>
      <c r="AT358" s="117" t="n">
        <v>0</v>
      </c>
      <c r="AU358" s="117" t="n">
        <v>1</v>
      </c>
      <c r="AV358" s="117" t="n">
        <v>5</v>
      </c>
      <c r="AW358" s="117" t="inlineStr">
        <is>
          <t>⚠⚠ MULTIPLE RED FLAGS</t>
        </is>
      </c>
      <c r="AX358" s="118" t="n">
        <v>72</v>
      </c>
      <c r="AY358" s="121" t="inlineStr">
        <is>
          <t>🔴 HIGH RISK</t>
        </is>
      </c>
      <c r="AZ358" s="118" t="n">
        <v>2366.1</v>
      </c>
      <c r="BA358" s="118" t="n">
        <v>381.7</v>
      </c>
      <c r="BB358" s="118" t="n">
        <v>9.9</v>
      </c>
      <c r="BC358" s="118" t="n">
        <v>0.9</v>
      </c>
      <c r="BD358" s="118" t="n">
        <v>5.1</v>
      </c>
      <c r="BE358" s="118" t="n">
        <v>7.6</v>
      </c>
      <c r="BF358" s="120" t="n">
        <v>-0.504</v>
      </c>
      <c r="BG358" s="117" t="n">
        <v>0.749</v>
      </c>
      <c r="BH358" s="122" t="n">
        <v>10</v>
      </c>
      <c r="BI358" s="123" t="n">
        <v>1</v>
      </c>
    </row>
    <row r="359" ht="17" customHeight="1">
      <c r="A359" s="117" t="inlineStr">
        <is>
          <t>ALNY</t>
        </is>
      </c>
      <c r="B359" s="117" t="inlineStr">
        <is>
          <t>ALNYLAM PHARMACEUTICALS, INC.</t>
        </is>
      </c>
      <c r="C359" s="118" t="n">
        <v>1.561</v>
      </c>
      <c r="D359" s="118" t="n">
        <v>1.834</v>
      </c>
      <c r="E359" s="118" t="n">
        <v>0.778</v>
      </c>
      <c r="F359" s="118" t="n">
        <v>1.229</v>
      </c>
      <c r="G359" s="118" t="n">
        <v>1.151</v>
      </c>
      <c r="H359" s="118" t="n">
        <v>1.01</v>
      </c>
      <c r="I359" s="118" t="n">
        <v>0.855</v>
      </c>
      <c r="J359" s="118" t="n">
        <v>-0.042</v>
      </c>
      <c r="K359" s="118" t="n">
        <v>-1.544</v>
      </c>
      <c r="L359" s="121" t="inlineStr">
        <is>
          <t>⚠ MANIPULATOR RISK</t>
        </is>
      </c>
      <c r="M359" s="120" t="n">
        <v>-0.046</v>
      </c>
      <c r="N359" s="120" t="n">
        <v>1.927</v>
      </c>
      <c r="O359" s="120" t="n">
        <v>0.022</v>
      </c>
      <c r="P359" s="120" t="n">
        <v>0.5629999999999999</v>
      </c>
      <c r="Q359" s="120" t="n">
        <v>0.015</v>
      </c>
      <c r="R359" s="117" t="n">
        <v>1</v>
      </c>
      <c r="S359" s="118" t="n">
        <v>1.131</v>
      </c>
      <c r="T359" s="118" t="n">
        <v>0.756</v>
      </c>
      <c r="U359" s="121" t="inlineStr">
        <is>
          <t>⚠ HIGH RISK</t>
        </is>
      </c>
      <c r="V359" s="117" t="n">
        <v>0</v>
      </c>
      <c r="W359" s="117" t="n">
        <v>1</v>
      </c>
      <c r="X359" s="117" t="n">
        <v>0</v>
      </c>
      <c r="Y359" s="117" t="n">
        <v>0</v>
      </c>
      <c r="Z359" s="117" t="n">
        <v>1</v>
      </c>
      <c r="AA359" s="117" t="n">
        <v>1</v>
      </c>
      <c r="AB359" s="117" t="n">
        <v>3</v>
      </c>
      <c r="AC359" s="121" t="inlineStr">
        <is>
          <t>⚠ WATCH</t>
        </is>
      </c>
      <c r="AD359" s="118" t="n">
        <v>524080000</v>
      </c>
      <c r="AE359" s="118" t="n">
        <v>436329000</v>
      </c>
      <c r="AF359" s="118" t="n">
        <v>313747000</v>
      </c>
      <c r="AG359" s="118" t="n">
        <v>-0.14</v>
      </c>
      <c r="AH359" s="119" t="inlineStr">
        <is>
          <t>✓ High Quality</t>
        </is>
      </c>
      <c r="AI359" s="118" t="n">
        <v>0.918</v>
      </c>
      <c r="AJ359" s="120" t="n">
        <v>0.229</v>
      </c>
      <c r="AK359" s="120" t="n">
        <v>4.015</v>
      </c>
      <c r="AL359" s="120" t="n">
        <v>0.505</v>
      </c>
      <c r="AM359" s="120" t="n">
        <v>0.008</v>
      </c>
      <c r="AN359" s="118" t="n">
        <v>70.40000000000001</v>
      </c>
      <c r="AO359" s="119" t="inlineStr">
        <is>
          <t>✓ Good</t>
        </is>
      </c>
      <c r="AP359" s="117" t="n">
        <v>0</v>
      </c>
      <c r="AQ359" s="117" t="n">
        <v>1</v>
      </c>
      <c r="AR359" s="117" t="n">
        <v>1</v>
      </c>
      <c r="AS359" s="117" t="n">
        <v>1</v>
      </c>
      <c r="AT359" s="117" t="n">
        <v>1</v>
      </c>
      <c r="AU359" s="117" t="n">
        <v>0</v>
      </c>
      <c r="AV359" s="117" t="n">
        <v>4</v>
      </c>
      <c r="AW359" s="117" t="inlineStr">
        <is>
          <t>⚠⚠ MULTIPLE RED FLAGS</t>
        </is>
      </c>
      <c r="AX359" s="118" t="n">
        <v>57.5</v>
      </c>
      <c r="AY359" s="121" t="inlineStr">
        <is>
          <t>🟡 ELEVATED RISK</t>
        </is>
      </c>
      <c r="AZ359" s="118" t="n">
        <v>273.6</v>
      </c>
      <c r="BA359" s="118" t="n">
        <v>175.2</v>
      </c>
      <c r="BB359" s="118" t="n">
        <v>44.6</v>
      </c>
      <c r="BC359" s="118" t="n">
        <v>93.5</v>
      </c>
      <c r="BD359" s="118" t="n">
        <v>62.4</v>
      </c>
      <c r="BE359" s="118" t="n">
        <v>105.3</v>
      </c>
      <c r="BF359" s="120" t="n">
        <v>0.029</v>
      </c>
      <c r="BG359" s="117" t="n">
        <v>0.5629999999999999</v>
      </c>
      <c r="BH359" s="122" t="n">
        <v>8</v>
      </c>
      <c r="BI359" s="123" t="n">
        <v>1</v>
      </c>
    </row>
    <row r="360" ht="17" customHeight="1">
      <c r="A360" s="117" t="inlineStr">
        <is>
          <t>IOSP</t>
        </is>
      </c>
      <c r="B360" s="117" t="inlineStr">
        <is>
          <t>INNOSPEC INC.</t>
        </is>
      </c>
      <c r="C360" s="118" t="n">
        <v>1.04</v>
      </c>
      <c r="D360" s="118" t="n">
        <v>1.062</v>
      </c>
      <c r="E360" s="118" t="n">
        <v>1.009</v>
      </c>
      <c r="F360" s="118" t="n">
        <v>0.963</v>
      </c>
      <c r="G360" s="118" t="n">
        <v>1.05</v>
      </c>
      <c r="H360" s="118" t="n">
        <v>0.9419999999999999</v>
      </c>
      <c r="I360" s="118" t="n">
        <v>0.912</v>
      </c>
      <c r="J360" s="118" t="n">
        <v>-0.01</v>
      </c>
      <c r="K360" s="118" t="n">
        <v>-2.443</v>
      </c>
      <c r="L360" s="119" t="inlineStr">
        <is>
          <t>✓ Lower Risk</t>
        </is>
      </c>
      <c r="M360" s="120" t="n">
        <v>0.007</v>
      </c>
      <c r="N360" s="120" t="n">
        <v>0.008999999999999999</v>
      </c>
      <c r="O360" s="120" t="n">
        <v>0.42</v>
      </c>
      <c r="P360" s="120" t="n">
        <v>0.6840000000000001</v>
      </c>
      <c r="Q360" s="120" t="n">
        <v>0.017</v>
      </c>
      <c r="R360" s="117" t="n">
        <v>0</v>
      </c>
      <c r="S360" s="118" t="n">
        <v>-6.018</v>
      </c>
      <c r="T360" s="118" t="n">
        <v>0.002</v>
      </c>
      <c r="U360" s="119" t="inlineStr">
        <is>
          <t>✓ Normal</t>
        </is>
      </c>
      <c r="V360" s="117" t="n">
        <v>1</v>
      </c>
      <c r="W360" s="117" t="n">
        <v>1</v>
      </c>
      <c r="X360" s="117" t="n">
        <v>1</v>
      </c>
      <c r="Y360" s="117" t="n">
        <v>0</v>
      </c>
      <c r="Z360" s="117" t="n">
        <v>1</v>
      </c>
      <c r="AA360" s="117" t="n">
        <v>0</v>
      </c>
      <c r="AB360" s="117" t="n">
        <v>4</v>
      </c>
      <c r="AC360" s="121" t="inlineStr">
        <is>
          <t>⚠⚠ SERIOUS CONCERN</t>
        </is>
      </c>
      <c r="AD360" s="118" t="n">
        <v>138300000</v>
      </c>
      <c r="AE360" s="118" t="n">
        <v>-75100000</v>
      </c>
      <c r="AF360" s="118" t="n">
        <v>119500000</v>
      </c>
      <c r="AG360" s="118" t="n">
        <v>0.032</v>
      </c>
      <c r="AH360" s="119" t="inlineStr">
        <is>
          <t>✓ Medium Quality</t>
        </is>
      </c>
      <c r="AI360" s="118" t="n">
        <v>0.002</v>
      </c>
      <c r="AJ360" s="120" t="n">
        <v>-0.037</v>
      </c>
      <c r="AK360" s="120" t="n">
        <v>-0.048</v>
      </c>
      <c r="AL360" s="120" t="n">
        <v>0.078</v>
      </c>
      <c r="AM360" s="120" t="n">
        <v>0</v>
      </c>
      <c r="AN360" s="118" t="n">
        <v>85.59999999999999</v>
      </c>
      <c r="AO360" s="119" t="inlineStr">
        <is>
          <t>✓ Good</t>
        </is>
      </c>
      <c r="AP360" s="117" t="n">
        <v>1</v>
      </c>
      <c r="AQ360" s="117" t="n">
        <v>1</v>
      </c>
      <c r="AR360" s="117" t="n">
        <v>1</v>
      </c>
      <c r="AS360" s="117" t="n">
        <v>0</v>
      </c>
      <c r="AT360" s="117" t="n">
        <v>0</v>
      </c>
      <c r="AU360" s="117" t="n">
        <v>0</v>
      </c>
      <c r="AV360" s="117" t="n">
        <v>3</v>
      </c>
      <c r="AW360" s="121" t="inlineStr">
        <is>
          <t>⚠ WATCH</t>
        </is>
      </c>
      <c r="AX360" s="118" t="n">
        <v>24.7</v>
      </c>
      <c r="AY360" s="119" t="inlineStr">
        <is>
          <t>🟢 LOW RISK</t>
        </is>
      </c>
      <c r="AZ360" s="118" t="n">
        <v>70.3</v>
      </c>
      <c r="BA360" s="118" t="n">
        <v>67.59999999999999</v>
      </c>
      <c r="BB360" s="118" t="n">
        <v>93.5</v>
      </c>
      <c r="BC360" s="118" t="n">
        <v>84.3</v>
      </c>
      <c r="BD360" s="118" t="n">
        <v>49.6</v>
      </c>
      <c r="BE360" s="118" t="n">
        <v>45.9</v>
      </c>
      <c r="BF360" s="120" t="n">
        <v>0.156</v>
      </c>
      <c r="BG360" s="117" t="n">
        <v>0.6840000000000001</v>
      </c>
      <c r="BH360" s="122" t="n">
        <v>7</v>
      </c>
      <c r="BI360" s="123" t="n">
        <v>1</v>
      </c>
    </row>
    <row r="361" ht="17" customHeight="1">
      <c r="A361" s="117" t="inlineStr">
        <is>
          <t>PAYC</t>
        </is>
      </c>
      <c r="B361" s="117" t="inlineStr">
        <is>
          <t>Paycom Software, Inc.</t>
        </is>
      </c>
      <c r="C361" s="118" t="n">
        <v>1.016</v>
      </c>
      <c r="D361" s="118" t="n">
        <v>1.024</v>
      </c>
      <c r="E361" s="118" t="n">
        <v>0.844</v>
      </c>
      <c r="F361" s="118" t="n">
        <v>1.128</v>
      </c>
      <c r="G361" s="118" t="n">
        <v>1.031</v>
      </c>
      <c r="H361" s="118" t="n">
        <v>1.105</v>
      </c>
      <c r="I361" s="118" t="n">
        <v>1.056</v>
      </c>
      <c r="J361" s="118" t="n">
        <v>-0.03</v>
      </c>
      <c r="K361" s="118" t="n">
        <v>-2.574</v>
      </c>
      <c r="L361" s="119" t="inlineStr">
        <is>
          <t>✓ Lower Risk</t>
        </is>
      </c>
      <c r="M361" s="120" t="n">
        <v>0.001</v>
      </c>
      <c r="N361" s="120" t="n">
        <v>0.334</v>
      </c>
      <c r="O361" s="120" t="n">
        <v>0.018</v>
      </c>
      <c r="P361" s="120" t="n">
        <v>0.886</v>
      </c>
      <c r="Q361" s="120" t="n">
        <v>-0.026</v>
      </c>
      <c r="R361" s="117" t="n">
        <v>0</v>
      </c>
      <c r="S361" s="118" t="n">
        <v>-5.265</v>
      </c>
      <c r="T361" s="118" t="n">
        <v>0.005</v>
      </c>
      <c r="U361" s="119" t="inlineStr">
        <is>
          <t>✓ Normal</t>
        </is>
      </c>
      <c r="V361" s="117" t="n">
        <v>0</v>
      </c>
      <c r="W361" s="117" t="n">
        <v>1</v>
      </c>
      <c r="X361" s="117" t="n">
        <v>1</v>
      </c>
      <c r="Y361" s="117" t="n">
        <v>1</v>
      </c>
      <c r="Z361" s="117" t="n">
        <v>1</v>
      </c>
      <c r="AA361" s="117" t="n">
        <v>1</v>
      </c>
      <c r="AB361" s="117" t="n">
        <v>5</v>
      </c>
      <c r="AC361" s="121" t="inlineStr">
        <is>
          <t>⚠⚠ SERIOUS CONCERN</t>
        </is>
      </c>
      <c r="AD361" s="118" t="n">
        <v>678900000</v>
      </c>
      <c r="AE361" s="118" t="n">
        <v>-611200000</v>
      </c>
      <c r="AF361" s="118" t="n">
        <v>453400000</v>
      </c>
      <c r="AG361" s="118" t="n">
        <v>0.057</v>
      </c>
      <c r="AH361" s="119" t="inlineStr">
        <is>
          <t>✓ Medium Quality</t>
        </is>
      </c>
      <c r="AI361" s="118" t="n">
        <v>0.145</v>
      </c>
      <c r="AJ361" s="120" t="n">
        <v>0.128</v>
      </c>
      <c r="AK361" s="120" t="n">
        <v>1.137</v>
      </c>
      <c r="AL361" s="120" t="n">
        <v>4.516</v>
      </c>
      <c r="AM361" s="120" t="n">
        <v>-0.011</v>
      </c>
      <c r="AN361" s="118" t="n">
        <v>95.3</v>
      </c>
      <c r="AO361" s="119" t="inlineStr">
        <is>
          <t>✓ Good</t>
        </is>
      </c>
      <c r="AP361" s="117" t="n">
        <v>0</v>
      </c>
      <c r="AQ361" s="117" t="n">
        <v>0</v>
      </c>
      <c r="AR361" s="117" t="n">
        <v>1</v>
      </c>
      <c r="AS361" s="117" t="n">
        <v>1</v>
      </c>
      <c r="AT361" s="117" t="n">
        <v>1</v>
      </c>
      <c r="AU361" s="117" t="n">
        <v>0</v>
      </c>
      <c r="AV361" s="117" t="n">
        <v>3</v>
      </c>
      <c r="AW361" s="121" t="inlineStr">
        <is>
          <t>⚠ WATCH</t>
        </is>
      </c>
      <c r="AX361" s="118" t="n">
        <v>28.1</v>
      </c>
      <c r="AY361" s="119" t="inlineStr">
        <is>
          <t>🟢 LOW RISK</t>
        </is>
      </c>
      <c r="AZ361" s="118" t="n">
        <v>109</v>
      </c>
      <c r="BA361" s="118" t="n">
        <v>107.3</v>
      </c>
      <c r="BB361" s="118" t="n">
        <v>1.8</v>
      </c>
      <c r="BC361" s="118" t="n">
        <v>1.5</v>
      </c>
      <c r="BD361" s="118" t="n">
        <v>7</v>
      </c>
      <c r="BE361" s="118" t="n">
        <v>26.1</v>
      </c>
      <c r="BF361" s="120" t="n">
        <v>0.268</v>
      </c>
      <c r="BG361" s="117" t="n">
        <v>0.886</v>
      </c>
      <c r="BH361" s="122" t="n">
        <v>8</v>
      </c>
      <c r="BI361" s="123" t="n">
        <v>1</v>
      </c>
    </row>
    <row r="362" ht="17" customHeight="1">
      <c r="A362" s="117" t="inlineStr">
        <is>
          <t>UNP</t>
        </is>
      </c>
      <c r="B362" s="117" t="inlineStr">
        <is>
          <t>UNION PACIFIC CORP</t>
        </is>
      </c>
      <c r="C362" s="118" t="n">
        <v>0.258</v>
      </c>
      <c r="D362" s="118" t="n">
        <v>-3.886</v>
      </c>
      <c r="E362" s="118" t="n">
        <v>0.983</v>
      </c>
      <c r="F362" s="118" t="n">
        <v>3.799</v>
      </c>
      <c r="G362" s="118" t="n">
        <v>0.997</v>
      </c>
      <c r="H362" s="124" t="inlineStr">
        <is>
          <t>N/A</t>
        </is>
      </c>
      <c r="I362" s="118" t="n">
        <v>0.979</v>
      </c>
      <c r="J362" s="118" t="n">
        <v>-0.031</v>
      </c>
      <c r="K362" s="118" t="n">
        <v>-3.218</v>
      </c>
      <c r="L362" s="119" t="inlineStr">
        <is>
          <t>✓ Lower Risk</t>
        </is>
      </c>
      <c r="M362" s="120" t="n">
        <v>-0.028</v>
      </c>
      <c r="N362" s="120" t="n">
        <v>-0.002</v>
      </c>
      <c r="O362" s="124" t="inlineStr">
        <is>
          <t>N/A</t>
        </is>
      </c>
      <c r="P362" s="120" t="n">
        <v>0.158</v>
      </c>
      <c r="Q362" s="120" t="n">
        <v>0.003</v>
      </c>
      <c r="R362" s="117" t="n">
        <v>0</v>
      </c>
      <c r="S362" s="118" t="n">
        <v>-7.609</v>
      </c>
      <c r="T362" s="118" t="n">
        <v>0</v>
      </c>
      <c r="U362" s="119" t="inlineStr">
        <is>
          <t>✓ Normal</t>
        </is>
      </c>
      <c r="V362" s="117" t="n">
        <v>1</v>
      </c>
      <c r="W362" s="117" t="n">
        <v>0</v>
      </c>
      <c r="X362" s="117" t="n">
        <v>0</v>
      </c>
      <c r="Y362" s="117" t="n">
        <v>1</v>
      </c>
      <c r="Z362" s="117" t="n">
        <v>1</v>
      </c>
      <c r="AA362" s="117" t="n">
        <v>0</v>
      </c>
      <c r="AB362" s="117" t="n">
        <v>3</v>
      </c>
      <c r="AC362" s="121" t="inlineStr">
        <is>
          <t>⚠ WATCH</t>
        </is>
      </c>
      <c r="AD362" s="118" t="n">
        <v>9290000000</v>
      </c>
      <c r="AE362" s="118" t="n">
        <v>-3762000000</v>
      </c>
      <c r="AF362" s="118" t="n">
        <v>7138000000</v>
      </c>
      <c r="AG362" s="118" t="n">
        <v>0.023</v>
      </c>
      <c r="AH362" s="119" t="inlineStr">
        <is>
          <t>✓ Medium Quality</t>
        </is>
      </c>
      <c r="AI362" s="118" t="n">
        <v>-0.018</v>
      </c>
      <c r="AJ362" s="120" t="n">
        <v>2.799</v>
      </c>
      <c r="AK362" s="120" t="n">
        <v>-0.006</v>
      </c>
      <c r="AL362" s="120" t="n">
        <v>0.476</v>
      </c>
      <c r="AM362" s="124" t="inlineStr">
        <is>
          <t>N/A</t>
        </is>
      </c>
      <c r="AN362" s="117" t="n">
        <v>100</v>
      </c>
      <c r="AO362" s="119" t="inlineStr">
        <is>
          <t>✓ Good</t>
        </is>
      </c>
      <c r="AP362" s="117" t="n">
        <v>0</v>
      </c>
      <c r="AQ362" s="117" t="n">
        <v>0</v>
      </c>
      <c r="AR362" s="117" t="n">
        <v>0</v>
      </c>
      <c r="AS362" s="117" t="n">
        <v>0</v>
      </c>
      <c r="AT362" s="117" t="n">
        <v>0</v>
      </c>
      <c r="AU362" s="117" t="n">
        <v>1</v>
      </c>
      <c r="AV362" s="117" t="n">
        <v>1</v>
      </c>
      <c r="AW362" s="119" t="inlineStr">
        <is>
          <t>✓ Clean</t>
        </is>
      </c>
      <c r="AX362" s="118" t="n">
        <v>16.2</v>
      </c>
      <c r="AY362" s="119" t="inlineStr">
        <is>
          <t>🟢 VERY LOW RISK</t>
        </is>
      </c>
      <c r="AZ362" s="118" t="n">
        <v>34.8</v>
      </c>
      <c r="BA362" s="118" t="n">
        <v>134.5</v>
      </c>
      <c r="BB362" s="124" t="inlineStr">
        <is>
          <t>N/A</t>
        </is>
      </c>
      <c r="BC362" s="124" t="inlineStr">
        <is>
          <t>N/A</t>
        </is>
      </c>
      <c r="BD362" s="118" t="n">
        <v>25.1</v>
      </c>
      <c r="BE362" s="118" t="n">
        <v>23.5</v>
      </c>
      <c r="BF362" s="120" t="n">
        <v>0.221</v>
      </c>
      <c r="BG362" s="117" t="n">
        <v>0.158</v>
      </c>
      <c r="BH362" s="122" t="n">
        <v>4</v>
      </c>
      <c r="BI362" s="123" t="n">
        <v>1</v>
      </c>
    </row>
    <row r="363" ht="17" customHeight="1">
      <c r="A363" s="117" t="inlineStr">
        <is>
          <t>SHAK</t>
        </is>
      </c>
      <c r="B363" s="117" t="inlineStr">
        <is>
          <t>SHAKE SHACK INC.</t>
        </is>
      </c>
      <c r="C363" s="118" t="n">
        <v>1.451</v>
      </c>
      <c r="D363" s="118" t="n">
        <v>0.056</v>
      </c>
      <c r="E363" s="118" t="n">
        <v>0.967</v>
      </c>
      <c r="F363" s="118" t="n">
        <v>1.154</v>
      </c>
      <c r="G363" s="118" t="n">
        <v>1.076</v>
      </c>
      <c r="H363" s="118" t="n">
        <v>1.025</v>
      </c>
      <c r="I363" s="118" t="n">
        <v>0.998</v>
      </c>
      <c r="J363" s="118" t="n">
        <v>-0.093</v>
      </c>
      <c r="K363" s="118" t="n">
        <v>-2.87</v>
      </c>
      <c r="L363" s="119" t="inlineStr">
        <is>
          <t>✓ Lower Risk</t>
        </is>
      </c>
      <c r="M363" s="120" t="n">
        <v>-0.075</v>
      </c>
      <c r="N363" s="120" t="n">
        <v>0.06900000000000001</v>
      </c>
      <c r="O363" s="120" t="n">
        <v>0.006</v>
      </c>
      <c r="P363" s="120" t="n">
        <v>0.48</v>
      </c>
      <c r="Q363" s="120" t="n">
        <v>0.018</v>
      </c>
      <c r="R363" s="117" t="n">
        <v>0</v>
      </c>
      <c r="S363" s="118" t="n">
        <v>-6.829</v>
      </c>
      <c r="T363" s="118" t="n">
        <v>0.001</v>
      </c>
      <c r="U363" s="119" t="inlineStr">
        <is>
          <t>✓ Normal</t>
        </is>
      </c>
      <c r="V363" s="117" t="n">
        <v>1</v>
      </c>
      <c r="W363" s="117" t="n">
        <v>1</v>
      </c>
      <c r="X363" s="117" t="n">
        <v>1</v>
      </c>
      <c r="Y363" s="117" t="n">
        <v>1</v>
      </c>
      <c r="Z363" s="117" t="n">
        <v>1</v>
      </c>
      <c r="AA363" s="117" t="n">
        <v>1</v>
      </c>
      <c r="AB363" s="117" t="n">
        <v>6</v>
      </c>
      <c r="AC363" s="121" t="inlineStr">
        <is>
          <t>⚠⚠ SERIOUS CONCERN</t>
        </is>
      </c>
      <c r="AD363" s="118" t="n">
        <v>222355000</v>
      </c>
      <c r="AE363" s="118" t="n">
        <v>-165849000</v>
      </c>
      <c r="AF363" s="118" t="n">
        <v>45725000</v>
      </c>
      <c r="AG363" s="118" t="n">
        <v>-0.006</v>
      </c>
      <c r="AH363" s="119" t="inlineStr">
        <is>
          <t>✓ Medium Quality</t>
        </is>
      </c>
      <c r="AI363" s="118" t="n">
        <v>0.674</v>
      </c>
      <c r="AJ363" s="120" t="n">
        <v>0.154</v>
      </c>
      <c r="AK363" s="120" t="n">
        <v>4.383</v>
      </c>
      <c r="AL363" s="120" t="n">
        <v>0.154</v>
      </c>
      <c r="AM363" s="120" t="n">
        <v>0</v>
      </c>
      <c r="AN363" s="118" t="n">
        <v>70</v>
      </c>
      <c r="AO363" s="119" t="inlineStr">
        <is>
          <t>✓ Good</t>
        </is>
      </c>
      <c r="AP363" s="117" t="n">
        <v>0</v>
      </c>
      <c r="AQ363" s="117" t="n">
        <v>0</v>
      </c>
      <c r="AR363" s="117" t="n">
        <v>0</v>
      </c>
      <c r="AS363" s="117" t="n">
        <v>1</v>
      </c>
      <c r="AT363" s="117" t="n">
        <v>0</v>
      </c>
      <c r="AU363" s="117" t="n">
        <v>0</v>
      </c>
      <c r="AV363" s="117" t="n">
        <v>1</v>
      </c>
      <c r="AW363" s="119" t="inlineStr">
        <is>
          <t>✓ Clean</t>
        </is>
      </c>
      <c r="AX363" s="118" t="n">
        <v>28.5</v>
      </c>
      <c r="AY363" s="119" t="inlineStr">
        <is>
          <t>🟢 LOW RISK</t>
        </is>
      </c>
      <c r="AZ363" s="118" t="n">
        <v>8.300000000000001</v>
      </c>
      <c r="BA363" s="118" t="n">
        <v>5.7</v>
      </c>
      <c r="BB363" s="118" t="n">
        <v>1.9</v>
      </c>
      <c r="BC363" s="118" t="n">
        <v>1.8</v>
      </c>
      <c r="BD363" s="118" t="n">
        <v>6.5</v>
      </c>
      <c r="BE363" s="118" t="n">
        <v>6.9</v>
      </c>
      <c r="BF363" s="120" t="n">
        <v>0.315</v>
      </c>
      <c r="BG363" s="117" t="n">
        <v>0.48</v>
      </c>
      <c r="BH363" s="122" t="n">
        <v>7</v>
      </c>
      <c r="BI363" s="123" t="n">
        <v>1</v>
      </c>
    </row>
    <row r="364" ht="17" customHeight="1">
      <c r="A364" s="117" t="inlineStr">
        <is>
          <t>WBD</t>
        </is>
      </c>
      <c r="B364" s="117" t="inlineStr">
        <is>
          <t>Warner Bros. Discovery, Inc.</t>
        </is>
      </c>
      <c r="C364" s="118" t="n">
        <v>0.697</v>
      </c>
      <c r="D364" s="118" t="n">
        <v>0.978</v>
      </c>
      <c r="E364" s="118" t="n">
        <v>0.993</v>
      </c>
      <c r="F364" s="118" t="n">
        <v>1.535</v>
      </c>
      <c r="G364" s="118" t="n">
        <v>1.167</v>
      </c>
      <c r="H364" s="118" t="n">
        <v>0.66</v>
      </c>
      <c r="I364" s="118" t="n">
        <v>0.944</v>
      </c>
      <c r="J364" s="118" t="n">
        <v>-0.036</v>
      </c>
      <c r="K364" s="118" t="n">
        <v>-2.368</v>
      </c>
      <c r="L364" s="119" t="inlineStr">
        <is>
          <t>✓ Lower Risk</t>
        </is>
      </c>
      <c r="M364" s="120" t="n">
        <v>-0.025</v>
      </c>
      <c r="N364" s="120" t="n">
        <v>0.094</v>
      </c>
      <c r="O364" s="124" t="inlineStr">
        <is>
          <t>N/A</t>
        </is>
      </c>
      <c r="P364" s="120" t="n">
        <v>0.888</v>
      </c>
      <c r="Q364" s="120" t="n">
        <v>0.115</v>
      </c>
      <c r="R364" s="117" t="n">
        <v>1</v>
      </c>
      <c r="S364" s="118" t="n">
        <v>-2.895</v>
      </c>
      <c r="T364" s="118" t="n">
        <v>0.052</v>
      </c>
      <c r="U364" s="121" t="inlineStr">
        <is>
          <t>⚠ HIGH RISK</t>
        </is>
      </c>
      <c r="V364" s="117" t="n">
        <v>1</v>
      </c>
      <c r="W364" s="117" t="n">
        <v>0</v>
      </c>
      <c r="X364" s="117" t="n">
        <v>0</v>
      </c>
      <c r="Y364" s="117" t="n">
        <v>1</v>
      </c>
      <c r="Z364" s="117" t="n">
        <v>1</v>
      </c>
      <c r="AA364" s="117" t="n">
        <v>0</v>
      </c>
      <c r="AB364" s="117" t="n">
        <v>3</v>
      </c>
      <c r="AC364" s="121" t="inlineStr">
        <is>
          <t>⚠ WATCH</t>
        </is>
      </c>
      <c r="AD364" s="118" t="n">
        <v>4319000000</v>
      </c>
      <c r="AE364" s="118" t="n">
        <v>-1179000000</v>
      </c>
      <c r="AF364" s="118" t="n">
        <v>727000000</v>
      </c>
      <c r="AG364" s="118" t="n">
        <v>-0.024</v>
      </c>
      <c r="AH364" s="119" t="inlineStr">
        <is>
          <t>✓ Medium Quality</t>
        </is>
      </c>
      <c r="AI364" s="118" t="n">
        <v>0.07000000000000001</v>
      </c>
      <c r="AJ364" s="120" t="n">
        <v>0.535</v>
      </c>
      <c r="AK364" s="120" t="n">
        <v>0.131</v>
      </c>
      <c r="AL364" s="120" t="n">
        <v>0.409</v>
      </c>
      <c r="AM364" s="120" t="n">
        <v>-0</v>
      </c>
      <c r="AN364" s="117" t="n">
        <v>100</v>
      </c>
      <c r="AO364" s="119" t="inlineStr">
        <is>
          <t>✓ Good</t>
        </is>
      </c>
      <c r="AP364" s="117" t="n">
        <v>0</v>
      </c>
      <c r="AQ364" s="117" t="n">
        <v>0</v>
      </c>
      <c r="AR364" s="117" t="n">
        <v>0</v>
      </c>
      <c r="AS364" s="117" t="n">
        <v>0</v>
      </c>
      <c r="AT364" s="117" t="n">
        <v>0</v>
      </c>
      <c r="AU364" s="117" t="n">
        <v>0</v>
      </c>
      <c r="AV364" s="117" t="n">
        <v>0</v>
      </c>
      <c r="AW364" s="119" t="inlineStr">
        <is>
          <t>✓ Clean</t>
        </is>
      </c>
      <c r="AX364" s="118" t="n">
        <v>25.7</v>
      </c>
      <c r="AY364" s="119" t="inlineStr">
        <is>
          <t>🟢 LOW RISK</t>
        </is>
      </c>
      <c r="AZ364" s="118" t="n">
        <v>183.1</v>
      </c>
      <c r="BA364" s="118" t="n">
        <v>262.7</v>
      </c>
      <c r="BB364" s="124" t="inlineStr">
        <is>
          <t>N/A</t>
        </is>
      </c>
      <c r="BC364" s="124" t="inlineStr">
        <is>
          <t>N/A</t>
        </is>
      </c>
      <c r="BD364" s="118" t="n">
        <v>101.4</v>
      </c>
      <c r="BE364" s="118" t="n">
        <v>145</v>
      </c>
      <c r="BF364" s="120" t="n">
        <v>0.543</v>
      </c>
      <c r="BG364" s="117" t="n">
        <v>0.888</v>
      </c>
      <c r="BH364" s="122" t="n">
        <v>4</v>
      </c>
      <c r="BI364" s="123" t="n">
        <v>1</v>
      </c>
    </row>
    <row r="365" ht="17" customHeight="1">
      <c r="A365" s="117" t="inlineStr">
        <is>
          <t>WMT</t>
        </is>
      </c>
      <c r="B365" s="117" t="inlineStr">
        <is>
          <t>WALMART INC.</t>
        </is>
      </c>
      <c r="C365" s="118" t="n">
        <v>1.069</v>
      </c>
      <c r="D365" s="118" t="n">
        <v>0.997</v>
      </c>
      <c r="E365" s="118" t="n">
        <v>0.951</v>
      </c>
      <c r="F365" s="118" t="n">
        <v>1.047</v>
      </c>
      <c r="G365" s="118" t="n">
        <v>1.109</v>
      </c>
      <c r="H365" s="118" t="n">
        <v>1.01</v>
      </c>
      <c r="I365" s="118" t="n">
        <v>1</v>
      </c>
      <c r="J365" s="118" t="n">
        <v>-0.06900000000000001</v>
      </c>
      <c r="K365" s="118" t="n">
        <v>-2.708</v>
      </c>
      <c r="L365" s="119" t="inlineStr">
        <is>
          <t>✓ Lower Risk</t>
        </is>
      </c>
      <c r="M365" s="120" t="n">
        <v>-0.063</v>
      </c>
      <c r="N365" s="120" t="n">
        <v>0.037</v>
      </c>
      <c r="O365" s="120" t="n">
        <v>0.075</v>
      </c>
      <c r="P365" s="120" t="n">
        <v>0.484</v>
      </c>
      <c r="Q365" s="120" t="n">
        <v>0.002</v>
      </c>
      <c r="R365" s="117" t="n">
        <v>0</v>
      </c>
      <c r="S365" s="118" t="n">
        <v>-6.802</v>
      </c>
      <c r="T365" s="118" t="n">
        <v>0.001</v>
      </c>
      <c r="U365" s="119" t="inlineStr">
        <is>
          <t>✓ Normal</t>
        </is>
      </c>
      <c r="V365" s="117" t="n">
        <v>0</v>
      </c>
      <c r="W365" s="117" t="n">
        <v>1</v>
      </c>
      <c r="X365" s="117" t="n">
        <v>0</v>
      </c>
      <c r="Y365" s="117" t="n">
        <v>0</v>
      </c>
      <c r="Z365" s="117" t="n">
        <v>1</v>
      </c>
      <c r="AA365" s="117" t="n">
        <v>0</v>
      </c>
      <c r="AB365" s="117" t="n">
        <v>2</v>
      </c>
      <c r="AC365" s="121" t="inlineStr">
        <is>
          <t>⚠ WATCH</t>
        </is>
      </c>
      <c r="AD365" s="118" t="n">
        <v>41565000000</v>
      </c>
      <c r="AE365" s="118" t="n">
        <v>-26350000000</v>
      </c>
      <c r="AF365" s="118" t="n">
        <v>21893000000</v>
      </c>
      <c r="AG365" s="118" t="n">
        <v>0.024</v>
      </c>
      <c r="AH365" s="119" t="inlineStr">
        <is>
          <t>✓ Medium Quality</t>
        </is>
      </c>
      <c r="AI365" s="118" t="n">
        <v>0.12</v>
      </c>
      <c r="AJ365" s="120" t="n">
        <v>0.047</v>
      </c>
      <c r="AK365" s="120" t="n">
        <v>2.54</v>
      </c>
      <c r="AL365" s="120" t="n">
        <v>0.058</v>
      </c>
      <c r="AM365" s="120" t="n">
        <v>-0</v>
      </c>
      <c r="AN365" s="118" t="n">
        <v>51.7</v>
      </c>
      <c r="AO365" s="121" t="inlineStr">
        <is>
          <t>⚠ WATCH</t>
        </is>
      </c>
      <c r="AP365" s="117" t="n">
        <v>0</v>
      </c>
      <c r="AQ365" s="117" t="n">
        <v>0</v>
      </c>
      <c r="AR365" s="117" t="n">
        <v>0</v>
      </c>
      <c r="AS365" s="117" t="n">
        <v>1</v>
      </c>
      <c r="AT365" s="117" t="n">
        <v>0</v>
      </c>
      <c r="AU365" s="117" t="n">
        <v>0</v>
      </c>
      <c r="AV365" s="117" t="n">
        <v>1</v>
      </c>
      <c r="AW365" s="119" t="inlineStr">
        <is>
          <t>✓ Clean</t>
        </is>
      </c>
      <c r="AX365" s="118" t="n">
        <v>17</v>
      </c>
      <c r="AY365" s="119" t="inlineStr">
        <is>
          <t>🟢 VERY LOW RISK</t>
        </is>
      </c>
      <c r="AZ365" s="118" t="n">
        <v>5.7</v>
      </c>
      <c r="BA365" s="118" t="n">
        <v>5.3</v>
      </c>
      <c r="BB365" s="118" t="n">
        <v>40.1</v>
      </c>
      <c r="BC365" s="118" t="n">
        <v>40.3</v>
      </c>
      <c r="BD365" s="118" t="n">
        <v>43</v>
      </c>
      <c r="BE365" s="118" t="n">
        <v>41.8</v>
      </c>
      <c r="BF365" s="120" t="n">
        <v>0.244</v>
      </c>
      <c r="BG365" s="117" t="n">
        <v>0.484</v>
      </c>
      <c r="BH365" s="122" t="n">
        <v>3</v>
      </c>
      <c r="BI365" s="123" t="n">
        <v>1</v>
      </c>
    </row>
    <row r="366" ht="17" customHeight="1">
      <c r="A366" s="117" t="inlineStr">
        <is>
          <t>TXT</t>
        </is>
      </c>
      <c r="B366" s="117" t="inlineStr">
        <is>
          <t>Textron Inc.</t>
        </is>
      </c>
      <c r="C366" s="124" t="inlineStr">
        <is>
          <t>N/A</t>
        </is>
      </c>
      <c r="D366" s="118" t="n">
        <v>0.527</v>
      </c>
      <c r="E366" s="118" t="n">
        <v>1.016</v>
      </c>
      <c r="F366" s="118" t="n">
        <v>1.08</v>
      </c>
      <c r="G366" s="118" t="n">
        <v>0.944</v>
      </c>
      <c r="H366" s="118" t="n">
        <v>0.9389999999999999</v>
      </c>
      <c r="I366" s="118" t="n">
        <v>0.989</v>
      </c>
      <c r="J366" s="118" t="n">
        <v>-0.022</v>
      </c>
      <c r="K366" s="124" t="inlineStr">
        <is>
          <t>N/A</t>
        </is>
      </c>
      <c r="L366" s="124" t="inlineStr">
        <is>
          <t>N/A</t>
        </is>
      </c>
      <c r="M366" s="124" t="inlineStr">
        <is>
          <t>N/A</t>
        </is>
      </c>
      <c r="N366" s="124" t="inlineStr">
        <is>
          <t>N/A</t>
        </is>
      </c>
      <c r="O366" s="120" t="n">
        <v>0.189</v>
      </c>
      <c r="P366" s="120" t="n">
        <v>0.794</v>
      </c>
      <c r="Q366" s="120" t="n">
        <v>0.002</v>
      </c>
      <c r="R366" s="117" t="n">
        <v>0</v>
      </c>
      <c r="S366" s="124" t="inlineStr">
        <is>
          <t>N/A</t>
        </is>
      </c>
      <c r="T366" s="124" t="inlineStr">
        <is>
          <t>N/A</t>
        </is>
      </c>
      <c r="U366" s="124" t="inlineStr">
        <is>
          <t>N/A</t>
        </is>
      </c>
      <c r="V366" s="117" t="n">
        <v>0</v>
      </c>
      <c r="W366" s="117" t="n">
        <v>0</v>
      </c>
      <c r="X366" s="117" t="n">
        <v>0</v>
      </c>
      <c r="Y366" s="117" t="n">
        <v>0</v>
      </c>
      <c r="Z366" s="117" t="n">
        <v>1</v>
      </c>
      <c r="AA366" s="117" t="n">
        <v>0</v>
      </c>
      <c r="AB366" s="117" t="n">
        <v>1</v>
      </c>
      <c r="AC366" s="119" t="inlineStr">
        <is>
          <t>✓ Clean</t>
        </is>
      </c>
      <c r="AD366" s="118" t="n">
        <v>1312000000</v>
      </c>
      <c r="AE366" s="118" t="n">
        <v>-207000000</v>
      </c>
      <c r="AF366" s="118" t="n">
        <v>921000000</v>
      </c>
      <c r="AG366" s="118" t="n">
        <v>-0.011</v>
      </c>
      <c r="AH366" s="119" t="inlineStr">
        <is>
          <t>✓ Medium Quality</t>
        </is>
      </c>
      <c r="AI366" s="124" t="inlineStr">
        <is>
          <t>N/A</t>
        </is>
      </c>
      <c r="AJ366" s="120" t="n">
        <v>0.08</v>
      </c>
      <c r="AK366" s="124" t="inlineStr">
        <is>
          <t>N/A</t>
        </is>
      </c>
      <c r="AL366" s="120" t="n">
        <v>0.089</v>
      </c>
      <c r="AM366" s="120" t="n">
        <v>-0.004</v>
      </c>
      <c r="AN366" s="118" t="n">
        <v>87.5</v>
      </c>
      <c r="AO366" s="119" t="inlineStr">
        <is>
          <t>✓ Good</t>
        </is>
      </c>
      <c r="AP366" s="117" t="n">
        <v>0</v>
      </c>
      <c r="AQ366" s="117" t="n">
        <v>0</v>
      </c>
      <c r="AR366" s="117" t="n">
        <v>0</v>
      </c>
      <c r="AS366" s="117" t="n">
        <v>0</v>
      </c>
      <c r="AT366" s="117" t="n">
        <v>1</v>
      </c>
      <c r="AU366" s="117" t="n">
        <v>0</v>
      </c>
      <c r="AV366" s="117" t="n">
        <v>1</v>
      </c>
      <c r="AW366" s="119" t="inlineStr">
        <is>
          <t>✓ Clean</t>
        </is>
      </c>
      <c r="AX366" s="118" t="n">
        <v>27</v>
      </c>
      <c r="AY366" s="119" t="inlineStr">
        <is>
          <t>🟢 LOW RISK</t>
        </is>
      </c>
      <c r="AZ366" s="118" t="n">
        <v>0</v>
      </c>
      <c r="BA366" s="124" t="inlineStr">
        <is>
          <t>N/A</t>
        </is>
      </c>
      <c r="BB366" s="118" t="n">
        <v>154.7</v>
      </c>
      <c r="BC366" s="118" t="n">
        <v>130.3</v>
      </c>
      <c r="BD366" s="124" t="inlineStr">
        <is>
          <t>N/A</t>
        </is>
      </c>
      <c r="BE366" s="124" t="inlineStr">
        <is>
          <t>N/A</t>
        </is>
      </c>
      <c r="BF366" s="120" t="n">
        <v>0.188</v>
      </c>
      <c r="BG366" s="117" t="n">
        <v>0.794</v>
      </c>
      <c r="BH366" s="122" t="n">
        <v>2</v>
      </c>
      <c r="BI366" s="125" t="n">
        <v>0.6666666666666666</v>
      </c>
    </row>
    <row r="367" ht="17" customHeight="1">
      <c r="A367" s="117" t="inlineStr">
        <is>
          <t>RBA</t>
        </is>
      </c>
      <c r="B367" s="117" t="inlineStr">
        <is>
          <t>RB Global, Inc</t>
        </is>
      </c>
      <c r="C367" s="118" t="n">
        <v>0.929</v>
      </c>
      <c r="D367" s="118" t="n">
        <v>1.009</v>
      </c>
      <c r="E367" s="118" t="n">
        <v>0.974</v>
      </c>
      <c r="F367" s="118" t="n">
        <v>1.072</v>
      </c>
      <c r="G367" s="118" t="n">
        <v>1.072</v>
      </c>
      <c r="H367" s="118" t="n">
        <v>1.092</v>
      </c>
      <c r="I367" s="118" t="n">
        <v>0.97</v>
      </c>
      <c r="J367" s="118" t="n">
        <v>-0.045</v>
      </c>
      <c r="K367" s="118" t="n">
        <v>-2.697</v>
      </c>
      <c r="L367" s="119" t="inlineStr">
        <is>
          <t>✓ Lower Risk</t>
        </is>
      </c>
      <c r="M367" s="120" t="n">
        <v>-0.057</v>
      </c>
      <c r="N367" s="120" t="n">
        <v>-0.01</v>
      </c>
      <c r="O367" s="120" t="n">
        <v>0.06</v>
      </c>
      <c r="P367" s="120" t="n">
        <v>0.831</v>
      </c>
      <c r="Q367" s="120" t="n">
        <v>0</v>
      </c>
      <c r="R367" s="117" t="n">
        <v>1</v>
      </c>
      <c r="S367" s="118" t="n">
        <v>-3.175</v>
      </c>
      <c r="T367" s="118" t="n">
        <v>0.04</v>
      </c>
      <c r="U367" s="121" t="inlineStr">
        <is>
          <t>⚠ HIGH RISK</t>
        </is>
      </c>
      <c r="V367" s="117" t="n">
        <v>1</v>
      </c>
      <c r="W367" s="117" t="n">
        <v>0</v>
      </c>
      <c r="X367" s="117" t="n">
        <v>1</v>
      </c>
      <c r="Y367" s="117" t="n">
        <v>1</v>
      </c>
      <c r="Z367" s="117" t="n">
        <v>0</v>
      </c>
      <c r="AA367" s="117" t="n">
        <v>0</v>
      </c>
      <c r="AB367" s="117" t="n">
        <v>3</v>
      </c>
      <c r="AC367" s="121" t="inlineStr">
        <is>
          <t>⚠ WATCH</t>
        </is>
      </c>
      <c r="AD367" s="118" t="n">
        <v>978200000</v>
      </c>
      <c r="AE367" s="118" t="n">
        <v>-552900000</v>
      </c>
      <c r="AF367" s="118" t="n">
        <v>428400000</v>
      </c>
      <c r="AG367" s="118" t="n">
        <v>0</v>
      </c>
      <c r="AH367" s="119" t="inlineStr">
        <is>
          <t>✓ Medium Quality</t>
        </is>
      </c>
      <c r="AI367" s="118" t="n">
        <v>-0.004</v>
      </c>
      <c r="AJ367" s="120" t="n">
        <v>0.07199999999999999</v>
      </c>
      <c r="AK367" s="120" t="n">
        <v>-0.061</v>
      </c>
      <c r="AL367" s="120" t="n">
        <v>0.213</v>
      </c>
      <c r="AM367" s="120" t="n">
        <v>-0</v>
      </c>
      <c r="AN367" s="117" t="n">
        <v>100</v>
      </c>
      <c r="AO367" s="119" t="inlineStr">
        <is>
          <t>✓ Good</t>
        </is>
      </c>
      <c r="AP367" s="117" t="n">
        <v>0</v>
      </c>
      <c r="AQ367" s="117" t="n">
        <v>0</v>
      </c>
      <c r="AR367" s="117" t="n">
        <v>1</v>
      </c>
      <c r="AS367" s="117" t="n">
        <v>1</v>
      </c>
      <c r="AT367" s="117" t="n">
        <v>0</v>
      </c>
      <c r="AU367" s="117" t="n">
        <v>1</v>
      </c>
      <c r="AV367" s="117" t="n">
        <v>3</v>
      </c>
      <c r="AW367" s="121" t="inlineStr">
        <is>
          <t>⚠ WATCH</t>
        </is>
      </c>
      <c r="AX367" s="118" t="n">
        <v>25</v>
      </c>
      <c r="AY367" s="119" t="inlineStr">
        <is>
          <t>🟢 LOW RISK</t>
        </is>
      </c>
      <c r="AZ367" s="118" t="n">
        <v>56.2</v>
      </c>
      <c r="BA367" s="118" t="n">
        <v>60.4</v>
      </c>
      <c r="BB367" s="118" t="n">
        <v>645.8</v>
      </c>
      <c r="BC367" s="118" t="n">
        <v>671.3</v>
      </c>
      <c r="BD367" s="118" t="n">
        <v>3864.2</v>
      </c>
      <c r="BE367" s="118" t="n">
        <v>4320.6</v>
      </c>
      <c r="BF367" s="120" t="n">
        <v>0.202</v>
      </c>
      <c r="BG367" s="117" t="n">
        <v>0.831</v>
      </c>
      <c r="BH367" s="122" t="n">
        <v>7</v>
      </c>
      <c r="BI367" s="123" t="n">
        <v>1</v>
      </c>
    </row>
    <row r="368" ht="17" customHeight="1">
      <c r="A368" s="117" t="inlineStr">
        <is>
          <t>EA</t>
        </is>
      </c>
      <c r="B368" s="117" t="inlineStr">
        <is>
          <t>ELECTRONIC ARTS INC.</t>
        </is>
      </c>
      <c r="C368" s="118" t="n">
        <v>0.922</v>
      </c>
      <c r="D368" s="118" t="n">
        <v>1.005</v>
      </c>
      <c r="E368" s="118" t="n">
        <v>0.946</v>
      </c>
      <c r="F368" s="118" t="n">
        <v>1.009</v>
      </c>
      <c r="G368" s="118" t="n">
        <v>0.991</v>
      </c>
      <c r="H368" s="118" t="n">
        <v>1.015</v>
      </c>
      <c r="I368" s="118" t="n">
        <v>1.003</v>
      </c>
      <c r="J368" s="118" t="n">
        <v>-0.127</v>
      </c>
      <c r="K368" s="118" t="n">
        <v>-3.161</v>
      </c>
      <c r="L368" s="119" t="inlineStr">
        <is>
          <t>✓ Lower Risk</t>
        </is>
      </c>
      <c r="M368" s="120" t="n">
        <v>0.203</v>
      </c>
      <c r="N368" s="120" t="n">
        <v>-0.6909999999999999</v>
      </c>
      <c r="O368" s="120" t="n">
        <v>-0.044</v>
      </c>
      <c r="P368" s="120" t="n">
        <v>0.745</v>
      </c>
      <c r="Q368" s="120" t="n">
        <v>-0.023</v>
      </c>
      <c r="R368" s="117" t="n">
        <v>0</v>
      </c>
      <c r="S368" s="118" t="n">
        <v>-8.039999999999999</v>
      </c>
      <c r="T368" s="118" t="n">
        <v>0</v>
      </c>
      <c r="U368" s="119" t="inlineStr">
        <is>
          <t>✓ Normal</t>
        </is>
      </c>
      <c r="V368" s="117" t="n">
        <v>0</v>
      </c>
      <c r="W368" s="117" t="n">
        <v>0</v>
      </c>
      <c r="X368" s="117" t="n">
        <v>0</v>
      </c>
      <c r="Y368" s="117" t="n">
        <v>0</v>
      </c>
      <c r="Z368" s="117" t="n">
        <v>1</v>
      </c>
      <c r="AA368" s="117" t="n">
        <v>0</v>
      </c>
      <c r="AB368" s="117" t="n">
        <v>1</v>
      </c>
      <c r="AC368" s="119" t="inlineStr">
        <is>
          <t>✓ Clean</t>
        </is>
      </c>
      <c r="AD368" s="118" t="n">
        <v>2553000000</v>
      </c>
      <c r="AE368" s="118" t="n">
        <v>-276000000</v>
      </c>
      <c r="AF368" s="118" t="n">
        <v>887000000</v>
      </c>
      <c r="AG368" s="118" t="n">
        <v>-0.109</v>
      </c>
      <c r="AH368" s="119" t="inlineStr">
        <is>
          <t>✓ High Quality</t>
        </is>
      </c>
      <c r="AI368" s="118" t="n">
        <v>-0.06900000000000001</v>
      </c>
      <c r="AJ368" s="120" t="n">
        <v>0.008999999999999999</v>
      </c>
      <c r="AK368" s="120" t="n">
        <v>-7.597</v>
      </c>
      <c r="AL368" s="120" t="n">
        <v>0.339</v>
      </c>
      <c r="AM368" s="120" t="n">
        <v>0.07099999999999999</v>
      </c>
      <c r="AN368" s="117" t="n">
        <v>100</v>
      </c>
      <c r="AO368" s="119" t="inlineStr">
        <is>
          <t>✓ Good</t>
        </is>
      </c>
      <c r="AP368" s="117" t="n">
        <v>0</v>
      </c>
      <c r="AQ368" s="117" t="n">
        <v>0</v>
      </c>
      <c r="AR368" s="117" t="n">
        <v>1</v>
      </c>
      <c r="AS368" s="117" t="n">
        <v>1</v>
      </c>
      <c r="AT368" s="117" t="n">
        <v>0</v>
      </c>
      <c r="AU368" s="117" t="n">
        <v>1</v>
      </c>
      <c r="AV368" s="117" t="n">
        <v>3</v>
      </c>
      <c r="AW368" s="121" t="inlineStr">
        <is>
          <t>⚠ WATCH</t>
        </is>
      </c>
      <c r="AX368" s="118" t="n">
        <v>13.1</v>
      </c>
      <c r="AY368" s="119" t="inlineStr">
        <is>
          <t>🟢 VERY LOW RISK</t>
        </is>
      </c>
      <c r="AZ368" s="118" t="n">
        <v>30.6</v>
      </c>
      <c r="BA368" s="118" t="n">
        <v>33.2</v>
      </c>
      <c r="BB368" s="118" t="n">
        <v>9.4</v>
      </c>
      <c r="BC368" s="118" t="n">
        <v>10.1</v>
      </c>
      <c r="BD368" s="118" t="n">
        <v>36.6</v>
      </c>
      <c r="BE368" s="118" t="n">
        <v>29.5</v>
      </c>
      <c r="BF368" s="120" t="n">
        <v>0.248</v>
      </c>
      <c r="BG368" s="117" t="n">
        <v>0.745</v>
      </c>
      <c r="BH368" s="122" t="n">
        <v>4</v>
      </c>
      <c r="BI368" s="123" t="n">
        <v>1</v>
      </c>
    </row>
    <row r="369" ht="17" customHeight="1">
      <c r="A369" s="117" t="inlineStr">
        <is>
          <t>UMBF</t>
        </is>
      </c>
      <c r="B369" s="117" t="inlineStr">
        <is>
          <t>UMB FINANCIAL CORP</t>
        </is>
      </c>
      <c r="C369" s="124" t="inlineStr">
        <is>
          <t>N/A</t>
        </is>
      </c>
      <c r="D369" s="124" t="inlineStr">
        <is>
          <t>N/A</t>
        </is>
      </c>
      <c r="E369" s="118" t="n">
        <v>0.999</v>
      </c>
      <c r="F369" s="124" t="inlineStr">
        <is>
          <t>N/A</t>
        </is>
      </c>
      <c r="G369" s="118" t="n">
        <v>0.732</v>
      </c>
      <c r="H369" s="124" t="inlineStr">
        <is>
          <t>N/A</t>
        </is>
      </c>
      <c r="I369" s="118" t="n">
        <v>0.961</v>
      </c>
      <c r="J369" s="118" t="n">
        <v>-0.004</v>
      </c>
      <c r="K369" s="124" t="inlineStr">
        <is>
          <t>N/A</t>
        </is>
      </c>
      <c r="L369" s="124" t="inlineStr">
        <is>
          <t>N/A</t>
        </is>
      </c>
      <c r="M369" s="124" t="inlineStr">
        <is>
          <t>N/A</t>
        </is>
      </c>
      <c r="N369" s="124" t="inlineStr">
        <is>
          <t>N/A</t>
        </is>
      </c>
      <c r="O369" s="124" t="inlineStr">
        <is>
          <t>N/A</t>
        </is>
      </c>
      <c r="P369" s="120" t="n">
        <v>0.888</v>
      </c>
      <c r="Q369" s="120" t="n">
        <v>0.001</v>
      </c>
      <c r="R369" s="117" t="n">
        <v>1</v>
      </c>
      <c r="S369" s="124" t="inlineStr">
        <is>
          <t>N/A</t>
        </is>
      </c>
      <c r="T369" s="124" t="inlineStr">
        <is>
          <t>N/A</t>
        </is>
      </c>
      <c r="U369" s="124" t="inlineStr">
        <is>
          <t>N/A</t>
        </is>
      </c>
      <c r="V369" s="117" t="n">
        <v>0</v>
      </c>
      <c r="W369" s="117" t="n">
        <v>0</v>
      </c>
      <c r="X369" s="117" t="n">
        <v>0</v>
      </c>
      <c r="Y369" s="117" t="n">
        <v>0</v>
      </c>
      <c r="Z369" s="117" t="n">
        <v>0</v>
      </c>
      <c r="AA369" s="117" t="n">
        <v>1</v>
      </c>
      <c r="AB369" s="117" t="n">
        <v>1</v>
      </c>
      <c r="AC369" s="119" t="inlineStr">
        <is>
          <t>✓ Clean</t>
        </is>
      </c>
      <c r="AD369" s="118" t="n">
        <v>1026693000</v>
      </c>
      <c r="AE369" s="118" t="n">
        <v>-5620098000</v>
      </c>
      <c r="AF369" s="118" t="n">
        <v>702398000</v>
      </c>
      <c r="AG369" s="118" t="n">
        <v>0.08599999999999999</v>
      </c>
      <c r="AH369" s="119" t="inlineStr">
        <is>
          <t>✓ Medium Quality</t>
        </is>
      </c>
      <c r="AI369" s="124" t="inlineStr">
        <is>
          <t>N/A</t>
        </is>
      </c>
      <c r="AJ369" s="124" t="inlineStr">
        <is>
          <t>N/A</t>
        </is>
      </c>
      <c r="AK369" s="124" t="inlineStr">
        <is>
          <t>N/A</t>
        </is>
      </c>
      <c r="AL369" s="124" t="inlineStr">
        <is>
          <t>N/A</t>
        </is>
      </c>
      <c r="AM369" s="124" t="inlineStr">
        <is>
          <t>N/A</t>
        </is>
      </c>
      <c r="AN369" s="117" t="n">
        <v>100</v>
      </c>
      <c r="AO369" s="119" t="inlineStr">
        <is>
          <t>✓ Good</t>
        </is>
      </c>
      <c r="AP369" s="117" t="n">
        <v>0</v>
      </c>
      <c r="AQ369" s="117" t="n">
        <v>0</v>
      </c>
      <c r="AR369" s="117" t="n">
        <v>0</v>
      </c>
      <c r="AS369" s="117" t="n">
        <v>0</v>
      </c>
      <c r="AT369" s="117" t="n">
        <v>0</v>
      </c>
      <c r="AU369" s="117" t="n">
        <v>0</v>
      </c>
      <c r="AV369" s="117" t="n">
        <v>0</v>
      </c>
      <c r="AW369" s="119" t="inlineStr">
        <is>
          <t>✓ Clean</t>
        </is>
      </c>
      <c r="AX369" s="118" t="n">
        <v>27.1</v>
      </c>
      <c r="AY369" s="119" t="inlineStr">
        <is>
          <t>🟢 LOW RISK</t>
        </is>
      </c>
      <c r="AZ369" s="124" t="inlineStr">
        <is>
          <t>N/A</t>
        </is>
      </c>
      <c r="BA369" s="124" t="inlineStr">
        <is>
          <t>N/A</t>
        </is>
      </c>
      <c r="BB369" s="124" t="inlineStr">
        <is>
          <t>N/A</t>
        </is>
      </c>
      <c r="BC369" s="124" t="inlineStr">
        <is>
          <t>N/A</t>
        </is>
      </c>
      <c r="BD369" s="124" t="inlineStr">
        <is>
          <t>N/A</t>
        </is>
      </c>
      <c r="BE369" s="124" t="inlineStr">
        <is>
          <t>N/A</t>
        </is>
      </c>
      <c r="BF369" s="120" t="n">
        <v>0.197</v>
      </c>
      <c r="BG369" s="117" t="n">
        <v>0.888</v>
      </c>
      <c r="BH369" s="122" t="n">
        <v>2</v>
      </c>
      <c r="BI369" s="125" t="n">
        <v>0.6666666666666666</v>
      </c>
    </row>
    <row r="370" ht="17" customHeight="1">
      <c r="A370" s="117" t="inlineStr">
        <is>
          <t>ISRG</t>
        </is>
      </c>
      <c r="B370" s="117" t="inlineStr">
        <is>
          <t>Intuitive Surgical, Inc.</t>
        </is>
      </c>
      <c r="C370" s="118" t="n">
        <v>1.034</v>
      </c>
      <c r="D370" s="118" t="n">
        <v>1.022</v>
      </c>
      <c r="E370" s="118" t="n">
        <v>0.7</v>
      </c>
      <c r="F370" s="118" t="n">
        <v>1.205</v>
      </c>
      <c r="G370" s="118" t="n">
        <v>0.855</v>
      </c>
      <c r="H370" s="118" t="n">
        <v>0.925</v>
      </c>
      <c r="I370" s="118" t="n">
        <v>1.042</v>
      </c>
      <c r="J370" s="118" t="n">
        <v>-0.008999999999999999</v>
      </c>
      <c r="K370" s="118" t="n">
        <v>-2.432</v>
      </c>
      <c r="L370" s="119" t="inlineStr">
        <is>
          <t>✓ Lower Risk</t>
        </is>
      </c>
      <c r="M370" s="120" t="n">
        <v>0.023</v>
      </c>
      <c r="N370" s="120" t="n">
        <v>0.176</v>
      </c>
      <c r="O370" s="120" t="n">
        <v>0.206</v>
      </c>
      <c r="P370" s="120" t="n">
        <v>0.574</v>
      </c>
      <c r="Q370" s="120" t="n">
        <v>0.016</v>
      </c>
      <c r="R370" s="117" t="n">
        <v>0</v>
      </c>
      <c r="S370" s="118" t="n">
        <v>-6.056</v>
      </c>
      <c r="T370" s="118" t="n">
        <v>0.002</v>
      </c>
      <c r="U370" s="119" t="inlineStr">
        <is>
          <t>✓ Normal</t>
        </is>
      </c>
      <c r="V370" s="117" t="n">
        <v>0</v>
      </c>
      <c r="W370" s="117" t="n">
        <v>1</v>
      </c>
      <c r="X370" s="117" t="n">
        <v>1</v>
      </c>
      <c r="Y370" s="117" t="n">
        <v>0</v>
      </c>
      <c r="Z370" s="117" t="n">
        <v>0</v>
      </c>
      <c r="AA370" s="117" t="n">
        <v>0</v>
      </c>
      <c r="AB370" s="117" t="n">
        <v>2</v>
      </c>
      <c r="AC370" s="121" t="inlineStr">
        <is>
          <t>⚠ WATCH</t>
        </is>
      </c>
      <c r="AD370" s="118" t="n">
        <v>3030500000</v>
      </c>
      <c r="AE370" s="118" t="n">
        <v>665800000</v>
      </c>
      <c r="AF370" s="118" t="n">
        <v>2856000000</v>
      </c>
      <c r="AG370" s="118" t="n">
        <v>-0.043</v>
      </c>
      <c r="AH370" s="119" t="inlineStr">
        <is>
          <t>✓ Medium Quality</t>
        </is>
      </c>
      <c r="AI370" s="118" t="n">
        <v>0.246</v>
      </c>
      <c r="AJ370" s="120" t="n">
        <v>0.205</v>
      </c>
      <c r="AK370" s="120" t="n">
        <v>1.202</v>
      </c>
      <c r="AL370" s="120" t="n">
        <v>0.301</v>
      </c>
      <c r="AM370" s="120" t="n">
        <v>0.004</v>
      </c>
      <c r="AN370" s="118" t="n">
        <v>94.09999999999999</v>
      </c>
      <c r="AO370" s="119" t="inlineStr">
        <is>
          <t>✓ Good</t>
        </is>
      </c>
      <c r="AP370" s="117" t="n">
        <v>0</v>
      </c>
      <c r="AQ370" s="117" t="n">
        <v>0</v>
      </c>
      <c r="AR370" s="117" t="n">
        <v>1</v>
      </c>
      <c r="AS370" s="117" t="n">
        <v>0</v>
      </c>
      <c r="AT370" s="117" t="n">
        <v>1</v>
      </c>
      <c r="AU370" s="117" t="n">
        <v>0</v>
      </c>
      <c r="AV370" s="117" t="n">
        <v>2</v>
      </c>
      <c r="AW370" s="121" t="inlineStr">
        <is>
          <t>⚠ WATCH</t>
        </is>
      </c>
      <c r="AX370" s="118" t="n">
        <v>17.1</v>
      </c>
      <c r="AY370" s="119" t="inlineStr">
        <is>
          <t>🟢 VERY LOW RISK</t>
        </is>
      </c>
      <c r="AZ370" s="118" t="n">
        <v>55.4</v>
      </c>
      <c r="BA370" s="118" t="n">
        <v>53.6</v>
      </c>
      <c r="BB370" s="118" t="n">
        <v>196.2</v>
      </c>
      <c r="BC370" s="118" t="n">
        <v>199.7</v>
      </c>
      <c r="BD370" s="118" t="n">
        <v>27.2</v>
      </c>
      <c r="BE370" s="118" t="n">
        <v>26</v>
      </c>
      <c r="BF370" s="120" t="n">
        <v>0.131</v>
      </c>
      <c r="BG370" s="117" t="n">
        <v>0.574</v>
      </c>
      <c r="BH370" s="122" t="n">
        <v>4</v>
      </c>
      <c r="BI370" s="123" t="n">
        <v>1</v>
      </c>
    </row>
    <row r="371" ht="17" customHeight="1">
      <c r="A371" s="117" t="inlineStr">
        <is>
          <t>SWKS</t>
        </is>
      </c>
      <c r="B371" s="117" t="inlineStr">
        <is>
          <t>SKYWORKS SOLUTIONS, INC.</t>
        </is>
      </c>
      <c r="C371" s="118" t="n">
        <v>1.202</v>
      </c>
      <c r="D371" s="118" t="n">
        <v>1.001</v>
      </c>
      <c r="E371" s="118" t="n">
        <v>1.042</v>
      </c>
      <c r="F371" s="118" t="n">
        <v>0.978</v>
      </c>
      <c r="G371" s="118" t="n">
        <v>0.906</v>
      </c>
      <c r="H371" s="118" t="n">
        <v>1.263</v>
      </c>
      <c r="I371" s="118" t="n">
        <v>1.161</v>
      </c>
      <c r="J371" s="118" t="n">
        <v>-0.104</v>
      </c>
      <c r="K371" s="118" t="n">
        <v>-2.892</v>
      </c>
      <c r="L371" s="119" t="inlineStr">
        <is>
          <t>✓ Lower Risk</t>
        </is>
      </c>
      <c r="M371" s="120" t="n">
        <v>-0.133</v>
      </c>
      <c r="N371" s="120" t="n">
        <v>0.98</v>
      </c>
      <c r="O371" s="120" t="n">
        <v>-0.33</v>
      </c>
      <c r="P371" s="120" t="n">
        <v>0.702</v>
      </c>
      <c r="Q371" s="120" t="n">
        <v>-0.012</v>
      </c>
      <c r="R371" s="117" t="n">
        <v>0</v>
      </c>
      <c r="S371" s="118" t="n">
        <v>-4.528</v>
      </c>
      <c r="T371" s="118" t="n">
        <v>0.011</v>
      </c>
      <c r="U371" s="119" t="inlineStr">
        <is>
          <t>✓ Normal</t>
        </is>
      </c>
      <c r="V371" s="117" t="n">
        <v>1</v>
      </c>
      <c r="W371" s="117" t="n">
        <v>1</v>
      </c>
      <c r="X371" s="117" t="n">
        <v>0</v>
      </c>
      <c r="Y371" s="117" t="n">
        <v>0</v>
      </c>
      <c r="Z371" s="117" t="n">
        <v>0</v>
      </c>
      <c r="AA371" s="117" t="n">
        <v>0</v>
      </c>
      <c r="AB371" s="117" t="n">
        <v>2</v>
      </c>
      <c r="AC371" s="121" t="inlineStr">
        <is>
          <t>⚠ WATCH</t>
        </is>
      </c>
      <c r="AD371" s="118" t="n">
        <v>1300800000</v>
      </c>
      <c r="AE371" s="118" t="n">
        <v>-234000000</v>
      </c>
      <c r="AF371" s="118" t="n">
        <v>477100000</v>
      </c>
      <c r="AG371" s="118" t="n">
        <v>-0.073</v>
      </c>
      <c r="AH371" s="119" t="inlineStr">
        <is>
          <t>✓ Medium Quality</t>
        </is>
      </c>
      <c r="AI371" s="118" t="n">
        <v>0.176</v>
      </c>
      <c r="AJ371" s="120" t="n">
        <v>-0.022</v>
      </c>
      <c r="AK371" s="120" t="n">
        <v>-8.048999999999999</v>
      </c>
      <c r="AL371" s="120" t="n">
        <v>0.318</v>
      </c>
      <c r="AM371" s="124" t="inlineStr">
        <is>
          <t>N/A</t>
        </is>
      </c>
      <c r="AN371" s="117" t="n">
        <v>100</v>
      </c>
      <c r="AO371" s="119" t="inlineStr">
        <is>
          <t>✓ Good</t>
        </is>
      </c>
      <c r="AP371" s="117" t="n">
        <v>1</v>
      </c>
      <c r="AQ371" s="117" t="n">
        <v>1</v>
      </c>
      <c r="AR371" s="117" t="n">
        <v>1</v>
      </c>
      <c r="AS371" s="117" t="n">
        <v>1</v>
      </c>
      <c r="AT371" s="117" t="n">
        <v>0</v>
      </c>
      <c r="AU371" s="117" t="n">
        <v>0</v>
      </c>
      <c r="AV371" s="117" t="n">
        <v>4</v>
      </c>
      <c r="AW371" s="117" t="inlineStr">
        <is>
          <t>⚠⚠ MULTIPLE RED FLAGS</t>
        </is>
      </c>
      <c r="AX371" s="118" t="n">
        <v>18.9</v>
      </c>
      <c r="AY371" s="119" t="inlineStr">
        <is>
          <t>🟢 VERY LOW RISK</t>
        </is>
      </c>
      <c r="AZ371" s="118" t="n">
        <v>53.4</v>
      </c>
      <c r="BA371" s="118" t="n">
        <v>44.4</v>
      </c>
      <c r="BB371" s="118" t="n">
        <v>114.5</v>
      </c>
      <c r="BC371" s="118" t="n">
        <v>116.6</v>
      </c>
      <c r="BD371" s="118" t="n">
        <v>35.8</v>
      </c>
      <c r="BE371" s="118" t="n">
        <v>25.5</v>
      </c>
      <c r="BF371" s="120" t="n">
        <v>0.094</v>
      </c>
      <c r="BG371" s="117" t="n">
        <v>0.702</v>
      </c>
      <c r="BH371" s="122" t="n">
        <v>6</v>
      </c>
      <c r="BI371" s="123" t="n">
        <v>1</v>
      </c>
    </row>
    <row r="372" ht="17" customHeight="1">
      <c r="A372" s="117" t="inlineStr">
        <is>
          <t>LDOS</t>
        </is>
      </c>
      <c r="B372" s="117" t="inlineStr">
        <is>
          <t>Leidos Holdings, Inc.</t>
        </is>
      </c>
      <c r="C372" s="118" t="n">
        <v>0.993</v>
      </c>
      <c r="D372" s="118" t="n">
        <v>0.931</v>
      </c>
      <c r="E372" s="118" t="n">
        <v>0.971</v>
      </c>
      <c r="F372" s="118" t="n">
        <v>1.031</v>
      </c>
      <c r="G372" s="118" t="n">
        <v>1.002</v>
      </c>
      <c r="H372" s="118" t="n">
        <v>0.986</v>
      </c>
      <c r="I372" s="118" t="n">
        <v>0.958</v>
      </c>
      <c r="J372" s="118" t="n">
        <v>-0.022</v>
      </c>
      <c r="K372" s="118" t="n">
        <v>-2.595</v>
      </c>
      <c r="L372" s="119" t="inlineStr">
        <is>
          <t>✓ Lower Risk</t>
        </is>
      </c>
      <c r="M372" s="120" t="n">
        <v>0.056</v>
      </c>
      <c r="N372" s="120" t="n">
        <v>0.123</v>
      </c>
      <c r="O372" s="120" t="n">
        <v>0.053</v>
      </c>
      <c r="P372" s="120" t="n">
        <v>0.9</v>
      </c>
      <c r="Q372" s="120" t="n">
        <v>0.012</v>
      </c>
      <c r="R372" s="117" t="n">
        <v>0</v>
      </c>
      <c r="S372" s="118" t="n">
        <v>-5.699</v>
      </c>
      <c r="T372" s="118" t="n">
        <v>0.003</v>
      </c>
      <c r="U372" s="119" t="inlineStr">
        <is>
          <t>✓ Normal</t>
        </is>
      </c>
      <c r="V372" s="117" t="n">
        <v>0</v>
      </c>
      <c r="W372" s="117" t="n">
        <v>0</v>
      </c>
      <c r="X372" s="117" t="n">
        <v>1</v>
      </c>
      <c r="Y372" s="117" t="n">
        <v>1</v>
      </c>
      <c r="Z372" s="117" t="n">
        <v>1</v>
      </c>
      <c r="AA372" s="117" t="n">
        <v>0</v>
      </c>
      <c r="AB372" s="117" t="n">
        <v>3</v>
      </c>
      <c r="AC372" s="121" t="inlineStr">
        <is>
          <t>⚠ WATCH</t>
        </is>
      </c>
      <c r="AD372" s="118" t="n">
        <v>1750000000</v>
      </c>
      <c r="AE372" s="118" t="n">
        <v>-405000000</v>
      </c>
      <c r="AF372" s="118" t="n">
        <v>1448000000</v>
      </c>
      <c r="AG372" s="118" t="n">
        <v>0.008</v>
      </c>
      <c r="AH372" s="119" t="inlineStr">
        <is>
          <t>✓ Medium Quality</t>
        </is>
      </c>
      <c r="AI372" s="118" t="n">
        <v>0.024</v>
      </c>
      <c r="AJ372" s="120" t="n">
        <v>0.031</v>
      </c>
      <c r="AK372" s="120" t="n">
        <v>0.775</v>
      </c>
      <c r="AL372" s="120" t="n">
        <v>0.102</v>
      </c>
      <c r="AM372" s="120" t="n">
        <v>-0</v>
      </c>
      <c r="AN372" s="118" t="n">
        <v>90.40000000000001</v>
      </c>
      <c r="AO372" s="119" t="inlineStr">
        <is>
          <t>✓ Good</t>
        </is>
      </c>
      <c r="AP372" s="117" t="n">
        <v>0</v>
      </c>
      <c r="AQ372" s="117" t="n">
        <v>0</v>
      </c>
      <c r="AR372" s="117" t="n">
        <v>0</v>
      </c>
      <c r="AS372" s="117" t="n">
        <v>0</v>
      </c>
      <c r="AT372" s="117" t="n">
        <v>1</v>
      </c>
      <c r="AU372" s="117" t="n">
        <v>1</v>
      </c>
      <c r="AV372" s="117" t="n">
        <v>2</v>
      </c>
      <c r="AW372" s="121" t="inlineStr">
        <is>
          <t>⚠ WATCH</t>
        </is>
      </c>
      <c r="AX372" s="118" t="n">
        <v>19.5</v>
      </c>
      <c r="AY372" s="119" t="inlineStr">
        <is>
          <t>🟢 VERY LOW RISK</t>
        </is>
      </c>
      <c r="AZ372" s="118" t="n">
        <v>57.6</v>
      </c>
      <c r="BA372" s="118" t="n">
        <v>57.9</v>
      </c>
      <c r="BB372" s="118" t="n">
        <v>8.9</v>
      </c>
      <c r="BC372" s="118" t="n">
        <v>8.300000000000001</v>
      </c>
      <c r="BD372" s="118" t="n">
        <v>16.3</v>
      </c>
      <c r="BE372" s="118" t="n">
        <v>18.6</v>
      </c>
      <c r="BF372" s="120" t="n">
        <v>0.234</v>
      </c>
      <c r="BG372" s="117" t="n">
        <v>0.9</v>
      </c>
      <c r="BH372" s="122" t="n">
        <v>5</v>
      </c>
      <c r="BI372" s="123" t="n">
        <v>1</v>
      </c>
    </row>
    <row r="373" ht="17" customHeight="1">
      <c r="A373" s="117" t="inlineStr">
        <is>
          <t>PG</t>
        </is>
      </c>
      <c r="B373" s="117" t="inlineStr">
        <is>
          <t>PROCTER &amp; GAMBLE CO</t>
        </is>
      </c>
      <c r="C373" s="118" t="n">
        <v>1.008</v>
      </c>
      <c r="D373" s="118" t="n">
        <v>1.005</v>
      </c>
      <c r="E373" s="118" t="n">
        <v>0.983</v>
      </c>
      <c r="F373" s="118" t="n">
        <v>1.003</v>
      </c>
      <c r="G373" s="118" t="n">
        <v>1.061</v>
      </c>
      <c r="H373" s="118" t="n">
        <v>0.97</v>
      </c>
      <c r="I373" s="118" t="n">
        <v>0.993</v>
      </c>
      <c r="J373" s="118" t="n">
        <v>-0.015</v>
      </c>
      <c r="K373" s="118" t="n">
        <v>-2.529</v>
      </c>
      <c r="L373" s="119" t="inlineStr">
        <is>
          <t>✓ Lower Risk</t>
        </is>
      </c>
      <c r="M373" s="120" t="n">
        <v>-0.052</v>
      </c>
      <c r="N373" s="120" t="n">
        <v>0.273</v>
      </c>
      <c r="O373" s="120" t="n">
        <v>2.184</v>
      </c>
      <c r="P373" s="120" t="n">
        <v>0.775</v>
      </c>
      <c r="Q373" s="120" t="n">
        <v>0.006</v>
      </c>
      <c r="R373" s="117" t="n">
        <v>0</v>
      </c>
      <c r="S373" s="118" t="n">
        <v>-3.113</v>
      </c>
      <c r="T373" s="118" t="n">
        <v>0.043</v>
      </c>
      <c r="U373" s="121" t="inlineStr">
        <is>
          <t>⚠ HIGH RISK</t>
        </is>
      </c>
      <c r="V373" s="117" t="n">
        <v>1</v>
      </c>
      <c r="W373" s="117" t="n">
        <v>1</v>
      </c>
      <c r="X373" s="117" t="n">
        <v>1</v>
      </c>
      <c r="Y373" s="117" t="n">
        <v>1</v>
      </c>
      <c r="Z373" s="117" t="n">
        <v>1</v>
      </c>
      <c r="AA373" s="117" t="n">
        <v>0</v>
      </c>
      <c r="AB373" s="117" t="n">
        <v>5</v>
      </c>
      <c r="AC373" s="121" t="inlineStr">
        <is>
          <t>⚠⚠ SERIOUS CONCERN</t>
        </is>
      </c>
      <c r="AD373" s="118" t="n">
        <v>17817000000</v>
      </c>
      <c r="AE373" s="118" t="n">
        <v>-3818000000</v>
      </c>
      <c r="AF373" s="118" t="n">
        <v>15974000000</v>
      </c>
      <c r="AG373" s="118" t="n">
        <v>0.016</v>
      </c>
      <c r="AH373" s="119" t="inlineStr">
        <is>
          <t>✓ Medium Quality</t>
        </is>
      </c>
      <c r="AI373" s="118" t="n">
        <v>0.011</v>
      </c>
      <c r="AJ373" s="120" t="n">
        <v>0.003</v>
      </c>
      <c r="AK373" s="120" t="n">
        <v>3.756</v>
      </c>
      <c r="AL373" s="120" t="n">
        <v>0.211</v>
      </c>
      <c r="AM373" s="124" t="inlineStr">
        <is>
          <t>N/A</t>
        </is>
      </c>
      <c r="AN373" s="117" t="n">
        <v>70</v>
      </c>
      <c r="AO373" s="119" t="inlineStr">
        <is>
          <t>✓ Good</t>
        </is>
      </c>
      <c r="AP373" s="117" t="n">
        <v>1</v>
      </c>
      <c r="AQ373" s="117" t="n">
        <v>0</v>
      </c>
      <c r="AR373" s="117" t="n">
        <v>1</v>
      </c>
      <c r="AS373" s="117" t="n">
        <v>0</v>
      </c>
      <c r="AT373" s="117" t="n">
        <v>1</v>
      </c>
      <c r="AU373" s="117" t="n">
        <v>0</v>
      </c>
      <c r="AV373" s="117" t="n">
        <v>3</v>
      </c>
      <c r="AW373" s="121" t="inlineStr">
        <is>
          <t>⚠ WATCH</t>
        </is>
      </c>
      <c r="AX373" s="118" t="n">
        <v>34.3</v>
      </c>
      <c r="AY373" s="119" t="inlineStr">
        <is>
          <t>🟢 LOW RISK</t>
        </is>
      </c>
      <c r="AZ373" s="118" t="n">
        <v>26.8</v>
      </c>
      <c r="BA373" s="118" t="n">
        <v>26.6</v>
      </c>
      <c r="BB373" s="118" t="n">
        <v>67</v>
      </c>
      <c r="BC373" s="118" t="n">
        <v>62.7</v>
      </c>
      <c r="BD373" s="118" t="n">
        <v>135</v>
      </c>
      <c r="BE373" s="118" t="n">
        <v>137.3</v>
      </c>
      <c r="BF373" s="120" t="n">
        <v>0.203</v>
      </c>
      <c r="BG373" s="117" t="n">
        <v>0.775</v>
      </c>
      <c r="BH373" s="122" t="n">
        <v>8</v>
      </c>
      <c r="BI373" s="123" t="n">
        <v>1</v>
      </c>
    </row>
    <row r="374" ht="17" customHeight="1">
      <c r="A374" s="117" t="inlineStr">
        <is>
          <t>BSX</t>
        </is>
      </c>
      <c r="B374" s="117" t="inlineStr">
        <is>
          <t>BOSTON SCIENTIFIC CORP</t>
        </is>
      </c>
      <c r="C374" s="124" t="inlineStr">
        <is>
          <t>N/A</t>
        </is>
      </c>
      <c r="D374" s="118" t="n">
        <v>0.9330000000000001</v>
      </c>
      <c r="E374" s="118" t="n">
        <v>0.953</v>
      </c>
      <c r="F374" s="118" t="n">
        <v>1.125</v>
      </c>
      <c r="G374" s="118" t="n">
        <v>1.201</v>
      </c>
      <c r="H374" s="118" t="n">
        <v>1.023</v>
      </c>
      <c r="I374" s="118" t="n">
        <v>1</v>
      </c>
      <c r="J374" s="118" t="n">
        <v>-0.038</v>
      </c>
      <c r="K374" s="124" t="inlineStr">
        <is>
          <t>N/A</t>
        </is>
      </c>
      <c r="L374" s="124" t="inlineStr">
        <is>
          <t>N/A</t>
        </is>
      </c>
      <c r="M374" s="120" t="n">
        <v>0.011</v>
      </c>
      <c r="N374" s="124" t="inlineStr">
        <is>
          <t>N/A</t>
        </is>
      </c>
      <c r="O374" s="120" t="n">
        <v>0.132</v>
      </c>
      <c r="P374" s="120" t="n">
        <v>0.863</v>
      </c>
      <c r="Q374" s="120" t="n">
        <v>0.019</v>
      </c>
      <c r="R374" s="117" t="n">
        <v>1</v>
      </c>
      <c r="S374" s="118" t="n">
        <v>-2.955</v>
      </c>
      <c r="T374" s="118" t="n">
        <v>0.05</v>
      </c>
      <c r="U374" s="121" t="inlineStr">
        <is>
          <t>⚠ HIGH RISK</t>
        </is>
      </c>
      <c r="V374" s="117" t="n">
        <v>1</v>
      </c>
      <c r="W374" s="117" t="n">
        <v>0</v>
      </c>
      <c r="X374" s="117" t="n">
        <v>0</v>
      </c>
      <c r="Y374" s="117" t="n">
        <v>0</v>
      </c>
      <c r="Z374" s="117" t="n">
        <v>1</v>
      </c>
      <c r="AA374" s="117" t="n">
        <v>1</v>
      </c>
      <c r="AB374" s="117" t="n">
        <v>3</v>
      </c>
      <c r="AC374" s="121" t="inlineStr">
        <is>
          <t>⚠ WATCH</t>
        </is>
      </c>
      <c r="AD374" s="118" t="n">
        <v>4534000000</v>
      </c>
      <c r="AE374" s="118" t="n">
        <v>-2640000000</v>
      </c>
      <c r="AF374" s="118" t="n">
        <v>2892000000</v>
      </c>
      <c r="AG374" s="118" t="n">
        <v>0.024</v>
      </c>
      <c r="AH374" s="119" t="inlineStr">
        <is>
          <t>✓ Medium Quality</t>
        </is>
      </c>
      <c r="AI374" s="124" t="inlineStr">
        <is>
          <t>N/A</t>
        </is>
      </c>
      <c r="AJ374" s="120" t="n">
        <v>0.125</v>
      </c>
      <c r="AK374" s="124" t="inlineStr">
        <is>
          <t>N/A</t>
        </is>
      </c>
      <c r="AL374" s="120" t="n">
        <v>0.5</v>
      </c>
      <c r="AM374" s="120" t="n">
        <v>0.001</v>
      </c>
      <c r="AN374" s="117" t="n">
        <v>100</v>
      </c>
      <c r="AO374" s="119" t="inlineStr">
        <is>
          <t>✓ Good</t>
        </is>
      </c>
      <c r="AP374" s="117" t="n">
        <v>0</v>
      </c>
      <c r="AQ374" s="117" t="n">
        <v>0</v>
      </c>
      <c r="AR374" s="117" t="n">
        <v>0</v>
      </c>
      <c r="AS374" s="117" t="n">
        <v>1</v>
      </c>
      <c r="AT374" s="117" t="n">
        <v>1</v>
      </c>
      <c r="AU374" s="117" t="n">
        <v>1</v>
      </c>
      <c r="AV374" s="117" t="n">
        <v>3</v>
      </c>
      <c r="AW374" s="121" t="inlineStr">
        <is>
          <t>⚠ WATCH</t>
        </is>
      </c>
      <c r="AX374" s="118" t="n">
        <v>34.9</v>
      </c>
      <c r="AY374" s="119" t="inlineStr">
        <is>
          <t>🟢 LOW RISK</t>
        </is>
      </c>
      <c r="AZ374" s="118" t="n">
        <v>0</v>
      </c>
      <c r="BA374" s="124" t="inlineStr">
        <is>
          <t>N/A</t>
        </is>
      </c>
      <c r="BB374" s="118" t="n">
        <v>172.7</v>
      </c>
      <c r="BC374" s="118" t="n">
        <v>195.1</v>
      </c>
      <c r="BD374" s="118" t="n">
        <v>67.09999999999999</v>
      </c>
      <c r="BE374" s="118" t="n">
        <v>66.7</v>
      </c>
      <c r="BF374" s="120" t="n">
        <v>0.146</v>
      </c>
      <c r="BG374" s="117" t="n">
        <v>0.863</v>
      </c>
      <c r="BH374" s="122" t="n">
        <v>7</v>
      </c>
      <c r="BI374" s="123" t="n">
        <v>0.8333333333333334</v>
      </c>
    </row>
    <row r="375" ht="17" customHeight="1">
      <c r="A375" s="117" t="inlineStr">
        <is>
          <t>EPRT</t>
        </is>
      </c>
      <c r="B375" s="117" t="inlineStr">
        <is>
          <t>Essential Properties Realty Trust, Inc.</t>
        </is>
      </c>
      <c r="C375" s="124" t="inlineStr">
        <is>
          <t>N/A</t>
        </is>
      </c>
      <c r="D375" s="124" t="inlineStr">
        <is>
          <t>N/A</t>
        </is>
      </c>
      <c r="E375" s="124" t="inlineStr">
        <is>
          <t>N/A</t>
        </is>
      </c>
      <c r="F375" s="118" t="n">
        <v>1.248</v>
      </c>
      <c r="G375" s="124" t="inlineStr">
        <is>
          <t>N/A</t>
        </is>
      </c>
      <c r="H375" s="118" t="n">
        <v>0.931</v>
      </c>
      <c r="I375" s="118" t="n">
        <v>1.008</v>
      </c>
      <c r="J375" s="118" t="n">
        <v>-0.019</v>
      </c>
      <c r="K375" s="124" t="inlineStr">
        <is>
          <t>N/A</t>
        </is>
      </c>
      <c r="L375" s="124" t="inlineStr">
        <is>
          <t>N/A</t>
        </is>
      </c>
      <c r="M375" s="124" t="inlineStr">
        <is>
          <t>N/A</t>
        </is>
      </c>
      <c r="N375" s="124" t="inlineStr">
        <is>
          <t>N/A</t>
        </is>
      </c>
      <c r="O375" s="124" t="inlineStr">
        <is>
          <t>N/A</t>
        </is>
      </c>
      <c r="P375" s="120" t="n">
        <v>0.991</v>
      </c>
      <c r="Q375" s="120" t="n">
        <v>0.002</v>
      </c>
      <c r="R375" s="117" t="n">
        <v>1</v>
      </c>
      <c r="S375" s="124" t="inlineStr">
        <is>
          <t>N/A</t>
        </is>
      </c>
      <c r="T375" s="124" t="inlineStr">
        <is>
          <t>N/A</t>
        </is>
      </c>
      <c r="U375" s="124" t="inlineStr">
        <is>
          <t>N/A</t>
        </is>
      </c>
      <c r="V375" s="117" t="n">
        <v>1</v>
      </c>
      <c r="W375" s="117" t="n">
        <v>0</v>
      </c>
      <c r="X375" s="117" t="n">
        <v>0</v>
      </c>
      <c r="Y375" s="117" t="n">
        <v>0</v>
      </c>
      <c r="Z375" s="117" t="n">
        <v>0</v>
      </c>
      <c r="AA375" s="117" t="n">
        <v>1</v>
      </c>
      <c r="AB375" s="117" t="n">
        <v>2</v>
      </c>
      <c r="AC375" s="121" t="inlineStr">
        <is>
          <t>⚠ WATCH</t>
        </is>
      </c>
      <c r="AD375" s="118" t="n">
        <v>381080000</v>
      </c>
      <c r="AE375" s="118" t="n">
        <v>-1154047000</v>
      </c>
      <c r="AF375" s="118" t="n">
        <v>253013000</v>
      </c>
      <c r="AG375" s="118" t="n">
        <v>0.162</v>
      </c>
      <c r="AH375" s="117" t="inlineStr">
        <is>
          <t>⚠ Low Quality</t>
        </is>
      </c>
      <c r="AI375" s="124" t="inlineStr">
        <is>
          <t>N/A</t>
        </is>
      </c>
      <c r="AJ375" s="120" t="n">
        <v>0.248</v>
      </c>
      <c r="AK375" s="124" t="inlineStr">
        <is>
          <t>N/A</t>
        </is>
      </c>
      <c r="AL375" s="120" t="n">
        <v>0.679</v>
      </c>
      <c r="AM375" s="124" t="inlineStr">
        <is>
          <t>N/A</t>
        </is>
      </c>
      <c r="AN375" s="117" t="n">
        <v>100</v>
      </c>
      <c r="AO375" s="119" t="inlineStr">
        <is>
          <t>✓ Good</t>
        </is>
      </c>
      <c r="AP375" s="117" t="n">
        <v>0</v>
      </c>
      <c r="AQ375" s="117" t="n">
        <v>0</v>
      </c>
      <c r="AR375" s="117" t="n">
        <v>0</v>
      </c>
      <c r="AS375" s="117" t="n">
        <v>0</v>
      </c>
      <c r="AT375" s="117" t="n">
        <v>0</v>
      </c>
      <c r="AU375" s="117" t="n">
        <v>1</v>
      </c>
      <c r="AV375" s="117" t="n">
        <v>1</v>
      </c>
      <c r="AW375" s="119" t="inlineStr">
        <is>
          <t>✓ Clean</t>
        </is>
      </c>
      <c r="AX375" s="118" t="n">
        <v>32.8</v>
      </c>
      <c r="AY375" s="119" t="inlineStr">
        <is>
          <t>🟢 LOW RISK</t>
        </is>
      </c>
      <c r="AZ375" s="118" t="n">
        <v>0</v>
      </c>
      <c r="BA375" s="124" t="inlineStr">
        <is>
          <t>N/A</t>
        </is>
      </c>
      <c r="BB375" s="124" t="inlineStr">
        <is>
          <t>N/A</t>
        </is>
      </c>
      <c r="BC375" s="124" t="inlineStr">
        <is>
          <t>N/A</t>
        </is>
      </c>
      <c r="BD375" s="124" t="inlineStr">
        <is>
          <t>N/A</t>
        </is>
      </c>
      <c r="BE375" s="124" t="inlineStr">
        <is>
          <t>N/A</t>
        </is>
      </c>
      <c r="BF375" s="120" t="n">
        <v>0.003</v>
      </c>
      <c r="BG375" s="117" t="n">
        <v>0.991</v>
      </c>
      <c r="BH375" s="122" t="n">
        <v>4</v>
      </c>
      <c r="BI375" s="125" t="n">
        <v>0.6666666666666666</v>
      </c>
    </row>
    <row r="376" ht="17" customHeight="1">
      <c r="A376" s="117" t="inlineStr">
        <is>
          <t>NEOG</t>
        </is>
      </c>
      <c r="B376" s="117" t="inlineStr">
        <is>
          <t>Neogen Corporation</t>
        </is>
      </c>
      <c r="C376" s="118" t="n">
        <v>0.916</v>
      </c>
      <c r="D376" s="118" t="n">
        <v>1.066</v>
      </c>
      <c r="E376" s="118" t="n">
        <v>0.907</v>
      </c>
      <c r="F376" s="118" t="n">
        <v>0.968</v>
      </c>
      <c r="G376" s="118" t="n">
        <v>1.138</v>
      </c>
      <c r="H376" s="118" t="n">
        <v>1.128</v>
      </c>
      <c r="I376" s="118" t="n">
        <v>1.291</v>
      </c>
      <c r="J376" s="118" t="n">
        <v>-0.334</v>
      </c>
      <c r="K376" s="118" t="n">
        <v>-4.253</v>
      </c>
      <c r="L376" s="119" t="inlineStr">
        <is>
          <t>✓ Lower Risk</t>
        </is>
      </c>
      <c r="M376" s="120" t="n">
        <v>-0.032</v>
      </c>
      <c r="N376" s="120" t="n">
        <v>-0.664</v>
      </c>
      <c r="O376" s="120" t="n">
        <v>0.054</v>
      </c>
      <c r="P376" s="120" t="n">
        <v>0.864</v>
      </c>
      <c r="Q376" s="120" t="n">
        <v>-0.315</v>
      </c>
      <c r="R376" s="117" t="n">
        <v>0</v>
      </c>
      <c r="S376" s="118" t="n">
        <v>-7.677</v>
      </c>
      <c r="T376" s="118" t="n">
        <v>0</v>
      </c>
      <c r="U376" s="119" t="inlineStr">
        <is>
          <t>✓ Normal</t>
        </is>
      </c>
      <c r="V376" s="117" t="n">
        <v>0</v>
      </c>
      <c r="W376" s="117" t="n">
        <v>0</v>
      </c>
      <c r="X376" s="117" t="n">
        <v>1</v>
      </c>
      <c r="Y376" s="117" t="n">
        <v>1</v>
      </c>
      <c r="Z376" s="117" t="n">
        <v>0</v>
      </c>
      <c r="AA376" s="117" t="n">
        <v>0</v>
      </c>
      <c r="AB376" s="117" t="n">
        <v>2</v>
      </c>
      <c r="AC376" s="121" t="inlineStr">
        <is>
          <t>⚠ WATCH</t>
        </is>
      </c>
      <c r="AD376" s="118" t="n">
        <v>58244000</v>
      </c>
      <c r="AE376" s="118" t="n">
        <v>-99195000</v>
      </c>
      <c r="AF376" s="118" t="n">
        <v>-1092044000</v>
      </c>
      <c r="AG376" s="118" t="n">
        <v>-0.263</v>
      </c>
      <c r="AH376" s="119" t="inlineStr">
        <is>
          <t>✓ High Quality</t>
        </is>
      </c>
      <c r="AI376" s="118" t="n">
        <v>-0.113</v>
      </c>
      <c r="AJ376" s="120" t="n">
        <v>-0.032</v>
      </c>
      <c r="AK376" s="120" t="n">
        <v>3.546</v>
      </c>
      <c r="AL376" s="120" t="n">
        <v>0.065</v>
      </c>
      <c r="AM376" s="120" t="n">
        <v>0.001</v>
      </c>
      <c r="AN376" s="118" t="n">
        <v>53.1</v>
      </c>
      <c r="AO376" s="121" t="inlineStr">
        <is>
          <t>⚠ WATCH</t>
        </is>
      </c>
      <c r="AP376" s="117" t="n">
        <v>1</v>
      </c>
      <c r="AQ376" s="117" t="n">
        <v>1</v>
      </c>
      <c r="AR376" s="117" t="n">
        <v>1</v>
      </c>
      <c r="AS376" s="117" t="n">
        <v>1</v>
      </c>
      <c r="AT376" s="117" t="n">
        <v>0</v>
      </c>
      <c r="AU376" s="117" t="n">
        <v>1</v>
      </c>
      <c r="AV376" s="117" t="n">
        <v>5</v>
      </c>
      <c r="AW376" s="117" t="inlineStr">
        <is>
          <t>⚠⚠ MULTIPLE RED FLAGS</t>
        </is>
      </c>
      <c r="AX376" s="118" t="n">
        <v>20.3</v>
      </c>
      <c r="AY376" s="119" t="inlineStr">
        <is>
          <t>🟢 LOW RISK</t>
        </is>
      </c>
      <c r="AZ376" s="118" t="n">
        <v>62.6</v>
      </c>
      <c r="BA376" s="118" t="n">
        <v>68.3</v>
      </c>
      <c r="BB376" s="118" t="n">
        <v>147.2</v>
      </c>
      <c r="BC376" s="118" t="n">
        <v>150.1</v>
      </c>
      <c r="BD376" s="118" t="n">
        <v>61.4</v>
      </c>
      <c r="BE376" s="118" t="n">
        <v>65.90000000000001</v>
      </c>
      <c r="BF376" s="120" t="n">
        <v>0.036</v>
      </c>
      <c r="BG376" s="117" t="n">
        <v>0.864</v>
      </c>
      <c r="BH376" s="122" t="n">
        <v>7</v>
      </c>
      <c r="BI376" s="123" t="n">
        <v>1</v>
      </c>
    </row>
    <row r="377" ht="17" customHeight="1">
      <c r="A377" s="117" t="inlineStr">
        <is>
          <t>APP</t>
        </is>
      </c>
      <c r="B377" s="117" t="inlineStr">
        <is>
          <t>AppLovin Corp</t>
        </is>
      </c>
      <c r="C377" s="118" t="n">
        <v>1.105</v>
      </c>
      <c r="D377" s="118" t="n">
        <v>0.856</v>
      </c>
      <c r="E377" s="124" t="inlineStr">
        <is>
          <t>N/A</t>
        </is>
      </c>
      <c r="F377" s="118" t="n">
        <v>1.164</v>
      </c>
      <c r="G377" s="124" t="inlineStr">
        <is>
          <t>N/A</t>
        </is>
      </c>
      <c r="H377" s="118" t="n">
        <v>1.108</v>
      </c>
      <c r="I377" s="118" t="n">
        <v>0.867</v>
      </c>
      <c r="J377" s="118" t="n">
        <v>-0.08799999999999999</v>
      </c>
      <c r="K377" s="124" t="inlineStr">
        <is>
          <t>N/A</t>
        </is>
      </c>
      <c r="L377" s="124" t="inlineStr">
        <is>
          <t>N/A</t>
        </is>
      </c>
      <c r="M377" s="120" t="n">
        <v>-0.014</v>
      </c>
      <c r="N377" s="120" t="n">
        <v>0.525</v>
      </c>
      <c r="O377" s="124" t="inlineStr">
        <is>
          <t>N/A</t>
        </is>
      </c>
      <c r="P377" s="120" t="n">
        <v>0.657</v>
      </c>
      <c r="Q377" s="120" t="n">
        <v>0.19</v>
      </c>
      <c r="R377" s="117" t="n">
        <v>0</v>
      </c>
      <c r="S377" s="118" t="n">
        <v>-5.364</v>
      </c>
      <c r="T377" s="118" t="n">
        <v>0.005</v>
      </c>
      <c r="U377" s="119" t="inlineStr">
        <is>
          <t>✓ Normal</t>
        </is>
      </c>
      <c r="V377" s="117" t="n">
        <v>0</v>
      </c>
      <c r="W377" s="117" t="n">
        <v>1</v>
      </c>
      <c r="X377" s="117" t="n">
        <v>0</v>
      </c>
      <c r="Y377" s="117" t="n">
        <v>0</v>
      </c>
      <c r="Z377" s="117" t="n">
        <v>1</v>
      </c>
      <c r="AA377" s="117" t="n">
        <v>1</v>
      </c>
      <c r="AB377" s="117" t="n">
        <v>3</v>
      </c>
      <c r="AC377" s="121" t="inlineStr">
        <is>
          <t>⚠ WATCH</t>
        </is>
      </c>
      <c r="AD377" s="118" t="n">
        <v>3971094000</v>
      </c>
      <c r="AE377" s="118" t="n">
        <v>358428000</v>
      </c>
      <c r="AF377" s="118" t="n">
        <v>3333751000</v>
      </c>
      <c r="AG377" s="118" t="n">
        <v>-0.152</v>
      </c>
      <c r="AH377" s="119" t="inlineStr">
        <is>
          <t>✓ High Quality</t>
        </is>
      </c>
      <c r="AI377" s="118" t="n">
        <v>0.286</v>
      </c>
      <c r="AJ377" s="120" t="n">
        <v>0.164</v>
      </c>
      <c r="AK377" s="120" t="n">
        <v>1.749</v>
      </c>
      <c r="AL377" s="120" t="n">
        <v>0.725</v>
      </c>
      <c r="AM377" s="120" t="n">
        <v>0.002</v>
      </c>
      <c r="AN377" s="118" t="n">
        <v>77.59999999999999</v>
      </c>
      <c r="AO377" s="119" t="inlineStr">
        <is>
          <t>✓ Good</t>
        </is>
      </c>
      <c r="AP377" s="117" t="n">
        <v>0</v>
      </c>
      <c r="AQ377" s="117" t="n">
        <v>0</v>
      </c>
      <c r="AR377" s="117" t="n">
        <v>0</v>
      </c>
      <c r="AS377" s="117" t="n">
        <v>1</v>
      </c>
      <c r="AT377" s="117" t="n">
        <v>1</v>
      </c>
      <c r="AU377" s="117" t="n">
        <v>0</v>
      </c>
      <c r="AV377" s="117" t="n">
        <v>2</v>
      </c>
      <c r="AW377" s="121" t="inlineStr">
        <is>
          <t>⚠ WATCH</t>
        </is>
      </c>
      <c r="AX377" s="118" t="n">
        <v>31</v>
      </c>
      <c r="AY377" s="119" t="inlineStr">
        <is>
          <t>🟢 LOW RISK</t>
        </is>
      </c>
      <c r="AZ377" s="118" t="n">
        <v>121.2</v>
      </c>
      <c r="BA377" s="118" t="n">
        <v>109.6</v>
      </c>
      <c r="BB377" s="124" t="inlineStr">
        <is>
          <t>N/A</t>
        </is>
      </c>
      <c r="BC377" s="124" t="inlineStr">
        <is>
          <t>N/A</t>
        </is>
      </c>
      <c r="BD377" s="118" t="n">
        <v>409.9</v>
      </c>
      <c r="BE377" s="118" t="n">
        <v>176.3</v>
      </c>
      <c r="BF377" s="120" t="n">
        <v>0.131</v>
      </c>
      <c r="BG377" s="117" t="n">
        <v>0.657</v>
      </c>
      <c r="BH377" s="122" t="n">
        <v>5</v>
      </c>
      <c r="BI377" s="123" t="n">
        <v>0.8333333333333334</v>
      </c>
    </row>
    <row r="378" ht="17" customHeight="1">
      <c r="A378" s="117" t="inlineStr">
        <is>
          <t>CRWD</t>
        </is>
      </c>
      <c r="B378" s="117" t="inlineStr">
        <is>
          <t>CROWDSTRIKE HOLDINGS, INC.</t>
        </is>
      </c>
      <c r="C378" s="118" t="n">
        <v>0.991</v>
      </c>
      <c r="D378" s="118" t="n">
        <v>1.003</v>
      </c>
      <c r="E378" s="118" t="n">
        <v>1.174</v>
      </c>
      <c r="F378" s="118" t="n">
        <v>1.217</v>
      </c>
      <c r="G378" s="118" t="n">
        <v>1.03</v>
      </c>
      <c r="H378" s="118" t="n">
        <v>1.142</v>
      </c>
      <c r="I378" s="118" t="n">
        <v>0.964</v>
      </c>
      <c r="J378" s="118" t="n">
        <v>-0.16</v>
      </c>
      <c r="K378" s="118" t="n">
        <v>-2.981</v>
      </c>
      <c r="L378" s="119" t="inlineStr">
        <is>
          <t>✓ Lower Risk</t>
        </is>
      </c>
      <c r="M378" s="120" t="n">
        <v>-0.032</v>
      </c>
      <c r="N378" s="120" t="n">
        <v>0.272</v>
      </c>
      <c r="O378" s="124" t="inlineStr">
        <is>
          <t>N/A</t>
        </is>
      </c>
      <c r="P378" s="120" t="n">
        <v>0.44</v>
      </c>
      <c r="Q378" s="120" t="n">
        <v>-0.012</v>
      </c>
      <c r="R378" s="117" t="n">
        <v>0</v>
      </c>
      <c r="S378" s="118" t="n">
        <v>-6.357</v>
      </c>
      <c r="T378" s="118" t="n">
        <v>0.002</v>
      </c>
      <c r="U378" s="119" t="inlineStr">
        <is>
          <t>✓ Normal</t>
        </is>
      </c>
      <c r="V378" s="117" t="n">
        <v>0</v>
      </c>
      <c r="W378" s="117" t="n">
        <v>0</v>
      </c>
      <c r="X378" s="117" t="n">
        <v>0</v>
      </c>
      <c r="Y378" s="117" t="n">
        <v>1</v>
      </c>
      <c r="Z378" s="117" t="n">
        <v>1</v>
      </c>
      <c r="AA378" s="117" t="n">
        <v>1</v>
      </c>
      <c r="AB378" s="117" t="n">
        <v>3</v>
      </c>
      <c r="AC378" s="121" t="inlineStr">
        <is>
          <t>⚠ WATCH</t>
        </is>
      </c>
      <c r="AD378" s="118" t="n">
        <v>1612349000</v>
      </c>
      <c r="AE378" s="118" t="n">
        <v>-764479000</v>
      </c>
      <c r="AF378" s="118" t="n">
        <v>-162502000</v>
      </c>
      <c r="AG378" s="118" t="n">
        <v>-0.102</v>
      </c>
      <c r="AH378" s="119" t="inlineStr">
        <is>
          <t>✓ High Quality</t>
        </is>
      </c>
      <c r="AI378" s="118" t="n">
        <v>0.207</v>
      </c>
      <c r="AJ378" s="120" t="n">
        <v>0.217</v>
      </c>
      <c r="AK378" s="120" t="n">
        <v>0.952</v>
      </c>
      <c r="AL378" s="120" t="n">
        <v>0.335</v>
      </c>
      <c r="AM378" s="120" t="n">
        <v>0.143</v>
      </c>
      <c r="AN378" s="117" t="n">
        <v>100</v>
      </c>
      <c r="AO378" s="119" t="inlineStr">
        <is>
          <t>✓ Good</t>
        </is>
      </c>
      <c r="AP378" s="117" t="n">
        <v>0</v>
      </c>
      <c r="AQ378" s="117" t="n">
        <v>0</v>
      </c>
      <c r="AR378" s="117" t="n">
        <v>1</v>
      </c>
      <c r="AS378" s="117" t="n">
        <v>1</v>
      </c>
      <c r="AT378" s="117" t="n">
        <v>1</v>
      </c>
      <c r="AU378" s="117" t="n">
        <v>1</v>
      </c>
      <c r="AV378" s="117" t="n">
        <v>4</v>
      </c>
      <c r="AW378" s="117" t="inlineStr">
        <is>
          <t>⚠⚠ MULTIPLE RED FLAGS</t>
        </is>
      </c>
      <c r="AX378" s="118" t="n">
        <v>21.2</v>
      </c>
      <c r="AY378" s="119" t="inlineStr">
        <is>
          <t>🟢 LOW RISK</t>
        </is>
      </c>
      <c r="AZ378" s="118" t="n">
        <v>103.3</v>
      </c>
      <c r="BA378" s="118" t="n">
        <v>104.2</v>
      </c>
      <c r="BB378" s="124" t="inlineStr">
        <is>
          <t>N/A</t>
        </is>
      </c>
      <c r="BC378" s="124" t="inlineStr">
        <is>
          <t>N/A</t>
        </is>
      </c>
      <c r="BD378" s="118" t="n">
        <v>31.5</v>
      </c>
      <c r="BE378" s="118" t="n">
        <v>48.2</v>
      </c>
      <c r="BF378" s="120" t="n">
        <v>-0.269</v>
      </c>
      <c r="BG378" s="117" t="n">
        <v>0.44</v>
      </c>
      <c r="BH378" s="122" t="n">
        <v>7</v>
      </c>
      <c r="BI378" s="123" t="n">
        <v>1</v>
      </c>
    </row>
    <row r="379" ht="17" customHeight="1">
      <c r="A379" s="117" t="inlineStr">
        <is>
          <t>CAT</t>
        </is>
      </c>
      <c r="B379" s="117" t="inlineStr">
        <is>
          <t>CATERPILLAR INC</t>
        </is>
      </c>
      <c r="C379" s="118" t="n">
        <v>1.128</v>
      </c>
      <c r="D379" s="118" t="n">
        <v>0.864</v>
      </c>
      <c r="E379" s="118" t="n">
        <v>0.96</v>
      </c>
      <c r="F379" s="118" t="n">
        <v>1.043</v>
      </c>
      <c r="G379" s="118" t="n">
        <v>1.068</v>
      </c>
      <c r="H379" s="118" t="n">
        <v>1.005</v>
      </c>
      <c r="I379" s="118" t="n">
        <v>1.008</v>
      </c>
      <c r="J379" s="118" t="n">
        <v>-0.092</v>
      </c>
      <c r="K379" s="118" t="n">
        <v>-2.836</v>
      </c>
      <c r="L379" s="119" t="inlineStr">
        <is>
          <t>✓ Lower Risk</t>
        </is>
      </c>
      <c r="M379" s="120" t="n">
        <v>-0.029</v>
      </c>
      <c r="N379" s="120" t="n">
        <v>0.589</v>
      </c>
      <c r="O379" s="120" t="n">
        <v>0.471</v>
      </c>
      <c r="P379" s="120" t="n">
        <v>0.745</v>
      </c>
      <c r="Q379" s="120" t="n">
        <v>0.016</v>
      </c>
      <c r="R379" s="117" t="n">
        <v>0</v>
      </c>
      <c r="S379" s="118" t="n">
        <v>-4.404</v>
      </c>
      <c r="T379" s="118" t="n">
        <v>0.012</v>
      </c>
      <c r="U379" s="119" t="inlineStr">
        <is>
          <t>✓ Normal</t>
        </is>
      </c>
      <c r="V379" s="117" t="n">
        <v>1</v>
      </c>
      <c r="W379" s="117" t="n">
        <v>1</v>
      </c>
      <c r="X379" s="117" t="n">
        <v>1</v>
      </c>
      <c r="Y379" s="117" t="n">
        <v>0</v>
      </c>
      <c r="Z379" s="117" t="n">
        <v>1</v>
      </c>
      <c r="AA379" s="117" t="n">
        <v>1</v>
      </c>
      <c r="AB379" s="117" t="n">
        <v>5</v>
      </c>
      <c r="AC379" s="121" t="inlineStr">
        <is>
          <t>⚠⚠ SERIOUS CONCERN</t>
        </is>
      </c>
      <c r="AD379" s="118" t="n">
        <v>11739000000</v>
      </c>
      <c r="AE379" s="118" t="n">
        <v>-4707000000</v>
      </c>
      <c r="AF379" s="118" t="n">
        <v>2700000000</v>
      </c>
      <c r="AG379" s="118" t="n">
        <v>-0.046</v>
      </c>
      <c r="AH379" s="119" t="inlineStr">
        <is>
          <t>✓ Medium Quality</t>
        </is>
      </c>
      <c r="AI379" s="118" t="n">
        <v>0.176</v>
      </c>
      <c r="AJ379" s="120" t="n">
        <v>0.043</v>
      </c>
      <c r="AK379" s="120" t="n">
        <v>4.114</v>
      </c>
      <c r="AL379" s="120" t="n">
        <v>0.174</v>
      </c>
      <c r="AM379" s="120" t="n">
        <v>0.015</v>
      </c>
      <c r="AN379" s="118" t="n">
        <v>70.7</v>
      </c>
      <c r="AO379" s="119" t="inlineStr">
        <is>
          <t>✓ Good</t>
        </is>
      </c>
      <c r="AP379" s="117" t="n">
        <v>0</v>
      </c>
      <c r="AQ379" s="117" t="n">
        <v>0</v>
      </c>
      <c r="AR379" s="117" t="n">
        <v>0</v>
      </c>
      <c r="AS379" s="117" t="n">
        <v>1</v>
      </c>
      <c r="AT379" s="117" t="n">
        <v>1</v>
      </c>
      <c r="AU379" s="117" t="n">
        <v>0</v>
      </c>
      <c r="AV379" s="117" t="n">
        <v>2</v>
      </c>
      <c r="AW379" s="121" t="inlineStr">
        <is>
          <t>⚠ WATCH</t>
        </is>
      </c>
      <c r="AX379" s="118" t="n">
        <v>28.6</v>
      </c>
      <c r="AY379" s="119" t="inlineStr">
        <is>
          <t>🟢 LOW RISK</t>
        </is>
      </c>
      <c r="AZ379" s="118" t="n">
        <v>59</v>
      </c>
      <c r="BA379" s="118" t="n">
        <v>52.3</v>
      </c>
      <c r="BB379" s="118" t="n">
        <v>135087.2</v>
      </c>
      <c r="BC379" s="118" t="n">
        <v>186116.8</v>
      </c>
      <c r="BD379" s="118" t="n">
        <v>66802.39999999999</v>
      </c>
      <c r="BE379" s="118" t="n">
        <v>84890.2</v>
      </c>
      <c r="BF379" s="120" t="n">
        <v>0.512</v>
      </c>
      <c r="BG379" s="117" t="n">
        <v>0.745</v>
      </c>
      <c r="BH379" s="122" t="n">
        <v>7</v>
      </c>
      <c r="BI379" s="123" t="n">
        <v>1</v>
      </c>
    </row>
    <row r="380" ht="17" customHeight="1">
      <c r="A380" s="117" t="inlineStr">
        <is>
          <t>KHC</t>
        </is>
      </c>
      <c r="B380" s="117" t="inlineStr">
        <is>
          <t>Kraft Heinz Co</t>
        </is>
      </c>
      <c r="C380" s="118" t="n">
        <v>1.088</v>
      </c>
      <c r="D380" s="118" t="n">
        <v>1.042</v>
      </c>
      <c r="E380" s="118" t="n">
        <v>0.948</v>
      </c>
      <c r="F380" s="118" t="n">
        <v>0.965</v>
      </c>
      <c r="G380" s="118" t="n">
        <v>0.979</v>
      </c>
      <c r="H380" s="118" t="n">
        <v>1.846</v>
      </c>
      <c r="I380" s="118" t="n">
        <v>1.108</v>
      </c>
      <c r="J380" s="118" t="n">
        <v>-0.126</v>
      </c>
      <c r="K380" s="118" t="n">
        <v>-3.202</v>
      </c>
      <c r="L380" s="119" t="inlineStr">
        <is>
          <t>✓ Lower Risk</t>
        </is>
      </c>
      <c r="M380" s="120" t="n">
        <v>-0.016</v>
      </c>
      <c r="N380" s="120" t="n">
        <v>0.118</v>
      </c>
      <c r="O380" s="120" t="n">
        <v>-0.231</v>
      </c>
      <c r="P380" s="120" t="n">
        <v>0.882</v>
      </c>
      <c r="Q380" s="120" t="n">
        <v>-0.103</v>
      </c>
      <c r="R380" s="117" t="n">
        <v>0</v>
      </c>
      <c r="S380" s="118" t="n">
        <v>-6.093</v>
      </c>
      <c r="T380" s="118" t="n">
        <v>0.002</v>
      </c>
      <c r="U380" s="119" t="inlineStr">
        <is>
          <t>✓ Normal</t>
        </is>
      </c>
      <c r="V380" s="117" t="n">
        <v>0</v>
      </c>
      <c r="W380" s="117" t="n">
        <v>1</v>
      </c>
      <c r="X380" s="117" t="n">
        <v>0</v>
      </c>
      <c r="Y380" s="117" t="n">
        <v>0</v>
      </c>
      <c r="Z380" s="117" t="n">
        <v>0</v>
      </c>
      <c r="AA380" s="117" t="n">
        <v>0</v>
      </c>
      <c r="AB380" s="117" t="n">
        <v>1</v>
      </c>
      <c r="AC380" s="119" t="inlineStr">
        <is>
          <t>✓ Clean</t>
        </is>
      </c>
      <c r="AD380" s="118" t="n">
        <v>4462000000</v>
      </c>
      <c r="AE380" s="118" t="n">
        <v>-1833000000</v>
      </c>
      <c r="AF380" s="118" t="n">
        <v>-5846000000</v>
      </c>
      <c r="AG380" s="118" t="n">
        <v>-0.1</v>
      </c>
      <c r="AH380" s="119" t="inlineStr">
        <is>
          <t>✓ Medium Quality</t>
        </is>
      </c>
      <c r="AI380" s="118" t="n">
        <v>0.05</v>
      </c>
      <c r="AJ380" s="120" t="n">
        <v>-0.035</v>
      </c>
      <c r="AK380" s="120" t="n">
        <v>-1.425</v>
      </c>
      <c r="AL380" s="120" t="n">
        <v>0.179</v>
      </c>
      <c r="AM380" s="124" t="inlineStr">
        <is>
          <t>N/A</t>
        </is>
      </c>
      <c r="AN380" s="117" t="n">
        <v>100</v>
      </c>
      <c r="AO380" s="119" t="inlineStr">
        <is>
          <t>✓ Good</t>
        </is>
      </c>
      <c r="AP380" s="117" t="n">
        <v>1</v>
      </c>
      <c r="AQ380" s="117" t="n">
        <v>1</v>
      </c>
      <c r="AR380" s="117" t="n">
        <v>1</v>
      </c>
      <c r="AS380" s="117" t="n">
        <v>1</v>
      </c>
      <c r="AT380" s="117" t="n">
        <v>0</v>
      </c>
      <c r="AU380" s="117" t="n">
        <v>0</v>
      </c>
      <c r="AV380" s="117" t="n">
        <v>4</v>
      </c>
      <c r="AW380" s="117" t="inlineStr">
        <is>
          <t>⚠⚠ MULTIPLE RED FLAGS</t>
        </is>
      </c>
      <c r="AX380" s="118" t="n">
        <v>13.9</v>
      </c>
      <c r="AY380" s="119" t="inlineStr">
        <is>
          <t>🟢 VERY LOW RISK</t>
        </is>
      </c>
      <c r="AZ380" s="118" t="n">
        <v>33</v>
      </c>
      <c r="BA380" s="118" t="n">
        <v>30.3</v>
      </c>
      <c r="BB380" s="118" t="n">
        <v>69.5</v>
      </c>
      <c r="BC380" s="118" t="n">
        <v>73</v>
      </c>
      <c r="BD380" s="118" t="n">
        <v>57.8</v>
      </c>
      <c r="BE380" s="124" t="inlineStr">
        <is>
          <t>N/A</t>
        </is>
      </c>
      <c r="BF380" s="120" t="n">
        <v>-0.074</v>
      </c>
      <c r="BG380" s="117" t="n">
        <v>0.882</v>
      </c>
      <c r="BH380" s="122" t="n">
        <v>5</v>
      </c>
      <c r="BI380" s="123" t="n">
        <v>1</v>
      </c>
    </row>
    <row r="381" ht="17" customHeight="1">
      <c r="A381" s="117" t="inlineStr">
        <is>
          <t>RL</t>
        </is>
      </c>
      <c r="B381" s="117" t="inlineStr">
        <is>
          <t>RALPH LAUREN CORPORATION</t>
        </is>
      </c>
      <c r="C381" s="118" t="n">
        <v>0.9340000000000001</v>
      </c>
      <c r="D381" s="118" t="n">
        <v>0.981</v>
      </c>
      <c r="E381" s="118" t="n">
        <v>1.051</v>
      </c>
      <c r="F381" s="118" t="n">
        <v>1.146</v>
      </c>
      <c r="G381" s="118" t="n">
        <v>1.153</v>
      </c>
      <c r="H381" s="118" t="n">
        <v>0.987</v>
      </c>
      <c r="I381" s="118" t="n">
        <v>1</v>
      </c>
      <c r="J381" s="118" t="n">
        <v>-0.028</v>
      </c>
      <c r="K381" s="118" t="n">
        <v>-2.509</v>
      </c>
      <c r="L381" s="119" t="inlineStr">
        <is>
          <t>✓ Lower Risk</t>
        </is>
      </c>
      <c r="M381" s="120" t="n">
        <v>0.014</v>
      </c>
      <c r="N381" s="120" t="n">
        <v>0.031</v>
      </c>
      <c r="O381" s="120" t="n">
        <v>0.062</v>
      </c>
      <c r="P381" s="120" t="n">
        <v>0.605</v>
      </c>
      <c r="Q381" s="120" t="n">
        <v>0.016</v>
      </c>
      <c r="R381" s="117" t="n">
        <v>0</v>
      </c>
      <c r="S381" s="118" t="n">
        <v>-6.54</v>
      </c>
      <c r="T381" s="118" t="n">
        <v>0.001</v>
      </c>
      <c r="U381" s="119" t="inlineStr">
        <is>
          <t>✓ Normal</t>
        </is>
      </c>
      <c r="V381" s="117" t="n">
        <v>1</v>
      </c>
      <c r="W381" s="117" t="n">
        <v>0</v>
      </c>
      <c r="X381" s="117" t="n">
        <v>0</v>
      </c>
      <c r="Y381" s="117" t="n">
        <v>1</v>
      </c>
      <c r="Z381" s="117" t="n">
        <v>1</v>
      </c>
      <c r="AA381" s="117" t="n">
        <v>0</v>
      </c>
      <c r="AB381" s="117" t="n">
        <v>3</v>
      </c>
      <c r="AC381" s="121" t="inlineStr">
        <is>
          <t>⚠ WATCH</t>
        </is>
      </c>
      <c r="AD381" s="118" t="n">
        <v>1154200000</v>
      </c>
      <c r="AE381" s="118" t="n">
        <v>-356600000</v>
      </c>
      <c r="AF381" s="118" t="n">
        <v>941100000</v>
      </c>
      <c r="AG381" s="118" t="n">
        <v>0.019</v>
      </c>
      <c r="AH381" s="119" t="inlineStr">
        <is>
          <t>✓ Medium Quality</t>
        </is>
      </c>
      <c r="AI381" s="118" t="n">
        <v>0.07000000000000001</v>
      </c>
      <c r="AJ381" s="120" t="n">
        <v>0.146</v>
      </c>
      <c r="AK381" s="120" t="n">
        <v>0.479</v>
      </c>
      <c r="AL381" s="120" t="n">
        <v>0.142</v>
      </c>
      <c r="AM381" s="120" t="n">
        <v>0.001</v>
      </c>
      <c r="AN381" s="118" t="n">
        <v>98.5</v>
      </c>
      <c r="AO381" s="119" t="inlineStr">
        <is>
          <t>✓ Good</t>
        </is>
      </c>
      <c r="AP381" s="117" t="n">
        <v>0</v>
      </c>
      <c r="AQ381" s="117" t="n">
        <v>0</v>
      </c>
      <c r="AR381" s="117" t="n">
        <v>0</v>
      </c>
      <c r="AS381" s="117" t="n">
        <v>0</v>
      </c>
      <c r="AT381" s="117" t="n">
        <v>0</v>
      </c>
      <c r="AU381" s="117" t="n">
        <v>1</v>
      </c>
      <c r="AV381" s="117" t="n">
        <v>1</v>
      </c>
      <c r="AW381" s="119" t="inlineStr">
        <is>
          <t>✓ Clean</t>
        </is>
      </c>
      <c r="AX381" s="118" t="n">
        <v>18.5</v>
      </c>
      <c r="AY381" s="119" t="inlineStr">
        <is>
          <t>🟢 VERY LOW RISK</t>
        </is>
      </c>
      <c r="AZ381" s="118" t="n">
        <v>22.1</v>
      </c>
      <c r="BA381" s="118" t="n">
        <v>23.7</v>
      </c>
      <c r="BB381" s="118" t="n">
        <v>151.4</v>
      </c>
      <c r="BC381" s="118" t="n">
        <v>155.7</v>
      </c>
      <c r="BD381" s="118" t="n">
        <v>64.3</v>
      </c>
      <c r="BE381" s="118" t="n">
        <v>71.5</v>
      </c>
      <c r="BF381" s="120" t="n">
        <v>0.201</v>
      </c>
      <c r="BG381" s="117" t="n">
        <v>0.605</v>
      </c>
      <c r="BH381" s="122" t="n">
        <v>4</v>
      </c>
      <c r="BI381" s="123" t="n">
        <v>1</v>
      </c>
    </row>
    <row r="382" ht="17" customHeight="1">
      <c r="A382" s="117" t="inlineStr">
        <is>
          <t>SAIC</t>
        </is>
      </c>
      <c r="B382" s="117" t="inlineStr">
        <is>
          <t>Science Applications International Corporation</t>
        </is>
      </c>
      <c r="C382" s="118" t="n">
        <v>0.878</v>
      </c>
      <c r="D382" s="118" t="n">
        <v>0.993</v>
      </c>
      <c r="E382" s="118" t="n">
        <v>0.999</v>
      </c>
      <c r="F382" s="118" t="n">
        <v>0.971</v>
      </c>
      <c r="G382" s="118" t="n">
        <v>0.997</v>
      </c>
      <c r="H382" s="118" t="n">
        <v>1.063</v>
      </c>
      <c r="I382" s="118" t="n">
        <v>1</v>
      </c>
      <c r="J382" s="118" t="n">
        <v>-0.046</v>
      </c>
      <c r="K382" s="118" t="n">
        <v>-2.849</v>
      </c>
      <c r="L382" s="119" t="inlineStr">
        <is>
          <t>✓ Lower Risk</t>
        </is>
      </c>
      <c r="M382" s="120" t="n">
        <v>0.031</v>
      </c>
      <c r="N382" s="120" t="n">
        <v>-0.677</v>
      </c>
      <c r="O382" s="120" t="n">
        <v>-0.313</v>
      </c>
      <c r="P382" s="120" t="n">
        <v>0.945</v>
      </c>
      <c r="Q382" s="120" t="n">
        <v>-0.023</v>
      </c>
      <c r="R382" s="117" t="n">
        <v>0</v>
      </c>
      <c r="S382" s="118" t="n">
        <v>-8.066000000000001</v>
      </c>
      <c r="T382" s="118" t="n">
        <v>0</v>
      </c>
      <c r="U382" s="119" t="inlineStr">
        <is>
          <t>✓ Normal</t>
        </is>
      </c>
      <c r="V382" s="117" t="n">
        <v>0</v>
      </c>
      <c r="W382" s="117" t="n">
        <v>0</v>
      </c>
      <c r="X382" s="117" t="n">
        <v>0</v>
      </c>
      <c r="Y382" s="117" t="n">
        <v>1</v>
      </c>
      <c r="Z382" s="117" t="n">
        <v>0</v>
      </c>
      <c r="AA382" s="117" t="n">
        <v>0</v>
      </c>
      <c r="AB382" s="117" t="n">
        <v>1</v>
      </c>
      <c r="AC382" s="119" t="inlineStr">
        <is>
          <t>✓ Clean</t>
        </is>
      </c>
      <c r="AD382" s="118" t="n">
        <v>609000000</v>
      </c>
      <c r="AE382" s="118" t="n">
        <v>-248000000</v>
      </c>
      <c r="AF382" s="118" t="n">
        <v>362000000</v>
      </c>
      <c r="AG382" s="118" t="n">
        <v>0</v>
      </c>
      <c r="AH382" s="119" t="inlineStr">
        <is>
          <t>✓ Medium Quality</t>
        </is>
      </c>
      <c r="AI382" s="118" t="n">
        <v>-0.147</v>
      </c>
      <c r="AJ382" s="120" t="n">
        <v>-0.029</v>
      </c>
      <c r="AK382" s="120" t="n">
        <v>5.066</v>
      </c>
      <c r="AL382" s="120" t="n">
        <v>0.08400000000000001</v>
      </c>
      <c r="AM382" s="120" t="n">
        <v>0</v>
      </c>
      <c r="AN382" s="118" t="n">
        <v>56.8</v>
      </c>
      <c r="AO382" s="121" t="inlineStr">
        <is>
          <t>⚠ WATCH</t>
        </is>
      </c>
      <c r="AP382" s="117" t="n">
        <v>1</v>
      </c>
      <c r="AQ382" s="117" t="n">
        <v>1</v>
      </c>
      <c r="AR382" s="117" t="n">
        <v>0</v>
      </c>
      <c r="AS382" s="117" t="n">
        <v>1</v>
      </c>
      <c r="AT382" s="117" t="n">
        <v>0</v>
      </c>
      <c r="AU382" s="117" t="n">
        <v>1</v>
      </c>
      <c r="AV382" s="117" t="n">
        <v>4</v>
      </c>
      <c r="AW382" s="117" t="inlineStr">
        <is>
          <t>⚠⚠ MULTIPLE RED FLAGS</t>
        </is>
      </c>
      <c r="AX382" s="118" t="n">
        <v>14.9</v>
      </c>
      <c r="AY382" s="119" t="inlineStr">
        <is>
          <t>🟢 VERY LOW RISK</t>
        </is>
      </c>
      <c r="AZ382" s="118" t="n">
        <v>42.9</v>
      </c>
      <c r="BA382" s="118" t="n">
        <v>48.8</v>
      </c>
      <c r="BB382" s="118" t="n">
        <v>0.2</v>
      </c>
      <c r="BC382" s="118" t="n">
        <v>3.9</v>
      </c>
      <c r="BD382" s="118" t="n">
        <v>28.6</v>
      </c>
      <c r="BE382" s="118" t="n">
        <v>35</v>
      </c>
      <c r="BF382" s="120" t="n">
        <v>0.075</v>
      </c>
      <c r="BG382" s="117" t="n">
        <v>0.945</v>
      </c>
      <c r="BH382" s="122" t="n">
        <v>5</v>
      </c>
      <c r="BI382" s="123" t="n">
        <v>1</v>
      </c>
    </row>
    <row r="383" ht="17" customHeight="1">
      <c r="A383" s="117" t="inlineStr">
        <is>
          <t>MA</t>
        </is>
      </c>
      <c r="B383" s="117" t="inlineStr">
        <is>
          <t>Mastercard Inc</t>
        </is>
      </c>
      <c r="C383" s="118" t="n">
        <v>1.049</v>
      </c>
      <c r="D383" s="118" t="n">
        <v>0.96</v>
      </c>
      <c r="E383" s="118" t="n">
        <v>0.958</v>
      </c>
      <c r="F383" s="118" t="n">
        <v>1.164</v>
      </c>
      <c r="G383" s="118" t="n">
        <v>0.891</v>
      </c>
      <c r="H383" s="118" t="n">
        <v>0.954</v>
      </c>
      <c r="I383" s="118" t="n">
        <v>0.991</v>
      </c>
      <c r="J383" s="118" t="n">
        <v>-0.268</v>
      </c>
      <c r="K383" s="118" t="n">
        <v>-3.584</v>
      </c>
      <c r="L383" s="119" t="inlineStr">
        <is>
          <t>✓ Lower Risk</t>
        </is>
      </c>
      <c r="M383" s="120" t="n">
        <v>-0.055</v>
      </c>
      <c r="N383" s="120" t="n">
        <v>0.181</v>
      </c>
      <c r="O383" s="124" t="inlineStr">
        <is>
          <t>N/A</t>
        </is>
      </c>
      <c r="P383" s="120" t="n">
        <v>0.762</v>
      </c>
      <c r="Q383" s="120" t="n">
        <v>0.045</v>
      </c>
      <c r="R383" s="117" t="n">
        <v>0</v>
      </c>
      <c r="S383" s="118" t="n">
        <v>-5.992</v>
      </c>
      <c r="T383" s="118" t="n">
        <v>0.002</v>
      </c>
      <c r="U383" s="119" t="inlineStr">
        <is>
          <t>✓ Normal</t>
        </is>
      </c>
      <c r="V383" s="117" t="n">
        <v>1</v>
      </c>
      <c r="W383" s="117" t="n">
        <v>1</v>
      </c>
      <c r="X383" s="117" t="n">
        <v>0</v>
      </c>
      <c r="Y383" s="117" t="n">
        <v>1</v>
      </c>
      <c r="Z383" s="117" t="n">
        <v>0</v>
      </c>
      <c r="AA383" s="117" t="n">
        <v>1</v>
      </c>
      <c r="AB383" s="117" t="n">
        <v>4</v>
      </c>
      <c r="AC383" s="121" t="inlineStr">
        <is>
          <t>⚠⚠ SERIOUS CONCERN</t>
        </is>
      </c>
      <c r="AD383" s="118" t="n">
        <v>17648000000</v>
      </c>
      <c r="AE383" s="118" t="n">
        <v>-1362000000</v>
      </c>
      <c r="AF383" s="118" t="n">
        <v>3116000000</v>
      </c>
      <c r="AG383" s="118" t="n">
        <v>-0.258</v>
      </c>
      <c r="AH383" s="119" t="inlineStr">
        <is>
          <t>✓ High Quality</t>
        </is>
      </c>
      <c r="AI383" s="118" t="n">
        <v>0.222</v>
      </c>
      <c r="AJ383" s="120" t="n">
        <v>0.164</v>
      </c>
      <c r="AK383" s="120" t="n">
        <v>1.35</v>
      </c>
      <c r="AL383" s="120" t="n">
        <v>0.538</v>
      </c>
      <c r="AM383" s="120" t="n">
        <v>-0.008999999999999999</v>
      </c>
      <c r="AN383" s="118" t="n">
        <v>89</v>
      </c>
      <c r="AO383" s="119" t="inlineStr">
        <is>
          <t>✓ Good</t>
        </is>
      </c>
      <c r="AP383" s="117" t="n">
        <v>0</v>
      </c>
      <c r="AQ383" s="117" t="n">
        <v>0</v>
      </c>
      <c r="AR383" s="117" t="n">
        <v>0</v>
      </c>
      <c r="AS383" s="117" t="n">
        <v>0</v>
      </c>
      <c r="AT383" s="117" t="n">
        <v>0</v>
      </c>
      <c r="AU383" s="117" t="n">
        <v>0</v>
      </c>
      <c r="AV383" s="117" t="n">
        <v>0</v>
      </c>
      <c r="AW383" s="119" t="inlineStr">
        <is>
          <t>✓ Clean</t>
        </is>
      </c>
      <c r="AX383" s="118" t="n">
        <v>23.2</v>
      </c>
      <c r="AY383" s="119" t="inlineStr">
        <is>
          <t>🟢 LOW RISK</t>
        </is>
      </c>
      <c r="AZ383" s="118" t="n">
        <v>51.3</v>
      </c>
      <c r="BA383" s="118" t="n">
        <v>48.9</v>
      </c>
      <c r="BB383" s="124" t="inlineStr">
        <is>
          <t>N/A</t>
        </is>
      </c>
      <c r="BC383" s="124" t="inlineStr">
        <is>
          <t>N/A</t>
        </is>
      </c>
      <c r="BD383" s="118" t="n">
        <v>26.2</v>
      </c>
      <c r="BE383" s="118" t="n">
        <v>26.9</v>
      </c>
      <c r="BF383" s="120" t="n">
        <v>0.194</v>
      </c>
      <c r="BG383" s="117" t="n">
        <v>0.762</v>
      </c>
      <c r="BH383" s="122" t="n">
        <v>4</v>
      </c>
      <c r="BI383" s="123" t="n">
        <v>1</v>
      </c>
    </row>
    <row r="384" ht="17" customHeight="1">
      <c r="A384" s="117" t="inlineStr">
        <is>
          <t>FAST</t>
        </is>
      </c>
      <c r="B384" s="117" t="inlineStr">
        <is>
          <t>FASTENAL CO</t>
        </is>
      </c>
      <c r="C384" s="118" t="n">
        <v>1.034</v>
      </c>
      <c r="D384" s="118" t="n">
        <v>1.002</v>
      </c>
      <c r="E384" s="118" t="n">
        <v>0.972</v>
      </c>
      <c r="F384" s="118" t="n">
        <v>1.087</v>
      </c>
      <c r="G384" s="118" t="n">
        <v>1.041</v>
      </c>
      <c r="H384" s="118" t="n">
        <v>0.99</v>
      </c>
      <c r="I384" s="118" t="n">
        <v>1</v>
      </c>
      <c r="J384" s="118" t="n">
        <v>-0.007</v>
      </c>
      <c r="K384" s="118" t="n">
        <v>-2.41</v>
      </c>
      <c r="L384" s="119" t="inlineStr">
        <is>
          <t>✓ Lower Risk</t>
        </is>
      </c>
      <c r="M384" s="120" t="n">
        <v>0.006</v>
      </c>
      <c r="N384" s="120" t="n">
        <v>0.209</v>
      </c>
      <c r="O384" s="120" t="n">
        <v>0.157</v>
      </c>
      <c r="P384" s="120" t="n">
        <v>0.721</v>
      </c>
      <c r="Q384" s="120" t="n">
        <v>0.004</v>
      </c>
      <c r="R384" s="117" t="n">
        <v>1</v>
      </c>
      <c r="S384" s="118" t="n">
        <v>-2.675</v>
      </c>
      <c r="T384" s="118" t="n">
        <v>0.064</v>
      </c>
      <c r="U384" s="121" t="inlineStr">
        <is>
          <t>⚠ HIGH RISK</t>
        </is>
      </c>
      <c r="V384" s="117" t="n">
        <v>0</v>
      </c>
      <c r="W384" s="117" t="n">
        <v>1</v>
      </c>
      <c r="X384" s="117" t="n">
        <v>0</v>
      </c>
      <c r="Y384" s="117" t="n">
        <v>0</v>
      </c>
      <c r="Z384" s="117" t="n">
        <v>1</v>
      </c>
      <c r="AA384" s="117" t="n">
        <v>0</v>
      </c>
      <c r="AB384" s="117" t="n">
        <v>2</v>
      </c>
      <c r="AC384" s="121" t="inlineStr">
        <is>
          <t>⚠ WATCH</t>
        </is>
      </c>
      <c r="AD384" s="118" t="n">
        <v>1295900000</v>
      </c>
      <c r="AE384" s="118" t="n">
        <v>-231000000</v>
      </c>
      <c r="AF384" s="118" t="n">
        <v>1258400000</v>
      </c>
      <c r="AG384" s="118" t="n">
        <v>0.04</v>
      </c>
      <c r="AH384" s="119" t="inlineStr">
        <is>
          <t>✓ Medium Quality</t>
        </is>
      </c>
      <c r="AI384" s="118" t="n">
        <v>0.123</v>
      </c>
      <c r="AJ384" s="120" t="n">
        <v>0.08699999999999999</v>
      </c>
      <c r="AK384" s="120" t="n">
        <v>1.422</v>
      </c>
      <c r="AL384" s="120" t="n">
        <v>0.158</v>
      </c>
      <c r="AM384" s="120" t="n">
        <v>-0</v>
      </c>
      <c r="AN384" s="118" t="n">
        <v>87.3</v>
      </c>
      <c r="AO384" s="119" t="inlineStr">
        <is>
          <t>✓ Good</t>
        </is>
      </c>
      <c r="AP384" s="117" t="n">
        <v>0</v>
      </c>
      <c r="AQ384" s="117" t="n">
        <v>0</v>
      </c>
      <c r="AR384" s="117" t="n">
        <v>1</v>
      </c>
      <c r="AS384" s="117" t="n">
        <v>0</v>
      </c>
      <c r="AT384" s="117" t="n">
        <v>0</v>
      </c>
      <c r="AU384" s="117" t="n">
        <v>0</v>
      </c>
      <c r="AV384" s="117" t="n">
        <v>1</v>
      </c>
      <c r="AW384" s="119" t="inlineStr">
        <is>
          <t>✓ Clean</t>
        </is>
      </c>
      <c r="AX384" s="118" t="n">
        <v>25.9</v>
      </c>
      <c r="AY384" s="119" t="inlineStr">
        <is>
          <t>🟢 LOW RISK</t>
        </is>
      </c>
      <c r="AZ384" s="118" t="n">
        <v>55.4</v>
      </c>
      <c r="BA384" s="118" t="n">
        <v>53.6</v>
      </c>
      <c r="BB384" s="118" t="n">
        <v>141.5</v>
      </c>
      <c r="BC384" s="118" t="n">
        <v>144.9</v>
      </c>
      <c r="BD384" s="118" t="n">
        <v>25.6</v>
      </c>
      <c r="BE384" s="118" t="n">
        <v>25.3</v>
      </c>
      <c r="BF384" s="120" t="n">
        <v>0.24</v>
      </c>
      <c r="BG384" s="117" t="n">
        <v>0.721</v>
      </c>
      <c r="BH384" s="122" t="n">
        <v>4</v>
      </c>
      <c r="BI384" s="123" t="n">
        <v>1</v>
      </c>
    </row>
    <row r="385" ht="17" customHeight="1">
      <c r="A385" s="117" t="inlineStr">
        <is>
          <t>DRI</t>
        </is>
      </c>
      <c r="B385" s="117" t="inlineStr">
        <is>
          <t>DARDEN RESTAURANTS, INC.</t>
        </is>
      </c>
      <c r="C385" s="118" t="n">
        <v>1.118</v>
      </c>
      <c r="D385" s="118" t="n">
        <v>0.972</v>
      </c>
      <c r="E385" s="118" t="n">
        <v>1.007</v>
      </c>
      <c r="F385" s="118" t="n">
        <v>1.06</v>
      </c>
      <c r="G385" s="118" t="n">
        <v>0.968</v>
      </c>
      <c r="H385" s="118" t="n">
        <v>0.738</v>
      </c>
      <c r="I385" s="118" t="n">
        <v>1.018</v>
      </c>
      <c r="J385" s="124" t="inlineStr">
        <is>
          <t>N/A</t>
        </is>
      </c>
      <c r="K385" s="124" t="inlineStr">
        <is>
          <t>N/A</t>
        </is>
      </c>
      <c r="L385" s="124" t="inlineStr">
        <is>
          <t>N/A</t>
        </is>
      </c>
      <c r="M385" s="120" t="n">
        <v>-0.04</v>
      </c>
      <c r="N385" s="120" t="n">
        <v>0.021</v>
      </c>
      <c r="O385" s="120" t="n">
        <v>0.031</v>
      </c>
      <c r="P385" s="120" t="n">
        <v>0.762</v>
      </c>
      <c r="Q385" s="120" t="n">
        <v>-0.007</v>
      </c>
      <c r="R385" s="117" t="n">
        <v>0</v>
      </c>
      <c r="S385" s="118" t="n">
        <v>-6.323</v>
      </c>
      <c r="T385" s="118" t="n">
        <v>0.002</v>
      </c>
      <c r="U385" s="119" t="inlineStr">
        <is>
          <t>✓ Normal</t>
        </is>
      </c>
      <c r="V385" s="117" t="n">
        <v>0</v>
      </c>
      <c r="W385" s="117" t="n">
        <v>1</v>
      </c>
      <c r="X385" s="117" t="n">
        <v>1</v>
      </c>
      <c r="Y385" s="117" t="n">
        <v>0</v>
      </c>
      <c r="Z385" s="117" t="n">
        <v>0</v>
      </c>
      <c r="AA385" s="117" t="n">
        <v>1</v>
      </c>
      <c r="AB385" s="117" t="n">
        <v>3</v>
      </c>
      <c r="AC385" s="121" t="inlineStr">
        <is>
          <t>⚠ WATCH</t>
        </is>
      </c>
      <c r="AD385" s="124" t="inlineStr">
        <is>
          <t>N/A</t>
        </is>
      </c>
      <c r="AE385" s="118" t="n">
        <v>-1278300000</v>
      </c>
      <c r="AF385" s="118" t="n">
        <v>1049600000</v>
      </c>
      <c r="AG385" s="124" t="inlineStr">
        <is>
          <t>N/A</t>
        </is>
      </c>
      <c r="AH385" s="124" t="inlineStr">
        <is>
          <t>N/A</t>
        </is>
      </c>
      <c r="AI385" s="118" t="n">
        <v>0.186</v>
      </c>
      <c r="AJ385" s="120" t="n">
        <v>0.06</v>
      </c>
      <c r="AK385" s="120" t="n">
        <v>3.082</v>
      </c>
      <c r="AL385" s="124" t="inlineStr">
        <is>
          <t>N/A</t>
        </is>
      </c>
      <c r="AM385" s="120" t="n">
        <v>0.002</v>
      </c>
      <c r="AN385" s="118" t="n">
        <v>70.09999999999999</v>
      </c>
      <c r="AO385" s="119" t="inlineStr">
        <is>
          <t>✓ Good</t>
        </is>
      </c>
      <c r="AP385" s="117" t="n">
        <v>0</v>
      </c>
      <c r="AQ385" s="117" t="n">
        <v>0</v>
      </c>
      <c r="AR385" s="117" t="n">
        <v>0</v>
      </c>
      <c r="AS385" s="117" t="n">
        <v>0</v>
      </c>
      <c r="AT385" s="117" t="n">
        <v>0</v>
      </c>
      <c r="AU385" s="117" t="n">
        <v>1</v>
      </c>
      <c r="AV385" s="117" t="n">
        <v>1</v>
      </c>
      <c r="AW385" s="119" t="inlineStr">
        <is>
          <t>✓ Clean</t>
        </is>
      </c>
      <c r="AX385" s="118" t="n">
        <v>27.1</v>
      </c>
      <c r="AY385" s="119" t="inlineStr">
        <is>
          <t>🟢 LOW RISK</t>
        </is>
      </c>
      <c r="AZ385" s="118" t="n">
        <v>2.8</v>
      </c>
      <c r="BA385" s="118" t="n">
        <v>2.5</v>
      </c>
      <c r="BB385" s="118" t="n">
        <v>22.8</v>
      </c>
      <c r="BC385" s="118" t="n">
        <v>15.9</v>
      </c>
      <c r="BD385" s="118" t="n">
        <v>32.2</v>
      </c>
      <c r="BE385" s="118" t="n">
        <v>21.9</v>
      </c>
      <c r="BF385" s="120" t="n">
        <v>0.115</v>
      </c>
      <c r="BG385" s="117" t="n">
        <v>0.762</v>
      </c>
      <c r="BH385" s="122" t="n">
        <v>4</v>
      </c>
      <c r="BI385" s="125" t="n">
        <v>0.6666666666666666</v>
      </c>
    </row>
    <row r="386" ht="17" customHeight="1">
      <c r="A386" s="117" t="inlineStr">
        <is>
          <t>DOCN</t>
        </is>
      </c>
      <c r="B386" s="117" t="inlineStr">
        <is>
          <t>DigitalOcean Holdings, Inc.</t>
        </is>
      </c>
      <c r="C386" s="118" t="n">
        <v>1.086</v>
      </c>
      <c r="D386" s="118" t="n">
        <v>0.997</v>
      </c>
      <c r="E386" s="118" t="n">
        <v>1.102</v>
      </c>
      <c r="F386" s="118" t="n">
        <v>1.155</v>
      </c>
      <c r="G386" s="118" t="n">
        <v>1.222</v>
      </c>
      <c r="H386" s="118" t="n">
        <v>0.746</v>
      </c>
      <c r="I386" s="118" t="n">
        <v>0.904</v>
      </c>
      <c r="J386" s="118" t="n">
        <v>-0.027</v>
      </c>
      <c r="K386" s="118" t="n">
        <v>-2.25</v>
      </c>
      <c r="L386" s="119" t="inlineStr">
        <is>
          <t>✓ Lower Risk</t>
        </is>
      </c>
      <c r="M386" s="120" t="n">
        <v>-0.259</v>
      </c>
      <c r="N386" s="120" t="n">
        <v>0.152</v>
      </c>
      <c r="O386" s="124" t="inlineStr">
        <is>
          <t>N/A</t>
        </is>
      </c>
      <c r="P386" s="120" t="n">
        <v>0.541</v>
      </c>
      <c r="Q386" s="120" t="n">
        <v>0.09</v>
      </c>
      <c r="R386" s="117" t="n">
        <v>0</v>
      </c>
      <c r="S386" s="118" t="n">
        <v>-6.683</v>
      </c>
      <c r="T386" s="118" t="n">
        <v>0.001</v>
      </c>
      <c r="U386" s="119" t="inlineStr">
        <is>
          <t>✓ Normal</t>
        </is>
      </c>
      <c r="V386" s="117" t="n">
        <v>1</v>
      </c>
      <c r="W386" s="117" t="n">
        <v>1</v>
      </c>
      <c r="X386" s="117" t="n">
        <v>0</v>
      </c>
      <c r="Y386" s="117" t="n">
        <v>1</v>
      </c>
      <c r="Z386" s="117" t="n">
        <v>1</v>
      </c>
      <c r="AA386" s="117" t="n">
        <v>1</v>
      </c>
      <c r="AB386" s="117" t="n">
        <v>5</v>
      </c>
      <c r="AC386" s="121" t="inlineStr">
        <is>
          <t>⚠⚠ SERIOUS CONCERN</t>
        </is>
      </c>
      <c r="AD386" s="118" t="n">
        <v>309604000</v>
      </c>
      <c r="AE386" s="118" t="n">
        <v>-268285000</v>
      </c>
      <c r="AF386" s="118" t="n">
        <v>259262000</v>
      </c>
      <c r="AG386" s="118" t="n">
        <v>0.125</v>
      </c>
      <c r="AH386" s="117" t="inlineStr">
        <is>
          <t>⚠ Low Quality</t>
        </is>
      </c>
      <c r="AI386" s="118" t="n">
        <v>0.254</v>
      </c>
      <c r="AJ386" s="120" t="n">
        <v>0.155</v>
      </c>
      <c r="AK386" s="120" t="n">
        <v>1.642</v>
      </c>
      <c r="AL386" s="120" t="n">
        <v>0.343</v>
      </c>
      <c r="AM386" s="120" t="n">
        <v>0.001</v>
      </c>
      <c r="AN386" s="118" t="n">
        <v>80.8</v>
      </c>
      <c r="AO386" s="119" t="inlineStr">
        <is>
          <t>✓ Good</t>
        </is>
      </c>
      <c r="AP386" s="117" t="n">
        <v>0</v>
      </c>
      <c r="AQ386" s="117" t="n">
        <v>0</v>
      </c>
      <c r="AR386" s="117" t="n">
        <v>0</v>
      </c>
      <c r="AS386" s="117" t="n">
        <v>0</v>
      </c>
      <c r="AT386" s="117" t="n">
        <v>1</v>
      </c>
      <c r="AU386" s="117" t="n">
        <v>1</v>
      </c>
      <c r="AV386" s="117" t="n">
        <v>2</v>
      </c>
      <c r="AW386" s="121" t="inlineStr">
        <is>
          <t>⚠ WATCH</t>
        </is>
      </c>
      <c r="AX386" s="118" t="n">
        <v>29.8</v>
      </c>
      <c r="AY386" s="119" t="inlineStr">
        <is>
          <t>🟢 LOW RISK</t>
        </is>
      </c>
      <c r="AZ386" s="118" t="n">
        <v>36.8</v>
      </c>
      <c r="BA386" s="118" t="n">
        <v>33.9</v>
      </c>
      <c r="BB386" s="124" t="inlineStr">
        <is>
          <t>N/A</t>
        </is>
      </c>
      <c r="BC386" s="124" t="inlineStr">
        <is>
          <t>N/A</t>
        </is>
      </c>
      <c r="BD386" s="118" t="n">
        <v>39.2</v>
      </c>
      <c r="BE386" s="118" t="n">
        <v>63.3</v>
      </c>
      <c r="BF386" s="120" t="n">
        <v>-0.255</v>
      </c>
      <c r="BG386" s="117" t="n">
        <v>0.541</v>
      </c>
      <c r="BH386" s="122" t="n">
        <v>7</v>
      </c>
      <c r="BI386" s="123" t="n">
        <v>1</v>
      </c>
    </row>
    <row r="387" ht="17" customHeight="1">
      <c r="A387" s="117" t="inlineStr">
        <is>
          <t>UNH</t>
        </is>
      </c>
      <c r="B387" s="117" t="inlineStr">
        <is>
          <t>UnitedHealth Group Incorporated</t>
        </is>
      </c>
      <c r="C387" s="118" t="n">
        <v>0.92</v>
      </c>
      <c r="D387" s="118" t="n">
        <v>0.996</v>
      </c>
      <c r="E387" s="118" t="n">
        <v>0.994</v>
      </c>
      <c r="F387" s="118" t="n">
        <v>1.118</v>
      </c>
      <c r="G387" s="118" t="n">
        <v>0.97</v>
      </c>
      <c r="H387" s="118" t="n">
        <v>1.005</v>
      </c>
      <c r="I387" s="118" t="n">
        <v>1.024</v>
      </c>
      <c r="J387" s="118" t="n">
        <v>-0.025</v>
      </c>
      <c r="K387" s="118" t="n">
        <v>-2.58</v>
      </c>
      <c r="L387" s="119" t="inlineStr">
        <is>
          <t>✓ Lower Risk</t>
        </is>
      </c>
      <c r="M387" s="120" t="n">
        <v>-0.031</v>
      </c>
      <c r="N387" s="120" t="n">
        <v>0.014</v>
      </c>
      <c r="O387" s="120" t="n">
        <v>-0.011</v>
      </c>
      <c r="P387" s="120" t="n">
        <v>0.887</v>
      </c>
      <c r="Q387" s="120" t="n">
        <v>-0.008999999999999999</v>
      </c>
      <c r="R387" s="117" t="n">
        <v>0</v>
      </c>
      <c r="S387" s="118" t="n">
        <v>-6.137</v>
      </c>
      <c r="T387" s="118" t="n">
        <v>0.002</v>
      </c>
      <c r="U387" s="119" t="inlineStr">
        <is>
          <t>✓ Normal</t>
        </is>
      </c>
      <c r="V387" s="117" t="n">
        <v>1</v>
      </c>
      <c r="W387" s="117" t="n">
        <v>0</v>
      </c>
      <c r="X387" s="117" t="n">
        <v>0</v>
      </c>
      <c r="Y387" s="117" t="n">
        <v>1</v>
      </c>
      <c r="Z387" s="117" t="n">
        <v>0</v>
      </c>
      <c r="AA387" s="117" t="n">
        <v>0</v>
      </c>
      <c r="AB387" s="117" t="n">
        <v>2</v>
      </c>
      <c r="AC387" s="121" t="inlineStr">
        <is>
          <t>⚠ WATCH</t>
        </is>
      </c>
      <c r="AD387" s="118" t="n">
        <v>19697000000</v>
      </c>
      <c r="AE387" s="118" t="n">
        <v>-8685000000</v>
      </c>
      <c r="AF387" s="118" t="n">
        <v>12056000000</v>
      </c>
      <c r="AG387" s="118" t="n">
        <v>0.003</v>
      </c>
      <c r="AH387" s="119" t="inlineStr">
        <is>
          <t>✓ Medium Quality</t>
        </is>
      </c>
      <c r="AI387" s="118" t="n">
        <v>0.029</v>
      </c>
      <c r="AJ387" s="120" t="n">
        <v>0.118</v>
      </c>
      <c r="AK387" s="120" t="n">
        <v>0.247</v>
      </c>
      <c r="AL387" s="120" t="n">
        <v>0.044</v>
      </c>
      <c r="AM387" s="120" t="n">
        <v>0</v>
      </c>
      <c r="AN387" s="118" t="n">
        <v>78.8</v>
      </c>
      <c r="AO387" s="119" t="inlineStr">
        <is>
          <t>✓ Good</t>
        </is>
      </c>
      <c r="AP387" s="117" t="n">
        <v>0</v>
      </c>
      <c r="AQ387" s="117" t="n">
        <v>0</v>
      </c>
      <c r="AR387" s="117" t="n">
        <v>0</v>
      </c>
      <c r="AS387" s="117" t="n">
        <v>1</v>
      </c>
      <c r="AT387" s="117" t="n">
        <v>0</v>
      </c>
      <c r="AU387" s="117" t="n">
        <v>1</v>
      </c>
      <c r="AV387" s="117" t="n">
        <v>2</v>
      </c>
      <c r="AW387" s="121" t="inlineStr">
        <is>
          <t>⚠ WATCH</t>
        </is>
      </c>
      <c r="AX387" s="118" t="n">
        <v>16.6</v>
      </c>
      <c r="AY387" s="119" t="inlineStr">
        <is>
          <t>🟢 VERY LOW RISK</t>
        </is>
      </c>
      <c r="AZ387" s="118" t="n">
        <v>18.8</v>
      </c>
      <c r="BA387" s="118" t="n">
        <v>20.4</v>
      </c>
      <c r="BB387" s="118" t="n">
        <v>23.8</v>
      </c>
      <c r="BC387" s="118" t="n">
        <v>29.7</v>
      </c>
      <c r="BD387" s="118" t="n">
        <v>274</v>
      </c>
      <c r="BE387" s="118" t="n">
        <v>268.4</v>
      </c>
      <c r="BF387" s="120" t="n">
        <v>0.129</v>
      </c>
      <c r="BG387" s="117" t="n">
        <v>0.887</v>
      </c>
      <c r="BH387" s="122" t="n">
        <v>4</v>
      </c>
      <c r="BI387" s="123" t="n">
        <v>1</v>
      </c>
    </row>
    <row r="388" ht="17" customHeight="1">
      <c r="A388" s="117" t="inlineStr">
        <is>
          <t>CRM</t>
        </is>
      </c>
      <c r="B388" s="117" t="inlineStr">
        <is>
          <t>Salesforce, Inc.</t>
        </is>
      </c>
      <c r="C388" s="118" t="n">
        <v>0.328</v>
      </c>
      <c r="D388" s="118" t="n">
        <v>3.318</v>
      </c>
      <c r="E388" s="118" t="n">
        <v>1.057</v>
      </c>
      <c r="F388" s="118" t="n">
        <v>3.658</v>
      </c>
      <c r="G388" s="118" t="n">
        <v>0.982</v>
      </c>
      <c r="H388" s="118" t="n">
        <v>0.289</v>
      </c>
      <c r="I388" s="118" t="n">
        <v>1.167</v>
      </c>
      <c r="J388" s="118" t="n">
        <v>-0.067</v>
      </c>
      <c r="K388" s="118" t="n">
        <v>0.272</v>
      </c>
      <c r="L388" s="121" t="inlineStr">
        <is>
          <t>⚠ MANIPULATOR RISK</t>
        </is>
      </c>
      <c r="M388" s="120" t="n">
        <v>-0.114</v>
      </c>
      <c r="N388" s="120" t="n">
        <v>0.393</v>
      </c>
      <c r="O388" s="124" t="inlineStr">
        <is>
          <t>N/A</t>
        </is>
      </c>
      <c r="P388" s="120" t="n">
        <v>0.913</v>
      </c>
      <c r="Q388" s="120" t="n">
        <v>0.006</v>
      </c>
      <c r="R388" s="117" t="n">
        <v>0</v>
      </c>
      <c r="S388" s="118" t="n">
        <v>-5.19</v>
      </c>
      <c r="T388" s="118" t="n">
        <v>0.006</v>
      </c>
      <c r="U388" s="119" t="inlineStr">
        <is>
          <t>✓ Normal</t>
        </is>
      </c>
      <c r="V388" s="117" t="n">
        <v>1</v>
      </c>
      <c r="W388" s="117" t="n">
        <v>0</v>
      </c>
      <c r="X388" s="117" t="n">
        <v>0</v>
      </c>
      <c r="Y388" s="117" t="n">
        <v>1</v>
      </c>
      <c r="Z388" s="117" t="n">
        <v>1</v>
      </c>
      <c r="AA388" s="117" t="n">
        <v>0</v>
      </c>
      <c r="AB388" s="117" t="n">
        <v>3</v>
      </c>
      <c r="AC388" s="121" t="inlineStr">
        <is>
          <t>⚠ WATCH</t>
        </is>
      </c>
      <c r="AD388" s="118" t="n">
        <v>14996000000</v>
      </c>
      <c r="AE388" s="118" t="n">
        <v>-8590000000</v>
      </c>
      <c r="AF388" s="118" t="n">
        <v>7457000000</v>
      </c>
      <c r="AG388" s="118" t="n">
        <v>0.01</v>
      </c>
      <c r="AH388" s="119" t="inlineStr">
        <is>
          <t>✓ Medium Quality</t>
        </is>
      </c>
      <c r="AI388" s="118" t="n">
        <v>0.2</v>
      </c>
      <c r="AJ388" s="120" t="n">
        <v>2.658</v>
      </c>
      <c r="AK388" s="120" t="n">
        <v>0.075</v>
      </c>
      <c r="AL388" s="120" t="n">
        <v>1.787</v>
      </c>
      <c r="AM388" s="120" t="n">
        <v>0.189</v>
      </c>
      <c r="AN388" s="117" t="n">
        <v>100</v>
      </c>
      <c r="AO388" s="119" t="inlineStr">
        <is>
          <t>✓ Good</t>
        </is>
      </c>
      <c r="AP388" s="117" t="n">
        <v>0</v>
      </c>
      <c r="AQ388" s="117" t="n">
        <v>0</v>
      </c>
      <c r="AR388" s="117" t="n">
        <v>1</v>
      </c>
      <c r="AS388" s="117" t="n">
        <v>0</v>
      </c>
      <c r="AT388" s="117" t="n">
        <v>1</v>
      </c>
      <c r="AU388" s="117" t="n">
        <v>0</v>
      </c>
      <c r="AV388" s="117" t="n">
        <v>2</v>
      </c>
      <c r="AW388" s="121" t="inlineStr">
        <is>
          <t>⚠ WATCH</t>
        </is>
      </c>
      <c r="AX388" s="118" t="n">
        <v>28</v>
      </c>
      <c r="AY388" s="119" t="inlineStr">
        <is>
          <t>🟢 LOW RISK</t>
        </is>
      </c>
      <c r="AZ388" s="118" t="n">
        <v>623.7</v>
      </c>
      <c r="BA388" s="118" t="n">
        <v>1900.6</v>
      </c>
      <c r="BB388" s="124" t="inlineStr">
        <is>
          <t>N/A</t>
        </is>
      </c>
      <c r="BC388" s="124" t="inlineStr">
        <is>
          <t>N/A</t>
        </is>
      </c>
      <c r="BD388" s="118" t="n">
        <v>6.5</v>
      </c>
      <c r="BE388" s="118" t="n">
        <v>3.2</v>
      </c>
      <c r="BF388" s="120" t="n">
        <v>0.217</v>
      </c>
      <c r="BG388" s="117" t="n">
        <v>0.913</v>
      </c>
      <c r="BH388" s="122" t="n">
        <v>5</v>
      </c>
      <c r="BI388" s="123" t="n">
        <v>1</v>
      </c>
    </row>
    <row r="389" ht="17" customHeight="1">
      <c r="A389" s="117" t="inlineStr">
        <is>
          <t>EQT</t>
        </is>
      </c>
      <c r="B389" s="117" t="inlineStr">
        <is>
          <t>EQT Corporation</t>
        </is>
      </c>
      <c r="C389" s="118" t="n">
        <v>0.785</v>
      </c>
      <c r="D389" s="118" t="n">
        <v>0.774</v>
      </c>
      <c r="E389" s="118" t="n">
        <v>0.949</v>
      </c>
      <c r="F389" s="118" t="n">
        <v>1.639</v>
      </c>
      <c r="G389" s="118" t="n">
        <v>0.887</v>
      </c>
      <c r="H389" s="118" t="n">
        <v>0.6889999999999999</v>
      </c>
      <c r="I389" s="118" t="n">
        <v>0.884</v>
      </c>
      <c r="J389" s="118" t="n">
        <v>-0.074</v>
      </c>
      <c r="K389" s="118" t="n">
        <v>-2.515</v>
      </c>
      <c r="L389" s="119" t="inlineStr">
        <is>
          <t>✓ Lower Risk</t>
        </is>
      </c>
      <c r="M389" s="120" t="n">
        <v>-0.056</v>
      </c>
      <c r="N389" s="120" t="n">
        <v>0.097</v>
      </c>
      <c r="O389" s="124" t="inlineStr">
        <is>
          <t>N/A</t>
        </is>
      </c>
      <c r="P389" s="120" t="n">
        <v>0.194</v>
      </c>
      <c r="Q389" s="120" t="n">
        <v>0.043</v>
      </c>
      <c r="R389" s="117" t="n">
        <v>1</v>
      </c>
      <c r="S389" s="118" t="n">
        <v>-4.255</v>
      </c>
      <c r="T389" s="118" t="n">
        <v>0.014</v>
      </c>
      <c r="U389" s="119" t="inlineStr">
        <is>
          <t>✓ Normal</t>
        </is>
      </c>
      <c r="V389" s="117" t="n">
        <v>1</v>
      </c>
      <c r="W389" s="117" t="n">
        <v>0</v>
      </c>
      <c r="X389" s="117" t="n">
        <v>0</v>
      </c>
      <c r="Y389" s="117" t="n">
        <v>1</v>
      </c>
      <c r="Z389" s="117" t="n">
        <v>0</v>
      </c>
      <c r="AA389" s="117" t="n">
        <v>0</v>
      </c>
      <c r="AB389" s="117" t="n">
        <v>2</v>
      </c>
      <c r="AC389" s="121" t="inlineStr">
        <is>
          <t>⚠ WATCH</t>
        </is>
      </c>
      <c r="AD389" s="118" t="n">
        <v>5125952000</v>
      </c>
      <c r="AE389" s="118" t="n">
        <v>-2844907000</v>
      </c>
      <c r="AF389" s="118" t="n">
        <v>2039247000</v>
      </c>
      <c r="AG389" s="118" t="n">
        <v>-0.006</v>
      </c>
      <c r="AH389" s="119" t="inlineStr">
        <is>
          <t>✓ Medium Quality</t>
        </is>
      </c>
      <c r="AI389" s="118" t="n">
        <v>0.287</v>
      </c>
      <c r="AJ389" s="120" t="n">
        <v>0.639</v>
      </c>
      <c r="AK389" s="120" t="n">
        <v>0.449</v>
      </c>
      <c r="AL389" s="120" t="n">
        <v>0.593</v>
      </c>
      <c r="AM389" s="120" t="n">
        <v>-0.002</v>
      </c>
      <c r="AN389" s="118" t="n">
        <v>99.90000000000001</v>
      </c>
      <c r="AO389" s="119" t="inlineStr">
        <is>
          <t>✓ Good</t>
        </is>
      </c>
      <c r="AP389" s="117" t="n">
        <v>0</v>
      </c>
      <c r="AQ389" s="117" t="n">
        <v>0</v>
      </c>
      <c r="AR389" s="117" t="n">
        <v>0</v>
      </c>
      <c r="AS389" s="117" t="n">
        <v>0</v>
      </c>
      <c r="AT389" s="117" t="n">
        <v>0</v>
      </c>
      <c r="AU389" s="117" t="n">
        <v>0</v>
      </c>
      <c r="AV389" s="117" t="n">
        <v>0</v>
      </c>
      <c r="AW389" s="119" t="inlineStr">
        <is>
          <t>✓ Clean</t>
        </is>
      </c>
      <c r="AX389" s="118" t="n">
        <v>15.9</v>
      </c>
      <c r="AY389" s="119" t="inlineStr">
        <is>
          <t>🟢 VERY LOW RISK</t>
        </is>
      </c>
      <c r="AZ389" s="118" t="n">
        <v>61.6</v>
      </c>
      <c r="BA389" s="118" t="n">
        <v>78.40000000000001</v>
      </c>
      <c r="BB389" s="124" t="inlineStr">
        <is>
          <t>N/A</t>
        </is>
      </c>
      <c r="BC389" s="124" t="inlineStr">
        <is>
          <t>N/A</t>
        </is>
      </c>
      <c r="BD389" s="118" t="n">
        <v>325.8</v>
      </c>
      <c r="BE389" s="118" t="n">
        <v>224.4</v>
      </c>
      <c r="BF389" s="120" t="n">
        <v>0.219</v>
      </c>
      <c r="BG389" s="117" t="n">
        <v>0.194</v>
      </c>
      <c r="BH389" s="122" t="n">
        <v>3</v>
      </c>
      <c r="BI389" s="123" t="n">
        <v>1</v>
      </c>
    </row>
    <row r="390" ht="17" customHeight="1">
      <c r="A390" s="117" t="inlineStr">
        <is>
          <t>SOFI</t>
        </is>
      </c>
      <c r="B390" s="117" t="inlineStr">
        <is>
          <t>SoFi Technologies, Inc.</t>
        </is>
      </c>
      <c r="C390" s="118" t="n">
        <v>1.235</v>
      </c>
      <c r="D390" s="118" t="n">
        <v>4.932</v>
      </c>
      <c r="E390" s="124" t="inlineStr">
        <is>
          <t>N/A</t>
        </is>
      </c>
      <c r="F390" s="118" t="n">
        <v>1.231</v>
      </c>
      <c r="G390" s="124" t="inlineStr">
        <is>
          <t>N/A</t>
        </is>
      </c>
      <c r="H390" s="118" t="n">
        <v>0.954</v>
      </c>
      <c r="I390" s="118" t="n">
        <v>0.967</v>
      </c>
      <c r="J390" s="118" t="n">
        <v>0.083</v>
      </c>
      <c r="K390" s="124" t="inlineStr">
        <is>
          <t>N/A</t>
        </is>
      </c>
      <c r="L390" s="124" t="inlineStr">
        <is>
          <t>N/A</t>
        </is>
      </c>
      <c r="M390" s="120" t="n">
        <v>-0.052</v>
      </c>
      <c r="N390" s="120" t="n">
        <v>2.633</v>
      </c>
      <c r="O390" s="124" t="inlineStr">
        <is>
          <t>N/A</t>
        </is>
      </c>
      <c r="P390" s="120" t="n">
        <v>0.903</v>
      </c>
      <c r="Q390" s="120" t="n">
        <v>-0.004</v>
      </c>
      <c r="R390" s="117" t="n">
        <v>1</v>
      </c>
      <c r="S390" s="118" t="n">
        <v>3.557</v>
      </c>
      <c r="T390" s="118" t="n">
        <v>0.972</v>
      </c>
      <c r="U390" s="121" t="inlineStr">
        <is>
          <t>⚠ HIGH RISK</t>
        </is>
      </c>
      <c r="V390" s="117" t="n">
        <v>1</v>
      </c>
      <c r="W390" s="117" t="n">
        <v>1</v>
      </c>
      <c r="X390" s="117" t="n">
        <v>0</v>
      </c>
      <c r="Y390" s="117" t="n">
        <v>0</v>
      </c>
      <c r="Z390" s="117" t="n">
        <v>1</v>
      </c>
      <c r="AA390" s="117" t="n">
        <v>1</v>
      </c>
      <c r="AB390" s="117" t="n">
        <v>4</v>
      </c>
      <c r="AC390" s="121" t="inlineStr">
        <is>
          <t>⚠⚠ SERIOUS CONCERN</t>
        </is>
      </c>
      <c r="AD390" s="118" t="n">
        <v>-3742458000</v>
      </c>
      <c r="AE390" s="118" t="n">
        <v>-6719107000</v>
      </c>
      <c r="AF390" s="118" t="n">
        <v>481320000</v>
      </c>
      <c r="AG390" s="118" t="n">
        <v>0.252</v>
      </c>
      <c r="AH390" s="117" t="inlineStr">
        <is>
          <t>⚠ Very Low Quality</t>
        </is>
      </c>
      <c r="AI390" s="118" t="n">
        <v>0.521</v>
      </c>
      <c r="AJ390" s="120" t="n">
        <v>0.231</v>
      </c>
      <c r="AK390" s="120" t="n">
        <v>2.254</v>
      </c>
      <c r="AL390" s="120" t="n">
        <v>-6.043</v>
      </c>
      <c r="AM390" s="120" t="n">
        <v>0.002</v>
      </c>
      <c r="AN390" s="118" t="n">
        <v>40.1</v>
      </c>
      <c r="AO390" s="121" t="inlineStr">
        <is>
          <t>⚠ WATCH</t>
        </is>
      </c>
      <c r="AP390" s="117" t="n">
        <v>0</v>
      </c>
      <c r="AQ390" s="117" t="n">
        <v>1</v>
      </c>
      <c r="AR390" s="117" t="n">
        <v>1</v>
      </c>
      <c r="AS390" s="117" t="n">
        <v>0</v>
      </c>
      <c r="AT390" s="117" t="n">
        <v>1</v>
      </c>
      <c r="AU390" s="117" t="n">
        <v>0</v>
      </c>
      <c r="AV390" s="117" t="n">
        <v>3</v>
      </c>
      <c r="AW390" s="121" t="inlineStr">
        <is>
          <t>⚠ WATCH</t>
        </is>
      </c>
      <c r="AX390" s="118" t="n">
        <v>68.40000000000001</v>
      </c>
      <c r="AY390" s="121" t="inlineStr">
        <is>
          <t>🟡 ELEVATED RISK</t>
        </is>
      </c>
      <c r="AZ390" s="118" t="n">
        <v>526.5</v>
      </c>
      <c r="BA390" s="118" t="n">
        <v>426.2</v>
      </c>
      <c r="BB390" s="124" t="inlineStr">
        <is>
          <t>N/A</t>
        </is>
      </c>
      <c r="BC390" s="124" t="inlineStr">
        <is>
          <t>N/A</t>
        </is>
      </c>
      <c r="BD390" s="124" t="inlineStr">
        <is>
          <t>N/A</t>
        </is>
      </c>
      <c r="BE390" s="124" t="inlineStr">
        <is>
          <t>N/A</t>
        </is>
      </c>
      <c r="BF390" s="120" t="n">
        <v>0.08500000000000001</v>
      </c>
      <c r="BG390" s="117" t="n">
        <v>0.903</v>
      </c>
      <c r="BH390" s="122" t="n">
        <v>8</v>
      </c>
      <c r="BI390" s="123" t="n">
        <v>0.8333333333333334</v>
      </c>
    </row>
    <row r="391" ht="17" customHeight="1">
      <c r="A391" s="117" t="inlineStr">
        <is>
          <t>COST</t>
        </is>
      </c>
      <c r="B391" s="117" t="inlineStr">
        <is>
          <t>COSTCO WHOLESALE CORP /NEW</t>
        </is>
      </c>
      <c r="C391" s="118" t="n">
        <v>1.088</v>
      </c>
      <c r="D391" s="118" t="n">
        <v>2.108</v>
      </c>
      <c r="E391" s="118" t="n">
        <v>0.9409999999999999</v>
      </c>
      <c r="F391" s="118" t="n">
        <v>1.082</v>
      </c>
      <c r="G391" s="118" t="n">
        <v>1.013</v>
      </c>
      <c r="H391" s="118" t="n">
        <v>1.012</v>
      </c>
      <c r="I391" s="118" t="n">
        <v>0.9399999999999999</v>
      </c>
      <c r="J391" s="118" t="n">
        <v>-0.068</v>
      </c>
      <c r="K391" s="118" t="n">
        <v>-2.063</v>
      </c>
      <c r="L391" s="121" t="inlineStr">
        <is>
          <t>⚠ MANIPULATOR RISK</t>
        </is>
      </c>
      <c r="M391" s="120" t="n">
        <v>-0.054</v>
      </c>
      <c r="N391" s="120" t="n">
        <v>0.023</v>
      </c>
      <c r="O391" s="120" t="n">
        <v>-0.026</v>
      </c>
      <c r="P391" s="120" t="n">
        <v>0.402</v>
      </c>
      <c r="Q391" s="120" t="n">
        <v>-0</v>
      </c>
      <c r="R391" s="117" t="n">
        <v>1</v>
      </c>
      <c r="S391" s="118" t="n">
        <v>-4.037</v>
      </c>
      <c r="T391" s="118" t="n">
        <v>0.017</v>
      </c>
      <c r="U391" s="119" t="inlineStr">
        <is>
          <t>✓ Normal</t>
        </is>
      </c>
      <c r="V391" s="117" t="n">
        <v>0</v>
      </c>
      <c r="W391" s="117" t="n">
        <v>1</v>
      </c>
      <c r="X391" s="117" t="n">
        <v>0</v>
      </c>
      <c r="Y391" s="117" t="n">
        <v>1</v>
      </c>
      <c r="Z391" s="117" t="n">
        <v>1</v>
      </c>
      <c r="AA391" s="117" t="n">
        <v>1</v>
      </c>
      <c r="AB391" s="117" t="n">
        <v>4</v>
      </c>
      <c r="AC391" s="121" t="inlineStr">
        <is>
          <t>⚠⚠ SERIOUS CONCERN</t>
        </is>
      </c>
      <c r="AD391" s="118" t="n">
        <v>13335000000</v>
      </c>
      <c r="AE391" s="118" t="n">
        <v>-5311000000</v>
      </c>
      <c r="AF391" s="118" t="n">
        <v>8099000000</v>
      </c>
      <c r="AG391" s="118" t="n">
        <v>0.001</v>
      </c>
      <c r="AH391" s="119" t="inlineStr">
        <is>
          <t>✓ Medium Quality</t>
        </is>
      </c>
      <c r="AI391" s="118" t="n">
        <v>0.177</v>
      </c>
      <c r="AJ391" s="120" t="n">
        <v>0.082</v>
      </c>
      <c r="AK391" s="120" t="n">
        <v>2.169</v>
      </c>
      <c r="AL391" s="120" t="n">
        <v>0.048</v>
      </c>
      <c r="AM391" s="120" t="n">
        <v>0.001</v>
      </c>
      <c r="AN391" s="118" t="n">
        <v>49.8</v>
      </c>
      <c r="AO391" s="121" t="inlineStr">
        <is>
          <t>⚠ WATCH</t>
        </is>
      </c>
      <c r="AP391" s="117" t="n">
        <v>0</v>
      </c>
      <c r="AQ391" s="117" t="n">
        <v>0</v>
      </c>
      <c r="AR391" s="117" t="n">
        <v>1</v>
      </c>
      <c r="AS391" s="117" t="n">
        <v>1</v>
      </c>
      <c r="AT391" s="117" t="n">
        <v>0</v>
      </c>
      <c r="AU391" s="117" t="n">
        <v>0</v>
      </c>
      <c r="AV391" s="117" t="n">
        <v>2</v>
      </c>
      <c r="AW391" s="121" t="inlineStr">
        <is>
          <t>⚠ WATCH</t>
        </is>
      </c>
      <c r="AX391" s="118" t="n">
        <v>28.5</v>
      </c>
      <c r="AY391" s="119" t="inlineStr">
        <is>
          <t>🟢 LOW RISK</t>
        </is>
      </c>
      <c r="AZ391" s="118" t="n">
        <v>4.2</v>
      </c>
      <c r="BA391" s="118" t="n">
        <v>3.9</v>
      </c>
      <c r="BB391" s="118" t="n">
        <v>27.6</v>
      </c>
      <c r="BC391" s="118" t="n">
        <v>30.6</v>
      </c>
      <c r="BD391" s="118" t="n">
        <v>30.1</v>
      </c>
      <c r="BE391" s="118" t="n">
        <v>31.9</v>
      </c>
      <c r="BF391" s="120" t="n">
        <v>0.251</v>
      </c>
      <c r="BG391" s="117" t="n">
        <v>0.402</v>
      </c>
      <c r="BH391" s="122" t="n">
        <v>7</v>
      </c>
      <c r="BI391" s="123" t="n">
        <v>1</v>
      </c>
    </row>
    <row r="392" ht="17" customHeight="1">
      <c r="A392" s="117" t="inlineStr">
        <is>
          <t>APD</t>
        </is>
      </c>
      <c r="B392" s="117" t="inlineStr">
        <is>
          <t>AIR PRODUCTS AND CHEMICALS, INC.</t>
        </is>
      </c>
      <c r="C392" s="118" t="n">
        <v>1.049</v>
      </c>
      <c r="D392" s="118" t="n">
        <v>0.25</v>
      </c>
      <c r="E392" s="118" t="n">
        <v>0.969</v>
      </c>
      <c r="F392" s="118" t="n">
        <v>0.995</v>
      </c>
      <c r="G392" s="118" t="n">
        <v>1.053</v>
      </c>
      <c r="H392" s="118" t="n">
        <v>0.967</v>
      </c>
      <c r="I392" s="118" t="n">
        <v>1.093</v>
      </c>
      <c r="J392" s="118" t="n">
        <v>-0.052</v>
      </c>
      <c r="K392" s="118" t="n">
        <v>-3.111</v>
      </c>
      <c r="L392" s="119" t="inlineStr">
        <is>
          <t>✓ Lower Risk</t>
        </is>
      </c>
      <c r="M392" s="120" t="n">
        <v>-0.008</v>
      </c>
      <c r="N392" s="120" t="n">
        <v>1.258</v>
      </c>
      <c r="O392" s="120" t="n">
        <v>0.166</v>
      </c>
      <c r="P392" s="120" t="n">
        <v>0.338</v>
      </c>
      <c r="Q392" s="120" t="n">
        <v>-0.106</v>
      </c>
      <c r="R392" s="117" t="n">
        <v>1</v>
      </c>
      <c r="S392" s="118" t="n">
        <v>-0.746</v>
      </c>
      <c r="T392" s="118" t="n">
        <v>0.322</v>
      </c>
      <c r="U392" s="121" t="inlineStr">
        <is>
          <t>⚠ HIGH RISK</t>
        </is>
      </c>
      <c r="V392" s="117" t="n">
        <v>0</v>
      </c>
      <c r="W392" s="117" t="n">
        <v>1</v>
      </c>
      <c r="X392" s="117" t="n">
        <v>1</v>
      </c>
      <c r="Y392" s="117" t="n">
        <v>0</v>
      </c>
      <c r="Z392" s="117" t="n">
        <v>1</v>
      </c>
      <c r="AA392" s="117" t="n">
        <v>0</v>
      </c>
      <c r="AB392" s="117" t="n">
        <v>3</v>
      </c>
      <c r="AC392" s="121" t="inlineStr">
        <is>
          <t>⚠ WATCH</t>
        </is>
      </c>
      <c r="AD392" s="118" t="n">
        <v>1753200000</v>
      </c>
      <c r="AE392" s="118" t="n">
        <v>-1212200000</v>
      </c>
      <c r="AF392" s="118" t="n">
        <v>-394500000</v>
      </c>
      <c r="AG392" s="118" t="n">
        <v>-0.023</v>
      </c>
      <c r="AH392" s="119" t="inlineStr">
        <is>
          <t>✓ Medium Quality</t>
        </is>
      </c>
      <c r="AI392" s="118" t="n">
        <v>0.044</v>
      </c>
      <c r="AJ392" s="120" t="n">
        <v>-0.005</v>
      </c>
      <c r="AK392" s="120" t="n">
        <v>-8.353</v>
      </c>
      <c r="AL392" s="120" t="n">
        <v>0.146</v>
      </c>
      <c r="AM392" s="120" t="n">
        <v>-0.002</v>
      </c>
      <c r="AN392" s="118" t="n">
        <v>99</v>
      </c>
      <c r="AO392" s="119" t="inlineStr">
        <is>
          <t>✓ Good</t>
        </is>
      </c>
      <c r="AP392" s="117" t="n">
        <v>1</v>
      </c>
      <c r="AQ392" s="117" t="n">
        <v>1</v>
      </c>
      <c r="AR392" s="117" t="n">
        <v>0</v>
      </c>
      <c r="AS392" s="117" t="n">
        <v>0</v>
      </c>
      <c r="AT392" s="117" t="n">
        <v>0</v>
      </c>
      <c r="AU392" s="117" t="n">
        <v>0</v>
      </c>
      <c r="AV392" s="117" t="n">
        <v>2</v>
      </c>
      <c r="AW392" s="121" t="inlineStr">
        <is>
          <t>⚠ WATCH</t>
        </is>
      </c>
      <c r="AX392" s="118" t="n">
        <v>47.4</v>
      </c>
      <c r="AY392" s="121" t="inlineStr">
        <is>
          <t>🟡 ELEVATED RISK</t>
        </is>
      </c>
      <c r="AZ392" s="118" t="n">
        <v>57.6</v>
      </c>
      <c r="BA392" s="118" t="n">
        <v>54.9</v>
      </c>
      <c r="BB392" s="118" t="n">
        <v>34.3</v>
      </c>
      <c r="BC392" s="118" t="n">
        <v>34.2</v>
      </c>
      <c r="BD392" s="118" t="n">
        <v>143.1</v>
      </c>
      <c r="BE392" s="118" t="n">
        <v>130.8</v>
      </c>
      <c r="BF392" s="120" t="n">
        <v>0.214</v>
      </c>
      <c r="BG392" s="117" t="n">
        <v>0.338</v>
      </c>
      <c r="BH392" s="122" t="n">
        <v>6</v>
      </c>
      <c r="BI392" s="123" t="n">
        <v>1</v>
      </c>
    </row>
    <row r="393" ht="17" customHeight="1">
      <c r="A393" s="117" t="inlineStr">
        <is>
          <t>XEL</t>
        </is>
      </c>
      <c r="B393" s="117" t="inlineStr">
        <is>
          <t>XCEL ENERGY INC</t>
        </is>
      </c>
      <c r="C393" s="118" t="n">
        <v>0.266</v>
      </c>
      <c r="D393" s="118" t="n">
        <v>-0.457</v>
      </c>
      <c r="E393" s="118" t="n">
        <v>1.084</v>
      </c>
      <c r="F393" s="118" t="n">
        <v>4.006</v>
      </c>
      <c r="G393" s="118" t="n">
        <v>1.067</v>
      </c>
      <c r="H393" s="124" t="inlineStr">
        <is>
          <t>N/A</t>
        </is>
      </c>
      <c r="I393" s="118" t="n">
        <v>1</v>
      </c>
      <c r="J393" s="118" t="n">
        <v>-0.025</v>
      </c>
      <c r="K393" s="118" t="n">
        <v>-1.149</v>
      </c>
      <c r="L393" s="121" t="inlineStr">
        <is>
          <t>⚠ MANIPULATOR RISK</t>
        </is>
      </c>
      <c r="M393" s="120" t="n">
        <v>-0.034</v>
      </c>
      <c r="N393" s="120" t="n">
        <v>0.008999999999999999</v>
      </c>
      <c r="O393" s="120" t="n">
        <v>0.001</v>
      </c>
      <c r="P393" s="120" t="n">
        <v>0.192</v>
      </c>
      <c r="Q393" s="120" t="n">
        <v>-0.003</v>
      </c>
      <c r="R393" s="117" t="n">
        <v>1</v>
      </c>
      <c r="S393" s="118" t="n">
        <v>-4.441</v>
      </c>
      <c r="T393" s="118" t="n">
        <v>0.012</v>
      </c>
      <c r="U393" s="119" t="inlineStr">
        <is>
          <t>✓ Normal</t>
        </is>
      </c>
      <c r="V393" s="117" t="n">
        <v>1</v>
      </c>
      <c r="W393" s="117" t="n">
        <v>0</v>
      </c>
      <c r="X393" s="117" t="n">
        <v>0</v>
      </c>
      <c r="Y393" s="117" t="n">
        <v>1</v>
      </c>
      <c r="Z393" s="117" t="n">
        <v>1</v>
      </c>
      <c r="AA393" s="117" t="n">
        <v>1</v>
      </c>
      <c r="AB393" s="117" t="n">
        <v>4</v>
      </c>
      <c r="AC393" s="121" t="inlineStr">
        <is>
          <t>⚠⚠ SERIOUS CONCERN</t>
        </is>
      </c>
      <c r="AD393" s="118" t="n">
        <v>4083000000</v>
      </c>
      <c r="AE393" s="118" t="n">
        <v>-10969000000</v>
      </c>
      <c r="AF393" s="118" t="n">
        <v>2018000000</v>
      </c>
      <c r="AG393" s="118" t="n">
        <v>0.118</v>
      </c>
      <c r="AH393" s="117" t="inlineStr">
        <is>
          <t>⚠ Low Quality</t>
        </is>
      </c>
      <c r="AI393" s="118" t="n">
        <v>0.065</v>
      </c>
      <c r="AJ393" s="120" t="n">
        <v>3.006</v>
      </c>
      <c r="AK393" s="120" t="n">
        <v>0.022</v>
      </c>
      <c r="AL393" s="120" t="n">
        <v>0.354</v>
      </c>
      <c r="AM393" s="124" t="inlineStr">
        <is>
          <t>N/A</t>
        </is>
      </c>
      <c r="AN393" s="117" t="n">
        <v>100</v>
      </c>
      <c r="AO393" s="119" t="inlineStr">
        <is>
          <t>✓ Good</t>
        </is>
      </c>
      <c r="AP393" s="117" t="n">
        <v>0</v>
      </c>
      <c r="AQ393" s="117" t="n">
        <v>0</v>
      </c>
      <c r="AR393" s="117" t="n">
        <v>0</v>
      </c>
      <c r="AS393" s="117" t="n">
        <v>0</v>
      </c>
      <c r="AT393" s="117" t="n">
        <v>0</v>
      </c>
      <c r="AU393" s="117" t="n">
        <v>0</v>
      </c>
      <c r="AV393" s="117" t="n">
        <v>0</v>
      </c>
      <c r="AW393" s="119" t="inlineStr">
        <is>
          <t>✓ Clean</t>
        </is>
      </c>
      <c r="AX393" s="118" t="n">
        <v>28.5</v>
      </c>
      <c r="AY393" s="119" t="inlineStr">
        <is>
          <t>🟢 LOW RISK</t>
        </is>
      </c>
      <c r="AZ393" s="118" t="n">
        <v>42.1</v>
      </c>
      <c r="BA393" s="118" t="n">
        <v>158.3</v>
      </c>
      <c r="BB393" s="118" t="n">
        <v>57.8</v>
      </c>
      <c r="BC393" s="118" t="n">
        <v>58.7</v>
      </c>
      <c r="BD393" s="118" t="n">
        <v>218.5</v>
      </c>
      <c r="BE393" s="118" t="n">
        <v>173</v>
      </c>
      <c r="BF393" s="120" t="n">
        <v>-0.138</v>
      </c>
      <c r="BG393" s="117" t="n">
        <v>0.192</v>
      </c>
      <c r="BH393" s="122" t="n">
        <v>5</v>
      </c>
      <c r="BI393" s="123" t="n">
        <v>1</v>
      </c>
    </row>
    <row r="394" ht="17" customHeight="1">
      <c r="A394" s="117" t="inlineStr">
        <is>
          <t>KO</t>
        </is>
      </c>
      <c r="B394" s="117" t="inlineStr">
        <is>
          <t>COCA COLA CO</t>
        </is>
      </c>
      <c r="C394" s="118" t="n">
        <v>0.836</v>
      </c>
      <c r="D394" s="118" t="n">
        <v>0.991</v>
      </c>
      <c r="E394" s="118" t="n">
        <v>0.958</v>
      </c>
      <c r="F394" s="118" t="n">
        <v>1.019</v>
      </c>
      <c r="G394" s="118" t="n">
        <v>0.959</v>
      </c>
      <c r="H394" s="118" t="n">
        <v>0.978</v>
      </c>
      <c r="I394" s="118" t="n">
        <v>1</v>
      </c>
      <c r="J394" s="118" t="n">
        <v>0.054</v>
      </c>
      <c r="K394" s="118" t="n">
        <v>-2.383</v>
      </c>
      <c r="L394" s="119" t="inlineStr">
        <is>
          <t>✓ Lower Risk</t>
        </is>
      </c>
      <c r="M394" s="120" t="n">
        <v>0.081</v>
      </c>
      <c r="N394" s="120" t="n">
        <v>-0.603</v>
      </c>
      <c r="O394" s="120" t="n">
        <v>-0.344</v>
      </c>
      <c r="P394" s="120" t="n">
        <v>0.8100000000000001</v>
      </c>
      <c r="Q394" s="120" t="n">
        <v>0.019</v>
      </c>
      <c r="R394" s="117" t="n">
        <v>0</v>
      </c>
      <c r="S394" s="118" t="n">
        <v>-8.163</v>
      </c>
      <c r="T394" s="118" t="n">
        <v>0</v>
      </c>
      <c r="U394" s="119" t="inlineStr">
        <is>
          <t>✓ Normal</t>
        </is>
      </c>
      <c r="V394" s="117" t="n">
        <v>1</v>
      </c>
      <c r="W394" s="117" t="n">
        <v>0</v>
      </c>
      <c r="X394" s="117" t="n">
        <v>0</v>
      </c>
      <c r="Y394" s="117" t="n">
        <v>1</v>
      </c>
      <c r="Z394" s="117" t="n">
        <v>1</v>
      </c>
      <c r="AA394" s="117" t="n">
        <v>0</v>
      </c>
      <c r="AB394" s="117" t="n">
        <v>3</v>
      </c>
      <c r="AC394" s="121" t="inlineStr">
        <is>
          <t>⚠ WATCH</t>
        </is>
      </c>
      <c r="AD394" s="118" t="n">
        <v>7408000000</v>
      </c>
      <c r="AE394" s="118" t="n">
        <v>-67000000</v>
      </c>
      <c r="AF394" s="118" t="n">
        <v>13107000000</v>
      </c>
      <c r="AG394" s="118" t="n">
        <v>0.056</v>
      </c>
      <c r="AH394" s="119" t="inlineStr">
        <is>
          <t>✓ Medium Quality</t>
        </is>
      </c>
      <c r="AI394" s="118" t="n">
        <v>-0.149</v>
      </c>
      <c r="AJ394" s="120" t="n">
        <v>0.019</v>
      </c>
      <c r="AK394" s="120" t="n">
        <v>-7.957</v>
      </c>
      <c r="AL394" s="120" t="n">
        <v>0.155</v>
      </c>
      <c r="AM394" s="124" t="inlineStr">
        <is>
          <t>N/A</t>
        </is>
      </c>
      <c r="AN394" s="117" t="n">
        <v>100</v>
      </c>
      <c r="AO394" s="119" t="inlineStr">
        <is>
          <t>✓ Good</t>
        </is>
      </c>
      <c r="AP394" s="117" t="n">
        <v>0</v>
      </c>
      <c r="AQ394" s="117" t="n">
        <v>0</v>
      </c>
      <c r="AR394" s="117" t="n">
        <v>0</v>
      </c>
      <c r="AS394" s="117" t="n">
        <v>0</v>
      </c>
      <c r="AT394" s="117" t="n">
        <v>0</v>
      </c>
      <c r="AU394" s="117" t="n">
        <v>1</v>
      </c>
      <c r="AV394" s="117" t="n">
        <v>1</v>
      </c>
      <c r="AW394" s="119" t="inlineStr">
        <is>
          <t>✓ Clean</t>
        </is>
      </c>
      <c r="AX394" s="118" t="n">
        <v>19.4</v>
      </c>
      <c r="AY394" s="119" t="inlineStr">
        <is>
          <t>🟢 VERY LOW RISK</t>
        </is>
      </c>
      <c r="AZ394" s="118" t="n">
        <v>23.1</v>
      </c>
      <c r="BA394" s="118" t="n">
        <v>27.7</v>
      </c>
      <c r="BB394" s="118" t="n">
        <v>87.8</v>
      </c>
      <c r="BC394" s="118" t="n">
        <v>94.2</v>
      </c>
      <c r="BD394" s="118" t="n">
        <v>293.9</v>
      </c>
      <c r="BE394" s="118" t="n">
        <v>432.5</v>
      </c>
      <c r="BF394" s="120" t="n">
        <v>0.179</v>
      </c>
      <c r="BG394" s="117" t="n">
        <v>0.8100000000000001</v>
      </c>
      <c r="BH394" s="122" t="n">
        <v>4</v>
      </c>
      <c r="BI394" s="123" t="n">
        <v>1</v>
      </c>
    </row>
    <row r="395" ht="17" customHeight="1">
      <c r="A395" s="117" t="inlineStr">
        <is>
          <t>SEIC</t>
        </is>
      </c>
      <c r="B395" s="117" t="inlineStr">
        <is>
          <t>SEI INVESTMENTS COMPANY</t>
        </is>
      </c>
      <c r="C395" s="118" t="n">
        <v>1.157</v>
      </c>
      <c r="D395" s="118" t="n">
        <v>0.9360000000000001</v>
      </c>
      <c r="E395" s="118" t="n">
        <v>1.464</v>
      </c>
      <c r="F395" s="118" t="n">
        <v>1.081</v>
      </c>
      <c r="G395" s="118" t="n">
        <v>0.909</v>
      </c>
      <c r="H395" s="118" t="n">
        <v>1.133</v>
      </c>
      <c r="I395" s="118" t="n">
        <v>1.046</v>
      </c>
      <c r="J395" s="118" t="n">
        <v>0.04</v>
      </c>
      <c r="K395" s="118" t="n">
        <v>-1.971</v>
      </c>
      <c r="L395" s="121" t="inlineStr">
        <is>
          <t>⚠ MANIPULATOR RISK</t>
        </is>
      </c>
      <c r="M395" s="120" t="n">
        <v>0.047</v>
      </c>
      <c r="N395" s="120" t="n">
        <v>0.825</v>
      </c>
      <c r="O395" s="124" t="inlineStr">
        <is>
          <t>N/A</t>
        </is>
      </c>
      <c r="P395" s="120" t="n">
        <v>0.795</v>
      </c>
      <c r="Q395" s="120" t="n">
        <v>0.036</v>
      </c>
      <c r="R395" s="117" t="n">
        <v>0</v>
      </c>
      <c r="S395" s="118" t="n">
        <v>-4.221</v>
      </c>
      <c r="T395" s="118" t="n">
        <v>0.014</v>
      </c>
      <c r="U395" s="119" t="inlineStr">
        <is>
          <t>✓ Normal</t>
        </is>
      </c>
      <c r="V395" s="117" t="n">
        <v>1</v>
      </c>
      <c r="W395" s="117" t="n">
        <v>1</v>
      </c>
      <c r="X395" s="117" t="n">
        <v>0</v>
      </c>
      <c r="Y395" s="117" t="n">
        <v>1</v>
      </c>
      <c r="Z395" s="117" t="n">
        <v>1</v>
      </c>
      <c r="AA395" s="117" t="n">
        <v>0</v>
      </c>
      <c r="AB395" s="117" t="n">
        <v>4</v>
      </c>
      <c r="AC395" s="121" t="inlineStr">
        <is>
          <t>⚠⚠ SERIOUS CONCERN</t>
        </is>
      </c>
      <c r="AD395" s="118" t="n">
        <v>607662000</v>
      </c>
      <c r="AE395" s="118" t="n">
        <v>-399092000</v>
      </c>
      <c r="AF395" s="118" t="n">
        <v>715305000</v>
      </c>
      <c r="AG395" s="118" t="n">
        <v>0.195</v>
      </c>
      <c r="AH395" s="117" t="inlineStr">
        <is>
          <t>⚠ Low Quality</t>
        </is>
      </c>
      <c r="AI395" s="118" t="n">
        <v>0.25</v>
      </c>
      <c r="AJ395" s="120" t="n">
        <v>0.081</v>
      </c>
      <c r="AK395" s="120" t="n">
        <v>3.089</v>
      </c>
      <c r="AL395" s="120" t="n">
        <v>0.265</v>
      </c>
      <c r="AM395" s="120" t="n">
        <v>0.001</v>
      </c>
      <c r="AN395" s="118" t="n">
        <v>70</v>
      </c>
      <c r="AO395" s="119" t="inlineStr">
        <is>
          <t>✓ Good</t>
        </is>
      </c>
      <c r="AP395" s="117" t="n">
        <v>0</v>
      </c>
      <c r="AQ395" s="117" t="n">
        <v>0</v>
      </c>
      <c r="AR395" s="117" t="n">
        <v>0</v>
      </c>
      <c r="AS395" s="117" t="n">
        <v>1</v>
      </c>
      <c r="AT395" s="117" t="n">
        <v>0</v>
      </c>
      <c r="AU395" s="117" t="n">
        <v>1</v>
      </c>
      <c r="AV395" s="117" t="n">
        <v>2</v>
      </c>
      <c r="AW395" s="121" t="inlineStr">
        <is>
          <t>⚠ WATCH</t>
        </is>
      </c>
      <c r="AX395" s="118" t="n">
        <v>31.2</v>
      </c>
      <c r="AY395" s="119" t="inlineStr">
        <is>
          <t>🟢 LOW RISK</t>
        </is>
      </c>
      <c r="AZ395" s="118" t="n">
        <v>112.8</v>
      </c>
      <c r="BA395" s="118" t="n">
        <v>97.5</v>
      </c>
      <c r="BB395" s="124" t="inlineStr">
        <is>
          <t>N/A</t>
        </is>
      </c>
      <c r="BC395" s="124" t="inlineStr">
        <is>
          <t>N/A</t>
        </is>
      </c>
      <c r="BD395" s="118" t="n">
        <v>1.3</v>
      </c>
      <c r="BE395" s="118" t="n">
        <v>3.3</v>
      </c>
      <c r="BF395" s="120" t="n">
        <v>0.217</v>
      </c>
      <c r="BG395" s="117" t="n">
        <v>0.795</v>
      </c>
      <c r="BH395" s="122" t="n">
        <v>6</v>
      </c>
      <c r="BI395" s="123" t="n">
        <v>1</v>
      </c>
    </row>
    <row r="396" ht="17" customHeight="1">
      <c r="A396" s="117" t="inlineStr">
        <is>
          <t>IDXX</t>
        </is>
      </c>
      <c r="B396" s="117" t="inlineStr">
        <is>
          <t>IDEXX LABORATORIES INC /DE</t>
        </is>
      </c>
      <c r="C396" s="118" t="n">
        <v>1.056</v>
      </c>
      <c r="D396" s="118" t="n">
        <v>0.988</v>
      </c>
      <c r="E396" s="118" t="n">
        <v>0.99</v>
      </c>
      <c r="F396" s="118" t="n">
        <v>1.104</v>
      </c>
      <c r="G396" s="118" t="n">
        <v>0.948</v>
      </c>
      <c r="H396" s="118" t="n">
        <v>0.829</v>
      </c>
      <c r="I396" s="118" t="n">
        <v>1.01</v>
      </c>
      <c r="J396" s="118" t="n">
        <v>-0.037</v>
      </c>
      <c r="K396" s="118" t="n">
        <v>-2.496</v>
      </c>
      <c r="L396" s="119" t="inlineStr">
        <is>
          <t>✓ Lower Risk</t>
        </is>
      </c>
      <c r="M396" s="120" t="n">
        <v>-0.031</v>
      </c>
      <c r="N396" s="120" t="n">
        <v>0.194</v>
      </c>
      <c r="O396" s="120" t="n">
        <v>-0.01</v>
      </c>
      <c r="P396" s="120" t="n">
        <v>0.723</v>
      </c>
      <c r="Q396" s="120" t="n">
        <v>0.047</v>
      </c>
      <c r="R396" s="117" t="n">
        <v>0</v>
      </c>
      <c r="S396" s="118" t="n">
        <v>-6.03</v>
      </c>
      <c r="T396" s="118" t="n">
        <v>0.002</v>
      </c>
      <c r="U396" s="119" t="inlineStr">
        <is>
          <t>✓ Normal</t>
        </is>
      </c>
      <c r="V396" s="117" t="n">
        <v>0</v>
      </c>
      <c r="W396" s="117" t="n">
        <v>1</v>
      </c>
      <c r="X396" s="117" t="n">
        <v>0</v>
      </c>
      <c r="Y396" s="117" t="n">
        <v>1</v>
      </c>
      <c r="Z396" s="117" t="n">
        <v>0</v>
      </c>
      <c r="AA396" s="117" t="n">
        <v>0</v>
      </c>
      <c r="AB396" s="117" t="n">
        <v>2</v>
      </c>
      <c r="AC396" s="121" t="inlineStr">
        <is>
          <t>⚠ WATCH</t>
        </is>
      </c>
      <c r="AD396" s="118" t="n">
        <v>1181805000</v>
      </c>
      <c r="AE396" s="118" t="n">
        <v>-136239000</v>
      </c>
      <c r="AF396" s="118" t="n">
        <v>1059464000</v>
      </c>
      <c r="AG396" s="118" t="n">
        <v>0.004</v>
      </c>
      <c r="AH396" s="119" t="inlineStr">
        <is>
          <t>✓ Medium Quality</t>
        </is>
      </c>
      <c r="AI396" s="118" t="n">
        <v>0.166</v>
      </c>
      <c r="AJ396" s="120" t="n">
        <v>0.104</v>
      </c>
      <c r="AK396" s="120" t="n">
        <v>1.597</v>
      </c>
      <c r="AL396" s="120" t="n">
        <v>0.275</v>
      </c>
      <c r="AM396" s="120" t="n">
        <v>0</v>
      </c>
      <c r="AN396" s="118" t="n">
        <v>82.09999999999999</v>
      </c>
      <c r="AO396" s="119" t="inlineStr">
        <is>
          <t>✓ Good</t>
        </is>
      </c>
      <c r="AP396" s="117" t="n">
        <v>0</v>
      </c>
      <c r="AQ396" s="117" t="n">
        <v>0</v>
      </c>
      <c r="AR396" s="117" t="n">
        <v>0</v>
      </c>
      <c r="AS396" s="117" t="n">
        <v>0</v>
      </c>
      <c r="AT396" s="117" t="n">
        <v>1</v>
      </c>
      <c r="AU396" s="117" t="n">
        <v>1</v>
      </c>
      <c r="AV396" s="117" t="n">
        <v>2</v>
      </c>
      <c r="AW396" s="121" t="inlineStr">
        <is>
          <t>⚠ WATCH</t>
        </is>
      </c>
      <c r="AX396" s="118" t="n">
        <v>16.7</v>
      </c>
      <c r="AY396" s="119" t="inlineStr">
        <is>
          <t>🟢 VERY LOW RISK</t>
        </is>
      </c>
      <c r="AZ396" s="118" t="n">
        <v>46.8</v>
      </c>
      <c r="BA396" s="118" t="n">
        <v>44.4</v>
      </c>
      <c r="BB396" s="118" t="n">
        <v>83.90000000000001</v>
      </c>
      <c r="BC396" s="118" t="n">
        <v>91.8</v>
      </c>
      <c r="BD396" s="118" t="n">
        <v>24.5</v>
      </c>
      <c r="BE396" s="118" t="n">
        <v>27.5</v>
      </c>
      <c r="BF396" s="120" t="n">
        <v>0.2</v>
      </c>
      <c r="BG396" s="117" t="n">
        <v>0.723</v>
      </c>
      <c r="BH396" s="122" t="n">
        <v>4</v>
      </c>
      <c r="BI396" s="123" t="n">
        <v>1</v>
      </c>
    </row>
    <row r="397" ht="17" customHeight="1">
      <c r="A397" s="117" t="inlineStr">
        <is>
          <t>LHX</t>
        </is>
      </c>
      <c r="B397" s="117" t="inlineStr">
        <is>
          <t>L3HARRIS TECHNOLOGIES, INC.</t>
        </is>
      </c>
      <c r="C397" s="118" t="n">
        <v>1.221</v>
      </c>
      <c r="D397" s="118" t="n">
        <v>0.298</v>
      </c>
      <c r="E397" s="118" t="n">
        <v>0.982</v>
      </c>
      <c r="F397" s="118" t="n">
        <v>1.048</v>
      </c>
      <c r="G397" s="118" t="n">
        <v>0.874</v>
      </c>
      <c r="H397" s="118" t="n">
        <v>0.917</v>
      </c>
      <c r="I397" s="118" t="n">
        <v>0.98</v>
      </c>
      <c r="J397" s="118" t="n">
        <v>-0.036</v>
      </c>
      <c r="K397" s="118" t="n">
        <v>-2.777</v>
      </c>
      <c r="L397" s="119" t="inlineStr">
        <is>
          <t>✓ Lower Risk</t>
        </is>
      </c>
      <c r="M397" s="120" t="n">
        <v>-0.001</v>
      </c>
      <c r="N397" s="120" t="n">
        <v>1.06</v>
      </c>
      <c r="O397" s="120" t="n">
        <v>-0.394</v>
      </c>
      <c r="P397" s="120" t="n">
        <v>0.923</v>
      </c>
      <c r="Q397" s="120" t="n">
        <v>0.003</v>
      </c>
      <c r="R397" s="117" t="n">
        <v>0</v>
      </c>
      <c r="S397" s="118" t="n">
        <v>-3.868</v>
      </c>
      <c r="T397" s="118" t="n">
        <v>0.02</v>
      </c>
      <c r="U397" s="119" t="inlineStr">
        <is>
          <t>✓ Normal</t>
        </is>
      </c>
      <c r="V397" s="117" t="n">
        <v>0</v>
      </c>
      <c r="W397" s="117" t="n">
        <v>1</v>
      </c>
      <c r="X397" s="117" t="n">
        <v>0</v>
      </c>
      <c r="Y397" s="117" t="n">
        <v>0</v>
      </c>
      <c r="Z397" s="117" t="n">
        <v>0</v>
      </c>
      <c r="AA397" s="117" t="n">
        <v>0</v>
      </c>
      <c r="AB397" s="117" t="n">
        <v>1</v>
      </c>
      <c r="AC397" s="119" t="inlineStr">
        <is>
          <t>✓ Clean</t>
        </is>
      </c>
      <c r="AD397" s="118" t="n">
        <v>3106000000</v>
      </c>
      <c r="AE397" s="118" t="n">
        <v>407000000</v>
      </c>
      <c r="AF397" s="118" t="n">
        <v>1606000000</v>
      </c>
      <c r="AG397" s="118" t="n">
        <v>-0.046</v>
      </c>
      <c r="AH397" s="119" t="inlineStr">
        <is>
          <t>✓ Medium Quality</t>
        </is>
      </c>
      <c r="AI397" s="118" t="n">
        <v>0.279</v>
      </c>
      <c r="AJ397" s="120" t="n">
        <v>0.048</v>
      </c>
      <c r="AK397" s="120" t="n">
        <v>5.836</v>
      </c>
      <c r="AL397" s="120" t="n">
        <v>0.502</v>
      </c>
      <c r="AM397" s="120" t="n">
        <v>0.019</v>
      </c>
      <c r="AN397" s="118" t="n">
        <v>71</v>
      </c>
      <c r="AO397" s="119" t="inlineStr">
        <is>
          <t>✓ Good</t>
        </is>
      </c>
      <c r="AP397" s="117" t="n">
        <v>0</v>
      </c>
      <c r="AQ397" s="117" t="n">
        <v>1</v>
      </c>
      <c r="AR397" s="117" t="n">
        <v>0</v>
      </c>
      <c r="AS397" s="117" t="n">
        <v>0</v>
      </c>
      <c r="AT397" s="117" t="n">
        <v>0</v>
      </c>
      <c r="AU397" s="117" t="n">
        <v>0</v>
      </c>
      <c r="AV397" s="117" t="n">
        <v>1</v>
      </c>
      <c r="AW397" s="119" t="inlineStr">
        <is>
          <t>✓ Clean</t>
        </is>
      </c>
      <c r="AX397" s="118" t="n">
        <v>15.8</v>
      </c>
      <c r="AY397" s="119" t="inlineStr">
        <is>
          <t>🟢 VERY LOW RISK</t>
        </is>
      </c>
      <c r="AZ397" s="118" t="n">
        <v>80.90000000000001</v>
      </c>
      <c r="BA397" s="118" t="n">
        <v>66.3</v>
      </c>
      <c r="BB397" s="118" t="n">
        <v>27.4</v>
      </c>
      <c r="BC397" s="118" t="n">
        <v>30.7</v>
      </c>
      <c r="BD397" s="118" t="n">
        <v>55.3</v>
      </c>
      <c r="BE397" s="118" t="n">
        <v>46.3</v>
      </c>
      <c r="BF397" s="120" t="n">
        <v>0.169</v>
      </c>
      <c r="BG397" s="117" t="n">
        <v>0.923</v>
      </c>
      <c r="BH397" s="122" t="n">
        <v>2</v>
      </c>
      <c r="BI397" s="123" t="n">
        <v>1</v>
      </c>
    </row>
    <row r="398" ht="17" customHeight="1">
      <c r="A398" s="126" t="inlineStr">
        <is>
          <t>CBSH</t>
        </is>
      </c>
      <c r="B398" s="126" t="inlineStr">
        <is>
          <t>COMMERCE BANCSHARES, INC.</t>
        </is>
      </c>
      <c r="C398" s="124" t="inlineStr">
        <is>
          <t>N/A</t>
        </is>
      </c>
      <c r="D398" s="124" t="inlineStr">
        <is>
          <t>N/A</t>
        </is>
      </c>
      <c r="E398" s="127" t="n">
        <v>1</v>
      </c>
      <c r="F398" s="124" t="inlineStr">
        <is>
          <t>N/A</t>
        </is>
      </c>
      <c r="G398" s="127" t="n">
        <v>0.973</v>
      </c>
      <c r="H398" s="124" t="inlineStr">
        <is>
          <t>N/A</t>
        </is>
      </c>
      <c r="I398" s="127" t="n">
        <v>0.987</v>
      </c>
      <c r="J398" s="127" t="n">
        <v>-0.002</v>
      </c>
      <c r="K398" s="124" t="inlineStr">
        <is>
          <t>N/A</t>
        </is>
      </c>
      <c r="L398" s="124" t="inlineStr">
        <is>
          <t>N/A</t>
        </is>
      </c>
      <c r="M398" s="124" t="inlineStr">
        <is>
          <t>N/A</t>
        </is>
      </c>
      <c r="N398" s="124" t="inlineStr">
        <is>
          <t>N/A</t>
        </is>
      </c>
      <c r="O398" s="124" t="inlineStr">
        <is>
          <t>N/A</t>
        </is>
      </c>
      <c r="P398" s="128" t="n">
        <v>0.97</v>
      </c>
      <c r="Q398" s="128" t="n">
        <v>0.001</v>
      </c>
      <c r="R398" s="126" t="n">
        <v>1</v>
      </c>
      <c r="S398" s="124" t="inlineStr">
        <is>
          <t>N/A</t>
        </is>
      </c>
      <c r="T398" s="124" t="inlineStr">
        <is>
          <t>N/A</t>
        </is>
      </c>
      <c r="U398" s="124" t="inlineStr">
        <is>
          <t>N/A</t>
        </is>
      </c>
      <c r="V398" s="126" t="n">
        <v>0</v>
      </c>
      <c r="W398" s="126" t="n">
        <v>0</v>
      </c>
      <c r="X398" s="126" t="n">
        <v>0</v>
      </c>
      <c r="Y398" s="126" t="n">
        <v>0</v>
      </c>
      <c r="Z398" s="126" t="n">
        <v>0</v>
      </c>
      <c r="AA398" s="126" t="n">
        <v>0</v>
      </c>
      <c r="AB398" s="126" t="n">
        <v>0</v>
      </c>
      <c r="AC398" s="119" t="inlineStr">
        <is>
          <t>✓ Clean</t>
        </is>
      </c>
      <c r="AD398" s="127" t="n">
        <v>645136000</v>
      </c>
      <c r="AE398" s="127" t="n">
        <v>-462370000</v>
      </c>
      <c r="AF398" s="127" t="n">
        <v>566251000</v>
      </c>
      <c r="AG398" s="127" t="n">
        <v>0.012</v>
      </c>
      <c r="AH398" s="119" t="inlineStr">
        <is>
          <t>✓ Medium Quality</t>
        </is>
      </c>
      <c r="AI398" s="124" t="inlineStr">
        <is>
          <t>N/A</t>
        </is>
      </c>
      <c r="AJ398" s="124" t="inlineStr">
        <is>
          <t>N/A</t>
        </is>
      </c>
      <c r="AK398" s="124" t="inlineStr">
        <is>
          <t>N/A</t>
        </is>
      </c>
      <c r="AL398" s="124" t="inlineStr">
        <is>
          <t>N/A</t>
        </is>
      </c>
      <c r="AM398" s="124" t="inlineStr">
        <is>
          <t>N/A</t>
        </is>
      </c>
      <c r="AN398" s="126" t="n">
        <v>100</v>
      </c>
      <c r="AO398" s="119" t="inlineStr">
        <is>
          <t>✓ Good</t>
        </is>
      </c>
      <c r="AP398" s="126" t="n">
        <v>0</v>
      </c>
      <c r="AQ398" s="126" t="n">
        <v>0</v>
      </c>
      <c r="AR398" s="126" t="n">
        <v>0</v>
      </c>
      <c r="AS398" s="126" t="n">
        <v>0</v>
      </c>
      <c r="AT398" s="126" t="n">
        <v>0</v>
      </c>
      <c r="AU398" s="126" t="n">
        <v>0</v>
      </c>
      <c r="AV398" s="126" t="n">
        <v>0</v>
      </c>
      <c r="AW398" s="119" t="inlineStr">
        <is>
          <t>✓ Clean</t>
        </is>
      </c>
      <c r="AX398" s="127" t="n">
        <v>22.3</v>
      </c>
      <c r="AY398" s="119" t="inlineStr">
        <is>
          <t>🟢 LOW RISK</t>
        </is>
      </c>
      <c r="AZ398" s="124" t="inlineStr">
        <is>
          <t>N/A</t>
        </is>
      </c>
      <c r="BA398" s="124" t="inlineStr">
        <is>
          <t>N/A</t>
        </is>
      </c>
      <c r="BB398" s="124" t="inlineStr">
        <is>
          <t>N/A</t>
        </is>
      </c>
      <c r="BC398" s="124" t="inlineStr">
        <is>
          <t>N/A</t>
        </is>
      </c>
      <c r="BD398" s="124" t="inlineStr">
        <is>
          <t>N/A</t>
        </is>
      </c>
      <c r="BE398" s="124" t="inlineStr">
        <is>
          <t>N/A</t>
        </is>
      </c>
      <c r="BF398" s="128" t="n">
        <v>0.22</v>
      </c>
      <c r="BG398" s="126" t="n">
        <v>0.97</v>
      </c>
      <c r="BH398" s="126" t="n">
        <v>1</v>
      </c>
      <c r="BI398" s="125" t="n">
        <v>0.6666666666666666</v>
      </c>
    </row>
    <row r="399" ht="17" customHeight="1">
      <c r="A399" s="117" t="inlineStr">
        <is>
          <t>MGM</t>
        </is>
      </c>
      <c r="B399" s="117" t="inlineStr">
        <is>
          <t>MGM Resorts International</t>
        </is>
      </c>
      <c r="C399" s="118" t="n">
        <v>0.269</v>
      </c>
      <c r="D399" s="124" t="inlineStr">
        <is>
          <t>N/A</t>
        </is>
      </c>
      <c r="E399" s="118" t="n">
        <v>0.988</v>
      </c>
      <c r="F399" s="118" t="n">
        <v>3.903</v>
      </c>
      <c r="G399" s="118" t="n">
        <v>0.872</v>
      </c>
      <c r="H399" s="118" t="n">
        <v>0.259</v>
      </c>
      <c r="I399" s="118" t="n">
        <v>1.01</v>
      </c>
      <c r="J399" s="118" t="n">
        <v>-0.056</v>
      </c>
      <c r="K399" s="124" t="inlineStr">
        <is>
          <t>N/A</t>
        </is>
      </c>
      <c r="L399" s="124" t="inlineStr">
        <is>
          <t>N/A</t>
        </is>
      </c>
      <c r="M399" s="120" t="n">
        <v>-0.021</v>
      </c>
      <c r="N399" s="120" t="n">
        <v>0.007</v>
      </c>
      <c r="O399" s="120" t="n">
        <v>-0.002</v>
      </c>
      <c r="P399" s="120" t="n">
        <v>0.8179999999999999</v>
      </c>
      <c r="Q399" s="120" t="n">
        <v>-0.013</v>
      </c>
      <c r="R399" s="117" t="n">
        <v>0</v>
      </c>
      <c r="S399" s="118" t="n">
        <v>-6.269</v>
      </c>
      <c r="T399" s="118" t="n">
        <v>0.002</v>
      </c>
      <c r="U399" s="119" t="inlineStr">
        <is>
          <t>✓ Normal</t>
        </is>
      </c>
      <c r="V399" s="117" t="n">
        <v>1</v>
      </c>
      <c r="W399" s="117" t="n">
        <v>0</v>
      </c>
      <c r="X399" s="117" t="n">
        <v>0</v>
      </c>
      <c r="Y399" s="117" t="n">
        <v>1</v>
      </c>
      <c r="Z399" s="117" t="n">
        <v>0</v>
      </c>
      <c r="AA399" s="117" t="n">
        <v>0</v>
      </c>
      <c r="AB399" s="117" t="n">
        <v>2</v>
      </c>
      <c r="AC399" s="121" t="inlineStr">
        <is>
          <t>⚠ WATCH</t>
        </is>
      </c>
      <c r="AD399" s="118" t="n">
        <v>2529378000</v>
      </c>
      <c r="AE399" s="118" t="n">
        <v>-1140789000</v>
      </c>
      <c r="AF399" s="118" t="n">
        <v>205862000</v>
      </c>
      <c r="AG399" s="118" t="n">
        <v>-0.028</v>
      </c>
      <c r="AH399" s="119" t="inlineStr">
        <is>
          <t>✓ Medium Quality</t>
        </is>
      </c>
      <c r="AI399" s="118" t="n">
        <v>0.048</v>
      </c>
      <c r="AJ399" s="120" t="n">
        <v>2.903</v>
      </c>
      <c r="AK399" s="120" t="n">
        <v>0.017</v>
      </c>
      <c r="AL399" s="120" t="n">
        <v>0.258</v>
      </c>
      <c r="AM399" s="124" t="inlineStr">
        <is>
          <t>N/A</t>
        </is>
      </c>
      <c r="AN399" s="117" t="n">
        <v>100</v>
      </c>
      <c r="AO399" s="119" t="inlineStr">
        <is>
          <t>✓ Good</t>
        </is>
      </c>
      <c r="AP399" s="117" t="n">
        <v>0</v>
      </c>
      <c r="AQ399" s="117" t="n">
        <v>0</v>
      </c>
      <c r="AR399" s="117" t="n">
        <v>0</v>
      </c>
      <c r="AS399" s="117" t="n">
        <v>0</v>
      </c>
      <c r="AT399" s="117" t="n">
        <v>0</v>
      </c>
      <c r="AU399" s="117" t="n">
        <v>1</v>
      </c>
      <c r="AV399" s="117" t="n">
        <v>1</v>
      </c>
      <c r="AW399" s="119" t="inlineStr">
        <is>
          <t>✓ Clean</t>
        </is>
      </c>
      <c r="AX399" s="118" t="n">
        <v>22.9</v>
      </c>
      <c r="AY399" s="119" t="inlineStr">
        <is>
          <t>🟢 LOW RISK</t>
        </is>
      </c>
      <c r="AZ399" s="118" t="n">
        <v>41.8</v>
      </c>
      <c r="BA399" s="118" t="n">
        <v>155.6</v>
      </c>
      <c r="BB399" s="124" t="inlineStr">
        <is>
          <t>N/A</t>
        </is>
      </c>
      <c r="BC399" s="124" t="inlineStr">
        <is>
          <t>N/A</t>
        </is>
      </c>
      <c r="BD399" s="124" t="inlineStr">
        <is>
          <t>N/A</t>
        </is>
      </c>
      <c r="BE399" s="124" t="inlineStr">
        <is>
          <t>N/A</t>
        </is>
      </c>
      <c r="BF399" s="120" t="n">
        <v>-0.855</v>
      </c>
      <c r="BG399" s="117" t="n">
        <v>0.8179999999999999</v>
      </c>
      <c r="BH399" s="122" t="n">
        <v>3</v>
      </c>
      <c r="BI399" s="123" t="n">
        <v>0.8333333333333334</v>
      </c>
    </row>
    <row r="400" ht="17" customHeight="1">
      <c r="A400" s="126" t="inlineStr">
        <is>
          <t>VMC</t>
        </is>
      </c>
      <c r="B400" s="126" t="inlineStr">
        <is>
          <t>VULCAN MATERIALS COMPANY</t>
        </is>
      </c>
      <c r="C400" s="127" t="n">
        <v>1.015</v>
      </c>
      <c r="D400" s="127" t="n">
        <v>0.978</v>
      </c>
      <c r="E400" s="127" t="n">
        <v>0.922</v>
      </c>
      <c r="F400" s="127" t="n">
        <v>1.064</v>
      </c>
      <c r="G400" s="127" t="n">
        <v>0.88</v>
      </c>
      <c r="H400" s="127" t="n">
        <v>0.998</v>
      </c>
      <c r="I400" s="127" t="n">
        <v>0.9320000000000001</v>
      </c>
      <c r="J400" s="127" t="n">
        <v>-0.044</v>
      </c>
      <c r="K400" s="127" t="n">
        <v>-2.65</v>
      </c>
      <c r="L400" s="119" t="inlineStr">
        <is>
          <t>✓ Lower Risk</t>
        </is>
      </c>
      <c r="M400" s="128" t="n">
        <v>0.013</v>
      </c>
      <c r="N400" s="128" t="n">
        <v>0.134</v>
      </c>
      <c r="O400" s="128" t="n">
        <v>-0.003</v>
      </c>
      <c r="P400" s="128" t="n">
        <v>0.617</v>
      </c>
      <c r="Q400" s="128" t="n">
        <v>0.011</v>
      </c>
      <c r="R400" s="126" t="n">
        <v>0</v>
      </c>
      <c r="S400" s="127" t="n">
        <v>-6.334</v>
      </c>
      <c r="T400" s="127" t="n">
        <v>0.002</v>
      </c>
      <c r="U400" s="119" t="inlineStr">
        <is>
          <t>✓ Normal</t>
        </is>
      </c>
      <c r="V400" s="126" t="n">
        <v>0</v>
      </c>
      <c r="W400" s="126" t="n">
        <v>1</v>
      </c>
      <c r="X400" s="126" t="n">
        <v>0</v>
      </c>
      <c r="Y400" s="126" t="n">
        <v>0</v>
      </c>
      <c r="Z400" s="126" t="n">
        <v>0</v>
      </c>
      <c r="AA400" s="126" t="n">
        <v>0</v>
      </c>
      <c r="AB400" s="126" t="n">
        <v>1</v>
      </c>
      <c r="AC400" s="119" t="inlineStr">
        <is>
          <t>✓ Clean</t>
        </is>
      </c>
      <c r="AD400" s="127" t="n">
        <v>1813000000</v>
      </c>
      <c r="AE400" s="127" t="n">
        <v>-529200000</v>
      </c>
      <c r="AF400" s="127" t="n">
        <v>1076700000</v>
      </c>
      <c r="AG400" s="127" t="n">
        <v>-0.012</v>
      </c>
      <c r="AH400" s="119" t="inlineStr">
        <is>
          <t>✓ Medium Quality</t>
        </is>
      </c>
      <c r="AI400" s="127" t="n">
        <v>0.08</v>
      </c>
      <c r="AJ400" s="128" t="n">
        <v>0.064</v>
      </c>
      <c r="AK400" s="128" t="n">
        <v>1.249</v>
      </c>
      <c r="AL400" s="128" t="n">
        <v>0.233</v>
      </c>
      <c r="AM400" s="128" t="n">
        <v>-0.025</v>
      </c>
      <c r="AN400" s="127" t="n">
        <v>91.3</v>
      </c>
      <c r="AO400" s="119" t="inlineStr">
        <is>
          <t>✓ Good</t>
        </is>
      </c>
      <c r="AP400" s="126" t="n">
        <v>0</v>
      </c>
      <c r="AQ400" s="126" t="n">
        <v>0</v>
      </c>
      <c r="AR400" s="126" t="n">
        <v>0</v>
      </c>
      <c r="AS400" s="126" t="n">
        <v>0</v>
      </c>
      <c r="AT400" s="126" t="n">
        <v>0</v>
      </c>
      <c r="AU400" s="126" t="n">
        <v>0</v>
      </c>
      <c r="AV400" s="126" t="n">
        <v>0</v>
      </c>
      <c r="AW400" s="119" t="inlineStr">
        <is>
          <t>✓ Clean</t>
        </is>
      </c>
      <c r="AX400" s="127" t="n">
        <v>10.9</v>
      </c>
      <c r="AY400" s="119" t="inlineStr">
        <is>
          <t>🟢 VERY LOW RISK</t>
        </is>
      </c>
      <c r="AZ400" s="127" t="n">
        <v>39.7</v>
      </c>
      <c r="BA400" s="127" t="n">
        <v>39.1</v>
      </c>
      <c r="BB400" s="127" t="n">
        <v>43.1</v>
      </c>
      <c r="BC400" s="127" t="n">
        <v>45.9</v>
      </c>
      <c r="BD400" s="127" t="n">
        <v>11.1</v>
      </c>
      <c r="BE400" s="127" t="n">
        <v>9.800000000000001</v>
      </c>
      <c r="BF400" s="128" t="n">
        <v>0.221</v>
      </c>
      <c r="BG400" s="126" t="n">
        <v>0.617</v>
      </c>
      <c r="BH400" s="126" t="n">
        <v>1</v>
      </c>
      <c r="BI400" s="123" t="n">
        <v>1</v>
      </c>
    </row>
    <row r="401" ht="17" customHeight="1">
      <c r="A401" s="117" t="inlineStr">
        <is>
          <t>CNX</t>
        </is>
      </c>
      <c r="B401" s="117" t="inlineStr">
        <is>
          <t>CNX Resources Corporation</t>
        </is>
      </c>
      <c r="C401" s="118" t="n">
        <v>0.834</v>
      </c>
      <c r="D401" s="118" t="n">
        <v>0.013</v>
      </c>
      <c r="E401" s="118" t="n">
        <v>0.916</v>
      </c>
      <c r="F401" s="118" t="n">
        <v>1.768</v>
      </c>
      <c r="G401" s="118" t="n">
        <v>0.002</v>
      </c>
      <c r="H401" s="118" t="n">
        <v>0.5639999999999999</v>
      </c>
      <c r="I401" s="118" t="n">
        <v>1.009</v>
      </c>
      <c r="J401" s="118" t="n">
        <v>-0.044</v>
      </c>
      <c r="K401" s="118" t="n">
        <v>-2.75</v>
      </c>
      <c r="L401" s="119" t="inlineStr">
        <is>
          <t>✓ Lower Risk</t>
        </is>
      </c>
      <c r="M401" s="120" t="n">
        <v>0.013</v>
      </c>
      <c r="N401" s="120" t="n">
        <v>0.08799999999999999</v>
      </c>
      <c r="O401" s="120" t="n">
        <v>0.012</v>
      </c>
      <c r="P401" s="120" t="n">
        <v>0.135</v>
      </c>
      <c r="Q401" s="120" t="n">
        <v>0.08</v>
      </c>
      <c r="R401" s="117" t="n">
        <v>0</v>
      </c>
      <c r="S401" s="118" t="n">
        <v>-7.415</v>
      </c>
      <c r="T401" s="118" t="n">
        <v>0.001</v>
      </c>
      <c r="U401" s="119" t="inlineStr">
        <is>
          <t>✓ Normal</t>
        </is>
      </c>
      <c r="V401" s="117" t="n">
        <v>1</v>
      </c>
      <c r="W401" s="117" t="n">
        <v>0</v>
      </c>
      <c r="X401" s="117" t="n">
        <v>1</v>
      </c>
      <c r="Y401" s="117" t="n">
        <v>1</v>
      </c>
      <c r="Z401" s="117" t="n">
        <v>0</v>
      </c>
      <c r="AA401" s="117" t="n">
        <v>0</v>
      </c>
      <c r="AB401" s="117" t="n">
        <v>3</v>
      </c>
      <c r="AC401" s="121" t="inlineStr">
        <is>
          <t>⚠ WATCH</t>
        </is>
      </c>
      <c r="AD401" s="118" t="n">
        <v>1028957000</v>
      </c>
      <c r="AE401" s="118" t="n">
        <v>-900913000</v>
      </c>
      <c r="AF401" s="118" t="n">
        <v>633162000</v>
      </c>
      <c r="AG401" s="118" t="n">
        <v>0.057</v>
      </c>
      <c r="AH401" s="119" t="inlineStr">
        <is>
          <t>✓ Medium Quality</t>
        </is>
      </c>
      <c r="AI401" s="118" t="n">
        <v>0.474</v>
      </c>
      <c r="AJ401" s="120" t="n">
        <v>0.768</v>
      </c>
      <c r="AK401" s="120" t="n">
        <v>0.618</v>
      </c>
      <c r="AL401" s="120" t="n">
        <v>0.46</v>
      </c>
      <c r="AM401" s="120" t="n">
        <v>-0.003</v>
      </c>
      <c r="AN401" s="118" t="n">
        <v>99.90000000000001</v>
      </c>
      <c r="AO401" s="119" t="inlineStr">
        <is>
          <t>✓ Good</t>
        </is>
      </c>
      <c r="AP401" s="117" t="n">
        <v>0</v>
      </c>
      <c r="AQ401" s="117" t="n">
        <v>0</v>
      </c>
      <c r="AR401" s="117" t="n">
        <v>0</v>
      </c>
      <c r="AS401" s="117" t="n">
        <v>0</v>
      </c>
      <c r="AT401" s="117" t="n">
        <v>0</v>
      </c>
      <c r="AU401" s="117" t="n">
        <v>0</v>
      </c>
      <c r="AV401" s="117" t="n">
        <v>0</v>
      </c>
      <c r="AW401" s="119" t="inlineStr">
        <is>
          <t>✓ Clean</t>
        </is>
      </c>
      <c r="AX401" s="118" t="n">
        <v>17.5</v>
      </c>
      <c r="AY401" s="119" t="inlineStr">
        <is>
          <t>🟢 VERY LOW RISK</t>
        </is>
      </c>
      <c r="AZ401" s="118" t="n">
        <v>43.1</v>
      </c>
      <c r="BA401" s="118" t="n">
        <v>51.7</v>
      </c>
      <c r="BB401" s="118" t="n">
        <v>7.1</v>
      </c>
      <c r="BC401" s="118" t="n">
        <v>4.2</v>
      </c>
      <c r="BD401" s="118" t="n">
        <v>43</v>
      </c>
      <c r="BE401" s="118" t="n">
        <v>35.7</v>
      </c>
      <c r="BF401" s="120" t="n">
        <v>0.211</v>
      </c>
      <c r="BG401" s="117" t="n">
        <v>0.135</v>
      </c>
      <c r="BH401" s="122" t="n">
        <v>3</v>
      </c>
      <c r="BI401" s="123" t="n">
        <v>1</v>
      </c>
    </row>
    <row r="402" ht="17" customHeight="1">
      <c r="A402" s="126" t="inlineStr">
        <is>
          <t>DHI</t>
        </is>
      </c>
      <c r="B402" s="126" t="inlineStr">
        <is>
          <t>D.R. Horton, Inc.</t>
        </is>
      </c>
      <c r="C402" s="124" t="inlineStr">
        <is>
          <t>N/A</t>
        </is>
      </c>
      <c r="D402" s="127" t="n">
        <v>0.88</v>
      </c>
      <c r="E402" s="127" t="n">
        <v>0.998</v>
      </c>
      <c r="F402" s="127" t="n">
        <v>0.931</v>
      </c>
      <c r="G402" s="127" t="n">
        <v>0.946</v>
      </c>
      <c r="H402" s="127" t="n">
        <v>1.102</v>
      </c>
      <c r="I402" s="127" t="n">
        <v>1.062</v>
      </c>
      <c r="J402" s="127" t="n">
        <v>0.005</v>
      </c>
      <c r="K402" s="124" t="inlineStr">
        <is>
          <t>N/A</t>
        </is>
      </c>
      <c r="L402" s="124" t="inlineStr">
        <is>
          <t>N/A</t>
        </is>
      </c>
      <c r="M402" s="124" t="inlineStr">
        <is>
          <t>N/A</t>
        </is>
      </c>
      <c r="N402" s="124" t="inlineStr">
        <is>
          <t>N/A</t>
        </is>
      </c>
      <c r="O402" s="124" t="inlineStr">
        <is>
          <t>N/A</t>
        </is>
      </c>
      <c r="P402" s="128" t="n">
        <v>0.9</v>
      </c>
      <c r="Q402" s="128" t="n">
        <v>-0.031</v>
      </c>
      <c r="R402" s="126" t="n">
        <v>0</v>
      </c>
      <c r="S402" s="124" t="inlineStr">
        <is>
          <t>N/A</t>
        </is>
      </c>
      <c r="T402" s="124" t="inlineStr">
        <is>
          <t>N/A</t>
        </is>
      </c>
      <c r="U402" s="124" t="inlineStr">
        <is>
          <t>N/A</t>
        </is>
      </c>
      <c r="V402" s="126" t="n">
        <v>0</v>
      </c>
      <c r="W402" s="126" t="n">
        <v>0</v>
      </c>
      <c r="X402" s="126" t="n">
        <v>0</v>
      </c>
      <c r="Y402" s="126" t="n">
        <v>0</v>
      </c>
      <c r="Z402" s="126" t="n">
        <v>0</v>
      </c>
      <c r="AA402" s="126" t="n">
        <v>0</v>
      </c>
      <c r="AB402" s="126" t="n">
        <v>0</v>
      </c>
      <c r="AC402" s="119" t="inlineStr">
        <is>
          <t>✓ Clean</t>
        </is>
      </c>
      <c r="AD402" s="127" t="n">
        <v>3420900000</v>
      </c>
      <c r="AE402" s="127" t="n">
        <v>-168700000</v>
      </c>
      <c r="AF402" s="127" t="n">
        <v>3585200000</v>
      </c>
      <c r="AG402" s="127" t="n">
        <v>0.008999999999999999</v>
      </c>
      <c r="AH402" s="119" t="inlineStr">
        <is>
          <t>✓ Medium Quality</t>
        </is>
      </c>
      <c r="AI402" s="124" t="inlineStr">
        <is>
          <t>N/A</t>
        </is>
      </c>
      <c r="AJ402" s="128" t="n">
        <v>-0.06900000000000001</v>
      </c>
      <c r="AK402" s="124" t="inlineStr">
        <is>
          <t>N/A</t>
        </is>
      </c>
      <c r="AL402" s="128" t="n">
        <v>0.1</v>
      </c>
      <c r="AM402" s="128" t="n">
        <v>0</v>
      </c>
      <c r="AN402" s="127" t="n">
        <v>90</v>
      </c>
      <c r="AO402" s="119" t="inlineStr">
        <is>
          <t>✓ Good</t>
        </is>
      </c>
      <c r="AP402" s="126" t="n">
        <v>0</v>
      </c>
      <c r="AQ402" s="126" t="n">
        <v>0</v>
      </c>
      <c r="AR402" s="126" t="n">
        <v>0</v>
      </c>
      <c r="AS402" s="126" t="n">
        <v>1</v>
      </c>
      <c r="AT402" s="126" t="n">
        <v>0</v>
      </c>
      <c r="AU402" s="126" t="n">
        <v>0</v>
      </c>
      <c r="AV402" s="126" t="n">
        <v>1</v>
      </c>
      <c r="AW402" s="119" t="inlineStr">
        <is>
          <t>✓ Clean</t>
        </is>
      </c>
      <c r="AX402" s="127" t="n">
        <v>23.5</v>
      </c>
      <c r="AY402" s="119" t="inlineStr">
        <is>
          <t>🟢 LOW RISK</t>
        </is>
      </c>
      <c r="AZ402" s="127" t="n">
        <v>0</v>
      </c>
      <c r="BA402" s="124" t="inlineStr">
        <is>
          <t>N/A</t>
        </is>
      </c>
      <c r="BB402" s="124" t="inlineStr">
        <is>
          <t>N/A</t>
        </is>
      </c>
      <c r="BC402" s="124" t="inlineStr">
        <is>
          <t>N/A</t>
        </is>
      </c>
      <c r="BD402" s="124" t="inlineStr">
        <is>
          <t>N/A</t>
        </is>
      </c>
      <c r="BE402" s="124" t="inlineStr">
        <is>
          <t>N/A</t>
        </is>
      </c>
      <c r="BF402" s="128" t="n">
        <v>0.236</v>
      </c>
      <c r="BG402" s="126" t="n">
        <v>0.9</v>
      </c>
      <c r="BH402" s="126" t="n">
        <v>1</v>
      </c>
      <c r="BI402" s="125" t="n">
        <v>0.6666666666666666</v>
      </c>
    </row>
    <row r="403" ht="17" customHeight="1">
      <c r="A403" s="117" t="inlineStr">
        <is>
          <t>QRVO</t>
        </is>
      </c>
      <c r="B403" s="117" t="inlineStr">
        <is>
          <t>Qorvo, Inc.</t>
        </is>
      </c>
      <c r="C403" s="118" t="n">
        <v>1</v>
      </c>
      <c r="D403" s="118" t="n">
        <v>0.9</v>
      </c>
      <c r="E403" s="118" t="n">
        <v>0.965</v>
      </c>
      <c r="F403" s="118" t="n">
        <v>0.989</v>
      </c>
      <c r="G403" s="118" t="n">
        <v>0.963</v>
      </c>
      <c r="H403" s="118" t="n">
        <v>1.097</v>
      </c>
      <c r="I403" s="118" t="n">
        <v>0.995</v>
      </c>
      <c r="J403" s="118" t="n">
        <v>-0.081</v>
      </c>
      <c r="K403" s="118" t="n">
        <v>-2.953</v>
      </c>
      <c r="L403" s="119" t="inlineStr">
        <is>
          <t>✓ Lower Risk</t>
        </is>
      </c>
      <c r="M403" s="120" t="n">
        <v>-0.024</v>
      </c>
      <c r="N403" s="120" t="n">
        <v>-0.104</v>
      </c>
      <c r="O403" s="120" t="n">
        <v>-2.157</v>
      </c>
      <c r="P403" s="120" t="n">
        <v>0.669</v>
      </c>
      <c r="Q403" s="120" t="n">
        <v>0.049</v>
      </c>
      <c r="R403" s="117" t="n">
        <v>0</v>
      </c>
      <c r="S403" s="118" t="n">
        <v>-9.441000000000001</v>
      </c>
      <c r="T403" s="118" t="n">
        <v>0</v>
      </c>
      <c r="U403" s="119" t="inlineStr">
        <is>
          <t>✓ Normal</t>
        </is>
      </c>
      <c r="V403" s="117" t="n">
        <v>1</v>
      </c>
      <c r="W403" s="117" t="n">
        <v>0</v>
      </c>
      <c r="X403" s="117" t="n">
        <v>0</v>
      </c>
      <c r="Y403" s="117" t="n">
        <v>1</v>
      </c>
      <c r="Z403" s="117" t="n">
        <v>1</v>
      </c>
      <c r="AA403" s="117" t="n">
        <v>0</v>
      </c>
      <c r="AB403" s="117" t="n">
        <v>3</v>
      </c>
      <c r="AC403" s="121" t="inlineStr">
        <is>
          <t>⚠ WATCH</t>
        </is>
      </c>
      <c r="AD403" s="118" t="n">
        <v>808631000</v>
      </c>
      <c r="AE403" s="118" t="n">
        <v>-43600000</v>
      </c>
      <c r="AF403" s="118" t="n">
        <v>338989000</v>
      </c>
      <c r="AG403" s="118" t="n">
        <v>-0.07199999999999999</v>
      </c>
      <c r="AH403" s="119" t="inlineStr">
        <is>
          <t>✓ Medium Quality</t>
        </is>
      </c>
      <c r="AI403" s="118" t="n">
        <v>-0.011</v>
      </c>
      <c r="AJ403" s="120" t="n">
        <v>-0.011</v>
      </c>
      <c r="AK403" s="120" t="n">
        <v>1.001</v>
      </c>
      <c r="AL403" s="120" t="n">
        <v>0.22</v>
      </c>
      <c r="AM403" s="120" t="n">
        <v>-0.003</v>
      </c>
      <c r="AN403" s="118" t="n">
        <v>99.8</v>
      </c>
      <c r="AO403" s="119" t="inlineStr">
        <is>
          <t>✓ Good</t>
        </is>
      </c>
      <c r="AP403" s="117" t="n">
        <v>0</v>
      </c>
      <c r="AQ403" s="117" t="n">
        <v>1</v>
      </c>
      <c r="AR403" s="117" t="n">
        <v>0</v>
      </c>
      <c r="AS403" s="117" t="n">
        <v>1</v>
      </c>
      <c r="AT403" s="117" t="n">
        <v>0</v>
      </c>
      <c r="AU403" s="117" t="n">
        <v>1</v>
      </c>
      <c r="AV403" s="117" t="n">
        <v>3</v>
      </c>
      <c r="AW403" s="121" t="inlineStr">
        <is>
          <t>⚠ WATCH</t>
        </is>
      </c>
      <c r="AX403" s="118" t="n">
        <v>19.6</v>
      </c>
      <c r="AY403" s="119" t="inlineStr">
        <is>
          <t>🟢 VERY LOW RISK</t>
        </is>
      </c>
      <c r="AZ403" s="118" t="n">
        <v>38</v>
      </c>
      <c r="BA403" s="118" t="n">
        <v>38</v>
      </c>
      <c r="BB403" s="118" t="n">
        <v>101.5</v>
      </c>
      <c r="BC403" s="118" t="n">
        <v>107.2</v>
      </c>
      <c r="BD403" s="118" t="n">
        <v>44.5</v>
      </c>
      <c r="BE403" s="118" t="n">
        <v>43.6</v>
      </c>
      <c r="BF403" s="120" t="n">
        <v>0.149</v>
      </c>
      <c r="BG403" s="117" t="n">
        <v>0.669</v>
      </c>
      <c r="BH403" s="122" t="n">
        <v>6</v>
      </c>
      <c r="BI403" s="123" t="n">
        <v>1</v>
      </c>
    </row>
    <row r="404" ht="17" customHeight="1">
      <c r="A404" s="117" t="inlineStr">
        <is>
          <t>STLD</t>
        </is>
      </c>
      <c r="B404" s="117" t="inlineStr">
        <is>
          <t>Steel Dynamics, Inc.</t>
        </is>
      </c>
      <c r="C404" s="118" t="n">
        <v>0.855</v>
      </c>
      <c r="D404" s="118" t="n">
        <v>1.417</v>
      </c>
      <c r="E404" s="118" t="n">
        <v>0.897</v>
      </c>
      <c r="F404" s="118" t="n">
        <v>1.209</v>
      </c>
      <c r="G404" s="118" t="n">
        <v>0.995</v>
      </c>
      <c r="H404" s="118" t="n">
        <v>0.953</v>
      </c>
      <c r="I404" s="118" t="n">
        <v>1.137</v>
      </c>
      <c r="J404" s="118" t="n">
        <v>-0.016</v>
      </c>
      <c r="K404" s="118" t="n">
        <v>-2.361</v>
      </c>
      <c r="L404" s="119" t="inlineStr">
        <is>
          <t>✓ Lower Risk</t>
        </is>
      </c>
      <c r="M404" s="120" t="n">
        <v>0.041</v>
      </c>
      <c r="N404" s="120" t="n">
        <v>0.017</v>
      </c>
      <c r="O404" s="120" t="n">
        <v>0.162</v>
      </c>
      <c r="P404" s="120" t="n">
        <v>0.431</v>
      </c>
      <c r="Q404" s="120" t="n">
        <v>-0.031</v>
      </c>
      <c r="R404" s="117" t="n">
        <v>0</v>
      </c>
      <c r="S404" s="118" t="n">
        <v>-6.758</v>
      </c>
      <c r="T404" s="118" t="n">
        <v>0.001</v>
      </c>
      <c r="U404" s="119" t="inlineStr">
        <is>
          <t>✓ Normal</t>
        </is>
      </c>
      <c r="V404" s="117" t="n">
        <v>1</v>
      </c>
      <c r="W404" s="117" t="n">
        <v>0</v>
      </c>
      <c r="X404" s="117" t="n">
        <v>0</v>
      </c>
      <c r="Y404" s="117" t="n">
        <v>1</v>
      </c>
      <c r="Z404" s="117" t="n">
        <v>1</v>
      </c>
      <c r="AA404" s="117" t="n">
        <v>0</v>
      </c>
      <c r="AB404" s="117" t="n">
        <v>3</v>
      </c>
      <c r="AC404" s="121" t="inlineStr">
        <is>
          <t>⚠ WATCH</t>
        </is>
      </c>
      <c r="AD404" s="118" t="n">
        <v>1449534000</v>
      </c>
      <c r="AE404" s="118" t="n">
        <v>-974957000</v>
      </c>
      <c r="AF404" s="118" t="n">
        <v>1185595000</v>
      </c>
      <c r="AG404" s="118" t="n">
        <v>0.045</v>
      </c>
      <c r="AH404" s="119" t="inlineStr">
        <is>
          <t>✓ Medium Quality</t>
        </is>
      </c>
      <c r="AI404" s="118" t="n">
        <v>0.034</v>
      </c>
      <c r="AJ404" s="120" t="n">
        <v>0.209</v>
      </c>
      <c r="AK404" s="120" t="n">
        <v>0.162</v>
      </c>
      <c r="AL404" s="120" t="n">
        <v>0.065</v>
      </c>
      <c r="AM404" s="124" t="inlineStr">
        <is>
          <t>N/A</t>
        </is>
      </c>
      <c r="AN404" s="118" t="n">
        <v>83</v>
      </c>
      <c r="AO404" s="119" t="inlineStr">
        <is>
          <t>✓ Good</t>
        </is>
      </c>
      <c r="AP404" s="117" t="n">
        <v>0</v>
      </c>
      <c r="AQ404" s="117" t="n">
        <v>0</v>
      </c>
      <c r="AR404" s="117" t="n">
        <v>1</v>
      </c>
      <c r="AS404" s="117" t="n">
        <v>0</v>
      </c>
      <c r="AT404" s="117" t="n">
        <v>0</v>
      </c>
      <c r="AU404" s="117" t="n">
        <v>1</v>
      </c>
      <c r="AV404" s="117" t="n">
        <v>2</v>
      </c>
      <c r="AW404" s="121" t="inlineStr">
        <is>
          <t>⚠ WATCH</t>
        </is>
      </c>
      <c r="AX404" s="118" t="n">
        <v>21</v>
      </c>
      <c r="AY404" s="119" t="inlineStr">
        <is>
          <t>🟢 LOW RISK</t>
        </is>
      </c>
      <c r="AZ404" s="118" t="n">
        <v>32.4</v>
      </c>
      <c r="BA404" s="118" t="n">
        <v>37.9</v>
      </c>
      <c r="BB404" s="118" t="n">
        <v>86.40000000000001</v>
      </c>
      <c r="BC404" s="118" t="n">
        <v>77.09999999999999</v>
      </c>
      <c r="BD404" s="118" t="n">
        <v>23.3</v>
      </c>
      <c r="BE404" s="118" t="n">
        <v>31.4</v>
      </c>
      <c r="BF404" s="120" t="n">
        <v>0.205</v>
      </c>
      <c r="BG404" s="117" t="n">
        <v>0.431</v>
      </c>
      <c r="BH404" s="122" t="n">
        <v>5</v>
      </c>
      <c r="BI404" s="123" t="n">
        <v>1</v>
      </c>
    </row>
    <row r="405" ht="17" customHeight="1">
      <c r="A405" s="117" t="inlineStr">
        <is>
          <t>LMT</t>
        </is>
      </c>
      <c r="B405" s="117" t="inlineStr">
        <is>
          <t>LOCKHEED MARTIN CORPORATION</t>
        </is>
      </c>
      <c r="C405" s="118" t="n">
        <v>1.571</v>
      </c>
      <c r="D405" s="118" t="n">
        <v>0.961</v>
      </c>
      <c r="E405" s="118" t="n">
        <v>0.95</v>
      </c>
      <c r="F405" s="118" t="n">
        <v>1.056</v>
      </c>
      <c r="G405" s="118" t="n">
        <v>0.949</v>
      </c>
      <c r="H405" s="124" t="inlineStr">
        <is>
          <t>N/A</t>
        </is>
      </c>
      <c r="I405" s="118" t="n">
        <v>1.002</v>
      </c>
      <c r="J405" s="118" t="n">
        <v>-0.059</v>
      </c>
      <c r="K405" s="118" t="n">
        <v>-2.057</v>
      </c>
      <c r="L405" s="121" t="inlineStr">
        <is>
          <t>⚠ MANIPULATOR RISK</t>
        </is>
      </c>
      <c r="M405" s="120" t="n">
        <v>-0.062</v>
      </c>
      <c r="N405" s="120" t="n">
        <v>0.387</v>
      </c>
      <c r="O405" s="120" t="n">
        <v>0.012</v>
      </c>
      <c r="P405" s="120" t="n">
        <v>0.783</v>
      </c>
      <c r="Q405" s="120" t="n">
        <v>-0.012</v>
      </c>
      <c r="R405" s="117" t="n">
        <v>0</v>
      </c>
      <c r="S405" s="118" t="n">
        <v>-5.398</v>
      </c>
      <c r="T405" s="118" t="n">
        <v>0.005</v>
      </c>
      <c r="U405" s="119" t="inlineStr">
        <is>
          <t>✓ Normal</t>
        </is>
      </c>
      <c r="V405" s="117" t="n">
        <v>0</v>
      </c>
      <c r="W405" s="117" t="n">
        <v>1</v>
      </c>
      <c r="X405" s="117" t="n">
        <v>0</v>
      </c>
      <c r="Y405" s="117" t="n">
        <v>0</v>
      </c>
      <c r="Z405" s="117" t="n">
        <v>0</v>
      </c>
      <c r="AA405" s="117" t="n">
        <v>0</v>
      </c>
      <c r="AB405" s="117" t="n">
        <v>1</v>
      </c>
      <c r="AC405" s="119" t="inlineStr">
        <is>
          <t>✓ Clean</t>
        </is>
      </c>
      <c r="AD405" s="118" t="n">
        <v>8557000000</v>
      </c>
      <c r="AE405" s="118" t="n">
        <v>-1977000000</v>
      </c>
      <c r="AF405" s="118" t="n">
        <v>5017000000</v>
      </c>
      <c r="AG405" s="118" t="n">
        <v>-0.027</v>
      </c>
      <c r="AH405" s="119" t="inlineStr">
        <is>
          <t>✓ Medium Quality</t>
        </is>
      </c>
      <c r="AI405" s="118" t="n">
        <v>0.659</v>
      </c>
      <c r="AJ405" s="120" t="n">
        <v>0.056</v>
      </c>
      <c r="AK405" s="120" t="n">
        <v>11.695</v>
      </c>
      <c r="AL405" s="120" t="n">
        <v>0.114</v>
      </c>
      <c r="AM405" s="120" t="n">
        <v>0.022</v>
      </c>
      <c r="AN405" s="118" t="n">
        <v>63.9</v>
      </c>
      <c r="AO405" s="121" t="inlineStr">
        <is>
          <t>⚠ WATCH</t>
        </is>
      </c>
      <c r="AP405" s="117" t="n">
        <v>0</v>
      </c>
      <c r="AQ405" s="117" t="n">
        <v>0</v>
      </c>
      <c r="AR405" s="117" t="n">
        <v>0</v>
      </c>
      <c r="AS405" s="117" t="n">
        <v>0</v>
      </c>
      <c r="AT405" s="117" t="n">
        <v>1</v>
      </c>
      <c r="AU405" s="117" t="n">
        <v>0</v>
      </c>
      <c r="AV405" s="117" t="n">
        <v>1</v>
      </c>
      <c r="AW405" s="119" t="inlineStr">
        <is>
          <t>✓ Clean</t>
        </is>
      </c>
      <c r="AX405" s="118" t="n">
        <v>15.5</v>
      </c>
      <c r="AY405" s="119" t="inlineStr">
        <is>
          <t>🟢 VERY LOW RISK</t>
        </is>
      </c>
      <c r="AZ405" s="118" t="n">
        <v>19</v>
      </c>
      <c r="BA405" s="118" t="n">
        <v>12.1</v>
      </c>
      <c r="BB405" s="118" t="n">
        <v>22.2</v>
      </c>
      <c r="BC405" s="118" t="n">
        <v>22.3</v>
      </c>
      <c r="BD405" s="118" t="n">
        <v>22.9</v>
      </c>
      <c r="BE405" s="118" t="n">
        <v>14.3</v>
      </c>
      <c r="BF405" s="120" t="n">
        <v>0.153</v>
      </c>
      <c r="BG405" s="117" t="n">
        <v>0.783</v>
      </c>
      <c r="BH405" s="122" t="n">
        <v>2</v>
      </c>
      <c r="BI405" s="123" t="n">
        <v>1</v>
      </c>
    </row>
    <row r="406" ht="17" customHeight="1">
      <c r="A406" s="117" t="inlineStr">
        <is>
          <t>FN</t>
        </is>
      </c>
      <c r="B406" s="117" t="inlineStr">
        <is>
          <t>FABRINET</t>
        </is>
      </c>
      <c r="C406" s="118" t="n">
        <v>1.08</v>
      </c>
      <c r="D406" s="118" t="n">
        <v>1.022</v>
      </c>
      <c r="E406" s="118" t="n">
        <v>0.975</v>
      </c>
      <c r="F406" s="118" t="n">
        <v>1.186</v>
      </c>
      <c r="G406" s="118" t="n">
        <v>1.118</v>
      </c>
      <c r="H406" s="118" t="n">
        <v>0.9399999999999999</v>
      </c>
      <c r="I406" s="118" t="n">
        <v>1.184</v>
      </c>
      <c r="J406" s="118" t="n">
        <v>0.001</v>
      </c>
      <c r="K406" s="118" t="n">
        <v>-2.268</v>
      </c>
      <c r="L406" s="119" t="inlineStr">
        <is>
          <t>✓ Lower Risk</t>
        </is>
      </c>
      <c r="M406" s="120" t="n">
        <v>0.076</v>
      </c>
      <c r="N406" s="120" t="n">
        <v>0.31</v>
      </c>
      <c r="O406" s="120" t="n">
        <v>0.22</v>
      </c>
      <c r="P406" s="120" t="n">
        <v>0.757</v>
      </c>
      <c r="Q406" s="120" t="n">
        <v>-0.008999999999999999</v>
      </c>
      <c r="R406" s="117" t="n">
        <v>0</v>
      </c>
      <c r="S406" s="118" t="n">
        <v>-5.287</v>
      </c>
      <c r="T406" s="118" t="n">
        <v>0.005</v>
      </c>
      <c r="U406" s="119" t="inlineStr">
        <is>
          <t>✓ Normal</t>
        </is>
      </c>
      <c r="V406" s="117" t="n">
        <v>1</v>
      </c>
      <c r="W406" s="117" t="n">
        <v>1</v>
      </c>
      <c r="X406" s="117" t="n">
        <v>1</v>
      </c>
      <c r="Y406" s="117" t="n">
        <v>0</v>
      </c>
      <c r="Z406" s="117" t="n">
        <v>1</v>
      </c>
      <c r="AA406" s="117" t="n">
        <v>1</v>
      </c>
      <c r="AB406" s="117" t="n">
        <v>5</v>
      </c>
      <c r="AC406" s="121" t="inlineStr">
        <is>
          <t>⚠⚠ SERIOUS CONCERN</t>
        </is>
      </c>
      <c r="AD406" s="118" t="n">
        <v>328365000</v>
      </c>
      <c r="AE406" s="118" t="n">
        <v>-286296000</v>
      </c>
      <c r="AF406" s="118" t="n">
        <v>332527000</v>
      </c>
      <c r="AG406" s="118" t="n">
        <v>0.112</v>
      </c>
      <c r="AH406" s="117" t="inlineStr">
        <is>
          <t>⚠ Low Quality</t>
        </is>
      </c>
      <c r="AI406" s="118" t="n">
        <v>0.281</v>
      </c>
      <c r="AJ406" s="120" t="n">
        <v>0.186</v>
      </c>
      <c r="AK406" s="120" t="n">
        <v>1.51</v>
      </c>
      <c r="AL406" s="120" t="n">
        <v>0.096</v>
      </c>
      <c r="AM406" s="120" t="n">
        <v>0.002</v>
      </c>
      <c r="AN406" s="118" t="n">
        <v>74</v>
      </c>
      <c r="AO406" s="119" t="inlineStr">
        <is>
          <t>✓ Good</t>
        </is>
      </c>
      <c r="AP406" s="117" t="n">
        <v>0</v>
      </c>
      <c r="AQ406" s="117" t="n">
        <v>0</v>
      </c>
      <c r="AR406" s="117" t="n">
        <v>1</v>
      </c>
      <c r="AS406" s="117" t="n">
        <v>0</v>
      </c>
      <c r="AT406" s="117" t="n">
        <v>0</v>
      </c>
      <c r="AU406" s="117" t="n">
        <v>0</v>
      </c>
      <c r="AV406" s="117" t="n">
        <v>1</v>
      </c>
      <c r="AW406" s="119" t="inlineStr">
        <is>
          <t>✓ Clean</t>
        </is>
      </c>
      <c r="AX406" s="118" t="n">
        <v>29.5</v>
      </c>
      <c r="AY406" s="119" t="inlineStr">
        <is>
          <t>🟢 LOW RISK</t>
        </is>
      </c>
      <c r="AZ406" s="118" t="n">
        <v>81</v>
      </c>
      <c r="BA406" s="118" t="n">
        <v>75</v>
      </c>
      <c r="BB406" s="118" t="n">
        <v>70.5</v>
      </c>
      <c r="BC406" s="118" t="n">
        <v>66.90000000000001</v>
      </c>
      <c r="BD406" s="118" t="n">
        <v>29.5</v>
      </c>
      <c r="BE406" s="124" t="inlineStr">
        <is>
          <t>N/A</t>
        </is>
      </c>
      <c r="BF406" s="120" t="n">
        <v>0.064</v>
      </c>
      <c r="BG406" s="117" t="n">
        <v>0.757</v>
      </c>
      <c r="BH406" s="122" t="n">
        <v>6</v>
      </c>
      <c r="BI406" s="123" t="n">
        <v>1</v>
      </c>
    </row>
    <row r="407" ht="17" customHeight="1">
      <c r="A407" s="117" t="inlineStr">
        <is>
          <t>DD</t>
        </is>
      </c>
      <c r="B407" s="117" t="inlineStr">
        <is>
          <t>DUPONT DE NEMOURS, INC.</t>
        </is>
      </c>
      <c r="C407" s="118" t="n">
        <v>0.153</v>
      </c>
      <c r="D407" s="118" t="n">
        <v>0.853</v>
      </c>
      <c r="E407" s="118" t="n">
        <v>0.507</v>
      </c>
      <c r="F407" s="118" t="n">
        <v>3.884</v>
      </c>
      <c r="G407" s="118" t="n">
        <v>1.731</v>
      </c>
      <c r="H407" s="118" t="n">
        <v>0.169</v>
      </c>
      <c r="I407" s="118" t="n">
        <v>0.988</v>
      </c>
      <c r="J407" s="118" t="n">
        <v>-0.063</v>
      </c>
      <c r="K407" s="118" t="n">
        <v>-1.03</v>
      </c>
      <c r="L407" s="121" t="inlineStr">
        <is>
          <t>⚠ MANIPULATOR RISK</t>
        </is>
      </c>
      <c r="M407" s="120" t="n">
        <v>0.102</v>
      </c>
      <c r="N407" s="120" t="n">
        <v>-0.041</v>
      </c>
      <c r="O407" s="120" t="n">
        <v>-0.063</v>
      </c>
      <c r="P407" s="120" t="n">
        <v>0.504</v>
      </c>
      <c r="Q407" s="120" t="n">
        <v>-0.033</v>
      </c>
      <c r="R407" s="117" t="n">
        <v>0</v>
      </c>
      <c r="S407" s="118" t="n">
        <v>-6.98</v>
      </c>
      <c r="T407" s="118" t="n">
        <v>0.001</v>
      </c>
      <c r="U407" s="119" t="inlineStr">
        <is>
          <t>✓ Normal</t>
        </is>
      </c>
      <c r="V407" s="117" t="n">
        <v>1</v>
      </c>
      <c r="W407" s="117" t="n">
        <v>0</v>
      </c>
      <c r="X407" s="117" t="n">
        <v>0</v>
      </c>
      <c r="Y407" s="117" t="n">
        <v>1</v>
      </c>
      <c r="Z407" s="117" t="n">
        <v>1</v>
      </c>
      <c r="AA407" s="117" t="n">
        <v>0</v>
      </c>
      <c r="AB407" s="117" t="n">
        <v>3</v>
      </c>
      <c r="AC407" s="121" t="inlineStr">
        <is>
          <t>⚠ WATCH</t>
        </is>
      </c>
      <c r="AD407" s="118" t="n">
        <v>588000000</v>
      </c>
      <c r="AE407" s="118" t="n">
        <v>8923000000</v>
      </c>
      <c r="AF407" s="118" t="n">
        <v>-779000000</v>
      </c>
      <c r="AG407" s="118" t="n">
        <v>-0.354</v>
      </c>
      <c r="AH407" s="119" t="inlineStr">
        <is>
          <t>✓ High Quality</t>
        </is>
      </c>
      <c r="AI407" s="118" t="n">
        <v>-0.407</v>
      </c>
      <c r="AJ407" s="120" t="n">
        <v>2.884</v>
      </c>
      <c r="AK407" s="120" t="n">
        <v>-0.141</v>
      </c>
      <c r="AL407" s="120" t="n">
        <v>0.029</v>
      </c>
      <c r="AM407" s="120" t="n">
        <v>-0.002</v>
      </c>
      <c r="AN407" s="118" t="n">
        <v>75.7</v>
      </c>
      <c r="AO407" s="119" t="inlineStr">
        <is>
          <t>✓ Good</t>
        </is>
      </c>
      <c r="AP407" s="117" t="n">
        <v>0</v>
      </c>
      <c r="AQ407" s="117" t="n">
        <v>0</v>
      </c>
      <c r="AR407" s="117" t="n">
        <v>0</v>
      </c>
      <c r="AS407" s="117" t="n">
        <v>0</v>
      </c>
      <c r="AT407" s="117" t="n">
        <v>1</v>
      </c>
      <c r="AU407" s="117" t="n">
        <v>0</v>
      </c>
      <c r="AV407" s="117" t="n">
        <v>1</v>
      </c>
      <c r="AW407" s="119" t="inlineStr">
        <is>
          <t>✓ Clean</t>
        </is>
      </c>
      <c r="AX407" s="118" t="n">
        <v>30.7</v>
      </c>
      <c r="AY407" s="119" t="inlineStr">
        <is>
          <t>🟢 LOW RISK</t>
        </is>
      </c>
      <c r="AZ407" s="118" t="n">
        <v>16.3</v>
      </c>
      <c r="BA407" s="118" t="n">
        <v>106.6</v>
      </c>
      <c r="BB407" s="118" t="n">
        <v>95.40000000000001</v>
      </c>
      <c r="BC407" s="118" t="n">
        <v>710</v>
      </c>
      <c r="BD407" s="118" t="n">
        <v>81</v>
      </c>
      <c r="BE407" s="118" t="n">
        <v>573.3</v>
      </c>
      <c r="BF407" s="120" t="n">
        <v>0.51</v>
      </c>
      <c r="BG407" s="117" t="n">
        <v>0.504</v>
      </c>
      <c r="BH407" s="122" t="n">
        <v>4</v>
      </c>
      <c r="BI407" s="123" t="n">
        <v>1</v>
      </c>
    </row>
    <row r="408" ht="17" customHeight="1">
      <c r="A408" s="117" t="inlineStr">
        <is>
          <t>DE</t>
        </is>
      </c>
      <c r="B408" s="117" t="inlineStr">
        <is>
          <t>DEERE &amp; CO</t>
        </is>
      </c>
      <c r="C408" s="118" t="n">
        <v>1.13</v>
      </c>
      <c r="D408" s="118" t="n">
        <v>0.8169999999999999</v>
      </c>
      <c r="E408" s="118" t="n">
        <v>0.998</v>
      </c>
      <c r="F408" s="118" t="n">
        <v>0.883</v>
      </c>
      <c r="G408" s="118" t="n">
        <v>0.976</v>
      </c>
      <c r="H408" s="118" t="n">
        <v>1.091</v>
      </c>
      <c r="I408" s="118" t="n">
        <v>0.96</v>
      </c>
      <c r="J408" s="118" t="n">
        <v>-0.023</v>
      </c>
      <c r="K408" s="118" t="n">
        <v>-2.674</v>
      </c>
      <c r="L408" s="119" t="inlineStr">
        <is>
          <t>✓ Lower Risk</t>
        </is>
      </c>
      <c r="M408" s="124" t="inlineStr">
        <is>
          <t>N/A</t>
        </is>
      </c>
      <c r="N408" s="120" t="n">
        <v>-0.001</v>
      </c>
      <c r="O408" s="120" t="n">
        <v>0.052</v>
      </c>
      <c r="P408" s="120" t="n">
        <v>0.866</v>
      </c>
      <c r="Q408" s="120" t="n">
        <v>-0.019</v>
      </c>
      <c r="R408" s="117" t="n">
        <v>0</v>
      </c>
      <c r="S408" s="118" t="n">
        <v>-6.114</v>
      </c>
      <c r="T408" s="118" t="n">
        <v>0.002</v>
      </c>
      <c r="U408" s="119" t="inlineStr">
        <is>
          <t>✓ Normal</t>
        </is>
      </c>
      <c r="V408" s="117" t="n">
        <v>0</v>
      </c>
      <c r="W408" s="117" t="n">
        <v>1</v>
      </c>
      <c r="X408" s="117" t="n">
        <v>1</v>
      </c>
      <c r="Y408" s="117" t="n">
        <v>0</v>
      </c>
      <c r="Z408" s="117" t="n">
        <v>0</v>
      </c>
      <c r="AA408" s="117" t="n">
        <v>0</v>
      </c>
      <c r="AB408" s="117" t="n">
        <v>2</v>
      </c>
      <c r="AC408" s="121" t="inlineStr">
        <is>
          <t>⚠ WATCH</t>
        </is>
      </c>
      <c r="AD408" s="118" t="n">
        <v>7459000000</v>
      </c>
      <c r="AE408" s="118" t="n">
        <v>-2057000000</v>
      </c>
      <c r="AF408" s="118" t="n">
        <v>5027000000</v>
      </c>
      <c r="AG408" s="118" t="n">
        <v>-0.004</v>
      </c>
      <c r="AH408" s="119" t="inlineStr">
        <is>
          <t>✓ Medium Quality</t>
        </is>
      </c>
      <c r="AI408" s="118" t="n">
        <v>-0.002</v>
      </c>
      <c r="AJ408" s="120" t="n">
        <v>-0.117</v>
      </c>
      <c r="AK408" s="120" t="n">
        <v>0.014</v>
      </c>
      <c r="AL408" s="120" t="n">
        <v>0.163</v>
      </c>
      <c r="AM408" s="120" t="n">
        <v>0.002</v>
      </c>
      <c r="AN408" s="117" t="n">
        <v>100</v>
      </c>
      <c r="AO408" s="119" t="inlineStr">
        <is>
          <t>✓ Good</t>
        </is>
      </c>
      <c r="AP408" s="117" t="n">
        <v>1</v>
      </c>
      <c r="AQ408" s="117" t="n">
        <v>1</v>
      </c>
      <c r="AR408" s="117" t="n">
        <v>0</v>
      </c>
      <c r="AS408" s="117" t="n">
        <v>1</v>
      </c>
      <c r="AT408" s="117" t="n">
        <v>0</v>
      </c>
      <c r="AU408" s="117" t="n">
        <v>0</v>
      </c>
      <c r="AV408" s="117" t="n">
        <v>3</v>
      </c>
      <c r="AW408" s="121" t="inlineStr">
        <is>
          <t>⚠ WATCH</t>
        </is>
      </c>
      <c r="AX408" s="118" t="n">
        <v>16.1</v>
      </c>
      <c r="AY408" s="119" t="inlineStr">
        <is>
          <t>🟢 VERY LOW RISK</t>
        </is>
      </c>
      <c r="AZ408" s="118" t="n">
        <v>42.5</v>
      </c>
      <c r="BA408" s="118" t="n">
        <v>37.6</v>
      </c>
      <c r="BB408" s="118" t="n">
        <v>135.6</v>
      </c>
      <c r="BC408" s="118" t="n">
        <v>141.9</v>
      </c>
      <c r="BD408" s="124" t="inlineStr">
        <is>
          <t>N/A</t>
        </is>
      </c>
      <c r="BE408" s="124" t="inlineStr">
        <is>
          <t>N/A</t>
        </is>
      </c>
      <c r="BF408" s="120" t="n">
        <v>0.466</v>
      </c>
      <c r="BG408" s="117" t="n">
        <v>0.866</v>
      </c>
      <c r="BH408" s="122" t="n">
        <v>5</v>
      </c>
      <c r="BI408" s="123" t="n">
        <v>1</v>
      </c>
    </row>
    <row r="409" ht="17" customHeight="1">
      <c r="A409" s="117" t="inlineStr">
        <is>
          <t>AJG</t>
        </is>
      </c>
      <c r="B409" s="117" t="inlineStr">
        <is>
          <t>ARTHUR J. GALLAGHER &amp; CO.</t>
        </is>
      </c>
      <c r="C409" s="118" t="n">
        <v>1.408</v>
      </c>
      <c r="D409" s="118" t="n">
        <v>1.001</v>
      </c>
      <c r="E409" s="118" t="n">
        <v>1.657</v>
      </c>
      <c r="F409" s="118" t="n">
        <v>0.9429999999999999</v>
      </c>
      <c r="G409" s="118" t="n">
        <v>1.036</v>
      </c>
      <c r="H409" s="124" t="inlineStr">
        <is>
          <t>N/A</t>
        </is>
      </c>
      <c r="I409" s="118" t="n">
        <v>0.976</v>
      </c>
      <c r="J409" s="118" t="n">
        <v>-0.006</v>
      </c>
      <c r="K409" s="118" t="n">
        <v>-1.734</v>
      </c>
      <c r="L409" s="121" t="inlineStr">
        <is>
          <t>⚠ MANIPULATOR RISK</t>
        </is>
      </c>
      <c r="M409" s="120" t="n">
        <v>-0.181</v>
      </c>
      <c r="N409" s="120" t="n">
        <v>12.323</v>
      </c>
      <c r="O409" s="124" t="inlineStr">
        <is>
          <t>N/A</t>
        </is>
      </c>
      <c r="P409" s="120" t="n">
        <v>0.984</v>
      </c>
      <c r="Q409" s="120" t="n">
        <v>-0.002</v>
      </c>
      <c r="R409" s="117" t="n">
        <v>1</v>
      </c>
      <c r="S409" s="118" t="n">
        <v>28.014</v>
      </c>
      <c r="T409" s="118" t="n">
        <v>1</v>
      </c>
      <c r="U409" s="121" t="inlineStr">
        <is>
          <t>⚠ HIGH RISK</t>
        </is>
      </c>
      <c r="V409" s="117" t="n">
        <v>1</v>
      </c>
      <c r="W409" s="117" t="n">
        <v>1</v>
      </c>
      <c r="X409" s="117" t="n">
        <v>0</v>
      </c>
      <c r="Y409" s="117" t="n">
        <v>0</v>
      </c>
      <c r="Z409" s="117" t="n">
        <v>0</v>
      </c>
      <c r="AA409" s="117" t="n">
        <v>0</v>
      </c>
      <c r="AB409" s="117" t="n">
        <v>2</v>
      </c>
      <c r="AC409" s="121" t="inlineStr">
        <is>
          <t>⚠ WATCH</t>
        </is>
      </c>
      <c r="AD409" s="118" t="n">
        <v>1930000000</v>
      </c>
      <c r="AE409" s="118" t="n">
        <v>-15876000000</v>
      </c>
      <c r="AF409" s="118" t="n">
        <v>1494000000</v>
      </c>
      <c r="AG409" s="118" t="n">
        <v>0.229</v>
      </c>
      <c r="AH409" s="117" t="inlineStr">
        <is>
          <t>⚠ Low Quality</t>
        </is>
      </c>
      <c r="AI409" s="118" t="n">
        <v>0.328</v>
      </c>
      <c r="AJ409" s="120" t="n">
        <v>-0.057</v>
      </c>
      <c r="AK409" s="120" t="n">
        <v>-5.773</v>
      </c>
      <c r="AL409" s="120" t="n">
        <v>1.121</v>
      </c>
      <c r="AM409" s="120" t="n">
        <v>0.116</v>
      </c>
      <c r="AN409" s="117" t="n">
        <v>100</v>
      </c>
      <c r="AO409" s="119" t="inlineStr">
        <is>
          <t>✓ Good</t>
        </is>
      </c>
      <c r="AP409" s="117" t="n">
        <v>0</v>
      </c>
      <c r="AQ409" s="117" t="n">
        <v>1</v>
      </c>
      <c r="AR409" s="117" t="n">
        <v>1</v>
      </c>
      <c r="AS409" s="117" t="n">
        <v>0</v>
      </c>
      <c r="AT409" s="117" t="n">
        <v>0</v>
      </c>
      <c r="AU409" s="117" t="n">
        <v>1</v>
      </c>
      <c r="AV409" s="117" t="n">
        <v>3</v>
      </c>
      <c r="AW409" s="121" t="inlineStr">
        <is>
          <t>⚠ WATCH</t>
        </is>
      </c>
      <c r="AX409" s="118" t="n">
        <v>53.1</v>
      </c>
      <c r="AY409" s="121" t="inlineStr">
        <is>
          <t>🟡 ELEVATED RISK</t>
        </is>
      </c>
      <c r="AZ409" s="118" t="n">
        <v>1097.3</v>
      </c>
      <c r="BA409" s="118" t="n">
        <v>779.1</v>
      </c>
      <c r="BB409" s="124" t="inlineStr">
        <is>
          <t>N/A</t>
        </is>
      </c>
      <c r="BC409" s="124" t="inlineStr">
        <is>
          <t>N/A</t>
        </is>
      </c>
      <c r="BD409" s="124" t="inlineStr">
        <is>
          <t>N/A</t>
        </is>
      </c>
      <c r="BE409" s="124" t="inlineStr">
        <is>
          <t>N/A</t>
        </is>
      </c>
      <c r="BF409" s="120" t="n">
        <v>0.197</v>
      </c>
      <c r="BG409" s="117" t="n">
        <v>0.984</v>
      </c>
      <c r="BH409" s="122" t="n">
        <v>6</v>
      </c>
      <c r="BI409" s="123" t="n">
        <v>1</v>
      </c>
    </row>
    <row r="410" ht="17" customHeight="1">
      <c r="A410" s="117" t="inlineStr">
        <is>
          <t>ATI</t>
        </is>
      </c>
      <c r="B410" s="117" t="inlineStr">
        <is>
          <t>ATI INC</t>
        </is>
      </c>
      <c r="C410" s="118" t="n">
        <v>1.117</v>
      </c>
      <c r="D410" s="118" t="n">
        <v>0.773</v>
      </c>
      <c r="E410" s="118" t="n">
        <v>0.966</v>
      </c>
      <c r="F410" s="118" t="n">
        <v>0.866</v>
      </c>
      <c r="G410" s="118" t="n">
        <v>0.986</v>
      </c>
      <c r="H410" s="118" t="n">
        <v>1.231</v>
      </c>
      <c r="I410" s="118" t="n">
        <v>0.997</v>
      </c>
      <c r="J410" s="118" t="n">
        <v>-0.041</v>
      </c>
      <c r="K410" s="118" t="n">
        <v>-2.859</v>
      </c>
      <c r="L410" s="119" t="inlineStr">
        <is>
          <t>✓ Lower Risk</t>
        </is>
      </c>
      <c r="M410" s="120" t="n">
        <v>0.014</v>
      </c>
      <c r="N410" s="120" t="n">
        <v>-0.037</v>
      </c>
      <c r="O410" s="120" t="n">
        <v>0.081</v>
      </c>
      <c r="P410" s="120" t="n">
        <v>0.538</v>
      </c>
      <c r="Q410" s="120" t="n">
        <v>0.008999999999999999</v>
      </c>
      <c r="R410" s="117" t="n">
        <v>0</v>
      </c>
      <c r="S410" s="118" t="n">
        <v>-6.819</v>
      </c>
      <c r="T410" s="118" t="n">
        <v>0.001</v>
      </c>
      <c r="U410" s="119" t="inlineStr">
        <is>
          <t>✓ Normal</t>
        </is>
      </c>
      <c r="V410" s="117" t="n">
        <v>0</v>
      </c>
      <c r="W410" s="117" t="n">
        <v>1</v>
      </c>
      <c r="X410" s="117" t="n">
        <v>1</v>
      </c>
      <c r="Y410" s="117" t="n">
        <v>0</v>
      </c>
      <c r="Z410" s="117" t="n">
        <v>0</v>
      </c>
      <c r="AA410" s="117" t="n">
        <v>0</v>
      </c>
      <c r="AB410" s="117" t="n">
        <v>2</v>
      </c>
      <c r="AC410" s="121" t="inlineStr">
        <is>
          <t>⚠ WATCH</t>
        </is>
      </c>
      <c r="AD410" s="118" t="n">
        <v>614300000</v>
      </c>
      <c r="AE410" s="118" t="n">
        <v>-234500000</v>
      </c>
      <c r="AF410" s="118" t="n">
        <v>404300000</v>
      </c>
      <c r="AG410" s="118" t="n">
        <v>0.005</v>
      </c>
      <c r="AH410" s="119" t="inlineStr">
        <is>
          <t>✓ Medium Quality</t>
        </is>
      </c>
      <c r="AI410" s="118" t="n">
        <v>-0.033</v>
      </c>
      <c r="AJ410" s="120" t="n">
        <v>-0.134</v>
      </c>
      <c r="AK410" s="120" t="n">
        <v>0.244</v>
      </c>
      <c r="AL410" s="120" t="n">
        <v>0.152</v>
      </c>
      <c r="AM410" s="120" t="n">
        <v>-0.006</v>
      </c>
      <c r="AN410" s="118" t="n">
        <v>99.7</v>
      </c>
      <c r="AO410" s="119" t="inlineStr">
        <is>
          <t>✓ Good</t>
        </is>
      </c>
      <c r="AP410" s="117" t="n">
        <v>1</v>
      </c>
      <c r="AQ410" s="117" t="n">
        <v>1</v>
      </c>
      <c r="AR410" s="117" t="n">
        <v>0</v>
      </c>
      <c r="AS410" s="117" t="n">
        <v>1</v>
      </c>
      <c r="AT410" s="117" t="n">
        <v>0</v>
      </c>
      <c r="AU410" s="117" t="n">
        <v>1</v>
      </c>
      <c r="AV410" s="117" t="n">
        <v>4</v>
      </c>
      <c r="AW410" s="117" t="inlineStr">
        <is>
          <t>⚠⚠ MULTIPLE RED FLAGS</t>
        </is>
      </c>
      <c r="AX410" s="118" t="n">
        <v>16.2</v>
      </c>
      <c r="AY410" s="119" t="inlineStr">
        <is>
          <t>🟢 VERY LOW RISK</t>
        </is>
      </c>
      <c r="AZ410" s="118" t="n">
        <v>61.9</v>
      </c>
      <c r="BA410" s="118" t="n">
        <v>55.5</v>
      </c>
      <c r="BB410" s="118" t="n">
        <v>143</v>
      </c>
      <c r="BC410" s="118" t="n">
        <v>142.6</v>
      </c>
      <c r="BD410" s="118" t="n">
        <v>57.9</v>
      </c>
      <c r="BE410" s="118" t="n">
        <v>64.2</v>
      </c>
      <c r="BF410" s="120" t="n">
        <v>0.199</v>
      </c>
      <c r="BG410" s="117" t="n">
        <v>0.538</v>
      </c>
      <c r="BH410" s="122" t="n">
        <v>6</v>
      </c>
      <c r="BI410" s="123" t="n">
        <v>1</v>
      </c>
    </row>
    <row r="411" ht="17" customHeight="1">
      <c r="A411" s="117" t="inlineStr">
        <is>
          <t>MCD</t>
        </is>
      </c>
      <c r="B411" s="117" t="inlineStr">
        <is>
          <t>McDONALD’S CORPORATION</t>
        </is>
      </c>
      <c r="C411" s="124" t="inlineStr">
        <is>
          <t>N/A</t>
        </is>
      </c>
      <c r="D411" s="124" t="inlineStr">
        <is>
          <t>N/A</t>
        </is>
      </c>
      <c r="E411" s="118" t="n">
        <v>0.994</v>
      </c>
      <c r="F411" s="118" t="n">
        <v>1.037</v>
      </c>
      <c r="G411" s="118" t="n">
        <v>1.06</v>
      </c>
      <c r="H411" s="118" t="n">
        <v>1.025</v>
      </c>
      <c r="I411" s="118" t="n">
        <v>1</v>
      </c>
      <c r="J411" s="118" t="n">
        <v>-0.033</v>
      </c>
      <c r="K411" s="124" t="inlineStr">
        <is>
          <t>N/A</t>
        </is>
      </c>
      <c r="L411" s="124" t="inlineStr">
        <is>
          <t>N/A</t>
        </is>
      </c>
      <c r="M411" s="120" t="n">
        <v>-0.047</v>
      </c>
      <c r="N411" s="124" t="inlineStr">
        <is>
          <t>N/A</t>
        </is>
      </c>
      <c r="O411" s="120" t="n">
        <v>0.005</v>
      </c>
      <c r="P411" s="120" t="n">
        <v>0.512</v>
      </c>
      <c r="Q411" s="120" t="n">
        <v>-0.005</v>
      </c>
      <c r="R411" s="117" t="n">
        <v>0</v>
      </c>
      <c r="S411" s="118" t="n">
        <v>-6.908</v>
      </c>
      <c r="T411" s="118" t="n">
        <v>0.001</v>
      </c>
      <c r="U411" s="119" t="inlineStr">
        <is>
          <t>✓ Normal</t>
        </is>
      </c>
      <c r="V411" s="117" t="n">
        <v>0</v>
      </c>
      <c r="W411" s="117" t="n">
        <v>0</v>
      </c>
      <c r="X411" s="117" t="n">
        <v>1</v>
      </c>
      <c r="Y411" s="117" t="n">
        <v>0</v>
      </c>
      <c r="Z411" s="117" t="n">
        <v>1</v>
      </c>
      <c r="AA411" s="117" t="n">
        <v>0</v>
      </c>
      <c r="AB411" s="117" t="n">
        <v>2</v>
      </c>
      <c r="AC411" s="121" t="inlineStr">
        <is>
          <t>⚠ WATCH</t>
        </is>
      </c>
      <c r="AD411" s="118" t="n">
        <v>10551000000</v>
      </c>
      <c r="AE411" s="118" t="n">
        <v>-3822000000</v>
      </c>
      <c r="AF411" s="118" t="n">
        <v>8563000000</v>
      </c>
      <c r="AG411" s="118" t="n">
        <v>0.032</v>
      </c>
      <c r="AH411" s="119" t="inlineStr">
        <is>
          <t>✓ Medium Quality</t>
        </is>
      </c>
      <c r="AI411" s="124" t="inlineStr">
        <is>
          <t>N/A</t>
        </is>
      </c>
      <c r="AJ411" s="120" t="n">
        <v>0.037</v>
      </c>
      <c r="AK411" s="124" t="inlineStr">
        <is>
          <t>N/A</t>
        </is>
      </c>
      <c r="AL411" s="120" t="n">
        <v>0.392</v>
      </c>
      <c r="AM411" s="120" t="n">
        <v>0.006</v>
      </c>
      <c r="AN411" s="117" t="n">
        <v>100</v>
      </c>
      <c r="AO411" s="119" t="inlineStr">
        <is>
          <t>✓ Good</t>
        </is>
      </c>
      <c r="AP411" s="117" t="n">
        <v>0</v>
      </c>
      <c r="AQ411" s="117" t="n">
        <v>0</v>
      </c>
      <c r="AR411" s="117" t="n">
        <v>0</v>
      </c>
      <c r="AS411" s="117" t="n">
        <v>1</v>
      </c>
      <c r="AT411" s="117" t="n">
        <v>0</v>
      </c>
      <c r="AU411" s="117" t="n">
        <v>0</v>
      </c>
      <c r="AV411" s="117" t="n">
        <v>1</v>
      </c>
      <c r="AW411" s="119" t="inlineStr">
        <is>
          <t>✓ Clean</t>
        </is>
      </c>
      <c r="AX411" s="118" t="n">
        <v>22.8</v>
      </c>
      <c r="AY411" s="119" t="inlineStr">
        <is>
          <t>🟢 LOW RISK</t>
        </is>
      </c>
      <c r="AZ411" s="118" t="n">
        <v>0</v>
      </c>
      <c r="BA411" s="124" t="inlineStr">
        <is>
          <t>N/A</t>
        </is>
      </c>
      <c r="BB411" s="124" t="inlineStr">
        <is>
          <t>N/A</t>
        </is>
      </c>
      <c r="BC411" s="124" t="inlineStr">
        <is>
          <t>N/A</t>
        </is>
      </c>
      <c r="BD411" s="124" t="inlineStr">
        <is>
          <t>N/A</t>
        </is>
      </c>
      <c r="BE411" s="124" t="inlineStr">
        <is>
          <t>N/A</t>
        </is>
      </c>
      <c r="BF411" s="120" t="n">
        <v>0.709</v>
      </c>
      <c r="BG411" s="117" t="n">
        <v>0.512</v>
      </c>
      <c r="BH411" s="122" t="n">
        <v>3</v>
      </c>
      <c r="BI411" s="123" t="n">
        <v>0.8333333333333334</v>
      </c>
    </row>
    <row r="412" ht="17" customHeight="1">
      <c r="A412" s="117" t="inlineStr">
        <is>
          <t>GNTX</t>
        </is>
      </c>
      <c r="B412" s="117" t="inlineStr">
        <is>
          <t>GENTEX CORPORATION</t>
        </is>
      </c>
      <c r="C412" s="118" t="n">
        <v>1.139</v>
      </c>
      <c r="D412" s="118" t="n">
        <v>0.975</v>
      </c>
      <c r="E412" s="118" t="n">
        <v>0.956</v>
      </c>
      <c r="F412" s="118" t="n">
        <v>1.096</v>
      </c>
      <c r="G412" s="118" t="n">
        <v>0.99</v>
      </c>
      <c r="H412" s="118" t="n">
        <v>1.342</v>
      </c>
      <c r="I412" s="118" t="n">
        <v>1.429</v>
      </c>
      <c r="J412" s="118" t="n">
        <v>-0.06900000000000001</v>
      </c>
      <c r="K412" s="118" t="n">
        <v>-2.821</v>
      </c>
      <c r="L412" s="119" t="inlineStr">
        <is>
          <t>✓ Lower Risk</t>
        </is>
      </c>
      <c r="M412" s="120" t="n">
        <v>-0.021</v>
      </c>
      <c r="N412" s="120" t="n">
        <v>0.331</v>
      </c>
      <c r="O412" s="120" t="n">
        <v>0.361</v>
      </c>
      <c r="P412" s="120" t="n">
        <v>0.68</v>
      </c>
      <c r="Q412" s="120" t="n">
        <v>-0.015</v>
      </c>
      <c r="R412" s="117" t="n">
        <v>0</v>
      </c>
      <c r="S412" s="118" t="n">
        <v>-5.293</v>
      </c>
      <c r="T412" s="118" t="n">
        <v>0.005</v>
      </c>
      <c r="U412" s="119" t="inlineStr">
        <is>
          <t>✓ Normal</t>
        </is>
      </c>
      <c r="V412" s="117" t="n">
        <v>0</v>
      </c>
      <c r="W412" s="117" t="n">
        <v>1</v>
      </c>
      <c r="X412" s="117" t="n">
        <v>1</v>
      </c>
      <c r="Y412" s="117" t="n">
        <v>0</v>
      </c>
      <c r="Z412" s="117" t="n">
        <v>0</v>
      </c>
      <c r="AA412" s="117" t="n">
        <v>0</v>
      </c>
      <c r="AB412" s="117" t="n">
        <v>2</v>
      </c>
      <c r="AC412" s="121" t="inlineStr">
        <is>
          <t>⚠ WATCH</t>
        </is>
      </c>
      <c r="AD412" s="118" t="n">
        <v>587126291</v>
      </c>
      <c r="AE412" s="118" t="n">
        <v>-266899521</v>
      </c>
      <c r="AF412" s="118" t="n">
        <v>384841367</v>
      </c>
      <c r="AG412" s="118" t="n">
        <v>0.023</v>
      </c>
      <c r="AH412" s="119" t="inlineStr">
        <is>
          <t>✓ Medium Quality</t>
        </is>
      </c>
      <c r="AI412" s="118" t="n">
        <v>0.248</v>
      </c>
      <c r="AJ412" s="120" t="n">
        <v>0.096</v>
      </c>
      <c r="AK412" s="120" t="n">
        <v>2.594</v>
      </c>
      <c r="AL412" s="120" t="n">
        <v>0.232</v>
      </c>
      <c r="AM412" s="124" t="inlineStr">
        <is>
          <t>N/A</t>
        </is>
      </c>
      <c r="AN412" s="117" t="n">
        <v>70</v>
      </c>
      <c r="AO412" s="119" t="inlineStr">
        <is>
          <t>✓ Good</t>
        </is>
      </c>
      <c r="AP412" s="117" t="n">
        <v>0</v>
      </c>
      <c r="AQ412" s="117" t="n">
        <v>0</v>
      </c>
      <c r="AR412" s="117" t="n">
        <v>0</v>
      </c>
      <c r="AS412" s="117" t="n">
        <v>1</v>
      </c>
      <c r="AT412" s="117" t="n">
        <v>1</v>
      </c>
      <c r="AU412" s="117" t="n">
        <v>0</v>
      </c>
      <c r="AV412" s="117" t="n">
        <v>2</v>
      </c>
      <c r="AW412" s="121" t="inlineStr">
        <is>
          <t>⚠ WATCH</t>
        </is>
      </c>
      <c r="AX412" s="118" t="n">
        <v>17.1</v>
      </c>
      <c r="AY412" s="119" t="inlineStr">
        <is>
          <t>🟢 VERY LOW RISK</t>
        </is>
      </c>
      <c r="AZ412" s="118" t="n">
        <v>53.1</v>
      </c>
      <c r="BA412" s="118" t="n">
        <v>46.6</v>
      </c>
      <c r="BB412" s="118" t="n">
        <v>113</v>
      </c>
      <c r="BC412" s="118" t="n">
        <v>103.3</v>
      </c>
      <c r="BD412" s="118" t="n">
        <v>54.5</v>
      </c>
      <c r="BE412" s="118" t="n">
        <v>39.8</v>
      </c>
      <c r="BF412" s="120" t="n">
        <v>0.166</v>
      </c>
      <c r="BG412" s="117" t="n">
        <v>0.68</v>
      </c>
      <c r="BH412" s="122" t="n">
        <v>4</v>
      </c>
      <c r="BI412" s="123" t="n">
        <v>1</v>
      </c>
    </row>
    <row r="413" ht="17" customHeight="1">
      <c r="A413" s="117" t="inlineStr">
        <is>
          <t>PM</t>
        </is>
      </c>
      <c r="B413" s="117" t="inlineStr">
        <is>
          <t>Philip Morris International Inc.</t>
        </is>
      </c>
      <c r="C413" s="118" t="n">
        <v>1.124</v>
      </c>
      <c r="D413" s="118" t="n">
        <v>0.966</v>
      </c>
      <c r="E413" s="118" t="n">
        <v>0.982</v>
      </c>
      <c r="F413" s="118" t="n">
        <v>1.073</v>
      </c>
      <c r="G413" s="118" t="n">
        <v>0.951</v>
      </c>
      <c r="H413" s="118" t="n">
        <v>0.949</v>
      </c>
      <c r="I413" s="118" t="n">
        <v>0.962</v>
      </c>
      <c r="J413" s="118" t="n">
        <v>-0.013</v>
      </c>
      <c r="K413" s="118" t="n">
        <v>-2.37</v>
      </c>
      <c r="L413" s="119" t="inlineStr">
        <is>
          <t>✓ Lower Risk</t>
        </is>
      </c>
      <c r="M413" s="120" t="n">
        <v>0</v>
      </c>
      <c r="N413" s="120" t="n">
        <v>0.283</v>
      </c>
      <c r="O413" s="120" t="n">
        <v>0.731</v>
      </c>
      <c r="P413" s="120" t="n">
        <v>0.838</v>
      </c>
      <c r="Q413" s="120" t="n">
        <v>0.05</v>
      </c>
      <c r="R413" s="117" t="n">
        <v>0</v>
      </c>
      <c r="S413" s="118" t="n">
        <v>-4.675</v>
      </c>
      <c r="T413" s="118" t="n">
        <v>0.008999999999999999</v>
      </c>
      <c r="U413" s="119" t="inlineStr">
        <is>
          <t>✓ Normal</t>
        </is>
      </c>
      <c r="V413" s="117" t="n">
        <v>1</v>
      </c>
      <c r="W413" s="117" t="n">
        <v>1</v>
      </c>
      <c r="X413" s="117" t="n">
        <v>1</v>
      </c>
      <c r="Y413" s="117" t="n">
        <v>0</v>
      </c>
      <c r="Z413" s="117" t="n">
        <v>1</v>
      </c>
      <c r="AA413" s="117" t="n">
        <v>1</v>
      </c>
      <c r="AB413" s="117" t="n">
        <v>5</v>
      </c>
      <c r="AC413" s="121" t="inlineStr">
        <is>
          <t>⚠⚠ SERIOUS CONCERN</t>
        </is>
      </c>
      <c r="AD413" s="118" t="n">
        <v>12233000000</v>
      </c>
      <c r="AE413" s="118" t="n">
        <v>-3967000000</v>
      </c>
      <c r="AF413" s="118" t="n">
        <v>11348000000</v>
      </c>
      <c r="AG413" s="118" t="n">
        <v>0.047</v>
      </c>
      <c r="AH413" s="119" t="inlineStr">
        <is>
          <t>✓ Medium Quality</t>
        </is>
      </c>
      <c r="AI413" s="118" t="n">
        <v>0.207</v>
      </c>
      <c r="AJ413" s="120" t="n">
        <v>0.073</v>
      </c>
      <c r="AK413" s="120" t="n">
        <v>2.826</v>
      </c>
      <c r="AL413" s="120" t="n">
        <v>0.301</v>
      </c>
      <c r="AM413" s="124" t="inlineStr">
        <is>
          <t>N/A</t>
        </is>
      </c>
      <c r="AN413" s="117" t="n">
        <v>70</v>
      </c>
      <c r="AO413" s="119" t="inlineStr">
        <is>
          <t>✓ Good</t>
        </is>
      </c>
      <c r="AP413" s="117" t="n">
        <v>0</v>
      </c>
      <c r="AQ413" s="117" t="n">
        <v>0</v>
      </c>
      <c r="AR413" s="117" t="n">
        <v>0</v>
      </c>
      <c r="AS413" s="117" t="n">
        <v>0</v>
      </c>
      <c r="AT413" s="117" t="n">
        <v>1</v>
      </c>
      <c r="AU413" s="117" t="n">
        <v>0</v>
      </c>
      <c r="AV413" s="117" t="n">
        <v>1</v>
      </c>
      <c r="AW413" s="119" t="inlineStr">
        <is>
          <t>✓ Clean</t>
        </is>
      </c>
      <c r="AX413" s="118" t="n">
        <v>28.7</v>
      </c>
      <c r="AY413" s="119" t="inlineStr">
        <is>
          <t>🟢 LOW RISK</t>
        </is>
      </c>
      <c r="AZ413" s="118" t="n">
        <v>41.1</v>
      </c>
      <c r="BA413" s="118" t="n">
        <v>36.5</v>
      </c>
      <c r="BB413" s="118" t="n">
        <v>313.4</v>
      </c>
      <c r="BC413" s="118" t="n">
        <v>258.9</v>
      </c>
      <c r="BD413" s="118" t="n">
        <v>120.3</v>
      </c>
      <c r="BE413" s="118" t="n">
        <v>108.2</v>
      </c>
      <c r="BF413" s="120" t="n">
        <v>3.146</v>
      </c>
      <c r="BG413" s="117" t="n">
        <v>0.838</v>
      </c>
      <c r="BH413" s="122" t="n">
        <v>6</v>
      </c>
      <c r="BI413" s="123" t="n">
        <v>1</v>
      </c>
    </row>
    <row r="414" ht="17" customHeight="1">
      <c r="A414" s="117" t="inlineStr">
        <is>
          <t>AMD</t>
        </is>
      </c>
      <c r="B414" s="117" t="inlineStr">
        <is>
          <t>ADVANCED MICRO DEVICES INC</t>
        </is>
      </c>
      <c r="C414" s="118" t="n">
        <v>0.759</v>
      </c>
      <c r="D414" s="118" t="n">
        <v>0.997</v>
      </c>
      <c r="E414" s="118" t="n">
        <v>0.887</v>
      </c>
      <c r="F414" s="118" t="n">
        <v>1.343</v>
      </c>
      <c r="G414" s="118" t="n">
        <v>1.435</v>
      </c>
      <c r="H414" s="118" t="n">
        <v>1.108</v>
      </c>
      <c r="I414" s="118" t="n">
        <v>1</v>
      </c>
      <c r="J414" s="118" t="n">
        <v>-0.044</v>
      </c>
      <c r="K414" s="118" t="n">
        <v>-2.617</v>
      </c>
      <c r="L414" s="119" t="inlineStr">
        <is>
          <t>✓ Lower Risk</t>
        </is>
      </c>
      <c r="M414" s="120" t="n">
        <v>0.049</v>
      </c>
      <c r="N414" s="120" t="n">
        <v>0.014</v>
      </c>
      <c r="O414" s="120" t="n">
        <v>0.247</v>
      </c>
      <c r="P414" s="120" t="n">
        <v>0.898</v>
      </c>
      <c r="Q414" s="120" t="n">
        <v>0.033</v>
      </c>
      <c r="R414" s="117" t="n">
        <v>1</v>
      </c>
      <c r="S414" s="118" t="n">
        <v>-2.689</v>
      </c>
      <c r="T414" s="118" t="n">
        <v>0.064</v>
      </c>
      <c r="U414" s="121" t="inlineStr">
        <is>
          <t>⚠ HIGH RISK</t>
        </is>
      </c>
      <c r="V414" s="117" t="n">
        <v>0</v>
      </c>
      <c r="W414" s="117" t="n">
        <v>0</v>
      </c>
      <c r="X414" s="117" t="n">
        <v>1</v>
      </c>
      <c r="Y414" s="117" t="n">
        <v>0</v>
      </c>
      <c r="Z414" s="117" t="n">
        <v>1</v>
      </c>
      <c r="AA414" s="117" t="n">
        <v>1</v>
      </c>
      <c r="AB414" s="117" t="n">
        <v>3</v>
      </c>
      <c r="AC414" s="121" t="inlineStr">
        <is>
          <t>⚠ WATCH</t>
        </is>
      </c>
      <c r="AD414" s="118" t="n">
        <v>7709000000</v>
      </c>
      <c r="AE414" s="118" t="n">
        <v>-5533000000</v>
      </c>
      <c r="AF414" s="118" t="n">
        <v>4335000000</v>
      </c>
      <c r="AG414" s="118" t="n">
        <v>0.03</v>
      </c>
      <c r="AH414" s="119" t="inlineStr">
        <is>
          <t>✓ Medium Quality</t>
        </is>
      </c>
      <c r="AI414" s="118" t="n">
        <v>0.02</v>
      </c>
      <c r="AJ414" s="120" t="n">
        <v>0.343</v>
      </c>
      <c r="AK414" s="120" t="n">
        <v>0.058</v>
      </c>
      <c r="AL414" s="120" t="n">
        <v>0.223</v>
      </c>
      <c r="AM414" s="120" t="n">
        <v>0.001</v>
      </c>
      <c r="AN414" s="117" t="n">
        <v>100</v>
      </c>
      <c r="AO414" s="119" t="inlineStr">
        <is>
          <t>✓ Good</t>
        </is>
      </c>
      <c r="AP414" s="117" t="n">
        <v>0</v>
      </c>
      <c r="AQ414" s="117" t="n">
        <v>0</v>
      </c>
      <c r="AR414" s="117" t="n">
        <v>0</v>
      </c>
      <c r="AS414" s="117" t="n">
        <v>1</v>
      </c>
      <c r="AT414" s="117" t="n">
        <v>1</v>
      </c>
      <c r="AU414" s="117" t="n">
        <v>1</v>
      </c>
      <c r="AV414" s="117" t="n">
        <v>3</v>
      </c>
      <c r="AW414" s="121" t="inlineStr">
        <is>
          <t>⚠ WATCH</t>
        </is>
      </c>
      <c r="AX414" s="118" t="n">
        <v>29.3</v>
      </c>
      <c r="AY414" s="119" t="inlineStr">
        <is>
          <t>🟢 LOW RISK</t>
        </is>
      </c>
      <c r="AZ414" s="118" t="n">
        <v>66.5</v>
      </c>
      <c r="BA414" s="118" t="n">
        <v>87.7</v>
      </c>
      <c r="BB414" s="118" t="n">
        <v>165.3</v>
      </c>
      <c r="BC414" s="118" t="n">
        <v>160.3</v>
      </c>
      <c r="BD414" s="118" t="n">
        <v>61.1</v>
      </c>
      <c r="BE414" s="118" t="n">
        <v>55.6</v>
      </c>
      <c r="BF414" s="120" t="n">
        <v>-0.025</v>
      </c>
      <c r="BG414" s="117" t="n">
        <v>0.898</v>
      </c>
      <c r="BH414" s="122" t="n">
        <v>7</v>
      </c>
      <c r="BI414" s="123" t="n">
        <v>1</v>
      </c>
    </row>
    <row r="415" ht="17" customHeight="1">
      <c r="A415" s="117" t="inlineStr">
        <is>
          <t>HQY</t>
        </is>
      </c>
      <c r="B415" s="117" t="inlineStr">
        <is>
          <t>HEALTHEQUITY, INC.</t>
        </is>
      </c>
      <c r="C415" s="118" t="n">
        <v>0.276</v>
      </c>
      <c r="D415" s="118" t="n">
        <v>3.233</v>
      </c>
      <c r="E415" s="118" t="n">
        <v>0.985</v>
      </c>
      <c r="F415" s="118" t="n">
        <v>3.798</v>
      </c>
      <c r="G415" s="118" t="n">
        <v>1.001</v>
      </c>
      <c r="H415" s="118" t="n">
        <v>0.239</v>
      </c>
      <c r="I415" s="118" t="n">
        <v>0.974</v>
      </c>
      <c r="J415" s="118" t="n">
        <v>-0.07199999999999999</v>
      </c>
      <c r="K415" s="118" t="n">
        <v>0.327</v>
      </c>
      <c r="L415" s="121" t="inlineStr">
        <is>
          <t>⚠ MANIPULATOR RISK</t>
        </is>
      </c>
      <c r="M415" s="120" t="n">
        <v>-0.042</v>
      </c>
      <c r="N415" s="120" t="n">
        <v>0.034</v>
      </c>
      <c r="O415" s="120" t="n">
        <v>-0.002</v>
      </c>
      <c r="P415" s="120" t="n">
        <v>0.905</v>
      </c>
      <c r="Q415" s="120" t="n">
        <v>0.036</v>
      </c>
      <c r="R415" s="117" t="n">
        <v>0</v>
      </c>
      <c r="S415" s="118" t="n">
        <v>-6.07</v>
      </c>
      <c r="T415" s="118" t="n">
        <v>0.002</v>
      </c>
      <c r="U415" s="119" t="inlineStr">
        <is>
          <t>✓ Normal</t>
        </is>
      </c>
      <c r="V415" s="117" t="n">
        <v>1</v>
      </c>
      <c r="W415" s="117" t="n">
        <v>0</v>
      </c>
      <c r="X415" s="117" t="n">
        <v>0</v>
      </c>
      <c r="Y415" s="117" t="n">
        <v>1</v>
      </c>
      <c r="Z415" s="117" t="n">
        <v>1</v>
      </c>
      <c r="AA415" s="117" t="n">
        <v>0</v>
      </c>
      <c r="AB415" s="117" t="n">
        <v>3</v>
      </c>
      <c r="AC415" s="121" t="inlineStr">
        <is>
          <t>⚠ WATCH</t>
        </is>
      </c>
      <c r="AD415" s="118" t="n">
        <v>457094000</v>
      </c>
      <c r="AE415" s="118" t="n">
        <v>-47140000</v>
      </c>
      <c r="AF415" s="118" t="n">
        <v>215201000</v>
      </c>
      <c r="AG415" s="118" t="n">
        <v>-0.057</v>
      </c>
      <c r="AH415" s="119" t="inlineStr">
        <is>
          <t>✓ Medium Quality</t>
        </is>
      </c>
      <c r="AI415" s="118" t="n">
        <v>0.048</v>
      </c>
      <c r="AJ415" s="120" t="n">
        <v>2.798</v>
      </c>
      <c r="AK415" s="120" t="n">
        <v>0.017</v>
      </c>
      <c r="AL415" s="120" t="n">
        <v>1.991</v>
      </c>
      <c r="AM415" s="124" t="inlineStr">
        <is>
          <t>N/A</t>
        </is>
      </c>
      <c r="AN415" s="117" t="n">
        <v>100</v>
      </c>
      <c r="AO415" s="119" t="inlineStr">
        <is>
          <t>✓ Good</t>
        </is>
      </c>
      <c r="AP415" s="117" t="n">
        <v>0</v>
      </c>
      <c r="AQ415" s="117" t="n">
        <v>0</v>
      </c>
      <c r="AR415" s="117" t="n">
        <v>1</v>
      </c>
      <c r="AS415" s="117" t="n">
        <v>0</v>
      </c>
      <c r="AT415" s="117" t="n">
        <v>1</v>
      </c>
      <c r="AU415" s="117" t="n">
        <v>0</v>
      </c>
      <c r="AV415" s="117" t="n">
        <v>2</v>
      </c>
      <c r="AW415" s="121" t="inlineStr">
        <is>
          <t>⚠ WATCH</t>
        </is>
      </c>
      <c r="AX415" s="118" t="n">
        <v>28.7</v>
      </c>
      <c r="AY415" s="119" t="inlineStr">
        <is>
          <t>🟢 LOW RISK</t>
        </is>
      </c>
      <c r="AZ415" s="118" t="n">
        <v>196.7</v>
      </c>
      <c r="BA415" s="118" t="n">
        <v>712.7</v>
      </c>
      <c r="BB415" s="118" t="n">
        <v>0.2</v>
      </c>
      <c r="BC415" s="118" t="n">
        <v>0.5</v>
      </c>
      <c r="BD415" s="118" t="n">
        <v>11.1</v>
      </c>
      <c r="BE415" s="118" t="n">
        <v>12.4</v>
      </c>
      <c r="BF415" s="120" t="n">
        <v>0.224</v>
      </c>
      <c r="BG415" s="117" t="n">
        <v>0.905</v>
      </c>
      <c r="BH415" s="122" t="n">
        <v>5</v>
      </c>
      <c r="BI415" s="123" t="n">
        <v>1</v>
      </c>
    </row>
    <row r="416" ht="17" customHeight="1">
      <c r="A416" s="117" t="inlineStr">
        <is>
          <t>ENTG</t>
        </is>
      </c>
      <c r="B416" s="117" t="inlineStr">
        <is>
          <t>Entegris, Inc.</t>
        </is>
      </c>
      <c r="C416" s="124" t="inlineStr">
        <is>
          <t>N/A</t>
        </is>
      </c>
      <c r="D416" s="118" t="n">
        <v>1.033</v>
      </c>
      <c r="E416" s="118" t="n">
        <v>0.99</v>
      </c>
      <c r="F416" s="118" t="n">
        <v>0.986</v>
      </c>
      <c r="G416" s="118" t="n">
        <v>1.118</v>
      </c>
      <c r="H416" s="118" t="n">
        <v>1.023</v>
      </c>
      <c r="I416" s="118" t="n">
        <v>1</v>
      </c>
      <c r="J416" s="118" t="n">
        <v>-0.055</v>
      </c>
      <c r="K416" s="124" t="inlineStr">
        <is>
          <t>N/A</t>
        </is>
      </c>
      <c r="L416" s="124" t="inlineStr">
        <is>
          <t>N/A</t>
        </is>
      </c>
      <c r="M416" s="120" t="n">
        <v>-0.001</v>
      </c>
      <c r="N416" s="124" t="inlineStr">
        <is>
          <t>N/A</t>
        </is>
      </c>
      <c r="O416" s="120" t="n">
        <v>0.115</v>
      </c>
      <c r="P416" s="120" t="n">
        <v>0.761</v>
      </c>
      <c r="Q416" s="120" t="n">
        <v>-0.007</v>
      </c>
      <c r="R416" s="117" t="n">
        <v>1</v>
      </c>
      <c r="S416" s="118" t="n">
        <v>-3.174</v>
      </c>
      <c r="T416" s="118" t="n">
        <v>0.04</v>
      </c>
      <c r="U416" s="121" t="inlineStr">
        <is>
          <t>⚠ HIGH RISK</t>
        </is>
      </c>
      <c r="V416" s="117" t="n">
        <v>0</v>
      </c>
      <c r="W416" s="117" t="n">
        <v>0</v>
      </c>
      <c r="X416" s="117" t="n">
        <v>1</v>
      </c>
      <c r="Y416" s="117" t="n">
        <v>1</v>
      </c>
      <c r="Z416" s="117" t="n">
        <v>1</v>
      </c>
      <c r="AA416" s="117" t="n">
        <v>0</v>
      </c>
      <c r="AB416" s="117" t="n">
        <v>3</v>
      </c>
      <c r="AC416" s="121" t="inlineStr">
        <is>
          <t>⚠ WATCH</t>
        </is>
      </c>
      <c r="AD416" s="118" t="n">
        <v>695400000</v>
      </c>
      <c r="AE416" s="118" t="n">
        <v>-300800000</v>
      </c>
      <c r="AF416" s="118" t="n">
        <v>235600000</v>
      </c>
      <c r="AG416" s="118" t="n">
        <v>-0.019</v>
      </c>
      <c r="AH416" s="119" t="inlineStr">
        <is>
          <t>✓ Medium Quality</t>
        </is>
      </c>
      <c r="AI416" s="124" t="inlineStr">
        <is>
          <t>N/A</t>
        </is>
      </c>
      <c r="AJ416" s="120" t="n">
        <v>-0.014</v>
      </c>
      <c r="AK416" s="124" t="inlineStr">
        <is>
          <t>N/A</t>
        </is>
      </c>
      <c r="AL416" s="120" t="n">
        <v>0.218</v>
      </c>
      <c r="AM416" s="120" t="n">
        <v>0.003</v>
      </c>
      <c r="AN416" s="117" t="n">
        <v>100</v>
      </c>
      <c r="AO416" s="119" t="inlineStr">
        <is>
          <t>✓ Good</t>
        </is>
      </c>
      <c r="AP416" s="117" t="n">
        <v>1</v>
      </c>
      <c r="AQ416" s="117" t="n">
        <v>0</v>
      </c>
      <c r="AR416" s="117" t="n">
        <v>1</v>
      </c>
      <c r="AS416" s="117" t="n">
        <v>1</v>
      </c>
      <c r="AT416" s="117" t="n">
        <v>0</v>
      </c>
      <c r="AU416" s="117" t="n">
        <v>1</v>
      </c>
      <c r="AV416" s="117" t="n">
        <v>4</v>
      </c>
      <c r="AW416" s="117" t="inlineStr">
        <is>
          <t>⚠⚠ MULTIPLE RED FLAGS</t>
        </is>
      </c>
      <c r="AX416" s="118" t="n">
        <v>34.3</v>
      </c>
      <c r="AY416" s="119" t="inlineStr">
        <is>
          <t>🟢 LOW RISK</t>
        </is>
      </c>
      <c r="AZ416" s="118" t="n">
        <v>0</v>
      </c>
      <c r="BA416" s="124" t="inlineStr">
        <is>
          <t>N/A</t>
        </is>
      </c>
      <c r="BB416" s="118" t="n">
        <v>133.8</v>
      </c>
      <c r="BC416" s="118" t="n">
        <v>114.9</v>
      </c>
      <c r="BD416" s="118" t="n">
        <v>35.7</v>
      </c>
      <c r="BE416" s="118" t="n">
        <v>34.8</v>
      </c>
      <c r="BF416" s="120" t="n">
        <v>0.07099999999999999</v>
      </c>
      <c r="BG416" s="117" t="n">
        <v>0.761</v>
      </c>
      <c r="BH416" s="122" t="n">
        <v>8</v>
      </c>
      <c r="BI416" s="123" t="n">
        <v>0.8333333333333334</v>
      </c>
    </row>
    <row r="417" ht="17" customHeight="1">
      <c r="A417" s="117" t="inlineStr">
        <is>
          <t>VICR</t>
        </is>
      </c>
      <c r="B417" s="117" t="inlineStr">
        <is>
          <t>VICOR CORPORATION</t>
        </is>
      </c>
      <c r="C417" s="118" t="n">
        <v>0.91</v>
      </c>
      <c r="D417" s="118" t="n">
        <v>0.894</v>
      </c>
      <c r="E417" s="118" t="n">
        <v>1.632</v>
      </c>
      <c r="F417" s="118" t="n">
        <v>1.261</v>
      </c>
      <c r="G417" s="118" t="n">
        <v>0.881</v>
      </c>
      <c r="H417" s="118" t="n">
        <v>0.8110000000000001</v>
      </c>
      <c r="I417" s="118" t="n">
        <v>0.853</v>
      </c>
      <c r="J417" s="118" t="n">
        <v>-0.027</v>
      </c>
      <c r="K417" s="118" t="n">
        <v>-2.189</v>
      </c>
      <c r="L417" s="121" t="inlineStr">
        <is>
          <t>⚠ MANIPULATOR RISK</t>
        </is>
      </c>
      <c r="M417" s="120" t="n">
        <v>-0.032</v>
      </c>
      <c r="N417" s="120" t="n">
        <v>0.083</v>
      </c>
      <c r="O417" s="120" t="n">
        <v>-0.157</v>
      </c>
      <c r="P417" s="120" t="n">
        <v>0.299</v>
      </c>
      <c r="Q417" s="120" t="n">
        <v>0.141</v>
      </c>
      <c r="R417" s="117" t="n">
        <v>0</v>
      </c>
      <c r="S417" s="118" t="n">
        <v>-7.366</v>
      </c>
      <c r="T417" s="118" t="n">
        <v>0.001</v>
      </c>
      <c r="U417" s="119" t="inlineStr">
        <is>
          <t>✓ Normal</t>
        </is>
      </c>
      <c r="V417" s="117" t="n">
        <v>1</v>
      </c>
      <c r="W417" s="117" t="n">
        <v>0</v>
      </c>
      <c r="X417" s="117" t="n">
        <v>0</v>
      </c>
      <c r="Y417" s="117" t="n">
        <v>0</v>
      </c>
      <c r="Z417" s="117" t="n">
        <v>1</v>
      </c>
      <c r="AA417" s="117" t="n">
        <v>1</v>
      </c>
      <c r="AB417" s="117" t="n">
        <v>3</v>
      </c>
      <c r="AC417" s="121" t="inlineStr">
        <is>
          <t>⚠ WATCH</t>
        </is>
      </c>
      <c r="AD417" s="118" t="n">
        <v>139548000</v>
      </c>
      <c r="AE417" s="118" t="n">
        <v>-20318000</v>
      </c>
      <c r="AF417" s="118" t="n">
        <v>118556000</v>
      </c>
      <c r="AG417" s="118" t="n">
        <v>-0.001</v>
      </c>
      <c r="AH417" s="119" t="inlineStr">
        <is>
          <t>✓ Medium Quality</t>
        </is>
      </c>
      <c r="AI417" s="118" t="n">
        <v>0.147</v>
      </c>
      <c r="AJ417" s="120" t="n">
        <v>0.261</v>
      </c>
      <c r="AK417" s="120" t="n">
        <v>0.5629999999999999</v>
      </c>
      <c r="AL417" s="120" t="n">
        <v>0.308</v>
      </c>
      <c r="AM417" s="120" t="n">
        <v>-0.004</v>
      </c>
      <c r="AN417" s="118" t="n">
        <v>99.8</v>
      </c>
      <c r="AO417" s="119" t="inlineStr">
        <is>
          <t>✓ Good</t>
        </is>
      </c>
      <c r="AP417" s="117" t="n">
        <v>0</v>
      </c>
      <c r="AQ417" s="117" t="n">
        <v>0</v>
      </c>
      <c r="AR417" s="117" t="n">
        <v>0</v>
      </c>
      <c r="AS417" s="117" t="n">
        <v>0</v>
      </c>
      <c r="AT417" s="117" t="n">
        <v>1</v>
      </c>
      <c r="AU417" s="117" t="n">
        <v>1</v>
      </c>
      <c r="AV417" s="117" t="n">
        <v>2</v>
      </c>
      <c r="AW417" s="121" t="inlineStr">
        <is>
          <t>⚠ WATCH</t>
        </is>
      </c>
      <c r="AX417" s="118" t="n">
        <v>19.7</v>
      </c>
      <c r="AY417" s="119" t="inlineStr">
        <is>
          <t>🟢 VERY LOW RISK</t>
        </is>
      </c>
      <c r="AZ417" s="118" t="n">
        <v>49</v>
      </c>
      <c r="BA417" s="118" t="n">
        <v>53.8</v>
      </c>
      <c r="BB417" s="118" t="n">
        <v>172.5</v>
      </c>
      <c r="BC417" s="118" t="n">
        <v>221.1</v>
      </c>
      <c r="BD417" s="118" t="n">
        <v>23.2</v>
      </c>
      <c r="BE417" s="118" t="n">
        <v>18.2</v>
      </c>
      <c r="BF417" s="120" t="n">
        <v>-0.254</v>
      </c>
      <c r="BG417" s="117" t="n">
        <v>0.299</v>
      </c>
      <c r="BH417" s="122" t="n">
        <v>5</v>
      </c>
      <c r="BI417" s="123" t="n">
        <v>1</v>
      </c>
    </row>
    <row r="418" ht="17" customHeight="1">
      <c r="A418" s="117" t="inlineStr">
        <is>
          <t>CVNA</t>
        </is>
      </c>
      <c r="B418" s="117" t="inlineStr">
        <is>
          <t>CARVANA CO.</t>
        </is>
      </c>
      <c r="C418" s="118" t="n">
        <v>0.544</v>
      </c>
      <c r="D418" s="118" t="n">
        <v>1.02</v>
      </c>
      <c r="E418" s="118" t="n">
        <v>1.231</v>
      </c>
      <c r="F418" s="118" t="n">
        <v>1.486</v>
      </c>
      <c r="G418" s="118" t="n">
        <v>1.269</v>
      </c>
      <c r="H418" s="118" t="n">
        <v>0.829</v>
      </c>
      <c r="I418" s="118" t="n">
        <v>0.8129999999999999</v>
      </c>
      <c r="J418" s="118" t="n">
        <v>0.028</v>
      </c>
      <c r="K418" s="118" t="n">
        <v>-2.109</v>
      </c>
      <c r="L418" s="121" t="inlineStr">
        <is>
          <t>⚠ MANIPULATOR RISK</t>
        </is>
      </c>
      <c r="M418" s="120" t="n">
        <v>0.066</v>
      </c>
      <c r="N418" s="120" t="n">
        <v>-0.008999999999999999</v>
      </c>
      <c r="O418" s="120" t="n">
        <v>0.12</v>
      </c>
      <c r="P418" s="120" t="n">
        <v>0.801</v>
      </c>
      <c r="Q418" s="120" t="n">
        <v>0.082</v>
      </c>
      <c r="R418" s="117" t="n">
        <v>0</v>
      </c>
      <c r="S418" s="118" t="n">
        <v>-6.17</v>
      </c>
      <c r="T418" s="118" t="n">
        <v>0.002</v>
      </c>
      <c r="U418" s="119" t="inlineStr">
        <is>
          <t>✓ Normal</t>
        </is>
      </c>
      <c r="V418" s="117" t="n">
        <v>1</v>
      </c>
      <c r="W418" s="117" t="n">
        <v>0</v>
      </c>
      <c r="X418" s="117" t="n">
        <v>1</v>
      </c>
      <c r="Y418" s="117" t="n">
        <v>1</v>
      </c>
      <c r="Z418" s="117" t="n">
        <v>1</v>
      </c>
      <c r="AA418" s="117" t="n">
        <v>1</v>
      </c>
      <c r="AB418" s="117" t="n">
        <v>5</v>
      </c>
      <c r="AC418" s="121" t="inlineStr">
        <is>
          <t>⚠⚠ SERIOUS CONCERN</t>
        </is>
      </c>
      <c r="AD418" s="118" t="n">
        <v>1036000000</v>
      </c>
      <c r="AE418" s="118" t="n">
        <v>-230000000</v>
      </c>
      <c r="AF418" s="118" t="n">
        <v>1407000000</v>
      </c>
      <c r="AG418" s="118" t="n">
        <v>0.055</v>
      </c>
      <c r="AH418" s="119" t="inlineStr">
        <is>
          <t>✓ Medium Quality</t>
        </is>
      </c>
      <c r="AI418" s="118" t="n">
        <v>-0.191</v>
      </c>
      <c r="AJ418" s="120" t="n">
        <v>0.486</v>
      </c>
      <c r="AK418" s="120" t="n">
        <v>-0.394</v>
      </c>
      <c r="AL418" s="120" t="n">
        <v>0.051</v>
      </c>
      <c r="AM418" s="120" t="n">
        <v>-0.001</v>
      </c>
      <c r="AN418" s="118" t="n">
        <v>80.2</v>
      </c>
      <c r="AO418" s="119" t="inlineStr">
        <is>
          <t>✓ Good</t>
        </is>
      </c>
      <c r="AP418" s="117" t="n">
        <v>0</v>
      </c>
      <c r="AQ418" s="117" t="n">
        <v>0</v>
      </c>
      <c r="AR418" s="117" t="n">
        <v>1</v>
      </c>
      <c r="AS418" s="117" t="n">
        <v>0</v>
      </c>
      <c r="AT418" s="117" t="n">
        <v>0</v>
      </c>
      <c r="AU418" s="117" t="n">
        <v>0</v>
      </c>
      <c r="AV418" s="117" t="n">
        <v>1</v>
      </c>
      <c r="AW418" s="119" t="inlineStr">
        <is>
          <t>✓ Clean</t>
        </is>
      </c>
      <c r="AX418" s="118" t="n">
        <v>28.1</v>
      </c>
      <c r="AY418" s="119" t="inlineStr">
        <is>
          <t>🟢 LOW RISK</t>
        </is>
      </c>
      <c r="AZ418" s="118" t="n">
        <v>4.4</v>
      </c>
      <c r="BA418" s="118" t="n">
        <v>8.1</v>
      </c>
      <c r="BB418" s="118" t="n">
        <v>54.5</v>
      </c>
      <c r="BC418" s="118" t="n">
        <v>54.4</v>
      </c>
      <c r="BD418" s="118" t="n">
        <v>5.3</v>
      </c>
      <c r="BE418" s="118" t="n">
        <v>8</v>
      </c>
      <c r="BF418" s="124" t="inlineStr">
        <is>
          <t>N/A</t>
        </is>
      </c>
      <c r="BG418" s="117" t="n">
        <v>0.801</v>
      </c>
      <c r="BH418" s="122" t="n">
        <v>6</v>
      </c>
      <c r="BI418" s="123" t="n">
        <v>1</v>
      </c>
    </row>
    <row r="419" ht="17" customHeight="1">
      <c r="A419" s="117" t="inlineStr">
        <is>
          <t>RMBS</t>
        </is>
      </c>
      <c r="B419" s="117" t="inlineStr">
        <is>
          <t>RAMBUS INC</t>
        </is>
      </c>
      <c r="C419" s="118" t="n">
        <v>0.29</v>
      </c>
      <c r="D419" s="118" t="n">
        <v>3.059</v>
      </c>
      <c r="E419" s="118" t="n">
        <v>0.65</v>
      </c>
      <c r="F419" s="118" t="n">
        <v>3.858</v>
      </c>
      <c r="G419" s="118" t="n">
        <v>1.235</v>
      </c>
      <c r="H419" s="118" t="n">
        <v>0.287</v>
      </c>
      <c r="I419" s="118" t="n">
        <v>0.652</v>
      </c>
      <c r="J419" s="118" t="n">
        <v>-0.08500000000000001</v>
      </c>
      <c r="K419" s="118" t="n">
        <v>0.229</v>
      </c>
      <c r="L419" s="121" t="inlineStr">
        <is>
          <t>⚠ MANIPULATOR RISK</t>
        </is>
      </c>
      <c r="M419" s="120" t="n">
        <v>0.108</v>
      </c>
      <c r="N419" s="120" t="n">
        <v>0.05</v>
      </c>
      <c r="O419" s="120" t="n">
        <v>-0.002</v>
      </c>
      <c r="P419" s="120" t="n">
        <v>0.8070000000000001</v>
      </c>
      <c r="Q419" s="120" t="n">
        <v>0.017</v>
      </c>
      <c r="R419" s="117" t="n">
        <v>1</v>
      </c>
      <c r="S419" s="118" t="n">
        <v>-3.02</v>
      </c>
      <c r="T419" s="118" t="n">
        <v>0.047</v>
      </c>
      <c r="U419" s="121" t="inlineStr">
        <is>
          <t>⚠ HIGH RISK</t>
        </is>
      </c>
      <c r="V419" s="117" t="n">
        <v>1</v>
      </c>
      <c r="W419" s="117" t="n">
        <v>0</v>
      </c>
      <c r="X419" s="117" t="n">
        <v>0</v>
      </c>
      <c r="Y419" s="117" t="n">
        <v>1</v>
      </c>
      <c r="Z419" s="117" t="n">
        <v>0</v>
      </c>
      <c r="AA419" s="117" t="n">
        <v>1</v>
      </c>
      <c r="AB419" s="117" t="n">
        <v>3</v>
      </c>
      <c r="AC419" s="121" t="inlineStr">
        <is>
          <t>⚠ WATCH</t>
        </is>
      </c>
      <c r="AD419" s="118" t="n">
        <v>360019000</v>
      </c>
      <c r="AE419" s="118" t="n">
        <v>-223110000</v>
      </c>
      <c r="AF419" s="118" t="n">
        <v>230455000</v>
      </c>
      <c r="AG419" s="118" t="n">
        <v>0.065</v>
      </c>
      <c r="AH419" s="119" t="inlineStr">
        <is>
          <t>✓ Medium Quality</t>
        </is>
      </c>
      <c r="AI419" s="118" t="n">
        <v>0.119</v>
      </c>
      <c r="AJ419" s="120" t="n">
        <v>2.858</v>
      </c>
      <c r="AK419" s="120" t="n">
        <v>0.042</v>
      </c>
      <c r="AL419" s="120" t="n">
        <v>0.916</v>
      </c>
      <c r="AM419" s="120" t="n">
        <v>0.006</v>
      </c>
      <c r="AN419" s="117" t="n">
        <v>100</v>
      </c>
      <c r="AO419" s="119" t="inlineStr">
        <is>
          <t>✓ Good</t>
        </is>
      </c>
      <c r="AP419" s="117" t="n">
        <v>0</v>
      </c>
      <c r="AQ419" s="117" t="n">
        <v>0</v>
      </c>
      <c r="AR419" s="117" t="n">
        <v>1</v>
      </c>
      <c r="AS419" s="117" t="n">
        <v>0</v>
      </c>
      <c r="AT419" s="117" t="n">
        <v>1</v>
      </c>
      <c r="AU419" s="117" t="n">
        <v>0</v>
      </c>
      <c r="AV419" s="117" t="n">
        <v>2</v>
      </c>
      <c r="AW419" s="121" t="inlineStr">
        <is>
          <t>⚠ WATCH</t>
        </is>
      </c>
      <c r="AX419" s="118" t="n">
        <v>35.2</v>
      </c>
      <c r="AY419" s="119" t="inlineStr">
        <is>
          <t>🟢 LOW RISK</t>
        </is>
      </c>
      <c r="AZ419" s="118" t="n">
        <v>127.7</v>
      </c>
      <c r="BA419" s="118" t="n">
        <v>439.9</v>
      </c>
      <c r="BB419" s="118" t="n">
        <v>592.7</v>
      </c>
      <c r="BC419" s="118" t="n">
        <v>890.3</v>
      </c>
      <c r="BD419" s="118" t="n">
        <v>482.7</v>
      </c>
      <c r="BE419" s="118" t="n">
        <v>369.4</v>
      </c>
      <c r="BF419" s="120" t="n">
        <v>0.183</v>
      </c>
      <c r="BG419" s="117" t="n">
        <v>0.8070000000000001</v>
      </c>
      <c r="BH419" s="122" t="n">
        <v>6</v>
      </c>
      <c r="BI419" s="123" t="n">
        <v>1</v>
      </c>
    </row>
    <row r="420" ht="17" customHeight="1">
      <c r="A420" s="117" t="inlineStr">
        <is>
          <t>WDAY</t>
        </is>
      </c>
      <c r="B420" s="117" t="inlineStr">
        <is>
          <t>WORKDAY, INC.</t>
        </is>
      </c>
      <c r="C420" s="118" t="n">
        <v>0.325</v>
      </c>
      <c r="D420" s="118" t="n">
        <v>0.9389999999999999</v>
      </c>
      <c r="E420" s="118" t="n">
        <v>1.374</v>
      </c>
      <c r="F420" s="118" t="n">
        <v>3.679</v>
      </c>
      <c r="G420" s="118" t="n">
        <v>0.649</v>
      </c>
      <c r="H420" s="118" t="n">
        <v>0.302</v>
      </c>
      <c r="I420" s="118" t="n">
        <v>1.142</v>
      </c>
      <c r="J420" s="118" t="n">
        <v>-0.124</v>
      </c>
      <c r="K420" s="118" t="n">
        <v>-1.141</v>
      </c>
      <c r="L420" s="121" t="inlineStr">
        <is>
          <t>⚠ MANIPULATOR RISK</t>
        </is>
      </c>
      <c r="M420" s="120" t="n">
        <v>-0.172</v>
      </c>
      <c r="N420" s="120" t="n">
        <v>0.245</v>
      </c>
      <c r="O420" s="124" t="inlineStr">
        <is>
          <t>N/A</t>
        </is>
      </c>
      <c r="P420" s="120" t="n">
        <v>0.856</v>
      </c>
      <c r="Q420" s="120" t="n">
        <v>0.008999999999999999</v>
      </c>
      <c r="R420" s="117" t="n">
        <v>0</v>
      </c>
      <c r="S420" s="118" t="n">
        <v>-5.721</v>
      </c>
      <c r="T420" s="118" t="n">
        <v>0.003</v>
      </c>
      <c r="U420" s="119" t="inlineStr">
        <is>
          <t>✓ Normal</t>
        </is>
      </c>
      <c r="V420" s="117" t="n">
        <v>1</v>
      </c>
      <c r="W420" s="117" t="n">
        <v>0</v>
      </c>
      <c r="X420" s="117" t="n">
        <v>0</v>
      </c>
      <c r="Y420" s="117" t="n">
        <v>1</v>
      </c>
      <c r="Z420" s="117" t="n">
        <v>0</v>
      </c>
      <c r="AA420" s="117" t="n">
        <v>0</v>
      </c>
      <c r="AB420" s="117" t="n">
        <v>2</v>
      </c>
      <c r="AC420" s="121" t="inlineStr">
        <is>
          <t>⚠ WATCH</t>
        </is>
      </c>
      <c r="AD420" s="118" t="n">
        <v>2939000000</v>
      </c>
      <c r="AE420" s="118" t="n">
        <v>333000000</v>
      </c>
      <c r="AF420" s="118" t="n">
        <v>693000000</v>
      </c>
      <c r="AG420" s="118" t="n">
        <v>-0.143</v>
      </c>
      <c r="AH420" s="119" t="inlineStr">
        <is>
          <t>✓ High Quality</t>
        </is>
      </c>
      <c r="AI420" s="118" t="n">
        <v>0.196</v>
      </c>
      <c r="AJ420" s="120" t="n">
        <v>2.679</v>
      </c>
      <c r="AK420" s="120" t="n">
        <v>0.073</v>
      </c>
      <c r="AL420" s="120" t="n">
        <v>1.371</v>
      </c>
      <c r="AM420" s="120" t="n">
        <v>0.153</v>
      </c>
      <c r="AN420" s="117" t="n">
        <v>100</v>
      </c>
      <c r="AO420" s="119" t="inlineStr">
        <is>
          <t>✓ Good</t>
        </is>
      </c>
      <c r="AP420" s="117" t="n">
        <v>0</v>
      </c>
      <c r="AQ420" s="117" t="n">
        <v>0</v>
      </c>
      <c r="AR420" s="117" t="n">
        <v>0</v>
      </c>
      <c r="AS420" s="117" t="n">
        <v>0</v>
      </c>
      <c r="AT420" s="117" t="n">
        <v>1</v>
      </c>
      <c r="AU420" s="117" t="n">
        <v>0</v>
      </c>
      <c r="AV420" s="117" t="n">
        <v>1</v>
      </c>
      <c r="AW420" s="119" t="inlineStr">
        <is>
          <t>✓ Clean</t>
        </is>
      </c>
      <c r="AX420" s="118" t="n">
        <v>21.9</v>
      </c>
      <c r="AY420" s="119" t="inlineStr">
        <is>
          <t>🟢 LOW RISK</t>
        </is>
      </c>
      <c r="AZ420" s="118" t="n">
        <v>397.2</v>
      </c>
      <c r="BA420" s="118" t="n">
        <v>1221.9</v>
      </c>
      <c r="BB420" s="124" t="inlineStr">
        <is>
          <t>N/A</t>
        </is>
      </c>
      <c r="BC420" s="124" t="inlineStr">
        <is>
          <t>N/A</t>
        </is>
      </c>
      <c r="BD420" s="118" t="n">
        <v>444.8</v>
      </c>
      <c r="BE420" s="118" t="n">
        <v>603</v>
      </c>
      <c r="BF420" s="120" t="n">
        <v>0.313</v>
      </c>
      <c r="BG420" s="117" t="n">
        <v>0.856</v>
      </c>
      <c r="BH420" s="122" t="n">
        <v>3</v>
      </c>
      <c r="BI420" s="123" t="n">
        <v>1</v>
      </c>
    </row>
    <row r="421" ht="17" customHeight="1">
      <c r="A421" s="117" t="inlineStr">
        <is>
          <t>RIVN</t>
        </is>
      </c>
      <c r="B421" s="117" t="inlineStr">
        <is>
          <t>Rivian Automotive, Inc. / DE</t>
        </is>
      </c>
      <c r="C421" s="118" t="n">
        <v>1.156</v>
      </c>
      <c r="D421" s="118" t="n">
        <v>-9.032999999999999</v>
      </c>
      <c r="E421" s="118" t="n">
        <v>1.585</v>
      </c>
      <c r="F421" s="118" t="n">
        <v>1.084</v>
      </c>
      <c r="G421" s="118" t="n">
        <v>1.417</v>
      </c>
      <c r="H421" s="118" t="n">
        <v>1.014</v>
      </c>
      <c r="I421" s="118" t="n">
        <v>1.203</v>
      </c>
      <c r="J421" s="118" t="n">
        <v>-0.193</v>
      </c>
      <c r="K421" s="118" t="n">
        <v>-8.246</v>
      </c>
      <c r="L421" s="119" t="inlineStr">
        <is>
          <t>✓ Lower Risk</t>
        </is>
      </c>
      <c r="M421" s="120" t="n">
        <v>-0.168</v>
      </c>
      <c r="N421" s="120" t="n">
        <v>0.269</v>
      </c>
      <c r="O421" s="120" t="n">
        <v>-1.568</v>
      </c>
      <c r="P421" s="120" t="n">
        <v>0.506</v>
      </c>
      <c r="Q421" s="120" t="n">
        <v>0.063</v>
      </c>
      <c r="R421" s="117" t="n">
        <v>1</v>
      </c>
      <c r="S421" s="118" t="n">
        <v>-5.169</v>
      </c>
      <c r="T421" s="118" t="n">
        <v>0.006</v>
      </c>
      <c r="U421" s="119" t="inlineStr">
        <is>
          <t>✓ Normal</t>
        </is>
      </c>
      <c r="V421" s="117" t="n">
        <v>1</v>
      </c>
      <c r="W421" s="117" t="n">
        <v>1</v>
      </c>
      <c r="X421" s="117" t="n">
        <v>0</v>
      </c>
      <c r="Y421" s="117" t="n">
        <v>0</v>
      </c>
      <c r="Z421" s="117" t="n">
        <v>1</v>
      </c>
      <c r="AA421" s="117" t="n">
        <v>0</v>
      </c>
      <c r="AB421" s="117" t="n">
        <v>3</v>
      </c>
      <c r="AC421" s="121" t="inlineStr">
        <is>
          <t>⚠ WATCH</t>
        </is>
      </c>
      <c r="AD421" s="118" t="n">
        <v>-779000000</v>
      </c>
      <c r="AE421" s="118" t="n">
        <v>-1828000000</v>
      </c>
      <c r="AF421" s="118" t="n">
        <v>-3646000000</v>
      </c>
      <c r="AG421" s="118" t="n">
        <v>-0.06900000000000001</v>
      </c>
      <c r="AH421" s="119" t="inlineStr">
        <is>
          <t>✓ Medium Quality</t>
        </is>
      </c>
      <c r="AI421" s="118" t="n">
        <v>0.253</v>
      </c>
      <c r="AJ421" s="120" t="n">
        <v>0.08400000000000001</v>
      </c>
      <c r="AK421" s="120" t="n">
        <v>3.013</v>
      </c>
      <c r="AL421" s="120" t="n">
        <v>-0.145</v>
      </c>
      <c r="AM421" s="120" t="n">
        <v>0.135</v>
      </c>
      <c r="AN421" s="118" t="n">
        <v>46.7</v>
      </c>
      <c r="AO421" s="121" t="inlineStr">
        <is>
          <t>⚠ WATCH</t>
        </is>
      </c>
      <c r="AP421" s="117" t="n">
        <v>0</v>
      </c>
      <c r="AQ421" s="117" t="n">
        <v>0</v>
      </c>
      <c r="AR421" s="117" t="n">
        <v>0</v>
      </c>
      <c r="AS421" s="117" t="n">
        <v>1</v>
      </c>
      <c r="AT421" s="117" t="n">
        <v>1</v>
      </c>
      <c r="AU421" s="117" t="n">
        <v>1</v>
      </c>
      <c r="AV421" s="117" t="n">
        <v>3</v>
      </c>
      <c r="AW421" s="121" t="inlineStr">
        <is>
          <t>⚠ WATCH</t>
        </is>
      </c>
      <c r="AX421" s="118" t="n">
        <v>17.4</v>
      </c>
      <c r="AY421" s="119" t="inlineStr">
        <is>
          <t>🟢 VERY LOW RISK</t>
        </is>
      </c>
      <c r="AZ421" s="118" t="n">
        <v>37.6</v>
      </c>
      <c r="BA421" s="118" t="n">
        <v>32.5</v>
      </c>
      <c r="BB421" s="118" t="n">
        <v>111</v>
      </c>
      <c r="BC421" s="118" t="n">
        <v>133</v>
      </c>
      <c r="BD421" s="118" t="n">
        <v>41.4</v>
      </c>
      <c r="BE421" s="118" t="n">
        <v>29.5</v>
      </c>
      <c r="BF421" s="120" t="n">
        <v>-0.002</v>
      </c>
      <c r="BG421" s="117" t="n">
        <v>0.506</v>
      </c>
      <c r="BH421" s="122" t="n">
        <v>7</v>
      </c>
      <c r="BI421" s="123" t="n">
        <v>1</v>
      </c>
    </row>
    <row r="422" ht="17" customHeight="1">
      <c r="A422" s="117" t="inlineStr">
        <is>
          <t>MSCI</t>
        </is>
      </c>
      <c r="B422" s="117" t="inlineStr">
        <is>
          <t>MSCI INC.</t>
        </is>
      </c>
      <c r="C422" s="118" t="n">
        <v>0.262</v>
      </c>
      <c r="D422" s="118" t="n">
        <v>0.792</v>
      </c>
      <c r="E422" s="118" t="n">
        <v>0.9409999999999999</v>
      </c>
      <c r="F422" s="118" t="n">
        <v>3.806</v>
      </c>
      <c r="G422" s="118" t="n">
        <v>1.17</v>
      </c>
      <c r="H422" s="118" t="n">
        <v>0.263</v>
      </c>
      <c r="I422" s="118" t="n">
        <v>1.25</v>
      </c>
      <c r="J422" s="118" t="n">
        <v>-0.068</v>
      </c>
      <c r="K422" s="118" t="n">
        <v>-1.042</v>
      </c>
      <c r="L422" s="121" t="inlineStr">
        <is>
          <t>⚠ MANIPULATOR RISK</t>
        </is>
      </c>
      <c r="M422" s="120" t="n">
        <v>-0.013</v>
      </c>
      <c r="N422" s="120" t="n">
        <v>-0.001</v>
      </c>
      <c r="O422" s="124" t="inlineStr">
        <is>
          <t>N/A</t>
        </is>
      </c>
      <c r="P422" s="120" t="n">
        <v>0.894</v>
      </c>
      <c r="Q422" s="120" t="n">
        <v>0.007</v>
      </c>
      <c r="R422" s="117" t="n">
        <v>0</v>
      </c>
      <c r="S422" s="118" t="n">
        <v>-6.14</v>
      </c>
      <c r="T422" s="118" t="n">
        <v>0.002</v>
      </c>
      <c r="U422" s="119" t="inlineStr">
        <is>
          <t>✓ Normal</t>
        </is>
      </c>
      <c r="V422" s="117" t="n">
        <v>1</v>
      </c>
      <c r="W422" s="117" t="n">
        <v>0</v>
      </c>
      <c r="X422" s="117" t="n">
        <v>0</v>
      </c>
      <c r="Y422" s="117" t="n">
        <v>1</v>
      </c>
      <c r="Z422" s="117" t="n">
        <v>1</v>
      </c>
      <c r="AA422" s="117" t="n">
        <v>0</v>
      </c>
      <c r="AB422" s="117" t="n">
        <v>3</v>
      </c>
      <c r="AC422" s="121" t="inlineStr">
        <is>
          <t>⚠ WATCH</t>
        </is>
      </c>
      <c r="AD422" s="118" t="n">
        <v>1588446000</v>
      </c>
      <c r="AE422" s="118" t="n">
        <v>-130064000</v>
      </c>
      <c r="AF422" s="118" t="n">
        <v>1202305000</v>
      </c>
      <c r="AG422" s="118" t="n">
        <v>-0.046</v>
      </c>
      <c r="AH422" s="119" t="inlineStr">
        <is>
          <t>✓ Medium Quality</t>
        </is>
      </c>
      <c r="AI422" s="118" t="n">
        <v>-0.002</v>
      </c>
      <c r="AJ422" s="120" t="n">
        <v>2.806</v>
      </c>
      <c r="AK422" s="120" t="n">
        <v>-0.001</v>
      </c>
      <c r="AL422" s="120" t="n">
        <v>1.247</v>
      </c>
      <c r="AM422" s="120" t="n">
        <v>0.031</v>
      </c>
      <c r="AN422" s="117" t="n">
        <v>100</v>
      </c>
      <c r="AO422" s="119" t="inlineStr">
        <is>
          <t>✓ Good</t>
        </is>
      </c>
      <c r="AP422" s="117" t="n">
        <v>0</v>
      </c>
      <c r="AQ422" s="117" t="n">
        <v>0</v>
      </c>
      <c r="AR422" s="117" t="n">
        <v>0</v>
      </c>
      <c r="AS422" s="117" t="n">
        <v>0</v>
      </c>
      <c r="AT422" s="117" t="n">
        <v>1</v>
      </c>
      <c r="AU422" s="117" t="n">
        <v>0</v>
      </c>
      <c r="AV422" s="117" t="n">
        <v>1</v>
      </c>
      <c r="AW422" s="119" t="inlineStr">
        <is>
          <t>✓ Clean</t>
        </is>
      </c>
      <c r="AX422" s="118" t="n">
        <v>23.5</v>
      </c>
      <c r="AY422" s="119" t="inlineStr">
        <is>
          <t>🟢 LOW RISK</t>
        </is>
      </c>
      <c r="AZ422" s="118" t="n">
        <v>190</v>
      </c>
      <c r="BA422" s="118" t="n">
        <v>724.5</v>
      </c>
      <c r="BB422" s="124" t="inlineStr">
        <is>
          <t>N/A</t>
        </is>
      </c>
      <c r="BC422" s="124" t="inlineStr">
        <is>
          <t>N/A</t>
        </is>
      </c>
      <c r="BD422" s="118" t="n">
        <v>58.4</v>
      </c>
      <c r="BE422" s="118" t="n">
        <v>59.1</v>
      </c>
      <c r="BF422" s="120" t="n">
        <v>0.195</v>
      </c>
      <c r="BG422" s="117" t="n">
        <v>0.894</v>
      </c>
      <c r="BH422" s="122" t="n">
        <v>4</v>
      </c>
      <c r="BI422" s="123" t="n">
        <v>1</v>
      </c>
    </row>
    <row r="423" ht="17" customHeight="1">
      <c r="A423" s="117" t="inlineStr">
        <is>
          <t>ODFL</t>
        </is>
      </c>
      <c r="B423" s="117" t="inlineStr">
        <is>
          <t>OLD DOMINION FREIGHT LINE, INC.</t>
        </is>
      </c>
      <c r="C423" s="118" t="n">
        <v>0.995</v>
      </c>
      <c r="D423" s="124" t="inlineStr">
        <is>
          <t>N/A</t>
        </is>
      </c>
      <c r="E423" s="118" t="n">
        <v>1.026</v>
      </c>
      <c r="F423" s="118" t="n">
        <v>0.945</v>
      </c>
      <c r="G423" s="118" t="n">
        <v>0.949</v>
      </c>
      <c r="H423" s="124" t="inlineStr">
        <is>
          <t>N/A</t>
        </is>
      </c>
      <c r="I423" s="118" t="n">
        <v>0.9330000000000001</v>
      </c>
      <c r="J423" s="118" t="n">
        <v>-0.063</v>
      </c>
      <c r="K423" s="124" t="inlineStr">
        <is>
          <t>N/A</t>
        </is>
      </c>
      <c r="L423" s="124" t="inlineStr">
        <is>
          <t>N/A</t>
        </is>
      </c>
      <c r="M423" s="120" t="n">
        <v>-0.063</v>
      </c>
      <c r="N423" s="120" t="n">
        <v>-0.093</v>
      </c>
      <c r="O423" s="124" t="inlineStr">
        <is>
          <t>N/A</t>
        </is>
      </c>
      <c r="P423" s="120" t="n">
        <v>0.155</v>
      </c>
      <c r="Q423" s="120" t="n">
        <v>-0.029</v>
      </c>
      <c r="R423" s="117" t="n">
        <v>0</v>
      </c>
      <c r="S423" s="118" t="n">
        <v>-7.858</v>
      </c>
      <c r="T423" s="118" t="n">
        <v>0</v>
      </c>
      <c r="U423" s="119" t="inlineStr">
        <is>
          <t>✓ Normal</t>
        </is>
      </c>
      <c r="V423" s="117" t="n">
        <v>1</v>
      </c>
      <c r="W423" s="117" t="n">
        <v>0</v>
      </c>
      <c r="X423" s="117" t="n">
        <v>0</v>
      </c>
      <c r="Y423" s="117" t="n">
        <v>1</v>
      </c>
      <c r="Z423" s="117" t="n">
        <v>0</v>
      </c>
      <c r="AA423" s="117" t="n">
        <v>0</v>
      </c>
      <c r="AB423" s="117" t="n">
        <v>2</v>
      </c>
      <c r="AC423" s="121" t="inlineStr">
        <is>
          <t>⚠ WATCH</t>
        </is>
      </c>
      <c r="AD423" s="118" t="n">
        <v>1370133000</v>
      </c>
      <c r="AE423" s="118" t="n">
        <v>-366411000</v>
      </c>
      <c r="AF423" s="118" t="n">
        <v>1023703000</v>
      </c>
      <c r="AG423" s="118" t="n">
        <v>0.004</v>
      </c>
      <c r="AH423" s="119" t="inlineStr">
        <is>
          <t>✓ Medium Quality</t>
        </is>
      </c>
      <c r="AI423" s="118" t="n">
        <v>-0.059</v>
      </c>
      <c r="AJ423" s="120" t="n">
        <v>-0.055</v>
      </c>
      <c r="AK423" s="120" t="n">
        <v>1.078</v>
      </c>
      <c r="AL423" s="120" t="n">
        <v>0.249</v>
      </c>
      <c r="AM423" s="124" t="inlineStr">
        <is>
          <t>N/A</t>
        </is>
      </c>
      <c r="AN423" s="118" t="n">
        <v>97.7</v>
      </c>
      <c r="AO423" s="119" t="inlineStr">
        <is>
          <t>✓ Good</t>
        </is>
      </c>
      <c r="AP423" s="117" t="n">
        <v>0</v>
      </c>
      <c r="AQ423" s="117" t="n">
        <v>1</v>
      </c>
      <c r="AR423" s="117" t="n">
        <v>0</v>
      </c>
      <c r="AS423" s="117" t="n">
        <v>0</v>
      </c>
      <c r="AT423" s="117" t="n">
        <v>0</v>
      </c>
      <c r="AU423" s="117" t="n">
        <v>0</v>
      </c>
      <c r="AV423" s="117" t="n">
        <v>1</v>
      </c>
      <c r="AW423" s="119" t="inlineStr">
        <is>
          <t>✓ Clean</t>
        </is>
      </c>
      <c r="AX423" s="118" t="n">
        <v>22.3</v>
      </c>
      <c r="AY423" s="119" t="inlineStr">
        <is>
          <t>🟢 LOW RISK</t>
        </is>
      </c>
      <c r="AZ423" s="118" t="n">
        <v>31.3</v>
      </c>
      <c r="BA423" s="118" t="n">
        <v>31.5</v>
      </c>
      <c r="BB423" s="124" t="inlineStr">
        <is>
          <t>N/A</t>
        </is>
      </c>
      <c r="BC423" s="124" t="inlineStr">
        <is>
          <t>N/A</t>
        </is>
      </c>
      <c r="BD423" s="124" t="inlineStr">
        <is>
          <t>N/A</t>
        </is>
      </c>
      <c r="BE423" s="124" t="inlineStr">
        <is>
          <t>N/A</t>
        </is>
      </c>
      <c r="BF423" s="120" t="n">
        <v>0.248</v>
      </c>
      <c r="BG423" s="117" t="n">
        <v>0.155</v>
      </c>
      <c r="BH423" s="122" t="n">
        <v>3</v>
      </c>
      <c r="BI423" s="123" t="n">
        <v>0.8333333333333334</v>
      </c>
    </row>
    <row r="424" ht="17" customHeight="1">
      <c r="A424" s="117" t="inlineStr">
        <is>
          <t>AXP</t>
        </is>
      </c>
      <c r="B424" s="117" t="inlineStr">
        <is>
          <t>AMERICAN EXPRESS CO</t>
        </is>
      </c>
      <c r="C424" s="118" t="n">
        <v>0.905</v>
      </c>
      <c r="D424" s="124" t="inlineStr">
        <is>
          <t>N/A</t>
        </is>
      </c>
      <c r="E424" s="118" t="n">
        <v>0.999</v>
      </c>
      <c r="F424" s="118" t="n">
        <v>1.134</v>
      </c>
      <c r="G424" s="118" t="n">
        <v>1.452</v>
      </c>
      <c r="H424" s="124" t="inlineStr">
        <is>
          <t>N/A</t>
        </is>
      </c>
      <c r="I424" s="118" t="n">
        <v>1</v>
      </c>
      <c r="J424" s="118" t="n">
        <v>-0.025</v>
      </c>
      <c r="K424" s="124" t="inlineStr">
        <is>
          <t>N/A</t>
        </is>
      </c>
      <c r="L424" s="124" t="inlineStr">
        <is>
          <t>N/A</t>
        </is>
      </c>
      <c r="M424" s="124" t="inlineStr">
        <is>
          <t>N/A</t>
        </is>
      </c>
      <c r="N424" s="120" t="n">
        <v>0.447</v>
      </c>
      <c r="O424" s="124" t="inlineStr">
        <is>
          <t>N/A</t>
        </is>
      </c>
      <c r="P424" s="120" t="n">
        <v>0.977</v>
      </c>
      <c r="Q424" s="120" t="n">
        <v>-0.001</v>
      </c>
      <c r="R424" s="117" t="n">
        <v>0</v>
      </c>
      <c r="S424" s="124" t="inlineStr">
        <is>
          <t>N/A</t>
        </is>
      </c>
      <c r="T424" s="124" t="inlineStr">
        <is>
          <t>N/A</t>
        </is>
      </c>
      <c r="U424" s="124" t="inlineStr">
        <is>
          <t>N/A</t>
        </is>
      </c>
      <c r="V424" s="117" t="n">
        <v>0</v>
      </c>
      <c r="W424" s="117" t="n">
        <v>0</v>
      </c>
      <c r="X424" s="117" t="n">
        <v>0</v>
      </c>
      <c r="Y424" s="117" t="n">
        <v>0</v>
      </c>
      <c r="Z424" s="117" t="n">
        <v>1</v>
      </c>
      <c r="AA424" s="117" t="n">
        <v>1</v>
      </c>
      <c r="AB424" s="117" t="n">
        <v>2</v>
      </c>
      <c r="AC424" s="121" t="inlineStr">
        <is>
          <t>⚠ WATCH</t>
        </is>
      </c>
      <c r="AD424" s="118" t="n">
        <v>18428000000</v>
      </c>
      <c r="AE424" s="118" t="n">
        <v>-22891000000</v>
      </c>
      <c r="AF424" s="118" t="n">
        <v>10833000000</v>
      </c>
      <c r="AG424" s="118" t="n">
        <v>0.054</v>
      </c>
      <c r="AH424" s="119" t="inlineStr">
        <is>
          <t>✓ Medium Quality</t>
        </is>
      </c>
      <c r="AI424" s="118" t="n">
        <v>0.027</v>
      </c>
      <c r="AJ424" s="120" t="n">
        <v>0.134</v>
      </c>
      <c r="AK424" s="120" t="n">
        <v>0.198</v>
      </c>
      <c r="AL424" s="120" t="n">
        <v>0.662</v>
      </c>
      <c r="AM424" s="124" t="inlineStr">
        <is>
          <t>N/A</t>
        </is>
      </c>
      <c r="AN424" s="117" t="n">
        <v>100</v>
      </c>
      <c r="AO424" s="119" t="inlineStr">
        <is>
          <t>✓ Good</t>
        </is>
      </c>
      <c r="AP424" s="117" t="n">
        <v>0</v>
      </c>
      <c r="AQ424" s="117" t="n">
        <v>0</v>
      </c>
      <c r="AR424" s="117" t="n">
        <v>0</v>
      </c>
      <c r="AS424" s="117" t="n">
        <v>0</v>
      </c>
      <c r="AT424" s="117" t="n">
        <v>0</v>
      </c>
      <c r="AU424" s="117" t="n">
        <v>0</v>
      </c>
      <c r="AV424" s="117" t="n">
        <v>0</v>
      </c>
      <c r="AW424" s="119" t="inlineStr">
        <is>
          <t>✓ Clean</t>
        </is>
      </c>
      <c r="AX424" s="118" t="n">
        <v>29.8</v>
      </c>
      <c r="AY424" s="119" t="inlineStr">
        <is>
          <t>🟢 LOW RISK</t>
        </is>
      </c>
      <c r="AZ424" s="118" t="n">
        <v>745.2</v>
      </c>
      <c r="BA424" s="118" t="n">
        <v>823.4</v>
      </c>
      <c r="BB424" s="124" t="inlineStr">
        <is>
          <t>N/A</t>
        </is>
      </c>
      <c r="BC424" s="124" t="inlineStr">
        <is>
          <t>N/A</t>
        </is>
      </c>
      <c r="BD424" s="124" t="inlineStr">
        <is>
          <t>N/A</t>
        </is>
      </c>
      <c r="BE424" s="124" t="inlineStr">
        <is>
          <t>N/A</t>
        </is>
      </c>
      <c r="BF424" s="120" t="n">
        <v>0.215</v>
      </c>
      <c r="BG424" s="117" t="n">
        <v>0.977</v>
      </c>
      <c r="BH424" s="122" t="n">
        <v>2</v>
      </c>
      <c r="BI424" s="125" t="n">
        <v>0.6666666666666666</v>
      </c>
    </row>
    <row r="425" ht="17" customHeight="1">
      <c r="A425" s="117" t="inlineStr">
        <is>
          <t>SYK</t>
        </is>
      </c>
      <c r="B425" s="117" t="inlineStr">
        <is>
          <t>STRYKER CORP</t>
        </is>
      </c>
      <c r="C425" s="118" t="n">
        <v>0.289</v>
      </c>
      <c r="D425" s="118" t="n">
        <v>1.009</v>
      </c>
      <c r="E425" s="118" t="n">
        <v>1.063</v>
      </c>
      <c r="F425" s="118" t="n">
        <v>3.502</v>
      </c>
      <c r="G425" s="118" t="n">
        <v>1.015</v>
      </c>
      <c r="H425" s="118" t="n">
        <v>0.321</v>
      </c>
      <c r="I425" s="118" t="n">
        <v>1.022</v>
      </c>
      <c r="J425" s="118" t="n">
        <v>-0.038</v>
      </c>
      <c r="K425" s="118" t="n">
        <v>-0.9360000000000001</v>
      </c>
      <c r="L425" s="121" t="inlineStr">
        <is>
          <t>⚠ MANIPULATOR RISK</t>
        </is>
      </c>
      <c r="M425" s="120" t="n">
        <v>-0.046</v>
      </c>
      <c r="N425" s="120" t="n">
        <v>0.003</v>
      </c>
      <c r="O425" s="120" t="n">
        <v>0.03</v>
      </c>
      <c r="P425" s="120" t="n">
        <v>0.835</v>
      </c>
      <c r="Q425" s="120" t="n">
        <v>0.048</v>
      </c>
      <c r="R425" s="117" t="n">
        <v>0</v>
      </c>
      <c r="S425" s="118" t="n">
        <v>-6.255</v>
      </c>
      <c r="T425" s="118" t="n">
        <v>0.002</v>
      </c>
      <c r="U425" s="119" t="inlineStr">
        <is>
          <t>✓ Normal</t>
        </is>
      </c>
      <c r="V425" s="117" t="n">
        <v>1</v>
      </c>
      <c r="W425" s="117" t="n">
        <v>0</v>
      </c>
      <c r="X425" s="117" t="n">
        <v>0</v>
      </c>
      <c r="Y425" s="117" t="n">
        <v>0</v>
      </c>
      <c r="Z425" s="117" t="n">
        <v>1</v>
      </c>
      <c r="AA425" s="117" t="n">
        <v>1</v>
      </c>
      <c r="AB425" s="117" t="n">
        <v>3</v>
      </c>
      <c r="AC425" s="121" t="inlineStr">
        <is>
          <t>⚠ WATCH</t>
        </is>
      </c>
      <c r="AD425" s="118" t="n">
        <v>5044000000</v>
      </c>
      <c r="AE425" s="118" t="n">
        <v>-4866000000</v>
      </c>
      <c r="AF425" s="118" t="n">
        <v>3246000000</v>
      </c>
      <c r="AG425" s="118" t="n">
        <v>0.068</v>
      </c>
      <c r="AH425" s="119" t="inlineStr">
        <is>
          <t>✓ Medium Quality</t>
        </is>
      </c>
      <c r="AI425" s="118" t="n">
        <v>0.013</v>
      </c>
      <c r="AJ425" s="120" t="n">
        <v>2.502</v>
      </c>
      <c r="AK425" s="120" t="n">
        <v>0.005</v>
      </c>
      <c r="AL425" s="120" t="n">
        <v>0.201</v>
      </c>
      <c r="AM425" s="120" t="n">
        <v>0.002</v>
      </c>
      <c r="AN425" s="117" t="n">
        <v>100</v>
      </c>
      <c r="AO425" s="119" t="inlineStr">
        <is>
          <t>✓ Good</t>
        </is>
      </c>
      <c r="AP425" s="117" t="n">
        <v>0</v>
      </c>
      <c r="AQ425" s="117" t="n">
        <v>0</v>
      </c>
      <c r="AR425" s="117" t="n">
        <v>1</v>
      </c>
      <c r="AS425" s="117" t="n">
        <v>0</v>
      </c>
      <c r="AT425" s="117" t="n">
        <v>1</v>
      </c>
      <c r="AU425" s="117" t="n">
        <v>1</v>
      </c>
      <c r="AV425" s="117" t="n">
        <v>3</v>
      </c>
      <c r="AW425" s="121" t="inlineStr">
        <is>
          <t>⚠ WATCH</t>
        </is>
      </c>
      <c r="AX425" s="118" t="n">
        <v>25.9</v>
      </c>
      <c r="AY425" s="119" t="inlineStr">
        <is>
          <t>🟢 LOW RISK</t>
        </is>
      </c>
      <c r="AZ425" s="118" t="n">
        <v>58.7</v>
      </c>
      <c r="BA425" s="118" t="n">
        <v>202.9</v>
      </c>
      <c r="BB425" s="118" t="n">
        <v>214.1</v>
      </c>
      <c r="BC425" s="118" t="n">
        <v>213.7</v>
      </c>
      <c r="BD425" s="118" t="n">
        <v>94.3</v>
      </c>
      <c r="BE425" s="124" t="inlineStr">
        <is>
          <t>N/A</t>
        </is>
      </c>
      <c r="BF425" s="120" t="n">
        <v>0.281</v>
      </c>
      <c r="BG425" s="117" t="n">
        <v>0.835</v>
      </c>
      <c r="BH425" s="122" t="n">
        <v>6</v>
      </c>
      <c r="BI425" s="123" t="n">
        <v>1</v>
      </c>
    </row>
    <row r="426" ht="17" customHeight="1">
      <c r="A426" s="117" t="inlineStr">
        <is>
          <t>KEYS</t>
        </is>
      </c>
      <c r="B426" s="117" t="inlineStr">
        <is>
          <t>KEYSIGHT TECHNOLOGIES, INC.</t>
        </is>
      </c>
      <c r="C426" s="118" t="n">
        <v>1.015</v>
      </c>
      <c r="D426" s="118" t="n">
        <v>1.014</v>
      </c>
      <c r="E426" s="118" t="n">
        <v>1.192</v>
      </c>
      <c r="F426" s="118" t="n">
        <v>1.08</v>
      </c>
      <c r="G426" s="118" t="n">
        <v>0.669</v>
      </c>
      <c r="H426" s="118" t="n">
        <v>0.979</v>
      </c>
      <c r="I426" s="118" t="n">
        <v>1.068</v>
      </c>
      <c r="J426" s="118" t="n">
        <v>-0.049</v>
      </c>
      <c r="K426" s="118" t="n">
        <v>-2.599</v>
      </c>
      <c r="L426" s="119" t="inlineStr">
        <is>
          <t>✓ Lower Risk</t>
        </is>
      </c>
      <c r="M426" s="120" t="n">
        <v>-0.056</v>
      </c>
      <c r="N426" s="120" t="n">
        <v>0.207</v>
      </c>
      <c r="O426" s="120" t="n">
        <v>0.07099999999999999</v>
      </c>
      <c r="P426" s="120" t="n">
        <v>0.764</v>
      </c>
      <c r="Q426" s="120" t="n">
        <v>0.008999999999999999</v>
      </c>
      <c r="R426" s="117" t="n">
        <v>1</v>
      </c>
      <c r="S426" s="118" t="n">
        <v>-2.75</v>
      </c>
      <c r="T426" s="118" t="n">
        <v>0.06</v>
      </c>
      <c r="U426" s="121" t="inlineStr">
        <is>
          <t>⚠ HIGH RISK</t>
        </is>
      </c>
      <c r="V426" s="117" t="n">
        <v>0</v>
      </c>
      <c r="W426" s="117" t="n">
        <v>1</v>
      </c>
      <c r="X426" s="117" t="n">
        <v>0</v>
      </c>
      <c r="Y426" s="117" t="n">
        <v>0</v>
      </c>
      <c r="Z426" s="117" t="n">
        <v>0</v>
      </c>
      <c r="AA426" s="117" t="n">
        <v>1</v>
      </c>
      <c r="AB426" s="117" t="n">
        <v>2</v>
      </c>
      <c r="AC426" s="121" t="inlineStr">
        <is>
          <t>⚠ WATCH</t>
        </is>
      </c>
      <c r="AD426" s="118" t="n">
        <v>1409000000</v>
      </c>
      <c r="AE426" s="118" t="n">
        <v>-1727000000</v>
      </c>
      <c r="AF426" s="118" t="n">
        <v>850000000</v>
      </c>
      <c r="AG426" s="118" t="n">
        <v>0.114</v>
      </c>
      <c r="AH426" s="117" t="inlineStr">
        <is>
          <t>⚠ Low Quality</t>
        </is>
      </c>
      <c r="AI426" s="118" t="n">
        <v>0.096</v>
      </c>
      <c r="AJ426" s="120" t="n">
        <v>0.08</v>
      </c>
      <c r="AK426" s="120" t="n">
        <v>1.203</v>
      </c>
      <c r="AL426" s="120" t="n">
        <v>0.262</v>
      </c>
      <c r="AM426" s="120" t="n">
        <v>0.017</v>
      </c>
      <c r="AN426" s="118" t="n">
        <v>94.8</v>
      </c>
      <c r="AO426" s="119" t="inlineStr">
        <is>
          <t>✓ Good</t>
        </is>
      </c>
      <c r="AP426" s="117" t="n">
        <v>0</v>
      </c>
      <c r="AQ426" s="117" t="n">
        <v>0</v>
      </c>
      <c r="AR426" s="117" t="n">
        <v>1</v>
      </c>
      <c r="AS426" s="117" t="n">
        <v>0</v>
      </c>
      <c r="AT426" s="117" t="n">
        <v>1</v>
      </c>
      <c r="AU426" s="117" t="n">
        <v>1</v>
      </c>
      <c r="AV426" s="117" t="n">
        <v>3</v>
      </c>
      <c r="AW426" s="121" t="inlineStr">
        <is>
          <t>⚠ WATCH</t>
        </is>
      </c>
      <c r="AX426" s="118" t="n">
        <v>27.4</v>
      </c>
      <c r="AY426" s="119" t="inlineStr">
        <is>
          <t>🟢 LOW RISK</t>
        </is>
      </c>
      <c r="AZ426" s="118" t="n">
        <v>63.8</v>
      </c>
      <c r="BA426" s="118" t="n">
        <v>62.8</v>
      </c>
      <c r="BB426" s="118" t="n">
        <v>188.1</v>
      </c>
      <c r="BC426" s="118" t="n">
        <v>202.1</v>
      </c>
      <c r="BD426" s="118" t="n">
        <v>63.6</v>
      </c>
      <c r="BE426" s="118" t="n">
        <v>61.9</v>
      </c>
      <c r="BF426" s="120" t="n">
        <v>0.197</v>
      </c>
      <c r="BG426" s="117" t="n">
        <v>0.764</v>
      </c>
      <c r="BH426" s="122" t="n">
        <v>6</v>
      </c>
      <c r="BI426" s="123" t="n">
        <v>1</v>
      </c>
    </row>
    <row r="427" ht="17" customHeight="1">
      <c r="A427" s="117" t="inlineStr">
        <is>
          <t>FLO</t>
        </is>
      </c>
      <c r="B427" s="117" t="inlineStr">
        <is>
          <t>FLOWERS FOODS, INC</t>
        </is>
      </c>
      <c r="C427" s="124" t="inlineStr">
        <is>
          <t>N/A</t>
        </is>
      </c>
      <c r="D427" s="118" t="n">
        <v>0.978</v>
      </c>
      <c r="E427" s="118" t="n">
        <v>1.143</v>
      </c>
      <c r="F427" s="118" t="n">
        <v>1.03</v>
      </c>
      <c r="G427" s="118" t="n">
        <v>0.944</v>
      </c>
      <c r="H427" s="118" t="n">
        <v>1.007</v>
      </c>
      <c r="I427" s="118" t="n">
        <v>1</v>
      </c>
      <c r="J427" s="118" t="n">
        <v>-0.08699999999999999</v>
      </c>
      <c r="K427" s="124" t="inlineStr">
        <is>
          <t>N/A</t>
        </is>
      </c>
      <c r="L427" s="124" t="inlineStr">
        <is>
          <t>N/A</t>
        </is>
      </c>
      <c r="M427" s="120" t="n">
        <v>-0.107</v>
      </c>
      <c r="N427" s="124" t="inlineStr">
        <is>
          <t>N/A</t>
        </is>
      </c>
      <c r="O427" s="120" t="n">
        <v>0.194</v>
      </c>
      <c r="P427" s="120" t="n">
        <v>0.769</v>
      </c>
      <c r="Q427" s="120" t="n">
        <v>-0.053</v>
      </c>
      <c r="R427" s="117" t="n">
        <v>0</v>
      </c>
      <c r="S427" s="118" t="n">
        <v>-6.2</v>
      </c>
      <c r="T427" s="118" t="n">
        <v>0.002</v>
      </c>
      <c r="U427" s="119" t="inlineStr">
        <is>
          <t>✓ Normal</t>
        </is>
      </c>
      <c r="V427" s="117" t="n">
        <v>0</v>
      </c>
      <c r="W427" s="117" t="n">
        <v>0</v>
      </c>
      <c r="X427" s="117" t="n">
        <v>1</v>
      </c>
      <c r="Y427" s="117" t="n">
        <v>0</v>
      </c>
      <c r="Z427" s="117" t="n">
        <v>1</v>
      </c>
      <c r="AA427" s="117" t="n">
        <v>1</v>
      </c>
      <c r="AB427" s="117" t="n">
        <v>3</v>
      </c>
      <c r="AC427" s="121" t="inlineStr">
        <is>
          <t>⚠ WATCH</t>
        </is>
      </c>
      <c r="AD427" s="118" t="n">
        <v>446203000</v>
      </c>
      <c r="AE427" s="118" t="n">
        <v>-943155000</v>
      </c>
      <c r="AF427" s="118" t="n">
        <v>83825000</v>
      </c>
      <c r="AG427" s="118" t="n">
        <v>0.153</v>
      </c>
      <c r="AH427" s="117" t="inlineStr">
        <is>
          <t>⚠ Low Quality</t>
        </is>
      </c>
      <c r="AI427" s="124" t="inlineStr">
        <is>
          <t>N/A</t>
        </is>
      </c>
      <c r="AJ427" s="120" t="n">
        <v>0.03</v>
      </c>
      <c r="AK427" s="124" t="inlineStr">
        <is>
          <t>N/A</t>
        </is>
      </c>
      <c r="AL427" s="120" t="n">
        <v>0.08500000000000001</v>
      </c>
      <c r="AM427" s="124" t="inlineStr">
        <is>
          <t>N/A</t>
        </is>
      </c>
      <c r="AN427" s="118" t="n">
        <v>87</v>
      </c>
      <c r="AO427" s="119" t="inlineStr">
        <is>
          <t>✓ Good</t>
        </is>
      </c>
      <c r="AP427" s="117" t="n">
        <v>0</v>
      </c>
      <c r="AQ427" s="117" t="n">
        <v>0</v>
      </c>
      <c r="AR427" s="117" t="n">
        <v>0</v>
      </c>
      <c r="AS427" s="117" t="n">
        <v>1</v>
      </c>
      <c r="AT427" s="117" t="n">
        <v>1</v>
      </c>
      <c r="AU427" s="117" t="n">
        <v>0</v>
      </c>
      <c r="AV427" s="117" t="n">
        <v>2</v>
      </c>
      <c r="AW427" s="121" t="inlineStr">
        <is>
          <t>⚠ WATCH</t>
        </is>
      </c>
      <c r="AX427" s="118" t="n">
        <v>30.2</v>
      </c>
      <c r="AY427" s="119" t="inlineStr">
        <is>
          <t>🟢 LOW RISK</t>
        </is>
      </c>
      <c r="AZ427" s="118" t="n">
        <v>0</v>
      </c>
      <c r="BA427" s="124" t="inlineStr">
        <is>
          <t>N/A</t>
        </is>
      </c>
      <c r="BB427" s="118" t="n">
        <v>54.7</v>
      </c>
      <c r="BC427" s="118" t="n">
        <v>45.1</v>
      </c>
      <c r="BD427" s="118" t="n">
        <v>84.7</v>
      </c>
      <c r="BE427" s="118" t="n">
        <v>68.5</v>
      </c>
      <c r="BF427" s="120" t="n">
        <v>0.272</v>
      </c>
      <c r="BG427" s="117" t="n">
        <v>0.769</v>
      </c>
      <c r="BH427" s="122" t="n">
        <v>5</v>
      </c>
      <c r="BI427" s="123" t="n">
        <v>0.8333333333333334</v>
      </c>
    </row>
    <row r="428" ht="17" customHeight="1">
      <c r="A428" s="117" t="inlineStr">
        <is>
          <t>AON</t>
        </is>
      </c>
      <c r="B428" s="117" t="inlineStr">
        <is>
          <t>Aon plc</t>
        </is>
      </c>
      <c r="C428" s="118" t="n">
        <v>0.285</v>
      </c>
      <c r="D428" s="124" t="inlineStr">
        <is>
          <t>N/A</t>
        </is>
      </c>
      <c r="E428" s="118" t="n">
        <v>0.9409999999999999</v>
      </c>
      <c r="F428" s="118" t="n">
        <v>3.888</v>
      </c>
      <c r="G428" s="118" t="n">
        <v>1.132</v>
      </c>
      <c r="H428" s="124" t="inlineStr">
        <is>
          <t>N/A</t>
        </is>
      </c>
      <c r="I428" s="118" t="n">
        <v>0.9350000000000001</v>
      </c>
      <c r="J428" s="118" t="n">
        <v>0.004</v>
      </c>
      <c r="K428" s="124" t="inlineStr">
        <is>
          <t>N/A</t>
        </is>
      </c>
      <c r="L428" s="124" t="inlineStr">
        <is>
          <t>N/A</t>
        </is>
      </c>
      <c r="M428" s="120" t="n">
        <v>0.036</v>
      </c>
      <c r="N428" s="120" t="n">
        <v>0.051</v>
      </c>
      <c r="O428" s="124" t="inlineStr">
        <is>
          <t>N/A</t>
        </is>
      </c>
      <c r="P428" s="120" t="n">
        <v>0.963</v>
      </c>
      <c r="Q428" s="120" t="n">
        <v>0.019</v>
      </c>
      <c r="R428" s="117" t="n">
        <v>0</v>
      </c>
      <c r="S428" s="118" t="n">
        <v>-5.84</v>
      </c>
      <c r="T428" s="118" t="n">
        <v>0.003</v>
      </c>
      <c r="U428" s="119" t="inlineStr">
        <is>
          <t>✓ Normal</t>
        </is>
      </c>
      <c r="V428" s="117" t="n">
        <v>1</v>
      </c>
      <c r="W428" s="117" t="n">
        <v>0</v>
      </c>
      <c r="X428" s="117" t="n">
        <v>0</v>
      </c>
      <c r="Y428" s="117" t="n">
        <v>1</v>
      </c>
      <c r="Z428" s="117" t="n">
        <v>1</v>
      </c>
      <c r="AA428" s="117" t="n">
        <v>0</v>
      </c>
      <c r="AB428" s="117" t="n">
        <v>3</v>
      </c>
      <c r="AC428" s="121" t="inlineStr">
        <is>
          <t>⚠ WATCH</t>
        </is>
      </c>
      <c r="AD428" s="118" t="n">
        <v>3481000000</v>
      </c>
      <c r="AE428" s="118" t="n">
        <v>286000000</v>
      </c>
      <c r="AF428" s="118" t="n">
        <v>3695000000</v>
      </c>
      <c r="AG428" s="118" t="n">
        <v>-0.001</v>
      </c>
      <c r="AH428" s="119" t="inlineStr">
        <is>
          <t>✓ Medium Quality</t>
        </is>
      </c>
      <c r="AI428" s="118" t="n">
        <v>0.107</v>
      </c>
      <c r="AJ428" s="120" t="n">
        <v>2.888</v>
      </c>
      <c r="AK428" s="120" t="n">
        <v>0.037</v>
      </c>
      <c r="AL428" s="120" t="n">
        <v>0.323</v>
      </c>
      <c r="AM428" s="120" t="n">
        <v>-0.008</v>
      </c>
      <c r="AN428" s="118" t="n">
        <v>99.59999999999999</v>
      </c>
      <c r="AO428" s="119" t="inlineStr">
        <is>
          <t>✓ Good</t>
        </is>
      </c>
      <c r="AP428" s="117" t="n">
        <v>0</v>
      </c>
      <c r="AQ428" s="117" t="n">
        <v>0</v>
      </c>
      <c r="AR428" s="117" t="n">
        <v>0</v>
      </c>
      <c r="AS428" s="117" t="n">
        <v>0</v>
      </c>
      <c r="AT428" s="117" t="n">
        <v>0</v>
      </c>
      <c r="AU428" s="117" t="n">
        <v>1</v>
      </c>
      <c r="AV428" s="117" t="n">
        <v>1</v>
      </c>
      <c r="AW428" s="119" t="inlineStr">
        <is>
          <t>✓ Clean</t>
        </is>
      </c>
      <c r="AX428" s="118" t="n">
        <v>25.8</v>
      </c>
      <c r="AY428" s="119" t="inlineStr">
        <is>
          <t>🟢 LOW RISK</t>
        </is>
      </c>
      <c r="AZ428" s="118" t="n">
        <v>142.6</v>
      </c>
      <c r="BA428" s="118" t="n">
        <v>501.1</v>
      </c>
      <c r="BB428" s="124" t="inlineStr">
        <is>
          <t>N/A</t>
        </is>
      </c>
      <c r="BC428" s="124" t="inlineStr">
        <is>
          <t>N/A</t>
        </is>
      </c>
      <c r="BD428" s="124" t="inlineStr">
        <is>
          <t>N/A</t>
        </is>
      </c>
      <c r="BE428" s="124" t="inlineStr">
        <is>
          <t>N/A</t>
        </is>
      </c>
      <c r="BF428" s="120" t="n">
        <v>0.212</v>
      </c>
      <c r="BG428" s="117" t="n">
        <v>0.963</v>
      </c>
      <c r="BH428" s="122" t="n">
        <v>4</v>
      </c>
      <c r="BI428" s="123" t="n">
        <v>0.8333333333333334</v>
      </c>
    </row>
    <row r="429" ht="17" customHeight="1">
      <c r="A429" s="117" t="inlineStr">
        <is>
          <t>O</t>
        </is>
      </c>
      <c r="B429" s="117" t="inlineStr">
        <is>
          <t>REALTY INCOME CORP</t>
        </is>
      </c>
      <c r="C429" s="118" t="n">
        <v>1.1</v>
      </c>
      <c r="D429" s="124" t="inlineStr">
        <is>
          <t>N/A</t>
        </is>
      </c>
      <c r="E429" s="124" t="inlineStr">
        <is>
          <t>N/A</t>
        </is>
      </c>
      <c r="F429" s="118" t="n">
        <v>1.091</v>
      </c>
      <c r="G429" s="124" t="inlineStr">
        <is>
          <t>N/A</t>
        </is>
      </c>
      <c r="H429" s="118" t="n">
        <v>1.05</v>
      </c>
      <c r="I429" s="118" t="n">
        <v>1.037</v>
      </c>
      <c r="J429" s="118" t="n">
        <v>-0.04</v>
      </c>
      <c r="K429" s="124" t="inlineStr">
        <is>
          <t>N/A</t>
        </is>
      </c>
      <c r="L429" s="124" t="inlineStr">
        <is>
          <t>N/A</t>
        </is>
      </c>
      <c r="M429" s="124" t="inlineStr">
        <is>
          <t>N/A</t>
        </is>
      </c>
      <c r="N429" s="120" t="n">
        <v>0.368</v>
      </c>
      <c r="O429" s="124" t="inlineStr">
        <is>
          <t>N/A</t>
        </is>
      </c>
      <c r="P429" s="120" t="n">
        <v>0.994</v>
      </c>
      <c r="Q429" s="120" t="n">
        <v>0.002</v>
      </c>
      <c r="R429" s="117" t="n">
        <v>1</v>
      </c>
      <c r="S429" s="124" t="inlineStr">
        <is>
          <t>N/A</t>
        </is>
      </c>
      <c r="T429" s="124" t="inlineStr">
        <is>
          <t>N/A</t>
        </is>
      </c>
      <c r="U429" s="124" t="inlineStr">
        <is>
          <t>N/A</t>
        </is>
      </c>
      <c r="V429" s="117" t="n">
        <v>1</v>
      </c>
      <c r="W429" s="117" t="n">
        <v>1</v>
      </c>
      <c r="X429" s="117" t="n">
        <v>0</v>
      </c>
      <c r="Y429" s="117" t="n">
        <v>0</v>
      </c>
      <c r="Z429" s="117" t="n">
        <v>1</v>
      </c>
      <c r="AA429" s="117" t="n">
        <v>0</v>
      </c>
      <c r="AB429" s="117" t="n">
        <v>3</v>
      </c>
      <c r="AC429" s="121" t="inlineStr">
        <is>
          <t>⚠ WATCH</t>
        </is>
      </c>
      <c r="AD429" s="118" t="n">
        <v>3994754000</v>
      </c>
      <c r="AE429" s="118" t="n">
        <v>-5663173000</v>
      </c>
      <c r="AF429" s="118" t="n">
        <v>1058590000</v>
      </c>
      <c r="AG429" s="118" t="n">
        <v>0.039</v>
      </c>
      <c r="AH429" s="119" t="inlineStr">
        <is>
          <t>✓ Medium Quality</t>
        </is>
      </c>
      <c r="AI429" s="118" t="n">
        <v>0.2</v>
      </c>
      <c r="AJ429" s="120" t="n">
        <v>0.091</v>
      </c>
      <c r="AK429" s="120" t="n">
        <v>2.208</v>
      </c>
      <c r="AL429" s="120" t="n">
        <v>0.695</v>
      </c>
      <c r="AM429" s="124" t="inlineStr">
        <is>
          <t>N/A</t>
        </is>
      </c>
      <c r="AN429" s="117" t="n">
        <v>70</v>
      </c>
      <c r="AO429" s="119" t="inlineStr">
        <is>
          <t>✓ Good</t>
        </is>
      </c>
      <c r="AP429" s="117" t="n">
        <v>0</v>
      </c>
      <c r="AQ429" s="117" t="n">
        <v>0</v>
      </c>
      <c r="AR429" s="117" t="n">
        <v>0</v>
      </c>
      <c r="AS429" s="117" t="n">
        <v>1</v>
      </c>
      <c r="AT429" s="117" t="n">
        <v>0</v>
      </c>
      <c r="AU429" s="117" t="n">
        <v>0</v>
      </c>
      <c r="AV429" s="117" t="n">
        <v>1</v>
      </c>
      <c r="AW429" s="119" t="inlineStr">
        <is>
          <t>✓ Clean</t>
        </is>
      </c>
      <c r="AX429" s="118" t="n">
        <v>35.1</v>
      </c>
      <c r="AY429" s="119" t="inlineStr">
        <is>
          <t>🟢 LOW RISK</t>
        </is>
      </c>
      <c r="AZ429" s="118" t="n">
        <v>66.90000000000001</v>
      </c>
      <c r="BA429" s="118" t="n">
        <v>60.8</v>
      </c>
      <c r="BB429" s="124" t="inlineStr">
        <is>
          <t>N/A</t>
        </is>
      </c>
      <c r="BC429" s="124" t="inlineStr">
        <is>
          <t>N/A</t>
        </is>
      </c>
      <c r="BD429" s="124" t="inlineStr">
        <is>
          <t>N/A</t>
        </is>
      </c>
      <c r="BE429" s="124" t="inlineStr">
        <is>
          <t>N/A</t>
        </is>
      </c>
      <c r="BF429" s="120" t="n">
        <v>0.074</v>
      </c>
      <c r="BG429" s="117" t="n">
        <v>0.994</v>
      </c>
      <c r="BH429" s="122" t="n">
        <v>5</v>
      </c>
      <c r="BI429" s="125" t="n">
        <v>0.6666666666666666</v>
      </c>
    </row>
    <row r="430" ht="17" customHeight="1">
      <c r="A430" s="117" t="inlineStr">
        <is>
          <t>NOV</t>
        </is>
      </c>
      <c r="B430" s="117" t="inlineStr">
        <is>
          <t>NOV INC.</t>
        </is>
      </c>
      <c r="C430" s="118" t="n">
        <v>0.949</v>
      </c>
      <c r="D430" s="118" t="n">
        <v>1.121</v>
      </c>
      <c r="E430" s="118" t="n">
        <v>0.9379999999999999</v>
      </c>
      <c r="F430" s="118" t="n">
        <v>0.986</v>
      </c>
      <c r="G430" s="118" t="n">
        <v>1.026</v>
      </c>
      <c r="H430" s="118" t="n">
        <v>1.076</v>
      </c>
      <c r="I430" s="118" t="n">
        <v>1.014</v>
      </c>
      <c r="J430" s="118" t="n">
        <v>-0.098</v>
      </c>
      <c r="K430" s="118" t="n">
        <v>-2.974</v>
      </c>
      <c r="L430" s="119" t="inlineStr">
        <is>
          <t>✓ Lower Risk</t>
        </is>
      </c>
      <c r="M430" s="120" t="n">
        <v>-0.061</v>
      </c>
      <c r="N430" s="120" t="n">
        <v>-0.9370000000000001</v>
      </c>
      <c r="O430" s="120" t="n">
        <v>-1.056</v>
      </c>
      <c r="P430" s="120" t="n">
        <v>0.681</v>
      </c>
      <c r="Q430" s="120" t="n">
        <v>-0.043</v>
      </c>
      <c r="R430" s="117" t="n">
        <v>0</v>
      </c>
      <c r="S430" s="118" t="n">
        <v>-10.19</v>
      </c>
      <c r="T430" s="118" t="n">
        <v>0</v>
      </c>
      <c r="U430" s="119" t="inlineStr">
        <is>
          <t>✓ Normal</t>
        </is>
      </c>
      <c r="V430" s="117" t="n">
        <v>0</v>
      </c>
      <c r="W430" s="117" t="n">
        <v>0</v>
      </c>
      <c r="X430" s="117" t="n">
        <v>0</v>
      </c>
      <c r="Y430" s="117" t="n">
        <v>0</v>
      </c>
      <c r="Z430" s="117" t="n">
        <v>0</v>
      </c>
      <c r="AA430" s="117" t="n">
        <v>0</v>
      </c>
      <c r="AB430" s="117" t="n">
        <v>0</v>
      </c>
      <c r="AC430" s="119" t="inlineStr">
        <is>
          <t>✓ Clean</t>
        </is>
      </c>
      <c r="AD430" s="118" t="n">
        <v>1251000000</v>
      </c>
      <c r="AE430" s="118" t="n">
        <v>-362000000</v>
      </c>
      <c r="AF430" s="118" t="n">
        <v>145000000</v>
      </c>
      <c r="AG430" s="118" t="n">
        <v>-0.066</v>
      </c>
      <c r="AH430" s="119" t="inlineStr">
        <is>
          <t>✓ Medium Quality</t>
        </is>
      </c>
      <c r="AI430" s="118" t="n">
        <v>-0.065</v>
      </c>
      <c r="AJ430" s="120" t="n">
        <v>-0.014</v>
      </c>
      <c r="AK430" s="120" t="n">
        <v>4.567</v>
      </c>
      <c r="AL430" s="120" t="n">
        <v>0.143</v>
      </c>
      <c r="AM430" s="120" t="n">
        <v>0.008</v>
      </c>
      <c r="AN430" s="118" t="n">
        <v>69</v>
      </c>
      <c r="AO430" s="119" t="inlineStr">
        <is>
          <t>✓ Good</t>
        </is>
      </c>
      <c r="AP430" s="117" t="n">
        <v>0</v>
      </c>
      <c r="AQ430" s="117" t="n">
        <v>1</v>
      </c>
      <c r="AR430" s="117" t="n">
        <v>1</v>
      </c>
      <c r="AS430" s="117" t="n">
        <v>1</v>
      </c>
      <c r="AT430" s="117" t="n">
        <v>0</v>
      </c>
      <c r="AU430" s="117" t="n">
        <v>0</v>
      </c>
      <c r="AV430" s="117" t="n">
        <v>3</v>
      </c>
      <c r="AW430" s="121" t="inlineStr">
        <is>
          <t>⚠ WATCH</t>
        </is>
      </c>
      <c r="AX430" s="118" t="n">
        <v>11</v>
      </c>
      <c r="AY430" s="119" t="inlineStr">
        <is>
          <t>🟢 VERY LOW RISK</t>
        </is>
      </c>
      <c r="AZ430" s="118" t="n">
        <v>71</v>
      </c>
      <c r="BA430" s="118" t="n">
        <v>74.90000000000001</v>
      </c>
      <c r="BB430" s="118" t="n">
        <v>102.4</v>
      </c>
      <c r="BC430" s="118" t="n">
        <v>95.90000000000001</v>
      </c>
      <c r="BD430" s="118" t="n">
        <v>47.3</v>
      </c>
      <c r="BE430" s="118" t="n">
        <v>41.6</v>
      </c>
      <c r="BF430" s="120" t="n">
        <v>0.597</v>
      </c>
      <c r="BG430" s="117" t="n">
        <v>0.681</v>
      </c>
      <c r="BH430" s="122" t="n">
        <v>3</v>
      </c>
      <c r="BI430" s="123" t="n">
        <v>1</v>
      </c>
    </row>
    <row r="431" ht="17" customHeight="1">
      <c r="A431" s="117" t="inlineStr">
        <is>
          <t>ACN</t>
        </is>
      </c>
      <c r="B431" s="117" t="inlineStr">
        <is>
          <t>Accenture plc</t>
        </is>
      </c>
      <c r="C431" s="118" t="n">
        <v>0.278</v>
      </c>
      <c r="D431" s="118" t="n">
        <v>0.999</v>
      </c>
      <c r="E431" s="118" t="n">
        <v>0.89</v>
      </c>
      <c r="F431" s="118" t="n">
        <v>3.96</v>
      </c>
      <c r="G431" s="118" t="n">
        <v>1.004</v>
      </c>
      <c r="H431" s="118" t="n">
        <v>0.257</v>
      </c>
      <c r="I431" s="118" t="n">
        <v>1</v>
      </c>
      <c r="J431" s="118" t="n">
        <v>-0.058</v>
      </c>
      <c r="K431" s="118" t="n">
        <v>-0.6919999999999999</v>
      </c>
      <c r="L431" s="121" t="inlineStr">
        <is>
          <t>⚠ MANIPULATOR RISK</t>
        </is>
      </c>
      <c r="M431" s="120" t="n">
        <v>-0.019</v>
      </c>
      <c r="N431" s="120" t="n">
        <v>0.023</v>
      </c>
      <c r="O431" s="124" t="inlineStr">
        <is>
          <t>N/A</t>
        </is>
      </c>
      <c r="P431" s="120" t="n">
        <v>0.801</v>
      </c>
      <c r="Q431" s="120" t="n">
        <v>0.092</v>
      </c>
      <c r="R431" s="117" t="n">
        <v>0</v>
      </c>
      <c r="S431" s="118" t="n">
        <v>-6.307</v>
      </c>
      <c r="T431" s="118" t="n">
        <v>0.002</v>
      </c>
      <c r="U431" s="119" t="inlineStr">
        <is>
          <t>✓ Normal</t>
        </is>
      </c>
      <c r="V431" s="117" t="n">
        <v>1</v>
      </c>
      <c r="W431" s="117" t="n">
        <v>0</v>
      </c>
      <c r="X431" s="117" t="n">
        <v>0</v>
      </c>
      <c r="Y431" s="117" t="n">
        <v>1</v>
      </c>
      <c r="Z431" s="117" t="n">
        <v>1</v>
      </c>
      <c r="AA431" s="117" t="n">
        <v>1</v>
      </c>
      <c r="AB431" s="117" t="n">
        <v>4</v>
      </c>
      <c r="AC431" s="121" t="inlineStr">
        <is>
          <t>⚠⚠ SERIOUS CONCERN</t>
        </is>
      </c>
      <c r="AD431" s="118" t="n">
        <v>11474399000</v>
      </c>
      <c r="AE431" s="118" t="n">
        <v>-2019650000</v>
      </c>
      <c r="AF431" s="118" t="n">
        <v>7678433000</v>
      </c>
      <c r="AG431" s="118" t="n">
        <v>-0.029</v>
      </c>
      <c r="AH431" s="119" t="inlineStr">
        <is>
          <t>✓ Medium Quality</t>
        </is>
      </c>
      <c r="AI431" s="118" t="n">
        <v>0.1</v>
      </c>
      <c r="AJ431" s="120" t="n">
        <v>2.96</v>
      </c>
      <c r="AK431" s="120" t="n">
        <v>0.034</v>
      </c>
      <c r="AL431" s="120" t="n">
        <v>0.165</v>
      </c>
      <c r="AM431" s="120" t="n">
        <v>0.013</v>
      </c>
      <c r="AN431" s="117" t="n">
        <v>100</v>
      </c>
      <c r="AO431" s="119" t="inlineStr">
        <is>
          <t>✓ Good</t>
        </is>
      </c>
      <c r="AP431" s="117" t="n">
        <v>0</v>
      </c>
      <c r="AQ431" s="117" t="n">
        <v>0</v>
      </c>
      <c r="AR431" s="117" t="n">
        <v>0</v>
      </c>
      <c r="AS431" s="117" t="n">
        <v>0</v>
      </c>
      <c r="AT431" s="117" t="n">
        <v>1</v>
      </c>
      <c r="AU431" s="117" t="n">
        <v>0</v>
      </c>
      <c r="AV431" s="117" t="n">
        <v>1</v>
      </c>
      <c r="AW431" s="119" t="inlineStr">
        <is>
          <t>✓ Clean</t>
        </is>
      </c>
      <c r="AX431" s="118" t="n">
        <v>27.5</v>
      </c>
      <c r="AY431" s="119" t="inlineStr">
        <is>
          <t>🟢 LOW RISK</t>
        </is>
      </c>
      <c r="AZ431" s="118" t="n">
        <v>68.40000000000001</v>
      </c>
      <c r="BA431" s="118" t="n">
        <v>246.3</v>
      </c>
      <c r="BB431" s="124" t="inlineStr">
        <is>
          <t>N/A</t>
        </is>
      </c>
      <c r="BC431" s="124" t="inlineStr">
        <is>
          <t>N/A</t>
        </is>
      </c>
      <c r="BD431" s="118" t="n">
        <v>20.7</v>
      </c>
      <c r="BE431" s="118" t="n">
        <v>83.59999999999999</v>
      </c>
      <c r="BF431" s="120" t="n">
        <v>0.237</v>
      </c>
      <c r="BG431" s="117" t="n">
        <v>0.801</v>
      </c>
      <c r="BH431" s="122" t="n">
        <v>5</v>
      </c>
      <c r="BI431" s="123" t="n">
        <v>1</v>
      </c>
    </row>
    <row r="432" ht="17" customHeight="1">
      <c r="A432" s="117" t="inlineStr">
        <is>
          <t>HIW</t>
        </is>
      </c>
      <c r="B432" s="121" t="inlineStr">
        <is>
          <t>HIGHWOODS PROPERTIES, INC.</t>
        </is>
      </c>
      <c r="C432" s="118" t="n">
        <v>1.024</v>
      </c>
      <c r="D432" s="118" t="n">
        <v>0.915</v>
      </c>
      <c r="E432" s="124" t="inlineStr">
        <is>
          <t>N/A</t>
        </is>
      </c>
      <c r="F432" s="118" t="n">
        <v>0.976</v>
      </c>
      <c r="G432" s="124" t="inlineStr">
        <is>
          <t>N/A</t>
        </is>
      </c>
      <c r="H432" s="118" t="n">
        <v>0.985</v>
      </c>
      <c r="I432" s="118" t="n">
        <v>1.025</v>
      </c>
      <c r="J432" s="118" t="n">
        <v>-0.031</v>
      </c>
      <c r="K432" s="124" t="inlineStr">
        <is>
          <t>N/A</t>
        </is>
      </c>
      <c r="L432" s="124" t="inlineStr">
        <is>
          <t>N/A</t>
        </is>
      </c>
      <c r="M432" s="124" t="inlineStr">
        <is>
          <t>N/A</t>
        </is>
      </c>
      <c r="N432" s="120" t="n">
        <v>-0.001</v>
      </c>
      <c r="O432" s="124" t="inlineStr">
        <is>
          <t>N/A</t>
        </is>
      </c>
      <c r="P432" s="120" t="n">
        <v>0.996</v>
      </c>
      <c r="Q432" s="120" t="n">
        <v>0.008999999999999999</v>
      </c>
      <c r="R432" s="117" t="n">
        <v>1</v>
      </c>
      <c r="S432" s="124" t="inlineStr">
        <is>
          <t>N/A</t>
        </is>
      </c>
      <c r="T432" s="124" t="inlineStr">
        <is>
          <t>N/A</t>
        </is>
      </c>
      <c r="U432" s="124" t="inlineStr">
        <is>
          <t>N/A</t>
        </is>
      </c>
      <c r="V432" s="117" t="n">
        <v>1</v>
      </c>
      <c r="W432" s="117" t="n">
        <v>1</v>
      </c>
      <c r="X432" s="117" t="n">
        <v>0</v>
      </c>
      <c r="Y432" s="117" t="n">
        <v>0</v>
      </c>
      <c r="Z432" s="117" t="n">
        <v>1</v>
      </c>
      <c r="AA432" s="117" t="n">
        <v>0</v>
      </c>
      <c r="AB432" s="117" t="n">
        <v>3</v>
      </c>
      <c r="AC432" s="121" t="inlineStr">
        <is>
          <t>⚠ WATCH</t>
        </is>
      </c>
      <c r="AD432" s="118" t="n">
        <v>359207000</v>
      </c>
      <c r="AE432" s="118" t="n">
        <v>-440664000</v>
      </c>
      <c r="AF432" s="118" t="n">
        <v>162650000</v>
      </c>
      <c r="AG432" s="118" t="n">
        <v>0.04</v>
      </c>
      <c r="AH432" s="119" t="inlineStr">
        <is>
          <t>✓ Medium Quality</t>
        </is>
      </c>
      <c r="AI432" s="118" t="n">
        <v>-0.001</v>
      </c>
      <c r="AJ432" s="120" t="n">
        <v>-0.024</v>
      </c>
      <c r="AK432" s="120" t="n">
        <v>0.035</v>
      </c>
      <c r="AL432" s="120" t="n">
        <v>0.446</v>
      </c>
      <c r="AM432" s="124" t="inlineStr">
        <is>
          <t>N/A</t>
        </is>
      </c>
      <c r="AN432" s="117" t="n">
        <v>100</v>
      </c>
      <c r="AO432" s="119" t="inlineStr">
        <is>
          <t>✓ Good</t>
        </is>
      </c>
      <c r="AP432" s="117" t="n">
        <v>0</v>
      </c>
      <c r="AQ432" s="117" t="n">
        <v>1</v>
      </c>
      <c r="AR432" s="117" t="n">
        <v>0</v>
      </c>
      <c r="AS432" s="117" t="n">
        <v>0</v>
      </c>
      <c r="AT432" s="117" t="n">
        <v>0</v>
      </c>
      <c r="AU432" s="117" t="n">
        <v>0</v>
      </c>
      <c r="AV432" s="117" t="n">
        <v>1</v>
      </c>
      <c r="AW432" s="119" t="inlineStr">
        <is>
          <t>✓ Clean</t>
        </is>
      </c>
      <c r="AX432" s="118" t="n">
        <v>33.6</v>
      </c>
      <c r="AY432" s="119" t="inlineStr">
        <is>
          <t>🟢 LOW RISK</t>
        </is>
      </c>
      <c r="AZ432" s="118" t="n">
        <v>12.8</v>
      </c>
      <c r="BA432" s="118" t="n">
        <v>12.5</v>
      </c>
      <c r="BB432" s="124" t="inlineStr">
        <is>
          <t>N/A</t>
        </is>
      </c>
      <c r="BC432" s="124" t="inlineStr">
        <is>
          <t>N/A</t>
        </is>
      </c>
      <c r="BD432" s="124" t="inlineStr">
        <is>
          <t>N/A</t>
        </is>
      </c>
      <c r="BE432" s="124" t="inlineStr">
        <is>
          <t>N/A</t>
        </is>
      </c>
      <c r="BF432" s="124" t="inlineStr">
        <is>
          <t>N/A</t>
        </is>
      </c>
      <c r="BG432" s="117" t="n">
        <v>0.996</v>
      </c>
      <c r="BH432" s="122" t="n">
        <v>5</v>
      </c>
      <c r="BI432" s="125" t="n">
        <v>0.6666666666666666</v>
      </c>
    </row>
    <row r="433" ht="17" customHeight="1">
      <c r="A433" s="117" t="inlineStr">
        <is>
          <t>CDNS</t>
        </is>
      </c>
      <c r="B433" s="117" t="inlineStr">
        <is>
          <t>CADENCE DESIGN SYSTEMS, INC.</t>
        </is>
      </c>
      <c r="C433" s="118" t="n">
        <v>1.217</v>
      </c>
      <c r="D433" s="118" t="n">
        <v>0.999</v>
      </c>
      <c r="E433" s="118" t="n">
        <v>0.975</v>
      </c>
      <c r="F433" s="118" t="n">
        <v>1.141</v>
      </c>
      <c r="G433" s="118" t="n">
        <v>1.073</v>
      </c>
      <c r="H433" s="118" t="n">
        <v>0.973</v>
      </c>
      <c r="I433" s="118" t="n">
        <v>1</v>
      </c>
      <c r="J433" s="118" t="n">
        <v>-0.061</v>
      </c>
      <c r="K433" s="118" t="n">
        <v>-2.438</v>
      </c>
      <c r="L433" s="119" t="inlineStr">
        <is>
          <t>✓ Lower Risk</t>
        </is>
      </c>
      <c r="M433" s="120" t="n">
        <v>-0.006</v>
      </c>
      <c r="N433" s="120" t="n">
        <v>0.403</v>
      </c>
      <c r="O433" s="120" t="n">
        <v>0.07000000000000001</v>
      </c>
      <c r="P433" s="120" t="n">
        <v>0.653</v>
      </c>
      <c r="Q433" s="120" t="n">
        <v>-0.008</v>
      </c>
      <c r="R433" s="117" t="n">
        <v>0</v>
      </c>
      <c r="S433" s="118" t="n">
        <v>-5.502</v>
      </c>
      <c r="T433" s="118" t="n">
        <v>0.004</v>
      </c>
      <c r="U433" s="119" t="inlineStr">
        <is>
          <t>✓ Normal</t>
        </is>
      </c>
      <c r="V433" s="117" t="n">
        <v>0</v>
      </c>
      <c r="W433" s="117" t="n">
        <v>1</v>
      </c>
      <c r="X433" s="117" t="n">
        <v>1</v>
      </c>
      <c r="Y433" s="117" t="n">
        <v>1</v>
      </c>
      <c r="Z433" s="117" t="n">
        <v>1</v>
      </c>
      <c r="AA433" s="117" t="n">
        <v>1</v>
      </c>
      <c r="AB433" s="117" t="n">
        <v>5</v>
      </c>
      <c r="AC433" s="121" t="inlineStr">
        <is>
          <t>⚠⚠ SERIOUS CONCERN</t>
        </is>
      </c>
      <c r="AD433" s="118" t="n">
        <v>1728781000</v>
      </c>
      <c r="AE433" s="118" t="n">
        <v>-460523000</v>
      </c>
      <c r="AF433" s="118" t="n">
        <v>1108888000</v>
      </c>
      <c r="AG433" s="118" t="n">
        <v>-0.017</v>
      </c>
      <c r="AH433" s="119" t="inlineStr">
        <is>
          <t>✓ Medium Quality</t>
        </is>
      </c>
      <c r="AI433" s="118" t="n">
        <v>0.389</v>
      </c>
      <c r="AJ433" s="120" t="n">
        <v>0.141</v>
      </c>
      <c r="AK433" s="120" t="n">
        <v>2.752</v>
      </c>
      <c r="AL433" s="120" t="n">
        <v>0.326</v>
      </c>
      <c r="AM433" s="120" t="n">
        <v>0.008</v>
      </c>
      <c r="AN433" s="118" t="n">
        <v>70.40000000000001</v>
      </c>
      <c r="AO433" s="119" t="inlineStr">
        <is>
          <t>✓ Good</t>
        </is>
      </c>
      <c r="AP433" s="117" t="n">
        <v>0</v>
      </c>
      <c r="AQ433" s="117" t="n">
        <v>0</v>
      </c>
      <c r="AR433" s="117" t="n">
        <v>0</v>
      </c>
      <c r="AS433" s="117" t="n">
        <v>0</v>
      </c>
      <c r="AT433" s="117" t="n">
        <v>0</v>
      </c>
      <c r="AU433" s="117" t="n">
        <v>0</v>
      </c>
      <c r="AV433" s="117" t="n">
        <v>0</v>
      </c>
      <c r="AW433" s="119" t="inlineStr">
        <is>
          <t>✓ Clean</t>
        </is>
      </c>
      <c r="AX433" s="118" t="n">
        <v>26.3</v>
      </c>
      <c r="AY433" s="119" t="inlineStr">
        <is>
          <t>🟢 LOW RISK</t>
        </is>
      </c>
      <c r="AZ433" s="118" t="n">
        <v>65.09999999999999</v>
      </c>
      <c r="BA433" s="118" t="n">
        <v>53.5</v>
      </c>
      <c r="BB433" s="118" t="n">
        <v>1509.6</v>
      </c>
      <c r="BC433" s="118" t="n">
        <v>1350.4</v>
      </c>
      <c r="BD433" s="118" t="n">
        <v>27.3</v>
      </c>
      <c r="BE433" s="118" t="n">
        <v>25.3</v>
      </c>
      <c r="BF433" s="120" t="n">
        <v>0.271</v>
      </c>
      <c r="BG433" s="117" t="n">
        <v>0.653</v>
      </c>
      <c r="BH433" s="122" t="n">
        <v>5</v>
      </c>
      <c r="BI433" s="123" t="n">
        <v>1</v>
      </c>
    </row>
    <row r="434" ht="17" customHeight="1">
      <c r="A434" s="117" t="inlineStr">
        <is>
          <t>ALGN</t>
        </is>
      </c>
      <c r="B434" s="117" t="inlineStr">
        <is>
          <t>ALIGN TECHNOLOGY, INC.</t>
        </is>
      </c>
      <c r="C434" s="118" t="n">
        <v>0.893</v>
      </c>
      <c r="D434" s="118" t="n">
        <v>1.28</v>
      </c>
      <c r="E434" s="118" t="n">
        <v>1.011</v>
      </c>
      <c r="F434" s="118" t="n">
        <v>1.239</v>
      </c>
      <c r="G434" s="118" t="n">
        <v>0.885</v>
      </c>
      <c r="H434" s="118" t="n">
        <v>0.803</v>
      </c>
      <c r="I434" s="118" t="n">
        <v>0.922</v>
      </c>
      <c r="J434" s="118" t="n">
        <v>-0.029</v>
      </c>
      <c r="K434" s="118" t="n">
        <v>-2.304</v>
      </c>
      <c r="L434" s="119" t="inlineStr">
        <is>
          <t>✓ Lower Risk</t>
        </is>
      </c>
      <c r="M434" s="120" t="n">
        <v>0.018</v>
      </c>
      <c r="N434" s="120" t="n">
        <v>1.418</v>
      </c>
      <c r="O434" s="120" t="n">
        <v>-0.374</v>
      </c>
      <c r="P434" s="120" t="n">
        <v>0.643</v>
      </c>
      <c r="Q434" s="120" t="n">
        <v>-0.002</v>
      </c>
      <c r="R434" s="117" t="n">
        <v>0</v>
      </c>
      <c r="S434" s="118" t="n">
        <v>-3.48</v>
      </c>
      <c r="T434" s="118" t="n">
        <v>0.03</v>
      </c>
      <c r="U434" s="119" t="inlineStr">
        <is>
          <t>✓ Normal</t>
        </is>
      </c>
      <c r="V434" s="117" t="n">
        <v>1</v>
      </c>
      <c r="W434" s="117" t="n">
        <v>0</v>
      </c>
      <c r="X434" s="117" t="n">
        <v>0</v>
      </c>
      <c r="Y434" s="117" t="n">
        <v>1</v>
      </c>
      <c r="Z434" s="117" t="n">
        <v>0</v>
      </c>
      <c r="AA434" s="117" t="n">
        <v>0</v>
      </c>
      <c r="AB434" s="117" t="n">
        <v>2</v>
      </c>
      <c r="AC434" s="121" t="inlineStr">
        <is>
          <t>⚠ WATCH</t>
        </is>
      </c>
      <c r="AD434" s="118" t="n">
        <v>593223000</v>
      </c>
      <c r="AE434" s="118" t="n">
        <v>-112445000</v>
      </c>
      <c r="AF434" s="118" t="n">
        <v>410351000</v>
      </c>
      <c r="AG434" s="118" t="n">
        <v>-0.011</v>
      </c>
      <c r="AH434" s="119" t="inlineStr">
        <is>
          <t>✓ Medium Quality</t>
        </is>
      </c>
      <c r="AI434" s="118" t="n">
        <v>0.107</v>
      </c>
      <c r="AJ434" s="120" t="n">
        <v>0.239</v>
      </c>
      <c r="AK434" s="120" t="n">
        <v>0.445</v>
      </c>
      <c r="AL434" s="120" t="n">
        <v>1.532</v>
      </c>
      <c r="AM434" s="120" t="n">
        <v>-0.179</v>
      </c>
      <c r="AN434" s="118" t="n">
        <v>91</v>
      </c>
      <c r="AO434" s="119" t="inlineStr">
        <is>
          <t>✓ Good</t>
        </is>
      </c>
      <c r="AP434" s="117" t="n">
        <v>0</v>
      </c>
      <c r="AQ434" s="117" t="n">
        <v>1</v>
      </c>
      <c r="AR434" s="117" t="n">
        <v>1</v>
      </c>
      <c r="AS434" s="117" t="n">
        <v>0</v>
      </c>
      <c r="AT434" s="117" t="n">
        <v>1</v>
      </c>
      <c r="AU434" s="117" t="n">
        <v>1</v>
      </c>
      <c r="AV434" s="117" t="n">
        <v>4</v>
      </c>
      <c r="AW434" s="117" t="inlineStr">
        <is>
          <t>⚠⚠ MULTIPLE RED FLAGS</t>
        </is>
      </c>
      <c r="AX434" s="118" t="n">
        <v>22.8</v>
      </c>
      <c r="AY434" s="119" t="inlineStr">
        <is>
          <t>🟢 LOW RISK</t>
        </is>
      </c>
      <c r="AZ434" s="118" t="n">
        <v>1038.8</v>
      </c>
      <c r="BA434" s="118" t="n">
        <v>1163.6</v>
      </c>
      <c r="BB434" s="118" t="n">
        <v>62.4</v>
      </c>
      <c r="BC434" s="118" t="n">
        <v>77.40000000000001</v>
      </c>
      <c r="BD434" s="118" t="n">
        <v>33.5</v>
      </c>
      <c r="BE434" s="118" t="n">
        <v>33.1</v>
      </c>
      <c r="BF434" s="120" t="n">
        <v>0.299</v>
      </c>
      <c r="BG434" s="117" t="n">
        <v>0.643</v>
      </c>
      <c r="BH434" s="122" t="n">
        <v>6</v>
      </c>
      <c r="BI434" s="123" t="n">
        <v>1</v>
      </c>
    </row>
    <row r="435" ht="17" customHeight="1">
      <c r="A435" s="117" t="inlineStr">
        <is>
          <t>ADSK</t>
        </is>
      </c>
      <c r="B435" s="117" t="inlineStr">
        <is>
          <t>AUTODESK, INC.</t>
        </is>
      </c>
      <c r="C435" s="118" t="n">
        <v>1.215</v>
      </c>
      <c r="D435" s="118" t="n">
        <v>0.996</v>
      </c>
      <c r="E435" s="118" t="n">
        <v>0.889</v>
      </c>
      <c r="F435" s="118" t="n">
        <v>1.175</v>
      </c>
      <c r="G435" s="118" t="n">
        <v>0.982</v>
      </c>
      <c r="H435" s="118" t="n">
        <v>0.907</v>
      </c>
      <c r="I435" s="118" t="n">
        <v>1</v>
      </c>
      <c r="J435" s="118" t="n">
        <v>-0.107</v>
      </c>
      <c r="K435" s="118" t="n">
        <v>-2.658</v>
      </c>
      <c r="L435" s="119" t="inlineStr">
        <is>
          <t>✓ Lower Risk</t>
        </is>
      </c>
      <c r="M435" s="120" t="n">
        <v>-0.003</v>
      </c>
      <c r="N435" s="120" t="n">
        <v>0.401</v>
      </c>
      <c r="O435" s="124" t="inlineStr">
        <is>
          <t>N/A</t>
        </is>
      </c>
      <c r="P435" s="120" t="n">
        <v>0.8100000000000001</v>
      </c>
      <c r="Q435" s="120" t="n">
        <v>-0.012</v>
      </c>
      <c r="R435" s="117" t="n">
        <v>0</v>
      </c>
      <c r="S435" s="118" t="n">
        <v>-5.278</v>
      </c>
      <c r="T435" s="118" t="n">
        <v>0.005</v>
      </c>
      <c r="U435" s="119" t="inlineStr">
        <is>
          <t>✓ Normal</t>
        </is>
      </c>
      <c r="V435" s="117" t="n">
        <v>0</v>
      </c>
      <c r="W435" s="117" t="n">
        <v>1</v>
      </c>
      <c r="X435" s="117" t="n">
        <v>0</v>
      </c>
      <c r="Y435" s="117" t="n">
        <v>0</v>
      </c>
      <c r="Z435" s="117" t="n">
        <v>1</v>
      </c>
      <c r="AA435" s="117" t="n">
        <v>1</v>
      </c>
      <c r="AB435" s="117" t="n">
        <v>3</v>
      </c>
      <c r="AC435" s="121" t="inlineStr">
        <is>
          <t>⚠ WATCH</t>
        </is>
      </c>
      <c r="AD435" s="118" t="n">
        <v>2452000000</v>
      </c>
      <c r="AE435" s="118" t="n">
        <v>-451000000</v>
      </c>
      <c r="AF435" s="118" t="n">
        <v>1124000000</v>
      </c>
      <c r="AG435" s="118" t="n">
        <v>-0.075</v>
      </c>
      <c r="AH435" s="119" t="inlineStr">
        <is>
          <t>✓ Medium Quality</t>
        </is>
      </c>
      <c r="AI435" s="118" t="n">
        <v>0.428</v>
      </c>
      <c r="AJ435" s="120" t="n">
        <v>0.175</v>
      </c>
      <c r="AK435" s="120" t="n">
        <v>2.439</v>
      </c>
      <c r="AL435" s="120" t="n">
        <v>0.34</v>
      </c>
      <c r="AM435" s="120" t="n">
        <v>0.039</v>
      </c>
      <c r="AN435" s="118" t="n">
        <v>72</v>
      </c>
      <c r="AO435" s="119" t="inlineStr">
        <is>
          <t>✓ Good</t>
        </is>
      </c>
      <c r="AP435" s="117" t="n">
        <v>0</v>
      </c>
      <c r="AQ435" s="117" t="n">
        <v>0</v>
      </c>
      <c r="AR435" s="117" t="n">
        <v>0</v>
      </c>
      <c r="AS435" s="117" t="n">
        <v>0</v>
      </c>
      <c r="AT435" s="117" t="n">
        <v>1</v>
      </c>
      <c r="AU435" s="117" t="n">
        <v>0</v>
      </c>
      <c r="AV435" s="117" t="n">
        <v>1</v>
      </c>
      <c r="AW435" s="119" t="inlineStr">
        <is>
          <t>✓ Clean</t>
        </is>
      </c>
      <c r="AX435" s="118" t="n">
        <v>21</v>
      </c>
      <c r="AY435" s="119" t="inlineStr">
        <is>
          <t>🟢 LOW RISK</t>
        </is>
      </c>
      <c r="AZ435" s="118" t="n">
        <v>72.90000000000001</v>
      </c>
      <c r="BA435" s="118" t="n">
        <v>60</v>
      </c>
      <c r="BB435" s="124" t="inlineStr">
        <is>
          <t>N/A</t>
        </is>
      </c>
      <c r="BC435" s="124" t="inlineStr">
        <is>
          <t>N/A</t>
        </is>
      </c>
      <c r="BD435" s="118" t="n">
        <v>237</v>
      </c>
      <c r="BE435" s="118" t="n">
        <v>152.8</v>
      </c>
      <c r="BF435" s="120" t="n">
        <v>0.299</v>
      </c>
      <c r="BG435" s="117" t="n">
        <v>0.8100000000000001</v>
      </c>
      <c r="BH435" s="122" t="n">
        <v>4</v>
      </c>
      <c r="BI435" s="123" t="n">
        <v>1</v>
      </c>
    </row>
    <row r="436" ht="17" customHeight="1">
      <c r="A436" s="117" t="inlineStr">
        <is>
          <t>ROK</t>
        </is>
      </c>
      <c r="B436" s="117" t="inlineStr">
        <is>
          <t>Rockwell Automation, Inc.</t>
        </is>
      </c>
      <c r="C436" s="118" t="n">
        <v>0.278</v>
      </c>
      <c r="D436" s="118" t="n">
        <v>3.065</v>
      </c>
      <c r="E436" s="118" t="n">
        <v>0.992</v>
      </c>
      <c r="F436" s="118" t="n">
        <v>3.854</v>
      </c>
      <c r="G436" s="118" t="n">
        <v>1.002</v>
      </c>
      <c r="H436" s="118" t="n">
        <v>0.248</v>
      </c>
      <c r="I436" s="118" t="n">
        <v>1</v>
      </c>
      <c r="J436" s="118" t="n">
        <v>-0.06</v>
      </c>
      <c r="K436" s="118" t="n">
        <v>0.337</v>
      </c>
      <c r="L436" s="121" t="inlineStr">
        <is>
          <t>⚠ MANIPULATOR RISK</t>
        </is>
      </c>
      <c r="M436" s="120" t="n">
        <v>-0.012</v>
      </c>
      <c r="N436" s="120" t="n">
        <v>0.026</v>
      </c>
      <c r="O436" s="120" t="n">
        <v>-0.008999999999999999</v>
      </c>
      <c r="P436" s="120" t="n">
        <v>0.887</v>
      </c>
      <c r="Q436" s="120" t="n">
        <v>-0.007</v>
      </c>
      <c r="R436" s="117" t="n">
        <v>0</v>
      </c>
      <c r="S436" s="118" t="n">
        <v>-6.089</v>
      </c>
      <c r="T436" s="118" t="n">
        <v>0.002</v>
      </c>
      <c r="U436" s="119" t="inlineStr">
        <is>
          <t>✓ Normal</t>
        </is>
      </c>
      <c r="V436" s="117" t="n">
        <v>0</v>
      </c>
      <c r="W436" s="117" t="n">
        <v>0</v>
      </c>
      <c r="X436" s="117" t="n">
        <v>0</v>
      </c>
      <c r="Y436" s="117" t="n">
        <v>1</v>
      </c>
      <c r="Z436" s="117" t="n">
        <v>0</v>
      </c>
      <c r="AA436" s="117" t="n">
        <v>0</v>
      </c>
      <c r="AB436" s="117" t="n">
        <v>1</v>
      </c>
      <c r="AC436" s="119" t="inlineStr">
        <is>
          <t>✓ Clean</t>
        </is>
      </c>
      <c r="AD436" s="118" t="n">
        <v>1544000000</v>
      </c>
      <c r="AE436" s="118" t="n">
        <v>-216000000</v>
      </c>
      <c r="AF436" s="118" t="n">
        <v>869000000</v>
      </c>
      <c r="AG436" s="118" t="n">
        <v>-0.041</v>
      </c>
      <c r="AH436" s="119" t="inlineStr">
        <is>
          <t>✓ Medium Quality</t>
        </is>
      </c>
      <c r="AI436" s="118" t="n">
        <v>0.07199999999999999</v>
      </c>
      <c r="AJ436" s="120" t="n">
        <v>2.854</v>
      </c>
      <c r="AK436" s="120" t="n">
        <v>0.025</v>
      </c>
      <c r="AL436" s="120" t="n">
        <v>0.232</v>
      </c>
      <c r="AM436" s="120" t="n">
        <v>0.006</v>
      </c>
      <c r="AN436" s="117" t="n">
        <v>100</v>
      </c>
      <c r="AO436" s="119" t="inlineStr">
        <is>
          <t>✓ Good</t>
        </is>
      </c>
      <c r="AP436" s="117" t="n">
        <v>0</v>
      </c>
      <c r="AQ436" s="117" t="n">
        <v>0</v>
      </c>
      <c r="AR436" s="117" t="n">
        <v>1</v>
      </c>
      <c r="AS436" s="117" t="n">
        <v>0</v>
      </c>
      <c r="AT436" s="117" t="n">
        <v>1</v>
      </c>
      <c r="AU436" s="117" t="n">
        <v>0</v>
      </c>
      <c r="AV436" s="117" t="n">
        <v>2</v>
      </c>
      <c r="AW436" s="121" t="inlineStr">
        <is>
          <t>⚠ WATCH</t>
        </is>
      </c>
      <c r="AX436" s="118" t="n">
        <v>21.7</v>
      </c>
      <c r="AY436" s="119" t="inlineStr">
        <is>
          <t>🟢 LOW RISK</t>
        </is>
      </c>
      <c r="AZ436" s="118" t="n">
        <v>105.7</v>
      </c>
      <c r="BA436" s="118" t="n">
        <v>380.3</v>
      </c>
      <c r="BB436" s="118" t="n">
        <v>105.2</v>
      </c>
      <c r="BC436" s="118" t="n">
        <v>93.09999999999999</v>
      </c>
      <c r="BD436" s="118" t="n">
        <v>78.5</v>
      </c>
      <c r="BE436" s="118" t="n">
        <v>61.9</v>
      </c>
      <c r="BF436" s="120" t="n">
        <v>0.183</v>
      </c>
      <c r="BG436" s="117" t="n">
        <v>0.887</v>
      </c>
      <c r="BH436" s="122" t="n">
        <v>3</v>
      </c>
      <c r="BI436" s="123" t="n">
        <v>1</v>
      </c>
    </row>
    <row r="437" ht="17" customHeight="1">
      <c r="A437" s="129" t="inlineStr">
        <is>
          <t>NVR</t>
        </is>
      </c>
      <c r="B437" s="129" t="inlineStr">
        <is>
          <t>NVR, Inc.</t>
        </is>
      </c>
      <c r="C437" s="124" t="inlineStr">
        <is>
          <t>N/A</t>
        </is>
      </c>
      <c r="D437" s="124" t="inlineStr">
        <is>
          <t>N/A</t>
        </is>
      </c>
      <c r="E437" s="124" t="inlineStr">
        <is>
          <t>N/A</t>
        </is>
      </c>
      <c r="F437" s="130" t="n">
        <v>0.981</v>
      </c>
      <c r="G437" s="124" t="inlineStr">
        <is>
          <t>N/A</t>
        </is>
      </c>
      <c r="H437" s="124" t="inlineStr">
        <is>
          <t>N/A</t>
        </is>
      </c>
      <c r="I437" s="130" t="n">
        <v>1</v>
      </c>
      <c r="J437" s="130" t="n">
        <v>0.037</v>
      </c>
      <c r="K437" s="124" t="inlineStr">
        <is>
          <t>N/A</t>
        </is>
      </c>
      <c r="L437" s="124" t="inlineStr">
        <is>
          <t>N/A</t>
        </is>
      </c>
      <c r="M437" s="124" t="inlineStr">
        <is>
          <t>N/A</t>
        </is>
      </c>
      <c r="N437" s="124" t="inlineStr">
        <is>
          <t>N/A</t>
        </is>
      </c>
      <c r="O437" s="124" t="inlineStr">
        <is>
          <t>N/A</t>
        </is>
      </c>
      <c r="P437" s="131" t="n">
        <v>0.52</v>
      </c>
      <c r="Q437" s="131" t="n">
        <v>-0.035</v>
      </c>
      <c r="R437" s="129" t="n">
        <v>0</v>
      </c>
      <c r="S437" s="124" t="inlineStr">
        <is>
          <t>N/A</t>
        </is>
      </c>
      <c r="T437" s="124" t="inlineStr">
        <is>
          <t>N/A</t>
        </is>
      </c>
      <c r="U437" s="124" t="inlineStr">
        <is>
          <t>N/A</t>
        </is>
      </c>
      <c r="V437" s="129" t="n">
        <v>0</v>
      </c>
      <c r="W437" s="129" t="n">
        <v>0</v>
      </c>
      <c r="X437" s="129" t="n">
        <v>0</v>
      </c>
      <c r="Y437" s="129" t="n">
        <v>0</v>
      </c>
      <c r="Z437" s="129" t="n">
        <v>0</v>
      </c>
      <c r="AA437" s="129" t="n">
        <v>0</v>
      </c>
      <c r="AB437" s="129" t="n">
        <v>0</v>
      </c>
      <c r="AC437" s="119" t="inlineStr">
        <is>
          <t>✓ Clean</t>
        </is>
      </c>
      <c r="AD437" s="130" t="n">
        <v>1121320000</v>
      </c>
      <c r="AE437" s="130" t="n">
        <v>-71208000</v>
      </c>
      <c r="AF437" s="130" t="n">
        <v>1339816000</v>
      </c>
      <c r="AG437" s="130" t="n">
        <v>0.047</v>
      </c>
      <c r="AH437" s="119" t="inlineStr">
        <is>
          <t>✓ Medium Quality</t>
        </is>
      </c>
      <c r="AI437" s="124" t="inlineStr">
        <is>
          <t>N/A</t>
        </is>
      </c>
      <c r="AJ437" s="131" t="n">
        <v>-0.019</v>
      </c>
      <c r="AK437" s="124" t="inlineStr">
        <is>
          <t>N/A</t>
        </is>
      </c>
      <c r="AL437" s="131" t="n">
        <v>0.109</v>
      </c>
      <c r="AM437" s="124" t="inlineStr">
        <is>
          <t>N/A</t>
        </is>
      </c>
      <c r="AN437" s="130" t="n">
        <v>91.7</v>
      </c>
      <c r="AO437" s="119" t="inlineStr">
        <is>
          <t>✓ Good</t>
        </is>
      </c>
      <c r="AP437" s="129" t="n">
        <v>0</v>
      </c>
      <c r="AQ437" s="129" t="n">
        <v>0</v>
      </c>
      <c r="AR437" s="129" t="n">
        <v>0</v>
      </c>
      <c r="AS437" s="129" t="n">
        <v>0</v>
      </c>
      <c r="AT437" s="129" t="n">
        <v>0</v>
      </c>
      <c r="AU437" s="129" t="n">
        <v>0</v>
      </c>
      <c r="AV437" s="129" t="n">
        <v>0</v>
      </c>
      <c r="AW437" s="119" t="inlineStr">
        <is>
          <t>✓ Clean</t>
        </is>
      </c>
      <c r="AX437" s="130" t="n">
        <v>23.4</v>
      </c>
      <c r="AY437" s="119" t="inlineStr">
        <is>
          <t>🟢 LOW RISK</t>
        </is>
      </c>
      <c r="AZ437" s="130" t="n">
        <v>0</v>
      </c>
      <c r="BA437" s="124" t="inlineStr">
        <is>
          <t>N/A</t>
        </is>
      </c>
      <c r="BB437" s="124" t="inlineStr">
        <is>
          <t>N/A</t>
        </is>
      </c>
      <c r="BC437" s="124" t="inlineStr">
        <is>
          <t>N/A</t>
        </is>
      </c>
      <c r="BD437" s="124" t="inlineStr">
        <is>
          <t>N/A</t>
        </is>
      </c>
      <c r="BE437" s="124" t="inlineStr">
        <is>
          <t>N/A</t>
        </is>
      </c>
      <c r="BF437" s="131" t="n">
        <v>0.24</v>
      </c>
      <c r="BG437" s="129" t="n">
        <v>0.52</v>
      </c>
      <c r="BH437" s="129" t="n">
        <v>0</v>
      </c>
      <c r="BI437" s="125" t="n">
        <v>0.6666666666666666</v>
      </c>
    </row>
    <row r="438" ht="17" customHeight="1">
      <c r="A438" s="117" t="inlineStr">
        <is>
          <t>LVS</t>
        </is>
      </c>
      <c r="B438" s="117" t="inlineStr">
        <is>
          <t>LAS VEGAS SANDS CORP</t>
        </is>
      </c>
      <c r="C438" s="118" t="n">
        <v>0.499</v>
      </c>
      <c r="D438" s="124" t="inlineStr">
        <is>
          <t>N/A</t>
        </is>
      </c>
      <c r="E438" s="118" t="n">
        <v>1.165</v>
      </c>
      <c r="F438" s="118" t="n">
        <v>3.567</v>
      </c>
      <c r="G438" s="118" t="n">
        <v>0.882</v>
      </c>
      <c r="H438" s="118" t="n">
        <v>0.29</v>
      </c>
      <c r="I438" s="118" t="n">
        <v>1.076</v>
      </c>
      <c r="J438" s="118" t="n">
        <v>-0.064</v>
      </c>
      <c r="K438" s="124" t="inlineStr">
        <is>
          <t>N/A</t>
        </is>
      </c>
      <c r="L438" s="124" t="inlineStr">
        <is>
          <t>N/A</t>
        </is>
      </c>
      <c r="M438" s="120" t="n">
        <v>0.021</v>
      </c>
      <c r="N438" s="120" t="n">
        <v>0.035</v>
      </c>
      <c r="O438" s="120" t="n">
        <v>0.001</v>
      </c>
      <c r="P438" s="120" t="n">
        <v>0.292</v>
      </c>
      <c r="Q438" s="120" t="n">
        <v>0.055</v>
      </c>
      <c r="R438" s="117" t="n">
        <v>0</v>
      </c>
      <c r="S438" s="118" t="n">
        <v>-7.234</v>
      </c>
      <c r="T438" s="118" t="n">
        <v>0.001</v>
      </c>
      <c r="U438" s="119" t="inlineStr">
        <is>
          <t>✓ Normal</t>
        </is>
      </c>
      <c r="V438" s="117" t="n">
        <v>1</v>
      </c>
      <c r="W438" s="117" t="n">
        <v>0</v>
      </c>
      <c r="X438" s="117" t="n">
        <v>0</v>
      </c>
      <c r="Y438" s="117" t="n">
        <v>1</v>
      </c>
      <c r="Z438" s="117" t="n">
        <v>0</v>
      </c>
      <c r="AA438" s="117" t="n">
        <v>0</v>
      </c>
      <c r="AB438" s="117" t="n">
        <v>2</v>
      </c>
      <c r="AC438" s="121" t="inlineStr">
        <is>
          <t>⚠ WATCH</t>
        </is>
      </c>
      <c r="AD438" s="118" t="n">
        <v>3023000000</v>
      </c>
      <c r="AE438" s="118" t="n">
        <v>-1217000000</v>
      </c>
      <c r="AF438" s="118" t="n">
        <v>1627000000</v>
      </c>
      <c r="AG438" s="118" t="n">
        <v>-0.008</v>
      </c>
      <c r="AH438" s="119" t="inlineStr">
        <is>
          <t>✓ Medium Quality</t>
        </is>
      </c>
      <c r="AI438" s="118" t="n">
        <v>0.779</v>
      </c>
      <c r="AJ438" s="120" t="n">
        <v>2.567</v>
      </c>
      <c r="AK438" s="120" t="n">
        <v>0.304</v>
      </c>
      <c r="AL438" s="120" t="n">
        <v>0.232</v>
      </c>
      <c r="AM438" s="124" t="inlineStr">
        <is>
          <t>N/A</t>
        </is>
      </c>
      <c r="AN438" s="117" t="n">
        <v>100</v>
      </c>
      <c r="AO438" s="119" t="inlineStr">
        <is>
          <t>✓ Good</t>
        </is>
      </c>
      <c r="AP438" s="117" t="n">
        <v>0</v>
      </c>
      <c r="AQ438" s="117" t="n">
        <v>0</v>
      </c>
      <c r="AR438" s="117" t="n">
        <v>0</v>
      </c>
      <c r="AS438" s="117" t="n">
        <v>0</v>
      </c>
      <c r="AT438" s="117" t="n">
        <v>1</v>
      </c>
      <c r="AU438" s="117" t="n">
        <v>0</v>
      </c>
      <c r="AV438" s="117" t="n">
        <v>1</v>
      </c>
      <c r="AW438" s="119" t="inlineStr">
        <is>
          <t>✓ Clean</t>
        </is>
      </c>
      <c r="AX438" s="118" t="n">
        <v>22.3</v>
      </c>
      <c r="AY438" s="119" t="inlineStr">
        <is>
          <t>🟢 LOW RISK</t>
        </is>
      </c>
      <c r="AZ438" s="118" t="n">
        <v>20.8</v>
      </c>
      <c r="BA438" s="118" t="n">
        <v>41.7</v>
      </c>
      <c r="BB438" s="124" t="inlineStr">
        <is>
          <t>N/A</t>
        </is>
      </c>
      <c r="BC438" s="124" t="inlineStr">
        <is>
          <t>N/A</t>
        </is>
      </c>
      <c r="BD438" s="124" t="inlineStr">
        <is>
          <t>N/A</t>
        </is>
      </c>
      <c r="BE438" s="124" t="inlineStr">
        <is>
          <t>N/A</t>
        </is>
      </c>
      <c r="BF438" s="120" t="n">
        <v>0.157</v>
      </c>
      <c r="BG438" s="117" t="n">
        <v>0.292</v>
      </c>
      <c r="BH438" s="122" t="n">
        <v>3</v>
      </c>
      <c r="BI438" s="123" t="n">
        <v>0.8333333333333334</v>
      </c>
    </row>
    <row r="439" ht="17" customHeight="1">
      <c r="A439" s="117" t="inlineStr">
        <is>
          <t>WBS</t>
        </is>
      </c>
      <c r="B439" s="117" t="inlineStr">
        <is>
          <t>WEBSTER FINANCIAL CORPORATION</t>
        </is>
      </c>
      <c r="C439" s="124" t="inlineStr">
        <is>
          <t>N/A</t>
        </is>
      </c>
      <c r="D439" s="124" t="inlineStr">
        <is>
          <t>N/A</t>
        </is>
      </c>
      <c r="E439" s="118" t="n">
        <v>1</v>
      </c>
      <c r="F439" s="118" t="n">
        <v>1.119</v>
      </c>
      <c r="G439" s="118" t="n">
        <v>2.921</v>
      </c>
      <c r="H439" s="124" t="inlineStr">
        <is>
          <t>N/A</t>
        </is>
      </c>
      <c r="I439" s="118" t="n">
        <v>1.003</v>
      </c>
      <c r="J439" s="118" t="n">
        <v>-0.001</v>
      </c>
      <c r="K439" s="124" t="inlineStr">
        <is>
          <t>N/A</t>
        </is>
      </c>
      <c r="L439" s="124" t="inlineStr">
        <is>
          <t>N/A</t>
        </is>
      </c>
      <c r="M439" s="124" t="inlineStr">
        <is>
          <t>N/A</t>
        </is>
      </c>
      <c r="N439" s="124" t="inlineStr">
        <is>
          <t>N/A</t>
        </is>
      </c>
      <c r="O439" s="124" t="inlineStr">
        <is>
          <t>N/A</t>
        </is>
      </c>
      <c r="P439" s="120" t="n">
        <v>0.995</v>
      </c>
      <c r="Q439" s="120" t="n">
        <v>0.002</v>
      </c>
      <c r="R439" s="117" t="n">
        <v>0</v>
      </c>
      <c r="S439" s="124" t="inlineStr">
        <is>
          <t>N/A</t>
        </is>
      </c>
      <c r="T439" s="124" t="inlineStr">
        <is>
          <t>N/A</t>
        </is>
      </c>
      <c r="U439" s="124" t="inlineStr">
        <is>
          <t>N/A</t>
        </is>
      </c>
      <c r="V439" s="117" t="n">
        <v>1</v>
      </c>
      <c r="W439" s="117" t="n">
        <v>0</v>
      </c>
      <c r="X439" s="117" t="n">
        <v>0</v>
      </c>
      <c r="Y439" s="117" t="n">
        <v>0</v>
      </c>
      <c r="Z439" s="117" t="n">
        <v>1</v>
      </c>
      <c r="AA439" s="117" t="n">
        <v>0</v>
      </c>
      <c r="AB439" s="117" t="n">
        <v>2</v>
      </c>
      <c r="AC439" s="121" t="inlineStr">
        <is>
          <t>⚠ WATCH</t>
        </is>
      </c>
      <c r="AD439" s="118" t="n">
        <v>1058136000</v>
      </c>
      <c r="AE439" s="118" t="n">
        <v>-4747963000</v>
      </c>
      <c r="AF439" s="118" t="n">
        <v>1002802000</v>
      </c>
      <c r="AG439" s="118" t="n">
        <v>0.058</v>
      </c>
      <c r="AH439" s="119" t="inlineStr">
        <is>
          <t>✓ Medium Quality</t>
        </is>
      </c>
      <c r="AI439" s="124" t="inlineStr">
        <is>
          <t>N/A</t>
        </is>
      </c>
      <c r="AJ439" s="120" t="n">
        <v>0.119</v>
      </c>
      <c r="AK439" s="124" t="inlineStr">
        <is>
          <t>N/A</t>
        </is>
      </c>
      <c r="AL439" s="120" t="n">
        <v>0.365</v>
      </c>
      <c r="AM439" s="124" t="inlineStr">
        <is>
          <t>N/A</t>
        </is>
      </c>
      <c r="AN439" s="117" t="n">
        <v>100</v>
      </c>
      <c r="AO439" s="119" t="inlineStr">
        <is>
          <t>✓ Good</t>
        </is>
      </c>
      <c r="AP439" s="117" t="n">
        <v>0</v>
      </c>
      <c r="AQ439" s="117" t="n">
        <v>0</v>
      </c>
      <c r="AR439" s="117" t="n">
        <v>0</v>
      </c>
      <c r="AS439" s="117" t="n">
        <v>0</v>
      </c>
      <c r="AT439" s="117" t="n">
        <v>0</v>
      </c>
      <c r="AU439" s="117" t="n">
        <v>1</v>
      </c>
      <c r="AV439" s="117" t="n">
        <v>1</v>
      </c>
      <c r="AW439" s="119" t="inlineStr">
        <is>
          <t>✓ Clean</t>
        </is>
      </c>
      <c r="AX439" s="118" t="n">
        <v>30.7</v>
      </c>
      <c r="AY439" s="119" t="inlineStr">
        <is>
          <t>🟢 LOW RISK</t>
        </is>
      </c>
      <c r="AZ439" s="118" t="n">
        <v>0</v>
      </c>
      <c r="BA439" s="124" t="inlineStr">
        <is>
          <t>N/A</t>
        </is>
      </c>
      <c r="BB439" s="124" t="inlineStr">
        <is>
          <t>N/A</t>
        </is>
      </c>
      <c r="BC439" s="124" t="inlineStr">
        <is>
          <t>N/A</t>
        </is>
      </c>
      <c r="BD439" s="124" t="inlineStr">
        <is>
          <t>N/A</t>
        </is>
      </c>
      <c r="BE439" s="124" t="inlineStr">
        <is>
          <t>N/A</t>
        </is>
      </c>
      <c r="BF439" s="120" t="n">
        <v>0.204</v>
      </c>
      <c r="BG439" s="117" t="n">
        <v>0.995</v>
      </c>
      <c r="BH439" s="122" t="n">
        <v>3</v>
      </c>
      <c r="BI439" s="125" t="n">
        <v>0.6666666666666666</v>
      </c>
    </row>
    <row r="440" ht="17" customHeight="1">
      <c r="A440" s="117" t="inlineStr">
        <is>
          <t>GOOG</t>
        </is>
      </c>
      <c r="B440" s="117" t="inlineStr">
        <is>
          <t>ALPHABET INC.</t>
        </is>
      </c>
      <c r="C440" s="118" t="n">
        <v>1.044</v>
      </c>
      <c r="D440" s="118" t="n">
        <v>0.976</v>
      </c>
      <c r="E440" s="118" t="n">
        <v>1.084</v>
      </c>
      <c r="F440" s="118" t="n">
        <v>1.151</v>
      </c>
      <c r="G440" s="118" t="n">
        <v>0.93</v>
      </c>
      <c r="H440" s="118" t="n">
        <v>1.316</v>
      </c>
      <c r="I440" s="118" t="n">
        <v>1.088</v>
      </c>
      <c r="J440" s="118" t="n">
        <v>-0.055</v>
      </c>
      <c r="K440" s="118" t="n">
        <v>-2.631</v>
      </c>
      <c r="L440" s="119" t="inlineStr">
        <is>
          <t>✓ Lower Risk</t>
        </is>
      </c>
      <c r="M440" s="120" t="n">
        <v>0.001</v>
      </c>
      <c r="N440" s="120" t="n">
        <v>0.2</v>
      </c>
      <c r="O440" s="120" t="n">
        <v>0.028</v>
      </c>
      <c r="P440" s="120" t="n">
        <v>0.661</v>
      </c>
      <c r="Q440" s="120" t="n">
        <v>-0</v>
      </c>
      <c r="R440" s="117" t="n">
        <v>0</v>
      </c>
      <c r="S440" s="118" t="n">
        <v>-6.048</v>
      </c>
      <c r="T440" s="118" t="n">
        <v>0.002</v>
      </c>
      <c r="U440" s="119" t="inlineStr">
        <is>
          <t>✓ Normal</t>
        </is>
      </c>
      <c r="V440" s="117" t="n">
        <v>0</v>
      </c>
      <c r="W440" s="117" t="n">
        <v>1</v>
      </c>
      <c r="X440" s="117" t="n">
        <v>1</v>
      </c>
      <c r="Y440" s="117" t="n">
        <v>0</v>
      </c>
      <c r="Z440" s="117" t="n">
        <v>0</v>
      </c>
      <c r="AA440" s="117" t="n">
        <v>1</v>
      </c>
      <c r="AB440" s="117" t="n">
        <v>3</v>
      </c>
      <c r="AC440" s="121" t="inlineStr">
        <is>
          <t>⚠ WATCH</t>
        </is>
      </c>
      <c r="AD440" s="118" t="n">
        <v>164713000000</v>
      </c>
      <c r="AE440" s="118" t="n">
        <v>-120291000000</v>
      </c>
      <c r="AF440" s="118" t="n">
        <v>132170000000</v>
      </c>
      <c r="AG440" s="118" t="n">
        <v>0.168</v>
      </c>
      <c r="AH440" s="117" t="inlineStr">
        <is>
          <t>⚠ Low Quality</t>
        </is>
      </c>
      <c r="AI440" s="118" t="n">
        <v>0.201</v>
      </c>
      <c r="AJ440" s="120" t="n">
        <v>0.151</v>
      </c>
      <c r="AK440" s="120" t="n">
        <v>1.335</v>
      </c>
      <c r="AL440" s="120" t="n">
        <v>0.409</v>
      </c>
      <c r="AM440" s="120" t="n">
        <v>0.001</v>
      </c>
      <c r="AN440" s="118" t="n">
        <v>90</v>
      </c>
      <c r="AO440" s="119" t="inlineStr">
        <is>
          <t>✓ Good</t>
        </is>
      </c>
      <c r="AP440" s="117" t="n">
        <v>0</v>
      </c>
      <c r="AQ440" s="117" t="n">
        <v>0</v>
      </c>
      <c r="AR440" s="117" t="n">
        <v>0</v>
      </c>
      <c r="AS440" s="117" t="n">
        <v>1</v>
      </c>
      <c r="AT440" s="117" t="n">
        <v>1</v>
      </c>
      <c r="AU440" s="117" t="n">
        <v>0</v>
      </c>
      <c r="AV440" s="117" t="n">
        <v>2</v>
      </c>
      <c r="AW440" s="121" t="inlineStr">
        <is>
          <t>⚠ WATCH</t>
        </is>
      </c>
      <c r="AX440" s="118" t="n">
        <v>22.5</v>
      </c>
      <c r="AY440" s="119" t="inlineStr">
        <is>
          <t>🟢 LOW RISK</t>
        </is>
      </c>
      <c r="AZ440" s="118" t="n">
        <v>57</v>
      </c>
      <c r="BA440" s="118" t="n">
        <v>54.6</v>
      </c>
      <c r="BB440" s="118" t="n">
        <v>6</v>
      </c>
      <c r="BC440" s="118" t="n">
        <v>2.9</v>
      </c>
      <c r="BD440" s="118" t="n">
        <v>27.4</v>
      </c>
      <c r="BE440" s="118" t="n">
        <v>19.9</v>
      </c>
      <c r="BF440" s="120" t="n">
        <v>0.168</v>
      </c>
      <c r="BG440" s="117" t="n">
        <v>0.661</v>
      </c>
      <c r="BH440" s="122" t="n">
        <v>5</v>
      </c>
      <c r="BI440" s="123" t="n">
        <v>1</v>
      </c>
    </row>
    <row r="441" ht="17" customHeight="1">
      <c r="A441" s="117" t="inlineStr">
        <is>
          <t>AMT</t>
        </is>
      </c>
      <c r="B441" s="117" t="inlineStr">
        <is>
          <t>AMERICAN TOWER CORP /MA/</t>
        </is>
      </c>
      <c r="C441" s="118" t="n">
        <v>1.146</v>
      </c>
      <c r="D441" s="118" t="n">
        <v>0.999</v>
      </c>
      <c r="E441" s="118" t="n">
        <v>1.019</v>
      </c>
      <c r="F441" s="118" t="n">
        <v>1.051</v>
      </c>
      <c r="G441" s="118" t="n">
        <v>1</v>
      </c>
      <c r="H441" s="118" t="n">
        <v>0.959</v>
      </c>
      <c r="I441" s="118" t="n">
        <v>0.993</v>
      </c>
      <c r="J441" s="118" t="n">
        <v>-0.06</v>
      </c>
      <c r="K441" s="118" t="n">
        <v>-2.563</v>
      </c>
      <c r="L441" s="119" t="inlineStr">
        <is>
          <t>✓ Lower Risk</t>
        </is>
      </c>
      <c r="M441" s="120" t="n">
        <v>-0.013</v>
      </c>
      <c r="N441" s="120" t="n">
        <v>0.213</v>
      </c>
      <c r="O441" s="124" t="inlineStr">
        <is>
          <t>N/A</t>
        </is>
      </c>
      <c r="P441" s="120" t="n">
        <v>0.799</v>
      </c>
      <c r="Q441" s="120" t="n">
        <v>-0.004</v>
      </c>
      <c r="R441" s="117" t="n">
        <v>0</v>
      </c>
      <c r="S441" s="118" t="n">
        <v>-5.784</v>
      </c>
      <c r="T441" s="118" t="n">
        <v>0.003</v>
      </c>
      <c r="U441" s="119" t="inlineStr">
        <is>
          <t>✓ Normal</t>
        </is>
      </c>
      <c r="V441" s="117" t="n">
        <v>0</v>
      </c>
      <c r="W441" s="117" t="n">
        <v>1</v>
      </c>
      <c r="X441" s="117" t="n">
        <v>0</v>
      </c>
      <c r="Y441" s="117" t="n">
        <v>0</v>
      </c>
      <c r="Z441" s="117" t="n">
        <v>1</v>
      </c>
      <c r="AA441" s="117" t="n">
        <v>0</v>
      </c>
      <c r="AB441" s="117" t="n">
        <v>2</v>
      </c>
      <c r="AC441" s="121" t="inlineStr">
        <is>
          <t>⚠ WATCH</t>
        </is>
      </c>
      <c r="AD441" s="118" t="n">
        <v>5464000000</v>
      </c>
      <c r="AE441" s="118" t="n">
        <v>-1859800000</v>
      </c>
      <c r="AF441" s="118" t="n">
        <v>1690600000</v>
      </c>
      <c r="AG441" s="118" t="n">
        <v>-0.031</v>
      </c>
      <c r="AH441" s="119" t="inlineStr">
        <is>
          <t>✓ Medium Quality</t>
        </is>
      </c>
      <c r="AI441" s="118" t="n">
        <v>0.204</v>
      </c>
      <c r="AJ441" s="120" t="n">
        <v>0.051</v>
      </c>
      <c r="AK441" s="120" t="n">
        <v>3.998</v>
      </c>
      <c r="AL441" s="120" t="n">
        <v>0.513</v>
      </c>
      <c r="AM441" s="120" t="n">
        <v>0.002</v>
      </c>
      <c r="AN441" s="118" t="n">
        <v>70.09999999999999</v>
      </c>
      <c r="AO441" s="119" t="inlineStr">
        <is>
          <t>✓ Good</t>
        </is>
      </c>
      <c r="AP441" s="117" t="n">
        <v>0</v>
      </c>
      <c r="AQ441" s="117" t="n">
        <v>0</v>
      </c>
      <c r="AR441" s="117" t="n">
        <v>0</v>
      </c>
      <c r="AS441" s="117" t="n">
        <v>0</v>
      </c>
      <c r="AT441" s="117" t="n">
        <v>0</v>
      </c>
      <c r="AU441" s="117" t="n">
        <v>0</v>
      </c>
      <c r="AV441" s="117" t="n">
        <v>0</v>
      </c>
      <c r="AW441" s="119" t="inlineStr">
        <is>
          <t>✓ Clean</t>
        </is>
      </c>
      <c r="AX441" s="118" t="n">
        <v>16.1</v>
      </c>
      <c r="AY441" s="119" t="inlineStr">
        <is>
          <t>🟢 VERY LOW RISK</t>
        </is>
      </c>
      <c r="AZ441" s="118" t="n">
        <v>22.3</v>
      </c>
      <c r="BA441" s="118" t="n">
        <v>19.5</v>
      </c>
      <c r="BB441" s="124" t="inlineStr">
        <is>
          <t>N/A</t>
        </is>
      </c>
      <c r="BC441" s="124" t="inlineStr">
        <is>
          <t>N/A</t>
        </is>
      </c>
      <c r="BD441" s="118" t="n">
        <v>2200.2</v>
      </c>
      <c r="BE441" s="118" t="n">
        <v>1790.1</v>
      </c>
      <c r="BF441" s="120" t="n">
        <v>0.137</v>
      </c>
      <c r="BG441" s="117" t="n">
        <v>0.799</v>
      </c>
      <c r="BH441" s="122" t="n">
        <v>2</v>
      </c>
      <c r="BI441" s="123" t="n">
        <v>1</v>
      </c>
    </row>
    <row r="442" ht="17" customHeight="1">
      <c r="A442" s="117" t="inlineStr">
        <is>
          <t>PWR</t>
        </is>
      </c>
      <c r="B442" s="117" t="inlineStr">
        <is>
          <t>Quanta Services, Inc.</t>
        </is>
      </c>
      <c r="C442" s="118" t="n">
        <v>1.101</v>
      </c>
      <c r="D442" s="118" t="n">
        <v>0.988</v>
      </c>
      <c r="E442" s="118" t="n">
        <v>1.078</v>
      </c>
      <c r="F442" s="118" t="n">
        <v>1.203</v>
      </c>
      <c r="G442" s="118" t="n">
        <v>0.901</v>
      </c>
      <c r="H442" s="118" t="n">
        <v>0.997</v>
      </c>
      <c r="I442" s="118" t="n">
        <v>1.05</v>
      </c>
      <c r="J442" s="118" t="n">
        <v>-0.048</v>
      </c>
      <c r="K442" s="118" t="n">
        <v>-2.434</v>
      </c>
      <c r="L442" s="119" t="inlineStr">
        <is>
          <t>✓ Lower Risk</t>
        </is>
      </c>
      <c r="M442" s="120" t="n">
        <v>-0.03</v>
      </c>
      <c r="N442" s="120" t="n">
        <v>0.349</v>
      </c>
      <c r="O442" s="120" t="n">
        <v>0.023</v>
      </c>
      <c r="P442" s="120" t="n">
        <v>0.931</v>
      </c>
      <c r="Q442" s="120" t="n">
        <v>-0.007</v>
      </c>
      <c r="R442" s="117" t="n">
        <v>1</v>
      </c>
      <c r="S442" s="118" t="n">
        <v>-2.091</v>
      </c>
      <c r="T442" s="118" t="n">
        <v>0.11</v>
      </c>
      <c r="U442" s="121" t="inlineStr">
        <is>
          <t>⚠ HIGH RISK</t>
        </is>
      </c>
      <c r="V442" s="117" t="n">
        <v>1</v>
      </c>
      <c r="W442" s="117" t="n">
        <v>1</v>
      </c>
      <c r="X442" s="117" t="n">
        <v>1</v>
      </c>
      <c r="Y442" s="117" t="n">
        <v>0</v>
      </c>
      <c r="Z442" s="117" t="n">
        <v>1</v>
      </c>
      <c r="AA442" s="117" t="n">
        <v>1</v>
      </c>
      <c r="AB442" s="117" t="n">
        <v>5</v>
      </c>
      <c r="AC442" s="121" t="inlineStr">
        <is>
          <t>⚠⚠ SERIOUS CONCERN</t>
        </is>
      </c>
      <c r="AD442" s="118" t="n">
        <v>2229970000</v>
      </c>
      <c r="AE442" s="118" t="n">
        <v>-3830974000</v>
      </c>
      <c r="AF442" s="118" t="n">
        <v>1028378000</v>
      </c>
      <c r="AG442" s="118" t="n">
        <v>0.121</v>
      </c>
      <c r="AH442" s="117" t="inlineStr">
        <is>
          <t>⚠ Low Quality</t>
        </is>
      </c>
      <c r="AI442" s="118" t="n">
        <v>0.324</v>
      </c>
      <c r="AJ442" s="120" t="n">
        <v>0.203</v>
      </c>
      <c r="AK442" s="120" t="n">
        <v>1.596</v>
      </c>
      <c r="AL442" s="120" t="n">
        <v>0.078</v>
      </c>
      <c r="AM442" s="120" t="n">
        <v>0</v>
      </c>
      <c r="AN442" s="118" t="n">
        <v>67.8</v>
      </c>
      <c r="AO442" s="119" t="inlineStr">
        <is>
          <t>✓ Good</t>
        </is>
      </c>
      <c r="AP442" s="117" t="n">
        <v>0</v>
      </c>
      <c r="AQ442" s="117" t="n">
        <v>0</v>
      </c>
      <c r="AR442" s="117" t="n">
        <v>0</v>
      </c>
      <c r="AS442" s="117" t="n">
        <v>0</v>
      </c>
      <c r="AT442" s="117" t="n">
        <v>0</v>
      </c>
      <c r="AU442" s="117" t="n">
        <v>0</v>
      </c>
      <c r="AV442" s="117" t="n">
        <v>0</v>
      </c>
      <c r="AW442" s="119" t="inlineStr">
        <is>
          <t>✓ Clean</t>
        </is>
      </c>
      <c r="AX442" s="118" t="n">
        <v>44.4</v>
      </c>
      <c r="AY442" s="121" t="inlineStr">
        <is>
          <t>🟡 ELEVATED RISK</t>
        </is>
      </c>
      <c r="AZ442" s="118" t="n">
        <v>87.8</v>
      </c>
      <c r="BA442" s="118" t="n">
        <v>79.7</v>
      </c>
      <c r="BB442" s="118" t="n">
        <v>5.6</v>
      </c>
      <c r="BC442" s="118" t="n">
        <v>4.7</v>
      </c>
      <c r="BD442" s="118" t="n">
        <v>69.09999999999999</v>
      </c>
      <c r="BE442" s="118" t="n">
        <v>67.40000000000001</v>
      </c>
      <c r="BF442" s="120" t="n">
        <v>0.25</v>
      </c>
      <c r="BG442" s="117" t="n">
        <v>0.931</v>
      </c>
      <c r="BH442" s="122" t="n">
        <v>6</v>
      </c>
      <c r="BI442" s="123" t="n">
        <v>1</v>
      </c>
    </row>
    <row r="443" ht="17" customHeight="1">
      <c r="A443" s="117" t="inlineStr">
        <is>
          <t>ABBV</t>
        </is>
      </c>
      <c r="B443" s="117" t="inlineStr">
        <is>
          <t>AbbVie Inc.</t>
        </is>
      </c>
      <c r="C443" s="118" t="n">
        <v>0.313</v>
      </c>
      <c r="D443" s="118" t="n">
        <v>3.266</v>
      </c>
      <c r="E443" s="118" t="n">
        <v>0.959</v>
      </c>
      <c r="F443" s="118" t="n">
        <v>3.68</v>
      </c>
      <c r="G443" s="118" t="n">
        <v>1.086</v>
      </c>
      <c r="H443" s="118" t="n">
        <v>0.258</v>
      </c>
      <c r="I443" s="118" t="n">
        <v>1</v>
      </c>
      <c r="J443" s="118" t="n">
        <v>-0.111</v>
      </c>
      <c r="K443" s="118" t="n">
        <v>0.079</v>
      </c>
      <c r="L443" s="121" t="inlineStr">
        <is>
          <t>⚠ MANIPULATOR RISK</t>
        </is>
      </c>
      <c r="M443" s="120" t="n">
        <v>-0.011</v>
      </c>
      <c r="N443" s="120" t="n">
        <v>0.037</v>
      </c>
      <c r="O443" s="120" t="n">
        <v>0.017</v>
      </c>
      <c r="P443" s="120" t="n">
        <v>0.919</v>
      </c>
      <c r="Q443" s="120" t="n">
        <v>0.018</v>
      </c>
      <c r="R443" s="117" t="n">
        <v>1</v>
      </c>
      <c r="S443" s="118" t="n">
        <v>-2.902</v>
      </c>
      <c r="T443" s="118" t="n">
        <v>0.052</v>
      </c>
      <c r="U443" s="121" t="inlineStr">
        <is>
          <t>⚠ HIGH RISK</t>
        </is>
      </c>
      <c r="V443" s="117" t="n">
        <v>1</v>
      </c>
      <c r="W443" s="117" t="n">
        <v>0</v>
      </c>
      <c r="X443" s="117" t="n">
        <v>0</v>
      </c>
      <c r="Y443" s="117" t="n">
        <v>1</v>
      </c>
      <c r="Z443" s="117" t="n">
        <v>0</v>
      </c>
      <c r="AA443" s="117" t="n">
        <v>0</v>
      </c>
      <c r="AB443" s="117" t="n">
        <v>2</v>
      </c>
      <c r="AC443" s="121" t="inlineStr">
        <is>
          <t>⚠ WATCH</t>
        </is>
      </c>
      <c r="AD443" s="118" t="n">
        <v>19030000000</v>
      </c>
      <c r="AE443" s="118" t="n">
        <v>-6643000000</v>
      </c>
      <c r="AF443" s="118" t="n">
        <v>4226000000</v>
      </c>
      <c r="AG443" s="118" t="n">
        <v>-0.061</v>
      </c>
      <c r="AH443" s="119" t="inlineStr">
        <is>
          <t>✓ Medium Quality</t>
        </is>
      </c>
      <c r="AI443" s="118" t="n">
        <v>0.153</v>
      </c>
      <c r="AJ443" s="120" t="n">
        <v>2.68</v>
      </c>
      <c r="AK443" s="120" t="n">
        <v>0.057</v>
      </c>
      <c r="AL443" s="120" t="n">
        <v>0.311</v>
      </c>
      <c r="AM443" s="124" t="inlineStr">
        <is>
          <t>N/A</t>
        </is>
      </c>
      <c r="AN443" s="117" t="n">
        <v>100</v>
      </c>
      <c r="AO443" s="119" t="inlineStr">
        <is>
          <t>✓ Good</t>
        </is>
      </c>
      <c r="AP443" s="117" t="n">
        <v>0</v>
      </c>
      <c r="AQ443" s="117" t="n">
        <v>0</v>
      </c>
      <c r="AR443" s="117" t="n">
        <v>1</v>
      </c>
      <c r="AS443" s="117" t="n">
        <v>0</v>
      </c>
      <c r="AT443" s="117" t="n">
        <v>1</v>
      </c>
      <c r="AU443" s="117" t="n">
        <v>0</v>
      </c>
      <c r="AV443" s="117" t="n">
        <v>2</v>
      </c>
      <c r="AW443" s="121" t="inlineStr">
        <is>
          <t>⚠ WATCH</t>
        </is>
      </c>
      <c r="AX443" s="118" t="n">
        <v>32.1</v>
      </c>
      <c r="AY443" s="119" t="inlineStr">
        <is>
          <t>🟢 LOW RISK</t>
        </is>
      </c>
      <c r="AZ443" s="118" t="n">
        <v>75.09999999999999</v>
      </c>
      <c r="BA443" s="118" t="n">
        <v>239.8</v>
      </c>
      <c r="BB443" s="118" t="n">
        <v>99.3</v>
      </c>
      <c r="BC443" s="118" t="n">
        <v>90.3</v>
      </c>
      <c r="BD443" s="118" t="n">
        <v>72</v>
      </c>
      <c r="BE443" s="118" t="n">
        <v>63.6</v>
      </c>
      <c r="BF443" s="120" t="n">
        <v>0.358</v>
      </c>
      <c r="BG443" s="117" t="n">
        <v>0.919</v>
      </c>
      <c r="BH443" s="122" t="n">
        <v>5</v>
      </c>
      <c r="BI443" s="123" t="n">
        <v>1</v>
      </c>
    </row>
    <row r="444" ht="17" customHeight="1">
      <c r="A444" s="117" t="inlineStr">
        <is>
          <t>HSIC</t>
        </is>
      </c>
      <c r="B444" s="117" t="inlineStr">
        <is>
          <t>HENRY SCHEIN, INC.</t>
        </is>
      </c>
      <c r="C444" s="118" t="n">
        <v>0.285</v>
      </c>
      <c r="D444" s="118" t="n">
        <v>3.827</v>
      </c>
      <c r="E444" s="118" t="n">
        <v>0.987</v>
      </c>
      <c r="F444" s="118" t="n">
        <v>3.911</v>
      </c>
      <c r="G444" s="118" t="n">
        <v>1.013</v>
      </c>
      <c r="H444" s="118" t="n">
        <v>0.26</v>
      </c>
      <c r="I444" s="118" t="n">
        <v>1.087</v>
      </c>
      <c r="J444" s="118" t="n">
        <v>-0.028</v>
      </c>
      <c r="K444" s="118" t="n">
        <v>0.916</v>
      </c>
      <c r="L444" s="121" t="inlineStr">
        <is>
          <t>⚠ MANIPULATOR RISK</t>
        </is>
      </c>
      <c r="M444" s="120" t="n">
        <v>-0.01</v>
      </c>
      <c r="N444" s="120" t="n">
        <v>0.017</v>
      </c>
      <c r="O444" s="120" t="n">
        <v>0.02</v>
      </c>
      <c r="P444" s="120" t="n">
        <v>0.96</v>
      </c>
      <c r="Q444" s="120" t="n">
        <v>-0.003</v>
      </c>
      <c r="R444" s="117" t="n">
        <v>0</v>
      </c>
      <c r="S444" s="118" t="n">
        <v>-5.933</v>
      </c>
      <c r="T444" s="118" t="n">
        <v>0.003</v>
      </c>
      <c r="U444" s="119" t="inlineStr">
        <is>
          <t>✓ Normal</t>
        </is>
      </c>
      <c r="V444" s="117" t="n">
        <v>1</v>
      </c>
      <c r="W444" s="117" t="n">
        <v>0</v>
      </c>
      <c r="X444" s="117" t="n">
        <v>0</v>
      </c>
      <c r="Y444" s="117" t="n">
        <v>1</v>
      </c>
      <c r="Z444" s="117" t="n">
        <v>1</v>
      </c>
      <c r="AA444" s="117" t="n">
        <v>0</v>
      </c>
      <c r="AB444" s="117" t="n">
        <v>3</v>
      </c>
      <c r="AC444" s="121" t="inlineStr">
        <is>
          <t>⚠ WATCH</t>
        </is>
      </c>
      <c r="AD444" s="118" t="n">
        <v>712000000</v>
      </c>
      <c r="AE444" s="118" t="n">
        <v>-400000000</v>
      </c>
      <c r="AF444" s="118" t="n">
        <v>398000000</v>
      </c>
      <c r="AG444" s="118" t="n">
        <v>0.008</v>
      </c>
      <c r="AH444" s="119" t="inlineStr">
        <is>
          <t>✓ Medium Quality</t>
        </is>
      </c>
      <c r="AI444" s="118" t="n">
        <v>0.114</v>
      </c>
      <c r="AJ444" s="120" t="n">
        <v>2.911</v>
      </c>
      <c r="AK444" s="120" t="n">
        <v>0.039</v>
      </c>
      <c r="AL444" s="120" t="n">
        <v>0.054</v>
      </c>
      <c r="AM444" s="120" t="n">
        <v>0</v>
      </c>
      <c r="AN444" s="118" t="n">
        <v>80.8</v>
      </c>
      <c r="AO444" s="119" t="inlineStr">
        <is>
          <t>✓ Good</t>
        </is>
      </c>
      <c r="AP444" s="117" t="n">
        <v>0</v>
      </c>
      <c r="AQ444" s="117" t="n">
        <v>0</v>
      </c>
      <c r="AR444" s="117" t="n">
        <v>1</v>
      </c>
      <c r="AS444" s="117" t="n">
        <v>0</v>
      </c>
      <c r="AT444" s="117" t="n">
        <v>0</v>
      </c>
      <c r="AU444" s="117" t="n">
        <v>0</v>
      </c>
      <c r="AV444" s="117" t="n">
        <v>1</v>
      </c>
      <c r="AW444" s="119" t="inlineStr">
        <is>
          <t>✓ Clean</t>
        </is>
      </c>
      <c r="AX444" s="118" t="n">
        <v>29.6</v>
      </c>
      <c r="AY444" s="119" t="inlineStr">
        <is>
          <t>🟢 LOW RISK</t>
        </is>
      </c>
      <c r="AZ444" s="118" t="n">
        <v>45.6</v>
      </c>
      <c r="BA444" s="118" t="n">
        <v>160.3</v>
      </c>
      <c r="BB444" s="118" t="n">
        <v>80.5</v>
      </c>
      <c r="BC444" s="118" t="n">
        <v>76.3</v>
      </c>
      <c r="BD444" s="118" t="n">
        <v>46.4</v>
      </c>
      <c r="BE444" s="118" t="n">
        <v>40.6</v>
      </c>
      <c r="BF444" s="120" t="n">
        <v>0.328</v>
      </c>
      <c r="BG444" s="117" t="n">
        <v>0.96</v>
      </c>
      <c r="BH444" s="122" t="n">
        <v>4</v>
      </c>
      <c r="BI444" s="123" t="n">
        <v>1</v>
      </c>
    </row>
    <row r="445" ht="17" customHeight="1">
      <c r="A445" s="117" t="inlineStr">
        <is>
          <t>CPRT</t>
        </is>
      </c>
      <c r="B445" s="117" t="inlineStr">
        <is>
          <t>COPART, INC.</t>
        </is>
      </c>
      <c r="C445" s="118" t="n">
        <v>1.016</v>
      </c>
      <c r="D445" s="118" t="n">
        <v>0.925</v>
      </c>
      <c r="E445" s="118" t="n">
        <v>0.739</v>
      </c>
      <c r="F445" s="118" t="n">
        <v>0.955</v>
      </c>
      <c r="G445" s="118" t="n">
        <v>0.996</v>
      </c>
      <c r="H445" s="118" t="n">
        <v>1.258</v>
      </c>
      <c r="I445" s="118" t="n">
        <v>0.839</v>
      </c>
      <c r="J445" s="118" t="n">
        <v>-0.025</v>
      </c>
      <c r="K445" s="118" t="n">
        <v>-2.757</v>
      </c>
      <c r="L445" s="119" t="inlineStr">
        <is>
          <t>✓ Lower Risk</t>
        </is>
      </c>
      <c r="M445" s="120" t="n">
        <v>0.114</v>
      </c>
      <c r="N445" s="120" t="n">
        <v>-0.9340000000000001</v>
      </c>
      <c r="O445" s="120" t="n">
        <v>-0.161</v>
      </c>
      <c r="P445" s="120" t="n">
        <v>0.625</v>
      </c>
      <c r="Q445" s="120" t="n">
        <v>-0.008</v>
      </c>
      <c r="R445" s="117" t="n">
        <v>1</v>
      </c>
      <c r="S445" s="118" t="n">
        <v>-6.032</v>
      </c>
      <c r="T445" s="118" t="n">
        <v>0.002</v>
      </c>
      <c r="U445" s="119" t="inlineStr">
        <is>
          <t>✓ Normal</t>
        </is>
      </c>
      <c r="V445" s="117" t="n">
        <v>0</v>
      </c>
      <c r="W445" s="117" t="n">
        <v>1</v>
      </c>
      <c r="X445" s="117" t="n">
        <v>0</v>
      </c>
      <c r="Y445" s="117" t="n">
        <v>0</v>
      </c>
      <c r="Z445" s="117" t="n">
        <v>1</v>
      </c>
      <c r="AA445" s="117" t="n">
        <v>1</v>
      </c>
      <c r="AB445" s="117" t="n">
        <v>3</v>
      </c>
      <c r="AC445" s="121" t="inlineStr">
        <is>
          <t>⚠ WATCH</t>
        </is>
      </c>
      <c r="AD445" s="118" t="n">
        <v>1799750000</v>
      </c>
      <c r="AE445" s="118" t="n">
        <v>-587448000</v>
      </c>
      <c r="AF445" s="118" t="n">
        <v>1552449000</v>
      </c>
      <c r="AG445" s="118" t="n">
        <v>0.037</v>
      </c>
      <c r="AH445" s="119" t="inlineStr">
        <is>
          <t>✓ Medium Quality</t>
        </is>
      </c>
      <c r="AI445" s="118" t="n">
        <v>-0.029</v>
      </c>
      <c r="AJ445" s="120" t="n">
        <v>-0.045</v>
      </c>
      <c r="AK445" s="120" t="n">
        <v>0.654</v>
      </c>
      <c r="AL445" s="120" t="n">
        <v>3.424</v>
      </c>
      <c r="AM445" s="120" t="n">
        <v>-0.002</v>
      </c>
      <c r="AN445" s="118" t="n">
        <v>99.90000000000001</v>
      </c>
      <c r="AO445" s="119" t="inlineStr">
        <is>
          <t>✓ Good</t>
        </is>
      </c>
      <c r="AP445" s="117" t="n">
        <v>1</v>
      </c>
      <c r="AQ445" s="117" t="n">
        <v>1</v>
      </c>
      <c r="AR445" s="117" t="n">
        <v>0</v>
      </c>
      <c r="AS445" s="117" t="n">
        <v>1</v>
      </c>
      <c r="AT445" s="117" t="n">
        <v>0</v>
      </c>
      <c r="AU445" s="117" t="n">
        <v>1</v>
      </c>
      <c r="AV445" s="117" t="n">
        <v>4</v>
      </c>
      <c r="AW445" s="117" t="inlineStr">
        <is>
          <t>⚠⚠ MULTIPLE RED FLAGS</t>
        </is>
      </c>
      <c r="AX445" s="118" t="n">
        <v>20.7</v>
      </c>
      <c r="AY445" s="119" t="inlineStr">
        <is>
          <t>🟢 LOW RISK</t>
        </is>
      </c>
      <c r="AZ445" s="118" t="n">
        <v>529.7</v>
      </c>
      <c r="BA445" s="118" t="n">
        <v>521.2</v>
      </c>
      <c r="BB445" s="118" t="n">
        <v>56.7</v>
      </c>
      <c r="BC445" s="118" t="n">
        <v>81.09999999999999</v>
      </c>
      <c r="BD445" s="118" t="n">
        <v>845.5</v>
      </c>
      <c r="BE445" s="118" t="n">
        <v>962.7</v>
      </c>
      <c r="BF445" s="120" t="n">
        <v>0.183</v>
      </c>
      <c r="BG445" s="117" t="n">
        <v>0.625</v>
      </c>
      <c r="BH445" s="122" t="n">
        <v>8</v>
      </c>
      <c r="BI445" s="123" t="n">
        <v>1</v>
      </c>
    </row>
    <row r="446" ht="17" customHeight="1">
      <c r="A446" s="117" t="inlineStr">
        <is>
          <t>GOOGL</t>
        </is>
      </c>
      <c r="B446" s="117" t="inlineStr">
        <is>
          <t>ALPHABET INC.</t>
        </is>
      </c>
      <c r="C446" s="118" t="n">
        <v>1.044</v>
      </c>
      <c r="D446" s="118" t="n">
        <v>0.976</v>
      </c>
      <c r="E446" s="118" t="n">
        <v>1.084</v>
      </c>
      <c r="F446" s="118" t="n">
        <v>1.151</v>
      </c>
      <c r="G446" s="118" t="n">
        <v>0.93</v>
      </c>
      <c r="H446" s="118" t="n">
        <v>1.316</v>
      </c>
      <c r="I446" s="118" t="n">
        <v>1.088</v>
      </c>
      <c r="J446" s="118" t="n">
        <v>-0.055</v>
      </c>
      <c r="K446" s="118" t="n">
        <v>-2.631</v>
      </c>
      <c r="L446" s="119" t="inlineStr">
        <is>
          <t>✓ Lower Risk</t>
        </is>
      </c>
      <c r="M446" s="120" t="n">
        <v>0.001</v>
      </c>
      <c r="N446" s="120" t="n">
        <v>0.2</v>
      </c>
      <c r="O446" s="120" t="n">
        <v>0.028</v>
      </c>
      <c r="P446" s="120" t="n">
        <v>0.661</v>
      </c>
      <c r="Q446" s="120" t="n">
        <v>-0</v>
      </c>
      <c r="R446" s="117" t="n">
        <v>0</v>
      </c>
      <c r="S446" s="118" t="n">
        <v>-6.048</v>
      </c>
      <c r="T446" s="118" t="n">
        <v>0.002</v>
      </c>
      <c r="U446" s="119" t="inlineStr">
        <is>
          <t>✓ Normal</t>
        </is>
      </c>
      <c r="V446" s="117" t="n">
        <v>0</v>
      </c>
      <c r="W446" s="117" t="n">
        <v>1</v>
      </c>
      <c r="X446" s="117" t="n">
        <v>1</v>
      </c>
      <c r="Y446" s="117" t="n">
        <v>0</v>
      </c>
      <c r="Z446" s="117" t="n">
        <v>0</v>
      </c>
      <c r="AA446" s="117" t="n">
        <v>1</v>
      </c>
      <c r="AB446" s="117" t="n">
        <v>3</v>
      </c>
      <c r="AC446" s="121" t="inlineStr">
        <is>
          <t>⚠ WATCH</t>
        </is>
      </c>
      <c r="AD446" s="118" t="n">
        <v>164713000000</v>
      </c>
      <c r="AE446" s="118" t="n">
        <v>-120291000000</v>
      </c>
      <c r="AF446" s="118" t="n">
        <v>132170000000</v>
      </c>
      <c r="AG446" s="118" t="n">
        <v>0.168</v>
      </c>
      <c r="AH446" s="117" t="inlineStr">
        <is>
          <t>⚠ Low Quality</t>
        </is>
      </c>
      <c r="AI446" s="118" t="n">
        <v>0.201</v>
      </c>
      <c r="AJ446" s="120" t="n">
        <v>0.151</v>
      </c>
      <c r="AK446" s="120" t="n">
        <v>1.335</v>
      </c>
      <c r="AL446" s="120" t="n">
        <v>0.409</v>
      </c>
      <c r="AM446" s="120" t="n">
        <v>0.001</v>
      </c>
      <c r="AN446" s="118" t="n">
        <v>90</v>
      </c>
      <c r="AO446" s="119" t="inlineStr">
        <is>
          <t>✓ Good</t>
        </is>
      </c>
      <c r="AP446" s="117" t="n">
        <v>0</v>
      </c>
      <c r="AQ446" s="117" t="n">
        <v>0</v>
      </c>
      <c r="AR446" s="117" t="n">
        <v>0</v>
      </c>
      <c r="AS446" s="117" t="n">
        <v>1</v>
      </c>
      <c r="AT446" s="117" t="n">
        <v>1</v>
      </c>
      <c r="AU446" s="117" t="n">
        <v>0</v>
      </c>
      <c r="AV446" s="117" t="n">
        <v>2</v>
      </c>
      <c r="AW446" s="121" t="inlineStr">
        <is>
          <t>⚠ WATCH</t>
        </is>
      </c>
      <c r="AX446" s="118" t="n">
        <v>22.5</v>
      </c>
      <c r="AY446" s="119" t="inlineStr">
        <is>
          <t>🟢 LOW RISK</t>
        </is>
      </c>
      <c r="AZ446" s="118" t="n">
        <v>57</v>
      </c>
      <c r="BA446" s="118" t="n">
        <v>54.6</v>
      </c>
      <c r="BB446" s="118" t="n">
        <v>6</v>
      </c>
      <c r="BC446" s="118" t="n">
        <v>2.9</v>
      </c>
      <c r="BD446" s="118" t="n">
        <v>27.4</v>
      </c>
      <c r="BE446" s="118" t="n">
        <v>19.9</v>
      </c>
      <c r="BF446" s="120" t="n">
        <v>0.168</v>
      </c>
      <c r="BG446" s="117" t="n">
        <v>0.661</v>
      </c>
      <c r="BH446" s="122" t="n">
        <v>5</v>
      </c>
      <c r="BI446" s="123" t="n">
        <v>1</v>
      </c>
    </row>
    <row r="447" ht="17" customHeight="1">
      <c r="A447" s="117" t="inlineStr">
        <is>
          <t>GPC</t>
        </is>
      </c>
      <c r="B447" s="117" t="inlineStr">
        <is>
          <t>GENUINE PARTS CO</t>
        </is>
      </c>
      <c r="C447" s="124" t="inlineStr">
        <is>
          <t>N/A</t>
        </is>
      </c>
      <c r="D447" s="118" t="n">
        <v>0.986</v>
      </c>
      <c r="E447" s="118" t="n">
        <v>0.999</v>
      </c>
      <c r="F447" s="118" t="n">
        <v>1.035</v>
      </c>
      <c r="G447" s="118" t="n">
        <v>0.871</v>
      </c>
      <c r="H447" s="118" t="n">
        <v>1.04</v>
      </c>
      <c r="I447" s="118" t="n">
        <v>1</v>
      </c>
      <c r="J447" s="118" t="n">
        <v>-0.04</v>
      </c>
      <c r="K447" s="124" t="inlineStr">
        <is>
          <t>N/A</t>
        </is>
      </c>
      <c r="L447" s="124" t="inlineStr">
        <is>
          <t>N/A</t>
        </is>
      </c>
      <c r="M447" s="120" t="n">
        <v>-0.053</v>
      </c>
      <c r="N447" s="124" t="inlineStr">
        <is>
          <t>N/A</t>
        </is>
      </c>
      <c r="O447" s="120" t="n">
        <v>0.6850000000000001</v>
      </c>
      <c r="P447" s="120" t="n">
        <v>0.88</v>
      </c>
      <c r="Q447" s="120" t="n">
        <v>-0.044</v>
      </c>
      <c r="R447" s="117" t="n">
        <v>0</v>
      </c>
      <c r="S447" s="118" t="n">
        <v>-5.359</v>
      </c>
      <c r="T447" s="118" t="n">
        <v>0.005</v>
      </c>
      <c r="U447" s="119" t="inlineStr">
        <is>
          <t>✓ Normal</t>
        </is>
      </c>
      <c r="V447" s="117" t="n">
        <v>0</v>
      </c>
      <c r="W447" s="117" t="n">
        <v>0</v>
      </c>
      <c r="X447" s="117" t="n">
        <v>1</v>
      </c>
      <c r="Y447" s="117" t="n">
        <v>0</v>
      </c>
      <c r="Z447" s="117" t="n">
        <v>0</v>
      </c>
      <c r="AA447" s="117" t="n">
        <v>0</v>
      </c>
      <c r="AB447" s="117" t="n">
        <v>1</v>
      </c>
      <c r="AC447" s="119" t="inlineStr">
        <is>
          <t>✓ Clean</t>
        </is>
      </c>
      <c r="AD447" s="118" t="n">
        <v>890762000</v>
      </c>
      <c r="AE447" s="118" t="n">
        <v>-711587000</v>
      </c>
      <c r="AF447" s="118" t="n">
        <v>65945000</v>
      </c>
      <c r="AG447" s="118" t="n">
        <v>-0.006</v>
      </c>
      <c r="AH447" s="119" t="inlineStr">
        <is>
          <t>✓ Medium Quality</t>
        </is>
      </c>
      <c r="AI447" s="124" t="inlineStr">
        <is>
          <t>N/A</t>
        </is>
      </c>
      <c r="AJ447" s="120" t="n">
        <v>0.035</v>
      </c>
      <c r="AK447" s="124" t="inlineStr">
        <is>
          <t>N/A</t>
        </is>
      </c>
      <c r="AL447" s="120" t="n">
        <v>0.037</v>
      </c>
      <c r="AM447" s="124" t="inlineStr">
        <is>
          <t>N/A</t>
        </is>
      </c>
      <c r="AN447" s="118" t="n">
        <v>77.3</v>
      </c>
      <c r="AO447" s="119" t="inlineStr">
        <is>
          <t>✓ Good</t>
        </is>
      </c>
      <c r="AP447" s="117" t="n">
        <v>0</v>
      </c>
      <c r="AQ447" s="117" t="n">
        <v>0</v>
      </c>
      <c r="AR447" s="117" t="n">
        <v>0</v>
      </c>
      <c r="AS447" s="117" t="n">
        <v>1</v>
      </c>
      <c r="AT447" s="117" t="n">
        <v>0</v>
      </c>
      <c r="AU447" s="117" t="n">
        <v>1</v>
      </c>
      <c r="AV447" s="117" t="n">
        <v>2</v>
      </c>
      <c r="AW447" s="121" t="inlineStr">
        <is>
          <t>⚠ WATCH</t>
        </is>
      </c>
      <c r="AX447" s="118" t="n">
        <v>21.5</v>
      </c>
      <c r="AY447" s="119" t="inlineStr">
        <is>
          <t>🟢 LOW RISK</t>
        </is>
      </c>
      <c r="AZ447" s="118" t="n">
        <v>0</v>
      </c>
      <c r="BA447" s="124" t="inlineStr">
        <is>
          <t>N/A</t>
        </is>
      </c>
      <c r="BB447" s="118" t="n">
        <v>144.3</v>
      </c>
      <c r="BC447" s="118" t="n">
        <v>134.5</v>
      </c>
      <c r="BD447" s="118" t="n">
        <v>60.7</v>
      </c>
      <c r="BE447" s="118" t="n">
        <v>55.4</v>
      </c>
      <c r="BF447" s="120" t="n">
        <v>-0.264</v>
      </c>
      <c r="BG447" s="117" t="n">
        <v>0.88</v>
      </c>
      <c r="BH447" s="122" t="n">
        <v>3</v>
      </c>
      <c r="BI447" s="123" t="n">
        <v>0.8333333333333334</v>
      </c>
    </row>
    <row r="448" ht="17" customHeight="1">
      <c r="A448" s="117" t="inlineStr">
        <is>
          <t>REGN</t>
        </is>
      </c>
      <c r="B448" s="117" t="inlineStr">
        <is>
          <t>REGENERON PHARMACEUTICALS, INC.</t>
        </is>
      </c>
      <c r="C448" s="118" t="n">
        <v>0.249</v>
      </c>
      <c r="D448" s="118" t="n">
        <v>0.913</v>
      </c>
      <c r="E448" s="118" t="n">
        <v>1.125</v>
      </c>
      <c r="F448" s="118" t="n">
        <v>3.711</v>
      </c>
      <c r="G448" s="118" t="n">
        <v>0.906</v>
      </c>
      <c r="H448" s="118" t="n">
        <v>0.246</v>
      </c>
      <c r="I448" s="118" t="n">
        <v>1.03</v>
      </c>
      <c r="J448" s="118" t="n">
        <v>-0.012</v>
      </c>
      <c r="K448" s="118" t="n">
        <v>-0.694</v>
      </c>
      <c r="L448" s="121" t="inlineStr">
        <is>
          <t>⚠ MANIPULATOR RISK</t>
        </is>
      </c>
      <c r="M448" s="120" t="n">
        <v>-0.055</v>
      </c>
      <c r="N448" s="120" t="n">
        <v>-0.11</v>
      </c>
      <c r="O448" s="120" t="n">
        <v>0.026</v>
      </c>
      <c r="P448" s="120" t="n">
        <v>0.86</v>
      </c>
      <c r="Q448" s="120" t="n">
        <v>-0.006</v>
      </c>
      <c r="R448" s="117" t="n">
        <v>1</v>
      </c>
      <c r="S448" s="118" t="n">
        <v>-3.404</v>
      </c>
      <c r="T448" s="118" t="n">
        <v>0.032</v>
      </c>
      <c r="U448" s="119" t="inlineStr">
        <is>
          <t>✓ Normal</t>
        </is>
      </c>
      <c r="V448" s="117" t="n">
        <v>0</v>
      </c>
      <c r="W448" s="117" t="n">
        <v>0</v>
      </c>
      <c r="X448" s="117" t="n">
        <v>0</v>
      </c>
      <c r="Y448" s="117" t="n">
        <v>1</v>
      </c>
      <c r="Z448" s="117" t="n">
        <v>0</v>
      </c>
      <c r="AA448" s="117" t="n">
        <v>0</v>
      </c>
      <c r="AB448" s="117" t="n">
        <v>1</v>
      </c>
      <c r="AC448" s="119" t="inlineStr">
        <is>
          <t>✓ Clean</t>
        </is>
      </c>
      <c r="AD448" s="118" t="n">
        <v>4978900000</v>
      </c>
      <c r="AE448" s="118" t="n">
        <v>-629100000</v>
      </c>
      <c r="AF448" s="118" t="n">
        <v>4504900000</v>
      </c>
      <c r="AG448" s="118" t="n">
        <v>0.004</v>
      </c>
      <c r="AH448" s="119" t="inlineStr">
        <is>
          <t>✓ Medium Quality</t>
        </is>
      </c>
      <c r="AI448" s="118" t="n">
        <v>-0.076</v>
      </c>
      <c r="AJ448" s="120" t="n">
        <v>2.711</v>
      </c>
      <c r="AK448" s="120" t="n">
        <v>-0.028</v>
      </c>
      <c r="AL448" s="120" t="n">
        <v>0.848</v>
      </c>
      <c r="AM448" s="120" t="n">
        <v>0.015</v>
      </c>
      <c r="AN448" s="117" t="n">
        <v>100</v>
      </c>
      <c r="AO448" s="119" t="inlineStr">
        <is>
          <t>✓ Good</t>
        </is>
      </c>
      <c r="AP448" s="117" t="n">
        <v>0</v>
      </c>
      <c r="AQ448" s="117" t="n">
        <v>0</v>
      </c>
      <c r="AR448" s="117" t="n">
        <v>0</v>
      </c>
      <c r="AS448" s="117" t="n">
        <v>0</v>
      </c>
      <c r="AT448" s="117" t="n">
        <v>1</v>
      </c>
      <c r="AU448" s="117" t="n">
        <v>0</v>
      </c>
      <c r="AV448" s="117" t="n">
        <v>1</v>
      </c>
      <c r="AW448" s="119" t="inlineStr">
        <is>
          <t>✓ Clean</t>
        </is>
      </c>
      <c r="AX448" s="118" t="n">
        <v>21.5</v>
      </c>
      <c r="AY448" s="119" t="inlineStr">
        <is>
          <t>🟢 LOW RISK</t>
        </is>
      </c>
      <c r="AZ448" s="118" t="n">
        <v>356.8</v>
      </c>
      <c r="BA448" s="118" t="n">
        <v>1432.8</v>
      </c>
      <c r="BB448" s="118" t="n">
        <v>2900.4</v>
      </c>
      <c r="BC448" s="118" t="n">
        <v>4744.7</v>
      </c>
      <c r="BD448" s="118" t="n">
        <v>850.9</v>
      </c>
      <c r="BE448" s="118" t="n">
        <v>1213.3</v>
      </c>
      <c r="BF448" s="120" t="n">
        <v>0.139</v>
      </c>
      <c r="BG448" s="117" t="n">
        <v>0.86</v>
      </c>
      <c r="BH448" s="122" t="n">
        <v>3</v>
      </c>
      <c r="BI448" s="123" t="n">
        <v>1</v>
      </c>
    </row>
    <row r="449" ht="17" customHeight="1">
      <c r="A449" s="117" t="inlineStr">
        <is>
          <t>YUM</t>
        </is>
      </c>
      <c r="B449" s="117" t="inlineStr">
        <is>
          <t>YUM! BRANDS, INC.</t>
        </is>
      </c>
      <c r="C449" s="124" t="inlineStr">
        <is>
          <t>N/A</t>
        </is>
      </c>
      <c r="D449" s="118" t="n">
        <v>1.031</v>
      </c>
      <c r="E449" s="118" t="n">
        <v>1.052</v>
      </c>
      <c r="F449" s="118" t="n">
        <v>1.088</v>
      </c>
      <c r="G449" s="118" t="n">
        <v>1.144</v>
      </c>
      <c r="H449" s="118" t="n">
        <v>0.982</v>
      </c>
      <c r="I449" s="118" t="n">
        <v>0.886</v>
      </c>
      <c r="J449" s="118" t="n">
        <v>-0.055</v>
      </c>
      <c r="K449" s="124" t="inlineStr">
        <is>
          <t>N/A</t>
        </is>
      </c>
      <c r="L449" s="124" t="inlineStr">
        <is>
          <t>N/A</t>
        </is>
      </c>
      <c r="M449" s="120" t="n">
        <v>-0.09</v>
      </c>
      <c r="N449" s="124" t="inlineStr">
        <is>
          <t>N/A</t>
        </is>
      </c>
      <c r="O449" s="120" t="n">
        <v>-0.108</v>
      </c>
      <c r="P449" s="120" t="n">
        <v>0.718</v>
      </c>
      <c r="Q449" s="120" t="n">
        <v>-0.031</v>
      </c>
      <c r="R449" s="117" t="n">
        <v>0</v>
      </c>
      <c r="S449" s="118" t="n">
        <v>-6.659</v>
      </c>
      <c r="T449" s="118" t="n">
        <v>0.001</v>
      </c>
      <c r="U449" s="119" t="inlineStr">
        <is>
          <t>✓ Normal</t>
        </is>
      </c>
      <c r="V449" s="117" t="n">
        <v>0</v>
      </c>
      <c r="W449" s="117" t="n">
        <v>0</v>
      </c>
      <c r="X449" s="117" t="n">
        <v>0</v>
      </c>
      <c r="Y449" s="117" t="n">
        <v>1</v>
      </c>
      <c r="Z449" s="117" t="n">
        <v>1</v>
      </c>
      <c r="AA449" s="117" t="n">
        <v>1</v>
      </c>
      <c r="AB449" s="117" t="n">
        <v>3</v>
      </c>
      <c r="AC449" s="121" t="inlineStr">
        <is>
          <t>⚠ WATCH</t>
        </is>
      </c>
      <c r="AD449" s="118" t="n">
        <v>2010000000</v>
      </c>
      <c r="AE449" s="118" t="n">
        <v>-1003000000</v>
      </c>
      <c r="AF449" s="118" t="n">
        <v>1559000000</v>
      </c>
      <c r="AG449" s="118" t="n">
        <v>0.074</v>
      </c>
      <c r="AH449" s="119" t="inlineStr">
        <is>
          <t>✓ Medium Quality</t>
        </is>
      </c>
      <c r="AI449" s="124" t="inlineStr">
        <is>
          <t>N/A</t>
        </is>
      </c>
      <c r="AJ449" s="120" t="n">
        <v>0.08799999999999999</v>
      </c>
      <c r="AK449" s="124" t="inlineStr">
        <is>
          <t>N/A</t>
        </is>
      </c>
      <c r="AL449" s="120" t="n">
        <v>0.245</v>
      </c>
      <c r="AM449" s="120" t="n">
        <v>-0.003</v>
      </c>
      <c r="AN449" s="118" t="n">
        <v>99.8</v>
      </c>
      <c r="AO449" s="119" t="inlineStr">
        <is>
          <t>✓ Good</t>
        </is>
      </c>
      <c r="AP449" s="117" t="n">
        <v>0</v>
      </c>
      <c r="AQ449" s="117" t="n">
        <v>0</v>
      </c>
      <c r="AR449" s="117" t="n">
        <v>1</v>
      </c>
      <c r="AS449" s="117" t="n">
        <v>0</v>
      </c>
      <c r="AT449" s="117" t="n">
        <v>1</v>
      </c>
      <c r="AU449" s="117" t="n">
        <v>0</v>
      </c>
      <c r="AV449" s="117" t="n">
        <v>2</v>
      </c>
      <c r="AW449" s="121" t="inlineStr">
        <is>
          <t>⚠ WATCH</t>
        </is>
      </c>
      <c r="AX449" s="118" t="n">
        <v>27.9</v>
      </c>
      <c r="AY449" s="119" t="inlineStr">
        <is>
          <t>🟢 LOW RISK</t>
        </is>
      </c>
      <c r="AZ449" s="118" t="n">
        <v>0</v>
      </c>
      <c r="BA449" s="124" t="inlineStr">
        <is>
          <t>N/A</t>
        </is>
      </c>
      <c r="BB449" s="118" t="n">
        <v>33.7</v>
      </c>
      <c r="BC449" s="118" t="n">
        <v>51.8</v>
      </c>
      <c r="BD449" s="118" t="n">
        <v>25.4</v>
      </c>
      <c r="BE449" s="118" t="n">
        <v>34.8</v>
      </c>
      <c r="BF449" s="120" t="n">
        <v>0.249</v>
      </c>
      <c r="BG449" s="117" t="n">
        <v>0.718</v>
      </c>
      <c r="BH449" s="122" t="n">
        <v>5</v>
      </c>
      <c r="BI449" s="123" t="n">
        <v>0.8333333333333334</v>
      </c>
    </row>
    <row r="450" ht="17" customHeight="1">
      <c r="A450" s="126" t="inlineStr">
        <is>
          <t>PHM</t>
        </is>
      </c>
      <c r="B450" s="126" t="inlineStr">
        <is>
          <t>PULTEGROUP, INC.</t>
        </is>
      </c>
      <c r="C450" s="127" t="n">
        <v>0.14</v>
      </c>
      <c r="D450" s="124" t="inlineStr">
        <is>
          <t>N/A</t>
        </is>
      </c>
      <c r="E450" s="127" t="n">
        <v>1.001</v>
      </c>
      <c r="F450" s="127" t="n">
        <v>1.08</v>
      </c>
      <c r="G450" s="127" t="n">
        <v>0.8129999999999999</v>
      </c>
      <c r="H450" s="127" t="n">
        <v>1.103</v>
      </c>
      <c r="I450" s="127" t="n">
        <v>0.929</v>
      </c>
      <c r="J450" s="127" t="n">
        <v>0.019</v>
      </c>
      <c r="K450" s="124" t="inlineStr">
        <is>
          <t>N/A</t>
        </is>
      </c>
      <c r="L450" s="124" t="inlineStr">
        <is>
          <t>N/A</t>
        </is>
      </c>
      <c r="M450" s="124" t="inlineStr">
        <is>
          <t>N/A</t>
        </is>
      </c>
      <c r="N450" s="128" t="n">
        <v>-0.146</v>
      </c>
      <c r="O450" s="124" t="inlineStr">
        <is>
          <t>N/A</t>
        </is>
      </c>
      <c r="P450" s="128" t="n">
        <v>0.877</v>
      </c>
      <c r="Q450" s="128" t="n">
        <v>-0.055</v>
      </c>
      <c r="R450" s="126" t="n">
        <v>0</v>
      </c>
      <c r="S450" s="124" t="inlineStr">
        <is>
          <t>N/A</t>
        </is>
      </c>
      <c r="T450" s="124" t="inlineStr">
        <is>
          <t>N/A</t>
        </is>
      </c>
      <c r="U450" s="124" t="inlineStr">
        <is>
          <t>N/A</t>
        </is>
      </c>
      <c r="V450" s="126" t="n">
        <v>0</v>
      </c>
      <c r="W450" s="126" t="n">
        <v>0</v>
      </c>
      <c r="X450" s="126" t="n">
        <v>0</v>
      </c>
      <c r="Y450" s="126" t="n">
        <v>0</v>
      </c>
      <c r="Z450" s="126" t="n">
        <v>0</v>
      </c>
      <c r="AA450" s="126" t="n">
        <v>0</v>
      </c>
      <c r="AB450" s="126" t="n">
        <v>0</v>
      </c>
      <c r="AC450" s="119" t="inlineStr">
        <is>
          <t>✓ Clean</t>
        </is>
      </c>
      <c r="AD450" s="127" t="n">
        <v>1871249000</v>
      </c>
      <c r="AE450" s="127" t="n">
        <v>-80424000</v>
      </c>
      <c r="AF450" s="127" t="n">
        <v>2218730000</v>
      </c>
      <c r="AG450" s="127" t="n">
        <v>0.024</v>
      </c>
      <c r="AH450" s="119" t="inlineStr">
        <is>
          <t>✓ Medium Quality</t>
        </is>
      </c>
      <c r="AI450" s="127" t="n">
        <v>-0.848</v>
      </c>
      <c r="AJ450" s="128" t="n">
        <v>0.08</v>
      </c>
      <c r="AK450" s="128" t="n">
        <v>-10.56</v>
      </c>
      <c r="AL450" s="128" t="n">
        <v>0.586</v>
      </c>
      <c r="AM450" s="128" t="n">
        <v>-0.039</v>
      </c>
      <c r="AN450" s="127" t="n">
        <v>98</v>
      </c>
      <c r="AO450" s="119" t="inlineStr">
        <is>
          <t>✓ Good</t>
        </is>
      </c>
      <c r="AP450" s="126" t="n">
        <v>0</v>
      </c>
      <c r="AQ450" s="126" t="n">
        <v>0</v>
      </c>
      <c r="AR450" s="126" t="n">
        <v>0</v>
      </c>
      <c r="AS450" s="126" t="n">
        <v>1</v>
      </c>
      <c r="AT450" s="126" t="n">
        <v>0</v>
      </c>
      <c r="AU450" s="126" t="n">
        <v>0</v>
      </c>
      <c r="AV450" s="126" t="n">
        <v>1</v>
      </c>
      <c r="AW450" s="119" t="inlineStr">
        <is>
          <t>✓ Clean</t>
        </is>
      </c>
      <c r="AX450" s="127" t="n">
        <v>23.4</v>
      </c>
      <c r="AY450" s="119" t="inlineStr">
        <is>
          <t>🟢 LOW RISK</t>
        </is>
      </c>
      <c r="AZ450" s="127" t="n">
        <v>0.7</v>
      </c>
      <c r="BA450" s="127" t="n">
        <v>5.1</v>
      </c>
      <c r="BB450" s="124" t="inlineStr">
        <is>
          <t>N/A</t>
        </is>
      </c>
      <c r="BC450" s="124" t="inlineStr">
        <is>
          <t>N/A</t>
        </is>
      </c>
      <c r="BD450" s="124" t="inlineStr">
        <is>
          <t>N/A</t>
        </is>
      </c>
      <c r="BE450" s="124" t="inlineStr">
        <is>
          <t>N/A</t>
        </is>
      </c>
      <c r="BF450" s="128" t="n">
        <v>0.238</v>
      </c>
      <c r="BG450" s="126" t="n">
        <v>0.877</v>
      </c>
      <c r="BH450" s="126" t="n">
        <v>1</v>
      </c>
      <c r="BI450" s="125" t="n">
        <v>0.6666666666666666</v>
      </c>
    </row>
    <row r="451" ht="17" customHeight="1">
      <c r="A451" s="117" t="inlineStr">
        <is>
          <t>LYFT</t>
        </is>
      </c>
      <c r="B451" s="117" t="inlineStr">
        <is>
          <t>Lyft, Inc.</t>
        </is>
      </c>
      <c r="C451" s="124" t="inlineStr">
        <is>
          <t>N/A</t>
        </is>
      </c>
      <c r="D451" s="118" t="n">
        <v>1.021</v>
      </c>
      <c r="E451" s="118" t="n">
        <v>1.501</v>
      </c>
      <c r="F451" s="118" t="n">
        <v>1.092</v>
      </c>
      <c r="G451" s="118" t="n">
        <v>1.381</v>
      </c>
      <c r="H451" s="118" t="n">
        <v>0.979</v>
      </c>
      <c r="I451" s="118" t="n">
        <v>0.742</v>
      </c>
      <c r="J451" s="118" t="n">
        <v>0.186</v>
      </c>
      <c r="K451" s="124" t="inlineStr">
        <is>
          <t>N/A</t>
        </is>
      </c>
      <c r="L451" s="124" t="inlineStr">
        <is>
          <t>N/A</t>
        </is>
      </c>
      <c r="M451" s="120" t="n">
        <v>-0.131</v>
      </c>
      <c r="N451" s="124" t="inlineStr">
        <is>
          <t>N/A</t>
        </is>
      </c>
      <c r="O451" s="124" t="inlineStr">
        <is>
          <t>N/A</t>
        </is>
      </c>
      <c r="P451" s="120" t="n">
        <v>0.854</v>
      </c>
      <c r="Q451" s="120" t="n">
        <v>0.311</v>
      </c>
      <c r="R451" s="117" t="n">
        <v>0</v>
      </c>
      <c r="S451" s="124" t="inlineStr">
        <is>
          <t>N/A</t>
        </is>
      </c>
      <c r="T451" s="124" t="inlineStr">
        <is>
          <t>N/A</t>
        </is>
      </c>
      <c r="U451" s="124" t="inlineStr">
        <is>
          <t>N/A</t>
        </is>
      </c>
      <c r="V451" s="117" t="n">
        <v>1</v>
      </c>
      <c r="W451" s="117" t="n">
        <v>0</v>
      </c>
      <c r="X451" s="117" t="n">
        <v>0</v>
      </c>
      <c r="Y451" s="117" t="n">
        <v>0</v>
      </c>
      <c r="Z451" s="117" t="n">
        <v>1</v>
      </c>
      <c r="AA451" s="117" t="n">
        <v>1</v>
      </c>
      <c r="AB451" s="117" t="n">
        <v>3</v>
      </c>
      <c r="AC451" s="121" t="inlineStr">
        <is>
          <t>⚠ WATCH</t>
        </is>
      </c>
      <c r="AD451" s="118" t="n">
        <v>1168438000</v>
      </c>
      <c r="AE451" s="118" t="n">
        <v>406738000</v>
      </c>
      <c r="AF451" s="118" t="n">
        <v>2844008000</v>
      </c>
      <c r="AG451" s="118" t="n">
        <v>0.175</v>
      </c>
      <c r="AH451" s="117" t="inlineStr">
        <is>
          <t>⚠ Low Quality</t>
        </is>
      </c>
      <c r="AI451" s="124" t="inlineStr">
        <is>
          <t>N/A</t>
        </is>
      </c>
      <c r="AJ451" s="120" t="n">
        <v>0.092</v>
      </c>
      <c r="AK451" s="124" t="inlineStr">
        <is>
          <t>N/A</t>
        </is>
      </c>
      <c r="AL451" s="120" t="n">
        <v>0.185</v>
      </c>
      <c r="AM451" s="120" t="n">
        <v>0</v>
      </c>
      <c r="AN451" s="117" t="n">
        <v>100</v>
      </c>
      <c r="AO451" s="119" t="inlineStr">
        <is>
          <t>✓ Good</t>
        </is>
      </c>
      <c r="AP451" s="117" t="n">
        <v>0</v>
      </c>
      <c r="AQ451" s="117" t="n">
        <v>0</v>
      </c>
      <c r="AR451" s="117" t="n">
        <v>1</v>
      </c>
      <c r="AS451" s="117" t="n">
        <v>0</v>
      </c>
      <c r="AT451" s="117" t="n">
        <v>1</v>
      </c>
      <c r="AU451" s="117" t="n">
        <v>0</v>
      </c>
      <c r="AV451" s="117" t="n">
        <v>2</v>
      </c>
      <c r="AW451" s="121" t="inlineStr">
        <is>
          <t>⚠ WATCH</t>
        </is>
      </c>
      <c r="AX451" s="118" t="n">
        <v>37.2</v>
      </c>
      <c r="AY451" s="119" t="inlineStr">
        <is>
          <t>🟢 LOW RISK</t>
        </is>
      </c>
      <c r="AZ451" s="118" t="n">
        <v>0</v>
      </c>
      <c r="BA451" s="124" t="inlineStr">
        <is>
          <t>N/A</t>
        </is>
      </c>
      <c r="BB451" s="124" t="inlineStr">
        <is>
          <t>N/A</t>
        </is>
      </c>
      <c r="BC451" s="124" t="inlineStr">
        <is>
          <t>N/A</t>
        </is>
      </c>
      <c r="BD451" s="118" t="n">
        <v>11.9</v>
      </c>
      <c r="BE451" s="118" t="n">
        <v>10.7</v>
      </c>
      <c r="BF451" s="120" t="n">
        <v>54.412</v>
      </c>
      <c r="BG451" s="117" t="n">
        <v>0.854</v>
      </c>
      <c r="BH451" s="122" t="n">
        <v>5</v>
      </c>
      <c r="BI451" s="125" t="n">
        <v>0.6666666666666666</v>
      </c>
    </row>
    <row r="452" ht="17" customHeight="1">
      <c r="A452" s="117" t="inlineStr">
        <is>
          <t>CNP</t>
        </is>
      </c>
      <c r="B452" s="117" t="inlineStr">
        <is>
          <t>CENTERPOINT ENERGY INC</t>
        </is>
      </c>
      <c r="C452" s="118" t="n">
        <v>1.038</v>
      </c>
      <c r="D452" s="118" t="n">
        <v>1</v>
      </c>
      <c r="E452" s="118" t="n">
        <v>0.873</v>
      </c>
      <c r="F452" s="118" t="n">
        <v>1.083</v>
      </c>
      <c r="G452" s="118" t="n">
        <v>1.034</v>
      </c>
      <c r="H452" s="124" t="inlineStr">
        <is>
          <t>N/A</t>
        </is>
      </c>
      <c r="I452" s="118" t="n">
        <v>1</v>
      </c>
      <c r="J452" s="118" t="n">
        <v>-0.031</v>
      </c>
      <c r="K452" s="118" t="n">
        <v>-2.39</v>
      </c>
      <c r="L452" s="119" t="inlineStr">
        <is>
          <t>✓ Lower Risk</t>
        </is>
      </c>
      <c r="M452" s="120" t="n">
        <v>-0.039</v>
      </c>
      <c r="N452" s="120" t="n">
        <v>0.125</v>
      </c>
      <c r="O452" s="120" t="n">
        <v>-0.052</v>
      </c>
      <c r="P452" s="120" t="n">
        <v>0.267</v>
      </c>
      <c r="Q452" s="120" t="n">
        <v>-0.001</v>
      </c>
      <c r="R452" s="117" t="n">
        <v>1</v>
      </c>
      <c r="S452" s="118" t="n">
        <v>-4.068</v>
      </c>
      <c r="T452" s="118" t="n">
        <v>0.017</v>
      </c>
      <c r="U452" s="119" t="inlineStr">
        <is>
          <t>✓ Normal</t>
        </is>
      </c>
      <c r="V452" s="117" t="n">
        <v>0</v>
      </c>
      <c r="W452" s="117" t="n">
        <v>1</v>
      </c>
      <c r="X452" s="117" t="n">
        <v>0</v>
      </c>
      <c r="Y452" s="117" t="n">
        <v>1</v>
      </c>
      <c r="Z452" s="117" t="n">
        <v>1</v>
      </c>
      <c r="AA452" s="117" t="n">
        <v>0</v>
      </c>
      <c r="AB452" s="117" t="n">
        <v>3</v>
      </c>
      <c r="AC452" s="121" t="inlineStr">
        <is>
          <t>⚠ WATCH</t>
        </is>
      </c>
      <c r="AD452" s="118" t="n">
        <v>2486000000</v>
      </c>
      <c r="AE452" s="118" t="n">
        <v>-4016000000</v>
      </c>
      <c r="AF452" s="118" t="n">
        <v>1052000000</v>
      </c>
      <c r="AG452" s="118" t="n">
        <v>0.057</v>
      </c>
      <c r="AH452" s="119" t="inlineStr">
        <is>
          <t>✓ Medium Quality</t>
        </is>
      </c>
      <c r="AI452" s="118" t="n">
        <v>0.124</v>
      </c>
      <c r="AJ452" s="120" t="n">
        <v>0.083</v>
      </c>
      <c r="AK452" s="120" t="n">
        <v>1.503</v>
      </c>
      <c r="AL452" s="120" t="n">
        <v>0.266</v>
      </c>
      <c r="AM452" s="120" t="n">
        <v>-0</v>
      </c>
      <c r="AN452" s="118" t="n">
        <v>84.90000000000001</v>
      </c>
      <c r="AO452" s="119" t="inlineStr">
        <is>
          <t>✓ Good</t>
        </is>
      </c>
      <c r="AP452" s="117" t="n">
        <v>0</v>
      </c>
      <c r="AQ452" s="117" t="n">
        <v>0</v>
      </c>
      <c r="AR452" s="117" t="n">
        <v>1</v>
      </c>
      <c r="AS452" s="117" t="n">
        <v>0</v>
      </c>
      <c r="AT452" s="117" t="n">
        <v>0</v>
      </c>
      <c r="AU452" s="117" t="n">
        <v>1</v>
      </c>
      <c r="AV452" s="117" t="n">
        <v>2</v>
      </c>
      <c r="AW452" s="121" t="inlineStr">
        <is>
          <t>⚠ WATCH</t>
        </is>
      </c>
      <c r="AX452" s="118" t="n">
        <v>23.4</v>
      </c>
      <c r="AY452" s="119" t="inlineStr">
        <is>
          <t>🟢 LOW RISK</t>
        </is>
      </c>
      <c r="AZ452" s="118" t="n">
        <v>31.4</v>
      </c>
      <c r="BA452" s="118" t="n">
        <v>30.3</v>
      </c>
      <c r="BB452" s="118" t="n">
        <v>26006.2</v>
      </c>
      <c r="BC452" s="118" t="n">
        <v>39176.7</v>
      </c>
      <c r="BD452" s="118" t="n">
        <v>118625</v>
      </c>
      <c r="BE452" s="118" t="n">
        <v>160600</v>
      </c>
      <c r="BF452" s="120" t="n">
        <v>0.156</v>
      </c>
      <c r="BG452" s="117" t="n">
        <v>0.267</v>
      </c>
      <c r="BH452" s="122" t="n">
        <v>6</v>
      </c>
      <c r="BI452" s="123" t="n">
        <v>1</v>
      </c>
    </row>
    <row r="453" ht="17" customHeight="1">
      <c r="A453" s="117" t="inlineStr">
        <is>
          <t>WEX</t>
        </is>
      </c>
      <c r="B453" s="117" t="inlineStr">
        <is>
          <t>WEX Inc.</t>
        </is>
      </c>
      <c r="C453" s="118" t="n">
        <v>1.01</v>
      </c>
      <c r="D453" s="118" t="n">
        <v>1.013</v>
      </c>
      <c r="E453" s="118" t="n">
        <v>0.902</v>
      </c>
      <c r="F453" s="118" t="n">
        <v>1.012</v>
      </c>
      <c r="G453" s="118" t="n">
        <v>1.01</v>
      </c>
      <c r="H453" s="118" t="n">
        <v>0.868</v>
      </c>
      <c r="I453" s="118" t="n">
        <v>1.029</v>
      </c>
      <c r="J453" s="118" t="n">
        <v>-0.01</v>
      </c>
      <c r="K453" s="118" t="n">
        <v>-2.527</v>
      </c>
      <c r="L453" s="119" t="inlineStr">
        <is>
          <t>✓ Lower Risk</t>
        </is>
      </c>
      <c r="M453" s="120" t="n">
        <v>-0.017</v>
      </c>
      <c r="N453" s="120" t="n">
        <v>1.724</v>
      </c>
      <c r="O453" s="124" t="inlineStr">
        <is>
          <t>N/A</t>
        </is>
      </c>
      <c r="P453" s="120" t="n">
        <v>0.919</v>
      </c>
      <c r="Q453" s="120" t="n">
        <v>-0.002</v>
      </c>
      <c r="R453" s="117" t="n">
        <v>0</v>
      </c>
      <c r="S453" s="118" t="n">
        <v>-1.746</v>
      </c>
      <c r="T453" s="118" t="n">
        <v>0.149</v>
      </c>
      <c r="U453" s="121" t="inlineStr">
        <is>
          <t>⚠ HIGH RISK</t>
        </is>
      </c>
      <c r="V453" s="117" t="n">
        <v>1</v>
      </c>
      <c r="W453" s="117" t="n">
        <v>1</v>
      </c>
      <c r="X453" s="117" t="n">
        <v>0</v>
      </c>
      <c r="Y453" s="117" t="n">
        <v>0</v>
      </c>
      <c r="Z453" s="117" t="n">
        <v>1</v>
      </c>
      <c r="AA453" s="117" t="n">
        <v>0</v>
      </c>
      <c r="AB453" s="117" t="n">
        <v>3</v>
      </c>
      <c r="AC453" s="121" t="inlineStr">
        <is>
          <t>⚠ WATCH</t>
        </is>
      </c>
      <c r="AD453" s="118" t="n">
        <v>454300000</v>
      </c>
      <c r="AE453" s="118" t="n">
        <v>-696900000</v>
      </c>
      <c r="AF453" s="118" t="n">
        <v>304100000</v>
      </c>
      <c r="AG453" s="118" t="n">
        <v>0.039</v>
      </c>
      <c r="AH453" s="119" t="inlineStr">
        <is>
          <t>✓ Medium Quality</t>
        </is>
      </c>
      <c r="AI453" s="118" t="n">
        <v>0.022</v>
      </c>
      <c r="AJ453" s="120" t="n">
        <v>0.012</v>
      </c>
      <c r="AK453" s="120" t="n">
        <v>1.792</v>
      </c>
      <c r="AL453" s="120" t="n">
        <v>0.171</v>
      </c>
      <c r="AM453" s="120" t="n">
        <v>0.42</v>
      </c>
      <c r="AN453" s="118" t="n">
        <v>86.2</v>
      </c>
      <c r="AO453" s="119" t="inlineStr">
        <is>
          <t>✓ Good</t>
        </is>
      </c>
      <c r="AP453" s="117" t="n">
        <v>0</v>
      </c>
      <c r="AQ453" s="117" t="n">
        <v>1</v>
      </c>
      <c r="AR453" s="117" t="n">
        <v>1</v>
      </c>
      <c r="AS453" s="117" t="n">
        <v>0</v>
      </c>
      <c r="AT453" s="117" t="n">
        <v>0</v>
      </c>
      <c r="AU453" s="117" t="n">
        <v>0</v>
      </c>
      <c r="AV453" s="117" t="n">
        <v>2</v>
      </c>
      <c r="AW453" s="121" t="inlineStr">
        <is>
          <t>⚠ WATCH</t>
        </is>
      </c>
      <c r="AX453" s="118" t="n">
        <v>42.4</v>
      </c>
      <c r="AY453" s="121" t="inlineStr">
        <is>
          <t>🟡 ELEVATED RISK</t>
        </is>
      </c>
      <c r="AZ453" s="118" t="n">
        <v>354.5</v>
      </c>
      <c r="BA453" s="118" t="n">
        <v>351.1</v>
      </c>
      <c r="BB453" s="124" t="inlineStr">
        <is>
          <t>N/A</t>
        </is>
      </c>
      <c r="BC453" s="124" t="inlineStr">
        <is>
          <t>N/A</t>
        </is>
      </c>
      <c r="BD453" s="124" t="inlineStr">
        <is>
          <t>N/A</t>
        </is>
      </c>
      <c r="BE453" s="124" t="inlineStr">
        <is>
          <t>N/A</t>
        </is>
      </c>
      <c r="BF453" s="120" t="n">
        <v>0.276</v>
      </c>
      <c r="BG453" s="117" t="n">
        <v>0.919</v>
      </c>
      <c r="BH453" s="122" t="n">
        <v>5</v>
      </c>
      <c r="BI453" s="123" t="n">
        <v>1</v>
      </c>
    </row>
    <row r="454" ht="17" customHeight="1">
      <c r="A454" s="117" t="inlineStr">
        <is>
          <t>PYPL</t>
        </is>
      </c>
      <c r="B454" s="117" t="inlineStr">
        <is>
          <t>PayPal Holdings, Inc.</t>
        </is>
      </c>
      <c r="C454" s="118" t="n">
        <v>0.8179999999999999</v>
      </c>
      <c r="D454" s="118" t="n">
        <v>0.916</v>
      </c>
      <c r="E454" s="118" t="n">
        <v>1.002</v>
      </c>
      <c r="F454" s="118" t="n">
        <v>1.043</v>
      </c>
      <c r="G454" s="124" t="inlineStr">
        <is>
          <t>N/A</t>
        </is>
      </c>
      <c r="H454" s="118" t="n">
        <v>0.884</v>
      </c>
      <c r="I454" s="118" t="n">
        <v>0.997</v>
      </c>
      <c r="J454" s="118" t="n">
        <v>-0.015</v>
      </c>
      <c r="K454" s="118" t="n">
        <v>-2.815</v>
      </c>
      <c r="L454" s="119" t="inlineStr">
        <is>
          <t>✓ Lower Risk</t>
        </is>
      </c>
      <c r="M454" s="120" t="n">
        <v>-0.021</v>
      </c>
      <c r="N454" s="120" t="n">
        <v>-0.105</v>
      </c>
      <c r="O454" s="124" t="inlineStr">
        <is>
          <t>N/A</t>
        </is>
      </c>
      <c r="P454" s="120" t="n">
        <v>0.878</v>
      </c>
      <c r="Q454" s="120" t="n">
        <v>0.014</v>
      </c>
      <c r="R454" s="117" t="n">
        <v>0</v>
      </c>
      <c r="S454" s="118" t="n">
        <v>-6.441</v>
      </c>
      <c r="T454" s="118" t="n">
        <v>0.002</v>
      </c>
      <c r="U454" s="119" t="inlineStr">
        <is>
          <t>✓ Normal</t>
        </is>
      </c>
      <c r="V454" s="117" t="n">
        <v>1</v>
      </c>
      <c r="W454" s="117" t="n">
        <v>0</v>
      </c>
      <c r="X454" s="117" t="n">
        <v>0</v>
      </c>
      <c r="Y454" s="117" t="n">
        <v>0</v>
      </c>
      <c r="Z454" s="117" t="n">
        <v>0</v>
      </c>
      <c r="AA454" s="117" t="n">
        <v>0</v>
      </c>
      <c r="AB454" s="117" t="n">
        <v>1</v>
      </c>
      <c r="AC454" s="119" t="inlineStr">
        <is>
          <t>✓ Clean</t>
        </is>
      </c>
      <c r="AD454" s="118" t="n">
        <v>6416000000</v>
      </c>
      <c r="AE454" s="118" t="n">
        <v>797000000</v>
      </c>
      <c r="AF454" s="118" t="n">
        <v>5233000000</v>
      </c>
      <c r="AG454" s="118" t="n">
        <v>-0.024</v>
      </c>
      <c r="AH454" s="119" t="inlineStr">
        <is>
          <t>✓ Medium Quality</t>
        </is>
      </c>
      <c r="AI454" s="118" t="n">
        <v>-0.146</v>
      </c>
      <c r="AJ454" s="120" t="n">
        <v>0.043</v>
      </c>
      <c r="AK454" s="120" t="n">
        <v>-3.384</v>
      </c>
      <c r="AL454" s="120" t="n">
        <v>0.193</v>
      </c>
      <c r="AM454" s="124" t="inlineStr">
        <is>
          <t>N/A</t>
        </is>
      </c>
      <c r="AN454" s="117" t="n">
        <v>100</v>
      </c>
      <c r="AO454" s="119" t="inlineStr">
        <is>
          <t>✓ Good</t>
        </is>
      </c>
      <c r="AP454" s="117" t="n">
        <v>0</v>
      </c>
      <c r="AQ454" s="117" t="n">
        <v>0</v>
      </c>
      <c r="AR454" s="117" t="n">
        <v>0</v>
      </c>
      <c r="AS454" s="117" t="n">
        <v>0</v>
      </c>
      <c r="AT454" s="117" t="n">
        <v>1</v>
      </c>
      <c r="AU454" s="117" t="n">
        <v>0</v>
      </c>
      <c r="AV454" s="117" t="n">
        <v>1</v>
      </c>
      <c r="AW454" s="119" t="inlineStr">
        <is>
          <t>✓ Clean</t>
        </is>
      </c>
      <c r="AX454" s="118" t="n">
        <v>11</v>
      </c>
      <c r="AY454" s="119" t="inlineStr">
        <is>
          <t>🟢 VERY LOW RISK</t>
        </is>
      </c>
      <c r="AZ454" s="118" t="n">
        <v>9.199999999999999</v>
      </c>
      <c r="BA454" s="118" t="n">
        <v>11.3</v>
      </c>
      <c r="BB454" s="124" t="inlineStr">
        <is>
          <t>N/A</t>
        </is>
      </c>
      <c r="BC454" s="124" t="inlineStr">
        <is>
          <t>N/A</t>
        </is>
      </c>
      <c r="BD454" s="118" t="n">
        <v>3.2</v>
      </c>
      <c r="BE454" s="118" t="n">
        <v>3.1</v>
      </c>
      <c r="BF454" s="120" t="n">
        <v>0.315</v>
      </c>
      <c r="BG454" s="117" t="n">
        <v>0.878</v>
      </c>
      <c r="BH454" s="122" t="n">
        <v>2</v>
      </c>
      <c r="BI454" s="123" t="n">
        <v>1</v>
      </c>
    </row>
    <row r="455" ht="17" customHeight="1">
      <c r="A455" s="117" t="inlineStr">
        <is>
          <t>MRNA</t>
        </is>
      </c>
      <c r="B455" s="117" t="inlineStr">
        <is>
          <t>Moderna, Inc.</t>
        </is>
      </c>
      <c r="C455" s="118" t="n">
        <v>0.493</v>
      </c>
      <c r="D455" s="118" t="n">
        <v>0.964</v>
      </c>
      <c r="E455" s="118" t="n">
        <v>1.098</v>
      </c>
      <c r="F455" s="118" t="n">
        <v>1.043</v>
      </c>
      <c r="G455" s="118" t="n">
        <v>0.929</v>
      </c>
      <c r="H455" s="118" t="n">
        <v>0.831</v>
      </c>
      <c r="I455" s="118" t="n">
        <v>1.304</v>
      </c>
      <c r="J455" s="118" t="n">
        <v>-0.077</v>
      </c>
      <c r="K455" s="118" t="n">
        <v>-3.326</v>
      </c>
      <c r="L455" s="119" t="inlineStr">
        <is>
          <t>✓ Lower Risk</t>
        </is>
      </c>
      <c r="M455" s="120" t="n">
        <v>-0.18</v>
      </c>
      <c r="N455" s="120" t="n">
        <v>-0.22</v>
      </c>
      <c r="O455" s="120" t="n">
        <v>0.045</v>
      </c>
      <c r="P455" s="120" t="n">
        <v>0.773</v>
      </c>
      <c r="Q455" s="120" t="n">
        <v>0.023</v>
      </c>
      <c r="R455" s="117" t="n">
        <v>1</v>
      </c>
      <c r="S455" s="118" t="n">
        <v>-3.941</v>
      </c>
      <c r="T455" s="118" t="n">
        <v>0.019</v>
      </c>
      <c r="U455" s="119" t="inlineStr">
        <is>
          <t>✓ Normal</t>
        </is>
      </c>
      <c r="V455" s="117" t="n">
        <v>0</v>
      </c>
      <c r="W455" s="117" t="n">
        <v>0</v>
      </c>
      <c r="X455" s="117" t="n">
        <v>1</v>
      </c>
      <c r="Y455" s="117" t="n">
        <v>1</v>
      </c>
      <c r="Z455" s="117" t="n">
        <v>0</v>
      </c>
      <c r="AA455" s="117" t="n">
        <v>0</v>
      </c>
      <c r="AB455" s="117" t="n">
        <v>2</v>
      </c>
      <c r="AC455" s="121" t="inlineStr">
        <is>
          <t>⚠ WATCH</t>
        </is>
      </c>
      <c r="AD455" s="118" t="n">
        <v>-1873000000</v>
      </c>
      <c r="AE455" s="118" t="n">
        <v>1946000000</v>
      </c>
      <c r="AF455" s="118" t="n">
        <v>-2822000000</v>
      </c>
      <c r="AG455" s="118" t="n">
        <v>-0.219</v>
      </c>
      <c r="AH455" s="119" t="inlineStr">
        <is>
          <t>✓ High Quality</t>
        </is>
      </c>
      <c r="AI455" s="118" t="n">
        <v>-0.486</v>
      </c>
      <c r="AJ455" s="120" t="n">
        <v>0.043</v>
      </c>
      <c r="AK455" s="120" t="n">
        <v>-11.335</v>
      </c>
      <c r="AL455" s="120" t="n">
        <v>-0.097</v>
      </c>
      <c r="AM455" s="120" t="n">
        <v>0.001</v>
      </c>
      <c r="AN455" s="118" t="n">
        <v>70</v>
      </c>
      <c r="AO455" s="119" t="inlineStr">
        <is>
          <t>✓ Good</t>
        </is>
      </c>
      <c r="AP455" s="117" t="n">
        <v>0</v>
      </c>
      <c r="AQ455" s="117" t="n">
        <v>0</v>
      </c>
      <c r="AR455" s="117" t="n">
        <v>0</v>
      </c>
      <c r="AS455" s="117" t="n">
        <v>0</v>
      </c>
      <c r="AT455" s="117" t="n">
        <v>1</v>
      </c>
      <c r="AU455" s="117" t="n">
        <v>1</v>
      </c>
      <c r="AV455" s="117" t="n">
        <v>2</v>
      </c>
      <c r="AW455" s="121" t="inlineStr">
        <is>
          <t>⚠ WATCH</t>
        </is>
      </c>
      <c r="AX455" s="118" t="n">
        <v>21.6</v>
      </c>
      <c r="AY455" s="119" t="inlineStr">
        <is>
          <t>🟢 LOW RISK</t>
        </is>
      </c>
      <c r="AZ455" s="118" t="n">
        <v>3.5</v>
      </c>
      <c r="BA455" s="118" t="n">
        <v>7.1</v>
      </c>
      <c r="BB455" s="118" t="n">
        <v>64.3</v>
      </c>
      <c r="BC455" s="118" t="n">
        <v>29.2</v>
      </c>
      <c r="BD455" s="118" t="n">
        <v>133.3</v>
      </c>
      <c r="BE455" s="118" t="n">
        <v>101</v>
      </c>
      <c r="BF455" s="120" t="n">
        <v>-0.02</v>
      </c>
      <c r="BG455" s="117" t="n">
        <v>0.773</v>
      </c>
      <c r="BH455" s="122" t="n">
        <v>5</v>
      </c>
      <c r="BI455" s="123" t="n">
        <v>1</v>
      </c>
    </row>
    <row r="456" ht="17" customHeight="1">
      <c r="A456" s="126" t="inlineStr">
        <is>
          <t>FHB</t>
        </is>
      </c>
      <c r="B456" s="126" t="inlineStr">
        <is>
          <t>FIRST HAWAIIAN, INC.</t>
        </is>
      </c>
      <c r="C456" s="124" t="inlineStr">
        <is>
          <t>N/A</t>
        </is>
      </c>
      <c r="D456" s="124" t="inlineStr">
        <is>
          <t>N/A</t>
        </is>
      </c>
      <c r="E456" s="127" t="n">
        <v>0.999</v>
      </c>
      <c r="F456" s="127" t="n">
        <v>1.089</v>
      </c>
      <c r="G456" s="127" t="n">
        <v>0.908</v>
      </c>
      <c r="H456" s="124" t="inlineStr">
        <is>
          <t>N/A</t>
        </is>
      </c>
      <c r="I456" s="127" t="n">
        <v>0.994</v>
      </c>
      <c r="J456" s="127" t="n">
        <v>-0.002</v>
      </c>
      <c r="K456" s="124" t="inlineStr">
        <is>
          <t>N/A</t>
        </is>
      </c>
      <c r="L456" s="124" t="inlineStr">
        <is>
          <t>N/A</t>
        </is>
      </c>
      <c r="M456" s="124" t="inlineStr">
        <is>
          <t>N/A</t>
        </is>
      </c>
      <c r="N456" s="124" t="inlineStr">
        <is>
          <t>N/A</t>
        </is>
      </c>
      <c r="O456" s="124" t="inlineStr">
        <is>
          <t>N/A</t>
        </is>
      </c>
      <c r="P456" s="128" t="n">
        <v>0.944</v>
      </c>
      <c r="Q456" s="128" t="n">
        <v>0.002</v>
      </c>
      <c r="R456" s="126" t="n">
        <v>0</v>
      </c>
      <c r="S456" s="124" t="inlineStr">
        <is>
          <t>N/A</t>
        </is>
      </c>
      <c r="T456" s="124" t="inlineStr">
        <is>
          <t>N/A</t>
        </is>
      </c>
      <c r="U456" s="124" t="inlineStr">
        <is>
          <t>N/A</t>
        </is>
      </c>
      <c r="V456" s="126" t="n">
        <v>1</v>
      </c>
      <c r="W456" s="126" t="n">
        <v>0</v>
      </c>
      <c r="X456" s="126" t="n">
        <v>0</v>
      </c>
      <c r="Y456" s="126" t="n">
        <v>0</v>
      </c>
      <c r="Z456" s="126" t="n">
        <v>0</v>
      </c>
      <c r="AA456" s="126" t="n">
        <v>0</v>
      </c>
      <c r="AB456" s="126" t="n">
        <v>1</v>
      </c>
      <c r="AC456" s="119" t="inlineStr">
        <is>
          <t>✓ Clean</t>
        </is>
      </c>
      <c r="AD456" s="127" t="n">
        <v>335070000</v>
      </c>
      <c r="AE456" s="127" t="n">
        <v>264112000</v>
      </c>
      <c r="AF456" s="127" t="n">
        <v>276266000</v>
      </c>
      <c r="AG456" s="127" t="n">
        <v>-0.014</v>
      </c>
      <c r="AH456" s="119" t="inlineStr">
        <is>
          <t>✓ Medium Quality</t>
        </is>
      </c>
      <c r="AI456" s="124" t="inlineStr">
        <is>
          <t>N/A</t>
        </is>
      </c>
      <c r="AJ456" s="128" t="n">
        <v>0.089</v>
      </c>
      <c r="AK456" s="124" t="inlineStr">
        <is>
          <t>N/A</t>
        </is>
      </c>
      <c r="AL456" s="128" t="n">
        <v>0.38</v>
      </c>
      <c r="AM456" s="128" t="n">
        <v>-0.001</v>
      </c>
      <c r="AN456" s="127" t="n">
        <v>99.90000000000001</v>
      </c>
      <c r="AO456" s="119" t="inlineStr">
        <is>
          <t>✓ Good</t>
        </is>
      </c>
      <c r="AP456" s="126" t="n">
        <v>0</v>
      </c>
      <c r="AQ456" s="126" t="n">
        <v>0</v>
      </c>
      <c r="AR456" s="126" t="n">
        <v>0</v>
      </c>
      <c r="AS456" s="126" t="n">
        <v>0</v>
      </c>
      <c r="AT456" s="126" t="n">
        <v>0</v>
      </c>
      <c r="AU456" s="126" t="n">
        <v>0</v>
      </c>
      <c r="AV456" s="126" t="n">
        <v>0</v>
      </c>
      <c r="AW456" s="119" t="inlineStr">
        <is>
          <t>✓ Clean</t>
        </is>
      </c>
      <c r="AX456" s="127" t="n">
        <v>25.6</v>
      </c>
      <c r="AY456" s="119" t="inlineStr">
        <is>
          <t>🟢 LOW RISK</t>
        </is>
      </c>
      <c r="AZ456" s="127" t="n">
        <v>0</v>
      </c>
      <c r="BA456" s="124" t="inlineStr">
        <is>
          <t>N/A</t>
        </is>
      </c>
      <c r="BB456" s="124" t="inlineStr">
        <is>
          <t>N/A</t>
        </is>
      </c>
      <c r="BC456" s="124" t="inlineStr">
        <is>
          <t>N/A</t>
        </is>
      </c>
      <c r="BD456" s="124" t="inlineStr">
        <is>
          <t>N/A</t>
        </is>
      </c>
      <c r="BE456" s="124" t="inlineStr">
        <is>
          <t>N/A</t>
        </is>
      </c>
      <c r="BF456" s="128" t="n">
        <v>0.22</v>
      </c>
      <c r="BG456" s="126" t="n">
        <v>0.944</v>
      </c>
      <c r="BH456" s="126" t="n">
        <v>1</v>
      </c>
      <c r="BI456" s="125" t="n">
        <v>0.6666666666666666</v>
      </c>
    </row>
    <row r="457" ht="17" customHeight="1">
      <c r="A457" s="117" t="inlineStr">
        <is>
          <t>GKOS</t>
        </is>
      </c>
      <c r="B457" s="117" t="inlineStr">
        <is>
          <t>GLAUKOS Corp</t>
        </is>
      </c>
      <c r="C457" s="118" t="n">
        <v>1.351</v>
      </c>
      <c r="D457" s="118" t="n">
        <v>1.355</v>
      </c>
      <c r="E457" s="118" t="n">
        <v>0.78</v>
      </c>
      <c r="F457" s="118" t="n">
        <v>1.323</v>
      </c>
      <c r="G457" s="118" t="n">
        <v>1.061</v>
      </c>
      <c r="H457" s="118" t="n">
        <v>0.96</v>
      </c>
      <c r="I457" s="118" t="n">
        <v>1.246</v>
      </c>
      <c r="J457" s="118" t="n">
        <v>-0.194</v>
      </c>
      <c r="K457" s="118" t="n">
        <v>-2.742</v>
      </c>
      <c r="L457" s="119" t="inlineStr">
        <is>
          <t>✓ Lower Risk</t>
        </is>
      </c>
      <c r="M457" s="120" t="n">
        <v>0.045</v>
      </c>
      <c r="N457" s="120" t="n">
        <v>0.386</v>
      </c>
      <c r="O457" s="120" t="n">
        <v>0.047</v>
      </c>
      <c r="P457" s="120" t="n">
        <v>0.772</v>
      </c>
      <c r="Q457" s="120" t="n">
        <v>-0.06</v>
      </c>
      <c r="R457" s="117" t="n">
        <v>1</v>
      </c>
      <c r="S457" s="118" t="n">
        <v>-2.202</v>
      </c>
      <c r="T457" s="118" t="n">
        <v>0.1</v>
      </c>
      <c r="U457" s="121" t="inlineStr">
        <is>
          <t>⚠ HIGH RISK</t>
        </is>
      </c>
      <c r="V457" s="117" t="n">
        <v>0</v>
      </c>
      <c r="W457" s="117" t="n">
        <v>1</v>
      </c>
      <c r="X457" s="117" t="n">
        <v>0</v>
      </c>
      <c r="Y457" s="117" t="n">
        <v>0</v>
      </c>
      <c r="Z457" s="117" t="n">
        <v>0</v>
      </c>
      <c r="AA457" s="117" t="n">
        <v>0</v>
      </c>
      <c r="AB457" s="117" t="n">
        <v>1</v>
      </c>
      <c r="AC457" s="119" t="inlineStr">
        <is>
          <t>✓ Clean</t>
        </is>
      </c>
      <c r="AD457" s="118" t="n">
        <v>-14789000</v>
      </c>
      <c r="AE457" s="118" t="n">
        <v>-77613000</v>
      </c>
      <c r="AF457" s="118" t="n">
        <v>-187691000</v>
      </c>
      <c r="AG457" s="118" t="n">
        <v>-0.102</v>
      </c>
      <c r="AH457" s="119" t="inlineStr">
        <is>
          <t>✓ High Quality</t>
        </is>
      </c>
      <c r="AI457" s="118" t="n">
        <v>0.788</v>
      </c>
      <c r="AJ457" s="120" t="n">
        <v>0.323</v>
      </c>
      <c r="AK457" s="120" t="n">
        <v>2.438</v>
      </c>
      <c r="AL457" s="120" t="n">
        <v>-0.029</v>
      </c>
      <c r="AM457" s="124" t="inlineStr">
        <is>
          <t>N/A</t>
        </is>
      </c>
      <c r="AN457" s="117" t="n">
        <v>40</v>
      </c>
      <c r="AO457" s="121" t="inlineStr">
        <is>
          <t>⚠ WATCH</t>
        </is>
      </c>
      <c r="AP457" s="117" t="n">
        <v>0</v>
      </c>
      <c r="AQ457" s="117" t="n">
        <v>0</v>
      </c>
      <c r="AR457" s="117" t="n">
        <v>1</v>
      </c>
      <c r="AS457" s="117" t="n">
        <v>0</v>
      </c>
      <c r="AT457" s="117" t="n">
        <v>1</v>
      </c>
      <c r="AU457" s="117" t="n">
        <v>0</v>
      </c>
      <c r="AV457" s="117" t="n">
        <v>2</v>
      </c>
      <c r="AW457" s="121" t="inlineStr">
        <is>
          <t>⚠ WATCH</t>
        </is>
      </c>
      <c r="AX457" s="118" t="n">
        <v>31.3</v>
      </c>
      <c r="AY457" s="119" t="inlineStr">
        <is>
          <t>🟢 LOW RISK</t>
        </is>
      </c>
      <c r="AZ457" s="118" t="n">
        <v>78.09999999999999</v>
      </c>
      <c r="BA457" s="118" t="n">
        <v>57.8</v>
      </c>
      <c r="BB457" s="118" t="n">
        <v>207.5</v>
      </c>
      <c r="BC457" s="118" t="n">
        <v>223.9</v>
      </c>
      <c r="BD457" s="118" t="n">
        <v>80.40000000000001</v>
      </c>
      <c r="BE457" s="118" t="n">
        <v>50.6</v>
      </c>
      <c r="BF457" s="120" t="n">
        <v>0.028</v>
      </c>
      <c r="BG457" s="117" t="n">
        <v>0.772</v>
      </c>
      <c r="BH457" s="122" t="n">
        <v>4</v>
      </c>
      <c r="BI457" s="123" t="n">
        <v>1</v>
      </c>
    </row>
    <row r="458" ht="17" customHeight="1">
      <c r="A458" s="117" t="inlineStr">
        <is>
          <t>TAP</t>
        </is>
      </c>
      <c r="B458" s="117" t="inlineStr">
        <is>
          <t>MOLSON COORS BEVERAGE CO</t>
        </is>
      </c>
      <c r="C458" s="118" t="n">
        <v>1.125</v>
      </c>
      <c r="D458" s="118" t="n">
        <v>0.956</v>
      </c>
      <c r="E458" s="118" t="n">
        <v>0.955</v>
      </c>
      <c r="F458" s="118" t="n">
        <v>0.901</v>
      </c>
      <c r="G458" s="118" t="n">
        <v>0.998</v>
      </c>
      <c r="H458" s="118" t="n">
        <v>1.08</v>
      </c>
      <c r="I458" s="118" t="n">
        <v>1.108</v>
      </c>
      <c r="J458" s="118" t="n">
        <v>-0.173</v>
      </c>
      <c r="K458" s="118" t="n">
        <v>-3.351</v>
      </c>
      <c r="L458" s="119" t="inlineStr">
        <is>
          <t>✓ Lower Risk</t>
        </is>
      </c>
      <c r="M458" s="120" t="n">
        <v>-0.124</v>
      </c>
      <c r="N458" s="120" t="n">
        <v>0.008</v>
      </c>
      <c r="O458" s="120" t="n">
        <v>-0.008999999999999999</v>
      </c>
      <c r="P458" s="120" t="n">
        <v>0.774</v>
      </c>
      <c r="Q458" s="120" t="n">
        <v>-0.137</v>
      </c>
      <c r="R458" s="117" t="n">
        <v>0</v>
      </c>
      <c r="S458" s="118" t="n">
        <v>-6.391</v>
      </c>
      <c r="T458" s="118" t="n">
        <v>0.002</v>
      </c>
      <c r="U458" s="119" t="inlineStr">
        <is>
          <t>✓ Normal</t>
        </is>
      </c>
      <c r="V458" s="117" t="n">
        <v>0</v>
      </c>
      <c r="W458" s="117" t="n">
        <v>1</v>
      </c>
      <c r="X458" s="117" t="n">
        <v>1</v>
      </c>
      <c r="Y458" s="117" t="n">
        <v>0</v>
      </c>
      <c r="Z458" s="117" t="n">
        <v>0</v>
      </c>
      <c r="AA458" s="117" t="n">
        <v>0</v>
      </c>
      <c r="AB458" s="117" t="n">
        <v>2</v>
      </c>
      <c r="AC458" s="121" t="inlineStr">
        <is>
          <t>⚠ WATCH</t>
        </is>
      </c>
      <c r="AD458" s="118" t="n">
        <v>1784400000</v>
      </c>
      <c r="AE458" s="118" t="n">
        <v>-822100000</v>
      </c>
      <c r="AF458" s="118" t="n">
        <v>-2139600000</v>
      </c>
      <c r="AG458" s="118" t="n">
        <v>-0.127</v>
      </c>
      <c r="AH458" s="119" t="inlineStr">
        <is>
          <t>✓ High Quality</t>
        </is>
      </c>
      <c r="AI458" s="118" t="n">
        <v>0.014</v>
      </c>
      <c r="AJ458" s="120" t="n">
        <v>-0.099</v>
      </c>
      <c r="AK458" s="120" t="n">
        <v>-0.145</v>
      </c>
      <c r="AL458" s="120" t="n">
        <v>0.152</v>
      </c>
      <c r="AM458" s="120" t="n">
        <v>0</v>
      </c>
      <c r="AN458" s="117" t="n">
        <v>100</v>
      </c>
      <c r="AO458" s="119" t="inlineStr">
        <is>
          <t>✓ Good</t>
        </is>
      </c>
      <c r="AP458" s="117" t="n">
        <v>1</v>
      </c>
      <c r="AQ458" s="117" t="n">
        <v>1</v>
      </c>
      <c r="AR458" s="117" t="n">
        <v>0</v>
      </c>
      <c r="AS458" s="117" t="n">
        <v>1</v>
      </c>
      <c r="AT458" s="117" t="n">
        <v>0</v>
      </c>
      <c r="AU458" s="117" t="n">
        <v>1</v>
      </c>
      <c r="AV458" s="117" t="n">
        <v>4</v>
      </c>
      <c r="AW458" s="117" t="inlineStr">
        <is>
          <t>⚠⚠ MULTIPLE RED FLAGS</t>
        </is>
      </c>
      <c r="AX458" s="118" t="n">
        <v>17.3</v>
      </c>
      <c r="AY458" s="119" t="inlineStr">
        <is>
          <t>🟢 VERY LOW RISK</t>
        </is>
      </c>
      <c r="AZ458" s="118" t="n">
        <v>21.9</v>
      </c>
      <c r="BA458" s="118" t="n">
        <v>19.4</v>
      </c>
      <c r="BB458" s="118" t="n">
        <v>38.1</v>
      </c>
      <c r="BC458" s="118" t="n">
        <v>37.4</v>
      </c>
      <c r="BD458" s="118" t="n">
        <v>96.90000000000001</v>
      </c>
      <c r="BE458" s="118" t="n">
        <v>96.5</v>
      </c>
      <c r="BF458" s="120" t="n">
        <v>0.134</v>
      </c>
      <c r="BG458" s="117" t="n">
        <v>0.774</v>
      </c>
      <c r="BH458" s="122" t="n">
        <v>6</v>
      </c>
      <c r="BI458" s="123" t="n">
        <v>1</v>
      </c>
    </row>
    <row r="459" ht="17" customHeight="1">
      <c r="A459" s="117" t="inlineStr">
        <is>
          <t>MTD</t>
        </is>
      </c>
      <c r="B459" s="117" t="inlineStr">
        <is>
          <t>Mettler-Toledo International Inc.</t>
        </is>
      </c>
      <c r="C459" s="118" t="n">
        <v>1.089</v>
      </c>
      <c r="D459" s="118" t="n">
        <v>1.011</v>
      </c>
      <c r="E459" s="118" t="n">
        <v>1.029</v>
      </c>
      <c r="F459" s="118" t="n">
        <v>1.04</v>
      </c>
      <c r="G459" s="118" t="n">
        <v>1.076</v>
      </c>
      <c r="H459" s="118" t="n">
        <v>1.025</v>
      </c>
      <c r="I459" s="118" t="n">
        <v>0.968</v>
      </c>
      <c r="J459" s="118" t="n">
        <v>-0.023</v>
      </c>
      <c r="K459" s="118" t="n">
        <v>-2.439</v>
      </c>
      <c r="L459" s="119" t="inlineStr">
        <is>
          <t>✓ Lower Risk</t>
        </is>
      </c>
      <c r="M459" s="120" t="n">
        <v>0.031</v>
      </c>
      <c r="N459" s="120" t="n">
        <v>0.592</v>
      </c>
      <c r="O459" s="120" t="n">
        <v>0.292</v>
      </c>
      <c r="P459" s="120" t="n">
        <v>0.753</v>
      </c>
      <c r="Q459" s="120" t="n">
        <v>-0.032</v>
      </c>
      <c r="R459" s="117" t="n">
        <v>0</v>
      </c>
      <c r="S459" s="118" t="n">
        <v>-4.526</v>
      </c>
      <c r="T459" s="118" t="n">
        <v>0.011</v>
      </c>
      <c r="U459" s="119" t="inlineStr">
        <is>
          <t>✓ Normal</t>
        </is>
      </c>
      <c r="V459" s="117" t="n">
        <v>1</v>
      </c>
      <c r="W459" s="117" t="n">
        <v>1</v>
      </c>
      <c r="X459" s="117" t="n">
        <v>1</v>
      </c>
      <c r="Y459" s="117" t="n">
        <v>0</v>
      </c>
      <c r="Z459" s="117" t="n">
        <v>1</v>
      </c>
      <c r="AA459" s="117" t="n">
        <v>1</v>
      </c>
      <c r="AB459" s="117" t="n">
        <v>5</v>
      </c>
      <c r="AC459" s="121" t="inlineStr">
        <is>
          <t>⚠⚠ SERIOUS CONCERN</t>
        </is>
      </c>
      <c r="AD459" s="118" t="n">
        <v>955772000</v>
      </c>
      <c r="AE459" s="118" t="n">
        <v>-193874000</v>
      </c>
      <c r="AF459" s="118" t="n">
        <v>869193000</v>
      </c>
      <c r="AG459" s="118" t="n">
        <v>0.031</v>
      </c>
      <c r="AH459" s="119" t="inlineStr">
        <is>
          <t>✓ Medium Quality</t>
        </is>
      </c>
      <c r="AI459" s="118" t="n">
        <v>0.133</v>
      </c>
      <c r="AJ459" s="120" t="n">
        <v>0.04</v>
      </c>
      <c r="AK459" s="120" t="n">
        <v>3.334</v>
      </c>
      <c r="AL459" s="120" t="n">
        <v>0.237</v>
      </c>
      <c r="AM459" s="120" t="n">
        <v>0.006</v>
      </c>
      <c r="AN459" s="118" t="n">
        <v>70.3</v>
      </c>
      <c r="AO459" s="119" t="inlineStr">
        <is>
          <t>✓ Good</t>
        </is>
      </c>
      <c r="AP459" s="117" t="n">
        <v>0</v>
      </c>
      <c r="AQ459" s="117" t="n">
        <v>0</v>
      </c>
      <c r="AR459" s="117" t="n">
        <v>1</v>
      </c>
      <c r="AS459" s="117" t="n">
        <v>1</v>
      </c>
      <c r="AT459" s="117" t="n">
        <v>1</v>
      </c>
      <c r="AU459" s="117" t="n">
        <v>0</v>
      </c>
      <c r="AV459" s="117" t="n">
        <v>3</v>
      </c>
      <c r="AW459" s="121" t="inlineStr">
        <is>
          <t>⚠ WATCH</t>
        </is>
      </c>
      <c r="AX459" s="118" t="n">
        <v>30.1</v>
      </c>
      <c r="AY459" s="119" t="inlineStr">
        <is>
          <t>🟢 LOW RISK</t>
        </is>
      </c>
      <c r="AZ459" s="118" t="n">
        <v>70.5</v>
      </c>
      <c r="BA459" s="118" t="n">
        <v>64.8</v>
      </c>
      <c r="BB459" s="118" t="n">
        <v>169.5</v>
      </c>
      <c r="BC459" s="118" t="n">
        <v>162.7</v>
      </c>
      <c r="BD459" s="118" t="n">
        <v>116.7</v>
      </c>
      <c r="BE459" s="118" t="n">
        <v>102.6</v>
      </c>
      <c r="BF459" s="120" t="n">
        <v>0.171</v>
      </c>
      <c r="BG459" s="117" t="n">
        <v>0.753</v>
      </c>
      <c r="BH459" s="122" t="n">
        <v>8</v>
      </c>
      <c r="BI459" s="123" t="n">
        <v>1</v>
      </c>
    </row>
    <row r="460" ht="17" customHeight="1">
      <c r="A460" s="126" t="inlineStr">
        <is>
          <t>CASY</t>
        </is>
      </c>
      <c r="B460" s="126" t="inlineStr">
        <is>
          <t>CASEY’S GENERAL STORES, INC.</t>
        </is>
      </c>
      <c r="C460" s="127" t="n">
        <v>0.763</v>
      </c>
      <c r="D460" s="127" t="n">
        <v>0.27</v>
      </c>
      <c r="E460" s="127" t="n">
        <v>0.891</v>
      </c>
      <c r="F460" s="127" t="n">
        <v>1.102</v>
      </c>
      <c r="G460" s="127" t="n">
        <v>1.02</v>
      </c>
      <c r="H460" s="124" t="inlineStr">
        <is>
          <t>N/A</t>
        </is>
      </c>
      <c r="I460" s="127" t="n">
        <v>0.974</v>
      </c>
      <c r="J460" s="127" t="n">
        <v>-0.074</v>
      </c>
      <c r="K460" s="127" t="n">
        <v>-3.202</v>
      </c>
      <c r="L460" s="119" t="inlineStr">
        <is>
          <t>✓ Lower Risk</t>
        </is>
      </c>
      <c r="M460" s="128" t="n">
        <v>-0.061</v>
      </c>
      <c r="N460" s="128" t="n">
        <v>-0.004</v>
      </c>
      <c r="O460" s="128" t="n">
        <v>0.048</v>
      </c>
      <c r="P460" s="128" t="n">
        <v>0.496</v>
      </c>
      <c r="Q460" s="128" t="n">
        <v>0.013</v>
      </c>
      <c r="R460" s="126" t="n">
        <v>0</v>
      </c>
      <c r="S460" s="127" t="n">
        <v>-6.92</v>
      </c>
      <c r="T460" s="127" t="n">
        <v>0.001</v>
      </c>
      <c r="U460" s="119" t="inlineStr">
        <is>
          <t>✓ Normal</t>
        </is>
      </c>
      <c r="V460" s="126" t="n">
        <v>0</v>
      </c>
      <c r="W460" s="126" t="n">
        <v>0</v>
      </c>
      <c r="X460" s="126" t="n">
        <v>1</v>
      </c>
      <c r="Y460" s="126" t="n">
        <v>0</v>
      </c>
      <c r="Z460" s="126" t="n">
        <v>0</v>
      </c>
      <c r="AA460" s="126" t="n">
        <v>0</v>
      </c>
      <c r="AB460" s="126" t="n">
        <v>1</v>
      </c>
      <c r="AC460" s="119" t="inlineStr">
        <is>
          <t>✓ Clean</t>
        </is>
      </c>
      <c r="AD460" s="127" t="n">
        <v>1377540000</v>
      </c>
      <c r="AE460" s="127" t="n">
        <v>-755431000</v>
      </c>
      <c r="AF460" s="127" t="n">
        <v>714448000</v>
      </c>
      <c r="AG460" s="127" t="n">
        <v>0.011</v>
      </c>
      <c r="AH460" s="119" t="inlineStr">
        <is>
          <t>✓ Medium Quality</t>
        </is>
      </c>
      <c r="AI460" s="127" t="n">
        <v>-0.16</v>
      </c>
      <c r="AJ460" s="128" t="n">
        <v>0.102</v>
      </c>
      <c r="AK460" s="128" t="n">
        <v>-1.57</v>
      </c>
      <c r="AL460" s="128" t="n">
        <v>0.078</v>
      </c>
      <c r="AM460" s="128" t="n">
        <v>0</v>
      </c>
      <c r="AN460" s="127" t="n">
        <v>85.7</v>
      </c>
      <c r="AO460" s="119" t="inlineStr">
        <is>
          <t>✓ Good</t>
        </is>
      </c>
      <c r="AP460" s="126" t="n">
        <v>0</v>
      </c>
      <c r="AQ460" s="126" t="n">
        <v>0</v>
      </c>
      <c r="AR460" s="126" t="n">
        <v>0</v>
      </c>
      <c r="AS460" s="126" t="n">
        <v>0</v>
      </c>
      <c r="AT460" s="126" t="n">
        <v>0</v>
      </c>
      <c r="AU460" s="126" t="n">
        <v>0</v>
      </c>
      <c r="AV460" s="126" t="n">
        <v>0</v>
      </c>
      <c r="AW460" s="119" t="inlineStr">
        <is>
          <t>✓ Clean</t>
        </is>
      </c>
      <c r="AX460" s="127" t="n">
        <v>9.300000000000001</v>
      </c>
      <c r="AY460" s="119" t="inlineStr">
        <is>
          <t>🟢 VERY LOW RISK</t>
        </is>
      </c>
      <c r="AZ460" s="127" t="n">
        <v>0.8</v>
      </c>
      <c r="BA460" s="127" t="n">
        <v>1</v>
      </c>
      <c r="BB460" s="127" t="n">
        <v>34.9</v>
      </c>
      <c r="BC460" s="127" t="n">
        <v>31.8</v>
      </c>
      <c r="BD460" s="127" t="n">
        <v>51.6</v>
      </c>
      <c r="BE460" s="127" t="n">
        <v>41.1</v>
      </c>
      <c r="BF460" s="124" t="inlineStr">
        <is>
          <t>N/A</t>
        </is>
      </c>
      <c r="BG460" s="126" t="n">
        <v>0.496</v>
      </c>
      <c r="BH460" s="126" t="n">
        <v>1</v>
      </c>
      <c r="BI460" s="123" t="n">
        <v>1</v>
      </c>
    </row>
    <row r="461" ht="17" customHeight="1">
      <c r="A461" s="117" t="inlineStr">
        <is>
          <t>ICHR</t>
        </is>
      </c>
      <c r="B461" s="117" t="inlineStr">
        <is>
          <t>Ichor Holdings, Ltd.</t>
        </is>
      </c>
      <c r="C461" s="118" t="n">
        <v>0.729</v>
      </c>
      <c r="D461" s="118" t="n">
        <v>1.314</v>
      </c>
      <c r="E461" s="118" t="n">
        <v>1.011</v>
      </c>
      <c r="F461" s="118" t="n">
        <v>1.116</v>
      </c>
      <c r="G461" s="118" t="n">
        <v>1.004</v>
      </c>
      <c r="H461" s="118" t="n">
        <v>1.08</v>
      </c>
      <c r="I461" s="118" t="n">
        <v>0.991</v>
      </c>
      <c r="J461" s="118" t="n">
        <v>-0.08799999999999999</v>
      </c>
      <c r="K461" s="118" t="n">
        <v>-2.876</v>
      </c>
      <c r="L461" s="119" t="inlineStr">
        <is>
          <t>✓ Lower Risk</t>
        </is>
      </c>
      <c r="M461" s="120" t="n">
        <v>-0.063</v>
      </c>
      <c r="N461" s="120" t="n">
        <v>-0.163</v>
      </c>
      <c r="O461" s="120" t="n">
        <v>-0.186</v>
      </c>
      <c r="P461" s="120" t="n">
        <v>0.786</v>
      </c>
      <c r="Q461" s="120" t="n">
        <v>-0.035</v>
      </c>
      <c r="R461" s="117" t="n">
        <v>1</v>
      </c>
      <c r="S461" s="118" t="n">
        <v>-3.931</v>
      </c>
      <c r="T461" s="118" t="n">
        <v>0.019</v>
      </c>
      <c r="U461" s="119" t="inlineStr">
        <is>
          <t>✓ Normal</t>
        </is>
      </c>
      <c r="V461" s="117" t="n">
        <v>0</v>
      </c>
      <c r="W461" s="117" t="n">
        <v>0</v>
      </c>
      <c r="X461" s="117" t="n">
        <v>0</v>
      </c>
      <c r="Y461" s="117" t="n">
        <v>1</v>
      </c>
      <c r="Z461" s="117" t="n">
        <v>0</v>
      </c>
      <c r="AA461" s="117" t="n">
        <v>0</v>
      </c>
      <c r="AB461" s="117" t="n">
        <v>1</v>
      </c>
      <c r="AC461" s="119" t="inlineStr">
        <is>
          <t>✓ Clean</t>
        </is>
      </c>
      <c r="AD461" s="118" t="n">
        <v>29886000</v>
      </c>
      <c r="AE461" s="118" t="n">
        <v>-36169000</v>
      </c>
      <c r="AF461" s="118" t="n">
        <v>-52781000</v>
      </c>
      <c r="AG461" s="118" t="n">
        <v>-0.048</v>
      </c>
      <c r="AH461" s="119" t="inlineStr">
        <is>
          <t>✓ Medium Quality</t>
        </is>
      </c>
      <c r="AI461" s="118" t="n">
        <v>-0.186</v>
      </c>
      <c r="AJ461" s="120" t="n">
        <v>0.116</v>
      </c>
      <c r="AK461" s="120" t="n">
        <v>-1.601</v>
      </c>
      <c r="AL461" s="120" t="n">
        <v>0.032</v>
      </c>
      <c r="AM461" s="124" t="inlineStr">
        <is>
          <t>N/A</t>
        </is>
      </c>
      <c r="AN461" s="118" t="n">
        <v>76.3</v>
      </c>
      <c r="AO461" s="119" t="inlineStr">
        <is>
          <t>✓ Good</t>
        </is>
      </c>
      <c r="AP461" s="117" t="n">
        <v>0</v>
      </c>
      <c r="AQ461" s="117" t="n">
        <v>0</v>
      </c>
      <c r="AR461" s="117" t="n">
        <v>1</v>
      </c>
      <c r="AS461" s="117" t="n">
        <v>1</v>
      </c>
      <c r="AT461" s="117" t="n">
        <v>1</v>
      </c>
      <c r="AU461" s="117" t="n">
        <v>0</v>
      </c>
      <c r="AV461" s="117" t="n">
        <v>3</v>
      </c>
      <c r="AW461" s="121" t="inlineStr">
        <is>
          <t>⚠ WATCH</t>
        </is>
      </c>
      <c r="AX461" s="118" t="n">
        <v>16.8</v>
      </c>
      <c r="AY461" s="119" t="inlineStr">
        <is>
          <t>🟢 VERY LOW RISK</t>
        </is>
      </c>
      <c r="AZ461" s="118" t="n">
        <v>27.2</v>
      </c>
      <c r="BA461" s="118" t="n">
        <v>37.2</v>
      </c>
      <c r="BB461" s="118" t="n">
        <v>98.40000000000001</v>
      </c>
      <c r="BC461" s="118" t="n">
        <v>122.4</v>
      </c>
      <c r="BD461" s="118" t="n">
        <v>35.7</v>
      </c>
      <c r="BE461" s="118" t="n">
        <v>44.9</v>
      </c>
      <c r="BF461" s="120" t="n">
        <v>-0.11</v>
      </c>
      <c r="BG461" s="117" t="n">
        <v>0.786</v>
      </c>
      <c r="BH461" s="122" t="n">
        <v>5</v>
      </c>
      <c r="BI461" s="123" t="n">
        <v>1</v>
      </c>
    </row>
    <row r="462" ht="17" customHeight="1">
      <c r="A462" s="117" t="inlineStr">
        <is>
          <t>FMC</t>
        </is>
      </c>
      <c r="B462" s="117" t="inlineStr">
        <is>
          <t>FMC CORPORATION</t>
        </is>
      </c>
      <c r="C462" s="118" t="n">
        <v>0.432</v>
      </c>
      <c r="D462" s="118" t="n">
        <v>0.552</v>
      </c>
      <c r="E462" s="118" t="n">
        <v>0.827</v>
      </c>
      <c r="F462" s="118" t="n">
        <v>1.642</v>
      </c>
      <c r="G462" s="118" t="n">
        <v>0.872</v>
      </c>
      <c r="H462" s="118" t="n">
        <v>0.647</v>
      </c>
      <c r="I462" s="118" t="n">
        <v>1</v>
      </c>
      <c r="J462" s="124" t="inlineStr">
        <is>
          <t>N/A</t>
        </is>
      </c>
      <c r="K462" s="124" t="inlineStr">
        <is>
          <t>N/A</t>
        </is>
      </c>
      <c r="L462" s="124" t="inlineStr">
        <is>
          <t>N/A</t>
        </is>
      </c>
      <c r="M462" s="120" t="n">
        <v>-0.117</v>
      </c>
      <c r="N462" s="120" t="n">
        <v>-0.455</v>
      </c>
      <c r="O462" s="120" t="n">
        <v>0.01</v>
      </c>
      <c r="P462" s="120" t="n">
        <v>0.867</v>
      </c>
      <c r="Q462" s="120" t="n">
        <v>-0.083</v>
      </c>
      <c r="R462" s="117" t="n">
        <v>0</v>
      </c>
      <c r="S462" s="118" t="n">
        <v>-7.368</v>
      </c>
      <c r="T462" s="118" t="n">
        <v>0.001</v>
      </c>
      <c r="U462" s="119" t="inlineStr">
        <is>
          <t>✓ Normal</t>
        </is>
      </c>
      <c r="V462" s="117" t="n">
        <v>0</v>
      </c>
      <c r="W462" s="117" t="n">
        <v>0</v>
      </c>
      <c r="X462" s="117" t="n">
        <v>0</v>
      </c>
      <c r="Y462" s="117" t="n">
        <v>1</v>
      </c>
      <c r="Z462" s="117" t="n">
        <v>0</v>
      </c>
      <c r="AA462" s="117" t="n">
        <v>0</v>
      </c>
      <c r="AB462" s="117" t="n">
        <v>1</v>
      </c>
      <c r="AC462" s="119" t="inlineStr">
        <is>
          <t>✓ Clean</t>
        </is>
      </c>
      <c r="AD462" s="124" t="inlineStr">
        <is>
          <t>N/A</t>
        </is>
      </c>
      <c r="AE462" s="118" t="n">
        <v>-99700000</v>
      </c>
      <c r="AF462" s="118" t="n">
        <v>-2238900000</v>
      </c>
      <c r="AG462" s="124" t="inlineStr">
        <is>
          <t>N/A</t>
        </is>
      </c>
      <c r="AH462" s="124" t="inlineStr">
        <is>
          <t>N/A</t>
        </is>
      </c>
      <c r="AI462" s="118" t="n">
        <v>-0.29</v>
      </c>
      <c r="AJ462" s="120" t="n">
        <v>0.642</v>
      </c>
      <c r="AK462" s="120" t="n">
        <v>-0.451</v>
      </c>
      <c r="AL462" s="124" t="inlineStr">
        <is>
          <t>N/A</t>
        </is>
      </c>
      <c r="AM462" s="120" t="n">
        <v>-0</v>
      </c>
      <c r="AN462" s="117" t="n">
        <v>100</v>
      </c>
      <c r="AO462" s="119" t="inlineStr">
        <is>
          <t>✓ Good</t>
        </is>
      </c>
      <c r="AP462" s="117" t="n">
        <v>0</v>
      </c>
      <c r="AQ462" s="117" t="n">
        <v>0</v>
      </c>
      <c r="AR462" s="117" t="n">
        <v>0</v>
      </c>
      <c r="AS462" s="117" t="n">
        <v>0</v>
      </c>
      <c r="AT462" s="117" t="n">
        <v>1</v>
      </c>
      <c r="AU462" s="117" t="n">
        <v>0</v>
      </c>
      <c r="AV462" s="117" t="n">
        <v>1</v>
      </c>
      <c r="AW462" s="119" t="inlineStr">
        <is>
          <t>✓ Clean</t>
        </is>
      </c>
      <c r="AX462" s="118" t="n">
        <v>18.8</v>
      </c>
      <c r="AY462" s="119" t="inlineStr">
        <is>
          <t>🟢 VERY LOW RISK</t>
        </is>
      </c>
      <c r="AZ462" s="118" t="n">
        <v>159.2</v>
      </c>
      <c r="BA462" s="118" t="n">
        <v>368.1</v>
      </c>
      <c r="BB462" s="118" t="n">
        <v>203.8</v>
      </c>
      <c r="BC462" s="118" t="n">
        <v>168.9</v>
      </c>
      <c r="BD462" s="118" t="n">
        <v>128.8</v>
      </c>
      <c r="BE462" s="118" t="n">
        <v>108</v>
      </c>
      <c r="BF462" s="120" t="n">
        <v>-0.167</v>
      </c>
      <c r="BG462" s="117" t="n">
        <v>0.867</v>
      </c>
      <c r="BH462" s="122" t="n">
        <v>2</v>
      </c>
      <c r="BI462" s="125" t="n">
        <v>0.6666666666666666</v>
      </c>
    </row>
    <row r="463" ht="17" customHeight="1">
      <c r="A463" s="117" t="inlineStr">
        <is>
          <t>BURL</t>
        </is>
      </c>
      <c r="B463" s="117" t="inlineStr">
        <is>
          <t>BURLINGTON STORES, INC.</t>
        </is>
      </c>
      <c r="C463" s="118" t="n">
        <v>1.099</v>
      </c>
      <c r="D463" s="118" t="n">
        <v>0.84</v>
      </c>
      <c r="E463" s="118" t="n">
        <v>0.9340000000000001</v>
      </c>
      <c r="F463" s="118" t="n">
        <v>1.088</v>
      </c>
      <c r="G463" s="118" t="n">
        <v>1.096</v>
      </c>
      <c r="H463" s="118" t="n">
        <v>0.989</v>
      </c>
      <c r="I463" s="118" t="n">
        <v>1</v>
      </c>
      <c r="J463" s="118" t="n">
        <v>-0.063</v>
      </c>
      <c r="K463" s="118" t="n">
        <v>-2.702</v>
      </c>
      <c r="L463" s="119" t="inlineStr">
        <is>
          <t>✓ Lower Risk</t>
        </is>
      </c>
      <c r="M463" s="120" t="n">
        <v>-0.049</v>
      </c>
      <c r="N463" s="120" t="n">
        <v>0.018</v>
      </c>
      <c r="O463" s="120" t="n">
        <v>0.066</v>
      </c>
      <c r="P463" s="120" t="n">
        <v>0.5570000000000001</v>
      </c>
      <c r="Q463" s="120" t="n">
        <v>0.004</v>
      </c>
      <c r="R463" s="117" t="n">
        <v>0</v>
      </c>
      <c r="S463" s="118" t="n">
        <v>-6.707</v>
      </c>
      <c r="T463" s="118" t="n">
        <v>0.001</v>
      </c>
      <c r="U463" s="119" t="inlineStr">
        <is>
          <t>✓ Normal</t>
        </is>
      </c>
      <c r="V463" s="117" t="n">
        <v>0</v>
      </c>
      <c r="W463" s="117" t="n">
        <v>1</v>
      </c>
      <c r="X463" s="117" t="n">
        <v>0</v>
      </c>
      <c r="Y463" s="117" t="n">
        <v>1</v>
      </c>
      <c r="Z463" s="117" t="n">
        <v>0</v>
      </c>
      <c r="AA463" s="117" t="n">
        <v>1</v>
      </c>
      <c r="AB463" s="117" t="n">
        <v>3</v>
      </c>
      <c r="AC463" s="121" t="inlineStr">
        <is>
          <t>⚠ WATCH</t>
        </is>
      </c>
      <c r="AD463" s="118" t="n">
        <v>1231382000</v>
      </c>
      <c r="AE463" s="118" t="n">
        <v>-1055050000</v>
      </c>
      <c r="AF463" s="118" t="n">
        <v>610153000</v>
      </c>
      <c r="AG463" s="118" t="n">
        <v>0.046</v>
      </c>
      <c r="AH463" s="119" t="inlineStr">
        <is>
          <t>✓ Medium Quality</t>
        </is>
      </c>
      <c r="AI463" s="118" t="n">
        <v>0.195</v>
      </c>
      <c r="AJ463" s="120" t="n">
        <v>0.08799999999999999</v>
      </c>
      <c r="AK463" s="120" t="n">
        <v>2.23</v>
      </c>
      <c r="AL463" s="120" t="n">
        <v>0.106</v>
      </c>
      <c r="AM463" s="124" t="inlineStr">
        <is>
          <t>N/A</t>
        </is>
      </c>
      <c r="AN463" s="118" t="n">
        <v>61.3</v>
      </c>
      <c r="AO463" s="121" t="inlineStr">
        <is>
          <t>⚠ WATCH</t>
        </is>
      </c>
      <c r="AP463" s="117" t="n">
        <v>0</v>
      </c>
      <c r="AQ463" s="117" t="n">
        <v>0</v>
      </c>
      <c r="AR463" s="117" t="n">
        <v>0</v>
      </c>
      <c r="AS463" s="117" t="n">
        <v>0</v>
      </c>
      <c r="AT463" s="117" t="n">
        <v>0</v>
      </c>
      <c r="AU463" s="117" t="n">
        <v>1</v>
      </c>
      <c r="AV463" s="117" t="n">
        <v>1</v>
      </c>
      <c r="AW463" s="119" t="inlineStr">
        <is>
          <t>✓ Clean</t>
        </is>
      </c>
      <c r="AX463" s="118" t="n">
        <v>20.3</v>
      </c>
      <c r="AY463" s="119" t="inlineStr">
        <is>
          <t>🟢 LOW RISK</t>
        </is>
      </c>
      <c r="AZ463" s="118" t="n">
        <v>3.3</v>
      </c>
      <c r="BA463" s="118" t="n">
        <v>3</v>
      </c>
      <c r="BB463" s="118" t="n">
        <v>73.8</v>
      </c>
      <c r="BC463" s="118" t="n">
        <v>75.8</v>
      </c>
      <c r="BD463" s="118" t="n">
        <v>57.3</v>
      </c>
      <c r="BE463" s="118" t="n">
        <v>62.9</v>
      </c>
      <c r="BF463" s="120" t="n">
        <v>0.252</v>
      </c>
      <c r="BG463" s="117" t="n">
        <v>0.5570000000000001</v>
      </c>
      <c r="BH463" s="122" t="n">
        <v>4</v>
      </c>
      <c r="BI463" s="123" t="n">
        <v>1</v>
      </c>
    </row>
    <row r="464" ht="17" customHeight="1">
      <c r="A464" s="117" t="inlineStr">
        <is>
          <t>SLAB</t>
        </is>
      </c>
      <c r="B464" s="117" t="inlineStr">
        <is>
          <t>SILICON LABORATORIES INC.</t>
        </is>
      </c>
      <c r="C464" s="118" t="n">
        <v>1.188</v>
      </c>
      <c r="D464" s="118" t="n">
        <v>0.681</v>
      </c>
      <c r="E464" s="118" t="n">
        <v>0.92</v>
      </c>
      <c r="F464" s="118" t="n">
        <v>0.997</v>
      </c>
      <c r="G464" s="118" t="n">
        <v>1.005</v>
      </c>
      <c r="H464" s="118" t="n">
        <v>1.202</v>
      </c>
      <c r="I464" s="118" t="n">
        <v>1.181</v>
      </c>
      <c r="J464" s="118" t="n">
        <v>-0.127</v>
      </c>
      <c r="K464" s="118" t="n">
        <v>-3.196</v>
      </c>
      <c r="L464" s="119" t="inlineStr">
        <is>
          <t>✓ Lower Risk</t>
        </is>
      </c>
      <c r="M464" s="120" t="n">
        <v>-0.064</v>
      </c>
      <c r="N464" s="120" t="n">
        <v>5.847</v>
      </c>
      <c r="O464" s="120" t="n">
        <v>-5.87</v>
      </c>
      <c r="P464" s="120" t="n">
        <v>0.612</v>
      </c>
      <c r="Q464" s="120" t="n">
        <v>0.105</v>
      </c>
      <c r="R464" s="117" t="n">
        <v>1</v>
      </c>
      <c r="S464" s="118" t="n">
        <v>4.027</v>
      </c>
      <c r="T464" s="118" t="n">
        <v>0.982</v>
      </c>
      <c r="U464" s="121" t="inlineStr">
        <is>
          <t>⚠ HIGH RISK</t>
        </is>
      </c>
      <c r="V464" s="117" t="n">
        <v>1</v>
      </c>
      <c r="W464" s="117" t="n">
        <v>1</v>
      </c>
      <c r="X464" s="117" t="n">
        <v>0</v>
      </c>
      <c r="Y464" s="117" t="n">
        <v>0</v>
      </c>
      <c r="Z464" s="117" t="n">
        <v>1</v>
      </c>
      <c r="AA464" s="117" t="n">
        <v>0</v>
      </c>
      <c r="AB464" s="117" t="n">
        <v>3</v>
      </c>
      <c r="AC464" s="121" t="inlineStr">
        <is>
          <t>⚠ WATCH</t>
        </is>
      </c>
      <c r="AD464" s="118" t="n">
        <v>95708000</v>
      </c>
      <c r="AE464" s="118" t="n">
        <v>-12025000</v>
      </c>
      <c r="AF464" s="118" t="n">
        <v>-64907000</v>
      </c>
      <c r="AG464" s="118" t="n">
        <v>-0.119</v>
      </c>
      <c r="AH464" s="119" t="inlineStr">
        <is>
          <t>✓ High Quality</t>
        </is>
      </c>
      <c r="AI464" s="118" t="n">
        <v>0.184</v>
      </c>
      <c r="AJ464" s="120" t="n">
        <v>-0.003</v>
      </c>
      <c r="AK464" s="120" t="n">
        <v>-52.951</v>
      </c>
      <c r="AL464" s="120" t="n">
        <v>0.195</v>
      </c>
      <c r="AM464" s="124" t="inlineStr">
        <is>
          <t>N/A</t>
        </is>
      </c>
      <c r="AN464" s="117" t="n">
        <v>100</v>
      </c>
      <c r="AO464" s="119" t="inlineStr">
        <is>
          <t>✓ Good</t>
        </is>
      </c>
      <c r="AP464" s="117" t="n">
        <v>0</v>
      </c>
      <c r="AQ464" s="117" t="n">
        <v>1</v>
      </c>
      <c r="AR464" s="117" t="n">
        <v>0</v>
      </c>
      <c r="AS464" s="117" t="n">
        <v>1</v>
      </c>
      <c r="AT464" s="117" t="n">
        <v>0</v>
      </c>
      <c r="AU464" s="117" t="n">
        <v>0</v>
      </c>
      <c r="AV464" s="117" t="n">
        <v>2</v>
      </c>
      <c r="AW464" s="121" t="inlineStr">
        <is>
          <t>⚠ WATCH</t>
        </is>
      </c>
      <c r="AX464" s="118" t="n">
        <v>49</v>
      </c>
      <c r="AY464" s="121" t="inlineStr">
        <is>
          <t>🟡 ELEVATED RISK</t>
        </is>
      </c>
      <c r="AZ464" s="118" t="n">
        <v>47.9</v>
      </c>
      <c r="BA464" s="118" t="n">
        <v>40.3</v>
      </c>
      <c r="BB464" s="118" t="n">
        <v>106.4</v>
      </c>
      <c r="BC464" s="118" t="n">
        <v>141.7</v>
      </c>
      <c r="BD464" s="118" t="n">
        <v>56.5</v>
      </c>
      <c r="BE464" s="118" t="n">
        <v>56.9</v>
      </c>
      <c r="BF464" s="120" t="n">
        <v>-0.121</v>
      </c>
      <c r="BG464" s="117" t="n">
        <v>0.612</v>
      </c>
      <c r="BH464" s="122" t="n">
        <v>6</v>
      </c>
      <c r="BI464" s="123" t="n">
        <v>1</v>
      </c>
    </row>
    <row r="465" ht="17" customHeight="1">
      <c r="A465" s="117" t="inlineStr">
        <is>
          <t>KDP</t>
        </is>
      </c>
      <c r="B465" s="117" t="inlineStr">
        <is>
          <t>Keurig Dr Pepper Inc.</t>
        </is>
      </c>
      <c r="C465" s="118" t="n">
        <v>1.029</v>
      </c>
      <c r="D465" s="118" t="n">
        <v>1.025</v>
      </c>
      <c r="E465" s="118" t="n">
        <v>0.974</v>
      </c>
      <c r="F465" s="118" t="n">
        <v>1.082</v>
      </c>
      <c r="G465" s="118" t="n">
        <v>1.056</v>
      </c>
      <c r="H465" s="118" t="n">
        <v>0.987</v>
      </c>
      <c r="I465" s="118" t="n">
        <v>0.988</v>
      </c>
      <c r="J465" s="118" t="n">
        <v>0.002</v>
      </c>
      <c r="K465" s="118" t="n">
        <v>-2.358</v>
      </c>
      <c r="L465" s="119" t="inlineStr">
        <is>
          <t>✓ Lower Risk</t>
        </is>
      </c>
      <c r="M465" s="120" t="n">
        <v>0.008</v>
      </c>
      <c r="N465" s="120" t="n">
        <v>0.135</v>
      </c>
      <c r="O465" s="120" t="n">
        <v>0.347</v>
      </c>
      <c r="P465" s="120" t="n">
        <v>0.923</v>
      </c>
      <c r="Q465" s="120" t="n">
        <v>0.011</v>
      </c>
      <c r="R465" s="117" t="n">
        <v>1</v>
      </c>
      <c r="S465" s="118" t="n">
        <v>-2.237</v>
      </c>
      <c r="T465" s="118" t="n">
        <v>0.096</v>
      </c>
      <c r="U465" s="121" t="inlineStr">
        <is>
          <t>⚠ HIGH RISK</t>
        </is>
      </c>
      <c r="V465" s="117" t="n">
        <v>1</v>
      </c>
      <c r="W465" s="117" t="n">
        <v>1</v>
      </c>
      <c r="X465" s="117" t="n">
        <v>1</v>
      </c>
      <c r="Y465" s="117" t="n">
        <v>1</v>
      </c>
      <c r="Z465" s="117" t="n">
        <v>1</v>
      </c>
      <c r="AA465" s="117" t="n">
        <v>0</v>
      </c>
      <c r="AB465" s="117" t="n">
        <v>5</v>
      </c>
      <c r="AC465" s="121" t="inlineStr">
        <is>
          <t>⚠⚠ SERIOUS CONCERN</t>
        </is>
      </c>
      <c r="AD465" s="118" t="n">
        <v>1991000000</v>
      </c>
      <c r="AE465" s="118" t="n">
        <v>-573000000</v>
      </c>
      <c r="AF465" s="118" t="n">
        <v>2079000000</v>
      </c>
      <c r="AG465" s="118" t="n">
        <v>0.012</v>
      </c>
      <c r="AH465" s="119" t="inlineStr">
        <is>
          <t>✓ Medium Quality</t>
        </is>
      </c>
      <c r="AI465" s="118" t="n">
        <v>0.113</v>
      </c>
      <c r="AJ465" s="120" t="n">
        <v>0.082</v>
      </c>
      <c r="AK465" s="120" t="n">
        <v>1.38</v>
      </c>
      <c r="AL465" s="120" t="n">
        <v>0.12</v>
      </c>
      <c r="AM465" s="120" t="n">
        <v>0</v>
      </c>
      <c r="AN465" s="118" t="n">
        <v>82.59999999999999</v>
      </c>
      <c r="AO465" s="119" t="inlineStr">
        <is>
          <t>✓ Good</t>
        </is>
      </c>
      <c r="AP465" s="117" t="n">
        <v>0</v>
      </c>
      <c r="AQ465" s="117" t="n">
        <v>0</v>
      </c>
      <c r="AR465" s="117" t="n">
        <v>1</v>
      </c>
      <c r="AS465" s="117" t="n">
        <v>0</v>
      </c>
      <c r="AT465" s="117" t="n">
        <v>1</v>
      </c>
      <c r="AU465" s="117" t="n">
        <v>1</v>
      </c>
      <c r="AV465" s="117" t="n">
        <v>3</v>
      </c>
      <c r="AW465" s="121" t="inlineStr">
        <is>
          <t>⚠ WATCH</t>
        </is>
      </c>
      <c r="AX465" s="118" t="n">
        <v>42.2</v>
      </c>
      <c r="AY465" s="121" t="inlineStr">
        <is>
          <t>🟡 ELEVATED RISK</t>
        </is>
      </c>
      <c r="AZ465" s="118" t="n">
        <v>36.7</v>
      </c>
      <c r="BA465" s="118" t="n">
        <v>35.7</v>
      </c>
      <c r="BB465" s="118" t="n">
        <v>83.2</v>
      </c>
      <c r="BC465" s="118" t="n">
        <v>69.5</v>
      </c>
      <c r="BD465" s="118" t="n">
        <v>143.8</v>
      </c>
      <c r="BE465" s="118" t="n">
        <v>159.7</v>
      </c>
      <c r="BF465" s="120" t="n">
        <v>0.226</v>
      </c>
      <c r="BG465" s="117" t="n">
        <v>0.923</v>
      </c>
      <c r="BH465" s="122" t="n">
        <v>9</v>
      </c>
      <c r="BI465" s="123" t="n">
        <v>1</v>
      </c>
    </row>
    <row r="466" ht="17" customHeight="1">
      <c r="A466" s="117" t="inlineStr">
        <is>
          <t>CMG</t>
        </is>
      </c>
      <c r="B466" s="117" t="inlineStr">
        <is>
          <t>CHIPOTLE MEXICAN GRILL, INC.</t>
        </is>
      </c>
      <c r="C466" s="118" t="n">
        <v>1.031</v>
      </c>
      <c r="D466" s="124" t="inlineStr">
        <is>
          <t>N/A</t>
        </is>
      </c>
      <c r="E466" s="118" t="n">
        <v>0.986</v>
      </c>
      <c r="F466" s="118" t="n">
        <v>1.054</v>
      </c>
      <c r="G466" s="118" t="n">
        <v>1.034</v>
      </c>
      <c r="H466" s="118" t="n">
        <v>0.887</v>
      </c>
      <c r="I466" s="118" t="n">
        <v>1.137</v>
      </c>
      <c r="J466" s="118" t="n">
        <v>-0.064</v>
      </c>
      <c r="K466" s="124" t="inlineStr">
        <is>
          <t>N/A</t>
        </is>
      </c>
      <c r="L466" s="124" t="inlineStr">
        <is>
          <t>N/A</t>
        </is>
      </c>
      <c r="M466" s="120" t="n">
        <v>-0.033</v>
      </c>
      <c r="N466" s="120" t="n">
        <v>0.02</v>
      </c>
      <c r="O466" s="120" t="n">
        <v>0.001</v>
      </c>
      <c r="P466" s="120" t="n">
        <v>0.663</v>
      </c>
      <c r="Q466" s="120" t="n">
        <v>0.004</v>
      </c>
      <c r="R466" s="117" t="n">
        <v>0</v>
      </c>
      <c r="S466" s="118" t="n">
        <v>-6.556</v>
      </c>
      <c r="T466" s="118" t="n">
        <v>0.001</v>
      </c>
      <c r="U466" s="119" t="inlineStr">
        <is>
          <t>✓ Normal</t>
        </is>
      </c>
      <c r="V466" s="117" t="n">
        <v>1</v>
      </c>
      <c r="W466" s="117" t="n">
        <v>1</v>
      </c>
      <c r="X466" s="117" t="n">
        <v>0</v>
      </c>
      <c r="Y466" s="117" t="n">
        <v>1</v>
      </c>
      <c r="Z466" s="117" t="n">
        <v>0</v>
      </c>
      <c r="AA466" s="117" t="n">
        <v>0</v>
      </c>
      <c r="AB466" s="117" t="n">
        <v>3</v>
      </c>
      <c r="AC466" s="121" t="inlineStr">
        <is>
          <t>⚠ WATCH</t>
        </is>
      </c>
      <c r="AD466" s="118" t="n">
        <v>2113926000</v>
      </c>
      <c r="AE466" s="118" t="n">
        <v>-35082000</v>
      </c>
      <c r="AF466" s="118" t="n">
        <v>1535761000</v>
      </c>
      <c r="AG466" s="118" t="n">
        <v>-0.06</v>
      </c>
      <c r="AH466" s="119" t="inlineStr">
        <is>
          <t>✓ Medium Quality</t>
        </is>
      </c>
      <c r="AI466" s="118" t="n">
        <v>0.08699999999999999</v>
      </c>
      <c r="AJ466" s="120" t="n">
        <v>0.054</v>
      </c>
      <c r="AK466" s="120" t="n">
        <v>1.606</v>
      </c>
      <c r="AL466" s="120" t="n">
        <v>0.177</v>
      </c>
      <c r="AM466" s="120" t="n">
        <v>0.002</v>
      </c>
      <c r="AN466" s="118" t="n">
        <v>81.90000000000001</v>
      </c>
      <c r="AO466" s="119" t="inlineStr">
        <is>
          <t>✓ Good</t>
        </is>
      </c>
      <c r="AP466" s="117" t="n">
        <v>0</v>
      </c>
      <c r="AQ466" s="117" t="n">
        <v>0</v>
      </c>
      <c r="AR466" s="117" t="n">
        <v>0</v>
      </c>
      <c r="AS466" s="117" t="n">
        <v>0</v>
      </c>
      <c r="AT466" s="117" t="n">
        <v>0</v>
      </c>
      <c r="AU466" s="117" t="n">
        <v>1</v>
      </c>
      <c r="AV466" s="117" t="n">
        <v>1</v>
      </c>
      <c r="AW466" s="119" t="inlineStr">
        <is>
          <t>✓ Clean</t>
        </is>
      </c>
      <c r="AX466" s="118" t="n">
        <v>27.7</v>
      </c>
      <c r="AY466" s="119" t="inlineStr">
        <is>
          <t>🟢 LOW RISK</t>
        </is>
      </c>
      <c r="AZ466" s="118" t="n">
        <v>4.8</v>
      </c>
      <c r="BA466" s="118" t="n">
        <v>4.6</v>
      </c>
      <c r="BB466" s="124" t="inlineStr">
        <is>
          <t>N/A</t>
        </is>
      </c>
      <c r="BC466" s="124" t="inlineStr">
        <is>
          <t>N/A</t>
        </is>
      </c>
      <c r="BD466" s="124" t="inlineStr">
        <is>
          <t>N/A</t>
        </is>
      </c>
      <c r="BE466" s="124" t="inlineStr">
        <is>
          <t>N/A</t>
        </is>
      </c>
      <c r="BF466" s="120" t="n">
        <v>0.236</v>
      </c>
      <c r="BG466" s="117" t="n">
        <v>0.663</v>
      </c>
      <c r="BH466" s="122" t="n">
        <v>4</v>
      </c>
      <c r="BI466" s="123" t="n">
        <v>0.8333333333333334</v>
      </c>
    </row>
    <row r="467" ht="17" customHeight="1">
      <c r="A467" s="117" t="inlineStr">
        <is>
          <t>TMUS</t>
        </is>
      </c>
      <c r="B467" s="117" t="inlineStr">
        <is>
          <t>T-Mobile US, Inc.</t>
        </is>
      </c>
      <c r="C467" s="118" t="n">
        <v>0.302</v>
      </c>
      <c r="D467" s="118" t="n">
        <v>0.786</v>
      </c>
      <c r="E467" s="118" t="n">
        <v>0.982</v>
      </c>
      <c r="F467" s="118" t="n">
        <v>3.774</v>
      </c>
      <c r="G467" s="118" t="n">
        <v>0.964</v>
      </c>
      <c r="H467" s="118" t="n">
        <v>0.299</v>
      </c>
      <c r="I467" s="118" t="n">
        <v>0.989</v>
      </c>
      <c r="J467" s="118" t="n">
        <v>-0.077</v>
      </c>
      <c r="K467" s="118" t="n">
        <v>-1.01</v>
      </c>
      <c r="L467" s="121" t="inlineStr">
        <is>
          <t>⚠ MANIPULATOR RISK</t>
        </is>
      </c>
      <c r="M467" s="120" t="n">
        <v>-0.055</v>
      </c>
      <c r="N467" s="120" t="n">
        <v>0.02</v>
      </c>
      <c r="O467" s="120" t="n">
        <v>0.027</v>
      </c>
      <c r="P467" s="120" t="n">
        <v>0.8</v>
      </c>
      <c r="Q467" s="120" t="n">
        <v>-0.004</v>
      </c>
      <c r="R467" s="117" t="n">
        <v>0</v>
      </c>
      <c r="S467" s="118" t="n">
        <v>-6.269</v>
      </c>
      <c r="T467" s="118" t="n">
        <v>0.002</v>
      </c>
      <c r="U467" s="119" t="inlineStr">
        <is>
          <t>✓ Normal</t>
        </is>
      </c>
      <c r="V467" s="117" t="n">
        <v>1</v>
      </c>
      <c r="W467" s="117" t="n">
        <v>0</v>
      </c>
      <c r="X467" s="117" t="n">
        <v>0</v>
      </c>
      <c r="Y467" s="117" t="n">
        <v>1</v>
      </c>
      <c r="Z467" s="117" t="n">
        <v>1</v>
      </c>
      <c r="AA467" s="117" t="n">
        <v>0</v>
      </c>
      <c r="AB467" s="117" t="n">
        <v>3</v>
      </c>
      <c r="AC467" s="121" t="inlineStr">
        <is>
          <t>⚠ WATCH</t>
        </is>
      </c>
      <c r="AD467" s="118" t="n">
        <v>27950000000</v>
      </c>
      <c r="AE467" s="118" t="n">
        <v>-17607000000</v>
      </c>
      <c r="AF467" s="118" t="n">
        <v>10992000000</v>
      </c>
      <c r="AG467" s="118" t="n">
        <v>0.003</v>
      </c>
      <c r="AH467" s="119" t="inlineStr">
        <is>
          <t>✓ Medium Quality</t>
        </is>
      </c>
      <c r="AI467" s="118" t="n">
        <v>0.14</v>
      </c>
      <c r="AJ467" s="120" t="n">
        <v>2.774</v>
      </c>
      <c r="AK467" s="120" t="n">
        <v>0.05</v>
      </c>
      <c r="AL467" s="120" t="n">
        <v>0.6879999999999999</v>
      </c>
      <c r="AM467" s="120" t="n">
        <v>-0.005</v>
      </c>
      <c r="AN467" s="118" t="n">
        <v>99.7</v>
      </c>
      <c r="AO467" s="119" t="inlineStr">
        <is>
          <t>✓ Good</t>
        </is>
      </c>
      <c r="AP467" s="117" t="n">
        <v>0</v>
      </c>
      <c r="AQ467" s="117" t="n">
        <v>0</v>
      </c>
      <c r="AR467" s="117" t="n">
        <v>0</v>
      </c>
      <c r="AS467" s="117" t="n">
        <v>0</v>
      </c>
      <c r="AT467" s="117" t="n">
        <v>0</v>
      </c>
      <c r="AU467" s="117" t="n">
        <v>0</v>
      </c>
      <c r="AV467" s="117" t="n">
        <v>0</v>
      </c>
      <c r="AW467" s="119" t="inlineStr">
        <is>
          <t>✓ Clean</t>
        </is>
      </c>
      <c r="AX467" s="118" t="n">
        <v>21.9</v>
      </c>
      <c r="AY467" s="119" t="inlineStr">
        <is>
          <t>🟢 LOW RISK</t>
        </is>
      </c>
      <c r="AZ467" s="118" t="n">
        <v>43.8</v>
      </c>
      <c r="BA467" s="118" t="n">
        <v>145.1</v>
      </c>
      <c r="BB467" s="118" t="n">
        <v>299.6</v>
      </c>
      <c r="BC467" s="118" t="n">
        <v>201.3</v>
      </c>
      <c r="BD467" s="118" t="n">
        <v>1280.6</v>
      </c>
      <c r="BE467" s="118" t="n">
        <v>1060.3</v>
      </c>
      <c r="BF467" s="120" t="n">
        <v>0.23</v>
      </c>
      <c r="BG467" s="117" t="n">
        <v>0.8</v>
      </c>
      <c r="BH467" s="122" t="n">
        <v>3</v>
      </c>
      <c r="BI467" s="123" t="n">
        <v>1</v>
      </c>
    </row>
    <row r="468" ht="17" customHeight="1">
      <c r="A468" s="117" t="inlineStr">
        <is>
          <t>FLR</t>
        </is>
      </c>
      <c r="B468" s="117" t="inlineStr">
        <is>
          <t>FLUOR CORPORATION</t>
        </is>
      </c>
      <c r="C468" s="124" t="inlineStr">
        <is>
          <t>N/A</t>
        </is>
      </c>
      <c r="D468" s="118" t="n">
        <v>-4.545</v>
      </c>
      <c r="E468" s="118" t="n">
        <v>0.425</v>
      </c>
      <c r="F468" s="118" t="n">
        <v>0.95</v>
      </c>
      <c r="G468" s="118" t="n">
        <v>1.007</v>
      </c>
      <c r="H468" s="118" t="n">
        <v>1.016</v>
      </c>
      <c r="I468" s="118" t="n">
        <v>1</v>
      </c>
      <c r="J468" s="118" t="n">
        <v>0.041</v>
      </c>
      <c r="K468" s="124" t="inlineStr">
        <is>
          <t>N/A</t>
        </is>
      </c>
      <c r="L468" s="124" t="inlineStr">
        <is>
          <t>N/A</t>
        </is>
      </c>
      <c r="M468" s="120" t="n">
        <v>0.193</v>
      </c>
      <c r="N468" s="124" t="inlineStr">
        <is>
          <t>N/A</t>
        </is>
      </c>
      <c r="O468" s="124" t="inlineStr">
        <is>
          <t>N/A</t>
        </is>
      </c>
      <c r="P468" s="120" t="n">
        <v>0.6840000000000001</v>
      </c>
      <c r="Q468" s="120" t="n">
        <v>-0.241</v>
      </c>
      <c r="R468" s="117" t="n">
        <v>0</v>
      </c>
      <c r="S468" s="124" t="inlineStr">
        <is>
          <t>N/A</t>
        </is>
      </c>
      <c r="T468" s="124" t="inlineStr">
        <is>
          <t>N/A</t>
        </is>
      </c>
      <c r="U468" s="124" t="inlineStr">
        <is>
          <t>N/A</t>
        </is>
      </c>
      <c r="V468" s="117" t="n">
        <v>0</v>
      </c>
      <c r="W468" s="117" t="n">
        <v>0</v>
      </c>
      <c r="X468" s="117" t="n">
        <v>0</v>
      </c>
      <c r="Y468" s="117" t="n">
        <v>0</v>
      </c>
      <c r="Z468" s="117" t="n">
        <v>0</v>
      </c>
      <c r="AA468" s="117" t="n">
        <v>0</v>
      </c>
      <c r="AB468" s="117" t="n">
        <v>0</v>
      </c>
      <c r="AC468" s="119" t="inlineStr">
        <is>
          <t>✓ Clean</t>
        </is>
      </c>
      <c r="AD468" s="118" t="n">
        <v>-387000000</v>
      </c>
      <c r="AE468" s="118" t="n">
        <v>437000000</v>
      </c>
      <c r="AF468" s="118" t="n">
        <v>-51000000</v>
      </c>
      <c r="AG468" s="118" t="n">
        <v>-0.012</v>
      </c>
      <c r="AH468" s="119" t="inlineStr">
        <is>
          <t>✓ Medium Quality</t>
        </is>
      </c>
      <c r="AI468" s="124" t="inlineStr">
        <is>
          <t>N/A</t>
        </is>
      </c>
      <c r="AJ468" s="120" t="n">
        <v>-0.05</v>
      </c>
      <c r="AK468" s="124" t="inlineStr">
        <is>
          <t>N/A</t>
        </is>
      </c>
      <c r="AL468" s="120" t="n">
        <v>-0.025</v>
      </c>
      <c r="AM468" s="120" t="n">
        <v>-0.003</v>
      </c>
      <c r="AN468" s="118" t="n">
        <v>69.8</v>
      </c>
      <c r="AO468" s="119" t="inlineStr">
        <is>
          <t>✓ Good</t>
        </is>
      </c>
      <c r="AP468" s="117" t="n">
        <v>0</v>
      </c>
      <c r="AQ468" s="117" t="n">
        <v>0</v>
      </c>
      <c r="AR468" s="117" t="n">
        <v>1</v>
      </c>
      <c r="AS468" s="117" t="n">
        <v>1</v>
      </c>
      <c r="AT468" s="117" t="n">
        <v>0</v>
      </c>
      <c r="AU468" s="117" t="n">
        <v>0</v>
      </c>
      <c r="AV468" s="117" t="n">
        <v>2</v>
      </c>
      <c r="AW468" s="121" t="inlineStr">
        <is>
          <t>⚠ WATCH</t>
        </is>
      </c>
      <c r="AX468" s="118" t="n">
        <v>25.4</v>
      </c>
      <c r="AY468" s="119" t="inlineStr">
        <is>
          <t>🟢 LOW RISK</t>
        </is>
      </c>
      <c r="AZ468" s="118" t="n">
        <v>0</v>
      </c>
      <c r="BA468" s="124" t="inlineStr">
        <is>
          <t>N/A</t>
        </is>
      </c>
      <c r="BB468" s="124" t="inlineStr">
        <is>
          <t>N/A</t>
        </is>
      </c>
      <c r="BC468" s="124" t="inlineStr">
        <is>
          <t>N/A</t>
        </is>
      </c>
      <c r="BD468" s="118" t="n">
        <v>34.6</v>
      </c>
      <c r="BE468" s="118" t="n">
        <v>28.3</v>
      </c>
      <c r="BF468" s="120" t="n">
        <v>0.386</v>
      </c>
      <c r="BG468" s="117" t="n">
        <v>0.6840000000000001</v>
      </c>
      <c r="BH468" s="122" t="n">
        <v>2</v>
      </c>
      <c r="BI468" s="125" t="n">
        <v>0.6666666666666666</v>
      </c>
    </row>
    <row r="469" ht="17" customHeight="1">
      <c r="A469" s="117" t="inlineStr">
        <is>
          <t>CAG</t>
        </is>
      </c>
      <c r="B469" s="117" t="inlineStr">
        <is>
          <t>CONAGRA BRANDS, INC.</t>
        </is>
      </c>
      <c r="C469" s="118" t="n">
        <v>0.9419999999999999</v>
      </c>
      <c r="D469" s="118" t="n">
        <v>1.04</v>
      </c>
      <c r="E469" s="118" t="n">
        <v>1.011</v>
      </c>
      <c r="F469" s="118" t="n">
        <v>0.9379999999999999</v>
      </c>
      <c r="G469" s="118" t="n">
        <v>0.984</v>
      </c>
      <c r="H469" s="118" t="n">
        <v>0.661</v>
      </c>
      <c r="I469" s="118" t="n">
        <v>0.968</v>
      </c>
      <c r="J469" s="118" t="n">
        <v>-0.026</v>
      </c>
      <c r="K469" s="118" t="n">
        <v>-2.617</v>
      </c>
      <c r="L469" s="119" t="inlineStr">
        <is>
          <t>✓ Lower Risk</t>
        </is>
      </c>
      <c r="M469" s="120" t="n">
        <v>-0.073</v>
      </c>
      <c r="N469" s="120" t="n">
        <v>-1.018</v>
      </c>
      <c r="O469" s="120" t="n">
        <v>-0.347</v>
      </c>
      <c r="P469" s="120" t="n">
        <v>0.861</v>
      </c>
      <c r="Q469" s="120" t="n">
        <v>0.038</v>
      </c>
      <c r="R469" s="117" t="n">
        <v>0</v>
      </c>
      <c r="S469" s="118" t="n">
        <v>-9.24</v>
      </c>
      <c r="T469" s="118" t="n">
        <v>0</v>
      </c>
      <c r="U469" s="119" t="inlineStr">
        <is>
          <t>✓ Normal</t>
        </is>
      </c>
      <c r="V469" s="117" t="n">
        <v>1</v>
      </c>
      <c r="W469" s="117" t="n">
        <v>0</v>
      </c>
      <c r="X469" s="117" t="n">
        <v>1</v>
      </c>
      <c r="Y469" s="117" t="n">
        <v>0</v>
      </c>
      <c r="Z469" s="117" t="n">
        <v>1</v>
      </c>
      <c r="AA469" s="117" t="n">
        <v>0</v>
      </c>
      <c r="AB469" s="117" t="n">
        <v>3</v>
      </c>
      <c r="AC469" s="121" t="inlineStr">
        <is>
          <t>⚠ WATCH</t>
        </is>
      </c>
      <c r="AD469" s="118" t="n">
        <v>1691900000</v>
      </c>
      <c r="AE469" s="118" t="n">
        <v>-542200000</v>
      </c>
      <c r="AF469" s="118" t="n">
        <v>1152400000</v>
      </c>
      <c r="AG469" s="118" t="n">
        <v>0</v>
      </c>
      <c r="AH469" s="119" t="inlineStr">
        <is>
          <t>✓ Medium Quality</t>
        </is>
      </c>
      <c r="AI469" s="118" t="n">
        <v>-0.117</v>
      </c>
      <c r="AJ469" s="120" t="n">
        <v>-0.062</v>
      </c>
      <c r="AK469" s="120" t="n">
        <v>1.868</v>
      </c>
      <c r="AL469" s="120" t="n">
        <v>1.128</v>
      </c>
      <c r="AM469" s="124" t="inlineStr">
        <is>
          <t>N/A</t>
        </is>
      </c>
      <c r="AN469" s="118" t="n">
        <v>74</v>
      </c>
      <c r="AO469" s="119" t="inlineStr">
        <is>
          <t>✓ Good</t>
        </is>
      </c>
      <c r="AP469" s="117" t="n">
        <v>1</v>
      </c>
      <c r="AQ469" s="117" t="n">
        <v>0</v>
      </c>
      <c r="AR469" s="117" t="n">
        <v>1</v>
      </c>
      <c r="AS469" s="117" t="n">
        <v>0</v>
      </c>
      <c r="AT469" s="117" t="n">
        <v>0</v>
      </c>
      <c r="AU469" s="117" t="n">
        <v>1</v>
      </c>
      <c r="AV469" s="117" t="n">
        <v>3</v>
      </c>
      <c r="AW469" s="121" t="inlineStr">
        <is>
          <t>⚠ WATCH</t>
        </is>
      </c>
      <c r="AX469" s="118" t="n">
        <v>20.5</v>
      </c>
      <c r="AY469" s="119" t="inlineStr">
        <is>
          <t>🟢 LOW RISK</t>
        </is>
      </c>
      <c r="AZ469" s="118" t="n">
        <v>187.4</v>
      </c>
      <c r="BA469" s="118" t="n">
        <v>198.9</v>
      </c>
      <c r="BB469" s="118" t="n">
        <v>86.8</v>
      </c>
      <c r="BC469" s="118" t="n">
        <v>87.2</v>
      </c>
      <c r="BD469" s="118" t="n">
        <v>67.40000000000001</v>
      </c>
      <c r="BE469" s="118" t="n">
        <v>62.5</v>
      </c>
      <c r="BF469" s="120" t="n">
        <v>0.003</v>
      </c>
      <c r="BG469" s="117" t="n">
        <v>0.861</v>
      </c>
      <c r="BH469" s="122" t="n">
        <v>6</v>
      </c>
      <c r="BI469" s="123" t="n">
        <v>1</v>
      </c>
    </row>
    <row r="470" ht="17" customHeight="1">
      <c r="A470" s="117" t="inlineStr">
        <is>
          <t>EGP</t>
        </is>
      </c>
      <c r="B470" s="117" t="inlineStr">
        <is>
          <t>EASTGROUP PROPERTIES, INC.</t>
        </is>
      </c>
      <c r="C470" s="118" t="n">
        <v>0.889</v>
      </c>
      <c r="D470" s="124" t="inlineStr">
        <is>
          <t>N/A</t>
        </is>
      </c>
      <c r="E470" s="124" t="inlineStr">
        <is>
          <t>N/A</t>
        </is>
      </c>
      <c r="F470" s="118" t="n">
        <v>1.127</v>
      </c>
      <c r="G470" s="124" t="inlineStr">
        <is>
          <t>N/A</t>
        </is>
      </c>
      <c r="H470" s="118" t="n">
        <v>1.031</v>
      </c>
      <c r="I470" s="118" t="n">
        <v>1.013</v>
      </c>
      <c r="J470" s="118" t="n">
        <v>-0.08500000000000001</v>
      </c>
      <c r="K470" s="124" t="inlineStr">
        <is>
          <t>N/A</t>
        </is>
      </c>
      <c r="L470" s="124" t="inlineStr">
        <is>
          <t>N/A</t>
        </is>
      </c>
      <c r="M470" s="124" t="inlineStr">
        <is>
          <t>N/A</t>
        </is>
      </c>
      <c r="N470" s="120" t="n">
        <v>0</v>
      </c>
      <c r="O470" s="124" t="inlineStr">
        <is>
          <t>N/A</t>
        </is>
      </c>
      <c r="P470" s="120" t="n">
        <v>0.997</v>
      </c>
      <c r="Q470" s="120" t="n">
        <v>-0.002</v>
      </c>
      <c r="R470" s="117" t="n">
        <v>1</v>
      </c>
      <c r="S470" s="124" t="inlineStr">
        <is>
          <t>N/A</t>
        </is>
      </c>
      <c r="T470" s="124" t="inlineStr">
        <is>
          <t>N/A</t>
        </is>
      </c>
      <c r="U470" s="124" t="inlineStr">
        <is>
          <t>N/A</t>
        </is>
      </c>
      <c r="V470" s="117" t="n">
        <v>0</v>
      </c>
      <c r="W470" s="117" t="n">
        <v>0</v>
      </c>
      <c r="X470" s="117" t="n">
        <v>0</v>
      </c>
      <c r="Y470" s="117" t="n">
        <v>0</v>
      </c>
      <c r="Z470" s="117" t="n">
        <v>0</v>
      </c>
      <c r="AA470" s="117" t="n">
        <v>0</v>
      </c>
      <c r="AB470" s="117" t="n">
        <v>0</v>
      </c>
      <c r="AC470" s="119" t="inlineStr">
        <is>
          <t>✓ Clean</t>
        </is>
      </c>
      <c r="AD470" s="118" t="n">
        <v>480734000</v>
      </c>
      <c r="AE470" s="118" t="n">
        <v>-576281000</v>
      </c>
      <c r="AF470" s="118" t="n">
        <v>18325000</v>
      </c>
      <c r="AG470" s="118" t="n">
        <v>0.022</v>
      </c>
      <c r="AH470" s="119" t="inlineStr">
        <is>
          <t>✓ Medium Quality</t>
        </is>
      </c>
      <c r="AI470" s="118" t="n">
        <v>0.001</v>
      </c>
      <c r="AJ470" s="120" t="n">
        <v>0.127</v>
      </c>
      <c r="AK470" s="120" t="n">
        <v>0.008999999999999999</v>
      </c>
      <c r="AL470" s="120" t="n">
        <v>0.666</v>
      </c>
      <c r="AM470" s="124" t="inlineStr">
        <is>
          <t>N/A</t>
        </is>
      </c>
      <c r="AN470" s="117" t="n">
        <v>100</v>
      </c>
      <c r="AO470" s="119" t="inlineStr">
        <is>
          <t>✓ Good</t>
        </is>
      </c>
      <c r="AP470" s="117" t="n">
        <v>0</v>
      </c>
      <c r="AQ470" s="117" t="n">
        <v>0</v>
      </c>
      <c r="AR470" s="117" t="n">
        <v>0</v>
      </c>
      <c r="AS470" s="117" t="n">
        <v>1</v>
      </c>
      <c r="AT470" s="117" t="n">
        <v>0</v>
      </c>
      <c r="AU470" s="117" t="n">
        <v>0</v>
      </c>
      <c r="AV470" s="117" t="n">
        <v>1</v>
      </c>
      <c r="AW470" s="119" t="inlineStr">
        <is>
          <t>✓ Clean</t>
        </is>
      </c>
      <c r="AX470" s="118" t="n">
        <v>23.3</v>
      </c>
      <c r="AY470" s="119" t="inlineStr">
        <is>
          <t>🟢 LOW RISK</t>
        </is>
      </c>
      <c r="AZ470" s="118" t="n">
        <v>2.7</v>
      </c>
      <c r="BA470" s="118" t="n">
        <v>3.1</v>
      </c>
      <c r="BB470" s="124" t="inlineStr">
        <is>
          <t>N/A</t>
        </is>
      </c>
      <c r="BC470" s="124" t="inlineStr">
        <is>
          <t>N/A</t>
        </is>
      </c>
      <c r="BD470" s="124" t="inlineStr">
        <is>
          <t>N/A</t>
        </is>
      </c>
      <c r="BE470" s="124" t="inlineStr">
        <is>
          <t>N/A</t>
        </is>
      </c>
      <c r="BF470" s="124" t="inlineStr">
        <is>
          <t>N/A</t>
        </is>
      </c>
      <c r="BG470" s="117" t="n">
        <v>0.997</v>
      </c>
      <c r="BH470" s="122" t="n">
        <v>2</v>
      </c>
      <c r="BI470" s="125" t="n">
        <v>0.6666666666666666</v>
      </c>
    </row>
    <row r="471" ht="17" customHeight="1">
      <c r="A471" s="117" t="inlineStr">
        <is>
          <t>CHTR</t>
        </is>
      </c>
      <c r="B471" s="117" t="inlineStr">
        <is>
          <t>Charter Communications, Inc.</t>
        </is>
      </c>
      <c r="C471" s="118" t="n">
        <v>1.195</v>
      </c>
      <c r="D471" s="118" t="n">
        <v>0.989</v>
      </c>
      <c r="E471" s="118" t="n">
        <v>0.97</v>
      </c>
      <c r="F471" s="118" t="n">
        <v>0.994</v>
      </c>
      <c r="G471" s="118" t="n">
        <v>1.036</v>
      </c>
      <c r="H471" s="118" t="n">
        <v>1.059</v>
      </c>
      <c r="I471" s="118" t="n">
        <v>1</v>
      </c>
      <c r="J471" s="118" t="n">
        <v>-0.07199999999999999</v>
      </c>
      <c r="K471" s="118" t="n">
        <v>-2.666</v>
      </c>
      <c r="L471" s="119" t="inlineStr">
        <is>
          <t>✓ Lower Risk</t>
        </is>
      </c>
      <c r="M471" s="120" t="n">
        <v>-0.046</v>
      </c>
      <c r="N471" s="120" t="n">
        <v>1.875</v>
      </c>
      <c r="O471" s="124" t="inlineStr">
        <is>
          <t>N/A</t>
        </is>
      </c>
      <c r="P471" s="120" t="n">
        <v>0.696</v>
      </c>
      <c r="Q471" s="120" t="n">
        <v>-0.002</v>
      </c>
      <c r="R471" s="117" t="n">
        <v>0</v>
      </c>
      <c r="S471" s="118" t="n">
        <v>-1.831</v>
      </c>
      <c r="T471" s="118" t="n">
        <v>0.138</v>
      </c>
      <c r="U471" s="121" t="inlineStr">
        <is>
          <t>⚠ HIGH RISK</t>
        </is>
      </c>
      <c r="V471" s="117" t="n">
        <v>0</v>
      </c>
      <c r="W471" s="117" t="n">
        <v>1</v>
      </c>
      <c r="X471" s="117" t="n">
        <v>0</v>
      </c>
      <c r="Y471" s="117" t="n">
        <v>0</v>
      </c>
      <c r="Z471" s="117" t="n">
        <v>0</v>
      </c>
      <c r="AA471" s="117" t="n">
        <v>0</v>
      </c>
      <c r="AB471" s="117" t="n">
        <v>1</v>
      </c>
      <c r="AC471" s="119" t="inlineStr">
        <is>
          <t>✓ Clean</t>
        </is>
      </c>
      <c r="AD471" s="118" t="n">
        <v>16077000000</v>
      </c>
      <c r="AE471" s="118" t="n">
        <v>-11620000000</v>
      </c>
      <c r="AF471" s="118" t="n">
        <v>4987000000</v>
      </c>
      <c r="AG471" s="118" t="n">
        <v>0.003</v>
      </c>
      <c r="AH471" s="119" t="inlineStr">
        <is>
          <t>✓ Medium Quality</t>
        </is>
      </c>
      <c r="AI471" s="118" t="n">
        <v>0.188</v>
      </c>
      <c r="AJ471" s="120" t="n">
        <v>-0.006</v>
      </c>
      <c r="AK471" s="120" t="n">
        <v>-33.343</v>
      </c>
      <c r="AL471" s="120" t="n">
        <v>0.294</v>
      </c>
      <c r="AM471" s="120" t="n">
        <v>-0.001</v>
      </c>
      <c r="AN471" s="117" t="n">
        <v>100</v>
      </c>
      <c r="AO471" s="119" t="inlineStr">
        <is>
          <t>✓ Good</t>
        </is>
      </c>
      <c r="AP471" s="117" t="n">
        <v>0</v>
      </c>
      <c r="AQ471" s="117" t="n">
        <v>1</v>
      </c>
      <c r="AR471" s="117" t="n">
        <v>0</v>
      </c>
      <c r="AS471" s="117" t="n">
        <v>1</v>
      </c>
      <c r="AT471" s="117" t="n">
        <v>0</v>
      </c>
      <c r="AU471" s="117" t="n">
        <v>0</v>
      </c>
      <c r="AV471" s="117" t="n">
        <v>2</v>
      </c>
      <c r="AW471" s="121" t="inlineStr">
        <is>
          <t>⚠ WATCH</t>
        </is>
      </c>
      <c r="AX471" s="118" t="n">
        <v>32.3</v>
      </c>
      <c r="AY471" s="119" t="inlineStr">
        <is>
          <t>🟢 LOW RISK</t>
        </is>
      </c>
      <c r="AZ471" s="118" t="n">
        <v>24.5</v>
      </c>
      <c r="BA471" s="118" t="n">
        <v>20.5</v>
      </c>
      <c r="BB471" s="124" t="inlineStr">
        <is>
          <t>N/A</t>
        </is>
      </c>
      <c r="BC471" s="124" t="inlineStr">
        <is>
          <t>N/A</t>
        </is>
      </c>
      <c r="BD471" s="118" t="n">
        <v>140</v>
      </c>
      <c r="BE471" s="118" t="n">
        <v>128.6</v>
      </c>
      <c r="BF471" s="120" t="n">
        <v>0.227</v>
      </c>
      <c r="BG471" s="117" t="n">
        <v>0.696</v>
      </c>
      <c r="BH471" s="122" t="n">
        <v>3</v>
      </c>
      <c r="BI471" s="123" t="n">
        <v>1</v>
      </c>
    </row>
    <row r="472" ht="17" customHeight="1">
      <c r="A472" s="117" t="inlineStr">
        <is>
          <t>RVTY</t>
        </is>
      </c>
      <c r="B472" s="117" t="inlineStr">
        <is>
          <t>REVVITY, INC</t>
        </is>
      </c>
      <c r="C472" s="118" t="n">
        <v>0.264</v>
      </c>
      <c r="D472" s="118" t="n">
        <v>0.98</v>
      </c>
      <c r="E472" s="118" t="n">
        <v>1.007</v>
      </c>
      <c r="F472" s="118" t="n">
        <v>4.468</v>
      </c>
      <c r="G472" s="118" t="n">
        <v>1.026</v>
      </c>
      <c r="H472" s="118" t="n">
        <v>0.223</v>
      </c>
      <c r="I472" s="118" t="n">
        <v>1.06</v>
      </c>
      <c r="J472" s="118" t="n">
        <v>-0.028</v>
      </c>
      <c r="K472" s="118" t="n">
        <v>-0.08599999999999999</v>
      </c>
      <c r="L472" s="121" t="inlineStr">
        <is>
          <t>⚠ MANIPULATOR RISK</t>
        </is>
      </c>
      <c r="M472" s="120" t="n">
        <v>-0.078</v>
      </c>
      <c r="N472" s="120" t="n">
        <v>0.044</v>
      </c>
      <c r="O472" s="120" t="n">
        <v>0.005</v>
      </c>
      <c r="P472" s="120" t="n">
        <v>0.885</v>
      </c>
      <c r="Q472" s="120" t="n">
        <v>-0.002</v>
      </c>
      <c r="R472" s="117" t="n">
        <v>0</v>
      </c>
      <c r="S472" s="118" t="n">
        <v>-6.087</v>
      </c>
      <c r="T472" s="118" t="n">
        <v>0.002</v>
      </c>
      <c r="U472" s="119" t="inlineStr">
        <is>
          <t>✓ Normal</t>
        </is>
      </c>
      <c r="V472" s="117" t="n">
        <v>1</v>
      </c>
      <c r="W472" s="117" t="n">
        <v>0</v>
      </c>
      <c r="X472" s="117" t="n">
        <v>0</v>
      </c>
      <c r="Y472" s="117" t="n">
        <v>1</v>
      </c>
      <c r="Z472" s="117" t="n">
        <v>1</v>
      </c>
      <c r="AA472" s="117" t="n">
        <v>0</v>
      </c>
      <c r="AB472" s="117" t="n">
        <v>3</v>
      </c>
      <c r="AC472" s="121" t="inlineStr">
        <is>
          <t>⚠ WATCH</t>
        </is>
      </c>
      <c r="AD472" s="118" t="n">
        <v>582933000</v>
      </c>
      <c r="AE472" s="118" t="n">
        <v>-17353000</v>
      </c>
      <c r="AF472" s="118" t="n">
        <v>241201000</v>
      </c>
      <c r="AG472" s="118" t="n">
        <v>-0.026</v>
      </c>
      <c r="AH472" s="119" t="inlineStr">
        <is>
          <t>✓ Medium Quality</t>
        </is>
      </c>
      <c r="AI472" s="118" t="n">
        <v>0.178</v>
      </c>
      <c r="AJ472" s="120" t="n">
        <v>3.468</v>
      </c>
      <c r="AK472" s="120" t="n">
        <v>0.051</v>
      </c>
      <c r="AL472" s="120" t="n">
        <v>0.176</v>
      </c>
      <c r="AM472" s="120" t="n">
        <v>0.006</v>
      </c>
      <c r="AN472" s="117" t="n">
        <v>100</v>
      </c>
      <c r="AO472" s="119" t="inlineStr">
        <is>
          <t>✓ Good</t>
        </is>
      </c>
      <c r="AP472" s="117" t="n">
        <v>0</v>
      </c>
      <c r="AQ472" s="117" t="n">
        <v>0</v>
      </c>
      <c r="AR472" s="117" t="n">
        <v>0</v>
      </c>
      <c r="AS472" s="117" t="n">
        <v>0</v>
      </c>
      <c r="AT472" s="117" t="n">
        <v>1</v>
      </c>
      <c r="AU472" s="117" t="n">
        <v>0</v>
      </c>
      <c r="AV472" s="117" t="n">
        <v>1</v>
      </c>
      <c r="AW472" s="119" t="inlineStr">
        <is>
          <t>✓ Clean</t>
        </is>
      </c>
      <c r="AX472" s="118" t="n">
        <v>26</v>
      </c>
      <c r="AY472" s="119" t="inlineStr">
        <is>
          <t>🟢 LOW RISK</t>
        </is>
      </c>
      <c r="AZ472" s="118" t="n">
        <v>82.09999999999999</v>
      </c>
      <c r="BA472" s="118" t="n">
        <v>311.4</v>
      </c>
      <c r="BB472" s="118" t="n">
        <v>96.40000000000001</v>
      </c>
      <c r="BC472" s="118" t="n">
        <v>141.9</v>
      </c>
      <c r="BD472" s="118" t="n">
        <v>47.1</v>
      </c>
      <c r="BE472" s="118" t="n">
        <v>64.59999999999999</v>
      </c>
      <c r="BF472" s="120" t="n">
        <v>0.106</v>
      </c>
      <c r="BG472" s="117" t="n">
        <v>0.885</v>
      </c>
      <c r="BH472" s="122" t="n">
        <v>4</v>
      </c>
      <c r="BI472" s="123" t="n">
        <v>1</v>
      </c>
    </row>
    <row r="473" ht="17" customHeight="1">
      <c r="A473" s="117" t="inlineStr">
        <is>
          <t>URI</t>
        </is>
      </c>
      <c r="B473" s="117" t="inlineStr">
        <is>
          <t>United Rentals, Inc.</t>
        </is>
      </c>
      <c r="C473" s="118" t="n">
        <v>0.278</v>
      </c>
      <c r="D473" s="118" t="n">
        <v>0.99</v>
      </c>
      <c r="E473" s="118" t="n">
        <v>0.996</v>
      </c>
      <c r="F473" s="118" t="n">
        <v>3.826</v>
      </c>
      <c r="G473" s="118" t="n">
        <v>0.989</v>
      </c>
      <c r="H473" s="118" t="n">
        <v>0.275</v>
      </c>
      <c r="I473" s="118" t="n">
        <v>1.008</v>
      </c>
      <c r="J473" s="118" t="n">
        <v>-0.09</v>
      </c>
      <c r="K473" s="118" t="n">
        <v>-0.9320000000000001</v>
      </c>
      <c r="L473" s="121" t="inlineStr">
        <is>
          <t>⚠ MANIPULATOR RISK</t>
        </is>
      </c>
      <c r="M473" s="120" t="n">
        <v>-0.019</v>
      </c>
      <c r="N473" s="120" t="n">
        <v>0.013</v>
      </c>
      <c r="O473" s="120" t="n">
        <v>0.003</v>
      </c>
      <c r="P473" s="120" t="n">
        <v>0.964</v>
      </c>
      <c r="Q473" s="120" t="n">
        <v>0.06</v>
      </c>
      <c r="R473" s="117" t="n">
        <v>0</v>
      </c>
      <c r="S473" s="118" t="n">
        <v>-5.99</v>
      </c>
      <c r="T473" s="118" t="n">
        <v>0.002</v>
      </c>
      <c r="U473" s="119" t="inlineStr">
        <is>
          <t>✓ Normal</t>
        </is>
      </c>
      <c r="V473" s="117" t="n">
        <v>1</v>
      </c>
      <c r="W473" s="117" t="n">
        <v>0</v>
      </c>
      <c r="X473" s="117" t="n">
        <v>0</v>
      </c>
      <c r="Y473" s="117" t="n">
        <v>1</v>
      </c>
      <c r="Z473" s="117" t="n">
        <v>1</v>
      </c>
      <c r="AA473" s="117" t="n">
        <v>0</v>
      </c>
      <c r="AB473" s="117" t="n">
        <v>3</v>
      </c>
      <c r="AC473" s="121" t="inlineStr">
        <is>
          <t>⚠ WATCH</t>
        </is>
      </c>
      <c r="AD473" s="118" t="n">
        <v>5190000000</v>
      </c>
      <c r="AE473" s="118" t="n">
        <v>-3369000000</v>
      </c>
      <c r="AF473" s="118" t="n">
        <v>2494000000</v>
      </c>
      <c r="AG473" s="118" t="n">
        <v>0.023</v>
      </c>
      <c r="AH473" s="119" t="inlineStr">
        <is>
          <t>✓ Medium Quality</t>
        </is>
      </c>
      <c r="AI473" s="118" t="n">
        <v>0.065</v>
      </c>
      <c r="AJ473" s="120" t="n">
        <v>2.826</v>
      </c>
      <c r="AK473" s="120" t="n">
        <v>0.023</v>
      </c>
      <c r="AL473" s="120" t="n">
        <v>0.322</v>
      </c>
      <c r="AM473" s="120" t="n">
        <v>0</v>
      </c>
      <c r="AN473" s="117" t="n">
        <v>100</v>
      </c>
      <c r="AO473" s="119" t="inlineStr">
        <is>
          <t>✓ Good</t>
        </is>
      </c>
      <c r="AP473" s="117" t="n">
        <v>0</v>
      </c>
      <c r="AQ473" s="117" t="n">
        <v>0</v>
      </c>
      <c r="AR473" s="117" t="n">
        <v>0</v>
      </c>
      <c r="AS473" s="117" t="n">
        <v>0</v>
      </c>
      <c r="AT473" s="117" t="n">
        <v>0</v>
      </c>
      <c r="AU473" s="117" t="n">
        <v>0</v>
      </c>
      <c r="AV473" s="117" t="n">
        <v>0</v>
      </c>
      <c r="AW473" s="119" t="inlineStr">
        <is>
          <t>✓ Clean</t>
        </is>
      </c>
      <c r="AX473" s="118" t="n">
        <v>22.6</v>
      </c>
      <c r="AY473" s="119" t="inlineStr">
        <is>
          <t>🟢 LOW RISK</t>
        </is>
      </c>
      <c r="AZ473" s="118" t="n">
        <v>56.9</v>
      </c>
      <c r="BA473" s="118" t="n">
        <v>204.4</v>
      </c>
      <c r="BB473" s="118" t="n">
        <v>8.800000000000001</v>
      </c>
      <c r="BC473" s="118" t="n">
        <v>7.9</v>
      </c>
      <c r="BD473" s="118" t="n">
        <v>28.5</v>
      </c>
      <c r="BE473" s="118" t="n">
        <v>29.7</v>
      </c>
      <c r="BF473" s="120" t="n">
        <v>0.253</v>
      </c>
      <c r="BG473" s="117" t="n">
        <v>0.964</v>
      </c>
      <c r="BH473" s="122" t="n">
        <v>3</v>
      </c>
      <c r="BI473" s="123" t="n">
        <v>1</v>
      </c>
    </row>
    <row r="474" ht="17" customHeight="1">
      <c r="A474" s="117" t="inlineStr">
        <is>
          <t>CSCO</t>
        </is>
      </c>
      <c r="B474" s="117" t="inlineStr">
        <is>
          <t>CISCO SYSTEMS, INC.</t>
        </is>
      </c>
      <c r="C474" s="118" t="n">
        <v>0.261</v>
      </c>
      <c r="D474" s="118" t="n">
        <v>3.636</v>
      </c>
      <c r="E474" s="118" t="n">
        <v>1.014</v>
      </c>
      <c r="F474" s="118" t="n">
        <v>3.841</v>
      </c>
      <c r="G474" s="118" t="n">
        <v>1.008</v>
      </c>
      <c r="H474" s="118" t="n">
        <v>0.277</v>
      </c>
      <c r="I474" s="118" t="n">
        <v>0.972</v>
      </c>
      <c r="J474" s="118" t="n">
        <v>-0.033</v>
      </c>
      <c r="K474" s="118" t="n">
        <v>0.752</v>
      </c>
      <c r="L474" s="121" t="inlineStr">
        <is>
          <t>⚠ MANIPULATOR RISK</t>
        </is>
      </c>
      <c r="M474" s="120" t="n">
        <v>0.017</v>
      </c>
      <c r="N474" s="120" t="n">
        <v>0</v>
      </c>
      <c r="O474" s="120" t="n">
        <v>-0.006</v>
      </c>
      <c r="P474" s="120" t="n">
        <v>0.914</v>
      </c>
      <c r="Q474" s="120" t="n">
        <v>0</v>
      </c>
      <c r="R474" s="117" t="n">
        <v>0</v>
      </c>
      <c r="S474" s="118" t="n">
        <v>-6.075</v>
      </c>
      <c r="T474" s="118" t="n">
        <v>0.002</v>
      </c>
      <c r="U474" s="119" t="inlineStr">
        <is>
          <t>✓ Normal</t>
        </is>
      </c>
      <c r="V474" s="117" t="n">
        <v>0</v>
      </c>
      <c r="W474" s="117" t="n">
        <v>0</v>
      </c>
      <c r="X474" s="117" t="n">
        <v>0</v>
      </c>
      <c r="Y474" s="117" t="n">
        <v>1</v>
      </c>
      <c r="Z474" s="117" t="n">
        <v>0</v>
      </c>
      <c r="AA474" s="117" t="n">
        <v>0</v>
      </c>
      <c r="AB474" s="117" t="n">
        <v>1</v>
      </c>
      <c r="AC474" s="119" t="inlineStr">
        <is>
          <t>✓ Clean</t>
        </is>
      </c>
      <c r="AD474" s="118" t="n">
        <v>14193000000</v>
      </c>
      <c r="AE474" s="118" t="n">
        <v>1733000000</v>
      </c>
      <c r="AF474" s="118" t="n">
        <v>10180000000</v>
      </c>
      <c r="AG474" s="118" t="n">
        <v>-0.047</v>
      </c>
      <c r="AH474" s="119" t="inlineStr">
        <is>
          <t>✓ Medium Quality</t>
        </is>
      </c>
      <c r="AI474" s="118" t="n">
        <v>0.002</v>
      </c>
      <c r="AJ474" s="120" t="n">
        <v>2.841</v>
      </c>
      <c r="AK474" s="120" t="n">
        <v>0.001</v>
      </c>
      <c r="AL474" s="120" t="n">
        <v>0.288</v>
      </c>
      <c r="AM474" s="120" t="n">
        <v>0.014</v>
      </c>
      <c r="AN474" s="117" t="n">
        <v>100</v>
      </c>
      <c r="AO474" s="119" t="inlineStr">
        <is>
          <t>✓ Good</t>
        </is>
      </c>
      <c r="AP474" s="117" t="n">
        <v>0</v>
      </c>
      <c r="AQ474" s="117" t="n">
        <v>0</v>
      </c>
      <c r="AR474" s="117" t="n">
        <v>1</v>
      </c>
      <c r="AS474" s="117" t="n">
        <v>0</v>
      </c>
      <c r="AT474" s="117" t="n">
        <v>1</v>
      </c>
      <c r="AU474" s="117" t="n">
        <v>1</v>
      </c>
      <c r="AV474" s="117" t="n">
        <v>3</v>
      </c>
      <c r="AW474" s="121" t="inlineStr">
        <is>
          <t>⚠ WATCH</t>
        </is>
      </c>
      <c r="AX474" s="118" t="n">
        <v>23.9</v>
      </c>
      <c r="AY474" s="119" t="inlineStr">
        <is>
          <t>🟢 LOW RISK</t>
        </is>
      </c>
      <c r="AZ474" s="118" t="n">
        <v>49.6</v>
      </c>
      <c r="BA474" s="118" t="n">
        <v>190</v>
      </c>
      <c r="BB474" s="118" t="n">
        <v>58.1</v>
      </c>
      <c r="BC474" s="118" t="n">
        <v>64.90000000000001</v>
      </c>
      <c r="BD474" s="118" t="n">
        <v>46.5</v>
      </c>
      <c r="BE474" s="118" t="n">
        <v>44.3</v>
      </c>
      <c r="BF474" s="120" t="n">
        <v>0.083</v>
      </c>
      <c r="BG474" s="117" t="n">
        <v>0.914</v>
      </c>
      <c r="BH474" s="122" t="n">
        <v>4</v>
      </c>
      <c r="BI474" s="123" t="n">
        <v>1</v>
      </c>
    </row>
    <row r="475" ht="17" customHeight="1">
      <c r="A475" s="117" t="inlineStr">
        <is>
          <t>HAL</t>
        </is>
      </c>
      <c r="B475" s="117" t="inlineStr">
        <is>
          <t>HALLIBURTON COMPANY</t>
        </is>
      </c>
      <c r="C475" s="118" t="n">
        <v>0.789</v>
      </c>
      <c r="D475" s="118" t="n">
        <v>0.966</v>
      </c>
      <c r="E475" s="118" t="n">
        <v>1.056</v>
      </c>
      <c r="F475" s="118" t="n">
        <v>1.225</v>
      </c>
      <c r="G475" s="118" t="n">
        <v>0.878</v>
      </c>
      <c r="H475" s="118" t="n">
        <v>0.8169999999999999</v>
      </c>
      <c r="I475" s="118" t="n">
        <v>0.987</v>
      </c>
      <c r="J475" s="118" t="n">
        <v>-0.066</v>
      </c>
      <c r="K475" s="118" t="n">
        <v>-2.755</v>
      </c>
      <c r="L475" s="119" t="inlineStr">
        <is>
          <t>✓ Lower Risk</t>
        </is>
      </c>
      <c r="M475" s="120" t="n">
        <v>-0.049</v>
      </c>
      <c r="N475" s="120" t="n">
        <v>-0.053</v>
      </c>
      <c r="O475" s="120" t="n">
        <v>-0.019</v>
      </c>
      <c r="P475" s="120" t="n">
        <v>0.701</v>
      </c>
      <c r="Q475" s="120" t="n">
        <v>-0.046</v>
      </c>
      <c r="R475" s="117" t="n">
        <v>0</v>
      </c>
      <c r="S475" s="118" t="n">
        <v>-6.68</v>
      </c>
      <c r="T475" s="118" t="n">
        <v>0.001</v>
      </c>
      <c r="U475" s="119" t="inlineStr">
        <is>
          <t>✓ Normal</t>
        </is>
      </c>
      <c r="V475" s="117" t="n">
        <v>1</v>
      </c>
      <c r="W475" s="117" t="n">
        <v>0</v>
      </c>
      <c r="X475" s="117" t="n">
        <v>0</v>
      </c>
      <c r="Y475" s="117" t="n">
        <v>1</v>
      </c>
      <c r="Z475" s="117" t="n">
        <v>0</v>
      </c>
      <c r="AA475" s="117" t="n">
        <v>0</v>
      </c>
      <c r="AB475" s="117" t="n">
        <v>2</v>
      </c>
      <c r="AC475" s="121" t="inlineStr">
        <is>
          <t>⚠ WATCH</t>
        </is>
      </c>
      <c r="AD475" s="118" t="n">
        <v>2926000000</v>
      </c>
      <c r="AE475" s="118" t="n">
        <v>-1325000000</v>
      </c>
      <c r="AF475" s="118" t="n">
        <v>1283000000</v>
      </c>
      <c r="AG475" s="118" t="n">
        <v>-0.013</v>
      </c>
      <c r="AH475" s="119" t="inlineStr">
        <is>
          <t>✓ Medium Quality</t>
        </is>
      </c>
      <c r="AI475" s="118" t="n">
        <v>-0.034</v>
      </c>
      <c r="AJ475" s="120" t="n">
        <v>0.225</v>
      </c>
      <c r="AK475" s="120" t="n">
        <v>-0.152</v>
      </c>
      <c r="AL475" s="120" t="n">
        <v>0.163</v>
      </c>
      <c r="AM475" s="120" t="n">
        <v>-0</v>
      </c>
      <c r="AN475" s="117" t="n">
        <v>100</v>
      </c>
      <c r="AO475" s="119" t="inlineStr">
        <is>
          <t>✓ Good</t>
        </is>
      </c>
      <c r="AP475" s="117" t="n">
        <v>0</v>
      </c>
      <c r="AQ475" s="117" t="n">
        <v>0</v>
      </c>
      <c r="AR475" s="117" t="n">
        <v>0</v>
      </c>
      <c r="AS475" s="117" t="n">
        <v>0</v>
      </c>
      <c r="AT475" s="117" t="n">
        <v>1</v>
      </c>
      <c r="AU475" s="117" t="n">
        <v>0</v>
      </c>
      <c r="AV475" s="117" t="n">
        <v>1</v>
      </c>
      <c r="AW475" s="119" t="inlineStr">
        <is>
          <t>✓ Clean</t>
        </is>
      </c>
      <c r="AX475" s="118" t="n">
        <v>14.2</v>
      </c>
      <c r="AY475" s="119" t="inlineStr">
        <is>
          <t>🟢 VERY LOW RISK</t>
        </is>
      </c>
      <c r="AZ475" s="118" t="n">
        <v>100.4</v>
      </c>
      <c r="BA475" s="118" t="n">
        <v>127.3</v>
      </c>
      <c r="BB475" s="118" t="n">
        <v>262.3</v>
      </c>
      <c r="BC475" s="118" t="n">
        <v>294.3</v>
      </c>
      <c r="BD475" s="118" t="n">
        <v>276.1</v>
      </c>
      <c r="BE475" s="118" t="n">
        <v>308.7</v>
      </c>
      <c r="BF475" s="120" t="n">
        <v>0.27</v>
      </c>
      <c r="BG475" s="117" t="n">
        <v>0.701</v>
      </c>
      <c r="BH475" s="122" t="n">
        <v>3</v>
      </c>
      <c r="BI475" s="123" t="n">
        <v>1</v>
      </c>
    </row>
    <row r="476" ht="17" customHeight="1">
      <c r="A476" s="117" t="inlineStr">
        <is>
          <t>FIS</t>
        </is>
      </c>
      <c r="B476" s="117" t="inlineStr">
        <is>
          <t>Fidelity National Information Services, Inc.</t>
        </is>
      </c>
      <c r="C476" s="118" t="n">
        <v>0.262</v>
      </c>
      <c r="D476" s="118" t="n">
        <v>1.038</v>
      </c>
      <c r="E476" s="118" t="n">
        <v>1.022</v>
      </c>
      <c r="F476" s="118" t="n">
        <v>3.797</v>
      </c>
      <c r="G476" s="118" t="n">
        <v>0.85</v>
      </c>
      <c r="H476" s="118" t="n">
        <v>0.273</v>
      </c>
      <c r="I476" s="118" t="n">
        <v>1.093</v>
      </c>
      <c r="J476" s="118" t="n">
        <v>-0.118</v>
      </c>
      <c r="K476" s="118" t="n">
        <v>-1.11</v>
      </c>
      <c r="L476" s="121" t="inlineStr">
        <is>
          <t>⚠ MANIPULATOR RISK</t>
        </is>
      </c>
      <c r="M476" s="120" t="n">
        <v>-0.078</v>
      </c>
      <c r="N476" s="120" t="n">
        <v>-0.001</v>
      </c>
      <c r="O476" s="124" t="inlineStr">
        <is>
          <t>N/A</t>
        </is>
      </c>
      <c r="P476" s="120" t="n">
        <v>0.961</v>
      </c>
      <c r="Q476" s="120" t="n">
        <v>-0.004</v>
      </c>
      <c r="R476" s="117" t="n">
        <v>1</v>
      </c>
      <c r="S476" s="118" t="n">
        <v>-2.979</v>
      </c>
      <c r="T476" s="118" t="n">
        <v>0.048</v>
      </c>
      <c r="U476" s="121" t="inlineStr">
        <is>
          <t>⚠ HIGH RISK</t>
        </is>
      </c>
      <c r="V476" s="117" t="n">
        <v>1</v>
      </c>
      <c r="W476" s="117" t="n">
        <v>0</v>
      </c>
      <c r="X476" s="117" t="n">
        <v>0</v>
      </c>
      <c r="Y476" s="117" t="n">
        <v>1</v>
      </c>
      <c r="Z476" s="117" t="n">
        <v>0</v>
      </c>
      <c r="AA476" s="117" t="n">
        <v>0</v>
      </c>
      <c r="AB476" s="117" t="n">
        <v>2</v>
      </c>
      <c r="AC476" s="121" t="inlineStr">
        <is>
          <t>⚠ WATCH</t>
        </is>
      </c>
      <c r="AD476" s="118" t="n">
        <v>4335000000</v>
      </c>
      <c r="AE476" s="118" t="n">
        <v>-1352000000</v>
      </c>
      <c r="AF476" s="118" t="n">
        <v>382000000</v>
      </c>
      <c r="AG476" s="118" t="n">
        <v>-0.077</v>
      </c>
      <c r="AH476" s="119" t="inlineStr">
        <is>
          <t>✓ Medium Quality</t>
        </is>
      </c>
      <c r="AI476" s="118" t="n">
        <v>-0.005</v>
      </c>
      <c r="AJ476" s="120" t="n">
        <v>2.797</v>
      </c>
      <c r="AK476" s="120" t="n">
        <v>-0.002</v>
      </c>
      <c r="AL476" s="120" t="n">
        <v>0.406</v>
      </c>
      <c r="AM476" s="120" t="n">
        <v>0.001</v>
      </c>
      <c r="AN476" s="117" t="n">
        <v>100</v>
      </c>
      <c r="AO476" s="119" t="inlineStr">
        <is>
          <t>✓ Good</t>
        </is>
      </c>
      <c r="AP476" s="117" t="n">
        <v>0</v>
      </c>
      <c r="AQ476" s="117" t="n">
        <v>0</v>
      </c>
      <c r="AR476" s="117" t="n">
        <v>1</v>
      </c>
      <c r="AS476" s="117" t="n">
        <v>0</v>
      </c>
      <c r="AT476" s="117" t="n">
        <v>0</v>
      </c>
      <c r="AU476" s="117" t="n">
        <v>1</v>
      </c>
      <c r="AV476" s="117" t="n">
        <v>2</v>
      </c>
      <c r="AW476" s="121" t="inlineStr">
        <is>
          <t>⚠ WATCH</t>
        </is>
      </c>
      <c r="AX476" s="118" t="n">
        <v>28.3</v>
      </c>
      <c r="AY476" s="119" t="inlineStr">
        <is>
          <t>🟢 LOW RISK</t>
        </is>
      </c>
      <c r="AZ476" s="118" t="n">
        <v>59.1</v>
      </c>
      <c r="BA476" s="118" t="n">
        <v>225.6</v>
      </c>
      <c r="BB476" s="124" t="inlineStr">
        <is>
          <t>N/A</t>
        </is>
      </c>
      <c r="BC476" s="124" t="inlineStr">
        <is>
          <t>N/A</t>
        </is>
      </c>
      <c r="BD476" s="118" t="n">
        <v>113.5</v>
      </c>
      <c r="BE476" s="118" t="n">
        <v>115.1</v>
      </c>
      <c r="BF476" s="120" t="n">
        <v>-0.016</v>
      </c>
      <c r="BG476" s="117" t="n">
        <v>0.961</v>
      </c>
      <c r="BH476" s="122" t="n">
        <v>5</v>
      </c>
      <c r="BI476" s="123" t="n">
        <v>1</v>
      </c>
    </row>
    <row r="477" ht="17" customHeight="1">
      <c r="A477" s="117" t="inlineStr">
        <is>
          <t>EL</t>
        </is>
      </c>
      <c r="B477" s="117" t="inlineStr">
        <is>
          <t>Estee Lauder Companies Inc</t>
        </is>
      </c>
      <c r="C477" s="118" t="n">
        <v>0.965</v>
      </c>
      <c r="D477" s="118" t="n">
        <v>0.969</v>
      </c>
      <c r="E477" s="118" t="n">
        <v>0.99</v>
      </c>
      <c r="F477" s="118" t="n">
        <v>0.918</v>
      </c>
      <c r="G477" s="118" t="n">
        <v>1.005</v>
      </c>
      <c r="H477" s="118" t="n">
        <v>1.071</v>
      </c>
      <c r="I477" s="118" t="n">
        <v>1.09</v>
      </c>
      <c r="J477" s="118" t="n">
        <v>-0.03</v>
      </c>
      <c r="K477" s="118" t="n">
        <v>-2.785</v>
      </c>
      <c r="L477" s="119" t="inlineStr">
        <is>
          <t>✓ Lower Risk</t>
        </is>
      </c>
      <c r="M477" s="120" t="n">
        <v>-0.124</v>
      </c>
      <c r="N477" s="120" t="n">
        <v>-0.154</v>
      </c>
      <c r="O477" s="120" t="n">
        <v>-0.079</v>
      </c>
      <c r="P477" s="120" t="n">
        <v>0.731</v>
      </c>
      <c r="Q477" s="120" t="n">
        <v>0.056</v>
      </c>
      <c r="R477" s="117" t="n">
        <v>0</v>
      </c>
      <c r="S477" s="118" t="n">
        <v>-7.049</v>
      </c>
      <c r="T477" s="118" t="n">
        <v>0.001</v>
      </c>
      <c r="U477" s="119" t="inlineStr">
        <is>
          <t>✓ Normal</t>
        </is>
      </c>
      <c r="V477" s="117" t="n">
        <v>1</v>
      </c>
      <c r="W477" s="117" t="n">
        <v>0</v>
      </c>
      <c r="X477" s="117" t="n">
        <v>1</v>
      </c>
      <c r="Y477" s="117" t="n">
        <v>0</v>
      </c>
      <c r="Z477" s="117" t="n">
        <v>0</v>
      </c>
      <c r="AA477" s="117" t="n">
        <v>0</v>
      </c>
      <c r="AB477" s="117" t="n">
        <v>2</v>
      </c>
      <c r="AC477" s="121" t="inlineStr">
        <is>
          <t>⚠ WATCH</t>
        </is>
      </c>
      <c r="AD477" s="118" t="n">
        <v>1272000000</v>
      </c>
      <c r="AE477" s="118" t="n">
        <v>-623000000</v>
      </c>
      <c r="AF477" s="118" t="n">
        <v>684000000</v>
      </c>
      <c r="AG477" s="118" t="n">
        <v>0.002</v>
      </c>
      <c r="AH477" s="119" t="inlineStr">
        <is>
          <t>✓ Medium Quality</t>
        </is>
      </c>
      <c r="AI477" s="118" t="n">
        <v>-0.114</v>
      </c>
      <c r="AJ477" s="120" t="n">
        <v>-0.082</v>
      </c>
      <c r="AK477" s="120" t="n">
        <v>1.389</v>
      </c>
      <c r="AL477" s="120" t="n">
        <v>0.089</v>
      </c>
      <c r="AM477" s="120" t="n">
        <v>-0.001</v>
      </c>
      <c r="AN477" s="118" t="n">
        <v>76</v>
      </c>
      <c r="AO477" s="119" t="inlineStr">
        <is>
          <t>✓ Good</t>
        </is>
      </c>
      <c r="AP477" s="117" t="n">
        <v>1</v>
      </c>
      <c r="AQ477" s="117" t="n">
        <v>1</v>
      </c>
      <c r="AR477" s="117" t="n">
        <v>0</v>
      </c>
      <c r="AS477" s="117" t="n">
        <v>1</v>
      </c>
      <c r="AT477" s="117" t="n">
        <v>0</v>
      </c>
      <c r="AU477" s="117" t="n">
        <v>1</v>
      </c>
      <c r="AV477" s="117" t="n">
        <v>4</v>
      </c>
      <c r="AW477" s="117" t="inlineStr">
        <is>
          <t>⚠⚠ MULTIPLE RED FLAGS</t>
        </is>
      </c>
      <c r="AX477" s="118" t="n">
        <v>17.5</v>
      </c>
      <c r="AY477" s="119" t="inlineStr">
        <is>
          <t>🟢 VERY LOW RISK</t>
        </is>
      </c>
      <c r="AZ477" s="118" t="n">
        <v>39</v>
      </c>
      <c r="BA477" s="118" t="n">
        <v>40.4</v>
      </c>
      <c r="BB477" s="118" t="n">
        <v>203</v>
      </c>
      <c r="BC477" s="118" t="n">
        <v>179.4</v>
      </c>
      <c r="BD477" s="118" t="n">
        <v>48.3</v>
      </c>
      <c r="BE477" s="118" t="n">
        <v>36.9</v>
      </c>
      <c r="BF477" s="120" t="n">
        <v>-0.089</v>
      </c>
      <c r="BG477" s="117" t="n">
        <v>0.731</v>
      </c>
      <c r="BH477" s="122" t="n">
        <v>6</v>
      </c>
      <c r="BI477" s="123" t="n">
        <v>1</v>
      </c>
    </row>
    <row r="478" ht="17" customHeight="1">
      <c r="A478" s="117" t="inlineStr">
        <is>
          <t>EME</t>
        </is>
      </c>
      <c r="B478" s="117" t="inlineStr">
        <is>
          <t>EMCOR Group, Inc.</t>
        </is>
      </c>
      <c r="C478" s="118" t="n">
        <v>1.017</v>
      </c>
      <c r="D478" s="118" t="n">
        <v>0.982</v>
      </c>
      <c r="E478" s="118" t="n">
        <v>1.215</v>
      </c>
      <c r="F478" s="118" t="n">
        <v>1.166</v>
      </c>
      <c r="G478" s="118" t="n">
        <v>1.093</v>
      </c>
      <c r="H478" s="118" t="n">
        <v>1.035</v>
      </c>
      <c r="I478" s="118" t="n">
        <v>0.976</v>
      </c>
      <c r="J478" s="118" t="n">
        <v>-0.003</v>
      </c>
      <c r="K478" s="118" t="n">
        <v>-2.241</v>
      </c>
      <c r="L478" s="119" t="inlineStr">
        <is>
          <t>✓ Lower Risk</t>
        </is>
      </c>
      <c r="M478" s="120" t="n">
        <v>0.001</v>
      </c>
      <c r="N478" s="120" t="n">
        <v>0.274</v>
      </c>
      <c r="O478" s="124" t="inlineStr">
        <is>
          <t>N/A</t>
        </is>
      </c>
      <c r="P478" s="120" t="n">
        <v>0.853</v>
      </c>
      <c r="Q478" s="120" t="n">
        <v>0.006</v>
      </c>
      <c r="R478" s="117" t="n">
        <v>0</v>
      </c>
      <c r="S478" s="118" t="n">
        <v>-5.516</v>
      </c>
      <c r="T478" s="118" t="n">
        <v>0.004</v>
      </c>
      <c r="U478" s="119" t="inlineStr">
        <is>
          <t>✓ Normal</t>
        </is>
      </c>
      <c r="V478" s="117" t="n">
        <v>1</v>
      </c>
      <c r="W478" s="117" t="n">
        <v>1</v>
      </c>
      <c r="X478" s="117" t="n">
        <v>0</v>
      </c>
      <c r="Y478" s="117" t="n">
        <v>0</v>
      </c>
      <c r="Z478" s="117" t="n">
        <v>1</v>
      </c>
      <c r="AA478" s="117" t="n">
        <v>1</v>
      </c>
      <c r="AB478" s="117" t="n">
        <v>4</v>
      </c>
      <c r="AC478" s="121" t="inlineStr">
        <is>
          <t>⚠⚠ SERIOUS CONCERN</t>
        </is>
      </c>
      <c r="AD478" s="118" t="n">
        <v>1302063000</v>
      </c>
      <c r="AE478" s="118" t="n">
        <v>-873586000</v>
      </c>
      <c r="AF478" s="118" t="n">
        <v>1272817000</v>
      </c>
      <c r="AG478" s="118" t="n">
        <v>0.099</v>
      </c>
      <c r="AH478" s="119" t="inlineStr">
        <is>
          <t>✓ Medium Quality</t>
        </is>
      </c>
      <c r="AI478" s="118" t="n">
        <v>0.186</v>
      </c>
      <c r="AJ478" s="120" t="n">
        <v>0.166</v>
      </c>
      <c r="AK478" s="120" t="n">
        <v>1.116</v>
      </c>
      <c r="AL478" s="120" t="n">
        <v>0.077</v>
      </c>
      <c r="AM478" s="120" t="n">
        <v>-0.003</v>
      </c>
      <c r="AN478" s="118" t="n">
        <v>81.7</v>
      </c>
      <c r="AO478" s="119" t="inlineStr">
        <is>
          <t>✓ Good</t>
        </is>
      </c>
      <c r="AP478" s="117" t="n">
        <v>0</v>
      </c>
      <c r="AQ478" s="117" t="n">
        <v>0</v>
      </c>
      <c r="AR478" s="117" t="n">
        <v>0</v>
      </c>
      <c r="AS478" s="117" t="n">
        <v>1</v>
      </c>
      <c r="AT478" s="117" t="n">
        <v>0</v>
      </c>
      <c r="AU478" s="117" t="n">
        <v>1</v>
      </c>
      <c r="AV478" s="117" t="n">
        <v>2</v>
      </c>
      <c r="AW478" s="121" t="inlineStr">
        <is>
          <t>⚠ WATCH</t>
        </is>
      </c>
      <c r="AX478" s="118" t="n">
        <v>26.3</v>
      </c>
      <c r="AY478" s="119" t="inlineStr">
        <is>
          <t>🟢 LOW RISK</t>
        </is>
      </c>
      <c r="AZ478" s="118" t="n">
        <v>91.09999999999999</v>
      </c>
      <c r="BA478" s="118" t="n">
        <v>89.59999999999999</v>
      </c>
      <c r="BB478" s="124" t="inlineStr">
        <is>
          <t>N/A</t>
        </is>
      </c>
      <c r="BC478" s="124" t="inlineStr">
        <is>
          <t>N/A</t>
        </is>
      </c>
      <c r="BD478" s="118" t="n">
        <v>32.7</v>
      </c>
      <c r="BE478" s="118" t="n">
        <v>29</v>
      </c>
      <c r="BF478" s="120" t="n">
        <v>0.261</v>
      </c>
      <c r="BG478" s="117" t="n">
        <v>0.853</v>
      </c>
      <c r="BH478" s="122" t="n">
        <v>6</v>
      </c>
      <c r="BI478" s="123" t="n">
        <v>1</v>
      </c>
    </row>
    <row r="479" ht="17" customHeight="1">
      <c r="A479" s="117" t="inlineStr">
        <is>
          <t>VRSK</t>
        </is>
      </c>
      <c r="B479" s="117" t="inlineStr">
        <is>
          <t>Verisk Analytics, Inc.</t>
        </is>
      </c>
      <c r="C479" s="118" t="n">
        <v>0.912</v>
      </c>
      <c r="D479" s="118" t="n">
        <v>0.984</v>
      </c>
      <c r="E479" s="118" t="n">
        <v>0.6919999999999999</v>
      </c>
      <c r="F479" s="118" t="n">
        <v>1.066</v>
      </c>
      <c r="G479" s="118" t="n">
        <v>1.005</v>
      </c>
      <c r="H479" s="118" t="n">
        <v>1.051</v>
      </c>
      <c r="I479" s="118" t="n">
        <v>0.974</v>
      </c>
      <c r="J479" s="118" t="n">
        <v>-0.08500000000000001</v>
      </c>
      <c r="K479" s="118" t="n">
        <v>-3.034</v>
      </c>
      <c r="L479" s="119" t="inlineStr">
        <is>
          <t>✓ Lower Risk</t>
        </is>
      </c>
      <c r="M479" s="120" t="n">
        <v>-0.219</v>
      </c>
      <c r="N479" s="120" t="n">
        <v>-0.064</v>
      </c>
      <c r="O479" s="124" t="inlineStr">
        <is>
          <t>N/A</t>
        </is>
      </c>
      <c r="P479" s="120" t="n">
        <v>0.551</v>
      </c>
      <c r="Q479" s="120" t="n">
        <v>-0.078</v>
      </c>
      <c r="R479" s="117" t="n">
        <v>0</v>
      </c>
      <c r="S479" s="118" t="n">
        <v>-7.102</v>
      </c>
      <c r="T479" s="118" t="n">
        <v>0.001</v>
      </c>
      <c r="U479" s="119" t="inlineStr">
        <is>
          <t>✓ Normal</t>
        </is>
      </c>
      <c r="V479" s="117" t="n">
        <v>0</v>
      </c>
      <c r="W479" s="117" t="n">
        <v>0</v>
      </c>
      <c r="X479" s="117" t="n">
        <v>0</v>
      </c>
      <c r="Y479" s="117" t="n">
        <v>0</v>
      </c>
      <c r="Z479" s="117" t="n">
        <v>1</v>
      </c>
      <c r="AA479" s="117" t="n">
        <v>1</v>
      </c>
      <c r="AB479" s="117" t="n">
        <v>2</v>
      </c>
      <c r="AC479" s="121" t="inlineStr">
        <is>
          <t>⚠ WATCH</t>
        </is>
      </c>
      <c r="AD479" s="118" t="n">
        <v>1436000000</v>
      </c>
      <c r="AE479" s="118" t="n">
        <v>-358100000</v>
      </c>
      <c r="AF479" s="118" t="n">
        <v>908300000</v>
      </c>
      <c r="AG479" s="118" t="n">
        <v>-0.032</v>
      </c>
      <c r="AH479" s="119" t="inlineStr">
        <is>
          <t>✓ Medium Quality</t>
        </is>
      </c>
      <c r="AI479" s="118" t="n">
        <v>-0.028</v>
      </c>
      <c r="AJ479" s="120" t="n">
        <v>0.066</v>
      </c>
      <c r="AK479" s="120" t="n">
        <v>-0.424</v>
      </c>
      <c r="AL479" s="120" t="n">
        <v>0.467</v>
      </c>
      <c r="AM479" s="120" t="n">
        <v>-0</v>
      </c>
      <c r="AN479" s="117" t="n">
        <v>100</v>
      </c>
      <c r="AO479" s="119" t="inlineStr">
        <is>
          <t>✓ Good</t>
        </is>
      </c>
      <c r="AP479" s="117" t="n">
        <v>0</v>
      </c>
      <c r="AQ479" s="117" t="n">
        <v>0</v>
      </c>
      <c r="AR479" s="117" t="n">
        <v>0</v>
      </c>
      <c r="AS479" s="117" t="n">
        <v>1</v>
      </c>
      <c r="AT479" s="117" t="n">
        <v>1</v>
      </c>
      <c r="AU479" s="117" t="n">
        <v>1</v>
      </c>
      <c r="AV479" s="117" t="n">
        <v>3</v>
      </c>
      <c r="AW479" s="121" t="inlineStr">
        <is>
          <t>⚠ WATCH</t>
        </is>
      </c>
      <c r="AX479" s="118" t="n">
        <v>15.4</v>
      </c>
      <c r="AY479" s="119" t="inlineStr">
        <is>
          <t>🟢 VERY LOW RISK</t>
        </is>
      </c>
      <c r="AZ479" s="118" t="n">
        <v>50.2</v>
      </c>
      <c r="BA479" s="118" t="n">
        <v>55</v>
      </c>
      <c r="BB479" s="124" t="inlineStr">
        <is>
          <t>N/A</t>
        </is>
      </c>
      <c r="BC479" s="124" t="inlineStr">
        <is>
          <t>N/A</t>
        </is>
      </c>
      <c r="BD479" s="118" t="n">
        <v>125.8</v>
      </c>
      <c r="BE479" s="118" t="n">
        <v>101.2</v>
      </c>
      <c r="BF479" s="120" t="n">
        <v>0.225</v>
      </c>
      <c r="BG479" s="117" t="n">
        <v>0.551</v>
      </c>
      <c r="BH479" s="122" t="n">
        <v>5</v>
      </c>
      <c r="BI479" s="123" t="n">
        <v>1</v>
      </c>
    </row>
    <row r="480" ht="17" customHeight="1">
      <c r="A480" s="117" t="inlineStr">
        <is>
          <t>LNT</t>
        </is>
      </c>
      <c r="B480" s="117" t="inlineStr">
        <is>
          <t>ALLIANT ENERGY CORP</t>
        </is>
      </c>
      <c r="C480" s="118" t="n">
        <v>1.017</v>
      </c>
      <c r="D480" s="118" t="n">
        <v>0.988</v>
      </c>
      <c r="E480" s="118" t="n">
        <v>0.948</v>
      </c>
      <c r="F480" s="118" t="n">
        <v>1.096</v>
      </c>
      <c r="G480" s="118" t="n">
        <v>1.077</v>
      </c>
      <c r="H480" s="124" t="inlineStr">
        <is>
          <t>N/A</t>
        </is>
      </c>
      <c r="I480" s="118" t="n">
        <v>1</v>
      </c>
      <c r="J480" s="118" t="n">
        <v>-0.014</v>
      </c>
      <c r="K480" s="118" t="n">
        <v>-2.293</v>
      </c>
      <c r="L480" s="119" t="inlineStr">
        <is>
          <t>✓ Lower Risk</t>
        </is>
      </c>
      <c r="M480" s="120" t="n">
        <v>-0.002</v>
      </c>
      <c r="N480" s="120" t="n">
        <v>0.129</v>
      </c>
      <c r="O480" s="124" t="inlineStr">
        <is>
          <t>N/A</t>
        </is>
      </c>
      <c r="P480" s="120" t="n">
        <v>0.164</v>
      </c>
      <c r="Q480" s="120" t="n">
        <v>0.002</v>
      </c>
      <c r="R480" s="117" t="n">
        <v>1</v>
      </c>
      <c r="S480" s="118" t="n">
        <v>-4.174</v>
      </c>
      <c r="T480" s="118" t="n">
        <v>0.015</v>
      </c>
      <c r="U480" s="119" t="inlineStr">
        <is>
          <t>✓ Normal</t>
        </is>
      </c>
      <c r="V480" s="117" t="n">
        <v>1</v>
      </c>
      <c r="W480" s="117" t="n">
        <v>1</v>
      </c>
      <c r="X480" s="117" t="n">
        <v>0</v>
      </c>
      <c r="Y480" s="117" t="n">
        <v>1</v>
      </c>
      <c r="Z480" s="117" t="n">
        <v>1</v>
      </c>
      <c r="AA480" s="117" t="n">
        <v>1</v>
      </c>
      <c r="AB480" s="117" t="n">
        <v>5</v>
      </c>
      <c r="AC480" s="121" t="inlineStr">
        <is>
          <t>⚠⚠ SERIOUS CONCERN</t>
        </is>
      </c>
      <c r="AD480" s="118" t="n">
        <v>1169000000</v>
      </c>
      <c r="AE480" s="118" t="n">
        <v>-1896000000</v>
      </c>
      <c r="AF480" s="118" t="n">
        <v>810000000</v>
      </c>
      <c r="AG480" s="118" t="n">
        <v>0.064</v>
      </c>
      <c r="AH480" s="119" t="inlineStr">
        <is>
          <t>✓ Medium Quality</t>
        </is>
      </c>
      <c r="AI480" s="118" t="n">
        <v>0.115</v>
      </c>
      <c r="AJ480" s="120" t="n">
        <v>0.096</v>
      </c>
      <c r="AK480" s="120" t="n">
        <v>1.199</v>
      </c>
      <c r="AL480" s="120" t="n">
        <v>0.268</v>
      </c>
      <c r="AM480" s="124" t="inlineStr">
        <is>
          <t>N/A</t>
        </is>
      </c>
      <c r="AN480" s="118" t="n">
        <v>94</v>
      </c>
      <c r="AO480" s="119" t="inlineStr">
        <is>
          <t>✓ Good</t>
        </is>
      </c>
      <c r="AP480" s="117" t="n">
        <v>0</v>
      </c>
      <c r="AQ480" s="117" t="n">
        <v>0</v>
      </c>
      <c r="AR480" s="117" t="n">
        <v>0</v>
      </c>
      <c r="AS480" s="117" t="n">
        <v>0</v>
      </c>
      <c r="AT480" s="117" t="n">
        <v>0</v>
      </c>
      <c r="AU480" s="117" t="n">
        <v>1</v>
      </c>
      <c r="AV480" s="117" t="n">
        <v>1</v>
      </c>
      <c r="AW480" s="119" t="inlineStr">
        <is>
          <t>✓ Clean</t>
        </is>
      </c>
      <c r="AX480" s="118" t="n">
        <v>29</v>
      </c>
      <c r="AY480" s="119" t="inlineStr">
        <is>
          <t>🟢 LOW RISK</t>
        </is>
      </c>
      <c r="AZ480" s="118" t="n">
        <v>39.8</v>
      </c>
      <c r="BA480" s="118" t="n">
        <v>39.1</v>
      </c>
      <c r="BB480" s="124" t="inlineStr">
        <is>
          <t>N/A</t>
        </is>
      </c>
      <c r="BC480" s="124" t="inlineStr">
        <is>
          <t>N/A</t>
        </is>
      </c>
      <c r="BD480" s="118" t="n">
        <v>290.8</v>
      </c>
      <c r="BE480" s="118" t="n">
        <v>316.8</v>
      </c>
      <c r="BF480" s="120" t="n">
        <v>-0.225</v>
      </c>
      <c r="BG480" s="117" t="n">
        <v>0.164</v>
      </c>
      <c r="BH480" s="122" t="n">
        <v>7</v>
      </c>
      <c r="BI480" s="123" t="n">
        <v>1</v>
      </c>
    </row>
    <row r="481" ht="17" customHeight="1">
      <c r="A481" s="117" t="inlineStr">
        <is>
          <t>D</t>
        </is>
      </c>
      <c r="B481" s="117" t="inlineStr">
        <is>
          <t>DOMINION ENERGY, INC</t>
        </is>
      </c>
      <c r="C481" s="118" t="n">
        <v>0.289</v>
      </c>
      <c r="D481" s="124" t="inlineStr">
        <is>
          <t>N/A</t>
        </is>
      </c>
      <c r="E481" s="118" t="n">
        <v>0.946</v>
      </c>
      <c r="F481" s="118" t="n">
        <v>4.033</v>
      </c>
      <c r="G481" s="118" t="n">
        <v>1.122</v>
      </c>
      <c r="H481" s="124" t="inlineStr">
        <is>
          <t>N/A</t>
        </is>
      </c>
      <c r="I481" s="118" t="n">
        <v>1.009</v>
      </c>
      <c r="J481" s="118" t="n">
        <v>-0.02</v>
      </c>
      <c r="K481" s="124" t="inlineStr">
        <is>
          <t>N/A</t>
        </is>
      </c>
      <c r="L481" s="124" t="inlineStr">
        <is>
          <t>N/A</t>
        </is>
      </c>
      <c r="M481" s="120" t="n">
        <v>-0.017</v>
      </c>
      <c r="N481" s="120" t="n">
        <v>0.029</v>
      </c>
      <c r="O481" s="124" t="inlineStr">
        <is>
          <t>N/A</t>
        </is>
      </c>
      <c r="P481" s="120" t="n">
        <v>0.316</v>
      </c>
      <c r="Q481" s="120" t="n">
        <v>0.02</v>
      </c>
      <c r="R481" s="117" t="n">
        <v>1</v>
      </c>
      <c r="S481" s="118" t="n">
        <v>-4.142</v>
      </c>
      <c r="T481" s="118" t="n">
        <v>0.016</v>
      </c>
      <c r="U481" s="119" t="inlineStr">
        <is>
          <t>✓ Normal</t>
        </is>
      </c>
      <c r="V481" s="117" t="n">
        <v>1</v>
      </c>
      <c r="W481" s="117" t="n">
        <v>0</v>
      </c>
      <c r="X481" s="117" t="n">
        <v>0</v>
      </c>
      <c r="Y481" s="117" t="n">
        <v>1</v>
      </c>
      <c r="Z481" s="117" t="n">
        <v>1</v>
      </c>
      <c r="AA481" s="117" t="n">
        <v>1</v>
      </c>
      <c r="AB481" s="117" t="n">
        <v>4</v>
      </c>
      <c r="AC481" s="121" t="inlineStr">
        <is>
          <t>⚠⚠ SERIOUS CONCERN</t>
        </is>
      </c>
      <c r="AD481" s="118" t="n">
        <v>5361000000</v>
      </c>
      <c r="AE481" s="118" t="n">
        <v>-12969000000</v>
      </c>
      <c r="AF481" s="118" t="n">
        <v>2998000000</v>
      </c>
      <c r="AG481" s="118" t="n">
        <v>0.097</v>
      </c>
      <c r="AH481" s="119" t="inlineStr">
        <is>
          <t>✓ Medium Quality</t>
        </is>
      </c>
      <c r="AI481" s="118" t="n">
        <v>0.167</v>
      </c>
      <c r="AJ481" s="120" t="n">
        <v>3.033</v>
      </c>
      <c r="AK481" s="120" t="n">
        <v>0.055</v>
      </c>
      <c r="AL481" s="120" t="n">
        <v>0.325</v>
      </c>
      <c r="AM481" s="120" t="n">
        <v>-0</v>
      </c>
      <c r="AN481" s="117" t="n">
        <v>100</v>
      </c>
      <c r="AO481" s="119" t="inlineStr">
        <is>
          <t>✓ Good</t>
        </is>
      </c>
      <c r="AP481" s="117" t="n">
        <v>0</v>
      </c>
      <c r="AQ481" s="117" t="n">
        <v>0</v>
      </c>
      <c r="AR481" s="117" t="n">
        <v>0</v>
      </c>
      <c r="AS481" s="117" t="n">
        <v>0</v>
      </c>
      <c r="AT481" s="117" t="n">
        <v>0</v>
      </c>
      <c r="AU481" s="117" t="n">
        <v>0</v>
      </c>
      <c r="AV481" s="117" t="n">
        <v>0</v>
      </c>
      <c r="AW481" s="119" t="inlineStr">
        <is>
          <t>✓ Clean</t>
        </is>
      </c>
      <c r="AX481" s="118" t="n">
        <v>32.1</v>
      </c>
      <c r="AY481" s="119" t="inlineStr">
        <is>
          <t>🟢 LOW RISK</t>
        </is>
      </c>
      <c r="AZ481" s="118" t="n">
        <v>56</v>
      </c>
      <c r="BA481" s="118" t="n">
        <v>193.4</v>
      </c>
      <c r="BB481" s="124" t="inlineStr">
        <is>
          <t>N/A</t>
        </is>
      </c>
      <c r="BC481" s="124" t="inlineStr">
        <is>
          <t>N/A</t>
        </is>
      </c>
      <c r="BD481" s="124" t="inlineStr">
        <is>
          <t>N/A</t>
        </is>
      </c>
      <c r="BE481" s="124" t="inlineStr">
        <is>
          <t>N/A</t>
        </is>
      </c>
      <c r="BF481" s="120" t="n">
        <v>0.147</v>
      </c>
      <c r="BG481" s="117" t="n">
        <v>0.316</v>
      </c>
      <c r="BH481" s="122" t="n">
        <v>5</v>
      </c>
      <c r="BI481" s="123" t="n">
        <v>0.8333333333333334</v>
      </c>
    </row>
    <row r="482" ht="17" customHeight="1">
      <c r="A482" s="117" t="inlineStr">
        <is>
          <t>GM</t>
        </is>
      </c>
      <c r="B482" s="117" t="inlineStr">
        <is>
          <t>GENERAL MOTORS COMPANY</t>
        </is>
      </c>
      <c r="C482" s="118" t="n">
        <v>1.031</v>
      </c>
      <c r="D482" s="118" t="n">
        <v>-1.362</v>
      </c>
      <c r="E482" s="118" t="n">
        <v>0.973</v>
      </c>
      <c r="F482" s="118" t="n">
        <v>0.987</v>
      </c>
      <c r="G482" s="118" t="n">
        <v>1.041</v>
      </c>
      <c r="H482" s="118" t="n">
        <v>1.231</v>
      </c>
      <c r="I482" s="118" t="n">
        <v>1.013</v>
      </c>
      <c r="J482" s="118" t="n">
        <v>-0.08599999999999999</v>
      </c>
      <c r="K482" s="118" t="n">
        <v>-4.163</v>
      </c>
      <c r="L482" s="119" t="inlineStr">
        <is>
          <t>✓ Lower Risk</t>
        </is>
      </c>
      <c r="M482" s="120" t="n">
        <v>-0.035</v>
      </c>
      <c r="N482" s="120" t="n">
        <v>0.094</v>
      </c>
      <c r="O482" s="120" t="n">
        <v>-0.04</v>
      </c>
      <c r="P482" s="120" t="n">
        <v>0.765</v>
      </c>
      <c r="Q482" s="120" t="n">
        <v>-0.012</v>
      </c>
      <c r="R482" s="117" t="n">
        <v>0</v>
      </c>
      <c r="S482" s="118" t="n">
        <v>-6.214</v>
      </c>
      <c r="T482" s="118" t="n">
        <v>0.002</v>
      </c>
      <c r="U482" s="119" t="inlineStr">
        <is>
          <t>✓ Normal</t>
        </is>
      </c>
      <c r="V482" s="117" t="n">
        <v>0</v>
      </c>
      <c r="W482" s="117" t="n">
        <v>1</v>
      </c>
      <c r="X482" s="117" t="n">
        <v>1</v>
      </c>
      <c r="Y482" s="117" t="n">
        <v>1</v>
      </c>
      <c r="Z482" s="117" t="n">
        <v>0</v>
      </c>
      <c r="AA482" s="117" t="n">
        <v>0</v>
      </c>
      <c r="AB482" s="117" t="n">
        <v>3</v>
      </c>
      <c r="AC482" s="121" t="inlineStr">
        <is>
          <t>⚠ WATCH</t>
        </is>
      </c>
      <c r="AD482" s="118" t="n">
        <v>26867000000</v>
      </c>
      <c r="AE482" s="118" t="n">
        <v>-16134000000</v>
      </c>
      <c r="AF482" s="118" t="n">
        <v>2697000000</v>
      </c>
      <c r="AG482" s="118" t="n">
        <v>-0.029</v>
      </c>
      <c r="AH482" s="119" t="inlineStr">
        <is>
          <t>✓ Medium Quality</t>
        </is>
      </c>
      <c r="AI482" s="118" t="n">
        <v>0.018</v>
      </c>
      <c r="AJ482" s="120" t="n">
        <v>-0.013</v>
      </c>
      <c r="AK482" s="120" t="n">
        <v>-1.369</v>
      </c>
      <c r="AL482" s="120" t="n">
        <v>0.145</v>
      </c>
      <c r="AM482" s="120" t="n">
        <v>0.001</v>
      </c>
      <c r="AN482" s="118" t="n">
        <v>99.09999999999999</v>
      </c>
      <c r="AO482" s="119" t="inlineStr">
        <is>
          <t>✓ Good</t>
        </is>
      </c>
      <c r="AP482" s="117" t="n">
        <v>1</v>
      </c>
      <c r="AQ482" s="117" t="n">
        <v>1</v>
      </c>
      <c r="AR482" s="117" t="n">
        <v>1</v>
      </c>
      <c r="AS482" s="117" t="n">
        <v>1</v>
      </c>
      <c r="AT482" s="117" t="n">
        <v>0</v>
      </c>
      <c r="AU482" s="117" t="n">
        <v>1</v>
      </c>
      <c r="AV482" s="117" t="n">
        <v>5</v>
      </c>
      <c r="AW482" s="117" t="inlineStr">
        <is>
          <t>⚠⚠ MULTIPLE RED FLAGS</t>
        </is>
      </c>
      <c r="AX482" s="118" t="n">
        <v>17.1</v>
      </c>
      <c r="AY482" s="119" t="inlineStr">
        <is>
          <t>🟢 VERY LOW RISK</t>
        </is>
      </c>
      <c r="AZ482" s="118" t="n">
        <v>25.8</v>
      </c>
      <c r="BA482" s="118" t="n">
        <v>25</v>
      </c>
      <c r="BB482" s="118" t="n">
        <v>52.5</v>
      </c>
      <c r="BC482" s="118" t="n">
        <v>54.5</v>
      </c>
      <c r="BD482" s="118" t="n">
        <v>86.8</v>
      </c>
      <c r="BE482" s="118" t="n">
        <v>96.09999999999999</v>
      </c>
      <c r="BF482" s="120" t="n">
        <v>0.108</v>
      </c>
      <c r="BG482" s="117" t="n">
        <v>0.765</v>
      </c>
      <c r="BH482" s="122" t="n">
        <v>8</v>
      </c>
      <c r="BI482" s="123" t="n">
        <v>1</v>
      </c>
    </row>
    <row r="483" ht="17" customHeight="1">
      <c r="A483" s="117" t="inlineStr">
        <is>
          <t>AMBA</t>
        </is>
      </c>
      <c r="B483" s="117" t="inlineStr">
        <is>
          <t>AMBARELLA, INC.</t>
        </is>
      </c>
      <c r="C483" s="118" t="n">
        <v>1.383</v>
      </c>
      <c r="D483" s="118" t="n">
        <v>0.709</v>
      </c>
      <c r="E483" s="118" t="n">
        <v>0.905</v>
      </c>
      <c r="F483" s="118" t="n">
        <v>0.952</v>
      </c>
      <c r="G483" s="118" t="n">
        <v>1.007</v>
      </c>
      <c r="H483" s="118" t="n">
        <v>1.086</v>
      </c>
      <c r="I483" s="118" t="n">
        <v>1.378</v>
      </c>
      <c r="J483" s="118" t="n">
        <v>-0.187</v>
      </c>
      <c r="K483" s="118" t="n">
        <v>-3.376</v>
      </c>
      <c r="L483" s="119" t="inlineStr">
        <is>
          <t>✓ Lower Risk</t>
        </is>
      </c>
      <c r="M483" s="120" t="n">
        <v>-0.048</v>
      </c>
      <c r="N483" s="120" t="n">
        <v>0.632</v>
      </c>
      <c r="O483" s="120" t="n">
        <v>1.196</v>
      </c>
      <c r="P483" s="120" t="n">
        <v>0.746</v>
      </c>
      <c r="Q483" s="120" t="n">
        <v>0.075</v>
      </c>
      <c r="R483" s="117" t="n">
        <v>1</v>
      </c>
      <c r="S483" s="118" t="n">
        <v>-0.397</v>
      </c>
      <c r="T483" s="118" t="n">
        <v>0.402</v>
      </c>
      <c r="U483" s="121" t="inlineStr">
        <is>
          <t>⚠ HIGH RISK</t>
        </is>
      </c>
      <c r="V483" s="117" t="n">
        <v>0</v>
      </c>
      <c r="W483" s="117" t="n">
        <v>1</v>
      </c>
      <c r="X483" s="117" t="n">
        <v>1</v>
      </c>
      <c r="Y483" s="117" t="n">
        <v>0</v>
      </c>
      <c r="Z483" s="117" t="n">
        <v>0</v>
      </c>
      <c r="AA483" s="117" t="n">
        <v>1</v>
      </c>
      <c r="AB483" s="117" t="n">
        <v>3</v>
      </c>
      <c r="AC483" s="121" t="inlineStr">
        <is>
          <t>⚠ WATCH</t>
        </is>
      </c>
      <c r="AD483" s="118" t="n">
        <v>73519000</v>
      </c>
      <c r="AE483" s="118" t="n">
        <v>-30494000</v>
      </c>
      <c r="AF483" s="118" t="n">
        <v>-75865000</v>
      </c>
      <c r="AG483" s="118" t="n">
        <v>-0.16</v>
      </c>
      <c r="AH483" s="119" t="inlineStr">
        <is>
          <t>✓ High Quality</t>
        </is>
      </c>
      <c r="AI483" s="118" t="n">
        <v>0.316</v>
      </c>
      <c r="AJ483" s="120" t="n">
        <v>-0.048</v>
      </c>
      <c r="AK483" s="120" t="n">
        <v>-6.588</v>
      </c>
      <c r="AL483" s="120" t="n">
        <v>0.249</v>
      </c>
      <c r="AM483" s="120" t="n">
        <v>-0.024</v>
      </c>
      <c r="AN483" s="118" t="n">
        <v>98.8</v>
      </c>
      <c r="AO483" s="119" t="inlineStr">
        <is>
          <t>✓ Good</t>
        </is>
      </c>
      <c r="AP483" s="117" t="n">
        <v>1</v>
      </c>
      <c r="AQ483" s="117" t="n">
        <v>1</v>
      </c>
      <c r="AR483" s="117" t="n">
        <v>0</v>
      </c>
      <c r="AS483" s="117" t="n">
        <v>1</v>
      </c>
      <c r="AT483" s="117" t="n">
        <v>0</v>
      </c>
      <c r="AU483" s="117" t="n">
        <v>1</v>
      </c>
      <c r="AV483" s="117" t="n">
        <v>4</v>
      </c>
      <c r="AW483" s="117" t="inlineStr">
        <is>
          <t>⚠⚠ MULTIPLE RED FLAGS</t>
        </is>
      </c>
      <c r="AX483" s="118" t="n">
        <v>51</v>
      </c>
      <c r="AY483" s="121" t="inlineStr">
        <is>
          <t>🟡 ELEVATED RISK</t>
        </is>
      </c>
      <c r="AZ483" s="118" t="n">
        <v>48.4</v>
      </c>
      <c r="BA483" s="118" t="n">
        <v>35</v>
      </c>
      <c r="BB483" s="118" t="n">
        <v>119.6</v>
      </c>
      <c r="BC483" s="118" t="n">
        <v>111.7</v>
      </c>
      <c r="BD483" s="118" t="n">
        <v>123.7</v>
      </c>
      <c r="BE483" s="118" t="n">
        <v>70.59999999999999</v>
      </c>
      <c r="BF483" s="120" t="n">
        <v>-0.029</v>
      </c>
      <c r="BG483" s="117" t="n">
        <v>0.746</v>
      </c>
      <c r="BH483" s="122" t="n">
        <v>8</v>
      </c>
      <c r="BI483" s="123" t="n">
        <v>1</v>
      </c>
    </row>
    <row r="484" ht="17" customHeight="1">
      <c r="A484" s="117" t="inlineStr">
        <is>
          <t>PCAR</t>
        </is>
      </c>
      <c r="B484" s="117" t="inlineStr">
        <is>
          <t>PACCAR Inc</t>
        </is>
      </c>
      <c r="C484" s="124" t="inlineStr">
        <is>
          <t>N/A</t>
        </is>
      </c>
      <c r="D484" s="118" t="n">
        <v>1.124</v>
      </c>
      <c r="E484" s="118" t="n">
        <v>0.989</v>
      </c>
      <c r="F484" s="118" t="n">
        <v>0.845</v>
      </c>
      <c r="G484" s="118" t="n">
        <v>1.205</v>
      </c>
      <c r="H484" s="118" t="n">
        <v>1.17</v>
      </c>
      <c r="I484" s="118" t="n">
        <v>1</v>
      </c>
      <c r="J484" s="118" t="n">
        <v>-0.046</v>
      </c>
      <c r="K484" s="124" t="inlineStr">
        <is>
          <t>N/A</t>
        </is>
      </c>
      <c r="L484" s="124" t="inlineStr">
        <is>
          <t>N/A</t>
        </is>
      </c>
      <c r="M484" s="124" t="inlineStr">
        <is>
          <t>N/A</t>
        </is>
      </c>
      <c r="N484" s="124" t="inlineStr">
        <is>
          <t>N/A</t>
        </is>
      </c>
      <c r="O484" s="124" t="inlineStr">
        <is>
          <t>N/A</t>
        </is>
      </c>
      <c r="P484" s="120" t="n">
        <v>0.821</v>
      </c>
      <c r="Q484" s="120" t="n">
        <v>-0.042</v>
      </c>
      <c r="R484" s="117" t="n">
        <v>1</v>
      </c>
      <c r="S484" s="124" t="inlineStr">
        <is>
          <t>N/A</t>
        </is>
      </c>
      <c r="T484" s="124" t="inlineStr">
        <is>
          <t>N/A</t>
        </is>
      </c>
      <c r="U484" s="124" t="inlineStr">
        <is>
          <t>N/A</t>
        </is>
      </c>
      <c r="V484" s="117" t="n">
        <v>0</v>
      </c>
      <c r="W484" s="117" t="n">
        <v>0</v>
      </c>
      <c r="X484" s="117" t="n">
        <v>0</v>
      </c>
      <c r="Y484" s="117" t="n">
        <v>0</v>
      </c>
      <c r="Z484" s="117" t="n">
        <v>1</v>
      </c>
      <c r="AA484" s="117" t="n">
        <v>0</v>
      </c>
      <c r="AB484" s="117" t="n">
        <v>1</v>
      </c>
      <c r="AC484" s="119" t="inlineStr">
        <is>
          <t>✓ Clean</t>
        </is>
      </c>
      <c r="AD484" s="118" t="n">
        <v>4415800000</v>
      </c>
      <c r="AE484" s="118" t="n">
        <v>-2267200000</v>
      </c>
      <c r="AF484" s="118" t="n">
        <v>2375800000</v>
      </c>
      <c r="AG484" s="118" t="n">
        <v>0.005</v>
      </c>
      <c r="AH484" s="119" t="inlineStr">
        <is>
          <t>✓ Medium Quality</t>
        </is>
      </c>
      <c r="AI484" s="124" t="inlineStr">
        <is>
          <t>N/A</t>
        </is>
      </c>
      <c r="AJ484" s="120" t="n">
        <v>-0.155</v>
      </c>
      <c r="AK484" s="124" t="inlineStr">
        <is>
          <t>N/A</t>
        </is>
      </c>
      <c r="AL484" s="120" t="n">
        <v>0.155</v>
      </c>
      <c r="AM484" s="120" t="n">
        <v>0.003</v>
      </c>
      <c r="AN484" s="117" t="n">
        <v>100</v>
      </c>
      <c r="AO484" s="119" t="inlineStr">
        <is>
          <t>✓ Good</t>
        </is>
      </c>
      <c r="AP484" s="117" t="n">
        <v>0</v>
      </c>
      <c r="AQ484" s="117" t="n">
        <v>0</v>
      </c>
      <c r="AR484" s="117" t="n">
        <v>1</v>
      </c>
      <c r="AS484" s="117" t="n">
        <v>1</v>
      </c>
      <c r="AT484" s="117" t="n">
        <v>0</v>
      </c>
      <c r="AU484" s="117" t="n">
        <v>1</v>
      </c>
      <c r="AV484" s="117" t="n">
        <v>3</v>
      </c>
      <c r="AW484" s="121" t="inlineStr">
        <is>
          <t>⚠ WATCH</t>
        </is>
      </c>
      <c r="AX484" s="118" t="n">
        <v>28</v>
      </c>
      <c r="AY484" s="119" t="inlineStr">
        <is>
          <t>🟢 LOW RISK</t>
        </is>
      </c>
      <c r="AZ484" s="118" t="n">
        <v>0</v>
      </c>
      <c r="BA484" s="124" t="inlineStr">
        <is>
          <t>N/A</t>
        </is>
      </c>
      <c r="BB484" s="124" t="inlineStr">
        <is>
          <t>N/A</t>
        </is>
      </c>
      <c r="BC484" s="124" t="inlineStr">
        <is>
          <t>N/A</t>
        </is>
      </c>
      <c r="BD484" s="124" t="inlineStr">
        <is>
          <t>N/A</t>
        </is>
      </c>
      <c r="BE484" s="124" t="inlineStr">
        <is>
          <t>N/A</t>
        </is>
      </c>
      <c r="BF484" s="120" t="n">
        <v>0.214</v>
      </c>
      <c r="BG484" s="117" t="n">
        <v>0.821</v>
      </c>
      <c r="BH484" s="122" t="n">
        <v>5</v>
      </c>
      <c r="BI484" s="125" t="n">
        <v>0.6666666666666666</v>
      </c>
    </row>
    <row r="485" ht="17" customHeight="1">
      <c r="A485" s="129" t="inlineStr">
        <is>
          <t>DVN</t>
        </is>
      </c>
      <c r="B485" s="129" t="inlineStr">
        <is>
          <t>DEVON ENERGY CORP/DE</t>
        </is>
      </c>
      <c r="C485" s="130" t="n">
        <v>0.843</v>
      </c>
      <c r="D485" s="130" t="n">
        <v>0.868</v>
      </c>
      <c r="E485" s="130" t="n">
        <v>1.023</v>
      </c>
      <c r="F485" s="130" t="n">
        <v>1.078</v>
      </c>
      <c r="G485" s="130" t="n">
        <v>0.929</v>
      </c>
      <c r="H485" s="130" t="n">
        <v>0.913</v>
      </c>
      <c r="I485" s="130" t="n">
        <v>1</v>
      </c>
      <c r="J485" s="130" t="n">
        <v>-0.129</v>
      </c>
      <c r="K485" s="130" t="n">
        <v>-3.211</v>
      </c>
      <c r="L485" s="119" t="inlineStr">
        <is>
          <t>✓ Lower Risk</t>
        </is>
      </c>
      <c r="M485" s="131" t="n">
        <v>-0.138</v>
      </c>
      <c r="N485" s="131" t="n">
        <v>-0.144</v>
      </c>
      <c r="O485" s="131" t="n">
        <v>0.034</v>
      </c>
      <c r="P485" s="131" t="n">
        <v>0.152</v>
      </c>
      <c r="Q485" s="131" t="n">
        <v>-0.011</v>
      </c>
      <c r="R485" s="129" t="n">
        <v>0</v>
      </c>
      <c r="S485" s="130" t="n">
        <v>-8.02</v>
      </c>
      <c r="T485" s="130" t="n">
        <v>0</v>
      </c>
      <c r="U485" s="119" t="inlineStr">
        <is>
          <t>✓ Normal</t>
        </is>
      </c>
      <c r="V485" s="129" t="n">
        <v>0</v>
      </c>
      <c r="W485" s="129" t="n">
        <v>0</v>
      </c>
      <c r="X485" s="129" t="n">
        <v>1</v>
      </c>
      <c r="Y485" s="129" t="n">
        <v>0</v>
      </c>
      <c r="Z485" s="129" t="n">
        <v>0</v>
      </c>
      <c r="AA485" s="129" t="n">
        <v>0</v>
      </c>
      <c r="AB485" s="129" t="n">
        <v>1</v>
      </c>
      <c r="AC485" s="119" t="inlineStr">
        <is>
          <t>✓ Clean</t>
        </is>
      </c>
      <c r="AD485" s="130" t="n">
        <v>6711000000</v>
      </c>
      <c r="AE485" s="130" t="n">
        <v>-3393000000</v>
      </c>
      <c r="AF485" s="130" t="n">
        <v>2642000000</v>
      </c>
      <c r="AG485" s="130" t="n">
        <v>-0.022</v>
      </c>
      <c r="AH485" s="119" t="inlineStr">
        <is>
          <t>✓ Medium Quality</t>
        </is>
      </c>
      <c r="AI485" s="130" t="n">
        <v>-0.091</v>
      </c>
      <c r="AJ485" s="131" t="n">
        <v>0.078</v>
      </c>
      <c r="AK485" s="131" t="n">
        <v>-1.166</v>
      </c>
      <c r="AL485" s="131" t="n">
        <v>0.39</v>
      </c>
      <c r="AM485" s="124" t="inlineStr">
        <is>
          <t>N/A</t>
        </is>
      </c>
      <c r="AN485" s="129" t="n">
        <v>100</v>
      </c>
      <c r="AO485" s="119" t="inlineStr">
        <is>
          <t>✓ Good</t>
        </is>
      </c>
      <c r="AP485" s="129" t="n">
        <v>0</v>
      </c>
      <c r="AQ485" s="129" t="n">
        <v>0</v>
      </c>
      <c r="AR485" s="129" t="n">
        <v>0</v>
      </c>
      <c r="AS485" s="129" t="n">
        <v>0</v>
      </c>
      <c r="AT485" s="129" t="n">
        <v>0</v>
      </c>
      <c r="AU485" s="129" t="n">
        <v>0</v>
      </c>
      <c r="AV485" s="129" t="n">
        <v>0</v>
      </c>
      <c r="AW485" s="119" t="inlineStr">
        <is>
          <t>✓ Clean</t>
        </is>
      </c>
      <c r="AX485" s="130" t="n">
        <v>8.699999999999999</v>
      </c>
      <c r="AY485" s="119" t="inlineStr">
        <is>
          <t>🟢 VERY LOW RISK</t>
        </is>
      </c>
      <c r="AZ485" s="130" t="n">
        <v>38.1</v>
      </c>
      <c r="BA485" s="130" t="n">
        <v>45.2</v>
      </c>
      <c r="BB485" s="130" t="n">
        <v>43.6</v>
      </c>
      <c r="BC485" s="130" t="n">
        <v>24.6</v>
      </c>
      <c r="BD485" s="130" t="n">
        <v>159.1</v>
      </c>
      <c r="BE485" s="124" t="inlineStr">
        <is>
          <t>N/A</t>
        </is>
      </c>
      <c r="BF485" s="131" t="n">
        <v>0.226</v>
      </c>
      <c r="BG485" s="129" t="n">
        <v>0.152</v>
      </c>
      <c r="BH485" s="129" t="n">
        <v>1</v>
      </c>
      <c r="BI485" s="123" t="n">
        <v>1</v>
      </c>
    </row>
    <row r="486" ht="17" customHeight="1">
      <c r="A486" s="117" t="inlineStr">
        <is>
          <t>SM</t>
        </is>
      </c>
      <c r="B486" s="117" t="inlineStr">
        <is>
          <t>SM ENERGY CO</t>
        </is>
      </c>
      <c r="C486" s="118" t="n">
        <v>0.782</v>
      </c>
      <c r="D486" s="118" t="n">
        <v>0.973</v>
      </c>
      <c r="E486" s="118" t="n">
        <v>1.491</v>
      </c>
      <c r="F486" s="118" t="n">
        <v>1.172</v>
      </c>
      <c r="G486" s="118" t="n">
        <v>0.886</v>
      </c>
      <c r="H486" s="118" t="n">
        <v>0.993</v>
      </c>
      <c r="I486" s="118" t="n">
        <v>1</v>
      </c>
      <c r="J486" s="118" t="n">
        <v>-0.147</v>
      </c>
      <c r="K486" s="118" t="n">
        <v>-3.044</v>
      </c>
      <c r="L486" s="119" t="inlineStr">
        <is>
          <t>✓ Lower Risk</t>
        </is>
      </c>
      <c r="M486" s="120" t="n">
        <v>-0.043</v>
      </c>
      <c r="N486" s="120" t="n">
        <v>-0.065</v>
      </c>
      <c r="O486" s="124" t="inlineStr">
        <is>
          <t>N/A</t>
        </is>
      </c>
      <c r="P486" s="120" t="n">
        <v>0.074</v>
      </c>
      <c r="Q486" s="120" t="n">
        <v>-0.02</v>
      </c>
      <c r="R486" s="117" t="n">
        <v>1</v>
      </c>
      <c r="S486" s="118" t="n">
        <v>-4.861</v>
      </c>
      <c r="T486" s="118" t="n">
        <v>0.008</v>
      </c>
      <c r="U486" s="119" t="inlineStr">
        <is>
          <t>✓ Normal</t>
        </is>
      </c>
      <c r="V486" s="117" t="n">
        <v>0</v>
      </c>
      <c r="W486" s="117" t="n">
        <v>0</v>
      </c>
      <c r="X486" s="117" t="n">
        <v>0</v>
      </c>
      <c r="Y486" s="117" t="n">
        <v>1</v>
      </c>
      <c r="Z486" s="117" t="n">
        <v>0</v>
      </c>
      <c r="AA486" s="117" t="n">
        <v>0</v>
      </c>
      <c r="AB486" s="117" t="n">
        <v>1</v>
      </c>
      <c r="AC486" s="119" t="inlineStr">
        <is>
          <t>✓ Clean</t>
        </is>
      </c>
      <c r="AD486" s="118" t="n">
        <v>2011000000</v>
      </c>
      <c r="AE486" s="118" t="n">
        <v>-1468000000</v>
      </c>
      <c r="AF486" s="118" t="n">
        <v>648000000</v>
      </c>
      <c r="AG486" s="118" t="n">
        <v>0.012</v>
      </c>
      <c r="AH486" s="119" t="inlineStr">
        <is>
          <t>✓ Medium Quality</t>
        </is>
      </c>
      <c r="AI486" s="118" t="n">
        <v>-0.083</v>
      </c>
      <c r="AJ486" s="120" t="n">
        <v>0.172</v>
      </c>
      <c r="AK486" s="120" t="n">
        <v>-0.482</v>
      </c>
      <c r="AL486" s="120" t="n">
        <v>0.638</v>
      </c>
      <c r="AM486" s="124" t="inlineStr">
        <is>
          <t>N/A</t>
        </is>
      </c>
      <c r="AN486" s="117" t="n">
        <v>100</v>
      </c>
      <c r="AO486" s="119" t="inlineStr">
        <is>
          <t>✓ Good</t>
        </is>
      </c>
      <c r="AP486" s="117" t="n">
        <v>0</v>
      </c>
      <c r="AQ486" s="117" t="n">
        <v>0</v>
      </c>
      <c r="AR486" s="117" t="n">
        <v>0</v>
      </c>
      <c r="AS486" s="117" t="n">
        <v>0</v>
      </c>
      <c r="AT486" s="117" t="n">
        <v>0</v>
      </c>
      <c r="AU486" s="117" t="n">
        <v>0</v>
      </c>
      <c r="AV486" s="117" t="n">
        <v>0</v>
      </c>
      <c r="AW486" s="119" t="inlineStr">
        <is>
          <t>✓ Clean</t>
        </is>
      </c>
      <c r="AX486" s="118" t="n">
        <v>10.1</v>
      </c>
      <c r="AY486" s="119" t="inlineStr">
        <is>
          <t>🟢 VERY LOW RISK</t>
        </is>
      </c>
      <c r="AZ486" s="118" t="n">
        <v>38.3</v>
      </c>
      <c r="BA486" s="118" t="n">
        <v>49</v>
      </c>
      <c r="BB486" s="124" t="inlineStr">
        <is>
          <t>N/A</t>
        </is>
      </c>
      <c r="BC486" s="124" t="inlineStr">
        <is>
          <t>N/A</t>
        </is>
      </c>
      <c r="BD486" s="118" t="n">
        <v>56.1</v>
      </c>
      <c r="BE486" s="118" t="n">
        <v>61.8</v>
      </c>
      <c r="BF486" s="120" t="n">
        <v>0.219</v>
      </c>
      <c r="BG486" s="117" t="n">
        <v>0.074</v>
      </c>
      <c r="BH486" s="122" t="n">
        <v>2</v>
      </c>
      <c r="BI486" s="123" t="n">
        <v>1</v>
      </c>
    </row>
    <row r="487" ht="17" customHeight="1">
      <c r="A487" s="117" t="inlineStr">
        <is>
          <t>EG</t>
        </is>
      </c>
      <c r="B487" s="117" t="inlineStr">
        <is>
          <t>EVEREST GROUP, LTD.</t>
        </is>
      </c>
      <c r="C487" s="124" t="inlineStr">
        <is>
          <t>N/A</t>
        </is>
      </c>
      <c r="D487" s="118" t="n">
        <v>0.802</v>
      </c>
      <c r="E487" s="124" t="inlineStr">
        <is>
          <t>N/A</t>
        </is>
      </c>
      <c r="F487" s="118" t="n">
        <v>1.012</v>
      </c>
      <c r="G487" s="124" t="inlineStr">
        <is>
          <t>N/A</t>
        </is>
      </c>
      <c r="H487" s="118" t="n">
        <v>0.981</v>
      </c>
      <c r="I487" s="118" t="n">
        <v>0.999</v>
      </c>
      <c r="J487" s="118" t="n">
        <v>-0.024</v>
      </c>
      <c r="K487" s="124" t="inlineStr">
        <is>
          <t>N/A</t>
        </is>
      </c>
      <c r="L487" s="124" t="inlineStr">
        <is>
          <t>N/A</t>
        </is>
      </c>
      <c r="M487" s="124" t="inlineStr">
        <is>
          <t>N/A</t>
        </is>
      </c>
      <c r="N487" s="124" t="inlineStr">
        <is>
          <t>N/A</t>
        </is>
      </c>
      <c r="O487" s="124" t="inlineStr">
        <is>
          <t>N/A</t>
        </is>
      </c>
      <c r="P487" s="120" t="n">
        <v>0.99</v>
      </c>
      <c r="Q487" s="120" t="n">
        <v>0.001</v>
      </c>
      <c r="R487" s="117" t="n">
        <v>1</v>
      </c>
      <c r="S487" s="124" t="inlineStr">
        <is>
          <t>N/A</t>
        </is>
      </c>
      <c r="T487" s="124" t="inlineStr">
        <is>
          <t>N/A</t>
        </is>
      </c>
      <c r="U487" s="124" t="inlineStr">
        <is>
          <t>N/A</t>
        </is>
      </c>
      <c r="V487" s="117" t="n">
        <v>1</v>
      </c>
      <c r="W487" s="117" t="n">
        <v>0</v>
      </c>
      <c r="X487" s="117" t="n">
        <v>0</v>
      </c>
      <c r="Y487" s="117" t="n">
        <v>0</v>
      </c>
      <c r="Z487" s="117" t="n">
        <v>1</v>
      </c>
      <c r="AA487" s="117" t="n">
        <v>1</v>
      </c>
      <c r="AB487" s="117" t="n">
        <v>3</v>
      </c>
      <c r="AC487" s="121" t="inlineStr">
        <is>
          <t>⚠ WATCH</t>
        </is>
      </c>
      <c r="AD487" s="118" t="n">
        <v>3068000000</v>
      </c>
      <c r="AE487" s="118" t="n">
        <v>-2096000000</v>
      </c>
      <c r="AF487" s="118" t="n">
        <v>1591000000</v>
      </c>
      <c r="AG487" s="118" t="n">
        <v>0.01</v>
      </c>
      <c r="AH487" s="119" t="inlineStr">
        <is>
          <t>✓ Medium Quality</t>
        </is>
      </c>
      <c r="AI487" s="124" t="inlineStr">
        <is>
          <t>N/A</t>
        </is>
      </c>
      <c r="AJ487" s="120" t="n">
        <v>0.012</v>
      </c>
      <c r="AK487" s="124" t="inlineStr">
        <is>
          <t>N/A</t>
        </is>
      </c>
      <c r="AL487" s="120" t="n">
        <v>0.175</v>
      </c>
      <c r="AM487" s="124" t="inlineStr">
        <is>
          <t>N/A</t>
        </is>
      </c>
      <c r="AN487" s="117" t="n">
        <v>100</v>
      </c>
      <c r="AO487" s="119" t="inlineStr">
        <is>
          <t>✓ Good</t>
        </is>
      </c>
      <c r="AP487" s="117" t="n">
        <v>0</v>
      </c>
      <c r="AQ487" s="117" t="n">
        <v>0</v>
      </c>
      <c r="AR487" s="117" t="n">
        <v>0</v>
      </c>
      <c r="AS487" s="117" t="n">
        <v>0</v>
      </c>
      <c r="AT487" s="117" t="n">
        <v>0</v>
      </c>
      <c r="AU487" s="117" t="n">
        <v>0</v>
      </c>
      <c r="AV487" s="117" t="n">
        <v>0</v>
      </c>
      <c r="AW487" s="119" t="inlineStr">
        <is>
          <t>✓ Clean</t>
        </is>
      </c>
      <c r="AX487" s="118" t="n">
        <v>32.2</v>
      </c>
      <c r="AY487" s="119" t="inlineStr">
        <is>
          <t>🟢 LOW RISK</t>
        </is>
      </c>
      <c r="AZ487" s="118" t="n">
        <v>0</v>
      </c>
      <c r="BA487" s="124" t="inlineStr">
        <is>
          <t>N/A</t>
        </is>
      </c>
      <c r="BB487" s="124" t="inlineStr">
        <is>
          <t>N/A</t>
        </is>
      </c>
      <c r="BC487" s="124" t="inlineStr">
        <is>
          <t>N/A</t>
        </is>
      </c>
      <c r="BD487" s="124" t="inlineStr">
        <is>
          <t>N/A</t>
        </is>
      </c>
      <c r="BE487" s="124" t="inlineStr">
        <is>
          <t>N/A</t>
        </is>
      </c>
      <c r="BF487" s="120" t="n">
        <v>0.157</v>
      </c>
      <c r="BG487" s="117" t="n">
        <v>0.99</v>
      </c>
      <c r="BH487" s="122" t="n">
        <v>4</v>
      </c>
      <c r="BI487" s="125" t="n">
        <v>0.6666666666666666</v>
      </c>
    </row>
    <row r="488" ht="17" customHeight="1">
      <c r="A488" s="117" t="inlineStr">
        <is>
          <t>EOG</t>
        </is>
      </c>
      <c r="B488" s="117" t="inlineStr">
        <is>
          <t>EOG RESOURCES, INC.</t>
        </is>
      </c>
      <c r="C488" s="118" t="n">
        <v>1.059</v>
      </c>
      <c r="D488" s="124" t="inlineStr">
        <is>
          <t>N/A</t>
        </is>
      </c>
      <c r="E488" s="118" t="n">
        <v>0.9409999999999999</v>
      </c>
      <c r="F488" s="118" t="n">
        <v>0.955</v>
      </c>
      <c r="G488" s="118" t="n">
        <v>1.125</v>
      </c>
      <c r="H488" s="118" t="n">
        <v>1.283</v>
      </c>
      <c r="I488" s="118" t="n">
        <v>1</v>
      </c>
      <c r="J488" s="118" t="n">
        <v>-0.098</v>
      </c>
      <c r="K488" s="124" t="inlineStr">
        <is>
          <t>N/A</t>
        </is>
      </c>
      <c r="L488" s="124" t="inlineStr">
        <is>
          <t>N/A</t>
        </is>
      </c>
      <c r="M488" s="120" t="n">
        <v>-0.07099999999999999</v>
      </c>
      <c r="N488" s="120" t="n">
        <v>0.029</v>
      </c>
      <c r="O488" s="120" t="n">
        <v>0.027</v>
      </c>
      <c r="P488" s="120" t="n">
        <v>0.117</v>
      </c>
      <c r="Q488" s="120" t="n">
        <v>-0.04</v>
      </c>
      <c r="R488" s="117" t="n">
        <v>1</v>
      </c>
      <c r="S488" s="118" t="n">
        <v>-4.52</v>
      </c>
      <c r="T488" s="118" t="n">
        <v>0.011</v>
      </c>
      <c r="U488" s="119" t="inlineStr">
        <is>
          <t>✓ Normal</t>
        </is>
      </c>
      <c r="V488" s="117" t="n">
        <v>1</v>
      </c>
      <c r="W488" s="117" t="n">
        <v>1</v>
      </c>
      <c r="X488" s="117" t="n">
        <v>1</v>
      </c>
      <c r="Y488" s="117" t="n">
        <v>0</v>
      </c>
      <c r="Z488" s="117" t="n">
        <v>1</v>
      </c>
      <c r="AA488" s="117" t="n">
        <v>0</v>
      </c>
      <c r="AB488" s="117" t="n">
        <v>4</v>
      </c>
      <c r="AC488" s="121" t="inlineStr">
        <is>
          <t>⚠⚠ SERIOUS CONCERN</t>
        </is>
      </c>
      <c r="AD488" s="118" t="n">
        <v>10044000000</v>
      </c>
      <c r="AE488" s="118" t="n">
        <v>-10936000000</v>
      </c>
      <c r="AF488" s="118" t="n">
        <v>4980000000</v>
      </c>
      <c r="AG488" s="118" t="n">
        <v>0.119</v>
      </c>
      <c r="AH488" s="117" t="inlineStr">
        <is>
          <t>⚠ Low Quality</t>
        </is>
      </c>
      <c r="AI488" s="118" t="n">
        <v>0.012</v>
      </c>
      <c r="AJ488" s="120" t="n">
        <v>-0.045</v>
      </c>
      <c r="AK488" s="120" t="n">
        <v>-0.26</v>
      </c>
      <c r="AL488" s="120" t="n">
        <v>0.444</v>
      </c>
      <c r="AM488" s="124" t="inlineStr">
        <is>
          <t>N/A</t>
        </is>
      </c>
      <c r="AN488" s="117" t="n">
        <v>100</v>
      </c>
      <c r="AO488" s="119" t="inlineStr">
        <is>
          <t>✓ Good</t>
        </is>
      </c>
      <c r="AP488" s="117" t="n">
        <v>1</v>
      </c>
      <c r="AQ488" s="117" t="n">
        <v>1</v>
      </c>
      <c r="AR488" s="117" t="n">
        <v>0</v>
      </c>
      <c r="AS488" s="117" t="n">
        <v>1</v>
      </c>
      <c r="AT488" s="117" t="n">
        <v>0</v>
      </c>
      <c r="AU488" s="117" t="n">
        <v>1</v>
      </c>
      <c r="AV488" s="117" t="n">
        <v>4</v>
      </c>
      <c r="AW488" s="117" t="inlineStr">
        <is>
          <t>⚠⚠ MULTIPLE RED FLAGS</t>
        </is>
      </c>
      <c r="AX488" s="118" t="n">
        <v>35.2</v>
      </c>
      <c r="AY488" s="119" t="inlineStr">
        <is>
          <t>🟢 LOW RISK</t>
        </is>
      </c>
      <c r="AZ488" s="118" t="n">
        <v>43.2</v>
      </c>
      <c r="BA488" s="118" t="n">
        <v>40.8</v>
      </c>
      <c r="BB488" s="124" t="inlineStr">
        <is>
          <t>N/A</t>
        </is>
      </c>
      <c r="BC488" s="124" t="inlineStr">
        <is>
          <t>N/A</t>
        </is>
      </c>
      <c r="BD488" s="124" t="inlineStr">
        <is>
          <t>N/A</t>
        </is>
      </c>
      <c r="BE488" s="124" t="inlineStr">
        <is>
          <t>N/A</t>
        </is>
      </c>
      <c r="BF488" s="120" t="n">
        <v>0.217</v>
      </c>
      <c r="BG488" s="117" t="n">
        <v>0.117</v>
      </c>
      <c r="BH488" s="122" t="n">
        <v>9</v>
      </c>
      <c r="BI488" s="123" t="n">
        <v>0.8333333333333334</v>
      </c>
    </row>
    <row r="489" ht="17" customHeight="1">
      <c r="A489" s="117" t="inlineStr">
        <is>
          <t>IQV</t>
        </is>
      </c>
      <c r="B489" s="117" t="inlineStr">
        <is>
          <t>IQVIA HOLDINGS INC.</t>
        </is>
      </c>
      <c r="C489" s="118" t="n">
        <v>0.749</v>
      </c>
      <c r="D489" s="118" t="n">
        <v>1.008</v>
      </c>
      <c r="E489" s="118" t="n">
        <v>1.013</v>
      </c>
      <c r="F489" s="118" t="n">
        <v>1.416</v>
      </c>
      <c r="G489" s="118" t="n">
        <v>0.99</v>
      </c>
      <c r="H489" s="118" t="n">
        <v>0.709</v>
      </c>
      <c r="I489" s="118" t="n">
        <v>1.005</v>
      </c>
      <c r="J489" s="118" t="n">
        <v>-0.043</v>
      </c>
      <c r="K489" s="118" t="n">
        <v>-2.485</v>
      </c>
      <c r="L489" s="119" t="inlineStr">
        <is>
          <t>✓ Lower Risk</t>
        </is>
      </c>
      <c r="M489" s="120" t="n">
        <v>-0.08</v>
      </c>
      <c r="N489" s="120" t="n">
        <v>0.06900000000000001</v>
      </c>
      <c r="O489" s="124" t="inlineStr">
        <is>
          <t>N/A</t>
        </is>
      </c>
      <c r="P489" s="120" t="n">
        <v>0.916</v>
      </c>
      <c r="Q489" s="120" t="n">
        <v>-0.006</v>
      </c>
      <c r="R489" s="117" t="n">
        <v>0</v>
      </c>
      <c r="S489" s="118" t="n">
        <v>-5.968</v>
      </c>
      <c r="T489" s="118" t="n">
        <v>0.003</v>
      </c>
      <c r="U489" s="119" t="inlineStr">
        <is>
          <t>✓ Normal</t>
        </is>
      </c>
      <c r="V489" s="117" t="n">
        <v>1</v>
      </c>
      <c r="W489" s="117" t="n">
        <v>0</v>
      </c>
      <c r="X489" s="117" t="n">
        <v>0</v>
      </c>
      <c r="Y489" s="117" t="n">
        <v>1</v>
      </c>
      <c r="Z489" s="117" t="n">
        <v>1</v>
      </c>
      <c r="AA489" s="117" t="n">
        <v>1</v>
      </c>
      <c r="AB489" s="117" t="n">
        <v>4</v>
      </c>
      <c r="AC489" s="121" t="inlineStr">
        <is>
          <t>⚠⚠ SERIOUS CONCERN</t>
        </is>
      </c>
      <c r="AD489" s="118" t="n">
        <v>2654000000</v>
      </c>
      <c r="AE489" s="118" t="n">
        <v>-2305000000</v>
      </c>
      <c r="AF489" s="118" t="n">
        <v>1360000000</v>
      </c>
      <c r="AG489" s="118" t="n">
        <v>0.036</v>
      </c>
      <c r="AH489" s="119" t="inlineStr">
        <is>
          <t>✓ Medium Quality</t>
        </is>
      </c>
      <c r="AI489" s="118" t="n">
        <v>0.061</v>
      </c>
      <c r="AJ489" s="120" t="n">
        <v>0.416</v>
      </c>
      <c r="AK489" s="120" t="n">
        <v>0.147</v>
      </c>
      <c r="AL489" s="120" t="n">
        <v>0.273</v>
      </c>
      <c r="AM489" s="120" t="n">
        <v>-0.004</v>
      </c>
      <c r="AN489" s="118" t="n">
        <v>99.8</v>
      </c>
      <c r="AO489" s="119" t="inlineStr">
        <is>
          <t>✓ Good</t>
        </is>
      </c>
      <c r="AP489" s="117" t="n">
        <v>0</v>
      </c>
      <c r="AQ489" s="117" t="n">
        <v>0</v>
      </c>
      <c r="AR489" s="117" t="n">
        <v>1</v>
      </c>
      <c r="AS489" s="117" t="n">
        <v>0</v>
      </c>
      <c r="AT489" s="117" t="n">
        <v>1</v>
      </c>
      <c r="AU489" s="117" t="n">
        <v>0</v>
      </c>
      <c r="AV489" s="117" t="n">
        <v>2</v>
      </c>
      <c r="AW489" s="121" t="inlineStr">
        <is>
          <t>⚠ WATCH</t>
        </is>
      </c>
      <c r="AX489" s="118" t="n">
        <v>23.2</v>
      </c>
      <c r="AY489" s="119" t="inlineStr">
        <is>
          <t>🟢 LOW RISK</t>
        </is>
      </c>
      <c r="AZ489" s="118" t="n">
        <v>127.4</v>
      </c>
      <c r="BA489" s="118" t="n">
        <v>170</v>
      </c>
      <c r="BB489" s="124" t="inlineStr">
        <is>
          <t>N/A</t>
        </is>
      </c>
      <c r="BC489" s="124" t="inlineStr">
        <is>
          <t>N/A</t>
        </is>
      </c>
      <c r="BD489" s="118" t="n">
        <v>34.5</v>
      </c>
      <c r="BE489" s="118" t="n">
        <v>36.3</v>
      </c>
      <c r="BF489" s="124" t="inlineStr">
        <is>
          <t>N/A</t>
        </is>
      </c>
      <c r="BG489" s="117" t="n">
        <v>0.916</v>
      </c>
      <c r="BH489" s="122" t="n">
        <v>6</v>
      </c>
      <c r="BI489" s="123" t="n">
        <v>1</v>
      </c>
    </row>
    <row r="490" ht="17" customHeight="1">
      <c r="A490" s="117" t="inlineStr">
        <is>
          <t>USFD</t>
        </is>
      </c>
      <c r="B490" s="117" t="inlineStr">
        <is>
          <t>US FOODS HOLDING CORP.</t>
        </is>
      </c>
      <c r="C490" s="118" t="n">
        <v>0.995</v>
      </c>
      <c r="D490" s="118" t="n">
        <v>0.991</v>
      </c>
      <c r="E490" s="118" t="n">
        <v>0.968</v>
      </c>
      <c r="F490" s="118" t="n">
        <v>1.041</v>
      </c>
      <c r="G490" s="118" t="n">
        <v>1.05</v>
      </c>
      <c r="H490" s="118" t="n">
        <v>1</v>
      </c>
      <c r="I490" s="118" t="n">
        <v>1.042</v>
      </c>
      <c r="J490" s="118" t="n">
        <v>-0.05</v>
      </c>
      <c r="K490" s="118" t="n">
        <v>-2.707</v>
      </c>
      <c r="L490" s="119" t="inlineStr">
        <is>
          <t>✓ Lower Risk</t>
        </is>
      </c>
      <c r="M490" s="120" t="n">
        <v>-0.035</v>
      </c>
      <c r="N490" s="120" t="n">
        <v>0.045</v>
      </c>
      <c r="O490" s="120" t="n">
        <v>0.055</v>
      </c>
      <c r="P490" s="120" t="n">
        <v>0.805</v>
      </c>
      <c r="Q490" s="120" t="n">
        <v>0.012</v>
      </c>
      <c r="R490" s="117" t="n">
        <v>0</v>
      </c>
      <c r="S490" s="118" t="n">
        <v>-6.156</v>
      </c>
      <c r="T490" s="118" t="n">
        <v>0.002</v>
      </c>
      <c r="U490" s="119" t="inlineStr">
        <is>
          <t>✓ Normal</t>
        </is>
      </c>
      <c r="V490" s="117" t="n">
        <v>1</v>
      </c>
      <c r="W490" s="117" t="n">
        <v>0</v>
      </c>
      <c r="X490" s="117" t="n">
        <v>1</v>
      </c>
      <c r="Y490" s="117" t="n">
        <v>0</v>
      </c>
      <c r="Z490" s="117" t="n">
        <v>0</v>
      </c>
      <c r="AA490" s="117" t="n">
        <v>0</v>
      </c>
      <c r="AB490" s="117" t="n">
        <v>2</v>
      </c>
      <c r="AC490" s="121" t="inlineStr">
        <is>
          <t>⚠ WATCH</t>
        </is>
      </c>
      <c r="AD490" s="118" t="n">
        <v>1369000000</v>
      </c>
      <c r="AE490" s="118" t="n">
        <v>-497000000</v>
      </c>
      <c r="AF490" s="118" t="n">
        <v>676000000</v>
      </c>
      <c r="AG490" s="118" t="n">
        <v>-0.014</v>
      </c>
      <c r="AH490" s="119" t="inlineStr">
        <is>
          <t>✓ Medium Quality</t>
        </is>
      </c>
      <c r="AI490" s="118" t="n">
        <v>0.035</v>
      </c>
      <c r="AJ490" s="120" t="n">
        <v>0.041</v>
      </c>
      <c r="AK490" s="120" t="n">
        <v>0.863</v>
      </c>
      <c r="AL490" s="120" t="n">
        <v>0.035</v>
      </c>
      <c r="AM490" s="124" t="inlineStr">
        <is>
          <t>N/A</t>
        </is>
      </c>
      <c r="AN490" s="118" t="n">
        <v>76.90000000000001</v>
      </c>
      <c r="AO490" s="119" t="inlineStr">
        <is>
          <t>✓ Good</t>
        </is>
      </c>
      <c r="AP490" s="117" t="n">
        <v>0</v>
      </c>
      <c r="AQ490" s="117" t="n">
        <v>0</v>
      </c>
      <c r="AR490" s="117" t="n">
        <v>0</v>
      </c>
      <c r="AS490" s="117" t="n">
        <v>0</v>
      </c>
      <c r="AT490" s="117" t="n">
        <v>0</v>
      </c>
      <c r="AU490" s="117" t="n">
        <v>0</v>
      </c>
      <c r="AV490" s="117" t="n">
        <v>0</v>
      </c>
      <c r="AW490" s="119" t="inlineStr">
        <is>
          <t>✓ Clean</t>
        </is>
      </c>
      <c r="AX490" s="118" t="n">
        <v>14.8</v>
      </c>
      <c r="AY490" s="119" t="inlineStr">
        <is>
          <t>🟢 VERY LOW RISK</t>
        </is>
      </c>
      <c r="AZ490" s="118" t="n">
        <v>18.8</v>
      </c>
      <c r="BA490" s="118" t="n">
        <v>18.9</v>
      </c>
      <c r="BB490" s="118" t="n">
        <v>19.2</v>
      </c>
      <c r="BC490" s="118" t="n">
        <v>18.9</v>
      </c>
      <c r="BD490" s="118" t="n">
        <v>27.4</v>
      </c>
      <c r="BE490" s="118" t="n">
        <v>26</v>
      </c>
      <c r="BF490" s="120" t="n">
        <v>0.247</v>
      </c>
      <c r="BG490" s="117" t="n">
        <v>0.805</v>
      </c>
      <c r="BH490" s="122" t="n">
        <v>2</v>
      </c>
      <c r="BI490" s="123" t="n">
        <v>1</v>
      </c>
    </row>
    <row r="491" ht="17" customHeight="1">
      <c r="A491" s="117" t="inlineStr">
        <is>
          <t>RMD</t>
        </is>
      </c>
      <c r="B491" s="117" t="inlineStr">
        <is>
          <t>ResMed Inc.</t>
        </is>
      </c>
      <c r="C491" s="118" t="n">
        <v>0.989</v>
      </c>
      <c r="D491" s="118" t="n">
        <v>0.986</v>
      </c>
      <c r="E491" s="118" t="n">
        <v>0.873</v>
      </c>
      <c r="F491" s="118" t="n">
        <v>1.134</v>
      </c>
      <c r="G491" s="118" t="n">
        <v>0.921</v>
      </c>
      <c r="H491" s="118" t="n">
        <v>0.952</v>
      </c>
      <c r="I491" s="118" t="n">
        <v>0.924</v>
      </c>
      <c r="J491" s="118" t="n">
        <v>-0.043</v>
      </c>
      <c r="K491" s="118" t="n">
        <v>-2.606</v>
      </c>
      <c r="L491" s="119" t="inlineStr">
        <is>
          <t>✓ Lower Risk</t>
        </is>
      </c>
      <c r="M491" s="120" t="n">
        <v>-0.016</v>
      </c>
      <c r="N491" s="120" t="n">
        <v>0.292</v>
      </c>
      <c r="O491" s="120" t="n">
        <v>0.301</v>
      </c>
      <c r="P491" s="120" t="n">
        <v>0.785</v>
      </c>
      <c r="Q491" s="120" t="n">
        <v>0.023</v>
      </c>
      <c r="R491" s="117" t="n">
        <v>0</v>
      </c>
      <c r="S491" s="118" t="n">
        <v>-5.27</v>
      </c>
      <c r="T491" s="118" t="n">
        <v>0.005</v>
      </c>
      <c r="U491" s="119" t="inlineStr">
        <is>
          <t>✓ Normal</t>
        </is>
      </c>
      <c r="V491" s="117" t="n">
        <v>1</v>
      </c>
      <c r="W491" s="117" t="n">
        <v>0</v>
      </c>
      <c r="X491" s="117" t="n">
        <v>0</v>
      </c>
      <c r="Y491" s="117" t="n">
        <v>0</v>
      </c>
      <c r="Z491" s="117" t="n">
        <v>1</v>
      </c>
      <c r="AA491" s="117" t="n">
        <v>1</v>
      </c>
      <c r="AB491" s="117" t="n">
        <v>3</v>
      </c>
      <c r="AC491" s="121" t="inlineStr">
        <is>
          <t>⚠ WATCH</t>
        </is>
      </c>
      <c r="AD491" s="118" t="n">
        <v>1751588000</v>
      </c>
      <c r="AE491" s="118" t="n">
        <v>-200045000</v>
      </c>
      <c r="AF491" s="118" t="n">
        <v>1400723000</v>
      </c>
      <c r="AG491" s="118" t="n">
        <v>-0.02</v>
      </c>
      <c r="AH491" s="119" t="inlineStr">
        <is>
          <t>✓ Medium Quality</t>
        </is>
      </c>
      <c r="AI491" s="118" t="n">
        <v>0.122</v>
      </c>
      <c r="AJ491" s="120" t="n">
        <v>0.134</v>
      </c>
      <c r="AK491" s="120" t="n">
        <v>0.908</v>
      </c>
      <c r="AL491" s="120" t="n">
        <v>0.592</v>
      </c>
      <c r="AM491" s="120" t="n">
        <v>0.003</v>
      </c>
      <c r="AN491" s="117" t="n">
        <v>100</v>
      </c>
      <c r="AO491" s="119" t="inlineStr">
        <is>
          <t>✓ Good</t>
        </is>
      </c>
      <c r="AP491" s="117" t="n">
        <v>0</v>
      </c>
      <c r="AQ491" s="117" t="n">
        <v>0</v>
      </c>
      <c r="AR491" s="117" t="n">
        <v>0</v>
      </c>
      <c r="AS491" s="117" t="n">
        <v>0</v>
      </c>
      <c r="AT491" s="117" t="n">
        <v>1</v>
      </c>
      <c r="AU491" s="117" t="n">
        <v>1</v>
      </c>
      <c r="AV491" s="117" t="n">
        <v>2</v>
      </c>
      <c r="AW491" s="121" t="inlineStr">
        <is>
          <t>⚠ WATCH</t>
        </is>
      </c>
      <c r="AX491" s="118" t="n">
        <v>19.5</v>
      </c>
      <c r="AY491" s="119" t="inlineStr">
        <is>
          <t>🟢 VERY LOW RISK</t>
        </is>
      </c>
      <c r="AZ491" s="118" t="n">
        <v>116</v>
      </c>
      <c r="BA491" s="118" t="n">
        <v>117.2</v>
      </c>
      <c r="BB491" s="118" t="n">
        <v>161.9</v>
      </c>
      <c r="BC491" s="118" t="n">
        <v>147.8</v>
      </c>
      <c r="BD491" s="118" t="n">
        <v>48.5</v>
      </c>
      <c r="BE491" s="118" t="n">
        <v>42.7</v>
      </c>
      <c r="BF491" s="120" t="n">
        <v>0.165</v>
      </c>
      <c r="BG491" s="117" t="n">
        <v>0.785</v>
      </c>
      <c r="BH491" s="122" t="n">
        <v>5</v>
      </c>
      <c r="BI491" s="123" t="n">
        <v>1</v>
      </c>
    </row>
    <row r="492" ht="17" customHeight="1">
      <c r="A492" s="117" t="inlineStr">
        <is>
          <t>EPR</t>
        </is>
      </c>
      <c r="B492" s="117" t="inlineStr">
        <is>
          <t>EPR PROPERTIES</t>
        </is>
      </c>
      <c r="C492" s="118" t="n">
        <v>1.124</v>
      </c>
      <c r="D492" s="124" t="inlineStr">
        <is>
          <t>N/A</t>
        </is>
      </c>
      <c r="E492" s="124" t="inlineStr">
        <is>
          <t>N/A</t>
        </is>
      </c>
      <c r="F492" s="118" t="n">
        <v>1.029</v>
      </c>
      <c r="G492" s="124" t="inlineStr">
        <is>
          <t>N/A</t>
        </is>
      </c>
      <c r="H492" s="118" t="n">
        <v>1.083</v>
      </c>
      <c r="I492" s="118" t="n">
        <v>1.009</v>
      </c>
      <c r="J492" s="118" t="n">
        <v>-0.026</v>
      </c>
      <c r="K492" s="124" t="inlineStr">
        <is>
          <t>N/A</t>
        </is>
      </c>
      <c r="L492" s="124" t="inlineStr">
        <is>
          <t>N/A</t>
        </is>
      </c>
      <c r="M492" s="124" t="inlineStr">
        <is>
          <t>N/A</t>
        </is>
      </c>
      <c r="N492" s="120" t="n">
        <v>0.654</v>
      </c>
      <c r="O492" s="124" t="inlineStr">
        <is>
          <t>N/A</t>
        </is>
      </c>
      <c r="P492" s="120" t="n">
        <v>0.984</v>
      </c>
      <c r="Q492" s="120" t="n">
        <v>0.022</v>
      </c>
      <c r="R492" s="117" t="n">
        <v>1</v>
      </c>
      <c r="S492" s="124" t="inlineStr">
        <is>
          <t>N/A</t>
        </is>
      </c>
      <c r="T492" s="124" t="inlineStr">
        <is>
          <t>N/A</t>
        </is>
      </c>
      <c r="U492" s="124" t="inlineStr">
        <is>
          <t>N/A</t>
        </is>
      </c>
      <c r="V492" s="117" t="n">
        <v>1</v>
      </c>
      <c r="W492" s="117" t="n">
        <v>1</v>
      </c>
      <c r="X492" s="117" t="n">
        <v>0</v>
      </c>
      <c r="Y492" s="117" t="n">
        <v>0</v>
      </c>
      <c r="Z492" s="117" t="n">
        <v>0</v>
      </c>
      <c r="AA492" s="117" t="n">
        <v>0</v>
      </c>
      <c r="AB492" s="117" t="n">
        <v>2</v>
      </c>
      <c r="AC492" s="121" t="inlineStr">
        <is>
          <t>⚠ WATCH</t>
        </is>
      </c>
      <c r="AD492" s="118" t="n">
        <v>420953000</v>
      </c>
      <c r="AE492" s="118" t="n">
        <v>-121681000</v>
      </c>
      <c r="AF492" s="118" t="n">
        <v>274936000</v>
      </c>
      <c r="AG492" s="118" t="n">
        <v>-0.004</v>
      </c>
      <c r="AH492" s="119" t="inlineStr">
        <is>
          <t>✓ Medium Quality</t>
        </is>
      </c>
      <c r="AI492" s="118" t="n">
        <v>0.157</v>
      </c>
      <c r="AJ492" s="120" t="n">
        <v>0.029</v>
      </c>
      <c r="AK492" s="120" t="n">
        <v>5.396</v>
      </c>
      <c r="AL492" s="120" t="n">
        <v>0.586</v>
      </c>
      <c r="AM492" s="120" t="n">
        <v>0.039</v>
      </c>
      <c r="AN492" s="118" t="n">
        <v>71.90000000000001</v>
      </c>
      <c r="AO492" s="119" t="inlineStr">
        <is>
          <t>✓ Good</t>
        </is>
      </c>
      <c r="AP492" s="117" t="n">
        <v>0</v>
      </c>
      <c r="AQ492" s="117" t="n">
        <v>0</v>
      </c>
      <c r="AR492" s="117" t="n">
        <v>0</v>
      </c>
      <c r="AS492" s="117" t="n">
        <v>1</v>
      </c>
      <c r="AT492" s="117" t="n">
        <v>0</v>
      </c>
      <c r="AU492" s="117" t="n">
        <v>1</v>
      </c>
      <c r="AV492" s="117" t="n">
        <v>2</v>
      </c>
      <c r="AW492" s="121" t="inlineStr">
        <is>
          <t>⚠ WATCH</t>
        </is>
      </c>
      <c r="AX492" s="118" t="n">
        <v>31.8</v>
      </c>
      <c r="AY492" s="119" t="inlineStr">
        <is>
          <t>🟢 LOW RISK</t>
        </is>
      </c>
      <c r="AZ492" s="118" t="n">
        <v>49.7</v>
      </c>
      <c r="BA492" s="118" t="n">
        <v>44.2</v>
      </c>
      <c r="BB492" s="124" t="inlineStr">
        <is>
          <t>N/A</t>
        </is>
      </c>
      <c r="BC492" s="124" t="inlineStr">
        <is>
          <t>N/A</t>
        </is>
      </c>
      <c r="BD492" s="124" t="inlineStr">
        <is>
          <t>N/A</t>
        </is>
      </c>
      <c r="BE492" s="124" t="inlineStr">
        <is>
          <t>N/A</t>
        </is>
      </c>
      <c r="BF492" s="120" t="n">
        <v>0.008999999999999999</v>
      </c>
      <c r="BG492" s="117" t="n">
        <v>0.984</v>
      </c>
      <c r="BH492" s="122" t="n">
        <v>5</v>
      </c>
      <c r="BI492" s="125" t="n">
        <v>0.6666666666666666</v>
      </c>
    </row>
    <row r="493" ht="17" customHeight="1">
      <c r="A493" s="117" t="inlineStr">
        <is>
          <t>FTNT</t>
        </is>
      </c>
      <c r="B493" s="117" t="inlineStr">
        <is>
          <t>FORTINET, INC.</t>
        </is>
      </c>
      <c r="C493" s="118" t="n">
        <v>1.012</v>
      </c>
      <c r="D493" s="118" t="n">
        <v>1.001</v>
      </c>
      <c r="E493" s="118" t="n">
        <v>1.104</v>
      </c>
      <c r="F493" s="118" t="n">
        <v>1.142</v>
      </c>
      <c r="G493" s="118" t="n">
        <v>0.972</v>
      </c>
      <c r="H493" s="118" t="n">
        <v>0.86</v>
      </c>
      <c r="I493" s="118" t="n">
        <v>1.04</v>
      </c>
      <c r="J493" s="118" t="n">
        <v>-0.07099999999999999</v>
      </c>
      <c r="K493" s="118" t="n">
        <v>-2.624</v>
      </c>
      <c r="L493" s="119" t="inlineStr">
        <is>
          <t>✓ Lower Risk</t>
        </is>
      </c>
      <c r="M493" s="120" t="n">
        <v>-0.079</v>
      </c>
      <c r="N493" s="120" t="n">
        <v>0.27</v>
      </c>
      <c r="O493" s="120" t="n">
        <v>0.1</v>
      </c>
      <c r="P493" s="120" t="n">
        <v>0.604</v>
      </c>
      <c r="Q493" s="120" t="n">
        <v>-0</v>
      </c>
      <c r="R493" s="117" t="n">
        <v>0</v>
      </c>
      <c r="S493" s="118" t="n">
        <v>-5.961</v>
      </c>
      <c r="T493" s="118" t="n">
        <v>0.003</v>
      </c>
      <c r="U493" s="119" t="inlineStr">
        <is>
          <t>✓ Normal</t>
        </is>
      </c>
      <c r="V493" s="117" t="n">
        <v>0</v>
      </c>
      <c r="W493" s="117" t="n">
        <v>1</v>
      </c>
      <c r="X493" s="117" t="n">
        <v>1</v>
      </c>
      <c r="Y493" s="117" t="n">
        <v>0</v>
      </c>
      <c r="Z493" s="117" t="n">
        <v>0</v>
      </c>
      <c r="AA493" s="117" t="n">
        <v>0</v>
      </c>
      <c r="AB493" s="117" t="n">
        <v>2</v>
      </c>
      <c r="AC493" s="121" t="inlineStr">
        <is>
          <t>⚠ WATCH</t>
        </is>
      </c>
      <c r="AD493" s="118" t="n">
        <v>2590600000</v>
      </c>
      <c r="AE493" s="118" t="n">
        <v>-599100000</v>
      </c>
      <c r="AF493" s="118" t="n">
        <v>1853400000</v>
      </c>
      <c r="AG493" s="118" t="n">
        <v>-0.014</v>
      </c>
      <c r="AH493" s="119" t="inlineStr">
        <is>
          <t>✓ Medium Quality</t>
        </is>
      </c>
      <c r="AI493" s="118" t="n">
        <v>0.156</v>
      </c>
      <c r="AJ493" s="120" t="n">
        <v>0.142</v>
      </c>
      <c r="AK493" s="120" t="n">
        <v>1.099</v>
      </c>
      <c r="AL493" s="120" t="n">
        <v>0.381</v>
      </c>
      <c r="AM493" s="120" t="n">
        <v>0.053</v>
      </c>
      <c r="AN493" s="118" t="n">
        <v>99.7</v>
      </c>
      <c r="AO493" s="119" t="inlineStr">
        <is>
          <t>✓ Good</t>
        </is>
      </c>
      <c r="AP493" s="117" t="n">
        <v>0</v>
      </c>
      <c r="AQ493" s="117" t="n">
        <v>0</v>
      </c>
      <c r="AR493" s="117" t="n">
        <v>1</v>
      </c>
      <c r="AS493" s="117" t="n">
        <v>0</v>
      </c>
      <c r="AT493" s="117" t="n">
        <v>1</v>
      </c>
      <c r="AU493" s="117" t="n">
        <v>0</v>
      </c>
      <c r="AV493" s="117" t="n">
        <v>2</v>
      </c>
      <c r="AW493" s="121" t="inlineStr">
        <is>
          <t>⚠ WATCH</t>
        </is>
      </c>
      <c r="AX493" s="118" t="n">
        <v>15.7</v>
      </c>
      <c r="AY493" s="119" t="inlineStr">
        <is>
          <t>🟢 VERY LOW RISK</t>
        </is>
      </c>
      <c r="AZ493" s="118" t="n">
        <v>90.8</v>
      </c>
      <c r="BA493" s="118" t="n">
        <v>89.7</v>
      </c>
      <c r="BB493" s="118" t="n">
        <v>109.7</v>
      </c>
      <c r="BC493" s="118" t="n">
        <v>99.5</v>
      </c>
      <c r="BD493" s="118" t="n">
        <v>63.4</v>
      </c>
      <c r="BE493" s="118" t="n">
        <v>60.2</v>
      </c>
      <c r="BF493" s="120" t="n">
        <v>0.208</v>
      </c>
      <c r="BG493" s="117" t="n">
        <v>0.604</v>
      </c>
      <c r="BH493" s="122" t="n">
        <v>4</v>
      </c>
      <c r="BI493" s="123" t="n">
        <v>1</v>
      </c>
    </row>
    <row r="494" ht="17" customHeight="1">
      <c r="A494" s="117" t="inlineStr">
        <is>
          <t>LCID</t>
        </is>
      </c>
      <c r="B494" s="117" t="inlineStr">
        <is>
          <t>Lucid Group, Inc.</t>
        </is>
      </c>
      <c r="C494" s="118" t="n">
        <v>1.616</v>
      </c>
      <c r="D494" s="118" t="n">
        <v>0.545</v>
      </c>
      <c r="E494" s="124" t="inlineStr">
        <is>
          <t>N/A</t>
        </is>
      </c>
      <c r="F494" s="118" t="n">
        <v>0.979</v>
      </c>
      <c r="G494" s="124" t="inlineStr">
        <is>
          <t>N/A</t>
        </is>
      </c>
      <c r="H494" s="118" t="n">
        <v>1.173</v>
      </c>
      <c r="I494" s="118" t="n">
        <v>1.384</v>
      </c>
      <c r="J494" s="118" t="n">
        <v>0.028</v>
      </c>
      <c r="K494" s="124" t="inlineStr">
        <is>
          <t>N/A</t>
        </is>
      </c>
      <c r="L494" s="124" t="inlineStr">
        <is>
          <t>N/A</t>
        </is>
      </c>
      <c r="M494" s="120" t="n">
        <v>-0.344</v>
      </c>
      <c r="N494" s="120" t="n">
        <v>5.045</v>
      </c>
      <c r="O494" s="120" t="n">
        <v>54.357</v>
      </c>
      <c r="P494" s="120" t="n">
        <v>0.796</v>
      </c>
      <c r="Q494" s="120" t="n">
        <v>-0.04</v>
      </c>
      <c r="R494" s="117" t="n">
        <v>0</v>
      </c>
      <c r="S494" s="118" t="n">
        <v>70.872</v>
      </c>
      <c r="T494" s="118" t="n">
        <v>1</v>
      </c>
      <c r="U494" s="121" t="inlineStr">
        <is>
          <t>⚠ HIGH RISK</t>
        </is>
      </c>
      <c r="V494" s="117" t="n">
        <v>1</v>
      </c>
      <c r="W494" s="117" t="n">
        <v>1</v>
      </c>
      <c r="X494" s="117" t="n">
        <v>1</v>
      </c>
      <c r="Y494" s="117" t="n">
        <v>0</v>
      </c>
      <c r="Z494" s="117" t="n">
        <v>0</v>
      </c>
      <c r="AA494" s="117" t="n">
        <v>0</v>
      </c>
      <c r="AB494" s="117" t="n">
        <v>3</v>
      </c>
      <c r="AC494" s="121" t="inlineStr">
        <is>
          <t>⚠ WATCH</t>
        </is>
      </c>
      <c r="AD494" s="118" t="n">
        <v>-2931912000</v>
      </c>
      <c r="AE494" s="118" t="n">
        <v>1478429000</v>
      </c>
      <c r="AF494" s="118" t="n">
        <v>-2698051000</v>
      </c>
      <c r="AG494" s="118" t="n">
        <v>-0.138</v>
      </c>
      <c r="AH494" s="119" t="inlineStr">
        <is>
          <t>✓ High Quality</t>
        </is>
      </c>
      <c r="AI494" s="118" t="n">
        <v>0.581</v>
      </c>
      <c r="AJ494" s="120" t="n">
        <v>-0.021</v>
      </c>
      <c r="AK494" s="120" t="n">
        <v>-27.392</v>
      </c>
      <c r="AL494" s="120" t="n">
        <v>-4.925</v>
      </c>
      <c r="AM494" s="120" t="n">
        <v>0.019</v>
      </c>
      <c r="AN494" s="118" t="n">
        <v>71</v>
      </c>
      <c r="AO494" s="119" t="inlineStr">
        <is>
          <t>✓ Good</t>
        </is>
      </c>
      <c r="AP494" s="117" t="n">
        <v>1</v>
      </c>
      <c r="AQ494" s="117" t="n">
        <v>1</v>
      </c>
      <c r="AR494" s="117" t="n">
        <v>1</v>
      </c>
      <c r="AS494" s="117" t="n">
        <v>1</v>
      </c>
      <c r="AT494" s="117" t="n">
        <v>0</v>
      </c>
      <c r="AU494" s="117" t="n">
        <v>0</v>
      </c>
      <c r="AV494" s="117" t="n">
        <v>4</v>
      </c>
      <c r="AW494" s="117" t="inlineStr">
        <is>
          <t>⚠⚠ MULTIPLE RED FLAGS</t>
        </is>
      </c>
      <c r="AX494" s="118" t="n">
        <v>62.1</v>
      </c>
      <c r="AY494" s="121" t="inlineStr">
        <is>
          <t>🟡 ELEVATED RISK</t>
        </is>
      </c>
      <c r="AZ494" s="118" t="n">
        <v>108.6</v>
      </c>
      <c r="BA494" s="118" t="n">
        <v>67.2</v>
      </c>
      <c r="BB494" s="118" t="n">
        <v>155.2</v>
      </c>
      <c r="BC494" s="118" t="n">
        <v>86</v>
      </c>
      <c r="BD494" s="118" t="n">
        <v>68.2</v>
      </c>
      <c r="BE494" s="118" t="n">
        <v>28.2</v>
      </c>
      <c r="BF494" s="120" t="n">
        <v>0.001</v>
      </c>
      <c r="BG494" s="117" t="n">
        <v>0.796</v>
      </c>
      <c r="BH494" s="122" t="n">
        <v>7</v>
      </c>
      <c r="BI494" s="123" t="n">
        <v>0.8333333333333334</v>
      </c>
    </row>
    <row r="495" ht="17" customHeight="1">
      <c r="A495" s="117" t="inlineStr">
        <is>
          <t>WAB</t>
        </is>
      </c>
      <c r="B495" s="117" t="inlineStr">
        <is>
          <t>WESTINGHOUSE AIR BRAKE TECHNOLOGIES CORPORATION</t>
        </is>
      </c>
      <c r="C495" s="118" t="n">
        <v>1.007</v>
      </c>
      <c r="D495" s="118" t="n">
        <v>1.075</v>
      </c>
      <c r="E495" s="118" t="n">
        <v>1.016</v>
      </c>
      <c r="F495" s="118" t="n">
        <v>1.215</v>
      </c>
      <c r="G495" s="118" t="n">
        <v>1.09</v>
      </c>
      <c r="H495" s="118" t="n">
        <v>0.982</v>
      </c>
      <c r="I495" s="118" t="n">
        <v>1.076</v>
      </c>
      <c r="J495" s="118" t="n">
        <v>-0.027</v>
      </c>
      <c r="K495" s="118" t="n">
        <v>-2.372</v>
      </c>
      <c r="L495" s="119" t="inlineStr">
        <is>
          <t>✓ Lower Risk</t>
        </is>
      </c>
      <c r="M495" s="120" t="n">
        <v>-0.045</v>
      </c>
      <c r="N495" s="120" t="n">
        <v>0.609</v>
      </c>
      <c r="O495" s="120" t="n">
        <v>1.018</v>
      </c>
      <c r="P495" s="120" t="n">
        <v>0.905</v>
      </c>
      <c r="Q495" s="120" t="n">
        <v>-0.003</v>
      </c>
      <c r="R495" s="117" t="n">
        <v>0</v>
      </c>
      <c r="S495" s="118" t="n">
        <v>-3.389</v>
      </c>
      <c r="T495" s="118" t="n">
        <v>0.033</v>
      </c>
      <c r="U495" s="119" t="inlineStr">
        <is>
          <t>✓ Normal</t>
        </is>
      </c>
      <c r="V495" s="117" t="n">
        <v>1</v>
      </c>
      <c r="W495" s="117" t="n">
        <v>1</v>
      </c>
      <c r="X495" s="117" t="n">
        <v>0</v>
      </c>
      <c r="Y495" s="117" t="n">
        <v>1</v>
      </c>
      <c r="Z495" s="117" t="n">
        <v>1</v>
      </c>
      <c r="AA495" s="117" t="n">
        <v>1</v>
      </c>
      <c r="AB495" s="117" t="n">
        <v>5</v>
      </c>
      <c r="AC495" s="121" t="inlineStr">
        <is>
          <t>⚠⚠ SERIOUS CONCERN</t>
        </is>
      </c>
      <c r="AD495" s="118" t="n">
        <v>1759000000</v>
      </c>
      <c r="AE495" s="118" t="n">
        <v>-2747000000</v>
      </c>
      <c r="AF495" s="118" t="n">
        <v>1170000000</v>
      </c>
      <c r="AG495" s="118" t="n">
        <v>0.106</v>
      </c>
      <c r="AH495" s="117" t="inlineStr">
        <is>
          <t>⚠ Low Quality</t>
        </is>
      </c>
      <c r="AI495" s="118" t="n">
        <v>0.224</v>
      </c>
      <c r="AJ495" s="120" t="n">
        <v>0.215</v>
      </c>
      <c r="AK495" s="120" t="n">
        <v>1.041</v>
      </c>
      <c r="AL495" s="120" t="n">
        <v>0.736</v>
      </c>
      <c r="AM495" s="120" t="n">
        <v>0.135</v>
      </c>
      <c r="AN495" s="117" t="n">
        <v>100</v>
      </c>
      <c r="AO495" s="119" t="inlineStr">
        <is>
          <t>✓ Good</t>
        </is>
      </c>
      <c r="AP495" s="117" t="n">
        <v>1</v>
      </c>
      <c r="AQ495" s="117" t="n">
        <v>0</v>
      </c>
      <c r="AR495" s="117" t="n">
        <v>1</v>
      </c>
      <c r="AS495" s="117" t="n">
        <v>0</v>
      </c>
      <c r="AT495" s="117" t="n">
        <v>1</v>
      </c>
      <c r="AU495" s="117" t="n">
        <v>0</v>
      </c>
      <c r="AV495" s="117" t="n">
        <v>3</v>
      </c>
      <c r="AW495" s="121" t="inlineStr">
        <is>
          <t>⚠ WATCH</t>
        </is>
      </c>
      <c r="AX495" s="118" t="n">
        <v>33.6</v>
      </c>
      <c r="AY495" s="119" t="inlineStr">
        <is>
          <t>🟢 LOW RISK</t>
        </is>
      </c>
      <c r="AZ495" s="118" t="n">
        <v>215.2</v>
      </c>
      <c r="BA495" s="118" t="n">
        <v>213.7</v>
      </c>
      <c r="BB495" s="118" t="n">
        <v>136.1</v>
      </c>
      <c r="BC495" s="118" t="n">
        <v>120.3</v>
      </c>
      <c r="BD495" s="118" t="n">
        <v>69.5</v>
      </c>
      <c r="BE495" s="118" t="n">
        <v>67.59999999999999</v>
      </c>
      <c r="BF495" s="120" t="n">
        <v>0.257</v>
      </c>
      <c r="BG495" s="117" t="n">
        <v>0.905</v>
      </c>
      <c r="BH495" s="122" t="n">
        <v>8</v>
      </c>
      <c r="BI495" s="123" t="n">
        <v>1</v>
      </c>
    </row>
    <row r="496" ht="17" customHeight="1">
      <c r="A496" s="117" t="inlineStr">
        <is>
          <t>AIG</t>
        </is>
      </c>
      <c r="B496" s="117" t="inlineStr">
        <is>
          <t>American International Group, Inc.</t>
        </is>
      </c>
      <c r="C496" s="124" t="inlineStr">
        <is>
          <t>N/A</t>
        </is>
      </c>
      <c r="D496" s="118" t="n">
        <v>0.98</v>
      </c>
      <c r="E496" s="118" t="n">
        <v>0.998</v>
      </c>
      <c r="F496" s="118" t="n">
        <v>0.983</v>
      </c>
      <c r="G496" s="118" t="n">
        <v>1.377</v>
      </c>
      <c r="H496" s="118" t="n">
        <v>0.93</v>
      </c>
      <c r="I496" s="118" t="n">
        <v>1.012</v>
      </c>
      <c r="J496" s="118" t="n">
        <v>-0.001</v>
      </c>
      <c r="K496" s="124" t="inlineStr">
        <is>
          <t>N/A</t>
        </is>
      </c>
      <c r="L496" s="124" t="inlineStr">
        <is>
          <t>N/A</t>
        </is>
      </c>
      <c r="M496" s="124" t="inlineStr">
        <is>
          <t>N/A</t>
        </is>
      </c>
      <c r="N496" s="124" t="inlineStr">
        <is>
          <t>N/A</t>
        </is>
      </c>
      <c r="O496" s="124" t="inlineStr">
        <is>
          <t>N/A</t>
        </is>
      </c>
      <c r="P496" s="120" t="n">
        <v>0.992</v>
      </c>
      <c r="Q496" s="120" t="n">
        <v>0.028</v>
      </c>
      <c r="R496" s="117" t="n">
        <v>0</v>
      </c>
      <c r="S496" s="124" t="inlineStr">
        <is>
          <t>N/A</t>
        </is>
      </c>
      <c r="T496" s="124" t="inlineStr">
        <is>
          <t>N/A</t>
        </is>
      </c>
      <c r="U496" s="124" t="inlineStr">
        <is>
          <t>N/A</t>
        </is>
      </c>
      <c r="V496" s="117" t="n">
        <v>1</v>
      </c>
      <c r="W496" s="117" t="n">
        <v>0</v>
      </c>
      <c r="X496" s="117" t="n">
        <v>0</v>
      </c>
      <c r="Y496" s="117" t="n">
        <v>0</v>
      </c>
      <c r="Z496" s="117" t="n">
        <v>1</v>
      </c>
      <c r="AA496" s="117" t="n">
        <v>0</v>
      </c>
      <c r="AB496" s="117" t="n">
        <v>2</v>
      </c>
      <c r="AC496" s="121" t="inlineStr">
        <is>
          <t>⚠ WATCH</t>
        </is>
      </c>
      <c r="AD496" s="118" t="n">
        <v>3314000000</v>
      </c>
      <c r="AE496" s="118" t="n">
        <v>3190000000</v>
      </c>
      <c r="AF496" s="118" t="n">
        <v>3096000000</v>
      </c>
      <c r="AG496" s="118" t="n">
        <v>-0.021</v>
      </c>
      <c r="AH496" s="119" t="inlineStr">
        <is>
          <t>✓ Medium Quality</t>
        </is>
      </c>
      <c r="AI496" s="124" t="inlineStr">
        <is>
          <t>N/A</t>
        </is>
      </c>
      <c r="AJ496" s="120" t="n">
        <v>-0.017</v>
      </c>
      <c r="AK496" s="124" t="inlineStr">
        <is>
          <t>N/A</t>
        </is>
      </c>
      <c r="AL496" s="120" t="n">
        <v>0.124</v>
      </c>
      <c r="AM496" s="124" t="inlineStr">
        <is>
          <t>N/A</t>
        </is>
      </c>
      <c r="AN496" s="118" t="n">
        <v>94.8</v>
      </c>
      <c r="AO496" s="119" t="inlineStr">
        <is>
          <t>✓ Good</t>
        </is>
      </c>
      <c r="AP496" s="117" t="n">
        <v>0</v>
      </c>
      <c r="AQ496" s="117" t="n">
        <v>0</v>
      </c>
      <c r="AR496" s="117" t="n">
        <v>0</v>
      </c>
      <c r="AS496" s="117" t="n">
        <v>0</v>
      </c>
      <c r="AT496" s="117" t="n">
        <v>0</v>
      </c>
      <c r="AU496" s="117" t="n">
        <v>1</v>
      </c>
      <c r="AV496" s="117" t="n">
        <v>1</v>
      </c>
      <c r="AW496" s="119" t="inlineStr">
        <is>
          <t>✓ Clean</t>
        </is>
      </c>
      <c r="AX496" s="118" t="n">
        <v>30.2</v>
      </c>
      <c r="AY496" s="119" t="inlineStr">
        <is>
          <t>🟢 LOW RISK</t>
        </is>
      </c>
      <c r="AZ496" s="118" t="n">
        <v>0</v>
      </c>
      <c r="BA496" s="124" t="inlineStr">
        <is>
          <t>N/A</t>
        </is>
      </c>
      <c r="BB496" s="124" t="inlineStr">
        <is>
          <t>N/A</t>
        </is>
      </c>
      <c r="BC496" s="124" t="inlineStr">
        <is>
          <t>N/A</t>
        </is>
      </c>
      <c r="BD496" s="124" t="inlineStr">
        <is>
          <t>N/A</t>
        </is>
      </c>
      <c r="BE496" s="124" t="inlineStr">
        <is>
          <t>N/A</t>
        </is>
      </c>
      <c r="BF496" s="120" t="n">
        <v>0.202</v>
      </c>
      <c r="BG496" s="117" t="n">
        <v>0.992</v>
      </c>
      <c r="BH496" s="122" t="n">
        <v>3</v>
      </c>
      <c r="BI496" s="125" t="n">
        <v>0.6666666666666666</v>
      </c>
    </row>
    <row r="497" ht="17" customHeight="1">
      <c r="A497" s="117" t="inlineStr">
        <is>
          <t>ABNB</t>
        </is>
      </c>
      <c r="B497" s="117" t="inlineStr">
        <is>
          <t>Airbnb, Inc.</t>
        </is>
      </c>
      <c r="C497" s="124" t="inlineStr">
        <is>
          <t>N/A</t>
        </is>
      </c>
      <c r="D497" s="118" t="n">
        <v>1.002</v>
      </c>
      <c r="E497" s="118" t="n">
        <v>0.859</v>
      </c>
      <c r="F497" s="118" t="n">
        <v>1.103</v>
      </c>
      <c r="G497" s="118" t="n">
        <v>1.292</v>
      </c>
      <c r="H497" s="118" t="n">
        <v>1.027</v>
      </c>
      <c r="I497" s="118" t="n">
        <v>1.054</v>
      </c>
      <c r="J497" s="118" t="n">
        <v>-0.096</v>
      </c>
      <c r="K497" s="124" t="inlineStr">
        <is>
          <t>N/A</t>
        </is>
      </c>
      <c r="L497" s="124" t="inlineStr">
        <is>
          <t>N/A</t>
        </is>
      </c>
      <c r="M497" s="120" t="n">
        <v>-0.07199999999999999</v>
      </c>
      <c r="N497" s="124" t="inlineStr">
        <is>
          <t>N/A</t>
        </is>
      </c>
      <c r="O497" s="124" t="inlineStr">
        <is>
          <t>N/A</t>
        </is>
      </c>
      <c r="P497" s="120" t="n">
        <v>0.7</v>
      </c>
      <c r="Q497" s="120" t="n">
        <v>-0.013</v>
      </c>
      <c r="R497" s="117" t="n">
        <v>0</v>
      </c>
      <c r="S497" s="124" t="inlineStr">
        <is>
          <t>N/A</t>
        </is>
      </c>
      <c r="T497" s="124" t="inlineStr">
        <is>
          <t>N/A</t>
        </is>
      </c>
      <c r="U497" s="124" t="inlineStr">
        <is>
          <t>N/A</t>
        </is>
      </c>
      <c r="V497" s="117" t="n">
        <v>0</v>
      </c>
      <c r="W497" s="117" t="n">
        <v>0</v>
      </c>
      <c r="X497" s="117" t="n">
        <v>0</v>
      </c>
      <c r="Y497" s="117" t="n">
        <v>0</v>
      </c>
      <c r="Z497" s="117" t="n">
        <v>1</v>
      </c>
      <c r="AA497" s="117" t="n">
        <v>0</v>
      </c>
      <c r="AB497" s="117" t="n">
        <v>1</v>
      </c>
      <c r="AC497" s="119" t="inlineStr">
        <is>
          <t>✓ Clean</t>
        </is>
      </c>
      <c r="AD497" s="118" t="n">
        <v>4646000000</v>
      </c>
      <c r="AE497" s="118" t="n">
        <v>-748000000</v>
      </c>
      <c r="AF497" s="118" t="n">
        <v>2511000000</v>
      </c>
      <c r="AG497" s="118" t="n">
        <v>-0.064</v>
      </c>
      <c r="AH497" s="119" t="inlineStr">
        <is>
          <t>✓ Medium Quality</t>
        </is>
      </c>
      <c r="AI497" s="124" t="inlineStr">
        <is>
          <t>N/A</t>
        </is>
      </c>
      <c r="AJ497" s="120" t="n">
        <v>0.103</v>
      </c>
      <c r="AK497" s="124" t="inlineStr">
        <is>
          <t>N/A</t>
        </is>
      </c>
      <c r="AL497" s="120" t="n">
        <v>0.38</v>
      </c>
      <c r="AM497" s="120" t="n">
        <v>0.01</v>
      </c>
      <c r="AN497" s="117" t="n">
        <v>100</v>
      </c>
      <c r="AO497" s="119" t="inlineStr">
        <is>
          <t>✓ Good</t>
        </is>
      </c>
      <c r="AP497" s="117" t="n">
        <v>0</v>
      </c>
      <c r="AQ497" s="117" t="n">
        <v>0</v>
      </c>
      <c r="AR497" s="117" t="n">
        <v>1</v>
      </c>
      <c r="AS497" s="117" t="n">
        <v>1</v>
      </c>
      <c r="AT497" s="117" t="n">
        <v>1</v>
      </c>
      <c r="AU497" s="117" t="n">
        <v>1</v>
      </c>
      <c r="AV497" s="117" t="n">
        <v>4</v>
      </c>
      <c r="AW497" s="117" t="inlineStr">
        <is>
          <t>⚠⚠ MULTIPLE RED FLAGS</t>
        </is>
      </c>
      <c r="AX497" s="118" t="n">
        <v>30</v>
      </c>
      <c r="AY497" s="119" t="inlineStr">
        <is>
          <t>🟢 LOW RISK</t>
        </is>
      </c>
      <c r="AZ497" s="118" t="n">
        <v>0</v>
      </c>
      <c r="BA497" s="124" t="inlineStr">
        <is>
          <t>N/A</t>
        </is>
      </c>
      <c r="BB497" s="124" t="inlineStr">
        <is>
          <t>N/A</t>
        </is>
      </c>
      <c r="BC497" s="124" t="inlineStr">
        <is>
          <t>N/A</t>
        </is>
      </c>
      <c r="BD497" s="118" t="n">
        <v>40.6</v>
      </c>
      <c r="BE497" s="118" t="n">
        <v>27.6</v>
      </c>
      <c r="BF497" s="120" t="n">
        <v>0.2</v>
      </c>
      <c r="BG497" s="117" t="n">
        <v>0.7</v>
      </c>
      <c r="BH497" s="122" t="n">
        <v>5</v>
      </c>
      <c r="BI497" s="125" t="n">
        <v>0.6666666666666666</v>
      </c>
    </row>
    <row r="498" ht="17" customHeight="1">
      <c r="A498" s="117" t="inlineStr">
        <is>
          <t>JNJ</t>
        </is>
      </c>
      <c r="B498" s="117" t="inlineStr">
        <is>
          <t>Johnson &amp; Johnson</t>
        </is>
      </c>
      <c r="C498" s="118" t="n">
        <v>1.091</v>
      </c>
      <c r="D498" s="118" t="n">
        <v>1.018</v>
      </c>
      <c r="E498" s="118" t="n">
        <v>1.05</v>
      </c>
      <c r="F498" s="118" t="n">
        <v>1.06</v>
      </c>
      <c r="G498" s="118" t="n">
        <v>1.077</v>
      </c>
      <c r="H498" s="118" t="n">
        <v>0.976</v>
      </c>
      <c r="I498" s="118" t="n">
        <v>0.979</v>
      </c>
      <c r="J498" s="118" t="n">
        <v>0.011</v>
      </c>
      <c r="K498" s="118" t="n">
        <v>-2.239</v>
      </c>
      <c r="L498" s="119" t="inlineStr">
        <is>
          <t>✓ Lower Risk</t>
        </is>
      </c>
      <c r="M498" s="120" t="n">
        <v>-0.036</v>
      </c>
      <c r="N498" s="120" t="n">
        <v>0.435</v>
      </c>
      <c r="O498" s="120" t="n">
        <v>0.325</v>
      </c>
      <c r="P498" s="120" t="n">
        <v>0.785</v>
      </c>
      <c r="Q498" s="120" t="n">
        <v>0.056</v>
      </c>
      <c r="R498" s="117" t="n">
        <v>0</v>
      </c>
      <c r="S498" s="118" t="n">
        <v>-4.911</v>
      </c>
      <c r="T498" s="118" t="n">
        <v>0.007</v>
      </c>
      <c r="U498" s="119" t="inlineStr">
        <is>
          <t>✓ Normal</t>
        </is>
      </c>
      <c r="V498" s="117" t="n">
        <v>1</v>
      </c>
      <c r="W498" s="117" t="n">
        <v>1</v>
      </c>
      <c r="X498" s="117" t="n">
        <v>1</v>
      </c>
      <c r="Y498" s="117" t="n">
        <v>0</v>
      </c>
      <c r="Z498" s="117" t="n">
        <v>1</v>
      </c>
      <c r="AA498" s="117" t="n">
        <v>1</v>
      </c>
      <c r="AB498" s="117" t="n">
        <v>5</v>
      </c>
      <c r="AC498" s="121" t="inlineStr">
        <is>
          <t>⚠⚠ SERIOUS CONCERN</t>
        </is>
      </c>
      <c r="AD498" s="118" t="n">
        <v>24530000000</v>
      </c>
      <c r="AE498" s="118" t="n">
        <v>-23588000000</v>
      </c>
      <c r="AF498" s="118" t="n">
        <v>26804000000</v>
      </c>
      <c r="AG498" s="118" t="n">
        <v>0.136</v>
      </c>
      <c r="AH498" s="117" t="inlineStr">
        <is>
          <t>⚠ Low Quality</t>
        </is>
      </c>
      <c r="AI498" s="118" t="n">
        <v>0.157</v>
      </c>
      <c r="AJ498" s="120" t="n">
        <v>0.06</v>
      </c>
      <c r="AK498" s="120" t="n">
        <v>2.602</v>
      </c>
      <c r="AL498" s="120" t="n">
        <v>0.26</v>
      </c>
      <c r="AM498" s="124" t="inlineStr">
        <is>
          <t>N/A</t>
        </is>
      </c>
      <c r="AN498" s="117" t="n">
        <v>70</v>
      </c>
      <c r="AO498" s="119" t="inlineStr">
        <is>
          <t>✓ Good</t>
        </is>
      </c>
      <c r="AP498" s="117" t="n">
        <v>0</v>
      </c>
      <c r="AQ498" s="117" t="n">
        <v>0</v>
      </c>
      <c r="AR498" s="117" t="n">
        <v>1</v>
      </c>
      <c r="AS498" s="117" t="n">
        <v>0</v>
      </c>
      <c r="AT498" s="117" t="n">
        <v>1</v>
      </c>
      <c r="AU498" s="117" t="n">
        <v>0</v>
      </c>
      <c r="AV498" s="117" t="n">
        <v>2</v>
      </c>
      <c r="AW498" s="121" t="inlineStr">
        <is>
          <t>⚠ WATCH</t>
        </is>
      </c>
      <c r="AX498" s="118" t="n">
        <v>31.5</v>
      </c>
      <c r="AY498" s="119" t="inlineStr">
        <is>
          <t>🟢 LOW RISK</t>
        </is>
      </c>
      <c r="AZ498" s="118" t="n">
        <v>66.59999999999999</v>
      </c>
      <c r="BA498" s="118" t="n">
        <v>61</v>
      </c>
      <c r="BB498" s="118" t="n">
        <v>171.2</v>
      </c>
      <c r="BC498" s="118" t="n">
        <v>165.3</v>
      </c>
      <c r="BD498" s="118" t="n">
        <v>144.7</v>
      </c>
      <c r="BE498" s="118" t="n">
        <v>137</v>
      </c>
      <c r="BF498" s="120" t="n">
        <v>0.177</v>
      </c>
      <c r="BG498" s="117" t="n">
        <v>0.785</v>
      </c>
      <c r="BH498" s="122" t="n">
        <v>7</v>
      </c>
      <c r="BI498" s="123" t="n">
        <v>1</v>
      </c>
    </row>
    <row r="499" ht="17" customHeight="1">
      <c r="A499" s="117" t="inlineStr">
        <is>
          <t>OLLI</t>
        </is>
      </c>
      <c r="B499" s="117" t="inlineStr">
        <is>
          <t>Ollie’s Bargain Outlet Holdings, Inc.</t>
        </is>
      </c>
      <c r="C499" s="118" t="n">
        <v>1.387</v>
      </c>
      <c r="D499" s="118" t="n">
        <v>0.994</v>
      </c>
      <c r="E499" s="118" t="n">
        <v>1.131</v>
      </c>
      <c r="F499" s="118" t="n">
        <v>1.166</v>
      </c>
      <c r="G499" s="118" t="n">
        <v>0.9320000000000001</v>
      </c>
      <c r="H499" s="118" t="n">
        <v>0.993</v>
      </c>
      <c r="I499" s="118" t="n">
        <v>1.068</v>
      </c>
      <c r="J499" s="118" t="n">
        <v>-0.019</v>
      </c>
      <c r="K499" s="118" t="n">
        <v>-2.043</v>
      </c>
      <c r="L499" s="121" t="inlineStr">
        <is>
          <t>⚠ MANIPULATOR RISK</t>
        </is>
      </c>
      <c r="M499" s="120" t="n">
        <v>-0.075</v>
      </c>
      <c r="N499" s="120" t="n">
        <v>0.004</v>
      </c>
      <c r="O499" s="120" t="n">
        <v>0.259</v>
      </c>
      <c r="P499" s="120" t="n">
        <v>0.783</v>
      </c>
      <c r="Q499" s="120" t="n">
        <v>0.003</v>
      </c>
      <c r="R499" s="117" t="n">
        <v>1</v>
      </c>
      <c r="S499" s="118" t="n">
        <v>-3.013</v>
      </c>
      <c r="T499" s="118" t="n">
        <v>0.047</v>
      </c>
      <c r="U499" s="121" t="inlineStr">
        <is>
          <t>⚠ HIGH RISK</t>
        </is>
      </c>
      <c r="V499" s="117" t="n">
        <v>0</v>
      </c>
      <c r="W499" s="117" t="n">
        <v>1</v>
      </c>
      <c r="X499" s="117" t="n">
        <v>1</v>
      </c>
      <c r="Y499" s="117" t="n">
        <v>0</v>
      </c>
      <c r="Z499" s="117" t="n">
        <v>0</v>
      </c>
      <c r="AA499" s="117" t="n">
        <v>1</v>
      </c>
      <c r="AB499" s="117" t="n">
        <v>3</v>
      </c>
      <c r="AC499" s="121" t="inlineStr">
        <is>
          <t>⚠ WATCH</t>
        </is>
      </c>
      <c r="AD499" s="118" t="n">
        <v>296539000</v>
      </c>
      <c r="AE499" s="118" t="n">
        <v>-179925000</v>
      </c>
      <c r="AF499" s="118" t="n">
        <v>240596000</v>
      </c>
      <c r="AG499" s="118" t="n">
        <v>0.045</v>
      </c>
      <c r="AH499" s="119" t="inlineStr">
        <is>
          <t>✓ Medium Quality</t>
        </is>
      </c>
      <c r="AI499" s="118" t="n">
        <v>0.618</v>
      </c>
      <c r="AJ499" s="120" t="n">
        <v>0.166</v>
      </c>
      <c r="AK499" s="120" t="n">
        <v>3.718</v>
      </c>
      <c r="AL499" s="120" t="n">
        <v>0.112</v>
      </c>
      <c r="AM499" s="120" t="n">
        <v>0</v>
      </c>
      <c r="AN499" s="118" t="n">
        <v>62.4</v>
      </c>
      <c r="AO499" s="121" t="inlineStr">
        <is>
          <t>⚠ WATCH</t>
        </is>
      </c>
      <c r="AP499" s="117" t="n">
        <v>0</v>
      </c>
      <c r="AQ499" s="117" t="n">
        <v>0</v>
      </c>
      <c r="AR499" s="117" t="n">
        <v>0</v>
      </c>
      <c r="AS499" s="117" t="n">
        <v>0</v>
      </c>
      <c r="AT499" s="117" t="n">
        <v>0</v>
      </c>
      <c r="AU499" s="117" t="n">
        <v>1</v>
      </c>
      <c r="AV499" s="117" t="n">
        <v>1</v>
      </c>
      <c r="AW499" s="119" t="inlineStr">
        <is>
          <t>✓ Clean</t>
        </is>
      </c>
      <c r="AX499" s="118" t="n">
        <v>29</v>
      </c>
      <c r="AY499" s="119" t="inlineStr">
        <is>
          <t>🟢 LOW RISK</t>
        </is>
      </c>
      <c r="AZ499" s="118" t="n">
        <v>0.5</v>
      </c>
      <c r="BA499" s="118" t="n">
        <v>0.4</v>
      </c>
      <c r="BB499" s="118" t="n">
        <v>150.6</v>
      </c>
      <c r="BC499" s="118" t="n">
        <v>148.6</v>
      </c>
      <c r="BD499" s="118" t="n">
        <v>39.2</v>
      </c>
      <c r="BE499" s="118" t="n">
        <v>35</v>
      </c>
      <c r="BF499" s="120" t="n">
        <v>0.24</v>
      </c>
      <c r="BG499" s="117" t="n">
        <v>0.783</v>
      </c>
      <c r="BH499" s="122" t="n">
        <v>5</v>
      </c>
      <c r="BI499" s="123" t="n">
        <v>1</v>
      </c>
    </row>
    <row r="500" ht="17" customHeight="1">
      <c r="A500" s="117" t="inlineStr">
        <is>
          <t>CB</t>
        </is>
      </c>
      <c r="B500" s="117" t="inlineStr">
        <is>
          <t>Chubb Limited</t>
        </is>
      </c>
      <c r="C500" s="124" t="inlineStr">
        <is>
          <t>N/A</t>
        </is>
      </c>
      <c r="D500" s="118" t="n">
        <v>0.9360000000000001</v>
      </c>
      <c r="E500" s="118" t="n">
        <v>1</v>
      </c>
      <c r="F500" s="118" t="n">
        <v>1.065</v>
      </c>
      <c r="G500" s="118" t="n">
        <v>1.192</v>
      </c>
      <c r="H500" s="118" t="n">
        <v>0.965</v>
      </c>
      <c r="I500" s="118" t="n">
        <v>0.978</v>
      </c>
      <c r="J500" s="118" t="n">
        <v>-0.008999999999999999</v>
      </c>
      <c r="K500" s="124" t="inlineStr">
        <is>
          <t>N/A</t>
        </is>
      </c>
      <c r="L500" s="124" t="inlineStr">
        <is>
          <t>N/A</t>
        </is>
      </c>
      <c r="M500" s="124" t="inlineStr">
        <is>
          <t>N/A</t>
        </is>
      </c>
      <c r="N500" s="124" t="inlineStr">
        <is>
          <t>N/A</t>
        </is>
      </c>
      <c r="O500" s="124" t="inlineStr">
        <is>
          <t>N/A</t>
        </is>
      </c>
      <c r="P500" s="120" t="n">
        <v>0.98</v>
      </c>
      <c r="Q500" s="120" t="n">
        <v>0</v>
      </c>
      <c r="R500" s="117" t="n">
        <v>0</v>
      </c>
      <c r="S500" s="124" t="inlineStr">
        <is>
          <t>N/A</t>
        </is>
      </c>
      <c r="T500" s="124" t="inlineStr">
        <is>
          <t>N/A</t>
        </is>
      </c>
      <c r="U500" s="124" t="inlineStr">
        <is>
          <t>N/A</t>
        </is>
      </c>
      <c r="V500" s="117" t="n">
        <v>1</v>
      </c>
      <c r="W500" s="117" t="n">
        <v>0</v>
      </c>
      <c r="X500" s="117" t="n">
        <v>0</v>
      </c>
      <c r="Y500" s="117" t="n">
        <v>0</v>
      </c>
      <c r="Z500" s="117" t="n">
        <v>1</v>
      </c>
      <c r="AA500" s="117" t="n">
        <v>1</v>
      </c>
      <c r="AB500" s="117" t="n">
        <v>3</v>
      </c>
      <c r="AC500" s="121" t="inlineStr">
        <is>
          <t>⚠ WATCH</t>
        </is>
      </c>
      <c r="AD500" s="118" t="n">
        <v>12816000000</v>
      </c>
      <c r="AE500" s="118" t="n">
        <v>-11260000000</v>
      </c>
      <c r="AF500" s="118" t="n">
        <v>10310000000</v>
      </c>
      <c r="AG500" s="118" t="n">
        <v>0.034</v>
      </c>
      <c r="AH500" s="119" t="inlineStr">
        <is>
          <t>✓ Medium Quality</t>
        </is>
      </c>
      <c r="AI500" s="124" t="inlineStr">
        <is>
          <t>N/A</t>
        </is>
      </c>
      <c r="AJ500" s="120" t="n">
        <v>0.065</v>
      </c>
      <c r="AK500" s="124" t="inlineStr">
        <is>
          <t>N/A</t>
        </is>
      </c>
      <c r="AL500" s="120" t="n">
        <v>0.216</v>
      </c>
      <c r="AM500" s="120" t="n">
        <v>0.014</v>
      </c>
      <c r="AN500" s="117" t="n">
        <v>100</v>
      </c>
      <c r="AO500" s="119" t="inlineStr">
        <is>
          <t>✓ Good</t>
        </is>
      </c>
      <c r="AP500" s="117" t="n">
        <v>0</v>
      </c>
      <c r="AQ500" s="117" t="n">
        <v>0</v>
      </c>
      <c r="AR500" s="117" t="n">
        <v>0</v>
      </c>
      <c r="AS500" s="117" t="n">
        <v>0</v>
      </c>
      <c r="AT500" s="117" t="n">
        <v>0</v>
      </c>
      <c r="AU500" s="117" t="n">
        <v>0</v>
      </c>
      <c r="AV500" s="117" t="n">
        <v>0</v>
      </c>
      <c r="AW500" s="119" t="inlineStr">
        <is>
          <t>✓ Clean</t>
        </is>
      </c>
      <c r="AX500" s="118" t="n">
        <v>32.7</v>
      </c>
      <c r="AY500" s="119" t="inlineStr">
        <is>
          <t>🟢 LOW RISK</t>
        </is>
      </c>
      <c r="AZ500" s="118" t="n">
        <v>0</v>
      </c>
      <c r="BA500" s="124" t="inlineStr">
        <is>
          <t>N/A</t>
        </is>
      </c>
      <c r="BB500" s="124" t="inlineStr">
        <is>
          <t>N/A</t>
        </is>
      </c>
      <c r="BC500" s="124" t="inlineStr">
        <is>
          <t>N/A</t>
        </is>
      </c>
      <c r="BD500" s="124" t="inlineStr">
        <is>
          <t>N/A</t>
        </is>
      </c>
      <c r="BE500" s="124" t="inlineStr">
        <is>
          <t>N/A</t>
        </is>
      </c>
      <c r="BF500" s="120" t="n">
        <v>0.186</v>
      </c>
      <c r="BG500" s="117" t="n">
        <v>0.98</v>
      </c>
      <c r="BH500" s="122" t="n">
        <v>3</v>
      </c>
      <c r="BI500" s="125" t="n">
        <v>0.6666666666666666</v>
      </c>
    </row>
    <row r="501" ht="17" customHeight="1">
      <c r="A501" s="117" t="inlineStr">
        <is>
          <t>INSP</t>
        </is>
      </c>
      <c r="B501" s="117" t="inlineStr">
        <is>
          <t>Inspire Medical Systems, Inc.</t>
        </is>
      </c>
      <c r="C501" s="118" t="n">
        <v>0.422</v>
      </c>
      <c r="D501" s="118" t="n">
        <v>2.662</v>
      </c>
      <c r="E501" s="118" t="n">
        <v>1.904</v>
      </c>
      <c r="F501" s="118" t="n">
        <v>3.05</v>
      </c>
      <c r="G501" s="118" t="n">
        <v>0.672</v>
      </c>
      <c r="H501" s="118" t="n">
        <v>0.387</v>
      </c>
      <c r="I501" s="118" t="n">
        <v>0.947</v>
      </c>
      <c r="J501" s="118" t="n">
        <v>0.031</v>
      </c>
      <c r="K501" s="118" t="n">
        <v>0.291</v>
      </c>
      <c r="L501" s="121" t="inlineStr">
        <is>
          <t>⚠ MANIPULATOR RISK</t>
        </is>
      </c>
      <c r="M501" s="120" t="n">
        <v>-0.026</v>
      </c>
      <c r="N501" s="120" t="n">
        <v>0.483</v>
      </c>
      <c r="O501" s="120" t="n">
        <v>1.182</v>
      </c>
      <c r="P501" s="120" t="n">
        <v>0.777</v>
      </c>
      <c r="Q501" s="120" t="n">
        <v>0.094</v>
      </c>
      <c r="R501" s="117" t="n">
        <v>0</v>
      </c>
      <c r="S501" s="118" t="n">
        <v>-3.794</v>
      </c>
      <c r="T501" s="118" t="n">
        <v>0.022</v>
      </c>
      <c r="U501" s="119" t="inlineStr">
        <is>
          <t>✓ Normal</t>
        </is>
      </c>
      <c r="V501" s="117" t="n">
        <v>1</v>
      </c>
      <c r="W501" s="117" t="n">
        <v>0</v>
      </c>
      <c r="X501" s="117" t="n">
        <v>0</v>
      </c>
      <c r="Y501" s="117" t="n">
        <v>0</v>
      </c>
      <c r="Z501" s="117" t="n">
        <v>0</v>
      </c>
      <c r="AA501" s="117" t="n">
        <v>1</v>
      </c>
      <c r="AB501" s="117" t="n">
        <v>2</v>
      </c>
      <c r="AC501" s="121" t="inlineStr">
        <is>
          <t>⚠ WATCH</t>
        </is>
      </c>
      <c r="AD501" s="118" t="n">
        <v>116976000</v>
      </c>
      <c r="AE501" s="118" t="n">
        <v>21446000</v>
      </c>
      <c r="AF501" s="118" t="n">
        <v>145422000</v>
      </c>
      <c r="AG501" s="118" t="n">
        <v>0.008</v>
      </c>
      <c r="AH501" s="119" t="inlineStr">
        <is>
          <t>✓ Medium Quality</t>
        </is>
      </c>
      <c r="AI501" s="118" t="n">
        <v>0.286</v>
      </c>
      <c r="AJ501" s="120" t="n">
        <v>2.05</v>
      </c>
      <c r="AK501" s="120" t="n">
        <v>0.14</v>
      </c>
      <c r="AL501" s="120" t="n">
        <v>1.426</v>
      </c>
      <c r="AM501" s="124" t="inlineStr">
        <is>
          <t>N/A</t>
        </is>
      </c>
      <c r="AN501" s="117" t="n">
        <v>100</v>
      </c>
      <c r="AO501" s="119" t="inlineStr">
        <is>
          <t>✓ Good</t>
        </is>
      </c>
      <c r="AP501" s="117" t="n">
        <v>1</v>
      </c>
      <c r="AQ501" s="117" t="n">
        <v>0</v>
      </c>
      <c r="AR501" s="117" t="n">
        <v>1</v>
      </c>
      <c r="AS501" s="117" t="n">
        <v>0</v>
      </c>
      <c r="AT501" s="117" t="n">
        <v>1</v>
      </c>
      <c r="AU501" s="117" t="n">
        <v>1</v>
      </c>
      <c r="AV501" s="117" t="n">
        <v>4</v>
      </c>
      <c r="AW501" s="117" t="inlineStr">
        <is>
          <t>⚠⚠ MULTIPLE RED FLAGS</t>
        </is>
      </c>
      <c r="AX501" s="118" t="n">
        <v>28.9</v>
      </c>
      <c r="AY501" s="119" t="inlineStr">
        <is>
          <t>🟢 LOW RISK</t>
        </is>
      </c>
      <c r="AZ501" s="118" t="n">
        <v>532.5</v>
      </c>
      <c r="BA501" s="118" t="n">
        <v>1262.5</v>
      </c>
      <c r="BB501" s="118" t="n">
        <v>398.1</v>
      </c>
      <c r="BC501" s="118" t="n">
        <v>237.8</v>
      </c>
      <c r="BD501" s="118" t="n">
        <v>78.90000000000001</v>
      </c>
      <c r="BE501" s="124" t="inlineStr">
        <is>
          <t>N/A</t>
        </is>
      </c>
      <c r="BF501" s="120" t="n">
        <v>-1.214</v>
      </c>
      <c r="BG501" s="117" t="n">
        <v>0.777</v>
      </c>
      <c r="BH501" s="122" t="n">
        <v>6</v>
      </c>
      <c r="BI501" s="123" t="n">
        <v>1</v>
      </c>
    </row>
    <row r="502" ht="17" customHeight="1">
      <c r="A502" s="117" t="inlineStr">
        <is>
          <t>UBER</t>
        </is>
      </c>
      <c r="B502" s="117" t="inlineStr">
        <is>
          <t>UBER TECHNOLOGIES, INC.</t>
        </is>
      </c>
      <c r="C502" s="118" t="n">
        <v>0.971</v>
      </c>
      <c r="D502" s="124" t="inlineStr">
        <is>
          <t>N/A</t>
        </is>
      </c>
      <c r="E502" s="118" t="n">
        <v>1.027</v>
      </c>
      <c r="F502" s="118" t="n">
        <v>1.183</v>
      </c>
      <c r="G502" s="118" t="n">
        <v>0.989</v>
      </c>
      <c r="H502" s="118" t="n">
        <v>0.753</v>
      </c>
      <c r="I502" s="118" t="n">
        <v>0.972</v>
      </c>
      <c r="J502" s="118" t="n">
        <v>-0.001</v>
      </c>
      <c r="K502" s="124" t="inlineStr">
        <is>
          <t>N/A</t>
        </is>
      </c>
      <c r="L502" s="124" t="inlineStr">
        <is>
          <t>N/A</t>
        </is>
      </c>
      <c r="M502" s="120" t="n">
        <v>-0.017</v>
      </c>
      <c r="N502" s="120" t="n">
        <v>0.061</v>
      </c>
      <c r="O502" s="124" t="inlineStr">
        <is>
          <t>N/A</t>
        </is>
      </c>
      <c r="P502" s="120" t="n">
        <v>0.851</v>
      </c>
      <c r="Q502" s="120" t="n">
        <v>-0.03</v>
      </c>
      <c r="R502" s="117" t="n">
        <v>0</v>
      </c>
      <c r="S502" s="118" t="n">
        <v>-6.053</v>
      </c>
      <c r="T502" s="118" t="n">
        <v>0.002</v>
      </c>
      <c r="U502" s="119" t="inlineStr">
        <is>
          <t>✓ Normal</t>
        </is>
      </c>
      <c r="V502" s="117" t="n">
        <v>0</v>
      </c>
      <c r="W502" s="117" t="n">
        <v>0</v>
      </c>
      <c r="X502" s="117" t="n">
        <v>0</v>
      </c>
      <c r="Y502" s="117" t="n">
        <v>1</v>
      </c>
      <c r="Z502" s="117" t="n">
        <v>1</v>
      </c>
      <c r="AA502" s="117" t="n">
        <v>1</v>
      </c>
      <c r="AB502" s="117" t="n">
        <v>3</v>
      </c>
      <c r="AC502" s="121" t="inlineStr">
        <is>
          <t>⚠ WATCH</t>
        </is>
      </c>
      <c r="AD502" s="118" t="n">
        <v>10099000000</v>
      </c>
      <c r="AE502" s="118" t="n">
        <v>-3564000000</v>
      </c>
      <c r="AF502" s="118" t="n">
        <v>10053000000</v>
      </c>
      <c r="AG502" s="118" t="n">
        <v>0.062</v>
      </c>
      <c r="AH502" s="119" t="inlineStr">
        <is>
          <t>✓ Medium Quality</t>
        </is>
      </c>
      <c r="AI502" s="118" t="n">
        <v>0.148</v>
      </c>
      <c r="AJ502" s="120" t="n">
        <v>0.183</v>
      </c>
      <c r="AK502" s="120" t="n">
        <v>0.8110000000000001</v>
      </c>
      <c r="AL502" s="120" t="n">
        <v>0.194</v>
      </c>
      <c r="AM502" s="120" t="n">
        <v>0</v>
      </c>
      <c r="AN502" s="117" t="n">
        <v>100</v>
      </c>
      <c r="AO502" s="119" t="inlineStr">
        <is>
          <t>✓ Good</t>
        </is>
      </c>
      <c r="AP502" s="117" t="n">
        <v>0</v>
      </c>
      <c r="AQ502" s="117" t="n">
        <v>0</v>
      </c>
      <c r="AR502" s="117" t="n">
        <v>0</v>
      </c>
      <c r="AS502" s="117" t="n">
        <v>0</v>
      </c>
      <c r="AT502" s="117" t="n">
        <v>1</v>
      </c>
      <c r="AU502" s="117" t="n">
        <v>0</v>
      </c>
      <c r="AV502" s="117" t="n">
        <v>1</v>
      </c>
      <c r="AW502" s="119" t="inlineStr">
        <is>
          <t>✓ Clean</t>
        </is>
      </c>
      <c r="AX502" s="118" t="n">
        <v>26.9</v>
      </c>
      <c r="AY502" s="119" t="inlineStr">
        <is>
          <t>🟢 LOW RISK</t>
        </is>
      </c>
      <c r="AZ502" s="118" t="n">
        <v>26.9</v>
      </c>
      <c r="BA502" s="118" t="n">
        <v>27.7</v>
      </c>
      <c r="BB502" s="124" t="inlineStr">
        <is>
          <t>N/A</t>
        </is>
      </c>
      <c r="BC502" s="124" t="inlineStr">
        <is>
          <t>N/A</t>
        </is>
      </c>
      <c r="BD502" s="124" t="inlineStr">
        <is>
          <t>N/A</t>
        </is>
      </c>
      <c r="BE502" s="124" t="inlineStr">
        <is>
          <t>N/A</t>
        </is>
      </c>
      <c r="BF502" s="120" t="n">
        <v>-0.9409999999999999</v>
      </c>
      <c r="BG502" s="117" t="n">
        <v>0.851</v>
      </c>
      <c r="BH502" s="122" t="n">
        <v>4</v>
      </c>
      <c r="BI502" s="123" t="n">
        <v>0.8333333333333334</v>
      </c>
    </row>
    <row r="503" ht="17" customHeight="1">
      <c r="A503" s="117" t="inlineStr">
        <is>
          <t>NRG</t>
        </is>
      </c>
      <c r="B503" s="117" t="inlineStr">
        <is>
          <t>NRG Energy, Inc</t>
        </is>
      </c>
      <c r="C503" s="118" t="n">
        <v>1.067</v>
      </c>
      <c r="D503" s="118" t="n">
        <v>0.9409999999999999</v>
      </c>
      <c r="E503" s="118" t="n">
        <v>9.279</v>
      </c>
      <c r="F503" s="118" t="n">
        <v>1.092</v>
      </c>
      <c r="G503" s="118" t="n">
        <v>0.29</v>
      </c>
      <c r="H503" s="118" t="n">
        <v>1.173</v>
      </c>
      <c r="I503" s="118" t="n">
        <v>1.051</v>
      </c>
      <c r="J503" s="118" t="n">
        <v>-0.036</v>
      </c>
      <c r="K503" s="118" t="n">
        <v>0.681</v>
      </c>
      <c r="L503" s="121" t="inlineStr">
        <is>
          <t>⚠ MANIPULATOR RISK</t>
        </is>
      </c>
      <c r="M503" s="120" t="n">
        <v>-0.006</v>
      </c>
      <c r="N503" s="120" t="n">
        <v>0.223</v>
      </c>
      <c r="O503" s="120" t="n">
        <v>-0.007</v>
      </c>
      <c r="P503" s="120" t="n">
        <v>0.734</v>
      </c>
      <c r="Q503" s="120" t="n">
        <v>-0.017</v>
      </c>
      <c r="R503" s="117" t="n">
        <v>0</v>
      </c>
      <c r="S503" s="118" t="n">
        <v>-5.883</v>
      </c>
      <c r="T503" s="118" t="n">
        <v>0.003</v>
      </c>
      <c r="U503" s="119" t="inlineStr">
        <is>
          <t>✓ Normal</t>
        </is>
      </c>
      <c r="V503" s="117" t="n">
        <v>1</v>
      </c>
      <c r="W503" s="117" t="n">
        <v>1</v>
      </c>
      <c r="X503" s="117" t="n">
        <v>0</v>
      </c>
      <c r="Y503" s="117" t="n">
        <v>0</v>
      </c>
      <c r="Z503" s="117" t="n">
        <v>1</v>
      </c>
      <c r="AA503" s="117" t="n">
        <v>1</v>
      </c>
      <c r="AB503" s="117" t="n">
        <v>4</v>
      </c>
      <c r="AC503" s="121" t="inlineStr">
        <is>
          <t>⚠⚠ SERIOUS CONCERN</t>
        </is>
      </c>
      <c r="AD503" s="118" t="n">
        <v>1913000000</v>
      </c>
      <c r="AE503" s="118" t="n">
        <v>-1638000000</v>
      </c>
      <c r="AF503" s="118" t="n">
        <v>864000000</v>
      </c>
      <c r="AG503" s="118" t="n">
        <v>0.022</v>
      </c>
      <c r="AH503" s="119" t="inlineStr">
        <is>
          <t>✓ Medium Quality</t>
        </is>
      </c>
      <c r="AI503" s="118" t="n">
        <v>0.165</v>
      </c>
      <c r="AJ503" s="120" t="n">
        <v>0.092</v>
      </c>
      <c r="AK503" s="120" t="n">
        <v>1.802</v>
      </c>
      <c r="AL503" s="120" t="n">
        <v>0.062</v>
      </c>
      <c r="AM503" s="120" t="n">
        <v>0.001</v>
      </c>
      <c r="AN503" s="118" t="n">
        <v>58.5</v>
      </c>
      <c r="AO503" s="121" t="inlineStr">
        <is>
          <t>⚠ WATCH</t>
        </is>
      </c>
      <c r="AP503" s="117" t="n">
        <v>0</v>
      </c>
      <c r="AQ503" s="117" t="n">
        <v>0</v>
      </c>
      <c r="AR503" s="117" t="n">
        <v>0</v>
      </c>
      <c r="AS503" s="117" t="n">
        <v>1</v>
      </c>
      <c r="AT503" s="117" t="n">
        <v>1</v>
      </c>
      <c r="AU503" s="117" t="n">
        <v>0</v>
      </c>
      <c r="AV503" s="117" t="n">
        <v>2</v>
      </c>
      <c r="AW503" s="121" t="inlineStr">
        <is>
          <t>⚠ WATCH</t>
        </is>
      </c>
      <c r="AX503" s="118" t="n">
        <v>34.5</v>
      </c>
      <c r="AY503" s="119" t="inlineStr">
        <is>
          <t>🟢 LOW RISK</t>
        </is>
      </c>
      <c r="AZ503" s="118" t="n">
        <v>48.3</v>
      </c>
      <c r="BA503" s="118" t="n">
        <v>45.3</v>
      </c>
      <c r="BB503" s="118" t="n">
        <v>25.7</v>
      </c>
      <c r="BC503" s="118" t="n">
        <v>23.9</v>
      </c>
      <c r="BD503" s="118" t="n">
        <v>158.2</v>
      </c>
      <c r="BE503" s="118" t="n">
        <v>125.6</v>
      </c>
      <c r="BF503" s="120" t="n">
        <v>0.238</v>
      </c>
      <c r="BG503" s="117" t="n">
        <v>0.734</v>
      </c>
      <c r="BH503" s="122" t="n">
        <v>6</v>
      </c>
      <c r="BI503" s="123" t="n">
        <v>1</v>
      </c>
    </row>
    <row r="504" ht="17" customHeight="1">
      <c r="A504" s="117" t="inlineStr">
        <is>
          <t>DELL</t>
        </is>
      </c>
      <c r="B504" s="117" t="inlineStr">
        <is>
          <t>Dell Technologies Inc.</t>
        </is>
      </c>
      <c r="C504" s="118" t="n">
        <v>1.437</v>
      </c>
      <c r="D504" s="118" t="n">
        <v>1.112</v>
      </c>
      <c r="E504" s="118" t="n">
        <v>0.784</v>
      </c>
      <c r="F504" s="118" t="n">
        <v>1.188</v>
      </c>
      <c r="G504" s="118" t="n">
        <v>1.058</v>
      </c>
      <c r="H504" s="118" t="n">
        <v>0.804</v>
      </c>
      <c r="I504" s="118" t="n">
        <v>1.007</v>
      </c>
      <c r="J504" s="118" t="n">
        <v>-0.052</v>
      </c>
      <c r="K504" s="118" t="n">
        <v>-2.143</v>
      </c>
      <c r="L504" s="121" t="inlineStr">
        <is>
          <t>⚠ MANIPULATOR RISK</t>
        </is>
      </c>
      <c r="M504" s="120" t="n">
        <v>-0.062</v>
      </c>
      <c r="N504" s="120" t="n">
        <v>0.405</v>
      </c>
      <c r="O504" s="120" t="n">
        <v>0.207</v>
      </c>
      <c r="P504" s="120" t="n">
        <v>0.82</v>
      </c>
      <c r="Q504" s="120" t="n">
        <v>0.001</v>
      </c>
      <c r="R504" s="117" t="n">
        <v>0</v>
      </c>
      <c r="S504" s="118" t="n">
        <v>-5.052</v>
      </c>
      <c r="T504" s="118" t="n">
        <v>0.006</v>
      </c>
      <c r="U504" s="119" t="inlineStr">
        <is>
          <t>✓ Normal</t>
        </is>
      </c>
      <c r="V504" s="117" t="n">
        <v>0</v>
      </c>
      <c r="W504" s="117" t="n">
        <v>1</v>
      </c>
      <c r="X504" s="117" t="n">
        <v>1</v>
      </c>
      <c r="Y504" s="117" t="n">
        <v>0</v>
      </c>
      <c r="Z504" s="117" t="n">
        <v>1</v>
      </c>
      <c r="AA504" s="117" t="n">
        <v>1</v>
      </c>
      <c r="AB504" s="117" t="n">
        <v>4</v>
      </c>
      <c r="AC504" s="121" t="inlineStr">
        <is>
          <t>⚠⚠ SERIOUS CONCERN</t>
        </is>
      </c>
      <c r="AD504" s="118" t="n">
        <v>11185000000</v>
      </c>
      <c r="AE504" s="118" t="n">
        <v>-2055000000</v>
      </c>
      <c r="AF504" s="118" t="n">
        <v>5936000000</v>
      </c>
      <c r="AG504" s="118" t="n">
        <v>-0.035</v>
      </c>
      <c r="AH504" s="119" t="inlineStr">
        <is>
          <t>✓ Medium Quality</t>
        </is>
      </c>
      <c r="AI504" s="118" t="n">
        <v>0.708</v>
      </c>
      <c r="AJ504" s="120" t="n">
        <v>0.188</v>
      </c>
      <c r="AK504" s="120" t="n">
        <v>3.763</v>
      </c>
      <c r="AL504" s="120" t="n">
        <v>0.099</v>
      </c>
      <c r="AM504" s="120" t="n">
        <v>0.015</v>
      </c>
      <c r="AN504" s="118" t="n">
        <v>60.5</v>
      </c>
      <c r="AO504" s="121" t="inlineStr">
        <is>
          <t>⚠ WATCH</t>
        </is>
      </c>
      <c r="AP504" s="117" t="n">
        <v>0</v>
      </c>
      <c r="AQ504" s="117" t="n">
        <v>0</v>
      </c>
      <c r="AR504" s="117" t="n">
        <v>1</v>
      </c>
      <c r="AS504" s="117" t="n">
        <v>0</v>
      </c>
      <c r="AT504" s="117" t="n">
        <v>1</v>
      </c>
      <c r="AU504" s="117" t="n">
        <v>0</v>
      </c>
      <c r="AV504" s="117" t="n">
        <v>2</v>
      </c>
      <c r="AW504" s="121" t="inlineStr">
        <is>
          <t>⚠ WATCH</t>
        </is>
      </c>
      <c r="AX504" s="118" t="n">
        <v>26.7</v>
      </c>
      <c r="AY504" s="119" t="inlineStr">
        <is>
          <t>🟢 LOW RISK</t>
        </is>
      </c>
      <c r="AZ504" s="118" t="n">
        <v>56.5</v>
      </c>
      <c r="BA504" s="118" t="n">
        <v>39.3</v>
      </c>
      <c r="BB504" s="118" t="n">
        <v>41.9</v>
      </c>
      <c r="BC504" s="118" t="n">
        <v>33</v>
      </c>
      <c r="BD504" s="118" t="n">
        <v>135.1</v>
      </c>
      <c r="BE504" s="118" t="n">
        <v>102.3</v>
      </c>
      <c r="BF504" s="120" t="n">
        <v>0.183</v>
      </c>
      <c r="BG504" s="117" t="n">
        <v>0.82</v>
      </c>
      <c r="BH504" s="122" t="n">
        <v>6</v>
      </c>
      <c r="BI504" s="123" t="n">
        <v>1</v>
      </c>
    </row>
    <row r="505" ht="17" customHeight="1">
      <c r="A505" s="117" t="inlineStr">
        <is>
          <t>MANH</t>
        </is>
      </c>
      <c r="B505" s="117" t="inlineStr">
        <is>
          <t>MANHATTAN ASSOCIATES, INC.</t>
        </is>
      </c>
      <c r="C505" s="118" t="n">
        <v>1.071</v>
      </c>
      <c r="D505" s="118" t="n">
        <v>0.962</v>
      </c>
      <c r="E505" s="118" t="n">
        <v>0.875</v>
      </c>
      <c r="F505" s="118" t="n">
        <v>0.975</v>
      </c>
      <c r="G505" s="118" t="n">
        <v>1.448</v>
      </c>
      <c r="H505" s="118" t="n">
        <v>1.07</v>
      </c>
      <c r="I505" s="118" t="n">
        <v>1</v>
      </c>
      <c r="J505" s="118" t="n">
        <v>-0.202</v>
      </c>
      <c r="K505" s="118" t="n">
        <v>-3.413</v>
      </c>
      <c r="L505" s="119" t="inlineStr">
        <is>
          <t>✓ Lower Risk</t>
        </is>
      </c>
      <c r="M505" s="120" t="n">
        <v>-0.053</v>
      </c>
      <c r="N505" s="120" t="n">
        <v>2.789</v>
      </c>
      <c r="O505" s="124" t="inlineStr">
        <is>
          <t>N/A</t>
        </is>
      </c>
      <c r="P505" s="120" t="n">
        <v>0.581</v>
      </c>
      <c r="Q505" s="120" t="n">
        <v>-0.026</v>
      </c>
      <c r="R505" s="117" t="n">
        <v>0</v>
      </c>
      <c r="S505" s="118" t="n">
        <v>0.249</v>
      </c>
      <c r="T505" s="118" t="n">
        <v>0.5620000000000001</v>
      </c>
      <c r="U505" s="121" t="inlineStr">
        <is>
          <t>⚠ HIGH RISK</t>
        </is>
      </c>
      <c r="V505" s="117" t="n">
        <v>0</v>
      </c>
      <c r="W505" s="117" t="n">
        <v>1</v>
      </c>
      <c r="X505" s="117" t="n">
        <v>0</v>
      </c>
      <c r="Y505" s="117" t="n">
        <v>1</v>
      </c>
      <c r="Z505" s="117" t="n">
        <v>1</v>
      </c>
      <c r="AA505" s="117" t="n">
        <v>1</v>
      </c>
      <c r="AB505" s="117" t="n">
        <v>4</v>
      </c>
      <c r="AC505" s="121" t="inlineStr">
        <is>
          <t>⚠⚠ SERIOUS CONCERN</t>
        </is>
      </c>
      <c r="AD505" s="118" t="n">
        <v>389470000</v>
      </c>
      <c r="AE505" s="118" t="n">
        <v>-15457000</v>
      </c>
      <c r="AF505" s="118" t="n">
        <v>219948000</v>
      </c>
      <c r="AG505" s="118" t="n">
        <v>-0.193</v>
      </c>
      <c r="AH505" s="119" t="inlineStr">
        <is>
          <t>✓ High Quality</t>
        </is>
      </c>
      <c r="AI505" s="118" t="n">
        <v>0.045</v>
      </c>
      <c r="AJ505" s="120" t="n">
        <v>-0.025</v>
      </c>
      <c r="AK505" s="120" t="n">
        <v>-1.827</v>
      </c>
      <c r="AL505" s="120" t="n">
        <v>2.966</v>
      </c>
      <c r="AM505" s="120" t="n">
        <v>0.08799999999999999</v>
      </c>
      <c r="AN505" s="117" t="n">
        <v>100</v>
      </c>
      <c r="AO505" s="119" t="inlineStr">
        <is>
          <t>✓ Good</t>
        </is>
      </c>
      <c r="AP505" s="117" t="n">
        <v>0</v>
      </c>
      <c r="AQ505" s="117" t="n">
        <v>1</v>
      </c>
      <c r="AR505" s="117" t="n">
        <v>1</v>
      </c>
      <c r="AS505" s="117" t="n">
        <v>1</v>
      </c>
      <c r="AT505" s="117" t="n">
        <v>0</v>
      </c>
      <c r="AU505" s="117" t="n">
        <v>0</v>
      </c>
      <c r="AV505" s="117" t="n">
        <v>3</v>
      </c>
      <c r="AW505" s="121" t="inlineStr">
        <is>
          <t>⚠ WATCH</t>
        </is>
      </c>
      <c r="AX505" s="118" t="n">
        <v>54</v>
      </c>
      <c r="AY505" s="121" t="inlineStr">
        <is>
          <t>🟡 ELEVATED RISK</t>
        </is>
      </c>
      <c r="AZ505" s="118" t="n">
        <v>596.8</v>
      </c>
      <c r="BA505" s="118" t="n">
        <v>557.2</v>
      </c>
      <c r="BB505" s="124" t="inlineStr">
        <is>
          <t>N/A</t>
        </is>
      </c>
      <c r="BC505" s="124" t="inlineStr">
        <is>
          <t>N/A</t>
        </is>
      </c>
      <c r="BD505" s="118" t="n">
        <v>17.1</v>
      </c>
      <c r="BE505" s="118" t="n">
        <v>20.6</v>
      </c>
      <c r="BF505" s="120" t="n">
        <v>0.231</v>
      </c>
      <c r="BG505" s="117" t="n">
        <v>0.581</v>
      </c>
      <c r="BH505" s="122" t="n">
        <v>7</v>
      </c>
      <c r="BI505" s="123" t="n">
        <v>1</v>
      </c>
    </row>
    <row r="506" ht="17" customHeight="1">
      <c r="A506" s="117" t="inlineStr">
        <is>
          <t>NOW</t>
        </is>
      </c>
      <c r="B506" s="117" t="inlineStr">
        <is>
          <t>ServiceNow, Inc.</t>
        </is>
      </c>
      <c r="C506" s="118" t="n">
        <v>0.844</v>
      </c>
      <c r="D506" s="118" t="n">
        <v>1.174</v>
      </c>
      <c r="E506" s="118" t="n">
        <v>1.102</v>
      </c>
      <c r="F506" s="118" t="n">
        <v>1.39</v>
      </c>
      <c r="G506" s="118" t="n">
        <v>0.994</v>
      </c>
      <c r="H506" s="118" t="n">
        <v>0.863</v>
      </c>
      <c r="I506" s="118" t="n">
        <v>0.95</v>
      </c>
      <c r="J506" s="118" t="n">
        <v>-0.142</v>
      </c>
      <c r="K506" s="118" t="n">
        <v>-2.768</v>
      </c>
      <c r="L506" s="119" t="inlineStr">
        <is>
          <t>✓ Lower Risk</t>
        </is>
      </c>
      <c r="M506" s="120" t="n">
        <v>-0.114</v>
      </c>
      <c r="N506" s="120" t="n">
        <v>0.713</v>
      </c>
      <c r="O506" s="124" t="inlineStr">
        <is>
          <t>N/A</t>
        </is>
      </c>
      <c r="P506" s="120" t="n">
        <v>0.769</v>
      </c>
      <c r="Q506" s="120" t="n">
        <v>-0.003</v>
      </c>
      <c r="R506" s="117" t="n">
        <v>1</v>
      </c>
      <c r="S506" s="118" t="n">
        <v>-1.59</v>
      </c>
      <c r="T506" s="118" t="n">
        <v>0.169</v>
      </c>
      <c r="U506" s="121" t="inlineStr">
        <is>
          <t>⚠ HIGH RISK</t>
        </is>
      </c>
      <c r="V506" s="117" t="n">
        <v>1</v>
      </c>
      <c r="W506" s="117" t="n">
        <v>0</v>
      </c>
      <c r="X506" s="117" t="n">
        <v>0</v>
      </c>
      <c r="Y506" s="117" t="n">
        <v>0</v>
      </c>
      <c r="Z506" s="117" t="n">
        <v>0</v>
      </c>
      <c r="AA506" s="117" t="n">
        <v>1</v>
      </c>
      <c r="AB506" s="117" t="n">
        <v>2</v>
      </c>
      <c r="AC506" s="121" t="inlineStr">
        <is>
          <t>⚠ WATCH</t>
        </is>
      </c>
      <c r="AD506" s="118" t="n">
        <v>5444000000</v>
      </c>
      <c r="AE506" s="118" t="n">
        <v>-1689000000</v>
      </c>
      <c r="AF506" s="118" t="n">
        <v>1748000000</v>
      </c>
      <c r="AG506" s="118" t="n">
        <v>-0.08599999999999999</v>
      </c>
      <c r="AH506" s="119" t="inlineStr">
        <is>
          <t>✓ Medium Quality</t>
        </is>
      </c>
      <c r="AI506" s="118" t="n">
        <v>0.173</v>
      </c>
      <c r="AJ506" s="120" t="n">
        <v>0.39</v>
      </c>
      <c r="AK506" s="120" t="n">
        <v>0.443</v>
      </c>
      <c r="AL506" s="120" t="n">
        <v>2.816</v>
      </c>
      <c r="AM506" s="120" t="n">
        <v>0.217</v>
      </c>
      <c r="AN506" s="117" t="n">
        <v>100</v>
      </c>
      <c r="AO506" s="119" t="inlineStr">
        <is>
          <t>✓ Good</t>
        </is>
      </c>
      <c r="AP506" s="117" t="n">
        <v>0</v>
      </c>
      <c r="AQ506" s="117" t="n">
        <v>0</v>
      </c>
      <c r="AR506" s="117" t="n">
        <v>1</v>
      </c>
      <c r="AS506" s="117" t="n">
        <v>0</v>
      </c>
      <c r="AT506" s="117" t="n">
        <v>1</v>
      </c>
      <c r="AU506" s="117" t="n">
        <v>0</v>
      </c>
      <c r="AV506" s="117" t="n">
        <v>2</v>
      </c>
      <c r="AW506" s="121" t="inlineStr">
        <is>
          <t>⚠ WATCH</t>
        </is>
      </c>
      <c r="AX506" s="118" t="n">
        <v>41.7</v>
      </c>
      <c r="AY506" s="121" t="inlineStr">
        <is>
          <t>🟡 ELEVATED RISK</t>
        </is>
      </c>
      <c r="AZ506" s="118" t="n">
        <v>496</v>
      </c>
      <c r="BA506" s="118" t="n">
        <v>588</v>
      </c>
      <c r="BB506" s="124" t="inlineStr">
        <is>
          <t>N/A</t>
        </is>
      </c>
      <c r="BC506" s="124" t="inlineStr">
        <is>
          <t>N/A</t>
        </is>
      </c>
      <c r="BD506" s="118" t="n">
        <v>25</v>
      </c>
      <c r="BE506" s="118" t="n">
        <v>10.9</v>
      </c>
      <c r="BF506" s="120" t="n">
        <v>0.227</v>
      </c>
      <c r="BG506" s="117" t="n">
        <v>0.769</v>
      </c>
      <c r="BH506" s="122" t="n">
        <v>5</v>
      </c>
      <c r="BI506" s="123" t="n">
        <v>1</v>
      </c>
    </row>
    <row r="507" ht="17" customHeight="1">
      <c r="A507" s="117" t="inlineStr">
        <is>
          <t>FISV</t>
        </is>
      </c>
      <c r="B507" s="117" t="inlineStr">
        <is>
          <t>FISERV INC</t>
        </is>
      </c>
      <c r="C507" s="118" t="n">
        <v>1.032</v>
      </c>
      <c r="D507" s="118" t="n">
        <v>1.027</v>
      </c>
      <c r="E507" s="118" t="n">
        <v>0.983</v>
      </c>
      <c r="F507" s="118" t="n">
        <v>1.036</v>
      </c>
      <c r="G507" s="118" t="n">
        <v>1.136</v>
      </c>
      <c r="H507" s="118" t="n">
        <v>1.012</v>
      </c>
      <c r="I507" s="118" t="n">
        <v>1.057</v>
      </c>
      <c r="J507" s="118" t="n">
        <v>-0.032</v>
      </c>
      <c r="K507" s="118" t="n">
        <v>-2.568</v>
      </c>
      <c r="L507" s="119" t="inlineStr">
        <is>
          <t>✓ Lower Risk</t>
        </is>
      </c>
      <c r="M507" s="120" t="n">
        <v>-0.041</v>
      </c>
      <c r="N507" s="120" t="n">
        <v>0.347</v>
      </c>
      <c r="O507" s="124" t="inlineStr">
        <is>
          <t>N/A</t>
        </is>
      </c>
      <c r="P507" s="120" t="n">
        <v>0.952</v>
      </c>
      <c r="Q507" s="120" t="n">
        <v>0.003</v>
      </c>
      <c r="R507" s="117" t="n">
        <v>0</v>
      </c>
      <c r="S507" s="118" t="n">
        <v>-5.169</v>
      </c>
      <c r="T507" s="118" t="n">
        <v>0.006</v>
      </c>
      <c r="U507" s="119" t="inlineStr">
        <is>
          <t>✓ Normal</t>
        </is>
      </c>
      <c r="V507" s="117" t="n">
        <v>1</v>
      </c>
      <c r="W507" s="117" t="n">
        <v>1</v>
      </c>
      <c r="X507" s="117" t="n">
        <v>0</v>
      </c>
      <c r="Y507" s="117" t="n">
        <v>0</v>
      </c>
      <c r="Z507" s="117" t="n">
        <v>1</v>
      </c>
      <c r="AA507" s="117" t="n">
        <v>0</v>
      </c>
      <c r="AB507" s="117" t="n">
        <v>3</v>
      </c>
      <c r="AC507" s="121" t="inlineStr">
        <is>
          <t>⚠ WATCH</t>
        </is>
      </c>
      <c r="AD507" s="118" t="n">
        <v>6062000000</v>
      </c>
      <c r="AE507" s="118" t="n">
        <v>-2520000000</v>
      </c>
      <c r="AF507" s="118" t="n">
        <v>3480000000</v>
      </c>
      <c r="AG507" s="118" t="n">
        <v>-0.001</v>
      </c>
      <c r="AH507" s="119" t="inlineStr">
        <is>
          <t>✓ Medium Quality</t>
        </is>
      </c>
      <c r="AI507" s="118" t="n">
        <v>0.06900000000000001</v>
      </c>
      <c r="AJ507" s="120" t="n">
        <v>0.036</v>
      </c>
      <c r="AK507" s="120" t="n">
        <v>1.908</v>
      </c>
      <c r="AL507" s="120" t="n">
        <v>0.286</v>
      </c>
      <c r="AM507" s="120" t="n">
        <v>-0.008</v>
      </c>
      <c r="AN507" s="118" t="n">
        <v>72.40000000000001</v>
      </c>
      <c r="AO507" s="119" t="inlineStr">
        <is>
          <t>✓ Good</t>
        </is>
      </c>
      <c r="AP507" s="117" t="n">
        <v>0</v>
      </c>
      <c r="AQ507" s="117" t="n">
        <v>0</v>
      </c>
      <c r="AR507" s="117" t="n">
        <v>1</v>
      </c>
      <c r="AS507" s="117" t="n">
        <v>1</v>
      </c>
      <c r="AT507" s="117" t="n">
        <v>0</v>
      </c>
      <c r="AU507" s="117" t="n">
        <v>0</v>
      </c>
      <c r="AV507" s="117" t="n">
        <v>2</v>
      </c>
      <c r="AW507" s="121" t="inlineStr">
        <is>
          <t>⚠ WATCH</t>
        </is>
      </c>
      <c r="AX507" s="118" t="n">
        <v>20.7</v>
      </c>
      <c r="AY507" s="119" t="inlineStr">
        <is>
          <t>🟢 LOW RISK</t>
        </is>
      </c>
      <c r="AZ507" s="118" t="n">
        <v>68.59999999999999</v>
      </c>
      <c r="BA507" s="118" t="n">
        <v>66.5</v>
      </c>
      <c r="BB507" s="124" t="inlineStr">
        <is>
          <t>N/A</t>
        </is>
      </c>
      <c r="BC507" s="124" t="inlineStr">
        <is>
          <t>N/A</t>
        </is>
      </c>
      <c r="BD507" s="118" t="n">
        <v>390.5</v>
      </c>
      <c r="BE507" s="118" t="n">
        <v>961.4</v>
      </c>
      <c r="BF507" s="120" t="n">
        <v>0.227</v>
      </c>
      <c r="BG507" s="117" t="n">
        <v>0.952</v>
      </c>
      <c r="BH507" s="122" t="n">
        <v>5</v>
      </c>
      <c r="BI507" s="123" t="n">
        <v>1</v>
      </c>
    </row>
    <row r="508" ht="17" customHeight="1">
      <c r="A508" s="117" t="inlineStr">
        <is>
          <t>DOW</t>
        </is>
      </c>
      <c r="B508" s="117" t="inlineStr">
        <is>
          <t>Dow Inc.</t>
        </is>
      </c>
      <c r="C508" s="118" t="n">
        <v>1.076</v>
      </c>
      <c r="D508" s="118" t="n">
        <v>0.281</v>
      </c>
      <c r="E508" s="118" t="n">
        <v>0.953</v>
      </c>
      <c r="F508" s="118" t="n">
        <v>0.93</v>
      </c>
      <c r="G508" s="118" t="n">
        <v>1.029</v>
      </c>
      <c r="H508" s="118" t="n">
        <v>0.946</v>
      </c>
      <c r="I508" s="118" t="n">
        <v>1</v>
      </c>
      <c r="J508" s="118" t="n">
        <v>-0.059</v>
      </c>
      <c r="K508" s="118" t="n">
        <v>-3.136</v>
      </c>
      <c r="L508" s="119" t="inlineStr">
        <is>
          <t>✓ Lower Risk</t>
        </is>
      </c>
      <c r="M508" s="120" t="n">
        <v>-0.032</v>
      </c>
      <c r="N508" s="120" t="n">
        <v>0.002</v>
      </c>
      <c r="O508" s="120" t="n">
        <v>0.017</v>
      </c>
      <c r="P508" s="120" t="n">
        <v>0.555</v>
      </c>
      <c r="Q508" s="120" t="n">
        <v>-0.063</v>
      </c>
      <c r="R508" s="117" t="n">
        <v>1</v>
      </c>
      <c r="S508" s="118" t="n">
        <v>-3.694</v>
      </c>
      <c r="T508" s="118" t="n">
        <v>0.024</v>
      </c>
      <c r="U508" s="119" t="inlineStr">
        <is>
          <t>✓ Normal</t>
        </is>
      </c>
      <c r="V508" s="117" t="n">
        <v>0</v>
      </c>
      <c r="W508" s="117" t="n">
        <v>1</v>
      </c>
      <c r="X508" s="117" t="n">
        <v>1</v>
      </c>
      <c r="Y508" s="117" t="n">
        <v>0</v>
      </c>
      <c r="Z508" s="117" t="n">
        <v>1</v>
      </c>
      <c r="AA508" s="117" t="n">
        <v>0</v>
      </c>
      <c r="AB508" s="117" t="n">
        <v>3</v>
      </c>
      <c r="AC508" s="121" t="inlineStr">
        <is>
          <t>⚠ WATCH</t>
        </is>
      </c>
      <c r="AD508" s="118" t="n">
        <v>1032000000</v>
      </c>
      <c r="AE508" s="118" t="n">
        <v>-2126000000</v>
      </c>
      <c r="AF508" s="118" t="n">
        <v>-2444000000</v>
      </c>
      <c r="AG508" s="118" t="n">
        <v>-0.023</v>
      </c>
      <c r="AH508" s="119" t="inlineStr">
        <is>
          <t>✓ Medium Quality</t>
        </is>
      </c>
      <c r="AI508" s="118" t="n">
        <v>0.001</v>
      </c>
      <c r="AJ508" s="120" t="n">
        <v>-0.07000000000000001</v>
      </c>
      <c r="AK508" s="120" t="n">
        <v>-0.018</v>
      </c>
      <c r="AL508" s="120" t="n">
        <v>0.026</v>
      </c>
      <c r="AM508" s="120" t="n">
        <v>-0.001</v>
      </c>
      <c r="AN508" s="118" t="n">
        <v>75.09999999999999</v>
      </c>
      <c r="AO508" s="119" t="inlineStr">
        <is>
          <t>✓ Good</t>
        </is>
      </c>
      <c r="AP508" s="117" t="n">
        <v>1</v>
      </c>
      <c r="AQ508" s="117" t="n">
        <v>1</v>
      </c>
      <c r="AR508" s="117" t="n">
        <v>0</v>
      </c>
      <c r="AS508" s="117" t="n">
        <v>0</v>
      </c>
      <c r="AT508" s="117" t="n">
        <v>0</v>
      </c>
      <c r="AU508" s="117" t="n">
        <v>1</v>
      </c>
      <c r="AV508" s="117" t="n">
        <v>3</v>
      </c>
      <c r="AW508" s="121" t="inlineStr">
        <is>
          <t>⚠ WATCH</t>
        </is>
      </c>
      <c r="AX508" s="118" t="n">
        <v>23</v>
      </c>
      <c r="AY508" s="119" t="inlineStr">
        <is>
          <t>🟢 LOW RISK</t>
        </is>
      </c>
      <c r="AZ508" s="118" t="n">
        <v>43.5</v>
      </c>
      <c r="BA508" s="118" t="n">
        <v>40.4</v>
      </c>
      <c r="BB508" s="118" t="n">
        <v>64.3</v>
      </c>
      <c r="BC508" s="118" t="n">
        <v>62.3</v>
      </c>
      <c r="BD508" s="118" t="n">
        <v>26.9</v>
      </c>
      <c r="BE508" s="124" t="inlineStr">
        <is>
          <t>N/A</t>
        </is>
      </c>
      <c r="BF508" s="120" t="n">
        <v>0.027</v>
      </c>
      <c r="BG508" s="117" t="n">
        <v>0.555</v>
      </c>
      <c r="BH508" s="122" t="n">
        <v>7</v>
      </c>
      <c r="BI508" s="123" t="n">
        <v>1</v>
      </c>
    </row>
    <row r="509" ht="17" customHeight="1">
      <c r="A509" s="117" t="inlineStr">
        <is>
          <t>COF</t>
        </is>
      </c>
      <c r="B509" s="117" t="inlineStr">
        <is>
          <t>CAPITAL ONE FINANCIAL CORP</t>
        </is>
      </c>
      <c r="C509" s="124" t="inlineStr">
        <is>
          <t>N/A</t>
        </is>
      </c>
      <c r="D509" s="124" t="inlineStr">
        <is>
          <t>N/A</t>
        </is>
      </c>
      <c r="E509" s="118" t="n">
        <v>1.001</v>
      </c>
      <c r="F509" s="118" t="n">
        <v>1.366</v>
      </c>
      <c r="G509" s="118" t="n">
        <v>0.863</v>
      </c>
      <c r="H509" s="124" t="inlineStr">
        <is>
          <t>N/A</t>
        </is>
      </c>
      <c r="I509" s="118" t="n">
        <v>0.948</v>
      </c>
      <c r="J509" s="118" t="n">
        <v>-0.038</v>
      </c>
      <c r="K509" s="124" t="inlineStr">
        <is>
          <t>N/A</t>
        </is>
      </c>
      <c r="L509" s="124" t="inlineStr">
        <is>
          <t>N/A</t>
        </is>
      </c>
      <c r="M509" s="124" t="inlineStr">
        <is>
          <t>N/A</t>
        </is>
      </c>
      <c r="N509" s="124" t="inlineStr">
        <is>
          <t>N/A</t>
        </is>
      </c>
      <c r="O509" s="124" t="inlineStr">
        <is>
          <t>N/A</t>
        </is>
      </c>
      <c r="P509" s="120" t="n">
        <v>0.992</v>
      </c>
      <c r="Q509" s="120" t="n">
        <v>-0.006</v>
      </c>
      <c r="R509" s="117" t="n">
        <v>1</v>
      </c>
      <c r="S509" s="124" t="inlineStr">
        <is>
          <t>N/A</t>
        </is>
      </c>
      <c r="T509" s="124" t="inlineStr">
        <is>
          <t>N/A</t>
        </is>
      </c>
      <c r="U509" s="124" t="inlineStr">
        <is>
          <t>N/A</t>
        </is>
      </c>
      <c r="V509" s="117" t="n">
        <v>0</v>
      </c>
      <c r="W509" s="117" t="n">
        <v>0</v>
      </c>
      <c r="X509" s="117" t="n">
        <v>0</v>
      </c>
      <c r="Y509" s="117" t="n">
        <v>0</v>
      </c>
      <c r="Z509" s="117" t="n">
        <v>0</v>
      </c>
      <c r="AA509" s="117" t="n">
        <v>1</v>
      </c>
      <c r="AB509" s="117" t="n">
        <v>1</v>
      </c>
      <c r="AC509" s="119" t="inlineStr">
        <is>
          <t>✓ Clean</t>
        </is>
      </c>
      <c r="AD509" s="118" t="n">
        <v>27718000000</v>
      </c>
      <c r="AE509" s="118" t="n">
        <v>-444000000</v>
      </c>
      <c r="AF509" s="118" t="n">
        <v>2453000000</v>
      </c>
      <c r="AG509" s="118" t="n">
        <v>-0.043</v>
      </c>
      <c r="AH509" s="119" t="inlineStr">
        <is>
          <t>✓ Medium Quality</t>
        </is>
      </c>
      <c r="AI509" s="124" t="inlineStr">
        <is>
          <t>N/A</t>
        </is>
      </c>
      <c r="AJ509" s="120" t="n">
        <v>0.366</v>
      </c>
      <c r="AK509" s="124" t="inlineStr">
        <is>
          <t>N/A</t>
        </is>
      </c>
      <c r="AL509" s="120" t="n">
        <v>0.519</v>
      </c>
      <c r="AM509" s="124" t="inlineStr">
        <is>
          <t>N/A</t>
        </is>
      </c>
      <c r="AN509" s="117" t="n">
        <v>100</v>
      </c>
      <c r="AO509" s="119" t="inlineStr">
        <is>
          <t>✓ Good</t>
        </is>
      </c>
      <c r="AP509" s="117" t="n">
        <v>0</v>
      </c>
      <c r="AQ509" s="117" t="n">
        <v>0</v>
      </c>
      <c r="AR509" s="117" t="n">
        <v>0</v>
      </c>
      <c r="AS509" s="117" t="n">
        <v>0</v>
      </c>
      <c r="AT509" s="117" t="n">
        <v>0</v>
      </c>
      <c r="AU509" s="117" t="n">
        <v>1</v>
      </c>
      <c r="AV509" s="117" t="n">
        <v>1</v>
      </c>
      <c r="AW509" s="119" t="inlineStr">
        <is>
          <t>✓ Clean</t>
        </is>
      </c>
      <c r="AX509" s="118" t="n">
        <v>27</v>
      </c>
      <c r="AY509" s="119" t="inlineStr">
        <is>
          <t>🟢 LOW RISK</t>
        </is>
      </c>
      <c r="AZ509" s="118" t="n">
        <v>0</v>
      </c>
      <c r="BA509" s="124" t="inlineStr">
        <is>
          <t>N/A</t>
        </is>
      </c>
      <c r="BB509" s="124" t="inlineStr">
        <is>
          <t>N/A</t>
        </is>
      </c>
      <c r="BC509" s="124" t="inlineStr">
        <is>
          <t>N/A</t>
        </is>
      </c>
      <c r="BD509" s="124" t="inlineStr">
        <is>
          <t>N/A</t>
        </is>
      </c>
      <c r="BE509" s="124" t="inlineStr">
        <is>
          <t>N/A</t>
        </is>
      </c>
      <c r="BF509" s="120" t="n">
        <v>0.08500000000000001</v>
      </c>
      <c r="BG509" s="117" t="n">
        <v>0.992</v>
      </c>
      <c r="BH509" s="122" t="n">
        <v>3</v>
      </c>
      <c r="BI509" s="125" t="n">
        <v>0.6666666666666666</v>
      </c>
    </row>
    <row r="510" ht="17" customHeight="1">
      <c r="A510" s="117" t="inlineStr">
        <is>
          <t>JOBY</t>
        </is>
      </c>
      <c r="B510" s="117" t="inlineStr">
        <is>
          <t>Joby Aviation, Inc.</t>
        </is>
      </c>
      <c r="C510" s="124" t="inlineStr">
        <is>
          <t>N/A</t>
        </is>
      </c>
      <c r="D510" s="118" t="n">
        <v>325.773</v>
      </c>
      <c r="E510" s="118" t="n">
        <v>0.954</v>
      </c>
      <c r="F510" s="118" t="n">
        <v>392.831</v>
      </c>
      <c r="G510" s="118" t="n">
        <v>1.344</v>
      </c>
      <c r="H510" s="118" t="n">
        <v>0.003</v>
      </c>
      <c r="I510" s="118" t="n">
        <v>0.888</v>
      </c>
      <c r="J510" s="118" t="n">
        <v>-0.234</v>
      </c>
      <c r="K510" s="124" t="inlineStr">
        <is>
          <t>N/A</t>
        </is>
      </c>
      <c r="L510" s="124" t="inlineStr">
        <is>
          <t>N/A</t>
        </is>
      </c>
      <c r="M510" s="120" t="n">
        <v>0.217</v>
      </c>
      <c r="N510" s="124" t="inlineStr">
        <is>
          <t>N/A</t>
        </is>
      </c>
      <c r="O510" s="124" t="inlineStr">
        <is>
          <t>N/A</t>
        </is>
      </c>
      <c r="P510" s="120" t="n">
        <v>0.8149999999999999</v>
      </c>
      <c r="Q510" s="120" t="n">
        <v>-0.013</v>
      </c>
      <c r="R510" s="117" t="n">
        <v>1</v>
      </c>
      <c r="S510" s="124" t="inlineStr">
        <is>
          <t>N/A</t>
        </is>
      </c>
      <c r="T510" s="124" t="inlineStr">
        <is>
          <t>N/A</t>
        </is>
      </c>
      <c r="U510" s="124" t="inlineStr">
        <is>
          <t>N/A</t>
        </is>
      </c>
      <c r="V510" s="117" t="n">
        <v>1</v>
      </c>
      <c r="W510" s="117" t="n">
        <v>0</v>
      </c>
      <c r="X510" s="117" t="n">
        <v>0</v>
      </c>
      <c r="Y510" s="117" t="n">
        <v>1</v>
      </c>
      <c r="Z510" s="117" t="n">
        <v>1</v>
      </c>
      <c r="AA510" s="117" t="n">
        <v>1</v>
      </c>
      <c r="AB510" s="117" t="n">
        <v>4</v>
      </c>
      <c r="AC510" s="121" t="inlineStr">
        <is>
          <t>⚠⚠ SERIOUS CONCERN</t>
        </is>
      </c>
      <c r="AD510" s="118" t="n">
        <v>-509893000</v>
      </c>
      <c r="AE510" s="118" t="n">
        <v>-475416000</v>
      </c>
      <c r="AF510" s="118" t="n">
        <v>-929842000</v>
      </c>
      <c r="AG510" s="118" t="n">
        <v>0.037</v>
      </c>
      <c r="AH510" s="119" t="inlineStr">
        <is>
          <t>✓ Medium Quality</t>
        </is>
      </c>
      <c r="AI510" s="124" t="inlineStr">
        <is>
          <t>N/A</t>
        </is>
      </c>
      <c r="AJ510" s="120" t="n">
        <v>391.831</v>
      </c>
      <c r="AK510" s="124" t="inlineStr">
        <is>
          <t>N/A</t>
        </is>
      </c>
      <c r="AL510" s="120" t="n">
        <v>-9.544</v>
      </c>
      <c r="AM510" s="120" t="n">
        <v>0.034</v>
      </c>
      <c r="AN510" s="118" t="n">
        <v>71.7</v>
      </c>
      <c r="AO510" s="119" t="inlineStr">
        <is>
          <t>✓ Good</t>
        </is>
      </c>
      <c r="AP510" s="117" t="n">
        <v>0</v>
      </c>
      <c r="AQ510" s="117" t="n">
        <v>0</v>
      </c>
      <c r="AR510" s="117" t="n">
        <v>0</v>
      </c>
      <c r="AS510" s="117" t="n">
        <v>0</v>
      </c>
      <c r="AT510" s="117" t="n">
        <v>1</v>
      </c>
      <c r="AU510" s="117" t="n">
        <v>1</v>
      </c>
      <c r="AV510" s="117" t="n">
        <v>2</v>
      </c>
      <c r="AW510" s="121" t="inlineStr">
        <is>
          <t>⚠ WATCH</t>
        </is>
      </c>
      <c r="AX510" s="118" t="n">
        <v>39.2</v>
      </c>
      <c r="AY510" s="119" t="inlineStr">
        <is>
          <t>🟢 LOW RISK</t>
        </is>
      </c>
      <c r="AZ510" s="118" t="n">
        <v>0</v>
      </c>
      <c r="BA510" s="124" t="inlineStr">
        <is>
          <t>N/A</t>
        </is>
      </c>
      <c r="BB510" s="124" t="inlineStr">
        <is>
          <t>N/A</t>
        </is>
      </c>
      <c r="BC510" s="124" t="inlineStr">
        <is>
          <t>N/A</t>
        </is>
      </c>
      <c r="BD510" s="118" t="n">
        <v>1.7</v>
      </c>
      <c r="BE510" s="118" t="n">
        <v>2.6</v>
      </c>
      <c r="BF510" s="120" t="n">
        <v>-0.001</v>
      </c>
      <c r="BG510" s="117" t="n">
        <v>0.8149999999999999</v>
      </c>
      <c r="BH510" s="122" t="n">
        <v>7</v>
      </c>
      <c r="BI510" s="125" t="n">
        <v>0.6666666666666666</v>
      </c>
    </row>
    <row r="511" ht="17" customHeight="1">
      <c r="A511" s="117" t="inlineStr">
        <is>
          <t>ALB</t>
        </is>
      </c>
      <c r="B511" s="117" t="inlineStr">
        <is>
          <t>Albemarle Corporation</t>
        </is>
      </c>
      <c r="C511" s="118" t="n">
        <v>0.836</v>
      </c>
      <c r="D511" s="118" t="n">
        <v>0.089</v>
      </c>
      <c r="E511" s="118" t="n">
        <v>0.884</v>
      </c>
      <c r="F511" s="118" t="n">
        <v>0.956</v>
      </c>
      <c r="G511" s="118" t="n">
        <v>1.141</v>
      </c>
      <c r="H511" s="118" t="n">
        <v>0.931</v>
      </c>
      <c r="I511" s="118" t="n">
        <v>1</v>
      </c>
      <c r="J511" s="118" t="n">
        <v>-0.109</v>
      </c>
      <c r="K511" s="118" t="n">
        <v>-3.682</v>
      </c>
      <c r="L511" s="119" t="inlineStr">
        <is>
          <t>✓ Lower Risk</t>
        </is>
      </c>
      <c r="M511" s="120" t="n">
        <v>0.011</v>
      </c>
      <c r="N511" s="120" t="n">
        <v>-0.633</v>
      </c>
      <c r="O511" s="120" t="n">
        <v>-1.377</v>
      </c>
      <c r="P511" s="120" t="n">
        <v>0.602</v>
      </c>
      <c r="Q511" s="120" t="n">
        <v>0.04</v>
      </c>
      <c r="R511" s="117" t="n">
        <v>1</v>
      </c>
      <c r="S511" s="118" t="n">
        <v>-6.872</v>
      </c>
      <c r="T511" s="118" t="n">
        <v>0.001</v>
      </c>
      <c r="U511" s="119" t="inlineStr">
        <is>
          <t>✓ Normal</t>
        </is>
      </c>
      <c r="V511" s="117" t="n">
        <v>1</v>
      </c>
      <c r="W511" s="117" t="n">
        <v>0</v>
      </c>
      <c r="X511" s="117" t="n">
        <v>0</v>
      </c>
      <c r="Y511" s="117" t="n">
        <v>0</v>
      </c>
      <c r="Z511" s="117" t="n">
        <v>1</v>
      </c>
      <c r="AA511" s="117" t="n">
        <v>0</v>
      </c>
      <c r="AB511" s="117" t="n">
        <v>2</v>
      </c>
      <c r="AC511" s="121" t="inlineStr">
        <is>
          <t>⚠ WATCH</t>
        </is>
      </c>
      <c r="AD511" s="118" t="n">
        <v>1282267000</v>
      </c>
      <c r="AE511" s="118" t="n">
        <v>-146007000</v>
      </c>
      <c r="AF511" s="118" t="n">
        <v>-510628000</v>
      </c>
      <c r="AG511" s="118" t="n">
        <v>-0.1</v>
      </c>
      <c r="AH511" s="119" t="inlineStr">
        <is>
          <t>✓ Medium Quality</t>
        </is>
      </c>
      <c r="AI511" s="118" t="n">
        <v>-0.2</v>
      </c>
      <c r="AJ511" s="120" t="n">
        <v>-0.044</v>
      </c>
      <c r="AK511" s="120" t="n">
        <v>4.589</v>
      </c>
      <c r="AL511" s="120" t="n">
        <v>0.249</v>
      </c>
      <c r="AM511" s="120" t="n">
        <v>0.018</v>
      </c>
      <c r="AN511" s="118" t="n">
        <v>70.90000000000001</v>
      </c>
      <c r="AO511" s="119" t="inlineStr">
        <is>
          <t>✓ Good</t>
        </is>
      </c>
      <c r="AP511" s="117" t="n">
        <v>0</v>
      </c>
      <c r="AQ511" s="117" t="n">
        <v>1</v>
      </c>
      <c r="AR511" s="117" t="n">
        <v>0</v>
      </c>
      <c r="AS511" s="117" t="n">
        <v>0</v>
      </c>
      <c r="AT511" s="117" t="n">
        <v>0</v>
      </c>
      <c r="AU511" s="117" t="n">
        <v>0</v>
      </c>
      <c r="AV511" s="117" t="n">
        <v>1</v>
      </c>
      <c r="AW511" s="119" t="inlineStr">
        <is>
          <t>✓ Clean</t>
        </is>
      </c>
      <c r="AX511" s="118" t="n">
        <v>14.6</v>
      </c>
      <c r="AY511" s="119" t="inlineStr">
        <is>
          <t>🟢 VERY LOW RISK</t>
        </is>
      </c>
      <c r="AZ511" s="118" t="n">
        <v>42.1</v>
      </c>
      <c r="BA511" s="118" t="n">
        <v>50.4</v>
      </c>
      <c r="BB511" s="118" t="n">
        <v>96.2</v>
      </c>
      <c r="BC511" s="118" t="n">
        <v>103.2</v>
      </c>
      <c r="BD511" s="118" t="n">
        <v>125.1</v>
      </c>
      <c r="BE511" s="118" t="n">
        <v>44.5</v>
      </c>
      <c r="BF511" s="120" t="n">
        <v>0.291</v>
      </c>
      <c r="BG511" s="117" t="n">
        <v>0.602</v>
      </c>
      <c r="BH511" s="122" t="n">
        <v>4</v>
      </c>
      <c r="BI511" s="123" t="n">
        <v>1</v>
      </c>
    </row>
    <row r="512" ht="17" customHeight="1">
      <c r="A512" s="117" t="inlineStr">
        <is>
          <t>SLB</t>
        </is>
      </c>
      <c r="B512" s="117" t="inlineStr">
        <is>
          <t>SLB LIMITED/NV</t>
        </is>
      </c>
      <c r="C512" s="118" t="n">
        <v>0.991</v>
      </c>
      <c r="D512" s="118" t="n">
        <v>-4.953</v>
      </c>
      <c r="E512" s="118" t="n">
        <v>1.065</v>
      </c>
      <c r="F512" s="118" t="n">
        <v>1.095</v>
      </c>
      <c r="G512" s="118" t="n">
        <v>1.017</v>
      </c>
      <c r="H512" s="118" t="n">
        <v>0.8070000000000001</v>
      </c>
      <c r="I512" s="118" t="n">
        <v>0.925</v>
      </c>
      <c r="J512" s="118" t="n">
        <v>-0.057</v>
      </c>
      <c r="K512" s="118" t="n">
        <v>-5.727</v>
      </c>
      <c r="L512" s="119" t="inlineStr">
        <is>
          <t>✓ Lower Risk</t>
        </is>
      </c>
      <c r="M512" s="120" t="n">
        <v>-0.06</v>
      </c>
      <c r="N512" s="120" t="n">
        <v>0.258</v>
      </c>
      <c r="O512" s="120" t="n">
        <v>0.25</v>
      </c>
      <c r="P512" s="120" t="n">
        <v>0.799</v>
      </c>
      <c r="Q512" s="120" t="n">
        <v>-0.03</v>
      </c>
      <c r="R512" s="117" t="n">
        <v>1</v>
      </c>
      <c r="S512" s="118" t="n">
        <v>-2.325</v>
      </c>
      <c r="T512" s="118" t="n">
        <v>0.089</v>
      </c>
      <c r="U512" s="121" t="inlineStr">
        <is>
          <t>⚠ HIGH RISK</t>
        </is>
      </c>
      <c r="V512" s="117" t="n">
        <v>0</v>
      </c>
      <c r="W512" s="117" t="n">
        <v>0</v>
      </c>
      <c r="X512" s="117" t="n">
        <v>1</v>
      </c>
      <c r="Y512" s="117" t="n">
        <v>0</v>
      </c>
      <c r="Z512" s="117" t="n">
        <v>1</v>
      </c>
      <c r="AA512" s="117" t="n">
        <v>1</v>
      </c>
      <c r="AB512" s="117" t="n">
        <v>3</v>
      </c>
      <c r="AC512" s="121" t="inlineStr">
        <is>
          <t>⚠ WATCH</t>
        </is>
      </c>
      <c r="AD512" s="118" t="n">
        <v>6489000000</v>
      </c>
      <c r="AE512" s="118" t="n">
        <v>-1412000000</v>
      </c>
      <c r="AF512" s="118" t="n">
        <v>3374000000</v>
      </c>
      <c r="AG512" s="118" t="n">
        <v>-0.033</v>
      </c>
      <c r="AH512" s="119" t="inlineStr">
        <is>
          <t>✓ Medium Quality</t>
        </is>
      </c>
      <c r="AI512" s="118" t="n">
        <v>0.08500000000000001</v>
      </c>
      <c r="AJ512" s="120" t="n">
        <v>0.095</v>
      </c>
      <c r="AK512" s="120" t="n">
        <v>0.895</v>
      </c>
      <c r="AL512" s="120" t="n">
        <v>0.213</v>
      </c>
      <c r="AM512" s="120" t="n">
        <v>-0.011</v>
      </c>
      <c r="AN512" s="118" t="n">
        <v>99.40000000000001</v>
      </c>
      <c r="AO512" s="119" t="inlineStr">
        <is>
          <t>✓ Good</t>
        </is>
      </c>
      <c r="AP512" s="117" t="n">
        <v>0</v>
      </c>
      <c r="AQ512" s="117" t="n">
        <v>0</v>
      </c>
      <c r="AR512" s="117" t="n">
        <v>0</v>
      </c>
      <c r="AS512" s="117" t="n">
        <v>0</v>
      </c>
      <c r="AT512" s="117" t="n">
        <v>1</v>
      </c>
      <c r="AU512" s="117" t="n">
        <v>0</v>
      </c>
      <c r="AV512" s="117" t="n">
        <v>1</v>
      </c>
      <c r="AW512" s="119" t="inlineStr">
        <is>
          <t>✓ Clean</t>
        </is>
      </c>
      <c r="AX512" s="118" t="n">
        <v>24.9</v>
      </c>
      <c r="AY512" s="119" t="inlineStr">
        <is>
          <t>🟢 LOW RISK</t>
        </is>
      </c>
      <c r="AZ512" s="118" t="n">
        <v>104.2</v>
      </c>
      <c r="BA512" s="118" t="n">
        <v>105.1</v>
      </c>
      <c r="BB512" s="118" t="n">
        <v>64.90000000000001</v>
      </c>
      <c r="BC512" s="118" t="n">
        <v>42.7</v>
      </c>
      <c r="BD512" s="118" t="n">
        <v>148.1</v>
      </c>
      <c r="BE512" s="118" t="n">
        <v>101.3</v>
      </c>
      <c r="BF512" s="120" t="n">
        <v>0.196</v>
      </c>
      <c r="BG512" s="117" t="n">
        <v>0.799</v>
      </c>
      <c r="BH512" s="122" t="n">
        <v>5</v>
      </c>
      <c r="BI512" s="123" t="n">
        <v>1</v>
      </c>
    </row>
    <row r="513" ht="17" customHeight="1">
      <c r="A513" s="117" t="inlineStr">
        <is>
          <t>STZ</t>
        </is>
      </c>
      <c r="B513" s="117" t="inlineStr">
        <is>
          <t>CONSTELLATION BRANDS, INC.</t>
        </is>
      </c>
      <c r="C513" s="118" t="n">
        <v>0.227</v>
      </c>
      <c r="D513" s="118" t="n">
        <v>0.961</v>
      </c>
      <c r="E513" s="118" t="n">
        <v>1.033</v>
      </c>
      <c r="F513" s="118" t="n">
        <v>4.759</v>
      </c>
      <c r="G513" s="118" t="n">
        <v>1.149</v>
      </c>
      <c r="H513" s="118" t="n">
        <v>0.199</v>
      </c>
      <c r="I513" s="118" t="n">
        <v>0.92</v>
      </c>
      <c r="J513" s="118" t="n">
        <v>-0.045</v>
      </c>
      <c r="K513" s="118" t="n">
        <v>0.127</v>
      </c>
      <c r="L513" s="121" t="inlineStr">
        <is>
          <t>⚠ MANIPULATOR RISK</t>
        </is>
      </c>
      <c r="M513" s="120" t="n">
        <v>0.004</v>
      </c>
      <c r="N513" s="120" t="n">
        <v>0.005</v>
      </c>
      <c r="O513" s="120" t="n">
        <v>-0</v>
      </c>
      <c r="P513" s="120" t="n">
        <v>0.73</v>
      </c>
      <c r="Q513" s="120" t="n">
        <v>0.068</v>
      </c>
      <c r="R513" s="117" t="n">
        <v>0</v>
      </c>
      <c r="S513" s="118" t="n">
        <v>-6.464</v>
      </c>
      <c r="T513" s="118" t="n">
        <v>0.002</v>
      </c>
      <c r="U513" s="119" t="inlineStr">
        <is>
          <t>✓ Normal</t>
        </is>
      </c>
      <c r="V513" s="117" t="n">
        <v>1</v>
      </c>
      <c r="W513" s="117" t="n">
        <v>0</v>
      </c>
      <c r="X513" s="117" t="n">
        <v>0</v>
      </c>
      <c r="Y513" s="117" t="n">
        <v>1</v>
      </c>
      <c r="Z513" s="117" t="n">
        <v>1</v>
      </c>
      <c r="AA513" s="117" t="n">
        <v>0</v>
      </c>
      <c r="AB513" s="117" t="n">
        <v>3</v>
      </c>
      <c r="AC513" s="121" t="inlineStr">
        <is>
          <t>⚠ WATCH</t>
        </is>
      </c>
      <c r="AD513" s="118" t="n">
        <v>2669000000</v>
      </c>
      <c r="AE513" s="118" t="n">
        <v>16500000</v>
      </c>
      <c r="AF513" s="118" t="n">
        <v>1686700000</v>
      </c>
      <c r="AG513" s="118" t="n">
        <v>-0.046</v>
      </c>
      <c r="AH513" s="119" t="inlineStr">
        <is>
          <t>✓ Medium Quality</t>
        </is>
      </c>
      <c r="AI513" s="118" t="n">
        <v>0.082</v>
      </c>
      <c r="AJ513" s="120" t="n">
        <v>3.759</v>
      </c>
      <c r="AK513" s="120" t="n">
        <v>0.022</v>
      </c>
      <c r="AL513" s="120" t="n">
        <v>0.292</v>
      </c>
      <c r="AM513" s="120" t="n">
        <v>0</v>
      </c>
      <c r="AN513" s="117" t="n">
        <v>100</v>
      </c>
      <c r="AO513" s="119" t="inlineStr">
        <is>
          <t>✓ Good</t>
        </is>
      </c>
      <c r="AP513" s="117" t="n">
        <v>0</v>
      </c>
      <c r="AQ513" s="117" t="n">
        <v>0</v>
      </c>
      <c r="AR513" s="117" t="n">
        <v>0</v>
      </c>
      <c r="AS513" s="117" t="n">
        <v>0</v>
      </c>
      <c r="AT513" s="117" t="n">
        <v>0</v>
      </c>
      <c r="AU513" s="117" t="n">
        <v>1</v>
      </c>
      <c r="AV513" s="117" t="n">
        <v>1</v>
      </c>
      <c r="AW513" s="119" t="inlineStr">
        <is>
          <t>✓ Clean</t>
        </is>
      </c>
      <c r="AX513" s="118" t="n">
        <v>26.9</v>
      </c>
      <c r="AY513" s="119" t="inlineStr">
        <is>
          <t>🟢 LOW RISK</t>
        </is>
      </c>
      <c r="AZ513" s="118" t="n">
        <v>18.8</v>
      </c>
      <c r="BA513" s="118" t="n">
        <v>82.90000000000001</v>
      </c>
      <c r="BB513" s="118" t="n">
        <v>118.2</v>
      </c>
      <c r="BC513" s="118" t="n">
        <v>107.2</v>
      </c>
      <c r="BD513" s="118" t="n">
        <v>79.2</v>
      </c>
      <c r="BE513" s="118" t="n">
        <v>70.09999999999999</v>
      </c>
      <c r="BF513" s="120" t="n">
        <v>0.261</v>
      </c>
      <c r="BG513" s="117" t="n">
        <v>0.73</v>
      </c>
      <c r="BH513" s="122" t="n">
        <v>4</v>
      </c>
      <c r="BI513" s="123" t="n">
        <v>1</v>
      </c>
    </row>
    <row r="514" ht="17" customHeight="1">
      <c r="A514" s="117" t="inlineStr">
        <is>
          <t>TECH</t>
        </is>
      </c>
      <c r="B514" s="117" t="inlineStr">
        <is>
          <t>BIO-TECHNE Corp</t>
        </is>
      </c>
      <c r="C514" s="118" t="n">
        <v>0.8139999999999999</v>
      </c>
      <c r="D514" s="118" t="n">
        <v>1.025</v>
      </c>
      <c r="E514" s="118" t="n">
        <v>0.981</v>
      </c>
      <c r="F514" s="118" t="n">
        <v>1.052</v>
      </c>
      <c r="G514" s="118" t="n">
        <v>0.996</v>
      </c>
      <c r="H514" s="118" t="n">
        <v>1.199</v>
      </c>
      <c r="I514" s="118" t="n">
        <v>1</v>
      </c>
      <c r="J514" s="118" t="n">
        <v>-0.08400000000000001</v>
      </c>
      <c r="K514" s="118" t="n">
        <v>-3.025</v>
      </c>
      <c r="L514" s="119" t="inlineStr">
        <is>
          <t>✓ Lower Risk</t>
        </is>
      </c>
      <c r="M514" s="120" t="n">
        <v>-0.057</v>
      </c>
      <c r="N514" s="120" t="n">
        <v>-0.57</v>
      </c>
      <c r="O514" s="120" t="n">
        <v>0.16</v>
      </c>
      <c r="P514" s="120" t="n">
        <v>0.841</v>
      </c>
      <c r="Q514" s="120" t="n">
        <v>-0.033</v>
      </c>
      <c r="R514" s="117" t="n">
        <v>0</v>
      </c>
      <c r="S514" s="118" t="n">
        <v>-7.504</v>
      </c>
      <c r="T514" s="118" t="n">
        <v>0.001</v>
      </c>
      <c r="U514" s="119" t="inlineStr">
        <is>
          <t>✓ Normal</t>
        </is>
      </c>
      <c r="V514" s="117" t="n">
        <v>0</v>
      </c>
      <c r="W514" s="117" t="n">
        <v>0</v>
      </c>
      <c r="X514" s="117" t="n">
        <v>1</v>
      </c>
      <c r="Y514" s="117" t="n">
        <v>1</v>
      </c>
      <c r="Z514" s="117" t="n">
        <v>0</v>
      </c>
      <c r="AA514" s="117" t="n">
        <v>0</v>
      </c>
      <c r="AB514" s="117" t="n">
        <v>2</v>
      </c>
      <c r="AC514" s="121" t="inlineStr">
        <is>
          <t>⚠ WATCH</t>
        </is>
      </c>
      <c r="AD514" s="118" t="n">
        <v>287556000</v>
      </c>
      <c r="AE514" s="118" t="n">
        <v>-35183000</v>
      </c>
      <c r="AF514" s="118" t="n">
        <v>73400000</v>
      </c>
      <c r="AG514" s="118" t="n">
        <v>-0.068</v>
      </c>
      <c r="AH514" s="119" t="inlineStr">
        <is>
          <t>✓ Medium Quality</t>
        </is>
      </c>
      <c r="AI514" s="118" t="n">
        <v>-0.143</v>
      </c>
      <c r="AJ514" s="120" t="n">
        <v>0.052</v>
      </c>
      <c r="AK514" s="120" t="n">
        <v>-2.736</v>
      </c>
      <c r="AL514" s="120" t="n">
        <v>0.236</v>
      </c>
      <c r="AM514" s="120" t="n">
        <v>0.001</v>
      </c>
      <c r="AN514" s="117" t="n">
        <v>100</v>
      </c>
      <c r="AO514" s="119" t="inlineStr">
        <is>
          <t>✓ Good</t>
        </is>
      </c>
      <c r="AP514" s="117" t="n">
        <v>0</v>
      </c>
      <c r="AQ514" s="117" t="n">
        <v>0</v>
      </c>
      <c r="AR514" s="117" t="n">
        <v>1</v>
      </c>
      <c r="AS514" s="117" t="n">
        <v>1</v>
      </c>
      <c r="AT514" s="117" t="n">
        <v>1</v>
      </c>
      <c r="AU514" s="117" t="n">
        <v>0</v>
      </c>
      <c r="AV514" s="117" t="n">
        <v>3</v>
      </c>
      <c r="AW514" s="121" t="inlineStr">
        <is>
          <t>⚠ WATCH</t>
        </is>
      </c>
      <c r="AX514" s="118" t="n">
        <v>16.1</v>
      </c>
      <c r="AY514" s="119" t="inlineStr">
        <is>
          <t>🟢 VERY LOW RISK</t>
        </is>
      </c>
      <c r="AZ514" s="118" t="n">
        <v>61.9</v>
      </c>
      <c r="BA514" s="118" t="n">
        <v>76</v>
      </c>
      <c r="BB514" s="118" t="n">
        <v>161</v>
      </c>
      <c r="BC514" s="118" t="n">
        <v>168.5</v>
      </c>
      <c r="BD514" s="118" t="n">
        <v>21.5</v>
      </c>
      <c r="BE514" s="118" t="n">
        <v>35.6</v>
      </c>
      <c r="BF514" s="120" t="n">
        <v>0.255</v>
      </c>
      <c r="BG514" s="117" t="n">
        <v>0.841</v>
      </c>
      <c r="BH514" s="122" t="n">
        <v>5</v>
      </c>
      <c r="BI514" s="123" t="n">
        <v>1</v>
      </c>
    </row>
    <row r="515" ht="17" customHeight="1">
      <c r="A515" s="117" t="inlineStr">
        <is>
          <t>WSFS</t>
        </is>
      </c>
      <c r="B515" s="117" t="inlineStr">
        <is>
          <t>WSFS FINANCIAL CORPORATION</t>
        </is>
      </c>
      <c r="C515" s="124" t="inlineStr">
        <is>
          <t>N/A</t>
        </is>
      </c>
      <c r="D515" s="118" t="n">
        <v>1.787</v>
      </c>
      <c r="E515" s="118" t="n">
        <v>1</v>
      </c>
      <c r="F515" s="118" t="n">
        <v>1.502</v>
      </c>
      <c r="G515" s="118" t="n">
        <v>0.964</v>
      </c>
      <c r="H515" s="124" t="inlineStr">
        <is>
          <t>N/A</t>
        </is>
      </c>
      <c r="I515" s="118" t="n">
        <v>0.995</v>
      </c>
      <c r="J515" s="118" t="n">
        <v>0.003</v>
      </c>
      <c r="K515" s="124" t="inlineStr">
        <is>
          <t>N/A</t>
        </is>
      </c>
      <c r="L515" s="124" t="inlineStr">
        <is>
          <t>N/A</t>
        </is>
      </c>
      <c r="M515" s="124" t="inlineStr">
        <is>
          <t>N/A</t>
        </is>
      </c>
      <c r="N515" s="124" t="inlineStr">
        <is>
          <t>N/A</t>
        </is>
      </c>
      <c r="O515" s="124" t="inlineStr">
        <is>
          <t>N/A</t>
        </is>
      </c>
      <c r="P515" s="120" t="n">
        <v>0.917</v>
      </c>
      <c r="Q515" s="120" t="n">
        <v>0.001</v>
      </c>
      <c r="R515" s="117" t="n">
        <v>1</v>
      </c>
      <c r="S515" s="124" t="inlineStr">
        <is>
          <t>N/A</t>
        </is>
      </c>
      <c r="T515" s="124" t="inlineStr">
        <is>
          <t>N/A</t>
        </is>
      </c>
      <c r="U515" s="124" t="inlineStr">
        <is>
          <t>N/A</t>
        </is>
      </c>
      <c r="V515" s="117" t="n">
        <v>1</v>
      </c>
      <c r="W515" s="117" t="n">
        <v>0</v>
      </c>
      <c r="X515" s="117" t="n">
        <v>0</v>
      </c>
      <c r="Y515" s="117" t="n">
        <v>0</v>
      </c>
      <c r="Z515" s="117" t="n">
        <v>1</v>
      </c>
      <c r="AA515" s="117" t="n">
        <v>0</v>
      </c>
      <c r="AB515" s="117" t="n">
        <v>2</v>
      </c>
      <c r="AC515" s="121" t="inlineStr">
        <is>
          <t>⚠ WATCH</t>
        </is>
      </c>
      <c r="AD515" s="118" t="n">
        <v>219999000</v>
      </c>
      <c r="AE515" s="118" t="n">
        <v>124882000</v>
      </c>
      <c r="AF515" s="118" t="n">
        <v>287349000</v>
      </c>
      <c r="AG515" s="118" t="n">
        <v>-0.003</v>
      </c>
      <c r="AH515" s="119" t="inlineStr">
        <is>
          <t>✓ Medium Quality</t>
        </is>
      </c>
      <c r="AI515" s="124" t="inlineStr">
        <is>
          <t>N/A</t>
        </is>
      </c>
      <c r="AJ515" s="120" t="n">
        <v>0.502</v>
      </c>
      <c r="AK515" s="124" t="inlineStr">
        <is>
          <t>N/A</t>
        </is>
      </c>
      <c r="AL515" s="120" t="n">
        <v>0.228</v>
      </c>
      <c r="AM515" s="124" t="inlineStr">
        <is>
          <t>N/A</t>
        </is>
      </c>
      <c r="AN515" s="117" t="n">
        <v>100</v>
      </c>
      <c r="AO515" s="119" t="inlineStr">
        <is>
          <t>✓ Good</t>
        </is>
      </c>
      <c r="AP515" s="117" t="n">
        <v>0</v>
      </c>
      <c r="AQ515" s="117" t="n">
        <v>0</v>
      </c>
      <c r="AR515" s="117" t="n">
        <v>1</v>
      </c>
      <c r="AS515" s="117" t="n">
        <v>0</v>
      </c>
      <c r="AT515" s="117" t="n">
        <v>0</v>
      </c>
      <c r="AU515" s="117" t="n">
        <v>0</v>
      </c>
      <c r="AV515" s="117" t="n">
        <v>1</v>
      </c>
      <c r="AW515" s="119" t="inlineStr">
        <is>
          <t>✓ Clean</t>
        </is>
      </c>
      <c r="AX515" s="118" t="n">
        <v>29.6</v>
      </c>
      <c r="AY515" s="119" t="inlineStr">
        <is>
          <t>🟢 LOW RISK</t>
        </is>
      </c>
      <c r="AZ515" s="118" t="n">
        <v>0</v>
      </c>
      <c r="BA515" s="124" t="inlineStr">
        <is>
          <t>N/A</t>
        </is>
      </c>
      <c r="BB515" s="124" t="inlineStr">
        <is>
          <t>N/A</t>
        </is>
      </c>
      <c r="BC515" s="124" t="inlineStr">
        <is>
          <t>N/A</t>
        </is>
      </c>
      <c r="BD515" s="124" t="inlineStr">
        <is>
          <t>N/A</t>
        </is>
      </c>
      <c r="BE515" s="124" t="inlineStr">
        <is>
          <t>N/A</t>
        </is>
      </c>
      <c r="BF515" s="120" t="n">
        <v>0.245</v>
      </c>
      <c r="BG515" s="117" t="n">
        <v>0.917</v>
      </c>
      <c r="BH515" s="122" t="n">
        <v>4</v>
      </c>
      <c r="BI515" s="125" t="n">
        <v>0.6666666666666666</v>
      </c>
    </row>
    <row r="516" ht="17" customHeight="1">
      <c r="A516" s="117" t="inlineStr">
        <is>
          <t>DKNG</t>
        </is>
      </c>
      <c r="B516" s="117" t="inlineStr">
        <is>
          <t>DRAFTKINGS INC.</t>
        </is>
      </c>
      <c r="C516" s="118" t="n">
        <v>1.437</v>
      </c>
      <c r="D516" s="118" t="n">
        <v>0.924</v>
      </c>
      <c r="E516" s="118" t="n">
        <v>0.9330000000000001</v>
      </c>
      <c r="F516" s="118" t="n">
        <v>1.27</v>
      </c>
      <c r="G516" s="118" t="n">
        <v>1.078</v>
      </c>
      <c r="H516" s="118" t="n">
        <v>0.694</v>
      </c>
      <c r="I516" s="118" t="n">
        <v>1.126</v>
      </c>
      <c r="J516" s="118" t="n">
        <v>-0.145</v>
      </c>
      <c r="K516" s="118" t="n">
        <v>-2.564</v>
      </c>
      <c r="L516" s="119" t="inlineStr">
        <is>
          <t>✓ Lower Risk</t>
        </is>
      </c>
      <c r="M516" s="120" t="n">
        <v>-0.039</v>
      </c>
      <c r="N516" s="120" t="n">
        <v>0.037</v>
      </c>
      <c r="O516" s="124" t="inlineStr">
        <is>
          <t>N/A</t>
        </is>
      </c>
      <c r="P516" s="120" t="n">
        <v>0.74</v>
      </c>
      <c r="Q516" s="120" t="n">
        <v>0.119</v>
      </c>
      <c r="R516" s="117" t="n">
        <v>0</v>
      </c>
      <c r="S516" s="118" t="n">
        <v>-6.419</v>
      </c>
      <c r="T516" s="118" t="n">
        <v>0.002</v>
      </c>
      <c r="U516" s="119" t="inlineStr">
        <is>
          <t>✓ Normal</t>
        </is>
      </c>
      <c r="V516" s="117" t="n">
        <v>1</v>
      </c>
      <c r="W516" s="117" t="n">
        <v>1</v>
      </c>
      <c r="X516" s="117" t="n">
        <v>0</v>
      </c>
      <c r="Y516" s="117" t="n">
        <v>1</v>
      </c>
      <c r="Z516" s="117" t="n">
        <v>1</v>
      </c>
      <c r="AA516" s="117" t="n">
        <v>0</v>
      </c>
      <c r="AB516" s="117" t="n">
        <v>4</v>
      </c>
      <c r="AC516" s="121" t="inlineStr">
        <is>
          <t>⚠⚠ SERIOUS CONCERN</t>
        </is>
      </c>
      <c r="AD516" s="118" t="n">
        <v>662855000</v>
      </c>
      <c r="AE516" s="118" t="n">
        <v>-165997000</v>
      </c>
      <c r="AF516" s="118" t="n">
        <v>3710000</v>
      </c>
      <c r="AG516" s="118" t="n">
        <v>-0.112</v>
      </c>
      <c r="AH516" s="119" t="inlineStr">
        <is>
          <t>✓ High Quality</t>
        </is>
      </c>
      <c r="AI516" s="118" t="n">
        <v>0.825</v>
      </c>
      <c r="AJ516" s="120" t="n">
        <v>0.27</v>
      </c>
      <c r="AK516" s="120" t="n">
        <v>3.058</v>
      </c>
      <c r="AL516" s="120" t="n">
        <v>0.109</v>
      </c>
      <c r="AM516" s="120" t="n">
        <v>0.001</v>
      </c>
      <c r="AN516" s="118" t="n">
        <v>62</v>
      </c>
      <c r="AO516" s="121" t="inlineStr">
        <is>
          <t>⚠ WATCH</t>
        </is>
      </c>
      <c r="AP516" s="117" t="n">
        <v>0</v>
      </c>
      <c r="AQ516" s="117" t="n">
        <v>0</v>
      </c>
      <c r="AR516" s="117" t="n">
        <v>0</v>
      </c>
      <c r="AS516" s="117" t="n">
        <v>0</v>
      </c>
      <c r="AT516" s="117" t="n">
        <v>0</v>
      </c>
      <c r="AU516" s="117" t="n">
        <v>0</v>
      </c>
      <c r="AV516" s="117" t="n">
        <v>0</v>
      </c>
      <c r="AW516" s="119" t="inlineStr">
        <is>
          <t>✓ Clean</t>
        </is>
      </c>
      <c r="AX516" s="118" t="n">
        <v>24.5</v>
      </c>
      <c r="AY516" s="119" t="inlineStr">
        <is>
          <t>🟢 LOW RISK</t>
        </is>
      </c>
      <c r="AZ516" s="118" t="n">
        <v>6.4</v>
      </c>
      <c r="BA516" s="118" t="n">
        <v>4.4</v>
      </c>
      <c r="BB516" s="124" t="inlineStr">
        <is>
          <t>N/A</t>
        </is>
      </c>
      <c r="BC516" s="124" t="inlineStr">
        <is>
          <t>N/A</t>
        </is>
      </c>
      <c r="BD516" s="118" t="n">
        <v>7</v>
      </c>
      <c r="BE516" s="118" t="n">
        <v>6.6</v>
      </c>
      <c r="BF516" s="120" t="n">
        <v>-0.146</v>
      </c>
      <c r="BG516" s="117" t="n">
        <v>0.74</v>
      </c>
      <c r="BH516" s="122" t="n">
        <v>4</v>
      </c>
      <c r="BI516" s="123" t="n">
        <v>1</v>
      </c>
    </row>
    <row r="517" ht="17" customHeight="1">
      <c r="A517" s="129" t="inlineStr">
        <is>
          <t>BOKF</t>
        </is>
      </c>
      <c r="B517" s="129" t="inlineStr">
        <is>
          <t>BOK FINANCIAL CORP</t>
        </is>
      </c>
      <c r="C517" s="124" t="inlineStr">
        <is>
          <t>N/A</t>
        </is>
      </c>
      <c r="D517" s="124" t="inlineStr">
        <is>
          <t>N/A</t>
        </is>
      </c>
      <c r="E517" s="130" t="n">
        <v>1.001</v>
      </c>
      <c r="F517" s="124" t="inlineStr">
        <is>
          <t>N/A</t>
        </is>
      </c>
      <c r="G517" s="130" t="n">
        <v>0.9340000000000001</v>
      </c>
      <c r="H517" s="124" t="inlineStr">
        <is>
          <t>N/A</t>
        </is>
      </c>
      <c r="I517" s="130" t="n">
        <v>0.998</v>
      </c>
      <c r="J517" s="130" t="n">
        <v>-0.003</v>
      </c>
      <c r="K517" s="124" t="inlineStr">
        <is>
          <t>N/A</t>
        </is>
      </c>
      <c r="L517" s="124" t="inlineStr">
        <is>
          <t>N/A</t>
        </is>
      </c>
      <c r="M517" s="124" t="inlineStr">
        <is>
          <t>N/A</t>
        </is>
      </c>
      <c r="N517" s="124" t="inlineStr">
        <is>
          <t>N/A</t>
        </is>
      </c>
      <c r="O517" s="124" t="inlineStr">
        <is>
          <t>N/A</t>
        </is>
      </c>
      <c r="P517" s="131" t="n">
        <v>0.9330000000000001</v>
      </c>
      <c r="Q517" s="131" t="n">
        <v>0.001</v>
      </c>
      <c r="R517" s="129" t="n">
        <v>0</v>
      </c>
      <c r="S517" s="124" t="inlineStr">
        <is>
          <t>N/A</t>
        </is>
      </c>
      <c r="T517" s="124" t="inlineStr">
        <is>
          <t>N/A</t>
        </is>
      </c>
      <c r="U517" s="124" t="inlineStr">
        <is>
          <t>N/A</t>
        </is>
      </c>
      <c r="V517" s="129" t="n">
        <v>0</v>
      </c>
      <c r="W517" s="129" t="n">
        <v>0</v>
      </c>
      <c r="X517" s="129" t="n">
        <v>0</v>
      </c>
      <c r="Y517" s="129" t="n">
        <v>0</v>
      </c>
      <c r="Z517" s="129" t="n">
        <v>0</v>
      </c>
      <c r="AA517" s="129" t="n">
        <v>0</v>
      </c>
      <c r="AB517" s="129" t="n">
        <v>0</v>
      </c>
      <c r="AC517" s="119" t="inlineStr">
        <is>
          <t>✓ Clean</t>
        </is>
      </c>
      <c r="AD517" s="130" t="n">
        <v>739620000</v>
      </c>
      <c r="AE517" s="130" t="n">
        <v>-1521746000</v>
      </c>
      <c r="AF517" s="130" t="n">
        <v>577990000</v>
      </c>
      <c r="AG517" s="130" t="n">
        <v>0.027</v>
      </c>
      <c r="AH517" s="119" t="inlineStr">
        <is>
          <t>✓ Medium Quality</t>
        </is>
      </c>
      <c r="AI517" s="124" t="inlineStr">
        <is>
          <t>N/A</t>
        </is>
      </c>
      <c r="AJ517" s="124" t="inlineStr">
        <is>
          <t>N/A</t>
        </is>
      </c>
      <c r="AK517" s="124" t="inlineStr">
        <is>
          <t>N/A</t>
        </is>
      </c>
      <c r="AL517" s="124" t="inlineStr">
        <is>
          <t>N/A</t>
        </is>
      </c>
      <c r="AM517" s="124" t="inlineStr">
        <is>
          <t>N/A</t>
        </is>
      </c>
      <c r="AN517" s="129" t="n">
        <v>100</v>
      </c>
      <c r="AO517" s="119" t="inlineStr">
        <is>
          <t>✓ Good</t>
        </is>
      </c>
      <c r="AP517" s="129" t="n">
        <v>0</v>
      </c>
      <c r="AQ517" s="129" t="n">
        <v>0</v>
      </c>
      <c r="AR517" s="129" t="n">
        <v>0</v>
      </c>
      <c r="AS517" s="129" t="n">
        <v>0</v>
      </c>
      <c r="AT517" s="129" t="n">
        <v>0</v>
      </c>
      <c r="AU517" s="129" t="n">
        <v>0</v>
      </c>
      <c r="AV517" s="129" t="n">
        <v>0</v>
      </c>
      <c r="AW517" s="119" t="inlineStr">
        <is>
          <t>✓ Clean</t>
        </is>
      </c>
      <c r="AX517" s="130" t="n">
        <v>22.6</v>
      </c>
      <c r="AY517" s="119" t="inlineStr">
        <is>
          <t>🟢 LOW RISK</t>
        </is>
      </c>
      <c r="AZ517" s="124" t="inlineStr">
        <is>
          <t>N/A</t>
        </is>
      </c>
      <c r="BA517" s="124" t="inlineStr">
        <is>
          <t>N/A</t>
        </is>
      </c>
      <c r="BB517" s="124" t="inlineStr">
        <is>
          <t>N/A</t>
        </is>
      </c>
      <c r="BC517" s="124" t="inlineStr">
        <is>
          <t>N/A</t>
        </is>
      </c>
      <c r="BD517" s="124" t="inlineStr">
        <is>
          <t>N/A</t>
        </is>
      </c>
      <c r="BE517" s="124" t="inlineStr">
        <is>
          <t>N/A</t>
        </is>
      </c>
      <c r="BF517" s="131" t="n">
        <v>0.22</v>
      </c>
      <c r="BG517" s="129" t="n">
        <v>0.9330000000000001</v>
      </c>
      <c r="BH517" s="129" t="n">
        <v>0</v>
      </c>
      <c r="BI517" s="125" t="n">
        <v>0.6666666666666666</v>
      </c>
    </row>
    <row r="518" ht="17" customHeight="1">
      <c r="A518" s="117" t="inlineStr">
        <is>
          <t>GRMN</t>
        </is>
      </c>
      <c r="B518" s="117" t="inlineStr">
        <is>
          <t>GARMIN LTD</t>
        </is>
      </c>
      <c r="C518" s="118" t="n">
        <v>1.107</v>
      </c>
      <c r="D518" s="118" t="n">
        <v>0.999</v>
      </c>
      <c r="E518" s="118" t="n">
        <v>0.966</v>
      </c>
      <c r="F518" s="118" t="n">
        <v>1.151</v>
      </c>
      <c r="G518" s="118" t="n">
        <v>1.021</v>
      </c>
      <c r="H518" s="118" t="n">
        <v>0.983</v>
      </c>
      <c r="I518" s="118" t="n">
        <v>1</v>
      </c>
      <c r="J518" s="118" t="n">
        <v>0.003</v>
      </c>
      <c r="K518" s="118" t="n">
        <v>-2.243</v>
      </c>
      <c r="L518" s="119" t="inlineStr">
        <is>
          <t>✓ Lower Risk</t>
        </is>
      </c>
      <c r="M518" s="120" t="n">
        <v>0.032</v>
      </c>
      <c r="N518" s="120" t="n">
        <v>0.284</v>
      </c>
      <c r="O518" s="120" t="n">
        <v>0.314</v>
      </c>
      <c r="P518" s="120" t="n">
        <v>0.668</v>
      </c>
      <c r="Q518" s="120" t="n">
        <v>0.005</v>
      </c>
      <c r="R518" s="117" t="n">
        <v>1</v>
      </c>
      <c r="S518" s="118" t="n">
        <v>-2.385</v>
      </c>
      <c r="T518" s="118" t="n">
        <v>0.08400000000000001</v>
      </c>
      <c r="U518" s="121" t="inlineStr">
        <is>
          <t>⚠ HIGH RISK</t>
        </is>
      </c>
      <c r="V518" s="117" t="n">
        <v>1</v>
      </c>
      <c r="W518" s="117" t="n">
        <v>1</v>
      </c>
      <c r="X518" s="117" t="n">
        <v>1</v>
      </c>
      <c r="Y518" s="117" t="n">
        <v>1</v>
      </c>
      <c r="Z518" s="117" t="n">
        <v>1</v>
      </c>
      <c r="AA518" s="117" t="n">
        <v>1</v>
      </c>
      <c r="AB518" s="117" t="n">
        <v>6</v>
      </c>
      <c r="AC518" s="121" t="inlineStr">
        <is>
          <t>⚠⚠ SERIOUS CONCERN</t>
        </is>
      </c>
      <c r="AD518" s="118" t="n">
        <v>1633359000</v>
      </c>
      <c r="AE518" s="118" t="n">
        <v>-645235000</v>
      </c>
      <c r="AF518" s="118" t="n">
        <v>1663887000</v>
      </c>
      <c r="AG518" s="118" t="n">
        <v>0.066</v>
      </c>
      <c r="AH518" s="119" t="inlineStr">
        <is>
          <t>✓ Medium Quality</t>
        </is>
      </c>
      <c r="AI518" s="118" t="n">
        <v>0.274</v>
      </c>
      <c r="AJ518" s="120" t="n">
        <v>0.151</v>
      </c>
      <c r="AK518" s="120" t="n">
        <v>1.82</v>
      </c>
      <c r="AL518" s="120" t="n">
        <v>0.225</v>
      </c>
      <c r="AM518" s="120" t="n">
        <v>-0.001</v>
      </c>
      <c r="AN518" s="118" t="n">
        <v>75.40000000000001</v>
      </c>
      <c r="AO518" s="119" t="inlineStr">
        <is>
          <t>✓ Good</t>
        </is>
      </c>
      <c r="AP518" s="117" t="n">
        <v>0</v>
      </c>
      <c r="AQ518" s="117" t="n">
        <v>0</v>
      </c>
      <c r="AR518" s="117" t="n">
        <v>0</v>
      </c>
      <c r="AS518" s="117" t="n">
        <v>0</v>
      </c>
      <c r="AT518" s="117" t="n">
        <v>1</v>
      </c>
      <c r="AU518" s="117" t="n">
        <v>0</v>
      </c>
      <c r="AV518" s="117" t="n">
        <v>1</v>
      </c>
      <c r="AW518" s="119" t="inlineStr">
        <is>
          <t>✓ Clean</t>
        </is>
      </c>
      <c r="AX518" s="118" t="n">
        <v>43.8</v>
      </c>
      <c r="AY518" s="121" t="inlineStr">
        <is>
          <t>🟡 ELEVATED RISK</t>
        </is>
      </c>
      <c r="AZ518" s="118" t="n">
        <v>63.1</v>
      </c>
      <c r="BA518" s="118" t="n">
        <v>57</v>
      </c>
      <c r="BB518" s="118" t="n">
        <v>216.4</v>
      </c>
      <c r="BC518" s="118" t="n">
        <v>206.9</v>
      </c>
      <c r="BD518" s="118" t="n">
        <v>42.4</v>
      </c>
      <c r="BE518" s="118" t="n">
        <v>50.4</v>
      </c>
      <c r="BF518" s="120" t="n">
        <v>0.174</v>
      </c>
      <c r="BG518" s="117" t="n">
        <v>0.668</v>
      </c>
      <c r="BH518" s="122" t="n">
        <v>8</v>
      </c>
      <c r="BI518" s="123" t="n">
        <v>1</v>
      </c>
    </row>
    <row r="519" ht="17" customHeight="1">
      <c r="A519" s="117" t="inlineStr">
        <is>
          <t>PLTR</t>
        </is>
      </c>
      <c r="B519" s="117" t="inlineStr">
        <is>
          <t>Palantir Technologies Inc.</t>
        </is>
      </c>
      <c r="C519" s="118" t="n">
        <v>1.16</v>
      </c>
      <c r="D519" s="118" t="n">
        <v>0.974</v>
      </c>
      <c r="E519" s="118" t="n">
        <v>0.952</v>
      </c>
      <c r="F519" s="118" t="n">
        <v>1.562</v>
      </c>
      <c r="G519" s="118" t="n">
        <v>1.325</v>
      </c>
      <c r="H519" s="118" t="n">
        <v>0.71</v>
      </c>
      <c r="I519" s="118" t="n">
        <v>0.8070000000000001</v>
      </c>
      <c r="J519" s="118" t="n">
        <v>-0.057</v>
      </c>
      <c r="K519" s="118" t="n">
        <v>-1.982</v>
      </c>
      <c r="L519" s="121" t="inlineStr">
        <is>
          <t>⚠ MANIPULATOR RISK</t>
        </is>
      </c>
      <c r="M519" s="120" t="n">
        <v>0.325</v>
      </c>
      <c r="N519" s="120" t="n">
        <v>0.29</v>
      </c>
      <c r="O519" s="124" t="inlineStr">
        <is>
          <t>N/A</t>
        </is>
      </c>
      <c r="P519" s="120" t="n">
        <v>0.834</v>
      </c>
      <c r="Q519" s="120" t="n">
        <v>0.11</v>
      </c>
      <c r="R519" s="117" t="n">
        <v>1</v>
      </c>
      <c r="S519" s="118" t="n">
        <v>-2.229</v>
      </c>
      <c r="T519" s="118" t="n">
        <v>0.097</v>
      </c>
      <c r="U519" s="121" t="inlineStr">
        <is>
          <t>⚠ HIGH RISK</t>
        </is>
      </c>
      <c r="V519" s="117" t="n">
        <v>1</v>
      </c>
      <c r="W519" s="117" t="n">
        <v>1</v>
      </c>
      <c r="X519" s="117" t="n">
        <v>0</v>
      </c>
      <c r="Y519" s="117" t="n">
        <v>0</v>
      </c>
      <c r="Z519" s="117" t="n">
        <v>1</v>
      </c>
      <c r="AA519" s="117" t="n">
        <v>1</v>
      </c>
      <c r="AB519" s="117" t="n">
        <v>4</v>
      </c>
      <c r="AC519" s="121" t="inlineStr">
        <is>
          <t>⚠⚠ SERIOUS CONCERN</t>
        </is>
      </c>
      <c r="AD519" s="118" t="n">
        <v>2134473000</v>
      </c>
      <c r="AE519" s="118" t="n">
        <v>-2783551000</v>
      </c>
      <c r="AF519" s="118" t="n">
        <v>1625033000</v>
      </c>
      <c r="AG519" s="118" t="n">
        <v>0.298</v>
      </c>
      <c r="AH519" s="117" t="inlineStr">
        <is>
          <t>⚠ Very Low Quality</t>
        </is>
      </c>
      <c r="AI519" s="118" t="n">
        <v>0.8120000000000001</v>
      </c>
      <c r="AJ519" s="120" t="n">
        <v>0.5620000000000001</v>
      </c>
      <c r="AK519" s="120" t="n">
        <v>1.446</v>
      </c>
      <c r="AL519" s="120" t="n">
        <v>0.477</v>
      </c>
      <c r="AM519" s="120" t="n">
        <v>0.033</v>
      </c>
      <c r="AN519" s="118" t="n">
        <v>88.3</v>
      </c>
      <c r="AO519" s="119" t="inlineStr">
        <is>
          <t>✓ Good</t>
        </is>
      </c>
      <c r="AP519" s="117" t="n">
        <v>0</v>
      </c>
      <c r="AQ519" s="117" t="n">
        <v>0</v>
      </c>
      <c r="AR519" s="117" t="n">
        <v>0</v>
      </c>
      <c r="AS519" s="117" t="n">
        <v>0</v>
      </c>
      <c r="AT519" s="117" t="n">
        <v>1</v>
      </c>
      <c r="AU519" s="117" t="n">
        <v>1</v>
      </c>
      <c r="AV519" s="117" t="n">
        <v>2</v>
      </c>
      <c r="AW519" s="121" t="inlineStr">
        <is>
          <t>⚠ WATCH</t>
        </is>
      </c>
      <c r="AX519" s="118" t="n">
        <v>44.7</v>
      </c>
      <c r="AY519" s="121" t="inlineStr">
        <is>
          <t>🟡 ELEVATED RISK</t>
        </is>
      </c>
      <c r="AZ519" s="118" t="n">
        <v>85</v>
      </c>
      <c r="BA519" s="118" t="n">
        <v>73.2</v>
      </c>
      <c r="BB519" s="124" t="inlineStr">
        <is>
          <t>N/A</t>
        </is>
      </c>
      <c r="BC519" s="124" t="inlineStr">
        <is>
          <t>N/A</t>
        </is>
      </c>
      <c r="BD519" s="118" t="n">
        <v>3.7</v>
      </c>
      <c r="BE519" s="118" t="n">
        <v>0.1</v>
      </c>
      <c r="BF519" s="120" t="n">
        <v>0.014</v>
      </c>
      <c r="BG519" s="117" t="n">
        <v>0.834</v>
      </c>
      <c r="BH519" s="122" t="n">
        <v>7</v>
      </c>
      <c r="BI519" s="123" t="n">
        <v>1</v>
      </c>
    </row>
    <row r="520" ht="17" customHeight="1">
      <c r="A520" s="117" t="inlineStr">
        <is>
          <t>NDAQ</t>
        </is>
      </c>
      <c r="B520" s="117" t="inlineStr">
        <is>
          <t>Nasdaq, Inc.</t>
        </is>
      </c>
      <c r="C520" s="118" t="n">
        <v>0.855</v>
      </c>
      <c r="D520" s="118" t="n">
        <v>0.955</v>
      </c>
      <c r="E520" s="118" t="n">
        <v>0.992</v>
      </c>
      <c r="F520" s="118" t="n">
        <v>1.079</v>
      </c>
      <c r="G520" s="118" t="n">
        <v>1.094</v>
      </c>
      <c r="H520" s="118" t="n">
        <v>0.638</v>
      </c>
      <c r="I520" s="118" t="n">
        <v>0.96</v>
      </c>
      <c r="J520" s="118" t="n">
        <v>-0.015</v>
      </c>
      <c r="K520" s="118" t="n">
        <v>-2.554</v>
      </c>
      <c r="L520" s="119" t="inlineStr">
        <is>
          <t>✓ Lower Risk</t>
        </is>
      </c>
      <c r="M520" s="120" t="n">
        <v>-0.016</v>
      </c>
      <c r="N520" s="120" t="n">
        <v>-0.253</v>
      </c>
      <c r="O520" s="124" t="inlineStr">
        <is>
          <t>N/A</t>
        </is>
      </c>
      <c r="P520" s="120" t="n">
        <v>0.957</v>
      </c>
      <c r="Q520" s="120" t="n">
        <v>0.021</v>
      </c>
      <c r="R520" s="117" t="n">
        <v>0</v>
      </c>
      <c r="S520" s="118" t="n">
        <v>-6.658</v>
      </c>
      <c r="T520" s="118" t="n">
        <v>0.001</v>
      </c>
      <c r="U520" s="119" t="inlineStr">
        <is>
          <t>✓ Normal</t>
        </is>
      </c>
      <c r="V520" s="117" t="n">
        <v>1</v>
      </c>
      <c r="W520" s="117" t="n">
        <v>0</v>
      </c>
      <c r="X520" s="117" t="n">
        <v>0</v>
      </c>
      <c r="Y520" s="117" t="n">
        <v>1</v>
      </c>
      <c r="Z520" s="117" t="n">
        <v>0</v>
      </c>
      <c r="AA520" s="117" t="n">
        <v>0</v>
      </c>
      <c r="AB520" s="117" t="n">
        <v>2</v>
      </c>
      <c r="AC520" s="121" t="inlineStr">
        <is>
          <t>⚠ WATCH</t>
        </is>
      </c>
      <c r="AD520" s="118" t="n">
        <v>2255000000</v>
      </c>
      <c r="AE520" s="118" t="n">
        <v>-1100000000</v>
      </c>
      <c r="AF520" s="118" t="n">
        <v>1788000000</v>
      </c>
      <c r="AG520" s="118" t="n">
        <v>0.021</v>
      </c>
      <c r="AH520" s="119" t="inlineStr">
        <is>
          <t>✓ Medium Quality</t>
        </is>
      </c>
      <c r="AI520" s="118" t="n">
        <v>-0.077</v>
      </c>
      <c r="AJ520" s="120" t="n">
        <v>0.079</v>
      </c>
      <c r="AK520" s="120" t="n">
        <v>-0.982</v>
      </c>
      <c r="AL520" s="120" t="n">
        <v>0.527</v>
      </c>
      <c r="AM520" s="120" t="n">
        <v>0.006</v>
      </c>
      <c r="AN520" s="117" t="n">
        <v>100</v>
      </c>
      <c r="AO520" s="119" t="inlineStr">
        <is>
          <t>✓ Good</t>
        </is>
      </c>
      <c r="AP520" s="117" t="n">
        <v>0</v>
      </c>
      <c r="AQ520" s="117" t="n">
        <v>0</v>
      </c>
      <c r="AR520" s="117" t="n">
        <v>0</v>
      </c>
      <c r="AS520" s="117" t="n">
        <v>0</v>
      </c>
      <c r="AT520" s="117" t="n">
        <v>0</v>
      </c>
      <c r="AU520" s="117" t="n">
        <v>1</v>
      </c>
      <c r="AV520" s="117" t="n">
        <v>1</v>
      </c>
      <c r="AW520" s="119" t="inlineStr">
        <is>
          <t>✓ Clean</t>
        </is>
      </c>
      <c r="AX520" s="118" t="n">
        <v>15</v>
      </c>
      <c r="AY520" s="119" t="inlineStr">
        <is>
          <t>🟢 VERY LOW RISK</t>
        </is>
      </c>
      <c r="AZ520" s="118" t="n">
        <v>80.5</v>
      </c>
      <c r="BA520" s="118" t="n">
        <v>94.09999999999999</v>
      </c>
      <c r="BB520" s="124" t="inlineStr">
        <is>
          <t>N/A</t>
        </is>
      </c>
      <c r="BC520" s="124" t="inlineStr">
        <is>
          <t>N/A</t>
        </is>
      </c>
      <c r="BD520" s="118" t="n">
        <v>33.9</v>
      </c>
      <c r="BE520" s="118" t="n">
        <v>35.7</v>
      </c>
      <c r="BF520" s="120" t="n">
        <v>0.167</v>
      </c>
      <c r="BG520" s="117" t="n">
        <v>0.957</v>
      </c>
      <c r="BH520" s="122" t="n">
        <v>3</v>
      </c>
      <c r="BI520" s="123" t="n">
        <v>1</v>
      </c>
    </row>
    <row r="521" ht="17" customHeight="1">
      <c r="A521" s="117" t="inlineStr">
        <is>
          <t>SPG</t>
        </is>
      </c>
      <c r="B521" s="117" t="inlineStr">
        <is>
          <t>SIMON PROPERTY GROUP, INC.</t>
        </is>
      </c>
      <c r="C521" s="124" t="inlineStr">
        <is>
          <t>N/A</t>
        </is>
      </c>
      <c r="D521" s="124" t="inlineStr">
        <is>
          <t>N/A</t>
        </is>
      </c>
      <c r="E521" s="124" t="inlineStr">
        <is>
          <t>N/A</t>
        </is>
      </c>
      <c r="F521" s="118" t="n">
        <v>3.553</v>
      </c>
      <c r="G521" s="124" t="inlineStr">
        <is>
          <t>N/A</t>
        </is>
      </c>
      <c r="H521" s="118" t="n">
        <v>0.383</v>
      </c>
      <c r="I521" s="118" t="n">
        <v>0.9389999999999999</v>
      </c>
      <c r="J521" s="118" t="n">
        <v>0.03</v>
      </c>
      <c r="K521" s="124" t="inlineStr">
        <is>
          <t>N/A</t>
        </is>
      </c>
      <c r="L521" s="124" t="inlineStr">
        <is>
          <t>N/A</t>
        </is>
      </c>
      <c r="M521" s="124" t="inlineStr">
        <is>
          <t>N/A</t>
        </is>
      </c>
      <c r="N521" s="124" t="inlineStr">
        <is>
          <t>N/A</t>
        </is>
      </c>
      <c r="O521" s="124" t="inlineStr">
        <is>
          <t>N/A</t>
        </is>
      </c>
      <c r="P521" s="120" t="n">
        <v>0.98</v>
      </c>
      <c r="Q521" s="120" t="n">
        <v>0.023</v>
      </c>
      <c r="R521" s="117" t="n">
        <v>0</v>
      </c>
      <c r="S521" s="124" t="inlineStr">
        <is>
          <t>N/A</t>
        </is>
      </c>
      <c r="T521" s="124" t="inlineStr">
        <is>
          <t>N/A</t>
        </is>
      </c>
      <c r="U521" s="124" t="inlineStr">
        <is>
          <t>N/A</t>
        </is>
      </c>
      <c r="V521" s="117" t="n">
        <v>1</v>
      </c>
      <c r="W521" s="117" t="n">
        <v>0</v>
      </c>
      <c r="X521" s="117" t="n">
        <v>0</v>
      </c>
      <c r="Y521" s="117" t="n">
        <v>0</v>
      </c>
      <c r="Z521" s="117" t="n">
        <v>1</v>
      </c>
      <c r="AA521" s="117" t="n">
        <v>1</v>
      </c>
      <c r="AB521" s="117" t="n">
        <v>3</v>
      </c>
      <c r="AC521" s="121" t="inlineStr">
        <is>
          <t>⚠ WATCH</t>
        </is>
      </c>
      <c r="AD521" s="118" t="n">
        <v>4136551000</v>
      </c>
      <c r="AE521" s="118" t="n">
        <v>-1600704000</v>
      </c>
      <c r="AF521" s="118" t="n">
        <v>5364120000</v>
      </c>
      <c r="AG521" s="118" t="n">
        <v>0.077</v>
      </c>
      <c r="AH521" s="119" t="inlineStr">
        <is>
          <t>✓ Medium Quality</t>
        </is>
      </c>
      <c r="AI521" s="124" t="inlineStr">
        <is>
          <t>N/A</t>
        </is>
      </c>
      <c r="AJ521" s="120" t="n">
        <v>2.553</v>
      </c>
      <c r="AK521" s="124" t="inlineStr">
        <is>
          <t>N/A</t>
        </is>
      </c>
      <c r="AL521" s="120" t="n">
        <v>0.65</v>
      </c>
      <c r="AM521" s="124" t="inlineStr">
        <is>
          <t>N/A</t>
        </is>
      </c>
      <c r="AN521" s="117" t="n">
        <v>100</v>
      </c>
      <c r="AO521" s="119" t="inlineStr">
        <is>
          <t>✓ Good</t>
        </is>
      </c>
      <c r="AP521" s="117" t="n">
        <v>0</v>
      </c>
      <c r="AQ521" s="117" t="n">
        <v>0</v>
      </c>
      <c r="AR521" s="117" t="n">
        <v>0</v>
      </c>
      <c r="AS521" s="117" t="n">
        <v>0</v>
      </c>
      <c r="AT521" s="117" t="n">
        <v>0</v>
      </c>
      <c r="AU521" s="117" t="n">
        <v>0</v>
      </c>
      <c r="AV521" s="117" t="n">
        <v>0</v>
      </c>
      <c r="AW521" s="119" t="inlineStr">
        <is>
          <t>✓ Clean</t>
        </is>
      </c>
      <c r="AX521" s="118" t="n">
        <v>33.6</v>
      </c>
      <c r="AY521" s="119" t="inlineStr">
        <is>
          <t>🟢 LOW RISK</t>
        </is>
      </c>
      <c r="AZ521" s="118" t="n">
        <v>0</v>
      </c>
      <c r="BA521" s="124" t="inlineStr">
        <is>
          <t>N/A</t>
        </is>
      </c>
      <c r="BB521" s="124" t="inlineStr">
        <is>
          <t>N/A</t>
        </is>
      </c>
      <c r="BC521" s="124" t="inlineStr">
        <is>
          <t>N/A</t>
        </is>
      </c>
      <c r="BD521" s="124" t="inlineStr">
        <is>
          <t>N/A</t>
        </is>
      </c>
      <c r="BE521" s="124" t="inlineStr">
        <is>
          <t>N/A</t>
        </is>
      </c>
      <c r="BF521" s="124" t="inlineStr">
        <is>
          <t>N/A</t>
        </is>
      </c>
      <c r="BG521" s="117" t="n">
        <v>0.98</v>
      </c>
      <c r="BH521" s="122" t="n">
        <v>3</v>
      </c>
      <c r="BI521" s="125" t="n">
        <v>0.6666666666666666</v>
      </c>
    </row>
    <row r="522" ht="17" customHeight="1">
      <c r="A522" s="117" t="inlineStr">
        <is>
          <t>WING</t>
        </is>
      </c>
      <c r="B522" s="117" t="inlineStr">
        <is>
          <t>WINGSTOP INC.</t>
        </is>
      </c>
      <c r="C522" s="118" t="n">
        <v>0.951</v>
      </c>
      <c r="D522" s="118" t="n">
        <v>1.021</v>
      </c>
      <c r="E522" s="118" t="n">
        <v>1.567</v>
      </c>
      <c r="F522" s="118" t="n">
        <v>1.114</v>
      </c>
      <c r="G522" s="118" t="n">
        <v>0.926</v>
      </c>
      <c r="H522" s="118" t="n">
        <v>0.987</v>
      </c>
      <c r="I522" s="118" t="n">
        <v>1.061</v>
      </c>
      <c r="J522" s="118" t="n">
        <v>0.031</v>
      </c>
      <c r="K522" s="118" t="n">
        <v>-2.067</v>
      </c>
      <c r="L522" s="121" t="inlineStr">
        <is>
          <t>⚠ MANIPULATOR RISK</t>
        </is>
      </c>
      <c r="M522" s="120" t="n">
        <v>-0.01</v>
      </c>
      <c r="N522" s="120" t="n">
        <v>0.016</v>
      </c>
      <c r="O522" s="120" t="n">
        <v>0.002</v>
      </c>
      <c r="P522" s="120" t="n">
        <v>0.528</v>
      </c>
      <c r="Q522" s="120" t="n">
        <v>0.1</v>
      </c>
      <c r="R522" s="117" t="n">
        <v>0</v>
      </c>
      <c r="S522" s="118" t="n">
        <v>-6.855</v>
      </c>
      <c r="T522" s="118" t="n">
        <v>0.001</v>
      </c>
      <c r="U522" s="119" t="inlineStr">
        <is>
          <t>✓ Normal</t>
        </is>
      </c>
      <c r="V522" s="117" t="n">
        <v>1</v>
      </c>
      <c r="W522" s="117" t="n">
        <v>0</v>
      </c>
      <c r="X522" s="117" t="n">
        <v>1</v>
      </c>
      <c r="Y522" s="117" t="n">
        <v>0</v>
      </c>
      <c r="Z522" s="117" t="n">
        <v>0</v>
      </c>
      <c r="AA522" s="117" t="n">
        <v>0</v>
      </c>
      <c r="AB522" s="117" t="n">
        <v>2</v>
      </c>
      <c r="AC522" s="121" t="inlineStr">
        <is>
          <t>⚠ WATCH</t>
        </is>
      </c>
      <c r="AD522" s="118" t="n">
        <v>153065000</v>
      </c>
      <c r="AE522" s="118" t="n">
        <v>-17456000</v>
      </c>
      <c r="AF522" s="118" t="n">
        <v>174267000</v>
      </c>
      <c r="AG522" s="118" t="n">
        <v>0.055</v>
      </c>
      <c r="AH522" s="119" t="inlineStr">
        <is>
          <t>✓ Medium Quality</t>
        </is>
      </c>
      <c r="AI522" s="118" t="n">
        <v>0.059</v>
      </c>
      <c r="AJ522" s="120" t="n">
        <v>0.114</v>
      </c>
      <c r="AK522" s="120" t="n">
        <v>0.521</v>
      </c>
      <c r="AL522" s="120" t="n">
        <v>0.22</v>
      </c>
      <c r="AM522" s="120" t="n">
        <v>0</v>
      </c>
      <c r="AN522" s="117" t="n">
        <v>100</v>
      </c>
      <c r="AO522" s="119" t="inlineStr">
        <is>
          <t>✓ Good</t>
        </is>
      </c>
      <c r="AP522" s="117" t="n">
        <v>0</v>
      </c>
      <c r="AQ522" s="117" t="n">
        <v>0</v>
      </c>
      <c r="AR522" s="117" t="n">
        <v>1</v>
      </c>
      <c r="AS522" s="117" t="n">
        <v>0</v>
      </c>
      <c r="AT522" s="117" t="n">
        <v>0</v>
      </c>
      <c r="AU522" s="117" t="n">
        <v>0</v>
      </c>
      <c r="AV522" s="117" t="n">
        <v>1</v>
      </c>
      <c r="AW522" s="119" t="inlineStr">
        <is>
          <t>✓ Clean</t>
        </is>
      </c>
      <c r="AX522" s="118" t="n">
        <v>17.1</v>
      </c>
      <c r="AY522" s="119" t="inlineStr">
        <is>
          <t>🟢 VERY LOW RISK</t>
        </is>
      </c>
      <c r="AZ522" s="118" t="n">
        <v>10.9</v>
      </c>
      <c r="BA522" s="118" t="n">
        <v>11.5</v>
      </c>
      <c r="BB522" s="118" t="n">
        <v>2.1</v>
      </c>
      <c r="BC522" s="118" t="n">
        <v>2</v>
      </c>
      <c r="BD522" s="118" t="n">
        <v>51.2</v>
      </c>
      <c r="BE522" s="118" t="n">
        <v>35.9</v>
      </c>
      <c r="BF522" s="120" t="n">
        <v>0.265</v>
      </c>
      <c r="BG522" s="117" t="n">
        <v>0.528</v>
      </c>
      <c r="BH522" s="122" t="n">
        <v>3</v>
      </c>
      <c r="BI522" s="123" t="n">
        <v>1</v>
      </c>
    </row>
    <row r="523" ht="17" customHeight="1">
      <c r="A523" s="117" t="inlineStr">
        <is>
          <t>ANET</t>
        </is>
      </c>
      <c r="B523" s="117" t="inlineStr">
        <is>
          <t>Arista Networks, Inc.</t>
        </is>
      </c>
      <c r="C523" s="118" t="n">
        <v>1.287</v>
      </c>
      <c r="D523" s="118" t="n">
        <v>1.001</v>
      </c>
      <c r="E523" s="118" t="n">
        <v>1.015</v>
      </c>
      <c r="F523" s="118" t="n">
        <v>1.286</v>
      </c>
      <c r="G523" s="118" t="n">
        <v>1.464</v>
      </c>
      <c r="H523" s="118" t="n">
        <v>0.899</v>
      </c>
      <c r="I523" s="118" t="n">
        <v>1.262</v>
      </c>
      <c r="J523" s="118" t="n">
        <v>-0.044</v>
      </c>
      <c r="K523" s="118" t="n">
        <v>-2.177</v>
      </c>
      <c r="L523" s="121" t="inlineStr">
        <is>
          <t>⚠ MANIPULATOR RISK</t>
        </is>
      </c>
      <c r="M523" s="120" t="n">
        <v>0.132</v>
      </c>
      <c r="N523" s="120" t="n">
        <v>0.373</v>
      </c>
      <c r="O523" s="120" t="n">
        <v>0.206</v>
      </c>
      <c r="P523" s="120" t="n">
        <v>0.889</v>
      </c>
      <c r="Q523" s="120" t="n">
        <v>-0.023</v>
      </c>
      <c r="R523" s="117" t="n">
        <v>0</v>
      </c>
      <c r="S523" s="118" t="n">
        <v>-4.837</v>
      </c>
      <c r="T523" s="118" t="n">
        <v>0.008</v>
      </c>
      <c r="U523" s="119" t="inlineStr">
        <is>
          <t>✓ Normal</t>
        </is>
      </c>
      <c r="V523" s="117" t="n">
        <v>1</v>
      </c>
      <c r="W523" s="117" t="n">
        <v>1</v>
      </c>
      <c r="X523" s="117" t="n">
        <v>0</v>
      </c>
      <c r="Y523" s="117" t="n">
        <v>0</v>
      </c>
      <c r="Z523" s="117" t="n">
        <v>1</v>
      </c>
      <c r="AA523" s="117" t="n">
        <v>1</v>
      </c>
      <c r="AB523" s="117" t="n">
        <v>4</v>
      </c>
      <c r="AC523" s="121" t="inlineStr">
        <is>
          <t>⚠⚠ SERIOUS CONCERN</t>
        </is>
      </c>
      <c r="AD523" s="118" t="n">
        <v>4371900000</v>
      </c>
      <c r="AE523" s="118" t="n">
        <v>-3576200000</v>
      </c>
      <c r="AF523" s="118" t="n">
        <v>3511400000</v>
      </c>
      <c r="AG523" s="118" t="n">
        <v>0.162</v>
      </c>
      <c r="AH523" s="117" t="inlineStr">
        <is>
          <t>⚠ Low Quality</t>
        </is>
      </c>
      <c r="AI523" s="118" t="n">
        <v>0.654</v>
      </c>
      <c r="AJ523" s="120" t="n">
        <v>0.286</v>
      </c>
      <c r="AK523" s="120" t="n">
        <v>2.289</v>
      </c>
      <c r="AL523" s="120" t="n">
        <v>0.485</v>
      </c>
      <c r="AM523" s="120" t="n">
        <v>0.006</v>
      </c>
      <c r="AN523" s="118" t="n">
        <v>70.3</v>
      </c>
      <c r="AO523" s="119" t="inlineStr">
        <is>
          <t>✓ Good</t>
        </is>
      </c>
      <c r="AP523" s="117" t="n">
        <v>0</v>
      </c>
      <c r="AQ523" s="117" t="n">
        <v>0</v>
      </c>
      <c r="AR523" s="117" t="n">
        <v>1</v>
      </c>
      <c r="AS523" s="117" t="n">
        <v>0</v>
      </c>
      <c r="AT523" s="117" t="n">
        <v>1</v>
      </c>
      <c r="AU523" s="117" t="n">
        <v>0</v>
      </c>
      <c r="AV523" s="117" t="n">
        <v>2</v>
      </c>
      <c r="AW523" s="121" t="inlineStr">
        <is>
          <t>⚠ WATCH</t>
        </is>
      </c>
      <c r="AX523" s="118" t="n">
        <v>28.9</v>
      </c>
      <c r="AY523" s="119" t="inlineStr">
        <is>
          <t>🟢 LOW RISK</t>
        </is>
      </c>
      <c r="AZ523" s="118" t="n">
        <v>76.5</v>
      </c>
      <c r="BA523" s="118" t="n">
        <v>59.4</v>
      </c>
      <c r="BB523" s="118" t="n">
        <v>253.4</v>
      </c>
      <c r="BC523" s="118" t="n">
        <v>266.6</v>
      </c>
      <c r="BD523" s="118" t="n">
        <v>73.5</v>
      </c>
      <c r="BE523" s="118" t="n">
        <v>55.4</v>
      </c>
      <c r="BF523" s="120" t="n">
        <v>0.174</v>
      </c>
      <c r="BG523" s="117" t="n">
        <v>0.889</v>
      </c>
      <c r="BH523" s="122" t="n">
        <v>6</v>
      </c>
      <c r="BI523" s="123" t="n">
        <v>1</v>
      </c>
    </row>
    <row r="524" ht="17" customHeight="1">
      <c r="A524" s="117" t="inlineStr">
        <is>
          <t>UHS</t>
        </is>
      </c>
      <c r="B524" s="117" t="inlineStr">
        <is>
          <t>UNIVERSAL HEALTH SERVICES, INC.</t>
        </is>
      </c>
      <c r="C524" s="118" t="n">
        <v>1.089</v>
      </c>
      <c r="D524" s="118" t="n">
        <v>0.925</v>
      </c>
      <c r="E524" s="118" t="n">
        <v>0.9370000000000001</v>
      </c>
      <c r="F524" s="118" t="n">
        <v>1.097</v>
      </c>
      <c r="G524" s="118" t="n">
        <v>1.007</v>
      </c>
      <c r="H524" s="124" t="inlineStr">
        <is>
          <t>N/A</t>
        </is>
      </c>
      <c r="I524" s="118" t="n">
        <v>1</v>
      </c>
      <c r="J524" s="118" t="n">
        <v>-0.024</v>
      </c>
      <c r="K524" s="118" t="n">
        <v>-2.316</v>
      </c>
      <c r="L524" s="119" t="inlineStr">
        <is>
          <t>✓ Lower Risk</t>
        </is>
      </c>
      <c r="M524" s="120" t="n">
        <v>-0.06900000000000001</v>
      </c>
      <c r="N524" s="120" t="n">
        <v>0.276</v>
      </c>
      <c r="O524" s="124" t="inlineStr">
        <is>
          <t>N/A</t>
        </is>
      </c>
      <c r="P524" s="120" t="n">
        <v>0.54</v>
      </c>
      <c r="Q524" s="120" t="n">
        <v>0.017</v>
      </c>
      <c r="R524" s="117" t="n">
        <v>0</v>
      </c>
      <c r="S524" s="118" t="n">
        <v>-6.191</v>
      </c>
      <c r="T524" s="118" t="n">
        <v>0.002</v>
      </c>
      <c r="U524" s="119" t="inlineStr">
        <is>
          <t>✓ Normal</t>
        </is>
      </c>
      <c r="V524" s="117" t="n">
        <v>1</v>
      </c>
      <c r="W524" s="117" t="n">
        <v>1</v>
      </c>
      <c r="X524" s="117" t="n">
        <v>0</v>
      </c>
      <c r="Y524" s="117" t="n">
        <v>0</v>
      </c>
      <c r="Z524" s="117" t="n">
        <v>1</v>
      </c>
      <c r="AA524" s="117" t="n">
        <v>0</v>
      </c>
      <c r="AB524" s="117" t="n">
        <v>3</v>
      </c>
      <c r="AC524" s="121" t="inlineStr">
        <is>
          <t>⚠ WATCH</t>
        </is>
      </c>
      <c r="AD524" s="118" t="n">
        <v>1864397000</v>
      </c>
      <c r="AE524" s="118" t="n">
        <v>-1070617000</v>
      </c>
      <c r="AF524" s="118" t="n">
        <v>1488796000</v>
      </c>
      <c r="AG524" s="118" t="n">
        <v>0.046</v>
      </c>
      <c r="AH524" s="119" t="inlineStr">
        <is>
          <t>✓ Medium Quality</t>
        </is>
      </c>
      <c r="AI524" s="118" t="n">
        <v>0.195</v>
      </c>
      <c r="AJ524" s="120" t="n">
        <v>0.097</v>
      </c>
      <c r="AK524" s="120" t="n">
        <v>2.008</v>
      </c>
      <c r="AL524" s="120" t="n">
        <v>0.107</v>
      </c>
      <c r="AM524" s="120" t="n">
        <v>-0</v>
      </c>
      <c r="AN524" s="118" t="n">
        <v>61.5</v>
      </c>
      <c r="AO524" s="121" t="inlineStr">
        <is>
          <t>⚠ WATCH</t>
        </is>
      </c>
      <c r="AP524" s="117" t="n">
        <v>0</v>
      </c>
      <c r="AQ524" s="117" t="n">
        <v>0</v>
      </c>
      <c r="AR524" s="117" t="n">
        <v>0</v>
      </c>
      <c r="AS524" s="117" t="n">
        <v>0</v>
      </c>
      <c r="AT524" s="117" t="n">
        <v>0</v>
      </c>
      <c r="AU524" s="117" t="n">
        <v>0</v>
      </c>
      <c r="AV524" s="117" t="n">
        <v>0</v>
      </c>
      <c r="AW524" s="119" t="inlineStr">
        <is>
          <t>✓ Clean</t>
        </is>
      </c>
      <c r="AX524" s="118" t="n">
        <v>20.7</v>
      </c>
      <c r="AY524" s="119" t="inlineStr">
        <is>
          <t>🟢 LOW RISK</t>
        </is>
      </c>
      <c r="AZ524" s="118" t="n">
        <v>54.7</v>
      </c>
      <c r="BA524" s="118" t="n">
        <v>50.2</v>
      </c>
      <c r="BB524" s="124" t="inlineStr">
        <is>
          <t>N/A</t>
        </is>
      </c>
      <c r="BC524" s="124" t="inlineStr">
        <is>
          <t>N/A</t>
        </is>
      </c>
      <c r="BD524" s="118" t="n">
        <v>17.8</v>
      </c>
      <c r="BE524" s="118" t="n">
        <v>16.3</v>
      </c>
      <c r="BF524" s="120" t="n">
        <v>0.234</v>
      </c>
      <c r="BG524" s="117" t="n">
        <v>0.54</v>
      </c>
      <c r="BH524" s="122" t="n">
        <v>3</v>
      </c>
      <c r="BI524" s="123" t="n">
        <v>1</v>
      </c>
    </row>
    <row r="525" ht="17" customHeight="1">
      <c r="A525" s="117" t="inlineStr">
        <is>
          <t>ALLY</t>
        </is>
      </c>
      <c r="B525" s="117" t="inlineStr">
        <is>
          <t>Ally Financial Inc.</t>
        </is>
      </c>
      <c r="C525" s="124" t="inlineStr">
        <is>
          <t>N/A</t>
        </is>
      </c>
      <c r="D525" s="124" t="inlineStr">
        <is>
          <t>N/A</t>
        </is>
      </c>
      <c r="E525" s="118" t="n">
        <v>1.001</v>
      </c>
      <c r="F525" s="118" t="n">
        <v>0.967</v>
      </c>
      <c r="G525" s="118" t="n">
        <v>5.741</v>
      </c>
      <c r="H525" s="124" t="inlineStr">
        <is>
          <t>N/A</t>
        </is>
      </c>
      <c r="I525" s="118" t="n">
        <v>0.993</v>
      </c>
      <c r="J525" s="118" t="n">
        <v>-0.015</v>
      </c>
      <c r="K525" s="124" t="inlineStr">
        <is>
          <t>N/A</t>
        </is>
      </c>
      <c r="L525" s="124" t="inlineStr">
        <is>
          <t>N/A</t>
        </is>
      </c>
      <c r="M525" s="124" t="inlineStr">
        <is>
          <t>N/A</t>
        </is>
      </c>
      <c r="N525" s="124" t="inlineStr">
        <is>
          <t>N/A</t>
        </is>
      </c>
      <c r="O525" s="124" t="inlineStr">
        <is>
          <t>N/A</t>
        </is>
      </c>
      <c r="P525" s="120" t="n">
        <v>0.9429999999999999</v>
      </c>
      <c r="Q525" s="120" t="n">
        <v>0.001</v>
      </c>
      <c r="R525" s="117" t="n">
        <v>1</v>
      </c>
      <c r="S525" s="124" t="inlineStr">
        <is>
          <t>N/A</t>
        </is>
      </c>
      <c r="T525" s="124" t="inlineStr">
        <is>
          <t>N/A</t>
        </is>
      </c>
      <c r="U525" s="124" t="inlineStr">
        <is>
          <t>N/A</t>
        </is>
      </c>
      <c r="V525" s="117" t="n">
        <v>1</v>
      </c>
      <c r="W525" s="117" t="n">
        <v>0</v>
      </c>
      <c r="X525" s="117" t="n">
        <v>0</v>
      </c>
      <c r="Y525" s="117" t="n">
        <v>0</v>
      </c>
      <c r="Z525" s="117" t="n">
        <v>1</v>
      </c>
      <c r="AA525" s="117" t="n">
        <v>0</v>
      </c>
      <c r="AB525" s="117" t="n">
        <v>2</v>
      </c>
      <c r="AC525" s="121" t="inlineStr">
        <is>
          <t>⚠ WATCH</t>
        </is>
      </c>
      <c r="AD525" s="118" t="n">
        <v>3729000000</v>
      </c>
      <c r="AE525" s="118" t="n">
        <v>-5264000000</v>
      </c>
      <c r="AF525" s="118" t="n">
        <v>852000000</v>
      </c>
      <c r="AG525" s="118" t="n">
        <v>0.012</v>
      </c>
      <c r="AH525" s="119" t="inlineStr">
        <is>
          <t>✓ Medium Quality</t>
        </is>
      </c>
      <c r="AI525" s="124" t="inlineStr">
        <is>
          <t>N/A</t>
        </is>
      </c>
      <c r="AJ525" s="120" t="n">
        <v>-0.033</v>
      </c>
      <c r="AK525" s="124" t="inlineStr">
        <is>
          <t>N/A</t>
        </is>
      </c>
      <c r="AL525" s="120" t="n">
        <v>0.471</v>
      </c>
      <c r="AM525" s="120" t="n">
        <v>-0.001</v>
      </c>
      <c r="AN525" s="117" t="n">
        <v>100</v>
      </c>
      <c r="AO525" s="119" t="inlineStr">
        <is>
          <t>✓ Good</t>
        </is>
      </c>
      <c r="AP525" s="117" t="n">
        <v>0</v>
      </c>
      <c r="AQ525" s="117" t="n">
        <v>0</v>
      </c>
      <c r="AR525" s="117" t="n">
        <v>0</v>
      </c>
      <c r="AS525" s="117" t="n">
        <v>0</v>
      </c>
      <c r="AT525" s="117" t="n">
        <v>0</v>
      </c>
      <c r="AU525" s="117" t="n">
        <v>1</v>
      </c>
      <c r="AV525" s="117" t="n">
        <v>1</v>
      </c>
      <c r="AW525" s="119" t="inlineStr">
        <is>
          <t>✓ Clean</t>
        </is>
      </c>
      <c r="AX525" s="118" t="n">
        <v>29.8</v>
      </c>
      <c r="AY525" s="119" t="inlineStr">
        <is>
          <t>🟢 LOW RISK</t>
        </is>
      </c>
      <c r="AZ525" s="118" t="n">
        <v>0</v>
      </c>
      <c r="BA525" s="124" t="inlineStr">
        <is>
          <t>N/A</t>
        </is>
      </c>
      <c r="BB525" s="124" t="inlineStr">
        <is>
          <t>N/A</t>
        </is>
      </c>
      <c r="BC525" s="124" t="inlineStr">
        <is>
          <t>N/A</t>
        </is>
      </c>
      <c r="BD525" s="124" t="inlineStr">
        <is>
          <t>N/A</t>
        </is>
      </c>
      <c r="BE525" s="124" t="inlineStr">
        <is>
          <t>N/A</t>
        </is>
      </c>
      <c r="BF525" s="120" t="n">
        <v>0.189</v>
      </c>
      <c r="BG525" s="117" t="n">
        <v>0.9429999999999999</v>
      </c>
      <c r="BH525" s="122" t="n">
        <v>4</v>
      </c>
      <c r="BI525" s="125" t="n">
        <v>0.6666666666666666</v>
      </c>
    </row>
    <row r="526" ht="17" customHeight="1">
      <c r="A526" s="117" t="inlineStr">
        <is>
          <t>SJM</t>
        </is>
      </c>
      <c r="B526" s="117" t="inlineStr">
        <is>
          <t>THE J. M. SMUCKER COMPANY</t>
        </is>
      </c>
      <c r="C526" s="118" t="n">
        <v>1.022</v>
      </c>
      <c r="D526" s="118" t="n">
        <v>1.157</v>
      </c>
      <c r="E526" s="118" t="n">
        <v>0.984</v>
      </c>
      <c r="F526" s="118" t="n">
        <v>1.037</v>
      </c>
      <c r="G526" s="118" t="n">
        <v>0.821</v>
      </c>
      <c r="H526" s="118" t="n">
        <v>0.944</v>
      </c>
      <c r="I526" s="118" t="n">
        <v>1.007</v>
      </c>
      <c r="J526" s="118" t="n">
        <v>-0.099</v>
      </c>
      <c r="K526" s="118" t="n">
        <v>-2.828</v>
      </c>
      <c r="L526" s="119" t="inlineStr">
        <is>
          <t>✓ Lower Risk</t>
        </is>
      </c>
      <c r="M526" s="120" t="n">
        <v>-0.019</v>
      </c>
      <c r="N526" s="120" t="n">
        <v>0.115</v>
      </c>
      <c r="O526" s="120" t="n">
        <v>-0.255</v>
      </c>
      <c r="P526" s="120" t="n">
        <v>0.8070000000000001</v>
      </c>
      <c r="Q526" s="120" t="n">
        <v>0.062</v>
      </c>
      <c r="R526" s="117" t="n">
        <v>1</v>
      </c>
      <c r="S526" s="118" t="n">
        <v>-3.279</v>
      </c>
      <c r="T526" s="118" t="n">
        <v>0.036</v>
      </c>
      <c r="U526" s="119" t="inlineStr">
        <is>
          <t>✓ Normal</t>
        </is>
      </c>
      <c r="V526" s="117" t="n">
        <v>1</v>
      </c>
      <c r="W526" s="117" t="n">
        <v>1</v>
      </c>
      <c r="X526" s="117" t="n">
        <v>0</v>
      </c>
      <c r="Y526" s="117" t="n">
        <v>1</v>
      </c>
      <c r="Z526" s="117" t="n">
        <v>0</v>
      </c>
      <c r="AA526" s="117" t="n">
        <v>0</v>
      </c>
      <c r="AB526" s="117" t="n">
        <v>3</v>
      </c>
      <c r="AC526" s="121" t="inlineStr">
        <is>
          <t>⚠ WATCH</t>
        </is>
      </c>
      <c r="AD526" s="118" t="n">
        <v>1473600000</v>
      </c>
      <c r="AE526" s="118" t="n">
        <v>-258800000</v>
      </c>
      <c r="AF526" s="118" t="n">
        <v>-138700000</v>
      </c>
      <c r="AG526" s="118" t="n">
        <v>-0.08</v>
      </c>
      <c r="AH526" s="119" t="inlineStr">
        <is>
          <t>✓ Medium Quality</t>
        </is>
      </c>
      <c r="AI526" s="118" t="n">
        <v>0.06</v>
      </c>
      <c r="AJ526" s="120" t="n">
        <v>0.037</v>
      </c>
      <c r="AK526" s="120" t="n">
        <v>1.619</v>
      </c>
      <c r="AL526" s="120" t="n">
        <v>0.163</v>
      </c>
      <c r="AM526" s="124" t="inlineStr">
        <is>
          <t>N/A</t>
        </is>
      </c>
      <c r="AN526" s="118" t="n">
        <v>81.40000000000001</v>
      </c>
      <c r="AO526" s="119" t="inlineStr">
        <is>
          <t>✓ Good</t>
        </is>
      </c>
      <c r="AP526" s="117" t="n">
        <v>0</v>
      </c>
      <c r="AQ526" s="117" t="n">
        <v>0</v>
      </c>
      <c r="AR526" s="117" t="n">
        <v>1</v>
      </c>
      <c r="AS526" s="117" t="n">
        <v>0</v>
      </c>
      <c r="AT526" s="117" t="n">
        <v>1</v>
      </c>
      <c r="AU526" s="117" t="n">
        <v>1</v>
      </c>
      <c r="AV526" s="117" t="n">
        <v>3</v>
      </c>
      <c r="AW526" s="121" t="inlineStr">
        <is>
          <t>⚠ WATCH</t>
        </is>
      </c>
      <c r="AX526" s="118" t="n">
        <v>26.5</v>
      </c>
      <c r="AY526" s="119" t="inlineStr">
        <is>
          <t>🟢 LOW RISK</t>
        </is>
      </c>
      <c r="AZ526" s="118" t="n">
        <v>26.5</v>
      </c>
      <c r="BA526" s="118" t="n">
        <v>25.9</v>
      </c>
      <c r="BB526" s="118" t="n">
        <v>68.3</v>
      </c>
      <c r="BC526" s="118" t="n">
        <v>82.59999999999999</v>
      </c>
      <c r="BD526" s="118" t="n">
        <v>71.3</v>
      </c>
      <c r="BE526" s="118" t="n">
        <v>88.09999999999999</v>
      </c>
      <c r="BF526" s="120" t="n">
        <v>-1.223</v>
      </c>
      <c r="BG526" s="117" t="n">
        <v>0.8070000000000001</v>
      </c>
      <c r="BH526" s="122" t="n">
        <v>7</v>
      </c>
      <c r="BI526" s="123" t="n">
        <v>1</v>
      </c>
    </row>
    <row r="527" ht="17" customHeight="1">
      <c r="A527" s="117" t="inlineStr">
        <is>
          <t>POWI</t>
        </is>
      </c>
      <c r="B527" s="117" t="inlineStr">
        <is>
          <t>POWER INTEGRATIONS, INC.</t>
        </is>
      </c>
      <c r="C527" s="118" t="n">
        <v>1.398</v>
      </c>
      <c r="D527" s="118" t="n">
        <v>0.985</v>
      </c>
      <c r="E527" s="118" t="n">
        <v>1.087</v>
      </c>
      <c r="F527" s="118" t="n">
        <v>1.059</v>
      </c>
      <c r="G527" s="118" t="n">
        <v>1.163</v>
      </c>
      <c r="H527" s="118" t="n">
        <v>1.056</v>
      </c>
      <c r="I527" s="118" t="n">
        <v>1.349</v>
      </c>
      <c r="J527" s="118" t="n">
        <v>-0.116</v>
      </c>
      <c r="K527" s="118" t="n">
        <v>-2.682</v>
      </c>
      <c r="L527" s="119" t="inlineStr">
        <is>
          <t>✓ Lower Risk</t>
        </is>
      </c>
      <c r="M527" s="120" t="n">
        <v>-0.137</v>
      </c>
      <c r="N527" s="120" t="n">
        <v>0.474</v>
      </c>
      <c r="O527" s="120" t="n">
        <v>0.052</v>
      </c>
      <c r="P527" s="120" t="n">
        <v>0.734</v>
      </c>
      <c r="Q527" s="120" t="n">
        <v>-0.01</v>
      </c>
      <c r="R527" s="117" t="n">
        <v>0</v>
      </c>
      <c r="S527" s="118" t="n">
        <v>-5.287</v>
      </c>
      <c r="T527" s="118" t="n">
        <v>0.005</v>
      </c>
      <c r="U527" s="119" t="inlineStr">
        <is>
          <t>✓ Normal</t>
        </is>
      </c>
      <c r="V527" s="117" t="n">
        <v>0</v>
      </c>
      <c r="W527" s="117" t="n">
        <v>1</v>
      </c>
      <c r="X527" s="117" t="n">
        <v>0</v>
      </c>
      <c r="Y527" s="117" t="n">
        <v>0</v>
      </c>
      <c r="Z527" s="117" t="n">
        <v>1</v>
      </c>
      <c r="AA527" s="117" t="n">
        <v>0</v>
      </c>
      <c r="AB527" s="117" t="n">
        <v>2</v>
      </c>
      <c r="AC527" s="121" t="inlineStr">
        <is>
          <t>⚠ WATCH</t>
        </is>
      </c>
      <c r="AD527" s="118" t="n">
        <v>111518000</v>
      </c>
      <c r="AE527" s="118" t="n">
        <v>36207000</v>
      </c>
      <c r="AF527" s="118" t="n">
        <v>22093000</v>
      </c>
      <c r="AG527" s="118" t="n">
        <v>-0.157</v>
      </c>
      <c r="AH527" s="119" t="inlineStr">
        <is>
          <t>✓ High Quality</t>
        </is>
      </c>
      <c r="AI527" s="118" t="n">
        <v>0.479</v>
      </c>
      <c r="AJ527" s="120" t="n">
        <v>0.059</v>
      </c>
      <c r="AK527" s="120" t="n">
        <v>8.186999999999999</v>
      </c>
      <c r="AL527" s="120" t="n">
        <v>0.251</v>
      </c>
      <c r="AM527" s="120" t="n">
        <v>0.005</v>
      </c>
      <c r="AN527" s="118" t="n">
        <v>70.3</v>
      </c>
      <c r="AO527" s="119" t="inlineStr">
        <is>
          <t>✓ Good</t>
        </is>
      </c>
      <c r="AP527" s="117" t="n">
        <v>0</v>
      </c>
      <c r="AQ527" s="117" t="n">
        <v>0</v>
      </c>
      <c r="AR527" s="117" t="n">
        <v>0</v>
      </c>
      <c r="AS527" s="117" t="n">
        <v>1</v>
      </c>
      <c r="AT527" s="117" t="n">
        <v>1</v>
      </c>
      <c r="AU527" s="117" t="n">
        <v>1</v>
      </c>
      <c r="AV527" s="117" t="n">
        <v>3</v>
      </c>
      <c r="AW527" s="121" t="inlineStr">
        <is>
          <t>⚠ WATCH</t>
        </is>
      </c>
      <c r="AX527" s="118" t="n">
        <v>21</v>
      </c>
      <c r="AY527" s="119" t="inlineStr">
        <is>
          <t>🟢 LOW RISK</t>
        </is>
      </c>
      <c r="AZ527" s="118" t="n">
        <v>29.6</v>
      </c>
      <c r="BA527" s="118" t="n">
        <v>21.1</v>
      </c>
      <c r="BB527" s="118" t="n">
        <v>301.8</v>
      </c>
      <c r="BC527" s="118" t="n">
        <v>311.2</v>
      </c>
      <c r="BD527" s="118" t="n">
        <v>61.4</v>
      </c>
      <c r="BE527" s="118" t="n">
        <v>56</v>
      </c>
      <c r="BF527" s="120" t="n">
        <v>-0.053</v>
      </c>
      <c r="BG527" s="117" t="n">
        <v>0.734</v>
      </c>
      <c r="BH527" s="122" t="n">
        <v>5</v>
      </c>
      <c r="BI527" s="123" t="n">
        <v>1</v>
      </c>
    </row>
    <row r="528" ht="17" customHeight="1">
      <c r="A528" s="117" t="inlineStr">
        <is>
          <t>FIVE</t>
        </is>
      </c>
      <c r="B528" s="117" t="inlineStr">
        <is>
          <t>Five Below, Inc.</t>
        </is>
      </c>
      <c r="C528" s="124" t="inlineStr">
        <is>
          <t>N/A</t>
        </is>
      </c>
      <c r="D528" s="118" t="n">
        <v>0.508</v>
      </c>
      <c r="E528" s="118" t="n">
        <v>0.909</v>
      </c>
      <c r="F528" s="118" t="n">
        <v>1.229</v>
      </c>
      <c r="G528" s="118" t="n">
        <v>0.87</v>
      </c>
      <c r="H528" s="118" t="n">
        <v>1.006</v>
      </c>
      <c r="I528" s="118" t="n">
        <v>0.953</v>
      </c>
      <c r="J528" s="118" t="n">
        <v>-0.046</v>
      </c>
      <c r="K528" s="124" t="inlineStr">
        <is>
          <t>N/A</t>
        </is>
      </c>
      <c r="L528" s="124" t="inlineStr">
        <is>
          <t>N/A</t>
        </is>
      </c>
      <c r="M528" s="120" t="n">
        <v>0.046</v>
      </c>
      <c r="N528" s="124" t="inlineStr">
        <is>
          <t>N/A</t>
        </is>
      </c>
      <c r="O528" s="120" t="n">
        <v>0.211</v>
      </c>
      <c r="P528" s="120" t="n">
        <v>0.709</v>
      </c>
      <c r="Q528" s="120" t="n">
        <v>0.014</v>
      </c>
      <c r="R528" s="117" t="n">
        <v>1</v>
      </c>
      <c r="S528" s="118" t="n">
        <v>-3.135</v>
      </c>
      <c r="T528" s="118" t="n">
        <v>0.042</v>
      </c>
      <c r="U528" s="121" t="inlineStr">
        <is>
          <t>⚠ HIGH RISK</t>
        </is>
      </c>
      <c r="V528" s="117" t="n">
        <v>0</v>
      </c>
      <c r="W528" s="117" t="n">
        <v>0</v>
      </c>
      <c r="X528" s="117" t="n">
        <v>1</v>
      </c>
      <c r="Y528" s="117" t="n">
        <v>0</v>
      </c>
      <c r="Z528" s="117" t="n">
        <v>0</v>
      </c>
      <c r="AA528" s="117" t="n">
        <v>1</v>
      </c>
      <c r="AB528" s="117" t="n">
        <v>2</v>
      </c>
      <c r="AC528" s="121" t="inlineStr">
        <is>
          <t>⚠ WATCH</t>
        </is>
      </c>
      <c r="AD528" s="118" t="n">
        <v>586428000</v>
      </c>
      <c r="AE528" s="118" t="n">
        <v>-186176000</v>
      </c>
      <c r="AF528" s="118" t="n">
        <v>358641000</v>
      </c>
      <c r="AG528" s="118" t="n">
        <v>-0.008999999999999999</v>
      </c>
      <c r="AH528" s="119" t="inlineStr">
        <is>
          <t>✓ Medium Quality</t>
        </is>
      </c>
      <c r="AI528" s="124" t="inlineStr">
        <is>
          <t>N/A</t>
        </is>
      </c>
      <c r="AJ528" s="120" t="n">
        <v>0.229</v>
      </c>
      <c r="AK528" s="124" t="inlineStr">
        <is>
          <t>N/A</t>
        </is>
      </c>
      <c r="AL528" s="120" t="n">
        <v>0.123</v>
      </c>
      <c r="AM528" s="124" t="inlineStr">
        <is>
          <t>N/A</t>
        </is>
      </c>
      <c r="AN528" s="118" t="n">
        <v>94.59999999999999</v>
      </c>
      <c r="AO528" s="119" t="inlineStr">
        <is>
          <t>✓ Good</t>
        </is>
      </c>
      <c r="AP528" s="117" t="n">
        <v>0</v>
      </c>
      <c r="AQ528" s="117" t="n">
        <v>0</v>
      </c>
      <c r="AR528" s="117" t="n">
        <v>0</v>
      </c>
      <c r="AS528" s="117" t="n">
        <v>1</v>
      </c>
      <c r="AT528" s="117" t="n">
        <v>0</v>
      </c>
      <c r="AU528" s="117" t="n">
        <v>0</v>
      </c>
      <c r="AV528" s="117" t="n">
        <v>1</v>
      </c>
      <c r="AW528" s="119" t="inlineStr">
        <is>
          <t>✓ Clean</t>
        </is>
      </c>
      <c r="AX528" s="118" t="n">
        <v>28.7</v>
      </c>
      <c r="AY528" s="119" t="inlineStr">
        <is>
          <t>🟢 LOW RISK</t>
        </is>
      </c>
      <c r="AZ528" s="118" t="n">
        <v>0</v>
      </c>
      <c r="BA528" s="124" t="inlineStr">
        <is>
          <t>N/A</t>
        </is>
      </c>
      <c r="BB528" s="118" t="n">
        <v>101.3</v>
      </c>
      <c r="BC528" s="118" t="n">
        <v>95.40000000000001</v>
      </c>
      <c r="BD528" s="118" t="n">
        <v>44.1</v>
      </c>
      <c r="BE528" s="118" t="n">
        <v>37.7</v>
      </c>
      <c r="BF528" s="120" t="n">
        <v>0.253</v>
      </c>
      <c r="BG528" s="117" t="n">
        <v>0.709</v>
      </c>
      <c r="BH528" s="122" t="n">
        <v>4</v>
      </c>
      <c r="BI528" s="123" t="n">
        <v>0.8333333333333334</v>
      </c>
    </row>
    <row r="529" ht="17" customHeight="1">
      <c r="A529" s="117" t="inlineStr">
        <is>
          <t>DAL</t>
        </is>
      </c>
      <c r="B529" s="117" t="inlineStr">
        <is>
          <t>Delta Air Lines, Inc.</t>
        </is>
      </c>
      <c r="C529" s="118" t="n">
        <v>0.984</v>
      </c>
      <c r="D529" s="118" t="n">
        <v>0.734</v>
      </c>
      <c r="E529" s="118" t="n">
        <v>0.999</v>
      </c>
      <c r="F529" s="118" t="n">
        <v>0.899</v>
      </c>
      <c r="G529" s="118" t="n">
        <v>1.016</v>
      </c>
      <c r="H529" s="118" t="n">
        <v>1.113</v>
      </c>
      <c r="I529" s="118" t="n">
        <v>1</v>
      </c>
      <c r="J529" s="118" t="n">
        <v>-0.041</v>
      </c>
      <c r="K529" s="118" t="n">
        <v>-2.936</v>
      </c>
      <c r="L529" s="119" t="inlineStr">
        <is>
          <t>✓ Lower Risk</t>
        </is>
      </c>
      <c r="M529" s="120" t="n">
        <v>-0.042</v>
      </c>
      <c r="N529" s="120" t="n">
        <v>-0.309</v>
      </c>
      <c r="O529" s="124" t="inlineStr">
        <is>
          <t>N/A</t>
        </is>
      </c>
      <c r="P529" s="120" t="n">
        <v>0.599</v>
      </c>
      <c r="Q529" s="120" t="n">
        <v>0.016</v>
      </c>
      <c r="R529" s="117" t="n">
        <v>1</v>
      </c>
      <c r="S529" s="118" t="n">
        <v>-4.452</v>
      </c>
      <c r="T529" s="118" t="n">
        <v>0.012</v>
      </c>
      <c r="U529" s="119" t="inlineStr">
        <is>
          <t>✓ Normal</t>
        </is>
      </c>
      <c r="V529" s="117" t="n">
        <v>1</v>
      </c>
      <c r="W529" s="117" t="n">
        <v>0</v>
      </c>
      <c r="X529" s="117" t="n">
        <v>0</v>
      </c>
      <c r="Y529" s="117" t="n">
        <v>0</v>
      </c>
      <c r="Z529" s="117" t="n">
        <v>1</v>
      </c>
      <c r="AA529" s="117" t="n">
        <v>0</v>
      </c>
      <c r="AB529" s="117" t="n">
        <v>2</v>
      </c>
      <c r="AC529" s="121" t="inlineStr">
        <is>
          <t>⚠ WATCH</t>
        </is>
      </c>
      <c r="AD529" s="118" t="n">
        <v>8342000000</v>
      </c>
      <c r="AE529" s="118" t="n">
        <v>-4186000000</v>
      </c>
      <c r="AF529" s="118" t="n">
        <v>5005000000</v>
      </c>
      <c r="AG529" s="118" t="n">
        <v>0.011</v>
      </c>
      <c r="AH529" s="119" t="inlineStr">
        <is>
          <t>✓ Medium Quality</t>
        </is>
      </c>
      <c r="AI529" s="118" t="n">
        <v>-0.116</v>
      </c>
      <c r="AJ529" s="120" t="n">
        <v>-0.101</v>
      </c>
      <c r="AK529" s="120" t="n">
        <v>1.145</v>
      </c>
      <c r="AL529" s="120" t="n">
        <v>0.777</v>
      </c>
      <c r="AM529" s="124" t="inlineStr">
        <is>
          <t>N/A</t>
        </is>
      </c>
      <c r="AN529" s="118" t="n">
        <v>95.59999999999999</v>
      </c>
      <c r="AO529" s="119" t="inlineStr">
        <is>
          <t>✓ Good</t>
        </is>
      </c>
      <c r="AP529" s="117" t="n">
        <v>0</v>
      </c>
      <c r="AQ529" s="117" t="n">
        <v>1</v>
      </c>
      <c r="AR529" s="117" t="n">
        <v>1</v>
      </c>
      <c r="AS529" s="117" t="n">
        <v>1</v>
      </c>
      <c r="AT529" s="117" t="n">
        <v>0</v>
      </c>
      <c r="AU529" s="117" t="n">
        <v>1</v>
      </c>
      <c r="AV529" s="117" t="n">
        <v>4</v>
      </c>
      <c r="AW529" s="117" t="inlineStr">
        <is>
          <t>⚠⚠ MULTIPLE RED FLAGS</t>
        </is>
      </c>
      <c r="AX529" s="118" t="n">
        <v>17.9</v>
      </c>
      <c r="AY529" s="119" t="inlineStr">
        <is>
          <t>🟢 VERY LOW RISK</t>
        </is>
      </c>
      <c r="AZ529" s="118" t="n">
        <v>96.8</v>
      </c>
      <c r="BA529" s="118" t="n">
        <v>98.40000000000001</v>
      </c>
      <c r="BB529" s="124" t="inlineStr">
        <is>
          <t>N/A</t>
        </is>
      </c>
      <c r="BC529" s="124" t="inlineStr">
        <is>
          <t>N/A</t>
        </is>
      </c>
      <c r="BD529" s="118" t="n">
        <v>48.7</v>
      </c>
      <c r="BE529" s="118" t="n">
        <v>48.3</v>
      </c>
      <c r="BF529" s="120" t="n">
        <v>0.191</v>
      </c>
      <c r="BG529" s="117" t="n">
        <v>0.599</v>
      </c>
      <c r="BH529" s="122" t="n">
        <v>7</v>
      </c>
      <c r="BI529" s="123" t="n">
        <v>1</v>
      </c>
    </row>
    <row r="530" ht="17" customHeight="1">
      <c r="A530" s="117" t="inlineStr">
        <is>
          <t>ACM</t>
        </is>
      </c>
      <c r="B530" s="117" t="inlineStr">
        <is>
          <t>AECOM</t>
        </is>
      </c>
      <c r="C530" s="118" t="n">
        <v>0.892</v>
      </c>
      <c r="D530" s="118" t="n">
        <v>0.893</v>
      </c>
      <c r="E530" s="118" t="n">
        <v>1.103</v>
      </c>
      <c r="F530" s="118" t="n">
        <v>1.002</v>
      </c>
      <c r="G530" s="118" t="n">
        <v>9.58</v>
      </c>
      <c r="H530" s="118" t="n">
        <v>0.984</v>
      </c>
      <c r="I530" s="118" t="n">
        <v>0.97</v>
      </c>
      <c r="J530" s="118" t="n">
        <v>-0.021</v>
      </c>
      <c r="K530" s="118" t="n">
        <v>-1.693</v>
      </c>
      <c r="L530" s="121" t="inlineStr">
        <is>
          <t>⚠ MANIPULATOR RISK</t>
        </is>
      </c>
      <c r="M530" s="120" t="n">
        <v>-0.001</v>
      </c>
      <c r="N530" s="120" t="n">
        <v>-8.679</v>
      </c>
      <c r="O530" s="124" t="inlineStr">
        <is>
          <t>N/A</t>
        </is>
      </c>
      <c r="P530" s="120" t="n">
        <v>0.836</v>
      </c>
      <c r="Q530" s="120" t="n">
        <v>0.013</v>
      </c>
      <c r="R530" s="117" t="n">
        <v>0</v>
      </c>
      <c r="S530" s="118" t="n">
        <v>-28.098</v>
      </c>
      <c r="T530" s="118" t="n">
        <v>0</v>
      </c>
      <c r="U530" s="119" t="inlineStr">
        <is>
          <t>✓ Normal</t>
        </is>
      </c>
      <c r="V530" s="117" t="n">
        <v>1</v>
      </c>
      <c r="W530" s="117" t="n">
        <v>0</v>
      </c>
      <c r="X530" s="117" t="n">
        <v>0</v>
      </c>
      <c r="Y530" s="117" t="n">
        <v>1</v>
      </c>
      <c r="Z530" s="117" t="n">
        <v>1</v>
      </c>
      <c r="AA530" s="117" t="n">
        <v>0</v>
      </c>
      <c r="AB530" s="117" t="n">
        <v>3</v>
      </c>
      <c r="AC530" s="121" t="inlineStr">
        <is>
          <t>⚠ WATCH</t>
        </is>
      </c>
      <c r="AD530" s="118" t="n">
        <v>821602000</v>
      </c>
      <c r="AE530" s="118" t="n">
        <v>-413221000</v>
      </c>
      <c r="AF530" s="118" t="n">
        <v>561774000</v>
      </c>
      <c r="AG530" s="118" t="n">
        <v>0.013</v>
      </c>
      <c r="AH530" s="119" t="inlineStr">
        <is>
          <t>✓ Medium Quality</t>
        </is>
      </c>
      <c r="AI530" s="118" t="n">
        <v>-0.106</v>
      </c>
      <c r="AJ530" s="120" t="n">
        <v>0.002</v>
      </c>
      <c r="AK530" s="120" t="n">
        <v>-50.041</v>
      </c>
      <c r="AL530" s="120" t="n">
        <v>0.051</v>
      </c>
      <c r="AM530" s="120" t="n">
        <v>-0.013</v>
      </c>
      <c r="AN530" s="118" t="n">
        <v>79.5</v>
      </c>
      <c r="AO530" s="119" t="inlineStr">
        <is>
          <t>✓ Good</t>
        </is>
      </c>
      <c r="AP530" s="117" t="n">
        <v>0</v>
      </c>
      <c r="AQ530" s="117" t="n">
        <v>0</v>
      </c>
      <c r="AR530" s="117" t="n">
        <v>0</v>
      </c>
      <c r="AS530" s="117" t="n">
        <v>0</v>
      </c>
      <c r="AT530" s="117" t="n">
        <v>0</v>
      </c>
      <c r="AU530" s="117" t="n">
        <v>0</v>
      </c>
      <c r="AV530" s="117" t="n">
        <v>0</v>
      </c>
      <c r="AW530" s="119" t="inlineStr">
        <is>
          <t>✓ Clean</t>
        </is>
      </c>
      <c r="AX530" s="118" t="n">
        <v>20.7</v>
      </c>
      <c r="AY530" s="119" t="inlineStr">
        <is>
          <t>🟢 LOW RISK</t>
        </is>
      </c>
      <c r="AZ530" s="118" t="n">
        <v>56.5</v>
      </c>
      <c r="BA530" s="118" t="n">
        <v>63.3</v>
      </c>
      <c r="BB530" s="124" t="inlineStr">
        <is>
          <t>N/A</t>
        </is>
      </c>
      <c r="BC530" s="124" t="inlineStr">
        <is>
          <t>N/A</t>
        </is>
      </c>
      <c r="BD530" s="118" t="n">
        <v>55.3</v>
      </c>
      <c r="BE530" s="118" t="n">
        <v>62.2</v>
      </c>
      <c r="BF530" s="120" t="n">
        <v>0.223</v>
      </c>
      <c r="BG530" s="117" t="n">
        <v>0.836</v>
      </c>
      <c r="BH530" s="122" t="n">
        <v>3</v>
      </c>
      <c r="BI530" s="123" t="n">
        <v>1</v>
      </c>
    </row>
    <row r="531" ht="17" customHeight="1">
      <c r="A531" s="117" t="inlineStr">
        <is>
          <t>KKR</t>
        </is>
      </c>
      <c r="B531" s="117" t="inlineStr">
        <is>
          <t>KKR &amp; Co. Inc.</t>
        </is>
      </c>
      <c r="C531" s="124" t="inlineStr">
        <is>
          <t>N/A</t>
        </is>
      </c>
      <c r="D531" s="124" t="inlineStr">
        <is>
          <t>N/A</t>
        </is>
      </c>
      <c r="E531" s="118" t="n">
        <v>1</v>
      </c>
      <c r="F531" s="118" t="n">
        <v>0.89</v>
      </c>
      <c r="G531" s="118" t="n">
        <v>1.14</v>
      </c>
      <c r="H531" s="124" t="inlineStr">
        <is>
          <t>N/A</t>
        </is>
      </c>
      <c r="I531" s="118" t="n">
        <v>0.968</v>
      </c>
      <c r="J531" s="118" t="n">
        <v>0.005</v>
      </c>
      <c r="K531" s="124" t="inlineStr">
        <is>
          <t>N/A</t>
        </is>
      </c>
      <c r="L531" s="124" t="inlineStr">
        <is>
          <t>N/A</t>
        </is>
      </c>
      <c r="M531" s="124" t="inlineStr">
        <is>
          <t>N/A</t>
        </is>
      </c>
      <c r="N531" s="124" t="inlineStr">
        <is>
          <t>N/A</t>
        </is>
      </c>
      <c r="O531" s="124" t="inlineStr">
        <is>
          <t>N/A</t>
        </is>
      </c>
      <c r="P531" s="120" t="n">
        <v>0.985</v>
      </c>
      <c r="Q531" s="120" t="n">
        <v>-0.003</v>
      </c>
      <c r="R531" s="117" t="n">
        <v>1</v>
      </c>
      <c r="S531" s="124" t="inlineStr">
        <is>
          <t>N/A</t>
        </is>
      </c>
      <c r="T531" s="124" t="inlineStr">
        <is>
          <t>N/A</t>
        </is>
      </c>
      <c r="U531" s="124" t="inlineStr">
        <is>
          <t>N/A</t>
        </is>
      </c>
      <c r="V531" s="117" t="n">
        <v>1</v>
      </c>
      <c r="W531" s="117" t="n">
        <v>0</v>
      </c>
      <c r="X531" s="117" t="n">
        <v>0</v>
      </c>
      <c r="Y531" s="117" t="n">
        <v>0</v>
      </c>
      <c r="Z531" s="117" t="n">
        <v>1</v>
      </c>
      <c r="AA531" s="117" t="n">
        <v>1</v>
      </c>
      <c r="AB531" s="117" t="n">
        <v>3</v>
      </c>
      <c r="AC531" s="121" t="inlineStr">
        <is>
          <t>⚠ WATCH</t>
        </is>
      </c>
      <c r="AD531" s="118" t="n">
        <v>477760000</v>
      </c>
      <c r="AE531" s="118" t="n">
        <v>-16281797000</v>
      </c>
      <c r="AF531" s="118" t="n">
        <v>2370463000</v>
      </c>
      <c r="AG531" s="118" t="n">
        <v>0.047</v>
      </c>
      <c r="AH531" s="119" t="inlineStr">
        <is>
          <t>✓ Medium Quality</t>
        </is>
      </c>
      <c r="AI531" s="124" t="inlineStr">
        <is>
          <t>N/A</t>
        </is>
      </c>
      <c r="AJ531" s="120" t="n">
        <v>-0.11</v>
      </c>
      <c r="AK531" s="124" t="inlineStr">
        <is>
          <t>N/A</t>
        </is>
      </c>
      <c r="AL531" s="120" t="n">
        <v>0.025</v>
      </c>
      <c r="AM531" s="120" t="n">
        <v>-0</v>
      </c>
      <c r="AN531" s="118" t="n">
        <v>74.90000000000001</v>
      </c>
      <c r="AO531" s="119" t="inlineStr">
        <is>
          <t>✓ Good</t>
        </is>
      </c>
      <c r="AP531" s="117" t="n">
        <v>0</v>
      </c>
      <c r="AQ531" s="117" t="n">
        <v>0</v>
      </c>
      <c r="AR531" s="117" t="n">
        <v>0</v>
      </c>
      <c r="AS531" s="117" t="n">
        <v>0</v>
      </c>
      <c r="AT531" s="117" t="n">
        <v>0</v>
      </c>
      <c r="AU531" s="117" t="n">
        <v>1</v>
      </c>
      <c r="AV531" s="117" t="n">
        <v>1</v>
      </c>
      <c r="AW531" s="119" t="inlineStr">
        <is>
          <t>✓ Clean</t>
        </is>
      </c>
      <c r="AX531" s="118" t="n">
        <v>35.1</v>
      </c>
      <c r="AY531" s="119" t="inlineStr">
        <is>
          <t>🟢 LOW RISK</t>
        </is>
      </c>
      <c r="AZ531" s="118" t="n">
        <v>0</v>
      </c>
      <c r="BA531" s="124" t="inlineStr">
        <is>
          <t>N/A</t>
        </is>
      </c>
      <c r="BB531" s="124" t="inlineStr">
        <is>
          <t>N/A</t>
        </is>
      </c>
      <c r="BC531" s="124" t="inlineStr">
        <is>
          <t>N/A</t>
        </is>
      </c>
      <c r="BD531" s="124" t="inlineStr">
        <is>
          <t>N/A</t>
        </is>
      </c>
      <c r="BE531" s="124" t="inlineStr">
        <is>
          <t>N/A</t>
        </is>
      </c>
      <c r="BF531" s="120" t="n">
        <v>0.134</v>
      </c>
      <c r="BG531" s="117" t="n">
        <v>0.985</v>
      </c>
      <c r="BH531" s="122" t="n">
        <v>5</v>
      </c>
      <c r="BI531" s="125" t="n">
        <v>0.6666666666666666</v>
      </c>
    </row>
    <row r="532" ht="17" customHeight="1">
      <c r="A532" s="117" t="inlineStr">
        <is>
          <t>EAT</t>
        </is>
      </c>
      <c r="B532" s="117" t="inlineStr">
        <is>
          <t>BRINKER INTERNATIONAL, INC.</t>
        </is>
      </c>
      <c r="C532" s="118" t="n">
        <v>0.993</v>
      </c>
      <c r="D532" s="118" t="n">
        <v>0.977</v>
      </c>
      <c r="E532" s="118" t="n">
        <v>0.994</v>
      </c>
      <c r="F532" s="118" t="n">
        <v>1.219</v>
      </c>
      <c r="G532" s="118" t="n">
        <v>1.144</v>
      </c>
      <c r="H532" s="118" t="n">
        <v>0.991</v>
      </c>
      <c r="I532" s="118" t="n">
        <v>1</v>
      </c>
      <c r="J532" s="118" t="n">
        <v>-0.11</v>
      </c>
      <c r="K532" s="118" t="n">
        <v>-2.804</v>
      </c>
      <c r="L532" s="119" t="inlineStr">
        <is>
          <t>✓ Lower Risk</t>
        </is>
      </c>
      <c r="M532" s="120" t="n">
        <v>-0.06900000000000001</v>
      </c>
      <c r="N532" s="120" t="n">
        <v>0.013</v>
      </c>
      <c r="O532" s="120" t="n">
        <v>0.001</v>
      </c>
      <c r="P532" s="120" t="n">
        <v>0.637</v>
      </c>
      <c r="Q532" s="120" t="n">
        <v>0.083</v>
      </c>
      <c r="R532" s="117" t="n">
        <v>0</v>
      </c>
      <c r="S532" s="118" t="n">
        <v>-6.689</v>
      </c>
      <c r="T532" s="118" t="n">
        <v>0.001</v>
      </c>
      <c r="U532" s="119" t="inlineStr">
        <is>
          <t>✓ Normal</t>
        </is>
      </c>
      <c r="V532" s="117" t="n">
        <v>1</v>
      </c>
      <c r="W532" s="117" t="n">
        <v>0</v>
      </c>
      <c r="X532" s="117" t="n">
        <v>0</v>
      </c>
      <c r="Y532" s="117" t="n">
        <v>1</v>
      </c>
      <c r="Z532" s="117" t="n">
        <v>1</v>
      </c>
      <c r="AA532" s="117" t="n">
        <v>0</v>
      </c>
      <c r="AB532" s="117" t="n">
        <v>3</v>
      </c>
      <c r="AC532" s="121" t="inlineStr">
        <is>
          <t>⚠ WATCH</t>
        </is>
      </c>
      <c r="AD532" s="118" t="n">
        <v>679000000</v>
      </c>
      <c r="AE532" s="118" t="n">
        <v>-263400000</v>
      </c>
      <c r="AF532" s="118" t="n">
        <v>383100000</v>
      </c>
      <c r="AG532" s="118" t="n">
        <v>-0.012</v>
      </c>
      <c r="AH532" s="119" t="inlineStr">
        <is>
          <t>✓ Medium Quality</t>
        </is>
      </c>
      <c r="AI532" s="118" t="n">
        <v>0.211</v>
      </c>
      <c r="AJ532" s="120" t="n">
        <v>0.219</v>
      </c>
      <c r="AK532" s="120" t="n">
        <v>0.962</v>
      </c>
      <c r="AL532" s="120" t="n">
        <v>0.126</v>
      </c>
      <c r="AM532" s="120" t="n">
        <v>-0</v>
      </c>
      <c r="AN532" s="118" t="n">
        <v>95.2</v>
      </c>
      <c r="AO532" s="119" t="inlineStr">
        <is>
          <t>✓ Good</t>
        </is>
      </c>
      <c r="AP532" s="117" t="n">
        <v>0</v>
      </c>
      <c r="AQ532" s="117" t="n">
        <v>0</v>
      </c>
      <c r="AR532" s="117" t="n">
        <v>0</v>
      </c>
      <c r="AS532" s="117" t="n">
        <v>0</v>
      </c>
      <c r="AT532" s="117" t="n">
        <v>0</v>
      </c>
      <c r="AU532" s="117" t="n">
        <v>0</v>
      </c>
      <c r="AV532" s="117" t="n">
        <v>0</v>
      </c>
      <c r="AW532" s="119" t="inlineStr">
        <is>
          <t>✓ Clean</t>
        </is>
      </c>
      <c r="AX532" s="118" t="n">
        <v>16.8</v>
      </c>
      <c r="AY532" s="119" t="inlineStr">
        <is>
          <t>🟢 VERY LOW RISK</t>
        </is>
      </c>
      <c r="AZ532" s="118" t="n">
        <v>5</v>
      </c>
      <c r="BA532" s="118" t="n">
        <v>5</v>
      </c>
      <c r="BB532" s="118" t="n">
        <v>14.8</v>
      </c>
      <c r="BC532" s="118" t="n">
        <v>15.8</v>
      </c>
      <c r="BD532" s="118" t="n">
        <v>70.90000000000001</v>
      </c>
      <c r="BE532" s="118" t="n">
        <v>73.40000000000001</v>
      </c>
      <c r="BF532" s="120" t="n">
        <v>0.167</v>
      </c>
      <c r="BG532" s="117" t="n">
        <v>0.637</v>
      </c>
      <c r="BH532" s="122" t="n">
        <v>3</v>
      </c>
      <c r="BI532" s="123" t="n">
        <v>1</v>
      </c>
    </row>
    <row r="533" ht="17" customHeight="1">
      <c r="A533" s="117" t="inlineStr">
        <is>
          <t>CTAS</t>
        </is>
      </c>
      <c r="B533" s="117" t="inlineStr">
        <is>
          <t>Cintas Corporation</t>
        </is>
      </c>
      <c r="C533" s="118" t="n">
        <v>1.274</v>
      </c>
      <c r="D533" s="118" t="n">
        <v>0.8100000000000001</v>
      </c>
      <c r="E533" s="118" t="n">
        <v>0.993</v>
      </c>
      <c r="F533" s="118" t="n">
        <v>0.894</v>
      </c>
      <c r="G533" s="118" t="n">
        <v>0.972</v>
      </c>
      <c r="H533" s="118" t="n">
        <v>1.202</v>
      </c>
      <c r="I533" s="118" t="n">
        <v>1</v>
      </c>
      <c r="J533" s="118" t="n">
        <v>-0.036</v>
      </c>
      <c r="K533" s="118" t="n">
        <v>-2.632</v>
      </c>
      <c r="L533" s="119" t="inlineStr">
        <is>
          <t>✓ Lower Risk</t>
        </is>
      </c>
      <c r="M533" s="120" t="n">
        <v>0.002</v>
      </c>
      <c r="N533" s="120" t="n">
        <v>0.906</v>
      </c>
      <c r="O533" s="120" t="n">
        <v>0.195</v>
      </c>
      <c r="P533" s="120" t="n">
        <v>0.805</v>
      </c>
      <c r="Q533" s="120" t="n">
        <v>0.013</v>
      </c>
      <c r="R533" s="117" t="n">
        <v>1</v>
      </c>
      <c r="S533" s="118" t="n">
        <v>-0.716</v>
      </c>
      <c r="T533" s="118" t="n">
        <v>0.328</v>
      </c>
      <c r="U533" s="121" t="inlineStr">
        <is>
          <t>⚠ HIGH RISK</t>
        </is>
      </c>
      <c r="V533" s="117" t="n">
        <v>1</v>
      </c>
      <c r="W533" s="117" t="n">
        <v>1</v>
      </c>
      <c r="X533" s="117" t="n">
        <v>1</v>
      </c>
      <c r="Y533" s="117" t="n">
        <v>0</v>
      </c>
      <c r="Z533" s="117" t="n">
        <v>0</v>
      </c>
      <c r="AA533" s="117" t="n">
        <v>0</v>
      </c>
      <c r="AB533" s="117" t="n">
        <v>3</v>
      </c>
      <c r="AC533" s="121" t="inlineStr">
        <is>
          <t>⚠ WATCH</t>
        </is>
      </c>
      <c r="AD533" s="118" t="n">
        <v>2165905000</v>
      </c>
      <c r="AE533" s="118" t="n">
        <v>-623638000</v>
      </c>
      <c r="AF533" s="118" t="n">
        <v>1812281000</v>
      </c>
      <c r="AG533" s="118" t="n">
        <v>0.028</v>
      </c>
      <c r="AH533" s="119" t="inlineStr">
        <is>
          <t>✓ Medium Quality</t>
        </is>
      </c>
      <c r="AI533" s="118" t="n">
        <v>0.139</v>
      </c>
      <c r="AJ533" s="120" t="n">
        <v>-0.106</v>
      </c>
      <c r="AK533" s="120" t="n">
        <v>-1.319</v>
      </c>
      <c r="AL533" s="120" t="n">
        <v>1.337</v>
      </c>
      <c r="AM533" s="124" t="inlineStr">
        <is>
          <t>N/A</t>
        </is>
      </c>
      <c r="AN533" s="117" t="n">
        <v>100</v>
      </c>
      <c r="AO533" s="119" t="inlineStr">
        <is>
          <t>✓ Good</t>
        </is>
      </c>
      <c r="AP533" s="117" t="n">
        <v>1</v>
      </c>
      <c r="AQ533" s="117" t="n">
        <v>1</v>
      </c>
      <c r="AR533" s="117" t="n">
        <v>0</v>
      </c>
      <c r="AS533" s="117" t="n">
        <v>1</v>
      </c>
      <c r="AT533" s="117" t="n">
        <v>0</v>
      </c>
      <c r="AU533" s="117" t="n">
        <v>1</v>
      </c>
      <c r="AV533" s="117" t="n">
        <v>4</v>
      </c>
      <c r="AW533" s="117" t="inlineStr">
        <is>
          <t>⚠⚠ MULTIPLE RED FLAGS</t>
        </is>
      </c>
      <c r="AX533" s="118" t="n">
        <v>50.5</v>
      </c>
      <c r="AY533" s="121" t="inlineStr">
        <is>
          <t>🟡 ELEVATED RISK</t>
        </is>
      </c>
      <c r="AZ533" s="118" t="n">
        <v>319.4</v>
      </c>
      <c r="BA533" s="118" t="n">
        <v>250.8</v>
      </c>
      <c r="BB533" s="118" t="n">
        <v>31.6</v>
      </c>
      <c r="BC533" s="118" t="n">
        <v>30.5</v>
      </c>
      <c r="BD533" s="118" t="n">
        <v>34.3</v>
      </c>
      <c r="BE533" s="118" t="n">
        <v>25.2</v>
      </c>
      <c r="BF533" s="120" t="n">
        <v>0.2</v>
      </c>
      <c r="BG533" s="117" t="n">
        <v>0.805</v>
      </c>
      <c r="BH533" s="122" t="n">
        <v>8</v>
      </c>
      <c r="BI533" s="123" t="n">
        <v>1</v>
      </c>
    </row>
    <row r="534" ht="17" customHeight="1">
      <c r="A534" s="117" t="inlineStr">
        <is>
          <t>ROST</t>
        </is>
      </c>
      <c r="B534" s="117" t="inlineStr">
        <is>
          <t>Ross Stores, Inc.</t>
        </is>
      </c>
      <c r="C534" s="118" t="n">
        <v>1.165</v>
      </c>
      <c r="D534" s="118" t="n">
        <v>1.002</v>
      </c>
      <c r="E534" s="118" t="n">
        <v>1.025</v>
      </c>
      <c r="F534" s="118" t="n">
        <v>1.077</v>
      </c>
      <c r="G534" s="118" t="n">
        <v>0.951</v>
      </c>
      <c r="H534" s="118" t="n">
        <v>1.017</v>
      </c>
      <c r="I534" s="118" t="n">
        <v>1</v>
      </c>
      <c r="J534" s="118" t="n">
        <v>-0.057</v>
      </c>
      <c r="K534" s="118" t="n">
        <v>-2.522</v>
      </c>
      <c r="L534" s="119" t="inlineStr">
        <is>
          <t>✓ Lower Risk</t>
        </is>
      </c>
      <c r="M534" s="120" t="n">
        <v>-0.028</v>
      </c>
      <c r="N534" s="120" t="n">
        <v>0.023</v>
      </c>
      <c r="O534" s="120" t="n">
        <v>0.115</v>
      </c>
      <c r="P534" s="120" t="n">
        <v>0.442</v>
      </c>
      <c r="Q534" s="120" t="n">
        <v>-0.002</v>
      </c>
      <c r="R534" s="117" t="n">
        <v>0</v>
      </c>
      <c r="S534" s="118" t="n">
        <v>-6.846</v>
      </c>
      <c r="T534" s="118" t="n">
        <v>0.001</v>
      </c>
      <c r="U534" s="119" t="inlineStr">
        <is>
          <t>✓ Normal</t>
        </is>
      </c>
      <c r="V534" s="117" t="n">
        <v>0</v>
      </c>
      <c r="W534" s="117" t="n">
        <v>1</v>
      </c>
      <c r="X534" s="117" t="n">
        <v>0</v>
      </c>
      <c r="Y534" s="117" t="n">
        <v>0</v>
      </c>
      <c r="Z534" s="117" t="n">
        <v>0</v>
      </c>
      <c r="AA534" s="117" t="n">
        <v>0</v>
      </c>
      <c r="AB534" s="117" t="n">
        <v>1</v>
      </c>
      <c r="AC534" s="119" t="inlineStr">
        <is>
          <t>✓ Clean</t>
        </is>
      </c>
      <c r="AD534" s="118" t="n">
        <v>3026883000</v>
      </c>
      <c r="AE534" s="118" t="n">
        <v>-819275000</v>
      </c>
      <c r="AF534" s="118" t="n">
        <v>2145044000</v>
      </c>
      <c r="AG534" s="118" t="n">
        <v>-0.004</v>
      </c>
      <c r="AH534" s="119" t="inlineStr">
        <is>
          <t>✓ Medium Quality</t>
        </is>
      </c>
      <c r="AI534" s="118" t="n">
        <v>0.255</v>
      </c>
      <c r="AJ534" s="120" t="n">
        <v>0.077</v>
      </c>
      <c r="AK534" s="120" t="n">
        <v>3.321</v>
      </c>
      <c r="AL534" s="120" t="n">
        <v>0.133</v>
      </c>
      <c r="AM534" s="124" t="inlineStr">
        <is>
          <t>N/A</t>
        </is>
      </c>
      <c r="AN534" s="118" t="n">
        <v>66.59999999999999</v>
      </c>
      <c r="AO534" s="119" t="inlineStr">
        <is>
          <t>✓ Good</t>
        </is>
      </c>
      <c r="AP534" s="117" t="n">
        <v>0</v>
      </c>
      <c r="AQ534" s="117" t="n">
        <v>0</v>
      </c>
      <c r="AR534" s="117" t="n">
        <v>1</v>
      </c>
      <c r="AS534" s="117" t="n">
        <v>1</v>
      </c>
      <c r="AT534" s="117" t="n">
        <v>0</v>
      </c>
      <c r="AU534" s="117" t="n">
        <v>0</v>
      </c>
      <c r="AV534" s="117" t="n">
        <v>2</v>
      </c>
      <c r="AW534" s="121" t="inlineStr">
        <is>
          <t>⚠ WATCH</t>
        </is>
      </c>
      <c r="AX534" s="118" t="n">
        <v>13.9</v>
      </c>
      <c r="AY534" s="119" t="inlineStr">
        <is>
          <t>🟢 VERY LOW RISK</t>
        </is>
      </c>
      <c r="AZ534" s="118" t="n">
        <v>2.9</v>
      </c>
      <c r="BA534" s="118" t="n">
        <v>2.5</v>
      </c>
      <c r="BB534" s="118" t="n">
        <v>58.4</v>
      </c>
      <c r="BC534" s="118" t="n">
        <v>58.5</v>
      </c>
      <c r="BD534" s="118" t="n">
        <v>53</v>
      </c>
      <c r="BE534" s="118" t="n">
        <v>50.9</v>
      </c>
      <c r="BF534" s="120" t="n">
        <v>0.245</v>
      </c>
      <c r="BG534" s="117" t="n">
        <v>0.442</v>
      </c>
      <c r="BH534" s="122" t="n">
        <v>3</v>
      </c>
      <c r="BI534" s="123" t="n">
        <v>1</v>
      </c>
    </row>
    <row r="535" ht="17" customHeight="1">
      <c r="A535" s="117" t="inlineStr">
        <is>
          <t>JBHT</t>
        </is>
      </c>
      <c r="B535" s="117" t="inlineStr">
        <is>
          <t>J.B. HUNT TRANSPORT SERVICES, INC.</t>
        </is>
      </c>
      <c r="C535" s="118" t="n">
        <v>0.262</v>
      </c>
      <c r="D535" s="124" t="inlineStr">
        <is>
          <t>N/A</t>
        </is>
      </c>
      <c r="E535" s="118" t="n">
        <v>1.014</v>
      </c>
      <c r="F535" s="118" t="n">
        <v>3.613</v>
      </c>
      <c r="G535" s="118" t="n">
        <v>1.026</v>
      </c>
      <c r="H535" s="118" t="n">
        <v>0.254</v>
      </c>
      <c r="I535" s="118" t="n">
        <v>1.064</v>
      </c>
      <c r="J535" s="118" t="n">
        <v>-0.136</v>
      </c>
      <c r="K535" s="124" t="inlineStr">
        <is>
          <t>N/A</t>
        </is>
      </c>
      <c r="L535" s="124" t="inlineStr">
        <is>
          <t>N/A</t>
        </is>
      </c>
      <c r="M535" s="120" t="n">
        <v>-0.14</v>
      </c>
      <c r="N535" s="120" t="n">
        <v>-0.012</v>
      </c>
      <c r="O535" s="120" t="n">
        <v>0</v>
      </c>
      <c r="P535" s="120" t="n">
        <v>0.299</v>
      </c>
      <c r="Q535" s="120" t="n">
        <v>0.007</v>
      </c>
      <c r="R535" s="117" t="n">
        <v>0</v>
      </c>
      <c r="S535" s="118" t="n">
        <v>-7.445</v>
      </c>
      <c r="T535" s="118" t="n">
        <v>0.001</v>
      </c>
      <c r="U535" s="119" t="inlineStr">
        <is>
          <t>✓ Normal</t>
        </is>
      </c>
      <c r="V535" s="117" t="n">
        <v>1</v>
      </c>
      <c r="W535" s="117" t="n">
        <v>0</v>
      </c>
      <c r="X535" s="117" t="n">
        <v>0</v>
      </c>
      <c r="Y535" s="117" t="n">
        <v>0</v>
      </c>
      <c r="Z535" s="117" t="n">
        <v>1</v>
      </c>
      <c r="AA535" s="117" t="n">
        <v>0</v>
      </c>
      <c r="AB535" s="117" t="n">
        <v>2</v>
      </c>
      <c r="AC535" s="121" t="inlineStr">
        <is>
          <t>⚠ WATCH</t>
        </is>
      </c>
      <c r="AD535" s="118" t="n">
        <v>1678272000</v>
      </c>
      <c r="AE535" s="118" t="n">
        <v>-574774000</v>
      </c>
      <c r="AF535" s="118" t="n">
        <v>598282000</v>
      </c>
      <c r="AG535" s="118" t="n">
        <v>-0.062</v>
      </c>
      <c r="AH535" s="119" t="inlineStr">
        <is>
          <t>✓ Medium Quality</t>
        </is>
      </c>
      <c r="AI535" s="118" t="n">
        <v>-0.052</v>
      </c>
      <c r="AJ535" s="120" t="n">
        <v>2.613</v>
      </c>
      <c r="AK535" s="120" t="n">
        <v>-0.02</v>
      </c>
      <c r="AL535" s="120" t="n">
        <v>0.233</v>
      </c>
      <c r="AM535" s="124" t="inlineStr">
        <is>
          <t>N/A</t>
        </is>
      </c>
      <c r="AN535" s="117" t="n">
        <v>100</v>
      </c>
      <c r="AO535" s="119" t="inlineStr">
        <is>
          <t>✓ Good</t>
        </is>
      </c>
      <c r="AP535" s="117" t="n">
        <v>0</v>
      </c>
      <c r="AQ535" s="117" t="n">
        <v>0</v>
      </c>
      <c r="AR535" s="117" t="n">
        <v>0</v>
      </c>
      <c r="AS535" s="117" t="n">
        <v>0</v>
      </c>
      <c r="AT535" s="117" t="n">
        <v>0</v>
      </c>
      <c r="AU535" s="117" t="n">
        <v>1</v>
      </c>
      <c r="AV535" s="117" t="n">
        <v>1</v>
      </c>
      <c r="AW535" s="119" t="inlineStr">
        <is>
          <t>✓ Clean</t>
        </is>
      </c>
      <c r="AX535" s="118" t="n">
        <v>23.4</v>
      </c>
      <c r="AY535" s="119" t="inlineStr">
        <is>
          <t>🟢 LOW RISK</t>
        </is>
      </c>
      <c r="AZ535" s="118" t="n">
        <v>58.9</v>
      </c>
      <c r="BA535" s="118" t="n">
        <v>224.5</v>
      </c>
      <c r="BB535" s="124" t="inlineStr">
        <is>
          <t>N/A</t>
        </is>
      </c>
      <c r="BC535" s="124" t="inlineStr">
        <is>
          <t>N/A</t>
        </is>
      </c>
      <c r="BD535" s="124" t="inlineStr">
        <is>
          <t>N/A</t>
        </is>
      </c>
      <c r="BE535" s="124" t="inlineStr">
        <is>
          <t>N/A</t>
        </is>
      </c>
      <c r="BF535" s="120" t="n">
        <v>0.247</v>
      </c>
      <c r="BG535" s="117" t="n">
        <v>0.299</v>
      </c>
      <c r="BH535" s="122" t="n">
        <v>3</v>
      </c>
      <c r="BI535" s="123" t="n">
        <v>0.8333333333333334</v>
      </c>
    </row>
    <row r="536" ht="17" customHeight="1">
      <c r="A536" s="117" t="inlineStr">
        <is>
          <t>CE</t>
        </is>
      </c>
      <c r="B536" s="117" t="inlineStr">
        <is>
          <t>CELANESE CORPORATION</t>
        </is>
      </c>
      <c r="C536" s="118" t="n">
        <v>0.886</v>
      </c>
      <c r="D536" s="118" t="n">
        <v>1.121</v>
      </c>
      <c r="E536" s="118" t="n">
        <v>0.925</v>
      </c>
      <c r="F536" s="118" t="n">
        <v>0.928</v>
      </c>
      <c r="G536" s="118" t="n">
        <v>1.013</v>
      </c>
      <c r="H536" s="118" t="n">
        <v>0.9399999999999999</v>
      </c>
      <c r="I536" s="118" t="n">
        <v>1</v>
      </c>
      <c r="J536" s="118" t="n">
        <v>-0.107</v>
      </c>
      <c r="K536" s="118" t="n">
        <v>-3.102</v>
      </c>
      <c r="L536" s="119" t="inlineStr">
        <is>
          <t>✓ Lower Risk</t>
        </is>
      </c>
      <c r="M536" s="120" t="n">
        <v>-0.047</v>
      </c>
      <c r="N536" s="120" t="n">
        <v>-0.27</v>
      </c>
      <c r="O536" s="120" t="n">
        <v>-0.08699999999999999</v>
      </c>
      <c r="P536" s="120" t="n">
        <v>0.697</v>
      </c>
      <c r="Q536" s="120" t="n">
        <v>0.013</v>
      </c>
      <c r="R536" s="117" t="n">
        <v>1</v>
      </c>
      <c r="S536" s="118" t="n">
        <v>-4.268</v>
      </c>
      <c r="T536" s="118" t="n">
        <v>0.014</v>
      </c>
      <c r="U536" s="119" t="inlineStr">
        <is>
          <t>✓ Normal</t>
        </is>
      </c>
      <c r="V536" s="117" t="n">
        <v>0</v>
      </c>
      <c r="W536" s="117" t="n">
        <v>0</v>
      </c>
      <c r="X536" s="117" t="n">
        <v>1</v>
      </c>
      <c r="Y536" s="117" t="n">
        <v>0</v>
      </c>
      <c r="Z536" s="117" t="n">
        <v>1</v>
      </c>
      <c r="AA536" s="117" t="n">
        <v>0</v>
      </c>
      <c r="AB536" s="117" t="n">
        <v>2</v>
      </c>
      <c r="AC536" s="121" t="inlineStr">
        <is>
          <t>⚠ WATCH</t>
        </is>
      </c>
      <c r="AD536" s="118" t="n">
        <v>1146000000</v>
      </c>
      <c r="AE536" s="118" t="n">
        <v>-349000000</v>
      </c>
      <c r="AF536" s="118" t="n">
        <v>-1165000000</v>
      </c>
      <c r="AG536" s="118" t="n">
        <v>-0.08799999999999999</v>
      </c>
      <c r="AH536" s="119" t="inlineStr">
        <is>
          <t>✓ Medium Quality</t>
        </is>
      </c>
      <c r="AI536" s="118" t="n">
        <v>-0.178</v>
      </c>
      <c r="AJ536" s="120" t="n">
        <v>-0.07199999999999999</v>
      </c>
      <c r="AK536" s="120" t="n">
        <v>2.479</v>
      </c>
      <c r="AL536" s="120" t="n">
        <v>0.12</v>
      </c>
      <c r="AM536" s="120" t="n">
        <v>-0</v>
      </c>
      <c r="AN536" s="118" t="n">
        <v>64</v>
      </c>
      <c r="AO536" s="121" t="inlineStr">
        <is>
          <t>⚠ WATCH</t>
        </is>
      </c>
      <c r="AP536" s="117" t="n">
        <v>1</v>
      </c>
      <c r="AQ536" s="117" t="n">
        <v>1</v>
      </c>
      <c r="AR536" s="117" t="n">
        <v>1</v>
      </c>
      <c r="AS536" s="117" t="n">
        <v>0</v>
      </c>
      <c r="AT536" s="117" t="n">
        <v>0</v>
      </c>
      <c r="AU536" s="117" t="n">
        <v>0</v>
      </c>
      <c r="AV536" s="117" t="n">
        <v>3</v>
      </c>
      <c r="AW536" s="121" t="inlineStr">
        <is>
          <t>⚠ WATCH</t>
        </is>
      </c>
      <c r="AX536" s="118" t="n">
        <v>20</v>
      </c>
      <c r="AY536" s="119" t="inlineStr">
        <is>
          <t>🟢 LOW RISK</t>
        </is>
      </c>
      <c r="AZ536" s="118" t="n">
        <v>35.3</v>
      </c>
      <c r="BA536" s="118" t="n">
        <v>39.8</v>
      </c>
      <c r="BB536" s="118" t="n">
        <v>106.7</v>
      </c>
      <c r="BC536" s="118" t="n">
        <v>105.2</v>
      </c>
      <c r="BD536" s="118" t="n">
        <v>61.5</v>
      </c>
      <c r="BE536" s="118" t="n">
        <v>56.6</v>
      </c>
      <c r="BF536" s="120" t="n">
        <v>0.074</v>
      </c>
      <c r="BG536" s="117" t="n">
        <v>0.697</v>
      </c>
      <c r="BH536" s="122" t="n">
        <v>6</v>
      </c>
      <c r="BI536" s="123" t="n">
        <v>1</v>
      </c>
    </row>
    <row r="537" ht="17" customHeight="1">
      <c r="A537" s="117" t="inlineStr">
        <is>
          <t>ILMN</t>
        </is>
      </c>
      <c r="B537" s="117" t="inlineStr">
        <is>
          <t>Illumina, Inc.</t>
        </is>
      </c>
      <c r="C537" s="118" t="n">
        <v>1.17</v>
      </c>
      <c r="D537" s="118" t="n">
        <v>0.99</v>
      </c>
      <c r="E537" s="118" t="n">
        <v>0.898</v>
      </c>
      <c r="F537" s="118" t="n">
        <v>0.993</v>
      </c>
      <c r="G537" s="118" t="n">
        <v>1.154</v>
      </c>
      <c r="H537" s="118" t="n">
        <v>1.001</v>
      </c>
      <c r="I537" s="118" t="n">
        <v>1</v>
      </c>
      <c r="J537" s="118" t="n">
        <v>-0.034</v>
      </c>
      <c r="K537" s="118" t="n">
        <v>-2.52</v>
      </c>
      <c r="L537" s="119" t="inlineStr">
        <is>
          <t>✓ Lower Risk</t>
        </is>
      </c>
      <c r="M537" s="120" t="n">
        <v>0.048</v>
      </c>
      <c r="N537" s="120" t="n">
        <v>4.103</v>
      </c>
      <c r="O537" s="120" t="n">
        <v>0.586</v>
      </c>
      <c r="P537" s="120" t="n">
        <v>0.714</v>
      </c>
      <c r="Q537" s="120" t="n">
        <v>0.322</v>
      </c>
      <c r="R537" s="117" t="n">
        <v>0</v>
      </c>
      <c r="S537" s="118" t="n">
        <v>4.446</v>
      </c>
      <c r="T537" s="118" t="n">
        <v>0.988</v>
      </c>
      <c r="U537" s="121" t="inlineStr">
        <is>
          <t>⚠ HIGH RISK</t>
        </is>
      </c>
      <c r="V537" s="117" t="n">
        <v>1</v>
      </c>
      <c r="W537" s="117" t="n">
        <v>1</v>
      </c>
      <c r="X537" s="117" t="n">
        <v>1</v>
      </c>
      <c r="Y537" s="117" t="n">
        <v>0</v>
      </c>
      <c r="Z537" s="117" t="n">
        <v>1</v>
      </c>
      <c r="AA537" s="117" t="n">
        <v>0</v>
      </c>
      <c r="AB537" s="117" t="n">
        <v>4</v>
      </c>
      <c r="AC537" s="121" t="inlineStr">
        <is>
          <t>⚠⚠ SERIOUS CONCERN</t>
        </is>
      </c>
      <c r="AD537" s="118" t="n">
        <v>1079000000</v>
      </c>
      <c r="AE537" s="118" t="n">
        <v>-55000000</v>
      </c>
      <c r="AF537" s="118" t="n">
        <v>850000000</v>
      </c>
      <c r="AG537" s="118" t="n">
        <v>-0.027</v>
      </c>
      <c r="AH537" s="119" t="inlineStr">
        <is>
          <t>✓ Medium Quality</t>
        </is>
      </c>
      <c r="AI537" s="118" t="n">
        <v>0.162</v>
      </c>
      <c r="AJ537" s="120" t="n">
        <v>-0.007</v>
      </c>
      <c r="AK537" s="120" t="n">
        <v>-24.409</v>
      </c>
      <c r="AL537" s="120" t="n">
        <v>0.248</v>
      </c>
      <c r="AM537" s="120" t="n">
        <v>0.002</v>
      </c>
      <c r="AN537" s="117" t="n">
        <v>100</v>
      </c>
      <c r="AO537" s="119" t="inlineStr">
        <is>
          <t>✓ Good</t>
        </is>
      </c>
      <c r="AP537" s="117" t="n">
        <v>1</v>
      </c>
      <c r="AQ537" s="117" t="n">
        <v>1</v>
      </c>
      <c r="AR537" s="117" t="n">
        <v>0</v>
      </c>
      <c r="AS537" s="117" t="n">
        <v>1</v>
      </c>
      <c r="AT537" s="117" t="n">
        <v>0</v>
      </c>
      <c r="AU537" s="117" t="n">
        <v>0</v>
      </c>
      <c r="AV537" s="117" t="n">
        <v>3</v>
      </c>
      <c r="AW537" s="121" t="inlineStr">
        <is>
          <t>⚠ WATCH</t>
        </is>
      </c>
      <c r="AX537" s="118" t="n">
        <v>53.3</v>
      </c>
      <c r="AY537" s="121" t="inlineStr">
        <is>
          <t>🟡 ELEVATED RISK</t>
        </is>
      </c>
      <c r="AZ537" s="118" t="n">
        <v>71.8</v>
      </c>
      <c r="BA537" s="118" t="n">
        <v>61.4</v>
      </c>
      <c r="BB537" s="118" t="n">
        <v>365.2</v>
      </c>
      <c r="BC537" s="118" t="n">
        <v>392</v>
      </c>
      <c r="BD537" s="118" t="n">
        <v>155.4</v>
      </c>
      <c r="BE537" s="118" t="n">
        <v>158.4</v>
      </c>
      <c r="BF537" s="120" t="n">
        <v>0.217</v>
      </c>
      <c r="BG537" s="117" t="n">
        <v>0.714</v>
      </c>
      <c r="BH537" s="122" t="n">
        <v>7</v>
      </c>
      <c r="BI537" s="123" t="n">
        <v>1</v>
      </c>
    </row>
    <row r="538" ht="17" customHeight="1">
      <c r="A538" s="117" t="inlineStr">
        <is>
          <t>SBUX</t>
        </is>
      </c>
      <c r="B538" s="117" t="inlineStr">
        <is>
          <t>Starbucks Corporation</t>
        </is>
      </c>
      <c r="C538" s="118" t="n">
        <v>1.024</v>
      </c>
      <c r="D538" s="118" t="n">
        <v>0.9330000000000001</v>
      </c>
      <c r="E538" s="118" t="n">
        <v>0.998</v>
      </c>
      <c r="F538" s="118" t="n">
        <v>1.028</v>
      </c>
      <c r="G538" s="118" t="n">
        <v>0.898</v>
      </c>
      <c r="H538" s="118" t="n">
        <v>1.009</v>
      </c>
      <c r="I538" s="118" t="n">
        <v>1.012</v>
      </c>
      <c r="J538" s="118" t="n">
        <v>-0.09</v>
      </c>
      <c r="K538" s="118" t="n">
        <v>-2.909</v>
      </c>
      <c r="L538" s="119" t="inlineStr">
        <is>
          <t>✓ Lower Risk</t>
        </is>
      </c>
      <c r="M538" s="120" t="n">
        <v>-0.137</v>
      </c>
      <c r="N538" s="120" t="n">
        <v>0.063</v>
      </c>
      <c r="O538" s="120" t="n">
        <v>0.405</v>
      </c>
      <c r="P538" s="120" t="n">
        <v>0.533</v>
      </c>
      <c r="Q538" s="120" t="n">
        <v>-0.062</v>
      </c>
      <c r="R538" s="117" t="n">
        <v>1</v>
      </c>
      <c r="S538" s="118" t="n">
        <v>-3.204</v>
      </c>
      <c r="T538" s="118" t="n">
        <v>0.039</v>
      </c>
      <c r="U538" s="121" t="inlineStr">
        <is>
          <t>⚠ HIGH RISK</t>
        </is>
      </c>
      <c r="V538" s="117" t="n">
        <v>0</v>
      </c>
      <c r="W538" s="117" t="n">
        <v>1</v>
      </c>
      <c r="X538" s="117" t="n">
        <v>1</v>
      </c>
      <c r="Y538" s="117" t="n">
        <v>0</v>
      </c>
      <c r="Z538" s="117" t="n">
        <v>0</v>
      </c>
      <c r="AA538" s="117" t="n">
        <v>0</v>
      </c>
      <c r="AB538" s="117" t="n">
        <v>2</v>
      </c>
      <c r="AC538" s="121" t="inlineStr">
        <is>
          <t>⚠ WATCH</t>
        </is>
      </c>
      <c r="AD538" s="118" t="n">
        <v>4747500000</v>
      </c>
      <c r="AE538" s="118" t="n">
        <v>-2485400000</v>
      </c>
      <c r="AF538" s="118" t="n">
        <v>1856400000</v>
      </c>
      <c r="AG538" s="118" t="n">
        <v>-0.013</v>
      </c>
      <c r="AH538" s="119" t="inlineStr">
        <is>
          <t>✓ Medium Quality</t>
        </is>
      </c>
      <c r="AI538" s="118" t="n">
        <v>0.052</v>
      </c>
      <c r="AJ538" s="120" t="n">
        <v>0.028</v>
      </c>
      <c r="AK538" s="120" t="n">
        <v>1.883</v>
      </c>
      <c r="AL538" s="120" t="n">
        <v>0.128</v>
      </c>
      <c r="AM538" s="120" t="n">
        <v>0.002</v>
      </c>
      <c r="AN538" s="118" t="n">
        <v>69.09999999999999</v>
      </c>
      <c r="AO538" s="119" t="inlineStr">
        <is>
          <t>✓ Good</t>
        </is>
      </c>
      <c r="AP538" s="117" t="n">
        <v>0</v>
      </c>
      <c r="AQ538" s="117" t="n">
        <v>0</v>
      </c>
      <c r="AR538" s="117" t="n">
        <v>0</v>
      </c>
      <c r="AS538" s="117" t="n">
        <v>1</v>
      </c>
      <c r="AT538" s="117" t="n">
        <v>0</v>
      </c>
      <c r="AU538" s="117" t="n">
        <v>0</v>
      </c>
      <c r="AV538" s="117" t="n">
        <v>1</v>
      </c>
      <c r="AW538" s="119" t="inlineStr">
        <is>
          <t>✓ Clean</t>
        </is>
      </c>
      <c r="AX538" s="118" t="n">
        <v>20.9</v>
      </c>
      <c r="AY538" s="119" t="inlineStr">
        <is>
          <t>🟢 LOW RISK</t>
        </is>
      </c>
      <c r="AZ538" s="118" t="n">
        <v>12.5</v>
      </c>
      <c r="BA538" s="118" t="n">
        <v>12.2</v>
      </c>
      <c r="BB538" s="118" t="n">
        <v>93.59999999999999</v>
      </c>
      <c r="BC538" s="118" t="n">
        <v>63.8</v>
      </c>
      <c r="BD538" s="118" t="n">
        <v>79.3</v>
      </c>
      <c r="BE538" s="118" t="n">
        <v>57.2</v>
      </c>
      <c r="BF538" s="120" t="n">
        <v>0.259</v>
      </c>
      <c r="BG538" s="117" t="n">
        <v>0.533</v>
      </c>
      <c r="BH538" s="122" t="n">
        <v>4</v>
      </c>
      <c r="BI538" s="123" t="n">
        <v>1</v>
      </c>
    </row>
    <row r="539" ht="17" customHeight="1">
      <c r="A539" s="117" t="inlineStr">
        <is>
          <t>CMCSA</t>
        </is>
      </c>
      <c r="B539" s="117" t="inlineStr">
        <is>
          <t>Comcast Corporation</t>
        </is>
      </c>
      <c r="C539" s="118" t="n">
        <v>1.014</v>
      </c>
      <c r="D539" s="124" t="inlineStr">
        <is>
          <t>N/A</t>
        </is>
      </c>
      <c r="E539" s="118" t="n">
        <v>0.979</v>
      </c>
      <c r="F539" s="118" t="n">
        <v>1.001</v>
      </c>
      <c r="G539" s="118" t="n">
        <v>0.997</v>
      </c>
      <c r="H539" s="118" t="n">
        <v>1.055</v>
      </c>
      <c r="I539" s="118" t="n">
        <v>1</v>
      </c>
      <c r="J539" s="118" t="n">
        <v>-0.05</v>
      </c>
      <c r="K539" s="124" t="inlineStr">
        <is>
          <t>N/A</t>
        </is>
      </c>
      <c r="L539" s="124" t="inlineStr">
        <is>
          <t>N/A</t>
        </is>
      </c>
      <c r="M539" s="120" t="n">
        <v>-0.026</v>
      </c>
      <c r="N539" s="120" t="n">
        <v>1.434</v>
      </c>
      <c r="O539" s="124" t="inlineStr">
        <is>
          <t>N/A</t>
        </is>
      </c>
      <c r="P539" s="120" t="n">
        <v>0.724</v>
      </c>
      <c r="Q539" s="120" t="n">
        <v>0.013</v>
      </c>
      <c r="R539" s="117" t="n">
        <v>0</v>
      </c>
      <c r="S539" s="118" t="n">
        <v>-2.874</v>
      </c>
      <c r="T539" s="118" t="n">
        <v>0.053</v>
      </c>
      <c r="U539" s="121" t="inlineStr">
        <is>
          <t>⚠ HIGH RISK</t>
        </is>
      </c>
      <c r="V539" s="117" t="n">
        <v>0</v>
      </c>
      <c r="W539" s="117" t="n">
        <v>1</v>
      </c>
      <c r="X539" s="117" t="n">
        <v>0</v>
      </c>
      <c r="Y539" s="117" t="n">
        <v>1</v>
      </c>
      <c r="Z539" s="117" t="n">
        <v>0</v>
      </c>
      <c r="AA539" s="117" t="n">
        <v>0</v>
      </c>
      <c r="AB539" s="117" t="n">
        <v>2</v>
      </c>
      <c r="AC539" s="121" t="inlineStr">
        <is>
          <t>⚠ WATCH</t>
        </is>
      </c>
      <c r="AD539" s="118" t="n">
        <v>33643000000</v>
      </c>
      <c r="AE539" s="118" t="n">
        <v>-16157000000</v>
      </c>
      <c r="AF539" s="118" t="n">
        <v>19998000000</v>
      </c>
      <c r="AG539" s="118" t="n">
        <v>0.008999999999999999</v>
      </c>
      <c r="AH539" s="119" t="inlineStr">
        <is>
          <t>✓ Medium Quality</t>
        </is>
      </c>
      <c r="AI539" s="118" t="n">
        <v>0.015</v>
      </c>
      <c r="AJ539" s="120" t="n">
        <v>0.001</v>
      </c>
      <c r="AK539" s="120" t="n">
        <v>12.751</v>
      </c>
      <c r="AL539" s="120" t="n">
        <v>0.277</v>
      </c>
      <c r="AM539" s="120" t="n">
        <v>0.005</v>
      </c>
      <c r="AN539" s="118" t="n">
        <v>70.2</v>
      </c>
      <c r="AO539" s="119" t="inlineStr">
        <is>
          <t>✓ Good</t>
        </is>
      </c>
      <c r="AP539" s="117" t="n">
        <v>0</v>
      </c>
      <c r="AQ539" s="117" t="n">
        <v>1</v>
      </c>
      <c r="AR539" s="117" t="n">
        <v>0</v>
      </c>
      <c r="AS539" s="117" t="n">
        <v>1</v>
      </c>
      <c r="AT539" s="117" t="n">
        <v>0</v>
      </c>
      <c r="AU539" s="117" t="n">
        <v>0</v>
      </c>
      <c r="AV539" s="117" t="n">
        <v>2</v>
      </c>
      <c r="AW539" s="121" t="inlineStr">
        <is>
          <t>⚠ WATCH</t>
        </is>
      </c>
      <c r="AX539" s="118" t="n">
        <v>32.5</v>
      </c>
      <c r="AY539" s="119" t="inlineStr">
        <is>
          <t>🟢 LOW RISK</t>
        </is>
      </c>
      <c r="AZ539" s="118" t="n">
        <v>41.6</v>
      </c>
      <c r="BA539" s="118" t="n">
        <v>41.1</v>
      </c>
      <c r="BB539" s="124" t="inlineStr">
        <is>
          <t>N/A</t>
        </is>
      </c>
      <c r="BC539" s="124" t="inlineStr">
        <is>
          <t>N/A</t>
        </is>
      </c>
      <c r="BD539" s="124" t="inlineStr">
        <is>
          <t>N/A</t>
        </is>
      </c>
      <c r="BE539" s="124" t="inlineStr">
        <is>
          <t>N/A</t>
        </is>
      </c>
      <c r="BF539" s="120" t="n">
        <v>0.237</v>
      </c>
      <c r="BG539" s="117" t="n">
        <v>0.724</v>
      </c>
      <c r="BH539" s="122" t="n">
        <v>4</v>
      </c>
      <c r="BI539" s="123" t="n">
        <v>0.8333333333333334</v>
      </c>
    </row>
    <row r="540" ht="17" customHeight="1">
      <c r="A540" s="117" t="inlineStr">
        <is>
          <t>ZTS</t>
        </is>
      </c>
      <c r="B540" s="117" t="inlineStr">
        <is>
          <t>Zoetis Inc.</t>
        </is>
      </c>
      <c r="C540" s="118" t="n">
        <v>1.181</v>
      </c>
      <c r="D540" s="118" t="n">
        <v>0.983</v>
      </c>
      <c r="E540" s="118" t="n">
        <v>0.95</v>
      </c>
      <c r="F540" s="118" t="n">
        <v>1.023</v>
      </c>
      <c r="G540" s="118" t="n">
        <v>1.094</v>
      </c>
      <c r="H540" s="118" t="n">
        <v>1.003</v>
      </c>
      <c r="I540" s="118" t="n">
        <v>1.18</v>
      </c>
      <c r="J540" s="118" t="n">
        <v>-0.015</v>
      </c>
      <c r="K540" s="118" t="n">
        <v>-2.44</v>
      </c>
      <c r="L540" s="119" t="inlineStr">
        <is>
          <t>✓ Lower Risk</t>
        </is>
      </c>
      <c r="M540" s="120" t="n">
        <v>0.041</v>
      </c>
      <c r="N540" s="120" t="n">
        <v>1.299</v>
      </c>
      <c r="O540" s="120" t="n">
        <v>0.588</v>
      </c>
      <c r="P540" s="120" t="n">
        <v>0.661</v>
      </c>
      <c r="Q540" s="120" t="n">
        <v>-0.002</v>
      </c>
      <c r="R540" s="117" t="n">
        <v>0</v>
      </c>
      <c r="S540" s="118" t="n">
        <v>-2.582</v>
      </c>
      <c r="T540" s="118" t="n">
        <v>0.07000000000000001</v>
      </c>
      <c r="U540" s="121" t="inlineStr">
        <is>
          <t>⚠ HIGH RISK</t>
        </is>
      </c>
      <c r="V540" s="117" t="n">
        <v>1</v>
      </c>
      <c r="W540" s="117" t="n">
        <v>1</v>
      </c>
      <c r="X540" s="117" t="n">
        <v>1</v>
      </c>
      <c r="Y540" s="117" t="n">
        <v>0</v>
      </c>
      <c r="Z540" s="117" t="n">
        <v>1</v>
      </c>
      <c r="AA540" s="117" t="n">
        <v>0</v>
      </c>
      <c r="AB540" s="117" t="n">
        <v>4</v>
      </c>
      <c r="AC540" s="121" t="inlineStr">
        <is>
          <t>⚠⚠ SERIOUS CONCERN</t>
        </is>
      </c>
      <c r="AD540" s="118" t="n">
        <v>2904000000</v>
      </c>
      <c r="AE540" s="118" t="n">
        <v>-748000000</v>
      </c>
      <c r="AF540" s="118" t="n">
        <v>2673000000</v>
      </c>
      <c r="AG540" s="118" t="n">
        <v>0.035</v>
      </c>
      <c r="AH540" s="119" t="inlineStr">
        <is>
          <t>✓ Medium Quality</t>
        </is>
      </c>
      <c r="AI540" s="118" t="n">
        <v>0.208</v>
      </c>
      <c r="AJ540" s="120" t="n">
        <v>0.023</v>
      </c>
      <c r="AK540" s="120" t="n">
        <v>9.132999999999999</v>
      </c>
      <c r="AL540" s="120" t="n">
        <v>0.307</v>
      </c>
      <c r="AM540" s="120" t="n">
        <v>-0</v>
      </c>
      <c r="AN540" s="118" t="n">
        <v>70</v>
      </c>
      <c r="AO540" s="119" t="inlineStr">
        <is>
          <t>✓ Good</t>
        </is>
      </c>
      <c r="AP540" s="117" t="n">
        <v>0</v>
      </c>
      <c r="AQ540" s="117" t="n">
        <v>1</v>
      </c>
      <c r="AR540" s="117" t="n">
        <v>0</v>
      </c>
      <c r="AS540" s="117" t="n">
        <v>1</v>
      </c>
      <c r="AT540" s="117" t="n">
        <v>1</v>
      </c>
      <c r="AU540" s="117" t="n">
        <v>0</v>
      </c>
      <c r="AV540" s="117" t="n">
        <v>3</v>
      </c>
      <c r="AW540" s="121" t="inlineStr">
        <is>
          <t>⚠ WATCH</t>
        </is>
      </c>
      <c r="AX540" s="118" t="n">
        <v>35.8</v>
      </c>
      <c r="AY540" s="119" t="inlineStr">
        <is>
          <t>🟢 LOW RISK</t>
        </is>
      </c>
      <c r="AZ540" s="118" t="n">
        <v>61.3</v>
      </c>
      <c r="BA540" s="118" t="n">
        <v>51.9</v>
      </c>
      <c r="BB540" s="118" t="n">
        <v>332.7</v>
      </c>
      <c r="BC540" s="118" t="n">
        <v>309.6</v>
      </c>
      <c r="BD540" s="118" t="n">
        <v>66.7</v>
      </c>
      <c r="BE540" s="118" t="n">
        <v>58.1</v>
      </c>
      <c r="BF540" s="120" t="n">
        <v>0.204</v>
      </c>
      <c r="BG540" s="117" t="n">
        <v>0.661</v>
      </c>
      <c r="BH540" s="122" t="n">
        <v>7</v>
      </c>
      <c r="BI540" s="123" t="n">
        <v>1</v>
      </c>
    </row>
    <row r="541" ht="17" customHeight="1">
      <c r="A541" s="117" t="inlineStr">
        <is>
          <t>MPC</t>
        </is>
      </c>
      <c r="B541" s="117" t="inlineStr">
        <is>
          <t>MARATHON PETROLEUM CORPORATION</t>
        </is>
      </c>
      <c r="C541" s="118" t="n">
        <v>0.924</v>
      </c>
      <c r="D541" s="118" t="n">
        <v>1.079</v>
      </c>
      <c r="E541" s="118" t="n">
        <v>2.151</v>
      </c>
      <c r="F541" s="118" t="n">
        <v>1.002</v>
      </c>
      <c r="G541" s="118" t="n">
        <v>0.887</v>
      </c>
      <c r="H541" s="118" t="n">
        <v>1.038</v>
      </c>
      <c r="I541" s="118" t="n">
        <v>1.035</v>
      </c>
      <c r="J541" s="118" t="n">
        <v>-0.05</v>
      </c>
      <c r="K541" s="118" t="n">
        <v>-2.307</v>
      </c>
      <c r="L541" s="119" t="inlineStr">
        <is>
          <t>✓ Lower Risk</t>
        </is>
      </c>
      <c r="M541" s="120" t="n">
        <v>-0.027</v>
      </c>
      <c r="N541" s="120" t="n">
        <v>-16.898</v>
      </c>
      <c r="O541" s="120" t="n">
        <v>11.449</v>
      </c>
      <c r="P541" s="120" t="n">
        <v>0.491</v>
      </c>
      <c r="Q541" s="120" t="n">
        <v>0.005</v>
      </c>
      <c r="R541" s="117" t="n">
        <v>0</v>
      </c>
      <c r="S541" s="118" t="n">
        <v>-35.857</v>
      </c>
      <c r="T541" s="118" t="n">
        <v>0</v>
      </c>
      <c r="U541" s="119" t="inlineStr">
        <is>
          <t>✓ Normal</t>
        </is>
      </c>
      <c r="V541" s="117" t="n">
        <v>1</v>
      </c>
      <c r="W541" s="117" t="n">
        <v>0</v>
      </c>
      <c r="X541" s="117" t="n">
        <v>1</v>
      </c>
      <c r="Y541" s="117" t="n">
        <v>1</v>
      </c>
      <c r="Z541" s="117" t="n">
        <v>1</v>
      </c>
      <c r="AA541" s="117" t="n">
        <v>0</v>
      </c>
      <c r="AB541" s="117" t="n">
        <v>4</v>
      </c>
      <c r="AC541" s="121" t="inlineStr">
        <is>
          <t>⚠⚠ SERIOUS CONCERN</t>
        </is>
      </c>
      <c r="AD541" s="118" t="n">
        <v>8253000000</v>
      </c>
      <c r="AE541" s="118" t="n">
        <v>-5867000000</v>
      </c>
      <c r="AF541" s="118" t="n">
        <v>4047000000</v>
      </c>
      <c r="AG541" s="118" t="n">
        <v>0.02</v>
      </c>
      <c r="AH541" s="119" t="inlineStr">
        <is>
          <t>✓ Medium Quality</t>
        </is>
      </c>
      <c r="AI541" s="118" t="n">
        <v>-0.074</v>
      </c>
      <c r="AJ541" s="120" t="n">
        <v>0.002</v>
      </c>
      <c r="AK541" s="120" t="n">
        <v>-47.067</v>
      </c>
      <c r="AL541" s="120" t="n">
        <v>0.265</v>
      </c>
      <c r="AM541" s="120" t="n">
        <v>0</v>
      </c>
      <c r="AN541" s="117" t="n">
        <v>100</v>
      </c>
      <c r="AO541" s="119" t="inlineStr">
        <is>
          <t>✓ Good</t>
        </is>
      </c>
      <c r="AP541" s="117" t="n">
        <v>1</v>
      </c>
      <c r="AQ541" s="117" t="n">
        <v>0</v>
      </c>
      <c r="AR541" s="117" t="n">
        <v>0</v>
      </c>
      <c r="AS541" s="117" t="n">
        <v>1</v>
      </c>
      <c r="AT541" s="117" t="n">
        <v>0</v>
      </c>
      <c r="AU541" s="117" t="n">
        <v>0</v>
      </c>
      <c r="AV541" s="117" t="n">
        <v>2</v>
      </c>
      <c r="AW541" s="121" t="inlineStr">
        <is>
          <t>⚠ WATCH</t>
        </is>
      </c>
      <c r="AX541" s="118" t="n">
        <v>23</v>
      </c>
      <c r="AY541" s="119" t="inlineStr">
        <is>
          <t>🟢 LOW RISK</t>
        </is>
      </c>
      <c r="AZ541" s="118" t="n">
        <v>121.1</v>
      </c>
      <c r="BA541" s="118" t="n">
        <v>131</v>
      </c>
      <c r="BB541" s="118" t="n">
        <v>31</v>
      </c>
      <c r="BC541" s="118" t="n">
        <v>27.7</v>
      </c>
      <c r="BD541" s="118" t="n">
        <v>39.6</v>
      </c>
      <c r="BE541" s="118" t="n">
        <v>40.2</v>
      </c>
      <c r="BF541" s="120" t="n">
        <v>0.162</v>
      </c>
      <c r="BG541" s="117" t="n">
        <v>0.491</v>
      </c>
      <c r="BH541" s="122" t="n">
        <v>6</v>
      </c>
      <c r="BI541" s="123" t="n">
        <v>1</v>
      </c>
    </row>
    <row r="542" ht="17" customHeight="1">
      <c r="A542" s="117" t="inlineStr">
        <is>
          <t>XOM</t>
        </is>
      </c>
      <c r="B542" s="117" t="inlineStr">
        <is>
          <t>Exxon Mobil Corporation</t>
        </is>
      </c>
      <c r="C542" s="118" t="n">
        <v>1.066</v>
      </c>
      <c r="D542" s="124" t="inlineStr">
        <is>
          <t>N/A</t>
        </is>
      </c>
      <c r="E542" s="118" t="n">
        <v>0.996</v>
      </c>
      <c r="F542" s="118" t="n">
        <v>0.95</v>
      </c>
      <c r="G542" s="118" t="n">
        <v>0.923</v>
      </c>
      <c r="H542" s="118" t="n">
        <v>1.174</v>
      </c>
      <c r="I542" s="118" t="n">
        <v>1.007</v>
      </c>
      <c r="J542" s="118" t="n">
        <v>-0.052</v>
      </c>
      <c r="K542" s="124" t="inlineStr">
        <is>
          <t>N/A</t>
        </is>
      </c>
      <c r="L542" s="124" t="inlineStr">
        <is>
          <t>N/A</t>
        </is>
      </c>
      <c r="M542" s="120" t="n">
        <v>-0.054</v>
      </c>
      <c r="N542" s="120" t="n">
        <v>0.027</v>
      </c>
      <c r="O542" s="120" t="n">
        <v>0.118</v>
      </c>
      <c r="P542" s="120" t="n">
        <v>0.309</v>
      </c>
      <c r="Q542" s="120" t="n">
        <v>-0.01</v>
      </c>
      <c r="R542" s="117" t="n">
        <v>0</v>
      </c>
      <c r="S542" s="118" t="n">
        <v>-7.111</v>
      </c>
      <c r="T542" s="118" t="n">
        <v>0.001</v>
      </c>
      <c r="U542" s="119" t="inlineStr">
        <is>
          <t>✓ Normal</t>
        </is>
      </c>
      <c r="V542" s="117" t="n">
        <v>0</v>
      </c>
      <c r="W542" s="117" t="n">
        <v>1</v>
      </c>
      <c r="X542" s="117" t="n">
        <v>1</v>
      </c>
      <c r="Y542" s="117" t="n">
        <v>0</v>
      </c>
      <c r="Z542" s="117" t="n">
        <v>0</v>
      </c>
      <c r="AA542" s="117" t="n">
        <v>0</v>
      </c>
      <c r="AB542" s="117" t="n">
        <v>2</v>
      </c>
      <c r="AC542" s="121" t="inlineStr">
        <is>
          <t>⚠ WATCH</t>
        </is>
      </c>
      <c r="AD542" s="118" t="n">
        <v>51970000000</v>
      </c>
      <c r="AE542" s="118" t="n">
        <v>-25927000000</v>
      </c>
      <c r="AF542" s="118" t="n">
        <v>28844000000</v>
      </c>
      <c r="AG542" s="118" t="n">
        <v>0.006</v>
      </c>
      <c r="AH542" s="119" t="inlineStr">
        <is>
          <t>✓ Medium Quality</t>
        </is>
      </c>
      <c r="AI542" s="118" t="n">
        <v>0.013</v>
      </c>
      <c r="AJ542" s="120" t="n">
        <v>-0.05</v>
      </c>
      <c r="AK542" s="120" t="n">
        <v>-0.264</v>
      </c>
      <c r="AL542" s="120" t="n">
        <v>0.156</v>
      </c>
      <c r="AM542" s="124" t="inlineStr">
        <is>
          <t>N/A</t>
        </is>
      </c>
      <c r="AN542" s="117" t="n">
        <v>100</v>
      </c>
      <c r="AO542" s="119" t="inlineStr">
        <is>
          <t>✓ Good</t>
        </is>
      </c>
      <c r="AP542" s="117" t="n">
        <v>1</v>
      </c>
      <c r="AQ542" s="117" t="n">
        <v>1</v>
      </c>
      <c r="AR542" s="117" t="n">
        <v>0</v>
      </c>
      <c r="AS542" s="117" t="n">
        <v>1</v>
      </c>
      <c r="AT542" s="117" t="n">
        <v>0</v>
      </c>
      <c r="AU542" s="117" t="n">
        <v>1</v>
      </c>
      <c r="AV542" s="117" t="n">
        <v>4</v>
      </c>
      <c r="AW542" s="117" t="inlineStr">
        <is>
          <t>⚠⚠ MULTIPLE RED FLAGS</t>
        </is>
      </c>
      <c r="AX542" s="118" t="n">
        <v>24.8</v>
      </c>
      <c r="AY542" s="119" t="inlineStr">
        <is>
          <t>🟢 LOW RISK</t>
        </is>
      </c>
      <c r="AZ542" s="118" t="n">
        <v>39.3</v>
      </c>
      <c r="BA542" s="118" t="n">
        <v>36.8</v>
      </c>
      <c r="BB542" s="124" t="inlineStr">
        <is>
          <t>N/A</t>
        </is>
      </c>
      <c r="BC542" s="124" t="inlineStr">
        <is>
          <t>N/A</t>
        </is>
      </c>
      <c r="BD542" s="124" t="inlineStr">
        <is>
          <t>N/A</t>
        </is>
      </c>
      <c r="BE542" s="124" t="inlineStr">
        <is>
          <t>N/A</t>
        </is>
      </c>
      <c r="BF542" s="120" t="n">
        <v>0.279</v>
      </c>
      <c r="BG542" s="117" t="n">
        <v>0.309</v>
      </c>
      <c r="BH542" s="122" t="n">
        <v>6</v>
      </c>
      <c r="BI542" s="123" t="n">
        <v>0.8333333333333334</v>
      </c>
    </row>
    <row r="543" ht="17" customHeight="1">
      <c r="A543" s="117" t="inlineStr">
        <is>
          <t>KLIC</t>
        </is>
      </c>
      <c r="B543" s="117" t="inlineStr">
        <is>
          <t>KULICKE AND SOFFA INDUSTRIES, INC.</t>
        </is>
      </c>
      <c r="C543" s="124" t="inlineStr">
        <is>
          <t>N/A</t>
        </is>
      </c>
      <c r="D543" s="118" t="n">
        <v>0.896</v>
      </c>
      <c r="E543" s="118" t="n">
        <v>0.895</v>
      </c>
      <c r="F543" s="118" t="n">
        <v>0.926</v>
      </c>
      <c r="G543" s="118" t="n">
        <v>0.92</v>
      </c>
      <c r="H543" s="118" t="n">
        <v>1.094</v>
      </c>
      <c r="I543" s="118" t="n">
        <v>1.073</v>
      </c>
      <c r="J543" s="118" t="n">
        <v>-0.103</v>
      </c>
      <c r="K543" s="124" t="inlineStr">
        <is>
          <t>N/A</t>
        </is>
      </c>
      <c r="L543" s="124" t="inlineStr">
        <is>
          <t>N/A</t>
        </is>
      </c>
      <c r="M543" s="120" t="n">
        <v>-0.094</v>
      </c>
      <c r="N543" s="124" t="inlineStr">
        <is>
          <t>N/A</t>
        </is>
      </c>
      <c r="O543" s="120" t="n">
        <v>-0.336</v>
      </c>
      <c r="P543" s="120" t="n">
        <v>0.751</v>
      </c>
      <c r="Q543" s="120" t="n">
        <v>0.056</v>
      </c>
      <c r="R543" s="117" t="n">
        <v>0</v>
      </c>
      <c r="S543" s="118" t="n">
        <v>-6.905</v>
      </c>
      <c r="T543" s="118" t="n">
        <v>0.001</v>
      </c>
      <c r="U543" s="119" t="inlineStr">
        <is>
          <t>✓ Normal</t>
        </is>
      </c>
      <c r="V543" s="117" t="n">
        <v>0</v>
      </c>
      <c r="W543" s="117" t="n">
        <v>0</v>
      </c>
      <c r="X543" s="117" t="n">
        <v>0</v>
      </c>
      <c r="Y543" s="117" t="n">
        <v>0</v>
      </c>
      <c r="Z543" s="117" t="n">
        <v>0</v>
      </c>
      <c r="AA543" s="117" t="n">
        <v>0</v>
      </c>
      <c r="AB543" s="117" t="n">
        <v>0</v>
      </c>
      <c r="AC543" s="119" t="inlineStr">
        <is>
          <t>✓ Clean</t>
        </is>
      </c>
      <c r="AD543" s="118" t="n">
        <v>113565000</v>
      </c>
      <c r="AE543" s="118" t="n">
        <v>27663000</v>
      </c>
      <c r="AF543" s="118" t="n">
        <v>213000</v>
      </c>
      <c r="AG543" s="118" t="n">
        <v>-0.12</v>
      </c>
      <c r="AH543" s="119" t="inlineStr">
        <is>
          <t>✓ High Quality</t>
        </is>
      </c>
      <c r="AI543" s="124" t="inlineStr">
        <is>
          <t>N/A</t>
        </is>
      </c>
      <c r="AJ543" s="120" t="n">
        <v>-0.074</v>
      </c>
      <c r="AK543" s="124" t="inlineStr">
        <is>
          <t>N/A</t>
        </is>
      </c>
      <c r="AL543" s="120" t="n">
        <v>0.174</v>
      </c>
      <c r="AM543" s="120" t="n">
        <v>-0</v>
      </c>
      <c r="AN543" s="117" t="n">
        <v>100</v>
      </c>
      <c r="AO543" s="119" t="inlineStr">
        <is>
          <t>✓ Good</t>
        </is>
      </c>
      <c r="AP543" s="117" t="n">
        <v>1</v>
      </c>
      <c r="AQ543" s="117" t="n">
        <v>0</v>
      </c>
      <c r="AR543" s="117" t="n">
        <v>0</v>
      </c>
      <c r="AS543" s="117" t="n">
        <v>1</v>
      </c>
      <c r="AT543" s="117" t="n">
        <v>0</v>
      </c>
      <c r="AU543" s="117" t="n">
        <v>0</v>
      </c>
      <c r="AV543" s="117" t="n">
        <v>2</v>
      </c>
      <c r="AW543" s="121" t="inlineStr">
        <is>
          <t>⚠ WATCH</t>
        </is>
      </c>
      <c r="AX543" s="118" t="n">
        <v>18.7</v>
      </c>
      <c r="AY543" s="119" t="inlineStr">
        <is>
          <t>🟢 VERY LOW RISK</t>
        </is>
      </c>
      <c r="AZ543" s="118" t="n">
        <v>0</v>
      </c>
      <c r="BA543" s="124" t="inlineStr">
        <is>
          <t>N/A</t>
        </is>
      </c>
      <c r="BB543" s="118" t="n">
        <v>155.5</v>
      </c>
      <c r="BC543" s="118" t="n">
        <v>148.3</v>
      </c>
      <c r="BD543" s="118" t="n">
        <v>55.5</v>
      </c>
      <c r="BE543" s="118" t="n">
        <v>49.1</v>
      </c>
      <c r="BF543" s="120" t="n">
        <v>0.99</v>
      </c>
      <c r="BG543" s="117" t="n">
        <v>0.751</v>
      </c>
      <c r="BH543" s="122" t="n">
        <v>2</v>
      </c>
      <c r="BI543" s="123" t="n">
        <v>0.8333333333333334</v>
      </c>
    </row>
    <row r="544" ht="17" customHeight="1">
      <c r="A544" s="117" t="inlineStr">
        <is>
          <t>META</t>
        </is>
      </c>
      <c r="B544" s="117" t="inlineStr">
        <is>
          <t>Meta Platforms, Inc.</t>
        </is>
      </c>
      <c r="C544" s="118" t="n">
        <v>0.791</v>
      </c>
      <c r="D544" s="118" t="n">
        <v>-0.829</v>
      </c>
      <c r="E544" s="118" t="n">
        <v>1.159</v>
      </c>
      <c r="F544" s="118" t="n">
        <v>1.471</v>
      </c>
      <c r="G544" s="118" t="n">
        <v>0.897</v>
      </c>
      <c r="H544" s="118" t="n">
        <v>0.848</v>
      </c>
      <c r="I544" s="118" t="n">
        <v>1.201</v>
      </c>
      <c r="J544" s="118" t="n">
        <v>-0.151</v>
      </c>
      <c r="K544" s="118" t="n">
        <v>-3.913</v>
      </c>
      <c r="L544" s="119" t="inlineStr">
        <is>
          <t>✓ Lower Risk</t>
        </is>
      </c>
      <c r="M544" s="120" t="n">
        <v>-0.028</v>
      </c>
      <c r="N544" s="120" t="n">
        <v>0.213</v>
      </c>
      <c r="O544" s="124" t="inlineStr">
        <is>
          <t>N/A</t>
        </is>
      </c>
      <c r="P544" s="120" t="n">
        <v>0.835</v>
      </c>
      <c r="Q544" s="120" t="n">
        <v>-0.061</v>
      </c>
      <c r="R544" s="117" t="n">
        <v>0</v>
      </c>
      <c r="S544" s="118" t="n">
        <v>-5.7</v>
      </c>
      <c r="T544" s="118" t="n">
        <v>0.003</v>
      </c>
      <c r="U544" s="119" t="inlineStr">
        <is>
          <t>✓ Normal</t>
        </is>
      </c>
      <c r="V544" s="117" t="n">
        <v>0</v>
      </c>
      <c r="W544" s="117" t="n">
        <v>0</v>
      </c>
      <c r="X544" s="117" t="n">
        <v>0</v>
      </c>
      <c r="Y544" s="117" t="n">
        <v>1</v>
      </c>
      <c r="Z544" s="117" t="n">
        <v>1</v>
      </c>
      <c r="AA544" s="117" t="n">
        <v>1</v>
      </c>
      <c r="AB544" s="117" t="n">
        <v>3</v>
      </c>
      <c r="AC544" s="121" t="inlineStr">
        <is>
          <t>⚠ WATCH</t>
        </is>
      </c>
      <c r="AD544" s="118" t="n">
        <v>115800000000</v>
      </c>
      <c r="AE544" s="118" t="n">
        <v>-102003000000</v>
      </c>
      <c r="AF544" s="118" t="n">
        <v>60458000000</v>
      </c>
      <c r="AG544" s="118" t="n">
        <v>0.145</v>
      </c>
      <c r="AH544" s="117" t="inlineStr">
        <is>
          <t>⚠ Low Quality</t>
        </is>
      </c>
      <c r="AI544" s="118" t="n">
        <v>0.163</v>
      </c>
      <c r="AJ544" s="120" t="n">
        <v>0.471</v>
      </c>
      <c r="AK544" s="120" t="n">
        <v>0.347</v>
      </c>
      <c r="AL544" s="120" t="n">
        <v>2.848</v>
      </c>
      <c r="AM544" s="120" t="n">
        <v>0</v>
      </c>
      <c r="AN544" s="117" t="n">
        <v>100</v>
      </c>
      <c r="AO544" s="119" t="inlineStr">
        <is>
          <t>✓ Good</t>
        </is>
      </c>
      <c r="AP544" s="117" t="n">
        <v>0</v>
      </c>
      <c r="AQ544" s="117" t="n">
        <v>0</v>
      </c>
      <c r="AR544" s="117" t="n">
        <v>0</v>
      </c>
      <c r="AS544" s="117" t="n">
        <v>0</v>
      </c>
      <c r="AT544" s="117" t="n">
        <v>1</v>
      </c>
      <c r="AU544" s="117" t="n">
        <v>0</v>
      </c>
      <c r="AV544" s="117" t="n">
        <v>1</v>
      </c>
      <c r="AW544" s="119" t="inlineStr">
        <is>
          <t>✓ Clean</t>
        </is>
      </c>
      <c r="AX544" s="118" t="n">
        <v>17</v>
      </c>
      <c r="AY544" s="119" t="inlineStr">
        <is>
          <t>🟢 VERY LOW RISK</t>
        </is>
      </c>
      <c r="AZ544" s="118" t="n">
        <v>177.5</v>
      </c>
      <c r="BA544" s="118" t="n">
        <v>224.4</v>
      </c>
      <c r="BB544" s="124" t="inlineStr">
        <is>
          <t>N/A</t>
        </is>
      </c>
      <c r="BC544" s="124" t="inlineStr">
        <is>
          <t>N/A</t>
        </is>
      </c>
      <c r="BD544" s="118" t="n">
        <v>13.4</v>
      </c>
      <c r="BE544" s="118" t="n">
        <v>16.5</v>
      </c>
      <c r="BF544" s="120" t="n">
        <v>0.296</v>
      </c>
      <c r="BG544" s="117" t="n">
        <v>0.835</v>
      </c>
      <c r="BH544" s="122" t="n">
        <v>4</v>
      </c>
      <c r="BI544" s="123" t="n">
        <v>1</v>
      </c>
    </row>
    <row r="545" ht="17" customHeight="1">
      <c r="A545" s="117" t="inlineStr">
        <is>
          <t>MLM</t>
        </is>
      </c>
      <c r="B545" s="117" t="inlineStr">
        <is>
          <t>MARTIN MARIETTA MATERIALS INC</t>
        </is>
      </c>
      <c r="C545" s="118" t="n">
        <v>0.266</v>
      </c>
      <c r="D545" s="118" t="n">
        <v>0.993</v>
      </c>
      <c r="E545" s="118" t="n">
        <v>0.92</v>
      </c>
      <c r="F545" s="118" t="n">
        <v>4.009</v>
      </c>
      <c r="G545" s="118" t="n">
        <v>0.92</v>
      </c>
      <c r="H545" s="118" t="n">
        <v>0.247</v>
      </c>
      <c r="I545" s="118" t="n">
        <v>0.967</v>
      </c>
      <c r="J545" s="118" t="n">
        <v>-0.035</v>
      </c>
      <c r="K545" s="118" t="n">
        <v>-0.538</v>
      </c>
      <c r="L545" s="121" t="inlineStr">
        <is>
          <t>⚠ MANIPULATOR RISK</t>
        </is>
      </c>
      <c r="M545" s="120" t="n">
        <v>0.039</v>
      </c>
      <c r="N545" s="120" t="n">
        <v>0.01</v>
      </c>
      <c r="O545" s="120" t="n">
        <v>-0.008</v>
      </c>
      <c r="P545" s="120" t="n">
        <v>0.446</v>
      </c>
      <c r="Q545" s="120" t="n">
        <v>0.045</v>
      </c>
      <c r="R545" s="117" t="n">
        <v>0</v>
      </c>
      <c r="S545" s="118" t="n">
        <v>-6.983</v>
      </c>
      <c r="T545" s="118" t="n">
        <v>0.001</v>
      </c>
      <c r="U545" s="119" t="inlineStr">
        <is>
          <t>✓ Normal</t>
        </is>
      </c>
      <c r="V545" s="117" t="n">
        <v>1</v>
      </c>
      <c r="W545" s="117" t="n">
        <v>0</v>
      </c>
      <c r="X545" s="117" t="n">
        <v>0</v>
      </c>
      <c r="Y545" s="117" t="n">
        <v>1</v>
      </c>
      <c r="Z545" s="117" t="n">
        <v>0</v>
      </c>
      <c r="AA545" s="117" t="n">
        <v>0</v>
      </c>
      <c r="AB545" s="117" t="n">
        <v>2</v>
      </c>
      <c r="AC545" s="121" t="inlineStr">
        <is>
          <t>⚠ WATCH</t>
        </is>
      </c>
      <c r="AD545" s="118" t="n">
        <v>1785000000</v>
      </c>
      <c r="AE545" s="118" t="n">
        <v>-1588000000</v>
      </c>
      <c r="AF545" s="118" t="n">
        <v>1137000000</v>
      </c>
      <c r="AG545" s="118" t="n">
        <v>0.051</v>
      </c>
      <c r="AH545" s="119" t="inlineStr">
        <is>
          <t>✓ Medium Quality</t>
        </is>
      </c>
      <c r="AI545" s="118" t="n">
        <v>0.066</v>
      </c>
      <c r="AJ545" s="120" t="n">
        <v>3.009</v>
      </c>
      <c r="AK545" s="120" t="n">
        <v>0.022</v>
      </c>
      <c r="AL545" s="120" t="n">
        <v>0.29</v>
      </c>
      <c r="AM545" s="120" t="n">
        <v>-0</v>
      </c>
      <c r="AN545" s="117" t="n">
        <v>100</v>
      </c>
      <c r="AO545" s="119" t="inlineStr">
        <is>
          <t>✓ Good</t>
        </is>
      </c>
      <c r="AP545" s="117" t="n">
        <v>0</v>
      </c>
      <c r="AQ545" s="117" t="n">
        <v>0</v>
      </c>
      <c r="AR545" s="117" t="n">
        <v>0</v>
      </c>
      <c r="AS545" s="117" t="n">
        <v>0</v>
      </c>
      <c r="AT545" s="117" t="n">
        <v>1</v>
      </c>
      <c r="AU545" s="117" t="n">
        <v>1</v>
      </c>
      <c r="AV545" s="117" t="n">
        <v>2</v>
      </c>
      <c r="AW545" s="121" t="inlineStr">
        <is>
          <t>⚠ WATCH</t>
        </is>
      </c>
      <c r="AX545" s="118" t="n">
        <v>22.4</v>
      </c>
      <c r="AY545" s="119" t="inlineStr">
        <is>
          <t>🟢 LOW RISK</t>
        </is>
      </c>
      <c r="AZ545" s="118" t="n">
        <v>42.9</v>
      </c>
      <c r="BA545" s="118" t="n">
        <v>161.3</v>
      </c>
      <c r="BB545" s="118" t="n">
        <v>92.3</v>
      </c>
      <c r="BC545" s="118" t="n">
        <v>87.40000000000001</v>
      </c>
      <c r="BD545" s="118" t="n">
        <v>33.3</v>
      </c>
      <c r="BE545" s="118" t="n">
        <v>29.4</v>
      </c>
      <c r="BF545" s="120" t="n">
        <v>0.192</v>
      </c>
      <c r="BG545" s="117" t="n">
        <v>0.446</v>
      </c>
      <c r="BH545" s="122" t="n">
        <v>4</v>
      </c>
      <c r="BI545" s="123" t="n">
        <v>1</v>
      </c>
    </row>
    <row r="546" ht="17" customHeight="1">
      <c r="A546" s="117" t="inlineStr">
        <is>
          <t>HWM</t>
        </is>
      </c>
      <c r="B546" s="117" t="inlineStr">
        <is>
          <t>HOWMET AEROSPACE INC.</t>
        </is>
      </c>
      <c r="C546" s="118" t="n">
        <v>1.018</v>
      </c>
      <c r="D546" s="118" t="n">
        <v>1.21</v>
      </c>
      <c r="E546" s="118" t="n">
        <v>0.948</v>
      </c>
      <c r="F546" s="118" t="n">
        <v>1.111</v>
      </c>
      <c r="G546" s="118" t="n">
        <v>1.057</v>
      </c>
      <c r="H546" s="118" t="n">
        <v>0.96</v>
      </c>
      <c r="I546" s="118" t="n">
        <v>0.919</v>
      </c>
      <c r="J546" s="118" t="n">
        <v>-0.034</v>
      </c>
      <c r="K546" s="118" t="n">
        <v>-2.392</v>
      </c>
      <c r="L546" s="119" t="inlineStr">
        <is>
          <t>✓ Lower Risk</t>
        </is>
      </c>
      <c r="M546" s="120" t="n">
        <v>-0.024</v>
      </c>
      <c r="N546" s="120" t="n">
        <v>0.109</v>
      </c>
      <c r="O546" s="120" t="n">
        <v>0.011</v>
      </c>
      <c r="P546" s="120" t="n">
        <v>0.702</v>
      </c>
      <c r="Q546" s="120" t="n">
        <v>0.025</v>
      </c>
      <c r="R546" s="117" t="n">
        <v>0</v>
      </c>
      <c r="S546" s="118" t="n">
        <v>-6.245</v>
      </c>
      <c r="T546" s="118" t="n">
        <v>0.002</v>
      </c>
      <c r="U546" s="119" t="inlineStr">
        <is>
          <t>✓ Normal</t>
        </is>
      </c>
      <c r="V546" s="117" t="n">
        <v>0</v>
      </c>
      <c r="W546" s="117" t="n">
        <v>1</v>
      </c>
      <c r="X546" s="117" t="n">
        <v>0</v>
      </c>
      <c r="Y546" s="117" t="n">
        <v>1</v>
      </c>
      <c r="Z546" s="117" t="n">
        <v>1</v>
      </c>
      <c r="AA546" s="117" t="n">
        <v>0</v>
      </c>
      <c r="AB546" s="117" t="n">
        <v>3</v>
      </c>
      <c r="AC546" s="121" t="inlineStr">
        <is>
          <t>⚠ WATCH</t>
        </is>
      </c>
      <c r="AD546" s="118" t="n">
        <v>1884000000</v>
      </c>
      <c r="AE546" s="118" t="n">
        <v>-438000000</v>
      </c>
      <c r="AF546" s="118" t="n">
        <v>1508000000</v>
      </c>
      <c r="AG546" s="118" t="n">
        <v>0.006</v>
      </c>
      <c r="AH546" s="119" t="inlineStr">
        <is>
          <t>✓ Medium Quality</t>
        </is>
      </c>
      <c r="AI546" s="118" t="n">
        <v>0.131</v>
      </c>
      <c r="AJ546" s="120" t="n">
        <v>0.111</v>
      </c>
      <c r="AK546" s="120" t="n">
        <v>1.181</v>
      </c>
      <c r="AL546" s="120" t="n">
        <v>0.228</v>
      </c>
      <c r="AM546" s="120" t="n">
        <v>0.011</v>
      </c>
      <c r="AN546" s="118" t="n">
        <v>95.09999999999999</v>
      </c>
      <c r="AO546" s="119" t="inlineStr">
        <is>
          <t>✓ Good</t>
        </is>
      </c>
      <c r="AP546" s="117" t="n">
        <v>0</v>
      </c>
      <c r="AQ546" s="117" t="n">
        <v>0</v>
      </c>
      <c r="AR546" s="117" t="n">
        <v>0</v>
      </c>
      <c r="AS546" s="117" t="n">
        <v>0</v>
      </c>
      <c r="AT546" s="117" t="n">
        <v>1</v>
      </c>
      <c r="AU546" s="117" t="n">
        <v>0</v>
      </c>
      <c r="AV546" s="117" t="n">
        <v>1</v>
      </c>
      <c r="AW546" s="119" t="inlineStr">
        <is>
          <t>✓ Clean</t>
        </is>
      </c>
      <c r="AX546" s="118" t="n">
        <v>18.8</v>
      </c>
      <c r="AY546" s="119" t="inlineStr">
        <is>
          <t>🟢 VERY LOW RISK</t>
        </is>
      </c>
      <c r="AZ546" s="118" t="n">
        <v>34.5</v>
      </c>
      <c r="BA546" s="118" t="n">
        <v>33.8</v>
      </c>
      <c r="BB546" s="118" t="n">
        <v>35.3</v>
      </c>
      <c r="BC546" s="118" t="n">
        <v>34.8</v>
      </c>
      <c r="BD546" s="118" t="n">
        <v>16.1</v>
      </c>
      <c r="BE546" s="118" t="n">
        <v>17.9</v>
      </c>
      <c r="BF546" s="120" t="n">
        <v>0.18</v>
      </c>
      <c r="BG546" s="117" t="n">
        <v>0.702</v>
      </c>
      <c r="BH546" s="122" t="n">
        <v>4</v>
      </c>
      <c r="BI546" s="123" t="n">
        <v>1</v>
      </c>
    </row>
    <row r="547" ht="17" customHeight="1">
      <c r="A547" s="117" t="inlineStr">
        <is>
          <t>CAKE</t>
        </is>
      </c>
      <c r="B547" s="117" t="inlineStr">
        <is>
          <t>THE CHEESECAKE FACTORY INCORPORATED</t>
        </is>
      </c>
      <c r="C547" s="118" t="n">
        <v>0.955</v>
      </c>
      <c r="D547" s="118" t="n">
        <v>1.056</v>
      </c>
      <c r="E547" s="118" t="n">
        <v>0.967</v>
      </c>
      <c r="F547" s="118" t="n">
        <v>1.047</v>
      </c>
      <c r="G547" s="118" t="n">
        <v>0.967</v>
      </c>
      <c r="H547" s="118" t="n">
        <v>1.022</v>
      </c>
      <c r="I547" s="118" t="n">
        <v>1.014</v>
      </c>
      <c r="J547" s="118" t="n">
        <v>-0.047</v>
      </c>
      <c r="K547" s="118" t="n">
        <v>-2.695</v>
      </c>
      <c r="L547" s="119" t="inlineStr">
        <is>
          <t>✓ Lower Risk</t>
        </is>
      </c>
      <c r="M547" s="120" t="n">
        <v>-0.057</v>
      </c>
      <c r="N547" s="120" t="n">
        <v>0</v>
      </c>
      <c r="O547" s="120" t="n">
        <v>-0.062</v>
      </c>
      <c r="P547" s="120" t="n">
        <v>0.667</v>
      </c>
      <c r="Q547" s="120" t="n">
        <v>-0.006</v>
      </c>
      <c r="R547" s="117" t="n">
        <v>0</v>
      </c>
      <c r="S547" s="118" t="n">
        <v>-6.689</v>
      </c>
      <c r="T547" s="118" t="n">
        <v>0.001</v>
      </c>
      <c r="U547" s="119" t="inlineStr">
        <is>
          <t>✓ Normal</t>
        </is>
      </c>
      <c r="V547" s="117" t="n">
        <v>0</v>
      </c>
      <c r="W547" s="117" t="n">
        <v>0</v>
      </c>
      <c r="X547" s="117" t="n">
        <v>0</v>
      </c>
      <c r="Y547" s="117" t="n">
        <v>1</v>
      </c>
      <c r="Z547" s="117" t="n">
        <v>0</v>
      </c>
      <c r="AA547" s="117" t="n">
        <v>0</v>
      </c>
      <c r="AB547" s="117" t="n">
        <v>1</v>
      </c>
      <c r="AC547" s="119" t="inlineStr">
        <is>
          <t>✓ Clean</t>
        </is>
      </c>
      <c r="AD547" s="118" t="n">
        <v>301281000</v>
      </c>
      <c r="AE547" s="118" t="n">
        <v>-147260000</v>
      </c>
      <c r="AF547" s="118" t="n">
        <v>148427000</v>
      </c>
      <c r="AG547" s="118" t="n">
        <v>-0.002</v>
      </c>
      <c r="AH547" s="119" t="inlineStr">
        <is>
          <t>✓ Medium Quality</t>
        </is>
      </c>
      <c r="AI547" s="118" t="n">
        <v>0</v>
      </c>
      <c r="AJ547" s="120" t="n">
        <v>0.047</v>
      </c>
      <c r="AK547" s="120" t="n">
        <v>0</v>
      </c>
      <c r="AL547" s="120" t="n">
        <v>0.08</v>
      </c>
      <c r="AM547" s="120" t="n">
        <v>-0.004</v>
      </c>
      <c r="AN547" s="118" t="n">
        <v>85.90000000000001</v>
      </c>
      <c r="AO547" s="119" t="inlineStr">
        <is>
          <t>✓ Good</t>
        </is>
      </c>
      <c r="AP547" s="117" t="n">
        <v>0</v>
      </c>
      <c r="AQ547" s="117" t="n">
        <v>0</v>
      </c>
      <c r="AR547" s="117" t="n">
        <v>1</v>
      </c>
      <c r="AS547" s="117" t="n">
        <v>1</v>
      </c>
      <c r="AT547" s="117" t="n">
        <v>0</v>
      </c>
      <c r="AU547" s="117" t="n">
        <v>0</v>
      </c>
      <c r="AV547" s="117" t="n">
        <v>2</v>
      </c>
      <c r="AW547" s="121" t="inlineStr">
        <is>
          <t>⚠ WATCH</t>
        </is>
      </c>
      <c r="AX547" s="118" t="n">
        <v>12.4</v>
      </c>
      <c r="AY547" s="119" t="inlineStr">
        <is>
          <t>🟢 VERY LOW RISK</t>
        </is>
      </c>
      <c r="AZ547" s="118" t="n">
        <v>2.5</v>
      </c>
      <c r="BA547" s="118" t="n">
        <v>2.6</v>
      </c>
      <c r="BB547" s="118" t="n">
        <v>30.2</v>
      </c>
      <c r="BC547" s="118" t="n">
        <v>51.4</v>
      </c>
      <c r="BD547" s="118" t="n">
        <v>35</v>
      </c>
      <c r="BE547" s="118" t="n">
        <v>49.4</v>
      </c>
      <c r="BF547" s="120" t="n">
        <v>0.089</v>
      </c>
      <c r="BG547" s="117" t="n">
        <v>0.667</v>
      </c>
      <c r="BH547" s="122" t="n">
        <v>3</v>
      </c>
      <c r="BI547" s="123" t="n">
        <v>1</v>
      </c>
    </row>
    <row r="548" ht="17" customHeight="1">
      <c r="A548" s="117" t="inlineStr">
        <is>
          <t>STAG</t>
        </is>
      </c>
      <c r="B548" s="117" t="inlineStr">
        <is>
          <t>STAG Industrial, Inc.</t>
        </is>
      </c>
      <c r="C548" s="118" t="n">
        <v>1.042</v>
      </c>
      <c r="D548" s="124" t="inlineStr">
        <is>
          <t>N/A</t>
        </is>
      </c>
      <c r="E548" s="124" t="inlineStr">
        <is>
          <t>N/A</t>
        </is>
      </c>
      <c r="F548" s="118" t="n">
        <v>1.101</v>
      </c>
      <c r="G548" s="124" t="inlineStr">
        <is>
          <t>N/A</t>
        </is>
      </c>
      <c r="H548" s="118" t="n">
        <v>0.958</v>
      </c>
      <c r="I548" s="118" t="n">
        <v>1.015</v>
      </c>
      <c r="J548" s="118" t="n">
        <v>-0.026</v>
      </c>
      <c r="K548" s="124" t="inlineStr">
        <is>
          <t>N/A</t>
        </is>
      </c>
      <c r="L548" s="124" t="inlineStr">
        <is>
          <t>N/A</t>
        </is>
      </c>
      <c r="M548" s="124" t="inlineStr">
        <is>
          <t>N/A</t>
        </is>
      </c>
      <c r="N548" s="120" t="n">
        <v>0.258</v>
      </c>
      <c r="O548" s="124" t="inlineStr">
        <is>
          <t>N/A</t>
        </is>
      </c>
      <c r="P548" s="120" t="n">
        <v>0.998</v>
      </c>
      <c r="Q548" s="120" t="n">
        <v>0.01</v>
      </c>
      <c r="R548" s="117" t="n">
        <v>1</v>
      </c>
      <c r="S548" s="124" t="inlineStr">
        <is>
          <t>N/A</t>
        </is>
      </c>
      <c r="T548" s="124" t="inlineStr">
        <is>
          <t>N/A</t>
        </is>
      </c>
      <c r="U548" s="124" t="inlineStr">
        <is>
          <t>N/A</t>
        </is>
      </c>
      <c r="V548" s="117" t="n">
        <v>1</v>
      </c>
      <c r="W548" s="117" t="n">
        <v>1</v>
      </c>
      <c r="X548" s="117" t="n">
        <v>0</v>
      </c>
      <c r="Y548" s="117" t="n">
        <v>0</v>
      </c>
      <c r="Z548" s="117" t="n">
        <v>1</v>
      </c>
      <c r="AA548" s="117" t="n">
        <v>0</v>
      </c>
      <c r="AB548" s="117" t="n">
        <v>3</v>
      </c>
      <c r="AC548" s="121" t="inlineStr">
        <is>
          <t>⚠ WATCH</t>
        </is>
      </c>
      <c r="AD548" s="118" t="n">
        <v>463388000</v>
      </c>
      <c r="AE548" s="118" t="n">
        <v>-497302000</v>
      </c>
      <c r="AF548" s="118" t="n">
        <v>273519000</v>
      </c>
      <c r="AG548" s="118" t="n">
        <v>0.044</v>
      </c>
      <c r="AH548" s="119" t="inlineStr">
        <is>
          <t>✓ Medium Quality</t>
        </is>
      </c>
      <c r="AI548" s="118" t="n">
        <v>0.147</v>
      </c>
      <c r="AJ548" s="120" t="n">
        <v>0.101</v>
      </c>
      <c r="AK548" s="120" t="n">
        <v>1.454</v>
      </c>
      <c r="AL548" s="120" t="n">
        <v>0.548</v>
      </c>
      <c r="AM548" s="124" t="inlineStr">
        <is>
          <t>N/A</t>
        </is>
      </c>
      <c r="AN548" s="118" t="n">
        <v>86.40000000000001</v>
      </c>
      <c r="AO548" s="119" t="inlineStr">
        <is>
          <t>✓ Good</t>
        </is>
      </c>
      <c r="AP548" s="117" t="n">
        <v>0</v>
      </c>
      <c r="AQ548" s="117" t="n">
        <v>0</v>
      </c>
      <c r="AR548" s="117" t="n">
        <v>0</v>
      </c>
      <c r="AS548" s="117" t="n">
        <v>0</v>
      </c>
      <c r="AT548" s="117" t="n">
        <v>0</v>
      </c>
      <c r="AU548" s="117" t="n">
        <v>0</v>
      </c>
      <c r="AV548" s="117" t="n">
        <v>0</v>
      </c>
      <c r="AW548" s="119" t="inlineStr">
        <is>
          <t>✓ Clean</t>
        </is>
      </c>
      <c r="AX548" s="118" t="n">
        <v>33.6</v>
      </c>
      <c r="AY548" s="119" t="inlineStr">
        <is>
          <t>🟢 LOW RISK</t>
        </is>
      </c>
      <c r="AZ548" s="118" t="n">
        <v>67.59999999999999</v>
      </c>
      <c r="BA548" s="118" t="n">
        <v>64.90000000000001</v>
      </c>
      <c r="BB548" s="124" t="inlineStr">
        <is>
          <t>N/A</t>
        </is>
      </c>
      <c r="BC548" s="124" t="inlineStr">
        <is>
          <t>N/A</t>
        </is>
      </c>
      <c r="BD548" s="124" t="inlineStr">
        <is>
          <t>N/A</t>
        </is>
      </c>
      <c r="BE548" s="124" t="inlineStr">
        <is>
          <t>N/A</t>
        </is>
      </c>
      <c r="BF548" s="124" t="inlineStr">
        <is>
          <t>N/A</t>
        </is>
      </c>
      <c r="BG548" s="117" t="n">
        <v>0.998</v>
      </c>
      <c r="BH548" s="122" t="n">
        <v>4</v>
      </c>
      <c r="BI548" s="125" t="n">
        <v>0.6666666666666666</v>
      </c>
    </row>
    <row r="549" ht="17" customHeight="1">
      <c r="A549" s="117" t="inlineStr">
        <is>
          <t>SAIA</t>
        </is>
      </c>
      <c r="B549" s="117" t="inlineStr">
        <is>
          <t>Saia, Inc.</t>
        </is>
      </c>
      <c r="C549" s="118" t="n">
        <v>1.021</v>
      </c>
      <c r="D549" s="124" t="inlineStr">
        <is>
          <t>N/A</t>
        </is>
      </c>
      <c r="E549" s="118" t="n">
        <v>1.064</v>
      </c>
      <c r="F549" s="118" t="n">
        <v>1.008</v>
      </c>
      <c r="G549" s="118" t="n">
        <v>0.945</v>
      </c>
      <c r="H549" s="124" t="inlineStr">
        <is>
          <t>N/A</t>
        </is>
      </c>
      <c r="I549" s="118" t="n">
        <v>1</v>
      </c>
      <c r="J549" s="118" t="n">
        <v>-0.098</v>
      </c>
      <c r="K549" s="124" t="inlineStr">
        <is>
          <t>N/A</t>
        </is>
      </c>
      <c r="L549" s="124" t="inlineStr">
        <is>
          <t>N/A</t>
        </is>
      </c>
      <c r="M549" s="120" t="n">
        <v>-0.068</v>
      </c>
      <c r="N549" s="120" t="n">
        <v>0.366</v>
      </c>
      <c r="O549" s="124" t="inlineStr">
        <is>
          <t>N/A</t>
        </is>
      </c>
      <c r="P549" s="120" t="n">
        <v>0.178</v>
      </c>
      <c r="Q549" s="120" t="n">
        <v>-0.041</v>
      </c>
      <c r="R549" s="117" t="n">
        <v>1</v>
      </c>
      <c r="S549" s="118" t="n">
        <v>-3.583</v>
      </c>
      <c r="T549" s="118" t="n">
        <v>0.027</v>
      </c>
      <c r="U549" s="119" t="inlineStr">
        <is>
          <t>✓ Normal</t>
        </is>
      </c>
      <c r="V549" s="117" t="n">
        <v>0</v>
      </c>
      <c r="W549" s="117" t="n">
        <v>1</v>
      </c>
      <c r="X549" s="117" t="n">
        <v>0</v>
      </c>
      <c r="Y549" s="117" t="n">
        <v>1</v>
      </c>
      <c r="Z549" s="117" t="n">
        <v>0</v>
      </c>
      <c r="AA549" s="117" t="n">
        <v>0</v>
      </c>
      <c r="AB549" s="117" t="n">
        <v>2</v>
      </c>
      <c r="AC549" s="121" t="inlineStr">
        <is>
          <t>⚠ WATCH</t>
        </is>
      </c>
      <c r="AD549" s="118" t="n">
        <v>594973000</v>
      </c>
      <c r="AE549" s="118" t="n">
        <v>-552522000</v>
      </c>
      <c r="AF549" s="118" t="n">
        <v>255036000</v>
      </c>
      <c r="AG549" s="118" t="n">
        <v>0.064</v>
      </c>
      <c r="AH549" s="119" t="inlineStr">
        <is>
          <t>✓ Medium Quality</t>
        </is>
      </c>
      <c r="AI549" s="118" t="n">
        <v>0.029</v>
      </c>
      <c r="AJ549" s="120" t="n">
        <v>0.008</v>
      </c>
      <c r="AK549" s="120" t="n">
        <v>3.631</v>
      </c>
      <c r="AL549" s="120" t="n">
        <v>0.184</v>
      </c>
      <c r="AM549" s="124" t="inlineStr">
        <is>
          <t>N/A</t>
        </is>
      </c>
      <c r="AN549" s="117" t="n">
        <v>70</v>
      </c>
      <c r="AO549" s="119" t="inlineStr">
        <is>
          <t>✓ Good</t>
        </is>
      </c>
      <c r="AP549" s="117" t="n">
        <v>0</v>
      </c>
      <c r="AQ549" s="117" t="n">
        <v>0</v>
      </c>
      <c r="AR549" s="117" t="n">
        <v>0</v>
      </c>
      <c r="AS549" s="117" t="n">
        <v>0</v>
      </c>
      <c r="AT549" s="117" t="n">
        <v>0</v>
      </c>
      <c r="AU549" s="117" t="n">
        <v>0</v>
      </c>
      <c r="AV549" s="117" t="n">
        <v>0</v>
      </c>
      <c r="AW549" s="119" t="inlineStr">
        <is>
          <t>✓ Clean</t>
        </is>
      </c>
      <c r="AX549" s="118" t="n">
        <v>28</v>
      </c>
      <c r="AY549" s="119" t="inlineStr">
        <is>
          <t>🟢 LOW RISK</t>
        </is>
      </c>
      <c r="AZ549" s="118" t="n">
        <v>37.5</v>
      </c>
      <c r="BA549" s="118" t="n">
        <v>36.7</v>
      </c>
      <c r="BB549" s="124" t="inlineStr">
        <is>
          <t>N/A</t>
        </is>
      </c>
      <c r="BC549" s="124" t="inlineStr">
        <is>
          <t>N/A</t>
        </is>
      </c>
      <c r="BD549" s="124" t="inlineStr">
        <is>
          <t>N/A</t>
        </is>
      </c>
      <c r="BE549" s="124" t="inlineStr">
        <is>
          <t>N/A</t>
        </is>
      </c>
      <c r="BF549" s="120" t="n">
        <v>0.244</v>
      </c>
      <c r="BG549" s="117" t="n">
        <v>0.178</v>
      </c>
      <c r="BH549" s="122" t="n">
        <v>3</v>
      </c>
      <c r="BI549" s="123" t="n">
        <v>0.8333333333333334</v>
      </c>
    </row>
    <row r="550" ht="17" customHeight="1">
      <c r="A550" s="117" t="inlineStr">
        <is>
          <t>CSX</t>
        </is>
      </c>
      <c r="B550" s="117" t="inlineStr">
        <is>
          <t>CSX CORPORATION</t>
        </is>
      </c>
      <c r="C550" s="118" t="n">
        <v>0.259</v>
      </c>
      <c r="D550" s="118" t="n">
        <v>-5.715</v>
      </c>
      <c r="E550" s="118" t="n">
        <v>0.987</v>
      </c>
      <c r="F550" s="118" t="n">
        <v>3.777</v>
      </c>
      <c r="G550" s="118" t="n">
        <v>1.018</v>
      </c>
      <c r="H550" s="124" t="inlineStr">
        <is>
          <t>N/A</t>
        </is>
      </c>
      <c r="I550" s="118" t="n">
        <v>0.988</v>
      </c>
      <c r="J550" s="118" t="n">
        <v>-0.039</v>
      </c>
      <c r="K550" s="118" t="n">
        <v>-4.242</v>
      </c>
      <c r="L550" s="119" t="inlineStr">
        <is>
          <t>✓ Lower Risk</t>
        </is>
      </c>
      <c r="M550" s="120" t="n">
        <v>-0.035</v>
      </c>
      <c r="N550" s="120" t="n">
        <v>-0.004</v>
      </c>
      <c r="O550" s="124" t="inlineStr">
        <is>
          <t>N/A</t>
        </is>
      </c>
      <c r="P550" s="120" t="n">
        <v>0.112</v>
      </c>
      <c r="Q550" s="120" t="n">
        <v>-0.015</v>
      </c>
      <c r="R550" s="117" t="n">
        <v>0</v>
      </c>
      <c r="S550" s="118" t="n">
        <v>-7.7</v>
      </c>
      <c r="T550" s="118" t="n">
        <v>0</v>
      </c>
      <c r="U550" s="119" t="inlineStr">
        <is>
          <t>✓ Normal</t>
        </is>
      </c>
      <c r="V550" s="117" t="n">
        <v>1</v>
      </c>
      <c r="W550" s="117" t="n">
        <v>0</v>
      </c>
      <c r="X550" s="117" t="n">
        <v>0</v>
      </c>
      <c r="Y550" s="117" t="n">
        <v>1</v>
      </c>
      <c r="Z550" s="117" t="n">
        <v>1</v>
      </c>
      <c r="AA550" s="117" t="n">
        <v>0</v>
      </c>
      <c r="AB550" s="117" t="n">
        <v>3</v>
      </c>
      <c r="AC550" s="121" t="inlineStr">
        <is>
          <t>⚠ WATCH</t>
        </is>
      </c>
      <c r="AD550" s="118" t="n">
        <v>4613000000</v>
      </c>
      <c r="AE550" s="118" t="n">
        <v>-2851000000</v>
      </c>
      <c r="AF550" s="118" t="n">
        <v>2889000000</v>
      </c>
      <c r="AG550" s="118" t="n">
        <v>0.026</v>
      </c>
      <c r="AH550" s="119" t="inlineStr">
        <is>
          <t>✓ Medium Quality</t>
        </is>
      </c>
      <c r="AI550" s="118" t="n">
        <v>-0.021</v>
      </c>
      <c r="AJ550" s="120" t="n">
        <v>2.777</v>
      </c>
      <c r="AK550" s="120" t="n">
        <v>-0.008</v>
      </c>
      <c r="AL550" s="120" t="n">
        <v>0.434</v>
      </c>
      <c r="AM550" s="120" t="n">
        <v>0.003</v>
      </c>
      <c r="AN550" s="117" t="n">
        <v>100</v>
      </c>
      <c r="AO550" s="119" t="inlineStr">
        <is>
          <t>✓ Good</t>
        </is>
      </c>
      <c r="AP550" s="117" t="n">
        <v>0</v>
      </c>
      <c r="AQ550" s="117" t="n">
        <v>0</v>
      </c>
      <c r="AR550" s="117" t="n">
        <v>0</v>
      </c>
      <c r="AS550" s="117" t="n">
        <v>0</v>
      </c>
      <c r="AT550" s="117" t="n">
        <v>0</v>
      </c>
      <c r="AU550" s="117" t="n">
        <v>1</v>
      </c>
      <c r="AV550" s="117" t="n">
        <v>1</v>
      </c>
      <c r="AW550" s="119" t="inlineStr">
        <is>
          <t>✓ Clean</t>
        </is>
      </c>
      <c r="AX550" s="118" t="n">
        <v>13.2</v>
      </c>
      <c r="AY550" s="119" t="inlineStr">
        <is>
          <t>🟢 VERY LOW RISK</t>
        </is>
      </c>
      <c r="AZ550" s="118" t="n">
        <v>44.5</v>
      </c>
      <c r="BA550" s="118" t="n">
        <v>171.9</v>
      </c>
      <c r="BB550" s="124" t="inlineStr">
        <is>
          <t>N/A</t>
        </is>
      </c>
      <c r="BC550" s="124" t="inlineStr">
        <is>
          <t>N/A</t>
        </is>
      </c>
      <c r="BD550" s="118" t="n">
        <v>56.8</v>
      </c>
      <c r="BE550" s="118" t="n">
        <v>60.8</v>
      </c>
      <c r="BF550" s="120" t="n">
        <v>0.233</v>
      </c>
      <c r="BG550" s="117" t="n">
        <v>0.112</v>
      </c>
      <c r="BH550" s="122" t="n">
        <v>4</v>
      </c>
      <c r="BI550" s="123" t="n">
        <v>1</v>
      </c>
    </row>
    <row r="551" ht="17" customHeight="1">
      <c r="A551" s="117" t="inlineStr">
        <is>
          <t>GD</t>
        </is>
      </c>
      <c r="B551" s="117" t="inlineStr">
        <is>
          <t>GENERAL DYNAMICS CORP</t>
        </is>
      </c>
      <c r="C551" s="118" t="n">
        <v>0.734</v>
      </c>
      <c r="D551" s="118" t="n">
        <v>0.991</v>
      </c>
      <c r="E551" s="118" t="n">
        <v>0.994</v>
      </c>
      <c r="F551" s="118" t="n">
        <v>1.101</v>
      </c>
      <c r="G551" s="118" t="n">
        <v>1.102</v>
      </c>
      <c r="H551" s="118" t="n">
        <v>0.918</v>
      </c>
      <c r="I551" s="118" t="n">
        <v>1</v>
      </c>
      <c r="J551" s="118" t="n">
        <v>-0.016</v>
      </c>
      <c r="K551" s="118" t="n">
        <v>-2.69</v>
      </c>
      <c r="L551" s="119" t="inlineStr">
        <is>
          <t>✓ Lower Risk</t>
        </is>
      </c>
      <c r="M551" s="120" t="n">
        <v>-0.012</v>
      </c>
      <c r="N551" s="120" t="n">
        <v>-0.118</v>
      </c>
      <c r="O551" s="120" t="n">
        <v>-0.102</v>
      </c>
      <c r="P551" s="120" t="n">
        <v>0.828</v>
      </c>
      <c r="Q551" s="120" t="n">
        <v>0.006</v>
      </c>
      <c r="R551" s="117" t="n">
        <v>1</v>
      </c>
      <c r="S551" s="118" t="n">
        <v>-3.611</v>
      </c>
      <c r="T551" s="118" t="n">
        <v>0.026</v>
      </c>
      <c r="U551" s="119" t="inlineStr">
        <is>
          <t>✓ Normal</t>
        </is>
      </c>
      <c r="V551" s="117" t="n">
        <v>0</v>
      </c>
      <c r="W551" s="117" t="n">
        <v>0</v>
      </c>
      <c r="X551" s="117" t="n">
        <v>0</v>
      </c>
      <c r="Y551" s="117" t="n">
        <v>1</v>
      </c>
      <c r="Z551" s="117" t="n">
        <v>0</v>
      </c>
      <c r="AA551" s="117" t="n">
        <v>0</v>
      </c>
      <c r="AB551" s="117" t="n">
        <v>1</v>
      </c>
      <c r="AC551" s="119" t="inlineStr">
        <is>
          <t>✓ Clean</t>
        </is>
      </c>
      <c r="AD551" s="118" t="n">
        <v>5120000000</v>
      </c>
      <c r="AE551" s="118" t="n">
        <v>-1284000000</v>
      </c>
      <c r="AF551" s="118" t="n">
        <v>4210000000</v>
      </c>
      <c r="AG551" s="118" t="n">
        <v>0.007</v>
      </c>
      <c r="AH551" s="119" t="inlineStr">
        <is>
          <t>✓ Medium Quality</t>
        </is>
      </c>
      <c r="AI551" s="118" t="n">
        <v>-0.192</v>
      </c>
      <c r="AJ551" s="120" t="n">
        <v>0.101</v>
      </c>
      <c r="AK551" s="120" t="n">
        <v>-1.893</v>
      </c>
      <c r="AL551" s="120" t="n">
        <v>0.097</v>
      </c>
      <c r="AM551" s="120" t="n">
        <v>0.006</v>
      </c>
      <c r="AN551" s="118" t="n">
        <v>89.8</v>
      </c>
      <c r="AO551" s="119" t="inlineStr">
        <is>
          <t>✓ Good</t>
        </is>
      </c>
      <c r="AP551" s="117" t="n">
        <v>0</v>
      </c>
      <c r="AQ551" s="117" t="n">
        <v>0</v>
      </c>
      <c r="AR551" s="117" t="n">
        <v>0</v>
      </c>
      <c r="AS551" s="117" t="n">
        <v>0</v>
      </c>
      <c r="AT551" s="117" t="n">
        <v>1</v>
      </c>
      <c r="AU551" s="117" t="n">
        <v>0</v>
      </c>
      <c r="AV551" s="117" t="n">
        <v>1</v>
      </c>
      <c r="AW551" s="119" t="inlineStr">
        <is>
          <t>✓ Clean</t>
        </is>
      </c>
      <c r="AX551" s="118" t="n">
        <v>15.2</v>
      </c>
      <c r="AY551" s="119" t="inlineStr">
        <is>
          <t>🟢 VERY LOW RISK</t>
        </is>
      </c>
      <c r="AZ551" s="118" t="n">
        <v>16.7</v>
      </c>
      <c r="BA551" s="118" t="n">
        <v>22.8</v>
      </c>
      <c r="BB551" s="118" t="n">
        <v>104.4</v>
      </c>
      <c r="BC551" s="118" t="n">
        <v>120.4</v>
      </c>
      <c r="BD551" s="118" t="n">
        <v>30.3</v>
      </c>
      <c r="BE551" s="118" t="n">
        <v>41.4</v>
      </c>
      <c r="BF551" s="120" t="n">
        <v>0.175</v>
      </c>
      <c r="BG551" s="117" t="n">
        <v>0.828</v>
      </c>
      <c r="BH551" s="122" t="n">
        <v>3</v>
      </c>
      <c r="BI551" s="123" t="n">
        <v>1</v>
      </c>
    </row>
    <row r="552" ht="17" customHeight="1">
      <c r="A552" s="117" t="inlineStr">
        <is>
          <t>TMO</t>
        </is>
      </c>
      <c r="B552" s="117" t="inlineStr">
        <is>
          <t>THERMO FISHER SCIENTIFIC INC.</t>
        </is>
      </c>
      <c r="C552" s="118" t="n">
        <v>0.314</v>
      </c>
      <c r="D552" s="118" t="n">
        <v>3.149</v>
      </c>
      <c r="E552" s="118" t="n">
        <v>0.952</v>
      </c>
      <c r="F552" s="118" t="n">
        <v>3.459</v>
      </c>
      <c r="G552" s="118" t="n">
        <v>1.015</v>
      </c>
      <c r="H552" s="118" t="n">
        <v>0.294</v>
      </c>
      <c r="I552" s="118" t="n">
        <v>1</v>
      </c>
      <c r="J552" s="118" t="n">
        <v>-0.01</v>
      </c>
      <c r="K552" s="118" t="n">
        <v>0.274</v>
      </c>
      <c r="L552" s="121" t="inlineStr">
        <is>
          <t>⚠ MANIPULATOR RISK</t>
        </is>
      </c>
      <c r="M552" s="120" t="n">
        <v>-0.031</v>
      </c>
      <c r="N552" s="120" t="n">
        <v>0.048</v>
      </c>
      <c r="O552" s="120" t="n">
        <v>0.03</v>
      </c>
      <c r="P552" s="120" t="n">
        <v>0.8149999999999999</v>
      </c>
      <c r="Q552" s="120" t="n">
        <v>-0.004</v>
      </c>
      <c r="R552" s="117" t="n">
        <v>1</v>
      </c>
      <c r="S552" s="118" t="n">
        <v>-3.073</v>
      </c>
      <c r="T552" s="118" t="n">
        <v>0.044</v>
      </c>
      <c r="U552" s="121" t="inlineStr">
        <is>
          <t>⚠ HIGH RISK</t>
        </is>
      </c>
      <c r="V552" s="117" t="n">
        <v>1</v>
      </c>
      <c r="W552" s="117" t="n">
        <v>0</v>
      </c>
      <c r="X552" s="117" t="n">
        <v>0</v>
      </c>
      <c r="Y552" s="117" t="n">
        <v>1</v>
      </c>
      <c r="Z552" s="117" t="n">
        <v>1</v>
      </c>
      <c r="AA552" s="117" t="n">
        <v>1</v>
      </c>
      <c r="AB552" s="117" t="n">
        <v>4</v>
      </c>
      <c r="AC552" s="121" t="inlineStr">
        <is>
          <t>⚠⚠ SERIOUS CONCERN</t>
        </is>
      </c>
      <c r="AD552" s="118" t="n">
        <v>7818000000</v>
      </c>
      <c r="AE552" s="118" t="n">
        <v>-4047000000</v>
      </c>
      <c r="AF552" s="118" t="n">
        <v>6704000000</v>
      </c>
      <c r="AG552" s="118" t="n">
        <v>0.028</v>
      </c>
      <c r="AH552" s="119" t="inlineStr">
        <is>
          <t>✓ Medium Quality</t>
        </is>
      </c>
      <c r="AI552" s="118" t="n">
        <v>0.08699999999999999</v>
      </c>
      <c r="AJ552" s="120" t="n">
        <v>2.459</v>
      </c>
      <c r="AK552" s="120" t="n">
        <v>0.035</v>
      </c>
      <c r="AL552" s="120" t="n">
        <v>0.374</v>
      </c>
      <c r="AM552" s="120" t="n">
        <v>0</v>
      </c>
      <c r="AN552" s="117" t="n">
        <v>100</v>
      </c>
      <c r="AO552" s="119" t="inlineStr">
        <is>
          <t>✓ Good</t>
        </is>
      </c>
      <c r="AP552" s="117" t="n">
        <v>0</v>
      </c>
      <c r="AQ552" s="117" t="n">
        <v>0</v>
      </c>
      <c r="AR552" s="117" t="n">
        <v>1</v>
      </c>
      <c r="AS552" s="117" t="n">
        <v>0</v>
      </c>
      <c r="AT552" s="117" t="n">
        <v>1</v>
      </c>
      <c r="AU552" s="117" t="n">
        <v>1</v>
      </c>
      <c r="AV552" s="117" t="n">
        <v>3</v>
      </c>
      <c r="AW552" s="121" t="inlineStr">
        <is>
          <t>⚠ WATCH</t>
        </is>
      </c>
      <c r="AX552" s="118" t="n">
        <v>38.4</v>
      </c>
      <c r="AY552" s="119" t="inlineStr">
        <is>
          <t>🟢 LOW RISK</t>
        </is>
      </c>
      <c r="AZ552" s="118" t="n">
        <v>155.3</v>
      </c>
      <c r="BA552" s="118" t="n">
        <v>494.4</v>
      </c>
      <c r="BB552" s="118" t="n">
        <v>220.6</v>
      </c>
      <c r="BC552" s="118" t="n">
        <v>221.2</v>
      </c>
      <c r="BD552" s="118" t="n">
        <v>147.3</v>
      </c>
      <c r="BE552" s="118" t="n">
        <v>136.8</v>
      </c>
      <c r="BF552" s="120" t="n">
        <v>0.076</v>
      </c>
      <c r="BG552" s="117" t="n">
        <v>0.8149999999999999</v>
      </c>
      <c r="BH552" s="122" t="n">
        <v>8</v>
      </c>
      <c r="BI552" s="123" t="n">
        <v>1</v>
      </c>
    </row>
    <row r="553" ht="17" customHeight="1">
      <c r="A553" s="117" t="inlineStr">
        <is>
          <t>DAWN</t>
        </is>
      </c>
      <c r="B553" s="117" t="inlineStr">
        <is>
          <t>DAY ONE BIOPHARMACEUTICALS, INC.</t>
        </is>
      </c>
      <c r="C553" s="118" t="n">
        <v>1.598</v>
      </c>
      <c r="D553" s="118" t="n">
        <v>2.051</v>
      </c>
      <c r="E553" s="118" t="n">
        <v>1.3</v>
      </c>
      <c r="F553" s="118" t="n">
        <v>1.206</v>
      </c>
      <c r="G553" s="118" t="n">
        <v>0.265</v>
      </c>
      <c r="H553" s="118" t="n">
        <v>0.866</v>
      </c>
      <c r="I553" s="118" t="n">
        <v>0.956</v>
      </c>
      <c r="J553" s="118" t="n">
        <v>-0.007</v>
      </c>
      <c r="K553" s="118" t="n">
        <v>-1.15</v>
      </c>
      <c r="L553" s="121" t="inlineStr">
        <is>
          <t>⚠ MANIPULATOR RISK</t>
        </is>
      </c>
      <c r="M553" s="120" t="n">
        <v>-0.269</v>
      </c>
      <c r="N553" s="120" t="n">
        <v>0.476</v>
      </c>
      <c r="O553" s="120" t="n">
        <v>0.111</v>
      </c>
      <c r="P553" s="120" t="n">
        <v>0.608</v>
      </c>
      <c r="Q553" s="120" t="n">
        <v>183.941</v>
      </c>
      <c r="R553" s="117" t="n">
        <v>1</v>
      </c>
      <c r="S553" s="118" t="n">
        <v>-83.249</v>
      </c>
      <c r="T553" s="118" t="n">
        <v>0</v>
      </c>
      <c r="U553" s="119" t="inlineStr">
        <is>
          <t>✓ Normal</t>
        </is>
      </c>
      <c r="V553" s="117" t="n">
        <v>1</v>
      </c>
      <c r="W553" s="117" t="n">
        <v>1</v>
      </c>
      <c r="X553" s="117" t="n">
        <v>1</v>
      </c>
      <c r="Y553" s="117" t="n">
        <v>1</v>
      </c>
      <c r="Z553" s="117" t="n">
        <v>0</v>
      </c>
      <c r="AA553" s="117" t="n">
        <v>0</v>
      </c>
      <c r="AB553" s="117" t="n">
        <v>4</v>
      </c>
      <c r="AC553" s="121" t="inlineStr">
        <is>
          <t>⚠⚠ SERIOUS CONCERN</t>
        </is>
      </c>
      <c r="AD553" s="118" t="n">
        <v>-103757000</v>
      </c>
      <c r="AE553" s="118" t="n">
        <v>174648000</v>
      </c>
      <c r="AF553" s="118" t="n">
        <v>-107322000</v>
      </c>
      <c r="AG553" s="118" t="n">
        <v>-0.327</v>
      </c>
      <c r="AH553" s="119" t="inlineStr">
        <is>
          <t>✓ High Quality</t>
        </is>
      </c>
      <c r="AI553" s="118" t="n">
        <v>0.927</v>
      </c>
      <c r="AJ553" s="120" t="n">
        <v>0.206</v>
      </c>
      <c r="AK553" s="120" t="n">
        <v>4.498</v>
      </c>
      <c r="AL553" s="120" t="n">
        <v>-0.656</v>
      </c>
      <c r="AM553" s="120" t="n">
        <v>0.003</v>
      </c>
      <c r="AN553" s="118" t="n">
        <v>40.1</v>
      </c>
      <c r="AO553" s="121" t="inlineStr">
        <is>
          <t>⚠ WATCH</t>
        </is>
      </c>
      <c r="AP553" s="117" t="n">
        <v>0</v>
      </c>
      <c r="AQ553" s="117" t="n">
        <v>0</v>
      </c>
      <c r="AR553" s="117" t="n">
        <v>0</v>
      </c>
      <c r="AS553" s="117" t="n">
        <v>0</v>
      </c>
      <c r="AT553" s="117" t="n">
        <v>1</v>
      </c>
      <c r="AU553" s="117" t="n">
        <v>0</v>
      </c>
      <c r="AV553" s="117" t="n">
        <v>1</v>
      </c>
      <c r="AW553" s="119" t="inlineStr">
        <is>
          <t>✓ Clean</t>
        </is>
      </c>
      <c r="AX553" s="118" t="n">
        <v>34.8</v>
      </c>
      <c r="AY553" s="119" t="inlineStr">
        <is>
          <t>🟢 LOW RISK</t>
        </is>
      </c>
      <c r="AZ553" s="118" t="n">
        <v>61.7</v>
      </c>
      <c r="BA553" s="118" t="n">
        <v>38.6</v>
      </c>
      <c r="BB553" s="118" t="n">
        <v>8.1</v>
      </c>
      <c r="BC553" s="118" t="n">
        <v>3.5</v>
      </c>
      <c r="BD553" s="118" t="n">
        <v>4.8</v>
      </c>
      <c r="BE553" s="118" t="n">
        <v>3.4</v>
      </c>
      <c r="BF553" s="124" t="inlineStr">
        <is>
          <t>N/A</t>
        </is>
      </c>
      <c r="BG553" s="117" t="n">
        <v>0.608</v>
      </c>
      <c r="BH553" s="122" t="n">
        <v>6</v>
      </c>
      <c r="BI553" s="123" t="n">
        <v>1</v>
      </c>
    </row>
    <row r="554" ht="17" customHeight="1">
      <c r="A554" s="117" t="inlineStr">
        <is>
          <t>ELV</t>
        </is>
      </c>
      <c r="B554" s="117" t="inlineStr">
        <is>
          <t>ELEVANCE HEALTH, INC.</t>
        </is>
      </c>
      <c r="C554" s="124" t="inlineStr">
        <is>
          <t>N/A</t>
        </is>
      </c>
      <c r="D554" s="118" t="n">
        <v>0.994</v>
      </c>
      <c r="E554" s="118" t="n">
        <v>0.971</v>
      </c>
      <c r="F554" s="118" t="n">
        <v>1.125</v>
      </c>
      <c r="G554" s="118" t="n">
        <v>1.121</v>
      </c>
      <c r="H554" s="118" t="n">
        <v>0.9320000000000001</v>
      </c>
      <c r="I554" s="118" t="n">
        <v>0.988</v>
      </c>
      <c r="J554" s="118" t="n">
        <v>0.011</v>
      </c>
      <c r="K554" s="124" t="inlineStr">
        <is>
          <t>N/A</t>
        </is>
      </c>
      <c r="L554" s="124" t="inlineStr">
        <is>
          <t>N/A</t>
        </is>
      </c>
      <c r="M554" s="120" t="n">
        <v>0.019</v>
      </c>
      <c r="N554" s="124" t="inlineStr">
        <is>
          <t>N/A</t>
        </is>
      </c>
      <c r="O554" s="124" t="inlineStr">
        <is>
          <t>N/A</t>
        </is>
      </c>
      <c r="P554" s="120" t="n">
        <v>0.883</v>
      </c>
      <c r="Q554" s="120" t="n">
        <v>-0.005</v>
      </c>
      <c r="R554" s="117" t="n">
        <v>0</v>
      </c>
      <c r="S554" s="124" t="inlineStr">
        <is>
          <t>N/A</t>
        </is>
      </c>
      <c r="T554" s="124" t="inlineStr">
        <is>
          <t>N/A</t>
        </is>
      </c>
      <c r="U554" s="124" t="inlineStr">
        <is>
          <t>N/A</t>
        </is>
      </c>
      <c r="V554" s="117" t="n">
        <v>1</v>
      </c>
      <c r="W554" s="117" t="n">
        <v>0</v>
      </c>
      <c r="X554" s="117" t="n">
        <v>0</v>
      </c>
      <c r="Y554" s="117" t="n">
        <v>1</v>
      </c>
      <c r="Z554" s="117" t="n">
        <v>1</v>
      </c>
      <c r="AA554" s="117" t="n">
        <v>0</v>
      </c>
      <c r="AB554" s="117" t="n">
        <v>3</v>
      </c>
      <c r="AC554" s="121" t="inlineStr">
        <is>
          <t>⚠ WATCH</t>
        </is>
      </c>
      <c r="AD554" s="118" t="n">
        <v>4290000000</v>
      </c>
      <c r="AE554" s="118" t="n">
        <v>-1344000000</v>
      </c>
      <c r="AF554" s="118" t="n">
        <v>5662000000</v>
      </c>
      <c r="AG554" s="118" t="n">
        <v>0.023</v>
      </c>
      <c r="AH554" s="119" t="inlineStr">
        <is>
          <t>✓ Medium Quality</t>
        </is>
      </c>
      <c r="AI554" s="124" t="inlineStr">
        <is>
          <t>N/A</t>
        </is>
      </c>
      <c r="AJ554" s="120" t="n">
        <v>0.125</v>
      </c>
      <c r="AK554" s="124" t="inlineStr">
        <is>
          <t>N/A</t>
        </is>
      </c>
      <c r="AL554" s="120" t="n">
        <v>0.022</v>
      </c>
      <c r="AM554" s="124" t="inlineStr">
        <is>
          <t>N/A</t>
        </is>
      </c>
      <c r="AN554" s="118" t="n">
        <v>74.3</v>
      </c>
      <c r="AO554" s="119" t="inlineStr">
        <is>
          <t>✓ Good</t>
        </is>
      </c>
      <c r="AP554" s="117" t="n">
        <v>0</v>
      </c>
      <c r="AQ554" s="117" t="n">
        <v>0</v>
      </c>
      <c r="AR554" s="117" t="n">
        <v>0</v>
      </c>
      <c r="AS554" s="117" t="n">
        <v>0</v>
      </c>
      <c r="AT554" s="117" t="n">
        <v>0</v>
      </c>
      <c r="AU554" s="117" t="n">
        <v>1</v>
      </c>
      <c r="AV554" s="117" t="n">
        <v>1</v>
      </c>
      <c r="AW554" s="119" t="inlineStr">
        <is>
          <t>✓ Clean</t>
        </is>
      </c>
      <c r="AX554" s="118" t="n">
        <v>34.6</v>
      </c>
      <c r="AY554" s="119" t="inlineStr">
        <is>
          <t>🟢 LOW RISK</t>
        </is>
      </c>
      <c r="AZ554" s="118" t="n">
        <v>0</v>
      </c>
      <c r="BA554" s="124" t="inlineStr">
        <is>
          <t>N/A</t>
        </is>
      </c>
      <c r="BB554" s="124" t="inlineStr">
        <is>
          <t>N/A</t>
        </is>
      </c>
      <c r="BC554" s="124" t="inlineStr">
        <is>
          <t>N/A</t>
        </is>
      </c>
      <c r="BD554" s="118" t="n">
        <v>126.2</v>
      </c>
      <c r="BE554" s="118" t="n">
        <v>128</v>
      </c>
      <c r="BF554" s="120" t="n">
        <v>0.156</v>
      </c>
      <c r="BG554" s="117" t="n">
        <v>0.883</v>
      </c>
      <c r="BH554" s="122" t="n">
        <v>4</v>
      </c>
      <c r="BI554" s="125" t="n">
        <v>0.6666666666666666</v>
      </c>
    </row>
    <row r="555" ht="17" customHeight="1">
      <c r="A555" s="117" t="inlineStr">
        <is>
          <t>BIIB</t>
        </is>
      </c>
      <c r="B555" s="117" t="inlineStr">
        <is>
          <t>BIOGEN INC.</t>
        </is>
      </c>
      <c r="C555" s="118" t="n">
        <v>0.9350000000000001</v>
      </c>
      <c r="D555" s="118" t="n">
        <v>0.207</v>
      </c>
      <c r="E555" s="118" t="n">
        <v>0.953</v>
      </c>
      <c r="F555" s="118" t="n">
        <v>1.022</v>
      </c>
      <c r="G555" s="118" t="n">
        <v>0.949</v>
      </c>
      <c r="H555" s="118" t="n">
        <v>0.99</v>
      </c>
      <c r="I555" s="118" t="n">
        <v>0.9399999999999999</v>
      </c>
      <c r="J555" s="118" t="n">
        <v>-0.031</v>
      </c>
      <c r="K555" s="118" t="n">
        <v>-3.087</v>
      </c>
      <c r="L555" s="119" t="inlineStr">
        <is>
          <t>✓ Lower Risk</t>
        </is>
      </c>
      <c r="M555" s="120" t="n">
        <v>0.056</v>
      </c>
      <c r="N555" s="120" t="n">
        <v>-0.291</v>
      </c>
      <c r="O555" s="120" t="n">
        <v>-1.362</v>
      </c>
      <c r="P555" s="120" t="n">
        <v>0.797</v>
      </c>
      <c r="Q555" s="120" t="n">
        <v>-0.014</v>
      </c>
      <c r="R555" s="117" t="n">
        <v>1</v>
      </c>
      <c r="S555" s="118" t="n">
        <v>-5.545</v>
      </c>
      <c r="T555" s="118" t="n">
        <v>0.004</v>
      </c>
      <c r="U555" s="119" t="inlineStr">
        <is>
          <t>✓ Normal</t>
        </is>
      </c>
      <c r="V555" s="117" t="n">
        <v>1</v>
      </c>
      <c r="W555" s="117" t="n">
        <v>0</v>
      </c>
      <c r="X555" s="117" t="n">
        <v>0</v>
      </c>
      <c r="Y555" s="117" t="n">
        <v>1</v>
      </c>
      <c r="Z555" s="117" t="n">
        <v>1</v>
      </c>
      <c r="AA555" s="117" t="n">
        <v>0</v>
      </c>
      <c r="AB555" s="117" t="n">
        <v>3</v>
      </c>
      <c r="AC555" s="121" t="inlineStr">
        <is>
          <t>⚠ WATCH</t>
        </is>
      </c>
      <c r="AD555" s="118" t="n">
        <v>2204600000</v>
      </c>
      <c r="AE555" s="118" t="n">
        <v>-1371100000</v>
      </c>
      <c r="AF555" s="118" t="n">
        <v>1292900000</v>
      </c>
      <c r="AG555" s="118" t="n">
        <v>0.016</v>
      </c>
      <c r="AH555" s="119" t="inlineStr">
        <is>
          <t>✓ Medium Quality</t>
        </is>
      </c>
      <c r="AI555" s="118" t="n">
        <v>-0.044</v>
      </c>
      <c r="AJ555" s="120" t="n">
        <v>0.022</v>
      </c>
      <c r="AK555" s="120" t="n">
        <v>-2.002</v>
      </c>
      <c r="AL555" s="120" t="n">
        <v>0.223</v>
      </c>
      <c r="AM555" s="120" t="n">
        <v>-0.007</v>
      </c>
      <c r="AN555" s="118" t="n">
        <v>99.7</v>
      </c>
      <c r="AO555" s="119" t="inlineStr">
        <is>
          <t>✓ Good</t>
        </is>
      </c>
      <c r="AP555" s="117" t="n">
        <v>0</v>
      </c>
      <c r="AQ555" s="117" t="n">
        <v>0</v>
      </c>
      <c r="AR555" s="117" t="n">
        <v>0</v>
      </c>
      <c r="AS555" s="117" t="n">
        <v>0</v>
      </c>
      <c r="AT555" s="117" t="n">
        <v>1</v>
      </c>
      <c r="AU555" s="117" t="n">
        <v>0</v>
      </c>
      <c r="AV555" s="117" t="n">
        <v>1</v>
      </c>
      <c r="AW555" s="119" t="inlineStr">
        <is>
          <t>✓ Clean</t>
        </is>
      </c>
      <c r="AX555" s="118" t="n">
        <v>17</v>
      </c>
      <c r="AY555" s="119" t="inlineStr">
        <is>
          <t>🟢 VERY LOW RISK</t>
        </is>
      </c>
      <c r="AZ555" s="118" t="n">
        <v>49.5</v>
      </c>
      <c r="BA555" s="118" t="n">
        <v>53</v>
      </c>
      <c r="BB555" s="118" t="n">
        <v>329.2</v>
      </c>
      <c r="BC555" s="118" t="n">
        <v>388.7</v>
      </c>
      <c r="BD555" s="118" t="n">
        <v>65.59999999999999</v>
      </c>
      <c r="BE555" s="118" t="n">
        <v>67</v>
      </c>
      <c r="BF555" s="120" t="n">
        <v>0.169</v>
      </c>
      <c r="BG555" s="117" t="n">
        <v>0.797</v>
      </c>
      <c r="BH555" s="122" t="n">
        <v>5</v>
      </c>
      <c r="BI555" s="123" t="n">
        <v>1</v>
      </c>
    </row>
    <row r="556" ht="17" customHeight="1">
      <c r="A556" s="117" t="inlineStr">
        <is>
          <t>FAF</t>
        </is>
      </c>
      <c r="B556" s="117" t="inlineStr">
        <is>
          <t>FIRST AMERICAN FINANCIAL CORPORATION</t>
        </is>
      </c>
      <c r="C556" s="124" t="inlineStr">
        <is>
          <t>N/A</t>
        </is>
      </c>
      <c r="D556" s="118" t="n">
        <v>1</v>
      </c>
      <c r="E556" s="118" t="n">
        <v>1.008</v>
      </c>
      <c r="F556" s="118" t="n">
        <v>1.216</v>
      </c>
      <c r="G556" s="118" t="n">
        <v>0.905</v>
      </c>
      <c r="H556" s="124" t="inlineStr">
        <is>
          <t>N/A</t>
        </is>
      </c>
      <c r="I556" s="118" t="n">
        <v>0.985</v>
      </c>
      <c r="J556" s="118" t="n">
        <v>-0.02</v>
      </c>
      <c r="K556" s="124" t="inlineStr">
        <is>
          <t>N/A</t>
        </is>
      </c>
      <c r="L556" s="124" t="inlineStr">
        <is>
          <t>N/A</t>
        </is>
      </c>
      <c r="M556" s="124" t="inlineStr">
        <is>
          <t>N/A</t>
        </is>
      </c>
      <c r="N556" s="124" t="inlineStr">
        <is>
          <t>N/A</t>
        </is>
      </c>
      <c r="O556" s="124" t="inlineStr">
        <is>
          <t>N/A</t>
        </is>
      </c>
      <c r="P556" s="120" t="n">
        <v>0.872</v>
      </c>
      <c r="Q556" s="120" t="n">
        <v>0.03</v>
      </c>
      <c r="R556" s="117" t="n">
        <v>0</v>
      </c>
      <c r="S556" s="124" t="inlineStr">
        <is>
          <t>N/A</t>
        </is>
      </c>
      <c r="T556" s="124" t="inlineStr">
        <is>
          <t>N/A</t>
        </is>
      </c>
      <c r="U556" s="124" t="inlineStr">
        <is>
          <t>N/A</t>
        </is>
      </c>
      <c r="V556" s="117" t="n">
        <v>1</v>
      </c>
      <c r="W556" s="117" t="n">
        <v>0</v>
      </c>
      <c r="X556" s="117" t="n">
        <v>0</v>
      </c>
      <c r="Y556" s="117" t="n">
        <v>0</v>
      </c>
      <c r="Z556" s="117" t="n">
        <v>1</v>
      </c>
      <c r="AA556" s="117" t="n">
        <v>0</v>
      </c>
      <c r="AB556" s="117" t="n">
        <v>2</v>
      </c>
      <c r="AC556" s="121" t="inlineStr">
        <is>
          <t>⚠ WATCH</t>
        </is>
      </c>
      <c r="AD556" s="118" t="n">
        <v>950800000</v>
      </c>
      <c r="AE556" s="118" t="n">
        <v>-1455900000</v>
      </c>
      <c r="AF556" s="118" t="n">
        <v>621800000</v>
      </c>
      <c r="AG556" s="118" t="n">
        <v>0.07199999999999999</v>
      </c>
      <c r="AH556" s="119" t="inlineStr">
        <is>
          <t>✓ Medium Quality</t>
        </is>
      </c>
      <c r="AI556" s="124" t="inlineStr">
        <is>
          <t>N/A</t>
        </is>
      </c>
      <c r="AJ556" s="120" t="n">
        <v>0.216</v>
      </c>
      <c r="AK556" s="124" t="inlineStr">
        <is>
          <t>N/A</t>
        </is>
      </c>
      <c r="AL556" s="120" t="n">
        <v>0.128</v>
      </c>
      <c r="AM556" s="120" t="n">
        <v>0</v>
      </c>
      <c r="AN556" s="118" t="n">
        <v>95.5</v>
      </c>
      <c r="AO556" s="119" t="inlineStr">
        <is>
          <t>✓ Good</t>
        </is>
      </c>
      <c r="AP556" s="117" t="n">
        <v>0</v>
      </c>
      <c r="AQ556" s="117" t="n">
        <v>0</v>
      </c>
      <c r="AR556" s="117" t="n">
        <v>1</v>
      </c>
      <c r="AS556" s="117" t="n">
        <v>0</v>
      </c>
      <c r="AT556" s="117" t="n">
        <v>0</v>
      </c>
      <c r="AU556" s="117" t="n">
        <v>0</v>
      </c>
      <c r="AV556" s="117" t="n">
        <v>1</v>
      </c>
      <c r="AW556" s="119" t="inlineStr">
        <is>
          <t>✓ Clean</t>
        </is>
      </c>
      <c r="AX556" s="118" t="n">
        <v>31.2</v>
      </c>
      <c r="AY556" s="119" t="inlineStr">
        <is>
          <t>🟢 LOW RISK</t>
        </is>
      </c>
      <c r="AZ556" s="118" t="n">
        <v>0</v>
      </c>
      <c r="BA556" s="124" t="inlineStr">
        <is>
          <t>N/A</t>
        </is>
      </c>
      <c r="BB556" s="124" t="inlineStr">
        <is>
          <t>N/A</t>
        </is>
      </c>
      <c r="BC556" s="124" t="inlineStr">
        <is>
          <t>N/A</t>
        </is>
      </c>
      <c r="BD556" s="124" t="inlineStr">
        <is>
          <t>N/A</t>
        </is>
      </c>
      <c r="BE556" s="124" t="inlineStr">
        <is>
          <t>N/A</t>
        </is>
      </c>
      <c r="BF556" s="120" t="n">
        <v>0.243</v>
      </c>
      <c r="BG556" s="117" t="n">
        <v>0.872</v>
      </c>
      <c r="BH556" s="122" t="n">
        <v>3</v>
      </c>
      <c r="BI556" s="125" t="n">
        <v>0.6666666666666666</v>
      </c>
    </row>
    <row r="557" ht="17" customHeight="1">
      <c r="A557" s="117" t="inlineStr">
        <is>
          <t>AVGO</t>
        </is>
      </c>
      <c r="B557" s="117" t="inlineStr">
        <is>
          <t>Broadcom Inc.</t>
        </is>
      </c>
      <c r="C557" s="118" t="n">
        <v>0.423</v>
      </c>
      <c r="D557" s="118" t="n">
        <v>2.876</v>
      </c>
      <c r="E557" s="118" t="n">
        <v>0.924</v>
      </c>
      <c r="F557" s="118" t="n">
        <v>3.83</v>
      </c>
      <c r="G557" s="118" t="n">
        <v>1.03</v>
      </c>
      <c r="H557" s="118" t="n">
        <v>0.222</v>
      </c>
      <c r="I557" s="118" t="n">
        <v>0.887</v>
      </c>
      <c r="J557" s="118" t="n">
        <v>-0.126</v>
      </c>
      <c r="K557" s="118" t="n">
        <v>0.054</v>
      </c>
      <c r="L557" s="121" t="inlineStr">
        <is>
          <t>⚠ MANIPULATOR RISK</t>
        </is>
      </c>
      <c r="M557" s="120" t="n">
        <v>0.016</v>
      </c>
      <c r="N557" s="120" t="n">
        <v>0.177</v>
      </c>
      <c r="O557" s="120" t="n">
        <v>0.033</v>
      </c>
      <c r="P557" s="120" t="n">
        <v>0.891</v>
      </c>
      <c r="Q557" s="120" t="n">
        <v>-0.051</v>
      </c>
      <c r="R557" s="117" t="n">
        <v>1</v>
      </c>
      <c r="S557" s="118" t="n">
        <v>-2.536</v>
      </c>
      <c r="T557" s="118" t="n">
        <v>0.073</v>
      </c>
      <c r="U557" s="121" t="inlineStr">
        <is>
          <t>⚠ HIGH RISK</t>
        </is>
      </c>
      <c r="V557" s="117" t="n">
        <v>1</v>
      </c>
      <c r="W557" s="117" t="n">
        <v>0</v>
      </c>
      <c r="X557" s="117" t="n">
        <v>0</v>
      </c>
      <c r="Y557" s="117" t="n">
        <v>1</v>
      </c>
      <c r="Z557" s="117" t="n">
        <v>1</v>
      </c>
      <c r="AA557" s="117" t="n">
        <v>0</v>
      </c>
      <c r="AB557" s="117" t="n">
        <v>3</v>
      </c>
      <c r="AC557" s="121" t="inlineStr">
        <is>
          <t>⚠ WATCH</t>
        </is>
      </c>
      <c r="AD557" s="118" t="n">
        <v>27537000000</v>
      </c>
      <c r="AE557" s="118" t="n">
        <v>-580000000</v>
      </c>
      <c r="AF557" s="118" t="n">
        <v>5895000000</v>
      </c>
      <c r="AG557" s="118" t="n">
        <v>-0.125</v>
      </c>
      <c r="AH557" s="119" t="inlineStr">
        <is>
          <t>✓ High Quality</t>
        </is>
      </c>
      <c r="AI557" s="118" t="n">
        <v>0.618</v>
      </c>
      <c r="AJ557" s="120" t="n">
        <v>2.83</v>
      </c>
      <c r="AK557" s="120" t="n">
        <v>0.218</v>
      </c>
      <c r="AL557" s="120" t="n">
        <v>1.321</v>
      </c>
      <c r="AM557" s="120" t="n">
        <v>0.005</v>
      </c>
      <c r="AN557" s="117" t="n">
        <v>100</v>
      </c>
      <c r="AO557" s="119" t="inlineStr">
        <is>
          <t>✓ Good</t>
        </is>
      </c>
      <c r="AP557" s="117" t="n">
        <v>0</v>
      </c>
      <c r="AQ557" s="117" t="n">
        <v>0</v>
      </c>
      <c r="AR557" s="117" t="n">
        <v>1</v>
      </c>
      <c r="AS557" s="117" t="n">
        <v>0</v>
      </c>
      <c r="AT557" s="117" t="n">
        <v>1</v>
      </c>
      <c r="AU557" s="117" t="n">
        <v>1</v>
      </c>
      <c r="AV557" s="117" t="n">
        <v>3</v>
      </c>
      <c r="AW557" s="121" t="inlineStr">
        <is>
          <t>⚠ WATCH</t>
        </is>
      </c>
      <c r="AX557" s="118" t="n">
        <v>40.7</v>
      </c>
      <c r="AY557" s="121" t="inlineStr">
        <is>
          <t>🟡 ELEVATED RISK</t>
        </is>
      </c>
      <c r="AZ557" s="118" t="n">
        <v>125.1</v>
      </c>
      <c r="BA557" s="118" t="n">
        <v>296.1</v>
      </c>
      <c r="BB557" s="118" t="n">
        <v>81.90000000000001</v>
      </c>
      <c r="BC557" s="118" t="n">
        <v>70.40000000000001</v>
      </c>
      <c r="BD557" s="118" t="n">
        <v>56.3</v>
      </c>
      <c r="BE557" s="118" t="n">
        <v>66.5</v>
      </c>
      <c r="BF557" s="120" t="n">
        <v>-0.017</v>
      </c>
      <c r="BG557" s="117" t="n">
        <v>0.891</v>
      </c>
      <c r="BH557" s="122" t="n">
        <v>7</v>
      </c>
      <c r="BI557" s="123" t="n">
        <v>1</v>
      </c>
    </row>
    <row r="558" ht="17" customHeight="1">
      <c r="A558" s="126" t="inlineStr">
        <is>
          <t>FITB</t>
        </is>
      </c>
      <c r="B558" s="126" t="inlineStr">
        <is>
          <t>Fifth Third Bancorp</t>
        </is>
      </c>
      <c r="C558" s="124" t="inlineStr">
        <is>
          <t>N/A</t>
        </is>
      </c>
      <c r="D558" s="124" t="inlineStr">
        <is>
          <t>N/A</t>
        </is>
      </c>
      <c r="E558" s="127" t="n">
        <v>0.999</v>
      </c>
      <c r="F558" s="127" t="n">
        <v>0.98</v>
      </c>
      <c r="G558" s="127" t="n">
        <v>1.365</v>
      </c>
      <c r="H558" s="124" t="inlineStr">
        <is>
          <t>N/A</t>
        </is>
      </c>
      <c r="I558" s="127" t="n">
        <v>0.99</v>
      </c>
      <c r="J558" s="127" t="n">
        <v>-0.008999999999999999</v>
      </c>
      <c r="K558" s="124" t="inlineStr">
        <is>
          <t>N/A</t>
        </is>
      </c>
      <c r="L558" s="124" t="inlineStr">
        <is>
          <t>N/A</t>
        </is>
      </c>
      <c r="M558" s="124" t="inlineStr">
        <is>
          <t>N/A</t>
        </is>
      </c>
      <c r="N558" s="124" t="inlineStr">
        <is>
          <t>N/A</t>
        </is>
      </c>
      <c r="O558" s="124" t="inlineStr">
        <is>
          <t>N/A</t>
        </is>
      </c>
      <c r="P558" s="128" t="n">
        <v>0.987</v>
      </c>
      <c r="Q558" s="128" t="n">
        <v>0.001</v>
      </c>
      <c r="R558" s="126" t="n">
        <v>0</v>
      </c>
      <c r="S558" s="124" t="inlineStr">
        <is>
          <t>N/A</t>
        </is>
      </c>
      <c r="T558" s="124" t="inlineStr">
        <is>
          <t>N/A</t>
        </is>
      </c>
      <c r="U558" s="124" t="inlineStr">
        <is>
          <t>N/A</t>
        </is>
      </c>
      <c r="V558" s="126" t="n">
        <v>0</v>
      </c>
      <c r="W558" s="126" t="n">
        <v>0</v>
      </c>
      <c r="X558" s="126" t="n">
        <v>0</v>
      </c>
      <c r="Y558" s="126" t="n">
        <v>0</v>
      </c>
      <c r="Z558" s="126" t="n">
        <v>1</v>
      </c>
      <c r="AA558" s="126" t="n">
        <v>0</v>
      </c>
      <c r="AB558" s="126" t="n">
        <v>1</v>
      </c>
      <c r="AC558" s="119" t="inlineStr">
        <is>
          <t>✓ Clean</t>
        </is>
      </c>
      <c r="AD558" s="127" t="n">
        <v>4514000000</v>
      </c>
      <c r="AE558" s="127" t="n">
        <v>-1846000000</v>
      </c>
      <c r="AF558" s="127" t="n">
        <v>2522000000</v>
      </c>
      <c r="AG558" s="127" t="n">
        <v>-0.001</v>
      </c>
      <c r="AH558" s="119" t="inlineStr">
        <is>
          <t>✓ Medium Quality</t>
        </is>
      </c>
      <c r="AI558" s="124" t="inlineStr">
        <is>
          <t>N/A</t>
        </is>
      </c>
      <c r="AJ558" s="128" t="n">
        <v>-0.02</v>
      </c>
      <c r="AK558" s="124" t="inlineStr">
        <is>
          <t>N/A</t>
        </is>
      </c>
      <c r="AL558" s="128" t="n">
        <v>7.823</v>
      </c>
      <c r="AM558" s="124" t="inlineStr">
        <is>
          <t>N/A</t>
        </is>
      </c>
      <c r="AN558" s="126" t="n">
        <v>100</v>
      </c>
      <c r="AO558" s="119" t="inlineStr">
        <is>
          <t>✓ Good</t>
        </is>
      </c>
      <c r="AP558" s="126" t="n">
        <v>0</v>
      </c>
      <c r="AQ558" s="126" t="n">
        <v>0</v>
      </c>
      <c r="AR558" s="126" t="n">
        <v>0</v>
      </c>
      <c r="AS558" s="126" t="n">
        <v>0</v>
      </c>
      <c r="AT558" s="126" t="n">
        <v>0</v>
      </c>
      <c r="AU558" s="126" t="n">
        <v>0</v>
      </c>
      <c r="AV558" s="126" t="n">
        <v>0</v>
      </c>
      <c r="AW558" s="119" t="inlineStr">
        <is>
          <t>✓ Clean</t>
        </is>
      </c>
      <c r="AX558" s="127" t="n">
        <v>25.4</v>
      </c>
      <c r="AY558" s="119" t="inlineStr">
        <is>
          <t>🟢 LOW RISK</t>
        </is>
      </c>
      <c r="AZ558" s="127" t="n">
        <v>0</v>
      </c>
      <c r="BA558" s="124" t="inlineStr">
        <is>
          <t>N/A</t>
        </is>
      </c>
      <c r="BB558" s="124" t="inlineStr">
        <is>
          <t>N/A</t>
        </is>
      </c>
      <c r="BC558" s="124" t="inlineStr">
        <is>
          <t>N/A</t>
        </is>
      </c>
      <c r="BD558" s="124" t="inlineStr">
        <is>
          <t>N/A</t>
        </is>
      </c>
      <c r="BE558" s="124" t="inlineStr">
        <is>
          <t>N/A</t>
        </is>
      </c>
      <c r="BF558" s="128" t="n">
        <v>0.215</v>
      </c>
      <c r="BG558" s="126" t="n">
        <v>0.987</v>
      </c>
      <c r="BH558" s="126" t="n">
        <v>1</v>
      </c>
      <c r="BI558" s="125" t="n">
        <v>0.6666666666666666</v>
      </c>
    </row>
    <row r="559" ht="17" customHeight="1">
      <c r="A559" s="117" t="inlineStr">
        <is>
          <t>FOLD</t>
        </is>
      </c>
      <c r="B559" s="117" t="inlineStr">
        <is>
          <t>AMICUS THERAPEUTICS, INC.</t>
        </is>
      </c>
      <c r="C559" s="118" t="n">
        <v>0.95</v>
      </c>
      <c r="D559" s="118" t="n">
        <v>1.017</v>
      </c>
      <c r="E559" s="118" t="n">
        <v>0.8120000000000001</v>
      </c>
      <c r="F559" s="118" t="n">
        <v>1.2</v>
      </c>
      <c r="G559" s="118" t="n">
        <v>1.242</v>
      </c>
      <c r="H559" s="118" t="n">
        <v>0.988</v>
      </c>
      <c r="I559" s="118" t="n">
        <v>0.945</v>
      </c>
      <c r="J559" s="118" t="n">
        <v>-0.063</v>
      </c>
      <c r="K559" s="118" t="n">
        <v>-2.663</v>
      </c>
      <c r="L559" s="119" t="inlineStr">
        <is>
          <t>✓ Lower Risk</t>
        </is>
      </c>
      <c r="M559" s="120" t="n">
        <v>0.08</v>
      </c>
      <c r="N559" s="120" t="n">
        <v>0.134</v>
      </c>
      <c r="O559" s="120" t="n">
        <v>1.039</v>
      </c>
      <c r="P559" s="120" t="n">
        <v>0.746</v>
      </c>
      <c r="Q559" s="120" t="n">
        <v>0.043</v>
      </c>
      <c r="R559" s="117" t="n">
        <v>1</v>
      </c>
      <c r="S559" s="118" t="n">
        <v>-1.723</v>
      </c>
      <c r="T559" s="118" t="n">
        <v>0.151</v>
      </c>
      <c r="U559" s="121" t="inlineStr">
        <is>
          <t>⚠ HIGH RISK</t>
        </is>
      </c>
      <c r="V559" s="117" t="n">
        <v>0</v>
      </c>
      <c r="W559" s="117" t="n">
        <v>0</v>
      </c>
      <c r="X559" s="117" t="n">
        <v>1</v>
      </c>
      <c r="Y559" s="117" t="n">
        <v>0</v>
      </c>
      <c r="Z559" s="117" t="n">
        <v>1</v>
      </c>
      <c r="AA559" s="117" t="n">
        <v>1</v>
      </c>
      <c r="AB559" s="117" t="n">
        <v>3</v>
      </c>
      <c r="AC559" s="121" t="inlineStr">
        <is>
          <t>⚠ WATCH</t>
        </is>
      </c>
      <c r="AD559" s="118" t="n">
        <v>33145000</v>
      </c>
      <c r="AE559" s="118" t="n">
        <v>-46432000</v>
      </c>
      <c r="AF559" s="118" t="n">
        <v>-27110000</v>
      </c>
      <c r="AG559" s="118" t="n">
        <v>-0.016</v>
      </c>
      <c r="AH559" s="119" t="inlineStr">
        <is>
          <t>✓ Medium Quality</t>
        </is>
      </c>
      <c r="AI559" s="118" t="n">
        <v>0.141</v>
      </c>
      <c r="AJ559" s="120" t="n">
        <v>0.2</v>
      </c>
      <c r="AK559" s="120" t="n">
        <v>0.701</v>
      </c>
      <c r="AL559" s="120" t="n">
        <v>0.052</v>
      </c>
      <c r="AM559" s="120" t="n">
        <v>0.003</v>
      </c>
      <c r="AN559" s="118" t="n">
        <v>80.59999999999999</v>
      </c>
      <c r="AO559" s="119" t="inlineStr">
        <is>
          <t>✓ Good</t>
        </is>
      </c>
      <c r="AP559" s="117" t="n">
        <v>1</v>
      </c>
      <c r="AQ559" s="117" t="n">
        <v>0</v>
      </c>
      <c r="AR559" s="117" t="n">
        <v>1</v>
      </c>
      <c r="AS559" s="117" t="n">
        <v>0</v>
      </c>
      <c r="AT559" s="117" t="n">
        <v>1</v>
      </c>
      <c r="AU559" s="117" t="n">
        <v>0</v>
      </c>
      <c r="AV559" s="117" t="n">
        <v>3</v>
      </c>
      <c r="AW559" s="121" t="inlineStr">
        <is>
          <t>⚠ WATCH</t>
        </is>
      </c>
      <c r="AX559" s="118" t="n">
        <v>43</v>
      </c>
      <c r="AY559" s="121" t="inlineStr">
        <is>
          <t>🟡 ELEVATED RISK</t>
        </is>
      </c>
      <c r="AZ559" s="118" t="n">
        <v>66.40000000000001</v>
      </c>
      <c r="BA559" s="118" t="n">
        <v>69.8</v>
      </c>
      <c r="BB559" s="118" t="n">
        <v>1145.2</v>
      </c>
      <c r="BC559" s="118" t="n">
        <v>818.9</v>
      </c>
      <c r="BD559" s="118" t="n">
        <v>143.3</v>
      </c>
      <c r="BE559" s="118" t="n">
        <v>89.3</v>
      </c>
      <c r="BF559" s="120" t="n">
        <v>142.937</v>
      </c>
      <c r="BG559" s="117" t="n">
        <v>0.746</v>
      </c>
      <c r="BH559" s="122" t="n">
        <v>7</v>
      </c>
      <c r="BI559" s="123" t="n">
        <v>1</v>
      </c>
    </row>
    <row r="560" ht="17" customHeight="1">
      <c r="A560" s="117" t="inlineStr">
        <is>
          <t>TSN</t>
        </is>
      </c>
      <c r="B560" s="117" t="inlineStr">
        <is>
          <t>TYSON FOODS, INC.</t>
        </is>
      </c>
      <c r="C560" s="118" t="n">
        <v>1.027</v>
      </c>
      <c r="D560" s="118" t="n">
        <v>1.04</v>
      </c>
      <c r="E560" s="118" t="n">
        <v>0.991</v>
      </c>
      <c r="F560" s="118" t="n">
        <v>1.021</v>
      </c>
      <c r="G560" s="118" t="n">
        <v>1.002</v>
      </c>
      <c r="H560" s="118" t="n">
        <v>0.9360000000000001</v>
      </c>
      <c r="I560" s="118" t="n">
        <v>1</v>
      </c>
      <c r="J560" s="118" t="n">
        <v>-0.046</v>
      </c>
      <c r="K560" s="118" t="n">
        <v>-2.622</v>
      </c>
      <c r="L560" s="119" t="inlineStr">
        <is>
          <t>✓ Lower Risk</t>
        </is>
      </c>
      <c r="M560" s="120" t="n">
        <v>-0.063</v>
      </c>
      <c r="N560" s="120" t="n">
        <v>0.104</v>
      </c>
      <c r="O560" s="120" t="n">
        <v>0.429</v>
      </c>
      <c r="P560" s="120" t="n">
        <v>0.715</v>
      </c>
      <c r="Q560" s="120" t="n">
        <v>-0.008999999999999999</v>
      </c>
      <c r="R560" s="117" t="n">
        <v>0</v>
      </c>
      <c r="S560" s="118" t="n">
        <v>-5.749</v>
      </c>
      <c r="T560" s="118" t="n">
        <v>0.003</v>
      </c>
      <c r="U560" s="119" t="inlineStr">
        <is>
          <t>✓ Normal</t>
        </is>
      </c>
      <c r="V560" s="117" t="n">
        <v>1</v>
      </c>
      <c r="W560" s="117" t="n">
        <v>1</v>
      </c>
      <c r="X560" s="117" t="n">
        <v>1</v>
      </c>
      <c r="Y560" s="117" t="n">
        <v>0</v>
      </c>
      <c r="Z560" s="117" t="n">
        <v>1</v>
      </c>
      <c r="AA560" s="117" t="n">
        <v>0</v>
      </c>
      <c r="AB560" s="117" t="n">
        <v>4</v>
      </c>
      <c r="AC560" s="121" t="inlineStr">
        <is>
          <t>⚠⚠ SERIOUS CONCERN</t>
        </is>
      </c>
      <c r="AD560" s="118" t="n">
        <v>2155000000</v>
      </c>
      <c r="AE560" s="118" t="n">
        <v>-665000000</v>
      </c>
      <c r="AF560" s="118" t="n">
        <v>474000000</v>
      </c>
      <c r="AG560" s="118" t="n">
        <v>-0.028</v>
      </c>
      <c r="AH560" s="119" t="inlineStr">
        <is>
          <t>✓ Medium Quality</t>
        </is>
      </c>
      <c r="AI560" s="118" t="n">
        <v>0.049</v>
      </c>
      <c r="AJ560" s="120" t="n">
        <v>0.021</v>
      </c>
      <c r="AK560" s="120" t="n">
        <v>2.31</v>
      </c>
      <c r="AL560" s="120" t="n">
        <v>0.04</v>
      </c>
      <c r="AM560" s="124" t="inlineStr">
        <is>
          <t>N/A</t>
        </is>
      </c>
      <c r="AN560" s="118" t="n">
        <v>47.9</v>
      </c>
      <c r="AO560" s="121" t="inlineStr">
        <is>
          <t>⚠ WATCH</t>
        </is>
      </c>
      <c r="AP560" s="117" t="n">
        <v>0</v>
      </c>
      <c r="AQ560" s="117" t="n">
        <v>0</v>
      </c>
      <c r="AR560" s="117" t="n">
        <v>1</v>
      </c>
      <c r="AS560" s="117" t="n">
        <v>0</v>
      </c>
      <c r="AT560" s="117" t="n">
        <v>1</v>
      </c>
      <c r="AU560" s="117" t="n">
        <v>0</v>
      </c>
      <c r="AV560" s="117" t="n">
        <v>2</v>
      </c>
      <c r="AW560" s="121" t="inlineStr">
        <is>
          <t>⚠ WATCH</t>
        </is>
      </c>
      <c r="AX560" s="118" t="n">
        <v>25.3</v>
      </c>
      <c r="AY560" s="119" t="inlineStr">
        <is>
          <t>🟢 LOW RISK</t>
        </is>
      </c>
      <c r="AZ560" s="118" t="n">
        <v>16.9</v>
      </c>
      <c r="BA560" s="118" t="n">
        <v>16.5</v>
      </c>
      <c r="BB560" s="118" t="n">
        <v>40.8</v>
      </c>
      <c r="BC560" s="118" t="n">
        <v>38.2</v>
      </c>
      <c r="BD560" s="118" t="n">
        <v>18.7</v>
      </c>
      <c r="BE560" s="118" t="n">
        <v>17.6</v>
      </c>
      <c r="BF560" s="120" t="n">
        <v>0.341</v>
      </c>
      <c r="BG560" s="117" t="n">
        <v>0.715</v>
      </c>
      <c r="BH560" s="122" t="n">
        <v>6</v>
      </c>
      <c r="BI560" s="123" t="n">
        <v>1</v>
      </c>
    </row>
    <row r="561" ht="17" customHeight="1">
      <c r="A561" s="117" t="inlineStr">
        <is>
          <t>CRDO</t>
        </is>
      </c>
      <c r="B561" s="117" t="inlineStr">
        <is>
          <t>CREDO TECHNOLOGY GROUP HOLDING LTD</t>
        </is>
      </c>
      <c r="C561" s="118" t="n">
        <v>0.471</v>
      </c>
      <c r="D561" s="118" t="n">
        <v>0.952</v>
      </c>
      <c r="E561" s="118" t="n">
        <v>2.119</v>
      </c>
      <c r="F561" s="118" t="n">
        <v>3.057</v>
      </c>
      <c r="G561" s="118" t="n">
        <v>1.008</v>
      </c>
      <c r="H561" s="118" t="n">
        <v>0.608</v>
      </c>
      <c r="I561" s="118" t="n">
        <v>0.641</v>
      </c>
      <c r="J561" s="118" t="n">
        <v>0.003</v>
      </c>
      <c r="K561" s="118" t="n">
        <v>-0.503</v>
      </c>
      <c r="L561" s="121" t="inlineStr">
        <is>
          <t>⚠ MANIPULATOR RISK</t>
        </is>
      </c>
      <c r="M561" s="120" t="n">
        <v>0.102</v>
      </c>
      <c r="N561" s="120" t="n">
        <v>0.079</v>
      </c>
      <c r="O561" s="120" t="n">
        <v>0.179</v>
      </c>
      <c r="P561" s="120" t="n">
        <v>0.448</v>
      </c>
      <c r="Q561" s="120" t="n">
        <v>0.141</v>
      </c>
      <c r="R561" s="117" t="n">
        <v>1</v>
      </c>
      <c r="S561" s="118" t="n">
        <v>-3.5</v>
      </c>
      <c r="T561" s="118" t="n">
        <v>0.029</v>
      </c>
      <c r="U561" s="119" t="inlineStr">
        <is>
          <t>✓ Normal</t>
        </is>
      </c>
      <c r="V561" s="117" t="n">
        <v>1</v>
      </c>
      <c r="W561" s="117" t="n">
        <v>0</v>
      </c>
      <c r="X561" s="117" t="n">
        <v>0</v>
      </c>
      <c r="Y561" s="117" t="n">
        <v>1</v>
      </c>
      <c r="Z561" s="117" t="n">
        <v>1</v>
      </c>
      <c r="AA561" s="117" t="n">
        <v>1</v>
      </c>
      <c r="AB561" s="117" t="n">
        <v>4</v>
      </c>
      <c r="AC561" s="121" t="inlineStr">
        <is>
          <t>⚠⚠ SERIOUS CONCERN</t>
        </is>
      </c>
      <c r="AD561" s="118" t="n">
        <v>464292000</v>
      </c>
      <c r="AE561" s="118" t="n">
        <v>-253528000</v>
      </c>
      <c r="AF561" s="118" t="n">
        <v>472279000</v>
      </c>
      <c r="AG561" s="118" t="n">
        <v>0.168</v>
      </c>
      <c r="AH561" s="117" t="inlineStr">
        <is>
          <t>⚠ Low Quality</t>
        </is>
      </c>
      <c r="AI561" s="118" t="n">
        <v>0.439</v>
      </c>
      <c r="AJ561" s="120" t="n">
        <v>2.057</v>
      </c>
      <c r="AK561" s="120" t="n">
        <v>0.214</v>
      </c>
      <c r="AL561" s="120" t="n">
        <v>0.348</v>
      </c>
      <c r="AM561" s="120" t="n">
        <v>-0</v>
      </c>
      <c r="AN561" s="117" t="n">
        <v>100</v>
      </c>
      <c r="AO561" s="119" t="inlineStr">
        <is>
          <t>✓ Good</t>
        </is>
      </c>
      <c r="AP561" s="117" t="n">
        <v>0</v>
      </c>
      <c r="AQ561" s="117" t="n">
        <v>0</v>
      </c>
      <c r="AR561" s="117" t="n">
        <v>0</v>
      </c>
      <c r="AS561" s="117" t="n">
        <v>0</v>
      </c>
      <c r="AT561" s="117" t="n">
        <v>1</v>
      </c>
      <c r="AU561" s="117" t="n">
        <v>1</v>
      </c>
      <c r="AV561" s="117" t="n">
        <v>2</v>
      </c>
      <c r="AW561" s="121" t="inlineStr">
        <is>
          <t>⚠ WATCH</t>
        </is>
      </c>
      <c r="AX561" s="118" t="n">
        <v>35.8</v>
      </c>
      <c r="AY561" s="119" t="inlineStr">
        <is>
          <t>🟢 LOW RISK</t>
        </is>
      </c>
      <c r="AZ561" s="118" t="n">
        <v>63.8</v>
      </c>
      <c r="BA561" s="118" t="n">
        <v>135.5</v>
      </c>
      <c r="BB561" s="118" t="n">
        <v>214.5</v>
      </c>
      <c r="BC561" s="118" t="n">
        <v>213.6</v>
      </c>
      <c r="BD561" s="118" t="n">
        <v>91.8</v>
      </c>
      <c r="BE561" s="118" t="n">
        <v>133.2</v>
      </c>
      <c r="BF561" s="120" t="n">
        <v>0.007</v>
      </c>
      <c r="BG561" s="117" t="n">
        <v>0.448</v>
      </c>
      <c r="BH561" s="122" t="n">
        <v>7</v>
      </c>
      <c r="BI561" s="123" t="n">
        <v>1</v>
      </c>
    </row>
    <row r="562" ht="17" customHeight="1">
      <c r="A562" s="117" t="inlineStr">
        <is>
          <t>LSCC</t>
        </is>
      </c>
      <c r="B562" s="117" t="inlineStr">
        <is>
          <t>Lattice Semiconductor Corp</t>
        </is>
      </c>
      <c r="C562" s="118" t="n">
        <v>1.396</v>
      </c>
      <c r="D562" s="118" t="n">
        <v>0.862</v>
      </c>
      <c r="E562" s="118" t="n">
        <v>0.992</v>
      </c>
      <c r="F562" s="118" t="n">
        <v>0.904</v>
      </c>
      <c r="G562" s="118" t="n">
        <v>1.417</v>
      </c>
      <c r="H562" s="118" t="n">
        <v>1.454</v>
      </c>
      <c r="I562" s="118" t="n">
        <v>1.215</v>
      </c>
      <c r="J562" s="118" t="n">
        <v>-0.195</v>
      </c>
      <c r="K562" s="118" t="n">
        <v>-3.289</v>
      </c>
      <c r="L562" s="119" t="inlineStr">
        <is>
          <t>✓ Lower Risk</t>
        </is>
      </c>
      <c r="M562" s="120" t="n">
        <v>-0.056</v>
      </c>
      <c r="N562" s="120" t="n">
        <v>0.516</v>
      </c>
      <c r="O562" s="120" t="n">
        <v>-0.346</v>
      </c>
      <c r="P562" s="120" t="n">
        <v>0.761</v>
      </c>
      <c r="Q562" s="120" t="n">
        <v>-0.06900000000000001</v>
      </c>
      <c r="R562" s="117" t="n">
        <v>0</v>
      </c>
      <c r="S562" s="118" t="n">
        <v>-5.513</v>
      </c>
      <c r="T562" s="118" t="n">
        <v>0.004</v>
      </c>
      <c r="U562" s="119" t="inlineStr">
        <is>
          <t>✓ Normal</t>
        </is>
      </c>
      <c r="V562" s="117" t="n">
        <v>0</v>
      </c>
      <c r="W562" s="117" t="n">
        <v>1</v>
      </c>
      <c r="X562" s="117" t="n">
        <v>0</v>
      </c>
      <c r="Y562" s="117" t="n">
        <v>0</v>
      </c>
      <c r="Z562" s="117" t="n">
        <v>1</v>
      </c>
      <c r="AA562" s="117" t="n">
        <v>0</v>
      </c>
      <c r="AB562" s="117" t="n">
        <v>2</v>
      </c>
      <c r="AC562" s="121" t="inlineStr">
        <is>
          <t>⚠ WATCH</t>
        </is>
      </c>
      <c r="AD562" s="118" t="n">
        <v>175107000</v>
      </c>
      <c r="AE562" s="118" t="n">
        <v>-62308000</v>
      </c>
      <c r="AF562" s="118" t="n">
        <v>3084000</v>
      </c>
      <c r="AG562" s="118" t="n">
        <v>-0.127</v>
      </c>
      <c r="AH562" s="119" t="inlineStr">
        <is>
          <t>✓ High Quality</t>
        </is>
      </c>
      <c r="AI562" s="118" t="n">
        <v>0.262</v>
      </c>
      <c r="AJ562" s="120" t="n">
        <v>-0.096</v>
      </c>
      <c r="AK562" s="120" t="n">
        <v>-2.72</v>
      </c>
      <c r="AL562" s="120" t="n">
        <v>0.454</v>
      </c>
      <c r="AM562" s="120" t="n">
        <v>-0.002</v>
      </c>
      <c r="AN562" s="118" t="n">
        <v>99.90000000000001</v>
      </c>
      <c r="AO562" s="119" t="inlineStr">
        <is>
          <t>✓ Good</t>
        </is>
      </c>
      <c r="AP562" s="117" t="n">
        <v>1</v>
      </c>
      <c r="AQ562" s="117" t="n">
        <v>1</v>
      </c>
      <c r="AR562" s="117" t="n">
        <v>0</v>
      </c>
      <c r="AS562" s="117" t="n">
        <v>1</v>
      </c>
      <c r="AT562" s="117" t="n">
        <v>0</v>
      </c>
      <c r="AU562" s="117" t="n">
        <v>0</v>
      </c>
      <c r="AV562" s="117" t="n">
        <v>3</v>
      </c>
      <c r="AW562" s="121" t="inlineStr">
        <is>
          <t>⚠ WATCH</t>
        </is>
      </c>
      <c r="AX562" s="118" t="n">
        <v>17</v>
      </c>
      <c r="AY562" s="119" t="inlineStr">
        <is>
          <t>🟢 VERY LOW RISK</t>
        </is>
      </c>
      <c r="AZ562" s="118" t="n">
        <v>96.7</v>
      </c>
      <c r="BA562" s="118" t="n">
        <v>69.3</v>
      </c>
      <c r="BB562" s="118" t="n">
        <v>195.8</v>
      </c>
      <c r="BC562" s="118" t="n">
        <v>223.3</v>
      </c>
      <c r="BD562" s="118" t="n">
        <v>124</v>
      </c>
      <c r="BE562" s="118" t="n">
        <v>79.5</v>
      </c>
      <c r="BF562" s="120" t="n">
        <v>0.769</v>
      </c>
      <c r="BG562" s="117" t="n">
        <v>0.761</v>
      </c>
      <c r="BH562" s="122" t="n">
        <v>5</v>
      </c>
      <c r="BI562" s="123" t="n">
        <v>1</v>
      </c>
    </row>
    <row r="563" ht="17" customHeight="1">
      <c r="A563" s="117" t="inlineStr">
        <is>
          <t>COHR</t>
        </is>
      </c>
      <c r="B563" s="117" t="inlineStr">
        <is>
          <t>COHERENT CORP.</t>
        </is>
      </c>
      <c r="C563" s="118" t="n">
        <v>0.315</v>
      </c>
      <c r="D563" s="118" t="n">
        <v>4.056</v>
      </c>
      <c r="E563" s="118" t="n">
        <v>0.986</v>
      </c>
      <c r="F563" s="118" t="n">
        <v>3.609</v>
      </c>
      <c r="G563" s="118" t="n">
        <v>1.006</v>
      </c>
      <c r="H563" s="118" t="n">
        <v>0.301</v>
      </c>
      <c r="I563" s="118" t="n">
        <v>0.955</v>
      </c>
      <c r="J563" s="118" t="n">
        <v>-0.039</v>
      </c>
      <c r="K563" s="118" t="n">
        <v>0.777</v>
      </c>
      <c r="L563" s="121" t="inlineStr">
        <is>
          <t>⚠ MANIPULATOR RISK</t>
        </is>
      </c>
      <c r="M563" s="120" t="n">
        <v>-0.048</v>
      </c>
      <c r="N563" s="120" t="n">
        <v>0.138</v>
      </c>
      <c r="O563" s="120" t="n">
        <v>0.181</v>
      </c>
      <c r="P563" s="120" t="n">
        <v>0.9</v>
      </c>
      <c r="Q563" s="120" t="n">
        <v>0.014</v>
      </c>
      <c r="R563" s="117" t="n">
        <v>1</v>
      </c>
      <c r="S563" s="118" t="n">
        <v>-2.52</v>
      </c>
      <c r="T563" s="118" t="n">
        <v>0.074</v>
      </c>
      <c r="U563" s="121" t="inlineStr">
        <is>
          <t>⚠ HIGH RISK</t>
        </is>
      </c>
      <c r="V563" s="117" t="n">
        <v>1</v>
      </c>
      <c r="W563" s="117" t="n">
        <v>0</v>
      </c>
      <c r="X563" s="117" t="n">
        <v>0</v>
      </c>
      <c r="Y563" s="117" t="n">
        <v>1</v>
      </c>
      <c r="Z563" s="117" t="n">
        <v>1</v>
      </c>
      <c r="AA563" s="117" t="n">
        <v>0</v>
      </c>
      <c r="AB563" s="117" t="n">
        <v>3</v>
      </c>
      <c r="AC563" s="121" t="inlineStr">
        <is>
          <t>⚠ WATCH</t>
        </is>
      </c>
      <c r="AD563" s="118" t="n">
        <v>633600000</v>
      </c>
      <c r="AE563" s="118" t="n">
        <v>-414215000</v>
      </c>
      <c r="AF563" s="118" t="n">
        <v>49364000</v>
      </c>
      <c r="AG563" s="118" t="n">
        <v>-0.012</v>
      </c>
      <c r="AH563" s="119" t="inlineStr">
        <is>
          <t>✓ Medium Quality</t>
        </is>
      </c>
      <c r="AI563" s="118" t="n">
        <v>0.136</v>
      </c>
      <c r="AJ563" s="120" t="n">
        <v>2.609</v>
      </c>
      <c r="AK563" s="120" t="n">
        <v>0.052</v>
      </c>
      <c r="AL563" s="120" t="n">
        <v>0.547</v>
      </c>
      <c r="AM563" s="120" t="n">
        <v>0.001</v>
      </c>
      <c r="AN563" s="117" t="n">
        <v>100</v>
      </c>
      <c r="AO563" s="119" t="inlineStr">
        <is>
          <t>✓ Good</t>
        </is>
      </c>
      <c r="AP563" s="117" t="n">
        <v>0</v>
      </c>
      <c r="AQ563" s="117" t="n">
        <v>0</v>
      </c>
      <c r="AR563" s="117" t="n">
        <v>0</v>
      </c>
      <c r="AS563" s="117" t="n">
        <v>0</v>
      </c>
      <c r="AT563" s="117" t="n">
        <v>1</v>
      </c>
      <c r="AU563" s="117" t="n">
        <v>0</v>
      </c>
      <c r="AV563" s="117" t="n">
        <v>1</v>
      </c>
      <c r="AW563" s="119" t="inlineStr">
        <is>
          <t>✓ Clean</t>
        </is>
      </c>
      <c r="AX563" s="118" t="n">
        <v>39.1</v>
      </c>
      <c r="AY563" s="119" t="inlineStr">
        <is>
          <t>🟢 LOW RISK</t>
        </is>
      </c>
      <c r="AZ563" s="118" t="n">
        <v>303.7</v>
      </c>
      <c r="BA563" s="118" t="n">
        <v>964.6</v>
      </c>
      <c r="BB563" s="118" t="n">
        <v>139.3</v>
      </c>
      <c r="BC563" s="118" t="n">
        <v>144.4</v>
      </c>
      <c r="BD563" s="118" t="n">
        <v>82.09999999999999</v>
      </c>
      <c r="BE563" s="118" t="n">
        <v>70.90000000000001</v>
      </c>
      <c r="BF563" s="120" t="n">
        <v>0.681</v>
      </c>
      <c r="BG563" s="117" t="n">
        <v>0.9</v>
      </c>
      <c r="BH563" s="122" t="n">
        <v>5</v>
      </c>
      <c r="BI563" s="123" t="n">
        <v>1</v>
      </c>
    </row>
    <row r="564" ht="17" customHeight="1">
      <c r="A564" s="117" t="inlineStr">
        <is>
          <t>ORI</t>
        </is>
      </c>
      <c r="B564" s="117" t="inlineStr">
        <is>
          <t>OLD REPUBLIC INTERNATIONAL CORP</t>
        </is>
      </c>
      <c r="C564" s="124" t="inlineStr">
        <is>
          <t>N/A</t>
        </is>
      </c>
      <c r="D564" s="118" t="n">
        <v>0.85</v>
      </c>
      <c r="E564" s="124" t="inlineStr">
        <is>
          <t>N/A</t>
        </is>
      </c>
      <c r="F564" s="118" t="n">
        <v>3.824</v>
      </c>
      <c r="G564" s="124" t="inlineStr">
        <is>
          <t>N/A</t>
        </is>
      </c>
      <c r="H564" s="118" t="n">
        <v>0.288</v>
      </c>
      <c r="I564" s="118" t="n">
        <v>1.004</v>
      </c>
      <c r="J564" s="118" t="n">
        <v>-0.008</v>
      </c>
      <c r="K564" s="124" t="inlineStr">
        <is>
          <t>N/A</t>
        </is>
      </c>
      <c r="L564" s="124" t="inlineStr">
        <is>
          <t>N/A</t>
        </is>
      </c>
      <c r="M564" s="124" t="inlineStr">
        <is>
          <t>N/A</t>
        </is>
      </c>
      <c r="N564" s="124" t="inlineStr">
        <is>
          <t>N/A</t>
        </is>
      </c>
      <c r="O564" s="124" t="inlineStr">
        <is>
          <t>N/A</t>
        </is>
      </c>
      <c r="P564" s="120" t="n">
        <v>1</v>
      </c>
      <c r="Q564" s="120" t="n">
        <v>0.024</v>
      </c>
      <c r="R564" s="117" t="n">
        <v>0</v>
      </c>
      <c r="S564" s="124" t="inlineStr">
        <is>
          <t>N/A</t>
        </is>
      </c>
      <c r="T564" s="124" t="inlineStr">
        <is>
          <t>N/A</t>
        </is>
      </c>
      <c r="U564" s="124" t="inlineStr">
        <is>
          <t>N/A</t>
        </is>
      </c>
      <c r="V564" s="117" t="n">
        <v>1</v>
      </c>
      <c r="W564" s="117" t="n">
        <v>0</v>
      </c>
      <c r="X564" s="117" t="n">
        <v>0</v>
      </c>
      <c r="Y564" s="117" t="n">
        <v>0</v>
      </c>
      <c r="Z564" s="117" t="n">
        <v>1</v>
      </c>
      <c r="AA564" s="117" t="n">
        <v>0</v>
      </c>
      <c r="AB564" s="117" t="n">
        <v>2</v>
      </c>
      <c r="AC564" s="121" t="inlineStr">
        <is>
          <t>⚠ WATCH</t>
        </is>
      </c>
      <c r="AD564" s="118" t="n">
        <v>1164300000</v>
      </c>
      <c r="AE564" s="118" t="n">
        <v>-177200000</v>
      </c>
      <c r="AF564" s="118" t="n">
        <v>935400000</v>
      </c>
      <c r="AG564" s="118" t="n">
        <v>-0.002</v>
      </c>
      <c r="AH564" s="119" t="inlineStr">
        <is>
          <t>✓ Medium Quality</t>
        </is>
      </c>
      <c r="AI564" s="124" t="inlineStr">
        <is>
          <t>N/A</t>
        </is>
      </c>
      <c r="AJ564" s="120" t="n">
        <v>2.824</v>
      </c>
      <c r="AK564" s="124" t="inlineStr">
        <is>
          <t>N/A</t>
        </is>
      </c>
      <c r="AL564" s="120" t="n">
        <v>0.127</v>
      </c>
      <c r="AM564" s="124" t="inlineStr">
        <is>
          <t>N/A</t>
        </is>
      </c>
      <c r="AN564" s="118" t="n">
        <v>95.5</v>
      </c>
      <c r="AO564" s="119" t="inlineStr">
        <is>
          <t>✓ Good</t>
        </is>
      </c>
      <c r="AP564" s="117" t="n">
        <v>0</v>
      </c>
      <c r="AQ564" s="117" t="n">
        <v>0</v>
      </c>
      <c r="AR564" s="117" t="n">
        <v>0</v>
      </c>
      <c r="AS564" s="117" t="n">
        <v>0</v>
      </c>
      <c r="AT564" s="117" t="n">
        <v>0</v>
      </c>
      <c r="AU564" s="117" t="n">
        <v>0</v>
      </c>
      <c r="AV564" s="117" t="n">
        <v>0</v>
      </c>
      <c r="AW564" s="119" t="inlineStr">
        <is>
          <t>✓ Clean</t>
        </is>
      </c>
      <c r="AX564" s="118" t="n">
        <v>28.9</v>
      </c>
      <c r="AY564" s="119" t="inlineStr">
        <is>
          <t>🟢 LOW RISK</t>
        </is>
      </c>
      <c r="AZ564" s="118" t="n">
        <v>0</v>
      </c>
      <c r="BA564" s="124" t="inlineStr">
        <is>
          <t>N/A</t>
        </is>
      </c>
      <c r="BB564" s="124" t="inlineStr">
        <is>
          <t>N/A</t>
        </is>
      </c>
      <c r="BC564" s="124" t="inlineStr">
        <is>
          <t>N/A</t>
        </is>
      </c>
      <c r="BD564" s="124" t="inlineStr">
        <is>
          <t>N/A</t>
        </is>
      </c>
      <c r="BE564" s="124" t="inlineStr">
        <is>
          <t>N/A</t>
        </is>
      </c>
      <c r="BF564" s="120" t="n">
        <v>0.207</v>
      </c>
      <c r="BG564" s="117" t="n">
        <v>1</v>
      </c>
      <c r="BH564" s="122" t="n">
        <v>2</v>
      </c>
      <c r="BI564" s="125" t="n">
        <v>0.6666666666666666</v>
      </c>
    </row>
    <row r="565" ht="17" customHeight="1">
      <c r="A565" s="117" t="inlineStr">
        <is>
          <t>IFF</t>
        </is>
      </c>
      <c r="B565" s="117" t="inlineStr">
        <is>
          <t>INTERNATIONAL FLAVORS &amp; FRAGRANCES INC</t>
        </is>
      </c>
      <c r="C565" s="118" t="n">
        <v>0.549</v>
      </c>
      <c r="D565" s="118" t="n">
        <v>1.018</v>
      </c>
      <c r="E565" s="118" t="n">
        <v>1.055</v>
      </c>
      <c r="F565" s="118" t="n">
        <v>1.942</v>
      </c>
      <c r="G565" s="118" t="n">
        <v>1.108</v>
      </c>
      <c r="H565" s="118" t="n">
        <v>0.473</v>
      </c>
      <c r="I565" s="118" t="n">
        <v>1</v>
      </c>
      <c r="J565" s="118" t="n">
        <v>-0.02</v>
      </c>
      <c r="K565" s="118" t="n">
        <v>-2.013</v>
      </c>
      <c r="L565" s="121" t="inlineStr">
        <is>
          <t>⚠ MANIPULATOR RISK</t>
        </is>
      </c>
      <c r="M565" s="120" t="n">
        <v>-0.121</v>
      </c>
      <c r="N565" s="120" t="n">
        <v>0.02</v>
      </c>
      <c r="O565" s="120" t="n">
        <v>0.021</v>
      </c>
      <c r="P565" s="120" t="n">
        <v>0.819</v>
      </c>
      <c r="Q565" s="120" t="n">
        <v>0.003</v>
      </c>
      <c r="R565" s="117" t="n">
        <v>0</v>
      </c>
      <c r="S565" s="118" t="n">
        <v>-6.292</v>
      </c>
      <c r="T565" s="118" t="n">
        <v>0.002</v>
      </c>
      <c r="U565" s="119" t="inlineStr">
        <is>
          <t>✓ Normal</t>
        </is>
      </c>
      <c r="V565" s="117" t="n">
        <v>1</v>
      </c>
      <c r="W565" s="117" t="n">
        <v>0</v>
      </c>
      <c r="X565" s="117" t="n">
        <v>0</v>
      </c>
      <c r="Y565" s="117" t="n">
        <v>1</v>
      </c>
      <c r="Z565" s="117" t="n">
        <v>0</v>
      </c>
      <c r="AA565" s="117" t="n">
        <v>0</v>
      </c>
      <c r="AB565" s="117" t="n">
        <v>2</v>
      </c>
      <c r="AC565" s="121" t="inlineStr">
        <is>
          <t>⚠ WATCH</t>
        </is>
      </c>
      <c r="AD565" s="118" t="n">
        <v>850000000</v>
      </c>
      <c r="AE565" s="118" t="n">
        <v>2269000000</v>
      </c>
      <c r="AF565" s="118" t="n">
        <v>339781000</v>
      </c>
      <c r="AG565" s="118" t="n">
        <v>-0.103</v>
      </c>
      <c r="AH565" s="119" t="inlineStr">
        <is>
          <t>✓ High Quality</t>
        </is>
      </c>
      <c r="AI565" s="118" t="n">
        <v>0.066</v>
      </c>
      <c r="AJ565" s="120" t="n">
        <v>0.9419999999999999</v>
      </c>
      <c r="AK565" s="120" t="n">
        <v>0.07000000000000001</v>
      </c>
      <c r="AL565" s="120" t="n">
        <v>0.078</v>
      </c>
      <c r="AM565" s="120" t="n">
        <v>-0.001</v>
      </c>
      <c r="AN565" s="118" t="n">
        <v>85.59999999999999</v>
      </c>
      <c r="AO565" s="119" t="inlineStr">
        <is>
          <t>✓ Good</t>
        </is>
      </c>
      <c r="AP565" s="117" t="n">
        <v>0</v>
      </c>
      <c r="AQ565" s="117" t="n">
        <v>0</v>
      </c>
      <c r="AR565" s="117" t="n">
        <v>1</v>
      </c>
      <c r="AS565" s="117" t="n">
        <v>0</v>
      </c>
      <c r="AT565" s="117" t="n">
        <v>1</v>
      </c>
      <c r="AU565" s="117" t="n">
        <v>0</v>
      </c>
      <c r="AV565" s="117" t="n">
        <v>2</v>
      </c>
      <c r="AW565" s="121" t="inlineStr">
        <is>
          <t>⚠ WATCH</t>
        </is>
      </c>
      <c r="AX565" s="118" t="n">
        <v>19.9</v>
      </c>
      <c r="AY565" s="119" t="inlineStr">
        <is>
          <t>🟢 VERY LOW RISK</t>
        </is>
      </c>
      <c r="AZ565" s="118" t="n">
        <v>58</v>
      </c>
      <c r="BA565" s="118" t="n">
        <v>105.7</v>
      </c>
      <c r="BB565" s="118" t="n">
        <v>117.9</v>
      </c>
      <c r="BC565" s="118" t="n">
        <v>105.8</v>
      </c>
      <c r="BD565" s="118" t="n">
        <v>67.59999999999999</v>
      </c>
      <c r="BE565" s="118" t="n">
        <v>63.6</v>
      </c>
      <c r="BF565" s="120" t="n">
        <v>0.129</v>
      </c>
      <c r="BG565" s="117" t="n">
        <v>0.819</v>
      </c>
      <c r="BH565" s="122" t="n">
        <v>4</v>
      </c>
      <c r="BI565" s="123" t="n">
        <v>1</v>
      </c>
    </row>
    <row r="566" ht="17" customHeight="1">
      <c r="A566" s="117" t="inlineStr">
        <is>
          <t>ES</t>
        </is>
      </c>
      <c r="B566" s="117" t="inlineStr">
        <is>
          <t>EVERSOURCE ENERGY</t>
        </is>
      </c>
      <c r="C566" s="118" t="n">
        <v>0.983</v>
      </c>
      <c r="D566" s="118" t="n">
        <v>0.917</v>
      </c>
      <c r="E566" s="124" t="inlineStr">
        <is>
          <t>N/A</t>
        </is>
      </c>
      <c r="F566" s="118" t="n">
        <v>1.138</v>
      </c>
      <c r="G566" s="124" t="inlineStr">
        <is>
          <t>N/A</t>
        </is>
      </c>
      <c r="H566" s="124" t="inlineStr">
        <is>
          <t>N/A</t>
        </is>
      </c>
      <c r="I566" s="118" t="n">
        <v>1</v>
      </c>
      <c r="J566" s="118" t="n">
        <v>-0.07099999999999999</v>
      </c>
      <c r="K566" s="124" t="inlineStr">
        <is>
          <t>N/A</t>
        </is>
      </c>
      <c r="L566" s="124" t="inlineStr">
        <is>
          <t>N/A</t>
        </is>
      </c>
      <c r="M566" s="120" t="n">
        <v>-0.056</v>
      </c>
      <c r="N566" s="120" t="n">
        <v>0.119</v>
      </c>
      <c r="O566" s="124" t="inlineStr">
        <is>
          <t>N/A</t>
        </is>
      </c>
      <c r="P566" s="120" t="n">
        <v>0.998</v>
      </c>
      <c r="Q566" s="120" t="n">
        <v>-0.031</v>
      </c>
      <c r="R566" s="117" t="n">
        <v>1</v>
      </c>
      <c r="S566" s="118" t="n">
        <v>-2.576</v>
      </c>
      <c r="T566" s="118" t="n">
        <v>0.07099999999999999</v>
      </c>
      <c r="U566" s="121" t="inlineStr">
        <is>
          <t>⚠ HIGH RISK</t>
        </is>
      </c>
      <c r="V566" s="117" t="n">
        <v>0</v>
      </c>
      <c r="W566" s="117" t="n">
        <v>0</v>
      </c>
      <c r="X566" s="117" t="n">
        <v>0</v>
      </c>
      <c r="Y566" s="117" t="n">
        <v>1</v>
      </c>
      <c r="Z566" s="117" t="n">
        <v>0</v>
      </c>
      <c r="AA566" s="117" t="n">
        <v>0</v>
      </c>
      <c r="AB566" s="117" t="n">
        <v>1</v>
      </c>
      <c r="AC566" s="119" t="inlineStr">
        <is>
          <t>✓ Clean</t>
        </is>
      </c>
      <c r="AD566" s="118" t="n">
        <v>4113572000</v>
      </c>
      <c r="AE566" s="118" t="n">
        <v>-4306163000</v>
      </c>
      <c r="AF566" s="118" t="n">
        <v>-434700000</v>
      </c>
      <c r="AG566" s="118" t="n">
        <v>-0.004</v>
      </c>
      <c r="AH566" s="119" t="inlineStr">
        <is>
          <t>✓ Medium Quality</t>
        </is>
      </c>
      <c r="AI566" s="118" t="n">
        <v>0.119</v>
      </c>
      <c r="AJ566" s="120" t="n">
        <v>0.138</v>
      </c>
      <c r="AK566" s="120" t="n">
        <v>0.857</v>
      </c>
      <c r="AL566" s="120" t="n">
        <v>0.304</v>
      </c>
      <c r="AM566" s="124" t="inlineStr">
        <is>
          <t>N/A</t>
        </is>
      </c>
      <c r="AN566" s="117" t="n">
        <v>100</v>
      </c>
      <c r="AO566" s="119" t="inlineStr">
        <is>
          <t>✓ Good</t>
        </is>
      </c>
      <c r="AP566" s="117" t="n">
        <v>0</v>
      </c>
      <c r="AQ566" s="117" t="n">
        <v>0</v>
      </c>
      <c r="AR566" s="117" t="n">
        <v>0</v>
      </c>
      <c r="AS566" s="117" t="n">
        <v>0</v>
      </c>
      <c r="AT566" s="117" t="n">
        <v>0</v>
      </c>
      <c r="AU566" s="117" t="n">
        <v>0</v>
      </c>
      <c r="AV566" s="117" t="n">
        <v>0</v>
      </c>
      <c r="AW566" s="119" t="inlineStr">
        <is>
          <t>✓ Clean</t>
        </is>
      </c>
      <c r="AX566" s="118" t="n">
        <v>28.5</v>
      </c>
      <c r="AY566" s="119" t="inlineStr">
        <is>
          <t>🟢 LOW RISK</t>
        </is>
      </c>
      <c r="AZ566" s="118" t="n">
        <v>49.8</v>
      </c>
      <c r="BA566" s="118" t="n">
        <v>50.6</v>
      </c>
      <c r="BB566" s="118" t="n">
        <v>17</v>
      </c>
      <c r="BC566" s="124" t="inlineStr">
        <is>
          <t>N/A</t>
        </is>
      </c>
      <c r="BD566" s="118" t="n">
        <v>64.3</v>
      </c>
      <c r="BE566" s="118" t="n">
        <v>66.8</v>
      </c>
      <c r="BF566" s="120" t="n">
        <v>0.076</v>
      </c>
      <c r="BG566" s="117" t="n">
        <v>0.998</v>
      </c>
      <c r="BH566" s="122" t="n">
        <v>2</v>
      </c>
      <c r="BI566" s="123" t="n">
        <v>0.8333333333333334</v>
      </c>
    </row>
    <row r="567" ht="17" customHeight="1">
      <c r="A567" s="117" t="inlineStr">
        <is>
          <t>DOC</t>
        </is>
      </c>
      <c r="B567" s="117" t="inlineStr">
        <is>
          <t>Healthpeak Properties, Inc.</t>
        </is>
      </c>
      <c r="C567" s="118" t="n">
        <v>0.976</v>
      </c>
      <c r="D567" s="118" t="n">
        <v>1.076</v>
      </c>
      <c r="E567" s="118" t="n">
        <v>1</v>
      </c>
      <c r="F567" s="118" t="n">
        <v>1.045</v>
      </c>
      <c r="G567" s="118" t="n">
        <v>1.006</v>
      </c>
      <c r="H567" s="118" t="n">
        <v>0.89</v>
      </c>
      <c r="I567" s="118" t="n">
        <v>1.084</v>
      </c>
      <c r="J567" s="118" t="n">
        <v>-0.058</v>
      </c>
      <c r="K567" s="118" t="n">
        <v>-2.702</v>
      </c>
      <c r="L567" s="119" t="inlineStr">
        <is>
          <t>✓ Lower Risk</t>
        </is>
      </c>
      <c r="M567" s="124" t="inlineStr">
        <is>
          <t>N/A</t>
        </is>
      </c>
      <c r="N567" s="120" t="n">
        <v>0.012</v>
      </c>
      <c r="O567" s="124" t="inlineStr">
        <is>
          <t>N/A</t>
        </is>
      </c>
      <c r="P567" s="120" t="n">
        <v>0.975</v>
      </c>
      <c r="Q567" s="120" t="n">
        <v>-0.008999999999999999</v>
      </c>
      <c r="R567" s="117" t="n">
        <v>0</v>
      </c>
      <c r="S567" s="124" t="inlineStr">
        <is>
          <t>N/A</t>
        </is>
      </c>
      <c r="T567" s="124" t="inlineStr">
        <is>
          <t>N/A</t>
        </is>
      </c>
      <c r="U567" s="124" t="inlineStr">
        <is>
          <t>N/A</t>
        </is>
      </c>
      <c r="V567" s="117" t="n">
        <v>0</v>
      </c>
      <c r="W567" s="117" t="n">
        <v>0</v>
      </c>
      <c r="X567" s="117" t="n">
        <v>0</v>
      </c>
      <c r="Y567" s="117" t="n">
        <v>0</v>
      </c>
      <c r="Z567" s="117" t="n">
        <v>1</v>
      </c>
      <c r="AA567" s="117" t="n">
        <v>0</v>
      </c>
      <c r="AB567" s="117" t="n">
        <v>1</v>
      </c>
      <c r="AC567" s="119" t="inlineStr">
        <is>
          <t>✓ Clean</t>
        </is>
      </c>
      <c r="AD567" s="118" t="n">
        <v>1251959000</v>
      </c>
      <c r="AE567" s="118" t="n">
        <v>-1034673000</v>
      </c>
      <c r="AF567" s="118" t="n">
        <v>71347000</v>
      </c>
      <c r="AG567" s="118" t="n">
        <v>-0.007</v>
      </c>
      <c r="AH567" s="119" t="inlineStr">
        <is>
          <t>✓ Medium Quality</t>
        </is>
      </c>
      <c r="AI567" s="118" t="n">
        <v>0.02</v>
      </c>
      <c r="AJ567" s="120" t="n">
        <v>0.045</v>
      </c>
      <c r="AK567" s="120" t="n">
        <v>0.437</v>
      </c>
      <c r="AL567" s="120" t="n">
        <v>0.444</v>
      </c>
      <c r="AM567" s="120" t="n">
        <v>-0.002</v>
      </c>
      <c r="AN567" s="118" t="n">
        <v>99.90000000000001</v>
      </c>
      <c r="AO567" s="119" t="inlineStr">
        <is>
          <t>✓ Good</t>
        </is>
      </c>
      <c r="AP567" s="117" t="n">
        <v>0</v>
      </c>
      <c r="AQ567" s="117" t="n">
        <v>0</v>
      </c>
      <c r="AR567" s="117" t="n">
        <v>1</v>
      </c>
      <c r="AS567" s="117" t="n">
        <v>0</v>
      </c>
      <c r="AT567" s="117" t="n">
        <v>0</v>
      </c>
      <c r="AU567" s="117" t="n">
        <v>0</v>
      </c>
      <c r="AV567" s="117" t="n">
        <v>1</v>
      </c>
      <c r="AW567" s="119" t="inlineStr">
        <is>
          <t>✓ Clean</t>
        </is>
      </c>
      <c r="AX567" s="118" t="n">
        <v>18.2</v>
      </c>
      <c r="AY567" s="119" t="inlineStr">
        <is>
          <t>🟢 VERY LOW RISK</t>
        </is>
      </c>
      <c r="AZ567" s="118" t="n">
        <v>10.1</v>
      </c>
      <c r="BA567" s="118" t="n">
        <v>10.4</v>
      </c>
      <c r="BB567" s="124" t="inlineStr">
        <is>
          <t>N/A</t>
        </is>
      </c>
      <c r="BC567" s="124" t="inlineStr">
        <is>
          <t>N/A</t>
        </is>
      </c>
      <c r="BD567" s="124" t="inlineStr">
        <is>
          <t>N/A</t>
        </is>
      </c>
      <c r="BE567" s="124" t="inlineStr">
        <is>
          <t>N/A</t>
        </is>
      </c>
      <c r="BF567" s="120" t="n">
        <v>0.984</v>
      </c>
      <c r="BG567" s="117" t="n">
        <v>0.975</v>
      </c>
      <c r="BH567" s="122" t="n">
        <v>2</v>
      </c>
      <c r="BI567" s="123" t="n">
        <v>0.8333333333333334</v>
      </c>
    </row>
    <row r="568" ht="17" customHeight="1">
      <c r="A568" s="117" t="inlineStr">
        <is>
          <t>ATO</t>
        </is>
      </c>
      <c r="B568" s="117" t="inlineStr">
        <is>
          <t>ATMOS ENERGY CORP</t>
        </is>
      </c>
      <c r="C568" s="118" t="n">
        <v>0.909</v>
      </c>
      <c r="D568" s="118" t="n">
        <v>0.243</v>
      </c>
      <c r="E568" s="118" t="n">
        <v>1.013</v>
      </c>
      <c r="F568" s="118" t="n">
        <v>1.129</v>
      </c>
      <c r="G568" s="118" t="n">
        <v>1.015</v>
      </c>
      <c r="H568" s="124" t="inlineStr">
        <is>
          <t>N/A</t>
        </is>
      </c>
      <c r="I568" s="118" t="n">
        <v>1</v>
      </c>
      <c r="J568" s="118" t="n">
        <v>-0.03</v>
      </c>
      <c r="K568" s="118" t="n">
        <v>-2.81</v>
      </c>
      <c r="L568" s="119" t="inlineStr">
        <is>
          <t>✓ Lower Risk</t>
        </is>
      </c>
      <c r="M568" s="120" t="n">
        <v>-0.031</v>
      </c>
      <c r="N568" s="120" t="n">
        <v>0.018</v>
      </c>
      <c r="O568" s="124" t="inlineStr">
        <is>
          <t>N/A</t>
        </is>
      </c>
      <c r="P568" s="120" t="n">
        <v>0.755</v>
      </c>
      <c r="Q568" s="120" t="n">
        <v>0.001</v>
      </c>
      <c r="R568" s="117" t="n">
        <v>1</v>
      </c>
      <c r="S568" s="118" t="n">
        <v>-3.305</v>
      </c>
      <c r="T568" s="118" t="n">
        <v>0.035</v>
      </c>
      <c r="U568" s="119" t="inlineStr">
        <is>
          <t>✓ Normal</t>
        </is>
      </c>
      <c r="V568" s="117" t="n">
        <v>0</v>
      </c>
      <c r="W568" s="117" t="n">
        <v>0</v>
      </c>
      <c r="X568" s="117" t="n">
        <v>0</v>
      </c>
      <c r="Y568" s="117" t="n">
        <v>0</v>
      </c>
      <c r="Z568" s="117" t="n">
        <v>1</v>
      </c>
      <c r="AA568" s="117" t="n">
        <v>1</v>
      </c>
      <c r="AB568" s="117" t="n">
        <v>2</v>
      </c>
      <c r="AC568" s="121" t="inlineStr">
        <is>
          <t>⚠ WATCH</t>
        </is>
      </c>
      <c r="AD568" s="118" t="n">
        <v>2049456000</v>
      </c>
      <c r="AE568" s="118" t="n">
        <v>-3561282000</v>
      </c>
      <c r="AF568" s="118" t="n">
        <v>1198754000</v>
      </c>
      <c r="AG568" s="118" t="n">
        <v>0.101</v>
      </c>
      <c r="AH568" s="117" t="inlineStr">
        <is>
          <t>⚠ Low Quality</t>
        </is>
      </c>
      <c r="AI568" s="118" t="n">
        <v>0.026</v>
      </c>
      <c r="AJ568" s="120" t="n">
        <v>0.129</v>
      </c>
      <c r="AK568" s="120" t="n">
        <v>0.204</v>
      </c>
      <c r="AL568" s="120" t="n">
        <v>0.436</v>
      </c>
      <c r="AM568" s="120" t="n">
        <v>-0.001</v>
      </c>
      <c r="AN568" s="118" t="n">
        <v>99.90000000000001</v>
      </c>
      <c r="AO568" s="119" t="inlineStr">
        <is>
          <t>✓ Good</t>
        </is>
      </c>
      <c r="AP568" s="117" t="n">
        <v>0</v>
      </c>
      <c r="AQ568" s="117" t="n">
        <v>0</v>
      </c>
      <c r="AR568" s="117" t="n">
        <v>0</v>
      </c>
      <c r="AS568" s="117" t="n">
        <v>0</v>
      </c>
      <c r="AT568" s="117" t="n">
        <v>0</v>
      </c>
      <c r="AU568" s="117" t="n">
        <v>0</v>
      </c>
      <c r="AV568" s="117" t="n">
        <v>0</v>
      </c>
      <c r="AW568" s="119" t="inlineStr">
        <is>
          <t>✓ Clean</t>
        </is>
      </c>
      <c r="AX568" s="118" t="n">
        <v>20.1</v>
      </c>
      <c r="AY568" s="119" t="inlineStr">
        <is>
          <t>🟢 LOW RISK</t>
        </is>
      </c>
      <c r="AZ568" s="118" t="n">
        <v>29.1</v>
      </c>
      <c r="BA568" s="118" t="n">
        <v>32.1</v>
      </c>
      <c r="BB568" s="124" t="inlineStr">
        <is>
          <t>N/A</t>
        </is>
      </c>
      <c r="BC568" s="124" t="inlineStr">
        <is>
          <t>N/A</t>
        </is>
      </c>
      <c r="BD568" s="118" t="n">
        <v>127.3</v>
      </c>
      <c r="BE568" s="118" t="n">
        <v>96.59999999999999</v>
      </c>
      <c r="BF568" s="120" t="n">
        <v>0.189</v>
      </c>
      <c r="BG568" s="117" t="n">
        <v>0.755</v>
      </c>
      <c r="BH568" s="122" t="n">
        <v>3</v>
      </c>
      <c r="BI568" s="123" t="n">
        <v>1</v>
      </c>
    </row>
    <row r="569" ht="17" customHeight="1">
      <c r="A569" s="117" t="inlineStr">
        <is>
          <t>C</t>
        </is>
      </c>
      <c r="B569" s="117" t="inlineStr">
        <is>
          <t>Citigroup Inc</t>
        </is>
      </c>
      <c r="C569" s="124" t="inlineStr">
        <is>
          <t>N/A</t>
        </is>
      </c>
      <c r="D569" s="118" t="n">
        <v>1.259</v>
      </c>
      <c r="E569" s="124" t="inlineStr">
        <is>
          <t>N/A</t>
        </is>
      </c>
      <c r="F569" s="118" t="n">
        <v>1.05</v>
      </c>
      <c r="G569" s="124" t="inlineStr">
        <is>
          <t>N/A</t>
        </is>
      </c>
      <c r="H569" s="124" t="inlineStr">
        <is>
          <t>N/A</t>
        </is>
      </c>
      <c r="I569" s="118" t="n">
        <v>1.009</v>
      </c>
      <c r="J569" s="118" t="n">
        <v>0.031</v>
      </c>
      <c r="K569" s="124" t="inlineStr">
        <is>
          <t>N/A</t>
        </is>
      </c>
      <c r="L569" s="124" t="inlineStr">
        <is>
          <t>N/A</t>
        </is>
      </c>
      <c r="M569" s="124" t="inlineStr">
        <is>
          <t>N/A</t>
        </is>
      </c>
      <c r="N569" s="124" t="inlineStr">
        <is>
          <t>N/A</t>
        </is>
      </c>
      <c r="O569" s="124" t="inlineStr">
        <is>
          <t>N/A</t>
        </is>
      </c>
      <c r="P569" s="120" t="n">
        <v>0.929</v>
      </c>
      <c r="Q569" s="120" t="n">
        <v>-0</v>
      </c>
      <c r="R569" s="117" t="n">
        <v>1</v>
      </c>
      <c r="S569" s="124" t="inlineStr">
        <is>
          <t>N/A</t>
        </is>
      </c>
      <c r="T569" s="124" t="inlineStr">
        <is>
          <t>N/A</t>
        </is>
      </c>
      <c r="U569" s="124" t="inlineStr">
        <is>
          <t>N/A</t>
        </is>
      </c>
      <c r="V569" s="117" t="n">
        <v>1</v>
      </c>
      <c r="W569" s="117" t="n">
        <v>0</v>
      </c>
      <c r="X569" s="117" t="n">
        <v>0</v>
      </c>
      <c r="Y569" s="117" t="n">
        <v>0</v>
      </c>
      <c r="Z569" s="117" t="n">
        <v>1</v>
      </c>
      <c r="AA569" s="117" t="n">
        <v>1</v>
      </c>
      <c r="AB569" s="117" t="n">
        <v>3</v>
      </c>
      <c r="AC569" s="121" t="inlineStr">
        <is>
          <t>⚠ WATCH</t>
        </is>
      </c>
      <c r="AD569" s="118" t="n">
        <v>-67632000000</v>
      </c>
      <c r="AE569" s="118" t="n">
        <v>-108282000000</v>
      </c>
      <c r="AF569" s="118" t="n">
        <v>14306000000</v>
      </c>
      <c r="AG569" s="118" t="n">
        <v>0.076</v>
      </c>
      <c r="AH569" s="119" t="inlineStr">
        <is>
          <t>✓ Medium Quality</t>
        </is>
      </c>
      <c r="AI569" s="124" t="inlineStr">
        <is>
          <t>N/A</t>
        </is>
      </c>
      <c r="AJ569" s="120" t="n">
        <v>0.05</v>
      </c>
      <c r="AK569" s="124" t="inlineStr">
        <is>
          <t>N/A</t>
        </is>
      </c>
      <c r="AL569" s="120" t="n">
        <v>-0.794</v>
      </c>
      <c r="AM569" s="124" t="inlineStr">
        <is>
          <t>N/A</t>
        </is>
      </c>
      <c r="AN569" s="117" t="n">
        <v>70</v>
      </c>
      <c r="AO569" s="119" t="inlineStr">
        <is>
          <t>✓ Good</t>
        </is>
      </c>
      <c r="AP569" s="117" t="n">
        <v>0</v>
      </c>
      <c r="AQ569" s="117" t="n">
        <v>0</v>
      </c>
      <c r="AR569" s="117" t="n">
        <v>1</v>
      </c>
      <c r="AS569" s="117" t="n">
        <v>0</v>
      </c>
      <c r="AT569" s="117" t="n">
        <v>0</v>
      </c>
      <c r="AU569" s="117" t="n">
        <v>0</v>
      </c>
      <c r="AV569" s="117" t="n">
        <v>1</v>
      </c>
      <c r="AW569" s="119" t="inlineStr">
        <is>
          <t>✓ Clean</t>
        </is>
      </c>
      <c r="AX569" s="118" t="n">
        <v>35.9</v>
      </c>
      <c r="AY569" s="119" t="inlineStr">
        <is>
          <t>🟢 LOW RISK</t>
        </is>
      </c>
      <c r="AZ569" s="118" t="n">
        <v>0</v>
      </c>
      <c r="BA569" s="124" t="inlineStr">
        <is>
          <t>N/A</t>
        </is>
      </c>
      <c r="BB569" s="124" t="inlineStr">
        <is>
          <t>N/A</t>
        </is>
      </c>
      <c r="BC569" s="124" t="inlineStr">
        <is>
          <t>N/A</t>
        </is>
      </c>
      <c r="BD569" s="124" t="inlineStr">
        <is>
          <t>N/A</t>
        </is>
      </c>
      <c r="BE569" s="124" t="inlineStr">
        <is>
          <t>N/A</t>
        </is>
      </c>
      <c r="BF569" s="120" t="n">
        <v>0.271</v>
      </c>
      <c r="BG569" s="117" t="n">
        <v>0.929</v>
      </c>
      <c r="BH569" s="122" t="n">
        <v>5</v>
      </c>
      <c r="BI569" s="125" t="n">
        <v>0.6666666666666666</v>
      </c>
    </row>
    <row r="570" ht="17" customHeight="1">
      <c r="A570" s="117" t="inlineStr">
        <is>
          <t>SHW</t>
        </is>
      </c>
      <c r="B570" s="117" t="inlineStr">
        <is>
          <t>THE SHERWIN-WILLIAMS COMPANY</t>
        </is>
      </c>
      <c r="C570" s="118" t="n">
        <v>0.269</v>
      </c>
      <c r="D570" s="118" t="n">
        <v>4.23</v>
      </c>
      <c r="E570" s="118" t="n">
        <v>0.978</v>
      </c>
      <c r="F570" s="118" t="n">
        <v>4.351</v>
      </c>
      <c r="G570" s="118" t="n">
        <v>1.022</v>
      </c>
      <c r="H570" s="118" t="n">
        <v>0.238</v>
      </c>
      <c r="I570" s="118" t="n">
        <v>1</v>
      </c>
      <c r="J570" s="118" t="n">
        <v>-0.034</v>
      </c>
      <c r="K570" s="118" t="n">
        <v>1.506</v>
      </c>
      <c r="L570" s="121" t="inlineStr">
        <is>
          <t>⚠ MANIPULATOR RISK</t>
        </is>
      </c>
      <c r="M570" s="120" t="n">
        <v>0.006</v>
      </c>
      <c r="N570" s="120" t="n">
        <v>0.029</v>
      </c>
      <c r="O570" s="120" t="n">
        <v>0.002</v>
      </c>
      <c r="P570" s="120" t="n">
        <v>0.832</v>
      </c>
      <c r="Q570" s="120" t="n">
        <v>-0.014</v>
      </c>
      <c r="R570" s="117" t="n">
        <v>0</v>
      </c>
      <c r="S570" s="118" t="n">
        <v>-6.159</v>
      </c>
      <c r="T570" s="118" t="n">
        <v>0.002</v>
      </c>
      <c r="U570" s="119" t="inlineStr">
        <is>
          <t>✓ Normal</t>
        </is>
      </c>
      <c r="V570" s="117" t="n">
        <v>1</v>
      </c>
      <c r="W570" s="117" t="n">
        <v>0</v>
      </c>
      <c r="X570" s="117" t="n">
        <v>0</v>
      </c>
      <c r="Y570" s="117" t="n">
        <v>1</v>
      </c>
      <c r="Z570" s="117" t="n">
        <v>0</v>
      </c>
      <c r="AA570" s="117" t="n">
        <v>0</v>
      </c>
      <c r="AB570" s="117" t="n">
        <v>2</v>
      </c>
      <c r="AC570" s="121" t="inlineStr">
        <is>
          <t>⚠ WATCH</t>
        </is>
      </c>
      <c r="AD570" s="118" t="n">
        <v>3451600000</v>
      </c>
      <c r="AE570" s="118" t="n">
        <v>-2066300000</v>
      </c>
      <c r="AF570" s="118" t="n">
        <v>2568500000</v>
      </c>
      <c r="AG570" s="118" t="n">
        <v>0.048</v>
      </c>
      <c r="AH570" s="119" t="inlineStr">
        <is>
          <t>✓ Medium Quality</t>
        </is>
      </c>
      <c r="AI570" s="118" t="n">
        <v>0.168</v>
      </c>
      <c r="AJ570" s="120" t="n">
        <v>3.351</v>
      </c>
      <c r="AK570" s="120" t="n">
        <v>0.05</v>
      </c>
      <c r="AL570" s="120" t="n">
        <v>0.193</v>
      </c>
      <c r="AM570" s="120" t="n">
        <v>0.002</v>
      </c>
      <c r="AN570" s="117" t="n">
        <v>100</v>
      </c>
      <c r="AO570" s="119" t="inlineStr">
        <is>
          <t>✓ Good</t>
        </is>
      </c>
      <c r="AP570" s="117" t="n">
        <v>0</v>
      </c>
      <c r="AQ570" s="117" t="n">
        <v>0</v>
      </c>
      <c r="AR570" s="117" t="n">
        <v>1</v>
      </c>
      <c r="AS570" s="117" t="n">
        <v>0</v>
      </c>
      <c r="AT570" s="117" t="n">
        <v>1</v>
      </c>
      <c r="AU570" s="117" t="n">
        <v>0</v>
      </c>
      <c r="AV570" s="117" t="n">
        <v>2</v>
      </c>
      <c r="AW570" s="121" t="inlineStr">
        <is>
          <t>⚠ WATCH</t>
        </is>
      </c>
      <c r="AX570" s="118" t="n">
        <v>28.6</v>
      </c>
      <c r="AY570" s="119" t="inlineStr">
        <is>
          <t>🟢 LOW RISK</t>
        </is>
      </c>
      <c r="AZ570" s="118" t="n">
        <v>56.9</v>
      </c>
      <c r="BA570" s="118" t="n">
        <v>211.9</v>
      </c>
      <c r="BB570" s="118" t="n">
        <v>70.2</v>
      </c>
      <c r="BC570" s="118" t="n">
        <v>70.2</v>
      </c>
      <c r="BD570" s="118" t="n">
        <v>71.3</v>
      </c>
      <c r="BE570" s="118" t="n">
        <v>69.09999999999999</v>
      </c>
      <c r="BF570" s="120" t="n">
        <v>0.231</v>
      </c>
      <c r="BG570" s="117" t="n">
        <v>0.832</v>
      </c>
      <c r="BH570" s="122" t="n">
        <v>4</v>
      </c>
      <c r="BI570" s="123" t="n">
        <v>1</v>
      </c>
    </row>
    <row r="571" ht="17" customHeight="1">
      <c r="A571" s="117" t="inlineStr">
        <is>
          <t>AES</t>
        </is>
      </c>
      <c r="B571" s="117" t="inlineStr">
        <is>
          <t>AES CORP</t>
        </is>
      </c>
      <c r="C571" s="118" t="n">
        <v>153.563</v>
      </c>
      <c r="D571" s="118" t="n">
        <v>1.043</v>
      </c>
      <c r="E571" s="118" t="n">
        <v>0.921</v>
      </c>
      <c r="F571" s="118" t="n">
        <v>0.996</v>
      </c>
      <c r="G571" s="118" t="n">
        <v>0.99</v>
      </c>
      <c r="H571" s="118" t="n">
        <v>0.84</v>
      </c>
      <c r="I571" s="118" t="n">
        <v>1</v>
      </c>
      <c r="J571" s="118" t="n">
        <v>-0.066</v>
      </c>
      <c r="K571" s="118" t="n">
        <v>137.584</v>
      </c>
      <c r="L571" s="121" t="inlineStr">
        <is>
          <t>⚠ MANIPULATOR RISK</t>
        </is>
      </c>
      <c r="M571" s="120" t="n">
        <v>-0.03</v>
      </c>
      <c r="N571" s="120" t="n">
        <v>37.156</v>
      </c>
      <c r="O571" s="120" t="n">
        <v>0.422</v>
      </c>
      <c r="P571" s="120" t="n">
        <v>0.243</v>
      </c>
      <c r="Q571" s="120" t="n">
        <v>-0.018</v>
      </c>
      <c r="R571" s="117" t="n">
        <v>1</v>
      </c>
      <c r="S571" s="118" t="n">
        <v>89.706</v>
      </c>
      <c r="T571" s="118" t="n">
        <v>1</v>
      </c>
      <c r="U571" s="121" t="inlineStr">
        <is>
          <t>⚠ HIGH RISK</t>
        </is>
      </c>
      <c r="V571" s="117" t="n">
        <v>0</v>
      </c>
      <c r="W571" s="117" t="n">
        <v>1</v>
      </c>
      <c r="X571" s="117" t="n">
        <v>1</v>
      </c>
      <c r="Y571" s="117" t="n">
        <v>0</v>
      </c>
      <c r="Z571" s="117" t="n">
        <v>0</v>
      </c>
      <c r="AA571" s="117" t="n">
        <v>0</v>
      </c>
      <c r="AB571" s="117" t="n">
        <v>2</v>
      </c>
      <c r="AC571" s="121" t="inlineStr">
        <is>
          <t>⚠ WATCH</t>
        </is>
      </c>
      <c r="AD571" s="118" t="n">
        <v>4306000000</v>
      </c>
      <c r="AE571" s="118" t="n">
        <v>-6210000000</v>
      </c>
      <c r="AF571" s="118" t="n">
        <v>910000000</v>
      </c>
      <c r="AG571" s="118" t="n">
        <v>0.057</v>
      </c>
      <c r="AH571" s="119" t="inlineStr">
        <is>
          <t>✓ Medium Quality</t>
        </is>
      </c>
      <c r="AI571" s="118" t="n">
        <v>152</v>
      </c>
      <c r="AJ571" s="120" t="n">
        <v>-0.004</v>
      </c>
      <c r="AK571" s="120" t="n">
        <v>-41472.356</v>
      </c>
      <c r="AL571" s="120" t="n">
        <v>0.352</v>
      </c>
      <c r="AM571" s="120" t="n">
        <v>0.001</v>
      </c>
      <c r="AN571" s="117" t="n">
        <v>100</v>
      </c>
      <c r="AO571" s="119" t="inlineStr">
        <is>
          <t>✓ Good</t>
        </is>
      </c>
      <c r="AP571" s="117" t="n">
        <v>1</v>
      </c>
      <c r="AQ571" s="117" t="n">
        <v>1</v>
      </c>
      <c r="AR571" s="117" t="n">
        <v>1</v>
      </c>
      <c r="AS571" s="117" t="n">
        <v>0</v>
      </c>
      <c r="AT571" s="117" t="n">
        <v>0</v>
      </c>
      <c r="AU571" s="117" t="n">
        <v>1</v>
      </c>
      <c r="AV571" s="117" t="n">
        <v>4</v>
      </c>
      <c r="AW571" s="117" t="inlineStr">
        <is>
          <t>⚠⚠ MULTIPLE RED FLAGS</t>
        </is>
      </c>
      <c r="AX571" s="118" t="n">
        <v>71.09999999999999</v>
      </c>
      <c r="AY571" s="121" t="inlineStr">
        <is>
          <t>🔴 HIGH RISK</t>
        </is>
      </c>
      <c r="AZ571" s="118" t="n">
        <v>50.2</v>
      </c>
      <c r="BA571" s="118" t="n">
        <v>0.3</v>
      </c>
      <c r="BB571" s="118" t="n">
        <v>22.3</v>
      </c>
      <c r="BC571" s="118" t="n">
        <v>21.7</v>
      </c>
      <c r="BD571" s="118" t="n">
        <v>72.09999999999999</v>
      </c>
      <c r="BE571" s="118" t="n">
        <v>60.6</v>
      </c>
      <c r="BF571" s="120" t="n">
        <v>-1.885</v>
      </c>
      <c r="BG571" s="117" t="n">
        <v>0.243</v>
      </c>
      <c r="BH571" s="122" t="n">
        <v>7</v>
      </c>
      <c r="BI571" s="123" t="n">
        <v>1</v>
      </c>
    </row>
    <row r="572" ht="17" customHeight="1">
      <c r="A572" s="117" t="inlineStr">
        <is>
          <t>ZS</t>
        </is>
      </c>
      <c r="B572" s="117" t="inlineStr">
        <is>
          <t>ZSCALER, INC.</t>
        </is>
      </c>
      <c r="C572" s="118" t="n">
        <v>1.092</v>
      </c>
      <c r="D572" s="118" t="n">
        <v>1.015</v>
      </c>
      <c r="E572" s="118" t="n">
        <v>0.778</v>
      </c>
      <c r="F572" s="118" t="n">
        <v>1.233</v>
      </c>
      <c r="G572" s="118" t="n">
        <v>1.225</v>
      </c>
      <c r="H572" s="118" t="n">
        <v>0.963</v>
      </c>
      <c r="I572" s="118" t="n">
        <v>0.987</v>
      </c>
      <c r="J572" s="118" t="n">
        <v>-0.158</v>
      </c>
      <c r="K572" s="118" t="n">
        <v>-2.972</v>
      </c>
      <c r="L572" s="119" t="inlineStr">
        <is>
          <t>✓ Lower Risk</t>
        </is>
      </c>
      <c r="M572" s="120" t="n">
        <v>0.187</v>
      </c>
      <c r="N572" s="120" t="n">
        <v>0.506</v>
      </c>
      <c r="O572" s="124" t="inlineStr">
        <is>
          <t>N/A</t>
        </is>
      </c>
      <c r="P572" s="120" t="n">
        <v>0.543</v>
      </c>
      <c r="Q572" s="120" t="n">
        <v>0.006</v>
      </c>
      <c r="R572" s="117" t="n">
        <v>1</v>
      </c>
      <c r="S572" s="118" t="n">
        <v>-2.325</v>
      </c>
      <c r="T572" s="118" t="n">
        <v>0.089</v>
      </c>
      <c r="U572" s="121" t="inlineStr">
        <is>
          <t>⚠ HIGH RISK</t>
        </is>
      </c>
      <c r="V572" s="117" t="n">
        <v>1</v>
      </c>
      <c r="W572" s="117" t="n">
        <v>1</v>
      </c>
      <c r="X572" s="117" t="n">
        <v>0</v>
      </c>
      <c r="Y572" s="117" t="n">
        <v>0</v>
      </c>
      <c r="Z572" s="117" t="n">
        <v>1</v>
      </c>
      <c r="AA572" s="117" t="n">
        <v>1</v>
      </c>
      <c r="AB572" s="117" t="n">
        <v>4</v>
      </c>
      <c r="AC572" s="121" t="inlineStr">
        <is>
          <t>⚠⚠ SERIOUS CONCERN</t>
        </is>
      </c>
      <c r="AD572" s="118" t="n">
        <v>972453000</v>
      </c>
      <c r="AE572" s="118" t="n">
        <v>-427022000</v>
      </c>
      <c r="AF572" s="118" t="n">
        <v>-41478000</v>
      </c>
      <c r="AG572" s="118" t="n">
        <v>-0.106</v>
      </c>
      <c r="AH572" s="119" t="inlineStr">
        <is>
          <t>✓ High Quality</t>
        </is>
      </c>
      <c r="AI572" s="118" t="n">
        <v>0.347</v>
      </c>
      <c r="AJ572" s="120" t="n">
        <v>0.233</v>
      </c>
      <c r="AK572" s="120" t="n">
        <v>1.489</v>
      </c>
      <c r="AL572" s="120" t="n">
        <v>0.364</v>
      </c>
      <c r="AM572" s="120" t="n">
        <v>0.154</v>
      </c>
      <c r="AN572" s="118" t="n">
        <v>93</v>
      </c>
      <c r="AO572" s="119" t="inlineStr">
        <is>
          <t>✓ Good</t>
        </is>
      </c>
      <c r="AP572" s="117" t="n">
        <v>0</v>
      </c>
      <c r="AQ572" s="117" t="n">
        <v>0</v>
      </c>
      <c r="AR572" s="117" t="n">
        <v>1</v>
      </c>
      <c r="AS572" s="117" t="n">
        <v>0</v>
      </c>
      <c r="AT572" s="117" t="n">
        <v>1</v>
      </c>
      <c r="AU572" s="117" t="n">
        <v>1</v>
      </c>
      <c r="AV572" s="117" t="n">
        <v>3</v>
      </c>
      <c r="AW572" s="121" t="inlineStr">
        <is>
          <t>⚠ WATCH</t>
        </is>
      </c>
      <c r="AX572" s="118" t="n">
        <v>37.3</v>
      </c>
      <c r="AY572" s="119" t="inlineStr">
        <is>
          <t>🟢 LOW RISK</t>
        </is>
      </c>
      <c r="AZ572" s="118" t="n">
        <v>135.5</v>
      </c>
      <c r="BA572" s="118" t="n">
        <v>124</v>
      </c>
      <c r="BB572" s="124" t="inlineStr">
        <is>
          <t>N/A</t>
        </is>
      </c>
      <c r="BC572" s="124" t="inlineStr">
        <is>
          <t>N/A</t>
        </is>
      </c>
      <c r="BD572" s="118" t="n">
        <v>1240.6</v>
      </c>
      <c r="BE572" s="118" t="n">
        <v>616.5</v>
      </c>
      <c r="BF572" s="120" t="n">
        <v>-1.268</v>
      </c>
      <c r="BG572" s="117" t="n">
        <v>0.543</v>
      </c>
      <c r="BH572" s="122" t="n">
        <v>8</v>
      </c>
      <c r="BI572" s="123" t="n">
        <v>1</v>
      </c>
    </row>
    <row r="573" ht="17" customHeight="1">
      <c r="A573" s="117" t="inlineStr">
        <is>
          <t>NWL</t>
        </is>
      </c>
      <c r="B573" s="117" t="inlineStr">
        <is>
          <t>NEWELL BRANDS INC.</t>
        </is>
      </c>
      <c r="C573" s="118" t="n">
        <v>1.011</v>
      </c>
      <c r="D573" s="118" t="n">
        <v>1.164</v>
      </c>
      <c r="E573" s="118" t="n">
        <v>0.992</v>
      </c>
      <c r="F573" s="118" t="n">
        <v>1.111</v>
      </c>
      <c r="G573" s="118" t="n">
        <v>1.03</v>
      </c>
      <c r="H573" s="118" t="n">
        <v>0.857</v>
      </c>
      <c r="I573" s="118" t="n">
        <v>1.036</v>
      </c>
      <c r="J573" s="118" t="n">
        <v>-0.051</v>
      </c>
      <c r="K573" s="118" t="n">
        <v>-2.51</v>
      </c>
      <c r="L573" s="119" t="inlineStr">
        <is>
          <t>✓ Lower Risk</t>
        </is>
      </c>
      <c r="M573" s="120" t="n">
        <v>-0.031</v>
      </c>
      <c r="N573" s="120" t="n">
        <v>0.074</v>
      </c>
      <c r="O573" s="120" t="n">
        <v>-0.081</v>
      </c>
      <c r="P573" s="120" t="n">
        <v>0.871</v>
      </c>
      <c r="Q573" s="120" t="n">
        <v>-0.007</v>
      </c>
      <c r="R573" s="117" t="n">
        <v>1</v>
      </c>
      <c r="S573" s="118" t="n">
        <v>-3.026</v>
      </c>
      <c r="T573" s="118" t="n">
        <v>0.046</v>
      </c>
      <c r="U573" s="121" t="inlineStr">
        <is>
          <t>⚠ HIGH RISK</t>
        </is>
      </c>
      <c r="V573" s="117" t="n">
        <v>1</v>
      </c>
      <c r="W573" s="117" t="n">
        <v>1</v>
      </c>
      <c r="X573" s="117" t="n">
        <v>0</v>
      </c>
      <c r="Y573" s="117" t="n">
        <v>1</v>
      </c>
      <c r="Z573" s="117" t="n">
        <v>0</v>
      </c>
      <c r="AA573" s="117" t="n">
        <v>0</v>
      </c>
      <c r="AB573" s="117" t="n">
        <v>3</v>
      </c>
      <c r="AC573" s="121" t="inlineStr">
        <is>
          <t>⚠ WATCH</t>
        </is>
      </c>
      <c r="AD573" s="118" t="n">
        <v>264000000</v>
      </c>
      <c r="AE573" s="118" t="n">
        <v>-164000000</v>
      </c>
      <c r="AF573" s="118" t="n">
        <v>-285000000</v>
      </c>
      <c r="AG573" s="118" t="n">
        <v>-0.035</v>
      </c>
      <c r="AH573" s="119" t="inlineStr">
        <is>
          <t>✓ Medium Quality</t>
        </is>
      </c>
      <c r="AI573" s="118" t="n">
        <v>0.124</v>
      </c>
      <c r="AJ573" s="120" t="n">
        <v>0.111</v>
      </c>
      <c r="AK573" s="120" t="n">
        <v>1.114</v>
      </c>
      <c r="AL573" s="120" t="n">
        <v>0.018</v>
      </c>
      <c r="AM573" s="120" t="n">
        <v>-0</v>
      </c>
      <c r="AN573" s="118" t="n">
        <v>70.09999999999999</v>
      </c>
      <c r="AO573" s="119" t="inlineStr">
        <is>
          <t>✓ Good</t>
        </is>
      </c>
      <c r="AP573" s="117" t="n">
        <v>0</v>
      </c>
      <c r="AQ573" s="117" t="n">
        <v>0</v>
      </c>
      <c r="AR573" s="117" t="n">
        <v>1</v>
      </c>
      <c r="AS573" s="117" t="n">
        <v>0</v>
      </c>
      <c r="AT573" s="117" t="n">
        <v>1</v>
      </c>
      <c r="AU573" s="117" t="n">
        <v>1</v>
      </c>
      <c r="AV573" s="117" t="n">
        <v>3</v>
      </c>
      <c r="AW573" s="121" t="inlineStr">
        <is>
          <t>⚠ WATCH</t>
        </is>
      </c>
      <c r="AX573" s="118" t="n">
        <v>28.6</v>
      </c>
      <c r="AY573" s="119" t="inlineStr">
        <is>
          <t>🟢 LOW RISK</t>
        </is>
      </c>
      <c r="AZ573" s="118" t="n">
        <v>24.4</v>
      </c>
      <c r="BA573" s="118" t="n">
        <v>24.2</v>
      </c>
      <c r="BB573" s="118" t="n">
        <v>98</v>
      </c>
      <c r="BC573" s="118" t="n">
        <v>101.5</v>
      </c>
      <c r="BD573" s="118" t="n">
        <v>71.2</v>
      </c>
      <c r="BE573" s="118" t="n">
        <v>64.59999999999999</v>
      </c>
      <c r="BF573" s="120" t="n">
        <v>0.053</v>
      </c>
      <c r="BG573" s="117" t="n">
        <v>0.871</v>
      </c>
      <c r="BH573" s="122" t="n">
        <v>7</v>
      </c>
      <c r="BI573" s="123" t="n">
        <v>1</v>
      </c>
    </row>
    <row r="574" ht="17" customHeight="1">
      <c r="A574" s="117" t="inlineStr">
        <is>
          <t>TEAM</t>
        </is>
      </c>
      <c r="B574" s="117" t="inlineStr">
        <is>
          <t>Atlassian Corporation</t>
        </is>
      </c>
      <c r="C574" s="118" t="n">
        <v>1.036</v>
      </c>
      <c r="D574" s="118" t="n">
        <v>0.985</v>
      </c>
      <c r="E574" s="118" t="n">
        <v>0.861</v>
      </c>
      <c r="F574" s="118" t="n">
        <v>1.197</v>
      </c>
      <c r="G574" s="118" t="n">
        <v>1.02</v>
      </c>
      <c r="H574" s="118" t="n">
        <v>0.886</v>
      </c>
      <c r="I574" s="118" t="n">
        <v>0.969</v>
      </c>
      <c r="J574" s="118" t="n">
        <v>-0.284</v>
      </c>
      <c r="K574" s="118" t="n">
        <v>-3.634</v>
      </c>
      <c r="L574" s="119" t="inlineStr">
        <is>
          <t>✓ Lower Risk</t>
        </is>
      </c>
      <c r="M574" s="120" t="n">
        <v>-0.03</v>
      </c>
      <c r="N574" s="120" t="n">
        <v>0.175</v>
      </c>
      <c r="O574" s="124" t="inlineStr">
        <is>
          <t>N/A</t>
        </is>
      </c>
      <c r="P574" s="120" t="n">
        <v>0.5669999999999999</v>
      </c>
      <c r="Q574" s="120" t="n">
        <v>0.015</v>
      </c>
      <c r="R574" s="117" t="n">
        <v>0</v>
      </c>
      <c r="S574" s="118" t="n">
        <v>-6.361</v>
      </c>
      <c r="T574" s="118" t="n">
        <v>0.002</v>
      </c>
      <c r="U574" s="119" t="inlineStr">
        <is>
          <t>✓ Normal</t>
        </is>
      </c>
      <c r="V574" s="117" t="n">
        <v>1</v>
      </c>
      <c r="W574" s="117" t="n">
        <v>1</v>
      </c>
      <c r="X574" s="117" t="n">
        <v>0</v>
      </c>
      <c r="Y574" s="117" t="n">
        <v>0</v>
      </c>
      <c r="Z574" s="117" t="n">
        <v>0</v>
      </c>
      <c r="AA574" s="117" t="n">
        <v>1</v>
      </c>
      <c r="AB574" s="117" t="n">
        <v>3</v>
      </c>
      <c r="AC574" s="121" t="inlineStr">
        <is>
          <t>⚠ WATCH</t>
        </is>
      </c>
      <c r="AD574" s="118" t="n">
        <v>1460393000</v>
      </c>
      <c r="AE574" s="118" t="n">
        <v>-342322000</v>
      </c>
      <c r="AF574" s="118" t="n">
        <v>-256687000</v>
      </c>
      <c r="AG574" s="118" t="n">
        <v>-0.244</v>
      </c>
      <c r="AH574" s="119" t="inlineStr">
        <is>
          <t>✓ High Quality</t>
        </is>
      </c>
      <c r="AI574" s="118" t="n">
        <v>0.239</v>
      </c>
      <c r="AJ574" s="120" t="n">
        <v>0.197</v>
      </c>
      <c r="AK574" s="120" t="n">
        <v>1.217</v>
      </c>
      <c r="AL574" s="120" t="n">
        <v>0.28</v>
      </c>
      <c r="AM574" s="120" t="n">
        <v>0.081</v>
      </c>
      <c r="AN574" s="118" t="n">
        <v>97.5</v>
      </c>
      <c r="AO574" s="119" t="inlineStr">
        <is>
          <t>✓ Good</t>
        </is>
      </c>
      <c r="AP574" s="117" t="n">
        <v>0</v>
      </c>
      <c r="AQ574" s="117" t="n">
        <v>0</v>
      </c>
      <c r="AR574" s="117" t="n">
        <v>0</v>
      </c>
      <c r="AS574" s="117" t="n">
        <v>0</v>
      </c>
      <c r="AT574" s="117" t="n">
        <v>1</v>
      </c>
      <c r="AU574" s="117" t="n">
        <v>0</v>
      </c>
      <c r="AV574" s="117" t="n">
        <v>1</v>
      </c>
      <c r="AW574" s="119" t="inlineStr">
        <is>
          <t>✓ Clean</t>
        </is>
      </c>
      <c r="AX574" s="118" t="n">
        <v>19.7</v>
      </c>
      <c r="AY574" s="119" t="inlineStr">
        <is>
          <t>🟢 VERY LOW RISK</t>
        </is>
      </c>
      <c r="AZ574" s="118" t="n">
        <v>54.5</v>
      </c>
      <c r="BA574" s="118" t="n">
        <v>52.6</v>
      </c>
      <c r="BB574" s="124" t="inlineStr">
        <is>
          <t>N/A</t>
        </is>
      </c>
      <c r="BC574" s="124" t="inlineStr">
        <is>
          <t>N/A</t>
        </is>
      </c>
      <c r="BD574" s="118" t="n">
        <v>90.59999999999999</v>
      </c>
      <c r="BE574" s="118" t="n">
        <v>80.7</v>
      </c>
      <c r="BF574" s="120" t="n">
        <v>-1.596</v>
      </c>
      <c r="BG574" s="117" t="n">
        <v>0.5669999999999999</v>
      </c>
      <c r="BH574" s="122" t="n">
        <v>4</v>
      </c>
      <c r="BI574" s="123" t="n">
        <v>1</v>
      </c>
    </row>
    <row r="575" ht="17" customHeight="1">
      <c r="A575" s="117" t="inlineStr">
        <is>
          <t>PCTY</t>
        </is>
      </c>
      <c r="B575" s="117" t="inlineStr">
        <is>
          <t>PAYLOCITY HOLDING CORPORATION</t>
        </is>
      </c>
      <c r="C575" s="118" t="n">
        <v>1.11</v>
      </c>
      <c r="D575" s="118" t="n">
        <v>0.996</v>
      </c>
      <c r="E575" s="118" t="n">
        <v>1.499</v>
      </c>
      <c r="F575" s="118" t="n">
        <v>1.137</v>
      </c>
      <c r="G575" s="118" t="n">
        <v>0.861</v>
      </c>
      <c r="H575" s="118" t="n">
        <v>0.999</v>
      </c>
      <c r="I575" s="118" t="n">
        <v>0.95</v>
      </c>
      <c r="J575" s="118" t="n">
        <v>-0.044</v>
      </c>
      <c r="K575" s="118" t="n">
        <v>-2.26</v>
      </c>
      <c r="L575" s="119" t="inlineStr">
        <is>
          <t>✓ Lower Risk</t>
        </is>
      </c>
      <c r="M575" s="120" t="n">
        <v>-0.022</v>
      </c>
      <c r="N575" s="120" t="n">
        <v>0.045</v>
      </c>
      <c r="O575" s="124" t="inlineStr">
        <is>
          <t>N/A</t>
        </is>
      </c>
      <c r="P575" s="120" t="n">
        <v>0.897</v>
      </c>
      <c r="Q575" s="120" t="n">
        <v>0.003</v>
      </c>
      <c r="R575" s="117" t="n">
        <v>0</v>
      </c>
      <c r="S575" s="118" t="n">
        <v>-6.024</v>
      </c>
      <c r="T575" s="118" t="n">
        <v>0.002</v>
      </c>
      <c r="U575" s="119" t="inlineStr">
        <is>
          <t>✓ Normal</t>
        </is>
      </c>
      <c r="V575" s="117" t="n">
        <v>1</v>
      </c>
      <c r="W575" s="117" t="n">
        <v>1</v>
      </c>
      <c r="X575" s="117" t="n">
        <v>0</v>
      </c>
      <c r="Y575" s="117" t="n">
        <v>0</v>
      </c>
      <c r="Z575" s="117" t="n">
        <v>0</v>
      </c>
      <c r="AA575" s="117" t="n">
        <v>0</v>
      </c>
      <c r="AB575" s="117" t="n">
        <v>2</v>
      </c>
      <c r="AC575" s="121" t="inlineStr">
        <is>
          <t>⚠ WATCH</t>
        </is>
      </c>
      <c r="AD575" s="118" t="n">
        <v>418226000</v>
      </c>
      <c r="AE575" s="118" t="n">
        <v>-455548000</v>
      </c>
      <c r="AF575" s="118" t="n">
        <v>227127000</v>
      </c>
      <c r="AG575" s="118" t="n">
        <v>0.061</v>
      </c>
      <c r="AH575" s="119" t="inlineStr">
        <is>
          <t>✓ Medium Quality</t>
        </is>
      </c>
      <c r="AI575" s="118" t="n">
        <v>0.262</v>
      </c>
      <c r="AJ575" s="120" t="n">
        <v>0.137</v>
      </c>
      <c r="AK575" s="120" t="n">
        <v>1.907</v>
      </c>
      <c r="AL575" s="120" t="n">
        <v>0.262</v>
      </c>
      <c r="AM575" s="120" t="n">
        <v>0.006</v>
      </c>
      <c r="AN575" s="118" t="n">
        <v>73.09999999999999</v>
      </c>
      <c r="AO575" s="119" t="inlineStr">
        <is>
          <t>✓ Good</t>
        </is>
      </c>
      <c r="AP575" s="117" t="n">
        <v>0</v>
      </c>
      <c r="AQ575" s="117" t="n">
        <v>0</v>
      </c>
      <c r="AR575" s="117" t="n">
        <v>0</v>
      </c>
      <c r="AS575" s="117" t="n">
        <v>0</v>
      </c>
      <c r="AT575" s="117" t="n">
        <v>1</v>
      </c>
      <c r="AU575" s="117" t="n">
        <v>0</v>
      </c>
      <c r="AV575" s="117" t="n">
        <v>1</v>
      </c>
      <c r="AW575" s="119" t="inlineStr">
        <is>
          <t>✓ Clean</t>
        </is>
      </c>
      <c r="AX575" s="118" t="n">
        <v>18.2</v>
      </c>
      <c r="AY575" s="119" t="inlineStr">
        <is>
          <t>🟢 VERY LOW RISK</t>
        </is>
      </c>
      <c r="AZ575" s="118" t="n">
        <v>9.5</v>
      </c>
      <c r="BA575" s="118" t="n">
        <v>8.6</v>
      </c>
      <c r="BB575" s="124" t="inlineStr">
        <is>
          <t>N/A</t>
        </is>
      </c>
      <c r="BC575" s="124" t="inlineStr">
        <is>
          <t>N/A</t>
        </is>
      </c>
      <c r="BD575" s="118" t="n">
        <v>12.7</v>
      </c>
      <c r="BE575" s="118" t="n">
        <v>7.1</v>
      </c>
      <c r="BF575" s="120" t="n">
        <v>0.265</v>
      </c>
      <c r="BG575" s="117" t="n">
        <v>0.897</v>
      </c>
      <c r="BH575" s="122" t="n">
        <v>3</v>
      </c>
      <c r="BI575" s="123" t="n">
        <v>1</v>
      </c>
    </row>
    <row r="576" ht="17" customHeight="1">
      <c r="A576" s="117" t="inlineStr">
        <is>
          <t>NOG</t>
        </is>
      </c>
      <c r="B576" s="117" t="inlineStr">
        <is>
          <t>NORTHERN OIL &amp; GAS, INC.</t>
        </is>
      </c>
      <c r="C576" s="118" t="n">
        <v>0.8070000000000001</v>
      </c>
      <c r="D576" s="118" t="n">
        <v>0.998</v>
      </c>
      <c r="E576" s="118" t="n">
        <v>3.814</v>
      </c>
      <c r="F576" s="118" t="n">
        <v>1.112</v>
      </c>
      <c r="G576" s="118" t="n">
        <v>1.868</v>
      </c>
      <c r="H576" s="118" t="n">
        <v>1.093</v>
      </c>
      <c r="I576" s="118" t="n">
        <v>1.036</v>
      </c>
      <c r="J576" s="118" t="n">
        <v>-0.271</v>
      </c>
      <c r="K576" s="118" t="n">
        <v>-2.618</v>
      </c>
      <c r="L576" s="119" t="inlineStr">
        <is>
          <t>✓ Lower Risk</t>
        </is>
      </c>
      <c r="M576" s="120" t="n">
        <v>0.016</v>
      </c>
      <c r="N576" s="120" t="n">
        <v>-0.159</v>
      </c>
      <c r="O576" s="124" t="inlineStr">
        <is>
          <t>N/A</t>
        </is>
      </c>
      <c r="P576" s="120" t="n">
        <v>0.12</v>
      </c>
      <c r="Q576" s="120" t="n">
        <v>-0.08599999999999999</v>
      </c>
      <c r="R576" s="117" t="n">
        <v>0</v>
      </c>
      <c r="S576" s="118" t="n">
        <v>-8.006</v>
      </c>
      <c r="T576" s="118" t="n">
        <v>0</v>
      </c>
      <c r="U576" s="119" t="inlineStr">
        <is>
          <t>✓ Normal</t>
        </is>
      </c>
      <c r="V576" s="117" t="n">
        <v>0</v>
      </c>
      <c r="W576" s="117" t="n">
        <v>0</v>
      </c>
      <c r="X576" s="117" t="n">
        <v>0</v>
      </c>
      <c r="Y576" s="117" t="n">
        <v>1</v>
      </c>
      <c r="Z576" s="117" t="n">
        <v>1</v>
      </c>
      <c r="AA576" s="117" t="n">
        <v>0</v>
      </c>
      <c r="AB576" s="117" t="n">
        <v>2</v>
      </c>
      <c r="AC576" s="121" t="inlineStr">
        <is>
          <t>⚠ WATCH</t>
        </is>
      </c>
      <c r="AD576" s="118" t="n">
        <v>1505288000</v>
      </c>
      <c r="AE576" s="118" t="n">
        <v>-1252462000</v>
      </c>
      <c r="AF576" s="118" t="n">
        <v>38761000</v>
      </c>
      <c r="AG576" s="118" t="n">
        <v>-0.039</v>
      </c>
      <c r="AH576" s="119" t="inlineStr">
        <is>
          <t>✓ Medium Quality</t>
        </is>
      </c>
      <c r="AI576" s="118" t="n">
        <v>-0.102</v>
      </c>
      <c r="AJ576" s="120" t="n">
        <v>0.112</v>
      </c>
      <c r="AK576" s="120" t="n">
        <v>-0.908</v>
      </c>
      <c r="AL576" s="120" t="n">
        <v>0.608</v>
      </c>
      <c r="AM576" s="124" t="inlineStr">
        <is>
          <t>N/A</t>
        </is>
      </c>
      <c r="AN576" s="117" t="n">
        <v>100</v>
      </c>
      <c r="AO576" s="119" t="inlineStr">
        <is>
          <t>✓ Good</t>
        </is>
      </c>
      <c r="AP576" s="117" t="n">
        <v>0</v>
      </c>
      <c r="AQ576" s="117" t="n">
        <v>0</v>
      </c>
      <c r="AR576" s="117" t="n">
        <v>0</v>
      </c>
      <c r="AS576" s="117" t="n">
        <v>1</v>
      </c>
      <c r="AT576" s="117" t="n">
        <v>0</v>
      </c>
      <c r="AU576" s="117" t="n">
        <v>0</v>
      </c>
      <c r="AV576" s="117" t="n">
        <v>1</v>
      </c>
      <c r="AW576" s="119" t="inlineStr">
        <is>
          <t>✓ Clean</t>
        </is>
      </c>
      <c r="AX576" s="118" t="n">
        <v>15</v>
      </c>
      <c r="AY576" s="119" t="inlineStr">
        <is>
          <t>🟢 VERY LOW RISK</t>
        </is>
      </c>
      <c r="AZ576" s="118" t="n">
        <v>51.6</v>
      </c>
      <c r="BA576" s="118" t="n">
        <v>63.9</v>
      </c>
      <c r="BB576" s="124" t="inlineStr">
        <is>
          <t>N/A</t>
        </is>
      </c>
      <c r="BC576" s="124" t="inlineStr">
        <is>
          <t>N/A</t>
        </is>
      </c>
      <c r="BD576" s="118" t="n">
        <v>168.5</v>
      </c>
      <c r="BE576" s="118" t="n">
        <v>172.3</v>
      </c>
      <c r="BF576" s="120" t="n">
        <v>0.382</v>
      </c>
      <c r="BG576" s="117" t="n">
        <v>0.12</v>
      </c>
      <c r="BH576" s="122" t="n">
        <v>3</v>
      </c>
      <c r="BI576" s="123" t="n">
        <v>1</v>
      </c>
    </row>
    <row r="577" ht="17" customHeight="1">
      <c r="A577" s="117" t="inlineStr">
        <is>
          <t>AME</t>
        </is>
      </c>
      <c r="B577" s="117" t="inlineStr">
        <is>
          <t>AMETEK, Inc.</t>
        </is>
      </c>
      <c r="C577" s="118" t="n">
        <v>1.106</v>
      </c>
      <c r="D577" s="118" t="n">
        <v>0.99</v>
      </c>
      <c r="E577" s="118" t="n">
        <v>0.99</v>
      </c>
      <c r="F577" s="118" t="n">
        <v>1.066</v>
      </c>
      <c r="G577" s="118" t="n">
        <v>0.963</v>
      </c>
      <c r="H577" s="118" t="n">
        <v>1.019</v>
      </c>
      <c r="I577" s="118" t="n">
        <v>0.995</v>
      </c>
      <c r="J577" s="118" t="n">
        <v>-0.02</v>
      </c>
      <c r="K577" s="118" t="n">
        <v>-2.432</v>
      </c>
      <c r="L577" s="119" t="inlineStr">
        <is>
          <t>✓ Lower Risk</t>
        </is>
      </c>
      <c r="M577" s="120" t="n">
        <v>-0.052</v>
      </c>
      <c r="N577" s="120" t="n">
        <v>0.371</v>
      </c>
      <c r="O577" s="120" t="n">
        <v>0.184</v>
      </c>
      <c r="P577" s="120" t="n">
        <v>0.918</v>
      </c>
      <c r="Q577" s="120" t="n">
        <v>-0.002</v>
      </c>
      <c r="R577" s="117" t="n">
        <v>0</v>
      </c>
      <c r="S577" s="118" t="n">
        <v>-4.964</v>
      </c>
      <c r="T577" s="118" t="n">
        <v>0.007</v>
      </c>
      <c r="U577" s="119" t="inlineStr">
        <is>
          <t>✓ Normal</t>
        </is>
      </c>
      <c r="V577" s="117" t="n">
        <v>1</v>
      </c>
      <c r="W577" s="117" t="n">
        <v>1</v>
      </c>
      <c r="X577" s="117" t="n">
        <v>1</v>
      </c>
      <c r="Y577" s="117" t="n">
        <v>0</v>
      </c>
      <c r="Z577" s="117" t="n">
        <v>0</v>
      </c>
      <c r="AA577" s="117" t="n">
        <v>0</v>
      </c>
      <c r="AB577" s="117" t="n">
        <v>3</v>
      </c>
      <c r="AC577" s="121" t="inlineStr">
        <is>
          <t>⚠ WATCH</t>
        </is>
      </c>
      <c r="AD577" s="118" t="n">
        <v>1801763000</v>
      </c>
      <c r="AE577" s="118" t="n">
        <v>-1062770000</v>
      </c>
      <c r="AF577" s="118" t="n">
        <v>1480142000</v>
      </c>
      <c r="AG577" s="118" t="n">
        <v>0.048</v>
      </c>
      <c r="AH577" s="119" t="inlineStr">
        <is>
          <t>✓ Medium Quality</t>
        </is>
      </c>
      <c r="AI577" s="118" t="n">
        <v>0.18</v>
      </c>
      <c r="AJ577" s="120" t="n">
        <v>0.066</v>
      </c>
      <c r="AK577" s="120" t="n">
        <v>2.711</v>
      </c>
      <c r="AL577" s="120" t="n">
        <v>0.243</v>
      </c>
      <c r="AM577" s="120" t="n">
        <v>0.004</v>
      </c>
      <c r="AN577" s="118" t="n">
        <v>70.2</v>
      </c>
      <c r="AO577" s="119" t="inlineStr">
        <is>
          <t>✓ Good</t>
        </is>
      </c>
      <c r="AP577" s="117" t="n">
        <v>0</v>
      </c>
      <c r="AQ577" s="117" t="n">
        <v>0</v>
      </c>
      <c r="AR577" s="117" t="n">
        <v>0</v>
      </c>
      <c r="AS577" s="117" t="n">
        <v>1</v>
      </c>
      <c r="AT577" s="117" t="n">
        <v>1</v>
      </c>
      <c r="AU577" s="117" t="n">
        <v>0</v>
      </c>
      <c r="AV577" s="117" t="n">
        <v>2</v>
      </c>
      <c r="AW577" s="121" t="inlineStr">
        <is>
          <t>⚠ WATCH</t>
        </is>
      </c>
      <c r="AX577" s="118" t="n">
        <v>22.4</v>
      </c>
      <c r="AY577" s="119" t="inlineStr">
        <is>
          <t>🟢 LOW RISK</t>
        </is>
      </c>
      <c r="AZ577" s="118" t="n">
        <v>55.2</v>
      </c>
      <c r="BA577" s="118" t="n">
        <v>49.9</v>
      </c>
      <c r="BB577" s="118" t="n">
        <v>85.3</v>
      </c>
      <c r="BC577" s="118" t="n">
        <v>83.5</v>
      </c>
      <c r="BD577" s="118" t="n">
        <v>47.6</v>
      </c>
      <c r="BE577" s="118" t="n">
        <v>42.8</v>
      </c>
      <c r="BF577" s="120" t="n">
        <v>0.177</v>
      </c>
      <c r="BG577" s="117" t="n">
        <v>0.918</v>
      </c>
      <c r="BH577" s="122" t="n">
        <v>5</v>
      </c>
      <c r="BI577" s="123" t="n">
        <v>1</v>
      </c>
    </row>
    <row r="578" ht="17" customHeight="1">
      <c r="A578" s="117" t="inlineStr">
        <is>
          <t>CPRI</t>
        </is>
      </c>
      <c r="B578" s="117" t="inlineStr">
        <is>
          <t>Capri Holdings Ltd</t>
        </is>
      </c>
      <c r="C578" s="118" t="n">
        <v>0.974</v>
      </c>
      <c r="D578" s="118" t="n">
        <v>1.022</v>
      </c>
      <c r="E578" s="118" t="n">
        <v>0.867</v>
      </c>
      <c r="F578" s="118" t="n">
        <v>0.782</v>
      </c>
      <c r="G578" s="118" t="n">
        <v>1.112</v>
      </c>
      <c r="H578" s="118" t="n">
        <v>0.973</v>
      </c>
      <c r="I578" s="118" t="n">
        <v>1.049</v>
      </c>
      <c r="J578" s="118" t="n">
        <v>0.019</v>
      </c>
      <c r="K578" s="118" t="n">
        <v>-2.652</v>
      </c>
      <c r="L578" s="119" t="inlineStr">
        <is>
          <t>✓ Lower Risk</t>
        </is>
      </c>
      <c r="M578" s="120" t="n">
        <v>-0.024</v>
      </c>
      <c r="N578" s="120" t="n">
        <v>-0.068</v>
      </c>
      <c r="O578" s="120" t="n">
        <v>-0.298</v>
      </c>
      <c r="P578" s="120" t="n">
        <v>0.844</v>
      </c>
      <c r="Q578" s="120" t="n">
        <v>0.269</v>
      </c>
      <c r="R578" s="117" t="n">
        <v>0</v>
      </c>
      <c r="S578" s="118" t="n">
        <v>-6.886</v>
      </c>
      <c r="T578" s="118" t="n">
        <v>0.001</v>
      </c>
      <c r="U578" s="119" t="inlineStr">
        <is>
          <t>✓ Normal</t>
        </is>
      </c>
      <c r="V578" s="117" t="n">
        <v>1</v>
      </c>
      <c r="W578" s="117" t="n">
        <v>0</v>
      </c>
      <c r="X578" s="117" t="n">
        <v>0</v>
      </c>
      <c r="Y578" s="117" t="n">
        <v>1</v>
      </c>
      <c r="Z578" s="117" t="n">
        <v>0</v>
      </c>
      <c r="AA578" s="117" t="n">
        <v>0</v>
      </c>
      <c r="AB578" s="117" t="n">
        <v>2</v>
      </c>
      <c r="AC578" s="121" t="inlineStr">
        <is>
          <t>⚠ WATCH</t>
        </is>
      </c>
      <c r="AD578" s="118" t="n">
        <v>77000000</v>
      </c>
      <c r="AE578" s="118" t="n">
        <v>1219000000</v>
      </c>
      <c r="AF578" s="118" t="n">
        <v>137000000</v>
      </c>
      <c r="AG578" s="118" t="n">
        <v>-0.274</v>
      </c>
      <c r="AH578" s="119" t="inlineStr">
        <is>
          <t>✓ High Quality</t>
        </is>
      </c>
      <c r="AI578" s="118" t="n">
        <v>-0.238</v>
      </c>
      <c r="AJ578" s="120" t="n">
        <v>-0.218</v>
      </c>
      <c r="AK578" s="120" t="n">
        <v>1.093</v>
      </c>
      <c r="AL578" s="120" t="n">
        <v>0.022</v>
      </c>
      <c r="AM578" s="120" t="n">
        <v>0.001</v>
      </c>
      <c r="AN578" s="118" t="n">
        <v>71.7</v>
      </c>
      <c r="AO578" s="119" t="inlineStr">
        <is>
          <t>✓ Good</t>
        </is>
      </c>
      <c r="AP578" s="117" t="n">
        <v>1</v>
      </c>
      <c r="AQ578" s="117" t="n">
        <v>1</v>
      </c>
      <c r="AR578" s="117" t="n">
        <v>1</v>
      </c>
      <c r="AS578" s="117" t="n">
        <v>0</v>
      </c>
      <c r="AT578" s="117" t="n">
        <v>0</v>
      </c>
      <c r="AU578" s="117" t="n">
        <v>0</v>
      </c>
      <c r="AV578" s="117" t="n">
        <v>3</v>
      </c>
      <c r="AW578" s="121" t="inlineStr">
        <is>
          <t>⚠ WATCH</t>
        </is>
      </c>
      <c r="AX578" s="118" t="n">
        <v>22.8</v>
      </c>
      <c r="AY578" s="119" t="inlineStr">
        <is>
          <t>🟢 LOW RISK</t>
        </is>
      </c>
      <c r="AZ578" s="118" t="n">
        <v>22.2</v>
      </c>
      <c r="BA578" s="118" t="n">
        <v>22.8</v>
      </c>
      <c r="BB578" s="118" t="n">
        <v>111.9</v>
      </c>
      <c r="BC578" s="118" t="n">
        <v>166.1</v>
      </c>
      <c r="BD578" s="118" t="n">
        <v>59.9</v>
      </c>
      <c r="BE578" s="118" t="n">
        <v>92.7</v>
      </c>
      <c r="BF578" s="120" t="n">
        <v>0.252</v>
      </c>
      <c r="BG578" s="117" t="n">
        <v>0.844</v>
      </c>
      <c r="BH578" s="122" t="n">
        <v>5</v>
      </c>
      <c r="BI578" s="123" t="n">
        <v>1</v>
      </c>
    </row>
    <row r="579" ht="17" customHeight="1">
      <c r="A579" s="117" t="inlineStr">
        <is>
          <t>TRU</t>
        </is>
      </c>
      <c r="B579" s="117" t="inlineStr">
        <is>
          <t>TransUnion</t>
        </is>
      </c>
      <c r="C579" s="118" t="n">
        <v>1.036</v>
      </c>
      <c r="D579" s="118" t="n">
        <v>1.003</v>
      </c>
      <c r="E579" s="118" t="n">
        <v>0.973</v>
      </c>
      <c r="F579" s="118" t="n">
        <v>1.094</v>
      </c>
      <c r="G579" s="118" t="n">
        <v>1.052</v>
      </c>
      <c r="H579" s="118" t="n">
        <v>0.9330000000000001</v>
      </c>
      <c r="I579" s="118" t="n">
        <v>0.974</v>
      </c>
      <c r="J579" s="118" t="n">
        <v>-0.048</v>
      </c>
      <c r="K579" s="118" t="n">
        <v>-2.571</v>
      </c>
      <c r="L579" s="119" t="inlineStr">
        <is>
          <t>✓ Lower Risk</t>
        </is>
      </c>
      <c r="M579" s="120" t="n">
        <v>-0.057</v>
      </c>
      <c r="N579" s="120" t="n">
        <v>0.27</v>
      </c>
      <c r="O579" s="124" t="inlineStr">
        <is>
          <t>N/A</t>
        </is>
      </c>
      <c r="P579" s="120" t="n">
        <v>0.9</v>
      </c>
      <c r="Q579" s="120" t="n">
        <v>0.015</v>
      </c>
      <c r="R579" s="117" t="n">
        <v>0</v>
      </c>
      <c r="S579" s="118" t="n">
        <v>-5.483</v>
      </c>
      <c r="T579" s="118" t="n">
        <v>0.004</v>
      </c>
      <c r="U579" s="119" t="inlineStr">
        <is>
          <t>✓ Normal</t>
        </is>
      </c>
      <c r="V579" s="117" t="n">
        <v>1</v>
      </c>
      <c r="W579" s="117" t="n">
        <v>1</v>
      </c>
      <c r="X579" s="117" t="n">
        <v>0</v>
      </c>
      <c r="Y579" s="117" t="n">
        <v>0</v>
      </c>
      <c r="Z579" s="117" t="n">
        <v>0</v>
      </c>
      <c r="AA579" s="117" t="n">
        <v>0</v>
      </c>
      <c r="AB579" s="117" t="n">
        <v>2</v>
      </c>
      <c r="AC579" s="121" t="inlineStr">
        <is>
          <t>⚠ WATCH</t>
        </is>
      </c>
      <c r="AD579" s="118" t="n">
        <v>987600000</v>
      </c>
      <c r="AE579" s="118" t="n">
        <v>-331700000</v>
      </c>
      <c r="AF579" s="118" t="n">
        <v>455400000</v>
      </c>
      <c r="AG579" s="118" t="n">
        <v>-0.018</v>
      </c>
      <c r="AH579" s="119" t="inlineStr">
        <is>
          <t>✓ Medium Quality</t>
        </is>
      </c>
      <c r="AI579" s="118" t="n">
        <v>0.133</v>
      </c>
      <c r="AJ579" s="120" t="n">
        <v>0.094</v>
      </c>
      <c r="AK579" s="120" t="n">
        <v>1.416</v>
      </c>
      <c r="AL579" s="120" t="n">
        <v>0.216</v>
      </c>
      <c r="AM579" s="120" t="n">
        <v>-0.001</v>
      </c>
      <c r="AN579" s="118" t="n">
        <v>87.5</v>
      </c>
      <c r="AO579" s="119" t="inlineStr">
        <is>
          <t>✓ Good</t>
        </is>
      </c>
      <c r="AP579" s="117" t="n">
        <v>0</v>
      </c>
      <c r="AQ579" s="117" t="n">
        <v>0</v>
      </c>
      <c r="AR579" s="117" t="n">
        <v>1</v>
      </c>
      <c r="AS579" s="117" t="n">
        <v>0</v>
      </c>
      <c r="AT579" s="117" t="n">
        <v>0</v>
      </c>
      <c r="AU579" s="117" t="n">
        <v>0</v>
      </c>
      <c r="AV579" s="117" t="n">
        <v>1</v>
      </c>
      <c r="AW579" s="119" t="inlineStr">
        <is>
          <t>✓ Clean</t>
        </is>
      </c>
      <c r="AX579" s="118" t="n">
        <v>15.9</v>
      </c>
      <c r="AY579" s="119" t="inlineStr">
        <is>
          <t>🟢 VERY LOW RISK</t>
        </is>
      </c>
      <c r="AZ579" s="118" t="n">
        <v>72.2</v>
      </c>
      <c r="BA579" s="118" t="n">
        <v>69.7</v>
      </c>
      <c r="BB579" s="124" t="inlineStr">
        <is>
          <t>N/A</t>
        </is>
      </c>
      <c r="BC579" s="124" t="inlineStr">
        <is>
          <t>N/A</t>
        </is>
      </c>
      <c r="BD579" s="124" t="inlineStr">
        <is>
          <t>N/A</t>
        </is>
      </c>
      <c r="BE579" s="124" t="inlineStr">
        <is>
          <t>N/A</t>
        </is>
      </c>
      <c r="BF579" s="120" t="n">
        <v>0.269</v>
      </c>
      <c r="BG579" s="117" t="n">
        <v>0.9</v>
      </c>
      <c r="BH579" s="122" t="n">
        <v>3</v>
      </c>
      <c r="BI579" s="123" t="n">
        <v>1</v>
      </c>
    </row>
    <row r="580" ht="17" customHeight="1">
      <c r="A580" s="117" t="inlineStr">
        <is>
          <t>GPN</t>
        </is>
      </c>
      <c r="B580" s="117" t="inlineStr">
        <is>
          <t>GLOBAL PAYMENTS INC.</t>
        </is>
      </c>
      <c r="C580" s="118" t="n">
        <v>0.192</v>
      </c>
      <c r="D580" s="118" t="n">
        <v>-5.48</v>
      </c>
      <c r="E580" s="118" t="n">
        <v>0.872</v>
      </c>
      <c r="F580" s="118" t="n">
        <v>3.771</v>
      </c>
      <c r="G580" s="118" t="n">
        <v>1.311</v>
      </c>
      <c r="H580" s="118" t="n">
        <v>0.255</v>
      </c>
      <c r="I580" s="118" t="n">
        <v>1.088</v>
      </c>
      <c r="J580" s="118" t="n">
        <v>-0.024</v>
      </c>
      <c r="K580" s="118" t="n">
        <v>-4.2</v>
      </c>
      <c r="L580" s="119" t="inlineStr">
        <is>
          <t>✓ Lower Risk</t>
        </is>
      </c>
      <c r="M580" s="120" t="n">
        <v>-0.031</v>
      </c>
      <c r="N580" s="120" t="n">
        <v>-0.102</v>
      </c>
      <c r="O580" s="120" t="n">
        <v>-0</v>
      </c>
      <c r="P580" s="120" t="n">
        <v>0.8139999999999999</v>
      </c>
      <c r="Q580" s="120" t="n">
        <v>-0.007</v>
      </c>
      <c r="R580" s="117" t="n">
        <v>0</v>
      </c>
      <c r="S580" s="118" t="n">
        <v>-6.56</v>
      </c>
      <c r="T580" s="118" t="n">
        <v>0.001</v>
      </c>
      <c r="U580" s="119" t="inlineStr">
        <is>
          <t>✓ Normal</t>
        </is>
      </c>
      <c r="V580" s="117" t="n">
        <v>1</v>
      </c>
      <c r="W580" s="117" t="n">
        <v>0</v>
      </c>
      <c r="X580" s="117" t="n">
        <v>0</v>
      </c>
      <c r="Y580" s="117" t="n">
        <v>1</v>
      </c>
      <c r="Z580" s="117" t="n">
        <v>1</v>
      </c>
      <c r="AA580" s="117" t="n">
        <v>1</v>
      </c>
      <c r="AB580" s="117" t="n">
        <v>4</v>
      </c>
      <c r="AC580" s="121" t="inlineStr">
        <is>
          <t>⚠⚠ SERIOUS CONCERN</t>
        </is>
      </c>
      <c r="AD580" s="118" t="n">
        <v>2656592000</v>
      </c>
      <c r="AE580" s="118" t="n">
        <v>-230297000</v>
      </c>
      <c r="AF580" s="118" t="n">
        <v>1400107000</v>
      </c>
      <c r="AG580" s="118" t="n">
        <v>-0.02</v>
      </c>
      <c r="AH580" s="119" t="inlineStr">
        <is>
          <t>✓ Medium Quality</t>
        </is>
      </c>
      <c r="AI580" s="118" t="n">
        <v>-0.275</v>
      </c>
      <c r="AJ580" s="120" t="n">
        <v>2.771</v>
      </c>
      <c r="AK580" s="120" t="n">
        <v>-0.099</v>
      </c>
      <c r="AL580" s="120" t="n">
        <v>0.668</v>
      </c>
      <c r="AM580" s="120" t="n">
        <v>0.008</v>
      </c>
      <c r="AN580" s="117" t="n">
        <v>100</v>
      </c>
      <c r="AO580" s="119" t="inlineStr">
        <is>
          <t>✓ Good</t>
        </is>
      </c>
      <c r="AP580" s="117" t="n">
        <v>0</v>
      </c>
      <c r="AQ580" s="117" t="n">
        <v>0</v>
      </c>
      <c r="AR580" s="117" t="n">
        <v>0</v>
      </c>
      <c r="AS580" s="117" t="n">
        <v>0</v>
      </c>
      <c r="AT580" s="117" t="n">
        <v>0</v>
      </c>
      <c r="AU580" s="117" t="n">
        <v>1</v>
      </c>
      <c r="AV580" s="117" t="n">
        <v>1</v>
      </c>
      <c r="AW580" s="119" t="inlineStr">
        <is>
          <t>✓ Clean</t>
        </is>
      </c>
      <c r="AX580" s="118" t="n">
        <v>16.7</v>
      </c>
      <c r="AY580" s="119" t="inlineStr">
        <is>
          <t>🟢 VERY LOW RISK</t>
        </is>
      </c>
      <c r="AZ580" s="118" t="n">
        <v>72</v>
      </c>
      <c r="BA580" s="118" t="n">
        <v>374.5</v>
      </c>
      <c r="BB580" s="118" t="n">
        <v>0.9</v>
      </c>
      <c r="BC580" s="118" t="n">
        <v>0.6</v>
      </c>
      <c r="BD580" s="118" t="n">
        <v>459.4</v>
      </c>
      <c r="BE580" s="118" t="n">
        <v>299</v>
      </c>
      <c r="BF580" s="120" t="n">
        <v>0.447</v>
      </c>
      <c r="BG580" s="117" t="n">
        <v>0.8139999999999999</v>
      </c>
      <c r="BH580" s="122" t="n">
        <v>5</v>
      </c>
      <c r="BI580" s="123" t="n">
        <v>1</v>
      </c>
    </row>
    <row r="581" ht="17" customHeight="1">
      <c r="A581" s="117" t="inlineStr">
        <is>
          <t>SIMO</t>
        </is>
      </c>
      <c r="B581" s="117" t="inlineStr">
        <is>
          <t>Silicon Motion Technology Corporation</t>
        </is>
      </c>
      <c r="C581" s="124" t="inlineStr">
        <is>
          <t>N/A</t>
        </is>
      </c>
      <c r="D581" s="118" t="n">
        <v>0.951</v>
      </c>
      <c r="E581" s="118" t="n">
        <v>1.06</v>
      </c>
      <c r="F581" s="118" t="n">
        <v>1.102</v>
      </c>
      <c r="G581" s="118" t="n">
        <v>0.979</v>
      </c>
      <c r="H581" s="118" t="n">
        <v>1.081</v>
      </c>
      <c r="I581" s="118" t="n">
        <v>1.276</v>
      </c>
      <c r="J581" s="118" t="n">
        <v>0.05</v>
      </c>
      <c r="K581" s="124" t="inlineStr">
        <is>
          <t>N/A</t>
        </is>
      </c>
      <c r="L581" s="124" t="inlineStr">
        <is>
          <t>N/A</t>
        </is>
      </c>
      <c r="M581" s="120" t="n">
        <v>0.043</v>
      </c>
      <c r="N581" s="124" t="inlineStr">
        <is>
          <t>N/A</t>
        </is>
      </c>
      <c r="O581" s="120" t="n">
        <v>0.019</v>
      </c>
      <c r="P581" s="120" t="n">
        <v>0.656</v>
      </c>
      <c r="Q581" s="120" t="n">
        <v>0.014</v>
      </c>
      <c r="R581" s="117" t="n">
        <v>0</v>
      </c>
      <c r="S581" s="118" t="n">
        <v>-6.545</v>
      </c>
      <c r="T581" s="118" t="n">
        <v>0.001</v>
      </c>
      <c r="U581" s="119" t="inlineStr">
        <is>
          <t>✓ Normal</t>
        </is>
      </c>
      <c r="V581" s="117" t="n">
        <v>1</v>
      </c>
      <c r="W581" s="117" t="n">
        <v>0</v>
      </c>
      <c r="X581" s="117" t="n">
        <v>0</v>
      </c>
      <c r="Y581" s="117" t="n">
        <v>0</v>
      </c>
      <c r="Z581" s="117" t="n">
        <v>0</v>
      </c>
      <c r="AA581" s="117" t="n">
        <v>1</v>
      </c>
      <c r="AB581" s="117" t="n">
        <v>2</v>
      </c>
      <c r="AC581" s="121" t="inlineStr">
        <is>
          <t>⚠ WATCH</t>
        </is>
      </c>
      <c r="AD581" s="118" t="n">
        <v>61360000</v>
      </c>
      <c r="AE581" s="118" t="n">
        <v>-27403000</v>
      </c>
      <c r="AF581" s="118" t="n">
        <v>122635000</v>
      </c>
      <c r="AG581" s="118" t="n">
        <v>0.079</v>
      </c>
      <c r="AH581" s="119" t="inlineStr">
        <is>
          <t>✓ Medium Quality</t>
        </is>
      </c>
      <c r="AI581" s="124" t="inlineStr">
        <is>
          <t>N/A</t>
        </is>
      </c>
      <c r="AJ581" s="120" t="n">
        <v>0.102</v>
      </c>
      <c r="AK581" s="124" t="inlineStr">
        <is>
          <t>N/A</t>
        </is>
      </c>
      <c r="AL581" s="120" t="n">
        <v>0.06900000000000001</v>
      </c>
      <c r="AM581" s="120" t="n">
        <v>0.08699999999999999</v>
      </c>
      <c r="AN581" s="118" t="n">
        <v>88.2</v>
      </c>
      <c r="AO581" s="119" t="inlineStr">
        <is>
          <t>✓ Good</t>
        </is>
      </c>
      <c r="AP581" s="117" t="n">
        <v>0</v>
      </c>
      <c r="AQ581" s="117" t="n">
        <v>0</v>
      </c>
      <c r="AR581" s="117" t="n">
        <v>0</v>
      </c>
      <c r="AS581" s="117" t="n">
        <v>1</v>
      </c>
      <c r="AT581" s="117" t="n">
        <v>1</v>
      </c>
      <c r="AU581" s="117" t="n">
        <v>1</v>
      </c>
      <c r="AV581" s="117" t="n">
        <v>3</v>
      </c>
      <c r="AW581" s="121" t="inlineStr">
        <is>
          <t>⚠ WATCH</t>
        </is>
      </c>
      <c r="AX581" s="118" t="n">
        <v>26.1</v>
      </c>
      <c r="AY581" s="119" t="inlineStr">
        <is>
          <t>🟢 LOW RISK</t>
        </is>
      </c>
      <c r="AZ581" s="118" t="n">
        <v>0</v>
      </c>
      <c r="BA581" s="124" t="inlineStr">
        <is>
          <t>N/A</t>
        </is>
      </c>
      <c r="BB581" s="118" t="n">
        <v>26.8</v>
      </c>
      <c r="BC581" s="118" t="n">
        <v>27</v>
      </c>
      <c r="BD581" s="118" t="n">
        <v>81.2</v>
      </c>
      <c r="BE581" s="124" t="inlineStr">
        <is>
          <t>N/A</t>
        </is>
      </c>
      <c r="BF581" s="120" t="n">
        <v>0.125</v>
      </c>
      <c r="BG581" s="117" t="n">
        <v>0.656</v>
      </c>
      <c r="BH581" s="122" t="n">
        <v>5</v>
      </c>
      <c r="BI581" s="123" t="n">
        <v>0.8333333333333334</v>
      </c>
    </row>
    <row r="582" ht="17" customHeight="1">
      <c r="A582" s="117" t="inlineStr">
        <is>
          <t>COLM</t>
        </is>
      </c>
      <c r="B582" s="117" t="inlineStr">
        <is>
          <t>COLUMBIA SPORTSWEAR COMPANY</t>
        </is>
      </c>
      <c r="C582" s="118" t="n">
        <v>0.739</v>
      </c>
      <c r="D582" s="118" t="n">
        <v>1.286</v>
      </c>
      <c r="E582" s="118" t="n">
        <v>1.006</v>
      </c>
      <c r="F582" s="118" t="n">
        <v>1.306</v>
      </c>
      <c r="G582" s="118" t="n">
        <v>0.976</v>
      </c>
      <c r="H582" s="118" t="n">
        <v>0.797</v>
      </c>
      <c r="I582" s="118" t="n">
        <v>1.036</v>
      </c>
      <c r="J582" s="118" t="n">
        <v>-0.036</v>
      </c>
      <c r="K582" s="118" t="n">
        <v>-2.442</v>
      </c>
      <c r="L582" s="119" t="inlineStr">
        <is>
          <t>✓ Lower Risk</t>
        </is>
      </c>
      <c r="M582" s="120" t="n">
        <v>0.001</v>
      </c>
      <c r="N582" s="120" t="n">
        <v>-0.067</v>
      </c>
      <c r="O582" s="120" t="n">
        <v>-0.005</v>
      </c>
      <c r="P582" s="120" t="n">
        <v>0.754</v>
      </c>
      <c r="Q582" s="120" t="n">
        <v>-0.015</v>
      </c>
      <c r="R582" s="117" t="n">
        <v>1</v>
      </c>
      <c r="S582" s="118" t="n">
        <v>-3.495</v>
      </c>
      <c r="T582" s="118" t="n">
        <v>0.029</v>
      </c>
      <c r="U582" s="119" t="inlineStr">
        <is>
          <t>✓ Normal</t>
        </is>
      </c>
      <c r="V582" s="117" t="n">
        <v>1</v>
      </c>
      <c r="W582" s="117" t="n">
        <v>0</v>
      </c>
      <c r="X582" s="117" t="n">
        <v>0</v>
      </c>
      <c r="Y582" s="117" t="n">
        <v>1</v>
      </c>
      <c r="Z582" s="117" t="n">
        <v>0</v>
      </c>
      <c r="AA582" s="117" t="n">
        <v>0</v>
      </c>
      <c r="AB582" s="117" t="n">
        <v>2</v>
      </c>
      <c r="AC582" s="121" t="inlineStr">
        <is>
          <t>⚠ WATCH</t>
        </is>
      </c>
      <c r="AD582" s="118" t="n">
        <v>282903000</v>
      </c>
      <c r="AE582" s="118" t="n">
        <v>-120723000</v>
      </c>
      <c r="AF582" s="118" t="n">
        <v>177224000</v>
      </c>
      <c r="AG582" s="118" t="n">
        <v>0.005</v>
      </c>
      <c r="AH582" s="119" t="inlineStr">
        <is>
          <t>✓ Medium Quality</t>
        </is>
      </c>
      <c r="AI582" s="118" t="n">
        <v>-0.034</v>
      </c>
      <c r="AJ582" s="120" t="n">
        <v>0.306</v>
      </c>
      <c r="AK582" s="120" t="n">
        <v>-0.112</v>
      </c>
      <c r="AL582" s="120" t="n">
        <v>0.309</v>
      </c>
      <c r="AM582" s="124" t="inlineStr">
        <is>
          <t>N/A</t>
        </is>
      </c>
      <c r="AN582" s="117" t="n">
        <v>100</v>
      </c>
      <c r="AO582" s="119" t="inlineStr">
        <is>
          <t>✓ Good</t>
        </is>
      </c>
      <c r="AP582" s="117" t="n">
        <v>0</v>
      </c>
      <c r="AQ582" s="117" t="n">
        <v>0</v>
      </c>
      <c r="AR582" s="117" t="n">
        <v>1</v>
      </c>
      <c r="AS582" s="117" t="n">
        <v>0</v>
      </c>
      <c r="AT582" s="117" t="n">
        <v>0</v>
      </c>
      <c r="AU582" s="117" t="n">
        <v>1</v>
      </c>
      <c r="AV582" s="117" t="n">
        <v>2</v>
      </c>
      <c r="AW582" s="121" t="inlineStr">
        <is>
          <t>⚠ WATCH</t>
        </is>
      </c>
      <c r="AX582" s="118" t="n">
        <v>20</v>
      </c>
      <c r="AY582" s="119" t="inlineStr">
        <is>
          <t>🟢 LOW RISK</t>
        </is>
      </c>
      <c r="AZ582" s="118" t="n">
        <v>160.7</v>
      </c>
      <c r="BA582" s="118" t="n">
        <v>217.4</v>
      </c>
      <c r="BB582" s="118" t="n">
        <v>149.7</v>
      </c>
      <c r="BC582" s="118" t="n">
        <v>150.2</v>
      </c>
      <c r="BD582" s="118" t="n">
        <v>83.7</v>
      </c>
      <c r="BE582" s="118" t="n">
        <v>83.90000000000001</v>
      </c>
      <c r="BF582" s="120" t="n">
        <v>0.228</v>
      </c>
      <c r="BG582" s="117" t="n">
        <v>0.754</v>
      </c>
      <c r="BH582" s="122" t="n">
        <v>5</v>
      </c>
      <c r="BI582" s="123" t="n">
        <v>1</v>
      </c>
    </row>
    <row r="583" ht="17" customHeight="1">
      <c r="A583" s="117" t="inlineStr">
        <is>
          <t>MOH</t>
        </is>
      </c>
      <c r="B583" s="117" t="inlineStr">
        <is>
          <t>MOLINA HEALTHCARE, INC.</t>
        </is>
      </c>
      <c r="C583" s="118" t="n">
        <v>0.958</v>
      </c>
      <c r="D583" s="118" t="n">
        <v>1.038</v>
      </c>
      <c r="E583" s="118" t="n">
        <v>1.105</v>
      </c>
      <c r="F583" s="118" t="n">
        <v>1.117</v>
      </c>
      <c r="G583" s="118" t="n">
        <v>0.974</v>
      </c>
      <c r="H583" s="118" t="n">
        <v>0.982</v>
      </c>
      <c r="I583" s="118" t="n">
        <v>1.037</v>
      </c>
      <c r="J583" s="118" t="n">
        <v>0.065</v>
      </c>
      <c r="K583" s="118" t="n">
        <v>-2.06</v>
      </c>
      <c r="L583" s="121" t="inlineStr">
        <is>
          <t>⚠ MANIPULATOR RISK</t>
        </is>
      </c>
      <c r="M583" s="120" t="n">
        <v>0.027</v>
      </c>
      <c r="N583" s="120" t="n">
        <v>0.049</v>
      </c>
      <c r="O583" s="124" t="inlineStr">
        <is>
          <t>N/A</t>
        </is>
      </c>
      <c r="P583" s="120" t="n">
        <v>0.712</v>
      </c>
      <c r="Q583" s="120" t="n">
        <v>-0.045</v>
      </c>
      <c r="R583" s="117" t="n">
        <v>0</v>
      </c>
      <c r="S583" s="118" t="n">
        <v>-6.321</v>
      </c>
      <c r="T583" s="118" t="n">
        <v>0.002</v>
      </c>
      <c r="U583" s="119" t="inlineStr">
        <is>
          <t>✓ Normal</t>
        </is>
      </c>
      <c r="V583" s="117" t="n">
        <v>1</v>
      </c>
      <c r="W583" s="117" t="n">
        <v>0</v>
      </c>
      <c r="X583" s="117" t="n">
        <v>0</v>
      </c>
      <c r="Y583" s="117" t="n">
        <v>1</v>
      </c>
      <c r="Z583" s="117" t="n">
        <v>0</v>
      </c>
      <c r="AA583" s="117" t="n">
        <v>0</v>
      </c>
      <c r="AB583" s="117" t="n">
        <v>2</v>
      </c>
      <c r="AC583" s="121" t="inlineStr">
        <is>
          <t>⚠ WATCH</t>
        </is>
      </c>
      <c r="AD583" s="118" t="n">
        <v>-535000000</v>
      </c>
      <c r="AE583" s="118" t="n">
        <v>312000000</v>
      </c>
      <c r="AF583" s="118" t="n">
        <v>472000000</v>
      </c>
      <c r="AG583" s="118" t="n">
        <v>0.045</v>
      </c>
      <c r="AH583" s="119" t="inlineStr">
        <is>
          <t>✓ Medium Quality</t>
        </is>
      </c>
      <c r="AI583" s="118" t="n">
        <v>0.07099999999999999</v>
      </c>
      <c r="AJ583" s="120" t="n">
        <v>0.117</v>
      </c>
      <c r="AK583" s="120" t="n">
        <v>0.604</v>
      </c>
      <c r="AL583" s="120" t="n">
        <v>-0.012</v>
      </c>
      <c r="AM583" s="120" t="n">
        <v>-0.001</v>
      </c>
      <c r="AN583" s="118" t="n">
        <v>70</v>
      </c>
      <c r="AO583" s="119" t="inlineStr">
        <is>
          <t>✓ Good</t>
        </is>
      </c>
      <c r="AP583" s="117" t="n">
        <v>0</v>
      </c>
      <c r="AQ583" s="117" t="n">
        <v>0</v>
      </c>
      <c r="AR583" s="117" t="n">
        <v>1</v>
      </c>
      <c r="AS583" s="117" t="n">
        <v>0</v>
      </c>
      <c r="AT583" s="117" t="n">
        <v>0</v>
      </c>
      <c r="AU583" s="117" t="n">
        <v>1</v>
      </c>
      <c r="AV583" s="117" t="n">
        <v>2</v>
      </c>
      <c r="AW583" s="121" t="inlineStr">
        <is>
          <t>⚠ WATCH</t>
        </is>
      </c>
      <c r="AX583" s="118" t="n">
        <v>19.3</v>
      </c>
      <c r="AY583" s="119" t="inlineStr">
        <is>
          <t>🟢 VERY LOW RISK</t>
        </is>
      </c>
      <c r="AZ583" s="118" t="n">
        <v>28.4</v>
      </c>
      <c r="BA583" s="118" t="n">
        <v>29.6</v>
      </c>
      <c r="BB583" s="124" t="inlineStr">
        <is>
          <t>N/A</t>
        </is>
      </c>
      <c r="BC583" s="124" t="inlineStr">
        <is>
          <t>N/A</t>
        </is>
      </c>
      <c r="BD583" s="118" t="n">
        <v>10.1</v>
      </c>
      <c r="BE583" s="118" t="n">
        <v>14.1</v>
      </c>
      <c r="BF583" s="120" t="n">
        <v>0.199</v>
      </c>
      <c r="BG583" s="117" t="n">
        <v>0.712</v>
      </c>
      <c r="BH583" s="122" t="n">
        <v>4</v>
      </c>
      <c r="BI583" s="123" t="n">
        <v>1</v>
      </c>
    </row>
    <row r="584" ht="17" customHeight="1">
      <c r="A584" s="117" t="inlineStr">
        <is>
          <t>RRC</t>
        </is>
      </c>
      <c r="B584" s="117" t="inlineStr">
        <is>
          <t>RANGE RESOURCES CORPORATION</t>
        </is>
      </c>
      <c r="C584" s="118" t="n">
        <v>0.921</v>
      </c>
      <c r="D584" s="118" t="n">
        <v>1.002</v>
      </c>
      <c r="E584" s="118" t="n">
        <v>1.042</v>
      </c>
      <c r="F584" s="118" t="n">
        <v>1.289</v>
      </c>
      <c r="G584" s="118" t="n">
        <v>1.006</v>
      </c>
      <c r="H584" s="118" t="n">
        <v>0.804</v>
      </c>
      <c r="I584" s="118" t="n">
        <v>0.901</v>
      </c>
      <c r="J584" s="118" t="n">
        <v>-0.06900000000000001</v>
      </c>
      <c r="K584" s="118" t="n">
        <v>-2.534</v>
      </c>
      <c r="L584" s="119" t="inlineStr">
        <is>
          <t>✓ Lower Risk</t>
        </is>
      </c>
      <c r="M584" s="120" t="n">
        <v>0.036</v>
      </c>
      <c r="N584" s="120" t="n">
        <v>0.081</v>
      </c>
      <c r="O584" s="120" t="n">
        <v>0.002</v>
      </c>
      <c r="P584" s="120" t="n">
        <v>0.999</v>
      </c>
      <c r="Q584" s="120" t="n">
        <v>0.052</v>
      </c>
      <c r="R584" s="117" t="n">
        <v>0</v>
      </c>
      <c r="S584" s="118" t="n">
        <v>-5.703</v>
      </c>
      <c r="T584" s="118" t="n">
        <v>0.003</v>
      </c>
      <c r="U584" s="119" t="inlineStr">
        <is>
          <t>✓ Normal</t>
        </is>
      </c>
      <c r="V584" s="117" t="n">
        <v>1</v>
      </c>
      <c r="W584" s="117" t="n">
        <v>0</v>
      </c>
      <c r="X584" s="117" t="n">
        <v>0</v>
      </c>
      <c r="Y584" s="117" t="n">
        <v>1</v>
      </c>
      <c r="Z584" s="117" t="n">
        <v>0</v>
      </c>
      <c r="AA584" s="117" t="n">
        <v>0</v>
      </c>
      <c r="AB584" s="117" t="n">
        <v>2</v>
      </c>
      <c r="AC584" s="121" t="inlineStr">
        <is>
          <t>⚠ WATCH</t>
        </is>
      </c>
      <c r="AD584" s="118" t="n">
        <v>1171324000</v>
      </c>
      <c r="AE584" s="118" t="n">
        <v>-641393000</v>
      </c>
      <c r="AF584" s="118" t="n">
        <v>658024000</v>
      </c>
      <c r="AG584" s="118" t="n">
        <v>0.017</v>
      </c>
      <c r="AH584" s="119" t="inlineStr">
        <is>
          <t>✓ Medium Quality</t>
        </is>
      </c>
      <c r="AI584" s="118" t="n">
        <v>0.187</v>
      </c>
      <c r="AJ584" s="120" t="n">
        <v>0.289</v>
      </c>
      <c r="AK584" s="120" t="n">
        <v>0.647</v>
      </c>
      <c r="AL584" s="120" t="n">
        <v>0.376</v>
      </c>
      <c r="AM584" s="124" t="inlineStr">
        <is>
          <t>N/A</t>
        </is>
      </c>
      <c r="AN584" s="117" t="n">
        <v>100</v>
      </c>
      <c r="AO584" s="119" t="inlineStr">
        <is>
          <t>✓ Good</t>
        </is>
      </c>
      <c r="AP584" s="117" t="n">
        <v>0</v>
      </c>
      <c r="AQ584" s="117" t="n">
        <v>0</v>
      </c>
      <c r="AR584" s="117" t="n">
        <v>1</v>
      </c>
      <c r="AS584" s="117" t="n">
        <v>0</v>
      </c>
      <c r="AT584" s="117" t="n">
        <v>0</v>
      </c>
      <c r="AU584" s="117" t="n">
        <v>0</v>
      </c>
      <c r="AV584" s="117" t="n">
        <v>1</v>
      </c>
      <c r="AW584" s="119" t="inlineStr">
        <is>
          <t>✓ Clean</t>
        </is>
      </c>
      <c r="AX584" s="118" t="n">
        <v>15.3</v>
      </c>
      <c r="AY584" s="119" t="inlineStr">
        <is>
          <t>🟢 VERY LOW RISK</t>
        </is>
      </c>
      <c r="AZ584" s="118" t="n">
        <v>42</v>
      </c>
      <c r="BA584" s="118" t="n">
        <v>45.6</v>
      </c>
      <c r="BB584" s="118" t="n">
        <v>45.2</v>
      </c>
      <c r="BC584" s="118" t="n">
        <v>55.4</v>
      </c>
      <c r="BD584" s="118" t="n">
        <v>323.3</v>
      </c>
      <c r="BE584" s="118" t="n">
        <v>345.7</v>
      </c>
      <c r="BF584" s="124" t="inlineStr">
        <is>
          <t>N/A</t>
        </is>
      </c>
      <c r="BG584" s="117" t="n">
        <v>0.999</v>
      </c>
      <c r="BH584" s="122" t="n">
        <v>3</v>
      </c>
      <c r="BI584" s="123" t="n">
        <v>1</v>
      </c>
    </row>
    <row r="585" ht="17" customHeight="1">
      <c r="A585" s="117" t="inlineStr">
        <is>
          <t>MTB</t>
        </is>
      </c>
      <c r="B585" s="117" t="inlineStr">
        <is>
          <t>M&amp;T BANK CORPORATION</t>
        </is>
      </c>
      <c r="C585" s="124" t="inlineStr">
        <is>
          <t>N/A</t>
        </is>
      </c>
      <c r="D585" s="124" t="inlineStr">
        <is>
          <t>N/A</t>
        </is>
      </c>
      <c r="E585" s="118" t="n">
        <v>1.001</v>
      </c>
      <c r="F585" s="118" t="n">
        <v>1.179</v>
      </c>
      <c r="G585" s="118" t="n">
        <v>0.999</v>
      </c>
      <c r="H585" s="124" t="inlineStr">
        <is>
          <t>N/A</t>
        </is>
      </c>
      <c r="I585" s="118" t="n">
        <v>1.003</v>
      </c>
      <c r="J585" s="118" t="n">
        <v>-0.001</v>
      </c>
      <c r="K585" s="124" t="inlineStr">
        <is>
          <t>N/A</t>
        </is>
      </c>
      <c r="L585" s="124" t="inlineStr">
        <is>
          <t>N/A</t>
        </is>
      </c>
      <c r="M585" s="124" t="inlineStr">
        <is>
          <t>N/A</t>
        </is>
      </c>
      <c r="N585" s="124" t="inlineStr">
        <is>
          <t>N/A</t>
        </is>
      </c>
      <c r="O585" s="124" t="inlineStr">
        <is>
          <t>N/A</t>
        </is>
      </c>
      <c r="P585" s="120" t="n">
        <v>0.986</v>
      </c>
      <c r="Q585" s="120" t="n">
        <v>0.001</v>
      </c>
      <c r="R585" s="117" t="n">
        <v>0</v>
      </c>
      <c r="S585" s="124" t="inlineStr">
        <is>
          <t>N/A</t>
        </is>
      </c>
      <c r="T585" s="124" t="inlineStr">
        <is>
          <t>N/A</t>
        </is>
      </c>
      <c r="U585" s="124" t="inlineStr">
        <is>
          <t>N/A</t>
        </is>
      </c>
      <c r="V585" s="117" t="n">
        <v>1</v>
      </c>
      <c r="W585" s="117" t="n">
        <v>0</v>
      </c>
      <c r="X585" s="117" t="n">
        <v>0</v>
      </c>
      <c r="Y585" s="117" t="n">
        <v>0</v>
      </c>
      <c r="Z585" s="117" t="n">
        <v>1</v>
      </c>
      <c r="AA585" s="117" t="n">
        <v>0</v>
      </c>
      <c r="AB585" s="117" t="n">
        <v>2</v>
      </c>
      <c r="AC585" s="121" t="inlineStr">
        <is>
          <t>⚠ WATCH</t>
        </is>
      </c>
      <c r="AD585" s="118" t="n">
        <v>3003000000</v>
      </c>
      <c r="AE585" s="118" t="n">
        <v>-6816000000</v>
      </c>
      <c r="AF585" s="118" t="n">
        <v>2851000000</v>
      </c>
      <c r="AG585" s="118" t="n">
        <v>0.032</v>
      </c>
      <c r="AH585" s="119" t="inlineStr">
        <is>
          <t>✓ Medium Quality</t>
        </is>
      </c>
      <c r="AI585" s="124" t="inlineStr">
        <is>
          <t>N/A</t>
        </is>
      </c>
      <c r="AJ585" s="120" t="n">
        <v>0.179</v>
      </c>
      <c r="AK585" s="124" t="inlineStr">
        <is>
          <t>N/A</t>
        </is>
      </c>
      <c r="AL585" s="120" t="n">
        <v>0.311</v>
      </c>
      <c r="AM585" s="120" t="n">
        <v>-0</v>
      </c>
      <c r="AN585" s="117" t="n">
        <v>100</v>
      </c>
      <c r="AO585" s="119" t="inlineStr">
        <is>
          <t>✓ Good</t>
        </is>
      </c>
      <c r="AP585" s="117" t="n">
        <v>0</v>
      </c>
      <c r="AQ585" s="117" t="n">
        <v>0</v>
      </c>
      <c r="AR585" s="117" t="n">
        <v>0</v>
      </c>
      <c r="AS585" s="117" t="n">
        <v>0</v>
      </c>
      <c r="AT585" s="117" t="n">
        <v>0</v>
      </c>
      <c r="AU585" s="117" t="n">
        <v>0</v>
      </c>
      <c r="AV585" s="117" t="n">
        <v>0</v>
      </c>
      <c r="AW585" s="119" t="inlineStr">
        <is>
          <t>✓ Clean</t>
        </is>
      </c>
      <c r="AX585" s="118" t="n">
        <v>29.3</v>
      </c>
      <c r="AY585" s="119" t="inlineStr">
        <is>
          <t>🟢 LOW RISK</t>
        </is>
      </c>
      <c r="AZ585" s="118" t="n">
        <v>0</v>
      </c>
      <c r="BA585" s="124" t="inlineStr">
        <is>
          <t>N/A</t>
        </is>
      </c>
      <c r="BB585" s="124" t="inlineStr">
        <is>
          <t>N/A</t>
        </is>
      </c>
      <c r="BC585" s="124" t="inlineStr">
        <is>
          <t>N/A</t>
        </is>
      </c>
      <c r="BD585" s="124" t="inlineStr">
        <is>
          <t>N/A</t>
        </is>
      </c>
      <c r="BE585" s="124" t="inlineStr">
        <is>
          <t>N/A</t>
        </is>
      </c>
      <c r="BF585" s="120" t="n">
        <v>0.228</v>
      </c>
      <c r="BG585" s="117" t="n">
        <v>0.986</v>
      </c>
      <c r="BH585" s="122" t="n">
        <v>2</v>
      </c>
      <c r="BI585" s="125" t="n">
        <v>0.6666666666666666</v>
      </c>
    </row>
    <row r="586" ht="17" customHeight="1">
      <c r="A586" s="117" t="inlineStr">
        <is>
          <t>PRAX</t>
        </is>
      </c>
      <c r="B586" s="117" t="inlineStr">
        <is>
          <t>PRAXIS PRECISION MEDICINES, INC.</t>
        </is>
      </c>
      <c r="C586" s="124" t="inlineStr">
        <is>
          <t>N/A</t>
        </is>
      </c>
      <c r="D586" s="124" t="inlineStr">
        <is>
          <t>N/A</t>
        </is>
      </c>
      <c r="E586" s="118" t="n">
        <v>2.144</v>
      </c>
      <c r="F586" s="118" t="n">
        <v>0</v>
      </c>
      <c r="G586" s="118" t="n">
        <v>1.248</v>
      </c>
      <c r="H586" s="124" t="inlineStr">
        <is>
          <t>N/A</t>
        </is>
      </c>
      <c r="I586" s="118" t="n">
        <v>0.8179999999999999</v>
      </c>
      <c r="J586" s="118" t="n">
        <v>-0.058</v>
      </c>
      <c r="K586" s="124" t="inlineStr">
        <is>
          <t>N/A</t>
        </is>
      </c>
      <c r="L586" s="124" t="inlineStr">
        <is>
          <t>N/A</t>
        </is>
      </c>
      <c r="M586" s="120" t="n">
        <v>0.045</v>
      </c>
      <c r="N586" s="124" t="inlineStr">
        <is>
          <t>N/A</t>
        </is>
      </c>
      <c r="O586" s="124" t="inlineStr">
        <is>
          <t>N/A</t>
        </is>
      </c>
      <c r="P586" s="120" t="n">
        <v>0.619</v>
      </c>
      <c r="Q586" s="120" t="n">
        <v>0.055</v>
      </c>
      <c r="R586" s="117" t="n">
        <v>1</v>
      </c>
      <c r="S586" s="124" t="inlineStr">
        <is>
          <t>N/A</t>
        </is>
      </c>
      <c r="T586" s="124" t="inlineStr">
        <is>
          <t>N/A</t>
        </is>
      </c>
      <c r="U586" s="124" t="inlineStr">
        <is>
          <t>N/A</t>
        </is>
      </c>
      <c r="V586" s="117" t="n">
        <v>0</v>
      </c>
      <c r="W586" s="117" t="n">
        <v>0</v>
      </c>
      <c r="X586" s="117" t="n">
        <v>0</v>
      </c>
      <c r="Y586" s="117" t="n">
        <v>0</v>
      </c>
      <c r="Z586" s="117" t="n">
        <v>1</v>
      </c>
      <c r="AA586" s="117" t="n">
        <v>1</v>
      </c>
      <c r="AB586" s="117" t="n">
        <v>2</v>
      </c>
      <c r="AC586" s="121" t="inlineStr">
        <is>
          <t>⚠ WATCH</t>
        </is>
      </c>
      <c r="AD586" s="118" t="n">
        <v>-249068000</v>
      </c>
      <c r="AE586" s="118" t="n">
        <v>-311148000</v>
      </c>
      <c r="AF586" s="118" t="n">
        <v>-303268000</v>
      </c>
      <c r="AG586" s="118" t="n">
        <v>0.362</v>
      </c>
      <c r="AH586" s="117" t="inlineStr">
        <is>
          <t>⚠ Very Low Quality</t>
        </is>
      </c>
      <c r="AI586" s="124" t="inlineStr">
        <is>
          <t>N/A</t>
        </is>
      </c>
      <c r="AJ586" s="120" t="n">
        <v>-1</v>
      </c>
      <c r="AK586" s="124" t="inlineStr">
        <is>
          <t>N/A</t>
        </is>
      </c>
      <c r="AL586" s="124" t="inlineStr">
        <is>
          <t>N/A</t>
        </is>
      </c>
      <c r="AM586" s="124" t="inlineStr">
        <is>
          <t>N/A</t>
        </is>
      </c>
      <c r="AN586" s="117" t="n">
        <v>100</v>
      </c>
      <c r="AO586" s="119" t="inlineStr">
        <is>
          <t>✓ Good</t>
        </is>
      </c>
      <c r="AP586" s="117" t="n">
        <v>0</v>
      </c>
      <c r="AQ586" s="117" t="n">
        <v>0</v>
      </c>
      <c r="AR586" s="117" t="n">
        <v>0</v>
      </c>
      <c r="AS586" s="117" t="n">
        <v>0</v>
      </c>
      <c r="AT586" s="117" t="n">
        <v>0</v>
      </c>
      <c r="AU586" s="117" t="n">
        <v>0</v>
      </c>
      <c r="AV586" s="117" t="n">
        <v>0</v>
      </c>
      <c r="AW586" s="119" t="inlineStr">
        <is>
          <t>✓ Clean</t>
        </is>
      </c>
      <c r="AX586" s="118" t="n">
        <v>35.9</v>
      </c>
      <c r="AY586" s="119" t="inlineStr">
        <is>
          <t>🟢 LOW RISK</t>
        </is>
      </c>
      <c r="AZ586" s="124" t="inlineStr">
        <is>
          <t>N/A</t>
        </is>
      </c>
      <c r="BA586" s="124" t="inlineStr">
        <is>
          <t>N/A</t>
        </is>
      </c>
      <c r="BB586" s="124" t="inlineStr">
        <is>
          <t>N/A</t>
        </is>
      </c>
      <c r="BC586" s="124" t="inlineStr">
        <is>
          <t>N/A</t>
        </is>
      </c>
      <c r="BD586" s="118" t="n">
        <v>27.6</v>
      </c>
      <c r="BE586" s="118" t="n">
        <v>21.9</v>
      </c>
      <c r="BF586" s="120" t="n">
        <v>-0.002</v>
      </c>
      <c r="BG586" s="117" t="n">
        <v>0.619</v>
      </c>
      <c r="BH586" s="122" t="n">
        <v>3</v>
      </c>
      <c r="BI586" s="125" t="n">
        <v>0.6666666666666666</v>
      </c>
    </row>
    <row r="587" ht="17" customHeight="1">
      <c r="A587" s="117" t="inlineStr">
        <is>
          <t>CSGP</t>
        </is>
      </c>
      <c r="B587" s="117" t="inlineStr">
        <is>
          <t>COSTAR GROUP, INC.</t>
        </is>
      </c>
      <c r="C587" s="118" t="n">
        <v>0.328</v>
      </c>
      <c r="D587" s="118" t="n">
        <v>3.231</v>
      </c>
      <c r="E587" s="118" t="n">
        <v>1.894</v>
      </c>
      <c r="F587" s="118" t="n">
        <v>3.8</v>
      </c>
      <c r="G587" s="118" t="n">
        <v>0.762</v>
      </c>
      <c r="H587" s="118" t="n">
        <v>0.329</v>
      </c>
      <c r="I587" s="118" t="n">
        <v>1.118</v>
      </c>
      <c r="J587" s="118" t="n">
        <v>-0.04</v>
      </c>
      <c r="K587" s="118" t="n">
        <v>0.8</v>
      </c>
      <c r="L587" s="121" t="inlineStr">
        <is>
          <t>⚠ MANIPULATOR RISK</t>
        </is>
      </c>
      <c r="M587" s="120" t="n">
        <v>-0.021</v>
      </c>
      <c r="N587" s="120" t="n">
        <v>0.065</v>
      </c>
      <c r="O587" s="124" t="inlineStr">
        <is>
          <t>N/A</t>
        </is>
      </c>
      <c r="P587" s="120" t="n">
        <v>0.719</v>
      </c>
      <c r="Q587" s="120" t="n">
        <v>-0.014</v>
      </c>
      <c r="R587" s="117" t="n">
        <v>1</v>
      </c>
      <c r="S587" s="118" t="n">
        <v>-3.242</v>
      </c>
      <c r="T587" s="118" t="n">
        <v>0.038</v>
      </c>
      <c r="U587" s="121" t="inlineStr">
        <is>
          <t>⚠ HIGH RISK</t>
        </is>
      </c>
      <c r="V587" s="117" t="n">
        <v>1</v>
      </c>
      <c r="W587" s="117" t="n">
        <v>0</v>
      </c>
      <c r="X587" s="117" t="n">
        <v>0</v>
      </c>
      <c r="Y587" s="117" t="n">
        <v>1</v>
      </c>
      <c r="Z587" s="117" t="n">
        <v>0</v>
      </c>
      <c r="AA587" s="117" t="n">
        <v>1</v>
      </c>
      <c r="AB587" s="117" t="n">
        <v>3</v>
      </c>
      <c r="AC587" s="121" t="inlineStr">
        <is>
          <t>⚠ WATCH</t>
        </is>
      </c>
      <c r="AD587" s="118" t="n">
        <v>430000000</v>
      </c>
      <c r="AE587" s="118" t="n">
        <v>-2816000000</v>
      </c>
      <c r="AF587" s="118" t="n">
        <v>7000000</v>
      </c>
      <c r="AG587" s="118" t="n">
        <v>0.242</v>
      </c>
      <c r="AH587" s="117" t="inlineStr">
        <is>
          <t>⚠ Low Quality</t>
        </is>
      </c>
      <c r="AI587" s="118" t="n">
        <v>0.245</v>
      </c>
      <c r="AJ587" s="120" t="n">
        <v>2.8</v>
      </c>
      <c r="AK587" s="120" t="n">
        <v>0.08799999999999999</v>
      </c>
      <c r="AL587" s="120" t="n">
        <v>0.445</v>
      </c>
      <c r="AM587" s="120" t="n">
        <v>0.007</v>
      </c>
      <c r="AN587" s="117" t="n">
        <v>100</v>
      </c>
      <c r="AO587" s="119" t="inlineStr">
        <is>
          <t>✓ Good</t>
        </is>
      </c>
      <c r="AP587" s="117" t="n">
        <v>0</v>
      </c>
      <c r="AQ587" s="117" t="n">
        <v>0</v>
      </c>
      <c r="AR587" s="117" t="n">
        <v>1</v>
      </c>
      <c r="AS587" s="117" t="n">
        <v>0</v>
      </c>
      <c r="AT587" s="117" t="n">
        <v>0</v>
      </c>
      <c r="AU587" s="117" t="n">
        <v>0</v>
      </c>
      <c r="AV587" s="117" t="n">
        <v>1</v>
      </c>
      <c r="AW587" s="119" t="inlineStr">
        <is>
          <t>✓ Clean</t>
        </is>
      </c>
      <c r="AX587" s="118" t="n">
        <v>38.2</v>
      </c>
      <c r="AY587" s="119" t="inlineStr">
        <is>
          <t>🟢 LOW RISK</t>
        </is>
      </c>
      <c r="AZ587" s="118" t="n">
        <v>88.5</v>
      </c>
      <c r="BA587" s="118" t="n">
        <v>270</v>
      </c>
      <c r="BB587" s="118" t="n">
        <v>3.2</v>
      </c>
      <c r="BC587" s="124" t="inlineStr">
        <is>
          <t>N/A</t>
        </is>
      </c>
      <c r="BD587" s="118" t="n">
        <v>22.3</v>
      </c>
      <c r="BE587" s="118" t="n">
        <v>30.7</v>
      </c>
      <c r="BF587" s="120" t="n">
        <v>0.767</v>
      </c>
      <c r="BG587" s="117" t="n">
        <v>0.719</v>
      </c>
      <c r="BH587" s="122" t="n">
        <v>5</v>
      </c>
      <c r="BI587" s="123" t="n">
        <v>1</v>
      </c>
    </row>
    <row r="588" ht="17" customHeight="1">
      <c r="A588" s="117" t="inlineStr">
        <is>
          <t>AMKR</t>
        </is>
      </c>
      <c r="B588" s="117" t="inlineStr">
        <is>
          <t>AMKOR TECHNOLOGY, INC.</t>
        </is>
      </c>
      <c r="C588" s="118" t="n">
        <v>0.373</v>
      </c>
      <c r="D588" s="118" t="n">
        <v>3.419</v>
      </c>
      <c r="E588" s="118" t="n">
        <v>0.981</v>
      </c>
      <c r="F588" s="118" t="n">
        <v>3.439</v>
      </c>
      <c r="G588" s="118" t="n">
        <v>0.991</v>
      </c>
      <c r="H588" s="118" t="n">
        <v>0.267</v>
      </c>
      <c r="I588" s="118" t="n">
        <v>1.122</v>
      </c>
      <c r="J588" s="118" t="n">
        <v>-0.089</v>
      </c>
      <c r="K588" s="118" t="n">
        <v>0.059</v>
      </c>
      <c r="L588" s="121" t="inlineStr">
        <is>
          <t>⚠ MANIPULATOR RISK</t>
        </is>
      </c>
      <c r="M588" s="120" t="n">
        <v>-0.041</v>
      </c>
      <c r="N588" s="120" t="n">
        <v>0.104</v>
      </c>
      <c r="O588" s="120" t="n">
        <v>0.044</v>
      </c>
      <c r="P588" s="120" t="n">
        <v>0.515</v>
      </c>
      <c r="Q588" s="120" t="n">
        <v>-0.005</v>
      </c>
      <c r="R588" s="117" t="n">
        <v>1</v>
      </c>
      <c r="S588" s="118" t="n">
        <v>-3.514</v>
      </c>
      <c r="T588" s="118" t="n">
        <v>0.029</v>
      </c>
      <c r="U588" s="119" t="inlineStr">
        <is>
          <t>✓ Normal</t>
        </is>
      </c>
      <c r="V588" s="117" t="n">
        <v>1</v>
      </c>
      <c r="W588" s="117" t="n">
        <v>0</v>
      </c>
      <c r="X588" s="117" t="n">
        <v>0</v>
      </c>
      <c r="Y588" s="117" t="n">
        <v>1</v>
      </c>
      <c r="Z588" s="117" t="n">
        <v>1</v>
      </c>
      <c r="AA588" s="117" t="n">
        <v>1</v>
      </c>
      <c r="AB588" s="117" t="n">
        <v>4</v>
      </c>
      <c r="AC588" s="121" t="inlineStr">
        <is>
          <t>⚠⚠ SERIOUS CONCERN</t>
        </is>
      </c>
      <c r="AD588" s="118" t="n">
        <v>1095606000</v>
      </c>
      <c r="AE588" s="118" t="n">
        <v>-885044000</v>
      </c>
      <c r="AF588" s="118" t="n">
        <v>373895000</v>
      </c>
      <c r="AG588" s="118" t="n">
        <v>0.022</v>
      </c>
      <c r="AH588" s="119" t="inlineStr">
        <is>
          <t>✓ Medium Quality</t>
        </is>
      </c>
      <c r="AI588" s="118" t="n">
        <v>0.284</v>
      </c>
      <c r="AJ588" s="120" t="n">
        <v>2.439</v>
      </c>
      <c r="AK588" s="120" t="n">
        <v>0.117</v>
      </c>
      <c r="AL588" s="120" t="n">
        <v>0.27</v>
      </c>
      <c r="AM588" s="120" t="n">
        <v>0.002</v>
      </c>
      <c r="AN588" s="117" t="n">
        <v>100</v>
      </c>
      <c r="AO588" s="119" t="inlineStr">
        <is>
          <t>✓ Good</t>
        </is>
      </c>
      <c r="AP588" s="117" t="n">
        <v>0</v>
      </c>
      <c r="AQ588" s="117" t="n">
        <v>0</v>
      </c>
      <c r="AR588" s="117" t="n">
        <v>1</v>
      </c>
      <c r="AS588" s="117" t="n">
        <v>0</v>
      </c>
      <c r="AT588" s="117" t="n">
        <v>1</v>
      </c>
      <c r="AU588" s="117" t="n">
        <v>1</v>
      </c>
      <c r="AV588" s="117" t="n">
        <v>3</v>
      </c>
      <c r="AW588" s="121" t="inlineStr">
        <is>
          <t>⚠ WATCH</t>
        </is>
      </c>
      <c r="AX588" s="118" t="n">
        <v>35.3</v>
      </c>
      <c r="AY588" s="119" t="inlineStr">
        <is>
          <t>🟢 LOW RISK</t>
        </is>
      </c>
      <c r="AZ588" s="118" t="n">
        <v>122</v>
      </c>
      <c r="BA588" s="118" t="n">
        <v>326.8</v>
      </c>
      <c r="BB588" s="118" t="n">
        <v>27.7</v>
      </c>
      <c r="BC588" s="118" t="n">
        <v>21.1</v>
      </c>
      <c r="BD588" s="118" t="n">
        <v>57.7</v>
      </c>
      <c r="BE588" s="118" t="n">
        <v>48.3</v>
      </c>
      <c r="BF588" s="120" t="n">
        <v>0.154</v>
      </c>
      <c r="BG588" s="117" t="n">
        <v>0.515</v>
      </c>
      <c r="BH588" s="122" t="n">
        <v>8</v>
      </c>
      <c r="BI588" s="123" t="n">
        <v>1</v>
      </c>
    </row>
    <row r="589" ht="17" customHeight="1">
      <c r="A589" s="117" t="inlineStr">
        <is>
          <t>IPGP</t>
        </is>
      </c>
      <c r="B589" s="117" t="inlineStr">
        <is>
          <t>IPG PHOTONICS CORP</t>
        </is>
      </c>
      <c r="C589" s="118" t="n">
        <v>1.034</v>
      </c>
      <c r="D589" s="118" t="n">
        <v>0.911</v>
      </c>
      <c r="E589" s="118" t="n">
        <v>1.271</v>
      </c>
      <c r="F589" s="118" t="n">
        <v>1.027</v>
      </c>
      <c r="G589" s="118" t="n">
        <v>0.996</v>
      </c>
      <c r="H589" s="118" t="n">
        <v>1.121</v>
      </c>
      <c r="I589" s="118" t="n">
        <v>1.056</v>
      </c>
      <c r="J589" s="118" t="n">
        <v>-0.018</v>
      </c>
      <c r="K589" s="118" t="n">
        <v>-2.487</v>
      </c>
      <c r="L589" s="119" t="inlineStr">
        <is>
          <t>✓ Lower Risk</t>
        </is>
      </c>
      <c r="M589" s="120" t="n">
        <v>0.047</v>
      </c>
      <c r="N589" s="120" t="n">
        <v>0.398</v>
      </c>
      <c r="O589" s="120" t="n">
        <v>1.075</v>
      </c>
      <c r="P589" s="120" t="n">
        <v>0.57</v>
      </c>
      <c r="Q589" s="120" t="n">
        <v>0.092</v>
      </c>
      <c r="R589" s="117" t="n">
        <v>0</v>
      </c>
      <c r="S589" s="118" t="n">
        <v>-4.486</v>
      </c>
      <c r="T589" s="118" t="n">
        <v>0.011</v>
      </c>
      <c r="U589" s="119" t="inlineStr">
        <is>
          <t>✓ Normal</t>
        </is>
      </c>
      <c r="V589" s="117" t="n">
        <v>1</v>
      </c>
      <c r="W589" s="117" t="n">
        <v>1</v>
      </c>
      <c r="X589" s="117" t="n">
        <v>1</v>
      </c>
      <c r="Y589" s="117" t="n">
        <v>0</v>
      </c>
      <c r="Z589" s="117" t="n">
        <v>0</v>
      </c>
      <c r="AA589" s="117" t="n">
        <v>0</v>
      </c>
      <c r="AB589" s="117" t="n">
        <v>3</v>
      </c>
      <c r="AC589" s="121" t="inlineStr">
        <is>
          <t>⚠ WATCH</t>
        </is>
      </c>
      <c r="AD589" s="118" t="n">
        <v>75344000</v>
      </c>
      <c r="AE589" s="118" t="n">
        <v>-265230000</v>
      </c>
      <c r="AF589" s="118" t="n">
        <v>31096000</v>
      </c>
      <c r="AG589" s="118" t="n">
        <v>0.094</v>
      </c>
      <c r="AH589" s="119" t="inlineStr">
        <is>
          <t>✓ Medium Quality</t>
        </is>
      </c>
      <c r="AI589" s="118" t="n">
        <v>0.062</v>
      </c>
      <c r="AJ589" s="120" t="n">
        <v>0.027</v>
      </c>
      <c r="AK589" s="120" t="n">
        <v>2.272</v>
      </c>
      <c r="AL589" s="120" t="n">
        <v>0.075</v>
      </c>
      <c r="AM589" s="120" t="n">
        <v>0.01</v>
      </c>
      <c r="AN589" s="118" t="n">
        <v>55.5</v>
      </c>
      <c r="AO589" s="121" t="inlineStr">
        <is>
          <t>⚠ WATCH</t>
        </is>
      </c>
      <c r="AP589" s="117" t="n">
        <v>1</v>
      </c>
      <c r="AQ589" s="117" t="n">
        <v>0</v>
      </c>
      <c r="AR589" s="117" t="n">
        <v>0</v>
      </c>
      <c r="AS589" s="117" t="n">
        <v>1</v>
      </c>
      <c r="AT589" s="117" t="n">
        <v>1</v>
      </c>
      <c r="AU589" s="117" t="n">
        <v>0</v>
      </c>
      <c r="AV589" s="117" t="n">
        <v>3</v>
      </c>
      <c r="AW589" s="121" t="inlineStr">
        <is>
          <t>⚠ WATCH</t>
        </is>
      </c>
      <c r="AX589" s="118" t="n">
        <v>25.3</v>
      </c>
      <c r="AY589" s="119" t="inlineStr">
        <is>
          <t>🟢 LOW RISK</t>
        </is>
      </c>
      <c r="AZ589" s="118" t="n">
        <v>66.09999999999999</v>
      </c>
      <c r="BA589" s="118" t="n">
        <v>63.9</v>
      </c>
      <c r="BB589" s="118" t="n">
        <v>183.8</v>
      </c>
      <c r="BC589" s="118" t="n">
        <v>162.7</v>
      </c>
      <c r="BD589" s="118" t="n">
        <v>23</v>
      </c>
      <c r="BE589" s="118" t="n">
        <v>20.2</v>
      </c>
      <c r="BF589" s="120" t="n">
        <v>0.31</v>
      </c>
      <c r="BG589" s="117" t="n">
        <v>0.57</v>
      </c>
      <c r="BH589" s="122" t="n">
        <v>6</v>
      </c>
      <c r="BI589" s="123" t="n">
        <v>1</v>
      </c>
    </row>
    <row r="590" ht="17" customHeight="1">
      <c r="A590" s="117" t="inlineStr">
        <is>
          <t>PGR</t>
        </is>
      </c>
      <c r="B590" s="117" t="inlineStr">
        <is>
          <t>PROGRESSIVE CORP/OH/</t>
        </is>
      </c>
      <c r="C590" s="124" t="inlineStr">
        <is>
          <t>N/A</t>
        </is>
      </c>
      <c r="D590" s="118" t="n">
        <v>0.876</v>
      </c>
      <c r="E590" s="118" t="n">
        <v>1.001</v>
      </c>
      <c r="F590" s="118" t="n">
        <v>1.163</v>
      </c>
      <c r="G590" s="118" t="n">
        <v>0.926</v>
      </c>
      <c r="H590" s="124" t="inlineStr">
        <is>
          <t>N/A</t>
        </is>
      </c>
      <c r="I590" s="118" t="n">
        <v>0.994</v>
      </c>
      <c r="J590" s="118" t="n">
        <v>-0.051</v>
      </c>
      <c r="K590" s="124" t="inlineStr">
        <is>
          <t>N/A</t>
        </is>
      </c>
      <c r="L590" s="124" t="inlineStr">
        <is>
          <t>N/A</t>
        </is>
      </c>
      <c r="M590" s="124" t="inlineStr">
        <is>
          <t>N/A</t>
        </is>
      </c>
      <c r="N590" s="124" t="inlineStr">
        <is>
          <t>N/A</t>
        </is>
      </c>
      <c r="O590" s="124" t="inlineStr">
        <is>
          <t>N/A</t>
        </is>
      </c>
      <c r="P590" s="120" t="n">
        <v>0.994</v>
      </c>
      <c r="Q590" s="120" t="n">
        <v>0.012</v>
      </c>
      <c r="R590" s="117" t="n">
        <v>0</v>
      </c>
      <c r="S590" s="124" t="inlineStr">
        <is>
          <t>N/A</t>
        </is>
      </c>
      <c r="T590" s="124" t="inlineStr">
        <is>
          <t>N/A</t>
        </is>
      </c>
      <c r="U590" s="124" t="inlineStr">
        <is>
          <t>N/A</t>
        </is>
      </c>
      <c r="V590" s="117" t="n">
        <v>1</v>
      </c>
      <c r="W590" s="117" t="n">
        <v>0</v>
      </c>
      <c r="X590" s="117" t="n">
        <v>0</v>
      </c>
      <c r="Y590" s="117" t="n">
        <v>0</v>
      </c>
      <c r="Z590" s="117" t="n">
        <v>1</v>
      </c>
      <c r="AA590" s="117" t="n">
        <v>1</v>
      </c>
      <c r="AB590" s="117" t="n">
        <v>3</v>
      </c>
      <c r="AC590" s="121" t="inlineStr">
        <is>
          <t>⚠ WATCH</t>
        </is>
      </c>
      <c r="AD590" s="118" t="n">
        <v>17548000000</v>
      </c>
      <c r="AE590" s="118" t="n">
        <v>-14527000000</v>
      </c>
      <c r="AF590" s="118" t="n">
        <v>11308000000</v>
      </c>
      <c r="AG590" s="118" t="n">
        <v>0.07199999999999999</v>
      </c>
      <c r="AH590" s="119" t="inlineStr">
        <is>
          <t>✓ Medium Quality</t>
        </is>
      </c>
      <c r="AI590" s="124" t="inlineStr">
        <is>
          <t>N/A</t>
        </is>
      </c>
      <c r="AJ590" s="120" t="n">
        <v>0.163</v>
      </c>
      <c r="AK590" s="124" t="inlineStr">
        <is>
          <t>N/A</t>
        </is>
      </c>
      <c r="AL590" s="120" t="n">
        <v>0.2</v>
      </c>
      <c r="AM590" s="124" t="inlineStr">
        <is>
          <t>N/A</t>
        </is>
      </c>
      <c r="AN590" s="117" t="n">
        <v>100</v>
      </c>
      <c r="AO590" s="119" t="inlineStr">
        <is>
          <t>✓ Good</t>
        </is>
      </c>
      <c r="AP590" s="117" t="n">
        <v>0</v>
      </c>
      <c r="AQ590" s="117" t="n">
        <v>0</v>
      </c>
      <c r="AR590" s="117" t="n">
        <v>0</v>
      </c>
      <c r="AS590" s="117" t="n">
        <v>0</v>
      </c>
      <c r="AT590" s="117" t="n">
        <v>0</v>
      </c>
      <c r="AU590" s="117" t="n">
        <v>1</v>
      </c>
      <c r="AV590" s="117" t="n">
        <v>1</v>
      </c>
      <c r="AW590" s="119" t="inlineStr">
        <is>
          <t>✓ Clean</t>
        </is>
      </c>
      <c r="AX590" s="118" t="n">
        <v>34.3</v>
      </c>
      <c r="AY590" s="119" t="inlineStr">
        <is>
          <t>🟢 LOW RISK</t>
        </is>
      </c>
      <c r="AZ590" s="118" t="n">
        <v>0</v>
      </c>
      <c r="BA590" s="124" t="inlineStr">
        <is>
          <t>N/A</t>
        </is>
      </c>
      <c r="BB590" s="124" t="inlineStr">
        <is>
          <t>N/A</t>
        </is>
      </c>
      <c r="BC590" s="124" t="inlineStr">
        <is>
          <t>N/A</t>
        </is>
      </c>
      <c r="BD590" s="124" t="inlineStr">
        <is>
          <t>N/A</t>
        </is>
      </c>
      <c r="BE590" s="124" t="inlineStr">
        <is>
          <t>N/A</t>
        </is>
      </c>
      <c r="BF590" s="120" t="n">
        <v>0.205</v>
      </c>
      <c r="BG590" s="117" t="n">
        <v>0.994</v>
      </c>
      <c r="BH590" s="122" t="n">
        <v>4</v>
      </c>
      <c r="BI590" s="125" t="n">
        <v>0.6666666666666666</v>
      </c>
    </row>
    <row r="591" ht="17" customHeight="1">
      <c r="A591" s="117" t="inlineStr">
        <is>
          <t>FE</t>
        </is>
      </c>
      <c r="B591" s="117" t="inlineStr">
        <is>
          <t>FIRSTENERGY CORP</t>
        </is>
      </c>
      <c r="C591" s="118" t="n">
        <v>1.007</v>
      </c>
      <c r="D591" s="118" t="n">
        <v>0.9419999999999999</v>
      </c>
      <c r="E591" s="118" t="n">
        <v>1.041</v>
      </c>
      <c r="F591" s="118" t="n">
        <v>1.12</v>
      </c>
      <c r="G591" s="118" t="n">
        <v>1.384</v>
      </c>
      <c r="H591" s="124" t="inlineStr">
        <is>
          <t>N/A</t>
        </is>
      </c>
      <c r="I591" s="118" t="n">
        <v>1.02</v>
      </c>
      <c r="J591" s="118" t="n">
        <v>-0.048</v>
      </c>
      <c r="K591" s="118" t="n">
        <v>-2.395</v>
      </c>
      <c r="L591" s="119" t="inlineStr">
        <is>
          <t>✓ Lower Risk</t>
        </is>
      </c>
      <c r="M591" s="120" t="n">
        <v>-0.019</v>
      </c>
      <c r="N591" s="120" t="n">
        <v>0.121</v>
      </c>
      <c r="O591" s="120" t="n">
        <v>0.017</v>
      </c>
      <c r="P591" s="120" t="n">
        <v>0.312</v>
      </c>
      <c r="Q591" s="120" t="n">
        <v>-0.001</v>
      </c>
      <c r="R591" s="117" t="n">
        <v>1</v>
      </c>
      <c r="S591" s="118" t="n">
        <v>-3.891</v>
      </c>
      <c r="T591" s="118" t="n">
        <v>0.02</v>
      </c>
      <c r="U591" s="119" t="inlineStr">
        <is>
          <t>✓ Normal</t>
        </is>
      </c>
      <c r="V591" s="117" t="n">
        <v>0</v>
      </c>
      <c r="W591" s="117" t="n">
        <v>1</v>
      </c>
      <c r="X591" s="117" t="n">
        <v>0</v>
      </c>
      <c r="Y591" s="117" t="n">
        <v>0</v>
      </c>
      <c r="Z591" s="117" t="n">
        <v>1</v>
      </c>
      <c r="AA591" s="117" t="n">
        <v>0</v>
      </c>
      <c r="AB591" s="117" t="n">
        <v>2</v>
      </c>
      <c r="AC591" s="121" t="inlineStr">
        <is>
          <t>⚠ WATCH</t>
        </is>
      </c>
      <c r="AD591" s="118" t="n">
        <v>3700000000</v>
      </c>
      <c r="AE591" s="118" t="n">
        <v>-5065000000</v>
      </c>
      <c r="AF591" s="118" t="n">
        <v>1020000000</v>
      </c>
      <c r="AG591" s="118" t="n">
        <v>0.044</v>
      </c>
      <c r="AH591" s="119" t="inlineStr">
        <is>
          <t>✓ Medium Quality</t>
        </is>
      </c>
      <c r="AI591" s="118" t="n">
        <v>0.128</v>
      </c>
      <c r="AJ591" s="120" t="n">
        <v>0.12</v>
      </c>
      <c r="AK591" s="120" t="n">
        <v>1.067</v>
      </c>
      <c r="AL591" s="120" t="n">
        <v>0.245</v>
      </c>
      <c r="AM591" s="120" t="n">
        <v>0.001</v>
      </c>
      <c r="AN591" s="118" t="n">
        <v>98.09999999999999</v>
      </c>
      <c r="AO591" s="119" t="inlineStr">
        <is>
          <t>✓ Good</t>
        </is>
      </c>
      <c r="AP591" s="117" t="n">
        <v>0</v>
      </c>
      <c r="AQ591" s="117" t="n">
        <v>0</v>
      </c>
      <c r="AR591" s="117" t="n">
        <v>0</v>
      </c>
      <c r="AS591" s="117" t="n">
        <v>0</v>
      </c>
      <c r="AT591" s="117" t="n">
        <v>0</v>
      </c>
      <c r="AU591" s="117" t="n">
        <v>1</v>
      </c>
      <c r="AV591" s="117" t="n">
        <v>1</v>
      </c>
      <c r="AW591" s="119" t="inlineStr">
        <is>
          <t>✓ Clean</t>
        </is>
      </c>
      <c r="AX591" s="118" t="n">
        <v>18.8</v>
      </c>
      <c r="AY591" s="119" t="inlineStr">
        <is>
          <t>🟢 VERY LOW RISK</t>
        </is>
      </c>
      <c r="AZ591" s="118" t="n">
        <v>41.7</v>
      </c>
      <c r="BA591" s="118" t="n">
        <v>41.5</v>
      </c>
      <c r="BB591" s="118" t="n">
        <v>78.09999999999999</v>
      </c>
      <c r="BC591" s="118" t="n">
        <v>65.8</v>
      </c>
      <c r="BD591" s="118" t="n">
        <v>270.9</v>
      </c>
      <c r="BE591" s="118" t="n">
        <v>188.8</v>
      </c>
      <c r="BF591" s="120" t="n">
        <v>0.185</v>
      </c>
      <c r="BG591" s="117" t="n">
        <v>0.312</v>
      </c>
      <c r="BH591" s="122" t="n">
        <v>4</v>
      </c>
      <c r="BI591" s="123" t="n">
        <v>1</v>
      </c>
    </row>
    <row r="592" ht="17" customHeight="1">
      <c r="A592" s="117" t="inlineStr">
        <is>
          <t>MDLZ</t>
        </is>
      </c>
      <c r="B592" s="117" t="inlineStr">
        <is>
          <t>Mondelez International, Inc.</t>
        </is>
      </c>
      <c r="C592" s="118" t="n">
        <v>0.953</v>
      </c>
      <c r="D592" s="118" t="n">
        <v>1.379</v>
      </c>
      <c r="E592" s="118" t="n">
        <v>1.025</v>
      </c>
      <c r="F592" s="118" t="n">
        <v>1.058</v>
      </c>
      <c r="G592" s="118" t="n">
        <v>0.964</v>
      </c>
      <c r="H592" s="118" t="n">
        <v>0.912</v>
      </c>
      <c r="I592" s="118" t="n">
        <v>1.052</v>
      </c>
      <c r="J592" s="118" t="n">
        <v>-0.029</v>
      </c>
      <c r="K592" s="118" t="n">
        <v>-2.403</v>
      </c>
      <c r="L592" s="119" t="inlineStr">
        <is>
          <t>✓ Lower Risk</t>
        </is>
      </c>
      <c r="M592" s="120" t="n">
        <v>-0.09</v>
      </c>
      <c r="N592" s="120" t="n">
        <v>0.014</v>
      </c>
      <c r="O592" s="120" t="n">
        <v>0.282</v>
      </c>
      <c r="P592" s="120" t="n">
        <v>0.819</v>
      </c>
      <c r="Q592" s="120" t="n">
        <v>-0.033</v>
      </c>
      <c r="R592" s="117" t="n">
        <v>0</v>
      </c>
      <c r="S592" s="118" t="n">
        <v>-5.958</v>
      </c>
      <c r="T592" s="118" t="n">
        <v>0.003</v>
      </c>
      <c r="U592" s="119" t="inlineStr">
        <is>
          <t>✓ Normal</t>
        </is>
      </c>
      <c r="V592" s="117" t="n">
        <v>0</v>
      </c>
      <c r="W592" s="117" t="n">
        <v>0</v>
      </c>
      <c r="X592" s="117" t="n">
        <v>1</v>
      </c>
      <c r="Y592" s="117" t="n">
        <v>0</v>
      </c>
      <c r="Z592" s="117" t="n">
        <v>1</v>
      </c>
      <c r="AA592" s="117" t="n">
        <v>0</v>
      </c>
      <c r="AB592" s="117" t="n">
        <v>2</v>
      </c>
      <c r="AC592" s="121" t="inlineStr">
        <is>
          <t>⚠ WATCH</t>
        </is>
      </c>
      <c r="AD592" s="118" t="n">
        <v>4514000000</v>
      </c>
      <c r="AE592" s="118" t="n">
        <v>-1196000000</v>
      </c>
      <c r="AF592" s="118" t="n">
        <v>2451000000</v>
      </c>
      <c r="AG592" s="118" t="n">
        <v>-0.012</v>
      </c>
      <c r="AH592" s="119" t="inlineStr">
        <is>
          <t>✓ Medium Quality</t>
        </is>
      </c>
      <c r="AI592" s="118" t="n">
        <v>0.007</v>
      </c>
      <c r="AJ592" s="120" t="n">
        <v>0.058</v>
      </c>
      <c r="AK592" s="120" t="n">
        <v>0.13</v>
      </c>
      <c r="AL592" s="120" t="n">
        <v>0.117</v>
      </c>
      <c r="AM592" s="124" t="inlineStr">
        <is>
          <t>N/A</t>
        </is>
      </c>
      <c r="AN592" s="118" t="n">
        <v>93.40000000000001</v>
      </c>
      <c r="AO592" s="119" t="inlineStr">
        <is>
          <t>✓ Good</t>
        </is>
      </c>
      <c r="AP592" s="117" t="n">
        <v>0</v>
      </c>
      <c r="AQ592" s="117" t="n">
        <v>0</v>
      </c>
      <c r="AR592" s="117" t="n">
        <v>1</v>
      </c>
      <c r="AS592" s="117" t="n">
        <v>0</v>
      </c>
      <c r="AT592" s="117" t="n">
        <v>1</v>
      </c>
      <c r="AU592" s="117" t="n">
        <v>0</v>
      </c>
      <c r="AV592" s="117" t="n">
        <v>2</v>
      </c>
      <c r="AW592" s="121" t="inlineStr">
        <is>
          <t>⚠ WATCH</t>
        </is>
      </c>
      <c r="AX592" s="118" t="n">
        <v>16.6</v>
      </c>
      <c r="AY592" s="119" t="inlineStr">
        <is>
          <t>🟢 VERY LOW RISK</t>
        </is>
      </c>
      <c r="AZ592" s="118" t="n">
        <v>37</v>
      </c>
      <c r="BA592" s="118" t="n">
        <v>38.8</v>
      </c>
      <c r="BB592" s="118" t="n">
        <v>58.4</v>
      </c>
      <c r="BC592" s="118" t="n">
        <v>63</v>
      </c>
      <c r="BD592" s="118" t="n">
        <v>134.1</v>
      </c>
      <c r="BE592" s="118" t="n">
        <v>155.2</v>
      </c>
      <c r="BF592" s="120" t="n">
        <v>1.043</v>
      </c>
      <c r="BG592" s="117" t="n">
        <v>0.819</v>
      </c>
      <c r="BH592" s="122" t="n">
        <v>4</v>
      </c>
      <c r="BI592" s="123" t="n">
        <v>1</v>
      </c>
    </row>
    <row r="593" ht="17" customHeight="1">
      <c r="A593" s="117" t="inlineStr">
        <is>
          <t>HBAN</t>
        </is>
      </c>
      <c r="B593" s="117" t="inlineStr">
        <is>
          <t>Huntington Bancshares Incorporated</t>
        </is>
      </c>
      <c r="C593" s="124" t="inlineStr">
        <is>
          <t>N/A</t>
        </is>
      </c>
      <c r="D593" s="124" t="inlineStr">
        <is>
          <t>N/A</t>
        </is>
      </c>
      <c r="E593" s="118" t="n">
        <v>0.999</v>
      </c>
      <c r="F593" s="118" t="n">
        <v>1.064</v>
      </c>
      <c r="G593" s="118" t="n">
        <v>1.337</v>
      </c>
      <c r="H593" s="124" t="inlineStr">
        <is>
          <t>N/A</t>
        </is>
      </c>
      <c r="I593" s="118" t="n">
        <v>0.987</v>
      </c>
      <c r="J593" s="118" t="n">
        <v>-0.001</v>
      </c>
      <c r="K593" s="124" t="inlineStr">
        <is>
          <t>N/A</t>
        </is>
      </c>
      <c r="L593" s="124" t="inlineStr">
        <is>
          <t>N/A</t>
        </is>
      </c>
      <c r="M593" s="124" t="inlineStr">
        <is>
          <t>N/A</t>
        </is>
      </c>
      <c r="N593" s="124" t="inlineStr">
        <is>
          <t>N/A</t>
        </is>
      </c>
      <c r="O593" s="124" t="inlineStr">
        <is>
          <t>N/A</t>
        </is>
      </c>
      <c r="P593" s="120" t="n">
        <v>0.982</v>
      </c>
      <c r="Q593" s="120" t="n">
        <v>0</v>
      </c>
      <c r="R593" s="117" t="n">
        <v>1</v>
      </c>
      <c r="S593" s="124" t="inlineStr">
        <is>
          <t>N/A</t>
        </is>
      </c>
      <c r="T593" s="124" t="inlineStr">
        <is>
          <t>N/A</t>
        </is>
      </c>
      <c r="U593" s="124" t="inlineStr">
        <is>
          <t>N/A</t>
        </is>
      </c>
      <c r="V593" s="117" t="n">
        <v>0</v>
      </c>
      <c r="W593" s="117" t="n">
        <v>0</v>
      </c>
      <c r="X593" s="117" t="n">
        <v>0</v>
      </c>
      <c r="Y593" s="117" t="n">
        <v>0</v>
      </c>
      <c r="Z593" s="117" t="n">
        <v>1</v>
      </c>
      <c r="AA593" s="117" t="n">
        <v>1</v>
      </c>
      <c r="AB593" s="117" t="n">
        <v>2</v>
      </c>
      <c r="AC593" s="121" t="inlineStr">
        <is>
          <t>⚠ WATCH</t>
        </is>
      </c>
      <c r="AD593" s="118" t="n">
        <v>2482000000</v>
      </c>
      <c r="AE593" s="118" t="n">
        <v>-6347000000</v>
      </c>
      <c r="AF593" s="118" t="n">
        <v>2211000000</v>
      </c>
      <c r="AG593" s="118" t="n">
        <v>0.028</v>
      </c>
      <c r="AH593" s="119" t="inlineStr">
        <is>
          <t>✓ Medium Quality</t>
        </is>
      </c>
      <c r="AI593" s="124" t="inlineStr">
        <is>
          <t>N/A</t>
        </is>
      </c>
      <c r="AJ593" s="120" t="n">
        <v>0.064</v>
      </c>
      <c r="AK593" s="124" t="inlineStr">
        <is>
          <t>N/A</t>
        </is>
      </c>
      <c r="AL593" s="120" t="n">
        <v>1.589</v>
      </c>
      <c r="AM593" s="120" t="n">
        <v>0.001</v>
      </c>
      <c r="AN593" s="117" t="n">
        <v>100</v>
      </c>
      <c r="AO593" s="119" t="inlineStr">
        <is>
          <t>✓ Good</t>
        </is>
      </c>
      <c r="AP593" s="117" t="n">
        <v>0</v>
      </c>
      <c r="AQ593" s="117" t="n">
        <v>0</v>
      </c>
      <c r="AR593" s="117" t="n">
        <v>0</v>
      </c>
      <c r="AS593" s="117" t="n">
        <v>0</v>
      </c>
      <c r="AT593" s="117" t="n">
        <v>0</v>
      </c>
      <c r="AU593" s="117" t="n">
        <v>1</v>
      </c>
      <c r="AV593" s="117" t="n">
        <v>1</v>
      </c>
      <c r="AW593" s="119" t="inlineStr">
        <is>
          <t>✓ Clean</t>
        </is>
      </c>
      <c r="AX593" s="118" t="n">
        <v>30.1</v>
      </c>
      <c r="AY593" s="119" t="inlineStr">
        <is>
          <t>🟢 LOW RISK</t>
        </is>
      </c>
      <c r="AZ593" s="118" t="n">
        <v>0</v>
      </c>
      <c r="BA593" s="124" t="inlineStr">
        <is>
          <t>N/A</t>
        </is>
      </c>
      <c r="BB593" s="124" t="inlineStr">
        <is>
          <t>N/A</t>
        </is>
      </c>
      <c r="BC593" s="124" t="inlineStr">
        <is>
          <t>N/A</t>
        </is>
      </c>
      <c r="BD593" s="124" t="inlineStr">
        <is>
          <t>N/A</t>
        </is>
      </c>
      <c r="BE593" s="124" t="inlineStr">
        <is>
          <t>N/A</t>
        </is>
      </c>
      <c r="BF593" s="120" t="n">
        <v>0.171</v>
      </c>
      <c r="BG593" s="117" t="n">
        <v>0.982</v>
      </c>
      <c r="BH593" s="122" t="n">
        <v>4</v>
      </c>
      <c r="BI593" s="125" t="n">
        <v>0.6666666666666666</v>
      </c>
    </row>
    <row r="594" ht="17" customHeight="1">
      <c r="A594" s="117" t="inlineStr">
        <is>
          <t>MTDR</t>
        </is>
      </c>
      <c r="B594" s="117" t="inlineStr">
        <is>
          <t>Matador Resources Company</t>
        </is>
      </c>
      <c r="C594" s="118" t="n">
        <v>0.8179999999999999</v>
      </c>
      <c r="D594" s="118" t="n">
        <v>1.008</v>
      </c>
      <c r="E594" s="118" t="n">
        <v>0.663</v>
      </c>
      <c r="F594" s="118" t="n">
        <v>1.055</v>
      </c>
      <c r="G594" s="118" t="n">
        <v>1.232</v>
      </c>
      <c r="H594" s="118" t="n">
        <v>1.02</v>
      </c>
      <c r="I594" s="118" t="n">
        <v>1</v>
      </c>
      <c r="J594" s="118" t="n">
        <v>-0.142</v>
      </c>
      <c r="K594" s="118" t="n">
        <v>-3.373</v>
      </c>
      <c r="L594" s="119" t="inlineStr">
        <is>
          <t>✓ Lower Risk</t>
        </is>
      </c>
      <c r="M594" s="120" t="n">
        <v>-0.114</v>
      </c>
      <c r="N594" s="120" t="n">
        <v>-0.237</v>
      </c>
      <c r="O594" s="120" t="n">
        <v>0</v>
      </c>
      <c r="P594" s="120" t="n">
        <v>0.405</v>
      </c>
      <c r="Q594" s="120" t="n">
        <v>-0.017</v>
      </c>
      <c r="R594" s="117" t="n">
        <v>0</v>
      </c>
      <c r="S594" s="118" t="n">
        <v>-7.773</v>
      </c>
      <c r="T594" s="118" t="n">
        <v>0</v>
      </c>
      <c r="U594" s="119" t="inlineStr">
        <is>
          <t>✓ Normal</t>
        </is>
      </c>
      <c r="V594" s="117" t="n">
        <v>0</v>
      </c>
      <c r="W594" s="117" t="n">
        <v>0</v>
      </c>
      <c r="X594" s="117" t="n">
        <v>0</v>
      </c>
      <c r="Y594" s="117" t="n">
        <v>0</v>
      </c>
      <c r="Z594" s="117" t="n">
        <v>0</v>
      </c>
      <c r="AA594" s="117" t="n">
        <v>0</v>
      </c>
      <c r="AB594" s="117" t="n">
        <v>0</v>
      </c>
      <c r="AC594" s="119" t="inlineStr">
        <is>
          <t>✓ Clean</t>
        </is>
      </c>
      <c r="AD594" s="118" t="n">
        <v>2425015000</v>
      </c>
      <c r="AE594" s="118" t="n">
        <v>-2157682000</v>
      </c>
      <c r="AF594" s="118" t="n">
        <v>759221000</v>
      </c>
      <c r="AG594" s="118" t="n">
        <v>0.044</v>
      </c>
      <c r="AH594" s="119" t="inlineStr">
        <is>
          <t>✓ Medium Quality</t>
        </is>
      </c>
      <c r="AI594" s="118" t="n">
        <v>-0.137</v>
      </c>
      <c r="AJ594" s="120" t="n">
        <v>0.055</v>
      </c>
      <c r="AK594" s="120" t="n">
        <v>-2.51</v>
      </c>
      <c r="AL594" s="120" t="n">
        <v>0.656</v>
      </c>
      <c r="AM594" s="124" t="inlineStr">
        <is>
          <t>N/A</t>
        </is>
      </c>
      <c r="AN594" s="117" t="n">
        <v>100</v>
      </c>
      <c r="AO594" s="119" t="inlineStr">
        <is>
          <t>✓ Good</t>
        </is>
      </c>
      <c r="AP594" s="117" t="n">
        <v>0</v>
      </c>
      <c r="AQ594" s="117" t="n">
        <v>0</v>
      </c>
      <c r="AR594" s="117" t="n">
        <v>1</v>
      </c>
      <c r="AS594" s="117" t="n">
        <v>1</v>
      </c>
      <c r="AT594" s="117" t="n">
        <v>0</v>
      </c>
      <c r="AU594" s="117" t="n">
        <v>1</v>
      </c>
      <c r="AV594" s="117" t="n">
        <v>3</v>
      </c>
      <c r="AW594" s="121" t="inlineStr">
        <is>
          <t>⚠ WATCH</t>
        </is>
      </c>
      <c r="AX594" s="118" t="n">
        <v>7.8</v>
      </c>
      <c r="AY594" s="119" t="inlineStr">
        <is>
          <t>🟢 VERY LOW RISK</t>
        </is>
      </c>
      <c r="AZ594" s="118" t="n">
        <v>28.3</v>
      </c>
      <c r="BA594" s="118" t="n">
        <v>34.5</v>
      </c>
      <c r="BB594" s="124" t="inlineStr">
        <is>
          <t>N/A</t>
        </is>
      </c>
      <c r="BC594" s="124" t="inlineStr">
        <is>
          <t>N/A</t>
        </is>
      </c>
      <c r="BD594" s="118" t="n">
        <v>258</v>
      </c>
      <c r="BE594" s="118" t="n">
        <v>145.1</v>
      </c>
      <c r="BF594" s="120" t="n">
        <v>0.167</v>
      </c>
      <c r="BG594" s="117" t="n">
        <v>0.405</v>
      </c>
      <c r="BH594" s="122" t="n">
        <v>3</v>
      </c>
      <c r="BI594" s="123" t="n">
        <v>1</v>
      </c>
    </row>
    <row r="595" ht="17" customHeight="1">
      <c r="A595" s="117" t="inlineStr">
        <is>
          <t>BOOT</t>
        </is>
      </c>
      <c r="B595" s="117" t="inlineStr">
        <is>
          <t>BOOT BARN HOLDINGS, INC.</t>
        </is>
      </c>
      <c r="C595" s="118" t="n">
        <v>0.369</v>
      </c>
      <c r="D595" s="118" t="n">
        <v>3.367</v>
      </c>
      <c r="E595" s="118" t="n">
        <v>1.014</v>
      </c>
      <c r="F595" s="118" t="n">
        <v>4.03</v>
      </c>
      <c r="G595" s="118" t="n">
        <v>0.972</v>
      </c>
      <c r="H595" s="118" t="n">
        <v>0.29</v>
      </c>
      <c r="I595" s="118" t="n">
        <v>1.051</v>
      </c>
      <c r="J595" s="118" t="n">
        <v>-0.032</v>
      </c>
      <c r="K595" s="118" t="n">
        <v>0.849</v>
      </c>
      <c r="L595" s="121" t="inlineStr">
        <is>
          <t>⚠ MANIPULATOR RISK</t>
        </is>
      </c>
      <c r="M595" s="120" t="n">
        <v>-0.007</v>
      </c>
      <c r="N595" s="120" t="n">
        <v>0.008999999999999999</v>
      </c>
      <c r="O595" s="120" t="n">
        <v>0.167</v>
      </c>
      <c r="P595" s="120" t="n">
        <v>0.733</v>
      </c>
      <c r="Q595" s="120" t="n">
        <v>0.003</v>
      </c>
      <c r="R595" s="117" t="n">
        <v>0</v>
      </c>
      <c r="S595" s="118" t="n">
        <v>-6.23</v>
      </c>
      <c r="T595" s="118" t="n">
        <v>0.002</v>
      </c>
      <c r="U595" s="119" t="inlineStr">
        <is>
          <t>✓ Normal</t>
        </is>
      </c>
      <c r="V595" s="117" t="n">
        <v>0</v>
      </c>
      <c r="W595" s="117" t="n">
        <v>0</v>
      </c>
      <c r="X595" s="117" t="n">
        <v>0</v>
      </c>
      <c r="Y595" s="117" t="n">
        <v>1</v>
      </c>
      <c r="Z595" s="117" t="n">
        <v>0</v>
      </c>
      <c r="AA595" s="117" t="n">
        <v>1</v>
      </c>
      <c r="AB595" s="117" t="n">
        <v>2</v>
      </c>
      <c r="AC595" s="121" t="inlineStr">
        <is>
          <t>⚠ WATCH</t>
        </is>
      </c>
      <c r="AD595" s="118" t="n">
        <v>304903000</v>
      </c>
      <c r="AE595" s="118" t="n">
        <v>-178805000</v>
      </c>
      <c r="AF595" s="118" t="n">
        <v>225880000</v>
      </c>
      <c r="AG595" s="118" t="n">
        <v>0.045</v>
      </c>
      <c r="AH595" s="119" t="inlineStr">
        <is>
          <t>✓ Medium Quality</t>
        </is>
      </c>
      <c r="AI595" s="118" t="n">
        <v>0.487</v>
      </c>
      <c r="AJ595" s="120" t="n">
        <v>3.03</v>
      </c>
      <c r="AK595" s="120" t="n">
        <v>0.161</v>
      </c>
      <c r="AL595" s="120" t="n">
        <v>0.392</v>
      </c>
      <c r="AM595" s="120" t="n">
        <v>0.001</v>
      </c>
      <c r="AN595" s="117" t="n">
        <v>100</v>
      </c>
      <c r="AO595" s="119" t="inlineStr">
        <is>
          <t>✓ Good</t>
        </is>
      </c>
      <c r="AP595" s="117" t="n">
        <v>0</v>
      </c>
      <c r="AQ595" s="117" t="n">
        <v>0</v>
      </c>
      <c r="AR595" s="117" t="n">
        <v>1</v>
      </c>
      <c r="AS595" s="117" t="n">
        <v>0</v>
      </c>
      <c r="AT595" s="117" t="n">
        <v>0</v>
      </c>
      <c r="AU595" s="117" t="n">
        <v>0</v>
      </c>
      <c r="AV595" s="117" t="n">
        <v>1</v>
      </c>
      <c r="AW595" s="119" t="inlineStr">
        <is>
          <t>✓ Clean</t>
        </is>
      </c>
      <c r="AX595" s="118" t="n">
        <v>25.8</v>
      </c>
      <c r="AY595" s="119" t="inlineStr">
        <is>
          <t>🟢 LOW RISK</t>
        </is>
      </c>
      <c r="AZ595" s="118" t="n">
        <v>7.2</v>
      </c>
      <c r="BA595" s="118" t="n">
        <v>19.4</v>
      </c>
      <c r="BB595" s="118" t="n">
        <v>220.9</v>
      </c>
      <c r="BC595" s="118" t="n">
        <v>228.4</v>
      </c>
      <c r="BD595" s="118" t="n">
        <v>37.2</v>
      </c>
      <c r="BE595" s="118" t="n">
        <v>41.1</v>
      </c>
      <c r="BF595" s="120" t="n">
        <v>0.249</v>
      </c>
      <c r="BG595" s="117" t="n">
        <v>0.733</v>
      </c>
      <c r="BH595" s="122" t="n">
        <v>3</v>
      </c>
      <c r="BI595" s="123" t="n">
        <v>1</v>
      </c>
    </row>
    <row r="596" ht="17" customHeight="1">
      <c r="A596" s="117" t="inlineStr">
        <is>
          <t>WELL</t>
        </is>
      </c>
      <c r="B596" s="117" t="inlineStr">
        <is>
          <t>WELLTOWER INC.</t>
        </is>
      </c>
      <c r="C596" s="118" t="n">
        <v>0.832</v>
      </c>
      <c r="D596" s="118" t="n">
        <v>0.986</v>
      </c>
      <c r="E596" s="124" t="inlineStr">
        <is>
          <t>N/A</t>
        </is>
      </c>
      <c r="F596" s="118" t="n">
        <v>1.356</v>
      </c>
      <c r="G596" s="124" t="inlineStr">
        <is>
          <t>N/A</t>
        </is>
      </c>
      <c r="H596" s="118" t="n">
        <v>5.474</v>
      </c>
      <c r="I596" s="118" t="n">
        <v>0.99</v>
      </c>
      <c r="J596" s="118" t="n">
        <v>-0.04</v>
      </c>
      <c r="K596" s="124" t="inlineStr">
        <is>
          <t>N/A</t>
        </is>
      </c>
      <c r="L596" s="124" t="inlineStr">
        <is>
          <t>N/A</t>
        </is>
      </c>
      <c r="M596" s="124" t="inlineStr">
        <is>
          <t>N/A</t>
        </is>
      </c>
      <c r="N596" s="120" t="n">
        <v>0.01</v>
      </c>
      <c r="O596" s="124" t="inlineStr">
        <is>
          <t>N/A</t>
        </is>
      </c>
      <c r="P596" s="120" t="n">
        <v>0.925</v>
      </c>
      <c r="Q596" s="120" t="n">
        <v>0.001</v>
      </c>
      <c r="R596" s="117" t="n">
        <v>1</v>
      </c>
      <c r="S596" s="124" t="inlineStr">
        <is>
          <t>N/A</t>
        </is>
      </c>
      <c r="T596" s="124" t="inlineStr">
        <is>
          <t>N/A</t>
        </is>
      </c>
      <c r="U596" s="124" t="inlineStr">
        <is>
          <t>N/A</t>
        </is>
      </c>
      <c r="V596" s="117" t="n">
        <v>1</v>
      </c>
      <c r="W596" s="117" t="n">
        <v>0</v>
      </c>
      <c r="X596" s="117" t="n">
        <v>0</v>
      </c>
      <c r="Y596" s="117" t="n">
        <v>0</v>
      </c>
      <c r="Z596" s="117" t="n">
        <v>1</v>
      </c>
      <c r="AA596" s="117" t="n">
        <v>1</v>
      </c>
      <c r="AB596" s="117" t="n">
        <v>3</v>
      </c>
      <c r="AC596" s="121" t="inlineStr">
        <is>
          <t>⚠ WATCH</t>
        </is>
      </c>
      <c r="AD596" s="118" t="n">
        <v>2881677000</v>
      </c>
      <c r="AE596" s="118" t="n">
        <v>-10512749000</v>
      </c>
      <c r="AF596" s="118" t="n">
        <v>217610000</v>
      </c>
      <c r="AG596" s="118" t="n">
        <v>0.133</v>
      </c>
      <c r="AH596" s="117" t="inlineStr">
        <is>
          <t>⚠ Low Quality</t>
        </is>
      </c>
      <c r="AI596" s="118" t="n">
        <v>0.128</v>
      </c>
      <c r="AJ596" s="120" t="n">
        <v>0.356</v>
      </c>
      <c r="AK596" s="120" t="n">
        <v>0.36</v>
      </c>
      <c r="AL596" s="120" t="n">
        <v>0.266</v>
      </c>
      <c r="AM596" s="120" t="n">
        <v>0.007</v>
      </c>
      <c r="AN596" s="117" t="n">
        <v>100</v>
      </c>
      <c r="AO596" s="119" t="inlineStr">
        <is>
          <t>✓ Good</t>
        </is>
      </c>
      <c r="AP596" s="117" t="n">
        <v>0</v>
      </c>
      <c r="AQ596" s="117" t="n">
        <v>0</v>
      </c>
      <c r="AR596" s="117" t="n">
        <v>0</v>
      </c>
      <c r="AS596" s="117" t="n">
        <v>1</v>
      </c>
      <c r="AT596" s="117" t="n">
        <v>0</v>
      </c>
      <c r="AU596" s="117" t="n">
        <v>0</v>
      </c>
      <c r="AV596" s="117" t="n">
        <v>1</v>
      </c>
      <c r="AW596" s="119" t="inlineStr">
        <is>
          <t>✓ Clean</t>
        </is>
      </c>
      <c r="AX596" s="118" t="n">
        <v>35.5</v>
      </c>
      <c r="AY596" s="119" t="inlineStr">
        <is>
          <t>🟢 LOW RISK</t>
        </is>
      </c>
      <c r="AZ596" s="118" t="n">
        <v>8.5</v>
      </c>
      <c r="BA596" s="118" t="n">
        <v>10.2</v>
      </c>
      <c r="BB596" s="124" t="inlineStr">
        <is>
          <t>N/A</t>
        </is>
      </c>
      <c r="BC596" s="124" t="inlineStr">
        <is>
          <t>N/A</t>
        </is>
      </c>
      <c r="BD596" s="124" t="inlineStr">
        <is>
          <t>N/A</t>
        </is>
      </c>
      <c r="BE596" s="124" t="inlineStr">
        <is>
          <t>N/A</t>
        </is>
      </c>
      <c r="BF596" s="124" t="inlineStr">
        <is>
          <t>N/A</t>
        </is>
      </c>
      <c r="BG596" s="117" t="n">
        <v>0.925</v>
      </c>
      <c r="BH596" s="122" t="n">
        <v>5</v>
      </c>
      <c r="BI596" s="125" t="n">
        <v>0.6666666666666666</v>
      </c>
    </row>
    <row r="597" ht="17" customHeight="1">
      <c r="A597" s="117" t="inlineStr">
        <is>
          <t>NI</t>
        </is>
      </c>
      <c r="B597" s="117" t="inlineStr">
        <is>
          <t>NISOURCE INC.</t>
        </is>
      </c>
      <c r="C597" s="118" t="n">
        <v>1.145</v>
      </c>
      <c r="D597" s="118" t="n">
        <v>0.8090000000000001</v>
      </c>
      <c r="E597" s="118" t="n">
        <v>0.999</v>
      </c>
      <c r="F597" s="118" t="n">
        <v>1.085</v>
      </c>
      <c r="G597" s="118" t="n">
        <v>1.007</v>
      </c>
      <c r="H597" s="124" t="inlineStr">
        <is>
          <t>N/A</t>
        </is>
      </c>
      <c r="I597" s="118" t="n">
        <v>1</v>
      </c>
      <c r="J597" s="118" t="n">
        <v>-0.04</v>
      </c>
      <c r="K597" s="118" t="n">
        <v>-2.387</v>
      </c>
      <c r="L597" s="119" t="inlineStr">
        <is>
          <t>✓ Lower Risk</t>
        </is>
      </c>
      <c r="M597" s="120" t="n">
        <v>-0.005</v>
      </c>
      <c r="N597" s="120" t="n">
        <v>0.611</v>
      </c>
      <c r="O597" s="124" t="inlineStr">
        <is>
          <t>N/A</t>
        </is>
      </c>
      <c r="P597" s="120" t="n">
        <v>0.197</v>
      </c>
      <c r="Q597" s="120" t="n">
        <v>0.002</v>
      </c>
      <c r="R597" s="117" t="n">
        <v>1</v>
      </c>
      <c r="S597" s="118" t="n">
        <v>-2.897</v>
      </c>
      <c r="T597" s="118" t="n">
        <v>0.052</v>
      </c>
      <c r="U597" s="121" t="inlineStr">
        <is>
          <t>⚠ HIGH RISK</t>
        </is>
      </c>
      <c r="V597" s="117" t="n">
        <v>0</v>
      </c>
      <c r="W597" s="117" t="n">
        <v>1</v>
      </c>
      <c r="X597" s="117" t="n">
        <v>0</v>
      </c>
      <c r="Y597" s="117" t="n">
        <v>0</v>
      </c>
      <c r="Z597" s="117" t="n">
        <v>1</v>
      </c>
      <c r="AA597" s="117" t="n">
        <v>1</v>
      </c>
      <c r="AB597" s="117" t="n">
        <v>3</v>
      </c>
      <c r="AC597" s="121" t="inlineStr">
        <is>
          <t>⚠ WATCH</t>
        </is>
      </c>
      <c r="AD597" s="118" t="n">
        <v>2362300000</v>
      </c>
      <c r="AE597" s="118" t="n">
        <v>-4524100000</v>
      </c>
      <c r="AF597" s="118" t="n">
        <v>929500000</v>
      </c>
      <c r="AG597" s="118" t="n">
        <v>0.091</v>
      </c>
      <c r="AH597" s="119" t="inlineStr">
        <is>
          <t>✓ Medium Quality</t>
        </is>
      </c>
      <c r="AI597" s="118" t="n">
        <v>0.242</v>
      </c>
      <c r="AJ597" s="120" t="n">
        <v>0.08500000000000001</v>
      </c>
      <c r="AK597" s="120" t="n">
        <v>2.845</v>
      </c>
      <c r="AL597" s="120" t="n">
        <v>0.485</v>
      </c>
      <c r="AM597" s="120" t="n">
        <v>-0.004</v>
      </c>
      <c r="AN597" s="118" t="n">
        <v>69.8</v>
      </c>
      <c r="AO597" s="119" t="inlineStr">
        <is>
          <t>✓ Good</t>
        </is>
      </c>
      <c r="AP597" s="117" t="n">
        <v>0</v>
      </c>
      <c r="AQ597" s="117" t="n">
        <v>0</v>
      </c>
      <c r="AR597" s="117" t="n">
        <v>0</v>
      </c>
      <c r="AS597" s="117" t="n">
        <v>0</v>
      </c>
      <c r="AT597" s="117" t="n">
        <v>0</v>
      </c>
      <c r="AU597" s="117" t="n">
        <v>0</v>
      </c>
      <c r="AV597" s="117" t="n">
        <v>0</v>
      </c>
      <c r="AW597" s="119" t="inlineStr">
        <is>
          <t>✓ Clean</t>
        </is>
      </c>
      <c r="AX597" s="118" t="n">
        <v>28.5</v>
      </c>
      <c r="AY597" s="119" t="inlineStr">
        <is>
          <t>🟢 LOW RISK</t>
        </is>
      </c>
      <c r="AZ597" s="118" t="n">
        <v>89.7</v>
      </c>
      <c r="BA597" s="118" t="n">
        <v>78.3</v>
      </c>
      <c r="BB597" s="124" t="inlineStr">
        <is>
          <t>N/A</t>
        </is>
      </c>
      <c r="BC597" s="124" t="inlineStr">
        <is>
          <t>N/A</t>
        </is>
      </c>
      <c r="BD597" s="118" t="n">
        <v>267.4</v>
      </c>
      <c r="BE597" s="118" t="n">
        <v>178.9</v>
      </c>
      <c r="BF597" s="120" t="n">
        <v>0.168</v>
      </c>
      <c r="BG597" s="117" t="n">
        <v>0.197</v>
      </c>
      <c r="BH597" s="122" t="n">
        <v>4</v>
      </c>
      <c r="BI597" s="123" t="n">
        <v>1</v>
      </c>
    </row>
    <row r="598" ht="17" customHeight="1">
      <c r="A598" s="126" t="inlineStr">
        <is>
          <t>DASH</t>
        </is>
      </c>
      <c r="B598" s="126" t="inlineStr">
        <is>
          <t>DOORDASH, INC.</t>
        </is>
      </c>
      <c r="C598" s="127" t="n">
        <v>1</v>
      </c>
      <c r="D598" s="124" t="inlineStr">
        <is>
          <t>N/A</t>
        </is>
      </c>
      <c r="E598" s="124" t="inlineStr">
        <is>
          <t>N/A</t>
        </is>
      </c>
      <c r="F598" s="127" t="n">
        <v>1</v>
      </c>
      <c r="G598" s="124" t="inlineStr">
        <is>
          <t>N/A</t>
        </is>
      </c>
      <c r="H598" s="127" t="n">
        <v>1</v>
      </c>
      <c r="I598" s="127" t="n">
        <v>1</v>
      </c>
      <c r="J598" s="127" t="n">
        <v>-0.076</v>
      </c>
      <c r="K598" s="124" t="inlineStr">
        <is>
          <t>N/A</t>
        </is>
      </c>
      <c r="L598" s="124" t="inlineStr">
        <is>
          <t>N/A</t>
        </is>
      </c>
      <c r="M598" s="128" t="n">
        <v>-0.038</v>
      </c>
      <c r="N598" s="128" t="n">
        <v>0</v>
      </c>
      <c r="O598" s="124" t="inlineStr">
        <is>
          <t>N/A</t>
        </is>
      </c>
      <c r="P598" s="128" t="n">
        <v>0.777</v>
      </c>
      <c r="Q598" s="128" t="n">
        <v>0</v>
      </c>
      <c r="R598" s="126" t="n">
        <v>0</v>
      </c>
      <c r="S598" s="127" t="n">
        <v>-6.385</v>
      </c>
      <c r="T598" s="127" t="n">
        <v>0.002</v>
      </c>
      <c r="U598" s="119" t="inlineStr">
        <is>
          <t>✓ Normal</t>
        </is>
      </c>
      <c r="V598" s="126" t="n">
        <v>0</v>
      </c>
      <c r="W598" s="126" t="n">
        <v>0</v>
      </c>
      <c r="X598" s="126" t="n">
        <v>0</v>
      </c>
      <c r="Y598" s="126" t="n">
        <v>0</v>
      </c>
      <c r="Z598" s="126" t="n">
        <v>0</v>
      </c>
      <c r="AA598" s="126" t="n">
        <v>0</v>
      </c>
      <c r="AB598" s="126" t="n">
        <v>0</v>
      </c>
      <c r="AC598" s="119" t="inlineStr">
        <is>
          <t>✓ Clean</t>
        </is>
      </c>
      <c r="AD598" s="127" t="n">
        <v>2431000000</v>
      </c>
      <c r="AE598" s="127" t="n">
        <v>-4391000000</v>
      </c>
      <c r="AF598" s="127" t="n">
        <v>935000000</v>
      </c>
      <c r="AG598" s="127" t="n">
        <v>0.147</v>
      </c>
      <c r="AH598" s="126" t="inlineStr">
        <is>
          <t>⚠ Low Quality</t>
        </is>
      </c>
      <c r="AI598" s="127" t="n">
        <v>0</v>
      </c>
      <c r="AJ598" s="128" t="n">
        <v>0</v>
      </c>
      <c r="AK598" s="124" t="inlineStr">
        <is>
          <t>N/A</t>
        </is>
      </c>
      <c r="AL598" s="128" t="n">
        <v>0.177</v>
      </c>
      <c r="AM598" s="128" t="n">
        <v>0</v>
      </c>
      <c r="AN598" s="126" t="n">
        <v>100</v>
      </c>
      <c r="AO598" s="119" t="inlineStr">
        <is>
          <t>✓ Good</t>
        </is>
      </c>
      <c r="AP598" s="126" t="n">
        <v>0</v>
      </c>
      <c r="AQ598" s="126" t="n">
        <v>0</v>
      </c>
      <c r="AR598" s="126" t="n">
        <v>0</v>
      </c>
      <c r="AS598" s="126" t="n">
        <v>0</v>
      </c>
      <c r="AT598" s="126" t="n">
        <v>0</v>
      </c>
      <c r="AU598" s="126" t="n">
        <v>0</v>
      </c>
      <c r="AV598" s="126" t="n">
        <v>0</v>
      </c>
      <c r="AW598" s="119" t="inlineStr">
        <is>
          <t>✓ Clean</t>
        </is>
      </c>
      <c r="AX598" s="127" t="n">
        <v>17.7</v>
      </c>
      <c r="AY598" s="119" t="inlineStr">
        <is>
          <t>🟢 VERY LOW RISK</t>
        </is>
      </c>
      <c r="AZ598" s="127" t="n">
        <v>29.5</v>
      </c>
      <c r="BA598" s="127" t="n">
        <v>29.5</v>
      </c>
      <c r="BB598" s="124" t="inlineStr">
        <is>
          <t>N/A</t>
        </is>
      </c>
      <c r="BC598" s="124" t="inlineStr">
        <is>
          <t>N/A</t>
        </is>
      </c>
      <c r="BD598" s="124" t="inlineStr">
        <is>
          <t>N/A</t>
        </is>
      </c>
      <c r="BE598" s="124" t="inlineStr">
        <is>
          <t>N/A</t>
        </is>
      </c>
      <c r="BF598" s="128" t="n">
        <v>0.007</v>
      </c>
      <c r="BG598" s="126" t="n">
        <v>0.777</v>
      </c>
      <c r="BH598" s="126" t="n">
        <v>0</v>
      </c>
      <c r="BI598" s="123" t="n">
        <v>0.8333333333333334</v>
      </c>
    </row>
    <row r="599" ht="17" customHeight="1">
      <c r="A599" s="117" t="inlineStr">
        <is>
          <t>IRDM</t>
        </is>
      </c>
      <c r="B599" s="117" t="inlineStr">
        <is>
          <t>Iridium Communications Inc.</t>
        </is>
      </c>
      <c r="C599" s="118" t="n">
        <v>0.904</v>
      </c>
      <c r="D599" s="118" t="n">
        <v>0.998</v>
      </c>
      <c r="E599" s="118" t="n">
        <v>0.978</v>
      </c>
      <c r="F599" s="118" t="n">
        <v>1.049</v>
      </c>
      <c r="G599" s="118" t="n">
        <v>0.926</v>
      </c>
      <c r="H599" s="118" t="n">
        <v>0.894</v>
      </c>
      <c r="I599" s="118" t="n">
        <v>1.042</v>
      </c>
      <c r="J599" s="118" t="n">
        <v>-0.113</v>
      </c>
      <c r="K599" s="118" t="n">
        <v>-3.066</v>
      </c>
      <c r="L599" s="119" t="inlineStr">
        <is>
          <t>✓ Lower Risk</t>
        </is>
      </c>
      <c r="M599" s="120" t="n">
        <v>-0.068</v>
      </c>
      <c r="N599" s="120" t="n">
        <v>-0.123</v>
      </c>
      <c r="O599" s="120" t="n">
        <v>-0.183</v>
      </c>
      <c r="P599" s="120" t="n">
        <v>0.18</v>
      </c>
      <c r="Q599" s="120" t="n">
        <v>0.003</v>
      </c>
      <c r="R599" s="117" t="n">
        <v>0</v>
      </c>
      <c r="S599" s="118" t="n">
        <v>-8.119</v>
      </c>
      <c r="T599" s="118" t="n">
        <v>0</v>
      </c>
      <c r="U599" s="119" t="inlineStr">
        <is>
          <t>✓ Normal</t>
        </is>
      </c>
      <c r="V599" s="117" t="n">
        <v>0</v>
      </c>
      <c r="W599" s="117" t="n">
        <v>0</v>
      </c>
      <c r="X599" s="117" t="n">
        <v>0</v>
      </c>
      <c r="Y599" s="117" t="n">
        <v>1</v>
      </c>
      <c r="Z599" s="117" t="n">
        <v>0</v>
      </c>
      <c r="AA599" s="117" t="n">
        <v>0</v>
      </c>
      <c r="AB599" s="117" t="n">
        <v>1</v>
      </c>
      <c r="AC599" s="119" t="inlineStr">
        <is>
          <t>✓ Clean</t>
        </is>
      </c>
      <c r="AD599" s="118" t="n">
        <v>400073000</v>
      </c>
      <c r="AE599" s="118" t="n">
        <v>-100280000</v>
      </c>
      <c r="AF599" s="118" t="n">
        <v>114372000</v>
      </c>
      <c r="AG599" s="118" t="n">
        <v>-0.07099999999999999</v>
      </c>
      <c r="AH599" s="119" t="inlineStr">
        <is>
          <t>✓ Medium Quality</t>
        </is>
      </c>
      <c r="AI599" s="118" t="n">
        <v>-0.051</v>
      </c>
      <c r="AJ599" s="120" t="n">
        <v>0.049</v>
      </c>
      <c r="AK599" s="120" t="n">
        <v>-1.032</v>
      </c>
      <c r="AL599" s="120" t="n">
        <v>0.459</v>
      </c>
      <c r="AM599" s="120" t="n">
        <v>-0.012</v>
      </c>
      <c r="AN599" s="118" t="n">
        <v>99.40000000000001</v>
      </c>
      <c r="AO599" s="119" t="inlineStr">
        <is>
          <t>✓ Good</t>
        </is>
      </c>
      <c r="AP599" s="117" t="n">
        <v>0</v>
      </c>
      <c r="AQ599" s="117" t="n">
        <v>0</v>
      </c>
      <c r="AR599" s="117" t="n">
        <v>0</v>
      </c>
      <c r="AS599" s="117" t="n">
        <v>0</v>
      </c>
      <c r="AT599" s="117" t="n">
        <v>1</v>
      </c>
      <c r="AU599" s="117" t="n">
        <v>0</v>
      </c>
      <c r="AV599" s="117" t="n">
        <v>1</v>
      </c>
      <c r="AW599" s="119" t="inlineStr">
        <is>
          <t>✓ Clean</t>
        </is>
      </c>
      <c r="AX599" s="118" t="n">
        <v>11</v>
      </c>
      <c r="AY599" s="119" t="inlineStr">
        <is>
          <t>🟢 VERY LOW RISK</t>
        </is>
      </c>
      <c r="AZ599" s="118" t="n">
        <v>39.3</v>
      </c>
      <c r="BA599" s="118" t="n">
        <v>43.4</v>
      </c>
      <c r="BB599" s="118" t="n">
        <v>605.8</v>
      </c>
      <c r="BC599" s="118" t="n">
        <v>669.9</v>
      </c>
      <c r="BD599" s="118" t="n">
        <v>145.2</v>
      </c>
      <c r="BE599" s="118" t="n">
        <v>162.5</v>
      </c>
      <c r="BF599" s="120" t="n">
        <v>0.191</v>
      </c>
      <c r="BG599" s="117" t="n">
        <v>0.18</v>
      </c>
      <c r="BH599" s="122" t="n">
        <v>2</v>
      </c>
      <c r="BI599" s="123" t="n">
        <v>1</v>
      </c>
    </row>
    <row r="600" ht="17" customHeight="1">
      <c r="A600" s="117" t="inlineStr">
        <is>
          <t>APO</t>
        </is>
      </c>
      <c r="B600" s="117" t="inlineStr">
        <is>
          <t>APOLLO GLOBAL MANAGEMENT, INC.</t>
        </is>
      </c>
      <c r="C600" s="124" t="inlineStr">
        <is>
          <t>N/A</t>
        </is>
      </c>
      <c r="D600" s="118" t="n">
        <v>1.295</v>
      </c>
      <c r="E600" s="124" t="inlineStr">
        <is>
          <t>N/A</t>
        </is>
      </c>
      <c r="F600" s="118" t="n">
        <v>1.227</v>
      </c>
      <c r="G600" s="124" t="inlineStr">
        <is>
          <t>N/A</t>
        </is>
      </c>
      <c r="H600" s="124" t="inlineStr">
        <is>
          <t>N/A</t>
        </is>
      </c>
      <c r="I600" s="118" t="n">
        <v>0.989</v>
      </c>
      <c r="J600" s="118" t="n">
        <v>-0.008</v>
      </c>
      <c r="K600" s="124" t="inlineStr">
        <is>
          <t>N/A</t>
        </is>
      </c>
      <c r="L600" s="124" t="inlineStr">
        <is>
          <t>N/A</t>
        </is>
      </c>
      <c r="M600" s="124" t="inlineStr">
        <is>
          <t>N/A</t>
        </is>
      </c>
      <c r="N600" s="124" t="inlineStr">
        <is>
          <t>N/A</t>
        </is>
      </c>
      <c r="O600" s="124" t="inlineStr">
        <is>
          <t>N/A</t>
        </is>
      </c>
      <c r="P600" s="120" t="n">
        <v>0.981</v>
      </c>
      <c r="Q600" s="120" t="n">
        <v>-0.005</v>
      </c>
      <c r="R600" s="117" t="n">
        <v>1</v>
      </c>
      <c r="S600" s="124" t="inlineStr">
        <is>
          <t>N/A</t>
        </is>
      </c>
      <c r="T600" s="124" t="inlineStr">
        <is>
          <t>N/A</t>
        </is>
      </c>
      <c r="U600" s="124" t="inlineStr">
        <is>
          <t>N/A</t>
        </is>
      </c>
      <c r="V600" s="117" t="n">
        <v>0</v>
      </c>
      <c r="W600" s="117" t="n">
        <v>0</v>
      </c>
      <c r="X600" s="117" t="n">
        <v>0</v>
      </c>
      <c r="Y600" s="117" t="n">
        <v>0</v>
      </c>
      <c r="Z600" s="117" t="n">
        <v>0</v>
      </c>
      <c r="AA600" s="117" t="n">
        <v>1</v>
      </c>
      <c r="AB600" s="117" t="n">
        <v>1</v>
      </c>
      <c r="AC600" s="119" t="inlineStr">
        <is>
          <t>✓ Clean</t>
        </is>
      </c>
      <c r="AD600" s="118" t="n">
        <v>7246000000</v>
      </c>
      <c r="AE600" s="118" t="n">
        <v>-63972000000</v>
      </c>
      <c r="AF600" s="118" t="n">
        <v>3492000000</v>
      </c>
      <c r="AG600" s="118" t="n">
        <v>0.144</v>
      </c>
      <c r="AH600" s="117" t="inlineStr">
        <is>
          <t>⚠ Low Quality</t>
        </is>
      </c>
      <c r="AI600" s="124" t="inlineStr">
        <is>
          <t>N/A</t>
        </is>
      </c>
      <c r="AJ600" s="120" t="n">
        <v>0.227</v>
      </c>
      <c r="AK600" s="124" t="inlineStr">
        <is>
          <t>N/A</t>
        </is>
      </c>
      <c r="AL600" s="120" t="n">
        <v>0.226</v>
      </c>
      <c r="AM600" s="124" t="inlineStr">
        <is>
          <t>N/A</t>
        </is>
      </c>
      <c r="AN600" s="117" t="n">
        <v>100</v>
      </c>
      <c r="AO600" s="119" t="inlineStr">
        <is>
          <t>✓ Good</t>
        </is>
      </c>
      <c r="AP600" s="117" t="n">
        <v>0</v>
      </c>
      <c r="AQ600" s="117" t="n">
        <v>0</v>
      </c>
      <c r="AR600" s="117" t="n">
        <v>1</v>
      </c>
      <c r="AS600" s="117" t="n">
        <v>0</v>
      </c>
      <c r="AT600" s="117" t="n">
        <v>0</v>
      </c>
      <c r="AU600" s="117" t="n">
        <v>0</v>
      </c>
      <c r="AV600" s="117" t="n">
        <v>1</v>
      </c>
      <c r="AW600" s="119" t="inlineStr">
        <is>
          <t>✓ Clean</t>
        </is>
      </c>
      <c r="AX600" s="118" t="n">
        <v>29.1</v>
      </c>
      <c r="AY600" s="119" t="inlineStr">
        <is>
          <t>🟢 LOW RISK</t>
        </is>
      </c>
      <c r="AZ600" s="118" t="n">
        <v>0</v>
      </c>
      <c r="BA600" s="124" t="inlineStr">
        <is>
          <t>N/A</t>
        </is>
      </c>
      <c r="BB600" s="124" t="inlineStr">
        <is>
          <t>N/A</t>
        </is>
      </c>
      <c r="BC600" s="124" t="inlineStr">
        <is>
          <t>N/A</t>
        </is>
      </c>
      <c r="BD600" s="124" t="inlineStr">
        <is>
          <t>N/A</t>
        </is>
      </c>
      <c r="BE600" s="124" t="inlineStr">
        <is>
          <t>N/A</t>
        </is>
      </c>
      <c r="BF600" s="120" t="n">
        <v>0.191</v>
      </c>
      <c r="BG600" s="117" t="n">
        <v>0.981</v>
      </c>
      <c r="BH600" s="122" t="n">
        <v>3</v>
      </c>
      <c r="BI600" s="125" t="n">
        <v>0.6666666666666666</v>
      </c>
    </row>
    <row r="601" ht="17" customHeight="1">
      <c r="A601" s="117" t="inlineStr">
        <is>
          <t>ALGM</t>
        </is>
      </c>
      <c r="B601" s="117" t="inlineStr">
        <is>
          <t>Allegro MicroSystems, Inc.</t>
        </is>
      </c>
      <c r="C601" s="118" t="n">
        <v>0.898</v>
      </c>
      <c r="D601" s="118" t="n">
        <v>0.958</v>
      </c>
      <c r="E601" s="118" t="n">
        <v>0.955</v>
      </c>
      <c r="F601" s="118" t="n">
        <v>1.228</v>
      </c>
      <c r="G601" s="118" t="n">
        <v>0.976</v>
      </c>
      <c r="H601" s="118" t="n">
        <v>0.912</v>
      </c>
      <c r="I601" s="118" t="n">
        <v>0.9419999999999999</v>
      </c>
      <c r="J601" s="118" t="n">
        <v>-0.126</v>
      </c>
      <c r="K601" s="118" t="n">
        <v>-2.968</v>
      </c>
      <c r="L601" s="119" t="inlineStr">
        <is>
          <t>✓ Lower Risk</t>
        </is>
      </c>
      <c r="M601" s="120" t="n">
        <v>-0.09</v>
      </c>
      <c r="N601" s="120" t="n">
        <v>0.052</v>
      </c>
      <c r="O601" s="120" t="n">
        <v>-0.013</v>
      </c>
      <c r="P601" s="120" t="n">
        <v>0.663</v>
      </c>
      <c r="Q601" s="120" t="n">
        <v>0.041</v>
      </c>
      <c r="R601" s="117" t="n">
        <v>1</v>
      </c>
      <c r="S601" s="118" t="n">
        <v>-3.48</v>
      </c>
      <c r="T601" s="118" t="n">
        <v>0.03</v>
      </c>
      <c r="U601" s="119" t="inlineStr">
        <is>
          <t>✓ Normal</t>
        </is>
      </c>
      <c r="V601" s="117" t="n">
        <v>0</v>
      </c>
      <c r="W601" s="117" t="n">
        <v>0</v>
      </c>
      <c r="X601" s="117" t="n">
        <v>0</v>
      </c>
      <c r="Y601" s="117" t="n">
        <v>0</v>
      </c>
      <c r="Z601" s="117" t="n">
        <v>0</v>
      </c>
      <c r="AA601" s="117" t="n">
        <v>0</v>
      </c>
      <c r="AB601" s="117" t="n">
        <v>0</v>
      </c>
      <c r="AC601" s="119" t="inlineStr">
        <is>
          <t>✓ Clean</t>
        </is>
      </c>
      <c r="AD601" s="118" t="n">
        <v>163069000</v>
      </c>
      <c r="AE601" s="118" t="n">
        <v>-41717000</v>
      </c>
      <c r="AF601" s="118" t="n">
        <v>-14897000</v>
      </c>
      <c r="AG601" s="118" t="n">
        <v>-0.096</v>
      </c>
      <c r="AH601" s="119" t="inlineStr">
        <is>
          <t>✓ Medium Quality</t>
        </is>
      </c>
      <c r="AI601" s="118" t="n">
        <v>0.102</v>
      </c>
      <c r="AJ601" s="120" t="n">
        <v>0.228</v>
      </c>
      <c r="AK601" s="120" t="n">
        <v>0.449</v>
      </c>
      <c r="AL601" s="120" t="n">
        <v>0.183</v>
      </c>
      <c r="AM601" s="120" t="n">
        <v>0</v>
      </c>
      <c r="AN601" s="117" t="n">
        <v>100</v>
      </c>
      <c r="AO601" s="119" t="inlineStr">
        <is>
          <t>✓ Good</t>
        </is>
      </c>
      <c r="AP601" s="117" t="n">
        <v>0</v>
      </c>
      <c r="AQ601" s="117" t="n">
        <v>0</v>
      </c>
      <c r="AR601" s="117" t="n">
        <v>0</v>
      </c>
      <c r="AS601" s="117" t="n">
        <v>0</v>
      </c>
      <c r="AT601" s="117" t="n">
        <v>1</v>
      </c>
      <c r="AU601" s="117" t="n">
        <v>1</v>
      </c>
      <c r="AV601" s="117" t="n">
        <v>2</v>
      </c>
      <c r="AW601" s="121" t="inlineStr">
        <is>
          <t>⚠ WATCH</t>
        </is>
      </c>
      <c r="AX601" s="118" t="n">
        <v>13.7</v>
      </c>
      <c r="AY601" s="119" t="inlineStr">
        <is>
          <t>🟢 VERY LOW RISK</t>
        </is>
      </c>
      <c r="AZ601" s="118" t="n">
        <v>38.2</v>
      </c>
      <c r="BA601" s="118" t="n">
        <v>42.6</v>
      </c>
      <c r="BB601" s="118" t="n">
        <v>138.7</v>
      </c>
      <c r="BC601" s="118" t="n">
        <v>166.4</v>
      </c>
      <c r="BD601" s="118" t="n">
        <v>33.4</v>
      </c>
      <c r="BE601" s="124" t="inlineStr">
        <is>
          <t>N/A</t>
        </is>
      </c>
      <c r="BF601" s="120" t="n">
        <v>0.017</v>
      </c>
      <c r="BG601" s="117" t="n">
        <v>0.663</v>
      </c>
      <c r="BH601" s="122" t="n">
        <v>3</v>
      </c>
      <c r="BI601" s="123" t="n">
        <v>1</v>
      </c>
    </row>
    <row r="602" ht="17" customHeight="1">
      <c r="A602" s="117" t="inlineStr">
        <is>
          <t>LRCX</t>
        </is>
      </c>
      <c r="B602" s="117" t="inlineStr">
        <is>
          <t>LAM RESEARCH CORPORATION</t>
        </is>
      </c>
      <c r="C602" s="118" t="n">
        <v>0.884</v>
      </c>
      <c r="D602" s="118" t="n">
        <v>1.192</v>
      </c>
      <c r="E602" s="118" t="n">
        <v>1.041</v>
      </c>
      <c r="F602" s="118" t="n">
        <v>1.517</v>
      </c>
      <c r="G602" s="118" t="n">
        <v>1.044</v>
      </c>
      <c r="H602" s="118" t="n">
        <v>0.745</v>
      </c>
      <c r="I602" s="118" t="n">
        <v>0.988</v>
      </c>
      <c r="J602" s="118" t="n">
        <v>-0.038</v>
      </c>
      <c r="K602" s="118" t="n">
        <v>-2.134</v>
      </c>
      <c r="L602" s="121" t="inlineStr">
        <is>
          <t>⚠ MANIPULATOR RISK</t>
        </is>
      </c>
      <c r="M602" s="120" t="n">
        <v>-0.07099999999999999</v>
      </c>
      <c r="N602" s="120" t="n">
        <v>0.778</v>
      </c>
      <c r="O602" s="120" t="n">
        <v>0.082</v>
      </c>
      <c r="P602" s="120" t="n">
        <v>0.588</v>
      </c>
      <c r="Q602" s="120" t="n">
        <v>0.047</v>
      </c>
      <c r="R602" s="117" t="n">
        <v>1</v>
      </c>
      <c r="S602" s="118" t="n">
        <v>-1.676</v>
      </c>
      <c r="T602" s="118" t="n">
        <v>0.158</v>
      </c>
      <c r="U602" s="121" t="inlineStr">
        <is>
          <t>⚠ HIGH RISK</t>
        </is>
      </c>
      <c r="V602" s="117" t="n">
        <v>1</v>
      </c>
      <c r="W602" s="117" t="n">
        <v>0</v>
      </c>
      <c r="X602" s="117" t="n">
        <v>0</v>
      </c>
      <c r="Y602" s="117" t="n">
        <v>1</v>
      </c>
      <c r="Z602" s="117" t="n">
        <v>1</v>
      </c>
      <c r="AA602" s="117" t="n">
        <v>1</v>
      </c>
      <c r="AB602" s="117" t="n">
        <v>4</v>
      </c>
      <c r="AC602" s="121" t="inlineStr">
        <is>
          <t>⚠⚠ SERIOUS CONCERN</t>
        </is>
      </c>
      <c r="AD602" s="118" t="n">
        <v>6173264000</v>
      </c>
      <c r="AE602" s="118" t="n">
        <v>-708092000</v>
      </c>
      <c r="AF602" s="118" t="n">
        <v>5358217000</v>
      </c>
      <c r="AG602" s="118" t="n">
        <v>-0.005</v>
      </c>
      <c r="AH602" s="119" t="inlineStr">
        <is>
          <t>✓ Medium Quality</t>
        </is>
      </c>
      <c r="AI602" s="118" t="n">
        <v>0.341</v>
      </c>
      <c r="AJ602" s="120" t="n">
        <v>0.517</v>
      </c>
      <c r="AK602" s="120" t="n">
        <v>0.659</v>
      </c>
      <c r="AL602" s="120" t="n">
        <v>1.907</v>
      </c>
      <c r="AM602" s="120" t="n">
        <v>0.354</v>
      </c>
      <c r="AN602" s="117" t="n">
        <v>100</v>
      </c>
      <c r="AO602" s="119" t="inlineStr">
        <is>
          <t>✓ Good</t>
        </is>
      </c>
      <c r="AP602" s="117" t="n">
        <v>0</v>
      </c>
      <c r="AQ602" s="117" t="n">
        <v>0</v>
      </c>
      <c r="AR602" s="117" t="n">
        <v>1</v>
      </c>
      <c r="AS602" s="117" t="n">
        <v>0</v>
      </c>
      <c r="AT602" s="117" t="n">
        <v>1</v>
      </c>
      <c r="AU602" s="117" t="n">
        <v>1</v>
      </c>
      <c r="AV602" s="117" t="n">
        <v>3</v>
      </c>
      <c r="AW602" s="121" t="inlineStr">
        <is>
          <t>⚠ WATCH</t>
        </is>
      </c>
      <c r="AX602" s="118" t="n">
        <v>47.7</v>
      </c>
      <c r="AY602" s="121" t="inlineStr">
        <is>
          <t>🟡 ELEVATED RISK</t>
        </is>
      </c>
      <c r="AZ602" s="118" t="n">
        <v>380.8</v>
      </c>
      <c r="BA602" s="118" t="n">
        <v>430.9</v>
      </c>
      <c r="BB602" s="118" t="n">
        <v>166.3</v>
      </c>
      <c r="BC602" s="118" t="n">
        <v>196.1</v>
      </c>
      <c r="BD602" s="118" t="n">
        <v>33</v>
      </c>
      <c r="BE602" s="118" t="n">
        <v>28.5</v>
      </c>
      <c r="BF602" s="120" t="n">
        <v>0.101</v>
      </c>
      <c r="BG602" s="117" t="n">
        <v>0.588</v>
      </c>
      <c r="BH602" s="122" t="n">
        <v>8</v>
      </c>
      <c r="BI602" s="123" t="n">
        <v>1</v>
      </c>
    </row>
  </sheetData>
  <autoFilter ref="A2:BI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AVY</t>
        </is>
      </c>
    </row>
    <row r="2">
      <c r="A2" t="inlineStr">
        <is>
          <t>CHD</t>
        </is>
      </c>
    </row>
    <row r="3">
      <c r="A3" t="inlineStr">
        <is>
          <t>GWW</t>
        </is>
      </c>
    </row>
    <row r="4">
      <c r="A4" t="inlineStr">
        <is>
          <t>SO</t>
        </is>
      </c>
    </row>
    <row r="5">
      <c r="A5" t="inlineStr">
        <is>
          <t>VICI</t>
        </is>
      </c>
    </row>
    <row r="6">
      <c r="A6" t="inlineStr">
        <is>
          <t>MPWR</t>
        </is>
      </c>
    </row>
    <row r="7">
      <c r="A7" t="inlineStr">
        <is>
          <t>EWBC</t>
        </is>
      </c>
    </row>
    <row r="8">
      <c r="A8" t="inlineStr">
        <is>
          <t>BEN</t>
        </is>
      </c>
    </row>
    <row r="9">
      <c r="A9" t="inlineStr">
        <is>
          <t>NVDA</t>
        </is>
      </c>
    </row>
    <row r="10">
      <c r="A10" t="inlineStr">
        <is>
          <t>KRYS</t>
        </is>
      </c>
    </row>
    <row r="11">
      <c r="A11" t="inlineStr">
        <is>
          <t>APTV</t>
        </is>
      </c>
    </row>
    <row r="12">
      <c r="A12" t="inlineStr">
        <is>
          <t>ZBRA</t>
        </is>
      </c>
    </row>
    <row r="13">
      <c r="A13" t="inlineStr">
        <is>
          <t>WFC</t>
        </is>
      </c>
    </row>
    <row r="14">
      <c r="A14" t="inlineStr">
        <is>
          <t>EXPD</t>
        </is>
      </c>
    </row>
    <row r="15">
      <c r="A15" t="inlineStr">
        <is>
          <t>CELH</t>
        </is>
      </c>
    </row>
    <row r="16">
      <c r="A16" t="inlineStr">
        <is>
          <t>MKSI</t>
        </is>
      </c>
    </row>
    <row r="17">
      <c r="A17" t="inlineStr">
        <is>
          <t>ACAD</t>
        </is>
      </c>
    </row>
    <row r="18">
      <c r="A18" t="inlineStr">
        <is>
          <t>NEM</t>
        </is>
      </c>
    </row>
    <row r="19">
      <c r="A19" t="inlineStr">
        <is>
          <t>NFLX</t>
        </is>
      </c>
    </row>
    <row r="20">
      <c r="A20" t="inlineStr">
        <is>
          <t>BWA</t>
        </is>
      </c>
    </row>
    <row r="21">
      <c r="A21" t="inlineStr">
        <is>
          <t>CCL</t>
        </is>
      </c>
    </row>
    <row r="22">
      <c r="A22" t="inlineStr">
        <is>
          <t>BIO</t>
        </is>
      </c>
    </row>
    <row r="23">
      <c r="A23" t="inlineStr">
        <is>
          <t>GEHC</t>
        </is>
      </c>
    </row>
    <row r="24">
      <c r="A24" t="inlineStr">
        <is>
          <t>BAC</t>
        </is>
      </c>
    </row>
    <row r="25">
      <c r="A25" t="inlineStr">
        <is>
          <t>COR</t>
        </is>
      </c>
    </row>
    <row r="26">
      <c r="A26" t="inlineStr">
        <is>
          <t>NKE</t>
        </is>
      </c>
    </row>
    <row r="27">
      <c r="A27" t="inlineStr">
        <is>
          <t>ELS</t>
        </is>
      </c>
    </row>
    <row r="28">
      <c r="A28" t="inlineStr">
        <is>
          <t>IVZ</t>
        </is>
      </c>
    </row>
    <row r="29">
      <c r="A29" t="inlineStr">
        <is>
          <t>AMP</t>
        </is>
      </c>
    </row>
    <row r="30">
      <c r="A30" t="inlineStr">
        <is>
          <t>ZBH</t>
        </is>
      </c>
    </row>
    <row r="31">
      <c r="A31" t="inlineStr">
        <is>
          <t>CEVA</t>
        </is>
      </c>
    </row>
    <row r="32">
      <c r="A32" t="inlineStr">
        <is>
          <t>EHC</t>
        </is>
      </c>
    </row>
    <row r="33">
      <c r="A33" t="inlineStr">
        <is>
          <t>TOL</t>
        </is>
      </c>
    </row>
    <row r="34">
      <c r="A34" t="inlineStr">
        <is>
          <t>CLX</t>
        </is>
      </c>
    </row>
    <row r="35">
      <c r="A35" t="inlineStr">
        <is>
          <t>GRBK</t>
        </is>
      </c>
    </row>
    <row r="36">
      <c r="A36" t="inlineStr">
        <is>
          <t>ED</t>
        </is>
      </c>
    </row>
    <row r="37">
      <c r="A37" t="inlineStr">
        <is>
          <t>GS</t>
        </is>
      </c>
    </row>
    <row r="38">
      <c r="A38" t="inlineStr">
        <is>
          <t>INGR</t>
        </is>
      </c>
    </row>
    <row r="39">
      <c r="A39" t="inlineStr">
        <is>
          <t>RCL</t>
        </is>
      </c>
    </row>
    <row r="40">
      <c r="A40" t="inlineStr">
        <is>
          <t>CL</t>
        </is>
      </c>
    </row>
    <row r="41">
      <c r="A41" t="inlineStr">
        <is>
          <t>LKQ</t>
        </is>
      </c>
    </row>
    <row r="42">
      <c r="A42" t="inlineStr">
        <is>
          <t>FFIN</t>
        </is>
      </c>
    </row>
    <row r="43">
      <c r="A43" t="inlineStr">
        <is>
          <t>ONTO</t>
        </is>
      </c>
    </row>
    <row r="44">
      <c r="A44" t="inlineStr">
        <is>
          <t>PKG</t>
        </is>
      </c>
    </row>
    <row r="45">
      <c r="A45" t="inlineStr">
        <is>
          <t>MU</t>
        </is>
      </c>
    </row>
    <row r="46">
      <c r="A46" t="inlineStr">
        <is>
          <t>JAZZ</t>
        </is>
      </c>
    </row>
    <row r="47">
      <c r="A47" t="inlineStr">
        <is>
          <t>INTC</t>
        </is>
      </c>
    </row>
    <row r="48">
      <c r="A48" t="inlineStr">
        <is>
          <t>STE</t>
        </is>
      </c>
    </row>
    <row r="49">
      <c r="A49" t="inlineStr">
        <is>
          <t>BMY</t>
        </is>
      </c>
    </row>
    <row r="50">
      <c r="A50" t="inlineStr">
        <is>
          <t>HRL</t>
        </is>
      </c>
    </row>
    <row r="51">
      <c r="A51" t="inlineStr">
        <is>
          <t>BMRN</t>
        </is>
      </c>
    </row>
    <row r="52">
      <c r="A52" t="inlineStr">
        <is>
          <t>AMAT</t>
        </is>
      </c>
    </row>
    <row r="53">
      <c r="A53" t="inlineStr">
        <is>
          <t>PCG</t>
        </is>
      </c>
    </row>
    <row r="54">
      <c r="A54" t="inlineStr">
        <is>
          <t>RS</t>
        </is>
      </c>
    </row>
    <row r="55">
      <c r="A55" t="inlineStr">
        <is>
          <t>MKC</t>
        </is>
      </c>
    </row>
    <row r="56">
      <c r="A56" t="inlineStr">
        <is>
          <t>JKHY</t>
        </is>
      </c>
    </row>
    <row r="57">
      <c r="A57" t="inlineStr">
        <is>
          <t>CF</t>
        </is>
      </c>
    </row>
    <row r="58">
      <c r="A58" t="inlineStr">
        <is>
          <t>PFE</t>
        </is>
      </c>
    </row>
    <row r="59">
      <c r="A59" t="inlineStr">
        <is>
          <t>AMGN</t>
        </is>
      </c>
    </row>
    <row r="60">
      <c r="A60" t="inlineStr">
        <is>
          <t>TDG</t>
        </is>
      </c>
    </row>
    <row r="61">
      <c r="A61" t="inlineStr">
        <is>
          <t>ETN</t>
        </is>
      </c>
    </row>
    <row r="62">
      <c r="A62" t="inlineStr">
        <is>
          <t>GILD</t>
        </is>
      </c>
    </row>
    <row r="63">
      <c r="A63" t="inlineStr">
        <is>
          <t>CARR</t>
        </is>
      </c>
    </row>
    <row r="64">
      <c r="A64" t="inlineStr">
        <is>
          <t>T</t>
        </is>
      </c>
    </row>
    <row r="65">
      <c r="A65" t="inlineStr">
        <is>
          <t>ADI</t>
        </is>
      </c>
    </row>
    <row r="66">
      <c r="A66" t="inlineStr">
        <is>
          <t>CPB</t>
        </is>
      </c>
    </row>
    <row r="67">
      <c r="A67" t="inlineStr">
        <is>
          <t>FIX</t>
        </is>
      </c>
    </row>
    <row r="68">
      <c r="A68" t="inlineStr">
        <is>
          <t>MSFT</t>
        </is>
      </c>
    </row>
    <row r="69">
      <c r="A69" t="inlineStr">
        <is>
          <t>FIVN</t>
        </is>
      </c>
    </row>
    <row r="70">
      <c r="A70" t="inlineStr">
        <is>
          <t>WWD</t>
        </is>
      </c>
    </row>
    <row r="71">
      <c r="A71" t="inlineStr">
        <is>
          <t>CBRE</t>
        </is>
      </c>
    </row>
    <row r="72">
      <c r="A72" t="inlineStr">
        <is>
          <t>WTW</t>
        </is>
      </c>
    </row>
    <row r="73">
      <c r="A73" t="inlineStr">
        <is>
          <t>ITW</t>
        </is>
      </c>
    </row>
    <row r="74">
      <c r="A74" t="inlineStr">
        <is>
          <t>KTOS</t>
        </is>
      </c>
    </row>
    <row r="75">
      <c r="A75" t="inlineStr">
        <is>
          <t>CTVA</t>
        </is>
      </c>
    </row>
    <row r="76">
      <c r="A76" t="inlineStr">
        <is>
          <t>ABM</t>
        </is>
      </c>
    </row>
    <row r="77">
      <c r="A77" t="inlineStr">
        <is>
          <t>ACLS</t>
        </is>
      </c>
    </row>
    <row r="78">
      <c r="A78" t="inlineStr">
        <is>
          <t>RTX</t>
        </is>
      </c>
    </row>
    <row r="79">
      <c r="A79" t="inlineStr">
        <is>
          <t>RF</t>
        </is>
      </c>
    </row>
    <row r="80">
      <c r="A80" t="inlineStr">
        <is>
          <t>WPC</t>
        </is>
      </c>
    </row>
    <row r="81">
      <c r="A81" t="inlineStr">
        <is>
          <t>NMIH</t>
        </is>
      </c>
    </row>
    <row r="82">
      <c r="A82" t="inlineStr">
        <is>
          <t>RPM</t>
        </is>
      </c>
    </row>
    <row r="83">
      <c r="A83" t="inlineStr">
        <is>
          <t>WMB</t>
        </is>
      </c>
    </row>
    <row r="84">
      <c r="A84" t="inlineStr">
        <is>
          <t>PCOR</t>
        </is>
      </c>
    </row>
    <row r="85">
      <c r="A85" t="inlineStr">
        <is>
          <t>DGX</t>
        </is>
      </c>
    </row>
    <row r="86">
      <c r="A86" t="inlineStr">
        <is>
          <t>DLR</t>
        </is>
      </c>
    </row>
    <row r="87">
      <c r="A87" t="inlineStr">
        <is>
          <t>KLAC</t>
        </is>
      </c>
    </row>
    <row r="88">
      <c r="A88" t="inlineStr">
        <is>
          <t>IONS</t>
        </is>
      </c>
    </row>
    <row r="89">
      <c r="A89" t="inlineStr">
        <is>
          <t>F</t>
        </is>
      </c>
    </row>
    <row r="90">
      <c r="A90" t="inlineStr">
        <is>
          <t>NTRS</t>
        </is>
      </c>
    </row>
    <row r="91">
      <c r="A91" t="inlineStr">
        <is>
          <t>MNST</t>
        </is>
      </c>
    </row>
    <row r="92">
      <c r="A92" t="inlineStr">
        <is>
          <t>PNW</t>
        </is>
      </c>
    </row>
    <row r="93">
      <c r="A93" t="inlineStr">
        <is>
          <t>CI</t>
        </is>
      </c>
    </row>
    <row r="94">
      <c r="A94" t="inlineStr">
        <is>
          <t>TREX</t>
        </is>
      </c>
    </row>
    <row r="95">
      <c r="A95" t="inlineStr">
        <is>
          <t>APA</t>
        </is>
      </c>
    </row>
    <row r="96">
      <c r="A96" t="inlineStr">
        <is>
          <t>MCHP</t>
        </is>
      </c>
    </row>
    <row r="97">
      <c r="A97" t="inlineStr">
        <is>
          <t>FORM</t>
        </is>
      </c>
    </row>
    <row r="98">
      <c r="A98" t="inlineStr">
        <is>
          <t>WSM</t>
        </is>
      </c>
    </row>
    <row r="99">
      <c r="A99" t="inlineStr">
        <is>
          <t>EFX</t>
        </is>
      </c>
    </row>
    <row r="100">
      <c r="A100" t="inlineStr">
        <is>
          <t>AEP</t>
        </is>
      </c>
    </row>
    <row r="101">
      <c r="A101" t="inlineStr">
        <is>
          <t>NET</t>
        </is>
      </c>
    </row>
    <row r="102">
      <c r="A102" t="inlineStr">
        <is>
          <t>MO</t>
        </is>
      </c>
    </row>
    <row r="103">
      <c r="A103" t="inlineStr">
        <is>
          <t>EQIX</t>
        </is>
      </c>
    </row>
    <row r="104">
      <c r="A104" t="inlineStr">
        <is>
          <t>ANF</t>
        </is>
      </c>
    </row>
    <row r="105">
      <c r="A105" t="inlineStr">
        <is>
          <t>CFG</t>
        </is>
      </c>
    </row>
    <row r="106">
      <c r="A106" t="inlineStr">
        <is>
          <t>IMCR</t>
        </is>
      </c>
    </row>
    <row r="107">
      <c r="A107" t="inlineStr">
        <is>
          <t>NHI</t>
        </is>
      </c>
    </row>
    <row r="108">
      <c r="A108" t="inlineStr">
        <is>
          <t>NXPI</t>
        </is>
      </c>
    </row>
    <row r="109">
      <c r="A109" t="inlineStr">
        <is>
          <t>RBC</t>
        </is>
      </c>
    </row>
    <row r="110">
      <c r="A110" t="inlineStr">
        <is>
          <t>IMVT</t>
        </is>
      </c>
    </row>
    <row r="111">
      <c r="A111" t="inlineStr">
        <is>
          <t>MOS</t>
        </is>
      </c>
    </row>
    <row r="112">
      <c r="A112" t="inlineStr">
        <is>
          <t>AWK</t>
        </is>
      </c>
    </row>
    <row r="113">
      <c r="A113" t="inlineStr">
        <is>
          <t>ESNT</t>
        </is>
      </c>
    </row>
    <row r="114">
      <c r="A114" t="inlineStr">
        <is>
          <t>EVRG</t>
        </is>
      </c>
    </row>
    <row r="115">
      <c r="A115" t="inlineStr">
        <is>
          <t>SRE</t>
        </is>
      </c>
    </row>
    <row r="116">
      <c r="A116" t="inlineStr">
        <is>
          <t>RJF</t>
        </is>
      </c>
    </row>
    <row r="117">
      <c r="A117" t="inlineStr">
        <is>
          <t>NCLH</t>
        </is>
      </c>
    </row>
    <row r="118">
      <c r="A118" t="inlineStr">
        <is>
          <t>GLW</t>
        </is>
      </c>
    </row>
    <row r="119">
      <c r="A119" t="inlineStr">
        <is>
          <t>AMCR</t>
        </is>
      </c>
    </row>
    <row r="120">
      <c r="A120" t="inlineStr">
        <is>
          <t>QCOM</t>
        </is>
      </c>
    </row>
    <row r="121">
      <c r="A121" t="inlineStr">
        <is>
          <t>AAP</t>
        </is>
      </c>
    </row>
    <row r="122">
      <c r="A122" t="inlineStr">
        <is>
          <t>LYB</t>
        </is>
      </c>
    </row>
    <row r="123">
      <c r="A123" t="inlineStr">
        <is>
          <t>VZ</t>
        </is>
      </c>
    </row>
    <row r="124">
      <c r="A124" t="inlineStr">
        <is>
          <t>PLD</t>
        </is>
      </c>
    </row>
    <row r="125">
      <c r="A125" t="inlineStr">
        <is>
          <t>TRGP</t>
        </is>
      </c>
    </row>
    <row r="126">
      <c r="A126" t="inlineStr">
        <is>
          <t>PANW</t>
        </is>
      </c>
    </row>
    <row r="127">
      <c r="A127" t="inlineStr">
        <is>
          <t>MEDP</t>
        </is>
      </c>
    </row>
    <row r="128">
      <c r="A128" t="inlineStr">
        <is>
          <t>BJRI</t>
        </is>
      </c>
    </row>
    <row r="129">
      <c r="A129" t="inlineStr">
        <is>
          <t>GLPI</t>
        </is>
      </c>
    </row>
    <row r="130">
      <c r="A130" t="inlineStr">
        <is>
          <t>EBAY</t>
        </is>
      </c>
    </row>
    <row r="131">
      <c r="A131" t="inlineStr">
        <is>
          <t>MSA</t>
        </is>
      </c>
    </row>
    <row r="132">
      <c r="A132" t="inlineStr">
        <is>
          <t>NOC</t>
        </is>
      </c>
    </row>
    <row r="133">
      <c r="A133" t="inlineStr">
        <is>
          <t>V</t>
        </is>
      </c>
    </row>
    <row r="134">
      <c r="A134" t="inlineStr">
        <is>
          <t>MDT</t>
        </is>
      </c>
    </row>
    <row r="135">
      <c r="A135" t="inlineStr">
        <is>
          <t>WDC</t>
        </is>
      </c>
    </row>
    <row r="136">
      <c r="A136" t="inlineStr">
        <is>
          <t>OPEN</t>
        </is>
      </c>
    </row>
    <row r="137">
      <c r="A137" t="inlineStr">
        <is>
          <t>RHI</t>
        </is>
      </c>
    </row>
    <row r="138">
      <c r="A138" t="inlineStr">
        <is>
          <t>RCKT</t>
        </is>
      </c>
    </row>
    <row r="139">
      <c r="A139" t="inlineStr">
        <is>
          <t>PSA</t>
        </is>
      </c>
    </row>
    <row r="140">
      <c r="A140" t="inlineStr">
        <is>
          <t>ONB</t>
        </is>
      </c>
    </row>
    <row r="141">
      <c r="A141" t="inlineStr">
        <is>
          <t>CMI</t>
        </is>
      </c>
    </row>
    <row r="142">
      <c r="A142" t="inlineStr">
        <is>
          <t>WTFC</t>
        </is>
      </c>
    </row>
    <row r="143">
      <c r="A143" t="inlineStr">
        <is>
          <t>MSTR</t>
        </is>
      </c>
    </row>
    <row r="144">
      <c r="A144" t="inlineStr">
        <is>
          <t>IP</t>
        </is>
      </c>
    </row>
    <row r="145">
      <c r="A145" t="inlineStr">
        <is>
          <t>ALL</t>
        </is>
      </c>
    </row>
    <row r="146">
      <c r="A146" t="inlineStr">
        <is>
          <t>WAT</t>
        </is>
      </c>
    </row>
    <row r="147">
      <c r="A147" t="inlineStr">
        <is>
          <t>NEE</t>
        </is>
      </c>
    </row>
    <row r="148">
      <c r="A148" t="inlineStr">
        <is>
          <t>PAYX</t>
        </is>
      </c>
    </row>
    <row r="149">
      <c r="A149" t="inlineStr">
        <is>
          <t>AFL</t>
        </is>
      </c>
    </row>
    <row r="150">
      <c r="A150" t="inlineStr">
        <is>
          <t>SMCI</t>
        </is>
      </c>
    </row>
    <row r="151">
      <c r="A151" t="inlineStr">
        <is>
          <t>EW</t>
        </is>
      </c>
    </row>
    <row r="152">
      <c r="A152" t="inlineStr">
        <is>
          <t>CACI</t>
        </is>
      </c>
    </row>
    <row r="153">
      <c r="A153" t="inlineStr">
        <is>
          <t>ROP</t>
        </is>
      </c>
    </row>
    <row r="154">
      <c r="A154" t="inlineStr">
        <is>
          <t>TXRH</t>
        </is>
      </c>
    </row>
    <row r="155">
      <c r="A155" t="inlineStr">
        <is>
          <t>AXON</t>
        </is>
      </c>
    </row>
    <row r="156">
      <c r="A156" t="inlineStr">
        <is>
          <t>LOW</t>
        </is>
      </c>
    </row>
    <row r="157">
      <c r="A157" t="inlineStr">
        <is>
          <t>ARQT</t>
        </is>
      </c>
    </row>
    <row r="158">
      <c r="A158" t="inlineStr">
        <is>
          <t>GVA</t>
        </is>
      </c>
    </row>
    <row r="159">
      <c r="A159" t="inlineStr">
        <is>
          <t>TRV</t>
        </is>
      </c>
    </row>
    <row r="160">
      <c r="A160" t="inlineStr">
        <is>
          <t>USB</t>
        </is>
      </c>
    </row>
    <row r="161">
      <c r="A161" t="inlineStr">
        <is>
          <t>AZO</t>
        </is>
      </c>
    </row>
    <row r="162">
      <c r="A162" t="inlineStr">
        <is>
          <t>PPL</t>
        </is>
      </c>
    </row>
    <row r="163">
      <c r="A163" t="inlineStr">
        <is>
          <t>MET</t>
        </is>
      </c>
    </row>
    <row r="164">
      <c r="A164" t="inlineStr">
        <is>
          <t>TER</t>
        </is>
      </c>
    </row>
    <row r="165">
      <c r="A165" t="inlineStr">
        <is>
          <t>CAH</t>
        </is>
      </c>
    </row>
    <row r="166">
      <c r="A166" t="inlineStr">
        <is>
          <t>MDB</t>
        </is>
      </c>
    </row>
    <row r="167">
      <c r="A167" t="inlineStr">
        <is>
          <t>ETR</t>
        </is>
      </c>
    </row>
    <row r="168">
      <c r="A168" t="inlineStr">
        <is>
          <t>RH</t>
        </is>
      </c>
    </row>
    <row r="169">
      <c r="A169" t="inlineStr">
        <is>
          <t>ATR</t>
        </is>
      </c>
    </row>
    <row r="170">
      <c r="A170" t="inlineStr">
        <is>
          <t>VLO</t>
        </is>
      </c>
    </row>
    <row r="171">
      <c r="A171" t="inlineStr">
        <is>
          <t>NUE</t>
        </is>
      </c>
    </row>
    <row r="172">
      <c r="A172" t="inlineStr">
        <is>
          <t>MCO</t>
        </is>
      </c>
    </row>
    <row r="173">
      <c r="A173" t="inlineStr">
        <is>
          <t>NVT</t>
        </is>
      </c>
    </row>
    <row r="174">
      <c r="A174" t="inlineStr">
        <is>
          <t>VRTX</t>
        </is>
      </c>
    </row>
    <row r="175">
      <c r="A175" t="inlineStr">
        <is>
          <t>ECL</t>
        </is>
      </c>
    </row>
    <row r="176">
      <c r="A176" t="inlineStr">
        <is>
          <t>EMN</t>
        </is>
      </c>
    </row>
    <row r="177">
      <c r="A177" t="inlineStr">
        <is>
          <t>PCVX</t>
        </is>
      </c>
    </row>
    <row r="178">
      <c r="A178" t="inlineStr">
        <is>
          <t>BLK</t>
        </is>
      </c>
    </row>
    <row r="179">
      <c r="A179" t="inlineStr">
        <is>
          <t>DTE</t>
        </is>
      </c>
    </row>
    <row r="180">
      <c r="A180" t="inlineStr">
        <is>
          <t>GTLS</t>
        </is>
      </c>
    </row>
    <row r="181">
      <c r="A181" t="inlineStr">
        <is>
          <t>HLT</t>
        </is>
      </c>
    </row>
    <row r="182">
      <c r="A182" t="inlineStr">
        <is>
          <t>WEC</t>
        </is>
      </c>
    </row>
    <row r="183">
      <c r="A183" t="inlineStr">
        <is>
          <t>CRS</t>
        </is>
      </c>
    </row>
    <row r="184">
      <c r="A184" t="inlineStr">
        <is>
          <t>HII</t>
        </is>
      </c>
    </row>
    <row r="185">
      <c r="A185" t="inlineStr">
        <is>
          <t>TSLA</t>
        </is>
      </c>
    </row>
    <row r="186">
      <c r="A186" t="inlineStr">
        <is>
          <t>IIPR</t>
        </is>
      </c>
    </row>
    <row r="187">
      <c r="A187" t="inlineStr">
        <is>
          <t>MRVL</t>
        </is>
      </c>
    </row>
    <row r="188">
      <c r="A188" t="inlineStr">
        <is>
          <t>CFR</t>
        </is>
      </c>
    </row>
    <row r="189">
      <c r="A189" t="inlineStr">
        <is>
          <t>OKE</t>
        </is>
      </c>
    </row>
    <row r="190">
      <c r="A190" t="inlineStr">
        <is>
          <t>HUBS</t>
        </is>
      </c>
    </row>
    <row r="191">
      <c r="A191" t="inlineStr">
        <is>
          <t>ZION</t>
        </is>
      </c>
    </row>
    <row r="192">
      <c r="A192" t="inlineStr">
        <is>
          <t>CCK</t>
        </is>
      </c>
    </row>
    <row r="193">
      <c r="A193" t="inlineStr">
        <is>
          <t>APH</t>
        </is>
      </c>
    </row>
    <row r="194">
      <c r="A194" t="inlineStr">
        <is>
          <t>BAH</t>
        </is>
      </c>
    </row>
    <row r="195">
      <c r="A195" t="inlineStr">
        <is>
          <t>MS</t>
        </is>
      </c>
    </row>
    <row r="196">
      <c r="A196" t="inlineStr">
        <is>
          <t>CUBE</t>
        </is>
      </c>
    </row>
    <row r="197">
      <c r="A197" t="inlineStr">
        <is>
          <t>FTI</t>
        </is>
      </c>
    </row>
    <row r="198">
      <c r="A198" t="inlineStr">
        <is>
          <t>TROW</t>
        </is>
      </c>
    </row>
    <row r="199">
      <c r="A199" t="inlineStr">
        <is>
          <t>DIOD</t>
        </is>
      </c>
    </row>
    <row r="200">
      <c r="A200" t="inlineStr">
        <is>
          <t>ABT</t>
        </is>
      </c>
    </row>
    <row r="201">
      <c r="A201" t="inlineStr">
        <is>
          <t>DAN</t>
        </is>
      </c>
    </row>
    <row r="202">
      <c r="A202" t="inlineStr">
        <is>
          <t>POOL</t>
        </is>
      </c>
    </row>
    <row r="203">
      <c r="A203" t="inlineStr">
        <is>
          <t>RGLD</t>
        </is>
      </c>
    </row>
    <row r="204">
      <c r="A204" t="inlineStr">
        <is>
          <t>DUK</t>
        </is>
      </c>
    </row>
    <row r="205">
      <c r="A205" t="inlineStr">
        <is>
          <t>HSY</t>
        </is>
      </c>
    </row>
    <row r="206">
      <c r="A206" t="inlineStr">
        <is>
          <t>WOLF</t>
        </is>
      </c>
    </row>
    <row r="207">
      <c r="A207" t="inlineStr">
        <is>
          <t>NCNO</t>
        </is>
      </c>
    </row>
    <row r="208">
      <c r="A208" t="inlineStr">
        <is>
          <t>PVH</t>
        </is>
      </c>
    </row>
    <row r="209">
      <c r="A209" t="inlineStr">
        <is>
          <t>TGT</t>
        </is>
      </c>
    </row>
    <row r="210">
      <c r="A210" t="inlineStr">
        <is>
          <t>J</t>
        </is>
      </c>
    </row>
    <row r="211">
      <c r="A211" t="inlineStr">
        <is>
          <t>XPO</t>
        </is>
      </c>
    </row>
    <row r="212">
      <c r="A212" t="inlineStr">
        <is>
          <t>CLF</t>
        </is>
      </c>
    </row>
    <row r="213">
      <c r="A213" t="inlineStr">
        <is>
          <t>DHR</t>
        </is>
      </c>
    </row>
    <row r="214">
      <c r="A214" t="inlineStr">
        <is>
          <t>AGEN</t>
        </is>
      </c>
    </row>
    <row r="215">
      <c r="A215" t="inlineStr">
        <is>
          <t>AIZ</t>
        </is>
      </c>
    </row>
    <row r="216">
      <c r="A216" t="inlineStr">
        <is>
          <t>FDX</t>
        </is>
      </c>
    </row>
    <row r="217">
      <c r="A217" t="inlineStr">
        <is>
          <t>CVS</t>
        </is>
      </c>
    </row>
    <row r="218">
      <c r="A218" t="inlineStr">
        <is>
          <t>JPM</t>
        </is>
      </c>
    </row>
    <row r="219">
      <c r="A219" t="inlineStr">
        <is>
          <t>HOOD</t>
        </is>
      </c>
    </row>
    <row r="220">
      <c r="A220" t="inlineStr">
        <is>
          <t>BWXT</t>
        </is>
      </c>
    </row>
    <row r="221">
      <c r="A221" t="inlineStr">
        <is>
          <t>DDOG</t>
        </is>
      </c>
    </row>
    <row r="222">
      <c r="A222" t="inlineStr">
        <is>
          <t>PLAY</t>
        </is>
      </c>
    </row>
    <row r="223">
      <c r="A223" t="inlineStr">
        <is>
          <t>CMC</t>
        </is>
      </c>
    </row>
    <row r="224">
      <c r="A224" t="inlineStr">
        <is>
          <t>BK</t>
        </is>
      </c>
    </row>
    <row r="225">
      <c r="A225" t="inlineStr">
        <is>
          <t>QSR</t>
        </is>
      </c>
    </row>
    <row r="226">
      <c r="A226" t="inlineStr">
        <is>
          <t>RSG</t>
        </is>
      </c>
    </row>
    <row r="227">
      <c r="A227" t="inlineStr">
        <is>
          <t>AR</t>
        </is>
      </c>
    </row>
    <row r="228">
      <c r="A228" t="inlineStr">
        <is>
          <t>PI</t>
        </is>
      </c>
    </row>
    <row r="229">
      <c r="A229" t="inlineStr">
        <is>
          <t>WM</t>
        </is>
      </c>
    </row>
    <row r="230">
      <c r="A230" t="inlineStr">
        <is>
          <t>CNC</t>
        </is>
      </c>
    </row>
    <row r="231">
      <c r="A231" t="inlineStr">
        <is>
          <t>COP</t>
        </is>
      </c>
    </row>
    <row r="232">
      <c r="A232" t="inlineStr">
        <is>
          <t>FANG</t>
        </is>
      </c>
    </row>
    <row r="233">
      <c r="A233" t="inlineStr">
        <is>
          <t>LEN</t>
        </is>
      </c>
    </row>
    <row r="234">
      <c r="A234" t="inlineStr">
        <is>
          <t>SPGI</t>
        </is>
      </c>
    </row>
    <row r="235">
      <c r="A235" t="inlineStr">
        <is>
          <t>KNX</t>
        </is>
      </c>
    </row>
    <row r="236">
      <c r="A236" t="inlineStr">
        <is>
          <t>BA</t>
        </is>
      </c>
    </row>
    <row r="237">
      <c r="A237" t="inlineStr">
        <is>
          <t>RRX</t>
        </is>
      </c>
    </row>
    <row r="238">
      <c r="A238" t="inlineStr">
        <is>
          <t>VST</t>
        </is>
      </c>
    </row>
    <row r="239">
      <c r="A239" t="inlineStr">
        <is>
          <t>TT</t>
        </is>
      </c>
    </row>
    <row r="240">
      <c r="A240" t="inlineStr">
        <is>
          <t>HOMB</t>
        </is>
      </c>
    </row>
    <row r="241">
      <c r="A241" t="inlineStr">
        <is>
          <t>BR</t>
        </is>
      </c>
    </row>
    <row r="242">
      <c r="A242" t="inlineStr">
        <is>
          <t>FNF</t>
        </is>
      </c>
    </row>
    <row r="243">
      <c r="A243" t="inlineStr">
        <is>
          <t>CTSH</t>
        </is>
      </c>
    </row>
    <row r="244">
      <c r="A244" t="inlineStr">
        <is>
          <t>LULU</t>
        </is>
      </c>
    </row>
    <row r="245">
      <c r="A245" t="inlineStr">
        <is>
          <t>KMI</t>
        </is>
      </c>
    </row>
    <row r="246">
      <c r="A246" t="inlineStr">
        <is>
          <t>PPG</t>
        </is>
      </c>
    </row>
    <row r="247">
      <c r="A247" t="inlineStr">
        <is>
          <t>OGE</t>
        </is>
      </c>
    </row>
    <row r="248">
      <c r="A248" t="inlineStr">
        <is>
          <t>BKNG</t>
        </is>
      </c>
    </row>
    <row r="249">
      <c r="A249" t="inlineStr">
        <is>
          <t>SCHW</t>
        </is>
      </c>
    </row>
    <row r="250">
      <c r="A250" t="inlineStr">
        <is>
          <t>MSI</t>
        </is>
      </c>
    </row>
    <row r="251">
      <c r="A251" t="inlineStr">
        <is>
          <t>MAR</t>
        </is>
      </c>
    </row>
    <row r="252">
      <c r="A252" t="inlineStr">
        <is>
          <t>HD</t>
        </is>
      </c>
    </row>
    <row r="253">
      <c r="A253" t="inlineStr">
        <is>
          <t>UPS</t>
        </is>
      </c>
    </row>
    <row r="254">
      <c r="A254" t="inlineStr">
        <is>
          <t>HUBB</t>
        </is>
      </c>
    </row>
    <row r="255">
      <c r="A255" t="inlineStr">
        <is>
          <t>PODD</t>
        </is>
      </c>
    </row>
    <row r="256">
      <c r="A256" t="inlineStr">
        <is>
          <t>CMS</t>
        </is>
      </c>
    </row>
    <row r="257">
      <c r="A257" t="inlineStr">
        <is>
          <t>PRU</t>
        </is>
      </c>
    </row>
    <row r="258">
      <c r="A258" t="inlineStr">
        <is>
          <t>NTRA</t>
        </is>
      </c>
    </row>
    <row r="259">
      <c r="A259" t="inlineStr">
        <is>
          <t>LITE</t>
        </is>
      </c>
    </row>
    <row r="260">
      <c r="A260" t="inlineStr">
        <is>
          <t>GEV</t>
        </is>
      </c>
    </row>
    <row r="261">
      <c r="A261" t="inlineStr">
        <is>
          <t>IRT</t>
        </is>
      </c>
    </row>
    <row r="262">
      <c r="A262" t="inlineStr">
        <is>
          <t>EXPE</t>
        </is>
      </c>
    </row>
    <row r="263">
      <c r="A263" t="inlineStr">
        <is>
          <t>GT</t>
        </is>
      </c>
    </row>
    <row r="264">
      <c r="A264" t="inlineStr">
        <is>
          <t>CLH</t>
        </is>
      </c>
    </row>
    <row r="265">
      <c r="A265" t="inlineStr">
        <is>
          <t>GTLB</t>
        </is>
      </c>
    </row>
    <row r="266">
      <c r="A266" t="inlineStr">
        <is>
          <t>COLD</t>
        </is>
      </c>
    </row>
    <row r="267">
      <c r="A267" t="inlineStr">
        <is>
          <t>THC</t>
        </is>
      </c>
    </row>
    <row r="268">
      <c r="A268" t="inlineStr">
        <is>
          <t>AAPL</t>
        </is>
      </c>
    </row>
    <row r="269">
      <c r="A269" t="inlineStr">
        <is>
          <t>UTHR</t>
        </is>
      </c>
    </row>
    <row r="270">
      <c r="A270" t="inlineStr">
        <is>
          <t>ADMA</t>
        </is>
      </c>
    </row>
    <row r="271">
      <c r="A271" t="inlineStr">
        <is>
          <t>HUM</t>
        </is>
      </c>
    </row>
    <row r="272">
      <c r="A272" t="inlineStr">
        <is>
          <t>ICE</t>
        </is>
      </c>
    </row>
    <row r="273">
      <c r="A273" t="inlineStr">
        <is>
          <t>STX</t>
        </is>
      </c>
    </row>
    <row r="274">
      <c r="A274" t="inlineStr">
        <is>
          <t>ORCL</t>
        </is>
      </c>
    </row>
    <row r="275">
      <c r="A275" t="inlineStr">
        <is>
          <t>KR</t>
        </is>
      </c>
    </row>
    <row r="276">
      <c r="A276" t="inlineStr">
        <is>
          <t>LLY</t>
        </is>
      </c>
    </row>
    <row r="277">
      <c r="A277" t="inlineStr">
        <is>
          <t>MTZ</t>
        </is>
      </c>
    </row>
    <row r="278">
      <c r="A278" t="inlineStr">
        <is>
          <t>TPR</t>
        </is>
      </c>
    </row>
    <row r="279">
      <c r="A279" t="inlineStr">
        <is>
          <t>CSL</t>
        </is>
      </c>
    </row>
    <row r="280">
      <c r="A280" t="inlineStr">
        <is>
          <t>FOUR</t>
        </is>
      </c>
    </row>
    <row r="281">
      <c r="A281" t="inlineStr">
        <is>
          <t>SYF</t>
        </is>
      </c>
    </row>
    <row r="282">
      <c r="A282" t="inlineStr">
        <is>
          <t>TXN</t>
        </is>
      </c>
    </row>
    <row r="283">
      <c r="A283" t="inlineStr">
        <is>
          <t>ADBE</t>
        </is>
      </c>
    </row>
    <row r="284">
      <c r="A284" t="inlineStr">
        <is>
          <t>CME</t>
        </is>
      </c>
    </row>
    <row r="285">
      <c r="A285" t="inlineStr">
        <is>
          <t>BDX</t>
        </is>
      </c>
    </row>
    <row r="286">
      <c r="A286" t="inlineStr">
        <is>
          <t>COIN</t>
        </is>
      </c>
    </row>
    <row r="287">
      <c r="A287" t="inlineStr">
        <is>
          <t>TFC</t>
        </is>
      </c>
    </row>
    <row r="288">
      <c r="A288" t="inlineStr">
        <is>
          <t>GE</t>
        </is>
      </c>
    </row>
    <row r="289">
      <c r="A289" t="inlineStr">
        <is>
          <t>A</t>
        </is>
      </c>
    </row>
    <row r="290">
      <c r="A290" t="inlineStr">
        <is>
          <t>PEP</t>
        </is>
      </c>
    </row>
    <row r="291">
      <c r="A291" t="inlineStr">
        <is>
          <t>STRL</t>
        </is>
      </c>
    </row>
    <row r="292">
      <c r="A292" t="inlineStr">
        <is>
          <t>INCY</t>
        </is>
      </c>
    </row>
    <row r="293">
      <c r="A293" t="inlineStr">
        <is>
          <t>MCK</t>
        </is>
      </c>
    </row>
    <row r="294">
      <c r="A294" t="inlineStr">
        <is>
          <t>JCI</t>
        </is>
      </c>
    </row>
    <row r="295">
      <c r="A295" t="inlineStr">
        <is>
          <t>SNPS</t>
        </is>
      </c>
    </row>
    <row r="296">
      <c r="A296" t="inlineStr">
        <is>
          <t>VIAV</t>
        </is>
      </c>
    </row>
    <row r="297">
      <c r="A297" t="inlineStr">
        <is>
          <t>CHRW</t>
        </is>
      </c>
    </row>
    <row r="298">
      <c r="A298" t="inlineStr">
        <is>
          <t>HST</t>
        </is>
      </c>
    </row>
    <row r="299">
      <c r="A299" t="inlineStr">
        <is>
          <t>INTU</t>
        </is>
      </c>
    </row>
    <row r="300">
      <c r="A300" t="inlineStr">
        <is>
          <t>TGTX</t>
        </is>
      </c>
    </row>
    <row r="301">
      <c r="A301" t="inlineStr">
        <is>
          <t>DY</t>
        </is>
      </c>
    </row>
    <row r="302">
      <c r="A302" t="inlineStr">
        <is>
          <t>EIX</t>
        </is>
      </c>
    </row>
    <row r="303">
      <c r="A303" t="inlineStr">
        <is>
          <t>LH</t>
        </is>
      </c>
    </row>
    <row r="304">
      <c r="A304" t="inlineStr">
        <is>
          <t>CW</t>
        </is>
      </c>
    </row>
    <row r="305">
      <c r="A305" t="inlineStr">
        <is>
          <t>HIG</t>
        </is>
      </c>
    </row>
    <row r="306">
      <c r="A306" t="inlineStr">
        <is>
          <t>BX</t>
        </is>
      </c>
    </row>
    <row r="307">
      <c r="A307" t="inlineStr">
        <is>
          <t>NSC</t>
        </is>
      </c>
    </row>
    <row r="308">
      <c r="A308" t="inlineStr">
        <is>
          <t>CEG</t>
        </is>
      </c>
    </row>
    <row r="309">
      <c r="A309" t="inlineStr">
        <is>
          <t>CVX</t>
        </is>
      </c>
    </row>
    <row r="310">
      <c r="A310" t="inlineStr">
        <is>
          <t>SWK</t>
        </is>
      </c>
    </row>
    <row r="311">
      <c r="A311" t="inlineStr">
        <is>
          <t>FCX</t>
        </is>
      </c>
    </row>
    <row r="312">
      <c r="A312" t="inlineStr">
        <is>
          <t>KMPR</t>
        </is>
      </c>
    </row>
    <row r="313">
      <c r="A313" t="inlineStr">
        <is>
          <t>RHP</t>
        </is>
      </c>
    </row>
    <row r="314">
      <c r="A314" t="inlineStr">
        <is>
          <t>SFM</t>
        </is>
      </c>
    </row>
    <row r="315">
      <c r="A315" t="inlineStr">
        <is>
          <t>BKR</t>
        </is>
      </c>
    </row>
    <row r="316">
      <c r="A316" t="inlineStr">
        <is>
          <t>PH</t>
        </is>
      </c>
    </row>
    <row r="317">
      <c r="A317" t="inlineStr">
        <is>
          <t>OXY</t>
        </is>
      </c>
    </row>
    <row r="318">
      <c r="A318" t="inlineStr">
        <is>
          <t>KEY</t>
        </is>
      </c>
    </row>
    <row r="319">
      <c r="A319" t="inlineStr">
        <is>
          <t>AMZN</t>
        </is>
      </c>
    </row>
    <row r="320">
      <c r="A320" t="inlineStr">
        <is>
          <t>HCA</t>
        </is>
      </c>
    </row>
    <row r="321">
      <c r="A321" t="inlineStr">
        <is>
          <t>ADP</t>
        </is>
      </c>
    </row>
    <row r="322">
      <c r="A322" t="inlineStr">
        <is>
          <t>CYTK</t>
        </is>
      </c>
    </row>
    <row r="323">
      <c r="A323" t="inlineStr">
        <is>
          <t>SPSC</t>
        </is>
      </c>
    </row>
    <row r="324">
      <c r="A324" t="inlineStr">
        <is>
          <t>WYNN</t>
        </is>
      </c>
    </row>
    <row r="325">
      <c r="A325" t="inlineStr">
        <is>
          <t>TTD</t>
        </is>
      </c>
    </row>
    <row r="326">
      <c r="A326" t="inlineStr">
        <is>
          <t>CHDN</t>
        </is>
      </c>
    </row>
    <row r="327">
      <c r="A327" t="inlineStr">
        <is>
          <t>HON</t>
        </is>
      </c>
    </row>
    <row r="328">
      <c r="A328" t="inlineStr">
        <is>
          <t>IR</t>
        </is>
      </c>
    </row>
    <row r="329">
      <c r="A329" t="inlineStr">
        <is>
          <t>SCI</t>
        </is>
      </c>
    </row>
    <row r="330">
      <c r="A330" t="inlineStr">
        <is>
          <t>MRK</t>
        </is>
      </c>
    </row>
    <row r="331">
      <c r="A331" t="inlineStr">
        <is>
          <t>EMR</t>
        </is>
      </c>
    </row>
    <row r="332">
      <c r="A332" t="inlineStr">
        <is>
          <t>MMM</t>
        </is>
      </c>
    </row>
    <row r="333">
      <c r="A333" t="inlineStr">
        <is>
          <t>FULT</t>
        </is>
      </c>
    </row>
    <row r="334">
      <c r="A334" t="inlineStr">
        <is>
          <t>SNDK</t>
        </is>
      </c>
    </row>
    <row r="335">
      <c r="A335" t="inlineStr">
        <is>
          <t>LIN</t>
        </is>
      </c>
    </row>
    <row r="336">
      <c r="A336" t="inlineStr">
        <is>
          <t>IBM</t>
        </is>
      </c>
    </row>
    <row r="337">
      <c r="A337" t="inlineStr">
        <is>
          <t>BOX</t>
        </is>
      </c>
    </row>
    <row r="338">
      <c r="A338" t="inlineStr">
        <is>
          <t>PNC</t>
        </is>
      </c>
    </row>
    <row r="339">
      <c r="A339" t="inlineStr">
        <is>
          <t>TWLO</t>
        </is>
      </c>
    </row>
    <row r="340">
      <c r="A340" t="inlineStr">
        <is>
          <t>EXC</t>
        </is>
      </c>
    </row>
    <row r="341">
      <c r="A341" t="inlineStr">
        <is>
          <t>SNA</t>
        </is>
      </c>
    </row>
    <row r="342">
      <c r="A342" t="inlineStr">
        <is>
          <t>PSX</t>
        </is>
      </c>
    </row>
    <row r="343">
      <c r="A343" t="inlineStr">
        <is>
          <t>VKTX</t>
        </is>
      </c>
    </row>
    <row r="344">
      <c r="A344" t="inlineStr">
        <is>
          <t>DIS</t>
        </is>
      </c>
    </row>
    <row r="345">
      <c r="A345" t="inlineStr">
        <is>
          <t>EXR</t>
        </is>
      </c>
    </row>
    <row r="346">
      <c r="A346" t="inlineStr">
        <is>
          <t>RGEN</t>
        </is>
      </c>
    </row>
    <row r="347">
      <c r="A347" t="inlineStr">
        <is>
          <t>MASI</t>
        </is>
      </c>
    </row>
    <row r="348">
      <c r="A348" t="inlineStr">
        <is>
          <t>HRB</t>
        </is>
      </c>
    </row>
    <row r="349">
      <c r="A349" t="inlineStr">
        <is>
          <t>MYRG</t>
        </is>
      </c>
    </row>
    <row r="350">
      <c r="A350" t="inlineStr">
        <is>
          <t>KYMR</t>
        </is>
      </c>
    </row>
    <row r="351">
      <c r="A351" t="inlineStr">
        <is>
          <t>APPF</t>
        </is>
      </c>
    </row>
    <row r="352">
      <c r="A352" t="inlineStr">
        <is>
          <t>TJX</t>
        </is>
      </c>
    </row>
    <row r="353">
      <c r="A353" t="inlineStr">
        <is>
          <t>CBOE</t>
        </is>
      </c>
    </row>
    <row r="354">
      <c r="A354" t="inlineStr">
        <is>
          <t>STT</t>
        </is>
      </c>
    </row>
    <row r="355">
      <c r="A355" t="inlineStr">
        <is>
          <t>ORLY</t>
        </is>
      </c>
    </row>
    <row r="356">
      <c r="A356" t="inlineStr">
        <is>
          <t>ROIV</t>
        </is>
      </c>
    </row>
    <row r="357">
      <c r="A357" t="inlineStr">
        <is>
          <t>ALNY</t>
        </is>
      </c>
    </row>
    <row r="358">
      <c r="A358" t="inlineStr">
        <is>
          <t>IOSP</t>
        </is>
      </c>
    </row>
    <row r="359">
      <c r="A359" t="inlineStr">
        <is>
          <t>PAYC</t>
        </is>
      </c>
    </row>
    <row r="360">
      <c r="A360" t="inlineStr">
        <is>
          <t>UNP</t>
        </is>
      </c>
    </row>
    <row r="361">
      <c r="A361" t="inlineStr">
        <is>
          <t>SHAK</t>
        </is>
      </c>
    </row>
    <row r="362">
      <c r="A362" t="inlineStr">
        <is>
          <t>WBD</t>
        </is>
      </c>
    </row>
    <row r="363">
      <c r="A363" t="inlineStr">
        <is>
          <t>WMT</t>
        </is>
      </c>
    </row>
    <row r="364">
      <c r="A364" t="inlineStr">
        <is>
          <t>TXT</t>
        </is>
      </c>
    </row>
    <row r="365">
      <c r="A365" t="inlineStr">
        <is>
          <t>RBA</t>
        </is>
      </c>
    </row>
    <row r="366">
      <c r="A366" t="inlineStr">
        <is>
          <t>EA</t>
        </is>
      </c>
    </row>
    <row r="367">
      <c r="A367" t="inlineStr">
        <is>
          <t>UMBF</t>
        </is>
      </c>
    </row>
    <row r="368">
      <c r="A368" t="inlineStr">
        <is>
          <t>ISRG</t>
        </is>
      </c>
    </row>
    <row r="369">
      <c r="A369" t="inlineStr">
        <is>
          <t>SWKS</t>
        </is>
      </c>
    </row>
    <row r="370">
      <c r="A370" t="inlineStr">
        <is>
          <t>LDOS</t>
        </is>
      </c>
    </row>
    <row r="371">
      <c r="A371" t="inlineStr">
        <is>
          <t>PG</t>
        </is>
      </c>
    </row>
    <row r="372">
      <c r="A372" t="inlineStr">
        <is>
          <t>BSX</t>
        </is>
      </c>
    </row>
    <row r="373">
      <c r="A373" t="inlineStr">
        <is>
          <t>EPRT</t>
        </is>
      </c>
    </row>
    <row r="374">
      <c r="A374" t="inlineStr">
        <is>
          <t>NEOG</t>
        </is>
      </c>
    </row>
    <row r="375">
      <c r="A375" t="inlineStr">
        <is>
          <t>APP</t>
        </is>
      </c>
    </row>
    <row r="376">
      <c r="A376" t="inlineStr">
        <is>
          <t>CRWD</t>
        </is>
      </c>
    </row>
    <row r="377">
      <c r="A377" t="inlineStr">
        <is>
          <t>CAT</t>
        </is>
      </c>
    </row>
    <row r="378">
      <c r="A378" t="inlineStr">
        <is>
          <t>KHC</t>
        </is>
      </c>
    </row>
    <row r="379">
      <c r="A379" t="inlineStr">
        <is>
          <t>RL</t>
        </is>
      </c>
    </row>
    <row r="380">
      <c r="A380" t="inlineStr">
        <is>
          <t>SAIC</t>
        </is>
      </c>
    </row>
    <row r="381">
      <c r="A381" t="inlineStr">
        <is>
          <t>MA</t>
        </is>
      </c>
    </row>
    <row r="382">
      <c r="A382" t="inlineStr">
        <is>
          <t>FAST</t>
        </is>
      </c>
    </row>
    <row r="383">
      <c r="A383" t="inlineStr">
        <is>
          <t>DRI</t>
        </is>
      </c>
    </row>
    <row r="384">
      <c r="A384" t="inlineStr">
        <is>
          <t>DOCN</t>
        </is>
      </c>
    </row>
    <row r="385">
      <c r="A385" t="inlineStr">
        <is>
          <t>UNH</t>
        </is>
      </c>
    </row>
    <row r="386">
      <c r="A386" t="inlineStr">
        <is>
          <t>CRM</t>
        </is>
      </c>
    </row>
    <row r="387">
      <c r="A387" t="inlineStr">
        <is>
          <t>EQT</t>
        </is>
      </c>
    </row>
    <row r="388">
      <c r="A388" t="inlineStr">
        <is>
          <t>SOFI</t>
        </is>
      </c>
    </row>
    <row r="389">
      <c r="A389" t="inlineStr">
        <is>
          <t>COST</t>
        </is>
      </c>
    </row>
    <row r="390">
      <c r="A390" t="inlineStr">
        <is>
          <t>APD</t>
        </is>
      </c>
    </row>
    <row r="391">
      <c r="A391" t="inlineStr">
        <is>
          <t>XEL</t>
        </is>
      </c>
    </row>
    <row r="392">
      <c r="A392" t="inlineStr">
        <is>
          <t>KO</t>
        </is>
      </c>
    </row>
    <row r="393">
      <c r="A393" t="inlineStr">
        <is>
          <t>SEIC</t>
        </is>
      </c>
    </row>
    <row r="394">
      <c r="A394" t="inlineStr">
        <is>
          <t>IDXX</t>
        </is>
      </c>
    </row>
    <row r="395">
      <c r="A395" t="inlineStr">
        <is>
          <t>LHX</t>
        </is>
      </c>
    </row>
    <row r="396">
      <c r="A396" t="inlineStr">
        <is>
          <t>CBSH</t>
        </is>
      </c>
    </row>
    <row r="397">
      <c r="A397" t="inlineStr">
        <is>
          <t>MGM</t>
        </is>
      </c>
    </row>
    <row r="398">
      <c r="A398" t="inlineStr">
        <is>
          <t>VMC</t>
        </is>
      </c>
    </row>
    <row r="399">
      <c r="A399" t="inlineStr">
        <is>
          <t>CNX</t>
        </is>
      </c>
    </row>
    <row r="400">
      <c r="A400" t="inlineStr">
        <is>
          <t>DHI</t>
        </is>
      </c>
    </row>
    <row r="401">
      <c r="A401" t="inlineStr">
        <is>
          <t>QRVO</t>
        </is>
      </c>
    </row>
    <row r="402">
      <c r="A402" t="inlineStr">
        <is>
          <t>STLD</t>
        </is>
      </c>
    </row>
    <row r="403">
      <c r="A403" t="inlineStr">
        <is>
          <t>LMT</t>
        </is>
      </c>
    </row>
    <row r="404">
      <c r="A404" t="inlineStr">
        <is>
          <t>FN</t>
        </is>
      </c>
    </row>
    <row r="405">
      <c r="A405" t="inlineStr">
        <is>
          <t>DD</t>
        </is>
      </c>
    </row>
    <row r="406">
      <c r="A406" t="inlineStr">
        <is>
          <t>DE</t>
        </is>
      </c>
    </row>
    <row r="407">
      <c r="A407" t="inlineStr">
        <is>
          <t>AJG</t>
        </is>
      </c>
    </row>
    <row r="408">
      <c r="A408" t="inlineStr">
        <is>
          <t>ATI</t>
        </is>
      </c>
    </row>
    <row r="409">
      <c r="A409" t="inlineStr">
        <is>
          <t>MCD</t>
        </is>
      </c>
    </row>
    <row r="410">
      <c r="A410" t="inlineStr">
        <is>
          <t>GNTX</t>
        </is>
      </c>
    </row>
    <row r="411">
      <c r="A411" t="inlineStr">
        <is>
          <t>PM</t>
        </is>
      </c>
    </row>
    <row r="412">
      <c r="A412" t="inlineStr">
        <is>
          <t>AMD</t>
        </is>
      </c>
    </row>
    <row r="413">
      <c r="A413" t="inlineStr">
        <is>
          <t>HQY</t>
        </is>
      </c>
    </row>
    <row r="414">
      <c r="A414" t="inlineStr">
        <is>
          <t>ENTG</t>
        </is>
      </c>
    </row>
    <row r="415">
      <c r="A415" t="inlineStr">
        <is>
          <t>VICR</t>
        </is>
      </c>
    </row>
    <row r="416">
      <c r="A416" t="inlineStr">
        <is>
          <t>CVNA</t>
        </is>
      </c>
    </row>
    <row r="417">
      <c r="A417" t="inlineStr">
        <is>
          <t>RMBS</t>
        </is>
      </c>
    </row>
    <row r="418">
      <c r="A418" t="inlineStr">
        <is>
          <t>WDAY</t>
        </is>
      </c>
    </row>
    <row r="419">
      <c r="A419" t="inlineStr">
        <is>
          <t>RIVN</t>
        </is>
      </c>
    </row>
    <row r="420">
      <c r="A420" t="inlineStr">
        <is>
          <t>MSCI</t>
        </is>
      </c>
    </row>
    <row r="421">
      <c r="A421" t="inlineStr">
        <is>
          <t>ODFL</t>
        </is>
      </c>
    </row>
    <row r="422">
      <c r="A422" t="inlineStr">
        <is>
          <t>AXP</t>
        </is>
      </c>
    </row>
    <row r="423">
      <c r="A423" t="inlineStr">
        <is>
          <t>SYK</t>
        </is>
      </c>
    </row>
    <row r="424">
      <c r="A424" t="inlineStr">
        <is>
          <t>KEYS</t>
        </is>
      </c>
    </row>
    <row r="425">
      <c r="A425" t="inlineStr">
        <is>
          <t>FLO</t>
        </is>
      </c>
    </row>
    <row r="426">
      <c r="A426" t="inlineStr">
        <is>
          <t>AON</t>
        </is>
      </c>
    </row>
    <row r="427">
      <c r="A427" t="inlineStr">
        <is>
          <t>O</t>
        </is>
      </c>
    </row>
    <row r="428">
      <c r="A428" t="inlineStr">
        <is>
          <t>NOV</t>
        </is>
      </c>
    </row>
    <row r="429">
      <c r="A429" t="inlineStr">
        <is>
          <t>ACN</t>
        </is>
      </c>
    </row>
    <row r="430">
      <c r="A430" t="inlineStr">
        <is>
          <t>HIW</t>
        </is>
      </c>
    </row>
    <row r="431">
      <c r="A431" t="inlineStr">
        <is>
          <t>CDNS</t>
        </is>
      </c>
    </row>
    <row r="432">
      <c r="A432" t="inlineStr">
        <is>
          <t>ALGN</t>
        </is>
      </c>
    </row>
    <row r="433">
      <c r="A433" t="inlineStr">
        <is>
          <t>ADSK</t>
        </is>
      </c>
    </row>
    <row r="434">
      <c r="A434" t="inlineStr">
        <is>
          <t>ROK</t>
        </is>
      </c>
    </row>
    <row r="435">
      <c r="A435" t="inlineStr">
        <is>
          <t>NVR</t>
        </is>
      </c>
    </row>
    <row r="436">
      <c r="A436" t="inlineStr">
        <is>
          <t>LVS</t>
        </is>
      </c>
    </row>
    <row r="437">
      <c r="A437" t="inlineStr">
        <is>
          <t>WBS</t>
        </is>
      </c>
    </row>
    <row r="438">
      <c r="A438" t="inlineStr">
        <is>
          <t>GOOG</t>
        </is>
      </c>
    </row>
    <row r="439">
      <c r="A439" t="inlineStr">
        <is>
          <t>AMT</t>
        </is>
      </c>
    </row>
    <row r="440">
      <c r="A440" t="inlineStr">
        <is>
          <t>PWR</t>
        </is>
      </c>
    </row>
    <row r="441">
      <c r="A441" t="inlineStr">
        <is>
          <t>ABBV</t>
        </is>
      </c>
    </row>
    <row r="442">
      <c r="A442" t="inlineStr">
        <is>
          <t>HSIC</t>
        </is>
      </c>
    </row>
    <row r="443">
      <c r="A443" t="inlineStr">
        <is>
          <t>CPRT</t>
        </is>
      </c>
    </row>
    <row r="444">
      <c r="A444" t="inlineStr">
        <is>
          <t>GOOGL</t>
        </is>
      </c>
    </row>
    <row r="445">
      <c r="A445" t="inlineStr">
        <is>
          <t>GPC</t>
        </is>
      </c>
    </row>
    <row r="446">
      <c r="A446" t="inlineStr">
        <is>
          <t>REGN</t>
        </is>
      </c>
    </row>
    <row r="447">
      <c r="A447" t="inlineStr">
        <is>
          <t>YUM</t>
        </is>
      </c>
    </row>
    <row r="448">
      <c r="A448" t="inlineStr">
        <is>
          <t>PHM</t>
        </is>
      </c>
    </row>
    <row r="449">
      <c r="A449" t="inlineStr">
        <is>
          <t>LYFT</t>
        </is>
      </c>
    </row>
    <row r="450">
      <c r="A450" t="inlineStr">
        <is>
          <t>CNP</t>
        </is>
      </c>
    </row>
    <row r="451">
      <c r="A451" t="inlineStr">
        <is>
          <t>WEX</t>
        </is>
      </c>
    </row>
    <row r="452">
      <c r="A452" t="inlineStr">
        <is>
          <t>PYPL</t>
        </is>
      </c>
    </row>
    <row r="453">
      <c r="A453" t="inlineStr">
        <is>
          <t>MRNA</t>
        </is>
      </c>
    </row>
    <row r="454">
      <c r="A454" t="inlineStr">
        <is>
          <t>FHB</t>
        </is>
      </c>
    </row>
    <row r="455">
      <c r="A455" t="inlineStr">
        <is>
          <t>GKOS</t>
        </is>
      </c>
    </row>
    <row r="456">
      <c r="A456" t="inlineStr">
        <is>
          <t>TAP</t>
        </is>
      </c>
    </row>
    <row r="457">
      <c r="A457" t="inlineStr">
        <is>
          <t>MTD</t>
        </is>
      </c>
    </row>
    <row r="458">
      <c r="A458" t="inlineStr">
        <is>
          <t>CASY</t>
        </is>
      </c>
    </row>
    <row r="459">
      <c r="A459" t="inlineStr">
        <is>
          <t>ICHR</t>
        </is>
      </c>
    </row>
    <row r="460">
      <c r="A460" t="inlineStr">
        <is>
          <t>FMC</t>
        </is>
      </c>
    </row>
    <row r="461">
      <c r="A461" t="inlineStr">
        <is>
          <t>BURL</t>
        </is>
      </c>
    </row>
    <row r="462">
      <c r="A462" t="inlineStr">
        <is>
          <t>SLAB</t>
        </is>
      </c>
    </row>
    <row r="463">
      <c r="A463" t="inlineStr">
        <is>
          <t>KDP</t>
        </is>
      </c>
    </row>
    <row r="464">
      <c r="A464" t="inlineStr">
        <is>
          <t>CMG</t>
        </is>
      </c>
    </row>
    <row r="465">
      <c r="A465" t="inlineStr">
        <is>
          <t>TMUS</t>
        </is>
      </c>
    </row>
    <row r="466">
      <c r="A466" t="inlineStr">
        <is>
          <t>FLR</t>
        </is>
      </c>
    </row>
    <row r="467">
      <c r="A467" t="inlineStr">
        <is>
          <t>CAG</t>
        </is>
      </c>
    </row>
    <row r="468">
      <c r="A468" t="inlineStr">
        <is>
          <t>EGP</t>
        </is>
      </c>
    </row>
    <row r="469">
      <c r="A469" t="inlineStr">
        <is>
          <t>CHTR</t>
        </is>
      </c>
    </row>
    <row r="470">
      <c r="A470" t="inlineStr">
        <is>
          <t>RVTY</t>
        </is>
      </c>
    </row>
    <row r="471">
      <c r="A471" t="inlineStr">
        <is>
          <t>URI</t>
        </is>
      </c>
    </row>
    <row r="472">
      <c r="A472" t="inlineStr">
        <is>
          <t>CSCO</t>
        </is>
      </c>
    </row>
    <row r="473">
      <c r="A473" t="inlineStr">
        <is>
          <t>HAL</t>
        </is>
      </c>
    </row>
    <row r="474">
      <c r="A474" t="inlineStr">
        <is>
          <t>FIS</t>
        </is>
      </c>
    </row>
    <row r="475">
      <c r="A475" t="inlineStr">
        <is>
          <t>EL</t>
        </is>
      </c>
    </row>
    <row r="476">
      <c r="A476" t="inlineStr">
        <is>
          <t>EME</t>
        </is>
      </c>
    </row>
    <row r="477">
      <c r="A477" t="inlineStr">
        <is>
          <t>VRSK</t>
        </is>
      </c>
    </row>
    <row r="478">
      <c r="A478" t="inlineStr">
        <is>
          <t>LNT</t>
        </is>
      </c>
    </row>
    <row r="479">
      <c r="A479" t="inlineStr">
        <is>
          <t>D</t>
        </is>
      </c>
    </row>
    <row r="480">
      <c r="A480" t="inlineStr">
        <is>
          <t>GM</t>
        </is>
      </c>
    </row>
    <row r="481">
      <c r="A481" t="inlineStr">
        <is>
          <t>AMBA</t>
        </is>
      </c>
    </row>
    <row r="482">
      <c r="A482" t="inlineStr">
        <is>
          <t>PCAR</t>
        </is>
      </c>
    </row>
    <row r="483">
      <c r="A483" t="inlineStr">
        <is>
          <t>DVN</t>
        </is>
      </c>
    </row>
    <row r="484">
      <c r="A484" t="inlineStr">
        <is>
          <t>SM</t>
        </is>
      </c>
    </row>
    <row r="485">
      <c r="A485" t="inlineStr">
        <is>
          <t>EG</t>
        </is>
      </c>
    </row>
    <row r="486">
      <c r="A486" t="inlineStr">
        <is>
          <t>EOG</t>
        </is>
      </c>
    </row>
    <row r="487">
      <c r="A487" t="inlineStr">
        <is>
          <t>IQV</t>
        </is>
      </c>
    </row>
    <row r="488">
      <c r="A488" t="inlineStr">
        <is>
          <t>USFD</t>
        </is>
      </c>
    </row>
    <row r="489">
      <c r="A489" t="inlineStr">
        <is>
          <t>RMD</t>
        </is>
      </c>
    </row>
    <row r="490">
      <c r="A490" t="inlineStr">
        <is>
          <t>EPR</t>
        </is>
      </c>
    </row>
    <row r="491">
      <c r="A491" t="inlineStr">
        <is>
          <t>FTNT</t>
        </is>
      </c>
    </row>
    <row r="492">
      <c r="A492" t="inlineStr">
        <is>
          <t>LCID</t>
        </is>
      </c>
    </row>
    <row r="493">
      <c r="A493" t="inlineStr">
        <is>
          <t>WAB</t>
        </is>
      </c>
    </row>
    <row r="494">
      <c r="A494" t="inlineStr">
        <is>
          <t>AIG</t>
        </is>
      </c>
    </row>
    <row r="495">
      <c r="A495" t="inlineStr">
        <is>
          <t>ABNB</t>
        </is>
      </c>
    </row>
    <row r="496">
      <c r="A496" t="inlineStr">
        <is>
          <t>JNJ</t>
        </is>
      </c>
    </row>
    <row r="497">
      <c r="A497" t="inlineStr">
        <is>
          <t>OLLI</t>
        </is>
      </c>
    </row>
    <row r="498">
      <c r="A498" t="inlineStr">
        <is>
          <t>CB</t>
        </is>
      </c>
    </row>
    <row r="499">
      <c r="A499" t="inlineStr">
        <is>
          <t>INSP</t>
        </is>
      </c>
    </row>
    <row r="500">
      <c r="A500" t="inlineStr">
        <is>
          <t>UBER</t>
        </is>
      </c>
    </row>
    <row r="501">
      <c r="A501" t="inlineStr">
        <is>
          <t>NRG</t>
        </is>
      </c>
    </row>
    <row r="502">
      <c r="A502" t="inlineStr">
        <is>
          <t>DELL</t>
        </is>
      </c>
    </row>
    <row r="503">
      <c r="A503" t="inlineStr">
        <is>
          <t>MANH</t>
        </is>
      </c>
    </row>
    <row r="504">
      <c r="A504" t="inlineStr">
        <is>
          <t>NOW</t>
        </is>
      </c>
    </row>
    <row r="505">
      <c r="A505" t="inlineStr">
        <is>
          <t>FISV</t>
        </is>
      </c>
    </row>
    <row r="506">
      <c r="A506" t="inlineStr">
        <is>
          <t>DOW</t>
        </is>
      </c>
    </row>
    <row r="507">
      <c r="A507" t="inlineStr">
        <is>
          <t>COF</t>
        </is>
      </c>
    </row>
    <row r="508">
      <c r="A508" t="inlineStr">
        <is>
          <t>JOBY</t>
        </is>
      </c>
    </row>
    <row r="509">
      <c r="A509" t="inlineStr">
        <is>
          <t>ALB</t>
        </is>
      </c>
    </row>
    <row r="510">
      <c r="A510" t="inlineStr">
        <is>
          <t>SLB</t>
        </is>
      </c>
    </row>
    <row r="511">
      <c r="A511" t="inlineStr">
        <is>
          <t>STZ</t>
        </is>
      </c>
    </row>
    <row r="512">
      <c r="A512" t="inlineStr">
        <is>
          <t>TECH</t>
        </is>
      </c>
    </row>
    <row r="513">
      <c r="A513" t="inlineStr">
        <is>
          <t>WSFS</t>
        </is>
      </c>
    </row>
    <row r="514">
      <c r="A514" t="inlineStr">
        <is>
          <t>DKNG</t>
        </is>
      </c>
    </row>
    <row r="515">
      <c r="A515" t="inlineStr">
        <is>
          <t>BOKF</t>
        </is>
      </c>
    </row>
    <row r="516">
      <c r="A516" t="inlineStr">
        <is>
          <t>GRMN</t>
        </is>
      </c>
    </row>
    <row r="517">
      <c r="A517" t="inlineStr">
        <is>
          <t>PLTR</t>
        </is>
      </c>
    </row>
    <row r="518">
      <c r="A518" t="inlineStr">
        <is>
          <t>NDAQ</t>
        </is>
      </c>
    </row>
    <row r="519">
      <c r="A519" t="inlineStr">
        <is>
          <t>SPG</t>
        </is>
      </c>
    </row>
    <row r="520">
      <c r="A520" t="inlineStr">
        <is>
          <t>WING</t>
        </is>
      </c>
    </row>
    <row r="521">
      <c r="A521" t="inlineStr">
        <is>
          <t>ANET</t>
        </is>
      </c>
    </row>
    <row r="522">
      <c r="A522" t="inlineStr">
        <is>
          <t>UHS</t>
        </is>
      </c>
    </row>
    <row r="523">
      <c r="A523" t="inlineStr">
        <is>
          <t>ALLY</t>
        </is>
      </c>
    </row>
    <row r="524">
      <c r="A524" t="inlineStr">
        <is>
          <t>SJM</t>
        </is>
      </c>
    </row>
    <row r="525">
      <c r="A525" t="inlineStr">
        <is>
          <t>POWI</t>
        </is>
      </c>
    </row>
    <row r="526">
      <c r="A526" t="inlineStr">
        <is>
          <t>FIVE</t>
        </is>
      </c>
    </row>
    <row r="527">
      <c r="A527" t="inlineStr">
        <is>
          <t>DAL</t>
        </is>
      </c>
    </row>
    <row r="528">
      <c r="A528" t="inlineStr">
        <is>
          <t>ACM</t>
        </is>
      </c>
    </row>
    <row r="529">
      <c r="A529" t="inlineStr">
        <is>
          <t>KKR</t>
        </is>
      </c>
    </row>
    <row r="530">
      <c r="A530" t="inlineStr">
        <is>
          <t>EAT</t>
        </is>
      </c>
    </row>
    <row r="531">
      <c r="A531" t="inlineStr">
        <is>
          <t>CTAS</t>
        </is>
      </c>
    </row>
    <row r="532">
      <c r="A532" t="inlineStr">
        <is>
          <t>ROST</t>
        </is>
      </c>
    </row>
    <row r="533">
      <c r="A533" t="inlineStr">
        <is>
          <t>JBHT</t>
        </is>
      </c>
    </row>
    <row r="534">
      <c r="A534" t="inlineStr">
        <is>
          <t>CE</t>
        </is>
      </c>
    </row>
    <row r="535">
      <c r="A535" t="inlineStr">
        <is>
          <t>ILMN</t>
        </is>
      </c>
    </row>
    <row r="536">
      <c r="A536" t="inlineStr">
        <is>
          <t>SBUX</t>
        </is>
      </c>
    </row>
    <row r="537">
      <c r="A537" t="inlineStr">
        <is>
          <t>CMCSA</t>
        </is>
      </c>
    </row>
    <row r="538">
      <c r="A538" t="inlineStr">
        <is>
          <t>ZTS</t>
        </is>
      </c>
    </row>
    <row r="539">
      <c r="A539" t="inlineStr">
        <is>
          <t>MPC</t>
        </is>
      </c>
    </row>
    <row r="540">
      <c r="A540" t="inlineStr">
        <is>
          <t>XOM</t>
        </is>
      </c>
    </row>
    <row r="541">
      <c r="A541" t="inlineStr">
        <is>
          <t>KLIC</t>
        </is>
      </c>
    </row>
    <row r="542">
      <c r="A542" t="inlineStr">
        <is>
          <t>META</t>
        </is>
      </c>
    </row>
    <row r="543">
      <c r="A543" t="inlineStr">
        <is>
          <t>MLM</t>
        </is>
      </c>
    </row>
    <row r="544">
      <c r="A544" t="inlineStr">
        <is>
          <t>HWM</t>
        </is>
      </c>
    </row>
    <row r="545">
      <c r="A545" t="inlineStr">
        <is>
          <t>CAKE</t>
        </is>
      </c>
    </row>
    <row r="546">
      <c r="A546" t="inlineStr">
        <is>
          <t>STAG</t>
        </is>
      </c>
    </row>
    <row r="547">
      <c r="A547" t="inlineStr">
        <is>
          <t>SAIA</t>
        </is>
      </c>
    </row>
    <row r="548">
      <c r="A548" t="inlineStr">
        <is>
          <t>CSX</t>
        </is>
      </c>
    </row>
    <row r="549">
      <c r="A549" t="inlineStr">
        <is>
          <t>GD</t>
        </is>
      </c>
    </row>
    <row r="550">
      <c r="A550" t="inlineStr">
        <is>
          <t>TMO</t>
        </is>
      </c>
    </row>
    <row r="551">
      <c r="A551" t="inlineStr">
        <is>
          <t>DAWN</t>
        </is>
      </c>
    </row>
    <row r="552">
      <c r="A552" t="inlineStr">
        <is>
          <t>ELV</t>
        </is>
      </c>
    </row>
    <row r="553">
      <c r="A553" t="inlineStr">
        <is>
          <t>BIIB</t>
        </is>
      </c>
    </row>
    <row r="554">
      <c r="A554" t="inlineStr">
        <is>
          <t>FAF</t>
        </is>
      </c>
    </row>
    <row r="555">
      <c r="A555" t="inlineStr">
        <is>
          <t>AVGO</t>
        </is>
      </c>
    </row>
    <row r="556">
      <c r="A556" t="inlineStr">
        <is>
          <t>FITB</t>
        </is>
      </c>
    </row>
    <row r="557">
      <c r="A557" t="inlineStr">
        <is>
          <t>FOLD</t>
        </is>
      </c>
    </row>
    <row r="558">
      <c r="A558" t="inlineStr">
        <is>
          <t>TSN</t>
        </is>
      </c>
    </row>
    <row r="559">
      <c r="A559" t="inlineStr">
        <is>
          <t>CRDO</t>
        </is>
      </c>
    </row>
    <row r="560">
      <c r="A560" t="inlineStr">
        <is>
          <t>LSCC</t>
        </is>
      </c>
    </row>
    <row r="561">
      <c r="A561" t="inlineStr">
        <is>
          <t>COHR</t>
        </is>
      </c>
    </row>
    <row r="562">
      <c r="A562" t="inlineStr">
        <is>
          <t>ORI</t>
        </is>
      </c>
    </row>
    <row r="563">
      <c r="A563" t="inlineStr">
        <is>
          <t>IFF</t>
        </is>
      </c>
    </row>
    <row r="564">
      <c r="A564" t="inlineStr">
        <is>
          <t>ES</t>
        </is>
      </c>
    </row>
    <row r="565">
      <c r="A565" t="inlineStr">
        <is>
          <t>DOC</t>
        </is>
      </c>
    </row>
    <row r="566">
      <c r="A566" t="inlineStr">
        <is>
          <t>ATO</t>
        </is>
      </c>
    </row>
    <row r="567">
      <c r="A567" t="inlineStr">
        <is>
          <t>C</t>
        </is>
      </c>
    </row>
    <row r="568">
      <c r="A568" t="inlineStr">
        <is>
          <t>SHW</t>
        </is>
      </c>
    </row>
    <row r="569">
      <c r="A569" t="inlineStr">
        <is>
          <t>AES</t>
        </is>
      </c>
    </row>
    <row r="570">
      <c r="A570" t="inlineStr">
        <is>
          <t>ZS</t>
        </is>
      </c>
    </row>
    <row r="571">
      <c r="A571" t="inlineStr">
        <is>
          <t>NWL</t>
        </is>
      </c>
    </row>
    <row r="572">
      <c r="A572" t="inlineStr">
        <is>
          <t>TEAM</t>
        </is>
      </c>
    </row>
    <row r="573">
      <c r="A573" t="inlineStr">
        <is>
          <t>PCTY</t>
        </is>
      </c>
    </row>
    <row r="574">
      <c r="A574" t="inlineStr">
        <is>
          <t>NOG</t>
        </is>
      </c>
    </row>
    <row r="575">
      <c r="A575" t="inlineStr">
        <is>
          <t>AME</t>
        </is>
      </c>
    </row>
    <row r="576">
      <c r="A576" t="inlineStr">
        <is>
          <t>CPRI</t>
        </is>
      </c>
    </row>
    <row r="577">
      <c r="A577" t="inlineStr">
        <is>
          <t>TRU</t>
        </is>
      </c>
    </row>
    <row r="578">
      <c r="A578" t="inlineStr">
        <is>
          <t>GPN</t>
        </is>
      </c>
    </row>
    <row r="579">
      <c r="A579" t="inlineStr">
        <is>
          <t>SIMO</t>
        </is>
      </c>
    </row>
    <row r="580">
      <c r="A580" t="inlineStr">
        <is>
          <t>COLM</t>
        </is>
      </c>
    </row>
    <row r="581">
      <c r="A581" t="inlineStr">
        <is>
          <t>MOH</t>
        </is>
      </c>
    </row>
    <row r="582">
      <c r="A582" t="inlineStr">
        <is>
          <t>RRC</t>
        </is>
      </c>
    </row>
    <row r="583">
      <c r="A583" t="inlineStr">
        <is>
          <t>MTB</t>
        </is>
      </c>
    </row>
    <row r="584">
      <c r="A584" t="inlineStr">
        <is>
          <t>PRAX</t>
        </is>
      </c>
    </row>
    <row r="585">
      <c r="A585" t="inlineStr">
        <is>
          <t>CSGP</t>
        </is>
      </c>
    </row>
    <row r="586">
      <c r="A586" t="inlineStr">
        <is>
          <t>AMKR</t>
        </is>
      </c>
    </row>
    <row r="587">
      <c r="A587" t="inlineStr">
        <is>
          <t>IPGP</t>
        </is>
      </c>
    </row>
    <row r="588">
      <c r="A588" t="inlineStr">
        <is>
          <t>PGR</t>
        </is>
      </c>
    </row>
    <row r="589">
      <c r="A589" t="inlineStr">
        <is>
          <t>FE</t>
        </is>
      </c>
    </row>
    <row r="590">
      <c r="A590" t="inlineStr">
        <is>
          <t>MDLZ</t>
        </is>
      </c>
    </row>
    <row r="591">
      <c r="A591" t="inlineStr">
        <is>
          <t>HBAN</t>
        </is>
      </c>
    </row>
    <row r="592">
      <c r="A592" t="inlineStr">
        <is>
          <t>MTDR</t>
        </is>
      </c>
    </row>
    <row r="593">
      <c r="A593" t="inlineStr">
        <is>
          <t>BOOT</t>
        </is>
      </c>
    </row>
    <row r="594">
      <c r="A594" t="inlineStr">
        <is>
          <t>WELL</t>
        </is>
      </c>
    </row>
    <row r="595">
      <c r="A595" t="inlineStr">
        <is>
          <t>NI</t>
        </is>
      </c>
    </row>
    <row r="596">
      <c r="A596" t="inlineStr">
        <is>
          <t>DASH</t>
        </is>
      </c>
    </row>
    <row r="597">
      <c r="A597" t="inlineStr">
        <is>
          <t>IRDM</t>
        </is>
      </c>
    </row>
    <row r="598">
      <c r="A598" t="inlineStr">
        <is>
          <t>APO</t>
        </is>
      </c>
    </row>
    <row r="599">
      <c r="A599" t="inlineStr">
        <is>
          <t>ALGM</t>
        </is>
      </c>
    </row>
    <row r="600">
      <c r="A600" t="inlineStr">
        <is>
          <t>LRCX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563EB"/>
    <outlinePr summaryBelow="1" summaryRight="1"/>
    <pageSetUpPr/>
  </sheetPr>
  <dimension ref="A1:H6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7" customWidth="1" min="3" max="3"/>
    <col width="4" customWidth="1" min="4" max="4"/>
    <col width="30" customWidth="1" min="5" max="5"/>
    <col width="13" customWidth="1" min="6" max="6"/>
    <col width="17" customWidth="1" min="7" max="7"/>
    <col width="3" customWidth="1" min="8" max="8"/>
  </cols>
  <sheetData>
    <row r="1" ht="34" customHeight="1">
      <c r="A1" s="132" t="inlineStr">
        <is>
          <t>🏢  COMPANY HEALTH CARD</t>
        </is>
      </c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3" ht="40" customHeight="1">
      <c r="A3" s="133" t="inlineStr">
        <is>
          <t xml:space="preserve">  ▼  SELECT TICKER</t>
        </is>
      </c>
      <c r="B3" s="134" t="inlineStr">
        <is>
          <t>AVY</t>
        </is>
      </c>
      <c r="C3" s="135" t="n"/>
      <c r="D3" s="136">
        <f>IFERROR(VLOOKUP($B$3,Inputs!$B:$C,2,0),"— select ticker —")</f>
        <v/>
      </c>
    </row>
    <row r="4" ht="18" customHeight="1">
      <c r="A4" s="137" t="inlineStr">
        <is>
          <t xml:space="preserve">  Sector</t>
        </is>
      </c>
      <c r="B4" s="138">
        <f>IFERROR(VLOOKUP($B$3,Inputs!$B:$D,3,0),"")</f>
        <v/>
      </c>
      <c r="C4" s="42" t="n"/>
      <c r="D4" s="137" t="inlineStr">
        <is>
          <t xml:space="preserve">  Fiscal Year</t>
        </is>
      </c>
      <c r="E4" s="138">
        <f>IFERROR(VLOOKUP($B$3,Inputs!$B:$E,4,0),"")</f>
        <v/>
      </c>
      <c r="F4" s="42" t="n"/>
      <c r="G4" s="42" t="n"/>
      <c r="H4" s="42" t="n"/>
    </row>
    <row r="5" ht="6" customHeight="1"/>
    <row r="6" ht="22" customHeight="1">
      <c r="A6" s="139" t="inlineStr">
        <is>
          <t xml:space="preserve">  📊  COMPOSITE HEALTH SCORE</t>
        </is>
      </c>
      <c r="E6" s="139" t="inlineStr">
        <is>
          <t xml:space="preserve">  MODEL SCORES</t>
        </is>
      </c>
    </row>
    <row r="7" ht="18" customHeight="1">
      <c r="A7" s="140">
        <f>IFERROR(VLOOKUP($B$3,Ratios_Scores!$A:$CZ,85,0),"")</f>
        <v/>
      </c>
      <c r="C7" s="7" t="n"/>
      <c r="D7" s="141">
        <f>IFERROR(IF(ISNUMBER(IFERROR(VLOOKUP($B$3,Ratios_Scores!$A:$CZ,85,0),"")),IF(IFERROR(VLOOKUP($B$3,Ratios_Scores!$A:$CZ,85,0),"")&gt;65,"✅ STRONG",IF(IFERROR(VLOOKUP($B$3,Ratios_Scores!$A:$CZ,85,0),"")&gt;35,"⚠ CAUTION","❌ WEAK")),"—"),"")</f>
        <v/>
      </c>
      <c r="E7" s="71" t="inlineStr">
        <is>
          <t xml:space="preserve">  Z-Score (68)</t>
        </is>
      </c>
      <c r="F7" s="142">
        <f>IFERROR(VLOOKUP($B$3,Ratios_Scores!$A:$CZ,36,0),"")</f>
        <v/>
      </c>
      <c r="G7" s="42" t="n"/>
      <c r="H7" s="143">
        <f>IFERROR(VLOOKUP($B$3,Ratios_Scores!$A:$CZ,37,0),"")</f>
        <v/>
      </c>
    </row>
    <row r="8" ht="18" customHeight="1">
      <c r="A8" s="144" t="n"/>
      <c r="B8" s="144" t="n"/>
      <c r="C8" s="144" t="n"/>
      <c r="D8" s="144" t="n"/>
      <c r="E8" s="71" t="inlineStr">
        <is>
          <t xml:space="preserve">  Z'-Score (83)</t>
        </is>
      </c>
      <c r="F8" s="142">
        <f>IFERROR(VLOOKUP($B$3,Ratios_Scores!$A:$CZ,43,0),"")</f>
        <v/>
      </c>
      <c r="G8" s="42" t="n"/>
      <c r="H8" s="143">
        <f>IFERROR(VLOOKUP($B$3,Ratios_Scores!$A:$CZ,44,0),"")</f>
        <v/>
      </c>
    </row>
    <row r="9" ht="18" customHeight="1">
      <c r="E9" s="71" t="inlineStr">
        <is>
          <t xml:space="preserve">  Z''-Score (95)</t>
        </is>
      </c>
      <c r="F9" s="142">
        <f>IFERROR(VLOOKUP($B$3,Ratios_Scores!$A:$CZ,49,0),"")</f>
        <v/>
      </c>
      <c r="G9" s="42" t="n"/>
      <c r="H9" s="143">
        <f>IFERROR(VLOOKUP($B$3,Ratios_Scores!$A:$CZ,50,0),"")</f>
        <v/>
      </c>
    </row>
    <row r="10" ht="18" customHeight="1">
      <c r="E10" s="71" t="inlineStr">
        <is>
          <t xml:space="preserve">  Springate S</t>
        </is>
      </c>
      <c r="F10" s="142">
        <f>IFERROR(VLOOKUP($B$3,Ratios_Scores!$A:$CZ,55,0),"")</f>
        <v/>
      </c>
      <c r="G10" s="42" t="n"/>
      <c r="H10" s="143">
        <f>IFERROR(VLOOKUP($B$3,Ratios_Scores!$A:$CZ,56,0),"")</f>
        <v/>
      </c>
    </row>
    <row r="11" ht="18" customHeight="1">
      <c r="E11" s="71" t="inlineStr">
        <is>
          <t xml:space="preserve">  Zmijewski Prob</t>
        </is>
      </c>
      <c r="F11" s="145">
        <f>IFERROR(VLOOKUP($B$3,Ratios_Scores!$A:$CZ,61,0),"")</f>
        <v/>
      </c>
      <c r="G11" s="42" t="n"/>
      <c r="H11" s="143">
        <f>IFERROR(VLOOKUP($B$3,Ratios_Scores!$A:$CZ,62,0),"")</f>
        <v/>
      </c>
    </row>
    <row r="12" ht="18" customHeight="1">
      <c r="E12" s="71" t="inlineStr">
        <is>
          <t xml:space="preserve">  F-Score /9</t>
        </is>
      </c>
      <c r="F12" s="146">
        <f>IFERROR(VLOOKUP($B$3,Ratios_Scores!$A:$CZ,72,0),"")</f>
        <v/>
      </c>
      <c r="G12" s="42" t="n"/>
      <c r="H12" s="143">
        <f>IFERROR(VLOOKUP($B$3,Ratios_Scores!$A:$CZ,73,0),"")</f>
        <v/>
      </c>
    </row>
    <row r="13" ht="18" customHeight="1">
      <c r="E13" s="71" t="inlineStr">
        <is>
          <t xml:space="preserve">  M-Score</t>
        </is>
      </c>
      <c r="F13" s="142">
        <f>IFERROR(VLOOKUP($B$3,Fraud_Detection!$A:$BZ,11,0),"")</f>
        <v/>
      </c>
      <c r="G13" s="42" t="n"/>
      <c r="H13" s="143">
        <f>IFERROR(VLOOKUP($B$3,Fraud_Detection!$A:$BZ,12,0),"")</f>
        <v/>
      </c>
    </row>
    <row r="14" ht="6" customHeight="1"/>
    <row r="15" ht="22" customHeight="1">
      <c r="A15" s="147" t="inlineStr">
        <is>
          <t xml:space="preserve">  📈  KEY FINANCIAL RATIOS</t>
        </is>
      </c>
      <c r="E15" s="148" t="inlineStr">
        <is>
          <t xml:space="preserve">  🚨  EARNINGS QUALITY</t>
        </is>
      </c>
    </row>
    <row r="16" ht="20" customHeight="1">
      <c r="A16" s="71" t="inlineStr">
        <is>
          <t xml:space="preserve">  EBIT Margin</t>
        </is>
      </c>
      <c r="B16" s="145">
        <f>IFERROR(VLOOKUP($B$3,Ratios_Scores!$A:$CZ,4,0),"")</f>
        <v/>
      </c>
      <c r="C16" s="149" t="inlineStr">
        <is>
          <t>—</t>
        </is>
      </c>
      <c r="D16" s="42" t="n"/>
      <c r="E16" s="71" t="inlineStr">
        <is>
          <t xml:space="preserve">  M-Score</t>
        </is>
      </c>
      <c r="F16" s="142">
        <f>IFERROR(VLOOKUP($B$3,Fraud_Detection!$A:$BZ,11,0),"")</f>
        <v/>
      </c>
      <c r="G16" s="42" t="n"/>
      <c r="H16" s="150" t="n"/>
    </row>
    <row r="17" ht="20" customHeight="1">
      <c r="A17" s="71" t="inlineStr">
        <is>
          <t xml:space="preserve">  Net Margin</t>
        </is>
      </c>
      <c r="B17" s="145">
        <f>IFERROR(VLOOKUP($B$3,Ratios_Scores!$A:$CZ,6,0),"")</f>
        <v/>
      </c>
      <c r="C17" s="149" t="inlineStr">
        <is>
          <t>—</t>
        </is>
      </c>
      <c r="D17" s="42" t="n"/>
      <c r="E17" s="71" t="inlineStr">
        <is>
          <t xml:space="preserve">  M-Flag</t>
        </is>
      </c>
      <c r="F17" s="151">
        <f>IFERROR(VLOOKUP($B$3,Fraud_Detection!$A:$BZ,12,0),"")</f>
        <v/>
      </c>
      <c r="G17" s="42" t="n"/>
      <c r="H17" s="150" t="n"/>
    </row>
    <row r="18" ht="20" customHeight="1">
      <c r="A18" s="71" t="inlineStr">
        <is>
          <t xml:space="preserve">  ROE</t>
        </is>
      </c>
      <c r="B18" s="145">
        <f>IFERROR(VLOOKUP($B$3,Ratios_Scores!$A:$CZ,9,0),"")</f>
        <v/>
      </c>
      <c r="C18" s="152" t="inlineStr">
        <is>
          <t>Strong</t>
        </is>
      </c>
      <c r="D18" s="42" t="n"/>
      <c r="E18" s="71" t="inlineStr">
        <is>
          <t xml:space="preserve">  Dechow F-Prob</t>
        </is>
      </c>
      <c r="F18" s="145">
        <f>IFERROR(VLOOKUP($B$3,Fraud_Detection!$A:$BZ,20,0),"")</f>
        <v/>
      </c>
      <c r="G18" s="42" t="n"/>
      <c r="H18" s="150" t="n"/>
    </row>
    <row r="19" ht="20" customHeight="1">
      <c r="A19" s="71" t="inlineStr">
        <is>
          <t xml:space="preserve">  ROA (Y0)</t>
        </is>
      </c>
      <c r="B19" s="145">
        <f>IFERROR(VLOOKUP($B$3,Ratios_Scores!$A:$CZ,7,0),"")</f>
        <v/>
      </c>
      <c r="C19" s="149" t="inlineStr">
        <is>
          <t>—</t>
        </is>
      </c>
      <c r="D19" s="42" t="n"/>
      <c r="E19" s="71" t="inlineStr">
        <is>
          <t xml:space="preserve">  Dechow Flag</t>
        </is>
      </c>
      <c r="F19" s="151">
        <f>IFERROR(VLOOKUP($B$3,Fraud_Detection!$A:$BZ,21,0),"")</f>
        <v/>
      </c>
      <c r="G19" s="42" t="n"/>
      <c r="H19" s="150" t="n"/>
    </row>
    <row r="20" ht="20" customHeight="1">
      <c r="A20" s="71" t="inlineStr">
        <is>
          <t xml:space="preserve">  Gross Margin</t>
        </is>
      </c>
      <c r="B20" s="145">
        <f>IFERROR(VLOOKUP($B$3,Ratios_Scores!$A:$CZ,11,0),"")</f>
        <v/>
      </c>
      <c r="C20" s="149" t="inlineStr">
        <is>
          <t>—</t>
        </is>
      </c>
      <c r="D20" s="42" t="n"/>
      <c r="E20" s="71" t="inlineStr">
        <is>
          <t xml:space="preserve">  Montier C-Score</t>
        </is>
      </c>
      <c r="F20" s="146">
        <f>IFERROR(VLOOKUP($B$3,Fraud_Detection!$A:$BZ,28,0),"")</f>
        <v/>
      </c>
      <c r="G20" s="42" t="n"/>
      <c r="H20" s="150" t="n"/>
    </row>
    <row r="21" ht="20" customHeight="1">
      <c r="A21" s="71" t="inlineStr">
        <is>
          <t xml:space="preserve">  Revenue Growth</t>
        </is>
      </c>
      <c r="B21" s="145">
        <f>IFERROR(VLOOKUP($B$3,Ratios_Scores!$A:$CZ,27,0),"")</f>
        <v/>
      </c>
      <c r="C21" s="149" t="inlineStr">
        <is>
          <t>—</t>
        </is>
      </c>
      <c r="D21" s="42" t="n"/>
      <c r="E21" s="71" t="inlineStr">
        <is>
          <t xml:space="preserve">  Montier Flag</t>
        </is>
      </c>
      <c r="F21" s="151">
        <f>IFERROR(VLOOKUP($B$3,Fraud_Detection!$A:$BZ,29,0),"")</f>
        <v/>
      </c>
      <c r="G21" s="42" t="n"/>
      <c r="H21" s="150" t="n"/>
    </row>
    <row r="22" ht="20" customHeight="1">
      <c r="A22" s="71" t="inlineStr">
        <is>
          <t xml:space="preserve">  NI Growth</t>
        </is>
      </c>
      <c r="B22" s="145">
        <f>IFERROR(VLOOKUP($B$3,Ratios_Scores!$A:$CZ,28,0),"")</f>
        <v/>
      </c>
      <c r="C22" s="149" t="inlineStr">
        <is>
          <t>—</t>
        </is>
      </c>
      <c r="D22" s="42" t="n"/>
      <c r="E22" s="71" t="inlineStr">
        <is>
          <t xml:space="preserve">  Sloan Accrual</t>
        </is>
      </c>
      <c r="F22" s="153">
        <f>IFERROR(VLOOKUP($B$3,Fraud_Detection!$A:$BZ,33,0),"")</f>
        <v/>
      </c>
      <c r="G22" s="42" t="n"/>
      <c r="H22" s="150" t="n"/>
    </row>
    <row r="23" ht="20" customHeight="1">
      <c r="A23" s="71" t="inlineStr">
        <is>
          <t xml:space="preserve">  Current Ratio</t>
        </is>
      </c>
      <c r="B23" s="142">
        <f>IFERROR(VLOOKUP($B$3,Ratios_Scores!$A:$CZ,15,0),"")</f>
        <v/>
      </c>
      <c r="C23" s="149" t="inlineStr">
        <is>
          <t>—</t>
        </is>
      </c>
      <c r="D23" s="42" t="n"/>
      <c r="E23" s="71" t="inlineStr">
        <is>
          <t xml:space="preserve">  Sloan Quality</t>
        </is>
      </c>
      <c r="F23" s="151">
        <f>IFERROR(VLOOKUP($B$3,Fraud_Detection!$A:$BZ,34,0),"")</f>
        <v/>
      </c>
      <c r="G23" s="42" t="n"/>
      <c r="H23" s="150" t="n"/>
    </row>
    <row r="24" ht="20" customHeight="1">
      <c r="A24" s="71" t="inlineStr">
        <is>
          <t xml:space="preserve">  Quick Ratio</t>
        </is>
      </c>
      <c r="B24" s="142">
        <f>IFERROR(VLOOKUP($B$3,Ratios_Scores!$A:$CZ,17,0),"")</f>
        <v/>
      </c>
      <c r="C24" s="149" t="inlineStr">
        <is>
          <t>—</t>
        </is>
      </c>
      <c r="D24" s="42" t="n"/>
      <c r="E24" s="71" t="inlineStr">
        <is>
          <t xml:space="preserve">  LT Score (0-6)</t>
        </is>
      </c>
      <c r="F24" s="146">
        <f>IFERROR(VLOOKUP($B$3,Fraud_Detection!$A:$BZ,48,0),"")</f>
        <v/>
      </c>
      <c r="G24" s="42" t="n"/>
      <c r="H24" s="150" t="n"/>
    </row>
    <row r="25" ht="20" customHeight="1">
      <c r="A25" s="71" t="inlineStr">
        <is>
          <t xml:space="preserve">  Asset Turnover</t>
        </is>
      </c>
      <c r="B25" s="142">
        <f>IFERROR(VLOOKUP($B$3,Ratios_Scores!$A:$CZ,13,0),"")</f>
        <v/>
      </c>
      <c r="C25" s="149" t="inlineStr">
        <is>
          <t>—</t>
        </is>
      </c>
      <c r="D25" s="42" t="n"/>
      <c r="E25" s="71" t="inlineStr">
        <is>
          <t xml:space="preserve">  LT Flag</t>
        </is>
      </c>
      <c r="F25" s="151">
        <f>IFERROR(VLOOKUP($B$3,Fraud_Detection!$A:$BZ,49,0),"")</f>
        <v/>
      </c>
      <c r="G25" s="42" t="n"/>
      <c r="H25" s="150" t="n"/>
    </row>
    <row r="26" ht="20" customHeight="1">
      <c r="A26" s="71" t="inlineStr">
        <is>
          <t xml:space="preserve">  Interest Coverage</t>
        </is>
      </c>
      <c r="B26" s="142">
        <f>IFERROR(VLOOKUP($B$3,Ratios_Scores!$A:$CZ,26,0),"")</f>
        <v/>
      </c>
      <c r="C26" s="149" t="inlineStr">
        <is>
          <t>—</t>
        </is>
      </c>
      <c r="D26" s="42" t="n"/>
      <c r="E26" s="71" t="inlineStr">
        <is>
          <t xml:space="preserve">  Rev Quality Score</t>
        </is>
      </c>
      <c r="F26" s="154">
        <f>IFERROR(VLOOKUP($B$3,Fraud_Detection!$A:$BZ,40,0),"")</f>
        <v/>
      </c>
      <c r="G26" s="42" t="n"/>
      <c r="H26" s="150" t="n"/>
    </row>
    <row r="27" ht="20" customHeight="1">
      <c r="A27" s="71" t="inlineStr">
        <is>
          <t xml:space="preserve">  Net Debt/EBITDA</t>
        </is>
      </c>
      <c r="B27" s="142">
        <f>IFERROR(VLOOKUP($B$3,Ratios_Scores!$A:$CZ,84,0),"")</f>
        <v/>
      </c>
      <c r="C27" s="149" t="inlineStr">
        <is>
          <t>—</t>
        </is>
      </c>
      <c r="D27" s="42" t="n"/>
      <c r="E27" s="71" t="inlineStr">
        <is>
          <t xml:space="preserve">  RQI Flag</t>
        </is>
      </c>
      <c r="F27" s="151">
        <f>IFERROR(VLOOKUP($B$3,Fraud_Detection!$A:$BZ,41,0),"")</f>
        <v/>
      </c>
      <c r="G27" s="42" t="n"/>
      <c r="H27" s="150" t="n"/>
    </row>
    <row r="28" ht="20" customHeight="1">
      <c r="A28" s="71" t="inlineStr">
        <is>
          <t xml:space="preserve">  CFO / Net Income</t>
        </is>
      </c>
      <c r="B28" s="142">
        <f>IFERROR(VLOOKUP($B$3,Ratios_Scores!$A:$CZ,23,0),"")</f>
        <v/>
      </c>
      <c r="C28" s="149" t="inlineStr">
        <is>
          <t>—</t>
        </is>
      </c>
      <c r="D28" s="42" t="n"/>
      <c r="E28" s="71" t="inlineStr">
        <is>
          <t xml:space="preserve">  DSO Y0 (days)</t>
        </is>
      </c>
      <c r="F28" s="154">
        <f>IFERROR(VLOOKUP($B$3,Fraud_Detection!$A:$BZ,52,0),"")</f>
        <v/>
      </c>
      <c r="G28" s="42" t="n"/>
      <c r="H28" s="150" t="n"/>
    </row>
    <row r="29" ht="20" customHeight="1">
      <c r="A29" s="71" t="inlineStr">
        <is>
          <t xml:space="preserve">  FCF Margin</t>
        </is>
      </c>
      <c r="B29" s="145">
        <f>IFERROR(VLOOKUP($B$3,Ratios_Scores!$A:$CZ,24,0),"")</f>
        <v/>
      </c>
      <c r="C29" s="149" t="inlineStr">
        <is>
          <t>—</t>
        </is>
      </c>
      <c r="D29" s="42" t="n"/>
      <c r="E29" s="71" t="inlineStr">
        <is>
          <t xml:space="preserve">  DPO Y0 (days)</t>
        </is>
      </c>
      <c r="F29" s="154">
        <f>IFERROR(VLOOKUP($B$3,Fraud_Detection!$A:$BZ,56,0),"")</f>
        <v/>
      </c>
      <c r="G29" s="42" t="n"/>
      <c r="H29" s="150" t="n"/>
    </row>
    <row r="30" ht="20" customHeight="1">
      <c r="A30" s="71" t="inlineStr">
        <is>
          <t xml:space="preserve">  D/E Ratio</t>
        </is>
      </c>
      <c r="B30" s="142">
        <f>IFERROR(VLOOKUP($B$3,Ratios_Scores!$A:$CZ,21,0),"")</f>
        <v/>
      </c>
      <c r="C30" s="149" t="inlineStr">
        <is>
          <t>—</t>
        </is>
      </c>
      <c r="D30" s="42" t="n"/>
      <c r="E30" s="71" t="inlineStr">
        <is>
          <t xml:space="preserve">  Earnings-Quality Risk Score</t>
        </is>
      </c>
      <c r="F30" s="154">
        <f>IFERROR(VLOOKUP($B$3,Fraud_Detection!$A:$BZ,50,0),"")</f>
        <v/>
      </c>
      <c r="G30" s="42" t="n"/>
      <c r="H30" s="150" t="n"/>
    </row>
    <row r="32" ht="6" customHeight="1"/>
    <row r="33" ht="22" customHeight="1">
      <c r="A33" s="155" t="inlineStr">
        <is>
          <t xml:space="preserve">  🔍  PIOTROSKI F-SCORE BREAKDOWN</t>
        </is>
      </c>
      <c r="E33" s="147" t="inlineStr">
        <is>
          <t xml:space="preserve">  🎯  SCREENING VERDICT</t>
        </is>
      </c>
    </row>
    <row r="34" ht="20" customHeight="1">
      <c r="A34" s="71" t="inlineStr">
        <is>
          <t xml:space="preserve">  F1: ROA &gt; 0</t>
        </is>
      </c>
      <c r="B34" s="156">
        <f>IFERROR(IF(IFERROR(VLOOKUP($B$3,Ratios_Scores!$A:$CZ,63,0),"")=1,"✓ PASS","✗ FAIL"),"")</f>
        <v/>
      </c>
      <c r="C34" s="149" t="inlineStr">
        <is>
          <t>—</t>
        </is>
      </c>
      <c r="D34" s="42" t="n"/>
      <c r="E34" s="71" t="inlineStr">
        <is>
          <t xml:space="preserve">  Distress Risk (Z')</t>
        </is>
      </c>
      <c r="F34" s="151">
        <f>IFERROR(VLOOKUP($B$3,Ratios_Scores!$A:$CZ,44,0),"")</f>
        <v/>
      </c>
      <c r="G34" s="42" t="n"/>
      <c r="H34" s="150" t="n"/>
    </row>
    <row r="35" ht="20" customHeight="1">
      <c r="A35" s="71" t="inlineStr">
        <is>
          <t xml:space="preserve">  F2: CFO &gt; 0</t>
        </is>
      </c>
      <c r="B35" s="156">
        <f>IFERROR(IF(IFERROR(VLOOKUP($B$3,Ratios_Scores!$A:$CZ,64,0),"")=1,"✓ PASS","✗ FAIL"),"")</f>
        <v/>
      </c>
      <c r="C35" s="149" t="inlineStr">
        <is>
          <t>—</t>
        </is>
      </c>
      <c r="D35" s="42" t="n"/>
      <c r="E35" s="71" t="inlineStr">
        <is>
          <t xml:space="preserve">  Z'' Band</t>
        </is>
      </c>
      <c r="F35" s="151">
        <f>IFERROR(VLOOKUP($B$3,Ratios_Scores!$A:$CZ,50,0),"")</f>
        <v/>
      </c>
      <c r="G35" s="42" t="n"/>
      <c r="H35" s="150" t="n"/>
    </row>
    <row r="36" ht="20" customHeight="1">
      <c r="A36" s="71" t="inlineStr">
        <is>
          <t xml:space="preserve">  F3: ROA Improving</t>
        </is>
      </c>
      <c r="B36" s="157">
        <f>IFERROR(IF(IFERROR(VLOOKUP($B$3,Ratios_Scores!$A:$CZ,65,0),"")=1,"✓ PASS","✗ FAIL"),"")</f>
        <v/>
      </c>
      <c r="C36" s="149" t="inlineStr">
        <is>
          <t>—</t>
        </is>
      </c>
      <c r="D36" s="42" t="n"/>
      <c r="E36" s="71" t="inlineStr">
        <is>
          <t xml:space="preserve">  Springate</t>
        </is>
      </c>
      <c r="F36" s="151">
        <f>IFERROR(VLOOKUP($B$3,Ratios_Scores!$A:$CZ,56,0),"")</f>
        <v/>
      </c>
      <c r="G36" s="42" t="n"/>
      <c r="H36" s="150" t="n"/>
    </row>
    <row r="37" ht="20" customHeight="1">
      <c r="A37" s="71" t="inlineStr">
        <is>
          <t xml:space="preserve">  F4: CFO &gt; Net Income</t>
        </is>
      </c>
      <c r="B37" s="156">
        <f>IFERROR(IF(IFERROR(VLOOKUP($B$3,Ratios_Scores!$A:$CZ,66,0),"")=1,"✓ PASS","✗ FAIL"),"")</f>
        <v/>
      </c>
      <c r="C37" s="149" t="inlineStr">
        <is>
          <t>—</t>
        </is>
      </c>
      <c r="D37" s="42" t="n"/>
      <c r="E37" s="71" t="inlineStr">
        <is>
          <t xml:space="preserve">  Zmijewski</t>
        </is>
      </c>
      <c r="F37" s="151">
        <f>IFERROR(VLOOKUP($B$3,Ratios_Scores!$A:$CZ,62,0),"")</f>
        <v/>
      </c>
      <c r="G37" s="42" t="n"/>
      <c r="H37" s="150" t="n"/>
    </row>
    <row r="38" ht="20" customHeight="1">
      <c r="A38" s="71" t="inlineStr">
        <is>
          <t xml:space="preserve">  F5: Leverage Decreasing</t>
        </is>
      </c>
      <c r="B38" s="157">
        <f>IFERROR(IF(IFERROR(VLOOKUP($B$3,Ratios_Scores!$A:$CZ,67,0),"")=1,"✓ PASS","✗ FAIL"),"")</f>
        <v/>
      </c>
      <c r="C38" s="149" t="inlineStr">
        <is>
          <t>—</t>
        </is>
      </c>
      <c r="D38" s="42" t="n"/>
      <c r="E38" s="71" t="inlineStr">
        <is>
          <t xml:space="preserve">  F-Interpretation</t>
        </is>
      </c>
      <c r="F38" s="151">
        <f>IFERROR(VLOOKUP($B$3,Ratios_Scores!$A:$CZ,73,0),"")</f>
        <v/>
      </c>
      <c r="G38" s="42" t="n"/>
      <c r="H38" s="150" t="n"/>
    </row>
    <row r="39" ht="20" customHeight="1">
      <c r="A39" s="71" t="inlineStr">
        <is>
          <t xml:space="preserve">  F6: Current Ratio Up</t>
        </is>
      </c>
      <c r="B39" s="157">
        <f>IFERROR(IF(IFERROR(VLOOKUP($B$3,Ratios_Scores!$A:$CZ,68,0),"")=1,"✓ PASS","✗ FAIL"),"")</f>
        <v/>
      </c>
      <c r="C39" s="149" t="inlineStr">
        <is>
          <t>—</t>
        </is>
      </c>
      <c r="D39" s="42" t="n"/>
      <c r="E39" s="71" t="inlineStr">
        <is>
          <t xml:space="preserve">  M-Flag</t>
        </is>
      </c>
      <c r="F39" s="151">
        <f>IFERROR(VLOOKUP($B$3,Fraud_Detection!$A:$BZ,12,0),"")</f>
        <v/>
      </c>
      <c r="G39" s="42" t="n"/>
      <c r="H39" s="150" t="n"/>
    </row>
    <row r="40" ht="20" customHeight="1">
      <c r="A40" s="71" t="inlineStr">
        <is>
          <t xml:space="preserve">  F7: No Equity Dilution</t>
        </is>
      </c>
      <c r="B40" s="157">
        <f>IFERROR(IF(IFERROR(VLOOKUP($B$3,Ratios_Scores!$A:$CZ,69,0),"")=1,"✓ PASS","✗ FAIL"),"")</f>
        <v/>
      </c>
      <c r="C40" s="149" t="inlineStr">
        <is>
          <t>—</t>
        </is>
      </c>
      <c r="D40" s="42" t="n"/>
      <c r="E40" s="71" t="inlineStr">
        <is>
          <t xml:space="preserve">  Earnings-Quality Risk Band</t>
        </is>
      </c>
      <c r="F40" s="151">
        <f>IFERROR(VLOOKUP($B$3,Fraud_Detection!$A:$BZ,51,0),"")</f>
        <v/>
      </c>
      <c r="G40" s="42" t="n"/>
      <c r="H40" s="150" t="n"/>
    </row>
    <row r="41" ht="20" customHeight="1">
      <c r="A41" s="71" t="inlineStr">
        <is>
          <t xml:space="preserve">  F8: Gross Margin Up</t>
        </is>
      </c>
      <c r="B41" s="157">
        <f>IFERROR(IF(IFERROR(VLOOKUP($B$3,Ratios_Scores!$A:$CZ,70,0),"")=1,"✓ PASS","✗ FAIL"),"")</f>
        <v/>
      </c>
      <c r="C41" s="149" t="inlineStr">
        <is>
          <t>—</t>
        </is>
      </c>
      <c r="D41" s="42" t="n"/>
      <c r="E41" s="71" t="inlineStr">
        <is>
          <t xml:space="preserve">  TGTBT Score</t>
        </is>
      </c>
      <c r="F41" s="151">
        <f>IFERROR(VLOOKUP($B$3,Ratios_Scores!$A:$CZ,87,0),"")</f>
        <v/>
      </c>
      <c r="G41" s="42" t="n"/>
      <c r="H41" s="150" t="n"/>
    </row>
    <row r="42" ht="20" customHeight="1">
      <c r="A42" s="71" t="inlineStr">
        <is>
          <t xml:space="preserve">  F9: Asset Turnover Up</t>
        </is>
      </c>
      <c r="B42" s="157">
        <f>IFERROR(IF(IFERROR(VLOOKUP($B$3,Ratios_Scores!$A:$CZ,71,0),"")=1,"✓ PASS","✗ FAIL"),"")</f>
        <v/>
      </c>
      <c r="C42" s="149" t="inlineStr">
        <is>
          <t>—</t>
        </is>
      </c>
      <c r="D42" s="42" t="n"/>
      <c r="E42" s="71" t="inlineStr">
        <is>
          <t xml:space="preserve">  TGTBT Flag</t>
        </is>
      </c>
      <c r="F42" s="151">
        <f>IFERROR(VLOOKUP($B$3,Ratios_Scores!$A:$CZ,88,0),"")</f>
        <v/>
      </c>
      <c r="G42" s="42" t="n"/>
      <c r="H42" s="150" t="n"/>
    </row>
    <row r="44" ht="6" customHeight="1"/>
    <row r="45" ht="22" customHeight="1">
      <c r="A45" s="158" t="inlineStr">
        <is>
          <t xml:space="preserve">  ⚠  SECTOR MODEL RELIABILITY NOTES</t>
        </is>
      </c>
    </row>
    <row r="46" ht="16" customHeight="1">
      <c r="A46" s="159" t="inlineStr">
        <is>
          <t>⚡ The verdict below updates when you re-run company_scanner.py. Use the Summary_Rank sheet to compare all 600 companies side by side.</t>
        </is>
      </c>
    </row>
    <row r="47" ht="6" customHeight="1"/>
    <row r="48" ht="14" customHeight="1">
      <c r="A48" s="160" t="inlineStr">
        <is>
          <t>For screening purposes only — not a substitute for full due diligence. Source: SEC EDGAR.</t>
        </is>
      </c>
    </row>
    <row r="49" ht="22" customHeight="1">
      <c r="A49" s="161" t="inlineStr">
        <is>
          <t xml:space="preserve">  OVERALL VERDICT</t>
        </is>
      </c>
    </row>
    <row r="50" ht="36" customHeight="1">
      <c r="A50" s="162" t="inlineStr">
        <is>
          <t>OVERALL VERDICT: AVERAGE / CAUTION (Health Score: 50.0/100)
Mixed signals across models — further diligence is warranted.</t>
        </is>
      </c>
    </row>
    <row r="51" ht="22" customHeight="1">
      <c r="A51" s="163" t="inlineStr">
        <is>
          <t xml:space="preserve">  SECTOR NOTE</t>
        </is>
      </c>
    </row>
    <row r="52" ht="50" customHeight="1">
      <c r="A52" s="164" t="inlineStr">
        <is>
          <t>─ ⚠  SECTOR NOTE: Materials ─
  Some metrics below may be less reliable for Materials companies.
  Flagged items are marked [⚠ SECTOR CAVEAT].</t>
        </is>
      </c>
    </row>
    <row r="53" ht="22" customHeight="1">
      <c r="A53" s="165" t="inlineStr">
        <is>
          <t xml:space="preserve">  BANKRUPTCY</t>
        </is>
      </c>
    </row>
    <row r="54" ht="78" customHeight="1">
      <c r="A54" s="166" t="inlineStr">
        <is>
          <t>─ BANKRUPTCY &amp; DISTRESS RISK ─
  Altman Z-Score: 2.00 (GREY ZONE) — Moderate risk.
  Piotroski F-Score: 5/9 (Mixed)
    Passing: ROA&gt;0, CFO&gt;0, CFO&gt;NI
    Failing: ROA improving, Leverage down, Liquidity up, No dilution, GM improving, AT improving</t>
        </is>
      </c>
    </row>
    <row r="55" ht="22" customHeight="1">
      <c r="A55" s="167" t="inlineStr">
        <is>
          <t xml:space="preserve">  PROFITABILITY</t>
        </is>
      </c>
    </row>
    <row r="56" ht="120" customHeight="1">
      <c r="A56" s="168" t="inlineStr">
        <is>
          <t>─ PROFITABILITY  [Sector: Materials] ─
  EBIT Margin:       10.4% (solid)  [≈ in line sector median: 10.0%]
  Gross Margin:      28.8%  [▲ above sector median: 24.0%]
  Net Margin:         7.8%  [▲ above sector median: 6.5%]  [⚠ SECTOR CAVEAT: Cyclical — use mid-cycle or through-the-cycle margin for comparisons...]
  ROE:               30.7% (strong)  [▲ above sector median: 10.5%]
  ROA:                7.8%
  Revenue Growth:     1.1% (flat)  [▼ below sector median: 6.5%]
  NI Growth:         -2.4%</t>
        </is>
      </c>
    </row>
    <row r="57" ht="22" customHeight="1">
      <c r="A57" s="167" t="inlineStr">
        <is>
          <t xml:space="preserve">  FINANCIAL HEALTH</t>
        </is>
      </c>
    </row>
    <row r="58" ht="106" customHeight="1">
      <c r="A58" s="168" t="inlineStr">
        <is>
          <t>─ FINANCIAL HEALTH &amp; LEVERAGE ─
  Current Ratio:       1.13x (adequate liquidity)  [▼ below sector median: 1.70]
  Leverage (TL/TA):  100.0% (high)
  Net Debt/EBITDA:      2.6x (manageable)  [▲ worse sector median: 1.64]
  Interest Coverage:    7.8x (adequate)
  CFO/Net Income:     1.28x (high quality earnings)
  FCF Margin:          8.0% (solid)  [▼ below sector median: 163.5%]</t>
        </is>
      </c>
    </row>
    <row r="59" ht="22" customHeight="1">
      <c r="A59" s="169" t="inlineStr">
        <is>
          <t xml:space="preserve">  EARNINGS QUALITY</t>
        </is>
      </c>
    </row>
    <row r="60" ht="120" customHeight="1">
      <c r="A60" s="170" t="inlineStr">
        <is>
          <t>─ EARNINGS QUALITY &amp; ACCOUNTING RISK ─
  ⚠ Concerns detected (1):
    • Montier C-Score: 3/6 — watch list
  ✓ Passing (3):
    • Beneish M-Score: -2.65 — below threshold (lower risk)
    • Dechow F-Prob: 0.5% — normal range
    • Sloan Accrual: 0.047 — adequate quality
  Composite Earnings-Quality Risk: 23.0/100 (LOW RISK)</t>
        </is>
      </c>
    </row>
    <row r="61" ht="22" customHeight="1">
      <c r="A61" s="171" t="inlineStr">
        <is>
          <t xml:space="preserve">  KEY POSITIVES</t>
        </is>
      </c>
    </row>
    <row r="62" ht="50" customHeight="1">
      <c r="A62" s="172" t="inlineStr">
        <is>
          <t>─ KEY POSITIVES ─
  ✓ High return on equity (30.7%)
  ✓ No equity dilution detected</t>
        </is>
      </c>
    </row>
    <row r="63" ht="22" customHeight="1">
      <c r="A63" s="173" t="inlineStr">
        <is>
          <t xml:space="preserve">  KEY RISKS</t>
        </is>
      </c>
    </row>
    <row r="64" ht="36" customHeight="1">
      <c r="A64" s="174" t="inlineStr">
        <is>
          <t>─ KEY RISKS ─
  ⚠ High leverage (100.0% total liabilities/assets)</t>
        </is>
      </c>
    </row>
  </sheetData>
  <mergeCells count="28">
    <mergeCell ref="A48:H48"/>
    <mergeCell ref="A59:H59"/>
    <mergeCell ref="A51:H51"/>
    <mergeCell ref="A64:H64"/>
    <mergeCell ref="A60:H60"/>
    <mergeCell ref="A49:H49"/>
    <mergeCell ref="A45:H45"/>
    <mergeCell ref="A1:H1"/>
    <mergeCell ref="A61:H61"/>
    <mergeCell ref="A7:B7"/>
    <mergeCell ref="A54:H54"/>
    <mergeCell ref="A15:D15"/>
    <mergeCell ref="A46:H46"/>
    <mergeCell ref="E33:H33"/>
    <mergeCell ref="A50:H50"/>
    <mergeCell ref="A56:H56"/>
    <mergeCell ref="A55:H55"/>
    <mergeCell ref="A6:D6"/>
    <mergeCell ref="A57:H57"/>
    <mergeCell ref="D3:H3"/>
    <mergeCell ref="A62:H62"/>
    <mergeCell ref="A53:H53"/>
    <mergeCell ref="A63:H63"/>
    <mergeCell ref="A52:H52"/>
    <mergeCell ref="E6:H6"/>
    <mergeCell ref="E15:H15"/>
    <mergeCell ref="A33:D33"/>
    <mergeCell ref="A58:H58"/>
  </mergeCells>
  <dataValidations count="1">
    <dataValidation sqref="B3" showDropDown="0" showInputMessage="0" showErrorMessage="0" allowBlank="0" type="list">
      <formula1>Ticker_List!$A$1:$A$600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Sector</t>
        </is>
      </c>
      <c r="C1" t="inlineStr">
        <is>
          <t>Warnings</t>
        </is>
      </c>
    </row>
    <row r="2">
      <c r="A2" t="inlineStr">
        <is>
          <t>AVY</t>
        </is>
      </c>
      <c r="B2" t="inlineStr">
        <is>
          <t>Materials</t>
        </is>
      </c>
      <c r="C2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3">
      <c r="A3" t="inlineStr">
        <is>
          <t>CHD</t>
        </is>
      </c>
      <c r="B3" t="inlineStr">
        <is>
          <t>Consumer Staples</t>
        </is>
      </c>
      <c r="C3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4">
      <c r="A4" t="inlineStr">
        <is>
          <t>GWW</t>
        </is>
      </c>
      <c r="B4" t="inlineStr">
        <is>
          <t>Industrials</t>
        </is>
      </c>
      <c r="C4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5">
      <c r="A5" t="inlineStr">
        <is>
          <t>SO</t>
        </is>
      </c>
      <c r="B5" t="inlineStr">
        <is>
          <t>Utilities</t>
        </is>
      </c>
      <c r="C5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6">
      <c r="A6" t="inlineStr">
        <is>
          <t>VICI</t>
        </is>
      </c>
      <c r="B6" t="inlineStr">
        <is>
          <t>Real Estate</t>
        </is>
      </c>
      <c r="C6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7">
      <c r="A7" t="inlineStr">
        <is>
          <t>MPWR</t>
        </is>
      </c>
      <c r="B7" t="inlineStr">
        <is>
          <t>Information Technology</t>
        </is>
      </c>
      <c r="C7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8">
      <c r="A8" t="inlineStr">
        <is>
          <t>EWBC</t>
        </is>
      </c>
      <c r="B8" t="inlineStr">
        <is>
          <t>Financials</t>
        </is>
      </c>
      <c r="C8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9">
      <c r="A9" t="inlineStr">
        <is>
          <t>BEN</t>
        </is>
      </c>
      <c r="B9" t="inlineStr">
        <is>
          <t>Financials</t>
        </is>
      </c>
      <c r="C9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10">
      <c r="A10" t="inlineStr">
        <is>
          <t>NVDA</t>
        </is>
      </c>
      <c r="B10" t="inlineStr">
        <is>
          <t>Information Technology</t>
        </is>
      </c>
      <c r="C10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11">
      <c r="A11" t="inlineStr">
        <is>
          <t>KRYS</t>
        </is>
      </c>
      <c r="B11" t="inlineStr">
        <is>
          <t>Health Care</t>
        </is>
      </c>
      <c r="C11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12">
      <c r="A12" t="inlineStr">
        <is>
          <t>APTV</t>
        </is>
      </c>
      <c r="B12" t="inlineStr">
        <is>
          <t>Consumer Discretionary</t>
        </is>
      </c>
      <c r="C12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13">
      <c r="A13" t="inlineStr">
        <is>
          <t>ZBRA</t>
        </is>
      </c>
      <c r="B13" t="inlineStr">
        <is>
          <t>Information Technology</t>
        </is>
      </c>
      <c r="C13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14">
      <c r="A14" t="inlineStr">
        <is>
          <t>WFC</t>
        </is>
      </c>
      <c r="B14" t="inlineStr">
        <is>
          <t>Financials</t>
        </is>
      </c>
      <c r="C14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15">
      <c r="A15" t="inlineStr">
        <is>
          <t>EXPD</t>
        </is>
      </c>
      <c r="B15" t="inlineStr">
        <is>
          <t>Industrials</t>
        </is>
      </c>
      <c r="C15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16">
      <c r="A16" t="inlineStr">
        <is>
          <t>CELH</t>
        </is>
      </c>
      <c r="B16" t="inlineStr">
        <is>
          <t>Consumer Staples</t>
        </is>
      </c>
      <c r="C16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17">
      <c r="A17" t="inlineStr">
        <is>
          <t>MKSI</t>
        </is>
      </c>
      <c r="B17" t="inlineStr">
        <is>
          <t>Information Technology</t>
        </is>
      </c>
      <c r="C17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18">
      <c r="A18" t="inlineStr">
        <is>
          <t>ACAD</t>
        </is>
      </c>
      <c r="B18" t="inlineStr">
        <is>
          <t>Health Care</t>
        </is>
      </c>
      <c r="C18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19">
      <c r="A19" t="inlineStr">
        <is>
          <t>NEM</t>
        </is>
      </c>
      <c r="B19" t="inlineStr">
        <is>
          <t>Materials</t>
        </is>
      </c>
      <c r="C19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20">
      <c r="A20" t="inlineStr">
        <is>
          <t>NFLX</t>
        </is>
      </c>
      <c r="B20" t="inlineStr">
        <is>
          <t>Communication Services</t>
        </is>
      </c>
      <c r="C20" t="inlineStr">
        <is>
          <t>SECTOR CAVEATS FOR COMMUNICATION SERVICES:
  - Beneish DSRI: Multi-year contracts create naturally high AR — compare to deferred revenue balance
  - AQI (Beneish): Spectrum licenses and tower assets dominate — AQI reads high normally
  - Net Debt/EBITDA: Telecom 3-4x is normal and sustainable — standard threshold of 2.5x does not apply
  - Current Ratio: Subscriber deferred revenue boosts current liabilities — ratio often &lt;1x by design</t>
        </is>
      </c>
    </row>
    <row r="21">
      <c r="A21" t="inlineStr">
        <is>
          <t>BWA</t>
        </is>
      </c>
      <c r="B21" t="inlineStr">
        <is>
          <t>Consumer Discretionary</t>
        </is>
      </c>
      <c r="C21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22">
      <c r="A22" t="inlineStr">
        <is>
          <t>CCL</t>
        </is>
      </c>
      <c r="B22" t="inlineStr">
        <is>
          <t>Consumer Discretionary</t>
        </is>
      </c>
      <c r="C22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23">
      <c r="A23" t="inlineStr">
        <is>
          <t>BIO</t>
        </is>
      </c>
      <c r="B23" t="inlineStr">
        <is>
          <t>Health Care</t>
        </is>
      </c>
      <c r="C23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24">
      <c r="A24" t="inlineStr">
        <is>
          <t>GEHC</t>
        </is>
      </c>
      <c r="B24" t="inlineStr">
        <is>
          <t>Health Care</t>
        </is>
      </c>
      <c r="C24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25">
      <c r="A25" t="inlineStr">
        <is>
          <t>BAC</t>
        </is>
      </c>
      <c r="B25" t="inlineStr">
        <is>
          <t>Financials</t>
        </is>
      </c>
      <c r="C25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26">
      <c r="A26" t="inlineStr">
        <is>
          <t>COR</t>
        </is>
      </c>
      <c r="B26" t="inlineStr">
        <is>
          <t>Health Care</t>
        </is>
      </c>
      <c r="C26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27">
      <c r="A27" t="inlineStr">
        <is>
          <t>NKE</t>
        </is>
      </c>
      <c r="B27" t="inlineStr">
        <is>
          <t>Consumer Discretionary</t>
        </is>
      </c>
      <c r="C27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28">
      <c r="A28" t="inlineStr">
        <is>
          <t>ELS</t>
        </is>
      </c>
      <c r="B28" t="inlineStr">
        <is>
          <t>Real Estate</t>
        </is>
      </c>
      <c r="C28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29">
      <c r="A29" t="inlineStr">
        <is>
          <t>IVZ</t>
        </is>
      </c>
      <c r="B29" t="inlineStr">
        <is>
          <t>Financials</t>
        </is>
      </c>
      <c r="C29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30">
      <c r="A30" t="inlineStr">
        <is>
          <t>AMP</t>
        </is>
      </c>
      <c r="B30" t="inlineStr">
        <is>
          <t>Financials</t>
        </is>
      </c>
      <c r="C30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31">
      <c r="A31" t="inlineStr">
        <is>
          <t>ZBH</t>
        </is>
      </c>
      <c r="B31" t="inlineStr">
        <is>
          <t>Health Care</t>
        </is>
      </c>
      <c r="C31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32">
      <c r="A32" t="inlineStr">
        <is>
          <t>CEVA</t>
        </is>
      </c>
      <c r="B32" t="inlineStr">
        <is>
          <t>Information Technology</t>
        </is>
      </c>
      <c r="C32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33">
      <c r="A33" t="inlineStr">
        <is>
          <t>EHC</t>
        </is>
      </c>
      <c r="B33" t="inlineStr">
        <is>
          <t>Health Care</t>
        </is>
      </c>
      <c r="C33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34">
      <c r="A34" t="inlineStr">
        <is>
          <t>TOL</t>
        </is>
      </c>
      <c r="B34" t="inlineStr">
        <is>
          <t>Consumer Discretionary</t>
        </is>
      </c>
      <c r="C34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35">
      <c r="A35" t="inlineStr">
        <is>
          <t>CLX</t>
        </is>
      </c>
      <c r="B35" t="inlineStr">
        <is>
          <t>Consumer Staples</t>
        </is>
      </c>
      <c r="C35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36">
      <c r="A36" t="inlineStr">
        <is>
          <t>GRBK</t>
        </is>
      </c>
      <c r="B36" t="inlineStr">
        <is>
          <t>Consumer Discretionary</t>
        </is>
      </c>
      <c r="C36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37">
      <c r="A37" t="inlineStr">
        <is>
          <t>ED</t>
        </is>
      </c>
      <c r="B37" t="inlineStr">
        <is>
          <t>Utilities</t>
        </is>
      </c>
      <c r="C37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38">
      <c r="A38" t="inlineStr">
        <is>
          <t>GS</t>
        </is>
      </c>
      <c r="B38" t="inlineStr">
        <is>
          <t>Financials</t>
        </is>
      </c>
      <c r="C38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39">
      <c r="A39" t="inlineStr">
        <is>
          <t>INGR</t>
        </is>
      </c>
      <c r="B39" t="inlineStr">
        <is>
          <t>Consumer Staples</t>
        </is>
      </c>
      <c r="C39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40">
      <c r="A40" t="inlineStr">
        <is>
          <t>RCL</t>
        </is>
      </c>
      <c r="B40" t="inlineStr">
        <is>
          <t>Consumer Discretionary</t>
        </is>
      </c>
      <c r="C40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41">
      <c r="A41" t="inlineStr">
        <is>
          <t>CL</t>
        </is>
      </c>
      <c r="B41" t="inlineStr">
        <is>
          <t>Consumer Staples</t>
        </is>
      </c>
      <c r="C41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42">
      <c r="A42" t="inlineStr">
        <is>
          <t>LKQ</t>
        </is>
      </c>
      <c r="B42" t="inlineStr">
        <is>
          <t>Consumer Discretionary</t>
        </is>
      </c>
      <c r="C42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43">
      <c r="A43" t="inlineStr">
        <is>
          <t>FFIN</t>
        </is>
      </c>
      <c r="B43" t="inlineStr">
        <is>
          <t>Financials</t>
        </is>
      </c>
      <c r="C43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44">
      <c r="A44" t="inlineStr">
        <is>
          <t>ONTO</t>
        </is>
      </c>
      <c r="B44" t="inlineStr">
        <is>
          <t>Information Technology</t>
        </is>
      </c>
      <c r="C44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45">
      <c r="A45" t="inlineStr">
        <is>
          <t>PKG</t>
        </is>
      </c>
      <c r="B45" t="inlineStr">
        <is>
          <t>Materials</t>
        </is>
      </c>
      <c r="C45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46">
      <c r="A46" t="inlineStr">
        <is>
          <t>MU</t>
        </is>
      </c>
      <c r="B46" t="inlineStr">
        <is>
          <t>Information Technology</t>
        </is>
      </c>
      <c r="C46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47">
      <c r="A47" t="inlineStr">
        <is>
          <t>JAZZ</t>
        </is>
      </c>
      <c r="B47" t="inlineStr">
        <is>
          <t>Health Care</t>
        </is>
      </c>
      <c r="C47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48">
      <c r="A48" t="inlineStr">
        <is>
          <t>INTC</t>
        </is>
      </c>
      <c r="B48" t="inlineStr">
        <is>
          <t>Information Technology</t>
        </is>
      </c>
      <c r="C48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49">
      <c r="A49" t="inlineStr">
        <is>
          <t>STE</t>
        </is>
      </c>
      <c r="B49" t="inlineStr">
        <is>
          <t>Health Care</t>
        </is>
      </c>
      <c r="C49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50">
      <c r="A50" t="inlineStr">
        <is>
          <t>BMY</t>
        </is>
      </c>
      <c r="B50" t="inlineStr">
        <is>
          <t>Health Care</t>
        </is>
      </c>
      <c r="C50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51">
      <c r="A51" t="inlineStr">
        <is>
          <t>HRL</t>
        </is>
      </c>
      <c r="B51" t="inlineStr">
        <is>
          <t>Consumer Staples</t>
        </is>
      </c>
      <c r="C51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52">
      <c r="A52" t="inlineStr">
        <is>
          <t>BMRN</t>
        </is>
      </c>
      <c r="B52" t="inlineStr">
        <is>
          <t>Health Care</t>
        </is>
      </c>
      <c r="C52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53">
      <c r="A53" t="inlineStr">
        <is>
          <t>AMAT</t>
        </is>
      </c>
      <c r="B53" t="inlineStr">
        <is>
          <t>Information Technology</t>
        </is>
      </c>
      <c r="C53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54">
      <c r="A54" t="inlineStr">
        <is>
          <t>PCG</t>
        </is>
      </c>
      <c r="B54" t="inlineStr">
        <is>
          <t>Utilities</t>
        </is>
      </c>
      <c r="C54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55">
      <c r="A55" t="inlineStr">
        <is>
          <t>RS</t>
        </is>
      </c>
      <c r="B55" t="inlineStr">
        <is>
          <t>Materials</t>
        </is>
      </c>
      <c r="C55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56">
      <c r="A56" t="inlineStr">
        <is>
          <t>MKC</t>
        </is>
      </c>
      <c r="B56" t="inlineStr">
        <is>
          <t>Consumer Staples</t>
        </is>
      </c>
      <c r="C56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57">
      <c r="A57" t="inlineStr">
        <is>
          <t>JKHY</t>
        </is>
      </c>
      <c r="B57" t="inlineStr">
        <is>
          <t>Information Technology</t>
        </is>
      </c>
      <c r="C57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58">
      <c r="A58" t="inlineStr">
        <is>
          <t>CF</t>
        </is>
      </c>
      <c r="B58" t="inlineStr">
        <is>
          <t>Materials</t>
        </is>
      </c>
      <c r="C58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59">
      <c r="A59" t="inlineStr">
        <is>
          <t>PFE</t>
        </is>
      </c>
      <c r="B59" t="inlineStr">
        <is>
          <t>Health Care</t>
        </is>
      </c>
      <c r="C59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60">
      <c r="A60" t="inlineStr">
        <is>
          <t>AMGN</t>
        </is>
      </c>
      <c r="B60" t="inlineStr">
        <is>
          <t>Health Care</t>
        </is>
      </c>
      <c r="C60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61">
      <c r="A61" t="inlineStr">
        <is>
          <t>TDG</t>
        </is>
      </c>
      <c r="B61" t="inlineStr">
        <is>
          <t>Industrials</t>
        </is>
      </c>
      <c r="C61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62">
      <c r="A62" t="inlineStr">
        <is>
          <t>ETN</t>
        </is>
      </c>
      <c r="B62" t="inlineStr">
        <is>
          <t>Industrials</t>
        </is>
      </c>
      <c r="C62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63">
      <c r="A63" t="inlineStr">
        <is>
          <t>GILD</t>
        </is>
      </c>
      <c r="B63" t="inlineStr">
        <is>
          <t>Health Care</t>
        </is>
      </c>
      <c r="C63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64">
      <c r="A64" t="inlineStr">
        <is>
          <t>CARR</t>
        </is>
      </c>
      <c r="B64" t="inlineStr">
        <is>
          <t>Industrials</t>
        </is>
      </c>
      <c r="C64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65">
      <c r="A65" t="inlineStr">
        <is>
          <t>T</t>
        </is>
      </c>
      <c r="B65" t="inlineStr">
        <is>
          <t>Communication Services</t>
        </is>
      </c>
      <c r="C65" t="inlineStr">
        <is>
          <t>SECTOR CAVEATS FOR COMMUNICATION SERVICES:
  - Beneish DSRI: Multi-year contracts create naturally high AR — compare to deferred revenue balance
  - AQI (Beneish): Spectrum licenses and tower assets dominate — AQI reads high normally
  - Net Debt/EBITDA: Telecom 3-4x is normal and sustainable — standard threshold of 2.5x does not apply
  - Current Ratio: Subscriber deferred revenue boosts current liabilities — ratio often &lt;1x by design</t>
        </is>
      </c>
    </row>
    <row r="66">
      <c r="A66" t="inlineStr">
        <is>
          <t>ADI</t>
        </is>
      </c>
      <c r="B66" t="inlineStr">
        <is>
          <t>Information Technology</t>
        </is>
      </c>
      <c r="C66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67">
      <c r="A67" t="inlineStr">
        <is>
          <t>CPB</t>
        </is>
      </c>
      <c r="B67" t="inlineStr">
        <is>
          <t>Consumer Staples</t>
        </is>
      </c>
      <c r="C67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68">
      <c r="A68" t="inlineStr">
        <is>
          <t>FIX</t>
        </is>
      </c>
      <c r="B68" t="inlineStr">
        <is>
          <t>Industrials</t>
        </is>
      </c>
      <c r="C68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69">
      <c r="A69" t="inlineStr">
        <is>
          <t>MSFT</t>
        </is>
      </c>
      <c r="B69" t="inlineStr">
        <is>
          <t>Information Technology</t>
        </is>
      </c>
      <c r="C69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70">
      <c r="A70" t="inlineStr">
        <is>
          <t>FIVN</t>
        </is>
      </c>
      <c r="B70" t="inlineStr">
        <is>
          <t>Information Technology</t>
        </is>
      </c>
      <c r="C70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71">
      <c r="A71" t="inlineStr">
        <is>
          <t>WWD</t>
        </is>
      </c>
      <c r="B71" t="inlineStr">
        <is>
          <t>Industrials</t>
        </is>
      </c>
      <c r="C71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72">
      <c r="A72" t="inlineStr">
        <is>
          <t>CBRE</t>
        </is>
      </c>
      <c r="B72" t="inlineStr">
        <is>
          <t>Real Estate</t>
        </is>
      </c>
      <c r="C72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73">
      <c r="A73" t="inlineStr">
        <is>
          <t>WTW</t>
        </is>
      </c>
      <c r="B73" t="inlineStr">
        <is>
          <t>Financials</t>
        </is>
      </c>
      <c r="C73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74">
      <c r="A74" t="inlineStr">
        <is>
          <t>ITW</t>
        </is>
      </c>
      <c r="B74" t="inlineStr">
        <is>
          <t>Industrials</t>
        </is>
      </c>
      <c r="C74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75">
      <c r="A75" t="inlineStr">
        <is>
          <t>KTOS</t>
        </is>
      </c>
      <c r="B75" t="inlineStr">
        <is>
          <t>Industrials</t>
        </is>
      </c>
      <c r="C75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76">
      <c r="A76" t="inlineStr">
        <is>
          <t>CTVA</t>
        </is>
      </c>
      <c r="B76" t="inlineStr">
        <is>
          <t>Materials</t>
        </is>
      </c>
      <c r="C76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77">
      <c r="A77" t="inlineStr">
        <is>
          <t>ABM</t>
        </is>
      </c>
      <c r="B77" t="inlineStr">
        <is>
          <t>Industrials</t>
        </is>
      </c>
      <c r="C77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78">
      <c r="A78" t="inlineStr">
        <is>
          <t>ACLS</t>
        </is>
      </c>
      <c r="B78" t="inlineStr">
        <is>
          <t>Information Technology</t>
        </is>
      </c>
      <c r="C78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79">
      <c r="A79" t="inlineStr">
        <is>
          <t>RTX</t>
        </is>
      </c>
      <c r="B79" t="inlineStr">
        <is>
          <t>Industrials</t>
        </is>
      </c>
      <c r="C79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80">
      <c r="A80" t="inlineStr">
        <is>
          <t>RF</t>
        </is>
      </c>
      <c r="B80" t="inlineStr">
        <is>
          <t>Financials</t>
        </is>
      </c>
      <c r="C80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81">
      <c r="A81" t="inlineStr">
        <is>
          <t>WPC</t>
        </is>
      </c>
      <c r="B81" t="inlineStr">
        <is>
          <t>Real Estate</t>
        </is>
      </c>
      <c r="C81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82">
      <c r="A82" t="inlineStr">
        <is>
          <t>NMIH</t>
        </is>
      </c>
      <c r="B82" t="inlineStr">
        <is>
          <t>Financials</t>
        </is>
      </c>
      <c r="C82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83">
      <c r="A83" t="inlineStr">
        <is>
          <t>RPM</t>
        </is>
      </c>
      <c r="B83" t="inlineStr">
        <is>
          <t>Materials</t>
        </is>
      </c>
      <c r="C83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84">
      <c r="A84" t="inlineStr">
        <is>
          <t>WMB</t>
        </is>
      </c>
      <c r="B84" t="inlineStr">
        <is>
          <t>Energy</t>
        </is>
      </c>
      <c r="C84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85">
      <c r="A85" t="inlineStr">
        <is>
          <t>PCOR</t>
        </is>
      </c>
      <c r="B85" t="inlineStr">
        <is>
          <t>Information Technology</t>
        </is>
      </c>
      <c r="C85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86">
      <c r="A86" t="inlineStr">
        <is>
          <t>DGX</t>
        </is>
      </c>
      <c r="B86" t="inlineStr">
        <is>
          <t>Health Care</t>
        </is>
      </c>
      <c r="C86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87">
      <c r="A87" t="inlineStr">
        <is>
          <t>DLR</t>
        </is>
      </c>
      <c r="B87" t="inlineStr">
        <is>
          <t>Real Estate</t>
        </is>
      </c>
      <c r="C87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88">
      <c r="A88" t="inlineStr">
        <is>
          <t>KLAC</t>
        </is>
      </c>
      <c r="B88" t="inlineStr">
        <is>
          <t>Information Technology</t>
        </is>
      </c>
      <c r="C88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89">
      <c r="A89" t="inlineStr">
        <is>
          <t>IONS</t>
        </is>
      </c>
      <c r="B89" t="inlineStr">
        <is>
          <t>Health Care</t>
        </is>
      </c>
      <c r="C89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90">
      <c r="A90" t="inlineStr">
        <is>
          <t>F</t>
        </is>
      </c>
      <c r="B90" t="inlineStr">
        <is>
          <t>Consumer Discretionary</t>
        </is>
      </c>
      <c r="C90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91">
      <c r="A91" t="inlineStr">
        <is>
          <t>NTRS</t>
        </is>
      </c>
      <c r="B91" t="inlineStr">
        <is>
          <t>Financials</t>
        </is>
      </c>
      <c r="C91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92">
      <c r="A92" t="inlineStr">
        <is>
          <t>MNST</t>
        </is>
      </c>
      <c r="B92" t="inlineStr">
        <is>
          <t>Consumer Staples</t>
        </is>
      </c>
      <c r="C92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93">
      <c r="A93" t="inlineStr">
        <is>
          <t>PNW</t>
        </is>
      </c>
      <c r="B93" t="inlineStr">
        <is>
          <t>Utilities</t>
        </is>
      </c>
      <c r="C93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94">
      <c r="A94" t="inlineStr">
        <is>
          <t>CI</t>
        </is>
      </c>
      <c r="B94" t="inlineStr">
        <is>
          <t>Health Care</t>
        </is>
      </c>
      <c r="C94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95">
      <c r="A95" t="inlineStr">
        <is>
          <t>TREX</t>
        </is>
      </c>
      <c r="B95" t="inlineStr">
        <is>
          <t>Industrials</t>
        </is>
      </c>
      <c r="C95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96">
      <c r="A96" t="inlineStr">
        <is>
          <t>APA</t>
        </is>
      </c>
      <c r="B96" t="inlineStr">
        <is>
          <t>Energy</t>
        </is>
      </c>
      <c r="C96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97">
      <c r="A97" t="inlineStr">
        <is>
          <t>MCHP</t>
        </is>
      </c>
      <c r="B97" t="inlineStr">
        <is>
          <t>Information Technology</t>
        </is>
      </c>
      <c r="C97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98">
      <c r="A98" t="inlineStr">
        <is>
          <t>FORM</t>
        </is>
      </c>
      <c r="B98" t="inlineStr">
        <is>
          <t>Information Technology</t>
        </is>
      </c>
      <c r="C98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99">
      <c r="A99" t="inlineStr">
        <is>
          <t>WSM</t>
        </is>
      </c>
      <c r="B99" t="inlineStr">
        <is>
          <t>Consumer Discretionary</t>
        </is>
      </c>
      <c r="C99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100">
      <c r="A100" t="inlineStr">
        <is>
          <t>EFX</t>
        </is>
      </c>
      <c r="B100" t="inlineStr">
        <is>
          <t>Financials</t>
        </is>
      </c>
      <c r="C100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101">
      <c r="A101" t="inlineStr">
        <is>
          <t>AEP</t>
        </is>
      </c>
      <c r="B101" t="inlineStr">
        <is>
          <t>Utilities</t>
        </is>
      </c>
      <c r="C101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102">
      <c r="A102" t="inlineStr">
        <is>
          <t>NET</t>
        </is>
      </c>
      <c r="B102" t="inlineStr">
        <is>
          <t>Information Technology</t>
        </is>
      </c>
      <c r="C102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103">
      <c r="A103" t="inlineStr">
        <is>
          <t>MO</t>
        </is>
      </c>
      <c r="B103" t="inlineStr">
        <is>
          <t>Consumer Staples</t>
        </is>
      </c>
      <c r="C103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104">
      <c r="A104" t="inlineStr">
        <is>
          <t>EQIX</t>
        </is>
      </c>
      <c r="B104" t="inlineStr">
        <is>
          <t>Real Estate</t>
        </is>
      </c>
      <c r="C104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105">
      <c r="A105" t="inlineStr">
        <is>
          <t>ANF</t>
        </is>
      </c>
      <c r="B105" t="inlineStr">
        <is>
          <t>Consumer Discretionary</t>
        </is>
      </c>
      <c r="C105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106">
      <c r="A106" t="inlineStr">
        <is>
          <t>CFG</t>
        </is>
      </c>
      <c r="B106" t="inlineStr">
        <is>
          <t>Financials</t>
        </is>
      </c>
      <c r="C106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107">
      <c r="A107" t="inlineStr">
        <is>
          <t>IMCR</t>
        </is>
      </c>
      <c r="B107" t="inlineStr">
        <is>
          <t>Health Care</t>
        </is>
      </c>
      <c r="C107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108">
      <c r="A108" t="inlineStr">
        <is>
          <t>NHI</t>
        </is>
      </c>
      <c r="B108" t="inlineStr">
        <is>
          <t>Real Estate</t>
        </is>
      </c>
      <c r="C108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109">
      <c r="A109" t="inlineStr">
        <is>
          <t>NXPI</t>
        </is>
      </c>
      <c r="B109" t="inlineStr">
        <is>
          <t>Information Technology</t>
        </is>
      </c>
      <c r="C109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110">
      <c r="A110" t="inlineStr">
        <is>
          <t>RBC</t>
        </is>
      </c>
      <c r="B110" t="inlineStr">
        <is>
          <t>Industrials</t>
        </is>
      </c>
      <c r="C110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111">
      <c r="A111" t="inlineStr">
        <is>
          <t>IMVT</t>
        </is>
      </c>
      <c r="B111" t="inlineStr">
        <is>
          <t>Health Care</t>
        </is>
      </c>
      <c r="C111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112">
      <c r="A112" t="inlineStr">
        <is>
          <t>MOS</t>
        </is>
      </c>
      <c r="B112" t="inlineStr">
        <is>
          <t>Materials</t>
        </is>
      </c>
      <c r="C112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113">
      <c r="A113" t="inlineStr">
        <is>
          <t>AWK</t>
        </is>
      </c>
      <c r="B113" t="inlineStr">
        <is>
          <t>Utilities</t>
        </is>
      </c>
      <c r="C113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114">
      <c r="A114" t="inlineStr">
        <is>
          <t>ESNT</t>
        </is>
      </c>
      <c r="B114" t="inlineStr">
        <is>
          <t>Financials</t>
        </is>
      </c>
      <c r="C114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115">
      <c r="A115" t="inlineStr">
        <is>
          <t>EVRG</t>
        </is>
      </c>
      <c r="B115" t="inlineStr">
        <is>
          <t>Utilities</t>
        </is>
      </c>
      <c r="C115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116">
      <c r="A116" t="inlineStr">
        <is>
          <t>SRE</t>
        </is>
      </c>
      <c r="B116" t="inlineStr">
        <is>
          <t>Utilities</t>
        </is>
      </c>
      <c r="C116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117">
      <c r="A117" t="inlineStr">
        <is>
          <t>RJF</t>
        </is>
      </c>
      <c r="B117" t="inlineStr">
        <is>
          <t>Financials</t>
        </is>
      </c>
      <c r="C117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118">
      <c r="A118" t="inlineStr">
        <is>
          <t>NCLH</t>
        </is>
      </c>
      <c r="B118" t="inlineStr">
        <is>
          <t>Consumer Discretionary</t>
        </is>
      </c>
      <c r="C118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119">
      <c r="A119" t="inlineStr">
        <is>
          <t>GLW</t>
        </is>
      </c>
      <c r="B119" t="inlineStr">
        <is>
          <t>Information Technology</t>
        </is>
      </c>
      <c r="C119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120">
      <c r="A120" t="inlineStr">
        <is>
          <t>AMCR</t>
        </is>
      </c>
      <c r="B120" t="inlineStr">
        <is>
          <t>Materials</t>
        </is>
      </c>
      <c r="C120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121">
      <c r="A121" t="inlineStr">
        <is>
          <t>QCOM</t>
        </is>
      </c>
      <c r="B121" t="inlineStr">
        <is>
          <t>Information Technology</t>
        </is>
      </c>
      <c r="C121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122">
      <c r="A122" t="inlineStr">
        <is>
          <t>AAP</t>
        </is>
      </c>
      <c r="B122" t="inlineStr">
        <is>
          <t>Consumer Discretionary</t>
        </is>
      </c>
      <c r="C122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123">
      <c r="A123" t="inlineStr">
        <is>
          <t>LYB</t>
        </is>
      </c>
      <c r="B123" t="inlineStr">
        <is>
          <t>Materials</t>
        </is>
      </c>
      <c r="C123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124">
      <c r="A124" t="inlineStr">
        <is>
          <t>VZ</t>
        </is>
      </c>
      <c r="B124" t="inlineStr">
        <is>
          <t>Communication Services</t>
        </is>
      </c>
      <c r="C124" t="inlineStr">
        <is>
          <t>SECTOR CAVEATS FOR COMMUNICATION SERVICES:
  - Beneish DSRI: Multi-year contracts create naturally high AR — compare to deferred revenue balance
  - AQI (Beneish): Spectrum licenses and tower assets dominate — AQI reads high normally
  - Net Debt/EBITDA: Telecom 3-4x is normal and sustainable — standard threshold of 2.5x does not apply
  - Current Ratio: Subscriber deferred revenue boosts current liabilities — ratio often &lt;1x by design</t>
        </is>
      </c>
    </row>
    <row r="125">
      <c r="A125" t="inlineStr">
        <is>
          <t>PLD</t>
        </is>
      </c>
      <c r="B125" t="inlineStr">
        <is>
          <t>Real Estate</t>
        </is>
      </c>
      <c r="C125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126">
      <c r="A126" t="inlineStr">
        <is>
          <t>TRGP</t>
        </is>
      </c>
      <c r="B126" t="inlineStr">
        <is>
          <t>Energy</t>
        </is>
      </c>
      <c r="C126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127">
      <c r="A127" t="inlineStr">
        <is>
          <t>PANW</t>
        </is>
      </c>
      <c r="B127" t="inlineStr">
        <is>
          <t>Information Technology</t>
        </is>
      </c>
      <c r="C127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128">
      <c r="A128" t="inlineStr">
        <is>
          <t>MEDP</t>
        </is>
      </c>
      <c r="B128" t="inlineStr">
        <is>
          <t>Health Care</t>
        </is>
      </c>
      <c r="C128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129">
      <c r="A129" t="inlineStr">
        <is>
          <t>BJRI</t>
        </is>
      </c>
      <c r="B129" t="inlineStr">
        <is>
          <t>Consumer Discretionary</t>
        </is>
      </c>
      <c r="C129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130">
      <c r="A130" t="inlineStr">
        <is>
          <t>GLPI</t>
        </is>
      </c>
      <c r="B130" t="inlineStr">
        <is>
          <t>Real Estate</t>
        </is>
      </c>
      <c r="C130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131">
      <c r="A131" t="inlineStr">
        <is>
          <t>EBAY</t>
        </is>
      </c>
      <c r="B131" t="inlineStr">
        <is>
          <t>Consumer Discretionary</t>
        </is>
      </c>
      <c r="C131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132">
      <c r="A132" t="inlineStr">
        <is>
          <t>MSA</t>
        </is>
      </c>
      <c r="B132" t="inlineStr">
        <is>
          <t>Industrials</t>
        </is>
      </c>
      <c r="C132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133">
      <c r="A133" t="inlineStr">
        <is>
          <t>NOC</t>
        </is>
      </c>
      <c r="B133" t="inlineStr">
        <is>
          <t>Industrials</t>
        </is>
      </c>
      <c r="C133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134">
      <c r="A134" t="inlineStr">
        <is>
          <t>V</t>
        </is>
      </c>
      <c r="B134" t="inlineStr">
        <is>
          <t>Financials</t>
        </is>
      </c>
      <c r="C134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135">
      <c r="A135" t="inlineStr">
        <is>
          <t>MDT</t>
        </is>
      </c>
      <c r="B135" t="inlineStr">
        <is>
          <t>Health Care</t>
        </is>
      </c>
      <c r="C135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136">
      <c r="A136" t="inlineStr">
        <is>
          <t>WDC</t>
        </is>
      </c>
      <c r="B136" t="inlineStr">
        <is>
          <t>Information Technology</t>
        </is>
      </c>
      <c r="C136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137">
      <c r="A137" t="inlineStr">
        <is>
          <t>OPEN</t>
        </is>
      </c>
      <c r="B137" t="inlineStr">
        <is>
          <t>Consumer Discretionary</t>
        </is>
      </c>
      <c r="C137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138">
      <c r="A138" t="inlineStr">
        <is>
          <t>RHI</t>
        </is>
      </c>
      <c r="B138" t="inlineStr">
        <is>
          <t>Industrials</t>
        </is>
      </c>
      <c r="C138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139">
      <c r="A139" t="inlineStr">
        <is>
          <t>RCKT</t>
        </is>
      </c>
      <c r="B139" t="inlineStr">
        <is>
          <t>Health Care</t>
        </is>
      </c>
      <c r="C139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140">
      <c r="A140" t="inlineStr">
        <is>
          <t>PSA</t>
        </is>
      </c>
      <c r="B140" t="inlineStr">
        <is>
          <t>Real Estate</t>
        </is>
      </c>
      <c r="C140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141">
      <c r="A141" t="inlineStr">
        <is>
          <t>ONB</t>
        </is>
      </c>
      <c r="B141" t="inlineStr">
        <is>
          <t>Financials</t>
        </is>
      </c>
      <c r="C141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142">
      <c r="A142" t="inlineStr">
        <is>
          <t>CMI</t>
        </is>
      </c>
      <c r="B142" t="inlineStr">
        <is>
          <t>Industrials</t>
        </is>
      </c>
      <c r="C142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143">
      <c r="A143" t="inlineStr">
        <is>
          <t>WTFC</t>
        </is>
      </c>
      <c r="B143" t="inlineStr">
        <is>
          <t>Financials</t>
        </is>
      </c>
      <c r="C143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144">
      <c r="A144" t="inlineStr">
        <is>
          <t>MSTR</t>
        </is>
      </c>
      <c r="B144" t="inlineStr">
        <is>
          <t>Information Technology</t>
        </is>
      </c>
      <c r="C144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145">
      <c r="A145" t="inlineStr">
        <is>
          <t>IP</t>
        </is>
      </c>
      <c r="B145" t="inlineStr">
        <is>
          <t>Materials</t>
        </is>
      </c>
      <c r="C145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146">
      <c r="A146" t="inlineStr">
        <is>
          <t>ALL</t>
        </is>
      </c>
      <c r="B146" t="inlineStr">
        <is>
          <t>Financials</t>
        </is>
      </c>
      <c r="C146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147">
      <c r="A147" t="inlineStr">
        <is>
          <t>WAT</t>
        </is>
      </c>
      <c r="B147" t="inlineStr">
        <is>
          <t>Health Care</t>
        </is>
      </c>
      <c r="C147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148">
      <c r="A148" t="inlineStr">
        <is>
          <t>NEE</t>
        </is>
      </c>
      <c r="B148" t="inlineStr">
        <is>
          <t>Utilities</t>
        </is>
      </c>
      <c r="C148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149">
      <c r="A149" t="inlineStr">
        <is>
          <t>PAYX</t>
        </is>
      </c>
      <c r="B149" t="inlineStr">
        <is>
          <t>Financials</t>
        </is>
      </c>
      <c r="C149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150">
      <c r="A150" t="inlineStr">
        <is>
          <t>AFL</t>
        </is>
      </c>
      <c r="B150" t="inlineStr">
        <is>
          <t>Financials</t>
        </is>
      </c>
      <c r="C150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151">
      <c r="A151" t="inlineStr">
        <is>
          <t>SMCI</t>
        </is>
      </c>
      <c r="B151" t="inlineStr">
        <is>
          <t>Information Technology</t>
        </is>
      </c>
      <c r="C151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152">
      <c r="A152" t="inlineStr">
        <is>
          <t>EW</t>
        </is>
      </c>
      <c r="B152" t="inlineStr">
        <is>
          <t>Health Care</t>
        </is>
      </c>
      <c r="C152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153">
      <c r="A153" t="inlineStr">
        <is>
          <t>CACI</t>
        </is>
      </c>
      <c r="B153" t="inlineStr">
        <is>
          <t>Industrials</t>
        </is>
      </c>
      <c r="C153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154">
      <c r="A154" t="inlineStr">
        <is>
          <t>ROP</t>
        </is>
      </c>
      <c r="B154" t="inlineStr">
        <is>
          <t>Industrials</t>
        </is>
      </c>
      <c r="C154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155">
      <c r="A155" t="inlineStr">
        <is>
          <t>TXRH</t>
        </is>
      </c>
      <c r="B155" t="inlineStr">
        <is>
          <t>Consumer Discretionary</t>
        </is>
      </c>
      <c r="C155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156">
      <c r="A156" t="inlineStr">
        <is>
          <t>AXON</t>
        </is>
      </c>
      <c r="B156" t="inlineStr">
        <is>
          <t>Information Technology</t>
        </is>
      </c>
      <c r="C156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157">
      <c r="A157" t="inlineStr">
        <is>
          <t>LOW</t>
        </is>
      </c>
      <c r="B157" t="inlineStr">
        <is>
          <t>Consumer Discretionary</t>
        </is>
      </c>
      <c r="C157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158">
      <c r="A158" t="inlineStr">
        <is>
          <t>ARQT</t>
        </is>
      </c>
      <c r="B158" t="inlineStr">
        <is>
          <t>Health Care</t>
        </is>
      </c>
      <c r="C158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159">
      <c r="A159" t="inlineStr">
        <is>
          <t>GVA</t>
        </is>
      </c>
      <c r="B159" t="inlineStr">
        <is>
          <t>Industrials</t>
        </is>
      </c>
      <c r="C159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160">
      <c r="A160" t="inlineStr">
        <is>
          <t>TRV</t>
        </is>
      </c>
      <c r="B160" t="inlineStr">
        <is>
          <t>Financials</t>
        </is>
      </c>
      <c r="C160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161">
      <c r="A161" t="inlineStr">
        <is>
          <t>USB</t>
        </is>
      </c>
      <c r="B161" t="inlineStr">
        <is>
          <t>Financials</t>
        </is>
      </c>
      <c r="C161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162">
      <c r="A162" t="inlineStr">
        <is>
          <t>AZO</t>
        </is>
      </c>
      <c r="B162" t="inlineStr">
        <is>
          <t>Consumer Discretionary</t>
        </is>
      </c>
      <c r="C162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163">
      <c r="A163" t="inlineStr">
        <is>
          <t>PPL</t>
        </is>
      </c>
      <c r="B163" t="inlineStr">
        <is>
          <t>Utilities</t>
        </is>
      </c>
      <c r="C163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164">
      <c r="A164" t="inlineStr">
        <is>
          <t>MET</t>
        </is>
      </c>
      <c r="B164" t="inlineStr">
        <is>
          <t>Financials</t>
        </is>
      </c>
      <c r="C164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165">
      <c r="A165" t="inlineStr">
        <is>
          <t>TER</t>
        </is>
      </c>
      <c r="B165" t="inlineStr">
        <is>
          <t>Information Technology</t>
        </is>
      </c>
      <c r="C165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166">
      <c r="A166" t="inlineStr">
        <is>
          <t>CAH</t>
        </is>
      </c>
      <c r="B166" t="inlineStr">
        <is>
          <t>Health Care</t>
        </is>
      </c>
      <c r="C166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167">
      <c r="A167" t="inlineStr">
        <is>
          <t>MDB</t>
        </is>
      </c>
      <c r="B167" t="inlineStr">
        <is>
          <t>Information Technology</t>
        </is>
      </c>
      <c r="C167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168">
      <c r="A168" t="inlineStr">
        <is>
          <t>ETR</t>
        </is>
      </c>
      <c r="B168" t="inlineStr">
        <is>
          <t>Utilities</t>
        </is>
      </c>
      <c r="C168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169">
      <c r="A169" t="inlineStr">
        <is>
          <t>RH</t>
        </is>
      </c>
      <c r="B169" t="inlineStr">
        <is>
          <t>Consumer Discretionary</t>
        </is>
      </c>
      <c r="C169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170">
      <c r="A170" t="inlineStr">
        <is>
          <t>ATR</t>
        </is>
      </c>
      <c r="B170" t="inlineStr">
        <is>
          <t>Materials</t>
        </is>
      </c>
      <c r="C170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171">
      <c r="A171" t="inlineStr">
        <is>
          <t>VLO</t>
        </is>
      </c>
      <c r="B171" t="inlineStr">
        <is>
          <t>Energy</t>
        </is>
      </c>
      <c r="C171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172">
      <c r="A172" t="inlineStr">
        <is>
          <t>NUE</t>
        </is>
      </c>
      <c r="B172" t="inlineStr">
        <is>
          <t>Materials</t>
        </is>
      </c>
      <c r="C172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173">
      <c r="A173" t="inlineStr">
        <is>
          <t>MCO</t>
        </is>
      </c>
      <c r="B173" t="inlineStr">
        <is>
          <t>Financials</t>
        </is>
      </c>
      <c r="C173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174">
      <c r="A174" t="inlineStr">
        <is>
          <t>NVT</t>
        </is>
      </c>
      <c r="B174" t="inlineStr">
        <is>
          <t>Industrials</t>
        </is>
      </c>
      <c r="C174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175">
      <c r="A175" t="inlineStr">
        <is>
          <t>VRTX</t>
        </is>
      </c>
      <c r="B175" t="inlineStr">
        <is>
          <t>Health Care</t>
        </is>
      </c>
      <c r="C175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176">
      <c r="A176" t="inlineStr">
        <is>
          <t>ECL</t>
        </is>
      </c>
      <c r="B176" t="inlineStr">
        <is>
          <t>Materials</t>
        </is>
      </c>
      <c r="C176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177">
      <c r="A177" t="inlineStr">
        <is>
          <t>EMN</t>
        </is>
      </c>
      <c r="B177" t="inlineStr">
        <is>
          <t>Materials</t>
        </is>
      </c>
      <c r="C177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178">
      <c r="A178" t="inlineStr">
        <is>
          <t>PCVX</t>
        </is>
      </c>
      <c r="B178" t="inlineStr">
        <is>
          <t>Health Care</t>
        </is>
      </c>
      <c r="C178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179">
      <c r="A179" t="inlineStr">
        <is>
          <t>BLK</t>
        </is>
      </c>
      <c r="B179" t="inlineStr">
        <is>
          <t>Financials</t>
        </is>
      </c>
      <c r="C179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180">
      <c r="A180" t="inlineStr">
        <is>
          <t>DTE</t>
        </is>
      </c>
      <c r="B180" t="inlineStr">
        <is>
          <t>Utilities</t>
        </is>
      </c>
      <c r="C180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181">
      <c r="A181" t="inlineStr">
        <is>
          <t>GTLS</t>
        </is>
      </c>
      <c r="B181" t="inlineStr">
        <is>
          <t>Energy</t>
        </is>
      </c>
      <c r="C181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182">
      <c r="A182" t="inlineStr">
        <is>
          <t>HLT</t>
        </is>
      </c>
      <c r="B182" t="inlineStr">
        <is>
          <t>Consumer Discretionary</t>
        </is>
      </c>
      <c r="C182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183">
      <c r="A183" t="inlineStr">
        <is>
          <t>WEC</t>
        </is>
      </c>
      <c r="B183" t="inlineStr">
        <is>
          <t>Utilities</t>
        </is>
      </c>
      <c r="C183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184">
      <c r="A184" t="inlineStr">
        <is>
          <t>CRS</t>
        </is>
      </c>
      <c r="B184" t="inlineStr">
        <is>
          <t>Industrials</t>
        </is>
      </c>
      <c r="C184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185">
      <c r="A185" t="inlineStr">
        <is>
          <t>HII</t>
        </is>
      </c>
      <c r="B185" t="inlineStr">
        <is>
          <t>Industrials</t>
        </is>
      </c>
      <c r="C185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186">
      <c r="A186" t="inlineStr">
        <is>
          <t>TSLA</t>
        </is>
      </c>
      <c r="B186" t="inlineStr">
        <is>
          <t>Consumer Discretionary</t>
        </is>
      </c>
      <c r="C186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187">
      <c r="A187" t="inlineStr">
        <is>
          <t>IIPR</t>
        </is>
      </c>
      <c r="B187" t="inlineStr">
        <is>
          <t>Real Estate</t>
        </is>
      </c>
      <c r="C187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188">
      <c r="A188" t="inlineStr">
        <is>
          <t>MRVL</t>
        </is>
      </c>
      <c r="B188" t="inlineStr">
        <is>
          <t>Information Technology</t>
        </is>
      </c>
      <c r="C188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189">
      <c r="A189" t="inlineStr">
        <is>
          <t>CFR</t>
        </is>
      </c>
      <c r="B189" t="inlineStr">
        <is>
          <t>Financials</t>
        </is>
      </c>
      <c r="C189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190">
      <c r="A190" t="inlineStr">
        <is>
          <t>OKE</t>
        </is>
      </c>
      <c r="B190" t="inlineStr">
        <is>
          <t>Energy</t>
        </is>
      </c>
      <c r="C190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191">
      <c r="A191" t="inlineStr">
        <is>
          <t>HUBS</t>
        </is>
      </c>
      <c r="B191" t="inlineStr">
        <is>
          <t>Information Technology</t>
        </is>
      </c>
      <c r="C191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192">
      <c r="A192" t="inlineStr">
        <is>
          <t>ZION</t>
        </is>
      </c>
      <c r="B192" t="inlineStr">
        <is>
          <t>Financials</t>
        </is>
      </c>
      <c r="C192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193">
      <c r="A193" t="inlineStr">
        <is>
          <t>CCK</t>
        </is>
      </c>
      <c r="B193" t="inlineStr">
        <is>
          <t>Materials</t>
        </is>
      </c>
      <c r="C193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194">
      <c r="A194" t="inlineStr">
        <is>
          <t>APH</t>
        </is>
      </c>
      <c r="B194" t="inlineStr">
        <is>
          <t>Information Technology</t>
        </is>
      </c>
      <c r="C194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195">
      <c r="A195" t="inlineStr">
        <is>
          <t>BAH</t>
        </is>
      </c>
      <c r="B195" t="inlineStr">
        <is>
          <t>Industrials</t>
        </is>
      </c>
      <c r="C195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196">
      <c r="A196" t="inlineStr">
        <is>
          <t>MS</t>
        </is>
      </c>
      <c r="B196" t="inlineStr">
        <is>
          <t>Financials</t>
        </is>
      </c>
      <c r="C196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197">
      <c r="A197" t="inlineStr">
        <is>
          <t>CUBE</t>
        </is>
      </c>
      <c r="B197" t="inlineStr">
        <is>
          <t>Real Estate</t>
        </is>
      </c>
      <c r="C197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198">
      <c r="A198" t="inlineStr">
        <is>
          <t>FTI</t>
        </is>
      </c>
      <c r="B198" t="inlineStr">
        <is>
          <t>Energy</t>
        </is>
      </c>
      <c r="C198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199">
      <c r="A199" t="inlineStr">
        <is>
          <t>TROW</t>
        </is>
      </c>
      <c r="B199" t="inlineStr">
        <is>
          <t>Financials</t>
        </is>
      </c>
      <c r="C199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200">
      <c r="A200" t="inlineStr">
        <is>
          <t>DIOD</t>
        </is>
      </c>
      <c r="B200" t="inlineStr">
        <is>
          <t>Information Technology</t>
        </is>
      </c>
      <c r="C200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201">
      <c r="A201" t="inlineStr">
        <is>
          <t>ABT</t>
        </is>
      </c>
      <c r="B201" t="inlineStr">
        <is>
          <t>Health Care</t>
        </is>
      </c>
      <c r="C201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202">
      <c r="A202" t="inlineStr">
        <is>
          <t>DAN</t>
        </is>
      </c>
      <c r="B202" t="inlineStr">
        <is>
          <t>Consumer Discretionary</t>
        </is>
      </c>
      <c r="C202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203">
      <c r="A203" t="inlineStr">
        <is>
          <t>POOL</t>
        </is>
      </c>
      <c r="B203" t="inlineStr">
        <is>
          <t>Consumer Discretionary</t>
        </is>
      </c>
      <c r="C203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204">
      <c r="A204" t="inlineStr">
        <is>
          <t>RGLD</t>
        </is>
      </c>
      <c r="B204" t="inlineStr">
        <is>
          <t>Materials</t>
        </is>
      </c>
      <c r="C204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205">
      <c r="A205" t="inlineStr">
        <is>
          <t>DUK</t>
        </is>
      </c>
      <c r="B205" t="inlineStr">
        <is>
          <t>Utilities</t>
        </is>
      </c>
      <c r="C205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206">
      <c r="A206" t="inlineStr">
        <is>
          <t>HSY</t>
        </is>
      </c>
      <c r="B206" t="inlineStr">
        <is>
          <t>Consumer Staples</t>
        </is>
      </c>
      <c r="C206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207">
      <c r="A207" t="inlineStr">
        <is>
          <t>WOLF</t>
        </is>
      </c>
      <c r="B207" t="inlineStr">
        <is>
          <t>Materials</t>
        </is>
      </c>
      <c r="C207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208">
      <c r="A208" t="inlineStr">
        <is>
          <t>NCNO</t>
        </is>
      </c>
      <c r="B208" t="inlineStr">
        <is>
          <t>Information Technology</t>
        </is>
      </c>
      <c r="C208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209">
      <c r="A209" t="inlineStr">
        <is>
          <t>PVH</t>
        </is>
      </c>
      <c r="B209" t="inlineStr">
        <is>
          <t>Consumer Discretionary</t>
        </is>
      </c>
      <c r="C209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210">
      <c r="A210" t="inlineStr">
        <is>
          <t>TGT</t>
        </is>
      </c>
      <c r="B210" t="inlineStr">
        <is>
          <t>Consumer Discretionary</t>
        </is>
      </c>
      <c r="C210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211">
      <c r="A211" t="inlineStr">
        <is>
          <t>J</t>
        </is>
      </c>
      <c r="B211" t="inlineStr">
        <is>
          <t>Industrials</t>
        </is>
      </c>
      <c r="C211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212">
      <c r="A212" t="inlineStr">
        <is>
          <t>XPO</t>
        </is>
      </c>
      <c r="B212" t="inlineStr">
        <is>
          <t>Industrials</t>
        </is>
      </c>
      <c r="C212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213">
      <c r="A213" t="inlineStr">
        <is>
          <t>CLF</t>
        </is>
      </c>
      <c r="B213" t="inlineStr">
        <is>
          <t>Materials</t>
        </is>
      </c>
      <c r="C213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214">
      <c r="A214" t="inlineStr">
        <is>
          <t>DHR</t>
        </is>
      </c>
      <c r="B214" t="inlineStr">
        <is>
          <t>Health Care</t>
        </is>
      </c>
      <c r="C214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215">
      <c r="A215" t="inlineStr">
        <is>
          <t>AGEN</t>
        </is>
      </c>
      <c r="B215" t="inlineStr">
        <is>
          <t>Health Care</t>
        </is>
      </c>
      <c r="C215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216">
      <c r="A216" t="inlineStr">
        <is>
          <t>AIZ</t>
        </is>
      </c>
      <c r="B216" t="inlineStr">
        <is>
          <t>Financials</t>
        </is>
      </c>
      <c r="C216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217">
      <c r="A217" t="inlineStr">
        <is>
          <t>FDX</t>
        </is>
      </c>
      <c r="B217" t="inlineStr">
        <is>
          <t>Industrials</t>
        </is>
      </c>
      <c r="C217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218">
      <c r="A218" t="inlineStr">
        <is>
          <t>CVS</t>
        </is>
      </c>
      <c r="B218" t="inlineStr">
        <is>
          <t>Health Care</t>
        </is>
      </c>
      <c r="C218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219">
      <c r="A219" t="inlineStr">
        <is>
          <t>JPM</t>
        </is>
      </c>
      <c r="B219" t="inlineStr">
        <is>
          <t>Financials</t>
        </is>
      </c>
      <c r="C219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220">
      <c r="A220" t="inlineStr">
        <is>
          <t>HOOD</t>
        </is>
      </c>
      <c r="B220" t="inlineStr">
        <is>
          <t>Financials</t>
        </is>
      </c>
      <c r="C220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221">
      <c r="A221" t="inlineStr">
        <is>
          <t>BWXT</t>
        </is>
      </c>
      <c r="B221" t="inlineStr">
        <is>
          <t>Industrials</t>
        </is>
      </c>
      <c r="C221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222">
      <c r="A222" t="inlineStr">
        <is>
          <t>DDOG</t>
        </is>
      </c>
      <c r="B222" t="inlineStr">
        <is>
          <t>Information Technology</t>
        </is>
      </c>
      <c r="C222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223">
      <c r="A223" t="inlineStr">
        <is>
          <t>PLAY</t>
        </is>
      </c>
      <c r="B223" t="inlineStr">
        <is>
          <t>Consumer Discretionary</t>
        </is>
      </c>
      <c r="C223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224">
      <c r="A224" t="inlineStr">
        <is>
          <t>CMC</t>
        </is>
      </c>
      <c r="B224" t="inlineStr">
        <is>
          <t>Materials</t>
        </is>
      </c>
      <c r="C224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225">
      <c r="A225" t="inlineStr">
        <is>
          <t>BK</t>
        </is>
      </c>
      <c r="B225" t="inlineStr">
        <is>
          <t>Financials</t>
        </is>
      </c>
      <c r="C225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226">
      <c r="A226" t="inlineStr">
        <is>
          <t>QSR</t>
        </is>
      </c>
      <c r="B226" t="inlineStr">
        <is>
          <t>Consumer Discretionary</t>
        </is>
      </c>
      <c r="C226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227">
      <c r="A227" t="inlineStr">
        <is>
          <t>RSG</t>
        </is>
      </c>
      <c r="B227" t="inlineStr">
        <is>
          <t>Industrials</t>
        </is>
      </c>
      <c r="C227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228">
      <c r="A228" t="inlineStr">
        <is>
          <t>AR</t>
        </is>
      </c>
      <c r="B228" t="inlineStr">
        <is>
          <t>Energy</t>
        </is>
      </c>
      <c r="C228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229">
      <c r="A229" t="inlineStr">
        <is>
          <t>PI</t>
        </is>
      </c>
      <c r="B229" t="inlineStr">
        <is>
          <t>Information Technology</t>
        </is>
      </c>
      <c r="C229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230">
      <c r="A230" t="inlineStr">
        <is>
          <t>WM</t>
        </is>
      </c>
      <c r="B230" t="inlineStr">
        <is>
          <t>Industrials</t>
        </is>
      </c>
      <c r="C230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231">
      <c r="A231" t="inlineStr">
        <is>
          <t>CNC</t>
        </is>
      </c>
      <c r="B231" t="inlineStr">
        <is>
          <t>Health Care</t>
        </is>
      </c>
      <c r="C231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232">
      <c r="A232" t="inlineStr">
        <is>
          <t>COP</t>
        </is>
      </c>
      <c r="B232" t="inlineStr">
        <is>
          <t>Energy</t>
        </is>
      </c>
      <c r="C232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233">
      <c r="A233" t="inlineStr">
        <is>
          <t>FANG</t>
        </is>
      </c>
      <c r="B233" t="inlineStr">
        <is>
          <t>Energy</t>
        </is>
      </c>
      <c r="C233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234">
      <c r="A234" t="inlineStr">
        <is>
          <t>LEN</t>
        </is>
      </c>
      <c r="B234" t="inlineStr">
        <is>
          <t>Consumer Discretionary</t>
        </is>
      </c>
      <c r="C234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235">
      <c r="A235" t="inlineStr">
        <is>
          <t>SPGI</t>
        </is>
      </c>
      <c r="B235" t="inlineStr">
        <is>
          <t>Financials</t>
        </is>
      </c>
      <c r="C235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236">
      <c r="A236" t="inlineStr">
        <is>
          <t>KNX</t>
        </is>
      </c>
      <c r="B236" t="inlineStr">
        <is>
          <t>Industrials</t>
        </is>
      </c>
      <c r="C236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237">
      <c r="A237" t="inlineStr">
        <is>
          <t>BA</t>
        </is>
      </c>
      <c r="B237" t="inlineStr">
        <is>
          <t>Industrials</t>
        </is>
      </c>
      <c r="C237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238">
      <c r="A238" t="inlineStr">
        <is>
          <t>RRX</t>
        </is>
      </c>
      <c r="B238" t="inlineStr">
        <is>
          <t>Industrials</t>
        </is>
      </c>
      <c r="C238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239">
      <c r="A239" t="inlineStr">
        <is>
          <t>VST</t>
        </is>
      </c>
      <c r="B239" t="inlineStr">
        <is>
          <t>Energy</t>
        </is>
      </c>
      <c r="C239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240">
      <c r="A240" t="inlineStr">
        <is>
          <t>TT</t>
        </is>
      </c>
      <c r="B240" t="inlineStr">
        <is>
          <t>Industrials</t>
        </is>
      </c>
      <c r="C240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241">
      <c r="A241" t="inlineStr">
        <is>
          <t>HOMB</t>
        </is>
      </c>
      <c r="B241" t="inlineStr">
        <is>
          <t>Financials</t>
        </is>
      </c>
      <c r="C241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242">
      <c r="A242" t="inlineStr">
        <is>
          <t>BR</t>
        </is>
      </c>
      <c r="B242" t="inlineStr">
        <is>
          <t>Financials</t>
        </is>
      </c>
      <c r="C242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243">
      <c r="A243" t="inlineStr">
        <is>
          <t>FNF</t>
        </is>
      </c>
      <c r="B243" t="inlineStr">
        <is>
          <t>Financials</t>
        </is>
      </c>
      <c r="C243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244">
      <c r="A244" t="inlineStr">
        <is>
          <t>CTSH</t>
        </is>
      </c>
      <c r="B244" t="inlineStr">
        <is>
          <t>Information Technology</t>
        </is>
      </c>
      <c r="C244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245">
      <c r="A245" t="inlineStr">
        <is>
          <t>LULU</t>
        </is>
      </c>
      <c r="B245" t="inlineStr">
        <is>
          <t>Consumer Discretionary</t>
        </is>
      </c>
      <c r="C245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246">
      <c r="A246" t="inlineStr">
        <is>
          <t>KMI</t>
        </is>
      </c>
      <c r="B246" t="inlineStr">
        <is>
          <t>Energy</t>
        </is>
      </c>
      <c r="C246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247">
      <c r="A247" t="inlineStr">
        <is>
          <t>PPG</t>
        </is>
      </c>
      <c r="B247" t="inlineStr">
        <is>
          <t>Materials</t>
        </is>
      </c>
      <c r="C247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248">
      <c r="A248" t="inlineStr">
        <is>
          <t>OGE</t>
        </is>
      </c>
      <c r="B248" t="inlineStr">
        <is>
          <t>Utilities</t>
        </is>
      </c>
      <c r="C248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249">
      <c r="A249" t="inlineStr">
        <is>
          <t>BKNG</t>
        </is>
      </c>
      <c r="B249" t="inlineStr">
        <is>
          <t>Consumer Discretionary</t>
        </is>
      </c>
      <c r="C249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250">
      <c r="A250" t="inlineStr">
        <is>
          <t>SCHW</t>
        </is>
      </c>
      <c r="B250" t="inlineStr">
        <is>
          <t>Financials</t>
        </is>
      </c>
      <c r="C250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251">
      <c r="A251" t="inlineStr">
        <is>
          <t>MSI</t>
        </is>
      </c>
      <c r="B251" t="inlineStr">
        <is>
          <t>Information Technology</t>
        </is>
      </c>
      <c r="C251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252">
      <c r="A252" t="inlineStr">
        <is>
          <t>MAR</t>
        </is>
      </c>
      <c r="B252" t="inlineStr">
        <is>
          <t>Consumer Discretionary</t>
        </is>
      </c>
      <c r="C252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253">
      <c r="A253" t="inlineStr">
        <is>
          <t>HD</t>
        </is>
      </c>
      <c r="B253" t="inlineStr">
        <is>
          <t>Consumer Discretionary</t>
        </is>
      </c>
      <c r="C253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254">
      <c r="A254" t="inlineStr">
        <is>
          <t>UPS</t>
        </is>
      </c>
      <c r="B254" t="inlineStr">
        <is>
          <t>Industrials</t>
        </is>
      </c>
      <c r="C254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255">
      <c r="A255" t="inlineStr">
        <is>
          <t>HUBB</t>
        </is>
      </c>
      <c r="B255" t="inlineStr">
        <is>
          <t>Industrials</t>
        </is>
      </c>
      <c r="C255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256">
      <c r="A256" t="inlineStr">
        <is>
          <t>PODD</t>
        </is>
      </c>
      <c r="B256" t="inlineStr">
        <is>
          <t>Health Care</t>
        </is>
      </c>
      <c r="C256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257">
      <c r="A257" t="inlineStr">
        <is>
          <t>CMS</t>
        </is>
      </c>
      <c r="B257" t="inlineStr">
        <is>
          <t>Utilities</t>
        </is>
      </c>
      <c r="C257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258">
      <c r="A258" t="inlineStr">
        <is>
          <t>PRU</t>
        </is>
      </c>
      <c r="B258" t="inlineStr">
        <is>
          <t>Financials</t>
        </is>
      </c>
      <c r="C258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259">
      <c r="A259" t="inlineStr">
        <is>
          <t>NTRA</t>
        </is>
      </c>
      <c r="B259" t="inlineStr">
        <is>
          <t>Health Care</t>
        </is>
      </c>
      <c r="C259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260">
      <c r="A260" t="inlineStr">
        <is>
          <t>LITE</t>
        </is>
      </c>
      <c r="B260" t="inlineStr">
        <is>
          <t>Information Technology</t>
        </is>
      </c>
      <c r="C260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261">
      <c r="A261" t="inlineStr">
        <is>
          <t>GEV</t>
        </is>
      </c>
      <c r="B261" t="inlineStr">
        <is>
          <t>Industrials</t>
        </is>
      </c>
      <c r="C261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262">
      <c r="A262" t="inlineStr">
        <is>
          <t>IRT</t>
        </is>
      </c>
      <c r="B262" t="inlineStr">
        <is>
          <t>Real Estate</t>
        </is>
      </c>
      <c r="C262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263">
      <c r="A263" t="inlineStr">
        <is>
          <t>EXPE</t>
        </is>
      </c>
      <c r="B263" t="inlineStr">
        <is>
          <t>Consumer Discretionary</t>
        </is>
      </c>
      <c r="C263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264">
      <c r="A264" t="inlineStr">
        <is>
          <t>GT</t>
        </is>
      </c>
      <c r="B264" t="inlineStr">
        <is>
          <t>Consumer Discretionary</t>
        </is>
      </c>
      <c r="C264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265">
      <c r="A265" t="inlineStr">
        <is>
          <t>CLH</t>
        </is>
      </c>
      <c r="B265" t="inlineStr">
        <is>
          <t>Industrials</t>
        </is>
      </c>
      <c r="C265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266">
      <c r="A266" t="inlineStr">
        <is>
          <t>GTLB</t>
        </is>
      </c>
      <c r="B266" t="inlineStr">
        <is>
          <t>Information Technology</t>
        </is>
      </c>
      <c r="C266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267">
      <c r="A267" t="inlineStr">
        <is>
          <t>COLD</t>
        </is>
      </c>
      <c r="B267" t="inlineStr">
        <is>
          <t>Real Estate</t>
        </is>
      </c>
      <c r="C267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268">
      <c r="A268" t="inlineStr">
        <is>
          <t>THC</t>
        </is>
      </c>
      <c r="B268" t="inlineStr">
        <is>
          <t>Health Care</t>
        </is>
      </c>
      <c r="C268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269">
      <c r="A269" t="inlineStr">
        <is>
          <t>AAPL</t>
        </is>
      </c>
      <c r="B269" t="inlineStr">
        <is>
          <t>Information Technology</t>
        </is>
      </c>
      <c r="C269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270">
      <c r="A270" t="inlineStr">
        <is>
          <t>UTHR</t>
        </is>
      </c>
      <c r="B270" t="inlineStr">
        <is>
          <t>Health Care</t>
        </is>
      </c>
      <c r="C270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271">
      <c r="A271" t="inlineStr">
        <is>
          <t>ADMA</t>
        </is>
      </c>
      <c r="B271" t="inlineStr">
        <is>
          <t>Health Care</t>
        </is>
      </c>
      <c r="C271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272">
      <c r="A272" t="inlineStr">
        <is>
          <t>HUM</t>
        </is>
      </c>
      <c r="B272" t="inlineStr">
        <is>
          <t>Health Care</t>
        </is>
      </c>
      <c r="C272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273">
      <c r="A273" t="inlineStr">
        <is>
          <t>ICE</t>
        </is>
      </c>
      <c r="B273" t="inlineStr">
        <is>
          <t>Financials</t>
        </is>
      </c>
      <c r="C273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274">
      <c r="A274" t="inlineStr">
        <is>
          <t>STX</t>
        </is>
      </c>
      <c r="B274" t="inlineStr">
        <is>
          <t>Information Technology</t>
        </is>
      </c>
      <c r="C274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275">
      <c r="A275" t="inlineStr">
        <is>
          <t>ORCL</t>
        </is>
      </c>
      <c r="B275" t="inlineStr">
        <is>
          <t>Information Technology</t>
        </is>
      </c>
      <c r="C275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276">
      <c r="A276" t="inlineStr">
        <is>
          <t>KR</t>
        </is>
      </c>
      <c r="B276" t="inlineStr">
        <is>
          <t>Consumer Staples</t>
        </is>
      </c>
      <c r="C276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277">
      <c r="A277" t="inlineStr">
        <is>
          <t>LLY</t>
        </is>
      </c>
      <c r="B277" t="inlineStr">
        <is>
          <t>Health Care</t>
        </is>
      </c>
      <c r="C277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278">
      <c r="A278" t="inlineStr">
        <is>
          <t>MTZ</t>
        </is>
      </c>
      <c r="B278" t="inlineStr">
        <is>
          <t>Industrials</t>
        </is>
      </c>
      <c r="C278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279">
      <c r="A279" t="inlineStr">
        <is>
          <t>TPR</t>
        </is>
      </c>
      <c r="B279" t="inlineStr">
        <is>
          <t>Consumer Discretionary</t>
        </is>
      </c>
      <c r="C279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280">
      <c r="A280" t="inlineStr">
        <is>
          <t>CSL</t>
        </is>
      </c>
      <c r="B280" t="inlineStr">
        <is>
          <t>Industrials</t>
        </is>
      </c>
      <c r="C280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281">
      <c r="A281" t="inlineStr">
        <is>
          <t>FOUR</t>
        </is>
      </c>
      <c r="B281" t="inlineStr">
        <is>
          <t>Financials</t>
        </is>
      </c>
      <c r="C281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282">
      <c r="A282" t="inlineStr">
        <is>
          <t>SYF</t>
        </is>
      </c>
      <c r="B282" t="inlineStr">
        <is>
          <t>Financials</t>
        </is>
      </c>
      <c r="C282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283">
      <c r="A283" t="inlineStr">
        <is>
          <t>TXN</t>
        </is>
      </c>
      <c r="B283" t="inlineStr">
        <is>
          <t>Information Technology</t>
        </is>
      </c>
      <c r="C283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284">
      <c r="A284" t="inlineStr">
        <is>
          <t>ADBE</t>
        </is>
      </c>
      <c r="B284" t="inlineStr">
        <is>
          <t>Information Technology</t>
        </is>
      </c>
      <c r="C284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285">
      <c r="A285" t="inlineStr">
        <is>
          <t>CME</t>
        </is>
      </c>
      <c r="B285" t="inlineStr">
        <is>
          <t>Financials</t>
        </is>
      </c>
      <c r="C285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286">
      <c r="A286" t="inlineStr">
        <is>
          <t>BDX</t>
        </is>
      </c>
      <c r="B286" t="inlineStr">
        <is>
          <t>Health Care</t>
        </is>
      </c>
      <c r="C286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287">
      <c r="A287" t="inlineStr">
        <is>
          <t>COIN</t>
        </is>
      </c>
      <c r="B287" t="inlineStr">
        <is>
          <t>Financials</t>
        </is>
      </c>
      <c r="C287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288">
      <c r="A288" t="inlineStr">
        <is>
          <t>TFC</t>
        </is>
      </c>
      <c r="B288" t="inlineStr">
        <is>
          <t>Financials</t>
        </is>
      </c>
      <c r="C288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289">
      <c r="A289" t="inlineStr">
        <is>
          <t>GE</t>
        </is>
      </c>
      <c r="B289" t="inlineStr">
        <is>
          <t>Industrials</t>
        </is>
      </c>
      <c r="C289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290">
      <c r="A290" t="inlineStr">
        <is>
          <t>A</t>
        </is>
      </c>
      <c r="B290" t="inlineStr">
        <is>
          <t>Health Care</t>
        </is>
      </c>
      <c r="C290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291">
      <c r="A291" t="inlineStr">
        <is>
          <t>PEP</t>
        </is>
      </c>
      <c r="B291" t="inlineStr">
        <is>
          <t>Consumer Staples</t>
        </is>
      </c>
      <c r="C291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292">
      <c r="A292" t="inlineStr">
        <is>
          <t>STRL</t>
        </is>
      </c>
      <c r="B292" t="inlineStr">
        <is>
          <t>Industrials</t>
        </is>
      </c>
      <c r="C292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293">
      <c r="A293" t="inlineStr">
        <is>
          <t>INCY</t>
        </is>
      </c>
      <c r="B293" t="inlineStr">
        <is>
          <t>Health Care</t>
        </is>
      </c>
      <c r="C293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294">
      <c r="A294" t="inlineStr">
        <is>
          <t>MCK</t>
        </is>
      </c>
      <c r="B294" t="inlineStr">
        <is>
          <t>Health Care</t>
        </is>
      </c>
      <c r="C294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295">
      <c r="A295" t="inlineStr">
        <is>
          <t>JCI</t>
        </is>
      </c>
      <c r="B295" t="inlineStr">
        <is>
          <t>Industrials</t>
        </is>
      </c>
      <c r="C295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296">
      <c r="A296" t="inlineStr">
        <is>
          <t>SNPS</t>
        </is>
      </c>
      <c r="B296" t="inlineStr">
        <is>
          <t>Information Technology</t>
        </is>
      </c>
      <c r="C296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297">
      <c r="A297" t="inlineStr">
        <is>
          <t>VIAV</t>
        </is>
      </c>
      <c r="B297" t="inlineStr">
        <is>
          <t>Information Technology</t>
        </is>
      </c>
      <c r="C297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298">
      <c r="A298" t="inlineStr">
        <is>
          <t>CHRW</t>
        </is>
      </c>
      <c r="B298" t="inlineStr">
        <is>
          <t>Industrials</t>
        </is>
      </c>
      <c r="C298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299">
      <c r="A299" t="inlineStr">
        <is>
          <t>HST</t>
        </is>
      </c>
      <c r="B299" t="inlineStr">
        <is>
          <t>Real Estate</t>
        </is>
      </c>
      <c r="C299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300">
      <c r="A300" t="inlineStr">
        <is>
          <t>INTU</t>
        </is>
      </c>
      <c r="B300" t="inlineStr">
        <is>
          <t>Information Technology</t>
        </is>
      </c>
      <c r="C300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301">
      <c r="A301" t="inlineStr">
        <is>
          <t>TGTX</t>
        </is>
      </c>
      <c r="B301" t="inlineStr">
        <is>
          <t>Health Care</t>
        </is>
      </c>
      <c r="C301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302">
      <c r="A302" t="inlineStr">
        <is>
          <t>DY</t>
        </is>
      </c>
      <c r="B302" t="inlineStr">
        <is>
          <t>Industrials</t>
        </is>
      </c>
      <c r="C302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303">
      <c r="A303" t="inlineStr">
        <is>
          <t>EIX</t>
        </is>
      </c>
      <c r="B303" t="inlineStr">
        <is>
          <t>Utilities</t>
        </is>
      </c>
      <c r="C303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304">
      <c r="A304" t="inlineStr">
        <is>
          <t>LH</t>
        </is>
      </c>
      <c r="B304" t="inlineStr">
        <is>
          <t>Health Care</t>
        </is>
      </c>
      <c r="C304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305">
      <c r="A305" t="inlineStr">
        <is>
          <t>CW</t>
        </is>
      </c>
      <c r="B305" t="inlineStr">
        <is>
          <t>Industrials</t>
        </is>
      </c>
      <c r="C305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306">
      <c r="A306" t="inlineStr">
        <is>
          <t>HIG</t>
        </is>
      </c>
      <c r="B306" t="inlineStr">
        <is>
          <t>Financials</t>
        </is>
      </c>
      <c r="C306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307">
      <c r="A307" t="inlineStr">
        <is>
          <t>BX</t>
        </is>
      </c>
      <c r="B307" t="inlineStr">
        <is>
          <t>Financials</t>
        </is>
      </c>
      <c r="C307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308">
      <c r="A308" t="inlineStr">
        <is>
          <t>NSC</t>
        </is>
      </c>
      <c r="B308" t="inlineStr">
        <is>
          <t>Industrials</t>
        </is>
      </c>
      <c r="C308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309">
      <c r="A309" t="inlineStr">
        <is>
          <t>CEG</t>
        </is>
      </c>
      <c r="B309" t="inlineStr">
        <is>
          <t>Utilities</t>
        </is>
      </c>
      <c r="C309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310">
      <c r="A310" t="inlineStr">
        <is>
          <t>CVX</t>
        </is>
      </c>
      <c r="B310" t="inlineStr">
        <is>
          <t>Energy</t>
        </is>
      </c>
      <c r="C310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311">
      <c r="A311" t="inlineStr">
        <is>
          <t>SWK</t>
        </is>
      </c>
      <c r="B311" t="inlineStr">
        <is>
          <t>Industrials</t>
        </is>
      </c>
      <c r="C311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312">
      <c r="A312" t="inlineStr">
        <is>
          <t>FCX</t>
        </is>
      </c>
      <c r="B312" t="inlineStr">
        <is>
          <t>Materials</t>
        </is>
      </c>
      <c r="C312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313">
      <c r="A313" t="inlineStr">
        <is>
          <t>KMPR</t>
        </is>
      </c>
      <c r="B313" t="inlineStr">
        <is>
          <t>Financials</t>
        </is>
      </c>
      <c r="C313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314">
      <c r="A314" t="inlineStr">
        <is>
          <t>RHP</t>
        </is>
      </c>
      <c r="B314" t="inlineStr">
        <is>
          <t>Real Estate</t>
        </is>
      </c>
      <c r="C314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315">
      <c r="A315" t="inlineStr">
        <is>
          <t>SFM</t>
        </is>
      </c>
      <c r="B315" t="inlineStr">
        <is>
          <t>Consumer Staples</t>
        </is>
      </c>
      <c r="C315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316">
      <c r="A316" t="inlineStr">
        <is>
          <t>BKR</t>
        </is>
      </c>
      <c r="B316" t="inlineStr">
        <is>
          <t>Energy</t>
        </is>
      </c>
      <c r="C316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317">
      <c r="A317" t="inlineStr">
        <is>
          <t>PH</t>
        </is>
      </c>
      <c r="B317" t="inlineStr">
        <is>
          <t>Industrials</t>
        </is>
      </c>
      <c r="C317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318">
      <c r="A318" t="inlineStr">
        <is>
          <t>OXY</t>
        </is>
      </c>
      <c r="B318" t="inlineStr">
        <is>
          <t>Energy</t>
        </is>
      </c>
      <c r="C318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319">
      <c r="A319" t="inlineStr">
        <is>
          <t>KEY</t>
        </is>
      </c>
      <c r="B319" t="inlineStr">
        <is>
          <t>Financials</t>
        </is>
      </c>
      <c r="C319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320">
      <c r="A320" t="inlineStr">
        <is>
          <t>AMZN</t>
        </is>
      </c>
      <c r="B320" t="inlineStr">
        <is>
          <t>Consumer Discretionary</t>
        </is>
      </c>
      <c r="C320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321">
      <c r="A321" t="inlineStr">
        <is>
          <t>HCA</t>
        </is>
      </c>
      <c r="B321" t="inlineStr">
        <is>
          <t>Health Care</t>
        </is>
      </c>
      <c r="C321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322">
      <c r="A322" t="inlineStr">
        <is>
          <t>ADP</t>
        </is>
      </c>
      <c r="B322" t="inlineStr">
        <is>
          <t>Industrials</t>
        </is>
      </c>
      <c r="C322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323">
      <c r="A323" t="inlineStr">
        <is>
          <t>CYTK</t>
        </is>
      </c>
      <c r="B323" t="inlineStr">
        <is>
          <t>Health Care</t>
        </is>
      </c>
      <c r="C323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324">
      <c r="A324" t="inlineStr">
        <is>
          <t>SPSC</t>
        </is>
      </c>
      <c r="B324" t="inlineStr">
        <is>
          <t>Information Technology</t>
        </is>
      </c>
      <c r="C324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325">
      <c r="A325" t="inlineStr">
        <is>
          <t>WYNN</t>
        </is>
      </c>
      <c r="B325" t="inlineStr">
        <is>
          <t>Consumer Discretionary</t>
        </is>
      </c>
      <c r="C325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326">
      <c r="A326" t="inlineStr">
        <is>
          <t>TTD</t>
        </is>
      </c>
      <c r="B326" t="inlineStr">
        <is>
          <t>Information Technology</t>
        </is>
      </c>
      <c r="C326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327">
      <c r="A327" t="inlineStr">
        <is>
          <t>CHDN</t>
        </is>
      </c>
      <c r="B327" t="inlineStr">
        <is>
          <t>Consumer Discretionary</t>
        </is>
      </c>
      <c r="C327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328">
      <c r="A328" t="inlineStr">
        <is>
          <t>HON</t>
        </is>
      </c>
      <c r="B328" t="inlineStr">
        <is>
          <t>Industrials</t>
        </is>
      </c>
      <c r="C328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329">
      <c r="A329" t="inlineStr">
        <is>
          <t>IR</t>
        </is>
      </c>
      <c r="B329" t="inlineStr">
        <is>
          <t>Industrials</t>
        </is>
      </c>
      <c r="C329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330">
      <c r="A330" t="inlineStr">
        <is>
          <t>SCI</t>
        </is>
      </c>
      <c r="B330" t="inlineStr">
        <is>
          <t>Health Care</t>
        </is>
      </c>
      <c r="C330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331">
      <c r="A331" t="inlineStr">
        <is>
          <t>MRK</t>
        </is>
      </c>
      <c r="B331" t="inlineStr">
        <is>
          <t>Health Care</t>
        </is>
      </c>
      <c r="C331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332">
      <c r="A332" t="inlineStr">
        <is>
          <t>EMR</t>
        </is>
      </c>
      <c r="B332" t="inlineStr">
        <is>
          <t>Industrials</t>
        </is>
      </c>
      <c r="C332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333">
      <c r="A333" t="inlineStr">
        <is>
          <t>MMM</t>
        </is>
      </c>
      <c r="B333" t="inlineStr">
        <is>
          <t>Industrials</t>
        </is>
      </c>
      <c r="C333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334">
      <c r="A334" t="inlineStr">
        <is>
          <t>FULT</t>
        </is>
      </c>
      <c r="B334" t="inlineStr">
        <is>
          <t>Financials</t>
        </is>
      </c>
      <c r="C334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335">
      <c r="A335" t="inlineStr">
        <is>
          <t>SNDK</t>
        </is>
      </c>
      <c r="B335" t="inlineStr">
        <is>
          <t>Information Technology</t>
        </is>
      </c>
      <c r="C335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336">
      <c r="A336" t="inlineStr">
        <is>
          <t>LIN</t>
        </is>
      </c>
      <c r="B336" t="inlineStr">
        <is>
          <t>Materials</t>
        </is>
      </c>
      <c r="C336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337">
      <c r="A337" t="inlineStr">
        <is>
          <t>IBM</t>
        </is>
      </c>
      <c r="B337" t="inlineStr">
        <is>
          <t>Information Technology</t>
        </is>
      </c>
      <c r="C337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338">
      <c r="A338" t="inlineStr">
        <is>
          <t>BOX</t>
        </is>
      </c>
      <c r="B338" t="inlineStr">
        <is>
          <t>Information Technology</t>
        </is>
      </c>
      <c r="C338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339">
      <c r="A339" t="inlineStr">
        <is>
          <t>PNC</t>
        </is>
      </c>
      <c r="B339" t="inlineStr">
        <is>
          <t>Financials</t>
        </is>
      </c>
      <c r="C339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340">
      <c r="A340" t="inlineStr">
        <is>
          <t>TWLO</t>
        </is>
      </c>
      <c r="B340" t="inlineStr">
        <is>
          <t>Information Technology</t>
        </is>
      </c>
      <c r="C340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341">
      <c r="A341" t="inlineStr">
        <is>
          <t>EXC</t>
        </is>
      </c>
      <c r="B341" t="inlineStr">
        <is>
          <t>Utilities</t>
        </is>
      </c>
      <c r="C341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342">
      <c r="A342" t="inlineStr">
        <is>
          <t>SNA</t>
        </is>
      </c>
      <c r="B342" t="inlineStr">
        <is>
          <t>Industrials</t>
        </is>
      </c>
      <c r="C342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343">
      <c r="A343" t="inlineStr">
        <is>
          <t>PSX</t>
        </is>
      </c>
      <c r="B343" t="inlineStr">
        <is>
          <t>Energy</t>
        </is>
      </c>
      <c r="C343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344">
      <c r="A344" t="inlineStr">
        <is>
          <t>VKTX</t>
        </is>
      </c>
      <c r="B344" t="inlineStr">
        <is>
          <t>Health Care</t>
        </is>
      </c>
      <c r="C344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345">
      <c r="A345" t="inlineStr">
        <is>
          <t>DIS</t>
        </is>
      </c>
      <c r="B345" t="inlineStr">
        <is>
          <t>Communication Services</t>
        </is>
      </c>
      <c r="C345" t="inlineStr">
        <is>
          <t>SECTOR CAVEATS FOR COMMUNICATION SERVICES:
  - Beneish DSRI: Multi-year contracts create naturally high AR — compare to deferred revenue balance
  - AQI (Beneish): Spectrum licenses and tower assets dominate — AQI reads high normally
  - Net Debt/EBITDA: Telecom 3-4x is normal and sustainable — standard threshold of 2.5x does not apply
  - Current Ratio: Subscriber deferred revenue boosts current liabilities — ratio often &lt;1x by design</t>
        </is>
      </c>
    </row>
    <row r="346">
      <c r="A346" t="inlineStr">
        <is>
          <t>EXR</t>
        </is>
      </c>
      <c r="B346" t="inlineStr">
        <is>
          <t>Real Estate</t>
        </is>
      </c>
      <c r="C346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347">
      <c r="A347" t="inlineStr">
        <is>
          <t>RGEN</t>
        </is>
      </c>
      <c r="B347" t="inlineStr">
        <is>
          <t>Health Care</t>
        </is>
      </c>
      <c r="C347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348">
      <c r="A348" t="inlineStr">
        <is>
          <t>MASI</t>
        </is>
      </c>
      <c r="B348" t="inlineStr">
        <is>
          <t>Health Care</t>
        </is>
      </c>
      <c r="C348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349">
      <c r="A349" t="inlineStr">
        <is>
          <t>HRB</t>
        </is>
      </c>
      <c r="B349" t="inlineStr">
        <is>
          <t>Consumer Discretionary</t>
        </is>
      </c>
      <c r="C349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350">
      <c r="A350" t="inlineStr">
        <is>
          <t>MYRG</t>
        </is>
      </c>
      <c r="B350" t="inlineStr">
        <is>
          <t>Industrials</t>
        </is>
      </c>
      <c r="C350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351">
      <c r="A351" t="inlineStr">
        <is>
          <t>KYMR</t>
        </is>
      </c>
      <c r="B351" t="inlineStr">
        <is>
          <t>Health Care</t>
        </is>
      </c>
      <c r="C351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352">
      <c r="A352" t="inlineStr">
        <is>
          <t>APPF</t>
        </is>
      </c>
      <c r="B352" t="inlineStr">
        <is>
          <t>Information Technology</t>
        </is>
      </c>
      <c r="C352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353">
      <c r="A353" t="inlineStr">
        <is>
          <t>TJX</t>
        </is>
      </c>
      <c r="B353" t="inlineStr">
        <is>
          <t>Consumer Discretionary</t>
        </is>
      </c>
      <c r="C353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354">
      <c r="A354" t="inlineStr">
        <is>
          <t>CBOE</t>
        </is>
      </c>
      <c r="B354" t="inlineStr">
        <is>
          <t>Financials</t>
        </is>
      </c>
      <c r="C354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355">
      <c r="A355" t="inlineStr">
        <is>
          <t>STT</t>
        </is>
      </c>
      <c r="B355" t="inlineStr">
        <is>
          <t>Financials</t>
        </is>
      </c>
      <c r="C355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356">
      <c r="A356" t="inlineStr">
        <is>
          <t>ORLY</t>
        </is>
      </c>
      <c r="B356" t="inlineStr">
        <is>
          <t>Consumer Discretionary</t>
        </is>
      </c>
      <c r="C356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357">
      <c r="A357" t="inlineStr">
        <is>
          <t>ROIV</t>
        </is>
      </c>
      <c r="B357" t="inlineStr">
        <is>
          <t>Health Care</t>
        </is>
      </c>
      <c r="C357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358">
      <c r="A358" t="inlineStr">
        <is>
          <t>ALNY</t>
        </is>
      </c>
      <c r="B358" t="inlineStr">
        <is>
          <t>Health Care</t>
        </is>
      </c>
      <c r="C358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359">
      <c r="A359" t="inlineStr">
        <is>
          <t>IOSP</t>
        </is>
      </c>
      <c r="B359" t="inlineStr">
        <is>
          <t>Information Technology</t>
        </is>
      </c>
      <c r="C359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360">
      <c r="A360" t="inlineStr">
        <is>
          <t>PAYC</t>
        </is>
      </c>
      <c r="B360" t="inlineStr">
        <is>
          <t>Information Technology</t>
        </is>
      </c>
      <c r="C360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361">
      <c r="A361" t="inlineStr">
        <is>
          <t>UNP</t>
        </is>
      </c>
      <c r="B361" t="inlineStr">
        <is>
          <t>Industrials</t>
        </is>
      </c>
      <c r="C361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362">
      <c r="A362" t="inlineStr">
        <is>
          <t>SHAK</t>
        </is>
      </c>
      <c r="B362" t="inlineStr">
        <is>
          <t>Consumer Discretionary</t>
        </is>
      </c>
      <c r="C362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363">
      <c r="A363" t="inlineStr">
        <is>
          <t>WBD</t>
        </is>
      </c>
      <c r="B363" t="inlineStr">
        <is>
          <t>Communication Services</t>
        </is>
      </c>
      <c r="C363" t="inlineStr">
        <is>
          <t>SECTOR CAVEATS FOR COMMUNICATION SERVICES:
  - Beneish DSRI: Multi-year contracts create naturally high AR — compare to deferred revenue balance
  - AQI (Beneish): Spectrum licenses and tower assets dominate — AQI reads high normally
  - Net Debt/EBITDA: Telecom 3-4x is normal and sustainable — standard threshold of 2.5x does not apply
  - Current Ratio: Subscriber deferred revenue boosts current liabilities — ratio often &lt;1x by design</t>
        </is>
      </c>
    </row>
    <row r="364">
      <c r="A364" t="inlineStr">
        <is>
          <t>WMT</t>
        </is>
      </c>
      <c r="B364" t="inlineStr">
        <is>
          <t>Consumer Discretionary</t>
        </is>
      </c>
      <c r="C364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365">
      <c r="A365" t="inlineStr">
        <is>
          <t>TXT</t>
        </is>
      </c>
      <c r="B365" t="inlineStr">
        <is>
          <t>Industrials</t>
        </is>
      </c>
      <c r="C365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366">
      <c r="A366" t="inlineStr">
        <is>
          <t>RBA</t>
        </is>
      </c>
      <c r="B366" t="inlineStr">
        <is>
          <t>Industrials</t>
        </is>
      </c>
      <c r="C366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367">
      <c r="A367" t="inlineStr">
        <is>
          <t>EA</t>
        </is>
      </c>
      <c r="B367" t="inlineStr">
        <is>
          <t>Communication Services</t>
        </is>
      </c>
      <c r="C367" t="inlineStr">
        <is>
          <t>SECTOR CAVEATS FOR COMMUNICATION SERVICES:
  - Beneish DSRI: Multi-year contracts create naturally high AR — compare to deferred revenue balance
  - AQI (Beneish): Spectrum licenses and tower assets dominate — AQI reads high normally
  - Net Debt/EBITDA: Telecom 3-4x is normal and sustainable — standard threshold of 2.5x does not apply
  - Current Ratio: Subscriber deferred revenue boosts current liabilities — ratio often &lt;1x by design</t>
        </is>
      </c>
    </row>
    <row r="368">
      <c r="A368" t="inlineStr">
        <is>
          <t>UMBF</t>
        </is>
      </c>
      <c r="B368" t="inlineStr">
        <is>
          <t>Financials</t>
        </is>
      </c>
      <c r="C368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369">
      <c r="A369" t="inlineStr">
        <is>
          <t>ISRG</t>
        </is>
      </c>
      <c r="B369" t="inlineStr">
        <is>
          <t>Health Care</t>
        </is>
      </c>
      <c r="C369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370">
      <c r="A370" t="inlineStr">
        <is>
          <t>SWKS</t>
        </is>
      </c>
      <c r="B370" t="inlineStr">
        <is>
          <t>Information Technology</t>
        </is>
      </c>
      <c r="C370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371">
      <c r="A371" t="inlineStr">
        <is>
          <t>LDOS</t>
        </is>
      </c>
      <c r="B371" t="inlineStr">
        <is>
          <t>Industrials</t>
        </is>
      </c>
      <c r="C371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372">
      <c r="A372" t="inlineStr">
        <is>
          <t>PG</t>
        </is>
      </c>
      <c r="B372" t="inlineStr">
        <is>
          <t>Consumer Staples</t>
        </is>
      </c>
      <c r="C372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373">
      <c r="A373" t="inlineStr">
        <is>
          <t>BSX</t>
        </is>
      </c>
      <c r="B373" t="inlineStr">
        <is>
          <t>Health Care</t>
        </is>
      </c>
      <c r="C373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374">
      <c r="A374" t="inlineStr">
        <is>
          <t>EPRT</t>
        </is>
      </c>
      <c r="B374" t="inlineStr">
        <is>
          <t>Real Estate</t>
        </is>
      </c>
      <c r="C374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375">
      <c r="A375" t="inlineStr">
        <is>
          <t>NEOG</t>
        </is>
      </c>
      <c r="B375" t="inlineStr">
        <is>
          <t>Health Care</t>
        </is>
      </c>
      <c r="C375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376">
      <c r="A376" t="inlineStr">
        <is>
          <t>APP</t>
        </is>
      </c>
      <c r="B376" t="inlineStr">
        <is>
          <t>Information Technology</t>
        </is>
      </c>
      <c r="C376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377">
      <c r="A377" t="inlineStr">
        <is>
          <t>CRWD</t>
        </is>
      </c>
      <c r="B377" t="inlineStr">
        <is>
          <t>Information Technology</t>
        </is>
      </c>
      <c r="C377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378">
      <c r="A378" t="inlineStr">
        <is>
          <t>CAT</t>
        </is>
      </c>
      <c r="B378" t="inlineStr">
        <is>
          <t>Industrials</t>
        </is>
      </c>
      <c r="C378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379">
      <c r="A379" t="inlineStr">
        <is>
          <t>KHC</t>
        </is>
      </c>
      <c r="B379" t="inlineStr">
        <is>
          <t>Consumer Staples</t>
        </is>
      </c>
      <c r="C379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380">
      <c r="A380" t="inlineStr">
        <is>
          <t>RL</t>
        </is>
      </c>
      <c r="B380" t="inlineStr">
        <is>
          <t>Consumer Discretionary</t>
        </is>
      </c>
      <c r="C380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381">
      <c r="A381" t="inlineStr">
        <is>
          <t>SAIC</t>
        </is>
      </c>
      <c r="B381" t="inlineStr">
        <is>
          <t>Industrials</t>
        </is>
      </c>
      <c r="C381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382">
      <c r="A382" t="inlineStr">
        <is>
          <t>MA</t>
        </is>
      </c>
      <c r="B382" t="inlineStr">
        <is>
          <t>Financials</t>
        </is>
      </c>
      <c r="C382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383">
      <c r="A383" t="inlineStr">
        <is>
          <t>FAST</t>
        </is>
      </c>
      <c r="B383" t="inlineStr">
        <is>
          <t>Industrials</t>
        </is>
      </c>
      <c r="C383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384">
      <c r="A384" t="inlineStr">
        <is>
          <t>DRI</t>
        </is>
      </c>
      <c r="B384" t="inlineStr">
        <is>
          <t>Consumer Discretionary</t>
        </is>
      </c>
      <c r="C384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385">
      <c r="A385" t="inlineStr">
        <is>
          <t>DOCN</t>
        </is>
      </c>
      <c r="B385" t="inlineStr">
        <is>
          <t>Information Technology</t>
        </is>
      </c>
      <c r="C385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386">
      <c r="A386" t="inlineStr">
        <is>
          <t>UNH</t>
        </is>
      </c>
      <c r="B386" t="inlineStr">
        <is>
          <t>Health Care</t>
        </is>
      </c>
      <c r="C386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387">
      <c r="A387" t="inlineStr">
        <is>
          <t>CRM</t>
        </is>
      </c>
      <c r="B387" t="inlineStr">
        <is>
          <t>Information Technology</t>
        </is>
      </c>
      <c r="C387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388">
      <c r="A388" t="inlineStr">
        <is>
          <t>EQT</t>
        </is>
      </c>
      <c r="B388" t="inlineStr">
        <is>
          <t>Energy</t>
        </is>
      </c>
      <c r="C388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389">
      <c r="A389" t="inlineStr">
        <is>
          <t>SOFI</t>
        </is>
      </c>
      <c r="B389" t="inlineStr">
        <is>
          <t>Financials</t>
        </is>
      </c>
      <c r="C389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390">
      <c r="A390" t="inlineStr">
        <is>
          <t>COST</t>
        </is>
      </c>
      <c r="B390" t="inlineStr">
        <is>
          <t>Consumer Discretionary</t>
        </is>
      </c>
      <c r="C390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391">
      <c r="A391" t="inlineStr">
        <is>
          <t>APD</t>
        </is>
      </c>
      <c r="B391" t="inlineStr">
        <is>
          <t>Materials</t>
        </is>
      </c>
      <c r="C391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392">
      <c r="A392" t="inlineStr">
        <is>
          <t>XEL</t>
        </is>
      </c>
      <c r="B392" t="inlineStr">
        <is>
          <t>Utilities</t>
        </is>
      </c>
      <c r="C392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393">
      <c r="A393" t="inlineStr">
        <is>
          <t>KO</t>
        </is>
      </c>
      <c r="B393" t="inlineStr">
        <is>
          <t>Consumer Staples</t>
        </is>
      </c>
      <c r="C393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394">
      <c r="A394" t="inlineStr">
        <is>
          <t>SEIC</t>
        </is>
      </c>
      <c r="B394" t="inlineStr">
        <is>
          <t>Financials</t>
        </is>
      </c>
      <c r="C394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395">
      <c r="A395" t="inlineStr">
        <is>
          <t>IDXX</t>
        </is>
      </c>
      <c r="B395" t="inlineStr">
        <is>
          <t>Health Care</t>
        </is>
      </c>
      <c r="C395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396">
      <c r="A396" t="inlineStr">
        <is>
          <t>LHX</t>
        </is>
      </c>
      <c r="B396" t="inlineStr">
        <is>
          <t>Industrials</t>
        </is>
      </c>
      <c r="C396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397">
      <c r="A397" t="inlineStr">
        <is>
          <t>CBSH</t>
        </is>
      </c>
      <c r="B397" t="inlineStr">
        <is>
          <t>Financials</t>
        </is>
      </c>
      <c r="C397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398">
      <c r="A398" t="inlineStr">
        <is>
          <t>MGM</t>
        </is>
      </c>
      <c r="B398" t="inlineStr">
        <is>
          <t>Consumer Discretionary</t>
        </is>
      </c>
      <c r="C398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399">
      <c r="A399" t="inlineStr">
        <is>
          <t>VMC</t>
        </is>
      </c>
      <c r="B399" t="inlineStr">
        <is>
          <t>Materials</t>
        </is>
      </c>
      <c r="C399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400">
      <c r="A400" t="inlineStr">
        <is>
          <t>CNX</t>
        </is>
      </c>
      <c r="B400" t="inlineStr">
        <is>
          <t>Energy</t>
        </is>
      </c>
      <c r="C400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401">
      <c r="A401" t="inlineStr">
        <is>
          <t>DHI</t>
        </is>
      </c>
      <c r="B401" t="inlineStr">
        <is>
          <t>Consumer Discretionary</t>
        </is>
      </c>
      <c r="C401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402">
      <c r="A402" t="inlineStr">
        <is>
          <t>QRVO</t>
        </is>
      </c>
      <c r="B402" t="inlineStr">
        <is>
          <t>Information Technology</t>
        </is>
      </c>
      <c r="C402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403">
      <c r="A403" t="inlineStr">
        <is>
          <t>STLD</t>
        </is>
      </c>
      <c r="B403" t="inlineStr">
        <is>
          <t>Materials</t>
        </is>
      </c>
      <c r="C403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404">
      <c r="A404" t="inlineStr">
        <is>
          <t>LMT</t>
        </is>
      </c>
      <c r="B404" t="inlineStr">
        <is>
          <t>Industrials</t>
        </is>
      </c>
      <c r="C404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405">
      <c r="A405" t="inlineStr">
        <is>
          <t>FN</t>
        </is>
      </c>
      <c r="B405" t="inlineStr">
        <is>
          <t>Information Technology</t>
        </is>
      </c>
      <c r="C405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406">
      <c r="A406" t="inlineStr">
        <is>
          <t>DD</t>
        </is>
      </c>
      <c r="B406" t="inlineStr">
        <is>
          <t>Materials</t>
        </is>
      </c>
      <c r="C406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407">
      <c r="A407" t="inlineStr">
        <is>
          <t>DE</t>
        </is>
      </c>
      <c r="B407" t="inlineStr">
        <is>
          <t>Industrials</t>
        </is>
      </c>
      <c r="C407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408">
      <c r="A408" t="inlineStr">
        <is>
          <t>AJG</t>
        </is>
      </c>
      <c r="B408" t="inlineStr">
        <is>
          <t>Financials</t>
        </is>
      </c>
      <c r="C408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409">
      <c r="A409" t="inlineStr">
        <is>
          <t>ATI</t>
        </is>
      </c>
      <c r="B409" t="inlineStr">
        <is>
          <t>Industrials</t>
        </is>
      </c>
      <c r="C409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410">
      <c r="A410" t="inlineStr">
        <is>
          <t>MCD</t>
        </is>
      </c>
      <c r="B410" t="inlineStr">
        <is>
          <t>Consumer Discretionary</t>
        </is>
      </c>
      <c r="C410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411">
      <c r="A411" t="inlineStr">
        <is>
          <t>GNTX</t>
        </is>
      </c>
      <c r="B411" t="inlineStr">
        <is>
          <t>Consumer Discretionary</t>
        </is>
      </c>
      <c r="C411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412">
      <c r="A412" t="inlineStr">
        <is>
          <t>PM</t>
        </is>
      </c>
      <c r="B412" t="inlineStr">
        <is>
          <t>Consumer Staples</t>
        </is>
      </c>
      <c r="C412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413">
      <c r="A413" t="inlineStr">
        <is>
          <t>AMD</t>
        </is>
      </c>
      <c r="B413" t="inlineStr">
        <is>
          <t>Information Technology</t>
        </is>
      </c>
      <c r="C413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414">
      <c r="A414" t="inlineStr">
        <is>
          <t>HQY</t>
        </is>
      </c>
      <c r="B414" t="inlineStr">
        <is>
          <t>Health Care</t>
        </is>
      </c>
      <c r="C414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415">
      <c r="A415" t="inlineStr">
        <is>
          <t>ENTG</t>
        </is>
      </c>
      <c r="B415" t="inlineStr">
        <is>
          <t>Information Technology</t>
        </is>
      </c>
      <c r="C415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416">
      <c r="A416" t="inlineStr">
        <is>
          <t>VICR</t>
        </is>
      </c>
      <c r="B416" t="inlineStr">
        <is>
          <t>Information Technology</t>
        </is>
      </c>
      <c r="C416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417">
      <c r="A417" t="inlineStr">
        <is>
          <t>CVNA</t>
        </is>
      </c>
      <c r="B417" t="inlineStr">
        <is>
          <t>Consumer Discretionary</t>
        </is>
      </c>
      <c r="C417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418">
      <c r="A418" t="inlineStr">
        <is>
          <t>RMBS</t>
        </is>
      </c>
      <c r="B418" t="inlineStr">
        <is>
          <t>Information Technology</t>
        </is>
      </c>
      <c r="C418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419">
      <c r="A419" t="inlineStr">
        <is>
          <t>WDAY</t>
        </is>
      </c>
      <c r="B419" t="inlineStr">
        <is>
          <t>Information Technology</t>
        </is>
      </c>
      <c r="C419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420">
      <c r="A420" t="inlineStr">
        <is>
          <t>RIVN</t>
        </is>
      </c>
      <c r="B420" t="inlineStr">
        <is>
          <t>Consumer Discretionary</t>
        </is>
      </c>
      <c r="C420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421">
      <c r="A421" t="inlineStr">
        <is>
          <t>MSCI</t>
        </is>
      </c>
      <c r="B421" t="inlineStr">
        <is>
          <t>Financials</t>
        </is>
      </c>
      <c r="C421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422">
      <c r="A422" t="inlineStr">
        <is>
          <t>ODFL</t>
        </is>
      </c>
      <c r="B422" t="inlineStr">
        <is>
          <t>Industrials</t>
        </is>
      </c>
      <c r="C422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423">
      <c r="A423" t="inlineStr">
        <is>
          <t>AXP</t>
        </is>
      </c>
      <c r="B423" t="inlineStr">
        <is>
          <t>Financials</t>
        </is>
      </c>
      <c r="C423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424">
      <c r="A424" t="inlineStr">
        <is>
          <t>SYK</t>
        </is>
      </c>
      <c r="B424" t="inlineStr">
        <is>
          <t>Health Care</t>
        </is>
      </c>
      <c r="C424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425">
      <c r="A425" t="inlineStr">
        <is>
          <t>KEYS</t>
        </is>
      </c>
      <c r="B425" t="inlineStr">
        <is>
          <t>Information Technology</t>
        </is>
      </c>
      <c r="C425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426">
      <c r="A426" t="inlineStr">
        <is>
          <t>FLO</t>
        </is>
      </c>
      <c r="B426" t="inlineStr">
        <is>
          <t>Consumer Staples</t>
        </is>
      </c>
      <c r="C426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427">
      <c r="A427" t="inlineStr">
        <is>
          <t>AON</t>
        </is>
      </c>
      <c r="B427" t="inlineStr">
        <is>
          <t>Financials</t>
        </is>
      </c>
      <c r="C427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428">
      <c r="A428" t="inlineStr">
        <is>
          <t>O</t>
        </is>
      </c>
      <c r="B428" t="inlineStr">
        <is>
          <t>Real Estate</t>
        </is>
      </c>
      <c r="C428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429">
      <c r="A429" t="inlineStr">
        <is>
          <t>NOV</t>
        </is>
      </c>
      <c r="B429" t="inlineStr">
        <is>
          <t>Energy</t>
        </is>
      </c>
      <c r="C429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430">
      <c r="A430" t="inlineStr">
        <is>
          <t>ACN</t>
        </is>
      </c>
      <c r="B430" t="inlineStr">
        <is>
          <t>Information Technology</t>
        </is>
      </c>
      <c r="C430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431">
      <c r="A431" t="inlineStr">
        <is>
          <t>HIW</t>
        </is>
      </c>
      <c r="B431" t="inlineStr">
        <is>
          <t>Real Estate</t>
        </is>
      </c>
      <c r="C431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432">
      <c r="A432" t="inlineStr">
        <is>
          <t>CDNS</t>
        </is>
      </c>
      <c r="B432" t="inlineStr">
        <is>
          <t>Information Technology</t>
        </is>
      </c>
      <c r="C432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433">
      <c r="A433" t="inlineStr">
        <is>
          <t>ALGN</t>
        </is>
      </c>
      <c r="B433" t="inlineStr">
        <is>
          <t>Health Care</t>
        </is>
      </c>
      <c r="C433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434">
      <c r="A434" t="inlineStr">
        <is>
          <t>ADSK</t>
        </is>
      </c>
      <c r="B434" t="inlineStr">
        <is>
          <t>Information Technology</t>
        </is>
      </c>
      <c r="C434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435">
      <c r="A435" t="inlineStr">
        <is>
          <t>ROK</t>
        </is>
      </c>
      <c r="B435" t="inlineStr">
        <is>
          <t>Industrials</t>
        </is>
      </c>
      <c r="C435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436">
      <c r="A436" t="inlineStr">
        <is>
          <t>NVR</t>
        </is>
      </c>
      <c r="B436" t="inlineStr">
        <is>
          <t>Consumer Discretionary</t>
        </is>
      </c>
      <c r="C436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437">
      <c r="A437" t="inlineStr">
        <is>
          <t>LVS</t>
        </is>
      </c>
      <c r="B437" t="inlineStr">
        <is>
          <t>Consumer Discretionary</t>
        </is>
      </c>
      <c r="C437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438">
      <c r="A438" t="inlineStr">
        <is>
          <t>WBS</t>
        </is>
      </c>
      <c r="B438" t="inlineStr">
        <is>
          <t>Financials</t>
        </is>
      </c>
      <c r="C438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439">
      <c r="A439" t="inlineStr">
        <is>
          <t>GOOG</t>
        </is>
      </c>
      <c r="B439" t="inlineStr">
        <is>
          <t>Communication Services</t>
        </is>
      </c>
      <c r="C439" t="inlineStr">
        <is>
          <t>SECTOR CAVEATS FOR COMMUNICATION SERVICES:
  - Beneish DSRI: Multi-year contracts create naturally high AR — compare to deferred revenue balance
  - AQI (Beneish): Spectrum licenses and tower assets dominate — AQI reads high normally
  - Net Debt/EBITDA: Telecom 3-4x is normal and sustainable — standard threshold of 2.5x does not apply
  - Current Ratio: Subscriber deferred revenue boosts current liabilities — ratio often &lt;1x by design</t>
        </is>
      </c>
    </row>
    <row r="440">
      <c r="A440" t="inlineStr">
        <is>
          <t>AMT</t>
        </is>
      </c>
      <c r="B440" t="inlineStr">
        <is>
          <t>Real Estate</t>
        </is>
      </c>
      <c r="C440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441">
      <c r="A441" t="inlineStr">
        <is>
          <t>PWR</t>
        </is>
      </c>
      <c r="B441" t="inlineStr">
        <is>
          <t>Industrials</t>
        </is>
      </c>
      <c r="C441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442">
      <c r="A442" t="inlineStr">
        <is>
          <t>ABBV</t>
        </is>
      </c>
      <c r="B442" t="inlineStr">
        <is>
          <t>Health Care</t>
        </is>
      </c>
      <c r="C442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443">
      <c r="A443" t="inlineStr">
        <is>
          <t>HSIC</t>
        </is>
      </c>
      <c r="B443" t="inlineStr">
        <is>
          <t>Health Care</t>
        </is>
      </c>
      <c r="C443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444">
      <c r="A444" t="inlineStr">
        <is>
          <t>CPRT</t>
        </is>
      </c>
      <c r="B444" t="inlineStr">
        <is>
          <t>Industrials</t>
        </is>
      </c>
      <c r="C444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445">
      <c r="A445" t="inlineStr">
        <is>
          <t>GOOGL</t>
        </is>
      </c>
      <c r="B445" t="inlineStr">
        <is>
          <t>Communication Services</t>
        </is>
      </c>
      <c r="C445" t="inlineStr">
        <is>
          <t>SECTOR CAVEATS FOR COMMUNICATION SERVICES:
  - Beneish DSRI: Multi-year contracts create naturally high AR — compare to deferred revenue balance
  - AQI (Beneish): Spectrum licenses and tower assets dominate — AQI reads high normally
  - Net Debt/EBITDA: Telecom 3-4x is normal and sustainable — standard threshold of 2.5x does not apply
  - Current Ratio: Subscriber deferred revenue boosts current liabilities — ratio often &lt;1x by design</t>
        </is>
      </c>
    </row>
    <row r="446">
      <c r="A446" t="inlineStr">
        <is>
          <t>GPC</t>
        </is>
      </c>
      <c r="B446" t="inlineStr">
        <is>
          <t>Consumer Discretionary</t>
        </is>
      </c>
      <c r="C446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447">
      <c r="A447" t="inlineStr">
        <is>
          <t>REGN</t>
        </is>
      </c>
      <c r="B447" t="inlineStr">
        <is>
          <t>Health Care</t>
        </is>
      </c>
      <c r="C447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448">
      <c r="A448" t="inlineStr">
        <is>
          <t>YUM</t>
        </is>
      </c>
      <c r="B448" t="inlineStr">
        <is>
          <t>Consumer Discretionary</t>
        </is>
      </c>
      <c r="C448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449">
      <c r="A449" t="inlineStr">
        <is>
          <t>PHM</t>
        </is>
      </c>
      <c r="B449" t="inlineStr">
        <is>
          <t>Consumer Discretionary</t>
        </is>
      </c>
      <c r="C449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450">
      <c r="A450" t="inlineStr">
        <is>
          <t>LYFT</t>
        </is>
      </c>
      <c r="B450" t="inlineStr">
        <is>
          <t>Consumer Discretionary</t>
        </is>
      </c>
      <c r="C450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451">
      <c r="A451" t="inlineStr">
        <is>
          <t>CNP</t>
        </is>
      </c>
      <c r="B451" t="inlineStr">
        <is>
          <t>Utilities</t>
        </is>
      </c>
      <c r="C451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452">
      <c r="A452" t="inlineStr">
        <is>
          <t>WEX</t>
        </is>
      </c>
      <c r="B452" t="inlineStr">
        <is>
          <t>Financials</t>
        </is>
      </c>
      <c r="C452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453">
      <c r="A453" t="inlineStr">
        <is>
          <t>PYPL</t>
        </is>
      </c>
      <c r="B453" t="inlineStr">
        <is>
          <t>Financials</t>
        </is>
      </c>
      <c r="C453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454">
      <c r="A454" t="inlineStr">
        <is>
          <t>MRNA</t>
        </is>
      </c>
      <c r="B454" t="inlineStr">
        <is>
          <t>Health Care</t>
        </is>
      </c>
      <c r="C454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455">
      <c r="A455" t="inlineStr">
        <is>
          <t>FHB</t>
        </is>
      </c>
      <c r="B455" t="inlineStr">
        <is>
          <t>Financials</t>
        </is>
      </c>
      <c r="C455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456">
      <c r="A456" t="inlineStr">
        <is>
          <t>GKOS</t>
        </is>
      </c>
      <c r="B456" t="inlineStr">
        <is>
          <t>Health Care</t>
        </is>
      </c>
      <c r="C456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457">
      <c r="A457" t="inlineStr">
        <is>
          <t>TAP</t>
        </is>
      </c>
      <c r="B457" t="inlineStr">
        <is>
          <t>Consumer Staples</t>
        </is>
      </c>
      <c r="C457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458">
      <c r="A458" t="inlineStr">
        <is>
          <t>MTD</t>
        </is>
      </c>
      <c r="B458" t="inlineStr">
        <is>
          <t>Health Care</t>
        </is>
      </c>
      <c r="C458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459">
      <c r="A459" t="inlineStr">
        <is>
          <t>CASY</t>
        </is>
      </c>
      <c r="B459" t="inlineStr">
        <is>
          <t>Consumer Staples</t>
        </is>
      </c>
      <c r="C459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460">
      <c r="A460" t="inlineStr">
        <is>
          <t>ICHR</t>
        </is>
      </c>
      <c r="B460" t="inlineStr">
        <is>
          <t>Information Technology</t>
        </is>
      </c>
      <c r="C460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461">
      <c r="A461" t="inlineStr">
        <is>
          <t>FMC</t>
        </is>
      </c>
      <c r="B461" t="inlineStr">
        <is>
          <t>Materials</t>
        </is>
      </c>
      <c r="C461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462">
      <c r="A462" t="inlineStr">
        <is>
          <t>BURL</t>
        </is>
      </c>
      <c r="B462" t="inlineStr">
        <is>
          <t>Consumer Discretionary</t>
        </is>
      </c>
      <c r="C462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463">
      <c r="A463" t="inlineStr">
        <is>
          <t>SLAB</t>
        </is>
      </c>
      <c r="B463" t="inlineStr">
        <is>
          <t>Information Technology</t>
        </is>
      </c>
      <c r="C463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464">
      <c r="A464" t="inlineStr">
        <is>
          <t>KDP</t>
        </is>
      </c>
      <c r="B464" t="inlineStr">
        <is>
          <t>Consumer Staples</t>
        </is>
      </c>
      <c r="C464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465">
      <c r="A465" t="inlineStr">
        <is>
          <t>CMG</t>
        </is>
      </c>
      <c r="B465" t="inlineStr">
        <is>
          <t>Consumer Discretionary</t>
        </is>
      </c>
      <c r="C465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466">
      <c r="A466" t="inlineStr">
        <is>
          <t>TMUS</t>
        </is>
      </c>
      <c r="B466" t="inlineStr">
        <is>
          <t>Communication Services</t>
        </is>
      </c>
      <c r="C466" t="inlineStr">
        <is>
          <t>SECTOR CAVEATS FOR COMMUNICATION SERVICES:
  - Beneish DSRI: Multi-year contracts create naturally high AR — compare to deferred revenue balance
  - AQI (Beneish): Spectrum licenses and tower assets dominate — AQI reads high normally
  - Net Debt/EBITDA: Telecom 3-4x is normal and sustainable — standard threshold of 2.5x does not apply
  - Current Ratio: Subscriber deferred revenue boosts current liabilities — ratio often &lt;1x by design</t>
        </is>
      </c>
    </row>
    <row r="467">
      <c r="A467" t="inlineStr">
        <is>
          <t>FLR</t>
        </is>
      </c>
      <c r="B467" t="inlineStr">
        <is>
          <t>Industrials</t>
        </is>
      </c>
      <c r="C467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468">
      <c r="A468" t="inlineStr">
        <is>
          <t>CAG</t>
        </is>
      </c>
      <c r="B468" t="inlineStr">
        <is>
          <t>Consumer Staples</t>
        </is>
      </c>
      <c r="C468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469">
      <c r="A469" t="inlineStr">
        <is>
          <t>EGP</t>
        </is>
      </c>
      <c r="B469" t="inlineStr">
        <is>
          <t>Real Estate</t>
        </is>
      </c>
      <c r="C469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470">
      <c r="A470" t="inlineStr">
        <is>
          <t>CHTR</t>
        </is>
      </c>
      <c r="B470" t="inlineStr">
        <is>
          <t>Communication Services</t>
        </is>
      </c>
      <c r="C470" t="inlineStr">
        <is>
          <t>SECTOR CAVEATS FOR COMMUNICATION SERVICES:
  - Beneish DSRI: Multi-year contracts create naturally high AR — compare to deferred revenue balance
  - AQI (Beneish): Spectrum licenses and tower assets dominate — AQI reads high normally
  - Net Debt/EBITDA: Telecom 3-4x is normal and sustainable — standard threshold of 2.5x does not apply
  - Current Ratio: Subscriber deferred revenue boosts current liabilities — ratio often &lt;1x by design</t>
        </is>
      </c>
    </row>
    <row r="471">
      <c r="A471" t="inlineStr">
        <is>
          <t>RVTY</t>
        </is>
      </c>
      <c r="B471" t="inlineStr">
        <is>
          <t>Health Care</t>
        </is>
      </c>
      <c r="C471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472">
      <c r="A472" t="inlineStr">
        <is>
          <t>URI</t>
        </is>
      </c>
      <c r="B472" t="inlineStr">
        <is>
          <t>Industrials</t>
        </is>
      </c>
      <c r="C472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473">
      <c r="A473" t="inlineStr">
        <is>
          <t>CSCO</t>
        </is>
      </c>
      <c r="B473" t="inlineStr">
        <is>
          <t>Information Technology</t>
        </is>
      </c>
      <c r="C473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474">
      <c r="A474" t="inlineStr">
        <is>
          <t>HAL</t>
        </is>
      </c>
      <c r="B474" t="inlineStr">
        <is>
          <t>Energy</t>
        </is>
      </c>
      <c r="C474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475">
      <c r="A475" t="inlineStr">
        <is>
          <t>FIS</t>
        </is>
      </c>
      <c r="B475" t="inlineStr">
        <is>
          <t>Financials</t>
        </is>
      </c>
      <c r="C475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476">
      <c r="A476" t="inlineStr">
        <is>
          <t>EL</t>
        </is>
      </c>
      <c r="B476" t="inlineStr">
        <is>
          <t>Consumer Staples</t>
        </is>
      </c>
      <c r="C476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477">
      <c r="A477" t="inlineStr">
        <is>
          <t>EME</t>
        </is>
      </c>
      <c r="B477" t="inlineStr">
        <is>
          <t>Industrials</t>
        </is>
      </c>
      <c r="C477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478">
      <c r="A478" t="inlineStr">
        <is>
          <t>VRSK</t>
        </is>
      </c>
      <c r="B478" t="inlineStr">
        <is>
          <t>Financials</t>
        </is>
      </c>
      <c r="C478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479">
      <c r="A479" t="inlineStr">
        <is>
          <t>LNT</t>
        </is>
      </c>
      <c r="B479" t="inlineStr">
        <is>
          <t>Utilities</t>
        </is>
      </c>
      <c r="C479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480">
      <c r="A480" t="inlineStr">
        <is>
          <t>D</t>
        </is>
      </c>
      <c r="B480" t="inlineStr">
        <is>
          <t>Utilities</t>
        </is>
      </c>
      <c r="C480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481">
      <c r="A481" t="inlineStr">
        <is>
          <t>GM</t>
        </is>
      </c>
      <c r="B481" t="inlineStr">
        <is>
          <t>Consumer Discretionary</t>
        </is>
      </c>
      <c r="C481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482">
      <c r="A482" t="inlineStr">
        <is>
          <t>AMBA</t>
        </is>
      </c>
      <c r="B482" t="inlineStr">
        <is>
          <t>Information Technology</t>
        </is>
      </c>
      <c r="C482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483">
      <c r="A483" t="inlineStr">
        <is>
          <t>PCAR</t>
        </is>
      </c>
      <c r="B483" t="inlineStr">
        <is>
          <t>Industrials</t>
        </is>
      </c>
      <c r="C483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484">
      <c r="A484" t="inlineStr">
        <is>
          <t>DVN</t>
        </is>
      </c>
      <c r="B484" t="inlineStr">
        <is>
          <t>Energy</t>
        </is>
      </c>
      <c r="C484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485">
      <c r="A485" t="inlineStr">
        <is>
          <t>SM</t>
        </is>
      </c>
      <c r="B485" t="inlineStr">
        <is>
          <t>Energy</t>
        </is>
      </c>
      <c r="C485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486">
      <c r="A486" t="inlineStr">
        <is>
          <t>EG</t>
        </is>
      </c>
      <c r="B486" t="inlineStr">
        <is>
          <t>Financials</t>
        </is>
      </c>
      <c r="C486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487">
      <c r="A487" t="inlineStr">
        <is>
          <t>EOG</t>
        </is>
      </c>
      <c r="B487" t="inlineStr">
        <is>
          <t>Energy</t>
        </is>
      </c>
      <c r="C487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488">
      <c r="A488" t="inlineStr">
        <is>
          <t>IQV</t>
        </is>
      </c>
      <c r="B488" t="inlineStr">
        <is>
          <t>Health Care</t>
        </is>
      </c>
      <c r="C488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489">
      <c r="A489" t="inlineStr">
        <is>
          <t>USFD</t>
        </is>
      </c>
      <c r="B489" t="inlineStr">
        <is>
          <t>Consumer Staples</t>
        </is>
      </c>
      <c r="C489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490">
      <c r="A490" t="inlineStr">
        <is>
          <t>RMD</t>
        </is>
      </c>
      <c r="B490" t="inlineStr">
        <is>
          <t>Health Care</t>
        </is>
      </c>
      <c r="C490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491">
      <c r="A491" t="inlineStr">
        <is>
          <t>EPR</t>
        </is>
      </c>
      <c r="B491" t="inlineStr">
        <is>
          <t>Real Estate</t>
        </is>
      </c>
      <c r="C491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492">
      <c r="A492" t="inlineStr">
        <is>
          <t>FTNT</t>
        </is>
      </c>
      <c r="B492" t="inlineStr">
        <is>
          <t>Information Technology</t>
        </is>
      </c>
      <c r="C492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493">
      <c r="A493" t="inlineStr">
        <is>
          <t>LCID</t>
        </is>
      </c>
      <c r="B493" t="inlineStr">
        <is>
          <t>Consumer Discretionary</t>
        </is>
      </c>
      <c r="C493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494">
      <c r="A494" t="inlineStr">
        <is>
          <t>WAB</t>
        </is>
      </c>
      <c r="B494" t="inlineStr">
        <is>
          <t>Industrials</t>
        </is>
      </c>
      <c r="C494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495">
      <c r="A495" t="inlineStr">
        <is>
          <t>AIG</t>
        </is>
      </c>
      <c r="B495" t="inlineStr">
        <is>
          <t>Financials</t>
        </is>
      </c>
      <c r="C495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496">
      <c r="A496" t="inlineStr">
        <is>
          <t>ABNB</t>
        </is>
      </c>
      <c r="B496" t="inlineStr">
        <is>
          <t>Consumer Discretionary</t>
        </is>
      </c>
      <c r="C496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497">
      <c r="A497" t="inlineStr">
        <is>
          <t>JNJ</t>
        </is>
      </c>
      <c r="B497" t="inlineStr">
        <is>
          <t>Health Care</t>
        </is>
      </c>
      <c r="C497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498">
      <c r="A498" t="inlineStr">
        <is>
          <t>OLLI</t>
        </is>
      </c>
      <c r="B498" t="inlineStr">
        <is>
          <t>Consumer Discretionary</t>
        </is>
      </c>
      <c r="C498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500">
      <c r="A500" t="inlineStr">
        <is>
          <t>INSP</t>
        </is>
      </c>
      <c r="B500" t="inlineStr">
        <is>
          <t>Health Care</t>
        </is>
      </c>
      <c r="C500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501">
      <c r="A501" t="inlineStr">
        <is>
          <t>UBER</t>
        </is>
      </c>
      <c r="B501" t="inlineStr">
        <is>
          <t>Consumer Discretionary</t>
        </is>
      </c>
      <c r="C501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502">
      <c r="A502" t="inlineStr">
        <is>
          <t>NRG</t>
        </is>
      </c>
      <c r="B502" t="inlineStr">
        <is>
          <t>Utilities</t>
        </is>
      </c>
      <c r="C502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503">
      <c r="A503" t="inlineStr">
        <is>
          <t>DELL</t>
        </is>
      </c>
      <c r="B503" t="inlineStr">
        <is>
          <t>Information Technology</t>
        </is>
      </c>
      <c r="C503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504">
      <c r="A504" t="inlineStr">
        <is>
          <t>MANH</t>
        </is>
      </c>
      <c r="B504" t="inlineStr">
        <is>
          <t>Information Technology</t>
        </is>
      </c>
      <c r="C504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505">
      <c r="A505" t="inlineStr">
        <is>
          <t>NOW</t>
        </is>
      </c>
      <c r="B505" t="inlineStr">
        <is>
          <t>Information Technology</t>
        </is>
      </c>
      <c r="C505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506">
      <c r="A506" t="inlineStr">
        <is>
          <t>FISV</t>
        </is>
      </c>
      <c r="B506" t="inlineStr">
        <is>
          <t>Financials</t>
        </is>
      </c>
      <c r="C506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507">
      <c r="A507" t="inlineStr">
        <is>
          <t>DOW</t>
        </is>
      </c>
      <c r="B507" t="inlineStr">
        <is>
          <t>Materials</t>
        </is>
      </c>
      <c r="C507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508">
      <c r="A508" t="inlineStr">
        <is>
          <t>COF</t>
        </is>
      </c>
      <c r="B508" t="inlineStr">
        <is>
          <t>Financials</t>
        </is>
      </c>
      <c r="C508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509">
      <c r="A509" t="inlineStr">
        <is>
          <t>JOBY</t>
        </is>
      </c>
      <c r="B509" t="inlineStr">
        <is>
          <t>Communication Services</t>
        </is>
      </c>
      <c r="C509" t="inlineStr">
        <is>
          <t>SECTOR CAVEATS FOR COMMUNICATION SERVICES:
  - Beneish DSRI: Multi-year contracts create naturally high AR — compare to deferred revenue balance
  - AQI (Beneish): Spectrum licenses and tower assets dominate — AQI reads high normally
  - Net Debt/EBITDA: Telecom 3-4x is normal and sustainable — standard threshold of 2.5x does not apply
  - Current Ratio: Subscriber deferred revenue boosts current liabilities — ratio often &lt;1x by design</t>
        </is>
      </c>
    </row>
    <row r="510">
      <c r="A510" t="inlineStr">
        <is>
          <t>ALB</t>
        </is>
      </c>
      <c r="B510" t="inlineStr">
        <is>
          <t>Materials</t>
        </is>
      </c>
      <c r="C510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511">
      <c r="A511" t="inlineStr">
        <is>
          <t>SLB</t>
        </is>
      </c>
      <c r="B511" t="inlineStr">
        <is>
          <t>Energy</t>
        </is>
      </c>
      <c r="C511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512">
      <c r="A512" t="inlineStr">
        <is>
          <t>STZ</t>
        </is>
      </c>
      <c r="B512" t="inlineStr">
        <is>
          <t>Consumer Staples</t>
        </is>
      </c>
      <c r="C512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513">
      <c r="A513" t="inlineStr">
        <is>
          <t>TECH</t>
        </is>
      </c>
      <c r="B513" t="inlineStr">
        <is>
          <t>Health Care</t>
        </is>
      </c>
      <c r="C513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514">
      <c r="A514" t="inlineStr">
        <is>
          <t>WSFS</t>
        </is>
      </c>
      <c r="B514" t="inlineStr">
        <is>
          <t>Financials</t>
        </is>
      </c>
      <c r="C514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515">
      <c r="A515" t="inlineStr">
        <is>
          <t>DKNG</t>
        </is>
      </c>
      <c r="B515" t="inlineStr">
        <is>
          <t>Financials</t>
        </is>
      </c>
      <c r="C515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516">
      <c r="A516" t="inlineStr">
        <is>
          <t>BOKF</t>
        </is>
      </c>
      <c r="B516" t="inlineStr">
        <is>
          <t>Financials</t>
        </is>
      </c>
      <c r="C516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517">
      <c r="A517" t="inlineStr">
        <is>
          <t>GRMN</t>
        </is>
      </c>
      <c r="B517" t="inlineStr">
        <is>
          <t>Information Technology</t>
        </is>
      </c>
      <c r="C517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518">
      <c r="A518" t="inlineStr">
        <is>
          <t>PLTR</t>
        </is>
      </c>
      <c r="B518" t="inlineStr">
        <is>
          <t>Information Technology</t>
        </is>
      </c>
      <c r="C518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519">
      <c r="A519" t="inlineStr">
        <is>
          <t>NDAQ</t>
        </is>
      </c>
      <c r="B519" t="inlineStr">
        <is>
          <t>Financials</t>
        </is>
      </c>
      <c r="C519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520">
      <c r="A520" t="inlineStr">
        <is>
          <t>SPG</t>
        </is>
      </c>
      <c r="B520" t="inlineStr">
        <is>
          <t>Real Estate</t>
        </is>
      </c>
      <c r="C520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521">
      <c r="A521" t="inlineStr">
        <is>
          <t>WING</t>
        </is>
      </c>
      <c r="B521" t="inlineStr">
        <is>
          <t>Consumer Discretionary</t>
        </is>
      </c>
      <c r="C521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522">
      <c r="A522" t="inlineStr">
        <is>
          <t>ANET</t>
        </is>
      </c>
      <c r="B522" t="inlineStr">
        <is>
          <t>Information Technology</t>
        </is>
      </c>
      <c r="C522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523">
      <c r="A523" t="inlineStr">
        <is>
          <t>UHS</t>
        </is>
      </c>
      <c r="B523" t="inlineStr">
        <is>
          <t>Health Care</t>
        </is>
      </c>
      <c r="C523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524">
      <c r="A524" t="inlineStr">
        <is>
          <t>ALLY</t>
        </is>
      </c>
      <c r="B524" t="inlineStr">
        <is>
          <t>Financials</t>
        </is>
      </c>
      <c r="C524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525">
      <c r="A525" t="inlineStr">
        <is>
          <t>SJM</t>
        </is>
      </c>
      <c r="B525" t="inlineStr">
        <is>
          <t>Consumer Staples</t>
        </is>
      </c>
      <c r="C525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526">
      <c r="A526" t="inlineStr">
        <is>
          <t>POWI</t>
        </is>
      </c>
      <c r="B526" t="inlineStr">
        <is>
          <t>Information Technology</t>
        </is>
      </c>
      <c r="C526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527">
      <c r="A527" t="inlineStr">
        <is>
          <t>FIVE</t>
        </is>
      </c>
      <c r="B527" t="inlineStr">
        <is>
          <t>Consumer Discretionary</t>
        </is>
      </c>
      <c r="C527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528">
      <c r="A528" t="inlineStr">
        <is>
          <t>DAL</t>
        </is>
      </c>
      <c r="B528" t="inlineStr">
        <is>
          <t>Consumer Discretionary</t>
        </is>
      </c>
      <c r="C528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529">
      <c r="A529" t="inlineStr">
        <is>
          <t>ACM</t>
        </is>
      </c>
      <c r="B529" t="inlineStr">
        <is>
          <t>Industrials</t>
        </is>
      </c>
      <c r="C529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530">
      <c r="A530" t="inlineStr">
        <is>
          <t>KKR</t>
        </is>
      </c>
      <c r="B530" t="inlineStr">
        <is>
          <t>Financials</t>
        </is>
      </c>
      <c r="C530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531">
      <c r="A531" t="inlineStr">
        <is>
          <t>EAT</t>
        </is>
      </c>
      <c r="B531" t="inlineStr">
        <is>
          <t>Consumer Discretionary</t>
        </is>
      </c>
      <c r="C531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532">
      <c r="A532" t="inlineStr">
        <is>
          <t>CTAS</t>
        </is>
      </c>
      <c r="B532" t="inlineStr">
        <is>
          <t>Industrials</t>
        </is>
      </c>
      <c r="C532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533">
      <c r="A533" t="inlineStr">
        <is>
          <t>ROST</t>
        </is>
      </c>
      <c r="B533" t="inlineStr">
        <is>
          <t>Consumer Discretionary</t>
        </is>
      </c>
      <c r="C533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534">
      <c r="A534" t="inlineStr">
        <is>
          <t>JBHT</t>
        </is>
      </c>
      <c r="B534" t="inlineStr">
        <is>
          <t>Industrials</t>
        </is>
      </c>
      <c r="C534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535">
      <c r="A535" t="inlineStr">
        <is>
          <t>CE</t>
        </is>
      </c>
      <c r="B535" t="inlineStr">
        <is>
          <t>Materials</t>
        </is>
      </c>
      <c r="C535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536">
      <c r="A536" t="inlineStr">
        <is>
          <t>ILMN</t>
        </is>
      </c>
      <c r="B536" t="inlineStr">
        <is>
          <t>Health Care</t>
        </is>
      </c>
      <c r="C536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537">
      <c r="A537" t="inlineStr">
        <is>
          <t>SBUX</t>
        </is>
      </c>
      <c r="B537" t="inlineStr">
        <is>
          <t>Consumer Discretionary</t>
        </is>
      </c>
      <c r="C537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538">
      <c r="A538" t="inlineStr">
        <is>
          <t>CMCSA</t>
        </is>
      </c>
      <c r="B538" t="inlineStr">
        <is>
          <t>Communication Services</t>
        </is>
      </c>
      <c r="C538" t="inlineStr">
        <is>
          <t>SECTOR CAVEATS FOR COMMUNICATION SERVICES:
  - Beneish DSRI: Multi-year contracts create naturally high AR — compare to deferred revenue balance
  - AQI (Beneish): Spectrum licenses and tower assets dominate — AQI reads high normally
  - Net Debt/EBITDA: Telecom 3-4x is normal and sustainable — standard threshold of 2.5x does not apply
  - Current Ratio: Subscriber deferred revenue boosts current liabilities — ratio often &lt;1x by design</t>
        </is>
      </c>
    </row>
    <row r="539">
      <c r="A539" t="inlineStr">
        <is>
          <t>ZTS</t>
        </is>
      </c>
      <c r="B539" t="inlineStr">
        <is>
          <t>Health Care</t>
        </is>
      </c>
      <c r="C539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540">
      <c r="A540" t="inlineStr">
        <is>
          <t>MPC</t>
        </is>
      </c>
      <c r="B540" t="inlineStr">
        <is>
          <t>Energy</t>
        </is>
      </c>
      <c r="C540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541">
      <c r="A541" t="inlineStr">
        <is>
          <t>XOM</t>
        </is>
      </c>
      <c r="B541" t="inlineStr">
        <is>
          <t>Energy</t>
        </is>
      </c>
      <c r="C541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542">
      <c r="A542" t="inlineStr">
        <is>
          <t>KLIC</t>
        </is>
      </c>
      <c r="B542" t="inlineStr">
        <is>
          <t>Information Technology</t>
        </is>
      </c>
      <c r="C542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543">
      <c r="A543" t="inlineStr">
        <is>
          <t>META</t>
        </is>
      </c>
      <c r="B543" t="inlineStr">
        <is>
          <t>Communication Services</t>
        </is>
      </c>
      <c r="C543" t="inlineStr">
        <is>
          <t>SECTOR CAVEATS FOR COMMUNICATION SERVICES:
  - Beneish DSRI: Multi-year contracts create naturally high AR — compare to deferred revenue balance
  - AQI (Beneish): Spectrum licenses and tower assets dominate — AQI reads high normally
  - Net Debt/EBITDA: Telecom 3-4x is normal and sustainable — standard threshold of 2.5x does not apply
  - Current Ratio: Subscriber deferred revenue boosts current liabilities — ratio often &lt;1x by design</t>
        </is>
      </c>
    </row>
    <row r="544">
      <c r="A544" t="inlineStr">
        <is>
          <t>MLM</t>
        </is>
      </c>
      <c r="B544" t="inlineStr">
        <is>
          <t>Materials</t>
        </is>
      </c>
      <c r="C544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545">
      <c r="A545" t="inlineStr">
        <is>
          <t>HWM</t>
        </is>
      </c>
      <c r="B545" t="inlineStr">
        <is>
          <t>Industrials</t>
        </is>
      </c>
      <c r="C545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546">
      <c r="A546" t="inlineStr">
        <is>
          <t>CAKE</t>
        </is>
      </c>
      <c r="B546" t="inlineStr">
        <is>
          <t>Consumer Discretionary</t>
        </is>
      </c>
      <c r="C546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547">
      <c r="A547" t="inlineStr">
        <is>
          <t>STAG</t>
        </is>
      </c>
      <c r="B547" t="inlineStr">
        <is>
          <t>Real Estate</t>
        </is>
      </c>
      <c r="C547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548">
      <c r="A548" t="inlineStr">
        <is>
          <t>SAIA</t>
        </is>
      </c>
      <c r="B548" t="inlineStr">
        <is>
          <t>Industrials</t>
        </is>
      </c>
      <c r="C548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549">
      <c r="A549" t="inlineStr">
        <is>
          <t>CSX</t>
        </is>
      </c>
      <c r="B549" t="inlineStr">
        <is>
          <t>Industrials</t>
        </is>
      </c>
      <c r="C549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550">
      <c r="A550" t="inlineStr">
        <is>
          <t>GD</t>
        </is>
      </c>
      <c r="B550" t="inlineStr">
        <is>
          <t>Industrials</t>
        </is>
      </c>
      <c r="C550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551">
      <c r="A551" t="inlineStr">
        <is>
          <t>TMO</t>
        </is>
      </c>
      <c r="B551" t="inlineStr">
        <is>
          <t>Health Care</t>
        </is>
      </c>
      <c r="C551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552">
      <c r="A552" t="inlineStr">
        <is>
          <t>DAWN</t>
        </is>
      </c>
      <c r="B552" t="inlineStr">
        <is>
          <t>Health Care</t>
        </is>
      </c>
      <c r="C552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553">
      <c r="A553" t="inlineStr">
        <is>
          <t>ELV</t>
        </is>
      </c>
      <c r="B553" t="inlineStr">
        <is>
          <t>Health Care</t>
        </is>
      </c>
      <c r="C553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554">
      <c r="A554" t="inlineStr">
        <is>
          <t>BIIB</t>
        </is>
      </c>
      <c r="B554" t="inlineStr">
        <is>
          <t>Health Care</t>
        </is>
      </c>
      <c r="C554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555">
      <c r="A555" t="inlineStr">
        <is>
          <t>FAF</t>
        </is>
      </c>
      <c r="B555" t="inlineStr">
        <is>
          <t>Financials</t>
        </is>
      </c>
      <c r="C555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556">
      <c r="A556" t="inlineStr">
        <is>
          <t>AVGO</t>
        </is>
      </c>
      <c r="B556" t="inlineStr">
        <is>
          <t>Information Technology</t>
        </is>
      </c>
      <c r="C556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557">
      <c r="A557" t="inlineStr">
        <is>
          <t>FITB</t>
        </is>
      </c>
      <c r="B557" t="inlineStr">
        <is>
          <t>Financials</t>
        </is>
      </c>
      <c r="C557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558">
      <c r="A558" t="inlineStr">
        <is>
          <t>FOLD</t>
        </is>
      </c>
      <c r="B558" t="inlineStr">
        <is>
          <t>Health Care</t>
        </is>
      </c>
      <c r="C558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559">
      <c r="A559" t="inlineStr">
        <is>
          <t>TSN</t>
        </is>
      </c>
      <c r="B559" t="inlineStr">
        <is>
          <t>Consumer Staples</t>
        </is>
      </c>
      <c r="C559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560">
      <c r="A560" t="inlineStr">
        <is>
          <t>CRDO</t>
        </is>
      </c>
      <c r="B560" t="inlineStr">
        <is>
          <t>Information Technology</t>
        </is>
      </c>
      <c r="C560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561">
      <c r="A561" t="inlineStr">
        <is>
          <t>LSCC</t>
        </is>
      </c>
      <c r="B561" t="inlineStr">
        <is>
          <t>Information Technology</t>
        </is>
      </c>
      <c r="C561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562">
      <c r="A562" t="inlineStr">
        <is>
          <t>COHR</t>
        </is>
      </c>
      <c r="B562" t="inlineStr">
        <is>
          <t>Information Technology</t>
        </is>
      </c>
      <c r="C562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563">
      <c r="A563" t="inlineStr">
        <is>
          <t>ORI</t>
        </is>
      </c>
      <c r="B563" t="inlineStr">
        <is>
          <t>Financials</t>
        </is>
      </c>
      <c r="C563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564">
      <c r="A564" t="inlineStr">
        <is>
          <t>IFF</t>
        </is>
      </c>
      <c r="B564" t="inlineStr">
        <is>
          <t>Materials</t>
        </is>
      </c>
      <c r="C564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565">
      <c r="A565" t="inlineStr">
        <is>
          <t>ES</t>
        </is>
      </c>
      <c r="B565" t="inlineStr">
        <is>
          <t>Utilities</t>
        </is>
      </c>
      <c r="C565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566">
      <c r="A566" t="inlineStr">
        <is>
          <t>DOC</t>
        </is>
      </c>
      <c r="B566" t="inlineStr">
        <is>
          <t>Real Estate</t>
        </is>
      </c>
      <c r="C566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567">
      <c r="A567" t="inlineStr">
        <is>
          <t>ATO</t>
        </is>
      </c>
      <c r="B567" t="inlineStr">
        <is>
          <t>Utilities</t>
        </is>
      </c>
      <c r="C567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568">
      <c r="A568" t="inlineStr">
        <is>
          <t>C</t>
        </is>
      </c>
      <c r="B568" t="inlineStr">
        <is>
          <t>Financials</t>
        </is>
      </c>
      <c r="C568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569">
      <c r="A569" t="inlineStr">
        <is>
          <t>SHW</t>
        </is>
      </c>
      <c r="B569" t="inlineStr">
        <is>
          <t>Materials</t>
        </is>
      </c>
      <c r="C569" t="inlineStr">
        <is>
          <t>SECTOR CAVEATS FOR MATERIALS:
  - Revenue Growth: Commodity price-driven swings — volume growth is the meaningful metric
  - Net Margin: Cyclical — use mid-cycle or through-the-cycle margin for comparisons
  - Beneish SGI: Revenue swings with commodity prices — not a manipulation signal
  - DEPI (Beneish): Mine and asset life extensions are common and legitimate in mining</t>
        </is>
      </c>
    </row>
    <row r="570">
      <c r="A570" t="inlineStr">
        <is>
          <t>AES</t>
        </is>
      </c>
      <c r="B570" t="inlineStr">
        <is>
          <t>Utilities</t>
        </is>
      </c>
      <c r="C570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571">
      <c r="A571" t="inlineStr">
        <is>
          <t>ZS</t>
        </is>
      </c>
      <c r="B571" t="inlineStr">
        <is>
          <t>Information Technology</t>
        </is>
      </c>
      <c r="C571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572">
      <c r="A572" t="inlineStr">
        <is>
          <t>NWL</t>
        </is>
      </c>
      <c r="B572" t="inlineStr">
        <is>
          <t>Consumer Staples</t>
        </is>
      </c>
      <c r="C572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573">
      <c r="A573" t="inlineStr">
        <is>
          <t>TEAM</t>
        </is>
      </c>
      <c r="B573" t="inlineStr">
        <is>
          <t>Information Technology</t>
        </is>
      </c>
      <c r="C573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574">
      <c r="A574" t="inlineStr">
        <is>
          <t>PCTY</t>
        </is>
      </c>
      <c r="B574" t="inlineStr">
        <is>
          <t>Information Technology</t>
        </is>
      </c>
      <c r="C574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575">
      <c r="A575" t="inlineStr">
        <is>
          <t>NOG</t>
        </is>
      </c>
      <c r="B575" t="inlineStr">
        <is>
          <t>Energy</t>
        </is>
      </c>
      <c r="C575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576">
      <c r="A576" t="inlineStr">
        <is>
          <t>AME</t>
        </is>
      </c>
      <c r="B576" t="inlineStr">
        <is>
          <t>Industrials</t>
        </is>
      </c>
      <c r="C576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577">
      <c r="A577" t="inlineStr">
        <is>
          <t>CPRI</t>
        </is>
      </c>
      <c r="B577" t="inlineStr">
        <is>
          <t>Consumer Discretionary</t>
        </is>
      </c>
      <c r="C577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578">
      <c r="A578" t="inlineStr">
        <is>
          <t>TRU</t>
        </is>
      </c>
      <c r="B578" t="inlineStr">
        <is>
          <t>Financials</t>
        </is>
      </c>
      <c r="C578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579">
      <c r="A579" t="inlineStr">
        <is>
          <t>GPN</t>
        </is>
      </c>
      <c r="B579" t="inlineStr">
        <is>
          <t>Financials</t>
        </is>
      </c>
      <c r="C579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580">
      <c r="A580" t="inlineStr">
        <is>
          <t>SIMO</t>
        </is>
      </c>
      <c r="B580" t="inlineStr">
        <is>
          <t>Information Technology</t>
        </is>
      </c>
      <c r="C580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581">
      <c r="A581" t="inlineStr">
        <is>
          <t>COLM</t>
        </is>
      </c>
      <c r="B581" t="inlineStr">
        <is>
          <t>Consumer Discretionary</t>
        </is>
      </c>
      <c r="C581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582">
      <c r="A582" t="inlineStr">
        <is>
          <t>MOH</t>
        </is>
      </c>
      <c r="B582" t="inlineStr">
        <is>
          <t>Health Care</t>
        </is>
      </c>
      <c r="C582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583">
      <c r="A583" t="inlineStr">
        <is>
          <t>RRC</t>
        </is>
      </c>
      <c r="B583" t="inlineStr">
        <is>
          <t>Energy</t>
        </is>
      </c>
      <c r="C583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584">
      <c r="A584" t="inlineStr">
        <is>
          <t>MTB</t>
        </is>
      </c>
      <c r="B584" t="inlineStr">
        <is>
          <t>Financials</t>
        </is>
      </c>
      <c r="C584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585">
      <c r="A585" t="inlineStr">
        <is>
          <t>PRAX</t>
        </is>
      </c>
      <c r="B585" t="inlineStr">
        <is>
          <t>Health Care</t>
        </is>
      </c>
      <c r="C585" t="inlineStr">
        <is>
          <t>SECTOR CAVEATS FOR HEALTH CARE:
  - Altman Z (1968): Pre-revenue biotechs will always show distress zone — only meaningful for profitable pharma
  - Altman Z' (1983): Biotech cos with no revenue show deep distress — not predictive of actual bankruptcy
  - Piotroski F-Score: R&amp;D-heavy biotechs often fail F2 (CFO&lt;0) and F7 (frequent equity raises) — structural not red flags
  - Beneish M-Score: Milestone revenue recognition in pharma causes DSRI/SGI spikes — expected, not manipulation
  - SGAI (Beneish): Biotech SGA patterns (heavy clinical trial spending) don't follow manufacturing norms
  - Springate S-Score: EBT/CL ratio distorted by R&amp;D burn-rate cos with no earnings</t>
        </is>
      </c>
    </row>
    <row r="586">
      <c r="A586" t="inlineStr">
        <is>
          <t>CSGP</t>
        </is>
      </c>
      <c r="B586" t="inlineStr">
        <is>
          <t>Financials</t>
        </is>
      </c>
      <c r="C586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587">
      <c r="A587" t="inlineStr">
        <is>
          <t>AMKR</t>
        </is>
      </c>
      <c r="B587" t="inlineStr">
        <is>
          <t>Information Technology</t>
        </is>
      </c>
      <c r="C587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588">
      <c r="A588" t="inlineStr">
        <is>
          <t>IPGP</t>
        </is>
      </c>
      <c r="B588" t="inlineStr">
        <is>
          <t>Information Technology</t>
        </is>
      </c>
      <c r="C588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589">
      <c r="A589" t="inlineStr">
        <is>
          <t>PGR</t>
        </is>
      </c>
      <c r="B589" t="inlineStr">
        <is>
          <t>Financials</t>
        </is>
      </c>
      <c r="C589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590">
      <c r="A590" t="inlineStr">
        <is>
          <t>FE</t>
        </is>
      </c>
      <c r="B590" t="inlineStr">
        <is>
          <t>Utilities</t>
        </is>
      </c>
      <c r="C590" t="inlineStr">
        <is>
          <t>SECTOR CAVEATS FOR UTILITIES:
  - Current Ratio: Utilities often run &lt;1x — regulated cash flows cover short-term obligations
  - Altman Z (1968): Capital-intensive regulated businesses have structurally low Z-scores
  - Altman Z' (1983): High structural leverage and regulatory assets distort all Z variants
  - Revenue Growth: Rate-regulated revenue is capped by regulators — high growth is unusual and may signal M&amp;A
  - Gross Margin: Fuel/energy cost pass-through distorts gross margin comparison significantly
  - Sloan Accrual: Regulatory assets/liabilities create large non-cash accruals — not an earnings quality issue
  - AQI (Beneish): Utilities have massive fixed asset bases — AQI reads high normally
  - Net Debt/EBITDA: 4-6x is normal and sustainable for regulated utilities — standard threshold misleading
  - Asset Turnover: Very low by nature — utilities are capital-intensive businesses
  - DEPI (Beneish): Long regulatory asset lives cause different depreciation patterns</t>
        </is>
      </c>
    </row>
    <row r="591">
      <c r="A591" t="inlineStr">
        <is>
          <t>MDLZ</t>
        </is>
      </c>
      <c r="B591" t="inlineStr">
        <is>
          <t>Consumer Staples</t>
        </is>
      </c>
      <c r="C591" t="inlineStr">
        <is>
          <t>SECTOR CAVEATS FOR CONSUMER STAPLES:
  - Revenue Growth: Mature category — expect 2-5% organic. High growth likely reflects M&amp;A, not organic gains
  - Quick Ratio: Stable cash flows allow lower quick ratios — &lt;1.0 is often acceptable</t>
        </is>
      </c>
    </row>
    <row r="592">
      <c r="A592" t="inlineStr">
        <is>
          <t>HBAN</t>
        </is>
      </c>
      <c r="B592" t="inlineStr">
        <is>
          <t>Financials</t>
        </is>
      </c>
      <c r="C592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593">
      <c r="A593" t="inlineStr">
        <is>
          <t>MTDR</t>
        </is>
      </c>
      <c r="B593" t="inlineStr">
        <is>
          <t>Energy</t>
        </is>
      </c>
      <c r="C593" t="inlineStr">
        <is>
          <t>SECTOR CAVEATS FOR ENERGY:
  - Revenue Growth: Heavily impacted by commodity prices — adjust for price vs volume split before interpreting
  - Net Margin: Extremely cyclical — single-year margin is misleading, use 5-year average
  - Gross Margin: Refining margins extremely volatile and driven by crack spreads, not company quality
  - Beneish SGI: Revenue swings are driven by oil/gas price, not volume manipulation
  - DEPI (Beneish): Depletion accounting (not standard depreciation) distorts DEPI signal
  - AQI (Beneish): PP&amp;E dominates energy balance sheets — AQI norms differ from manufacturers</t>
        </is>
      </c>
    </row>
    <row r="594">
      <c r="A594" t="inlineStr">
        <is>
          <t>BOOT</t>
        </is>
      </c>
      <c r="B594" t="inlineStr">
        <is>
          <t>Consumer Discretionary</t>
        </is>
      </c>
      <c r="C594" t="inlineStr">
        <is>
          <t>SECTOR CAVEATS FOR CONSUMER DISCRETIONARY:
  - Net Debt/EBITDA: Retailers with fast inventory turns can sustain higher leverage than the 2.5x threshold suggests
  - Current Ratio: Fast-turning retailers often &lt;1.0x — fine if inventory turns are high</t>
        </is>
      </c>
    </row>
    <row r="595">
      <c r="A595" t="inlineStr">
        <is>
          <t>WELL</t>
        </is>
      </c>
      <c r="B595" t="inlineStr">
        <is>
          <t>Real Estate</t>
        </is>
      </c>
      <c r="C595" t="inlineStr">
        <is>
          <t>SECTOR CAVEATS FOR REAL ESTATE:
  - Current Ratio: REITs often &lt;1x by design — property cash flows cover obligations
  - Quick Ratio: Not meaningful — REITs have minimal traditional current assets
  - Gross Margin: Not standard for REITs — Net Operating Income (NOI) is the right metric
  - Working Capital: Negative WC is normal and not a concern for REITs
  - Net Income / ROE: GAAP NI understates REIT performance due to depreciation — use FFO/AFFO
  - Altman Z (1968): Not designed for REITs — asset-heavy structure breaks all components
  - Altman Z' (1983): High structural leverage shows as distress — not a reliable signal
  - Net Debt/EBITDA: REITs run 5-8x leverage by design — standard threshold of 2.5x does not apply
  - SGAI (Beneish): REIT G&amp;A structure differs from industrial companies
  - Asset Turnover: Property companies have very low asset turnover by nature
  - DIO (days): No inventory — not applicable
  - DPO (days): Not applicable</t>
        </is>
      </c>
    </row>
    <row r="596">
      <c r="A596" t="inlineStr">
        <is>
          <t>NI</t>
        </is>
      </c>
      <c r="B596" t="inlineStr">
        <is>
          <t>Industrials</t>
        </is>
      </c>
      <c r="C596" t="inlineStr">
        <is>
          <t>SECTOR CAVEATS FOR INDUSTRIALS:
  - DEPI (Beneish): Long-lived industrial assets legitimately have extending depreciation schedules
  - Revenue Growth: Backlog-to-revenue timing creates lumpy growth — check book-to-bill ratio for true demand</t>
        </is>
      </c>
    </row>
    <row r="597">
      <c r="A597" t="inlineStr">
        <is>
          <t>DASH</t>
        </is>
      </c>
      <c r="B597" t="inlineStr">
        <is>
          <t>Communication Services</t>
        </is>
      </c>
      <c r="C597" t="inlineStr">
        <is>
          <t>SECTOR CAVEATS FOR COMMUNICATION SERVICES:
  - Beneish DSRI: Multi-year contracts create naturally high AR — compare to deferred revenue balance
  - AQI (Beneish): Spectrum licenses and tower assets dominate — AQI reads high normally
  - Net Debt/EBITDA: Telecom 3-4x is normal and sustainable — standard threshold of 2.5x does not apply
  - Current Ratio: Subscriber deferred revenue boosts current liabilities — ratio often &lt;1x by design</t>
        </is>
      </c>
    </row>
    <row r="598">
      <c r="A598" t="inlineStr">
        <is>
          <t>IRDM</t>
        </is>
      </c>
      <c r="B598" t="inlineStr">
        <is>
          <t>Communication Services</t>
        </is>
      </c>
      <c r="C598" t="inlineStr">
        <is>
          <t>SECTOR CAVEATS FOR COMMUNICATION SERVICES:
  - Beneish DSRI: Multi-year contracts create naturally high AR — compare to deferred revenue balance
  - AQI (Beneish): Spectrum licenses and tower assets dominate — AQI reads high normally
  - Net Debt/EBITDA: Telecom 3-4x is normal and sustainable — standard threshold of 2.5x does not apply
  - Current Ratio: Subscriber deferred revenue boosts current liabilities — ratio often &lt;1x by design</t>
        </is>
      </c>
    </row>
    <row r="599">
      <c r="A599" t="inlineStr">
        <is>
          <t>APO</t>
        </is>
      </c>
      <c r="B599" t="inlineStr">
        <is>
          <t>Financials</t>
        </is>
      </c>
      <c r="C599" t="inlineStr">
        <is>
          <t>SECTOR CAVEATS FOR FINANCIALS:
  - Working Capital: Banks don't have traditional WC — deposits fund loans, not operations
  - Current Ratio: Meaningless for banks — liabilities are deposits, not operational payables
  - Quick Ratio: Not applicable — bank balance sheets are structured differently
  - Altman Z (1968): Developed for manufacturers — X1 (WC/TA) and X5 (Rev/TA) break for banks
  - Altman Z' (1983): Not designed for financial institutions — leverage structure differs fundamentally
  - Altman Z'' (1995): Partially applicable but still distorted by banking leverage structure
  - Springate S-Score: EBT/CL ratio meaningless for banks — CL includes customer deposits
  - Zmijewski X-Score: CA/CL ratio (liquidity) breaks for banks — deposits inflate CL
  - Net Debt/EBITDA: Banks ARE highly levered by design — always shows extreme values
  - DSRI (Beneish): Revenue mix (fee vs interest income) differs — DSRI signal unreliable
  - AQI (Beneish): Bank 'soft assets' = loan portfolios, not intangibles — AQI distorted
  - Gross Margin: Not meaningful — banks don't report COGS in the traditional sense
  - Asset Turnover: Banks use assets to generate interest income — turnover norms differ vastly
  - DIO (days): No inventory — Days Inventory Outstanding not applicable
  - DPO (days): Accounts payable structure differs — DPO not meaningful</t>
        </is>
      </c>
    </row>
    <row r="600">
      <c r="A600" t="inlineStr">
        <is>
          <t>ALGM</t>
        </is>
      </c>
      <c r="B600" t="inlineStr">
        <is>
          <t>Information Technology</t>
        </is>
      </c>
      <c r="C600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  <row r="601">
      <c r="A601" t="inlineStr">
        <is>
          <t>LRCX</t>
        </is>
      </c>
      <c r="B601" t="inlineStr">
        <is>
          <t>Information Technology</t>
        </is>
      </c>
      <c r="C601" t="inlineStr">
        <is>
          <t>SECTOR CAVEATS FOR INFORMATION TECHNOLOGY:
  - Sloan Accrual: Fast-growing tech cos naturally have higher accruals — stock-based compensation adds significant noise
  - Beneish SGI: High revenue growth is expected and normal for tech — SGI &gt;1.4 is not unusual
  - Beneish DSRI: SaaS cos can have rising deferred revenue that offsets AR — watch net billings instead
  - DIO (days): Software cos have no inventory — Days Inventory Outstanding not applicable
  - DEPI (Beneish): Software and IP assets have different depreciation profiles than physical assets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C2626"/>
    <outlinePr summaryBelow="1" summaryRight="1"/>
    <pageSetUpPr/>
  </sheetPr>
  <dimension ref="A1:H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5" customWidth="1" min="3" max="3"/>
    <col width="4" customWidth="1" min="4" max="4"/>
    <col width="28" customWidth="1" min="5" max="5"/>
    <col width="13" customWidth="1" min="6" max="6"/>
    <col width="15" customWidth="1" min="7" max="7"/>
    <col width="3" customWidth="1" min="8" max="8"/>
  </cols>
  <sheetData>
    <row r="1" ht="34" customHeight="1">
      <c r="A1" s="175" t="inlineStr">
        <is>
          <t>🚨  FRAUD DETECTION CARD</t>
        </is>
      </c>
    </row>
    <row r="2" ht="6" customHeight="1">
      <c r="A2" s="176" t="n"/>
      <c r="B2" s="176" t="n"/>
      <c r="C2" s="176" t="n"/>
      <c r="D2" s="176" t="n"/>
      <c r="E2" s="176" t="n"/>
      <c r="F2" s="176" t="n"/>
      <c r="G2" s="176" t="n"/>
      <c r="H2" s="176" t="n"/>
    </row>
    <row r="3" ht="40" customHeight="1">
      <c r="A3" s="177" t="inlineStr">
        <is>
          <t xml:space="preserve">  ▼  SELECT TICKER</t>
        </is>
      </c>
      <c r="B3" s="178" t="inlineStr">
        <is>
          <t>AVY</t>
        </is>
      </c>
      <c r="C3" s="179" t="n"/>
      <c r="D3" s="180">
        <f>IFERROR(VLOOKUP($B$3,Inputs!$B:$C,2,0),"— select ticker —")</f>
        <v/>
      </c>
    </row>
    <row r="4" ht="20" customHeight="1">
      <c r="A4" s="137" t="inlineStr">
        <is>
          <t xml:space="preserve">  Sector</t>
        </is>
      </c>
      <c r="B4" s="138">
        <f>IFERROR(VLOOKUP($B$3,Inputs!$B:$D,3,0),"")</f>
        <v/>
      </c>
      <c r="C4" s="42" t="n"/>
      <c r="D4" s="137" t="inlineStr">
        <is>
          <t xml:space="preserve">  Fraud Risk Score</t>
        </is>
      </c>
      <c r="E4" s="181">
        <f>IFERROR(VLOOKUP($B$3,Fraud_Detection!$A:$BZ,50,0),"")</f>
        <v/>
      </c>
      <c r="F4" s="137" t="inlineStr">
        <is>
          <t>/ 100</t>
        </is>
      </c>
      <c r="G4" s="182">
        <f>IFERROR(VLOOKUP($B$3,Fraud_Detection!$A:$BZ,51,0),"")</f>
        <v/>
      </c>
      <c r="H4" s="42" t="n"/>
    </row>
    <row r="5" ht="8" customHeight="1"/>
    <row r="6" ht="32" customHeight="1">
      <c r="A6" s="183">
        <f>IF(IFERROR(VLOOKUP($B$3,Fraud_Detection!$A:$BZ,50,0),0)&gt;=70,"🔴  HIGH FRAUD RISK",IF(IFERROR(VLOOKUP($B$3,Fraud_Detection!$A:$BZ,50,0),0)&gt;=40,"🟡  ELEVATED RISK","🟢  LOW FRAUD RISK"))</f>
        <v/>
      </c>
      <c r="B6" s="184" t="n"/>
      <c r="C6" s="184" t="n"/>
      <c r="D6" s="185" t="n"/>
      <c r="E6" s="186">
        <f>IF(IFERROR(VLOOKUP($B$3,Fraud_Detection!$A:$BZ,60,0),0)&gt;=2,"⚠  INVESTIGATE",IF(IFERROR(VLOOKUP($B$3,Fraud_Detection!$A:$BZ,60,0),0)&gt;=1,"👁  MONITOR","✓  CLEAR"))</f>
        <v/>
      </c>
      <c r="F6" s="184" t="n"/>
      <c r="G6" s="184" t="n"/>
      <c r="H6" s="185" t="n"/>
    </row>
    <row r="7" ht="26" customHeight="1">
      <c r="A7" s="187" t="inlineStr">
        <is>
          <t>Models Flagged</t>
        </is>
      </c>
      <c r="B7" s="188">
        <f>IFERROR(VLOOKUP($B$3,Fraud_Detection!$A:$BZ,60,0),0)</f>
        <v/>
      </c>
      <c r="C7" s="187" t="inlineStr">
        <is>
          <t>Model Coverage</t>
        </is>
      </c>
      <c r="D7" s="188">
        <f>TEXT(ROUND(IFERROR(VLOOKUP($B$3,Fraud_Detection!$A:$BZ,61,0),0)*6,0),"0")&amp;"/6 ("&amp;TEXT(IFERROR(VLOOKUP($B$3,Fraud_Detection!$A:$BZ,61,0),0),"0%")&amp;")"</f>
        <v/>
      </c>
      <c r="E7" s="187" t="inlineStr">
        <is>
          <t>Fraud Score</t>
        </is>
      </c>
      <c r="F7" s="188">
        <f>TEXT(IFERROR(VLOOKUP($B$3,Fraud_Detection!$A:$BZ,50,0),0),"0.0")&amp;" / 100"</f>
        <v/>
      </c>
      <c r="G7" s="187" t="inlineStr">
        <is>
          <t>Sector</t>
        </is>
      </c>
      <c r="H7" s="188">
        <f>IFERROR(VLOOKUP($B$3,Inputs!$B:$D,3,0),"—")</f>
        <v/>
      </c>
    </row>
    <row r="8" ht="8" customHeight="1"/>
    <row r="9" ht="6" customHeight="1"/>
    <row r="10" ht="22" customHeight="1">
      <c r="A10" s="189" t="inlineStr">
        <is>
          <t xml:space="preserve">  🔬  BENEISH M-SCORE COMPONENTS</t>
        </is>
      </c>
      <c r="E10" s="190" t="inlineStr">
        <is>
          <t xml:space="preserve">  📊  COMPOSITE FRAUD MODELS</t>
        </is>
      </c>
    </row>
    <row r="11" ht="20" customHeight="1">
      <c r="A11" s="71" t="inlineStr">
        <is>
          <t xml:space="preserve">  DSRI (Recv/Rev ratio)</t>
        </is>
      </c>
      <c r="B11" s="153">
        <f>IFERROR(VLOOKUP($B$3,Fraud_Detection!$A:$BZ,3,0),"")</f>
        <v/>
      </c>
      <c r="C11" s="149" t="inlineStr">
        <is>
          <t>—</t>
        </is>
      </c>
      <c r="D11" s="42" t="n"/>
      <c r="E11" s="71" t="inlineStr">
        <is>
          <t xml:space="preserve">  Dechow F-Prob</t>
        </is>
      </c>
      <c r="F11" s="145">
        <f>IFERROR(VLOOKUP($B$3,Fraud_Detection!$A:$BZ,20,0),"")</f>
        <v/>
      </c>
      <c r="G11" s="149" t="inlineStr">
        <is>
          <t>—</t>
        </is>
      </c>
      <c r="H11" s="150" t="n"/>
    </row>
    <row r="12" ht="20" customHeight="1">
      <c r="A12" s="71" t="inlineStr">
        <is>
          <t xml:space="preserve">  AQI (Asset Quality)</t>
        </is>
      </c>
      <c r="B12" s="153">
        <f>IFERROR(VLOOKUP($B$3,Fraud_Detection!$A:$BZ,5,0),"")</f>
        <v/>
      </c>
      <c r="C12" s="149" t="inlineStr">
        <is>
          <t>—</t>
        </is>
      </c>
      <c r="D12" s="42" t="n"/>
      <c r="E12" s="71" t="inlineStr">
        <is>
          <t xml:space="preserve">  Montier C-Score</t>
        </is>
      </c>
      <c r="F12" s="146">
        <f>IFERROR(VLOOKUP($B$3,Fraud_Detection!$A:$BZ,28,0),"")</f>
        <v/>
      </c>
      <c r="G12" s="149" t="inlineStr">
        <is>
          <t>—</t>
        </is>
      </c>
      <c r="H12" s="150" t="n"/>
    </row>
    <row r="13" ht="20" customHeight="1">
      <c r="A13" s="71" t="inlineStr">
        <is>
          <t xml:space="preserve">  DEPI (Deprec. Index)</t>
        </is>
      </c>
      <c r="B13" s="153">
        <f>IFERROR(VLOOKUP($B$3,Fraud_Detection!$A:$BZ,7,0),"")</f>
        <v/>
      </c>
      <c r="C13" s="149" t="inlineStr">
        <is>
          <t>—</t>
        </is>
      </c>
      <c r="D13" s="42" t="n"/>
      <c r="E13" s="71" t="inlineStr">
        <is>
          <t xml:space="preserve">  Sloan Accrual (Full)</t>
        </is>
      </c>
      <c r="F13" s="153">
        <f>IFERROR(VLOOKUP($B$3,Fraud_Detection!$A:$BZ,33,0),"")</f>
        <v/>
      </c>
      <c r="G13" s="149" t="inlineStr">
        <is>
          <t>—</t>
        </is>
      </c>
      <c r="H13" s="150" t="n"/>
    </row>
    <row r="14" ht="20" customHeight="1">
      <c r="A14" s="71" t="inlineStr">
        <is>
          <t xml:space="preserve">  LVGI (Leverage Index)</t>
        </is>
      </c>
      <c r="B14" s="153">
        <f>IFERROR(VLOOKUP($B$3,Fraud_Detection!$A:$BZ,9,0),"")</f>
        <v/>
      </c>
      <c r="C14" s="149" t="inlineStr">
        <is>
          <t>—</t>
        </is>
      </c>
      <c r="D14" s="42" t="n"/>
      <c r="E14" s="71" t="inlineStr">
        <is>
          <t xml:space="preserve">  LT Score</t>
        </is>
      </c>
      <c r="F14" s="146">
        <f>IFERROR(VLOOKUP($B$3,Fraud_Detection!$A:$BZ,48,0),"")</f>
        <v/>
      </c>
      <c r="G14" s="149" t="inlineStr">
        <is>
          <t>—</t>
        </is>
      </c>
      <c r="H14" s="150" t="n"/>
    </row>
    <row r="15" ht="20" customHeight="1">
      <c r="A15" s="71" t="inlineStr">
        <is>
          <t xml:space="preserve">  M-Score</t>
        </is>
      </c>
      <c r="B15" s="142">
        <f>IFERROR(VLOOKUP($B$3,Fraud_Detection!$A:$BZ,11,0),"")</f>
        <v/>
      </c>
      <c r="C15" s="149" t="inlineStr">
        <is>
          <t>—</t>
        </is>
      </c>
      <c r="D15" s="42" t="n"/>
      <c r="E15" s="71" t="inlineStr">
        <is>
          <t xml:space="preserve">  Rev Quality Score</t>
        </is>
      </c>
      <c r="F15" s="154">
        <f>IFERROR(VLOOKUP($B$3,Fraud_Detection!$A:$BZ,40,0),"")</f>
        <v/>
      </c>
      <c r="G15" s="149" t="inlineStr">
        <is>
          <t>—</t>
        </is>
      </c>
      <c r="H15" s="150" t="n"/>
    </row>
    <row r="16" ht="6" customHeight="1"/>
    <row r="17" ht="6" customHeight="1"/>
    <row r="18" ht="22" customHeight="1">
      <c r="A18" s="155" t="inlineStr">
        <is>
          <t xml:space="preserve">  🚩  MONTIER C-SCORE FLAGS</t>
        </is>
      </c>
      <c r="E18" s="191" t="inlineStr">
        <is>
          <t xml:space="preserve">  🧮  DECHOW F-SCORE COMPONENTS</t>
        </is>
      </c>
    </row>
    <row r="19" ht="20" customHeight="1">
      <c r="A19" s="71" t="inlineStr">
        <is>
          <t xml:space="preserve">  C1: NI &gt; CFO Gap growing</t>
        </is>
      </c>
      <c r="B19" s="151">
        <f>IFERROR(VLOOKUP($B$3,Fraud_Detection!$A:$BZ,22,0),"")</f>
        <v/>
      </c>
      <c r="C19" s="192" t="inlineStr"/>
      <c r="D19" s="42" t="n"/>
      <c r="E19" s="71" t="inlineStr">
        <is>
          <t xml:space="preserve">  Operating Accruals/TA</t>
        </is>
      </c>
      <c r="F19" s="153">
        <f>IFERROR(VLOOKUP($B$3,Fraud_Detection!$A:$BZ,13,0),"")</f>
        <v/>
      </c>
      <c r="G19" s="149" t="inlineStr">
        <is>
          <t>—</t>
        </is>
      </c>
      <c r="H19" s="150" t="n"/>
    </row>
    <row r="20" ht="20" customHeight="1">
      <c r="A20" s="71" t="inlineStr">
        <is>
          <t xml:space="preserve">  C2: DSO Rising</t>
        </is>
      </c>
      <c r="B20" s="151">
        <f>IFERROR(VLOOKUP($B$3,Fraud_Detection!$A:$BZ,23,0),"")</f>
        <v/>
      </c>
      <c r="C20" s="192" t="inlineStr"/>
      <c r="D20" s="42" t="n"/>
      <c r="E20" s="71" t="inlineStr">
        <is>
          <t xml:space="preserve">  ΔReceivables / ΔRevenue</t>
        </is>
      </c>
      <c r="F20" s="153">
        <f>IFERROR(VLOOKUP($B$3,Fraud_Detection!$A:$BZ,14,0),"")</f>
        <v/>
      </c>
      <c r="G20" s="149" t="inlineStr">
        <is>
          <t>—</t>
        </is>
      </c>
      <c r="H20" s="150" t="n"/>
    </row>
    <row r="21" ht="20" customHeight="1">
      <c r="A21" s="71" t="inlineStr">
        <is>
          <t xml:space="preserve">  C3: DIO Rising</t>
        </is>
      </c>
      <c r="B21" s="151">
        <f>IFERROR(VLOOKUP($B$3,Fraud_Detection!$A:$BZ,24,0),"")</f>
        <v/>
      </c>
      <c r="C21" s="192" t="inlineStr"/>
      <c r="D21" s="42" t="n"/>
      <c r="E21" s="71" t="inlineStr">
        <is>
          <t xml:space="preserve">  ΔInventory / ΔRevenue</t>
        </is>
      </c>
      <c r="F21" s="153">
        <f>IFERROR(VLOOKUP($B$3,Fraud_Detection!$A:$BZ,15,0),"")</f>
        <v/>
      </c>
      <c r="G21" s="149" t="inlineStr">
        <is>
          <t>—</t>
        </is>
      </c>
      <c r="H21" s="150" t="n"/>
    </row>
    <row r="22" ht="20" customHeight="1">
      <c r="A22" s="71" t="inlineStr">
        <is>
          <t xml:space="preserve">  C4: DPO Falling</t>
        </is>
      </c>
      <c r="B22" s="151">
        <f>IFERROR(VLOOKUP($B$3,Fraud_Detection!$A:$BZ,25,0),"")</f>
        <v/>
      </c>
      <c r="C22" s="192" t="inlineStr"/>
      <c r="D22" s="42" t="n"/>
      <c r="E22" s="71" t="inlineStr">
        <is>
          <t xml:space="preserve">  Soft Assets %</t>
        </is>
      </c>
      <c r="F22" s="145">
        <f>IFERROR(VLOOKUP($B$3,Fraud_Detection!$A:$BZ,16,0),"")</f>
        <v/>
      </c>
      <c r="G22" s="149" t="inlineStr">
        <is>
          <t>—</t>
        </is>
      </c>
      <c r="H22" s="150" t="n"/>
    </row>
    <row r="23" ht="20" customHeight="1">
      <c r="A23" s="71" t="inlineStr">
        <is>
          <t xml:space="preserve">  C5: D&amp;A / TA Declining</t>
        </is>
      </c>
      <c r="B23" s="151">
        <f>IFERROR(VLOOKUP($B$3,Fraud_Detection!$A:$BZ,26,0),"")</f>
        <v/>
      </c>
      <c r="C23" s="192" t="inlineStr"/>
      <c r="D23" s="42" t="n"/>
      <c r="E23" s="71" t="inlineStr">
        <is>
          <t xml:space="preserve">  Δ ROA</t>
        </is>
      </c>
      <c r="F23" s="153">
        <f>IFERROR(VLOOKUP($B$3,Fraud_Detection!$A:$BZ,17,0),"")</f>
        <v/>
      </c>
      <c r="G23" s="149" t="inlineStr">
        <is>
          <t>—</t>
        </is>
      </c>
      <c r="H23" s="150" t="n"/>
    </row>
    <row r="24" ht="20" customHeight="1">
      <c r="A24" s="71" t="inlineStr">
        <is>
          <t xml:space="preserve">  C6: Asset Growth &gt; 10%</t>
        </is>
      </c>
      <c r="B24" s="151">
        <f>IFERROR(VLOOKUP($B$3,Fraud_Detection!$A:$BZ,27,0),"")</f>
        <v/>
      </c>
      <c r="C24" s="192" t="inlineStr"/>
      <c r="D24" s="42" t="n"/>
      <c r="E24" s="71" t="inlineStr">
        <is>
          <t xml:space="preserve">  New Issuance Flag</t>
        </is>
      </c>
      <c r="F24" s="151">
        <f>IFERROR(VLOOKUP($B$3,Fraud_Detection!$A:$BZ,18,0),"")</f>
        <v/>
      </c>
      <c r="G24" s="149" t="inlineStr">
        <is>
          <t>—</t>
        </is>
      </c>
      <c r="H24" s="150" t="n"/>
    </row>
    <row r="25" ht="6" customHeight="1"/>
    <row r="26" ht="22" customHeight="1">
      <c r="A26" s="147" t="inlineStr">
        <is>
          <t xml:space="preserve">  📅  WORKING CAPITAL CYCLES</t>
        </is>
      </c>
      <c r="E26" s="193" t="inlineStr">
        <is>
          <t xml:space="preserve">  📈  LEV &amp; THIAGARAJAN SIGNALS</t>
        </is>
      </c>
    </row>
    <row r="27" ht="20" customHeight="1">
      <c r="A27" s="71" t="inlineStr">
        <is>
          <t xml:space="preserve">  DSO Y0 (days)</t>
        </is>
      </c>
      <c r="B27" s="154">
        <f>IFERROR(VLOOKUP($B$3,Fraud_Detection!$A:$BZ,52,0),"")</f>
        <v/>
      </c>
      <c r="C27" s="194">
        <f>IFERROR(IFERROR(VLOOKUP($B$3,Fraud_Detection!$A:$BZ,52,0),"")-(IFERROR(VLOOKUP($B$3,Fraud_Detection!$A:$BZ,53,0),"")),"—")</f>
        <v/>
      </c>
      <c r="D27" s="195">
        <f>IFERROR(IF(ABS(IFERROR(VLOOKUP($B$3,Fraud_Detection!$A:$BZ,52,0),"")-(IFERROR(VLOOKUP($B$3,Fraud_Detection!$A:$BZ,53,0),"")))&lt;2,"→",IF(IFERROR(VLOOKUP($B$3,Fraud_Detection!$A:$BZ,52,0),"")&gt;(IFERROR(VLOOKUP($B$3,Fraud_Detection!$A:$BZ,53,0),"")),"↑","↓")),"—")</f>
        <v/>
      </c>
      <c r="E27" s="71" t="inlineStr">
        <is>
          <t xml:space="preserve">  LT1: Inventory vs Revenue</t>
        </is>
      </c>
      <c r="F27" s="151">
        <f>IFERROR(VLOOKUP($B$3,Fraud_Detection!$A:$BZ,42,0),"")</f>
        <v/>
      </c>
      <c r="G27" s="7" t="n"/>
      <c r="H27" s="150" t="n"/>
    </row>
    <row r="28" ht="20" customHeight="1">
      <c r="A28" s="71" t="inlineStr">
        <is>
          <t xml:space="preserve">  DIO Y0 (days)</t>
        </is>
      </c>
      <c r="B28" s="154">
        <f>IFERROR(VLOOKUP($B$3,Fraud_Detection!$A:$BZ,54,0),"")</f>
        <v/>
      </c>
      <c r="C28" s="194">
        <f>IFERROR(IFERROR(VLOOKUP($B$3,Fraud_Detection!$A:$BZ,54,0),"")-(IFERROR(VLOOKUP($B$3,Fraud_Detection!$A:$BZ,55,0),"")),"—")</f>
        <v/>
      </c>
      <c r="D28" s="195">
        <f>IFERROR(IF(ABS(IFERROR(VLOOKUP($B$3,Fraud_Detection!$A:$BZ,54,0),"")-(IFERROR(VLOOKUP($B$3,Fraud_Detection!$A:$BZ,55,0),"")))&lt;2,"→",IF(IFERROR(VLOOKUP($B$3,Fraud_Detection!$A:$BZ,54,0),"")&gt;(IFERROR(VLOOKUP($B$3,Fraud_Detection!$A:$BZ,55,0),"")),"↑","↓")),"—")</f>
        <v/>
      </c>
      <c r="E28" s="71" t="inlineStr">
        <is>
          <t xml:space="preserve">  LT2: AR vs Revenue</t>
        </is>
      </c>
      <c r="F28" s="151">
        <f>IFERROR(VLOOKUP($B$3,Fraud_Detection!$A:$BZ,43,0),"")</f>
        <v/>
      </c>
      <c r="G28" s="7" t="n"/>
      <c r="H28" s="150" t="n"/>
    </row>
    <row r="29" ht="20" customHeight="1">
      <c r="A29" s="71" t="inlineStr">
        <is>
          <t xml:space="preserve">  DPO Y0 (days)</t>
        </is>
      </c>
      <c r="B29" s="154">
        <f>IFERROR(VLOOKUP($B$3,Fraud_Detection!$A:$BZ,56,0),"")</f>
        <v/>
      </c>
      <c r="C29" s="194">
        <f>IFERROR(IFERROR(VLOOKUP($B$3,Fraud_Detection!$A:$BZ,56,0),"")-(IFERROR(VLOOKUP($B$3,Fraud_Detection!$A:$BZ,57,0),"")),"—")</f>
        <v/>
      </c>
      <c r="D29" s="195">
        <f>IFERROR(IF(ABS(IFERROR(VLOOKUP($B$3,Fraud_Detection!$A:$BZ,56,0),"")-(IFERROR(VLOOKUP($B$3,Fraud_Detection!$A:$BZ,57,0),"")))&lt;2,"→",IF(IFERROR(VLOOKUP($B$3,Fraud_Detection!$A:$BZ,56,0),"")&gt;(IFERROR(VLOOKUP($B$3,Fraud_Detection!$A:$BZ,57,0),"")),"↑","↓")),"—")</f>
        <v/>
      </c>
      <c r="E29" s="71" t="inlineStr">
        <is>
          <t xml:space="preserve">  LT3: Gross Margin</t>
        </is>
      </c>
      <c r="F29" s="151">
        <f>IFERROR(VLOOKUP($B$3,Fraud_Detection!$A:$BZ,44,0),"")</f>
        <v/>
      </c>
      <c r="G29" s="7" t="n"/>
      <c r="H29" s="150" t="n"/>
    </row>
    <row r="30" ht="20" customHeight="1">
      <c r="A30" s="71" t="inlineStr">
        <is>
          <t xml:space="preserve">  Eff. Tax Rate</t>
        </is>
      </c>
      <c r="B30" s="145">
        <f>IFERROR(VLOOKUP($B$3,Fraud_Detection!$A:$BZ,58,0),"")</f>
        <v/>
      </c>
      <c r="C30" s="196" t="n"/>
      <c r="D30" s="196" t="n"/>
      <c r="E30" s="71" t="inlineStr">
        <is>
          <t xml:space="preserve">  LT4: SGA Expense</t>
        </is>
      </c>
      <c r="F30" s="151">
        <f>IFERROR(VLOOKUP($B$3,Fraud_Detection!$A:$BZ,45,0),"")</f>
        <v/>
      </c>
      <c r="G30" s="7" t="n"/>
      <c r="H30" s="150" t="n"/>
    </row>
    <row r="31" ht="6" customHeight="1"/>
    <row r="32" ht="22" customHeight="1">
      <c r="A32" s="189" t="inlineStr">
        <is>
          <t xml:space="preserve">  💰  REVENUE QUALITY INDEX</t>
        </is>
      </c>
    </row>
    <row r="33" ht="20" customHeight="1">
      <c r="A33" s="71" t="inlineStr">
        <is>
          <t xml:space="preserve">  Recv Growth</t>
        </is>
      </c>
      <c r="B33" s="145">
        <f>IFERROR(VLOOKUP($B$3,Fraud_Detection!$A:$BZ,35,0),"")</f>
        <v/>
      </c>
      <c r="C33" s="192" t="inlineStr"/>
      <c r="D33" s="42" t="n"/>
      <c r="E33" s="71" t="inlineStr">
        <is>
          <t xml:space="preserve">  Rev Growth</t>
        </is>
      </c>
      <c r="F33" s="145">
        <f>IFERROR(VLOOKUP($B$3,Fraud_Detection!$A:$BZ,36,0),"")</f>
        <v/>
      </c>
      <c r="G33" s="192" t="inlineStr"/>
      <c r="H33" s="150" t="n"/>
    </row>
    <row r="34" ht="20" customHeight="1">
      <c r="A34" s="71" t="inlineStr">
        <is>
          <t xml:space="preserve">  Recv/Rev Ratio</t>
        </is>
      </c>
      <c r="B34" s="142">
        <f>IFERROR(VLOOKUP($B$3,Fraud_Detection!$A:$BZ,37,0),"")</f>
        <v/>
      </c>
      <c r="C34" s="192" t="inlineStr"/>
      <c r="D34" s="42" t="n"/>
      <c r="E34" s="71" t="inlineStr">
        <is>
          <t xml:space="preserve">  Cash Collection</t>
        </is>
      </c>
      <c r="F34" s="145">
        <f>IFERROR(VLOOKUP($B$3,Fraud_Detection!$A:$BZ,38,0),"")</f>
        <v/>
      </c>
      <c r="G34" s="192" t="inlineStr"/>
      <c r="H34" s="150" t="n"/>
    </row>
    <row r="35" ht="20" customHeight="1">
      <c r="A35" s="71" t="inlineStr">
        <is>
          <t xml:space="preserve">  Defrev Change</t>
        </is>
      </c>
      <c r="B35" s="153">
        <f>IFERROR(VLOOKUP($B$3,Fraud_Detection!$A:$BZ,39,0),"")</f>
        <v/>
      </c>
      <c r="C35" s="192" t="inlineStr"/>
      <c r="D35" s="42" t="n"/>
      <c r="E35" s="71" t="inlineStr">
        <is>
          <t xml:space="preserve">  Rev Quality Score</t>
        </is>
      </c>
      <c r="F35" s="154">
        <f>IFERROR(VLOOKUP($B$3,Fraud_Detection!$A:$BZ,40,0),"")</f>
        <v/>
      </c>
      <c r="G35" s="192" t="inlineStr"/>
      <c r="H35" s="150" t="n"/>
    </row>
    <row r="36" ht="18" customHeight="1">
      <c r="A36" s="197" t="inlineStr">
        <is>
          <t xml:space="preserve">  RQI Scale →</t>
        </is>
      </c>
      <c r="B36" s="198" t="inlineStr"/>
      <c r="C36" s="198" t="inlineStr"/>
      <c r="D36" s="198" t="inlineStr"/>
      <c r="E36" s="198" t="inlineStr"/>
      <c r="F36" s="199" t="inlineStr"/>
      <c r="G36" s="199" t="inlineStr"/>
      <c r="H36" s="199" t="inlineStr"/>
    </row>
    <row r="37" ht="6" customHeight="1"/>
    <row r="38" ht="22" customHeight="1">
      <c r="A38" s="189" t="inlineStr">
        <is>
          <t xml:space="preserve">  🤖  AUTOMATED FRAUD ANALYSIS &amp; INVESTIGATION GUIDE</t>
        </is>
      </c>
    </row>
    <row r="39" ht="16" customHeight="1">
      <c r="A39" s="200" t="inlineStr">
        <is>
          <t>⚡ Analysis for default ticker. Change dropdown (B3) to browse scores above. Re-run company_scanner.py to regenerate this analysis for any ticker.</t>
        </is>
      </c>
    </row>
    <row r="40" ht="22" customHeight="1">
      <c r="A40" s="165" t="inlineStr">
        <is>
          <t xml:space="preserve">  ANALYSIS</t>
        </is>
      </c>
    </row>
    <row r="41" ht="6" customHeight="1">
      <c r="A41" s="201" t="inlineStr">
        <is>
          <t xml:space="preserve">  FRAUD RISK ASSESSMENT</t>
        </is>
      </c>
    </row>
    <row r="42" ht="22" customHeight="1">
      <c r="A42" s="158" t="inlineStr">
        <is>
          <t xml:space="preserve">  ⚠  SECTOR CAVEATS — READ BEFORE INTERPRETING SCORES</t>
        </is>
      </c>
    </row>
    <row r="43" ht="90" customHeight="1">
      <c r="A43" s="164">
        <f>IFERROR(VLOOKUP($B$3,Sector_Warnings!$A:$C,3,0),"✓ All fraud models apply normally for this sector.")</f>
        <v/>
      </c>
    </row>
    <row r="44" ht="14" customHeight="1">
      <c r="A44" s="160" t="inlineStr">
        <is>
          <t>DISCLAIMER: Quantitative screen only. Flags require qualitative investigation. Not evidence of fraud. Source: SEC EDGAR via company_scanner.py</t>
        </is>
      </c>
    </row>
    <row r="45" ht="22" customHeight="1">
      <c r="A45" s="167" t="inlineStr">
        <is>
          <t xml:space="preserve">  INDUSTRY CONTEXT</t>
        </is>
      </c>
    </row>
    <row r="46" ht="218" customHeight="1">
      <c r="A46" s="202" t="inlineStr">
        <is>
          <t>INDUSTRY CONTEXT — Sector: Materials
  EBIT Margin: 10.4% | Sector: 🟢18.0% / 12.0% / 🔴5.0% | 🟡 BELOW MEDIAN
  Net Margin: 7.8% | Sector: 🟢12.0% / 8.0% / 🔴2.0% | 🟡 BELOW MEDIAN
  Gross Margin: 28.8% | Sector: 🟢35.0% / 25.0% / 🔴12.0% | 📊 AT MEDIAN
  ROE: 30.7% | Sector: 🟢15.0% / 10.0% / 🔴4.0% | 🟢 ABOVE GOOD
  ROA: 7.8% | Sector: 🟢7.0% / 4.0% / 🔴1.0% | 🟢 ABOVE GOOD
  Revenue Growth: 1.1% | Sector: 🟢6.0% / 2.0% / 🔴-5.0% | 🟡 BELOW MEDIAN
  FCF Margin: 8.0% | Sector: 🟢8.0% / 4.0% / 🔴1.0% | 🟢 ABOVE GOOD
  Leverage: 100.0% | Sector: 🟢40.0% / 55.0% / 🔴70.0% | 🔴 POOR
  Interest Cov: 7.77x | Sector: 🟢7.00x / 4.00x / 🔴2.00x | 🟢 ABOVE GOOD
  CFO/NI Ratio: 1.28x | Sector: 🟢1.10x / 0.85x / 🔴0.65x | 🟢 ABOVE GOOD
  DSO (days): 62d | Sector: 🟢40d / 55d / 🔴80d | 🟡 BELOW MEDIAN
  DIO (days): 56d | Sector: 🟢50d / 75d / 🔴110d | 📊 AT MEDIAN
  M-Score vs Sector Median: -2.65 vs -2.40 sector median | ✓ IN LINE
  Sloan Accrual vs Sector:  0.05 vs 0.050 sector median | ✓ IN LINE
  📌 Sector note: Commodity-linked. Capital intensive. High D&amp;A. Inventory valuation method matters (LIFO/FIFO).</t>
        </is>
      </c>
    </row>
    <row r="47" ht="22" customHeight="1">
      <c r="A47" s="173" t="inlineStr">
        <is>
          <t xml:space="preserve">  FRAUD PATTERNS IDENTIFIED</t>
        </is>
      </c>
    </row>
    <row r="48" ht="220" customHeight="1">
      <c r="A48" s="203" t="inlineStr">
        <is>
          <t>FRAUD PATTERNS IDENTIFIED: 3
#1  REVENUE RECOGNITION FRAUD  [MEDIUM PRIORITY]
WHAT THIS MEANS:
  Company may be recording revenue prematurely or fictitiously. Common 
  methods: bill-and-hold arrangements, channel stuffing, round-trip 
  transactions, or recognising long-term contract revenue too early. 
SIGNALS TRIGGERED:
  ▸ DSO rising (62 days vs 61 days prior year | sector peer median: 55d)
  ▸ Recv/Rev ratio = 2.26 — receivables outpacing sales
  ▸ Cash collection rate = 10.0% — low cash received vs revenue reported
WHERE TO LOOK IN THE FINANCIALS:
  → Accounts Receivable aging schedule — look for unusually old receivables
  → Revenue cutoff — compare shipment dates to invoice dates near quarter-end
  → Sales returns and allowances after balance sheet date
  → Customer concentration — check if top customers account for outsized AR
  → Cash receipts journal — does cash received match invoiced revenue?
  → Deferred revenue schedule — is it declining while revenue grows?
#2  EXPENSE CAPITALISATION / ASSET INFLATION  [MEDIUM PRIORITY]
WHAT THIS MEANS:
  Company may be capitalising expenses that should flow through the 
  income statement, or inflating asset values. Common methods: 
  WorldCom-style capex manipulation, extending useful life of assets, or 
  goodwill impairment avoidance. 
SIGNALS TRIGGERED:
  ▸ ⚠ Sector caveat:[⚠ NOT RELIABLE for Materials: Mine and asset life extensions are common and legitimate in mining...]
  ▸ Soft assets = 80.2% of total assets — high intangible/goodwill exposure
  ▸ Multiple L&amp;T fundamental signals deteriorating
WHERE TO LOOK IN THE FINANCIALS:
  → PP&amp;E roll-forward — check additions vs actual capital spending
  → Capitalised software or development costs schedule
  → Depreciation useful life assumptions vs industry peers
  → Goodwill and intangibles impairment testing disclosures
  → Operating lease vs capital lease classification
  → Footnotes on asset write-downs or impairments avoided
#3  EXPENSE / TAX / RELATED PARTY IRREGULARITIES  [MEDIUM PRIORITY]
WHAT THIS MEANS:
  Unusual expense patterns or tax rates may indicate related party 
  transactions, undisclosed compensation schemes, or aggressive tax 
  avoidance. Rising SGA with falling payables is unusual and warrants 
  scrutiny. 
SIGNALS TRIGGERED:
  ▸ DPO falling (73 days) — paying suppliers faster than before (unusual)
  ▸ Effective tax rate declining (L&amp;T signal)
WHERE TO LOOK IN THE FINANCIALS:
  → Related party transaction disclosures in footnotes
  → Executive compensation plans and equity awards
  → Tax footnote — reconcile statutory vs effective tax rate
  → Off-balance sheet arrangements and variable interest entities
  → Legal proceedings section — any regulatory investigations?
  → Accounts payable aging — why are suppliers being paid faster?</t>
        </is>
      </c>
    </row>
    <row r="49" ht="22" customHeight="1">
      <c r="A49" s="169" t="inlineStr">
        <is>
          <t xml:space="preserve">  UNIVERSAL RED FLAG CHECKLIST</t>
        </is>
      </c>
    </row>
    <row r="50" ht="140" customHeight="1">
      <c r="A50" s="204" t="inlineStr">
        <is>
          <t>UNIVERSAL RED FLAG CHECKLIST
⚠  METRICS NOT RELIABLE FOR MATERIALS — treat these with extra caution:
   • Revenue Growth: Commodity price-driven swings — volume growth is the meaningful metric...
   • Net Margin: Cyclical — use mid-cycle or through-the-cycle margin for comparisons...
   • Beneish SGI: Revenue swings with commodity prices — not a manipulation signal...
   • DEPI (Beneish): Mine and asset life extensions are common and legitimate in mining...
  ✓ No specific checklist items triggered — standard procedures apply
Analysis generated by company_scanner.py | Source: SEC EDGAR XBRL
This is a quantitative screen only — not a definitive finding of fraud.
All flags require qualitative investigation before drawing conclusions.</t>
        </is>
      </c>
    </row>
  </sheetData>
  <mergeCells count="24">
    <mergeCell ref="A48:H48"/>
    <mergeCell ref="E26:H26"/>
    <mergeCell ref="A39:H39"/>
    <mergeCell ref="A49:H49"/>
    <mergeCell ref="A45:H45"/>
    <mergeCell ref="A1:H1"/>
    <mergeCell ref="A10:D10"/>
    <mergeCell ref="E18:H18"/>
    <mergeCell ref="A41:H41"/>
    <mergeCell ref="A46:H46"/>
    <mergeCell ref="A50:H50"/>
    <mergeCell ref="A6:D6"/>
    <mergeCell ref="A42:H42"/>
    <mergeCell ref="A47:H47"/>
    <mergeCell ref="A32:H32"/>
    <mergeCell ref="E10:H10"/>
    <mergeCell ref="D3:H3"/>
    <mergeCell ref="A18:D18"/>
    <mergeCell ref="A43:H43"/>
    <mergeCell ref="A38:H38"/>
    <mergeCell ref="A26:D26"/>
    <mergeCell ref="E6:H6"/>
    <mergeCell ref="A44:H44"/>
    <mergeCell ref="A40:H40"/>
  </mergeCells>
  <dataValidations count="1">
    <dataValidation sqref="B3" showDropDown="0" showInputMessage="0" showErrorMessage="0" allowBlank="0" type="list">
      <formula1>Ticker_List!$A$1:$A$600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45" customWidth="1" min="3" max="3"/>
    <col width="11.2" customWidth="1" min="4" max="4"/>
    <col width="11.2" customWidth="1" min="5" max="5"/>
    <col width="12.35" customWidth="1" min="6" max="6"/>
    <col width="11.2" customWidth="1" min="7" max="7"/>
    <col width="10.05" customWidth="1" min="8" max="8"/>
    <col width="11.2" customWidth="1" min="9" max="9"/>
    <col width="10.05" customWidth="1" min="10" max="10"/>
    <col width="8.899999999999999" customWidth="1" min="11" max="11"/>
    <col width="11.2" customWidth="1" min="12" max="12"/>
    <col width="10.05" customWidth="1" min="13" max="13"/>
    <col width="11.2" customWidth="1" min="14" max="14"/>
    <col width="10.05" customWidth="1" min="15" max="15"/>
    <col width="21.55" customWidth="1" min="16" max="16"/>
    <col width="19.25" customWidth="1" min="17" max="17"/>
    <col width="11.2" customWidth="1" min="18" max="18"/>
    <col width="8.899999999999999" customWidth="1" min="19" max="19"/>
    <col width="13.5" customWidth="1" min="20" max="20"/>
    <col width="13.5" customWidth="1" min="21" max="21"/>
    <col width="14.65" customWidth="1" min="22" max="22"/>
    <col width="15.8" customWidth="1" min="23" max="23"/>
    <col width="15.8" customWidth="1" min="24" max="24"/>
    <col width="14.65" customWidth="1" min="25" max="25"/>
    <col width="13.5" customWidth="1" min="26" max="26"/>
  </cols>
  <sheetData>
    <row r="1">
      <c r="A1" s="114" t="inlineStr">
        <is>
          <t>SUMMARY RANKING — All Companies</t>
        </is>
      </c>
      <c r="C1" s="205" t="inlineStr">
        <is>
          <t>Prepared by: Your Name | Sorted by Health Score (highest first)</t>
        </is>
      </c>
    </row>
    <row r="2">
      <c r="A2" s="81" t="inlineStr">
        <is>
          <t>Rank</t>
        </is>
      </c>
      <c r="B2" s="81" t="inlineStr">
        <is>
          <t>Ticker</t>
        </is>
      </c>
      <c r="C2" s="81" t="inlineStr">
        <is>
          <t>Company Name</t>
        </is>
      </c>
      <c r="D2" s="81" t="inlineStr">
        <is>
          <t>Z' Score</t>
        </is>
      </c>
      <c r="E2" s="81" t="inlineStr">
        <is>
          <t>Z'-Band</t>
        </is>
      </c>
      <c r="F2" s="81" t="inlineStr">
        <is>
          <t>Z'' Score</t>
        </is>
      </c>
      <c r="G2" s="81" t="inlineStr">
        <is>
          <t>Z''-Band</t>
        </is>
      </c>
      <c r="H2" s="81" t="inlineStr">
        <is>
          <t>S-Score</t>
        </is>
      </c>
      <c r="I2" s="81" t="inlineStr">
        <is>
          <t>S-Band</t>
        </is>
      </c>
      <c r="J2" s="81" t="inlineStr">
        <is>
          <t>X-Score</t>
        </is>
      </c>
      <c r="K2" s="81" t="inlineStr">
        <is>
          <t>X-Prob</t>
        </is>
      </c>
      <c r="L2" s="81" t="inlineStr">
        <is>
          <t>X-Band</t>
        </is>
      </c>
      <c r="M2" s="81" t="inlineStr">
        <is>
          <t>F-Score</t>
        </is>
      </c>
      <c r="N2" s="81" t="inlineStr">
        <is>
          <t>F-Interp</t>
        </is>
      </c>
      <c r="O2" s="81" t="inlineStr">
        <is>
          <t>M-Score</t>
        </is>
      </c>
      <c r="P2" s="81" t="inlineStr">
        <is>
          <t>M-Flag</t>
        </is>
      </c>
      <c r="Q2" s="81" t="inlineStr">
        <is>
          <t>Net Debt/EBITDA</t>
        </is>
      </c>
      <c r="R2" s="81" t="inlineStr">
        <is>
          <t>ROE</t>
        </is>
      </c>
      <c r="S2" s="81" t="inlineStr">
        <is>
          <t>CFO/NI</t>
        </is>
      </c>
      <c r="T2" s="81" t="inlineStr">
        <is>
          <t>FCF Margin</t>
        </is>
      </c>
      <c r="U2" s="81" t="inlineStr">
        <is>
          <t>Rev Growth</t>
        </is>
      </c>
      <c r="V2" s="81" t="inlineStr">
        <is>
          <t>EBIT Margin</t>
        </is>
      </c>
      <c r="W2" s="81" t="inlineStr">
        <is>
          <t>Int Coverage</t>
        </is>
      </c>
      <c r="X2" s="81" t="inlineStr">
        <is>
          <t>Health Score</t>
        </is>
      </c>
      <c r="Y2" s="81" t="inlineStr">
        <is>
          <t>TGTBT Score</t>
        </is>
      </c>
      <c r="Z2" s="81" t="inlineStr">
        <is>
          <t>TGTBT Flag</t>
        </is>
      </c>
    </row>
    <row r="3" ht="17" customHeight="1">
      <c r="A3" s="82" t="n">
        <v>1</v>
      </c>
      <c r="B3" s="82" t="inlineStr">
        <is>
          <t>VICR</t>
        </is>
      </c>
      <c r="C3" s="82" t="inlineStr">
        <is>
          <t>VICOR CORPORATION</t>
        </is>
      </c>
      <c r="D3" s="82" t="n">
        <v>5.87</v>
      </c>
      <c r="E3" s="206" t="inlineStr">
        <is>
          <t>Safe</t>
        </is>
      </c>
      <c r="F3" s="82" t="n">
        <v>16.9</v>
      </c>
      <c r="G3" s="82" t="inlineStr">
        <is>
          <t>Safe</t>
        </is>
      </c>
      <c r="H3" s="82" t="n">
        <v>2.19</v>
      </c>
      <c r="I3" s="82" t="inlineStr">
        <is>
          <t>Healthy</t>
        </is>
      </c>
      <c r="J3" s="82" t="n">
        <v>-4.45</v>
      </c>
      <c r="K3" s="82" t="n">
        <v>0.01</v>
      </c>
      <c r="L3" s="82" t="inlineStr">
        <is>
          <t>Healthy</t>
        </is>
      </c>
      <c r="M3" s="82" t="n">
        <v>9</v>
      </c>
      <c r="N3" s="82" t="inlineStr">
        <is>
          <t>Strong</t>
        </is>
      </c>
      <c r="O3" s="207" t="n">
        <v>-2.29</v>
      </c>
      <c r="P3" s="82" t="inlineStr">
        <is>
          <t>Lower Risk</t>
        </is>
      </c>
      <c r="Q3" s="82" t="n">
        <v>-3.93</v>
      </c>
      <c r="R3" s="82" t="n">
        <v>0.1666</v>
      </c>
      <c r="S3" s="82" t="n">
        <v>1.18</v>
      </c>
      <c r="T3" s="82" t="n">
        <v>0.2634</v>
      </c>
      <c r="U3" s="82" t="n">
        <v>0.2608</v>
      </c>
      <c r="V3" s="82" t="n">
        <v>0.1808</v>
      </c>
      <c r="W3" s="91" t="inlineStr">
        <is>
          <t>N/A</t>
        </is>
      </c>
      <c r="X3" s="82" t="n">
        <v>82.47</v>
      </c>
      <c r="Y3" s="82" t="n">
        <v>0</v>
      </c>
      <c r="Z3" s="82" t="inlineStr">
        <is>
          <t>CLEAR</t>
        </is>
      </c>
    </row>
    <row r="4" ht="17" customHeight="1">
      <c r="A4" s="86" t="n">
        <v>2</v>
      </c>
      <c r="B4" s="86" t="inlineStr">
        <is>
          <t>UTHR</t>
        </is>
      </c>
      <c r="C4" s="86" t="inlineStr">
        <is>
          <t>United Therapeutics Corporation</t>
        </is>
      </c>
      <c r="D4" s="86" t="n">
        <v>5.78</v>
      </c>
      <c r="E4" s="206" t="inlineStr">
        <is>
          <t>Safe</t>
        </is>
      </c>
      <c r="F4" s="86" t="n">
        <v>16.93</v>
      </c>
      <c r="G4" s="86" t="inlineStr">
        <is>
          <t>Safe</t>
        </is>
      </c>
      <c r="H4" s="86" t="n">
        <v>3.09</v>
      </c>
      <c r="I4" s="86" t="inlineStr">
        <is>
          <t>Healthy</t>
        </is>
      </c>
      <c r="J4" s="86" t="n">
        <v>-4.51</v>
      </c>
      <c r="K4" s="86" t="n">
        <v>0.01</v>
      </c>
      <c r="L4" s="86" t="inlineStr">
        <is>
          <t>Healthy</t>
        </is>
      </c>
      <c r="M4" s="86" t="n">
        <v>8</v>
      </c>
      <c r="N4" s="86" t="inlineStr">
        <is>
          <t>Strong</t>
        </is>
      </c>
      <c r="O4" s="207" t="n">
        <v>-2.47</v>
      </c>
      <c r="P4" s="86" t="inlineStr">
        <is>
          <t>Lower Risk</t>
        </is>
      </c>
      <c r="Q4" s="86" t="n">
        <v>-0.98</v>
      </c>
      <c r="R4" s="86" t="n">
        <v>0.1881</v>
      </c>
      <c r="S4" s="86" t="n">
        <v>1.17</v>
      </c>
      <c r="T4" s="86" t="n">
        <v>0.7016</v>
      </c>
      <c r="U4" s="86" t="n">
        <v>0.0238</v>
      </c>
      <c r="V4" s="86" t="n">
        <v>1.0062</v>
      </c>
      <c r="W4" s="86" t="n">
        <v>25.17</v>
      </c>
      <c r="X4" s="86" t="n">
        <v>78.26000000000001</v>
      </c>
      <c r="Y4" s="86" t="n">
        <v>0</v>
      </c>
      <c r="Z4" s="86" t="inlineStr">
        <is>
          <t>CLEAR</t>
        </is>
      </c>
    </row>
    <row r="5" ht="17" customHeight="1">
      <c r="A5" s="82" t="n">
        <v>3</v>
      </c>
      <c r="B5" s="82" t="inlineStr">
        <is>
          <t>KRYS</t>
        </is>
      </c>
      <c r="C5" s="82" t="inlineStr">
        <is>
          <t>Krystal Biotech, Inc.</t>
        </is>
      </c>
      <c r="D5" s="82" t="n">
        <v>5.66</v>
      </c>
      <c r="E5" s="206" t="inlineStr">
        <is>
          <t>Safe</t>
        </is>
      </c>
      <c r="F5" s="82" t="n">
        <v>16.61</v>
      </c>
      <c r="G5" s="82" t="inlineStr">
        <is>
          <t>Safe</t>
        </is>
      </c>
      <c r="H5" s="82" t="n">
        <v>2.41</v>
      </c>
      <c r="I5" s="82" t="inlineStr">
        <is>
          <t>Healthy</t>
        </is>
      </c>
      <c r="J5" s="82" t="n">
        <v>-4.5</v>
      </c>
      <c r="K5" s="82" t="n">
        <v>0.01</v>
      </c>
      <c r="L5" s="82" t="inlineStr">
        <is>
          <t>Healthy</t>
        </is>
      </c>
      <c r="M5" s="82" t="n">
        <v>8</v>
      </c>
      <c r="N5" s="82" t="inlineStr">
        <is>
          <t>Strong</t>
        </is>
      </c>
      <c r="O5" s="207" t="n">
        <v>-2.62</v>
      </c>
      <c r="P5" s="82" t="inlineStr">
        <is>
          <t>Lower Risk</t>
        </is>
      </c>
      <c r="Q5" s="82" t="n">
        <v>-2.98</v>
      </c>
      <c r="R5" s="82" t="n">
        <v>0.168</v>
      </c>
      <c r="S5" s="82" t="n">
        <v>0.98</v>
      </c>
      <c r="T5" s="82" t="n">
        <v>0.4855</v>
      </c>
      <c r="U5" s="82" t="n">
        <v>0.3394</v>
      </c>
      <c r="V5" s="82" t="n">
        <v>0.4145</v>
      </c>
      <c r="W5" s="91" t="inlineStr">
        <is>
          <t>N/A</t>
        </is>
      </c>
      <c r="X5" s="82" t="n">
        <v>77.91</v>
      </c>
      <c r="Y5" s="82" t="n">
        <v>0</v>
      </c>
      <c r="Z5" s="82" t="inlineStr">
        <is>
          <t>CLEAR</t>
        </is>
      </c>
    </row>
    <row r="6" ht="17" customHeight="1">
      <c r="A6" s="86" t="n">
        <v>4</v>
      </c>
      <c r="B6" s="86" t="inlineStr">
        <is>
          <t>MPWR</t>
        </is>
      </c>
      <c r="C6" s="86" t="inlineStr">
        <is>
          <t>MONOLITHIC POWER SYSTEMS INC</t>
        </is>
      </c>
      <c r="D6" s="86" t="n">
        <v>3.69</v>
      </c>
      <c r="E6" s="206" t="inlineStr">
        <is>
          <t>Safe</t>
        </is>
      </c>
      <c r="F6" s="86" t="n">
        <v>11.63</v>
      </c>
      <c r="G6" s="86" t="inlineStr">
        <is>
          <t>Safe</t>
        </is>
      </c>
      <c r="H6" s="86" t="n">
        <v>2.38</v>
      </c>
      <c r="I6" s="86" t="inlineStr">
        <is>
          <t>Healthy</t>
        </is>
      </c>
      <c r="J6" s="86" t="n">
        <v>-4.08</v>
      </c>
      <c r="K6" s="86" t="n">
        <v>0.02</v>
      </c>
      <c r="L6" s="86" t="inlineStr">
        <is>
          <t>Healthy</t>
        </is>
      </c>
      <c r="M6" s="86" t="n">
        <v>9</v>
      </c>
      <c r="N6" s="86" t="inlineStr">
        <is>
          <t>Strong</t>
        </is>
      </c>
      <c r="O6" s="207" t="n">
        <v>-2.85</v>
      </c>
      <c r="P6" s="86" t="inlineStr">
        <is>
          <t>Lower Risk</t>
        </is>
      </c>
      <c r="Q6" s="86" t="n">
        <v>-1.41</v>
      </c>
      <c r="R6" s="86" t="n">
        <v>0.176</v>
      </c>
      <c r="S6" s="86" t="n">
        <v>1.35</v>
      </c>
      <c r="T6" s="86" t="n">
        <v>2.0002</v>
      </c>
      <c r="U6" s="86" t="n">
        <v>0.1789</v>
      </c>
      <c r="V6" s="86" t="n">
        <v>2.1877</v>
      </c>
      <c r="W6" s="90" t="inlineStr">
        <is>
          <t>N/A</t>
        </is>
      </c>
      <c r="X6" s="86" t="n">
        <v>74.48</v>
      </c>
      <c r="Y6" s="86" t="n">
        <v>0</v>
      </c>
      <c r="Z6" s="86" t="inlineStr">
        <is>
          <t>CLEAR</t>
        </is>
      </c>
    </row>
    <row r="7" ht="17" customHeight="1">
      <c r="A7" s="82" t="n">
        <v>5</v>
      </c>
      <c r="B7" s="82" t="inlineStr">
        <is>
          <t>CRDO</t>
        </is>
      </c>
      <c r="C7" s="82" t="inlineStr">
        <is>
          <t>CREDO TECHNOLOGY GROUP HOLDING LTD</t>
        </is>
      </c>
      <c r="D7" s="82" t="n">
        <v>5.63</v>
      </c>
      <c r="E7" s="206" t="inlineStr">
        <is>
          <t>Safe</t>
        </is>
      </c>
      <c r="F7" s="82" t="n">
        <v>16.35</v>
      </c>
      <c r="G7" s="82" t="inlineStr">
        <is>
          <t>Safe</t>
        </is>
      </c>
      <c r="H7" s="82" t="n">
        <v>3.23</v>
      </c>
      <c r="I7" s="82" t="inlineStr">
        <is>
          <t>Healthy</t>
        </is>
      </c>
      <c r="J7" s="82" t="n">
        <v>-4.65</v>
      </c>
      <c r="K7" s="82" t="n">
        <v>0.01</v>
      </c>
      <c r="L7" s="82" t="inlineStr">
        <is>
          <t>Healthy</t>
        </is>
      </c>
      <c r="M7" s="82" t="n">
        <v>8</v>
      </c>
      <c r="N7" s="82" t="inlineStr">
        <is>
          <t>Strong</t>
        </is>
      </c>
      <c r="O7" s="207" t="n">
        <v>-0.62</v>
      </c>
      <c r="P7" s="82" t="inlineStr">
        <is>
          <t>Higher Risk</t>
        </is>
      </c>
      <c r="Q7" s="82" t="n">
        <v>-2.43</v>
      </c>
      <c r="R7" s="82" t="n">
        <v>0.2289</v>
      </c>
      <c r="S7" s="82" t="n">
        <v>0.98</v>
      </c>
      <c r="T7" s="82" t="n">
        <v>0.3048</v>
      </c>
      <c r="U7" s="82" t="n">
        <v>2.0568</v>
      </c>
      <c r="V7" s="82" t="n">
        <v>0.3333</v>
      </c>
      <c r="W7" s="91" t="inlineStr">
        <is>
          <t>N/A</t>
        </is>
      </c>
      <c r="X7" s="82" t="n">
        <v>72.69</v>
      </c>
      <c r="Y7" s="82" t="n">
        <v>20</v>
      </c>
      <c r="Z7" s="82" t="inlineStr">
        <is>
          <t>CLEAR</t>
        </is>
      </c>
    </row>
    <row r="8" ht="17" customHeight="1">
      <c r="A8" s="86" t="n">
        <v>6</v>
      </c>
      <c r="B8" s="86" t="inlineStr">
        <is>
          <t>CPRT</t>
        </is>
      </c>
      <c r="C8" s="86" t="inlineStr">
        <is>
          <t>COPART, INC.</t>
        </is>
      </c>
      <c r="D8" s="86" t="n">
        <v>4.46</v>
      </c>
      <c r="E8" s="206" t="inlineStr">
        <is>
          <t>Safe</t>
        </is>
      </c>
      <c r="F8" s="86" t="n">
        <v>14.16</v>
      </c>
      <c r="G8" s="86" t="inlineStr">
        <is>
          <t>Safe</t>
        </is>
      </c>
      <c r="H8" s="86" t="n">
        <v>2.89</v>
      </c>
      <c r="I8" s="86" t="inlineStr">
        <is>
          <t>Healthy</t>
        </is>
      </c>
      <c r="J8" s="86" t="n">
        <v>-4.5</v>
      </c>
      <c r="K8" s="86" t="n">
        <v>0.01</v>
      </c>
      <c r="L8" s="86" t="inlineStr">
        <is>
          <t>Healthy</t>
        </is>
      </c>
      <c r="M8" s="86" t="n">
        <v>7</v>
      </c>
      <c r="N8" s="86" t="inlineStr">
        <is>
          <t>Strong</t>
        </is>
      </c>
      <c r="O8" s="207" t="n">
        <v>-2.87</v>
      </c>
      <c r="P8" s="86" t="inlineStr">
        <is>
          <t>Lower Risk</t>
        </is>
      </c>
      <c r="Q8" s="86" t="n">
        <v>-0.09</v>
      </c>
      <c r="R8" s="86" t="n">
        <v>0.2593</v>
      </c>
      <c r="S8" s="86" t="n">
        <v>1.16</v>
      </c>
      <c r="T8" s="86" t="n">
        <v>2.3414</v>
      </c>
      <c r="U8" s="86" t="n">
        <v>-0.0449</v>
      </c>
      <c r="V8" s="86" t="n">
        <v>3.2278</v>
      </c>
      <c r="W8" s="86" t="n">
        <v>83.87</v>
      </c>
      <c r="X8" s="86" t="n">
        <v>69.81</v>
      </c>
      <c r="Y8" s="86" t="n">
        <v>0</v>
      </c>
      <c r="Z8" s="86" t="inlineStr">
        <is>
          <t>CLEAR</t>
        </is>
      </c>
    </row>
    <row r="9" ht="17" customHeight="1">
      <c r="A9" s="82" t="n">
        <v>7</v>
      </c>
      <c r="B9" s="82" t="inlineStr">
        <is>
          <t>ISRG</t>
        </is>
      </c>
      <c r="C9" s="82" t="inlineStr">
        <is>
          <t>Intuitive Surgical, Inc.</t>
        </is>
      </c>
      <c r="D9" s="82" t="n">
        <v>4.48</v>
      </c>
      <c r="E9" s="206" t="inlineStr">
        <is>
          <t>Safe</t>
        </is>
      </c>
      <c r="F9" s="82" t="n">
        <v>12.01</v>
      </c>
      <c r="G9" s="82" t="inlineStr">
        <is>
          <t>Safe</t>
        </is>
      </c>
      <c r="H9" s="82" t="n">
        <v>2.12</v>
      </c>
      <c r="I9" s="82" t="inlineStr">
        <is>
          <t>Healthy</t>
        </is>
      </c>
      <c r="J9" s="82" t="n">
        <v>-4.25</v>
      </c>
      <c r="K9" s="82" t="n">
        <v>0.01</v>
      </c>
      <c r="L9" s="82" t="inlineStr">
        <is>
          <t>Healthy</t>
        </is>
      </c>
      <c r="M9" s="82" t="n">
        <v>7</v>
      </c>
      <c r="N9" s="82" t="inlineStr">
        <is>
          <t>Strong</t>
        </is>
      </c>
      <c r="O9" s="207" t="n">
        <v>-2.53</v>
      </c>
      <c r="P9" s="82" t="inlineStr">
        <is>
          <t>Lower Risk</t>
        </is>
      </c>
      <c r="Q9" s="82" t="n">
        <v>-0.95</v>
      </c>
      <c r="R9" s="82" t="n">
        <v>0.1602</v>
      </c>
      <c r="S9" s="82" t="n">
        <v>1.06</v>
      </c>
      <c r="T9" s="82" t="n">
        <v>0.2475</v>
      </c>
      <c r="U9" s="82" t="n">
        <v>0.2051</v>
      </c>
      <c r="V9" s="82" t="n">
        <v>0.2927</v>
      </c>
      <c r="W9" s="91" t="inlineStr">
        <is>
          <t>N/A</t>
        </is>
      </c>
      <c r="X9" s="82" t="n">
        <v>69.65000000000001</v>
      </c>
      <c r="Y9" s="82" t="n">
        <v>0</v>
      </c>
      <c r="Z9" s="82" t="inlineStr">
        <is>
          <t>CLEAR</t>
        </is>
      </c>
    </row>
    <row r="10" ht="17" customHeight="1">
      <c r="A10" s="86" t="n">
        <v>8</v>
      </c>
      <c r="B10" s="86" t="inlineStr">
        <is>
          <t>MA</t>
        </is>
      </c>
      <c r="C10" s="86" t="inlineStr">
        <is>
          <t>Mastercard Inc</t>
        </is>
      </c>
      <c r="D10" s="86" t="n">
        <v>3.1</v>
      </c>
      <c r="E10" s="206" t="inlineStr">
        <is>
          <t>Safe</t>
        </is>
      </c>
      <c r="F10" s="86" t="n">
        <v>7.73</v>
      </c>
      <c r="G10" s="86" t="inlineStr">
        <is>
          <t>Safe</t>
        </is>
      </c>
      <c r="H10" s="86" t="n">
        <v>1.87</v>
      </c>
      <c r="I10" s="86" t="inlineStr">
        <is>
          <t>Healthy</t>
        </is>
      </c>
      <c r="J10" s="86" t="n">
        <v>0.28</v>
      </c>
      <c r="K10" s="86" t="n">
        <v>0.57</v>
      </c>
      <c r="L10" s="86" t="inlineStr">
        <is>
          <t>Distress</t>
        </is>
      </c>
      <c r="M10" s="86" t="n">
        <v>9</v>
      </c>
      <c r="N10" s="86" t="inlineStr">
        <is>
          <t>Strong</t>
        </is>
      </c>
      <c r="O10" s="207" t="n">
        <v>-3.56</v>
      </c>
      <c r="P10" s="86" t="inlineStr">
        <is>
          <t>Lower Risk</t>
        </is>
      </c>
      <c r="Q10" s="86" t="n">
        <v>-0.53</v>
      </c>
      <c r="R10" s="86" t="n">
        <v>0.4027</v>
      </c>
      <c r="S10" s="86" t="n">
        <v>5.66</v>
      </c>
      <c r="T10" s="86" t="n">
        <v>0.5233</v>
      </c>
      <c r="U10" s="86" t="n">
        <v>0.1642</v>
      </c>
      <c r="V10" s="86" t="n">
        <v>0.5763</v>
      </c>
      <c r="W10" s="86" t="n">
        <v>32.86</v>
      </c>
      <c r="X10" s="86" t="n">
        <v>69.34999999999999</v>
      </c>
      <c r="Y10" s="86" t="n">
        <v>20</v>
      </c>
      <c r="Z10" s="86" t="inlineStr">
        <is>
          <t>CLEAR</t>
        </is>
      </c>
    </row>
    <row r="11" ht="17" customHeight="1">
      <c r="A11" s="82" t="n">
        <v>9</v>
      </c>
      <c r="B11" s="82" t="inlineStr">
        <is>
          <t>PLTR</t>
        </is>
      </c>
      <c r="C11" s="82" t="inlineStr">
        <is>
          <t>Palantir Technologies Inc.</t>
        </is>
      </c>
      <c r="D11" s="82" t="n">
        <v>3.43</v>
      </c>
      <c r="E11" s="206" t="inlineStr">
        <is>
          <t>Safe</t>
        </is>
      </c>
      <c r="F11" s="82" t="n">
        <v>10.55</v>
      </c>
      <c r="G11" s="82" t="inlineStr">
        <is>
          <t>Safe</t>
        </is>
      </c>
      <c r="H11" s="82" t="n">
        <v>2.45</v>
      </c>
      <c r="I11" s="82" t="inlineStr">
        <is>
          <t>Healthy</t>
        </is>
      </c>
      <c r="J11" s="82" t="n">
        <v>-4.23</v>
      </c>
      <c r="K11" s="82" t="n">
        <v>0.01</v>
      </c>
      <c r="L11" s="82" t="inlineStr">
        <is>
          <t>Healthy</t>
        </is>
      </c>
      <c r="M11" s="82" t="n">
        <v>9</v>
      </c>
      <c r="N11" s="82" t="inlineStr">
        <is>
          <t>Strong</t>
        </is>
      </c>
      <c r="O11" s="207" t="n">
        <v>-2.13</v>
      </c>
      <c r="P11" s="82" t="inlineStr">
        <is>
          <t>Higher Risk</t>
        </is>
      </c>
      <c r="Q11" s="82" t="n">
        <v>-0.99</v>
      </c>
      <c r="R11" s="82" t="n">
        <v>0.22</v>
      </c>
      <c r="S11" s="82" t="n">
        <v>1.31</v>
      </c>
      <c r="T11" s="82" t="n">
        <v>0.4694</v>
      </c>
      <c r="U11" s="82" t="n">
        <v>0.5618</v>
      </c>
      <c r="V11" s="82" t="n">
        <v>0.3159</v>
      </c>
      <c r="W11" s="82" t="n">
        <v>407.5</v>
      </c>
      <c r="X11" s="82" t="n">
        <v>68.56</v>
      </c>
      <c r="Y11" s="82" t="n">
        <v>20</v>
      </c>
      <c r="Z11" s="82" t="inlineStr">
        <is>
          <t>CLEAR</t>
        </is>
      </c>
    </row>
    <row r="12" ht="17" customHeight="1">
      <c r="A12" s="86" t="n">
        <v>10</v>
      </c>
      <c r="B12" s="86" t="inlineStr">
        <is>
          <t>CASY</t>
        </is>
      </c>
      <c r="C12" s="86" t="inlineStr">
        <is>
          <t>CASEY’S GENERAL STORES, INC.</t>
        </is>
      </c>
      <c r="D12" s="90" t="inlineStr">
        <is>
          <t>N/A</t>
        </is>
      </c>
      <c r="E12" s="90" t="inlineStr">
        <is>
          <t>N/A</t>
        </is>
      </c>
      <c r="F12" s="90" t="inlineStr">
        <is>
          <t>N/A</t>
        </is>
      </c>
      <c r="G12" s="90" t="inlineStr">
        <is>
          <t>N/A</t>
        </is>
      </c>
      <c r="H12" s="90" t="inlineStr">
        <is>
          <t>N/A</t>
        </is>
      </c>
      <c r="I12" s="90" t="inlineStr">
        <is>
          <t>N/A</t>
        </is>
      </c>
      <c r="J12" s="86" t="n">
        <v>-1.53</v>
      </c>
      <c r="K12" s="86" t="n">
        <v>0.18</v>
      </c>
      <c r="L12" s="86" t="inlineStr">
        <is>
          <t>Healthy</t>
        </is>
      </c>
      <c r="M12" s="86" t="n">
        <v>9</v>
      </c>
      <c r="N12" s="86" t="inlineStr">
        <is>
          <t>Strong</t>
        </is>
      </c>
      <c r="O12" s="207" t="n">
        <v>-3.21</v>
      </c>
      <c r="P12" s="86" t="inlineStr">
        <is>
          <t>Lower Risk</t>
        </is>
      </c>
      <c r="Q12" s="90" t="inlineStr">
        <is>
          <t>N/A</t>
        </is>
      </c>
      <c r="R12" s="86" t="n">
        <v>0.1808</v>
      </c>
      <c r="S12" s="86" t="n">
        <v>1.93</v>
      </c>
      <c r="T12" s="86" t="n">
        <v>0.0411</v>
      </c>
      <c r="U12" s="86" t="n">
        <v>0.1016</v>
      </c>
      <c r="V12" s="90" t="inlineStr">
        <is>
          <t>N/A</t>
        </is>
      </c>
      <c r="W12" s="90" t="inlineStr">
        <is>
          <t>N/A</t>
        </is>
      </c>
      <c r="X12" s="86" t="n">
        <v>68.5</v>
      </c>
      <c r="Y12" s="86" t="n">
        <v>0</v>
      </c>
      <c r="Z12" s="86" t="inlineStr">
        <is>
          <t>CLEAR</t>
        </is>
      </c>
    </row>
    <row r="13" ht="17" customHeight="1">
      <c r="A13" s="82" t="n">
        <v>11</v>
      </c>
      <c r="B13" s="82" t="inlineStr">
        <is>
          <t>WWD</t>
        </is>
      </c>
      <c r="C13" s="82" t="inlineStr">
        <is>
          <t>WOODWARD, INC.</t>
        </is>
      </c>
      <c r="D13" s="82" t="n">
        <v>2.45</v>
      </c>
      <c r="E13" s="208" t="inlineStr">
        <is>
          <t>Grey</t>
        </is>
      </c>
      <c r="F13" s="82" t="n">
        <v>5.98</v>
      </c>
      <c r="G13" s="82" t="inlineStr">
        <is>
          <t>Safe</t>
        </is>
      </c>
      <c r="H13" s="82" t="n">
        <v>1.25</v>
      </c>
      <c r="I13" s="82" t="inlineStr">
        <is>
          <t>Healthy</t>
        </is>
      </c>
      <c r="J13" s="82" t="n">
        <v>-2.23</v>
      </c>
      <c r="K13" s="82" t="n">
        <v>0.1</v>
      </c>
      <c r="L13" s="82" t="inlineStr">
        <is>
          <t>Healthy</t>
        </is>
      </c>
      <c r="M13" s="82" t="n">
        <v>9</v>
      </c>
      <c r="N13" s="82" t="inlineStr">
        <is>
          <t>Strong</t>
        </is>
      </c>
      <c r="O13" s="207" t="n">
        <v>-2.56</v>
      </c>
      <c r="P13" s="82" t="inlineStr">
        <is>
          <t>Lower Risk</t>
        </is>
      </c>
      <c r="Q13" s="82" t="n">
        <v>0.4</v>
      </c>
      <c r="R13" s="82" t="n">
        <v>0.1723</v>
      </c>
      <c r="S13" s="82" t="n">
        <v>1.07</v>
      </c>
      <c r="T13" s="82" t="n">
        <v>0.0954</v>
      </c>
      <c r="U13" s="82" t="n">
        <v>0.073</v>
      </c>
      <c r="V13" s="82" t="n">
        <v>0.1462</v>
      </c>
      <c r="W13" s="82" t="n">
        <v>11.41</v>
      </c>
      <c r="X13" s="82" t="n">
        <v>68.40000000000001</v>
      </c>
      <c r="Y13" s="82" t="n">
        <v>0</v>
      </c>
      <c r="Z13" s="82" t="inlineStr">
        <is>
          <t>CLEAR</t>
        </is>
      </c>
    </row>
    <row r="14" ht="17" customHeight="1">
      <c r="A14" s="86" t="n">
        <v>12</v>
      </c>
      <c r="B14" s="86" t="inlineStr">
        <is>
          <t>TMUS</t>
        </is>
      </c>
      <c r="C14" s="86" t="inlineStr">
        <is>
          <t>T-Mobile US, Inc.</t>
        </is>
      </c>
      <c r="D14" s="86" t="n">
        <v>4.17</v>
      </c>
      <c r="E14" s="206" t="inlineStr">
        <is>
          <t>Safe</t>
        </is>
      </c>
      <c r="F14" s="86" t="n">
        <v>9.970000000000001</v>
      </c>
      <c r="G14" s="86" t="inlineStr">
        <is>
          <t>Safe</t>
        </is>
      </c>
      <c r="H14" s="86" t="n">
        <v>0.71</v>
      </c>
      <c r="I14" s="86" t="inlineStr">
        <is>
          <t>Distress</t>
        </is>
      </c>
      <c r="J14" s="86" t="n">
        <v>-4.38</v>
      </c>
      <c r="K14" s="86" t="n">
        <v>0.01</v>
      </c>
      <c r="L14" s="86" t="inlineStr">
        <is>
          <t>Healthy</t>
        </is>
      </c>
      <c r="M14" s="86" t="n">
        <v>8</v>
      </c>
      <c r="N14" s="86" t="inlineStr">
        <is>
          <t>Strong</t>
        </is>
      </c>
      <c r="O14" s="207" t="n">
        <v>-1.12</v>
      </c>
      <c r="P14" s="86" t="inlineStr">
        <is>
          <t>Higher Risk</t>
        </is>
      </c>
      <c r="Q14" s="86" t="n">
        <v>2.54</v>
      </c>
      <c r="R14" s="86" t="n">
        <v>0.1857</v>
      </c>
      <c r="S14" s="86" t="n">
        <v>2.54</v>
      </c>
      <c r="T14" s="86" t="n">
        <v>0.4432</v>
      </c>
      <c r="U14" s="86" t="n">
        <v>2.774</v>
      </c>
      <c r="V14" s="86" t="n">
        <v>0.4502</v>
      </c>
      <c r="W14" s="86" t="n">
        <v>21.89</v>
      </c>
      <c r="X14" s="86" t="n">
        <v>68</v>
      </c>
      <c r="Y14" s="86" t="n">
        <v>20</v>
      </c>
      <c r="Z14" s="86" t="inlineStr">
        <is>
          <t>CLEAR</t>
        </is>
      </c>
    </row>
    <row r="15" ht="17" customHeight="1">
      <c r="A15" s="82" t="n">
        <v>13</v>
      </c>
      <c r="B15" s="82" t="inlineStr">
        <is>
          <t>IDXX</t>
        </is>
      </c>
      <c r="C15" s="82" t="inlineStr">
        <is>
          <t>IDEXX LABORATORIES INC /DE</t>
        </is>
      </c>
      <c r="D15" s="82" t="n">
        <v>4.6</v>
      </c>
      <c r="E15" s="206" t="inlineStr">
        <is>
          <t>Safe</t>
        </is>
      </c>
      <c r="F15" s="82" t="n">
        <v>10.43</v>
      </c>
      <c r="G15" s="82" t="inlineStr">
        <is>
          <t>Safe</t>
        </is>
      </c>
      <c r="H15" s="82" t="n">
        <v>2.6</v>
      </c>
      <c r="I15" s="82" t="inlineStr">
        <is>
          <t>Healthy</t>
        </is>
      </c>
      <c r="J15" s="82" t="n">
        <v>-2.8</v>
      </c>
      <c r="K15" s="82" t="n">
        <v>0.06</v>
      </c>
      <c r="L15" s="82" t="inlineStr">
        <is>
          <t>Healthy</t>
        </is>
      </c>
      <c r="M15" s="82" t="n">
        <v>7</v>
      </c>
      <c r="N15" s="82" t="inlineStr">
        <is>
          <t>Strong</t>
        </is>
      </c>
      <c r="O15" s="207" t="n">
        <v>-2.61</v>
      </c>
      <c r="P15" s="82" t="inlineStr">
        <is>
          <t>Lower Risk</t>
        </is>
      </c>
      <c r="Q15" s="82" t="n">
        <v>0.18</v>
      </c>
      <c r="R15" s="82" t="n">
        <v>0.6599</v>
      </c>
      <c r="S15" s="82" t="n">
        <v>1.12</v>
      </c>
      <c r="T15" s="82" t="n">
        <v>0.2456</v>
      </c>
      <c r="U15" s="82" t="n">
        <v>0.1042</v>
      </c>
      <c r="V15" s="82" t="n">
        <v>0.316</v>
      </c>
      <c r="W15" s="82" t="n">
        <v>32.71</v>
      </c>
      <c r="X15" s="82" t="n">
        <v>67.7</v>
      </c>
      <c r="Y15" s="82" t="n">
        <v>0</v>
      </c>
      <c r="Z15" s="82" t="inlineStr">
        <is>
          <t>CLEAR</t>
        </is>
      </c>
    </row>
    <row r="16" ht="17" customHeight="1">
      <c r="A16" s="86" t="n">
        <v>14</v>
      </c>
      <c r="B16" s="86" t="inlineStr">
        <is>
          <t>STE</t>
        </is>
      </c>
      <c r="C16" s="86" t="inlineStr">
        <is>
          <t>STERIS plc</t>
        </is>
      </c>
      <c r="D16" s="86" t="n">
        <v>2.04</v>
      </c>
      <c r="E16" s="208" t="inlineStr">
        <is>
          <t>Grey</t>
        </is>
      </c>
      <c r="F16" s="86" t="n">
        <v>4.5</v>
      </c>
      <c r="G16" s="86" t="inlineStr">
        <is>
          <t>Safe</t>
        </is>
      </c>
      <c r="H16" s="86" t="n">
        <v>1.26</v>
      </c>
      <c r="I16" s="86" t="inlineStr">
        <is>
          <t>Healthy</t>
        </is>
      </c>
      <c r="J16" s="86" t="n">
        <v>-2.78</v>
      </c>
      <c r="K16" s="86" t="n">
        <v>0.06</v>
      </c>
      <c r="L16" s="86" t="inlineStr">
        <is>
          <t>Healthy</t>
        </is>
      </c>
      <c r="M16" s="86" t="n">
        <v>9</v>
      </c>
      <c r="N16" s="86" t="inlineStr">
        <is>
          <t>Strong</t>
        </is>
      </c>
      <c r="O16" s="207" t="n">
        <v>-2.8</v>
      </c>
      <c r="P16" s="86" t="inlineStr">
        <is>
          <t>Lower Risk</t>
        </is>
      </c>
      <c r="Q16" s="86" t="n">
        <v>1</v>
      </c>
      <c r="R16" s="86" t="n">
        <v>0.1089</v>
      </c>
      <c r="S16" s="86" t="n">
        <v>1.71</v>
      </c>
      <c r="T16" s="86" t="n">
        <v>0.1638</v>
      </c>
      <c r="U16" s="86" t="n">
        <v>0.0873</v>
      </c>
      <c r="V16" s="86" t="n">
        <v>0.1856</v>
      </c>
      <c r="W16" s="86" t="n">
        <v>7.63</v>
      </c>
      <c r="X16" s="86" t="n">
        <v>67.68000000000001</v>
      </c>
      <c r="Y16" s="86" t="n">
        <v>0</v>
      </c>
      <c r="Z16" s="86" t="inlineStr">
        <is>
          <t>CLEAR</t>
        </is>
      </c>
    </row>
    <row r="17" ht="17" customHeight="1">
      <c r="A17" s="82" t="n">
        <v>15</v>
      </c>
      <c r="B17" s="82" t="inlineStr">
        <is>
          <t>RMD</t>
        </is>
      </c>
      <c r="C17" s="82" t="inlineStr">
        <is>
          <t>ResMed Inc.</t>
        </is>
      </c>
      <c r="D17" s="82" t="n">
        <v>2.99</v>
      </c>
      <c r="E17" s="206" t="inlineStr">
        <is>
          <t>Safe</t>
        </is>
      </c>
      <c r="F17" s="82" t="n">
        <v>8.65</v>
      </c>
      <c r="G17" s="82" t="inlineStr">
        <is>
          <t>Safe</t>
        </is>
      </c>
      <c r="H17" s="82" t="n">
        <v>2.18</v>
      </c>
      <c r="I17" s="82" t="inlineStr">
        <is>
          <t>Healthy</t>
        </is>
      </c>
      <c r="J17" s="82" t="n">
        <v>-3.56</v>
      </c>
      <c r="K17" s="82" t="n">
        <v>0.03</v>
      </c>
      <c r="L17" s="82" t="inlineStr">
        <is>
          <t>Healthy</t>
        </is>
      </c>
      <c r="M17" s="82" t="n">
        <v>8</v>
      </c>
      <c r="N17" s="82" t="inlineStr">
        <is>
          <t>Strong</t>
        </is>
      </c>
      <c r="O17" s="207" t="n">
        <v>-2.71</v>
      </c>
      <c r="P17" s="82" t="inlineStr">
        <is>
          <t>Lower Risk</t>
        </is>
      </c>
      <c r="Q17" s="82" t="n">
        <v>-0.29</v>
      </c>
      <c r="R17" s="82" t="n">
        <v>0.2347</v>
      </c>
      <c r="S17" s="82" t="n">
        <v>1.25</v>
      </c>
      <c r="T17" s="82" t="n">
        <v>0.5620000000000001</v>
      </c>
      <c r="U17" s="82" t="n">
        <v>0.1344</v>
      </c>
      <c r="V17" s="82" t="n">
        <v>0.57</v>
      </c>
      <c r="W17" s="82" t="n">
        <v>70.26000000000001</v>
      </c>
      <c r="X17" s="82" t="n">
        <v>67.44</v>
      </c>
      <c r="Y17" s="82" t="n">
        <v>0</v>
      </c>
      <c r="Z17" s="82" t="inlineStr">
        <is>
          <t>CLEAR</t>
        </is>
      </c>
    </row>
    <row r="18" ht="17" customHeight="1">
      <c r="A18" s="86" t="n">
        <v>16</v>
      </c>
      <c r="B18" s="86" t="inlineStr">
        <is>
          <t>LDOS</t>
        </is>
      </c>
      <c r="C18" s="86" t="inlineStr">
        <is>
          <t>Leidos Holdings, Inc.</t>
        </is>
      </c>
      <c r="D18" s="86" t="n">
        <v>2.4</v>
      </c>
      <c r="E18" s="208" t="inlineStr">
        <is>
          <t>Grey</t>
        </is>
      </c>
      <c r="F18" s="86" t="n">
        <v>3.74</v>
      </c>
      <c r="G18" s="86" t="inlineStr">
        <is>
          <t>Safe</t>
        </is>
      </c>
      <c r="H18" s="86" t="n">
        <v>1.59</v>
      </c>
      <c r="I18" s="86" t="inlineStr">
        <is>
          <t>Healthy</t>
        </is>
      </c>
      <c r="J18" s="86" t="n">
        <v>-1.22</v>
      </c>
      <c r="K18" s="86" t="n">
        <v>0.23</v>
      </c>
      <c r="L18" s="86" t="inlineStr">
        <is>
          <t>Healthy</t>
        </is>
      </c>
      <c r="M18" s="86" t="n">
        <v>9</v>
      </c>
      <c r="N18" s="86" t="inlineStr">
        <is>
          <t>Strong</t>
        </is>
      </c>
      <c r="O18" s="207" t="n">
        <v>-2.71</v>
      </c>
      <c r="P18" s="86" t="inlineStr">
        <is>
          <t>Lower Risk</t>
        </is>
      </c>
      <c r="Q18" s="86" t="n">
        <v>0.09</v>
      </c>
      <c r="R18" s="86" t="n">
        <v>0.2945</v>
      </c>
      <c r="S18" s="86" t="n">
        <v>1.21</v>
      </c>
      <c r="T18" s="86" t="n">
        <v>0.0949</v>
      </c>
      <c r="U18" s="86" t="n">
        <v>0.0307</v>
      </c>
      <c r="V18" s="86" t="n">
        <v>0.1228</v>
      </c>
      <c r="W18" s="86" t="n">
        <v>11.4</v>
      </c>
      <c r="X18" s="86" t="n">
        <v>67.09</v>
      </c>
      <c r="Y18" s="86" t="n">
        <v>0</v>
      </c>
      <c r="Z18" s="86" t="inlineStr">
        <is>
          <t>CLEAR</t>
        </is>
      </c>
    </row>
    <row r="19" ht="17" customHeight="1">
      <c r="A19" s="82" t="n">
        <v>17</v>
      </c>
      <c r="B19" s="82" t="inlineStr">
        <is>
          <t>CHRW</t>
        </is>
      </c>
      <c r="C19" s="82" t="inlineStr">
        <is>
          <t>C.H. ROBINSON WORLDWIDE, INC.</t>
        </is>
      </c>
      <c r="D19" s="82" t="n">
        <v>4.82</v>
      </c>
      <c r="E19" s="206" t="inlineStr">
        <is>
          <t>Safe</t>
        </is>
      </c>
      <c r="F19" s="82" t="n">
        <v>6.83</v>
      </c>
      <c r="G19" s="82" t="inlineStr">
        <is>
          <t>Safe</t>
        </is>
      </c>
      <c r="H19" s="82" t="n">
        <v>2.12</v>
      </c>
      <c r="I19" s="82" t="inlineStr">
        <is>
          <t>Healthy</t>
        </is>
      </c>
      <c r="J19" s="82" t="n">
        <v>-1.25</v>
      </c>
      <c r="K19" s="82" t="n">
        <v>0.22</v>
      </c>
      <c r="L19" s="82" t="inlineStr">
        <is>
          <t>Healthy</t>
        </is>
      </c>
      <c r="M19" s="82" t="n">
        <v>8</v>
      </c>
      <c r="N19" s="82" t="inlineStr">
        <is>
          <t>Strong</t>
        </is>
      </c>
      <c r="O19" s="207" t="n">
        <v>-0.79</v>
      </c>
      <c r="P19" s="82" t="inlineStr">
        <is>
          <t>Higher Risk</t>
        </is>
      </c>
      <c r="Q19" s="82" t="n">
        <v>1.03</v>
      </c>
      <c r="R19" s="82" t="n">
        <v>0.3181</v>
      </c>
      <c r="S19" s="82" t="n">
        <v>1.56</v>
      </c>
      <c r="T19" s="82" t="n">
        <v>0.0602</v>
      </c>
      <c r="U19" s="82" t="n">
        <v>2.7551</v>
      </c>
      <c r="V19" s="82" t="n">
        <v>0.0535</v>
      </c>
      <c r="W19" s="82" t="n">
        <v>20.99</v>
      </c>
      <c r="X19" s="82" t="n">
        <v>66.66</v>
      </c>
      <c r="Y19" s="82" t="n">
        <v>20</v>
      </c>
      <c r="Z19" s="82" t="inlineStr">
        <is>
          <t>CLEAR</t>
        </is>
      </c>
    </row>
    <row r="20" ht="17" customHeight="1">
      <c r="A20" s="86" t="n">
        <v>18</v>
      </c>
      <c r="B20" s="86" t="inlineStr">
        <is>
          <t>IPGP</t>
        </is>
      </c>
      <c r="C20" s="86" t="inlineStr">
        <is>
          <t>IPG PHOTONICS CORP</t>
        </is>
      </c>
      <c r="D20" s="86" t="n">
        <v>4.72</v>
      </c>
      <c r="E20" s="206" t="inlineStr">
        <is>
          <t>Safe</t>
        </is>
      </c>
      <c r="F20" s="86" t="n">
        <v>14.36</v>
      </c>
      <c r="G20" s="86" t="inlineStr">
        <is>
          <t>Safe</t>
        </is>
      </c>
      <c r="H20" s="86" t="n">
        <v>0.8100000000000001</v>
      </c>
      <c r="I20" s="86" t="inlineStr">
        <is>
          <t>Distress</t>
        </is>
      </c>
      <c r="J20" s="86" t="n">
        <v>-3.68</v>
      </c>
      <c r="K20" s="86" t="n">
        <v>0.02</v>
      </c>
      <c r="L20" s="86" t="inlineStr">
        <is>
          <t>Healthy</t>
        </is>
      </c>
      <c r="M20" s="86" t="n">
        <v>6</v>
      </c>
      <c r="N20" s="86" t="inlineStr">
        <is>
          <t>Mixed</t>
        </is>
      </c>
      <c r="O20" s="207" t="n">
        <v>-2.6</v>
      </c>
      <c r="P20" s="86" t="inlineStr">
        <is>
          <t>Lower Risk</t>
        </is>
      </c>
      <c r="Q20" s="86" t="n">
        <v>-4.85</v>
      </c>
      <c r="R20" s="86" t="n">
        <v>0.0146</v>
      </c>
      <c r="S20" s="86" t="n">
        <v>2.42</v>
      </c>
      <c r="T20" s="86" t="n">
        <v>-0.0034</v>
      </c>
      <c r="U20" s="86" t="n">
        <v>0.0273</v>
      </c>
      <c r="V20" s="86" t="n">
        <v>0.0131</v>
      </c>
      <c r="W20" s="86" t="n">
        <v>19.24</v>
      </c>
      <c r="X20" s="86" t="n">
        <v>66.63</v>
      </c>
      <c r="Y20" s="86" t="n">
        <v>0</v>
      </c>
      <c r="Z20" s="86" t="inlineStr">
        <is>
          <t>CLEAR</t>
        </is>
      </c>
    </row>
    <row r="21" ht="17" customHeight="1">
      <c r="A21" s="82" t="n">
        <v>19</v>
      </c>
      <c r="B21" s="82" t="inlineStr">
        <is>
          <t>FIVE</t>
        </is>
      </c>
      <c r="C21" s="82" t="inlineStr">
        <is>
          <t>Five Below, Inc.</t>
        </is>
      </c>
      <c r="D21" s="82" t="n">
        <v>2.07</v>
      </c>
      <c r="E21" s="208" t="inlineStr">
        <is>
          <t>Grey</t>
        </is>
      </c>
      <c r="F21" s="82" t="n">
        <v>4.07</v>
      </c>
      <c r="G21" s="82" t="inlineStr">
        <is>
          <t>Safe</t>
        </is>
      </c>
      <c r="H21" s="82" t="n">
        <v>1.2</v>
      </c>
      <c r="I21" s="82" t="inlineStr">
        <is>
          <t>Healthy</t>
        </is>
      </c>
      <c r="J21" s="82" t="n">
        <v>-1.5</v>
      </c>
      <c r="K21" s="82" t="n">
        <v>0.18</v>
      </c>
      <c r="L21" s="82" t="inlineStr">
        <is>
          <t>Healthy</t>
        </is>
      </c>
      <c r="M21" s="82" t="n">
        <v>9</v>
      </c>
      <c r="N21" s="82" t="inlineStr">
        <is>
          <t>Strong</t>
        </is>
      </c>
      <c r="O21" s="91" t="inlineStr">
        <is>
          <t>N/A</t>
        </is>
      </c>
      <c r="P21" s="82" t="inlineStr">
        <is>
          <t>Insufficient Data</t>
        </is>
      </c>
      <c r="Q21" s="82" t="n">
        <v>-0.31</v>
      </c>
      <c r="R21" s="82" t="n">
        <v>0.1635</v>
      </c>
      <c r="S21" s="82" t="n">
        <v>1.64</v>
      </c>
      <c r="T21" s="82" t="n">
        <v>0.0864</v>
      </c>
      <c r="U21" s="82" t="n">
        <v>0.229</v>
      </c>
      <c r="V21" s="82" t="n">
        <v>0.096</v>
      </c>
      <c r="W21" s="82" t="n">
        <v>653.4299999999999</v>
      </c>
      <c r="X21" s="82" t="n">
        <v>66.42</v>
      </c>
      <c r="Y21" s="82" t="n">
        <v>0</v>
      </c>
      <c r="Z21" s="82" t="inlineStr">
        <is>
          <t>CLEAR</t>
        </is>
      </c>
    </row>
    <row r="22" ht="17" customHeight="1">
      <c r="A22" s="86" t="n">
        <v>20</v>
      </c>
      <c r="B22" s="86" t="inlineStr">
        <is>
          <t>JKHY</t>
        </is>
      </c>
      <c r="C22" s="86" t="inlineStr">
        <is>
          <t>JACK HENRY &amp; ASSOCIATES, INC.</t>
        </is>
      </c>
      <c r="D22" s="86" t="n">
        <v>3.04</v>
      </c>
      <c r="E22" s="206" t="inlineStr">
        <is>
          <t>Safe</t>
        </is>
      </c>
      <c r="F22" s="86" t="n">
        <v>7.63</v>
      </c>
      <c r="G22" s="86" t="inlineStr">
        <is>
          <t>Safe</t>
        </is>
      </c>
      <c r="H22" s="86" t="n">
        <v>1.55</v>
      </c>
      <c r="I22" s="86" t="inlineStr">
        <is>
          <t>Healthy</t>
        </is>
      </c>
      <c r="J22" s="86" t="n">
        <v>-3.3</v>
      </c>
      <c r="K22" s="86" t="n">
        <v>0.04</v>
      </c>
      <c r="L22" s="86" t="inlineStr">
        <is>
          <t>Healthy</t>
        </is>
      </c>
      <c r="M22" s="86" t="n">
        <v>9</v>
      </c>
      <c r="N22" s="86" t="inlineStr">
        <is>
          <t>Strong</t>
        </is>
      </c>
      <c r="O22" s="207" t="n">
        <v>-0.99</v>
      </c>
      <c r="P22" s="86" t="inlineStr">
        <is>
          <t>Higher Risk</t>
        </is>
      </c>
      <c r="Q22" s="86" t="n">
        <v>-0.08</v>
      </c>
      <c r="R22" s="86" t="n">
        <v>0.2139</v>
      </c>
      <c r="S22" s="86" t="n">
        <v>1.41</v>
      </c>
      <c r="T22" s="86" t="n">
        <v>0.3828</v>
      </c>
      <c r="U22" s="86" t="n">
        <v>2.6829</v>
      </c>
      <c r="V22" s="86" t="n">
        <v>0.3701</v>
      </c>
      <c r="W22" s="86" t="n">
        <v>37.73</v>
      </c>
      <c r="X22" s="86" t="n">
        <v>66.33</v>
      </c>
      <c r="Y22" s="86" t="n">
        <v>20</v>
      </c>
      <c r="Z22" s="86" t="inlineStr">
        <is>
          <t>CLEAR</t>
        </is>
      </c>
    </row>
    <row r="23" ht="17" customHeight="1">
      <c r="A23" s="82" t="n">
        <v>21</v>
      </c>
      <c r="B23" s="82" t="inlineStr">
        <is>
          <t>PPG</t>
        </is>
      </c>
      <c r="C23" s="82" t="inlineStr">
        <is>
          <t>PPG INDUSTRIES INC</t>
        </is>
      </c>
      <c r="D23" s="82" t="n">
        <v>2.09</v>
      </c>
      <c r="E23" s="208" t="inlineStr">
        <is>
          <t>Grey</t>
        </is>
      </c>
      <c r="F23" s="82" t="n">
        <v>5.7</v>
      </c>
      <c r="G23" s="82" t="inlineStr">
        <is>
          <t>Safe</t>
        </is>
      </c>
      <c r="H23" s="82" t="n">
        <v>0.99</v>
      </c>
      <c r="I23" s="82" t="inlineStr">
        <is>
          <t>Healthy</t>
        </is>
      </c>
      <c r="J23" s="82" t="n">
        <v>-1.05</v>
      </c>
      <c r="K23" s="82" t="n">
        <v>0.26</v>
      </c>
      <c r="L23" s="82" t="inlineStr">
        <is>
          <t>Healthy</t>
        </is>
      </c>
      <c r="M23" s="82" t="n">
        <v>9</v>
      </c>
      <c r="N23" s="82" t="inlineStr">
        <is>
          <t>Strong</t>
        </is>
      </c>
      <c r="O23" s="207" t="n">
        <v>-6.68</v>
      </c>
      <c r="P23" s="82" t="inlineStr">
        <is>
          <t>Lower Risk</t>
        </is>
      </c>
      <c r="Q23" s="82" t="n">
        <v>1.6</v>
      </c>
      <c r="R23" s="82" t="n">
        <v>0.1985</v>
      </c>
      <c r="S23" s="82" t="n">
        <v>1.23</v>
      </c>
      <c r="T23" s="82" t="n">
        <v>0.1051</v>
      </c>
      <c r="U23" s="82" t="n">
        <v>1.9306</v>
      </c>
      <c r="V23" s="82" t="n">
        <v>0.2417</v>
      </c>
      <c r="W23" s="82" t="n">
        <v>10.83</v>
      </c>
      <c r="X23" s="82" t="n">
        <v>66.02</v>
      </c>
      <c r="Y23" s="82" t="n">
        <v>0</v>
      </c>
      <c r="Z23" s="82" t="inlineStr">
        <is>
          <t>CLEAR</t>
        </is>
      </c>
    </row>
    <row r="24" ht="17" customHeight="1">
      <c r="A24" s="86" t="n">
        <v>22</v>
      </c>
      <c r="B24" s="86" t="inlineStr">
        <is>
          <t>POWI</t>
        </is>
      </c>
      <c r="C24" s="86" t="inlineStr">
        <is>
          <t>POWER INTEGRATIONS, INC.</t>
        </is>
      </c>
      <c r="D24" s="86" t="n">
        <v>4.56</v>
      </c>
      <c r="E24" s="206" t="inlineStr">
        <is>
          <t>Safe</t>
        </is>
      </c>
      <c r="F24" s="86" t="n">
        <v>13.34</v>
      </c>
      <c r="G24" s="86" t="inlineStr">
        <is>
          <t>Safe</t>
        </is>
      </c>
      <c r="H24" s="86" t="n">
        <v>0.98</v>
      </c>
      <c r="I24" s="86" t="inlineStr">
        <is>
          <t>Healthy</t>
        </is>
      </c>
      <c r="J24" s="86" t="n">
        <v>-3.71</v>
      </c>
      <c r="K24" s="86" t="n">
        <v>0.02</v>
      </c>
      <c r="L24" s="86" t="inlineStr">
        <is>
          <t>Healthy</t>
        </is>
      </c>
      <c r="M24" s="86" t="n">
        <v>6</v>
      </c>
      <c r="N24" s="86" t="inlineStr">
        <is>
          <t>Mixed</t>
        </is>
      </c>
      <c r="O24" s="207" t="n">
        <v>-2.82</v>
      </c>
      <c r="P24" s="86" t="inlineStr">
        <is>
          <t>Lower Risk</t>
        </is>
      </c>
      <c r="Q24" s="86" t="n">
        <v>-1.57</v>
      </c>
      <c r="R24" s="86" t="n">
        <v>0.0328</v>
      </c>
      <c r="S24" s="86" t="n">
        <v>5.05</v>
      </c>
      <c r="T24" s="86" t="n">
        <v>0.1964</v>
      </c>
      <c r="U24" s="86" t="n">
        <v>0.0586</v>
      </c>
      <c r="V24" s="86" t="n">
        <v>0.023</v>
      </c>
      <c r="W24" s="90" t="inlineStr">
        <is>
          <t>N/A</t>
        </is>
      </c>
      <c r="X24" s="86" t="n">
        <v>66.01000000000001</v>
      </c>
      <c r="Y24" s="86" t="n">
        <v>20</v>
      </c>
      <c r="Z24" s="86" t="inlineStr">
        <is>
          <t>CLEAR</t>
        </is>
      </c>
    </row>
    <row r="25" ht="17" customHeight="1">
      <c r="A25" s="82" t="n">
        <v>23</v>
      </c>
      <c r="B25" s="82" t="inlineStr">
        <is>
          <t>DIOD</t>
        </is>
      </c>
      <c r="C25" s="82" t="inlineStr">
        <is>
          <t>DIODES INC /DEL/</t>
        </is>
      </c>
      <c r="D25" s="91" t="inlineStr">
        <is>
          <t>N/A</t>
        </is>
      </c>
      <c r="E25" s="91" t="inlineStr">
        <is>
          <t>N/A</t>
        </is>
      </c>
      <c r="F25" s="91" t="inlineStr">
        <is>
          <t>N/A</t>
        </is>
      </c>
      <c r="G25" s="91" t="inlineStr">
        <is>
          <t>N/A</t>
        </is>
      </c>
      <c r="H25" s="82" t="n">
        <v>0.8</v>
      </c>
      <c r="I25" s="82" t="inlineStr">
        <is>
          <t>Distress</t>
        </is>
      </c>
      <c r="J25" s="82" t="n">
        <v>-3.26</v>
      </c>
      <c r="K25" s="82" t="n">
        <v>0.04</v>
      </c>
      <c r="L25" s="82" t="inlineStr">
        <is>
          <t>Healthy</t>
        </is>
      </c>
      <c r="M25" s="82" t="n">
        <v>8</v>
      </c>
      <c r="N25" s="82" t="inlineStr">
        <is>
          <t>Strong</t>
        </is>
      </c>
      <c r="O25" s="207" t="n">
        <v>-2.81</v>
      </c>
      <c r="P25" s="82" t="inlineStr">
        <is>
          <t>Lower Risk</t>
        </is>
      </c>
      <c r="Q25" s="82" t="n">
        <v>-2.18</v>
      </c>
      <c r="R25" s="82" t="n">
        <v>0.0352</v>
      </c>
      <c r="S25" s="82" t="n">
        <v>3.26</v>
      </c>
      <c r="T25" s="82" t="n">
        <v>0.0925</v>
      </c>
      <c r="U25" s="82" t="n">
        <v>0.1304</v>
      </c>
      <c r="V25" s="82" t="n">
        <v>0.0239</v>
      </c>
      <c r="W25" s="82" t="n">
        <v>15.19</v>
      </c>
      <c r="X25" s="82" t="n">
        <v>65.95</v>
      </c>
      <c r="Y25" s="82" t="n">
        <v>0</v>
      </c>
      <c r="Z25" s="82" t="inlineStr">
        <is>
          <t>CLEAR</t>
        </is>
      </c>
    </row>
    <row r="26" ht="17" customHeight="1">
      <c r="A26" s="86" t="n">
        <v>24</v>
      </c>
      <c r="B26" s="86" t="inlineStr">
        <is>
          <t>APP</t>
        </is>
      </c>
      <c r="C26" s="86" t="inlineStr">
        <is>
          <t>AppLovin Corp</t>
        </is>
      </c>
      <c r="D26" s="86" t="n">
        <v>3.21</v>
      </c>
      <c r="E26" s="206" t="inlineStr">
        <is>
          <t>Safe</t>
        </is>
      </c>
      <c r="F26" s="86" t="n">
        <v>7.86</v>
      </c>
      <c r="G26" s="86" t="inlineStr">
        <is>
          <t>Safe</t>
        </is>
      </c>
      <c r="H26" s="86" t="n">
        <v>4.45</v>
      </c>
      <c r="I26" s="86" t="inlineStr">
        <is>
          <t>Healthy</t>
        </is>
      </c>
      <c r="J26" s="86" t="n">
        <v>-2.39</v>
      </c>
      <c r="K26" s="86" t="n">
        <v>0.08</v>
      </c>
      <c r="L26" s="86" t="inlineStr">
        <is>
          <t>Healthy</t>
        </is>
      </c>
      <c r="M26" s="86" t="n">
        <v>8</v>
      </c>
      <c r="N26" s="86" t="inlineStr">
        <is>
          <t>Strong</t>
        </is>
      </c>
      <c r="O26" s="207" t="n">
        <v>-2.96</v>
      </c>
      <c r="P26" s="86" t="inlineStr">
        <is>
          <t>Lower Risk</t>
        </is>
      </c>
      <c r="Q26" s="86" t="n">
        <v>0.24</v>
      </c>
      <c r="R26" s="86" t="n">
        <v>1.5617</v>
      </c>
      <c r="S26" s="86" t="n">
        <v>1.19</v>
      </c>
      <c r="T26" s="86" t="n">
        <v>0.7237</v>
      </c>
      <c r="U26" s="86" t="n">
        <v>0.1638</v>
      </c>
      <c r="V26" s="86" t="n">
        <v>0.7575</v>
      </c>
      <c r="W26" s="86" t="n">
        <v>20.7</v>
      </c>
      <c r="X26" s="86" t="n">
        <v>65.86</v>
      </c>
      <c r="Y26" s="86" t="n">
        <v>0</v>
      </c>
      <c r="Z26" s="86" t="inlineStr">
        <is>
          <t>CLEAR</t>
        </is>
      </c>
    </row>
    <row r="27" ht="17" customHeight="1">
      <c r="A27" s="82" t="n">
        <v>25</v>
      </c>
      <c r="B27" s="82" t="inlineStr">
        <is>
          <t>QRVO</t>
        </is>
      </c>
      <c r="C27" s="82" t="inlineStr">
        <is>
          <t>Qorvo, Inc.</t>
        </is>
      </c>
      <c r="D27" s="82" t="n">
        <v>1.62</v>
      </c>
      <c r="E27" s="208" t="inlineStr">
        <is>
          <t>Grey</t>
        </is>
      </c>
      <c r="F27" s="82" t="n">
        <v>3.71</v>
      </c>
      <c r="G27" s="82" t="inlineStr">
        <is>
          <t>Safe</t>
        </is>
      </c>
      <c r="H27" s="82" t="n">
        <v>1.12</v>
      </c>
      <c r="I27" s="82" t="inlineStr">
        <is>
          <t>Healthy</t>
        </is>
      </c>
      <c r="J27" s="82" t="n">
        <v>-2.17</v>
      </c>
      <c r="K27" s="82" t="n">
        <v>0.1</v>
      </c>
      <c r="L27" s="82" t="inlineStr">
        <is>
          <t>Healthy</t>
        </is>
      </c>
      <c r="M27" s="82" t="n">
        <v>9</v>
      </c>
      <c r="N27" s="82" t="inlineStr">
        <is>
          <t>Strong</t>
        </is>
      </c>
      <c r="O27" s="207" t="n">
        <v>-3.06</v>
      </c>
      <c r="P27" s="82" t="inlineStr">
        <is>
          <t>Lower Risk</t>
        </is>
      </c>
      <c r="Q27" s="82" t="n">
        <v>0.59</v>
      </c>
      <c r="R27" s="82" t="n">
        <v>0.1014</v>
      </c>
      <c r="S27" s="82" t="n">
        <v>2.39</v>
      </c>
      <c r="T27" s="82" t="n">
        <v>0.1847</v>
      </c>
      <c r="U27" s="82" t="n">
        <v>-0.0109</v>
      </c>
      <c r="V27" s="82" t="n">
        <v>0.1118</v>
      </c>
      <c r="W27" s="82" t="n">
        <v>5.63</v>
      </c>
      <c r="X27" s="82" t="n">
        <v>65.61</v>
      </c>
      <c r="Y27" s="82" t="n">
        <v>0</v>
      </c>
      <c r="Z27" s="82" t="inlineStr">
        <is>
          <t>CLEAR</t>
        </is>
      </c>
    </row>
    <row r="28" ht="17" customHeight="1">
      <c r="A28" s="86" t="n">
        <v>26</v>
      </c>
      <c r="B28" s="86" t="inlineStr">
        <is>
          <t>RMBS</t>
        </is>
      </c>
      <c r="C28" s="86" t="inlineStr">
        <is>
          <t>RAMBUS INC</t>
        </is>
      </c>
      <c r="D28" s="86" t="n">
        <v>4.71</v>
      </c>
      <c r="E28" s="206" t="inlineStr">
        <is>
          <t>Safe</t>
        </is>
      </c>
      <c r="F28" s="86" t="n">
        <v>13.71</v>
      </c>
      <c r="G28" s="86" t="inlineStr">
        <is>
          <t>Safe</t>
        </is>
      </c>
      <c r="H28" s="86" t="n">
        <v>2.75</v>
      </c>
      <c r="I28" s="86" t="inlineStr">
        <is>
          <t>Healthy</t>
        </is>
      </c>
      <c r="J28" s="86" t="n">
        <v>-4.37</v>
      </c>
      <c r="K28" s="86" t="n">
        <v>0.01</v>
      </c>
      <c r="L28" s="86" t="inlineStr">
        <is>
          <t>Healthy</t>
        </is>
      </c>
      <c r="M28" s="86" t="n">
        <v>7</v>
      </c>
      <c r="N28" s="86" t="inlineStr">
        <is>
          <t>Strong</t>
        </is>
      </c>
      <c r="O28" s="207" t="n">
        <v>0.09</v>
      </c>
      <c r="P28" s="86" t="inlineStr">
        <is>
          <t>Higher Risk</t>
        </is>
      </c>
      <c r="Q28" s="86" t="n">
        <v>-0.67</v>
      </c>
      <c r="R28" s="86" t="n">
        <v>0.1689</v>
      </c>
      <c r="S28" s="86" t="n">
        <v>1.56</v>
      </c>
      <c r="T28" s="86" t="n">
        <v>0.8476</v>
      </c>
      <c r="U28" s="86" t="n">
        <v>2.858</v>
      </c>
      <c r="V28" s="86" t="n">
        <v>0.662</v>
      </c>
      <c r="W28" s="86" t="n">
        <v>174.64</v>
      </c>
      <c r="X28" s="86" t="n">
        <v>65.54000000000001</v>
      </c>
      <c r="Y28" s="86" t="n">
        <v>20</v>
      </c>
      <c r="Z28" s="86" t="inlineStr">
        <is>
          <t>CLEAR</t>
        </is>
      </c>
    </row>
    <row r="29" ht="17" customHeight="1">
      <c r="A29" s="82" t="n">
        <v>27</v>
      </c>
      <c r="B29" s="82" t="inlineStr">
        <is>
          <t>HII</t>
        </is>
      </c>
      <c r="C29" s="82" t="inlineStr">
        <is>
          <t>HUNTINGTON INGALLS INDUSTRIES, INC.</t>
        </is>
      </c>
      <c r="D29" s="82" t="n">
        <v>1.8</v>
      </c>
      <c r="E29" s="208" t="inlineStr">
        <is>
          <t>Grey</t>
        </is>
      </c>
      <c r="F29" s="82" t="n">
        <v>2.65</v>
      </c>
      <c r="G29" s="82" t="inlineStr">
        <is>
          <t>Safe</t>
        </is>
      </c>
      <c r="H29" s="82" t="n">
        <v>0.75</v>
      </c>
      <c r="I29" s="82" t="inlineStr">
        <is>
          <t>Distress</t>
        </is>
      </c>
      <c r="J29" s="82" t="n">
        <v>-1.13</v>
      </c>
      <c r="K29" s="82" t="n">
        <v>0.24</v>
      </c>
      <c r="L29" s="82" t="inlineStr">
        <is>
          <t>Healthy</t>
        </is>
      </c>
      <c r="M29" s="82" t="n">
        <v>9</v>
      </c>
      <c r="N29" s="82" t="inlineStr">
        <is>
          <t>Strong</t>
        </is>
      </c>
      <c r="O29" s="207" t="n">
        <v>-2.31</v>
      </c>
      <c r="P29" s="82" t="inlineStr">
        <is>
          <t>Lower Risk</t>
        </is>
      </c>
      <c r="Q29" s="82" t="n">
        <v>2.31</v>
      </c>
      <c r="R29" s="82" t="n">
        <v>0.1193</v>
      </c>
      <c r="S29" s="82" t="n">
        <v>1.98</v>
      </c>
      <c r="T29" s="82" t="n">
        <v>0.0636</v>
      </c>
      <c r="U29" s="82" t="n">
        <v>0.0823</v>
      </c>
      <c r="V29" s="82" t="n">
        <v>0.0526</v>
      </c>
      <c r="W29" s="82" t="n">
        <v>6.26</v>
      </c>
      <c r="X29" s="82" t="n">
        <v>65.2</v>
      </c>
      <c r="Y29" s="82" t="n">
        <v>0</v>
      </c>
      <c r="Z29" s="82" t="inlineStr">
        <is>
          <t>CLEAR</t>
        </is>
      </c>
    </row>
    <row r="30" ht="17" customHeight="1">
      <c r="A30" s="86" t="n">
        <v>28</v>
      </c>
      <c r="B30" s="86" t="inlineStr">
        <is>
          <t>GNTX</t>
        </is>
      </c>
      <c r="C30" s="86" t="inlineStr">
        <is>
          <t>GENTEX CORPORATION</t>
        </is>
      </c>
      <c r="D30" s="86" t="n">
        <v>4.36</v>
      </c>
      <c r="E30" s="206" t="inlineStr">
        <is>
          <t>Safe</t>
        </is>
      </c>
      <c r="F30" s="86" t="n">
        <v>10.35</v>
      </c>
      <c r="G30" s="86" t="inlineStr">
        <is>
          <t>Safe</t>
        </is>
      </c>
      <c r="H30" s="86" t="n">
        <v>1.89</v>
      </c>
      <c r="I30" s="86" t="inlineStr">
        <is>
          <t>Healthy</t>
        </is>
      </c>
      <c r="J30" s="86" t="n">
        <v>-4.07</v>
      </c>
      <c r="K30" s="86" t="n">
        <v>0.02</v>
      </c>
      <c r="L30" s="86" t="inlineStr">
        <is>
          <t>Healthy</t>
        </is>
      </c>
      <c r="M30" s="86" t="n">
        <v>6</v>
      </c>
      <c r="N30" s="86" t="inlineStr">
        <is>
          <t>Mixed</t>
        </is>
      </c>
      <c r="O30" s="207" t="n">
        <v>-2.94</v>
      </c>
      <c r="P30" s="86" t="inlineStr">
        <is>
          <t>Lower Risk</t>
        </is>
      </c>
      <c r="Q30" s="86" t="n">
        <v>-0.25</v>
      </c>
      <c r="R30" s="86" t="n">
        <v>0.1547</v>
      </c>
      <c r="S30" s="86" t="n">
        <v>1.53</v>
      </c>
      <c r="T30" s="86" t="n">
        <v>0.1807</v>
      </c>
      <c r="U30" s="86" t="n">
        <v>0.0955</v>
      </c>
      <c r="V30" s="86" t="n">
        <v>0.187</v>
      </c>
      <c r="W30" s="86" t="n">
        <v>592.42</v>
      </c>
      <c r="X30" s="86" t="n">
        <v>65.19</v>
      </c>
      <c r="Y30" s="86" t="n">
        <v>0</v>
      </c>
      <c r="Z30" s="86" t="inlineStr">
        <is>
          <t>CLEAR</t>
        </is>
      </c>
    </row>
    <row r="31" ht="17" customHeight="1">
      <c r="A31" s="82" t="n">
        <v>29</v>
      </c>
      <c r="B31" s="82" t="inlineStr">
        <is>
          <t>VMC</t>
        </is>
      </c>
      <c r="C31" s="82" t="inlineStr">
        <is>
          <t>VULCAN MATERIALS COMPANY</t>
        </is>
      </c>
      <c r="D31" s="82" t="n">
        <v>1.56</v>
      </c>
      <c r="E31" s="208" t="inlineStr">
        <is>
          <t>Grey</t>
        </is>
      </c>
      <c r="F31" s="82" t="n">
        <v>3.47</v>
      </c>
      <c r="G31" s="82" t="inlineStr">
        <is>
          <t>Safe</t>
        </is>
      </c>
      <c r="H31" s="82" t="n">
        <v>1.54</v>
      </c>
      <c r="I31" s="82" t="inlineStr">
        <is>
          <t>Healthy</t>
        </is>
      </c>
      <c r="J31" s="82" t="n">
        <v>-1.84</v>
      </c>
      <c r="K31" s="82" t="n">
        <v>0.14</v>
      </c>
      <c r="L31" s="82" t="inlineStr">
        <is>
          <t>Healthy</t>
        </is>
      </c>
      <c r="M31" s="82" t="n">
        <v>9</v>
      </c>
      <c r="N31" s="82" t="inlineStr">
        <is>
          <t>Strong</t>
        </is>
      </c>
      <c r="O31" s="207" t="n">
        <v>-2.75</v>
      </c>
      <c r="P31" s="82" t="inlineStr">
        <is>
          <t>Lower Risk</t>
        </is>
      </c>
      <c r="Q31" s="82" t="n">
        <v>1.76</v>
      </c>
      <c r="R31" s="82" t="n">
        <v>0.1263</v>
      </c>
      <c r="S31" s="82" t="n">
        <v>1.68</v>
      </c>
      <c r="T31" s="82" t="n">
        <v>0.1459</v>
      </c>
      <c r="U31" s="82" t="n">
        <v>0.0638</v>
      </c>
      <c r="V31" s="82" t="n">
        <v>0.2081</v>
      </c>
      <c r="W31" s="82" t="n">
        <v>8.26</v>
      </c>
      <c r="X31" s="82" t="n">
        <v>65.03</v>
      </c>
      <c r="Y31" s="82" t="n">
        <v>0</v>
      </c>
      <c r="Z31" s="82" t="inlineStr">
        <is>
          <t>CLEAR</t>
        </is>
      </c>
    </row>
    <row r="32" ht="17" customHeight="1">
      <c r="A32" s="86" t="n">
        <v>30</v>
      </c>
      <c r="B32" s="86" t="inlineStr">
        <is>
          <t>CTSH</t>
        </is>
      </c>
      <c r="C32" s="86" t="inlineStr">
        <is>
          <t>COGNIZANT TECHNOLOGY SOLUTIONS CORPORATION</t>
        </is>
      </c>
      <c r="D32" s="86" t="n">
        <v>3.4</v>
      </c>
      <c r="E32" s="206" t="inlineStr">
        <is>
          <t>Safe</t>
        </is>
      </c>
      <c r="F32" s="86" t="n">
        <v>7.58</v>
      </c>
      <c r="G32" s="86" t="inlineStr">
        <is>
          <t>Safe</t>
        </is>
      </c>
      <c r="H32" s="86" t="n">
        <v>1.33</v>
      </c>
      <c r="I32" s="86" t="inlineStr">
        <is>
          <t>Healthy</t>
        </is>
      </c>
      <c r="J32" s="86" t="n">
        <v>-3.26</v>
      </c>
      <c r="K32" s="86" t="n">
        <v>0.04</v>
      </c>
      <c r="L32" s="86" t="inlineStr">
        <is>
          <t>Healthy</t>
        </is>
      </c>
      <c r="M32" s="86" t="n">
        <v>7</v>
      </c>
      <c r="N32" s="86" t="inlineStr">
        <is>
          <t>Strong</t>
        </is>
      </c>
      <c r="O32" s="90" t="inlineStr">
        <is>
          <t>N/A</t>
        </is>
      </c>
      <c r="P32" s="86" t="inlineStr">
        <is>
          <t>Insufficient Data</t>
        </is>
      </c>
      <c r="Q32" s="86" t="n">
        <v>-0.29</v>
      </c>
      <c r="R32" s="86" t="n">
        <v>0.1485</v>
      </c>
      <c r="S32" s="86" t="n">
        <v>1.29</v>
      </c>
      <c r="T32" s="86" t="n">
        <v>0.1229</v>
      </c>
      <c r="U32" s="86" t="n">
        <v>0.06950000000000001</v>
      </c>
      <c r="V32" s="86" t="n">
        <v>0.1606</v>
      </c>
      <c r="W32" s="86" t="n">
        <v>82.66</v>
      </c>
      <c r="X32" s="86" t="n">
        <v>64.98</v>
      </c>
      <c r="Y32" s="86" t="n">
        <v>0</v>
      </c>
      <c r="Z32" s="86" t="inlineStr">
        <is>
          <t>CLEAR</t>
        </is>
      </c>
    </row>
    <row r="33" ht="17" customHeight="1">
      <c r="A33" s="82" t="n">
        <v>31</v>
      </c>
      <c r="B33" s="82" t="inlineStr">
        <is>
          <t>RL</t>
        </is>
      </c>
      <c r="C33" s="82" t="inlineStr">
        <is>
          <t>RALPH LAUREN CORPORATION</t>
        </is>
      </c>
      <c r="D33" s="82" t="n">
        <v>2.86</v>
      </c>
      <c r="E33" s="208" t="inlineStr">
        <is>
          <t>Grey</t>
        </is>
      </c>
      <c r="F33" s="82" t="n">
        <v>6.88</v>
      </c>
      <c r="G33" s="82" t="inlineStr">
        <is>
          <t>Safe</t>
        </is>
      </c>
      <c r="H33" s="82" t="n">
        <v>1.59</v>
      </c>
      <c r="I33" s="82" t="inlineStr">
        <is>
          <t>Healthy</t>
        </is>
      </c>
      <c r="J33" s="82" t="n">
        <v>-1.28</v>
      </c>
      <c r="K33" s="82" t="n">
        <v>0.22</v>
      </c>
      <c r="L33" s="82" t="inlineStr">
        <is>
          <t>Healthy</t>
        </is>
      </c>
      <c r="M33" s="82" t="n">
        <v>8</v>
      </c>
      <c r="N33" s="82" t="inlineStr">
        <is>
          <t>Strong</t>
        </is>
      </c>
      <c r="O33" s="207" t="n">
        <v>-2.64</v>
      </c>
      <c r="P33" s="82" t="inlineStr">
        <is>
          <t>Lower Risk</t>
        </is>
      </c>
      <c r="Q33" s="82" t="n">
        <v>-1.2</v>
      </c>
      <c r="R33" s="82" t="n">
        <v>0.3312</v>
      </c>
      <c r="S33" s="82" t="n">
        <v>1.23</v>
      </c>
      <c r="T33" s="82" t="n">
        <v>0.1156</v>
      </c>
      <c r="U33" s="82" t="n">
        <v>0.1463</v>
      </c>
      <c r="V33" s="82" t="n">
        <v>0.1453</v>
      </c>
      <c r="W33" s="82" t="n">
        <v>21.76</v>
      </c>
      <c r="X33" s="82" t="n">
        <v>64.84</v>
      </c>
      <c r="Y33" s="82" t="n">
        <v>0</v>
      </c>
      <c r="Z33" s="82" t="inlineStr">
        <is>
          <t>CLEAR</t>
        </is>
      </c>
    </row>
    <row r="34" ht="17" customHeight="1">
      <c r="A34" s="86" t="n">
        <v>32</v>
      </c>
      <c r="B34" s="86" t="inlineStr">
        <is>
          <t>FAST</t>
        </is>
      </c>
      <c r="C34" s="86" t="inlineStr">
        <is>
          <t>FASTENAL CO</t>
        </is>
      </c>
      <c r="D34" s="86" t="n">
        <v>4.01</v>
      </c>
      <c r="E34" s="206" t="inlineStr">
        <is>
          <t>Safe</t>
        </is>
      </c>
      <c r="F34" s="86" t="n">
        <v>9.1</v>
      </c>
      <c r="G34" s="86" t="inlineStr">
        <is>
          <t>Safe</t>
        </is>
      </c>
      <c r="H34" s="86" t="n">
        <v>3.74</v>
      </c>
      <c r="I34" s="86" t="inlineStr">
        <is>
          <t>Healthy</t>
        </is>
      </c>
      <c r="J34" s="86" t="n">
        <v>0.24</v>
      </c>
      <c r="K34" s="86" t="n">
        <v>0.5600000000000001</v>
      </c>
      <c r="L34" s="86" t="inlineStr">
        <is>
          <t>Distress</t>
        </is>
      </c>
      <c r="M34" s="86" t="n">
        <v>7</v>
      </c>
      <c r="N34" s="86" t="inlineStr">
        <is>
          <t>Strong</t>
        </is>
      </c>
      <c r="O34" s="207" t="n">
        <v>-2.53</v>
      </c>
      <c r="P34" s="86" t="inlineStr">
        <is>
          <t>Lower Risk</t>
        </is>
      </c>
      <c r="Q34" s="86" t="n">
        <v>-0.08</v>
      </c>
      <c r="R34" s="86" t="n">
        <v>0.3191</v>
      </c>
      <c r="S34" s="86" t="n">
        <v>1.03</v>
      </c>
      <c r="T34" s="86" t="n">
        <v>0.1281</v>
      </c>
      <c r="U34" s="86" t="n">
        <v>0.0867</v>
      </c>
      <c r="V34" s="86" t="n">
        <v>0.2019</v>
      </c>
      <c r="W34" s="86" t="n">
        <v>153.31</v>
      </c>
      <c r="X34" s="86" t="n">
        <v>64.73999999999999</v>
      </c>
      <c r="Y34" s="86" t="n">
        <v>0</v>
      </c>
      <c r="Z34" s="86" t="inlineStr">
        <is>
          <t>CLEAR</t>
        </is>
      </c>
    </row>
    <row r="35" ht="17" customHeight="1">
      <c r="A35" s="82" t="n">
        <v>33</v>
      </c>
      <c r="B35" s="82" t="inlineStr">
        <is>
          <t>EQT</t>
        </is>
      </c>
      <c r="C35" s="82" t="inlineStr">
        <is>
          <t>EQT Corporation</t>
        </is>
      </c>
      <c r="D35" s="82" t="n">
        <v>1.21</v>
      </c>
      <c r="E35" s="207" t="inlineStr">
        <is>
          <t>Distress</t>
        </is>
      </c>
      <c r="F35" s="82" t="n">
        <v>2.49</v>
      </c>
      <c r="G35" s="82" t="inlineStr">
        <is>
          <t>Grey</t>
        </is>
      </c>
      <c r="H35" s="82" t="n">
        <v>1.1</v>
      </c>
      <c r="I35" s="82" t="inlineStr">
        <is>
          <t>Healthy</t>
        </is>
      </c>
      <c r="J35" s="82" t="n">
        <v>-2.59</v>
      </c>
      <c r="K35" s="82" t="n">
        <v>0.07000000000000001</v>
      </c>
      <c r="L35" s="82" t="inlineStr">
        <is>
          <t>Healthy</t>
        </is>
      </c>
      <c r="M35" s="82" t="n">
        <v>9</v>
      </c>
      <c r="N35" s="82" t="inlineStr">
        <is>
          <t>Strong</t>
        </is>
      </c>
      <c r="O35" s="207" t="n">
        <v>-2.62</v>
      </c>
      <c r="P35" s="82" t="inlineStr">
        <is>
          <t>Lower Risk</t>
        </is>
      </c>
      <c r="Q35" s="82" t="n">
        <v>1.31</v>
      </c>
      <c r="R35" s="82" t="n">
        <v>0.0859</v>
      </c>
      <c r="S35" s="82" t="n">
        <v>2.51</v>
      </c>
      <c r="T35" s="82" t="n">
        <v>0.3283</v>
      </c>
      <c r="U35" s="82" t="n">
        <v>0.6392</v>
      </c>
      <c r="V35" s="82" t="n">
        <v>0.3759</v>
      </c>
      <c r="W35" s="82" t="n">
        <v>14.79</v>
      </c>
      <c r="X35" s="82" t="n">
        <v>64.68000000000001</v>
      </c>
      <c r="Y35" s="82" t="n">
        <v>0</v>
      </c>
      <c r="Z35" s="82" t="inlineStr">
        <is>
          <t>CLEAR</t>
        </is>
      </c>
    </row>
    <row r="36" ht="17" customHeight="1">
      <c r="A36" s="86" t="n">
        <v>34</v>
      </c>
      <c r="B36" s="86" t="inlineStr">
        <is>
          <t>UNP</t>
        </is>
      </c>
      <c r="C36" s="86" t="inlineStr">
        <is>
          <t>UNION PACIFIC CORP</t>
        </is>
      </c>
      <c r="D36" s="86" t="n">
        <v>1.71</v>
      </c>
      <c r="E36" s="208" t="inlineStr">
        <is>
          <t>Grey</t>
        </is>
      </c>
      <c r="F36" s="86" t="n">
        <v>4.54</v>
      </c>
      <c r="G36" s="86" t="inlineStr">
        <is>
          <t>Safe</t>
        </is>
      </c>
      <c r="H36" s="86" t="n">
        <v>1.75</v>
      </c>
      <c r="I36" s="86" t="inlineStr">
        <is>
          <t>Healthy</t>
        </is>
      </c>
      <c r="J36" s="86" t="n">
        <v>-0.62</v>
      </c>
      <c r="K36" s="86" t="n">
        <v>0.35</v>
      </c>
      <c r="L36" s="86" t="inlineStr">
        <is>
          <t>Healthy</t>
        </is>
      </c>
      <c r="M36" s="86" t="n">
        <v>9</v>
      </c>
      <c r="N36" s="86" t="inlineStr">
        <is>
          <t>Strong</t>
        </is>
      </c>
      <c r="O36" s="207" t="n">
        <v>-3.33</v>
      </c>
      <c r="P36" s="86" t="inlineStr">
        <is>
          <t>Lower Risk</t>
        </is>
      </c>
      <c r="Q36" s="86" t="n">
        <v>2.48</v>
      </c>
      <c r="R36" s="86" t="n">
        <v>0.3865</v>
      </c>
      <c r="S36" s="86" t="n">
        <v>1.3</v>
      </c>
      <c r="T36" s="86" t="n">
        <v>0.2815</v>
      </c>
      <c r="U36" s="86" t="n">
        <v>2.7995</v>
      </c>
      <c r="V36" s="86" t="n">
        <v>0.5041</v>
      </c>
      <c r="W36" s="86" t="n">
        <v>7.35</v>
      </c>
      <c r="X36" s="86" t="n">
        <v>64.48999999999999</v>
      </c>
      <c r="Y36" s="86" t="n">
        <v>0</v>
      </c>
      <c r="Z36" s="86" t="inlineStr">
        <is>
          <t>CLEAR</t>
        </is>
      </c>
    </row>
    <row r="37" ht="17" customHeight="1">
      <c r="A37" s="82" t="n">
        <v>35</v>
      </c>
      <c r="B37" s="82" t="inlineStr">
        <is>
          <t>FIX</t>
        </is>
      </c>
      <c r="C37" s="82" t="inlineStr">
        <is>
          <t>COMFORT SYSTEMS USA, INC.</t>
        </is>
      </c>
      <c r="D37" s="82" t="n">
        <v>2.72</v>
      </c>
      <c r="E37" s="208" t="inlineStr">
        <is>
          <t>Grey</t>
        </is>
      </c>
      <c r="F37" s="82" t="n">
        <v>4.05</v>
      </c>
      <c r="G37" s="82" t="inlineStr">
        <is>
          <t>Safe</t>
        </is>
      </c>
      <c r="H37" s="82" t="n">
        <v>1.56</v>
      </c>
      <c r="I37" s="82" t="inlineStr">
        <is>
          <t>Healthy</t>
        </is>
      </c>
      <c r="J37" s="82" t="n">
        <v>-1.53</v>
      </c>
      <c r="K37" s="82" t="n">
        <v>0.18</v>
      </c>
      <c r="L37" s="82" t="inlineStr">
        <is>
          <t>Healthy</t>
        </is>
      </c>
      <c r="M37" s="82" t="n">
        <v>8</v>
      </c>
      <c r="N37" s="82" t="inlineStr">
        <is>
          <t>Strong</t>
        </is>
      </c>
      <c r="O37" s="207" t="n">
        <v>-2.51</v>
      </c>
      <c r="P37" s="82" t="inlineStr">
        <is>
          <t>Lower Risk</t>
        </is>
      </c>
      <c r="Q37" s="82" t="n">
        <v>-0.61</v>
      </c>
      <c r="R37" s="82" t="n">
        <v>0.4176</v>
      </c>
      <c r="S37" s="82" t="n">
        <v>1.16</v>
      </c>
      <c r="T37" s="82" t="n">
        <v>0.1133</v>
      </c>
      <c r="U37" s="82" t="n">
        <v>0.2952</v>
      </c>
      <c r="V37" s="82" t="n">
        <v>0.1444</v>
      </c>
      <c r="W37" s="82" t="n">
        <v>145.92</v>
      </c>
      <c r="X37" s="82" t="n">
        <v>64.42</v>
      </c>
      <c r="Y37" s="82" t="n">
        <v>0</v>
      </c>
      <c r="Z37" s="82" t="inlineStr">
        <is>
          <t>CLEAR</t>
        </is>
      </c>
    </row>
    <row r="38" ht="17" customHeight="1">
      <c r="A38" s="86" t="n">
        <v>36</v>
      </c>
      <c r="B38" s="86" t="inlineStr">
        <is>
          <t>KLIC</t>
        </is>
      </c>
      <c r="C38" s="86" t="inlineStr">
        <is>
          <t>KULICKE AND SOFFA INDUSTRIES, INC.</t>
        </is>
      </c>
      <c r="D38" s="86" t="n">
        <v>3.18</v>
      </c>
      <c r="E38" s="206" t="inlineStr">
        <is>
          <t>Safe</t>
        </is>
      </c>
      <c r="F38" s="86" t="n">
        <v>10.81</v>
      </c>
      <c r="G38" s="86" t="inlineStr">
        <is>
          <t>Safe</t>
        </is>
      </c>
      <c r="H38" s="86" t="n">
        <v>0.97</v>
      </c>
      <c r="I38" s="86" t="inlineStr">
        <is>
          <t>Healthy</t>
        </is>
      </c>
      <c r="J38" s="86" t="n">
        <v>-2.86</v>
      </c>
      <c r="K38" s="86" t="n">
        <v>0.05</v>
      </c>
      <c r="L38" s="86" t="inlineStr">
        <is>
          <t>Healthy</t>
        </is>
      </c>
      <c r="M38" s="86" t="n">
        <v>7</v>
      </c>
      <c r="N38" s="86" t="inlineStr">
        <is>
          <t>Strong</t>
        </is>
      </c>
      <c r="O38" s="90" t="inlineStr">
        <is>
          <t>N/A</t>
        </is>
      </c>
      <c r="P38" s="86" t="inlineStr">
        <is>
          <t>Insufficient Data</t>
        </is>
      </c>
      <c r="Q38" s="86" t="n">
        <v>-8.06</v>
      </c>
      <c r="R38" s="86" t="n">
        <v>0.0003</v>
      </c>
      <c r="S38" s="86" t="n">
        <v>533.17</v>
      </c>
      <c r="T38" s="86" t="n">
        <v>0.1473</v>
      </c>
      <c r="U38" s="86" t="n">
        <v>-0.0738</v>
      </c>
      <c r="V38" s="86" t="n">
        <v>-0.0049</v>
      </c>
      <c r="W38" s="86" t="n">
        <v>-22.7</v>
      </c>
      <c r="X38" s="86" t="n">
        <v>64.33</v>
      </c>
      <c r="Y38" s="86" t="n">
        <v>20</v>
      </c>
      <c r="Z38" s="86" t="inlineStr">
        <is>
          <t>CLEAR</t>
        </is>
      </c>
    </row>
    <row r="39" ht="17" customHeight="1">
      <c r="A39" s="82" t="n">
        <v>37</v>
      </c>
      <c r="B39" s="82" t="inlineStr">
        <is>
          <t>SNA</t>
        </is>
      </c>
      <c r="C39" s="82" t="inlineStr">
        <is>
          <t>Snap-on Inc</t>
        </is>
      </c>
      <c r="D39" s="82" t="n">
        <v>3.23</v>
      </c>
      <c r="E39" s="206" t="inlineStr">
        <is>
          <t>Safe</t>
        </is>
      </c>
      <c r="F39" s="82" t="n">
        <v>9.470000000000001</v>
      </c>
      <c r="G39" s="82" t="inlineStr">
        <is>
          <t>Safe</t>
        </is>
      </c>
      <c r="H39" s="82" t="n">
        <v>2.12</v>
      </c>
      <c r="I39" s="82" t="inlineStr">
        <is>
          <t>Healthy</t>
        </is>
      </c>
      <c r="J39" s="82" t="n">
        <v>-3.2</v>
      </c>
      <c r="K39" s="82" t="n">
        <v>0.04</v>
      </c>
      <c r="L39" s="82" t="inlineStr">
        <is>
          <t>Healthy</t>
        </is>
      </c>
      <c r="M39" s="82" t="n">
        <v>7</v>
      </c>
      <c r="N39" s="82" t="inlineStr">
        <is>
          <t>Strong</t>
        </is>
      </c>
      <c r="O39" s="207" t="n">
        <v>-2.77</v>
      </c>
      <c r="P39" s="82" t="inlineStr">
        <is>
          <t>Lower Risk</t>
        </is>
      </c>
      <c r="Q39" s="82" t="n">
        <v>-0.3</v>
      </c>
      <c r="R39" s="82" t="n">
        <v>0.1714</v>
      </c>
      <c r="S39" s="82" t="n">
        <v>1.06</v>
      </c>
      <c r="T39" s="82" t="n">
        <v>0.1951</v>
      </c>
      <c r="U39" s="82" t="n">
        <v>0.009299999999999999</v>
      </c>
      <c r="V39" s="82" t="n">
        <v>0.2575</v>
      </c>
      <c r="W39" s="82" t="n">
        <v>26.61</v>
      </c>
      <c r="X39" s="82" t="n">
        <v>64.29000000000001</v>
      </c>
      <c r="Y39" s="82" t="n">
        <v>0</v>
      </c>
      <c r="Z39" s="82" t="inlineStr">
        <is>
          <t>CLEAR</t>
        </is>
      </c>
    </row>
    <row r="40" ht="17" customHeight="1">
      <c r="A40" s="86" t="n">
        <v>38</v>
      </c>
      <c r="B40" s="86" t="inlineStr">
        <is>
          <t>INGR</t>
        </is>
      </c>
      <c r="C40" s="86" t="inlineStr">
        <is>
          <t>INGREDION INCORPORATED</t>
        </is>
      </c>
      <c r="D40" s="86" t="n">
        <v>2.62</v>
      </c>
      <c r="E40" s="208" t="inlineStr">
        <is>
          <t>Grey</t>
        </is>
      </c>
      <c r="F40" s="86" t="n">
        <v>6.27</v>
      </c>
      <c r="G40" s="86" t="inlineStr">
        <is>
          <t>Safe</t>
        </is>
      </c>
      <c r="H40" s="86" t="n">
        <v>1.53</v>
      </c>
      <c r="I40" s="86" t="inlineStr">
        <is>
          <t>Healthy</t>
        </is>
      </c>
      <c r="J40" s="86" t="n">
        <v>-2.2</v>
      </c>
      <c r="K40" s="86" t="n">
        <v>0.1</v>
      </c>
      <c r="L40" s="86" t="inlineStr">
        <is>
          <t>Healthy</t>
        </is>
      </c>
      <c r="M40" s="86" t="n">
        <v>9</v>
      </c>
      <c r="N40" s="86" t="inlineStr">
        <is>
          <t>Strong</t>
        </is>
      </c>
      <c r="O40" s="207" t="n">
        <v>-0.51</v>
      </c>
      <c r="P40" s="86" t="inlineStr">
        <is>
          <t>Higher Risk</t>
        </is>
      </c>
      <c r="Q40" s="86" t="n">
        <v>0.59</v>
      </c>
      <c r="R40" s="86" t="n">
        <v>0.1706</v>
      </c>
      <c r="S40" s="86" t="n">
        <v>1.29</v>
      </c>
      <c r="T40" s="86" t="n">
        <v>0.0708</v>
      </c>
      <c r="U40" s="86" t="n">
        <v>3.1087</v>
      </c>
      <c r="V40" s="86" t="n">
        <v>0.1407</v>
      </c>
      <c r="W40" s="86" t="n">
        <v>17.22</v>
      </c>
      <c r="X40" s="86" t="n">
        <v>63.99</v>
      </c>
      <c r="Y40" s="86" t="n">
        <v>20</v>
      </c>
      <c r="Z40" s="86" t="inlineStr">
        <is>
          <t>CLEAR</t>
        </is>
      </c>
    </row>
    <row r="41" ht="17" customHeight="1">
      <c r="A41" s="82" t="n">
        <v>39</v>
      </c>
      <c r="B41" s="82" t="inlineStr">
        <is>
          <t>IOSP</t>
        </is>
      </c>
      <c r="C41" s="82" t="inlineStr">
        <is>
          <t>INNOSPEC INC.</t>
        </is>
      </c>
      <c r="D41" s="82" t="n">
        <v>3.06</v>
      </c>
      <c r="E41" s="206" t="inlineStr">
        <is>
          <t>Safe</t>
        </is>
      </c>
      <c r="F41" s="82" t="n">
        <v>7.53</v>
      </c>
      <c r="G41" s="82" t="inlineStr">
        <is>
          <t>Safe</t>
        </is>
      </c>
      <c r="H41" s="82" t="n">
        <v>1.22</v>
      </c>
      <c r="I41" s="82" t="inlineStr">
        <is>
          <t>Healthy</t>
        </is>
      </c>
      <c r="J41" s="82" t="n">
        <v>-3.07</v>
      </c>
      <c r="K41" s="82" t="n">
        <v>0.04</v>
      </c>
      <c r="L41" s="82" t="inlineStr">
        <is>
          <t>Healthy</t>
        </is>
      </c>
      <c r="M41" s="82" t="n">
        <v>7</v>
      </c>
      <c r="N41" s="82" t="inlineStr">
        <is>
          <t>Strong</t>
        </is>
      </c>
      <c r="O41" s="207" t="n">
        <v>-2.56</v>
      </c>
      <c r="P41" s="82" t="inlineStr">
        <is>
          <t>Lower Risk</t>
        </is>
      </c>
      <c r="Q41" s="82" t="n">
        <v>-1.69</v>
      </c>
      <c r="R41" s="82" t="n">
        <v>0.0901</v>
      </c>
      <c r="S41" s="82" t="n">
        <v>1.16</v>
      </c>
      <c r="T41" s="82" t="n">
        <v>0.0495</v>
      </c>
      <c r="U41" s="82" t="n">
        <v>-0.0365</v>
      </c>
      <c r="V41" s="82" t="n">
        <v>0.0728</v>
      </c>
      <c r="W41" s="82" t="n">
        <v>34.08</v>
      </c>
      <c r="X41" s="82" t="n">
        <v>63.81</v>
      </c>
      <c r="Y41" s="82" t="n">
        <v>0</v>
      </c>
      <c r="Z41" s="82" t="inlineStr">
        <is>
          <t>CLEAR</t>
        </is>
      </c>
    </row>
    <row r="42" ht="17" customHeight="1">
      <c r="A42" s="86" t="n">
        <v>40</v>
      </c>
      <c r="B42" s="86" t="inlineStr">
        <is>
          <t>ODFL</t>
        </is>
      </c>
      <c r="C42" s="86" t="inlineStr">
        <is>
          <t>OLD DOMINION FREIGHT LINE, INC.</t>
        </is>
      </c>
      <c r="D42" s="86" t="n">
        <v>3.99</v>
      </c>
      <c r="E42" s="206" t="inlineStr">
        <is>
          <t>Safe</t>
        </is>
      </c>
      <c r="F42" s="86" t="n">
        <v>8.25</v>
      </c>
      <c r="G42" s="86" t="inlineStr">
        <is>
          <t>Safe</t>
        </is>
      </c>
      <c r="H42" s="86" t="n">
        <v>3.06</v>
      </c>
      <c r="I42" s="86" t="inlineStr">
        <is>
          <t>Healthy</t>
        </is>
      </c>
      <c r="J42" s="86" t="n">
        <v>-3.97</v>
      </c>
      <c r="K42" s="86" t="n">
        <v>0.02</v>
      </c>
      <c r="L42" s="86" t="inlineStr">
        <is>
          <t>Healthy</t>
        </is>
      </c>
      <c r="M42" s="86" t="n">
        <v>6</v>
      </c>
      <c r="N42" s="86" t="inlineStr">
        <is>
          <t>Mixed</t>
        </is>
      </c>
      <c r="O42" s="90" t="inlineStr">
        <is>
          <t>N/A</t>
        </is>
      </c>
      <c r="P42" s="86" t="inlineStr">
        <is>
          <t>Insufficient Data</t>
        </is>
      </c>
      <c r="Q42" s="86" t="n">
        <v>-0.04</v>
      </c>
      <c r="R42" s="86" t="n">
        <v>0.2375</v>
      </c>
      <c r="S42" s="86" t="n">
        <v>1.34</v>
      </c>
      <c r="T42" s="86" t="n">
        <v>0.1738</v>
      </c>
      <c r="U42" s="86" t="n">
        <v>-0.0548</v>
      </c>
      <c r="V42" s="86" t="n">
        <v>0.2476</v>
      </c>
      <c r="W42" s="86" t="n">
        <v>250.1</v>
      </c>
      <c r="X42" s="86" t="n">
        <v>63.54</v>
      </c>
      <c r="Y42" s="86" t="n">
        <v>0</v>
      </c>
      <c r="Z42" s="86" t="inlineStr">
        <is>
          <t>CLEAR</t>
        </is>
      </c>
    </row>
    <row r="43" ht="17" customHeight="1">
      <c r="A43" s="82" t="n">
        <v>41</v>
      </c>
      <c r="B43" s="82" t="inlineStr">
        <is>
          <t>GWW</t>
        </is>
      </c>
      <c r="C43" s="82" t="inlineStr">
        <is>
          <t>W.W. GRAINGER, INC.</t>
        </is>
      </c>
      <c r="D43" s="82" t="n">
        <v>4.74</v>
      </c>
      <c r="E43" s="206" t="inlineStr">
        <is>
          <t>Safe</t>
        </is>
      </c>
      <c r="F43" s="82" t="n">
        <v>10.34</v>
      </c>
      <c r="G43" s="82" t="inlineStr">
        <is>
          <t>Safe</t>
        </is>
      </c>
      <c r="H43" s="82" t="n">
        <v>2.89</v>
      </c>
      <c r="I43" s="82" t="inlineStr">
        <is>
          <t>Healthy</t>
        </is>
      </c>
      <c r="J43" s="82" t="n">
        <v>0.5</v>
      </c>
      <c r="K43" s="82" t="n">
        <v>0.62</v>
      </c>
      <c r="L43" s="82" t="inlineStr">
        <is>
          <t>Distress</t>
        </is>
      </c>
      <c r="M43" s="82" t="n">
        <v>6</v>
      </c>
      <c r="N43" s="82" t="inlineStr">
        <is>
          <t>Mixed</t>
        </is>
      </c>
      <c r="O43" s="207" t="n">
        <v>-2.61</v>
      </c>
      <c r="P43" s="82" t="inlineStr">
        <is>
          <t>Lower Risk</t>
        </is>
      </c>
      <c r="Q43" s="82" t="n">
        <v>0.6899999999999999</v>
      </c>
      <c r="R43" s="82" t="n">
        <v>0.4566</v>
      </c>
      <c r="S43" s="82" t="n">
        <v>1.18</v>
      </c>
      <c r="T43" s="82" t="n">
        <v>0.0742</v>
      </c>
      <c r="U43" s="82" t="n">
        <v>0.0451</v>
      </c>
      <c r="V43" s="82" t="n">
        <v>0.1391</v>
      </c>
      <c r="W43" s="82" t="n">
        <v>28.35</v>
      </c>
      <c r="X43" s="82" t="n">
        <v>63.41</v>
      </c>
      <c r="Y43" s="82" t="n">
        <v>0</v>
      </c>
      <c r="Z43" s="82" t="inlineStr">
        <is>
          <t>CLEAR</t>
        </is>
      </c>
    </row>
    <row r="44" ht="17" customHeight="1">
      <c r="A44" s="86" t="n">
        <v>42</v>
      </c>
      <c r="B44" s="86" t="inlineStr">
        <is>
          <t>MSA</t>
        </is>
      </c>
      <c r="C44" s="86" t="inlineStr">
        <is>
          <t>MSA Safety Inc</t>
        </is>
      </c>
      <c r="D44" s="86" t="n">
        <v>2.16</v>
      </c>
      <c r="E44" s="208" t="inlineStr">
        <is>
          <t>Grey</t>
        </is>
      </c>
      <c r="F44" s="86" t="n">
        <v>5.18</v>
      </c>
      <c r="G44" s="86" t="inlineStr">
        <is>
          <t>Safe</t>
        </is>
      </c>
      <c r="H44" s="86" t="n">
        <v>1.81</v>
      </c>
      <c r="I44" s="86" t="inlineStr">
        <is>
          <t>Healthy</t>
        </is>
      </c>
      <c r="J44" s="86" t="n">
        <v>-2.18</v>
      </c>
      <c r="K44" s="86" t="n">
        <v>0.1</v>
      </c>
      <c r="L44" s="86" t="inlineStr">
        <is>
          <t>Healthy</t>
        </is>
      </c>
      <c r="M44" s="86" t="n">
        <v>8</v>
      </c>
      <c r="N44" s="86" t="inlineStr">
        <is>
          <t>Strong</t>
        </is>
      </c>
      <c r="O44" s="207" t="n">
        <v>-2.93</v>
      </c>
      <c r="P44" s="86" t="inlineStr">
        <is>
          <t>Lower Risk</t>
        </is>
      </c>
      <c r="Q44" s="86" t="n">
        <v>1.03</v>
      </c>
      <c r="R44" s="86" t="n">
        <v>0.3343</v>
      </c>
      <c r="S44" s="86" t="n">
        <v>1.3</v>
      </c>
      <c r="T44" s="86" t="n">
        <v>0.1576</v>
      </c>
      <c r="U44" s="86" t="n">
        <v>0.0369</v>
      </c>
      <c r="V44" s="86" t="n">
        <v>0.1983</v>
      </c>
      <c r="W44" s="86" t="n">
        <v>7.96</v>
      </c>
      <c r="X44" s="86" t="n">
        <v>63.37</v>
      </c>
      <c r="Y44" s="86" t="n">
        <v>0</v>
      </c>
      <c r="Z44" s="86" t="inlineStr">
        <is>
          <t>CLEAR</t>
        </is>
      </c>
    </row>
    <row r="45" ht="17" customHeight="1">
      <c r="A45" s="82" t="n">
        <v>43</v>
      </c>
      <c r="B45" s="82" t="inlineStr">
        <is>
          <t>CMI</t>
        </is>
      </c>
      <c r="C45" s="82" t="inlineStr">
        <is>
          <t>CUMMINS INC</t>
        </is>
      </c>
      <c r="D45" s="82" t="n">
        <v>2.33</v>
      </c>
      <c r="E45" s="208" t="inlineStr">
        <is>
          <t>Grey</t>
        </is>
      </c>
      <c r="F45" s="82" t="n">
        <v>5.01</v>
      </c>
      <c r="G45" s="82" t="inlineStr">
        <is>
          <t>Safe</t>
        </is>
      </c>
      <c r="H45" s="82" t="n">
        <v>1.25</v>
      </c>
      <c r="I45" s="82" t="inlineStr">
        <is>
          <t>Healthy</t>
        </is>
      </c>
      <c r="J45" s="82" t="n">
        <v>-1.03</v>
      </c>
      <c r="K45" s="82" t="n">
        <v>0.26</v>
      </c>
      <c r="L45" s="82" t="inlineStr">
        <is>
          <t>Healthy</t>
        </is>
      </c>
      <c r="M45" s="82" t="n">
        <v>8</v>
      </c>
      <c r="N45" s="82" t="inlineStr">
        <is>
          <t>Strong</t>
        </is>
      </c>
      <c r="O45" s="207" t="n">
        <v>-2.76</v>
      </c>
      <c r="P45" s="82" t="inlineStr">
        <is>
          <t>Lower Risk</t>
        </is>
      </c>
      <c r="Q45" s="82" t="n">
        <v>-0.11</v>
      </c>
      <c r="R45" s="82" t="n">
        <v>0.0842</v>
      </c>
      <c r="S45" s="82" t="n">
        <v>3.48</v>
      </c>
      <c r="T45" s="82" t="n">
        <v>0.0709</v>
      </c>
      <c r="U45" s="82" t="n">
        <v>-0.0127</v>
      </c>
      <c r="V45" s="82" t="n">
        <v>0.1195</v>
      </c>
      <c r="W45" s="82" t="n">
        <v>12.23</v>
      </c>
      <c r="X45" s="82" t="n">
        <v>63.12</v>
      </c>
      <c r="Y45" s="82" t="n">
        <v>0</v>
      </c>
      <c r="Z45" s="82" t="inlineStr">
        <is>
          <t>CLEAR</t>
        </is>
      </c>
    </row>
    <row r="46" ht="17" customHeight="1">
      <c r="A46" s="86" t="n">
        <v>44</v>
      </c>
      <c r="B46" s="86" t="inlineStr">
        <is>
          <t>PSX</t>
        </is>
      </c>
      <c r="C46" s="86" t="inlineStr">
        <is>
          <t>Phillips 66</t>
        </is>
      </c>
      <c r="D46" s="86" t="n">
        <v>2.29</v>
      </c>
      <c r="E46" s="208" t="inlineStr">
        <is>
          <t>Grey</t>
        </is>
      </c>
      <c r="F46" s="86" t="n">
        <v>2.07</v>
      </c>
      <c r="G46" s="86" t="inlineStr">
        <is>
          <t>Grey</t>
        </is>
      </c>
      <c r="H46" s="86" t="n">
        <v>0.32</v>
      </c>
      <c r="I46" s="86" t="inlineStr">
        <is>
          <t>Distress</t>
        </is>
      </c>
      <c r="J46" s="86" t="n">
        <v>-1.25</v>
      </c>
      <c r="K46" s="86" t="n">
        <v>0.22</v>
      </c>
      <c r="L46" s="86" t="inlineStr">
        <is>
          <t>Healthy</t>
        </is>
      </c>
      <c r="M46" s="86" t="n">
        <v>8</v>
      </c>
      <c r="N46" s="86" t="inlineStr">
        <is>
          <t>Strong</t>
        </is>
      </c>
      <c r="O46" s="207" t="n">
        <v>-2.72</v>
      </c>
      <c r="P46" s="86" t="inlineStr">
        <is>
          <t>Lower Risk</t>
        </is>
      </c>
      <c r="Q46" s="86" t="n">
        <v>0</v>
      </c>
      <c r="R46" s="86" t="n">
        <v>0.1513</v>
      </c>
      <c r="S46" s="86" t="n">
        <v>1.13</v>
      </c>
      <c r="T46" s="90" t="inlineStr">
        <is>
          <t>N/A</t>
        </is>
      </c>
      <c r="U46" s="86" t="n">
        <v>-0.07530000000000001</v>
      </c>
      <c r="V46" s="86" t="n">
        <v>-0.0375</v>
      </c>
      <c r="W46" s="86" t="n">
        <v>-4.98</v>
      </c>
      <c r="X46" s="86" t="n">
        <v>63.07</v>
      </c>
      <c r="Y46" s="86" t="n">
        <v>0</v>
      </c>
      <c r="Z46" s="86" t="inlineStr">
        <is>
          <t>CLEAR</t>
        </is>
      </c>
    </row>
    <row r="47" ht="17" customHeight="1">
      <c r="A47" s="82" t="n">
        <v>45</v>
      </c>
      <c r="B47" s="82" t="inlineStr">
        <is>
          <t>RTX</t>
        </is>
      </c>
      <c r="C47" s="82" t="inlineStr">
        <is>
          <t>RTX CORPORATION</t>
        </is>
      </c>
      <c r="D47" s="82" t="n">
        <v>1.19</v>
      </c>
      <c r="E47" s="207" t="inlineStr">
        <is>
          <t>Distress</t>
        </is>
      </c>
      <c r="F47" s="82" t="n">
        <v>2.16</v>
      </c>
      <c r="G47" s="82" t="inlineStr">
        <is>
          <t>Grey</t>
        </is>
      </c>
      <c r="H47" s="82" t="n">
        <v>0.46</v>
      </c>
      <c r="I47" s="82" t="inlineStr">
        <is>
          <t>Distress</t>
        </is>
      </c>
      <c r="J47" s="82" t="n">
        <v>-1.06</v>
      </c>
      <c r="K47" s="82" t="n">
        <v>0.26</v>
      </c>
      <c r="L47" s="82" t="inlineStr">
        <is>
          <t>Healthy</t>
        </is>
      </c>
      <c r="M47" s="82" t="n">
        <v>9</v>
      </c>
      <c r="N47" s="82" t="inlineStr">
        <is>
          <t>Strong</t>
        </is>
      </c>
      <c r="O47" s="207" t="n">
        <v>-2.44</v>
      </c>
      <c r="P47" s="82" t="inlineStr">
        <is>
          <t>Lower Risk</t>
        </is>
      </c>
      <c r="Q47" s="82" t="n">
        <v>2.46</v>
      </c>
      <c r="R47" s="82" t="n">
        <v>0.1032</v>
      </c>
      <c r="S47" s="82" t="n">
        <v>1.57</v>
      </c>
      <c r="T47" s="82" t="n">
        <v>0.0983</v>
      </c>
      <c r="U47" s="82" t="n">
        <v>0.1715</v>
      </c>
      <c r="V47" s="82" t="n">
        <v>0.1152</v>
      </c>
      <c r="W47" s="82" t="n">
        <v>4.99</v>
      </c>
      <c r="X47" s="82" t="n">
        <v>63.02</v>
      </c>
      <c r="Y47" s="82" t="n">
        <v>0</v>
      </c>
      <c r="Z47" s="82" t="inlineStr">
        <is>
          <t>CLEAR</t>
        </is>
      </c>
    </row>
    <row r="48" ht="17" customHeight="1">
      <c r="A48" s="86" t="n">
        <v>46</v>
      </c>
      <c r="B48" s="86" t="inlineStr">
        <is>
          <t>HWM</t>
        </is>
      </c>
      <c r="C48" s="86" t="inlineStr">
        <is>
          <t>HOWMET AEROSPACE INC.</t>
        </is>
      </c>
      <c r="D48" s="86" t="n">
        <v>2.13</v>
      </c>
      <c r="E48" s="208" t="inlineStr">
        <is>
          <t>Grey</t>
        </is>
      </c>
      <c r="F48" s="86" t="n">
        <v>4.57</v>
      </c>
      <c r="G48" s="86" t="inlineStr">
        <is>
          <t>Safe</t>
        </is>
      </c>
      <c r="H48" s="86" t="n">
        <v>1.73</v>
      </c>
      <c r="I48" s="86" t="inlineStr">
        <is>
          <t>Healthy</t>
        </is>
      </c>
      <c r="J48" s="86" t="n">
        <v>-1.98</v>
      </c>
      <c r="K48" s="86" t="n">
        <v>0.12</v>
      </c>
      <c r="L48" s="86" t="inlineStr">
        <is>
          <t>Healthy</t>
        </is>
      </c>
      <c r="M48" s="86" t="n">
        <v>8</v>
      </c>
      <c r="N48" s="86" t="inlineStr">
        <is>
          <t>Strong</t>
        </is>
      </c>
      <c r="O48" s="207" t="n">
        <v>-2.41</v>
      </c>
      <c r="P48" s="86" t="inlineStr">
        <is>
          <t>Lower Risk</t>
        </is>
      </c>
      <c r="Q48" s="86" t="n">
        <v>0.99</v>
      </c>
      <c r="R48" s="86" t="n">
        <v>0.2817</v>
      </c>
      <c r="S48" s="86" t="n">
        <v>1.25</v>
      </c>
      <c r="T48" s="86" t="n">
        <v>0.1734</v>
      </c>
      <c r="U48" s="86" t="n">
        <v>0.1106</v>
      </c>
      <c r="V48" s="86" t="n">
        <v>0.2479</v>
      </c>
      <c r="W48" s="86" t="n">
        <v>9.390000000000001</v>
      </c>
      <c r="X48" s="86" t="n">
        <v>62.94</v>
      </c>
      <c r="Y48" s="86" t="n">
        <v>0</v>
      </c>
      <c r="Z48" s="86" t="inlineStr">
        <is>
          <t>CLEAR</t>
        </is>
      </c>
    </row>
    <row r="49" ht="17" customHeight="1">
      <c r="A49" s="82" t="n">
        <v>47</v>
      </c>
      <c r="B49" s="82" t="inlineStr">
        <is>
          <t>ABM</t>
        </is>
      </c>
      <c r="C49" s="82" t="inlineStr">
        <is>
          <t>ABM INDUSTRIES INCORPORATED</t>
        </is>
      </c>
      <c r="D49" s="82" t="n">
        <v>2.36</v>
      </c>
      <c r="E49" s="208" t="inlineStr">
        <is>
          <t>Grey</t>
        </is>
      </c>
      <c r="F49" s="82" t="n">
        <v>2.57</v>
      </c>
      <c r="G49" s="82" t="inlineStr">
        <is>
          <t>Grey</t>
        </is>
      </c>
      <c r="H49" s="82" t="n">
        <v>1.08</v>
      </c>
      <c r="I49" s="82" t="inlineStr">
        <is>
          <t>Healthy</t>
        </is>
      </c>
      <c r="J49" s="82" t="n">
        <v>-0.71</v>
      </c>
      <c r="K49" s="82" t="n">
        <v>0.33</v>
      </c>
      <c r="L49" s="82" t="inlineStr">
        <is>
          <t>Healthy</t>
        </is>
      </c>
      <c r="M49" s="82" t="n">
        <v>8</v>
      </c>
      <c r="N49" s="82" t="inlineStr">
        <is>
          <t>Strong</t>
        </is>
      </c>
      <c r="O49" s="207" t="n">
        <v>-2.6</v>
      </c>
      <c r="P49" s="82" t="inlineStr">
        <is>
          <t>Lower Risk</t>
        </is>
      </c>
      <c r="Q49" s="82" t="n">
        <v>3.42</v>
      </c>
      <c r="R49" s="82" t="n">
        <v>0.09089999999999999</v>
      </c>
      <c r="S49" s="82" t="n">
        <v>1.44</v>
      </c>
      <c r="T49" s="82" t="n">
        <v>0.0177</v>
      </c>
      <c r="U49" s="82" t="n">
        <v>0.0462</v>
      </c>
      <c r="V49" s="82" t="n">
        <v>0.0356</v>
      </c>
      <c r="W49" s="82" t="n">
        <v>3.79</v>
      </c>
      <c r="X49" s="82" t="n">
        <v>62.91</v>
      </c>
      <c r="Y49" s="82" t="n">
        <v>0</v>
      </c>
      <c r="Z49" s="82" t="inlineStr">
        <is>
          <t>CLEAR</t>
        </is>
      </c>
    </row>
    <row r="50" ht="17" customHeight="1">
      <c r="A50" s="86" t="n">
        <v>48</v>
      </c>
      <c r="B50" s="86" t="inlineStr">
        <is>
          <t>PYPL</t>
        </is>
      </c>
      <c r="C50" s="86" t="inlineStr">
        <is>
          <t>PayPal Holdings, Inc.</t>
        </is>
      </c>
      <c r="D50" s="86" t="n">
        <v>1.25</v>
      </c>
      <c r="E50" s="208" t="inlineStr">
        <is>
          <t>Grey</t>
        </is>
      </c>
      <c r="F50" s="86" t="n">
        <v>3.27</v>
      </c>
      <c r="G50" s="86" t="inlineStr">
        <is>
          <t>Safe</t>
        </is>
      </c>
      <c r="H50" s="86" t="n">
        <v>0.62</v>
      </c>
      <c r="I50" s="86" t="inlineStr">
        <is>
          <t>Distress</t>
        </is>
      </c>
      <c r="J50" s="86" t="n">
        <v>-0.38</v>
      </c>
      <c r="K50" s="86" t="n">
        <v>0.41</v>
      </c>
      <c r="L50" s="86" t="inlineStr">
        <is>
          <t>Healthy</t>
        </is>
      </c>
      <c r="M50" s="86" t="n">
        <v>9</v>
      </c>
      <c r="N50" s="86" t="inlineStr">
        <is>
          <t>Strong</t>
        </is>
      </c>
      <c r="O50" s="207" t="n">
        <v>-2.82</v>
      </c>
      <c r="P50" s="86" t="inlineStr">
        <is>
          <t>Lower Risk</t>
        </is>
      </c>
      <c r="Q50" s="86" t="n">
        <v>0.28</v>
      </c>
      <c r="R50" s="86" t="n">
        <v>0.2583</v>
      </c>
      <c r="S50" s="86" t="n">
        <v>1.23</v>
      </c>
      <c r="T50" s="86" t="n">
        <v>0.1677</v>
      </c>
      <c r="U50" s="86" t="n">
        <v>0.0432</v>
      </c>
      <c r="V50" s="86" t="n">
        <v>0.1828</v>
      </c>
      <c r="W50" s="86" t="n">
        <v>17.48</v>
      </c>
      <c r="X50" s="86" t="n">
        <v>62.88</v>
      </c>
      <c r="Y50" s="86" t="n">
        <v>0</v>
      </c>
      <c r="Z50" s="86" t="inlineStr">
        <is>
          <t>CLEAR</t>
        </is>
      </c>
    </row>
    <row r="51" ht="17" customHeight="1">
      <c r="A51" s="82" t="n">
        <v>49</v>
      </c>
      <c r="B51" s="82" t="inlineStr">
        <is>
          <t>USFD</t>
        </is>
      </c>
      <c r="C51" s="82" t="inlineStr">
        <is>
          <t>US FOODS HOLDING CORP.</t>
        </is>
      </c>
      <c r="D51" s="82" t="n">
        <v>3.47</v>
      </c>
      <c r="E51" s="206" t="inlineStr">
        <is>
          <t>Safe</t>
        </is>
      </c>
      <c r="F51" s="82" t="n">
        <v>1.94</v>
      </c>
      <c r="G51" s="82" t="inlineStr">
        <is>
          <t>Grey</t>
        </is>
      </c>
      <c r="H51" s="82" t="n">
        <v>1.6</v>
      </c>
      <c r="I51" s="82" t="inlineStr">
        <is>
          <t>Healthy</t>
        </is>
      </c>
      <c r="J51" s="82" t="n">
        <v>-0.63</v>
      </c>
      <c r="K51" s="82" t="n">
        <v>0.35</v>
      </c>
      <c r="L51" s="82" t="inlineStr">
        <is>
          <t>Healthy</t>
        </is>
      </c>
      <c r="M51" s="82" t="n">
        <v>7</v>
      </c>
      <c r="N51" s="82" t="inlineStr">
        <is>
          <t>Strong</t>
        </is>
      </c>
      <c r="O51" s="207" t="n">
        <v>-2.72</v>
      </c>
      <c r="P51" s="82" t="inlineStr">
        <is>
          <t>Lower Risk</t>
        </is>
      </c>
      <c r="Q51" s="82" t="n">
        <v>2.34</v>
      </c>
      <c r="R51" s="82" t="n">
        <v>0.157</v>
      </c>
      <c r="S51" s="82" t="n">
        <v>2.03</v>
      </c>
      <c r="T51" s="82" t="n">
        <v>0.0243</v>
      </c>
      <c r="U51" s="82" t="n">
        <v>0.0408</v>
      </c>
      <c r="V51" s="82" t="n">
        <v>0.0304</v>
      </c>
      <c r="W51" s="82" t="n">
        <v>3.7</v>
      </c>
      <c r="X51" s="82" t="n">
        <v>62.86</v>
      </c>
      <c r="Y51" s="82" t="n">
        <v>0</v>
      </c>
      <c r="Z51" s="82" t="inlineStr">
        <is>
          <t>CLEAR</t>
        </is>
      </c>
    </row>
    <row r="52" ht="17" customHeight="1">
      <c r="A52" s="86" t="n">
        <v>50</v>
      </c>
      <c r="B52" s="86" t="inlineStr">
        <is>
          <t>INCY</t>
        </is>
      </c>
      <c r="C52" s="86" t="inlineStr">
        <is>
          <t>INCYTE CORPORATION</t>
        </is>
      </c>
      <c r="D52" s="86" t="n">
        <v>2.76</v>
      </c>
      <c r="E52" s="208" t="inlineStr">
        <is>
          <t>Grey</t>
        </is>
      </c>
      <c r="F52" s="86" t="n">
        <v>7.9</v>
      </c>
      <c r="G52" s="86" t="inlineStr">
        <is>
          <t>Safe</t>
        </is>
      </c>
      <c r="H52" s="86" t="n">
        <v>2.11</v>
      </c>
      <c r="I52" s="86" t="inlineStr">
        <is>
          <t>Healthy</t>
        </is>
      </c>
      <c r="J52" s="86" t="n">
        <v>-3.7</v>
      </c>
      <c r="K52" s="86" t="n">
        <v>0.02</v>
      </c>
      <c r="L52" s="86" t="inlineStr">
        <is>
          <t>Healthy</t>
        </is>
      </c>
      <c r="M52" s="86" t="n">
        <v>7</v>
      </c>
      <c r="N52" s="86" t="inlineStr">
        <is>
          <t>Strong</t>
        </is>
      </c>
      <c r="O52" s="207" t="n">
        <v>-2.54</v>
      </c>
      <c r="P52" s="86" t="inlineStr">
        <is>
          <t>Lower Risk</t>
        </is>
      </c>
      <c r="Q52" s="86" t="n">
        <v>9.949999999999999</v>
      </c>
      <c r="R52" s="86" t="n">
        <v>0.249</v>
      </c>
      <c r="S52" s="86" t="n">
        <v>1.1</v>
      </c>
      <c r="T52" s="86" t="n">
        <v>0.402</v>
      </c>
      <c r="U52" s="86" t="n">
        <v>0.1367</v>
      </c>
      <c r="V52" s="86" t="n">
        <v>0.4463</v>
      </c>
      <c r="W52" s="86" t="n">
        <v>593.83</v>
      </c>
      <c r="X52" s="86" t="n">
        <v>62.85</v>
      </c>
      <c r="Y52" s="86" t="n">
        <v>0</v>
      </c>
      <c r="Z52" s="86" t="inlineStr">
        <is>
          <t>CLEAR</t>
        </is>
      </c>
    </row>
    <row r="53" ht="17" customHeight="1">
      <c r="A53" s="82" t="n">
        <v>51</v>
      </c>
      <c r="B53" s="82" t="inlineStr">
        <is>
          <t>EME</t>
        </is>
      </c>
      <c r="C53" s="82" t="inlineStr">
        <is>
          <t>EMCOR Group, Inc.</t>
        </is>
      </c>
      <c r="D53" s="82" t="n">
        <v>3.3</v>
      </c>
      <c r="E53" s="206" t="inlineStr">
        <is>
          <t>Safe</t>
        </is>
      </c>
      <c r="F53" s="82" t="n">
        <v>4.79</v>
      </c>
      <c r="G53" s="82" t="inlineStr">
        <is>
          <t>Safe</t>
        </is>
      </c>
      <c r="H53" s="82" t="n">
        <v>1.65</v>
      </c>
      <c r="I53" s="82" t="inlineStr">
        <is>
          <t>Healthy</t>
        </is>
      </c>
      <c r="J53" s="82" t="n">
        <v>-1.52</v>
      </c>
      <c r="K53" s="82" t="n">
        <v>0.18</v>
      </c>
      <c r="L53" s="82" t="inlineStr">
        <is>
          <t>Healthy</t>
        </is>
      </c>
      <c r="M53" s="82" t="n">
        <v>7</v>
      </c>
      <c r="N53" s="82" t="inlineStr">
        <is>
          <t>Strong</t>
        </is>
      </c>
      <c r="O53" s="207" t="n">
        <v>-2.37</v>
      </c>
      <c r="P53" s="82" t="inlineStr">
        <is>
          <t>Lower Risk</t>
        </is>
      </c>
      <c r="Q53" s="82" t="n">
        <v>-0.63</v>
      </c>
      <c r="R53" s="82" t="n">
        <v>0.3464</v>
      </c>
      <c r="S53" s="82" t="n">
        <v>1.02</v>
      </c>
      <c r="T53" s="82" t="n">
        <v>0.07000000000000001</v>
      </c>
      <c r="U53" s="82" t="n">
        <v>0.1662</v>
      </c>
      <c r="V53" s="82" t="n">
        <v>0.1009</v>
      </c>
      <c r="W53" s="82" t="n">
        <v>142.55</v>
      </c>
      <c r="X53" s="82" t="n">
        <v>62.65</v>
      </c>
      <c r="Y53" s="82" t="n">
        <v>0</v>
      </c>
      <c r="Z53" s="82" t="inlineStr">
        <is>
          <t>CLEAR</t>
        </is>
      </c>
    </row>
    <row r="54" ht="17" customHeight="1">
      <c r="A54" s="86" t="n">
        <v>52</v>
      </c>
      <c r="B54" s="86" t="inlineStr">
        <is>
          <t>CI</t>
        </is>
      </c>
      <c r="C54" s="86" t="inlineStr">
        <is>
          <t>The Cigna Group</t>
        </is>
      </c>
      <c r="D54" s="86" t="n">
        <v>2.29</v>
      </c>
      <c r="E54" s="208" t="inlineStr">
        <is>
          <t>Grey</t>
        </is>
      </c>
      <c r="F54" s="86" t="n">
        <v>1.4</v>
      </c>
      <c r="G54" s="86" t="inlineStr">
        <is>
          <t>Grey</t>
        </is>
      </c>
      <c r="H54" s="86" t="n">
        <v>0.91</v>
      </c>
      <c r="I54" s="86" t="inlineStr">
        <is>
          <t>Healthy</t>
        </is>
      </c>
      <c r="J54" s="86" t="n">
        <v>-0.33</v>
      </c>
      <c r="K54" s="86" t="n">
        <v>0.42</v>
      </c>
      <c r="L54" s="86" t="inlineStr">
        <is>
          <t>Healthy</t>
        </is>
      </c>
      <c r="M54" s="86" t="n">
        <v>8</v>
      </c>
      <c r="N54" s="86" t="inlineStr">
        <is>
          <t>Strong</t>
        </is>
      </c>
      <c r="O54" s="207" t="n">
        <v>-2.41</v>
      </c>
      <c r="P54" s="86" t="inlineStr">
        <is>
          <t>Lower Risk</t>
        </is>
      </c>
      <c r="Q54" s="86" t="n">
        <v>-0.64</v>
      </c>
      <c r="R54" s="86" t="n">
        <v>0.1428</v>
      </c>
      <c r="S54" s="86" t="n">
        <v>1.61</v>
      </c>
      <c r="T54" s="86" t="n">
        <v>0.0311</v>
      </c>
      <c r="U54" s="86" t="n">
        <v>0.1124</v>
      </c>
      <c r="V54" s="86" t="n">
        <v>0.0335</v>
      </c>
      <c r="W54" s="86" t="n">
        <v>6.57</v>
      </c>
      <c r="X54" s="86" t="n">
        <v>62.62</v>
      </c>
      <c r="Y54" s="86" t="n">
        <v>0</v>
      </c>
      <c r="Z54" s="86" t="inlineStr">
        <is>
          <t>CLEAR</t>
        </is>
      </c>
    </row>
    <row r="55" ht="17" customHeight="1">
      <c r="A55" s="82" t="n">
        <v>53</v>
      </c>
      <c r="B55" s="82" t="inlineStr">
        <is>
          <t>ADBE</t>
        </is>
      </c>
      <c r="C55" s="82" t="inlineStr">
        <is>
          <t>ADOBE INC.</t>
        </is>
      </c>
      <c r="D55" s="82" t="n">
        <v>3.3</v>
      </c>
      <c r="E55" s="206" t="inlineStr">
        <is>
          <t>Safe</t>
        </is>
      </c>
      <c r="F55" s="82" t="n">
        <v>7.67</v>
      </c>
      <c r="G55" s="82" t="inlineStr">
        <is>
          <t>Safe</t>
        </is>
      </c>
      <c r="H55" s="82" t="n">
        <v>1.79</v>
      </c>
      <c r="I55" s="82" t="inlineStr">
        <is>
          <t>Healthy</t>
        </is>
      </c>
      <c r="J55" s="82" t="n">
        <v>-1.98</v>
      </c>
      <c r="K55" s="82" t="n">
        <v>0.12</v>
      </c>
      <c r="L55" s="82" t="inlineStr">
        <is>
          <t>Healthy</t>
        </is>
      </c>
      <c r="M55" s="82" t="n">
        <v>7</v>
      </c>
      <c r="N55" s="82" t="inlineStr">
        <is>
          <t>Strong</t>
        </is>
      </c>
      <c r="O55" s="207" t="n">
        <v>-2.83</v>
      </c>
      <c r="P55" s="82" t="inlineStr">
        <is>
          <t>Lower Risk</t>
        </is>
      </c>
      <c r="Q55" s="82" t="n">
        <v>0.09</v>
      </c>
      <c r="R55" s="82" t="n">
        <v>0.6133999999999999</v>
      </c>
      <c r="S55" s="82" t="n">
        <v>1.41</v>
      </c>
      <c r="T55" s="82" t="n">
        <v>0.4145</v>
      </c>
      <c r="U55" s="82" t="n">
        <v>0.1053</v>
      </c>
      <c r="V55" s="82" t="n">
        <v>0.3663</v>
      </c>
      <c r="W55" s="82" t="n">
        <v>77.04000000000001</v>
      </c>
      <c r="X55" s="82" t="n">
        <v>62.62</v>
      </c>
      <c r="Y55" s="82" t="n">
        <v>0</v>
      </c>
      <c r="Z55" s="82" t="inlineStr">
        <is>
          <t>CLEAR</t>
        </is>
      </c>
    </row>
    <row r="56" ht="17" customHeight="1">
      <c r="A56" s="86" t="n">
        <v>54</v>
      </c>
      <c r="B56" s="86" t="inlineStr">
        <is>
          <t>BMY</t>
        </is>
      </c>
      <c r="C56" s="86" t="inlineStr">
        <is>
          <t>Bristol-Myers Squibb Company</t>
        </is>
      </c>
      <c r="D56" s="86" t="n">
        <v>1.17</v>
      </c>
      <c r="E56" s="207" t="inlineStr">
        <is>
          <t>Distress</t>
        </is>
      </c>
      <c r="F56" s="86" t="n">
        <v>2.01</v>
      </c>
      <c r="G56" s="86" t="inlineStr">
        <is>
          <t>Grey</t>
        </is>
      </c>
      <c r="H56" s="86" t="n">
        <v>0.86</v>
      </c>
      <c r="I56" s="86" t="inlineStr">
        <is>
          <t>Healthy</t>
        </is>
      </c>
      <c r="J56" s="86" t="n">
        <v>-0.17</v>
      </c>
      <c r="K56" s="86" t="n">
        <v>0.46</v>
      </c>
      <c r="L56" s="86" t="inlineStr">
        <is>
          <t>Healthy</t>
        </is>
      </c>
      <c r="M56" s="86" t="n">
        <v>9</v>
      </c>
      <c r="N56" s="86" t="inlineStr">
        <is>
          <t>Strong</t>
        </is>
      </c>
      <c r="O56" s="207" t="n">
        <v>-3.27</v>
      </c>
      <c r="P56" s="86" t="inlineStr">
        <is>
          <t>Lower Risk</t>
        </is>
      </c>
      <c r="Q56" s="86" t="n">
        <v>2.6</v>
      </c>
      <c r="R56" s="86" t="n">
        <v>0.3819</v>
      </c>
      <c r="S56" s="86" t="n">
        <v>2.01</v>
      </c>
      <c r="T56" s="86" t="n">
        <v>0.2665</v>
      </c>
      <c r="U56" s="86" t="n">
        <v>-0.0022</v>
      </c>
      <c r="V56" s="86" t="n">
        <v>0.1936</v>
      </c>
      <c r="W56" s="86" t="n">
        <v>8</v>
      </c>
      <c r="X56" s="86" t="n">
        <v>62.6</v>
      </c>
      <c r="Y56" s="86" t="n">
        <v>0</v>
      </c>
      <c r="Z56" s="86" t="inlineStr">
        <is>
          <t>CLEAR</t>
        </is>
      </c>
    </row>
    <row r="57" ht="17" customHeight="1">
      <c r="A57" s="82" t="n">
        <v>55</v>
      </c>
      <c r="B57" s="82" t="inlineStr">
        <is>
          <t>INTU</t>
        </is>
      </c>
      <c r="C57" s="82" t="inlineStr">
        <is>
          <t>INTUIT INC.</t>
        </is>
      </c>
      <c r="D57" s="82" t="n">
        <v>1.93</v>
      </c>
      <c r="E57" s="208" t="inlineStr">
        <is>
          <t>Grey</t>
        </is>
      </c>
      <c r="F57" s="82" t="n">
        <v>4.49</v>
      </c>
      <c r="G57" s="82" t="inlineStr">
        <is>
          <t>Safe</t>
        </is>
      </c>
      <c r="H57" s="82" t="n">
        <v>1.02</v>
      </c>
      <c r="I57" s="82" t="inlineStr">
        <is>
          <t>Healthy</t>
        </is>
      </c>
      <c r="J57" s="82" t="n">
        <v>-2.15</v>
      </c>
      <c r="K57" s="82" t="n">
        <v>0.1</v>
      </c>
      <c r="L57" s="82" t="inlineStr">
        <is>
          <t>Healthy</t>
        </is>
      </c>
      <c r="M57" s="82" t="n">
        <v>8</v>
      </c>
      <c r="N57" s="82" t="inlineStr">
        <is>
          <t>Strong</t>
        </is>
      </c>
      <c r="O57" s="207" t="n">
        <v>-2.83</v>
      </c>
      <c r="P57" s="82" t="inlineStr">
        <is>
          <t>Lower Risk</t>
        </is>
      </c>
      <c r="Q57" s="82" t="n">
        <v>0.61</v>
      </c>
      <c r="R57" s="82" t="n">
        <v>0.1963</v>
      </c>
      <c r="S57" s="82" t="n">
        <v>1.6</v>
      </c>
      <c r="T57" s="82" t="n">
        <v>0.3252</v>
      </c>
      <c r="U57" s="82" t="n">
        <v>0.1563</v>
      </c>
      <c r="V57" s="82" t="n">
        <v>0.2614</v>
      </c>
      <c r="W57" s="82" t="n">
        <v>19.93</v>
      </c>
      <c r="X57" s="82" t="n">
        <v>62.55</v>
      </c>
      <c r="Y57" s="82" t="n">
        <v>0</v>
      </c>
      <c r="Z57" s="82" t="inlineStr">
        <is>
          <t>CLEAR</t>
        </is>
      </c>
    </row>
    <row r="58" ht="17" customHeight="1">
      <c r="A58" s="86" t="n">
        <v>56</v>
      </c>
      <c r="B58" s="86" t="inlineStr">
        <is>
          <t>NVR</t>
        </is>
      </c>
      <c r="C58" s="86" t="inlineStr">
        <is>
          <t>NVR, Inc.</t>
        </is>
      </c>
      <c r="D58" s="90" t="inlineStr">
        <is>
          <t>N/A</t>
        </is>
      </c>
      <c r="E58" s="90" t="inlineStr">
        <is>
          <t>N/A</t>
        </is>
      </c>
      <c r="F58" s="90" t="inlineStr">
        <is>
          <t>N/A</t>
        </is>
      </c>
      <c r="G58" s="90" t="inlineStr">
        <is>
          <t>N/A</t>
        </is>
      </c>
      <c r="H58" s="90" t="inlineStr">
        <is>
          <t>N/A</t>
        </is>
      </c>
      <c r="I58" s="90" t="inlineStr">
        <is>
          <t>N/A</t>
        </is>
      </c>
      <c r="J58" s="90" t="inlineStr">
        <is>
          <t>N/A</t>
        </is>
      </c>
      <c r="K58" s="90" t="inlineStr">
        <is>
          <t>N/A</t>
        </is>
      </c>
      <c r="L58" s="90" t="inlineStr">
        <is>
          <t>N/A</t>
        </is>
      </c>
      <c r="M58" s="86" t="n">
        <v>5</v>
      </c>
      <c r="N58" s="86" t="inlineStr">
        <is>
          <t>Mixed</t>
        </is>
      </c>
      <c r="O58" s="90" t="inlineStr">
        <is>
          <t>N/A</t>
        </is>
      </c>
      <c r="P58" s="86" t="inlineStr">
        <is>
          <t>Insufficient Data</t>
        </is>
      </c>
      <c r="Q58" s="90" t="inlineStr">
        <is>
          <t>N/A</t>
        </is>
      </c>
      <c r="R58" s="86" t="n">
        <v>0.3467</v>
      </c>
      <c r="S58" s="86" t="n">
        <v>0.84</v>
      </c>
      <c r="T58" s="86" t="n">
        <v>0.1062</v>
      </c>
      <c r="U58" s="86" t="n">
        <v>-0.0191</v>
      </c>
      <c r="V58" s="90" t="inlineStr">
        <is>
          <t>N/A</t>
        </is>
      </c>
      <c r="W58" s="90" t="inlineStr">
        <is>
          <t>N/A</t>
        </is>
      </c>
      <c r="X58" s="86" t="n">
        <v>62.21</v>
      </c>
      <c r="Y58" s="86" t="n">
        <v>0</v>
      </c>
      <c r="Z58" s="86" t="inlineStr">
        <is>
          <t>CLEAR</t>
        </is>
      </c>
    </row>
    <row r="59" ht="17" customHeight="1">
      <c r="A59" s="82" t="n">
        <v>57</v>
      </c>
      <c r="B59" s="82" t="inlineStr">
        <is>
          <t>LHX</t>
        </is>
      </c>
      <c r="C59" s="82" t="inlineStr">
        <is>
          <t>L3HARRIS TECHNOLOGIES, INC.</t>
        </is>
      </c>
      <c r="D59" s="82" t="n">
        <v>0.8</v>
      </c>
      <c r="E59" s="207" t="inlineStr">
        <is>
          <t>Distress</t>
        </is>
      </c>
      <c r="F59" s="82" t="n">
        <v>1.85</v>
      </c>
      <c r="G59" s="82" t="inlineStr">
        <is>
          <t>Grey</t>
        </is>
      </c>
      <c r="H59" s="82" t="n">
        <v>0.43</v>
      </c>
      <c r="I59" s="82" t="inlineStr">
        <is>
          <t>Distress</t>
        </is>
      </c>
      <c r="J59" s="82" t="n">
        <v>-1.53</v>
      </c>
      <c r="K59" s="82" t="n">
        <v>0.18</v>
      </c>
      <c r="L59" s="82" t="inlineStr">
        <is>
          <t>Healthy</t>
        </is>
      </c>
      <c r="M59" s="82" t="n">
        <v>9</v>
      </c>
      <c r="N59" s="82" t="inlineStr">
        <is>
          <t>Strong</t>
        </is>
      </c>
      <c r="O59" s="207" t="n">
        <v>-2.75</v>
      </c>
      <c r="P59" s="82" t="inlineStr">
        <is>
          <t>Lower Risk</t>
        </is>
      </c>
      <c r="Q59" s="82" t="n">
        <v>0.9399999999999999</v>
      </c>
      <c r="R59" s="82" t="n">
        <v>0.0818</v>
      </c>
      <c r="S59" s="82" t="n">
        <v>1.93</v>
      </c>
      <c r="T59" s="82" t="n">
        <v>0.4338</v>
      </c>
      <c r="U59" s="82" t="n">
        <v>0.0478</v>
      </c>
      <c r="V59" s="82" t="n">
        <v>0.3413</v>
      </c>
      <c r="W59" s="82" t="n">
        <v>7.81</v>
      </c>
      <c r="X59" s="82" t="n">
        <v>62.17</v>
      </c>
      <c r="Y59" s="82" t="n">
        <v>0</v>
      </c>
      <c r="Z59" s="82" t="inlineStr">
        <is>
          <t>CLEAR</t>
        </is>
      </c>
    </row>
    <row r="60" ht="17" customHeight="1">
      <c r="A60" s="86" t="n">
        <v>58</v>
      </c>
      <c r="B60" s="86" t="inlineStr">
        <is>
          <t>GD</t>
        </is>
      </c>
      <c r="C60" s="86" t="inlineStr">
        <is>
          <t>GENERAL DYNAMICS CORP</t>
        </is>
      </c>
      <c r="D60" s="86" t="n">
        <v>2.14</v>
      </c>
      <c r="E60" s="208" t="inlineStr">
        <is>
          <t>Grey</t>
        </is>
      </c>
      <c r="F60" s="86" t="n">
        <v>4.46</v>
      </c>
      <c r="G60" s="86" t="inlineStr">
        <is>
          <t>Safe</t>
        </is>
      </c>
      <c r="H60" s="86" t="n">
        <v>0.99</v>
      </c>
      <c r="I60" s="86" t="inlineStr">
        <is>
          <t>Healthy</t>
        </is>
      </c>
      <c r="J60" s="86" t="n">
        <v>1.02</v>
      </c>
      <c r="K60" s="86" t="n">
        <v>0.73</v>
      </c>
      <c r="L60" s="86" t="inlineStr">
        <is>
          <t>Distress</t>
        </is>
      </c>
      <c r="M60" s="86" t="n">
        <v>8</v>
      </c>
      <c r="N60" s="86" t="inlineStr">
        <is>
          <t>Strong</t>
        </is>
      </c>
      <c r="O60" s="207" t="n">
        <v>-2.71</v>
      </c>
      <c r="P60" s="86" t="inlineStr">
        <is>
          <t>Lower Risk</t>
        </is>
      </c>
      <c r="Q60" s="86" t="n">
        <v>0.91</v>
      </c>
      <c r="R60" s="86" t="n">
        <v>0.1643</v>
      </c>
      <c r="S60" s="86" t="n">
        <v>1.22</v>
      </c>
      <c r="T60" s="86" t="n">
        <v>0.07530000000000001</v>
      </c>
      <c r="U60" s="86" t="n">
        <v>0.1013</v>
      </c>
      <c r="V60" s="86" t="n">
        <v>0.1019</v>
      </c>
      <c r="W60" s="86" t="n">
        <v>13.42</v>
      </c>
      <c r="X60" s="86" t="n">
        <v>62.1</v>
      </c>
      <c r="Y60" s="86" t="n">
        <v>0</v>
      </c>
      <c r="Z60" s="86" t="inlineStr">
        <is>
          <t>CLEAR</t>
        </is>
      </c>
    </row>
    <row r="61" ht="17" customHeight="1">
      <c r="A61" s="82" t="n">
        <v>59</v>
      </c>
      <c r="B61" s="82" t="inlineStr">
        <is>
          <t>TT</t>
        </is>
      </c>
      <c r="C61" s="82" t="inlineStr">
        <is>
          <t>TRANE TECHNOLOGIES PLC</t>
        </is>
      </c>
      <c r="D61" s="82" t="n">
        <v>2.01</v>
      </c>
      <c r="E61" s="208" t="inlineStr">
        <is>
          <t>Grey</t>
        </is>
      </c>
      <c r="F61" s="82" t="n">
        <v>4.02</v>
      </c>
      <c r="G61" s="82" t="inlineStr">
        <is>
          <t>Safe</t>
        </is>
      </c>
      <c r="H61" s="82" t="n">
        <v>1.31</v>
      </c>
      <c r="I61" s="82" t="inlineStr">
        <is>
          <t>Healthy</t>
        </is>
      </c>
      <c r="J61" s="82" t="n">
        <v>-1.55</v>
      </c>
      <c r="K61" s="82" t="n">
        <v>0.18</v>
      </c>
      <c r="L61" s="82" t="inlineStr">
        <is>
          <t>Healthy</t>
        </is>
      </c>
      <c r="M61" s="82" t="n">
        <v>8</v>
      </c>
      <c r="N61" s="82" t="inlineStr">
        <is>
          <t>Strong</t>
        </is>
      </c>
      <c r="O61" s="207" t="n">
        <v>-2.79</v>
      </c>
      <c r="P61" s="82" t="inlineStr">
        <is>
          <t>Lower Risk</t>
        </is>
      </c>
      <c r="Q61" s="82" t="n">
        <v>0.65</v>
      </c>
      <c r="R61" s="82" t="n">
        <v>0.3402</v>
      </c>
      <c r="S61" s="82" t="n">
        <v>1.09</v>
      </c>
      <c r="T61" s="82" t="n">
        <v>0.191</v>
      </c>
      <c r="U61" s="82" t="n">
        <v>0.0558</v>
      </c>
      <c r="V61" s="82" t="n">
        <v>0.2684</v>
      </c>
      <c r="W61" s="82" t="n">
        <v>17.5</v>
      </c>
      <c r="X61" s="82" t="n">
        <v>62.06</v>
      </c>
      <c r="Y61" s="82" t="n">
        <v>0</v>
      </c>
      <c r="Z61" s="82" t="inlineStr">
        <is>
          <t>CLEAR</t>
        </is>
      </c>
    </row>
    <row r="62" ht="17" customHeight="1">
      <c r="A62" s="86" t="n">
        <v>60</v>
      </c>
      <c r="B62" s="86" t="inlineStr">
        <is>
          <t>MTZ</t>
        </is>
      </c>
      <c r="C62" s="86" t="inlineStr">
        <is>
          <t>MasTec, Inc.</t>
        </is>
      </c>
      <c r="D62" s="86" t="n">
        <v>2.11</v>
      </c>
      <c r="E62" s="208" t="inlineStr">
        <is>
          <t>Grey</t>
        </is>
      </c>
      <c r="F62" s="86" t="n">
        <v>2.46</v>
      </c>
      <c r="G62" s="86" t="inlineStr">
        <is>
          <t>Grey</t>
        </is>
      </c>
      <c r="H62" s="86" t="n">
        <v>0.95</v>
      </c>
      <c r="I62" s="86" t="inlineStr">
        <is>
          <t>Healthy</t>
        </is>
      </c>
      <c r="J62" s="86" t="n">
        <v>-0.74</v>
      </c>
      <c r="K62" s="86" t="n">
        <v>0.32</v>
      </c>
      <c r="L62" s="86" t="inlineStr">
        <is>
          <t>Healthy</t>
        </is>
      </c>
      <c r="M62" s="86" t="n">
        <v>8</v>
      </c>
      <c r="N62" s="86" t="inlineStr">
        <is>
          <t>Strong</t>
        </is>
      </c>
      <c r="O62" s="207" t="n">
        <v>-2.54</v>
      </c>
      <c r="P62" s="86" t="inlineStr">
        <is>
          <t>Lower Risk</t>
        </is>
      </c>
      <c r="Q62" s="86" t="n">
        <v>0.1</v>
      </c>
      <c r="R62" s="86" t="n">
        <v>0.1224</v>
      </c>
      <c r="S62" s="86" t="n">
        <v>1.37</v>
      </c>
      <c r="T62" s="86" t="n">
        <v>0.0331</v>
      </c>
      <c r="U62" s="86" t="n">
        <v>0.1622</v>
      </c>
      <c r="V62" s="86" t="n">
        <v>0.036</v>
      </c>
      <c r="W62" s="86" t="n">
        <v>14.73</v>
      </c>
      <c r="X62" s="86" t="n">
        <v>62.03</v>
      </c>
      <c r="Y62" s="86" t="n">
        <v>0</v>
      </c>
      <c r="Z62" s="86" t="inlineStr">
        <is>
          <t>CLEAR</t>
        </is>
      </c>
    </row>
    <row r="63" ht="17" customHeight="1">
      <c r="A63" s="82" t="n">
        <v>61</v>
      </c>
      <c r="B63" s="82" t="inlineStr">
        <is>
          <t>NDAQ</t>
        </is>
      </c>
      <c r="C63" s="82" t="inlineStr">
        <is>
          <t>Nasdaq, Inc.</t>
        </is>
      </c>
      <c r="D63" s="82" t="n">
        <v>0.91</v>
      </c>
      <c r="E63" s="207" t="inlineStr">
        <is>
          <t>Distress</t>
        </is>
      </c>
      <c r="F63" s="82" t="n">
        <v>2.2</v>
      </c>
      <c r="G63" s="82" t="inlineStr">
        <is>
          <t>Grey</t>
        </is>
      </c>
      <c r="H63" s="82" t="n">
        <v>0.46</v>
      </c>
      <c r="I63" s="82" t="inlineStr">
        <is>
          <t>Distress</t>
        </is>
      </c>
      <c r="J63" s="82" t="n">
        <v>-1.15</v>
      </c>
      <c r="K63" s="82" t="n">
        <v>0.24</v>
      </c>
      <c r="L63" s="82" t="inlineStr">
        <is>
          <t>Healthy</t>
        </is>
      </c>
      <c r="M63" s="82" t="n">
        <v>9</v>
      </c>
      <c r="N63" s="82" t="inlineStr">
        <is>
          <t>Strong</t>
        </is>
      </c>
      <c r="O63" s="207" t="n">
        <v>-2.57</v>
      </c>
      <c r="P63" s="82" t="inlineStr">
        <is>
          <t>Lower Risk</t>
        </is>
      </c>
      <c r="Q63" s="82" t="n">
        <v>2.69</v>
      </c>
      <c r="R63" s="82" t="n">
        <v>0.1462</v>
      </c>
      <c r="S63" s="82" t="n">
        <v>1.26</v>
      </c>
      <c r="T63" s="82" t="n">
        <v>0.465</v>
      </c>
      <c r="U63" s="82" t="n">
        <v>0.07870000000000001</v>
      </c>
      <c r="V63" s="82" t="n">
        <v>0.545</v>
      </c>
      <c r="W63" s="82" t="n">
        <v>8.210000000000001</v>
      </c>
      <c r="X63" s="82" t="n">
        <v>62.03</v>
      </c>
      <c r="Y63" s="82" t="n">
        <v>0</v>
      </c>
      <c r="Z63" s="82" t="inlineStr">
        <is>
          <t>CLEAR</t>
        </is>
      </c>
    </row>
    <row r="64" ht="17" customHeight="1">
      <c r="A64" s="86" t="n">
        <v>62</v>
      </c>
      <c r="B64" s="86" t="inlineStr">
        <is>
          <t>COR</t>
        </is>
      </c>
      <c r="C64" s="86" t="inlineStr">
        <is>
          <t>CENCORA, INC.</t>
        </is>
      </c>
      <c r="D64" s="86" t="n">
        <v>4.32</v>
      </c>
      <c r="E64" s="206" t="inlineStr">
        <is>
          <t>Safe</t>
        </is>
      </c>
      <c r="F64" s="86" t="n">
        <v>0.05</v>
      </c>
      <c r="G64" s="86" t="inlineStr">
        <is>
          <t>Distress</t>
        </is>
      </c>
      <c r="H64" s="86" t="n">
        <v>1.73</v>
      </c>
      <c r="I64" s="86" t="inlineStr">
        <is>
          <t>Healthy</t>
        </is>
      </c>
      <c r="J64" s="86" t="n">
        <v>1.26</v>
      </c>
      <c r="K64" s="86" t="n">
        <v>0.78</v>
      </c>
      <c r="L64" s="86" t="inlineStr">
        <is>
          <t>Distress</t>
        </is>
      </c>
      <c r="M64" s="86" t="n">
        <v>6</v>
      </c>
      <c r="N64" s="86" t="inlineStr">
        <is>
          <t>Mixed</t>
        </is>
      </c>
      <c r="O64" s="207" t="n">
        <v>-2.68</v>
      </c>
      <c r="P64" s="86" t="inlineStr">
        <is>
          <t>Lower Risk</t>
        </is>
      </c>
      <c r="Q64" s="86" t="n">
        <v>0.9</v>
      </c>
      <c r="R64" s="86" t="n">
        <v>1.0306</v>
      </c>
      <c r="S64" s="86" t="n">
        <v>2.49</v>
      </c>
      <c r="T64" s="86" t="n">
        <v>0.01</v>
      </c>
      <c r="U64" s="86" t="n">
        <v>0.0931</v>
      </c>
      <c r="V64" s="86" t="n">
        <v>0.008200000000000001</v>
      </c>
      <c r="W64" s="86" t="n">
        <v>20.98</v>
      </c>
      <c r="X64" s="86" t="n">
        <v>61.96</v>
      </c>
      <c r="Y64" s="86" t="n">
        <v>0</v>
      </c>
      <c r="Z64" s="86" t="inlineStr">
        <is>
          <t>CLEAR</t>
        </is>
      </c>
    </row>
    <row r="65" ht="17" customHeight="1">
      <c r="A65" s="82" t="n">
        <v>63</v>
      </c>
      <c r="B65" s="82" t="inlineStr">
        <is>
          <t>PCTY</t>
        </is>
      </c>
      <c r="C65" s="82" t="inlineStr">
        <is>
          <t>PAYLOCITY HOLDING CORPORATION</t>
        </is>
      </c>
      <c r="D65" s="82" t="n">
        <v>0.98</v>
      </c>
      <c r="E65" s="207" t="inlineStr">
        <is>
          <t>Distress</t>
        </is>
      </c>
      <c r="F65" s="82" t="n">
        <v>2.15</v>
      </c>
      <c r="G65" s="82" t="inlineStr">
        <is>
          <t>Grey</t>
        </is>
      </c>
      <c r="H65" s="82" t="n">
        <v>0.52</v>
      </c>
      <c r="I65" s="82" t="inlineStr">
        <is>
          <t>Distress</t>
        </is>
      </c>
      <c r="J65" s="82" t="n">
        <v>-0.48</v>
      </c>
      <c r="K65" s="82" t="n">
        <v>0.38</v>
      </c>
      <c r="L65" s="82" t="inlineStr">
        <is>
          <t>Healthy</t>
        </is>
      </c>
      <c r="M65" s="82" t="n">
        <v>9</v>
      </c>
      <c r="N65" s="82" t="inlineStr">
        <is>
          <t>Strong</t>
        </is>
      </c>
      <c r="O65" s="207" t="n">
        <v>-2.36</v>
      </c>
      <c r="P65" s="82" t="inlineStr">
        <is>
          <t>Lower Risk</t>
        </is>
      </c>
      <c r="Q65" s="82" t="n">
        <v>-0.58</v>
      </c>
      <c r="R65" s="82" t="n">
        <v>0.1841</v>
      </c>
      <c r="S65" s="82" t="n">
        <v>1.84</v>
      </c>
      <c r="T65" s="82" t="n">
        <v>0.254</v>
      </c>
      <c r="U65" s="82" t="n">
        <v>0.1374</v>
      </c>
      <c r="V65" s="82" t="n">
        <v>0.1906</v>
      </c>
      <c r="W65" s="82" t="n">
        <v>4343.2</v>
      </c>
      <c r="X65" s="82" t="n">
        <v>61.94</v>
      </c>
      <c r="Y65" s="82" t="n">
        <v>0</v>
      </c>
      <c r="Z65" s="82" t="inlineStr">
        <is>
          <t>CLEAR</t>
        </is>
      </c>
    </row>
    <row r="66" ht="17" customHeight="1">
      <c r="A66" s="86" t="n">
        <v>64</v>
      </c>
      <c r="B66" s="86" t="inlineStr">
        <is>
          <t>CAH</t>
        </is>
      </c>
      <c r="C66" s="86" t="inlineStr">
        <is>
          <t>Cardinal Health, Inc.</t>
        </is>
      </c>
      <c r="D66" s="86" t="n">
        <v>4.27</v>
      </c>
      <c r="E66" s="206" t="inlineStr">
        <is>
          <t>Safe</t>
        </is>
      </c>
      <c r="F66" s="86" t="n">
        <v>-0.03</v>
      </c>
      <c r="G66" s="86" t="inlineStr">
        <is>
          <t>Distress</t>
        </is>
      </c>
      <c r="H66" s="86" t="n">
        <v>1.79</v>
      </c>
      <c r="I66" s="86" t="inlineStr">
        <is>
          <t>Healthy</t>
        </is>
      </c>
      <c r="J66" s="86" t="n">
        <v>1.21</v>
      </c>
      <c r="K66" s="86" t="n">
        <v>0.77</v>
      </c>
      <c r="L66" s="86" t="inlineStr">
        <is>
          <t>Distress</t>
        </is>
      </c>
      <c r="M66" s="86" t="n">
        <v>6</v>
      </c>
      <c r="N66" s="86" t="inlineStr">
        <is>
          <t>Mixed</t>
        </is>
      </c>
      <c r="O66" s="207" t="n">
        <v>-2.33</v>
      </c>
      <c r="P66" s="86" t="inlineStr">
        <is>
          <t>Lower Risk</t>
        </is>
      </c>
      <c r="Q66" s="86" t="n">
        <v>-0.53</v>
      </c>
      <c r="R66" s="86" t="n">
        <v>-0.5613</v>
      </c>
      <c r="S66" s="86" t="n">
        <v>1.54</v>
      </c>
      <c r="T66" s="86" t="n">
        <v>0.0083</v>
      </c>
      <c r="U66" s="86" t="n">
        <v>-0.0187</v>
      </c>
      <c r="V66" s="86" t="n">
        <v>0.0102</v>
      </c>
      <c r="W66" s="86" t="n">
        <v>10.58</v>
      </c>
      <c r="X66" s="86" t="n">
        <v>61.78</v>
      </c>
      <c r="Y66" s="86" t="n">
        <v>0</v>
      </c>
      <c r="Z66" s="86" t="inlineStr">
        <is>
          <t>CLEAR</t>
        </is>
      </c>
    </row>
    <row r="67" ht="17" customHeight="1">
      <c r="A67" s="82" t="n">
        <v>65</v>
      </c>
      <c r="B67" s="82" t="inlineStr">
        <is>
          <t>TXN</t>
        </is>
      </c>
      <c r="C67" s="82" t="inlineStr">
        <is>
          <t>TEXAS INSTRUMENTS INCORPORATED</t>
        </is>
      </c>
      <c r="D67" s="82" t="n">
        <v>2.92</v>
      </c>
      <c r="E67" s="206" t="inlineStr">
        <is>
          <t>Safe</t>
        </is>
      </c>
      <c r="F67" s="82" t="n">
        <v>9.039999999999999</v>
      </c>
      <c r="G67" s="82" t="inlineStr">
        <is>
          <t>Safe</t>
        </is>
      </c>
      <c r="H67" s="82" t="n">
        <v>2.25</v>
      </c>
      <c r="I67" s="82" t="inlineStr">
        <is>
          <t>Healthy</t>
        </is>
      </c>
      <c r="J67" s="82" t="n">
        <v>-1.96</v>
      </c>
      <c r="K67" s="82" t="n">
        <v>0.12</v>
      </c>
      <c r="L67" s="82" t="inlineStr">
        <is>
          <t>Healthy</t>
        </is>
      </c>
      <c r="M67" s="82" t="n">
        <v>7</v>
      </c>
      <c r="N67" s="82" t="inlineStr">
        <is>
          <t>Strong</t>
        </is>
      </c>
      <c r="O67" s="207" t="n">
        <v>-2.76</v>
      </c>
      <c r="P67" s="82" t="inlineStr">
        <is>
          <t>Lower Risk</t>
        </is>
      </c>
      <c r="Q67" s="82" t="n">
        <v>1.36</v>
      </c>
      <c r="R67" s="82" t="n">
        <v>0.3073</v>
      </c>
      <c r="S67" s="82" t="n">
        <v>1.43</v>
      </c>
      <c r="T67" s="82" t="n">
        <v>0.1472</v>
      </c>
      <c r="U67" s="82" t="n">
        <v>0.1305</v>
      </c>
      <c r="V67" s="82" t="n">
        <v>0.3406</v>
      </c>
      <c r="W67" s="82" t="n">
        <v>11.11</v>
      </c>
      <c r="X67" s="82" t="n">
        <v>61.78</v>
      </c>
      <c r="Y67" s="82" t="n">
        <v>0</v>
      </c>
      <c r="Z67" s="82" t="inlineStr">
        <is>
          <t>CLEAR</t>
        </is>
      </c>
    </row>
    <row r="68" ht="17" customHeight="1">
      <c r="A68" s="86" t="n">
        <v>66</v>
      </c>
      <c r="B68" s="86" t="inlineStr">
        <is>
          <t>LH</t>
        </is>
      </c>
      <c r="C68" s="86" t="inlineStr">
        <is>
          <t>LABCORP HOLDINGS INC.</t>
        </is>
      </c>
      <c r="D68" s="86" t="n">
        <v>1.81</v>
      </c>
      <c r="E68" s="208" t="inlineStr">
        <is>
          <t>Grey</t>
        </is>
      </c>
      <c r="F68" s="86" t="n">
        <v>3.39</v>
      </c>
      <c r="G68" s="86" t="inlineStr">
        <is>
          <t>Safe</t>
        </is>
      </c>
      <c r="H68" s="86" t="n">
        <v>0.77</v>
      </c>
      <c r="I68" s="86" t="inlineStr">
        <is>
          <t>Distress</t>
        </is>
      </c>
      <c r="J68" s="86" t="n">
        <v>-1.53</v>
      </c>
      <c r="K68" s="86" t="n">
        <v>0.18</v>
      </c>
      <c r="L68" s="86" t="inlineStr">
        <is>
          <t>Healthy</t>
        </is>
      </c>
      <c r="M68" s="86" t="n">
        <v>8</v>
      </c>
      <c r="N68" s="86" t="inlineStr">
        <is>
          <t>Strong</t>
        </is>
      </c>
      <c r="O68" s="207" t="n">
        <v>-2.67</v>
      </c>
      <c r="P68" s="86" t="inlineStr">
        <is>
          <t>Lower Risk</t>
        </is>
      </c>
      <c r="Q68" s="86" t="n">
        <v>2.75</v>
      </c>
      <c r="R68" s="86" t="n">
        <v>0.1017</v>
      </c>
      <c r="S68" s="86" t="n">
        <v>1.87</v>
      </c>
      <c r="T68" s="86" t="n">
        <v>0.0864</v>
      </c>
      <c r="U68" s="86" t="n">
        <v>0.0725</v>
      </c>
      <c r="V68" s="86" t="n">
        <v>0.0992</v>
      </c>
      <c r="W68" s="86" t="n">
        <v>6.18</v>
      </c>
      <c r="X68" s="86" t="n">
        <v>61.75</v>
      </c>
      <c r="Y68" s="86" t="n">
        <v>0</v>
      </c>
      <c r="Z68" s="86" t="inlineStr">
        <is>
          <t>CLEAR</t>
        </is>
      </c>
    </row>
    <row r="69" ht="17" customHeight="1">
      <c r="A69" s="82" t="n">
        <v>67</v>
      </c>
      <c r="B69" s="82" t="inlineStr">
        <is>
          <t>DHR</t>
        </is>
      </c>
      <c r="C69" s="82" t="inlineStr">
        <is>
          <t>Danaher Corporation</t>
        </is>
      </c>
      <c r="D69" s="82" t="n">
        <v>3.55</v>
      </c>
      <c r="E69" s="206" t="inlineStr">
        <is>
          <t>Safe</t>
        </is>
      </c>
      <c r="F69" s="82" t="n">
        <v>9.210000000000001</v>
      </c>
      <c r="G69" s="82" t="inlineStr">
        <is>
          <t>Safe</t>
        </is>
      </c>
      <c r="H69" s="82" t="n">
        <v>0.75</v>
      </c>
      <c r="I69" s="82" t="inlineStr">
        <is>
          <t>Distress</t>
        </is>
      </c>
      <c r="J69" s="82" t="n">
        <v>-3.95</v>
      </c>
      <c r="K69" s="82" t="n">
        <v>0.02</v>
      </c>
      <c r="L69" s="82" t="inlineStr">
        <is>
          <t>Healthy</t>
        </is>
      </c>
      <c r="M69" s="82" t="n">
        <v>7</v>
      </c>
      <c r="N69" s="82" t="inlineStr">
        <is>
          <t>Strong</t>
        </is>
      </c>
      <c r="O69" s="207" t="n">
        <v>0.52</v>
      </c>
      <c r="P69" s="82" t="inlineStr">
        <is>
          <t>Higher Risk</t>
        </is>
      </c>
      <c r="Q69" s="82" t="n">
        <v>-0.22</v>
      </c>
      <c r="R69" s="82" t="n">
        <v>0.0688</v>
      </c>
      <c r="S69" s="82" t="n">
        <v>1.78</v>
      </c>
      <c r="T69" s="82" t="n">
        <v>0.2644</v>
      </c>
      <c r="U69" s="82" t="n">
        <v>2.709</v>
      </c>
      <c r="V69" s="82" t="n">
        <v>0.2358</v>
      </c>
      <c r="W69" s="82" t="n">
        <v>16.4</v>
      </c>
      <c r="X69" s="82" t="n">
        <v>61.55</v>
      </c>
      <c r="Y69" s="82" t="n">
        <v>20</v>
      </c>
      <c r="Z69" s="82" t="inlineStr">
        <is>
          <t>CLEAR</t>
        </is>
      </c>
    </row>
    <row r="70" ht="17" customHeight="1">
      <c r="A70" s="86" t="n">
        <v>68</v>
      </c>
      <c r="B70" s="86" t="inlineStr">
        <is>
          <t>BJRI</t>
        </is>
      </c>
      <c r="C70" s="86" t="inlineStr">
        <is>
          <t>BJ’S RESTAURANTS, INC.</t>
        </is>
      </c>
      <c r="D70" s="86" t="n">
        <v>1.92</v>
      </c>
      <c r="E70" s="208" t="inlineStr">
        <is>
          <t>Grey</t>
        </is>
      </c>
      <c r="F70" s="86" t="n">
        <v>1.1</v>
      </c>
      <c r="G70" s="86" t="inlineStr">
        <is>
          <t>Grey</t>
        </is>
      </c>
      <c r="H70" s="86" t="n">
        <v>0.74</v>
      </c>
      <c r="I70" s="86" t="inlineStr">
        <is>
          <t>Distress</t>
        </is>
      </c>
      <c r="J70" s="86" t="n">
        <v>-0.92</v>
      </c>
      <c r="K70" s="86" t="n">
        <v>0.28</v>
      </c>
      <c r="L70" s="86" t="inlineStr">
        <is>
          <t>Healthy</t>
        </is>
      </c>
      <c r="M70" s="86" t="n">
        <v>8</v>
      </c>
      <c r="N70" s="86" t="inlineStr">
        <is>
          <t>Strong</t>
        </is>
      </c>
      <c r="O70" s="207" t="n">
        <v>-2.97</v>
      </c>
      <c r="P70" s="86" t="inlineStr">
        <is>
          <t>Lower Risk</t>
        </is>
      </c>
      <c r="Q70" s="86" t="n">
        <v>0.5</v>
      </c>
      <c r="R70" s="86" t="n">
        <v>0.1333</v>
      </c>
      <c r="S70" s="86" t="n">
        <v>2.26</v>
      </c>
      <c r="T70" s="86" t="n">
        <v>0.0292</v>
      </c>
      <c r="U70" s="86" t="n">
        <v>0.0308</v>
      </c>
      <c r="V70" s="86" t="n">
        <v>0.0331</v>
      </c>
      <c r="W70" s="86" t="n">
        <v>857.59</v>
      </c>
      <c r="X70" s="86" t="n">
        <v>61.48</v>
      </c>
      <c r="Y70" s="86" t="n">
        <v>0</v>
      </c>
      <c r="Z70" s="86" t="inlineStr">
        <is>
          <t>CLEAR</t>
        </is>
      </c>
    </row>
    <row r="71" ht="17" customHeight="1">
      <c r="A71" s="82" t="n">
        <v>69</v>
      </c>
      <c r="B71" s="82" t="inlineStr">
        <is>
          <t>VRTX</t>
        </is>
      </c>
      <c r="C71" s="82" t="inlineStr">
        <is>
          <t>VERTEX PHARMACEUTICALS INC / MA</t>
        </is>
      </c>
      <c r="D71" s="82" t="n">
        <v>2.38</v>
      </c>
      <c r="E71" s="208" t="inlineStr">
        <is>
          <t>Grey</t>
        </is>
      </c>
      <c r="F71" s="82" t="n">
        <v>7.5</v>
      </c>
      <c r="G71" s="82" t="inlineStr">
        <is>
          <t>Safe</t>
        </is>
      </c>
      <c r="H71" s="82" t="n">
        <v>1.63</v>
      </c>
      <c r="I71" s="82" t="inlineStr">
        <is>
          <t>Healthy</t>
        </is>
      </c>
      <c r="J71" s="82" t="n">
        <v>-3.47</v>
      </c>
      <c r="K71" s="82" t="n">
        <v>0.03</v>
      </c>
      <c r="L71" s="82" t="inlineStr">
        <is>
          <t>Healthy</t>
        </is>
      </c>
      <c r="M71" s="82" t="n">
        <v>7</v>
      </c>
      <c r="N71" s="82" t="inlineStr">
        <is>
          <t>Strong</t>
        </is>
      </c>
      <c r="O71" s="207" t="n">
        <v>-3.16</v>
      </c>
      <c r="P71" s="82" t="inlineStr">
        <is>
          <t>Lower Risk</t>
        </is>
      </c>
      <c r="Q71" s="82" t="n">
        <v>-1.16</v>
      </c>
      <c r="R71" s="82" t="n">
        <v>0.2118</v>
      </c>
      <c r="S71" s="82" t="n">
        <v>0.92</v>
      </c>
      <c r="T71" s="82" t="n">
        <v>1.2833</v>
      </c>
      <c r="U71" s="82" t="n">
        <v>2.8191</v>
      </c>
      <c r="V71" s="82" t="n">
        <v>1.6769</v>
      </c>
      <c r="W71" s="82" t="n">
        <v>71.77</v>
      </c>
      <c r="X71" s="82" t="n">
        <v>61.42</v>
      </c>
      <c r="Y71" s="82" t="n">
        <v>0</v>
      </c>
      <c r="Z71" s="82" t="inlineStr">
        <is>
          <t>CLEAR</t>
        </is>
      </c>
    </row>
    <row r="72" ht="17" customHeight="1">
      <c r="A72" s="86" t="n">
        <v>70</v>
      </c>
      <c r="B72" s="86" t="inlineStr">
        <is>
          <t>NEM</t>
        </is>
      </c>
      <c r="C72" s="86" t="inlineStr">
        <is>
          <t>NEWMONT CORPORATION</t>
        </is>
      </c>
      <c r="D72" s="86" t="n">
        <v>1.49</v>
      </c>
      <c r="E72" s="208" t="inlineStr">
        <is>
          <t>Grey</t>
        </is>
      </c>
      <c r="F72" s="86" t="n">
        <v>3.92</v>
      </c>
      <c r="G72" s="86" t="inlineStr">
        <is>
          <t>Safe</t>
        </is>
      </c>
      <c r="H72" s="86" t="n">
        <v>2.1</v>
      </c>
      <c r="I72" s="86" t="inlineStr">
        <is>
          <t>Healthy</t>
        </is>
      </c>
      <c r="J72" s="86" t="n">
        <v>-2.59</v>
      </c>
      <c r="K72" s="86" t="n">
        <v>0.07000000000000001</v>
      </c>
      <c r="L72" s="86" t="inlineStr">
        <is>
          <t>Healthy</t>
        </is>
      </c>
      <c r="M72" s="86" t="n">
        <v>8</v>
      </c>
      <c r="N72" s="86" t="inlineStr">
        <is>
          <t>Strong</t>
        </is>
      </c>
      <c r="O72" s="207" t="n">
        <v>-3.01</v>
      </c>
      <c r="P72" s="86" t="inlineStr">
        <is>
          <t>Lower Risk</t>
        </is>
      </c>
      <c r="Q72" s="86" t="n">
        <v>-0.2</v>
      </c>
      <c r="R72" s="86" t="n">
        <v>0.2092</v>
      </c>
      <c r="S72" s="86" t="n">
        <v>1.46</v>
      </c>
      <c r="T72" s="86" t="n">
        <v>1.0876</v>
      </c>
      <c r="U72" s="86" t="n">
        <v>-0.1317</v>
      </c>
      <c r="V72" s="86" t="n">
        <v>1.6901</v>
      </c>
      <c r="W72" s="86" t="n">
        <v>45.55</v>
      </c>
      <c r="X72" s="86" t="n">
        <v>61.41</v>
      </c>
      <c r="Y72" s="86" t="n">
        <v>0</v>
      </c>
      <c r="Z72" s="86" t="inlineStr">
        <is>
          <t>CLEAR</t>
        </is>
      </c>
    </row>
    <row r="73" ht="17" customHeight="1">
      <c r="A73" s="82" t="n">
        <v>71</v>
      </c>
      <c r="B73" s="82" t="inlineStr">
        <is>
          <t>KNX</t>
        </is>
      </c>
      <c r="C73" s="82" t="inlineStr">
        <is>
          <t>Knight-Swift Transportation Holdings Inc.</t>
        </is>
      </c>
      <c r="D73" s="82" t="n">
        <v>1.47</v>
      </c>
      <c r="E73" s="208" t="inlineStr">
        <is>
          <t>Grey</t>
        </is>
      </c>
      <c r="F73" s="82" t="n">
        <v>2.28</v>
      </c>
      <c r="G73" s="82" t="inlineStr">
        <is>
          <t>Grey</t>
        </is>
      </c>
      <c r="H73" s="82" t="n">
        <v>0.35</v>
      </c>
      <c r="I73" s="82" t="inlineStr">
        <is>
          <t>Distress</t>
        </is>
      </c>
      <c r="J73" s="82" t="n">
        <v>-2.05</v>
      </c>
      <c r="K73" s="82" t="n">
        <v>0.11</v>
      </c>
      <c r="L73" s="82" t="inlineStr">
        <is>
          <t>Healthy</t>
        </is>
      </c>
      <c r="M73" s="82" t="n">
        <v>8</v>
      </c>
      <c r="N73" s="82" t="inlineStr">
        <is>
          <t>Strong</t>
        </is>
      </c>
      <c r="O73" s="207" t="n">
        <v>-3.61</v>
      </c>
      <c r="P73" s="82" t="inlineStr">
        <is>
          <t>Lower Risk</t>
        </is>
      </c>
      <c r="Q73" s="82" t="n">
        <v>1.73</v>
      </c>
      <c r="R73" s="82" t="n">
        <v>0.009299999999999999</v>
      </c>
      <c r="S73" s="82" t="n">
        <v>19.21</v>
      </c>
      <c r="T73" s="82" t="n">
        <v>0.0585</v>
      </c>
      <c r="U73" s="82" t="n">
        <v>0.008</v>
      </c>
      <c r="V73" s="82" t="n">
        <v>0.0289</v>
      </c>
      <c r="W73" s="82" t="n">
        <v>1.7</v>
      </c>
      <c r="X73" s="82" t="n">
        <v>61.3</v>
      </c>
      <c r="Y73" s="82" t="n">
        <v>20</v>
      </c>
      <c r="Z73" s="82" t="inlineStr">
        <is>
          <t>CLEAR</t>
        </is>
      </c>
    </row>
    <row r="74" ht="17" customHeight="1">
      <c r="A74" s="86" t="n">
        <v>72</v>
      </c>
      <c r="B74" s="86" t="inlineStr">
        <is>
          <t>TREX</t>
        </is>
      </c>
      <c r="C74" s="86" t="inlineStr">
        <is>
          <t>Trex Company, Inc.</t>
        </is>
      </c>
      <c r="D74" s="86" t="n">
        <v>3.47</v>
      </c>
      <c r="E74" s="206" t="inlineStr">
        <is>
          <t>Safe</t>
        </is>
      </c>
      <c r="F74" s="86" t="n">
        <v>8.07</v>
      </c>
      <c r="G74" s="86" t="inlineStr">
        <is>
          <t>Safe</t>
        </is>
      </c>
      <c r="H74" s="86" t="n">
        <v>1.59</v>
      </c>
      <c r="I74" s="86" t="inlineStr">
        <is>
          <t>Healthy</t>
        </is>
      </c>
      <c r="J74" s="86" t="n">
        <v>-3.28</v>
      </c>
      <c r="K74" s="86" t="n">
        <v>0.04</v>
      </c>
      <c r="L74" s="86" t="inlineStr">
        <is>
          <t>Healthy</t>
        </is>
      </c>
      <c r="M74" s="86" t="n">
        <v>6</v>
      </c>
      <c r="N74" s="86" t="inlineStr">
        <is>
          <t>Mixed</t>
        </is>
      </c>
      <c r="O74" s="207" t="n">
        <v>-3.45</v>
      </c>
      <c r="P74" s="86" t="inlineStr">
        <is>
          <t>Lower Risk</t>
        </is>
      </c>
      <c r="Q74" s="86" t="n">
        <v>0.26</v>
      </c>
      <c r="R74" s="86" t="n">
        <v>0.1841</v>
      </c>
      <c r="S74" s="86" t="n">
        <v>1.88</v>
      </c>
      <c r="T74" s="86" t="n">
        <v>0.1146</v>
      </c>
      <c r="U74" s="86" t="n">
        <v>0.0198</v>
      </c>
      <c r="V74" s="86" t="n">
        <v>0.2197</v>
      </c>
      <c r="W74" s="86" t="n">
        <v>559.5700000000001</v>
      </c>
      <c r="X74" s="86" t="n">
        <v>61.24</v>
      </c>
      <c r="Y74" s="86" t="n">
        <v>20</v>
      </c>
      <c r="Z74" s="86" t="inlineStr">
        <is>
          <t>CLEAR</t>
        </is>
      </c>
    </row>
    <row r="75" ht="17" customHeight="1">
      <c r="A75" s="82" t="n">
        <v>73</v>
      </c>
      <c r="B75" s="82" t="inlineStr">
        <is>
          <t>RS</t>
        </is>
      </c>
      <c r="C75" s="82" t="inlineStr">
        <is>
          <t>RELIANCE, INC.</t>
        </is>
      </c>
      <c r="D75" s="82" t="n">
        <v>3.49</v>
      </c>
      <c r="E75" s="206" t="inlineStr">
        <is>
          <t>Safe</t>
        </is>
      </c>
      <c r="F75" s="82" t="n">
        <v>7.38</v>
      </c>
      <c r="G75" s="82" t="inlineStr">
        <is>
          <t>Safe</t>
        </is>
      </c>
      <c r="H75" s="82" t="n">
        <v>1.95</v>
      </c>
      <c r="I75" s="82" t="inlineStr">
        <is>
          <t>Healthy</t>
        </is>
      </c>
      <c r="J75" s="82" t="n">
        <v>-2.89</v>
      </c>
      <c r="K75" s="82" t="n">
        <v>0.05</v>
      </c>
      <c r="L75" s="82" t="inlineStr">
        <is>
          <t>Healthy</t>
        </is>
      </c>
      <c r="M75" s="82" t="n">
        <v>6</v>
      </c>
      <c r="N75" s="82" t="inlineStr">
        <is>
          <t>Mixed</t>
        </is>
      </c>
      <c r="O75" s="207" t="n">
        <v>-2.63</v>
      </c>
      <c r="P75" s="82" t="inlineStr">
        <is>
          <t>Lower Risk</t>
        </is>
      </c>
      <c r="Q75" s="82" t="n">
        <v>1.34</v>
      </c>
      <c r="R75" s="82" t="n">
        <v>0.1031</v>
      </c>
      <c r="S75" s="82" t="n">
        <v>1.12</v>
      </c>
      <c r="T75" s="82" t="n">
        <v>0.0339</v>
      </c>
      <c r="U75" s="82" t="n">
        <v>-0.1303</v>
      </c>
      <c r="V75" s="82" t="n">
        <v>0.0684</v>
      </c>
      <c r="W75" s="82" t="n">
        <v>25.25</v>
      </c>
      <c r="X75" s="82" t="n">
        <v>61.2</v>
      </c>
      <c r="Y75" s="82" t="n">
        <v>0</v>
      </c>
      <c r="Z75" s="82" t="inlineStr">
        <is>
          <t>CLEAR</t>
        </is>
      </c>
    </row>
    <row r="76" ht="17" customHeight="1">
      <c r="A76" s="86" t="n">
        <v>74</v>
      </c>
      <c r="B76" s="86" t="inlineStr">
        <is>
          <t>MTD</t>
        </is>
      </c>
      <c r="C76" s="86" t="inlineStr">
        <is>
          <t>Mettler-Toledo International Inc.</t>
        </is>
      </c>
      <c r="D76" s="86" t="n">
        <v>4.1</v>
      </c>
      <c r="E76" s="206" t="inlineStr">
        <is>
          <t>Safe</t>
        </is>
      </c>
      <c r="F76" s="86" t="n">
        <v>10.29</v>
      </c>
      <c r="G76" s="86" t="inlineStr">
        <is>
          <t>Safe</t>
        </is>
      </c>
      <c r="H76" s="86" t="n">
        <v>1.92</v>
      </c>
      <c r="I76" s="86" t="inlineStr">
        <is>
          <t>Healthy</t>
        </is>
      </c>
      <c r="J76" s="86" t="n">
        <v>0.33</v>
      </c>
      <c r="K76" s="86" t="n">
        <v>0.58</v>
      </c>
      <c r="L76" s="86" t="inlineStr">
        <is>
          <t>Distress</t>
        </is>
      </c>
      <c r="M76" s="86" t="n">
        <v>6</v>
      </c>
      <c r="N76" s="86" t="inlineStr">
        <is>
          <t>Mixed</t>
        </is>
      </c>
      <c r="O76" s="207" t="n">
        <v>-2.56</v>
      </c>
      <c r="P76" s="86" t="inlineStr">
        <is>
          <t>Lower Risk</t>
        </is>
      </c>
      <c r="Q76" s="86" t="n">
        <v>1.83</v>
      </c>
      <c r="R76" s="86" t="n">
        <v>-36.7741</v>
      </c>
      <c r="S76" s="86" t="n">
        <v>1.1</v>
      </c>
      <c r="T76" s="86" t="n">
        <v>0.2108</v>
      </c>
      <c r="U76" s="86" t="n">
        <v>0.0398</v>
      </c>
      <c r="V76" s="86" t="n">
        <v>0.2605</v>
      </c>
      <c r="W76" s="86" t="n">
        <v>15.31</v>
      </c>
      <c r="X76" s="86" t="n">
        <v>61.17</v>
      </c>
      <c r="Y76" s="86" t="n">
        <v>0</v>
      </c>
      <c r="Z76" s="86" t="inlineStr">
        <is>
          <t>CLEAR</t>
        </is>
      </c>
    </row>
    <row r="77" ht="17" customHeight="1">
      <c r="A77" s="82" t="n">
        <v>75</v>
      </c>
      <c r="B77" s="82" t="inlineStr">
        <is>
          <t>APPF</t>
        </is>
      </c>
      <c r="C77" s="82" t="inlineStr">
        <is>
          <t>AppFolio, Inc.</t>
        </is>
      </c>
      <c r="D77" s="82" t="n">
        <v>4.41</v>
      </c>
      <c r="E77" s="206" t="inlineStr">
        <is>
          <t>Safe</t>
        </is>
      </c>
      <c r="F77" s="82" t="n">
        <v>9.77</v>
      </c>
      <c r="G77" s="82" t="inlineStr">
        <is>
          <t>Safe</t>
        </is>
      </c>
      <c r="H77" s="82" t="n">
        <v>2.6</v>
      </c>
      <c r="I77" s="82" t="inlineStr">
        <is>
          <t>Healthy</t>
        </is>
      </c>
      <c r="J77" s="82" t="n">
        <v>-4.04</v>
      </c>
      <c r="K77" s="82" t="n">
        <v>0.02</v>
      </c>
      <c r="L77" s="82" t="inlineStr">
        <is>
          <t>Healthy</t>
        </is>
      </c>
      <c r="M77" s="82" t="n">
        <v>5</v>
      </c>
      <c r="N77" s="82" t="inlineStr">
        <is>
          <t>Mixed</t>
        </is>
      </c>
      <c r="O77" s="207" t="n">
        <v>-2.9</v>
      </c>
      <c r="P77" s="82" t="inlineStr">
        <is>
          <t>Lower Risk</t>
        </is>
      </c>
      <c r="Q77" s="82" t="n">
        <v>-0.34</v>
      </c>
      <c r="R77" s="82" t="n">
        <v>0.2597</v>
      </c>
      <c r="S77" s="82" t="n">
        <v>1.72</v>
      </c>
      <c r="T77" s="82" t="n">
        <v>0.2513</v>
      </c>
      <c r="U77" s="82" t="n">
        <v>0.1972</v>
      </c>
      <c r="V77" s="82" t="n">
        <v>0.1608</v>
      </c>
      <c r="W77" s="82" t="n">
        <v>191.15</v>
      </c>
      <c r="X77" s="82" t="n">
        <v>61.1</v>
      </c>
      <c r="Y77" s="82" t="n">
        <v>20</v>
      </c>
      <c r="Z77" s="82" t="inlineStr">
        <is>
          <t>CLEAR</t>
        </is>
      </c>
    </row>
    <row r="78" ht="17" customHeight="1">
      <c r="A78" s="86" t="n">
        <v>76</v>
      </c>
      <c r="B78" s="86" t="inlineStr">
        <is>
          <t>MDT</t>
        </is>
      </c>
      <c r="C78" s="86" t="inlineStr">
        <is>
          <t>Medtronic plc</t>
        </is>
      </c>
      <c r="D78" s="86" t="n">
        <v>1.49</v>
      </c>
      <c r="E78" s="208" t="inlineStr">
        <is>
          <t>Grey</t>
        </is>
      </c>
      <c r="F78" s="86" t="n">
        <v>3.75</v>
      </c>
      <c r="G78" s="86" t="inlineStr">
        <is>
          <t>Safe</t>
        </is>
      </c>
      <c r="H78" s="86" t="n">
        <v>0.86</v>
      </c>
      <c r="I78" s="86" t="inlineStr">
        <is>
          <t>Healthy</t>
        </is>
      </c>
      <c r="J78" s="86" t="n">
        <v>-1.94</v>
      </c>
      <c r="K78" s="86" t="n">
        <v>0.13</v>
      </c>
      <c r="L78" s="86" t="inlineStr">
        <is>
          <t>Healthy</t>
        </is>
      </c>
      <c r="M78" s="86" t="n">
        <v>8</v>
      </c>
      <c r="N78" s="86" t="inlineStr">
        <is>
          <t>Strong</t>
        </is>
      </c>
      <c r="O78" s="207" t="n">
        <v>-2.41</v>
      </c>
      <c r="P78" s="86" t="inlineStr">
        <is>
          <t>Lower Risk</t>
        </is>
      </c>
      <c r="Q78" s="86" t="n">
        <v>2.14</v>
      </c>
      <c r="R78" s="86" t="n">
        <v>0.09710000000000001</v>
      </c>
      <c r="S78" s="86" t="n">
        <v>1.53</v>
      </c>
      <c r="T78" s="86" t="n">
        <v>0.1492</v>
      </c>
      <c r="U78" s="86" t="n">
        <v>0.0843</v>
      </c>
      <c r="V78" s="86" t="n">
        <v>0.1778</v>
      </c>
      <c r="W78" s="86" t="n">
        <v>8.99</v>
      </c>
      <c r="X78" s="86" t="n">
        <v>61.05</v>
      </c>
      <c r="Y78" s="86" t="n">
        <v>0</v>
      </c>
      <c r="Z78" s="86" t="inlineStr">
        <is>
          <t>CLEAR</t>
        </is>
      </c>
    </row>
    <row r="79" ht="17" customHeight="1">
      <c r="A79" s="82" t="n">
        <v>77</v>
      </c>
      <c r="B79" s="82" t="inlineStr">
        <is>
          <t>MCO</t>
        </is>
      </c>
      <c r="C79" s="82" t="inlineStr">
        <is>
          <t>Moody’s Corporation</t>
        </is>
      </c>
      <c r="D79" s="82" t="n">
        <v>2.12</v>
      </c>
      <c r="E79" s="208" t="inlineStr">
        <is>
          <t>Grey</t>
        </is>
      </c>
      <c r="F79" s="82" t="n">
        <v>6.38</v>
      </c>
      <c r="G79" s="82" t="inlineStr">
        <is>
          <t>Safe</t>
        </is>
      </c>
      <c r="H79" s="82" t="n">
        <v>1.59</v>
      </c>
      <c r="I79" s="82" t="inlineStr">
        <is>
          <t>Healthy</t>
        </is>
      </c>
      <c r="J79" s="82" t="n">
        <v>-0.86</v>
      </c>
      <c r="K79" s="82" t="n">
        <v>0.3</v>
      </c>
      <c r="L79" s="82" t="inlineStr">
        <is>
          <t>Healthy</t>
        </is>
      </c>
      <c r="M79" s="82" t="n">
        <v>9</v>
      </c>
      <c r="N79" s="82" t="inlineStr">
        <is>
          <t>Strong</t>
        </is>
      </c>
      <c r="O79" s="207" t="n">
        <v>-1.97</v>
      </c>
      <c r="P79" s="82" t="inlineStr">
        <is>
          <t>Higher Risk</t>
        </is>
      </c>
      <c r="Q79" s="82" t="n">
        <v>1.2</v>
      </c>
      <c r="R79" s="82" t="n">
        <v>0.6066</v>
      </c>
      <c r="S79" s="82" t="n">
        <v>1.18</v>
      </c>
      <c r="T79" s="82" t="n">
        <v>0.6125</v>
      </c>
      <c r="U79" s="82" t="n">
        <v>2.6071</v>
      </c>
      <c r="V79" s="82" t="n">
        <v>0.7971</v>
      </c>
      <c r="W79" s="82" t="n">
        <v>20.69</v>
      </c>
      <c r="X79" s="82" t="n">
        <v>60.94</v>
      </c>
      <c r="Y79" s="82" t="n">
        <v>20</v>
      </c>
      <c r="Z79" s="82" t="inlineStr">
        <is>
          <t>CLEAR</t>
        </is>
      </c>
    </row>
    <row r="80" ht="17" customHeight="1">
      <c r="A80" s="86" t="n">
        <v>78</v>
      </c>
      <c r="B80" s="86" t="inlineStr">
        <is>
          <t>ATI</t>
        </is>
      </c>
      <c r="C80" s="86" t="inlineStr">
        <is>
          <t>ATI INC</t>
        </is>
      </c>
      <c r="D80" s="86" t="n">
        <v>1.73</v>
      </c>
      <c r="E80" s="208" t="inlineStr">
        <is>
          <t>Grey</t>
        </is>
      </c>
      <c r="F80" s="86" t="n">
        <v>3.89</v>
      </c>
      <c r="G80" s="86" t="inlineStr">
        <is>
          <t>Safe</t>
        </is>
      </c>
      <c r="H80" s="86" t="n">
        <v>1.38</v>
      </c>
      <c r="I80" s="86" t="inlineStr">
        <is>
          <t>Healthy</t>
        </is>
      </c>
      <c r="J80" s="86" t="n">
        <v>-1.14</v>
      </c>
      <c r="K80" s="86" t="n">
        <v>0.24</v>
      </c>
      <c r="L80" s="86" t="inlineStr">
        <is>
          <t>Healthy</t>
        </is>
      </c>
      <c r="M80" s="86" t="n">
        <v>8</v>
      </c>
      <c r="N80" s="86" t="inlineStr">
        <is>
          <t>Strong</t>
        </is>
      </c>
      <c r="O80" s="207" t="n">
        <v>-2.97</v>
      </c>
      <c r="P80" s="86" t="inlineStr">
        <is>
          <t>Lower Risk</t>
        </is>
      </c>
      <c r="Q80" s="86" t="n">
        <v>-0.52</v>
      </c>
      <c r="R80" s="86" t="n">
        <v>0.2241</v>
      </c>
      <c r="S80" s="86" t="n">
        <v>1.52</v>
      </c>
      <c r="T80" s="86" t="n">
        <v>0.0825</v>
      </c>
      <c r="U80" s="86" t="n">
        <v>-0.1336</v>
      </c>
      <c r="V80" s="86" t="n">
        <v>0.1585</v>
      </c>
      <c r="W80" s="86" t="n">
        <v>5.79</v>
      </c>
      <c r="X80" s="86" t="n">
        <v>60.93</v>
      </c>
      <c r="Y80" s="86" t="n">
        <v>0</v>
      </c>
      <c r="Z80" s="86" t="inlineStr">
        <is>
          <t>CLEAR</t>
        </is>
      </c>
    </row>
    <row r="81" ht="17" customHeight="1">
      <c r="A81" s="82" t="n">
        <v>79</v>
      </c>
      <c r="B81" s="82" t="inlineStr">
        <is>
          <t>TXT</t>
        </is>
      </c>
      <c r="C81" s="82" t="inlineStr">
        <is>
          <t>Textron Inc.</t>
        </is>
      </c>
      <c r="D81" s="91" t="inlineStr">
        <is>
          <t>N/A</t>
        </is>
      </c>
      <c r="E81" s="91" t="inlineStr">
        <is>
          <t>N/A</t>
        </is>
      </c>
      <c r="F81" s="91" t="inlineStr">
        <is>
          <t>N/A</t>
        </is>
      </c>
      <c r="G81" s="91" t="inlineStr">
        <is>
          <t>N/A</t>
        </is>
      </c>
      <c r="H81" s="91" t="inlineStr">
        <is>
          <t>N/A</t>
        </is>
      </c>
      <c r="I81" s="91" t="inlineStr">
        <is>
          <t>N/A</t>
        </is>
      </c>
      <c r="J81" s="91" t="inlineStr">
        <is>
          <t>N/A</t>
        </is>
      </c>
      <c r="K81" s="91" t="inlineStr">
        <is>
          <t>N/A</t>
        </is>
      </c>
      <c r="L81" s="91" t="inlineStr">
        <is>
          <t>N/A</t>
        </is>
      </c>
      <c r="M81" s="82" t="n">
        <v>8</v>
      </c>
      <c r="N81" s="82" t="inlineStr">
        <is>
          <t>Strong</t>
        </is>
      </c>
      <c r="O81" s="91" t="inlineStr">
        <is>
          <t>N/A</t>
        </is>
      </c>
      <c r="P81" s="82" t="inlineStr">
        <is>
          <t>Insufficient Data</t>
        </is>
      </c>
      <c r="Q81" s="82" t="n">
        <v>-0.82</v>
      </c>
      <c r="R81" s="82" t="n">
        <v>0.117</v>
      </c>
      <c r="S81" s="82" t="n">
        <v>1.42</v>
      </c>
      <c r="T81" s="82" t="n">
        <v>0.06279999999999999</v>
      </c>
      <c r="U81" s="82" t="n">
        <v>0.0801</v>
      </c>
      <c r="V81" s="82" t="n">
        <v>0.07679999999999999</v>
      </c>
      <c r="W81" s="82" t="n">
        <v>8.01</v>
      </c>
      <c r="X81" s="82" t="n">
        <v>60.83</v>
      </c>
      <c r="Y81" s="82" t="n">
        <v>0</v>
      </c>
      <c r="Z81" s="82" t="inlineStr">
        <is>
          <t>CLEAR</t>
        </is>
      </c>
    </row>
    <row r="82" ht="17" customHeight="1">
      <c r="A82" s="86" t="n">
        <v>80</v>
      </c>
      <c r="B82" s="86" t="inlineStr">
        <is>
          <t>CLX</t>
        </is>
      </c>
      <c r="C82" s="86" t="inlineStr">
        <is>
          <t>CLOROX CO /DE/</t>
        </is>
      </c>
      <c r="D82" s="86" t="n">
        <v>1.75</v>
      </c>
      <c r="E82" s="208" t="inlineStr">
        <is>
          <t>Grey</t>
        </is>
      </c>
      <c r="F82" s="86" t="n">
        <v>1.26</v>
      </c>
      <c r="G82" s="86" t="inlineStr">
        <is>
          <t>Grey</t>
        </is>
      </c>
      <c r="H82" s="86" t="n">
        <v>1.35</v>
      </c>
      <c r="I82" s="86" t="inlineStr">
        <is>
          <t>Healthy</t>
        </is>
      </c>
      <c r="J82" s="86" t="n">
        <v>0.2</v>
      </c>
      <c r="K82" s="86" t="n">
        <v>0.55</v>
      </c>
      <c r="L82" s="86" t="inlineStr">
        <is>
          <t>Distress</t>
        </is>
      </c>
      <c r="M82" s="86" t="n">
        <v>8</v>
      </c>
      <c r="N82" s="86" t="inlineStr">
        <is>
          <t>Strong</t>
        </is>
      </c>
      <c r="O82" s="207" t="n">
        <v>-2.48</v>
      </c>
      <c r="P82" s="86" t="inlineStr">
        <is>
          <t>Lower Risk</t>
        </is>
      </c>
      <c r="Q82" s="86" t="n">
        <v>1.86</v>
      </c>
      <c r="R82" s="86" t="n">
        <v>2.5234</v>
      </c>
      <c r="S82" s="86" t="n">
        <v>1.21</v>
      </c>
      <c r="T82" s="86" t="n">
        <v>0.1243</v>
      </c>
      <c r="U82" s="86" t="n">
        <v>0</v>
      </c>
      <c r="V82" s="86" t="n">
        <v>0.176</v>
      </c>
      <c r="W82" s="86" t="n">
        <v>12.25</v>
      </c>
      <c r="X82" s="86" t="n">
        <v>60.75</v>
      </c>
      <c r="Y82" s="86" t="n">
        <v>0</v>
      </c>
      <c r="Z82" s="86" t="inlineStr">
        <is>
          <t>CLEAR</t>
        </is>
      </c>
    </row>
    <row r="83" ht="17" customHeight="1">
      <c r="A83" s="82" t="n">
        <v>81</v>
      </c>
      <c r="B83" s="82" t="inlineStr">
        <is>
          <t>EHC</t>
        </is>
      </c>
      <c r="C83" s="82" t="inlineStr">
        <is>
          <t>Encompass Health Corporation</t>
        </is>
      </c>
      <c r="D83" s="82" t="n">
        <v>1.5</v>
      </c>
      <c r="E83" s="208" t="inlineStr">
        <is>
          <t>Grey</t>
        </is>
      </c>
      <c r="F83" s="82" t="n">
        <v>1.84</v>
      </c>
      <c r="G83" s="82" t="inlineStr">
        <is>
          <t>Grey</t>
        </is>
      </c>
      <c r="H83" s="82" t="n">
        <v>1.33</v>
      </c>
      <c r="I83" s="82" t="inlineStr">
        <is>
          <t>Healthy</t>
        </is>
      </c>
      <c r="J83" s="82" t="n">
        <v>-1.64</v>
      </c>
      <c r="K83" s="82" t="n">
        <v>0.16</v>
      </c>
      <c r="L83" s="82" t="inlineStr">
        <is>
          <t>Healthy</t>
        </is>
      </c>
      <c r="M83" s="82" t="n">
        <v>8</v>
      </c>
      <c r="N83" s="82" t="inlineStr">
        <is>
          <t>Strong</t>
        </is>
      </c>
      <c r="O83" s="91" t="inlineStr">
        <is>
          <t>N/A</t>
        </is>
      </c>
      <c r="P83" s="82" t="inlineStr">
        <is>
          <t>Insufficient Data</t>
        </is>
      </c>
      <c r="Q83" s="82" t="n">
        <v>1.36</v>
      </c>
      <c r="R83" s="82" t="n">
        <v>0.2322</v>
      </c>
      <c r="S83" s="82" t="n">
        <v>1.25</v>
      </c>
      <c r="T83" s="82" t="n">
        <v>0.0238</v>
      </c>
      <c r="U83" s="82" t="n">
        <v>0.1046</v>
      </c>
      <c r="V83" s="82" t="n">
        <v>0.09089999999999999</v>
      </c>
      <c r="W83" s="82" t="n">
        <v>3.76</v>
      </c>
      <c r="X83" s="82" t="n">
        <v>60.64</v>
      </c>
      <c r="Y83" s="82" t="n">
        <v>0</v>
      </c>
      <c r="Z83" s="82" t="inlineStr">
        <is>
          <t>CLEAR</t>
        </is>
      </c>
    </row>
    <row r="84" ht="17" customHeight="1">
      <c r="A84" s="86" t="n">
        <v>82</v>
      </c>
      <c r="B84" s="86" t="inlineStr">
        <is>
          <t>AR</t>
        </is>
      </c>
      <c r="C84" s="86" t="inlineStr">
        <is>
          <t>ANTERO RESOURCES CORPORATION</t>
        </is>
      </c>
      <c r="D84" s="86" t="n">
        <v>1.25</v>
      </c>
      <c r="E84" s="208" t="inlineStr">
        <is>
          <t>Grey</t>
        </is>
      </c>
      <c r="F84" s="86" t="n">
        <v>1.96</v>
      </c>
      <c r="G84" s="86" t="inlineStr">
        <is>
          <t>Grey</t>
        </is>
      </c>
      <c r="H84" s="86" t="n">
        <v>0.7</v>
      </c>
      <c r="I84" s="86" t="inlineStr">
        <is>
          <t>Distress</t>
        </is>
      </c>
      <c r="J84" s="86" t="n">
        <v>-2.19</v>
      </c>
      <c r="K84" s="86" t="n">
        <v>0.1</v>
      </c>
      <c r="L84" s="86" t="inlineStr">
        <is>
          <t>Healthy</t>
        </is>
      </c>
      <c r="M84" s="86" t="n">
        <v>8</v>
      </c>
      <c r="N84" s="86" t="inlineStr">
        <is>
          <t>Strong</t>
        </is>
      </c>
      <c r="O84" s="207" t="n">
        <v>-3.86</v>
      </c>
      <c r="P84" s="86" t="inlineStr">
        <is>
          <t>Lower Risk</t>
        </is>
      </c>
      <c r="Q84" s="86" t="n">
        <v>0.84</v>
      </c>
      <c r="R84" s="86" t="n">
        <v>0.0895</v>
      </c>
      <c r="S84" s="86" t="n">
        <v>2.41</v>
      </c>
      <c r="T84" s="86" t="n">
        <v>0.1302</v>
      </c>
      <c r="U84" s="86" t="n">
        <v>0.2197</v>
      </c>
      <c r="V84" s="86" t="n">
        <v>0.1675</v>
      </c>
      <c r="W84" s="86" t="n">
        <v>3.08</v>
      </c>
      <c r="X84" s="86" t="n">
        <v>60.48</v>
      </c>
      <c r="Y84" s="86" t="n">
        <v>0</v>
      </c>
      <c r="Z84" s="86" t="inlineStr">
        <is>
          <t>CLEAR</t>
        </is>
      </c>
    </row>
    <row r="85" ht="17" customHeight="1">
      <c r="A85" s="82" t="n">
        <v>83</v>
      </c>
      <c r="B85" s="82" t="inlineStr">
        <is>
          <t>SEIC</t>
        </is>
      </c>
      <c r="C85" s="82" t="inlineStr">
        <is>
          <t>SEI INVESTMENTS COMPANY</t>
        </is>
      </c>
      <c r="D85" s="82" t="n">
        <v>4.44</v>
      </c>
      <c r="E85" s="206" t="inlineStr">
        <is>
          <t>Safe</t>
        </is>
      </c>
      <c r="F85" s="82" t="n">
        <v>10.64</v>
      </c>
      <c r="G85" s="82" t="inlineStr">
        <is>
          <t>Safe</t>
        </is>
      </c>
      <c r="H85" s="82" t="n">
        <v>2.96</v>
      </c>
      <c r="I85" s="82" t="inlineStr">
        <is>
          <t>Healthy</t>
        </is>
      </c>
      <c r="J85" s="82" t="n">
        <v>-4.61</v>
      </c>
      <c r="K85" s="82" t="n">
        <v>0.01</v>
      </c>
      <c r="L85" s="82" t="inlineStr">
        <is>
          <t>Healthy</t>
        </is>
      </c>
      <c r="M85" s="82" t="n">
        <v>6</v>
      </c>
      <c r="N85" s="82" t="inlineStr">
        <is>
          <t>Mixed</t>
        </is>
      </c>
      <c r="O85" s="207" t="n">
        <v>-2.08</v>
      </c>
      <c r="P85" s="82" t="inlineStr">
        <is>
          <t>Higher Risk</t>
        </is>
      </c>
      <c r="Q85" s="82" t="n">
        <v>-0.61</v>
      </c>
      <c r="R85" s="82" t="n">
        <v>0.2922</v>
      </c>
      <c r="S85" s="82" t="n">
        <v>0.85</v>
      </c>
      <c r="T85" s="82" t="n">
        <v>0.2546</v>
      </c>
      <c r="U85" s="82" t="n">
        <v>0.081</v>
      </c>
      <c r="V85" s="82" t="n">
        <v>0.2731</v>
      </c>
      <c r="W85" s="82" t="n">
        <v>1076.01</v>
      </c>
      <c r="X85" s="82" t="n">
        <v>60.42</v>
      </c>
      <c r="Y85" s="82" t="n">
        <v>20</v>
      </c>
      <c r="Z85" s="82" t="inlineStr">
        <is>
          <t>CLEAR</t>
        </is>
      </c>
    </row>
    <row r="86" ht="17" customHeight="1">
      <c r="A86" s="86" t="n">
        <v>84</v>
      </c>
      <c r="B86" s="86" t="inlineStr">
        <is>
          <t>ACM</t>
        </is>
      </c>
      <c r="C86" s="86" t="inlineStr">
        <is>
          <t>AECOM</t>
        </is>
      </c>
      <c r="D86" s="86" t="n">
        <v>1.65</v>
      </c>
      <c r="E86" s="208" t="inlineStr">
        <is>
          <t>Grey</t>
        </is>
      </c>
      <c r="F86" s="86" t="n">
        <v>0.9399999999999999</v>
      </c>
      <c r="G86" s="86" t="inlineStr">
        <is>
          <t>Distress</t>
        </is>
      </c>
      <c r="H86" s="86" t="n">
        <v>0.96</v>
      </c>
      <c r="I86" s="86" t="inlineStr">
        <is>
          <t>Healthy</t>
        </is>
      </c>
      <c r="J86" s="86" t="n">
        <v>-0.12</v>
      </c>
      <c r="K86" s="86" t="n">
        <v>0.47</v>
      </c>
      <c r="L86" s="86" t="inlineStr">
        <is>
          <t>Healthy</t>
        </is>
      </c>
      <c r="M86" s="86" t="n">
        <v>8</v>
      </c>
      <c r="N86" s="86" t="inlineStr">
        <is>
          <t>Strong</t>
        </is>
      </c>
      <c r="O86" s="207" t="n">
        <v>-2.78</v>
      </c>
      <c r="P86" s="86" t="inlineStr">
        <is>
          <t>Lower Risk</t>
        </is>
      </c>
      <c r="Q86" s="86" t="n">
        <v>-0.65</v>
      </c>
      <c r="R86" s="86" t="n">
        <v>0.2254</v>
      </c>
      <c r="S86" s="86" t="n">
        <v>1.46</v>
      </c>
      <c r="T86" s="86" t="n">
        <v>0.0424</v>
      </c>
      <c r="U86" s="86" t="n">
        <v>0.0021</v>
      </c>
      <c r="V86" s="86" t="n">
        <v>0.0636</v>
      </c>
      <c r="W86" s="86" t="n">
        <v>3.43</v>
      </c>
      <c r="X86" s="86" t="n">
        <v>60.4</v>
      </c>
      <c r="Y86" s="86" t="n">
        <v>0</v>
      </c>
      <c r="Z86" s="86" t="inlineStr">
        <is>
          <t>CLEAR</t>
        </is>
      </c>
    </row>
    <row r="87" ht="17" customHeight="1">
      <c r="A87" s="82" t="n">
        <v>85</v>
      </c>
      <c r="B87" s="82" t="inlineStr">
        <is>
          <t>HUM</t>
        </is>
      </c>
      <c r="C87" s="82" t="inlineStr">
        <is>
          <t>HUMANA INC</t>
        </is>
      </c>
      <c r="D87" s="82" t="n">
        <v>3.8</v>
      </c>
      <c r="E87" s="206" t="inlineStr">
        <is>
          <t>Safe</t>
        </is>
      </c>
      <c r="F87" s="82" t="n">
        <v>5.1</v>
      </c>
      <c r="G87" s="82" t="inlineStr">
        <is>
          <t>Safe</t>
        </is>
      </c>
      <c r="H87" s="82" t="n">
        <v>1.63</v>
      </c>
      <c r="I87" s="82" t="inlineStr">
        <is>
          <t>Healthy</t>
        </is>
      </c>
      <c r="J87" s="82" t="n">
        <v>-0.82</v>
      </c>
      <c r="K87" s="82" t="n">
        <v>0.31</v>
      </c>
      <c r="L87" s="82" t="inlineStr">
        <is>
          <t>Healthy</t>
        </is>
      </c>
      <c r="M87" s="82" t="n">
        <v>6</v>
      </c>
      <c r="N87" s="82" t="inlineStr">
        <is>
          <t>Mixed</t>
        </is>
      </c>
      <c r="O87" s="207" t="n">
        <v>-2.28</v>
      </c>
      <c r="P87" s="82" t="inlineStr">
        <is>
          <t>Lower Risk</t>
        </is>
      </c>
      <c r="Q87" s="82" t="n">
        <v>-0.47</v>
      </c>
      <c r="R87" s="82" t="n">
        <v>0.0673</v>
      </c>
      <c r="S87" s="82" t="n">
        <v>0.78</v>
      </c>
      <c r="T87" s="82" t="n">
        <v>0.0029</v>
      </c>
      <c r="U87" s="82" t="n">
        <v>0.1011</v>
      </c>
      <c r="V87" s="82" t="n">
        <v>0.0209</v>
      </c>
      <c r="W87" s="82" t="n">
        <v>5.48</v>
      </c>
      <c r="X87" s="82" t="n">
        <v>60.31</v>
      </c>
      <c r="Y87" s="82" t="n">
        <v>0</v>
      </c>
      <c r="Z87" s="82" t="inlineStr">
        <is>
          <t>CLEAR</t>
        </is>
      </c>
    </row>
    <row r="88" ht="17" customHeight="1">
      <c r="A88" s="86" t="n">
        <v>86</v>
      </c>
      <c r="B88" s="86" t="inlineStr">
        <is>
          <t>PM</t>
        </is>
      </c>
      <c r="C88" s="86" t="inlineStr">
        <is>
          <t>Philip Morris International Inc.</t>
        </is>
      </c>
      <c r="D88" s="86" t="n">
        <v>1.62</v>
      </c>
      <c r="E88" s="208" t="inlineStr">
        <is>
          <t>Grey</t>
        </is>
      </c>
      <c r="F88" s="86" t="n">
        <v>2.88</v>
      </c>
      <c r="G88" s="86" t="inlineStr">
        <is>
          <t>Safe</t>
        </is>
      </c>
      <c r="H88" s="86" t="n">
        <v>0.9</v>
      </c>
      <c r="I88" s="86" t="inlineStr">
        <is>
          <t>Healthy</t>
        </is>
      </c>
      <c r="J88" s="86" t="n">
        <v>1.27</v>
      </c>
      <c r="K88" s="86" t="n">
        <v>0.78</v>
      </c>
      <c r="L88" s="86" t="inlineStr">
        <is>
          <t>Distress</t>
        </is>
      </c>
      <c r="M88" s="86" t="n">
        <v>8</v>
      </c>
      <c r="N88" s="86" t="inlineStr">
        <is>
          <t>Strong</t>
        </is>
      </c>
      <c r="O88" s="207" t="n">
        <v>-2.36</v>
      </c>
      <c r="P88" s="86" t="inlineStr">
        <is>
          <t>Lower Risk</t>
        </is>
      </c>
      <c r="Q88" s="86" t="n">
        <v>0.77</v>
      </c>
      <c r="R88" s="86" t="n">
        <v>-1.1355</v>
      </c>
      <c r="S88" s="86" t="n">
        <v>1.08</v>
      </c>
      <c r="T88" s="86" t="n">
        <v>0.2623</v>
      </c>
      <c r="U88" s="86" t="n">
        <v>0.0731</v>
      </c>
      <c r="V88" s="86" t="n">
        <v>0.3664</v>
      </c>
      <c r="W88" s="86" t="n">
        <v>9.76</v>
      </c>
      <c r="X88" s="86" t="n">
        <v>60.29</v>
      </c>
      <c r="Y88" s="86" t="n">
        <v>0</v>
      </c>
      <c r="Z88" s="86" t="inlineStr">
        <is>
          <t>CLEAR</t>
        </is>
      </c>
    </row>
    <row r="89" ht="17" customHeight="1">
      <c r="A89" s="82" t="n">
        <v>87</v>
      </c>
      <c r="B89" s="82" t="inlineStr">
        <is>
          <t>WELL</t>
        </is>
      </c>
      <c r="C89" s="82" t="inlineStr">
        <is>
          <t>WELLTOWER INC.</t>
        </is>
      </c>
      <c r="D89" s="91" t="inlineStr">
        <is>
          <t>N/A</t>
        </is>
      </c>
      <c r="E89" s="91" t="inlineStr">
        <is>
          <t>N/A</t>
        </is>
      </c>
      <c r="F89" s="91" t="inlineStr">
        <is>
          <t>N/A</t>
        </is>
      </c>
      <c r="G89" s="91" t="inlineStr">
        <is>
          <t>N/A</t>
        </is>
      </c>
      <c r="H89" s="91" t="inlineStr">
        <is>
          <t>N/A</t>
        </is>
      </c>
      <c r="I89" s="91" t="inlineStr">
        <is>
          <t>N/A</t>
        </is>
      </c>
      <c r="J89" s="91" t="inlineStr">
        <is>
          <t>N/A</t>
        </is>
      </c>
      <c r="K89" s="91" t="inlineStr">
        <is>
          <t>N/A</t>
        </is>
      </c>
      <c r="L89" s="91" t="inlineStr">
        <is>
          <t>N/A</t>
        </is>
      </c>
      <c r="M89" s="82" t="n">
        <v>8</v>
      </c>
      <c r="N89" s="82" t="inlineStr">
        <is>
          <t>Strong</t>
        </is>
      </c>
      <c r="O89" s="207" t="n">
        <v>-3.28</v>
      </c>
      <c r="P89" s="82" t="inlineStr">
        <is>
          <t>Lower Risk</t>
        </is>
      </c>
      <c r="Q89" s="91" t="inlineStr">
        <is>
          <t>N/A</t>
        </is>
      </c>
      <c r="R89" s="82" t="n">
        <v>0.0052</v>
      </c>
      <c r="S89" s="82" t="n">
        <v>13.24</v>
      </c>
      <c r="T89" s="82" t="n">
        <v>0.169</v>
      </c>
      <c r="U89" s="82" t="n">
        <v>0.3563</v>
      </c>
      <c r="V89" s="91" t="inlineStr">
        <is>
          <t>N/A</t>
        </is>
      </c>
      <c r="W89" s="91" t="inlineStr">
        <is>
          <t>N/A</t>
        </is>
      </c>
      <c r="X89" s="82" t="n">
        <v>60.08</v>
      </c>
      <c r="Y89" s="82" t="n">
        <v>0</v>
      </c>
      <c r="Z89" s="82" t="inlineStr">
        <is>
          <t>CLEAR</t>
        </is>
      </c>
    </row>
    <row r="90" ht="17" customHeight="1">
      <c r="A90" s="86" t="n">
        <v>88</v>
      </c>
      <c r="B90" s="86" t="inlineStr">
        <is>
          <t>CF</t>
        </is>
      </c>
      <c r="C90" s="86" t="inlineStr">
        <is>
          <t>CF INDUSTRIES HOLDINGS, INC.</t>
        </is>
      </c>
      <c r="D90" s="86" t="n">
        <v>1.49</v>
      </c>
      <c r="E90" s="208" t="inlineStr">
        <is>
          <t>Grey</t>
        </is>
      </c>
      <c r="F90" s="86" t="n">
        <v>3.33</v>
      </c>
      <c r="G90" s="86" t="inlineStr">
        <is>
          <t>Safe</t>
        </is>
      </c>
      <c r="H90" s="86" t="n">
        <v>2.52</v>
      </c>
      <c r="I90" s="86" t="inlineStr">
        <is>
          <t>Healthy</t>
        </is>
      </c>
      <c r="J90" s="86" t="n">
        <v>0.86</v>
      </c>
      <c r="K90" s="86" t="n">
        <v>0.7</v>
      </c>
      <c r="L90" s="86" t="inlineStr">
        <is>
          <t>Distress</t>
        </is>
      </c>
      <c r="M90" s="86" t="n">
        <v>8</v>
      </c>
      <c r="N90" s="86" t="inlineStr">
        <is>
          <t>Strong</t>
        </is>
      </c>
      <c r="O90" s="207" t="n">
        <v>-2.75</v>
      </c>
      <c r="P90" s="86" t="inlineStr">
        <is>
          <t>Lower Risk</t>
        </is>
      </c>
      <c r="Q90" s="86" t="n">
        <v>1.08</v>
      </c>
      <c r="R90" s="86" t="n">
        <v>0.3181</v>
      </c>
      <c r="S90" s="86" t="n">
        <v>1.79</v>
      </c>
      <c r="T90" s="86" t="n">
        <v>0.2544</v>
      </c>
      <c r="U90" s="86" t="n">
        <v>0.1934</v>
      </c>
      <c r="V90" s="86" t="n">
        <v>0.3247</v>
      </c>
      <c r="W90" s="86" t="n">
        <v>14.84</v>
      </c>
      <c r="X90" s="86" t="n">
        <v>59.84</v>
      </c>
      <c r="Y90" s="86" t="n">
        <v>0</v>
      </c>
      <c r="Z90" s="86" t="inlineStr">
        <is>
          <t>CLEAR</t>
        </is>
      </c>
    </row>
    <row r="91" ht="17" customHeight="1">
      <c r="A91" s="82" t="n">
        <v>89</v>
      </c>
      <c r="B91" s="82" t="inlineStr">
        <is>
          <t>KLAC</t>
        </is>
      </c>
      <c r="C91" s="82" t="inlineStr">
        <is>
          <t>KLA CORPORATION</t>
        </is>
      </c>
      <c r="D91" s="82" t="n">
        <v>1.49</v>
      </c>
      <c r="E91" s="208" t="inlineStr">
        <is>
          <t>Grey</t>
        </is>
      </c>
      <c r="F91" s="82" t="n">
        <v>3.9</v>
      </c>
      <c r="G91" s="82" t="inlineStr">
        <is>
          <t>Safe</t>
        </is>
      </c>
      <c r="H91" s="82" t="n">
        <v>1.62</v>
      </c>
      <c r="I91" s="82" t="inlineStr">
        <is>
          <t>Healthy</t>
        </is>
      </c>
      <c r="J91" s="82" t="n">
        <v>-1.45</v>
      </c>
      <c r="K91" s="82" t="n">
        <v>0.19</v>
      </c>
      <c r="L91" s="82" t="inlineStr">
        <is>
          <t>Healthy</t>
        </is>
      </c>
      <c r="M91" s="82" t="n">
        <v>8</v>
      </c>
      <c r="N91" s="82" t="inlineStr">
        <is>
          <t>Strong</t>
        </is>
      </c>
      <c r="O91" s="207" t="n">
        <v>-2.27</v>
      </c>
      <c r="P91" s="82" t="inlineStr">
        <is>
          <t>Lower Risk</t>
        </is>
      </c>
      <c r="Q91" s="82" t="n">
        <v>3.26</v>
      </c>
      <c r="R91" s="82" t="n">
        <v>0.8656</v>
      </c>
      <c r="S91" s="82" t="n">
        <v>1</v>
      </c>
      <c r="T91" s="82" t="n">
        <v>0.3082</v>
      </c>
      <c r="U91" s="82" t="n">
        <v>0.2389</v>
      </c>
      <c r="V91" s="82" t="n">
        <v>0.0635</v>
      </c>
      <c r="W91" s="82" t="n">
        <v>2.6</v>
      </c>
      <c r="X91" s="82" t="n">
        <v>59.82</v>
      </c>
      <c r="Y91" s="82" t="n">
        <v>0</v>
      </c>
      <c r="Z91" s="82" t="inlineStr">
        <is>
          <t>CLEAR</t>
        </is>
      </c>
    </row>
    <row r="92" ht="17" customHeight="1">
      <c r="A92" s="86" t="n">
        <v>90</v>
      </c>
      <c r="B92" s="86" t="inlineStr">
        <is>
          <t>EAT</t>
        </is>
      </c>
      <c r="C92" s="86" t="inlineStr">
        <is>
          <t>BRINKER INTERNATIONAL, INC.</t>
        </is>
      </c>
      <c r="D92" s="86" t="n">
        <v>2.59</v>
      </c>
      <c r="E92" s="208" t="inlineStr">
        <is>
          <t>Grey</t>
        </is>
      </c>
      <c r="F92" s="86" t="n">
        <v>0.51</v>
      </c>
      <c r="G92" s="86" t="inlineStr">
        <is>
          <t>Distress</t>
        </is>
      </c>
      <c r="H92" s="86" t="n">
        <v>1.66</v>
      </c>
      <c r="I92" s="86" t="inlineStr">
        <is>
          <t>Healthy</t>
        </is>
      </c>
      <c r="J92" s="86" t="n">
        <v>0.7</v>
      </c>
      <c r="K92" s="86" t="n">
        <v>0.67</v>
      </c>
      <c r="L92" s="86" t="inlineStr">
        <is>
          <t>Distress</t>
        </is>
      </c>
      <c r="M92" s="86" t="n">
        <v>7</v>
      </c>
      <c r="N92" s="86" t="inlineStr">
        <is>
          <t>Strong</t>
        </is>
      </c>
      <c r="O92" s="207" t="n">
        <v>-2.84</v>
      </c>
      <c r="P92" s="86" t="inlineStr">
        <is>
          <t>Lower Risk</t>
        </is>
      </c>
      <c r="Q92" s="86" t="n">
        <v>1.92</v>
      </c>
      <c r="R92" s="86" t="n">
        <v>1.0329</v>
      </c>
      <c r="S92" s="86" t="n">
        <v>1.77</v>
      </c>
      <c r="T92" s="86" t="n">
        <v>0.07679999999999999</v>
      </c>
      <c r="U92" s="86" t="n">
        <v>0.2195</v>
      </c>
      <c r="V92" s="86" t="n">
        <v>0.0951</v>
      </c>
      <c r="W92" s="86" t="n">
        <v>9.640000000000001</v>
      </c>
      <c r="X92" s="86" t="n">
        <v>59.79</v>
      </c>
      <c r="Y92" s="86" t="n">
        <v>20</v>
      </c>
      <c r="Z92" s="86" t="inlineStr">
        <is>
          <t>CLEAR</t>
        </is>
      </c>
    </row>
    <row r="93" ht="17" customHeight="1">
      <c r="A93" s="82" t="n">
        <v>91</v>
      </c>
      <c r="B93" s="82" t="inlineStr">
        <is>
          <t>CSL</t>
        </is>
      </c>
      <c r="C93" s="82" t="inlineStr">
        <is>
          <t>CARLISLE COMPANIES INCORPORATED</t>
        </is>
      </c>
      <c r="D93" s="82" t="n">
        <v>2.58</v>
      </c>
      <c r="E93" s="208" t="inlineStr">
        <is>
          <t>Grey</t>
        </is>
      </c>
      <c r="F93" s="82" t="n">
        <v>6.81</v>
      </c>
      <c r="G93" s="82" t="inlineStr">
        <is>
          <t>Safe</t>
        </is>
      </c>
      <c r="H93" s="82" t="n">
        <v>1.92</v>
      </c>
      <c r="I93" s="82" t="inlineStr">
        <is>
          <t>Healthy</t>
        </is>
      </c>
      <c r="J93" s="82" t="n">
        <v>0.82</v>
      </c>
      <c r="K93" s="82" t="n">
        <v>0.6899999999999999</v>
      </c>
      <c r="L93" s="82" t="inlineStr">
        <is>
          <t>Distress</t>
        </is>
      </c>
      <c r="M93" s="82" t="n">
        <v>7</v>
      </c>
      <c r="N93" s="82" t="inlineStr">
        <is>
          <t>Strong</t>
        </is>
      </c>
      <c r="O93" s="207" t="n">
        <v>-3.24</v>
      </c>
      <c r="P93" s="82" t="inlineStr">
        <is>
          <t>Lower Risk</t>
        </is>
      </c>
      <c r="Q93" s="82" t="n">
        <v>1.48</v>
      </c>
      <c r="R93" s="82" t="n">
        <v>0.4126</v>
      </c>
      <c r="S93" s="82" t="n">
        <v>1.49</v>
      </c>
      <c r="T93" s="82" t="n">
        <v>0.194</v>
      </c>
      <c r="U93" s="82" t="n">
        <v>0.09080000000000001</v>
      </c>
      <c r="V93" s="82" t="n">
        <v>0.2004</v>
      </c>
      <c r="W93" s="82" t="n">
        <v>33.87</v>
      </c>
      <c r="X93" s="82" t="n">
        <v>59.76</v>
      </c>
      <c r="Y93" s="82" t="n">
        <v>0</v>
      </c>
      <c r="Z93" s="82" t="inlineStr">
        <is>
          <t>CLEAR</t>
        </is>
      </c>
    </row>
    <row r="94" ht="17" customHeight="1">
      <c r="A94" s="86" t="n">
        <v>92</v>
      </c>
      <c r="B94" s="86" t="inlineStr">
        <is>
          <t>MLM</t>
        </is>
      </c>
      <c r="C94" s="86" t="inlineStr">
        <is>
          <t>MARTIN MARIETTA MATERIALS INC</t>
        </is>
      </c>
      <c r="D94" s="86" t="n">
        <v>1.43</v>
      </c>
      <c r="E94" s="208" t="inlineStr">
        <is>
          <t>Grey</t>
        </is>
      </c>
      <c r="F94" s="86" t="n">
        <v>3.65</v>
      </c>
      <c r="G94" s="86" t="inlineStr">
        <is>
          <t>Safe</t>
        </is>
      </c>
      <c r="H94" s="86" t="n">
        <v>1.4</v>
      </c>
      <c r="I94" s="86" t="inlineStr">
        <is>
          <t>Healthy</t>
        </is>
      </c>
      <c r="J94" s="86" t="n">
        <v>-1.96</v>
      </c>
      <c r="K94" s="86" t="n">
        <v>0.12</v>
      </c>
      <c r="L94" s="86" t="inlineStr">
        <is>
          <t>Healthy</t>
        </is>
      </c>
      <c r="M94" s="86" t="n">
        <v>9</v>
      </c>
      <c r="N94" s="86" t="inlineStr">
        <is>
          <t>Strong</t>
        </is>
      </c>
      <c r="O94" s="207" t="n">
        <v>-0.64</v>
      </c>
      <c r="P94" s="86" t="inlineStr">
        <is>
          <t>Higher Risk</t>
        </is>
      </c>
      <c r="Q94" s="86" t="n">
        <v>2.53</v>
      </c>
      <c r="R94" s="86" t="n">
        <v>0.1133</v>
      </c>
      <c r="S94" s="86" t="n">
        <v>1.57</v>
      </c>
      <c r="T94" s="86" t="n">
        <v>0.159</v>
      </c>
      <c r="U94" s="86" t="n">
        <v>3.0091</v>
      </c>
      <c r="V94" s="86" t="n">
        <v>0.2337</v>
      </c>
      <c r="W94" s="86" t="n">
        <v>6.25</v>
      </c>
      <c r="X94" s="86" t="n">
        <v>59.72</v>
      </c>
      <c r="Y94" s="86" t="n">
        <v>20</v>
      </c>
      <c r="Z94" s="86" t="inlineStr">
        <is>
          <t>CLEAR</t>
        </is>
      </c>
    </row>
    <row r="95" ht="17" customHeight="1">
      <c r="A95" s="82" t="n">
        <v>93</v>
      </c>
      <c r="B95" s="82" t="inlineStr">
        <is>
          <t>WBD</t>
        </is>
      </c>
      <c r="C95" s="82" t="inlineStr">
        <is>
          <t>Warner Bros. Discovery, Inc.</t>
        </is>
      </c>
      <c r="D95" s="82" t="n">
        <v>0.28</v>
      </c>
      <c r="E95" s="207" t="inlineStr">
        <is>
          <t>Distress</t>
        </is>
      </c>
      <c r="F95" s="82" t="n">
        <v>0.32</v>
      </c>
      <c r="G95" s="82" t="inlineStr">
        <is>
          <t>Distress</t>
        </is>
      </c>
      <c r="H95" s="82" t="n">
        <v>0.16</v>
      </c>
      <c r="I95" s="82" t="inlineStr">
        <is>
          <t>Distress</t>
        </is>
      </c>
      <c r="J95" s="82" t="n">
        <v>-0.79</v>
      </c>
      <c r="K95" s="82" t="n">
        <v>0.31</v>
      </c>
      <c r="L95" s="82" t="inlineStr">
        <is>
          <t>Healthy</t>
        </is>
      </c>
      <c r="M95" s="82" t="n">
        <v>9</v>
      </c>
      <c r="N95" s="82" t="inlineStr">
        <is>
          <t>Strong</t>
        </is>
      </c>
      <c r="O95" s="207" t="n">
        <v>-2.4</v>
      </c>
      <c r="P95" s="82" t="inlineStr">
        <is>
          <t>Lower Risk</t>
        </is>
      </c>
      <c r="Q95" s="82" t="n">
        <v>4.36</v>
      </c>
      <c r="R95" s="82" t="n">
        <v>0.0202</v>
      </c>
      <c r="S95" s="82" t="n">
        <v>5.94</v>
      </c>
      <c r="T95" s="82" t="n">
        <v>0.2926</v>
      </c>
      <c r="U95" s="82" t="n">
        <v>0.5354</v>
      </c>
      <c r="V95" s="82" t="n">
        <v>0.0699</v>
      </c>
      <c r="W95" s="82" t="n">
        <v>0.33</v>
      </c>
      <c r="X95" s="82" t="n">
        <v>59.69</v>
      </c>
      <c r="Y95" s="82" t="n">
        <v>0</v>
      </c>
      <c r="Z95" s="82" t="inlineStr">
        <is>
          <t>CLEAR</t>
        </is>
      </c>
    </row>
    <row r="96" ht="17" customHeight="1">
      <c r="A96" s="86" t="n">
        <v>94</v>
      </c>
      <c r="B96" s="86" t="inlineStr">
        <is>
          <t>ELV</t>
        </is>
      </c>
      <c r="C96" s="86" t="inlineStr">
        <is>
          <t>ELEVANCE HEALTH, INC.</t>
        </is>
      </c>
      <c r="D96" s="86" t="n">
        <v>2.43</v>
      </c>
      <c r="E96" s="208" t="inlineStr">
        <is>
          <t>Grey</t>
        </is>
      </c>
      <c r="F96" s="86" t="n">
        <v>3.13</v>
      </c>
      <c r="G96" s="86" t="inlineStr">
        <is>
          <t>Safe</t>
        </is>
      </c>
      <c r="H96" s="86" t="n">
        <v>1.13</v>
      </c>
      <c r="I96" s="86" t="inlineStr">
        <is>
          <t>Healthy</t>
        </is>
      </c>
      <c r="J96" s="86" t="n">
        <v>-0.92</v>
      </c>
      <c r="K96" s="86" t="n">
        <v>0.29</v>
      </c>
      <c r="L96" s="86" t="inlineStr">
        <is>
          <t>Healthy</t>
        </is>
      </c>
      <c r="M96" s="86" t="n">
        <v>7</v>
      </c>
      <c r="N96" s="86" t="inlineStr">
        <is>
          <t>Strong</t>
        </is>
      </c>
      <c r="O96" s="90" t="inlineStr">
        <is>
          <t>N/A</t>
        </is>
      </c>
      <c r="P96" s="86" t="inlineStr">
        <is>
          <t>Insufficient Data</t>
        </is>
      </c>
      <c r="Q96" s="86" t="n">
        <v>3.07</v>
      </c>
      <c r="R96" s="86" t="n">
        <v>0.129</v>
      </c>
      <c r="S96" s="86" t="n">
        <v>0.76</v>
      </c>
      <c r="T96" s="86" t="n">
        <v>0.0159</v>
      </c>
      <c r="U96" s="86" t="n">
        <v>0.1249</v>
      </c>
      <c r="V96" s="86" t="n">
        <v>0.0362</v>
      </c>
      <c r="W96" s="86" t="n">
        <v>6.99</v>
      </c>
      <c r="X96" s="86" t="n">
        <v>59.42</v>
      </c>
      <c r="Y96" s="86" t="n">
        <v>0</v>
      </c>
      <c r="Z96" s="86" t="inlineStr">
        <is>
          <t>CLEAR</t>
        </is>
      </c>
    </row>
    <row r="97" ht="17" customHeight="1">
      <c r="A97" s="82" t="n">
        <v>95</v>
      </c>
      <c r="B97" s="82" t="inlineStr">
        <is>
          <t>FTI</t>
        </is>
      </c>
      <c r="C97" s="82" t="inlineStr">
        <is>
          <t>TechnipFMC plc</t>
        </is>
      </c>
      <c r="D97" s="82" t="n">
        <v>1.36</v>
      </c>
      <c r="E97" s="208" t="inlineStr">
        <is>
          <t>Grey</t>
        </is>
      </c>
      <c r="F97" s="82" t="n">
        <v>0.68</v>
      </c>
      <c r="G97" s="82" t="inlineStr">
        <is>
          <t>Distress</t>
        </is>
      </c>
      <c r="H97" s="82" t="n">
        <v>1.06</v>
      </c>
      <c r="I97" s="82" t="inlineStr">
        <is>
          <t>Healthy</t>
        </is>
      </c>
      <c r="J97" s="82" t="n">
        <v>-0.99</v>
      </c>
      <c r="K97" s="82" t="n">
        <v>0.27</v>
      </c>
      <c r="L97" s="82" t="inlineStr">
        <is>
          <t>Healthy</t>
        </is>
      </c>
      <c r="M97" s="82" t="n">
        <v>8</v>
      </c>
      <c r="N97" s="82" t="inlineStr">
        <is>
          <t>Strong</t>
        </is>
      </c>
      <c r="O97" s="207" t="n">
        <v>-2.97</v>
      </c>
      <c r="P97" s="82" t="inlineStr">
        <is>
          <t>Lower Risk</t>
        </is>
      </c>
      <c r="Q97" s="82" t="n">
        <v>-0.32</v>
      </c>
      <c r="R97" s="82" t="n">
        <v>0.2866</v>
      </c>
      <c r="S97" s="82" t="n">
        <v>1.83</v>
      </c>
      <c r="T97" s="82" t="n">
        <v>0.1457</v>
      </c>
      <c r="U97" s="82" t="n">
        <v>0.0935</v>
      </c>
      <c r="V97" s="82" t="n">
        <v>0.1446</v>
      </c>
      <c r="W97" s="82" t="n">
        <v>11.75</v>
      </c>
      <c r="X97" s="82" t="n">
        <v>59.39</v>
      </c>
      <c r="Y97" s="82" t="n">
        <v>0</v>
      </c>
      <c r="Z97" s="82" t="inlineStr">
        <is>
          <t>CLEAR</t>
        </is>
      </c>
    </row>
    <row r="98" ht="17" customHeight="1">
      <c r="A98" s="86" t="n">
        <v>96</v>
      </c>
      <c r="B98" s="86" t="inlineStr">
        <is>
          <t>STZ</t>
        </is>
      </c>
      <c r="C98" s="86" t="inlineStr">
        <is>
          <t>CONSTELLATION BRANDS, INC.</t>
        </is>
      </c>
      <c r="D98" s="86" t="n">
        <v>1.59</v>
      </c>
      <c r="E98" s="208" t="inlineStr">
        <is>
          <t>Grey</t>
        </is>
      </c>
      <c r="F98" s="86" t="n">
        <v>3.55</v>
      </c>
      <c r="G98" s="86" t="inlineStr">
        <is>
          <t>Safe</t>
        </is>
      </c>
      <c r="H98" s="86" t="n">
        <v>1.14</v>
      </c>
      <c r="I98" s="86" t="inlineStr">
        <is>
          <t>Healthy</t>
        </is>
      </c>
      <c r="J98" s="86" t="n">
        <v>-1.18</v>
      </c>
      <c r="K98" s="86" t="n">
        <v>0.24</v>
      </c>
      <c r="L98" s="86" t="inlineStr">
        <is>
          <t>Healthy</t>
        </is>
      </c>
      <c r="M98" s="86" t="n">
        <v>9</v>
      </c>
      <c r="N98" s="86" t="inlineStr">
        <is>
          <t>Strong</t>
        </is>
      </c>
      <c r="O98" s="207" t="n">
        <v>-0.01</v>
      </c>
      <c r="P98" s="86" t="inlineStr">
        <is>
          <t>Higher Risk</t>
        </is>
      </c>
      <c r="Q98" s="86" t="n">
        <v>3.25</v>
      </c>
      <c r="R98" s="86" t="n">
        <v>0.2087</v>
      </c>
      <c r="S98" s="86" t="n">
        <v>1.58</v>
      </c>
      <c r="T98" s="86" t="n">
        <v>0.1963</v>
      </c>
      <c r="U98" s="86" t="n">
        <v>3.7594</v>
      </c>
      <c r="V98" s="86" t="n">
        <v>0.2978</v>
      </c>
      <c r="W98" s="86" t="n">
        <v>7.18</v>
      </c>
      <c r="X98" s="86" t="n">
        <v>59.35</v>
      </c>
      <c r="Y98" s="86" t="n">
        <v>20</v>
      </c>
      <c r="Z98" s="86" t="inlineStr">
        <is>
          <t>CLEAR</t>
        </is>
      </c>
    </row>
    <row r="99" ht="17" customHeight="1">
      <c r="A99" s="82" t="n">
        <v>97</v>
      </c>
      <c r="B99" s="82" t="inlineStr">
        <is>
          <t>SLAB</t>
        </is>
      </c>
      <c r="C99" s="82" t="inlineStr">
        <is>
          <t>SILICON LABORATORIES INC.</t>
        </is>
      </c>
      <c r="D99" s="82" t="n">
        <v>3.77</v>
      </c>
      <c r="E99" s="206" t="inlineStr">
        <is>
          <t>Safe</t>
        </is>
      </c>
      <c r="F99" s="82" t="n">
        <v>11.34</v>
      </c>
      <c r="G99" s="82" t="inlineStr">
        <is>
          <t>Safe</t>
        </is>
      </c>
      <c r="H99" s="82" t="n">
        <v>0.15</v>
      </c>
      <c r="I99" s="82" t="inlineStr">
        <is>
          <t>Distress</t>
        </is>
      </c>
      <c r="J99" s="82" t="n">
        <v>-3.3</v>
      </c>
      <c r="K99" s="82" t="n">
        <v>0.04</v>
      </c>
      <c r="L99" s="82" t="inlineStr">
        <is>
          <t>Healthy</t>
        </is>
      </c>
      <c r="M99" s="82" t="n">
        <v>5</v>
      </c>
      <c r="N99" s="82" t="inlineStr">
        <is>
          <t>Mixed</t>
        </is>
      </c>
      <c r="O99" s="207" t="n">
        <v>-3.31</v>
      </c>
      <c r="P99" s="82" t="inlineStr">
        <is>
          <t>Lower Risk</t>
        </is>
      </c>
      <c r="Q99" s="82" t="n">
        <v>6.37</v>
      </c>
      <c r="R99" s="82" t="n">
        <v>-0.0593</v>
      </c>
      <c r="S99" s="82" t="n">
        <v>-1.47</v>
      </c>
      <c r="T99" s="82" t="n">
        <v>0.1338</v>
      </c>
      <c r="U99" s="82" t="n">
        <v>-0.0035</v>
      </c>
      <c r="V99" s="82" t="n">
        <v>-0.1435</v>
      </c>
      <c r="W99" s="82" t="n">
        <v>-12.7</v>
      </c>
      <c r="X99" s="82" t="n">
        <v>59.3</v>
      </c>
      <c r="Y99" s="82" t="n">
        <v>40</v>
      </c>
      <c r="Z99" s="82" t="inlineStr">
        <is>
          <t>WATCH</t>
        </is>
      </c>
    </row>
    <row r="100" ht="17" customHeight="1">
      <c r="A100" s="86" t="n">
        <v>98</v>
      </c>
      <c r="B100" s="86" t="inlineStr">
        <is>
          <t>MOS</t>
        </is>
      </c>
      <c r="C100" s="86" t="inlineStr">
        <is>
          <t>MOSAIC CO</t>
        </is>
      </c>
      <c r="D100" s="86" t="n">
        <v>1.33</v>
      </c>
      <c r="E100" s="208" t="inlineStr">
        <is>
          <t>Grey</t>
        </is>
      </c>
      <c r="F100" s="86" t="n">
        <v>2.97</v>
      </c>
      <c r="G100" s="86" t="inlineStr">
        <is>
          <t>Safe</t>
        </is>
      </c>
      <c r="H100" s="86" t="n">
        <v>0.55</v>
      </c>
      <c r="I100" s="86" t="inlineStr">
        <is>
          <t>Distress</t>
        </is>
      </c>
      <c r="J100" s="86" t="n">
        <v>1.25</v>
      </c>
      <c r="K100" s="86" t="n">
        <v>0.78</v>
      </c>
      <c r="L100" s="86" t="inlineStr">
        <is>
          <t>Distress</t>
        </is>
      </c>
      <c r="M100" s="86" t="n">
        <v>8</v>
      </c>
      <c r="N100" s="86" t="inlineStr">
        <is>
          <t>Strong</t>
        </is>
      </c>
      <c r="O100" s="207" t="n">
        <v>-2.76</v>
      </c>
      <c r="P100" s="86" t="inlineStr">
        <is>
          <t>Lower Risk</t>
        </is>
      </c>
      <c r="Q100" s="86" t="n">
        <v>1.9</v>
      </c>
      <c r="R100" s="86" t="n">
        <v>0.0447</v>
      </c>
      <c r="S100" s="86" t="n">
        <v>1.53</v>
      </c>
      <c r="T100" s="86" t="n">
        <v>-0.0444</v>
      </c>
      <c r="U100" s="86" t="n">
        <v>0.08359999999999999</v>
      </c>
      <c r="V100" s="86" t="n">
        <v>0.0682</v>
      </c>
      <c r="W100" s="86" t="n">
        <v>3.4</v>
      </c>
      <c r="X100" s="86" t="n">
        <v>59.27</v>
      </c>
      <c r="Y100" s="86" t="n">
        <v>0</v>
      </c>
      <c r="Z100" s="86" t="inlineStr">
        <is>
          <t>CLEAR</t>
        </is>
      </c>
    </row>
    <row r="101" ht="17" customHeight="1">
      <c r="A101" s="82" t="n">
        <v>99</v>
      </c>
      <c r="B101" s="82" t="inlineStr">
        <is>
          <t>SPSC</t>
        </is>
      </c>
      <c r="C101" s="82" t="inlineStr">
        <is>
          <t>SPS COMMERCE, INC.</t>
        </is>
      </c>
      <c r="D101" s="82" t="n">
        <v>3.01</v>
      </c>
      <c r="E101" s="206" t="inlineStr">
        <is>
          <t>Safe</t>
        </is>
      </c>
      <c r="F101" s="82" t="n">
        <v>8.109999999999999</v>
      </c>
      <c r="G101" s="82" t="inlineStr">
        <is>
          <t>Safe</t>
        </is>
      </c>
      <c r="H101" s="82" t="n">
        <v>1.07</v>
      </c>
      <c r="I101" s="82" t="inlineStr">
        <is>
          <t>Healthy</t>
        </is>
      </c>
      <c r="J101" s="82" t="n">
        <v>-3.74</v>
      </c>
      <c r="K101" s="82" t="n">
        <v>0.02</v>
      </c>
      <c r="L101" s="82" t="inlineStr">
        <is>
          <t>Healthy</t>
        </is>
      </c>
      <c r="M101" s="82" t="n">
        <v>7</v>
      </c>
      <c r="N101" s="82" t="inlineStr">
        <is>
          <t>Strong</t>
        </is>
      </c>
      <c r="O101" s="207" t="n">
        <v>0.25</v>
      </c>
      <c r="P101" s="82" t="inlineStr">
        <is>
          <t>Higher Risk</t>
        </is>
      </c>
      <c r="Q101" s="82" t="n">
        <v>-1.09</v>
      </c>
      <c r="R101" s="82" t="n">
        <v>0.0958</v>
      </c>
      <c r="S101" s="82" t="n">
        <v>1.92</v>
      </c>
      <c r="T101" s="82" t="n">
        <v>0.6903</v>
      </c>
      <c r="U101" s="82" t="n">
        <v>2.7898</v>
      </c>
      <c r="V101" s="82" t="n">
        <v>0.5364</v>
      </c>
      <c r="W101" s="82" t="n">
        <v>4381.59</v>
      </c>
      <c r="X101" s="82" t="n">
        <v>59.26</v>
      </c>
      <c r="Y101" s="82" t="n">
        <v>20</v>
      </c>
      <c r="Z101" s="82" t="inlineStr">
        <is>
          <t>CLEAR</t>
        </is>
      </c>
    </row>
    <row r="102" ht="17" customHeight="1">
      <c r="A102" s="86" t="n">
        <v>100</v>
      </c>
      <c r="B102" s="86" t="inlineStr">
        <is>
          <t>TRU</t>
        </is>
      </c>
      <c r="C102" s="86" t="inlineStr">
        <is>
          <t>TransUnion</t>
        </is>
      </c>
      <c r="D102" s="86" t="n">
        <v>1.2</v>
      </c>
      <c r="E102" s="207" t="inlineStr">
        <is>
          <t>Distress</t>
        </is>
      </c>
      <c r="F102" s="86" t="n">
        <v>2.54</v>
      </c>
      <c r="G102" s="86" t="inlineStr">
        <is>
          <t>Grey</t>
        </is>
      </c>
      <c r="H102" s="86" t="n">
        <v>0.85</v>
      </c>
      <c r="I102" s="86" t="inlineStr">
        <is>
          <t>Distress</t>
        </is>
      </c>
      <c r="J102" s="86" t="n">
        <v>-1.16</v>
      </c>
      <c r="K102" s="86" t="n">
        <v>0.24</v>
      </c>
      <c r="L102" s="86" t="inlineStr">
        <is>
          <t>Healthy</t>
        </is>
      </c>
      <c r="M102" s="86" t="n">
        <v>8</v>
      </c>
      <c r="N102" s="86" t="inlineStr">
        <is>
          <t>Strong</t>
        </is>
      </c>
      <c r="O102" s="207" t="n">
        <v>-2.58</v>
      </c>
      <c r="P102" s="86" t="inlineStr">
        <is>
          <t>Lower Risk</t>
        </is>
      </c>
      <c r="Q102" s="86" t="n">
        <v>2.97</v>
      </c>
      <c r="R102" s="86" t="n">
        <v>0.1026</v>
      </c>
      <c r="S102" s="86" t="n">
        <v>2.17</v>
      </c>
      <c r="T102" s="86" t="n">
        <v>0.1446</v>
      </c>
      <c r="U102" s="86" t="n">
        <v>0.09379999999999999</v>
      </c>
      <c r="V102" s="86" t="n">
        <v>0.1874</v>
      </c>
      <c r="W102" s="86" t="n">
        <v>2.98</v>
      </c>
      <c r="X102" s="86" t="n">
        <v>59.26</v>
      </c>
      <c r="Y102" s="86" t="n">
        <v>0</v>
      </c>
      <c r="Z102" s="86" t="inlineStr">
        <is>
          <t>CLEAR</t>
        </is>
      </c>
    </row>
    <row r="103" ht="17" customHeight="1">
      <c r="A103" s="82" t="n">
        <v>101</v>
      </c>
      <c r="B103" s="82" t="inlineStr">
        <is>
          <t>CPB</t>
        </is>
      </c>
      <c r="C103" s="82" t="inlineStr">
        <is>
          <t>THE CAMPBELL'S COMPANY</t>
        </is>
      </c>
      <c r="D103" s="82" t="n">
        <v>1.3</v>
      </c>
      <c r="E103" s="208" t="inlineStr">
        <is>
          <t>Grey</t>
        </is>
      </c>
      <c r="F103" s="82" t="n">
        <v>1.61</v>
      </c>
      <c r="G103" s="82" t="inlineStr">
        <is>
          <t>Grey</t>
        </is>
      </c>
      <c r="H103" s="82" t="n">
        <v>0.64</v>
      </c>
      <c r="I103" s="82" t="inlineStr">
        <is>
          <t>Distress</t>
        </is>
      </c>
      <c r="J103" s="82" t="n">
        <v>-0.32</v>
      </c>
      <c r="K103" s="82" t="n">
        <v>0.42</v>
      </c>
      <c r="L103" s="82" t="inlineStr">
        <is>
          <t>Healthy</t>
        </is>
      </c>
      <c r="M103" s="82" t="n">
        <v>8</v>
      </c>
      <c r="N103" s="82" t="inlineStr">
        <is>
          <t>Strong</t>
        </is>
      </c>
      <c r="O103" s="207" t="n">
        <v>-2.75</v>
      </c>
      <c r="P103" s="82" t="inlineStr">
        <is>
          <t>Lower Risk</t>
        </is>
      </c>
      <c r="Q103" s="82" t="n">
        <v>5.43</v>
      </c>
      <c r="R103" s="82" t="n">
        <v>0.1543</v>
      </c>
      <c r="S103" s="82" t="n">
        <v>1.88</v>
      </c>
      <c r="T103" s="82" t="n">
        <v>0.0688</v>
      </c>
      <c r="U103" s="82" t="n">
        <v>0.064</v>
      </c>
      <c r="V103" s="82" t="n">
        <v>0.1096</v>
      </c>
      <c r="W103" s="82" t="n">
        <v>3.26</v>
      </c>
      <c r="X103" s="82" t="n">
        <v>59.18</v>
      </c>
      <c r="Y103" s="82" t="n">
        <v>0</v>
      </c>
      <c r="Z103" s="82" t="inlineStr">
        <is>
          <t>CLEAR</t>
        </is>
      </c>
    </row>
    <row r="104" ht="17" customHeight="1">
      <c r="A104" s="86" t="n">
        <v>102</v>
      </c>
      <c r="B104" s="86" t="inlineStr">
        <is>
          <t>GOOG</t>
        </is>
      </c>
      <c r="C104" s="86" t="inlineStr">
        <is>
          <t>ALPHABET INC.</t>
        </is>
      </c>
      <c r="D104" s="86" t="n">
        <v>2.9</v>
      </c>
      <c r="E104" s="206" t="inlineStr">
        <is>
          <t>Safe</t>
        </is>
      </c>
      <c r="F104" s="86" t="n">
        <v>6.79</v>
      </c>
      <c r="G104" s="86" t="inlineStr">
        <is>
          <t>Safe</t>
        </is>
      </c>
      <c r="H104" s="86" t="n">
        <v>2.14</v>
      </c>
      <c r="I104" s="86" t="inlineStr">
        <is>
          <t>Healthy</t>
        </is>
      </c>
      <c r="J104" s="86" t="n">
        <v>-3.61</v>
      </c>
      <c r="K104" s="86" t="n">
        <v>0.03</v>
      </c>
      <c r="L104" s="86" t="inlineStr">
        <is>
          <t>Healthy</t>
        </is>
      </c>
      <c r="M104" s="86" t="n">
        <v>6</v>
      </c>
      <c r="N104" s="86" t="inlineStr">
        <is>
          <t>Mixed</t>
        </is>
      </c>
      <c r="O104" s="207" t="n">
        <v>-2.74</v>
      </c>
      <c r="P104" s="86" t="inlineStr">
        <is>
          <t>Lower Risk</t>
        </is>
      </c>
      <c r="Q104" s="86" t="n">
        <v>0.12</v>
      </c>
      <c r="R104" s="86" t="n">
        <v>0.3183</v>
      </c>
      <c r="S104" s="86" t="n">
        <v>1.25</v>
      </c>
      <c r="T104" s="86" t="n">
        <v>0.1819</v>
      </c>
      <c r="U104" s="86" t="n">
        <v>0.1509</v>
      </c>
      <c r="V104" s="86" t="n">
        <v>0.3203</v>
      </c>
      <c r="W104" s="86" t="n">
        <v>418.96</v>
      </c>
      <c r="X104" s="86" t="n">
        <v>59.18</v>
      </c>
      <c r="Y104" s="86" t="n">
        <v>0</v>
      </c>
      <c r="Z104" s="86" t="inlineStr">
        <is>
          <t>CLEAR</t>
        </is>
      </c>
    </row>
    <row r="105" ht="17" customHeight="1">
      <c r="A105" s="82" t="n">
        <v>103</v>
      </c>
      <c r="B105" s="82" t="inlineStr">
        <is>
          <t>GOOGL</t>
        </is>
      </c>
      <c r="C105" s="82" t="inlineStr">
        <is>
          <t>ALPHABET INC.</t>
        </is>
      </c>
      <c r="D105" s="82" t="n">
        <v>2.9</v>
      </c>
      <c r="E105" s="206" t="inlineStr">
        <is>
          <t>Safe</t>
        </is>
      </c>
      <c r="F105" s="82" t="n">
        <v>6.79</v>
      </c>
      <c r="G105" s="82" t="inlineStr">
        <is>
          <t>Safe</t>
        </is>
      </c>
      <c r="H105" s="82" t="n">
        <v>2.14</v>
      </c>
      <c r="I105" s="82" t="inlineStr">
        <is>
          <t>Healthy</t>
        </is>
      </c>
      <c r="J105" s="82" t="n">
        <v>-3.61</v>
      </c>
      <c r="K105" s="82" t="n">
        <v>0.03</v>
      </c>
      <c r="L105" s="82" t="inlineStr">
        <is>
          <t>Healthy</t>
        </is>
      </c>
      <c r="M105" s="82" t="n">
        <v>6</v>
      </c>
      <c r="N105" s="82" t="inlineStr">
        <is>
          <t>Mixed</t>
        </is>
      </c>
      <c r="O105" s="207" t="n">
        <v>-2.74</v>
      </c>
      <c r="P105" s="82" t="inlineStr">
        <is>
          <t>Lower Risk</t>
        </is>
      </c>
      <c r="Q105" s="82" t="n">
        <v>0.12</v>
      </c>
      <c r="R105" s="82" t="n">
        <v>0.3183</v>
      </c>
      <c r="S105" s="82" t="n">
        <v>1.25</v>
      </c>
      <c r="T105" s="82" t="n">
        <v>0.1819</v>
      </c>
      <c r="U105" s="82" t="n">
        <v>0.1509</v>
      </c>
      <c r="V105" s="82" t="n">
        <v>0.3203</v>
      </c>
      <c r="W105" s="82" t="n">
        <v>418.96</v>
      </c>
      <c r="X105" s="82" t="n">
        <v>59.18</v>
      </c>
      <c r="Y105" s="82" t="n">
        <v>0</v>
      </c>
      <c r="Z105" s="82" t="inlineStr">
        <is>
          <t>CLEAR</t>
        </is>
      </c>
    </row>
    <row r="106" ht="17" customHeight="1">
      <c r="A106" s="86" t="n">
        <v>104</v>
      </c>
      <c r="B106" s="86" t="inlineStr">
        <is>
          <t>RRC</t>
        </is>
      </c>
      <c r="C106" s="86" t="inlineStr">
        <is>
          <t>RANGE RESOURCES CORPORATION</t>
        </is>
      </c>
      <c r="D106" s="90" t="inlineStr">
        <is>
          <t>N/A</t>
        </is>
      </c>
      <c r="E106" s="90" t="inlineStr">
        <is>
          <t>N/A</t>
        </is>
      </c>
      <c r="F106" s="90" t="inlineStr">
        <is>
          <t>N/A</t>
        </is>
      </c>
      <c r="G106" s="90" t="inlineStr">
        <is>
          <t>N/A</t>
        </is>
      </c>
      <c r="H106" s="90" t="inlineStr">
        <is>
          <t>N/A</t>
        </is>
      </c>
      <c r="I106" s="90" t="inlineStr">
        <is>
          <t>N/A</t>
        </is>
      </c>
      <c r="J106" s="86" t="n">
        <v>-2.36</v>
      </c>
      <c r="K106" s="86" t="n">
        <v>0.09</v>
      </c>
      <c r="L106" s="86" t="inlineStr">
        <is>
          <t>Healthy</t>
        </is>
      </c>
      <c r="M106" s="86" t="n">
        <v>8</v>
      </c>
      <c r="N106" s="86" t="inlineStr">
        <is>
          <t>Strong</t>
        </is>
      </c>
      <c r="O106" s="207" t="n">
        <v>-2.65</v>
      </c>
      <c r="P106" s="86" t="inlineStr">
        <is>
          <t>Lower Risk</t>
        </is>
      </c>
      <c r="Q106" s="90" t="inlineStr">
        <is>
          <t>N/A</t>
        </is>
      </c>
      <c r="R106" s="86" t="n">
        <v>0.1524</v>
      </c>
      <c r="S106" s="86" t="n">
        <v>1.78</v>
      </c>
      <c r="T106" s="86" t="n">
        <v>0.3755</v>
      </c>
      <c r="U106" s="86" t="n">
        <v>0.289</v>
      </c>
      <c r="V106" s="90" t="inlineStr">
        <is>
          <t>N/A</t>
        </is>
      </c>
      <c r="W106" s="90" t="inlineStr">
        <is>
          <t>N/A</t>
        </is>
      </c>
      <c r="X106" s="86" t="n">
        <v>59.18</v>
      </c>
      <c r="Y106" s="86" t="n">
        <v>0</v>
      </c>
      <c r="Z106" s="86" t="inlineStr">
        <is>
          <t>CLEAR</t>
        </is>
      </c>
    </row>
    <row r="107" ht="17" customHeight="1">
      <c r="A107" s="82" t="n">
        <v>105</v>
      </c>
      <c r="B107" s="82" t="inlineStr">
        <is>
          <t>BIIB</t>
        </is>
      </c>
      <c r="C107" s="82" t="inlineStr">
        <is>
          <t>BIOGEN INC.</t>
        </is>
      </c>
      <c r="D107" s="82" t="n">
        <v>1.92</v>
      </c>
      <c r="E107" s="208" t="inlineStr">
        <is>
          <t>Grey</t>
        </is>
      </c>
      <c r="F107" s="82" t="n">
        <v>5.57</v>
      </c>
      <c r="G107" s="82" t="inlineStr">
        <is>
          <t>Safe</t>
        </is>
      </c>
      <c r="H107" s="82" t="n">
        <v>0.93</v>
      </c>
      <c r="I107" s="82" t="inlineStr">
        <is>
          <t>Healthy</t>
        </is>
      </c>
      <c r="J107" s="82" t="n">
        <v>-2.37</v>
      </c>
      <c r="K107" s="82" t="n">
        <v>0.09</v>
      </c>
      <c r="L107" s="82" t="inlineStr">
        <is>
          <t>Healthy</t>
        </is>
      </c>
      <c r="M107" s="82" t="n">
        <v>7</v>
      </c>
      <c r="N107" s="82" t="inlineStr">
        <is>
          <t>Strong</t>
        </is>
      </c>
      <c r="O107" s="207" t="n">
        <v>-3.08</v>
      </c>
      <c r="P107" s="82" t="inlineStr">
        <is>
          <t>Lower Risk</t>
        </is>
      </c>
      <c r="Q107" s="82" t="n">
        <v>1.05</v>
      </c>
      <c r="R107" s="82" t="n">
        <v>0.08740000000000001</v>
      </c>
      <c r="S107" s="82" t="n">
        <v>1.71</v>
      </c>
      <c r="T107" s="82" t="n">
        <v>0.2073</v>
      </c>
      <c r="U107" s="82" t="n">
        <v>0.0222</v>
      </c>
      <c r="V107" s="82" t="n">
        <v>0.2872</v>
      </c>
      <c r="W107" s="82" t="n">
        <v>10.62</v>
      </c>
      <c r="X107" s="82" t="n">
        <v>59.16</v>
      </c>
      <c r="Y107" s="82" t="n">
        <v>0</v>
      </c>
      <c r="Z107" s="82" t="inlineStr">
        <is>
          <t>CLEAR</t>
        </is>
      </c>
    </row>
    <row r="108" ht="17" customHeight="1">
      <c r="A108" s="86" t="n">
        <v>106</v>
      </c>
      <c r="B108" s="86" t="inlineStr">
        <is>
          <t>STLD</t>
        </is>
      </c>
      <c r="C108" s="86" t="inlineStr">
        <is>
          <t>Steel Dynamics, Inc.</t>
        </is>
      </c>
      <c r="D108" s="86" t="n">
        <v>3.13</v>
      </c>
      <c r="E108" s="206" t="inlineStr">
        <is>
          <t>Safe</t>
        </is>
      </c>
      <c r="F108" s="86" t="n">
        <v>6.72</v>
      </c>
      <c r="G108" s="86" t="inlineStr">
        <is>
          <t>Safe</t>
        </is>
      </c>
      <c r="H108" s="86" t="n">
        <v>1.56</v>
      </c>
      <c r="I108" s="86" t="inlineStr">
        <is>
          <t>Healthy</t>
        </is>
      </c>
      <c r="J108" s="86" t="n">
        <v>-2.06</v>
      </c>
      <c r="K108" s="86" t="n">
        <v>0.11</v>
      </c>
      <c r="L108" s="86" t="inlineStr">
        <is>
          <t>Healthy</t>
        </is>
      </c>
      <c r="M108" s="86" t="n">
        <v>6</v>
      </c>
      <c r="N108" s="86" t="inlineStr">
        <is>
          <t>Mixed</t>
        </is>
      </c>
      <c r="O108" s="207" t="n">
        <v>-2.36</v>
      </c>
      <c r="P108" s="86" t="inlineStr">
        <is>
          <t>Lower Risk</t>
        </is>
      </c>
      <c r="Q108" s="86" t="n">
        <v>2.03</v>
      </c>
      <c r="R108" s="86" t="n">
        <v>0.1324</v>
      </c>
      <c r="S108" s="86" t="n">
        <v>1.22</v>
      </c>
      <c r="T108" s="86" t="n">
        <v>0.0225</v>
      </c>
      <c r="U108" s="86" t="n">
        <v>0.2092</v>
      </c>
      <c r="V108" s="86" t="n">
        <v>0.0663</v>
      </c>
      <c r="W108" s="86" t="n">
        <v>19.3</v>
      </c>
      <c r="X108" s="86" t="n">
        <v>59.07</v>
      </c>
      <c r="Y108" s="86" t="n">
        <v>0</v>
      </c>
      <c r="Z108" s="86" t="inlineStr">
        <is>
          <t>CLEAR</t>
        </is>
      </c>
    </row>
    <row r="109" ht="17" customHeight="1">
      <c r="A109" s="82" t="n">
        <v>107</v>
      </c>
      <c r="B109" s="82" t="inlineStr">
        <is>
          <t>GRMN</t>
        </is>
      </c>
      <c r="C109" s="82" t="inlineStr">
        <is>
          <t>GARMIN LTD</t>
        </is>
      </c>
      <c r="D109" s="82" t="n">
        <v>2.36</v>
      </c>
      <c r="E109" s="208" t="inlineStr">
        <is>
          <t>Grey</t>
        </is>
      </c>
      <c r="F109" s="82" t="n">
        <v>6.77</v>
      </c>
      <c r="G109" s="82" t="inlineStr">
        <is>
          <t>Safe</t>
        </is>
      </c>
      <c r="H109" s="82" t="n">
        <v>1.98</v>
      </c>
      <c r="I109" s="82" t="inlineStr">
        <is>
          <t>Healthy</t>
        </is>
      </c>
      <c r="J109" s="82" t="n">
        <v>0.67</v>
      </c>
      <c r="K109" s="82" t="n">
        <v>0.66</v>
      </c>
      <c r="L109" s="82" t="inlineStr">
        <is>
          <t>Distress</t>
        </is>
      </c>
      <c r="M109" s="82" t="n">
        <v>7</v>
      </c>
      <c r="N109" s="82" t="inlineStr">
        <is>
          <t>Strong</t>
        </is>
      </c>
      <c r="O109" s="207" t="n">
        <v>-2.36</v>
      </c>
      <c r="P109" s="82" t="inlineStr">
        <is>
          <t>Lower Risk</t>
        </is>
      </c>
      <c r="Q109" s="82" t="n">
        <v>-1.12</v>
      </c>
      <c r="R109" s="82" t="n">
        <v>0.1854</v>
      </c>
      <c r="S109" s="82" t="n">
        <v>0.98</v>
      </c>
      <c r="T109" s="82" t="n">
        <v>0.1881</v>
      </c>
      <c r="U109" s="82" t="n">
        <v>0.1506</v>
      </c>
      <c r="V109" s="82" t="n">
        <v>0.2589</v>
      </c>
      <c r="W109" s="82" t="n">
        <v>1505.68</v>
      </c>
      <c r="X109" s="82" t="n">
        <v>58.99</v>
      </c>
      <c r="Y109" s="82" t="n">
        <v>0</v>
      </c>
      <c r="Z109" s="82" t="inlineStr">
        <is>
          <t>CLEAR</t>
        </is>
      </c>
    </row>
    <row r="110" ht="17" customHeight="1">
      <c r="A110" s="86" t="n">
        <v>108</v>
      </c>
      <c r="B110" s="86" t="inlineStr">
        <is>
          <t>RBC</t>
        </is>
      </c>
      <c r="C110" s="86" t="inlineStr">
        <is>
          <t>RBC BEARINGS INCORPORATED</t>
        </is>
      </c>
      <c r="D110" s="86" t="n">
        <v>1.8</v>
      </c>
      <c r="E110" s="208" t="inlineStr">
        <is>
          <t>Grey</t>
        </is>
      </c>
      <c r="F110" s="86" t="n">
        <v>4.49</v>
      </c>
      <c r="G110" s="86" t="inlineStr">
        <is>
          <t>Safe</t>
        </is>
      </c>
      <c r="H110" s="86" t="n">
        <v>0.97</v>
      </c>
      <c r="I110" s="86" t="inlineStr">
        <is>
          <t>Healthy</t>
        </is>
      </c>
      <c r="J110" s="86" t="n">
        <v>-2.63</v>
      </c>
      <c r="K110" s="86" t="n">
        <v>0.07000000000000001</v>
      </c>
      <c r="L110" s="86" t="inlineStr">
        <is>
          <t>Healthy</t>
        </is>
      </c>
      <c r="M110" s="86" t="n">
        <v>7</v>
      </c>
      <c r="N110" s="86" t="inlineStr">
        <is>
          <t>Strong</t>
        </is>
      </c>
      <c r="O110" s="207" t="n">
        <v>-2.51</v>
      </c>
      <c r="P110" s="86" t="inlineStr">
        <is>
          <t>Lower Risk</t>
        </is>
      </c>
      <c r="Q110" s="86" t="n">
        <v>1.49</v>
      </c>
      <c r="R110" s="86" t="n">
        <v>0.0856</v>
      </c>
      <c r="S110" s="86" t="n">
        <v>1.45</v>
      </c>
      <c r="T110" s="86" t="n">
        <v>0.1997</v>
      </c>
      <c r="U110" s="86" t="n">
        <v>0.1434</v>
      </c>
      <c r="V110" s="86" t="n">
        <v>0.225</v>
      </c>
      <c r="W110" s="86" t="n">
        <v>-8.449999999999999</v>
      </c>
      <c r="X110" s="86" t="n">
        <v>58.95</v>
      </c>
      <c r="Y110" s="86" t="n">
        <v>0</v>
      </c>
      <c r="Z110" s="86" t="inlineStr">
        <is>
          <t>CLEAR</t>
        </is>
      </c>
    </row>
    <row r="111" ht="17" customHeight="1">
      <c r="A111" s="82" t="n">
        <v>109</v>
      </c>
      <c r="B111" s="82" t="inlineStr">
        <is>
          <t>ITW</t>
        </is>
      </c>
      <c r="C111" s="82" t="inlineStr">
        <is>
          <t>ILLINOIS TOOL WORKS INC</t>
        </is>
      </c>
      <c r="D111" s="82" t="n">
        <v>3.44</v>
      </c>
      <c r="E111" s="206" t="inlineStr">
        <is>
          <t>Safe</t>
        </is>
      </c>
      <c r="F111" s="82" t="n">
        <v>8.49</v>
      </c>
      <c r="G111" s="82" t="inlineStr">
        <is>
          <t>Safe</t>
        </is>
      </c>
      <c r="H111" s="82" t="n">
        <v>1.54</v>
      </c>
      <c r="I111" s="82" t="inlineStr">
        <is>
          <t>Healthy</t>
        </is>
      </c>
      <c r="J111" s="82" t="n">
        <v>0.49</v>
      </c>
      <c r="K111" s="82" t="n">
        <v>0.62</v>
      </c>
      <c r="L111" s="82" t="inlineStr">
        <is>
          <t>Distress</t>
        </is>
      </c>
      <c r="M111" s="82" t="n">
        <v>6</v>
      </c>
      <c r="N111" s="82" t="inlineStr">
        <is>
          <t>Mixed</t>
        </is>
      </c>
      <c r="O111" s="207" t="n">
        <v>-2.84</v>
      </c>
      <c r="P111" s="82" t="inlineStr">
        <is>
          <t>Lower Risk</t>
        </is>
      </c>
      <c r="Q111" s="82" t="n">
        <v>1.51</v>
      </c>
      <c r="R111" s="82" t="n">
        <v>0.9504</v>
      </c>
      <c r="S111" s="82" t="n">
        <v>1.02</v>
      </c>
      <c r="T111" s="82" t="n">
        <v>0.1833</v>
      </c>
      <c r="U111" s="82" t="n">
        <v>3.1251</v>
      </c>
      <c r="V111" s="82" t="n">
        <v>0.2855</v>
      </c>
      <c r="W111" s="82" t="n">
        <v>15.85</v>
      </c>
      <c r="X111" s="82" t="n">
        <v>58.86</v>
      </c>
      <c r="Y111" s="82" t="n">
        <v>0</v>
      </c>
      <c r="Z111" s="82" t="inlineStr">
        <is>
          <t>CLEAR</t>
        </is>
      </c>
    </row>
    <row r="112" ht="17" customHeight="1">
      <c r="A112" s="86" t="n">
        <v>110</v>
      </c>
      <c r="B112" s="86" t="inlineStr">
        <is>
          <t>VRSK</t>
        </is>
      </c>
      <c r="C112" s="86" t="inlineStr">
        <is>
          <t>Verisk Analytics, Inc.</t>
        </is>
      </c>
      <c r="D112" s="86" t="n">
        <v>2.31</v>
      </c>
      <c r="E112" s="208" t="inlineStr">
        <is>
          <t>Grey</t>
        </is>
      </c>
      <c r="F112" s="86" t="n">
        <v>6.12</v>
      </c>
      <c r="G112" s="86" t="inlineStr">
        <is>
          <t>Safe</t>
        </is>
      </c>
      <c r="H112" s="86" t="n">
        <v>1.28</v>
      </c>
      <c r="I112" s="86" t="inlineStr">
        <is>
          <t>Healthy</t>
        </is>
      </c>
      <c r="J112" s="86" t="n">
        <v>0.4</v>
      </c>
      <c r="K112" s="86" t="n">
        <v>0.6</v>
      </c>
      <c r="L112" s="86" t="inlineStr">
        <is>
          <t>Distress</t>
        </is>
      </c>
      <c r="M112" s="86" t="n">
        <v>7</v>
      </c>
      <c r="N112" s="86" t="inlineStr">
        <is>
          <t>Strong</t>
        </is>
      </c>
      <c r="O112" s="207" t="n">
        <v>-3.03</v>
      </c>
      <c r="P112" s="86" t="inlineStr">
        <is>
          <t>Lower Risk</t>
        </is>
      </c>
      <c r="Q112" s="86" t="n">
        <v>1.62</v>
      </c>
      <c r="R112" s="86" t="n">
        <v>2.9395</v>
      </c>
      <c r="S112" s="86" t="n">
        <v>1.58</v>
      </c>
      <c r="T112" s="86" t="n">
        <v>0.3879</v>
      </c>
      <c r="U112" s="86" t="n">
        <v>0.0663</v>
      </c>
      <c r="V112" s="86" t="n">
        <v>0.4374</v>
      </c>
      <c r="W112" s="86" t="n">
        <v>11.64</v>
      </c>
      <c r="X112" s="86" t="n">
        <v>58.82</v>
      </c>
      <c r="Y112" s="86" t="n">
        <v>0</v>
      </c>
      <c r="Z112" s="86" t="inlineStr">
        <is>
          <t>CLEAR</t>
        </is>
      </c>
    </row>
    <row r="113" ht="17" customHeight="1">
      <c r="A113" s="82" t="n">
        <v>111</v>
      </c>
      <c r="B113" s="82" t="inlineStr">
        <is>
          <t>CRS</t>
        </is>
      </c>
      <c r="C113" s="82" t="inlineStr">
        <is>
          <t>CARPENTER TECHNOLOGY CORPORATION</t>
        </is>
      </c>
      <c r="D113" s="82" t="n">
        <v>2.26</v>
      </c>
      <c r="E113" s="208" t="inlineStr">
        <is>
          <t>Grey</t>
        </is>
      </c>
      <c r="F113" s="82" t="n">
        <v>6.25</v>
      </c>
      <c r="G113" s="82" t="inlineStr">
        <is>
          <t>Safe</t>
        </is>
      </c>
      <c r="H113" s="82" t="n">
        <v>1.72</v>
      </c>
      <c r="I113" s="82" t="inlineStr">
        <is>
          <t>Healthy</t>
        </is>
      </c>
      <c r="J113" s="82" t="n">
        <v>-2.2</v>
      </c>
      <c r="K113" s="82" t="n">
        <v>0.1</v>
      </c>
      <c r="L113" s="82" t="inlineStr">
        <is>
          <t>Healthy</t>
        </is>
      </c>
      <c r="M113" s="82" t="n">
        <v>8</v>
      </c>
      <c r="N113" s="82" t="inlineStr">
        <is>
          <t>Strong</t>
        </is>
      </c>
      <c r="O113" s="207" t="n">
        <v>0.02</v>
      </c>
      <c r="P113" s="82" t="inlineStr">
        <is>
          <t>Higher Risk</t>
        </is>
      </c>
      <c r="Q113" s="82" t="n">
        <v>0.4</v>
      </c>
      <c r="R113" s="82" t="n">
        <v>0.1993</v>
      </c>
      <c r="S113" s="82" t="n">
        <v>1.17</v>
      </c>
      <c r="T113" s="82" t="n">
        <v>0.1326</v>
      </c>
      <c r="U113" s="82" t="n">
        <v>2.4914</v>
      </c>
      <c r="V113" s="82" t="n">
        <v>0.2418</v>
      </c>
      <c r="W113" s="82" t="n">
        <v>9.65</v>
      </c>
      <c r="X113" s="82" t="n">
        <v>58.76</v>
      </c>
      <c r="Y113" s="82" t="n">
        <v>20</v>
      </c>
      <c r="Z113" s="82" t="inlineStr">
        <is>
          <t>CLEAR</t>
        </is>
      </c>
    </row>
    <row r="114" ht="17" customHeight="1">
      <c r="A114" s="86" t="n">
        <v>112</v>
      </c>
      <c r="B114" s="86" t="inlineStr">
        <is>
          <t>AMD</t>
        </is>
      </c>
      <c r="C114" s="86" t="inlineStr">
        <is>
          <t>ADVANCED MICRO DEVICES INC</t>
        </is>
      </c>
      <c r="D114" s="86" t="n">
        <v>1.18</v>
      </c>
      <c r="E114" s="207" t="inlineStr">
        <is>
          <t>Distress</t>
        </is>
      </c>
      <c r="F114" s="86" t="n">
        <v>2.96</v>
      </c>
      <c r="G114" s="86" t="inlineStr">
        <is>
          <t>Safe</t>
        </is>
      </c>
      <c r="H114" s="86" t="n">
        <v>0.85</v>
      </c>
      <c r="I114" s="86" t="inlineStr">
        <is>
          <t>Distress</t>
        </is>
      </c>
      <c r="J114" s="86" t="n">
        <v>1.1</v>
      </c>
      <c r="K114" s="86" t="n">
        <v>0.75</v>
      </c>
      <c r="L114" s="86" t="inlineStr">
        <is>
          <t>Distress</t>
        </is>
      </c>
      <c r="M114" s="86" t="n">
        <v>8</v>
      </c>
      <c r="N114" s="86" t="inlineStr">
        <is>
          <t>Strong</t>
        </is>
      </c>
      <c r="O114" s="207" t="n">
        <v>-2.7</v>
      </c>
      <c r="P114" s="86" t="inlineStr">
        <is>
          <t>Lower Risk</t>
        </is>
      </c>
      <c r="Q114" s="86" t="n">
        <v>-1.42</v>
      </c>
      <c r="R114" s="86" t="n">
        <v>0.0688</v>
      </c>
      <c r="S114" s="86" t="n">
        <v>1.78</v>
      </c>
      <c r="T114" s="86" t="n">
        <v>0.1944</v>
      </c>
      <c r="U114" s="86" t="n">
        <v>0.3434</v>
      </c>
      <c r="V114" s="86" t="n">
        <v>0.1066</v>
      </c>
      <c r="W114" s="86" t="n">
        <v>28.2</v>
      </c>
      <c r="X114" s="86" t="n">
        <v>58.74</v>
      </c>
      <c r="Y114" s="86" t="n">
        <v>0</v>
      </c>
      <c r="Z114" s="86" t="inlineStr">
        <is>
          <t>CLEAR</t>
        </is>
      </c>
    </row>
    <row r="115" ht="17" customHeight="1">
      <c r="A115" s="82" t="n">
        <v>113</v>
      </c>
      <c r="B115" s="82" t="inlineStr">
        <is>
          <t>ADP</t>
        </is>
      </c>
      <c r="C115" s="82" t="inlineStr">
        <is>
          <t>AUTOMATIC DATA PROCESSING INC</t>
        </is>
      </c>
      <c r="D115" s="82" t="n">
        <v>1.18</v>
      </c>
      <c r="E115" s="207" t="inlineStr">
        <is>
          <t>Distress</t>
        </is>
      </c>
      <c r="F115" s="82" t="n">
        <v>2.59</v>
      </c>
      <c r="G115" s="82" t="inlineStr">
        <is>
          <t>Grey</t>
        </is>
      </c>
      <c r="H115" s="82" t="n">
        <v>0.58</v>
      </c>
      <c r="I115" s="82" t="inlineStr">
        <is>
          <t>Distress</t>
        </is>
      </c>
      <c r="J115" s="82" t="n">
        <v>0.34</v>
      </c>
      <c r="K115" s="82" t="n">
        <v>0.59</v>
      </c>
      <c r="L115" s="82" t="inlineStr">
        <is>
          <t>Distress</t>
        </is>
      </c>
      <c r="M115" s="82" t="n">
        <v>8</v>
      </c>
      <c r="N115" s="82" t="inlineStr">
        <is>
          <t>Strong</t>
        </is>
      </c>
      <c r="O115" s="207" t="n">
        <v>-2.29</v>
      </c>
      <c r="P115" s="82" t="inlineStr">
        <is>
          <t>Lower Risk</t>
        </is>
      </c>
      <c r="Q115" s="82" t="n">
        <v>-0.5600000000000001</v>
      </c>
      <c r="R115" s="82" t="n">
        <v>0.6593</v>
      </c>
      <c r="S115" s="82" t="n">
        <v>1.21</v>
      </c>
      <c r="T115" s="91" t="inlineStr">
        <is>
          <t>N/A</t>
        </is>
      </c>
      <c r="U115" s="82" t="n">
        <v>0.0707</v>
      </c>
      <c r="V115" s="82" t="n">
        <v>0.2583</v>
      </c>
      <c r="W115" s="82" t="n">
        <v>11.65</v>
      </c>
      <c r="X115" s="82" t="n">
        <v>58.73</v>
      </c>
      <c r="Y115" s="82" t="n">
        <v>0</v>
      </c>
      <c r="Z115" s="82" t="inlineStr">
        <is>
          <t>CLEAR</t>
        </is>
      </c>
    </row>
    <row r="116" ht="17" customHeight="1">
      <c r="A116" s="86" t="n">
        <v>114</v>
      </c>
      <c r="B116" s="86" t="inlineStr">
        <is>
          <t>PODD</t>
        </is>
      </c>
      <c r="C116" s="86" t="inlineStr">
        <is>
          <t>INSULET CORPORATION</t>
        </is>
      </c>
      <c r="D116" s="86" t="n">
        <v>2.04</v>
      </c>
      <c r="E116" s="208" t="inlineStr">
        <is>
          <t>Grey</t>
        </is>
      </c>
      <c r="F116" s="86" t="n">
        <v>4.78</v>
      </c>
      <c r="G116" s="86" t="inlineStr">
        <is>
          <t>Safe</t>
        </is>
      </c>
      <c r="H116" s="86" t="n">
        <v>1.52</v>
      </c>
      <c r="I116" s="86" t="inlineStr">
        <is>
          <t>Healthy</t>
        </is>
      </c>
      <c r="J116" s="86" t="n">
        <v>-1.69</v>
      </c>
      <c r="K116" s="86" t="n">
        <v>0.16</v>
      </c>
      <c r="L116" s="86" t="inlineStr">
        <is>
          <t>Healthy</t>
        </is>
      </c>
      <c r="M116" s="86" t="n">
        <v>7</v>
      </c>
      <c r="N116" s="86" t="inlineStr">
        <is>
          <t>Strong</t>
        </is>
      </c>
      <c r="O116" s="207" t="n">
        <v>-3.07</v>
      </c>
      <c r="P116" s="86" t="inlineStr">
        <is>
          <t>Lower Risk</t>
        </is>
      </c>
      <c r="Q116" s="86" t="n">
        <v>0.88</v>
      </c>
      <c r="R116" s="86" t="n">
        <v>0.1631</v>
      </c>
      <c r="S116" s="86" t="n">
        <v>2.3</v>
      </c>
      <c r="T116" s="86" t="n">
        <v>0.1395</v>
      </c>
      <c r="U116" s="86" t="n">
        <v>0.3073</v>
      </c>
      <c r="V116" s="86" t="n">
        <v>0.175</v>
      </c>
      <c r="W116" s="86" t="n">
        <v>13.09</v>
      </c>
      <c r="X116" s="86" t="n">
        <v>58.72</v>
      </c>
      <c r="Y116" s="86" t="n">
        <v>20</v>
      </c>
      <c r="Z116" s="86" t="inlineStr">
        <is>
          <t>CLEAR</t>
        </is>
      </c>
    </row>
    <row r="117" ht="17" customHeight="1">
      <c r="A117" s="82" t="n">
        <v>115</v>
      </c>
      <c r="B117" s="82" t="inlineStr">
        <is>
          <t>WAT</t>
        </is>
      </c>
      <c r="C117" s="82" t="inlineStr">
        <is>
          <t>Waters Corporation</t>
        </is>
      </c>
      <c r="D117" s="82" t="n">
        <v>3.41</v>
      </c>
      <c r="E117" s="206" t="inlineStr">
        <is>
          <t>Safe</t>
        </is>
      </c>
      <c r="F117" s="82" t="n">
        <v>10</v>
      </c>
      <c r="G117" s="82" t="inlineStr">
        <is>
          <t>Safe</t>
        </is>
      </c>
      <c r="H117" s="82" t="n">
        <v>1.32</v>
      </c>
      <c r="I117" s="82" t="inlineStr">
        <is>
          <t>Healthy</t>
        </is>
      </c>
      <c r="J117" s="82" t="n">
        <v>-2.09</v>
      </c>
      <c r="K117" s="82" t="n">
        <v>0.11</v>
      </c>
      <c r="L117" s="82" t="inlineStr">
        <is>
          <t>Healthy</t>
        </is>
      </c>
      <c r="M117" s="82" t="n">
        <v>7</v>
      </c>
      <c r="N117" s="82" t="inlineStr">
        <is>
          <t>Strong</t>
        </is>
      </c>
      <c r="O117" s="207" t="n">
        <v>-1.07</v>
      </c>
      <c r="P117" s="82" t="inlineStr">
        <is>
          <t>Higher Risk</t>
        </is>
      </c>
      <c r="Q117" s="82" t="n">
        <v>0.92</v>
      </c>
      <c r="R117" s="82" t="n">
        <v>0.2509</v>
      </c>
      <c r="S117" s="82" t="n">
        <v>1.02</v>
      </c>
      <c r="T117" s="82" t="n">
        <v>0.1705</v>
      </c>
      <c r="U117" s="82" t="n">
        <v>2.3949</v>
      </c>
      <c r="V117" s="82" t="n">
        <v>0.2536</v>
      </c>
      <c r="W117" s="82" t="n">
        <v>11.54</v>
      </c>
      <c r="X117" s="82" t="n">
        <v>58.68</v>
      </c>
      <c r="Y117" s="82" t="n">
        <v>20</v>
      </c>
      <c r="Z117" s="82" t="inlineStr">
        <is>
          <t>CLEAR</t>
        </is>
      </c>
    </row>
    <row r="118" ht="17" customHeight="1">
      <c r="A118" s="86" t="n">
        <v>116</v>
      </c>
      <c r="B118" s="86" t="inlineStr">
        <is>
          <t>ALGM</t>
        </is>
      </c>
      <c r="C118" s="86" t="inlineStr">
        <is>
          <t>Allegro MicroSystems, Inc.</t>
        </is>
      </c>
      <c r="D118" s="86" t="n">
        <v>1.68</v>
      </c>
      <c r="E118" s="208" t="inlineStr">
        <is>
          <t>Grey</t>
        </is>
      </c>
      <c r="F118" s="86" t="n">
        <v>3.77</v>
      </c>
      <c r="G118" s="86" t="inlineStr">
        <is>
          <t>Safe</t>
        </is>
      </c>
      <c r="H118" s="86" t="n">
        <v>0.48</v>
      </c>
      <c r="I118" s="86" t="inlineStr">
        <is>
          <t>Distress</t>
        </is>
      </c>
      <c r="J118" s="86" t="n">
        <v>-2.43</v>
      </c>
      <c r="K118" s="86" t="n">
        <v>0.08</v>
      </c>
      <c r="L118" s="86" t="inlineStr">
        <is>
          <t>Healthy</t>
        </is>
      </c>
      <c r="M118" s="86" t="n">
        <v>7</v>
      </c>
      <c r="N118" s="86" t="inlineStr">
        <is>
          <t>Strong</t>
        </is>
      </c>
      <c r="O118" s="207" t="n">
        <v>-3.08</v>
      </c>
      <c r="P118" s="86" t="inlineStr">
        <is>
          <t>Lower Risk</t>
        </is>
      </c>
      <c r="Q118" s="86" t="n">
        <v>1.3</v>
      </c>
      <c r="R118" s="86" t="n">
        <v>-0.0156</v>
      </c>
      <c r="S118" s="86" t="n">
        <v>-10.95</v>
      </c>
      <c r="T118" s="86" t="n">
        <v>0.1403</v>
      </c>
      <c r="U118" s="86" t="n">
        <v>0.2277</v>
      </c>
      <c r="V118" s="86" t="n">
        <v>0.0208</v>
      </c>
      <c r="W118" s="86" t="n">
        <v>0.84</v>
      </c>
      <c r="X118" s="86" t="n">
        <v>58.66</v>
      </c>
      <c r="Y118" s="86" t="n">
        <v>40</v>
      </c>
      <c r="Z118" s="86" t="inlineStr">
        <is>
          <t>WATCH</t>
        </is>
      </c>
    </row>
    <row r="119" ht="17" customHeight="1">
      <c r="A119" s="82" t="n">
        <v>117</v>
      </c>
      <c r="B119" s="82" t="inlineStr">
        <is>
          <t>CTAS</t>
        </is>
      </c>
      <c r="C119" s="82" t="inlineStr">
        <is>
          <t>Cintas Corporation</t>
        </is>
      </c>
      <c r="D119" s="82" t="n">
        <v>2.26</v>
      </c>
      <c r="E119" s="208" t="inlineStr">
        <is>
          <t>Grey</t>
        </is>
      </c>
      <c r="F119" s="82" t="n">
        <v>7.23</v>
      </c>
      <c r="G119" s="82" t="inlineStr">
        <is>
          <t>Safe</t>
        </is>
      </c>
      <c r="H119" s="82" t="n">
        <v>1.9</v>
      </c>
      <c r="I119" s="82" t="inlineStr">
        <is>
          <t>Healthy</t>
        </is>
      </c>
      <c r="J119" s="82" t="n">
        <v>0.52</v>
      </c>
      <c r="K119" s="82" t="n">
        <v>0.63</v>
      </c>
      <c r="L119" s="82" t="inlineStr">
        <is>
          <t>Distress</t>
        </is>
      </c>
      <c r="M119" s="82" t="n">
        <v>7</v>
      </c>
      <c r="N119" s="82" t="inlineStr">
        <is>
          <t>Strong</t>
        </is>
      </c>
      <c r="O119" s="207" t="n">
        <v>-2.74</v>
      </c>
      <c r="P119" s="82" t="inlineStr">
        <is>
          <t>Lower Risk</t>
        </is>
      </c>
      <c r="Q119" s="82" t="n">
        <v>0.76</v>
      </c>
      <c r="R119" s="82" t="n">
        <v>0.3869</v>
      </c>
      <c r="S119" s="82" t="n">
        <v>1.2</v>
      </c>
      <c r="T119" s="82" t="n">
        <v>1.0849</v>
      </c>
      <c r="U119" s="82" t="n">
        <v>-0.1055</v>
      </c>
      <c r="V119" s="82" t="n">
        <v>1.457</v>
      </c>
      <c r="W119" s="82" t="n">
        <v>21.21</v>
      </c>
      <c r="X119" s="82" t="n">
        <v>58.63</v>
      </c>
      <c r="Y119" s="82" t="n">
        <v>0</v>
      </c>
      <c r="Z119" s="82" t="inlineStr">
        <is>
          <t>CLEAR</t>
        </is>
      </c>
    </row>
    <row r="120" ht="17" customHeight="1">
      <c r="A120" s="86" t="n">
        <v>118</v>
      </c>
      <c r="B120" s="86" t="inlineStr">
        <is>
          <t>SHAK</t>
        </is>
      </c>
      <c r="C120" s="86" t="inlineStr">
        <is>
          <t>SHAKE SHACK INC.</t>
        </is>
      </c>
      <c r="D120" s="86" t="n">
        <v>1.13</v>
      </c>
      <c r="E120" s="207" t="inlineStr">
        <is>
          <t>Distress</t>
        </is>
      </c>
      <c r="F120" s="86" t="n">
        <v>1.4</v>
      </c>
      <c r="G120" s="86" t="inlineStr">
        <is>
          <t>Grey</t>
        </is>
      </c>
      <c r="H120" s="86" t="n">
        <v>0.7</v>
      </c>
      <c r="I120" s="86" t="inlineStr">
        <is>
          <t>Distress</t>
        </is>
      </c>
      <c r="J120" s="86" t="n">
        <v>-0.42</v>
      </c>
      <c r="K120" s="86" t="n">
        <v>0.4</v>
      </c>
      <c r="L120" s="86" t="inlineStr">
        <is>
          <t>Healthy</t>
        </is>
      </c>
      <c r="M120" s="86" t="n">
        <v>8</v>
      </c>
      <c r="N120" s="86" t="inlineStr">
        <is>
          <t>Strong</t>
        </is>
      </c>
      <c r="O120" s="207" t="n">
        <v>-2.89</v>
      </c>
      <c r="P120" s="86" t="inlineStr">
        <is>
          <t>Lower Risk</t>
        </is>
      </c>
      <c r="Q120" s="86" t="n">
        <v>-0.66</v>
      </c>
      <c r="R120" s="86" t="n">
        <v>0.08699999999999999</v>
      </c>
      <c r="S120" s="86" t="n">
        <v>4.86</v>
      </c>
      <c r="T120" s="86" t="n">
        <v>0.0391</v>
      </c>
      <c r="U120" s="86" t="n">
        <v>0.1538</v>
      </c>
      <c r="V120" s="86" t="n">
        <v>0.0432</v>
      </c>
      <c r="W120" s="86" t="n">
        <v>28.95</v>
      </c>
      <c r="X120" s="86" t="n">
        <v>58.57</v>
      </c>
      <c r="Y120" s="86" t="n">
        <v>0</v>
      </c>
      <c r="Z120" s="86" t="inlineStr">
        <is>
          <t>CLEAR</t>
        </is>
      </c>
    </row>
    <row r="121" ht="17" customHeight="1">
      <c r="A121" s="82" t="n">
        <v>119</v>
      </c>
      <c r="B121" s="82" t="inlineStr">
        <is>
          <t>IRT</t>
        </is>
      </c>
      <c r="C121" s="82" t="inlineStr">
        <is>
          <t>INDEPENDENCE REALTY TRUST, INC.</t>
        </is>
      </c>
      <c r="D121" s="91" t="inlineStr">
        <is>
          <t>N/A</t>
        </is>
      </c>
      <c r="E121" s="91" t="inlineStr">
        <is>
          <t>N/A</t>
        </is>
      </c>
      <c r="F121" s="91" t="inlineStr">
        <is>
          <t>N/A</t>
        </is>
      </c>
      <c r="G121" s="91" t="inlineStr">
        <is>
          <t>N/A</t>
        </is>
      </c>
      <c r="H121" s="91" t="inlineStr">
        <is>
          <t>N/A</t>
        </is>
      </c>
      <c r="I121" s="91" t="inlineStr">
        <is>
          <t>N/A</t>
        </is>
      </c>
      <c r="J121" s="91" t="inlineStr">
        <is>
          <t>N/A</t>
        </is>
      </c>
      <c r="K121" s="91" t="inlineStr">
        <is>
          <t>N/A</t>
        </is>
      </c>
      <c r="L121" s="91" t="inlineStr">
        <is>
          <t>N/A</t>
        </is>
      </c>
      <c r="M121" s="82" t="n">
        <v>8</v>
      </c>
      <c r="N121" s="82" t="inlineStr">
        <is>
          <t>Strong</t>
        </is>
      </c>
      <c r="O121" s="91" t="inlineStr">
        <is>
          <t>N/A</t>
        </is>
      </c>
      <c r="P121" s="82" t="inlineStr">
        <is>
          <t>Insufficient Data</t>
        </is>
      </c>
      <c r="Q121" s="82" t="n">
        <v>7.65</v>
      </c>
      <c r="R121" s="82" t="n">
        <v>0.0163</v>
      </c>
      <c r="S121" s="82" t="n">
        <v>4.99</v>
      </c>
      <c r="T121" s="82" t="n">
        <v>0.4287</v>
      </c>
      <c r="U121" s="82" t="n">
        <v>2.9353</v>
      </c>
      <c r="V121" s="82" t="n">
        <v>0.0788</v>
      </c>
      <c r="W121" s="82" t="n">
        <v>0.58</v>
      </c>
      <c r="X121" s="82" t="n">
        <v>58.48</v>
      </c>
      <c r="Y121" s="82" t="n">
        <v>0</v>
      </c>
      <c r="Z121" s="82" t="inlineStr">
        <is>
          <t>CLEAR</t>
        </is>
      </c>
    </row>
    <row r="122" ht="17" customHeight="1">
      <c r="A122" s="86" t="n">
        <v>120</v>
      </c>
      <c r="B122" s="86" t="inlineStr">
        <is>
          <t>PRAX</t>
        </is>
      </c>
      <c r="C122" s="86" t="inlineStr">
        <is>
          <t>PRAXIS PRECISION MEDICINES, INC.</t>
        </is>
      </c>
      <c r="D122" s="86" t="n">
        <v>4.48</v>
      </c>
      <c r="E122" s="206" t="inlineStr">
        <is>
          <t>Safe</t>
        </is>
      </c>
      <c r="F122" s="86" t="n">
        <v>12.98</v>
      </c>
      <c r="G122" s="86" t="inlineStr">
        <is>
          <t>Safe</t>
        </is>
      </c>
      <c r="H122" s="86" t="n">
        <v>-3.81</v>
      </c>
      <c r="I122" s="86" t="inlineStr">
        <is>
          <t>Distress</t>
        </is>
      </c>
      <c r="J122" s="86" t="n">
        <v>-2.47</v>
      </c>
      <c r="K122" s="86" t="n">
        <v>0.08</v>
      </c>
      <c r="L122" s="86" t="inlineStr">
        <is>
          <t>Healthy</t>
        </is>
      </c>
      <c r="M122" s="86" t="n">
        <v>4</v>
      </c>
      <c r="N122" s="86" t="inlineStr">
        <is>
          <t>Mixed</t>
        </is>
      </c>
      <c r="O122" s="90" t="inlineStr">
        <is>
          <t>N/A</t>
        </is>
      </c>
      <c r="P122" s="86" t="inlineStr">
        <is>
          <t>Insufficient Data</t>
        </is>
      </c>
      <c r="Q122" s="86" t="n">
        <v>1.1</v>
      </c>
      <c r="R122" s="86" t="n">
        <v>-0.3454</v>
      </c>
      <c r="S122" s="86" t="n">
        <v>0.82</v>
      </c>
      <c r="T122" s="90" t="inlineStr">
        <is>
          <t>N/A</t>
        </is>
      </c>
      <c r="U122" s="90" t="inlineStr">
        <is>
          <t>N/A</t>
        </is>
      </c>
      <c r="V122" s="90" t="inlineStr">
        <is>
          <t>N/A</t>
        </is>
      </c>
      <c r="W122" s="90" t="inlineStr">
        <is>
          <t>N/A</t>
        </is>
      </c>
      <c r="X122" s="86" t="n">
        <v>58.36</v>
      </c>
      <c r="Y122" s="86" t="n">
        <v>0</v>
      </c>
      <c r="Z122" s="86" t="inlineStr">
        <is>
          <t>CLEAR</t>
        </is>
      </c>
    </row>
    <row r="123" ht="17" customHeight="1">
      <c r="A123" s="82" t="n">
        <v>121</v>
      </c>
      <c r="B123" s="82" t="inlineStr">
        <is>
          <t>AMAT</t>
        </is>
      </c>
      <c r="C123" s="82" t="inlineStr">
        <is>
          <t>APPLIED MATERIALS INC /DE</t>
        </is>
      </c>
      <c r="D123" s="82" t="n">
        <v>3.19</v>
      </c>
      <c r="E123" s="206" t="inlineStr">
        <is>
          <t>Safe</t>
        </is>
      </c>
      <c r="F123" s="82" t="n">
        <v>10.17</v>
      </c>
      <c r="G123" s="82" t="inlineStr">
        <is>
          <t>Safe</t>
        </is>
      </c>
      <c r="H123" s="82" t="n">
        <v>1.99</v>
      </c>
      <c r="I123" s="82" t="inlineStr">
        <is>
          <t>Healthy</t>
        </is>
      </c>
      <c r="J123" s="82" t="n">
        <v>-2.71</v>
      </c>
      <c r="K123" s="82" t="n">
        <v>0.06</v>
      </c>
      <c r="L123" s="82" t="inlineStr">
        <is>
          <t>Healthy</t>
        </is>
      </c>
      <c r="M123" s="82" t="n">
        <v>7</v>
      </c>
      <c r="N123" s="82" t="inlineStr">
        <is>
          <t>Strong</t>
        </is>
      </c>
      <c r="O123" s="207" t="n">
        <v>0.8100000000000001</v>
      </c>
      <c r="P123" s="82" t="inlineStr">
        <is>
          <t>Higher Risk</t>
        </is>
      </c>
      <c r="Q123" s="82" t="n">
        <v>-0.21</v>
      </c>
      <c r="R123" s="82" t="n">
        <v>0.3428</v>
      </c>
      <c r="S123" s="82" t="n">
        <v>1.14</v>
      </c>
      <c r="T123" s="82" t="n">
        <v>0.3901</v>
      </c>
      <c r="U123" s="82" t="n">
        <v>2.8913</v>
      </c>
      <c r="V123" s="82" t="n">
        <v>0.5674</v>
      </c>
      <c r="W123" s="82" t="n">
        <v>34.83</v>
      </c>
      <c r="X123" s="82" t="n">
        <v>58.28</v>
      </c>
      <c r="Y123" s="82" t="n">
        <v>20</v>
      </c>
      <c r="Z123" s="82" t="inlineStr">
        <is>
          <t>CLEAR</t>
        </is>
      </c>
    </row>
    <row r="124" ht="17" customHeight="1">
      <c r="A124" s="86" t="n">
        <v>122</v>
      </c>
      <c r="B124" s="86" t="inlineStr">
        <is>
          <t>VLO</t>
        </is>
      </c>
      <c r="C124" s="86" t="inlineStr">
        <is>
          <t>VALERO ENERGY CORP/TX</t>
        </is>
      </c>
      <c r="D124" s="86" t="n">
        <v>3.27</v>
      </c>
      <c r="E124" s="206" t="inlineStr">
        <is>
          <t>Safe</t>
        </is>
      </c>
      <c r="F124" s="86" t="n">
        <v>4.52</v>
      </c>
      <c r="G124" s="86" t="inlineStr">
        <is>
          <t>Safe</t>
        </is>
      </c>
      <c r="H124" s="86" t="n">
        <v>1.32</v>
      </c>
      <c r="I124" s="86" t="inlineStr">
        <is>
          <t>Healthy</t>
        </is>
      </c>
      <c r="J124" s="86" t="n">
        <v>1.17</v>
      </c>
      <c r="K124" s="86" t="n">
        <v>0.76</v>
      </c>
      <c r="L124" s="86" t="inlineStr">
        <is>
          <t>Distress</t>
        </is>
      </c>
      <c r="M124" s="86" t="n">
        <v>6</v>
      </c>
      <c r="N124" s="86" t="inlineStr">
        <is>
          <t>Mixed</t>
        </is>
      </c>
      <c r="O124" s="207" t="n">
        <v>-2.55</v>
      </c>
      <c r="P124" s="86" t="inlineStr">
        <is>
          <t>Lower Risk</t>
        </is>
      </c>
      <c r="Q124" s="86" t="n">
        <v>1.1</v>
      </c>
      <c r="R124" s="86" t="n">
        <v>0.099</v>
      </c>
      <c r="S124" s="86" t="n">
        <v>2.48</v>
      </c>
      <c r="T124" s="86" t="n">
        <v>0.0365</v>
      </c>
      <c r="U124" s="86" t="n">
        <v>-0.0554</v>
      </c>
      <c r="V124" s="86" t="n">
        <v>0.0259</v>
      </c>
      <c r="W124" s="86" t="n">
        <v>5.72</v>
      </c>
      <c r="X124" s="86" t="n">
        <v>58.27</v>
      </c>
      <c r="Y124" s="86" t="n">
        <v>0</v>
      </c>
      <c r="Z124" s="86" t="inlineStr">
        <is>
          <t>CLEAR</t>
        </is>
      </c>
    </row>
    <row r="125" ht="17" customHeight="1">
      <c r="A125" s="82" t="n">
        <v>123</v>
      </c>
      <c r="B125" s="82" t="inlineStr">
        <is>
          <t>UHS</t>
        </is>
      </c>
      <c r="C125" s="82" t="inlineStr">
        <is>
          <t>UNIVERSAL HEALTH SERVICES, INC.</t>
        </is>
      </c>
      <c r="D125" s="82" t="n">
        <v>2.16</v>
      </c>
      <c r="E125" s="208" t="inlineStr">
        <is>
          <t>Grey</t>
        </is>
      </c>
      <c r="F125" s="82" t="n">
        <v>3.1</v>
      </c>
      <c r="G125" s="82" t="inlineStr">
        <is>
          <t>Safe</t>
        </is>
      </c>
      <c r="H125" s="82" t="n">
        <v>1.25</v>
      </c>
      <c r="I125" s="82" t="inlineStr">
        <is>
          <t>Healthy</t>
        </is>
      </c>
      <c r="J125" s="82" t="n">
        <v>0.91</v>
      </c>
      <c r="K125" s="82" t="n">
        <v>0.71</v>
      </c>
      <c r="L125" s="82" t="inlineStr">
        <is>
          <t>Distress</t>
        </is>
      </c>
      <c r="M125" s="82" t="n">
        <v>7</v>
      </c>
      <c r="N125" s="82" t="inlineStr">
        <is>
          <t>Strong</t>
        </is>
      </c>
      <c r="O125" s="207" t="n">
        <v>-2.32</v>
      </c>
      <c r="P125" s="82" t="inlineStr">
        <is>
          <t>Lower Risk</t>
        </is>
      </c>
      <c r="Q125" s="82" t="n">
        <v>1.77</v>
      </c>
      <c r="R125" s="82" t="n">
        <v>0.2046</v>
      </c>
      <c r="S125" s="82" t="n">
        <v>1.25</v>
      </c>
      <c r="T125" s="82" t="n">
        <v>0.0489</v>
      </c>
      <c r="U125" s="82" t="n">
        <v>0.09710000000000001</v>
      </c>
      <c r="V125" s="82" t="n">
        <v>0.1148</v>
      </c>
      <c r="W125" s="82" t="n">
        <v>12.78</v>
      </c>
      <c r="X125" s="82" t="n">
        <v>58.27</v>
      </c>
      <c r="Y125" s="82" t="n">
        <v>0</v>
      </c>
      <c r="Z125" s="82" t="inlineStr">
        <is>
          <t>CLEAR</t>
        </is>
      </c>
    </row>
    <row r="126" ht="17" customHeight="1">
      <c r="A126" s="86" t="n">
        <v>124</v>
      </c>
      <c r="B126" s="86" t="inlineStr">
        <is>
          <t>ANF</t>
        </is>
      </c>
      <c r="C126" s="86" t="inlineStr">
        <is>
          <t>Abercrombie &amp; Fitch Co.</t>
        </is>
      </c>
      <c r="D126" s="86" t="n">
        <v>3.26</v>
      </c>
      <c r="E126" s="206" t="inlineStr">
        <is>
          <t>Safe</t>
        </is>
      </c>
      <c r="F126" s="86" t="n">
        <v>6.15</v>
      </c>
      <c r="G126" s="86" t="inlineStr">
        <is>
          <t>Safe</t>
        </is>
      </c>
      <c r="H126" s="86" t="n">
        <v>1.79</v>
      </c>
      <c r="I126" s="86" t="inlineStr">
        <is>
          <t>Healthy</t>
        </is>
      </c>
      <c r="J126" s="86" t="n">
        <v>0.7</v>
      </c>
      <c r="K126" s="86" t="n">
        <v>0.67</v>
      </c>
      <c r="L126" s="86" t="inlineStr">
        <is>
          <t>Distress</t>
        </is>
      </c>
      <c r="M126" s="86" t="n">
        <v>6</v>
      </c>
      <c r="N126" s="86" t="inlineStr">
        <is>
          <t>Mixed</t>
        </is>
      </c>
      <c r="O126" s="207" t="n">
        <v>-2.34</v>
      </c>
      <c r="P126" s="86" t="inlineStr">
        <is>
          <t>Lower Risk</t>
        </is>
      </c>
      <c r="Q126" s="86" t="n">
        <v>-0.89</v>
      </c>
      <c r="R126" s="86" t="n">
        <v>0.3611</v>
      </c>
      <c r="S126" s="86" t="n">
        <v>1.22</v>
      </c>
      <c r="T126" s="86" t="n">
        <v>0.0718</v>
      </c>
      <c r="U126" s="86" t="n">
        <v>0.06419999999999999</v>
      </c>
      <c r="V126" s="86" t="n">
        <v>0.1328</v>
      </c>
      <c r="W126" s="86" t="n">
        <v>23.03</v>
      </c>
      <c r="X126" s="86" t="n">
        <v>58.24</v>
      </c>
      <c r="Y126" s="86" t="n">
        <v>0</v>
      </c>
      <c r="Z126" s="86" t="inlineStr">
        <is>
          <t>CLEAR</t>
        </is>
      </c>
    </row>
    <row r="127" ht="17" customHeight="1">
      <c r="A127" s="82" t="n">
        <v>125</v>
      </c>
      <c r="B127" s="82" t="inlineStr">
        <is>
          <t>HAL</t>
        </is>
      </c>
      <c r="C127" s="82" t="inlineStr">
        <is>
          <t>HALLIBURTON COMPANY</t>
        </is>
      </c>
      <c r="D127" s="82" t="n">
        <v>1.98</v>
      </c>
      <c r="E127" s="208" t="inlineStr">
        <is>
          <t>Grey</t>
        </is>
      </c>
      <c r="F127" s="82" t="n">
        <v>4.85</v>
      </c>
      <c r="G127" s="82" t="inlineStr">
        <is>
          <t>Safe</t>
        </is>
      </c>
      <c r="H127" s="82" t="n">
        <v>1.01</v>
      </c>
      <c r="I127" s="82" t="inlineStr">
        <is>
          <t>Healthy</t>
        </is>
      </c>
      <c r="J127" s="82" t="n">
        <v>-1.27</v>
      </c>
      <c r="K127" s="82" t="n">
        <v>0.22</v>
      </c>
      <c r="L127" s="82" t="inlineStr">
        <is>
          <t>Healthy</t>
        </is>
      </c>
      <c r="M127" s="82" t="n">
        <v>7</v>
      </c>
      <c r="N127" s="82" t="inlineStr">
        <is>
          <t>Strong</t>
        </is>
      </c>
      <c r="O127" s="207" t="n">
        <v>-2.73</v>
      </c>
      <c r="P127" s="82" t="inlineStr">
        <is>
          <t>Lower Risk</t>
        </is>
      </c>
      <c r="Q127" s="82" t="n">
        <v>1.47</v>
      </c>
      <c r="R127" s="82" t="n">
        <v>0.1226</v>
      </c>
      <c r="S127" s="82" t="n">
        <v>2.28</v>
      </c>
      <c r="T127" s="82" t="n">
        <v>0.093</v>
      </c>
      <c r="U127" s="82" t="n">
        <v>0.2247</v>
      </c>
      <c r="V127" s="82" t="n">
        <v>0.1257</v>
      </c>
      <c r="W127" s="82" t="n">
        <v>-7.61</v>
      </c>
      <c r="X127" s="82" t="n">
        <v>58.16</v>
      </c>
      <c r="Y127" s="82" t="n">
        <v>0</v>
      </c>
      <c r="Z127" s="82" t="inlineStr">
        <is>
          <t>CLEAR</t>
        </is>
      </c>
    </row>
    <row r="128" ht="17" customHeight="1">
      <c r="A128" s="86" t="n">
        <v>126</v>
      </c>
      <c r="B128" s="86" t="inlineStr">
        <is>
          <t>NSC</t>
        </is>
      </c>
      <c r="C128" s="86" t="inlineStr">
        <is>
          <t>NORFOLK SOUTHERN CORP</t>
        </is>
      </c>
      <c r="D128" s="86" t="n">
        <v>0.99</v>
      </c>
      <c r="E128" s="207" t="inlineStr">
        <is>
          <t>Distress</t>
        </is>
      </c>
      <c r="F128" s="86" t="n">
        <v>2.07</v>
      </c>
      <c r="G128" s="86" t="inlineStr">
        <is>
          <t>Grey</t>
        </is>
      </c>
      <c r="H128" s="86" t="n">
        <v>1.02</v>
      </c>
      <c r="I128" s="86" t="inlineStr">
        <is>
          <t>Healthy</t>
        </is>
      </c>
      <c r="J128" s="86" t="n">
        <v>-0.89</v>
      </c>
      <c r="K128" s="86" t="n">
        <v>0.29</v>
      </c>
      <c r="L128" s="86" t="inlineStr">
        <is>
          <t>Healthy</t>
        </is>
      </c>
      <c r="M128" s="86" t="n">
        <v>8</v>
      </c>
      <c r="N128" s="86" t="inlineStr">
        <is>
          <t>Strong</t>
        </is>
      </c>
      <c r="O128" s="207" t="n">
        <v>-4.04</v>
      </c>
      <c r="P128" s="86" t="inlineStr">
        <is>
          <t>Lower Risk</t>
        </is>
      </c>
      <c r="Q128" s="86" t="n">
        <v>1.43</v>
      </c>
      <c r="R128" s="86" t="n">
        <v>0.1848</v>
      </c>
      <c r="S128" s="86" t="n">
        <v>1.52</v>
      </c>
      <c r="T128" s="86" t="n">
        <v>0.2044</v>
      </c>
      <c r="U128" s="86" t="n">
        <v>2.9532</v>
      </c>
      <c r="V128" s="86" t="n">
        <v>0.4129</v>
      </c>
      <c r="W128" s="86" t="n">
        <v>5.4</v>
      </c>
      <c r="X128" s="86" t="n">
        <v>58.14</v>
      </c>
      <c r="Y128" s="86" t="n">
        <v>0</v>
      </c>
      <c r="Z128" s="86" t="inlineStr">
        <is>
          <t>CLEAR</t>
        </is>
      </c>
    </row>
    <row r="129" ht="17" customHeight="1">
      <c r="A129" s="82" t="n">
        <v>127</v>
      </c>
      <c r="B129" s="82" t="inlineStr">
        <is>
          <t>FORM</t>
        </is>
      </c>
      <c r="C129" s="82" t="inlineStr">
        <is>
          <t>FormFactor, Inc.</t>
        </is>
      </c>
      <c r="D129" s="82" t="n">
        <v>3.46</v>
      </c>
      <c r="E129" s="206" t="inlineStr">
        <is>
          <t>Safe</t>
        </is>
      </c>
      <c r="F129" s="82" t="n">
        <v>8.85</v>
      </c>
      <c r="G129" s="82" t="inlineStr">
        <is>
          <t>Safe</t>
        </is>
      </c>
      <c r="H129" s="82" t="n">
        <v>1.13</v>
      </c>
      <c r="I129" s="82" t="inlineStr">
        <is>
          <t>Healthy</t>
        </is>
      </c>
      <c r="J129" s="82" t="n">
        <v>-3.64</v>
      </c>
      <c r="K129" s="82" t="n">
        <v>0.03</v>
      </c>
      <c r="L129" s="82" t="inlineStr">
        <is>
          <t>Healthy</t>
        </is>
      </c>
      <c r="M129" s="82" t="n">
        <v>5</v>
      </c>
      <c r="N129" s="82" t="inlineStr">
        <is>
          <t>Mixed</t>
        </is>
      </c>
      <c r="O129" s="207" t="n">
        <v>-2.52</v>
      </c>
      <c r="P129" s="82" t="inlineStr">
        <is>
          <t>Lower Risk</t>
        </is>
      </c>
      <c r="Q129" s="82" t="n">
        <v>-0.88</v>
      </c>
      <c r="R129" s="82" t="n">
        <v>0.0525</v>
      </c>
      <c r="S129" s="82" t="n">
        <v>2.12</v>
      </c>
      <c r="T129" s="82" t="n">
        <v>0.015</v>
      </c>
      <c r="U129" s="82" t="n">
        <v>0.028</v>
      </c>
      <c r="V129" s="82" t="n">
        <v>0.0727</v>
      </c>
      <c r="W129" s="82" t="n">
        <v>109.54</v>
      </c>
      <c r="X129" s="82" t="n">
        <v>58.13</v>
      </c>
      <c r="Y129" s="82" t="n">
        <v>0</v>
      </c>
      <c r="Z129" s="82" t="inlineStr">
        <is>
          <t>CLEAR</t>
        </is>
      </c>
    </row>
    <row r="130" ht="17" customHeight="1">
      <c r="A130" s="86" t="n">
        <v>128</v>
      </c>
      <c r="B130" s="86" t="inlineStr">
        <is>
          <t>WMT</t>
        </is>
      </c>
      <c r="C130" s="86" t="inlineStr">
        <is>
          <t>WALMART INC.</t>
        </is>
      </c>
      <c r="D130" s="86" t="n">
        <v>3.23</v>
      </c>
      <c r="E130" s="206" t="inlineStr">
        <is>
          <t>Safe</t>
        </is>
      </c>
      <c r="F130" s="86" t="n">
        <v>1.75</v>
      </c>
      <c r="G130" s="86" t="inlineStr">
        <is>
          <t>Grey</t>
        </is>
      </c>
      <c r="H130" s="86" t="n">
        <v>1.42</v>
      </c>
      <c r="I130" s="86" t="inlineStr">
        <is>
          <t>Healthy</t>
        </is>
      </c>
      <c r="J130" s="86" t="n">
        <v>1</v>
      </c>
      <c r="K130" s="86" t="n">
        <v>0.73</v>
      </c>
      <c r="L130" s="86" t="inlineStr">
        <is>
          <t>Distress</t>
        </is>
      </c>
      <c r="M130" s="86" t="n">
        <v>6</v>
      </c>
      <c r="N130" s="86" t="inlineStr">
        <is>
          <t>Mixed</t>
        </is>
      </c>
      <c r="O130" s="207" t="n">
        <v>-2.73</v>
      </c>
      <c r="P130" s="86" t="inlineStr">
        <is>
          <t>Lower Risk</t>
        </is>
      </c>
      <c r="Q130" s="86" t="n">
        <v>0.68</v>
      </c>
      <c r="R130" s="86" t="n">
        <v>0.2198</v>
      </c>
      <c r="S130" s="86" t="n">
        <v>1.9</v>
      </c>
      <c r="T130" s="86" t="n">
        <v>0.0209</v>
      </c>
      <c r="U130" s="86" t="n">
        <v>0.0473</v>
      </c>
      <c r="V130" s="86" t="n">
        <v>0.0418</v>
      </c>
      <c r="W130" s="86" t="n">
        <v>12.87</v>
      </c>
      <c r="X130" s="86" t="n">
        <v>58.13</v>
      </c>
      <c r="Y130" s="86" t="n">
        <v>0</v>
      </c>
      <c r="Z130" s="86" t="inlineStr">
        <is>
          <t>CLEAR</t>
        </is>
      </c>
    </row>
    <row r="131" ht="17" customHeight="1">
      <c r="A131" s="82" t="n">
        <v>129</v>
      </c>
      <c r="B131" s="82" t="inlineStr">
        <is>
          <t>COP</t>
        </is>
      </c>
      <c r="C131" s="82" t="inlineStr">
        <is>
          <t>CONOCOPHILLIPS</t>
        </is>
      </c>
      <c r="D131" s="82" t="n">
        <v>1.78</v>
      </c>
      <c r="E131" s="208" t="inlineStr">
        <is>
          <t>Grey</t>
        </is>
      </c>
      <c r="F131" s="82" t="n">
        <v>3.91</v>
      </c>
      <c r="G131" s="82" t="inlineStr">
        <is>
          <t>Safe</t>
        </is>
      </c>
      <c r="H131" s="82" t="n">
        <v>1.24</v>
      </c>
      <c r="I131" s="82" t="inlineStr">
        <is>
          <t>Healthy</t>
        </is>
      </c>
      <c r="J131" s="82" t="n">
        <v>-1.95</v>
      </c>
      <c r="K131" s="82" t="n">
        <v>0.12</v>
      </c>
      <c r="L131" s="82" t="inlineStr">
        <is>
          <t>Healthy</t>
        </is>
      </c>
      <c r="M131" s="82" t="n">
        <v>7</v>
      </c>
      <c r="N131" s="82" t="inlineStr">
        <is>
          <t>Strong</t>
        </is>
      </c>
      <c r="O131" s="207" t="n">
        <v>-3.28</v>
      </c>
      <c r="P131" s="82" t="inlineStr">
        <is>
          <t>Lower Risk</t>
        </is>
      </c>
      <c r="Q131" s="82" t="n">
        <v>0.4</v>
      </c>
      <c r="R131" s="82" t="n">
        <v>0.1239</v>
      </c>
      <c r="S131" s="82" t="n">
        <v>2.48</v>
      </c>
      <c r="T131" s="82" t="n">
        <v>0.1635</v>
      </c>
      <c r="U131" s="82" t="n">
        <v>0.0767</v>
      </c>
      <c r="V131" s="82" t="n">
        <v>0.2147</v>
      </c>
      <c r="W131" s="82" t="n">
        <v>10.76</v>
      </c>
      <c r="X131" s="82" t="n">
        <v>58.11</v>
      </c>
      <c r="Y131" s="82" t="n">
        <v>0</v>
      </c>
      <c r="Z131" s="82" t="inlineStr">
        <is>
          <t>CLEAR</t>
        </is>
      </c>
    </row>
    <row r="132" ht="17" customHeight="1">
      <c r="A132" s="86" t="n">
        <v>130</v>
      </c>
      <c r="B132" s="86" t="inlineStr">
        <is>
          <t>ONTO</t>
        </is>
      </c>
      <c r="C132" s="86" t="inlineStr">
        <is>
          <t>ONTO INNOVATION INC.</t>
        </is>
      </c>
      <c r="D132" s="86" t="n">
        <v>4.49</v>
      </c>
      <c r="E132" s="206" t="inlineStr">
        <is>
          <t>Safe</t>
        </is>
      </c>
      <c r="F132" s="86" t="n">
        <v>12.57</v>
      </c>
      <c r="G132" s="86" t="inlineStr">
        <is>
          <t>Safe</t>
        </is>
      </c>
      <c r="H132" s="86" t="n">
        <v>1.29</v>
      </c>
      <c r="I132" s="86" t="inlineStr">
        <is>
          <t>Healthy</t>
        </is>
      </c>
      <c r="J132" s="86" t="n">
        <v>-3.93</v>
      </c>
      <c r="K132" s="86" t="n">
        <v>0.02</v>
      </c>
      <c r="L132" s="86" t="inlineStr">
        <is>
          <t>Healthy</t>
        </is>
      </c>
      <c r="M132" s="86" t="n">
        <v>4</v>
      </c>
      <c r="N132" s="86" t="inlineStr">
        <is>
          <t>Mixed</t>
        </is>
      </c>
      <c r="O132" s="207" t="n">
        <v>-2.91</v>
      </c>
      <c r="P132" s="86" t="inlineStr">
        <is>
          <t>Lower Risk</t>
        </is>
      </c>
      <c r="Q132" s="86" t="n">
        <v>-2.48</v>
      </c>
      <c r="R132" s="86" t="n">
        <v>0.06510000000000001</v>
      </c>
      <c r="S132" s="86" t="n">
        <v>2.4</v>
      </c>
      <c r="T132" s="86" t="n">
        <v>0.2982</v>
      </c>
      <c r="U132" s="86" t="n">
        <v>0.0182</v>
      </c>
      <c r="V132" s="86" t="n">
        <v>0.1322</v>
      </c>
      <c r="W132" s="86" t="n">
        <v>401.59</v>
      </c>
      <c r="X132" s="86" t="n">
        <v>58.08</v>
      </c>
      <c r="Y132" s="86" t="n">
        <v>0</v>
      </c>
      <c r="Z132" s="86" t="inlineStr">
        <is>
          <t>CLEAR</t>
        </is>
      </c>
    </row>
    <row r="133" ht="17" customHeight="1">
      <c r="A133" s="82" t="n">
        <v>131</v>
      </c>
      <c r="B133" s="82" t="inlineStr">
        <is>
          <t>ALGN</t>
        </is>
      </c>
      <c r="C133" s="82" t="inlineStr">
        <is>
          <t>ALIGN TECHNOLOGY, INC.</t>
        </is>
      </c>
      <c r="D133" s="82" t="n">
        <v>1.53</v>
      </c>
      <c r="E133" s="208" t="inlineStr">
        <is>
          <t>Grey</t>
        </is>
      </c>
      <c r="F133" s="82" t="n">
        <v>4.56</v>
      </c>
      <c r="G133" s="82" t="inlineStr">
        <is>
          <t>Safe</t>
        </is>
      </c>
      <c r="H133" s="82" t="n">
        <v>0.61</v>
      </c>
      <c r="I133" s="82" t="inlineStr">
        <is>
          <t>Distress</t>
        </is>
      </c>
      <c r="J133" s="82" t="n">
        <v>-2.64</v>
      </c>
      <c r="K133" s="82" t="n">
        <v>0.07000000000000001</v>
      </c>
      <c r="L133" s="82" t="inlineStr">
        <is>
          <t>Healthy</t>
        </is>
      </c>
      <c r="M133" s="82" t="n">
        <v>7</v>
      </c>
      <c r="N133" s="82" t="inlineStr">
        <is>
          <t>Strong</t>
        </is>
      </c>
      <c r="O133" s="207" t="n">
        <v>-2.28</v>
      </c>
      <c r="P133" s="82" t="inlineStr">
        <is>
          <t>Lower Risk</t>
        </is>
      </c>
      <c r="Q133" s="82" t="n">
        <v>-1.75</v>
      </c>
      <c r="R133" s="82" t="n">
        <v>0.1013</v>
      </c>
      <c r="S133" s="82" t="n">
        <v>1.45</v>
      </c>
      <c r="T133" s="82" t="n">
        <v>1.2677</v>
      </c>
      <c r="U133" s="82" t="n">
        <v>0.2395</v>
      </c>
      <c r="V133" s="82" t="n">
        <v>1.4098</v>
      </c>
      <c r="W133" s="82" t="n">
        <v>10701.08</v>
      </c>
      <c r="X133" s="82" t="n">
        <v>57.97</v>
      </c>
      <c r="Y133" s="82" t="n">
        <v>0</v>
      </c>
      <c r="Z133" s="82" t="inlineStr">
        <is>
          <t>CLEAR</t>
        </is>
      </c>
    </row>
    <row r="134" ht="17" customHeight="1">
      <c r="A134" s="86" t="n">
        <v>132</v>
      </c>
      <c r="B134" s="86" t="inlineStr">
        <is>
          <t>ACAD</t>
        </is>
      </c>
      <c r="C134" s="86" t="inlineStr">
        <is>
          <t>ACADIA PHARMACEUTICALS INC</t>
        </is>
      </c>
      <c r="D134" s="86" t="n">
        <v>1.58</v>
      </c>
      <c r="E134" s="208" t="inlineStr">
        <is>
          <t>Grey</t>
        </is>
      </c>
      <c r="F134" s="86" t="n">
        <v>3.79</v>
      </c>
      <c r="G134" s="86" t="inlineStr">
        <is>
          <t>Safe</t>
        </is>
      </c>
      <c r="H134" s="86" t="n">
        <v>1.24</v>
      </c>
      <c r="I134" s="86" t="inlineStr">
        <is>
          <t>Healthy</t>
        </is>
      </c>
      <c r="J134" s="86" t="n">
        <v>-4.23</v>
      </c>
      <c r="K134" s="86" t="n">
        <v>0.01</v>
      </c>
      <c r="L134" s="86" t="inlineStr">
        <is>
          <t>Healthy</t>
        </is>
      </c>
      <c r="M134" s="86" t="n">
        <v>8</v>
      </c>
      <c r="N134" s="86" t="inlineStr">
        <is>
          <t>Strong</t>
        </is>
      </c>
      <c r="O134" s="207" t="n">
        <v>0.22</v>
      </c>
      <c r="P134" s="86" t="inlineStr">
        <is>
          <t>Higher Risk</t>
        </is>
      </c>
      <c r="Q134" s="86" t="n">
        <v>-1.69</v>
      </c>
      <c r="R134" s="86" t="n">
        <v>0.3186</v>
      </c>
      <c r="S134" s="86" t="n">
        <v>0.28</v>
      </c>
      <c r="T134" s="86" t="n">
        <v>0.1447</v>
      </c>
      <c r="U134" s="86" t="n">
        <v>2.1442</v>
      </c>
      <c r="V134" s="86" t="n">
        <v>0.1443</v>
      </c>
      <c r="W134" s="86" t="n">
        <v>13101.38</v>
      </c>
      <c r="X134" s="86" t="n">
        <v>57.85</v>
      </c>
      <c r="Y134" s="86" t="n">
        <v>80</v>
      </c>
      <c r="Z134" s="86" t="inlineStr">
        <is>
          <t>RED FLAG</t>
        </is>
      </c>
    </row>
    <row r="135" ht="17" customHeight="1">
      <c r="A135" s="82" t="n">
        <v>133</v>
      </c>
      <c r="B135" s="82" t="inlineStr">
        <is>
          <t>KYMR</t>
        </is>
      </c>
      <c r="C135" s="82" t="inlineStr">
        <is>
          <t>KYMERA THERAPEUTICS, INC.</t>
        </is>
      </c>
      <c r="D135" s="82" t="n">
        <v>3.27</v>
      </c>
      <c r="E135" s="206" t="inlineStr">
        <is>
          <t>Safe</t>
        </is>
      </c>
      <c r="F135" s="82" t="n">
        <v>9.789999999999999</v>
      </c>
      <c r="G135" s="82" t="inlineStr">
        <is>
          <t>Safe</t>
        </is>
      </c>
      <c r="H135" s="82" t="n">
        <v>-2.61</v>
      </c>
      <c r="I135" s="82" t="inlineStr">
        <is>
          <t>Distress</t>
        </is>
      </c>
      <c r="J135" s="82" t="n">
        <v>-2.96</v>
      </c>
      <c r="K135" s="82" t="n">
        <v>0.05</v>
      </c>
      <c r="L135" s="82" t="inlineStr">
        <is>
          <t>Healthy</t>
        </is>
      </c>
      <c r="M135" s="82" t="n">
        <v>5</v>
      </c>
      <c r="N135" s="82" t="inlineStr">
        <is>
          <t>Mixed</t>
        </is>
      </c>
      <c r="O135" s="91" t="inlineStr">
        <is>
          <t>N/A</t>
        </is>
      </c>
      <c r="P135" s="82" t="inlineStr">
        <is>
          <t>Insufficient Data</t>
        </is>
      </c>
      <c r="Q135" s="82" t="n">
        <v>1.05</v>
      </c>
      <c r="R135" s="82" t="n">
        <v>-0.1971</v>
      </c>
      <c r="S135" s="82" t="n">
        <v>0.75</v>
      </c>
      <c r="T135" s="82" t="n">
        <v>-5.9764</v>
      </c>
      <c r="U135" s="82" t="n">
        <v>-0.167</v>
      </c>
      <c r="V135" s="82" t="n">
        <v>-8.9107</v>
      </c>
      <c r="W135" s="91" t="inlineStr">
        <is>
          <t>N/A</t>
        </is>
      </c>
      <c r="X135" s="82" t="n">
        <v>57.84</v>
      </c>
      <c r="Y135" s="82" t="n">
        <v>0</v>
      </c>
      <c r="Z135" s="82" t="inlineStr">
        <is>
          <t>CLEAR</t>
        </is>
      </c>
    </row>
    <row r="136" ht="17" customHeight="1">
      <c r="A136" s="86" t="n">
        <v>134</v>
      </c>
      <c r="B136" s="86" t="inlineStr">
        <is>
          <t>COST</t>
        </is>
      </c>
      <c r="C136" s="86" t="inlineStr">
        <is>
          <t>COSTCO WHOLESALE CORP /NEW</t>
        </is>
      </c>
      <c r="D136" s="86" t="n">
        <v>4.5</v>
      </c>
      <c r="E136" s="206" t="inlineStr">
        <is>
          <t>Safe</t>
        </is>
      </c>
      <c r="F136" s="86" t="n">
        <v>2.61</v>
      </c>
      <c r="G136" s="86" t="inlineStr">
        <is>
          <t>Safe</t>
        </is>
      </c>
      <c r="H136" s="86" t="n">
        <v>2.05</v>
      </c>
      <c r="I136" s="86" t="inlineStr">
        <is>
          <t>Healthy</t>
        </is>
      </c>
      <c r="J136" s="86" t="n">
        <v>-1.28</v>
      </c>
      <c r="K136" s="86" t="n">
        <v>0.22</v>
      </c>
      <c r="L136" s="86" t="inlineStr">
        <is>
          <t>Healthy</t>
        </is>
      </c>
      <c r="M136" s="86" t="n">
        <v>6</v>
      </c>
      <c r="N136" s="86" t="inlineStr">
        <is>
          <t>Mixed</t>
        </is>
      </c>
      <c r="O136" s="207" t="n">
        <v>-2.18</v>
      </c>
      <c r="P136" s="86" t="inlineStr">
        <is>
          <t>Higher Risk</t>
        </is>
      </c>
      <c r="Q136" s="86" t="n">
        <v>-0.52</v>
      </c>
      <c r="R136" s="86" t="n">
        <v>0.2777</v>
      </c>
      <c r="S136" s="86" t="n">
        <v>1.65</v>
      </c>
      <c r="T136" s="86" t="n">
        <v>0.0285</v>
      </c>
      <c r="U136" s="86" t="n">
        <v>0.08169999999999999</v>
      </c>
      <c r="V136" s="86" t="n">
        <v>0.0377</v>
      </c>
      <c r="W136" s="86" t="n">
        <v>67.42</v>
      </c>
      <c r="X136" s="86" t="n">
        <v>57.84</v>
      </c>
      <c r="Y136" s="86" t="n">
        <v>20</v>
      </c>
      <c r="Z136" s="86" t="inlineStr">
        <is>
          <t>CLEAR</t>
        </is>
      </c>
    </row>
    <row r="137" ht="17" customHeight="1">
      <c r="A137" s="82" t="n">
        <v>135</v>
      </c>
      <c r="B137" s="82" t="inlineStr">
        <is>
          <t>MYRG</t>
        </is>
      </c>
      <c r="C137" s="82" t="inlineStr">
        <is>
          <t>MYR GROUP INC.</t>
        </is>
      </c>
      <c r="D137" s="82" t="n">
        <v>1.9</v>
      </c>
      <c r="E137" s="208" t="inlineStr">
        <is>
          <t>Grey</t>
        </is>
      </c>
      <c r="F137" s="82" t="n">
        <v>3.44</v>
      </c>
      <c r="G137" s="82" t="inlineStr">
        <is>
          <t>Safe</t>
        </is>
      </c>
      <c r="H137" s="82" t="n">
        <v>0.98</v>
      </c>
      <c r="I137" s="82" t="inlineStr">
        <is>
          <t>Healthy</t>
        </is>
      </c>
      <c r="J137" s="82" t="n">
        <v>-1.26</v>
      </c>
      <c r="K137" s="82" t="n">
        <v>0.22</v>
      </c>
      <c r="L137" s="82" t="inlineStr">
        <is>
          <t>Healthy</t>
        </is>
      </c>
      <c r="M137" s="82" t="n">
        <v>7</v>
      </c>
      <c r="N137" s="82" t="inlineStr">
        <is>
          <t>Strong</t>
        </is>
      </c>
      <c r="O137" s="207" t="n">
        <v>-3.44</v>
      </c>
      <c r="P137" s="82" t="inlineStr">
        <is>
          <t>Lower Risk</t>
        </is>
      </c>
      <c r="Q137" s="82" t="n">
        <v>-0.39</v>
      </c>
      <c r="R137" s="82" t="n">
        <v>0.1793</v>
      </c>
      <c r="S137" s="82" t="n">
        <v>2.76</v>
      </c>
      <c r="T137" s="82" t="n">
        <v>0.1516</v>
      </c>
      <c r="U137" s="82" t="n">
        <v>0</v>
      </c>
      <c r="V137" s="82" t="n">
        <v>0.109</v>
      </c>
      <c r="W137" s="82" t="n">
        <v>29.55</v>
      </c>
      <c r="X137" s="82" t="n">
        <v>57.79</v>
      </c>
      <c r="Y137" s="82" t="n">
        <v>20</v>
      </c>
      <c r="Z137" s="82" t="inlineStr">
        <is>
          <t>CLEAR</t>
        </is>
      </c>
    </row>
    <row r="138" ht="17" customHeight="1">
      <c r="A138" s="86" t="n">
        <v>136</v>
      </c>
      <c r="B138" s="86" t="inlineStr">
        <is>
          <t>HUBS</t>
        </is>
      </c>
      <c r="C138" s="86" t="inlineStr">
        <is>
          <t>HUBSPOT INC</t>
        </is>
      </c>
      <c r="D138" s="86" t="n">
        <v>0.55</v>
      </c>
      <c r="E138" s="207" t="inlineStr">
        <is>
          <t>Distress</t>
        </is>
      </c>
      <c r="F138" s="86" t="n">
        <v>2.26</v>
      </c>
      <c r="G138" s="86" t="inlineStr">
        <is>
          <t>Grey</t>
        </is>
      </c>
      <c r="H138" s="86" t="n">
        <v>0.31</v>
      </c>
      <c r="I138" s="86" t="inlineStr">
        <is>
          <t>Distress</t>
        </is>
      </c>
      <c r="J138" s="86" t="n">
        <v>-1.75</v>
      </c>
      <c r="K138" s="86" t="n">
        <v>0.15</v>
      </c>
      <c r="L138" s="86" t="inlineStr">
        <is>
          <t>Healthy</t>
        </is>
      </c>
      <c r="M138" s="86" t="n">
        <v>8</v>
      </c>
      <c r="N138" s="86" t="inlineStr">
        <is>
          <t>Strong</t>
        </is>
      </c>
      <c r="O138" s="207" t="n">
        <v>-3.08</v>
      </c>
      <c r="P138" s="86" t="inlineStr">
        <is>
          <t>Lower Risk</t>
        </is>
      </c>
      <c r="Q138" s="86" t="n">
        <v>-21.07</v>
      </c>
      <c r="R138" s="86" t="n">
        <v>0.0222</v>
      </c>
      <c r="S138" s="86" t="n">
        <v>16.57</v>
      </c>
      <c r="T138" s="86" t="n">
        <v>4.9128</v>
      </c>
      <c r="U138" s="86" t="n">
        <v>0.0925</v>
      </c>
      <c r="V138" s="86" t="n">
        <v>0.0512</v>
      </c>
      <c r="W138" s="86" t="n">
        <v>1.94</v>
      </c>
      <c r="X138" s="86" t="n">
        <v>57.74</v>
      </c>
      <c r="Y138" s="86" t="n">
        <v>20</v>
      </c>
      <c r="Z138" s="86" t="inlineStr">
        <is>
          <t>CLEAR</t>
        </is>
      </c>
    </row>
    <row r="139" ht="17" customHeight="1">
      <c r="A139" s="82" t="n">
        <v>137</v>
      </c>
      <c r="B139" s="82" t="inlineStr">
        <is>
          <t>BKNG</t>
        </is>
      </c>
      <c r="C139" s="82" t="inlineStr">
        <is>
          <t>Booking Holdings Inc.</t>
        </is>
      </c>
      <c r="D139" s="82" t="n">
        <v>3.1</v>
      </c>
      <c r="E139" s="206" t="inlineStr">
        <is>
          <t>Safe</t>
        </is>
      </c>
      <c r="F139" s="82" t="n">
        <v>7.64</v>
      </c>
      <c r="G139" s="82" t="inlineStr">
        <is>
          <t>Safe</t>
        </is>
      </c>
      <c r="H139" s="82" t="n">
        <v>1.76</v>
      </c>
      <c r="I139" s="82" t="inlineStr">
        <is>
          <t>Healthy</t>
        </is>
      </c>
      <c r="J139" s="82" t="n">
        <v>2.39</v>
      </c>
      <c r="K139" s="82" t="n">
        <v>0.92</v>
      </c>
      <c r="L139" s="82" t="inlineStr">
        <is>
          <t>Distress</t>
        </is>
      </c>
      <c r="M139" s="82" t="n">
        <v>6</v>
      </c>
      <c r="N139" s="82" t="inlineStr">
        <is>
          <t>Mixed</t>
        </is>
      </c>
      <c r="O139" s="207" t="n">
        <v>-3.79</v>
      </c>
      <c r="P139" s="82" t="inlineStr">
        <is>
          <t>Lower Risk</t>
        </is>
      </c>
      <c r="Q139" s="82" t="n">
        <v>0.16</v>
      </c>
      <c r="R139" s="82" t="n">
        <v>-0.0518</v>
      </c>
      <c r="S139" s="82" t="n">
        <v>32.6</v>
      </c>
      <c r="T139" s="82" t="n">
        <v>0.3376</v>
      </c>
      <c r="U139" s="82" t="n">
        <v>0.1339</v>
      </c>
      <c r="V139" s="82" t="n">
        <v>0.3279</v>
      </c>
      <c r="W139" s="82" t="n">
        <v>9.84</v>
      </c>
      <c r="X139" s="82" t="n">
        <v>57.69</v>
      </c>
      <c r="Y139" s="82" t="n">
        <v>20</v>
      </c>
      <c r="Z139" s="82" t="inlineStr">
        <is>
          <t>CLEAR</t>
        </is>
      </c>
    </row>
    <row r="140" ht="17" customHeight="1">
      <c r="A140" s="86" t="n">
        <v>138</v>
      </c>
      <c r="B140" s="86" t="inlineStr">
        <is>
          <t>CVS</t>
        </is>
      </c>
      <c r="C140" s="86" t="inlineStr">
        <is>
          <t>CVS HEALTH Corp</t>
        </is>
      </c>
      <c r="D140" s="86" t="n">
        <v>1.98</v>
      </c>
      <c r="E140" s="208" t="inlineStr">
        <is>
          <t>Grey</t>
        </is>
      </c>
      <c r="F140" s="86" t="n">
        <v>0.99</v>
      </c>
      <c r="G140" s="86" t="inlineStr">
        <is>
          <t>Distress</t>
        </is>
      </c>
      <c r="H140" s="86" t="n">
        <v>0.65</v>
      </c>
      <c r="I140" s="86" t="inlineStr">
        <is>
          <t>Distress</t>
        </is>
      </c>
      <c r="J140" s="86" t="n">
        <v>-0.37</v>
      </c>
      <c r="K140" s="86" t="n">
        <v>0.41</v>
      </c>
      <c r="L140" s="86" t="inlineStr">
        <is>
          <t>Healthy</t>
        </is>
      </c>
      <c r="M140" s="86" t="n">
        <v>7</v>
      </c>
      <c r="N140" s="86" t="inlineStr">
        <is>
          <t>Strong</t>
        </is>
      </c>
      <c r="O140" s="207" t="n">
        <v>-2.78</v>
      </c>
      <c r="P140" s="86" t="inlineStr">
        <is>
          <t>Lower Risk</t>
        </is>
      </c>
      <c r="Q140" s="86" t="n">
        <v>9.1</v>
      </c>
      <c r="R140" s="86" t="n">
        <v>0.0235</v>
      </c>
      <c r="S140" s="86" t="n">
        <v>6.02</v>
      </c>
      <c r="T140" s="86" t="n">
        <v>0.0194</v>
      </c>
      <c r="U140" s="86" t="n">
        <v>0.0785</v>
      </c>
      <c r="V140" s="86" t="n">
        <v>0.0116</v>
      </c>
      <c r="W140" s="86" t="n">
        <v>1.75</v>
      </c>
      <c r="X140" s="86" t="n">
        <v>57.66</v>
      </c>
      <c r="Y140" s="86" t="n">
        <v>0</v>
      </c>
      <c r="Z140" s="86" t="inlineStr">
        <is>
          <t>CLEAR</t>
        </is>
      </c>
    </row>
    <row r="141" ht="17" customHeight="1">
      <c r="A141" s="82" t="n">
        <v>139</v>
      </c>
      <c r="B141" s="82" t="inlineStr">
        <is>
          <t>HUBB</t>
        </is>
      </c>
      <c r="C141" s="82" t="inlineStr">
        <is>
          <t>HUBBELL INC</t>
        </is>
      </c>
      <c r="D141" s="82" t="n">
        <v>2.06</v>
      </c>
      <c r="E141" s="208" t="inlineStr">
        <is>
          <t>Grey</t>
        </is>
      </c>
      <c r="F141" s="82" t="n">
        <v>4.42</v>
      </c>
      <c r="G141" s="82" t="inlineStr">
        <is>
          <t>Safe</t>
        </is>
      </c>
      <c r="H141" s="82" t="n">
        <v>1.36</v>
      </c>
      <c r="I141" s="82" t="inlineStr">
        <is>
          <t>Healthy</t>
        </is>
      </c>
      <c r="J141" s="82" t="n">
        <v>-1.8</v>
      </c>
      <c r="K141" s="82" t="n">
        <v>0.14</v>
      </c>
      <c r="L141" s="82" t="inlineStr">
        <is>
          <t>Healthy</t>
        </is>
      </c>
      <c r="M141" s="82" t="n">
        <v>8</v>
      </c>
      <c r="N141" s="82" t="inlineStr">
        <is>
          <t>Strong</t>
        </is>
      </c>
      <c r="O141" s="207" t="n">
        <v>-0.75</v>
      </c>
      <c r="P141" s="82" t="inlineStr">
        <is>
          <t>Higher Risk</t>
        </is>
      </c>
      <c r="Q141" s="82" t="n">
        <v>0.68</v>
      </c>
      <c r="R141" s="82" t="n">
        <v>0.2305</v>
      </c>
      <c r="S141" s="82" t="n">
        <v>1.16</v>
      </c>
      <c r="T141" s="82" t="n">
        <v>0.1497</v>
      </c>
      <c r="U141" s="82" t="n">
        <v>2.9155</v>
      </c>
      <c r="V141" s="82" t="n">
        <v>0.2068</v>
      </c>
      <c r="W141" s="82" t="n">
        <v>20.05</v>
      </c>
      <c r="X141" s="82" t="n">
        <v>57.62</v>
      </c>
      <c r="Y141" s="82" t="n">
        <v>20</v>
      </c>
      <c r="Z141" s="82" t="inlineStr">
        <is>
          <t>CLEAR</t>
        </is>
      </c>
    </row>
    <row r="142" ht="17" customHeight="1">
      <c r="A142" s="86" t="n">
        <v>140</v>
      </c>
      <c r="B142" s="86" t="inlineStr">
        <is>
          <t>BSX</t>
        </is>
      </c>
      <c r="C142" s="86" t="inlineStr">
        <is>
          <t>BOSTON SCIENTIFIC CORP</t>
        </is>
      </c>
      <c r="D142" s="86" t="n">
        <v>0.86</v>
      </c>
      <c r="E142" s="207" t="inlineStr">
        <is>
          <t>Distress</t>
        </is>
      </c>
      <c r="F142" s="86" t="n">
        <v>2.06</v>
      </c>
      <c r="G142" s="86" t="inlineStr">
        <is>
          <t>Grey</t>
        </is>
      </c>
      <c r="H142" s="86" t="n">
        <v>0.83</v>
      </c>
      <c r="I142" s="86" t="inlineStr">
        <is>
          <t>Distress</t>
        </is>
      </c>
      <c r="J142" s="86" t="n">
        <v>1.05</v>
      </c>
      <c r="K142" s="86" t="n">
        <v>0.74</v>
      </c>
      <c r="L142" s="86" t="inlineStr">
        <is>
          <t>Distress</t>
        </is>
      </c>
      <c r="M142" s="86" t="n">
        <v>8</v>
      </c>
      <c r="N142" s="86" t="inlineStr">
        <is>
          <t>Strong</t>
        </is>
      </c>
      <c r="O142" s="90" t="inlineStr">
        <is>
          <t>N/A</t>
        </is>
      </c>
      <c r="P142" s="86" t="inlineStr">
        <is>
          <t>Insufficient Data</t>
        </is>
      </c>
      <c r="Q142" s="86" t="n">
        <v>0.42</v>
      </c>
      <c r="R142" s="86" t="n">
        <v>0.1193</v>
      </c>
      <c r="S142" s="86" t="n">
        <v>1.57</v>
      </c>
      <c r="T142" s="86" t="n">
        <v>0.403</v>
      </c>
      <c r="U142" s="86" t="n">
        <v>0.1249</v>
      </c>
      <c r="V142" s="86" t="n">
        <v>0.3981</v>
      </c>
      <c r="W142" s="86" t="n">
        <v>10.35</v>
      </c>
      <c r="X142" s="86" t="n">
        <v>57.62</v>
      </c>
      <c r="Y142" s="86" t="n">
        <v>0</v>
      </c>
      <c r="Z142" s="86" t="inlineStr">
        <is>
          <t>CLEAR</t>
        </is>
      </c>
    </row>
    <row r="143" ht="17" customHeight="1">
      <c r="A143" s="82" t="n">
        <v>141</v>
      </c>
      <c r="B143" s="82" t="inlineStr">
        <is>
          <t>OGE</t>
        </is>
      </c>
      <c r="C143" s="82" t="inlineStr">
        <is>
          <t>OGE ENERGY CORP.</t>
        </is>
      </c>
      <c r="D143" s="82" t="n">
        <v>0.82</v>
      </c>
      <c r="E143" s="207" t="inlineStr">
        <is>
          <t>Distress</t>
        </is>
      </c>
      <c r="F143" s="82" t="n">
        <v>1.64</v>
      </c>
      <c r="G143" s="82" t="inlineStr">
        <is>
          <t>Grey</t>
        </is>
      </c>
      <c r="H143" s="82" t="n">
        <v>0.58</v>
      </c>
      <c r="I143" s="82" t="inlineStr">
        <is>
          <t>Distress</t>
        </is>
      </c>
      <c r="J143" s="82" t="n">
        <v>-0.77</v>
      </c>
      <c r="K143" s="82" t="n">
        <v>0.32</v>
      </c>
      <c r="L143" s="82" t="inlineStr">
        <is>
          <t>Healthy</t>
        </is>
      </c>
      <c r="M143" s="82" t="n">
        <v>8</v>
      </c>
      <c r="N143" s="82" t="inlineStr">
        <is>
          <t>Strong</t>
        </is>
      </c>
      <c r="O143" s="207" t="n">
        <v>-2.28</v>
      </c>
      <c r="P143" s="82" t="inlineStr">
        <is>
          <t>Lower Risk</t>
        </is>
      </c>
      <c r="Q143" s="82" t="n">
        <v>3.95</v>
      </c>
      <c r="R143" s="82" t="n">
        <v>0.0946</v>
      </c>
      <c r="S143" s="82" t="n">
        <v>2.42</v>
      </c>
      <c r="T143" s="82" t="n">
        <v>0.0254</v>
      </c>
      <c r="U143" s="82" t="n">
        <v>0.0921</v>
      </c>
      <c r="V143" s="82" t="n">
        <v>0.2452</v>
      </c>
      <c r="W143" s="82" t="n">
        <v>2.96</v>
      </c>
      <c r="X143" s="82" t="n">
        <v>57.57</v>
      </c>
      <c r="Y143" s="82" t="n">
        <v>0</v>
      </c>
      <c r="Z143" s="82" t="inlineStr">
        <is>
          <t>CLEAR</t>
        </is>
      </c>
    </row>
    <row r="144" ht="17" customHeight="1">
      <c r="A144" s="86" t="n">
        <v>142</v>
      </c>
      <c r="B144" s="86" t="inlineStr">
        <is>
          <t>APH</t>
        </is>
      </c>
      <c r="C144" s="86" t="inlineStr">
        <is>
          <t>AMPHENOL CORP /DE/</t>
        </is>
      </c>
      <c r="D144" s="86" t="n">
        <v>1.88</v>
      </c>
      <c r="E144" s="208" t="inlineStr">
        <is>
          <t>Grey</t>
        </is>
      </c>
      <c r="F144" s="86" t="n">
        <v>5.03</v>
      </c>
      <c r="G144" s="86" t="inlineStr">
        <is>
          <t>Safe</t>
        </is>
      </c>
      <c r="H144" s="86" t="n">
        <v>1.68</v>
      </c>
      <c r="I144" s="86" t="inlineStr">
        <is>
          <t>Healthy</t>
        </is>
      </c>
      <c r="J144" s="86" t="n">
        <v>-1.29</v>
      </c>
      <c r="K144" s="86" t="n">
        <v>0.22</v>
      </c>
      <c r="L144" s="86" t="inlineStr">
        <is>
          <t>Healthy</t>
        </is>
      </c>
      <c r="M144" s="86" t="n">
        <v>7</v>
      </c>
      <c r="N144" s="86" t="inlineStr">
        <is>
          <t>Strong</t>
        </is>
      </c>
      <c r="O144" s="207" t="n">
        <v>-2.49</v>
      </c>
      <c r="P144" s="86" t="inlineStr">
        <is>
          <t>Lower Risk</t>
        </is>
      </c>
      <c r="Q144" s="86" t="n">
        <v>-1.12</v>
      </c>
      <c r="R144" s="86" t="n">
        <v>0.3184</v>
      </c>
      <c r="S144" s="86" t="n">
        <v>1.26</v>
      </c>
      <c r="T144" s="86" t="n">
        <v>0.1896</v>
      </c>
      <c r="U144" s="86" t="n">
        <v>0.5171</v>
      </c>
      <c r="V144" s="86" t="n">
        <v>0.2541</v>
      </c>
      <c r="W144" s="86" t="n">
        <v>42.07</v>
      </c>
      <c r="X144" s="86" t="n">
        <v>57.55</v>
      </c>
      <c r="Y144" s="86" t="n">
        <v>0</v>
      </c>
      <c r="Z144" s="86" t="inlineStr">
        <is>
          <t>CLEAR</t>
        </is>
      </c>
    </row>
    <row r="145" ht="17" customHeight="1">
      <c r="A145" s="82" t="n">
        <v>143</v>
      </c>
      <c r="B145" s="82" t="inlineStr">
        <is>
          <t>NUE</t>
        </is>
      </c>
      <c r="C145" s="82" t="inlineStr">
        <is>
          <t>NUCOR CORPORATION</t>
        </is>
      </c>
      <c r="D145" s="82" t="n">
        <v>2.54</v>
      </c>
      <c r="E145" s="208" t="inlineStr">
        <is>
          <t>Grey</t>
        </is>
      </c>
      <c r="F145" s="82" t="n">
        <v>6.56</v>
      </c>
      <c r="G145" s="82" t="inlineStr">
        <is>
          <t>Safe</t>
        </is>
      </c>
      <c r="H145" s="82" t="n">
        <v>1.16</v>
      </c>
      <c r="I145" s="82" t="inlineStr">
        <is>
          <t>Healthy</t>
        </is>
      </c>
      <c r="J145" s="82" t="n">
        <v>-2.45</v>
      </c>
      <c r="K145" s="82" t="n">
        <v>0.08</v>
      </c>
      <c r="L145" s="82" t="inlineStr">
        <is>
          <t>Healthy</t>
        </is>
      </c>
      <c r="M145" s="82" t="n">
        <v>6</v>
      </c>
      <c r="N145" s="82" t="inlineStr">
        <is>
          <t>Mixed</t>
        </is>
      </c>
      <c r="O145" s="207" t="n">
        <v>-2.66</v>
      </c>
      <c r="P145" s="82" t="inlineStr">
        <is>
          <t>Lower Risk</t>
        </is>
      </c>
      <c r="Q145" s="82" t="n">
        <v>0.55</v>
      </c>
      <c r="R145" s="82" t="n">
        <v>0.0833</v>
      </c>
      <c r="S145" s="82" t="n">
        <v>1.85</v>
      </c>
      <c r="T145" s="82" t="n">
        <v>-0.0075</v>
      </c>
      <c r="U145" s="82" t="n">
        <v>-0.1844</v>
      </c>
      <c r="V145" s="82" t="n">
        <v>0.1024</v>
      </c>
      <c r="W145" s="82" t="n">
        <v>15.11</v>
      </c>
      <c r="X145" s="82" t="n">
        <v>57.49</v>
      </c>
      <c r="Y145" s="82" t="n">
        <v>0</v>
      </c>
      <c r="Z145" s="82" t="inlineStr">
        <is>
          <t>CLEAR</t>
        </is>
      </c>
    </row>
    <row r="146" ht="17" customHeight="1">
      <c r="A146" s="86" t="n">
        <v>144</v>
      </c>
      <c r="B146" s="86" t="inlineStr">
        <is>
          <t>MNST</t>
        </is>
      </c>
      <c r="C146" s="86" t="inlineStr">
        <is>
          <t>Monster Beverage Corp</t>
        </is>
      </c>
      <c r="D146" s="86" t="n">
        <v>3</v>
      </c>
      <c r="E146" s="206" t="inlineStr">
        <is>
          <t>Safe</t>
        </is>
      </c>
      <c r="F146" s="86" t="n">
        <v>8.119999999999999</v>
      </c>
      <c r="G146" s="86" t="inlineStr">
        <is>
          <t>Safe</t>
        </is>
      </c>
      <c r="H146" s="86" t="n">
        <v>2.61</v>
      </c>
      <c r="I146" s="86" t="inlineStr">
        <is>
          <t>Healthy</t>
        </is>
      </c>
      <c r="J146" s="86" t="n">
        <v>0.5</v>
      </c>
      <c r="K146" s="86" t="n">
        <v>0.62</v>
      </c>
      <c r="L146" s="86" t="inlineStr">
        <is>
          <t>Distress</t>
        </is>
      </c>
      <c r="M146" s="86" t="n">
        <v>6</v>
      </c>
      <c r="N146" s="86" t="inlineStr">
        <is>
          <t>Mixed</t>
        </is>
      </c>
      <c r="O146" s="207" t="n">
        <v>-2.29</v>
      </c>
      <c r="P146" s="86" t="inlineStr">
        <is>
          <t>Lower Risk</t>
        </is>
      </c>
      <c r="Q146" s="86" t="n">
        <v>-0.68</v>
      </c>
      <c r="R146" s="86" t="n">
        <v>0.2308</v>
      </c>
      <c r="S146" s="86" t="n">
        <v>1.1</v>
      </c>
      <c r="T146" s="86" t="n">
        <v>0.237</v>
      </c>
      <c r="U146" s="86" t="n">
        <v>0.107</v>
      </c>
      <c r="V146" s="86" t="n">
        <v>0.2917</v>
      </c>
      <c r="W146" s="86" t="n">
        <v>35578.74</v>
      </c>
      <c r="X146" s="86" t="n">
        <v>57.34</v>
      </c>
      <c r="Y146" s="86" t="n">
        <v>0</v>
      </c>
      <c r="Z146" s="86" t="inlineStr">
        <is>
          <t>CLEAR</t>
        </is>
      </c>
    </row>
    <row r="147" ht="17" customHeight="1">
      <c r="A147" s="82" t="n">
        <v>145</v>
      </c>
      <c r="B147" s="82" t="inlineStr">
        <is>
          <t>HIG</t>
        </is>
      </c>
      <c r="C147" s="82" t="inlineStr">
        <is>
          <t>The Hartford Insurance Group, Inc.</t>
        </is>
      </c>
      <c r="D147" s="91" t="inlineStr">
        <is>
          <t>N/A</t>
        </is>
      </c>
      <c r="E147" s="91" t="inlineStr">
        <is>
          <t>N/A</t>
        </is>
      </c>
      <c r="F147" s="91" t="inlineStr">
        <is>
          <t>N/A</t>
        </is>
      </c>
      <c r="G147" s="91" t="inlineStr">
        <is>
          <t>N/A</t>
        </is>
      </c>
      <c r="H147" s="91" t="inlineStr">
        <is>
          <t>N/A</t>
        </is>
      </c>
      <c r="I147" s="91" t="inlineStr">
        <is>
          <t>N/A</t>
        </is>
      </c>
      <c r="J147" s="91" t="inlineStr">
        <is>
          <t>N/A</t>
        </is>
      </c>
      <c r="K147" s="91" t="inlineStr">
        <is>
          <t>N/A</t>
        </is>
      </c>
      <c r="L147" s="91" t="inlineStr">
        <is>
          <t>N/A</t>
        </is>
      </c>
      <c r="M147" s="82" t="n">
        <v>8</v>
      </c>
      <c r="N147" s="82" t="inlineStr">
        <is>
          <t>Strong</t>
        </is>
      </c>
      <c r="O147" s="91" t="inlineStr">
        <is>
          <t>N/A</t>
        </is>
      </c>
      <c r="P147" s="82" t="inlineStr">
        <is>
          <t>Insufficient Data</t>
        </is>
      </c>
      <c r="Q147" s="82" t="n">
        <v>1.78</v>
      </c>
      <c r="R147" s="82" t="n">
        <v>0.2021</v>
      </c>
      <c r="S147" s="82" t="n">
        <v>1.54</v>
      </c>
      <c r="T147" s="82" t="n">
        <v>0.2028</v>
      </c>
      <c r="U147" s="82" t="n">
        <v>0.06909999999999999</v>
      </c>
      <c r="V147" s="82" t="n">
        <v>0.0798</v>
      </c>
      <c r="W147" s="82" t="n">
        <v>11.38</v>
      </c>
      <c r="X147" s="82" t="n">
        <v>57.32</v>
      </c>
      <c r="Y147" s="82" t="n">
        <v>0</v>
      </c>
      <c r="Z147" s="82" t="inlineStr">
        <is>
          <t>CLEAR</t>
        </is>
      </c>
    </row>
    <row r="148" ht="17" customHeight="1">
      <c r="A148" s="86" t="n">
        <v>146</v>
      </c>
      <c r="B148" s="86" t="inlineStr">
        <is>
          <t>PH</t>
        </is>
      </c>
      <c r="C148" s="86" t="inlineStr">
        <is>
          <t>PARKER-HANNIFIN CORPORATION</t>
        </is>
      </c>
      <c r="D148" s="86" t="n">
        <v>1.96</v>
      </c>
      <c r="E148" s="208" t="inlineStr">
        <is>
          <t>Grey</t>
        </is>
      </c>
      <c r="F148" s="86" t="n">
        <v>4.56</v>
      </c>
      <c r="G148" s="86" t="inlineStr">
        <is>
          <t>Safe</t>
        </is>
      </c>
      <c r="H148" s="86" t="n">
        <v>1.15</v>
      </c>
      <c r="I148" s="86" t="inlineStr">
        <is>
          <t>Healthy</t>
        </is>
      </c>
      <c r="J148" s="86" t="n">
        <v>-1.72</v>
      </c>
      <c r="K148" s="86" t="n">
        <v>0.15</v>
      </c>
      <c r="L148" s="86" t="inlineStr">
        <is>
          <t>Healthy</t>
        </is>
      </c>
      <c r="M148" s="86" t="n">
        <v>8</v>
      </c>
      <c r="N148" s="86" t="inlineStr">
        <is>
          <t>Strong</t>
        </is>
      </c>
      <c r="O148" s="207" t="n">
        <v>-0.75</v>
      </c>
      <c r="P148" s="86" t="inlineStr">
        <is>
          <t>Higher Risk</t>
        </is>
      </c>
      <c r="Q148" s="86" t="n">
        <v>1.5</v>
      </c>
      <c r="R148" s="86" t="n">
        <v>0.2079</v>
      </c>
      <c r="S148" s="86" t="n">
        <v>1.33</v>
      </c>
      <c r="T148" s="86" t="n">
        <v>0.2336</v>
      </c>
      <c r="U148" s="86" t="n">
        <v>2.7466</v>
      </c>
      <c r="V148" s="86" t="n">
        <v>0.3039</v>
      </c>
      <c r="W148" s="86" t="n">
        <v>7.57</v>
      </c>
      <c r="X148" s="86" t="n">
        <v>57.25</v>
      </c>
      <c r="Y148" s="86" t="n">
        <v>20</v>
      </c>
      <c r="Z148" s="86" t="inlineStr">
        <is>
          <t>CLEAR</t>
        </is>
      </c>
    </row>
    <row r="149" ht="17" customHeight="1">
      <c r="A149" s="82" t="n">
        <v>147</v>
      </c>
      <c r="B149" s="82" t="inlineStr">
        <is>
          <t>DDOG</t>
        </is>
      </c>
      <c r="C149" s="82" t="inlineStr">
        <is>
          <t>Datadog, Inc.</t>
        </is>
      </c>
      <c r="D149" s="82" t="n">
        <v>1.46</v>
      </c>
      <c r="E149" s="208" t="inlineStr">
        <is>
          <t>Grey</t>
        </is>
      </c>
      <c r="F149" s="82" t="n">
        <v>5.11</v>
      </c>
      <c r="G149" s="82" t="inlineStr">
        <is>
          <t>Safe</t>
        </is>
      </c>
      <c r="H149" s="82" t="n">
        <v>0.83</v>
      </c>
      <c r="I149" s="82" t="inlineStr">
        <is>
          <t>Distress</t>
        </is>
      </c>
      <c r="J149" s="82" t="n">
        <v>-1.91</v>
      </c>
      <c r="K149" s="82" t="n">
        <v>0.13</v>
      </c>
      <c r="L149" s="82" t="inlineStr">
        <is>
          <t>Healthy</t>
        </is>
      </c>
      <c r="M149" s="82" t="n">
        <v>7</v>
      </c>
      <c r="N149" s="82" t="inlineStr">
        <is>
          <t>Strong</t>
        </is>
      </c>
      <c r="O149" s="207" t="n">
        <v>-2.81</v>
      </c>
      <c r="P149" s="82" t="inlineStr">
        <is>
          <t>Lower Risk</t>
        </is>
      </c>
      <c r="Q149" s="82" t="n">
        <v>-35.25</v>
      </c>
      <c r="R149" s="82" t="n">
        <v>0.0289</v>
      </c>
      <c r="S149" s="82" t="n">
        <v>9.75</v>
      </c>
      <c r="T149" s="82" t="n">
        <v>0.2919</v>
      </c>
      <c r="U149" s="82" t="n">
        <v>0.2768</v>
      </c>
      <c r="V149" s="82" t="n">
        <v>-0.0129</v>
      </c>
      <c r="W149" s="82" t="n">
        <v>-7.04</v>
      </c>
      <c r="X149" s="82" t="n">
        <v>57.2</v>
      </c>
      <c r="Y149" s="82" t="n">
        <v>20</v>
      </c>
      <c r="Z149" s="82" t="inlineStr">
        <is>
          <t>CLEAR</t>
        </is>
      </c>
    </row>
    <row r="150" ht="17" customHeight="1">
      <c r="A150" s="86" t="n">
        <v>148</v>
      </c>
      <c r="B150" s="86" t="inlineStr">
        <is>
          <t>CAT</t>
        </is>
      </c>
      <c r="C150" s="86" t="inlineStr">
        <is>
          <t>CATERPILLAR INC</t>
        </is>
      </c>
      <c r="D150" s="86" t="n">
        <v>1.83</v>
      </c>
      <c r="E150" s="208" t="inlineStr">
        <is>
          <t>Grey</t>
        </is>
      </c>
      <c r="F150" s="86" t="n">
        <v>4.27</v>
      </c>
      <c r="G150" s="86" t="inlineStr">
        <is>
          <t>Safe</t>
        </is>
      </c>
      <c r="H150" s="86" t="n">
        <v>0.89</v>
      </c>
      <c r="I150" s="86" t="inlineStr">
        <is>
          <t>Healthy</t>
        </is>
      </c>
      <c r="J150" s="86" t="n">
        <v>-0</v>
      </c>
      <c r="K150" s="86" t="n">
        <v>0.5</v>
      </c>
      <c r="L150" s="86" t="inlineStr">
        <is>
          <t>Healthy</t>
        </is>
      </c>
      <c r="M150" s="86" t="n">
        <v>7</v>
      </c>
      <c r="N150" s="86" t="inlineStr">
        <is>
          <t>Strong</t>
        </is>
      </c>
      <c r="O150" s="207" t="n">
        <v>-2.96</v>
      </c>
      <c r="P150" s="86" t="inlineStr">
        <is>
          <t>Lower Risk</t>
        </is>
      </c>
      <c r="Q150" s="86" t="n">
        <v>1.54</v>
      </c>
      <c r="R150" s="86" t="n">
        <v>0.1267</v>
      </c>
      <c r="S150" s="86" t="n">
        <v>4.35</v>
      </c>
      <c r="T150" s="86" t="n">
        <v>0.1319</v>
      </c>
      <c r="U150" s="86" t="n">
        <v>0.0429</v>
      </c>
      <c r="V150" s="86" t="n">
        <v>0.165</v>
      </c>
      <c r="W150" s="90" t="inlineStr">
        <is>
          <t>N/A</t>
        </is>
      </c>
      <c r="X150" s="86" t="n">
        <v>57.13</v>
      </c>
      <c r="Y150" s="86" t="n">
        <v>0</v>
      </c>
      <c r="Z150" s="86" t="inlineStr">
        <is>
          <t>CLEAR</t>
        </is>
      </c>
    </row>
    <row r="151" ht="17" customHeight="1">
      <c r="A151" s="82" t="n">
        <v>149</v>
      </c>
      <c r="B151" s="82" t="inlineStr">
        <is>
          <t>EL</t>
        </is>
      </c>
      <c r="C151" s="82" t="inlineStr">
        <is>
          <t>Estee Lauder Companies Inc</t>
        </is>
      </c>
      <c r="D151" s="82" t="n">
        <v>1.42</v>
      </c>
      <c r="E151" s="208" t="inlineStr">
        <is>
          <t>Grey</t>
        </is>
      </c>
      <c r="F151" s="82" t="n">
        <v>2.86</v>
      </c>
      <c r="G151" s="82" t="inlineStr">
        <is>
          <t>Safe</t>
        </is>
      </c>
      <c r="H151" s="82" t="n">
        <v>0.13</v>
      </c>
      <c r="I151" s="82" t="inlineStr">
        <is>
          <t>Distress</t>
        </is>
      </c>
      <c r="J151" s="82" t="n">
        <v>-1.99</v>
      </c>
      <c r="K151" s="82" t="n">
        <v>0.12</v>
      </c>
      <c r="L151" s="82" t="inlineStr">
        <is>
          <t>Healthy</t>
        </is>
      </c>
      <c r="M151" s="82" t="n">
        <v>7</v>
      </c>
      <c r="N151" s="82" t="inlineStr">
        <is>
          <t>Strong</t>
        </is>
      </c>
      <c r="O151" s="207" t="n">
        <v>-2.9</v>
      </c>
      <c r="P151" s="82" t="inlineStr">
        <is>
          <t>Lower Risk</t>
        </is>
      </c>
      <c r="Q151" s="82" t="n">
        <v>-25.02</v>
      </c>
      <c r="R151" s="82" t="n">
        <v>0.1224</v>
      </c>
      <c r="S151" s="82" t="n">
        <v>1.86</v>
      </c>
      <c r="T151" s="82" t="n">
        <v>0.0468</v>
      </c>
      <c r="U151" s="82" t="n">
        <v>-0.08210000000000001</v>
      </c>
      <c r="V151" s="82" t="n">
        <v>-0.0548</v>
      </c>
      <c r="W151" s="82" t="n">
        <v>-2.08</v>
      </c>
      <c r="X151" s="82" t="n">
        <v>57.06</v>
      </c>
      <c r="Y151" s="82" t="n">
        <v>0</v>
      </c>
      <c r="Z151" s="82" t="inlineStr">
        <is>
          <t>CLEAR</t>
        </is>
      </c>
    </row>
    <row r="152" ht="17" customHeight="1">
      <c r="A152" s="86" t="n">
        <v>150</v>
      </c>
      <c r="B152" s="86" t="inlineStr">
        <is>
          <t>EMR</t>
        </is>
      </c>
      <c r="C152" s="86" t="inlineStr">
        <is>
          <t>EMERSON ELECTRIC CO.</t>
        </is>
      </c>
      <c r="D152" s="86" t="n">
        <v>1.8</v>
      </c>
      <c r="E152" s="208" t="inlineStr">
        <is>
          <t>Grey</t>
        </is>
      </c>
      <c r="F152" s="86" t="n">
        <v>3.94</v>
      </c>
      <c r="G152" s="86" t="inlineStr">
        <is>
          <t>Safe</t>
        </is>
      </c>
      <c r="H152" s="86" t="n">
        <v>0.62</v>
      </c>
      <c r="I152" s="86" t="inlineStr">
        <is>
          <t>Distress</t>
        </is>
      </c>
      <c r="J152" s="86" t="n">
        <v>1.1</v>
      </c>
      <c r="K152" s="86" t="n">
        <v>0.75</v>
      </c>
      <c r="L152" s="86" t="inlineStr">
        <is>
          <t>Distress</t>
        </is>
      </c>
      <c r="M152" s="86" t="n">
        <v>7</v>
      </c>
      <c r="N152" s="86" t="inlineStr">
        <is>
          <t>Strong</t>
        </is>
      </c>
      <c r="O152" s="207" t="n">
        <v>-3</v>
      </c>
      <c r="P152" s="86" t="inlineStr">
        <is>
          <t>Lower Risk</t>
        </is>
      </c>
      <c r="Q152" s="86" t="n">
        <v>1.48</v>
      </c>
      <c r="R152" s="86" t="n">
        <v>0.1131</v>
      </c>
      <c r="S152" s="86" t="n">
        <v>1.35</v>
      </c>
      <c r="T152" s="86" t="n">
        <v>0.1092</v>
      </c>
      <c r="U152" s="86" t="n">
        <v>0.0078</v>
      </c>
      <c r="V152" s="86" t="n">
        <v>0.1202</v>
      </c>
      <c r="W152" s="86" t="n">
        <v>19.96</v>
      </c>
      <c r="X152" s="86" t="n">
        <v>57.02</v>
      </c>
      <c r="Y152" s="86" t="n">
        <v>0</v>
      </c>
      <c r="Z152" s="86" t="inlineStr">
        <is>
          <t>CLEAR</t>
        </is>
      </c>
    </row>
    <row r="153" ht="17" customHeight="1">
      <c r="A153" s="82" t="n">
        <v>151</v>
      </c>
      <c r="B153" s="82" t="inlineStr">
        <is>
          <t>ACN</t>
        </is>
      </c>
      <c r="C153" s="82" t="inlineStr">
        <is>
          <t>Accenture plc</t>
        </is>
      </c>
      <c r="D153" s="82" t="n">
        <v>2.12</v>
      </c>
      <c r="E153" s="208" t="inlineStr">
        <is>
          <t>Grey</t>
        </is>
      </c>
      <c r="F153" s="82" t="n">
        <v>3.46</v>
      </c>
      <c r="G153" s="82" t="inlineStr">
        <is>
          <t>Safe</t>
        </is>
      </c>
      <c r="H153" s="82" t="n">
        <v>1.37</v>
      </c>
      <c r="I153" s="82" t="inlineStr">
        <is>
          <t>Healthy</t>
        </is>
      </c>
      <c r="J153" s="82" t="n">
        <v>0.82</v>
      </c>
      <c r="K153" s="82" t="n">
        <v>0.6899999999999999</v>
      </c>
      <c r="L153" s="82" t="inlineStr">
        <is>
          <t>Distress</t>
        </is>
      </c>
      <c r="M153" s="82" t="n">
        <v>8</v>
      </c>
      <c r="N153" s="82" t="inlineStr">
        <is>
          <t>Strong</t>
        </is>
      </c>
      <c r="O153" s="207" t="n">
        <v>-0.8100000000000001</v>
      </c>
      <c r="P153" s="82" t="inlineStr">
        <is>
          <t>Higher Risk</t>
        </is>
      </c>
      <c r="Q153" s="82" t="n">
        <v>-0.98</v>
      </c>
      <c r="R153" s="82" t="n">
        <v>0.2461</v>
      </c>
      <c r="S153" s="82" t="n">
        <v>1.49</v>
      </c>
      <c r="T153" s="82" t="n">
        <v>0.1561</v>
      </c>
      <c r="U153" s="82" t="n">
        <v>2.9595</v>
      </c>
      <c r="V153" s="82" t="n">
        <v>0.1468</v>
      </c>
      <c r="W153" s="82" t="n">
        <v>44.74</v>
      </c>
      <c r="X153" s="82" t="n">
        <v>57.02</v>
      </c>
      <c r="Y153" s="82" t="n">
        <v>20</v>
      </c>
      <c r="Z153" s="82" t="inlineStr">
        <is>
          <t>CLEAR</t>
        </is>
      </c>
    </row>
    <row r="154" ht="17" customHeight="1">
      <c r="A154" s="86" t="n">
        <v>152</v>
      </c>
      <c r="B154" s="86" t="inlineStr">
        <is>
          <t>CBOE</t>
        </is>
      </c>
      <c r="C154" s="86" t="inlineStr">
        <is>
          <t>Cboe Global Markets, Inc.</t>
        </is>
      </c>
      <c r="D154" s="86" t="n">
        <v>1.73</v>
      </c>
      <c r="E154" s="208" t="inlineStr">
        <is>
          <t>Grey</t>
        </is>
      </c>
      <c r="F154" s="86" t="n">
        <v>5.05</v>
      </c>
      <c r="G154" s="86" t="inlineStr">
        <is>
          <t>Safe</t>
        </is>
      </c>
      <c r="H154" s="86" t="n">
        <v>1.25</v>
      </c>
      <c r="I154" s="86" t="inlineStr">
        <is>
          <t>Healthy</t>
        </is>
      </c>
      <c r="J154" s="86" t="n">
        <v>-2.32</v>
      </c>
      <c r="K154" s="86" t="n">
        <v>0.09</v>
      </c>
      <c r="L154" s="86" t="inlineStr">
        <is>
          <t>Healthy</t>
        </is>
      </c>
      <c r="M154" s="86" t="n">
        <v>8</v>
      </c>
      <c r="N154" s="86" t="inlineStr">
        <is>
          <t>Strong</t>
        </is>
      </c>
      <c r="O154" s="207" t="n">
        <v>-0.29</v>
      </c>
      <c r="P154" s="86" t="inlineStr">
        <is>
          <t>Higher Risk</t>
        </is>
      </c>
      <c r="Q154" s="86" t="n">
        <v>-0.51</v>
      </c>
      <c r="R154" s="86" t="n">
        <v>0.2141</v>
      </c>
      <c r="S154" s="86" t="n">
        <v>1.59</v>
      </c>
      <c r="T154" s="86" t="n">
        <v>0.7544</v>
      </c>
      <c r="U154" s="86" t="n">
        <v>2.3931</v>
      </c>
      <c r="V154" s="86" t="n">
        <v>0.6582</v>
      </c>
      <c r="W154" s="86" t="n">
        <v>34118.6</v>
      </c>
      <c r="X154" s="86" t="n">
        <v>56.97</v>
      </c>
      <c r="Y154" s="86" t="n">
        <v>20</v>
      </c>
      <c r="Z154" s="86" t="inlineStr">
        <is>
          <t>CLEAR</t>
        </is>
      </c>
    </row>
    <row r="155" ht="17" customHeight="1">
      <c r="A155" s="82" t="n">
        <v>153</v>
      </c>
      <c r="B155" s="82" t="inlineStr">
        <is>
          <t>DOCN</t>
        </is>
      </c>
      <c r="C155" s="82" t="inlineStr">
        <is>
          <t>DigitalOcean Holdings, Inc.</t>
        </is>
      </c>
      <c r="D155" s="82" t="n">
        <v>0.65</v>
      </c>
      <c r="E155" s="207" t="inlineStr">
        <is>
          <t>Distress</t>
        </is>
      </c>
      <c r="F155" s="82" t="n">
        <v>-0.21</v>
      </c>
      <c r="G155" s="82" t="inlineStr">
        <is>
          <t>Distress</t>
        </is>
      </c>
      <c r="H155" s="82" t="n">
        <v>0.57</v>
      </c>
      <c r="I155" s="82" t="inlineStr">
        <is>
          <t>Distress</t>
        </is>
      </c>
      <c r="J155" s="82" t="n">
        <v>0.8</v>
      </c>
      <c r="K155" s="82" t="n">
        <v>0.6899999999999999</v>
      </c>
      <c r="L155" s="82" t="inlineStr">
        <is>
          <t>Distress</t>
        </is>
      </c>
      <c r="M155" s="82" t="n">
        <v>8</v>
      </c>
      <c r="N155" s="82" t="inlineStr">
        <is>
          <t>Strong</t>
        </is>
      </c>
      <c r="O155" s="207" t="n">
        <v>-2.39</v>
      </c>
      <c r="P155" s="82" t="inlineStr">
        <is>
          <t>Lower Risk</t>
        </is>
      </c>
      <c r="Q155" s="82" t="n">
        <v>3.54</v>
      </c>
      <c r="R155" s="82" t="n">
        <v>-9.0367</v>
      </c>
      <c r="S155" s="82" t="n">
        <v>1.19</v>
      </c>
      <c r="T155" s="82" t="n">
        <v>0.2003</v>
      </c>
      <c r="U155" s="82" t="n">
        <v>0.1548</v>
      </c>
      <c r="V155" s="82" t="n">
        <v>0.1742</v>
      </c>
      <c r="W155" s="82" t="n">
        <v>17.55</v>
      </c>
      <c r="X155" s="82" t="n">
        <v>56.9</v>
      </c>
      <c r="Y155" s="82" t="n">
        <v>0</v>
      </c>
      <c r="Z155" s="82" t="inlineStr">
        <is>
          <t>CLEAR</t>
        </is>
      </c>
    </row>
    <row r="156" ht="17" customHeight="1">
      <c r="A156" s="86" t="n">
        <v>154</v>
      </c>
      <c r="B156" s="86" t="inlineStr">
        <is>
          <t>AME</t>
        </is>
      </c>
      <c r="C156" s="86" t="inlineStr">
        <is>
          <t>AMETEK, Inc.</t>
        </is>
      </c>
      <c r="D156" s="86" t="n">
        <v>2.3</v>
      </c>
      <c r="E156" s="208" t="inlineStr">
        <is>
          <t>Grey</t>
        </is>
      </c>
      <c r="F156" s="86" t="n">
        <v>5.41</v>
      </c>
      <c r="G156" s="86" t="inlineStr">
        <is>
          <t>Safe</t>
        </is>
      </c>
      <c r="H156" s="86" t="n">
        <v>0.98</v>
      </c>
      <c r="I156" s="86" t="inlineStr">
        <is>
          <t>Healthy</t>
        </is>
      </c>
      <c r="J156" s="86" t="n">
        <v>-2.83</v>
      </c>
      <c r="K156" s="86" t="n">
        <v>0.06</v>
      </c>
      <c r="L156" s="86" t="inlineStr">
        <is>
          <t>Healthy</t>
        </is>
      </c>
      <c r="M156" s="86" t="n">
        <v>6</v>
      </c>
      <c r="N156" s="86" t="inlineStr">
        <is>
          <t>Mixed</t>
        </is>
      </c>
      <c r="O156" s="207" t="n">
        <v>-2.42</v>
      </c>
      <c r="P156" s="86" t="inlineStr">
        <is>
          <t>Lower Risk</t>
        </is>
      </c>
      <c r="Q156" s="86" t="n">
        <v>0.78</v>
      </c>
      <c r="R156" s="86" t="n">
        <v>0.1393</v>
      </c>
      <c r="S156" s="86" t="n">
        <v>1.22</v>
      </c>
      <c r="T156" s="86" t="n">
        <v>0.2258</v>
      </c>
      <c r="U156" s="86" t="n">
        <v>0.0663</v>
      </c>
      <c r="V156" s="86" t="n">
        <v>0.2581</v>
      </c>
      <c r="W156" s="86" t="n">
        <v>23.35</v>
      </c>
      <c r="X156" s="86" t="n">
        <v>56.87</v>
      </c>
      <c r="Y156" s="86" t="n">
        <v>0</v>
      </c>
      <c r="Z156" s="86" t="inlineStr">
        <is>
          <t>CLEAR</t>
        </is>
      </c>
    </row>
    <row r="157" ht="17" customHeight="1">
      <c r="A157" s="82" t="n">
        <v>155</v>
      </c>
      <c r="B157" s="82" t="inlineStr">
        <is>
          <t>NFLX</t>
        </is>
      </c>
      <c r="C157" s="82" t="inlineStr">
        <is>
          <t>Netflix, Inc.</t>
        </is>
      </c>
      <c r="D157" s="82" t="n">
        <v>2.61</v>
      </c>
      <c r="E157" s="208" t="inlineStr">
        <is>
          <t>Grey</t>
        </is>
      </c>
      <c r="F157" s="82" t="n">
        <v>5.29</v>
      </c>
      <c r="G157" s="82" t="inlineStr">
        <is>
          <t>Safe</t>
        </is>
      </c>
      <c r="H157" s="82" t="n">
        <v>1.86</v>
      </c>
      <c r="I157" s="82" t="inlineStr">
        <is>
          <t>Healthy</t>
        </is>
      </c>
      <c r="J157" s="82" t="n">
        <v>-2.26</v>
      </c>
      <c r="K157" s="82" t="n">
        <v>0.09</v>
      </c>
      <c r="L157" s="82" t="inlineStr">
        <is>
          <t>Healthy</t>
        </is>
      </c>
      <c r="M157" s="82" t="n">
        <v>6</v>
      </c>
      <c r="N157" s="82" t="inlineStr">
        <is>
          <t>Mixed</t>
        </is>
      </c>
      <c r="O157" s="91" t="inlineStr">
        <is>
          <t>N/A</t>
        </is>
      </c>
      <c r="P157" s="82" t="inlineStr">
        <is>
          <t>Insufficient Data</t>
        </is>
      </c>
      <c r="Q157" s="82" t="n">
        <v>0.96</v>
      </c>
      <c r="R157" s="82" t="n">
        <v>0.4126</v>
      </c>
      <c r="S157" s="82" t="n">
        <v>0.92</v>
      </c>
      <c r="T157" s="82" t="n">
        <v>0.2094</v>
      </c>
      <c r="U157" s="82" t="n">
        <v>0.1585</v>
      </c>
      <c r="V157" s="82" t="n">
        <v>0.2949</v>
      </c>
      <c r="W157" s="82" t="n">
        <v>19.04</v>
      </c>
      <c r="X157" s="82" t="n">
        <v>56.85</v>
      </c>
      <c r="Y157" s="82" t="n">
        <v>0</v>
      </c>
      <c r="Z157" s="82" t="inlineStr">
        <is>
          <t>CLEAR</t>
        </is>
      </c>
    </row>
    <row r="158" ht="17" customHeight="1">
      <c r="A158" s="86" t="n">
        <v>156</v>
      </c>
      <c r="B158" s="86" t="inlineStr">
        <is>
          <t>AIZ</t>
        </is>
      </c>
      <c r="C158" s="86" t="inlineStr">
        <is>
          <t>Assurant, Inc.</t>
        </is>
      </c>
      <c r="D158" s="90" t="inlineStr">
        <is>
          <t>N/A</t>
        </is>
      </c>
      <c r="E158" s="90" t="inlineStr">
        <is>
          <t>N/A</t>
        </is>
      </c>
      <c r="F158" s="90" t="inlineStr">
        <is>
          <t>N/A</t>
        </is>
      </c>
      <c r="G158" s="90" t="inlineStr">
        <is>
          <t>N/A</t>
        </is>
      </c>
      <c r="H158" s="90" t="inlineStr">
        <is>
          <t>N/A</t>
        </is>
      </c>
      <c r="I158" s="90" t="inlineStr">
        <is>
          <t>N/A</t>
        </is>
      </c>
      <c r="J158" s="90" t="inlineStr">
        <is>
          <t>N/A</t>
        </is>
      </c>
      <c r="K158" s="90" t="inlineStr">
        <is>
          <t>N/A</t>
        </is>
      </c>
      <c r="L158" s="90" t="inlineStr">
        <is>
          <t>N/A</t>
        </is>
      </c>
      <c r="M158" s="86" t="n">
        <v>8</v>
      </c>
      <c r="N158" s="86" t="inlineStr">
        <is>
          <t>Strong</t>
        </is>
      </c>
      <c r="O158" s="90" t="inlineStr">
        <is>
          <t>N/A</t>
        </is>
      </c>
      <c r="P158" s="86" t="inlineStr">
        <is>
          <t>Insufficient Data</t>
        </is>
      </c>
      <c r="Q158" s="86" t="n">
        <v>0.14</v>
      </c>
      <c r="R158" s="86" t="n">
        <v>0.1486</v>
      </c>
      <c r="S158" s="86" t="n">
        <v>2.1</v>
      </c>
      <c r="T158" s="86" t="n">
        <v>0.1247</v>
      </c>
      <c r="U158" s="86" t="n">
        <v>0.0789</v>
      </c>
      <c r="V158" s="86" t="n">
        <v>0.0849</v>
      </c>
      <c r="W158" s="86" t="n">
        <v>10.07</v>
      </c>
      <c r="X158" s="86" t="n">
        <v>56.85</v>
      </c>
      <c r="Y158" s="86" t="n">
        <v>0</v>
      </c>
      <c r="Z158" s="86" t="inlineStr">
        <is>
          <t>CLEAR</t>
        </is>
      </c>
    </row>
    <row r="159" ht="17" customHeight="1">
      <c r="A159" s="82" t="n">
        <v>157</v>
      </c>
      <c r="B159" s="82" t="inlineStr">
        <is>
          <t>IRDM</t>
        </is>
      </c>
      <c r="C159" s="82" t="inlineStr">
        <is>
          <t>Iridium Communications Inc.</t>
        </is>
      </c>
      <c r="D159" s="82" t="n">
        <v>0.63</v>
      </c>
      <c r="E159" s="207" t="inlineStr">
        <is>
          <t>Distress</t>
        </is>
      </c>
      <c r="F159" s="82" t="n">
        <v>0.75</v>
      </c>
      <c r="G159" s="82" t="inlineStr">
        <is>
          <t>Distress</t>
        </is>
      </c>
      <c r="H159" s="82" t="n">
        <v>1.35</v>
      </c>
      <c r="I159" s="82" t="inlineStr">
        <is>
          <t>Healthy</t>
        </is>
      </c>
      <c r="J159" s="82" t="n">
        <v>0.11</v>
      </c>
      <c r="K159" s="82" t="n">
        <v>0.53</v>
      </c>
      <c r="L159" s="82" t="inlineStr">
        <is>
          <t>Distress</t>
        </is>
      </c>
      <c r="M159" s="82" t="n">
        <v>8</v>
      </c>
      <c r="N159" s="82" t="inlineStr">
        <is>
          <t>Strong</t>
        </is>
      </c>
      <c r="O159" s="207" t="n">
        <v>-3.17</v>
      </c>
      <c r="P159" s="82" t="inlineStr">
        <is>
          <t>Lower Risk</t>
        </is>
      </c>
      <c r="Q159" s="82" t="n">
        <v>3.72</v>
      </c>
      <c r="R159" s="82" t="n">
        <v>0.2472</v>
      </c>
      <c r="S159" s="82" t="n">
        <v>3.5</v>
      </c>
      <c r="T159" s="82" t="n">
        <v>0.3439</v>
      </c>
      <c r="U159" s="82" t="n">
        <v>0.0493</v>
      </c>
      <c r="V159" s="82" t="n">
        <v>0.2707</v>
      </c>
      <c r="W159" s="82" t="n">
        <v>16.05</v>
      </c>
      <c r="X159" s="82" t="n">
        <v>56.83</v>
      </c>
      <c r="Y159" s="82" t="n">
        <v>20</v>
      </c>
      <c r="Z159" s="82" t="inlineStr">
        <is>
          <t>CLEAR</t>
        </is>
      </c>
    </row>
    <row r="160" ht="17" customHeight="1">
      <c r="A160" s="86" t="n">
        <v>158</v>
      </c>
      <c r="B160" s="86" t="inlineStr">
        <is>
          <t>BURL</t>
        </is>
      </c>
      <c r="C160" s="86" t="inlineStr">
        <is>
          <t>BURLINGTON STORES, INC.</t>
        </is>
      </c>
      <c r="D160" s="86" t="n">
        <v>1.71</v>
      </c>
      <c r="E160" s="208" t="inlineStr">
        <is>
          <t>Grey</t>
        </is>
      </c>
      <c r="F160" s="86" t="n">
        <v>1.78</v>
      </c>
      <c r="G160" s="86" t="inlineStr">
        <is>
          <t>Grey</t>
        </is>
      </c>
      <c r="H160" s="86" t="n">
        <v>1.01</v>
      </c>
      <c r="I160" s="86" t="inlineStr">
        <is>
          <t>Healthy</t>
        </is>
      </c>
      <c r="J160" s="86" t="n">
        <v>1.07</v>
      </c>
      <c r="K160" s="86" t="n">
        <v>0.74</v>
      </c>
      <c r="L160" s="86" t="inlineStr">
        <is>
          <t>Distress</t>
        </is>
      </c>
      <c r="M160" s="86" t="n">
        <v>7</v>
      </c>
      <c r="N160" s="86" t="inlineStr">
        <is>
          <t>Strong</t>
        </is>
      </c>
      <c r="O160" s="207" t="n">
        <v>-2.83</v>
      </c>
      <c r="P160" s="86" t="inlineStr">
        <is>
          <t>Lower Risk</t>
        </is>
      </c>
      <c r="Q160" s="86" t="n">
        <v>0.64</v>
      </c>
      <c r="R160" s="86" t="n">
        <v>0.3376</v>
      </c>
      <c r="S160" s="86" t="n">
        <v>2.02</v>
      </c>
      <c r="T160" s="86" t="n">
        <v>0.0148</v>
      </c>
      <c r="U160" s="86" t="n">
        <v>0.0876</v>
      </c>
      <c r="V160" s="86" t="n">
        <v>0.0706</v>
      </c>
      <c r="W160" s="86" t="n">
        <v>16.62</v>
      </c>
      <c r="X160" s="86" t="n">
        <v>56.72</v>
      </c>
      <c r="Y160" s="86" t="n">
        <v>0</v>
      </c>
      <c r="Z160" s="86" t="inlineStr">
        <is>
          <t>CLEAR</t>
        </is>
      </c>
    </row>
    <row r="161" ht="17" customHeight="1">
      <c r="A161" s="82" t="n">
        <v>159</v>
      </c>
      <c r="B161" s="82" t="inlineStr">
        <is>
          <t>SPGI</t>
        </is>
      </c>
      <c r="C161" s="82" t="inlineStr">
        <is>
          <t>S&amp;P Global Inc.</t>
        </is>
      </c>
      <c r="D161" s="82" t="n">
        <v>1.26</v>
      </c>
      <c r="E161" s="208" t="inlineStr">
        <is>
          <t>Grey</t>
        </is>
      </c>
      <c r="F161" s="82" t="n">
        <v>3.13</v>
      </c>
      <c r="G161" s="82" t="inlineStr">
        <is>
          <t>Safe</t>
        </is>
      </c>
      <c r="H161" s="82" t="n">
        <v>0.88</v>
      </c>
      <c r="I161" s="82" t="inlineStr">
        <is>
          <t>Healthy</t>
        </is>
      </c>
      <c r="J161" s="82" t="n">
        <v>-2.34</v>
      </c>
      <c r="K161" s="82" t="n">
        <v>0.09</v>
      </c>
      <c r="L161" s="82" t="inlineStr">
        <is>
          <t>Healthy</t>
        </is>
      </c>
      <c r="M161" s="82" t="n">
        <v>7</v>
      </c>
      <c r="N161" s="82" t="inlineStr">
        <is>
          <t>Strong</t>
        </is>
      </c>
      <c r="O161" s="207" t="n">
        <v>-4.96</v>
      </c>
      <c r="P161" s="82" t="inlineStr">
        <is>
          <t>Lower Risk</t>
        </is>
      </c>
      <c r="Q161" s="82" t="n">
        <v>1.48</v>
      </c>
      <c r="R161" s="82" t="n">
        <v>0.1436</v>
      </c>
      <c r="S161" s="82" t="n">
        <v>1.26</v>
      </c>
      <c r="T161" s="82" t="n">
        <v>0.9207</v>
      </c>
      <c r="U161" s="82" t="n">
        <v>2.8156</v>
      </c>
      <c r="V161" s="82" t="n">
        <v>1.0684</v>
      </c>
      <c r="W161" s="82" t="n">
        <v>19.4</v>
      </c>
      <c r="X161" s="82" t="n">
        <v>56.68</v>
      </c>
      <c r="Y161" s="82" t="n">
        <v>0</v>
      </c>
      <c r="Z161" s="82" t="inlineStr">
        <is>
          <t>CLEAR</t>
        </is>
      </c>
    </row>
    <row r="162" ht="17" customHeight="1">
      <c r="A162" s="86" t="n">
        <v>160</v>
      </c>
      <c r="B162" s="86" t="inlineStr">
        <is>
          <t>DGX</t>
        </is>
      </c>
      <c r="C162" s="86" t="inlineStr">
        <is>
          <t>QUEST DIAGNOSTICS INC</t>
        </is>
      </c>
      <c r="D162" s="86" t="n">
        <v>1.69</v>
      </c>
      <c r="E162" s="208" t="inlineStr">
        <is>
          <t>Grey</t>
        </is>
      </c>
      <c r="F162" s="86" t="n">
        <v>3.16</v>
      </c>
      <c r="G162" s="86" t="inlineStr">
        <is>
          <t>Safe</t>
        </is>
      </c>
      <c r="H162" s="86" t="n">
        <v>0.92</v>
      </c>
      <c r="I162" s="86" t="inlineStr">
        <is>
          <t>Healthy</t>
        </is>
      </c>
      <c r="J162" s="86" t="n">
        <v>1.07</v>
      </c>
      <c r="K162" s="86" t="n">
        <v>0.74</v>
      </c>
      <c r="L162" s="86" t="inlineStr">
        <is>
          <t>Distress</t>
        </is>
      </c>
      <c r="M162" s="86" t="n">
        <v>7</v>
      </c>
      <c r="N162" s="86" t="inlineStr">
        <is>
          <t>Strong</t>
        </is>
      </c>
      <c r="O162" s="207" t="n">
        <v>-3.1</v>
      </c>
      <c r="P162" s="86" t="inlineStr">
        <is>
          <t>Lower Risk</t>
        </is>
      </c>
      <c r="Q162" s="86" t="n">
        <v>2.47</v>
      </c>
      <c r="R162" s="86" t="n">
        <v>0.1384</v>
      </c>
      <c r="S162" s="86" t="n">
        <v>1.9</v>
      </c>
      <c r="T162" s="86" t="n">
        <v>0.1232</v>
      </c>
      <c r="U162" s="86" t="n">
        <v>0.1178</v>
      </c>
      <c r="V162" s="86" t="n">
        <v>0.141</v>
      </c>
      <c r="W162" s="86" t="n">
        <v>9.550000000000001</v>
      </c>
      <c r="X162" s="86" t="n">
        <v>56.63</v>
      </c>
      <c r="Y162" s="86" t="n">
        <v>0</v>
      </c>
      <c r="Z162" s="86" t="inlineStr">
        <is>
          <t>CLEAR</t>
        </is>
      </c>
    </row>
    <row r="163" ht="17" customHeight="1">
      <c r="A163" s="82" t="n">
        <v>161</v>
      </c>
      <c r="B163" s="82" t="inlineStr">
        <is>
          <t>HRB</t>
        </is>
      </c>
      <c r="C163" s="82" t="inlineStr">
        <is>
          <t>H&amp;R Block, Inc.</t>
        </is>
      </c>
      <c r="D163" s="82" t="n">
        <v>1.68</v>
      </c>
      <c r="E163" s="208" t="inlineStr">
        <is>
          <t>Grey</t>
        </is>
      </c>
      <c r="F163" s="82" t="n">
        <v>1.34</v>
      </c>
      <c r="G163" s="82" t="inlineStr">
        <is>
          <t>Grey</t>
        </is>
      </c>
      <c r="H163" s="82" t="n">
        <v>1.46</v>
      </c>
      <c r="I163" s="82" t="inlineStr">
        <is>
          <t>Healthy</t>
        </is>
      </c>
      <c r="J163" s="82" t="n">
        <v>0.35</v>
      </c>
      <c r="K163" s="82" t="n">
        <v>0.59</v>
      </c>
      <c r="L163" s="82" t="inlineStr">
        <is>
          <t>Distress</t>
        </is>
      </c>
      <c r="M163" s="82" t="n">
        <v>7</v>
      </c>
      <c r="N163" s="82" t="inlineStr">
        <is>
          <t>Strong</t>
        </is>
      </c>
      <c r="O163" s="207" t="n">
        <v>-2.79</v>
      </c>
      <c r="P163" s="82" t="inlineStr">
        <is>
          <t>Lower Risk</t>
        </is>
      </c>
      <c r="Q163" s="82" t="n">
        <v>0.61</v>
      </c>
      <c r="R163" s="82" t="n">
        <v>6.8144</v>
      </c>
      <c r="S163" s="82" t="n">
        <v>1.12</v>
      </c>
      <c r="T163" s="82" t="n">
        <v>0.1895</v>
      </c>
      <c r="U163" s="82" t="n">
        <v>0.3206</v>
      </c>
      <c r="V163" s="82" t="n">
        <v>0.2415</v>
      </c>
      <c r="W163" s="82" t="n">
        <v>16.62</v>
      </c>
      <c r="X163" s="82" t="n">
        <v>56.59</v>
      </c>
      <c r="Y163" s="82" t="n">
        <v>0</v>
      </c>
      <c r="Z163" s="82" t="inlineStr">
        <is>
          <t>CLEAR</t>
        </is>
      </c>
    </row>
    <row r="164" ht="17" customHeight="1">
      <c r="A164" s="86" t="n">
        <v>162</v>
      </c>
      <c r="B164" s="86" t="inlineStr">
        <is>
          <t>AEP</t>
        </is>
      </c>
      <c r="C164" s="86" t="inlineStr">
        <is>
          <t>American Electric Power Company, Inc.</t>
        </is>
      </c>
      <c r="D164" s="86" t="n">
        <v>0.5600000000000001</v>
      </c>
      <c r="E164" s="207" t="inlineStr">
        <is>
          <t>Distress</t>
        </is>
      </c>
      <c r="F164" s="86" t="n">
        <v>0.73</v>
      </c>
      <c r="G164" s="86" t="inlineStr">
        <is>
          <t>Distress</t>
        </is>
      </c>
      <c r="H164" s="86" t="n">
        <v>0.34</v>
      </c>
      <c r="I164" s="86" t="inlineStr">
        <is>
          <t>Distress</t>
        </is>
      </c>
      <c r="J164" s="86" t="n">
        <v>-0.31</v>
      </c>
      <c r="K164" s="86" t="n">
        <v>0.42</v>
      </c>
      <c r="L164" s="86" t="inlineStr">
        <is>
          <t>Healthy</t>
        </is>
      </c>
      <c r="M164" s="86" t="n">
        <v>8</v>
      </c>
      <c r="N164" s="86" t="inlineStr">
        <is>
          <t>Strong</t>
        </is>
      </c>
      <c r="O164" s="207" t="n">
        <v>-2.64</v>
      </c>
      <c r="P164" s="86" t="inlineStr">
        <is>
          <t>Lower Risk</t>
        </is>
      </c>
      <c r="Q164" s="86" t="n">
        <v>6.77</v>
      </c>
      <c r="R164" s="86" t="n">
        <v>0.0475</v>
      </c>
      <c r="S164" s="86" t="n">
        <v>4.69</v>
      </c>
      <c r="T164" s="86" t="n">
        <v>0.3174</v>
      </c>
      <c r="U164" s="86" t="n">
        <v>0.1093</v>
      </c>
      <c r="V164" s="86" t="n">
        <v>0.2431</v>
      </c>
      <c r="W164" s="86" t="n">
        <v>2.94</v>
      </c>
      <c r="X164" s="86" t="n">
        <v>56.58</v>
      </c>
      <c r="Y164" s="86" t="n">
        <v>0</v>
      </c>
      <c r="Z164" s="86" t="inlineStr">
        <is>
          <t>CLEAR</t>
        </is>
      </c>
    </row>
    <row r="165" ht="17" customHeight="1">
      <c r="A165" s="82" t="n">
        <v>163</v>
      </c>
      <c r="B165" s="82" t="inlineStr">
        <is>
          <t>EW</t>
        </is>
      </c>
      <c r="C165" s="82" t="inlineStr">
        <is>
          <t>EDWARDS LIFESCIENCES CORPORATION</t>
        </is>
      </c>
      <c r="D165" s="82" t="n">
        <v>3.16</v>
      </c>
      <c r="E165" s="206" t="inlineStr">
        <is>
          <t>Safe</t>
        </is>
      </c>
      <c r="F165" s="82" t="n">
        <v>9.6</v>
      </c>
      <c r="G165" s="82" t="inlineStr">
        <is>
          <t>Safe</t>
        </is>
      </c>
      <c r="H165" s="82" t="n">
        <v>1.29</v>
      </c>
      <c r="I165" s="82" t="inlineStr">
        <is>
          <t>Healthy</t>
        </is>
      </c>
      <c r="J165" s="82" t="n">
        <v>-3.28</v>
      </c>
      <c r="K165" s="82" t="n">
        <v>0.04</v>
      </c>
      <c r="L165" s="82" t="inlineStr">
        <is>
          <t>Healthy</t>
        </is>
      </c>
      <c r="M165" s="82" t="n">
        <v>5</v>
      </c>
      <c r="N165" s="82" t="inlineStr">
        <is>
          <t>Mixed</t>
        </is>
      </c>
      <c r="O165" s="207" t="n">
        <v>-2.73</v>
      </c>
      <c r="P165" s="82" t="inlineStr">
        <is>
          <t>Lower Risk</t>
        </is>
      </c>
      <c r="Q165" s="82" t="n">
        <v>-1.65</v>
      </c>
      <c r="R165" s="82" t="n">
        <v>0.1038</v>
      </c>
      <c r="S165" s="82" t="n">
        <v>1.49</v>
      </c>
      <c r="T165" s="82" t="n">
        <v>0.22</v>
      </c>
      <c r="U165" s="82" t="n">
        <v>0.1155</v>
      </c>
      <c r="V165" s="82" t="n">
        <v>0.2084</v>
      </c>
      <c r="W165" s="82" t="n">
        <v>71.83</v>
      </c>
      <c r="X165" s="82" t="n">
        <v>56.53</v>
      </c>
      <c r="Y165" s="82" t="n">
        <v>0</v>
      </c>
      <c r="Z165" s="82" t="inlineStr">
        <is>
          <t>CLEAR</t>
        </is>
      </c>
    </row>
    <row r="166" ht="17" customHeight="1">
      <c r="A166" s="86" t="n">
        <v>164</v>
      </c>
      <c r="B166" s="86" t="inlineStr">
        <is>
          <t>OLLI</t>
        </is>
      </c>
      <c r="C166" s="86" t="inlineStr">
        <is>
          <t>Ollie’s Bargain Outlet Holdings, Inc.</t>
        </is>
      </c>
      <c r="D166" s="86" t="n">
        <v>2.55</v>
      </c>
      <c r="E166" s="208" t="inlineStr">
        <is>
          <t>Grey</t>
        </is>
      </c>
      <c r="F166" s="86" t="n">
        <v>5.56</v>
      </c>
      <c r="G166" s="86" t="inlineStr">
        <is>
          <t>Safe</t>
        </is>
      </c>
      <c r="H166" s="86" t="n">
        <v>1.39</v>
      </c>
      <c r="I166" s="86" t="inlineStr">
        <is>
          <t>Healthy</t>
        </is>
      </c>
      <c r="J166" s="86" t="n">
        <v>-2.64</v>
      </c>
      <c r="K166" s="86" t="n">
        <v>0.07000000000000001</v>
      </c>
      <c r="L166" s="86" t="inlineStr">
        <is>
          <t>Healthy</t>
        </is>
      </c>
      <c r="M166" s="86" t="n">
        <v>7</v>
      </c>
      <c r="N166" s="86" t="inlineStr">
        <is>
          <t>Strong</t>
        </is>
      </c>
      <c r="O166" s="207" t="n">
        <v>-2.03</v>
      </c>
      <c r="P166" s="86" t="inlineStr">
        <is>
          <t>Higher Risk</t>
        </is>
      </c>
      <c r="Q166" s="86" t="n">
        <v>-0.18</v>
      </c>
      <c r="R166" s="86" t="n">
        <v>0.1274</v>
      </c>
      <c r="S166" s="86" t="n">
        <v>1.23</v>
      </c>
      <c r="T166" s="86" t="n">
        <v>0.0735</v>
      </c>
      <c r="U166" s="86" t="n">
        <v>0.1662</v>
      </c>
      <c r="V166" s="86" t="n">
        <v>0.1124</v>
      </c>
      <c r="W166" s="86" t="n">
        <v>19.31</v>
      </c>
      <c r="X166" s="86" t="n">
        <v>56.48</v>
      </c>
      <c r="Y166" s="86" t="n">
        <v>20</v>
      </c>
      <c r="Z166" s="86" t="inlineStr">
        <is>
          <t>CLEAR</t>
        </is>
      </c>
    </row>
    <row r="167" ht="17" customHeight="1">
      <c r="A167" s="82" t="n">
        <v>165</v>
      </c>
      <c r="B167" s="82" t="inlineStr">
        <is>
          <t>GLW</t>
        </is>
      </c>
      <c r="C167" s="82" t="inlineStr">
        <is>
          <t>CORNING INC /NY</t>
        </is>
      </c>
      <c r="D167" s="82" t="n">
        <v>1.53</v>
      </c>
      <c r="E167" s="208" t="inlineStr">
        <is>
          <t>Grey</t>
        </is>
      </c>
      <c r="F167" s="82" t="n">
        <v>3.6</v>
      </c>
      <c r="G167" s="82" t="inlineStr">
        <is>
          <t>Safe</t>
        </is>
      </c>
      <c r="H167" s="82" t="n">
        <v>0.78</v>
      </c>
      <c r="I167" s="82" t="inlineStr">
        <is>
          <t>Distress</t>
        </is>
      </c>
      <c r="J167" s="82" t="n">
        <v>-1.14</v>
      </c>
      <c r="K167" s="82" t="n">
        <v>0.24</v>
      </c>
      <c r="L167" s="82" t="inlineStr">
        <is>
          <t>Healthy</t>
        </is>
      </c>
      <c r="M167" s="82" t="n">
        <v>7</v>
      </c>
      <c r="N167" s="82" t="inlineStr">
        <is>
          <t>Strong</t>
        </is>
      </c>
      <c r="O167" s="207" t="n">
        <v>-2.5</v>
      </c>
      <c r="P167" s="82" t="inlineStr">
        <is>
          <t>Lower Risk</t>
        </is>
      </c>
      <c r="Q167" s="82" t="n">
        <v>0.55</v>
      </c>
      <c r="R167" s="82" t="n">
        <v>0.1352</v>
      </c>
      <c r="S167" s="82" t="n">
        <v>1.69</v>
      </c>
      <c r="T167" s="82" t="n">
        <v>0.09039999999999999</v>
      </c>
      <c r="U167" s="82" t="n">
        <v>0.1914</v>
      </c>
      <c r="V167" s="82" t="n">
        <v>0.1458</v>
      </c>
      <c r="W167" s="82" t="n">
        <v>7.33</v>
      </c>
      <c r="X167" s="82" t="n">
        <v>56.45</v>
      </c>
      <c r="Y167" s="82" t="n">
        <v>0</v>
      </c>
      <c r="Z167" s="82" t="inlineStr">
        <is>
          <t>CLEAR</t>
        </is>
      </c>
    </row>
    <row r="168" ht="17" customHeight="1">
      <c r="A168" s="86" t="n">
        <v>166</v>
      </c>
      <c r="B168" s="86" t="inlineStr">
        <is>
          <t>IBM</t>
        </is>
      </c>
      <c r="C168" s="86" t="inlineStr">
        <is>
          <t>INTERNATIONAL BUSINESS MACHINES CORP</t>
        </is>
      </c>
      <c r="D168" s="86" t="n">
        <v>1.63</v>
      </c>
      <c r="E168" s="208" t="inlineStr">
        <is>
          <t>Grey</t>
        </is>
      </c>
      <c r="F168" s="86" t="n">
        <v>4.01</v>
      </c>
      <c r="G168" s="86" t="inlineStr">
        <is>
          <t>Safe</t>
        </is>
      </c>
      <c r="H168" s="86" t="n">
        <v>0.55</v>
      </c>
      <c r="I168" s="86" t="inlineStr">
        <is>
          <t>Distress</t>
        </is>
      </c>
      <c r="J168" s="86" t="n">
        <v>-0.19</v>
      </c>
      <c r="K168" s="86" t="n">
        <v>0.45</v>
      </c>
      <c r="L168" s="86" t="inlineStr">
        <is>
          <t>Healthy</t>
        </is>
      </c>
      <c r="M168" s="86" t="n">
        <v>7</v>
      </c>
      <c r="N168" s="86" t="inlineStr">
        <is>
          <t>Strong</t>
        </is>
      </c>
      <c r="O168" s="207" t="n">
        <v>-2.5</v>
      </c>
      <c r="P168" s="86" t="inlineStr">
        <is>
          <t>Lower Risk</t>
        </is>
      </c>
      <c r="Q168" s="86" t="n">
        <v>2.3</v>
      </c>
      <c r="R168" s="86" t="n">
        <v>0.3245</v>
      </c>
      <c r="S168" s="86" t="n">
        <v>1.25</v>
      </c>
      <c r="T168" s="86" t="n">
        <v>0.1792</v>
      </c>
      <c r="U168" s="86" t="n">
        <v>0.0762</v>
      </c>
      <c r="V168" s="86" t="n">
        <v>0.1529</v>
      </c>
      <c r="W168" s="86" t="n">
        <v>5.34</v>
      </c>
      <c r="X168" s="86" t="n">
        <v>56.43</v>
      </c>
      <c r="Y168" s="86" t="n">
        <v>0</v>
      </c>
      <c r="Z168" s="86" t="inlineStr">
        <is>
          <t>CLEAR</t>
        </is>
      </c>
    </row>
    <row r="169" ht="17" customHeight="1">
      <c r="A169" s="82" t="n">
        <v>167</v>
      </c>
      <c r="B169" s="82" t="inlineStr">
        <is>
          <t>LRCX</t>
        </is>
      </c>
      <c r="C169" s="82" t="inlineStr">
        <is>
          <t>LAM RESEARCH CORPORATION</t>
        </is>
      </c>
      <c r="D169" s="82" t="n">
        <v>2.79</v>
      </c>
      <c r="E169" s="208" t="inlineStr">
        <is>
          <t>Grey</t>
        </is>
      </c>
      <c r="F169" s="82" t="n">
        <v>9.630000000000001</v>
      </c>
      <c r="G169" s="82" t="inlineStr">
        <is>
          <t>Safe</t>
        </is>
      </c>
      <c r="H169" s="82" t="n">
        <v>1.89</v>
      </c>
      <c r="I169" s="82" t="inlineStr">
        <is>
          <t>Healthy</t>
        </is>
      </c>
      <c r="J169" s="82" t="n">
        <v>-2.4</v>
      </c>
      <c r="K169" s="82" t="n">
        <v>0.08</v>
      </c>
      <c r="L169" s="82" t="inlineStr">
        <is>
          <t>Healthy</t>
        </is>
      </c>
      <c r="M169" s="82" t="n">
        <v>7</v>
      </c>
      <c r="N169" s="82" t="inlineStr">
        <is>
          <t>Strong</t>
        </is>
      </c>
      <c r="O169" s="207" t="n">
        <v>-2.14</v>
      </c>
      <c r="P169" s="82" t="inlineStr">
        <is>
          <t>Higher Risk</t>
        </is>
      </c>
      <c r="Q169" s="82" t="n">
        <v>-0.31</v>
      </c>
      <c r="R169" s="82" t="n">
        <v>0.5433</v>
      </c>
      <c r="S169" s="82" t="n">
        <v>1.15</v>
      </c>
      <c r="T169" s="82" t="n">
        <v>1.6722</v>
      </c>
      <c r="U169" s="82" t="n">
        <v>0.5174</v>
      </c>
      <c r="V169" s="82" t="n">
        <v>1.8226</v>
      </c>
      <c r="W169" s="82" t="n">
        <v>31.65</v>
      </c>
      <c r="X169" s="82" t="n">
        <v>56.25</v>
      </c>
      <c r="Y169" s="82" t="n">
        <v>20</v>
      </c>
      <c r="Z169" s="82" t="inlineStr">
        <is>
          <t>CLEAR</t>
        </is>
      </c>
    </row>
    <row r="170" ht="17" customHeight="1">
      <c r="A170" s="86" t="n">
        <v>168</v>
      </c>
      <c r="B170" s="86" t="inlineStr">
        <is>
          <t>SWK</t>
        </is>
      </c>
      <c r="C170" s="86" t="inlineStr">
        <is>
          <t>STANLEY BLACK &amp; DECKER, INC.</t>
        </is>
      </c>
      <c r="D170" s="86" t="n">
        <v>1.56</v>
      </c>
      <c r="E170" s="208" t="inlineStr">
        <is>
          <t>Grey</t>
        </is>
      </c>
      <c r="F170" s="86" t="n">
        <v>2.63</v>
      </c>
      <c r="G170" s="86" t="inlineStr">
        <is>
          <t>Safe</t>
        </is>
      </c>
      <c r="H170" s="86" t="n">
        <v>0.6899999999999999</v>
      </c>
      <c r="I170" s="86" t="inlineStr">
        <is>
          <t>Distress</t>
        </is>
      </c>
      <c r="J170" s="86" t="n">
        <v>1.26</v>
      </c>
      <c r="K170" s="86" t="n">
        <v>0.78</v>
      </c>
      <c r="L170" s="86" t="inlineStr">
        <is>
          <t>Distress</t>
        </is>
      </c>
      <c r="M170" s="86" t="n">
        <v>7</v>
      </c>
      <c r="N170" s="86" t="inlineStr">
        <is>
          <t>Strong</t>
        </is>
      </c>
      <c r="O170" s="90" t="inlineStr">
        <is>
          <t>N/A</t>
        </is>
      </c>
      <c r="P170" s="86" t="inlineStr">
        <is>
          <t>Insufficient Data</t>
        </is>
      </c>
      <c r="Q170" s="86" t="n">
        <v>1.85</v>
      </c>
      <c r="R170" s="86" t="n">
        <v>0.0444</v>
      </c>
      <c r="S170" s="86" t="n">
        <v>2.42</v>
      </c>
      <c r="T170" s="86" t="n">
        <v>0.0455</v>
      </c>
      <c r="U170" s="86" t="n">
        <v>-0.0153</v>
      </c>
      <c r="V170" s="86" t="n">
        <v>0.1438</v>
      </c>
      <c r="W170" s="86" t="n">
        <v>4.21</v>
      </c>
      <c r="X170" s="86" t="n">
        <v>56.19</v>
      </c>
      <c r="Y170" s="86" t="n">
        <v>0</v>
      </c>
      <c r="Z170" s="86" t="inlineStr">
        <is>
          <t>CLEAR</t>
        </is>
      </c>
    </row>
    <row r="171" ht="17" customHeight="1">
      <c r="A171" s="82" t="n">
        <v>169</v>
      </c>
      <c r="B171" s="82" t="inlineStr">
        <is>
          <t>EXPD</t>
        </is>
      </c>
      <c r="C171" s="82" t="inlineStr">
        <is>
          <t>EXPEDITORS INTERNATIONAL OF WASHINGTON, INC.</t>
        </is>
      </c>
      <c r="D171" s="82" t="n">
        <v>2.97</v>
      </c>
      <c r="E171" s="206" t="inlineStr">
        <is>
          <t>Safe</t>
        </is>
      </c>
      <c r="F171" s="82" t="n">
        <v>5.9</v>
      </c>
      <c r="G171" s="82" t="inlineStr">
        <is>
          <t>Safe</t>
        </is>
      </c>
      <c r="H171" s="82" t="n">
        <v>1.93</v>
      </c>
      <c r="I171" s="82" t="inlineStr">
        <is>
          <t>Healthy</t>
        </is>
      </c>
      <c r="J171" s="82" t="n">
        <v>0.6</v>
      </c>
      <c r="K171" s="82" t="n">
        <v>0.65</v>
      </c>
      <c r="L171" s="82" t="inlineStr">
        <is>
          <t>Distress</t>
        </is>
      </c>
      <c r="M171" s="82" t="n">
        <v>7</v>
      </c>
      <c r="N171" s="82" t="inlineStr">
        <is>
          <t>Strong</t>
        </is>
      </c>
      <c r="O171" s="207" t="n">
        <v>-0.89</v>
      </c>
      <c r="P171" s="82" t="inlineStr">
        <is>
          <t>Higher Risk</t>
        </is>
      </c>
      <c r="Q171" s="82" t="n">
        <v>-1.2</v>
      </c>
      <c r="R171" s="82" t="n">
        <v>0.344</v>
      </c>
      <c r="S171" s="82" t="n">
        <v>1.24</v>
      </c>
      <c r="T171" s="82" t="n">
        <v>0.1378</v>
      </c>
      <c r="U171" s="82" t="n">
        <v>2.64</v>
      </c>
      <c r="V171" s="82" t="n">
        <v>0.1521</v>
      </c>
      <c r="W171" s="82" t="n">
        <v>219.28</v>
      </c>
      <c r="X171" s="82" t="n">
        <v>56.11</v>
      </c>
      <c r="Y171" s="82" t="n">
        <v>20</v>
      </c>
      <c r="Z171" s="82" t="inlineStr">
        <is>
          <t>CLEAR</t>
        </is>
      </c>
    </row>
    <row r="172" ht="17" customHeight="1">
      <c r="A172" s="86" t="n">
        <v>170</v>
      </c>
      <c r="B172" s="86" t="inlineStr">
        <is>
          <t>TEAM</t>
        </is>
      </c>
      <c r="C172" s="86" t="inlineStr">
        <is>
          <t>Atlassian Corporation</t>
        </is>
      </c>
      <c r="D172" s="86" t="n">
        <v>0.4</v>
      </c>
      <c r="E172" s="207" t="inlineStr">
        <is>
          <t>Distress</t>
        </is>
      </c>
      <c r="F172" s="86" t="n">
        <v>-1.36</v>
      </c>
      <c r="G172" s="86" t="inlineStr">
        <is>
          <t>Distress</t>
        </is>
      </c>
      <c r="H172" s="86" t="n">
        <v>0.38</v>
      </c>
      <c r="I172" s="86" t="inlineStr">
        <is>
          <t>Distress</t>
        </is>
      </c>
      <c r="J172" s="86" t="n">
        <v>0.27</v>
      </c>
      <c r="K172" s="86" t="n">
        <v>0.57</v>
      </c>
      <c r="L172" s="86" t="inlineStr">
        <is>
          <t>Distress</t>
        </is>
      </c>
      <c r="M172" s="86" t="n">
        <v>8</v>
      </c>
      <c r="N172" s="86" t="inlineStr">
        <is>
          <t>Strong</t>
        </is>
      </c>
      <c r="O172" s="207" t="n">
        <v>-3.75</v>
      </c>
      <c r="P172" s="86" t="inlineStr">
        <is>
          <t>Lower Risk</t>
        </is>
      </c>
      <c r="Q172" s="86" t="n">
        <v>40.12</v>
      </c>
      <c r="R172" s="86" t="n">
        <v>-0.1908</v>
      </c>
      <c r="S172" s="86" t="n">
        <v>-5.69</v>
      </c>
      <c r="T172" s="86" t="n">
        <v>0.2714</v>
      </c>
      <c r="U172" s="86" t="n">
        <v>0.1966</v>
      </c>
      <c r="V172" s="86" t="n">
        <v>-0.025</v>
      </c>
      <c r="W172" s="86" t="n">
        <v>-4.33</v>
      </c>
      <c r="X172" s="86" t="n">
        <v>56.03</v>
      </c>
      <c r="Y172" s="86" t="n">
        <v>40</v>
      </c>
      <c r="Z172" s="86" t="inlineStr">
        <is>
          <t>WATCH</t>
        </is>
      </c>
    </row>
    <row r="173" ht="17" customHeight="1">
      <c r="A173" s="82" t="n">
        <v>171</v>
      </c>
      <c r="B173" s="82" t="inlineStr">
        <is>
          <t>ICE</t>
        </is>
      </c>
      <c r="C173" s="82" t="inlineStr">
        <is>
          <t>INTERCONTINENTAL EXCHANGE, INC.</t>
        </is>
      </c>
      <c r="D173" s="82" t="n">
        <v>0.4</v>
      </c>
      <c r="E173" s="207" t="inlineStr">
        <is>
          <t>Distress</t>
        </is>
      </c>
      <c r="F173" s="82" t="n">
        <v>1.09</v>
      </c>
      <c r="G173" s="82" t="inlineStr">
        <is>
          <t>Distress</t>
        </is>
      </c>
      <c r="H173" s="82" t="n">
        <v>0.17</v>
      </c>
      <c r="I173" s="82" t="inlineStr">
        <is>
          <t>Distress</t>
        </is>
      </c>
      <c r="J173" s="82" t="n">
        <v>0.04</v>
      </c>
      <c r="K173" s="82" t="n">
        <v>0.51</v>
      </c>
      <c r="L173" s="82" t="inlineStr">
        <is>
          <t>Distress</t>
        </is>
      </c>
      <c r="M173" s="82" t="n">
        <v>8</v>
      </c>
      <c r="N173" s="82" t="inlineStr">
        <is>
          <t>Strong</t>
        </is>
      </c>
      <c r="O173" s="207" t="n">
        <v>-2.43</v>
      </c>
      <c r="P173" s="82" t="inlineStr">
        <is>
          <t>Lower Risk</t>
        </is>
      </c>
      <c r="Q173" s="82" t="n">
        <v>2.66</v>
      </c>
      <c r="R173" s="82" t="n">
        <v>0.1146</v>
      </c>
      <c r="S173" s="82" t="n">
        <v>1.41</v>
      </c>
      <c r="T173" s="82" t="n">
        <v>0.7352</v>
      </c>
      <c r="U173" s="82" t="n">
        <v>-0.0015</v>
      </c>
      <c r="V173" s="82" t="n">
        <v>0.8449</v>
      </c>
      <c r="W173" s="82" t="n">
        <v>6.1</v>
      </c>
      <c r="X173" s="82" t="n">
        <v>56.02</v>
      </c>
      <c r="Y173" s="82" t="n">
        <v>0</v>
      </c>
      <c r="Z173" s="82" t="inlineStr">
        <is>
          <t>CLEAR</t>
        </is>
      </c>
    </row>
    <row r="174" ht="17" customHeight="1">
      <c r="A174" s="86" t="n">
        <v>172</v>
      </c>
      <c r="B174" s="86" t="inlineStr">
        <is>
          <t>ALL</t>
        </is>
      </c>
      <c r="C174" s="86" t="inlineStr">
        <is>
          <t>ALLSTATE CORP</t>
        </is>
      </c>
      <c r="D174" s="90" t="inlineStr">
        <is>
          <t>N/A</t>
        </is>
      </c>
      <c r="E174" s="90" t="inlineStr">
        <is>
          <t>N/A</t>
        </is>
      </c>
      <c r="F174" s="90" t="inlineStr">
        <is>
          <t>N/A</t>
        </is>
      </c>
      <c r="G174" s="90" t="inlineStr">
        <is>
          <t>N/A</t>
        </is>
      </c>
      <c r="H174" s="90" t="inlineStr">
        <is>
          <t>N/A</t>
        </is>
      </c>
      <c r="I174" s="90" t="inlineStr">
        <is>
          <t>N/A</t>
        </is>
      </c>
      <c r="J174" s="90" t="inlineStr">
        <is>
          <t>N/A</t>
        </is>
      </c>
      <c r="K174" s="90" t="inlineStr">
        <is>
          <t>N/A</t>
        </is>
      </c>
      <c r="L174" s="90" t="inlineStr">
        <is>
          <t>N/A</t>
        </is>
      </c>
      <c r="M174" s="86" t="n">
        <v>7</v>
      </c>
      <c r="N174" s="86" t="inlineStr">
        <is>
          <t>Strong</t>
        </is>
      </c>
      <c r="O174" s="90" t="inlineStr">
        <is>
          <t>N/A</t>
        </is>
      </c>
      <c r="P174" s="86" t="inlineStr">
        <is>
          <t>Insufficient Data</t>
        </is>
      </c>
      <c r="Q174" s="86" t="n">
        <v>0.5600000000000001</v>
      </c>
      <c r="R174" s="86" t="n">
        <v>0.3359</v>
      </c>
      <c r="S174" s="86" t="n">
        <v>0.98</v>
      </c>
      <c r="T174" s="86" t="n">
        <v>0.146</v>
      </c>
      <c r="U174" s="86" t="n">
        <v>2.9023</v>
      </c>
      <c r="V174" s="86" t="n">
        <v>0.1944</v>
      </c>
      <c r="W174" s="86" t="n">
        <v>34.71</v>
      </c>
      <c r="X174" s="86" t="n">
        <v>55.94</v>
      </c>
      <c r="Y174" s="86" t="n">
        <v>0</v>
      </c>
      <c r="Z174" s="86" t="inlineStr">
        <is>
          <t>CLEAR</t>
        </is>
      </c>
    </row>
    <row r="175" ht="17" customHeight="1">
      <c r="A175" s="82" t="n">
        <v>173</v>
      </c>
      <c r="B175" s="82" t="inlineStr">
        <is>
          <t>MSCI</t>
        </is>
      </c>
      <c r="C175" s="82" t="inlineStr">
        <is>
          <t>MSCI INC.</t>
        </is>
      </c>
      <c r="D175" s="82" t="n">
        <v>1.81</v>
      </c>
      <c r="E175" s="208" t="inlineStr">
        <is>
          <t>Grey</t>
        </is>
      </c>
      <c r="F175" s="82" t="n">
        <v>4.58</v>
      </c>
      <c r="G175" s="82" t="inlineStr">
        <is>
          <t>Safe</t>
        </is>
      </c>
      <c r="H175" s="82" t="n">
        <v>1.52</v>
      </c>
      <c r="I175" s="82" t="inlineStr">
        <is>
          <t>Healthy</t>
        </is>
      </c>
      <c r="J175" s="82" t="n">
        <v>3.04</v>
      </c>
      <c r="K175" s="82" t="n">
        <v>0.95</v>
      </c>
      <c r="L175" s="82" t="inlineStr">
        <is>
          <t>Distress</t>
        </is>
      </c>
      <c r="M175" s="82" t="n">
        <v>8</v>
      </c>
      <c r="N175" s="82" t="inlineStr">
        <is>
          <t>Strong</t>
        </is>
      </c>
      <c r="O175" s="207" t="n">
        <v>-1.08</v>
      </c>
      <c r="P175" s="82" t="inlineStr">
        <is>
          <t>Higher Risk</t>
        </is>
      </c>
      <c r="Q175" s="82" t="n">
        <v>3.27</v>
      </c>
      <c r="R175" s="82" t="n">
        <v>-0.4529</v>
      </c>
      <c r="S175" s="82" t="n">
        <v>1.32</v>
      </c>
      <c r="T175" s="82" t="n">
        <v>1.2158</v>
      </c>
      <c r="U175" s="82" t="n">
        <v>2.806</v>
      </c>
      <c r="V175" s="82" t="n">
        <v>1.3448</v>
      </c>
      <c r="W175" s="82" t="n">
        <v>9.18</v>
      </c>
      <c r="X175" s="82" t="n">
        <v>55.93</v>
      </c>
      <c r="Y175" s="82" t="n">
        <v>20</v>
      </c>
      <c r="Z175" s="82" t="inlineStr">
        <is>
          <t>CLEAR</t>
        </is>
      </c>
    </row>
    <row r="176" ht="17" customHeight="1">
      <c r="A176" s="86" t="n">
        <v>174</v>
      </c>
      <c r="B176" s="86" t="inlineStr">
        <is>
          <t>NCNO</t>
        </is>
      </c>
      <c r="C176" s="86" t="inlineStr">
        <is>
          <t>nCino, Inc.</t>
        </is>
      </c>
      <c r="D176" s="86" t="n">
        <v>0.9399999999999999</v>
      </c>
      <c r="E176" s="207" t="inlineStr">
        <is>
          <t>Distress</t>
        </is>
      </c>
      <c r="F176" s="86" t="n">
        <v>1.18</v>
      </c>
      <c r="G176" s="86" t="inlineStr">
        <is>
          <t>Grey</t>
        </is>
      </c>
      <c r="H176" s="86" t="n">
        <v>0.17</v>
      </c>
      <c r="I176" s="86" t="inlineStr">
        <is>
          <t>Distress</t>
        </is>
      </c>
      <c r="J176" s="86" t="n">
        <v>-2.35</v>
      </c>
      <c r="K176" s="86" t="n">
        <v>0.09</v>
      </c>
      <c r="L176" s="86" t="inlineStr">
        <is>
          <t>Healthy</t>
        </is>
      </c>
      <c r="M176" s="86" t="n">
        <v>7</v>
      </c>
      <c r="N176" s="86" t="inlineStr">
        <is>
          <t>Strong</t>
        </is>
      </c>
      <c r="O176" s="207" t="n">
        <v>-2.74</v>
      </c>
      <c r="P176" s="86" t="inlineStr">
        <is>
          <t>Lower Risk</t>
        </is>
      </c>
      <c r="Q176" s="86" t="n">
        <v>-1.92</v>
      </c>
      <c r="R176" s="86" t="n">
        <v>0.0049</v>
      </c>
      <c r="S176" s="86" t="n">
        <v>17.39</v>
      </c>
      <c r="T176" s="86" t="n">
        <v>0.1388</v>
      </c>
      <c r="U176" s="86" t="n">
        <v>0.1001</v>
      </c>
      <c r="V176" s="86" t="n">
        <v>0.0063</v>
      </c>
      <c r="W176" s="86" t="n">
        <v>0.9</v>
      </c>
      <c r="X176" s="86" t="n">
        <v>55.9</v>
      </c>
      <c r="Y176" s="86" t="n">
        <v>0</v>
      </c>
      <c r="Z176" s="86" t="inlineStr">
        <is>
          <t>CLEAR</t>
        </is>
      </c>
    </row>
    <row r="177" ht="17" customHeight="1">
      <c r="A177" s="82" t="n">
        <v>175</v>
      </c>
      <c r="B177" s="82" t="inlineStr">
        <is>
          <t>INSP</t>
        </is>
      </c>
      <c r="C177" s="82" t="inlineStr">
        <is>
          <t>Inspire Medical Systems, Inc.</t>
        </is>
      </c>
      <c r="D177" s="82" t="n">
        <v>3.11</v>
      </c>
      <c r="E177" s="206" t="inlineStr">
        <is>
          <t>Safe</t>
        </is>
      </c>
      <c r="F177" s="82" t="n">
        <v>9.880000000000001</v>
      </c>
      <c r="G177" s="82" t="inlineStr">
        <is>
          <t>Safe</t>
        </is>
      </c>
      <c r="H177" s="82" t="n">
        <v>1.21</v>
      </c>
      <c r="I177" s="82" t="inlineStr">
        <is>
          <t>Healthy</t>
        </is>
      </c>
      <c r="J177" s="82" t="n">
        <v>-4.25</v>
      </c>
      <c r="K177" s="82" t="n">
        <v>0.01</v>
      </c>
      <c r="L177" s="82" t="inlineStr">
        <is>
          <t>Healthy</t>
        </is>
      </c>
      <c r="M177" s="82" t="n">
        <v>6</v>
      </c>
      <c r="N177" s="82" t="inlineStr">
        <is>
          <t>Mixed</t>
        </is>
      </c>
      <c r="O177" s="207" t="n">
        <v>0.38</v>
      </c>
      <c r="P177" s="82" t="inlineStr">
        <is>
          <t>Higher Risk</t>
        </is>
      </c>
      <c r="Q177" s="82" t="n">
        <v>-1.24</v>
      </c>
      <c r="R177" s="82" t="n">
        <v>0.1862</v>
      </c>
      <c r="S177" s="82" t="n">
        <v>0.8</v>
      </c>
      <c r="T177" s="82" t="n">
        <v>0.9565</v>
      </c>
      <c r="U177" s="82" t="n">
        <v>2.0495</v>
      </c>
      <c r="V177" s="82" t="n">
        <v>0.621</v>
      </c>
      <c r="W177" s="91" t="inlineStr">
        <is>
          <t>N/A</t>
        </is>
      </c>
      <c r="X177" s="82" t="n">
        <v>55.9</v>
      </c>
      <c r="Y177" s="82" t="n">
        <v>20</v>
      </c>
      <c r="Z177" s="82" t="inlineStr">
        <is>
          <t>CLEAR</t>
        </is>
      </c>
    </row>
    <row r="178" ht="17" customHeight="1">
      <c r="A178" s="86" t="n">
        <v>176</v>
      </c>
      <c r="B178" s="86" t="inlineStr">
        <is>
          <t>JBHT</t>
        </is>
      </c>
      <c r="C178" s="86" t="inlineStr">
        <is>
          <t>J.B. HUNT TRANSPORT SERVICES, INC.</t>
        </is>
      </c>
      <c r="D178" s="86" t="n">
        <v>2.39</v>
      </c>
      <c r="E178" s="208" t="inlineStr">
        <is>
          <t>Grey</t>
        </is>
      </c>
      <c r="F178" s="86" t="n">
        <v>4.53</v>
      </c>
      <c r="G178" s="86" t="inlineStr">
        <is>
          <t>Safe</t>
        </is>
      </c>
      <c r="H178" s="86" t="n">
        <v>0.93</v>
      </c>
      <c r="I178" s="86" t="inlineStr">
        <is>
          <t>Healthy</t>
        </is>
      </c>
      <c r="J178" s="86" t="n">
        <v>-1.55</v>
      </c>
      <c r="K178" s="86" t="n">
        <v>0.18</v>
      </c>
      <c r="L178" s="86" t="inlineStr">
        <is>
          <t>Healthy</t>
        </is>
      </c>
      <c r="M178" s="86" t="n">
        <v>6</v>
      </c>
      <c r="N178" s="86" t="inlineStr">
        <is>
          <t>Mixed</t>
        </is>
      </c>
      <c r="O178" s="90" t="inlineStr">
        <is>
          <t>N/A</t>
        </is>
      </c>
      <c r="P178" s="86" t="inlineStr">
        <is>
          <t>Insufficient Data</t>
        </is>
      </c>
      <c r="Q178" s="86" t="n">
        <v>0.61</v>
      </c>
      <c r="R178" s="86" t="n">
        <v>0.1678</v>
      </c>
      <c r="S178" s="86" t="n">
        <v>2.81</v>
      </c>
      <c r="T178" s="86" t="n">
        <v>0.1318</v>
      </c>
      <c r="U178" s="86" t="n">
        <v>2.6126</v>
      </c>
      <c r="V178" s="86" t="n">
        <v>0.1203</v>
      </c>
      <c r="W178" s="86" t="n">
        <v>10.95</v>
      </c>
      <c r="X178" s="86" t="n">
        <v>55.9</v>
      </c>
      <c r="Y178" s="86" t="n">
        <v>20</v>
      </c>
      <c r="Z178" s="86" t="inlineStr">
        <is>
          <t>CLEAR</t>
        </is>
      </c>
    </row>
    <row r="179" ht="17" customHeight="1">
      <c r="A179" s="82" t="n">
        <v>177</v>
      </c>
      <c r="B179" s="82" t="inlineStr">
        <is>
          <t>APTV</t>
        </is>
      </c>
      <c r="C179" s="82" t="inlineStr">
        <is>
          <t>APTIV PLC</t>
        </is>
      </c>
      <c r="D179" s="82" t="n">
        <v>1.64</v>
      </c>
      <c r="E179" s="208" t="inlineStr">
        <is>
          <t>Grey</t>
        </is>
      </c>
      <c r="F179" s="82" t="n">
        <v>2.94</v>
      </c>
      <c r="G179" s="82" t="inlineStr">
        <is>
          <t>Safe</t>
        </is>
      </c>
      <c r="H179" s="82" t="n">
        <v>0.79</v>
      </c>
      <c r="I179" s="82" t="inlineStr">
        <is>
          <t>Distress</t>
        </is>
      </c>
      <c r="J179" s="82" t="n">
        <v>-0.99</v>
      </c>
      <c r="K179" s="82" t="n">
        <v>0.27</v>
      </c>
      <c r="L179" s="82" t="inlineStr">
        <is>
          <t>Healthy</t>
        </is>
      </c>
      <c r="M179" s="82" t="n">
        <v>8</v>
      </c>
      <c r="N179" s="82" t="inlineStr">
        <is>
          <t>Strong</t>
        </is>
      </c>
      <c r="O179" s="207" t="n">
        <v>0.74</v>
      </c>
      <c r="P179" s="82" t="inlineStr">
        <is>
          <t>Higher Risk</t>
        </is>
      </c>
      <c r="Q179" s="82" t="n">
        <v>2.67</v>
      </c>
      <c r="R179" s="82" t="n">
        <v>0.0179</v>
      </c>
      <c r="S179" s="82" t="n">
        <v>13.24</v>
      </c>
      <c r="T179" s="82" t="n">
        <v>0.06569999999999999</v>
      </c>
      <c r="U179" s="82" t="n">
        <v>2.9585</v>
      </c>
      <c r="V179" s="82" t="n">
        <v>0.058</v>
      </c>
      <c r="W179" s="82" t="n">
        <v>3.28</v>
      </c>
      <c r="X179" s="82" t="n">
        <v>55.8</v>
      </c>
      <c r="Y179" s="82" t="n">
        <v>20</v>
      </c>
      <c r="Z179" s="82" t="inlineStr">
        <is>
          <t>CLEAR</t>
        </is>
      </c>
    </row>
    <row r="180" ht="17" customHeight="1">
      <c r="A180" s="86" t="n">
        <v>178</v>
      </c>
      <c r="B180" s="86" t="inlineStr">
        <is>
          <t>ACLS</t>
        </is>
      </c>
      <c r="C180" s="86" t="inlineStr">
        <is>
          <t>AXCELIS TECHNOLOGIES INC</t>
        </is>
      </c>
      <c r="D180" s="86" t="n">
        <v>2.92</v>
      </c>
      <c r="E180" s="206" t="inlineStr">
        <is>
          <t>Safe</t>
        </is>
      </c>
      <c r="F180" s="86" t="n">
        <v>8.710000000000001</v>
      </c>
      <c r="G180" s="86" t="inlineStr">
        <is>
          <t>Safe</t>
        </is>
      </c>
      <c r="H180" s="86" t="n">
        <v>1.54</v>
      </c>
      <c r="I180" s="86" t="inlineStr">
        <is>
          <t>Healthy</t>
        </is>
      </c>
      <c r="J180" s="86" t="n">
        <v>-3.35</v>
      </c>
      <c r="K180" s="86" t="n">
        <v>0.03</v>
      </c>
      <c r="L180" s="86" t="inlineStr">
        <is>
          <t>Healthy</t>
        </is>
      </c>
      <c r="M180" s="86" t="n">
        <v>5</v>
      </c>
      <c r="N180" s="86" t="inlineStr">
        <is>
          <t>Mixed</t>
        </is>
      </c>
      <c r="O180" s="207" t="n">
        <v>-2.36</v>
      </c>
      <c r="P180" s="86" t="inlineStr">
        <is>
          <t>Lower Risk</t>
        </is>
      </c>
      <c r="Q180" s="86" t="n">
        <v>-0.96</v>
      </c>
      <c r="R180" s="86" t="n">
        <v>0.1162</v>
      </c>
      <c r="S180" s="86" t="n">
        <v>0.98</v>
      </c>
      <c r="T180" s="86" t="n">
        <v>0.1275</v>
      </c>
      <c r="U180" s="86" t="n">
        <v>-0.1757</v>
      </c>
      <c r="V180" s="86" t="n">
        <v>0.1422</v>
      </c>
      <c r="W180" s="86" t="n">
        <v>22.31</v>
      </c>
      <c r="X180" s="86" t="n">
        <v>55.74</v>
      </c>
      <c r="Y180" s="86" t="n">
        <v>0</v>
      </c>
      <c r="Z180" s="86" t="inlineStr">
        <is>
          <t>CLEAR</t>
        </is>
      </c>
    </row>
    <row r="181" ht="17" customHeight="1">
      <c r="A181" s="82" t="n">
        <v>179</v>
      </c>
      <c r="B181" s="82" t="inlineStr">
        <is>
          <t>WMB</t>
        </is>
      </c>
      <c r="C181" s="82" t="inlineStr">
        <is>
          <t>WILLIAMS COMPANIES, INC.</t>
        </is>
      </c>
      <c r="D181" s="82" t="n">
        <v>0.31</v>
      </c>
      <c r="E181" s="207" t="inlineStr">
        <is>
          <t>Distress</t>
        </is>
      </c>
      <c r="F181" s="82" t="n">
        <v>-0.29</v>
      </c>
      <c r="G181" s="82" t="inlineStr">
        <is>
          <t>Distress</t>
        </is>
      </c>
      <c r="H181" s="82" t="n">
        <v>0.64</v>
      </c>
      <c r="I181" s="82" t="inlineStr">
        <is>
          <t>Distress</t>
        </is>
      </c>
      <c r="J181" s="82" t="n">
        <v>1.14</v>
      </c>
      <c r="K181" s="82" t="n">
        <v>0.76</v>
      </c>
      <c r="L181" s="82" t="inlineStr">
        <is>
          <t>Distress</t>
        </is>
      </c>
      <c r="M181" s="82" t="n">
        <v>8</v>
      </c>
      <c r="N181" s="82" t="inlineStr">
        <is>
          <t>Strong</t>
        </is>
      </c>
      <c r="O181" s="207" t="n">
        <v>-2.7</v>
      </c>
      <c r="P181" s="82" t="inlineStr">
        <is>
          <t>Lower Risk</t>
        </is>
      </c>
      <c r="Q181" s="82" t="n">
        <v>-0.03</v>
      </c>
      <c r="R181" s="82" t="n">
        <v>0.2044</v>
      </c>
      <c r="S181" s="82" t="n">
        <v>2.25</v>
      </c>
      <c r="T181" s="82" t="n">
        <v>0.08409999999999999</v>
      </c>
      <c r="U181" s="82" t="n">
        <v>0.1378</v>
      </c>
      <c r="V181" s="82" t="n">
        <v>0.3511</v>
      </c>
      <c r="W181" s="82" t="n">
        <v>3.39</v>
      </c>
      <c r="X181" s="82" t="n">
        <v>55.68</v>
      </c>
      <c r="Y181" s="82" t="n">
        <v>0</v>
      </c>
      <c r="Z181" s="82" t="inlineStr">
        <is>
          <t>CLEAR</t>
        </is>
      </c>
    </row>
    <row r="182" ht="17" customHeight="1">
      <c r="A182" s="86" t="n">
        <v>180</v>
      </c>
      <c r="B182" s="86" t="inlineStr">
        <is>
          <t>PGR</t>
        </is>
      </c>
      <c r="C182" s="86" t="inlineStr">
        <is>
          <t>PROGRESSIVE CORP/OH/</t>
        </is>
      </c>
      <c r="D182" s="90" t="inlineStr">
        <is>
          <t>N/A</t>
        </is>
      </c>
      <c r="E182" s="90" t="inlineStr">
        <is>
          <t>N/A</t>
        </is>
      </c>
      <c r="F182" s="90" t="inlineStr">
        <is>
          <t>N/A</t>
        </is>
      </c>
      <c r="G182" s="90" t="inlineStr">
        <is>
          <t>N/A</t>
        </is>
      </c>
      <c r="H182" s="90" t="inlineStr">
        <is>
          <t>N/A</t>
        </is>
      </c>
      <c r="I182" s="90" t="inlineStr">
        <is>
          <t>N/A</t>
        </is>
      </c>
      <c r="J182" s="90" t="inlineStr">
        <is>
          <t>N/A</t>
        </is>
      </c>
      <c r="K182" s="90" t="inlineStr">
        <is>
          <t>N/A</t>
        </is>
      </c>
      <c r="L182" s="90" t="inlineStr">
        <is>
          <t>N/A</t>
        </is>
      </c>
      <c r="M182" s="86" t="n">
        <v>7</v>
      </c>
      <c r="N182" s="86" t="inlineStr">
        <is>
          <t>Strong</t>
        </is>
      </c>
      <c r="O182" s="90" t="inlineStr">
        <is>
          <t>N/A</t>
        </is>
      </c>
      <c r="P182" s="86" t="inlineStr">
        <is>
          <t>Insufficient Data</t>
        </is>
      </c>
      <c r="Q182" s="86" t="n">
        <v>0.19</v>
      </c>
      <c r="R182" s="86" t="n">
        <v>0.3729</v>
      </c>
      <c r="S182" s="86" t="n">
        <v>1.55</v>
      </c>
      <c r="T182" s="86" t="n">
        <v>0.1962</v>
      </c>
      <c r="U182" s="86" t="n">
        <v>0.1632</v>
      </c>
      <c r="V182" s="86" t="n">
        <v>0.1622</v>
      </c>
      <c r="W182" s="86" t="n">
        <v>51.16</v>
      </c>
      <c r="X182" s="86" t="n">
        <v>55.61</v>
      </c>
      <c r="Y182" s="86" t="n">
        <v>0</v>
      </c>
      <c r="Z182" s="86" t="inlineStr">
        <is>
          <t>CLEAR</t>
        </is>
      </c>
    </row>
    <row r="183" ht="17" customHeight="1">
      <c r="A183" s="82" t="n">
        <v>181</v>
      </c>
      <c r="B183" s="82" t="inlineStr">
        <is>
          <t>HQY</t>
        </is>
      </c>
      <c r="C183" s="82" t="inlineStr">
        <is>
          <t>HEALTHEQUITY, INC.</t>
        </is>
      </c>
      <c r="D183" s="82" t="n">
        <v>1.18</v>
      </c>
      <c r="E183" s="207" t="inlineStr">
        <is>
          <t>Distress</t>
        </is>
      </c>
      <c r="F183" s="82" t="n">
        <v>3.26</v>
      </c>
      <c r="G183" s="82" t="inlineStr">
        <is>
          <t>Safe</t>
        </is>
      </c>
      <c r="H183" s="82" t="n">
        <v>1.6</v>
      </c>
      <c r="I183" s="82" t="inlineStr">
        <is>
          <t>Healthy</t>
        </is>
      </c>
      <c r="J183" s="82" t="n">
        <v>-2.47</v>
      </c>
      <c r="K183" s="82" t="n">
        <v>0.08</v>
      </c>
      <c r="L183" s="82" t="inlineStr">
        <is>
          <t>Healthy</t>
        </is>
      </c>
      <c r="M183" s="82" t="n">
        <v>8</v>
      </c>
      <c r="N183" s="82" t="inlineStr">
        <is>
          <t>Strong</t>
        </is>
      </c>
      <c r="O183" s="207" t="n">
        <v>0.21</v>
      </c>
      <c r="P183" s="82" t="inlineStr">
        <is>
          <t>Higher Risk</t>
        </is>
      </c>
      <c r="Q183" s="82" t="n">
        <v>1.34</v>
      </c>
      <c r="R183" s="82" t="n">
        <v>0.1021</v>
      </c>
      <c r="S183" s="82" t="n">
        <v>2.12</v>
      </c>
      <c r="T183" s="82" t="n">
        <v>1.9829</v>
      </c>
      <c r="U183" s="82" t="n">
        <v>2.7978</v>
      </c>
      <c r="V183" s="82" t="n">
        <v>1.4049</v>
      </c>
      <c r="W183" s="82" t="n">
        <v>5.81</v>
      </c>
      <c r="X183" s="82" t="n">
        <v>55.49</v>
      </c>
      <c r="Y183" s="82" t="n">
        <v>20</v>
      </c>
      <c r="Z183" s="82" t="inlineStr">
        <is>
          <t>CLEAR</t>
        </is>
      </c>
    </row>
    <row r="184" ht="17" customHeight="1">
      <c r="A184" s="86" t="n">
        <v>182</v>
      </c>
      <c r="B184" s="86" t="inlineStr">
        <is>
          <t>QCOM</t>
        </is>
      </c>
      <c r="C184" s="86" t="inlineStr">
        <is>
          <t>QUALCOMM INC/DE</t>
        </is>
      </c>
      <c r="D184" s="86" t="n">
        <v>2.3</v>
      </c>
      <c r="E184" s="208" t="inlineStr">
        <is>
          <t>Grey</t>
        </is>
      </c>
      <c r="F184" s="86" t="n">
        <v>5.35</v>
      </c>
      <c r="G184" s="86" t="inlineStr">
        <is>
          <t>Safe</t>
        </is>
      </c>
      <c r="H184" s="86" t="n">
        <v>2.36</v>
      </c>
      <c r="I184" s="86" t="inlineStr">
        <is>
          <t>Healthy</t>
        </is>
      </c>
      <c r="J184" s="86" t="n">
        <v>-1.55</v>
      </c>
      <c r="K184" s="86" t="n">
        <v>0.18</v>
      </c>
      <c r="L184" s="86" t="inlineStr">
        <is>
          <t>Healthy</t>
        </is>
      </c>
      <c r="M184" s="86" t="n">
        <v>6</v>
      </c>
      <c r="N184" s="86" t="inlineStr">
        <is>
          <t>Mixed</t>
        </is>
      </c>
      <c r="O184" s="207" t="n">
        <v>-3.16</v>
      </c>
      <c r="P184" s="86" t="inlineStr">
        <is>
          <t>Lower Risk</t>
        </is>
      </c>
      <c r="Q184" s="86" t="n">
        <v>0.68</v>
      </c>
      <c r="R184" s="86" t="n">
        <v>1.1287</v>
      </c>
      <c r="S184" s="86" t="n">
        <v>2.53</v>
      </c>
      <c r="T184" s="86" t="n">
        <v>0.2895</v>
      </c>
      <c r="U184" s="86" t="n">
        <v>0.1366</v>
      </c>
      <c r="V184" s="86" t="n">
        <v>0.279</v>
      </c>
      <c r="W184" s="86" t="n">
        <v>18.61</v>
      </c>
      <c r="X184" s="86" t="n">
        <v>55.44</v>
      </c>
      <c r="Y184" s="86" t="n">
        <v>20</v>
      </c>
      <c r="Z184" s="86" t="inlineStr">
        <is>
          <t>CLEAR</t>
        </is>
      </c>
    </row>
    <row r="185" ht="17" customHeight="1">
      <c r="A185" s="82" t="n">
        <v>183</v>
      </c>
      <c r="B185" s="82" t="inlineStr">
        <is>
          <t>PFE</t>
        </is>
      </c>
      <c r="C185" s="82" t="inlineStr">
        <is>
          <t>Pfizer Inc.</t>
        </is>
      </c>
      <c r="D185" s="82" t="n">
        <v>1.2</v>
      </c>
      <c r="E185" s="207" t="inlineStr">
        <is>
          <t>Distress</t>
        </is>
      </c>
      <c r="F185" s="82" t="n">
        <v>2.97</v>
      </c>
      <c r="G185" s="82" t="inlineStr">
        <is>
          <t>Safe</t>
        </is>
      </c>
      <c r="H185" s="82" t="n">
        <v>0.39</v>
      </c>
      <c r="I185" s="82" t="inlineStr">
        <is>
          <t>Distress</t>
        </is>
      </c>
      <c r="J185" s="82" t="n">
        <v>-1.19</v>
      </c>
      <c r="K185" s="82" t="n">
        <v>0.23</v>
      </c>
      <c r="L185" s="82" t="inlineStr">
        <is>
          <t>Healthy</t>
        </is>
      </c>
      <c r="M185" s="82" t="n">
        <v>7</v>
      </c>
      <c r="N185" s="82" t="inlineStr">
        <is>
          <t>Strong</t>
        </is>
      </c>
      <c r="O185" s="207" t="n">
        <v>-2.64</v>
      </c>
      <c r="P185" s="82" t="inlineStr">
        <is>
          <t>Lower Risk</t>
        </is>
      </c>
      <c r="Q185" s="82" t="n">
        <v>0.2</v>
      </c>
      <c r="R185" s="82" t="n">
        <v>0.08989999999999999</v>
      </c>
      <c r="S185" s="82" t="n">
        <v>1.51</v>
      </c>
      <c r="T185" s="82" t="n">
        <v>0.145</v>
      </c>
      <c r="U185" s="82" t="n">
        <v>-0.0165</v>
      </c>
      <c r="V185" s="82" t="n">
        <v>0.1202</v>
      </c>
      <c r="W185" s="82" t="n">
        <v>2.82</v>
      </c>
      <c r="X185" s="82" t="n">
        <v>55.42</v>
      </c>
      <c r="Y185" s="82" t="n">
        <v>0</v>
      </c>
      <c r="Z185" s="82" t="inlineStr">
        <is>
          <t>CLEAR</t>
        </is>
      </c>
    </row>
    <row r="186" ht="17" customHeight="1">
      <c r="A186" s="86" t="n">
        <v>184</v>
      </c>
      <c r="B186" s="86" t="inlineStr">
        <is>
          <t>KR</t>
        </is>
      </c>
      <c r="C186" s="86" t="inlineStr">
        <is>
          <t>KROGER CO</t>
        </is>
      </c>
      <c r="D186" s="86" t="n">
        <v>3.56</v>
      </c>
      <c r="E186" s="206" t="inlineStr">
        <is>
          <t>Safe</t>
        </is>
      </c>
      <c r="F186" s="86" t="n">
        <v>1.81</v>
      </c>
      <c r="G186" s="86" t="inlineStr">
        <is>
          <t>Grey</t>
        </is>
      </c>
      <c r="H186" s="86" t="n">
        <v>1.27</v>
      </c>
      <c r="I186" s="86" t="inlineStr">
        <is>
          <t>Healthy</t>
        </is>
      </c>
      <c r="J186" s="86" t="n">
        <v>0.58</v>
      </c>
      <c r="K186" s="86" t="n">
        <v>0.64</v>
      </c>
      <c r="L186" s="86" t="inlineStr">
        <is>
          <t>Distress</t>
        </is>
      </c>
      <c r="M186" s="86" t="n">
        <v>5</v>
      </c>
      <c r="N186" s="86" t="inlineStr">
        <is>
          <t>Mixed</t>
        </is>
      </c>
      <c r="O186" s="207" t="n">
        <v>-2.69</v>
      </c>
      <c r="P186" s="86" t="inlineStr">
        <is>
          <t>Lower Risk</t>
        </is>
      </c>
      <c r="Q186" s="86" t="n">
        <v>2.4</v>
      </c>
      <c r="R186" s="86" t="n">
        <v>0.1714</v>
      </c>
      <c r="S186" s="86" t="n">
        <v>7.2</v>
      </c>
      <c r="T186" s="86" t="n">
        <v>0.0234</v>
      </c>
      <c r="U186" s="86" t="n">
        <v>0.0035</v>
      </c>
      <c r="V186" s="86" t="n">
        <v>0.0128</v>
      </c>
      <c r="W186" s="86" t="n">
        <v>4.29</v>
      </c>
      <c r="X186" s="86" t="n">
        <v>55.41</v>
      </c>
      <c r="Y186" s="86" t="n">
        <v>20</v>
      </c>
      <c r="Z186" s="86" t="inlineStr">
        <is>
          <t>CLEAR</t>
        </is>
      </c>
    </row>
    <row r="187" ht="17" customHeight="1">
      <c r="A187" s="82" t="n">
        <v>185</v>
      </c>
      <c r="B187" s="82" t="inlineStr">
        <is>
          <t>ILMN</t>
        </is>
      </c>
      <c r="C187" s="82" t="inlineStr">
        <is>
          <t>Illumina, Inc.</t>
        </is>
      </c>
      <c r="D187" s="82" t="n">
        <v>1.34</v>
      </c>
      <c r="E187" s="208" t="inlineStr">
        <is>
          <t>Grey</t>
        </is>
      </c>
      <c r="F187" s="82" t="n">
        <v>2.74</v>
      </c>
      <c r="G187" s="82" t="inlineStr">
        <is>
          <t>Safe</t>
        </is>
      </c>
      <c r="H187" s="82" t="n">
        <v>1.35</v>
      </c>
      <c r="I187" s="82" t="inlineStr">
        <is>
          <t>Healthy</t>
        </is>
      </c>
      <c r="J187" s="82" t="n">
        <v>0.77</v>
      </c>
      <c r="K187" s="82" t="n">
        <v>0.68</v>
      </c>
      <c r="L187" s="82" t="inlineStr">
        <is>
          <t>Distress</t>
        </is>
      </c>
      <c r="M187" s="82" t="n">
        <v>7</v>
      </c>
      <c r="N187" s="82" t="inlineStr">
        <is>
          <t>Strong</t>
        </is>
      </c>
      <c r="O187" s="207" t="n">
        <v>-2.65</v>
      </c>
      <c r="P187" s="82" t="inlineStr">
        <is>
          <t>Lower Risk</t>
        </is>
      </c>
      <c r="Q187" s="82" t="n">
        <v>-0.44</v>
      </c>
      <c r="R187" s="82" t="n">
        <v>0.3122</v>
      </c>
      <c r="S187" s="82" t="n">
        <v>1.27</v>
      </c>
      <c r="T187" s="82" t="n">
        <v>0.2144</v>
      </c>
      <c r="U187" s="82" t="n">
        <v>-0.0066</v>
      </c>
      <c r="V187" s="82" t="n">
        <v>0.1858</v>
      </c>
      <c r="W187" s="82" t="n">
        <v>10.48</v>
      </c>
      <c r="X187" s="82" t="n">
        <v>55.4</v>
      </c>
      <c r="Y187" s="82" t="n">
        <v>0</v>
      </c>
      <c r="Z187" s="82" t="inlineStr">
        <is>
          <t>CLEAR</t>
        </is>
      </c>
    </row>
    <row r="188" ht="17" customHeight="1">
      <c r="A188" s="86" t="n">
        <v>186</v>
      </c>
      <c r="B188" s="86" t="inlineStr">
        <is>
          <t>PG</t>
        </is>
      </c>
      <c r="C188" s="86" t="inlineStr">
        <is>
          <t>PROCTER &amp; GAMBLE CO</t>
        </is>
      </c>
      <c r="D188" s="86" t="n">
        <v>2.3</v>
      </c>
      <c r="E188" s="208" t="inlineStr">
        <is>
          <t>Grey</t>
        </is>
      </c>
      <c r="F188" s="86" t="n">
        <v>4.67</v>
      </c>
      <c r="G188" s="86" t="inlineStr">
        <is>
          <t>Safe</t>
        </is>
      </c>
      <c r="H188" s="86" t="n">
        <v>1.05</v>
      </c>
      <c r="I188" s="86" t="inlineStr">
        <is>
          <t>Healthy</t>
        </is>
      </c>
      <c r="J188" s="86" t="n">
        <v>-1.6</v>
      </c>
      <c r="K188" s="86" t="n">
        <v>0.17</v>
      </c>
      <c r="L188" s="86" t="inlineStr">
        <is>
          <t>Healthy</t>
        </is>
      </c>
      <c r="M188" s="86" t="n">
        <v>6</v>
      </c>
      <c r="N188" s="86" t="inlineStr">
        <is>
          <t>Mixed</t>
        </is>
      </c>
      <c r="O188" s="207" t="n">
        <v>-2.54</v>
      </c>
      <c r="P188" s="86" t="inlineStr">
        <is>
          <t>Lower Risk</t>
        </is>
      </c>
      <c r="Q188" s="86" t="n">
        <v>0.8</v>
      </c>
      <c r="R188" s="86" t="n">
        <v>0.3055</v>
      </c>
      <c r="S188" s="86" t="n">
        <v>1.12</v>
      </c>
      <c r="T188" s="86" t="n">
        <v>0.1666</v>
      </c>
      <c r="U188" s="86" t="n">
        <v>0.0029</v>
      </c>
      <c r="V188" s="86" t="n">
        <v>0.2426</v>
      </c>
      <c r="W188" s="86" t="n">
        <v>27.05</v>
      </c>
      <c r="X188" s="86" t="n">
        <v>55.38</v>
      </c>
      <c r="Y188" s="86" t="n">
        <v>0</v>
      </c>
      <c r="Z188" s="86" t="inlineStr">
        <is>
          <t>CLEAR</t>
        </is>
      </c>
    </row>
    <row r="189" ht="17" customHeight="1">
      <c r="A189" s="82" t="n">
        <v>187</v>
      </c>
      <c r="B189" s="82" t="inlineStr">
        <is>
          <t>RBA</t>
        </is>
      </c>
      <c r="C189" s="82" t="inlineStr">
        <is>
          <t>RB Global, Inc</t>
        </is>
      </c>
      <c r="D189" s="82" t="n">
        <v>1.04</v>
      </c>
      <c r="E189" s="207" t="inlineStr">
        <is>
          <t>Distress</t>
        </is>
      </c>
      <c r="F189" s="82" t="n">
        <v>1.78</v>
      </c>
      <c r="G189" s="82" t="inlineStr">
        <is>
          <t>Grey</t>
        </is>
      </c>
      <c r="H189" s="82" t="n">
        <v>0.5600000000000001</v>
      </c>
      <c r="I189" s="82" t="inlineStr">
        <is>
          <t>Distress</t>
        </is>
      </c>
      <c r="J189" s="82" t="n">
        <v>-1.65</v>
      </c>
      <c r="K189" s="82" t="n">
        <v>0.16</v>
      </c>
      <c r="L189" s="82" t="inlineStr">
        <is>
          <t>Healthy</t>
        </is>
      </c>
      <c r="M189" s="82" t="n">
        <v>7</v>
      </c>
      <c r="N189" s="82" t="inlineStr">
        <is>
          <t>Strong</t>
        </is>
      </c>
      <c r="O189" s="207" t="n">
        <v>-2.82</v>
      </c>
      <c r="P189" s="82" t="inlineStr">
        <is>
          <t>Lower Risk</t>
        </is>
      </c>
      <c r="Q189" s="82" t="n">
        <v>1.51</v>
      </c>
      <c r="R189" s="82" t="n">
        <v>0.0769</v>
      </c>
      <c r="S189" s="82" t="n">
        <v>2.28</v>
      </c>
      <c r="T189" s="82" t="n">
        <v>0.1567</v>
      </c>
      <c r="U189" s="82" t="n">
        <v>0.07149999999999999</v>
      </c>
      <c r="V189" s="82" t="n">
        <v>0.1554</v>
      </c>
      <c r="W189" s="82" t="n">
        <v>3.34</v>
      </c>
      <c r="X189" s="82" t="n">
        <v>55.37</v>
      </c>
      <c r="Y189" s="82" t="n">
        <v>0</v>
      </c>
      <c r="Z189" s="82" t="inlineStr">
        <is>
          <t>CLEAR</t>
        </is>
      </c>
    </row>
    <row r="190" ht="17" customHeight="1">
      <c r="A190" s="86" t="n">
        <v>188</v>
      </c>
      <c r="B190" s="86" t="inlineStr">
        <is>
          <t>DKNG</t>
        </is>
      </c>
      <c r="C190" s="86" t="inlineStr">
        <is>
          <t>DRAFTKINGS INC.</t>
        </is>
      </c>
      <c r="D190" s="86" t="n">
        <v>0.2</v>
      </c>
      <c r="E190" s="207" t="inlineStr">
        <is>
          <t>Distress</t>
        </is>
      </c>
      <c r="F190" s="86" t="n">
        <v>-4.4</v>
      </c>
      <c r="G190" s="86" t="inlineStr">
        <is>
          <t>Distress</t>
        </is>
      </c>
      <c r="H190" s="86" t="n">
        <v>0.53</v>
      </c>
      <c r="I190" s="86" t="inlineStr">
        <is>
          <t>Distress</t>
        </is>
      </c>
      <c r="J190" s="86" t="n">
        <v>0.55</v>
      </c>
      <c r="K190" s="86" t="n">
        <v>0.63</v>
      </c>
      <c r="L190" s="86" t="inlineStr">
        <is>
          <t>Distress</t>
        </is>
      </c>
      <c r="M190" s="86" t="n">
        <v>8</v>
      </c>
      <c r="N190" s="86" t="inlineStr">
        <is>
          <t>Strong</t>
        </is>
      </c>
      <c r="O190" s="207" t="n">
        <v>-2.69</v>
      </c>
      <c r="P190" s="86" t="inlineStr">
        <is>
          <t>Lower Risk</t>
        </is>
      </c>
      <c r="Q190" s="86" t="n">
        <v>-333.3</v>
      </c>
      <c r="R190" s="86" t="n">
        <v>0.0059</v>
      </c>
      <c r="S190" s="86" t="n">
        <v>178.67</v>
      </c>
      <c r="T190" s="86" t="n">
        <v>0.1069</v>
      </c>
      <c r="U190" s="86" t="n">
        <v>0.2699</v>
      </c>
      <c r="V190" s="86" t="n">
        <v>-0.0026</v>
      </c>
      <c r="W190" s="86" t="n">
        <v>-5.9</v>
      </c>
      <c r="X190" s="86" t="n">
        <v>55.3</v>
      </c>
      <c r="Y190" s="86" t="n">
        <v>20</v>
      </c>
      <c r="Z190" s="86" t="inlineStr">
        <is>
          <t>CLEAR</t>
        </is>
      </c>
    </row>
    <row r="191" ht="17" customHeight="1">
      <c r="A191" s="82" t="n">
        <v>189</v>
      </c>
      <c r="B191" s="82" t="inlineStr">
        <is>
          <t>CVNA</t>
        </is>
      </c>
      <c r="C191" s="82" t="inlineStr">
        <is>
          <t>CARVANA CO.</t>
        </is>
      </c>
      <c r="D191" s="82" t="n">
        <v>2.41</v>
      </c>
      <c r="E191" s="208" t="inlineStr">
        <is>
          <t>Grey</t>
        </is>
      </c>
      <c r="F191" s="82" t="n">
        <v>3.86</v>
      </c>
      <c r="G191" s="82" t="inlineStr">
        <is>
          <t>Safe</t>
        </is>
      </c>
      <c r="H191" s="91" t="inlineStr">
        <is>
          <t>N/A</t>
        </is>
      </c>
      <c r="I191" s="91" t="inlineStr">
        <is>
          <t>N/A</t>
        </is>
      </c>
      <c r="J191" s="82" t="n">
        <v>-0.93</v>
      </c>
      <c r="K191" s="82" t="n">
        <v>0.28</v>
      </c>
      <c r="L191" s="82" t="inlineStr">
        <is>
          <t>Healthy</t>
        </is>
      </c>
      <c r="M191" s="82" t="n">
        <v>6</v>
      </c>
      <c r="N191" s="82" t="inlineStr">
        <is>
          <t>Mixed</t>
        </is>
      </c>
      <c r="O191" s="207" t="n">
        <v>-2.26</v>
      </c>
      <c r="P191" s="82" t="inlineStr">
        <is>
          <t>Lower Risk</t>
        </is>
      </c>
      <c r="Q191" s="82" t="n">
        <v>1.37</v>
      </c>
      <c r="R191" s="82" t="n">
        <v>0.4089</v>
      </c>
      <c r="S191" s="82" t="n">
        <v>0.74</v>
      </c>
      <c r="T191" s="82" t="n">
        <v>0.0437</v>
      </c>
      <c r="U191" s="82" t="n">
        <v>0.4863</v>
      </c>
      <c r="V191" s="82" t="n">
        <v>0.0926</v>
      </c>
      <c r="W191" s="82" t="n">
        <v>2.98</v>
      </c>
      <c r="X191" s="82" t="n">
        <v>55.28</v>
      </c>
      <c r="Y191" s="82" t="n">
        <v>0</v>
      </c>
      <c r="Z191" s="82" t="inlineStr">
        <is>
          <t>CLEAR</t>
        </is>
      </c>
    </row>
    <row r="192" ht="17" customHeight="1">
      <c r="A192" s="86" t="n">
        <v>190</v>
      </c>
      <c r="B192" s="86" t="inlineStr">
        <is>
          <t>MU</t>
        </is>
      </c>
      <c r="C192" s="86" t="inlineStr">
        <is>
          <t>Micron Technology, Inc.</t>
        </is>
      </c>
      <c r="D192" s="86" t="n">
        <v>2.18</v>
      </c>
      <c r="E192" s="208" t="inlineStr">
        <is>
          <t>Grey</t>
        </is>
      </c>
      <c r="F192" s="86" t="n">
        <v>6.07</v>
      </c>
      <c r="G192" s="86" t="inlineStr">
        <is>
          <t>Safe</t>
        </is>
      </c>
      <c r="H192" s="86" t="n">
        <v>0.76</v>
      </c>
      <c r="I192" s="86" t="inlineStr">
        <is>
          <t>Distress</t>
        </is>
      </c>
      <c r="J192" s="86" t="n">
        <v>-2.83</v>
      </c>
      <c r="K192" s="86" t="n">
        <v>0.06</v>
      </c>
      <c r="L192" s="86" t="inlineStr">
        <is>
          <t>Healthy</t>
        </is>
      </c>
      <c r="M192" s="86" t="n">
        <v>7</v>
      </c>
      <c r="N192" s="86" t="inlineStr">
        <is>
          <t>Strong</t>
        </is>
      </c>
      <c r="O192" s="207" t="n">
        <v>-1.05</v>
      </c>
      <c r="P192" s="86" t="inlineStr">
        <is>
          <t>Higher Risk</t>
        </is>
      </c>
      <c r="Q192" s="86" t="n">
        <v>0.1</v>
      </c>
      <c r="R192" s="86" t="n">
        <v>0.1576</v>
      </c>
      <c r="S192" s="86" t="n">
        <v>2.05</v>
      </c>
      <c r="T192" s="86" t="n">
        <v>0.0549</v>
      </c>
      <c r="U192" s="86" t="n">
        <v>2.6008</v>
      </c>
      <c r="V192" s="86" t="n">
        <v>0.3215</v>
      </c>
      <c r="W192" s="86" t="n">
        <v>25.18</v>
      </c>
      <c r="X192" s="86" t="n">
        <v>55.26</v>
      </c>
      <c r="Y192" s="86" t="n">
        <v>40</v>
      </c>
      <c r="Z192" s="86" t="inlineStr">
        <is>
          <t>WATCH</t>
        </is>
      </c>
    </row>
    <row r="193" ht="17" customHeight="1">
      <c r="A193" s="82" t="n">
        <v>191</v>
      </c>
      <c r="B193" s="82" t="inlineStr">
        <is>
          <t>DAWN</t>
        </is>
      </c>
      <c r="C193" s="82" t="inlineStr">
        <is>
          <t>DAY ONE BIOPHARMACEUTICALS, INC.</t>
        </is>
      </c>
      <c r="D193" s="82" t="n">
        <v>1.8</v>
      </c>
      <c r="E193" s="208" t="inlineStr">
        <is>
          <t>Grey</t>
        </is>
      </c>
      <c r="F193" s="82" t="n">
        <v>6.5</v>
      </c>
      <c r="G193" s="82" t="inlineStr">
        <is>
          <t>Safe</t>
        </is>
      </c>
      <c r="H193" s="91" t="inlineStr">
        <is>
          <t>N/A</t>
        </is>
      </c>
      <c r="I193" s="91" t="inlineStr">
        <is>
          <t>N/A</t>
        </is>
      </c>
      <c r="J193" s="82" t="n">
        <v>-2.6</v>
      </c>
      <c r="K193" s="82" t="n">
        <v>0.07000000000000001</v>
      </c>
      <c r="L193" s="82" t="inlineStr">
        <is>
          <t>Healthy</t>
        </is>
      </c>
      <c r="M193" s="82" t="n">
        <v>7</v>
      </c>
      <c r="N193" s="82" t="inlineStr">
        <is>
          <t>Strong</t>
        </is>
      </c>
      <c r="O193" s="207" t="n">
        <v>-1.18</v>
      </c>
      <c r="P193" s="82" t="inlineStr">
        <is>
          <t>Higher Risk</t>
        </is>
      </c>
      <c r="Q193" s="82" t="n">
        <v>1.55</v>
      </c>
      <c r="R193" s="82" t="n">
        <v>-0.2433</v>
      </c>
      <c r="S193" s="82" t="n">
        <v>0.97</v>
      </c>
      <c r="T193" s="82" t="n">
        <v>-0.658</v>
      </c>
      <c r="U193" s="82" t="n">
        <v>0.206</v>
      </c>
      <c r="V193" s="82" t="n">
        <v>-0.8076</v>
      </c>
      <c r="W193" s="91" t="inlineStr">
        <is>
          <t>N/A</t>
        </is>
      </c>
      <c r="X193" s="82" t="n">
        <v>55.25</v>
      </c>
      <c r="Y193" s="82" t="n">
        <v>20</v>
      </c>
      <c r="Z193" s="82" t="inlineStr">
        <is>
          <t>CLEAR</t>
        </is>
      </c>
    </row>
    <row r="194" ht="17" customHeight="1">
      <c r="A194" s="86" t="n">
        <v>192</v>
      </c>
      <c r="B194" s="86" t="inlineStr">
        <is>
          <t>THC</t>
        </is>
      </c>
      <c r="C194" s="86" t="inlineStr">
        <is>
          <t>TENET HEALTHCARE CORP</t>
        </is>
      </c>
      <c r="D194" s="86" t="n">
        <v>1.28</v>
      </c>
      <c r="E194" s="208" t="inlineStr">
        <is>
          <t>Grey</t>
        </is>
      </c>
      <c r="F194" s="86" t="n">
        <v>2.24</v>
      </c>
      <c r="G194" s="86" t="inlineStr">
        <is>
          <t>Grey</t>
        </is>
      </c>
      <c r="H194" s="86" t="n">
        <v>1.14</v>
      </c>
      <c r="I194" s="86" t="inlineStr">
        <is>
          <t>Healthy</t>
        </is>
      </c>
      <c r="J194" s="86" t="n">
        <v>-0.54</v>
      </c>
      <c r="K194" s="86" t="n">
        <v>0.37</v>
      </c>
      <c r="L194" s="86" t="inlineStr">
        <is>
          <t>Healthy</t>
        </is>
      </c>
      <c r="M194" s="86" t="n">
        <v>7</v>
      </c>
      <c r="N194" s="86" t="inlineStr">
        <is>
          <t>Strong</t>
        </is>
      </c>
      <c r="O194" s="90" t="inlineStr">
        <is>
          <t>N/A</t>
        </is>
      </c>
      <c r="P194" s="86" t="inlineStr">
        <is>
          <t>Insufficient Data</t>
        </is>
      </c>
      <c r="Q194" s="86" t="n">
        <v>-0.67</v>
      </c>
      <c r="R194" s="86" t="n">
        <v>0.2652</v>
      </c>
      <c r="S194" s="86" t="n">
        <v>3.16</v>
      </c>
      <c r="T194" s="86" t="n">
        <v>0.1369</v>
      </c>
      <c r="U194" s="86" t="n">
        <v>2.845</v>
      </c>
      <c r="V194" s="86" t="n">
        <v>0.1898</v>
      </c>
      <c r="W194" s="86" t="n">
        <v>3.89</v>
      </c>
      <c r="X194" s="86" t="n">
        <v>55.21</v>
      </c>
      <c r="Y194" s="86" t="n">
        <v>0</v>
      </c>
      <c r="Z194" s="86" t="inlineStr">
        <is>
          <t>CLEAR</t>
        </is>
      </c>
    </row>
    <row r="195" ht="17" customHeight="1">
      <c r="A195" s="82" t="n">
        <v>193</v>
      </c>
      <c r="B195" s="82" t="inlineStr">
        <is>
          <t>TROW</t>
        </is>
      </c>
      <c r="C195" s="82" t="inlineStr">
        <is>
          <t>PRICE T ROWE GROUP INC</t>
        </is>
      </c>
      <c r="D195" s="91" t="inlineStr">
        <is>
          <t>N/A</t>
        </is>
      </c>
      <c r="E195" s="91" t="inlineStr">
        <is>
          <t>N/A</t>
        </is>
      </c>
      <c r="F195" s="91" t="inlineStr">
        <is>
          <t>N/A</t>
        </is>
      </c>
      <c r="G195" s="91" t="inlineStr">
        <is>
          <t>N/A</t>
        </is>
      </c>
      <c r="H195" s="91" t="inlineStr">
        <is>
          <t>N/A</t>
        </is>
      </c>
      <c r="I195" s="91" t="inlineStr">
        <is>
          <t>N/A</t>
        </is>
      </c>
      <c r="J195" s="91" t="inlineStr">
        <is>
          <t>N/A</t>
        </is>
      </c>
      <c r="K195" s="91" t="inlineStr">
        <is>
          <t>N/A</t>
        </is>
      </c>
      <c r="L195" s="91" t="inlineStr">
        <is>
          <t>N/A</t>
        </is>
      </c>
      <c r="M195" s="82" t="n">
        <v>5</v>
      </c>
      <c r="N195" s="82" t="inlineStr">
        <is>
          <t>Mixed</t>
        </is>
      </c>
      <c r="O195" s="207" t="n">
        <v>-2.6</v>
      </c>
      <c r="P195" s="82" t="inlineStr">
        <is>
          <t>Lower Risk</t>
        </is>
      </c>
      <c r="Q195" s="82" t="n">
        <v>-1.54</v>
      </c>
      <c r="R195" s="82" t="n">
        <v>0.1922</v>
      </c>
      <c r="S195" s="82" t="n">
        <v>0.84</v>
      </c>
      <c r="T195" s="82" t="n">
        <v>0.624</v>
      </c>
      <c r="U195" s="82" t="n">
        <v>0.2665</v>
      </c>
      <c r="V195" s="82" t="n">
        <v>0.9233</v>
      </c>
      <c r="W195" s="91" t="inlineStr">
        <is>
          <t>N/A</t>
        </is>
      </c>
      <c r="X195" s="82" t="n">
        <v>55.2</v>
      </c>
      <c r="Y195" s="82" t="n">
        <v>0</v>
      </c>
      <c r="Z195" s="82" t="inlineStr">
        <is>
          <t>CLEAR</t>
        </is>
      </c>
    </row>
    <row r="196" ht="17" customHeight="1">
      <c r="A196" s="86" t="n">
        <v>194</v>
      </c>
      <c r="B196" s="86" t="inlineStr">
        <is>
          <t>LULU</t>
        </is>
      </c>
      <c r="C196" s="86" t="inlineStr">
        <is>
          <t>lululemon athletica inc.</t>
        </is>
      </c>
      <c r="D196" s="86" t="n">
        <v>3.37</v>
      </c>
      <c r="E196" s="206" t="inlineStr">
        <is>
          <t>Safe</t>
        </is>
      </c>
      <c r="F196" s="86" t="n">
        <v>6.83</v>
      </c>
      <c r="G196" s="86" t="inlineStr">
        <is>
          <t>Safe</t>
        </is>
      </c>
      <c r="H196" s="86" t="n">
        <v>2.4</v>
      </c>
      <c r="I196" s="86" t="inlineStr">
        <is>
          <t>Healthy</t>
        </is>
      </c>
      <c r="J196" s="86" t="n">
        <v>-2.82</v>
      </c>
      <c r="K196" s="86" t="n">
        <v>0.06</v>
      </c>
      <c r="L196" s="86" t="inlineStr">
        <is>
          <t>Healthy</t>
        </is>
      </c>
      <c r="M196" s="86" t="n">
        <v>6</v>
      </c>
      <c r="N196" s="86" t="inlineStr">
        <is>
          <t>Mixed</t>
        </is>
      </c>
      <c r="O196" s="207" t="n">
        <v>-2.04</v>
      </c>
      <c r="P196" s="86" t="inlineStr">
        <is>
          <t>Higher Risk</t>
        </is>
      </c>
      <c r="Q196" s="86" t="n">
        <v>-0.33</v>
      </c>
      <c r="R196" s="86" t="n">
        <v>0.3183</v>
      </c>
      <c r="S196" s="86" t="n">
        <v>1.01</v>
      </c>
      <c r="T196" s="86" t="n">
        <v>0.083</v>
      </c>
      <c r="U196" s="86" t="n">
        <v>0.0486</v>
      </c>
      <c r="V196" s="86" t="n">
        <v>0.1991</v>
      </c>
      <c r="W196" s="86" t="n">
        <v>276326.88</v>
      </c>
      <c r="X196" s="86" t="n">
        <v>55.16</v>
      </c>
      <c r="Y196" s="86" t="n">
        <v>20</v>
      </c>
      <c r="Z196" s="86" t="inlineStr">
        <is>
          <t>CLEAR</t>
        </is>
      </c>
    </row>
    <row r="197" ht="17" customHeight="1">
      <c r="A197" s="82" t="n">
        <v>195</v>
      </c>
      <c r="B197" s="82" t="inlineStr">
        <is>
          <t>ZTS</t>
        </is>
      </c>
      <c r="C197" s="82" t="inlineStr">
        <is>
          <t>Zoetis Inc.</t>
        </is>
      </c>
      <c r="D197" s="82" t="n">
        <v>2.36</v>
      </c>
      <c r="E197" s="208" t="inlineStr">
        <is>
          <t>Grey</t>
        </is>
      </c>
      <c r="F197" s="82" t="n">
        <v>6.57</v>
      </c>
      <c r="G197" s="82" t="inlineStr">
        <is>
          <t>Safe</t>
        </is>
      </c>
      <c r="H197" s="82" t="n">
        <v>2.21</v>
      </c>
      <c r="I197" s="82" t="inlineStr">
        <is>
          <t>Healthy</t>
        </is>
      </c>
      <c r="J197" s="82" t="n">
        <v>-0.65</v>
      </c>
      <c r="K197" s="82" t="n">
        <v>0.34</v>
      </c>
      <c r="L197" s="82" t="inlineStr">
        <is>
          <t>Healthy</t>
        </is>
      </c>
      <c r="M197" s="82" t="n">
        <v>6</v>
      </c>
      <c r="N197" s="82" t="inlineStr">
        <is>
          <t>Mixed</t>
        </is>
      </c>
      <c r="O197" s="207" t="n">
        <v>-2.57</v>
      </c>
      <c r="P197" s="82" t="inlineStr">
        <is>
          <t>Lower Risk</t>
        </is>
      </c>
      <c r="Q197" s="82" t="n">
        <v>1.94</v>
      </c>
      <c r="R197" s="82" t="n">
        <v>0.8025</v>
      </c>
      <c r="S197" s="82" t="n">
        <v>1.09</v>
      </c>
      <c r="T197" s="82" t="n">
        <v>0.2412</v>
      </c>
      <c r="U197" s="82" t="n">
        <v>0.0228</v>
      </c>
      <c r="V197" s="82" t="n">
        <v>0.3549</v>
      </c>
      <c r="W197" s="82" t="n">
        <v>15.14</v>
      </c>
      <c r="X197" s="82" t="n">
        <v>55.11</v>
      </c>
      <c r="Y197" s="82" t="n">
        <v>0</v>
      </c>
      <c r="Z197" s="82" t="inlineStr">
        <is>
          <t>CLEAR</t>
        </is>
      </c>
    </row>
    <row r="198" ht="17" customHeight="1">
      <c r="A198" s="86" t="n">
        <v>196</v>
      </c>
      <c r="B198" s="86" t="inlineStr">
        <is>
          <t>VICI</t>
        </is>
      </c>
      <c r="C198" s="86" t="inlineStr">
        <is>
          <t>VICI Properties Inc.</t>
        </is>
      </c>
      <c r="D198" s="90" t="inlineStr">
        <is>
          <t>N/A</t>
        </is>
      </c>
      <c r="E198" s="90" t="inlineStr">
        <is>
          <t>N/A</t>
        </is>
      </c>
      <c r="F198" s="90" t="inlineStr">
        <is>
          <t>N/A</t>
        </is>
      </c>
      <c r="G198" s="90" t="inlineStr">
        <is>
          <t>N/A</t>
        </is>
      </c>
      <c r="H198" s="90" t="inlineStr">
        <is>
          <t>N/A</t>
        </is>
      </c>
      <c r="I198" s="90" t="inlineStr">
        <is>
          <t>N/A</t>
        </is>
      </c>
      <c r="J198" s="90" t="inlineStr">
        <is>
          <t>N/A</t>
        </is>
      </c>
      <c r="K198" s="90" t="inlineStr">
        <is>
          <t>N/A</t>
        </is>
      </c>
      <c r="L198" s="90" t="inlineStr">
        <is>
          <t>N/A</t>
        </is>
      </c>
      <c r="M198" s="86" t="n">
        <v>7</v>
      </c>
      <c r="N198" s="86" t="inlineStr">
        <is>
          <t>Strong</t>
        </is>
      </c>
      <c r="O198" s="90" t="inlineStr">
        <is>
          <t>N/A</t>
        </is>
      </c>
      <c r="P198" s="86" t="inlineStr">
        <is>
          <t>Insufficient Data</t>
        </is>
      </c>
      <c r="Q198" s="86" t="n">
        <v>49.93</v>
      </c>
      <c r="R198" s="86" t="n">
        <v>0.0998</v>
      </c>
      <c r="S198" s="86" t="n">
        <v>0.9</v>
      </c>
      <c r="T198" s="86" t="n">
        <v>0.6259</v>
      </c>
      <c r="U198" s="86" t="n">
        <v>0.0408</v>
      </c>
      <c r="V198" s="86" t="n">
        <v>0.0801</v>
      </c>
      <c r="W198" s="86" t="n">
        <v>0.39</v>
      </c>
      <c r="X198" s="86" t="n">
        <v>55.1</v>
      </c>
      <c r="Y198" s="86" t="n">
        <v>0</v>
      </c>
      <c r="Z198" s="86" t="inlineStr">
        <is>
          <t>CLEAR</t>
        </is>
      </c>
    </row>
    <row r="199" ht="17" customHeight="1">
      <c r="A199" s="82" t="n">
        <v>197</v>
      </c>
      <c r="B199" s="82" t="inlineStr">
        <is>
          <t>GRBK</t>
        </is>
      </c>
      <c r="C199" s="82" t="inlineStr">
        <is>
          <t>Green Brick Partners, Inc.</t>
        </is>
      </c>
      <c r="D199" s="82" t="n">
        <v>2.74</v>
      </c>
      <c r="E199" s="208" t="inlineStr">
        <is>
          <t>Grey</t>
        </is>
      </c>
      <c r="F199" s="82" t="n">
        <v>5.48</v>
      </c>
      <c r="G199" s="82" t="inlineStr">
        <is>
          <t>Safe</t>
        </is>
      </c>
      <c r="H199" s="82" t="n">
        <v>67.48999999999999</v>
      </c>
      <c r="I199" s="82" t="inlineStr">
        <is>
          <t>Healthy</t>
        </is>
      </c>
      <c r="J199" s="82" t="n">
        <v>-3.53</v>
      </c>
      <c r="K199" s="82" t="n">
        <v>0.03</v>
      </c>
      <c r="L199" s="82" t="inlineStr">
        <is>
          <t>Healthy</t>
        </is>
      </c>
      <c r="M199" s="82" t="n">
        <v>5</v>
      </c>
      <c r="N199" s="82" t="inlineStr">
        <is>
          <t>Mixed</t>
        </is>
      </c>
      <c r="O199" s="207" t="n">
        <v>-2.67</v>
      </c>
      <c r="P199" s="82" t="inlineStr">
        <is>
          <t>Lower Risk</t>
        </is>
      </c>
      <c r="Q199" s="82" t="n">
        <v>3.75</v>
      </c>
      <c r="R199" s="82" t="n">
        <v>0.1685</v>
      </c>
      <c r="S199" s="82" t="n">
        <v>0.68</v>
      </c>
      <c r="T199" s="82" t="n">
        <v>0.0993</v>
      </c>
      <c r="U199" s="82" t="n">
        <v>0.0287</v>
      </c>
      <c r="V199" s="82" t="n">
        <v>0.0342</v>
      </c>
      <c r="W199" s="91" t="inlineStr">
        <is>
          <t>N/A</t>
        </is>
      </c>
      <c r="X199" s="82" t="n">
        <v>55.1</v>
      </c>
      <c r="Y199" s="82" t="n">
        <v>0</v>
      </c>
      <c r="Z199" s="82" t="inlineStr">
        <is>
          <t>CLEAR</t>
        </is>
      </c>
    </row>
    <row r="200" ht="17" customHeight="1">
      <c r="A200" s="86" t="n">
        <v>198</v>
      </c>
      <c r="B200" s="86" t="inlineStr">
        <is>
          <t>LSCC</t>
        </is>
      </c>
      <c r="C200" s="86" t="inlineStr">
        <is>
          <t>Lattice Semiconductor Corp</t>
        </is>
      </c>
      <c r="D200" s="86" t="n">
        <v>2.65</v>
      </c>
      <c r="E200" s="208" t="inlineStr">
        <is>
          <t>Grey</t>
        </is>
      </c>
      <c r="F200" s="86" t="n">
        <v>7.13</v>
      </c>
      <c r="G200" s="86" t="inlineStr">
        <is>
          <t>Safe</t>
        </is>
      </c>
      <c r="H200" s="86" t="n">
        <v>0.58</v>
      </c>
      <c r="I200" s="86" t="inlineStr">
        <is>
          <t>Distress</t>
        </is>
      </c>
      <c r="J200" s="86" t="n">
        <v>-3.25</v>
      </c>
      <c r="K200" s="86" t="n">
        <v>0.04</v>
      </c>
      <c r="L200" s="86" t="inlineStr">
        <is>
          <t>Healthy</t>
        </is>
      </c>
      <c r="M200" s="86" t="n">
        <v>5</v>
      </c>
      <c r="N200" s="86" t="inlineStr">
        <is>
          <t>Mixed</t>
        </is>
      </c>
      <c r="O200" s="207" t="n">
        <v>-3.45</v>
      </c>
      <c r="P200" s="86" t="inlineStr">
        <is>
          <t>Lower Risk</t>
        </is>
      </c>
      <c r="Q200" s="86" t="n">
        <v>0.5600000000000001</v>
      </c>
      <c r="R200" s="86" t="n">
        <v>0.0043</v>
      </c>
      <c r="S200" s="86" t="n">
        <v>56.78</v>
      </c>
      <c r="T200" s="86" t="n">
        <v>0.3435</v>
      </c>
      <c r="U200" s="86" t="n">
        <v>-0.09619999999999999</v>
      </c>
      <c r="V200" s="86" t="n">
        <v>0.0291</v>
      </c>
      <c r="W200" s="86" t="n">
        <v>2.71</v>
      </c>
      <c r="X200" s="86" t="n">
        <v>55.08</v>
      </c>
      <c r="Y200" s="86" t="n">
        <v>20</v>
      </c>
      <c r="Z200" s="86" t="inlineStr">
        <is>
          <t>CLEAR</t>
        </is>
      </c>
    </row>
    <row r="201" ht="17" customHeight="1">
      <c r="A201" s="82" t="n">
        <v>199</v>
      </c>
      <c r="B201" s="82" t="inlineStr">
        <is>
          <t>MPC</t>
        </is>
      </c>
      <c r="C201" s="82" t="inlineStr">
        <is>
          <t>MARATHON PETROLEUM CORPORATION</t>
        </is>
      </c>
      <c r="D201" s="82" t="n">
        <v>1.24</v>
      </c>
      <c r="E201" s="208" t="inlineStr">
        <is>
          <t>Grey</t>
        </is>
      </c>
      <c r="F201" s="82" t="n">
        <v>2.91</v>
      </c>
      <c r="G201" s="82" t="inlineStr">
        <is>
          <t>Safe</t>
        </is>
      </c>
      <c r="H201" s="82" t="n">
        <v>0.75</v>
      </c>
      <c r="I201" s="82" t="inlineStr">
        <is>
          <t>Distress</t>
        </is>
      </c>
      <c r="J201" s="82" t="n">
        <v>-0.5</v>
      </c>
      <c r="K201" s="82" t="n">
        <v>0.38</v>
      </c>
      <c r="L201" s="82" t="inlineStr">
        <is>
          <t>Healthy</t>
        </is>
      </c>
      <c r="M201" s="82" t="n">
        <v>7</v>
      </c>
      <c r="N201" s="82" t="inlineStr">
        <is>
          <t>Strong</t>
        </is>
      </c>
      <c r="O201" s="207" t="n">
        <v>-2.41</v>
      </c>
      <c r="P201" s="82" t="inlineStr">
        <is>
          <t>Lower Risk</t>
        </is>
      </c>
      <c r="Q201" s="82" t="n">
        <v>-0.03</v>
      </c>
      <c r="R201" s="82" t="n">
        <v>0.2337</v>
      </c>
      <c r="S201" s="82" t="n">
        <v>2.04</v>
      </c>
      <c r="T201" s="82" t="n">
        <v>0.1533</v>
      </c>
      <c r="U201" s="82" t="n">
        <v>0.0016</v>
      </c>
      <c r="V201" s="82" t="n">
        <v>0.2667</v>
      </c>
      <c r="W201" s="82" t="n">
        <v>5.57</v>
      </c>
      <c r="X201" s="82" t="n">
        <v>55.07</v>
      </c>
      <c r="Y201" s="82" t="n">
        <v>0</v>
      </c>
      <c r="Z201" s="82" t="inlineStr">
        <is>
          <t>CLEAR</t>
        </is>
      </c>
    </row>
    <row r="202" ht="17" customHeight="1">
      <c r="A202" s="86" t="n">
        <v>200</v>
      </c>
      <c r="B202" s="86" t="inlineStr">
        <is>
          <t>MASI</t>
        </is>
      </c>
      <c r="C202" s="86" t="inlineStr">
        <is>
          <t>MASIMO CORP</t>
        </is>
      </c>
      <c r="D202" s="86" t="n">
        <v>2.51</v>
      </c>
      <c r="E202" s="208" t="inlineStr">
        <is>
          <t>Grey</t>
        </is>
      </c>
      <c r="F202" s="86" t="n">
        <v>6.71</v>
      </c>
      <c r="G202" s="86" t="inlineStr">
        <is>
          <t>Safe</t>
        </is>
      </c>
      <c r="H202" s="86" t="n">
        <v>1.67</v>
      </c>
      <c r="I202" s="86" t="inlineStr">
        <is>
          <t>Healthy</t>
        </is>
      </c>
      <c r="J202" s="86" t="n">
        <v>-0.66</v>
      </c>
      <c r="K202" s="86" t="n">
        <v>0.34</v>
      </c>
      <c r="L202" s="86" t="inlineStr">
        <is>
          <t>Healthy</t>
        </is>
      </c>
      <c r="M202" s="86" t="n">
        <v>7</v>
      </c>
      <c r="N202" s="86" t="inlineStr">
        <is>
          <t>Strong</t>
        </is>
      </c>
      <c r="O202" s="207" t="n">
        <v>-0.21</v>
      </c>
      <c r="P202" s="86" t="inlineStr">
        <is>
          <t>Higher Risk</t>
        </is>
      </c>
      <c r="Q202" s="86" t="n">
        <v>1.07</v>
      </c>
      <c r="R202" s="86" t="n">
        <v>-0.2101</v>
      </c>
      <c r="S202" s="86" t="n">
        <v>-1.44</v>
      </c>
      <c r="T202" s="86" t="n">
        <v>0.1601</v>
      </c>
      <c r="U202" s="86" t="n">
        <v>2.7828</v>
      </c>
      <c r="V202" s="86" t="n">
        <v>0.2502</v>
      </c>
      <c r="W202" s="86" t="n">
        <v>6.16</v>
      </c>
      <c r="X202" s="86" t="n">
        <v>55.04</v>
      </c>
      <c r="Y202" s="86" t="n">
        <v>80</v>
      </c>
      <c r="Z202" s="86" t="inlineStr">
        <is>
          <t>RED FLAG</t>
        </is>
      </c>
    </row>
    <row r="203" ht="17" customHeight="1">
      <c r="A203" s="82" t="n">
        <v>201</v>
      </c>
      <c r="B203" s="82" t="inlineStr">
        <is>
          <t>NVDA</t>
        </is>
      </c>
      <c r="C203" s="82" t="inlineStr">
        <is>
          <t>NVIDIA CORP</t>
        </is>
      </c>
      <c r="D203" s="82" t="n">
        <v>5.26</v>
      </c>
      <c r="E203" s="206" t="inlineStr">
        <is>
          <t>Safe</t>
        </is>
      </c>
      <c r="F203" s="82" t="n">
        <v>12.85</v>
      </c>
      <c r="G203" s="82" t="inlineStr">
        <is>
          <t>Safe</t>
        </is>
      </c>
      <c r="H203" s="82" t="n">
        <v>5.72</v>
      </c>
      <c r="I203" s="82" t="inlineStr">
        <is>
          <t>Healthy</t>
        </is>
      </c>
      <c r="J203" s="82" t="n">
        <v>-5.58</v>
      </c>
      <c r="K203" s="82" t="n">
        <v>0</v>
      </c>
      <c r="L203" s="82" t="inlineStr">
        <is>
          <t>Healthy</t>
        </is>
      </c>
      <c r="M203" s="82" t="n">
        <v>4</v>
      </c>
      <c r="N203" s="82" t="inlineStr">
        <is>
          <t>Mixed</t>
        </is>
      </c>
      <c r="O203" s="207" t="n">
        <v>-1.09</v>
      </c>
      <c r="P203" s="82" t="inlineStr">
        <is>
          <t>Higher Risk</t>
        </is>
      </c>
      <c r="Q203" s="82" t="n">
        <v>-0.02</v>
      </c>
      <c r="R203" s="82" t="n">
        <v>0.7633</v>
      </c>
      <c r="S203" s="82" t="n">
        <v>0.86</v>
      </c>
      <c r="T203" s="82" t="n">
        <v>0.475</v>
      </c>
      <c r="U203" s="82" t="n">
        <v>0.6546999999999999</v>
      </c>
      <c r="V203" s="82" t="n">
        <v>0.6038</v>
      </c>
      <c r="W203" s="82" t="n">
        <v>507.34</v>
      </c>
      <c r="X203" s="82" t="n">
        <v>55.03</v>
      </c>
      <c r="Y203" s="82" t="n">
        <v>20</v>
      </c>
      <c r="Z203" s="82" t="inlineStr">
        <is>
          <t>CLEAR</t>
        </is>
      </c>
    </row>
    <row r="204" ht="17" customHeight="1">
      <c r="A204" s="86" t="n">
        <v>202</v>
      </c>
      <c r="B204" s="86" t="inlineStr">
        <is>
          <t>LVS</t>
        </is>
      </c>
      <c r="C204" s="86" t="inlineStr">
        <is>
          <t>LAS VEGAS SANDS CORP</t>
        </is>
      </c>
      <c r="D204" s="86" t="n">
        <v>1.21</v>
      </c>
      <c r="E204" s="207" t="inlineStr">
        <is>
          <t>Distress</t>
        </is>
      </c>
      <c r="F204" s="86" t="n">
        <v>1.78</v>
      </c>
      <c r="G204" s="86" t="inlineStr">
        <is>
          <t>Grey</t>
        </is>
      </c>
      <c r="H204" s="86" t="n">
        <v>1.01</v>
      </c>
      <c r="I204" s="86" t="inlineStr">
        <is>
          <t>Healthy</t>
        </is>
      </c>
      <c r="J204" s="86" t="n">
        <v>0.51</v>
      </c>
      <c r="K204" s="86" t="n">
        <v>0.63</v>
      </c>
      <c r="L204" s="86" t="inlineStr">
        <is>
          <t>Distress</t>
        </is>
      </c>
      <c r="M204" s="86" t="n">
        <v>7</v>
      </c>
      <c r="N204" s="86" t="inlineStr">
        <is>
          <t>Strong</t>
        </is>
      </c>
      <c r="O204" s="90" t="inlineStr">
        <is>
          <t>N/A</t>
        </is>
      </c>
      <c r="P204" s="86" t="inlineStr">
        <is>
          <t>Insufficient Data</t>
        </is>
      </c>
      <c r="Q204" s="86" t="n">
        <v>-0.9</v>
      </c>
      <c r="R204" s="86" t="n">
        <v>1.0233</v>
      </c>
      <c r="S204" s="86" t="n">
        <v>1.86</v>
      </c>
      <c r="T204" s="86" t="n">
        <v>0.1425</v>
      </c>
      <c r="U204" s="86" t="n">
        <v>2.5673</v>
      </c>
      <c r="V204" s="86" t="n">
        <v>0.2165</v>
      </c>
      <c r="W204" s="86" t="n">
        <v>3.78</v>
      </c>
      <c r="X204" s="86" t="n">
        <v>54.97</v>
      </c>
      <c r="Y204" s="86" t="n">
        <v>0</v>
      </c>
      <c r="Z204" s="86" t="inlineStr">
        <is>
          <t>CLEAR</t>
        </is>
      </c>
    </row>
    <row r="205" ht="17" customHeight="1">
      <c r="A205" s="82" t="n">
        <v>203</v>
      </c>
      <c r="B205" s="82" t="inlineStr">
        <is>
          <t>CPRI</t>
        </is>
      </c>
      <c r="C205" s="82" t="inlineStr">
        <is>
          <t>Capri Holdings Ltd</t>
        </is>
      </c>
      <c r="D205" s="82" t="n">
        <v>2.31</v>
      </c>
      <c r="E205" s="208" t="inlineStr">
        <is>
          <t>Grey</t>
        </is>
      </c>
      <c r="F205" s="82" t="n">
        <v>4.95</v>
      </c>
      <c r="G205" s="82" t="inlineStr">
        <is>
          <t>Safe</t>
        </is>
      </c>
      <c r="H205" s="82" t="n">
        <v>0.59</v>
      </c>
      <c r="I205" s="82" t="inlineStr">
        <is>
          <t>Distress</t>
        </is>
      </c>
      <c r="J205" s="82" t="n">
        <v>1.01</v>
      </c>
      <c r="K205" s="82" t="n">
        <v>0.73</v>
      </c>
      <c r="L205" s="82" t="inlineStr">
        <is>
          <t>Distress</t>
        </is>
      </c>
      <c r="M205" s="82" t="n">
        <v>6</v>
      </c>
      <c r="N205" s="82" t="inlineStr">
        <is>
          <t>Mixed</t>
        </is>
      </c>
      <c r="O205" s="207" t="n">
        <v>-2.68</v>
      </c>
      <c r="P205" s="82" t="inlineStr">
        <is>
          <t>Lower Risk</t>
        </is>
      </c>
      <c r="Q205" s="82" t="n">
        <v>1.54</v>
      </c>
      <c r="R205" s="82" t="n">
        <v>1.7125</v>
      </c>
      <c r="S205" s="82" t="n">
        <v>0.5600000000000001</v>
      </c>
      <c r="T205" s="82" t="n">
        <v>0.004</v>
      </c>
      <c r="U205" s="82" t="n">
        <v>-0.2179</v>
      </c>
      <c r="V205" s="82" t="n">
        <v>0.0066</v>
      </c>
      <c r="W205" s="82" t="n">
        <v>58.52</v>
      </c>
      <c r="X205" s="82" t="n">
        <v>54.92</v>
      </c>
      <c r="Y205" s="82" t="n">
        <v>0</v>
      </c>
      <c r="Z205" s="82" t="inlineStr">
        <is>
          <t>CLEAR</t>
        </is>
      </c>
    </row>
    <row r="206" ht="17" customHeight="1">
      <c r="A206" s="86" t="n">
        <v>204</v>
      </c>
      <c r="B206" s="86" t="inlineStr">
        <is>
          <t>TSLA</t>
        </is>
      </c>
      <c r="C206" s="86" t="inlineStr">
        <is>
          <t>Tesla, Inc.</t>
        </is>
      </c>
      <c r="D206" s="86" t="n">
        <v>1.84</v>
      </c>
      <c r="E206" s="208" t="inlineStr">
        <is>
          <t>Grey</t>
        </is>
      </c>
      <c r="F206" s="86" t="n">
        <v>4.46</v>
      </c>
      <c r="G206" s="86" t="inlineStr">
        <is>
          <t>Safe</t>
        </is>
      </c>
      <c r="H206" s="86" t="n">
        <v>0.76</v>
      </c>
      <c r="I206" s="86" t="inlineStr">
        <is>
          <t>Distress</t>
        </is>
      </c>
      <c r="J206" s="86" t="n">
        <v>-2.19</v>
      </c>
      <c r="K206" s="86" t="n">
        <v>0.1</v>
      </c>
      <c r="L206" s="86" t="inlineStr">
        <is>
          <t>Healthy</t>
        </is>
      </c>
      <c r="M206" s="86" t="n">
        <v>6</v>
      </c>
      <c r="N206" s="86" t="inlineStr">
        <is>
          <t>Mixed</t>
        </is>
      </c>
      <c r="O206" s="207" t="n">
        <v>-2.86</v>
      </c>
      <c r="P206" s="86" t="inlineStr">
        <is>
          <t>Lower Risk</t>
        </is>
      </c>
      <c r="Q206" s="86" t="n">
        <v>-1.66</v>
      </c>
      <c r="R206" s="86" t="n">
        <v>0.0462</v>
      </c>
      <c r="S206" s="86" t="n">
        <v>3.89</v>
      </c>
      <c r="T206" s="86" t="n">
        <v>0.06560000000000001</v>
      </c>
      <c r="U206" s="86" t="n">
        <v>-0.0293</v>
      </c>
      <c r="V206" s="86" t="n">
        <v>0.0459</v>
      </c>
      <c r="W206" s="86" t="n">
        <v>27.92</v>
      </c>
      <c r="X206" s="86" t="n">
        <v>54.9</v>
      </c>
      <c r="Y206" s="86" t="n">
        <v>0</v>
      </c>
      <c r="Z206" s="86" t="inlineStr">
        <is>
          <t>CLEAR</t>
        </is>
      </c>
    </row>
    <row r="207" ht="17" customHeight="1">
      <c r="A207" s="82" t="n">
        <v>205</v>
      </c>
      <c r="B207" s="82" t="inlineStr">
        <is>
          <t>BWXT</t>
        </is>
      </c>
      <c r="C207" s="82" t="inlineStr">
        <is>
          <t>BWX TECHNOLOGIES, INC.</t>
        </is>
      </c>
      <c r="D207" s="82" t="n">
        <v>1.51</v>
      </c>
      <c r="E207" s="208" t="inlineStr">
        <is>
          <t>Grey</t>
        </is>
      </c>
      <c r="F207" s="82" t="n">
        <v>4.35</v>
      </c>
      <c r="G207" s="82" t="inlineStr">
        <is>
          <t>Safe</t>
        </is>
      </c>
      <c r="H207" s="82" t="n">
        <v>1.05</v>
      </c>
      <c r="I207" s="82" t="inlineStr">
        <is>
          <t>Healthy</t>
        </is>
      </c>
      <c r="J207" s="82" t="n">
        <v>-0.63</v>
      </c>
      <c r="K207" s="82" t="n">
        <v>0.35</v>
      </c>
      <c r="L207" s="82" t="inlineStr">
        <is>
          <t>Healthy</t>
        </is>
      </c>
      <c r="M207" s="82" t="n">
        <v>8</v>
      </c>
      <c r="N207" s="82" t="inlineStr">
        <is>
          <t>Strong</t>
        </is>
      </c>
      <c r="O207" s="207" t="n">
        <v>3.36</v>
      </c>
      <c r="P207" s="82" t="inlineStr">
        <is>
          <t>Higher Risk</t>
        </is>
      </c>
      <c r="Q207" s="82" t="n">
        <v>-0.39</v>
      </c>
      <c r="R207" s="82" t="n">
        <v>0.2669</v>
      </c>
      <c r="S207" s="82" t="n">
        <v>1.46</v>
      </c>
      <c r="T207" s="82" t="n">
        <v>0.175</v>
      </c>
      <c r="U207" s="82" t="n">
        <v>2.9237</v>
      </c>
      <c r="V207" s="82" t="n">
        <v>0.2396</v>
      </c>
      <c r="W207" s="82" t="n">
        <v>8.6</v>
      </c>
      <c r="X207" s="82" t="n">
        <v>54.89</v>
      </c>
      <c r="Y207" s="82" t="n">
        <v>20</v>
      </c>
      <c r="Z207" s="82" t="inlineStr">
        <is>
          <t>CLEAR</t>
        </is>
      </c>
    </row>
    <row r="208" ht="17" customHeight="1">
      <c r="A208" s="86" t="n">
        <v>206</v>
      </c>
      <c r="B208" s="86" t="inlineStr">
        <is>
          <t>MO</t>
        </is>
      </c>
      <c r="C208" s="86" t="inlineStr">
        <is>
          <t>ALTRIA GROUP, INC.</t>
        </is>
      </c>
      <c r="D208" s="86" t="n">
        <v>2.3</v>
      </c>
      <c r="E208" s="208" t="inlineStr">
        <is>
          <t>Grey</t>
        </is>
      </c>
      <c r="F208" s="86" t="n">
        <v>4.5</v>
      </c>
      <c r="G208" s="86" t="inlineStr">
        <is>
          <t>Safe</t>
        </is>
      </c>
      <c r="H208" s="86" t="n">
        <v>1.72</v>
      </c>
      <c r="I208" s="86" t="inlineStr">
        <is>
          <t>Healthy</t>
        </is>
      </c>
      <c r="J208" s="86" t="n">
        <v>1.01</v>
      </c>
      <c r="K208" s="86" t="n">
        <v>0.73</v>
      </c>
      <c r="L208" s="86" t="inlineStr">
        <is>
          <t>Distress</t>
        </is>
      </c>
      <c r="M208" s="86" t="n">
        <v>6</v>
      </c>
      <c r="N208" s="86" t="inlineStr">
        <is>
          <t>Mixed</t>
        </is>
      </c>
      <c r="O208" s="207" t="n">
        <v>-2.33</v>
      </c>
      <c r="P208" s="86" t="inlineStr">
        <is>
          <t>Lower Risk</t>
        </is>
      </c>
      <c r="Q208" s="86" t="n">
        <v>2.09</v>
      </c>
      <c r="R208" s="86" t="n">
        <v>-1.9837</v>
      </c>
      <c r="S208" s="86" t="n">
        <v>1.34</v>
      </c>
      <c r="T208" s="86" t="n">
        <v>0.3898</v>
      </c>
      <c r="U208" s="86" t="n">
        <v>-0.0308</v>
      </c>
      <c r="V208" s="86" t="n">
        <v>0.4252</v>
      </c>
      <c r="W208" s="86" t="n">
        <v>8.619999999999999</v>
      </c>
      <c r="X208" s="86" t="n">
        <v>54.87</v>
      </c>
      <c r="Y208" s="86" t="n">
        <v>0</v>
      </c>
      <c r="Z208" s="86" t="inlineStr">
        <is>
          <t>CLEAR</t>
        </is>
      </c>
    </row>
    <row r="209" ht="17" customHeight="1">
      <c r="A209" s="82" t="n">
        <v>207</v>
      </c>
      <c r="B209" s="82" t="inlineStr">
        <is>
          <t>META</t>
        </is>
      </c>
      <c r="C209" s="82" t="inlineStr">
        <is>
          <t>Meta Platforms, Inc.</t>
        </is>
      </c>
      <c r="D209" s="82" t="n">
        <v>1.84</v>
      </c>
      <c r="E209" s="208" t="inlineStr">
        <is>
          <t>Grey</t>
        </is>
      </c>
      <c r="F209" s="82" t="n">
        <v>5.34</v>
      </c>
      <c r="G209" s="82" t="inlineStr">
        <is>
          <t>Safe</t>
        </is>
      </c>
      <c r="H209" s="82" t="n">
        <v>2.29</v>
      </c>
      <c r="I209" s="82" t="inlineStr">
        <is>
          <t>Healthy</t>
        </is>
      </c>
      <c r="J209" s="82" t="n">
        <v>-2.76</v>
      </c>
      <c r="K209" s="82" t="n">
        <v>0.06</v>
      </c>
      <c r="L209" s="82" t="inlineStr">
        <is>
          <t>Healthy</t>
        </is>
      </c>
      <c r="M209" s="82" t="n">
        <v>6</v>
      </c>
      <c r="N209" s="82" t="inlineStr">
        <is>
          <t>Mixed</t>
        </is>
      </c>
      <c r="O209" s="207" t="n">
        <v>-4.02</v>
      </c>
      <c r="P209" s="82" t="inlineStr">
        <is>
          <t>Lower Risk</t>
        </is>
      </c>
      <c r="Q209" s="82" t="n">
        <v>0.22</v>
      </c>
      <c r="R209" s="82" t="n">
        <v>0.2783</v>
      </c>
      <c r="S209" s="82" t="n">
        <v>1.92</v>
      </c>
      <c r="T209" s="82" t="n">
        <v>1.1342</v>
      </c>
      <c r="U209" s="82" t="n">
        <v>0.4709</v>
      </c>
      <c r="V209" s="82" t="n">
        <v>2.0485</v>
      </c>
      <c r="W209" s="82" t="n">
        <v>186.72</v>
      </c>
      <c r="X209" s="82" t="n">
        <v>54.84</v>
      </c>
      <c r="Y209" s="82" t="n">
        <v>20</v>
      </c>
      <c r="Z209" s="82" t="inlineStr">
        <is>
          <t>CLEAR</t>
        </is>
      </c>
    </row>
    <row r="210" ht="17" customHeight="1">
      <c r="A210" s="86" t="n">
        <v>208</v>
      </c>
      <c r="B210" s="86" t="inlineStr">
        <is>
          <t>SM</t>
        </is>
      </c>
      <c r="C210" s="86" t="inlineStr">
        <is>
          <t>SM ENERGY CO</t>
        </is>
      </c>
      <c r="D210" s="86" t="n">
        <v>1.17</v>
      </c>
      <c r="E210" s="207" t="inlineStr">
        <is>
          <t>Distress</t>
        </is>
      </c>
      <c r="F210" s="86" t="n">
        <v>2.18</v>
      </c>
      <c r="G210" s="86" t="inlineStr">
        <is>
          <t>Grey</t>
        </is>
      </c>
      <c r="H210" s="86" t="n">
        <v>0.9</v>
      </c>
      <c r="I210" s="86" t="inlineStr">
        <is>
          <t>Healthy</t>
        </is>
      </c>
      <c r="J210" s="86" t="n">
        <v>1.03</v>
      </c>
      <c r="K210" s="86" t="n">
        <v>0.74</v>
      </c>
      <c r="L210" s="86" t="inlineStr">
        <is>
          <t>Distress</t>
        </is>
      </c>
      <c r="M210" s="86" t="n">
        <v>7</v>
      </c>
      <c r="N210" s="86" t="inlineStr">
        <is>
          <t>Strong</t>
        </is>
      </c>
      <c r="O210" s="207" t="n">
        <v>-3.15</v>
      </c>
      <c r="P210" s="86" t="inlineStr">
        <is>
          <t>Lower Risk</t>
        </is>
      </c>
      <c r="Q210" s="86" t="n">
        <v>1.66</v>
      </c>
      <c r="R210" s="86" t="n">
        <v>0.1347</v>
      </c>
      <c r="S210" s="86" t="n">
        <v>3.1</v>
      </c>
      <c r="T210" s="90" t="inlineStr">
        <is>
          <t>N/A</t>
        </is>
      </c>
      <c r="U210" s="86" t="n">
        <v>0.1724</v>
      </c>
      <c r="V210" s="86" t="n">
        <v>0.3171</v>
      </c>
      <c r="W210" s="86" t="n">
        <v>5.78</v>
      </c>
      <c r="X210" s="86" t="n">
        <v>54.81</v>
      </c>
      <c r="Y210" s="86" t="n">
        <v>20</v>
      </c>
      <c r="Z210" s="86" t="inlineStr">
        <is>
          <t>CLEAR</t>
        </is>
      </c>
    </row>
    <row r="211" ht="17" customHeight="1">
      <c r="A211" s="82" t="n">
        <v>209</v>
      </c>
      <c r="B211" s="82" t="inlineStr">
        <is>
          <t>CW</t>
        </is>
      </c>
      <c r="C211" s="82" t="inlineStr">
        <is>
          <t>CURTISS-WRIGHT CORPORATION</t>
        </is>
      </c>
      <c r="D211" s="82" t="n">
        <v>2.01</v>
      </c>
      <c r="E211" s="208" t="inlineStr">
        <is>
          <t>Grey</t>
        </is>
      </c>
      <c r="F211" s="82" t="n">
        <v>5.27</v>
      </c>
      <c r="G211" s="82" t="inlineStr">
        <is>
          <t>Safe</t>
        </is>
      </c>
      <c r="H211" s="82" t="n">
        <v>0.97</v>
      </c>
      <c r="I211" s="82" t="inlineStr">
        <is>
          <t>Healthy</t>
        </is>
      </c>
      <c r="J211" s="82" t="n">
        <v>-1.83</v>
      </c>
      <c r="K211" s="82" t="n">
        <v>0.14</v>
      </c>
      <c r="L211" s="82" t="inlineStr">
        <is>
          <t>Healthy</t>
        </is>
      </c>
      <c r="M211" s="82" t="n">
        <v>6</v>
      </c>
      <c r="N211" s="82" t="inlineStr">
        <is>
          <t>Mixed</t>
        </is>
      </c>
      <c r="O211" s="207" t="n">
        <v>-2.62</v>
      </c>
      <c r="P211" s="82" t="inlineStr">
        <is>
          <t>Lower Risk</t>
        </is>
      </c>
      <c r="Q211" s="82" t="n">
        <v>1.04</v>
      </c>
      <c r="R211" s="82" t="n">
        <v>0.1911</v>
      </c>
      <c r="S211" s="82" t="n">
        <v>1.33</v>
      </c>
      <c r="T211" s="82" t="n">
        <v>0.2315</v>
      </c>
      <c r="U211" s="82" t="n">
        <v>-0.0388</v>
      </c>
      <c r="V211" s="82" t="n">
        <v>0.2649</v>
      </c>
      <c r="W211" s="82" t="n">
        <v>12.33</v>
      </c>
      <c r="X211" s="82" t="n">
        <v>54.79</v>
      </c>
      <c r="Y211" s="82" t="n">
        <v>0</v>
      </c>
      <c r="Z211" s="82" t="inlineStr">
        <is>
          <t>CLEAR</t>
        </is>
      </c>
    </row>
    <row r="212" ht="17" customHeight="1">
      <c r="A212" s="86" t="n">
        <v>210</v>
      </c>
      <c r="B212" s="86" t="inlineStr">
        <is>
          <t>CMG</t>
        </is>
      </c>
      <c r="C212" s="86" t="inlineStr">
        <is>
          <t>CHIPOTLE MEXICAN GRILL, INC.</t>
        </is>
      </c>
      <c r="D212" s="86" t="n">
        <v>2.27</v>
      </c>
      <c r="E212" s="208" t="inlineStr">
        <is>
          <t>Grey</t>
        </is>
      </c>
      <c r="F212" s="86" t="n">
        <v>2.36</v>
      </c>
      <c r="G212" s="86" t="inlineStr">
        <is>
          <t>Grey</t>
        </is>
      </c>
      <c r="H212" s="86" t="n">
        <v>2.34</v>
      </c>
      <c r="I212" s="86" t="inlineStr">
        <is>
          <t>Healthy</t>
        </is>
      </c>
      <c r="J212" s="86" t="n">
        <v>-1.21</v>
      </c>
      <c r="K212" s="86" t="n">
        <v>0.23</v>
      </c>
      <c r="L212" s="86" t="inlineStr">
        <is>
          <t>Healthy</t>
        </is>
      </c>
      <c r="M212" s="86" t="n">
        <v>6</v>
      </c>
      <c r="N212" s="86" t="inlineStr">
        <is>
          <t>Mixed</t>
        </is>
      </c>
      <c r="O212" s="90" t="inlineStr">
        <is>
          <t>N/A</t>
        </is>
      </c>
      <c r="P212" s="86" t="inlineStr">
        <is>
          <t>Insufficient Data</t>
        </is>
      </c>
      <c r="Q212" s="86" t="n">
        <v>-0.15</v>
      </c>
      <c r="R212" s="86" t="n">
        <v>0.5426</v>
      </c>
      <c r="S212" s="86" t="n">
        <v>1.38</v>
      </c>
      <c r="T212" s="86" t="n">
        <v>0.1214</v>
      </c>
      <c r="U212" s="86" t="n">
        <v>0.0541</v>
      </c>
      <c r="V212" s="86" t="n">
        <v>0.1623</v>
      </c>
      <c r="W212" s="90" t="inlineStr">
        <is>
          <t>N/A</t>
        </is>
      </c>
      <c r="X212" s="86" t="n">
        <v>54.76</v>
      </c>
      <c r="Y212" s="86" t="n">
        <v>0</v>
      </c>
      <c r="Z212" s="86" t="inlineStr">
        <is>
          <t>CLEAR</t>
        </is>
      </c>
    </row>
    <row r="213" ht="17" customHeight="1">
      <c r="A213" s="82" t="n">
        <v>211</v>
      </c>
      <c r="B213" s="82" t="inlineStr">
        <is>
          <t>CHD</t>
        </is>
      </c>
      <c r="C213" s="82" t="inlineStr">
        <is>
          <t>CHURCH &amp; DWIGHT CO., INC.</t>
        </is>
      </c>
      <c r="D213" s="82" t="n">
        <v>2.06</v>
      </c>
      <c r="E213" s="208" t="inlineStr">
        <is>
          <t>Grey</t>
        </is>
      </c>
      <c r="F213" s="82" t="n">
        <v>4.22</v>
      </c>
      <c r="G213" s="82" t="inlineStr">
        <is>
          <t>Safe</t>
        </is>
      </c>
      <c r="H213" s="82" t="n">
        <v>1.08</v>
      </c>
      <c r="I213" s="82" t="inlineStr">
        <is>
          <t>Healthy</t>
        </is>
      </c>
      <c r="J213" s="82" t="n">
        <v>-1.58</v>
      </c>
      <c r="K213" s="82" t="n">
        <v>0.17</v>
      </c>
      <c r="L213" s="82" t="inlineStr">
        <is>
          <t>Healthy</t>
        </is>
      </c>
      <c r="M213" s="82" t="n">
        <v>6</v>
      </c>
      <c r="N213" s="82" t="inlineStr">
        <is>
          <t>Mixed</t>
        </is>
      </c>
      <c r="O213" s="207" t="n">
        <v>-2.83</v>
      </c>
      <c r="P213" s="82" t="inlineStr">
        <is>
          <t>Lower Risk</t>
        </is>
      </c>
      <c r="Q213" s="82" t="n">
        <v>1.36</v>
      </c>
      <c r="R213" s="82" t="n">
        <v>0.1841</v>
      </c>
      <c r="S213" s="82" t="n">
        <v>1.65</v>
      </c>
      <c r="T213" s="82" t="n">
        <v>0.1762</v>
      </c>
      <c r="U213" s="82" t="n">
        <v>0.0157</v>
      </c>
      <c r="V213" s="82" t="n">
        <v>0.1737</v>
      </c>
      <c r="W213" s="82" t="n">
        <v>11.32</v>
      </c>
      <c r="X213" s="82" t="n">
        <v>54.75</v>
      </c>
      <c r="Y213" s="82" t="n">
        <v>0</v>
      </c>
      <c r="Z213" s="82" t="inlineStr">
        <is>
          <t>CLEAR</t>
        </is>
      </c>
    </row>
    <row r="214" ht="17" customHeight="1">
      <c r="A214" s="86" t="n">
        <v>212</v>
      </c>
      <c r="B214" s="86" t="inlineStr">
        <is>
          <t>KDP</t>
        </is>
      </c>
      <c r="C214" s="86" t="inlineStr">
        <is>
          <t>Keurig Dr Pepper Inc.</t>
        </is>
      </c>
      <c r="D214" s="86" t="n">
        <v>0.9</v>
      </c>
      <c r="E214" s="207" t="inlineStr">
        <is>
          <t>Distress</t>
        </is>
      </c>
      <c r="F214" s="86" t="n">
        <v>1.3</v>
      </c>
      <c r="G214" s="86" t="inlineStr">
        <is>
          <t>Grey</t>
        </is>
      </c>
      <c r="H214" s="86" t="n">
        <v>0.48</v>
      </c>
      <c r="I214" s="86" t="inlineStr">
        <is>
          <t>Distress</t>
        </is>
      </c>
      <c r="J214" s="86" t="n">
        <v>-1.44</v>
      </c>
      <c r="K214" s="86" t="n">
        <v>0.19</v>
      </c>
      <c r="L214" s="86" t="inlineStr">
        <is>
          <t>Healthy</t>
        </is>
      </c>
      <c r="M214" s="86" t="n">
        <v>7</v>
      </c>
      <c r="N214" s="86" t="inlineStr">
        <is>
          <t>Strong</t>
        </is>
      </c>
      <c r="O214" s="207" t="n">
        <v>-2.37</v>
      </c>
      <c r="P214" s="86" t="inlineStr">
        <is>
          <t>Lower Risk</t>
        </is>
      </c>
      <c r="Q214" s="86" t="n">
        <v>2.87</v>
      </c>
      <c r="R214" s="86" t="n">
        <v>0.0815</v>
      </c>
      <c r="S214" s="86" t="n">
        <v>0.96</v>
      </c>
      <c r="T214" s="86" t="n">
        <v>0.0906</v>
      </c>
      <c r="U214" s="86" t="n">
        <v>0.08160000000000001</v>
      </c>
      <c r="V214" s="86" t="n">
        <v>0.2153</v>
      </c>
      <c r="W214" s="86" t="n">
        <v>7.21</v>
      </c>
      <c r="X214" s="86" t="n">
        <v>54.65</v>
      </c>
      <c r="Y214" s="86" t="n">
        <v>0</v>
      </c>
      <c r="Z214" s="86" t="inlineStr">
        <is>
          <t>CLEAR</t>
        </is>
      </c>
    </row>
    <row r="215" ht="17" customHeight="1">
      <c r="A215" s="82" t="n">
        <v>213</v>
      </c>
      <c r="B215" s="82" t="inlineStr">
        <is>
          <t>CVX</t>
        </is>
      </c>
      <c r="C215" s="82" t="inlineStr">
        <is>
          <t>Chevron Corp</t>
        </is>
      </c>
      <c r="D215" s="91" t="inlineStr">
        <is>
          <t>N/A</t>
        </is>
      </c>
      <c r="E215" s="91" t="inlineStr">
        <is>
          <t>N/A</t>
        </is>
      </c>
      <c r="F215" s="91" t="inlineStr">
        <is>
          <t>N/A</t>
        </is>
      </c>
      <c r="G215" s="91" t="inlineStr">
        <is>
          <t>N/A</t>
        </is>
      </c>
      <c r="H215" s="91" t="inlineStr">
        <is>
          <t>N/A</t>
        </is>
      </c>
      <c r="I215" s="91" t="inlineStr">
        <is>
          <t>N/A</t>
        </is>
      </c>
      <c r="J215" s="82" t="n">
        <v>-2.19</v>
      </c>
      <c r="K215" s="82" t="n">
        <v>0.1</v>
      </c>
      <c r="L215" s="82" t="inlineStr">
        <is>
          <t>Healthy</t>
        </is>
      </c>
      <c r="M215" s="82" t="n">
        <v>6</v>
      </c>
      <c r="N215" s="82" t="inlineStr">
        <is>
          <t>Mixed</t>
        </is>
      </c>
      <c r="O215" s="207" t="n">
        <v>-2.85</v>
      </c>
      <c r="P215" s="82" t="inlineStr">
        <is>
          <t>Lower Risk</t>
        </is>
      </c>
      <c r="Q215" s="91" t="inlineStr">
        <is>
          <t>N/A</t>
        </is>
      </c>
      <c r="R215" s="82" t="n">
        <v>0.066</v>
      </c>
      <c r="S215" s="82" t="n">
        <v>2.76</v>
      </c>
      <c r="T215" s="82" t="n">
        <v>0.0878</v>
      </c>
      <c r="U215" s="82" t="n">
        <v>-0.0679</v>
      </c>
      <c r="V215" s="91" t="inlineStr">
        <is>
          <t>N/A</t>
        </is>
      </c>
      <c r="W215" s="91" t="inlineStr">
        <is>
          <t>N/A</t>
        </is>
      </c>
      <c r="X215" s="82" t="n">
        <v>54.43</v>
      </c>
      <c r="Y215" s="82" t="n">
        <v>0</v>
      </c>
      <c r="Z215" s="82" t="inlineStr">
        <is>
          <t>CLEAR</t>
        </is>
      </c>
    </row>
    <row r="216" ht="17" customHeight="1">
      <c r="A216" s="86" t="n">
        <v>214</v>
      </c>
      <c r="B216" s="86" t="inlineStr">
        <is>
          <t>FAF</t>
        </is>
      </c>
      <c r="C216" s="86" t="inlineStr">
        <is>
          <t>FIRST AMERICAN FINANCIAL CORPORATION</t>
        </is>
      </c>
      <c r="D216" s="90" t="inlineStr">
        <is>
          <t>N/A</t>
        </is>
      </c>
      <c r="E216" s="90" t="inlineStr">
        <is>
          <t>N/A</t>
        </is>
      </c>
      <c r="F216" s="90" t="inlineStr">
        <is>
          <t>N/A</t>
        </is>
      </c>
      <c r="G216" s="90" t="inlineStr">
        <is>
          <t>N/A</t>
        </is>
      </c>
      <c r="H216" s="90" t="inlineStr">
        <is>
          <t>N/A</t>
        </is>
      </c>
      <c r="I216" s="90" t="inlineStr">
        <is>
          <t>N/A</t>
        </is>
      </c>
      <c r="J216" s="90" t="inlineStr">
        <is>
          <t>N/A</t>
        </is>
      </c>
      <c r="K216" s="90" t="inlineStr">
        <is>
          <t>N/A</t>
        </is>
      </c>
      <c r="L216" s="90" t="inlineStr">
        <is>
          <t>N/A</t>
        </is>
      </c>
      <c r="M216" s="86" t="n">
        <v>7</v>
      </c>
      <c r="N216" s="86" t="inlineStr">
        <is>
          <t>Strong</t>
        </is>
      </c>
      <c r="O216" s="90" t="inlineStr">
        <is>
          <t>N/A</t>
        </is>
      </c>
      <c r="P216" s="86" t="inlineStr">
        <is>
          <t>Insufficient Data</t>
        </is>
      </c>
      <c r="Q216" s="86" t="n">
        <v>-1.33</v>
      </c>
      <c r="R216" s="86" t="n">
        <v>0.1131</v>
      </c>
      <c r="S216" s="86" t="n">
        <v>1.53</v>
      </c>
      <c r="T216" s="86" t="n">
        <v>0.1023</v>
      </c>
      <c r="U216" s="86" t="n">
        <v>0.2161</v>
      </c>
      <c r="V216" s="86" t="n">
        <v>0.1109</v>
      </c>
      <c r="W216" s="86" t="n">
        <v>5.26</v>
      </c>
      <c r="X216" s="86" t="n">
        <v>54.41</v>
      </c>
      <c r="Y216" s="86" t="n">
        <v>0</v>
      </c>
      <c r="Z216" s="86" t="inlineStr">
        <is>
          <t>CLEAR</t>
        </is>
      </c>
    </row>
    <row r="217" ht="17" customHeight="1">
      <c r="A217" s="82" t="n">
        <v>215</v>
      </c>
      <c r="B217" s="82" t="inlineStr">
        <is>
          <t>NOG</t>
        </is>
      </c>
      <c r="C217" s="82" t="inlineStr">
        <is>
          <t>NORTHERN OIL &amp; GAS, INC.</t>
        </is>
      </c>
      <c r="D217" s="82" t="n">
        <v>0.95</v>
      </c>
      <c r="E217" s="207" t="inlineStr">
        <is>
          <t>Distress</t>
        </is>
      </c>
      <c r="F217" s="82" t="n">
        <v>1.33</v>
      </c>
      <c r="G217" s="82" t="inlineStr">
        <is>
          <t>Grey</t>
        </is>
      </c>
      <c r="H217" s="82" t="n">
        <v>0.41</v>
      </c>
      <c r="I217" s="82" t="inlineStr">
        <is>
          <t>Distress</t>
        </is>
      </c>
      <c r="J217" s="82" t="n">
        <v>-0.92</v>
      </c>
      <c r="K217" s="82" t="n">
        <v>0.29</v>
      </c>
      <c r="L217" s="82" t="inlineStr">
        <is>
          <t>Healthy</t>
        </is>
      </c>
      <c r="M217" s="82" t="n">
        <v>7</v>
      </c>
      <c r="N217" s="82" t="inlineStr">
        <is>
          <t>Strong</t>
        </is>
      </c>
      <c r="O217" s="207" t="n">
        <v>-2.77</v>
      </c>
      <c r="P217" s="82" t="inlineStr">
        <is>
          <t>Lower Risk</t>
        </is>
      </c>
      <c r="Q217" s="82" t="n">
        <v>9.68</v>
      </c>
      <c r="R217" s="82" t="n">
        <v>0.0182</v>
      </c>
      <c r="S217" s="82" t="n">
        <v>38.84</v>
      </c>
      <c r="T217" s="82" t="n">
        <v>0.608</v>
      </c>
      <c r="U217" s="82" t="n">
        <v>0.1123</v>
      </c>
      <c r="V217" s="82" t="n">
        <v>0.0993</v>
      </c>
      <c r="W217" s="82" t="n">
        <v>1.81</v>
      </c>
      <c r="X217" s="82" t="n">
        <v>54.41</v>
      </c>
      <c r="Y217" s="82" t="n">
        <v>20</v>
      </c>
      <c r="Z217" s="82" t="inlineStr">
        <is>
          <t>CLEAR</t>
        </is>
      </c>
    </row>
    <row r="218" ht="17" customHeight="1">
      <c r="A218" s="86" t="n">
        <v>216</v>
      </c>
      <c r="B218" s="86" t="inlineStr">
        <is>
          <t>SWKS</t>
        </is>
      </c>
      <c r="C218" s="86" t="inlineStr">
        <is>
          <t>SKYWORKS SOLUTIONS, INC.</t>
        </is>
      </c>
      <c r="D218" s="86" t="n">
        <v>2.59</v>
      </c>
      <c r="E218" s="208" t="inlineStr">
        <is>
          <t>Grey</t>
        </is>
      </c>
      <c r="F218" s="86" t="n">
        <v>7.01</v>
      </c>
      <c r="G218" s="86" t="inlineStr">
        <is>
          <t>Safe</t>
        </is>
      </c>
      <c r="H218" s="86" t="n">
        <v>0.89</v>
      </c>
      <c r="I218" s="86" t="inlineStr">
        <is>
          <t>Healthy</t>
        </is>
      </c>
      <c r="J218" s="86" t="n">
        <v>-3.05</v>
      </c>
      <c r="K218" s="86" t="n">
        <v>0.05</v>
      </c>
      <c r="L218" s="86" t="inlineStr">
        <is>
          <t>Healthy</t>
        </is>
      </c>
      <c r="M218" s="86" t="n">
        <v>5</v>
      </c>
      <c r="N218" s="86" t="inlineStr">
        <is>
          <t>Mixed</t>
        </is>
      </c>
      <c r="O218" s="207" t="n">
        <v>-3</v>
      </c>
      <c r="P218" s="86" t="inlineStr">
        <is>
          <t>Lower Risk</t>
        </is>
      </c>
      <c r="Q218" s="86" t="n">
        <v>-0.85</v>
      </c>
      <c r="R218" s="86" t="n">
        <v>0.0829</v>
      </c>
      <c r="S218" s="86" t="n">
        <v>2.73</v>
      </c>
      <c r="T218" s="86" t="n">
        <v>0.2706</v>
      </c>
      <c r="U218" s="86" t="n">
        <v>-0.0218</v>
      </c>
      <c r="V218" s="86" t="n">
        <v>0.1223</v>
      </c>
      <c r="W218" s="86" t="n">
        <v>18.45</v>
      </c>
      <c r="X218" s="86" t="n">
        <v>54.39</v>
      </c>
      <c r="Y218" s="86" t="n">
        <v>20</v>
      </c>
      <c r="Z218" s="86" t="inlineStr">
        <is>
          <t>CLEAR</t>
        </is>
      </c>
    </row>
    <row r="219" ht="17" customHeight="1">
      <c r="A219" s="82" t="n">
        <v>217</v>
      </c>
      <c r="B219" s="82" t="inlineStr">
        <is>
          <t>BWA</t>
        </is>
      </c>
      <c r="C219" s="82" t="inlineStr">
        <is>
          <t>BORGWARNER INC</t>
        </is>
      </c>
      <c r="D219" s="82" t="n">
        <v>2.03</v>
      </c>
      <c r="E219" s="208" t="inlineStr">
        <is>
          <t>Grey</t>
        </is>
      </c>
      <c r="F219" s="82" t="n">
        <v>4.19</v>
      </c>
      <c r="G219" s="82" t="inlineStr">
        <is>
          <t>Safe</t>
        </is>
      </c>
      <c r="H219" s="82" t="n">
        <v>0.9</v>
      </c>
      <c r="I219" s="82" t="inlineStr">
        <is>
          <t>Healthy</t>
        </is>
      </c>
      <c r="J219" s="82" t="n">
        <v>-1.05</v>
      </c>
      <c r="K219" s="82" t="n">
        <v>0.26</v>
      </c>
      <c r="L219" s="82" t="inlineStr">
        <is>
          <t>Healthy</t>
        </is>
      </c>
      <c r="M219" s="82" t="n">
        <v>6</v>
      </c>
      <c r="N219" s="82" t="inlineStr">
        <is>
          <t>Mixed</t>
        </is>
      </c>
      <c r="O219" s="207" t="n">
        <v>-2.88</v>
      </c>
      <c r="P219" s="82" t="inlineStr">
        <is>
          <t>Lower Risk</t>
        </is>
      </c>
      <c r="Q219" s="82" t="n">
        <v>0.08</v>
      </c>
      <c r="R219" s="82" t="n">
        <v>0.0509</v>
      </c>
      <c r="S219" s="82" t="n">
        <v>5.66</v>
      </c>
      <c r="T219" s="82" t="n">
        <v>0.07679999999999999</v>
      </c>
      <c r="U219" s="82" t="n">
        <v>0.0163</v>
      </c>
      <c r="V219" s="82" t="n">
        <v>0.0374</v>
      </c>
      <c r="W219" s="82" t="n">
        <v>5.41</v>
      </c>
      <c r="X219" s="82" t="n">
        <v>54.37</v>
      </c>
      <c r="Y219" s="82" t="n">
        <v>0</v>
      </c>
      <c r="Z219" s="82" t="inlineStr">
        <is>
          <t>CLEAR</t>
        </is>
      </c>
    </row>
    <row r="220" ht="17" customHeight="1">
      <c r="A220" s="86" t="n">
        <v>218</v>
      </c>
      <c r="B220" s="86" t="inlineStr">
        <is>
          <t>REGN</t>
        </is>
      </c>
      <c r="C220" s="86" t="inlineStr">
        <is>
          <t>REGENERON PHARMACEUTICALS, INC.</t>
        </is>
      </c>
      <c r="D220" s="86" t="n">
        <v>2.82</v>
      </c>
      <c r="E220" s="208" t="inlineStr">
        <is>
          <t>Grey</t>
        </is>
      </c>
      <c r="F220" s="86" t="n">
        <v>9.210000000000001</v>
      </c>
      <c r="G220" s="86" t="inlineStr">
        <is>
          <t>Safe</t>
        </is>
      </c>
      <c r="H220" s="86" t="n">
        <v>1.47</v>
      </c>
      <c r="I220" s="86" t="inlineStr">
        <is>
          <t>Healthy</t>
        </is>
      </c>
      <c r="J220" s="86" t="n">
        <v>-3.52</v>
      </c>
      <c r="K220" s="86" t="n">
        <v>0.03</v>
      </c>
      <c r="L220" s="86" t="inlineStr">
        <is>
          <t>Healthy</t>
        </is>
      </c>
      <c r="M220" s="86" t="n">
        <v>6</v>
      </c>
      <c r="N220" s="86" t="inlineStr">
        <is>
          <t>Mixed</t>
        </is>
      </c>
      <c r="O220" s="207" t="n">
        <v>-0.8</v>
      </c>
      <c r="P220" s="86" t="inlineStr">
        <is>
          <t>Higher Risk</t>
        </is>
      </c>
      <c r="Q220" s="86" t="n">
        <v>-0.27</v>
      </c>
      <c r="R220" s="86" t="n">
        <v>0.1441</v>
      </c>
      <c r="S220" s="86" t="n">
        <v>1.11</v>
      </c>
      <c r="T220" s="86" t="n">
        <v>0.6949</v>
      </c>
      <c r="U220" s="86" t="n">
        <v>2.7109</v>
      </c>
      <c r="V220" s="86" t="n">
        <v>0.6093</v>
      </c>
      <c r="W220" s="86" t="n">
        <v>49.01</v>
      </c>
      <c r="X220" s="86" t="n">
        <v>54.32</v>
      </c>
      <c r="Y220" s="86" t="n">
        <v>20</v>
      </c>
      <c r="Z220" s="86" t="inlineStr">
        <is>
          <t>CLEAR</t>
        </is>
      </c>
    </row>
    <row r="221" ht="17" customHeight="1">
      <c r="A221" s="82" t="n">
        <v>219</v>
      </c>
      <c r="B221" s="82" t="inlineStr">
        <is>
          <t>MKSI</t>
        </is>
      </c>
      <c r="C221" s="82" t="inlineStr">
        <is>
          <t>MKS INC</t>
        </is>
      </c>
      <c r="D221" s="82" t="n">
        <v>1.02</v>
      </c>
      <c r="E221" s="207" t="inlineStr">
        <is>
          <t>Distress</t>
        </is>
      </c>
      <c r="F221" s="82" t="n">
        <v>2.32</v>
      </c>
      <c r="G221" s="82" t="inlineStr">
        <is>
          <t>Grey</t>
        </is>
      </c>
      <c r="H221" s="82" t="n">
        <v>0.76</v>
      </c>
      <c r="I221" s="82" t="inlineStr">
        <is>
          <t>Distress</t>
        </is>
      </c>
      <c r="J221" s="82" t="n">
        <v>-0.55</v>
      </c>
      <c r="K221" s="82" t="n">
        <v>0.37</v>
      </c>
      <c r="L221" s="82" t="inlineStr">
        <is>
          <t>Healthy</t>
        </is>
      </c>
      <c r="M221" s="82" t="n">
        <v>7</v>
      </c>
      <c r="N221" s="82" t="inlineStr">
        <is>
          <t>Strong</t>
        </is>
      </c>
      <c r="O221" s="207" t="n">
        <v>-2.59</v>
      </c>
      <c r="P221" s="82" t="inlineStr">
        <is>
          <t>Lower Risk</t>
        </is>
      </c>
      <c r="Q221" s="82" t="n">
        <v>4.28</v>
      </c>
      <c r="R221" s="82" t="n">
        <v>0.1085</v>
      </c>
      <c r="S221" s="82" t="n">
        <v>2.19</v>
      </c>
      <c r="T221" s="82" t="n">
        <v>0.1264</v>
      </c>
      <c r="U221" s="82" t="n">
        <v>0.09619999999999999</v>
      </c>
      <c r="V221" s="82" t="n">
        <v>0.1343</v>
      </c>
      <c r="W221" s="82" t="n">
        <v>2.49</v>
      </c>
      <c r="X221" s="82" t="n">
        <v>54.29</v>
      </c>
      <c r="Y221" s="82" t="n">
        <v>0</v>
      </c>
      <c r="Z221" s="82" t="inlineStr">
        <is>
          <t>CLEAR</t>
        </is>
      </c>
    </row>
    <row r="222" ht="17" customHeight="1">
      <c r="A222" s="86" t="n">
        <v>220</v>
      </c>
      <c r="B222" s="86" t="inlineStr">
        <is>
          <t>FIVN</t>
        </is>
      </c>
      <c r="C222" s="86" t="inlineStr">
        <is>
          <t>FIVE9, INC.</t>
        </is>
      </c>
      <c r="D222" s="86" t="n">
        <v>1.14</v>
      </c>
      <c r="E222" s="207" t="inlineStr">
        <is>
          <t>Distress</t>
        </is>
      </c>
      <c r="F222" s="86" t="n">
        <v>2.98</v>
      </c>
      <c r="G222" s="86" t="inlineStr">
        <is>
          <t>Safe</t>
        </is>
      </c>
      <c r="H222" s="86" t="n">
        <v>0.88</v>
      </c>
      <c r="I222" s="86" t="inlineStr">
        <is>
          <t>Healthy</t>
        </is>
      </c>
      <c r="J222" s="86" t="n">
        <v>-1.23</v>
      </c>
      <c r="K222" s="86" t="n">
        <v>0.23</v>
      </c>
      <c r="L222" s="86" t="inlineStr">
        <is>
          <t>Healthy</t>
        </is>
      </c>
      <c r="M222" s="86" t="n">
        <v>8</v>
      </c>
      <c r="N222" s="86" t="inlineStr">
        <is>
          <t>Strong</t>
        </is>
      </c>
      <c r="O222" s="207" t="n">
        <v>-1.09</v>
      </c>
      <c r="P222" s="86" t="inlineStr">
        <is>
          <t>Higher Risk</t>
        </is>
      </c>
      <c r="Q222" s="86" t="n">
        <v>-0.39</v>
      </c>
      <c r="R222" s="86" t="n">
        <v>0.0502</v>
      </c>
      <c r="S222" s="86" t="n">
        <v>5.74</v>
      </c>
      <c r="T222" s="86" t="n">
        <v>0.1751</v>
      </c>
      <c r="U222" s="86" t="n">
        <v>2.8267</v>
      </c>
      <c r="V222" s="86" t="n">
        <v>0.0251</v>
      </c>
      <c r="W222" s="86" t="n">
        <v>3.77</v>
      </c>
      <c r="X222" s="86" t="n">
        <v>54.23</v>
      </c>
      <c r="Y222" s="86" t="n">
        <v>40</v>
      </c>
      <c r="Z222" s="86" t="inlineStr">
        <is>
          <t>WATCH</t>
        </is>
      </c>
    </row>
    <row r="223" ht="17" customHeight="1">
      <c r="A223" s="82" t="n">
        <v>221</v>
      </c>
      <c r="B223" s="82" t="inlineStr">
        <is>
          <t>BDX</t>
        </is>
      </c>
      <c r="C223" s="82" t="inlineStr">
        <is>
          <t>BECTON DICKINSON &amp; CO</t>
        </is>
      </c>
      <c r="D223" s="82" t="n">
        <v>1</v>
      </c>
      <c r="E223" s="207" t="inlineStr">
        <is>
          <t>Distress</t>
        </is>
      </c>
      <c r="F223" s="82" t="n">
        <v>1.89</v>
      </c>
      <c r="G223" s="82" t="inlineStr">
        <is>
          <t>Grey</t>
        </is>
      </c>
      <c r="H223" s="82" t="n">
        <v>0.47</v>
      </c>
      <c r="I223" s="82" t="inlineStr">
        <is>
          <t>Distress</t>
        </is>
      </c>
      <c r="J223" s="82" t="n">
        <v>1.21</v>
      </c>
      <c r="K223" s="82" t="n">
        <v>0.77</v>
      </c>
      <c r="L223" s="82" t="inlineStr">
        <is>
          <t>Distress</t>
        </is>
      </c>
      <c r="M223" s="82" t="n">
        <v>7</v>
      </c>
      <c r="N223" s="82" t="inlineStr">
        <is>
          <t>Strong</t>
        </is>
      </c>
      <c r="O223" s="207" t="n">
        <v>-3.21</v>
      </c>
      <c r="P223" s="82" t="inlineStr">
        <is>
          <t>Lower Risk</t>
        </is>
      </c>
      <c r="Q223" s="82" t="n">
        <v>3.37</v>
      </c>
      <c r="R223" s="82" t="n">
        <v>0.06610000000000001</v>
      </c>
      <c r="S223" s="82" t="n">
        <v>2.77</v>
      </c>
      <c r="T223" s="82" t="n">
        <v>0.178</v>
      </c>
      <c r="U223" s="82" t="n">
        <v>0.0824</v>
      </c>
      <c r="V223" s="82" t="n">
        <v>0.1181</v>
      </c>
      <c r="W223" s="82" t="n">
        <v>4.21</v>
      </c>
      <c r="X223" s="82" t="n">
        <v>54.22</v>
      </c>
      <c r="Y223" s="82" t="n">
        <v>0</v>
      </c>
      <c r="Z223" s="82" t="inlineStr">
        <is>
          <t>CLEAR</t>
        </is>
      </c>
    </row>
    <row r="224" ht="17" customHeight="1">
      <c r="A224" s="86" t="n">
        <v>222</v>
      </c>
      <c r="B224" s="86" t="inlineStr">
        <is>
          <t>MMM</t>
        </is>
      </c>
      <c r="C224" s="86" t="inlineStr">
        <is>
          <t>3M COMPANY</t>
        </is>
      </c>
      <c r="D224" s="86" t="n">
        <v>2.09</v>
      </c>
      <c r="E224" s="208" t="inlineStr">
        <is>
          <t>Grey</t>
        </is>
      </c>
      <c r="F224" s="86" t="n">
        <v>5.46</v>
      </c>
      <c r="G224" s="86" t="inlineStr">
        <is>
          <t>Safe</t>
        </is>
      </c>
      <c r="H224" s="86" t="n">
        <v>1.12</v>
      </c>
      <c r="I224" s="86" t="inlineStr">
        <is>
          <t>Healthy</t>
        </is>
      </c>
      <c r="J224" s="86" t="n">
        <v>0.25</v>
      </c>
      <c r="K224" s="86" t="n">
        <v>0.5600000000000001</v>
      </c>
      <c r="L224" s="86" t="inlineStr">
        <is>
          <t>Distress</t>
        </is>
      </c>
      <c r="M224" s="86" t="n">
        <v>6</v>
      </c>
      <c r="N224" s="86" t="inlineStr">
        <is>
          <t>Mixed</t>
        </is>
      </c>
      <c r="O224" s="207" t="n">
        <v>-2.26</v>
      </c>
      <c r="P224" s="86" t="inlineStr">
        <is>
          <t>Lower Risk</t>
        </is>
      </c>
      <c r="Q224" s="86" t="n">
        <v>1.76</v>
      </c>
      <c r="R224" s="86" t="n">
        <v>0.6912</v>
      </c>
      <c r="S224" s="86" t="n">
        <v>0.71</v>
      </c>
      <c r="T224" s="86" t="n">
        <v>0.056</v>
      </c>
      <c r="U224" s="86" t="n">
        <v>0.0152</v>
      </c>
      <c r="V224" s="86" t="n">
        <v>0.1855</v>
      </c>
      <c r="W224" s="86" t="n">
        <v>4.91</v>
      </c>
      <c r="X224" s="86" t="n">
        <v>54.14</v>
      </c>
      <c r="Y224" s="86" t="n">
        <v>0</v>
      </c>
      <c r="Z224" s="86" t="inlineStr">
        <is>
          <t>CLEAR</t>
        </is>
      </c>
    </row>
    <row r="225" ht="17" customHeight="1">
      <c r="A225" s="82" t="n">
        <v>223</v>
      </c>
      <c r="B225" s="82" t="inlineStr">
        <is>
          <t>HD</t>
        </is>
      </c>
      <c r="C225" s="82" t="inlineStr">
        <is>
          <t>HOME DEPOT, INC.</t>
        </is>
      </c>
      <c r="D225" s="82" t="n">
        <v>2.08</v>
      </c>
      <c r="E225" s="208" t="inlineStr">
        <is>
          <t>Grey</t>
        </is>
      </c>
      <c r="F225" s="82" t="n">
        <v>4.54</v>
      </c>
      <c r="G225" s="82" t="inlineStr">
        <is>
          <t>Safe</t>
        </is>
      </c>
      <c r="H225" s="82" t="n">
        <v>1.26</v>
      </c>
      <c r="I225" s="82" t="inlineStr">
        <is>
          <t>Healthy</t>
        </is>
      </c>
      <c r="J225" s="82" t="n">
        <v>0.05</v>
      </c>
      <c r="K225" s="82" t="n">
        <v>0.51</v>
      </c>
      <c r="L225" s="82" t="inlineStr">
        <is>
          <t>Distress</t>
        </is>
      </c>
      <c r="M225" s="82" t="n">
        <v>6</v>
      </c>
      <c r="N225" s="82" t="inlineStr">
        <is>
          <t>Mixed</t>
        </is>
      </c>
      <c r="O225" s="207" t="n">
        <v>-2.46</v>
      </c>
      <c r="P225" s="82" t="inlineStr">
        <is>
          <t>Lower Risk</t>
        </is>
      </c>
      <c r="Q225" s="82" t="n">
        <v>1.99</v>
      </c>
      <c r="R225" s="82" t="n">
        <v>1.1048</v>
      </c>
      <c r="S225" s="82" t="n">
        <v>1.15</v>
      </c>
      <c r="T225" s="82" t="n">
        <v>0.1911</v>
      </c>
      <c r="U225" s="82" t="n">
        <v>-0.0717</v>
      </c>
      <c r="V225" s="82" t="n">
        <v>0.3157</v>
      </c>
      <c r="W225" s="82" t="n">
        <v>10.75</v>
      </c>
      <c r="X225" s="82" t="n">
        <v>54.11</v>
      </c>
      <c r="Y225" s="82" t="n">
        <v>0</v>
      </c>
      <c r="Z225" s="82" t="inlineStr">
        <is>
          <t>CLEAR</t>
        </is>
      </c>
    </row>
    <row r="226" ht="17" customHeight="1">
      <c r="A226" s="86" t="n">
        <v>224</v>
      </c>
      <c r="B226" s="86" t="inlineStr">
        <is>
          <t>IVZ</t>
        </is>
      </c>
      <c r="C226" s="86" t="inlineStr">
        <is>
          <t>Invesco Ltd.</t>
        </is>
      </c>
      <c r="D226" s="86" t="n">
        <v>0.7</v>
      </c>
      <c r="E226" s="207" t="inlineStr">
        <is>
          <t>Distress</t>
        </is>
      </c>
      <c r="F226" s="86" t="n">
        <v>1.74</v>
      </c>
      <c r="G226" s="86" t="inlineStr">
        <is>
          <t>Grey</t>
        </is>
      </c>
      <c r="H226" s="86" t="n">
        <v>-0.05</v>
      </c>
      <c r="I226" s="86" t="inlineStr">
        <is>
          <t>Distress</t>
        </is>
      </c>
      <c r="J226" s="86" t="n">
        <v>-1.47</v>
      </c>
      <c r="K226" s="86" t="n">
        <v>0.19</v>
      </c>
      <c r="L226" s="86" t="inlineStr">
        <is>
          <t>Healthy</t>
        </is>
      </c>
      <c r="M226" s="86" t="n">
        <v>7</v>
      </c>
      <c r="N226" s="86" t="inlineStr">
        <is>
          <t>Strong</t>
        </is>
      </c>
      <c r="O226" s="207" t="n">
        <v>-3.29</v>
      </c>
      <c r="P226" s="86" t="inlineStr">
        <is>
          <t>Lower Risk</t>
        </is>
      </c>
      <c r="Q226" s="86" t="n">
        <v>-1.46</v>
      </c>
      <c r="R226" s="86" t="n">
        <v>0.044</v>
      </c>
      <c r="S226" s="86" t="n">
        <v>2.84</v>
      </c>
      <c r="T226" s="86" t="n">
        <v>0.2712</v>
      </c>
      <c r="U226" s="86" t="n">
        <v>0.0298</v>
      </c>
      <c r="V226" s="86" t="n">
        <v>-0.1309</v>
      </c>
      <c r="W226" s="86" t="n">
        <v>-9.869999999999999</v>
      </c>
      <c r="X226" s="86" t="n">
        <v>54.04</v>
      </c>
      <c r="Y226" s="86" t="n">
        <v>0</v>
      </c>
      <c r="Z226" s="86" t="inlineStr">
        <is>
          <t>CLEAR</t>
        </is>
      </c>
    </row>
    <row r="227" ht="17" customHeight="1">
      <c r="A227" s="82" t="n">
        <v>225</v>
      </c>
      <c r="B227" s="82" t="inlineStr">
        <is>
          <t>CSX</t>
        </is>
      </c>
      <c r="C227" s="82" t="inlineStr">
        <is>
          <t>CSX CORPORATION</t>
        </is>
      </c>
      <c r="D227" s="82" t="n">
        <v>0.9399999999999999</v>
      </c>
      <c r="E227" s="207" t="inlineStr">
        <is>
          <t>Distress</t>
        </is>
      </c>
      <c r="F227" s="82" t="n">
        <v>1.85</v>
      </c>
      <c r="G227" s="82" t="inlineStr">
        <is>
          <t>Grey</t>
        </is>
      </c>
      <c r="H227" s="82" t="n">
        <v>1.2</v>
      </c>
      <c r="I227" s="82" t="inlineStr">
        <is>
          <t>Healthy</t>
        </is>
      </c>
      <c r="J227" s="82" t="n">
        <v>-0.66</v>
      </c>
      <c r="K227" s="82" t="n">
        <v>0.34</v>
      </c>
      <c r="L227" s="82" t="inlineStr">
        <is>
          <t>Healthy</t>
        </is>
      </c>
      <c r="M227" s="82" t="n">
        <v>7</v>
      </c>
      <c r="N227" s="82" t="inlineStr">
        <is>
          <t>Strong</t>
        </is>
      </c>
      <c r="O227" s="207" t="n">
        <v>-4.36</v>
      </c>
      <c r="P227" s="82" t="inlineStr">
        <is>
          <t>Lower Risk</t>
        </is>
      </c>
      <c r="Q227" s="82" t="n">
        <v>1.27</v>
      </c>
      <c r="R227" s="82" t="n">
        <v>0.2195</v>
      </c>
      <c r="S227" s="82" t="n">
        <v>1.6</v>
      </c>
      <c r="T227" s="82" t="n">
        <v>0.1609</v>
      </c>
      <c r="U227" s="82" t="n">
        <v>2.777</v>
      </c>
      <c r="V227" s="82" t="n">
        <v>0.4251</v>
      </c>
      <c r="W227" s="82" t="n">
        <v>8.279999999999999</v>
      </c>
      <c r="X227" s="82" t="n">
        <v>54.02</v>
      </c>
      <c r="Y227" s="82" t="n">
        <v>0</v>
      </c>
      <c r="Z227" s="82" t="inlineStr">
        <is>
          <t>CLEAR</t>
        </is>
      </c>
    </row>
    <row r="228" ht="17" customHeight="1">
      <c r="A228" s="86" t="n">
        <v>226</v>
      </c>
      <c r="B228" s="86" t="inlineStr">
        <is>
          <t>TWLO</t>
        </is>
      </c>
      <c r="C228" s="86" t="inlineStr">
        <is>
          <t>TWILIO INC.</t>
        </is>
      </c>
      <c r="D228" s="86" t="n">
        <v>1.25</v>
      </c>
      <c r="E228" s="208" t="inlineStr">
        <is>
          <t>Grey</t>
        </is>
      </c>
      <c r="F228" s="86" t="n">
        <v>3.34</v>
      </c>
      <c r="G228" s="86" t="inlineStr">
        <is>
          <t>Safe</t>
        </is>
      </c>
      <c r="H228" s="86" t="n">
        <v>0.39</v>
      </c>
      <c r="I228" s="86" t="inlineStr">
        <is>
          <t>Distress</t>
        </is>
      </c>
      <c r="J228" s="86" t="n">
        <v>-3.2</v>
      </c>
      <c r="K228" s="86" t="n">
        <v>0.04</v>
      </c>
      <c r="L228" s="86" t="inlineStr">
        <is>
          <t>Healthy</t>
        </is>
      </c>
      <c r="M228" s="86" t="n">
        <v>6</v>
      </c>
      <c r="N228" s="86" t="inlineStr">
        <is>
          <t>Mixed</t>
        </is>
      </c>
      <c r="O228" s="207" t="n">
        <v>-2.69</v>
      </c>
      <c r="P228" s="86" t="inlineStr">
        <is>
          <t>Lower Risk</t>
        </is>
      </c>
      <c r="Q228" s="86" t="n">
        <v>0.88</v>
      </c>
      <c r="R228" s="86" t="n">
        <v>0.0043</v>
      </c>
      <c r="S228" s="86" t="n">
        <v>29.65</v>
      </c>
      <c r="T228" s="86" t="n">
        <v>2.3989</v>
      </c>
      <c r="U228" s="86" t="n">
        <v>0.4388</v>
      </c>
      <c r="V228" s="86" t="n">
        <v>0.3955</v>
      </c>
      <c r="W228" s="90" t="inlineStr">
        <is>
          <t>N/A</t>
        </is>
      </c>
      <c r="X228" s="86" t="n">
        <v>54.01</v>
      </c>
      <c r="Y228" s="86" t="n">
        <v>0</v>
      </c>
      <c r="Z228" s="86" t="inlineStr">
        <is>
          <t>CLEAR</t>
        </is>
      </c>
    </row>
    <row r="229" ht="17" customHeight="1">
      <c r="A229" s="82" t="n">
        <v>227</v>
      </c>
      <c r="B229" s="82" t="inlineStr">
        <is>
          <t>MRNA</t>
        </is>
      </c>
      <c r="C229" s="82" t="inlineStr">
        <is>
          <t>Moderna, Inc.</t>
        </is>
      </c>
      <c r="D229" s="82" t="n">
        <v>2.53</v>
      </c>
      <c r="E229" s="208" t="inlineStr">
        <is>
          <t>Grey</t>
        </is>
      </c>
      <c r="F229" s="82" t="n">
        <v>5.12</v>
      </c>
      <c r="G229" s="82" t="inlineStr">
        <is>
          <t>Safe</t>
        </is>
      </c>
      <c r="H229" s="82" t="n">
        <v>-0.68</v>
      </c>
      <c r="I229" s="82" t="inlineStr">
        <is>
          <t>Distress</t>
        </is>
      </c>
      <c r="J229" s="82" t="n">
        <v>-1.59</v>
      </c>
      <c r="K229" s="82" t="n">
        <v>0.17</v>
      </c>
      <c r="L229" s="82" t="inlineStr">
        <is>
          <t>Healthy</t>
        </is>
      </c>
      <c r="M229" s="82" t="n">
        <v>5</v>
      </c>
      <c r="N229" s="82" t="inlineStr">
        <is>
          <t>Mixed</t>
        </is>
      </c>
      <c r="O229" s="207" t="n">
        <v>-3.43</v>
      </c>
      <c r="P229" s="82" t="inlineStr">
        <is>
          <t>Lower Risk</t>
        </is>
      </c>
      <c r="Q229" s="82" t="n">
        <v>0.7</v>
      </c>
      <c r="R229" s="82" t="n">
        <v>-0.3262</v>
      </c>
      <c r="S229" s="82" t="n">
        <v>0.66</v>
      </c>
      <c r="T229" s="82" t="n">
        <v>-0.1072</v>
      </c>
      <c r="U229" s="82" t="n">
        <v>0.0429</v>
      </c>
      <c r="V229" s="82" t="n">
        <v>-0.1596</v>
      </c>
      <c r="W229" s="91" t="inlineStr">
        <is>
          <t>N/A</t>
        </is>
      </c>
      <c r="X229" s="82" t="n">
        <v>54.01</v>
      </c>
      <c r="Y229" s="82" t="n">
        <v>0</v>
      </c>
      <c r="Z229" s="82" t="inlineStr">
        <is>
          <t>CLEAR</t>
        </is>
      </c>
    </row>
    <row r="230" ht="17" customHeight="1">
      <c r="A230" s="86" t="n">
        <v>228</v>
      </c>
      <c r="B230" s="86" t="inlineStr">
        <is>
          <t>BMRN</t>
        </is>
      </c>
      <c r="C230" s="86" t="inlineStr">
        <is>
          <t>BioMarin Pharmaceutical Inc</t>
        </is>
      </c>
      <c r="D230" s="86" t="n">
        <v>2.36</v>
      </c>
      <c r="E230" s="208" t="inlineStr">
        <is>
          <t>Grey</t>
        </is>
      </c>
      <c r="F230" s="86" t="n">
        <v>7.43</v>
      </c>
      <c r="G230" s="86" t="inlineStr">
        <is>
          <t>Safe</t>
        </is>
      </c>
      <c r="H230" s="86" t="n">
        <v>1.09</v>
      </c>
      <c r="I230" s="86" t="inlineStr">
        <is>
          <t>Healthy</t>
        </is>
      </c>
      <c r="J230" s="86" t="n">
        <v>-3.4</v>
      </c>
      <c r="K230" s="86" t="n">
        <v>0.03</v>
      </c>
      <c r="L230" s="86" t="inlineStr">
        <is>
          <t>Healthy</t>
        </is>
      </c>
      <c r="M230" s="86" t="n">
        <v>5</v>
      </c>
      <c r="N230" s="86" t="inlineStr">
        <is>
          <t>Mixed</t>
        </is>
      </c>
      <c r="O230" s="207" t="n">
        <v>-2.44</v>
      </c>
      <c r="P230" s="86" t="inlineStr">
        <is>
          <t>Lower Risk</t>
        </is>
      </c>
      <c r="Q230" s="86" t="n">
        <v>-2.81</v>
      </c>
      <c r="R230" s="86" t="n">
        <v>0.0573</v>
      </c>
      <c r="S230" s="86" t="n">
        <v>2.37</v>
      </c>
      <c r="T230" s="86" t="n">
        <v>0.5518999999999999</v>
      </c>
      <c r="U230" s="86" t="n">
        <v>0.1762</v>
      </c>
      <c r="V230" s="86" t="n">
        <v>0.3117</v>
      </c>
      <c r="W230" s="86" t="n">
        <v>23.62</v>
      </c>
      <c r="X230" s="86" t="n">
        <v>54</v>
      </c>
      <c r="Y230" s="86" t="n">
        <v>0</v>
      </c>
      <c r="Z230" s="86" t="inlineStr">
        <is>
          <t>CLEAR</t>
        </is>
      </c>
    </row>
    <row r="231" ht="17" customHeight="1">
      <c r="A231" s="82" t="n">
        <v>229</v>
      </c>
      <c r="B231" s="82" t="inlineStr">
        <is>
          <t>SAIC</t>
        </is>
      </c>
      <c r="C231" s="82" t="inlineStr">
        <is>
          <t>Science Applications International Corporation</t>
        </is>
      </c>
      <c r="D231" s="82" t="n">
        <v>2.04</v>
      </c>
      <c r="E231" s="208" t="inlineStr">
        <is>
          <t>Grey</t>
        </is>
      </c>
      <c r="F231" s="82" t="n">
        <v>2.1</v>
      </c>
      <c r="G231" s="82" t="inlineStr">
        <is>
          <t>Grey</t>
        </is>
      </c>
      <c r="H231" s="82" t="n">
        <v>1.14</v>
      </c>
      <c r="I231" s="82" t="inlineStr">
        <is>
          <t>Healthy</t>
        </is>
      </c>
      <c r="J231" s="82" t="n">
        <v>1.04</v>
      </c>
      <c r="K231" s="82" t="n">
        <v>0.74</v>
      </c>
      <c r="L231" s="82" t="inlineStr">
        <is>
          <t>Distress</t>
        </is>
      </c>
      <c r="M231" s="82" t="n">
        <v>6</v>
      </c>
      <c r="N231" s="82" t="inlineStr">
        <is>
          <t>Mixed</t>
        </is>
      </c>
      <c r="O231" s="207" t="n">
        <v>-2.85</v>
      </c>
      <c r="P231" s="82" t="inlineStr">
        <is>
          <t>Lower Risk</t>
        </is>
      </c>
      <c r="Q231" s="82" t="n">
        <v>3.44</v>
      </c>
      <c r="R231" s="82" t="n">
        <v>0.2413</v>
      </c>
      <c r="S231" s="82" t="n">
        <v>1.68</v>
      </c>
      <c r="T231" s="82" t="n">
        <v>0.0795</v>
      </c>
      <c r="U231" s="82" t="n">
        <v>-0.029</v>
      </c>
      <c r="V231" s="82" t="n">
        <v>0.0717</v>
      </c>
      <c r="W231" s="82" t="n">
        <v>4.34</v>
      </c>
      <c r="X231" s="82" t="n">
        <v>53.96</v>
      </c>
      <c r="Y231" s="82" t="n">
        <v>0</v>
      </c>
      <c r="Z231" s="82" t="inlineStr">
        <is>
          <t>CLEAR</t>
        </is>
      </c>
    </row>
    <row r="232" ht="17" customHeight="1">
      <c r="A232" s="86" t="n">
        <v>230</v>
      </c>
      <c r="B232" s="86" t="inlineStr">
        <is>
          <t>ADSK</t>
        </is>
      </c>
      <c r="C232" s="86" t="inlineStr">
        <is>
          <t>AUTODESK, INC.</t>
        </is>
      </c>
      <c r="D232" s="86" t="n">
        <v>0.93</v>
      </c>
      <c r="E232" s="207" t="inlineStr">
        <is>
          <t>Distress</t>
        </is>
      </c>
      <c r="F232" s="86" t="n">
        <v>0.28</v>
      </c>
      <c r="G232" s="86" t="inlineStr">
        <is>
          <t>Distress</t>
        </is>
      </c>
      <c r="H232" s="86" t="n">
        <v>0.73</v>
      </c>
      <c r="I232" s="86" t="inlineStr">
        <is>
          <t>Distress</t>
        </is>
      </c>
      <c r="J232" s="86" t="n">
        <v>0.9399999999999999</v>
      </c>
      <c r="K232" s="86" t="n">
        <v>0.72</v>
      </c>
      <c r="L232" s="86" t="inlineStr">
        <is>
          <t>Distress</t>
        </is>
      </c>
      <c r="M232" s="86" t="n">
        <v>7</v>
      </c>
      <c r="N232" s="86" t="inlineStr">
        <is>
          <t>Strong</t>
        </is>
      </c>
      <c r="O232" s="207" t="n">
        <v>-2.65</v>
      </c>
      <c r="P232" s="86" t="inlineStr">
        <is>
          <t>Lower Risk</t>
        </is>
      </c>
      <c r="Q232" s="86" t="n">
        <v>0.14</v>
      </c>
      <c r="R232" s="86" t="n">
        <v>0.3691</v>
      </c>
      <c r="S232" s="86" t="n">
        <v>2.18</v>
      </c>
      <c r="T232" s="86" t="n">
        <v>0.3343</v>
      </c>
      <c r="U232" s="86" t="n">
        <v>0.1753</v>
      </c>
      <c r="V232" s="86" t="n">
        <v>0.219</v>
      </c>
      <c r="W232" s="86" t="n">
        <v>19.73</v>
      </c>
      <c r="X232" s="86" t="n">
        <v>53.96</v>
      </c>
      <c r="Y232" s="86" t="n">
        <v>20</v>
      </c>
      <c r="Z232" s="86" t="inlineStr">
        <is>
          <t>CLEAR</t>
        </is>
      </c>
    </row>
    <row r="233" ht="17" customHeight="1">
      <c r="A233" s="82" t="n">
        <v>231</v>
      </c>
      <c r="B233" s="82" t="inlineStr">
        <is>
          <t>LEN</t>
        </is>
      </c>
      <c r="C233" s="82" t="inlineStr">
        <is>
          <t>LENNAR CORP /NEW/</t>
        </is>
      </c>
      <c r="D233" s="91" t="inlineStr">
        <is>
          <t>N/A</t>
        </is>
      </c>
      <c r="E233" s="91" t="inlineStr">
        <is>
          <t>N/A</t>
        </is>
      </c>
      <c r="F233" s="91" t="inlineStr">
        <is>
          <t>N/A</t>
        </is>
      </c>
      <c r="G233" s="91" t="inlineStr">
        <is>
          <t>N/A</t>
        </is>
      </c>
      <c r="H233" s="91" t="inlineStr">
        <is>
          <t>N/A</t>
        </is>
      </c>
      <c r="I233" s="91" t="inlineStr">
        <is>
          <t>N/A</t>
        </is>
      </c>
      <c r="J233" s="91" t="inlineStr">
        <is>
          <t>N/A</t>
        </is>
      </c>
      <c r="K233" s="91" t="inlineStr">
        <is>
          <t>N/A</t>
        </is>
      </c>
      <c r="L233" s="91" t="inlineStr">
        <is>
          <t>N/A</t>
        </is>
      </c>
      <c r="M233" s="82" t="n">
        <v>5</v>
      </c>
      <c r="N233" s="82" t="inlineStr">
        <is>
          <t>Mixed</t>
        </is>
      </c>
      <c r="O233" s="207" t="n">
        <v>-2.51</v>
      </c>
      <c r="P233" s="82" t="inlineStr">
        <is>
          <t>Lower Risk</t>
        </is>
      </c>
      <c r="Q233" s="82" t="n">
        <v>0.6</v>
      </c>
      <c r="R233" s="82" t="n">
        <v>0.0946</v>
      </c>
      <c r="S233" s="82" t="n">
        <v>0.1</v>
      </c>
      <c r="T233" s="82" t="n">
        <v>0.0008</v>
      </c>
      <c r="U233" s="82" t="n">
        <v>-0.0354</v>
      </c>
      <c r="V233" s="82" t="n">
        <v>0.1019</v>
      </c>
      <c r="W233" s="82" t="n">
        <v>752.75</v>
      </c>
      <c r="X233" s="82" t="n">
        <v>53.93</v>
      </c>
      <c r="Y233" s="82" t="n">
        <v>20</v>
      </c>
      <c r="Z233" s="82" t="inlineStr">
        <is>
          <t>CLEAR</t>
        </is>
      </c>
    </row>
    <row r="234" ht="17" customHeight="1">
      <c r="A234" s="86" t="n">
        <v>232</v>
      </c>
      <c r="B234" s="86" t="inlineStr">
        <is>
          <t>NHI</t>
        </is>
      </c>
      <c r="C234" s="86" t="inlineStr">
        <is>
          <t>National Health Investors, Inc.</t>
        </is>
      </c>
      <c r="D234" s="90" t="inlineStr">
        <is>
          <t>N/A</t>
        </is>
      </c>
      <c r="E234" s="90" t="inlineStr">
        <is>
          <t>N/A</t>
        </is>
      </c>
      <c r="F234" s="90" t="inlineStr">
        <is>
          <t>N/A</t>
        </is>
      </c>
      <c r="G234" s="90" t="inlineStr">
        <is>
          <t>N/A</t>
        </is>
      </c>
      <c r="H234" s="90" t="inlineStr">
        <is>
          <t>N/A</t>
        </is>
      </c>
      <c r="I234" s="90" t="inlineStr">
        <is>
          <t>N/A</t>
        </is>
      </c>
      <c r="J234" s="90" t="inlineStr">
        <is>
          <t>N/A</t>
        </is>
      </c>
      <c r="K234" s="90" t="inlineStr">
        <is>
          <t>N/A</t>
        </is>
      </c>
      <c r="L234" s="90" t="inlineStr">
        <is>
          <t>N/A</t>
        </is>
      </c>
      <c r="M234" s="86" t="n">
        <v>6</v>
      </c>
      <c r="N234" s="86" t="inlineStr">
        <is>
          <t>Mixed</t>
        </is>
      </c>
      <c r="O234" s="207" t="n">
        <v>-2.63</v>
      </c>
      <c r="P234" s="86" t="inlineStr">
        <is>
          <t>Lower Risk</t>
        </is>
      </c>
      <c r="Q234" s="86" t="n">
        <v>4.81</v>
      </c>
      <c r="R234" s="86" t="n">
        <v>0.0934</v>
      </c>
      <c r="S234" s="86" t="n">
        <v>1.66</v>
      </c>
      <c r="T234" s="86" t="n">
        <v>-0.153</v>
      </c>
      <c r="U234" s="86" t="n">
        <v>0.1207</v>
      </c>
      <c r="V234" s="86" t="n">
        <v>0.4002</v>
      </c>
      <c r="W234" s="86" t="n">
        <v>2.62</v>
      </c>
      <c r="X234" s="86" t="n">
        <v>53.88</v>
      </c>
      <c r="Y234" s="86" t="n">
        <v>0</v>
      </c>
      <c r="Z234" s="86" t="inlineStr">
        <is>
          <t>CLEAR</t>
        </is>
      </c>
    </row>
    <row r="235" ht="17" customHeight="1">
      <c r="A235" s="82" t="n">
        <v>233</v>
      </c>
      <c r="B235" s="82" t="inlineStr">
        <is>
          <t>CDNS</t>
        </is>
      </c>
      <c r="C235" s="82" t="inlineStr">
        <is>
          <t>CADENCE DESIGN SYSTEMS, INC.</t>
        </is>
      </c>
      <c r="D235" s="82" t="n">
        <v>2.01</v>
      </c>
      <c r="E235" s="208" t="inlineStr">
        <is>
          <t>Grey</t>
        </is>
      </c>
      <c r="F235" s="82" t="n">
        <v>5.79</v>
      </c>
      <c r="G235" s="82" t="inlineStr">
        <is>
          <t>Safe</t>
        </is>
      </c>
      <c r="H235" s="82" t="n">
        <v>1.58</v>
      </c>
      <c r="I235" s="82" t="inlineStr">
        <is>
          <t>Healthy</t>
        </is>
      </c>
      <c r="J235" s="82" t="n">
        <v>0.86</v>
      </c>
      <c r="K235" s="82" t="n">
        <v>0.7</v>
      </c>
      <c r="L235" s="82" t="inlineStr">
        <is>
          <t>Distress</t>
        </is>
      </c>
      <c r="M235" s="82" t="n">
        <v>6</v>
      </c>
      <c r="N235" s="82" t="inlineStr">
        <is>
          <t>Mixed</t>
        </is>
      </c>
      <c r="O235" s="207" t="n">
        <v>-2.45</v>
      </c>
      <c r="P235" s="82" t="inlineStr">
        <is>
          <t>Lower Risk</t>
        </is>
      </c>
      <c r="Q235" s="82" t="n">
        <v>-1.9</v>
      </c>
      <c r="R235" s="82" t="n">
        <v>0.2026</v>
      </c>
      <c r="S235" s="82" t="n">
        <v>1.56</v>
      </c>
      <c r="T235" s="82" t="n">
        <v>0.2996</v>
      </c>
      <c r="U235" s="82" t="n">
        <v>0.1412</v>
      </c>
      <c r="V235" s="82" t="n">
        <v>0.2817</v>
      </c>
      <c r="W235" s="82" t="n">
        <v>12.8</v>
      </c>
      <c r="X235" s="82" t="n">
        <v>53.87</v>
      </c>
      <c r="Y235" s="82" t="n">
        <v>0</v>
      </c>
      <c r="Z235" s="82" t="inlineStr">
        <is>
          <t>CLEAR</t>
        </is>
      </c>
    </row>
    <row r="236" ht="17" customHeight="1">
      <c r="A236" s="86" t="n">
        <v>234</v>
      </c>
      <c r="B236" s="86" t="inlineStr">
        <is>
          <t>SIMO</t>
        </is>
      </c>
      <c r="C236" s="86" t="inlineStr">
        <is>
          <t>Silicon Motion Technology Corporation</t>
        </is>
      </c>
      <c r="D236" s="86" t="n">
        <v>2.53</v>
      </c>
      <c r="E236" s="208" t="inlineStr">
        <is>
          <t>Grey</t>
        </is>
      </c>
      <c r="F236" s="86" t="n">
        <v>7.22</v>
      </c>
      <c r="G236" s="86" t="inlineStr">
        <is>
          <t>Safe</t>
        </is>
      </c>
      <c r="H236" s="86" t="n">
        <v>1.3</v>
      </c>
      <c r="I236" s="86" t="inlineStr">
        <is>
          <t>Healthy</t>
        </is>
      </c>
      <c r="J236" s="86" t="n">
        <v>-2.96</v>
      </c>
      <c r="K236" s="86" t="n">
        <v>0.05</v>
      </c>
      <c r="L236" s="86" t="inlineStr">
        <is>
          <t>Healthy</t>
        </is>
      </c>
      <c r="M236" s="86" t="n">
        <v>5</v>
      </c>
      <c r="N236" s="86" t="inlineStr">
        <is>
          <t>Mixed</t>
        </is>
      </c>
      <c r="O236" s="90" t="inlineStr">
        <is>
          <t>N/A</t>
        </is>
      </c>
      <c r="P236" s="86" t="inlineStr">
        <is>
          <t>Insufficient Data</t>
        </is>
      </c>
      <c r="Q236" s="86" t="n">
        <v>-1.64</v>
      </c>
      <c r="R236" s="86" t="n">
        <v>0.1476</v>
      </c>
      <c r="S236" s="86" t="n">
        <v>0.5</v>
      </c>
      <c r="T236" s="86" t="n">
        <v>0.0071</v>
      </c>
      <c r="U236" s="86" t="n">
        <v>0.1021</v>
      </c>
      <c r="V236" s="86" t="n">
        <v>0.1051</v>
      </c>
      <c r="W236" s="90" t="inlineStr">
        <is>
          <t>N/A</t>
        </is>
      </c>
      <c r="X236" s="86" t="n">
        <v>53.87</v>
      </c>
      <c r="Y236" s="86" t="n">
        <v>0</v>
      </c>
      <c r="Z236" s="86" t="inlineStr">
        <is>
          <t>CLEAR</t>
        </is>
      </c>
    </row>
    <row r="237" ht="17" customHeight="1">
      <c r="A237" s="82" t="n">
        <v>235</v>
      </c>
      <c r="B237" s="82" t="inlineStr">
        <is>
          <t>SNDK</t>
        </is>
      </c>
      <c r="C237" s="82" t="inlineStr">
        <is>
          <t>Sandisk Corporation</t>
        </is>
      </c>
      <c r="D237" s="82" t="n">
        <v>1.35</v>
      </c>
      <c r="E237" s="208" t="inlineStr">
        <is>
          <t>Grey</t>
        </is>
      </c>
      <c r="F237" s="82" t="n">
        <v>3.26</v>
      </c>
      <c r="G237" s="82" t="inlineStr">
        <is>
          <t>Safe</t>
        </is>
      </c>
      <c r="H237" s="82" t="n">
        <v>-0.49</v>
      </c>
      <c r="I237" s="82" t="inlineStr">
        <is>
          <t>Distress</t>
        </is>
      </c>
      <c r="J237" s="82" t="n">
        <v>-2.1</v>
      </c>
      <c r="K237" s="82" t="n">
        <v>0.11</v>
      </c>
      <c r="L237" s="82" t="inlineStr">
        <is>
          <t>Healthy</t>
        </is>
      </c>
      <c r="M237" s="82" t="n">
        <v>6</v>
      </c>
      <c r="N237" s="82" t="inlineStr">
        <is>
          <t>Mixed</t>
        </is>
      </c>
      <c r="O237" s="207" t="n">
        <v>-3.53</v>
      </c>
      <c r="P237" s="82" t="inlineStr">
        <is>
          <t>Lower Risk</t>
        </is>
      </c>
      <c r="Q237" s="82" t="n">
        <v>-0.3</v>
      </c>
      <c r="R237" s="82" t="n">
        <v>-0.1781</v>
      </c>
      <c r="S237" s="82" t="n">
        <v>-0.05</v>
      </c>
      <c r="T237" s="82" t="n">
        <v>-0.0163</v>
      </c>
      <c r="U237" s="82" t="n">
        <v>0.1039</v>
      </c>
      <c r="V237" s="82" t="n">
        <v>-0.1872</v>
      </c>
      <c r="W237" s="91" t="inlineStr">
        <is>
          <t>N/A</t>
        </is>
      </c>
      <c r="X237" s="82" t="n">
        <v>53.81</v>
      </c>
      <c r="Y237" s="82" t="n">
        <v>40</v>
      </c>
      <c r="Z237" s="82" t="inlineStr">
        <is>
          <t>WATCH</t>
        </is>
      </c>
    </row>
    <row r="238" ht="17" customHeight="1">
      <c r="A238" s="86" t="n">
        <v>236</v>
      </c>
      <c r="B238" s="86" t="inlineStr">
        <is>
          <t>NVT</t>
        </is>
      </c>
      <c r="C238" s="86" t="inlineStr">
        <is>
          <t>nVent Electric plc</t>
        </is>
      </c>
      <c r="D238" s="86" t="n">
        <v>1.62</v>
      </c>
      <c r="E238" s="208" t="inlineStr">
        <is>
          <t>Grey</t>
        </is>
      </c>
      <c r="F238" s="86" t="n">
        <v>3.27</v>
      </c>
      <c r="G238" s="86" t="inlineStr">
        <is>
          <t>Safe</t>
        </is>
      </c>
      <c r="H238" s="86" t="n">
        <v>0.96</v>
      </c>
      <c r="I238" s="86" t="inlineStr">
        <is>
          <t>Healthy</t>
        </is>
      </c>
      <c r="J238" s="86" t="n">
        <v>-2.21</v>
      </c>
      <c r="K238" s="86" t="n">
        <v>0.1</v>
      </c>
      <c r="L238" s="86" t="inlineStr">
        <is>
          <t>Healthy</t>
        </is>
      </c>
      <c r="M238" s="86" t="n">
        <v>6</v>
      </c>
      <c r="N238" s="86" t="inlineStr">
        <is>
          <t>Mixed</t>
        </is>
      </c>
      <c r="O238" s="90" t="inlineStr">
        <is>
          <t>N/A</t>
        </is>
      </c>
      <c r="P238" s="86" t="inlineStr">
        <is>
          <t>Insufficient Data</t>
        </is>
      </c>
      <c r="Q238" s="86" t="n">
        <v>2.03</v>
      </c>
      <c r="R238" s="86" t="n">
        <v>0.1904</v>
      </c>
      <c r="S238" s="86" t="n">
        <v>0.66</v>
      </c>
      <c r="T238" s="86" t="n">
        <v>0.0955</v>
      </c>
      <c r="U238" s="86" t="n">
        <v>0.2951</v>
      </c>
      <c r="V238" s="86" t="n">
        <v>0.1584</v>
      </c>
      <c r="W238" s="86" t="n">
        <v>7.77</v>
      </c>
      <c r="X238" s="86" t="n">
        <v>53.78</v>
      </c>
      <c r="Y238" s="86" t="n">
        <v>0</v>
      </c>
      <c r="Z238" s="86" t="inlineStr">
        <is>
          <t>CLEAR</t>
        </is>
      </c>
    </row>
    <row r="239" ht="17" customHeight="1">
      <c r="A239" s="82" t="n">
        <v>237</v>
      </c>
      <c r="B239" s="82" t="inlineStr">
        <is>
          <t>TRV</t>
        </is>
      </c>
      <c r="C239" s="82" t="inlineStr">
        <is>
          <t>Travelers Companies, Inc.</t>
        </is>
      </c>
      <c r="D239" s="91" t="inlineStr">
        <is>
          <t>N/A</t>
        </is>
      </c>
      <c r="E239" s="91" t="inlineStr">
        <is>
          <t>N/A</t>
        </is>
      </c>
      <c r="F239" s="91" t="inlineStr">
        <is>
          <t>N/A</t>
        </is>
      </c>
      <c r="G239" s="91" t="inlineStr">
        <is>
          <t>N/A</t>
        </is>
      </c>
      <c r="H239" s="91" t="inlineStr">
        <is>
          <t>N/A</t>
        </is>
      </c>
      <c r="I239" s="91" t="inlineStr">
        <is>
          <t>N/A</t>
        </is>
      </c>
      <c r="J239" s="91" t="inlineStr">
        <is>
          <t>N/A</t>
        </is>
      </c>
      <c r="K239" s="91" t="inlineStr">
        <is>
          <t>N/A</t>
        </is>
      </c>
      <c r="L239" s="91" t="inlineStr">
        <is>
          <t>N/A</t>
        </is>
      </c>
      <c r="M239" s="82" t="n">
        <v>7</v>
      </c>
      <c r="N239" s="82" t="inlineStr">
        <is>
          <t>Strong</t>
        </is>
      </c>
      <c r="O239" s="91" t="inlineStr">
        <is>
          <t>N/A</t>
        </is>
      </c>
      <c r="P239" s="82" t="inlineStr">
        <is>
          <t>Insufficient Data</t>
        </is>
      </c>
      <c r="Q239" s="82" t="n">
        <v>1.36</v>
      </c>
      <c r="R239" s="82" t="n">
        <v>0.1912</v>
      </c>
      <c r="S239" s="82" t="n">
        <v>1.69</v>
      </c>
      <c r="T239" s="91" t="inlineStr">
        <is>
          <t>N/A</t>
        </is>
      </c>
      <c r="U239" s="82" t="n">
        <v>0.0518</v>
      </c>
      <c r="V239" s="82" t="n">
        <v>0.0746</v>
      </c>
      <c r="W239" s="82" t="n">
        <v>8.57</v>
      </c>
      <c r="X239" s="82" t="n">
        <v>53.75</v>
      </c>
      <c r="Y239" s="82" t="n">
        <v>0</v>
      </c>
      <c r="Z239" s="82" t="inlineStr">
        <is>
          <t>CLEAR</t>
        </is>
      </c>
    </row>
    <row r="240" ht="17" customHeight="1">
      <c r="A240" s="86" t="n">
        <v>238</v>
      </c>
      <c r="B240" s="86" t="inlineStr">
        <is>
          <t>GPN</t>
        </is>
      </c>
      <c r="C240" s="86" t="inlineStr">
        <is>
          <t>GLOBAL PAYMENTS INC.</t>
        </is>
      </c>
      <c r="D240" s="86" t="n">
        <v>0.67</v>
      </c>
      <c r="E240" s="207" t="inlineStr">
        <is>
          <t>Distress</t>
        </is>
      </c>
      <c r="F240" s="86" t="n">
        <v>2.03</v>
      </c>
      <c r="G240" s="86" t="inlineStr">
        <is>
          <t>Grey</t>
        </is>
      </c>
      <c r="H240" s="86" t="n">
        <v>0.28</v>
      </c>
      <c r="I240" s="86" t="inlineStr">
        <is>
          <t>Distress</t>
        </is>
      </c>
      <c r="J240" s="86" t="n">
        <v>-1.3</v>
      </c>
      <c r="K240" s="86" t="n">
        <v>0.21</v>
      </c>
      <c r="L240" s="86" t="inlineStr">
        <is>
          <t>Healthy</t>
        </is>
      </c>
      <c r="M240" s="86" t="n">
        <v>7</v>
      </c>
      <c r="N240" s="86" t="inlineStr">
        <is>
          <t>Strong</t>
        </is>
      </c>
      <c r="O240" s="207" t="n">
        <v>-4.35</v>
      </c>
      <c r="P240" s="86" t="inlineStr">
        <is>
          <t>Lower Risk</t>
        </is>
      </c>
      <c r="Q240" s="86" t="n">
        <v>4.43</v>
      </c>
      <c r="R240" s="86" t="n">
        <v>0.0612</v>
      </c>
      <c r="S240" s="86" t="n">
        <v>1.9</v>
      </c>
      <c r="T240" s="86" t="n">
        <v>0.6435</v>
      </c>
      <c r="U240" s="86" t="n">
        <v>2.7706</v>
      </c>
      <c r="V240" s="86" t="n">
        <v>0.4414</v>
      </c>
      <c r="W240" s="86" t="n">
        <v>2.77</v>
      </c>
      <c r="X240" s="86" t="n">
        <v>53.73</v>
      </c>
      <c r="Y240" s="86" t="n">
        <v>0</v>
      </c>
      <c r="Z240" s="86" t="inlineStr">
        <is>
          <t>CLEAR</t>
        </is>
      </c>
    </row>
    <row r="241" ht="17" customHeight="1">
      <c r="A241" s="82" t="n">
        <v>239</v>
      </c>
      <c r="B241" s="82" t="inlineStr">
        <is>
          <t>SLB</t>
        </is>
      </c>
      <c r="C241" s="82" t="inlineStr">
        <is>
          <t>SLB LIMITED/NV</t>
        </is>
      </c>
      <c r="D241" s="82" t="n">
        <v>1.66</v>
      </c>
      <c r="E241" s="208" t="inlineStr">
        <is>
          <t>Grey</t>
        </is>
      </c>
      <c r="F241" s="82" t="n">
        <v>3.44</v>
      </c>
      <c r="G241" s="82" t="inlineStr">
        <is>
          <t>Safe</t>
        </is>
      </c>
      <c r="H241" s="82" t="n">
        <v>0.87</v>
      </c>
      <c r="I241" s="82" t="inlineStr">
        <is>
          <t>Healthy</t>
        </is>
      </c>
      <c r="J241" s="82" t="n">
        <v>-1.75</v>
      </c>
      <c r="K241" s="82" t="n">
        <v>0.15</v>
      </c>
      <c r="L241" s="82" t="inlineStr">
        <is>
          <t>Healthy</t>
        </is>
      </c>
      <c r="M241" s="82" t="n">
        <v>6</v>
      </c>
      <c r="N241" s="82" t="inlineStr">
        <is>
          <t>Mixed</t>
        </is>
      </c>
      <c r="O241" s="207" t="n">
        <v>-5.84</v>
      </c>
      <c r="P241" s="82" t="inlineStr">
        <is>
          <t>Lower Risk</t>
        </is>
      </c>
      <c r="Q241" s="82" t="n">
        <v>0.72</v>
      </c>
      <c r="R241" s="82" t="n">
        <v>0.1292</v>
      </c>
      <c r="S241" s="82" t="n">
        <v>1.92</v>
      </c>
      <c r="T241" s="82" t="n">
        <v>0.1575</v>
      </c>
      <c r="U241" s="82" t="n">
        <v>0.0946</v>
      </c>
      <c r="V241" s="82" t="n">
        <v>0.2143</v>
      </c>
      <c r="W241" s="82" t="n">
        <v>11.69</v>
      </c>
      <c r="X241" s="82" t="n">
        <v>53.64</v>
      </c>
      <c r="Y241" s="82" t="n">
        <v>0</v>
      </c>
      <c r="Z241" s="82" t="inlineStr">
        <is>
          <t>CLEAR</t>
        </is>
      </c>
    </row>
    <row r="242" ht="17" customHeight="1">
      <c r="A242" s="86" t="n">
        <v>240</v>
      </c>
      <c r="B242" s="86" t="inlineStr">
        <is>
          <t>ADMA</t>
        </is>
      </c>
      <c r="C242" s="86" t="inlineStr">
        <is>
          <t>ADMA BIOLOGICS, INC.</t>
        </is>
      </c>
      <c r="D242" s="86" t="n">
        <v>2.62</v>
      </c>
      <c r="E242" s="208" t="inlineStr">
        <is>
          <t>Grey</t>
        </is>
      </c>
      <c r="F242" s="86" t="n">
        <v>8.800000000000001</v>
      </c>
      <c r="G242" s="86" t="inlineStr">
        <is>
          <t>Safe</t>
        </is>
      </c>
      <c r="H242" s="86" t="n">
        <v>3.36</v>
      </c>
      <c r="I242" s="86" t="inlineStr">
        <is>
          <t>Healthy</t>
        </is>
      </c>
      <c r="J242" s="86" t="n">
        <v>-4.03</v>
      </c>
      <c r="K242" s="86" t="n">
        <v>0.02</v>
      </c>
      <c r="L242" s="86" t="inlineStr">
        <is>
          <t>Healthy</t>
        </is>
      </c>
      <c r="M242" s="86" t="n">
        <v>6</v>
      </c>
      <c r="N242" s="86" t="inlineStr">
        <is>
          <t>Mixed</t>
        </is>
      </c>
      <c r="O242" s="207" t="n">
        <v>-0.27</v>
      </c>
      <c r="P242" s="86" t="inlineStr">
        <is>
          <t>Higher Risk</t>
        </is>
      </c>
      <c r="Q242" s="86" t="n">
        <v>-0.08</v>
      </c>
      <c r="R242" s="86" t="n">
        <v>0.3078</v>
      </c>
      <c r="S242" s="86" t="n">
        <v>0.34</v>
      </c>
      <c r="T242" s="86" t="n">
        <v>0.659</v>
      </c>
      <c r="U242" s="86" t="n">
        <v>0.4385</v>
      </c>
      <c r="V242" s="86" t="n">
        <v>4.5344</v>
      </c>
      <c r="W242" s="86" t="n">
        <v>7.65</v>
      </c>
      <c r="X242" s="86" t="n">
        <v>53.6</v>
      </c>
      <c r="Y242" s="86" t="n">
        <v>60</v>
      </c>
      <c r="Z242" s="86" t="inlineStr">
        <is>
          <t>RED FLAG</t>
        </is>
      </c>
    </row>
    <row r="243" ht="17" customHeight="1">
      <c r="A243" s="82" t="n">
        <v>241</v>
      </c>
      <c r="B243" s="82" t="inlineStr">
        <is>
          <t>KMI</t>
        </is>
      </c>
      <c r="C243" s="82" t="inlineStr">
        <is>
          <t>KINDER MORGAN, INC.</t>
        </is>
      </c>
      <c r="D243" s="82" t="n">
        <v>0.62</v>
      </c>
      <c r="E243" s="207" t="inlineStr">
        <is>
          <t>Distress</t>
        </is>
      </c>
      <c r="F243" s="82" t="n">
        <v>0.65</v>
      </c>
      <c r="G243" s="82" t="inlineStr">
        <is>
          <t>Distress</t>
        </is>
      </c>
      <c r="H243" s="82" t="n">
        <v>0.88</v>
      </c>
      <c r="I243" s="82" t="inlineStr">
        <is>
          <t>Healthy</t>
        </is>
      </c>
      <c r="J243" s="82" t="n">
        <v>-1.38</v>
      </c>
      <c r="K243" s="82" t="n">
        <v>0.2</v>
      </c>
      <c r="L243" s="82" t="inlineStr">
        <is>
          <t>Healthy</t>
        </is>
      </c>
      <c r="M243" s="82" t="n">
        <v>7</v>
      </c>
      <c r="N243" s="82" t="inlineStr">
        <is>
          <t>Strong</t>
        </is>
      </c>
      <c r="O243" s="207" t="n">
        <v>-2.7</v>
      </c>
      <c r="P243" s="82" t="inlineStr">
        <is>
          <t>Lower Risk</t>
        </is>
      </c>
      <c r="Q243" s="82" t="n">
        <v>4.07</v>
      </c>
      <c r="R243" s="82" t="n">
        <v>0.09810000000000001</v>
      </c>
      <c r="S243" s="82" t="n">
        <v>1.94</v>
      </c>
      <c r="T243" s="82" t="n">
        <v>0.1707</v>
      </c>
      <c r="U243" s="82" t="n">
        <v>0.1217</v>
      </c>
      <c r="V243" s="82" t="n">
        <v>0.2789</v>
      </c>
      <c r="W243" s="82" t="n">
        <v>2.61</v>
      </c>
      <c r="X243" s="82" t="n">
        <v>53.59</v>
      </c>
      <c r="Y243" s="82" t="n">
        <v>0</v>
      </c>
      <c r="Z243" s="82" t="inlineStr">
        <is>
          <t>CLEAR</t>
        </is>
      </c>
    </row>
    <row r="244" ht="17" customHeight="1">
      <c r="A244" s="86" t="n">
        <v>242</v>
      </c>
      <c r="B244" s="86" t="inlineStr">
        <is>
          <t>MEDP</t>
        </is>
      </c>
      <c r="C244" s="86" t="inlineStr">
        <is>
          <t>Medpace Holdings, Inc.</t>
        </is>
      </c>
      <c r="D244" s="86" t="n">
        <v>1.92</v>
      </c>
      <c r="E244" s="208" t="inlineStr">
        <is>
          <t>Grey</t>
        </is>
      </c>
      <c r="F244" s="86" t="n">
        <v>0.2</v>
      </c>
      <c r="G244" s="86" t="inlineStr">
        <is>
          <t>Distress</t>
        </is>
      </c>
      <c r="H244" s="86" t="n">
        <v>1.43</v>
      </c>
      <c r="I244" s="86" t="inlineStr">
        <is>
          <t>Healthy</t>
        </is>
      </c>
      <c r="J244" s="86" t="n">
        <v>-1</v>
      </c>
      <c r="K244" s="86" t="n">
        <v>0.27</v>
      </c>
      <c r="L244" s="86" t="inlineStr">
        <is>
          <t>Healthy</t>
        </is>
      </c>
      <c r="M244" s="86" t="n">
        <v>6</v>
      </c>
      <c r="N244" s="86" t="inlineStr">
        <is>
          <t>Mixed</t>
        </is>
      </c>
      <c r="O244" s="90" t="inlineStr">
        <is>
          <t>N/A</t>
        </is>
      </c>
      <c r="P244" s="86" t="inlineStr">
        <is>
          <t>Insufficient Data</t>
        </is>
      </c>
      <c r="Q244" s="86" t="n">
        <v>-0.59</v>
      </c>
      <c r="R244" s="86" t="n">
        <v>0.9827</v>
      </c>
      <c r="S244" s="86" t="n">
        <v>1.58</v>
      </c>
      <c r="T244" s="86" t="n">
        <v>0.2695</v>
      </c>
      <c r="U244" s="86" t="n">
        <v>0.1997</v>
      </c>
      <c r="V244" s="86" t="n">
        <v>0.2114</v>
      </c>
      <c r="W244" s="86" t="n">
        <v>77.66</v>
      </c>
      <c r="X244" s="86" t="n">
        <v>53.56</v>
      </c>
      <c r="Y244" s="86" t="n">
        <v>20</v>
      </c>
      <c r="Z244" s="86" t="inlineStr">
        <is>
          <t>CLEAR</t>
        </is>
      </c>
    </row>
    <row r="245" ht="17" customHeight="1">
      <c r="A245" s="82" t="n">
        <v>243</v>
      </c>
      <c r="B245" s="82" t="inlineStr">
        <is>
          <t>BA</t>
        </is>
      </c>
      <c r="C245" s="82" t="inlineStr">
        <is>
          <t>THE BOEING COMPANY</t>
        </is>
      </c>
      <c r="D245" s="82" t="n">
        <v>0.8</v>
      </c>
      <c r="E245" s="207" t="inlineStr">
        <is>
          <t>Distress</t>
        </is>
      </c>
      <c r="F245" s="82" t="n">
        <v>1.33</v>
      </c>
      <c r="G245" s="82" t="inlineStr">
        <is>
          <t>Grey</t>
        </is>
      </c>
      <c r="H245" s="82" t="n">
        <v>0.43</v>
      </c>
      <c r="I245" s="82" t="inlineStr">
        <is>
          <t>Distress</t>
        </is>
      </c>
      <c r="J245" s="82" t="n">
        <v>1.1</v>
      </c>
      <c r="K245" s="82" t="n">
        <v>0.75</v>
      </c>
      <c r="L245" s="82" t="inlineStr">
        <is>
          <t>Distress</t>
        </is>
      </c>
      <c r="M245" s="82" t="n">
        <v>7</v>
      </c>
      <c r="N245" s="82" t="inlineStr">
        <is>
          <t>Strong</t>
        </is>
      </c>
      <c r="O245" s="207" t="n">
        <v>-3.01</v>
      </c>
      <c r="P245" s="82" t="inlineStr">
        <is>
          <t>Lower Risk</t>
        </is>
      </c>
      <c r="Q245" s="82" t="n">
        <v>7.05</v>
      </c>
      <c r="R245" s="82" t="n">
        <v>0.4098</v>
      </c>
      <c r="S245" s="82" t="n">
        <v>0.48</v>
      </c>
      <c r="T245" s="82" t="n">
        <v>-0.021</v>
      </c>
      <c r="U245" s="82" t="n">
        <v>0.345</v>
      </c>
      <c r="V245" s="82" t="n">
        <v>0.0479</v>
      </c>
      <c r="W245" s="82" t="n">
        <v>1.63</v>
      </c>
      <c r="X245" s="82" t="n">
        <v>53.51</v>
      </c>
      <c r="Y245" s="82" t="n">
        <v>20</v>
      </c>
      <c r="Z245" s="82" t="inlineStr">
        <is>
          <t>CLEAR</t>
        </is>
      </c>
    </row>
    <row r="246" ht="17" customHeight="1">
      <c r="A246" s="86" t="n">
        <v>244</v>
      </c>
      <c r="B246" s="86" t="inlineStr">
        <is>
          <t>UNH</t>
        </is>
      </c>
      <c r="C246" s="86" t="inlineStr">
        <is>
          <t>UnitedHealth Group Incorporated</t>
        </is>
      </c>
      <c r="D246" s="86" t="n">
        <v>1.9</v>
      </c>
      <c r="E246" s="208" t="inlineStr">
        <is>
          <t>Grey</t>
        </is>
      </c>
      <c r="F246" s="86" t="n">
        <v>1.07</v>
      </c>
      <c r="G246" s="86" t="inlineStr">
        <is>
          <t>Distress</t>
        </is>
      </c>
      <c r="H246" s="86" t="n">
        <v>0.77</v>
      </c>
      <c r="I246" s="86" t="inlineStr">
        <is>
          <t>Distress</t>
        </is>
      </c>
      <c r="J246" s="86" t="n">
        <v>-0.7</v>
      </c>
      <c r="K246" s="86" t="n">
        <v>0.33</v>
      </c>
      <c r="L246" s="86" t="inlineStr">
        <is>
          <t>Healthy</t>
        </is>
      </c>
      <c r="M246" s="86" t="n">
        <v>6</v>
      </c>
      <c r="N246" s="86" t="inlineStr">
        <is>
          <t>Mixed</t>
        </is>
      </c>
      <c r="O246" s="207" t="n">
        <v>-2.57</v>
      </c>
      <c r="P246" s="86" t="inlineStr">
        <is>
          <t>Lower Risk</t>
        </is>
      </c>
      <c r="Q246" s="86" t="n">
        <v>2.06</v>
      </c>
      <c r="R246" s="86" t="n">
        <v>0.3715</v>
      </c>
      <c r="S246" s="86" t="n">
        <v>1.63</v>
      </c>
      <c r="T246" s="86" t="n">
        <v>0.0359</v>
      </c>
      <c r="U246" s="86" t="n">
        <v>0.1181</v>
      </c>
      <c r="V246" s="86" t="n">
        <v>0.0424</v>
      </c>
      <c r="W246" s="86" t="n">
        <v>4.74</v>
      </c>
      <c r="X246" s="86" t="n">
        <v>53.5</v>
      </c>
      <c r="Y246" s="86" t="n">
        <v>0</v>
      </c>
      <c r="Z246" s="86" t="inlineStr">
        <is>
          <t>CLEAR</t>
        </is>
      </c>
    </row>
    <row r="247" ht="17" customHeight="1">
      <c r="A247" s="82" t="n">
        <v>245</v>
      </c>
      <c r="B247" s="82" t="inlineStr">
        <is>
          <t>QSR</t>
        </is>
      </c>
      <c r="C247" s="82" t="inlineStr">
        <is>
          <t>RESTAURANT BRANDS INTERNATIONAL INC.</t>
        </is>
      </c>
      <c r="D247" s="82" t="n">
        <v>0.77</v>
      </c>
      <c r="E247" s="207" t="inlineStr">
        <is>
          <t>Distress</t>
        </is>
      </c>
      <c r="F247" s="82" t="n">
        <v>0.98</v>
      </c>
      <c r="G247" s="82" t="inlineStr">
        <is>
          <t>Distress</t>
        </is>
      </c>
      <c r="H247" s="82" t="n">
        <v>0.79</v>
      </c>
      <c r="I247" s="82" t="inlineStr">
        <is>
          <t>Distress</t>
        </is>
      </c>
      <c r="J247" s="82" t="n">
        <v>0.18</v>
      </c>
      <c r="K247" s="82" t="n">
        <v>0.54</v>
      </c>
      <c r="L247" s="82" t="inlineStr">
        <is>
          <t>Distress</t>
        </is>
      </c>
      <c r="M247" s="82" t="n">
        <v>7</v>
      </c>
      <c r="N247" s="82" t="inlineStr">
        <is>
          <t>Strong</t>
        </is>
      </c>
      <c r="O247" s="91" t="inlineStr">
        <is>
          <t>N/A</t>
        </is>
      </c>
      <c r="P247" s="82" t="inlineStr">
        <is>
          <t>Insufficient Data</t>
        </is>
      </c>
      <c r="Q247" s="82" t="n">
        <v>4.94</v>
      </c>
      <c r="R247" s="82" t="n">
        <v>0.0382</v>
      </c>
      <c r="S247" s="82" t="n">
        <v>12.33</v>
      </c>
      <c r="T247" s="82" t="n">
        <v>0.1536</v>
      </c>
      <c r="U247" s="82" t="n">
        <v>0.1223</v>
      </c>
      <c r="V247" s="82" t="n">
        <v>0.2334</v>
      </c>
      <c r="W247" s="82" t="n">
        <v>4.92</v>
      </c>
      <c r="X247" s="82" t="n">
        <v>53.41</v>
      </c>
      <c r="Y247" s="82" t="n">
        <v>0</v>
      </c>
      <c r="Z247" s="82" t="inlineStr">
        <is>
          <t>CLEAR</t>
        </is>
      </c>
    </row>
    <row r="248" ht="17" customHeight="1">
      <c r="A248" s="86" t="n">
        <v>246</v>
      </c>
      <c r="B248" s="86" t="inlineStr">
        <is>
          <t>OKE</t>
        </is>
      </c>
      <c r="C248" s="86" t="inlineStr">
        <is>
          <t>ONEOK INC /NEW/</t>
        </is>
      </c>
      <c r="D248" s="86" t="n">
        <v>0.75</v>
      </c>
      <c r="E248" s="207" t="inlineStr">
        <is>
          <t>Distress</t>
        </is>
      </c>
      <c r="F248" s="86" t="n">
        <v>0.86</v>
      </c>
      <c r="G248" s="86" t="inlineStr">
        <is>
          <t>Distress</t>
        </is>
      </c>
      <c r="H248" s="86" t="n">
        <v>0.84</v>
      </c>
      <c r="I248" s="86" t="inlineStr">
        <is>
          <t>Distress</t>
        </is>
      </c>
      <c r="J248" s="86" t="n">
        <v>1.12</v>
      </c>
      <c r="K248" s="86" t="n">
        <v>0.75</v>
      </c>
      <c r="L248" s="86" t="inlineStr">
        <is>
          <t>Distress</t>
        </is>
      </c>
      <c r="M248" s="86" t="n">
        <v>7</v>
      </c>
      <c r="N248" s="86" t="inlineStr">
        <is>
          <t>Strong</t>
        </is>
      </c>
      <c r="O248" s="207" t="n">
        <v>-2.64</v>
      </c>
      <c r="P248" s="86" t="inlineStr">
        <is>
          <t>Lower Risk</t>
        </is>
      </c>
      <c r="Q248" s="86" t="n">
        <v>4.41</v>
      </c>
      <c r="R248" s="86" t="n">
        <v>0.1509</v>
      </c>
      <c r="S248" s="86" t="n">
        <v>1.65</v>
      </c>
      <c r="T248" s="86" t="n">
        <v>0.1093</v>
      </c>
      <c r="U248" s="86" t="n">
        <v>0.3535</v>
      </c>
      <c r="V248" s="86" t="n">
        <v>0.2564</v>
      </c>
      <c r="W248" s="86" t="n">
        <v>6.63</v>
      </c>
      <c r="X248" s="86" t="n">
        <v>53.36</v>
      </c>
      <c r="Y248" s="86" t="n">
        <v>0</v>
      </c>
      <c r="Z248" s="86" t="inlineStr">
        <is>
          <t>CLEAR</t>
        </is>
      </c>
    </row>
    <row r="249" ht="17" customHeight="1">
      <c r="A249" s="82" t="n">
        <v>247</v>
      </c>
      <c r="B249" s="82" t="inlineStr">
        <is>
          <t>RGEN</t>
        </is>
      </c>
      <c r="C249" s="82" t="inlineStr">
        <is>
          <t>REPLIGEN CORP</t>
        </is>
      </c>
      <c r="D249" s="82" t="n">
        <v>1.53</v>
      </c>
      <c r="E249" s="208" t="inlineStr">
        <is>
          <t>Grey</t>
        </is>
      </c>
      <c r="F249" s="82" t="n">
        <v>5.48</v>
      </c>
      <c r="G249" s="82" t="inlineStr">
        <is>
          <t>Safe</t>
        </is>
      </c>
      <c r="H249" s="82" t="n">
        <v>0.73</v>
      </c>
      <c r="I249" s="82" t="inlineStr">
        <is>
          <t>Distress</t>
        </is>
      </c>
      <c r="J249" s="82" t="n">
        <v>-2.75</v>
      </c>
      <c r="K249" s="82" t="n">
        <v>0.06</v>
      </c>
      <c r="L249" s="82" t="inlineStr">
        <is>
          <t>Healthy</t>
        </is>
      </c>
      <c r="M249" s="82" t="n">
        <v>7</v>
      </c>
      <c r="N249" s="82" t="inlineStr">
        <is>
          <t>Strong</t>
        </is>
      </c>
      <c r="O249" s="207" t="n">
        <v>0.18</v>
      </c>
      <c r="P249" s="82" t="inlineStr">
        <is>
          <t>Higher Risk</t>
        </is>
      </c>
      <c r="Q249" s="82" t="n">
        <v>-0.18</v>
      </c>
      <c r="R249" s="82" t="n">
        <v>0.0232</v>
      </c>
      <c r="S249" s="82" t="n">
        <v>2.4</v>
      </c>
      <c r="T249" s="82" t="n">
        <v>0.6647999999999999</v>
      </c>
      <c r="U249" s="82" t="n">
        <v>2.3942</v>
      </c>
      <c r="V249" s="82" t="n">
        <v>0.3906</v>
      </c>
      <c r="W249" s="82" t="n">
        <v>28.28</v>
      </c>
      <c r="X249" s="82" t="n">
        <v>53.36</v>
      </c>
      <c r="Y249" s="82" t="n">
        <v>20</v>
      </c>
      <c r="Z249" s="82" t="inlineStr">
        <is>
          <t>CLEAR</t>
        </is>
      </c>
    </row>
    <row r="250" ht="17" customHeight="1">
      <c r="A250" s="86" t="n">
        <v>248</v>
      </c>
      <c r="B250" s="86" t="inlineStr">
        <is>
          <t>CB</t>
        </is>
      </c>
      <c r="C250" s="86" t="inlineStr">
        <is>
          <t>Chubb Limited</t>
        </is>
      </c>
      <c r="D250" s="90" t="inlineStr">
        <is>
          <t>N/A</t>
        </is>
      </c>
      <c r="E250" s="90" t="inlineStr">
        <is>
          <t>N/A</t>
        </is>
      </c>
      <c r="F250" s="90" t="inlineStr">
        <is>
          <t>N/A</t>
        </is>
      </c>
      <c r="G250" s="90" t="inlineStr">
        <is>
          <t>N/A</t>
        </is>
      </c>
      <c r="H250" s="90" t="inlineStr">
        <is>
          <t>N/A</t>
        </is>
      </c>
      <c r="I250" s="90" t="inlineStr">
        <is>
          <t>N/A</t>
        </is>
      </c>
      <c r="J250" s="90" t="inlineStr">
        <is>
          <t>N/A</t>
        </is>
      </c>
      <c r="K250" s="90" t="inlineStr">
        <is>
          <t>N/A</t>
        </is>
      </c>
      <c r="L250" s="90" t="inlineStr">
        <is>
          <t>N/A</t>
        </is>
      </c>
      <c r="M250" s="86" t="n">
        <v>7</v>
      </c>
      <c r="N250" s="86" t="inlineStr">
        <is>
          <t>Strong</t>
        </is>
      </c>
      <c r="O250" s="90" t="inlineStr">
        <is>
          <t>N/A</t>
        </is>
      </c>
      <c r="P250" s="86" t="inlineStr">
        <is>
          <t>Insufficient Data</t>
        </is>
      </c>
      <c r="Q250" s="86" t="n">
        <v>1.03</v>
      </c>
      <c r="R250" s="86" t="n">
        <v>0.1398</v>
      </c>
      <c r="S250" s="86" t="n">
        <v>1.24</v>
      </c>
      <c r="T250" s="90" t="inlineStr">
        <is>
          <t>N/A</t>
        </is>
      </c>
      <c r="U250" s="86" t="n">
        <v>0.0654</v>
      </c>
      <c r="V250" s="86" t="n">
        <v>0.2196</v>
      </c>
      <c r="W250" s="86" t="n">
        <v>17.07</v>
      </c>
      <c r="X250" s="86" t="n">
        <v>53.33</v>
      </c>
      <c r="Y250" s="86" t="n">
        <v>0</v>
      </c>
      <c r="Z250" s="86" t="inlineStr">
        <is>
          <t>CLEAR</t>
        </is>
      </c>
    </row>
    <row r="251" ht="17" customHeight="1">
      <c r="A251" s="82" t="n">
        <v>249</v>
      </c>
      <c r="B251" s="82" t="inlineStr">
        <is>
          <t>TER</t>
        </is>
      </c>
      <c r="C251" s="82" t="inlineStr">
        <is>
          <t>TERADYNE, INC.</t>
        </is>
      </c>
      <c r="D251" s="82" t="n">
        <v>2.38</v>
      </c>
      <c r="E251" s="208" t="inlineStr">
        <is>
          <t>Grey</t>
        </is>
      </c>
      <c r="F251" s="82" t="n">
        <v>5.05</v>
      </c>
      <c r="G251" s="82" t="inlineStr">
        <is>
          <t>Safe</t>
        </is>
      </c>
      <c r="H251" s="82" t="n">
        <v>1.37</v>
      </c>
      <c r="I251" s="82" t="inlineStr">
        <is>
          <t>Healthy</t>
        </is>
      </c>
      <c r="J251" s="82" t="n">
        <v>-3.04</v>
      </c>
      <c r="K251" s="82" t="n">
        <v>0.05</v>
      </c>
      <c r="L251" s="82" t="inlineStr">
        <is>
          <t>Healthy</t>
        </is>
      </c>
      <c r="M251" s="82" t="n">
        <v>5</v>
      </c>
      <c r="N251" s="82" t="inlineStr">
        <is>
          <t>Mixed</t>
        </is>
      </c>
      <c r="O251" s="207" t="n">
        <v>-2.26</v>
      </c>
      <c r="P251" s="82" t="inlineStr">
        <is>
          <t>Lower Risk</t>
        </is>
      </c>
      <c r="Q251" s="82" t="n">
        <v>-0.38</v>
      </c>
      <c r="R251" s="82" t="n">
        <v>0.1982</v>
      </c>
      <c r="S251" s="82" t="n">
        <v>1.22</v>
      </c>
      <c r="T251" s="82" t="n">
        <v>0.1412</v>
      </c>
      <c r="U251" s="82" t="n">
        <v>0.1313</v>
      </c>
      <c r="V251" s="82" t="n">
        <v>0.2038</v>
      </c>
      <c r="W251" s="82" t="n">
        <v>94.95</v>
      </c>
      <c r="X251" s="82" t="n">
        <v>53.3</v>
      </c>
      <c r="Y251" s="82" t="n">
        <v>0</v>
      </c>
      <c r="Z251" s="82" t="inlineStr">
        <is>
          <t>CLEAR</t>
        </is>
      </c>
    </row>
    <row r="252" ht="17" customHeight="1">
      <c r="A252" s="86" t="n">
        <v>250</v>
      </c>
      <c r="B252" s="86" t="inlineStr">
        <is>
          <t>EG</t>
        </is>
      </c>
      <c r="C252" s="86" t="inlineStr">
        <is>
          <t>EVEREST GROUP, LTD.</t>
        </is>
      </c>
      <c r="D252" s="90" t="inlineStr">
        <is>
          <t>N/A</t>
        </is>
      </c>
      <c r="E252" s="90" t="inlineStr">
        <is>
          <t>N/A</t>
        </is>
      </c>
      <c r="F252" s="90" t="inlineStr">
        <is>
          <t>N/A</t>
        </is>
      </c>
      <c r="G252" s="90" t="inlineStr">
        <is>
          <t>N/A</t>
        </is>
      </c>
      <c r="H252" s="90" t="inlineStr">
        <is>
          <t>N/A</t>
        </is>
      </c>
      <c r="I252" s="90" t="inlineStr">
        <is>
          <t>N/A</t>
        </is>
      </c>
      <c r="J252" s="90" t="inlineStr">
        <is>
          <t>N/A</t>
        </is>
      </c>
      <c r="K252" s="90" t="inlineStr">
        <is>
          <t>N/A</t>
        </is>
      </c>
      <c r="L252" s="90" t="inlineStr">
        <is>
          <t>N/A</t>
        </is>
      </c>
      <c r="M252" s="86" t="n">
        <v>7</v>
      </c>
      <c r="N252" s="86" t="inlineStr">
        <is>
          <t>Strong</t>
        </is>
      </c>
      <c r="O252" s="90" t="inlineStr">
        <is>
          <t>N/A</t>
        </is>
      </c>
      <c r="P252" s="86" t="inlineStr">
        <is>
          <t>Insufficient Data</t>
        </is>
      </c>
      <c r="Q252" s="86" t="n">
        <v>-0.21</v>
      </c>
      <c r="R252" s="86" t="n">
        <v>0.1029</v>
      </c>
      <c r="S252" s="86" t="n">
        <v>1.93</v>
      </c>
      <c r="T252" s="90" t="inlineStr">
        <is>
          <t>N/A</t>
        </is>
      </c>
      <c r="U252" s="86" t="n">
        <v>0.0124</v>
      </c>
      <c r="V252" s="86" t="n">
        <v>0.1079</v>
      </c>
      <c r="W252" s="86" t="n">
        <v>59.54</v>
      </c>
      <c r="X252" s="86" t="n">
        <v>53.3</v>
      </c>
      <c r="Y252" s="86" t="n">
        <v>0</v>
      </c>
      <c r="Z252" s="86" t="inlineStr">
        <is>
          <t>CLEAR</t>
        </is>
      </c>
    </row>
    <row r="253" ht="17" customHeight="1">
      <c r="A253" s="82" t="n">
        <v>251</v>
      </c>
      <c r="B253" s="82" t="inlineStr">
        <is>
          <t>DLR</t>
        </is>
      </c>
      <c r="C253" s="82" t="inlineStr">
        <is>
          <t>DIGITAL REALTY TRUST, INC.</t>
        </is>
      </c>
      <c r="D253" s="91" t="inlineStr">
        <is>
          <t>N/A</t>
        </is>
      </c>
      <c r="E253" s="91" t="inlineStr">
        <is>
          <t>N/A</t>
        </is>
      </c>
      <c r="F253" s="91" t="inlineStr">
        <is>
          <t>N/A</t>
        </is>
      </c>
      <c r="G253" s="91" t="inlineStr">
        <is>
          <t>N/A</t>
        </is>
      </c>
      <c r="H253" s="91" t="inlineStr">
        <is>
          <t>N/A</t>
        </is>
      </c>
      <c r="I253" s="91" t="inlineStr">
        <is>
          <t>N/A</t>
        </is>
      </c>
      <c r="J253" s="91" t="inlineStr">
        <is>
          <t>N/A</t>
        </is>
      </c>
      <c r="K253" s="91" t="inlineStr">
        <is>
          <t>N/A</t>
        </is>
      </c>
      <c r="L253" s="91" t="inlineStr">
        <is>
          <t>N/A</t>
        </is>
      </c>
      <c r="M253" s="82" t="n">
        <v>7</v>
      </c>
      <c r="N253" s="82" t="inlineStr">
        <is>
          <t>Strong</t>
        </is>
      </c>
      <c r="O253" s="207" t="n">
        <v>-2.48</v>
      </c>
      <c r="P253" s="82" t="inlineStr">
        <is>
          <t>Lower Risk</t>
        </is>
      </c>
      <c r="Q253" s="82" t="n">
        <v>-0.2</v>
      </c>
      <c r="R253" s="82" t="n">
        <v>0.0571</v>
      </c>
      <c r="S253" s="82" t="n">
        <v>1.84</v>
      </c>
      <c r="T253" s="91" t="inlineStr">
        <is>
          <t>N/A</t>
        </is>
      </c>
      <c r="U253" s="82" t="n">
        <v>0.1004</v>
      </c>
      <c r="V253" s="82" t="n">
        <v>0.1077</v>
      </c>
      <c r="W253" s="82" t="n">
        <v>1.5</v>
      </c>
      <c r="X253" s="82" t="n">
        <v>53.29</v>
      </c>
      <c r="Y253" s="82" t="n">
        <v>0</v>
      </c>
      <c r="Z253" s="82" t="inlineStr">
        <is>
          <t>CLEAR</t>
        </is>
      </c>
    </row>
    <row r="254" ht="17" customHeight="1">
      <c r="A254" s="86" t="n">
        <v>252</v>
      </c>
      <c r="B254" s="86" t="inlineStr">
        <is>
          <t>PEP</t>
        </is>
      </c>
      <c r="C254" s="86" t="inlineStr">
        <is>
          <t>PepsiCo, Inc.</t>
        </is>
      </c>
      <c r="D254" s="86" t="n">
        <v>1.85</v>
      </c>
      <c r="E254" s="208" t="inlineStr">
        <is>
          <t>Grey</t>
        </is>
      </c>
      <c r="F254" s="86" t="n">
        <v>2.88</v>
      </c>
      <c r="G254" s="86" t="inlineStr">
        <is>
          <t>Safe</t>
        </is>
      </c>
      <c r="H254" s="86" t="n">
        <v>0.84</v>
      </c>
      <c r="I254" s="86" t="inlineStr">
        <is>
          <t>Distress</t>
        </is>
      </c>
      <c r="J254" s="86" t="n">
        <v>-0.09</v>
      </c>
      <c r="K254" s="86" t="n">
        <v>0.48</v>
      </c>
      <c r="L254" s="86" t="inlineStr">
        <is>
          <t>Healthy</t>
        </is>
      </c>
      <c r="M254" s="86" t="n">
        <v>6</v>
      </c>
      <c r="N254" s="86" t="inlineStr">
        <is>
          <t>Mixed</t>
        </is>
      </c>
      <c r="O254" s="90" t="inlineStr">
        <is>
          <t>N/A</t>
        </is>
      </c>
      <c r="P254" s="86" t="inlineStr">
        <is>
          <t>Insufficient Data</t>
        </is>
      </c>
      <c r="Q254" s="86" t="n">
        <v>2.49</v>
      </c>
      <c r="R254" s="86" t="n">
        <v>0.4038</v>
      </c>
      <c r="S254" s="86" t="n">
        <v>1.47</v>
      </c>
      <c r="T254" s="86" t="n">
        <v>0.08169999999999999</v>
      </c>
      <c r="U254" s="86" t="n">
        <v>0.0225</v>
      </c>
      <c r="V254" s="86" t="n">
        <v>0.1224</v>
      </c>
      <c r="W254" s="86" t="n">
        <v>10.26</v>
      </c>
      <c r="X254" s="86" t="n">
        <v>53.29</v>
      </c>
      <c r="Y254" s="86" t="n">
        <v>0</v>
      </c>
      <c r="Z254" s="86" t="inlineStr">
        <is>
          <t>CLEAR</t>
        </is>
      </c>
    </row>
    <row r="255" ht="17" customHeight="1">
      <c r="A255" s="82" t="n">
        <v>253</v>
      </c>
      <c r="B255" s="82" t="inlineStr">
        <is>
          <t>CSCO</t>
        </is>
      </c>
      <c r="C255" s="82" t="inlineStr">
        <is>
          <t>CISCO SYSTEMS, INC.</t>
        </is>
      </c>
      <c r="D255" s="82" t="n">
        <v>0.96</v>
      </c>
      <c r="E255" s="207" t="inlineStr">
        <is>
          <t>Distress</t>
        </is>
      </c>
      <c r="F255" s="82" t="n">
        <v>1.3</v>
      </c>
      <c r="G255" s="82" t="inlineStr">
        <is>
          <t>Grey</t>
        </is>
      </c>
      <c r="H255" s="82" t="n">
        <v>0.66</v>
      </c>
      <c r="I255" s="82" t="inlineStr">
        <is>
          <t>Distress</t>
        </is>
      </c>
      <c r="J255" s="82" t="n">
        <v>-1.2</v>
      </c>
      <c r="K255" s="82" t="n">
        <v>0.23</v>
      </c>
      <c r="L255" s="82" t="inlineStr">
        <is>
          <t>Healthy</t>
        </is>
      </c>
      <c r="M255" s="82" t="n">
        <v>8</v>
      </c>
      <c r="N255" s="82" t="inlineStr">
        <is>
          <t>Strong</t>
        </is>
      </c>
      <c r="O255" s="207" t="n">
        <v>0.64</v>
      </c>
      <c r="P255" s="82" t="inlineStr">
        <is>
          <t>Higher Risk</t>
        </is>
      </c>
      <c r="Q255" s="82" t="n">
        <v>1.31</v>
      </c>
      <c r="R255" s="82" t="n">
        <v>0.2173</v>
      </c>
      <c r="S255" s="82" t="n">
        <v>1.39</v>
      </c>
      <c r="T255" s="82" t="n">
        <v>0.2694</v>
      </c>
      <c r="U255" s="82" t="n">
        <v>2.8407</v>
      </c>
      <c r="V255" s="82" t="n">
        <v>0.2384</v>
      </c>
      <c r="W255" s="82" t="n">
        <v>27.54</v>
      </c>
      <c r="X255" s="82" t="n">
        <v>53.28</v>
      </c>
      <c r="Y255" s="82" t="n">
        <v>20</v>
      </c>
      <c r="Z255" s="82" t="inlineStr">
        <is>
          <t>CLEAR</t>
        </is>
      </c>
    </row>
    <row r="256" ht="17" customHeight="1">
      <c r="A256" s="86" t="n">
        <v>254</v>
      </c>
      <c r="B256" s="86" t="inlineStr">
        <is>
          <t>ECL</t>
        </is>
      </c>
      <c r="C256" s="86" t="inlineStr">
        <is>
          <t>ECOLAB INC.</t>
        </is>
      </c>
      <c r="D256" s="86" t="n">
        <v>1.72</v>
      </c>
      <c r="E256" s="208" t="inlineStr">
        <is>
          <t>Grey</t>
        </is>
      </c>
      <c r="F256" s="86" t="n">
        <v>3.24</v>
      </c>
      <c r="G256" s="86" t="inlineStr">
        <is>
          <t>Safe</t>
        </is>
      </c>
      <c r="H256" s="86" t="n">
        <v>0.92</v>
      </c>
      <c r="I256" s="86" t="inlineStr">
        <is>
          <t>Healthy</t>
        </is>
      </c>
      <c r="J256" s="86" t="n">
        <v>-1.29</v>
      </c>
      <c r="K256" s="86" t="n">
        <v>0.22</v>
      </c>
      <c r="L256" s="86" t="inlineStr">
        <is>
          <t>Healthy</t>
        </is>
      </c>
      <c r="M256" s="86" t="n">
        <v>6</v>
      </c>
      <c r="N256" s="86" t="inlineStr">
        <is>
          <t>Mixed</t>
        </is>
      </c>
      <c r="O256" s="207" t="n">
        <v>-2.63</v>
      </c>
      <c r="P256" s="86" t="inlineStr">
        <is>
          <t>Lower Risk</t>
        </is>
      </c>
      <c r="Q256" s="86" t="n">
        <v>2.01</v>
      </c>
      <c r="R256" s="86" t="n">
        <v>0.2124</v>
      </c>
      <c r="S256" s="86" t="n">
        <v>1.42</v>
      </c>
      <c r="T256" s="86" t="n">
        <v>0.1184</v>
      </c>
      <c r="U256" s="86" t="n">
        <v>0.0216</v>
      </c>
      <c r="V256" s="86" t="n">
        <v>0.1702</v>
      </c>
      <c r="W256" s="86" t="n">
        <v>8.94</v>
      </c>
      <c r="X256" s="86" t="n">
        <v>53.24</v>
      </c>
      <c r="Y256" s="86" t="n">
        <v>0</v>
      </c>
      <c r="Z256" s="86" t="inlineStr">
        <is>
          <t>CLEAR</t>
        </is>
      </c>
    </row>
    <row r="257" ht="17" customHeight="1">
      <c r="A257" s="82" t="n">
        <v>255</v>
      </c>
      <c r="B257" s="82" t="inlineStr">
        <is>
          <t>WM</t>
        </is>
      </c>
      <c r="C257" s="82" t="inlineStr">
        <is>
          <t>Waste Management, Inc</t>
        </is>
      </c>
      <c r="D257" s="82" t="n">
        <v>1.03</v>
      </c>
      <c r="E257" s="207" t="inlineStr">
        <is>
          <t>Distress</t>
        </is>
      </c>
      <c r="F257" s="82" t="n">
        <v>2.06</v>
      </c>
      <c r="G257" s="82" t="inlineStr">
        <is>
          <t>Grey</t>
        </is>
      </c>
      <c r="H257" s="82" t="n">
        <v>0.8100000000000001</v>
      </c>
      <c r="I257" s="82" t="inlineStr">
        <is>
          <t>Distress</t>
        </is>
      </c>
      <c r="J257" s="82" t="n">
        <v>-0.16</v>
      </c>
      <c r="K257" s="82" t="n">
        <v>0.46</v>
      </c>
      <c r="L257" s="82" t="inlineStr">
        <is>
          <t>Healthy</t>
        </is>
      </c>
      <c r="M257" s="82" t="n">
        <v>8</v>
      </c>
      <c r="N257" s="82" t="inlineStr">
        <is>
          <t>Strong</t>
        </is>
      </c>
      <c r="O257" s="208" t="n">
        <v>37.3</v>
      </c>
      <c r="P257" s="82" t="inlineStr">
        <is>
          <t>Higher Risk</t>
        </is>
      </c>
      <c r="Q257" s="82" t="n">
        <v>-0.03</v>
      </c>
      <c r="R257" s="82" t="n">
        <v>0.2711</v>
      </c>
      <c r="S257" s="82" t="n">
        <v>2.23</v>
      </c>
      <c r="T257" s="82" t="n">
        <v>0.2233</v>
      </c>
      <c r="U257" s="82" t="n">
        <v>2.9663</v>
      </c>
      <c r="V257" s="82" t="n">
        <v>0.2974</v>
      </c>
      <c r="W257" s="82" t="n">
        <v>8.619999999999999</v>
      </c>
      <c r="X257" s="82" t="n">
        <v>53.23</v>
      </c>
      <c r="Y257" s="82" t="n">
        <v>20</v>
      </c>
      <c r="Z257" s="82" t="inlineStr">
        <is>
          <t>CLEAR</t>
        </is>
      </c>
    </row>
    <row r="258" ht="17" customHeight="1">
      <c r="A258" s="86" t="n">
        <v>256</v>
      </c>
      <c r="B258" s="86" t="inlineStr">
        <is>
          <t>CMC</t>
        </is>
      </c>
      <c r="C258" s="86" t="inlineStr">
        <is>
          <t>COMMERCIAL METALS COMPANY</t>
        </is>
      </c>
      <c r="D258" s="86" t="n">
        <v>2.5</v>
      </c>
      <c r="E258" s="208" t="inlineStr">
        <is>
          <t>Grey</t>
        </is>
      </c>
      <c r="F258" s="86" t="n">
        <v>5.67</v>
      </c>
      <c r="G258" s="86" t="inlineStr">
        <is>
          <t>Safe</t>
        </is>
      </c>
      <c r="H258" s="86" t="n">
        <v>0.87</v>
      </c>
      <c r="I258" s="86" t="inlineStr">
        <is>
          <t>Healthy</t>
        </is>
      </c>
      <c r="J258" s="86" t="n">
        <v>-2.02</v>
      </c>
      <c r="K258" s="86" t="n">
        <v>0.12</v>
      </c>
      <c r="L258" s="86" t="inlineStr">
        <is>
          <t>Healthy</t>
        </is>
      </c>
      <c r="M258" s="86" t="n">
        <v>5</v>
      </c>
      <c r="N258" s="86" t="inlineStr">
        <is>
          <t>Mixed</t>
        </is>
      </c>
      <c r="O258" s="207" t="n">
        <v>-2.94</v>
      </c>
      <c r="P258" s="86" t="inlineStr">
        <is>
          <t>Lower Risk</t>
        </is>
      </c>
      <c r="Q258" s="86" t="n">
        <v>0.41</v>
      </c>
      <c r="R258" s="86" t="n">
        <v>0.0202</v>
      </c>
      <c r="S258" s="86" t="n">
        <v>8.449999999999999</v>
      </c>
      <c r="T258" s="86" t="n">
        <v>0.0394</v>
      </c>
      <c r="U258" s="86" t="n">
        <v>0.2557</v>
      </c>
      <c r="V258" s="86" t="n">
        <v>0.0136</v>
      </c>
      <c r="W258" s="86" t="n">
        <v>2.25</v>
      </c>
      <c r="X258" s="86" t="n">
        <v>53.19</v>
      </c>
      <c r="Y258" s="86" t="n">
        <v>0</v>
      </c>
      <c r="Z258" s="86" t="inlineStr">
        <is>
          <t>CLEAR</t>
        </is>
      </c>
    </row>
    <row r="259" ht="17" customHeight="1">
      <c r="A259" s="82" t="n">
        <v>257</v>
      </c>
      <c r="B259" s="82" t="inlineStr">
        <is>
          <t>CLH</t>
        </is>
      </c>
      <c r="C259" s="82" t="inlineStr">
        <is>
          <t>CLEAN HARBORS, INC</t>
        </is>
      </c>
      <c r="D259" s="82" t="n">
        <v>1.56</v>
      </c>
      <c r="E259" s="208" t="inlineStr">
        <is>
          <t>Grey</t>
        </is>
      </c>
      <c r="F259" s="82" t="n">
        <v>4.19</v>
      </c>
      <c r="G259" s="82" t="inlineStr">
        <is>
          <t>Safe</t>
        </is>
      </c>
      <c r="H259" s="82" t="n">
        <v>0.9399999999999999</v>
      </c>
      <c r="I259" s="82" t="inlineStr">
        <is>
          <t>Healthy</t>
        </is>
      </c>
      <c r="J259" s="82" t="n">
        <v>-2.64</v>
      </c>
      <c r="K259" s="82" t="n">
        <v>0.07000000000000001</v>
      </c>
      <c r="L259" s="82" t="inlineStr">
        <is>
          <t>Healthy</t>
        </is>
      </c>
      <c r="M259" s="82" t="n">
        <v>7</v>
      </c>
      <c r="N259" s="82" t="inlineStr">
        <is>
          <t>Strong</t>
        </is>
      </c>
      <c r="O259" s="207" t="n">
        <v>1.08</v>
      </c>
      <c r="P259" s="82" t="inlineStr">
        <is>
          <t>Higher Risk</t>
        </is>
      </c>
      <c r="Q259" s="82" t="n">
        <v>2.86</v>
      </c>
      <c r="R259" s="82" t="n">
        <v>0.1424</v>
      </c>
      <c r="S259" s="82" t="n">
        <v>2.22</v>
      </c>
      <c r="T259" s="82" t="n">
        <v>0.15</v>
      </c>
      <c r="U259" s="82" t="n">
        <v>2.9403</v>
      </c>
      <c r="V259" s="82" t="n">
        <v>0.2287</v>
      </c>
      <c r="W259" s="91" t="inlineStr">
        <is>
          <t>N/A</t>
        </is>
      </c>
      <c r="X259" s="82" t="n">
        <v>53.15</v>
      </c>
      <c r="Y259" s="82" t="n">
        <v>20</v>
      </c>
      <c r="Z259" s="82" t="inlineStr">
        <is>
          <t>CLEAR</t>
        </is>
      </c>
    </row>
    <row r="260" ht="17" customHeight="1">
      <c r="A260" s="86" t="n">
        <v>258</v>
      </c>
      <c r="B260" s="86" t="inlineStr">
        <is>
          <t>CCL</t>
        </is>
      </c>
      <c r="C260" s="86" t="inlineStr">
        <is>
          <t>Carnival Corporation Ltd.</t>
        </is>
      </c>
      <c r="D260" s="86" t="n">
        <v>0.6899999999999999</v>
      </c>
      <c r="E260" s="207" t="inlineStr">
        <is>
          <t>Distress</t>
        </is>
      </c>
      <c r="F260" s="86" t="n">
        <v>0.01</v>
      </c>
      <c r="G260" s="86" t="inlineStr">
        <is>
          <t>Distress</t>
        </is>
      </c>
      <c r="H260" s="86" t="n">
        <v>0.38</v>
      </c>
      <c r="I260" s="86" t="inlineStr">
        <is>
          <t>Distress</t>
        </is>
      </c>
      <c r="J260" s="86" t="n">
        <v>1.1</v>
      </c>
      <c r="K260" s="86" t="n">
        <v>0.75</v>
      </c>
      <c r="L260" s="86" t="inlineStr">
        <is>
          <t>Distress</t>
        </is>
      </c>
      <c r="M260" s="86" t="n">
        <v>7</v>
      </c>
      <c r="N260" s="86" t="inlineStr">
        <is>
          <t>Strong</t>
        </is>
      </c>
      <c r="O260" s="207" t="n">
        <v>-2.63</v>
      </c>
      <c r="P260" s="86" t="inlineStr">
        <is>
          <t>Lower Risk</t>
        </is>
      </c>
      <c r="Q260" s="86" t="n">
        <v>3.5</v>
      </c>
      <c r="R260" s="86" t="n">
        <v>0.2247</v>
      </c>
      <c r="S260" s="86" t="n">
        <v>2.25</v>
      </c>
      <c r="T260" s="86" t="n">
        <v>0.1381</v>
      </c>
      <c r="U260" s="86" t="n">
        <v>0.07829999999999999</v>
      </c>
      <c r="V260" s="86" t="n">
        <v>0.2374</v>
      </c>
      <c r="W260" s="86" t="n">
        <v>2.17</v>
      </c>
      <c r="X260" s="86" t="n">
        <v>53.14</v>
      </c>
      <c r="Y260" s="86" t="n">
        <v>0</v>
      </c>
      <c r="Z260" s="86" t="inlineStr">
        <is>
          <t>CLEAR</t>
        </is>
      </c>
    </row>
    <row r="261" ht="17" customHeight="1">
      <c r="A261" s="82" t="n">
        <v>259</v>
      </c>
      <c r="B261" s="82" t="inlineStr">
        <is>
          <t>CNX</t>
        </is>
      </c>
      <c r="C261" s="82" t="inlineStr">
        <is>
          <t>CNX Resources Corporation</t>
        </is>
      </c>
      <c r="D261" s="91" t="inlineStr">
        <is>
          <t>N/A</t>
        </is>
      </c>
      <c r="E261" s="91" t="inlineStr">
        <is>
          <t>N/A</t>
        </is>
      </c>
      <c r="F261" s="91" t="inlineStr">
        <is>
          <t>N/A</t>
        </is>
      </c>
      <c r="G261" s="91" t="inlineStr">
        <is>
          <t>N/A</t>
        </is>
      </c>
      <c r="H261" s="91" t="inlineStr">
        <is>
          <t>N/A</t>
        </is>
      </c>
      <c r="I261" s="91" t="inlineStr">
        <is>
          <t>N/A</t>
        </is>
      </c>
      <c r="J261" s="82" t="n">
        <v>-1.68</v>
      </c>
      <c r="K261" s="82" t="n">
        <v>0.16</v>
      </c>
      <c r="L261" s="82" t="inlineStr">
        <is>
          <t>Healthy</t>
        </is>
      </c>
      <c r="M261" s="82" t="n">
        <v>8</v>
      </c>
      <c r="N261" s="82" t="inlineStr">
        <is>
          <t>Strong</t>
        </is>
      </c>
      <c r="O261" s="206" t="n">
        <v>71.86</v>
      </c>
      <c r="P261" s="82" t="inlineStr">
        <is>
          <t>Higher Risk</t>
        </is>
      </c>
      <c r="Q261" s="91" t="inlineStr">
        <is>
          <t>N/A</t>
        </is>
      </c>
      <c r="R261" s="82" t="n">
        <v>0.146</v>
      </c>
      <c r="S261" s="82" t="n">
        <v>1.63</v>
      </c>
      <c r="T261" s="82" t="n">
        <v>0.2385</v>
      </c>
      <c r="U261" s="82" t="n">
        <v>0.7675999999999999</v>
      </c>
      <c r="V261" s="91" t="inlineStr">
        <is>
          <t>N/A</t>
        </is>
      </c>
      <c r="W261" s="91" t="inlineStr">
        <is>
          <t>N/A</t>
        </is>
      </c>
      <c r="X261" s="82" t="n">
        <v>53.14</v>
      </c>
      <c r="Y261" s="82" t="n">
        <v>20</v>
      </c>
      <c r="Z261" s="82" t="inlineStr">
        <is>
          <t>CLEAR</t>
        </is>
      </c>
    </row>
    <row r="262" ht="17" customHeight="1">
      <c r="A262" s="86" t="n">
        <v>260</v>
      </c>
      <c r="B262" s="86" t="inlineStr">
        <is>
          <t>MAR</t>
        </is>
      </c>
      <c r="C262" s="86" t="inlineStr">
        <is>
          <t>MARRIOTT INTERNATIONAL INC /MD/</t>
        </is>
      </c>
      <c r="D262" s="86" t="n">
        <v>1.8</v>
      </c>
      <c r="E262" s="208" t="inlineStr">
        <is>
          <t>Grey</t>
        </is>
      </c>
      <c r="F262" s="86" t="n">
        <v>1.9</v>
      </c>
      <c r="G262" s="86" t="inlineStr">
        <is>
          <t>Grey</t>
        </is>
      </c>
      <c r="H262" s="86" t="n">
        <v>0.93</v>
      </c>
      <c r="I262" s="86" t="inlineStr">
        <is>
          <t>Healthy</t>
        </is>
      </c>
      <c r="J262" s="86" t="n">
        <v>0.92</v>
      </c>
      <c r="K262" s="86" t="n">
        <v>0.71</v>
      </c>
      <c r="L262" s="86" t="inlineStr">
        <is>
          <t>Distress</t>
        </is>
      </c>
      <c r="M262" s="86" t="n">
        <v>6</v>
      </c>
      <c r="N262" s="86" t="inlineStr">
        <is>
          <t>Mixed</t>
        </is>
      </c>
      <c r="O262" s="90" t="inlineStr">
        <is>
          <t>N/A</t>
        </is>
      </c>
      <c r="P262" s="86" t="inlineStr">
        <is>
          <t>Insufficient Data</t>
        </is>
      </c>
      <c r="Q262" s="86" t="n">
        <v>-0.08</v>
      </c>
      <c r="R262" s="86" t="n">
        <v>-0.6897</v>
      </c>
      <c r="S262" s="86" t="n">
        <v>1.23</v>
      </c>
      <c r="T262" s="86" t="n">
        <v>0.094</v>
      </c>
      <c r="U262" s="86" t="n">
        <v>0.0433</v>
      </c>
      <c r="V262" s="86" t="n">
        <v>0.1581</v>
      </c>
      <c r="W262" s="86" t="n">
        <v>7.33</v>
      </c>
      <c r="X262" s="86" t="n">
        <v>53.13</v>
      </c>
      <c r="Y262" s="86" t="n">
        <v>0</v>
      </c>
      <c r="Z262" s="86" t="inlineStr">
        <is>
          <t>CLEAR</t>
        </is>
      </c>
    </row>
    <row r="263" ht="17" customHeight="1">
      <c r="A263" s="82" t="n">
        <v>261</v>
      </c>
      <c r="B263" s="82" t="inlineStr">
        <is>
          <t>COHR</t>
        </is>
      </c>
      <c r="C263" s="82" t="inlineStr">
        <is>
          <t>COHERENT CORP.</t>
        </is>
      </c>
      <c r="D263" s="82" t="n">
        <v>0.6</v>
      </c>
      <c r="E263" s="207" t="inlineStr">
        <is>
          <t>Distress</t>
        </is>
      </c>
      <c r="F263" s="82" t="n">
        <v>2.03</v>
      </c>
      <c r="G263" s="82" t="inlineStr">
        <is>
          <t>Grey</t>
        </is>
      </c>
      <c r="H263" s="82" t="n">
        <v>0.23</v>
      </c>
      <c r="I263" s="82" t="inlineStr">
        <is>
          <t>Distress</t>
        </is>
      </c>
      <c r="J263" s="82" t="n">
        <v>-1.89</v>
      </c>
      <c r="K263" s="82" t="n">
        <v>0.13</v>
      </c>
      <c r="L263" s="82" t="inlineStr">
        <is>
          <t>Healthy</t>
        </is>
      </c>
      <c r="M263" s="82" t="n">
        <v>8</v>
      </c>
      <c r="N263" s="82" t="inlineStr">
        <is>
          <t>Strong</t>
        </is>
      </c>
      <c r="O263" s="207" t="n">
        <v>0.78</v>
      </c>
      <c r="P263" s="82" t="inlineStr">
        <is>
          <t>Higher Risk</t>
        </is>
      </c>
      <c r="Q263" s="82" t="n">
        <v>4.28</v>
      </c>
      <c r="R263" s="82" t="n">
        <v>0.008699999999999999</v>
      </c>
      <c r="S263" s="82" t="n">
        <v>12.84</v>
      </c>
      <c r="T263" s="82" t="n">
        <v>0.1663</v>
      </c>
      <c r="U263" s="82" t="n">
        <v>2.6091</v>
      </c>
      <c r="V263" s="82" t="n">
        <v>0.0829</v>
      </c>
      <c r="W263" s="82" t="n">
        <v>0.34</v>
      </c>
      <c r="X263" s="82" t="n">
        <v>53.13</v>
      </c>
      <c r="Y263" s="82" t="n">
        <v>20</v>
      </c>
      <c r="Z263" s="82" t="inlineStr">
        <is>
          <t>CLEAR</t>
        </is>
      </c>
    </row>
    <row r="264" ht="17" customHeight="1">
      <c r="A264" s="86" t="n">
        <v>262</v>
      </c>
      <c r="B264" s="86" t="inlineStr">
        <is>
          <t>BOOT</t>
        </is>
      </c>
      <c r="C264" s="86" t="inlineStr">
        <is>
          <t>BOOT BARN HOLDINGS, INC.</t>
        </is>
      </c>
      <c r="D264" s="86" t="n">
        <v>1.76</v>
      </c>
      <c r="E264" s="208" t="inlineStr">
        <is>
          <t>Grey</t>
        </is>
      </c>
      <c r="F264" s="86" t="n">
        <v>5.27</v>
      </c>
      <c r="G264" s="86" t="inlineStr">
        <is>
          <t>Safe</t>
        </is>
      </c>
      <c r="H264" s="86" t="n">
        <v>1.28</v>
      </c>
      <c r="I264" s="86" t="inlineStr">
        <is>
          <t>Healthy</t>
        </is>
      </c>
      <c r="J264" s="86" t="n">
        <v>-2.12</v>
      </c>
      <c r="K264" s="86" t="n">
        <v>0.11</v>
      </c>
      <c r="L264" s="86" t="inlineStr">
        <is>
          <t>Healthy</t>
        </is>
      </c>
      <c r="M264" s="86" t="n">
        <v>7</v>
      </c>
      <c r="N264" s="86" t="inlineStr">
        <is>
          <t>Strong</t>
        </is>
      </c>
      <c r="O264" s="207" t="n">
        <v>0.74</v>
      </c>
      <c r="P264" s="86" t="inlineStr">
        <is>
          <t>Higher Risk</t>
        </is>
      </c>
      <c r="Q264" s="86" t="n">
        <v>0.28</v>
      </c>
      <c r="R264" s="86" t="n">
        <v>0.1713</v>
      </c>
      <c r="S264" s="86" t="n">
        <v>1.35</v>
      </c>
      <c r="T264" s="86" t="n">
        <v>0.1626</v>
      </c>
      <c r="U264" s="86" t="n">
        <v>3.0303</v>
      </c>
      <c r="V264" s="86" t="n">
        <v>0.3851</v>
      </c>
      <c r="W264" s="86" t="n">
        <v>21.92</v>
      </c>
      <c r="X264" s="86" t="n">
        <v>53.13</v>
      </c>
      <c r="Y264" s="86" t="n">
        <v>20</v>
      </c>
      <c r="Z264" s="86" t="inlineStr">
        <is>
          <t>CLEAR</t>
        </is>
      </c>
    </row>
    <row r="265" ht="17" customHeight="1">
      <c r="A265" s="82" t="n">
        <v>263</v>
      </c>
      <c r="B265" s="82" t="inlineStr">
        <is>
          <t>ROP</t>
        </is>
      </c>
      <c r="C265" s="82" t="inlineStr">
        <is>
          <t>ROPER TECHNOLOGIES INC</t>
        </is>
      </c>
      <c r="D265" s="82" t="n">
        <v>1.38</v>
      </c>
      <c r="E265" s="208" t="inlineStr">
        <is>
          <t>Grey</t>
        </is>
      </c>
      <c r="F265" s="82" t="n">
        <v>3.14</v>
      </c>
      <c r="G265" s="82" t="inlineStr">
        <is>
          <t>Safe</t>
        </is>
      </c>
      <c r="H265" s="82" t="n">
        <v>0.58</v>
      </c>
      <c r="I265" s="82" t="inlineStr">
        <is>
          <t>Distress</t>
        </is>
      </c>
      <c r="J265" s="82" t="n">
        <v>-2.12</v>
      </c>
      <c r="K265" s="82" t="n">
        <v>0.11</v>
      </c>
      <c r="L265" s="82" t="inlineStr">
        <is>
          <t>Healthy</t>
        </is>
      </c>
      <c r="M265" s="82" t="n">
        <v>6</v>
      </c>
      <c r="N265" s="82" t="inlineStr">
        <is>
          <t>Mixed</t>
        </is>
      </c>
      <c r="O265" s="207" t="n">
        <v>-2.64</v>
      </c>
      <c r="P265" s="82" t="inlineStr">
        <is>
          <t>Lower Risk</t>
        </is>
      </c>
      <c r="Q265" s="82" t="n">
        <v>2.87</v>
      </c>
      <c r="R265" s="82" t="n">
        <v>0.07729999999999999</v>
      </c>
      <c r="S265" s="82" t="n">
        <v>1.65</v>
      </c>
      <c r="T265" s="82" t="n">
        <v>0.3152</v>
      </c>
      <c r="U265" s="82" t="n">
        <v>0.1226</v>
      </c>
      <c r="V265" s="82" t="n">
        <v>0.2829</v>
      </c>
      <c r="W265" s="82" t="n">
        <v>13.57</v>
      </c>
      <c r="X265" s="82" t="n">
        <v>53.12</v>
      </c>
      <c r="Y265" s="82" t="n">
        <v>0</v>
      </c>
      <c r="Z265" s="82" t="inlineStr">
        <is>
          <t>CLEAR</t>
        </is>
      </c>
    </row>
    <row r="266" ht="17" customHeight="1">
      <c r="A266" s="86" t="n">
        <v>264</v>
      </c>
      <c r="B266" s="86" t="inlineStr">
        <is>
          <t>CL</t>
        </is>
      </c>
      <c r="C266" s="86" t="inlineStr">
        <is>
          <t>COLGATE-PALMOLIVE COMPANY</t>
        </is>
      </c>
      <c r="D266" s="86" t="n">
        <v>2.9</v>
      </c>
      <c r="E266" s="206" t="inlineStr">
        <is>
          <t>Safe</t>
        </is>
      </c>
      <c r="F266" s="86" t="n">
        <v>6.21</v>
      </c>
      <c r="G266" s="86" t="inlineStr">
        <is>
          <t>Safe</t>
        </is>
      </c>
      <c r="H266" s="86" t="n">
        <v>1.22</v>
      </c>
      <c r="I266" s="86" t="inlineStr">
        <is>
          <t>Healthy</t>
        </is>
      </c>
      <c r="J266" s="86" t="n">
        <v>0.63</v>
      </c>
      <c r="K266" s="86" t="n">
        <v>0.65</v>
      </c>
      <c r="L266" s="86" t="inlineStr">
        <is>
          <t>Distress</t>
        </is>
      </c>
      <c r="M266" s="86" t="n">
        <v>5</v>
      </c>
      <c r="N266" s="86" t="inlineStr">
        <is>
          <t>Mixed</t>
        </is>
      </c>
      <c r="O266" s="207" t="n">
        <v>-3.13</v>
      </c>
      <c r="P266" s="86" t="inlineStr">
        <is>
          <t>Lower Risk</t>
        </is>
      </c>
      <c r="Q266" s="86" t="n">
        <v>1.66</v>
      </c>
      <c r="R266" s="86" t="n">
        <v>39.4815</v>
      </c>
      <c r="S266" s="86" t="n">
        <v>1.97</v>
      </c>
      <c r="T266" s="86" t="n">
        <v>0.2266</v>
      </c>
      <c r="U266" s="86" t="n">
        <v>0</v>
      </c>
      <c r="V266" s="86" t="n">
        <v>0.2139</v>
      </c>
      <c r="W266" s="86" t="n">
        <v>11.06</v>
      </c>
      <c r="X266" s="86" t="n">
        <v>53.11</v>
      </c>
      <c r="Y266" s="86" t="n">
        <v>20</v>
      </c>
      <c r="Z266" s="86" t="inlineStr">
        <is>
          <t>CLEAR</t>
        </is>
      </c>
    </row>
    <row r="267" ht="17" customHeight="1">
      <c r="A267" s="82" t="n">
        <v>265</v>
      </c>
      <c r="B267" s="82" t="inlineStr">
        <is>
          <t>ATO</t>
        </is>
      </c>
      <c r="C267" s="82" t="inlineStr">
        <is>
          <t>ATMOS ENERGY CORP</t>
        </is>
      </c>
      <c r="D267" s="82" t="n">
        <v>0.68</v>
      </c>
      <c r="E267" s="207" t="inlineStr">
        <is>
          <t>Distress</t>
        </is>
      </c>
      <c r="F267" s="82" t="n">
        <v>1.36</v>
      </c>
      <c r="G267" s="82" t="inlineStr">
        <is>
          <t>Grey</t>
        </is>
      </c>
      <c r="H267" s="82" t="n">
        <v>0.9399999999999999</v>
      </c>
      <c r="I267" s="82" t="inlineStr">
        <is>
          <t>Healthy</t>
        </is>
      </c>
      <c r="J267" s="82" t="n">
        <v>1.15</v>
      </c>
      <c r="K267" s="82" t="n">
        <v>0.76</v>
      </c>
      <c r="L267" s="82" t="inlineStr">
        <is>
          <t>Distress</t>
        </is>
      </c>
      <c r="M267" s="82" t="n">
        <v>7</v>
      </c>
      <c r="N267" s="82" t="inlineStr">
        <is>
          <t>Strong</t>
        </is>
      </c>
      <c r="O267" s="207" t="n">
        <v>-2.81</v>
      </c>
      <c r="P267" s="82" t="inlineStr">
        <is>
          <t>Lower Risk</t>
        </is>
      </c>
      <c r="Q267" s="82" t="n">
        <v>1.45</v>
      </c>
      <c r="R267" s="82" t="n">
        <v>0.08840000000000001</v>
      </c>
      <c r="S267" s="82" t="n">
        <v>1.71</v>
      </c>
      <c r="T267" s="82" t="n">
        <v>-0.3215</v>
      </c>
      <c r="U267" s="82" t="n">
        <v>0.1291</v>
      </c>
      <c r="V267" s="82" t="n">
        <v>0.3317</v>
      </c>
      <c r="W267" s="82" t="n">
        <v>11.36</v>
      </c>
      <c r="X267" s="82" t="n">
        <v>53.09</v>
      </c>
      <c r="Y267" s="82" t="n">
        <v>0</v>
      </c>
      <c r="Z267" s="82" t="inlineStr">
        <is>
          <t>CLEAR</t>
        </is>
      </c>
    </row>
    <row r="268" ht="17" customHeight="1">
      <c r="A268" s="86" t="n">
        <v>266</v>
      </c>
      <c r="B268" s="86" t="inlineStr">
        <is>
          <t>MDB</t>
        </is>
      </c>
      <c r="C268" s="86" t="inlineStr">
        <is>
          <t>MONGODB, INC.</t>
        </is>
      </c>
      <c r="D268" s="86" t="n">
        <v>2.11</v>
      </c>
      <c r="E268" s="208" t="inlineStr">
        <is>
          <t>Grey</t>
        </is>
      </c>
      <c r="F268" s="86" t="n">
        <v>6.21</v>
      </c>
      <c r="G268" s="86" t="inlineStr">
        <is>
          <t>Safe</t>
        </is>
      </c>
      <c r="H268" s="86" t="n">
        <v>0.77</v>
      </c>
      <c r="I268" s="86" t="inlineStr">
        <is>
          <t>Distress</t>
        </is>
      </c>
      <c r="J268" s="86" t="n">
        <v>-3.01</v>
      </c>
      <c r="K268" s="86" t="n">
        <v>0.05</v>
      </c>
      <c r="L268" s="86" t="inlineStr">
        <is>
          <t>Healthy</t>
        </is>
      </c>
      <c r="M268" s="86" t="n">
        <v>5</v>
      </c>
      <c r="N268" s="86" t="inlineStr">
        <is>
          <t>Mixed</t>
        </is>
      </c>
      <c r="O268" s="207" t="n">
        <v>-3.01</v>
      </c>
      <c r="P268" s="86" t="inlineStr">
        <is>
          <t>Lower Risk</t>
        </is>
      </c>
      <c r="Q268" s="86" t="n">
        <v>7.56</v>
      </c>
      <c r="R268" s="86" t="n">
        <v>-0.0241</v>
      </c>
      <c r="S268" s="86" t="n">
        <v>-7.1</v>
      </c>
      <c r="T268" s="86" t="n">
        <v>0.203</v>
      </c>
      <c r="U268" s="86" t="n">
        <v>0.2279</v>
      </c>
      <c r="V268" s="86" t="n">
        <v>-0.0556</v>
      </c>
      <c r="W268" s="86" t="n">
        <v>-43.79</v>
      </c>
      <c r="X268" s="86" t="n">
        <v>53.06</v>
      </c>
      <c r="Y268" s="86" t="n">
        <v>40</v>
      </c>
      <c r="Z268" s="86" t="inlineStr">
        <is>
          <t>WATCH</t>
        </is>
      </c>
    </row>
    <row r="269" ht="17" customHeight="1">
      <c r="A269" s="82" t="n">
        <v>267</v>
      </c>
      <c r="B269" s="82" t="inlineStr">
        <is>
          <t>ATR</t>
        </is>
      </c>
      <c r="C269" s="82" t="inlineStr">
        <is>
          <t>AptarGroup, Inc</t>
        </is>
      </c>
      <c r="D269" s="82" t="n">
        <v>1.75</v>
      </c>
      <c r="E269" s="208" t="inlineStr">
        <is>
          <t>Grey</t>
        </is>
      </c>
      <c r="F269" s="82" t="n">
        <v>3.72</v>
      </c>
      <c r="G269" s="82" t="inlineStr">
        <is>
          <t>Safe</t>
        </is>
      </c>
      <c r="H269" s="82" t="n">
        <v>1</v>
      </c>
      <c r="I269" s="82" t="inlineStr">
        <is>
          <t>Healthy</t>
        </is>
      </c>
      <c r="J269" s="82" t="n">
        <v>1.01</v>
      </c>
      <c r="K269" s="82" t="n">
        <v>0.73</v>
      </c>
      <c r="L269" s="82" t="inlineStr">
        <is>
          <t>Distress</t>
        </is>
      </c>
      <c r="M269" s="82" t="n">
        <v>6</v>
      </c>
      <c r="N269" s="82" t="inlineStr">
        <is>
          <t>Mixed</t>
        </is>
      </c>
      <c r="O269" s="207" t="n">
        <v>-3.01</v>
      </c>
      <c r="P269" s="82" t="inlineStr">
        <is>
          <t>Lower Risk</t>
        </is>
      </c>
      <c r="Q269" s="82" t="n">
        <v>-0.51</v>
      </c>
      <c r="R269" s="82" t="n">
        <v>0.1472</v>
      </c>
      <c r="S269" s="82" t="n">
        <v>1.45</v>
      </c>
      <c r="T269" s="82" t="n">
        <v>0.0793</v>
      </c>
      <c r="U269" s="82" t="n">
        <v>0.0542</v>
      </c>
      <c r="V269" s="82" t="n">
        <v>0.1326</v>
      </c>
      <c r="W269" s="82" t="n">
        <v>12.4</v>
      </c>
      <c r="X269" s="82" t="n">
        <v>52.97</v>
      </c>
      <c r="Y269" s="82" t="n">
        <v>0</v>
      </c>
      <c r="Z269" s="82" t="inlineStr">
        <is>
          <t>CLEAR</t>
        </is>
      </c>
    </row>
    <row r="270" ht="17" customHeight="1">
      <c r="A270" s="86" t="n">
        <v>268</v>
      </c>
      <c r="B270" s="86" t="inlineStr">
        <is>
          <t>JCI</t>
        </is>
      </c>
      <c r="C270" s="86" t="inlineStr">
        <is>
          <t>JOHNSON CONTROLS INTERNATIONAL PLC</t>
        </is>
      </c>
      <c r="D270" s="86" t="n">
        <v>0.98</v>
      </c>
      <c r="E270" s="207" t="inlineStr">
        <is>
          <t>Distress</t>
        </is>
      </c>
      <c r="F270" s="86" t="n">
        <v>1.67</v>
      </c>
      <c r="G270" s="86" t="inlineStr">
        <is>
          <t>Grey</t>
        </is>
      </c>
      <c r="H270" s="86" t="n">
        <v>0.27</v>
      </c>
      <c r="I270" s="86" t="inlineStr">
        <is>
          <t>Distress</t>
        </is>
      </c>
      <c r="J270" s="86" t="n">
        <v>-3.49</v>
      </c>
      <c r="K270" s="86" t="n">
        <v>0.03</v>
      </c>
      <c r="L270" s="86" t="inlineStr">
        <is>
          <t>Healthy</t>
        </is>
      </c>
      <c r="M270" s="86" t="n">
        <v>6</v>
      </c>
      <c r="N270" s="86" t="inlineStr">
        <is>
          <t>Mixed</t>
        </is>
      </c>
      <c r="O270" s="207" t="n">
        <v>-2.51</v>
      </c>
      <c r="P270" s="86" t="inlineStr">
        <is>
          <t>Lower Risk</t>
        </is>
      </c>
      <c r="Q270" s="86" t="n">
        <v>4.37</v>
      </c>
      <c r="R270" s="86" t="n">
        <v>0.2546</v>
      </c>
      <c r="S270" s="86" t="n">
        <v>0.78</v>
      </c>
      <c r="T270" s="86" t="n">
        <v>0.2138</v>
      </c>
      <c r="U270" s="86" t="n">
        <v>-0.0424</v>
      </c>
      <c r="V270" s="86" t="n">
        <v>0.0893</v>
      </c>
      <c r="W270" s="86" t="n">
        <v>3.93</v>
      </c>
      <c r="X270" s="86" t="n">
        <v>52.95</v>
      </c>
      <c r="Y270" s="86" t="n">
        <v>0</v>
      </c>
      <c r="Z270" s="86" t="inlineStr">
        <is>
          <t>CLEAR</t>
        </is>
      </c>
    </row>
    <row r="271" ht="17" customHeight="1">
      <c r="A271" s="82" t="n">
        <v>269</v>
      </c>
      <c r="B271" s="82" t="inlineStr">
        <is>
          <t>GLPI</t>
        </is>
      </c>
      <c r="C271" s="82" t="inlineStr">
        <is>
          <t>Gaming and Leisure Properties, Inc.</t>
        </is>
      </c>
      <c r="D271" s="91" t="inlineStr">
        <is>
          <t>N/A</t>
        </is>
      </c>
      <c r="E271" s="91" t="inlineStr">
        <is>
          <t>N/A</t>
        </is>
      </c>
      <c r="F271" s="91" t="inlineStr">
        <is>
          <t>N/A</t>
        </is>
      </c>
      <c r="G271" s="91" t="inlineStr">
        <is>
          <t>N/A</t>
        </is>
      </c>
      <c r="H271" s="91" t="inlineStr">
        <is>
          <t>N/A</t>
        </is>
      </c>
      <c r="I271" s="91" t="inlineStr">
        <is>
          <t>N/A</t>
        </is>
      </c>
      <c r="J271" s="91" t="inlineStr">
        <is>
          <t>N/A</t>
        </is>
      </c>
      <c r="K271" s="91" t="inlineStr">
        <is>
          <t>N/A</t>
        </is>
      </c>
      <c r="L271" s="91" t="inlineStr">
        <is>
          <t>N/A</t>
        </is>
      </c>
      <c r="M271" s="82" t="n">
        <v>7</v>
      </c>
      <c r="N271" s="82" t="inlineStr">
        <is>
          <t>Strong</t>
        </is>
      </c>
      <c r="O271" s="91" t="inlineStr">
        <is>
          <t>N/A</t>
        </is>
      </c>
      <c r="P271" s="82" t="inlineStr">
        <is>
          <t>Insufficient Data</t>
        </is>
      </c>
      <c r="Q271" s="82" t="n">
        <v>4.83</v>
      </c>
      <c r="R271" s="82" t="n">
        <v>0.1783</v>
      </c>
      <c r="S271" s="82" t="n">
        <v>1.37</v>
      </c>
      <c r="T271" s="82" t="n">
        <v>0.6995</v>
      </c>
      <c r="U271" s="82" t="n">
        <v>0.0413</v>
      </c>
      <c r="V271" s="82" t="n">
        <v>0.7534</v>
      </c>
      <c r="W271" s="82" t="n">
        <v>3.27</v>
      </c>
      <c r="X271" s="82" t="n">
        <v>52.9</v>
      </c>
      <c r="Y271" s="82" t="n">
        <v>0</v>
      </c>
      <c r="Z271" s="82" t="inlineStr">
        <is>
          <t>CLEAR</t>
        </is>
      </c>
    </row>
    <row r="272" ht="17" customHeight="1">
      <c r="A272" s="86" t="n">
        <v>270</v>
      </c>
      <c r="B272" s="86" t="inlineStr">
        <is>
          <t>ICHR</t>
        </is>
      </c>
      <c r="C272" s="86" t="inlineStr">
        <is>
          <t>Ichor Holdings, Ltd.</t>
        </is>
      </c>
      <c r="D272" s="86" t="n">
        <v>2.2</v>
      </c>
      <c r="E272" s="208" t="inlineStr">
        <is>
          <t>Grey</t>
        </is>
      </c>
      <c r="F272" s="86" t="n">
        <v>4.62</v>
      </c>
      <c r="G272" s="86" t="inlineStr">
        <is>
          <t>Safe</t>
        </is>
      </c>
      <c r="H272" s="86" t="n">
        <v>0.34</v>
      </c>
      <c r="I272" s="86" t="inlineStr">
        <is>
          <t>Distress</t>
        </is>
      </c>
      <c r="J272" s="86" t="n">
        <v>-2.39</v>
      </c>
      <c r="K272" s="86" t="n">
        <v>0.08</v>
      </c>
      <c r="L272" s="86" t="inlineStr">
        <is>
          <t>Healthy</t>
        </is>
      </c>
      <c r="M272" s="86" t="n">
        <v>5</v>
      </c>
      <c r="N272" s="86" t="inlineStr">
        <is>
          <t>Mixed</t>
        </is>
      </c>
      <c r="O272" s="207" t="n">
        <v>-2.88</v>
      </c>
      <c r="P272" s="86" t="inlineStr">
        <is>
          <t>Lower Risk</t>
        </is>
      </c>
      <c r="Q272" s="86" t="n">
        <v>-4.38</v>
      </c>
      <c r="R272" s="86" t="n">
        <v>-0.0795</v>
      </c>
      <c r="S272" s="86" t="n">
        <v>-0.57</v>
      </c>
      <c r="T272" s="86" t="n">
        <v>-0.0066</v>
      </c>
      <c r="U272" s="86" t="n">
        <v>0.1161</v>
      </c>
      <c r="V272" s="86" t="n">
        <v>-0.0414</v>
      </c>
      <c r="W272" s="86" t="n">
        <v>-2.03</v>
      </c>
      <c r="X272" s="86" t="n">
        <v>52.88</v>
      </c>
      <c r="Y272" s="86" t="n">
        <v>20</v>
      </c>
      <c r="Z272" s="86" t="inlineStr">
        <is>
          <t>CLEAR</t>
        </is>
      </c>
    </row>
    <row r="273" ht="17" customHeight="1">
      <c r="A273" s="82" t="n">
        <v>271</v>
      </c>
      <c r="B273" s="82" t="inlineStr">
        <is>
          <t>MSFT</t>
        </is>
      </c>
      <c r="C273" s="82" t="inlineStr">
        <is>
          <t>MICROSOFT CORPORATION</t>
        </is>
      </c>
      <c r="D273" s="82" t="n">
        <v>1.65</v>
      </c>
      <c r="E273" s="208" t="inlineStr">
        <is>
          <t>Grey</t>
        </is>
      </c>
      <c r="F273" s="82" t="n">
        <v>4.49</v>
      </c>
      <c r="G273" s="82" t="inlineStr">
        <is>
          <t>Safe</t>
        </is>
      </c>
      <c r="H273" s="82" t="n">
        <v>1.34</v>
      </c>
      <c r="I273" s="82" t="inlineStr">
        <is>
          <t>Healthy</t>
        </is>
      </c>
      <c r="J273" s="82" t="n">
        <v>-2.55</v>
      </c>
      <c r="K273" s="82" t="n">
        <v>0.07000000000000001</v>
      </c>
      <c r="L273" s="82" t="inlineStr">
        <is>
          <t>Healthy</t>
        </is>
      </c>
      <c r="M273" s="82" t="n">
        <v>7</v>
      </c>
      <c r="N273" s="82" t="inlineStr">
        <is>
          <t>Strong</t>
        </is>
      </c>
      <c r="O273" s="207" t="n">
        <v>0.48</v>
      </c>
      <c r="P273" s="82" t="inlineStr">
        <is>
          <t>Higher Risk</t>
        </is>
      </c>
      <c r="Q273" s="82" t="n">
        <v>0.09</v>
      </c>
      <c r="R273" s="82" t="n">
        <v>0.2965</v>
      </c>
      <c r="S273" s="82" t="n">
        <v>1.34</v>
      </c>
      <c r="T273" s="82" t="n">
        <v>1.1461</v>
      </c>
      <c r="U273" s="82" t="n">
        <v>2.8958</v>
      </c>
      <c r="V273" s="82" t="n">
        <v>2.057</v>
      </c>
      <c r="W273" s="82" t="n">
        <v>43.79</v>
      </c>
      <c r="X273" s="82" t="n">
        <v>52.84</v>
      </c>
      <c r="Y273" s="82" t="n">
        <v>20</v>
      </c>
      <c r="Z273" s="82" t="inlineStr">
        <is>
          <t>CLEAR</t>
        </is>
      </c>
    </row>
    <row r="274" ht="17" customHeight="1">
      <c r="A274" s="86" t="n">
        <v>272</v>
      </c>
      <c r="B274" s="86" t="inlineStr">
        <is>
          <t>TGT</t>
        </is>
      </c>
      <c r="C274" s="86" t="inlineStr">
        <is>
          <t>TARGET CORPORATION</t>
        </is>
      </c>
      <c r="D274" s="86" t="n">
        <v>1.72</v>
      </c>
      <c r="E274" s="208" t="inlineStr">
        <is>
          <t>Grey</t>
        </is>
      </c>
      <c r="F274" s="86" t="n">
        <v>1.24</v>
      </c>
      <c r="G274" s="86" t="inlineStr">
        <is>
          <t>Grey</t>
        </is>
      </c>
      <c r="H274" s="86" t="n">
        <v>0.88</v>
      </c>
      <c r="I274" s="86" t="inlineStr">
        <is>
          <t>Healthy</t>
        </is>
      </c>
      <c r="J274" s="86" t="n">
        <v>1.07</v>
      </c>
      <c r="K274" s="86" t="n">
        <v>0.74</v>
      </c>
      <c r="L274" s="86" t="inlineStr">
        <is>
          <t>Distress</t>
        </is>
      </c>
      <c r="M274" s="86" t="n">
        <v>6</v>
      </c>
      <c r="N274" s="86" t="inlineStr">
        <is>
          <t>Mixed</t>
        </is>
      </c>
      <c r="O274" s="90" t="inlineStr">
        <is>
          <t>N/A</t>
        </is>
      </c>
      <c r="P274" s="86" t="inlineStr">
        <is>
          <t>Insufficient Data</t>
        </is>
      </c>
      <c r="Q274" s="86" t="n">
        <v>1.15</v>
      </c>
      <c r="R274" s="86" t="n">
        <v>0.2292</v>
      </c>
      <c r="S274" s="86" t="n">
        <v>1.77</v>
      </c>
      <c r="T274" s="86" t="n">
        <v>0.039</v>
      </c>
      <c r="U274" s="86" t="n">
        <v>0.0188</v>
      </c>
      <c r="V274" s="86" t="n">
        <v>0.07049999999999999</v>
      </c>
      <c r="W274" s="86" t="n">
        <v>10.19</v>
      </c>
      <c r="X274" s="86" t="n">
        <v>52.84</v>
      </c>
      <c r="Y274" s="86" t="n">
        <v>0</v>
      </c>
      <c r="Z274" s="86" t="inlineStr">
        <is>
          <t>CLEAR</t>
        </is>
      </c>
    </row>
    <row r="275" ht="17" customHeight="1">
      <c r="A275" s="82" t="n">
        <v>273</v>
      </c>
      <c r="B275" s="82" t="inlineStr">
        <is>
          <t>AON</t>
        </is>
      </c>
      <c r="C275" s="82" t="inlineStr">
        <is>
          <t>Aon plc</t>
        </is>
      </c>
      <c r="D275" s="82" t="n">
        <v>0.6</v>
      </c>
      <c r="E275" s="207" t="inlineStr">
        <is>
          <t>Distress</t>
        </is>
      </c>
      <c r="F275" s="82" t="n">
        <v>1.13</v>
      </c>
      <c r="G275" s="82" t="inlineStr">
        <is>
          <t>Grey</t>
        </is>
      </c>
      <c r="H275" s="82" t="n">
        <v>0.53</v>
      </c>
      <c r="I275" s="82" t="inlineStr">
        <is>
          <t>Distress</t>
        </is>
      </c>
      <c r="J275" s="82" t="n">
        <v>-0.05</v>
      </c>
      <c r="K275" s="82" t="n">
        <v>0.49</v>
      </c>
      <c r="L275" s="82" t="inlineStr">
        <is>
          <t>Healthy</t>
        </is>
      </c>
      <c r="M275" s="82" t="n">
        <v>7</v>
      </c>
      <c r="N275" s="82" t="inlineStr">
        <is>
          <t>Strong</t>
        </is>
      </c>
      <c r="O275" s="91" t="inlineStr">
        <is>
          <t>N/A</t>
        </is>
      </c>
      <c r="P275" s="82" t="inlineStr">
        <is>
          <t>Insufficient Data</t>
        </is>
      </c>
      <c r="Q275" s="82" t="n">
        <v>3.11</v>
      </c>
      <c r="R275" s="82" t="n">
        <v>0.3951</v>
      </c>
      <c r="S275" s="82" t="n">
        <v>0.9399999999999999</v>
      </c>
      <c r="T275" s="82" t="n">
        <v>0.2988</v>
      </c>
      <c r="U275" s="82" t="n">
        <v>2.8881</v>
      </c>
      <c r="V275" s="82" t="n">
        <v>0.4033</v>
      </c>
      <c r="W275" s="82" t="n">
        <v>8.98</v>
      </c>
      <c r="X275" s="82" t="n">
        <v>52.84</v>
      </c>
      <c r="Y275" s="82" t="n">
        <v>0</v>
      </c>
      <c r="Z275" s="82" t="inlineStr">
        <is>
          <t>CLEAR</t>
        </is>
      </c>
    </row>
    <row r="276" ht="17" customHeight="1">
      <c r="A276" s="86" t="n">
        <v>274</v>
      </c>
      <c r="B276" s="86" t="inlineStr">
        <is>
          <t>KO</t>
        </is>
      </c>
      <c r="C276" s="86" t="inlineStr">
        <is>
          <t>COCA COLA CO</t>
        </is>
      </c>
      <c r="D276" s="86" t="n">
        <v>1.71</v>
      </c>
      <c r="E276" s="208" t="inlineStr">
        <is>
          <t>Grey</t>
        </is>
      </c>
      <c r="F276" s="86" t="n">
        <v>4.32</v>
      </c>
      <c r="G276" s="86" t="inlineStr">
        <is>
          <t>Safe</t>
        </is>
      </c>
      <c r="H276" s="86" t="n">
        <v>1.18</v>
      </c>
      <c r="I276" s="86" t="inlineStr">
        <is>
          <t>Healthy</t>
        </is>
      </c>
      <c r="J276" s="86" t="n">
        <v>0.78</v>
      </c>
      <c r="K276" s="86" t="n">
        <v>0.6899999999999999</v>
      </c>
      <c r="L276" s="86" t="inlineStr">
        <is>
          <t>Distress</t>
        </is>
      </c>
      <c r="M276" s="86" t="n">
        <v>6</v>
      </c>
      <c r="N276" s="86" t="inlineStr">
        <is>
          <t>Mixed</t>
        </is>
      </c>
      <c r="O276" s="207" t="n">
        <v>-2.49</v>
      </c>
      <c r="P276" s="86" t="inlineStr">
        <is>
          <t>Lower Risk</t>
        </is>
      </c>
      <c r="Q276" s="86" t="n">
        <v>1.84</v>
      </c>
      <c r="R276" s="86" t="n">
        <v>0.4074</v>
      </c>
      <c r="S276" s="86" t="n">
        <v>0.57</v>
      </c>
      <c r="T276" s="86" t="n">
        <v>0.1105</v>
      </c>
      <c r="U276" s="86" t="n">
        <v>0.0187</v>
      </c>
      <c r="V276" s="86" t="n">
        <v>0.2871</v>
      </c>
      <c r="W276" s="86" t="n">
        <v>8.32</v>
      </c>
      <c r="X276" s="86" t="n">
        <v>52.82</v>
      </c>
      <c r="Y276" s="86" t="n">
        <v>0</v>
      </c>
      <c r="Z276" s="86" t="inlineStr">
        <is>
          <t>CLEAR</t>
        </is>
      </c>
    </row>
    <row r="277" ht="17" customHeight="1">
      <c r="A277" s="82" t="n">
        <v>275</v>
      </c>
      <c r="B277" s="82" t="inlineStr">
        <is>
          <t>TDG</t>
        </is>
      </c>
      <c r="C277" s="82" t="inlineStr">
        <is>
          <t>TransDigm Group Incorporated</t>
        </is>
      </c>
      <c r="D277" s="82" t="n">
        <v>0.58</v>
      </c>
      <c r="E277" s="207" t="inlineStr">
        <is>
          <t>Distress</t>
        </is>
      </c>
      <c r="F277" s="82" t="n">
        <v>0.78</v>
      </c>
      <c r="G277" s="82" t="inlineStr">
        <is>
          <t>Distress</t>
        </is>
      </c>
      <c r="H277" s="82" t="n">
        <v>1.72</v>
      </c>
      <c r="I277" s="82" t="inlineStr">
        <is>
          <t>Healthy</t>
        </is>
      </c>
      <c r="J277" s="82" t="n">
        <v>3.35</v>
      </c>
      <c r="K277" s="82" t="n">
        <v>0.97</v>
      </c>
      <c r="L277" s="82" t="inlineStr">
        <is>
          <t>Distress</t>
        </is>
      </c>
      <c r="M277" s="82" t="n">
        <v>7</v>
      </c>
      <c r="N277" s="82" t="inlineStr">
        <is>
          <t>Strong</t>
        </is>
      </c>
      <c r="O277" s="207" t="n">
        <v>-2.42</v>
      </c>
      <c r="P277" s="82" t="inlineStr">
        <is>
          <t>Lower Risk</t>
        </is>
      </c>
      <c r="Q277" s="82" t="n">
        <v>5.84</v>
      </c>
      <c r="R277" s="82" t="n">
        <v>-0.2141</v>
      </c>
      <c r="S277" s="82" t="n">
        <v>0.98</v>
      </c>
      <c r="T277" s="82" t="n">
        <v>0.2056</v>
      </c>
      <c r="U277" s="82" t="n">
        <v>0.1122</v>
      </c>
      <c r="V277" s="82" t="n">
        <v>0.4716</v>
      </c>
      <c r="W277" s="82" t="n">
        <v>6.56</v>
      </c>
      <c r="X277" s="82" t="n">
        <v>52.77</v>
      </c>
      <c r="Y277" s="82" t="n">
        <v>0</v>
      </c>
      <c r="Z277" s="82" t="inlineStr">
        <is>
          <t>CLEAR</t>
        </is>
      </c>
    </row>
    <row r="278" ht="17" customHeight="1">
      <c r="A278" s="86" t="n">
        <v>276</v>
      </c>
      <c r="B278" s="86" t="inlineStr">
        <is>
          <t>ORI</t>
        </is>
      </c>
      <c r="C278" s="86" t="inlineStr">
        <is>
          <t>OLD REPUBLIC INTERNATIONAL CORP</t>
        </is>
      </c>
      <c r="D278" s="90" t="inlineStr">
        <is>
          <t>N/A</t>
        </is>
      </c>
      <c r="E278" s="90" t="inlineStr">
        <is>
          <t>N/A</t>
        </is>
      </c>
      <c r="F278" s="90" t="inlineStr">
        <is>
          <t>N/A</t>
        </is>
      </c>
      <c r="G278" s="90" t="inlineStr">
        <is>
          <t>N/A</t>
        </is>
      </c>
      <c r="H278" s="90" t="inlineStr">
        <is>
          <t>N/A</t>
        </is>
      </c>
      <c r="I278" s="90" t="inlineStr">
        <is>
          <t>N/A</t>
        </is>
      </c>
      <c r="J278" s="90" t="inlineStr">
        <is>
          <t>N/A</t>
        </is>
      </c>
      <c r="K278" s="90" t="inlineStr">
        <is>
          <t>N/A</t>
        </is>
      </c>
      <c r="L278" s="90" t="inlineStr">
        <is>
          <t>N/A</t>
        </is>
      </c>
      <c r="M278" s="86" t="n">
        <v>7</v>
      </c>
      <c r="N278" s="86" t="inlineStr">
        <is>
          <t>Strong</t>
        </is>
      </c>
      <c r="O278" s="90" t="inlineStr">
        <is>
          <t>N/A</t>
        </is>
      </c>
      <c r="P278" s="86" t="inlineStr">
        <is>
          <t>Insufficient Data</t>
        </is>
      </c>
      <c r="Q278" s="90" t="inlineStr">
        <is>
          <t>N/A</t>
        </is>
      </c>
      <c r="R278" s="86" t="n">
        <v>0.1582</v>
      </c>
      <c r="S278" s="86" t="n">
        <v>1.24</v>
      </c>
      <c r="T278" s="90" t="inlineStr">
        <is>
          <t>N/A</t>
        </is>
      </c>
      <c r="U278" s="86" t="n">
        <v>2.8237</v>
      </c>
      <c r="V278" s="90" t="inlineStr">
        <is>
          <t>N/A</t>
        </is>
      </c>
      <c r="W278" s="90" t="inlineStr">
        <is>
          <t>N/A</t>
        </is>
      </c>
      <c r="X278" s="86" t="n">
        <v>52.7</v>
      </c>
      <c r="Y278" s="86" t="n">
        <v>0</v>
      </c>
      <c r="Z278" s="86" t="inlineStr">
        <is>
          <t>CLEAR</t>
        </is>
      </c>
    </row>
    <row r="279" ht="17" customHeight="1">
      <c r="A279" s="82" t="n">
        <v>277</v>
      </c>
      <c r="B279" s="82" t="inlineStr">
        <is>
          <t>MRVL</t>
        </is>
      </c>
      <c r="C279" s="82" t="inlineStr">
        <is>
          <t>MARVELL TECHNOLOGY, INC</t>
        </is>
      </c>
      <c r="D279" s="82" t="n">
        <v>1.46</v>
      </c>
      <c r="E279" s="208" t="inlineStr">
        <is>
          <t>Grey</t>
        </is>
      </c>
      <c r="F279" s="82" t="n">
        <v>3.43</v>
      </c>
      <c r="G279" s="82" t="inlineStr">
        <is>
          <t>Safe</t>
        </is>
      </c>
      <c r="H279" s="82" t="n">
        <v>1.1</v>
      </c>
      <c r="I279" s="82" t="inlineStr">
        <is>
          <t>Healthy</t>
        </is>
      </c>
      <c r="J279" s="82" t="n">
        <v>-2.84</v>
      </c>
      <c r="K279" s="82" t="n">
        <v>0.06</v>
      </c>
      <c r="L279" s="82" t="inlineStr">
        <is>
          <t>Healthy</t>
        </is>
      </c>
      <c r="M279" s="82" t="n">
        <v>7</v>
      </c>
      <c r="N279" s="82" t="inlineStr">
        <is>
          <t>Strong</t>
        </is>
      </c>
      <c r="O279" s="207" t="n">
        <v>-1.59</v>
      </c>
      <c r="P279" s="82" t="inlineStr">
        <is>
          <t>Higher Risk</t>
        </is>
      </c>
      <c r="Q279" s="82" t="n">
        <v>1.13</v>
      </c>
      <c r="R279" s="82" t="n">
        <v>0.1866</v>
      </c>
      <c r="S279" s="82" t="n">
        <v>0.66</v>
      </c>
      <c r="T279" s="82" t="n">
        <v>0.1704</v>
      </c>
      <c r="U279" s="82" t="n">
        <v>0.4209</v>
      </c>
      <c r="V279" s="82" t="n">
        <v>0.1614</v>
      </c>
      <c r="W279" s="82" t="n">
        <v>6.25</v>
      </c>
      <c r="X279" s="82" t="n">
        <v>52.69</v>
      </c>
      <c r="Y279" s="82" t="n">
        <v>20</v>
      </c>
      <c r="Z279" s="82" t="inlineStr">
        <is>
          <t>CLEAR</t>
        </is>
      </c>
    </row>
    <row r="280" ht="17" customHeight="1">
      <c r="A280" s="86" t="n">
        <v>278</v>
      </c>
      <c r="B280" s="86" t="inlineStr">
        <is>
          <t>LNT</t>
        </is>
      </c>
      <c r="C280" s="86" t="inlineStr">
        <is>
          <t>ALLIANT ENERGY CORP</t>
        </is>
      </c>
      <c r="D280" s="86" t="n">
        <v>0.5600000000000001</v>
      </c>
      <c r="E280" s="207" t="inlineStr">
        <is>
          <t>Distress</t>
        </is>
      </c>
      <c r="F280" s="86" t="n">
        <v>1.03</v>
      </c>
      <c r="G280" s="86" t="inlineStr">
        <is>
          <t>Distress</t>
        </is>
      </c>
      <c r="H280" s="86" t="n">
        <v>0.38</v>
      </c>
      <c r="I280" s="86" t="inlineStr">
        <is>
          <t>Distress</t>
        </is>
      </c>
      <c r="J280" s="86" t="n">
        <v>1.2</v>
      </c>
      <c r="K280" s="86" t="n">
        <v>0.77</v>
      </c>
      <c r="L280" s="86" t="inlineStr">
        <is>
          <t>Distress</t>
        </is>
      </c>
      <c r="M280" s="86" t="n">
        <v>7</v>
      </c>
      <c r="N280" s="86" t="inlineStr">
        <is>
          <t>Strong</t>
        </is>
      </c>
      <c r="O280" s="207" t="n">
        <v>-2.31</v>
      </c>
      <c r="P280" s="86" t="inlineStr">
        <is>
          <t>Lower Risk</t>
        </is>
      </c>
      <c r="Q280" s="86" t="n">
        <v>1.95</v>
      </c>
      <c r="R280" s="86" t="n">
        <v>0.1104</v>
      </c>
      <c r="S280" s="86" t="n">
        <v>1.44</v>
      </c>
      <c r="T280" s="86" t="n">
        <v>-0.0722</v>
      </c>
      <c r="U280" s="86" t="n">
        <v>0.09569999999999999</v>
      </c>
      <c r="V280" s="86" t="n">
        <v>0.235</v>
      </c>
      <c r="W280" s="86" t="n">
        <v>2</v>
      </c>
      <c r="X280" s="86" t="n">
        <v>52.67</v>
      </c>
      <c r="Y280" s="86" t="n">
        <v>0</v>
      </c>
      <c r="Z280" s="86" t="inlineStr">
        <is>
          <t>CLEAR</t>
        </is>
      </c>
    </row>
    <row r="281" ht="17" customHeight="1">
      <c r="A281" s="82" t="n">
        <v>279</v>
      </c>
      <c r="B281" s="82" t="inlineStr">
        <is>
          <t>AMZN</t>
        </is>
      </c>
      <c r="C281" s="82" t="inlineStr">
        <is>
          <t>AMAZON COM INC</t>
        </is>
      </c>
      <c r="D281" s="82" t="n">
        <v>1.66</v>
      </c>
      <c r="E281" s="208" t="inlineStr">
        <is>
          <t>Grey</t>
        </is>
      </c>
      <c r="F281" s="82" t="n">
        <v>2.27</v>
      </c>
      <c r="G281" s="82" t="inlineStr">
        <is>
          <t>Grey</t>
        </is>
      </c>
      <c r="H281" s="82" t="n">
        <v>0.9399999999999999</v>
      </c>
      <c r="I281" s="82" t="inlineStr">
        <is>
          <t>Healthy</t>
        </is>
      </c>
      <c r="J281" s="82" t="n">
        <v>0.92</v>
      </c>
      <c r="K281" s="82" t="n">
        <v>0.71</v>
      </c>
      <c r="L281" s="82" t="inlineStr">
        <is>
          <t>Distress</t>
        </is>
      </c>
      <c r="M281" s="82" t="n">
        <v>6</v>
      </c>
      <c r="N281" s="82" t="inlineStr">
        <is>
          <t>Mixed</t>
        </is>
      </c>
      <c r="O281" s="207" t="n">
        <v>-2.71</v>
      </c>
      <c r="P281" s="82" t="inlineStr">
        <is>
          <t>Lower Risk</t>
        </is>
      </c>
      <c r="Q281" s="82" t="n">
        <v>-0.2</v>
      </c>
      <c r="R281" s="82" t="n">
        <v>0.1889</v>
      </c>
      <c r="S281" s="82" t="n">
        <v>1.8</v>
      </c>
      <c r="T281" s="82" t="n">
        <v>0.1852</v>
      </c>
      <c r="U281" s="82" t="n">
        <v>0.1238</v>
      </c>
      <c r="V281" s="82" t="n">
        <v>0.1116</v>
      </c>
      <c r="W281" s="82" t="n">
        <v>25.13</v>
      </c>
      <c r="X281" s="82" t="n">
        <v>52.64</v>
      </c>
      <c r="Y281" s="82" t="n">
        <v>0</v>
      </c>
      <c r="Z281" s="82" t="inlineStr">
        <is>
          <t>CLEAR</t>
        </is>
      </c>
    </row>
    <row r="282" ht="17" customHeight="1">
      <c r="A282" s="86" t="n">
        <v>280</v>
      </c>
      <c r="B282" s="86" t="inlineStr">
        <is>
          <t>PANW</t>
        </is>
      </c>
      <c r="C282" s="86" t="inlineStr">
        <is>
          <t>PALO ALTO NETWORKS, INC</t>
        </is>
      </c>
      <c r="D282" s="86" t="n">
        <v>0.54</v>
      </c>
      <c r="E282" s="207" t="inlineStr">
        <is>
          <t>Distress</t>
        </is>
      </c>
      <c r="F282" s="86" t="n">
        <v>1.09</v>
      </c>
      <c r="G282" s="86" t="inlineStr">
        <is>
          <t>Distress</t>
        </is>
      </c>
      <c r="H282" s="86" t="n">
        <v>0.31</v>
      </c>
      <c r="I282" s="86" t="inlineStr">
        <is>
          <t>Distress</t>
        </is>
      </c>
      <c r="J282" s="86" t="n">
        <v>-0.76</v>
      </c>
      <c r="K282" s="86" t="n">
        <v>0.32</v>
      </c>
      <c r="L282" s="86" t="inlineStr">
        <is>
          <t>Healthy</t>
        </is>
      </c>
      <c r="M282" s="86" t="n">
        <v>7</v>
      </c>
      <c r="N282" s="86" t="inlineStr">
        <is>
          <t>Strong</t>
        </is>
      </c>
      <c r="O282" s="207" t="n">
        <v>-2.75</v>
      </c>
      <c r="P282" s="86" t="inlineStr">
        <is>
          <t>Lower Risk</t>
        </is>
      </c>
      <c r="Q282" s="86" t="n">
        <v>-0.17</v>
      </c>
      <c r="R282" s="86" t="n">
        <v>0.1449</v>
      </c>
      <c r="S282" s="86" t="n">
        <v>3.28</v>
      </c>
      <c r="T282" s="86" t="n">
        <v>1.5265</v>
      </c>
      <c r="U282" s="86" t="n">
        <v>0.2904</v>
      </c>
      <c r="V282" s="86" t="n">
        <v>0.5468</v>
      </c>
      <c r="W282" s="86" t="n">
        <v>149.75</v>
      </c>
      <c r="X282" s="86" t="n">
        <v>52.63</v>
      </c>
      <c r="Y282" s="86" t="n">
        <v>20</v>
      </c>
      <c r="Z282" s="86" t="inlineStr">
        <is>
          <t>CLEAR</t>
        </is>
      </c>
    </row>
    <row r="283" ht="17" customHeight="1">
      <c r="A283" s="82" t="n">
        <v>281</v>
      </c>
      <c r="B283" s="82" t="inlineStr">
        <is>
          <t>ETR</t>
        </is>
      </c>
      <c r="C283" s="82" t="inlineStr">
        <is>
          <t>ENTERGY CORP /DE/</t>
        </is>
      </c>
      <c r="D283" s="82" t="n">
        <v>0.55</v>
      </c>
      <c r="E283" s="207" t="inlineStr">
        <is>
          <t>Distress</t>
        </is>
      </c>
      <c r="F283" s="82" t="n">
        <v>0.9399999999999999</v>
      </c>
      <c r="G283" s="82" t="inlineStr">
        <is>
          <t>Distress</t>
        </is>
      </c>
      <c r="H283" s="82" t="n">
        <v>0.37</v>
      </c>
      <c r="I283" s="82" t="inlineStr">
        <is>
          <t>Distress</t>
        </is>
      </c>
      <c r="J283" s="82" t="n">
        <v>1.2</v>
      </c>
      <c r="K283" s="82" t="n">
        <v>0.77</v>
      </c>
      <c r="L283" s="82" t="inlineStr">
        <is>
          <t>Distress</t>
        </is>
      </c>
      <c r="M283" s="82" t="n">
        <v>7</v>
      </c>
      <c r="N283" s="82" t="inlineStr">
        <is>
          <t>Strong</t>
        </is>
      </c>
      <c r="O283" s="207" t="n">
        <v>-3.05</v>
      </c>
      <c r="P283" s="82" t="inlineStr">
        <is>
          <t>Lower Risk</t>
        </is>
      </c>
      <c r="Q283" s="82" t="n">
        <v>6.26</v>
      </c>
      <c r="R283" s="82" t="n">
        <v>0.1392</v>
      </c>
      <c r="S283" s="82" t="n">
        <v>2.19</v>
      </c>
      <c r="T283" s="82" t="n">
        <v>-0.1957</v>
      </c>
      <c r="U283" s="82" t="n">
        <v>0.0898</v>
      </c>
      <c r="V283" s="82" t="n">
        <v>0.2473</v>
      </c>
      <c r="W283" s="82" t="n">
        <v>3.18</v>
      </c>
      <c r="X283" s="82" t="n">
        <v>52.63</v>
      </c>
      <c r="Y283" s="82" t="n">
        <v>0</v>
      </c>
      <c r="Z283" s="82" t="inlineStr">
        <is>
          <t>CLEAR</t>
        </is>
      </c>
    </row>
    <row r="284" ht="17" customHeight="1">
      <c r="A284" s="86" t="n">
        <v>282</v>
      </c>
      <c r="B284" s="86" t="inlineStr">
        <is>
          <t>DTE</t>
        </is>
      </c>
      <c r="C284" s="86" t="inlineStr">
        <is>
          <t>DTE ENERGY CO</t>
        </is>
      </c>
      <c r="D284" s="86" t="n">
        <v>0.54</v>
      </c>
      <c r="E284" s="207" t="inlineStr">
        <is>
          <t>Distress</t>
        </is>
      </c>
      <c r="F284" s="86" t="n">
        <v>0.74</v>
      </c>
      <c r="G284" s="86" t="inlineStr">
        <is>
          <t>Distress</t>
        </is>
      </c>
      <c r="H284" s="86" t="n">
        <v>0.4</v>
      </c>
      <c r="I284" s="86" t="inlineStr">
        <is>
          <t>Distress</t>
        </is>
      </c>
      <c r="J284" s="86" t="n">
        <v>1.22</v>
      </c>
      <c r="K284" s="86" t="n">
        <v>0.77</v>
      </c>
      <c r="L284" s="86" t="inlineStr">
        <is>
          <t>Distress</t>
        </is>
      </c>
      <c r="M284" s="86" t="n">
        <v>7</v>
      </c>
      <c r="N284" s="86" t="inlineStr">
        <is>
          <t>Strong</t>
        </is>
      </c>
      <c r="O284" s="207" t="n">
        <v>-2.87</v>
      </c>
      <c r="P284" s="86" t="inlineStr">
        <is>
          <t>Lower Risk</t>
        </is>
      </c>
      <c r="Q284" s="86" t="n">
        <v>5.95</v>
      </c>
      <c r="R284" s="86" t="n">
        <v>0.1188</v>
      </c>
      <c r="S284" s="86" t="n">
        <v>2.33</v>
      </c>
      <c r="T284" s="90" t="inlineStr">
        <is>
          <t>N/A</t>
        </is>
      </c>
      <c r="U284" s="86" t="n">
        <v>2.8542</v>
      </c>
      <c r="V284" s="86" t="n">
        <v>0.1883</v>
      </c>
      <c r="W284" s="86" t="n">
        <v>2.25</v>
      </c>
      <c r="X284" s="86" t="n">
        <v>52.6</v>
      </c>
      <c r="Y284" s="86" t="n">
        <v>0</v>
      </c>
      <c r="Z284" s="86" t="inlineStr">
        <is>
          <t>CLEAR</t>
        </is>
      </c>
    </row>
    <row r="285" ht="17" customHeight="1">
      <c r="A285" s="82" t="n">
        <v>283</v>
      </c>
      <c r="B285" s="82" t="inlineStr">
        <is>
          <t>EXC</t>
        </is>
      </c>
      <c r="C285" s="82" t="inlineStr">
        <is>
          <t>EXELON CORPORATION</t>
        </is>
      </c>
      <c r="D285" s="82" t="n">
        <v>0.53</v>
      </c>
      <c r="E285" s="207" t="inlineStr">
        <is>
          <t>Distress</t>
        </is>
      </c>
      <c r="F285" s="82" t="n">
        <v>0.8100000000000001</v>
      </c>
      <c r="G285" s="82" t="inlineStr">
        <is>
          <t>Distress</t>
        </is>
      </c>
      <c r="H285" s="82" t="n">
        <v>0.42</v>
      </c>
      <c r="I285" s="82" t="inlineStr">
        <is>
          <t>Distress</t>
        </is>
      </c>
      <c r="J285" s="82" t="n">
        <v>-0.1</v>
      </c>
      <c r="K285" s="82" t="n">
        <v>0.47</v>
      </c>
      <c r="L285" s="82" t="inlineStr">
        <is>
          <t>Healthy</t>
        </is>
      </c>
      <c r="M285" s="82" t="n">
        <v>7</v>
      </c>
      <c r="N285" s="82" t="inlineStr">
        <is>
          <t>Strong</t>
        </is>
      </c>
      <c r="O285" s="207" t="n">
        <v>-3.69</v>
      </c>
      <c r="P285" s="82" t="inlineStr">
        <is>
          <t>Lower Risk</t>
        </is>
      </c>
      <c r="Q285" s="82" t="n">
        <v>5.76</v>
      </c>
      <c r="R285" s="82" t="n">
        <v>0.0407</v>
      </c>
      <c r="S285" s="82" t="n">
        <v>5.34</v>
      </c>
      <c r="T285" s="82" t="n">
        <v>-0.09379999999999999</v>
      </c>
      <c r="U285" s="82" t="n">
        <v>0.0534</v>
      </c>
      <c r="V285" s="82" t="n">
        <v>0.2122</v>
      </c>
      <c r="W285" s="82" t="n">
        <v>3.2</v>
      </c>
      <c r="X285" s="82" t="n">
        <v>52.59</v>
      </c>
      <c r="Y285" s="82" t="n">
        <v>0</v>
      </c>
      <c r="Z285" s="82" t="inlineStr">
        <is>
          <t>CLEAR</t>
        </is>
      </c>
    </row>
    <row r="286" ht="17" customHeight="1">
      <c r="A286" s="86" t="n">
        <v>284</v>
      </c>
      <c r="B286" s="86" t="inlineStr">
        <is>
          <t>RCL</t>
        </is>
      </c>
      <c r="C286" s="86" t="inlineStr">
        <is>
          <t>ROYAL CARIBBEAN CRUISES LTD</t>
        </is>
      </c>
      <c r="D286" s="86" t="n">
        <v>0.51</v>
      </c>
      <c r="E286" s="207" t="inlineStr">
        <is>
          <t>Distress</t>
        </is>
      </c>
      <c r="F286" s="86" t="n">
        <v>0.04</v>
      </c>
      <c r="G286" s="86" t="inlineStr">
        <is>
          <t>Distress</t>
        </is>
      </c>
      <c r="H286" s="86" t="n">
        <v>0.38</v>
      </c>
      <c r="I286" s="86" t="inlineStr">
        <is>
          <t>Distress</t>
        </is>
      </c>
      <c r="J286" s="86" t="n">
        <v>-0.52</v>
      </c>
      <c r="K286" s="86" t="n">
        <v>0.37</v>
      </c>
      <c r="L286" s="86" t="inlineStr">
        <is>
          <t>Healthy</t>
        </is>
      </c>
      <c r="M286" s="86" t="n">
        <v>7</v>
      </c>
      <c r="N286" s="86" t="inlineStr">
        <is>
          <t>Strong</t>
        </is>
      </c>
      <c r="O286" s="207" t="n">
        <v>-3.06</v>
      </c>
      <c r="P286" s="86" t="inlineStr">
        <is>
          <t>Lower Risk</t>
        </is>
      </c>
      <c r="Q286" s="86" t="n">
        <v>1.16</v>
      </c>
      <c r="R286" s="86" t="n">
        <v>0.4252</v>
      </c>
      <c r="S286" s="86" t="n">
        <v>1.51</v>
      </c>
      <c r="T286" s="86" t="n">
        <v>0.5299</v>
      </c>
      <c r="U286" s="86" t="n">
        <v>-0.1659</v>
      </c>
      <c r="V286" s="86" t="n">
        <v>2.1052</v>
      </c>
      <c r="W286" s="86" t="n">
        <v>3.5</v>
      </c>
      <c r="X286" s="86" t="n">
        <v>52.5</v>
      </c>
      <c r="Y286" s="86" t="n">
        <v>0</v>
      </c>
      <c r="Z286" s="86" t="inlineStr">
        <is>
          <t>CLEAR</t>
        </is>
      </c>
    </row>
    <row r="287" ht="17" customHeight="1">
      <c r="A287" s="82" t="n">
        <v>285</v>
      </c>
      <c r="B287" s="82" t="inlineStr">
        <is>
          <t>AAPL</t>
        </is>
      </c>
      <c r="C287" s="82" t="inlineStr">
        <is>
          <t>Apple Inc.</t>
        </is>
      </c>
      <c r="D287" s="82" t="n">
        <v>1.93</v>
      </c>
      <c r="E287" s="208" t="inlineStr">
        <is>
          <t>Grey</t>
        </is>
      </c>
      <c r="F287" s="82" t="n">
        <v>2.31</v>
      </c>
      <c r="G287" s="82" t="inlineStr">
        <is>
          <t>Grey</t>
        </is>
      </c>
      <c r="H287" s="82" t="n">
        <v>1.91</v>
      </c>
      <c r="I287" s="82" t="inlineStr">
        <is>
          <t>Healthy</t>
        </is>
      </c>
      <c r="J287" s="82" t="n">
        <v>-1.23</v>
      </c>
      <c r="K287" s="82" t="n">
        <v>0.23</v>
      </c>
      <c r="L287" s="82" t="inlineStr">
        <is>
          <t>Healthy</t>
        </is>
      </c>
      <c r="M287" s="82" t="n">
        <v>7</v>
      </c>
      <c r="N287" s="82" t="inlineStr">
        <is>
          <t>Strong</t>
        </is>
      </c>
      <c r="O287" s="207" t="n">
        <v>1.4</v>
      </c>
      <c r="P287" s="82" t="inlineStr">
        <is>
          <t>Higher Risk</t>
        </is>
      </c>
      <c r="Q287" s="82" t="n">
        <v>0.39</v>
      </c>
      <c r="R287" s="82" t="n">
        <v>1.5191</v>
      </c>
      <c r="S287" s="82" t="n">
        <v>1</v>
      </c>
      <c r="T287" s="82" t="n">
        <v>0.3719</v>
      </c>
      <c r="U287" s="82" t="n">
        <v>3.2225</v>
      </c>
      <c r="V287" s="82" t="n">
        <v>0.501</v>
      </c>
      <c r="W287" s="82" t="n">
        <v>33.83</v>
      </c>
      <c r="X287" s="82" t="n">
        <v>52.47</v>
      </c>
      <c r="Y287" s="82" t="n">
        <v>20</v>
      </c>
      <c r="Z287" s="82" t="inlineStr">
        <is>
          <t>CLEAR</t>
        </is>
      </c>
    </row>
    <row r="288" ht="17" customHeight="1">
      <c r="A288" s="86" t="n">
        <v>286</v>
      </c>
      <c r="B288" s="86" t="inlineStr">
        <is>
          <t>HCA</t>
        </is>
      </c>
      <c r="C288" s="86" t="inlineStr">
        <is>
          <t>HCA Healthcare, Inc.</t>
        </is>
      </c>
      <c r="D288" s="86" t="n">
        <v>1.6</v>
      </c>
      <c r="E288" s="208" t="inlineStr">
        <is>
          <t>Grey</t>
        </is>
      </c>
      <c r="F288" s="86" t="n">
        <v>0.58</v>
      </c>
      <c r="G288" s="86" t="inlineStr">
        <is>
          <t>Distress</t>
        </is>
      </c>
      <c r="H288" s="86" t="n">
        <v>1.38</v>
      </c>
      <c r="I288" s="86" t="inlineStr">
        <is>
          <t>Healthy</t>
        </is>
      </c>
      <c r="J288" s="86" t="n">
        <v>-0.57</v>
      </c>
      <c r="K288" s="86" t="n">
        <v>0.36</v>
      </c>
      <c r="L288" s="86" t="inlineStr">
        <is>
          <t>Healthy</t>
        </is>
      </c>
      <c r="M288" s="86" t="n">
        <v>6</v>
      </c>
      <c r="N288" s="86" t="inlineStr">
        <is>
          <t>Mixed</t>
        </is>
      </c>
      <c r="O288" s="90" t="inlineStr">
        <is>
          <t>N/A</t>
        </is>
      </c>
      <c r="P288" s="86" t="inlineStr">
        <is>
          <t>Insufficient Data</t>
        </is>
      </c>
      <c r="Q288" s="86" t="n">
        <v>3.24</v>
      </c>
      <c r="R288" s="86" t="n">
        <v>-1.1256</v>
      </c>
      <c r="S288" s="86" t="n">
        <v>1.86</v>
      </c>
      <c r="T288" s="86" t="n">
        <v>0.1017</v>
      </c>
      <c r="U288" s="86" t="n">
        <v>0.0708</v>
      </c>
      <c r="V288" s="86" t="n">
        <v>0.1301</v>
      </c>
      <c r="W288" s="86" t="n">
        <v>4.37</v>
      </c>
      <c r="X288" s="86" t="n">
        <v>52.45</v>
      </c>
      <c r="Y288" s="86" t="n">
        <v>0</v>
      </c>
      <c r="Z288" s="86" t="inlineStr">
        <is>
          <t>CLEAR</t>
        </is>
      </c>
    </row>
    <row r="289" ht="17" customHeight="1">
      <c r="A289" s="82" t="n">
        <v>287</v>
      </c>
      <c r="B289" s="82" t="inlineStr">
        <is>
          <t>BIO</t>
        </is>
      </c>
      <c r="C289" s="82" t="inlineStr">
        <is>
          <t>Bio-Rad Laboratories, Inc.</t>
        </is>
      </c>
      <c r="D289" s="82" t="n">
        <v>2.08</v>
      </c>
      <c r="E289" s="208" t="inlineStr">
        <is>
          <t>Grey</t>
        </is>
      </c>
      <c r="F289" s="82" t="n">
        <v>6.54</v>
      </c>
      <c r="G289" s="82" t="inlineStr">
        <is>
          <t>Safe</t>
        </is>
      </c>
      <c r="H289" s="82" t="n">
        <v>1.61</v>
      </c>
      <c r="I289" s="82" t="inlineStr">
        <is>
          <t>Healthy</t>
        </is>
      </c>
      <c r="J289" s="82" t="n">
        <v>-2.96</v>
      </c>
      <c r="K289" s="82" t="n">
        <v>0.05</v>
      </c>
      <c r="L289" s="82" t="inlineStr">
        <is>
          <t>Healthy</t>
        </is>
      </c>
      <c r="M289" s="82" t="n">
        <v>5</v>
      </c>
      <c r="N289" s="82" t="inlineStr">
        <is>
          <t>Mixed</t>
        </is>
      </c>
      <c r="O289" s="207" t="n">
        <v>-2.43</v>
      </c>
      <c r="P289" s="82" t="inlineStr">
        <is>
          <t>Lower Risk</t>
        </is>
      </c>
      <c r="Q289" s="82" t="n">
        <v>3.17</v>
      </c>
      <c r="R289" s="82" t="n">
        <v>0.102</v>
      </c>
      <c r="S289" s="82" t="n">
        <v>0.7</v>
      </c>
      <c r="T289" s="82" t="n">
        <v>0.145</v>
      </c>
      <c r="U289" s="82" t="n">
        <v>0.0065</v>
      </c>
      <c r="V289" s="82" t="n">
        <v>0.0183</v>
      </c>
      <c r="W289" s="82" t="n">
        <v>0.96</v>
      </c>
      <c r="X289" s="82" t="n">
        <v>52.44</v>
      </c>
      <c r="Y289" s="82" t="n">
        <v>0</v>
      </c>
      <c r="Z289" s="82" t="inlineStr">
        <is>
          <t>CLEAR</t>
        </is>
      </c>
    </row>
    <row r="290" ht="17" customHeight="1">
      <c r="A290" s="86" t="n">
        <v>288</v>
      </c>
      <c r="B290" s="86" t="inlineStr">
        <is>
          <t>FE</t>
        </is>
      </c>
      <c r="C290" s="86" t="inlineStr">
        <is>
          <t>FIRSTENERGY CORP</t>
        </is>
      </c>
      <c r="D290" s="86" t="n">
        <v>0.49</v>
      </c>
      <c r="E290" s="207" t="inlineStr">
        <is>
          <t>Distress</t>
        </is>
      </c>
      <c r="F290" s="86" t="n">
        <v>0.31</v>
      </c>
      <c r="G290" s="86" t="inlineStr">
        <is>
          <t>Distress</t>
        </is>
      </c>
      <c r="H290" s="86" t="n">
        <v>0.38</v>
      </c>
      <c r="I290" s="86" t="inlineStr">
        <is>
          <t>Distress</t>
        </is>
      </c>
      <c r="J290" s="86" t="n">
        <v>-0.15</v>
      </c>
      <c r="K290" s="86" t="n">
        <v>0.46</v>
      </c>
      <c r="L290" s="86" t="inlineStr">
        <is>
          <t>Healthy</t>
        </is>
      </c>
      <c r="M290" s="86" t="n">
        <v>7</v>
      </c>
      <c r="N290" s="86" t="inlineStr">
        <is>
          <t>Strong</t>
        </is>
      </c>
      <c r="O290" s="207" t="n">
        <v>-2.47</v>
      </c>
      <c r="P290" s="86" t="inlineStr">
        <is>
          <t>Lower Risk</t>
        </is>
      </c>
      <c r="Q290" s="86" t="n">
        <v>-0.02</v>
      </c>
      <c r="R290" s="86" t="n">
        <v>0.0815</v>
      </c>
      <c r="S290" s="86" t="n">
        <v>3.63</v>
      </c>
      <c r="T290" s="86" t="n">
        <v>-0.06660000000000001</v>
      </c>
      <c r="U290" s="86" t="n">
        <v>0.1201</v>
      </c>
      <c r="V290" s="86" t="n">
        <v>0.1462</v>
      </c>
      <c r="W290" s="86" t="n">
        <v>1.96</v>
      </c>
      <c r="X290" s="86" t="n">
        <v>52.43</v>
      </c>
      <c r="Y290" s="86" t="n">
        <v>0</v>
      </c>
      <c r="Z290" s="86" t="inlineStr">
        <is>
          <t>CLEAR</t>
        </is>
      </c>
    </row>
    <row r="291" ht="17" customHeight="1">
      <c r="A291" s="82" t="n">
        <v>289</v>
      </c>
      <c r="B291" s="82" t="inlineStr">
        <is>
          <t>UPS</t>
        </is>
      </c>
      <c r="C291" s="82" t="inlineStr">
        <is>
          <t>United Parcel Service, Inc</t>
        </is>
      </c>
      <c r="D291" s="82" t="n">
        <v>1.59</v>
      </c>
      <c r="E291" s="208" t="inlineStr">
        <is>
          <t>Grey</t>
        </is>
      </c>
      <c r="F291" s="82" t="n">
        <v>2.16</v>
      </c>
      <c r="G291" s="82" t="inlineStr">
        <is>
          <t>Grey</t>
        </is>
      </c>
      <c r="H291" s="82" t="n">
        <v>1.04</v>
      </c>
      <c r="I291" s="82" t="inlineStr">
        <is>
          <t>Healthy</t>
        </is>
      </c>
      <c r="J291" s="82" t="n">
        <v>1</v>
      </c>
      <c r="K291" s="82" t="n">
        <v>0.73</v>
      </c>
      <c r="L291" s="82" t="inlineStr">
        <is>
          <t>Distress</t>
        </is>
      </c>
      <c r="M291" s="82" t="n">
        <v>6</v>
      </c>
      <c r="N291" s="82" t="inlineStr">
        <is>
          <t>Mixed</t>
        </is>
      </c>
      <c r="O291" s="91" t="inlineStr">
        <is>
          <t>N/A</t>
        </is>
      </c>
      <c r="P291" s="82" t="inlineStr">
        <is>
          <t>Insufficient Data</t>
        </is>
      </c>
      <c r="Q291" s="82" t="n">
        <v>1.52</v>
      </c>
      <c r="R291" s="82" t="n">
        <v>0.3434</v>
      </c>
      <c r="S291" s="82" t="n">
        <v>1.52</v>
      </c>
      <c r="T291" s="82" t="n">
        <v>0.0723</v>
      </c>
      <c r="U291" s="82" t="n">
        <v>2.4984</v>
      </c>
      <c r="V291" s="82" t="n">
        <v>0.1194</v>
      </c>
      <c r="W291" s="82" t="n">
        <v>10.02</v>
      </c>
      <c r="X291" s="82" t="n">
        <v>52.41</v>
      </c>
      <c r="Y291" s="82" t="n">
        <v>0</v>
      </c>
      <c r="Z291" s="82" t="inlineStr">
        <is>
          <t>CLEAR</t>
        </is>
      </c>
    </row>
    <row r="292" ht="17" customHeight="1">
      <c r="A292" s="86" t="n">
        <v>290</v>
      </c>
      <c r="B292" s="86" t="inlineStr">
        <is>
          <t>EFX</t>
        </is>
      </c>
      <c r="C292" s="86" t="inlineStr">
        <is>
          <t>EQUIFAX INC</t>
        </is>
      </c>
      <c r="D292" s="86" t="n">
        <v>1.47</v>
      </c>
      <c r="E292" s="208" t="inlineStr">
        <is>
          <t>Grey</t>
        </is>
      </c>
      <c r="F292" s="86" t="n">
        <v>2.56</v>
      </c>
      <c r="G292" s="86" t="inlineStr">
        <is>
          <t>Grey</t>
        </is>
      </c>
      <c r="H292" s="86" t="n">
        <v>0.66</v>
      </c>
      <c r="I292" s="86" t="inlineStr">
        <is>
          <t>Distress</t>
        </is>
      </c>
      <c r="J292" s="86" t="n">
        <v>-1.17</v>
      </c>
      <c r="K292" s="86" t="n">
        <v>0.24</v>
      </c>
      <c r="L292" s="86" t="inlineStr">
        <is>
          <t>Healthy</t>
        </is>
      </c>
      <c r="M292" s="86" t="n">
        <v>6</v>
      </c>
      <c r="N292" s="86" t="inlineStr">
        <is>
          <t>Mixed</t>
        </is>
      </c>
      <c r="O292" s="207" t="n">
        <v>-2.82</v>
      </c>
      <c r="P292" s="86" t="inlineStr">
        <is>
          <t>Lower Risk</t>
        </is>
      </c>
      <c r="Q292" s="86" t="n">
        <v>2.72</v>
      </c>
      <c r="R292" s="86" t="n">
        <v>0.1434</v>
      </c>
      <c r="S292" s="86" t="n">
        <v>2.45</v>
      </c>
      <c r="T292" s="86" t="n">
        <v>0.1867</v>
      </c>
      <c r="U292" s="86" t="n">
        <v>0.0692</v>
      </c>
      <c r="V292" s="86" t="n">
        <v>0.1803</v>
      </c>
      <c r="W292" s="86" t="n">
        <v>4.54</v>
      </c>
      <c r="X292" s="86" t="n">
        <v>52.39</v>
      </c>
      <c r="Y292" s="86" t="n">
        <v>0</v>
      </c>
      <c r="Z292" s="86" t="inlineStr">
        <is>
          <t>CLEAR</t>
        </is>
      </c>
    </row>
    <row r="293" ht="17" customHeight="1">
      <c r="A293" s="82" t="n">
        <v>291</v>
      </c>
      <c r="B293" s="82" t="inlineStr">
        <is>
          <t>NOC</t>
        </is>
      </c>
      <c r="C293" s="82" t="inlineStr">
        <is>
          <t>NORTHROP GRUMMAN CORP /DE/</t>
        </is>
      </c>
      <c r="D293" s="82" t="n">
        <v>1.58</v>
      </c>
      <c r="E293" s="208" t="inlineStr">
        <is>
          <t>Grey</t>
        </is>
      </c>
      <c r="F293" s="82" t="n">
        <v>2.33</v>
      </c>
      <c r="G293" s="82" t="inlineStr">
        <is>
          <t>Grey</t>
        </is>
      </c>
      <c r="H293" s="82" t="n">
        <v>0.87</v>
      </c>
      <c r="I293" s="82" t="inlineStr">
        <is>
          <t>Healthy</t>
        </is>
      </c>
      <c r="J293" s="82" t="n">
        <v>-0.86</v>
      </c>
      <c r="K293" s="82" t="n">
        <v>0.3</v>
      </c>
      <c r="L293" s="82" t="inlineStr">
        <is>
          <t>Healthy</t>
        </is>
      </c>
      <c r="M293" s="82" t="n">
        <v>6</v>
      </c>
      <c r="N293" s="82" t="inlineStr">
        <is>
          <t>Mixed</t>
        </is>
      </c>
      <c r="O293" s="207" t="n">
        <v>-2.55</v>
      </c>
      <c r="P293" s="82" t="inlineStr">
        <is>
          <t>Lower Risk</t>
        </is>
      </c>
      <c r="Q293" s="82" t="n">
        <v>1.89</v>
      </c>
      <c r="R293" s="82" t="n">
        <v>0.2508</v>
      </c>
      <c r="S293" s="82" t="n">
        <v>1.14</v>
      </c>
      <c r="T293" s="82" t="n">
        <v>0.0788</v>
      </c>
      <c r="U293" s="82" t="n">
        <v>0.0224</v>
      </c>
      <c r="V293" s="82" t="n">
        <v>0.1075</v>
      </c>
      <c r="W293" s="91" t="inlineStr">
        <is>
          <t>N/A</t>
        </is>
      </c>
      <c r="X293" s="82" t="n">
        <v>52.38</v>
      </c>
      <c r="Y293" s="82" t="n">
        <v>0</v>
      </c>
      <c r="Z293" s="82" t="inlineStr">
        <is>
          <t>CLEAR</t>
        </is>
      </c>
    </row>
    <row r="294" ht="17" customHeight="1">
      <c r="A294" s="86" t="n">
        <v>292</v>
      </c>
      <c r="B294" s="86" t="inlineStr">
        <is>
          <t>STRL</t>
        </is>
      </c>
      <c r="C294" s="86" t="inlineStr">
        <is>
          <t>Sterling Infrastructure, Inc.</t>
        </is>
      </c>
      <c r="D294" s="86" t="n">
        <v>1.43</v>
      </c>
      <c r="E294" s="208" t="inlineStr">
        <is>
          <t>Grey</t>
        </is>
      </c>
      <c r="F294" s="86" t="n">
        <v>2.91</v>
      </c>
      <c r="G294" s="86" t="inlineStr">
        <is>
          <t>Safe</t>
        </is>
      </c>
      <c r="H294" s="90" t="inlineStr">
        <is>
          <t>N/A</t>
        </is>
      </c>
      <c r="I294" s="90" t="inlineStr">
        <is>
          <t>N/A</t>
        </is>
      </c>
      <c r="J294" s="86" t="n">
        <v>-1.54</v>
      </c>
      <c r="K294" s="86" t="n">
        <v>0.18</v>
      </c>
      <c r="L294" s="86" t="inlineStr">
        <is>
          <t>Healthy</t>
        </is>
      </c>
      <c r="M294" s="86" t="n">
        <v>6</v>
      </c>
      <c r="N294" s="86" t="inlineStr">
        <is>
          <t>Mixed</t>
        </is>
      </c>
      <c r="O294" s="90" t="inlineStr">
        <is>
          <t>N/A</t>
        </is>
      </c>
      <c r="P294" s="86" t="inlineStr">
        <is>
          <t>Insufficient Data</t>
        </is>
      </c>
      <c r="Q294" s="86" t="n">
        <v>-0.62</v>
      </c>
      <c r="R294" s="86" t="n">
        <v>0.2617</v>
      </c>
      <c r="S294" s="86" t="n">
        <v>1.52</v>
      </c>
      <c r="T294" s="86" t="n">
        <v>0.3786</v>
      </c>
      <c r="U294" s="86" t="n">
        <v>2.7728</v>
      </c>
      <c r="V294" s="86" t="n">
        <v>0.4237</v>
      </c>
      <c r="W294" s="86" t="n">
        <v>41.42</v>
      </c>
      <c r="X294" s="86" t="n">
        <v>52.36</v>
      </c>
      <c r="Y294" s="86" t="n">
        <v>0</v>
      </c>
      <c r="Z294" s="86" t="inlineStr">
        <is>
          <t>CLEAR</t>
        </is>
      </c>
    </row>
    <row r="295" ht="17" customHeight="1">
      <c r="A295" s="82" t="n">
        <v>293</v>
      </c>
      <c r="B295" s="82" t="inlineStr">
        <is>
          <t>RH</t>
        </is>
      </c>
      <c r="C295" s="82" t="inlineStr">
        <is>
          <t>RH</t>
        </is>
      </c>
      <c r="D295" s="82" t="n">
        <v>0.46</v>
      </c>
      <c r="E295" s="207" t="inlineStr">
        <is>
          <t>Distress</t>
        </is>
      </c>
      <c r="F295" s="82" t="n">
        <v>0.53</v>
      </c>
      <c r="G295" s="82" t="inlineStr">
        <is>
          <t>Distress</t>
        </is>
      </c>
      <c r="H295" s="82" t="n">
        <v>0.44</v>
      </c>
      <c r="I295" s="82" t="inlineStr">
        <is>
          <t>Distress</t>
        </is>
      </c>
      <c r="J295" s="82" t="n">
        <v>1.16</v>
      </c>
      <c r="K295" s="82" t="n">
        <v>0.76</v>
      </c>
      <c r="L295" s="82" t="inlineStr">
        <is>
          <t>Distress</t>
        </is>
      </c>
      <c r="M295" s="82" t="n">
        <v>7</v>
      </c>
      <c r="N295" s="82" t="inlineStr">
        <is>
          <t>Strong</t>
        </is>
      </c>
      <c r="O295" s="207" t="n">
        <v>-2.6</v>
      </c>
      <c r="P295" s="82" t="inlineStr">
        <is>
          <t>Lower Risk</t>
        </is>
      </c>
      <c r="Q295" s="82" t="n">
        <v>-0.07000000000000001</v>
      </c>
      <c r="R295" s="82" t="n">
        <v>2.0592</v>
      </c>
      <c r="S295" s="82" t="n">
        <v>3.62</v>
      </c>
      <c r="T295" s="82" t="n">
        <v>0.2116</v>
      </c>
      <c r="U295" s="82" t="n">
        <v>0.2452</v>
      </c>
      <c r="V295" s="82" t="n">
        <v>0.3246</v>
      </c>
      <c r="W295" s="82" t="n">
        <v>1.63</v>
      </c>
      <c r="X295" s="82" t="n">
        <v>52.33</v>
      </c>
      <c r="Y295" s="82" t="n">
        <v>0</v>
      </c>
      <c r="Z295" s="82" t="inlineStr">
        <is>
          <t>CLEAR</t>
        </is>
      </c>
    </row>
    <row r="296" ht="17" customHeight="1">
      <c r="A296" s="86" t="n">
        <v>294</v>
      </c>
      <c r="B296" s="86" t="inlineStr">
        <is>
          <t>BAH</t>
        </is>
      </c>
      <c r="C296" s="86" t="inlineStr">
        <is>
          <t>BOOZ ALLEN HAMILTON HOLDING CORPORATION</t>
        </is>
      </c>
      <c r="D296" s="86" t="n">
        <v>2.67</v>
      </c>
      <c r="E296" s="208" t="inlineStr">
        <is>
          <t>Grey</t>
        </is>
      </c>
      <c r="F296" s="86" t="n">
        <v>4.03</v>
      </c>
      <c r="G296" s="86" t="inlineStr">
        <is>
          <t>Safe</t>
        </is>
      </c>
      <c r="H296" s="86" t="n">
        <v>1.61</v>
      </c>
      <c r="I296" s="86" t="inlineStr">
        <is>
          <t>Healthy</t>
        </is>
      </c>
      <c r="J296" s="86" t="n">
        <v>-0.07000000000000001</v>
      </c>
      <c r="K296" s="86" t="n">
        <v>0.48</v>
      </c>
      <c r="L296" s="86" t="inlineStr">
        <is>
          <t>Healthy</t>
        </is>
      </c>
      <c r="M296" s="86" t="n">
        <v>5</v>
      </c>
      <c r="N296" s="86" t="inlineStr">
        <is>
          <t>Mixed</t>
        </is>
      </c>
      <c r="O296" s="207" t="n">
        <v>-2.65</v>
      </c>
      <c r="P296" s="86" t="inlineStr">
        <is>
          <t>Lower Risk</t>
        </is>
      </c>
      <c r="Q296" s="86" t="n">
        <v>2.69</v>
      </c>
      <c r="R296" s="86" t="n">
        <v>0.7701</v>
      </c>
      <c r="S296" s="86" t="n">
        <v>1.22</v>
      </c>
      <c r="T296" s="86" t="n">
        <v>0.0858</v>
      </c>
      <c r="U296" s="86" t="n">
        <v>-0.06370000000000001</v>
      </c>
      <c r="V296" s="86" t="n">
        <v>0.0921</v>
      </c>
      <c r="W296" s="86" t="n">
        <v>5.97</v>
      </c>
      <c r="X296" s="86" t="n">
        <v>52.27</v>
      </c>
      <c r="Y296" s="86" t="n">
        <v>0</v>
      </c>
      <c r="Z296" s="86" t="inlineStr">
        <is>
          <t>CLEAR</t>
        </is>
      </c>
    </row>
    <row r="297" ht="17" customHeight="1">
      <c r="A297" s="82" t="n">
        <v>295</v>
      </c>
      <c r="B297" s="82" t="inlineStr">
        <is>
          <t>UBER</t>
        </is>
      </c>
      <c r="C297" s="82" t="inlineStr">
        <is>
          <t>UBER TECHNOLOGIES, INC.</t>
        </is>
      </c>
      <c r="D297" s="82" t="n">
        <v>1.33</v>
      </c>
      <c r="E297" s="208" t="inlineStr">
        <is>
          <t>Grey</t>
        </is>
      </c>
      <c r="F297" s="82" t="n">
        <v>1.06</v>
      </c>
      <c r="G297" s="82" t="inlineStr">
        <is>
          <t>Distress</t>
        </is>
      </c>
      <c r="H297" s="82" t="n">
        <v>0.89</v>
      </c>
      <c r="I297" s="82" t="inlineStr">
        <is>
          <t>Healthy</t>
        </is>
      </c>
      <c r="J297" s="82" t="n">
        <v>-1.97</v>
      </c>
      <c r="K297" s="82" t="n">
        <v>0.12</v>
      </c>
      <c r="L297" s="82" t="inlineStr">
        <is>
          <t>Healthy</t>
        </is>
      </c>
      <c r="M297" s="82" t="n">
        <v>6</v>
      </c>
      <c r="N297" s="82" t="inlineStr">
        <is>
          <t>Mixed</t>
        </is>
      </c>
      <c r="O297" s="91" t="inlineStr">
        <is>
          <t>N/A</t>
        </is>
      </c>
      <c r="P297" s="82" t="inlineStr">
        <is>
          <t>Insufficient Data</t>
        </is>
      </c>
      <c r="Q297" s="82" t="n">
        <v>0.5600000000000001</v>
      </c>
      <c r="R297" s="82" t="n">
        <v>0.3718</v>
      </c>
      <c r="S297" s="82" t="n">
        <v>1</v>
      </c>
      <c r="T297" s="82" t="n">
        <v>0.1877</v>
      </c>
      <c r="U297" s="82" t="n">
        <v>0.1828</v>
      </c>
      <c r="V297" s="82" t="n">
        <v>0.107</v>
      </c>
      <c r="W297" s="82" t="n">
        <v>8.789999999999999</v>
      </c>
      <c r="X297" s="82" t="n">
        <v>52.22</v>
      </c>
      <c r="Y297" s="82" t="n">
        <v>0</v>
      </c>
      <c r="Z297" s="82" t="inlineStr">
        <is>
          <t>CLEAR</t>
        </is>
      </c>
    </row>
    <row r="298" ht="17" customHeight="1">
      <c r="A298" s="86" t="n">
        <v>296</v>
      </c>
      <c r="B298" s="86" t="inlineStr">
        <is>
          <t>SFM</t>
        </is>
      </c>
      <c r="C298" s="86" t="inlineStr">
        <is>
          <t>Sprouts Farmers Market, Inc.</t>
        </is>
      </c>
      <c r="D298" s="86" t="n">
        <v>2.94</v>
      </c>
      <c r="E298" s="206" t="inlineStr">
        <is>
          <t>Safe</t>
        </is>
      </c>
      <c r="F298" s="86" t="n">
        <v>1.99</v>
      </c>
      <c r="G298" s="86" t="inlineStr">
        <is>
          <t>Grey</t>
        </is>
      </c>
      <c r="H298" s="86" t="n">
        <v>1.86</v>
      </c>
      <c r="I298" s="86" t="inlineStr">
        <is>
          <t>Healthy</t>
        </is>
      </c>
      <c r="J298" s="86" t="n">
        <v>-1.14</v>
      </c>
      <c r="K298" s="86" t="n">
        <v>0.24</v>
      </c>
      <c r="L298" s="86" t="inlineStr">
        <is>
          <t>Healthy</t>
        </is>
      </c>
      <c r="M298" s="86" t="n">
        <v>6</v>
      </c>
      <c r="N298" s="86" t="inlineStr">
        <is>
          <t>Mixed</t>
        </is>
      </c>
      <c r="O298" s="207" t="n">
        <v>-1.81</v>
      </c>
      <c r="P298" s="86" t="inlineStr">
        <is>
          <t>Higher Risk</t>
        </is>
      </c>
      <c r="Q298" s="86" t="n">
        <v>-0.16</v>
      </c>
      <c r="R298" s="86" t="n">
        <v>0.3732</v>
      </c>
      <c r="S298" s="86" t="n">
        <v>1.37</v>
      </c>
      <c r="T298" s="86" t="n">
        <v>0.0531</v>
      </c>
      <c r="U298" s="86" t="n">
        <v>0.1408</v>
      </c>
      <c r="V298" s="86" t="n">
        <v>0.0779</v>
      </c>
      <c r="W298" s="86" t="n">
        <v>25.01</v>
      </c>
      <c r="X298" s="86" t="n">
        <v>52.16</v>
      </c>
      <c r="Y298" s="86" t="n">
        <v>20</v>
      </c>
      <c r="Z298" s="86" t="inlineStr">
        <is>
          <t>CLEAR</t>
        </is>
      </c>
    </row>
    <row r="299" ht="17" customHeight="1">
      <c r="A299" s="82" t="n">
        <v>297</v>
      </c>
      <c r="B299" s="82" t="inlineStr">
        <is>
          <t>D</t>
        </is>
      </c>
      <c r="C299" s="82" t="inlineStr">
        <is>
          <t>DOMINION ENERGY, INC</t>
        </is>
      </c>
      <c r="D299" s="82" t="n">
        <v>0.41</v>
      </c>
      <c r="E299" s="207" t="inlineStr">
        <is>
          <t>Distress</t>
        </is>
      </c>
      <c r="F299" s="82" t="n">
        <v>0.5600000000000001</v>
      </c>
      <c r="G299" s="82" t="inlineStr">
        <is>
          <t>Distress</t>
        </is>
      </c>
      <c r="H299" s="82" t="n">
        <v>0.38</v>
      </c>
      <c r="I299" s="82" t="inlineStr">
        <is>
          <t>Distress</t>
        </is>
      </c>
      <c r="J299" s="82" t="n">
        <v>-0.41</v>
      </c>
      <c r="K299" s="82" t="n">
        <v>0.4</v>
      </c>
      <c r="L299" s="82" t="inlineStr">
        <is>
          <t>Healthy</t>
        </is>
      </c>
      <c r="M299" s="82" t="n">
        <v>7</v>
      </c>
      <c r="N299" s="82" t="inlineStr">
        <is>
          <t>Strong</t>
        </is>
      </c>
      <c r="O299" s="91" t="inlineStr">
        <is>
          <t>N/A</t>
        </is>
      </c>
      <c r="P299" s="82" t="inlineStr">
        <is>
          <t>Insufficient Data</t>
        </is>
      </c>
      <c r="Q299" s="82" t="n">
        <v>6.78</v>
      </c>
      <c r="R299" s="82" t="n">
        <v>0.1031</v>
      </c>
      <c r="S299" s="82" t="n">
        <v>1.79</v>
      </c>
      <c r="T299" s="82" t="n">
        <v>0.0231</v>
      </c>
      <c r="U299" s="82" t="n">
        <v>3.0327</v>
      </c>
      <c r="V299" s="82" t="n">
        <v>0.2674</v>
      </c>
      <c r="W299" s="91" t="inlineStr">
        <is>
          <t>N/A</t>
        </is>
      </c>
      <c r="X299" s="82" t="n">
        <v>52.16</v>
      </c>
      <c r="Y299" s="82" t="n">
        <v>0</v>
      </c>
      <c r="Z299" s="82" t="inlineStr">
        <is>
          <t>CLEAR</t>
        </is>
      </c>
    </row>
    <row r="300" ht="17" customHeight="1">
      <c r="A300" s="86" t="n">
        <v>298</v>
      </c>
      <c r="B300" s="86" t="inlineStr">
        <is>
          <t>CACI</t>
        </is>
      </c>
      <c r="C300" s="86" t="inlineStr">
        <is>
          <t>CACI International Inc</t>
        </is>
      </c>
      <c r="D300" s="86" t="n">
        <v>1.62</v>
      </c>
      <c r="E300" s="208" t="inlineStr">
        <is>
          <t>Grey</t>
        </is>
      </c>
      <c r="F300" s="86" t="n">
        <v>3.64</v>
      </c>
      <c r="G300" s="86" t="inlineStr">
        <is>
          <t>Safe</t>
        </is>
      </c>
      <c r="H300" s="86" t="n">
        <v>0.88</v>
      </c>
      <c r="I300" s="86" t="inlineStr">
        <is>
          <t>Healthy</t>
        </is>
      </c>
      <c r="J300" s="86" t="n">
        <v>-1.47</v>
      </c>
      <c r="K300" s="86" t="n">
        <v>0.19</v>
      </c>
      <c r="L300" s="86" t="inlineStr">
        <is>
          <t>Healthy</t>
        </is>
      </c>
      <c r="M300" s="86" t="n">
        <v>7</v>
      </c>
      <c r="N300" s="86" t="inlineStr">
        <is>
          <t>Strong</t>
        </is>
      </c>
      <c r="O300" s="208" t="n">
        <v>41.38</v>
      </c>
      <c r="P300" s="86" t="inlineStr">
        <is>
          <t>Higher Risk</t>
        </is>
      </c>
      <c r="Q300" s="86" t="n">
        <v>2.93</v>
      </c>
      <c r="R300" s="86" t="n">
        <v>0.1421</v>
      </c>
      <c r="S300" s="86" t="n">
        <v>1.09</v>
      </c>
      <c r="T300" s="86" t="n">
        <v>0.1077</v>
      </c>
      <c r="U300" s="86" t="n">
        <v>2.8184</v>
      </c>
      <c r="V300" s="86" t="n">
        <v>0.171</v>
      </c>
      <c r="W300" s="86" t="n">
        <v>9.109999999999999</v>
      </c>
      <c r="X300" s="86" t="n">
        <v>52.11</v>
      </c>
      <c r="Y300" s="86" t="n">
        <v>20</v>
      </c>
      <c r="Z300" s="86" t="inlineStr">
        <is>
          <t>CLEAR</t>
        </is>
      </c>
    </row>
    <row r="301" ht="17" customHeight="1">
      <c r="A301" s="82" t="n">
        <v>299</v>
      </c>
      <c r="B301" s="82" t="inlineStr">
        <is>
          <t>ORLY</t>
        </is>
      </c>
      <c r="C301" s="82" t="inlineStr">
        <is>
          <t>O Reilly Automotive Inc</t>
        </is>
      </c>
      <c r="D301" s="82" t="n">
        <v>1.5</v>
      </c>
      <c r="E301" s="208" t="inlineStr">
        <is>
          <t>Grey</t>
        </is>
      </c>
      <c r="F301" s="82" t="n">
        <v>0.09</v>
      </c>
      <c r="G301" s="82" t="inlineStr">
        <is>
          <t>Distress</t>
        </is>
      </c>
      <c r="H301" s="82" t="n">
        <v>1.19</v>
      </c>
      <c r="I301" s="82" t="inlineStr">
        <is>
          <t>Healthy</t>
        </is>
      </c>
      <c r="J301" s="82" t="n">
        <v>0.65</v>
      </c>
      <c r="K301" s="82" t="n">
        <v>0.66</v>
      </c>
      <c r="L301" s="82" t="inlineStr">
        <is>
          <t>Distress</t>
        </is>
      </c>
      <c r="M301" s="82" t="n">
        <v>6</v>
      </c>
      <c r="N301" s="82" t="inlineStr">
        <is>
          <t>Mixed</t>
        </is>
      </c>
      <c r="O301" s="207" t="n">
        <v>-2.61</v>
      </c>
      <c r="P301" s="82" t="inlineStr">
        <is>
          <t>Lower Risk</t>
        </is>
      </c>
      <c r="Q301" s="82" t="n">
        <v>0.43</v>
      </c>
      <c r="R301" s="82" t="n">
        <v>-3.3251</v>
      </c>
      <c r="S301" s="82" t="n">
        <v>1.09</v>
      </c>
      <c r="T301" s="82" t="n">
        <v>0.0896</v>
      </c>
      <c r="U301" s="82" t="n">
        <v>0.06419999999999999</v>
      </c>
      <c r="V301" s="82" t="n">
        <v>0.1946</v>
      </c>
      <c r="W301" s="82" t="n">
        <v>14.72</v>
      </c>
      <c r="X301" s="82" t="n">
        <v>52.07</v>
      </c>
      <c r="Y301" s="82" t="n">
        <v>0</v>
      </c>
      <c r="Z301" s="82" t="inlineStr">
        <is>
          <t>CLEAR</t>
        </is>
      </c>
    </row>
    <row r="302" ht="17" customHeight="1">
      <c r="A302" s="86" t="n">
        <v>300</v>
      </c>
      <c r="B302" s="86" t="inlineStr">
        <is>
          <t>NI</t>
        </is>
      </c>
      <c r="C302" s="86" t="inlineStr">
        <is>
          <t>NISOURCE INC.</t>
        </is>
      </c>
      <c r="D302" s="86" t="n">
        <v>0.38</v>
      </c>
      <c r="E302" s="207" t="inlineStr">
        <is>
          <t>Distress</t>
        </is>
      </c>
      <c r="F302" s="86" t="n">
        <v>0.39</v>
      </c>
      <c r="G302" s="86" t="inlineStr">
        <is>
          <t>Distress</t>
        </is>
      </c>
      <c r="H302" s="86" t="n">
        <v>0.41</v>
      </c>
      <c r="I302" s="86" t="inlineStr">
        <is>
          <t>Distress</t>
        </is>
      </c>
      <c r="J302" s="86" t="n">
        <v>1.23</v>
      </c>
      <c r="K302" s="86" t="n">
        <v>0.77</v>
      </c>
      <c r="L302" s="86" t="inlineStr">
        <is>
          <t>Distress</t>
        </is>
      </c>
      <c r="M302" s="86" t="n">
        <v>7</v>
      </c>
      <c r="N302" s="86" t="inlineStr">
        <is>
          <t>Strong</t>
        </is>
      </c>
      <c r="O302" s="207" t="n">
        <v>-2.5</v>
      </c>
      <c r="P302" s="86" t="inlineStr">
        <is>
          <t>Lower Risk</t>
        </is>
      </c>
      <c r="Q302" s="86" t="n">
        <v>2.1</v>
      </c>
      <c r="R302" s="86" t="n">
        <v>0.0984</v>
      </c>
      <c r="S302" s="86" t="n">
        <v>2.54</v>
      </c>
      <c r="T302" s="86" t="n">
        <v>-0.0862</v>
      </c>
      <c r="U302" s="86" t="n">
        <v>0.0851</v>
      </c>
      <c r="V302" s="86" t="n">
        <v>0.3765</v>
      </c>
      <c r="W302" s="86" t="n">
        <v>3.75</v>
      </c>
      <c r="X302" s="86" t="n">
        <v>52.04</v>
      </c>
      <c r="Y302" s="86" t="n">
        <v>0</v>
      </c>
      <c r="Z302" s="86" t="inlineStr">
        <is>
          <t>CLEAR</t>
        </is>
      </c>
    </row>
    <row r="303" ht="17" customHeight="1">
      <c r="A303" s="82" t="n">
        <v>301</v>
      </c>
      <c r="B303" s="82" t="inlineStr">
        <is>
          <t>DHI</t>
        </is>
      </c>
      <c r="C303" s="82" t="inlineStr">
        <is>
          <t>D.R. Horton, Inc.</t>
        </is>
      </c>
      <c r="D303" s="91" t="inlineStr">
        <is>
          <t>N/A</t>
        </is>
      </c>
      <c r="E303" s="91" t="inlineStr">
        <is>
          <t>N/A</t>
        </is>
      </c>
      <c r="F303" s="91" t="inlineStr">
        <is>
          <t>N/A</t>
        </is>
      </c>
      <c r="G303" s="91" t="inlineStr">
        <is>
          <t>N/A</t>
        </is>
      </c>
      <c r="H303" s="91" t="inlineStr">
        <is>
          <t>N/A</t>
        </is>
      </c>
      <c r="I303" s="91" t="inlineStr">
        <is>
          <t>N/A</t>
        </is>
      </c>
      <c r="J303" s="91" t="inlineStr">
        <is>
          <t>N/A</t>
        </is>
      </c>
      <c r="K303" s="91" t="inlineStr">
        <is>
          <t>N/A</t>
        </is>
      </c>
      <c r="L303" s="91" t="inlineStr">
        <is>
          <t>N/A</t>
        </is>
      </c>
      <c r="M303" s="82" t="n">
        <v>4</v>
      </c>
      <c r="N303" s="82" t="inlineStr">
        <is>
          <t>Mixed</t>
        </is>
      </c>
      <c r="O303" s="91" t="inlineStr">
        <is>
          <t>N/A</t>
        </is>
      </c>
      <c r="P303" s="82" t="inlineStr">
        <is>
          <t>Insufficient Data</t>
        </is>
      </c>
      <c r="Q303" s="82" t="n">
        <v>-0.62</v>
      </c>
      <c r="R303" s="82" t="n">
        <v>0.1482</v>
      </c>
      <c r="S303" s="82" t="n">
        <v>0.95</v>
      </c>
      <c r="T303" s="82" t="n">
        <v>0.0959</v>
      </c>
      <c r="U303" s="82" t="n">
        <v>-0.0693</v>
      </c>
      <c r="V303" s="82" t="n">
        <v>0.1384</v>
      </c>
      <c r="W303" s="91" t="inlineStr">
        <is>
          <t>N/A</t>
        </is>
      </c>
      <c r="X303" s="82" t="n">
        <v>51.98</v>
      </c>
      <c r="Y303" s="82" t="n">
        <v>0</v>
      </c>
      <c r="Z303" s="82" t="inlineStr">
        <is>
          <t>CLEAR</t>
        </is>
      </c>
    </row>
    <row r="304" ht="17" customHeight="1">
      <c r="A304" s="86" t="n">
        <v>302</v>
      </c>
      <c r="B304" s="86" t="inlineStr">
        <is>
          <t>MKC</t>
        </is>
      </c>
      <c r="C304" s="86" t="inlineStr">
        <is>
          <t>McCORMICK &amp; COMPANY, INCORPORATED</t>
        </is>
      </c>
      <c r="D304" s="86" t="n">
        <v>1.29</v>
      </c>
      <c r="E304" s="208" t="inlineStr">
        <is>
          <t>Grey</t>
        </is>
      </c>
      <c r="F304" s="86" t="n">
        <v>1.84</v>
      </c>
      <c r="G304" s="86" t="inlineStr">
        <is>
          <t>Grey</t>
        </is>
      </c>
      <c r="H304" s="86" t="n">
        <v>0.52</v>
      </c>
      <c r="I304" s="86" t="inlineStr">
        <is>
          <t>Distress</t>
        </is>
      </c>
      <c r="J304" s="86" t="n">
        <v>-1.41</v>
      </c>
      <c r="K304" s="86" t="n">
        <v>0.2</v>
      </c>
      <c r="L304" s="86" t="inlineStr">
        <is>
          <t>Healthy</t>
        </is>
      </c>
      <c r="M304" s="86" t="n">
        <v>6</v>
      </c>
      <c r="N304" s="86" t="inlineStr">
        <is>
          <t>Mixed</t>
        </is>
      </c>
      <c r="O304" s="207" t="n">
        <v>-2.44</v>
      </c>
      <c r="P304" s="86" t="inlineStr">
        <is>
          <t>Lower Risk</t>
        </is>
      </c>
      <c r="Q304" s="86" t="n">
        <v>3</v>
      </c>
      <c r="R304" s="86" t="n">
        <v>0.1376</v>
      </c>
      <c r="S304" s="86" t="n">
        <v>1.22</v>
      </c>
      <c r="T304" s="86" t="n">
        <v>0.1024</v>
      </c>
      <c r="U304" s="86" t="n">
        <v>0.0173</v>
      </c>
      <c r="V304" s="86" t="n">
        <v>0.1565</v>
      </c>
      <c r="W304" s="86" t="n">
        <v>5.46</v>
      </c>
      <c r="X304" s="86" t="n">
        <v>51.96</v>
      </c>
      <c r="Y304" s="86" t="n">
        <v>0</v>
      </c>
      <c r="Z304" s="86" t="inlineStr">
        <is>
          <t>CLEAR</t>
        </is>
      </c>
    </row>
    <row r="305" ht="17" customHeight="1">
      <c r="A305" s="82" t="n">
        <v>303</v>
      </c>
      <c r="B305" s="82" t="inlineStr">
        <is>
          <t>ROST</t>
        </is>
      </c>
      <c r="C305" s="82" t="inlineStr">
        <is>
          <t>Ross Stores, Inc.</t>
        </is>
      </c>
      <c r="D305" s="82" t="n">
        <v>2.56</v>
      </c>
      <c r="E305" s="208" t="inlineStr">
        <is>
          <t>Grey</t>
        </is>
      </c>
      <c r="F305" s="82" t="n">
        <v>3.77</v>
      </c>
      <c r="G305" s="82" t="inlineStr">
        <is>
          <t>Safe</t>
        </is>
      </c>
      <c r="H305" s="82" t="n">
        <v>1.69</v>
      </c>
      <c r="I305" s="82" t="inlineStr">
        <is>
          <t>Healthy</t>
        </is>
      </c>
      <c r="J305" s="82" t="n">
        <v>0.73</v>
      </c>
      <c r="K305" s="82" t="n">
        <v>0.67</v>
      </c>
      <c r="L305" s="82" t="inlineStr">
        <is>
          <t>Distress</t>
        </is>
      </c>
      <c r="M305" s="82" t="n">
        <v>5</v>
      </c>
      <c r="N305" s="82" t="inlineStr">
        <is>
          <t>Mixed</t>
        </is>
      </c>
      <c r="O305" s="207" t="n">
        <v>-2.63</v>
      </c>
      <c r="P305" s="82" t="inlineStr">
        <is>
          <t>Lower Risk</t>
        </is>
      </c>
      <c r="Q305" s="82" t="n">
        <v>-0.96</v>
      </c>
      <c r="R305" s="82" t="n">
        <v>0.3467</v>
      </c>
      <c r="S305" s="82" t="n">
        <v>1.41</v>
      </c>
      <c r="T305" s="82" t="n">
        <v>0.097</v>
      </c>
      <c r="U305" s="82" t="n">
        <v>0.0767</v>
      </c>
      <c r="V305" s="82" t="n">
        <v>0.119</v>
      </c>
      <c r="W305" s="82" t="n">
        <v>206.06</v>
      </c>
      <c r="X305" s="82" t="n">
        <v>51.89</v>
      </c>
      <c r="Y305" s="82" t="n">
        <v>0</v>
      </c>
      <c r="Z305" s="82" t="inlineStr">
        <is>
          <t>CLEAR</t>
        </is>
      </c>
    </row>
    <row r="306" ht="17" customHeight="1">
      <c r="A306" s="86" t="n">
        <v>304</v>
      </c>
      <c r="B306" s="86" t="inlineStr">
        <is>
          <t>AMT</t>
        </is>
      </c>
      <c r="C306" s="86" t="inlineStr">
        <is>
          <t>AMERICAN TOWER CORP /MA/</t>
        </is>
      </c>
      <c r="D306" s="86" t="n">
        <v>0.32</v>
      </c>
      <c r="E306" s="207" t="inlineStr">
        <is>
          <t>Distress</t>
        </is>
      </c>
      <c r="F306" s="86" t="n">
        <v>-0.11</v>
      </c>
      <c r="G306" s="86" t="inlineStr">
        <is>
          <t>Distress</t>
        </is>
      </c>
      <c r="H306" s="86" t="n">
        <v>0.53</v>
      </c>
      <c r="I306" s="86" t="inlineStr">
        <is>
          <t>Distress</t>
        </is>
      </c>
      <c r="J306" s="86" t="n">
        <v>0.29</v>
      </c>
      <c r="K306" s="86" t="n">
        <v>0.57</v>
      </c>
      <c r="L306" s="86" t="inlineStr">
        <is>
          <t>Distress</t>
        </is>
      </c>
      <c r="M306" s="86" t="n">
        <v>7</v>
      </c>
      <c r="N306" s="86" t="inlineStr">
        <is>
          <t>Strong</t>
        </is>
      </c>
      <c r="O306" s="207" t="n">
        <v>-2.68</v>
      </c>
      <c r="P306" s="86" t="inlineStr">
        <is>
          <t>Lower Risk</t>
        </is>
      </c>
      <c r="Q306" s="86" t="n">
        <v>6.29</v>
      </c>
      <c r="R306" s="86" t="n">
        <v>0.4629</v>
      </c>
      <c r="S306" s="86" t="n">
        <v>3.23</v>
      </c>
      <c r="T306" s="86" t="n">
        <v>0.3554</v>
      </c>
      <c r="U306" s="86" t="n">
        <v>0.0511</v>
      </c>
      <c r="V306" s="86" t="n">
        <v>0.4552</v>
      </c>
      <c r="W306" s="86" t="n">
        <v>3.47</v>
      </c>
      <c r="X306" s="86" t="n">
        <v>51.84</v>
      </c>
      <c r="Y306" s="86" t="n">
        <v>0</v>
      </c>
      <c r="Z306" s="86" t="inlineStr">
        <is>
          <t>CLEAR</t>
        </is>
      </c>
    </row>
    <row r="307" ht="17" customHeight="1">
      <c r="A307" s="82" t="n">
        <v>305</v>
      </c>
      <c r="B307" s="82" t="inlineStr">
        <is>
          <t>LLY</t>
        </is>
      </c>
      <c r="C307" s="82" t="inlineStr">
        <is>
          <t>ELI LILLY &amp; Co</t>
        </is>
      </c>
      <c r="D307" s="82" t="n">
        <v>1.7</v>
      </c>
      <c r="E307" s="208" t="inlineStr">
        <is>
          <t>Grey</t>
        </is>
      </c>
      <c r="F307" s="82" t="n">
        <v>3.68</v>
      </c>
      <c r="G307" s="82" t="inlineStr">
        <is>
          <t>Safe</t>
        </is>
      </c>
      <c r="H307" s="82" t="n">
        <v>1.6</v>
      </c>
      <c r="I307" s="82" t="inlineStr">
        <is>
          <t>Healthy</t>
        </is>
      </c>
      <c r="J307" s="82" t="n">
        <v>0.52</v>
      </c>
      <c r="K307" s="82" t="n">
        <v>0.63</v>
      </c>
      <c r="L307" s="82" t="inlineStr">
        <is>
          <t>Distress</t>
        </is>
      </c>
      <c r="M307" s="82" t="n">
        <v>7</v>
      </c>
      <c r="N307" s="82" t="inlineStr">
        <is>
          <t>Strong</t>
        </is>
      </c>
      <c r="O307" s="207" t="n">
        <v>-2.01</v>
      </c>
      <c r="P307" s="82" t="inlineStr">
        <is>
          <t>Higher Risk</t>
        </is>
      </c>
      <c r="Q307" s="82" t="n">
        <v>0.8</v>
      </c>
      <c r="R307" s="82" t="n">
        <v>0.7778</v>
      </c>
      <c r="S307" s="82" t="n">
        <v>0.8100000000000001</v>
      </c>
      <c r="T307" s="91" t="inlineStr">
        <is>
          <t>N/A</t>
        </is>
      </c>
      <c r="U307" s="82" t="n">
        <v>0.447</v>
      </c>
      <c r="V307" s="82" t="n">
        <v>0.3948</v>
      </c>
      <c r="W307" s="82" t="n">
        <v>52.96</v>
      </c>
      <c r="X307" s="82" t="n">
        <v>51.68</v>
      </c>
      <c r="Y307" s="82" t="n">
        <v>20</v>
      </c>
      <c r="Z307" s="82" t="inlineStr">
        <is>
          <t>CLEAR</t>
        </is>
      </c>
    </row>
    <row r="308" ht="17" customHeight="1">
      <c r="A308" s="86" t="n">
        <v>306</v>
      </c>
      <c r="B308" s="86" t="inlineStr">
        <is>
          <t>POOL</t>
        </is>
      </c>
      <c r="C308" s="86" t="inlineStr">
        <is>
          <t>POOL CORPORATION</t>
        </is>
      </c>
      <c r="D308" s="86" t="n">
        <v>2.49</v>
      </c>
      <c r="E308" s="208" t="inlineStr">
        <is>
          <t>Grey</t>
        </is>
      </c>
      <c r="F308" s="86" t="n">
        <v>4.02</v>
      </c>
      <c r="G308" s="86" t="inlineStr">
        <is>
          <t>Safe</t>
        </is>
      </c>
      <c r="H308" s="86" t="n">
        <v>1.77</v>
      </c>
      <c r="I308" s="86" t="inlineStr">
        <is>
          <t>Healthy</t>
        </is>
      </c>
      <c r="J308" s="86" t="n">
        <v>-1.01</v>
      </c>
      <c r="K308" s="86" t="n">
        <v>0.27</v>
      </c>
      <c r="L308" s="86" t="inlineStr">
        <is>
          <t>Healthy</t>
        </is>
      </c>
      <c r="M308" s="86" t="n">
        <v>5</v>
      </c>
      <c r="N308" s="86" t="inlineStr">
        <is>
          <t>Mixed</t>
        </is>
      </c>
      <c r="O308" s="207" t="n">
        <v>-2.44</v>
      </c>
      <c r="P308" s="86" t="inlineStr">
        <is>
          <t>Lower Risk</t>
        </is>
      </c>
      <c r="Q308" s="86" t="n">
        <v>1.04</v>
      </c>
      <c r="R308" s="86" t="n">
        <v>0.3429</v>
      </c>
      <c r="S308" s="86" t="n">
        <v>0.9</v>
      </c>
      <c r="T308" s="86" t="n">
        <v>0.0585</v>
      </c>
      <c r="U308" s="86" t="n">
        <v>-0.0041</v>
      </c>
      <c r="V308" s="86" t="n">
        <v>0.1097</v>
      </c>
      <c r="W308" s="86" t="n">
        <v>72.84999999999999</v>
      </c>
      <c r="X308" s="86" t="n">
        <v>51.67</v>
      </c>
      <c r="Y308" s="86" t="n">
        <v>0</v>
      </c>
      <c r="Z308" s="86" t="inlineStr">
        <is>
          <t>CLEAR</t>
        </is>
      </c>
    </row>
    <row r="309" ht="17" customHeight="1">
      <c r="A309" s="82" t="n">
        <v>307</v>
      </c>
      <c r="B309" s="82" t="inlineStr">
        <is>
          <t>EPRT</t>
        </is>
      </c>
      <c r="C309" s="82" t="inlineStr">
        <is>
          <t>Essential Properties Realty Trust, Inc.</t>
        </is>
      </c>
      <c r="D309" s="91" t="inlineStr">
        <is>
          <t>N/A</t>
        </is>
      </c>
      <c r="E309" s="91" t="inlineStr">
        <is>
          <t>N/A</t>
        </is>
      </c>
      <c r="F309" s="91" t="inlineStr">
        <is>
          <t>N/A</t>
        </is>
      </c>
      <c r="G309" s="91" t="inlineStr">
        <is>
          <t>N/A</t>
        </is>
      </c>
      <c r="H309" s="91" t="inlineStr">
        <is>
          <t>N/A</t>
        </is>
      </c>
      <c r="I309" s="91" t="inlineStr">
        <is>
          <t>N/A</t>
        </is>
      </c>
      <c r="J309" s="91" t="inlineStr">
        <is>
          <t>N/A</t>
        </is>
      </c>
      <c r="K309" s="91" t="inlineStr">
        <is>
          <t>N/A</t>
        </is>
      </c>
      <c r="L309" s="91" t="inlineStr">
        <is>
          <t>N/A</t>
        </is>
      </c>
      <c r="M309" s="82" t="n">
        <v>6</v>
      </c>
      <c r="N309" s="82" t="inlineStr">
        <is>
          <t>Mixed</t>
        </is>
      </c>
      <c r="O309" s="91" t="inlineStr">
        <is>
          <t>N/A</t>
        </is>
      </c>
      <c r="P309" s="82" t="inlineStr">
        <is>
          <t>Insufficient Data</t>
        </is>
      </c>
      <c r="Q309" s="82" t="n">
        <v>4.81</v>
      </c>
      <c r="R309" s="82" t="n">
        <v>0.0602</v>
      </c>
      <c r="S309" s="82" t="n">
        <v>1.51</v>
      </c>
      <c r="T309" s="82" t="n">
        <v>0.676</v>
      </c>
      <c r="U309" s="82" t="n">
        <v>0.2482</v>
      </c>
      <c r="V309" s="82" t="n">
        <v>0.6413</v>
      </c>
      <c r="W309" s="82" t="n">
        <v>6.84</v>
      </c>
      <c r="X309" s="82" t="n">
        <v>51.65</v>
      </c>
      <c r="Y309" s="82" t="n">
        <v>0</v>
      </c>
      <c r="Z309" s="82" t="inlineStr">
        <is>
          <t>CLEAR</t>
        </is>
      </c>
    </row>
    <row r="310" ht="17" customHeight="1">
      <c r="A310" s="86" t="n">
        <v>308</v>
      </c>
      <c r="B310" s="86" t="inlineStr">
        <is>
          <t>NMIH</t>
        </is>
      </c>
      <c r="C310" s="86" t="inlineStr">
        <is>
          <t>NMI Holdings, Inc.</t>
        </is>
      </c>
      <c r="D310" s="90" t="inlineStr">
        <is>
          <t>N/A</t>
        </is>
      </c>
      <c r="E310" s="90" t="inlineStr">
        <is>
          <t>N/A</t>
        </is>
      </c>
      <c r="F310" s="90" t="inlineStr">
        <is>
          <t>N/A</t>
        </is>
      </c>
      <c r="G310" s="90" t="inlineStr">
        <is>
          <t>N/A</t>
        </is>
      </c>
      <c r="H310" s="90" t="inlineStr">
        <is>
          <t>N/A</t>
        </is>
      </c>
      <c r="I310" s="90" t="inlineStr">
        <is>
          <t>N/A</t>
        </is>
      </c>
      <c r="J310" s="90" t="inlineStr">
        <is>
          <t>N/A</t>
        </is>
      </c>
      <c r="K310" s="90" t="inlineStr">
        <is>
          <t>N/A</t>
        </is>
      </c>
      <c r="L310" s="90" t="inlineStr">
        <is>
          <t>N/A</t>
        </is>
      </c>
      <c r="M310" s="86" t="n">
        <v>5</v>
      </c>
      <c r="N310" s="86" t="inlineStr">
        <is>
          <t>Mixed</t>
        </is>
      </c>
      <c r="O310" s="90" t="inlineStr">
        <is>
          <t>N/A</t>
        </is>
      </c>
      <c r="P310" s="86" t="inlineStr">
        <is>
          <t>Insufficient Data</t>
        </is>
      </c>
      <c r="Q310" s="86" t="n">
        <v>0.74</v>
      </c>
      <c r="R310" s="86" t="n">
        <v>0.15</v>
      </c>
      <c r="S310" s="86" t="n">
        <v>1.08</v>
      </c>
      <c r="T310" s="86" t="n">
        <v>0.5839</v>
      </c>
      <c r="U310" s="86" t="n">
        <v>0.0852</v>
      </c>
      <c r="V310" s="86" t="n">
        <v>0.7075</v>
      </c>
      <c r="W310" s="86" t="n">
        <v>15.52</v>
      </c>
      <c r="X310" s="86" t="n">
        <v>51.62</v>
      </c>
      <c r="Y310" s="86" t="n">
        <v>0</v>
      </c>
      <c r="Z310" s="86" t="inlineStr">
        <is>
          <t>CLEAR</t>
        </is>
      </c>
    </row>
    <row r="311" ht="17" customHeight="1">
      <c r="A311" s="82" t="n">
        <v>309</v>
      </c>
      <c r="B311" s="82" t="inlineStr">
        <is>
          <t>DELL</t>
        </is>
      </c>
      <c r="C311" s="82" t="inlineStr">
        <is>
          <t>Dell Technologies Inc.</t>
        </is>
      </c>
      <c r="D311" s="82" t="n">
        <v>1.35</v>
      </c>
      <c r="E311" s="208" t="inlineStr">
        <is>
          <t>Grey</t>
        </is>
      </c>
      <c r="F311" s="82" t="n">
        <v>0.26</v>
      </c>
      <c r="G311" s="82" t="inlineStr">
        <is>
          <t>Distress</t>
        </is>
      </c>
      <c r="H311" s="82" t="n">
        <v>0.71</v>
      </c>
      <c r="I311" s="82" t="inlineStr">
        <is>
          <t>Distress</t>
        </is>
      </c>
      <c r="J311" s="82" t="n">
        <v>1.22</v>
      </c>
      <c r="K311" s="82" t="n">
        <v>0.77</v>
      </c>
      <c r="L311" s="82" t="inlineStr">
        <is>
          <t>Distress</t>
        </is>
      </c>
      <c r="M311" s="82" t="n">
        <v>6</v>
      </c>
      <c r="N311" s="82" t="inlineStr">
        <is>
          <t>Mixed</t>
        </is>
      </c>
      <c r="O311" s="207" t="n">
        <v>-2.26</v>
      </c>
      <c r="P311" s="82" t="inlineStr">
        <is>
          <t>Lower Risk</t>
        </is>
      </c>
      <c r="Q311" s="82" t="n">
        <v>1.79</v>
      </c>
      <c r="R311" s="82" t="n">
        <v>-2.4032</v>
      </c>
      <c r="S311" s="82" t="n">
        <v>1.88</v>
      </c>
      <c r="T311" s="82" t="n">
        <v>0.07530000000000001</v>
      </c>
      <c r="U311" s="82" t="n">
        <v>0.188</v>
      </c>
      <c r="V311" s="82" t="n">
        <v>0.0718</v>
      </c>
      <c r="W311" s="82" t="n">
        <v>5.43</v>
      </c>
      <c r="X311" s="82" t="n">
        <v>51.55</v>
      </c>
      <c r="Y311" s="82" t="n">
        <v>0</v>
      </c>
      <c r="Z311" s="82" t="inlineStr">
        <is>
          <t>CLEAR</t>
        </is>
      </c>
    </row>
    <row r="312" ht="17" customHeight="1">
      <c r="A312" s="86" t="n">
        <v>310</v>
      </c>
      <c r="B312" s="86" t="inlineStr">
        <is>
          <t>RGLD</t>
        </is>
      </c>
      <c r="C312" s="86" t="inlineStr">
        <is>
          <t>Royal Gold, Inc</t>
        </is>
      </c>
      <c r="D312" s="86" t="n">
        <v>1.73</v>
      </c>
      <c r="E312" s="208" t="inlineStr">
        <is>
          <t>Grey</t>
        </is>
      </c>
      <c r="F312" s="86" t="n">
        <v>4.27</v>
      </c>
      <c r="G312" s="86" t="inlineStr">
        <is>
          <t>Safe</t>
        </is>
      </c>
      <c r="H312" s="86" t="n">
        <v>3.41</v>
      </c>
      <c r="I312" s="86" t="inlineStr">
        <is>
          <t>Healthy</t>
        </is>
      </c>
      <c r="J312" s="86" t="n">
        <v>-3.16</v>
      </c>
      <c r="K312" s="86" t="n">
        <v>0.04</v>
      </c>
      <c r="L312" s="86" t="inlineStr">
        <is>
          <t>Healthy</t>
        </is>
      </c>
      <c r="M312" s="86" t="n">
        <v>5</v>
      </c>
      <c r="N312" s="86" t="inlineStr">
        <is>
          <t>Mixed</t>
        </is>
      </c>
      <c r="O312" s="90" t="inlineStr">
        <is>
          <t>N/A</t>
        </is>
      </c>
      <c r="P312" s="86" t="inlineStr">
        <is>
          <t>Insufficient Data</t>
        </is>
      </c>
      <c r="Q312" s="86" t="n">
        <v>1.04</v>
      </c>
      <c r="R312" s="86" t="n">
        <v>0.06510000000000001</v>
      </c>
      <c r="S312" s="86" t="n">
        <v>1.51</v>
      </c>
      <c r="T312" s="90" t="inlineStr">
        <is>
          <t>N/A</t>
        </is>
      </c>
      <c r="U312" s="86" t="n">
        <v>0.4324</v>
      </c>
      <c r="V312" s="86" t="n">
        <v>0.6193</v>
      </c>
      <c r="W312" s="86" t="n">
        <v>36.07</v>
      </c>
      <c r="X312" s="86" t="n">
        <v>51.54</v>
      </c>
      <c r="Y312" s="86" t="n">
        <v>0</v>
      </c>
      <c r="Z312" s="86" t="inlineStr">
        <is>
          <t>CLEAR</t>
        </is>
      </c>
    </row>
    <row r="313" ht="17" customHeight="1">
      <c r="A313" s="82" t="n">
        <v>311</v>
      </c>
      <c r="B313" s="82" t="inlineStr">
        <is>
          <t>USB</t>
        </is>
      </c>
      <c r="C313" s="82" t="inlineStr">
        <is>
          <t>US BANCORP \DE\</t>
        </is>
      </c>
      <c r="D313" s="91" t="inlineStr">
        <is>
          <t>N/A</t>
        </is>
      </c>
      <c r="E313" s="91" t="inlineStr">
        <is>
          <t>N/A</t>
        </is>
      </c>
      <c r="F313" s="91" t="inlineStr">
        <is>
          <t>N/A</t>
        </is>
      </c>
      <c r="G313" s="91" t="inlineStr">
        <is>
          <t>N/A</t>
        </is>
      </c>
      <c r="H313" s="91" t="inlineStr">
        <is>
          <t>N/A</t>
        </is>
      </c>
      <c r="I313" s="91" t="inlineStr">
        <is>
          <t>N/A</t>
        </is>
      </c>
      <c r="J313" s="91" t="inlineStr">
        <is>
          <t>N/A</t>
        </is>
      </c>
      <c r="K313" s="91" t="inlineStr">
        <is>
          <t>N/A</t>
        </is>
      </c>
      <c r="L313" s="91" t="inlineStr">
        <is>
          <t>N/A</t>
        </is>
      </c>
      <c r="M313" s="82" t="n">
        <v>7</v>
      </c>
      <c r="N313" s="82" t="inlineStr">
        <is>
          <t>Strong</t>
        </is>
      </c>
      <c r="O313" s="91" t="inlineStr">
        <is>
          <t>N/A</t>
        </is>
      </c>
      <c r="P313" s="82" t="inlineStr">
        <is>
          <t>Insufficient Data</t>
        </is>
      </c>
      <c r="Q313" s="82" t="n">
        <v>3.15</v>
      </c>
      <c r="R313" s="82" t="n">
        <v>0.1161</v>
      </c>
      <c r="S313" s="82" t="n">
        <v>1.05</v>
      </c>
      <c r="T313" s="91" t="inlineStr">
        <is>
          <t>N/A</t>
        </is>
      </c>
      <c r="U313" s="82" t="n">
        <v>0.0437</v>
      </c>
      <c r="V313" s="82" t="n">
        <v>0.3321</v>
      </c>
      <c r="W313" s="82" t="n">
        <v>0.75</v>
      </c>
      <c r="X313" s="82" t="n">
        <v>51.52</v>
      </c>
      <c r="Y313" s="82" t="n">
        <v>0</v>
      </c>
      <c r="Z313" s="82" t="inlineStr">
        <is>
          <t>CLEAR</t>
        </is>
      </c>
    </row>
    <row r="314" ht="17" customHeight="1">
      <c r="A314" s="86" t="n">
        <v>312</v>
      </c>
      <c r="B314" s="86" t="inlineStr">
        <is>
          <t>MSTR</t>
        </is>
      </c>
      <c r="C314" s="86" t="inlineStr">
        <is>
          <t>STRATEGY INC</t>
        </is>
      </c>
      <c r="D314" s="86" t="n">
        <v>1.59</v>
      </c>
      <c r="E314" s="208" t="inlineStr">
        <is>
          <t>Grey</t>
        </is>
      </c>
      <c r="F314" s="86" t="n">
        <v>4.34</v>
      </c>
      <c r="G314" s="86" t="inlineStr">
        <is>
          <t>Safe</t>
        </is>
      </c>
      <c r="H314" s="86" t="n">
        <v>-8.220000000000001</v>
      </c>
      <c r="I314" s="86" t="inlineStr">
        <is>
          <t>Distress</t>
        </is>
      </c>
      <c r="J314" s="86" t="n">
        <v>-3.06</v>
      </c>
      <c r="K314" s="86" t="n">
        <v>0.04</v>
      </c>
      <c r="L314" s="86" t="inlineStr">
        <is>
          <t>Healthy</t>
        </is>
      </c>
      <c r="M314" s="86" t="n">
        <v>5</v>
      </c>
      <c r="N314" s="86" t="inlineStr">
        <is>
          <t>Mixed</t>
        </is>
      </c>
      <c r="O314" s="207" t="n">
        <v>-2.56</v>
      </c>
      <c r="P314" s="86" t="inlineStr">
        <is>
          <t>Lower Risk</t>
        </is>
      </c>
      <c r="Q314" s="86" t="n">
        <v>-1.08</v>
      </c>
      <c r="R314" s="86" t="n">
        <v>-0.0872</v>
      </c>
      <c r="S314" s="86" t="n">
        <v>0.02</v>
      </c>
      <c r="T314" s="86" t="n">
        <v>-0.1628</v>
      </c>
      <c r="U314" s="86" t="n">
        <v>-0.06610000000000001</v>
      </c>
      <c r="V314" s="86" t="n">
        <v>-11.7474</v>
      </c>
      <c r="W314" s="90" t="inlineStr">
        <is>
          <t>N/A</t>
        </is>
      </c>
      <c r="X314" s="86" t="n">
        <v>51.49</v>
      </c>
      <c r="Y314" s="86" t="n">
        <v>20</v>
      </c>
      <c r="Z314" s="86" t="inlineStr">
        <is>
          <t>CLEAR</t>
        </is>
      </c>
    </row>
    <row r="315" ht="17" customHeight="1">
      <c r="A315" s="82" t="n">
        <v>313</v>
      </c>
      <c r="B315" s="82" t="inlineStr">
        <is>
          <t>TTD</t>
        </is>
      </c>
      <c r="C315" s="82" t="inlineStr">
        <is>
          <t>TRADE DESK, INC.</t>
        </is>
      </c>
      <c r="D315" s="82" t="n">
        <v>1.2</v>
      </c>
      <c r="E315" s="207" t="inlineStr">
        <is>
          <t>Distress</t>
        </is>
      </c>
      <c r="F315" s="82" t="n">
        <v>3.17</v>
      </c>
      <c r="G315" s="82" t="inlineStr">
        <is>
          <t>Safe</t>
        </is>
      </c>
      <c r="H315" s="82" t="n">
        <v>0.95</v>
      </c>
      <c r="I315" s="82" t="inlineStr">
        <is>
          <t>Healthy</t>
        </is>
      </c>
      <c r="J315" s="82" t="n">
        <v>-1.27</v>
      </c>
      <c r="K315" s="82" t="n">
        <v>0.22</v>
      </c>
      <c r="L315" s="82" t="inlineStr">
        <is>
          <t>Healthy</t>
        </is>
      </c>
      <c r="M315" s="82" t="n">
        <v>6</v>
      </c>
      <c r="N315" s="82" t="inlineStr">
        <is>
          <t>Mixed</t>
        </is>
      </c>
      <c r="O315" s="207" t="n">
        <v>-2.85</v>
      </c>
      <c r="P315" s="82" t="inlineStr">
        <is>
          <t>Lower Risk</t>
        </is>
      </c>
      <c r="Q315" s="82" t="n">
        <v>-0.96</v>
      </c>
      <c r="R315" s="82" t="n">
        <v>0.1784</v>
      </c>
      <c r="S315" s="82" t="n">
        <v>2.24</v>
      </c>
      <c r="T315" s="82" t="n">
        <v>0.2747</v>
      </c>
      <c r="U315" s="82" t="n">
        <v>0.1847</v>
      </c>
      <c r="V315" s="82" t="n">
        <v>0.2035</v>
      </c>
      <c r="W315" s="82" t="n">
        <v>380.21</v>
      </c>
      <c r="X315" s="82" t="n">
        <v>51.47</v>
      </c>
      <c r="Y315" s="82" t="n">
        <v>0</v>
      </c>
      <c r="Z315" s="82" t="inlineStr">
        <is>
          <t>CLEAR</t>
        </is>
      </c>
    </row>
    <row r="316" ht="17" customHeight="1">
      <c r="A316" s="86" t="n">
        <v>314</v>
      </c>
      <c r="B316" s="86" t="inlineStr">
        <is>
          <t>FANG</t>
        </is>
      </c>
      <c r="C316" s="86" t="inlineStr">
        <is>
          <t>Diamondback Energy, Inc.</t>
        </is>
      </c>
      <c r="D316" s="86" t="n">
        <v>0.85</v>
      </c>
      <c r="E316" s="207" t="inlineStr">
        <is>
          <t>Distress</t>
        </is>
      </c>
      <c r="F316" s="86" t="n">
        <v>1.47</v>
      </c>
      <c r="G316" s="86" t="inlineStr">
        <is>
          <t>Grey</t>
        </is>
      </c>
      <c r="H316" s="86" t="n">
        <v>0.37</v>
      </c>
      <c r="I316" s="86" t="inlineStr">
        <is>
          <t>Distress</t>
        </is>
      </c>
      <c r="J316" s="86" t="n">
        <v>-2.19</v>
      </c>
      <c r="K316" s="86" t="n">
        <v>0.1</v>
      </c>
      <c r="L316" s="86" t="inlineStr">
        <is>
          <t>Healthy</t>
        </is>
      </c>
      <c r="M316" s="86" t="n">
        <v>6</v>
      </c>
      <c r="N316" s="86" t="inlineStr">
        <is>
          <t>Mixed</t>
        </is>
      </c>
      <c r="O316" s="207" t="n">
        <v>-3.19</v>
      </c>
      <c r="P316" s="86" t="inlineStr">
        <is>
          <t>Lower Risk</t>
        </is>
      </c>
      <c r="Q316" s="86" t="n">
        <v>2.16</v>
      </c>
      <c r="R316" s="86" t="n">
        <v>0.045</v>
      </c>
      <c r="S316" s="86" t="n">
        <v>5.26</v>
      </c>
      <c r="T316" s="90" t="inlineStr">
        <is>
          <t>N/A</t>
        </is>
      </c>
      <c r="U316" s="86" t="n">
        <v>0.3579</v>
      </c>
      <c r="V316" s="86" t="n">
        <v>0.0843</v>
      </c>
      <c r="W316" s="86" t="n">
        <v>5.19</v>
      </c>
      <c r="X316" s="86" t="n">
        <v>51.43</v>
      </c>
      <c r="Y316" s="86" t="n">
        <v>0</v>
      </c>
      <c r="Z316" s="86" t="inlineStr">
        <is>
          <t>CLEAR</t>
        </is>
      </c>
    </row>
    <row r="317" ht="17" customHeight="1">
      <c r="A317" s="82" t="n">
        <v>315</v>
      </c>
      <c r="B317" s="82" t="inlineStr">
        <is>
          <t>KEY</t>
        </is>
      </c>
      <c r="C317" s="82" t="inlineStr">
        <is>
          <t>KEYCORP /NEW/</t>
        </is>
      </c>
      <c r="D317" s="91" t="inlineStr">
        <is>
          <t>N/A</t>
        </is>
      </c>
      <c r="E317" s="91" t="inlineStr">
        <is>
          <t>N/A</t>
        </is>
      </c>
      <c r="F317" s="91" t="inlineStr">
        <is>
          <t>N/A</t>
        </is>
      </c>
      <c r="G317" s="91" t="inlineStr">
        <is>
          <t>N/A</t>
        </is>
      </c>
      <c r="H317" s="91" t="inlineStr">
        <is>
          <t>N/A</t>
        </is>
      </c>
      <c r="I317" s="91" t="inlineStr">
        <is>
          <t>N/A</t>
        </is>
      </c>
      <c r="J317" s="91" t="inlineStr">
        <is>
          <t>N/A</t>
        </is>
      </c>
      <c r="K317" s="91" t="inlineStr">
        <is>
          <t>N/A</t>
        </is>
      </c>
      <c r="L317" s="91" t="inlineStr">
        <is>
          <t>N/A</t>
        </is>
      </c>
      <c r="M317" s="82" t="n">
        <v>7</v>
      </c>
      <c r="N317" s="82" t="inlineStr">
        <is>
          <t>Strong</t>
        </is>
      </c>
      <c r="O317" s="91" t="inlineStr">
        <is>
          <t>N/A</t>
        </is>
      </c>
      <c r="P317" s="82" t="inlineStr">
        <is>
          <t>Insufficient Data</t>
        </is>
      </c>
      <c r="Q317" s="82" t="n">
        <v>3.91</v>
      </c>
      <c r="R317" s="82" t="n">
        <v>0.0897</v>
      </c>
      <c r="S317" s="82" t="n">
        <v>1.21</v>
      </c>
      <c r="T317" s="82" t="n">
        <v>0.2737</v>
      </c>
      <c r="U317" s="82" t="n">
        <v>0.6264999999999999</v>
      </c>
      <c r="V317" s="82" t="n">
        <v>0.3067</v>
      </c>
      <c r="W317" s="82" t="n">
        <v>0.57</v>
      </c>
      <c r="X317" s="82" t="n">
        <v>51.43</v>
      </c>
      <c r="Y317" s="82" t="n">
        <v>0</v>
      </c>
      <c r="Z317" s="82" t="inlineStr">
        <is>
          <t>CLEAR</t>
        </is>
      </c>
    </row>
    <row r="318" ht="17" customHeight="1">
      <c r="A318" s="86" t="n">
        <v>316</v>
      </c>
      <c r="B318" s="86" t="inlineStr">
        <is>
          <t>GTLB</t>
        </is>
      </c>
      <c r="C318" s="86" t="inlineStr">
        <is>
          <t>GITLAB INC.</t>
        </is>
      </c>
      <c r="D318" s="86" t="n">
        <v>0.85</v>
      </c>
      <c r="E318" s="207" t="inlineStr">
        <is>
          <t>Distress</t>
        </is>
      </c>
      <c r="F318" s="86" t="n">
        <v>2.75</v>
      </c>
      <c r="G318" s="86" t="inlineStr">
        <is>
          <t>Safe</t>
        </is>
      </c>
      <c r="H318" s="86" t="n">
        <v>0.65</v>
      </c>
      <c r="I318" s="86" t="inlineStr">
        <is>
          <t>Distress</t>
        </is>
      </c>
      <c r="J318" s="86" t="n">
        <v>-1.92</v>
      </c>
      <c r="K318" s="86" t="n">
        <v>0.13</v>
      </c>
      <c r="L318" s="86" t="inlineStr">
        <is>
          <t>Healthy</t>
        </is>
      </c>
      <c r="M318" s="86" t="n">
        <v>6</v>
      </c>
      <c r="N318" s="86" t="inlineStr">
        <is>
          <t>Mixed</t>
        </is>
      </c>
      <c r="O318" s="207" t="n">
        <v>-3.27</v>
      </c>
      <c r="P318" s="86" t="inlineStr">
        <is>
          <t>Lower Risk</t>
        </is>
      </c>
      <c r="Q318" s="86" t="n">
        <v>3.42</v>
      </c>
      <c r="R318" s="86" t="n">
        <v>-0.0565</v>
      </c>
      <c r="S318" s="86" t="n">
        <v>-4.16</v>
      </c>
      <c r="T318" s="86" t="n">
        <v>0.2324</v>
      </c>
      <c r="U318" s="86" t="n">
        <v>0.2581</v>
      </c>
      <c r="V318" s="86" t="n">
        <v>-0.0738</v>
      </c>
      <c r="W318" s="90" t="inlineStr">
        <is>
          <t>N/A</t>
        </is>
      </c>
      <c r="X318" s="86" t="n">
        <v>51.41</v>
      </c>
      <c r="Y318" s="86" t="n">
        <v>40</v>
      </c>
      <c r="Z318" s="86" t="inlineStr">
        <is>
          <t>WATCH</t>
        </is>
      </c>
    </row>
    <row r="319" ht="17" customHeight="1">
      <c r="A319" s="82" t="n">
        <v>317</v>
      </c>
      <c r="B319" s="82" t="inlineStr">
        <is>
          <t>DE</t>
        </is>
      </c>
      <c r="C319" s="82" t="inlineStr">
        <is>
          <t>DEERE &amp; CO</t>
        </is>
      </c>
      <c r="D319" s="91" t="inlineStr">
        <is>
          <t>N/A</t>
        </is>
      </c>
      <c r="E319" s="91" t="inlineStr">
        <is>
          <t>N/A</t>
        </is>
      </c>
      <c r="F319" s="91" t="inlineStr">
        <is>
          <t>N/A</t>
        </is>
      </c>
      <c r="G319" s="91" t="inlineStr">
        <is>
          <t>N/A</t>
        </is>
      </c>
      <c r="H319" s="91" t="inlineStr">
        <is>
          <t>N/A</t>
        </is>
      </c>
      <c r="I319" s="91" t="inlineStr">
        <is>
          <t>N/A</t>
        </is>
      </c>
      <c r="J319" s="91" t="inlineStr">
        <is>
          <t>N/A</t>
        </is>
      </c>
      <c r="K319" s="91" t="inlineStr">
        <is>
          <t>N/A</t>
        </is>
      </c>
      <c r="L319" s="91" t="inlineStr">
        <is>
          <t>N/A</t>
        </is>
      </c>
      <c r="M319" s="82" t="n">
        <v>6</v>
      </c>
      <c r="N319" s="82" t="inlineStr">
        <is>
          <t>Mixed</t>
        </is>
      </c>
      <c r="O319" s="207" t="n">
        <v>-2.79</v>
      </c>
      <c r="P319" s="82" t="inlineStr">
        <is>
          <t>Lower Risk</t>
        </is>
      </c>
      <c r="Q319" s="82" t="n">
        <v>2.18</v>
      </c>
      <c r="R319" s="82" t="n">
        <v>0.1937</v>
      </c>
      <c r="S319" s="82" t="n">
        <v>1.48</v>
      </c>
      <c r="T319" s="82" t="n">
        <v>0.1335</v>
      </c>
      <c r="U319" s="82" t="n">
        <v>-0.1166</v>
      </c>
      <c r="V319" s="82" t="n">
        <v>0.1979</v>
      </c>
      <c r="W319" s="82" t="n">
        <v>2.85</v>
      </c>
      <c r="X319" s="82" t="n">
        <v>51.41</v>
      </c>
      <c r="Y319" s="82" t="n">
        <v>0</v>
      </c>
      <c r="Z319" s="82" t="inlineStr">
        <is>
          <t>CLEAR</t>
        </is>
      </c>
    </row>
    <row r="320" ht="17" customHeight="1">
      <c r="A320" s="86" t="n">
        <v>318</v>
      </c>
      <c r="B320" s="86" t="inlineStr">
        <is>
          <t>AXON</t>
        </is>
      </c>
      <c r="C320" s="86" t="inlineStr">
        <is>
          <t>Axon Enterprise, Inc.</t>
        </is>
      </c>
      <c r="D320" s="86" t="n">
        <v>1.07</v>
      </c>
      <c r="E320" s="207" t="inlineStr">
        <is>
          <t>Distress</t>
        </is>
      </c>
      <c r="F320" s="86" t="n">
        <v>3.38</v>
      </c>
      <c r="G320" s="86" t="inlineStr">
        <is>
          <t>Safe</t>
        </is>
      </c>
      <c r="H320" s="86" t="n">
        <v>0.47</v>
      </c>
      <c r="I320" s="86" t="inlineStr">
        <is>
          <t>Distress</t>
        </is>
      </c>
      <c r="J320" s="86" t="n">
        <v>-1.36</v>
      </c>
      <c r="K320" s="86" t="n">
        <v>0.2</v>
      </c>
      <c r="L320" s="86" t="inlineStr">
        <is>
          <t>Healthy</t>
        </is>
      </c>
      <c r="M320" s="86" t="n">
        <v>6</v>
      </c>
      <c r="N320" s="86" t="inlineStr">
        <is>
          <t>Mixed</t>
        </is>
      </c>
      <c r="O320" s="207" t="n">
        <v>-2.27</v>
      </c>
      <c r="P320" s="86" t="inlineStr">
        <is>
          <t>Lower Risk</t>
        </is>
      </c>
      <c r="Q320" s="86" t="n">
        <v>28.91</v>
      </c>
      <c r="R320" s="86" t="n">
        <v>0.0384</v>
      </c>
      <c r="S320" s="86" t="n">
        <v>1.7</v>
      </c>
      <c r="T320" s="86" t="n">
        <v>0.027</v>
      </c>
      <c r="U320" s="86" t="n">
        <v>0.3347</v>
      </c>
      <c r="V320" s="86" t="n">
        <v>-0.0223</v>
      </c>
      <c r="W320" s="90" t="inlineStr">
        <is>
          <t>N/A</t>
        </is>
      </c>
      <c r="X320" s="86" t="n">
        <v>51.37</v>
      </c>
      <c r="Y320" s="86" t="n">
        <v>0</v>
      </c>
      <c r="Z320" s="86" t="inlineStr">
        <is>
          <t>CLEAR</t>
        </is>
      </c>
    </row>
    <row r="321" ht="17" customHeight="1">
      <c r="A321" s="82" t="n">
        <v>319</v>
      </c>
      <c r="B321" s="82" t="inlineStr">
        <is>
          <t>STT</t>
        </is>
      </c>
      <c r="C321" s="82" t="inlineStr">
        <is>
          <t>STATE STREET CORPORATION</t>
        </is>
      </c>
      <c r="D321" s="91" t="inlineStr">
        <is>
          <t>N/A</t>
        </is>
      </c>
      <c r="E321" s="91" t="inlineStr">
        <is>
          <t>N/A</t>
        </is>
      </c>
      <c r="F321" s="91" t="inlineStr">
        <is>
          <t>N/A</t>
        </is>
      </c>
      <c r="G321" s="91" t="inlineStr">
        <is>
          <t>N/A</t>
        </is>
      </c>
      <c r="H321" s="91" t="inlineStr">
        <is>
          <t>N/A</t>
        </is>
      </c>
      <c r="I321" s="91" t="inlineStr">
        <is>
          <t>N/A</t>
        </is>
      </c>
      <c r="J321" s="91" t="inlineStr">
        <is>
          <t>N/A</t>
        </is>
      </c>
      <c r="K321" s="91" t="inlineStr">
        <is>
          <t>N/A</t>
        </is>
      </c>
      <c r="L321" s="91" t="inlineStr">
        <is>
          <t>N/A</t>
        </is>
      </c>
      <c r="M321" s="82" t="n">
        <v>7</v>
      </c>
      <c r="N321" s="82" t="inlineStr">
        <is>
          <t>Strong</t>
        </is>
      </c>
      <c r="O321" s="91" t="inlineStr">
        <is>
          <t>N/A</t>
        </is>
      </c>
      <c r="P321" s="82" t="inlineStr">
        <is>
          <t>Insufficient Data</t>
        </is>
      </c>
      <c r="Q321" s="82" t="n">
        <v>2.66</v>
      </c>
      <c r="R321" s="82" t="n">
        <v>0.1058</v>
      </c>
      <c r="S321" s="82" t="n">
        <v>4.04</v>
      </c>
      <c r="T321" s="82" t="n">
        <v>0.7776</v>
      </c>
      <c r="U321" s="82" t="n">
        <v>0.0726</v>
      </c>
      <c r="V321" s="82" t="n">
        <v>0.2676</v>
      </c>
      <c r="W321" s="82" t="n">
        <v>0.58</v>
      </c>
      <c r="X321" s="82" t="n">
        <v>51.34</v>
      </c>
      <c r="Y321" s="82" t="n">
        <v>0</v>
      </c>
      <c r="Z321" s="82" t="inlineStr">
        <is>
          <t>CLEAR</t>
        </is>
      </c>
    </row>
    <row r="322" ht="17" customHeight="1">
      <c r="A322" s="86" t="n">
        <v>320</v>
      </c>
      <c r="B322" s="86" t="inlineStr">
        <is>
          <t>FHB</t>
        </is>
      </c>
      <c r="C322" s="86" t="inlineStr">
        <is>
          <t>FIRST HAWAIIAN, INC.</t>
        </is>
      </c>
      <c r="D322" s="90" t="inlineStr">
        <is>
          <t>N/A</t>
        </is>
      </c>
      <c r="E322" s="90" t="inlineStr">
        <is>
          <t>N/A</t>
        </is>
      </c>
      <c r="F322" s="90" t="inlineStr">
        <is>
          <t>N/A</t>
        </is>
      </c>
      <c r="G322" s="90" t="inlineStr">
        <is>
          <t>N/A</t>
        </is>
      </c>
      <c r="H322" s="90" t="inlineStr">
        <is>
          <t>N/A</t>
        </is>
      </c>
      <c r="I322" s="90" t="inlineStr">
        <is>
          <t>N/A</t>
        </is>
      </c>
      <c r="J322" s="90" t="inlineStr">
        <is>
          <t>N/A</t>
        </is>
      </c>
      <c r="K322" s="90" t="inlineStr">
        <is>
          <t>N/A</t>
        </is>
      </c>
      <c r="L322" s="90" t="inlineStr">
        <is>
          <t>N/A</t>
        </is>
      </c>
      <c r="M322" s="86" t="n">
        <v>7</v>
      </c>
      <c r="N322" s="86" t="inlineStr">
        <is>
          <t>Strong</t>
        </is>
      </c>
      <c r="O322" s="90" t="inlineStr">
        <is>
          <t>N/A</t>
        </is>
      </c>
      <c r="P322" s="86" t="inlineStr">
        <is>
          <t>Insufficient Data</t>
        </is>
      </c>
      <c r="Q322" s="86" t="n">
        <v>-2.81</v>
      </c>
      <c r="R322" s="86" t="n">
        <v>0.0998</v>
      </c>
      <c r="S322" s="86" t="n">
        <v>1.21</v>
      </c>
      <c r="T322" s="86" t="n">
        <v>0.3443</v>
      </c>
      <c r="U322" s="86" t="n">
        <v>0.08939999999999999</v>
      </c>
      <c r="V322" s="86" t="n">
        <v>0.4022</v>
      </c>
      <c r="W322" s="86" t="n">
        <v>1.23</v>
      </c>
      <c r="X322" s="86" t="n">
        <v>51.34</v>
      </c>
      <c r="Y322" s="86" t="n">
        <v>0</v>
      </c>
      <c r="Z322" s="86" t="inlineStr">
        <is>
          <t>CLEAR</t>
        </is>
      </c>
    </row>
    <row r="323" ht="17" customHeight="1">
      <c r="A323" s="82" t="n">
        <v>321</v>
      </c>
      <c r="B323" s="82" t="inlineStr">
        <is>
          <t>LITE</t>
        </is>
      </c>
      <c r="C323" s="82" t="inlineStr">
        <is>
          <t>Lumentum Holdings Inc.</t>
        </is>
      </c>
      <c r="D323" s="82" t="n">
        <v>0.17</v>
      </c>
      <c r="E323" s="207" t="inlineStr">
        <is>
          <t>Distress</t>
        </is>
      </c>
      <c r="F323" s="82" t="n">
        <v>1.49</v>
      </c>
      <c r="G323" s="82" t="inlineStr">
        <is>
          <t>Grey</t>
        </is>
      </c>
      <c r="H323" s="82" t="n">
        <v>0.17</v>
      </c>
      <c r="I323" s="82" t="inlineStr">
        <is>
          <t>Distress</t>
        </is>
      </c>
      <c r="J323" s="82" t="n">
        <v>-0.19</v>
      </c>
      <c r="K323" s="82" t="n">
        <v>0.45</v>
      </c>
      <c r="L323" s="82" t="inlineStr">
        <is>
          <t>Healthy</t>
        </is>
      </c>
      <c r="M323" s="82" t="n">
        <v>7</v>
      </c>
      <c r="N323" s="82" t="inlineStr">
        <is>
          <t>Strong</t>
        </is>
      </c>
      <c r="O323" s="207" t="n">
        <v>-2.8</v>
      </c>
      <c r="P323" s="82" t="inlineStr">
        <is>
          <t>Lower Risk</t>
        </is>
      </c>
      <c r="Q323" s="82" t="n">
        <v>-24.94</v>
      </c>
      <c r="R323" s="82" t="n">
        <v>0.0228</v>
      </c>
      <c r="S323" s="82" t="n">
        <v>4.88</v>
      </c>
      <c r="T323" s="82" t="n">
        <v>-0.2588</v>
      </c>
      <c r="U323" s="82" t="n">
        <v>-0.0654</v>
      </c>
      <c r="V323" s="82" t="n">
        <v>-0.4451</v>
      </c>
      <c r="W323" s="82" t="n">
        <v>-5.07</v>
      </c>
      <c r="X323" s="82" t="n">
        <v>51.32</v>
      </c>
      <c r="Y323" s="82" t="n">
        <v>0</v>
      </c>
      <c r="Z323" s="82" t="inlineStr">
        <is>
          <t>CLEAR</t>
        </is>
      </c>
    </row>
    <row r="324" ht="17" customHeight="1">
      <c r="A324" s="86" t="n">
        <v>322</v>
      </c>
      <c r="B324" s="86" t="inlineStr">
        <is>
          <t>CFG</t>
        </is>
      </c>
      <c r="C324" s="86" t="inlineStr">
        <is>
          <t>CITIZENS FINANCIAL GROUP INC/RI</t>
        </is>
      </c>
      <c r="D324" s="90" t="inlineStr">
        <is>
          <t>N/A</t>
        </is>
      </c>
      <c r="E324" s="90" t="inlineStr">
        <is>
          <t>N/A</t>
        </is>
      </c>
      <c r="F324" s="90" t="inlineStr">
        <is>
          <t>N/A</t>
        </is>
      </c>
      <c r="G324" s="90" t="inlineStr">
        <is>
          <t>N/A</t>
        </is>
      </c>
      <c r="H324" s="90" t="inlineStr">
        <is>
          <t>N/A</t>
        </is>
      </c>
      <c r="I324" s="90" t="inlineStr">
        <is>
          <t>N/A</t>
        </is>
      </c>
      <c r="J324" s="90" t="inlineStr">
        <is>
          <t>N/A</t>
        </is>
      </c>
      <c r="K324" s="90" t="inlineStr">
        <is>
          <t>N/A</t>
        </is>
      </c>
      <c r="L324" s="90" t="inlineStr">
        <is>
          <t>N/A</t>
        </is>
      </c>
      <c r="M324" s="86" t="n">
        <v>7</v>
      </c>
      <c r="N324" s="86" t="inlineStr">
        <is>
          <t>Strong</t>
        </is>
      </c>
      <c r="O324" s="90" t="inlineStr">
        <is>
          <t>N/A</t>
        </is>
      </c>
      <c r="P324" s="86" t="inlineStr">
        <is>
          <t>Insufficient Data</t>
        </is>
      </c>
      <c r="Q324" s="86" t="n">
        <v>2.91</v>
      </c>
      <c r="R324" s="86" t="n">
        <v>0.0696</v>
      </c>
      <c r="S324" s="86" t="n">
        <v>1.21</v>
      </c>
      <c r="T324" s="86" t="n">
        <v>0.2528</v>
      </c>
      <c r="U324" s="86" t="n">
        <v>0.0561</v>
      </c>
      <c r="V324" s="86" t="n">
        <v>0.2823</v>
      </c>
      <c r="W324" s="86" t="n">
        <v>0.59</v>
      </c>
      <c r="X324" s="86" t="n">
        <v>51.3</v>
      </c>
      <c r="Y324" s="86" t="n">
        <v>0</v>
      </c>
      <c r="Z324" s="86" t="inlineStr">
        <is>
          <t>CLEAR</t>
        </is>
      </c>
    </row>
    <row r="325" ht="17" customHeight="1">
      <c r="A325" s="82" t="n">
        <v>323</v>
      </c>
      <c r="B325" s="82" t="inlineStr">
        <is>
          <t>URI</t>
        </is>
      </c>
      <c r="C325" s="82" t="inlineStr">
        <is>
          <t>United Rentals, Inc.</t>
        </is>
      </c>
      <c r="D325" s="82" t="n">
        <v>1.58</v>
      </c>
      <c r="E325" s="208" t="inlineStr">
        <is>
          <t>Grey</t>
        </is>
      </c>
      <c r="F325" s="82" t="n">
        <v>3.03</v>
      </c>
      <c r="G325" s="82" t="inlineStr">
        <is>
          <t>Safe</t>
        </is>
      </c>
      <c r="H325" s="82" t="n">
        <v>1.19</v>
      </c>
      <c r="I325" s="82" t="inlineStr">
        <is>
          <t>Healthy</t>
        </is>
      </c>
      <c r="J325" s="82" t="n">
        <v>-0.74</v>
      </c>
      <c r="K325" s="82" t="n">
        <v>0.32</v>
      </c>
      <c r="L325" s="82" t="inlineStr">
        <is>
          <t>Healthy</t>
        </is>
      </c>
      <c r="M325" s="82" t="n">
        <v>7</v>
      </c>
      <c r="N325" s="82" t="inlineStr">
        <is>
          <t>Strong</t>
        </is>
      </c>
      <c r="O325" s="207" t="n">
        <v>-0.93</v>
      </c>
      <c r="P325" s="82" t="inlineStr">
        <is>
          <t>Higher Risk</t>
        </is>
      </c>
      <c r="Q325" s="82" t="n">
        <v>3.14</v>
      </c>
      <c r="R325" s="82" t="n">
        <v>0.2781</v>
      </c>
      <c r="S325" s="82" t="n">
        <v>2.08</v>
      </c>
      <c r="T325" s="82" t="n">
        <v>0.3101</v>
      </c>
      <c r="U325" s="82" t="n">
        <v>2.8258</v>
      </c>
      <c r="V325" s="82" t="n">
        <v>0.2468</v>
      </c>
      <c r="W325" s="82" t="n">
        <v>11.13</v>
      </c>
      <c r="X325" s="82" t="n">
        <v>51.24</v>
      </c>
      <c r="Y325" s="82" t="n">
        <v>20</v>
      </c>
      <c r="Z325" s="82" t="inlineStr">
        <is>
          <t>CLEAR</t>
        </is>
      </c>
    </row>
    <row r="326" ht="17" customHeight="1">
      <c r="A326" s="86" t="n">
        <v>324</v>
      </c>
      <c r="B326" s="86" t="inlineStr">
        <is>
          <t>AMCR</t>
        </is>
      </c>
      <c r="C326" s="86" t="inlineStr">
        <is>
          <t>AMCOR PLC</t>
        </is>
      </c>
      <c r="D326" s="86" t="n">
        <v>0.46</v>
      </c>
      <c r="E326" s="207" t="inlineStr">
        <is>
          <t>Distress</t>
        </is>
      </c>
      <c r="F326" s="86" t="n">
        <v>0.97</v>
      </c>
      <c r="G326" s="86" t="inlineStr">
        <is>
          <t>Distress</t>
        </is>
      </c>
      <c r="H326" s="86" t="n">
        <v>0.24</v>
      </c>
      <c r="I326" s="86" t="inlineStr">
        <is>
          <t>Distress</t>
        </is>
      </c>
      <c r="J326" s="86" t="n">
        <v>-0.51</v>
      </c>
      <c r="K326" s="86" t="n">
        <v>0.37</v>
      </c>
      <c r="L326" s="86" t="inlineStr">
        <is>
          <t>Healthy</t>
        </is>
      </c>
      <c r="M326" s="86" t="n">
        <v>8</v>
      </c>
      <c r="N326" s="86" t="inlineStr">
        <is>
          <t>Strong</t>
        </is>
      </c>
      <c r="O326" s="207" t="n">
        <v>-2.03</v>
      </c>
      <c r="P326" s="86" t="inlineStr">
        <is>
          <t>Higher Risk</t>
        </is>
      </c>
      <c r="Q326" s="86" t="n">
        <v>2.59</v>
      </c>
      <c r="R326" s="86" t="n">
        <v>0.0436</v>
      </c>
      <c r="S326" s="86" t="n">
        <v>2.72</v>
      </c>
      <c r="T326" s="86" t="n">
        <v>0.2081</v>
      </c>
      <c r="U326" s="86" t="n">
        <v>0.5248</v>
      </c>
      <c r="V326" s="86" t="n">
        <v>0.1985</v>
      </c>
      <c r="W326" s="86" t="n">
        <v>2.55</v>
      </c>
      <c r="X326" s="86" t="n">
        <v>51.21</v>
      </c>
      <c r="Y326" s="86" t="n">
        <v>20</v>
      </c>
      <c r="Z326" s="86" t="inlineStr">
        <is>
          <t>CLEAR</t>
        </is>
      </c>
    </row>
    <row r="327" ht="17" customHeight="1">
      <c r="A327" s="82" t="n">
        <v>325</v>
      </c>
      <c r="B327" s="82" t="inlineStr">
        <is>
          <t>PHM</t>
        </is>
      </c>
      <c r="C327" s="82" t="inlineStr">
        <is>
          <t>PULTEGROUP, INC.</t>
        </is>
      </c>
      <c r="D327" s="91" t="inlineStr">
        <is>
          <t>N/A</t>
        </is>
      </c>
      <c r="E327" s="91" t="inlineStr">
        <is>
          <t>N/A</t>
        </is>
      </c>
      <c r="F327" s="91" t="inlineStr">
        <is>
          <t>N/A</t>
        </is>
      </c>
      <c r="G327" s="91" t="inlineStr">
        <is>
          <t>N/A</t>
        </is>
      </c>
      <c r="H327" s="91" t="inlineStr">
        <is>
          <t>N/A</t>
        </is>
      </c>
      <c r="I327" s="91" t="inlineStr">
        <is>
          <t>N/A</t>
        </is>
      </c>
      <c r="J327" s="91" t="inlineStr">
        <is>
          <t>N/A</t>
        </is>
      </c>
      <c r="K327" s="91" t="inlineStr">
        <is>
          <t>N/A</t>
        </is>
      </c>
      <c r="L327" s="91" t="inlineStr">
        <is>
          <t>N/A</t>
        </is>
      </c>
      <c r="M327" s="82" t="n">
        <v>5</v>
      </c>
      <c r="N327" s="82" t="inlineStr">
        <is>
          <t>Mixed</t>
        </is>
      </c>
      <c r="O327" s="91" t="inlineStr">
        <is>
          <t>N/A</t>
        </is>
      </c>
      <c r="P327" s="82" t="inlineStr">
        <is>
          <t>Insufficient Data</t>
        </is>
      </c>
      <c r="Q327" s="91" t="inlineStr">
        <is>
          <t>N/A</t>
        </is>
      </c>
      <c r="R327" s="82" t="n">
        <v>0.1709</v>
      </c>
      <c r="S327" s="82" t="n">
        <v>0.84</v>
      </c>
      <c r="T327" s="82" t="n">
        <v>0.5477</v>
      </c>
      <c r="U327" s="82" t="n">
        <v>0.0803</v>
      </c>
      <c r="V327" s="91" t="inlineStr">
        <is>
          <t>N/A</t>
        </is>
      </c>
      <c r="W327" s="91" t="inlineStr">
        <is>
          <t>N/A</t>
        </is>
      </c>
      <c r="X327" s="82" t="n">
        <v>51.21</v>
      </c>
      <c r="Y327" s="82" t="n">
        <v>0</v>
      </c>
      <c r="Z327" s="82" t="inlineStr">
        <is>
          <t>CLEAR</t>
        </is>
      </c>
    </row>
    <row r="328" ht="17" customHeight="1">
      <c r="A328" s="86" t="n">
        <v>326</v>
      </c>
      <c r="B328" s="86" t="inlineStr">
        <is>
          <t>COLM</t>
        </is>
      </c>
      <c r="C328" s="86" t="inlineStr">
        <is>
          <t>COLUMBIA SPORTSWEAR COMPANY</t>
        </is>
      </c>
      <c r="D328" s="86" t="n">
        <v>1.93</v>
      </c>
      <c r="E328" s="208" t="inlineStr">
        <is>
          <t>Grey</t>
        </is>
      </c>
      <c r="F328" s="86" t="n">
        <v>6.64</v>
      </c>
      <c r="G328" s="86" t="inlineStr">
        <is>
          <t>Safe</t>
        </is>
      </c>
      <c r="H328" s="86" t="n">
        <v>0.97</v>
      </c>
      <c r="I328" s="86" t="inlineStr">
        <is>
          <t>Healthy</t>
        </is>
      </c>
      <c r="J328" s="86" t="n">
        <v>-2.24</v>
      </c>
      <c r="K328" s="86" t="n">
        <v>0.1</v>
      </c>
      <c r="L328" s="86" t="inlineStr">
        <is>
          <t>Healthy</t>
        </is>
      </c>
      <c r="M328" s="86" t="n">
        <v>5</v>
      </c>
      <c r="N328" s="86" t="inlineStr">
        <is>
          <t>Mixed</t>
        </is>
      </c>
      <c r="O328" s="207" t="n">
        <v>-2.55</v>
      </c>
      <c r="P328" s="86" t="inlineStr">
        <is>
          <t>Lower Risk</t>
        </is>
      </c>
      <c r="Q328" s="86" t="n">
        <v>-1.68</v>
      </c>
      <c r="R328" s="86" t="n">
        <v>0.1036</v>
      </c>
      <c r="S328" s="86" t="n">
        <v>1.6</v>
      </c>
      <c r="T328" s="86" t="n">
        <v>0.2776</v>
      </c>
      <c r="U328" s="86" t="n">
        <v>0.306</v>
      </c>
      <c r="V328" s="86" t="n">
        <v>0.2261</v>
      </c>
      <c r="W328" s="90" t="inlineStr">
        <is>
          <t>N/A</t>
        </is>
      </c>
      <c r="X328" s="86" t="n">
        <v>51.21</v>
      </c>
      <c r="Y328" s="86" t="n">
        <v>0</v>
      </c>
      <c r="Z328" s="86" t="inlineStr">
        <is>
          <t>CLEAR</t>
        </is>
      </c>
    </row>
    <row r="329" ht="17" customHeight="1">
      <c r="A329" s="82" t="n">
        <v>327</v>
      </c>
      <c r="B329" s="82" t="inlineStr">
        <is>
          <t>PRU</t>
        </is>
      </c>
      <c r="C329" s="82" t="inlineStr">
        <is>
          <t>PRUDENTIAL FINANCIAL INC</t>
        </is>
      </c>
      <c r="D329" s="91" t="inlineStr">
        <is>
          <t>N/A</t>
        </is>
      </c>
      <c r="E329" s="91" t="inlineStr">
        <is>
          <t>N/A</t>
        </is>
      </c>
      <c r="F329" s="91" t="inlineStr">
        <is>
          <t>N/A</t>
        </is>
      </c>
      <c r="G329" s="91" t="inlineStr">
        <is>
          <t>N/A</t>
        </is>
      </c>
      <c r="H329" s="91" t="inlineStr">
        <is>
          <t>N/A</t>
        </is>
      </c>
      <c r="I329" s="91" t="inlineStr">
        <is>
          <t>N/A</t>
        </is>
      </c>
      <c r="J329" s="91" t="inlineStr">
        <is>
          <t>N/A</t>
        </is>
      </c>
      <c r="K329" s="91" t="inlineStr">
        <is>
          <t>N/A</t>
        </is>
      </c>
      <c r="L329" s="91" t="inlineStr">
        <is>
          <t>N/A</t>
        </is>
      </c>
      <c r="M329" s="82" t="n">
        <v>7</v>
      </c>
      <c r="N329" s="82" t="inlineStr">
        <is>
          <t>Strong</t>
        </is>
      </c>
      <c r="O329" s="91" t="inlineStr">
        <is>
          <t>N/A</t>
        </is>
      </c>
      <c r="P329" s="82" t="inlineStr">
        <is>
          <t>Insufficient Data</t>
        </is>
      </c>
      <c r="Q329" s="91" t="inlineStr">
        <is>
          <t>N/A</t>
        </is>
      </c>
      <c r="R329" s="82" t="n">
        <v>0.1102</v>
      </c>
      <c r="S329" s="82" t="n">
        <v>1.75</v>
      </c>
      <c r="T329" s="91" t="inlineStr">
        <is>
          <t>N/A</t>
        </is>
      </c>
      <c r="U329" s="82" t="n">
        <v>-0.1368</v>
      </c>
      <c r="V329" s="91" t="inlineStr">
        <is>
          <t>N/A</t>
        </is>
      </c>
      <c r="W329" s="91" t="inlineStr">
        <is>
          <t>N/A</t>
        </is>
      </c>
      <c r="X329" s="82" t="n">
        <v>51.19</v>
      </c>
      <c r="Y329" s="82" t="n">
        <v>0</v>
      </c>
      <c r="Z329" s="82" t="inlineStr">
        <is>
          <t>CLEAR</t>
        </is>
      </c>
    </row>
    <row r="330" ht="17" customHeight="1">
      <c r="A330" s="86" t="n">
        <v>328</v>
      </c>
      <c r="B330" s="86" t="inlineStr">
        <is>
          <t>RSG</t>
        </is>
      </c>
      <c r="C330" s="86" t="inlineStr">
        <is>
          <t>REPUBLIC SERVICES, INC.</t>
        </is>
      </c>
      <c r="D330" s="86" t="n">
        <v>1.24</v>
      </c>
      <c r="E330" s="208" t="inlineStr">
        <is>
          <t>Grey</t>
        </is>
      </c>
      <c r="F330" s="86" t="n">
        <v>1.8</v>
      </c>
      <c r="G330" s="86" t="inlineStr">
        <is>
          <t>Grey</t>
        </is>
      </c>
      <c r="H330" s="86" t="n">
        <v>0.91</v>
      </c>
      <c r="I330" s="86" t="inlineStr">
        <is>
          <t>Healthy</t>
        </is>
      </c>
      <c r="J330" s="86" t="n">
        <v>1.06</v>
      </c>
      <c r="K330" s="86" t="n">
        <v>0.74</v>
      </c>
      <c r="L330" s="86" t="inlineStr">
        <is>
          <t>Distress</t>
        </is>
      </c>
      <c r="M330" s="86" t="n">
        <v>6</v>
      </c>
      <c r="N330" s="86" t="inlineStr">
        <is>
          <t>Mixed</t>
        </is>
      </c>
      <c r="O330" s="207" t="n">
        <v>-2.85</v>
      </c>
      <c r="P330" s="86" t="inlineStr">
        <is>
          <t>Lower Risk</t>
        </is>
      </c>
      <c r="Q330" s="86" t="n">
        <v>2.66</v>
      </c>
      <c r="R330" s="86" t="n">
        <v>0.1787</v>
      </c>
      <c r="S330" s="86" t="n">
        <v>2.01</v>
      </c>
      <c r="T330" s="86" t="n">
        <v>0.1266</v>
      </c>
      <c r="U330" s="86" t="n">
        <v>0.0331</v>
      </c>
      <c r="V330" s="86" t="n">
        <v>0.1735</v>
      </c>
      <c r="W330" s="86" t="n">
        <v>6.5</v>
      </c>
      <c r="X330" s="86" t="n">
        <v>51.18</v>
      </c>
      <c r="Y330" s="86" t="n">
        <v>0</v>
      </c>
      <c r="Z330" s="86" t="inlineStr">
        <is>
          <t>CLEAR</t>
        </is>
      </c>
    </row>
    <row r="331" ht="17" customHeight="1">
      <c r="A331" s="82" t="n">
        <v>329</v>
      </c>
      <c r="B331" s="82" t="inlineStr">
        <is>
          <t>RF</t>
        </is>
      </c>
      <c r="C331" s="82" t="inlineStr">
        <is>
          <t>Regions Financial Corporation</t>
        </is>
      </c>
      <c r="D331" s="91" t="inlineStr">
        <is>
          <t>N/A</t>
        </is>
      </c>
      <c r="E331" s="91" t="inlineStr">
        <is>
          <t>N/A</t>
        </is>
      </c>
      <c r="F331" s="91" t="inlineStr">
        <is>
          <t>N/A</t>
        </is>
      </c>
      <c r="G331" s="91" t="inlineStr">
        <is>
          <t>N/A</t>
        </is>
      </c>
      <c r="H331" s="91" t="inlineStr">
        <is>
          <t>N/A</t>
        </is>
      </c>
      <c r="I331" s="91" t="inlineStr">
        <is>
          <t>N/A</t>
        </is>
      </c>
      <c r="J331" s="91" t="inlineStr">
        <is>
          <t>N/A</t>
        </is>
      </c>
      <c r="K331" s="91" t="inlineStr">
        <is>
          <t>N/A</t>
        </is>
      </c>
      <c r="L331" s="91" t="inlineStr">
        <is>
          <t>N/A</t>
        </is>
      </c>
      <c r="M331" s="82" t="n">
        <v>7</v>
      </c>
      <c r="N331" s="82" t="inlineStr">
        <is>
          <t>Strong</t>
        </is>
      </c>
      <c r="O331" s="91" t="inlineStr">
        <is>
          <t>N/A</t>
        </is>
      </c>
      <c r="P331" s="82" t="inlineStr">
        <is>
          <t>Insufficient Data</t>
        </is>
      </c>
      <c r="Q331" s="82" t="n">
        <v>7.54</v>
      </c>
      <c r="R331" s="82" t="n">
        <v>0.1132</v>
      </c>
      <c r="S331" s="82" t="n">
        <v>1.01</v>
      </c>
      <c r="T331" s="91" t="inlineStr">
        <is>
          <t>N/A</t>
        </is>
      </c>
      <c r="U331" s="82" t="n">
        <v>0.2381</v>
      </c>
      <c r="V331" s="82" t="n">
        <v>0.5096000000000001</v>
      </c>
      <c r="W331" s="82" t="n">
        <v>0.03</v>
      </c>
      <c r="X331" s="82" t="n">
        <v>51.12</v>
      </c>
      <c r="Y331" s="82" t="n">
        <v>0</v>
      </c>
      <c r="Z331" s="82" t="inlineStr">
        <is>
          <t>CLEAR</t>
        </is>
      </c>
    </row>
    <row r="332" ht="17" customHeight="1">
      <c r="A332" s="86" t="n">
        <v>330</v>
      </c>
      <c r="B332" s="86" t="inlineStr">
        <is>
          <t>ZION</t>
        </is>
      </c>
      <c r="C332" s="86" t="inlineStr">
        <is>
          <t>ZIONS BANCORPORATION, NATIONAL ASSOCIATION</t>
        </is>
      </c>
      <c r="D332" s="90" t="inlineStr">
        <is>
          <t>N/A</t>
        </is>
      </c>
      <c r="E332" s="90" t="inlineStr">
        <is>
          <t>N/A</t>
        </is>
      </c>
      <c r="F332" s="90" t="inlineStr">
        <is>
          <t>N/A</t>
        </is>
      </c>
      <c r="G332" s="90" t="inlineStr">
        <is>
          <t>N/A</t>
        </is>
      </c>
      <c r="H332" s="90" t="inlineStr">
        <is>
          <t>N/A</t>
        </is>
      </c>
      <c r="I332" s="90" t="inlineStr">
        <is>
          <t>N/A</t>
        </is>
      </c>
      <c r="J332" s="90" t="inlineStr">
        <is>
          <t>N/A</t>
        </is>
      </c>
      <c r="K332" s="90" t="inlineStr">
        <is>
          <t>N/A</t>
        </is>
      </c>
      <c r="L332" s="90" t="inlineStr">
        <is>
          <t>N/A</t>
        </is>
      </c>
      <c r="M332" s="86" t="n">
        <v>7</v>
      </c>
      <c r="N332" s="86" t="inlineStr">
        <is>
          <t>Strong</t>
        </is>
      </c>
      <c r="O332" s="90" t="inlineStr">
        <is>
          <t>N/A</t>
        </is>
      </c>
      <c r="P332" s="86" t="inlineStr">
        <is>
          <t>Insufficient Data</t>
        </is>
      </c>
      <c r="Q332" s="90" t="inlineStr">
        <is>
          <t>N/A</t>
        </is>
      </c>
      <c r="R332" s="86" t="n">
        <v>0.1252</v>
      </c>
      <c r="S332" s="86" t="n">
        <v>1.19</v>
      </c>
      <c r="T332" s="86" t="n">
        <v>1.4381</v>
      </c>
      <c r="U332" s="86" t="n">
        <v>0.036</v>
      </c>
      <c r="V332" s="90" t="inlineStr">
        <is>
          <t>N/A</t>
        </is>
      </c>
      <c r="W332" s="90" t="inlineStr">
        <is>
          <t>N/A</t>
        </is>
      </c>
      <c r="X332" s="86" t="n">
        <v>51.12</v>
      </c>
      <c r="Y332" s="86" t="n">
        <v>0</v>
      </c>
      <c r="Z332" s="86" t="inlineStr">
        <is>
          <t>CLEAR</t>
        </is>
      </c>
    </row>
    <row r="333" ht="17" customHeight="1">
      <c r="A333" s="82" t="n">
        <v>331</v>
      </c>
      <c r="B333" s="82" t="inlineStr">
        <is>
          <t>TOL</t>
        </is>
      </c>
      <c r="C333" s="82" t="inlineStr">
        <is>
          <t>Toll Brothers, Inc.</t>
        </is>
      </c>
      <c r="D333" s="91" t="inlineStr">
        <is>
          <t>N/A</t>
        </is>
      </c>
      <c r="E333" s="91" t="inlineStr">
        <is>
          <t>N/A</t>
        </is>
      </c>
      <c r="F333" s="91" t="inlineStr">
        <is>
          <t>N/A</t>
        </is>
      </c>
      <c r="G333" s="91" t="inlineStr">
        <is>
          <t>N/A</t>
        </is>
      </c>
      <c r="H333" s="91" t="inlineStr">
        <is>
          <t>N/A</t>
        </is>
      </c>
      <c r="I333" s="91" t="inlineStr">
        <is>
          <t>N/A</t>
        </is>
      </c>
      <c r="J333" s="91" t="inlineStr">
        <is>
          <t>N/A</t>
        </is>
      </c>
      <c r="K333" s="91" t="inlineStr">
        <is>
          <t>N/A</t>
        </is>
      </c>
      <c r="L333" s="91" t="inlineStr">
        <is>
          <t>N/A</t>
        </is>
      </c>
      <c r="M333" s="82" t="n">
        <v>5</v>
      </c>
      <c r="N333" s="82" t="inlineStr">
        <is>
          <t>Mixed</t>
        </is>
      </c>
      <c r="O333" s="91" t="inlineStr">
        <is>
          <t>N/A</t>
        </is>
      </c>
      <c r="P333" s="82" t="inlineStr">
        <is>
          <t>Insufficient Data</t>
        </is>
      </c>
      <c r="Q333" s="82" t="n">
        <v>-0.7</v>
      </c>
      <c r="R333" s="82" t="n">
        <v>0.1628</v>
      </c>
      <c r="S333" s="82" t="n">
        <v>0.83</v>
      </c>
      <c r="T333" s="82" t="n">
        <v>0.1437</v>
      </c>
      <c r="U333" s="82" t="n">
        <v>-0.3414</v>
      </c>
      <c r="V333" s="82" t="n">
        <v>0.2409</v>
      </c>
      <c r="W333" s="91" t="inlineStr">
        <is>
          <t>N/A</t>
        </is>
      </c>
      <c r="X333" s="82" t="n">
        <v>51.08</v>
      </c>
      <c r="Y333" s="82" t="n">
        <v>0</v>
      </c>
      <c r="Z333" s="82" t="inlineStr">
        <is>
          <t>CLEAR</t>
        </is>
      </c>
    </row>
    <row r="334" ht="17" customHeight="1">
      <c r="A334" s="86" t="n">
        <v>332</v>
      </c>
      <c r="B334" s="86" t="inlineStr">
        <is>
          <t>DIS</t>
        </is>
      </c>
      <c r="C334" s="86" t="inlineStr">
        <is>
          <t>WALT DISNEY CO/</t>
        </is>
      </c>
      <c r="D334" s="86" t="n">
        <v>1.21</v>
      </c>
      <c r="E334" s="207" t="inlineStr">
        <is>
          <t>Distress</t>
        </is>
      </c>
      <c r="F334" s="86" t="n">
        <v>1.85</v>
      </c>
      <c r="G334" s="86" t="inlineStr">
        <is>
          <t>Grey</t>
        </is>
      </c>
      <c r="H334" s="86" t="n">
        <v>0.64</v>
      </c>
      <c r="I334" s="86" t="inlineStr">
        <is>
          <t>Distress</t>
        </is>
      </c>
      <c r="J334" s="86" t="n">
        <v>1.06</v>
      </c>
      <c r="K334" s="86" t="n">
        <v>0.74</v>
      </c>
      <c r="L334" s="86" t="inlineStr">
        <is>
          <t>Distress</t>
        </is>
      </c>
      <c r="M334" s="86" t="n">
        <v>6</v>
      </c>
      <c r="N334" s="86" t="inlineStr">
        <is>
          <t>Mixed</t>
        </is>
      </c>
      <c r="O334" s="90" t="inlineStr">
        <is>
          <t>N/A</t>
        </is>
      </c>
      <c r="P334" s="86" t="inlineStr">
        <is>
          <t>Insufficient Data</t>
        </is>
      </c>
      <c r="Q334" s="86" t="n">
        <v>1.59</v>
      </c>
      <c r="R334" s="86" t="n">
        <v>0.1129</v>
      </c>
      <c r="S334" s="86" t="n">
        <v>1.46</v>
      </c>
      <c r="T334" s="86" t="n">
        <v>0.1067</v>
      </c>
      <c r="U334" s="86" t="n">
        <v>0.0335</v>
      </c>
      <c r="V334" s="86" t="n">
        <v>0.1859</v>
      </c>
      <c r="W334" s="86" t="n">
        <v>-9.69</v>
      </c>
      <c r="X334" s="86" t="n">
        <v>51.07</v>
      </c>
      <c r="Y334" s="86" t="n">
        <v>0</v>
      </c>
      <c r="Z334" s="86" t="inlineStr">
        <is>
          <t>CLEAR</t>
        </is>
      </c>
    </row>
    <row r="335" ht="17" customHeight="1">
      <c r="A335" s="82" t="n">
        <v>333</v>
      </c>
      <c r="B335" s="82" t="inlineStr">
        <is>
          <t>TRGP</t>
        </is>
      </c>
      <c r="C335" s="82" t="inlineStr">
        <is>
          <t>TARGA RESOURCES CORP.</t>
        </is>
      </c>
      <c r="D335" s="82" t="n">
        <v>1.18</v>
      </c>
      <c r="E335" s="207" t="inlineStr">
        <is>
          <t>Distress</t>
        </is>
      </c>
      <c r="F335" s="82" t="n">
        <v>1</v>
      </c>
      <c r="G335" s="82" t="inlineStr">
        <is>
          <t>Distress</t>
        </is>
      </c>
      <c r="H335" s="82" t="n">
        <v>1.09</v>
      </c>
      <c r="I335" s="82" t="inlineStr">
        <is>
          <t>Healthy</t>
        </is>
      </c>
      <c r="J335" s="82" t="n">
        <v>1</v>
      </c>
      <c r="K335" s="82" t="n">
        <v>0.73</v>
      </c>
      <c r="L335" s="82" t="inlineStr">
        <is>
          <t>Distress</t>
        </is>
      </c>
      <c r="M335" s="82" t="n">
        <v>6</v>
      </c>
      <c r="N335" s="82" t="inlineStr">
        <is>
          <t>Mixed</t>
        </is>
      </c>
      <c r="O335" s="207" t="n">
        <v>-3.46</v>
      </c>
      <c r="P335" s="82" t="inlineStr">
        <is>
          <t>Lower Risk</t>
        </is>
      </c>
      <c r="Q335" s="82" t="n">
        <v>3.56</v>
      </c>
      <c r="R335" s="82" t="n">
        <v>0.6268</v>
      </c>
      <c r="S335" s="82" t="n">
        <v>2.04</v>
      </c>
      <c r="T335" s="82" t="n">
        <v>0.0343</v>
      </c>
      <c r="U335" s="82" t="n">
        <v>0.0395</v>
      </c>
      <c r="V335" s="82" t="n">
        <v>0.1956</v>
      </c>
      <c r="W335" s="82" t="n">
        <v>24.84</v>
      </c>
      <c r="X335" s="82" t="n">
        <v>50.96</v>
      </c>
      <c r="Y335" s="82" t="n">
        <v>0</v>
      </c>
      <c r="Z335" s="82" t="inlineStr">
        <is>
          <t>CLEAR</t>
        </is>
      </c>
    </row>
    <row r="336" ht="17" customHeight="1">
      <c r="A336" s="86" t="n">
        <v>334</v>
      </c>
      <c r="B336" s="86" t="inlineStr">
        <is>
          <t>TSN</t>
        </is>
      </c>
      <c r="C336" s="86" t="inlineStr">
        <is>
          <t>TYSON FOODS, INC.</t>
        </is>
      </c>
      <c r="D336" s="86" t="n">
        <v>2.28</v>
      </c>
      <c r="E336" s="208" t="inlineStr">
        <is>
          <t>Grey</t>
        </is>
      </c>
      <c r="F336" s="86" t="n">
        <v>3.01</v>
      </c>
      <c r="G336" s="86" t="inlineStr">
        <is>
          <t>Safe</t>
        </is>
      </c>
      <c r="H336" s="86" t="n">
        <v>0.86</v>
      </c>
      <c r="I336" s="86" t="inlineStr">
        <is>
          <t>Healthy</t>
        </is>
      </c>
      <c r="J336" s="86" t="n">
        <v>1.29</v>
      </c>
      <c r="K336" s="86" t="n">
        <v>0.78</v>
      </c>
      <c r="L336" s="86" t="inlineStr">
        <is>
          <t>Distress</t>
        </is>
      </c>
      <c r="M336" s="86" t="n">
        <v>5</v>
      </c>
      <c r="N336" s="86" t="inlineStr">
        <is>
          <t>Mixed</t>
        </is>
      </c>
      <c r="O336" s="207" t="n">
        <v>-2.74</v>
      </c>
      <c r="P336" s="86" t="inlineStr">
        <is>
          <t>Lower Risk</t>
        </is>
      </c>
      <c r="Q336" s="86" t="n">
        <v>-0.5</v>
      </c>
      <c r="R336" s="86" t="n">
        <v>0.0262</v>
      </c>
      <c r="S336" s="86" t="n">
        <v>4.55</v>
      </c>
      <c r="T336" s="86" t="n">
        <v>0.0216</v>
      </c>
      <c r="U336" s="86" t="n">
        <v>0.0212</v>
      </c>
      <c r="V336" s="86" t="n">
        <v>0.0202</v>
      </c>
      <c r="W336" s="90" t="inlineStr">
        <is>
          <t>N/A</t>
        </is>
      </c>
      <c r="X336" s="86" t="n">
        <v>50.93</v>
      </c>
      <c r="Y336" s="86" t="n">
        <v>0</v>
      </c>
      <c r="Z336" s="86" t="inlineStr">
        <is>
          <t>CLEAR</t>
        </is>
      </c>
    </row>
    <row r="337" ht="17" customHeight="1">
      <c r="A337" s="82" t="n">
        <v>335</v>
      </c>
      <c r="B337" s="82" t="inlineStr">
        <is>
          <t>BR</t>
        </is>
      </c>
      <c r="C337" s="82" t="inlineStr">
        <is>
          <t>BROADRIDGE FINANCIAL SOLUTIONS, INC.</t>
        </is>
      </c>
      <c r="D337" s="82" t="n">
        <v>1.48</v>
      </c>
      <c r="E337" s="208" t="inlineStr">
        <is>
          <t>Grey</t>
        </is>
      </c>
      <c r="F337" s="82" t="n">
        <v>2.85</v>
      </c>
      <c r="G337" s="82" t="inlineStr">
        <is>
          <t>Safe</t>
        </is>
      </c>
      <c r="H337" s="82" t="n">
        <v>0.83</v>
      </c>
      <c r="I337" s="82" t="inlineStr">
        <is>
          <t>Distress</t>
        </is>
      </c>
      <c r="J337" s="82" t="n">
        <v>-0.86</v>
      </c>
      <c r="K337" s="82" t="n">
        <v>0.3</v>
      </c>
      <c r="L337" s="82" t="inlineStr">
        <is>
          <t>Healthy</t>
        </is>
      </c>
      <c r="M337" s="82" t="n">
        <v>7</v>
      </c>
      <c r="N337" s="82" t="inlineStr">
        <is>
          <t>Strong</t>
        </is>
      </c>
      <c r="O337" s="207" t="n">
        <v>-1.36</v>
      </c>
      <c r="P337" s="82" t="inlineStr">
        <is>
          <t>Higher Risk</t>
        </is>
      </c>
      <c r="Q337" s="82" t="n">
        <v>2.2</v>
      </c>
      <c r="R337" s="82" t="n">
        <v>0.3162</v>
      </c>
      <c r="S337" s="82" t="n">
        <v>1.4</v>
      </c>
      <c r="T337" s="82" t="n">
        <v>0.2722</v>
      </c>
      <c r="U337" s="82" t="n">
        <v>2.0784</v>
      </c>
      <c r="V337" s="82" t="n">
        <v>0.2869</v>
      </c>
      <c r="W337" s="82" t="n">
        <v>8.75</v>
      </c>
      <c r="X337" s="82" t="n">
        <v>50.92</v>
      </c>
      <c r="Y337" s="82" t="n">
        <v>20</v>
      </c>
      <c r="Z337" s="82" t="inlineStr">
        <is>
          <t>CLEAR</t>
        </is>
      </c>
    </row>
    <row r="338" ht="17" customHeight="1">
      <c r="A338" s="86" t="n">
        <v>336</v>
      </c>
      <c r="B338" s="86" t="inlineStr">
        <is>
          <t>NOW</t>
        </is>
      </c>
      <c r="C338" s="86" t="inlineStr">
        <is>
          <t>ServiceNow, Inc.</t>
        </is>
      </c>
      <c r="D338" s="86" t="n">
        <v>0.88</v>
      </c>
      <c r="E338" s="207" t="inlineStr">
        <is>
          <t>Distress</t>
        </is>
      </c>
      <c r="F338" s="86" t="n">
        <v>2.18</v>
      </c>
      <c r="G338" s="86" t="inlineStr">
        <is>
          <t>Grey</t>
        </is>
      </c>
      <c r="H338" s="86" t="n">
        <v>0.39</v>
      </c>
      <c r="I338" s="86" t="inlineStr">
        <is>
          <t>Distress</t>
        </is>
      </c>
      <c r="J338" s="86" t="n">
        <v>-1.78</v>
      </c>
      <c r="K338" s="86" t="n">
        <v>0.14</v>
      </c>
      <c r="L338" s="86" t="inlineStr">
        <is>
          <t>Healthy</t>
        </is>
      </c>
      <c r="M338" s="86" t="n">
        <v>6</v>
      </c>
      <c r="N338" s="86" t="inlineStr">
        <is>
          <t>Mixed</t>
        </is>
      </c>
      <c r="O338" s="207" t="n">
        <v>-2.88</v>
      </c>
      <c r="P338" s="86" t="inlineStr">
        <is>
          <t>Lower Risk</t>
        </is>
      </c>
      <c r="Q338" s="86" t="n">
        <v>-1.45</v>
      </c>
      <c r="R338" s="86" t="n">
        <v>0.1348</v>
      </c>
      <c r="S338" s="86" t="n">
        <v>3.11</v>
      </c>
      <c r="T338" s="86" t="n">
        <v>2.3673</v>
      </c>
      <c r="U338" s="86" t="n">
        <v>0.3902</v>
      </c>
      <c r="V338" s="86" t="n">
        <v>0.9436</v>
      </c>
      <c r="W338" s="86" t="n">
        <v>67.56</v>
      </c>
      <c r="X338" s="86" t="n">
        <v>50.9</v>
      </c>
      <c r="Y338" s="86" t="n">
        <v>20</v>
      </c>
      <c r="Z338" s="86" t="inlineStr">
        <is>
          <t>CLEAR</t>
        </is>
      </c>
    </row>
    <row r="339" ht="17" customHeight="1">
      <c r="A339" s="82" t="n">
        <v>337</v>
      </c>
      <c r="B339" s="82" t="inlineStr">
        <is>
          <t>DD</t>
        </is>
      </c>
      <c r="C339" s="82" t="inlineStr">
        <is>
          <t>DUPONT DE NEMOURS, INC.</t>
        </is>
      </c>
      <c r="D339" s="82" t="n">
        <v>0.91</v>
      </c>
      <c r="E339" s="207" t="inlineStr">
        <is>
          <t>Distress</t>
        </is>
      </c>
      <c r="F339" s="82" t="n">
        <v>-0.66</v>
      </c>
      <c r="G339" s="82" t="inlineStr">
        <is>
          <t>Distress</t>
        </is>
      </c>
      <c r="H339" s="82" t="n">
        <v>0.62</v>
      </c>
      <c r="I339" s="82" t="inlineStr">
        <is>
          <t>Distress</t>
        </is>
      </c>
      <c r="J339" s="82" t="n">
        <v>-2.2</v>
      </c>
      <c r="K339" s="82" t="n">
        <v>0.1</v>
      </c>
      <c r="L339" s="82" t="inlineStr">
        <is>
          <t>Healthy</t>
        </is>
      </c>
      <c r="M339" s="82" t="n">
        <v>7</v>
      </c>
      <c r="N339" s="82" t="inlineStr">
        <is>
          <t>Strong</t>
        </is>
      </c>
      <c r="O339" s="207" t="n">
        <v>-1.23</v>
      </c>
      <c r="P339" s="82" t="inlineStr">
        <is>
          <t>Higher Risk</t>
        </is>
      </c>
      <c r="Q339" s="82" t="n">
        <v>8.43</v>
      </c>
      <c r="R339" s="82" t="n">
        <v>-0.056</v>
      </c>
      <c r="S339" s="82" t="n">
        <v>-0.75</v>
      </c>
      <c r="T339" s="82" t="n">
        <v>0.0125</v>
      </c>
      <c r="U339" s="82" t="n">
        <v>2.8837</v>
      </c>
      <c r="V339" s="82" t="n">
        <v>0.0098</v>
      </c>
      <c r="W339" s="91" t="inlineStr">
        <is>
          <t>N/A</t>
        </is>
      </c>
      <c r="X339" s="82" t="n">
        <v>50.83</v>
      </c>
      <c r="Y339" s="82" t="n">
        <v>60</v>
      </c>
      <c r="Z339" s="82" t="inlineStr">
        <is>
          <t>RED FLAG</t>
        </is>
      </c>
    </row>
    <row r="340" ht="17" customHeight="1">
      <c r="A340" s="86" t="n">
        <v>338</v>
      </c>
      <c r="B340" s="86" t="inlineStr">
        <is>
          <t>IP</t>
        </is>
      </c>
      <c r="C340" s="86" t="inlineStr">
        <is>
          <t>INTERNATIONAL PAPER COMPANY</t>
        </is>
      </c>
      <c r="D340" s="86" t="n">
        <v>1.13</v>
      </c>
      <c r="E340" s="207" t="inlineStr">
        <is>
          <t>Distress</t>
        </is>
      </c>
      <c r="F340" s="86" t="n">
        <v>1.63</v>
      </c>
      <c r="G340" s="86" t="inlineStr">
        <is>
          <t>Grey</t>
        </is>
      </c>
      <c r="H340" s="86" t="n">
        <v>0.48</v>
      </c>
      <c r="I340" s="86" t="inlineStr">
        <is>
          <t>Distress</t>
        </is>
      </c>
      <c r="J340" s="86" t="n">
        <v>1.77</v>
      </c>
      <c r="K340" s="86" t="n">
        <v>0.85</v>
      </c>
      <c r="L340" s="86" t="inlineStr">
        <is>
          <t>Distress</t>
        </is>
      </c>
      <c r="M340" s="86" t="n">
        <v>6</v>
      </c>
      <c r="N340" s="86" t="inlineStr">
        <is>
          <t>Mixed</t>
        </is>
      </c>
      <c r="O340" s="90" t="inlineStr">
        <is>
          <t>N/A</t>
        </is>
      </c>
      <c r="P340" s="86" t="inlineStr">
        <is>
          <t>Insufficient Data</t>
        </is>
      </c>
      <c r="Q340" s="86" t="n">
        <v>1.47</v>
      </c>
      <c r="R340" s="86" t="n">
        <v>-0.2371</v>
      </c>
      <c r="S340" s="86" t="n">
        <v>-0.48</v>
      </c>
      <c r="T340" s="86" t="n">
        <v>0.0493</v>
      </c>
      <c r="U340" s="86" t="n">
        <v>2.9351</v>
      </c>
      <c r="V340" s="86" t="n">
        <v>0.0999</v>
      </c>
      <c r="W340" s="86" t="n">
        <v>4.28</v>
      </c>
      <c r="X340" s="86" t="n">
        <v>50.79</v>
      </c>
      <c r="Y340" s="86" t="n">
        <v>60</v>
      </c>
      <c r="Z340" s="86" t="inlineStr">
        <is>
          <t>RED FLAG</t>
        </is>
      </c>
    </row>
    <row r="341" ht="17" customHeight="1">
      <c r="A341" s="82" t="n">
        <v>339</v>
      </c>
      <c r="B341" s="82" t="inlineStr">
        <is>
          <t>BKR</t>
        </is>
      </c>
      <c r="C341" s="82" t="inlineStr">
        <is>
          <t>Baker Hughes Co</t>
        </is>
      </c>
      <c r="D341" s="82" t="n">
        <v>1.12</v>
      </c>
      <c r="E341" s="207" t="inlineStr">
        <is>
          <t>Distress</t>
        </is>
      </c>
      <c r="F341" s="82" t="n">
        <v>1.53</v>
      </c>
      <c r="G341" s="82" t="inlineStr">
        <is>
          <t>Grey</t>
        </is>
      </c>
      <c r="H341" s="82" t="n">
        <v>0.76</v>
      </c>
      <c r="I341" s="82" t="inlineStr">
        <is>
          <t>Distress</t>
        </is>
      </c>
      <c r="J341" s="82" t="n">
        <v>1.06</v>
      </c>
      <c r="K341" s="82" t="n">
        <v>0.74</v>
      </c>
      <c r="L341" s="82" t="inlineStr">
        <is>
          <t>Distress</t>
        </is>
      </c>
      <c r="M341" s="82" t="n">
        <v>6</v>
      </c>
      <c r="N341" s="82" t="inlineStr">
        <is>
          <t>Mixed</t>
        </is>
      </c>
      <c r="O341" s="207" t="n">
        <v>-3.18</v>
      </c>
      <c r="P341" s="82" t="inlineStr">
        <is>
          <t>Lower Risk</t>
        </is>
      </c>
      <c r="Q341" s="82" t="n">
        <v>-1.65</v>
      </c>
      <c r="R341" s="82" t="n">
        <v>0.1374</v>
      </c>
      <c r="S341" s="82" t="n">
        <v>1.47</v>
      </c>
      <c r="T341" s="82" t="n">
        <v>0.0915</v>
      </c>
      <c r="U341" s="82" t="n">
        <v>-0.0034</v>
      </c>
      <c r="V341" s="82" t="n">
        <v>0.1111</v>
      </c>
      <c r="W341" s="82" t="n">
        <v>28.27</v>
      </c>
      <c r="X341" s="82" t="n">
        <v>50.77</v>
      </c>
      <c r="Y341" s="82" t="n">
        <v>0</v>
      </c>
      <c r="Z341" s="82" t="inlineStr">
        <is>
          <t>CLEAR</t>
        </is>
      </c>
    </row>
    <row r="342" ht="17" customHeight="1">
      <c r="A342" s="86" t="n">
        <v>340</v>
      </c>
      <c r="B342" s="86" t="inlineStr">
        <is>
          <t>PAYX</t>
        </is>
      </c>
      <c r="C342" s="86" t="inlineStr">
        <is>
          <t>Paychex, Inc.</t>
        </is>
      </c>
      <c r="D342" s="86" t="n">
        <v>1.09</v>
      </c>
      <c r="E342" s="207" t="inlineStr">
        <is>
          <t>Distress</t>
        </is>
      </c>
      <c r="F342" s="86" t="n">
        <v>2.47</v>
      </c>
      <c r="G342" s="86" t="inlineStr">
        <is>
          <t>Grey</t>
        </is>
      </c>
      <c r="H342" s="86" t="n">
        <v>0.87</v>
      </c>
      <c r="I342" s="86" t="inlineStr">
        <is>
          <t>Healthy</t>
        </is>
      </c>
      <c r="J342" s="86" t="n">
        <v>-0.25</v>
      </c>
      <c r="K342" s="86" t="n">
        <v>0.44</v>
      </c>
      <c r="L342" s="86" t="inlineStr">
        <is>
          <t>Healthy</t>
        </is>
      </c>
      <c r="M342" s="86" t="n">
        <v>6</v>
      </c>
      <c r="N342" s="86" t="inlineStr">
        <is>
          <t>Mixed</t>
        </is>
      </c>
      <c r="O342" s="207" t="n">
        <v>-2.5</v>
      </c>
      <c r="P342" s="86" t="inlineStr">
        <is>
          <t>Lower Risk</t>
        </is>
      </c>
      <c r="Q342" s="86" t="n">
        <v>1.45</v>
      </c>
      <c r="R342" s="86" t="n">
        <v>0.1635</v>
      </c>
      <c r="S342" s="86" t="n">
        <v>2.82</v>
      </c>
      <c r="T342" s="86" t="n">
        <v>0.3067</v>
      </c>
      <c r="U342" s="86" t="n">
        <v>0.0556</v>
      </c>
      <c r="V342" s="86" t="n">
        <v>0.3962</v>
      </c>
      <c r="W342" s="86" t="n">
        <v>59.19</v>
      </c>
      <c r="X342" s="86" t="n">
        <v>50.65</v>
      </c>
      <c r="Y342" s="86" t="n">
        <v>0</v>
      </c>
      <c r="Z342" s="86" t="inlineStr">
        <is>
          <t>CLEAR</t>
        </is>
      </c>
    </row>
    <row r="343" ht="17" customHeight="1">
      <c r="A343" s="82" t="n">
        <v>341</v>
      </c>
      <c r="B343" s="82" t="inlineStr">
        <is>
          <t>ESNT</t>
        </is>
      </c>
      <c r="C343" s="82" t="inlineStr">
        <is>
          <t>ESSENT GROUP LTD.</t>
        </is>
      </c>
      <c r="D343" s="91" t="inlineStr">
        <is>
          <t>N/A</t>
        </is>
      </c>
      <c r="E343" s="91" t="inlineStr">
        <is>
          <t>N/A</t>
        </is>
      </c>
      <c r="F343" s="91" t="inlineStr">
        <is>
          <t>N/A</t>
        </is>
      </c>
      <c r="G343" s="91" t="inlineStr">
        <is>
          <t>N/A</t>
        </is>
      </c>
      <c r="H343" s="91" t="inlineStr">
        <is>
          <t>N/A</t>
        </is>
      </c>
      <c r="I343" s="91" t="inlineStr">
        <is>
          <t>N/A</t>
        </is>
      </c>
      <c r="J343" s="91" t="inlineStr">
        <is>
          <t>N/A</t>
        </is>
      </c>
      <c r="K343" s="91" t="inlineStr">
        <is>
          <t>N/A</t>
        </is>
      </c>
      <c r="L343" s="91" t="inlineStr">
        <is>
          <t>N/A</t>
        </is>
      </c>
      <c r="M343" s="82" t="n">
        <v>4</v>
      </c>
      <c r="N343" s="82" t="inlineStr">
        <is>
          <t>Mixed</t>
        </is>
      </c>
      <c r="O343" s="207" t="n">
        <v>-2.59</v>
      </c>
      <c r="P343" s="82" t="inlineStr">
        <is>
          <t>Lower Risk</t>
        </is>
      </c>
      <c r="Q343" s="82" t="n">
        <v>-0.08</v>
      </c>
      <c r="R343" s="82" t="n">
        <v>0.1199</v>
      </c>
      <c r="S343" s="82" t="n">
        <v>1.24</v>
      </c>
      <c r="T343" s="82" t="n">
        <v>0.6731</v>
      </c>
      <c r="U343" s="82" t="n">
        <v>0.0145</v>
      </c>
      <c r="V343" s="82" t="n">
        <v>0.6518</v>
      </c>
      <c r="W343" s="82" t="n">
        <v>27.27</v>
      </c>
      <c r="X343" s="82" t="n">
        <v>50.61</v>
      </c>
      <c r="Y343" s="82" t="n">
        <v>0</v>
      </c>
      <c r="Z343" s="82" t="inlineStr">
        <is>
          <t>CLEAR</t>
        </is>
      </c>
    </row>
    <row r="344" ht="17" customHeight="1">
      <c r="A344" s="86" t="n">
        <v>342</v>
      </c>
      <c r="B344" s="86" t="inlineStr">
        <is>
          <t>SBUX</t>
        </is>
      </c>
      <c r="C344" s="86" t="inlineStr">
        <is>
          <t>Starbucks Corporation</t>
        </is>
      </c>
      <c r="D344" s="86" t="n">
        <v>1.08</v>
      </c>
      <c r="E344" s="207" t="inlineStr">
        <is>
          <t>Distress</t>
        </is>
      </c>
      <c r="F344" s="86" t="n">
        <v>-1.02</v>
      </c>
      <c r="G344" s="86" t="inlineStr">
        <is>
          <t>Distress</t>
        </is>
      </c>
      <c r="H344" s="86" t="n">
        <v>0.82</v>
      </c>
      <c r="I344" s="86" t="inlineStr">
        <is>
          <t>Distress</t>
        </is>
      </c>
      <c r="J344" s="86" t="n">
        <v>2.52</v>
      </c>
      <c r="K344" s="86" t="n">
        <v>0.93</v>
      </c>
      <c r="L344" s="86" t="inlineStr">
        <is>
          <t>Distress</t>
        </is>
      </c>
      <c r="M344" s="86" t="n">
        <v>6</v>
      </c>
      <c r="N344" s="86" t="inlineStr">
        <is>
          <t>Mixed</t>
        </is>
      </c>
      <c r="O344" s="207" t="n">
        <v>-2.88</v>
      </c>
      <c r="P344" s="86" t="inlineStr">
        <is>
          <t>Lower Risk</t>
        </is>
      </c>
      <c r="Q344" s="86" t="n">
        <v>2.08</v>
      </c>
      <c r="R344" s="86" t="n">
        <v>-0.2293</v>
      </c>
      <c r="S344" s="86" t="n">
        <v>2.56</v>
      </c>
      <c r="T344" s="86" t="n">
        <v>0.06569999999999999</v>
      </c>
      <c r="U344" s="86" t="n">
        <v>0.0279</v>
      </c>
      <c r="V344" s="86" t="n">
        <v>0.079</v>
      </c>
      <c r="W344" s="86" t="n">
        <v>5.41</v>
      </c>
      <c r="X344" s="86" t="n">
        <v>50.6</v>
      </c>
      <c r="Y344" s="86" t="n">
        <v>0</v>
      </c>
      <c r="Z344" s="86" t="inlineStr">
        <is>
          <t>CLEAR</t>
        </is>
      </c>
    </row>
    <row r="345" ht="17" customHeight="1">
      <c r="A345" s="82" t="n">
        <v>343</v>
      </c>
      <c r="B345" s="82" t="inlineStr">
        <is>
          <t>KEYS</t>
        </is>
      </c>
      <c r="C345" s="82" t="inlineStr">
        <is>
          <t>KEYSIGHT TECHNOLOGIES, INC.</t>
        </is>
      </c>
      <c r="D345" s="82" t="n">
        <v>1.86</v>
      </c>
      <c r="E345" s="208" t="inlineStr">
        <is>
          <t>Grey</t>
        </is>
      </c>
      <c r="F345" s="82" t="n">
        <v>5.15</v>
      </c>
      <c r="G345" s="82" t="inlineStr">
        <is>
          <t>Safe</t>
        </is>
      </c>
      <c r="H345" s="82" t="n">
        <v>1.04</v>
      </c>
      <c r="I345" s="82" t="inlineStr">
        <is>
          <t>Healthy</t>
        </is>
      </c>
      <c r="J345" s="82" t="n">
        <v>-1.94</v>
      </c>
      <c r="K345" s="82" t="n">
        <v>0.13</v>
      </c>
      <c r="L345" s="82" t="inlineStr">
        <is>
          <t>Healthy</t>
        </is>
      </c>
      <c r="M345" s="82" t="n">
        <v>5</v>
      </c>
      <c r="N345" s="82" t="inlineStr">
        <is>
          <t>Mixed</t>
        </is>
      </c>
      <c r="O345" s="207" t="n">
        <v>-2.68</v>
      </c>
      <c r="P345" s="82" t="inlineStr">
        <is>
          <t>Lower Risk</t>
        </is>
      </c>
      <c r="Q345" s="82" t="n">
        <v>0.6</v>
      </c>
      <c r="R345" s="82" t="n">
        <v>0.1445</v>
      </c>
      <c r="S345" s="82" t="n">
        <v>1.66</v>
      </c>
      <c r="T345" s="82" t="n">
        <v>0.2383</v>
      </c>
      <c r="U345" s="82" t="n">
        <v>0.0795</v>
      </c>
      <c r="V345" s="82" t="n">
        <v>0.163</v>
      </c>
      <c r="W345" s="82" t="n">
        <v>9.119999999999999</v>
      </c>
      <c r="X345" s="82" t="n">
        <v>50.58</v>
      </c>
      <c r="Y345" s="82" t="n">
        <v>0</v>
      </c>
      <c r="Z345" s="82" t="inlineStr">
        <is>
          <t>CLEAR</t>
        </is>
      </c>
    </row>
    <row r="346" ht="17" customHeight="1">
      <c r="A346" s="86" t="n">
        <v>344</v>
      </c>
      <c r="B346" s="86" t="inlineStr">
        <is>
          <t>SAIA</t>
        </is>
      </c>
      <c r="C346" s="86" t="inlineStr">
        <is>
          <t>Saia, Inc.</t>
        </is>
      </c>
      <c r="D346" s="86" t="n">
        <v>2.14</v>
      </c>
      <c r="E346" s="208" t="inlineStr">
        <is>
          <t>Grey</t>
        </is>
      </c>
      <c r="F346" s="86" t="n">
        <v>3.91</v>
      </c>
      <c r="G346" s="86" t="inlineStr">
        <is>
          <t>Safe</t>
        </is>
      </c>
      <c r="H346" s="86" t="n">
        <v>1.57</v>
      </c>
      <c r="I346" s="86" t="inlineStr">
        <is>
          <t>Healthy</t>
        </is>
      </c>
      <c r="J346" s="86" t="n">
        <v>1.02</v>
      </c>
      <c r="K346" s="86" t="n">
        <v>0.73</v>
      </c>
      <c r="L346" s="86" t="inlineStr">
        <is>
          <t>Distress</t>
        </is>
      </c>
      <c r="M346" s="86" t="n">
        <v>5</v>
      </c>
      <c r="N346" s="86" t="inlineStr">
        <is>
          <t>Mixed</t>
        </is>
      </c>
      <c r="O346" s="90" t="inlineStr">
        <is>
          <t>N/A</t>
        </is>
      </c>
      <c r="P346" s="86" t="inlineStr">
        <is>
          <t>Insufficient Data</t>
        </is>
      </c>
      <c r="Q346" s="86" t="n">
        <v>0.24</v>
      </c>
      <c r="R346" s="86" t="n">
        <v>0.0989</v>
      </c>
      <c r="S346" s="86" t="n">
        <v>2.33</v>
      </c>
      <c r="T346" s="86" t="n">
        <v>0.008500000000000001</v>
      </c>
      <c r="U346" s="86" t="n">
        <v>0.007900000000000001</v>
      </c>
      <c r="V346" s="86" t="n">
        <v>0.1089</v>
      </c>
      <c r="W346" s="86" t="n">
        <v>21.42</v>
      </c>
      <c r="X346" s="86" t="n">
        <v>50.44</v>
      </c>
      <c r="Y346" s="86" t="n">
        <v>0</v>
      </c>
      <c r="Z346" s="86" t="inlineStr">
        <is>
          <t>CLEAR</t>
        </is>
      </c>
    </row>
    <row r="347" ht="17" customHeight="1">
      <c r="A347" s="82" t="n">
        <v>345</v>
      </c>
      <c r="B347" s="82" t="inlineStr">
        <is>
          <t>CMCSA</t>
        </is>
      </c>
      <c r="C347" s="82" t="inlineStr">
        <is>
          <t>Comcast Corporation</t>
        </is>
      </c>
      <c r="D347" s="82" t="n">
        <v>1.03</v>
      </c>
      <c r="E347" s="207" t="inlineStr">
        <is>
          <t>Distress</t>
        </is>
      </c>
      <c r="F347" s="82" t="n">
        <v>1.58</v>
      </c>
      <c r="G347" s="82" t="inlineStr">
        <is>
          <t>Grey</t>
        </is>
      </c>
      <c r="H347" s="82" t="n">
        <v>0.9</v>
      </c>
      <c r="I347" s="82" t="inlineStr">
        <is>
          <t>Healthy</t>
        </is>
      </c>
      <c r="J347" s="82" t="n">
        <v>1.02</v>
      </c>
      <c r="K347" s="82" t="n">
        <v>0.73</v>
      </c>
      <c r="L347" s="82" t="inlineStr">
        <is>
          <t>Distress</t>
        </is>
      </c>
      <c r="M347" s="82" t="n">
        <v>6</v>
      </c>
      <c r="N347" s="82" t="inlineStr">
        <is>
          <t>Mixed</t>
        </is>
      </c>
      <c r="O347" s="91" t="inlineStr">
        <is>
          <t>N/A</t>
        </is>
      </c>
      <c r="P347" s="82" t="inlineStr">
        <is>
          <t>Insufficient Data</t>
        </is>
      </c>
      <c r="Q347" s="82" t="n">
        <v>-0.28</v>
      </c>
      <c r="R347" s="82" t="n">
        <v>0.2064</v>
      </c>
      <c r="S347" s="82" t="n">
        <v>1.68</v>
      </c>
      <c r="T347" s="82" t="n">
        <v>0.1801</v>
      </c>
      <c r="U347" s="82" t="n">
        <v>0.0012</v>
      </c>
      <c r="V347" s="82" t="n">
        <v>0.17</v>
      </c>
      <c r="W347" s="82" t="n">
        <v>5.06</v>
      </c>
      <c r="X347" s="82" t="n">
        <v>50.43</v>
      </c>
      <c r="Y347" s="82" t="n">
        <v>0</v>
      </c>
      <c r="Z347" s="82" t="inlineStr">
        <is>
          <t>CLEAR</t>
        </is>
      </c>
    </row>
    <row r="348" ht="17" customHeight="1">
      <c r="A348" s="86" t="n">
        <v>346</v>
      </c>
      <c r="B348" s="86" t="inlineStr">
        <is>
          <t>O</t>
        </is>
      </c>
      <c r="C348" s="86" t="inlineStr">
        <is>
          <t>REALTY INCOME CORP</t>
        </is>
      </c>
      <c r="D348" s="90" t="inlineStr">
        <is>
          <t>N/A</t>
        </is>
      </c>
      <c r="E348" s="90" t="inlineStr">
        <is>
          <t>N/A</t>
        </is>
      </c>
      <c r="F348" s="90" t="inlineStr">
        <is>
          <t>N/A</t>
        </is>
      </c>
      <c r="G348" s="90" t="inlineStr">
        <is>
          <t>N/A</t>
        </is>
      </c>
      <c r="H348" s="90" t="inlineStr">
        <is>
          <t>N/A</t>
        </is>
      </c>
      <c r="I348" s="90" t="inlineStr">
        <is>
          <t>N/A</t>
        </is>
      </c>
      <c r="J348" s="90" t="inlineStr">
        <is>
          <t>N/A</t>
        </is>
      </c>
      <c r="K348" s="90" t="inlineStr">
        <is>
          <t>N/A</t>
        </is>
      </c>
      <c r="L348" s="90" t="inlineStr">
        <is>
          <t>N/A</t>
        </is>
      </c>
      <c r="M348" s="86" t="n">
        <v>6</v>
      </c>
      <c r="N348" s="86" t="inlineStr">
        <is>
          <t>Mixed</t>
        </is>
      </c>
      <c r="O348" s="90" t="inlineStr">
        <is>
          <t>N/A</t>
        </is>
      </c>
      <c r="P348" s="86" t="inlineStr">
        <is>
          <t>Insufficient Data</t>
        </is>
      </c>
      <c r="Q348" s="86" t="n">
        <v>0.96</v>
      </c>
      <c r="R348" s="86" t="n">
        <v>0.0268</v>
      </c>
      <c r="S348" s="86" t="n">
        <v>3.77</v>
      </c>
      <c r="T348" s="86" t="n">
        <v>0.6719000000000001</v>
      </c>
      <c r="U348" s="86" t="n">
        <v>0.0907</v>
      </c>
      <c r="V348" s="86" t="n">
        <v>0.2009</v>
      </c>
      <c r="W348" s="86" t="n">
        <v>1.58</v>
      </c>
      <c r="X348" s="86" t="n">
        <v>50.36</v>
      </c>
      <c r="Y348" s="86" t="n">
        <v>0</v>
      </c>
      <c r="Z348" s="86" t="inlineStr">
        <is>
          <t>CLEAR</t>
        </is>
      </c>
    </row>
    <row r="349" ht="17" customHeight="1">
      <c r="A349" s="82" t="n">
        <v>347</v>
      </c>
      <c r="B349" s="82" t="inlineStr">
        <is>
          <t>GVA</t>
        </is>
      </c>
      <c r="C349" s="82" t="inlineStr">
        <is>
          <t>GRANITE CONSTRUCTION INC</t>
        </is>
      </c>
      <c r="D349" s="82" t="n">
        <v>1</v>
      </c>
      <c r="E349" s="207" t="inlineStr">
        <is>
          <t>Distress</t>
        </is>
      </c>
      <c r="F349" s="82" t="n">
        <v>1.94</v>
      </c>
      <c r="G349" s="82" t="inlineStr">
        <is>
          <t>Grey</t>
        </is>
      </c>
      <c r="H349" s="82" t="n">
        <v>0.6</v>
      </c>
      <c r="I349" s="82" t="inlineStr">
        <is>
          <t>Distress</t>
        </is>
      </c>
      <c r="J349" s="82" t="n">
        <v>1.13</v>
      </c>
      <c r="K349" s="82" t="n">
        <v>0.76</v>
      </c>
      <c r="L349" s="82" t="inlineStr">
        <is>
          <t>Distress</t>
        </is>
      </c>
      <c r="M349" s="82" t="n">
        <v>6</v>
      </c>
      <c r="N349" s="82" t="inlineStr">
        <is>
          <t>Mixed</t>
        </is>
      </c>
      <c r="O349" s="207" t="n">
        <v>-2.7</v>
      </c>
      <c r="P349" s="82" t="inlineStr">
        <is>
          <t>Lower Risk</t>
        </is>
      </c>
      <c r="Q349" s="82" t="n">
        <v>1.85</v>
      </c>
      <c r="R349" s="82" t="n">
        <v>0.1637</v>
      </c>
      <c r="S349" s="82" t="n">
        <v>2.43</v>
      </c>
      <c r="T349" s="82" t="n">
        <v>0.1876</v>
      </c>
      <c r="U349" s="82" t="n">
        <v>-0.1021</v>
      </c>
      <c r="V349" s="82" t="n">
        <v>0.1602</v>
      </c>
      <c r="W349" s="82" t="n">
        <v>15.3</v>
      </c>
      <c r="X349" s="82" t="n">
        <v>50.33</v>
      </c>
      <c r="Y349" s="82" t="n">
        <v>0</v>
      </c>
      <c r="Z349" s="82" t="inlineStr">
        <is>
          <t>CLEAR</t>
        </is>
      </c>
    </row>
    <row r="350" ht="17" customHeight="1">
      <c r="A350" s="86" t="n">
        <v>348</v>
      </c>
      <c r="B350" s="86" t="inlineStr">
        <is>
          <t>PSA</t>
        </is>
      </c>
      <c r="C350" s="86" t="inlineStr">
        <is>
          <t>Public Storage</t>
        </is>
      </c>
      <c r="D350" s="90" t="inlineStr">
        <is>
          <t>N/A</t>
        </is>
      </c>
      <c r="E350" s="90" t="inlineStr">
        <is>
          <t>N/A</t>
        </is>
      </c>
      <c r="F350" s="90" t="inlineStr">
        <is>
          <t>N/A</t>
        </is>
      </c>
      <c r="G350" s="90" t="inlineStr">
        <is>
          <t>N/A</t>
        </is>
      </c>
      <c r="H350" s="90" t="inlineStr">
        <is>
          <t>N/A</t>
        </is>
      </c>
      <c r="I350" s="90" t="inlineStr">
        <is>
          <t>N/A</t>
        </is>
      </c>
      <c r="J350" s="90" t="inlineStr">
        <is>
          <t>N/A</t>
        </is>
      </c>
      <c r="K350" s="90" t="inlineStr">
        <is>
          <t>N/A</t>
        </is>
      </c>
      <c r="L350" s="90" t="inlineStr">
        <is>
          <t>N/A</t>
        </is>
      </c>
      <c r="M350" s="86" t="n">
        <v>6</v>
      </c>
      <c r="N350" s="86" t="inlineStr">
        <is>
          <t>Mixed</t>
        </is>
      </c>
      <c r="O350" s="90" t="inlineStr">
        <is>
          <t>N/A</t>
        </is>
      </c>
      <c r="P350" s="86" t="inlineStr">
        <is>
          <t>Insufficient Data</t>
        </is>
      </c>
      <c r="Q350" s="86" t="n">
        <v>4.65</v>
      </c>
      <c r="R350" s="86" t="n">
        <v>0.1929</v>
      </c>
      <c r="S350" s="86" t="n">
        <v>1.79</v>
      </c>
      <c r="T350" s="86" t="n">
        <v>0.6217</v>
      </c>
      <c r="U350" s="86" t="n">
        <v>0.0274</v>
      </c>
      <c r="V350" s="86" t="n">
        <v>0.295</v>
      </c>
      <c r="W350" s="86" t="n">
        <v>4.67</v>
      </c>
      <c r="X350" s="86" t="n">
        <v>50.28</v>
      </c>
      <c r="Y350" s="86" t="n">
        <v>0</v>
      </c>
      <c r="Z350" s="86" t="inlineStr">
        <is>
          <t>CLEAR</t>
        </is>
      </c>
    </row>
    <row r="351" ht="17" customHeight="1">
      <c r="A351" s="82" t="n">
        <v>349</v>
      </c>
      <c r="B351" s="82" t="inlineStr">
        <is>
          <t>CAG</t>
        </is>
      </c>
      <c r="C351" s="82" t="inlineStr">
        <is>
          <t>CONAGRA BRANDS, INC.</t>
        </is>
      </c>
      <c r="D351" s="82" t="n">
        <v>0.82</v>
      </c>
      <c r="E351" s="207" t="inlineStr">
        <is>
          <t>Distress</t>
        </is>
      </c>
      <c r="F351" s="82" t="n">
        <v>1.88</v>
      </c>
      <c r="G351" s="82" t="inlineStr">
        <is>
          <t>Grey</t>
        </is>
      </c>
      <c r="H351" s="82" t="n">
        <v>0.34</v>
      </c>
      <c r="I351" s="82" t="inlineStr">
        <is>
          <t>Distress</t>
        </is>
      </c>
      <c r="J351" s="82" t="n">
        <v>-1.33</v>
      </c>
      <c r="K351" s="82" t="n">
        <v>0.21</v>
      </c>
      <c r="L351" s="82" t="inlineStr">
        <is>
          <t>Healthy</t>
        </is>
      </c>
      <c r="M351" s="82" t="n">
        <v>6</v>
      </c>
      <c r="N351" s="82" t="inlineStr">
        <is>
          <t>Mixed</t>
        </is>
      </c>
      <c r="O351" s="207" t="n">
        <v>-2.61</v>
      </c>
      <c r="P351" s="82" t="inlineStr">
        <is>
          <t>Lower Risk</t>
        </is>
      </c>
      <c r="Q351" s="82" t="n">
        <v>4.1</v>
      </c>
      <c r="R351" s="82" t="n">
        <v>0.129</v>
      </c>
      <c r="S351" s="82" t="n">
        <v>1.47</v>
      </c>
      <c r="T351" s="82" t="n">
        <v>0.8683999999999999</v>
      </c>
      <c r="U351" s="82" t="n">
        <v>-0.0625</v>
      </c>
      <c r="V351" s="82" t="n">
        <v>0.9097</v>
      </c>
      <c r="W351" s="82" t="n">
        <v>4.58</v>
      </c>
      <c r="X351" s="82" t="n">
        <v>50.25</v>
      </c>
      <c r="Y351" s="82" t="n">
        <v>0</v>
      </c>
      <c r="Z351" s="82" t="inlineStr">
        <is>
          <t>CLEAR</t>
        </is>
      </c>
    </row>
    <row r="352" ht="17" customHeight="1">
      <c r="A352" s="86" t="n">
        <v>350</v>
      </c>
      <c r="B352" s="86" t="inlineStr">
        <is>
          <t>NCLH</t>
        </is>
      </c>
      <c r="C352" s="86" t="inlineStr">
        <is>
          <t>NORWEGIAN CRUISE LINE HOLDINGS LTD.</t>
        </is>
      </c>
      <c r="D352" s="86" t="n">
        <v>0.15</v>
      </c>
      <c r="E352" s="207" t="inlineStr">
        <is>
          <t>Distress</t>
        </is>
      </c>
      <c r="F352" s="86" t="n">
        <v>-1.48</v>
      </c>
      <c r="G352" s="86" t="inlineStr">
        <is>
          <t>Distress</t>
        </is>
      </c>
      <c r="H352" s="86" t="n">
        <v>0.16</v>
      </c>
      <c r="I352" s="86" t="inlineStr">
        <is>
          <t>Distress</t>
        </is>
      </c>
      <c r="J352" s="86" t="n">
        <v>0.7</v>
      </c>
      <c r="K352" s="86" t="n">
        <v>0.67</v>
      </c>
      <c r="L352" s="86" t="inlineStr">
        <is>
          <t>Distress</t>
        </is>
      </c>
      <c r="M352" s="86" t="n">
        <v>8</v>
      </c>
      <c r="N352" s="86" t="inlineStr">
        <is>
          <t>Strong</t>
        </is>
      </c>
      <c r="O352" s="208" t="n">
        <v>40.75</v>
      </c>
      <c r="P352" s="86" t="inlineStr">
        <is>
          <t>Higher Risk</t>
        </is>
      </c>
      <c r="Q352" s="86" t="n">
        <v>0.51</v>
      </c>
      <c r="R352" s="86" t="n">
        <v>0.1915</v>
      </c>
      <c r="S352" s="86" t="n">
        <v>4.94</v>
      </c>
      <c r="T352" s="86" t="n">
        <v>-0.2168</v>
      </c>
      <c r="U352" s="86" t="n">
        <v>3.3185</v>
      </c>
      <c r="V352" s="86" t="n">
        <v>0.2893</v>
      </c>
      <c r="W352" s="86" t="n">
        <v>2.15</v>
      </c>
      <c r="X352" s="86" t="n">
        <v>50.15</v>
      </c>
      <c r="Y352" s="86" t="n">
        <v>20</v>
      </c>
      <c r="Z352" s="86" t="inlineStr">
        <is>
          <t>CLEAR</t>
        </is>
      </c>
    </row>
    <row r="353" ht="17" customHeight="1">
      <c r="A353" s="82" t="n">
        <v>351</v>
      </c>
      <c r="B353" s="82" t="inlineStr">
        <is>
          <t>EBAY</t>
        </is>
      </c>
      <c r="C353" s="82" t="inlineStr">
        <is>
          <t>eBay Inc.</t>
        </is>
      </c>
      <c r="D353" s="82" t="n">
        <v>3.48</v>
      </c>
      <c r="E353" s="206" t="inlineStr">
        <is>
          <t>Safe</t>
        </is>
      </c>
      <c r="F353" s="82" t="n">
        <v>8.710000000000001</v>
      </c>
      <c r="G353" s="82" t="inlineStr">
        <is>
          <t>Safe</t>
        </is>
      </c>
      <c r="H353" s="82" t="n">
        <v>1.16</v>
      </c>
      <c r="I353" s="82" t="inlineStr">
        <is>
          <t>Healthy</t>
        </is>
      </c>
      <c r="J353" s="82" t="n">
        <v>-0.66</v>
      </c>
      <c r="K353" s="82" t="n">
        <v>0.34</v>
      </c>
      <c r="L353" s="82" t="inlineStr">
        <is>
          <t>Healthy</t>
        </is>
      </c>
      <c r="M353" s="82" t="n">
        <v>5</v>
      </c>
      <c r="N353" s="82" t="inlineStr">
        <is>
          <t>Mixed</t>
        </is>
      </c>
      <c r="O353" s="207" t="n">
        <v>-2.17</v>
      </c>
      <c r="P353" s="82" t="inlineStr">
        <is>
          <t>Higher Risk</t>
        </is>
      </c>
      <c r="Q353" s="82" t="n">
        <v>2.18</v>
      </c>
      <c r="R353" s="82" t="n">
        <v>0.4401</v>
      </c>
      <c r="S353" s="82" t="n">
        <v>0.96</v>
      </c>
      <c r="T353" s="82" t="n">
        <v>0.0801</v>
      </c>
      <c r="U353" s="82" t="n">
        <v>0.1156</v>
      </c>
      <c r="V353" s="82" t="n">
        <v>0.1272</v>
      </c>
      <c r="W353" s="82" t="n">
        <v>8.66</v>
      </c>
      <c r="X353" s="82" t="n">
        <v>50.12</v>
      </c>
      <c r="Y353" s="82" t="n">
        <v>20</v>
      </c>
      <c r="Z353" s="82" t="inlineStr">
        <is>
          <t>CLEAR</t>
        </is>
      </c>
    </row>
    <row r="354" ht="17" customHeight="1">
      <c r="A354" s="86" t="n">
        <v>352</v>
      </c>
      <c r="B354" s="86" t="inlineStr">
        <is>
          <t>EA</t>
        </is>
      </c>
      <c r="C354" s="86" t="inlineStr">
        <is>
          <t>ELECTRONIC ARTS INC.</t>
        </is>
      </c>
      <c r="D354" s="86" t="n">
        <v>1.73</v>
      </c>
      <c r="E354" s="208" t="inlineStr">
        <is>
          <t>Grey</t>
        </is>
      </c>
      <c r="F354" s="86" t="n">
        <v>3.44</v>
      </c>
      <c r="G354" s="86" t="inlineStr">
        <is>
          <t>Safe</t>
        </is>
      </c>
      <c r="H354" s="86" t="n">
        <v>0.72</v>
      </c>
      <c r="I354" s="86" t="inlineStr">
        <is>
          <t>Distress</t>
        </is>
      </c>
      <c r="J354" s="86" t="n">
        <v>-1.88</v>
      </c>
      <c r="K354" s="86" t="n">
        <v>0.13</v>
      </c>
      <c r="L354" s="86" t="inlineStr">
        <is>
          <t>Healthy</t>
        </is>
      </c>
      <c r="M354" s="86" t="n">
        <v>5</v>
      </c>
      <c r="N354" s="86" t="inlineStr">
        <is>
          <t>Mixed</t>
        </is>
      </c>
      <c r="O354" s="207" t="n">
        <v>-3.27</v>
      </c>
      <c r="P354" s="86" t="inlineStr">
        <is>
          <t>Lower Risk</t>
        </is>
      </c>
      <c r="Q354" s="86" t="n">
        <v>-1.98</v>
      </c>
      <c r="R354" s="86" t="n">
        <v>0.1311</v>
      </c>
      <c r="S354" s="86" t="n">
        <v>2.88</v>
      </c>
      <c r="T354" s="90" t="inlineStr">
        <is>
          <t>N/A</t>
        </is>
      </c>
      <c r="U354" s="86" t="n">
        <v>0.0091</v>
      </c>
      <c r="V354" s="86" t="n">
        <v>0.1543</v>
      </c>
      <c r="W354" s="86" t="n">
        <v>21.92</v>
      </c>
      <c r="X354" s="86" t="n">
        <v>50.09</v>
      </c>
      <c r="Y354" s="86" t="n">
        <v>20</v>
      </c>
      <c r="Z354" s="86" t="inlineStr">
        <is>
          <t>CLEAR</t>
        </is>
      </c>
    </row>
    <row r="355" ht="17" customHeight="1">
      <c r="A355" s="82" t="n">
        <v>353</v>
      </c>
      <c r="B355" s="82" t="inlineStr">
        <is>
          <t>ANET</t>
        </is>
      </c>
      <c r="C355" s="82" t="inlineStr">
        <is>
          <t>Arista Networks, Inc.</t>
        </is>
      </c>
      <c r="D355" s="82" t="n">
        <v>2.63</v>
      </c>
      <c r="E355" s="208" t="inlineStr">
        <is>
          <t>Grey</t>
        </is>
      </c>
      <c r="F355" s="82" t="n">
        <v>8.460000000000001</v>
      </c>
      <c r="G355" s="82" t="inlineStr">
        <is>
          <t>Safe</t>
        </is>
      </c>
      <c r="H355" s="82" t="n">
        <v>1.9</v>
      </c>
      <c r="I355" s="82" t="inlineStr">
        <is>
          <t>Healthy</t>
        </is>
      </c>
      <c r="J355" s="82" t="n">
        <v>-3.07</v>
      </c>
      <c r="K355" s="82" t="n">
        <v>0.04</v>
      </c>
      <c r="L355" s="82" t="inlineStr">
        <is>
          <t>Healthy</t>
        </is>
      </c>
      <c r="M355" s="82" t="n">
        <v>4</v>
      </c>
      <c r="N355" s="82" t="inlineStr">
        <is>
          <t>Mixed</t>
        </is>
      </c>
      <c r="O355" s="207" t="n">
        <v>-2.35</v>
      </c>
      <c r="P355" s="82" t="inlineStr">
        <is>
          <t>Lower Risk</t>
        </is>
      </c>
      <c r="Q355" s="82" t="n">
        <v>-0.5</v>
      </c>
      <c r="R355" s="82" t="n">
        <v>0.2839</v>
      </c>
      <c r="S355" s="82" t="n">
        <v>1.25</v>
      </c>
      <c r="T355" s="82" t="n">
        <v>0.4837</v>
      </c>
      <c r="U355" s="82" t="n">
        <v>0.286</v>
      </c>
      <c r="V355" s="82" t="n">
        <v>0.4282</v>
      </c>
      <c r="W355" s="82" t="n">
        <v>1427.66</v>
      </c>
      <c r="X355" s="82" t="n">
        <v>50.08</v>
      </c>
      <c r="Y355" s="82" t="n">
        <v>0</v>
      </c>
      <c r="Z355" s="82" t="inlineStr">
        <is>
          <t>CLEAR</t>
        </is>
      </c>
    </row>
    <row r="356" ht="17" customHeight="1">
      <c r="A356" s="86" t="n">
        <v>354</v>
      </c>
      <c r="B356" s="86" t="inlineStr">
        <is>
          <t>CEG</t>
        </is>
      </c>
      <c r="C356" s="86" t="inlineStr">
        <is>
          <t>CONSTELLATION ENERGY CORPORATION</t>
        </is>
      </c>
      <c r="D356" s="86" t="n">
        <v>0.9</v>
      </c>
      <c r="E356" s="207" t="inlineStr">
        <is>
          <t>Distress</t>
        </is>
      </c>
      <c r="F356" s="86" t="n">
        <v>1.54</v>
      </c>
      <c r="G356" s="86" t="inlineStr">
        <is>
          <t>Grey</t>
        </is>
      </c>
      <c r="H356" s="90" t="inlineStr">
        <is>
          <t>N/A</t>
        </is>
      </c>
      <c r="I356" s="90" t="inlineStr">
        <is>
          <t>N/A</t>
        </is>
      </c>
      <c r="J356" s="86" t="n">
        <v>-0.31</v>
      </c>
      <c r="K356" s="86" t="n">
        <v>0.42</v>
      </c>
      <c r="L356" s="86" t="inlineStr">
        <is>
          <t>Healthy</t>
        </is>
      </c>
      <c r="M356" s="86" t="n">
        <v>6</v>
      </c>
      <c r="N356" s="86" t="inlineStr">
        <is>
          <t>Mixed</t>
        </is>
      </c>
      <c r="O356" s="90" t="inlineStr">
        <is>
          <t>N/A</t>
        </is>
      </c>
      <c r="P356" s="86" t="inlineStr">
        <is>
          <t>Insufficient Data</t>
        </is>
      </c>
      <c r="Q356" s="86" t="n">
        <v>0.93</v>
      </c>
      <c r="R356" s="86" t="n">
        <v>0.1597</v>
      </c>
      <c r="S356" s="86" t="n">
        <v>1.83</v>
      </c>
      <c r="T356" s="86" t="n">
        <v>0.0504</v>
      </c>
      <c r="U356" s="86" t="n">
        <v>0.0834</v>
      </c>
      <c r="V356" s="86" t="n">
        <v>0.1209</v>
      </c>
      <c r="W356" s="86" t="n">
        <v>7.16</v>
      </c>
      <c r="X356" s="86" t="n">
        <v>49.97</v>
      </c>
      <c r="Y356" s="86" t="n">
        <v>0</v>
      </c>
      <c r="Z356" s="86" t="inlineStr">
        <is>
          <t>CLEAR</t>
        </is>
      </c>
    </row>
    <row r="357" ht="17" customHeight="1">
      <c r="A357" s="82" t="n">
        <v>355</v>
      </c>
      <c r="B357" s="82" t="inlineStr">
        <is>
          <t>AVY</t>
        </is>
      </c>
      <c r="C357" s="82" t="inlineStr">
        <is>
          <t>AVERY DENNISON CORPORATION</t>
        </is>
      </c>
      <c r="D357" s="82" t="n">
        <v>2</v>
      </c>
      <c r="E357" s="208" t="inlineStr">
        <is>
          <t>Grey</t>
        </is>
      </c>
      <c r="F357" s="82" t="n">
        <v>3.3</v>
      </c>
      <c r="G357" s="82" t="inlineStr">
        <is>
          <t>Safe</t>
        </is>
      </c>
      <c r="H357" s="82" t="n">
        <v>0.99</v>
      </c>
      <c r="I357" s="82" t="inlineStr">
        <is>
          <t>Healthy</t>
        </is>
      </c>
      <c r="J357" s="82" t="n">
        <v>0.99</v>
      </c>
      <c r="K357" s="82" t="n">
        <v>0.73</v>
      </c>
      <c r="L357" s="82" t="inlineStr">
        <is>
          <t>Distress</t>
        </is>
      </c>
      <c r="M357" s="82" t="n">
        <v>5</v>
      </c>
      <c r="N357" s="82" t="inlineStr">
        <is>
          <t>Mixed</t>
        </is>
      </c>
      <c r="O357" s="207" t="n">
        <v>-2.65</v>
      </c>
      <c r="P357" s="82" t="inlineStr">
        <is>
          <t>Lower Risk</t>
        </is>
      </c>
      <c r="Q357" s="82" t="n">
        <v>2.39</v>
      </c>
      <c r="R357" s="82" t="n">
        <v>0.3069</v>
      </c>
      <c r="S357" s="82" t="n">
        <v>1.28</v>
      </c>
      <c r="T357" s="82" t="n">
        <v>0.0804</v>
      </c>
      <c r="U357" s="82" t="n">
        <v>0.0114</v>
      </c>
      <c r="V357" s="82" t="n">
        <v>0.1045</v>
      </c>
      <c r="W357" s="82" t="n">
        <v>7.77</v>
      </c>
      <c r="X357" s="82" t="n">
        <v>49.96</v>
      </c>
      <c r="Y357" s="82" t="n">
        <v>0</v>
      </c>
      <c r="Z357" s="82" t="inlineStr">
        <is>
          <t>CLEAR</t>
        </is>
      </c>
    </row>
    <row r="358" ht="17" customHeight="1">
      <c r="A358" s="86" t="n">
        <v>356</v>
      </c>
      <c r="B358" s="86" t="inlineStr">
        <is>
          <t>FN</t>
        </is>
      </c>
      <c r="C358" s="86" t="inlineStr">
        <is>
          <t>FABRINET</t>
        </is>
      </c>
      <c r="D358" s="86" t="n">
        <v>3.58</v>
      </c>
      <c r="E358" s="206" t="inlineStr">
        <is>
          <t>Safe</t>
        </is>
      </c>
      <c r="F358" s="86" t="n">
        <v>9.380000000000001</v>
      </c>
      <c r="G358" s="86" t="inlineStr">
        <is>
          <t>Safe</t>
        </is>
      </c>
      <c r="H358" s="86" t="n">
        <v>1.71</v>
      </c>
      <c r="I358" s="86" t="inlineStr">
        <is>
          <t>Healthy</t>
        </is>
      </c>
      <c r="J358" s="86" t="n">
        <v>-3.15</v>
      </c>
      <c r="K358" s="86" t="n">
        <v>0.04</v>
      </c>
      <c r="L358" s="86" t="inlineStr">
        <is>
          <t>Healthy</t>
        </is>
      </c>
      <c r="M358" s="86" t="n">
        <v>3</v>
      </c>
      <c r="N358" s="86" t="inlineStr">
        <is>
          <t>Mixed</t>
        </is>
      </c>
      <c r="O358" s="207" t="n">
        <v>-2.29</v>
      </c>
      <c r="P358" s="86" t="inlineStr">
        <is>
          <t>Lower Risk</t>
        </is>
      </c>
      <c r="Q358" s="86" t="n">
        <v>-0.73</v>
      </c>
      <c r="R358" s="86" t="n">
        <v>0.1678</v>
      </c>
      <c r="S358" s="86" t="n">
        <v>0.99</v>
      </c>
      <c r="T358" s="86" t="n">
        <v>0.0606</v>
      </c>
      <c r="U358" s="86" t="n">
        <v>0.186</v>
      </c>
      <c r="V358" s="86" t="n">
        <v>0.0949</v>
      </c>
      <c r="W358" s="86" t="n">
        <v>220.41</v>
      </c>
      <c r="X358" s="86" t="n">
        <v>49.89</v>
      </c>
      <c r="Y358" s="86" t="n">
        <v>0</v>
      </c>
      <c r="Z358" s="86" t="inlineStr">
        <is>
          <t>CLEAR</t>
        </is>
      </c>
    </row>
    <row r="359" ht="17" customHeight="1">
      <c r="A359" s="82" t="n">
        <v>357</v>
      </c>
      <c r="B359" s="82" t="inlineStr">
        <is>
          <t>EXR</t>
        </is>
      </c>
      <c r="C359" s="82" t="inlineStr">
        <is>
          <t>Extra Space Storage Inc.</t>
        </is>
      </c>
      <c r="D359" s="91" t="inlineStr">
        <is>
          <t>N/A</t>
        </is>
      </c>
      <c r="E359" s="91" t="inlineStr">
        <is>
          <t>N/A</t>
        </is>
      </c>
      <c r="F359" s="91" t="inlineStr">
        <is>
          <t>N/A</t>
        </is>
      </c>
      <c r="G359" s="91" t="inlineStr">
        <is>
          <t>N/A</t>
        </is>
      </c>
      <c r="H359" s="91" t="inlineStr">
        <is>
          <t>N/A</t>
        </is>
      </c>
      <c r="I359" s="91" t="inlineStr">
        <is>
          <t>N/A</t>
        </is>
      </c>
      <c r="J359" s="91" t="inlineStr">
        <is>
          <t>N/A</t>
        </is>
      </c>
      <c r="K359" s="91" t="inlineStr">
        <is>
          <t>N/A</t>
        </is>
      </c>
      <c r="L359" s="91" t="inlineStr">
        <is>
          <t>N/A</t>
        </is>
      </c>
      <c r="M359" s="82" t="n">
        <v>6</v>
      </c>
      <c r="N359" s="82" t="inlineStr">
        <is>
          <t>Mixed</t>
        </is>
      </c>
      <c r="O359" s="207" t="n">
        <v>-2.67</v>
      </c>
      <c r="P359" s="82" t="inlineStr">
        <is>
          <t>Lower Risk</t>
        </is>
      </c>
      <c r="Q359" s="82" t="n">
        <v>-0.07000000000000001</v>
      </c>
      <c r="R359" s="82" t="n">
        <v>0.0725</v>
      </c>
      <c r="S359" s="82" t="n">
        <v>1.9</v>
      </c>
      <c r="T359" s="82" t="n">
        <v>0.3815</v>
      </c>
      <c r="U359" s="82" t="n">
        <v>0.037</v>
      </c>
      <c r="V359" s="82" t="n">
        <v>0.4183</v>
      </c>
      <c r="W359" s="82" t="n">
        <v>3.37</v>
      </c>
      <c r="X359" s="82" t="n">
        <v>49.87</v>
      </c>
      <c r="Y359" s="82" t="n">
        <v>0</v>
      </c>
      <c r="Z359" s="82" t="inlineStr">
        <is>
          <t>CLEAR</t>
        </is>
      </c>
    </row>
    <row r="360" ht="17" customHeight="1">
      <c r="A360" s="86" t="n">
        <v>358</v>
      </c>
      <c r="B360" s="86" t="inlineStr">
        <is>
          <t>CBRE</t>
        </is>
      </c>
      <c r="C360" s="86" t="inlineStr">
        <is>
          <t>CBRE GROUP, INC.</t>
        </is>
      </c>
      <c r="D360" s="86" t="n">
        <v>1.96</v>
      </c>
      <c r="E360" s="208" t="inlineStr">
        <is>
          <t>Grey</t>
        </is>
      </c>
      <c r="F360" s="86" t="n">
        <v>2.12</v>
      </c>
      <c r="G360" s="86" t="inlineStr">
        <is>
          <t>Grey</t>
        </is>
      </c>
      <c r="H360" s="86" t="n">
        <v>0.82</v>
      </c>
      <c r="I360" s="86" t="inlineStr">
        <is>
          <t>Distress</t>
        </is>
      </c>
      <c r="J360" s="86" t="n">
        <v>-0.59</v>
      </c>
      <c r="K360" s="86" t="n">
        <v>0.36</v>
      </c>
      <c r="L360" s="86" t="inlineStr">
        <is>
          <t>Healthy</t>
        </is>
      </c>
      <c r="M360" s="86" t="n">
        <v>5</v>
      </c>
      <c r="N360" s="86" t="inlineStr">
        <is>
          <t>Mixed</t>
        </is>
      </c>
      <c r="O360" s="207" t="n">
        <v>-2.26</v>
      </c>
      <c r="P360" s="86" t="inlineStr">
        <is>
          <t>Lower Risk</t>
        </is>
      </c>
      <c r="Q360" s="86" t="n">
        <v>0.29</v>
      </c>
      <c r="R360" s="86" t="n">
        <v>0.1303</v>
      </c>
      <c r="S360" s="86" t="n">
        <v>1.35</v>
      </c>
      <c r="T360" s="86" t="n">
        <v>0.032</v>
      </c>
      <c r="U360" s="86" t="n">
        <v>0.1337</v>
      </c>
      <c r="V360" s="86" t="n">
        <v>0.0432</v>
      </c>
      <c r="W360" s="86" t="n">
        <v>16.34</v>
      </c>
      <c r="X360" s="86" t="n">
        <v>49.81</v>
      </c>
      <c r="Y360" s="86" t="n">
        <v>0</v>
      </c>
      <c r="Z360" s="86" t="inlineStr">
        <is>
          <t>CLEAR</t>
        </is>
      </c>
    </row>
    <row r="361" ht="17" customHeight="1">
      <c r="A361" s="82" t="n">
        <v>359</v>
      </c>
      <c r="B361" s="82" t="inlineStr">
        <is>
          <t>CTVA</t>
        </is>
      </c>
      <c r="C361" s="82" t="inlineStr">
        <is>
          <t>Corteva, Inc.</t>
        </is>
      </c>
      <c r="D361" s="82" t="n">
        <v>0.85</v>
      </c>
      <c r="E361" s="207" t="inlineStr">
        <is>
          <t>Distress</t>
        </is>
      </c>
      <c r="F361" s="82" t="n">
        <v>1.65</v>
      </c>
      <c r="G361" s="82" t="inlineStr">
        <is>
          <t>Grey</t>
        </is>
      </c>
      <c r="H361" s="82" t="n">
        <v>0.5</v>
      </c>
      <c r="I361" s="82" t="inlineStr">
        <is>
          <t>Distress</t>
        </is>
      </c>
      <c r="J361" s="82" t="n">
        <v>1.23</v>
      </c>
      <c r="K361" s="82" t="n">
        <v>0.77</v>
      </c>
      <c r="L361" s="82" t="inlineStr">
        <is>
          <t>Distress</t>
        </is>
      </c>
      <c r="M361" s="82" t="n">
        <v>6</v>
      </c>
      <c r="N361" s="82" t="inlineStr">
        <is>
          <t>Mixed</t>
        </is>
      </c>
      <c r="O361" s="207" t="n">
        <v>-2.84</v>
      </c>
      <c r="P361" s="82" t="inlineStr">
        <is>
          <t>Lower Risk</t>
        </is>
      </c>
      <c r="Q361" s="82" t="n">
        <v>-1.56</v>
      </c>
      <c r="R361" s="82" t="n">
        <v>0.0453</v>
      </c>
      <c r="S361" s="82" t="n">
        <v>3.11</v>
      </c>
      <c r="T361" s="82" t="n">
        <v>0.1289</v>
      </c>
      <c r="U361" s="82" t="n">
        <v>0.0292</v>
      </c>
      <c r="V361" s="82" t="n">
        <v>0.097</v>
      </c>
      <c r="W361" s="91" t="inlineStr">
        <is>
          <t>N/A</t>
        </is>
      </c>
      <c r="X361" s="82" t="n">
        <v>49.81</v>
      </c>
      <c r="Y361" s="82" t="n">
        <v>0</v>
      </c>
      <c r="Z361" s="82" t="inlineStr">
        <is>
          <t>CLEAR</t>
        </is>
      </c>
    </row>
    <row r="362" ht="17" customHeight="1">
      <c r="A362" s="86" t="n">
        <v>360</v>
      </c>
      <c r="B362" s="86" t="inlineStr">
        <is>
          <t>JNJ</t>
        </is>
      </c>
      <c r="C362" s="86" t="inlineStr">
        <is>
          <t>Johnson &amp; Johnson</t>
        </is>
      </c>
      <c r="D362" s="86" t="n">
        <v>1.82</v>
      </c>
      <c r="E362" s="208" t="inlineStr">
        <is>
          <t>Grey</t>
        </is>
      </c>
      <c r="F362" s="86" t="n">
        <v>4.27</v>
      </c>
      <c r="G362" s="86" t="inlineStr">
        <is>
          <t>Safe</t>
        </is>
      </c>
      <c r="H362" s="86" t="n">
        <v>0.93</v>
      </c>
      <c r="I362" s="86" t="inlineStr">
        <is>
          <t>Healthy</t>
        </is>
      </c>
      <c r="J362" s="86" t="n">
        <v>-1.58</v>
      </c>
      <c r="K362" s="86" t="n">
        <v>0.17</v>
      </c>
      <c r="L362" s="86" t="inlineStr">
        <is>
          <t>Healthy</t>
        </is>
      </c>
      <c r="M362" s="86" t="n">
        <v>5</v>
      </c>
      <c r="N362" s="86" t="inlineStr">
        <is>
          <t>Mixed</t>
        </is>
      </c>
      <c r="O362" s="207" t="n">
        <v>-2.36</v>
      </c>
      <c r="P362" s="86" t="inlineStr">
        <is>
          <t>Lower Risk</t>
        </is>
      </c>
      <c r="Q362" s="86" t="n">
        <v>0.75</v>
      </c>
      <c r="R362" s="86" t="n">
        <v>0.3287</v>
      </c>
      <c r="S362" s="86" t="n">
        <v>0.92</v>
      </c>
      <c r="T362" s="86" t="n">
        <v>0.2091</v>
      </c>
      <c r="U362" s="86" t="n">
        <v>0.0605</v>
      </c>
      <c r="V362" s="86" t="n">
        <v>0.2292</v>
      </c>
      <c r="W362" s="86" t="n">
        <v>27.97</v>
      </c>
      <c r="X362" s="86" t="n">
        <v>49.78</v>
      </c>
      <c r="Y362" s="86" t="n">
        <v>0</v>
      </c>
      <c r="Z362" s="86" t="inlineStr">
        <is>
          <t>CLEAR</t>
        </is>
      </c>
    </row>
    <row r="363" ht="17" customHeight="1">
      <c r="A363" s="82" t="n">
        <v>361</v>
      </c>
      <c r="B363" s="82" t="inlineStr">
        <is>
          <t>GEV</t>
        </is>
      </c>
      <c r="C363" s="82" t="inlineStr">
        <is>
          <t>GE Vernova Inc.</t>
        </is>
      </c>
      <c r="D363" s="82" t="n">
        <v>0.84</v>
      </c>
      <c r="E363" s="207" t="inlineStr">
        <is>
          <t>Distress</t>
        </is>
      </c>
      <c r="F363" s="82" t="n">
        <v>0.62</v>
      </c>
      <c r="G363" s="82" t="inlineStr">
        <is>
          <t>Distress</t>
        </is>
      </c>
      <c r="H363" s="82" t="n">
        <v>0.34</v>
      </c>
      <c r="I363" s="82" t="inlineStr">
        <is>
          <t>Distress</t>
        </is>
      </c>
      <c r="J363" s="82" t="n">
        <v>-0.11</v>
      </c>
      <c r="K363" s="82" t="n">
        <v>0.47</v>
      </c>
      <c r="L363" s="82" t="inlineStr">
        <is>
          <t>Healthy</t>
        </is>
      </c>
      <c r="M363" s="82" t="n">
        <v>6</v>
      </c>
      <c r="N363" s="82" t="inlineStr">
        <is>
          <t>Mixed</t>
        </is>
      </c>
      <c r="O363" s="207" t="n">
        <v>-2.46</v>
      </c>
      <c r="P363" s="82" t="inlineStr">
        <is>
          <t>Lower Risk</t>
        </is>
      </c>
      <c r="Q363" s="82" t="n">
        <v>0</v>
      </c>
      <c r="R363" s="82" t="n">
        <v>0.4369</v>
      </c>
      <c r="S363" s="82" t="n">
        <v>1.02</v>
      </c>
      <c r="T363" s="82" t="n">
        <v>0.0975</v>
      </c>
      <c r="U363" s="82" t="n">
        <v>0.0897</v>
      </c>
      <c r="V363" s="82" t="n">
        <v>0.0365</v>
      </c>
      <c r="W363" s="91" t="inlineStr">
        <is>
          <t>N/A</t>
        </is>
      </c>
      <c r="X363" s="82" t="n">
        <v>49.77</v>
      </c>
      <c r="Y363" s="82" t="n">
        <v>0</v>
      </c>
      <c r="Z363" s="82" t="inlineStr">
        <is>
          <t>CLEAR</t>
        </is>
      </c>
    </row>
    <row r="364" ht="17" customHeight="1">
      <c r="A364" s="86" t="n">
        <v>362</v>
      </c>
      <c r="B364" s="86" t="inlineStr">
        <is>
          <t>EMN</t>
        </is>
      </c>
      <c r="C364" s="86" t="inlineStr">
        <is>
          <t>EASTMAN CHEMICAL CO</t>
        </is>
      </c>
      <c r="D364" s="86" t="n">
        <v>1.82</v>
      </c>
      <c r="E364" s="208" t="inlineStr">
        <is>
          <t>Grey</t>
        </is>
      </c>
      <c r="F364" s="86" t="n">
        <v>4.06</v>
      </c>
      <c r="G364" s="86" t="inlineStr">
        <is>
          <t>Safe</t>
        </is>
      </c>
      <c r="H364" s="86" t="n">
        <v>0.76</v>
      </c>
      <c r="I364" s="86" t="inlineStr">
        <is>
          <t>Distress</t>
        </is>
      </c>
      <c r="J364" s="86" t="n">
        <v>-1.1</v>
      </c>
      <c r="K364" s="86" t="n">
        <v>0.25</v>
      </c>
      <c r="L364" s="86" t="inlineStr">
        <is>
          <t>Healthy</t>
        </is>
      </c>
      <c r="M364" s="86" t="n">
        <v>5</v>
      </c>
      <c r="N364" s="86" t="inlineStr">
        <is>
          <t>Mixed</t>
        </is>
      </c>
      <c r="O364" s="207" t="n">
        <v>-2.59</v>
      </c>
      <c r="P364" s="86" t="inlineStr">
        <is>
          <t>Lower Risk</t>
        </is>
      </c>
      <c r="Q364" s="86" t="n">
        <v>1.8</v>
      </c>
      <c r="R364" s="86" t="n">
        <v>0.0795</v>
      </c>
      <c r="S364" s="86" t="n">
        <v>2.05</v>
      </c>
      <c r="T364" s="86" t="n">
        <v>0.0484</v>
      </c>
      <c r="U364" s="86" t="n">
        <v>-0.06710000000000001</v>
      </c>
      <c r="V364" s="86" t="n">
        <v>0.175</v>
      </c>
      <c r="W364" s="90" t="inlineStr">
        <is>
          <t>N/A</t>
        </is>
      </c>
      <c r="X364" s="86" t="n">
        <v>49.74</v>
      </c>
      <c r="Y364" s="86" t="n">
        <v>0</v>
      </c>
      <c r="Z364" s="86" t="inlineStr">
        <is>
          <t>CLEAR</t>
        </is>
      </c>
    </row>
    <row r="365" ht="17" customHeight="1">
      <c r="A365" s="82" t="n">
        <v>363</v>
      </c>
      <c r="B365" s="82" t="inlineStr">
        <is>
          <t>ALB</t>
        </is>
      </c>
      <c r="C365" s="82" t="inlineStr">
        <is>
          <t>Albemarle Corporation</t>
        </is>
      </c>
      <c r="D365" s="82" t="n">
        <v>0.82</v>
      </c>
      <c r="E365" s="207" t="inlineStr">
        <is>
          <t>Distress</t>
        </is>
      </c>
      <c r="F365" s="82" t="n">
        <v>2.26</v>
      </c>
      <c r="G365" s="82" t="inlineStr">
        <is>
          <t>Grey</t>
        </is>
      </c>
      <c r="H365" s="82" t="n">
        <v>0.39</v>
      </c>
      <c r="I365" s="82" t="inlineStr">
        <is>
          <t>Distress</t>
        </is>
      </c>
      <c r="J365" s="82" t="n">
        <v>1.49</v>
      </c>
      <c r="K365" s="82" t="n">
        <v>0.82</v>
      </c>
      <c r="L365" s="82" t="inlineStr">
        <is>
          <t>Distress</t>
        </is>
      </c>
      <c r="M365" s="82" t="n">
        <v>6</v>
      </c>
      <c r="N365" s="82" t="inlineStr">
        <is>
          <t>Mixed</t>
        </is>
      </c>
      <c r="O365" s="207" t="n">
        <v>-3.71</v>
      </c>
      <c r="P365" s="82" t="inlineStr">
        <is>
          <t>Lower Risk</t>
        </is>
      </c>
      <c r="Q365" s="82" t="n">
        <v>-9.789999999999999</v>
      </c>
      <c r="R365" s="82" t="n">
        <v>-0.0536</v>
      </c>
      <c r="S365" s="82" t="n">
        <v>-2.51</v>
      </c>
      <c r="T365" s="82" t="n">
        <v>0.1346</v>
      </c>
      <c r="U365" s="82" t="n">
        <v>-0.0437</v>
      </c>
      <c r="V365" s="82" t="n">
        <v>-0.07140000000000001</v>
      </c>
      <c r="W365" s="91" t="inlineStr">
        <is>
          <t>N/A</t>
        </is>
      </c>
      <c r="X365" s="82" t="n">
        <v>49.72</v>
      </c>
      <c r="Y365" s="82" t="n">
        <v>40</v>
      </c>
      <c r="Z365" s="82" t="inlineStr">
        <is>
          <t>WATCH</t>
        </is>
      </c>
    </row>
    <row r="366" ht="17" customHeight="1">
      <c r="A366" s="86" t="n">
        <v>364</v>
      </c>
      <c r="B366" s="86" t="inlineStr">
        <is>
          <t>RRX</t>
        </is>
      </c>
      <c r="C366" s="86" t="inlineStr">
        <is>
          <t>REGAL REXNORD CORP</t>
        </is>
      </c>
      <c r="D366" s="86" t="n">
        <v>0.8</v>
      </c>
      <c r="E366" s="207" t="inlineStr">
        <is>
          <t>Distress</t>
        </is>
      </c>
      <c r="F366" s="86" t="n">
        <v>2.05</v>
      </c>
      <c r="G366" s="86" t="inlineStr">
        <is>
          <t>Grey</t>
        </is>
      </c>
      <c r="H366" s="86" t="n">
        <v>0.53</v>
      </c>
      <c r="I366" s="86" t="inlineStr">
        <is>
          <t>Distress</t>
        </is>
      </c>
      <c r="J366" s="86" t="n">
        <v>1.26</v>
      </c>
      <c r="K366" s="86" t="n">
        <v>0.78</v>
      </c>
      <c r="L366" s="86" t="inlineStr">
        <is>
          <t>Distress</t>
        </is>
      </c>
      <c r="M366" s="86" t="n">
        <v>6</v>
      </c>
      <c r="N366" s="86" t="inlineStr">
        <is>
          <t>Mixed</t>
        </is>
      </c>
      <c r="O366" s="207" t="n">
        <v>-2.82</v>
      </c>
      <c r="P366" s="86" t="inlineStr">
        <is>
          <t>Lower Risk</t>
        </is>
      </c>
      <c r="Q366" s="86" t="n">
        <v>5.52</v>
      </c>
      <c r="R366" s="86" t="n">
        <v>0.0408</v>
      </c>
      <c r="S366" s="86" t="n">
        <v>3.54</v>
      </c>
      <c r="T366" s="86" t="n">
        <v>0.2742</v>
      </c>
      <c r="U366" s="86" t="n">
        <v>0.0521</v>
      </c>
      <c r="V366" s="86" t="n">
        <v>0.209</v>
      </c>
      <c r="W366" s="86" t="n">
        <v>1.58</v>
      </c>
      <c r="X366" s="86" t="n">
        <v>49.64</v>
      </c>
      <c r="Y366" s="86" t="n">
        <v>0</v>
      </c>
      <c r="Z366" s="86" t="inlineStr">
        <is>
          <t>CLEAR</t>
        </is>
      </c>
    </row>
    <row r="367" ht="17" customHeight="1">
      <c r="A367" s="82" t="n">
        <v>365</v>
      </c>
      <c r="B367" s="82" t="inlineStr">
        <is>
          <t>ZBH</t>
        </is>
      </c>
      <c r="C367" s="82" t="inlineStr">
        <is>
          <t>ZIMMER BIOMET HOLDINGS, INC.</t>
        </is>
      </c>
      <c r="D367" s="82" t="n">
        <v>1.52</v>
      </c>
      <c r="E367" s="208" t="inlineStr">
        <is>
          <t>Grey</t>
        </is>
      </c>
      <c r="F367" s="82" t="n">
        <v>3.96</v>
      </c>
      <c r="G367" s="82" t="inlineStr">
        <is>
          <t>Safe</t>
        </is>
      </c>
      <c r="H367" s="82" t="n">
        <v>0.61</v>
      </c>
      <c r="I367" s="82" t="inlineStr">
        <is>
          <t>Distress</t>
        </is>
      </c>
      <c r="J367" s="82" t="n">
        <v>-1.91</v>
      </c>
      <c r="K367" s="82" t="n">
        <v>0.13</v>
      </c>
      <c r="L367" s="82" t="inlineStr">
        <is>
          <t>Healthy</t>
        </is>
      </c>
      <c r="M367" s="82" t="n">
        <v>5</v>
      </c>
      <c r="N367" s="82" t="inlineStr">
        <is>
          <t>Mixed</t>
        </is>
      </c>
      <c r="O367" s="207" t="n">
        <v>-2.58</v>
      </c>
      <c r="P367" s="82" t="inlineStr">
        <is>
          <t>Lower Risk</t>
        </is>
      </c>
      <c r="Q367" s="82" t="n">
        <v>0.19</v>
      </c>
      <c r="R367" s="82" t="n">
        <v>0.0555</v>
      </c>
      <c r="S367" s="82" t="n">
        <v>2.41</v>
      </c>
      <c r="T367" s="82" t="n">
        <v>0.1789</v>
      </c>
      <c r="U367" s="82" t="n">
        <v>0.07199999999999999</v>
      </c>
      <c r="V367" s="82" t="n">
        <v>0.1334</v>
      </c>
      <c r="W367" s="82" t="n">
        <v>3.35</v>
      </c>
      <c r="X367" s="82" t="n">
        <v>49.57</v>
      </c>
      <c r="Y367" s="82" t="n">
        <v>0</v>
      </c>
      <c r="Z367" s="82" t="inlineStr">
        <is>
          <t>CLEAR</t>
        </is>
      </c>
    </row>
    <row r="368" ht="17" customHeight="1">
      <c r="A368" s="86" t="n">
        <v>366</v>
      </c>
      <c r="B368" s="86" t="inlineStr">
        <is>
          <t>PWR</t>
        </is>
      </c>
      <c r="C368" s="86" t="inlineStr">
        <is>
          <t>Quanta Services, Inc.</t>
        </is>
      </c>
      <c r="D368" s="86" t="n">
        <v>1.84</v>
      </c>
      <c r="E368" s="208" t="inlineStr">
        <is>
          <t>Grey</t>
        </is>
      </c>
      <c r="F368" s="86" t="n">
        <v>2.21</v>
      </c>
      <c r="G368" s="86" t="inlineStr">
        <is>
          <t>Grey</t>
        </is>
      </c>
      <c r="H368" s="86" t="n">
        <v>0.8100000000000001</v>
      </c>
      <c r="I368" s="86" t="inlineStr">
        <is>
          <t>Distress</t>
        </is>
      </c>
      <c r="J368" s="86" t="n">
        <v>-0.9</v>
      </c>
      <c r="K368" s="86" t="n">
        <v>0.29</v>
      </c>
      <c r="L368" s="86" t="inlineStr">
        <is>
          <t>Healthy</t>
        </is>
      </c>
      <c r="M368" s="86" t="n">
        <v>5</v>
      </c>
      <c r="N368" s="86" t="inlineStr">
        <is>
          <t>Mixed</t>
        </is>
      </c>
      <c r="O368" s="207" t="n">
        <v>-2.54</v>
      </c>
      <c r="P368" s="86" t="inlineStr">
        <is>
          <t>Lower Risk</t>
        </is>
      </c>
      <c r="Q368" s="86" t="n">
        <v>0.31</v>
      </c>
      <c r="R368" s="86" t="n">
        <v>0.1151</v>
      </c>
      <c r="S368" s="86" t="n">
        <v>2.17</v>
      </c>
      <c r="T368" s="86" t="n">
        <v>0.0569</v>
      </c>
      <c r="U368" s="86" t="n">
        <v>0.2031</v>
      </c>
      <c r="V368" s="86" t="n">
        <v>0.0566</v>
      </c>
      <c r="W368" s="86" t="n">
        <v>8.619999999999999</v>
      </c>
      <c r="X368" s="86" t="n">
        <v>49.55</v>
      </c>
      <c r="Y368" s="86" t="n">
        <v>0</v>
      </c>
      <c r="Z368" s="86" t="inlineStr">
        <is>
          <t>CLEAR</t>
        </is>
      </c>
    </row>
    <row r="369" ht="17" customHeight="1">
      <c r="A369" s="82" t="n">
        <v>367</v>
      </c>
      <c r="B369" s="82" t="inlineStr">
        <is>
          <t>JOBY</t>
        </is>
      </c>
      <c r="C369" s="82" t="inlineStr">
        <is>
          <t>Joby Aviation, Inc.</t>
        </is>
      </c>
      <c r="D369" s="82" t="n">
        <v>-0.44</v>
      </c>
      <c r="E369" s="207" t="inlineStr">
        <is>
          <t>Distress</t>
        </is>
      </c>
      <c r="F369" s="82" t="n">
        <v>1.15</v>
      </c>
      <c r="G369" s="82" t="inlineStr">
        <is>
          <t>Grey</t>
        </is>
      </c>
      <c r="H369" s="82" t="n">
        <v>-10.63</v>
      </c>
      <c r="I369" s="82" t="inlineStr">
        <is>
          <t>Distress</t>
        </is>
      </c>
      <c r="J369" s="82" t="n">
        <v>-0.68</v>
      </c>
      <c r="K369" s="82" t="n">
        <v>0.34</v>
      </c>
      <c r="L369" s="82" t="inlineStr">
        <is>
          <t>Healthy</t>
        </is>
      </c>
      <c r="M369" s="82" t="n">
        <v>6</v>
      </c>
      <c r="N369" s="82" t="inlineStr">
        <is>
          <t>Mixed</t>
        </is>
      </c>
      <c r="O369" s="91" t="inlineStr">
        <is>
          <t>N/A</t>
        </is>
      </c>
      <c r="P369" s="82" t="inlineStr">
        <is>
          <t>Insufficient Data</t>
        </is>
      </c>
      <c r="Q369" s="82" t="n">
        <v>0.35</v>
      </c>
      <c r="R369" s="82" t="n">
        <v>-0.6596</v>
      </c>
      <c r="S369" s="82" t="n">
        <v>0.55</v>
      </c>
      <c r="T369" s="82" t="n">
        <v>-10.5533</v>
      </c>
      <c r="U369" s="82" t="n">
        <v>391.8309</v>
      </c>
      <c r="V369" s="82" t="n">
        <v>-13.4692</v>
      </c>
      <c r="W369" s="82" t="n">
        <v>-6098.23</v>
      </c>
      <c r="X369" s="82" t="n">
        <v>49.55</v>
      </c>
      <c r="Y369" s="82" t="n">
        <v>20</v>
      </c>
      <c r="Z369" s="82" t="inlineStr">
        <is>
          <t>CLEAR</t>
        </is>
      </c>
    </row>
    <row r="370" ht="17" customHeight="1">
      <c r="A370" s="86" t="n">
        <v>368</v>
      </c>
      <c r="B370" s="86" t="inlineStr">
        <is>
          <t>XOM</t>
        </is>
      </c>
      <c r="C370" s="86" t="inlineStr">
        <is>
          <t>Exxon Mobil Corporation</t>
        </is>
      </c>
      <c r="D370" s="86" t="n">
        <v>2.55</v>
      </c>
      <c r="E370" s="208" t="inlineStr">
        <is>
          <t>Grey</t>
        </is>
      </c>
      <c r="F370" s="86" t="n">
        <v>5.78</v>
      </c>
      <c r="G370" s="86" t="inlineStr">
        <is>
          <t>Safe</t>
        </is>
      </c>
      <c r="H370" s="86" t="n">
        <v>0.98</v>
      </c>
      <c r="I370" s="86" t="inlineStr">
        <is>
          <t>Healthy</t>
        </is>
      </c>
      <c r="J370" s="86" t="n">
        <v>-2.31</v>
      </c>
      <c r="K370" s="86" t="n">
        <v>0.09</v>
      </c>
      <c r="L370" s="86" t="inlineStr">
        <is>
          <t>Healthy</t>
        </is>
      </c>
      <c r="M370" s="86" t="n">
        <v>4</v>
      </c>
      <c r="N370" s="86" t="inlineStr">
        <is>
          <t>Mixed</t>
        </is>
      </c>
      <c r="O370" s="90" t="inlineStr">
        <is>
          <t>N/A</t>
        </is>
      </c>
      <c r="P370" s="86" t="inlineStr">
        <is>
          <t>Insufficient Data</t>
        </is>
      </c>
      <c r="Q370" s="86" t="n">
        <v>0.18</v>
      </c>
      <c r="R370" s="86" t="n">
        <v>0.1112</v>
      </c>
      <c r="S370" s="86" t="n">
        <v>1.8</v>
      </c>
      <c r="T370" s="86" t="n">
        <v>0.0711</v>
      </c>
      <c r="U370" s="86" t="n">
        <v>-0.0496</v>
      </c>
      <c r="V370" s="86" t="n">
        <v>0.1242</v>
      </c>
      <c r="W370" s="86" t="n">
        <v>68.44</v>
      </c>
      <c r="X370" s="86" t="n">
        <v>49.54</v>
      </c>
      <c r="Y370" s="86" t="n">
        <v>0</v>
      </c>
      <c r="Z370" s="86" t="inlineStr">
        <is>
          <t>CLEAR</t>
        </is>
      </c>
    </row>
    <row r="371" ht="17" customHeight="1">
      <c r="A371" s="82" t="n">
        <v>369</v>
      </c>
      <c r="B371" s="82" t="inlineStr">
        <is>
          <t>ZBRA</t>
        </is>
      </c>
      <c r="C371" s="82" t="inlineStr">
        <is>
          <t>ZEBRA TECHNOLOGIES CORPORATION</t>
        </is>
      </c>
      <c r="D371" s="82" t="n">
        <v>1.72</v>
      </c>
      <c r="E371" s="208" t="inlineStr">
        <is>
          <t>Grey</t>
        </is>
      </c>
      <c r="F371" s="82" t="n">
        <v>3.3</v>
      </c>
      <c r="G371" s="82" t="inlineStr">
        <is>
          <t>Safe</t>
        </is>
      </c>
      <c r="H371" s="82" t="n">
        <v>0.7</v>
      </c>
      <c r="I371" s="82" t="inlineStr">
        <is>
          <t>Distress</t>
        </is>
      </c>
      <c r="J371" s="82" t="n">
        <v>-1.27</v>
      </c>
      <c r="K371" s="82" t="n">
        <v>0.22</v>
      </c>
      <c r="L371" s="82" t="inlineStr">
        <is>
          <t>Healthy</t>
        </is>
      </c>
      <c r="M371" s="82" t="n">
        <v>5</v>
      </c>
      <c r="N371" s="82" t="inlineStr">
        <is>
          <t>Mixed</t>
        </is>
      </c>
      <c r="O371" s="207" t="n">
        <v>-2.59</v>
      </c>
      <c r="P371" s="82" t="inlineStr">
        <is>
          <t>Lower Risk</t>
        </is>
      </c>
      <c r="Q371" s="82" t="n">
        <v>0.16</v>
      </c>
      <c r="R371" s="82" t="n">
        <v>0.1168</v>
      </c>
      <c r="S371" s="82" t="n">
        <v>2.19</v>
      </c>
      <c r="T371" s="82" t="n">
        <v>0.154</v>
      </c>
      <c r="U371" s="82" t="n">
        <v>0.0833</v>
      </c>
      <c r="V371" s="82" t="n">
        <v>0.1297</v>
      </c>
      <c r="W371" s="82" t="n">
        <v>140</v>
      </c>
      <c r="X371" s="82" t="n">
        <v>49.49</v>
      </c>
      <c r="Y371" s="82" t="n">
        <v>0</v>
      </c>
      <c r="Z371" s="82" t="inlineStr">
        <is>
          <t>CLEAR</t>
        </is>
      </c>
    </row>
    <row r="372" ht="17" customHeight="1">
      <c r="A372" s="86" t="n">
        <v>370</v>
      </c>
      <c r="B372" s="86" t="inlineStr">
        <is>
          <t>INTC</t>
        </is>
      </c>
      <c r="C372" s="86" t="inlineStr">
        <is>
          <t>INTEL CORP</t>
        </is>
      </c>
      <c r="D372" s="86" t="n">
        <v>0.75</v>
      </c>
      <c r="E372" s="207" t="inlineStr">
        <is>
          <t>Distress</t>
        </is>
      </c>
      <c r="F372" s="86" t="n">
        <v>2.25</v>
      </c>
      <c r="G372" s="86" t="inlineStr">
        <is>
          <t>Grey</t>
        </is>
      </c>
      <c r="H372" s="86" t="n">
        <v>0.26</v>
      </c>
      <c r="I372" s="86" t="inlineStr">
        <is>
          <t>Distress</t>
        </is>
      </c>
      <c r="J372" s="86" t="n">
        <v>1.36</v>
      </c>
      <c r="K372" s="86" t="n">
        <v>0.8</v>
      </c>
      <c r="L372" s="86" t="inlineStr">
        <is>
          <t>Distress</t>
        </is>
      </c>
      <c r="M372" s="86" t="n">
        <v>6</v>
      </c>
      <c r="N372" s="86" t="inlineStr">
        <is>
          <t>Mixed</t>
        </is>
      </c>
      <c r="O372" s="207" t="n">
        <v>-2.75</v>
      </c>
      <c r="P372" s="86" t="inlineStr">
        <is>
          <t>Lower Risk</t>
        </is>
      </c>
      <c r="Q372" s="86" t="n">
        <v>-16.05</v>
      </c>
      <c r="R372" s="86" t="n">
        <v>-0.0023</v>
      </c>
      <c r="S372" s="86" t="n">
        <v>-36.32</v>
      </c>
      <c r="T372" s="86" t="n">
        <v>-0.0936</v>
      </c>
      <c r="U372" s="86" t="n">
        <v>-0.0047</v>
      </c>
      <c r="V372" s="86" t="n">
        <v>-0.0419</v>
      </c>
      <c r="W372" s="86" t="n">
        <v>-2.52</v>
      </c>
      <c r="X372" s="86" t="n">
        <v>49.46</v>
      </c>
      <c r="Y372" s="86" t="n">
        <v>20</v>
      </c>
      <c r="Z372" s="86" t="inlineStr">
        <is>
          <t>CLEAR</t>
        </is>
      </c>
    </row>
    <row r="373" ht="17" customHeight="1">
      <c r="A373" s="82" t="n">
        <v>371</v>
      </c>
      <c r="B373" s="82" t="inlineStr">
        <is>
          <t>EPR</t>
        </is>
      </c>
      <c r="C373" s="82" t="inlineStr">
        <is>
          <t>EPR PROPERTIES</t>
        </is>
      </c>
      <c r="D373" s="91" t="inlineStr">
        <is>
          <t>N/A</t>
        </is>
      </c>
      <c r="E373" s="91" t="inlineStr">
        <is>
          <t>N/A</t>
        </is>
      </c>
      <c r="F373" s="91" t="inlineStr">
        <is>
          <t>N/A</t>
        </is>
      </c>
      <c r="G373" s="91" t="inlineStr">
        <is>
          <t>N/A</t>
        </is>
      </c>
      <c r="H373" s="91" t="inlineStr">
        <is>
          <t>N/A</t>
        </is>
      </c>
      <c r="I373" s="91" t="inlineStr">
        <is>
          <t>N/A</t>
        </is>
      </c>
      <c r="J373" s="91" t="inlineStr">
        <is>
          <t>N/A</t>
        </is>
      </c>
      <c r="K373" s="91" t="inlineStr">
        <is>
          <t>N/A</t>
        </is>
      </c>
      <c r="L373" s="91" t="inlineStr">
        <is>
          <t>N/A</t>
        </is>
      </c>
      <c r="M373" s="82" t="n">
        <v>6</v>
      </c>
      <c r="N373" s="82" t="inlineStr">
        <is>
          <t>Mixed</t>
        </is>
      </c>
      <c r="O373" s="91" t="inlineStr">
        <is>
          <t>N/A</t>
        </is>
      </c>
      <c r="P373" s="82" t="inlineStr">
        <is>
          <t>Insufficient Data</t>
        </is>
      </c>
      <c r="Q373" s="82" t="n">
        <v>4.87</v>
      </c>
      <c r="R373" s="82" t="n">
        <v>0.1326</v>
      </c>
      <c r="S373" s="82" t="n">
        <v>1.53</v>
      </c>
      <c r="T373" s="82" t="n">
        <v>0.2186</v>
      </c>
      <c r="U373" s="82" t="n">
        <v>0.0291</v>
      </c>
      <c r="V373" s="82" t="n">
        <v>0.5767</v>
      </c>
      <c r="W373" s="82" t="n">
        <v>3.11</v>
      </c>
      <c r="X373" s="82" t="n">
        <v>49.42</v>
      </c>
      <c r="Y373" s="82" t="n">
        <v>0</v>
      </c>
      <c r="Z373" s="82" t="inlineStr">
        <is>
          <t>CLEAR</t>
        </is>
      </c>
    </row>
    <row r="374" ht="17" customHeight="1">
      <c r="A374" s="86" t="n">
        <v>372</v>
      </c>
      <c r="B374" s="86" t="inlineStr">
        <is>
          <t>DVN</t>
        </is>
      </c>
      <c r="C374" s="86" t="inlineStr">
        <is>
          <t>DEVON ENERGY CORP/DE</t>
        </is>
      </c>
      <c r="D374" s="86" t="n">
        <v>0.74</v>
      </c>
      <c r="E374" s="207" t="inlineStr">
        <is>
          <t>Distress</t>
        </is>
      </c>
      <c r="F374" s="86" t="n">
        <v>0.9399999999999999</v>
      </c>
      <c r="G374" s="86" t="inlineStr">
        <is>
          <t>Distress</t>
        </is>
      </c>
      <c r="H374" s="86" t="n">
        <v>0.49</v>
      </c>
      <c r="I374" s="86" t="inlineStr">
        <is>
          <t>Distress</t>
        </is>
      </c>
      <c r="J374" s="86" t="n">
        <v>0.97</v>
      </c>
      <c r="K374" s="86" t="n">
        <v>0.73</v>
      </c>
      <c r="L374" s="86" t="inlineStr">
        <is>
          <t>Distress</t>
        </is>
      </c>
      <c r="M374" s="86" t="n">
        <v>6</v>
      </c>
      <c r="N374" s="86" t="inlineStr">
        <is>
          <t>Mixed</t>
        </is>
      </c>
      <c r="O374" s="207" t="n">
        <v>-3.32</v>
      </c>
      <c r="P374" s="86" t="inlineStr">
        <is>
          <t>Lower Risk</t>
        </is>
      </c>
      <c r="Q374" s="86" t="n">
        <v>10.01</v>
      </c>
      <c r="R374" s="86" t="n">
        <v>0.1701</v>
      </c>
      <c r="S374" s="86" t="n">
        <v>2.54</v>
      </c>
      <c r="T374" s="86" t="n">
        <v>0.3886</v>
      </c>
      <c r="U374" s="86" t="n">
        <v>0.07829999999999999</v>
      </c>
      <c r="V374" s="86" t="n">
        <v>-0.1684</v>
      </c>
      <c r="W374" s="86" t="n">
        <v>-5.4</v>
      </c>
      <c r="X374" s="86" t="n">
        <v>49.41</v>
      </c>
      <c r="Y374" s="86" t="n">
        <v>20</v>
      </c>
      <c r="Z374" s="86" t="inlineStr">
        <is>
          <t>CLEAR</t>
        </is>
      </c>
    </row>
    <row r="375" ht="17" customHeight="1">
      <c r="A375" s="82" t="n">
        <v>373</v>
      </c>
      <c r="B375" s="82" t="inlineStr">
        <is>
          <t>AVGO</t>
        </is>
      </c>
      <c r="C375" s="82" t="inlineStr">
        <is>
          <t>Broadcom Inc.</t>
        </is>
      </c>
      <c r="D375" s="82" t="n">
        <v>0.8</v>
      </c>
      <c r="E375" s="207" t="inlineStr">
        <is>
          <t>Distress</t>
        </is>
      </c>
      <c r="F375" s="82" t="n">
        <v>1.98</v>
      </c>
      <c r="G375" s="82" t="inlineStr">
        <is>
          <t>Grey</t>
        </is>
      </c>
      <c r="H375" s="82" t="n">
        <v>1.39</v>
      </c>
      <c r="I375" s="82" t="inlineStr">
        <is>
          <t>Healthy</t>
        </is>
      </c>
      <c r="J375" s="82" t="n">
        <v>-1.5</v>
      </c>
      <c r="K375" s="82" t="n">
        <v>0.18</v>
      </c>
      <c r="L375" s="82" t="inlineStr">
        <is>
          <t>Healthy</t>
        </is>
      </c>
      <c r="M375" s="82" t="n">
        <v>7</v>
      </c>
      <c r="N375" s="82" t="inlineStr">
        <is>
          <t>Strong</t>
        </is>
      </c>
      <c r="O375" s="207" t="n">
        <v>-0.06</v>
      </c>
      <c r="P375" s="82" t="inlineStr">
        <is>
          <t>Higher Risk</t>
        </is>
      </c>
      <c r="Q375" s="82" t="n">
        <v>0.9</v>
      </c>
      <c r="R375" s="82" t="n">
        <v>0.2364</v>
      </c>
      <c r="S375" s="82" t="n">
        <v>4.67</v>
      </c>
      <c r="T375" s="82" t="n">
        <v>1.291</v>
      </c>
      <c r="U375" s="82" t="n">
        <v>2.8295</v>
      </c>
      <c r="V375" s="82" t="n">
        <v>1.2224</v>
      </c>
      <c r="W375" s="82" t="n">
        <v>6.45</v>
      </c>
      <c r="X375" s="82" t="n">
        <v>49.39</v>
      </c>
      <c r="Y375" s="82" t="n">
        <v>40</v>
      </c>
      <c r="Z375" s="82" t="inlineStr">
        <is>
          <t>WATCH</t>
        </is>
      </c>
    </row>
    <row r="376" ht="17" customHeight="1">
      <c r="A376" s="86" t="n">
        <v>374</v>
      </c>
      <c r="B376" s="86" t="inlineStr">
        <is>
          <t>AMBA</t>
        </is>
      </c>
      <c r="C376" s="86" t="inlineStr">
        <is>
          <t>AMBARELLA, INC.</t>
        </is>
      </c>
      <c r="D376" s="86" t="n">
        <v>1.13</v>
      </c>
      <c r="E376" s="207" t="inlineStr">
        <is>
          <t>Distress</t>
        </is>
      </c>
      <c r="F376" s="86" t="n">
        <v>2.94</v>
      </c>
      <c r="G376" s="86" t="inlineStr">
        <is>
          <t>Safe</t>
        </is>
      </c>
      <c r="H376" s="86" t="n">
        <v>-0.14</v>
      </c>
      <c r="I376" s="86" t="inlineStr">
        <is>
          <t>Distress</t>
        </is>
      </c>
      <c r="J376" s="86" t="n">
        <v>-2.45</v>
      </c>
      <c r="K376" s="86" t="n">
        <v>0.08</v>
      </c>
      <c r="L376" s="86" t="inlineStr">
        <is>
          <t>Healthy</t>
        </is>
      </c>
      <c r="M376" s="86" t="n">
        <v>5</v>
      </c>
      <c r="N376" s="86" t="inlineStr">
        <is>
          <t>Mixed</t>
        </is>
      </c>
      <c r="O376" s="207" t="n">
        <v>-3.38</v>
      </c>
      <c r="P376" s="86" t="inlineStr">
        <is>
          <t>Lower Risk</t>
        </is>
      </c>
      <c r="Q376" s="86" t="n">
        <v>3.31</v>
      </c>
      <c r="R376" s="86" t="n">
        <v>-0.1275</v>
      </c>
      <c r="S376" s="86" t="n">
        <v>-0.97</v>
      </c>
      <c r="T376" s="86" t="n">
        <v>0.2423</v>
      </c>
      <c r="U376" s="86" t="n">
        <v>-0.048</v>
      </c>
      <c r="V376" s="86" t="n">
        <v>-0.2794</v>
      </c>
      <c r="W376" s="90" t="inlineStr">
        <is>
          <t>N/A</t>
        </is>
      </c>
      <c r="X376" s="86" t="n">
        <v>49.38</v>
      </c>
      <c r="Y376" s="86" t="n">
        <v>40</v>
      </c>
      <c r="Z376" s="86" t="inlineStr">
        <is>
          <t>WATCH</t>
        </is>
      </c>
    </row>
    <row r="377" ht="17" customHeight="1">
      <c r="A377" s="82" t="n">
        <v>375</v>
      </c>
      <c r="B377" s="82" t="inlineStr">
        <is>
          <t>STAG</t>
        </is>
      </c>
      <c r="C377" s="82" t="inlineStr">
        <is>
          <t>STAG Industrial, Inc.</t>
        </is>
      </c>
      <c r="D377" s="91" t="inlineStr">
        <is>
          <t>N/A</t>
        </is>
      </c>
      <c r="E377" s="91" t="inlineStr">
        <is>
          <t>N/A</t>
        </is>
      </c>
      <c r="F377" s="91" t="inlineStr">
        <is>
          <t>N/A</t>
        </is>
      </c>
      <c r="G377" s="91" t="inlineStr">
        <is>
          <t>N/A</t>
        </is>
      </c>
      <c r="H377" s="91" t="inlineStr">
        <is>
          <t>N/A</t>
        </is>
      </c>
      <c r="I377" s="91" t="inlineStr">
        <is>
          <t>N/A</t>
        </is>
      </c>
      <c r="J377" s="91" t="inlineStr">
        <is>
          <t>N/A</t>
        </is>
      </c>
      <c r="K377" s="91" t="inlineStr">
        <is>
          <t>N/A</t>
        </is>
      </c>
      <c r="L377" s="91" t="inlineStr">
        <is>
          <t>N/A</t>
        </is>
      </c>
      <c r="M377" s="82" t="n">
        <v>6</v>
      </c>
      <c r="N377" s="82" t="inlineStr">
        <is>
          <t>Mixed</t>
        </is>
      </c>
      <c r="O377" s="91" t="inlineStr">
        <is>
          <t>N/A</t>
        </is>
      </c>
      <c r="P377" s="82" t="inlineStr">
        <is>
          <t>Insufficient Data</t>
        </is>
      </c>
      <c r="Q377" s="91" t="inlineStr">
        <is>
          <t>N/A</t>
        </is>
      </c>
      <c r="R377" s="82" t="n">
        <v>0.0761</v>
      </c>
      <c r="S377" s="82" t="n">
        <v>1.69</v>
      </c>
      <c r="T377" s="82" t="n">
        <v>0.3063</v>
      </c>
      <c r="U377" s="82" t="n">
        <v>0.1014</v>
      </c>
      <c r="V377" s="91" t="inlineStr">
        <is>
          <t>N/A</t>
        </is>
      </c>
      <c r="W377" s="91" t="inlineStr">
        <is>
          <t>N/A</t>
        </is>
      </c>
      <c r="X377" s="82" t="n">
        <v>49.37</v>
      </c>
      <c r="Y377" s="82" t="n">
        <v>0</v>
      </c>
      <c r="Z377" s="82" t="inlineStr">
        <is>
          <t>CLEAR</t>
        </is>
      </c>
    </row>
    <row r="378" ht="17" customHeight="1">
      <c r="A378" s="86" t="n">
        <v>376</v>
      </c>
      <c r="B378" s="86" t="inlineStr">
        <is>
          <t>WSM</t>
        </is>
      </c>
      <c r="C378" s="86" t="inlineStr">
        <is>
          <t>WILLIAMS-SONOMA, INC.</t>
        </is>
      </c>
      <c r="D378" s="86" t="n">
        <v>2.85</v>
      </c>
      <c r="E378" s="208" t="inlineStr">
        <is>
          <t>Grey</t>
        </is>
      </c>
      <c r="F378" s="86" t="n">
        <v>4.24</v>
      </c>
      <c r="G378" s="86" t="inlineStr">
        <is>
          <t>Safe</t>
        </is>
      </c>
      <c r="H378" s="86" t="n">
        <v>2.02</v>
      </c>
      <c r="I378" s="86" t="inlineStr">
        <is>
          <t>Healthy</t>
        </is>
      </c>
      <c r="J378" s="86" t="n">
        <v>-1.74</v>
      </c>
      <c r="K378" s="86" t="n">
        <v>0.15</v>
      </c>
      <c r="L378" s="86" t="inlineStr">
        <is>
          <t>Healthy</t>
        </is>
      </c>
      <c r="M378" s="86" t="n">
        <v>4</v>
      </c>
      <c r="N378" s="86" t="inlineStr">
        <is>
          <t>Mixed</t>
        </is>
      </c>
      <c r="O378" s="207" t="n">
        <v>-2.71</v>
      </c>
      <c r="P378" s="86" t="inlineStr">
        <is>
          <t>Lower Risk</t>
        </is>
      </c>
      <c r="Q378" s="86" t="n">
        <v>-0.61</v>
      </c>
      <c r="R378" s="86" t="n">
        <v>0.5226</v>
      </c>
      <c r="S378" s="86" t="n">
        <v>1.21</v>
      </c>
      <c r="T378" s="86" t="n">
        <v>0.1352</v>
      </c>
      <c r="U378" s="86" t="n">
        <v>0.0124</v>
      </c>
      <c r="V378" s="86" t="n">
        <v>0.1813</v>
      </c>
      <c r="W378" s="86" t="n">
        <v>485.67</v>
      </c>
      <c r="X378" s="86" t="n">
        <v>49.35</v>
      </c>
      <c r="Y378" s="86" t="n">
        <v>0</v>
      </c>
      <c r="Z378" s="86" t="inlineStr">
        <is>
          <t>CLEAR</t>
        </is>
      </c>
    </row>
    <row r="379" ht="17" customHeight="1">
      <c r="A379" s="82" t="n">
        <v>377</v>
      </c>
      <c r="B379" s="82" t="inlineStr">
        <is>
          <t>OPEN</t>
        </is>
      </c>
      <c r="C379" s="82" t="inlineStr">
        <is>
          <t>Opendoor Technologies Inc.</t>
        </is>
      </c>
      <c r="D379" s="82" t="n">
        <v>0.5600000000000001</v>
      </c>
      <c r="E379" s="207" t="inlineStr">
        <is>
          <t>Distress</t>
        </is>
      </c>
      <c r="F379" s="82" t="n">
        <v>-1.49</v>
      </c>
      <c r="G379" s="82" t="inlineStr">
        <is>
          <t>Distress</t>
        </is>
      </c>
      <c r="H379" s="82" t="n">
        <v>-1.42</v>
      </c>
      <c r="I379" s="82" t="inlineStr">
        <is>
          <t>Distress</t>
        </is>
      </c>
      <c r="J379" s="82" t="n">
        <v>1.44</v>
      </c>
      <c r="K379" s="82" t="n">
        <v>0.8100000000000001</v>
      </c>
      <c r="L379" s="82" t="inlineStr">
        <is>
          <t>Distress</t>
        </is>
      </c>
      <c r="M379" s="82" t="n">
        <v>6</v>
      </c>
      <c r="N379" s="82" t="inlineStr">
        <is>
          <t>Mixed</t>
        </is>
      </c>
      <c r="O379" s="91" t="inlineStr">
        <is>
          <t>N/A</t>
        </is>
      </c>
      <c r="P379" s="82" t="inlineStr">
        <is>
          <t>Insufficient Data</t>
        </is>
      </c>
      <c r="Q379" s="82" t="n">
        <v>3.23</v>
      </c>
      <c r="R379" s="82" t="n">
        <v>-1.2935</v>
      </c>
      <c r="S379" s="82" t="n">
        <v>-0.8100000000000001</v>
      </c>
      <c r="T379" s="82" t="n">
        <v>0.2372</v>
      </c>
      <c r="U379" s="82" t="n">
        <v>-0.1518</v>
      </c>
      <c r="V379" s="82" t="n">
        <v>-0.06569999999999999</v>
      </c>
      <c r="W379" s="82" t="n">
        <v>-1.36</v>
      </c>
      <c r="X379" s="82" t="n">
        <v>49.3</v>
      </c>
      <c r="Y379" s="82" t="n">
        <v>40</v>
      </c>
      <c r="Z379" s="82" t="inlineStr">
        <is>
          <t>WATCH</t>
        </is>
      </c>
    </row>
    <row r="380" ht="17" customHeight="1">
      <c r="A380" s="86" t="n">
        <v>378</v>
      </c>
      <c r="B380" s="86" t="inlineStr">
        <is>
          <t>T</t>
        </is>
      </c>
      <c r="C380" s="86" t="inlineStr">
        <is>
          <t>AT&amp;T INC.</t>
        </is>
      </c>
      <c r="D380" s="86" t="n">
        <v>0.6899999999999999</v>
      </c>
      <c r="E380" s="207" t="inlineStr">
        <is>
          <t>Distress</t>
        </is>
      </c>
      <c r="F380" s="86" t="n">
        <v>0.91</v>
      </c>
      <c r="G380" s="86" t="inlineStr">
        <is>
          <t>Distress</t>
        </is>
      </c>
      <c r="H380" s="86" t="n">
        <v>0.62</v>
      </c>
      <c r="I380" s="86" t="inlineStr">
        <is>
          <t>Distress</t>
        </is>
      </c>
      <c r="J380" s="86" t="n">
        <v>-0.8</v>
      </c>
      <c r="K380" s="86" t="n">
        <v>0.31</v>
      </c>
      <c r="L380" s="86" t="inlineStr">
        <is>
          <t>Healthy</t>
        </is>
      </c>
      <c r="M380" s="86" t="n">
        <v>6</v>
      </c>
      <c r="N380" s="86" t="inlineStr">
        <is>
          <t>Mixed</t>
        </is>
      </c>
      <c r="O380" s="207" t="n">
        <v>-2.91</v>
      </c>
      <c r="P380" s="86" t="inlineStr">
        <is>
          <t>Lower Risk</t>
        </is>
      </c>
      <c r="Q380" s="86" t="n">
        <v>2.59</v>
      </c>
      <c r="R380" s="86" t="n">
        <v>0.1736</v>
      </c>
      <c r="S380" s="86" t="n">
        <v>1.84</v>
      </c>
      <c r="T380" s="86" t="n">
        <v>0.1563</v>
      </c>
      <c r="U380" s="86" t="n">
        <v>0.0271</v>
      </c>
      <c r="V380" s="86" t="n">
        <v>0.1923</v>
      </c>
      <c r="W380" s="86" t="n">
        <v>3.6</v>
      </c>
      <c r="X380" s="86" t="n">
        <v>49.27</v>
      </c>
      <c r="Y380" s="86" t="n">
        <v>0</v>
      </c>
      <c r="Z380" s="86" t="inlineStr">
        <is>
          <t>CLEAR</t>
        </is>
      </c>
    </row>
    <row r="381" ht="17" customHeight="1">
      <c r="A381" s="82" t="n">
        <v>379</v>
      </c>
      <c r="B381" s="82" t="inlineStr">
        <is>
          <t>MANH</t>
        </is>
      </c>
      <c r="C381" s="82" t="inlineStr">
        <is>
          <t>MANHATTAN ASSOCIATES, INC.</t>
        </is>
      </c>
      <c r="D381" s="82" t="n">
        <v>1.81</v>
      </c>
      <c r="E381" s="208" t="inlineStr">
        <is>
          <t>Grey</t>
        </is>
      </c>
      <c r="F381" s="82" t="n">
        <v>4.97</v>
      </c>
      <c r="G381" s="82" t="inlineStr">
        <is>
          <t>Safe</t>
        </is>
      </c>
      <c r="H381" s="82" t="n">
        <v>1.66</v>
      </c>
      <c r="I381" s="82" t="inlineStr">
        <is>
          <t>Healthy</t>
        </is>
      </c>
      <c r="J381" s="82" t="n">
        <v>0.17</v>
      </c>
      <c r="K381" s="82" t="n">
        <v>0.54</v>
      </c>
      <c r="L381" s="82" t="inlineStr">
        <is>
          <t>Distress</t>
        </is>
      </c>
      <c r="M381" s="82" t="n">
        <v>5</v>
      </c>
      <c r="N381" s="82" t="inlineStr">
        <is>
          <t>Mixed</t>
        </is>
      </c>
      <c r="O381" s="207" t="n">
        <v>-3.5</v>
      </c>
      <c r="P381" s="82" t="inlineStr">
        <is>
          <t>Lower Risk</t>
        </is>
      </c>
      <c r="Q381" s="82" t="n">
        <v>-1.15</v>
      </c>
      <c r="R381" s="82" t="n">
        <v>0.6988</v>
      </c>
      <c r="S381" s="82" t="n">
        <v>1.77</v>
      </c>
      <c r="T381" s="82" t="n">
        <v>2.8485</v>
      </c>
      <c r="U381" s="82" t="n">
        <v>-0.0245</v>
      </c>
      <c r="V381" s="82" t="n">
        <v>2.131</v>
      </c>
      <c r="W381" s="91" t="inlineStr">
        <is>
          <t>N/A</t>
        </is>
      </c>
      <c r="X381" s="82" t="n">
        <v>49.27</v>
      </c>
      <c r="Y381" s="82" t="n">
        <v>20</v>
      </c>
      <c r="Z381" s="82" t="inlineStr">
        <is>
          <t>CLEAR</t>
        </is>
      </c>
    </row>
    <row r="382" ht="17" customHeight="1">
      <c r="A382" s="86" t="n">
        <v>380</v>
      </c>
      <c r="B382" s="86" t="inlineStr">
        <is>
          <t>F</t>
        </is>
      </c>
      <c r="C382" s="86" t="inlineStr">
        <is>
          <t>Ford Motor Co</t>
        </is>
      </c>
      <c r="D382" s="86" t="n">
        <v>0.6899999999999999</v>
      </c>
      <c r="E382" s="207" t="inlineStr">
        <is>
          <t>Distress</t>
        </is>
      </c>
      <c r="F382" s="86" t="n">
        <v>0.38</v>
      </c>
      <c r="G382" s="86" t="inlineStr">
        <is>
          <t>Distress</t>
        </is>
      </c>
      <c r="H382" s="86" t="n">
        <v>0.12</v>
      </c>
      <c r="I382" s="86" t="inlineStr">
        <is>
          <t>Distress</t>
        </is>
      </c>
      <c r="J382" s="86" t="n">
        <v>0.55</v>
      </c>
      <c r="K382" s="86" t="n">
        <v>0.63</v>
      </c>
      <c r="L382" s="86" t="inlineStr">
        <is>
          <t>Distress</t>
        </is>
      </c>
      <c r="M382" s="86" t="n">
        <v>6</v>
      </c>
      <c r="N382" s="86" t="inlineStr">
        <is>
          <t>Mixed</t>
        </is>
      </c>
      <c r="O382" s="207" t="n">
        <v>-2.4</v>
      </c>
      <c r="P382" s="86" t="inlineStr">
        <is>
          <t>Lower Risk</t>
        </is>
      </c>
      <c r="Q382" s="86" t="n">
        <v>-3.39</v>
      </c>
      <c r="R382" s="86" t="n">
        <v>0.1635</v>
      </c>
      <c r="S382" s="86" t="n">
        <v>3.62</v>
      </c>
      <c r="T382" s="86" t="n">
        <v>0.0674</v>
      </c>
      <c r="U382" s="86" t="n">
        <v>0.05</v>
      </c>
      <c r="V382" s="86" t="n">
        <v>-0.0496</v>
      </c>
      <c r="W382" s="86" t="n">
        <v>-1.2</v>
      </c>
      <c r="X382" s="86" t="n">
        <v>49.24</v>
      </c>
      <c r="Y382" s="86" t="n">
        <v>0</v>
      </c>
      <c r="Z382" s="86" t="inlineStr">
        <is>
          <t>CLEAR</t>
        </is>
      </c>
    </row>
    <row r="383" ht="17" customHeight="1">
      <c r="A383" s="82" t="n">
        <v>381</v>
      </c>
      <c r="B383" s="82" t="inlineStr">
        <is>
          <t>WPC</t>
        </is>
      </c>
      <c r="C383" s="82" t="inlineStr">
        <is>
          <t>W. P. Carey Inc.</t>
        </is>
      </c>
      <c r="D383" s="91" t="inlineStr">
        <is>
          <t>N/A</t>
        </is>
      </c>
      <c r="E383" s="91" t="inlineStr">
        <is>
          <t>N/A</t>
        </is>
      </c>
      <c r="F383" s="91" t="inlineStr">
        <is>
          <t>N/A</t>
        </is>
      </c>
      <c r="G383" s="91" t="inlineStr">
        <is>
          <t>N/A</t>
        </is>
      </c>
      <c r="H383" s="91" t="inlineStr">
        <is>
          <t>N/A</t>
        </is>
      </c>
      <c r="I383" s="91" t="inlineStr">
        <is>
          <t>N/A</t>
        </is>
      </c>
      <c r="J383" s="91" t="inlineStr">
        <is>
          <t>N/A</t>
        </is>
      </c>
      <c r="K383" s="91" t="inlineStr">
        <is>
          <t>N/A</t>
        </is>
      </c>
      <c r="L383" s="91" t="inlineStr">
        <is>
          <t>N/A</t>
        </is>
      </c>
      <c r="M383" s="82" t="n">
        <v>6</v>
      </c>
      <c r="N383" s="82" t="inlineStr">
        <is>
          <t>Mixed</t>
        </is>
      </c>
      <c r="O383" s="91" t="inlineStr">
        <is>
          <t>N/A</t>
        </is>
      </c>
      <c r="P383" s="82" t="inlineStr">
        <is>
          <t>Insufficient Data</t>
        </is>
      </c>
      <c r="Q383" s="82" t="n">
        <v>11.72</v>
      </c>
      <c r="R383" s="82" t="n">
        <v>0.0574</v>
      </c>
      <c r="S383" s="82" t="n">
        <v>2.75</v>
      </c>
      <c r="T383" s="91" t="inlineStr">
        <is>
          <t>N/A</t>
        </is>
      </c>
      <c r="U383" s="82" t="n">
        <v>0.0843</v>
      </c>
      <c r="V383" s="82" t="n">
        <v>0.1223</v>
      </c>
      <c r="W383" s="82" t="n">
        <v>0.72</v>
      </c>
      <c r="X383" s="82" t="n">
        <v>49.22</v>
      </c>
      <c r="Y383" s="82" t="n">
        <v>0</v>
      </c>
      <c r="Z383" s="82" t="inlineStr">
        <is>
          <t>CLEAR</t>
        </is>
      </c>
    </row>
    <row r="384" ht="17" customHeight="1">
      <c r="A384" s="86" t="n">
        <v>382</v>
      </c>
      <c r="B384" s="86" t="inlineStr">
        <is>
          <t>CHDN</t>
        </is>
      </c>
      <c r="C384" s="86" t="inlineStr">
        <is>
          <t>Churchill Downs Inc</t>
        </is>
      </c>
      <c r="D384" s="86" t="n">
        <v>0.68</v>
      </c>
      <c r="E384" s="207" t="inlineStr">
        <is>
          <t>Distress</t>
        </is>
      </c>
      <c r="F384" s="86" t="n">
        <v>0.96</v>
      </c>
      <c r="G384" s="86" t="inlineStr">
        <is>
          <t>Distress</t>
        </is>
      </c>
      <c r="H384" s="86" t="n">
        <v>0.82</v>
      </c>
      <c r="I384" s="86" t="inlineStr">
        <is>
          <t>Distress</t>
        </is>
      </c>
      <c r="J384" s="86" t="n">
        <v>0.31</v>
      </c>
      <c r="K384" s="86" t="n">
        <v>0.58</v>
      </c>
      <c r="L384" s="86" t="inlineStr">
        <is>
          <t>Distress</t>
        </is>
      </c>
      <c r="M384" s="86" t="n">
        <v>6</v>
      </c>
      <c r="N384" s="86" t="inlineStr">
        <is>
          <t>Mixed</t>
        </is>
      </c>
      <c r="O384" s="207" t="n">
        <v>-2.27</v>
      </c>
      <c r="P384" s="86" t="inlineStr">
        <is>
          <t>Lower Risk</t>
        </is>
      </c>
      <c r="Q384" s="86" t="n">
        <v>4.8</v>
      </c>
      <c r="R384" s="86" t="n">
        <v>0.3793</v>
      </c>
      <c r="S384" s="86" t="n">
        <v>0.37</v>
      </c>
      <c r="T384" s="86" t="n">
        <v>0.0621</v>
      </c>
      <c r="U384" s="86" t="n">
        <v>0.1331</v>
      </c>
      <c r="V384" s="86" t="n">
        <v>0.3778</v>
      </c>
      <c r="W384" s="86" t="n">
        <v>2.55</v>
      </c>
      <c r="X384" s="86" t="n">
        <v>49.21</v>
      </c>
      <c r="Y384" s="86" t="n">
        <v>20</v>
      </c>
      <c r="Z384" s="86" t="inlineStr">
        <is>
          <t>CLEAR</t>
        </is>
      </c>
    </row>
    <row r="385" ht="17" customHeight="1">
      <c r="A385" s="82" t="n">
        <v>383</v>
      </c>
      <c r="B385" s="82" t="inlineStr">
        <is>
          <t>ED</t>
        </is>
      </c>
      <c r="C385" s="82" t="inlineStr">
        <is>
          <t>CONSOLIDATED EDISON INC</t>
        </is>
      </c>
      <c r="D385" s="82" t="n">
        <v>0.65</v>
      </c>
      <c r="E385" s="207" t="inlineStr">
        <is>
          <t>Distress</t>
        </is>
      </c>
      <c r="F385" s="82" t="n">
        <v>1.27</v>
      </c>
      <c r="G385" s="82" t="inlineStr">
        <is>
          <t>Grey</t>
        </is>
      </c>
      <c r="H385" s="82" t="n">
        <v>0.47</v>
      </c>
      <c r="I385" s="82" t="inlineStr">
        <is>
          <t>Distress</t>
        </is>
      </c>
      <c r="J385" s="82" t="n">
        <v>1.22</v>
      </c>
      <c r="K385" s="82" t="n">
        <v>0.77</v>
      </c>
      <c r="L385" s="82" t="inlineStr">
        <is>
          <t>Distress</t>
        </is>
      </c>
      <c r="M385" s="82" t="n">
        <v>6</v>
      </c>
      <c r="N385" s="82" t="inlineStr">
        <is>
          <t>Mixed</t>
        </is>
      </c>
      <c r="O385" s="207" t="n">
        <v>-2.41</v>
      </c>
      <c r="P385" s="82" t="inlineStr">
        <is>
          <t>Lower Risk</t>
        </is>
      </c>
      <c r="Q385" s="82" t="n">
        <v>4.6</v>
      </c>
      <c r="R385" s="82" t="n">
        <v>0.08359999999999999</v>
      </c>
      <c r="S385" s="82" t="n">
        <v>2.37</v>
      </c>
      <c r="T385" s="82" t="n">
        <v>0.0198</v>
      </c>
      <c r="U385" s="82" t="n">
        <v>0.1089</v>
      </c>
      <c r="V385" s="82" t="n">
        <v>0.1735</v>
      </c>
      <c r="W385" s="82" t="n">
        <v>2.38</v>
      </c>
      <c r="X385" s="82" t="n">
        <v>49.12</v>
      </c>
      <c r="Y385" s="82" t="n">
        <v>0</v>
      </c>
      <c r="Z385" s="82" t="inlineStr">
        <is>
          <t>CLEAR</t>
        </is>
      </c>
    </row>
    <row r="386" ht="17" customHeight="1">
      <c r="A386" s="86" t="n">
        <v>384</v>
      </c>
      <c r="B386" s="86" t="inlineStr">
        <is>
          <t>HIW</t>
        </is>
      </c>
      <c r="C386" s="86" t="inlineStr">
        <is>
          <t>HIGHWOODS PROPERTIES, INC.</t>
        </is>
      </c>
      <c r="D386" s="90" t="inlineStr">
        <is>
          <t>N/A</t>
        </is>
      </c>
      <c r="E386" s="90" t="inlineStr">
        <is>
          <t>N/A</t>
        </is>
      </c>
      <c r="F386" s="90" t="inlineStr">
        <is>
          <t>N/A</t>
        </is>
      </c>
      <c r="G386" s="90" t="inlineStr">
        <is>
          <t>N/A</t>
        </is>
      </c>
      <c r="H386" s="90" t="inlineStr">
        <is>
          <t>N/A</t>
        </is>
      </c>
      <c r="I386" s="90" t="inlineStr">
        <is>
          <t>N/A</t>
        </is>
      </c>
      <c r="J386" s="90" t="inlineStr">
        <is>
          <t>N/A</t>
        </is>
      </c>
      <c r="K386" s="90" t="inlineStr">
        <is>
          <t>N/A</t>
        </is>
      </c>
      <c r="L386" s="90" t="inlineStr">
        <is>
          <t>N/A</t>
        </is>
      </c>
      <c r="M386" s="86" t="n">
        <v>6</v>
      </c>
      <c r="N386" s="86" t="inlineStr">
        <is>
          <t>Mixed</t>
        </is>
      </c>
      <c r="O386" s="207" t="n">
        <v>-2.68</v>
      </c>
      <c r="P386" s="86" t="inlineStr">
        <is>
          <t>Lower Risk</t>
        </is>
      </c>
      <c r="Q386" s="86" t="n">
        <v>-0.03</v>
      </c>
      <c r="R386" s="86" t="n">
        <v>0.0684</v>
      </c>
      <c r="S386" s="86" t="n">
        <v>2.21</v>
      </c>
      <c r="T386" s="90" t="inlineStr">
        <is>
          <t>N/A</t>
        </is>
      </c>
      <c r="U386" s="86" t="n">
        <v>-0.0239</v>
      </c>
      <c r="V386" s="86" t="n">
        <v>0.6758</v>
      </c>
      <c r="W386" s="86" t="n">
        <v>3.57</v>
      </c>
      <c r="X386" s="86" t="n">
        <v>49.06</v>
      </c>
      <c r="Y386" s="86" t="n">
        <v>0</v>
      </c>
      <c r="Z386" s="86" t="inlineStr">
        <is>
          <t>CLEAR</t>
        </is>
      </c>
    </row>
    <row r="387" ht="17" customHeight="1">
      <c r="A387" s="82" t="n">
        <v>385</v>
      </c>
      <c r="B387" s="82" t="inlineStr">
        <is>
          <t>ZS</t>
        </is>
      </c>
      <c r="C387" s="82" t="inlineStr">
        <is>
          <t>ZSCALER, INC.</t>
        </is>
      </c>
      <c r="D387" s="82" t="n">
        <v>0.64</v>
      </c>
      <c r="E387" s="207" t="inlineStr">
        <is>
          <t>Distress</t>
        </is>
      </c>
      <c r="F387" s="82" t="n">
        <v>2.19</v>
      </c>
      <c r="G387" s="82" t="inlineStr">
        <is>
          <t>Grey</t>
        </is>
      </c>
      <c r="H387" s="82" t="n">
        <v>0.5</v>
      </c>
      <c r="I387" s="82" t="inlineStr">
        <is>
          <t>Distress</t>
        </is>
      </c>
      <c r="J387" s="82" t="n">
        <v>-0.21</v>
      </c>
      <c r="K387" s="82" t="n">
        <v>0.45</v>
      </c>
      <c r="L387" s="82" t="inlineStr">
        <is>
          <t>Healthy</t>
        </is>
      </c>
      <c r="M387" s="82" t="n">
        <v>6</v>
      </c>
      <c r="N387" s="82" t="inlineStr">
        <is>
          <t>Mixed</t>
        </is>
      </c>
      <c r="O387" s="207" t="n">
        <v>-3.11</v>
      </c>
      <c r="P387" s="82" t="inlineStr">
        <is>
          <t>Lower Risk</t>
        </is>
      </c>
      <c r="Q387" s="82" t="n">
        <v>11.17</v>
      </c>
      <c r="R387" s="82" t="n">
        <v>-0.0231</v>
      </c>
      <c r="S387" s="82" t="n">
        <v>-23.45</v>
      </c>
      <c r="T387" s="82" t="n">
        <v>0.3023</v>
      </c>
      <c r="U387" s="82" t="n">
        <v>0.2331</v>
      </c>
      <c r="V387" s="82" t="n">
        <v>-0.0481</v>
      </c>
      <c r="W387" s="82" t="n">
        <v>-19.64</v>
      </c>
      <c r="X387" s="82" t="n">
        <v>49.06</v>
      </c>
      <c r="Y387" s="82" t="n">
        <v>40</v>
      </c>
      <c r="Z387" s="82" t="inlineStr">
        <is>
          <t>WATCH</t>
        </is>
      </c>
    </row>
    <row r="388" ht="17" customHeight="1">
      <c r="A388" s="86" t="n">
        <v>386</v>
      </c>
      <c r="B388" s="86" t="inlineStr">
        <is>
          <t>A</t>
        </is>
      </c>
      <c r="C388" s="86" t="inlineStr">
        <is>
          <t>AGILENT TECHNOLOGIES, INC.</t>
        </is>
      </c>
      <c r="D388" s="86" t="n">
        <v>1.4</v>
      </c>
      <c r="E388" s="208" t="inlineStr">
        <is>
          <t>Grey</t>
        </is>
      </c>
      <c r="F388" s="86" t="n">
        <v>3.48</v>
      </c>
      <c r="G388" s="86" t="inlineStr">
        <is>
          <t>Safe</t>
        </is>
      </c>
      <c r="H388" s="86" t="n">
        <v>1.08</v>
      </c>
      <c r="I388" s="86" t="inlineStr">
        <is>
          <t>Healthy</t>
        </is>
      </c>
      <c r="J388" s="86" t="n">
        <v>-2.12</v>
      </c>
      <c r="K388" s="86" t="n">
        <v>0.11</v>
      </c>
      <c r="L388" s="86" t="inlineStr">
        <is>
          <t>Healthy</t>
        </is>
      </c>
      <c r="M388" s="86" t="n">
        <v>5</v>
      </c>
      <c r="N388" s="86" t="inlineStr">
        <is>
          <t>Mixed</t>
        </is>
      </c>
      <c r="O388" s="207" t="n">
        <v>-2.53</v>
      </c>
      <c r="P388" s="86" t="inlineStr">
        <is>
          <t>Lower Risk</t>
        </is>
      </c>
      <c r="Q388" s="86" t="n">
        <v>0.71</v>
      </c>
      <c r="R388" s="86" t="n">
        <v>0.1933</v>
      </c>
      <c r="S388" s="86" t="n">
        <v>1.2</v>
      </c>
      <c r="T388" s="86" t="n">
        <v>0.2576</v>
      </c>
      <c r="U388" s="86" t="n">
        <v>0.0643</v>
      </c>
      <c r="V388" s="86" t="n">
        <v>0.3307</v>
      </c>
      <c r="W388" s="86" t="n">
        <v>13.21</v>
      </c>
      <c r="X388" s="86" t="n">
        <v>49.04</v>
      </c>
      <c r="Y388" s="86" t="n">
        <v>0</v>
      </c>
      <c r="Z388" s="86" t="inlineStr">
        <is>
          <t>CLEAR</t>
        </is>
      </c>
    </row>
    <row r="389" ht="17" customHeight="1">
      <c r="A389" s="82" t="n">
        <v>387</v>
      </c>
      <c r="B389" s="82" t="inlineStr">
        <is>
          <t>AMKR</t>
        </is>
      </c>
      <c r="C389" s="82" t="inlineStr">
        <is>
          <t>AMKOR TECHNOLOGY, INC.</t>
        </is>
      </c>
      <c r="D389" s="82" t="n">
        <v>1.66</v>
      </c>
      <c r="E389" s="208" t="inlineStr">
        <is>
          <t>Grey</t>
        </is>
      </c>
      <c r="F389" s="82" t="n">
        <v>4.48</v>
      </c>
      <c r="G389" s="82" t="inlineStr">
        <is>
          <t>Safe</t>
        </is>
      </c>
      <c r="H389" s="82" t="n">
        <v>0.82</v>
      </c>
      <c r="I389" s="82" t="inlineStr">
        <is>
          <t>Distress</t>
        </is>
      </c>
      <c r="J389" s="82" t="n">
        <v>-2</v>
      </c>
      <c r="K389" s="82" t="n">
        <v>0.12</v>
      </c>
      <c r="L389" s="82" t="inlineStr">
        <is>
          <t>Healthy</t>
        </is>
      </c>
      <c r="M389" s="82" t="n">
        <v>6</v>
      </c>
      <c r="N389" s="82" t="inlineStr">
        <is>
          <t>Mixed</t>
        </is>
      </c>
      <c r="O389" s="207" t="n">
        <v>-0.05</v>
      </c>
      <c r="P389" s="82" t="inlineStr">
        <is>
          <t>Higher Risk</t>
        </is>
      </c>
      <c r="Q389" s="82" t="n">
        <v>-0.09</v>
      </c>
      <c r="R389" s="82" t="n">
        <v>0.08359999999999999</v>
      </c>
      <c r="S389" s="82" t="n">
        <v>2.93</v>
      </c>
      <c r="T389" s="82" t="n">
        <v>0.0471</v>
      </c>
      <c r="U389" s="82" t="n">
        <v>2.4389</v>
      </c>
      <c r="V389" s="82" t="n">
        <v>0.1153</v>
      </c>
      <c r="W389" s="82" t="n">
        <v>7.92</v>
      </c>
      <c r="X389" s="82" t="n">
        <v>48.96</v>
      </c>
      <c r="Y389" s="82" t="n">
        <v>20</v>
      </c>
      <c r="Z389" s="82" t="inlineStr">
        <is>
          <t>CLEAR</t>
        </is>
      </c>
    </row>
    <row r="390" ht="17" customHeight="1">
      <c r="A390" s="86" t="n">
        <v>388</v>
      </c>
      <c r="B390" s="86" t="inlineStr">
        <is>
          <t>GTLS</t>
        </is>
      </c>
      <c r="C390" s="86" t="inlineStr">
        <is>
          <t>CHART INDUSTRIES, INC.</t>
        </is>
      </c>
      <c r="D390" s="86" t="n">
        <v>0.58</v>
      </c>
      <c r="E390" s="207" t="inlineStr">
        <is>
          <t>Distress</t>
        </is>
      </c>
      <c r="F390" s="86" t="n">
        <v>1.66</v>
      </c>
      <c r="G390" s="86" t="inlineStr">
        <is>
          <t>Grey</t>
        </is>
      </c>
      <c r="H390" s="86" t="n">
        <v>0.27</v>
      </c>
      <c r="I390" s="86" t="inlineStr">
        <is>
          <t>Distress</t>
        </is>
      </c>
      <c r="J390" s="86" t="n">
        <v>-0.63</v>
      </c>
      <c r="K390" s="86" t="n">
        <v>0.35</v>
      </c>
      <c r="L390" s="86" t="inlineStr">
        <is>
          <t>Healthy</t>
        </is>
      </c>
      <c r="M390" s="86" t="n">
        <v>6</v>
      </c>
      <c r="N390" s="86" t="inlineStr">
        <is>
          <t>Mixed</t>
        </is>
      </c>
      <c r="O390" s="207" t="n">
        <v>-2.5</v>
      </c>
      <c r="P390" s="86" t="inlineStr">
        <is>
          <t>Lower Risk</t>
        </is>
      </c>
      <c r="Q390" s="86" t="n">
        <v>5.14</v>
      </c>
      <c r="R390" s="86" t="n">
        <v>0.0126</v>
      </c>
      <c r="S390" s="86" t="n">
        <v>7.19</v>
      </c>
      <c r="T390" s="86" t="n">
        <v>0.2051</v>
      </c>
      <c r="U390" s="86" t="n">
        <v>0.1509</v>
      </c>
      <c r="V390" s="86" t="n">
        <v>0.3625</v>
      </c>
      <c r="W390" s="86" t="n">
        <v>14.17</v>
      </c>
      <c r="X390" s="86" t="n">
        <v>48.92</v>
      </c>
      <c r="Y390" s="86" t="n">
        <v>0</v>
      </c>
      <c r="Z390" s="86" t="inlineStr">
        <is>
          <t>CLEAR</t>
        </is>
      </c>
    </row>
    <row r="391" ht="17" customHeight="1">
      <c r="A391" s="82" t="n">
        <v>389</v>
      </c>
      <c r="B391" s="82" t="inlineStr">
        <is>
          <t>CHTR</t>
        </is>
      </c>
      <c r="C391" s="82" t="inlineStr">
        <is>
          <t>Charter Communications, Inc.</t>
        </is>
      </c>
      <c r="D391" s="82" t="n">
        <v>0.59</v>
      </c>
      <c r="E391" s="207" t="inlineStr">
        <is>
          <t>Distress</t>
        </is>
      </c>
      <c r="F391" s="82" t="n">
        <v>0.21</v>
      </c>
      <c r="G391" s="82" t="inlineStr">
        <is>
          <t>Distress</t>
        </is>
      </c>
      <c r="H391" s="82" t="n">
        <v>0.71</v>
      </c>
      <c r="I391" s="82" t="inlineStr">
        <is>
          <t>Distress</t>
        </is>
      </c>
      <c r="J391" s="82" t="n">
        <v>1.2</v>
      </c>
      <c r="K391" s="82" t="n">
        <v>0.77</v>
      </c>
      <c r="L391" s="82" t="inlineStr">
        <is>
          <t>Distress</t>
        </is>
      </c>
      <c r="M391" s="82" t="n">
        <v>6</v>
      </c>
      <c r="N391" s="82" t="inlineStr">
        <is>
          <t>Mixed</t>
        </is>
      </c>
      <c r="O391" s="207" t="n">
        <v>-2.79</v>
      </c>
      <c r="P391" s="82" t="inlineStr">
        <is>
          <t>Lower Risk</t>
        </is>
      </c>
      <c r="Q391" s="82" t="n">
        <v>4.49</v>
      </c>
      <c r="R391" s="82" t="n">
        <v>0.3106</v>
      </c>
      <c r="S391" s="82" t="n">
        <v>3.22</v>
      </c>
      <c r="T391" s="82" t="n">
        <v>0.08069999999999999</v>
      </c>
      <c r="U391" s="82" t="n">
        <v>-0.0056</v>
      </c>
      <c r="V391" s="82" t="n">
        <v>0.2357</v>
      </c>
      <c r="W391" s="82" t="n">
        <v>15.26</v>
      </c>
      <c r="X391" s="82" t="n">
        <v>48.9</v>
      </c>
      <c r="Y391" s="82" t="n">
        <v>0</v>
      </c>
      <c r="Z391" s="82" t="inlineStr">
        <is>
          <t>CLEAR</t>
        </is>
      </c>
    </row>
    <row r="392" ht="17" customHeight="1">
      <c r="A392" s="86" t="n">
        <v>390</v>
      </c>
      <c r="B392" s="86" t="inlineStr">
        <is>
          <t>AIG</t>
        </is>
      </c>
      <c r="C392" s="86" t="inlineStr">
        <is>
          <t>American International Group, Inc.</t>
        </is>
      </c>
      <c r="D392" s="90" t="inlineStr">
        <is>
          <t>N/A</t>
        </is>
      </c>
      <c r="E392" s="90" t="inlineStr">
        <is>
          <t>N/A</t>
        </is>
      </c>
      <c r="F392" s="90" t="inlineStr">
        <is>
          <t>N/A</t>
        </is>
      </c>
      <c r="G392" s="90" t="inlineStr">
        <is>
          <t>N/A</t>
        </is>
      </c>
      <c r="H392" s="90" t="inlineStr">
        <is>
          <t>N/A</t>
        </is>
      </c>
      <c r="I392" s="90" t="inlineStr">
        <is>
          <t>N/A</t>
        </is>
      </c>
      <c r="J392" s="90" t="inlineStr">
        <is>
          <t>N/A</t>
        </is>
      </c>
      <c r="K392" s="90" t="inlineStr">
        <is>
          <t>N/A</t>
        </is>
      </c>
      <c r="L392" s="90" t="inlineStr">
        <is>
          <t>N/A</t>
        </is>
      </c>
      <c r="M392" s="86" t="n">
        <v>6</v>
      </c>
      <c r="N392" s="86" t="inlineStr">
        <is>
          <t>Mixed</t>
        </is>
      </c>
      <c r="O392" s="90" t="inlineStr">
        <is>
          <t>N/A</t>
        </is>
      </c>
      <c r="P392" s="86" t="inlineStr">
        <is>
          <t>Insufficient Data</t>
        </is>
      </c>
      <c r="Q392" s="86" t="n">
        <v>2.36</v>
      </c>
      <c r="R392" s="86" t="n">
        <v>0.07530000000000001</v>
      </c>
      <c r="S392" s="86" t="n">
        <v>1.07</v>
      </c>
      <c r="T392" s="86" t="n">
        <v>0.1148</v>
      </c>
      <c r="U392" s="86" t="n">
        <v>-0.0175</v>
      </c>
      <c r="V392" s="86" t="n">
        <v>0.1449</v>
      </c>
      <c r="W392" s="86" t="n">
        <v>9.800000000000001</v>
      </c>
      <c r="X392" s="86" t="n">
        <v>48.86</v>
      </c>
      <c r="Y392" s="86" t="n">
        <v>0</v>
      </c>
      <c r="Z392" s="86" t="inlineStr">
        <is>
          <t>CLEAR</t>
        </is>
      </c>
    </row>
    <row r="393" ht="17" customHeight="1">
      <c r="A393" s="82" t="n">
        <v>391</v>
      </c>
      <c r="B393" s="82" t="inlineStr">
        <is>
          <t>CAKE</t>
        </is>
      </c>
      <c r="C393" s="82" t="inlineStr">
        <is>
          <t>THE CHEESECAKE FACTORY INCORPORATED</t>
        </is>
      </c>
      <c r="D393" s="82" t="n">
        <v>1.69</v>
      </c>
      <c r="E393" s="208" t="inlineStr">
        <is>
          <t>Grey</t>
        </is>
      </c>
      <c r="F393" s="82" t="n">
        <v>1.31</v>
      </c>
      <c r="G393" s="82" t="inlineStr">
        <is>
          <t>Grey</t>
        </is>
      </c>
      <c r="H393" s="82" t="n">
        <v>0.67</v>
      </c>
      <c r="I393" s="82" t="inlineStr">
        <is>
          <t>Distress</t>
        </is>
      </c>
      <c r="J393" s="82" t="n">
        <v>0.38</v>
      </c>
      <c r="K393" s="82" t="n">
        <v>0.59</v>
      </c>
      <c r="L393" s="82" t="inlineStr">
        <is>
          <t>Distress</t>
        </is>
      </c>
      <c r="M393" s="82" t="n">
        <v>5</v>
      </c>
      <c r="N393" s="82" t="inlineStr">
        <is>
          <t>Mixed</t>
        </is>
      </c>
      <c r="O393" s="207" t="n">
        <v>-2.81</v>
      </c>
      <c r="P393" s="82" t="inlineStr">
        <is>
          <t>Lower Risk</t>
        </is>
      </c>
      <c r="Q393" s="82" t="n">
        <v>1.17</v>
      </c>
      <c r="R393" s="82" t="n">
        <v>0.3401</v>
      </c>
      <c r="S393" s="82" t="n">
        <v>2.03</v>
      </c>
      <c r="T393" s="82" t="n">
        <v>0.0413</v>
      </c>
      <c r="U393" s="82" t="n">
        <v>0.0475</v>
      </c>
      <c r="V393" s="82" t="n">
        <v>0.0499</v>
      </c>
      <c r="W393" s="82" t="n">
        <v>38.08</v>
      </c>
      <c r="X393" s="82" t="n">
        <v>48.85</v>
      </c>
      <c r="Y393" s="82" t="n">
        <v>0</v>
      </c>
      <c r="Z393" s="82" t="inlineStr">
        <is>
          <t>CLEAR</t>
        </is>
      </c>
    </row>
    <row r="394" ht="17" customHeight="1">
      <c r="A394" s="86" t="n">
        <v>392</v>
      </c>
      <c r="B394" s="86" t="inlineStr">
        <is>
          <t>GPC</t>
        </is>
      </c>
      <c r="C394" s="86" t="inlineStr">
        <is>
          <t>GENUINE PARTS CO</t>
        </is>
      </c>
      <c r="D394" s="86" t="n">
        <v>1.68</v>
      </c>
      <c r="E394" s="208" t="inlineStr">
        <is>
          <t>Grey</t>
        </is>
      </c>
      <c r="F394" s="86" t="n">
        <v>1.65</v>
      </c>
      <c r="G394" s="86" t="inlineStr">
        <is>
          <t>Grey</t>
        </is>
      </c>
      <c r="H394" s="86" t="n">
        <v>0.72</v>
      </c>
      <c r="I394" s="86" t="inlineStr">
        <is>
          <t>Distress</t>
        </is>
      </c>
      <c r="J394" s="86" t="n">
        <v>1.33</v>
      </c>
      <c r="K394" s="86" t="n">
        <v>0.79</v>
      </c>
      <c r="L394" s="86" t="inlineStr">
        <is>
          <t>Distress</t>
        </is>
      </c>
      <c r="M394" s="86" t="n">
        <v>5</v>
      </c>
      <c r="N394" s="86" t="inlineStr">
        <is>
          <t>Mixed</t>
        </is>
      </c>
      <c r="O394" s="90" t="inlineStr">
        <is>
          <t>N/A</t>
        </is>
      </c>
      <c r="P394" s="86" t="inlineStr">
        <is>
          <t>Insufficient Data</t>
        </is>
      </c>
      <c r="Q394" s="86" t="n">
        <v>2.27</v>
      </c>
      <c r="R394" s="86" t="n">
        <v>0.0149</v>
      </c>
      <c r="S394" s="86" t="n">
        <v>13.51</v>
      </c>
      <c r="T394" s="86" t="n">
        <v>0.0173</v>
      </c>
      <c r="U394" s="86" t="n">
        <v>0.0346</v>
      </c>
      <c r="V394" s="86" t="n">
        <v>0.0589</v>
      </c>
      <c r="W394" s="86" t="n">
        <v>22.19</v>
      </c>
      <c r="X394" s="86" t="n">
        <v>48.83</v>
      </c>
      <c r="Y394" s="86" t="n">
        <v>0</v>
      </c>
      <c r="Z394" s="86" t="inlineStr">
        <is>
          <t>CLEAR</t>
        </is>
      </c>
    </row>
    <row r="395" ht="17" customHeight="1">
      <c r="A395" s="82" t="n">
        <v>393</v>
      </c>
      <c r="B395" s="82" t="inlineStr">
        <is>
          <t>ADI</t>
        </is>
      </c>
      <c r="C395" s="82" t="inlineStr">
        <is>
          <t>Analog Devices, Inc.</t>
        </is>
      </c>
      <c r="D395" s="82" t="n">
        <v>0.86</v>
      </c>
      <c r="E395" s="207" t="inlineStr">
        <is>
          <t>Distress</t>
        </is>
      </c>
      <c r="F395" s="82" t="n">
        <v>2.39</v>
      </c>
      <c r="G395" s="82" t="inlineStr">
        <is>
          <t>Grey</t>
        </is>
      </c>
      <c r="H395" s="82" t="n">
        <v>0.87</v>
      </c>
      <c r="I395" s="82" t="inlineStr">
        <is>
          <t>Healthy</t>
        </is>
      </c>
      <c r="J395" s="82" t="n">
        <v>1.14</v>
      </c>
      <c r="K395" s="82" t="n">
        <v>0.76</v>
      </c>
      <c r="L395" s="82" t="inlineStr">
        <is>
          <t>Distress</t>
        </is>
      </c>
      <c r="M395" s="82" t="n">
        <v>7</v>
      </c>
      <c r="N395" s="82" t="inlineStr">
        <is>
          <t>Strong</t>
        </is>
      </c>
      <c r="O395" s="207" t="n">
        <v>0.27</v>
      </c>
      <c r="P395" s="82" t="inlineStr">
        <is>
          <t>Higher Risk</t>
        </is>
      </c>
      <c r="Q395" s="82" t="n">
        <v>1.69</v>
      </c>
      <c r="R395" s="82" t="n">
        <v>0.067</v>
      </c>
      <c r="S395" s="82" t="n">
        <v>2.12</v>
      </c>
      <c r="T395" s="82" t="n">
        <v>0.6899999999999999</v>
      </c>
      <c r="U395" s="82" t="n">
        <v>2.8839</v>
      </c>
      <c r="V395" s="82" t="n">
        <v>0.4729</v>
      </c>
      <c r="W395" s="82" t="n">
        <v>11.08</v>
      </c>
      <c r="X395" s="82" t="n">
        <v>48.73</v>
      </c>
      <c r="Y395" s="82" t="n">
        <v>20</v>
      </c>
      <c r="Z395" s="82" t="inlineStr">
        <is>
          <t>CLEAR</t>
        </is>
      </c>
    </row>
    <row r="396" ht="17" customHeight="1">
      <c r="A396" s="86" t="n">
        <v>394</v>
      </c>
      <c r="B396" s="86" t="inlineStr">
        <is>
          <t>TXRH</t>
        </is>
      </c>
      <c r="C396" s="86" t="inlineStr">
        <is>
          <t>Texas Roadhouse, Inc.</t>
        </is>
      </c>
      <c r="D396" s="86" t="n">
        <v>2.62</v>
      </c>
      <c r="E396" s="208" t="inlineStr">
        <is>
          <t>Grey</t>
        </is>
      </c>
      <c r="F396" s="86" t="n">
        <v>2.14</v>
      </c>
      <c r="G396" s="86" t="inlineStr">
        <is>
          <t>Grey</t>
        </is>
      </c>
      <c r="H396" s="86" t="n">
        <v>1.29</v>
      </c>
      <c r="I396" s="86" t="inlineStr">
        <is>
          <t>Healthy</t>
        </is>
      </c>
      <c r="J396" s="86" t="n">
        <v>-1.37</v>
      </c>
      <c r="K396" s="86" t="n">
        <v>0.2</v>
      </c>
      <c r="L396" s="86" t="inlineStr">
        <is>
          <t>Healthy</t>
        </is>
      </c>
      <c r="M396" s="86" t="n">
        <v>4</v>
      </c>
      <c r="N396" s="86" t="inlineStr">
        <is>
          <t>Mixed</t>
        </is>
      </c>
      <c r="O396" s="90" t="inlineStr">
        <is>
          <t>N/A</t>
        </is>
      </c>
      <c r="P396" s="86" t="inlineStr">
        <is>
          <t>Insufficient Data</t>
        </is>
      </c>
      <c r="Q396" s="86" t="n">
        <v>-0.16</v>
      </c>
      <c r="R396" s="86" t="n">
        <v>0.1847</v>
      </c>
      <c r="S396" s="86" t="n">
        <v>2.71</v>
      </c>
      <c r="T396" s="86" t="n">
        <v>0.0582</v>
      </c>
      <c r="U396" s="86" t="n">
        <v>0.0939</v>
      </c>
      <c r="V396" s="86" t="n">
        <v>0.0808</v>
      </c>
      <c r="W396" s="86" t="n">
        <v>301.04</v>
      </c>
      <c r="X396" s="86" t="n">
        <v>48.73</v>
      </c>
      <c r="Y396" s="86" t="n">
        <v>20</v>
      </c>
      <c r="Z396" s="86" t="inlineStr">
        <is>
          <t>CLEAR</t>
        </is>
      </c>
    </row>
    <row r="397" ht="17" customHeight="1">
      <c r="A397" s="82" t="n">
        <v>395</v>
      </c>
      <c r="B397" s="82" t="inlineStr">
        <is>
          <t>FLO</t>
        </is>
      </c>
      <c r="C397" s="82" t="inlineStr">
        <is>
          <t>FLOWERS FOODS, INC</t>
        </is>
      </c>
      <c r="D397" s="82" t="n">
        <v>1.64</v>
      </c>
      <c r="E397" s="208" t="inlineStr">
        <is>
          <t>Grey</t>
        </is>
      </c>
      <c r="F397" s="82" t="n">
        <v>0.88</v>
      </c>
      <c r="G397" s="82" t="inlineStr">
        <is>
          <t>Distress</t>
        </is>
      </c>
      <c r="H397" s="82" t="n">
        <v>0.65</v>
      </c>
      <c r="I397" s="82" t="inlineStr">
        <is>
          <t>Distress</t>
        </is>
      </c>
      <c r="J397" s="82" t="n">
        <v>1.26</v>
      </c>
      <c r="K397" s="82" t="n">
        <v>0.78</v>
      </c>
      <c r="L397" s="82" t="inlineStr">
        <is>
          <t>Distress</t>
        </is>
      </c>
      <c r="M397" s="82" t="n">
        <v>5</v>
      </c>
      <c r="N397" s="82" t="inlineStr">
        <is>
          <t>Mixed</t>
        </is>
      </c>
      <c r="O397" s="91" t="inlineStr">
        <is>
          <t>N/A</t>
        </is>
      </c>
      <c r="P397" s="82" t="inlineStr">
        <is>
          <t>Insufficient Data</t>
        </is>
      </c>
      <c r="Q397" s="82" t="n">
        <v>6.73</v>
      </c>
      <c r="R397" s="82" t="n">
        <v>0.0643</v>
      </c>
      <c r="S397" s="82" t="n">
        <v>5.32</v>
      </c>
      <c r="T397" s="82" t="n">
        <v>0.0607</v>
      </c>
      <c r="U397" s="82" t="n">
        <v>0.03</v>
      </c>
      <c r="V397" s="82" t="n">
        <v>0.0331</v>
      </c>
      <c r="W397" s="82" t="n">
        <v>2.27</v>
      </c>
      <c r="X397" s="82" t="n">
        <v>48.7</v>
      </c>
      <c r="Y397" s="82" t="n">
        <v>0</v>
      </c>
      <c r="Z397" s="82" t="inlineStr">
        <is>
          <t>CLEAR</t>
        </is>
      </c>
    </row>
    <row r="398" ht="17" customHeight="1">
      <c r="A398" s="86" t="n">
        <v>396</v>
      </c>
      <c r="B398" s="86" t="inlineStr">
        <is>
          <t>LOW</t>
        </is>
      </c>
      <c r="C398" s="86" t="inlineStr">
        <is>
          <t>LOWE’S COMPANIES, INC.</t>
        </is>
      </c>
      <c r="D398" s="86" t="n">
        <v>1.96</v>
      </c>
      <c r="E398" s="208" t="inlineStr">
        <is>
          <t>Grey</t>
        </is>
      </c>
      <c r="F398" s="86" t="n">
        <v>0.63</v>
      </c>
      <c r="G398" s="86" t="inlineStr">
        <is>
          <t>Distress</t>
        </is>
      </c>
      <c r="H398" s="86" t="n">
        <v>1.54</v>
      </c>
      <c r="I398" s="86" t="inlineStr">
        <is>
          <t>Healthy</t>
        </is>
      </c>
      <c r="J398" s="86" t="n">
        <v>1.83</v>
      </c>
      <c r="K398" s="86" t="n">
        <v>0.86</v>
      </c>
      <c r="L398" s="86" t="inlineStr">
        <is>
          <t>Distress</t>
        </is>
      </c>
      <c r="M398" s="86" t="n">
        <v>6</v>
      </c>
      <c r="N398" s="86" t="inlineStr">
        <is>
          <t>Mixed</t>
        </is>
      </c>
      <c r="O398" s="207" t="n">
        <v>7.71</v>
      </c>
      <c r="P398" s="86" t="inlineStr">
        <is>
          <t>Higher Risk</t>
        </is>
      </c>
      <c r="Q398" s="86" t="n">
        <v>3.21</v>
      </c>
      <c r="R398" s="86" t="n">
        <v>-0.671</v>
      </c>
      <c r="S398" s="86" t="n">
        <v>1.48</v>
      </c>
      <c r="T398" s="86" t="n">
        <v>0.0887</v>
      </c>
      <c r="U398" s="86" t="n">
        <v>0.0312</v>
      </c>
      <c r="V398" s="86" t="n">
        <v>0.1177</v>
      </c>
      <c r="W398" s="86" t="n">
        <v>30.58</v>
      </c>
      <c r="X398" s="86" t="n">
        <v>48.69</v>
      </c>
      <c r="Y398" s="86" t="n">
        <v>20</v>
      </c>
      <c r="Z398" s="86" t="inlineStr">
        <is>
          <t>CLEAR</t>
        </is>
      </c>
    </row>
    <row r="399" ht="17" customHeight="1">
      <c r="A399" s="82" t="n">
        <v>397</v>
      </c>
      <c r="B399" s="82" t="inlineStr">
        <is>
          <t>PPL</t>
        </is>
      </c>
      <c r="C399" s="82" t="inlineStr">
        <is>
          <t>PPL Corp</t>
        </is>
      </c>
      <c r="D399" s="82" t="n">
        <v>0.53</v>
      </c>
      <c r="E399" s="207" t="inlineStr">
        <is>
          <t>Distress</t>
        </is>
      </c>
      <c r="F399" s="82" t="n">
        <v>0.78</v>
      </c>
      <c r="G399" s="82" t="inlineStr">
        <is>
          <t>Distress</t>
        </is>
      </c>
      <c r="H399" s="82" t="n">
        <v>0.42</v>
      </c>
      <c r="I399" s="82" t="inlineStr">
        <is>
          <t>Distress</t>
        </is>
      </c>
      <c r="J399" s="82" t="n">
        <v>1.23</v>
      </c>
      <c r="K399" s="82" t="n">
        <v>0.77</v>
      </c>
      <c r="L399" s="82" t="inlineStr">
        <is>
          <t>Distress</t>
        </is>
      </c>
      <c r="M399" s="82" t="n">
        <v>6</v>
      </c>
      <c r="N399" s="82" t="inlineStr">
        <is>
          <t>Mixed</t>
        </is>
      </c>
      <c r="O399" s="91" t="inlineStr">
        <is>
          <t>N/A</t>
        </is>
      </c>
      <c r="P399" s="82" t="inlineStr">
        <is>
          <t>Insufficient Data</t>
        </is>
      </c>
      <c r="Q399" s="82" t="n">
        <v>5.18</v>
      </c>
      <c r="R399" s="82" t="n">
        <v>0.0848</v>
      </c>
      <c r="S399" s="82" t="n">
        <v>2.23</v>
      </c>
      <c r="T399" s="82" t="n">
        <v>-0.1549</v>
      </c>
      <c r="U399" s="82" t="n">
        <v>0.06850000000000001</v>
      </c>
      <c r="V399" s="82" t="n">
        <v>0.2355</v>
      </c>
      <c r="W399" s="82" t="n">
        <v>2.63</v>
      </c>
      <c r="X399" s="82" t="n">
        <v>48.67</v>
      </c>
      <c r="Y399" s="82" t="n">
        <v>0</v>
      </c>
      <c r="Z399" s="82" t="inlineStr">
        <is>
          <t>CLEAR</t>
        </is>
      </c>
    </row>
    <row r="400" ht="17" customHeight="1">
      <c r="A400" s="86" t="n">
        <v>398</v>
      </c>
      <c r="B400" s="86" t="inlineStr">
        <is>
          <t>WEC</t>
        </is>
      </c>
      <c r="C400" s="86" t="inlineStr">
        <is>
          <t>WEC ENERGY GROUP, INC.</t>
        </is>
      </c>
      <c r="D400" s="86" t="n">
        <v>0.51</v>
      </c>
      <c r="E400" s="207" t="inlineStr">
        <is>
          <t>Distress</t>
        </is>
      </c>
      <c r="F400" s="86" t="n">
        <v>0.73</v>
      </c>
      <c r="G400" s="86" t="inlineStr">
        <is>
          <t>Distress</t>
        </is>
      </c>
      <c r="H400" s="86" t="n">
        <v>0.36</v>
      </c>
      <c r="I400" s="86" t="inlineStr">
        <is>
          <t>Distress</t>
        </is>
      </c>
      <c r="J400" s="86" t="n">
        <v>1.29</v>
      </c>
      <c r="K400" s="86" t="n">
        <v>0.78</v>
      </c>
      <c r="L400" s="86" t="inlineStr">
        <is>
          <t>Distress</t>
        </is>
      </c>
      <c r="M400" s="86" t="n">
        <v>6</v>
      </c>
      <c r="N400" s="86" t="inlineStr">
        <is>
          <t>Mixed</t>
        </is>
      </c>
      <c r="O400" s="207" t="n">
        <v>-2.34</v>
      </c>
      <c r="P400" s="86" t="inlineStr">
        <is>
          <t>Lower Risk</t>
        </is>
      </c>
      <c r="Q400" s="86" t="n">
        <v>6.65</v>
      </c>
      <c r="R400" s="86" t="n">
        <v>0.0675</v>
      </c>
      <c r="S400" s="86" t="n">
        <v>5.28</v>
      </c>
      <c r="T400" s="86" t="n">
        <v>0.0696</v>
      </c>
      <c r="U400" s="86" t="n">
        <v>0.1396</v>
      </c>
      <c r="V400" s="86" t="n">
        <v>0.2291</v>
      </c>
      <c r="W400" s="86" t="n">
        <v>3.09</v>
      </c>
      <c r="X400" s="86" t="n">
        <v>48.62</v>
      </c>
      <c r="Y400" s="86" t="n">
        <v>0</v>
      </c>
      <c r="Z400" s="86" t="inlineStr">
        <is>
          <t>CLEAR</t>
        </is>
      </c>
    </row>
    <row r="401" ht="17" customHeight="1">
      <c r="A401" s="82" t="n">
        <v>399</v>
      </c>
      <c r="B401" s="82" t="inlineStr">
        <is>
          <t>GT</t>
        </is>
      </c>
      <c r="C401" s="82" t="inlineStr">
        <is>
          <t>GOODYEAR TIRE &amp; RUBBER CO /OH/</t>
        </is>
      </c>
      <c r="D401" s="82" t="n">
        <v>1.61</v>
      </c>
      <c r="E401" s="208" t="inlineStr">
        <is>
          <t>Grey</t>
        </is>
      </c>
      <c r="F401" s="82" t="n">
        <v>1.73</v>
      </c>
      <c r="G401" s="82" t="inlineStr">
        <is>
          <t>Grey</t>
        </is>
      </c>
      <c r="H401" s="82" t="n">
        <v>0.75</v>
      </c>
      <c r="I401" s="82" t="inlineStr">
        <is>
          <t>Distress</t>
        </is>
      </c>
      <c r="J401" s="82" t="n">
        <v>0.71</v>
      </c>
      <c r="K401" s="82" t="n">
        <v>0.67</v>
      </c>
      <c r="L401" s="82" t="inlineStr">
        <is>
          <t>Distress</t>
        </is>
      </c>
      <c r="M401" s="82" t="n">
        <v>5</v>
      </c>
      <c r="N401" s="82" t="inlineStr">
        <is>
          <t>Mixed</t>
        </is>
      </c>
      <c r="O401" s="207" t="n">
        <v>-3.4</v>
      </c>
      <c r="P401" s="82" t="inlineStr">
        <is>
          <t>Lower Risk</t>
        </is>
      </c>
      <c r="Q401" s="82" t="n">
        <v>1.51</v>
      </c>
      <c r="R401" s="82" t="n">
        <v>-0.5323</v>
      </c>
      <c r="S401" s="82" t="n">
        <v>-0.46</v>
      </c>
      <c r="T401" s="82" t="n">
        <v>-0.0016</v>
      </c>
      <c r="U401" s="82" t="n">
        <v>-0.0317</v>
      </c>
      <c r="V401" s="82" t="n">
        <v>0.1106</v>
      </c>
      <c r="W401" s="82" t="n">
        <v>3.87</v>
      </c>
      <c r="X401" s="82" t="n">
        <v>48.59</v>
      </c>
      <c r="Y401" s="82" t="n">
        <v>40</v>
      </c>
      <c r="Z401" s="82" t="inlineStr">
        <is>
          <t>WATCH</t>
        </is>
      </c>
    </row>
    <row r="402" ht="17" customHeight="1">
      <c r="A402" s="86" t="n">
        <v>400</v>
      </c>
      <c r="B402" s="86" t="inlineStr">
        <is>
          <t>CUBE</t>
        </is>
      </c>
      <c r="C402" s="86" t="inlineStr">
        <is>
          <t>CUBESMART</t>
        </is>
      </c>
      <c r="D402" s="90" t="inlineStr">
        <is>
          <t>N/A</t>
        </is>
      </c>
      <c r="E402" s="90" t="inlineStr">
        <is>
          <t>N/A</t>
        </is>
      </c>
      <c r="F402" s="90" t="inlineStr">
        <is>
          <t>N/A</t>
        </is>
      </c>
      <c r="G402" s="90" t="inlineStr">
        <is>
          <t>N/A</t>
        </is>
      </c>
      <c r="H402" s="90" t="inlineStr">
        <is>
          <t>N/A</t>
        </is>
      </c>
      <c r="I402" s="90" t="inlineStr">
        <is>
          <t>N/A</t>
        </is>
      </c>
      <c r="J402" s="90" t="inlineStr">
        <is>
          <t>N/A</t>
        </is>
      </c>
      <c r="K402" s="90" t="inlineStr">
        <is>
          <t>N/A</t>
        </is>
      </c>
      <c r="L402" s="90" t="inlineStr">
        <is>
          <t>N/A</t>
        </is>
      </c>
      <c r="M402" s="86" t="n">
        <v>6</v>
      </c>
      <c r="N402" s="86" t="inlineStr">
        <is>
          <t>Mixed</t>
        </is>
      </c>
      <c r="O402" s="207" t="n">
        <v>-2.99</v>
      </c>
      <c r="P402" s="86" t="inlineStr">
        <is>
          <t>Lower Risk</t>
        </is>
      </c>
      <c r="Q402" s="86" t="n">
        <v>-0.01</v>
      </c>
      <c r="R402" s="86" t="n">
        <v>0.0155</v>
      </c>
      <c r="S402" s="86" t="n">
        <v>14.47</v>
      </c>
      <c r="T402" s="86" t="n">
        <v>0.4365</v>
      </c>
      <c r="U402" s="86" t="n">
        <v>0.0533</v>
      </c>
      <c r="V402" s="86" t="n">
        <v>0.1743</v>
      </c>
      <c r="W402" s="86" t="n">
        <v>3.15</v>
      </c>
      <c r="X402" s="86" t="n">
        <v>48.58</v>
      </c>
      <c r="Y402" s="86" t="n">
        <v>0</v>
      </c>
      <c r="Z402" s="86" t="inlineStr">
        <is>
          <t>CLEAR</t>
        </is>
      </c>
    </row>
    <row r="403" ht="17" customHeight="1">
      <c r="A403" s="82" t="n">
        <v>401</v>
      </c>
      <c r="B403" s="82" t="inlineStr">
        <is>
          <t>RVTY</t>
        </is>
      </c>
      <c r="C403" s="82" t="inlineStr">
        <is>
          <t>REVVITY, INC</t>
        </is>
      </c>
      <c r="D403" s="82" t="n">
        <v>1.46</v>
      </c>
      <c r="E403" s="208" t="inlineStr">
        <is>
          <t>Grey</t>
        </is>
      </c>
      <c r="F403" s="82" t="n">
        <v>3.86</v>
      </c>
      <c r="G403" s="82" t="inlineStr">
        <is>
          <t>Safe</t>
        </is>
      </c>
      <c r="H403" s="82" t="n">
        <v>0.41</v>
      </c>
      <c r="I403" s="82" t="inlineStr">
        <is>
          <t>Distress</t>
        </is>
      </c>
      <c r="J403" s="82" t="n">
        <v>-2.12</v>
      </c>
      <c r="K403" s="82" t="n">
        <v>0.11</v>
      </c>
      <c r="L403" s="82" t="inlineStr">
        <is>
          <t>Healthy</t>
        </is>
      </c>
      <c r="M403" s="82" t="n">
        <v>6</v>
      </c>
      <c r="N403" s="82" t="inlineStr">
        <is>
          <t>Mixed</t>
        </is>
      </c>
      <c r="O403" s="207" t="n">
        <v>-0.2</v>
      </c>
      <c r="P403" s="82" t="inlineStr">
        <is>
          <t>Higher Risk</t>
        </is>
      </c>
      <c r="Q403" s="82" t="n">
        <v>3.91</v>
      </c>
      <c r="R403" s="82" t="n">
        <v>0.0333</v>
      </c>
      <c r="S403" s="82" t="n">
        <v>2.42</v>
      </c>
      <c r="T403" s="82" t="n">
        <v>0.1538</v>
      </c>
      <c r="U403" s="82" t="n">
        <v>3.4681</v>
      </c>
      <c r="V403" s="82" t="n">
        <v>0.1077</v>
      </c>
      <c r="W403" s="82" t="n">
        <v>7.17</v>
      </c>
      <c r="X403" s="82" t="n">
        <v>48.51</v>
      </c>
      <c r="Y403" s="82" t="n">
        <v>20</v>
      </c>
      <c r="Z403" s="82" t="inlineStr">
        <is>
          <t>CLEAR</t>
        </is>
      </c>
    </row>
    <row r="404" ht="17" customHeight="1">
      <c r="A404" s="86" t="n">
        <v>402</v>
      </c>
      <c r="B404" s="86" t="inlineStr">
        <is>
          <t>WDAY</t>
        </is>
      </c>
      <c r="C404" s="86" t="inlineStr">
        <is>
          <t>WORKDAY, INC.</t>
        </is>
      </c>
      <c r="D404" s="86" t="n">
        <v>0.62</v>
      </c>
      <c r="E404" s="207" t="inlineStr">
        <is>
          <t>Distress</t>
        </is>
      </c>
      <c r="F404" s="86" t="n">
        <v>1.72</v>
      </c>
      <c r="G404" s="86" t="inlineStr">
        <is>
          <t>Grey</t>
        </is>
      </c>
      <c r="H404" s="86" t="n">
        <v>0.39</v>
      </c>
      <c r="I404" s="86" t="inlineStr">
        <is>
          <t>Distress</t>
        </is>
      </c>
      <c r="J404" s="86" t="n">
        <v>-1.28</v>
      </c>
      <c r="K404" s="86" t="n">
        <v>0.22</v>
      </c>
      <c r="L404" s="86" t="inlineStr">
        <is>
          <t>Healthy</t>
        </is>
      </c>
      <c r="M404" s="86" t="n">
        <v>7</v>
      </c>
      <c r="N404" s="86" t="inlineStr">
        <is>
          <t>Strong</t>
        </is>
      </c>
      <c r="O404" s="207" t="n">
        <v>-1.04</v>
      </c>
      <c r="P404" s="86" t="inlineStr">
        <is>
          <t>Higher Risk</t>
        </is>
      </c>
      <c r="Q404" s="86" t="n">
        <v>1.61</v>
      </c>
      <c r="R404" s="86" t="n">
        <v>0.0888</v>
      </c>
      <c r="S404" s="86" t="n">
        <v>4.24</v>
      </c>
      <c r="T404" s="86" t="n">
        <v>1.2958</v>
      </c>
      <c r="U404" s="86" t="n">
        <v>2.6792</v>
      </c>
      <c r="V404" s="86" t="n">
        <v>0.3364</v>
      </c>
      <c r="W404" s="86" t="n">
        <v>6.32</v>
      </c>
      <c r="X404" s="86" t="n">
        <v>48.48</v>
      </c>
      <c r="Y404" s="86" t="n">
        <v>40</v>
      </c>
      <c r="Z404" s="86" t="inlineStr">
        <is>
          <t>WATCH</t>
        </is>
      </c>
    </row>
    <row r="405" ht="17" customHeight="1">
      <c r="A405" s="82" t="n">
        <v>403</v>
      </c>
      <c r="B405" s="82" t="inlineStr">
        <is>
          <t>RJF</t>
        </is>
      </c>
      <c r="C405" s="82" t="inlineStr">
        <is>
          <t>RAYMOND JAMES FINANCIAL INC</t>
        </is>
      </c>
      <c r="D405" s="91" t="inlineStr">
        <is>
          <t>N/A</t>
        </is>
      </c>
      <c r="E405" s="91" t="inlineStr">
        <is>
          <t>N/A</t>
        </is>
      </c>
      <c r="F405" s="91" t="inlineStr">
        <is>
          <t>N/A</t>
        </is>
      </c>
      <c r="G405" s="91" t="inlineStr">
        <is>
          <t>N/A</t>
        </is>
      </c>
      <c r="H405" s="91" t="inlineStr">
        <is>
          <t>N/A</t>
        </is>
      </c>
      <c r="I405" s="91" t="inlineStr">
        <is>
          <t>N/A</t>
        </is>
      </c>
      <c r="J405" s="91" t="inlineStr">
        <is>
          <t>N/A</t>
        </is>
      </c>
      <c r="K405" s="91" t="inlineStr">
        <is>
          <t>N/A</t>
        </is>
      </c>
      <c r="L405" s="91" t="inlineStr">
        <is>
          <t>N/A</t>
        </is>
      </c>
      <c r="M405" s="82" t="n">
        <v>6</v>
      </c>
      <c r="N405" s="82" t="inlineStr">
        <is>
          <t>Mixed</t>
        </is>
      </c>
      <c r="O405" s="91" t="inlineStr">
        <is>
          <t>N/A</t>
        </is>
      </c>
      <c r="P405" s="82" t="inlineStr">
        <is>
          <t>Insufficient Data</t>
        </is>
      </c>
      <c r="Q405" s="82" t="n">
        <v>-4.29</v>
      </c>
      <c r="R405" s="82" t="n">
        <v>0.1708</v>
      </c>
      <c r="S405" s="82" t="n">
        <v>1.14</v>
      </c>
      <c r="T405" s="82" t="n">
        <v>0.1412</v>
      </c>
      <c r="U405" s="82" t="n">
        <v>0.0663</v>
      </c>
      <c r="V405" s="82" t="n">
        <v>0.1433</v>
      </c>
      <c r="W405" s="82" t="n">
        <v>1.66</v>
      </c>
      <c r="X405" s="82" t="n">
        <v>48.44</v>
      </c>
      <c r="Y405" s="82" t="n">
        <v>0</v>
      </c>
      <c r="Z405" s="82" t="inlineStr">
        <is>
          <t>CLEAR</t>
        </is>
      </c>
    </row>
    <row r="406" ht="17" customHeight="1">
      <c r="A406" s="86" t="n">
        <v>404</v>
      </c>
      <c r="B406" s="86" t="inlineStr">
        <is>
          <t>RHI</t>
        </is>
      </c>
      <c r="C406" s="86" t="inlineStr">
        <is>
          <t>Robert Half Inc.</t>
        </is>
      </c>
      <c r="D406" s="86" t="n">
        <v>2.49</v>
      </c>
      <c r="E406" s="208" t="inlineStr">
        <is>
          <t>Grey</t>
        </is>
      </c>
      <c r="F406" s="86" t="n">
        <v>2.71</v>
      </c>
      <c r="G406" s="86" t="inlineStr">
        <is>
          <t>Safe</t>
        </is>
      </c>
      <c r="H406" s="86" t="n">
        <v>1.19</v>
      </c>
      <c r="I406" s="86" t="inlineStr">
        <is>
          <t>Healthy</t>
        </is>
      </c>
      <c r="J406" s="86" t="n">
        <v>-1.4</v>
      </c>
      <c r="K406" s="86" t="n">
        <v>0.2</v>
      </c>
      <c r="L406" s="86" t="inlineStr">
        <is>
          <t>Healthy</t>
        </is>
      </c>
      <c r="M406" s="86" t="n">
        <v>4</v>
      </c>
      <c r="N406" s="86" t="inlineStr">
        <is>
          <t>Mixed</t>
        </is>
      </c>
      <c r="O406" s="207" t="n">
        <v>-2.93</v>
      </c>
      <c r="P406" s="86" t="inlineStr">
        <is>
          <t>Lower Risk</t>
        </is>
      </c>
      <c r="Q406" s="86" t="n">
        <v>-3.67</v>
      </c>
      <c r="R406" s="86" t="n">
        <v>0.1042</v>
      </c>
      <c r="S406" s="86" t="n">
        <v>2.41</v>
      </c>
      <c r="T406" s="86" t="n">
        <v>0.0496</v>
      </c>
      <c r="U406" s="86" t="n">
        <v>-0.07199999999999999</v>
      </c>
      <c r="V406" s="86" t="n">
        <v>0.0142</v>
      </c>
      <c r="W406" s="86" t="n">
        <v>275.04</v>
      </c>
      <c r="X406" s="86" t="n">
        <v>48.44</v>
      </c>
      <c r="Y406" s="86" t="n">
        <v>0</v>
      </c>
      <c r="Z406" s="86" t="inlineStr">
        <is>
          <t>CLEAR</t>
        </is>
      </c>
    </row>
    <row r="407" ht="17" customHeight="1">
      <c r="A407" s="82" t="n">
        <v>405</v>
      </c>
      <c r="B407" s="82" t="inlineStr">
        <is>
          <t>J</t>
        </is>
      </c>
      <c r="C407" s="82" t="inlineStr">
        <is>
          <t>JACOBS SOLUTIONS INC.</t>
        </is>
      </c>
      <c r="D407" s="82" t="n">
        <v>1.88</v>
      </c>
      <c r="E407" s="208" t="inlineStr">
        <is>
          <t>Grey</t>
        </is>
      </c>
      <c r="F407" s="82" t="n">
        <v>1.89</v>
      </c>
      <c r="G407" s="82" t="inlineStr">
        <is>
          <t>Grey</t>
        </is>
      </c>
      <c r="H407" s="82" t="n">
        <v>0.97</v>
      </c>
      <c r="I407" s="82" t="inlineStr">
        <is>
          <t>Healthy</t>
        </is>
      </c>
      <c r="J407" s="82" t="n">
        <v>1.23</v>
      </c>
      <c r="K407" s="82" t="n">
        <v>0.77</v>
      </c>
      <c r="L407" s="82" t="inlineStr">
        <is>
          <t>Distress</t>
        </is>
      </c>
      <c r="M407" s="82" t="n">
        <v>6</v>
      </c>
      <c r="N407" s="82" t="inlineStr">
        <is>
          <t>Mixed</t>
        </is>
      </c>
      <c r="O407" s="207" t="n">
        <v>0.45</v>
      </c>
      <c r="P407" s="82" t="inlineStr">
        <is>
          <t>Higher Risk</t>
        </is>
      </c>
      <c r="Q407" s="82" t="n">
        <v>1.06</v>
      </c>
      <c r="R407" s="82" t="n">
        <v>0.0795</v>
      </c>
      <c r="S407" s="82" t="n">
        <v>2.37</v>
      </c>
      <c r="T407" s="82" t="n">
        <v>0.0405</v>
      </c>
      <c r="U407" s="82" t="n">
        <v>2.6172</v>
      </c>
      <c r="V407" s="82" t="n">
        <v>0.0576</v>
      </c>
      <c r="W407" s="82" t="n">
        <v>5.14</v>
      </c>
      <c r="X407" s="82" t="n">
        <v>48.42</v>
      </c>
      <c r="Y407" s="82" t="n">
        <v>20</v>
      </c>
      <c r="Z407" s="82" t="inlineStr">
        <is>
          <t>CLEAR</t>
        </is>
      </c>
    </row>
    <row r="408" ht="17" customHeight="1">
      <c r="A408" s="86" t="n">
        <v>406</v>
      </c>
      <c r="B408" s="86" t="inlineStr">
        <is>
          <t>DAL</t>
        </is>
      </c>
      <c r="C408" s="86" t="inlineStr">
        <is>
          <t>Delta Air Lines, Inc.</t>
        </is>
      </c>
      <c r="D408" s="86" t="n">
        <v>0.45</v>
      </c>
      <c r="E408" s="207" t="inlineStr">
        <is>
          <t>Distress</t>
        </is>
      </c>
      <c r="F408" s="86" t="n">
        <v>-0.06</v>
      </c>
      <c r="G408" s="86" t="inlineStr">
        <is>
          <t>Distress</t>
        </is>
      </c>
      <c r="H408" s="86" t="n">
        <v>0.21</v>
      </c>
      <c r="I408" s="86" t="inlineStr">
        <is>
          <t>Distress</t>
        </is>
      </c>
      <c r="J408" s="86" t="n">
        <v>1.07</v>
      </c>
      <c r="K408" s="86" t="n">
        <v>0.74</v>
      </c>
      <c r="L408" s="86" t="inlineStr">
        <is>
          <t>Distress</t>
        </is>
      </c>
      <c r="M408" s="86" t="n">
        <v>6</v>
      </c>
      <c r="N408" s="86" t="inlineStr">
        <is>
          <t>Mixed</t>
        </is>
      </c>
      <c r="O408" s="207" t="n">
        <v>-2.94</v>
      </c>
      <c r="P408" s="86" t="inlineStr">
        <is>
          <t>Lower Risk</t>
        </is>
      </c>
      <c r="Q408" s="86" t="n">
        <v>1.1</v>
      </c>
      <c r="R408" s="86" t="n">
        <v>0.24</v>
      </c>
      <c r="S408" s="86" t="n">
        <v>1.67</v>
      </c>
      <c r="T408" s="86" t="n">
        <v>0.3578</v>
      </c>
      <c r="U408" s="86" t="n">
        <v>-0.1013</v>
      </c>
      <c r="V408" s="86" t="n">
        <v>0.542</v>
      </c>
      <c r="W408" s="86" t="n">
        <v>14.7</v>
      </c>
      <c r="X408" s="86" t="n">
        <v>48.42</v>
      </c>
      <c r="Y408" s="86" t="n">
        <v>0</v>
      </c>
      <c r="Z408" s="86" t="inlineStr">
        <is>
          <t>CLEAR</t>
        </is>
      </c>
    </row>
    <row r="409" ht="17" customHeight="1">
      <c r="A409" s="82" t="n">
        <v>407</v>
      </c>
      <c r="B409" s="82" t="inlineStr">
        <is>
          <t>KTOS</t>
        </is>
      </c>
      <c r="C409" s="82" t="inlineStr">
        <is>
          <t>Kratos Defense &amp; Security Solutions, Inc.</t>
        </is>
      </c>
      <c r="D409" s="82" t="n">
        <v>2.17</v>
      </c>
      <c r="E409" s="208" t="inlineStr">
        <is>
          <t>Grey</t>
        </is>
      </c>
      <c r="F409" s="82" t="n">
        <v>6.2</v>
      </c>
      <c r="G409" s="82" t="inlineStr">
        <is>
          <t>Safe</t>
        </is>
      </c>
      <c r="H409" s="82" t="n">
        <v>0.62</v>
      </c>
      <c r="I409" s="82" t="inlineStr">
        <is>
          <t>Distress</t>
        </is>
      </c>
      <c r="J409" s="82" t="n">
        <v>-3.28</v>
      </c>
      <c r="K409" s="82" t="n">
        <v>0.04</v>
      </c>
      <c r="L409" s="82" t="inlineStr">
        <is>
          <t>Healthy</t>
        </is>
      </c>
      <c r="M409" s="82" t="n">
        <v>5</v>
      </c>
      <c r="N409" s="82" t="inlineStr">
        <is>
          <t>Mixed</t>
        </is>
      </c>
      <c r="O409" s="207" t="n">
        <v>-2.04</v>
      </c>
      <c r="P409" s="82" t="inlineStr">
        <is>
          <t>Higher Risk</t>
        </is>
      </c>
      <c r="Q409" s="82" t="n">
        <v>-3.63</v>
      </c>
      <c r="R409" s="82" t="n">
        <v>0.011</v>
      </c>
      <c r="S409" s="82" t="n">
        <v>-1.91</v>
      </c>
      <c r="T409" s="82" t="n">
        <v>-0.1827</v>
      </c>
      <c r="U409" s="82" t="n">
        <v>0.1244</v>
      </c>
      <c r="V409" s="82" t="n">
        <v>0.034</v>
      </c>
      <c r="W409" s="82" t="n">
        <v>2.67</v>
      </c>
      <c r="X409" s="82" t="n">
        <v>48.41</v>
      </c>
      <c r="Y409" s="82" t="n">
        <v>40</v>
      </c>
      <c r="Z409" s="82" t="inlineStr">
        <is>
          <t>WATCH</t>
        </is>
      </c>
    </row>
    <row r="410" ht="17" customHeight="1">
      <c r="A410" s="86" t="n">
        <v>408</v>
      </c>
      <c r="B410" s="86" t="inlineStr">
        <is>
          <t>SCI</t>
        </is>
      </c>
      <c r="C410" s="86" t="inlineStr">
        <is>
          <t>SERVICE CORPORATION INTERNATIONAL</t>
        </is>
      </c>
      <c r="D410" s="86" t="n">
        <v>0.44</v>
      </c>
      <c r="E410" s="207" t="inlineStr">
        <is>
          <t>Distress</t>
        </is>
      </c>
      <c r="F410" s="86" t="n">
        <v>0.41</v>
      </c>
      <c r="G410" s="86" t="inlineStr">
        <is>
          <t>Distress</t>
        </is>
      </c>
      <c r="H410" s="86" t="n">
        <v>0.88</v>
      </c>
      <c r="I410" s="86" t="inlineStr">
        <is>
          <t>Healthy</t>
        </is>
      </c>
      <c r="J410" s="86" t="n">
        <v>1.21</v>
      </c>
      <c r="K410" s="86" t="n">
        <v>0.77</v>
      </c>
      <c r="L410" s="86" t="inlineStr">
        <is>
          <t>Distress</t>
        </is>
      </c>
      <c r="M410" s="86" t="n">
        <v>6</v>
      </c>
      <c r="N410" s="86" t="inlineStr">
        <is>
          <t>Mixed</t>
        </is>
      </c>
      <c r="O410" s="207" t="n">
        <v>-2.67</v>
      </c>
      <c r="P410" s="86" t="inlineStr">
        <is>
          <t>Lower Risk</t>
        </is>
      </c>
      <c r="Q410" s="86" t="n">
        <v>4.24</v>
      </c>
      <c r="R410" s="86" t="n">
        <v>0.3312</v>
      </c>
      <c r="S410" s="86" t="n">
        <v>1.74</v>
      </c>
      <c r="T410" s="86" t="n">
        <v>0.1286</v>
      </c>
      <c r="U410" s="86" t="n">
        <v>0.0293</v>
      </c>
      <c r="V410" s="86" t="n">
        <v>0.227</v>
      </c>
      <c r="W410" s="86" t="n">
        <v>3.83</v>
      </c>
      <c r="X410" s="86" t="n">
        <v>48.37</v>
      </c>
      <c r="Y410" s="86" t="n">
        <v>0</v>
      </c>
      <c r="Z410" s="86" t="inlineStr">
        <is>
          <t>CLEAR</t>
        </is>
      </c>
    </row>
    <row r="411" ht="17" customHeight="1">
      <c r="A411" s="82" t="n">
        <v>409</v>
      </c>
      <c r="B411" s="82" t="inlineStr">
        <is>
          <t>GE</t>
        </is>
      </c>
      <c r="C411" s="82" t="inlineStr">
        <is>
          <t>GENERAL ELECTRIC COMPANY</t>
        </is>
      </c>
      <c r="D411" s="82" t="n">
        <v>1.55</v>
      </c>
      <c r="E411" s="208" t="inlineStr">
        <is>
          <t>Grey</t>
        </is>
      </c>
      <c r="F411" s="82" t="n">
        <v>3.63</v>
      </c>
      <c r="G411" s="82" t="inlineStr">
        <is>
          <t>Safe</t>
        </is>
      </c>
      <c r="H411" s="82" t="n">
        <v>0.86</v>
      </c>
      <c r="I411" s="82" t="inlineStr">
        <is>
          <t>Healthy</t>
        </is>
      </c>
      <c r="J411" s="82" t="n">
        <v>0.22</v>
      </c>
      <c r="K411" s="82" t="n">
        <v>0.5600000000000001</v>
      </c>
      <c r="L411" s="82" t="inlineStr">
        <is>
          <t>Distress</t>
        </is>
      </c>
      <c r="M411" s="82" t="n">
        <v>5</v>
      </c>
      <c r="N411" s="82" t="inlineStr">
        <is>
          <t>Mixed</t>
        </is>
      </c>
      <c r="O411" s="207" t="n">
        <v>-2.5</v>
      </c>
      <c r="P411" s="82" t="inlineStr">
        <is>
          <t>Lower Risk</t>
        </is>
      </c>
      <c r="Q411" s="82" t="n">
        <v>-0.73</v>
      </c>
      <c r="R411" s="82" t="n">
        <v>0.466</v>
      </c>
      <c r="S411" s="82" t="n">
        <v>0.98</v>
      </c>
      <c r="T411" s="82" t="n">
        <v>0.1563</v>
      </c>
      <c r="U411" s="82" t="n">
        <v>0.1848</v>
      </c>
      <c r="V411" s="82" t="n">
        <v>0.4991</v>
      </c>
      <c r="W411" s="82" t="n">
        <v>1.83</v>
      </c>
      <c r="X411" s="82" t="n">
        <v>48.36</v>
      </c>
      <c r="Y411" s="82" t="n">
        <v>0</v>
      </c>
      <c r="Z411" s="82" t="inlineStr">
        <is>
          <t>CLEAR</t>
        </is>
      </c>
    </row>
    <row r="412" ht="17" customHeight="1">
      <c r="A412" s="86" t="n">
        <v>410</v>
      </c>
      <c r="B412" s="86" t="inlineStr">
        <is>
          <t>AMGN</t>
        </is>
      </c>
      <c r="C412" s="86" t="inlineStr">
        <is>
          <t>Amgen Inc.</t>
        </is>
      </c>
      <c r="D412" s="86" t="n">
        <v>0.43</v>
      </c>
      <c r="E412" s="207" t="inlineStr">
        <is>
          <t>Distress</t>
        </is>
      </c>
      <c r="F412" s="86" t="n">
        <v>0.13</v>
      </c>
      <c r="G412" s="86" t="inlineStr">
        <is>
          <t>Distress</t>
        </is>
      </c>
      <c r="H412" s="86" t="n">
        <v>0.6899999999999999</v>
      </c>
      <c r="I412" s="86" t="inlineStr">
        <is>
          <t>Distress</t>
        </is>
      </c>
      <c r="J412" s="86" t="n">
        <v>0.96</v>
      </c>
      <c r="K412" s="86" t="n">
        <v>0.72</v>
      </c>
      <c r="L412" s="86" t="inlineStr">
        <is>
          <t>Distress</t>
        </is>
      </c>
      <c r="M412" s="86" t="n">
        <v>6</v>
      </c>
      <c r="N412" s="86" t="inlineStr">
        <is>
          <t>Mixed</t>
        </is>
      </c>
      <c r="O412" s="207" t="n">
        <v>-2.23</v>
      </c>
      <c r="P412" s="86" t="inlineStr">
        <is>
          <t>Lower Risk</t>
        </is>
      </c>
      <c r="Q412" s="86" t="n">
        <v>4.56</v>
      </c>
      <c r="R412" s="86" t="n">
        <v>0.8905999999999999</v>
      </c>
      <c r="S412" s="86" t="n">
        <v>1.29</v>
      </c>
      <c r="T412" s="86" t="n">
        <v>0.3186</v>
      </c>
      <c r="U412" s="86" t="n">
        <v>0.0883</v>
      </c>
      <c r="V412" s="86" t="n">
        <v>0.3571</v>
      </c>
      <c r="W412" s="86" t="n">
        <v>3.3</v>
      </c>
      <c r="X412" s="86" t="n">
        <v>48.32</v>
      </c>
      <c r="Y412" s="86" t="n">
        <v>0</v>
      </c>
      <c r="Z412" s="86" t="inlineStr">
        <is>
          <t>CLEAR</t>
        </is>
      </c>
    </row>
    <row r="413" ht="17" customHeight="1">
      <c r="A413" s="82" t="n">
        <v>411</v>
      </c>
      <c r="B413" s="82" t="inlineStr">
        <is>
          <t>FOUR</t>
        </is>
      </c>
      <c r="C413" s="82" t="inlineStr">
        <is>
          <t>SHIFT4 PAYMENTS, INC.</t>
        </is>
      </c>
      <c r="D413" s="82" t="n">
        <v>0.72</v>
      </c>
      <c r="E413" s="207" t="inlineStr">
        <is>
          <t>Distress</t>
        </is>
      </c>
      <c r="F413" s="82" t="n">
        <v>0.97</v>
      </c>
      <c r="G413" s="82" t="inlineStr">
        <is>
          <t>Distress</t>
        </is>
      </c>
      <c r="H413" s="82" t="n">
        <v>0.52</v>
      </c>
      <c r="I413" s="82" t="inlineStr">
        <is>
          <t>Distress</t>
        </is>
      </c>
      <c r="J413" s="82" t="n">
        <v>0.01</v>
      </c>
      <c r="K413" s="82" t="n">
        <v>0.5</v>
      </c>
      <c r="L413" s="82" t="inlineStr">
        <is>
          <t>Distress</t>
        </is>
      </c>
      <c r="M413" s="82" t="n">
        <v>7</v>
      </c>
      <c r="N413" s="82" t="inlineStr">
        <is>
          <t>Strong</t>
        </is>
      </c>
      <c r="O413" s="207" t="n">
        <v>-1.93</v>
      </c>
      <c r="P413" s="82" t="inlineStr">
        <is>
          <t>Higher Risk</t>
        </is>
      </c>
      <c r="Q413" s="82" t="n">
        <v>5.59</v>
      </c>
      <c r="R413" s="82" t="n">
        <v>0.0825</v>
      </c>
      <c r="S413" s="82" t="n">
        <v>5.33</v>
      </c>
      <c r="T413" s="82" t="n">
        <v>0.1493</v>
      </c>
      <c r="U413" s="82" t="n">
        <v>0.255</v>
      </c>
      <c r="V413" s="82" t="n">
        <v>0.08400000000000001</v>
      </c>
      <c r="W413" s="82" t="n">
        <v>10.93</v>
      </c>
      <c r="X413" s="82" t="n">
        <v>48.24</v>
      </c>
      <c r="Y413" s="82" t="n">
        <v>20</v>
      </c>
      <c r="Z413" s="82" t="inlineStr">
        <is>
          <t>CLEAR</t>
        </is>
      </c>
    </row>
    <row r="414" ht="17" customHeight="1">
      <c r="A414" s="86" t="n">
        <v>412</v>
      </c>
      <c r="B414" s="86" t="inlineStr">
        <is>
          <t>PVH</t>
        </is>
      </c>
      <c r="C414" s="86" t="inlineStr">
        <is>
          <t>PVH Corp.</t>
        </is>
      </c>
      <c r="D414" s="86" t="n">
        <v>1.51</v>
      </c>
      <c r="E414" s="208" t="inlineStr">
        <is>
          <t>Grey</t>
        </is>
      </c>
      <c r="F414" s="86" t="n">
        <v>2.93</v>
      </c>
      <c r="G414" s="86" t="inlineStr">
        <is>
          <t>Safe</t>
        </is>
      </c>
      <c r="H414" s="86" t="n">
        <v>0.52</v>
      </c>
      <c r="I414" s="86" t="inlineStr">
        <is>
          <t>Distress</t>
        </is>
      </c>
      <c r="J414" s="86" t="n">
        <v>1.34</v>
      </c>
      <c r="K414" s="86" t="n">
        <v>0.79</v>
      </c>
      <c r="L414" s="86" t="inlineStr">
        <is>
          <t>Distress</t>
        </is>
      </c>
      <c r="M414" s="86" t="n">
        <v>5</v>
      </c>
      <c r="N414" s="86" t="inlineStr">
        <is>
          <t>Mixed</t>
        </is>
      </c>
      <c r="O414" s="207" t="n">
        <v>-2.68</v>
      </c>
      <c r="P414" s="86" t="inlineStr">
        <is>
          <t>Lower Risk</t>
        </is>
      </c>
      <c r="Q414" s="86" t="n">
        <v>3.19</v>
      </c>
      <c r="R414" s="86" t="n">
        <v>0.0053</v>
      </c>
      <c r="S414" s="86" t="n">
        <v>26.89</v>
      </c>
      <c r="T414" s="86" t="n">
        <v>0.0602</v>
      </c>
      <c r="U414" s="86" t="n">
        <v>0.0344</v>
      </c>
      <c r="V414" s="86" t="n">
        <v>0.0258</v>
      </c>
      <c r="W414" s="86" t="n">
        <v>2.45</v>
      </c>
      <c r="X414" s="86" t="n">
        <v>48.23</v>
      </c>
      <c r="Y414" s="86" t="n">
        <v>0</v>
      </c>
      <c r="Z414" s="86" t="inlineStr">
        <is>
          <t>CLEAR</t>
        </is>
      </c>
    </row>
    <row r="415" ht="17" customHeight="1">
      <c r="A415" s="82" t="n">
        <v>413</v>
      </c>
      <c r="B415" s="82" t="inlineStr">
        <is>
          <t>EGP</t>
        </is>
      </c>
      <c r="C415" s="82" t="inlineStr">
        <is>
          <t>EASTGROUP PROPERTIES, INC.</t>
        </is>
      </c>
      <c r="D415" s="91" t="inlineStr">
        <is>
          <t>N/A</t>
        </is>
      </c>
      <c r="E415" s="91" t="inlineStr">
        <is>
          <t>N/A</t>
        </is>
      </c>
      <c r="F415" s="91" t="inlineStr">
        <is>
          <t>N/A</t>
        </is>
      </c>
      <c r="G415" s="91" t="inlineStr">
        <is>
          <t>N/A</t>
        </is>
      </c>
      <c r="H415" s="91" t="inlineStr">
        <is>
          <t>N/A</t>
        </is>
      </c>
      <c r="I415" s="91" t="inlineStr">
        <is>
          <t>N/A</t>
        </is>
      </c>
      <c r="J415" s="91" t="inlineStr">
        <is>
          <t>N/A</t>
        </is>
      </c>
      <c r="K415" s="91" t="inlineStr">
        <is>
          <t>N/A</t>
        </is>
      </c>
      <c r="L415" s="91" t="inlineStr">
        <is>
          <t>N/A</t>
        </is>
      </c>
      <c r="M415" s="82" t="n">
        <v>5</v>
      </c>
      <c r="N415" s="82" t="inlineStr">
        <is>
          <t>Mixed</t>
        </is>
      </c>
      <c r="O415" s="91" t="inlineStr">
        <is>
          <t>N/A</t>
        </is>
      </c>
      <c r="P415" s="82" t="inlineStr">
        <is>
          <t>Insufficient Data</t>
        </is>
      </c>
      <c r="Q415" s="82" t="n">
        <v>-0.05</v>
      </c>
      <c r="R415" s="82" t="n">
        <v>0.0052</v>
      </c>
      <c r="S415" s="82" t="n">
        <v>26.23</v>
      </c>
      <c r="T415" s="82" t="n">
        <v>0.5613</v>
      </c>
      <c r="U415" s="82" t="n">
        <v>0.1267</v>
      </c>
      <c r="V415" s="82" t="n">
        <v>0.1505</v>
      </c>
      <c r="W415" s="82" t="n">
        <v>3.38</v>
      </c>
      <c r="X415" s="82" t="n">
        <v>48.14</v>
      </c>
      <c r="Y415" s="82" t="n">
        <v>0</v>
      </c>
      <c r="Z415" s="82" t="inlineStr">
        <is>
          <t>CLEAR</t>
        </is>
      </c>
    </row>
    <row r="416" ht="17" customHeight="1">
      <c r="A416" s="86" t="n">
        <v>414</v>
      </c>
      <c r="B416" s="86" t="inlineStr">
        <is>
          <t>SPG</t>
        </is>
      </c>
      <c r="C416" s="86" t="inlineStr">
        <is>
          <t>SIMON PROPERTY GROUP, INC.</t>
        </is>
      </c>
      <c r="D416" s="90" t="inlineStr">
        <is>
          <t>N/A</t>
        </is>
      </c>
      <c r="E416" s="90" t="inlineStr">
        <is>
          <t>N/A</t>
        </is>
      </c>
      <c r="F416" s="90" t="inlineStr">
        <is>
          <t>N/A</t>
        </is>
      </c>
      <c r="G416" s="90" t="inlineStr">
        <is>
          <t>N/A</t>
        </is>
      </c>
      <c r="H416" s="90" t="inlineStr">
        <is>
          <t>N/A</t>
        </is>
      </c>
      <c r="I416" s="90" t="inlineStr">
        <is>
          <t>N/A</t>
        </is>
      </c>
      <c r="J416" s="90" t="inlineStr">
        <is>
          <t>N/A</t>
        </is>
      </c>
      <c r="K416" s="90" t="inlineStr">
        <is>
          <t>N/A</t>
        </is>
      </c>
      <c r="L416" s="90" t="inlineStr">
        <is>
          <t>N/A</t>
        </is>
      </c>
      <c r="M416" s="86" t="n">
        <v>6</v>
      </c>
      <c r="N416" s="86" t="inlineStr">
        <is>
          <t>Mixed</t>
        </is>
      </c>
      <c r="O416" s="90" t="inlineStr">
        <is>
          <t>N/A</t>
        </is>
      </c>
      <c r="P416" s="86" t="inlineStr">
        <is>
          <t>Insufficient Data</t>
        </is>
      </c>
      <c r="Q416" s="86" t="n">
        <v>6</v>
      </c>
      <c r="R416" s="86" t="n">
        <v>1.0299</v>
      </c>
      <c r="S416" s="86" t="n">
        <v>0.77</v>
      </c>
      <c r="T416" s="86" t="n">
        <v>0.5031</v>
      </c>
      <c r="U416" s="86" t="n">
        <v>2.5527</v>
      </c>
      <c r="V416" s="86" t="n">
        <v>0.4989</v>
      </c>
      <c r="W416" s="86" t="n">
        <v>3.26</v>
      </c>
      <c r="X416" s="86" t="n">
        <v>48.12</v>
      </c>
      <c r="Y416" s="86" t="n">
        <v>0</v>
      </c>
      <c r="Z416" s="86" t="inlineStr">
        <is>
          <t>CLEAR</t>
        </is>
      </c>
    </row>
    <row r="417" ht="17" customHeight="1">
      <c r="A417" s="82" t="n">
        <v>415</v>
      </c>
      <c r="B417" s="82" t="inlineStr">
        <is>
          <t>SYF</t>
        </is>
      </c>
      <c r="C417" s="82" t="inlineStr">
        <is>
          <t>Synchrony Financial</t>
        </is>
      </c>
      <c r="D417" s="91" t="inlineStr">
        <is>
          <t>N/A</t>
        </is>
      </c>
      <c r="E417" s="91" t="inlineStr">
        <is>
          <t>N/A</t>
        </is>
      </c>
      <c r="F417" s="91" t="inlineStr">
        <is>
          <t>N/A</t>
        </is>
      </c>
      <c r="G417" s="91" t="inlineStr">
        <is>
          <t>N/A</t>
        </is>
      </c>
      <c r="H417" s="91" t="inlineStr">
        <is>
          <t>N/A</t>
        </is>
      </c>
      <c r="I417" s="91" t="inlineStr">
        <is>
          <t>N/A</t>
        </is>
      </c>
      <c r="J417" s="91" t="inlineStr">
        <is>
          <t>N/A</t>
        </is>
      </c>
      <c r="K417" s="91" t="inlineStr">
        <is>
          <t>N/A</t>
        </is>
      </c>
      <c r="L417" s="91" t="inlineStr">
        <is>
          <t>N/A</t>
        </is>
      </c>
      <c r="M417" s="82" t="n">
        <v>6</v>
      </c>
      <c r="N417" s="82" t="inlineStr">
        <is>
          <t>Mixed</t>
        </is>
      </c>
      <c r="O417" s="91" t="inlineStr">
        <is>
          <t>N/A</t>
        </is>
      </c>
      <c r="P417" s="82" t="inlineStr">
        <is>
          <t>Insufficient Data</t>
        </is>
      </c>
      <c r="Q417" s="82" t="n">
        <v>0.04</v>
      </c>
      <c r="R417" s="82" t="n">
        <v>0.2119</v>
      </c>
      <c r="S417" s="82" t="n">
        <v>2.77</v>
      </c>
      <c r="T417" s="91" t="inlineStr">
        <is>
          <t>N/A</t>
        </is>
      </c>
      <c r="U417" s="91" t="inlineStr">
        <is>
          <t>N/A</t>
        </is>
      </c>
      <c r="V417" s="91" t="inlineStr">
        <is>
          <t>N/A</t>
        </is>
      </c>
      <c r="W417" s="82" t="n">
        <v>1.25</v>
      </c>
      <c r="X417" s="82" t="n">
        <v>48.11</v>
      </c>
      <c r="Y417" s="82" t="n">
        <v>0</v>
      </c>
      <c r="Z417" s="82" t="inlineStr">
        <is>
          <t>CLEAR</t>
        </is>
      </c>
    </row>
    <row r="418" ht="17" customHeight="1">
      <c r="A418" s="86" t="n">
        <v>416</v>
      </c>
      <c r="B418" s="86" t="inlineStr">
        <is>
          <t>IR</t>
        </is>
      </c>
      <c r="C418" s="86" t="inlineStr">
        <is>
          <t>Ingersoll Rand Inc.</t>
        </is>
      </c>
      <c r="D418" s="86" t="n">
        <v>1.07</v>
      </c>
      <c r="E418" s="207" t="inlineStr">
        <is>
          <t>Distress</t>
        </is>
      </c>
      <c r="F418" s="86" t="n">
        <v>3.05</v>
      </c>
      <c r="G418" s="86" t="inlineStr">
        <is>
          <t>Safe</t>
        </is>
      </c>
      <c r="H418" s="86" t="n">
        <v>0.53</v>
      </c>
      <c r="I418" s="86" t="inlineStr">
        <is>
          <t>Distress</t>
        </is>
      </c>
      <c r="J418" s="86" t="n">
        <v>-1.94</v>
      </c>
      <c r="K418" s="86" t="n">
        <v>0.13</v>
      </c>
      <c r="L418" s="86" t="inlineStr">
        <is>
          <t>Healthy</t>
        </is>
      </c>
      <c r="M418" s="86" t="n">
        <v>5</v>
      </c>
      <c r="N418" s="86" t="inlineStr">
        <is>
          <t>Mixed</t>
        </is>
      </c>
      <c r="O418" s="207" t="n">
        <v>-2.56</v>
      </c>
      <c r="P418" s="86" t="inlineStr">
        <is>
          <t>Lower Risk</t>
        </is>
      </c>
      <c r="Q418" s="86" t="n">
        <v>0.93</v>
      </c>
      <c r="R418" s="86" t="n">
        <v>0.0576</v>
      </c>
      <c r="S418" s="86" t="n">
        <v>2.33</v>
      </c>
      <c r="T418" s="86" t="n">
        <v>0.5135999999999999</v>
      </c>
      <c r="U418" s="86" t="n">
        <v>0.2248</v>
      </c>
      <c r="V418" s="86" t="n">
        <v>0.4819</v>
      </c>
      <c r="W418" s="86" t="n">
        <v>7.3</v>
      </c>
      <c r="X418" s="86" t="n">
        <v>48.02</v>
      </c>
      <c r="Y418" s="86" t="n">
        <v>0</v>
      </c>
      <c r="Z418" s="86" t="inlineStr">
        <is>
          <t>CLEAR</t>
        </is>
      </c>
    </row>
    <row r="419" ht="17" customHeight="1">
      <c r="A419" s="82" t="n">
        <v>417</v>
      </c>
      <c r="B419" s="82" t="inlineStr">
        <is>
          <t>SYK</t>
        </is>
      </c>
      <c r="C419" s="82" t="inlineStr">
        <is>
          <t>STRYKER CORP</t>
        </is>
      </c>
      <c r="D419" s="82" t="n">
        <v>1.5</v>
      </c>
      <c r="E419" s="208" t="inlineStr">
        <is>
          <t>Grey</t>
        </is>
      </c>
      <c r="F419" s="82" t="n">
        <v>3.52</v>
      </c>
      <c r="G419" s="82" t="inlineStr">
        <is>
          <t>Safe</t>
        </is>
      </c>
      <c r="H419" s="82" t="n">
        <v>1.06</v>
      </c>
      <c r="I419" s="82" t="inlineStr">
        <is>
          <t>Healthy</t>
        </is>
      </c>
      <c r="J419" s="82" t="n">
        <v>-1.62</v>
      </c>
      <c r="K419" s="82" t="n">
        <v>0.17</v>
      </c>
      <c r="L419" s="82" t="inlineStr">
        <is>
          <t>Healthy</t>
        </is>
      </c>
      <c r="M419" s="82" t="n">
        <v>6</v>
      </c>
      <c r="N419" s="82" t="inlineStr">
        <is>
          <t>Mixed</t>
        </is>
      </c>
      <c r="O419" s="207" t="n">
        <v>-1.05</v>
      </c>
      <c r="P419" s="82" t="inlineStr">
        <is>
          <t>Higher Risk</t>
        </is>
      </c>
      <c r="Q419" s="82" t="n">
        <v>-0.35</v>
      </c>
      <c r="R419" s="82" t="n">
        <v>0.2767</v>
      </c>
      <c r="S419" s="82" t="n">
        <v>1.55</v>
      </c>
      <c r="T419" s="82" t="n">
        <v>0.1705</v>
      </c>
      <c r="U419" s="82" t="n">
        <v>2.5024</v>
      </c>
      <c r="V419" s="82" t="n">
        <v>0.1947</v>
      </c>
      <c r="W419" s="82" t="n">
        <v>8.4</v>
      </c>
      <c r="X419" s="82" t="n">
        <v>47.9</v>
      </c>
      <c r="Y419" s="82" t="n">
        <v>20</v>
      </c>
      <c r="Z419" s="82" t="inlineStr">
        <is>
          <t>CLEAR</t>
        </is>
      </c>
    </row>
    <row r="420" ht="17" customHeight="1">
      <c r="A420" s="86" t="n">
        <v>418</v>
      </c>
      <c r="B420" s="86" t="inlineStr">
        <is>
          <t>ABBV</t>
        </is>
      </c>
      <c r="C420" s="86" t="inlineStr">
        <is>
          <t>AbbVie Inc.</t>
        </is>
      </c>
      <c r="D420" s="86" t="n">
        <v>0.62</v>
      </c>
      <c r="E420" s="207" t="inlineStr">
        <is>
          <t>Distress</t>
        </is>
      </c>
      <c r="F420" s="86" t="n">
        <v>-0.34</v>
      </c>
      <c r="G420" s="86" t="inlineStr">
        <is>
          <t>Distress</t>
        </is>
      </c>
      <c r="H420" s="86" t="n">
        <v>0.52</v>
      </c>
      <c r="I420" s="86" t="inlineStr">
        <is>
          <t>Distress</t>
        </is>
      </c>
      <c r="J420" s="86" t="n">
        <v>1.2</v>
      </c>
      <c r="K420" s="86" t="n">
        <v>0.77</v>
      </c>
      <c r="L420" s="86" t="inlineStr">
        <is>
          <t>Distress</t>
        </is>
      </c>
      <c r="M420" s="86" t="n">
        <v>7</v>
      </c>
      <c r="N420" s="86" t="inlineStr">
        <is>
          <t>Strong</t>
        </is>
      </c>
      <c r="O420" s="207" t="n">
        <v>-0.05</v>
      </c>
      <c r="P420" s="86" t="inlineStr">
        <is>
          <t>Higher Risk</t>
        </is>
      </c>
      <c r="Q420" s="86" t="n">
        <v>3.74</v>
      </c>
      <c r="R420" s="86" t="n">
        <v>-1.2924</v>
      </c>
      <c r="S420" s="86" t="n">
        <v>4.5</v>
      </c>
      <c r="T420" s="86" t="n">
        <v>0.2913</v>
      </c>
      <c r="U420" s="86" t="n">
        <v>2.6803</v>
      </c>
      <c r="V420" s="86" t="n">
        <v>0.2465</v>
      </c>
      <c r="W420" s="86" t="n">
        <v>5.21</v>
      </c>
      <c r="X420" s="86" t="n">
        <v>47.9</v>
      </c>
      <c r="Y420" s="86" t="n">
        <v>40</v>
      </c>
      <c r="Z420" s="86" t="inlineStr">
        <is>
          <t>WATCH</t>
        </is>
      </c>
    </row>
    <row r="421" ht="17" customHeight="1">
      <c r="A421" s="82" t="n">
        <v>419</v>
      </c>
      <c r="B421" s="82" t="inlineStr">
        <is>
          <t>IIPR</t>
        </is>
      </c>
      <c r="C421" s="82" t="inlineStr">
        <is>
          <t>Innovative Industrial Properties, Inc.</t>
        </is>
      </c>
      <c r="D421" s="91" t="inlineStr">
        <is>
          <t>N/A</t>
        </is>
      </c>
      <c r="E421" s="91" t="inlineStr">
        <is>
          <t>N/A</t>
        </is>
      </c>
      <c r="F421" s="91" t="inlineStr">
        <is>
          <t>N/A</t>
        </is>
      </c>
      <c r="G421" s="91" t="inlineStr">
        <is>
          <t>N/A</t>
        </is>
      </c>
      <c r="H421" s="91" t="inlineStr">
        <is>
          <t>N/A</t>
        </is>
      </c>
      <c r="I421" s="91" t="inlineStr">
        <is>
          <t>N/A</t>
        </is>
      </c>
      <c r="J421" s="91" t="inlineStr">
        <is>
          <t>N/A</t>
        </is>
      </c>
      <c r="K421" s="91" t="inlineStr">
        <is>
          <t>N/A</t>
        </is>
      </c>
      <c r="L421" s="91" t="inlineStr">
        <is>
          <t>N/A</t>
        </is>
      </c>
      <c r="M421" s="82" t="n">
        <v>4</v>
      </c>
      <c r="N421" s="82" t="inlineStr">
        <is>
          <t>Mixed</t>
        </is>
      </c>
      <c r="O421" s="91" t="inlineStr">
        <is>
          <t>N/A</t>
        </is>
      </c>
      <c r="P421" s="82" t="inlineStr">
        <is>
          <t>Insufficient Data</t>
        </is>
      </c>
      <c r="Q421" s="82" t="n">
        <v>1.75</v>
      </c>
      <c r="R421" s="82" t="n">
        <v>0.064</v>
      </c>
      <c r="S421" s="82" t="n">
        <v>1.68</v>
      </c>
      <c r="T421" s="82" t="n">
        <v>0.7339</v>
      </c>
      <c r="U421" s="82" t="n">
        <v>-0.138</v>
      </c>
      <c r="V421" s="82" t="n">
        <v>0.4667</v>
      </c>
      <c r="W421" s="82" t="n">
        <v>7.11</v>
      </c>
      <c r="X421" s="82" t="n">
        <v>47.89</v>
      </c>
      <c r="Y421" s="82" t="n">
        <v>0</v>
      </c>
      <c r="Z421" s="82" t="inlineStr">
        <is>
          <t>CLEAR</t>
        </is>
      </c>
    </row>
    <row r="422" ht="17" customHeight="1">
      <c r="A422" s="86" t="n">
        <v>420</v>
      </c>
      <c r="B422" s="86" t="inlineStr">
        <is>
          <t>TECH</t>
        </is>
      </c>
      <c r="C422" s="86" t="inlineStr">
        <is>
          <t>BIO-TECHNE Corp</t>
        </is>
      </c>
      <c r="D422" s="86" t="n">
        <v>1.41</v>
      </c>
      <c r="E422" s="208" t="inlineStr">
        <is>
          <t>Grey</t>
        </is>
      </c>
      <c r="F422" s="86" t="n">
        <v>3.59</v>
      </c>
      <c r="G422" s="86" t="inlineStr">
        <is>
          <t>Safe</t>
        </is>
      </c>
      <c r="H422" s="86" t="n">
        <v>0.86</v>
      </c>
      <c r="I422" s="86" t="inlineStr">
        <is>
          <t>Distress</t>
        </is>
      </c>
      <c r="J422" s="86" t="n">
        <v>1.23</v>
      </c>
      <c r="K422" s="86" t="n">
        <v>0.77</v>
      </c>
      <c r="L422" s="86" t="inlineStr">
        <is>
          <t>Distress</t>
        </is>
      </c>
      <c r="M422" s="86" t="n">
        <v>5</v>
      </c>
      <c r="N422" s="86" t="inlineStr">
        <is>
          <t>Mixed</t>
        </is>
      </c>
      <c r="O422" s="207" t="n">
        <v>-3.14</v>
      </c>
      <c r="P422" s="86" t="inlineStr">
        <is>
          <t>Lower Risk</t>
        </is>
      </c>
      <c r="Q422" s="86" t="n">
        <v>-0.76</v>
      </c>
      <c r="R422" s="86" t="n">
        <v>0.0355</v>
      </c>
      <c r="S422" s="86" t="n">
        <v>3.92</v>
      </c>
      <c r="T422" s="86" t="n">
        <v>0.2103</v>
      </c>
      <c r="U422" s="86" t="n">
        <v>0.0523</v>
      </c>
      <c r="V422" s="86" t="n">
        <v>0.0838</v>
      </c>
      <c r="W422" s="86" t="n">
        <v>9.119999999999999</v>
      </c>
      <c r="X422" s="86" t="n">
        <v>47.89</v>
      </c>
      <c r="Y422" s="86" t="n">
        <v>0</v>
      </c>
      <c r="Z422" s="86" t="inlineStr">
        <is>
          <t>CLEAR</t>
        </is>
      </c>
    </row>
    <row r="423" ht="17" customHeight="1">
      <c r="A423" s="82" t="n">
        <v>421</v>
      </c>
      <c r="B423" s="82" t="inlineStr">
        <is>
          <t>MCK</t>
        </is>
      </c>
      <c r="C423" s="82" t="inlineStr">
        <is>
          <t>McKESSON CORPORATION</t>
        </is>
      </c>
      <c r="D423" s="82" t="n">
        <v>1.73</v>
      </c>
      <c r="E423" s="208" t="inlineStr">
        <is>
          <t>Grey</t>
        </is>
      </c>
      <c r="F423" s="82" t="n">
        <v>0.58</v>
      </c>
      <c r="G423" s="82" t="inlineStr">
        <is>
          <t>Distress</t>
        </is>
      </c>
      <c r="H423" s="82" t="n">
        <v>0.71</v>
      </c>
      <c r="I423" s="82" t="inlineStr">
        <is>
          <t>Distress</t>
        </is>
      </c>
      <c r="J423" s="82" t="n">
        <v>1.09</v>
      </c>
      <c r="K423" s="82" t="n">
        <v>0.75</v>
      </c>
      <c r="L423" s="82" t="inlineStr">
        <is>
          <t>Distress</t>
        </is>
      </c>
      <c r="M423" s="82" t="n">
        <v>6</v>
      </c>
      <c r="N423" s="82" t="inlineStr">
        <is>
          <t>Mixed</t>
        </is>
      </c>
      <c r="O423" s="207" t="n">
        <v>0.92</v>
      </c>
      <c r="P423" s="82" t="inlineStr">
        <is>
          <t>Higher Risk</t>
        </is>
      </c>
      <c r="Q423" s="82" t="n">
        <v>0.37</v>
      </c>
      <c r="R423" s="82" t="n">
        <v>-2.1924</v>
      </c>
      <c r="S423" s="82" t="n">
        <v>1.29</v>
      </c>
      <c r="T423" s="82" t="n">
        <v>0.051</v>
      </c>
      <c r="U423" s="82" t="n">
        <v>2.8847</v>
      </c>
      <c r="V423" s="82" t="n">
        <v>0.0554</v>
      </c>
      <c r="W423" s="82" t="n">
        <v>24.65</v>
      </c>
      <c r="X423" s="82" t="n">
        <v>47.87</v>
      </c>
      <c r="Y423" s="82" t="n">
        <v>20</v>
      </c>
      <c r="Z423" s="82" t="inlineStr">
        <is>
          <t>CLEAR</t>
        </is>
      </c>
    </row>
    <row r="424" ht="17" customHeight="1">
      <c r="A424" s="86" t="n">
        <v>422</v>
      </c>
      <c r="B424" s="86" t="inlineStr">
        <is>
          <t>SMCI</t>
        </is>
      </c>
      <c r="C424" s="86" t="inlineStr">
        <is>
          <t>SUPER MICRO COMPUTER, INC.</t>
        </is>
      </c>
      <c r="D424" s="86" t="n">
        <v>1.51</v>
      </c>
      <c r="E424" s="208" t="inlineStr">
        <is>
          <t>Grey</t>
        </is>
      </c>
      <c r="F424" s="86" t="n">
        <v>6.92</v>
      </c>
      <c r="G424" s="86" t="inlineStr">
        <is>
          <t>Safe</t>
        </is>
      </c>
      <c r="H424" s="86" t="n">
        <v>1.38</v>
      </c>
      <c r="I424" s="86" t="inlineStr">
        <is>
          <t>Healthy</t>
        </is>
      </c>
      <c r="J424" s="86" t="n">
        <v>-1.53</v>
      </c>
      <c r="K424" s="86" t="n">
        <v>0.18</v>
      </c>
      <c r="L424" s="86" t="inlineStr">
        <is>
          <t>Healthy</t>
        </is>
      </c>
      <c r="M424" s="86" t="n">
        <v>6</v>
      </c>
      <c r="N424" s="86" t="inlineStr">
        <is>
          <t>Mixed</t>
        </is>
      </c>
      <c r="O424" s="207" t="n">
        <v>0.32</v>
      </c>
      <c r="P424" s="86" t="inlineStr">
        <is>
          <t>Higher Risk</t>
        </is>
      </c>
      <c r="Q424" s="86" t="n">
        <v>-3.9</v>
      </c>
      <c r="R424" s="86" t="n">
        <v>0.1664</v>
      </c>
      <c r="S424" s="86" t="n">
        <v>1.58</v>
      </c>
      <c r="T424" s="86" t="n">
        <v>0.6166</v>
      </c>
      <c r="U424" s="86" t="n">
        <v>2.6642</v>
      </c>
      <c r="V424" s="86" t="n">
        <v>0.5042</v>
      </c>
      <c r="W424" s="86" t="n">
        <v>119.44</v>
      </c>
      <c r="X424" s="86" t="n">
        <v>47.83</v>
      </c>
      <c r="Y424" s="86" t="n">
        <v>20</v>
      </c>
      <c r="Z424" s="86" t="inlineStr">
        <is>
          <t>CLEAR</t>
        </is>
      </c>
    </row>
    <row r="425" ht="17" customHeight="1">
      <c r="A425" s="82" t="n">
        <v>423</v>
      </c>
      <c r="B425" s="82" t="inlineStr">
        <is>
          <t>CNC</t>
        </is>
      </c>
      <c r="C425" s="82" t="inlineStr">
        <is>
          <t>CENTENE CORPORATION</t>
        </is>
      </c>
      <c r="D425" s="82" t="n">
        <v>2.5</v>
      </c>
      <c r="E425" s="208" t="inlineStr">
        <is>
          <t>Grey</t>
        </is>
      </c>
      <c r="F425" s="82" t="n">
        <v>0.38</v>
      </c>
      <c r="G425" s="82" t="inlineStr">
        <is>
          <t>Distress</t>
        </is>
      </c>
      <c r="H425" s="82" t="n">
        <v>0.64</v>
      </c>
      <c r="I425" s="82" t="inlineStr">
        <is>
          <t>Distress</t>
        </is>
      </c>
      <c r="J425" s="82" t="n">
        <v>0.26</v>
      </c>
      <c r="K425" s="82" t="n">
        <v>0.5600000000000001</v>
      </c>
      <c r="L425" s="82" t="inlineStr">
        <is>
          <t>Distress</t>
        </is>
      </c>
      <c r="M425" s="82" t="n">
        <v>4</v>
      </c>
      <c r="N425" s="82" t="inlineStr">
        <is>
          <t>Mixed</t>
        </is>
      </c>
      <c r="O425" s="91" t="inlineStr">
        <is>
          <t>N/A</t>
        </is>
      </c>
      <c r="P425" s="82" t="inlineStr">
        <is>
          <t>Insufficient Data</t>
        </is>
      </c>
      <c r="Q425" s="82" t="n">
        <v>0.06</v>
      </c>
      <c r="R425" s="82" t="n">
        <v>-0.3345</v>
      </c>
      <c r="S425" s="82" t="n">
        <v>-0.76</v>
      </c>
      <c r="T425" s="82" t="n">
        <v>0.0222</v>
      </c>
      <c r="U425" s="82" t="n">
        <v>0.1944</v>
      </c>
      <c r="V425" s="82" t="n">
        <v>-0.0391</v>
      </c>
      <c r="W425" s="82" t="n">
        <v>-10.51</v>
      </c>
      <c r="X425" s="82" t="n">
        <v>47.81</v>
      </c>
      <c r="Y425" s="82" t="n">
        <v>40</v>
      </c>
      <c r="Z425" s="82" t="inlineStr">
        <is>
          <t>WATCH</t>
        </is>
      </c>
    </row>
    <row r="426" ht="17" customHeight="1">
      <c r="A426" s="86" t="n">
        <v>424</v>
      </c>
      <c r="B426" s="86" t="inlineStr">
        <is>
          <t>XPO</t>
        </is>
      </c>
      <c r="C426" s="86" t="inlineStr">
        <is>
          <t>XPO, Inc.</t>
        </is>
      </c>
      <c r="D426" s="86" t="n">
        <v>1.39</v>
      </c>
      <c r="E426" s="208" t="inlineStr">
        <is>
          <t>Grey</t>
        </is>
      </c>
      <c r="F426" s="86" t="n">
        <v>1.19</v>
      </c>
      <c r="G426" s="86" t="inlineStr">
        <is>
          <t>Grey</t>
        </is>
      </c>
      <c r="H426" s="86" t="n">
        <v>0.82</v>
      </c>
      <c r="I426" s="86" t="inlineStr">
        <is>
          <t>Distress</t>
        </is>
      </c>
      <c r="J426" s="86" t="n">
        <v>1.17</v>
      </c>
      <c r="K426" s="86" t="n">
        <v>0.76</v>
      </c>
      <c r="L426" s="86" t="inlineStr">
        <is>
          <t>Distress</t>
        </is>
      </c>
      <c r="M426" s="86" t="n">
        <v>5</v>
      </c>
      <c r="N426" s="86" t="inlineStr">
        <is>
          <t>Mixed</t>
        </is>
      </c>
      <c r="O426" s="207" t="n">
        <v>-2.85</v>
      </c>
      <c r="P426" s="86" t="inlineStr">
        <is>
          <t>Lower Risk</t>
        </is>
      </c>
      <c r="Q426" s="86" t="n">
        <v>3.72</v>
      </c>
      <c r="R426" s="86" t="n">
        <v>0.1698</v>
      </c>
      <c r="S426" s="86" t="n">
        <v>2.08</v>
      </c>
      <c r="T426" s="86" t="n">
        <v>-0.0001</v>
      </c>
      <c r="U426" s="86" t="n">
        <v>0.0034</v>
      </c>
      <c r="V426" s="86" t="n">
        <v>0.0847</v>
      </c>
      <c r="W426" s="86" t="n">
        <v>3.9</v>
      </c>
      <c r="X426" s="86" t="n">
        <v>47.79</v>
      </c>
      <c r="Y426" s="86" t="n">
        <v>0</v>
      </c>
      <c r="Z426" s="86" t="inlineStr">
        <is>
          <t>CLEAR</t>
        </is>
      </c>
    </row>
    <row r="427" ht="17" customHeight="1">
      <c r="A427" s="82" t="n">
        <v>425</v>
      </c>
      <c r="B427" s="82" t="inlineStr">
        <is>
          <t>COF</t>
        </is>
      </c>
      <c r="C427" s="82" t="inlineStr">
        <is>
          <t>CAPITAL ONE FINANCIAL CORP</t>
        </is>
      </c>
      <c r="D427" s="91" t="inlineStr">
        <is>
          <t>N/A</t>
        </is>
      </c>
      <c r="E427" s="91" t="inlineStr">
        <is>
          <t>N/A</t>
        </is>
      </c>
      <c r="F427" s="91" t="inlineStr">
        <is>
          <t>N/A</t>
        </is>
      </c>
      <c r="G427" s="91" t="inlineStr">
        <is>
          <t>N/A</t>
        </is>
      </c>
      <c r="H427" s="91" t="inlineStr">
        <is>
          <t>N/A</t>
        </is>
      </c>
      <c r="I427" s="91" t="inlineStr">
        <is>
          <t>N/A</t>
        </is>
      </c>
      <c r="J427" s="91" t="inlineStr">
        <is>
          <t>N/A</t>
        </is>
      </c>
      <c r="K427" s="91" t="inlineStr">
        <is>
          <t>N/A</t>
        </is>
      </c>
      <c r="L427" s="91" t="inlineStr">
        <is>
          <t>N/A</t>
        </is>
      </c>
      <c r="M427" s="82" t="n">
        <v>6</v>
      </c>
      <c r="N427" s="82" t="inlineStr">
        <is>
          <t>Mixed</t>
        </is>
      </c>
      <c r="O427" s="91" t="inlineStr">
        <is>
          <t>N/A</t>
        </is>
      </c>
      <c r="P427" s="82" t="inlineStr">
        <is>
          <t>Insufficient Data</t>
        </is>
      </c>
      <c r="Q427" s="82" t="n">
        <v>4.16</v>
      </c>
      <c r="R427" s="82" t="n">
        <v>0.0216</v>
      </c>
      <c r="S427" s="82" t="n">
        <v>11.3</v>
      </c>
      <c r="T427" s="82" t="n">
        <v>0.4892</v>
      </c>
      <c r="U427" s="82" t="n">
        <v>0.3662</v>
      </c>
      <c r="V427" s="82" t="n">
        <v>0.0427</v>
      </c>
      <c r="W427" s="82" t="n">
        <v>0.18</v>
      </c>
      <c r="X427" s="82" t="n">
        <v>47.74</v>
      </c>
      <c r="Y427" s="82" t="n">
        <v>0</v>
      </c>
      <c r="Z427" s="82" t="inlineStr">
        <is>
          <t>CLEAR</t>
        </is>
      </c>
    </row>
    <row r="428" ht="17" customHeight="1">
      <c r="A428" s="86" t="n">
        <v>426</v>
      </c>
      <c r="B428" s="86" t="inlineStr">
        <is>
          <t>HRL</t>
        </is>
      </c>
      <c r="C428" s="86" t="inlineStr">
        <is>
          <t>HORMEL FOODS CORPORATION</t>
        </is>
      </c>
      <c r="D428" s="86" t="n">
        <v>1.68</v>
      </c>
      <c r="E428" s="208" t="inlineStr">
        <is>
          <t>Grey</t>
        </is>
      </c>
      <c r="F428" s="86" t="n">
        <v>3.8</v>
      </c>
      <c r="G428" s="86" t="inlineStr">
        <is>
          <t>Safe</t>
        </is>
      </c>
      <c r="H428" s="86" t="n">
        <v>0.91</v>
      </c>
      <c r="I428" s="86" t="inlineStr">
        <is>
          <t>Healthy</t>
        </is>
      </c>
      <c r="J428" s="86" t="n">
        <v>1.19</v>
      </c>
      <c r="K428" s="86" t="n">
        <v>0.77</v>
      </c>
      <c r="L428" s="86" t="inlineStr">
        <is>
          <t>Distress</t>
        </is>
      </c>
      <c r="M428" s="86" t="n">
        <v>6</v>
      </c>
      <c r="N428" s="86" t="inlineStr">
        <is>
          <t>Mixed</t>
        </is>
      </c>
      <c r="O428" s="207" t="n">
        <v>0.65</v>
      </c>
      <c r="P428" s="86" t="inlineStr">
        <is>
          <t>Higher Risk</t>
        </is>
      </c>
      <c r="Q428" s="86" t="n">
        <v>2.22</v>
      </c>
      <c r="R428" s="86" t="n">
        <v>0.0605</v>
      </c>
      <c r="S428" s="86" t="n">
        <v>1.77</v>
      </c>
      <c r="T428" s="86" t="n">
        <v>0.0583</v>
      </c>
      <c r="U428" s="86" t="n">
        <v>2.6779</v>
      </c>
      <c r="V428" s="86" t="n">
        <v>0.0784</v>
      </c>
      <c r="W428" s="86" t="n">
        <v>9.789999999999999</v>
      </c>
      <c r="X428" s="86" t="n">
        <v>47.72</v>
      </c>
      <c r="Y428" s="86" t="n">
        <v>20</v>
      </c>
      <c r="Z428" s="86" t="inlineStr">
        <is>
          <t>CLEAR</t>
        </is>
      </c>
    </row>
    <row r="429" ht="17" customHeight="1">
      <c r="A429" s="82" t="n">
        <v>427</v>
      </c>
      <c r="B429" s="82" t="inlineStr">
        <is>
          <t>AXP</t>
        </is>
      </c>
      <c r="C429" s="82" t="inlineStr">
        <is>
          <t>AMERICAN EXPRESS CO</t>
        </is>
      </c>
      <c r="D429" s="91" t="inlineStr">
        <is>
          <t>N/A</t>
        </is>
      </c>
      <c r="E429" s="91" t="inlineStr">
        <is>
          <t>N/A</t>
        </is>
      </c>
      <c r="F429" s="91" t="inlineStr">
        <is>
          <t>N/A</t>
        </is>
      </c>
      <c r="G429" s="91" t="inlineStr">
        <is>
          <t>N/A</t>
        </is>
      </c>
      <c r="H429" s="91" t="inlineStr">
        <is>
          <t>N/A</t>
        </is>
      </c>
      <c r="I429" s="91" t="inlineStr">
        <is>
          <t>N/A</t>
        </is>
      </c>
      <c r="J429" s="91" t="inlineStr">
        <is>
          <t>N/A</t>
        </is>
      </c>
      <c r="K429" s="91" t="inlineStr">
        <is>
          <t>N/A</t>
        </is>
      </c>
      <c r="L429" s="91" t="inlineStr">
        <is>
          <t>N/A</t>
        </is>
      </c>
      <c r="M429" s="82" t="n">
        <v>6</v>
      </c>
      <c r="N429" s="82" t="inlineStr">
        <is>
          <t>Mixed</t>
        </is>
      </c>
      <c r="O429" s="91" t="inlineStr">
        <is>
          <t>N/A</t>
        </is>
      </c>
      <c r="P429" s="82" t="inlineStr">
        <is>
          <t>Insufficient Data</t>
        </is>
      </c>
      <c r="Q429" s="82" t="n">
        <v>19.37</v>
      </c>
      <c r="R429" s="82" t="n">
        <v>0.3236</v>
      </c>
      <c r="S429" s="82" t="n">
        <v>1.7</v>
      </c>
      <c r="T429" s="82" t="n">
        <v>0.5753</v>
      </c>
      <c r="U429" s="82" t="n">
        <v>0.1344</v>
      </c>
      <c r="V429" s="82" t="n">
        <v>0.1021</v>
      </c>
      <c r="W429" s="82" t="n">
        <v>0.41</v>
      </c>
      <c r="X429" s="82" t="n">
        <v>47.7</v>
      </c>
      <c r="Y429" s="82" t="n">
        <v>0</v>
      </c>
      <c r="Z429" s="82" t="inlineStr">
        <is>
          <t>CLEAR</t>
        </is>
      </c>
    </row>
    <row r="430" ht="17" customHeight="1">
      <c r="A430" s="86" t="n">
        <v>428</v>
      </c>
      <c r="B430" s="86" t="inlineStr">
        <is>
          <t>WSFS</t>
        </is>
      </c>
      <c r="C430" s="86" t="inlineStr">
        <is>
          <t>WSFS FINANCIAL CORPORATION</t>
        </is>
      </c>
      <c r="D430" s="90" t="inlineStr">
        <is>
          <t>N/A</t>
        </is>
      </c>
      <c r="E430" s="90" t="inlineStr">
        <is>
          <t>N/A</t>
        </is>
      </c>
      <c r="F430" s="90" t="inlineStr">
        <is>
          <t>N/A</t>
        </is>
      </c>
      <c r="G430" s="90" t="inlineStr">
        <is>
          <t>N/A</t>
        </is>
      </c>
      <c r="H430" s="90" t="inlineStr">
        <is>
          <t>N/A</t>
        </is>
      </c>
      <c r="I430" s="90" t="inlineStr">
        <is>
          <t>N/A</t>
        </is>
      </c>
      <c r="J430" s="90" t="inlineStr">
        <is>
          <t>N/A</t>
        </is>
      </c>
      <c r="K430" s="90" t="inlineStr">
        <is>
          <t>N/A</t>
        </is>
      </c>
      <c r="L430" s="90" t="inlineStr">
        <is>
          <t>N/A</t>
        </is>
      </c>
      <c r="M430" s="86" t="n">
        <v>6</v>
      </c>
      <c r="N430" s="86" t="inlineStr">
        <is>
          <t>Mixed</t>
        </is>
      </c>
      <c r="O430" s="90" t="inlineStr">
        <is>
          <t>N/A</t>
        </is>
      </c>
      <c r="P430" s="86" t="inlineStr">
        <is>
          <t>Insufficient Data</t>
        </is>
      </c>
      <c r="Q430" s="86" t="n">
        <v>-4.24</v>
      </c>
      <c r="R430" s="86" t="n">
        <v>0.1049</v>
      </c>
      <c r="S430" s="86" t="n">
        <v>0.77</v>
      </c>
      <c r="T430" s="86" t="n">
        <v>0.2216</v>
      </c>
      <c r="U430" s="86" t="n">
        <v>0.5018</v>
      </c>
      <c r="V430" s="86" t="n">
        <v>0.3948</v>
      </c>
      <c r="W430" s="86" t="n">
        <v>1.51</v>
      </c>
      <c r="X430" s="86" t="n">
        <v>47.7</v>
      </c>
      <c r="Y430" s="86" t="n">
        <v>0</v>
      </c>
      <c r="Z430" s="86" t="inlineStr">
        <is>
          <t>CLEAR</t>
        </is>
      </c>
    </row>
    <row r="431" ht="17" customHeight="1">
      <c r="A431" s="82" t="n">
        <v>429</v>
      </c>
      <c r="B431" s="82" t="inlineStr">
        <is>
          <t>MTB</t>
        </is>
      </c>
      <c r="C431" s="82" t="inlineStr">
        <is>
          <t>M&amp;T BANK CORPORATION</t>
        </is>
      </c>
      <c r="D431" s="91" t="inlineStr">
        <is>
          <t>N/A</t>
        </is>
      </c>
      <c r="E431" s="91" t="inlineStr">
        <is>
          <t>N/A</t>
        </is>
      </c>
      <c r="F431" s="91" t="inlineStr">
        <is>
          <t>N/A</t>
        </is>
      </c>
      <c r="G431" s="91" t="inlineStr">
        <is>
          <t>N/A</t>
        </is>
      </c>
      <c r="H431" s="91" t="inlineStr">
        <is>
          <t>N/A</t>
        </is>
      </c>
      <c r="I431" s="91" t="inlineStr">
        <is>
          <t>N/A</t>
        </is>
      </c>
      <c r="J431" s="91" t="inlineStr">
        <is>
          <t>N/A</t>
        </is>
      </c>
      <c r="K431" s="91" t="inlineStr">
        <is>
          <t>N/A</t>
        </is>
      </c>
      <c r="L431" s="91" t="inlineStr">
        <is>
          <t>N/A</t>
        </is>
      </c>
      <c r="M431" s="82" t="n">
        <v>6</v>
      </c>
      <c r="N431" s="82" t="inlineStr">
        <is>
          <t>Mixed</t>
        </is>
      </c>
      <c r="O431" s="91" t="inlineStr">
        <is>
          <t>N/A</t>
        </is>
      </c>
      <c r="P431" s="82" t="inlineStr">
        <is>
          <t>Insufficient Data</t>
        </is>
      </c>
      <c r="Q431" s="82" t="n">
        <v>2.5</v>
      </c>
      <c r="R431" s="82" t="n">
        <v>0.0977</v>
      </c>
      <c r="S431" s="82" t="n">
        <v>1.05</v>
      </c>
      <c r="T431" s="82" t="n">
        <v>0.2849</v>
      </c>
      <c r="U431" s="82" t="n">
        <v>0.1791</v>
      </c>
      <c r="V431" s="82" t="n">
        <v>0.3829</v>
      </c>
      <c r="W431" s="82" t="n">
        <v>1.19</v>
      </c>
      <c r="X431" s="82" t="n">
        <v>47.7</v>
      </c>
      <c r="Y431" s="82" t="n">
        <v>0</v>
      </c>
      <c r="Z431" s="82" t="inlineStr">
        <is>
          <t>CLEAR</t>
        </is>
      </c>
    </row>
    <row r="432" ht="17" customHeight="1">
      <c r="A432" s="86" t="n">
        <v>430</v>
      </c>
      <c r="B432" s="86" t="inlineStr">
        <is>
          <t>SCHW</t>
        </is>
      </c>
      <c r="C432" s="86" t="inlineStr">
        <is>
          <t>SCHWAB CHARLES CORP</t>
        </is>
      </c>
      <c r="D432" s="90" t="inlineStr">
        <is>
          <t>N/A</t>
        </is>
      </c>
      <c r="E432" s="90" t="inlineStr">
        <is>
          <t>N/A</t>
        </is>
      </c>
      <c r="F432" s="90" t="inlineStr">
        <is>
          <t>N/A</t>
        </is>
      </c>
      <c r="G432" s="90" t="inlineStr">
        <is>
          <t>N/A</t>
        </is>
      </c>
      <c r="H432" s="90" t="inlineStr">
        <is>
          <t>N/A</t>
        </is>
      </c>
      <c r="I432" s="90" t="inlineStr">
        <is>
          <t>N/A</t>
        </is>
      </c>
      <c r="J432" s="90" t="inlineStr">
        <is>
          <t>N/A</t>
        </is>
      </c>
      <c r="K432" s="90" t="inlineStr">
        <is>
          <t>N/A</t>
        </is>
      </c>
      <c r="L432" s="90" t="inlineStr">
        <is>
          <t>N/A</t>
        </is>
      </c>
      <c r="M432" s="86" t="n">
        <v>6</v>
      </c>
      <c r="N432" s="86" t="inlineStr">
        <is>
          <t>Mixed</t>
        </is>
      </c>
      <c r="O432" s="90" t="inlineStr">
        <is>
          <t>N/A</t>
        </is>
      </c>
      <c r="P432" s="86" t="inlineStr">
        <is>
          <t>Insufficient Data</t>
        </is>
      </c>
      <c r="Q432" s="86" t="n">
        <v>-2.21</v>
      </c>
      <c r="R432" s="86" t="n">
        <v>0.1791</v>
      </c>
      <c r="S432" s="86" t="n">
        <v>1.05</v>
      </c>
      <c r="T432" s="86" t="n">
        <v>0.3663</v>
      </c>
      <c r="U432" s="86" t="n">
        <v>0.2201</v>
      </c>
      <c r="V432" s="86" t="n">
        <v>0.479</v>
      </c>
      <c r="W432" s="86" t="n">
        <v>1.71</v>
      </c>
      <c r="X432" s="86" t="n">
        <v>47.69</v>
      </c>
      <c r="Y432" s="86" t="n">
        <v>0</v>
      </c>
      <c r="Z432" s="86" t="inlineStr">
        <is>
          <t>CLEAR</t>
        </is>
      </c>
    </row>
    <row r="433" ht="17" customHeight="1">
      <c r="A433" s="82" t="n">
        <v>431</v>
      </c>
      <c r="B433" s="82" t="inlineStr">
        <is>
          <t>FTNT</t>
        </is>
      </c>
      <c r="C433" s="82" t="inlineStr">
        <is>
          <t>FORTINET, INC.</t>
        </is>
      </c>
      <c r="D433" s="82" t="n">
        <v>1.35</v>
      </c>
      <c r="E433" s="208" t="inlineStr">
        <is>
          <t>Grey</t>
        </is>
      </c>
      <c r="F433" s="82" t="n">
        <v>1.88</v>
      </c>
      <c r="G433" s="82" t="inlineStr">
        <is>
          <t>Grey</t>
        </is>
      </c>
      <c r="H433" s="82" t="n">
        <v>1.24</v>
      </c>
      <c r="I433" s="82" t="inlineStr">
        <is>
          <t>Healthy</t>
        </is>
      </c>
      <c r="J433" s="82" t="n">
        <v>-0.13</v>
      </c>
      <c r="K433" s="82" t="n">
        <v>0.47</v>
      </c>
      <c r="L433" s="82" t="inlineStr">
        <is>
          <t>Healthy</t>
        </is>
      </c>
      <c r="M433" s="82" t="n">
        <v>5</v>
      </c>
      <c r="N433" s="82" t="inlineStr">
        <is>
          <t>Mixed</t>
        </is>
      </c>
      <c r="O433" s="207" t="n">
        <v>-2.74</v>
      </c>
      <c r="P433" s="82" t="inlineStr">
        <is>
          <t>Lower Risk</t>
        </is>
      </c>
      <c r="Q433" s="82" t="n">
        <v>-0.89</v>
      </c>
      <c r="R433" s="82" t="n">
        <v>1.4977</v>
      </c>
      <c r="S433" s="82" t="n">
        <v>1.4</v>
      </c>
      <c r="T433" s="82" t="n">
        <v>0.3273</v>
      </c>
      <c r="U433" s="82" t="n">
        <v>0.1417</v>
      </c>
      <c r="V433" s="82" t="n">
        <v>0.3066</v>
      </c>
      <c r="W433" s="82" t="n">
        <v>103.72</v>
      </c>
      <c r="X433" s="82" t="n">
        <v>47.68</v>
      </c>
      <c r="Y433" s="82" t="n">
        <v>0</v>
      </c>
      <c r="Z433" s="82" t="inlineStr">
        <is>
          <t>CLEAR</t>
        </is>
      </c>
    </row>
    <row r="434" ht="17" customHeight="1">
      <c r="A434" s="86" t="n">
        <v>432</v>
      </c>
      <c r="B434" s="86" t="inlineStr">
        <is>
          <t>RPM</t>
        </is>
      </c>
      <c r="C434" s="86" t="inlineStr">
        <is>
          <t>RPM International Inc.</t>
        </is>
      </c>
      <c r="D434" s="86" t="n">
        <v>1.66</v>
      </c>
      <c r="E434" s="208" t="inlineStr">
        <is>
          <t>Grey</t>
        </is>
      </c>
      <c r="F434" s="86" t="n">
        <v>3.85</v>
      </c>
      <c r="G434" s="86" t="inlineStr">
        <is>
          <t>Safe</t>
        </is>
      </c>
      <c r="H434" s="86" t="n">
        <v>1.17</v>
      </c>
      <c r="I434" s="86" t="inlineStr">
        <is>
          <t>Healthy</t>
        </is>
      </c>
      <c r="J434" s="86" t="n">
        <v>0.95</v>
      </c>
      <c r="K434" s="86" t="n">
        <v>0.72</v>
      </c>
      <c r="L434" s="86" t="inlineStr">
        <is>
          <t>Distress</t>
        </is>
      </c>
      <c r="M434" s="86" t="n">
        <v>6</v>
      </c>
      <c r="N434" s="86" t="inlineStr">
        <is>
          <t>Mixed</t>
        </is>
      </c>
      <c r="O434" s="207" t="n">
        <v>0.42</v>
      </c>
      <c r="P434" s="86" t="inlineStr">
        <is>
          <t>Higher Risk</t>
        </is>
      </c>
      <c r="Q434" s="86" t="n">
        <v>1.11</v>
      </c>
      <c r="R434" s="86" t="n">
        <v>0.2387</v>
      </c>
      <c r="S434" s="86" t="n">
        <v>1.12</v>
      </c>
      <c r="T434" s="86" t="n">
        <v>0.1011</v>
      </c>
      <c r="U434" s="86" t="n">
        <v>2.4153</v>
      </c>
      <c r="V434" s="86" t="n">
        <v>0.149</v>
      </c>
      <c r="W434" s="86" t="n">
        <v>8.210000000000001</v>
      </c>
      <c r="X434" s="86" t="n">
        <v>47.65</v>
      </c>
      <c r="Y434" s="86" t="n">
        <v>20</v>
      </c>
      <c r="Z434" s="86" t="inlineStr">
        <is>
          <t>CLEAR</t>
        </is>
      </c>
    </row>
    <row r="435" ht="17" customHeight="1">
      <c r="A435" s="82" t="n">
        <v>433</v>
      </c>
      <c r="B435" s="82" t="inlineStr">
        <is>
          <t>PNC</t>
        </is>
      </c>
      <c r="C435" s="82" t="inlineStr">
        <is>
          <t>PNC FINANCIAL SERVICES GROUP, INC.</t>
        </is>
      </c>
      <c r="D435" s="91" t="inlineStr">
        <is>
          <t>N/A</t>
        </is>
      </c>
      <c r="E435" s="91" t="inlineStr">
        <is>
          <t>N/A</t>
        </is>
      </c>
      <c r="F435" s="91" t="inlineStr">
        <is>
          <t>N/A</t>
        </is>
      </c>
      <c r="G435" s="91" t="inlineStr">
        <is>
          <t>N/A</t>
        </is>
      </c>
      <c r="H435" s="91" t="inlineStr">
        <is>
          <t>N/A</t>
        </is>
      </c>
      <c r="I435" s="91" t="inlineStr">
        <is>
          <t>N/A</t>
        </is>
      </c>
      <c r="J435" s="91" t="inlineStr">
        <is>
          <t>N/A</t>
        </is>
      </c>
      <c r="K435" s="91" t="inlineStr">
        <is>
          <t>N/A</t>
        </is>
      </c>
      <c r="L435" s="91" t="inlineStr">
        <is>
          <t>N/A</t>
        </is>
      </c>
      <c r="M435" s="82" t="n">
        <v>6</v>
      </c>
      <c r="N435" s="82" t="inlineStr">
        <is>
          <t>Mixed</t>
        </is>
      </c>
      <c r="O435" s="91" t="inlineStr">
        <is>
          <t>N/A</t>
        </is>
      </c>
      <c r="P435" s="82" t="inlineStr">
        <is>
          <t>Insufficient Data</t>
        </is>
      </c>
      <c r="Q435" s="82" t="n">
        <v>6.44</v>
      </c>
      <c r="R435" s="82" t="n">
        <v>0.1155</v>
      </c>
      <c r="S435" s="82" t="n">
        <v>0.63</v>
      </c>
      <c r="T435" s="91" t="inlineStr">
        <is>
          <t>N/A</t>
        </is>
      </c>
      <c r="U435" s="82" t="n">
        <v>0.0716</v>
      </c>
      <c r="V435" s="82" t="n">
        <v>0.3674</v>
      </c>
      <c r="W435" s="82" t="n">
        <v>0.82</v>
      </c>
      <c r="X435" s="82" t="n">
        <v>47.64</v>
      </c>
      <c r="Y435" s="82" t="n">
        <v>0</v>
      </c>
      <c r="Z435" s="82" t="inlineStr">
        <is>
          <t>CLEAR</t>
        </is>
      </c>
    </row>
    <row r="436" ht="17" customHeight="1">
      <c r="A436" s="86" t="n">
        <v>434</v>
      </c>
      <c r="B436" s="86" t="inlineStr">
        <is>
          <t>PI</t>
        </is>
      </c>
      <c r="C436" s="86" t="inlineStr">
        <is>
          <t>Impinj, Inc.</t>
        </is>
      </c>
      <c r="D436" s="86" t="n">
        <v>0.14</v>
      </c>
      <c r="E436" s="207" t="inlineStr">
        <is>
          <t>Distress</t>
        </is>
      </c>
      <c r="F436" s="86" t="n">
        <v>0.8100000000000001</v>
      </c>
      <c r="G436" s="86" t="inlineStr">
        <is>
          <t>Distress</t>
        </is>
      </c>
      <c r="H436" s="86" t="n">
        <v>0.43</v>
      </c>
      <c r="I436" s="86" t="inlineStr">
        <is>
          <t>Distress</t>
        </is>
      </c>
      <c r="J436" s="86" t="n">
        <v>-0.74</v>
      </c>
      <c r="K436" s="86" t="n">
        <v>0.32</v>
      </c>
      <c r="L436" s="86" t="inlineStr">
        <is>
          <t>Healthy</t>
        </is>
      </c>
      <c r="M436" s="86" t="n">
        <v>6</v>
      </c>
      <c r="N436" s="86" t="inlineStr">
        <is>
          <t>Mixed</t>
        </is>
      </c>
      <c r="O436" s="207" t="n">
        <v>-2.68</v>
      </c>
      <c r="P436" s="86" t="inlineStr">
        <is>
          <t>Lower Risk</t>
        </is>
      </c>
      <c r="Q436" s="86" t="n">
        <v>72.42</v>
      </c>
      <c r="R436" s="86" t="n">
        <v>-0.0518</v>
      </c>
      <c r="S436" s="86" t="n">
        <v>-5.42</v>
      </c>
      <c r="T436" s="86" t="n">
        <v>0.3742</v>
      </c>
      <c r="U436" s="86" t="n">
        <v>-0.0213</v>
      </c>
      <c r="V436" s="86" t="n">
        <v>-0.006</v>
      </c>
      <c r="W436" s="86" t="n">
        <v>-0.17</v>
      </c>
      <c r="X436" s="86" t="n">
        <v>47.63</v>
      </c>
      <c r="Y436" s="86" t="n">
        <v>40</v>
      </c>
      <c r="Z436" s="86" t="inlineStr">
        <is>
          <t>WATCH</t>
        </is>
      </c>
    </row>
    <row r="437" ht="17" customHeight="1">
      <c r="A437" s="82" t="n">
        <v>435</v>
      </c>
      <c r="B437" s="82" t="inlineStr">
        <is>
          <t>CSGP</t>
        </is>
      </c>
      <c r="C437" s="82" t="inlineStr">
        <is>
          <t>COSTAR GROUP, INC.</t>
        </is>
      </c>
      <c r="D437" s="82" t="n">
        <v>1.97</v>
      </c>
      <c r="E437" s="208" t="inlineStr">
        <is>
          <t>Grey</t>
        </is>
      </c>
      <c r="F437" s="82" t="n">
        <v>5.57</v>
      </c>
      <c r="G437" s="82" t="inlineStr">
        <is>
          <t>Safe</t>
        </is>
      </c>
      <c r="H437" s="82" t="n">
        <v>0.18</v>
      </c>
      <c r="I437" s="82" t="inlineStr">
        <is>
          <t>Distress</t>
        </is>
      </c>
      <c r="J437" s="82" t="n">
        <v>-3.16</v>
      </c>
      <c r="K437" s="82" t="n">
        <v>0.04</v>
      </c>
      <c r="L437" s="82" t="inlineStr">
        <is>
          <t>Healthy</t>
        </is>
      </c>
      <c r="M437" s="82" t="n">
        <v>5</v>
      </c>
      <c r="N437" s="82" t="inlineStr">
        <is>
          <t>Mixed</t>
        </is>
      </c>
      <c r="O437" s="207" t="n">
        <v>0.71</v>
      </c>
      <c r="P437" s="82" t="inlineStr">
        <is>
          <t>Higher Risk</t>
        </is>
      </c>
      <c r="Q437" s="82" t="n">
        <v>-7.82</v>
      </c>
      <c r="R437" s="82" t="n">
        <v>0.0008</v>
      </c>
      <c r="S437" s="82" t="n">
        <v>61.43</v>
      </c>
      <c r="T437" s="82" t="n">
        <v>0.1274</v>
      </c>
      <c r="U437" s="82" t="n">
        <v>2.8003</v>
      </c>
      <c r="V437" s="82" t="n">
        <v>-0.0746</v>
      </c>
      <c r="W437" s="82" t="n">
        <v>-27.53</v>
      </c>
      <c r="X437" s="82" t="n">
        <v>47.6</v>
      </c>
      <c r="Y437" s="82" t="n">
        <v>20</v>
      </c>
      <c r="Z437" s="82" t="inlineStr">
        <is>
          <t>CLEAR</t>
        </is>
      </c>
    </row>
    <row r="438" ht="17" customHeight="1">
      <c r="A438" s="86" t="n">
        <v>436</v>
      </c>
      <c r="B438" s="86" t="inlineStr">
        <is>
          <t>ROK</t>
        </is>
      </c>
      <c r="C438" s="86" t="inlineStr">
        <is>
          <t>Rockwell Automation, Inc.</t>
        </is>
      </c>
      <c r="D438" s="86" t="n">
        <v>1.64</v>
      </c>
      <c r="E438" s="208" t="inlineStr">
        <is>
          <t>Grey</t>
        </is>
      </c>
      <c r="F438" s="86" t="n">
        <v>3.21</v>
      </c>
      <c r="G438" s="86" t="inlineStr">
        <is>
          <t>Safe</t>
        </is>
      </c>
      <c r="H438" s="86" t="n">
        <v>0.92</v>
      </c>
      <c r="I438" s="86" t="inlineStr">
        <is>
          <t>Healthy</t>
        </is>
      </c>
      <c r="J438" s="86" t="n">
        <v>1</v>
      </c>
      <c r="K438" s="86" t="n">
        <v>0.73</v>
      </c>
      <c r="L438" s="86" t="inlineStr">
        <is>
          <t>Distress</t>
        </is>
      </c>
      <c r="M438" s="86" t="n">
        <v>6</v>
      </c>
      <c r="N438" s="86" t="inlineStr">
        <is>
          <t>Mixed</t>
        </is>
      </c>
      <c r="O438" s="207" t="n">
        <v>0.22</v>
      </c>
      <c r="P438" s="86" t="inlineStr">
        <is>
          <t>Higher Risk</t>
        </is>
      </c>
      <c r="Q438" s="86" t="n">
        <v>0.74</v>
      </c>
      <c r="R438" s="86" t="n">
        <v>0.2378</v>
      </c>
      <c r="S438" s="86" t="n">
        <v>1.78</v>
      </c>
      <c r="T438" s="86" t="n">
        <v>0.2075</v>
      </c>
      <c r="U438" s="86" t="n">
        <v>2.8543</v>
      </c>
      <c r="V438" s="86" t="n">
        <v>0.2555</v>
      </c>
      <c r="W438" s="86" t="n">
        <v>12.59</v>
      </c>
      <c r="X438" s="86" t="n">
        <v>47.58</v>
      </c>
      <c r="Y438" s="86" t="n">
        <v>20</v>
      </c>
      <c r="Z438" s="86" t="inlineStr">
        <is>
          <t>CLEAR</t>
        </is>
      </c>
    </row>
    <row r="439" ht="17" customHeight="1">
      <c r="A439" s="82" t="n">
        <v>437</v>
      </c>
      <c r="B439" s="82" t="inlineStr">
        <is>
          <t>HST</t>
        </is>
      </c>
      <c r="C439" s="82" t="inlineStr">
        <is>
          <t>HOST HOTELS &amp; RESORTS, INC.</t>
        </is>
      </c>
      <c r="D439" s="91" t="inlineStr">
        <is>
          <t>N/A</t>
        </is>
      </c>
      <c r="E439" s="91" t="inlineStr">
        <is>
          <t>N/A</t>
        </is>
      </c>
      <c r="F439" s="91" t="inlineStr">
        <is>
          <t>N/A</t>
        </is>
      </c>
      <c r="G439" s="91" t="inlineStr">
        <is>
          <t>N/A</t>
        </is>
      </c>
      <c r="H439" s="91" t="inlineStr">
        <is>
          <t>N/A</t>
        </is>
      </c>
      <c r="I439" s="91" t="inlineStr">
        <is>
          <t>N/A</t>
        </is>
      </c>
      <c r="J439" s="91" t="inlineStr">
        <is>
          <t>N/A</t>
        </is>
      </c>
      <c r="K439" s="91" t="inlineStr">
        <is>
          <t>N/A</t>
        </is>
      </c>
      <c r="L439" s="91" t="inlineStr">
        <is>
          <t>N/A</t>
        </is>
      </c>
      <c r="M439" s="82" t="n">
        <v>5</v>
      </c>
      <c r="N439" s="82" t="inlineStr">
        <is>
          <t>Mixed</t>
        </is>
      </c>
      <c r="O439" s="91" t="inlineStr">
        <is>
          <t>N/A</t>
        </is>
      </c>
      <c r="P439" s="82" t="inlineStr">
        <is>
          <t>Insufficient Data</t>
        </is>
      </c>
      <c r="Q439" s="82" t="n">
        <v>0.31</v>
      </c>
      <c r="R439" s="82" t="n">
        <v>0.1167</v>
      </c>
      <c r="S439" s="82" t="n">
        <v>1.97</v>
      </c>
      <c r="T439" s="82" t="n">
        <v>0.2803</v>
      </c>
      <c r="U439" s="82" t="n">
        <v>-0.007900000000000001</v>
      </c>
      <c r="V439" s="82" t="n">
        <v>0.1587</v>
      </c>
      <c r="W439" s="82" t="n">
        <v>4.48</v>
      </c>
      <c r="X439" s="82" t="n">
        <v>47.57</v>
      </c>
      <c r="Y439" s="82" t="n">
        <v>0</v>
      </c>
      <c r="Z439" s="82" t="inlineStr">
        <is>
          <t>CLEAR</t>
        </is>
      </c>
    </row>
    <row r="440" ht="17" customHeight="1">
      <c r="A440" s="86" t="n">
        <v>438</v>
      </c>
      <c r="B440" s="86" t="inlineStr">
        <is>
          <t>MDLZ</t>
        </is>
      </c>
      <c r="C440" s="86" t="inlineStr">
        <is>
          <t>Mondelez International, Inc.</t>
        </is>
      </c>
      <c r="D440" s="86" t="n">
        <v>1.27</v>
      </c>
      <c r="E440" s="208" t="inlineStr">
        <is>
          <t>Grey</t>
        </is>
      </c>
      <c r="F440" s="86" t="n">
        <v>1.77</v>
      </c>
      <c r="G440" s="86" t="inlineStr">
        <is>
          <t>Grey</t>
        </is>
      </c>
      <c r="H440" s="86" t="n">
        <v>0.26</v>
      </c>
      <c r="I440" s="86" t="inlineStr">
        <is>
          <t>Distress</t>
        </is>
      </c>
      <c r="J440" s="86" t="n">
        <v>-0.87</v>
      </c>
      <c r="K440" s="86" t="n">
        <v>0.3</v>
      </c>
      <c r="L440" s="86" t="inlineStr">
        <is>
          <t>Healthy</t>
        </is>
      </c>
      <c r="M440" s="86" t="n">
        <v>5</v>
      </c>
      <c r="N440" s="86" t="inlineStr">
        <is>
          <t>Mixed</t>
        </is>
      </c>
      <c r="O440" s="207" t="n">
        <v>-2.39</v>
      </c>
      <c r="P440" s="86" t="inlineStr">
        <is>
          <t>Lower Risk</t>
        </is>
      </c>
      <c r="Q440" s="86" t="n">
        <v>2.32</v>
      </c>
      <c r="R440" s="86" t="n">
        <v>0.0949</v>
      </c>
      <c r="S440" s="86" t="n">
        <v>1.84</v>
      </c>
      <c r="T440" s="86" t="n">
        <v>0.0839</v>
      </c>
      <c r="U440" s="86" t="n">
        <v>0.0575</v>
      </c>
      <c r="V440" s="86" t="n">
        <v>0.0921</v>
      </c>
      <c r="W440" s="86" t="n">
        <v>5.92</v>
      </c>
      <c r="X440" s="86" t="n">
        <v>47.57</v>
      </c>
      <c r="Y440" s="86" t="n">
        <v>0</v>
      </c>
      <c r="Z440" s="86" t="inlineStr">
        <is>
          <t>CLEAR</t>
        </is>
      </c>
    </row>
    <row r="441" ht="17" customHeight="1">
      <c r="A441" s="82" t="n">
        <v>439</v>
      </c>
      <c r="B441" s="82" t="inlineStr">
        <is>
          <t>EWBC</t>
        </is>
      </c>
      <c r="C441" s="82" t="inlineStr">
        <is>
          <t>EAST WEST BANCORP INC</t>
        </is>
      </c>
      <c r="D441" s="91" t="inlineStr">
        <is>
          <t>N/A</t>
        </is>
      </c>
      <c r="E441" s="91" t="inlineStr">
        <is>
          <t>N/A</t>
        </is>
      </c>
      <c r="F441" s="91" t="inlineStr">
        <is>
          <t>N/A</t>
        </is>
      </c>
      <c r="G441" s="91" t="inlineStr">
        <is>
          <t>N/A</t>
        </is>
      </c>
      <c r="H441" s="91" t="inlineStr">
        <is>
          <t>N/A</t>
        </is>
      </c>
      <c r="I441" s="91" t="inlineStr">
        <is>
          <t>N/A</t>
        </is>
      </c>
      <c r="J441" s="91" t="inlineStr">
        <is>
          <t>N/A</t>
        </is>
      </c>
      <c r="K441" s="91" t="inlineStr">
        <is>
          <t>N/A</t>
        </is>
      </c>
      <c r="L441" s="91" t="inlineStr">
        <is>
          <t>N/A</t>
        </is>
      </c>
      <c r="M441" s="82" t="n">
        <v>6</v>
      </c>
      <c r="N441" s="82" t="inlineStr">
        <is>
          <t>Mixed</t>
        </is>
      </c>
      <c r="O441" s="91" t="inlineStr">
        <is>
          <t>N/A</t>
        </is>
      </c>
      <c r="P441" s="82" t="inlineStr">
        <is>
          <t>Insufficient Data</t>
        </is>
      </c>
      <c r="Q441" s="82" t="n">
        <v>-2.08</v>
      </c>
      <c r="R441" s="82" t="n">
        <v>0.1489</v>
      </c>
      <c r="S441" s="82" t="n">
        <v>1.13</v>
      </c>
      <c r="T441" s="82" t="n">
        <v>27.0389</v>
      </c>
      <c r="U441" s="82" t="n">
        <v>0.0312</v>
      </c>
      <c r="V441" s="82" t="n">
        <v>31.1928</v>
      </c>
      <c r="W441" s="82" t="n">
        <v>1.25</v>
      </c>
      <c r="X441" s="82" t="n">
        <v>47.56</v>
      </c>
      <c r="Y441" s="82" t="n">
        <v>0</v>
      </c>
      <c r="Z441" s="82" t="inlineStr">
        <is>
          <t>CLEAR</t>
        </is>
      </c>
    </row>
    <row r="442" ht="17" customHeight="1">
      <c r="A442" s="86" t="n">
        <v>440</v>
      </c>
      <c r="B442" s="86" t="inlineStr">
        <is>
          <t>FFIN</t>
        </is>
      </c>
      <c r="C442" s="86" t="inlineStr">
        <is>
          <t>First Financial Bankshares, Inc.</t>
        </is>
      </c>
      <c r="D442" s="90" t="inlineStr">
        <is>
          <t>N/A</t>
        </is>
      </c>
      <c r="E442" s="90" t="inlineStr">
        <is>
          <t>N/A</t>
        </is>
      </c>
      <c r="F442" s="90" t="inlineStr">
        <is>
          <t>N/A</t>
        </is>
      </c>
      <c r="G442" s="90" t="inlineStr">
        <is>
          <t>N/A</t>
        </is>
      </c>
      <c r="H442" s="90" t="inlineStr">
        <is>
          <t>N/A</t>
        </is>
      </c>
      <c r="I442" s="90" t="inlineStr">
        <is>
          <t>N/A</t>
        </is>
      </c>
      <c r="J442" s="90" t="inlineStr">
        <is>
          <t>N/A</t>
        </is>
      </c>
      <c r="K442" s="90" t="inlineStr">
        <is>
          <t>N/A</t>
        </is>
      </c>
      <c r="L442" s="90" t="inlineStr">
        <is>
          <t>N/A</t>
        </is>
      </c>
      <c r="M442" s="86" t="n">
        <v>6</v>
      </c>
      <c r="N442" s="86" t="inlineStr">
        <is>
          <t>Mixed</t>
        </is>
      </c>
      <c r="O442" s="90" t="inlineStr">
        <is>
          <t>N/A</t>
        </is>
      </c>
      <c r="P442" s="86" t="inlineStr">
        <is>
          <t>Insufficient Data</t>
        </is>
      </c>
      <c r="Q442" s="86" t="n">
        <v>0</v>
      </c>
      <c r="R442" s="86" t="n">
        <v>0.1323</v>
      </c>
      <c r="S442" s="86" t="n">
        <v>1.18</v>
      </c>
      <c r="T442" s="90" t="inlineStr">
        <is>
          <t>N/A</t>
        </is>
      </c>
      <c r="U442" s="90" t="inlineStr">
        <is>
          <t>N/A</t>
        </is>
      </c>
      <c r="V442" s="90" t="inlineStr">
        <is>
          <t>N/A</t>
        </is>
      </c>
      <c r="W442" s="86" t="n">
        <v>2.15</v>
      </c>
      <c r="X442" s="86" t="n">
        <v>47.54</v>
      </c>
      <c r="Y442" s="86" t="n">
        <v>0</v>
      </c>
      <c r="Z442" s="86" t="inlineStr">
        <is>
          <t>CLEAR</t>
        </is>
      </c>
    </row>
    <row r="443" ht="17" customHeight="1">
      <c r="A443" s="82" t="n">
        <v>441</v>
      </c>
      <c r="B443" s="82" t="inlineStr">
        <is>
          <t>CFR</t>
        </is>
      </c>
      <c r="C443" s="82" t="inlineStr">
        <is>
          <t>Cullen/Frost Bankers, Inc.</t>
        </is>
      </c>
      <c r="D443" s="91" t="inlineStr">
        <is>
          <t>N/A</t>
        </is>
      </c>
      <c r="E443" s="91" t="inlineStr">
        <is>
          <t>N/A</t>
        </is>
      </c>
      <c r="F443" s="91" t="inlineStr">
        <is>
          <t>N/A</t>
        </is>
      </c>
      <c r="G443" s="91" t="inlineStr">
        <is>
          <t>N/A</t>
        </is>
      </c>
      <c r="H443" s="91" t="inlineStr">
        <is>
          <t>N/A</t>
        </is>
      </c>
      <c r="I443" s="91" t="inlineStr">
        <is>
          <t>N/A</t>
        </is>
      </c>
      <c r="J443" s="91" t="inlineStr">
        <is>
          <t>N/A</t>
        </is>
      </c>
      <c r="K443" s="91" t="inlineStr">
        <is>
          <t>N/A</t>
        </is>
      </c>
      <c r="L443" s="91" t="inlineStr">
        <is>
          <t>N/A</t>
        </is>
      </c>
      <c r="M443" s="82" t="n">
        <v>6</v>
      </c>
      <c r="N443" s="82" t="inlineStr">
        <is>
          <t>Mixed</t>
        </is>
      </c>
      <c r="O443" s="91" t="inlineStr">
        <is>
          <t>N/A</t>
        </is>
      </c>
      <c r="P443" s="82" t="inlineStr">
        <is>
          <t>Insufficient Data</t>
        </is>
      </c>
      <c r="Q443" s="82" t="n">
        <v>-5.3</v>
      </c>
      <c r="R443" s="82" t="n">
        <v>0.1418</v>
      </c>
      <c r="S443" s="82" t="n">
        <v>0.42</v>
      </c>
      <c r="T443" s="82" t="n">
        <v>0.057</v>
      </c>
      <c r="U443" s="82" t="n">
        <v>0.08309999999999999</v>
      </c>
      <c r="V443" s="82" t="n">
        <v>0.3452</v>
      </c>
      <c r="W443" s="82" t="n">
        <v>1.17</v>
      </c>
      <c r="X443" s="82" t="n">
        <v>47.52</v>
      </c>
      <c r="Y443" s="82" t="n">
        <v>20</v>
      </c>
      <c r="Z443" s="82" t="inlineStr">
        <is>
          <t>CLEAR</t>
        </is>
      </c>
    </row>
    <row r="444" ht="17" customHeight="1">
      <c r="A444" s="86" t="n">
        <v>442</v>
      </c>
      <c r="B444" s="86" t="inlineStr">
        <is>
          <t>BOKF</t>
        </is>
      </c>
      <c r="C444" s="86" t="inlineStr">
        <is>
          <t>BOK FINANCIAL CORP</t>
        </is>
      </c>
      <c r="D444" s="90" t="inlineStr">
        <is>
          <t>N/A</t>
        </is>
      </c>
      <c r="E444" s="90" t="inlineStr">
        <is>
          <t>N/A</t>
        </is>
      </c>
      <c r="F444" s="90" t="inlineStr">
        <is>
          <t>N/A</t>
        </is>
      </c>
      <c r="G444" s="90" t="inlineStr">
        <is>
          <t>N/A</t>
        </is>
      </c>
      <c r="H444" s="90" t="inlineStr">
        <is>
          <t>N/A</t>
        </is>
      </c>
      <c r="I444" s="90" t="inlineStr">
        <is>
          <t>N/A</t>
        </is>
      </c>
      <c r="J444" s="90" t="inlineStr">
        <is>
          <t>N/A</t>
        </is>
      </c>
      <c r="K444" s="90" t="inlineStr">
        <is>
          <t>N/A</t>
        </is>
      </c>
      <c r="L444" s="90" t="inlineStr">
        <is>
          <t>N/A</t>
        </is>
      </c>
      <c r="M444" s="86" t="n">
        <v>6</v>
      </c>
      <c r="N444" s="86" t="inlineStr">
        <is>
          <t>Mixed</t>
        </is>
      </c>
      <c r="O444" s="90" t="inlineStr">
        <is>
          <t>N/A</t>
        </is>
      </c>
      <c r="P444" s="86" t="inlineStr">
        <is>
          <t>Insufficient Data</t>
        </is>
      </c>
      <c r="Q444" s="86" t="n">
        <v>2.2</v>
      </c>
      <c r="R444" s="86" t="n">
        <v>0.0977</v>
      </c>
      <c r="S444" s="86" t="n">
        <v>1.28</v>
      </c>
      <c r="T444" s="90" t="inlineStr">
        <is>
          <t>N/A</t>
        </is>
      </c>
      <c r="U444" s="90" t="inlineStr">
        <is>
          <t>N/A</t>
        </is>
      </c>
      <c r="V444" s="90" t="inlineStr">
        <is>
          <t>N/A</t>
        </is>
      </c>
      <c r="W444" s="86" t="n">
        <v>0.6899999999999999</v>
      </c>
      <c r="X444" s="86" t="n">
        <v>47.52</v>
      </c>
      <c r="Y444" s="86" t="n">
        <v>0</v>
      </c>
      <c r="Z444" s="86" t="inlineStr">
        <is>
          <t>CLEAR</t>
        </is>
      </c>
    </row>
    <row r="445" ht="17" customHeight="1">
      <c r="A445" s="82" t="n">
        <v>443</v>
      </c>
      <c r="B445" s="82" t="inlineStr">
        <is>
          <t>FITB</t>
        </is>
      </c>
      <c r="C445" s="82" t="inlineStr">
        <is>
          <t>Fifth Third Bancorp</t>
        </is>
      </c>
      <c r="D445" s="91" t="inlineStr">
        <is>
          <t>N/A</t>
        </is>
      </c>
      <c r="E445" s="91" t="inlineStr">
        <is>
          <t>N/A</t>
        </is>
      </c>
      <c r="F445" s="91" t="inlineStr">
        <is>
          <t>N/A</t>
        </is>
      </c>
      <c r="G445" s="91" t="inlineStr">
        <is>
          <t>N/A</t>
        </is>
      </c>
      <c r="H445" s="91" t="inlineStr">
        <is>
          <t>N/A</t>
        </is>
      </c>
      <c r="I445" s="91" t="inlineStr">
        <is>
          <t>N/A</t>
        </is>
      </c>
      <c r="J445" s="91" t="inlineStr">
        <is>
          <t>N/A</t>
        </is>
      </c>
      <c r="K445" s="91" t="inlineStr">
        <is>
          <t>N/A</t>
        </is>
      </c>
      <c r="L445" s="91" t="inlineStr">
        <is>
          <t>N/A</t>
        </is>
      </c>
      <c r="M445" s="82" t="n">
        <v>6</v>
      </c>
      <c r="N445" s="82" t="inlineStr">
        <is>
          <t>Mixed</t>
        </is>
      </c>
      <c r="O445" s="91" t="inlineStr">
        <is>
          <t>N/A</t>
        </is>
      </c>
      <c r="P445" s="82" t="inlineStr">
        <is>
          <t>Insufficient Data</t>
        </is>
      </c>
      <c r="Q445" s="82" t="n">
        <v>4.15</v>
      </c>
      <c r="R445" s="82" t="n">
        <v>0.1161</v>
      </c>
      <c r="S445" s="82" t="n">
        <v>1.79</v>
      </c>
      <c r="T445" s="82" t="n">
        <v>6.8111</v>
      </c>
      <c r="U445" s="82" t="n">
        <v>-0.0204</v>
      </c>
      <c r="V445" s="82" t="n">
        <v>5.565</v>
      </c>
      <c r="W445" s="82" t="n">
        <v>0.82</v>
      </c>
      <c r="X445" s="82" t="n">
        <v>47.52</v>
      </c>
      <c r="Y445" s="82" t="n">
        <v>0</v>
      </c>
      <c r="Z445" s="82" t="inlineStr">
        <is>
          <t>CLEAR</t>
        </is>
      </c>
    </row>
    <row r="446" ht="17" customHeight="1">
      <c r="A446" s="86" t="n">
        <v>444</v>
      </c>
      <c r="B446" s="86" t="inlineStr">
        <is>
          <t>WBS</t>
        </is>
      </c>
      <c r="C446" s="86" t="inlineStr">
        <is>
          <t>WEBSTER FINANCIAL CORPORATION</t>
        </is>
      </c>
      <c r="D446" s="90" t="inlineStr">
        <is>
          <t>N/A</t>
        </is>
      </c>
      <c r="E446" s="90" t="inlineStr">
        <is>
          <t>N/A</t>
        </is>
      </c>
      <c r="F446" s="90" t="inlineStr">
        <is>
          <t>N/A</t>
        </is>
      </c>
      <c r="G446" s="90" t="inlineStr">
        <is>
          <t>N/A</t>
        </is>
      </c>
      <c r="H446" s="90" t="inlineStr">
        <is>
          <t>N/A</t>
        </is>
      </c>
      <c r="I446" s="90" t="inlineStr">
        <is>
          <t>N/A</t>
        </is>
      </c>
      <c r="J446" s="90" t="inlineStr">
        <is>
          <t>N/A</t>
        </is>
      </c>
      <c r="K446" s="90" t="inlineStr">
        <is>
          <t>N/A</t>
        </is>
      </c>
      <c r="L446" s="90" t="inlineStr">
        <is>
          <t>N/A</t>
        </is>
      </c>
      <c r="M446" s="86" t="n">
        <v>6</v>
      </c>
      <c r="N446" s="86" t="inlineStr">
        <is>
          <t>Mixed</t>
        </is>
      </c>
      <c r="O446" s="90" t="inlineStr">
        <is>
          <t>N/A</t>
        </is>
      </c>
      <c r="P446" s="86" t="inlineStr">
        <is>
          <t>Insufficient Data</t>
        </is>
      </c>
      <c r="Q446" s="86" t="n">
        <v>0.49</v>
      </c>
      <c r="R446" s="86" t="n">
        <v>0.1056</v>
      </c>
      <c r="S446" s="86" t="n">
        <v>1.06</v>
      </c>
      <c r="T446" s="86" t="n">
        <v>0.3479</v>
      </c>
      <c r="U446" s="86" t="n">
        <v>0.1193</v>
      </c>
      <c r="V446" s="86" t="n">
        <v>0.5071</v>
      </c>
      <c r="W446" s="86" t="n">
        <v>0.96</v>
      </c>
      <c r="X446" s="86" t="n">
        <v>47.49</v>
      </c>
      <c r="Y446" s="86" t="n">
        <v>0</v>
      </c>
      <c r="Z446" s="86" t="inlineStr">
        <is>
          <t>CLEAR</t>
        </is>
      </c>
    </row>
    <row r="447" ht="17" customHeight="1">
      <c r="A447" s="82" t="n">
        <v>445</v>
      </c>
      <c r="B447" s="82" t="inlineStr">
        <is>
          <t>AAP</t>
        </is>
      </c>
      <c r="C447" s="82" t="inlineStr">
        <is>
          <t>ADVANCE AUTO PARTS, INC.</t>
        </is>
      </c>
      <c r="D447" s="82" t="n">
        <v>1.3</v>
      </c>
      <c r="E447" s="208" t="inlineStr">
        <is>
          <t>Grey</t>
        </is>
      </c>
      <c r="F447" s="82" t="n">
        <v>3.09</v>
      </c>
      <c r="G447" s="82" t="inlineStr">
        <is>
          <t>Safe</t>
        </is>
      </c>
      <c r="H447" s="82" t="n">
        <v>0.54</v>
      </c>
      <c r="I447" s="82" t="inlineStr">
        <is>
          <t>Distress</t>
        </is>
      </c>
      <c r="J447" s="82" t="n">
        <v>0.28</v>
      </c>
      <c r="K447" s="82" t="n">
        <v>0.57</v>
      </c>
      <c r="L447" s="82" t="inlineStr">
        <is>
          <t>Distress</t>
        </is>
      </c>
      <c r="M447" s="82" t="n">
        <v>5</v>
      </c>
      <c r="N447" s="82" t="inlineStr">
        <is>
          <t>Mixed</t>
        </is>
      </c>
      <c r="O447" s="207" t="n">
        <v>-2.97</v>
      </c>
      <c r="P447" s="82" t="inlineStr">
        <is>
          <t>Lower Risk</t>
        </is>
      </c>
      <c r="Q447" s="82" t="n">
        <v>1.26</v>
      </c>
      <c r="R447" s="82" t="n">
        <v>0.02</v>
      </c>
      <c r="S447" s="82" t="n">
        <v>-1.05</v>
      </c>
      <c r="T447" s="82" t="n">
        <v>-0.0346</v>
      </c>
      <c r="U447" s="82" t="n">
        <v>-0.0542</v>
      </c>
      <c r="V447" s="82" t="n">
        <v>-0.005</v>
      </c>
      <c r="W447" s="82" t="n">
        <v>-0.66</v>
      </c>
      <c r="X447" s="82" t="n">
        <v>47.48</v>
      </c>
      <c r="Y447" s="82" t="n">
        <v>20</v>
      </c>
      <c r="Z447" s="82" t="inlineStr">
        <is>
          <t>CLEAR</t>
        </is>
      </c>
    </row>
    <row r="448" ht="17" customHeight="1">
      <c r="A448" s="86" t="n">
        <v>446</v>
      </c>
      <c r="B448" s="86" t="inlineStr">
        <is>
          <t>CMS</t>
        </is>
      </c>
      <c r="C448" s="86" t="inlineStr">
        <is>
          <t>CMS ENERGY CORP</t>
        </is>
      </c>
      <c r="D448" s="86" t="n">
        <v>0.49</v>
      </c>
      <c r="E448" s="207" t="inlineStr">
        <is>
          <t>Distress</t>
        </is>
      </c>
      <c r="F448" s="86" t="n">
        <v>0.72</v>
      </c>
      <c r="G448" s="86" t="inlineStr">
        <is>
          <t>Distress</t>
        </is>
      </c>
      <c r="H448" s="86" t="n">
        <v>0.45</v>
      </c>
      <c r="I448" s="86" t="inlineStr">
        <is>
          <t>Distress</t>
        </is>
      </c>
      <c r="J448" s="86" t="n">
        <v>1.23</v>
      </c>
      <c r="K448" s="86" t="n">
        <v>0.77</v>
      </c>
      <c r="L448" s="86" t="inlineStr">
        <is>
          <t>Distress</t>
        </is>
      </c>
      <c r="M448" s="86" t="n">
        <v>7</v>
      </c>
      <c r="N448" s="86" t="inlineStr">
        <is>
          <t>Strong</t>
        </is>
      </c>
      <c r="O448" s="207" t="n">
        <v>-2.06</v>
      </c>
      <c r="P448" s="86" t="inlineStr">
        <is>
          <t>Higher Risk</t>
        </is>
      </c>
      <c r="Q448" s="86" t="n">
        <v>2.35</v>
      </c>
      <c r="R448" s="86" t="n">
        <v>0.1171</v>
      </c>
      <c r="S448" s="86" t="n">
        <v>2.09</v>
      </c>
      <c r="T448" s="86" t="n">
        <v>-0.0163</v>
      </c>
      <c r="U448" s="86" t="n">
        <v>0.1363</v>
      </c>
      <c r="V448" s="86" t="n">
        <v>0.2022</v>
      </c>
      <c r="W448" s="86" t="n">
        <v>2.69</v>
      </c>
      <c r="X448" s="86" t="n">
        <v>47.45</v>
      </c>
      <c r="Y448" s="86" t="n">
        <v>20</v>
      </c>
      <c r="Z448" s="86" t="inlineStr">
        <is>
          <t>CLEAR</t>
        </is>
      </c>
    </row>
    <row r="449" ht="17" customHeight="1">
      <c r="A449" s="82" t="n">
        <v>447</v>
      </c>
      <c r="B449" s="82" t="inlineStr">
        <is>
          <t>TJX</t>
        </is>
      </c>
      <c r="C449" s="82" t="inlineStr">
        <is>
          <t>THE TJX COMPANIES, INC.</t>
        </is>
      </c>
      <c r="D449" s="82" t="n">
        <v>1.61</v>
      </c>
      <c r="E449" s="208" t="inlineStr">
        <is>
          <t>Grey</t>
        </is>
      </c>
      <c r="F449" s="82" t="n">
        <v>2.39</v>
      </c>
      <c r="G449" s="82" t="inlineStr">
        <is>
          <t>Grey</t>
        </is>
      </c>
      <c r="H449" s="82" t="n">
        <v>1.15</v>
      </c>
      <c r="I449" s="82" t="inlineStr">
        <is>
          <t>Healthy</t>
        </is>
      </c>
      <c r="J449" s="82" t="n">
        <v>0.65</v>
      </c>
      <c r="K449" s="82" t="n">
        <v>0.66</v>
      </c>
      <c r="L449" s="82" t="inlineStr">
        <is>
          <t>Distress</t>
        </is>
      </c>
      <c r="M449" s="82" t="n">
        <v>6</v>
      </c>
      <c r="N449" s="82" t="inlineStr">
        <is>
          <t>Mixed</t>
        </is>
      </c>
      <c r="O449" s="207" t="n">
        <v>0.25</v>
      </c>
      <c r="P449" s="82" t="inlineStr">
        <is>
          <t>Higher Risk</t>
        </is>
      </c>
      <c r="Q449" s="82" t="n">
        <v>-0.73</v>
      </c>
      <c r="R449" s="82" t="n">
        <v>0.5392</v>
      </c>
      <c r="S449" s="82" t="n">
        <v>1.25</v>
      </c>
      <c r="T449" s="82" t="n">
        <v>0.1691</v>
      </c>
      <c r="U449" s="82" t="n">
        <v>2.5018</v>
      </c>
      <c r="V449" s="82" t="n">
        <v>0.1638</v>
      </c>
      <c r="W449" s="82" t="n">
        <v>60.29</v>
      </c>
      <c r="X449" s="82" t="n">
        <v>47.45</v>
      </c>
      <c r="Y449" s="82" t="n">
        <v>20</v>
      </c>
      <c r="Z449" s="82" t="inlineStr">
        <is>
          <t>CLEAR</t>
        </is>
      </c>
    </row>
    <row r="450" ht="17" customHeight="1">
      <c r="A450" s="86" t="n">
        <v>448</v>
      </c>
      <c r="B450" s="86" t="inlineStr">
        <is>
          <t>PLAY</t>
        </is>
      </c>
      <c r="C450" s="86" t="inlineStr">
        <is>
          <t>Dave &amp; Buster’s Entertainment, Inc.</t>
        </is>
      </c>
      <c r="D450" s="86" t="n">
        <v>0.17</v>
      </c>
      <c r="E450" s="207" t="inlineStr">
        <is>
          <t>Distress</t>
        </is>
      </c>
      <c r="F450" s="86" t="n">
        <v>0.15</v>
      </c>
      <c r="G450" s="86" t="inlineStr">
        <is>
          <t>Distress</t>
        </is>
      </c>
      <c r="H450" s="86" t="n">
        <v>-0.11</v>
      </c>
      <c r="I450" s="86" t="inlineStr">
        <is>
          <t>Distress</t>
        </is>
      </c>
      <c r="J450" s="86" t="n">
        <v>1.4</v>
      </c>
      <c r="K450" s="86" t="n">
        <v>0.8</v>
      </c>
      <c r="L450" s="86" t="inlineStr">
        <is>
          <t>Distress</t>
        </is>
      </c>
      <c r="M450" s="86" t="n">
        <v>6</v>
      </c>
      <c r="N450" s="86" t="inlineStr">
        <is>
          <t>Mixed</t>
        </is>
      </c>
      <c r="O450" s="90" t="inlineStr">
        <is>
          <t>N/A</t>
        </is>
      </c>
      <c r="P450" s="86" t="inlineStr">
        <is>
          <t>Insufficient Data</t>
        </is>
      </c>
      <c r="Q450" s="86" t="n">
        <v>4.2</v>
      </c>
      <c r="R450" s="86" t="n">
        <v>-0.534</v>
      </c>
      <c r="S450" s="86" t="n">
        <v>-5.97</v>
      </c>
      <c r="T450" s="86" t="n">
        <v>-0.8611</v>
      </c>
      <c r="U450" s="86" t="n">
        <v>0.0712</v>
      </c>
      <c r="V450" s="86" t="n">
        <v>0.737</v>
      </c>
      <c r="W450" s="86" t="n">
        <v>0.68</v>
      </c>
      <c r="X450" s="86" t="n">
        <v>47.44</v>
      </c>
      <c r="Y450" s="86" t="n">
        <v>20</v>
      </c>
      <c r="Z450" s="86" t="inlineStr">
        <is>
          <t>CLEAR</t>
        </is>
      </c>
    </row>
    <row r="451" ht="17" customHeight="1">
      <c r="A451" s="82" t="n">
        <v>449</v>
      </c>
      <c r="B451" s="82" t="inlineStr">
        <is>
          <t>WTFC</t>
        </is>
      </c>
      <c r="C451" s="82" t="inlineStr">
        <is>
          <t>WINTRUST FINANCIAL CORP</t>
        </is>
      </c>
      <c r="D451" s="91" t="inlineStr">
        <is>
          <t>N/A</t>
        </is>
      </c>
      <c r="E451" s="91" t="inlineStr">
        <is>
          <t>N/A</t>
        </is>
      </c>
      <c r="F451" s="91" t="inlineStr">
        <is>
          <t>N/A</t>
        </is>
      </c>
      <c r="G451" s="91" t="inlineStr">
        <is>
          <t>N/A</t>
        </is>
      </c>
      <c r="H451" s="91" t="inlineStr">
        <is>
          <t>N/A</t>
        </is>
      </c>
      <c r="I451" s="91" t="inlineStr">
        <is>
          <t>N/A</t>
        </is>
      </c>
      <c r="J451" s="91" t="inlineStr">
        <is>
          <t>N/A</t>
        </is>
      </c>
      <c r="K451" s="91" t="inlineStr">
        <is>
          <t>N/A</t>
        </is>
      </c>
      <c r="L451" s="91" t="inlineStr">
        <is>
          <t>N/A</t>
        </is>
      </c>
      <c r="M451" s="82" t="n">
        <v>6</v>
      </c>
      <c r="N451" s="82" t="inlineStr">
        <is>
          <t>Mixed</t>
        </is>
      </c>
      <c r="O451" s="91" t="inlineStr">
        <is>
          <t>N/A</t>
        </is>
      </c>
      <c r="P451" s="82" t="inlineStr">
        <is>
          <t>Insufficient Data</t>
        </is>
      </c>
      <c r="Q451" s="82" t="n">
        <v>-0.33</v>
      </c>
      <c r="R451" s="82" t="n">
        <v>0.1135</v>
      </c>
      <c r="S451" s="82" t="n">
        <v>1.11</v>
      </c>
      <c r="T451" s="82" t="n">
        <v>3.239</v>
      </c>
      <c r="U451" s="82" t="n">
        <v>0.0594</v>
      </c>
      <c r="V451" s="82" t="n">
        <v>4.2103</v>
      </c>
      <c r="W451" s="82" t="n">
        <v>0.74</v>
      </c>
      <c r="X451" s="82" t="n">
        <v>47.37</v>
      </c>
      <c r="Y451" s="82" t="n">
        <v>0</v>
      </c>
      <c r="Z451" s="82" t="inlineStr">
        <is>
          <t>CLEAR</t>
        </is>
      </c>
    </row>
    <row r="452" ht="17" customHeight="1">
      <c r="A452" s="86" t="n">
        <v>450</v>
      </c>
      <c r="B452" s="86" t="inlineStr">
        <is>
          <t>AZO</t>
        </is>
      </c>
      <c r="C452" s="86" t="inlineStr">
        <is>
          <t>AUTOZONE INC</t>
        </is>
      </c>
      <c r="D452" s="86" t="n">
        <v>1.26</v>
      </c>
      <c r="E452" s="208" t="inlineStr">
        <is>
          <t>Grey</t>
        </is>
      </c>
      <c r="F452" s="86" t="n">
        <v>-0</v>
      </c>
      <c r="G452" s="86" t="inlineStr">
        <is>
          <t>Distress</t>
        </is>
      </c>
      <c r="H452" s="86" t="n">
        <v>1.12</v>
      </c>
      <c r="I452" s="86" t="inlineStr">
        <is>
          <t>Healthy</t>
        </is>
      </c>
      <c r="J452" s="86" t="n">
        <v>0.76</v>
      </c>
      <c r="K452" s="86" t="n">
        <v>0.68</v>
      </c>
      <c r="L452" s="86" t="inlineStr">
        <is>
          <t>Distress</t>
        </is>
      </c>
      <c r="M452" s="86" t="n">
        <v>5</v>
      </c>
      <c r="N452" s="86" t="inlineStr">
        <is>
          <t>Mixed</t>
        </is>
      </c>
      <c r="O452" s="207" t="n">
        <v>-2.56</v>
      </c>
      <c r="P452" s="86" t="inlineStr">
        <is>
          <t>Lower Risk</t>
        </is>
      </c>
      <c r="Q452" s="86" t="n">
        <v>0.96</v>
      </c>
      <c r="R452" s="86" t="n">
        <v>-0.7317</v>
      </c>
      <c r="S452" s="86" t="n">
        <v>1.25</v>
      </c>
      <c r="T452" s="86" t="n">
        <v>0.0945</v>
      </c>
      <c r="U452" s="86" t="n">
        <v>0.0243</v>
      </c>
      <c r="V452" s="86" t="n">
        <v>0.1906</v>
      </c>
      <c r="W452" s="86" t="n">
        <v>11.28</v>
      </c>
      <c r="X452" s="86" t="n">
        <v>47.37</v>
      </c>
      <c r="Y452" s="86" t="n">
        <v>0</v>
      </c>
      <c r="Z452" s="86" t="inlineStr">
        <is>
          <t>CLEAR</t>
        </is>
      </c>
    </row>
    <row r="453" ht="17" customHeight="1">
      <c r="A453" s="82" t="n">
        <v>451</v>
      </c>
      <c r="B453" s="82" t="inlineStr">
        <is>
          <t>APO</t>
        </is>
      </c>
      <c r="C453" s="82" t="inlineStr">
        <is>
          <t>APOLLO GLOBAL MANAGEMENT, INC.</t>
        </is>
      </c>
      <c r="D453" s="91" t="inlineStr">
        <is>
          <t>N/A</t>
        </is>
      </c>
      <c r="E453" s="91" t="inlineStr">
        <is>
          <t>N/A</t>
        </is>
      </c>
      <c r="F453" s="91" t="inlineStr">
        <is>
          <t>N/A</t>
        </is>
      </c>
      <c r="G453" s="91" t="inlineStr">
        <is>
          <t>N/A</t>
        </is>
      </c>
      <c r="H453" s="91" t="inlineStr">
        <is>
          <t>N/A</t>
        </is>
      </c>
      <c r="I453" s="91" t="inlineStr">
        <is>
          <t>N/A</t>
        </is>
      </c>
      <c r="J453" s="91" t="inlineStr">
        <is>
          <t>N/A</t>
        </is>
      </c>
      <c r="K453" s="91" t="inlineStr">
        <is>
          <t>N/A</t>
        </is>
      </c>
      <c r="L453" s="91" t="inlineStr">
        <is>
          <t>N/A</t>
        </is>
      </c>
      <c r="M453" s="82" t="n">
        <v>6</v>
      </c>
      <c r="N453" s="82" t="inlineStr">
        <is>
          <t>Mixed</t>
        </is>
      </c>
      <c r="O453" s="91" t="inlineStr">
        <is>
          <t>N/A</t>
        </is>
      </c>
      <c r="P453" s="82" t="inlineStr">
        <is>
          <t>Insufficient Data</t>
        </is>
      </c>
      <c r="Q453" s="82" t="n">
        <v>0.54</v>
      </c>
      <c r="R453" s="82" t="n">
        <v>0.1496</v>
      </c>
      <c r="S453" s="82" t="n">
        <v>2.08</v>
      </c>
      <c r="T453" s="91" t="inlineStr">
        <is>
          <t>N/A</t>
        </is>
      </c>
      <c r="U453" s="82" t="n">
        <v>0.2273</v>
      </c>
      <c r="V453" s="82" t="n">
        <v>0.2083</v>
      </c>
      <c r="W453" s="82" t="n">
        <v>10.8</v>
      </c>
      <c r="X453" s="82" t="n">
        <v>47.36</v>
      </c>
      <c r="Y453" s="82" t="n">
        <v>0</v>
      </c>
      <c r="Z453" s="82" t="inlineStr">
        <is>
          <t>CLEAR</t>
        </is>
      </c>
    </row>
    <row r="454" ht="17" customHeight="1">
      <c r="A454" s="86" t="n">
        <v>452</v>
      </c>
      <c r="B454" s="86" t="inlineStr">
        <is>
          <t>WAB</t>
        </is>
      </c>
      <c r="C454" s="86" t="inlineStr">
        <is>
          <t>WESTINGHOUSE AIR BRAKE TECHNOLOGIES CORPORATION</t>
        </is>
      </c>
      <c r="D454" s="86" t="n">
        <v>0.96</v>
      </c>
      <c r="E454" s="207" t="inlineStr">
        <is>
          <t>Distress</t>
        </is>
      </c>
      <c r="F454" s="86" t="n">
        <v>2.36</v>
      </c>
      <c r="G454" s="86" t="inlineStr">
        <is>
          <t>Grey</t>
        </is>
      </c>
      <c r="H454" s="86" t="n">
        <v>0.52</v>
      </c>
      <c r="I454" s="86" t="inlineStr">
        <is>
          <t>Distress</t>
        </is>
      </c>
      <c r="J454" s="86" t="n">
        <v>-1.77</v>
      </c>
      <c r="K454" s="86" t="n">
        <v>0.15</v>
      </c>
      <c r="L454" s="86" t="inlineStr">
        <is>
          <t>Healthy</t>
        </is>
      </c>
      <c r="M454" s="86" t="n">
        <v>5</v>
      </c>
      <c r="N454" s="86" t="inlineStr">
        <is>
          <t>Mixed</t>
        </is>
      </c>
      <c r="O454" s="207" t="n">
        <v>-2.39</v>
      </c>
      <c r="P454" s="86" t="inlineStr">
        <is>
          <t>Lower Risk</t>
        </is>
      </c>
      <c r="Q454" s="86" t="n">
        <v>2.21</v>
      </c>
      <c r="R454" s="86" t="n">
        <v>0.105</v>
      </c>
      <c r="S454" s="86" t="n">
        <v>1.5</v>
      </c>
      <c r="T454" s="86" t="n">
        <v>0.6269</v>
      </c>
      <c r="U454" s="86" t="n">
        <v>0.2152</v>
      </c>
      <c r="V454" s="86" t="n">
        <v>0.7499</v>
      </c>
      <c r="W454" s="86" t="n">
        <v>120.17</v>
      </c>
      <c r="X454" s="86" t="n">
        <v>47.34</v>
      </c>
      <c r="Y454" s="86" t="n">
        <v>0</v>
      </c>
      <c r="Z454" s="86" t="inlineStr">
        <is>
          <t>CLEAR</t>
        </is>
      </c>
    </row>
    <row r="455" ht="17" customHeight="1">
      <c r="A455" s="82" t="n">
        <v>453</v>
      </c>
      <c r="B455" s="82" t="inlineStr">
        <is>
          <t>HON</t>
        </is>
      </c>
      <c r="C455" s="82" t="inlineStr">
        <is>
          <t>Honeywell International Inc</t>
        </is>
      </c>
      <c r="D455" s="82" t="n">
        <v>1.57</v>
      </c>
      <c r="E455" s="208" t="inlineStr">
        <is>
          <t>Grey</t>
        </is>
      </c>
      <c r="F455" s="82" t="n">
        <v>3.82</v>
      </c>
      <c r="G455" s="82" t="inlineStr">
        <is>
          <t>Safe</t>
        </is>
      </c>
      <c r="H455" s="82" t="n">
        <v>0.79</v>
      </c>
      <c r="I455" s="82" t="inlineStr">
        <is>
          <t>Distress</t>
        </is>
      </c>
      <c r="J455" s="82" t="n">
        <v>1.06</v>
      </c>
      <c r="K455" s="82" t="n">
        <v>0.74</v>
      </c>
      <c r="L455" s="82" t="inlineStr">
        <is>
          <t>Distress</t>
        </is>
      </c>
      <c r="M455" s="82" t="n">
        <v>6</v>
      </c>
      <c r="N455" s="82" t="inlineStr">
        <is>
          <t>Mixed</t>
        </is>
      </c>
      <c r="O455" s="207" t="n">
        <v>0.62</v>
      </c>
      <c r="P455" s="82" t="inlineStr">
        <is>
          <t>Higher Risk</t>
        </is>
      </c>
      <c r="Q455" s="82" t="n">
        <v>1.74</v>
      </c>
      <c r="R455" s="82" t="n">
        <v>0.3401</v>
      </c>
      <c r="S455" s="82" t="n">
        <v>1.36</v>
      </c>
      <c r="T455" s="82" t="n">
        <v>0.1484</v>
      </c>
      <c r="U455" s="82" t="n">
        <v>2.8561</v>
      </c>
      <c r="V455" s="82" t="n">
        <v>0.2225</v>
      </c>
      <c r="W455" s="91" t="inlineStr">
        <is>
          <t>N/A</t>
        </is>
      </c>
      <c r="X455" s="82" t="n">
        <v>47.33</v>
      </c>
      <c r="Y455" s="82" t="n">
        <v>20</v>
      </c>
      <c r="Z455" s="82" t="inlineStr">
        <is>
          <t>CLEAR</t>
        </is>
      </c>
    </row>
    <row r="456" ht="17" customHeight="1">
      <c r="A456" s="86" t="n">
        <v>454</v>
      </c>
      <c r="B456" s="86" t="inlineStr">
        <is>
          <t>NEE</t>
        </is>
      </c>
      <c r="C456" s="86" t="inlineStr">
        <is>
          <t>NEXTERA ENERGY, INC.</t>
        </is>
      </c>
      <c r="D456" s="86" t="n">
        <v>0.45</v>
      </c>
      <c r="E456" s="207" t="inlineStr">
        <is>
          <t>Distress</t>
        </is>
      </c>
      <c r="F456" s="86" t="n">
        <v>0.91</v>
      </c>
      <c r="G456" s="86" t="inlineStr">
        <is>
          <t>Distress</t>
        </is>
      </c>
      <c r="H456" s="86" t="n">
        <v>0.23</v>
      </c>
      <c r="I456" s="86" t="inlineStr">
        <is>
          <t>Distress</t>
        </is>
      </c>
      <c r="J456" s="86" t="n">
        <v>-0.57</v>
      </c>
      <c r="K456" s="86" t="n">
        <v>0.36</v>
      </c>
      <c r="L456" s="86" t="inlineStr">
        <is>
          <t>Healthy</t>
        </is>
      </c>
      <c r="M456" s="86" t="n">
        <v>7</v>
      </c>
      <c r="N456" s="86" t="inlineStr">
        <is>
          <t>Strong</t>
        </is>
      </c>
      <c r="O456" s="207" t="n">
        <v>5.44</v>
      </c>
      <c r="P456" s="86" t="inlineStr">
        <is>
          <t>Higher Risk</t>
        </is>
      </c>
      <c r="Q456" s="86" t="n">
        <v>5.84</v>
      </c>
      <c r="R456" s="86" t="n">
        <v>0.1252</v>
      </c>
      <c r="S456" s="86" t="n">
        <v>1.83</v>
      </c>
      <c r="T456" s="90" t="inlineStr">
        <is>
          <t>N/A</t>
        </is>
      </c>
      <c r="U456" s="86" t="n">
        <v>3.224</v>
      </c>
      <c r="V456" s="86" t="n">
        <v>0.5808</v>
      </c>
      <c r="W456" s="90" t="inlineStr">
        <is>
          <t>N/A</t>
        </is>
      </c>
      <c r="X456" s="86" t="n">
        <v>47.31</v>
      </c>
      <c r="Y456" s="86" t="n">
        <v>20</v>
      </c>
      <c r="Z456" s="86" t="inlineStr">
        <is>
          <t>CLEAR</t>
        </is>
      </c>
    </row>
    <row r="457" ht="17" customHeight="1">
      <c r="A457" s="82" t="n">
        <v>455</v>
      </c>
      <c r="B457" s="82" t="inlineStr">
        <is>
          <t>UMBF</t>
        </is>
      </c>
      <c r="C457" s="82" t="inlineStr">
        <is>
          <t>UMB FINANCIAL CORP</t>
        </is>
      </c>
      <c r="D457" s="91" t="inlineStr">
        <is>
          <t>N/A</t>
        </is>
      </c>
      <c r="E457" s="91" t="inlineStr">
        <is>
          <t>N/A</t>
        </is>
      </c>
      <c r="F457" s="91" t="inlineStr">
        <is>
          <t>N/A</t>
        </is>
      </c>
      <c r="G457" s="91" t="inlineStr">
        <is>
          <t>N/A</t>
        </is>
      </c>
      <c r="H457" s="91" t="inlineStr">
        <is>
          <t>N/A</t>
        </is>
      </c>
      <c r="I457" s="91" t="inlineStr">
        <is>
          <t>N/A</t>
        </is>
      </c>
      <c r="J457" s="91" t="inlineStr">
        <is>
          <t>N/A</t>
        </is>
      </c>
      <c r="K457" s="91" t="inlineStr">
        <is>
          <t>N/A</t>
        </is>
      </c>
      <c r="L457" s="91" t="inlineStr">
        <is>
          <t>N/A</t>
        </is>
      </c>
      <c r="M457" s="82" t="n">
        <v>6</v>
      </c>
      <c r="N457" s="82" t="inlineStr">
        <is>
          <t>Mixed</t>
        </is>
      </c>
      <c r="O457" s="91" t="inlineStr">
        <is>
          <t>N/A</t>
        </is>
      </c>
      <c r="P457" s="82" t="inlineStr">
        <is>
          <t>Insufficient Data</t>
        </is>
      </c>
      <c r="Q457" s="82" t="n">
        <v>-7.18</v>
      </c>
      <c r="R457" s="82" t="n">
        <v>0.09130000000000001</v>
      </c>
      <c r="S457" s="82" t="n">
        <v>1.46</v>
      </c>
      <c r="T457" s="91" t="inlineStr">
        <is>
          <t>N/A</t>
        </is>
      </c>
      <c r="U457" s="91" t="inlineStr">
        <is>
          <t>N/A</t>
        </is>
      </c>
      <c r="V457" s="91" t="inlineStr">
        <is>
          <t>N/A</t>
        </is>
      </c>
      <c r="W457" s="82" t="n">
        <v>0.95</v>
      </c>
      <c r="X457" s="82" t="n">
        <v>47.29</v>
      </c>
      <c r="Y457" s="82" t="n">
        <v>0</v>
      </c>
      <c r="Z457" s="82" t="inlineStr">
        <is>
          <t>CLEAR</t>
        </is>
      </c>
    </row>
    <row r="458" ht="17" customHeight="1">
      <c r="A458" s="86" t="n">
        <v>456</v>
      </c>
      <c r="B458" s="86" t="inlineStr">
        <is>
          <t>CBSH</t>
        </is>
      </c>
      <c r="C458" s="86" t="inlineStr">
        <is>
          <t>COMMERCE BANCSHARES, INC.</t>
        </is>
      </c>
      <c r="D458" s="90" t="inlineStr">
        <is>
          <t>N/A</t>
        </is>
      </c>
      <c r="E458" s="90" t="inlineStr">
        <is>
          <t>N/A</t>
        </is>
      </c>
      <c r="F458" s="90" t="inlineStr">
        <is>
          <t>N/A</t>
        </is>
      </c>
      <c r="G458" s="90" t="inlineStr">
        <is>
          <t>N/A</t>
        </is>
      </c>
      <c r="H458" s="90" t="inlineStr">
        <is>
          <t>N/A</t>
        </is>
      </c>
      <c r="I458" s="90" t="inlineStr">
        <is>
          <t>N/A</t>
        </is>
      </c>
      <c r="J458" s="90" t="inlineStr">
        <is>
          <t>N/A</t>
        </is>
      </c>
      <c r="K458" s="90" t="inlineStr">
        <is>
          <t>N/A</t>
        </is>
      </c>
      <c r="L458" s="90" t="inlineStr">
        <is>
          <t>N/A</t>
        </is>
      </c>
      <c r="M458" s="86" t="n">
        <v>6</v>
      </c>
      <c r="N458" s="86" t="inlineStr">
        <is>
          <t>Mixed</t>
        </is>
      </c>
      <c r="O458" s="90" t="inlineStr">
        <is>
          <t>N/A</t>
        </is>
      </c>
      <c r="P458" s="86" t="inlineStr">
        <is>
          <t>Insufficient Data</t>
        </is>
      </c>
      <c r="Q458" s="86" t="n">
        <v>-0.07000000000000001</v>
      </c>
      <c r="R458" s="86" t="n">
        <v>0.1494</v>
      </c>
      <c r="S458" s="86" t="n">
        <v>1.14</v>
      </c>
      <c r="T458" s="90" t="inlineStr">
        <is>
          <t>N/A</t>
        </is>
      </c>
      <c r="U458" s="90" t="inlineStr">
        <is>
          <t>N/A</t>
        </is>
      </c>
      <c r="V458" s="90" t="inlineStr">
        <is>
          <t>N/A</t>
        </is>
      </c>
      <c r="W458" s="86" t="n">
        <v>1.91</v>
      </c>
      <c r="X458" s="86" t="n">
        <v>47.28</v>
      </c>
      <c r="Y458" s="86" t="n">
        <v>0</v>
      </c>
      <c r="Z458" s="86" t="inlineStr">
        <is>
          <t>CLEAR</t>
        </is>
      </c>
    </row>
    <row r="459" ht="17" customHeight="1">
      <c r="A459" s="82" t="n">
        <v>457</v>
      </c>
      <c r="B459" s="82" t="inlineStr">
        <is>
          <t>COIN</t>
        </is>
      </c>
      <c r="C459" s="82" t="inlineStr">
        <is>
          <t>Coinbase Global, Inc.</t>
        </is>
      </c>
      <c r="D459" s="82" t="n">
        <v>1.27</v>
      </c>
      <c r="E459" s="208" t="inlineStr">
        <is>
          <t>Grey</t>
        </is>
      </c>
      <c r="F459" s="82" t="n">
        <v>4.64</v>
      </c>
      <c r="G459" s="82" t="inlineStr">
        <is>
          <t>Safe</t>
        </is>
      </c>
      <c r="H459" s="82" t="n">
        <v>0.77</v>
      </c>
      <c r="I459" s="82" t="inlineStr">
        <is>
          <t>Distress</t>
        </is>
      </c>
      <c r="J459" s="82" t="n">
        <v>-1.67</v>
      </c>
      <c r="K459" s="82" t="n">
        <v>0.16</v>
      </c>
      <c r="L459" s="82" t="inlineStr">
        <is>
          <t>Healthy</t>
        </is>
      </c>
      <c r="M459" s="82" t="n">
        <v>6</v>
      </c>
      <c r="N459" s="82" t="inlineStr">
        <is>
          <t>Mixed</t>
        </is>
      </c>
      <c r="O459" s="207" t="n">
        <v>-1.99</v>
      </c>
      <c r="P459" s="82" t="inlineStr">
        <is>
          <t>Higher Risk</t>
        </is>
      </c>
      <c r="Q459" s="82" t="n">
        <v>-2.51</v>
      </c>
      <c r="R459" s="82" t="n">
        <v>0.0852</v>
      </c>
      <c r="S459" s="82" t="n">
        <v>1.93</v>
      </c>
      <c r="T459" s="82" t="n">
        <v>0.3375</v>
      </c>
      <c r="U459" s="82" t="n">
        <v>0.094</v>
      </c>
      <c r="V459" s="82" t="n">
        <v>0.1999</v>
      </c>
      <c r="W459" s="82" t="n">
        <v>17.34</v>
      </c>
      <c r="X459" s="82" t="n">
        <v>47.27</v>
      </c>
      <c r="Y459" s="82" t="n">
        <v>20</v>
      </c>
      <c r="Z459" s="82" t="inlineStr">
        <is>
          <t>CLEAR</t>
        </is>
      </c>
    </row>
    <row r="460" ht="17" customHeight="1">
      <c r="A460" s="86" t="n">
        <v>458</v>
      </c>
      <c r="B460" s="86" t="inlineStr">
        <is>
          <t>XEL</t>
        </is>
      </c>
      <c r="C460" s="86" t="inlineStr">
        <is>
          <t>XCEL ENERGY INC</t>
        </is>
      </c>
      <c r="D460" s="86" t="n">
        <v>0.44</v>
      </c>
      <c r="E460" s="207" t="inlineStr">
        <is>
          <t>Distress</t>
        </is>
      </c>
      <c r="F460" s="86" t="n">
        <v>0.72</v>
      </c>
      <c r="G460" s="86" t="inlineStr">
        <is>
          <t>Distress</t>
        </is>
      </c>
      <c r="H460" s="86" t="n">
        <v>0.29</v>
      </c>
      <c r="I460" s="86" t="inlineStr">
        <is>
          <t>Distress</t>
        </is>
      </c>
      <c r="J460" s="86" t="n">
        <v>1.23</v>
      </c>
      <c r="K460" s="86" t="n">
        <v>0.77</v>
      </c>
      <c r="L460" s="86" t="inlineStr">
        <is>
          <t>Distress</t>
        </is>
      </c>
      <c r="M460" s="86" t="n">
        <v>7</v>
      </c>
      <c r="N460" s="86" t="inlineStr">
        <is>
          <t>Strong</t>
        </is>
      </c>
      <c r="O460" s="207" t="n">
        <v>-1.27</v>
      </c>
      <c r="P460" s="86" t="inlineStr">
        <is>
          <t>Higher Risk</t>
        </is>
      </c>
      <c r="Q460" s="86" t="n">
        <v>5.71</v>
      </c>
      <c r="R460" s="86" t="n">
        <v>0.08550000000000001</v>
      </c>
      <c r="S460" s="86" t="n">
        <v>2.02</v>
      </c>
      <c r="T460" s="86" t="n">
        <v>0.3539</v>
      </c>
      <c r="U460" s="86" t="n">
        <v>3.0059</v>
      </c>
      <c r="V460" s="86" t="n">
        <v>0.2239</v>
      </c>
      <c r="W460" s="86" t="n">
        <v>1.76</v>
      </c>
      <c r="X460" s="86" t="n">
        <v>47.26</v>
      </c>
      <c r="Y460" s="86" t="n">
        <v>20</v>
      </c>
      <c r="Z460" s="86" t="inlineStr">
        <is>
          <t>CLEAR</t>
        </is>
      </c>
    </row>
    <row r="461" ht="17" customHeight="1">
      <c r="A461" s="82" t="n">
        <v>459</v>
      </c>
      <c r="B461" s="82" t="inlineStr">
        <is>
          <t>HBAN</t>
        </is>
      </c>
      <c r="C461" s="82" t="inlineStr">
        <is>
          <t>Huntington Bancshares Incorporated</t>
        </is>
      </c>
      <c r="D461" s="91" t="inlineStr">
        <is>
          <t>N/A</t>
        </is>
      </c>
      <c r="E461" s="91" t="inlineStr">
        <is>
          <t>N/A</t>
        </is>
      </c>
      <c r="F461" s="91" t="inlineStr">
        <is>
          <t>N/A</t>
        </is>
      </c>
      <c r="G461" s="91" t="inlineStr">
        <is>
          <t>N/A</t>
        </is>
      </c>
      <c r="H461" s="91" t="inlineStr">
        <is>
          <t>N/A</t>
        </is>
      </c>
      <c r="I461" s="91" t="inlineStr">
        <is>
          <t>N/A</t>
        </is>
      </c>
      <c r="J461" s="91" t="inlineStr">
        <is>
          <t>N/A</t>
        </is>
      </c>
      <c r="K461" s="91" t="inlineStr">
        <is>
          <t>N/A</t>
        </is>
      </c>
      <c r="L461" s="91" t="inlineStr">
        <is>
          <t>N/A</t>
        </is>
      </c>
      <c r="M461" s="82" t="n">
        <v>6</v>
      </c>
      <c r="N461" s="82" t="inlineStr">
        <is>
          <t>Mixed</t>
        </is>
      </c>
      <c r="O461" s="91" t="inlineStr">
        <is>
          <t>N/A</t>
        </is>
      </c>
      <c r="P461" s="82" t="inlineStr">
        <is>
          <t>Insufficient Data</t>
        </is>
      </c>
      <c r="Q461" s="82" t="n">
        <v>4.4</v>
      </c>
      <c r="R461" s="82" t="n">
        <v>0.09080000000000001</v>
      </c>
      <c r="S461" s="82" t="n">
        <v>1.12</v>
      </c>
      <c r="T461" s="82" t="n">
        <v>1.4181</v>
      </c>
      <c r="U461" s="82" t="n">
        <v>0.064</v>
      </c>
      <c r="V461" s="82" t="n">
        <v>1.7209</v>
      </c>
      <c r="W461" s="82" t="n">
        <v>0.77</v>
      </c>
      <c r="X461" s="82" t="n">
        <v>47.25</v>
      </c>
      <c r="Y461" s="82" t="n">
        <v>0</v>
      </c>
      <c r="Z461" s="82" t="inlineStr">
        <is>
          <t>CLEAR</t>
        </is>
      </c>
    </row>
    <row r="462" ht="17" customHeight="1">
      <c r="A462" s="86" t="n">
        <v>460</v>
      </c>
      <c r="B462" s="86" t="inlineStr">
        <is>
          <t>ALLY</t>
        </is>
      </c>
      <c r="C462" s="86" t="inlineStr">
        <is>
          <t>Ally Financial Inc.</t>
        </is>
      </c>
      <c r="D462" s="90" t="inlineStr">
        <is>
          <t>N/A</t>
        </is>
      </c>
      <c r="E462" s="90" t="inlineStr">
        <is>
          <t>N/A</t>
        </is>
      </c>
      <c r="F462" s="90" t="inlineStr">
        <is>
          <t>N/A</t>
        </is>
      </c>
      <c r="G462" s="90" t="inlineStr">
        <is>
          <t>N/A</t>
        </is>
      </c>
      <c r="H462" s="90" t="inlineStr">
        <is>
          <t>N/A</t>
        </is>
      </c>
      <c r="I462" s="90" t="inlineStr">
        <is>
          <t>N/A</t>
        </is>
      </c>
      <c r="J462" s="90" t="inlineStr">
        <is>
          <t>N/A</t>
        </is>
      </c>
      <c r="K462" s="90" t="inlineStr">
        <is>
          <t>N/A</t>
        </is>
      </c>
      <c r="L462" s="90" t="inlineStr">
        <is>
          <t>N/A</t>
        </is>
      </c>
      <c r="M462" s="86" t="n">
        <v>6</v>
      </c>
      <c r="N462" s="86" t="inlineStr">
        <is>
          <t>Mixed</t>
        </is>
      </c>
      <c r="O462" s="90" t="inlineStr">
        <is>
          <t>N/A</t>
        </is>
      </c>
      <c r="P462" s="86" t="inlineStr">
        <is>
          <t>Insufficient Data</t>
        </is>
      </c>
      <c r="Q462" s="86" t="n">
        <v>6.68</v>
      </c>
      <c r="R462" s="86" t="n">
        <v>0.055</v>
      </c>
      <c r="S462" s="86" t="n">
        <v>4.38</v>
      </c>
      <c r="T462" s="90" t="inlineStr">
        <is>
          <t>N/A</t>
        </is>
      </c>
      <c r="U462" s="86" t="n">
        <v>-0.0326</v>
      </c>
      <c r="V462" s="86" t="n">
        <v>0.1328</v>
      </c>
      <c r="W462" s="86" t="n">
        <v>0.15</v>
      </c>
      <c r="X462" s="86" t="n">
        <v>47.17</v>
      </c>
      <c r="Y462" s="86" t="n">
        <v>0</v>
      </c>
      <c r="Z462" s="86" t="inlineStr">
        <is>
          <t>CLEAR</t>
        </is>
      </c>
    </row>
    <row r="463" ht="17" customHeight="1">
      <c r="A463" s="82" t="n">
        <v>461</v>
      </c>
      <c r="B463" s="82" t="inlineStr">
        <is>
          <t>HSY</t>
        </is>
      </c>
      <c r="C463" s="82" t="inlineStr">
        <is>
          <t>HERSHEY CO</t>
        </is>
      </c>
      <c r="D463" s="82" t="n">
        <v>1.5</v>
      </c>
      <c r="E463" s="208" t="inlineStr">
        <is>
          <t>Grey</t>
        </is>
      </c>
      <c r="F463" s="82" t="n">
        <v>2.82</v>
      </c>
      <c r="G463" s="82" t="inlineStr">
        <is>
          <t>Safe</t>
        </is>
      </c>
      <c r="H463" s="82" t="n">
        <v>0.87</v>
      </c>
      <c r="I463" s="82" t="inlineStr">
        <is>
          <t>Healthy</t>
        </is>
      </c>
      <c r="J463" s="82" t="n">
        <v>-0.86</v>
      </c>
      <c r="K463" s="82" t="n">
        <v>0.3</v>
      </c>
      <c r="L463" s="82" t="inlineStr">
        <is>
          <t>Healthy</t>
        </is>
      </c>
      <c r="M463" s="82" t="n">
        <v>6</v>
      </c>
      <c r="N463" s="82" t="inlineStr">
        <is>
          <t>Mixed</t>
        </is>
      </c>
      <c r="O463" s="207" t="n">
        <v>1.05</v>
      </c>
      <c r="P463" s="82" t="inlineStr">
        <is>
          <t>Higher Risk</t>
        </is>
      </c>
      <c r="Q463" s="82" t="n">
        <v>2.4</v>
      </c>
      <c r="R463" s="82" t="n">
        <v>0.1905</v>
      </c>
      <c r="S463" s="82" t="n">
        <v>2.58</v>
      </c>
      <c r="T463" s="82" t="n">
        <v>0.2237</v>
      </c>
      <c r="U463" s="82" t="n">
        <v>2.7294</v>
      </c>
      <c r="V463" s="82" t="n">
        <v>0.1769</v>
      </c>
      <c r="W463" s="82" t="n">
        <v>6.41</v>
      </c>
      <c r="X463" s="82" t="n">
        <v>47.11</v>
      </c>
      <c r="Y463" s="82" t="n">
        <v>40</v>
      </c>
      <c r="Z463" s="82" t="inlineStr">
        <is>
          <t>WATCH</t>
        </is>
      </c>
    </row>
    <row r="464" ht="17" customHeight="1">
      <c r="A464" s="86" t="n">
        <v>462</v>
      </c>
      <c r="B464" s="86" t="inlineStr">
        <is>
          <t>AWK</t>
        </is>
      </c>
      <c r="C464" s="86" t="inlineStr">
        <is>
          <t>AMERICAN WATER WORKS COMPANY, INC.</t>
        </is>
      </c>
      <c r="D464" s="86" t="n">
        <v>0.39</v>
      </c>
      <c r="E464" s="207" t="inlineStr">
        <is>
          <t>Distress</t>
        </is>
      </c>
      <c r="F464" s="86" t="n">
        <v>0.44</v>
      </c>
      <c r="G464" s="86" t="inlineStr">
        <is>
          <t>Distress</t>
        </is>
      </c>
      <c r="H464" s="86" t="n">
        <v>0.32</v>
      </c>
      <c r="I464" s="86" t="inlineStr">
        <is>
          <t>Distress</t>
        </is>
      </c>
      <c r="J464" s="86" t="n">
        <v>1.2</v>
      </c>
      <c r="K464" s="86" t="n">
        <v>0.77</v>
      </c>
      <c r="L464" s="86" t="inlineStr">
        <is>
          <t>Distress</t>
        </is>
      </c>
      <c r="M464" s="86" t="n">
        <v>7</v>
      </c>
      <c r="N464" s="86" t="inlineStr">
        <is>
          <t>Strong</t>
        </is>
      </c>
      <c r="O464" s="207" t="n">
        <v>18.43</v>
      </c>
      <c r="P464" s="86" t="inlineStr">
        <is>
          <t>Higher Risk</t>
        </is>
      </c>
      <c r="Q464" s="86" t="n">
        <v>3.45</v>
      </c>
      <c r="R464" s="86" t="n">
        <v>0.1025</v>
      </c>
      <c r="S464" s="86" t="n">
        <v>1.85</v>
      </c>
      <c r="T464" s="86" t="n">
        <v>-0.3543</v>
      </c>
      <c r="U464" s="86" t="n">
        <v>3.1173</v>
      </c>
      <c r="V464" s="86" t="n">
        <v>0.624</v>
      </c>
      <c r="W464" s="86" t="n">
        <v>6.31</v>
      </c>
      <c r="X464" s="86" t="n">
        <v>47.08</v>
      </c>
      <c r="Y464" s="86" t="n">
        <v>20</v>
      </c>
      <c r="Z464" s="86" t="inlineStr">
        <is>
          <t>CLEAR</t>
        </is>
      </c>
    </row>
    <row r="465" ht="17" customHeight="1">
      <c r="A465" s="82" t="n">
        <v>463</v>
      </c>
      <c r="B465" s="82" t="inlineStr">
        <is>
          <t>FDX</t>
        </is>
      </c>
      <c r="C465" s="82" t="inlineStr">
        <is>
          <t>FedEx Corporation</t>
        </is>
      </c>
      <c r="D465" s="82" t="n">
        <v>1.49</v>
      </c>
      <c r="E465" s="208" t="inlineStr">
        <is>
          <t>Grey</t>
        </is>
      </c>
      <c r="F465" s="82" t="n">
        <v>2.5</v>
      </c>
      <c r="G465" s="82" t="inlineStr">
        <is>
          <t>Grey</t>
        </is>
      </c>
      <c r="H465" s="82" t="n">
        <v>0.75</v>
      </c>
      <c r="I465" s="82" t="inlineStr">
        <is>
          <t>Distress</t>
        </is>
      </c>
      <c r="J465" s="82" t="n">
        <v>1.14</v>
      </c>
      <c r="K465" s="82" t="n">
        <v>0.76</v>
      </c>
      <c r="L465" s="82" t="inlineStr">
        <is>
          <t>Distress</t>
        </is>
      </c>
      <c r="M465" s="82" t="n">
        <v>6</v>
      </c>
      <c r="N465" s="82" t="inlineStr">
        <is>
          <t>Mixed</t>
        </is>
      </c>
      <c r="O465" s="207" t="n">
        <v>-1.05</v>
      </c>
      <c r="P465" s="82" t="inlineStr">
        <is>
          <t>Higher Risk</t>
        </is>
      </c>
      <c r="Q465" s="82" t="n">
        <v>1.75</v>
      </c>
      <c r="R465" s="82" t="n">
        <v>0.1458</v>
      </c>
      <c r="S465" s="82" t="n">
        <v>1.72</v>
      </c>
      <c r="T465" s="82" t="n">
        <v>0.0455</v>
      </c>
      <c r="U465" s="82" t="n">
        <v>2.7802</v>
      </c>
      <c r="V465" s="82" t="n">
        <v>0.07969999999999999</v>
      </c>
      <c r="W465" s="82" t="n">
        <v>7</v>
      </c>
      <c r="X465" s="82" t="n">
        <v>47.05</v>
      </c>
      <c r="Y465" s="82" t="n">
        <v>20</v>
      </c>
      <c r="Z465" s="82" t="inlineStr">
        <is>
          <t>CLEAR</t>
        </is>
      </c>
    </row>
    <row r="466" ht="17" customHeight="1">
      <c r="A466" s="86" t="n">
        <v>464</v>
      </c>
      <c r="B466" s="86" t="inlineStr">
        <is>
          <t>ABNB</t>
        </is>
      </c>
      <c r="C466" s="86" t="inlineStr">
        <is>
          <t>Airbnb, Inc.</t>
        </is>
      </c>
      <c r="D466" s="86" t="n">
        <v>1.11</v>
      </c>
      <c r="E466" s="207" t="inlineStr">
        <is>
          <t>Distress</t>
        </is>
      </c>
      <c r="F466" s="86" t="n">
        <v>2.1</v>
      </c>
      <c r="G466" s="86" t="inlineStr">
        <is>
          <t>Grey</t>
        </is>
      </c>
      <c r="H466" s="86" t="n">
        <v>0.96</v>
      </c>
      <c r="I466" s="86" t="inlineStr">
        <is>
          <t>Healthy</t>
        </is>
      </c>
      <c r="J466" s="86" t="n">
        <v>-1.26</v>
      </c>
      <c r="K466" s="86" t="n">
        <v>0.22</v>
      </c>
      <c r="L466" s="86" t="inlineStr">
        <is>
          <t>Healthy</t>
        </is>
      </c>
      <c r="M466" s="86" t="n">
        <v>5</v>
      </c>
      <c r="N466" s="86" t="inlineStr">
        <is>
          <t>Mixed</t>
        </is>
      </c>
      <c r="O466" s="90" t="inlineStr">
        <is>
          <t>N/A</t>
        </is>
      </c>
      <c r="P466" s="86" t="inlineStr">
        <is>
          <t>Insufficient Data</t>
        </is>
      </c>
      <c r="Q466" s="86" t="n">
        <v>-1.76</v>
      </c>
      <c r="R466" s="86" t="n">
        <v>0.3063</v>
      </c>
      <c r="S466" s="86" t="n">
        <v>1.85</v>
      </c>
      <c r="T466" s="86" t="n">
        <v>0.3775</v>
      </c>
      <c r="U466" s="86" t="n">
        <v>0.1026</v>
      </c>
      <c r="V466" s="86" t="n">
        <v>0.2078</v>
      </c>
      <c r="W466" s="90" t="inlineStr">
        <is>
          <t>N/A</t>
        </is>
      </c>
      <c r="X466" s="86" t="n">
        <v>47.04</v>
      </c>
      <c r="Y466" s="86" t="n">
        <v>0</v>
      </c>
      <c r="Z466" s="86" t="inlineStr">
        <is>
          <t>CLEAR</t>
        </is>
      </c>
    </row>
    <row r="467" ht="17" customHeight="1">
      <c r="A467" s="82" t="n">
        <v>465</v>
      </c>
      <c r="B467" s="82" t="inlineStr">
        <is>
          <t>CCK</t>
        </is>
      </c>
      <c r="C467" s="82" t="inlineStr">
        <is>
          <t>CROWN HOLDINGS, INC.</t>
        </is>
      </c>
      <c r="D467" s="82" t="n">
        <v>1.47</v>
      </c>
      <c r="E467" s="208" t="inlineStr">
        <is>
          <t>Grey</t>
        </is>
      </c>
      <c r="F467" s="82" t="n">
        <v>1.88</v>
      </c>
      <c r="G467" s="82" t="inlineStr">
        <is>
          <t>Grey</t>
        </is>
      </c>
      <c r="H467" s="82" t="n">
        <v>0.76</v>
      </c>
      <c r="I467" s="82" t="inlineStr">
        <is>
          <t>Distress</t>
        </is>
      </c>
      <c r="J467" s="82" t="n">
        <v>1.11</v>
      </c>
      <c r="K467" s="82" t="n">
        <v>0.75</v>
      </c>
      <c r="L467" s="82" t="inlineStr">
        <is>
          <t>Distress</t>
        </is>
      </c>
      <c r="M467" s="82" t="n">
        <v>6</v>
      </c>
      <c r="N467" s="82" t="inlineStr">
        <is>
          <t>Mixed</t>
        </is>
      </c>
      <c r="O467" s="207" t="n">
        <v>1.32</v>
      </c>
      <c r="P467" s="82" t="inlineStr">
        <is>
          <t>Higher Risk</t>
        </is>
      </c>
      <c r="Q467" s="82" t="n">
        <v>2.75</v>
      </c>
      <c r="R467" s="82" t="n">
        <v>0.2461</v>
      </c>
      <c r="S467" s="82" t="n">
        <v>2.07</v>
      </c>
      <c r="T467" s="82" t="n">
        <v>0.0958</v>
      </c>
      <c r="U467" s="82" t="n">
        <v>3.1795</v>
      </c>
      <c r="V467" s="82" t="n">
        <v>0.1331</v>
      </c>
      <c r="W467" s="82" t="n">
        <v>3.44</v>
      </c>
      <c r="X467" s="82" t="n">
        <v>46.99</v>
      </c>
      <c r="Y467" s="82" t="n">
        <v>20</v>
      </c>
      <c r="Z467" s="82" t="inlineStr">
        <is>
          <t>CLEAR</t>
        </is>
      </c>
    </row>
    <row r="468" ht="17" customHeight="1">
      <c r="A468" s="86" t="n">
        <v>466</v>
      </c>
      <c r="B468" s="86" t="inlineStr">
        <is>
          <t>RHP</t>
        </is>
      </c>
      <c r="C468" s="86" t="inlineStr">
        <is>
          <t>RYMAN HOSPITALITY PROPERTIES, INC.</t>
        </is>
      </c>
      <c r="D468" s="86" t="n">
        <v>0.36</v>
      </c>
      <c r="E468" s="207" t="inlineStr">
        <is>
          <t>Distress</t>
        </is>
      </c>
      <c r="F468" s="86" t="n">
        <v>0.07000000000000001</v>
      </c>
      <c r="G468" s="86" t="inlineStr">
        <is>
          <t>Distress</t>
        </is>
      </c>
      <c r="H468" s="86" t="n">
        <v>0.78</v>
      </c>
      <c r="I468" s="86" t="inlineStr">
        <is>
          <t>Distress</t>
        </is>
      </c>
      <c r="J468" s="86" t="n">
        <v>0.05</v>
      </c>
      <c r="K468" s="86" t="n">
        <v>0.51</v>
      </c>
      <c r="L468" s="86" t="inlineStr">
        <is>
          <t>Distress</t>
        </is>
      </c>
      <c r="M468" s="86" t="n">
        <v>7</v>
      </c>
      <c r="N468" s="86" t="inlineStr">
        <is>
          <t>Strong</t>
        </is>
      </c>
      <c r="O468" s="207" t="n">
        <v>5.34</v>
      </c>
      <c r="P468" s="86" t="inlineStr">
        <is>
          <t>Higher Risk</t>
        </is>
      </c>
      <c r="Q468" s="86" t="n">
        <v>1.5</v>
      </c>
      <c r="R468" s="86" t="n">
        <v>0.3245</v>
      </c>
      <c r="S468" s="86" t="n">
        <v>2.43</v>
      </c>
      <c r="T468" s="86" t="n">
        <v>0.4312</v>
      </c>
      <c r="U468" s="86" t="n">
        <v>2.4322</v>
      </c>
      <c r="V468" s="86" t="n">
        <v>0.4111</v>
      </c>
      <c r="W468" s="86" t="n">
        <v>2.3</v>
      </c>
      <c r="X468" s="86" t="n">
        <v>46.99</v>
      </c>
      <c r="Y468" s="86" t="n">
        <v>20</v>
      </c>
      <c r="Z468" s="86" t="inlineStr">
        <is>
          <t>CLEAR</t>
        </is>
      </c>
    </row>
    <row r="469" ht="17" customHeight="1">
      <c r="A469" s="82" t="n">
        <v>467</v>
      </c>
      <c r="B469" s="82" t="inlineStr">
        <is>
          <t>NRG</t>
        </is>
      </c>
      <c r="C469" s="82" t="inlineStr">
        <is>
          <t>NRG Energy, Inc</t>
        </is>
      </c>
      <c r="D469" s="82" t="n">
        <v>1.46</v>
      </c>
      <c r="E469" s="208" t="inlineStr">
        <is>
          <t>Grey</t>
        </is>
      </c>
      <c r="F469" s="82" t="n">
        <v>1.86</v>
      </c>
      <c r="G469" s="82" t="inlineStr">
        <is>
          <t>Grey</t>
        </is>
      </c>
      <c r="H469" s="82" t="n">
        <v>0.89</v>
      </c>
      <c r="I469" s="82" t="inlineStr">
        <is>
          <t>Healthy</t>
        </is>
      </c>
      <c r="J469" s="82" t="n">
        <v>0.89</v>
      </c>
      <c r="K469" s="82" t="n">
        <v>0.71</v>
      </c>
      <c r="L469" s="82" t="inlineStr">
        <is>
          <t>Distress</t>
        </is>
      </c>
      <c r="M469" s="82" t="n">
        <v>6</v>
      </c>
      <c r="N469" s="82" t="inlineStr">
        <is>
          <t>Mixed</t>
        </is>
      </c>
      <c r="O469" s="207" t="n">
        <v>0.65</v>
      </c>
      <c r="P469" s="82" t="inlineStr">
        <is>
          <t>Higher Risk</t>
        </is>
      </c>
      <c r="Q469" s="82" t="n">
        <v>1.9</v>
      </c>
      <c r="R469" s="82" t="n">
        <v>0.514</v>
      </c>
      <c r="S469" s="82" t="n">
        <v>2.21</v>
      </c>
      <c r="T469" s="82" t="n">
        <v>0.0249</v>
      </c>
      <c r="U469" s="82" t="n">
        <v>0.09180000000000001</v>
      </c>
      <c r="V469" s="82" t="n">
        <v>0.0601</v>
      </c>
      <c r="W469" s="82" t="n">
        <v>2.77</v>
      </c>
      <c r="X469" s="82" t="n">
        <v>46.94</v>
      </c>
      <c r="Y469" s="82" t="n">
        <v>20</v>
      </c>
      <c r="Z469" s="82" t="inlineStr">
        <is>
          <t>CLEAR</t>
        </is>
      </c>
    </row>
    <row r="470" ht="17" customHeight="1">
      <c r="A470" s="86" t="n">
        <v>468</v>
      </c>
      <c r="B470" s="86" t="inlineStr">
        <is>
          <t>BEN</t>
        </is>
      </c>
      <c r="C470" s="86" t="inlineStr">
        <is>
          <t>FRANKLIN RESOURCES, INC.</t>
        </is>
      </c>
      <c r="D470" s="86" t="n">
        <v>0.96</v>
      </c>
      <c r="E470" s="207" t="inlineStr">
        <is>
          <t>Distress</t>
        </is>
      </c>
      <c r="F470" s="86" t="n">
        <v>3.26</v>
      </c>
      <c r="G470" s="86" t="inlineStr">
        <is>
          <t>Safe</t>
        </is>
      </c>
      <c r="H470" s="86" t="n">
        <v>0.73</v>
      </c>
      <c r="I470" s="86" t="inlineStr">
        <is>
          <t>Distress</t>
        </is>
      </c>
      <c r="J470" s="86" t="n">
        <v>-1.2</v>
      </c>
      <c r="K470" s="86" t="n">
        <v>0.23</v>
      </c>
      <c r="L470" s="86" t="inlineStr">
        <is>
          <t>Healthy</t>
        </is>
      </c>
      <c r="M470" s="86" t="n">
        <v>5</v>
      </c>
      <c r="N470" s="86" t="inlineStr">
        <is>
          <t>Mixed</t>
        </is>
      </c>
      <c r="O470" s="207" t="n">
        <v>-2.65</v>
      </c>
      <c r="P470" s="86" t="inlineStr">
        <is>
          <t>Lower Risk</t>
        </is>
      </c>
      <c r="Q470" s="86" t="n">
        <v>-3.07</v>
      </c>
      <c r="R470" s="86" t="n">
        <v>0.0435</v>
      </c>
      <c r="S470" s="86" t="n">
        <v>2.03</v>
      </c>
      <c r="T470" s="86" t="n">
        <v>0.1579</v>
      </c>
      <c r="U470" s="86" t="n">
        <v>-0.0862</v>
      </c>
      <c r="V470" s="86" t="n">
        <v>0.1046</v>
      </c>
      <c r="W470" s="86" t="n">
        <v>6.37</v>
      </c>
      <c r="X470" s="86" t="n">
        <v>46.92</v>
      </c>
      <c r="Y470" s="86" t="n">
        <v>0</v>
      </c>
      <c r="Z470" s="86" t="inlineStr">
        <is>
          <t>CLEAR</t>
        </is>
      </c>
    </row>
    <row r="471" ht="17" customHeight="1">
      <c r="A471" s="82" t="n">
        <v>469</v>
      </c>
      <c r="B471" s="82" t="inlineStr">
        <is>
          <t>DUK</t>
        </is>
      </c>
      <c r="C471" s="82" t="inlineStr">
        <is>
          <t>DUKE ENERGY CORPORATION</t>
        </is>
      </c>
      <c r="D471" s="82" t="n">
        <v>0.34</v>
      </c>
      <c r="E471" s="207" t="inlineStr">
        <is>
          <t>Distress</t>
        </is>
      </c>
      <c r="F471" s="82" t="n">
        <v>0.34</v>
      </c>
      <c r="G471" s="82" t="inlineStr">
        <is>
          <t>Distress</t>
        </is>
      </c>
      <c r="H471" s="82" t="n">
        <v>0.3</v>
      </c>
      <c r="I471" s="82" t="inlineStr">
        <is>
          <t>Distress</t>
        </is>
      </c>
      <c r="J471" s="82" t="n">
        <v>1.23</v>
      </c>
      <c r="K471" s="82" t="n">
        <v>0.77</v>
      </c>
      <c r="L471" s="82" t="inlineStr">
        <is>
          <t>Distress</t>
        </is>
      </c>
      <c r="M471" s="82" t="n">
        <v>7</v>
      </c>
      <c r="N471" s="82" t="inlineStr">
        <is>
          <t>Strong</t>
        </is>
      </c>
      <c r="O471" s="207" t="n">
        <v>-1.9</v>
      </c>
      <c r="P471" s="82" t="inlineStr">
        <is>
          <t>Higher Risk</t>
        </is>
      </c>
      <c r="Q471" s="82" t="n">
        <v>8.34</v>
      </c>
      <c r="R471" s="82" t="n">
        <v>0.0958</v>
      </c>
      <c r="S471" s="82" t="n">
        <v>2.48</v>
      </c>
      <c r="T471" s="82" t="n">
        <v>-0.0863</v>
      </c>
      <c r="U471" s="82" t="n">
        <v>2.4458</v>
      </c>
      <c r="V471" s="82" t="n">
        <v>0.4396</v>
      </c>
      <c r="W471" s="82" t="n">
        <v>2.37</v>
      </c>
      <c r="X471" s="82" t="n">
        <v>46.9</v>
      </c>
      <c r="Y471" s="82" t="n">
        <v>20</v>
      </c>
      <c r="Z471" s="82" t="inlineStr">
        <is>
          <t>CLEAR</t>
        </is>
      </c>
    </row>
    <row r="472" ht="17" customHeight="1">
      <c r="A472" s="86" t="n">
        <v>470</v>
      </c>
      <c r="B472" s="86" t="inlineStr">
        <is>
          <t>BX</t>
        </is>
      </c>
      <c r="C472" s="86" t="inlineStr">
        <is>
          <t>Blackstone Inc.</t>
        </is>
      </c>
      <c r="D472" s="90" t="inlineStr">
        <is>
          <t>N/A</t>
        </is>
      </c>
      <c r="E472" s="90" t="inlineStr">
        <is>
          <t>N/A</t>
        </is>
      </c>
      <c r="F472" s="90" t="inlineStr">
        <is>
          <t>N/A</t>
        </is>
      </c>
      <c r="G472" s="90" t="inlineStr">
        <is>
          <t>N/A</t>
        </is>
      </c>
      <c r="H472" s="90" t="inlineStr">
        <is>
          <t>N/A</t>
        </is>
      </c>
      <c r="I472" s="90" t="inlineStr">
        <is>
          <t>N/A</t>
        </is>
      </c>
      <c r="J472" s="90" t="inlineStr">
        <is>
          <t>N/A</t>
        </is>
      </c>
      <c r="K472" s="90" t="inlineStr">
        <is>
          <t>N/A</t>
        </is>
      </c>
      <c r="L472" s="90" t="inlineStr">
        <is>
          <t>N/A</t>
        </is>
      </c>
      <c r="M472" s="86" t="n">
        <v>5</v>
      </c>
      <c r="N472" s="86" t="inlineStr">
        <is>
          <t>Mixed</t>
        </is>
      </c>
      <c r="O472" s="207" t="n">
        <v>-2.53</v>
      </c>
      <c r="P472" s="86" t="inlineStr">
        <is>
          <t>Lower Risk</t>
        </is>
      </c>
      <c r="Q472" s="86" t="n">
        <v>1.37</v>
      </c>
      <c r="R472" s="86" t="n">
        <v>0.3484</v>
      </c>
      <c r="S472" s="86" t="n">
        <v>1.54</v>
      </c>
      <c r="T472" s="86" t="n">
        <v>0.3147</v>
      </c>
      <c r="U472" s="86" t="n">
        <v>0.0922</v>
      </c>
      <c r="V472" s="86" t="n">
        <v>0.4963</v>
      </c>
      <c r="W472" s="86" t="n">
        <v>14.11</v>
      </c>
      <c r="X472" s="86" t="n">
        <v>46.89</v>
      </c>
      <c r="Y472" s="86" t="n">
        <v>0</v>
      </c>
      <c r="Z472" s="86" t="inlineStr">
        <is>
          <t>CLEAR</t>
        </is>
      </c>
    </row>
    <row r="473" ht="17" customHeight="1">
      <c r="A473" s="82" t="n">
        <v>471</v>
      </c>
      <c r="B473" s="82" t="inlineStr">
        <is>
          <t>BOX</t>
        </is>
      </c>
      <c r="C473" s="82" t="inlineStr">
        <is>
          <t>Box, Inc.</t>
        </is>
      </c>
      <c r="D473" s="82" t="n">
        <v>-0.02</v>
      </c>
      <c r="E473" s="207" t="inlineStr">
        <is>
          <t>Distress</t>
        </is>
      </c>
      <c r="F473" s="82" t="n">
        <v>-1.28</v>
      </c>
      <c r="G473" s="82" t="inlineStr">
        <is>
          <t>Distress</t>
        </is>
      </c>
      <c r="H473" s="82" t="n">
        <v>0.44</v>
      </c>
      <c r="I473" s="82" t="inlineStr">
        <is>
          <t>Distress</t>
        </is>
      </c>
      <c r="J473" s="82" t="n">
        <v>0.29</v>
      </c>
      <c r="K473" s="82" t="n">
        <v>0.57</v>
      </c>
      <c r="L473" s="82" t="inlineStr">
        <is>
          <t>Distress</t>
        </is>
      </c>
      <c r="M473" s="82" t="n">
        <v>6</v>
      </c>
      <c r="N473" s="82" t="inlineStr">
        <is>
          <t>Mixed</t>
        </is>
      </c>
      <c r="O473" s="207" t="n">
        <v>-2.84</v>
      </c>
      <c r="P473" s="82" t="inlineStr">
        <is>
          <t>Lower Risk</t>
        </is>
      </c>
      <c r="Q473" s="82" t="n">
        <v>0.65</v>
      </c>
      <c r="R473" s="82" t="n">
        <v>-0.3855</v>
      </c>
      <c r="S473" s="82" t="n">
        <v>3.09</v>
      </c>
      <c r="T473" s="82" t="n">
        <v>0.6922</v>
      </c>
      <c r="U473" s="82" t="n">
        <v>0.2698</v>
      </c>
      <c r="V473" s="82" t="n">
        <v>0.1644</v>
      </c>
      <c r="W473" s="82" t="n">
        <v>7.78</v>
      </c>
      <c r="X473" s="82" t="n">
        <v>46.83</v>
      </c>
      <c r="Y473" s="82" t="n">
        <v>20</v>
      </c>
      <c r="Z473" s="82" t="inlineStr">
        <is>
          <t>CLEAR</t>
        </is>
      </c>
    </row>
    <row r="474" ht="17" customHeight="1">
      <c r="A474" s="86" t="n">
        <v>472</v>
      </c>
      <c r="B474" s="86" t="inlineStr">
        <is>
          <t>MOH</t>
        </is>
      </c>
      <c r="C474" s="86" t="inlineStr">
        <is>
          <t>MOLINA HEALTHCARE, INC.</t>
        </is>
      </c>
      <c r="D474" s="86" t="n">
        <v>3.65</v>
      </c>
      <c r="E474" s="206" t="inlineStr">
        <is>
          <t>Safe</t>
        </is>
      </c>
      <c r="F474" s="86" t="n">
        <v>3.6</v>
      </c>
      <c r="G474" s="86" t="inlineStr">
        <is>
          <t>Safe</t>
        </is>
      </c>
      <c r="H474" s="86" t="n">
        <v>1.71</v>
      </c>
      <c r="I474" s="86" t="inlineStr">
        <is>
          <t>Healthy</t>
        </is>
      </c>
      <c r="J474" s="86" t="n">
        <v>-0.27</v>
      </c>
      <c r="K474" s="86" t="n">
        <v>0.43</v>
      </c>
      <c r="L474" s="86" t="inlineStr">
        <is>
          <t>Healthy</t>
        </is>
      </c>
      <c r="M474" s="86" t="n">
        <v>4</v>
      </c>
      <c r="N474" s="86" t="inlineStr">
        <is>
          <t>Mixed</t>
        </is>
      </c>
      <c r="O474" s="207" t="n">
        <v>-2.05</v>
      </c>
      <c r="P474" s="86" t="inlineStr">
        <is>
          <t>Higher Risk</t>
        </is>
      </c>
      <c r="Q474" s="86" t="n">
        <v>-2.87</v>
      </c>
      <c r="R474" s="86" t="n">
        <v>0.116</v>
      </c>
      <c r="S474" s="86" t="n">
        <v>-1.13</v>
      </c>
      <c r="T474" s="86" t="n">
        <v>-0.014</v>
      </c>
      <c r="U474" s="86" t="n">
        <v>0.1175</v>
      </c>
      <c r="V474" s="86" t="n">
        <v>0.0172</v>
      </c>
      <c r="W474" s="86" t="n">
        <v>7.17</v>
      </c>
      <c r="X474" s="86" t="n">
        <v>46.82</v>
      </c>
      <c r="Y474" s="86" t="n">
        <v>40</v>
      </c>
      <c r="Z474" s="86" t="inlineStr">
        <is>
          <t>WATCH</t>
        </is>
      </c>
    </row>
    <row r="475" ht="17" customHeight="1">
      <c r="A475" s="82" t="n">
        <v>473</v>
      </c>
      <c r="B475" s="82" t="inlineStr">
        <is>
          <t>YUM</t>
        </is>
      </c>
      <c r="C475" s="82" t="inlineStr">
        <is>
          <t>YUM! BRANDS, INC.</t>
        </is>
      </c>
      <c r="D475" s="82" t="n">
        <v>1.08</v>
      </c>
      <c r="E475" s="207" t="inlineStr">
        <is>
          <t>Distress</t>
        </is>
      </c>
      <c r="F475" s="82" t="n">
        <v>-0.8</v>
      </c>
      <c r="G475" s="82" t="inlineStr">
        <is>
          <t>Distress</t>
        </is>
      </c>
      <c r="H475" s="82" t="n">
        <v>2.33</v>
      </c>
      <c r="I475" s="82" t="inlineStr">
        <is>
          <t>Healthy</t>
        </is>
      </c>
      <c r="J475" s="82" t="n">
        <v>5.56</v>
      </c>
      <c r="K475" s="82" t="n">
        <v>1</v>
      </c>
      <c r="L475" s="82" t="inlineStr">
        <is>
          <t>Distress</t>
        </is>
      </c>
      <c r="M475" s="82" t="n">
        <v>5</v>
      </c>
      <c r="N475" s="82" t="inlineStr">
        <is>
          <t>Mixed</t>
        </is>
      </c>
      <c r="O475" s="91" t="inlineStr">
        <is>
          <t>N/A</t>
        </is>
      </c>
      <c r="P475" s="82" t="inlineStr">
        <is>
          <t>Insufficient Data</t>
        </is>
      </c>
      <c r="Q475" s="82" t="n">
        <v>0.98</v>
      </c>
      <c r="R475" s="82" t="n">
        <v>-0.1967</v>
      </c>
      <c r="S475" s="82" t="n">
        <v>1.29</v>
      </c>
      <c r="T475" s="82" t="n">
        <v>0.1995</v>
      </c>
      <c r="U475" s="82" t="n">
        <v>0.0881</v>
      </c>
      <c r="V475" s="82" t="n">
        <v>0.3134</v>
      </c>
      <c r="W475" s="82" t="n">
        <v>21.81</v>
      </c>
      <c r="X475" s="82" t="n">
        <v>46.73</v>
      </c>
      <c r="Y475" s="82" t="n">
        <v>0</v>
      </c>
      <c r="Z475" s="82" t="inlineStr">
        <is>
          <t>CLEAR</t>
        </is>
      </c>
    </row>
    <row r="476" ht="17" customHeight="1">
      <c r="A476" s="86" t="n">
        <v>474</v>
      </c>
      <c r="B476" s="86" t="inlineStr">
        <is>
          <t>GILD</t>
        </is>
      </c>
      <c r="C476" s="86" t="inlineStr">
        <is>
          <t>GILEAD SCIENCES, INC.</t>
        </is>
      </c>
      <c r="D476" s="86" t="n">
        <v>1.38</v>
      </c>
      <c r="E476" s="208" t="inlineStr">
        <is>
          <t>Grey</t>
        </is>
      </c>
      <c r="F476" s="86" t="n">
        <v>3.03</v>
      </c>
      <c r="G476" s="86" t="inlineStr">
        <is>
          <t>Safe</t>
        </is>
      </c>
      <c r="H476" s="86" t="n">
        <v>1.35</v>
      </c>
      <c r="I476" s="86" t="inlineStr">
        <is>
          <t>Healthy</t>
        </is>
      </c>
      <c r="J476" s="86" t="n">
        <v>0.7</v>
      </c>
      <c r="K476" s="86" t="n">
        <v>0.67</v>
      </c>
      <c r="L476" s="86" t="inlineStr">
        <is>
          <t>Distress</t>
        </is>
      </c>
      <c r="M476" s="86" t="n">
        <v>6</v>
      </c>
      <c r="N476" s="86" t="inlineStr">
        <is>
          <t>Mixed</t>
        </is>
      </c>
      <c r="O476" s="207" t="n">
        <v>-0.06</v>
      </c>
      <c r="P476" s="86" t="inlineStr">
        <is>
          <t>Higher Risk</t>
        </is>
      </c>
      <c r="Q476" s="86" t="n">
        <v>1.88</v>
      </c>
      <c r="R476" s="86" t="n">
        <v>0.3748</v>
      </c>
      <c r="S476" s="86" t="n">
        <v>1.18</v>
      </c>
      <c r="T476" s="86" t="n">
        <v>0.383</v>
      </c>
      <c r="U476" s="86" t="n">
        <v>2.3269</v>
      </c>
      <c r="V476" s="86" t="n">
        <v>0.4059</v>
      </c>
      <c r="W476" s="86" t="n">
        <v>10.62</v>
      </c>
      <c r="X476" s="86" t="n">
        <v>46.67</v>
      </c>
      <c r="Y476" s="86" t="n">
        <v>20</v>
      </c>
      <c r="Z476" s="86" t="inlineStr">
        <is>
          <t>CLEAR</t>
        </is>
      </c>
    </row>
    <row r="477" ht="17" customHeight="1">
      <c r="A477" s="82" t="n">
        <v>475</v>
      </c>
      <c r="B477" s="82" t="inlineStr">
        <is>
          <t>DOW</t>
        </is>
      </c>
      <c r="C477" s="82" t="inlineStr">
        <is>
          <t>Dow Inc.</t>
        </is>
      </c>
      <c r="D477" s="82" t="n">
        <v>1.01</v>
      </c>
      <c r="E477" s="207" t="inlineStr">
        <is>
          <t>Distress</t>
        </is>
      </c>
      <c r="F477" s="82" t="n">
        <v>1.93</v>
      </c>
      <c r="G477" s="82" t="inlineStr">
        <is>
          <t>Grey</t>
        </is>
      </c>
      <c r="H477" s="82" t="n">
        <v>0.12</v>
      </c>
      <c r="I477" s="82" t="inlineStr">
        <is>
          <t>Distress</t>
        </is>
      </c>
      <c r="J477" s="82" t="n">
        <v>1.54</v>
      </c>
      <c r="K477" s="82" t="n">
        <v>0.82</v>
      </c>
      <c r="L477" s="82" t="inlineStr">
        <is>
          <t>Distress</t>
        </is>
      </c>
      <c r="M477" s="82" t="n">
        <v>5</v>
      </c>
      <c r="N477" s="82" t="inlineStr">
        <is>
          <t>Mixed</t>
        </is>
      </c>
      <c r="O477" s="207" t="n">
        <v>-3.25</v>
      </c>
      <c r="P477" s="82" t="inlineStr">
        <is>
          <t>Lower Risk</t>
        </is>
      </c>
      <c r="Q477" s="82" t="n">
        <v>34.81</v>
      </c>
      <c r="R477" s="82" t="n">
        <v>-0.1527</v>
      </c>
      <c r="S477" s="82" t="n">
        <v>-0.42</v>
      </c>
      <c r="T477" s="82" t="n">
        <v>-0.0362</v>
      </c>
      <c r="U477" s="82" t="n">
        <v>-0.0697</v>
      </c>
      <c r="V477" s="82" t="n">
        <v>-0.06279999999999999</v>
      </c>
      <c r="W477" s="82" t="n">
        <v>-2.9</v>
      </c>
      <c r="X477" s="82" t="n">
        <v>46.5</v>
      </c>
      <c r="Y477" s="82" t="n">
        <v>20</v>
      </c>
      <c r="Z477" s="82" t="inlineStr">
        <is>
          <t>CLEAR</t>
        </is>
      </c>
    </row>
    <row r="478" ht="17" customHeight="1">
      <c r="A478" s="86" t="n">
        <v>476</v>
      </c>
      <c r="B478" s="86" t="inlineStr">
        <is>
          <t>GM</t>
        </is>
      </c>
      <c r="C478" s="86" t="inlineStr">
        <is>
          <t>GENERAL MOTORS COMPANY</t>
        </is>
      </c>
      <c r="D478" s="86" t="n">
        <v>1</v>
      </c>
      <c r="E478" s="207" t="inlineStr">
        <is>
          <t>Distress</t>
        </is>
      </c>
      <c r="F478" s="86" t="n">
        <v>1.32</v>
      </c>
      <c r="G478" s="86" t="inlineStr">
        <is>
          <t>Grey</t>
        </is>
      </c>
      <c r="H478" s="86" t="n">
        <v>0.37</v>
      </c>
      <c r="I478" s="86" t="inlineStr">
        <is>
          <t>Distress</t>
        </is>
      </c>
      <c r="J478" s="86" t="n">
        <v>0.03</v>
      </c>
      <c r="K478" s="86" t="n">
        <v>0.51</v>
      </c>
      <c r="L478" s="86" t="inlineStr">
        <is>
          <t>Distress</t>
        </is>
      </c>
      <c r="M478" s="86" t="n">
        <v>5</v>
      </c>
      <c r="N478" s="86" t="inlineStr">
        <is>
          <t>Mixed</t>
        </is>
      </c>
      <c r="O478" s="207" t="n">
        <v>-4.28</v>
      </c>
      <c r="P478" s="86" t="inlineStr">
        <is>
          <t>Lower Risk</t>
        </is>
      </c>
      <c r="Q478" s="86" t="n">
        <v>-1.41</v>
      </c>
      <c r="R478" s="86" t="n">
        <v>0.0441</v>
      </c>
      <c r="S478" s="86" t="n">
        <v>9.960000000000001</v>
      </c>
      <c r="T478" s="86" t="n">
        <v>0.0949</v>
      </c>
      <c r="U478" s="86" t="n">
        <v>-0.0129</v>
      </c>
      <c r="V478" s="86" t="n">
        <v>0.0157</v>
      </c>
      <c r="W478" s="86" t="n">
        <v>0.71</v>
      </c>
      <c r="X478" s="86" t="n">
        <v>46.45</v>
      </c>
      <c r="Y478" s="86" t="n">
        <v>0</v>
      </c>
      <c r="Z478" s="86" t="inlineStr">
        <is>
          <t>CLEAR</t>
        </is>
      </c>
    </row>
    <row r="479" ht="17" customHeight="1">
      <c r="A479" s="82" t="n">
        <v>477</v>
      </c>
      <c r="B479" s="82" t="inlineStr">
        <is>
          <t>FISV</t>
        </is>
      </c>
      <c r="C479" s="82" t="inlineStr">
        <is>
          <t>FISERV INC</t>
        </is>
      </c>
      <c r="D479" s="82" t="n">
        <v>0.98</v>
      </c>
      <c r="E479" s="207" t="inlineStr">
        <is>
          <t>Distress</t>
        </is>
      </c>
      <c r="F479" s="82" t="n">
        <v>2.15</v>
      </c>
      <c r="G479" s="82" t="inlineStr">
        <is>
          <t>Grey</t>
        </is>
      </c>
      <c r="H479" s="82" t="n">
        <v>0.44</v>
      </c>
      <c r="I479" s="82" t="inlineStr">
        <is>
          <t>Distress</t>
        </is>
      </c>
      <c r="J479" s="82" t="n">
        <v>-0.68</v>
      </c>
      <c r="K479" s="82" t="n">
        <v>0.34</v>
      </c>
      <c r="L479" s="82" t="inlineStr">
        <is>
          <t>Healthy</t>
        </is>
      </c>
      <c r="M479" s="82" t="n">
        <v>5</v>
      </c>
      <c r="N479" s="82" t="inlineStr">
        <is>
          <t>Mixed</t>
        </is>
      </c>
      <c r="O479" s="207" t="n">
        <v>-2.7</v>
      </c>
      <c r="P479" s="82" t="inlineStr">
        <is>
          <t>Lower Risk</t>
        </is>
      </c>
      <c r="Q479" s="82" t="n">
        <v>0.27</v>
      </c>
      <c r="R479" s="82" t="n">
        <v>0.1349</v>
      </c>
      <c r="S479" s="82" t="n">
        <v>1.74</v>
      </c>
      <c r="T479" s="82" t="n">
        <v>0.2028</v>
      </c>
      <c r="U479" s="82" t="n">
        <v>0.036</v>
      </c>
      <c r="V479" s="82" t="n">
        <v>0.2745</v>
      </c>
      <c r="W479" s="82" t="n">
        <v>5.79</v>
      </c>
      <c r="X479" s="82" t="n">
        <v>46.38</v>
      </c>
      <c r="Y479" s="82" t="n">
        <v>0</v>
      </c>
      <c r="Z479" s="82" t="inlineStr">
        <is>
          <t>CLEAR</t>
        </is>
      </c>
    </row>
    <row r="480" ht="17" customHeight="1">
      <c r="A480" s="86" t="n">
        <v>478</v>
      </c>
      <c r="B480" s="86" t="inlineStr">
        <is>
          <t>HLT</t>
        </is>
      </c>
      <c r="C480" s="86" t="inlineStr">
        <is>
          <t>Hilton Worldwide Holdings Inc.</t>
        </is>
      </c>
      <c r="D480" s="86" t="n">
        <v>0.97</v>
      </c>
      <c r="E480" s="207" t="inlineStr">
        <is>
          <t>Distress</t>
        </is>
      </c>
      <c r="F480" s="86" t="n">
        <v>-0.06</v>
      </c>
      <c r="G480" s="86" t="inlineStr">
        <is>
          <t>Distress</t>
        </is>
      </c>
      <c r="H480" s="86" t="n">
        <v>0.99</v>
      </c>
      <c r="I480" s="86" t="inlineStr">
        <is>
          <t>Healthy</t>
        </is>
      </c>
      <c r="J480" s="86" t="n">
        <v>2.76</v>
      </c>
      <c r="K480" s="86" t="n">
        <v>0.9399999999999999</v>
      </c>
      <c r="L480" s="86" t="inlineStr">
        <is>
          <t>Distress</t>
        </is>
      </c>
      <c r="M480" s="86" t="n">
        <v>5</v>
      </c>
      <c r="N480" s="86" t="inlineStr">
        <is>
          <t>Mixed</t>
        </is>
      </c>
      <c r="O480" s="90" t="inlineStr">
        <is>
          <t>N/A</t>
        </is>
      </c>
      <c r="P480" s="86" t="inlineStr">
        <is>
          <t>Insufficient Data</t>
        </is>
      </c>
      <c r="Q480" s="86" t="n">
        <v>-0.32</v>
      </c>
      <c r="R480" s="86" t="n">
        <v>-0.2704</v>
      </c>
      <c r="S480" s="86" t="n">
        <v>1.46</v>
      </c>
      <c r="T480" s="86" t="n">
        <v>0.1685</v>
      </c>
      <c r="U480" s="86" t="n">
        <v>0.0774</v>
      </c>
      <c r="V480" s="86" t="n">
        <v>0.2237</v>
      </c>
      <c r="W480" s="86" t="n">
        <v>4.73</v>
      </c>
      <c r="X480" s="86" t="n">
        <v>46.35</v>
      </c>
      <c r="Y480" s="86" t="n">
        <v>0</v>
      </c>
      <c r="Z480" s="86" t="inlineStr">
        <is>
          <t>CLEAR</t>
        </is>
      </c>
    </row>
    <row r="481" ht="17" customHeight="1">
      <c r="A481" s="82" t="n">
        <v>479</v>
      </c>
      <c r="B481" s="82" t="inlineStr">
        <is>
          <t>MCD</t>
        </is>
      </c>
      <c r="C481" s="82" t="inlineStr">
        <is>
          <t>McDONALD’S CORPORATION</t>
        </is>
      </c>
      <c r="D481" s="82" t="n">
        <v>2.08</v>
      </c>
      <c r="E481" s="208" t="inlineStr">
        <is>
          <t>Grey</t>
        </is>
      </c>
      <c r="F481" s="82" t="n">
        <v>5.2</v>
      </c>
      <c r="G481" s="82" t="inlineStr">
        <is>
          <t>Safe</t>
        </is>
      </c>
      <c r="H481" s="82" t="n">
        <v>1.31</v>
      </c>
      <c r="I481" s="82" t="inlineStr">
        <is>
          <t>Healthy</t>
        </is>
      </c>
      <c r="J481" s="82" t="n">
        <v>0.7</v>
      </c>
      <c r="K481" s="82" t="n">
        <v>0.67</v>
      </c>
      <c r="L481" s="82" t="inlineStr">
        <is>
          <t>Distress</t>
        </is>
      </c>
      <c r="M481" s="82" t="n">
        <v>4</v>
      </c>
      <c r="N481" s="82" t="inlineStr">
        <is>
          <t>Mixed</t>
        </is>
      </c>
      <c r="O481" s="91" t="inlineStr">
        <is>
          <t>N/A</t>
        </is>
      </c>
      <c r="P481" s="82" t="inlineStr">
        <is>
          <t>Insufficient Data</t>
        </is>
      </c>
      <c r="Q481" s="82" t="n">
        <v>2.69</v>
      </c>
      <c r="R481" s="82" t="n">
        <v>-4.7811</v>
      </c>
      <c r="S481" s="82" t="n">
        <v>1.23</v>
      </c>
      <c r="T481" s="82" t="n">
        <v>0.2673</v>
      </c>
      <c r="U481" s="82" t="n">
        <v>0.0372</v>
      </c>
      <c r="V481" s="82" t="n">
        <v>0.461</v>
      </c>
      <c r="W481" s="82" t="n">
        <v>7.83</v>
      </c>
      <c r="X481" s="82" t="n">
        <v>46.35</v>
      </c>
      <c r="Y481" s="82" t="n">
        <v>0</v>
      </c>
      <c r="Z481" s="82" t="inlineStr">
        <is>
          <t>CLEAR</t>
        </is>
      </c>
    </row>
    <row r="482" ht="17" customHeight="1">
      <c r="A482" s="86" t="n">
        <v>480</v>
      </c>
      <c r="B482" s="86" t="inlineStr">
        <is>
          <t>SHW</t>
        </is>
      </c>
      <c r="C482" s="86" t="inlineStr">
        <is>
          <t>THE SHERWIN-WILLIAMS COMPANY</t>
        </is>
      </c>
      <c r="D482" s="86" t="n">
        <v>1.27</v>
      </c>
      <c r="E482" s="208" t="inlineStr">
        <is>
          <t>Grey</t>
        </is>
      </c>
      <c r="F482" s="86" t="n">
        <v>1.16</v>
      </c>
      <c r="G482" s="86" t="inlineStr">
        <is>
          <t>Grey</t>
        </is>
      </c>
      <c r="H482" s="86" t="n">
        <v>1.05</v>
      </c>
      <c r="I482" s="86" t="inlineStr">
        <is>
          <t>Healthy</t>
        </is>
      </c>
      <c r="J482" s="86" t="n">
        <v>0.9</v>
      </c>
      <c r="K482" s="86" t="n">
        <v>0.71</v>
      </c>
      <c r="L482" s="86" t="inlineStr">
        <is>
          <t>Distress</t>
        </is>
      </c>
      <c r="M482" s="86" t="n">
        <v>6</v>
      </c>
      <c r="N482" s="86" t="inlineStr">
        <is>
          <t>Mixed</t>
        </is>
      </c>
      <c r="O482" s="207" t="n">
        <v>1.39</v>
      </c>
      <c r="P482" s="86" t="inlineStr">
        <is>
          <t>Higher Risk</t>
        </is>
      </c>
      <c r="Q482" s="86" t="n">
        <v>2.1</v>
      </c>
      <c r="R482" s="86" t="n">
        <v>0.5586</v>
      </c>
      <c r="S482" s="86" t="n">
        <v>1.34</v>
      </c>
      <c r="T482" s="86" t="n">
        <v>0.1858</v>
      </c>
      <c r="U482" s="86" t="n">
        <v>3.3508</v>
      </c>
      <c r="V482" s="86" t="n">
        <v>0.2325</v>
      </c>
      <c r="W482" s="86" t="n">
        <v>9.970000000000001</v>
      </c>
      <c r="X482" s="86" t="n">
        <v>46.28</v>
      </c>
      <c r="Y482" s="86" t="n">
        <v>20</v>
      </c>
      <c r="Z482" s="86" t="inlineStr">
        <is>
          <t>CLEAR</t>
        </is>
      </c>
    </row>
    <row r="483" ht="17" customHeight="1">
      <c r="A483" s="82" t="n">
        <v>481</v>
      </c>
      <c r="B483" s="82" t="inlineStr">
        <is>
          <t>PCOR</t>
        </is>
      </c>
      <c r="C483" s="82" t="inlineStr">
        <is>
          <t>Procore Technologies, Inc.</t>
        </is>
      </c>
      <c r="D483" s="82" t="n">
        <v>0.54</v>
      </c>
      <c r="E483" s="207" t="inlineStr">
        <is>
          <t>Distress</t>
        </is>
      </c>
      <c r="F483" s="82" t="n">
        <v>-0.15</v>
      </c>
      <c r="G483" s="82" t="inlineStr">
        <is>
          <t>Distress</t>
        </is>
      </c>
      <c r="H483" s="82" t="n">
        <v>0.13</v>
      </c>
      <c r="I483" s="82" t="inlineStr">
        <is>
          <t>Distress</t>
        </is>
      </c>
      <c r="J483" s="82" t="n">
        <v>-1.65</v>
      </c>
      <c r="K483" s="82" t="n">
        <v>0.16</v>
      </c>
      <c r="L483" s="82" t="inlineStr">
        <is>
          <t>Healthy</t>
        </is>
      </c>
      <c r="M483" s="82" t="n">
        <v>5</v>
      </c>
      <c r="N483" s="82" t="inlineStr">
        <is>
          <t>Mixed</t>
        </is>
      </c>
      <c r="O483" s="207" t="n">
        <v>-3.3</v>
      </c>
      <c r="P483" s="82" t="inlineStr">
        <is>
          <t>Lower Risk</t>
        </is>
      </c>
      <c r="Q483" s="82" t="n">
        <v>34.92</v>
      </c>
      <c r="R483" s="82" t="n">
        <v>-0.0798</v>
      </c>
      <c r="S483" s="82" t="n">
        <v>-2.98</v>
      </c>
      <c r="T483" s="82" t="n">
        <v>0.2134</v>
      </c>
      <c r="U483" s="82" t="n">
        <v>0.1483</v>
      </c>
      <c r="V483" s="82" t="n">
        <v>-0.094</v>
      </c>
      <c r="W483" s="82" t="n">
        <v>-63.54</v>
      </c>
      <c r="X483" s="82" t="n">
        <v>46.22</v>
      </c>
      <c r="Y483" s="82" t="n">
        <v>40</v>
      </c>
      <c r="Z483" s="82" t="inlineStr">
        <is>
          <t>WATCH</t>
        </is>
      </c>
    </row>
    <row r="484" ht="17" customHeight="1">
      <c r="A484" s="86" t="n">
        <v>482</v>
      </c>
      <c r="B484" s="86" t="inlineStr">
        <is>
          <t>TAP</t>
        </is>
      </c>
      <c r="C484" s="86" t="inlineStr">
        <is>
          <t>MOLSON COORS BEVERAGE CO</t>
        </is>
      </c>
      <c r="D484" s="86" t="n">
        <v>0.6899999999999999</v>
      </c>
      <c r="E484" s="207" t="inlineStr">
        <is>
          <t>Distress</t>
        </is>
      </c>
      <c r="F484" s="86" t="n">
        <v>0.33</v>
      </c>
      <c r="G484" s="86" t="inlineStr">
        <is>
          <t>Distress</t>
        </is>
      </c>
      <c r="H484" s="86" t="n">
        <v>-0.53</v>
      </c>
      <c r="I484" s="86" t="inlineStr">
        <is>
          <t>Distress</t>
        </is>
      </c>
      <c r="J484" s="86" t="n">
        <v>-0.86</v>
      </c>
      <c r="K484" s="86" t="n">
        <v>0.3</v>
      </c>
      <c r="L484" s="86" t="inlineStr">
        <is>
          <t>Healthy</t>
        </is>
      </c>
      <c r="M484" s="86" t="n">
        <v>5</v>
      </c>
      <c r="N484" s="86" t="inlineStr">
        <is>
          <t>Mixed</t>
        </is>
      </c>
      <c r="O484" s="207" t="n">
        <v>-3.35</v>
      </c>
      <c r="P484" s="86" t="inlineStr">
        <is>
          <t>Lower Risk</t>
        </is>
      </c>
      <c r="Q484" s="86" t="n">
        <v>-3.3</v>
      </c>
      <c r="R484" s="86" t="n">
        <v>-0.2091</v>
      </c>
      <c r="S484" s="86" t="n">
        <v>-0.83</v>
      </c>
      <c r="T484" s="86" t="n">
        <v>0.0911</v>
      </c>
      <c r="U484" s="86" t="n">
        <v>-0.0988</v>
      </c>
      <c r="V484" s="86" t="n">
        <v>-0.1993</v>
      </c>
      <c r="W484" s="86" t="n">
        <v>-9.99</v>
      </c>
      <c r="X484" s="86" t="n">
        <v>46.13</v>
      </c>
      <c r="Y484" s="86" t="n">
        <v>40</v>
      </c>
      <c r="Z484" s="86" t="inlineStr">
        <is>
          <t>WATCH</t>
        </is>
      </c>
    </row>
    <row r="485" ht="17" customHeight="1">
      <c r="A485" s="82" t="n">
        <v>483</v>
      </c>
      <c r="B485" s="82" t="inlineStr">
        <is>
          <t>CRM</t>
        </is>
      </c>
      <c r="C485" s="82" t="inlineStr">
        <is>
          <t>Salesforce, Inc.</t>
        </is>
      </c>
      <c r="D485" s="82" t="n">
        <v>0.88</v>
      </c>
      <c r="E485" s="207" t="inlineStr">
        <is>
          <t>Distress</t>
        </is>
      </c>
      <c r="F485" s="82" t="n">
        <v>1.79</v>
      </c>
      <c r="G485" s="82" t="inlineStr">
        <is>
          <t>Grey</t>
        </is>
      </c>
      <c r="H485" s="82" t="n">
        <v>0.35</v>
      </c>
      <c r="I485" s="82" t="inlineStr">
        <is>
          <t>Distress</t>
        </is>
      </c>
      <c r="J485" s="82" t="n">
        <v>-1.94</v>
      </c>
      <c r="K485" s="82" t="n">
        <v>0.13</v>
      </c>
      <c r="L485" s="82" t="inlineStr">
        <is>
          <t>Healthy</t>
        </is>
      </c>
      <c r="M485" s="82" t="n">
        <v>6</v>
      </c>
      <c r="N485" s="82" t="inlineStr">
        <is>
          <t>Mixed</t>
        </is>
      </c>
      <c r="O485" s="207" t="n">
        <v>0.28</v>
      </c>
      <c r="P485" s="82" t="inlineStr">
        <is>
          <t>Higher Risk</t>
        </is>
      </c>
      <c r="Q485" s="82" t="n">
        <v>0.59</v>
      </c>
      <c r="R485" s="82" t="n">
        <v>0.1261</v>
      </c>
      <c r="S485" s="82" t="n">
        <v>2.01</v>
      </c>
      <c r="T485" s="82" t="n">
        <v>1.7162</v>
      </c>
      <c r="U485" s="82" t="n">
        <v>2.6583</v>
      </c>
      <c r="V485" s="82" t="n">
        <v>0.9927</v>
      </c>
      <c r="W485" s="82" t="n">
        <v>54.1</v>
      </c>
      <c r="X485" s="82" t="n">
        <v>46.08</v>
      </c>
      <c r="Y485" s="82" t="n">
        <v>20</v>
      </c>
      <c r="Z485" s="82" t="inlineStr">
        <is>
          <t>CLEAR</t>
        </is>
      </c>
    </row>
    <row r="486" ht="17" customHeight="1">
      <c r="A486" s="86" t="n">
        <v>484</v>
      </c>
      <c r="B486" s="86" t="inlineStr">
        <is>
          <t>NOV</t>
        </is>
      </c>
      <c r="C486" s="86" t="inlineStr">
        <is>
          <t>NOV INC.</t>
        </is>
      </c>
      <c r="D486" s="86" t="n">
        <v>1.6</v>
      </c>
      <c r="E486" s="208" t="inlineStr">
        <is>
          <t>Grey</t>
        </is>
      </c>
      <c r="F486" s="86" t="n">
        <v>3.41</v>
      </c>
      <c r="G486" s="86" t="inlineStr">
        <is>
          <t>Safe</t>
        </is>
      </c>
      <c r="H486" s="86" t="n">
        <v>0.86</v>
      </c>
      <c r="I486" s="86" t="inlineStr">
        <is>
          <t>Distress</t>
        </is>
      </c>
      <c r="J486" s="86" t="n">
        <v>-1.89</v>
      </c>
      <c r="K486" s="86" t="n">
        <v>0.13</v>
      </c>
      <c r="L486" s="86" t="inlineStr">
        <is>
          <t>Healthy</t>
        </is>
      </c>
      <c r="M486" s="86" t="n">
        <v>4</v>
      </c>
      <c r="N486" s="86" t="inlineStr">
        <is>
          <t>Mixed</t>
        </is>
      </c>
      <c r="O486" s="207" t="n">
        <v>-2.98</v>
      </c>
      <c r="P486" s="86" t="inlineStr">
        <is>
          <t>Lower Risk</t>
        </is>
      </c>
      <c r="Q486" s="86" t="n">
        <v>0.2</v>
      </c>
      <c r="R486" s="86" t="n">
        <v>0.0231</v>
      </c>
      <c r="S486" s="86" t="n">
        <v>8.630000000000001</v>
      </c>
      <c r="T486" s="86" t="n">
        <v>0.1002</v>
      </c>
      <c r="U486" s="86" t="n">
        <v>-0.0142</v>
      </c>
      <c r="V486" s="86" t="n">
        <v>0.0565</v>
      </c>
      <c r="W486" s="86" t="n">
        <v>5.61</v>
      </c>
      <c r="X486" s="86" t="n">
        <v>46.03</v>
      </c>
      <c r="Y486" s="86" t="n">
        <v>0</v>
      </c>
      <c r="Z486" s="86" t="inlineStr">
        <is>
          <t>CLEAR</t>
        </is>
      </c>
    </row>
    <row r="487" ht="17" customHeight="1">
      <c r="A487" s="82" t="n">
        <v>485</v>
      </c>
      <c r="B487" s="82" t="inlineStr">
        <is>
          <t>NKE</t>
        </is>
      </c>
      <c r="C487" s="82" t="inlineStr">
        <is>
          <t>NIKE, Inc.</t>
        </is>
      </c>
      <c r="D487" s="82" t="n">
        <v>1.98</v>
      </c>
      <c r="E487" s="208" t="inlineStr">
        <is>
          <t>Grey</t>
        </is>
      </c>
      <c r="F487" s="82" t="n">
        <v>3.32</v>
      </c>
      <c r="G487" s="82" t="inlineStr">
        <is>
          <t>Safe</t>
        </is>
      </c>
      <c r="H487" s="82" t="n">
        <v>1.44</v>
      </c>
      <c r="I487" s="82" t="inlineStr">
        <is>
          <t>Healthy</t>
        </is>
      </c>
      <c r="J487" s="82" t="n">
        <v>0.95</v>
      </c>
      <c r="K487" s="82" t="n">
        <v>0.72</v>
      </c>
      <c r="L487" s="82" t="inlineStr">
        <is>
          <t>Distress</t>
        </is>
      </c>
      <c r="M487" s="82" t="n">
        <v>4</v>
      </c>
      <c r="N487" s="82" t="inlineStr">
        <is>
          <t>Mixed</t>
        </is>
      </c>
      <c r="O487" s="207" t="n">
        <v>-2.51</v>
      </c>
      <c r="P487" s="82" t="inlineStr">
        <is>
          <t>Lower Risk</t>
        </is>
      </c>
      <c r="Q487" s="82" t="n">
        <v>0.11</v>
      </c>
      <c r="R487" s="82" t="n">
        <v>0.2436</v>
      </c>
      <c r="S487" s="82" t="n">
        <v>1.15</v>
      </c>
      <c r="T487" s="82" t="n">
        <v>0.0706</v>
      </c>
      <c r="U487" s="82" t="n">
        <v>-0.0984</v>
      </c>
      <c r="V487" s="82" t="n">
        <v>0.0839</v>
      </c>
      <c r="W487" s="91" t="inlineStr">
        <is>
          <t>N/A</t>
        </is>
      </c>
      <c r="X487" s="82" t="n">
        <v>45.98</v>
      </c>
      <c r="Y487" s="82" t="n">
        <v>0</v>
      </c>
      <c r="Z487" s="82" t="inlineStr">
        <is>
          <t>CLEAR</t>
        </is>
      </c>
    </row>
    <row r="488" ht="17" customHeight="1">
      <c r="A488" s="86" t="n">
        <v>486</v>
      </c>
      <c r="B488" s="86" t="inlineStr">
        <is>
          <t>VZ</t>
        </is>
      </c>
      <c r="C488" s="86" t="inlineStr">
        <is>
          <t>VERIZON COMMUNICATIONS INC</t>
        </is>
      </c>
      <c r="D488" s="86" t="n">
        <v>0.86</v>
      </c>
      <c r="E488" s="207" t="inlineStr">
        <is>
          <t>Distress</t>
        </is>
      </c>
      <c r="F488" s="86" t="n">
        <v>1.44</v>
      </c>
      <c r="G488" s="86" t="inlineStr">
        <is>
          <t>Grey</t>
        </is>
      </c>
      <c r="H488" s="86" t="n">
        <v>0.58</v>
      </c>
      <c r="I488" s="86" t="inlineStr">
        <is>
          <t>Distress</t>
        </is>
      </c>
      <c r="J488" s="86" t="n">
        <v>1.15</v>
      </c>
      <c r="K488" s="86" t="n">
        <v>0.76</v>
      </c>
      <c r="L488" s="86" t="inlineStr">
        <is>
          <t>Distress</t>
        </is>
      </c>
      <c r="M488" s="86" t="n">
        <v>5</v>
      </c>
      <c r="N488" s="86" t="inlineStr">
        <is>
          <t>Mixed</t>
        </is>
      </c>
      <c r="O488" s="207" t="n">
        <v>-2.7</v>
      </c>
      <c r="P488" s="86" t="inlineStr">
        <is>
          <t>Lower Risk</t>
        </is>
      </c>
      <c r="Q488" s="86" t="n">
        <v>1.56</v>
      </c>
      <c r="R488" s="86" t="n">
        <v>0.1624</v>
      </c>
      <c r="S488" s="86" t="n">
        <v>2.16</v>
      </c>
      <c r="T488" s="86" t="n">
        <v>0.1482</v>
      </c>
      <c r="U488" s="86" t="n">
        <v>0.0252</v>
      </c>
      <c r="V488" s="86" t="n">
        <v>0.2117</v>
      </c>
      <c r="W488" s="86" t="n">
        <v>5.3</v>
      </c>
      <c r="X488" s="86" t="n">
        <v>45.97</v>
      </c>
      <c r="Y488" s="86" t="n">
        <v>0</v>
      </c>
      <c r="Z488" s="86" t="inlineStr">
        <is>
          <t>CLEAR</t>
        </is>
      </c>
    </row>
    <row r="489" ht="17" customHeight="1">
      <c r="A489" s="82" t="n">
        <v>487</v>
      </c>
      <c r="B489" s="82" t="inlineStr">
        <is>
          <t>CRWD</t>
        </is>
      </c>
      <c r="C489" s="82" t="inlineStr">
        <is>
          <t>CROWDSTRIKE HOLDINGS, INC.</t>
        </is>
      </c>
      <c r="D489" s="82" t="n">
        <v>0.74</v>
      </c>
      <c r="E489" s="207" t="inlineStr">
        <is>
          <t>Distress</t>
        </is>
      </c>
      <c r="F489" s="82" t="n">
        <v>2.06</v>
      </c>
      <c r="G489" s="82" t="inlineStr">
        <is>
          <t>Grey</t>
        </is>
      </c>
      <c r="H489" s="82" t="n">
        <v>0.37</v>
      </c>
      <c r="I489" s="82" t="inlineStr">
        <is>
          <t>Distress</t>
        </is>
      </c>
      <c r="J489" s="82" t="n">
        <v>-0.87</v>
      </c>
      <c r="K489" s="82" t="n">
        <v>0.29</v>
      </c>
      <c r="L489" s="82" t="inlineStr">
        <is>
          <t>Healthy</t>
        </is>
      </c>
      <c r="M489" s="82" t="n">
        <v>5</v>
      </c>
      <c r="N489" s="82" t="inlineStr">
        <is>
          <t>Mixed</t>
        </is>
      </c>
      <c r="O489" s="207" t="n">
        <v>-3.1</v>
      </c>
      <c r="P489" s="82" t="inlineStr">
        <is>
          <t>Lower Risk</t>
        </is>
      </c>
      <c r="Q489" s="82" t="n">
        <v>17.11</v>
      </c>
      <c r="R489" s="82" t="n">
        <v>-0.0367</v>
      </c>
      <c r="S489" s="82" t="n">
        <v>-9.92</v>
      </c>
      <c r="T489" s="82" t="n">
        <v>0.2723</v>
      </c>
      <c r="U489" s="82" t="n">
        <v>0.2171</v>
      </c>
      <c r="V489" s="82" t="n">
        <v>-0.061</v>
      </c>
      <c r="W489" s="82" t="n">
        <v>-11.39</v>
      </c>
      <c r="X489" s="82" t="n">
        <v>45.97</v>
      </c>
      <c r="Y489" s="82" t="n">
        <v>40</v>
      </c>
      <c r="Z489" s="82" t="inlineStr">
        <is>
          <t>WATCH</t>
        </is>
      </c>
    </row>
    <row r="490" ht="17" customHeight="1">
      <c r="A490" s="86" t="n">
        <v>488</v>
      </c>
      <c r="B490" s="86" t="inlineStr">
        <is>
          <t>CE</t>
        </is>
      </c>
      <c r="C490" s="86" t="inlineStr">
        <is>
          <t>CELANESE CORPORATION</t>
        </is>
      </c>
      <c r="D490" s="86" t="n">
        <v>0.86</v>
      </c>
      <c r="E490" s="207" t="inlineStr">
        <is>
          <t>Distress</t>
        </is>
      </c>
      <c r="F490" s="86" t="n">
        <v>2.04</v>
      </c>
      <c r="G490" s="86" t="inlineStr">
        <is>
          <t>Grey</t>
        </is>
      </c>
      <c r="H490" s="86" t="n">
        <v>-0.06</v>
      </c>
      <c r="I490" s="86" t="inlineStr">
        <is>
          <t>Distress</t>
        </is>
      </c>
      <c r="J490" s="86" t="n">
        <v>1.59</v>
      </c>
      <c r="K490" s="86" t="n">
        <v>0.83</v>
      </c>
      <c r="L490" s="86" t="inlineStr">
        <is>
          <t>Distress</t>
        </is>
      </c>
      <c r="M490" s="86" t="n">
        <v>5</v>
      </c>
      <c r="N490" s="86" t="inlineStr">
        <is>
          <t>Mixed</t>
        </is>
      </c>
      <c r="O490" s="207" t="n">
        <v>-3.22</v>
      </c>
      <c r="P490" s="86" t="inlineStr">
        <is>
          <t>Lower Risk</t>
        </is>
      </c>
      <c r="Q490" s="86" t="n">
        <v>-427.15</v>
      </c>
      <c r="R490" s="86" t="n">
        <v>-0.2877</v>
      </c>
      <c r="S490" s="86" t="n">
        <v>-0.98</v>
      </c>
      <c r="T490" s="86" t="n">
        <v>0.08409999999999999</v>
      </c>
      <c r="U490" s="86" t="n">
        <v>-0.0716</v>
      </c>
      <c r="V490" s="86" t="n">
        <v>-0.0824</v>
      </c>
      <c r="W490" s="86" t="n">
        <v>-1.12</v>
      </c>
      <c r="X490" s="86" t="n">
        <v>45.94</v>
      </c>
      <c r="Y490" s="86" t="n">
        <v>40</v>
      </c>
      <c r="Z490" s="86" t="inlineStr">
        <is>
          <t>WATCH</t>
        </is>
      </c>
    </row>
    <row r="491" ht="17" customHeight="1">
      <c r="A491" s="82" t="n">
        <v>489</v>
      </c>
      <c r="B491" s="82" t="inlineStr">
        <is>
          <t>ENTG</t>
        </is>
      </c>
      <c r="C491" s="82" t="inlineStr">
        <is>
          <t>Entegris, Inc.</t>
        </is>
      </c>
      <c r="D491" s="82" t="n">
        <v>0.84</v>
      </c>
      <c r="E491" s="207" t="inlineStr">
        <is>
          <t>Distress</t>
        </is>
      </c>
      <c r="F491" s="82" t="n">
        <v>1.95</v>
      </c>
      <c r="G491" s="82" t="inlineStr">
        <is>
          <t>Grey</t>
        </is>
      </c>
      <c r="H491" s="82" t="n">
        <v>0.8100000000000001</v>
      </c>
      <c r="I491" s="82" t="inlineStr">
        <is>
          <t>Distress</t>
        </is>
      </c>
      <c r="J491" s="82" t="n">
        <v>1.23</v>
      </c>
      <c r="K491" s="82" t="n">
        <v>0.77</v>
      </c>
      <c r="L491" s="82" t="inlineStr">
        <is>
          <t>Distress</t>
        </is>
      </c>
      <c r="M491" s="82" t="n">
        <v>5</v>
      </c>
      <c r="N491" s="82" t="inlineStr">
        <is>
          <t>Mixed</t>
        </is>
      </c>
      <c r="O491" s="91" t="inlineStr">
        <is>
          <t>N/A</t>
        </is>
      </c>
      <c r="P491" s="82" t="inlineStr">
        <is>
          <t>Insufficient Data</t>
        </is>
      </c>
      <c r="Q491" s="82" t="n">
        <v>6.77</v>
      </c>
      <c r="R491" s="82" t="n">
        <v>0.3873</v>
      </c>
      <c r="S491" s="82" t="n">
        <v>2.95</v>
      </c>
      <c r="T491" s="82" t="n">
        <v>0.1239</v>
      </c>
      <c r="U491" s="82" t="n">
        <v>-0.0138</v>
      </c>
      <c r="V491" s="82" t="n">
        <v>0.1426</v>
      </c>
      <c r="W491" s="82" t="n">
        <v>2.12</v>
      </c>
      <c r="X491" s="82" t="n">
        <v>45.88</v>
      </c>
      <c r="Y491" s="82" t="n">
        <v>0</v>
      </c>
      <c r="Z491" s="82" t="inlineStr">
        <is>
          <t>CLEAR</t>
        </is>
      </c>
    </row>
    <row r="492" ht="17" customHeight="1">
      <c r="A492" s="86" t="n">
        <v>490</v>
      </c>
      <c r="B492" s="86" t="inlineStr">
        <is>
          <t>TMO</t>
        </is>
      </c>
      <c r="C492" s="86" t="inlineStr">
        <is>
          <t>THERMO FISHER SCIENTIFIC INC.</t>
        </is>
      </c>
      <c r="D492" s="86" t="n">
        <v>1.15</v>
      </c>
      <c r="E492" s="207" t="inlineStr">
        <is>
          <t>Distress</t>
        </is>
      </c>
      <c r="F492" s="86" t="n">
        <v>3.53</v>
      </c>
      <c r="G492" s="86" t="inlineStr">
        <is>
          <t>Safe</t>
        </is>
      </c>
      <c r="H492" s="86" t="n">
        <v>0.73</v>
      </c>
      <c r="I492" s="86" t="inlineStr">
        <is>
          <t>Distress</t>
        </is>
      </c>
      <c r="J492" s="86" t="n">
        <v>1.08</v>
      </c>
      <c r="K492" s="86" t="n">
        <v>0.75</v>
      </c>
      <c r="L492" s="86" t="inlineStr">
        <is>
          <t>Distress</t>
        </is>
      </c>
      <c r="M492" s="86" t="n">
        <v>6</v>
      </c>
      <c r="N492" s="86" t="inlineStr">
        <is>
          <t>Mixed</t>
        </is>
      </c>
      <c r="O492" s="207" t="n">
        <v>0.16</v>
      </c>
      <c r="P492" s="86" t="inlineStr">
        <is>
          <t>Higher Risk</t>
        </is>
      </c>
      <c r="Q492" s="86" t="n">
        <v>2.93</v>
      </c>
      <c r="R492" s="86" t="n">
        <v>0.1255</v>
      </c>
      <c r="S492" s="86" t="n">
        <v>1.17</v>
      </c>
      <c r="T492" s="86" t="n">
        <v>0.3008</v>
      </c>
      <c r="U492" s="86" t="n">
        <v>2.4592</v>
      </c>
      <c r="V492" s="86" t="n">
        <v>0.3703</v>
      </c>
      <c r="W492" s="86" t="n">
        <v>5.63</v>
      </c>
      <c r="X492" s="86" t="n">
        <v>45.87</v>
      </c>
      <c r="Y492" s="86" t="n">
        <v>20</v>
      </c>
      <c r="Z492" s="86" t="inlineStr">
        <is>
          <t>CLEAR</t>
        </is>
      </c>
    </row>
    <row r="493" ht="17" customHeight="1">
      <c r="A493" s="82" t="n">
        <v>491</v>
      </c>
      <c r="B493" s="82" t="inlineStr">
        <is>
          <t>KHC</t>
        </is>
      </c>
      <c r="C493" s="82" t="inlineStr">
        <is>
          <t>Kraft Heinz Co</t>
        </is>
      </c>
      <c r="D493" s="82" t="n">
        <v>0.53</v>
      </c>
      <c r="E493" s="207" t="inlineStr">
        <is>
          <t>Distress</t>
        </is>
      </c>
      <c r="F493" s="82" t="n">
        <v>0.63</v>
      </c>
      <c r="G493" s="82" t="inlineStr">
        <is>
          <t>Distress</t>
        </is>
      </c>
      <c r="H493" s="82" t="n">
        <v>-0.45</v>
      </c>
      <c r="I493" s="82" t="inlineStr">
        <is>
          <t>Distress</t>
        </is>
      </c>
      <c r="J493" s="82" t="n">
        <v>-1.23</v>
      </c>
      <c r="K493" s="82" t="n">
        <v>0.23</v>
      </c>
      <c r="L493" s="82" t="inlineStr">
        <is>
          <t>Healthy</t>
        </is>
      </c>
      <c r="M493" s="82" t="n">
        <v>5</v>
      </c>
      <c r="N493" s="82" t="inlineStr">
        <is>
          <t>Mixed</t>
        </is>
      </c>
      <c r="O493" s="207" t="n">
        <v>-3.31</v>
      </c>
      <c r="P493" s="82" t="inlineStr">
        <is>
          <t>Lower Risk</t>
        </is>
      </c>
      <c r="Q493" s="82" t="n">
        <v>0.71</v>
      </c>
      <c r="R493" s="82" t="n">
        <v>-0.1403</v>
      </c>
      <c r="S493" s="82" t="n">
        <v>-0.76</v>
      </c>
      <c r="T493" s="82" t="n">
        <v>0.1468</v>
      </c>
      <c r="U493" s="82" t="n">
        <v>-0.035</v>
      </c>
      <c r="V493" s="82" t="n">
        <v>-0.1872</v>
      </c>
      <c r="W493" s="82" t="n">
        <v>-4.93</v>
      </c>
      <c r="X493" s="82" t="n">
        <v>45.86</v>
      </c>
      <c r="Y493" s="82" t="n">
        <v>40</v>
      </c>
      <c r="Z493" s="82" t="inlineStr">
        <is>
          <t>WATCH</t>
        </is>
      </c>
    </row>
    <row r="494" ht="17" customHeight="1">
      <c r="A494" s="86" t="n">
        <v>492</v>
      </c>
      <c r="B494" s="86" t="inlineStr">
        <is>
          <t>IQV</t>
        </is>
      </c>
      <c r="C494" s="86" t="inlineStr">
        <is>
          <t>IQVIA HOLDINGS INC.</t>
        </is>
      </c>
      <c r="D494" s="86" t="n">
        <v>0.83</v>
      </c>
      <c r="E494" s="207" t="inlineStr">
        <is>
          <t>Distress</t>
        </is>
      </c>
      <c r="F494" s="86" t="n">
        <v>1.13</v>
      </c>
      <c r="G494" s="86" t="inlineStr">
        <is>
          <t>Grey</t>
        </is>
      </c>
      <c r="H494" s="90" t="inlineStr">
        <is>
          <t>N/A</t>
        </is>
      </c>
      <c r="I494" s="90" t="inlineStr">
        <is>
          <t>N/A</t>
        </is>
      </c>
      <c r="J494" s="86" t="n">
        <v>-0.12</v>
      </c>
      <c r="K494" s="86" t="n">
        <v>0.47</v>
      </c>
      <c r="L494" s="86" t="inlineStr">
        <is>
          <t>Healthy</t>
        </is>
      </c>
      <c r="M494" s="86" t="n">
        <v>5</v>
      </c>
      <c r="N494" s="86" t="inlineStr">
        <is>
          <t>Mixed</t>
        </is>
      </c>
      <c r="O494" s="207" t="n">
        <v>-2.6</v>
      </c>
      <c r="P494" s="86" t="inlineStr">
        <is>
          <t>Lower Risk</t>
        </is>
      </c>
      <c r="Q494" s="86" t="n">
        <v>2.49</v>
      </c>
      <c r="R494" s="86" t="n">
        <v>0.2091</v>
      </c>
      <c r="S494" s="86" t="n">
        <v>1.95</v>
      </c>
      <c r="T494" s="86" t="n">
        <v>0.2106</v>
      </c>
      <c r="U494" s="86" t="n">
        <v>0.416</v>
      </c>
      <c r="V494" s="86" t="n">
        <v>0.224</v>
      </c>
      <c r="W494" s="86" t="n">
        <v>2.99</v>
      </c>
      <c r="X494" s="86" t="n">
        <v>45.84</v>
      </c>
      <c r="Y494" s="86" t="n">
        <v>0</v>
      </c>
      <c r="Z494" s="86" t="inlineStr">
        <is>
          <t>CLEAR</t>
        </is>
      </c>
    </row>
    <row r="495" ht="17" customHeight="1">
      <c r="A495" s="82" t="n">
        <v>493</v>
      </c>
      <c r="B495" s="82" t="inlineStr">
        <is>
          <t>SJM</t>
        </is>
      </c>
      <c r="C495" s="82" t="inlineStr">
        <is>
          <t>THE J. M. SMUCKER COMPANY</t>
        </is>
      </c>
      <c r="D495" s="82" t="n">
        <v>0.8100000000000001</v>
      </c>
      <c r="E495" s="207" t="inlineStr">
        <is>
          <t>Distress</t>
        </is>
      </c>
      <c r="F495" s="82" t="n">
        <v>0.45</v>
      </c>
      <c r="G495" s="82" t="inlineStr">
        <is>
          <t>Distress</t>
        </is>
      </c>
      <c r="H495" s="82" t="n">
        <v>0.24</v>
      </c>
      <c r="I495" s="82" t="inlineStr">
        <is>
          <t>Distress</t>
        </is>
      </c>
      <c r="J495" s="82" t="n">
        <v>-0.5600000000000001</v>
      </c>
      <c r="K495" s="82" t="n">
        <v>0.36</v>
      </c>
      <c r="L495" s="82" t="inlineStr">
        <is>
          <t>Healthy</t>
        </is>
      </c>
      <c r="M495" s="82" t="n">
        <v>5</v>
      </c>
      <c r="N495" s="82" t="inlineStr">
        <is>
          <t>Mixed</t>
        </is>
      </c>
      <c r="O495" s="207" t="n">
        <v>-2.92</v>
      </c>
      <c r="P495" s="82" t="inlineStr">
        <is>
          <t>Lower Risk</t>
        </is>
      </c>
      <c r="Q495" s="82" t="n">
        <v>9.119999999999999</v>
      </c>
      <c r="R495" s="82" t="n">
        <v>-0.025</v>
      </c>
      <c r="S495" s="82" t="n">
        <v>-10.62</v>
      </c>
      <c r="T495" s="82" t="n">
        <v>0.1277</v>
      </c>
      <c r="U495" s="82" t="n">
        <v>0.0372</v>
      </c>
      <c r="V495" s="82" t="n">
        <v>0.0398</v>
      </c>
      <c r="W495" s="82" t="n">
        <v>4.43</v>
      </c>
      <c r="X495" s="82" t="n">
        <v>45.84</v>
      </c>
      <c r="Y495" s="82" t="n">
        <v>20</v>
      </c>
      <c r="Z495" s="82" t="inlineStr">
        <is>
          <t>CLEAR</t>
        </is>
      </c>
    </row>
    <row r="496" ht="17" customHeight="1">
      <c r="A496" s="86" t="n">
        <v>494</v>
      </c>
      <c r="B496" s="86" t="inlineStr">
        <is>
          <t>DAN</t>
        </is>
      </c>
      <c r="C496" s="86" t="inlineStr">
        <is>
          <t>Dana Incorporated</t>
        </is>
      </c>
      <c r="D496" s="86" t="n">
        <v>1.14</v>
      </c>
      <c r="E496" s="207" t="inlineStr">
        <is>
          <t>Distress</t>
        </is>
      </c>
      <c r="F496" s="86" t="n">
        <v>0.82</v>
      </c>
      <c r="G496" s="86" t="inlineStr">
        <is>
          <t>Distress</t>
        </is>
      </c>
      <c r="H496" s="86" t="n">
        <v>0.48</v>
      </c>
      <c r="I496" s="86" t="inlineStr">
        <is>
          <t>Distress</t>
        </is>
      </c>
      <c r="J496" s="86" t="n">
        <v>0.64</v>
      </c>
      <c r="K496" s="86" t="n">
        <v>0.66</v>
      </c>
      <c r="L496" s="86" t="inlineStr">
        <is>
          <t>Distress</t>
        </is>
      </c>
      <c r="M496" s="86" t="n">
        <v>6</v>
      </c>
      <c r="N496" s="86" t="inlineStr">
        <is>
          <t>Mixed</t>
        </is>
      </c>
      <c r="O496" s="207" t="n">
        <v>0.76</v>
      </c>
      <c r="P496" s="86" t="inlineStr">
        <is>
          <t>Higher Risk</t>
        </is>
      </c>
      <c r="Q496" s="86" t="n">
        <v>0.8</v>
      </c>
      <c r="R496" s="86" t="n">
        <v>0.1012</v>
      </c>
      <c r="S496" s="86" t="n">
        <v>6.02</v>
      </c>
      <c r="T496" s="86" t="n">
        <v>0.0464</v>
      </c>
      <c r="U496" s="86" t="n">
        <v>3.0171</v>
      </c>
      <c r="V496" s="86" t="n">
        <v>0.0185</v>
      </c>
      <c r="W496" s="86" t="n">
        <v>0.77</v>
      </c>
      <c r="X496" s="86" t="n">
        <v>45.83</v>
      </c>
      <c r="Y496" s="86" t="n">
        <v>20</v>
      </c>
      <c r="Z496" s="86" t="inlineStr">
        <is>
          <t>CLEAR</t>
        </is>
      </c>
    </row>
    <row r="497" ht="17" customHeight="1">
      <c r="A497" s="82" t="n">
        <v>495</v>
      </c>
      <c r="B497" s="82" t="inlineStr">
        <is>
          <t>ALNY</t>
        </is>
      </c>
      <c r="C497" s="82" t="inlineStr">
        <is>
          <t>ALNYLAM PHARMACEUTICALS, INC.</t>
        </is>
      </c>
      <c r="D497" s="82" t="n">
        <v>-0.17</v>
      </c>
      <c r="E497" s="207" t="inlineStr">
        <is>
          <t>Distress</t>
        </is>
      </c>
      <c r="F497" s="82" t="n">
        <v>-0.11</v>
      </c>
      <c r="G497" s="82" t="inlineStr">
        <is>
          <t>Distress</t>
        </is>
      </c>
      <c r="H497" s="82" t="n">
        <v>1.08</v>
      </c>
      <c r="I497" s="82" t="inlineStr">
        <is>
          <t>Healthy</t>
        </is>
      </c>
      <c r="J497" s="82" t="n">
        <v>0.17</v>
      </c>
      <c r="K497" s="82" t="n">
        <v>0.54</v>
      </c>
      <c r="L497" s="82" t="inlineStr">
        <is>
          <t>Distress</t>
        </is>
      </c>
      <c r="M497" s="82" t="n">
        <v>7</v>
      </c>
      <c r="N497" s="82" t="inlineStr">
        <is>
          <t>Strong</t>
        </is>
      </c>
      <c r="O497" s="207" t="n">
        <v>-1.68</v>
      </c>
      <c r="P497" s="82" t="inlineStr">
        <is>
          <t>Higher Risk</t>
        </is>
      </c>
      <c r="Q497" s="82" t="n">
        <v>-3.22</v>
      </c>
      <c r="R497" s="82" t="n">
        <v>0.3976</v>
      </c>
      <c r="S497" s="82" t="n">
        <v>1.67</v>
      </c>
      <c r="T497" s="82" t="n">
        <v>0.4486</v>
      </c>
      <c r="U497" s="82" t="n">
        <v>0.2288</v>
      </c>
      <c r="V497" s="82" t="n">
        <v>0.4835</v>
      </c>
      <c r="W497" s="82" t="n">
        <v>4.14</v>
      </c>
      <c r="X497" s="82" t="n">
        <v>45.72</v>
      </c>
      <c r="Y497" s="82" t="n">
        <v>20</v>
      </c>
      <c r="Z497" s="82" t="inlineStr">
        <is>
          <t>CLEAR</t>
        </is>
      </c>
    </row>
    <row r="498" ht="17" customHeight="1">
      <c r="A498" s="86" t="n">
        <v>496</v>
      </c>
      <c r="B498" s="86" t="inlineStr">
        <is>
          <t>EXPE</t>
        </is>
      </c>
      <c r="C498" s="86" t="inlineStr">
        <is>
          <t>EXPEDIA GROUP, INC.</t>
        </is>
      </c>
      <c r="D498" s="86" t="n">
        <v>0.79</v>
      </c>
      <c r="E498" s="207" t="inlineStr">
        <is>
          <t>Distress</t>
        </is>
      </c>
      <c r="F498" s="86" t="n">
        <v>-0.4</v>
      </c>
      <c r="G498" s="86" t="inlineStr">
        <is>
          <t>Distress</t>
        </is>
      </c>
      <c r="H498" s="86" t="n">
        <v>0.35</v>
      </c>
      <c r="I498" s="86" t="inlineStr">
        <is>
          <t>Distress</t>
        </is>
      </c>
      <c r="J498" s="86" t="n">
        <v>1.11</v>
      </c>
      <c r="K498" s="86" t="n">
        <v>0.75</v>
      </c>
      <c r="L498" s="86" t="inlineStr">
        <is>
          <t>Distress</t>
        </is>
      </c>
      <c r="M498" s="86" t="n">
        <v>5</v>
      </c>
      <c r="N498" s="86" t="inlineStr">
        <is>
          <t>Mixed</t>
        </is>
      </c>
      <c r="O498" s="207" t="n">
        <v>-2.86</v>
      </c>
      <c r="P498" s="86" t="inlineStr">
        <is>
          <t>Lower Risk</t>
        </is>
      </c>
      <c r="Q498" s="86" t="n">
        <v>0.27</v>
      </c>
      <c r="R498" s="86" t="n">
        <v>1.0078</v>
      </c>
      <c r="S498" s="86" t="n">
        <v>3</v>
      </c>
      <c r="T498" s="86" t="n">
        <v>0.2111</v>
      </c>
      <c r="U498" s="86" t="n">
        <v>0.0761</v>
      </c>
      <c r="V498" s="86" t="n">
        <v>0.127</v>
      </c>
      <c r="W498" s="86" t="n">
        <v>7.64</v>
      </c>
      <c r="X498" s="86" t="n">
        <v>45.71</v>
      </c>
      <c r="Y498" s="86" t="n">
        <v>20</v>
      </c>
      <c r="Z498" s="86" t="inlineStr">
        <is>
          <t>CLEAR</t>
        </is>
      </c>
    </row>
    <row r="499" ht="17" customHeight="1">
      <c r="A499" s="82" t="n">
        <v>497</v>
      </c>
      <c r="B499" s="82" t="inlineStr">
        <is>
          <t>ETN</t>
        </is>
      </c>
      <c r="C499" s="82" t="inlineStr">
        <is>
          <t>EATON CORPORATION plc</t>
        </is>
      </c>
      <c r="D499" s="82" t="n">
        <v>0.75</v>
      </c>
      <c r="E499" s="207" t="inlineStr">
        <is>
          <t>Distress</t>
        </is>
      </c>
      <c r="F499" s="82" t="n">
        <v>2.41</v>
      </c>
      <c r="G499" s="82" t="inlineStr">
        <is>
          <t>Grey</t>
        </is>
      </c>
      <c r="H499" s="82" t="n">
        <v>0.7</v>
      </c>
      <c r="I499" s="82" t="inlineStr">
        <is>
          <t>Distress</t>
        </is>
      </c>
      <c r="J499" s="82" t="n">
        <v>0.9</v>
      </c>
      <c r="K499" s="82" t="n">
        <v>0.71</v>
      </c>
      <c r="L499" s="82" t="inlineStr">
        <is>
          <t>Distress</t>
        </is>
      </c>
      <c r="M499" s="82" t="n">
        <v>5</v>
      </c>
      <c r="N499" s="82" t="inlineStr">
        <is>
          <t>Mixed</t>
        </is>
      </c>
      <c r="O499" s="91" t="inlineStr">
        <is>
          <t>N/A</t>
        </is>
      </c>
      <c r="P499" s="82" t="inlineStr">
        <is>
          <t>Insufficient Data</t>
        </is>
      </c>
      <c r="Q499" s="82" t="n">
        <v>1.98</v>
      </c>
      <c r="R499" s="82" t="n">
        <v>0.2104</v>
      </c>
      <c r="S499" s="82" t="n">
        <v>1.09</v>
      </c>
      <c r="T499" s="91" t="inlineStr">
        <is>
          <t>N/A</t>
        </is>
      </c>
      <c r="U499" s="91" t="inlineStr">
        <is>
          <t>N/A</t>
        </is>
      </c>
      <c r="V499" s="91" t="inlineStr">
        <is>
          <t>N/A</t>
        </is>
      </c>
      <c r="W499" s="82" t="n">
        <v>25.52</v>
      </c>
      <c r="X499" s="82" t="n">
        <v>45.56</v>
      </c>
      <c r="Y499" s="82" t="n">
        <v>0</v>
      </c>
      <c r="Z499" s="82" t="inlineStr">
        <is>
          <t>CLEAR</t>
        </is>
      </c>
    </row>
    <row r="500" ht="17" customHeight="1">
      <c r="A500" s="86" t="n">
        <v>498</v>
      </c>
      <c r="B500" s="86" t="inlineStr">
        <is>
          <t>WYNN</t>
        </is>
      </c>
      <c r="C500" s="86" t="inlineStr">
        <is>
          <t>WYNN RESORTS LTD</t>
        </is>
      </c>
      <c r="D500" s="86" t="n">
        <v>0.73</v>
      </c>
      <c r="E500" s="207" t="inlineStr">
        <is>
          <t>Distress</t>
        </is>
      </c>
      <c r="F500" s="86" t="n">
        <v>0.71</v>
      </c>
      <c r="G500" s="86" t="inlineStr">
        <is>
          <t>Distress</t>
        </is>
      </c>
      <c r="H500" s="86" t="n">
        <v>0.76</v>
      </c>
      <c r="I500" s="86" t="inlineStr">
        <is>
          <t>Distress</t>
        </is>
      </c>
      <c r="J500" s="86" t="n">
        <v>1.68</v>
      </c>
      <c r="K500" s="86" t="n">
        <v>0.84</v>
      </c>
      <c r="L500" s="86" t="inlineStr">
        <is>
          <t>Distress</t>
        </is>
      </c>
      <c r="M500" s="86" t="n">
        <v>5</v>
      </c>
      <c r="N500" s="86" t="inlineStr">
        <is>
          <t>Mixed</t>
        </is>
      </c>
      <c r="O500" s="90" t="inlineStr">
        <is>
          <t>N/A</t>
        </is>
      </c>
      <c r="P500" s="86" t="inlineStr">
        <is>
          <t>Insufficient Data</t>
        </is>
      </c>
      <c r="Q500" s="86" t="n">
        <v>5.22</v>
      </c>
      <c r="R500" s="86" t="n">
        <v>-1.1882</v>
      </c>
      <c r="S500" s="86" t="n">
        <v>4.13</v>
      </c>
      <c r="T500" s="86" t="n">
        <v>0.103</v>
      </c>
      <c r="U500" s="86" t="n">
        <v>0.1067</v>
      </c>
      <c r="V500" s="86" t="n">
        <v>0.1665</v>
      </c>
      <c r="W500" s="86" t="n">
        <v>1.49</v>
      </c>
      <c r="X500" s="86" t="n">
        <v>45.5</v>
      </c>
      <c r="Y500" s="86" t="n">
        <v>0</v>
      </c>
      <c r="Z500" s="86" t="inlineStr">
        <is>
          <t>CLEAR</t>
        </is>
      </c>
    </row>
    <row r="501" ht="17" customHeight="1">
      <c r="A501" s="82" t="n">
        <v>499</v>
      </c>
      <c r="B501" s="82" t="inlineStr">
        <is>
          <t>LKQ</t>
        </is>
      </c>
      <c r="C501" s="82" t="inlineStr">
        <is>
          <t>LKQ CORPORATION</t>
        </is>
      </c>
      <c r="D501" s="82" t="n">
        <v>1.83</v>
      </c>
      <c r="E501" s="208" t="inlineStr">
        <is>
          <t>Grey</t>
        </is>
      </c>
      <c r="F501" s="82" t="n">
        <v>3.52</v>
      </c>
      <c r="G501" s="82" t="inlineStr">
        <is>
          <t>Safe</t>
        </is>
      </c>
      <c r="H501" s="82" t="n">
        <v>1</v>
      </c>
      <c r="I501" s="82" t="inlineStr">
        <is>
          <t>Healthy</t>
        </is>
      </c>
      <c r="J501" s="82" t="n">
        <v>1.17</v>
      </c>
      <c r="K501" s="82" t="n">
        <v>0.76</v>
      </c>
      <c r="L501" s="82" t="inlineStr">
        <is>
          <t>Distress</t>
        </is>
      </c>
      <c r="M501" s="82" t="n">
        <v>4</v>
      </c>
      <c r="N501" s="82" t="inlineStr">
        <is>
          <t>Mixed</t>
        </is>
      </c>
      <c r="O501" s="207" t="n">
        <v>-2.55</v>
      </c>
      <c r="P501" s="82" t="inlineStr">
        <is>
          <t>Lower Risk</t>
        </is>
      </c>
      <c r="Q501" s="82" t="n">
        <v>-0.23</v>
      </c>
      <c r="R501" s="82" t="n">
        <v>0.093</v>
      </c>
      <c r="S501" s="82" t="n">
        <v>1.75</v>
      </c>
      <c r="T501" s="82" t="n">
        <v>0.062</v>
      </c>
      <c r="U501" s="82" t="n">
        <v>-0.049</v>
      </c>
      <c r="V501" s="82" t="n">
        <v>0.0727</v>
      </c>
      <c r="W501" s="82" t="n">
        <v>-4.64</v>
      </c>
      <c r="X501" s="82" t="n">
        <v>45.46</v>
      </c>
      <c r="Y501" s="82" t="n">
        <v>0</v>
      </c>
      <c r="Z501" s="82" t="inlineStr">
        <is>
          <t>CLEAR</t>
        </is>
      </c>
    </row>
    <row r="502" ht="17" customHeight="1">
      <c r="A502" s="86" t="n">
        <v>500</v>
      </c>
      <c r="B502" s="86" t="inlineStr">
        <is>
          <t>MCHP</t>
        </is>
      </c>
      <c r="C502" s="86" t="inlineStr">
        <is>
          <t>Microchip Technology Incorporated</t>
        </is>
      </c>
      <c r="D502" s="86" t="n">
        <v>1.02</v>
      </c>
      <c r="E502" s="207" t="inlineStr">
        <is>
          <t>Distress</t>
        </is>
      </c>
      <c r="F502" s="86" t="n">
        <v>2.38</v>
      </c>
      <c r="G502" s="86" t="inlineStr">
        <is>
          <t>Grey</t>
        </is>
      </c>
      <c r="H502" s="86" t="n">
        <v>0.5</v>
      </c>
      <c r="I502" s="86" t="inlineStr">
        <is>
          <t>Distress</t>
        </is>
      </c>
      <c r="J502" s="86" t="n">
        <v>1.28</v>
      </c>
      <c r="K502" s="86" t="n">
        <v>0.78</v>
      </c>
      <c r="L502" s="86" t="inlineStr">
        <is>
          <t>Distress</t>
        </is>
      </c>
      <c r="M502" s="86" t="n">
        <v>6</v>
      </c>
      <c r="N502" s="86" t="inlineStr">
        <is>
          <t>Mixed</t>
        </is>
      </c>
      <c r="O502" s="207" t="n">
        <v>0.78</v>
      </c>
      <c r="P502" s="86" t="inlineStr">
        <is>
          <t>Higher Risk</t>
        </is>
      </c>
      <c r="Q502" s="86" t="n">
        <v>4.46</v>
      </c>
      <c r="R502" s="86" t="n">
        <v>0.0358</v>
      </c>
      <c r="S502" s="86" t="n">
        <v>4.18</v>
      </c>
      <c r="T502" s="86" t="n">
        <v>0.1628</v>
      </c>
      <c r="U502" s="86" t="n">
        <v>3.0228</v>
      </c>
      <c r="V502" s="86" t="n">
        <v>0.0916</v>
      </c>
      <c r="W502" s="86" t="n">
        <v>2.47</v>
      </c>
      <c r="X502" s="86" t="n">
        <v>45.39</v>
      </c>
      <c r="Y502" s="86" t="n">
        <v>20</v>
      </c>
      <c r="Z502" s="86" t="inlineStr">
        <is>
          <t>CLEAR</t>
        </is>
      </c>
    </row>
    <row r="503" ht="17" customHeight="1">
      <c r="A503" s="82" t="n">
        <v>501</v>
      </c>
      <c r="B503" s="82" t="inlineStr">
        <is>
          <t>PKG</t>
        </is>
      </c>
      <c r="C503" s="82" t="inlineStr">
        <is>
          <t>PACKAGING CORP OF AMERICA</t>
        </is>
      </c>
      <c r="D503" s="82" t="n">
        <v>1.79</v>
      </c>
      <c r="E503" s="208" t="inlineStr">
        <is>
          <t>Grey</t>
        </is>
      </c>
      <c r="F503" s="82" t="n">
        <v>3.68</v>
      </c>
      <c r="G503" s="82" t="inlineStr">
        <is>
          <t>Safe</t>
        </is>
      </c>
      <c r="H503" s="82" t="n">
        <v>1.53</v>
      </c>
      <c r="I503" s="82" t="inlineStr">
        <is>
          <t>Healthy</t>
        </is>
      </c>
      <c r="J503" s="82" t="n">
        <v>1.03</v>
      </c>
      <c r="K503" s="82" t="n">
        <v>0.74</v>
      </c>
      <c r="L503" s="82" t="inlineStr">
        <is>
          <t>Distress</t>
        </is>
      </c>
      <c r="M503" s="82" t="n">
        <v>4</v>
      </c>
      <c r="N503" s="82" t="inlineStr">
        <is>
          <t>Mixed</t>
        </is>
      </c>
      <c r="O503" s="207" t="n">
        <v>-2.7</v>
      </c>
      <c r="P503" s="82" t="inlineStr">
        <is>
          <t>Lower Risk</t>
        </is>
      </c>
      <c r="Q503" s="82" t="n">
        <v>1.97</v>
      </c>
      <c r="R503" s="82" t="n">
        <v>0.1684</v>
      </c>
      <c r="S503" s="82" t="n">
        <v>2.01</v>
      </c>
      <c r="T503" s="82" t="n">
        <v>0.08110000000000001</v>
      </c>
      <c r="U503" s="82" t="n">
        <v>0.0723</v>
      </c>
      <c r="V503" s="82" t="n">
        <v>0.1231</v>
      </c>
      <c r="W503" s="82" t="n">
        <v>11</v>
      </c>
      <c r="X503" s="82" t="n">
        <v>45.34</v>
      </c>
      <c r="Y503" s="82" t="n">
        <v>0</v>
      </c>
      <c r="Z503" s="82" t="inlineStr">
        <is>
          <t>CLEAR</t>
        </is>
      </c>
    </row>
    <row r="504" ht="17" customHeight="1">
      <c r="A504" s="86" t="n">
        <v>502</v>
      </c>
      <c r="B504" s="86" t="inlineStr">
        <is>
          <t>ELS</t>
        </is>
      </c>
      <c r="C504" s="86" t="inlineStr">
        <is>
          <t>EQUITY LIFESTYLE PROPERTIES, INC.</t>
        </is>
      </c>
      <c r="D504" s="90" t="inlineStr">
        <is>
          <t>N/A</t>
        </is>
      </c>
      <c r="E504" s="90" t="inlineStr">
        <is>
          <t>N/A</t>
        </is>
      </c>
      <c r="F504" s="90" t="inlineStr">
        <is>
          <t>N/A</t>
        </is>
      </c>
      <c r="G504" s="90" t="inlineStr">
        <is>
          <t>N/A</t>
        </is>
      </c>
      <c r="H504" s="90" t="inlineStr">
        <is>
          <t>N/A</t>
        </is>
      </c>
      <c r="I504" s="90" t="inlineStr">
        <is>
          <t>N/A</t>
        </is>
      </c>
      <c r="J504" s="90" t="inlineStr">
        <is>
          <t>N/A</t>
        </is>
      </c>
      <c r="K504" s="90" t="inlineStr">
        <is>
          <t>N/A</t>
        </is>
      </c>
      <c r="L504" s="90" t="inlineStr">
        <is>
          <t>N/A</t>
        </is>
      </c>
      <c r="M504" s="86" t="n">
        <v>5</v>
      </c>
      <c r="N504" s="86" t="inlineStr">
        <is>
          <t>Mixed</t>
        </is>
      </c>
      <c r="O504" s="207" t="n">
        <v>-2.68</v>
      </c>
      <c r="P504" s="86" t="inlineStr">
        <is>
          <t>Lower Risk</t>
        </is>
      </c>
      <c r="Q504" s="86" t="n">
        <v>6.33</v>
      </c>
      <c r="R504" s="86" t="n">
        <v>0.2289</v>
      </c>
      <c r="S504" s="86" t="n">
        <v>1.42</v>
      </c>
      <c r="T504" s="86" t="n">
        <v>0.2181</v>
      </c>
      <c r="U504" s="86" t="n">
        <v>0.0034</v>
      </c>
      <c r="V504" s="86" t="n">
        <v>0.2556</v>
      </c>
      <c r="W504" s="86" t="n">
        <v>2.99</v>
      </c>
      <c r="X504" s="86" t="n">
        <v>45.27</v>
      </c>
      <c r="Y504" s="86" t="n">
        <v>0</v>
      </c>
      <c r="Z504" s="86" t="inlineStr">
        <is>
          <t>CLEAR</t>
        </is>
      </c>
    </row>
    <row r="505" ht="17" customHeight="1">
      <c r="A505" s="82" t="n">
        <v>503</v>
      </c>
      <c r="B505" s="82" t="inlineStr">
        <is>
          <t>MSI</t>
        </is>
      </c>
      <c r="C505" s="82" t="inlineStr">
        <is>
          <t>MOTOROLA SOLUTIONS, INC.</t>
        </is>
      </c>
      <c r="D505" s="82" t="n">
        <v>0.98</v>
      </c>
      <c r="E505" s="207" t="inlineStr">
        <is>
          <t>Distress</t>
        </is>
      </c>
      <c r="F505" s="82" t="n">
        <v>1.67</v>
      </c>
      <c r="G505" s="82" t="inlineStr">
        <is>
          <t>Grey</t>
        </is>
      </c>
      <c r="H505" s="82" t="n">
        <v>0.92</v>
      </c>
      <c r="I505" s="82" t="inlineStr">
        <is>
          <t>Healthy</t>
        </is>
      </c>
      <c r="J505" s="82" t="n">
        <v>0.85</v>
      </c>
      <c r="K505" s="82" t="n">
        <v>0.7</v>
      </c>
      <c r="L505" s="82" t="inlineStr">
        <is>
          <t>Distress</t>
        </is>
      </c>
      <c r="M505" s="82" t="n">
        <v>6</v>
      </c>
      <c r="N505" s="82" t="inlineStr">
        <is>
          <t>Mixed</t>
        </is>
      </c>
      <c r="O505" s="207" t="n">
        <v>-0.08</v>
      </c>
      <c r="P505" s="82" t="inlineStr">
        <is>
          <t>Higher Risk</t>
        </is>
      </c>
      <c r="Q505" s="82" t="n">
        <v>0.1</v>
      </c>
      <c r="R505" s="82" t="n">
        <v>0.8938</v>
      </c>
      <c r="S505" s="82" t="n">
        <v>1.32</v>
      </c>
      <c r="T505" s="82" t="n">
        <v>0.4031</v>
      </c>
      <c r="U505" s="82" t="n">
        <v>2.2601</v>
      </c>
      <c r="V505" s="82" t="n">
        <v>0.4683</v>
      </c>
      <c r="W505" s="82" t="n">
        <v>8.300000000000001</v>
      </c>
      <c r="X505" s="82" t="n">
        <v>45.26</v>
      </c>
      <c r="Y505" s="82" t="n">
        <v>20</v>
      </c>
      <c r="Z505" s="82" t="inlineStr">
        <is>
          <t>CLEAR</t>
        </is>
      </c>
    </row>
    <row r="506" ht="17" customHeight="1">
      <c r="A506" s="86" t="n">
        <v>504</v>
      </c>
      <c r="B506" s="86" t="inlineStr">
        <is>
          <t>APA</t>
        </is>
      </c>
      <c r="C506" s="86" t="inlineStr">
        <is>
          <t>APA CORPORATION</t>
        </is>
      </c>
      <c r="D506" s="90" t="inlineStr">
        <is>
          <t>N/A</t>
        </is>
      </c>
      <c r="E506" s="90" t="inlineStr">
        <is>
          <t>N/A</t>
        </is>
      </c>
      <c r="F506" s="86" t="n">
        <v>1.23</v>
      </c>
      <c r="G506" s="86" t="inlineStr">
        <is>
          <t>Grey</t>
        </is>
      </c>
      <c r="H506" s="90" t="inlineStr">
        <is>
          <t>N/A</t>
        </is>
      </c>
      <c r="I506" s="90" t="inlineStr">
        <is>
          <t>N/A</t>
        </is>
      </c>
      <c r="J506" s="86" t="n">
        <v>0.98</v>
      </c>
      <c r="K506" s="86" t="n">
        <v>0.73</v>
      </c>
      <c r="L506" s="86" t="inlineStr">
        <is>
          <t>Distress</t>
        </is>
      </c>
      <c r="M506" s="86" t="n">
        <v>5</v>
      </c>
      <c r="N506" s="86" t="inlineStr">
        <is>
          <t>Mixed</t>
        </is>
      </c>
      <c r="O506" s="90" t="inlineStr">
        <is>
          <t>N/A</t>
        </is>
      </c>
      <c r="P506" s="86" t="inlineStr">
        <is>
          <t>Insufficient Data</t>
        </is>
      </c>
      <c r="Q506" s="86" t="n">
        <v>-0.1</v>
      </c>
      <c r="R506" s="86" t="n">
        <v>0.2354</v>
      </c>
      <c r="S506" s="86" t="n">
        <v>3.17</v>
      </c>
      <c r="T506" s="90" t="inlineStr">
        <is>
          <t>N/A</t>
        </is>
      </c>
      <c r="U506" s="90" t="inlineStr">
        <is>
          <t>N/A</t>
        </is>
      </c>
      <c r="V506" s="90" t="inlineStr">
        <is>
          <t>N/A</t>
        </is>
      </c>
      <c r="W506" s="86" t="n">
        <v>9.56</v>
      </c>
      <c r="X506" s="86" t="n">
        <v>45.15</v>
      </c>
      <c r="Y506" s="86" t="n">
        <v>20</v>
      </c>
      <c r="Z506" s="86" t="inlineStr">
        <is>
          <t>CLEAR</t>
        </is>
      </c>
    </row>
    <row r="507" ht="17" customHeight="1">
      <c r="A507" s="82" t="n">
        <v>505</v>
      </c>
      <c r="B507" s="82" t="inlineStr">
        <is>
          <t>HSIC</t>
        </is>
      </c>
      <c r="C507" s="82" t="inlineStr">
        <is>
          <t>HENRY SCHEIN, INC.</t>
        </is>
      </c>
      <c r="D507" s="82" t="n">
        <v>1.9</v>
      </c>
      <c r="E507" s="208" t="inlineStr">
        <is>
          <t>Grey</t>
        </is>
      </c>
      <c r="F507" s="82" t="n">
        <v>2.6</v>
      </c>
      <c r="G507" s="82" t="inlineStr">
        <is>
          <t>Safe</t>
        </is>
      </c>
      <c r="H507" s="82" t="n">
        <v>0.84</v>
      </c>
      <c r="I507" s="82" t="inlineStr">
        <is>
          <t>Distress</t>
        </is>
      </c>
      <c r="J507" s="82" t="n">
        <v>-1.24</v>
      </c>
      <c r="K507" s="82" t="n">
        <v>0.22</v>
      </c>
      <c r="L507" s="82" t="inlineStr">
        <is>
          <t>Healthy</t>
        </is>
      </c>
      <c r="M507" s="82" t="n">
        <v>5</v>
      </c>
      <c r="N507" s="82" t="inlineStr">
        <is>
          <t>Mixed</t>
        </is>
      </c>
      <c r="O507" s="207" t="n">
        <v>0.91</v>
      </c>
      <c r="P507" s="82" t="inlineStr">
        <is>
          <t>Higher Risk</t>
        </is>
      </c>
      <c r="Q507" s="82" t="n">
        <v>1.05</v>
      </c>
      <c r="R507" s="82" t="n">
        <v>0.1227</v>
      </c>
      <c r="S507" s="82" t="n">
        <v>1.79</v>
      </c>
      <c r="T507" s="82" t="n">
        <v>0.0434</v>
      </c>
      <c r="U507" s="82" t="n">
        <v>2.9115</v>
      </c>
      <c r="V507" s="82" t="n">
        <v>0.0495</v>
      </c>
      <c r="W507" s="82" t="n">
        <v>4.35</v>
      </c>
      <c r="X507" s="82" t="n">
        <v>45.14</v>
      </c>
      <c r="Y507" s="82" t="n">
        <v>20</v>
      </c>
      <c r="Z507" s="82" t="inlineStr">
        <is>
          <t>CLEAR</t>
        </is>
      </c>
    </row>
    <row r="508" ht="17" customHeight="1">
      <c r="A508" s="86" t="n">
        <v>506</v>
      </c>
      <c r="B508" s="86" t="inlineStr">
        <is>
          <t>EIX</t>
        </is>
      </c>
      <c r="C508" s="86" t="inlineStr">
        <is>
          <t>EDISON INTERNATIONAL</t>
        </is>
      </c>
      <c r="D508" s="86" t="n">
        <v>0.61</v>
      </c>
      <c r="E508" s="207" t="inlineStr">
        <is>
          <t>Distress</t>
        </is>
      </c>
      <c r="F508" s="86" t="n">
        <v>0.93</v>
      </c>
      <c r="G508" s="86" t="inlineStr">
        <is>
          <t>Distress</t>
        </is>
      </c>
      <c r="H508" s="86" t="n">
        <v>0.66</v>
      </c>
      <c r="I508" s="86" t="inlineStr">
        <is>
          <t>Distress</t>
        </is>
      </c>
      <c r="J508" s="86" t="n">
        <v>-0.03</v>
      </c>
      <c r="K508" s="86" t="n">
        <v>0.49</v>
      </c>
      <c r="L508" s="86" t="inlineStr">
        <is>
          <t>Healthy</t>
        </is>
      </c>
      <c r="M508" s="86" t="n">
        <v>5</v>
      </c>
      <c r="N508" s="86" t="inlineStr">
        <is>
          <t>Mixed</t>
        </is>
      </c>
      <c r="O508" s="90" t="inlineStr">
        <is>
          <t>N/A</t>
        </is>
      </c>
      <c r="P508" s="86" t="inlineStr">
        <is>
          <t>Insufficient Data</t>
        </is>
      </c>
      <c r="Q508" s="86" t="n">
        <v>3.66</v>
      </c>
      <c r="R508" s="86" t="n">
        <v>0.2537</v>
      </c>
      <c r="S508" s="86" t="n">
        <v>1.3</v>
      </c>
      <c r="T508" s="86" t="n">
        <v>-0.037</v>
      </c>
      <c r="U508" s="86" t="n">
        <v>0.09760000000000001</v>
      </c>
      <c r="V508" s="86" t="n">
        <v>0.3672</v>
      </c>
      <c r="W508" s="86" t="n">
        <v>4.4</v>
      </c>
      <c r="X508" s="86" t="n">
        <v>45.09</v>
      </c>
      <c r="Y508" s="86" t="n">
        <v>0</v>
      </c>
      <c r="Z508" s="86" t="inlineStr">
        <is>
          <t>CLEAR</t>
        </is>
      </c>
    </row>
    <row r="509" ht="17" customHeight="1">
      <c r="A509" s="82" t="n">
        <v>507</v>
      </c>
      <c r="B509" s="82" t="inlineStr">
        <is>
          <t>ORCL</t>
        </is>
      </c>
      <c r="C509" s="82" t="inlineStr">
        <is>
          <t>Oracle Corporation</t>
        </is>
      </c>
      <c r="D509" s="82" t="n">
        <v>0.57</v>
      </c>
      <c r="E509" s="207" t="inlineStr">
        <is>
          <t>Distress</t>
        </is>
      </c>
      <c r="F509" s="82" t="n">
        <v>0.77</v>
      </c>
      <c r="G509" s="82" t="inlineStr">
        <is>
          <t>Distress</t>
        </is>
      </c>
      <c r="H509" s="82" t="n">
        <v>0.57</v>
      </c>
      <c r="I509" s="82" t="inlineStr">
        <is>
          <t>Distress</t>
        </is>
      </c>
      <c r="J509" s="82" t="n">
        <v>1.05</v>
      </c>
      <c r="K509" s="82" t="n">
        <v>0.74</v>
      </c>
      <c r="L509" s="82" t="inlineStr">
        <is>
          <t>Distress</t>
        </is>
      </c>
      <c r="M509" s="82" t="n">
        <v>5</v>
      </c>
      <c r="N509" s="82" t="inlineStr">
        <is>
          <t>Mixed</t>
        </is>
      </c>
      <c r="O509" s="207" t="n">
        <v>-2.7</v>
      </c>
      <c r="P509" s="82" t="inlineStr">
        <is>
          <t>Lower Risk</t>
        </is>
      </c>
      <c r="Q509" s="82" t="n">
        <v>-1.11</v>
      </c>
      <c r="R509" s="82" t="n">
        <v>0.402</v>
      </c>
      <c r="S509" s="82" t="n">
        <v>1.87</v>
      </c>
      <c r="T509" s="82" t="n">
        <v>-0.3516</v>
      </c>
      <c r="U509" s="82" t="n">
        <v>0.1735</v>
      </c>
      <c r="V509" s="82" t="n">
        <v>0.3059</v>
      </c>
      <c r="W509" s="82" t="n">
        <v>4.48</v>
      </c>
      <c r="X509" s="82" t="n">
        <v>44.94</v>
      </c>
      <c r="Y509" s="82" t="n">
        <v>0</v>
      </c>
      <c r="Z509" s="82" t="inlineStr">
        <is>
          <t>CLEAR</t>
        </is>
      </c>
    </row>
    <row r="510" ht="17" customHeight="1">
      <c r="A510" s="86" t="n">
        <v>508</v>
      </c>
      <c r="B510" s="86" t="inlineStr">
        <is>
          <t>KMPR</t>
        </is>
      </c>
      <c r="C510" s="86" t="inlineStr">
        <is>
          <t>Kemper Corporation</t>
        </is>
      </c>
      <c r="D510" s="90" t="inlineStr">
        <is>
          <t>N/A</t>
        </is>
      </c>
      <c r="E510" s="90" t="inlineStr">
        <is>
          <t>N/A</t>
        </is>
      </c>
      <c r="F510" s="90" t="inlineStr">
        <is>
          <t>N/A</t>
        </is>
      </c>
      <c r="G510" s="90" t="inlineStr">
        <is>
          <t>N/A</t>
        </is>
      </c>
      <c r="H510" s="90" t="inlineStr">
        <is>
          <t>N/A</t>
        </is>
      </c>
      <c r="I510" s="90" t="inlineStr">
        <is>
          <t>N/A</t>
        </is>
      </c>
      <c r="J510" s="90" t="inlineStr">
        <is>
          <t>N/A</t>
        </is>
      </c>
      <c r="K510" s="90" t="inlineStr">
        <is>
          <t>N/A</t>
        </is>
      </c>
      <c r="L510" s="90" t="inlineStr">
        <is>
          <t>N/A</t>
        </is>
      </c>
      <c r="M510" s="86" t="n">
        <v>5</v>
      </c>
      <c r="N510" s="86" t="inlineStr">
        <is>
          <t>Mixed</t>
        </is>
      </c>
      <c r="O510" s="90" t="inlineStr">
        <is>
          <t>N/A</t>
        </is>
      </c>
      <c r="P510" s="86" t="inlineStr">
        <is>
          <t>Insufficient Data</t>
        </is>
      </c>
      <c r="Q510" s="86" t="n">
        <v>-17.7</v>
      </c>
      <c r="R510" s="86" t="n">
        <v>0.0534</v>
      </c>
      <c r="S510" s="86" t="n">
        <v>4.08</v>
      </c>
      <c r="T510" s="86" t="n">
        <v>0.1156</v>
      </c>
      <c r="U510" s="86" t="n">
        <v>0.0326</v>
      </c>
      <c r="V510" s="86" t="n">
        <v>-0.0144</v>
      </c>
      <c r="W510" s="86" t="n">
        <v>-1.79</v>
      </c>
      <c r="X510" s="86" t="n">
        <v>44.9</v>
      </c>
      <c r="Y510" s="86" t="n">
        <v>0</v>
      </c>
      <c r="Z510" s="86" t="inlineStr">
        <is>
          <t>CLEAR</t>
        </is>
      </c>
    </row>
    <row r="511" ht="17" customHeight="1">
      <c r="A511" s="82" t="n">
        <v>509</v>
      </c>
      <c r="B511" s="82" t="inlineStr">
        <is>
          <t>STX</t>
        </is>
      </c>
      <c r="C511" s="82" t="inlineStr">
        <is>
          <t>Seagate Technology Holdings plc</t>
        </is>
      </c>
      <c r="D511" s="82" t="n">
        <v>0.86</v>
      </c>
      <c r="E511" s="207" t="inlineStr">
        <is>
          <t>Distress</t>
        </is>
      </c>
      <c r="F511" s="82" t="n">
        <v>-0.96</v>
      </c>
      <c r="G511" s="82" t="inlineStr">
        <is>
          <t>Distress</t>
        </is>
      </c>
      <c r="H511" s="82" t="n">
        <v>1.6</v>
      </c>
      <c r="I511" s="82" t="inlineStr">
        <is>
          <t>Healthy</t>
        </is>
      </c>
      <c r="J511" s="82" t="n">
        <v>0.84</v>
      </c>
      <c r="K511" s="82" t="n">
        <v>0.7</v>
      </c>
      <c r="L511" s="82" t="inlineStr">
        <is>
          <t>Distress</t>
        </is>
      </c>
      <c r="M511" s="82" t="n">
        <v>6</v>
      </c>
      <c r="N511" s="82" t="inlineStr">
        <is>
          <t>Mixed</t>
        </is>
      </c>
      <c r="O511" s="207" t="n">
        <v>0.45</v>
      </c>
      <c r="P511" s="82" t="inlineStr">
        <is>
          <t>Higher Risk</t>
        </is>
      </c>
      <c r="Q511" s="82" t="n">
        <v>0.03</v>
      </c>
      <c r="R511" s="82" t="n">
        <v>-3.2428</v>
      </c>
      <c r="S511" s="82" t="n">
        <v>0.74</v>
      </c>
      <c r="T511" s="82" t="n">
        <v>0.1108</v>
      </c>
      <c r="U511" s="82" t="n">
        <v>-0.3668</v>
      </c>
      <c r="V511" s="82" t="n">
        <v>0.256</v>
      </c>
      <c r="W511" s="82" t="n">
        <v>5.69</v>
      </c>
      <c r="X511" s="82" t="n">
        <v>44.83</v>
      </c>
      <c r="Y511" s="82" t="n">
        <v>20</v>
      </c>
      <c r="Z511" s="82" t="inlineStr">
        <is>
          <t>CLEAR</t>
        </is>
      </c>
    </row>
    <row r="512" ht="17" customHeight="1">
      <c r="A512" s="86" t="n">
        <v>510</v>
      </c>
      <c r="B512" s="86" t="inlineStr">
        <is>
          <t>MRK</t>
        </is>
      </c>
      <c r="C512" s="86" t="inlineStr">
        <is>
          <t>Merck &amp; Co., Inc.</t>
        </is>
      </c>
      <c r="D512" s="86" t="n">
        <v>1.65</v>
      </c>
      <c r="E512" s="208" t="inlineStr">
        <is>
          <t>Grey</t>
        </is>
      </c>
      <c r="F512" s="86" t="n">
        <v>3.91</v>
      </c>
      <c r="G512" s="86" t="inlineStr">
        <is>
          <t>Safe</t>
        </is>
      </c>
      <c r="H512" s="86" t="n">
        <v>1.27</v>
      </c>
      <c r="I512" s="86" t="inlineStr">
        <is>
          <t>Healthy</t>
        </is>
      </c>
      <c r="J512" s="86" t="n">
        <v>0.75</v>
      </c>
      <c r="K512" s="86" t="n">
        <v>0.68</v>
      </c>
      <c r="L512" s="86" t="inlineStr">
        <is>
          <t>Distress</t>
        </is>
      </c>
      <c r="M512" s="86" t="n">
        <v>4</v>
      </c>
      <c r="N512" s="86" t="inlineStr">
        <is>
          <t>Mixed</t>
        </is>
      </c>
      <c r="O512" s="207" t="n">
        <v>-2.36</v>
      </c>
      <c r="P512" s="86" t="inlineStr">
        <is>
          <t>Lower Risk</t>
        </is>
      </c>
      <c r="Q512" s="86" t="n">
        <v>1.3</v>
      </c>
      <c r="R512" s="86" t="n">
        <v>0.347</v>
      </c>
      <c r="S512" s="86" t="n">
        <v>0.9</v>
      </c>
      <c r="T512" s="86" t="n">
        <v>0.1901</v>
      </c>
      <c r="U512" s="86" t="n">
        <v>0.0131</v>
      </c>
      <c r="V512" s="86" t="n">
        <v>0.3241</v>
      </c>
      <c r="W512" s="86" t="n">
        <v>18.38</v>
      </c>
      <c r="X512" s="86" t="n">
        <v>44.81</v>
      </c>
      <c r="Y512" s="86" t="n">
        <v>0</v>
      </c>
      <c r="Z512" s="86" t="inlineStr">
        <is>
          <t>CLEAR</t>
        </is>
      </c>
    </row>
    <row r="513" ht="17" customHeight="1">
      <c r="A513" s="82" t="n">
        <v>511</v>
      </c>
      <c r="B513" s="82" t="inlineStr">
        <is>
          <t>DOC</t>
        </is>
      </c>
      <c r="C513" s="82" t="inlineStr">
        <is>
          <t>Healthpeak Properties, Inc.</t>
        </is>
      </c>
      <c r="D513" s="91" t="inlineStr">
        <is>
          <t>N/A</t>
        </is>
      </c>
      <c r="E513" s="91" t="inlineStr">
        <is>
          <t>N/A</t>
        </is>
      </c>
      <c r="F513" s="91" t="inlineStr">
        <is>
          <t>N/A</t>
        </is>
      </c>
      <c r="G513" s="91" t="inlineStr">
        <is>
          <t>N/A</t>
        </is>
      </c>
      <c r="H513" s="91" t="inlineStr">
        <is>
          <t>N/A</t>
        </is>
      </c>
      <c r="I513" s="91" t="inlineStr">
        <is>
          <t>N/A</t>
        </is>
      </c>
      <c r="J513" s="91" t="inlineStr">
        <is>
          <t>N/A</t>
        </is>
      </c>
      <c r="K513" s="91" t="inlineStr">
        <is>
          <t>N/A</t>
        </is>
      </c>
      <c r="L513" s="91" t="inlineStr">
        <is>
          <t>N/A</t>
        </is>
      </c>
      <c r="M513" s="82" t="n">
        <v>5</v>
      </c>
      <c r="N513" s="82" t="inlineStr">
        <is>
          <t>Mixed</t>
        </is>
      </c>
      <c r="O513" s="207" t="n">
        <v>-2.7</v>
      </c>
      <c r="P513" s="82" t="inlineStr">
        <is>
          <t>Lower Risk</t>
        </is>
      </c>
      <c r="Q513" s="82" t="n">
        <v>8.779999999999999</v>
      </c>
      <c r="R513" s="82" t="n">
        <v>0.0095</v>
      </c>
      <c r="S513" s="82" t="n">
        <v>17.55</v>
      </c>
      <c r="T513" s="82" t="n">
        <v>0.1265</v>
      </c>
      <c r="U513" s="82" t="n">
        <v>0.0452</v>
      </c>
      <c r="V513" s="82" t="n">
        <v>0.0033</v>
      </c>
      <c r="W513" s="82" t="n">
        <v>0.03</v>
      </c>
      <c r="X513" s="82" t="n">
        <v>44.8</v>
      </c>
      <c r="Y513" s="82" t="n">
        <v>0</v>
      </c>
      <c r="Z513" s="82" t="inlineStr">
        <is>
          <t>CLEAR</t>
        </is>
      </c>
    </row>
    <row r="514" ht="17" customHeight="1">
      <c r="A514" s="86" t="n">
        <v>512</v>
      </c>
      <c r="B514" s="86" t="inlineStr">
        <is>
          <t>WEX</t>
        </is>
      </c>
      <c r="C514" s="86" t="inlineStr">
        <is>
          <t>WEX Inc.</t>
        </is>
      </c>
      <c r="D514" s="86" t="n">
        <v>0.53</v>
      </c>
      <c r="E514" s="207" t="inlineStr">
        <is>
          <t>Distress</t>
        </is>
      </c>
      <c r="F514" s="86" t="n">
        <v>1.14</v>
      </c>
      <c r="G514" s="86" t="inlineStr">
        <is>
          <t>Grey</t>
        </is>
      </c>
      <c r="H514" s="86" t="n">
        <v>0.28</v>
      </c>
      <c r="I514" s="86" t="inlineStr">
        <is>
          <t>Distress</t>
        </is>
      </c>
      <c r="J514" s="86" t="n">
        <v>0.77</v>
      </c>
      <c r="K514" s="86" t="n">
        <v>0.68</v>
      </c>
      <c r="L514" s="86" t="inlineStr">
        <is>
          <t>Distress</t>
        </is>
      </c>
      <c r="M514" s="86" t="n">
        <v>5</v>
      </c>
      <c r="N514" s="86" t="inlineStr">
        <is>
          <t>Mixed</t>
        </is>
      </c>
      <c r="O514" s="207" t="n">
        <v>-2.53</v>
      </c>
      <c r="P514" s="86" t="inlineStr">
        <is>
          <t>Lower Risk</t>
        </is>
      </c>
      <c r="Q514" s="86" t="n">
        <v>2.34</v>
      </c>
      <c r="R514" s="86" t="n">
        <v>0.2463</v>
      </c>
      <c r="S514" s="86" t="n">
        <v>1.49</v>
      </c>
      <c r="T514" s="86" t="n">
        <v>0.1179</v>
      </c>
      <c r="U514" s="86" t="n">
        <v>0.0124</v>
      </c>
      <c r="V514" s="86" t="n">
        <v>0.2495</v>
      </c>
      <c r="W514" s="86" t="n">
        <v>5.08</v>
      </c>
      <c r="X514" s="86" t="n">
        <v>44.79</v>
      </c>
      <c r="Y514" s="86" t="n">
        <v>0</v>
      </c>
      <c r="Z514" s="86" t="inlineStr">
        <is>
          <t>CLEAR</t>
        </is>
      </c>
    </row>
    <row r="515" ht="17" customHeight="1">
      <c r="A515" s="82" t="n">
        <v>513</v>
      </c>
      <c r="B515" s="82" t="inlineStr">
        <is>
          <t>SO</t>
        </is>
      </c>
      <c r="C515" s="82" t="inlineStr">
        <is>
          <t>SOUTHERN CO</t>
        </is>
      </c>
      <c r="D515" s="82" t="n">
        <v>0.52</v>
      </c>
      <c r="E515" s="207" t="inlineStr">
        <is>
          <t>Distress</t>
        </is>
      </c>
      <c r="F515" s="82" t="n">
        <v>0.7</v>
      </c>
      <c r="G515" s="82" t="inlineStr">
        <is>
          <t>Distress</t>
        </is>
      </c>
      <c r="H515" s="82" t="n">
        <v>0.38</v>
      </c>
      <c r="I515" s="82" t="inlineStr">
        <is>
          <t>Distress</t>
        </is>
      </c>
      <c r="J515" s="82" t="n">
        <v>-0.2</v>
      </c>
      <c r="K515" s="82" t="n">
        <v>0.45</v>
      </c>
      <c r="L515" s="82" t="inlineStr">
        <is>
          <t>Healthy</t>
        </is>
      </c>
      <c r="M515" s="82" t="n">
        <v>5</v>
      </c>
      <c r="N515" s="82" t="inlineStr">
        <is>
          <t>Mixed</t>
        </is>
      </c>
      <c r="O515" s="91" t="inlineStr">
        <is>
          <t>N/A</t>
        </is>
      </c>
      <c r="P515" s="82" t="inlineStr">
        <is>
          <t>Insufficient Data</t>
        </is>
      </c>
      <c r="Q515" s="82" t="n">
        <v>-0.22</v>
      </c>
      <c r="R515" s="82" t="n">
        <v>0.1205</v>
      </c>
      <c r="S515" s="82" t="n">
        <v>2.26</v>
      </c>
      <c r="T515" s="82" t="n">
        <v>-0.0993</v>
      </c>
      <c r="U515" s="82" t="n">
        <v>0.1059</v>
      </c>
      <c r="V515" s="82" t="n">
        <v>0.2465</v>
      </c>
      <c r="W515" s="91" t="inlineStr">
        <is>
          <t>N/A</t>
        </is>
      </c>
      <c r="X515" s="82" t="n">
        <v>44.76</v>
      </c>
      <c r="Y515" s="82" t="n">
        <v>0</v>
      </c>
      <c r="Z515" s="82" t="inlineStr">
        <is>
          <t>CLEAR</t>
        </is>
      </c>
    </row>
    <row r="516" ht="17" customHeight="1">
      <c r="A516" s="86" t="n">
        <v>514</v>
      </c>
      <c r="B516" s="86" t="inlineStr">
        <is>
          <t>SRE</t>
        </is>
      </c>
      <c r="C516" s="86" t="inlineStr">
        <is>
          <t>SEMPRA</t>
        </is>
      </c>
      <c r="D516" s="86" t="n">
        <v>0.51</v>
      </c>
      <c r="E516" s="207" t="inlineStr">
        <is>
          <t>Distress</t>
        </is>
      </c>
      <c r="F516" s="86" t="n">
        <v>1.68</v>
      </c>
      <c r="G516" s="86" t="inlineStr">
        <is>
          <t>Grey</t>
        </is>
      </c>
      <c r="H516" s="86" t="n">
        <v>0.27</v>
      </c>
      <c r="I516" s="86" t="inlineStr">
        <is>
          <t>Distress</t>
        </is>
      </c>
      <c r="J516" s="86" t="n">
        <v>1.27</v>
      </c>
      <c r="K516" s="86" t="n">
        <v>0.78</v>
      </c>
      <c r="L516" s="86" t="inlineStr">
        <is>
          <t>Distress</t>
        </is>
      </c>
      <c r="M516" s="86" t="n">
        <v>5</v>
      </c>
      <c r="N516" s="86" t="inlineStr">
        <is>
          <t>Mixed</t>
        </is>
      </c>
      <c r="O516" s="90" t="inlineStr">
        <is>
          <t>N/A</t>
        </is>
      </c>
      <c r="P516" s="86" t="inlineStr">
        <is>
          <t>Insufficient Data</t>
        </is>
      </c>
      <c r="Q516" s="86" t="n">
        <v>-0.01</v>
      </c>
      <c r="R516" s="86" t="n">
        <v>0.0581</v>
      </c>
      <c r="S516" s="86" t="n">
        <v>2.49</v>
      </c>
      <c r="T516" s="86" t="n">
        <v>-0.4413</v>
      </c>
      <c r="U516" s="86" t="n">
        <v>0.0392</v>
      </c>
      <c r="V516" s="86" t="n">
        <v>0.1306</v>
      </c>
      <c r="W516" s="86" t="n">
        <v>1.37</v>
      </c>
      <c r="X516" s="86" t="n">
        <v>44.72</v>
      </c>
      <c r="Y516" s="86" t="n">
        <v>0</v>
      </c>
      <c r="Z516" s="86" t="inlineStr">
        <is>
          <t>CLEAR</t>
        </is>
      </c>
    </row>
    <row r="517" ht="17" customHeight="1">
      <c r="A517" s="82" t="n">
        <v>515</v>
      </c>
      <c r="B517" s="82" t="inlineStr">
        <is>
          <t>ABT</t>
        </is>
      </c>
      <c r="C517" s="82" t="inlineStr">
        <is>
          <t>ABBOTT LABORATORIES</t>
        </is>
      </c>
      <c r="D517" s="82" t="n">
        <v>1.62</v>
      </c>
      <c r="E517" s="208" t="inlineStr">
        <is>
          <t>Grey</t>
        </is>
      </c>
      <c r="F517" s="82" t="n">
        <v>3.85</v>
      </c>
      <c r="G517" s="82" t="inlineStr">
        <is>
          <t>Safe</t>
        </is>
      </c>
      <c r="H517" s="82" t="n">
        <v>0.9399999999999999</v>
      </c>
      <c r="I517" s="82" t="inlineStr">
        <is>
          <t>Healthy</t>
        </is>
      </c>
      <c r="J517" s="82" t="n">
        <v>1.01</v>
      </c>
      <c r="K517" s="82" t="n">
        <v>0.73</v>
      </c>
      <c r="L517" s="82" t="inlineStr">
        <is>
          <t>Distress</t>
        </is>
      </c>
      <c r="M517" s="82" t="n">
        <v>4</v>
      </c>
      <c r="N517" s="82" t="inlineStr">
        <is>
          <t>Mixed</t>
        </is>
      </c>
      <c r="O517" s="207" t="n">
        <v>-2.63</v>
      </c>
      <c r="P517" s="82" t="inlineStr">
        <is>
          <t>Lower Risk</t>
        </is>
      </c>
      <c r="Q517" s="82" t="n">
        <v>0.46</v>
      </c>
      <c r="R517" s="82" t="n">
        <v>0.1251</v>
      </c>
      <c r="S517" s="82" t="n">
        <v>1.47</v>
      </c>
      <c r="T517" s="82" t="n">
        <v>0.1668</v>
      </c>
      <c r="U517" s="82" t="n">
        <v>0.0567</v>
      </c>
      <c r="V517" s="82" t="n">
        <v>0.1817</v>
      </c>
      <c r="W517" s="82" t="n">
        <v>12.64</v>
      </c>
      <c r="X517" s="82" t="n">
        <v>44.71</v>
      </c>
      <c r="Y517" s="82" t="n">
        <v>0</v>
      </c>
      <c r="Z517" s="82" t="inlineStr">
        <is>
          <t>CLEAR</t>
        </is>
      </c>
    </row>
    <row r="518" ht="17" customHeight="1">
      <c r="A518" s="86" t="n">
        <v>516</v>
      </c>
      <c r="B518" s="86" t="inlineStr">
        <is>
          <t>LMT</t>
        </is>
      </c>
      <c r="C518" s="86" t="inlineStr">
        <is>
          <t>LOCKHEED MARTIN CORPORATION</t>
        </is>
      </c>
      <c r="D518" s="86" t="n">
        <v>1.93</v>
      </c>
      <c r="E518" s="208" t="inlineStr">
        <is>
          <t>Grey</t>
        </is>
      </c>
      <c r="F518" s="86" t="n">
        <v>1.99</v>
      </c>
      <c r="G518" s="86" t="inlineStr">
        <is>
          <t>Grey</t>
        </is>
      </c>
      <c r="H518" s="86" t="n">
        <v>1.1</v>
      </c>
      <c r="I518" s="86" t="inlineStr">
        <is>
          <t>Healthy</t>
        </is>
      </c>
      <c r="J518" s="86" t="n">
        <v>0.33</v>
      </c>
      <c r="K518" s="86" t="n">
        <v>0.58</v>
      </c>
      <c r="L518" s="86" t="inlineStr">
        <is>
          <t>Distress</t>
        </is>
      </c>
      <c r="M518" s="86" t="n">
        <v>5</v>
      </c>
      <c r="N518" s="86" t="inlineStr">
        <is>
          <t>Mixed</t>
        </is>
      </c>
      <c r="O518" s="207" t="n">
        <v>-2.04</v>
      </c>
      <c r="P518" s="86" t="inlineStr">
        <is>
          <t>Higher Risk</t>
        </is>
      </c>
      <c r="Q518" s="86" t="n">
        <v>1.87</v>
      </c>
      <c r="R518" s="86" t="n">
        <v>0.7465000000000001</v>
      </c>
      <c r="S518" s="86" t="n">
        <v>1.71</v>
      </c>
      <c r="T518" s="86" t="n">
        <v>0.1015</v>
      </c>
      <c r="U518" s="86" t="n">
        <v>0.0564</v>
      </c>
      <c r="V518" s="86" t="n">
        <v>0.103</v>
      </c>
      <c r="W518" s="86" t="n">
        <v>8.44</v>
      </c>
      <c r="X518" s="86" t="n">
        <v>44.7</v>
      </c>
      <c r="Y518" s="86" t="n">
        <v>20</v>
      </c>
      <c r="Z518" s="86" t="inlineStr">
        <is>
          <t>CLEAR</t>
        </is>
      </c>
    </row>
    <row r="519" ht="17" customHeight="1">
      <c r="A519" s="82" t="n">
        <v>517</v>
      </c>
      <c r="B519" s="82" t="inlineStr">
        <is>
          <t>ES</t>
        </is>
      </c>
      <c r="C519" s="82" t="inlineStr">
        <is>
          <t>EVERSOURCE ENERGY</t>
        </is>
      </c>
      <c r="D519" s="82" t="n">
        <v>0.49</v>
      </c>
      <c r="E519" s="207" t="inlineStr">
        <is>
          <t>Distress</t>
        </is>
      </c>
      <c r="F519" s="82" t="n">
        <v>0.53</v>
      </c>
      <c r="G519" s="82" t="inlineStr">
        <is>
          <t>Distress</t>
        </is>
      </c>
      <c r="H519" s="82" t="n">
        <v>0.34</v>
      </c>
      <c r="I519" s="82" t="inlineStr">
        <is>
          <t>Distress</t>
        </is>
      </c>
      <c r="J519" s="82" t="n">
        <v>1.38</v>
      </c>
      <c r="K519" s="82" t="n">
        <v>0.8</v>
      </c>
      <c r="L519" s="82" t="inlineStr">
        <is>
          <t>Distress</t>
        </is>
      </c>
      <c r="M519" s="82" t="n">
        <v>5</v>
      </c>
      <c r="N519" s="82" t="inlineStr">
        <is>
          <t>Mixed</t>
        </is>
      </c>
      <c r="O519" s="207" t="n">
        <v>-2.69</v>
      </c>
      <c r="P519" s="82" t="inlineStr">
        <is>
          <t>Lower Risk</t>
        </is>
      </c>
      <c r="Q519" s="82" t="n">
        <v>4.96</v>
      </c>
      <c r="R519" s="82" t="n">
        <v>-0.0268</v>
      </c>
      <c r="S519" s="82" t="n">
        <v>-9.460000000000001</v>
      </c>
      <c r="T519" s="82" t="n">
        <v>-0.0033</v>
      </c>
      <c r="U519" s="82" t="n">
        <v>0.1383</v>
      </c>
      <c r="V519" s="82" t="n">
        <v>0.2206</v>
      </c>
      <c r="W519" s="82" t="n">
        <v>3.49</v>
      </c>
      <c r="X519" s="82" t="n">
        <v>44.67</v>
      </c>
      <c r="Y519" s="82" t="n">
        <v>20</v>
      </c>
      <c r="Z519" s="82" t="inlineStr">
        <is>
          <t>CLEAR</t>
        </is>
      </c>
    </row>
    <row r="520" ht="17" customHeight="1">
      <c r="A520" s="86" t="n">
        <v>518</v>
      </c>
      <c r="B520" s="86" t="inlineStr">
        <is>
          <t>EOG</t>
        </is>
      </c>
      <c r="C520" s="86" t="inlineStr">
        <is>
          <t>EOG RESOURCES, INC.</t>
        </is>
      </c>
      <c r="D520" s="86" t="n">
        <v>1.59</v>
      </c>
      <c r="E520" s="208" t="inlineStr">
        <is>
          <t>Grey</t>
        </is>
      </c>
      <c r="F520" s="86" t="n">
        <v>3.68</v>
      </c>
      <c r="G520" s="86" t="inlineStr">
        <is>
          <t>Safe</t>
        </is>
      </c>
      <c r="H520" s="86" t="n">
        <v>1.51</v>
      </c>
      <c r="I520" s="86" t="inlineStr">
        <is>
          <t>Healthy</t>
        </is>
      </c>
      <c r="J520" s="86" t="n">
        <v>0.92</v>
      </c>
      <c r="K520" s="86" t="n">
        <v>0.71</v>
      </c>
      <c r="L520" s="86" t="inlineStr">
        <is>
          <t>Distress</t>
        </is>
      </c>
      <c r="M520" s="86" t="n">
        <v>4</v>
      </c>
      <c r="N520" s="86" t="inlineStr">
        <is>
          <t>Mixed</t>
        </is>
      </c>
      <c r="O520" s="90" t="inlineStr">
        <is>
          <t>N/A</t>
        </is>
      </c>
      <c r="P520" s="86" t="inlineStr">
        <is>
          <t>Insufficient Data</t>
        </is>
      </c>
      <c r="Q520" s="86" t="n">
        <v>0.42</v>
      </c>
      <c r="R520" s="86" t="n">
        <v>0.1669</v>
      </c>
      <c r="S520" s="86" t="n">
        <v>2.02</v>
      </c>
      <c r="T520" s="90" t="inlineStr">
        <is>
          <t>N/A</t>
        </is>
      </c>
      <c r="U520" s="86" t="n">
        <v>-0.045</v>
      </c>
      <c r="V520" s="86" t="n">
        <v>0.2821</v>
      </c>
      <c r="W520" s="86" t="n">
        <v>27.17</v>
      </c>
      <c r="X520" s="86" t="n">
        <v>44.62</v>
      </c>
      <c r="Y520" s="86" t="n">
        <v>0</v>
      </c>
      <c r="Z520" s="86" t="inlineStr">
        <is>
          <t>CLEAR</t>
        </is>
      </c>
    </row>
    <row r="521" ht="17" customHeight="1">
      <c r="A521" s="82" t="n">
        <v>519</v>
      </c>
      <c r="B521" s="82" t="inlineStr">
        <is>
          <t>CNP</t>
        </is>
      </c>
      <c r="C521" s="82" t="inlineStr">
        <is>
          <t>CENTERPOINT ENERGY INC</t>
        </is>
      </c>
      <c r="D521" s="82" t="n">
        <v>0.47</v>
      </c>
      <c r="E521" s="207" t="inlineStr">
        <is>
          <t>Distress</t>
        </is>
      </c>
      <c r="F521" s="82" t="n">
        <v>0.62</v>
      </c>
      <c r="G521" s="82" t="inlineStr">
        <is>
          <t>Distress</t>
        </is>
      </c>
      <c r="H521" s="82" t="n">
        <v>0.34</v>
      </c>
      <c r="I521" s="82" t="inlineStr">
        <is>
          <t>Distress</t>
        </is>
      </c>
      <c r="J521" s="82" t="n">
        <v>1.24</v>
      </c>
      <c r="K521" s="82" t="n">
        <v>0.78</v>
      </c>
      <c r="L521" s="82" t="inlineStr">
        <is>
          <t>Distress</t>
        </is>
      </c>
      <c r="M521" s="82" t="n">
        <v>5</v>
      </c>
      <c r="N521" s="82" t="inlineStr">
        <is>
          <t>Mixed</t>
        </is>
      </c>
      <c r="O521" s="207" t="n">
        <v>-2.4</v>
      </c>
      <c r="P521" s="82" t="inlineStr">
        <is>
          <t>Lower Risk</t>
        </is>
      </c>
      <c r="Q521" s="82" t="n">
        <v>6.85</v>
      </c>
      <c r="R521" s="82" t="n">
        <v>0.09429999999999999</v>
      </c>
      <c r="S521" s="82" t="n">
        <v>2.36</v>
      </c>
      <c r="T521" s="82" t="n">
        <v>-0.2548</v>
      </c>
      <c r="U521" s="82" t="n">
        <v>0.08260000000000001</v>
      </c>
      <c r="V521" s="82" t="n">
        <v>0.2255</v>
      </c>
      <c r="W521" s="91" t="inlineStr">
        <is>
          <t>N/A</t>
        </is>
      </c>
      <c r="X521" s="82" t="n">
        <v>44.59</v>
      </c>
      <c r="Y521" s="82" t="n">
        <v>0</v>
      </c>
      <c r="Z521" s="82" t="inlineStr">
        <is>
          <t>CLEAR</t>
        </is>
      </c>
    </row>
    <row r="522" ht="17" customHeight="1">
      <c r="A522" s="86" t="n">
        <v>520</v>
      </c>
      <c r="B522" s="86" t="inlineStr">
        <is>
          <t>WTW</t>
        </is>
      </c>
      <c r="C522" s="86" t="inlineStr">
        <is>
          <t>WILLIS TOWERS WATSON PLC</t>
        </is>
      </c>
      <c r="D522" s="86" t="n">
        <v>0.78</v>
      </c>
      <c r="E522" s="207" t="inlineStr">
        <is>
          <t>Distress</t>
        </is>
      </c>
      <c r="F522" s="86" t="n">
        <v>1.5</v>
      </c>
      <c r="G522" s="86" t="inlineStr">
        <is>
          <t>Grey</t>
        </is>
      </c>
      <c r="H522" s="86" t="n">
        <v>0.5600000000000001</v>
      </c>
      <c r="I522" s="86" t="inlineStr">
        <is>
          <t>Distress</t>
        </is>
      </c>
      <c r="J522" s="86" t="n">
        <v>-0.45</v>
      </c>
      <c r="K522" s="86" t="n">
        <v>0.39</v>
      </c>
      <c r="L522" s="86" t="inlineStr">
        <is>
          <t>Healthy</t>
        </is>
      </c>
      <c r="M522" s="86" t="n">
        <v>6</v>
      </c>
      <c r="N522" s="86" t="inlineStr">
        <is>
          <t>Mixed</t>
        </is>
      </c>
      <c r="O522" s="207" t="n">
        <v>-0.74</v>
      </c>
      <c r="P522" s="86" t="inlineStr">
        <is>
          <t>Higher Risk</t>
        </is>
      </c>
      <c r="Q522" s="86" t="n">
        <v>2.72</v>
      </c>
      <c r="R522" s="86" t="n">
        <v>0.2012</v>
      </c>
      <c r="S522" s="86" t="n">
        <v>1.11</v>
      </c>
      <c r="T522" s="86" t="n">
        <v>0.1678</v>
      </c>
      <c r="U522" s="86" t="n">
        <v>-0.0224</v>
      </c>
      <c r="V522" s="86" t="n">
        <v>0.2301</v>
      </c>
      <c r="W522" s="86" t="n">
        <v>8.59</v>
      </c>
      <c r="X522" s="86" t="n">
        <v>44.56</v>
      </c>
      <c r="Y522" s="86" t="n">
        <v>20</v>
      </c>
      <c r="Z522" s="86" t="inlineStr">
        <is>
          <t>CLEAR</t>
        </is>
      </c>
    </row>
    <row r="523" ht="17" customHeight="1">
      <c r="A523" s="82" t="n">
        <v>521</v>
      </c>
      <c r="B523" s="82" t="inlineStr">
        <is>
          <t>PNW</t>
        </is>
      </c>
      <c r="C523" s="82" t="inlineStr">
        <is>
          <t>PINNACLE WEST CAPITAL CORP</t>
        </is>
      </c>
      <c r="D523" s="82" t="n">
        <v>0.46</v>
      </c>
      <c r="E523" s="207" t="inlineStr">
        <is>
          <t>Distress</t>
        </is>
      </c>
      <c r="F523" s="82" t="n">
        <v>0.58</v>
      </c>
      <c r="G523" s="82" t="inlineStr">
        <is>
          <t>Distress</t>
        </is>
      </c>
      <c r="H523" s="82" t="n">
        <v>0.28</v>
      </c>
      <c r="I523" s="82" t="inlineStr">
        <is>
          <t>Distress</t>
        </is>
      </c>
      <c r="J523" s="82" t="n">
        <v>1.29</v>
      </c>
      <c r="K523" s="82" t="n">
        <v>0.78</v>
      </c>
      <c r="L523" s="82" t="inlineStr">
        <is>
          <t>Distress</t>
        </is>
      </c>
      <c r="M523" s="82" t="n">
        <v>5</v>
      </c>
      <c r="N523" s="82" t="inlineStr">
        <is>
          <t>Mixed</t>
        </is>
      </c>
      <c r="O523" s="91" t="inlineStr">
        <is>
          <t>N/A</t>
        </is>
      </c>
      <c r="P523" s="82" t="inlineStr">
        <is>
          <t>Insufficient Data</t>
        </is>
      </c>
      <c r="Q523" s="82" t="n">
        <v>1.63</v>
      </c>
      <c r="R523" s="82" t="n">
        <v>0.0497</v>
      </c>
      <c r="S523" s="82" t="n">
        <v>5.16</v>
      </c>
      <c r="T523" s="82" t="n">
        <v>-0.1535</v>
      </c>
      <c r="U523" s="82" t="n">
        <v>0.042</v>
      </c>
      <c r="V523" s="82" t="n">
        <v>0.1999</v>
      </c>
      <c r="W523" s="82" t="n">
        <v>3.22</v>
      </c>
      <c r="X523" s="82" t="n">
        <v>44.56</v>
      </c>
      <c r="Y523" s="82" t="n">
        <v>0</v>
      </c>
      <c r="Z523" s="82" t="inlineStr">
        <is>
          <t>CLEAR</t>
        </is>
      </c>
    </row>
    <row r="524" ht="17" customHeight="1">
      <c r="A524" s="86" t="n">
        <v>522</v>
      </c>
      <c r="B524" s="86" t="inlineStr">
        <is>
          <t>MGM</t>
        </is>
      </c>
      <c r="C524" s="86" t="inlineStr">
        <is>
          <t>MGM Resorts International</t>
        </is>
      </c>
      <c r="D524" s="86" t="n">
        <v>0.4</v>
      </c>
      <c r="E524" s="207" t="inlineStr">
        <is>
          <t>Distress</t>
        </is>
      </c>
      <c r="F524" s="86" t="n">
        <v>0.53</v>
      </c>
      <c r="G524" s="86" t="inlineStr">
        <is>
          <t>Distress</t>
        </is>
      </c>
      <c r="H524" s="86" t="n">
        <v>0.24</v>
      </c>
      <c r="I524" s="86" t="inlineStr">
        <is>
          <t>Distress</t>
        </is>
      </c>
      <c r="J524" s="86" t="n">
        <v>0.88</v>
      </c>
      <c r="K524" s="86" t="n">
        <v>0.71</v>
      </c>
      <c r="L524" s="86" t="inlineStr">
        <is>
          <t>Distress</t>
        </is>
      </c>
      <c r="M524" s="86" t="n">
        <v>5</v>
      </c>
      <c r="N524" s="86" t="inlineStr">
        <is>
          <t>Mixed</t>
        </is>
      </c>
      <c r="O524" s="90" t="inlineStr">
        <is>
          <t>N/A</t>
        </is>
      </c>
      <c r="P524" s="86" t="inlineStr">
        <is>
          <t>Insufficient Data</t>
        </is>
      </c>
      <c r="Q524" s="86" t="n">
        <v>2.06</v>
      </c>
      <c r="R524" s="86" t="n">
        <v>0.0847</v>
      </c>
      <c r="S524" s="86" t="n">
        <v>12.29</v>
      </c>
      <c r="T524" s="86" t="n">
        <v>0.1489</v>
      </c>
      <c r="U524" s="86" t="n">
        <v>2.9032</v>
      </c>
      <c r="V524" s="86" t="n">
        <v>0.1021</v>
      </c>
      <c r="W524" s="86" t="n">
        <v>2.18</v>
      </c>
      <c r="X524" s="86" t="n">
        <v>44.33</v>
      </c>
      <c r="Y524" s="86" t="n">
        <v>0</v>
      </c>
      <c r="Z524" s="86" t="inlineStr">
        <is>
          <t>CLEAR</t>
        </is>
      </c>
    </row>
    <row r="525" ht="17" customHeight="1">
      <c r="A525" s="82" t="n">
        <v>523</v>
      </c>
      <c r="B525" s="82" t="inlineStr">
        <is>
          <t>EQIX</t>
        </is>
      </c>
      <c r="C525" s="82" t="inlineStr">
        <is>
          <t>EQUINIX INC</t>
        </is>
      </c>
      <c r="D525" s="82" t="n">
        <v>0.67</v>
      </c>
      <c r="E525" s="207" t="inlineStr">
        <is>
          <t>Distress</t>
        </is>
      </c>
      <c r="F525" s="82" t="n">
        <v>1.58</v>
      </c>
      <c r="G525" s="82" t="inlineStr">
        <is>
          <t>Grey</t>
        </is>
      </c>
      <c r="H525" s="82" t="n">
        <v>0.49</v>
      </c>
      <c r="I525" s="82" t="inlineStr">
        <is>
          <t>Distress</t>
        </is>
      </c>
      <c r="J525" s="82" t="n">
        <v>-0.8100000000000001</v>
      </c>
      <c r="K525" s="82" t="n">
        <v>0.31</v>
      </c>
      <c r="L525" s="82" t="inlineStr">
        <is>
          <t>Healthy</t>
        </is>
      </c>
      <c r="M525" s="82" t="n">
        <v>6</v>
      </c>
      <c r="N525" s="82" t="inlineStr">
        <is>
          <t>Mixed</t>
        </is>
      </c>
      <c r="O525" s="207" t="n">
        <v>0.61</v>
      </c>
      <c r="P525" s="82" t="inlineStr">
        <is>
          <t>Higher Risk</t>
        </is>
      </c>
      <c r="Q525" s="82" t="n">
        <v>3.49</v>
      </c>
      <c r="R525" s="82" t="n">
        <v>0.0954</v>
      </c>
      <c r="S525" s="82" t="n">
        <v>2.9</v>
      </c>
      <c r="T525" s="82" t="n">
        <v>0.6495</v>
      </c>
      <c r="U525" s="82" t="n">
        <v>2.8351</v>
      </c>
      <c r="V525" s="82" t="n">
        <v>0.3081</v>
      </c>
      <c r="W525" s="82" t="n">
        <v>4.6</v>
      </c>
      <c r="X525" s="82" t="n">
        <v>44.3</v>
      </c>
      <c r="Y525" s="82" t="n">
        <v>20</v>
      </c>
      <c r="Z525" s="82" t="inlineStr">
        <is>
          <t>CLEAR</t>
        </is>
      </c>
    </row>
    <row r="526" ht="17" customHeight="1">
      <c r="A526" s="86" t="n">
        <v>524</v>
      </c>
      <c r="B526" s="86" t="inlineStr">
        <is>
          <t>DASH</t>
        </is>
      </c>
      <c r="C526" s="86" t="inlineStr">
        <is>
          <t>DOORDASH, INC.</t>
        </is>
      </c>
      <c r="D526" s="86" t="n">
        <v>1.15</v>
      </c>
      <c r="E526" s="207" t="inlineStr">
        <is>
          <t>Distress</t>
        </is>
      </c>
      <c r="F526" s="86" t="n">
        <v>1.46</v>
      </c>
      <c r="G526" s="86" t="inlineStr">
        <is>
          <t>Grey</t>
        </is>
      </c>
      <c r="H526" s="86" t="n">
        <v>0.62</v>
      </c>
      <c r="I526" s="86" t="inlineStr">
        <is>
          <t>Distress</t>
        </is>
      </c>
      <c r="J526" s="86" t="n">
        <v>-1.77</v>
      </c>
      <c r="K526" s="86" t="n">
        <v>0.15</v>
      </c>
      <c r="L526" s="86" t="inlineStr">
        <is>
          <t>Healthy</t>
        </is>
      </c>
      <c r="M526" s="86" t="n">
        <v>4</v>
      </c>
      <c r="N526" s="86" t="inlineStr">
        <is>
          <t>Mixed</t>
        </is>
      </c>
      <c r="O526" s="90" t="inlineStr">
        <is>
          <t>N/A</t>
        </is>
      </c>
      <c r="P526" s="86" t="inlineStr">
        <is>
          <t>Insufficient Data</t>
        </is>
      </c>
      <c r="Q526" s="86" t="n">
        <v>-2.98</v>
      </c>
      <c r="R526" s="86" t="n">
        <v>0.09320000000000001</v>
      </c>
      <c r="S526" s="86" t="n">
        <v>2.6</v>
      </c>
      <c r="T526" s="86" t="n">
        <v>0.1585</v>
      </c>
      <c r="U526" s="86" t="n">
        <v>0</v>
      </c>
      <c r="V526" s="86" t="n">
        <v>0.0527</v>
      </c>
      <c r="W526" s="86" t="n">
        <v>361.5</v>
      </c>
      <c r="X526" s="86" t="n">
        <v>44.16</v>
      </c>
      <c r="Y526" s="86" t="n">
        <v>0</v>
      </c>
      <c r="Z526" s="86" t="inlineStr">
        <is>
          <t>CLEAR</t>
        </is>
      </c>
    </row>
    <row r="527" ht="17" customHeight="1">
      <c r="A527" s="82" t="n">
        <v>525</v>
      </c>
      <c r="B527" s="82" t="inlineStr">
        <is>
          <t>LIN</t>
        </is>
      </c>
      <c r="C527" s="82" t="inlineStr">
        <is>
          <t>LINDE PLC</t>
        </is>
      </c>
      <c r="D527" s="82" t="n">
        <v>1.2</v>
      </c>
      <c r="E527" s="207" t="inlineStr">
        <is>
          <t>Distress</t>
        </is>
      </c>
      <c r="F527" s="82" t="n">
        <v>2.03</v>
      </c>
      <c r="G527" s="82" t="inlineStr">
        <is>
          <t>Grey</t>
        </is>
      </c>
      <c r="H527" s="82" t="n">
        <v>0.58</v>
      </c>
      <c r="I527" s="82" t="inlineStr">
        <is>
          <t>Distress</t>
        </is>
      </c>
      <c r="J527" s="82" t="n">
        <v>-1.61</v>
      </c>
      <c r="K527" s="82" t="n">
        <v>0.17</v>
      </c>
      <c r="L527" s="82" t="inlineStr">
        <is>
          <t>Healthy</t>
        </is>
      </c>
      <c r="M527" s="82" t="n">
        <v>4</v>
      </c>
      <c r="N527" s="82" t="inlineStr">
        <is>
          <t>Mixed</t>
        </is>
      </c>
      <c r="O527" s="91" t="inlineStr">
        <is>
          <t>N/A</t>
        </is>
      </c>
      <c r="P527" s="82" t="inlineStr">
        <is>
          <t>Insufficient Data</t>
        </is>
      </c>
      <c r="Q527" s="82" t="n">
        <v>1.37</v>
      </c>
      <c r="R527" s="82" t="n">
        <v>0.1804</v>
      </c>
      <c r="S527" s="82" t="n">
        <v>1.5</v>
      </c>
      <c r="T527" s="82" t="n">
        <v>0.1497</v>
      </c>
      <c r="U527" s="82" t="n">
        <v>0.0297</v>
      </c>
      <c r="V527" s="82" t="n">
        <v>0.2625</v>
      </c>
      <c r="W527" s="82" t="n">
        <v>15.52</v>
      </c>
      <c r="X527" s="82" t="n">
        <v>43.99</v>
      </c>
      <c r="Y527" s="82" t="n">
        <v>0</v>
      </c>
      <c r="Z527" s="82" t="inlineStr">
        <is>
          <t>CLEAR</t>
        </is>
      </c>
    </row>
    <row r="528" ht="17" customHeight="1">
      <c r="A528" s="86" t="n">
        <v>526</v>
      </c>
      <c r="B528" s="86" t="inlineStr">
        <is>
          <t>CARR</t>
        </is>
      </c>
      <c r="C528" s="86" t="inlineStr">
        <is>
          <t>CARRIER GLOBAL CORPORATION</t>
        </is>
      </c>
      <c r="D528" s="86" t="n">
        <v>1.33</v>
      </c>
      <c r="E528" s="208" t="inlineStr">
        <is>
          <t>Grey</t>
        </is>
      </c>
      <c r="F528" s="86" t="n">
        <v>2.35</v>
      </c>
      <c r="G528" s="86" t="inlineStr">
        <is>
          <t>Grey</t>
        </is>
      </c>
      <c r="H528" s="86" t="n">
        <v>0.62</v>
      </c>
      <c r="I528" s="86" t="inlineStr">
        <is>
          <t>Distress</t>
        </is>
      </c>
      <c r="J528" s="86" t="n">
        <v>-0.99</v>
      </c>
      <c r="K528" s="86" t="n">
        <v>0.27</v>
      </c>
      <c r="L528" s="86" t="inlineStr">
        <is>
          <t>Healthy</t>
        </is>
      </c>
      <c r="M528" s="86" t="n">
        <v>4</v>
      </c>
      <c r="N528" s="86" t="inlineStr">
        <is>
          <t>Mixed</t>
        </is>
      </c>
      <c r="O528" s="207" t="n">
        <v>-2.39</v>
      </c>
      <c r="P528" s="86" t="inlineStr">
        <is>
          <t>Lower Risk</t>
        </is>
      </c>
      <c r="Q528" s="86" t="n">
        <v>2.52</v>
      </c>
      <c r="R528" s="86" t="n">
        <v>0.105</v>
      </c>
      <c r="S528" s="86" t="n">
        <v>1.69</v>
      </c>
      <c r="T528" s="86" t="n">
        <v>0.0975</v>
      </c>
      <c r="U528" s="86" t="n">
        <v>-0.0329</v>
      </c>
      <c r="V528" s="86" t="n">
        <v>0.0999</v>
      </c>
      <c r="W528" s="86" t="n">
        <v>4.74</v>
      </c>
      <c r="X528" s="86" t="n">
        <v>43.98</v>
      </c>
      <c r="Y528" s="86" t="n">
        <v>0</v>
      </c>
      <c r="Z528" s="86" t="inlineStr">
        <is>
          <t>CLEAR</t>
        </is>
      </c>
    </row>
    <row r="529" ht="17" customHeight="1">
      <c r="A529" s="82" t="n">
        <v>527</v>
      </c>
      <c r="B529" s="82" t="inlineStr">
        <is>
          <t>PCAR</t>
        </is>
      </c>
      <c r="C529" s="82" t="inlineStr">
        <is>
          <t>PACCAR Inc</t>
        </is>
      </c>
      <c r="D529" s="91" t="inlineStr">
        <is>
          <t>N/A</t>
        </is>
      </c>
      <c r="E529" s="91" t="inlineStr">
        <is>
          <t>N/A</t>
        </is>
      </c>
      <c r="F529" s="91" t="inlineStr">
        <is>
          <t>N/A</t>
        </is>
      </c>
      <c r="G529" s="91" t="inlineStr">
        <is>
          <t>N/A</t>
        </is>
      </c>
      <c r="H529" s="91" t="inlineStr">
        <is>
          <t>N/A</t>
        </is>
      </c>
      <c r="I529" s="91" t="inlineStr">
        <is>
          <t>N/A</t>
        </is>
      </c>
      <c r="J529" s="91" t="inlineStr">
        <is>
          <t>N/A</t>
        </is>
      </c>
      <c r="K529" s="91" t="inlineStr">
        <is>
          <t>N/A</t>
        </is>
      </c>
      <c r="L529" s="91" t="inlineStr">
        <is>
          <t>N/A</t>
        </is>
      </c>
      <c r="M529" s="82" t="n">
        <v>4</v>
      </c>
      <c r="N529" s="82" t="inlineStr">
        <is>
          <t>Mixed</t>
        </is>
      </c>
      <c r="O529" s="91" t="inlineStr">
        <is>
          <t>N/A</t>
        </is>
      </c>
      <c r="P529" s="82" t="inlineStr">
        <is>
          <t>Insufficient Data</t>
        </is>
      </c>
      <c r="Q529" s="82" t="n">
        <v>-0.89</v>
      </c>
      <c r="R529" s="82" t="n">
        <v>0.1233</v>
      </c>
      <c r="S529" s="82" t="n">
        <v>1.86</v>
      </c>
      <c r="T529" s="82" t="n">
        <v>0.1291</v>
      </c>
      <c r="U529" s="82" t="n">
        <v>-0.155</v>
      </c>
      <c r="V529" s="82" t="n">
        <v>0.1063</v>
      </c>
      <c r="W529" s="82" t="n">
        <v>15.74</v>
      </c>
      <c r="X529" s="82" t="n">
        <v>43.93</v>
      </c>
      <c r="Y529" s="82" t="n">
        <v>0</v>
      </c>
      <c r="Z529" s="82" t="inlineStr">
        <is>
          <t>CLEAR</t>
        </is>
      </c>
    </row>
    <row r="530" ht="17" customHeight="1">
      <c r="A530" s="86" t="n">
        <v>528</v>
      </c>
      <c r="B530" s="86" t="inlineStr">
        <is>
          <t>V</t>
        </is>
      </c>
      <c r="C530" s="86" t="inlineStr">
        <is>
          <t>VISA INC.</t>
        </is>
      </c>
      <c r="D530" s="86" t="n">
        <v>1.3</v>
      </c>
      <c r="E530" s="208" t="inlineStr">
        <is>
          <t>Grey</t>
        </is>
      </c>
      <c r="F530" s="86" t="n">
        <v>2.74</v>
      </c>
      <c r="G530" s="86" t="inlineStr">
        <is>
          <t>Safe</t>
        </is>
      </c>
      <c r="H530" s="86" t="n">
        <v>1.31</v>
      </c>
      <c r="I530" s="86" t="inlineStr">
        <is>
          <t>Healthy</t>
        </is>
      </c>
      <c r="J530" s="86" t="n">
        <v>-1.72</v>
      </c>
      <c r="K530" s="86" t="n">
        <v>0.15</v>
      </c>
      <c r="L530" s="86" t="inlineStr">
        <is>
          <t>Healthy</t>
        </is>
      </c>
      <c r="M530" s="86" t="n">
        <v>4</v>
      </c>
      <c r="N530" s="86" t="inlineStr">
        <is>
          <t>Mixed</t>
        </is>
      </c>
      <c r="O530" s="90" t="inlineStr">
        <is>
          <t>N/A</t>
        </is>
      </c>
      <c r="P530" s="86" t="inlineStr">
        <is>
          <t>Insufficient Data</t>
        </is>
      </c>
      <c r="Q530" s="86" t="n">
        <v>0.15</v>
      </c>
      <c r="R530" s="86" t="n">
        <v>0.7587</v>
      </c>
      <c r="S530" s="86" t="n">
        <v>1.15</v>
      </c>
      <c r="T530" s="86" t="n">
        <v>0.9877</v>
      </c>
      <c r="U530" s="86" t="n">
        <v>-0.0492</v>
      </c>
      <c r="V530" s="86" t="n">
        <v>1.0983</v>
      </c>
      <c r="W530" s="86" t="n">
        <v>-827.38</v>
      </c>
      <c r="X530" s="86" t="n">
        <v>43.87</v>
      </c>
      <c r="Y530" s="86" t="n">
        <v>0</v>
      </c>
      <c r="Z530" s="86" t="inlineStr">
        <is>
          <t>CLEAR</t>
        </is>
      </c>
    </row>
    <row r="531" ht="17" customHeight="1">
      <c r="A531" s="82" t="n">
        <v>529</v>
      </c>
      <c r="B531" s="82" t="inlineStr">
        <is>
          <t>HOMB</t>
        </is>
      </c>
      <c r="C531" s="82" t="inlineStr">
        <is>
          <t>HOME BANCSHARES, INC.</t>
        </is>
      </c>
      <c r="D531" s="91" t="inlineStr">
        <is>
          <t>N/A</t>
        </is>
      </c>
      <c r="E531" s="91" t="inlineStr">
        <is>
          <t>N/A</t>
        </is>
      </c>
      <c r="F531" s="91" t="inlineStr">
        <is>
          <t>N/A</t>
        </is>
      </c>
      <c r="G531" s="91" t="inlineStr">
        <is>
          <t>N/A</t>
        </is>
      </c>
      <c r="H531" s="91" t="inlineStr">
        <is>
          <t>N/A</t>
        </is>
      </c>
      <c r="I531" s="91" t="inlineStr">
        <is>
          <t>N/A</t>
        </is>
      </c>
      <c r="J531" s="91" t="inlineStr">
        <is>
          <t>N/A</t>
        </is>
      </c>
      <c r="K531" s="91" t="inlineStr">
        <is>
          <t>N/A</t>
        </is>
      </c>
      <c r="L531" s="91" t="inlineStr">
        <is>
          <t>N/A</t>
        </is>
      </c>
      <c r="M531" s="82" t="n">
        <v>5</v>
      </c>
      <c r="N531" s="82" t="inlineStr">
        <is>
          <t>Mixed</t>
        </is>
      </c>
      <c r="O531" s="91" t="inlineStr">
        <is>
          <t>N/A</t>
        </is>
      </c>
      <c r="P531" s="82" t="inlineStr">
        <is>
          <t>Insufficient Data</t>
        </is>
      </c>
      <c r="Q531" s="82" t="n">
        <v>0.9399999999999999</v>
      </c>
      <c r="R531" s="82" t="n">
        <v>0.1106</v>
      </c>
      <c r="S531" s="82" t="n">
        <v>0.84</v>
      </c>
      <c r="T531" s="91" t="inlineStr">
        <is>
          <t>N/A</t>
        </is>
      </c>
      <c r="U531" s="91" t="inlineStr">
        <is>
          <t>N/A</t>
        </is>
      </c>
      <c r="V531" s="91" t="inlineStr">
        <is>
          <t>N/A</t>
        </is>
      </c>
      <c r="W531" s="82" t="n">
        <v>1.76</v>
      </c>
      <c r="X531" s="82" t="n">
        <v>43.87</v>
      </c>
      <c r="Y531" s="82" t="n">
        <v>0</v>
      </c>
      <c r="Z531" s="82" t="inlineStr">
        <is>
          <t>CLEAR</t>
        </is>
      </c>
    </row>
    <row r="532" ht="17" customHeight="1">
      <c r="A532" s="86" t="n">
        <v>530</v>
      </c>
      <c r="B532" s="86" t="inlineStr">
        <is>
          <t>FLR</t>
        </is>
      </c>
      <c r="C532" s="86" t="inlineStr">
        <is>
          <t>FLUOR CORPORATION</t>
        </is>
      </c>
      <c r="D532" s="86" t="n">
        <v>2.48</v>
      </c>
      <c r="E532" s="208" t="inlineStr">
        <is>
          <t>Grey</t>
        </is>
      </c>
      <c r="F532" s="86" t="n">
        <v>3.76</v>
      </c>
      <c r="G532" s="86" t="inlineStr">
        <is>
          <t>Safe</t>
        </is>
      </c>
      <c r="H532" s="86" t="n">
        <v>0.98</v>
      </c>
      <c r="I532" s="86" t="inlineStr">
        <is>
          <t>Healthy</t>
        </is>
      </c>
      <c r="J532" s="86" t="n">
        <v>1.38</v>
      </c>
      <c r="K532" s="86" t="n">
        <v>0.8</v>
      </c>
      <c r="L532" s="86" t="inlineStr">
        <is>
          <t>Distress</t>
        </is>
      </c>
      <c r="M532" s="86" t="n">
        <v>3</v>
      </c>
      <c r="N532" s="86" t="inlineStr">
        <is>
          <t>Mixed</t>
        </is>
      </c>
      <c r="O532" s="90" t="inlineStr">
        <is>
          <t>N/A</t>
        </is>
      </c>
      <c r="P532" s="86" t="inlineStr">
        <is>
          <t>Insufficient Data</t>
        </is>
      </c>
      <c r="Q532" s="86" t="n">
        <v>3.44</v>
      </c>
      <c r="R532" s="86" t="n">
        <v>-0.0157</v>
      </c>
      <c r="S532" s="86" t="n">
        <v>7.59</v>
      </c>
      <c r="T532" s="86" t="n">
        <v>-0.0282</v>
      </c>
      <c r="U532" s="86" t="n">
        <v>-0.0498</v>
      </c>
      <c r="V532" s="86" t="n">
        <v>-0.0244</v>
      </c>
      <c r="W532" s="86" t="n">
        <v>-6.3</v>
      </c>
      <c r="X532" s="86" t="n">
        <v>43.86</v>
      </c>
      <c r="Y532" s="86" t="n">
        <v>0</v>
      </c>
      <c r="Z532" s="86" t="inlineStr">
        <is>
          <t>CLEAR</t>
        </is>
      </c>
    </row>
    <row r="533" ht="17" customHeight="1">
      <c r="A533" s="82" t="n">
        <v>531</v>
      </c>
      <c r="B533" s="82" t="inlineStr">
        <is>
          <t>JAZZ</t>
        </is>
      </c>
      <c r="C533" s="82" t="inlineStr">
        <is>
          <t>Jazz Pharmaceuticals plc</t>
        </is>
      </c>
      <c r="D533" s="82" t="n">
        <v>0.25</v>
      </c>
      <c r="E533" s="207" t="inlineStr">
        <is>
          <t>Distress</t>
        </is>
      </c>
      <c r="F533" s="82" t="n">
        <v>1.4</v>
      </c>
      <c r="G533" s="82" t="inlineStr">
        <is>
          <t>Grey</t>
        </is>
      </c>
      <c r="H533" s="82" t="n">
        <v>0.2</v>
      </c>
      <c r="I533" s="82" t="inlineStr">
        <is>
          <t>Distress</t>
        </is>
      </c>
      <c r="J533" s="82" t="n">
        <v>1.49</v>
      </c>
      <c r="K533" s="82" t="n">
        <v>0.82</v>
      </c>
      <c r="L533" s="82" t="inlineStr">
        <is>
          <t>Distress</t>
        </is>
      </c>
      <c r="M533" s="82" t="n">
        <v>5</v>
      </c>
      <c r="N533" s="82" t="inlineStr">
        <is>
          <t>Mixed</t>
        </is>
      </c>
      <c r="O533" s="207" t="n">
        <v>-3.21</v>
      </c>
      <c r="P533" s="82" t="inlineStr">
        <is>
          <t>Lower Risk</t>
        </is>
      </c>
      <c r="Q533" s="82" t="n">
        <v>-10.21</v>
      </c>
      <c r="R533" s="82" t="n">
        <v>-0.0825</v>
      </c>
      <c r="S533" s="82" t="n">
        <v>-3.81</v>
      </c>
      <c r="T533" s="82" t="n">
        <v>2.7222</v>
      </c>
      <c r="U533" s="82" t="n">
        <v>0.0151</v>
      </c>
      <c r="V533" s="82" t="n">
        <v>-0.903</v>
      </c>
      <c r="W533" s="82" t="n">
        <v>-256.86</v>
      </c>
      <c r="X533" s="82" t="n">
        <v>43.81</v>
      </c>
      <c r="Y533" s="82" t="n">
        <v>40</v>
      </c>
      <c r="Z533" s="82" t="inlineStr">
        <is>
          <t>WATCH</t>
        </is>
      </c>
    </row>
    <row r="534" ht="17" customHeight="1">
      <c r="A534" s="86" t="n">
        <v>532</v>
      </c>
      <c r="B534" s="86" t="inlineStr">
        <is>
          <t>IFF</t>
        </is>
      </c>
      <c r="C534" s="86" t="inlineStr">
        <is>
          <t>INTERNATIONAL FLAVORS &amp; FRAGRANCES INC</t>
        </is>
      </c>
      <c r="D534" s="86" t="n">
        <v>0.55</v>
      </c>
      <c r="E534" s="207" t="inlineStr">
        <is>
          <t>Distress</t>
        </is>
      </c>
      <c r="F534" s="86" t="n">
        <v>0.47</v>
      </c>
      <c r="G534" s="86" t="inlineStr">
        <is>
          <t>Distress</t>
        </is>
      </c>
      <c r="H534" s="86" t="n">
        <v>0.12</v>
      </c>
      <c r="I534" s="86" t="inlineStr">
        <is>
          <t>Distress</t>
        </is>
      </c>
      <c r="J534" s="86" t="n">
        <v>1.29</v>
      </c>
      <c r="K534" s="86" t="n">
        <v>0.78</v>
      </c>
      <c r="L534" s="86" t="inlineStr">
        <is>
          <t>Distress</t>
        </is>
      </c>
      <c r="M534" s="86" t="n">
        <v>6</v>
      </c>
      <c r="N534" s="86" t="inlineStr">
        <is>
          <t>Mixed</t>
        </is>
      </c>
      <c r="O534" s="207" t="n">
        <v>-2.14</v>
      </c>
      <c r="P534" s="86" t="inlineStr">
        <is>
          <t>Higher Risk</t>
        </is>
      </c>
      <c r="Q534" s="86" t="n">
        <v>8.699999999999999</v>
      </c>
      <c r="R534" s="86" t="n">
        <v>0.024</v>
      </c>
      <c r="S534" s="86" t="n">
        <v>2.5</v>
      </c>
      <c r="T534" s="86" t="n">
        <v>0.0235</v>
      </c>
      <c r="U534" s="86" t="n">
        <v>0.9422</v>
      </c>
      <c r="V534" s="86" t="n">
        <v>-0.0351</v>
      </c>
      <c r="W534" s="86" t="n">
        <v>-1.01</v>
      </c>
      <c r="X534" s="86" t="n">
        <v>43.74</v>
      </c>
      <c r="Y534" s="86" t="n">
        <v>20</v>
      </c>
      <c r="Z534" s="86" t="inlineStr">
        <is>
          <t>CLEAR</t>
        </is>
      </c>
    </row>
    <row r="535" ht="17" customHeight="1">
      <c r="A535" s="82" t="n">
        <v>533</v>
      </c>
      <c r="B535" s="82" t="inlineStr">
        <is>
          <t>CME</t>
        </is>
      </c>
      <c r="C535" s="82" t="inlineStr">
        <is>
          <t>CME GROUP INC.</t>
        </is>
      </c>
      <c r="D535" s="82" t="n">
        <v>0.22</v>
      </c>
      <c r="E535" s="207" t="inlineStr">
        <is>
          <t>Distress</t>
        </is>
      </c>
      <c r="F535" s="82" t="n">
        <v>0.59</v>
      </c>
      <c r="G535" s="82" t="inlineStr">
        <is>
          <t>Distress</t>
        </is>
      </c>
      <c r="H535" s="82" t="n">
        <v>0.13</v>
      </c>
      <c r="I535" s="82" t="inlineStr">
        <is>
          <t>Distress</t>
        </is>
      </c>
      <c r="J535" s="82" t="n">
        <v>0.43</v>
      </c>
      <c r="K535" s="82" t="n">
        <v>0.61</v>
      </c>
      <c r="L535" s="82" t="inlineStr">
        <is>
          <t>Distress</t>
        </is>
      </c>
      <c r="M535" s="82" t="n">
        <v>5</v>
      </c>
      <c r="N535" s="82" t="inlineStr">
        <is>
          <t>Mixed</t>
        </is>
      </c>
      <c r="O535" s="91" t="inlineStr">
        <is>
          <t>N/A</t>
        </is>
      </c>
      <c r="P535" s="82" t="inlineStr">
        <is>
          <t>Insufficient Data</t>
        </is>
      </c>
      <c r="Q535" s="82" t="n">
        <v>-1.02</v>
      </c>
      <c r="R535" s="82" t="n">
        <v>0.1417</v>
      </c>
      <c r="S535" s="82" t="n">
        <v>1.05</v>
      </c>
      <c r="T535" s="82" t="n">
        <v>0.6431</v>
      </c>
      <c r="U535" s="82" t="n">
        <v>0.06370000000000001</v>
      </c>
      <c r="V535" s="82" t="n">
        <v>0.6486</v>
      </c>
      <c r="W535" s="82" t="n">
        <v>39.05</v>
      </c>
      <c r="X535" s="82" t="n">
        <v>43.7</v>
      </c>
      <c r="Y535" s="82" t="n">
        <v>0</v>
      </c>
      <c r="Z535" s="82" t="inlineStr">
        <is>
          <t>CLEAR</t>
        </is>
      </c>
    </row>
    <row r="536" ht="17" customHeight="1">
      <c r="A536" s="86" t="n">
        <v>534</v>
      </c>
      <c r="B536" s="86" t="inlineStr">
        <is>
          <t>WDC</t>
        </is>
      </c>
      <c r="C536" s="86" t="inlineStr">
        <is>
          <t>WESTERN DIGITAL CORPORATION</t>
        </is>
      </c>
      <c r="D536" s="86" t="n">
        <v>1.53</v>
      </c>
      <c r="E536" s="208" t="inlineStr">
        <is>
          <t>Grey</t>
        </is>
      </c>
      <c r="F536" s="86" t="n">
        <v>2.16</v>
      </c>
      <c r="G536" s="86" t="inlineStr">
        <is>
          <t>Grey</t>
        </is>
      </c>
      <c r="H536" s="86" t="n">
        <v>0.95</v>
      </c>
      <c r="I536" s="86" t="inlineStr">
        <is>
          <t>Healthy</t>
        </is>
      </c>
      <c r="J536" s="86" t="n">
        <v>-1.51</v>
      </c>
      <c r="K536" s="86" t="n">
        <v>0.18</v>
      </c>
      <c r="L536" s="86" t="inlineStr">
        <is>
          <t>Healthy</t>
        </is>
      </c>
      <c r="M536" s="86" t="n">
        <v>5</v>
      </c>
      <c r="N536" s="86" t="inlineStr">
        <is>
          <t>Mixed</t>
        </is>
      </c>
      <c r="O536" s="207" t="n">
        <v>-0.75</v>
      </c>
      <c r="P536" s="86" t="inlineStr">
        <is>
          <t>Higher Risk</t>
        </is>
      </c>
      <c r="Q536" s="86" t="n">
        <v>0.93</v>
      </c>
      <c r="R536" s="86" t="n">
        <v>0.3557</v>
      </c>
      <c r="S536" s="86" t="n">
        <v>0.9</v>
      </c>
      <c r="T536" s="86" t="n">
        <v>0.1343</v>
      </c>
      <c r="U536" s="86" t="n">
        <v>2.6545</v>
      </c>
      <c r="V536" s="86" t="n">
        <v>0.2452</v>
      </c>
      <c r="W536" s="86" t="n">
        <v>7.48</v>
      </c>
      <c r="X536" s="86" t="n">
        <v>43.67</v>
      </c>
      <c r="Y536" s="86" t="n">
        <v>20</v>
      </c>
      <c r="Z536" s="86" t="inlineStr">
        <is>
          <t>CLEAR</t>
        </is>
      </c>
    </row>
    <row r="537" ht="17" customHeight="1">
      <c r="A537" s="82" t="n">
        <v>535</v>
      </c>
      <c r="B537" s="82" t="inlineStr">
        <is>
          <t>BK</t>
        </is>
      </c>
      <c r="C537" s="82" t="inlineStr">
        <is>
          <t>THE BANK OF NEW YORK MELLON CORPORATION</t>
        </is>
      </c>
      <c r="D537" s="91" t="inlineStr">
        <is>
          <t>N/A</t>
        </is>
      </c>
      <c r="E537" s="91" t="inlineStr">
        <is>
          <t>N/A</t>
        </is>
      </c>
      <c r="F537" s="91" t="inlineStr">
        <is>
          <t>N/A</t>
        </is>
      </c>
      <c r="G537" s="91" t="inlineStr">
        <is>
          <t>N/A</t>
        </is>
      </c>
      <c r="H537" s="91" t="inlineStr">
        <is>
          <t>N/A</t>
        </is>
      </c>
      <c r="I537" s="91" t="inlineStr">
        <is>
          <t>N/A</t>
        </is>
      </c>
      <c r="J537" s="91" t="inlineStr">
        <is>
          <t>N/A</t>
        </is>
      </c>
      <c r="K537" s="91" t="inlineStr">
        <is>
          <t>N/A</t>
        </is>
      </c>
      <c r="L537" s="91" t="inlineStr">
        <is>
          <t>N/A</t>
        </is>
      </c>
      <c r="M537" s="82" t="n">
        <v>5</v>
      </c>
      <c r="N537" s="82" t="inlineStr">
        <is>
          <t>Mixed</t>
        </is>
      </c>
      <c r="O537" s="91" t="inlineStr">
        <is>
          <t>N/A</t>
        </is>
      </c>
      <c r="P537" s="82" t="inlineStr">
        <is>
          <t>Insufficient Data</t>
        </is>
      </c>
      <c r="Q537" s="82" t="n">
        <v>6.35</v>
      </c>
      <c r="R537" s="82" t="n">
        <v>0.1252</v>
      </c>
      <c r="S537" s="82" t="n">
        <v>1.21</v>
      </c>
      <c r="T537" s="82" t="n">
        <v>0.2578</v>
      </c>
      <c r="U537" s="82" t="n">
        <v>0.0785</v>
      </c>
      <c r="V537" s="82" t="n">
        <v>0.2077</v>
      </c>
      <c r="W537" s="82" t="n">
        <v>0.26</v>
      </c>
      <c r="X537" s="82" t="n">
        <v>43.63</v>
      </c>
      <c r="Y537" s="82" t="n">
        <v>0</v>
      </c>
      <c r="Z537" s="82" t="inlineStr">
        <is>
          <t>CLEAR</t>
        </is>
      </c>
    </row>
    <row r="538" ht="17" customHeight="1">
      <c r="A538" s="86" t="n">
        <v>536</v>
      </c>
      <c r="B538" s="86" t="inlineStr">
        <is>
          <t>BAC</t>
        </is>
      </c>
      <c r="C538" s="86" t="inlineStr">
        <is>
          <t>BofA Finance LLC</t>
        </is>
      </c>
      <c r="D538" s="90" t="inlineStr">
        <is>
          <t>N/A</t>
        </is>
      </c>
      <c r="E538" s="90" t="inlineStr">
        <is>
          <t>N/A</t>
        </is>
      </c>
      <c r="F538" s="90" t="inlineStr">
        <is>
          <t>N/A</t>
        </is>
      </c>
      <c r="G538" s="90" t="inlineStr">
        <is>
          <t>N/A</t>
        </is>
      </c>
      <c r="H538" s="90" t="inlineStr">
        <is>
          <t>N/A</t>
        </is>
      </c>
      <c r="I538" s="90" t="inlineStr">
        <is>
          <t>N/A</t>
        </is>
      </c>
      <c r="J538" s="90" t="inlineStr">
        <is>
          <t>N/A</t>
        </is>
      </c>
      <c r="K538" s="90" t="inlineStr">
        <is>
          <t>N/A</t>
        </is>
      </c>
      <c r="L538" s="90" t="inlineStr">
        <is>
          <t>N/A</t>
        </is>
      </c>
      <c r="M538" s="86" t="n">
        <v>5</v>
      </c>
      <c r="N538" s="86" t="inlineStr">
        <is>
          <t>Mixed</t>
        </is>
      </c>
      <c r="O538" s="90" t="inlineStr">
        <is>
          <t>N/A</t>
        </is>
      </c>
      <c r="P538" s="86" t="inlineStr">
        <is>
          <t>Insufficient Data</t>
        </is>
      </c>
      <c r="Q538" s="86" t="n">
        <v>3.91</v>
      </c>
      <c r="R538" s="86" t="n">
        <v>0.1006</v>
      </c>
      <c r="S538" s="86" t="n">
        <v>0.41</v>
      </c>
      <c r="T538" s="90" t="inlineStr">
        <is>
          <t>N/A</t>
        </is>
      </c>
      <c r="U538" s="86" t="n">
        <v>0.11</v>
      </c>
      <c r="V538" s="86" t="n">
        <v>0.3333</v>
      </c>
      <c r="W538" s="86" t="n">
        <v>0.51</v>
      </c>
      <c r="X538" s="86" t="n">
        <v>43.55</v>
      </c>
      <c r="Y538" s="86" t="n">
        <v>20</v>
      </c>
      <c r="Z538" s="86" t="inlineStr">
        <is>
          <t>CLEAR</t>
        </is>
      </c>
    </row>
    <row r="539" ht="17" customHeight="1">
      <c r="A539" s="82" t="n">
        <v>537</v>
      </c>
      <c r="B539" s="82" t="inlineStr">
        <is>
          <t>FULT</t>
        </is>
      </c>
      <c r="C539" s="82" t="inlineStr">
        <is>
          <t>FULTON FINANCIAL CORP</t>
        </is>
      </c>
      <c r="D539" s="91" t="inlineStr">
        <is>
          <t>N/A</t>
        </is>
      </c>
      <c r="E539" s="91" t="inlineStr">
        <is>
          <t>N/A</t>
        </is>
      </c>
      <c r="F539" s="91" t="inlineStr">
        <is>
          <t>N/A</t>
        </is>
      </c>
      <c r="G539" s="91" t="inlineStr">
        <is>
          <t>N/A</t>
        </is>
      </c>
      <c r="H539" s="91" t="inlineStr">
        <is>
          <t>N/A</t>
        </is>
      </c>
      <c r="I539" s="91" t="inlineStr">
        <is>
          <t>N/A</t>
        </is>
      </c>
      <c r="J539" s="91" t="inlineStr">
        <is>
          <t>N/A</t>
        </is>
      </c>
      <c r="K539" s="91" t="inlineStr">
        <is>
          <t>N/A</t>
        </is>
      </c>
      <c r="L539" s="91" t="inlineStr">
        <is>
          <t>N/A</t>
        </is>
      </c>
      <c r="M539" s="82" t="n">
        <v>5</v>
      </c>
      <c r="N539" s="82" t="inlineStr">
        <is>
          <t>Mixed</t>
        </is>
      </c>
      <c r="O539" s="91" t="inlineStr">
        <is>
          <t>N/A</t>
        </is>
      </c>
      <c r="P539" s="82" t="inlineStr">
        <is>
          <t>Insufficient Data</t>
        </is>
      </c>
      <c r="Q539" s="82" t="n">
        <v>0</v>
      </c>
      <c r="R539" s="82" t="n">
        <v>0.1122</v>
      </c>
      <c r="S539" s="82" t="n">
        <v>0.78</v>
      </c>
      <c r="T539" s="91" t="inlineStr">
        <is>
          <t>N/A</t>
        </is>
      </c>
      <c r="U539" s="82" t="n">
        <v>-0.065</v>
      </c>
      <c r="V539" s="82" t="n">
        <v>1.7545</v>
      </c>
      <c r="W539" s="82" t="n">
        <v>1.16</v>
      </c>
      <c r="X539" s="82" t="n">
        <v>43.51</v>
      </c>
      <c r="Y539" s="82" t="n">
        <v>0</v>
      </c>
      <c r="Z539" s="82" t="inlineStr">
        <is>
          <t>CLEAR</t>
        </is>
      </c>
    </row>
    <row r="540" ht="17" customHeight="1">
      <c r="A540" s="86" t="n">
        <v>538</v>
      </c>
      <c r="B540" s="86" t="inlineStr">
        <is>
          <t>NWL</t>
        </is>
      </c>
      <c r="C540" s="86" t="inlineStr">
        <is>
          <t>NEWELL BRANDS INC.</t>
        </is>
      </c>
      <c r="D540" s="86" t="n">
        <v>1.26</v>
      </c>
      <c r="E540" s="208" t="inlineStr">
        <is>
          <t>Grey</t>
        </is>
      </c>
      <c r="F540" s="86" t="n">
        <v>-0.54</v>
      </c>
      <c r="G540" s="86" t="inlineStr">
        <is>
          <t>Distress</t>
        </is>
      </c>
      <c r="H540" s="86" t="n">
        <v>0.5</v>
      </c>
      <c r="I540" s="86" t="inlineStr">
        <is>
          <t>Distress</t>
        </is>
      </c>
      <c r="J540" s="86" t="n">
        <v>0.2</v>
      </c>
      <c r="K540" s="86" t="n">
        <v>0.55</v>
      </c>
      <c r="L540" s="86" t="inlineStr">
        <is>
          <t>Distress</t>
        </is>
      </c>
      <c r="M540" s="86" t="n">
        <v>4</v>
      </c>
      <c r="N540" s="86" t="inlineStr">
        <is>
          <t>Mixed</t>
        </is>
      </c>
      <c r="O540" s="207" t="n">
        <v>-2.52</v>
      </c>
      <c r="P540" s="86" t="inlineStr">
        <is>
          <t>Lower Risk</t>
        </is>
      </c>
      <c r="Q540" s="86" t="n">
        <v>55.32</v>
      </c>
      <c r="R540" s="86" t="n">
        <v>-0.1192</v>
      </c>
      <c r="S540" s="86" t="n">
        <v>-0.93</v>
      </c>
      <c r="T540" s="86" t="n">
        <v>0.0179</v>
      </c>
      <c r="U540" s="86" t="n">
        <v>0.1114</v>
      </c>
      <c r="V540" s="86" t="n">
        <v>0.0026</v>
      </c>
      <c r="W540" s="86" t="n">
        <v>0.14</v>
      </c>
      <c r="X540" s="86" t="n">
        <v>43.47</v>
      </c>
      <c r="Y540" s="86" t="n">
        <v>20</v>
      </c>
      <c r="Z540" s="86" t="inlineStr">
        <is>
          <t>CLEAR</t>
        </is>
      </c>
    </row>
    <row r="541" ht="17" customHeight="1">
      <c r="A541" s="82" t="n">
        <v>539</v>
      </c>
      <c r="B541" s="82" t="inlineStr">
        <is>
          <t>TFC</t>
        </is>
      </c>
      <c r="C541" s="82" t="inlineStr">
        <is>
          <t>TRUIST FINANCIAL CORP</t>
        </is>
      </c>
      <c r="D541" s="91" t="inlineStr">
        <is>
          <t>N/A</t>
        </is>
      </c>
      <c r="E541" s="91" t="inlineStr">
        <is>
          <t>N/A</t>
        </is>
      </c>
      <c r="F541" s="91" t="inlineStr">
        <is>
          <t>N/A</t>
        </is>
      </c>
      <c r="G541" s="91" t="inlineStr">
        <is>
          <t>N/A</t>
        </is>
      </c>
      <c r="H541" s="91" t="inlineStr">
        <is>
          <t>N/A</t>
        </is>
      </c>
      <c r="I541" s="91" t="inlineStr">
        <is>
          <t>N/A</t>
        </is>
      </c>
      <c r="J541" s="91" t="inlineStr">
        <is>
          <t>N/A</t>
        </is>
      </c>
      <c r="K541" s="91" t="inlineStr">
        <is>
          <t>N/A</t>
        </is>
      </c>
      <c r="L541" s="91" t="inlineStr">
        <is>
          <t>N/A</t>
        </is>
      </c>
      <c r="M541" s="82" t="n">
        <v>5</v>
      </c>
      <c r="N541" s="82" t="inlineStr">
        <is>
          <t>Mixed</t>
        </is>
      </c>
      <c r="O541" s="91" t="inlineStr">
        <is>
          <t>N/A</t>
        </is>
      </c>
      <c r="P541" s="82" t="inlineStr">
        <is>
          <t>Insufficient Data</t>
        </is>
      </c>
      <c r="Q541" s="82" t="n">
        <v>3.26</v>
      </c>
      <c r="R541" s="82" t="n">
        <v>0.0814</v>
      </c>
      <c r="S541" s="82" t="n">
        <v>1.08</v>
      </c>
      <c r="T541" s="91" t="inlineStr">
        <is>
          <t>N/A</t>
        </is>
      </c>
      <c r="U541" s="91" t="inlineStr">
        <is>
          <t>N/A</t>
        </is>
      </c>
      <c r="V541" s="91" t="inlineStr">
        <is>
          <t>N/A</t>
        </is>
      </c>
      <c r="W541" s="82" t="n">
        <v>0.64</v>
      </c>
      <c r="X541" s="82" t="n">
        <v>43.41</v>
      </c>
      <c r="Y541" s="82" t="n">
        <v>0</v>
      </c>
      <c r="Z541" s="82" t="inlineStr">
        <is>
          <t>CLEAR</t>
        </is>
      </c>
    </row>
    <row r="542" ht="17" customHeight="1">
      <c r="A542" s="86" t="n">
        <v>540</v>
      </c>
      <c r="B542" s="86" t="inlineStr">
        <is>
          <t>LYB</t>
        </is>
      </c>
      <c r="C542" s="86" t="inlineStr">
        <is>
          <t>LYONDELLBASELL INDUSTRIES N.V.</t>
        </is>
      </c>
      <c r="D542" s="86" t="n">
        <v>1.24</v>
      </c>
      <c r="E542" s="208" t="inlineStr">
        <is>
          <t>Grey</t>
        </is>
      </c>
      <c r="F542" s="86" t="n">
        <v>1.8</v>
      </c>
      <c r="G542" s="86" t="inlineStr">
        <is>
          <t>Grey</t>
        </is>
      </c>
      <c r="H542" s="86" t="n">
        <v>0.38</v>
      </c>
      <c r="I542" s="86" t="inlineStr">
        <is>
          <t>Distress</t>
        </is>
      </c>
      <c r="J542" s="86" t="n">
        <v>0.9</v>
      </c>
      <c r="K542" s="86" t="n">
        <v>0.71</v>
      </c>
      <c r="L542" s="86" t="inlineStr">
        <is>
          <t>Distress</t>
        </is>
      </c>
      <c r="M542" s="86" t="n">
        <v>4</v>
      </c>
      <c r="N542" s="86" t="inlineStr">
        <is>
          <t>Mixed</t>
        </is>
      </c>
      <c r="O542" s="207" t="n">
        <v>-3</v>
      </c>
      <c r="P542" s="86" t="inlineStr">
        <is>
          <t>Lower Risk</t>
        </is>
      </c>
      <c r="Q542" s="86" t="n">
        <v>2.4</v>
      </c>
      <c r="R542" s="86" t="n">
        <v>0.3369</v>
      </c>
      <c r="S542" s="86" t="n">
        <v>0.67</v>
      </c>
      <c r="T542" s="86" t="n">
        <v>0.0127</v>
      </c>
      <c r="U542" s="86" t="n">
        <v>-0.2518</v>
      </c>
      <c r="V542" s="86" t="n">
        <v>-0.0139</v>
      </c>
      <c r="W542" s="86" t="n">
        <v>-0.88</v>
      </c>
      <c r="X542" s="86" t="n">
        <v>43.4</v>
      </c>
      <c r="Y542" s="86" t="n">
        <v>0</v>
      </c>
      <c r="Z542" s="86" t="inlineStr">
        <is>
          <t>CLEAR</t>
        </is>
      </c>
    </row>
    <row r="543" ht="17" customHeight="1">
      <c r="A543" s="82" t="n">
        <v>541</v>
      </c>
      <c r="B543" s="82" t="inlineStr">
        <is>
          <t>FCX</t>
        </is>
      </c>
      <c r="C543" s="82" t="inlineStr">
        <is>
          <t>Freeport-McMoRan Inc.</t>
        </is>
      </c>
      <c r="D543" s="82" t="n">
        <v>1.2</v>
      </c>
      <c r="E543" s="207" t="inlineStr">
        <is>
          <t>Distress</t>
        </is>
      </c>
      <c r="F543" s="82" t="n">
        <v>2.43</v>
      </c>
      <c r="G543" s="82" t="inlineStr">
        <is>
          <t>Grey</t>
        </is>
      </c>
      <c r="H543" s="82" t="n">
        <v>0.7</v>
      </c>
      <c r="I543" s="82" t="inlineStr">
        <is>
          <t>Distress</t>
        </is>
      </c>
      <c r="J543" s="82" t="n">
        <v>-1.97</v>
      </c>
      <c r="K543" s="82" t="n">
        <v>0.12</v>
      </c>
      <c r="L543" s="82" t="inlineStr">
        <is>
          <t>Healthy</t>
        </is>
      </c>
      <c r="M543" s="82" t="n">
        <v>5</v>
      </c>
      <c r="N543" s="82" t="inlineStr">
        <is>
          <t>Mixed</t>
        </is>
      </c>
      <c r="O543" s="207" t="n">
        <v>-2</v>
      </c>
      <c r="P543" s="82" t="inlineStr">
        <is>
          <t>Higher Risk</t>
        </is>
      </c>
      <c r="Q543" s="82" t="n">
        <v>0.63</v>
      </c>
      <c r="R543" s="82" t="n">
        <v>0.2197</v>
      </c>
      <c r="S543" s="82" t="n">
        <v>1.35</v>
      </c>
      <c r="T543" s="82" t="n">
        <v>0.0431</v>
      </c>
      <c r="U543" s="82" t="n">
        <v>0.0181</v>
      </c>
      <c r="V543" s="82" t="n">
        <v>0.2515</v>
      </c>
      <c r="W543" s="82" t="n">
        <v>20.89</v>
      </c>
      <c r="X543" s="82" t="n">
        <v>43.31</v>
      </c>
      <c r="Y543" s="82" t="n">
        <v>20</v>
      </c>
      <c r="Z543" s="82" t="inlineStr">
        <is>
          <t>CLEAR</t>
        </is>
      </c>
    </row>
    <row r="544" ht="17" customHeight="1">
      <c r="A544" s="86" t="n">
        <v>542</v>
      </c>
      <c r="B544" s="86" t="inlineStr">
        <is>
          <t>VIAV</t>
        </is>
      </c>
      <c r="C544" s="86" t="inlineStr">
        <is>
          <t>Viavi Solutions Inc.</t>
        </is>
      </c>
      <c r="D544" s="86" t="n">
        <v>-28.57</v>
      </c>
      <c r="E544" s="207" t="inlineStr">
        <is>
          <t>Distress</t>
        </is>
      </c>
      <c r="F544" s="86" t="n">
        <v>-112.01</v>
      </c>
      <c r="G544" s="86" t="inlineStr">
        <is>
          <t>Distress</t>
        </is>
      </c>
      <c r="H544" s="86" t="n">
        <v>0.47</v>
      </c>
      <c r="I544" s="86" t="inlineStr">
        <is>
          <t>Distress</t>
        </is>
      </c>
      <c r="J544" s="86" t="n">
        <v>-0.95</v>
      </c>
      <c r="K544" s="86" t="n">
        <v>0.28</v>
      </c>
      <c r="L544" s="86" t="inlineStr">
        <is>
          <t>Healthy</t>
        </is>
      </c>
      <c r="M544" s="86" t="n">
        <v>5</v>
      </c>
      <c r="N544" s="86" t="inlineStr">
        <is>
          <t>Mixed</t>
        </is>
      </c>
      <c r="O544" s="207" t="n">
        <v>-2.44</v>
      </c>
      <c r="P544" s="86" t="inlineStr">
        <is>
          <t>Lower Risk</t>
        </is>
      </c>
      <c r="Q544" s="86" t="n">
        <v>-2.08</v>
      </c>
      <c r="R544" s="86" t="n">
        <v>0.0446</v>
      </c>
      <c r="S544" s="86" t="n">
        <v>2.58</v>
      </c>
      <c r="T544" s="86" t="n">
        <v>0.0572</v>
      </c>
      <c r="U544" s="86" t="n">
        <v>0.0839</v>
      </c>
      <c r="V544" s="86" t="n">
        <v>0.053</v>
      </c>
      <c r="W544" s="86" t="n">
        <v>2.12</v>
      </c>
      <c r="X544" s="86" t="n">
        <v>43.29</v>
      </c>
      <c r="Y544" s="86" t="n">
        <v>0</v>
      </c>
      <c r="Z544" s="86" t="inlineStr">
        <is>
          <t>CLEAR</t>
        </is>
      </c>
    </row>
    <row r="545" ht="17" customHeight="1">
      <c r="A545" s="82" t="n">
        <v>543</v>
      </c>
      <c r="B545" s="82" t="inlineStr">
        <is>
          <t>LYFT</t>
        </is>
      </c>
      <c r="C545" s="82" t="inlineStr">
        <is>
          <t>Lyft, Inc.</t>
        </is>
      </c>
      <c r="D545" s="82" t="n">
        <v>0.05</v>
      </c>
      <c r="E545" s="207" t="inlineStr">
        <is>
          <t>Distress</t>
        </is>
      </c>
      <c r="F545" s="82" t="n">
        <v>-3.39</v>
      </c>
      <c r="G545" s="82" t="inlineStr">
        <is>
          <t>Distress</t>
        </is>
      </c>
      <c r="H545" s="82" t="n">
        <v>0.02</v>
      </c>
      <c r="I545" s="82" t="inlineStr">
        <is>
          <t>Distress</t>
        </is>
      </c>
      <c r="J545" s="82" t="n">
        <v>-2.13</v>
      </c>
      <c r="K545" s="82" t="n">
        <v>0.11</v>
      </c>
      <c r="L545" s="82" t="inlineStr">
        <is>
          <t>Healthy</t>
        </is>
      </c>
      <c r="M545" s="82" t="n">
        <v>5</v>
      </c>
      <c r="N545" s="82" t="inlineStr">
        <is>
          <t>Mixed</t>
        </is>
      </c>
      <c r="O545" s="91" t="inlineStr">
        <is>
          <t>N/A</t>
        </is>
      </c>
      <c r="P545" s="82" t="inlineStr">
        <is>
          <t>Insufficient Data</t>
        </is>
      </c>
      <c r="Q545" s="82" t="n">
        <v>1.49</v>
      </c>
      <c r="R545" s="82" t="n">
        <v>0.8688</v>
      </c>
      <c r="S545" s="82" t="n">
        <v>0.41</v>
      </c>
      <c r="T545" s="91" t="inlineStr">
        <is>
          <t>N/A</t>
        </is>
      </c>
      <c r="U545" s="82" t="n">
        <v>0.0916</v>
      </c>
      <c r="V545" s="82" t="n">
        <v>-0.0298</v>
      </c>
      <c r="W545" s="82" t="n">
        <v>-7.18</v>
      </c>
      <c r="X545" s="82" t="n">
        <v>43.29</v>
      </c>
      <c r="Y545" s="82" t="n">
        <v>40</v>
      </c>
      <c r="Z545" s="82" t="inlineStr">
        <is>
          <t>WATCH</t>
        </is>
      </c>
    </row>
    <row r="546" ht="17" customHeight="1">
      <c r="A546" s="86" t="n">
        <v>544</v>
      </c>
      <c r="B546" s="86" t="inlineStr">
        <is>
          <t>GEHC</t>
        </is>
      </c>
      <c r="C546" s="86" t="inlineStr">
        <is>
          <t>GE HEALTHCARE TECHNOLOGIES INC.</t>
        </is>
      </c>
      <c r="D546" s="86" t="n">
        <v>1.14</v>
      </c>
      <c r="E546" s="207" t="inlineStr">
        <is>
          <t>Distress</t>
        </is>
      </c>
      <c r="F546" s="86" t="n">
        <v>1.99</v>
      </c>
      <c r="G546" s="86" t="inlineStr">
        <is>
          <t>Grey</t>
        </is>
      </c>
      <c r="H546" s="86" t="n">
        <v>0.75</v>
      </c>
      <c r="I546" s="86" t="inlineStr">
        <is>
          <t>Distress</t>
        </is>
      </c>
      <c r="J546" s="86" t="n">
        <v>-0.54</v>
      </c>
      <c r="K546" s="86" t="n">
        <v>0.37</v>
      </c>
      <c r="L546" s="86" t="inlineStr">
        <is>
          <t>Healthy</t>
        </is>
      </c>
      <c r="M546" s="86" t="n">
        <v>4</v>
      </c>
      <c r="N546" s="86" t="inlineStr">
        <is>
          <t>Mixed</t>
        </is>
      </c>
      <c r="O546" s="90" t="inlineStr">
        <is>
          <t>N/A</t>
        </is>
      </c>
      <c r="P546" s="86" t="inlineStr">
        <is>
          <t>Insufficient Data</t>
        </is>
      </c>
      <c r="Q546" s="86" t="n">
        <v>1.81</v>
      </c>
      <c r="R546" s="86" t="n">
        <v>0.2008</v>
      </c>
      <c r="S546" s="90" t="inlineStr">
        <is>
          <t>N/A</t>
        </is>
      </c>
      <c r="T546" s="90" t="inlineStr">
        <is>
          <t>N/A</t>
        </is>
      </c>
      <c r="U546" s="86" t="n">
        <v>0.0484</v>
      </c>
      <c r="V546" s="86" t="n">
        <v>0.134</v>
      </c>
      <c r="W546" s="90" t="inlineStr">
        <is>
          <t>N/A</t>
        </is>
      </c>
      <c r="X546" s="86" t="n">
        <v>43.06</v>
      </c>
      <c r="Y546" s="86" t="n">
        <v>0</v>
      </c>
      <c r="Z546" s="86" t="inlineStr">
        <is>
          <t>CLEAR</t>
        </is>
      </c>
    </row>
    <row r="547" ht="17" customHeight="1">
      <c r="A547" s="82" t="n">
        <v>545</v>
      </c>
      <c r="B547" s="82" t="inlineStr">
        <is>
          <t>RIVN</t>
        </is>
      </c>
      <c r="C547" s="82" t="inlineStr">
        <is>
          <t>Rivian Automotive, Inc. / DE</t>
        </is>
      </c>
      <c r="D547" s="82" t="n">
        <v>-1.31</v>
      </c>
      <c r="E547" s="207" t="inlineStr">
        <is>
          <t>Distress</t>
        </is>
      </c>
      <c r="F547" s="82" t="n">
        <v>-4.44</v>
      </c>
      <c r="G547" s="82" t="inlineStr">
        <is>
          <t>Distress</t>
        </is>
      </c>
      <c r="H547" s="82" t="n">
        <v>-0.9</v>
      </c>
      <c r="I547" s="82" t="inlineStr">
        <is>
          <t>Distress</t>
        </is>
      </c>
      <c r="J547" s="82" t="n">
        <v>0.7</v>
      </c>
      <c r="K547" s="82" t="n">
        <v>0.67</v>
      </c>
      <c r="L547" s="82" t="inlineStr">
        <is>
          <t>Distress</t>
        </is>
      </c>
      <c r="M547" s="82" t="n">
        <v>5</v>
      </c>
      <c r="N547" s="82" t="inlineStr">
        <is>
          <t>Mixed</t>
        </is>
      </c>
      <c r="O547" s="207" t="n">
        <v>-8.41</v>
      </c>
      <c r="P547" s="82" t="inlineStr">
        <is>
          <t>Lower Risk</t>
        </is>
      </c>
      <c r="Q547" s="82" t="n">
        <v>-0.3</v>
      </c>
      <c r="R547" s="82" t="n">
        <v>-0.3989</v>
      </c>
      <c r="S547" s="82" t="n">
        <v>0.21</v>
      </c>
      <c r="T547" s="82" t="n">
        <v>-0.462</v>
      </c>
      <c r="U547" s="82" t="n">
        <v>0.0839</v>
      </c>
      <c r="V547" s="82" t="n">
        <v>-0.6655</v>
      </c>
      <c r="W547" s="82" t="n">
        <v>-16.3</v>
      </c>
      <c r="X547" s="82" t="n">
        <v>42.94</v>
      </c>
      <c r="Y547" s="82" t="n">
        <v>40</v>
      </c>
      <c r="Z547" s="82" t="inlineStr">
        <is>
          <t>WATCH</t>
        </is>
      </c>
    </row>
    <row r="548" ht="17" customHeight="1">
      <c r="A548" s="86" t="n">
        <v>546</v>
      </c>
      <c r="B548" s="86" t="inlineStr">
        <is>
          <t>FOLD</t>
        </is>
      </c>
      <c r="C548" s="86" t="inlineStr">
        <is>
          <t>AMICUS THERAPEUTICS, INC.</t>
        </is>
      </c>
      <c r="D548" s="86" t="n">
        <v>-1.19</v>
      </c>
      <c r="E548" s="207" t="inlineStr">
        <is>
          <t>Distress</t>
        </is>
      </c>
      <c r="F548" s="86" t="n">
        <v>-5.81</v>
      </c>
      <c r="G548" s="86" t="inlineStr">
        <is>
          <t>Distress</t>
        </is>
      </c>
      <c r="H548" s="86" t="n">
        <v>0.85</v>
      </c>
      <c r="I548" s="86" t="inlineStr">
        <is>
          <t>Distress</t>
        </is>
      </c>
      <c r="J548" s="86" t="n">
        <v>-0.16</v>
      </c>
      <c r="K548" s="86" t="n">
        <v>0.46</v>
      </c>
      <c r="L548" s="86" t="inlineStr">
        <is>
          <t>Healthy</t>
        </is>
      </c>
      <c r="M548" s="86" t="n">
        <v>5</v>
      </c>
      <c r="N548" s="86" t="inlineStr">
        <is>
          <t>Mixed</t>
        </is>
      </c>
      <c r="O548" s="207" t="n">
        <v>-2.71</v>
      </c>
      <c r="P548" s="86" t="inlineStr">
        <is>
          <t>Lower Risk</t>
        </is>
      </c>
      <c r="Q548" s="86" t="n">
        <v>4.58</v>
      </c>
      <c r="R548" s="86" t="n">
        <v>-0.0989</v>
      </c>
      <c r="S548" s="86" t="n">
        <v>-1.22</v>
      </c>
      <c r="T548" s="86" t="n">
        <v>0.0471</v>
      </c>
      <c r="U548" s="86" t="n">
        <v>0.2005</v>
      </c>
      <c r="V548" s="86" t="n">
        <v>0.0517</v>
      </c>
      <c r="W548" s="86" t="n">
        <v>0.65</v>
      </c>
      <c r="X548" s="86" t="n">
        <v>42.94</v>
      </c>
      <c r="Y548" s="86" t="n">
        <v>20</v>
      </c>
      <c r="Z548" s="86" t="inlineStr">
        <is>
          <t>CLEAR</t>
        </is>
      </c>
    </row>
    <row r="549" ht="17" customHeight="1">
      <c r="A549" s="82" t="n">
        <v>547</v>
      </c>
      <c r="B549" s="82" t="inlineStr">
        <is>
          <t>ROIV</t>
        </is>
      </c>
      <c r="C549" s="82" t="inlineStr">
        <is>
          <t>ROIVANT SCIENCES LTD.</t>
        </is>
      </c>
      <c r="D549" s="82" t="n">
        <v>4.83</v>
      </c>
      <c r="E549" s="206" t="inlineStr">
        <is>
          <t>Safe</t>
        </is>
      </c>
      <c r="F549" s="82" t="n">
        <v>16.14</v>
      </c>
      <c r="G549" s="82" t="inlineStr">
        <is>
          <t>Safe</t>
        </is>
      </c>
      <c r="H549" s="82" t="n">
        <v>-0.02</v>
      </c>
      <c r="I549" s="82" t="inlineStr">
        <is>
          <t>Distress</t>
        </is>
      </c>
      <c r="J549" s="82" t="n">
        <v>-3.61</v>
      </c>
      <c r="K549" s="82" t="n">
        <v>0.03</v>
      </c>
      <c r="L549" s="82" t="inlineStr">
        <is>
          <t>Healthy</t>
        </is>
      </c>
      <c r="M549" s="82" t="n">
        <v>1</v>
      </c>
      <c r="N549" s="82" t="inlineStr">
        <is>
          <t>Weak</t>
        </is>
      </c>
      <c r="O549" s="207" t="n">
        <v>0.88</v>
      </c>
      <c r="P549" s="82" t="inlineStr">
        <is>
          <t>Higher Risk</t>
        </is>
      </c>
      <c r="Q549" s="82" t="n">
        <v>1.93</v>
      </c>
      <c r="R549" s="82" t="n">
        <v>-0.06619999999999999</v>
      </c>
      <c r="S549" s="82" t="n">
        <v>2.5</v>
      </c>
      <c r="T549" s="82" t="n">
        <v>-91.8351</v>
      </c>
      <c r="U549" s="82" t="n">
        <v>-0.7157</v>
      </c>
      <c r="V549" s="82" t="n">
        <v>-62.3569</v>
      </c>
      <c r="W549" s="82" t="n">
        <v>-14.81</v>
      </c>
      <c r="X549" s="82" t="n">
        <v>42.85</v>
      </c>
      <c r="Y549" s="82" t="n">
        <v>20</v>
      </c>
      <c r="Z549" s="82" t="inlineStr">
        <is>
          <t>CLEAR</t>
        </is>
      </c>
    </row>
    <row r="550" ht="17" customHeight="1">
      <c r="A550" s="86" t="n">
        <v>548</v>
      </c>
      <c r="B550" s="86" t="inlineStr">
        <is>
          <t>PCVX</t>
        </is>
      </c>
      <c r="C550" s="86" t="inlineStr">
        <is>
          <t>VAXCYTE, INC.</t>
        </is>
      </c>
      <c r="D550" s="90" t="inlineStr">
        <is>
          <t>N/A</t>
        </is>
      </c>
      <c r="E550" s="90" t="inlineStr">
        <is>
          <t>N/A</t>
        </is>
      </c>
      <c r="F550" s="86" t="n">
        <v>7.59</v>
      </c>
      <c r="G550" s="86" t="inlineStr">
        <is>
          <t>Safe</t>
        </is>
      </c>
      <c r="H550" s="90" t="inlineStr">
        <is>
          <t>N/A</t>
        </is>
      </c>
      <c r="I550" s="90" t="inlineStr">
        <is>
          <t>N/A</t>
        </is>
      </c>
      <c r="J550" s="86" t="n">
        <v>-2.55</v>
      </c>
      <c r="K550" s="86" t="n">
        <v>0.07000000000000001</v>
      </c>
      <c r="L550" s="86" t="inlineStr">
        <is>
          <t>Healthy</t>
        </is>
      </c>
      <c r="M550" s="86" t="n">
        <v>2</v>
      </c>
      <c r="N550" s="86" t="inlineStr">
        <is>
          <t>Weak</t>
        </is>
      </c>
      <c r="O550" s="90" t="inlineStr">
        <is>
          <t>N/A</t>
        </is>
      </c>
      <c r="P550" s="86" t="inlineStr">
        <is>
          <t>Insufficient Data</t>
        </is>
      </c>
      <c r="Q550" s="86" t="n">
        <v>0.19</v>
      </c>
      <c r="R550" s="86" t="n">
        <v>-0.2855</v>
      </c>
      <c r="S550" s="86" t="n">
        <v>0.86</v>
      </c>
      <c r="T550" s="90" t="inlineStr">
        <is>
          <t>N/A</t>
        </is>
      </c>
      <c r="U550" s="90" t="inlineStr">
        <is>
          <t>N/A</t>
        </is>
      </c>
      <c r="V550" s="90" t="inlineStr">
        <is>
          <t>N/A</t>
        </is>
      </c>
      <c r="W550" s="90" t="inlineStr">
        <is>
          <t>N/A</t>
        </is>
      </c>
      <c r="X550" s="86" t="n">
        <v>42.8</v>
      </c>
      <c r="Y550" s="86" t="n">
        <v>0</v>
      </c>
      <c r="Z550" s="86" t="inlineStr">
        <is>
          <t>CLEAR</t>
        </is>
      </c>
    </row>
    <row r="551" ht="17" customHeight="1">
      <c r="A551" s="82" t="n">
        <v>549</v>
      </c>
      <c r="B551" s="82" t="inlineStr">
        <is>
          <t>MTDR</t>
        </is>
      </c>
      <c r="C551" s="82" t="inlineStr">
        <is>
          <t>Matador Resources Company</t>
        </is>
      </c>
      <c r="D551" s="82" t="n">
        <v>1.06</v>
      </c>
      <c r="E551" s="207" t="inlineStr">
        <is>
          <t>Distress</t>
        </is>
      </c>
      <c r="F551" s="82" t="n">
        <v>1.97</v>
      </c>
      <c r="G551" s="82" t="inlineStr">
        <is>
          <t>Grey</t>
        </is>
      </c>
      <c r="H551" s="82" t="n">
        <v>1.09</v>
      </c>
      <c r="I551" s="82" t="inlineStr">
        <is>
          <t>Healthy</t>
        </is>
      </c>
      <c r="J551" s="82" t="n">
        <v>1.05</v>
      </c>
      <c r="K551" s="82" t="n">
        <v>0.74</v>
      </c>
      <c r="L551" s="82" t="inlineStr">
        <is>
          <t>Distress</t>
        </is>
      </c>
      <c r="M551" s="82" t="n">
        <v>4</v>
      </c>
      <c r="N551" s="82" t="inlineStr">
        <is>
          <t>Mixed</t>
        </is>
      </c>
      <c r="O551" s="207" t="n">
        <v>-3.51</v>
      </c>
      <c r="P551" s="82" t="inlineStr">
        <is>
          <t>Lower Risk</t>
        </is>
      </c>
      <c r="Q551" s="82" t="n">
        <v>1.4</v>
      </c>
      <c r="R551" s="82" t="n">
        <v>0.1342</v>
      </c>
      <c r="S551" s="82" t="n">
        <v>3.19</v>
      </c>
      <c r="T551" s="82" t="n">
        <v>0.07290000000000001</v>
      </c>
      <c r="U551" s="82" t="n">
        <v>0.0546</v>
      </c>
      <c r="V551" s="82" t="n">
        <v>0.3318</v>
      </c>
      <c r="W551" s="82" t="n">
        <v>10.09</v>
      </c>
      <c r="X551" s="82" t="n">
        <v>42.76</v>
      </c>
      <c r="Y551" s="82" t="n">
        <v>20</v>
      </c>
      <c r="Z551" s="82" t="inlineStr">
        <is>
          <t>CLEAR</t>
        </is>
      </c>
    </row>
    <row r="552" ht="17" customHeight="1">
      <c r="A552" s="86" t="n">
        <v>550</v>
      </c>
      <c r="B552" s="86" t="inlineStr">
        <is>
          <t>NXPI</t>
        </is>
      </c>
      <c r="C552" s="86" t="inlineStr">
        <is>
          <t>NXP Semiconductors N.V.</t>
        </is>
      </c>
      <c r="D552" s="86" t="n">
        <v>1.04</v>
      </c>
      <c r="E552" s="207" t="inlineStr">
        <is>
          <t>Distress</t>
        </is>
      </c>
      <c r="F552" s="86" t="n">
        <v>2</v>
      </c>
      <c r="G552" s="86" t="inlineStr">
        <is>
          <t>Grey</t>
        </is>
      </c>
      <c r="H552" s="86" t="n">
        <v>0.91</v>
      </c>
      <c r="I552" s="86" t="inlineStr">
        <is>
          <t>Healthy</t>
        </is>
      </c>
      <c r="J552" s="86" t="n">
        <v>1.01</v>
      </c>
      <c r="K552" s="86" t="n">
        <v>0.73</v>
      </c>
      <c r="L552" s="86" t="inlineStr">
        <is>
          <t>Distress</t>
        </is>
      </c>
      <c r="M552" s="86" t="n">
        <v>4</v>
      </c>
      <c r="N552" s="86" t="inlineStr">
        <is>
          <t>Mixed</t>
        </is>
      </c>
      <c r="O552" s="207" t="n">
        <v>-2.57</v>
      </c>
      <c r="P552" s="86" t="inlineStr">
        <is>
          <t>Lower Risk</t>
        </is>
      </c>
      <c r="Q552" s="86" t="n">
        <v>1.81</v>
      </c>
      <c r="R552" s="86" t="n">
        <v>0.201</v>
      </c>
      <c r="S552" s="86" t="n">
        <v>1.4</v>
      </c>
      <c r="T552" s="86" t="n">
        <v>0.1975</v>
      </c>
      <c r="U552" s="86" t="n">
        <v>-0.0274</v>
      </c>
      <c r="V552" s="86" t="n">
        <v>0.2483</v>
      </c>
      <c r="W552" s="86" t="n">
        <v>6.54</v>
      </c>
      <c r="X552" s="86" t="n">
        <v>42.71</v>
      </c>
      <c r="Y552" s="86" t="n">
        <v>0</v>
      </c>
      <c r="Z552" s="86" t="inlineStr">
        <is>
          <t>CLEAR</t>
        </is>
      </c>
    </row>
    <row r="553" ht="17" customHeight="1">
      <c r="A553" s="82" t="n">
        <v>551</v>
      </c>
      <c r="B553" s="82" t="inlineStr">
        <is>
          <t>APD</t>
        </is>
      </c>
      <c r="C553" s="82" t="inlineStr">
        <is>
          <t>AIR PRODUCTS AND CHEMICALS, INC.</t>
        </is>
      </c>
      <c r="D553" s="82" t="n">
        <v>0.88</v>
      </c>
      <c r="E553" s="207" t="inlineStr">
        <is>
          <t>Distress</t>
        </is>
      </c>
      <c r="F553" s="82" t="n">
        <v>2.17</v>
      </c>
      <c r="G553" s="82" t="inlineStr">
        <is>
          <t>Grey</t>
        </is>
      </c>
      <c r="H553" s="82" t="n">
        <v>0.02</v>
      </c>
      <c r="I553" s="82" t="inlineStr">
        <is>
          <t>Distress</t>
        </is>
      </c>
      <c r="J553" s="82" t="n">
        <v>-1.01</v>
      </c>
      <c r="K553" s="82" t="n">
        <v>0.27</v>
      </c>
      <c r="L553" s="82" t="inlineStr">
        <is>
          <t>Healthy</t>
        </is>
      </c>
      <c r="M553" s="82" t="n">
        <v>4</v>
      </c>
      <c r="N553" s="82" t="inlineStr">
        <is>
          <t>Mixed</t>
        </is>
      </c>
      <c r="O553" s="207" t="n">
        <v>-3.12</v>
      </c>
      <c r="P553" s="82" t="inlineStr">
        <is>
          <t>Lower Risk</t>
        </is>
      </c>
      <c r="Q553" s="82" t="n">
        <v>-252.46</v>
      </c>
      <c r="R553" s="82" t="n">
        <v>-0.0263</v>
      </c>
      <c r="S553" s="82" t="n">
        <v>-4.44</v>
      </c>
      <c r="T553" s="82" t="n">
        <v>-0.4378</v>
      </c>
      <c r="U553" s="82" t="n">
        <v>-0.0052</v>
      </c>
      <c r="V553" s="82" t="n">
        <v>-0.07290000000000001</v>
      </c>
      <c r="W553" s="82" t="n">
        <v>-4.94</v>
      </c>
      <c r="X553" s="82" t="n">
        <v>42.68</v>
      </c>
      <c r="Y553" s="82" t="n">
        <v>20</v>
      </c>
      <c r="Z553" s="82" t="inlineStr">
        <is>
          <t>CLEAR</t>
        </is>
      </c>
    </row>
    <row r="554" ht="17" customHeight="1">
      <c r="A554" s="86" t="n">
        <v>552</v>
      </c>
      <c r="B554" s="86" t="inlineStr">
        <is>
          <t>CEVA</t>
        </is>
      </c>
      <c r="C554" s="86" t="inlineStr">
        <is>
          <t>Ceva, Inc.</t>
        </is>
      </c>
      <c r="D554" s="86" t="n">
        <v>0.97</v>
      </c>
      <c r="E554" s="207" t="inlineStr">
        <is>
          <t>Distress</t>
        </is>
      </c>
      <c r="F554" s="86" t="n">
        <v>5.04</v>
      </c>
      <c r="G554" s="86" t="inlineStr">
        <is>
          <t>Safe</t>
        </is>
      </c>
      <c r="H554" s="86" t="n">
        <v>0.57</v>
      </c>
      <c r="I554" s="86" t="inlineStr">
        <is>
          <t>Distress</t>
        </is>
      </c>
      <c r="J554" s="86" t="n">
        <v>1.51</v>
      </c>
      <c r="K554" s="86" t="n">
        <v>0.82</v>
      </c>
      <c r="L554" s="86" t="inlineStr">
        <is>
          <t>Distress</t>
        </is>
      </c>
      <c r="M554" s="86" t="n">
        <v>4</v>
      </c>
      <c r="N554" s="86" t="inlineStr">
        <is>
          <t>Mixed</t>
        </is>
      </c>
      <c r="O554" s="207" t="n">
        <v>-2.33</v>
      </c>
      <c r="P554" s="86" t="inlineStr">
        <is>
          <t>Lower Risk</t>
        </is>
      </c>
      <c r="Q554" s="86" t="n">
        <v>5.13</v>
      </c>
      <c r="R554" s="86" t="n">
        <v>-0.0316</v>
      </c>
      <c r="S554" s="86" t="n">
        <v>0.32</v>
      </c>
      <c r="T554" s="86" t="n">
        <v>-0.0717</v>
      </c>
      <c r="U554" s="86" t="n">
        <v>0.2045</v>
      </c>
      <c r="V554" s="86" t="n">
        <v>-0.1297</v>
      </c>
      <c r="W554" s="90" t="inlineStr">
        <is>
          <t>N/A</t>
        </is>
      </c>
      <c r="X554" s="86" t="n">
        <v>42.45</v>
      </c>
      <c r="Y554" s="86" t="n">
        <v>20</v>
      </c>
      <c r="Z554" s="86" t="inlineStr">
        <is>
          <t>CLEAR</t>
        </is>
      </c>
    </row>
    <row r="555" ht="17" customHeight="1">
      <c r="A555" s="82" t="n">
        <v>553</v>
      </c>
      <c r="B555" s="82" t="inlineStr">
        <is>
          <t>CLF</t>
        </is>
      </c>
      <c r="C555" s="82" t="inlineStr">
        <is>
          <t>CLEVELAND-CLIFFS INC.</t>
        </is>
      </c>
      <c r="D555" s="82" t="n">
        <v>0.96</v>
      </c>
      <c r="E555" s="207" t="inlineStr">
        <is>
          <t>Distress</t>
        </is>
      </c>
      <c r="F555" s="82" t="n">
        <v>0.88</v>
      </c>
      <c r="G555" s="82" t="inlineStr">
        <is>
          <t>Distress</t>
        </is>
      </c>
      <c r="H555" s="82" t="n">
        <v>-0.11</v>
      </c>
      <c r="I555" s="82" t="inlineStr">
        <is>
          <t>Distress</t>
        </is>
      </c>
      <c r="J555" s="82" t="n">
        <v>-0.11</v>
      </c>
      <c r="K555" s="82" t="n">
        <v>0.47</v>
      </c>
      <c r="L555" s="82" t="inlineStr">
        <is>
          <t>Healthy</t>
        </is>
      </c>
      <c r="M555" s="82" t="n">
        <v>4</v>
      </c>
      <c r="N555" s="82" t="inlineStr">
        <is>
          <t>Mixed</t>
        </is>
      </c>
      <c r="O555" s="207" t="n">
        <v>-3.34</v>
      </c>
      <c r="P555" s="82" t="inlineStr">
        <is>
          <t>Lower Risk</t>
        </is>
      </c>
      <c r="Q555" s="82" t="n">
        <v>-20.92</v>
      </c>
      <c r="R555" s="82" t="n">
        <v>-0.2417</v>
      </c>
      <c r="S555" s="82" t="n">
        <v>0.31</v>
      </c>
      <c r="T555" s="82" t="n">
        <v>-0.055</v>
      </c>
      <c r="U555" s="82" t="n">
        <v>-0.03</v>
      </c>
      <c r="V555" s="82" t="n">
        <v>-0.0848</v>
      </c>
      <c r="W555" s="82" t="n">
        <v>-7.29</v>
      </c>
      <c r="X555" s="82" t="n">
        <v>42.42</v>
      </c>
      <c r="Y555" s="82" t="n">
        <v>20</v>
      </c>
      <c r="Z555" s="82" t="inlineStr">
        <is>
          <t>CLEAR</t>
        </is>
      </c>
    </row>
    <row r="556" ht="17" customHeight="1">
      <c r="A556" s="86" t="n">
        <v>554</v>
      </c>
      <c r="B556" s="86" t="inlineStr">
        <is>
          <t>PLD</t>
        </is>
      </c>
      <c r="C556" s="86" t="inlineStr">
        <is>
          <t>Prologis, Inc.</t>
        </is>
      </c>
      <c r="D556" s="90" t="inlineStr">
        <is>
          <t>N/A</t>
        </is>
      </c>
      <c r="E556" s="90" t="inlineStr">
        <is>
          <t>N/A</t>
        </is>
      </c>
      <c r="F556" s="90" t="inlineStr">
        <is>
          <t>N/A</t>
        </is>
      </c>
      <c r="G556" s="90" t="inlineStr">
        <is>
          <t>N/A</t>
        </is>
      </c>
      <c r="H556" s="90" t="inlineStr">
        <is>
          <t>N/A</t>
        </is>
      </c>
      <c r="I556" s="90" t="inlineStr">
        <is>
          <t>N/A</t>
        </is>
      </c>
      <c r="J556" s="90" t="inlineStr">
        <is>
          <t>N/A</t>
        </is>
      </c>
      <c r="K556" s="90" t="inlineStr">
        <is>
          <t>N/A</t>
        </is>
      </c>
      <c r="L556" s="90" t="inlineStr">
        <is>
          <t>N/A</t>
        </is>
      </c>
      <c r="M556" s="86" t="n">
        <v>5</v>
      </c>
      <c r="N556" s="86" t="inlineStr">
        <is>
          <t>Mixed</t>
        </is>
      </c>
      <c r="O556" s="207" t="n">
        <v>-0.16</v>
      </c>
      <c r="P556" s="86" t="inlineStr">
        <is>
          <t>Higher Risk</t>
        </is>
      </c>
      <c r="Q556" s="86" t="n">
        <v>4.85</v>
      </c>
      <c r="R556" s="86" t="n">
        <v>0.0626</v>
      </c>
      <c r="S556" s="86" t="n">
        <v>1.5</v>
      </c>
      <c r="T556" s="86" t="n">
        <v>0.5592</v>
      </c>
      <c r="U556" s="86" t="n">
        <v>2.902</v>
      </c>
      <c r="V556" s="86" t="n">
        <v>0.4958</v>
      </c>
      <c r="W556" s="86" t="n">
        <v>4.35</v>
      </c>
      <c r="X556" s="86" t="n">
        <v>42.13</v>
      </c>
      <c r="Y556" s="86" t="n">
        <v>20</v>
      </c>
      <c r="Z556" s="86" t="inlineStr">
        <is>
          <t>CLEAR</t>
        </is>
      </c>
    </row>
    <row r="557" ht="17" customHeight="1">
      <c r="A557" s="82" t="n">
        <v>555</v>
      </c>
      <c r="B557" s="82" t="inlineStr">
        <is>
          <t>AFL</t>
        </is>
      </c>
      <c r="C557" s="82" t="inlineStr">
        <is>
          <t>AFLAC INC</t>
        </is>
      </c>
      <c r="D557" s="91" t="inlineStr">
        <is>
          <t>N/A</t>
        </is>
      </c>
      <c r="E557" s="91" t="inlineStr">
        <is>
          <t>N/A</t>
        </is>
      </c>
      <c r="F557" s="91" t="inlineStr">
        <is>
          <t>N/A</t>
        </is>
      </c>
      <c r="G557" s="91" t="inlineStr">
        <is>
          <t>N/A</t>
        </is>
      </c>
      <c r="H557" s="91" t="inlineStr">
        <is>
          <t>N/A</t>
        </is>
      </c>
      <c r="I557" s="91" t="inlineStr">
        <is>
          <t>N/A</t>
        </is>
      </c>
      <c r="J557" s="91" t="inlineStr">
        <is>
          <t>N/A</t>
        </is>
      </c>
      <c r="K557" s="91" t="inlineStr">
        <is>
          <t>N/A</t>
        </is>
      </c>
      <c r="L557" s="91" t="inlineStr">
        <is>
          <t>N/A</t>
        </is>
      </c>
      <c r="M557" s="82" t="n">
        <v>4</v>
      </c>
      <c r="N557" s="82" t="inlineStr">
        <is>
          <t>Mixed</t>
        </is>
      </c>
      <c r="O557" s="91" t="inlineStr">
        <is>
          <t>N/A</t>
        </is>
      </c>
      <c r="P557" s="82" t="inlineStr">
        <is>
          <t>Insufficient Data</t>
        </is>
      </c>
      <c r="Q557" s="82" t="n">
        <v>-1.49</v>
      </c>
      <c r="R557" s="82" t="n">
        <v>0.1236</v>
      </c>
      <c r="S557" s="82" t="n">
        <v>0.7</v>
      </c>
      <c r="T557" s="91" t="inlineStr">
        <is>
          <t>N/A</t>
        </is>
      </c>
      <c r="U557" s="82" t="n">
        <v>-0.0931</v>
      </c>
      <c r="V557" s="82" t="n">
        <v>0.2422</v>
      </c>
      <c r="W557" s="82" t="n">
        <v>21.32</v>
      </c>
      <c r="X557" s="82" t="n">
        <v>41.85</v>
      </c>
      <c r="Y557" s="82" t="n">
        <v>0</v>
      </c>
      <c r="Z557" s="82" t="inlineStr">
        <is>
          <t>CLEAR</t>
        </is>
      </c>
    </row>
    <row r="558" ht="17" customHeight="1">
      <c r="A558" s="86" t="n">
        <v>556</v>
      </c>
      <c r="B558" s="86" t="inlineStr">
        <is>
          <t>OXY</t>
        </is>
      </c>
      <c r="C558" s="86" t="inlineStr">
        <is>
          <t>OCCIDENTAL PETROLEUM CORPORATION</t>
        </is>
      </c>
      <c r="D558" s="86" t="n">
        <v>0.77</v>
      </c>
      <c r="E558" s="207" t="inlineStr">
        <is>
          <t>Distress</t>
        </is>
      </c>
      <c r="F558" s="86" t="n">
        <v>1.5</v>
      </c>
      <c r="G558" s="86" t="inlineStr">
        <is>
          <t>Grey</t>
        </is>
      </c>
      <c r="H558" s="86" t="n">
        <v>0.43</v>
      </c>
      <c r="I558" s="86" t="inlineStr">
        <is>
          <t>Distress</t>
        </is>
      </c>
      <c r="J558" s="86" t="n">
        <v>1.1</v>
      </c>
      <c r="K558" s="86" t="n">
        <v>0.75</v>
      </c>
      <c r="L558" s="86" t="inlineStr">
        <is>
          <t>Distress</t>
        </is>
      </c>
      <c r="M558" s="86" t="n">
        <v>4</v>
      </c>
      <c r="N558" s="86" t="inlineStr">
        <is>
          <t>Mixed</t>
        </is>
      </c>
      <c r="O558" s="207" t="n">
        <v>-3.64</v>
      </c>
      <c r="P558" s="86" t="inlineStr">
        <is>
          <t>Lower Risk</t>
        </is>
      </c>
      <c r="Q558" s="86" t="n">
        <v>1.82</v>
      </c>
      <c r="R558" s="86" t="n">
        <v>0.1303</v>
      </c>
      <c r="S558" s="86" t="n">
        <v>2.24</v>
      </c>
      <c r="T558" s="86" t="n">
        <v>0.1901</v>
      </c>
      <c r="U558" s="86" t="n">
        <v>-0.192</v>
      </c>
      <c r="V558" s="86" t="n">
        <v>0.1449</v>
      </c>
      <c r="W558" s="86" t="n">
        <v>10.03</v>
      </c>
      <c r="X558" s="86" t="n">
        <v>41.74</v>
      </c>
      <c r="Y558" s="86" t="n">
        <v>0</v>
      </c>
      <c r="Z558" s="86" t="inlineStr">
        <is>
          <t>CLEAR</t>
        </is>
      </c>
    </row>
    <row r="559" ht="17" customHeight="1">
      <c r="A559" s="82" t="n">
        <v>557</v>
      </c>
      <c r="B559" s="82" t="inlineStr">
        <is>
          <t>IMVT</t>
        </is>
      </c>
      <c r="C559" s="82" t="inlineStr">
        <is>
          <t>IMMUNOVANT, INC.</t>
        </is>
      </c>
      <c r="D559" s="91" t="inlineStr">
        <is>
          <t>N/A</t>
        </is>
      </c>
      <c r="E559" s="91" t="inlineStr">
        <is>
          <t>N/A</t>
        </is>
      </c>
      <c r="F559" s="82" t="n">
        <v>4.87</v>
      </c>
      <c r="G559" s="82" t="inlineStr">
        <is>
          <t>Safe</t>
        </is>
      </c>
      <c r="H559" s="91" t="inlineStr">
        <is>
          <t>N/A</t>
        </is>
      </c>
      <c r="I559" s="91" t="inlineStr">
        <is>
          <t>N/A</t>
        </is>
      </c>
      <c r="J559" s="82" t="n">
        <v>-1.3</v>
      </c>
      <c r="K559" s="82" t="n">
        <v>0.21</v>
      </c>
      <c r="L559" s="82" t="inlineStr">
        <is>
          <t>Healthy</t>
        </is>
      </c>
      <c r="M559" s="82" t="n">
        <v>3</v>
      </c>
      <c r="N559" s="82" t="inlineStr">
        <is>
          <t>Mixed</t>
        </is>
      </c>
      <c r="O559" s="91" t="inlineStr">
        <is>
          <t>N/A</t>
        </is>
      </c>
      <c r="P559" s="82" t="inlineStr">
        <is>
          <t>Insufficient Data</t>
        </is>
      </c>
      <c r="Q559" s="82" t="n">
        <v>1.79</v>
      </c>
      <c r="R559" s="82" t="n">
        <v>-0.593</v>
      </c>
      <c r="S559" s="82" t="n">
        <v>0.8100000000000001</v>
      </c>
      <c r="T559" s="91" t="inlineStr">
        <is>
          <t>N/A</t>
        </is>
      </c>
      <c r="U559" s="91" t="inlineStr">
        <is>
          <t>N/A</t>
        </is>
      </c>
      <c r="V559" s="91" t="inlineStr">
        <is>
          <t>N/A</t>
        </is>
      </c>
      <c r="W559" s="91" t="inlineStr">
        <is>
          <t>N/A</t>
        </is>
      </c>
      <c r="X559" s="82" t="n">
        <v>41.58</v>
      </c>
      <c r="Y559" s="82" t="n">
        <v>20</v>
      </c>
      <c r="Z559" s="82" t="inlineStr">
        <is>
          <t>CLEAR</t>
        </is>
      </c>
    </row>
    <row r="560" ht="17" customHeight="1">
      <c r="A560" s="86" t="n">
        <v>558</v>
      </c>
      <c r="B560" s="86" t="inlineStr">
        <is>
          <t>PAYC</t>
        </is>
      </c>
      <c r="C560" s="86" t="inlineStr">
        <is>
          <t>Paycom Software, Inc.</t>
        </is>
      </c>
      <c r="D560" s="86" t="n">
        <v>0.67</v>
      </c>
      <c r="E560" s="207" t="inlineStr">
        <is>
          <t>Distress</t>
        </is>
      </c>
      <c r="F560" s="86" t="n">
        <v>2.19</v>
      </c>
      <c r="G560" s="86" t="inlineStr">
        <is>
          <t>Grey</t>
        </is>
      </c>
      <c r="H560" s="86" t="n">
        <v>0.38</v>
      </c>
      <c r="I560" s="86" t="inlineStr">
        <is>
          <t>Distress</t>
        </is>
      </c>
      <c r="J560" s="86" t="n">
        <v>-0.22</v>
      </c>
      <c r="K560" s="86" t="n">
        <v>0.45</v>
      </c>
      <c r="L560" s="86" t="inlineStr">
        <is>
          <t>Healthy</t>
        </is>
      </c>
      <c r="M560" s="86" t="n">
        <v>4</v>
      </c>
      <c r="N560" s="86" t="inlineStr">
        <is>
          <t>Mixed</t>
        </is>
      </c>
      <c r="O560" s="207" t="n">
        <v>-2.58</v>
      </c>
      <c r="P560" s="86" t="inlineStr">
        <is>
          <t>Lower Risk</t>
        </is>
      </c>
      <c r="Q560" s="86" t="n">
        <v>-0.52</v>
      </c>
      <c r="R560" s="86" t="n">
        <v>0.2619</v>
      </c>
      <c r="S560" s="86" t="n">
        <v>1.5</v>
      </c>
      <c r="T560" s="86" t="n">
        <v>2.714</v>
      </c>
      <c r="U560" s="86" t="n">
        <v>0.1279</v>
      </c>
      <c r="V560" s="86" t="n">
        <v>3.773</v>
      </c>
      <c r="W560" s="86" t="n">
        <v>166.82</v>
      </c>
      <c r="X560" s="86" t="n">
        <v>41.41</v>
      </c>
      <c r="Y560" s="86" t="n">
        <v>0</v>
      </c>
      <c r="Z560" s="86" t="inlineStr">
        <is>
          <t>CLEAR</t>
        </is>
      </c>
    </row>
    <row r="561" ht="17" customHeight="1">
      <c r="A561" s="82" t="n">
        <v>559</v>
      </c>
      <c r="B561" s="82" t="inlineStr">
        <is>
          <t>TPR</t>
        </is>
      </c>
      <c r="C561" s="82" t="inlineStr">
        <is>
          <t>Tapestry, Inc.</t>
        </is>
      </c>
      <c r="D561" s="82" t="n">
        <v>0.97</v>
      </c>
      <c r="E561" s="207" t="inlineStr">
        <is>
          <t>Distress</t>
        </is>
      </c>
      <c r="F561" s="82" t="n">
        <v>0.66</v>
      </c>
      <c r="G561" s="82" t="inlineStr">
        <is>
          <t>Distress</t>
        </is>
      </c>
      <c r="H561" s="82" t="n">
        <v>0.85</v>
      </c>
      <c r="I561" s="82" t="inlineStr">
        <is>
          <t>Distress</t>
        </is>
      </c>
      <c r="J561" s="82" t="n">
        <v>0.48</v>
      </c>
      <c r="K561" s="82" t="n">
        <v>0.62</v>
      </c>
      <c r="L561" s="82" t="inlineStr">
        <is>
          <t>Distress</t>
        </is>
      </c>
      <c r="M561" s="82" t="n">
        <v>5</v>
      </c>
      <c r="N561" s="82" t="inlineStr">
        <is>
          <t>Mixed</t>
        </is>
      </c>
      <c r="O561" s="207" t="n">
        <v>0.51</v>
      </c>
      <c r="P561" s="82" t="inlineStr">
        <is>
          <t>Higher Risk</t>
        </is>
      </c>
      <c r="Q561" s="82" t="n">
        <v>2.19</v>
      </c>
      <c r="R561" s="82" t="n">
        <v>0.2136</v>
      </c>
      <c r="S561" s="82" t="n">
        <v>6.64</v>
      </c>
      <c r="T561" s="82" t="n">
        <v>0.186</v>
      </c>
      <c r="U561" s="82" t="n">
        <v>2.9631</v>
      </c>
      <c r="V561" s="82" t="n">
        <v>0.0706</v>
      </c>
      <c r="W561" s="82" t="n">
        <v>1.53</v>
      </c>
      <c r="X561" s="82" t="n">
        <v>41.33</v>
      </c>
      <c r="Y561" s="82" t="n">
        <v>40</v>
      </c>
      <c r="Z561" s="82" t="inlineStr">
        <is>
          <t>WATCH</t>
        </is>
      </c>
    </row>
    <row r="562" ht="17" customHeight="1">
      <c r="A562" s="86" t="n">
        <v>560</v>
      </c>
      <c r="B562" s="86" t="inlineStr">
        <is>
          <t>VST</t>
        </is>
      </c>
      <c r="C562" s="86" t="inlineStr">
        <is>
          <t>Vistra Corp.</t>
        </is>
      </c>
      <c r="D562" s="86" t="n">
        <v>0.58</v>
      </c>
      <c r="E562" s="207" t="inlineStr">
        <is>
          <t>Distress</t>
        </is>
      </c>
      <c r="F562" s="86" t="n">
        <v>0.04</v>
      </c>
      <c r="G562" s="86" t="inlineStr">
        <is>
          <t>Distress</t>
        </is>
      </c>
      <c r="H562" s="86" t="n">
        <v>0.31</v>
      </c>
      <c r="I562" s="86" t="inlineStr">
        <is>
          <t>Distress</t>
        </is>
      </c>
      <c r="J562" s="86" t="n">
        <v>0.55</v>
      </c>
      <c r="K562" s="86" t="n">
        <v>0.63</v>
      </c>
      <c r="L562" s="86" t="inlineStr">
        <is>
          <t>Distress</t>
        </is>
      </c>
      <c r="M562" s="86" t="n">
        <v>4</v>
      </c>
      <c r="N562" s="86" t="inlineStr">
        <is>
          <t>Mixed</t>
        </is>
      </c>
      <c r="O562" s="90" t="inlineStr">
        <is>
          <t>N/A</t>
        </is>
      </c>
      <c r="P562" s="86" t="inlineStr">
        <is>
          <t>Insufficient Data</t>
        </is>
      </c>
      <c r="Q562" s="86" t="n">
        <v>4.18</v>
      </c>
      <c r="R562" s="86" t="n">
        <v>0.1852</v>
      </c>
      <c r="S562" s="86" t="n">
        <v>4.31</v>
      </c>
      <c r="T562" s="86" t="n">
        <v>0.0743</v>
      </c>
      <c r="U562" s="86" t="n">
        <v>0.0298</v>
      </c>
      <c r="V562" s="86" t="n">
        <v>0.1075</v>
      </c>
      <c r="W562" s="86" t="n">
        <v>2.58</v>
      </c>
      <c r="X562" s="86" t="n">
        <v>41.09</v>
      </c>
      <c r="Y562" s="86" t="n">
        <v>0</v>
      </c>
      <c r="Z562" s="86" t="inlineStr">
        <is>
          <t>CLEAR</t>
        </is>
      </c>
    </row>
    <row r="563" ht="17" customHeight="1">
      <c r="A563" s="82" t="n">
        <v>561</v>
      </c>
      <c r="B563" s="82" t="inlineStr">
        <is>
          <t>WING</t>
        </is>
      </c>
      <c r="C563" s="82" t="inlineStr">
        <is>
          <t>WINGSTOP INC.</t>
        </is>
      </c>
      <c r="D563" s="82" t="n">
        <v>0.87</v>
      </c>
      <c r="E563" s="207" t="inlineStr">
        <is>
          <t>Distress</t>
        </is>
      </c>
      <c r="F563" s="82" t="n">
        <v>-0.55</v>
      </c>
      <c r="G563" s="82" t="inlineStr">
        <is>
          <t>Distress</t>
        </is>
      </c>
      <c r="H563" s="82" t="n">
        <v>3.38</v>
      </c>
      <c r="I563" s="82" t="inlineStr">
        <is>
          <t>Healthy</t>
        </is>
      </c>
      <c r="J563" s="82" t="n">
        <v>6.26</v>
      </c>
      <c r="K563" s="82" t="n">
        <v>1</v>
      </c>
      <c r="L563" s="82" t="inlineStr">
        <is>
          <t>Distress</t>
        </is>
      </c>
      <c r="M563" s="82" t="n">
        <v>5</v>
      </c>
      <c r="N563" s="82" t="inlineStr">
        <is>
          <t>Mixed</t>
        </is>
      </c>
      <c r="O563" s="207" t="n">
        <v>-2.05</v>
      </c>
      <c r="P563" s="82" t="inlineStr">
        <is>
          <t>Higher Risk</t>
        </is>
      </c>
      <c r="Q563" s="82" t="n">
        <v>5.61</v>
      </c>
      <c r="R563" s="82" t="n">
        <v>-0.2365</v>
      </c>
      <c r="S563" s="82" t="n">
        <v>0.88</v>
      </c>
      <c r="T563" s="82" t="n">
        <v>0.1516</v>
      </c>
      <c r="U563" s="82" t="n">
        <v>0.1135</v>
      </c>
      <c r="V563" s="82" t="n">
        <v>0.2573</v>
      </c>
      <c r="W563" s="82" t="n">
        <v>23.59</v>
      </c>
      <c r="X563" s="82" t="n">
        <v>41</v>
      </c>
      <c r="Y563" s="82" t="n">
        <v>20</v>
      </c>
      <c r="Z563" s="82" t="inlineStr">
        <is>
          <t>CLEAR</t>
        </is>
      </c>
    </row>
    <row r="564" ht="17" customHeight="1">
      <c r="A564" s="86" t="n">
        <v>562</v>
      </c>
      <c r="B564" s="86" t="inlineStr">
        <is>
          <t>NET</t>
        </is>
      </c>
      <c r="C564" s="86" t="inlineStr">
        <is>
          <t>CLOUDFLARE, INC.</t>
        </is>
      </c>
      <c r="D564" s="86" t="n">
        <v>0.49</v>
      </c>
      <c r="E564" s="207" t="inlineStr">
        <is>
          <t>Distress</t>
        </is>
      </c>
      <c r="F564" s="86" t="n">
        <v>1.95</v>
      </c>
      <c r="G564" s="86" t="inlineStr">
        <is>
          <t>Grey</t>
        </is>
      </c>
      <c r="H564" s="86" t="n">
        <v>0.4</v>
      </c>
      <c r="I564" s="86" t="inlineStr">
        <is>
          <t>Distress</t>
        </is>
      </c>
      <c r="J564" s="86" t="n">
        <v>0.05</v>
      </c>
      <c r="K564" s="86" t="n">
        <v>0.51</v>
      </c>
      <c r="L564" s="86" t="inlineStr">
        <is>
          <t>Distress</t>
        </is>
      </c>
      <c r="M564" s="86" t="n">
        <v>4</v>
      </c>
      <c r="N564" s="86" t="inlineStr">
        <is>
          <t>Mixed</t>
        </is>
      </c>
      <c r="O564" s="207" t="n">
        <v>-3.07</v>
      </c>
      <c r="P564" s="86" t="inlineStr">
        <is>
          <t>Lower Risk</t>
        </is>
      </c>
      <c r="Q564" s="86" t="n">
        <v>54.03</v>
      </c>
      <c r="R564" s="86" t="n">
        <v>-0.0701</v>
      </c>
      <c r="S564" s="86" t="n">
        <v>-5.9</v>
      </c>
      <c r="T564" s="86" t="n">
        <v>0.1326</v>
      </c>
      <c r="U564" s="86" t="n">
        <v>0.2985</v>
      </c>
      <c r="V564" s="86" t="n">
        <v>-0.0956</v>
      </c>
      <c r="W564" s="86" t="n">
        <v>-35.29</v>
      </c>
      <c r="X564" s="86" t="n">
        <v>40.77</v>
      </c>
      <c r="Y564" s="86" t="n">
        <v>40</v>
      </c>
      <c r="Z564" s="86" t="inlineStr">
        <is>
          <t>WATCH</t>
        </is>
      </c>
    </row>
    <row r="565" ht="17" customHeight="1">
      <c r="A565" s="82" t="n">
        <v>563</v>
      </c>
      <c r="B565" s="82" t="inlineStr">
        <is>
          <t>EVRG</t>
        </is>
      </c>
      <c r="C565" s="82" t="inlineStr">
        <is>
          <t>EVERGY, INC.</t>
        </is>
      </c>
      <c r="D565" s="82" t="n">
        <v>0.48</v>
      </c>
      <c r="E565" s="207" t="inlineStr">
        <is>
          <t>Distress</t>
        </is>
      </c>
      <c r="F565" s="82" t="n">
        <v>0.54</v>
      </c>
      <c r="G565" s="82" t="inlineStr">
        <is>
          <t>Distress</t>
        </is>
      </c>
      <c r="H565" s="91" t="inlineStr">
        <is>
          <t>N/A</t>
        </is>
      </c>
      <c r="I565" s="91" t="inlineStr">
        <is>
          <t>N/A</t>
        </is>
      </c>
      <c r="J565" s="82" t="n">
        <v>1.23</v>
      </c>
      <c r="K565" s="82" t="n">
        <v>0.77</v>
      </c>
      <c r="L565" s="82" t="inlineStr">
        <is>
          <t>Distress</t>
        </is>
      </c>
      <c r="M565" s="82" t="n">
        <v>4</v>
      </c>
      <c r="N565" s="82" t="inlineStr">
        <is>
          <t>Mixed</t>
        </is>
      </c>
      <c r="O565" s="91" t="inlineStr">
        <is>
          <t>N/A</t>
        </is>
      </c>
      <c r="P565" s="82" t="inlineStr">
        <is>
          <t>Insufficient Data</t>
        </is>
      </c>
      <c r="Q565" s="82" t="n">
        <v>4.83</v>
      </c>
      <c r="R565" s="82" t="n">
        <v>0.0837</v>
      </c>
      <c r="S565" s="82" t="n">
        <v>2.39</v>
      </c>
      <c r="T565" s="82" t="n">
        <v>-0.1261</v>
      </c>
      <c r="U565" s="82" t="n">
        <v>0.0195</v>
      </c>
      <c r="V565" s="82" t="n">
        <v>0.2571</v>
      </c>
      <c r="W565" s="82" t="n">
        <v>2.49</v>
      </c>
      <c r="X565" s="82" t="n">
        <v>40.72</v>
      </c>
      <c r="Y565" s="82" t="n">
        <v>0</v>
      </c>
      <c r="Z565" s="82" t="inlineStr">
        <is>
          <t>CLEAR</t>
        </is>
      </c>
    </row>
    <row r="566" ht="17" customHeight="1">
      <c r="A566" s="86" t="n">
        <v>564</v>
      </c>
      <c r="B566" s="86" t="inlineStr">
        <is>
          <t>BLK</t>
        </is>
      </c>
      <c r="C566" s="86" t="inlineStr">
        <is>
          <t>BlackRock, Inc.</t>
        </is>
      </c>
      <c r="D566" s="90" t="inlineStr">
        <is>
          <t>N/A</t>
        </is>
      </c>
      <c r="E566" s="90" t="inlineStr">
        <is>
          <t>N/A</t>
        </is>
      </c>
      <c r="F566" s="90" t="inlineStr">
        <is>
          <t>N/A</t>
        </is>
      </c>
      <c r="G566" s="90" t="inlineStr">
        <is>
          <t>N/A</t>
        </is>
      </c>
      <c r="H566" s="90" t="inlineStr">
        <is>
          <t>N/A</t>
        </is>
      </c>
      <c r="I566" s="90" t="inlineStr">
        <is>
          <t>N/A</t>
        </is>
      </c>
      <c r="J566" s="90" t="inlineStr">
        <is>
          <t>N/A</t>
        </is>
      </c>
      <c r="K566" s="90" t="inlineStr">
        <is>
          <t>N/A</t>
        </is>
      </c>
      <c r="L566" s="90" t="inlineStr">
        <is>
          <t>N/A</t>
        </is>
      </c>
      <c r="M566" s="86" t="n">
        <v>4</v>
      </c>
      <c r="N566" s="86" t="inlineStr">
        <is>
          <t>Mixed</t>
        </is>
      </c>
      <c r="O566" s="207" t="n">
        <v>-2.54</v>
      </c>
      <c r="P566" s="86" t="inlineStr">
        <is>
          <t>Lower Risk</t>
        </is>
      </c>
      <c r="Q566" s="86" t="n">
        <v>0.18</v>
      </c>
      <c r="R566" s="86" t="n">
        <v>0.0994</v>
      </c>
      <c r="S566" s="86" t="n">
        <v>0.71</v>
      </c>
      <c r="T566" s="86" t="n">
        <v>0.2776</v>
      </c>
      <c r="U566" s="86" t="n">
        <v>0.1618</v>
      </c>
      <c r="V566" s="86" t="n">
        <v>0.5506</v>
      </c>
      <c r="W566" s="90" t="inlineStr">
        <is>
          <t>N/A</t>
        </is>
      </c>
      <c r="X566" s="86" t="n">
        <v>40.7</v>
      </c>
      <c r="Y566" s="86" t="n">
        <v>0</v>
      </c>
      <c r="Z566" s="86" t="inlineStr">
        <is>
          <t>CLEAR</t>
        </is>
      </c>
    </row>
    <row r="567" ht="17" customHeight="1">
      <c r="A567" s="82" t="n">
        <v>565</v>
      </c>
      <c r="B567" s="82" t="inlineStr">
        <is>
          <t>NEOG</t>
        </is>
      </c>
      <c r="C567" s="82" t="inlineStr">
        <is>
          <t>Neogen Corporation</t>
        </is>
      </c>
      <c r="D567" s="82" t="n">
        <v>-0.11</v>
      </c>
      <c r="E567" s="207" t="inlineStr">
        <is>
          <t>Distress</t>
        </is>
      </c>
      <c r="F567" s="82" t="n">
        <v>-0.23</v>
      </c>
      <c r="G567" s="82" t="inlineStr">
        <is>
          <t>Distress</t>
        </is>
      </c>
      <c r="H567" s="82" t="n">
        <v>-5.02</v>
      </c>
      <c r="I567" s="82" t="inlineStr">
        <is>
          <t>Distress</t>
        </is>
      </c>
      <c r="J567" s="82" t="n">
        <v>-0.63</v>
      </c>
      <c r="K567" s="82" t="n">
        <v>0.35</v>
      </c>
      <c r="L567" s="82" t="inlineStr">
        <is>
          <t>Healthy</t>
        </is>
      </c>
      <c r="M567" s="82" t="n">
        <v>4</v>
      </c>
      <c r="N567" s="82" t="inlineStr">
        <is>
          <t>Mixed</t>
        </is>
      </c>
      <c r="O567" s="207" t="n">
        <v>-4.38</v>
      </c>
      <c r="P567" s="82" t="inlineStr">
        <is>
          <t>Lower Risk</t>
        </is>
      </c>
      <c r="Q567" s="82" t="n">
        <v>-0.79</v>
      </c>
      <c r="R567" s="82" t="n">
        <v>-0.5272</v>
      </c>
      <c r="S567" s="82" t="n">
        <v>-0.05</v>
      </c>
      <c r="T567" s="82" t="n">
        <v>0.0634</v>
      </c>
      <c r="U567" s="82" t="n">
        <v>-0.032</v>
      </c>
      <c r="V567" s="82" t="n">
        <v>-1.1859</v>
      </c>
      <c r="W567" s="82" t="n">
        <v>-27.83</v>
      </c>
      <c r="X567" s="82" t="n">
        <v>40.66</v>
      </c>
      <c r="Y567" s="82" t="n">
        <v>40</v>
      </c>
      <c r="Z567" s="82" t="inlineStr">
        <is>
          <t>WATCH</t>
        </is>
      </c>
    </row>
    <row r="568" ht="17" customHeight="1">
      <c r="A568" s="86" t="n">
        <v>566</v>
      </c>
      <c r="B568" s="86" t="inlineStr">
        <is>
          <t>NTRA</t>
        </is>
      </c>
      <c r="C568" s="86" t="inlineStr">
        <is>
          <t>NATERA, INC.</t>
        </is>
      </c>
      <c r="D568" s="86" t="n">
        <v>0.07000000000000001</v>
      </c>
      <c r="E568" s="207" t="inlineStr">
        <is>
          <t>Distress</t>
        </is>
      </c>
      <c r="F568" s="86" t="n">
        <v>0.87</v>
      </c>
      <c r="G568" s="86" t="inlineStr">
        <is>
          <t>Distress</t>
        </is>
      </c>
      <c r="H568" s="86" t="n">
        <v>-0.31</v>
      </c>
      <c r="I568" s="86" t="inlineStr">
        <is>
          <t>Distress</t>
        </is>
      </c>
      <c r="J568" s="86" t="n">
        <v>-2.31</v>
      </c>
      <c r="K568" s="86" t="n">
        <v>0.09</v>
      </c>
      <c r="L568" s="86" t="inlineStr">
        <is>
          <t>Healthy</t>
        </is>
      </c>
      <c r="M568" s="86" t="n">
        <v>5</v>
      </c>
      <c r="N568" s="86" t="inlineStr">
        <is>
          <t>Mixed</t>
        </is>
      </c>
      <c r="O568" s="207" t="n">
        <v>0.98</v>
      </c>
      <c r="P568" s="86" t="inlineStr">
        <is>
          <t>Higher Risk</t>
        </is>
      </c>
      <c r="Q568" s="86" t="n">
        <v>0.68</v>
      </c>
      <c r="R568" s="86" t="n">
        <v>-0.1216</v>
      </c>
      <c r="S568" s="86" t="n">
        <v>-1.03</v>
      </c>
      <c r="T568" s="86" t="n">
        <v>0.5173</v>
      </c>
      <c r="U568" s="86" t="n">
        <v>2.9234</v>
      </c>
      <c r="V568" s="86" t="n">
        <v>-1.4692</v>
      </c>
      <c r="W568" s="86" t="n">
        <v>-76.16</v>
      </c>
      <c r="X568" s="86" t="n">
        <v>40.47</v>
      </c>
      <c r="Y568" s="86" t="n">
        <v>80</v>
      </c>
      <c r="Z568" s="86" t="inlineStr">
        <is>
          <t>RED FLAG</t>
        </is>
      </c>
    </row>
    <row r="569" ht="17" customHeight="1">
      <c r="A569" s="82" t="n">
        <v>567</v>
      </c>
      <c r="B569" s="82" t="inlineStr">
        <is>
          <t>PCG</t>
        </is>
      </c>
      <c r="C569" s="82" t="inlineStr">
        <is>
          <t>PG&amp;E CORP</t>
        </is>
      </c>
      <c r="D569" s="82" t="n">
        <v>0.37</v>
      </c>
      <c r="E569" s="207" t="inlineStr">
        <is>
          <t>Distress</t>
        </is>
      </c>
      <c r="F569" s="82" t="n">
        <v>0.43</v>
      </c>
      <c r="G569" s="82" t="inlineStr">
        <is>
          <t>Distress</t>
        </is>
      </c>
      <c r="H569" s="82" t="n">
        <v>0.27</v>
      </c>
      <c r="I569" s="82" t="inlineStr">
        <is>
          <t>Distress</t>
        </is>
      </c>
      <c r="J569" s="82" t="n">
        <v>1.31</v>
      </c>
      <c r="K569" s="82" t="n">
        <v>0.79</v>
      </c>
      <c r="L569" s="82" t="inlineStr">
        <is>
          <t>Distress</t>
        </is>
      </c>
      <c r="M569" s="82" t="n">
        <v>4</v>
      </c>
      <c r="N569" s="82" t="inlineStr">
        <is>
          <t>Mixed</t>
        </is>
      </c>
      <c r="O569" s="91" t="inlineStr">
        <is>
          <t>N/A</t>
        </is>
      </c>
      <c r="P569" s="82" t="inlineStr">
        <is>
          <t>Insufficient Data</t>
        </is>
      </c>
      <c r="Q569" s="82" t="n">
        <v>11.64</v>
      </c>
      <c r="R569" s="82" t="n">
        <v>0.0375</v>
      </c>
      <c r="S569" s="82" t="n">
        <v>7.14</v>
      </c>
      <c r="T569" s="82" t="n">
        <v>-0.1232</v>
      </c>
      <c r="U569" s="82" t="n">
        <v>0.0211</v>
      </c>
      <c r="V569" s="82" t="n">
        <v>0.1905</v>
      </c>
      <c r="W569" s="82" t="n">
        <v>1.67</v>
      </c>
      <c r="X569" s="82" t="n">
        <v>40.35</v>
      </c>
      <c r="Y569" s="82" t="n">
        <v>0</v>
      </c>
      <c r="Z569" s="82" t="inlineStr">
        <is>
          <t>CLEAR</t>
        </is>
      </c>
    </row>
    <row r="570" ht="17" customHeight="1">
      <c r="A570" s="86" t="n">
        <v>568</v>
      </c>
      <c r="B570" s="86" t="inlineStr">
        <is>
          <t>COLD</t>
        </is>
      </c>
      <c r="C570" s="86" t="inlineStr">
        <is>
          <t>AMERICOLD REALTY TRUST, INC.</t>
        </is>
      </c>
      <c r="D570" s="90" t="inlineStr">
        <is>
          <t>N/A</t>
        </is>
      </c>
      <c r="E570" s="90" t="inlineStr">
        <is>
          <t>N/A</t>
        </is>
      </c>
      <c r="F570" s="90" t="inlineStr">
        <is>
          <t>N/A</t>
        </is>
      </c>
      <c r="G570" s="90" t="inlineStr">
        <is>
          <t>N/A</t>
        </is>
      </c>
      <c r="H570" s="90" t="inlineStr">
        <is>
          <t>N/A</t>
        </is>
      </c>
      <c r="I570" s="90" t="inlineStr">
        <is>
          <t>N/A</t>
        </is>
      </c>
      <c r="J570" s="90" t="inlineStr">
        <is>
          <t>N/A</t>
        </is>
      </c>
      <c r="K570" s="90" t="inlineStr">
        <is>
          <t>N/A</t>
        </is>
      </c>
      <c r="L570" s="90" t="inlineStr">
        <is>
          <t>N/A</t>
        </is>
      </c>
      <c r="M570" s="86" t="n">
        <v>4</v>
      </c>
      <c r="N570" s="86" t="inlineStr">
        <is>
          <t>Mixed</t>
        </is>
      </c>
      <c r="O570" s="207" t="n">
        <v>-2.98</v>
      </c>
      <c r="P570" s="86" t="inlineStr">
        <is>
          <t>Lower Risk</t>
        </is>
      </c>
      <c r="Q570" s="86" t="n">
        <v>6.7</v>
      </c>
      <c r="R570" s="86" t="n">
        <v>-0.0397</v>
      </c>
      <c r="S570" s="86" t="n">
        <v>-3.14</v>
      </c>
      <c r="T570" s="86" t="n">
        <v>-0.0835</v>
      </c>
      <c r="U570" s="86" t="n">
        <v>-0.0243</v>
      </c>
      <c r="V570" s="86" t="n">
        <v>0.0028</v>
      </c>
      <c r="W570" s="86" t="n">
        <v>0.07000000000000001</v>
      </c>
      <c r="X570" s="86" t="n">
        <v>40.17</v>
      </c>
      <c r="Y570" s="86" t="n">
        <v>20</v>
      </c>
      <c r="Z570" s="86" t="inlineStr">
        <is>
          <t>CLEAR</t>
        </is>
      </c>
    </row>
    <row r="571" ht="17" customHeight="1">
      <c r="A571" s="82" t="n">
        <v>569</v>
      </c>
      <c r="B571" s="82" t="inlineStr">
        <is>
          <t>AMP</t>
        </is>
      </c>
      <c r="C571" s="82" t="inlineStr">
        <is>
          <t>AMERIPRISE FINANCIAL INC</t>
        </is>
      </c>
      <c r="D571" s="91" t="inlineStr">
        <is>
          <t>N/A</t>
        </is>
      </c>
      <c r="E571" s="91" t="inlineStr">
        <is>
          <t>N/A</t>
        </is>
      </c>
      <c r="F571" s="91" t="inlineStr">
        <is>
          <t>N/A</t>
        </is>
      </c>
      <c r="G571" s="91" t="inlineStr">
        <is>
          <t>N/A</t>
        </is>
      </c>
      <c r="H571" s="91" t="inlineStr">
        <is>
          <t>N/A</t>
        </is>
      </c>
      <c r="I571" s="91" t="inlineStr">
        <is>
          <t>N/A</t>
        </is>
      </c>
      <c r="J571" s="91" t="inlineStr">
        <is>
          <t>N/A</t>
        </is>
      </c>
      <c r="K571" s="91" t="inlineStr">
        <is>
          <t>N/A</t>
        </is>
      </c>
      <c r="L571" s="91" t="inlineStr">
        <is>
          <t>N/A</t>
        </is>
      </c>
      <c r="M571" s="82" t="n">
        <v>4</v>
      </c>
      <c r="N571" s="82" t="inlineStr">
        <is>
          <t>Mixed</t>
        </is>
      </c>
      <c r="O571" s="91" t="inlineStr">
        <is>
          <t>N/A</t>
        </is>
      </c>
      <c r="P571" s="82" t="inlineStr">
        <is>
          <t>Insufficient Data</t>
        </is>
      </c>
      <c r="Q571" s="82" t="n">
        <v>-0.01</v>
      </c>
      <c r="R571" s="82" t="n">
        <v>0.5441</v>
      </c>
      <c r="S571" s="82" t="n">
        <v>2.34</v>
      </c>
      <c r="T571" s="82" t="n">
        <v>0.4315</v>
      </c>
      <c r="U571" s="82" t="n">
        <v>0</v>
      </c>
      <c r="V571" s="82" t="n">
        <v>0.2382</v>
      </c>
      <c r="W571" s="82" t="n">
        <v>26.49</v>
      </c>
      <c r="X571" s="82" t="n">
        <v>40.14</v>
      </c>
      <c r="Y571" s="82" t="n">
        <v>0</v>
      </c>
      <c r="Z571" s="82" t="inlineStr">
        <is>
          <t>CLEAR</t>
        </is>
      </c>
    </row>
    <row r="572" ht="17" customHeight="1">
      <c r="A572" s="86" t="n">
        <v>570</v>
      </c>
      <c r="B572" s="86" t="inlineStr">
        <is>
          <t>IMCR</t>
        </is>
      </c>
      <c r="C572" s="86" t="inlineStr">
        <is>
          <t>Immunocore Holdings plc</t>
        </is>
      </c>
      <c r="D572" s="86" t="n">
        <v>0.18</v>
      </c>
      <c r="E572" s="207" t="inlineStr">
        <is>
          <t>Distress</t>
        </is>
      </c>
      <c r="F572" s="86" t="n">
        <v>2.37</v>
      </c>
      <c r="G572" s="86" t="inlineStr">
        <is>
          <t>Grey</t>
        </is>
      </c>
      <c r="H572" s="86" t="n">
        <v>0.64</v>
      </c>
      <c r="I572" s="86" t="inlineStr">
        <is>
          <t>Distress</t>
        </is>
      </c>
      <c r="J572" s="86" t="n">
        <v>-0.52</v>
      </c>
      <c r="K572" s="86" t="n">
        <v>0.37</v>
      </c>
      <c r="L572" s="86" t="inlineStr">
        <is>
          <t>Healthy</t>
        </is>
      </c>
      <c r="M572" s="86" t="n">
        <v>4</v>
      </c>
      <c r="N572" s="86" t="inlineStr">
        <is>
          <t>Mixed</t>
        </is>
      </c>
      <c r="O572" s="207" t="n">
        <v>-2.49</v>
      </c>
      <c r="P572" s="86" t="inlineStr">
        <is>
          <t>Lower Risk</t>
        </is>
      </c>
      <c r="Q572" s="86" t="n">
        <v>11.07</v>
      </c>
      <c r="R572" s="86" t="n">
        <v>-0.09320000000000001</v>
      </c>
      <c r="S572" s="86" t="n">
        <v>0.3</v>
      </c>
      <c r="T572" s="86" t="n">
        <v>-0.0603</v>
      </c>
      <c r="U572" s="86" t="n">
        <v>0.4305</v>
      </c>
      <c r="V572" s="86" t="n">
        <v>-0.1818</v>
      </c>
      <c r="W572" s="86" t="n">
        <v>-8.800000000000001</v>
      </c>
      <c r="X572" s="86" t="n">
        <v>39.82</v>
      </c>
      <c r="Y572" s="86" t="n">
        <v>20</v>
      </c>
      <c r="Z572" s="86" t="inlineStr">
        <is>
          <t>CLEAR</t>
        </is>
      </c>
    </row>
    <row r="573" ht="17" customHeight="1">
      <c r="A573" s="82" t="n">
        <v>571</v>
      </c>
      <c r="B573" s="82" t="inlineStr">
        <is>
          <t>FNF</t>
        </is>
      </c>
      <c r="C573" s="82" t="inlineStr">
        <is>
          <t>FIDELITY NATIONAL FINANCIAL, INC.</t>
        </is>
      </c>
      <c r="D573" s="91" t="inlineStr">
        <is>
          <t>N/A</t>
        </is>
      </c>
      <c r="E573" s="91" t="inlineStr">
        <is>
          <t>N/A</t>
        </is>
      </c>
      <c r="F573" s="91" t="inlineStr">
        <is>
          <t>N/A</t>
        </is>
      </c>
      <c r="G573" s="91" t="inlineStr">
        <is>
          <t>N/A</t>
        </is>
      </c>
      <c r="H573" s="91" t="inlineStr">
        <is>
          <t>N/A</t>
        </is>
      </c>
      <c r="I573" s="91" t="inlineStr">
        <is>
          <t>N/A</t>
        </is>
      </c>
      <c r="J573" s="91" t="inlineStr">
        <is>
          <t>N/A</t>
        </is>
      </c>
      <c r="K573" s="91" t="inlineStr">
        <is>
          <t>N/A</t>
        </is>
      </c>
      <c r="L573" s="91" t="inlineStr">
        <is>
          <t>N/A</t>
        </is>
      </c>
      <c r="M573" s="82" t="n">
        <v>4</v>
      </c>
      <c r="N573" s="82" t="inlineStr">
        <is>
          <t>Mixed</t>
        </is>
      </c>
      <c r="O573" s="207" t="n">
        <v>-2.33</v>
      </c>
      <c r="P573" s="82" t="inlineStr">
        <is>
          <t>Lower Risk</t>
        </is>
      </c>
      <c r="Q573" s="91" t="inlineStr">
        <is>
          <t>N/A</t>
        </is>
      </c>
      <c r="R573" s="82" t="n">
        <v>0.08110000000000001</v>
      </c>
      <c r="S573" s="82" t="n">
        <v>9.68</v>
      </c>
      <c r="T573" s="82" t="n">
        <v>0.3889</v>
      </c>
      <c r="U573" s="82" t="n">
        <v>0.0558</v>
      </c>
      <c r="V573" s="91" t="inlineStr">
        <is>
          <t>N/A</t>
        </is>
      </c>
      <c r="W573" s="91" t="inlineStr">
        <is>
          <t>N/A</t>
        </is>
      </c>
      <c r="X573" s="82" t="n">
        <v>39.78</v>
      </c>
      <c r="Y573" s="82" t="n">
        <v>0</v>
      </c>
      <c r="Z573" s="82" t="inlineStr">
        <is>
          <t>CLEAR</t>
        </is>
      </c>
    </row>
    <row r="574" ht="17" customHeight="1">
      <c r="A574" s="86" t="n">
        <v>572</v>
      </c>
      <c r="B574" s="86" t="inlineStr">
        <is>
          <t>NTRS</t>
        </is>
      </c>
      <c r="C574" s="86" t="inlineStr">
        <is>
          <t>NORTHERN TRUST CORP</t>
        </is>
      </c>
      <c r="D574" s="90" t="inlineStr">
        <is>
          <t>N/A</t>
        </is>
      </c>
      <c r="E574" s="90" t="inlineStr">
        <is>
          <t>N/A</t>
        </is>
      </c>
      <c r="F574" s="90" t="inlineStr">
        <is>
          <t>N/A</t>
        </is>
      </c>
      <c r="G574" s="90" t="inlineStr">
        <is>
          <t>N/A</t>
        </is>
      </c>
      <c r="H574" s="90" t="inlineStr">
        <is>
          <t>N/A</t>
        </is>
      </c>
      <c r="I574" s="90" t="inlineStr">
        <is>
          <t>N/A</t>
        </is>
      </c>
      <c r="J574" s="90" t="inlineStr">
        <is>
          <t>N/A</t>
        </is>
      </c>
      <c r="K574" s="90" t="inlineStr">
        <is>
          <t>N/A</t>
        </is>
      </c>
      <c r="L574" s="90" t="inlineStr">
        <is>
          <t>N/A</t>
        </is>
      </c>
      <c r="M574" s="86" t="n">
        <v>4</v>
      </c>
      <c r="N574" s="86" t="inlineStr">
        <is>
          <t>Mixed</t>
        </is>
      </c>
      <c r="O574" s="90" t="inlineStr">
        <is>
          <t>N/A</t>
        </is>
      </c>
      <c r="P574" s="86" t="inlineStr">
        <is>
          <t>Insufficient Data</t>
        </is>
      </c>
      <c r="Q574" s="86" t="n">
        <v>0.61</v>
      </c>
      <c r="R574" s="86" t="n">
        <v>0.134</v>
      </c>
      <c r="S574" s="86" t="n">
        <v>3.19</v>
      </c>
      <c r="T574" s="86" t="n">
        <v>0.6751</v>
      </c>
      <c r="U574" s="86" t="n">
        <v>-0.0246</v>
      </c>
      <c r="V574" s="86" t="n">
        <v>0.2893</v>
      </c>
      <c r="W574" s="86" t="n">
        <v>0.44</v>
      </c>
      <c r="X574" s="86" t="n">
        <v>39.75</v>
      </c>
      <c r="Y574" s="86" t="n">
        <v>0</v>
      </c>
      <c r="Z574" s="86" t="inlineStr">
        <is>
          <t>CLEAR</t>
        </is>
      </c>
    </row>
    <row r="575" ht="17" customHeight="1">
      <c r="A575" s="82" t="n">
        <v>573</v>
      </c>
      <c r="B575" s="82" t="inlineStr">
        <is>
          <t>MET</t>
        </is>
      </c>
      <c r="C575" s="82" t="inlineStr">
        <is>
          <t>MetLife, Inc.</t>
        </is>
      </c>
      <c r="D575" s="91" t="inlineStr">
        <is>
          <t>N/A</t>
        </is>
      </c>
      <c r="E575" s="91" t="inlineStr">
        <is>
          <t>N/A</t>
        </is>
      </c>
      <c r="F575" s="91" t="inlineStr">
        <is>
          <t>N/A</t>
        </is>
      </c>
      <c r="G575" s="91" t="inlineStr">
        <is>
          <t>N/A</t>
        </is>
      </c>
      <c r="H575" s="91" t="inlineStr">
        <is>
          <t>N/A</t>
        </is>
      </c>
      <c r="I575" s="91" t="inlineStr">
        <is>
          <t>N/A</t>
        </is>
      </c>
      <c r="J575" s="91" t="inlineStr">
        <is>
          <t>N/A</t>
        </is>
      </c>
      <c r="K575" s="91" t="inlineStr">
        <is>
          <t>N/A</t>
        </is>
      </c>
      <c r="L575" s="91" t="inlineStr">
        <is>
          <t>N/A</t>
        </is>
      </c>
      <c r="M575" s="82" t="n">
        <v>4</v>
      </c>
      <c r="N575" s="82" t="inlineStr">
        <is>
          <t>Mixed</t>
        </is>
      </c>
      <c r="O575" s="207" t="n">
        <v>-2.41</v>
      </c>
      <c r="P575" s="82" t="inlineStr">
        <is>
          <t>Lower Risk</t>
        </is>
      </c>
      <c r="Q575" s="82" t="n">
        <v>0.27</v>
      </c>
      <c r="R575" s="82" t="n">
        <v>0.119</v>
      </c>
      <c r="S575" s="82" t="n">
        <v>5.06</v>
      </c>
      <c r="T575" s="91" t="inlineStr">
        <is>
          <t>N/A</t>
        </is>
      </c>
      <c r="U575" s="82" t="n">
        <v>0.0859</v>
      </c>
      <c r="V575" s="82" t="n">
        <v>0.0796</v>
      </c>
      <c r="W575" s="82" t="n">
        <v>3.96</v>
      </c>
      <c r="X575" s="82" t="n">
        <v>39.74</v>
      </c>
      <c r="Y575" s="82" t="n">
        <v>0</v>
      </c>
      <c r="Z575" s="82" t="inlineStr">
        <is>
          <t>CLEAR</t>
        </is>
      </c>
    </row>
    <row r="576" ht="17" customHeight="1">
      <c r="A576" s="86" t="n">
        <v>574</v>
      </c>
      <c r="B576" s="86" t="inlineStr">
        <is>
          <t>MS</t>
        </is>
      </c>
      <c r="C576" s="86" t="inlineStr">
        <is>
          <t>MORGAN STANLEY</t>
        </is>
      </c>
      <c r="D576" s="90" t="inlineStr">
        <is>
          <t>N/A</t>
        </is>
      </c>
      <c r="E576" s="90" t="inlineStr">
        <is>
          <t>N/A</t>
        </is>
      </c>
      <c r="F576" s="90" t="inlineStr">
        <is>
          <t>N/A</t>
        </is>
      </c>
      <c r="G576" s="90" t="inlineStr">
        <is>
          <t>N/A</t>
        </is>
      </c>
      <c r="H576" s="90" t="inlineStr">
        <is>
          <t>N/A</t>
        </is>
      </c>
      <c r="I576" s="90" t="inlineStr">
        <is>
          <t>N/A</t>
        </is>
      </c>
      <c r="J576" s="90" t="inlineStr">
        <is>
          <t>N/A</t>
        </is>
      </c>
      <c r="K576" s="90" t="inlineStr">
        <is>
          <t>N/A</t>
        </is>
      </c>
      <c r="L576" s="90" t="inlineStr">
        <is>
          <t>N/A</t>
        </is>
      </c>
      <c r="M576" s="86" t="n">
        <v>4</v>
      </c>
      <c r="N576" s="86" t="inlineStr">
        <is>
          <t>Mixed</t>
        </is>
      </c>
      <c r="O576" s="90" t="inlineStr">
        <is>
          <t>N/A</t>
        </is>
      </c>
      <c r="P576" s="86" t="inlineStr">
        <is>
          <t>Insufficient Data</t>
        </is>
      </c>
      <c r="Q576" s="86" t="n">
        <v>8.640000000000001</v>
      </c>
      <c r="R576" s="86" t="n">
        <v>0.151</v>
      </c>
      <c r="S576" s="86" t="n">
        <v>-1.06</v>
      </c>
      <c r="T576" s="90" t="inlineStr">
        <is>
          <t>N/A</t>
        </is>
      </c>
      <c r="U576" s="86" t="n">
        <v>3.4146</v>
      </c>
      <c r="V576" s="86" t="n">
        <v>0.6405</v>
      </c>
      <c r="W576" s="86" t="n">
        <v>0.52</v>
      </c>
      <c r="X576" s="86" t="n">
        <v>39.67</v>
      </c>
      <c r="Y576" s="86" t="n">
        <v>40</v>
      </c>
      <c r="Z576" s="86" t="inlineStr">
        <is>
          <t>WATCH</t>
        </is>
      </c>
    </row>
    <row r="577" ht="17" customHeight="1">
      <c r="A577" s="82" t="n">
        <v>575</v>
      </c>
      <c r="B577" s="82" t="inlineStr">
        <is>
          <t>KKR</t>
        </is>
      </c>
      <c r="C577" s="82" t="inlineStr">
        <is>
          <t>KKR &amp; Co. Inc.</t>
        </is>
      </c>
      <c r="D577" s="91" t="inlineStr">
        <is>
          <t>N/A</t>
        </is>
      </c>
      <c r="E577" s="91" t="inlineStr">
        <is>
          <t>N/A</t>
        </is>
      </c>
      <c r="F577" s="91" t="inlineStr">
        <is>
          <t>N/A</t>
        </is>
      </c>
      <c r="G577" s="91" t="inlineStr">
        <is>
          <t>N/A</t>
        </is>
      </c>
      <c r="H577" s="91" t="inlineStr">
        <is>
          <t>N/A</t>
        </is>
      </c>
      <c r="I577" s="91" t="inlineStr">
        <is>
          <t>N/A</t>
        </is>
      </c>
      <c r="J577" s="91" t="inlineStr">
        <is>
          <t>N/A</t>
        </is>
      </c>
      <c r="K577" s="91" t="inlineStr">
        <is>
          <t>N/A</t>
        </is>
      </c>
      <c r="L577" s="91" t="inlineStr">
        <is>
          <t>N/A</t>
        </is>
      </c>
      <c r="M577" s="82" t="n">
        <v>4</v>
      </c>
      <c r="N577" s="82" t="inlineStr">
        <is>
          <t>Mixed</t>
        </is>
      </c>
      <c r="O577" s="91" t="inlineStr">
        <is>
          <t>N/A</t>
        </is>
      </c>
      <c r="P577" s="82" t="inlineStr">
        <is>
          <t>Insufficient Data</t>
        </is>
      </c>
      <c r="Q577" s="82" t="n">
        <v>4.43</v>
      </c>
      <c r="R577" s="82" t="n">
        <v>0.0767</v>
      </c>
      <c r="S577" s="82" t="n">
        <v>0.2</v>
      </c>
      <c r="T577" s="82" t="n">
        <v>0.0145</v>
      </c>
      <c r="U577" s="82" t="n">
        <v>-0.1104</v>
      </c>
      <c r="V577" s="82" t="n">
        <v>0.3647</v>
      </c>
      <c r="W577" s="82" t="n">
        <v>2.56</v>
      </c>
      <c r="X577" s="82" t="n">
        <v>39.65</v>
      </c>
      <c r="Y577" s="82" t="n">
        <v>20</v>
      </c>
      <c r="Z577" s="82" t="inlineStr">
        <is>
          <t>CLEAR</t>
        </is>
      </c>
    </row>
    <row r="578" ht="17" customHeight="1">
      <c r="A578" s="86" t="n">
        <v>576</v>
      </c>
      <c r="B578" s="86" t="inlineStr">
        <is>
          <t>VKTX</t>
        </is>
      </c>
      <c r="C578" s="86" t="inlineStr">
        <is>
          <t>VIKING THERAPEUTICS, INC.</t>
        </is>
      </c>
      <c r="D578" s="86" t="n">
        <v>1.43</v>
      </c>
      <c r="E578" s="208" t="inlineStr">
        <is>
          <t>Grey</t>
        </is>
      </c>
      <c r="F578" s="86" t="n">
        <v>7.05</v>
      </c>
      <c r="G578" s="86" t="inlineStr">
        <is>
          <t>Safe</t>
        </is>
      </c>
      <c r="H578" s="86" t="n">
        <v>-3.86</v>
      </c>
      <c r="I578" s="86" t="inlineStr">
        <is>
          <t>Distress</t>
        </is>
      </c>
      <c r="J578" s="86" t="n">
        <v>-1.42</v>
      </c>
      <c r="K578" s="86" t="n">
        <v>0.19</v>
      </c>
      <c r="L578" s="86" t="inlineStr">
        <is>
          <t>Healthy</t>
        </is>
      </c>
      <c r="M578" s="86" t="n">
        <v>2</v>
      </c>
      <c r="N578" s="86" t="inlineStr">
        <is>
          <t>Weak</t>
        </is>
      </c>
      <c r="O578" s="90" t="inlineStr">
        <is>
          <t>N/A</t>
        </is>
      </c>
      <c r="P578" s="86" t="inlineStr">
        <is>
          <t>Insufficient Data</t>
        </is>
      </c>
      <c r="Q578" s="86" t="n">
        <v>0.47</v>
      </c>
      <c r="R578" s="86" t="n">
        <v>-0.5628</v>
      </c>
      <c r="S578" s="86" t="n">
        <v>0.77</v>
      </c>
      <c r="T578" s="90" t="inlineStr">
        <is>
          <t>N/A</t>
        </is>
      </c>
      <c r="U578" s="90" t="inlineStr">
        <is>
          <t>N/A</t>
        </is>
      </c>
      <c r="V578" s="90" t="inlineStr">
        <is>
          <t>N/A</t>
        </is>
      </c>
      <c r="W578" s="86" t="n">
        <v>-3204.7</v>
      </c>
      <c r="X578" s="86" t="n">
        <v>39.64</v>
      </c>
      <c r="Y578" s="86" t="n">
        <v>20</v>
      </c>
      <c r="Z578" s="86" t="inlineStr">
        <is>
          <t>CLEAR</t>
        </is>
      </c>
    </row>
    <row r="579" ht="17" customHeight="1">
      <c r="A579" s="82" t="n">
        <v>577</v>
      </c>
      <c r="B579" s="82" t="inlineStr">
        <is>
          <t>ONB</t>
        </is>
      </c>
      <c r="C579" s="82" t="inlineStr">
        <is>
          <t>OLD NATIONAL BANCORP /IN/</t>
        </is>
      </c>
      <c r="D579" s="91" t="inlineStr">
        <is>
          <t>N/A</t>
        </is>
      </c>
      <c r="E579" s="91" t="inlineStr">
        <is>
          <t>N/A</t>
        </is>
      </c>
      <c r="F579" s="91" t="inlineStr">
        <is>
          <t>N/A</t>
        </is>
      </c>
      <c r="G579" s="91" t="inlineStr">
        <is>
          <t>N/A</t>
        </is>
      </c>
      <c r="H579" s="91" t="inlineStr">
        <is>
          <t>N/A</t>
        </is>
      </c>
      <c r="I579" s="91" t="inlineStr">
        <is>
          <t>N/A</t>
        </is>
      </c>
      <c r="J579" s="91" t="inlineStr">
        <is>
          <t>N/A</t>
        </is>
      </c>
      <c r="K579" s="91" t="inlineStr">
        <is>
          <t>N/A</t>
        </is>
      </c>
      <c r="L579" s="91" t="inlineStr">
        <is>
          <t>N/A</t>
        </is>
      </c>
      <c r="M579" s="82" t="n">
        <v>4</v>
      </c>
      <c r="N579" s="82" t="inlineStr">
        <is>
          <t>Mixed</t>
        </is>
      </c>
      <c r="O579" s="91" t="inlineStr">
        <is>
          <t>N/A</t>
        </is>
      </c>
      <c r="P579" s="82" t="inlineStr">
        <is>
          <t>Insufficient Data</t>
        </is>
      </c>
      <c r="Q579" s="82" t="n">
        <v>-1.84</v>
      </c>
      <c r="R579" s="82" t="n">
        <v>0.0788</v>
      </c>
      <c r="S579" s="82" t="n">
        <v>1.02</v>
      </c>
      <c r="T579" s="82" t="n">
        <v>5.0743</v>
      </c>
      <c r="U579" s="82" t="n">
        <v>0.0607</v>
      </c>
      <c r="V579" s="82" t="n">
        <v>6.6981</v>
      </c>
      <c r="W579" s="82" t="n">
        <v>1.2</v>
      </c>
      <c r="X579" s="82" t="n">
        <v>39.48</v>
      </c>
      <c r="Y579" s="82" t="n">
        <v>0</v>
      </c>
      <c r="Z579" s="82" t="inlineStr">
        <is>
          <t>CLEAR</t>
        </is>
      </c>
    </row>
    <row r="580" ht="17" customHeight="1">
      <c r="A580" s="86" t="n">
        <v>578</v>
      </c>
      <c r="B580" s="86" t="inlineStr">
        <is>
          <t>AJG</t>
        </is>
      </c>
      <c r="C580" s="86" t="inlineStr">
        <is>
          <t>ARTHUR J. GALLAGHER &amp; CO.</t>
        </is>
      </c>
      <c r="D580" s="86" t="n">
        <v>0.4</v>
      </c>
      <c r="E580" s="207" t="inlineStr">
        <is>
          <t>Distress</t>
        </is>
      </c>
      <c r="F580" s="86" t="n">
        <v>1.13</v>
      </c>
      <c r="G580" s="86" t="inlineStr">
        <is>
          <t>Grey</t>
        </is>
      </c>
      <c r="H580" s="86" t="n">
        <v>0.16</v>
      </c>
      <c r="I580" s="86" t="inlineStr">
        <is>
          <t>Distress</t>
        </is>
      </c>
      <c r="J580" s="86" t="n">
        <v>-0.62</v>
      </c>
      <c r="K580" s="86" t="n">
        <v>0.35</v>
      </c>
      <c r="L580" s="86" t="inlineStr">
        <is>
          <t>Healthy</t>
        </is>
      </c>
      <c r="M580" s="86" t="n">
        <v>5</v>
      </c>
      <c r="N580" s="86" t="inlineStr">
        <is>
          <t>Mixed</t>
        </is>
      </c>
      <c r="O580" s="207" t="n">
        <v>-1.85</v>
      </c>
      <c r="P580" s="86" t="inlineStr">
        <is>
          <t>Higher Risk</t>
        </is>
      </c>
      <c r="Q580" s="86" t="n">
        <v>6.03</v>
      </c>
      <c r="R580" s="86" t="n">
        <v>0.0641</v>
      </c>
      <c r="S580" s="86" t="n">
        <v>1.29</v>
      </c>
      <c r="T580" s="86" t="n">
        <v>0.9947</v>
      </c>
      <c r="U580" s="86" t="n">
        <v>-0.0569</v>
      </c>
      <c r="V580" s="86" t="n">
        <v>1.0869</v>
      </c>
      <c r="W580" s="86" t="n">
        <v>2.93</v>
      </c>
      <c r="X580" s="86" t="n">
        <v>39.35</v>
      </c>
      <c r="Y580" s="86" t="n">
        <v>20</v>
      </c>
      <c r="Z580" s="86" t="inlineStr">
        <is>
          <t>CLEAR</t>
        </is>
      </c>
    </row>
    <row r="581" ht="17" customHeight="1">
      <c r="A581" s="82" t="n">
        <v>579</v>
      </c>
      <c r="B581" s="82" t="inlineStr">
        <is>
          <t>GKOS</t>
        </is>
      </c>
      <c r="C581" s="82" t="inlineStr">
        <is>
          <t>GLAUKOS Corp</t>
        </is>
      </c>
      <c r="D581" s="82" t="n">
        <v>0.45</v>
      </c>
      <c r="E581" s="207" t="inlineStr">
        <is>
          <t>Distress</t>
        </is>
      </c>
      <c r="F581" s="82" t="n">
        <v>0.74</v>
      </c>
      <c r="G581" s="82" t="inlineStr">
        <is>
          <t>Distress</t>
        </is>
      </c>
      <c r="H581" s="82" t="n">
        <v>-1.29</v>
      </c>
      <c r="I581" s="82" t="inlineStr">
        <is>
          <t>Distress</t>
        </is>
      </c>
      <c r="J581" s="82" t="n">
        <v>-1.86</v>
      </c>
      <c r="K581" s="82" t="n">
        <v>0.13</v>
      </c>
      <c r="L581" s="82" t="inlineStr">
        <is>
          <t>Healthy</t>
        </is>
      </c>
      <c r="M581" s="82" t="n">
        <v>3</v>
      </c>
      <c r="N581" s="82" t="inlineStr">
        <is>
          <t>Mixed</t>
        </is>
      </c>
      <c r="O581" s="207" t="n">
        <v>-2.86</v>
      </c>
      <c r="P581" s="82" t="inlineStr">
        <is>
          <t>Lower Risk</t>
        </is>
      </c>
      <c r="Q581" s="82" t="n">
        <v>0.5</v>
      </c>
      <c r="R581" s="82" t="n">
        <v>-0.286</v>
      </c>
      <c r="S581" s="82" t="n">
        <v>0.08</v>
      </c>
      <c r="T581" s="82" t="n">
        <v>-0.0443</v>
      </c>
      <c r="U581" s="82" t="n">
        <v>0.3233</v>
      </c>
      <c r="V581" s="82" t="n">
        <v>-0.3933</v>
      </c>
      <c r="W581" s="82" t="n">
        <v>-14.64</v>
      </c>
      <c r="X581" s="82" t="n">
        <v>39.15</v>
      </c>
      <c r="Y581" s="82" t="n">
        <v>40</v>
      </c>
      <c r="Z581" s="82" t="inlineStr">
        <is>
          <t>WATCH</t>
        </is>
      </c>
    </row>
    <row r="582" ht="17" customHeight="1">
      <c r="A582" s="86" t="n">
        <v>580</v>
      </c>
      <c r="B582" s="86" t="inlineStr">
        <is>
          <t>SNPS</t>
        </is>
      </c>
      <c r="C582" s="86" t="inlineStr">
        <is>
          <t>SYNOPSYS INC</t>
        </is>
      </c>
      <c r="D582" s="86" t="n">
        <v>0.98</v>
      </c>
      <c r="E582" s="207" t="inlineStr">
        <is>
          <t>Distress</t>
        </is>
      </c>
      <c r="F582" s="86" t="n">
        <v>2.63</v>
      </c>
      <c r="G582" s="86" t="inlineStr">
        <is>
          <t>Safe</t>
        </is>
      </c>
      <c r="H582" s="86" t="n">
        <v>0.4</v>
      </c>
      <c r="I582" s="86" t="inlineStr">
        <is>
          <t>Distress</t>
        </is>
      </c>
      <c r="J582" s="86" t="n">
        <v>-2.11</v>
      </c>
      <c r="K582" s="86" t="n">
        <v>0.11</v>
      </c>
      <c r="L582" s="86" t="inlineStr">
        <is>
          <t>Healthy</t>
        </is>
      </c>
      <c r="M582" s="86" t="n">
        <v>4</v>
      </c>
      <c r="N582" s="86" t="inlineStr">
        <is>
          <t>Mixed</t>
        </is>
      </c>
      <c r="O582" s="207" t="n">
        <v>-1.86</v>
      </c>
      <c r="P582" s="86" t="inlineStr">
        <is>
          <t>Higher Risk</t>
        </is>
      </c>
      <c r="Q582" s="86" t="n">
        <v>6.73</v>
      </c>
      <c r="R582" s="86" t="n">
        <v>0.047</v>
      </c>
      <c r="S582" s="86" t="n">
        <v>1.14</v>
      </c>
      <c r="T582" s="86" t="n">
        <v>0.2655</v>
      </c>
      <c r="U582" s="86" t="n">
        <v>0.2087</v>
      </c>
      <c r="V582" s="86" t="n">
        <v>0.18</v>
      </c>
      <c r="W582" s="86" t="n">
        <v>776.6799999999999</v>
      </c>
      <c r="X582" s="86" t="n">
        <v>39</v>
      </c>
      <c r="Y582" s="86" t="n">
        <v>20</v>
      </c>
      <c r="Z582" s="86" t="inlineStr">
        <is>
          <t>CLEAR</t>
        </is>
      </c>
    </row>
    <row r="583" ht="17" customHeight="1">
      <c r="A583" s="82" t="n">
        <v>581</v>
      </c>
      <c r="B583" s="82" t="inlineStr">
        <is>
          <t>FIS</t>
        </is>
      </c>
      <c r="C583" s="82" t="inlineStr">
        <is>
          <t>Fidelity National Information Services, Inc.</t>
        </is>
      </c>
      <c r="D583" s="82" t="n">
        <v>0.14</v>
      </c>
      <c r="E583" s="207" t="inlineStr">
        <is>
          <t>Distress</t>
        </is>
      </c>
      <c r="F583" s="82" t="n">
        <v>-1.73</v>
      </c>
      <c r="G583" s="82" t="inlineStr">
        <is>
          <t>Distress</t>
        </is>
      </c>
      <c r="H583" s="82" t="n">
        <v>-1.22</v>
      </c>
      <c r="I583" s="82" t="inlineStr">
        <is>
          <t>Distress</t>
        </is>
      </c>
      <c r="J583" s="82" t="n">
        <v>-1.06</v>
      </c>
      <c r="K583" s="82" t="n">
        <v>0.26</v>
      </c>
      <c r="L583" s="82" t="inlineStr">
        <is>
          <t>Healthy</t>
        </is>
      </c>
      <c r="M583" s="82" t="n">
        <v>5</v>
      </c>
      <c r="N583" s="82" t="inlineStr">
        <is>
          <t>Mixed</t>
        </is>
      </c>
      <c r="O583" s="207" t="n">
        <v>-1.07</v>
      </c>
      <c r="P583" s="82" t="inlineStr">
        <is>
          <t>Higher Risk</t>
        </is>
      </c>
      <c r="Q583" s="82" t="n">
        <v>4.13</v>
      </c>
      <c r="R583" s="82" t="n">
        <v>0.0275</v>
      </c>
      <c r="S583" s="82" t="n">
        <v>11.35</v>
      </c>
      <c r="T583" s="82" t="n">
        <v>0.3916</v>
      </c>
      <c r="U583" s="82" t="n">
        <v>2.7969</v>
      </c>
      <c r="V583" s="82" t="n">
        <v>0.1631</v>
      </c>
      <c r="W583" s="82" t="n">
        <v>2.44</v>
      </c>
      <c r="X583" s="82" t="n">
        <v>38.91</v>
      </c>
      <c r="Y583" s="82" t="n">
        <v>40</v>
      </c>
      <c r="Z583" s="82" t="inlineStr">
        <is>
          <t>WATCH</t>
        </is>
      </c>
    </row>
    <row r="584" ht="17" customHeight="1">
      <c r="A584" s="86" t="n">
        <v>582</v>
      </c>
      <c r="B584" s="86" t="inlineStr">
        <is>
          <t>DRI</t>
        </is>
      </c>
      <c r="C584" s="86" t="inlineStr">
        <is>
          <t>DARDEN RESTAURANTS, INC.</t>
        </is>
      </c>
      <c r="D584" s="86" t="n">
        <v>1.31</v>
      </c>
      <c r="E584" s="208" t="inlineStr">
        <is>
          <t>Grey</t>
        </is>
      </c>
      <c r="F584" s="86" t="n">
        <v>0.28</v>
      </c>
      <c r="G584" s="86" t="inlineStr">
        <is>
          <t>Distress</t>
        </is>
      </c>
      <c r="H584" s="86" t="n">
        <v>0.96</v>
      </c>
      <c r="I584" s="86" t="inlineStr">
        <is>
          <t>Healthy</t>
        </is>
      </c>
      <c r="J584" s="86" t="n">
        <v>-0.07000000000000001</v>
      </c>
      <c r="K584" s="86" t="n">
        <v>0.48</v>
      </c>
      <c r="L584" s="86" t="inlineStr">
        <is>
          <t>Healthy</t>
        </is>
      </c>
      <c r="M584" s="86" t="n">
        <v>4</v>
      </c>
      <c r="N584" s="86" t="inlineStr">
        <is>
          <t>Mixed</t>
        </is>
      </c>
      <c r="O584" s="207" t="n">
        <v>-2.02</v>
      </c>
      <c r="P584" s="86" t="inlineStr">
        <is>
          <t>Higher Risk</t>
        </is>
      </c>
      <c r="Q584" s="86" t="n">
        <v>1.01</v>
      </c>
      <c r="R584" s="86" t="n">
        <v>0.4541</v>
      </c>
      <c r="S584" s="90" t="inlineStr">
        <is>
          <t>N/A</t>
        </is>
      </c>
      <c r="T584" s="90" t="inlineStr">
        <is>
          <t>N/A</t>
        </is>
      </c>
      <c r="U584" s="86" t="n">
        <v>0.0603</v>
      </c>
      <c r="V584" s="86" t="n">
        <v>0.1128</v>
      </c>
      <c r="W584" s="86" t="n">
        <v>27.14</v>
      </c>
      <c r="X584" s="86" t="n">
        <v>38.65</v>
      </c>
      <c r="Y584" s="86" t="n">
        <v>20</v>
      </c>
      <c r="Z584" s="86" t="inlineStr">
        <is>
          <t>CLEAR</t>
        </is>
      </c>
    </row>
    <row r="585" ht="17" customHeight="1">
      <c r="A585" s="82" t="n">
        <v>583</v>
      </c>
      <c r="B585" s="82" t="inlineStr">
        <is>
          <t>CELH</t>
        </is>
      </c>
      <c r="C585" s="82" t="inlineStr">
        <is>
          <t>CELSIUS HOLDINGS, INC.</t>
        </is>
      </c>
      <c r="D585" s="82" t="n">
        <v>0.7</v>
      </c>
      <c r="E585" s="207" t="inlineStr">
        <is>
          <t>Distress</t>
        </is>
      </c>
      <c r="F585" s="82" t="n">
        <v>1.81</v>
      </c>
      <c r="G585" s="82" t="inlineStr">
        <is>
          <t>Grey</t>
        </is>
      </c>
      <c r="H585" s="82" t="n">
        <v>0.41</v>
      </c>
      <c r="I585" s="82" t="inlineStr">
        <is>
          <t>Distress</t>
        </is>
      </c>
      <c r="J585" s="82" t="n">
        <v>-2.01</v>
      </c>
      <c r="K585" s="82" t="n">
        <v>0.12</v>
      </c>
      <c r="L585" s="82" t="inlineStr">
        <is>
          <t>Healthy</t>
        </is>
      </c>
      <c r="M585" s="82" t="n">
        <v>4</v>
      </c>
      <c r="N585" s="82" t="inlineStr">
        <is>
          <t>Mixed</t>
        </is>
      </c>
      <c r="O585" s="207" t="n">
        <v>-0.85</v>
      </c>
      <c r="P585" s="82" t="inlineStr">
        <is>
          <t>Higher Risk</t>
        </is>
      </c>
      <c r="Q585" s="82" t="n">
        <v>1.63</v>
      </c>
      <c r="R585" s="82" t="n">
        <v>0.0914</v>
      </c>
      <c r="S585" s="82" t="n">
        <v>3.33</v>
      </c>
      <c r="T585" s="82" t="n">
        <v>0.2454</v>
      </c>
      <c r="U585" s="82" t="n">
        <v>1.0165</v>
      </c>
      <c r="V585" s="82" t="n">
        <v>0.107</v>
      </c>
      <c r="W585" s="82" t="n">
        <v>276.9</v>
      </c>
      <c r="X585" s="82" t="n">
        <v>37.96</v>
      </c>
      <c r="Y585" s="82" t="n">
        <v>20</v>
      </c>
      <c r="Z585" s="82" t="inlineStr">
        <is>
          <t>CLEAR</t>
        </is>
      </c>
    </row>
    <row r="586" ht="17" customHeight="1">
      <c r="A586" s="86" t="n">
        <v>584</v>
      </c>
      <c r="B586" s="86" t="inlineStr">
        <is>
          <t>AGEN</t>
        </is>
      </c>
      <c r="C586" s="86" t="inlineStr">
        <is>
          <t>AGENUS INC</t>
        </is>
      </c>
      <c r="D586" s="86" t="n">
        <v>-9.34</v>
      </c>
      <c r="E586" s="207" t="inlineStr">
        <is>
          <t>Distress</t>
        </is>
      </c>
      <c r="F586" s="86" t="n">
        <v>-38.73</v>
      </c>
      <c r="G586" s="86" t="inlineStr">
        <is>
          <t>Distress</t>
        </is>
      </c>
      <c r="H586" s="86" t="n">
        <v>-1.07</v>
      </c>
      <c r="I586" s="86" t="inlineStr">
        <is>
          <t>Distress</t>
        </is>
      </c>
      <c r="J586" s="86" t="n">
        <v>2.1</v>
      </c>
      <c r="K586" s="86" t="n">
        <v>0.89</v>
      </c>
      <c r="L586" s="86" t="inlineStr">
        <is>
          <t>Distress</t>
        </is>
      </c>
      <c r="M586" s="86" t="n">
        <v>5</v>
      </c>
      <c r="N586" s="86" t="inlineStr">
        <is>
          <t>Mixed</t>
        </is>
      </c>
      <c r="O586" s="207" t="n">
        <v>2.49</v>
      </c>
      <c r="P586" s="86" t="inlineStr">
        <is>
          <t>Higher Risk</t>
        </is>
      </c>
      <c r="Q586" s="86" t="n">
        <v>-4.1</v>
      </c>
      <c r="R586" s="86" t="n">
        <v>0.1392</v>
      </c>
      <c r="S586" s="86" t="n">
        <v>2.05</v>
      </c>
      <c r="T586" s="86" t="n">
        <v>-1.8005</v>
      </c>
      <c r="U586" s="86" t="n">
        <v>4.1325</v>
      </c>
      <c r="V586" s="86" t="n">
        <v>-0.4704</v>
      </c>
      <c r="W586" s="86" t="n">
        <v>-15.99</v>
      </c>
      <c r="X586" s="86" t="n">
        <v>37.94</v>
      </c>
      <c r="Y586" s="86" t="n">
        <v>40</v>
      </c>
      <c r="Z586" s="86" t="inlineStr">
        <is>
          <t>WATCH</t>
        </is>
      </c>
    </row>
    <row r="587" ht="17" customHeight="1">
      <c r="A587" s="82" t="n">
        <v>585</v>
      </c>
      <c r="B587" s="82" t="inlineStr">
        <is>
          <t>TGTX</t>
        </is>
      </c>
      <c r="C587" s="82" t="inlineStr">
        <is>
          <t>TG THERAPEUTICS, INC.</t>
        </is>
      </c>
      <c r="D587" s="82" t="n">
        <v>0.48</v>
      </c>
      <c r="E587" s="207" t="inlineStr">
        <is>
          <t>Distress</t>
        </is>
      </c>
      <c r="F587" s="82" t="n">
        <v>2.04</v>
      </c>
      <c r="G587" s="82" t="inlineStr">
        <is>
          <t>Grey</t>
        </is>
      </c>
      <c r="H587" s="82" t="n">
        <v>1.28</v>
      </c>
      <c r="I587" s="82" t="inlineStr">
        <is>
          <t>Healthy</t>
        </is>
      </c>
      <c r="J587" s="82" t="n">
        <v>-4</v>
      </c>
      <c r="K587" s="82" t="n">
        <v>0.02</v>
      </c>
      <c r="L587" s="82" t="inlineStr">
        <is>
          <t>Healthy</t>
        </is>
      </c>
      <c r="M587" s="82" t="n">
        <v>4</v>
      </c>
      <c r="N587" s="82" t="inlineStr">
        <is>
          <t>Mixed</t>
        </is>
      </c>
      <c r="O587" s="207" t="n">
        <v>10.69</v>
      </c>
      <c r="P587" s="82" t="inlineStr">
        <is>
          <t>Higher Risk</t>
        </is>
      </c>
      <c r="Q587" s="82" t="n">
        <v>0.17</v>
      </c>
      <c r="R587" s="82" t="n">
        <v>0.6901</v>
      </c>
      <c r="S587" s="82" t="n">
        <v>-0.06</v>
      </c>
      <c r="T587" s="82" t="n">
        <v>-8.9716</v>
      </c>
      <c r="U587" s="82" t="n">
        <v>-0.5836</v>
      </c>
      <c r="V587" s="82" t="n">
        <v>44.2815</v>
      </c>
      <c r="W587" s="82" t="n">
        <v>9.779999999999999</v>
      </c>
      <c r="X587" s="82" t="n">
        <v>37.39</v>
      </c>
      <c r="Y587" s="82" t="n">
        <v>60</v>
      </c>
      <c r="Z587" s="82" t="inlineStr">
        <is>
          <t>RED FLAG</t>
        </is>
      </c>
    </row>
    <row r="588" ht="17" customHeight="1">
      <c r="A588" s="86" t="n">
        <v>586</v>
      </c>
      <c r="B588" s="86" t="inlineStr">
        <is>
          <t>DY</t>
        </is>
      </c>
      <c r="C588" s="86" t="inlineStr">
        <is>
          <t>DYCOM INDUSTRIES, INC.</t>
        </is>
      </c>
      <c r="D588" s="86" t="n">
        <v>0.93</v>
      </c>
      <c r="E588" s="207" t="inlineStr">
        <is>
          <t>Distress</t>
        </is>
      </c>
      <c r="F588" s="86" t="n">
        <v>3.61</v>
      </c>
      <c r="G588" s="86" t="inlineStr">
        <is>
          <t>Safe</t>
        </is>
      </c>
      <c r="H588" s="86" t="n">
        <v>0.78</v>
      </c>
      <c r="I588" s="86" t="inlineStr">
        <is>
          <t>Distress</t>
        </is>
      </c>
      <c r="J588" s="86" t="n">
        <v>-0.62</v>
      </c>
      <c r="K588" s="86" t="n">
        <v>0.35</v>
      </c>
      <c r="L588" s="86" t="inlineStr">
        <is>
          <t>Healthy</t>
        </is>
      </c>
      <c r="M588" s="86" t="n">
        <v>4</v>
      </c>
      <c r="N588" s="86" t="inlineStr">
        <is>
          <t>Mixed</t>
        </is>
      </c>
      <c r="O588" s="207" t="n">
        <v>-1.95</v>
      </c>
      <c r="P588" s="86" t="inlineStr">
        <is>
          <t>Higher Risk</t>
        </is>
      </c>
      <c r="Q588" s="86" t="n">
        <v>-0.82</v>
      </c>
      <c r="R588" s="86" t="n">
        <v>0.1512</v>
      </c>
      <c r="S588" s="86" t="n">
        <v>2.28</v>
      </c>
      <c r="T588" s="86" t="n">
        <v>0.509</v>
      </c>
      <c r="U588" s="86" t="n">
        <v>0.1873</v>
      </c>
      <c r="V588" s="86" t="n">
        <v>0.4662</v>
      </c>
      <c r="W588" s="86" t="n">
        <v>22.29</v>
      </c>
      <c r="X588" s="86" t="n">
        <v>37.31</v>
      </c>
      <c r="Y588" s="86" t="n">
        <v>20</v>
      </c>
      <c r="Z588" s="86" t="inlineStr">
        <is>
          <t>CLEAR</t>
        </is>
      </c>
    </row>
    <row r="589" ht="17" customHeight="1">
      <c r="A589" s="82" t="n">
        <v>587</v>
      </c>
      <c r="B589" s="82" t="inlineStr">
        <is>
          <t>FMC</t>
        </is>
      </c>
      <c r="C589" s="82" t="inlineStr">
        <is>
          <t>FMC CORPORATION</t>
        </is>
      </c>
      <c r="D589" s="82" t="n">
        <v>0.51</v>
      </c>
      <c r="E589" s="207" t="inlineStr">
        <is>
          <t>Distress</t>
        </is>
      </c>
      <c r="F589" s="82" t="n">
        <v>1.31</v>
      </c>
      <c r="G589" s="82" t="inlineStr">
        <is>
          <t>Grey</t>
        </is>
      </c>
      <c r="H589" s="82" t="n">
        <v>-0.52</v>
      </c>
      <c r="I589" s="82" t="inlineStr">
        <is>
          <t>Distress</t>
        </is>
      </c>
      <c r="J589" s="82" t="n">
        <v>2.39</v>
      </c>
      <c r="K589" s="82" t="n">
        <v>0.92</v>
      </c>
      <c r="L589" s="82" t="inlineStr">
        <is>
          <t>Distress</t>
        </is>
      </c>
      <c r="M589" s="82" t="n">
        <v>3</v>
      </c>
      <c r="N589" s="82" t="inlineStr">
        <is>
          <t>Mixed</t>
        </is>
      </c>
      <c r="O589" s="207" t="n">
        <v>-3.87</v>
      </c>
      <c r="P589" s="82" t="inlineStr">
        <is>
          <t>Lower Risk</t>
        </is>
      </c>
      <c r="Q589" s="82" t="n">
        <v>-1.9</v>
      </c>
      <c r="R589" s="82" t="n">
        <v>-1.0808</v>
      </c>
      <c r="S589" s="91" t="inlineStr">
        <is>
          <t>N/A</t>
        </is>
      </c>
      <c r="T589" s="91" t="inlineStr">
        <is>
          <t>N/A</t>
        </is>
      </c>
      <c r="U589" s="82" t="n">
        <v>0.6424</v>
      </c>
      <c r="V589" s="82" t="n">
        <v>-0.3444</v>
      </c>
      <c r="W589" s="82" t="n">
        <v>-6.86</v>
      </c>
      <c r="X589" s="82" t="n">
        <v>36.95</v>
      </c>
      <c r="Y589" s="82" t="n">
        <v>20</v>
      </c>
      <c r="Z589" s="82" t="inlineStr">
        <is>
          <t>CLEAR</t>
        </is>
      </c>
    </row>
    <row r="590" ht="17" customHeight="1">
      <c r="A590" s="86" t="n">
        <v>588</v>
      </c>
      <c r="B590" s="86" t="inlineStr">
        <is>
          <t>HOOD</t>
        </is>
      </c>
      <c r="C590" s="86" t="inlineStr">
        <is>
          <t>Robinhood Markets, Inc.</t>
        </is>
      </c>
      <c r="D590" s="86" t="n">
        <v>0.5</v>
      </c>
      <c r="E590" s="207" t="inlineStr">
        <is>
          <t>Distress</t>
        </is>
      </c>
      <c r="F590" s="86" t="n">
        <v>1.77</v>
      </c>
      <c r="G590" s="86" t="inlineStr">
        <is>
          <t>Grey</t>
        </is>
      </c>
      <c r="H590" s="86" t="n">
        <v>0.47</v>
      </c>
      <c r="I590" s="86" t="inlineStr">
        <is>
          <t>Distress</t>
        </is>
      </c>
      <c r="J590" s="86" t="n">
        <v>-0.24</v>
      </c>
      <c r="K590" s="86" t="n">
        <v>0.44</v>
      </c>
      <c r="L590" s="86" t="inlineStr">
        <is>
          <t>Healthy</t>
        </is>
      </c>
      <c r="M590" s="86" t="n">
        <v>3</v>
      </c>
      <c r="N590" s="86" t="inlineStr">
        <is>
          <t>Mixed</t>
        </is>
      </c>
      <c r="O590" s="90" t="inlineStr">
        <is>
          <t>N/A</t>
        </is>
      </c>
      <c r="P590" s="86" t="inlineStr">
        <is>
          <t>Insufficient Data</t>
        </is>
      </c>
      <c r="Q590" s="86" t="n">
        <v>-1.94</v>
      </c>
      <c r="R590" s="86" t="n">
        <v>0.2362</v>
      </c>
      <c r="S590" s="86" t="n">
        <v>0.87</v>
      </c>
      <c r="T590" s="86" t="n">
        <v>0.3599</v>
      </c>
      <c r="U590" s="86" t="n">
        <v>0</v>
      </c>
      <c r="V590" s="86" t="n">
        <v>0.4713</v>
      </c>
      <c r="W590" s="90" t="inlineStr">
        <is>
          <t>N/A</t>
        </is>
      </c>
      <c r="X590" s="86" t="n">
        <v>36.91</v>
      </c>
      <c r="Y590" s="86" t="n">
        <v>0</v>
      </c>
      <c r="Z590" s="86" t="inlineStr">
        <is>
          <t>CLEAR</t>
        </is>
      </c>
    </row>
    <row r="591" ht="17" customHeight="1">
      <c r="A591" s="82" t="n">
        <v>589</v>
      </c>
      <c r="B591" s="82" t="inlineStr">
        <is>
          <t>GS</t>
        </is>
      </c>
      <c r="C591" s="82" t="inlineStr">
        <is>
          <t>The Goldman Sachs Group, Inc.</t>
        </is>
      </c>
      <c r="D591" s="91" t="inlineStr">
        <is>
          <t>N/A</t>
        </is>
      </c>
      <c r="E591" s="91" t="inlineStr">
        <is>
          <t>N/A</t>
        </is>
      </c>
      <c r="F591" s="91" t="inlineStr">
        <is>
          <t>N/A</t>
        </is>
      </c>
      <c r="G591" s="91" t="inlineStr">
        <is>
          <t>N/A</t>
        </is>
      </c>
      <c r="H591" s="91" t="inlineStr">
        <is>
          <t>N/A</t>
        </is>
      </c>
      <c r="I591" s="91" t="inlineStr">
        <is>
          <t>N/A</t>
        </is>
      </c>
      <c r="J591" s="91" t="inlineStr">
        <is>
          <t>N/A</t>
        </is>
      </c>
      <c r="K591" s="91" t="inlineStr">
        <is>
          <t>N/A</t>
        </is>
      </c>
      <c r="L591" s="91" t="inlineStr">
        <is>
          <t>N/A</t>
        </is>
      </c>
      <c r="M591" s="82" t="n">
        <v>3</v>
      </c>
      <c r="N591" s="82" t="inlineStr">
        <is>
          <t>Mixed</t>
        </is>
      </c>
      <c r="O591" s="91" t="inlineStr">
        <is>
          <t>N/A</t>
        </is>
      </c>
      <c r="P591" s="82" t="inlineStr">
        <is>
          <t>Insufficient Data</t>
        </is>
      </c>
      <c r="Q591" s="82" t="n">
        <v>2.99</v>
      </c>
      <c r="R591" s="82" t="n">
        <v>0.1374</v>
      </c>
      <c r="S591" s="82" t="n">
        <v>-2.63</v>
      </c>
      <c r="T591" s="91" t="inlineStr">
        <is>
          <t>N/A</t>
        </is>
      </c>
      <c r="U591" s="91" t="inlineStr">
        <is>
          <t>N/A</t>
        </is>
      </c>
      <c r="V591" s="91" t="inlineStr">
        <is>
          <t>N/A</t>
        </is>
      </c>
      <c r="W591" s="82" t="n">
        <v>0.33</v>
      </c>
      <c r="X591" s="82" t="n">
        <v>35.68</v>
      </c>
      <c r="Y591" s="82" t="n">
        <v>20</v>
      </c>
      <c r="Z591" s="82" t="inlineStr">
        <is>
          <t>CLEAR</t>
        </is>
      </c>
    </row>
    <row r="592" ht="17" customHeight="1">
      <c r="A592" s="86" t="n">
        <v>590</v>
      </c>
      <c r="B592" s="86" t="inlineStr">
        <is>
          <t>WOLF</t>
        </is>
      </c>
      <c r="C592" s="86" t="inlineStr">
        <is>
          <t>WOLFSPEED, INC.</t>
        </is>
      </c>
      <c r="D592" s="86" t="n">
        <v>-1.46</v>
      </c>
      <c r="E592" s="207" t="inlineStr">
        <is>
          <t>Distress</t>
        </is>
      </c>
      <c r="F592" s="86" t="n">
        <v>-7.88</v>
      </c>
      <c r="G592" s="86" t="inlineStr">
        <is>
          <t>Distress</t>
        </is>
      </c>
      <c r="H592" s="86" t="n">
        <v>-1.35</v>
      </c>
      <c r="I592" s="86" t="inlineStr">
        <is>
          <t>Distress</t>
        </is>
      </c>
      <c r="J592" s="86" t="n">
        <v>2.4</v>
      </c>
      <c r="K592" s="86" t="n">
        <v>0.92</v>
      </c>
      <c r="L592" s="86" t="inlineStr">
        <is>
          <t>Distress</t>
        </is>
      </c>
      <c r="M592" s="86" t="n">
        <v>3</v>
      </c>
      <c r="N592" s="86" t="inlineStr">
        <is>
          <t>Mixed</t>
        </is>
      </c>
      <c r="O592" s="207" t="n">
        <v>-3.08</v>
      </c>
      <c r="P592" s="86" t="inlineStr">
        <is>
          <t>Lower Risk</t>
        </is>
      </c>
      <c r="Q592" s="86" t="n">
        <v>-5.64</v>
      </c>
      <c r="R592" s="86" t="n">
        <v>3.5992</v>
      </c>
      <c r="S592" s="86" t="n">
        <v>0.44</v>
      </c>
      <c r="T592" s="86" t="n">
        <v>-1.4308</v>
      </c>
      <c r="U592" s="86" t="n">
        <v>2.6959</v>
      </c>
      <c r="V592" s="86" t="n">
        <v>-0.959</v>
      </c>
      <c r="W592" s="86" t="n">
        <v>-31.2</v>
      </c>
      <c r="X592" s="86" t="n">
        <v>35.17</v>
      </c>
      <c r="Y592" s="86" t="n">
        <v>60</v>
      </c>
      <c r="Z592" s="86" t="inlineStr">
        <is>
          <t>RED FLAG</t>
        </is>
      </c>
    </row>
    <row r="593" ht="17" customHeight="1">
      <c r="A593" s="82" t="n">
        <v>591</v>
      </c>
      <c r="B593" s="82" t="inlineStr">
        <is>
          <t>AES</t>
        </is>
      </c>
      <c r="C593" s="82" t="inlineStr">
        <is>
          <t>AES CORP</t>
        </is>
      </c>
      <c r="D593" s="82" t="n">
        <v>0.26</v>
      </c>
      <c r="E593" s="207" t="inlineStr">
        <is>
          <t>Distress</t>
        </is>
      </c>
      <c r="F593" s="82" t="n">
        <v>-0.12</v>
      </c>
      <c r="G593" s="82" t="inlineStr">
        <is>
          <t>Distress</t>
        </is>
      </c>
      <c r="H593" s="82" t="n">
        <v>0.07000000000000001</v>
      </c>
      <c r="I593" s="82" t="inlineStr">
        <is>
          <t>Distress</t>
        </is>
      </c>
      <c r="J593" s="82" t="n">
        <v>1.27</v>
      </c>
      <c r="K593" s="82" t="n">
        <v>0.78</v>
      </c>
      <c r="L593" s="82" t="inlineStr">
        <is>
          <t>Distress</t>
        </is>
      </c>
      <c r="M593" s="82" t="n">
        <v>4</v>
      </c>
      <c r="N593" s="82" t="inlineStr">
        <is>
          <t>Mixed</t>
        </is>
      </c>
      <c r="O593" s="206" t="n">
        <v>137.59</v>
      </c>
      <c r="P593" s="82" t="inlineStr">
        <is>
          <t>Higher Risk</t>
        </is>
      </c>
      <c r="Q593" s="82" t="n">
        <v>-0.89</v>
      </c>
      <c r="R593" s="82" t="n">
        <v>0.224</v>
      </c>
      <c r="S593" s="82" t="n">
        <v>4.73</v>
      </c>
      <c r="T593" s="82" t="n">
        <v>-0.1327</v>
      </c>
      <c r="U593" s="82" t="n">
        <v>-0.0037</v>
      </c>
      <c r="V593" s="82" t="n">
        <v>0.0078</v>
      </c>
      <c r="W593" s="82" t="n">
        <v>0.07000000000000001</v>
      </c>
      <c r="X593" s="82" t="n">
        <v>34.96</v>
      </c>
      <c r="Y593" s="82" t="n">
        <v>20</v>
      </c>
      <c r="Z593" s="82" t="inlineStr">
        <is>
          <t>CLEAR</t>
        </is>
      </c>
    </row>
    <row r="594" ht="17" customHeight="1">
      <c r="A594" s="86" t="n">
        <v>592</v>
      </c>
      <c r="B594" s="86" t="inlineStr">
        <is>
          <t>ARQT</t>
        </is>
      </c>
      <c r="C594" s="86" t="inlineStr">
        <is>
          <t>ARCUTIS BIOTHERAPEUTICS, INC.</t>
        </is>
      </c>
      <c r="D594" s="86" t="n">
        <v>-0.65</v>
      </c>
      <c r="E594" s="207" t="inlineStr">
        <is>
          <t>Distress</t>
        </is>
      </c>
      <c r="F594" s="86" t="n">
        <v>-3.68</v>
      </c>
      <c r="G594" s="86" t="inlineStr">
        <is>
          <t>Distress</t>
        </is>
      </c>
      <c r="H594" s="86" t="n">
        <v>0.89</v>
      </c>
      <c r="I594" s="86" t="inlineStr">
        <is>
          <t>Healthy</t>
        </is>
      </c>
      <c r="J594" s="86" t="n">
        <v>-0.96</v>
      </c>
      <c r="K594" s="86" t="n">
        <v>0.28</v>
      </c>
      <c r="L594" s="86" t="inlineStr">
        <is>
          <t>Healthy</t>
        </is>
      </c>
      <c r="M594" s="86" t="n">
        <v>4</v>
      </c>
      <c r="N594" s="86" t="inlineStr">
        <is>
          <t>Mixed</t>
        </is>
      </c>
      <c r="O594" s="207" t="n">
        <v>-1.64</v>
      </c>
      <c r="P594" s="86" t="inlineStr">
        <is>
          <t>Higher Risk</t>
        </is>
      </c>
      <c r="Q594" s="86" t="n">
        <v>-5.73</v>
      </c>
      <c r="R594" s="86" t="n">
        <v>-0.0852</v>
      </c>
      <c r="S594" s="86" t="n">
        <v>0.35</v>
      </c>
      <c r="T594" s="86" t="n">
        <v>-0.0168</v>
      </c>
      <c r="U594" s="86" t="n">
        <v>0.9134</v>
      </c>
      <c r="V594" s="86" t="n">
        <v>-0.0325</v>
      </c>
      <c r="W594" s="86" t="n">
        <v>-0.41</v>
      </c>
      <c r="X594" s="86" t="n">
        <v>34.68</v>
      </c>
      <c r="Y594" s="86" t="n">
        <v>60</v>
      </c>
      <c r="Z594" s="86" t="inlineStr">
        <is>
          <t>RED FLAG</t>
        </is>
      </c>
    </row>
    <row r="595" ht="17" customHeight="1">
      <c r="A595" s="82" t="n">
        <v>593</v>
      </c>
      <c r="B595" s="82" t="inlineStr">
        <is>
          <t>RCKT</t>
        </is>
      </c>
      <c r="C595" s="82" t="inlineStr">
        <is>
          <t>Rocket Pharmaceuticals, Inc.</t>
        </is>
      </c>
      <c r="D595" s="82" t="n">
        <v>-3.33</v>
      </c>
      <c r="E595" s="207" t="inlineStr">
        <is>
          <t>Distress</t>
        </is>
      </c>
      <c r="F595" s="82" t="n">
        <v>-10.24</v>
      </c>
      <c r="G595" s="82" t="inlineStr">
        <is>
          <t>Distress</t>
        </is>
      </c>
      <c r="H595" s="82" t="n">
        <v>-6.52</v>
      </c>
      <c r="I595" s="82" t="inlineStr">
        <is>
          <t>Distress</t>
        </is>
      </c>
      <c r="J595" s="82" t="n">
        <v>-0.35</v>
      </c>
      <c r="K595" s="82" t="n">
        <v>0.41</v>
      </c>
      <c r="L595" s="82" t="inlineStr">
        <is>
          <t>Healthy</t>
        </is>
      </c>
      <c r="M595" s="82" t="n">
        <v>2</v>
      </c>
      <c r="N595" s="82" t="inlineStr">
        <is>
          <t>Weak</t>
        </is>
      </c>
      <c r="O595" s="91" t="inlineStr">
        <is>
          <t>N/A</t>
        </is>
      </c>
      <c r="P595" s="82" t="inlineStr">
        <is>
          <t>Insufficient Data</t>
        </is>
      </c>
      <c r="Q595" s="82" t="n">
        <v>0.34</v>
      </c>
      <c r="R595" s="82" t="n">
        <v>-0.8048999999999999</v>
      </c>
      <c r="S595" s="82" t="n">
        <v>0.85</v>
      </c>
      <c r="T595" s="91" t="inlineStr">
        <is>
          <t>N/A</t>
        </is>
      </c>
      <c r="U595" s="91" t="inlineStr">
        <is>
          <t>N/A</t>
        </is>
      </c>
      <c r="V595" s="91" t="inlineStr">
        <is>
          <t>N/A</t>
        </is>
      </c>
      <c r="W595" s="82" t="n">
        <v>-122.55</v>
      </c>
      <c r="X595" s="82" t="n">
        <v>34.31</v>
      </c>
      <c r="Y595" s="82" t="n">
        <v>20</v>
      </c>
      <c r="Z595" s="82" t="inlineStr">
        <is>
          <t>CLEAR</t>
        </is>
      </c>
    </row>
    <row r="596" ht="17" customHeight="1">
      <c r="A596" s="86" t="n">
        <v>594</v>
      </c>
      <c r="B596" s="86" t="inlineStr">
        <is>
          <t>JPM</t>
        </is>
      </c>
      <c r="C596" s="86" t="inlineStr">
        <is>
          <t>JPMORGAN CHASE &amp; CO</t>
        </is>
      </c>
      <c r="D596" s="90" t="inlineStr">
        <is>
          <t>N/A</t>
        </is>
      </c>
      <c r="E596" s="90" t="inlineStr">
        <is>
          <t>N/A</t>
        </is>
      </c>
      <c r="F596" s="90" t="inlineStr">
        <is>
          <t>N/A</t>
        </is>
      </c>
      <c r="G596" s="90" t="inlineStr">
        <is>
          <t>N/A</t>
        </is>
      </c>
      <c r="H596" s="90" t="inlineStr">
        <is>
          <t>N/A</t>
        </is>
      </c>
      <c r="I596" s="90" t="inlineStr">
        <is>
          <t>N/A</t>
        </is>
      </c>
      <c r="J596" s="90" t="inlineStr">
        <is>
          <t>N/A</t>
        </is>
      </c>
      <c r="K596" s="90" t="inlineStr">
        <is>
          <t>N/A</t>
        </is>
      </c>
      <c r="L596" s="90" t="inlineStr">
        <is>
          <t>N/A</t>
        </is>
      </c>
      <c r="M596" s="86" t="n">
        <v>2</v>
      </c>
      <c r="N596" s="86" t="inlineStr">
        <is>
          <t>Weak</t>
        </is>
      </c>
      <c r="O596" s="90" t="inlineStr">
        <is>
          <t>N/A</t>
        </is>
      </c>
      <c r="P596" s="86" t="inlineStr">
        <is>
          <t>Insufficient Data</t>
        </is>
      </c>
      <c r="Q596" s="86" t="n">
        <v>-0.15</v>
      </c>
      <c r="R596" s="86" t="n">
        <v>0.1574</v>
      </c>
      <c r="S596" s="86" t="n">
        <v>-2.59</v>
      </c>
      <c r="T596" s="90" t="inlineStr">
        <is>
          <t>N/A</t>
        </is>
      </c>
      <c r="U596" s="86" t="n">
        <v>0.0275</v>
      </c>
      <c r="V596" s="86" t="n">
        <v>0.3979</v>
      </c>
      <c r="W596" s="86" t="n">
        <v>0.89</v>
      </c>
      <c r="X596" s="86" t="n">
        <v>32.01</v>
      </c>
      <c r="Y596" s="86" t="n">
        <v>20</v>
      </c>
      <c r="Z596" s="86" t="inlineStr">
        <is>
          <t>CLEAR</t>
        </is>
      </c>
    </row>
    <row r="597" ht="17" customHeight="1">
      <c r="A597" s="82" t="n">
        <v>595</v>
      </c>
      <c r="B597" s="82" t="inlineStr">
        <is>
          <t>WFC</t>
        </is>
      </c>
      <c r="C597" s="82" t="inlineStr">
        <is>
          <t>WELLS        FARGO &amp; COMPANY/MN</t>
        </is>
      </c>
      <c r="D597" s="91" t="inlineStr">
        <is>
          <t>N/A</t>
        </is>
      </c>
      <c r="E597" s="91" t="inlineStr">
        <is>
          <t>N/A</t>
        </is>
      </c>
      <c r="F597" s="91" t="inlineStr">
        <is>
          <t>N/A</t>
        </is>
      </c>
      <c r="G597" s="91" t="inlineStr">
        <is>
          <t>N/A</t>
        </is>
      </c>
      <c r="H597" s="91" t="inlineStr">
        <is>
          <t>N/A</t>
        </is>
      </c>
      <c r="I597" s="91" t="inlineStr">
        <is>
          <t>N/A</t>
        </is>
      </c>
      <c r="J597" s="91" t="inlineStr">
        <is>
          <t>N/A</t>
        </is>
      </c>
      <c r="K597" s="91" t="inlineStr">
        <is>
          <t>N/A</t>
        </is>
      </c>
      <c r="L597" s="91" t="inlineStr">
        <is>
          <t>N/A</t>
        </is>
      </c>
      <c r="M597" s="82" t="n">
        <v>2</v>
      </c>
      <c r="N597" s="82" t="inlineStr">
        <is>
          <t>Weak</t>
        </is>
      </c>
      <c r="O597" s="91" t="inlineStr">
        <is>
          <t>N/A</t>
        </is>
      </c>
      <c r="P597" s="82" t="inlineStr">
        <is>
          <t>Insufficient Data</t>
        </is>
      </c>
      <c r="Q597" s="82" t="n">
        <v>6.5</v>
      </c>
      <c r="R597" s="82" t="n">
        <v>0.1178</v>
      </c>
      <c r="S597" s="82" t="n">
        <v>-0.89</v>
      </c>
      <c r="T597" s="91" t="inlineStr">
        <is>
          <t>N/A</t>
        </is>
      </c>
      <c r="U597" s="82" t="n">
        <v>-0.0156</v>
      </c>
      <c r="V597" s="82" t="n">
        <v>0.2962</v>
      </c>
      <c r="W597" s="82" t="n">
        <v>0.77</v>
      </c>
      <c r="X597" s="82" t="n">
        <v>31.99</v>
      </c>
      <c r="Y597" s="82" t="n">
        <v>20</v>
      </c>
      <c r="Z597" s="82" t="inlineStr">
        <is>
          <t>CLEAR</t>
        </is>
      </c>
    </row>
    <row r="598" ht="17" customHeight="1">
      <c r="A598" s="86" t="n">
        <v>596</v>
      </c>
      <c r="B598" s="86" t="inlineStr">
        <is>
          <t>C</t>
        </is>
      </c>
      <c r="C598" s="86" t="inlineStr">
        <is>
          <t>Citigroup Inc</t>
        </is>
      </c>
      <c r="D598" s="90" t="inlineStr">
        <is>
          <t>N/A</t>
        </is>
      </c>
      <c r="E598" s="90" t="inlineStr">
        <is>
          <t>N/A</t>
        </is>
      </c>
      <c r="F598" s="90" t="inlineStr">
        <is>
          <t>N/A</t>
        </is>
      </c>
      <c r="G598" s="90" t="inlineStr">
        <is>
          <t>N/A</t>
        </is>
      </c>
      <c r="H598" s="90" t="inlineStr">
        <is>
          <t>N/A</t>
        </is>
      </c>
      <c r="I598" s="90" t="inlineStr">
        <is>
          <t>N/A</t>
        </is>
      </c>
      <c r="J598" s="90" t="inlineStr">
        <is>
          <t>N/A</t>
        </is>
      </c>
      <c r="K598" s="90" t="inlineStr">
        <is>
          <t>N/A</t>
        </is>
      </c>
      <c r="L598" s="90" t="inlineStr">
        <is>
          <t>N/A</t>
        </is>
      </c>
      <c r="M598" s="86" t="n">
        <v>2</v>
      </c>
      <c r="N598" s="86" t="inlineStr">
        <is>
          <t>Weak</t>
        </is>
      </c>
      <c r="O598" s="90" t="inlineStr">
        <is>
          <t>N/A</t>
        </is>
      </c>
      <c r="P598" s="86" t="inlineStr">
        <is>
          <t>Insufficient Data</t>
        </is>
      </c>
      <c r="Q598" s="86" t="n">
        <v>6.36</v>
      </c>
      <c r="R598" s="86" t="n">
        <v>0.0674</v>
      </c>
      <c r="S598" s="86" t="n">
        <v>-4.73</v>
      </c>
      <c r="T598" s="86" t="n">
        <v>-0.8701</v>
      </c>
      <c r="U598" s="86" t="n">
        <v>0.0504</v>
      </c>
      <c r="V598" s="86" t="n">
        <v>0.2327</v>
      </c>
      <c r="W598" s="86" t="n">
        <v>0.25</v>
      </c>
      <c r="X598" s="86" t="n">
        <v>31.84</v>
      </c>
      <c r="Y598" s="86" t="n">
        <v>20</v>
      </c>
      <c r="Z598" s="86" t="inlineStr">
        <is>
          <t>CLEAR</t>
        </is>
      </c>
    </row>
    <row r="599" ht="17" customHeight="1">
      <c r="A599" s="82" t="n">
        <v>597</v>
      </c>
      <c r="B599" s="82" t="inlineStr">
        <is>
          <t>LCID</t>
        </is>
      </c>
      <c r="C599" s="82" t="inlineStr">
        <is>
          <t>Lucid Group, Inc.</t>
        </is>
      </c>
      <c r="D599" s="82" t="n">
        <v>-2.69</v>
      </c>
      <c r="E599" s="207" t="inlineStr">
        <is>
          <t>Distress</t>
        </is>
      </c>
      <c r="F599" s="82" t="n">
        <v>-8.210000000000001</v>
      </c>
      <c r="G599" s="82" t="inlineStr">
        <is>
          <t>Distress</t>
        </is>
      </c>
      <c r="H599" s="82" t="n">
        <v>-1.85</v>
      </c>
      <c r="I599" s="82" t="inlineStr">
        <is>
          <t>Distress</t>
        </is>
      </c>
      <c r="J599" s="82" t="n">
        <v>0.77</v>
      </c>
      <c r="K599" s="82" t="n">
        <v>0.68</v>
      </c>
      <c r="L599" s="82" t="inlineStr">
        <is>
          <t>Distress</t>
        </is>
      </c>
      <c r="M599" s="82" t="n">
        <v>2</v>
      </c>
      <c r="N599" s="82" t="inlineStr">
        <is>
          <t>Weak</t>
        </is>
      </c>
      <c r="O599" s="207" t="n">
        <v>-2.29</v>
      </c>
      <c r="P599" s="82" t="inlineStr">
        <is>
          <t>Lower Risk</t>
        </is>
      </c>
      <c r="Q599" s="82" t="n">
        <v>-0.34</v>
      </c>
      <c r="R599" s="82" t="n">
        <v>-3.7615</v>
      </c>
      <c r="S599" s="82" t="n">
        <v>1.09</v>
      </c>
      <c r="T599" s="82" t="n">
        <v>-6.3838</v>
      </c>
      <c r="U599" s="82" t="n">
        <v>-0.0212</v>
      </c>
      <c r="V599" s="82" t="n">
        <v>-5.8826</v>
      </c>
      <c r="W599" s="82" t="n">
        <v>-140.55</v>
      </c>
      <c r="X599" s="82" t="n">
        <v>31.42</v>
      </c>
      <c r="Y599" s="82" t="n">
        <v>0</v>
      </c>
      <c r="Z599" s="82" t="inlineStr">
        <is>
          <t>CLEAR</t>
        </is>
      </c>
    </row>
    <row r="600" ht="17" customHeight="1">
      <c r="A600" s="86" t="n">
        <v>598</v>
      </c>
      <c r="B600" s="86" t="inlineStr">
        <is>
          <t>IONS</t>
        </is>
      </c>
      <c r="C600" s="86" t="inlineStr">
        <is>
          <t>IONIS PHARMACEUTICALS, INC.</t>
        </is>
      </c>
      <c r="D600" s="86" t="n">
        <v>-0.39</v>
      </c>
      <c r="E600" s="207" t="inlineStr">
        <is>
          <t>Distress</t>
        </is>
      </c>
      <c r="F600" s="86" t="n">
        <v>1.12</v>
      </c>
      <c r="G600" s="86" t="inlineStr">
        <is>
          <t>Grey</t>
        </is>
      </c>
      <c r="H600" s="86" t="n">
        <v>0.02</v>
      </c>
      <c r="I600" s="86" t="inlineStr">
        <is>
          <t>Distress</t>
        </is>
      </c>
      <c r="J600" s="86" t="n">
        <v>1.06</v>
      </c>
      <c r="K600" s="86" t="n">
        <v>0.74</v>
      </c>
      <c r="L600" s="86" t="inlineStr">
        <is>
          <t>Distress</t>
        </is>
      </c>
      <c r="M600" s="86" t="n">
        <v>2</v>
      </c>
      <c r="N600" s="86" t="inlineStr">
        <is>
          <t>Weak</t>
        </is>
      </c>
      <c r="O600" s="90" t="inlineStr">
        <is>
          <t>N/A</t>
        </is>
      </c>
      <c r="P600" s="86" t="inlineStr">
        <is>
          <t>Insufficient Data</t>
        </is>
      </c>
      <c r="Q600" s="86" t="n">
        <v>-3.87</v>
      </c>
      <c r="R600" s="86" t="n">
        <v>-0.7798</v>
      </c>
      <c r="S600" s="86" t="n">
        <v>0.7</v>
      </c>
      <c r="T600" s="86" t="n">
        <v>-1.5739</v>
      </c>
      <c r="U600" s="86" t="n">
        <v>-0.1026</v>
      </c>
      <c r="V600" s="86" t="n">
        <v>-1.8772</v>
      </c>
      <c r="W600" s="86" t="n">
        <v>-22.11</v>
      </c>
      <c r="X600" s="86" t="n">
        <v>31.28</v>
      </c>
      <c r="Y600" s="86" t="n">
        <v>0</v>
      </c>
      <c r="Z600" s="86" t="inlineStr">
        <is>
          <t>CLEAR</t>
        </is>
      </c>
    </row>
    <row r="601" ht="17" customHeight="1">
      <c r="A601" s="82" t="n">
        <v>599</v>
      </c>
      <c r="B601" s="82" t="inlineStr">
        <is>
          <t>SOFI</t>
        </is>
      </c>
      <c r="C601" s="82" t="inlineStr">
        <is>
          <t>SoFi Technologies, Inc.</t>
        </is>
      </c>
      <c r="D601" s="82" t="n">
        <v>0.11</v>
      </c>
      <c r="E601" s="207" t="inlineStr">
        <is>
          <t>Distress</t>
        </is>
      </c>
      <c r="F601" s="82" t="n">
        <v>0.22</v>
      </c>
      <c r="G601" s="82" t="inlineStr">
        <is>
          <t>Distress</t>
        </is>
      </c>
      <c r="H601" s="82" t="n">
        <v>1891.89</v>
      </c>
      <c r="I601" s="82" t="inlineStr">
        <is>
          <t>Healthy</t>
        </is>
      </c>
      <c r="J601" s="82" t="n">
        <v>0.15</v>
      </c>
      <c r="K601" s="82" t="n">
        <v>0.54</v>
      </c>
      <c r="L601" s="82" t="inlineStr">
        <is>
          <t>Distress</t>
        </is>
      </c>
      <c r="M601" s="82" t="n">
        <v>3</v>
      </c>
      <c r="N601" s="82" t="inlineStr">
        <is>
          <t>Mixed</t>
        </is>
      </c>
      <c r="O601" s="207" t="n">
        <v>0.31</v>
      </c>
      <c r="P601" s="82" t="inlineStr">
        <is>
          <t>Higher Risk</t>
        </is>
      </c>
      <c r="Q601" s="82" t="n">
        <v>2.38</v>
      </c>
      <c r="R601" s="82" t="n">
        <v>0.0459</v>
      </c>
      <c r="S601" s="82" t="n">
        <v>-7.78</v>
      </c>
      <c r="T601" s="82" t="n">
        <v>-6.434</v>
      </c>
      <c r="U601" s="82" t="n">
        <v>0.231</v>
      </c>
      <c r="V601" s="82" t="n">
        <v>-0.0011</v>
      </c>
      <c r="W601" s="82" t="n">
        <v>-0</v>
      </c>
      <c r="X601" s="82" t="n">
        <v>30.54</v>
      </c>
      <c r="Y601" s="82" t="n">
        <v>40</v>
      </c>
      <c r="Z601" s="82" t="inlineStr">
        <is>
          <t>WATCH</t>
        </is>
      </c>
    </row>
    <row r="602" ht="17" customHeight="1">
      <c r="A602" s="86" t="n">
        <v>600</v>
      </c>
      <c r="B602" s="86" t="inlineStr">
        <is>
          <t>CYTK</t>
        </is>
      </c>
      <c r="C602" s="86" t="inlineStr">
        <is>
          <t>Cytokinetics, Incorporated</t>
        </is>
      </c>
      <c r="D602" s="86" t="n">
        <v>-3.17</v>
      </c>
      <c r="E602" s="207" t="inlineStr">
        <is>
          <t>Distress</t>
        </is>
      </c>
      <c r="F602" s="86" t="n">
        <v>-7.91</v>
      </c>
      <c r="G602" s="86" t="inlineStr">
        <is>
          <t>Distress</t>
        </is>
      </c>
      <c r="H602" s="86" t="n">
        <v>-1.15</v>
      </c>
      <c r="I602" s="86" t="inlineStr">
        <is>
          <t>Distress</t>
        </is>
      </c>
      <c r="J602" s="86" t="n">
        <v>6.48</v>
      </c>
      <c r="K602" s="86" t="n">
        <v>1</v>
      </c>
      <c r="L602" s="86" t="inlineStr">
        <is>
          <t>Distress</t>
        </is>
      </c>
      <c r="M602" s="86" t="n">
        <v>2</v>
      </c>
      <c r="N602" s="86" t="inlineStr">
        <is>
          <t>Weak</t>
        </is>
      </c>
      <c r="O602" s="207" t="n">
        <v>0.73</v>
      </c>
      <c r="P602" s="86" t="inlineStr">
        <is>
          <t>Higher Risk</t>
        </is>
      </c>
      <c r="Q602" s="86" t="n">
        <v>-0.83</v>
      </c>
      <c r="R602" s="86" t="n">
        <v>1.19</v>
      </c>
      <c r="S602" s="86" t="n">
        <v>0.65</v>
      </c>
      <c r="T602" s="86" t="n">
        <v>-40.0072</v>
      </c>
      <c r="U602" s="86" t="n">
        <v>-0.8744</v>
      </c>
      <c r="V602" s="86" t="n">
        <v>-45.8003</v>
      </c>
      <c r="W602" s="86" t="n">
        <v>-13.43</v>
      </c>
      <c r="X602" s="86" t="n">
        <v>26.28</v>
      </c>
      <c r="Y602" s="86" t="n">
        <v>40</v>
      </c>
      <c r="Z602" s="86" t="inlineStr">
        <is>
          <t>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2026-07-09T16:08:04Z</dcterms:created>
  <dcterms:modified xmlns:dcterms="http://purl.org/dc/terms/" xmlns:xsi="http://www.w3.org/2001/XMLSchema-instance" xsi:type="dcterms:W3CDTF">2026-07-09T16:08:15Z</dcterms:modified>
</cp:coreProperties>
</file>